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ow to Use" sheetId="2" state="visible" r:id="rId2"/>
    <sheet name="Settings" sheetId="3" state="visible" r:id="rId3"/>
    <sheet name="Debts &amp; Installments" sheetId="4" state="visible" r:id="rId4"/>
    <sheet name="Subscriptions" sheetId="5" state="visible" r:id="rId5"/>
    <sheet name="Chart Data" sheetId="6" state="visible" r:id="rId6"/>
  </sheets>
  <definedNames>
    <definedName name="_xlnm._FilterDatabase" localSheetId="3" hidden="1">'Debts &amp; Installments'!$B$5:$R$25</definedName>
    <definedName name="_xlnm._FilterDatabase" localSheetId="4" hidden="1">'Subscriptions'!$B$5:$R$35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;($#,##0.00);&quot;-&quot;"/>
    <numFmt numFmtId="165" formatCode="0.0%;-0.0%;&quot;-&quot;"/>
    <numFmt numFmtId="166" formatCode="mmm d, yyyy"/>
    <numFmt numFmtId="167" formatCode="yyyy-mm-dd"/>
    <numFmt numFmtId="168" formatCode="[=0]&quot;Today&quot;;[=1]&quot;Tomorrow&quot;;0&quot; days&quot;"/>
    <numFmt numFmtId="169" formatCode="dddd, mmm d, yyyy"/>
    <numFmt numFmtId="170" formatCode="mmm d"/>
  </numFmts>
  <fonts count="35">
    <font>
      <name val="Calibri"/>
      <family val="2"/>
      <color theme="1"/>
      <sz val="11"/>
      <scheme val="minor"/>
    </font>
    <font>
      <name val="Arial"/>
      <b val="1"/>
      <strike val="0"/>
      <color rgb="00EDEBF5"/>
      <sz val="18"/>
    </font>
    <font>
      <name val="Arial"/>
      <i val="1"/>
      <strike val="0"/>
      <color rgb="009A98AE"/>
      <sz val="10"/>
    </font>
    <font>
      <name val="Arial"/>
      <b val="1"/>
      <strike val="0"/>
      <color rgb="008AB4FF"/>
      <sz val="8"/>
    </font>
    <font>
      <name val="Arial"/>
      <b val="1"/>
      <strike val="0"/>
      <color rgb="009A98AE"/>
      <sz val="8"/>
    </font>
    <font>
      <name val="Arial"/>
      <strike val="0"/>
      <color rgb="00EDEBF5"/>
      <sz val="10"/>
    </font>
    <font>
      <name val="Arial"/>
      <strike val="0"/>
      <color rgb="008AB4FF"/>
      <sz val="10"/>
    </font>
    <font>
      <name val="Arial"/>
      <i val="1"/>
      <strike val="0"/>
      <color rgb="009A98AE"/>
      <sz val="9"/>
    </font>
    <font>
      <name val="Arial"/>
      <strike val="0"/>
      <color rgb="009A98AE"/>
      <sz val="10"/>
    </font>
    <font>
      <name val="Arial"/>
      <i val="1"/>
      <strike val="0"/>
      <color rgb="009A98AE"/>
      <sz val="8"/>
    </font>
    <font>
      <name val="Arial"/>
      <b val="1"/>
      <strike val="0"/>
      <color rgb="00F08A4B"/>
      <sz val="8"/>
    </font>
    <font>
      <name val="Arial"/>
      <b val="1"/>
      <strike val="0"/>
      <color rgb="00EDEBF5"/>
      <sz val="10"/>
    </font>
    <font>
      <name val="Arial"/>
      <b val="1"/>
      <strike val="0"/>
      <color rgb="00F08A4B"/>
      <sz val="22"/>
    </font>
    <font>
      <name val="Arial"/>
      <b val="1"/>
      <strike val="0"/>
      <color rgb="00EDEBF5"/>
      <sz val="11"/>
    </font>
    <font>
      <name val="Arial"/>
      <b val="1"/>
      <strike val="0"/>
      <color rgb="00EDEBF5"/>
      <sz val="20"/>
    </font>
    <font>
      <name val="Arial"/>
      <b val="1"/>
      <strike val="0"/>
      <color rgb="00F08A4B"/>
      <sz val="20"/>
    </font>
    <font>
      <name val="Arial"/>
      <b val="1"/>
      <strike val="0"/>
      <color rgb="005FD38D"/>
      <sz val="20"/>
    </font>
    <font>
      <name val="Arial"/>
      <b val="1"/>
      <strike val="0"/>
      <color rgb="00FF6B6B"/>
      <sz val="20"/>
    </font>
    <font>
      <name val="Arial"/>
      <b val="1"/>
      <strike val="0"/>
      <color rgb="00F2B544"/>
      <sz val="20"/>
    </font>
    <font>
      <name val="Arial"/>
      <b val="1"/>
      <strike val="0"/>
      <color rgb="004FC3C7"/>
      <sz val="9"/>
    </font>
    <font>
      <name val="Arial"/>
      <b val="1"/>
      <strike val="0"/>
      <color rgb="004FC3C7"/>
      <sz val="8"/>
    </font>
    <font>
      <name val="Arial"/>
      <b val="1"/>
      <strike val="0"/>
      <color rgb="00F2B544"/>
      <sz val="9"/>
    </font>
    <font>
      <name val="Arial"/>
      <b val="1"/>
      <strike val="0"/>
      <color rgb="00F2B544"/>
      <sz val="8"/>
    </font>
    <font>
      <name val="Arial"/>
      <b val="1"/>
      <strike val="0"/>
      <color rgb="00FF6B6B"/>
      <sz val="9"/>
    </font>
    <font>
      <name val="Arial"/>
      <b val="1"/>
      <strike val="0"/>
      <color rgb="00FF6B6B"/>
      <sz val="8"/>
    </font>
    <font>
      <name val="Arial"/>
      <b val="1"/>
      <strike val="0"/>
      <color rgb="00F08A4B"/>
      <sz val="9"/>
    </font>
    <font>
      <name val="Arial"/>
      <b val="1"/>
      <strike val="0"/>
      <color rgb="00F08A4B"/>
      <sz val="10"/>
    </font>
    <font>
      <name val="Arial"/>
      <strike val="0"/>
      <color rgb="00F08A4B"/>
      <sz val="10"/>
    </font>
    <font>
      <name val="Arial"/>
      <b val="1"/>
      <strike val="0"/>
      <color rgb="005FD38D"/>
      <sz val="10"/>
    </font>
    <font>
      <name val="Arial"/>
      <strike val="0"/>
      <color rgb="005FD38D"/>
      <sz val="10"/>
    </font>
    <font>
      <name val="Arial"/>
      <b val="1"/>
      <strike val="0"/>
      <color rgb="009A98AE"/>
      <sz val="9"/>
    </font>
    <font>
      <name val="Arial"/>
      <strike val="0"/>
      <color rgb="009A98AE"/>
      <sz val="9"/>
    </font>
    <font>
      <name val="Arial"/>
      <b val="1"/>
      <strike val="0"/>
      <color rgb="005FD38D"/>
      <sz val="9"/>
    </font>
    <font>
      <name val="Arial"/>
      <b val="1"/>
      <strike val="0"/>
      <color rgb="00B18CFF"/>
      <sz val="9"/>
    </font>
    <font>
      <name val="Arial"/>
      <b val="1"/>
      <strike val="0"/>
      <color rgb="008AB4FF"/>
      <sz val="9"/>
    </font>
  </fonts>
  <fills count="11">
    <fill>
      <patternFill/>
    </fill>
    <fill>
      <patternFill patternType="gray125"/>
    </fill>
    <fill>
      <patternFill patternType="solid">
        <fgColor rgb="0015171F"/>
      </patternFill>
    </fill>
    <fill>
      <patternFill patternType="solid">
        <fgColor rgb="0010121A"/>
      </patternFill>
    </fill>
    <fill>
      <patternFill patternType="solid">
        <fgColor rgb="001E2130"/>
      </patternFill>
    </fill>
    <fill>
      <patternFill patternType="solid">
        <fgColor rgb="00262A3D"/>
      </patternFill>
    </fill>
    <fill>
      <patternFill patternType="solid">
        <fgColor rgb="002C3147"/>
      </patternFill>
    </fill>
    <fill>
      <patternFill patternType="solid">
        <fgColor rgb="00232739"/>
      </patternFill>
    </fill>
    <fill>
      <patternFill patternType="solid">
        <fgColor rgb="004A1D22"/>
      </patternFill>
    </fill>
    <fill>
      <patternFill patternType="solid">
        <fgColor rgb="004A3A15"/>
      </patternFill>
    </fill>
    <fill>
      <patternFill patternType="solid">
        <fgColor rgb="00173A28"/>
      </patternFill>
    </fill>
  </fills>
  <borders count="25">
    <border>
      <left/>
      <right/>
      <top/>
      <bottom/>
      <diagonal/>
    </border>
    <border>
      <left style="thin">
        <color rgb="0033384F"/>
      </left>
      <right style="thin">
        <color rgb="0033384F"/>
      </right>
      <top style="thin">
        <color rgb="0033384F"/>
      </top>
      <bottom style="medium">
        <color rgb="008AB4FF"/>
      </bottom>
    </border>
    <border>
      <left style="thin">
        <color rgb="0033384F"/>
      </left>
      <right style="thin">
        <color rgb="0033384F"/>
      </right>
      <top style="thin">
        <color rgb="0033384F"/>
      </top>
      <bottom style="medium">
        <color rgb="009A98AE"/>
      </bottom>
    </border>
    <border>
      <left/>
      <right/>
      <top style="thin">
        <color rgb="0033384F"/>
      </top>
      <bottom/>
      <diagonal/>
    </border>
    <border>
      <left/>
      <right style="thin">
        <color rgb="0033384F"/>
      </right>
      <top style="thin">
        <color rgb="0033384F"/>
      </top>
      <bottom/>
      <diagonal/>
    </border>
    <border>
      <left/>
      <right/>
      <top style="thin">
        <color rgb="0033384F"/>
      </top>
      <bottom style="medium">
        <color rgb="009A98AE"/>
      </bottom>
      <diagonal/>
    </border>
    <border>
      <left/>
      <right style="thin">
        <color rgb="0033384F"/>
      </right>
      <top style="thin">
        <color rgb="0033384F"/>
      </top>
      <bottom style="medium">
        <color rgb="009A98AE"/>
      </bottom>
      <diagonal/>
    </border>
    <border>
      <left style="thin">
        <color rgb="0033384F"/>
      </left>
      <right style="thin">
        <color rgb="0033384F"/>
      </right>
      <top style="thin">
        <color rgb="0033384F"/>
      </top>
      <bottom style="thin">
        <color rgb="0033384F"/>
      </bottom>
    </border>
    <border>
      <left style="thin">
        <color rgb="0033384F"/>
      </left>
      <right style="thin">
        <color rgb="0033384F"/>
      </right>
      <top style="thin">
        <color rgb="0033384F"/>
      </top>
      <bottom style="medium">
        <color rgb="00F08A4B"/>
      </bottom>
    </border>
    <border>
      <left style="thick">
        <color rgb="0015171F"/>
      </left>
      <top style="thick">
        <color rgb="0015171F"/>
      </top>
    </border>
    <border>
      <right style="thick">
        <color rgb="0015171F"/>
      </right>
      <top style="thick">
        <color rgb="0015171F"/>
      </top>
    </border>
    <border>
      <left style="thick">
        <color rgb="0015171F"/>
      </left>
      <bottom style="thick">
        <color rgb="0015171F"/>
      </bottom>
    </border>
    <border>
      <right style="thick">
        <color rgb="0015171F"/>
      </right>
      <bottom style="thick">
        <color rgb="0015171F"/>
      </bottom>
    </border>
    <border>
      <left style="thick">
        <color rgb="0015171F"/>
      </left>
      <right style="thick">
        <color rgb="0015171F"/>
      </right>
      <top style="thick">
        <color rgb="0015171F"/>
      </top>
    </border>
    <border>
      <left/>
      <right/>
      <top style="thick">
        <color rgb="0015171F"/>
      </top>
      <bottom/>
      <diagonal/>
    </border>
    <border>
      <left/>
      <right style="thick">
        <color rgb="0015171F"/>
      </right>
      <top style="thick">
        <color rgb="0015171F"/>
      </top>
      <bottom/>
      <diagonal/>
    </border>
    <border>
      <left style="thick">
        <color rgb="0015171F"/>
      </left>
      <right style="thick">
        <color rgb="0015171F"/>
      </right>
      <bottom style="thick">
        <color rgb="0015171F"/>
      </bottom>
    </border>
    <border>
      <left/>
      <right style="thick">
        <color rgb="0015171F"/>
      </right>
      <top/>
      <bottom/>
      <diagonal/>
    </border>
    <border>
      <left/>
      <right style="thick">
        <color rgb="0015171F"/>
      </right>
      <top/>
      <bottom style="thick">
        <color rgb="0015171F"/>
      </bottom>
      <diagonal/>
    </border>
    <border>
      <left style="thick">
        <color rgb="0015171F"/>
      </left>
    </border>
    <border>
      <right style="thick">
        <color rgb="0015171F"/>
      </right>
    </border>
    <border>
      <left style="thick">
        <color rgb="0015171F"/>
      </left>
      <right style="thick">
        <color rgb="0015171F"/>
      </right>
    </border>
    <border>
      <left style="thin">
        <color rgb="0033384F"/>
      </left>
      <right style="thin">
        <color rgb="0033384F"/>
      </right>
      <top style="thin">
        <color rgb="0033384F"/>
      </top>
      <bottom style="medium">
        <color rgb="004FC3C7"/>
      </bottom>
    </border>
    <border>
      <left style="thin">
        <color rgb="0033384F"/>
      </left>
      <right style="thin">
        <color rgb="0033384F"/>
      </right>
      <top style="thin">
        <color rgb="0033384F"/>
      </top>
      <bottom style="medium">
        <color rgb="00F2B544"/>
      </bottom>
    </border>
    <border>
      <left style="thin">
        <color rgb="0033384F"/>
      </left>
      <right style="thin">
        <color rgb="0033384F"/>
      </right>
      <top style="thin">
        <color rgb="0033384F"/>
      </top>
      <bottom style="medium">
        <color rgb="00FF6B6B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applyFill="1" numFmtId="0" fontId="0" fillId="2" borderId="0" pivotButton="0" quotePrefix="0" xfId="0"/>
    <xf applyFill="1" applyFont="1" numFmtId="0" fontId="12" fillId="2" borderId="0" pivotButton="0" quotePrefix="0" xfId="0"/>
    <xf applyBorder="1" applyFill="1" applyFont="1" numFmtId="0" fontId="4" fillId="4" borderId="13" applyAlignment="1" pivotButton="0" quotePrefix="0" xfId="0">
      <alignment horizontal="center" vertical="bottom"/>
    </xf>
    <xf applyBorder="1" numFmtId="0" fontId="0" fillId="0" borderId="15" pivotButton="0" quotePrefix="0" xfId="0"/>
    <xf applyFill="1" applyFont="1" numFmtId="0" fontId="2" fillId="2" borderId="0" pivotButton="0" quotePrefix="0" xfId="0"/>
    <xf applyBorder="1" applyFill="1" applyFont="1" applyNumberFormat="1" numFmtId="169" fontId="13" fillId="4" borderId="16" applyAlignment="1" pivotButton="0" quotePrefix="0" xfId="0">
      <alignment horizontal="center" vertical="top"/>
    </xf>
    <xf applyBorder="1" numFmtId="0" fontId="0" fillId="0" borderId="18" pivotButton="0" quotePrefix="0" xfId="0"/>
    <xf applyBorder="1" applyFill="1" applyFont="1" numFmtId="0" fontId="4" fillId="4" borderId="13" applyAlignment="1" pivotButton="0" quotePrefix="0" xfId="0">
      <alignment vertical="bottom" indent="1"/>
    </xf>
    <xf applyBorder="1" applyFill="1" applyFont="1" applyNumberFormat="1" numFmtId="164" fontId="14" fillId="4" borderId="21" applyAlignment="1" pivotButton="0" quotePrefix="0" xfId="0">
      <alignment horizontal="left" vertical="center" indent="1"/>
    </xf>
    <xf applyBorder="1" numFmtId="0" fontId="0" fillId="0" borderId="17" pivotButton="0" quotePrefix="0" xfId="0"/>
    <xf applyBorder="1" applyFill="1" applyFont="1" applyNumberFormat="1" numFmtId="164" fontId="15" fillId="4" borderId="21" applyAlignment="1" pivotButton="0" quotePrefix="0" xfId="0">
      <alignment horizontal="left" vertical="center" indent="1"/>
    </xf>
    <xf applyBorder="1" applyFill="1" applyFont="1" applyNumberFormat="1" numFmtId="165" fontId="15" fillId="4" borderId="21" applyAlignment="1" pivotButton="0" quotePrefix="0" xfId="0">
      <alignment horizontal="left" vertical="center" indent="1"/>
    </xf>
    <xf applyBorder="1" applyFill="1" applyFont="1" applyNumberFormat="1" numFmtId="164" fontId="16" fillId="4" borderId="21" applyAlignment="1" pivotButton="0" quotePrefix="0" xfId="0">
      <alignment horizontal="left" vertical="center" indent="1"/>
    </xf>
    <xf applyBorder="1" applyFill="1" applyFont="1" numFmtId="0" fontId="9" fillId="4" borderId="16" applyAlignment="1" pivotButton="0" quotePrefix="0" xfId="0">
      <alignment vertical="top" indent="1"/>
    </xf>
    <xf applyBorder="1" applyFill="1" applyFont="1" applyNumberFormat="1" numFmtId="165" fontId="17" fillId="4" borderId="21" applyAlignment="1" pivotButton="0" quotePrefix="0" xfId="0">
      <alignment horizontal="left" vertical="center" indent="1"/>
    </xf>
    <xf applyBorder="1" applyFill="1" applyFont="1" applyNumberFormat="1" numFmtId="164" fontId="17" fillId="4" borderId="21" applyAlignment="1" pivotButton="0" quotePrefix="0" xfId="0">
      <alignment horizontal="left" vertical="center" indent="1"/>
    </xf>
    <xf applyBorder="1" applyFill="1" applyFont="1" applyNumberFormat="1" numFmtId="1" fontId="18" fillId="4" borderId="21" applyAlignment="1" pivotButton="0" quotePrefix="0" xfId="0">
      <alignment horizontal="left" vertical="center" indent="1"/>
    </xf>
    <xf applyFill="1" applyFont="1" numFmtId="0" fontId="19" fillId="2" borderId="0" applyAlignment="1" pivotButton="0" quotePrefix="0" xfId="0">
      <alignment vertical="bottom"/>
    </xf>
    <xf applyFill="1" applyFont="1" numFmtId="0" fontId="25" fillId="2" borderId="0" applyAlignment="1" pivotButton="0" quotePrefix="0" xfId="0">
      <alignment vertical="bottom"/>
    </xf>
    <xf applyBorder="1" applyFill="1" applyFont="1" numFmtId="0" fontId="20" fillId="3" borderId="22" applyAlignment="1" pivotButton="0" quotePrefix="0" xfId="0">
      <alignment horizontal="center" vertical="center" wrapText="1"/>
    </xf>
    <xf applyBorder="1" applyFill="1" applyFont="1" numFmtId="0" fontId="5" fillId="4" borderId="7" applyAlignment="1" pivotButton="0" quotePrefix="0" xfId="0">
      <alignment horizontal="left" vertical="center"/>
    </xf>
    <xf applyBorder="1" applyFill="1" applyFont="1" applyNumberFormat="1" numFmtId="164" fontId="5" fillId="4" borderId="7" applyAlignment="1" pivotButton="0" quotePrefix="0" xfId="0">
      <alignment horizontal="right" vertical="center"/>
    </xf>
    <xf applyBorder="1" applyFill="1" applyFont="1" applyNumberFormat="1" numFmtId="170" fontId="5" fillId="4" borderId="7" applyAlignment="1" pivotButton="0" quotePrefix="0" xfId="0">
      <alignment horizontal="center" vertical="center"/>
    </xf>
    <xf applyBorder="1" applyFill="1" applyFont="1" applyNumberFormat="1" numFmtId="168" fontId="5" fillId="4" borderId="7" applyAlignment="1" pivotButton="0" quotePrefix="0" xfId="0">
      <alignment horizontal="center" vertical="center"/>
    </xf>
    <xf applyBorder="1" applyFill="1" applyFont="1" numFmtId="0" fontId="5" fillId="7" borderId="7" applyAlignment="1" pivotButton="0" quotePrefix="0" xfId="0">
      <alignment horizontal="left" vertical="center"/>
    </xf>
    <xf applyBorder="1" applyFill="1" applyFont="1" applyNumberFormat="1" numFmtId="164" fontId="5" fillId="7" borderId="7" applyAlignment="1" pivotButton="0" quotePrefix="0" xfId="0">
      <alignment horizontal="right" vertical="center"/>
    </xf>
    <xf applyBorder="1" applyFill="1" applyFont="1" applyNumberFormat="1" numFmtId="170" fontId="5" fillId="7" borderId="7" applyAlignment="1" pivotButton="0" quotePrefix="0" xfId="0">
      <alignment horizontal="center" vertical="center"/>
    </xf>
    <xf applyBorder="1" applyFill="1" applyFont="1" applyNumberFormat="1" numFmtId="168" fontId="5" fillId="7" borderId="7" applyAlignment="1" pivotButton="0" quotePrefix="0" xfId="0">
      <alignment horizontal="center" vertical="center"/>
    </xf>
    <xf applyFill="1" applyFont="1" numFmtId="0" fontId="21" fillId="2" borderId="0" applyAlignment="1" pivotButton="0" quotePrefix="0" xfId="0">
      <alignment vertical="bottom"/>
    </xf>
    <xf applyBorder="1" applyFill="1" applyFont="1" numFmtId="0" fontId="22" fillId="3" borderId="23" applyAlignment="1" pivotButton="0" quotePrefix="0" xfId="0">
      <alignment horizontal="center" vertical="center" wrapText="1"/>
    </xf>
    <xf applyFill="1" applyFont="1" numFmtId="0" fontId="33" fillId="2" borderId="0" applyAlignment="1" pivotButton="0" quotePrefix="0" xfId="0">
      <alignment vertical="bottom"/>
    </xf>
    <xf applyFill="1" applyFont="1" numFmtId="0" fontId="4" fillId="2" borderId="0" applyAlignment="1" pivotButton="0" quotePrefix="0" xfId="0">
      <alignment horizontal="right" vertical="bottom"/>
    </xf>
    <xf applyBorder="1" applyFill="1" applyFont="1" numFmtId="0" fontId="34" fillId="5" borderId="7" applyAlignment="1" pivotButton="0" quotePrefix="0" xfId="0">
      <alignment horizontal="center" vertical="center"/>
    </xf>
    <xf applyFill="1" applyFont="1" numFmtId="0" fontId="23" fillId="2" borderId="0" applyAlignment="1" pivotButton="0" quotePrefix="0" xfId="0">
      <alignment vertical="bottom"/>
    </xf>
    <xf applyBorder="1" applyFill="1" applyFont="1" numFmtId="0" fontId="24" fillId="3" borderId="24" applyAlignment="1" pivotButton="0" quotePrefix="0" xfId="0">
      <alignment horizontal="center" vertical="center" wrapText="1"/>
    </xf>
    <xf applyBorder="1" applyFill="1" applyFont="1" applyNumberFormat="1" numFmtId="165" fontId="5" fillId="4" borderId="7" applyAlignment="1" pivotButton="0" quotePrefix="0" xfId="0">
      <alignment horizontal="right" vertical="center"/>
    </xf>
    <xf applyBorder="1" applyFill="1" applyFont="1" numFmtId="0" fontId="5" fillId="4" borderId="7" applyAlignment="1" pivotButton="0" quotePrefix="0" xfId="0">
      <alignment horizontal="center" vertical="center"/>
    </xf>
    <xf applyBorder="1" applyFill="1" applyFont="1" applyNumberFormat="1" numFmtId="165" fontId="5" fillId="7" borderId="7" applyAlignment="1" pivotButton="0" quotePrefix="0" xfId="0">
      <alignment horizontal="right" vertical="center"/>
    </xf>
    <xf applyBorder="1" applyFill="1" applyFont="1" numFmtId="0" fontId="5" fillId="7" borderId="7" applyAlignment="1" pivotButton="0" quotePrefix="0" xfId="0">
      <alignment horizontal="center" vertical="center"/>
    </xf>
    <xf applyBorder="1" applyFill="1" applyFont="1" numFmtId="0" fontId="10" fillId="3" borderId="8" applyAlignment="1" pivotButton="0" quotePrefix="0" xfId="0">
      <alignment horizontal="center" vertical="center" wrapText="1"/>
    </xf>
    <xf applyBorder="1" applyFill="1" applyFont="1" numFmtId="0" fontId="11" fillId="4" borderId="7" applyAlignment="1" pivotButton="0" quotePrefix="0" xfId="0">
      <alignment horizontal="left" vertical="center"/>
    </xf>
    <xf applyBorder="1" applyFill="1" applyFont="1" applyNumberFormat="1" numFmtId="164" fontId="11" fillId="4" borderId="7" applyAlignment="1" pivotButton="0" quotePrefix="0" xfId="0">
      <alignment horizontal="right" vertical="center"/>
    </xf>
    <xf applyBorder="1" applyFill="1" applyFont="1" applyNumberFormat="1" numFmtId="9" fontId="5" fillId="4" borderId="7" applyAlignment="1" pivotButton="0" quotePrefix="0" xfId="0">
      <alignment horizontal="right" vertical="center"/>
    </xf>
    <xf applyBorder="1" applyFill="1" applyFont="1" applyNumberFormat="1" numFmtId="9" fontId="8" fillId="7" borderId="7" applyAlignment="1" pivotButton="0" quotePrefix="0" xfId="0">
      <alignment horizontal="right" vertical="center"/>
    </xf>
    <xf applyBorder="1" applyFill="1" applyFont="1" applyNumberFormat="1" numFmtId="9" fontId="8" fillId="4" borderId="7" applyAlignment="1" pivotButton="0" quotePrefix="0" xfId="0">
      <alignment horizontal="right" vertical="center"/>
    </xf>
    <xf applyBorder="1" applyFill="1" applyFont="1" numFmtId="0" fontId="26" fillId="4" borderId="7" applyAlignment="1" pivotButton="0" quotePrefix="0" xfId="0">
      <alignment horizontal="left" vertical="center"/>
    </xf>
    <xf applyBorder="1" applyFill="1" applyFont="1" applyNumberFormat="1" numFmtId="164" fontId="26" fillId="4" borderId="7" applyAlignment="1" pivotButton="0" quotePrefix="0" xfId="0">
      <alignment horizontal="right" vertical="center"/>
    </xf>
    <xf applyBorder="1" applyFill="1" applyFont="1" applyNumberFormat="1" numFmtId="9" fontId="27" fillId="4" borderId="7" applyAlignment="1" pivotButton="0" quotePrefix="0" xfId="0">
      <alignment horizontal="right" vertical="center"/>
    </xf>
    <xf applyBorder="1" applyFill="1" applyFont="1" numFmtId="0" fontId="28" fillId="7" borderId="7" applyAlignment="1" pivotButton="0" quotePrefix="0" xfId="0">
      <alignment horizontal="left" vertical="center"/>
    </xf>
    <xf applyBorder="1" applyFill="1" applyFont="1" applyNumberFormat="1" numFmtId="164" fontId="28" fillId="7" borderId="7" applyAlignment="1" pivotButton="0" quotePrefix="0" xfId="0">
      <alignment horizontal="right" vertical="center"/>
    </xf>
    <xf applyBorder="1" applyFill="1" applyFont="1" applyNumberFormat="1" numFmtId="9" fontId="29" fillId="7" borderId="7" applyAlignment="1" pivotButton="0" quotePrefix="0" xfId="0">
      <alignment horizontal="right" vertical="center"/>
    </xf>
    <xf applyFill="1" applyFont="1" numFmtId="0" fontId="30" fillId="2" borderId="0" applyAlignment="1" pivotButton="0" quotePrefix="0" xfId="0">
      <alignment vertical="bottom"/>
    </xf>
    <xf applyFill="1" applyFont="1" numFmtId="0" fontId="23" fillId="8" borderId="0" applyAlignment="1" pivotButton="0" quotePrefix="0" xfId="0">
      <alignment horizontal="center" vertical="center"/>
    </xf>
    <xf applyFill="1" applyFont="1" numFmtId="0" fontId="31" fillId="2" borderId="0" applyAlignment="1" pivotButton="0" quotePrefix="0" xfId="0">
      <alignment vertical="center" indent="1"/>
    </xf>
    <xf applyFill="1" applyFont="1" numFmtId="0" fontId="21" fillId="9" borderId="0" applyAlignment="1" pivotButton="0" quotePrefix="0" xfId="0">
      <alignment horizontal="center" vertical="center"/>
    </xf>
    <xf applyFill="1" applyFont="1" numFmtId="0" fontId="32" fillId="10" borderId="0" applyAlignment="1" pivotButton="0" quotePrefix="0" xfId="0">
      <alignment horizontal="center" vertical="center"/>
    </xf>
    <xf applyFill="1" applyFont="1" numFmtId="0" fontId="9" fillId="2" borderId="0" pivotButton="0" quotePrefix="0" xfId="0"/>
    <xf applyFill="1" applyFont="1" numFmtId="0" fontId="1" fillId="2" borderId="0" pivotButton="0" quotePrefix="0" xfId="0"/>
    <xf applyFill="1" applyFont="1" numFmtId="0" fontId="11" fillId="2" borderId="0" applyAlignment="1" pivotButton="0" quotePrefix="0" xfId="0">
      <alignment vertical="top" wrapText="1"/>
    </xf>
    <xf applyFill="1" applyFont="1" numFmtId="0" fontId="8" fillId="2" borderId="0" applyAlignment="1" pivotButton="0" quotePrefix="0" xfId="0">
      <alignment vertical="top" wrapText="1"/>
    </xf>
    <xf applyBorder="1" applyFill="1" applyFont="1" numFmtId="0" fontId="3" fillId="3" borderId="1" applyAlignment="1" pivotButton="0" quotePrefix="0" xfId="0">
      <alignment horizontal="center" vertical="center" wrapText="1"/>
    </xf>
    <xf applyBorder="1" applyFill="1" applyFont="1" numFmtId="0" fontId="4" fillId="3" borderId="2" applyAlignment="1" pivotButton="0" quotePrefix="0" xfId="0">
      <alignment horizontal="center" vertical="center" wrapText="1"/>
    </xf>
    <xf applyBorder="1" numFmtId="0" fontId="0" fillId="0" borderId="5" pivotButton="0" quotePrefix="0" xfId="0"/>
    <xf applyBorder="1" numFmtId="0" fontId="0" fillId="0" borderId="6" pivotButton="0" quotePrefix="0" xfId="0"/>
    <xf applyBorder="1" applyFill="1" applyFont="1" applyNumberFormat="1" numFmtId="164" fontId="6" fillId="5" borderId="7" applyAlignment="1" pivotButton="0" quotePrefix="0" xfId="0">
      <alignment horizontal="right" vertical="center"/>
    </xf>
    <xf applyFill="1" applyFont="1" numFmtId="0" fontId="7" fillId="2" borderId="0" pivotButton="0" quotePrefix="0" xfId="0"/>
    <xf applyBorder="1" applyFill="1" applyFont="1" applyNumberFormat="1" numFmtId="165" fontId="6" fillId="5" borderId="7" applyAlignment="1" pivotButton="0" quotePrefix="0" xfId="0">
      <alignment horizontal="right" vertical="center"/>
    </xf>
    <xf applyBorder="1" applyFill="1" applyFont="1" applyNumberFormat="1" numFmtId="1" fontId="6" fillId="5" borderId="7" applyAlignment="1" pivotButton="0" quotePrefix="0" xfId="0">
      <alignment horizontal="right" vertical="center"/>
    </xf>
    <xf applyBorder="1" applyFill="1" applyFont="1" applyNumberFormat="1" numFmtId="166" fontId="8" fillId="4" borderId="7" applyAlignment="1" pivotButton="0" quotePrefix="0" xfId="0">
      <alignment horizontal="right" vertical="center"/>
    </xf>
    <xf applyBorder="1" applyFill="1" applyFont="1" numFmtId="0" fontId="5" fillId="5" borderId="7" applyAlignment="1" pivotButton="0" quotePrefix="0" xfId="0">
      <alignment horizontal="left" vertical="center"/>
    </xf>
    <xf applyBorder="1" applyFill="1" applyFont="1" numFmtId="0" fontId="5" fillId="6" borderId="7" applyAlignment="1" pivotButton="0" quotePrefix="0" xfId="0">
      <alignment horizontal="left" vertical="center"/>
    </xf>
    <xf applyFill="1" applyFont="1" numFmtId="0" fontId="11" fillId="2" borderId="0" pivotButton="0" quotePrefix="0" xfId="0"/>
    <xf applyBorder="1" applyFill="1" applyFont="1" numFmtId="0" fontId="5" fillId="5" borderId="7" applyAlignment="1" pivotButton="0" quotePrefix="0" xfId="0">
      <alignment horizontal="center" vertical="center"/>
    </xf>
    <xf applyBorder="1" applyFill="1" applyFont="1" applyNumberFormat="1" numFmtId="164" fontId="5" fillId="5" borderId="7" applyAlignment="1" pivotButton="0" quotePrefix="0" xfId="0">
      <alignment horizontal="right" vertical="center"/>
    </xf>
    <xf applyBorder="1" applyFill="1" applyFont="1" applyNumberFormat="1" numFmtId="1" fontId="5" fillId="5" borderId="7" applyAlignment="1" pivotButton="0" quotePrefix="0" xfId="0">
      <alignment horizontal="right" vertical="center"/>
    </xf>
    <xf applyBorder="1" applyFill="1" applyFont="1" applyNumberFormat="1" numFmtId="165" fontId="5" fillId="5" borderId="7" applyAlignment="1" pivotButton="0" quotePrefix="0" xfId="0">
      <alignment horizontal="right" vertical="center"/>
    </xf>
    <xf applyBorder="1" applyFill="1" applyFont="1" applyNumberFormat="1" numFmtId="1" fontId="5" fillId="4" borderId="7" applyAlignment="1" pivotButton="0" quotePrefix="0" xfId="0">
      <alignment horizontal="center" vertical="center"/>
    </xf>
    <xf applyBorder="1" applyFill="1" applyFont="1" applyNumberFormat="1" numFmtId="166" fontId="5" fillId="4" borderId="7" applyAlignment="1" pivotButton="0" quotePrefix="0" xfId="0">
      <alignment horizontal="right" vertical="center"/>
    </xf>
    <xf applyBorder="1" applyFill="1" applyFont="1" numFmtId="0" fontId="5" fillId="6" borderId="7" applyAlignment="1" pivotButton="0" quotePrefix="0" xfId="0">
      <alignment horizontal="center" vertical="center"/>
    </xf>
    <xf applyBorder="1" applyFill="1" applyFont="1" applyNumberFormat="1" numFmtId="164" fontId="5" fillId="6" borderId="7" applyAlignment="1" pivotButton="0" quotePrefix="0" xfId="0">
      <alignment horizontal="right" vertical="center"/>
    </xf>
    <xf applyBorder="1" applyFill="1" applyFont="1" applyNumberFormat="1" numFmtId="1" fontId="5" fillId="6" borderId="7" applyAlignment="1" pivotButton="0" quotePrefix="0" xfId="0">
      <alignment horizontal="right" vertical="center"/>
    </xf>
    <xf applyBorder="1" applyFill="1" applyFont="1" applyNumberFormat="1" numFmtId="165" fontId="5" fillId="6" borderId="7" applyAlignment="1" pivotButton="0" quotePrefix="0" xfId="0">
      <alignment horizontal="right" vertical="center"/>
    </xf>
    <xf applyBorder="1" applyFill="1" applyFont="1" applyNumberFormat="1" numFmtId="1" fontId="5" fillId="7" borderId="7" applyAlignment="1" pivotButton="0" quotePrefix="0" xfId="0">
      <alignment horizontal="center" vertical="center"/>
    </xf>
    <xf applyBorder="1" applyFill="1" applyFont="1" applyNumberFormat="1" numFmtId="166" fontId="5" fillId="7" borderId="7" applyAlignment="1" pivotButton="0" quotePrefix="0" xfId="0">
      <alignment horizontal="right" vertical="center"/>
    </xf>
    <xf applyBorder="1" applyFill="1" applyFont="1" applyNumberFormat="1" numFmtId="166" fontId="5" fillId="5" borderId="7" applyAlignment="1" pivotButton="0" quotePrefix="0" xfId="0">
      <alignment horizontal="right" vertical="center"/>
    </xf>
    <xf applyBorder="1" applyFill="1" applyFont="1" applyNumberFormat="1" numFmtId="166" fontId="5" fillId="6" borderId="7" applyAlignment="1" pivotButton="0" quotePrefix="0" xfId="0">
      <alignment horizontal="right" vertical="center"/>
    </xf>
    <xf applyBorder="1" applyFill="1" applyFont="1" numFmtId="0" fontId="5" fillId="4" borderId="7" applyAlignment="1" pivotButton="0" quotePrefix="0" xfId="0">
      <alignment horizontal="right" vertical="center"/>
    </xf>
  </cellXfs>
  <cellStyles count="1">
    <cellStyle name="Normal" xfId="0" builtinId="0" hidden="0"/>
  </cellStyles>
  <dxfs count="13">
    <dxf>
      <font>
        <b val="1"/>
        <color rgb="00F2B544"/>
      </font>
      <fill>
        <patternFill patternType="solid">
          <fgColor rgb="004A3A15"/>
        </patternFill>
      </fill>
    </dxf>
    <dxf>
      <font>
        <b val="1"/>
        <color rgb="00FF6B6B"/>
      </font>
      <fill>
        <patternFill patternType="solid">
          <fgColor rgb="004A1D22"/>
        </patternFill>
      </fill>
    </dxf>
    <dxf>
      <font>
        <b val="1"/>
        <color rgb="005FD38D"/>
      </font>
      <fill>
        <patternFill patternType="solid">
          <fgColor rgb="00173A28"/>
        </patternFill>
      </fill>
    </dxf>
    <dxf>
      <font>
        <b val="1"/>
        <color rgb="008AB4FF"/>
      </font>
      <fill>
        <patternFill patternType="solid">
          <fgColor rgb="001C2B4A"/>
        </patternFill>
      </fill>
    </dxf>
    <dxf>
      <font>
        <b val="1"/>
        <color rgb="00F06BC8"/>
      </font>
      <fill>
        <patternFill patternType="solid">
          <fgColor rgb="003D1B35"/>
        </patternFill>
      </fill>
    </dxf>
    <dxf>
      <font>
        <b val="1"/>
        <color rgb="004FC3C7"/>
      </font>
      <fill>
        <patternFill patternType="solid">
          <fgColor rgb="0016373A"/>
        </patternFill>
      </fill>
    </dxf>
    <dxf>
      <font>
        <b val="1"/>
        <color rgb="00B8B6C8"/>
      </font>
      <fill>
        <patternFill patternType="solid">
          <fgColor rgb="002F3242"/>
        </patternFill>
      </fill>
    </dxf>
    <dxf>
      <font>
        <b val="1"/>
        <color rgb="00FF6B6B"/>
      </font>
    </dxf>
    <dxf>
      <font>
        <b val="1"/>
        <color rgb="00F08A4B"/>
      </font>
      <fill>
        <patternFill patternType="solid">
          <fgColor rgb="004A2A18"/>
        </patternFill>
      </fill>
    </dxf>
    <dxf>
      <font>
        <b val="1"/>
        <color rgb="00B18CFF"/>
      </font>
      <fill>
        <patternFill patternType="solid">
          <fgColor rgb="002E2250"/>
        </patternFill>
      </fill>
    </dxf>
    <dxf>
      <font>
        <b val="1"/>
        <color rgb="00F2B544"/>
      </font>
    </dxf>
    <dxf>
      <fill>
        <patternFill patternType="solid">
          <fgColor rgb="003A1C24"/>
        </patternFill>
      </fill>
    </dxf>
    <dxf>
      <font>
        <color rgb="006E6C80"/>
      </font>
      <fill>
        <patternFill patternType="solid">
          <fgColor rgb="00262A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tx>
            <strRef>
              <f>'Chart Data'!C4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6B6B"/>
              </a:solidFill>
              <a:ln>
                <a:solidFill>
                  <a:srgbClr val="1E2130"/>
                </a:solidFill>
                <a:prstDash val="solid"/>
              </a:ln>
            </spPr>
          </dPt>
          <dPt>
            <idx val="1"/>
            <spPr>
              <a:solidFill>
                <a:srgbClr val="F2B544"/>
              </a:solidFill>
              <a:ln>
                <a:solidFill>
                  <a:srgbClr val="1E2130"/>
                </a:solidFill>
                <a:prstDash val="solid"/>
              </a:ln>
            </spPr>
          </dPt>
          <dPt>
            <idx val="2"/>
            <spPr>
              <a:solidFill>
                <a:srgbClr val="B18CFF"/>
              </a:solidFill>
              <a:ln>
                <a:solidFill>
                  <a:srgbClr val="1E2130"/>
                </a:solidFill>
                <a:prstDash val="solid"/>
              </a:ln>
            </spPr>
          </dPt>
          <dPt>
            <idx val="3"/>
            <spPr>
              <a:solidFill>
                <a:srgbClr val="5FD38D"/>
              </a:solidFill>
              <a:ln>
                <a:solidFill>
                  <a:srgbClr val="1E2130"/>
                </a:solidFill>
                <a:prstDash val="solid"/>
              </a:ln>
            </spPr>
          </dPt>
          <cat>
            <numRef>
              <f>'Chart Data'!$B$5:$B$8</f>
            </numRef>
          </cat>
          <val>
            <numRef>
              <f>'Chart Data'!$C$5:$C$8</f>
            </numRef>
          </val>
        </ser>
        <dLbls>
          <txPr>
            <a:bodyPr/>
            <a:p>
              <a:pPr>
                <a:defRPr sz="900" b="1">
                  <a:solidFill>
                    <a:srgbClr val="15171F"/>
                  </a:solidFill>
                </a:defRPr>
              </a:pPr>
              <a:r>
                <a:t/>
              </a:r>
              <a:endParaRPr sz="900" b="1">
                <a:solidFill>
                  <a:srgbClr val="15171F"/>
                </a:solidFill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DEBF5"/>
              </a:solidFill>
            </a:defRPr>
          </a:pPr>
          <a:r>
            <a:t/>
          </a:r>
          <a:endParaRPr sz="900" b="0">
            <a:solidFill>
              <a:srgbClr val="EDEBF5"/>
            </a:solidFill>
          </a:endParaRPr>
        </a:p>
      </txPr>
    </legend>
    <plotVisOnly val="0"/>
    <dispBlanksAs val="gap"/>
  </chart>
  <spPr>
    <a:solidFill>
      <a:srgbClr val="1E2130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'Chart Data'!C11</f>
            </strRef>
          </tx>
          <spPr>
            <a:solidFill>
              <a:srgbClr val="B18CFF"/>
            </a:solidFill>
            <a:ln>
              <a:noFill/>
              <a:prstDash val="solid"/>
            </a:ln>
          </spPr>
          <cat>
            <numRef>
              <f>'Chart Data'!$B$12:$B$20</f>
            </numRef>
          </cat>
          <val>
            <numRef>
              <f>'Chart Data'!$C$12:$C$20</f>
            </numRef>
          </val>
        </ser>
        <ser>
          <idx val="1"/>
          <order val="1"/>
          <tx>
            <strRef>
              <f>'Chart Data'!D11</f>
            </strRef>
          </tx>
          <spPr>
            <a:solidFill>
              <a:srgbClr val="5FD38D"/>
            </a:solidFill>
            <a:ln>
              <a:noFill/>
              <a:prstDash val="solid"/>
            </a:ln>
          </spPr>
          <cat>
            <numRef>
              <f>'Chart Data'!$B$12:$B$20</f>
            </numRef>
          </cat>
          <val>
            <numRef>
              <f>'Chart Data'!$D$12:$D$20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3384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A98AE"/>
                </a:solidFill>
              </a:defRPr>
            </a:pPr>
            <a:r>
              <a:t/>
            </a:r>
            <a:endParaRPr sz="800" b="0">
              <a:solidFill>
                <a:srgbClr val="9A98AE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33384F"/>
              </a:solidFill>
              <a:prstDash val="solid"/>
            </a:ln>
          </spPr>
        </majorGridlines>
        <numFmt formatCode="$#,##0" sourceLinked="0"/>
        <majorTickMark val="none"/>
        <minorTickMark val="none"/>
        <spPr>
          <a:ln>
            <a:solidFill>
              <a:srgbClr val="33384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A98AE"/>
                </a:solidFill>
              </a:defRPr>
            </a:pPr>
            <a:r>
              <a:t/>
            </a:r>
            <a:endParaRPr sz="800" b="0">
              <a:solidFill>
                <a:srgbClr val="9A98AE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DEBF5"/>
              </a:solidFill>
            </a:defRPr>
          </a:pPr>
          <a:r>
            <a:t/>
          </a:r>
          <a:endParaRPr sz="900" b="0">
            <a:solidFill>
              <a:srgbClr val="EDEBF5"/>
            </a:solidFill>
          </a:endParaRPr>
        </a:p>
      </txPr>
    </legend>
    <plotVisOnly val="0"/>
    <dispBlanksAs val="gap"/>
  </chart>
  <spPr>
    <a:solidFill>
      <a:srgbClr val="1E2130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'Chart Data'!C23</f>
            </strRef>
          </tx>
          <spPr>
            <a:solidFill>
              <a:srgbClr val="F08A4B"/>
            </a:solidFill>
            <a:ln>
              <a:noFill/>
              <a:prstDash val="solid"/>
            </a:ln>
          </spPr>
          <cat>
            <numRef>
              <f>'Chart Data'!$B$24:$B$31</f>
            </numRef>
          </cat>
          <val>
            <numRef>
              <f>'Chart Data'!$C$24:$C$31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3384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A98AE"/>
                </a:solidFill>
              </a:defRPr>
            </a:pPr>
            <a:r>
              <a:t/>
            </a:r>
            <a:endParaRPr sz="800" b="0">
              <a:solidFill>
                <a:srgbClr val="9A98AE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33384F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solidFill>
              <a:srgbClr val="33384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A98AE"/>
                </a:solidFill>
              </a:defRPr>
            </a:pPr>
            <a:r>
              <a:t/>
            </a:r>
            <a:endParaRPr sz="800" b="0">
              <a:solidFill>
                <a:srgbClr val="9A98AE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E2130"/>
    </a:solidFill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CheckMaybe</author>
  </authors>
  <commentList>
    <comment ref="J5" authorId="0" shapeId="0">
      <text>
        <t>Stated APR if you entered one. Otherwise worked out with RATE() from original amount, monthly payment and number of payments. An estimate: fees charged separately are not included. Your contract is the final word.</t>
      </text>
    </comment>
  </commentList>
</comments>
</file>

<file path=xl/comments/comment2.xml><?xml version="1.0" encoding="utf-8"?>
<comments xmlns="http://schemas.openxmlformats.org/spreadsheetml/2006/main">
  <authors>
    <author>CheckMaybe</author>
  </authors>
  <commentList>
    <comment ref="I5" authorId="0" shapeId="0">
      <text>
        <t>Tick (Yes) anything you plan to cancel. The Dashboard shows what you'd save in a year.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13</row>
      <rowOff>0</rowOff>
    </from>
    <ext cx="4644000" cy="23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27</row>
      <rowOff>0</rowOff>
    </from>
    <ext cx="4644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44</row>
      <rowOff>0</rowOff>
    </from>
    <ext cx="4644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F08A4B"/>
    <outlinePr summaryBelow="1" summaryRight="1"/>
    <pageSetUpPr/>
  </sheetPr>
  <dimension ref="A1:K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8" customWidth="1" min="9" max="9"/>
    <col width="2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4" customHeight="1">
      <c r="A2" s="1" t="n"/>
      <c r="B2" s="2" t="inlineStr">
        <is>
          <t>HIDDEN COST TRACKER</t>
        </is>
      </c>
      <c r="C2" s="1" t="n"/>
      <c r="D2" s="1" t="n"/>
      <c r="E2" s="1" t="n"/>
      <c r="F2" s="1" t="n"/>
      <c r="G2" s="1" t="n"/>
      <c r="H2" s="3" t="inlineStr">
        <is>
          <t>TODAY</t>
        </is>
      </c>
      <c r="I2" s="4" t="n"/>
      <c r="J2" s="1" t="n"/>
      <c r="K2" s="1" t="n"/>
    </row>
    <row r="3">
      <c r="A3" s="1" t="n"/>
      <c r="B3" s="5" t="inlineStr">
        <is>
          <t>What your debts, installments and subscriptions really cost you.</t>
        </is>
      </c>
      <c r="C3" s="1" t="n"/>
      <c r="D3" s="1" t="n"/>
      <c r="E3" s="1" t="n"/>
      <c r="F3" s="1" t="n"/>
      <c r="G3" s="1" t="n"/>
      <c r="H3" s="6">
        <f>Settings!$C$9</f>
        <v/>
      </c>
      <c r="I3" s="7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20" customHeight="1">
      <c r="A5" s="1" t="n"/>
      <c r="B5" s="8" t="inlineStr">
        <is>
          <t>MONTHLY INCOME</t>
        </is>
      </c>
      <c r="C5" s="4" t="n"/>
      <c r="D5" s="8" t="inlineStr">
        <is>
          <t>COMMITTED EACH MONTH</t>
        </is>
      </c>
      <c r="E5" s="4" t="n"/>
      <c r="F5" s="8" t="inlineStr">
        <is>
          <t>SHARE OF INCOME COMMITTED</t>
        </is>
      </c>
      <c r="G5" s="4" t="n"/>
      <c r="H5" s="8" t="inlineStr">
        <is>
          <t>LEFT OVER EACH MONTH</t>
        </is>
      </c>
      <c r="I5" s="4" t="n"/>
      <c r="J5" s="1" t="n"/>
      <c r="K5" s="1" t="n"/>
    </row>
    <row r="6" ht="32" customHeight="1">
      <c r="A6" s="1" t="n"/>
      <c r="B6" s="9">
        <f>$C$40</f>
        <v/>
      </c>
      <c r="C6" s="10" t="n"/>
      <c r="D6" s="11">
        <f>$C$44</f>
        <v/>
      </c>
      <c r="E6" s="10" t="n"/>
      <c r="F6" s="12">
        <f>IF($C$40&gt;0,$C$44/$C$40,0)</f>
        <v/>
      </c>
      <c r="G6" s="10" t="n"/>
      <c r="H6" s="13">
        <f>$C$45</f>
        <v/>
      </c>
      <c r="I6" s="10" t="n"/>
      <c r="J6" s="1" t="n"/>
      <c r="K6" s="1" t="n"/>
    </row>
    <row r="7" ht="20" customHeight="1">
      <c r="A7" s="1" t="n"/>
      <c r="B7" s="14" t="inlineStr">
        <is>
          <t>take-home · change it in Settings</t>
        </is>
      </c>
      <c r="C7" s="7" t="n"/>
      <c r="D7" s="14">
        <f>TEXT(($C$41+$C$42),"$#,##0")&amp;" debts + "&amp;TEXT($C$43,"$#,##0")&amp;" subscriptions"</f>
        <v/>
      </c>
      <c r="E7" s="7" t="n"/>
      <c r="F7" s="14">
        <f>"of every $1 you earn, "&amp;TEXT(IF($C$40&gt;0,$C$44/$C$40,0)*100,"0")&amp;"¢ is already spoken for"</f>
        <v/>
      </c>
      <c r="G7" s="7" t="n"/>
      <c r="H7" s="14" t="inlineStr">
        <is>
          <t>after debts &amp; subscriptions</t>
        </is>
      </c>
      <c r="I7" s="7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0" customHeight="1">
      <c r="A9" s="1" t="n"/>
      <c r="B9" s="8" t="inlineStr">
        <is>
          <t>HIGHEST REAL APR</t>
        </is>
      </c>
      <c r="C9" s="4" t="n"/>
      <c r="D9" s="8" t="inlineStr">
        <is>
          <t>INTEREST STILL TO PAY</t>
        </is>
      </c>
      <c r="E9" s="4" t="n"/>
      <c r="F9" s="8" t="inlineStr">
        <is>
          <t>FREE TRIALS ENDING SOON</t>
        </is>
      </c>
      <c r="G9" s="4" t="n"/>
      <c r="H9" s="8" t="inlineStr">
        <is>
          <t>YEARLY SAVINGS IF YOU CANCEL</t>
        </is>
      </c>
      <c r="I9" s="4" t="n"/>
      <c r="J9" s="1" t="n"/>
      <c r="K9" s="1" t="n"/>
    </row>
    <row r="10" ht="32" customHeight="1">
      <c r="A10" s="1" t="n"/>
      <c r="B10" s="15">
        <f>IF(COUNT('Debts &amp; Installments'!$J$6:$J$25)=0,"",MAX('Debts &amp; Installments'!$J$6:$J$25))</f>
        <v/>
      </c>
      <c r="C10" s="10" t="n"/>
      <c r="D10" s="16">
        <f>SUM('Debts &amp; Installments'!$N$6:$N$25)</f>
        <v/>
      </c>
      <c r="E10" s="10" t="n"/>
      <c r="F10" s="17">
        <f>COUNTIF(Subscriptions!$R$6:$R$35,"Cancel soon?")</f>
        <v/>
      </c>
      <c r="G10" s="10" t="n"/>
      <c r="H10" s="13">
        <f>SUMIFS(Subscriptions!$M$6:$M$35,Subscriptions!$I$6:$I$35,"Yes")</f>
        <v/>
      </c>
      <c r="I10" s="10" t="n"/>
      <c r="J10" s="1" t="n"/>
      <c r="K10" s="1" t="n"/>
    </row>
    <row r="11" ht="20" customHeight="1">
      <c r="A11" s="1" t="n"/>
      <c r="B11" s="14">
        <f>IF(COUNT('Debts &amp; Installments'!$J$6:$J$25)=0,"add a debt to see it",'Chart Data'!$B$24&amp;"  ·  "&amp;COUNTIF('Debts &amp; Installments'!$R$6:$R$25,"HIGH")&amp;" flagged HIGH")</f>
        <v/>
      </c>
      <c r="C11" s="7" t="n"/>
      <c r="D11" s="14">
        <f>COUNT('Debts &amp; Installments'!$J$6:$J$25)&amp;" debts  ·  debt-free "&amp;IF(COUNT('Debts &amp; Installments'!$O$6:$O$25)=0,"-",TEXT(MAX('Debts &amp; Installments'!$O$6:$O$25),"mmm yyyy"))</f>
        <v/>
      </c>
      <c r="E11" s="7" t="n"/>
      <c r="F11" s="14">
        <f>IF(COUNT(Subscriptions!$U$6:$U$35)=0,"no open free trials","first cancel-by: "&amp;TEXT(Settings!$C$9+INT(SMALL(Subscriptions!$U$6:$U$35,1)),"mmm d"))</f>
        <v/>
      </c>
      <c r="G11" s="7" t="n"/>
      <c r="H11" s="14">
        <f>COUNTIF(Subscriptions!$I$6:$I$35,"Yes")&amp;" subscriptions ticked Cancel it?"</f>
        <v/>
      </c>
      <c r="I11" s="7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8" t="inlineStr">
        <is>
          <t>COMING UP  ·  NEXT CHARGES</t>
        </is>
      </c>
      <c r="C13" s="1" t="n"/>
      <c r="D13" s="1" t="n"/>
      <c r="E13" s="1" t="n"/>
      <c r="F13" s="19" t="inlineStr">
        <is>
          <t>WHERE EACH MONTH'S INCOME GOES</t>
        </is>
      </c>
      <c r="G13" s="1" t="n"/>
      <c r="H13" s="1" t="n"/>
      <c r="I13" s="1" t="n"/>
      <c r="J13" s="1" t="n"/>
      <c r="K13" s="1" t="n"/>
    </row>
    <row r="14" ht="24" customHeight="1">
      <c r="A14" s="1" t="n"/>
      <c r="B14" s="20" t="inlineStr">
        <is>
          <t>SUBSCRIPTION</t>
        </is>
      </c>
      <c r="C14" s="20" t="inlineStr">
        <is>
          <t>AMOUNT</t>
        </is>
      </c>
      <c r="D14" s="20" t="inlineStr">
        <is>
          <t>DATE</t>
        </is>
      </c>
      <c r="E14" s="20" t="inlineStr">
        <is>
          <t>DUE IN</t>
        </is>
      </c>
      <c r="F14" s="1" t="n"/>
      <c r="G14" s="1" t="n"/>
      <c r="H14" s="1" t="n"/>
      <c r="I14" s="1" t="n"/>
      <c r="J14" s="1" t="n"/>
      <c r="K14" s="1" t="n"/>
    </row>
    <row r="15" ht="21" customHeight="1">
      <c r="A15" s="1" t="n"/>
      <c r="B15" s="21">
        <f>IFERROR(INDEX(Subscriptions!$B$6:$B$35,MATCH(SMALL(Subscriptions!$S$6:$S$35,1),Subscriptions!$S$6:$S$35,0)),"")</f>
        <v/>
      </c>
      <c r="C15" s="22">
        <f>IFERROR(INDEX(Subscriptions!$D$6:$D$35,MATCH(SMALL(Subscriptions!$S$6:$S$35,1),Subscriptions!$S$6:$S$35,0)),"")</f>
        <v/>
      </c>
      <c r="D15" s="23">
        <f>IFERROR(INDEX(Subscriptions!$N$6:$N$35,MATCH(SMALL(Subscriptions!$S$6:$S$35,1),Subscriptions!$S$6:$S$35,0)),"")</f>
        <v/>
      </c>
      <c r="E15" s="24">
        <f>IFERROR(INDEX(Subscriptions!$O$6:$O$35,MATCH(SMALL(Subscriptions!$S$6:$S$35,1),Subscriptions!$S$6:$S$35,0)),"")</f>
        <v/>
      </c>
      <c r="F15" s="1" t="n"/>
      <c r="G15" s="1" t="n"/>
      <c r="H15" s="1" t="n"/>
      <c r="I15" s="1" t="n"/>
      <c r="J15" s="1" t="n"/>
      <c r="K15" s="1" t="n"/>
    </row>
    <row r="16" ht="21" customHeight="1">
      <c r="A16" s="1" t="n"/>
      <c r="B16" s="25">
        <f>IFERROR(INDEX(Subscriptions!$B$6:$B$35,MATCH(SMALL(Subscriptions!$S$6:$S$35,2),Subscriptions!$S$6:$S$35,0)),"")</f>
        <v/>
      </c>
      <c r="C16" s="26">
        <f>IFERROR(INDEX(Subscriptions!$D$6:$D$35,MATCH(SMALL(Subscriptions!$S$6:$S$35,2),Subscriptions!$S$6:$S$35,0)),"")</f>
        <v/>
      </c>
      <c r="D16" s="27">
        <f>IFERROR(INDEX(Subscriptions!$N$6:$N$35,MATCH(SMALL(Subscriptions!$S$6:$S$35,2),Subscriptions!$S$6:$S$35,0)),"")</f>
        <v/>
      </c>
      <c r="E16" s="28">
        <f>IFERROR(INDEX(Subscriptions!$O$6:$O$35,MATCH(SMALL(Subscriptions!$S$6:$S$35,2),Subscriptions!$S$6:$S$35,0)),"")</f>
        <v/>
      </c>
      <c r="F16" s="1" t="n"/>
      <c r="G16" s="1" t="n"/>
      <c r="H16" s="1" t="n"/>
      <c r="I16" s="1" t="n"/>
      <c r="J16" s="1" t="n"/>
      <c r="K16" s="1" t="n"/>
    </row>
    <row r="17" ht="21" customHeight="1">
      <c r="A17" s="1" t="n"/>
      <c r="B17" s="21">
        <f>IFERROR(INDEX(Subscriptions!$B$6:$B$35,MATCH(SMALL(Subscriptions!$S$6:$S$35,3),Subscriptions!$S$6:$S$35,0)),"")</f>
        <v/>
      </c>
      <c r="C17" s="22">
        <f>IFERROR(INDEX(Subscriptions!$D$6:$D$35,MATCH(SMALL(Subscriptions!$S$6:$S$35,3),Subscriptions!$S$6:$S$35,0)),"")</f>
        <v/>
      </c>
      <c r="D17" s="23">
        <f>IFERROR(INDEX(Subscriptions!$N$6:$N$35,MATCH(SMALL(Subscriptions!$S$6:$S$35,3),Subscriptions!$S$6:$S$35,0)),"")</f>
        <v/>
      </c>
      <c r="E17" s="24">
        <f>IFERROR(INDEX(Subscriptions!$O$6:$O$35,MATCH(SMALL(Subscriptions!$S$6:$S$35,3),Subscriptions!$S$6:$S$35,0)),"")</f>
        <v/>
      </c>
      <c r="F17" s="1" t="n"/>
      <c r="G17" s="1" t="n"/>
      <c r="H17" s="1" t="n"/>
      <c r="I17" s="1" t="n"/>
      <c r="J17" s="1" t="n"/>
      <c r="K17" s="1" t="n"/>
    </row>
    <row r="18" ht="21" customHeight="1">
      <c r="A18" s="1" t="n"/>
      <c r="B18" s="25">
        <f>IFERROR(INDEX(Subscriptions!$B$6:$B$35,MATCH(SMALL(Subscriptions!$S$6:$S$35,4),Subscriptions!$S$6:$S$35,0)),"")</f>
        <v/>
      </c>
      <c r="C18" s="26">
        <f>IFERROR(INDEX(Subscriptions!$D$6:$D$35,MATCH(SMALL(Subscriptions!$S$6:$S$35,4),Subscriptions!$S$6:$S$35,0)),"")</f>
        <v/>
      </c>
      <c r="D18" s="27">
        <f>IFERROR(INDEX(Subscriptions!$N$6:$N$35,MATCH(SMALL(Subscriptions!$S$6:$S$35,4),Subscriptions!$S$6:$S$35,0)),"")</f>
        <v/>
      </c>
      <c r="E18" s="28">
        <f>IFERROR(INDEX(Subscriptions!$O$6:$O$35,MATCH(SMALL(Subscriptions!$S$6:$S$35,4),Subscriptions!$S$6:$S$35,0)),"")</f>
        <v/>
      </c>
      <c r="F18" s="1" t="n"/>
      <c r="G18" s="1" t="n"/>
      <c r="H18" s="1" t="n"/>
      <c r="I18" s="1" t="n"/>
      <c r="J18" s="1" t="n"/>
      <c r="K18" s="1" t="n"/>
    </row>
    <row r="19" ht="21" customHeight="1">
      <c r="A19" s="1" t="n"/>
      <c r="B19" s="21">
        <f>IFERROR(INDEX(Subscriptions!$B$6:$B$35,MATCH(SMALL(Subscriptions!$S$6:$S$35,5),Subscriptions!$S$6:$S$35,0)),"")</f>
        <v/>
      </c>
      <c r="C19" s="22">
        <f>IFERROR(INDEX(Subscriptions!$D$6:$D$35,MATCH(SMALL(Subscriptions!$S$6:$S$35,5),Subscriptions!$S$6:$S$35,0)),"")</f>
        <v/>
      </c>
      <c r="D19" s="23">
        <f>IFERROR(INDEX(Subscriptions!$N$6:$N$35,MATCH(SMALL(Subscriptions!$S$6:$S$35,5),Subscriptions!$S$6:$S$35,0)),"")</f>
        <v/>
      </c>
      <c r="E19" s="24">
        <f>IFERROR(INDEX(Subscriptions!$O$6:$O$35,MATCH(SMALL(Subscriptions!$S$6:$S$35,5),Subscriptions!$S$6:$S$35,0)),"")</f>
        <v/>
      </c>
      <c r="F19" s="1" t="n"/>
      <c r="G19" s="1" t="n"/>
      <c r="H19" s="1" t="n"/>
      <c r="I19" s="1" t="n"/>
      <c r="J19" s="1" t="n"/>
      <c r="K19" s="1" t="n"/>
    </row>
    <row r="20" ht="21" customHeight="1">
      <c r="A20" s="1" t="n"/>
      <c r="B20" s="25">
        <f>IFERROR(INDEX(Subscriptions!$B$6:$B$35,MATCH(SMALL(Subscriptions!$S$6:$S$35,6),Subscriptions!$S$6:$S$35,0)),"")</f>
        <v/>
      </c>
      <c r="C20" s="26">
        <f>IFERROR(INDEX(Subscriptions!$D$6:$D$35,MATCH(SMALL(Subscriptions!$S$6:$S$35,6),Subscriptions!$S$6:$S$35,0)),"")</f>
        <v/>
      </c>
      <c r="D20" s="27">
        <f>IFERROR(INDEX(Subscriptions!$N$6:$N$35,MATCH(SMALL(Subscriptions!$S$6:$S$35,6),Subscriptions!$S$6:$S$35,0)),"")</f>
        <v/>
      </c>
      <c r="E20" s="28">
        <f>IFERROR(INDEX(Subscriptions!$O$6:$O$35,MATCH(SMALL(Subscriptions!$S$6:$S$35,6),Subscriptions!$S$6:$S$35,0)),"")</f>
        <v/>
      </c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29" t="inlineStr">
        <is>
          <t>FREE TRIALS  ·  CANCEL BEFORE YOU'RE CHARGED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24" customHeight="1">
      <c r="A23" s="1" t="n"/>
      <c r="B23" s="30" t="inlineStr">
        <is>
          <t>FREE TRIAL</t>
        </is>
      </c>
      <c r="C23" s="30" t="inlineStr">
        <is>
          <t>THEN COSTS</t>
        </is>
      </c>
      <c r="D23" s="30" t="inlineStr">
        <is>
          <t>CANCEL BY</t>
        </is>
      </c>
      <c r="E23" s="30" t="inlineStr">
        <is>
          <t>DAYS LEFT</t>
        </is>
      </c>
      <c r="F23" s="1" t="n"/>
      <c r="G23" s="1" t="n"/>
      <c r="H23" s="1" t="n"/>
      <c r="I23" s="1" t="n"/>
      <c r="J23" s="1" t="n"/>
      <c r="K23" s="1" t="n"/>
    </row>
    <row r="24" ht="21" customHeight="1">
      <c r="A24" s="1" t="n"/>
      <c r="B24" s="21">
        <f>IFERROR(INDEX(Subscriptions!$B$6:$B$35,MATCH(SMALL(Subscriptions!$U$6:$U$35,1),Subscriptions!$U$6:$U$35,0)),"")</f>
        <v/>
      </c>
      <c r="C24" s="22">
        <f>IFERROR(INDEX(Subscriptions!$D$6:$D$35,MATCH(SMALL(Subscriptions!$U$6:$U$35,1),Subscriptions!$U$6:$U$35,0)),"")</f>
        <v/>
      </c>
      <c r="D24" s="23">
        <f>IFERROR(INDEX(Subscriptions!$P$6:$P$35,MATCH(SMALL(Subscriptions!$U$6:$U$35,1),Subscriptions!$U$6:$U$35,0)),"")</f>
        <v/>
      </c>
      <c r="E24" s="24">
        <f>IFERROR(INDEX(Subscriptions!$Q$6:$Q$35,MATCH(SMALL(Subscriptions!$U$6:$U$35,1),Subscriptions!$U$6:$U$35,0)),"")</f>
        <v/>
      </c>
      <c r="F24" s="1" t="n"/>
      <c r="G24" s="1" t="n"/>
      <c r="H24" s="1" t="n"/>
      <c r="I24" s="1" t="n"/>
      <c r="J24" s="1" t="n"/>
      <c r="K24" s="1" t="n"/>
    </row>
    <row r="25" ht="21" customHeight="1">
      <c r="A25" s="1" t="n"/>
      <c r="B25" s="25">
        <f>IFERROR(INDEX(Subscriptions!$B$6:$B$35,MATCH(SMALL(Subscriptions!$U$6:$U$35,2),Subscriptions!$U$6:$U$35,0)),"")</f>
        <v/>
      </c>
      <c r="C25" s="26">
        <f>IFERROR(INDEX(Subscriptions!$D$6:$D$35,MATCH(SMALL(Subscriptions!$U$6:$U$35,2),Subscriptions!$U$6:$U$35,0)),"")</f>
        <v/>
      </c>
      <c r="D25" s="27">
        <f>IFERROR(INDEX(Subscriptions!$P$6:$P$35,MATCH(SMALL(Subscriptions!$U$6:$U$35,2),Subscriptions!$U$6:$U$35,0)),"")</f>
        <v/>
      </c>
      <c r="E25" s="28">
        <f>IFERROR(INDEX(Subscriptions!$Q$6:$Q$35,MATCH(SMALL(Subscriptions!$U$6:$U$35,2),Subscriptions!$U$6:$U$35,0)),"")</f>
        <v/>
      </c>
      <c r="F25" s="1" t="n"/>
      <c r="G25" s="1" t="n"/>
      <c r="H25" s="1" t="n"/>
      <c r="I25" s="1" t="n"/>
      <c r="J25" s="1" t="n"/>
      <c r="K25" s="1" t="n"/>
    </row>
    <row r="26" ht="21" customHeight="1">
      <c r="A26" s="1" t="n"/>
      <c r="B26" s="21">
        <f>IFERROR(INDEX(Subscriptions!$B$6:$B$35,MATCH(SMALL(Subscriptions!$U$6:$U$35,3),Subscriptions!$U$6:$U$35,0)),"")</f>
        <v/>
      </c>
      <c r="C26" s="22">
        <f>IFERROR(INDEX(Subscriptions!$D$6:$D$35,MATCH(SMALL(Subscriptions!$U$6:$U$35,3),Subscriptions!$U$6:$U$35,0)),"")</f>
        <v/>
      </c>
      <c r="D26" s="23">
        <f>IFERROR(INDEX(Subscriptions!$P$6:$P$35,MATCH(SMALL(Subscriptions!$U$6:$U$35,3),Subscriptions!$U$6:$U$35,0)),"")</f>
        <v/>
      </c>
      <c r="E26" s="24">
        <f>IFERROR(INDEX(Subscriptions!$Q$6:$Q$35,MATCH(SMALL(Subscriptions!$U$6:$U$35,3),Subscriptions!$U$6:$U$35,0)),"")</f>
        <v/>
      </c>
      <c r="F26" s="1" t="n"/>
      <c r="G26" s="1" t="n"/>
      <c r="H26" s="1" t="n"/>
      <c r="I26" s="1" t="n"/>
      <c r="J26" s="1" t="n"/>
      <c r="K26" s="1" t="n"/>
    </row>
    <row r="27" ht="21" customHeight="1">
      <c r="A27" s="1" t="n"/>
      <c r="B27" s="25">
        <f>IFERROR(INDEX(Subscriptions!$B$6:$B$35,MATCH(SMALL(Subscriptions!$U$6:$U$35,4),Subscriptions!$U$6:$U$35,0)),"")</f>
        <v/>
      </c>
      <c r="C27" s="26">
        <f>IFERROR(INDEX(Subscriptions!$D$6:$D$35,MATCH(SMALL(Subscriptions!$U$6:$U$35,4),Subscriptions!$U$6:$U$35,0)),"")</f>
        <v/>
      </c>
      <c r="D27" s="27">
        <f>IFERROR(INDEX(Subscriptions!$P$6:$P$35,MATCH(SMALL(Subscriptions!$U$6:$U$35,4),Subscriptions!$U$6:$U$35,0)),"")</f>
        <v/>
      </c>
      <c r="E27" s="28">
        <f>IFERROR(INDEX(Subscriptions!$Q$6:$Q$35,MATCH(SMALL(Subscriptions!$U$6:$U$35,4),Subscriptions!$U$6:$U$35,0)),"")</f>
        <v/>
      </c>
      <c r="F27" s="31" t="inlineStr">
        <is>
          <t>SPEND VS SAVINGS (YEARLY)</t>
        </is>
      </c>
      <c r="G27" s="1" t="n"/>
      <c r="H27" s="32" t="inlineStr">
        <is>
          <t>VIEW  ▸</t>
        </is>
      </c>
      <c r="I27" s="33" t="inlineStr">
        <is>
          <t>By category</t>
        </is>
      </c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34" t="inlineStr">
        <is>
          <t>DEBTS  ·  PAY EXTRA ON #1 FIRST (HIGHEST REAL APR)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24" customHeight="1">
      <c r="A30" s="1" t="n"/>
      <c r="B30" s="35" t="inlineStr">
        <is>
          <t>DEBT</t>
        </is>
      </c>
      <c r="C30" s="35" t="inlineStr">
        <is>
          <t>REAL APR</t>
        </is>
      </c>
      <c r="D30" s="35" t="inlineStr">
        <is>
          <t>FLAG</t>
        </is>
      </c>
      <c r="E30" s="35" t="inlineStr">
        <is>
          <t>INTEREST LEFT</t>
        </is>
      </c>
      <c r="F30" s="1" t="n"/>
      <c r="G30" s="1" t="n"/>
      <c r="H30" s="1" t="n"/>
      <c r="I30" s="1" t="n"/>
      <c r="J30" s="1" t="n"/>
      <c r="K30" s="1" t="n"/>
    </row>
    <row r="31" ht="21" customHeight="1">
      <c r="A31" s="1" t="n"/>
      <c r="B31" s="21">
        <f>'Chart Data'!B24</f>
        <v/>
      </c>
      <c r="C31" s="36">
        <f>'Chart Data'!C24</f>
        <v/>
      </c>
      <c r="D31" s="37">
        <f>'Chart Data'!D24</f>
        <v/>
      </c>
      <c r="E31" s="22">
        <f>'Chart Data'!E24</f>
        <v/>
      </c>
      <c r="F31" s="1" t="n"/>
      <c r="G31" s="1" t="n"/>
      <c r="H31" s="1" t="n"/>
      <c r="I31" s="1" t="n"/>
      <c r="J31" s="1" t="n"/>
      <c r="K31" s="1" t="n"/>
    </row>
    <row r="32" ht="21" customHeight="1">
      <c r="A32" s="1" t="n"/>
      <c r="B32" s="25">
        <f>'Chart Data'!B25</f>
        <v/>
      </c>
      <c r="C32" s="38">
        <f>'Chart Data'!C25</f>
        <v/>
      </c>
      <c r="D32" s="39">
        <f>'Chart Data'!D25</f>
        <v/>
      </c>
      <c r="E32" s="26">
        <f>'Chart Data'!E25</f>
        <v/>
      </c>
      <c r="F32" s="1" t="n"/>
      <c r="G32" s="1" t="n"/>
      <c r="H32" s="1" t="n"/>
      <c r="I32" s="1" t="n"/>
      <c r="J32" s="1" t="n"/>
      <c r="K32" s="1" t="n"/>
    </row>
    <row r="33" ht="21" customHeight="1">
      <c r="A33" s="1" t="n"/>
      <c r="B33" s="21">
        <f>'Chart Data'!B26</f>
        <v/>
      </c>
      <c r="C33" s="36">
        <f>'Chart Data'!C26</f>
        <v/>
      </c>
      <c r="D33" s="37">
        <f>'Chart Data'!D26</f>
        <v/>
      </c>
      <c r="E33" s="22">
        <f>'Chart Data'!E26</f>
        <v/>
      </c>
      <c r="F33" s="1" t="n"/>
      <c r="G33" s="1" t="n"/>
      <c r="H33" s="1" t="n"/>
      <c r="I33" s="1" t="n"/>
      <c r="J33" s="1" t="n"/>
      <c r="K33" s="1" t="n"/>
    </row>
    <row r="34" ht="21" customHeight="1">
      <c r="A34" s="1" t="n"/>
      <c r="B34" s="25">
        <f>'Chart Data'!B27</f>
        <v/>
      </c>
      <c r="C34" s="38">
        <f>'Chart Data'!C27</f>
        <v/>
      </c>
      <c r="D34" s="39">
        <f>'Chart Data'!D27</f>
        <v/>
      </c>
      <c r="E34" s="26">
        <f>'Chart Data'!E27</f>
        <v/>
      </c>
      <c r="F34" s="1" t="n"/>
      <c r="G34" s="1" t="n"/>
      <c r="H34" s="1" t="n"/>
      <c r="I34" s="1" t="n"/>
      <c r="J34" s="1" t="n"/>
      <c r="K34" s="1" t="n"/>
    </row>
    <row r="35" ht="21" customHeight="1">
      <c r="A35" s="1" t="n"/>
      <c r="B35" s="21">
        <f>'Chart Data'!B28</f>
        <v/>
      </c>
      <c r="C35" s="36">
        <f>'Chart Data'!C28</f>
        <v/>
      </c>
      <c r="D35" s="37">
        <f>'Chart Data'!D28</f>
        <v/>
      </c>
      <c r="E35" s="22">
        <f>'Chart Data'!E28</f>
        <v/>
      </c>
      <c r="F35" s="1" t="n"/>
      <c r="G35" s="1" t="n"/>
      <c r="H35" s="1" t="n"/>
      <c r="I35" s="1" t="n"/>
      <c r="J35" s="1" t="n"/>
      <c r="K35" s="1" t="n"/>
    </row>
    <row r="36" ht="21" customHeight="1">
      <c r="A36" s="1" t="n"/>
      <c r="B36" s="25">
        <f>'Chart Data'!B29</f>
        <v/>
      </c>
      <c r="C36" s="38">
        <f>'Chart Data'!C29</f>
        <v/>
      </c>
      <c r="D36" s="39">
        <f>'Chart Data'!D29</f>
        <v/>
      </c>
      <c r="E36" s="26">
        <f>'Chart Data'!E29</f>
        <v/>
      </c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9" t="inlineStr">
        <is>
          <t>MONTHLY MONEY MAP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24" customHeight="1">
      <c r="A39" s="1" t="n"/>
      <c r="B39" s="40" t="inlineStr">
        <is>
          <t>WHERE THE MONEY GOES</t>
        </is>
      </c>
      <c r="C39" s="40" t="inlineStr">
        <is>
          <t>PER MONTH</t>
        </is>
      </c>
      <c r="D39" s="40" t="inlineStr">
        <is>
          <t>SHARE</t>
        </is>
      </c>
      <c r="E39" s="1" t="n"/>
      <c r="F39" s="1" t="n"/>
      <c r="G39" s="1" t="n"/>
      <c r="H39" s="1" t="n"/>
      <c r="I39" s="1" t="n"/>
      <c r="J39" s="1" t="n"/>
      <c r="K39" s="1" t="n"/>
    </row>
    <row r="40" ht="21" customHeight="1">
      <c r="A40" s="1" t="n"/>
      <c r="B40" s="41" t="inlineStr">
        <is>
          <t>Take-home income</t>
        </is>
      </c>
      <c r="C40" s="42">
        <f>Settings!$C$5</f>
        <v/>
      </c>
      <c r="D40" s="43" t="inlineStr"/>
      <c r="E40" s="1" t="n"/>
      <c r="F40" s="1" t="n"/>
      <c r="G40" s="1" t="n"/>
      <c r="H40" s="1" t="n"/>
      <c r="I40" s="1" t="n"/>
      <c r="J40" s="1" t="n"/>
      <c r="K40" s="1" t="n"/>
    </row>
    <row r="41" ht="21" customHeight="1">
      <c r="A41" s="1" t="n"/>
      <c r="B41" s="25" t="inlineStr">
        <is>
          <t>Loans &amp; cards</t>
        </is>
      </c>
      <c r="C41" s="26">
        <f>SUM('Debts &amp; Installments'!$E$6:$E$25)-SUMIFS('Debts &amp; Installments'!$E$6:$E$25,'Debts &amp; Installments'!$C$6:$C$25,"Installment")-SUMIFS('Debts &amp; Installments'!$E$6:$E$25,'Debts &amp; Installments'!$C$6:$C$25,"BNPL")</f>
        <v/>
      </c>
      <c r="D41" s="44">
        <f>IF($C$40&gt;0,C41/$C$40,0)</f>
        <v/>
      </c>
      <c r="E41" s="1" t="n"/>
      <c r="F41" s="1" t="n"/>
      <c r="G41" s="1" t="n"/>
      <c r="H41" s="1" t="n"/>
      <c r="I41" s="1" t="n"/>
      <c r="J41" s="1" t="n"/>
      <c r="K41" s="1" t="n"/>
    </row>
    <row r="42" ht="21" customHeight="1">
      <c r="A42" s="1" t="n"/>
      <c r="B42" s="21" t="inlineStr">
        <is>
          <t>Installments &amp; BNPL</t>
        </is>
      </c>
      <c r="C42" s="22">
        <f>SUMIFS('Debts &amp; Installments'!$E$6:$E$25,'Debts &amp; Installments'!$C$6:$C$25,"Installment")+SUMIFS('Debts &amp; Installments'!$E$6:$E$25,'Debts &amp; Installments'!$C$6:$C$25,"BNPL")</f>
        <v/>
      </c>
      <c r="D42" s="45">
        <f>IF($C$40&gt;0,C42/$C$40,0)</f>
        <v/>
      </c>
      <c r="E42" s="1" t="n"/>
      <c r="F42" s="1" t="n"/>
      <c r="G42" s="1" t="n"/>
      <c r="H42" s="1" t="n"/>
      <c r="I42" s="1" t="n"/>
      <c r="J42" s="1" t="n"/>
      <c r="K42" s="1" t="n"/>
    </row>
    <row r="43" ht="21" customHeight="1">
      <c r="A43" s="1" t="n"/>
      <c r="B43" s="25" t="inlineStr">
        <is>
          <t>Subscriptions</t>
        </is>
      </c>
      <c r="C43" s="26">
        <f>SUM(Subscriptions!$L$6:$L$35)</f>
        <v/>
      </c>
      <c r="D43" s="44">
        <f>IF($C$40&gt;0,C43/$C$40,0)</f>
        <v/>
      </c>
      <c r="E43" s="1" t="n"/>
      <c r="F43" s="1" t="n"/>
      <c r="G43" s="1" t="n"/>
      <c r="H43" s="1" t="n"/>
      <c r="I43" s="1" t="n"/>
      <c r="J43" s="1" t="n"/>
      <c r="K43" s="1" t="n"/>
    </row>
    <row r="44" ht="21" customHeight="1">
      <c r="A44" s="1" t="n"/>
      <c r="B44" s="46" t="inlineStr">
        <is>
          <t>Committed before you spend a cent</t>
        </is>
      </c>
      <c r="C44" s="47">
        <f>SUM(C41:C43)</f>
        <v/>
      </c>
      <c r="D44" s="48">
        <f>IF($C$40&gt;0,C44/$C$40,0)</f>
        <v/>
      </c>
      <c r="E44" s="1" t="n"/>
      <c r="F44" s="34" t="inlineStr">
        <is>
          <t>REAL APR BY DEBT</t>
        </is>
      </c>
      <c r="G44" s="1" t="n"/>
      <c r="H44" s="1" t="n"/>
      <c r="I44" s="1" t="n"/>
      <c r="J44" s="1" t="n"/>
      <c r="K44" s="1" t="n"/>
    </row>
    <row r="45" ht="21" customHeight="1">
      <c r="A45" s="1" t="n"/>
      <c r="B45" s="49" t="inlineStr">
        <is>
          <t>Left for everything else</t>
        </is>
      </c>
      <c r="C45" s="50">
        <f>C40-C44</f>
        <v/>
      </c>
      <c r="D45" s="51">
        <f>IF($C$40&gt;0,C45/$C$40,0)</f>
        <v/>
      </c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52" t="inlineStr">
        <is>
          <t>WHAT THE FLAGS MEAN</t>
        </is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20" customHeight="1">
      <c r="A48" s="1" t="n"/>
      <c r="B48" s="53" t="inlineStr">
        <is>
          <t>HIGH</t>
        </is>
      </c>
      <c r="C48" s="54">
        <f>"Real APR at or above "&amp;TEXT(Settings!$C$6,"0%")&amp;". Pay these down first."</f>
        <v/>
      </c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20" customHeight="1">
      <c r="A49" s="1" t="n"/>
      <c r="B49" s="55" t="inlineStr">
        <is>
          <t>CHECK</t>
        </is>
      </c>
      <c r="C49" s="54">
        <f>"Real APR at or above "&amp;TEXT(Settings!$C$7,"0%")&amp;". Worth a look."</f>
        <v/>
      </c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20" customHeight="1">
      <c r="A50" s="1" t="n"/>
      <c r="B50" s="56" t="inlineStr">
        <is>
          <t>OK</t>
        </is>
      </c>
      <c r="C50" s="54">
        <f>"Lower-cost debt. Keep paying on time."</f>
        <v/>
      </c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57" t="inlineStr">
        <is>
          <t>Real APR is worked out from your payment schedule when a lender only shows a monthly price. 0% offers stay 0% only if every payment is on time.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57" t="inlineStr">
        <is>
          <t>Estimates only, not financial advice. Real APR is worked out from your payments and excludes fees charged separately; your contract is the final word. Example rows are made up.</t>
        </is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</sheetData>
  <mergeCells count="26">
    <mergeCell ref="F11:G11"/>
    <mergeCell ref="D10:E10"/>
    <mergeCell ref="B7:C7"/>
    <mergeCell ref="F10:G10"/>
    <mergeCell ref="H10:I10"/>
    <mergeCell ref="F6:G6"/>
    <mergeCell ref="H9:I9"/>
    <mergeCell ref="F7:G7"/>
    <mergeCell ref="D6:E6"/>
    <mergeCell ref="H6:I6"/>
    <mergeCell ref="B11:C11"/>
    <mergeCell ref="D11:E11"/>
    <mergeCell ref="F5:G5"/>
    <mergeCell ref="H11:I11"/>
    <mergeCell ref="H2:I2"/>
    <mergeCell ref="D7:E7"/>
    <mergeCell ref="H7:I7"/>
    <mergeCell ref="B10:C10"/>
    <mergeCell ref="B9:C9"/>
    <mergeCell ref="D9:E9"/>
    <mergeCell ref="F9:G9"/>
    <mergeCell ref="H3:I3"/>
    <mergeCell ref="B6:C6"/>
    <mergeCell ref="B5:C5"/>
    <mergeCell ref="D5:E5"/>
    <mergeCell ref="H5:I5"/>
  </mergeCells>
  <conditionalFormatting sqref="E15:E20">
    <cfRule type="expression" priority="1" dxfId="0">
      <formula>AND(ISNUMBER(E15),E15&lt;=Settings!$C$8)</formula>
    </cfRule>
  </conditionalFormatting>
  <conditionalFormatting sqref="E24:E27">
    <cfRule type="expression" priority="2" dxfId="1">
      <formula>AND(ISNUMBER(E24),E24&lt;=3)</formula>
    </cfRule>
    <cfRule type="expression" priority="3" dxfId="0">
      <formula>AND(ISNUMBER(E24),E24&lt;=Settings!$C$8)</formula>
    </cfRule>
  </conditionalFormatting>
  <conditionalFormatting sqref="D31:D36">
    <cfRule type="cellIs" priority="4" operator="equal" dxfId="1">
      <formula>"HIGH"</formula>
    </cfRule>
    <cfRule type="cellIs" priority="5" operator="equal" dxfId="0">
      <formula>"CHECK"</formula>
    </cfRule>
    <cfRule type="cellIs" priority="6" operator="equal" dxfId="2">
      <formula>"OK"</formula>
    </cfRule>
  </conditionalFormatting>
  <dataValidations count="1">
    <dataValidation sqref="I27" showDropDown="0" showInputMessage="0" showErrorMessage="0" allowBlank="1" type="list">
      <formula1>"By category,By subscription"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FC3C7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A1" s="1" t="n"/>
      <c r="B1" s="1" t="n"/>
      <c r="C1" s="1" t="n"/>
    </row>
    <row r="2" ht="30" customHeight="1">
      <c r="A2" s="1" t="n"/>
      <c r="B2" s="58" t="inlineStr">
        <is>
          <t>How to use</t>
        </is>
      </c>
      <c r="C2" s="1" t="n"/>
    </row>
    <row r="3">
      <c r="A3" s="1" t="n"/>
      <c r="B3" s="5" t="inlineStr">
        <is>
          <t>Five minutes to set up.</t>
        </is>
      </c>
      <c r="C3" s="1" t="n"/>
    </row>
    <row r="4">
      <c r="A4" s="1" t="n"/>
      <c r="B4" s="1" t="n"/>
      <c r="C4" s="1" t="n"/>
    </row>
    <row r="5">
      <c r="A5" s="1" t="n"/>
      <c r="B5" s="59" t="inlineStr">
        <is>
          <t>1. Settings: enter your monthly take-home income. Adjust the red/amber APR levels if you like (defaults 20% / 10%).</t>
        </is>
      </c>
      <c r="C5" s="1" t="n"/>
    </row>
    <row r="6">
      <c r="A6" s="1" t="n"/>
      <c r="B6" s="59" t="inlineStr">
        <is>
          <t>2. Debts &amp; Installments: one row per debt. BLUE-header columns are yours; ORANGE-header columns calculate themselves.</t>
        </is>
      </c>
      <c r="C6" s="1" t="n"/>
    </row>
    <row r="7">
      <c r="A7" s="1" t="n"/>
      <c r="B7" s="60" t="inlineStr">
        <is>
          <t xml:space="preserve">   • Installment / BNPL / store financing: enter Original amount, Monthly payment, Total payments and Payments made. Leave Stated APR empty: the Real APR is worked out for you.</t>
        </is>
      </c>
      <c r="C7" s="1" t="n"/>
    </row>
    <row r="8">
      <c r="A8" s="1" t="n"/>
      <c r="B8" s="60" t="inlineStr">
        <is>
          <t xml:space="preserve">   • Credit card / loan: enter Monthly payment, Stated APR and Balance now.</t>
        </is>
      </c>
      <c r="C8" s="1" t="n"/>
    </row>
    <row r="9">
      <c r="A9" s="1" t="n"/>
      <c r="B9" s="60" t="inlineStr">
        <is>
          <t xml:space="preserve">   • Family loan with no interest: enter 0% as the Stated APR.</t>
        </is>
      </c>
      <c r="C9" s="1" t="n"/>
    </row>
    <row r="10">
      <c r="A10" s="1" t="n"/>
      <c r="B10" s="59" t="inlineStr">
        <is>
          <t>3. Subscriptions: one row per subscription. Tick Cancel it? on anything you'd drop: the Dashboard shows the yearly saving.</t>
        </is>
      </c>
      <c r="C10" s="1" t="n"/>
    </row>
    <row r="11">
      <c r="A11" s="1" t="n"/>
      <c r="B11" s="60" t="inlineStr">
        <is>
          <t xml:space="preserve">   • Free trial? Tick Free trial? and enter Trial days. You get a 'cancel by' date and a countdown.</t>
        </is>
      </c>
      <c r="C11" s="1" t="n"/>
    </row>
    <row r="12">
      <c r="A12" s="1" t="n"/>
      <c r="B12" s="59" t="inlineStr">
        <is>
          <t>4. Dashboard: see what share of your income is committed before you spend anything, your highest-cost debt, and what's coming up.</t>
        </is>
      </c>
      <c r="C12" s="1" t="n"/>
    </row>
    <row r="13">
      <c r="A13" s="1" t="n"/>
      <c r="B13" s="60" t="inlineStr">
        <is>
          <t xml:space="preserve">   • Switch the spending chart between By category and By subscription with the VIEW box above it.</t>
        </is>
      </c>
      <c r="C13" s="1" t="n"/>
    </row>
    <row r="14">
      <c r="A14" s="1" t="n"/>
      <c r="B14" s="60" t="inlineStr">
        <is>
          <t xml:space="preserve">   • Use the filter buttons on each table's header row (or the filter bars above it in Google Sheets) to sort and filter.</t>
        </is>
      </c>
      <c r="C14" s="1" t="n"/>
    </row>
    <row r="15">
      <c r="A15" s="1" t="n"/>
      <c r="B15" s="60" t="inlineStr"/>
      <c r="C15" s="1" t="n"/>
    </row>
    <row r="16">
      <c r="A16" s="1" t="n"/>
      <c r="B16" s="60" t="inlineStr">
        <is>
          <t>Avalanche order = pay extra on #1 first (highest APR, saves the most interest). Snowball order = smallest balance first (quick wins).</t>
        </is>
      </c>
      <c r="C16" s="1" t="n"/>
    </row>
    <row r="17">
      <c r="A17" s="1" t="n"/>
      <c r="B17" s="60" t="inlineStr">
        <is>
          <t>The example rows are made up. Replace or delete them.</t>
        </is>
      </c>
      <c r="C17" s="1" t="n"/>
    </row>
    <row r="18">
      <c r="A18" s="1" t="n"/>
      <c r="B18" s="60" t="inlineStr"/>
      <c r="C18" s="1" t="n"/>
    </row>
    <row r="19">
      <c r="A19" s="1" t="n"/>
      <c r="B19" s="60" t="inlineStr">
        <is>
          <t>Estimates only. Not financial advice. The Real APR is an estimate from your payment schedule and does not include fees charged separately.</t>
        </is>
      </c>
      <c r="C19" s="1" t="n"/>
    </row>
    <row r="20">
      <c r="A20" s="1" t="n"/>
      <c r="B20" s="1" t="n"/>
      <c r="C20" s="1" t="n"/>
    </row>
    <row r="21">
      <c r="A21" s="1" t="n"/>
      <c r="B21" s="1" t="n"/>
      <c r="C21" s="1" t="n"/>
    </row>
    <row r="22">
      <c r="A22" s="1" t="n"/>
      <c r="B22" s="1" t="n"/>
      <c r="C22" s="1" t="n"/>
    </row>
    <row r="23">
      <c r="A23" s="1" t="n"/>
      <c r="B23" s="1" t="n"/>
      <c r="C23" s="1" t="n"/>
    </row>
    <row r="24">
      <c r="A24" s="1" t="n"/>
      <c r="B24" s="1" t="n"/>
      <c r="C24" s="1" t="n"/>
    </row>
    <row r="25">
      <c r="A25" s="1" t="n"/>
      <c r="B25" s="1" t="n"/>
      <c r="C25" s="1" t="n"/>
    </row>
    <row r="26">
      <c r="A26" s="1" t="n"/>
      <c r="B26" s="1" t="n"/>
      <c r="C26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A3F58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8" customWidth="1" min="4" max="4"/>
    <col width="16" customWidth="1" min="5" max="5"/>
    <col width="40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58" t="inlineStr">
        <is>
          <t>Settings</t>
        </is>
      </c>
      <c r="C2" s="1" t="n"/>
      <c r="D2" s="1" t="n"/>
      <c r="E2" s="1" t="n"/>
      <c r="F2" s="1" t="n"/>
      <c r="G2" s="1" t="n"/>
    </row>
    <row r="3">
      <c r="A3" s="1" t="n"/>
      <c r="B3" s="5" t="inlineStr">
        <is>
          <t>Blue-header cells are yours to edit.</t>
        </is>
      </c>
      <c r="C3" s="1" t="n"/>
      <c r="D3" s="1" t="n"/>
      <c r="E3" s="1" t="n"/>
      <c r="F3" s="1" t="n"/>
      <c r="G3" s="1" t="n"/>
    </row>
    <row r="4" ht="34" customHeight="1">
      <c r="A4" s="1" t="n"/>
      <c r="B4" s="61" t="inlineStr">
        <is>
          <t>SETTING</t>
        </is>
      </c>
      <c r="C4" s="61" t="inlineStr">
        <is>
          <t>VALUE</t>
        </is>
      </c>
      <c r="D4" s="62" t="inlineStr">
        <is>
          <t>WHAT IT DOES</t>
        </is>
      </c>
      <c r="E4" s="63" t="n"/>
      <c r="F4" s="64" t="n"/>
      <c r="G4" s="1" t="n"/>
    </row>
    <row r="5" ht="22" customHeight="1">
      <c r="A5" s="1" t="n"/>
      <c r="B5" s="21" t="inlineStr">
        <is>
          <t>Monthly take-home income</t>
        </is>
      </c>
      <c r="C5" s="65" t="n">
        <v>4200</v>
      </c>
      <c r="D5" s="66" t="inlineStr">
        <is>
          <t>Your income after tax, per month.</t>
        </is>
      </c>
      <c r="G5" s="1" t="n"/>
    </row>
    <row r="6" ht="22" customHeight="1">
      <c r="A6" s="1" t="n"/>
      <c r="B6" s="21" t="inlineStr">
        <is>
          <t>High-cost APR (red flag)</t>
        </is>
      </c>
      <c r="C6" s="67" t="n">
        <v>0.2</v>
      </c>
      <c r="D6" s="66" t="inlineStr">
        <is>
          <t>Any debt at or above this APR is flagged HIGH.</t>
        </is>
      </c>
      <c r="G6" s="1" t="n"/>
    </row>
    <row r="7" ht="22" customHeight="1">
      <c r="A7" s="1" t="n"/>
      <c r="B7" s="21" t="inlineStr">
        <is>
          <t>Check APR (amber flag)</t>
        </is>
      </c>
      <c r="C7" s="67" t="n">
        <v>0.1</v>
      </c>
      <c r="D7" s="66" t="inlineStr">
        <is>
          <t>At or above this APR is flagged CHECK.</t>
        </is>
      </c>
      <c r="G7" s="1" t="n"/>
    </row>
    <row r="8" ht="22" customHeight="1">
      <c r="A8" s="1" t="n"/>
      <c r="B8" s="21" t="inlineStr">
        <is>
          <t>Warn me this many days ahead</t>
        </is>
      </c>
      <c r="C8" s="68" t="n">
        <v>7</v>
      </c>
      <c r="D8" s="66" t="inlineStr">
        <is>
          <t>Trials and bills due within this many days are highlighted.</t>
        </is>
      </c>
      <c r="G8" s="1" t="n"/>
    </row>
    <row r="9" ht="22" customHeight="1">
      <c r="A9" s="1" t="n"/>
      <c r="B9" s="21" t="inlineStr">
        <is>
          <t>Today's date</t>
        </is>
      </c>
      <c r="C9" s="69">
        <f>TODAY()</f>
        <v/>
      </c>
      <c r="D9" s="66" t="inlineStr">
        <is>
          <t>Updates automatically. Every date calculation uses it.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 ht="34" customHeight="1">
      <c r="A12" s="1" t="n"/>
      <c r="B12" s="62" t="inlineStr">
        <is>
          <t>DEBT TYPES</t>
        </is>
      </c>
      <c r="C12" s="62" t="inlineStr">
        <is>
          <t>BILLING</t>
        </is>
      </c>
      <c r="D12" s="62" t="inlineStr">
        <is>
          <t>CATEGORIES</t>
        </is>
      </c>
      <c r="E12" s="62" t="inlineStr">
        <is>
          <t>PAID WITH</t>
        </is>
      </c>
      <c r="F12" s="1" t="n"/>
      <c r="G12" s="1" t="n"/>
    </row>
    <row r="13">
      <c r="A13" s="1" t="n"/>
      <c r="B13" s="70" t="inlineStr">
        <is>
          <t>Credit card</t>
        </is>
      </c>
      <c r="C13" s="70" t="inlineStr">
        <is>
          <t>Weekly</t>
        </is>
      </c>
      <c r="D13" s="70" t="inlineStr">
        <is>
          <t>Streaming</t>
        </is>
      </c>
      <c r="E13" s="70" t="inlineStr">
        <is>
          <t>Credit card</t>
        </is>
      </c>
      <c r="F13" s="66" t="inlineStr">
        <is>
          <t>Rename or add items here and the drop-downs follow.</t>
        </is>
      </c>
      <c r="G13" s="1" t="n"/>
    </row>
    <row r="14">
      <c r="A14" s="1" t="n"/>
      <c r="B14" s="71" t="inlineStr">
        <is>
          <t>Loan</t>
        </is>
      </c>
      <c r="C14" s="71" t="inlineStr">
        <is>
          <t>Monthly</t>
        </is>
      </c>
      <c r="D14" s="71" t="inlineStr">
        <is>
          <t>Software</t>
        </is>
      </c>
      <c r="E14" s="71" t="inlineStr">
        <is>
          <t>Debit card</t>
        </is>
      </c>
      <c r="F14" s="1" t="n"/>
      <c r="G14" s="1" t="n"/>
    </row>
    <row r="15">
      <c r="A15" s="1" t="n"/>
      <c r="B15" s="70" t="inlineStr">
        <is>
          <t>Installment</t>
        </is>
      </c>
      <c r="C15" s="70" t="inlineStr">
        <is>
          <t>Quarterly</t>
        </is>
      </c>
      <c r="D15" s="70" t="inlineStr">
        <is>
          <t>Fitness</t>
        </is>
      </c>
      <c r="E15" s="70" t="inlineStr">
        <is>
          <t>PayPal</t>
        </is>
      </c>
      <c r="F15" s="1" t="n"/>
      <c r="G15" s="1" t="n"/>
    </row>
    <row r="16">
      <c r="A16" s="1" t="n"/>
      <c r="B16" s="71" t="inlineStr">
        <is>
          <t>BNPL</t>
        </is>
      </c>
      <c r="C16" s="71" t="inlineStr">
        <is>
          <t>Yearly</t>
        </is>
      </c>
      <c r="D16" s="71" t="inlineStr">
        <is>
          <t>Shopping</t>
        </is>
      </c>
      <c r="E16" s="71" t="inlineStr">
        <is>
          <t>Apple Pay</t>
        </is>
      </c>
      <c r="F16" s="1" t="n"/>
      <c r="G16" s="1" t="n"/>
    </row>
    <row r="17">
      <c r="A17" s="1" t="n"/>
      <c r="B17" s="70" t="inlineStr">
        <is>
          <t>Family / friend</t>
        </is>
      </c>
      <c r="C17" s="70" t="n"/>
      <c r="D17" s="70" t="inlineStr">
        <is>
          <t>News</t>
        </is>
      </c>
      <c r="E17" s="70" t="inlineStr">
        <is>
          <t>Google Pay</t>
        </is>
      </c>
      <c r="F17" s="1" t="n"/>
      <c r="G17" s="1" t="n"/>
    </row>
    <row r="18">
      <c r="A18" s="1" t="n"/>
      <c r="B18" s="71" t="inlineStr">
        <is>
          <t>Other</t>
        </is>
      </c>
      <c r="C18" s="71" t="n"/>
      <c r="D18" s="71" t="inlineStr">
        <is>
          <t>Cloud</t>
        </is>
      </c>
      <c r="E18" s="71" t="inlineStr">
        <is>
          <t>Bank transfer</t>
        </is>
      </c>
      <c r="F18" s="1" t="n"/>
      <c r="G18" s="1" t="n"/>
    </row>
    <row r="19">
      <c r="A19" s="1" t="n"/>
      <c r="B19" s="70" t="n"/>
      <c r="C19" s="70" t="n"/>
      <c r="D19" s="70" t="inlineStr">
        <is>
          <t>Food</t>
        </is>
      </c>
      <c r="E19" s="70" t="inlineStr">
        <is>
          <t>Other</t>
        </is>
      </c>
      <c r="F19" s="1" t="n"/>
      <c r="G19" s="1" t="n"/>
    </row>
    <row r="20">
      <c r="A20" s="1" t="n"/>
      <c r="B20" s="71" t="n"/>
      <c r="C20" s="71" t="n"/>
      <c r="D20" s="71" t="inlineStr">
        <is>
          <t>Education</t>
        </is>
      </c>
      <c r="E20" s="71" t="n"/>
      <c r="F20" s="1" t="n"/>
      <c r="G20" s="1" t="n"/>
    </row>
    <row r="21">
      <c r="A21" s="1" t="n"/>
      <c r="B21" s="70" t="n"/>
      <c r="C21" s="70" t="n"/>
      <c r="D21" s="70" t="inlineStr">
        <is>
          <t>Other</t>
        </is>
      </c>
      <c r="E21" s="70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</sheetData>
  <mergeCells count="6">
    <mergeCell ref="D5:F5"/>
    <mergeCell ref="D4:F4"/>
    <mergeCell ref="D9:F9"/>
    <mergeCell ref="D7:F7"/>
    <mergeCell ref="D8:F8"/>
    <mergeCell ref="D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3F58"/>
    <outlinePr summaryBelow="1" summaryRight="1"/>
    <pageSetUpPr/>
  </sheetPr>
  <dimension ref="A1:T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3" customWidth="1" min="4" max="4"/>
    <col width="12" customWidth="1" min="5" max="5"/>
    <col width="11" customWidth="1" min="6" max="6"/>
    <col width="10" customWidth="1" min="7" max="7"/>
    <col width="12" customWidth="1" min="8" max="8"/>
    <col width="13" customWidth="1" min="9" max="9"/>
    <col width="11" customWidth="1" min="10" max="10"/>
    <col width="11" customWidth="1" min="11" max="11"/>
    <col width="13" customWidth="1" min="12" max="12"/>
    <col width="13" customWidth="1" min="13" max="13"/>
    <col width="13" customWidth="1" min="14" max="14"/>
    <col width="14" customWidth="1" min="15" max="15"/>
    <col width="10" customWidth="1" min="16" max="16"/>
    <col width="10" customWidth="1" min="17" max="17"/>
    <col width="10" customWidth="1" min="18" max="18"/>
    <col hidden="1" width="4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A2" s="1" t="n"/>
      <c r="B2" s="58" t="inlineStr">
        <is>
          <t>Debts &amp; Installments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57" t="inlineStr">
        <is>
          <t>BLUE headers: you fill in   ·   ORANGE headers: calculated for you</t>
        </is>
      </c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72">
        <f>COUNT('Debts &amp; Installments'!$J$6:$J$25)&amp;" debts   ·   owed now "&amp;TEXT(SUM('Debts &amp; Installments'!$L$6:$L$25),"$#,##0")&amp;"   ·   paying "&amp;TEXT(SUM('Debts &amp; Installments'!$E$6:$E$25),"$#,##0")&amp;" a month   ·   interest still to pay "&amp;TEXT(SUM('Debts &amp; Installments'!$N$6:$N$25),"$#,##0")&amp;"   ·   debt-free "&amp;IF(COUNT('Debts &amp; Installments'!$O$6:$O$25)=0,"-",TEXT(MAX('Debts &amp; Installments'!$O$6:$O$25),"mmm yyyy"))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34" customHeight="1">
      <c r="A5" s="1" t="n"/>
      <c r="B5" s="61" t="inlineStr">
        <is>
          <t>NAME</t>
        </is>
      </c>
      <c r="C5" s="61" t="inlineStr">
        <is>
          <t>TYPE</t>
        </is>
      </c>
      <c r="D5" s="61" t="inlineStr">
        <is>
          <t>ORIGINAL AMOUNT</t>
        </is>
      </c>
      <c r="E5" s="61" t="inlineStr">
        <is>
          <t>MONTHLY PAYMENT</t>
        </is>
      </c>
      <c r="F5" s="61" t="inlineStr">
        <is>
          <t>TOTAL PAYMENTS</t>
        </is>
      </c>
      <c r="G5" s="61" t="inlineStr">
        <is>
          <t>PAYMENTS MADE</t>
        </is>
      </c>
      <c r="H5" s="61" t="inlineStr">
        <is>
          <t>STATED APR (IF KNOWN)</t>
        </is>
      </c>
      <c r="I5" s="61" t="inlineStr">
        <is>
          <t>BALANCE NOW (IF KNOWN)</t>
        </is>
      </c>
      <c r="J5" s="40" t="inlineStr">
        <is>
          <t>REAL APR</t>
        </is>
      </c>
      <c r="K5" s="40" t="inlineStr">
        <is>
          <t>PAYMENTS LEFT</t>
        </is>
      </c>
      <c r="L5" s="40" t="inlineStr">
        <is>
          <t>BALANCE (EST.)</t>
        </is>
      </c>
      <c r="M5" s="40" t="inlineStr">
        <is>
          <t>STILL TO PAY</t>
        </is>
      </c>
      <c r="N5" s="40" t="inlineStr">
        <is>
          <t>INTEREST STILL TO PAY</t>
        </is>
      </c>
      <c r="O5" s="40" t="inlineStr">
        <is>
          <t>DEBT-FREE DATE</t>
        </is>
      </c>
      <c r="P5" s="40" t="inlineStr">
        <is>
          <t>AVALANCHE ORDER</t>
        </is>
      </c>
      <c r="Q5" s="40" t="inlineStr">
        <is>
          <t>SNOWBALL ORDER</t>
        </is>
      </c>
      <c r="R5" s="40" t="inlineStr">
        <is>
          <t>FLAG</t>
        </is>
      </c>
      <c r="S5" s="1" t="inlineStr">
        <is>
          <t>key</t>
        </is>
      </c>
      <c r="T5" s="1" t="n"/>
    </row>
    <row r="6" ht="22" customHeight="1">
      <c r="A6" s="1" t="n"/>
      <c r="B6" s="70" t="inlineStr">
        <is>
          <t>Credit card</t>
        </is>
      </c>
      <c r="C6" s="73" t="inlineStr">
        <is>
          <t>Credit card</t>
        </is>
      </c>
      <c r="D6" s="74" t="n"/>
      <c r="E6" s="74" t="n">
        <v>120</v>
      </c>
      <c r="F6" s="75" t="n"/>
      <c r="G6" s="75" t="n"/>
      <c r="H6" s="76" t="n">
        <v>0.2499</v>
      </c>
      <c r="I6" s="74" t="n">
        <v>3200</v>
      </c>
      <c r="J6" s="36">
        <f>IF(NOT(AND($B6&lt;&gt;"",$E6&gt;0)),"",IF(ISNUMBER($H6),$H6,IF(AND($D6&gt;0,$F6&gt;0),IFERROR(RATE($F6,-$E6,$D6)*12,""),"")))</f>
        <v/>
      </c>
      <c r="K6" s="77">
        <f>IF(NOT(AND($B6&lt;&gt;"",$E6&gt;0)),"",IF($F6&gt;0,MAX(0,$F6-N($G6)),IF(AND(ISNUMBER($I6),ISNUMBER($J6)),IF($J6=0,ROUNDUP($I6/$E6,0),IFERROR(ROUNDUP(NPER($J6/12,-$E6,$I6),0),"Never")),"")))</f>
        <v/>
      </c>
      <c r="L6" s="22">
        <f>IF(NOT(AND($B6&lt;&gt;"",$E6&gt;0)),"",IF(ISNUMBER($I6),$I6,IF(AND(ISNUMBER($K6),ISNUMBER($J6)),IF($J6=0,$E6*$K6,PV($J6/12,$K6,-$E6)),"")))</f>
        <v/>
      </c>
      <c r="M6" s="22">
        <f>IF(ISNUMBER($K6),$E6*$K6,"")</f>
        <v/>
      </c>
      <c r="N6" s="22">
        <f>IF(AND(ISNUMBER($M6),ISNUMBER($L6)),MAX(0,$M6-$L6),"")</f>
        <v/>
      </c>
      <c r="O6" s="78">
        <f>IF(ISNUMBER($K6),EDATE(Settings!$C$9,$K6),"")</f>
        <v/>
      </c>
      <c r="P6" s="77">
        <f>IF(ISNUMBER($J6),COUNTIF($J$6:$J$25,"&gt;"&amp;$J6)+1,"")</f>
        <v/>
      </c>
      <c r="Q6" s="77">
        <f>IF(ISNUMBER($L6),COUNTIF($L$6:$L$25,"&lt;"&amp;$L6)+1,"")</f>
        <v/>
      </c>
      <c r="R6" s="37">
        <f>IF(NOT(ISNUMBER($J6)),"",IF($J6&gt;=Settings!$C$6,"HIGH",IF($J6&gt;=Settings!$C$7,"CHECK","OK")))</f>
        <v/>
      </c>
      <c r="S6" s="1">
        <f>IF(ISNUMBER($J6),$J6+ROW()/10000000,"")</f>
        <v/>
      </c>
      <c r="T6" s="1" t="n"/>
    </row>
    <row r="7" ht="22" customHeight="1">
      <c r="A7" s="1" t="n"/>
      <c r="B7" s="71" t="inlineStr">
        <is>
          <t>Store credit card</t>
        </is>
      </c>
      <c r="C7" s="79" t="inlineStr">
        <is>
          <t>Credit card</t>
        </is>
      </c>
      <c r="D7" s="80" t="n"/>
      <c r="E7" s="80" t="n">
        <v>40</v>
      </c>
      <c r="F7" s="81" t="n"/>
      <c r="G7" s="81" t="n"/>
      <c r="H7" s="82" t="n">
        <v>0.2999</v>
      </c>
      <c r="I7" s="80" t="n">
        <v>850</v>
      </c>
      <c r="J7" s="38">
        <f>IF(NOT(AND($B7&lt;&gt;"",$E7&gt;0)),"",IF(ISNUMBER($H7),$H7,IF(AND($D7&gt;0,$F7&gt;0),IFERROR(RATE($F7,-$E7,$D7)*12,""),"")))</f>
        <v/>
      </c>
      <c r="K7" s="83">
        <f>IF(NOT(AND($B7&lt;&gt;"",$E7&gt;0)),"",IF($F7&gt;0,MAX(0,$F7-N($G7)),IF(AND(ISNUMBER($I7),ISNUMBER($J7)),IF($J7=0,ROUNDUP($I7/$E7,0),IFERROR(ROUNDUP(NPER($J7/12,-$E7,$I7),0),"Never")),"")))</f>
        <v/>
      </c>
      <c r="L7" s="26">
        <f>IF(NOT(AND($B7&lt;&gt;"",$E7&gt;0)),"",IF(ISNUMBER($I7),$I7,IF(AND(ISNUMBER($K7),ISNUMBER($J7)),IF($J7=0,$E7*$K7,PV($J7/12,$K7,-$E7)),"")))</f>
        <v/>
      </c>
      <c r="M7" s="26">
        <f>IF(ISNUMBER($K7),$E7*$K7,"")</f>
        <v/>
      </c>
      <c r="N7" s="26">
        <f>IF(AND(ISNUMBER($M7),ISNUMBER($L7)),MAX(0,$M7-$L7),"")</f>
        <v/>
      </c>
      <c r="O7" s="84">
        <f>IF(ISNUMBER($K7),EDATE(Settings!$C$9,$K7),"")</f>
        <v/>
      </c>
      <c r="P7" s="83">
        <f>IF(ISNUMBER($J7),COUNTIF($J$6:$J$25,"&gt;"&amp;$J7)+1,"")</f>
        <v/>
      </c>
      <c r="Q7" s="83">
        <f>IF(ISNUMBER($L7),COUNTIF($L$6:$L$25,"&lt;"&amp;$L7)+1,"")</f>
        <v/>
      </c>
      <c r="R7" s="39">
        <f>IF(NOT(ISNUMBER($J7)),"",IF($J7&gt;=Settings!$C$6,"HIGH",IF($J7&gt;=Settings!$C$7,"CHECK","OK")))</f>
        <v/>
      </c>
      <c r="S7" s="1">
        <f>IF(ISNUMBER($J7),$J7+ROW()/10000000,"")</f>
        <v/>
      </c>
      <c r="T7" s="1" t="n"/>
    </row>
    <row r="8" ht="22" customHeight="1">
      <c r="A8" s="1" t="n"/>
      <c r="B8" s="70" t="inlineStr">
        <is>
          <t>Car loan</t>
        </is>
      </c>
      <c r="C8" s="73" t="inlineStr">
        <is>
          <t>Loan</t>
        </is>
      </c>
      <c r="D8" s="74" t="n"/>
      <c r="E8" s="74" t="n">
        <v>330</v>
      </c>
      <c r="F8" s="75" t="n"/>
      <c r="G8" s="75" t="n"/>
      <c r="H8" s="76" t="n">
        <v>0.06900000000000001</v>
      </c>
      <c r="I8" s="74" t="n">
        <v>14500</v>
      </c>
      <c r="J8" s="36">
        <f>IF(NOT(AND($B8&lt;&gt;"",$E8&gt;0)),"",IF(ISNUMBER($H8),$H8,IF(AND($D8&gt;0,$F8&gt;0),IFERROR(RATE($F8,-$E8,$D8)*12,""),"")))</f>
        <v/>
      </c>
      <c r="K8" s="77">
        <f>IF(NOT(AND($B8&lt;&gt;"",$E8&gt;0)),"",IF($F8&gt;0,MAX(0,$F8-N($G8)),IF(AND(ISNUMBER($I8),ISNUMBER($J8)),IF($J8=0,ROUNDUP($I8/$E8,0),IFERROR(ROUNDUP(NPER($J8/12,-$E8,$I8),0),"Never")),"")))</f>
        <v/>
      </c>
      <c r="L8" s="22">
        <f>IF(NOT(AND($B8&lt;&gt;"",$E8&gt;0)),"",IF(ISNUMBER($I8),$I8,IF(AND(ISNUMBER($K8),ISNUMBER($J8)),IF($J8=0,$E8*$K8,PV($J8/12,$K8,-$E8)),"")))</f>
        <v/>
      </c>
      <c r="M8" s="22">
        <f>IF(ISNUMBER($K8),$E8*$K8,"")</f>
        <v/>
      </c>
      <c r="N8" s="22">
        <f>IF(AND(ISNUMBER($M8),ISNUMBER($L8)),MAX(0,$M8-$L8),"")</f>
        <v/>
      </c>
      <c r="O8" s="78">
        <f>IF(ISNUMBER($K8),EDATE(Settings!$C$9,$K8),"")</f>
        <v/>
      </c>
      <c r="P8" s="77">
        <f>IF(ISNUMBER($J8),COUNTIF($J$6:$J$25,"&gt;"&amp;$J8)+1,"")</f>
        <v/>
      </c>
      <c r="Q8" s="77">
        <f>IF(ISNUMBER($L8),COUNTIF($L$6:$L$25,"&lt;"&amp;$L8)+1,"")</f>
        <v/>
      </c>
      <c r="R8" s="37">
        <f>IF(NOT(ISNUMBER($J8)),"",IF($J8&gt;=Settings!$C$6,"HIGH",IF($J8&gt;=Settings!$C$7,"CHECK","OK")))</f>
        <v/>
      </c>
      <c r="S8" s="1">
        <f>IF(ISNUMBER($J8),$J8+ROW()/10000000,"")</f>
        <v/>
      </c>
      <c r="T8" s="1" t="n"/>
    </row>
    <row r="9" ht="22" customHeight="1">
      <c r="A9" s="1" t="n"/>
      <c r="B9" s="71" t="inlineStr">
        <is>
          <t>Student loan</t>
        </is>
      </c>
      <c r="C9" s="79" t="inlineStr">
        <is>
          <t>Loan</t>
        </is>
      </c>
      <c r="D9" s="80" t="n"/>
      <c r="E9" s="80" t="n">
        <v>110</v>
      </c>
      <c r="F9" s="81" t="n"/>
      <c r="G9" s="81" t="n"/>
      <c r="H9" s="82" t="n">
        <v>0.055</v>
      </c>
      <c r="I9" s="80" t="n">
        <v>9800</v>
      </c>
      <c r="J9" s="38">
        <f>IF(NOT(AND($B9&lt;&gt;"",$E9&gt;0)),"",IF(ISNUMBER($H9),$H9,IF(AND($D9&gt;0,$F9&gt;0),IFERROR(RATE($F9,-$E9,$D9)*12,""),"")))</f>
        <v/>
      </c>
      <c r="K9" s="83">
        <f>IF(NOT(AND($B9&lt;&gt;"",$E9&gt;0)),"",IF($F9&gt;0,MAX(0,$F9-N($G9)),IF(AND(ISNUMBER($I9),ISNUMBER($J9)),IF($J9=0,ROUNDUP($I9/$E9,0),IFERROR(ROUNDUP(NPER($J9/12,-$E9,$I9),0),"Never")),"")))</f>
        <v/>
      </c>
      <c r="L9" s="26">
        <f>IF(NOT(AND($B9&lt;&gt;"",$E9&gt;0)),"",IF(ISNUMBER($I9),$I9,IF(AND(ISNUMBER($K9),ISNUMBER($J9)),IF($J9=0,$E9*$K9,PV($J9/12,$K9,-$E9)),"")))</f>
        <v/>
      </c>
      <c r="M9" s="26">
        <f>IF(ISNUMBER($K9),$E9*$K9,"")</f>
        <v/>
      </c>
      <c r="N9" s="26">
        <f>IF(AND(ISNUMBER($M9),ISNUMBER($L9)),MAX(0,$M9-$L9),"")</f>
        <v/>
      </c>
      <c r="O9" s="84">
        <f>IF(ISNUMBER($K9),EDATE(Settings!$C$9,$K9),"")</f>
        <v/>
      </c>
      <c r="P9" s="83">
        <f>IF(ISNUMBER($J9),COUNTIF($J$6:$J$25,"&gt;"&amp;$J9)+1,"")</f>
        <v/>
      </c>
      <c r="Q9" s="83">
        <f>IF(ISNUMBER($L9),COUNTIF($L$6:$L$25,"&lt;"&amp;$L9)+1,"")</f>
        <v/>
      </c>
      <c r="R9" s="39">
        <f>IF(NOT(ISNUMBER($J9)),"",IF($J9&gt;=Settings!$C$6,"HIGH",IF($J9&gt;=Settings!$C$7,"CHECK","OK")))</f>
        <v/>
      </c>
      <c r="S9" s="1">
        <f>IF(ISNUMBER($J9),$J9+ROW()/10000000,"")</f>
        <v/>
      </c>
      <c r="T9" s="1" t="n"/>
    </row>
    <row r="10" ht="22" customHeight="1">
      <c r="A10" s="1" t="n"/>
      <c r="B10" s="70" t="inlineStr">
        <is>
          <t>Phone installment plan</t>
        </is>
      </c>
      <c r="C10" s="73" t="inlineStr">
        <is>
          <t>Installment</t>
        </is>
      </c>
      <c r="D10" s="74" t="n">
        <v>1200</v>
      </c>
      <c r="E10" s="74" t="n">
        <v>67</v>
      </c>
      <c r="F10" s="75" t="n">
        <v>24</v>
      </c>
      <c r="G10" s="75" t="n">
        <v>6</v>
      </c>
      <c r="H10" s="76" t="n"/>
      <c r="I10" s="74" t="n"/>
      <c r="J10" s="36">
        <f>IF(NOT(AND($B10&lt;&gt;"",$E10&gt;0)),"",IF(ISNUMBER($H10),$H10,IF(AND($D10&gt;0,$F10&gt;0),IFERROR(RATE($F10,-$E10,$D10)*12,""),"")))</f>
        <v/>
      </c>
      <c r="K10" s="77">
        <f>IF(NOT(AND($B10&lt;&gt;"",$E10&gt;0)),"",IF($F10&gt;0,MAX(0,$F10-N($G10)),IF(AND(ISNUMBER($I10),ISNUMBER($J10)),IF($J10=0,ROUNDUP($I10/$E10,0),IFERROR(ROUNDUP(NPER($J10/12,-$E10,$I10),0),"Never")),"")))</f>
        <v/>
      </c>
      <c r="L10" s="22">
        <f>IF(NOT(AND($B10&lt;&gt;"",$E10&gt;0)),"",IF(ISNUMBER($I10),$I10,IF(AND(ISNUMBER($K10),ISNUMBER($J10)),IF($J10=0,$E10*$K10,PV($J10/12,$K10,-$E10)),"")))</f>
        <v/>
      </c>
      <c r="M10" s="22">
        <f>IF(ISNUMBER($K10),$E10*$K10,"")</f>
        <v/>
      </c>
      <c r="N10" s="22">
        <f>IF(AND(ISNUMBER($M10),ISNUMBER($L10)),MAX(0,$M10-$L10),"")</f>
        <v/>
      </c>
      <c r="O10" s="78">
        <f>IF(ISNUMBER($K10),EDATE(Settings!$C$9,$K10),"")</f>
        <v/>
      </c>
      <c r="P10" s="77">
        <f>IF(ISNUMBER($J10),COUNTIF($J$6:$J$25,"&gt;"&amp;$J10)+1,"")</f>
        <v/>
      </c>
      <c r="Q10" s="77">
        <f>IF(ISNUMBER($L10),COUNTIF($L$6:$L$25,"&lt;"&amp;$L10)+1,"")</f>
        <v/>
      </c>
      <c r="R10" s="37">
        <f>IF(NOT(ISNUMBER($J10)),"",IF($J10&gt;=Settings!$C$6,"HIGH",IF($J10&gt;=Settings!$C$7,"CHECK","OK")))</f>
        <v/>
      </c>
      <c r="S10" s="1">
        <f>IF(ISNUMBER($J10),$J10+ROW()/10000000,"")</f>
        <v/>
      </c>
      <c r="T10" s="1" t="n"/>
    </row>
    <row r="11" ht="22" customHeight="1">
      <c r="A11" s="1" t="n"/>
      <c r="B11" s="71" t="inlineStr">
        <is>
          <t>Sofa store financing</t>
        </is>
      </c>
      <c r="C11" s="79" t="inlineStr">
        <is>
          <t>Installment</t>
        </is>
      </c>
      <c r="D11" s="80" t="n">
        <v>2000</v>
      </c>
      <c r="E11" s="80" t="n">
        <v>105</v>
      </c>
      <c r="F11" s="81" t="n">
        <v>24</v>
      </c>
      <c r="G11" s="81" t="n">
        <v>3</v>
      </c>
      <c r="H11" s="82" t="n"/>
      <c r="I11" s="80" t="n"/>
      <c r="J11" s="38">
        <f>IF(NOT(AND($B11&lt;&gt;"",$E11&gt;0)),"",IF(ISNUMBER($H11),$H11,IF(AND($D11&gt;0,$F11&gt;0),IFERROR(RATE($F11,-$E11,$D11)*12,""),"")))</f>
        <v/>
      </c>
      <c r="K11" s="83">
        <f>IF(NOT(AND($B11&lt;&gt;"",$E11&gt;0)),"",IF($F11&gt;0,MAX(0,$F11-N($G11)),IF(AND(ISNUMBER($I11),ISNUMBER($J11)),IF($J11=0,ROUNDUP($I11/$E11,0),IFERROR(ROUNDUP(NPER($J11/12,-$E11,$I11),0),"Never")),"")))</f>
        <v/>
      </c>
      <c r="L11" s="26">
        <f>IF(NOT(AND($B11&lt;&gt;"",$E11&gt;0)),"",IF(ISNUMBER($I11),$I11,IF(AND(ISNUMBER($K11),ISNUMBER($J11)),IF($J11=0,$E11*$K11,PV($J11/12,$K11,-$E11)),"")))</f>
        <v/>
      </c>
      <c r="M11" s="26">
        <f>IF(ISNUMBER($K11),$E11*$K11,"")</f>
        <v/>
      </c>
      <c r="N11" s="26">
        <f>IF(AND(ISNUMBER($M11),ISNUMBER($L11)),MAX(0,$M11-$L11),"")</f>
        <v/>
      </c>
      <c r="O11" s="84">
        <f>IF(ISNUMBER($K11),EDATE(Settings!$C$9,$K11),"")</f>
        <v/>
      </c>
      <c r="P11" s="83">
        <f>IF(ISNUMBER($J11),COUNTIF($J$6:$J$25,"&gt;"&amp;$J11)+1,"")</f>
        <v/>
      </c>
      <c r="Q11" s="83">
        <f>IF(ISNUMBER($L11),COUNTIF($L$6:$L$25,"&lt;"&amp;$L11)+1,"")</f>
        <v/>
      </c>
      <c r="R11" s="39">
        <f>IF(NOT(ISNUMBER($J11)),"",IF($J11&gt;=Settings!$C$6,"HIGH",IF($J11&gt;=Settings!$C$7,"CHECK","OK")))</f>
        <v/>
      </c>
      <c r="S11" s="1">
        <f>IF(ISNUMBER($J11),$J11+ROW()/10000000,"")</f>
        <v/>
      </c>
      <c r="T11" s="1" t="n"/>
    </row>
    <row r="12" ht="22" customHeight="1">
      <c r="A12" s="1" t="n"/>
      <c r="B12" s="70" t="inlineStr">
        <is>
          <t>Laptop pay-in-4</t>
        </is>
      </c>
      <c r="C12" s="73" t="inlineStr">
        <is>
          <t>BNPL</t>
        </is>
      </c>
      <c r="D12" s="74" t="n">
        <v>800</v>
      </c>
      <c r="E12" s="74" t="n">
        <v>200</v>
      </c>
      <c r="F12" s="75" t="n">
        <v>4</v>
      </c>
      <c r="G12" s="75" t="n">
        <v>1</v>
      </c>
      <c r="H12" s="76" t="n"/>
      <c r="I12" s="74" t="n"/>
      <c r="J12" s="36">
        <f>IF(NOT(AND($B12&lt;&gt;"",$E12&gt;0)),"",IF(ISNUMBER($H12),$H12,IF(AND($D12&gt;0,$F12&gt;0),IFERROR(RATE($F12,-$E12,$D12)*12,""),"")))</f>
        <v/>
      </c>
      <c r="K12" s="77">
        <f>IF(NOT(AND($B12&lt;&gt;"",$E12&gt;0)),"",IF($F12&gt;0,MAX(0,$F12-N($G12)),IF(AND(ISNUMBER($I12),ISNUMBER($J12)),IF($J12=0,ROUNDUP($I12/$E12,0),IFERROR(ROUNDUP(NPER($J12/12,-$E12,$I12),0),"Never")),"")))</f>
        <v/>
      </c>
      <c r="L12" s="22">
        <f>IF(NOT(AND($B12&lt;&gt;"",$E12&gt;0)),"",IF(ISNUMBER($I12),$I12,IF(AND(ISNUMBER($K12),ISNUMBER($J12)),IF($J12=0,$E12*$K12,PV($J12/12,$K12,-$E12)),"")))</f>
        <v/>
      </c>
      <c r="M12" s="22">
        <f>IF(ISNUMBER($K12),$E12*$K12,"")</f>
        <v/>
      </c>
      <c r="N12" s="22">
        <f>IF(AND(ISNUMBER($M12),ISNUMBER($L12)),MAX(0,$M12-$L12),"")</f>
        <v/>
      </c>
      <c r="O12" s="78">
        <f>IF(ISNUMBER($K12),EDATE(Settings!$C$9,$K12),"")</f>
        <v/>
      </c>
      <c r="P12" s="77">
        <f>IF(ISNUMBER($J12),COUNTIF($J$6:$J$25,"&gt;"&amp;$J12)+1,"")</f>
        <v/>
      </c>
      <c r="Q12" s="77">
        <f>IF(ISNUMBER($L12),COUNTIF($L$6:$L$25,"&lt;"&amp;$L12)+1,"")</f>
        <v/>
      </c>
      <c r="R12" s="37">
        <f>IF(NOT(ISNUMBER($J12)),"",IF($J12&gt;=Settings!$C$6,"HIGH",IF($J12&gt;=Settings!$C$7,"CHECK","OK")))</f>
        <v/>
      </c>
      <c r="S12" s="1">
        <f>IF(ISNUMBER($J12),$J12+ROW()/10000000,"")</f>
        <v/>
      </c>
      <c r="T12" s="1" t="n"/>
    </row>
    <row r="13" ht="22" customHeight="1">
      <c r="A13" s="1" t="n"/>
      <c r="B13" s="71" t="inlineStr">
        <is>
          <t>Loan from family</t>
        </is>
      </c>
      <c r="C13" s="79" t="inlineStr">
        <is>
          <t>Family / friend</t>
        </is>
      </c>
      <c r="D13" s="80" t="n"/>
      <c r="E13" s="80" t="n">
        <v>100</v>
      </c>
      <c r="F13" s="81" t="n"/>
      <c r="G13" s="81" t="n"/>
      <c r="H13" s="82" t="n">
        <v>0</v>
      </c>
      <c r="I13" s="80" t="n">
        <v>1500</v>
      </c>
      <c r="J13" s="38">
        <f>IF(NOT(AND($B13&lt;&gt;"",$E13&gt;0)),"",IF(ISNUMBER($H13),$H13,IF(AND($D13&gt;0,$F13&gt;0),IFERROR(RATE($F13,-$E13,$D13)*12,""),"")))</f>
        <v/>
      </c>
      <c r="K13" s="83">
        <f>IF(NOT(AND($B13&lt;&gt;"",$E13&gt;0)),"",IF($F13&gt;0,MAX(0,$F13-N($G13)),IF(AND(ISNUMBER($I13),ISNUMBER($J13)),IF($J13=0,ROUNDUP($I13/$E13,0),IFERROR(ROUNDUP(NPER($J13/12,-$E13,$I13),0),"Never")),"")))</f>
        <v/>
      </c>
      <c r="L13" s="26">
        <f>IF(NOT(AND($B13&lt;&gt;"",$E13&gt;0)),"",IF(ISNUMBER($I13),$I13,IF(AND(ISNUMBER($K13),ISNUMBER($J13)),IF($J13=0,$E13*$K13,PV($J13/12,$K13,-$E13)),"")))</f>
        <v/>
      </c>
      <c r="M13" s="26">
        <f>IF(ISNUMBER($K13),$E13*$K13,"")</f>
        <v/>
      </c>
      <c r="N13" s="26">
        <f>IF(AND(ISNUMBER($M13),ISNUMBER($L13)),MAX(0,$M13-$L13),"")</f>
        <v/>
      </c>
      <c r="O13" s="84">
        <f>IF(ISNUMBER($K13),EDATE(Settings!$C$9,$K13),"")</f>
        <v/>
      </c>
      <c r="P13" s="83">
        <f>IF(ISNUMBER($J13),COUNTIF($J$6:$J$25,"&gt;"&amp;$J13)+1,"")</f>
        <v/>
      </c>
      <c r="Q13" s="83">
        <f>IF(ISNUMBER($L13),COUNTIF($L$6:$L$25,"&lt;"&amp;$L13)+1,"")</f>
        <v/>
      </c>
      <c r="R13" s="39">
        <f>IF(NOT(ISNUMBER($J13)),"",IF($J13&gt;=Settings!$C$6,"HIGH",IF($J13&gt;=Settings!$C$7,"CHECK","OK")))</f>
        <v/>
      </c>
      <c r="S13" s="1">
        <f>IF(ISNUMBER($J13),$J13+ROW()/10000000,"")</f>
        <v/>
      </c>
      <c r="T13" s="1" t="n"/>
    </row>
    <row r="14" ht="22" customHeight="1">
      <c r="A14" s="1" t="n"/>
      <c r="B14" s="70" t="n"/>
      <c r="C14" s="73" t="n"/>
      <c r="D14" s="74" t="n"/>
      <c r="E14" s="74" t="n"/>
      <c r="F14" s="75" t="n"/>
      <c r="G14" s="75" t="n"/>
      <c r="H14" s="76" t="n"/>
      <c r="I14" s="74" t="n"/>
      <c r="J14" s="36">
        <f>IF(NOT(AND($B14&lt;&gt;"",$E14&gt;0)),"",IF(ISNUMBER($H14),$H14,IF(AND($D14&gt;0,$F14&gt;0),IFERROR(RATE($F14,-$E14,$D14)*12,""),"")))</f>
        <v/>
      </c>
      <c r="K14" s="77">
        <f>IF(NOT(AND($B14&lt;&gt;"",$E14&gt;0)),"",IF($F14&gt;0,MAX(0,$F14-N($G14)),IF(AND(ISNUMBER($I14),ISNUMBER($J14)),IF($J14=0,ROUNDUP($I14/$E14,0),IFERROR(ROUNDUP(NPER($J14/12,-$E14,$I14),0),"Never")),"")))</f>
        <v/>
      </c>
      <c r="L14" s="22">
        <f>IF(NOT(AND($B14&lt;&gt;"",$E14&gt;0)),"",IF(ISNUMBER($I14),$I14,IF(AND(ISNUMBER($K14),ISNUMBER($J14)),IF($J14=0,$E14*$K14,PV($J14/12,$K14,-$E14)),"")))</f>
        <v/>
      </c>
      <c r="M14" s="22">
        <f>IF(ISNUMBER($K14),$E14*$K14,"")</f>
        <v/>
      </c>
      <c r="N14" s="22">
        <f>IF(AND(ISNUMBER($M14),ISNUMBER($L14)),MAX(0,$M14-$L14),"")</f>
        <v/>
      </c>
      <c r="O14" s="78">
        <f>IF(ISNUMBER($K14),EDATE(Settings!$C$9,$K14),"")</f>
        <v/>
      </c>
      <c r="P14" s="77">
        <f>IF(ISNUMBER($J14),COUNTIF($J$6:$J$25,"&gt;"&amp;$J14)+1,"")</f>
        <v/>
      </c>
      <c r="Q14" s="77">
        <f>IF(ISNUMBER($L14),COUNTIF($L$6:$L$25,"&lt;"&amp;$L14)+1,"")</f>
        <v/>
      </c>
      <c r="R14" s="37">
        <f>IF(NOT(ISNUMBER($J14)),"",IF($J14&gt;=Settings!$C$6,"HIGH",IF($J14&gt;=Settings!$C$7,"CHECK","OK")))</f>
        <v/>
      </c>
      <c r="S14" s="1">
        <f>IF(ISNUMBER($J14),$J14+ROW()/10000000,"")</f>
        <v/>
      </c>
      <c r="T14" s="1" t="n"/>
    </row>
    <row r="15" ht="22" customHeight="1">
      <c r="A15" s="1" t="n"/>
      <c r="B15" s="71" t="n"/>
      <c r="C15" s="79" t="n"/>
      <c r="D15" s="80" t="n"/>
      <c r="E15" s="80" t="n"/>
      <c r="F15" s="81" t="n"/>
      <c r="G15" s="81" t="n"/>
      <c r="H15" s="82" t="n"/>
      <c r="I15" s="80" t="n"/>
      <c r="J15" s="38">
        <f>IF(NOT(AND($B15&lt;&gt;"",$E15&gt;0)),"",IF(ISNUMBER($H15),$H15,IF(AND($D15&gt;0,$F15&gt;0),IFERROR(RATE($F15,-$E15,$D15)*12,""),"")))</f>
        <v/>
      </c>
      <c r="K15" s="83">
        <f>IF(NOT(AND($B15&lt;&gt;"",$E15&gt;0)),"",IF($F15&gt;0,MAX(0,$F15-N($G15)),IF(AND(ISNUMBER($I15),ISNUMBER($J15)),IF($J15=0,ROUNDUP($I15/$E15,0),IFERROR(ROUNDUP(NPER($J15/12,-$E15,$I15),0),"Never")),"")))</f>
        <v/>
      </c>
      <c r="L15" s="26">
        <f>IF(NOT(AND($B15&lt;&gt;"",$E15&gt;0)),"",IF(ISNUMBER($I15),$I15,IF(AND(ISNUMBER($K15),ISNUMBER($J15)),IF($J15=0,$E15*$K15,PV($J15/12,$K15,-$E15)),"")))</f>
        <v/>
      </c>
      <c r="M15" s="26">
        <f>IF(ISNUMBER($K15),$E15*$K15,"")</f>
        <v/>
      </c>
      <c r="N15" s="26">
        <f>IF(AND(ISNUMBER($M15),ISNUMBER($L15)),MAX(0,$M15-$L15),"")</f>
        <v/>
      </c>
      <c r="O15" s="84">
        <f>IF(ISNUMBER($K15),EDATE(Settings!$C$9,$K15),"")</f>
        <v/>
      </c>
      <c r="P15" s="83">
        <f>IF(ISNUMBER($J15),COUNTIF($J$6:$J$25,"&gt;"&amp;$J15)+1,"")</f>
        <v/>
      </c>
      <c r="Q15" s="83">
        <f>IF(ISNUMBER($L15),COUNTIF($L$6:$L$25,"&lt;"&amp;$L15)+1,"")</f>
        <v/>
      </c>
      <c r="R15" s="39">
        <f>IF(NOT(ISNUMBER($J15)),"",IF($J15&gt;=Settings!$C$6,"HIGH",IF($J15&gt;=Settings!$C$7,"CHECK","OK")))</f>
        <v/>
      </c>
      <c r="S15" s="1">
        <f>IF(ISNUMBER($J15),$J15+ROW()/10000000,"")</f>
        <v/>
      </c>
      <c r="T15" s="1" t="n"/>
    </row>
    <row r="16" ht="22" customHeight="1">
      <c r="A16" s="1" t="n"/>
      <c r="B16" s="70" t="n"/>
      <c r="C16" s="73" t="n"/>
      <c r="D16" s="74" t="n"/>
      <c r="E16" s="74" t="n"/>
      <c r="F16" s="75" t="n"/>
      <c r="G16" s="75" t="n"/>
      <c r="H16" s="76" t="n"/>
      <c r="I16" s="74" t="n"/>
      <c r="J16" s="36">
        <f>IF(NOT(AND($B16&lt;&gt;"",$E16&gt;0)),"",IF(ISNUMBER($H16),$H16,IF(AND($D16&gt;0,$F16&gt;0),IFERROR(RATE($F16,-$E16,$D16)*12,""),"")))</f>
        <v/>
      </c>
      <c r="K16" s="77">
        <f>IF(NOT(AND($B16&lt;&gt;"",$E16&gt;0)),"",IF($F16&gt;0,MAX(0,$F16-N($G16)),IF(AND(ISNUMBER($I16),ISNUMBER($J16)),IF($J16=0,ROUNDUP($I16/$E16,0),IFERROR(ROUNDUP(NPER($J16/12,-$E16,$I16),0),"Never")),"")))</f>
        <v/>
      </c>
      <c r="L16" s="22">
        <f>IF(NOT(AND($B16&lt;&gt;"",$E16&gt;0)),"",IF(ISNUMBER($I16),$I16,IF(AND(ISNUMBER($K16),ISNUMBER($J16)),IF($J16=0,$E16*$K16,PV($J16/12,$K16,-$E16)),"")))</f>
        <v/>
      </c>
      <c r="M16" s="22">
        <f>IF(ISNUMBER($K16),$E16*$K16,"")</f>
        <v/>
      </c>
      <c r="N16" s="22">
        <f>IF(AND(ISNUMBER($M16),ISNUMBER($L16)),MAX(0,$M16-$L16),"")</f>
        <v/>
      </c>
      <c r="O16" s="78">
        <f>IF(ISNUMBER($K16),EDATE(Settings!$C$9,$K16),"")</f>
        <v/>
      </c>
      <c r="P16" s="77">
        <f>IF(ISNUMBER($J16),COUNTIF($J$6:$J$25,"&gt;"&amp;$J16)+1,"")</f>
        <v/>
      </c>
      <c r="Q16" s="77">
        <f>IF(ISNUMBER($L16),COUNTIF($L$6:$L$25,"&lt;"&amp;$L16)+1,"")</f>
        <v/>
      </c>
      <c r="R16" s="37">
        <f>IF(NOT(ISNUMBER($J16)),"",IF($J16&gt;=Settings!$C$6,"HIGH",IF($J16&gt;=Settings!$C$7,"CHECK","OK")))</f>
        <v/>
      </c>
      <c r="S16" s="1">
        <f>IF(ISNUMBER($J16),$J16+ROW()/10000000,"")</f>
        <v/>
      </c>
      <c r="T16" s="1" t="n"/>
    </row>
    <row r="17" ht="22" customHeight="1">
      <c r="A17" s="1" t="n"/>
      <c r="B17" s="71" t="n"/>
      <c r="C17" s="79" t="n"/>
      <c r="D17" s="80" t="n"/>
      <c r="E17" s="80" t="n"/>
      <c r="F17" s="81" t="n"/>
      <c r="G17" s="81" t="n"/>
      <c r="H17" s="82" t="n"/>
      <c r="I17" s="80" t="n"/>
      <c r="J17" s="38">
        <f>IF(NOT(AND($B17&lt;&gt;"",$E17&gt;0)),"",IF(ISNUMBER($H17),$H17,IF(AND($D17&gt;0,$F17&gt;0),IFERROR(RATE($F17,-$E17,$D17)*12,""),"")))</f>
        <v/>
      </c>
      <c r="K17" s="83">
        <f>IF(NOT(AND($B17&lt;&gt;"",$E17&gt;0)),"",IF($F17&gt;0,MAX(0,$F17-N($G17)),IF(AND(ISNUMBER($I17),ISNUMBER($J17)),IF($J17=0,ROUNDUP($I17/$E17,0),IFERROR(ROUNDUP(NPER($J17/12,-$E17,$I17),0),"Never")),"")))</f>
        <v/>
      </c>
      <c r="L17" s="26">
        <f>IF(NOT(AND($B17&lt;&gt;"",$E17&gt;0)),"",IF(ISNUMBER($I17),$I17,IF(AND(ISNUMBER($K17),ISNUMBER($J17)),IF($J17=0,$E17*$K17,PV($J17/12,$K17,-$E17)),"")))</f>
        <v/>
      </c>
      <c r="M17" s="26">
        <f>IF(ISNUMBER($K17),$E17*$K17,"")</f>
        <v/>
      </c>
      <c r="N17" s="26">
        <f>IF(AND(ISNUMBER($M17),ISNUMBER($L17)),MAX(0,$M17-$L17),"")</f>
        <v/>
      </c>
      <c r="O17" s="84">
        <f>IF(ISNUMBER($K17),EDATE(Settings!$C$9,$K17),"")</f>
        <v/>
      </c>
      <c r="P17" s="83">
        <f>IF(ISNUMBER($J17),COUNTIF($J$6:$J$25,"&gt;"&amp;$J17)+1,"")</f>
        <v/>
      </c>
      <c r="Q17" s="83">
        <f>IF(ISNUMBER($L17),COUNTIF($L$6:$L$25,"&lt;"&amp;$L17)+1,"")</f>
        <v/>
      </c>
      <c r="R17" s="39">
        <f>IF(NOT(ISNUMBER($J17)),"",IF($J17&gt;=Settings!$C$6,"HIGH",IF($J17&gt;=Settings!$C$7,"CHECK","OK")))</f>
        <v/>
      </c>
      <c r="S17" s="1">
        <f>IF(ISNUMBER($J17),$J17+ROW()/10000000,"")</f>
        <v/>
      </c>
      <c r="T17" s="1" t="n"/>
    </row>
    <row r="18" ht="22" customHeight="1">
      <c r="A18" s="1" t="n"/>
      <c r="B18" s="70" t="n"/>
      <c r="C18" s="73" t="n"/>
      <c r="D18" s="74" t="n"/>
      <c r="E18" s="74" t="n"/>
      <c r="F18" s="75" t="n"/>
      <c r="G18" s="75" t="n"/>
      <c r="H18" s="76" t="n"/>
      <c r="I18" s="74" t="n"/>
      <c r="J18" s="36">
        <f>IF(NOT(AND($B18&lt;&gt;"",$E18&gt;0)),"",IF(ISNUMBER($H18),$H18,IF(AND($D18&gt;0,$F18&gt;0),IFERROR(RATE($F18,-$E18,$D18)*12,""),"")))</f>
        <v/>
      </c>
      <c r="K18" s="77">
        <f>IF(NOT(AND($B18&lt;&gt;"",$E18&gt;0)),"",IF($F18&gt;0,MAX(0,$F18-N($G18)),IF(AND(ISNUMBER($I18),ISNUMBER($J18)),IF($J18=0,ROUNDUP($I18/$E18,0),IFERROR(ROUNDUP(NPER($J18/12,-$E18,$I18),0),"Never")),"")))</f>
        <v/>
      </c>
      <c r="L18" s="22">
        <f>IF(NOT(AND($B18&lt;&gt;"",$E18&gt;0)),"",IF(ISNUMBER($I18),$I18,IF(AND(ISNUMBER($K18),ISNUMBER($J18)),IF($J18=0,$E18*$K18,PV($J18/12,$K18,-$E18)),"")))</f>
        <v/>
      </c>
      <c r="M18" s="22">
        <f>IF(ISNUMBER($K18),$E18*$K18,"")</f>
        <v/>
      </c>
      <c r="N18" s="22">
        <f>IF(AND(ISNUMBER($M18),ISNUMBER($L18)),MAX(0,$M18-$L18),"")</f>
        <v/>
      </c>
      <c r="O18" s="78">
        <f>IF(ISNUMBER($K18),EDATE(Settings!$C$9,$K18),"")</f>
        <v/>
      </c>
      <c r="P18" s="77">
        <f>IF(ISNUMBER($J18),COUNTIF($J$6:$J$25,"&gt;"&amp;$J18)+1,"")</f>
        <v/>
      </c>
      <c r="Q18" s="77">
        <f>IF(ISNUMBER($L18),COUNTIF($L$6:$L$25,"&lt;"&amp;$L18)+1,"")</f>
        <v/>
      </c>
      <c r="R18" s="37">
        <f>IF(NOT(ISNUMBER($J18)),"",IF($J18&gt;=Settings!$C$6,"HIGH",IF($J18&gt;=Settings!$C$7,"CHECK","OK")))</f>
        <v/>
      </c>
      <c r="S18" s="1">
        <f>IF(ISNUMBER($J18),$J18+ROW()/10000000,"")</f>
        <v/>
      </c>
      <c r="T18" s="1" t="n"/>
    </row>
    <row r="19" ht="22" customHeight="1">
      <c r="A19" s="1" t="n"/>
      <c r="B19" s="71" t="n"/>
      <c r="C19" s="79" t="n"/>
      <c r="D19" s="80" t="n"/>
      <c r="E19" s="80" t="n"/>
      <c r="F19" s="81" t="n"/>
      <c r="G19" s="81" t="n"/>
      <c r="H19" s="82" t="n"/>
      <c r="I19" s="80" t="n"/>
      <c r="J19" s="38">
        <f>IF(NOT(AND($B19&lt;&gt;"",$E19&gt;0)),"",IF(ISNUMBER($H19),$H19,IF(AND($D19&gt;0,$F19&gt;0),IFERROR(RATE($F19,-$E19,$D19)*12,""),"")))</f>
        <v/>
      </c>
      <c r="K19" s="83">
        <f>IF(NOT(AND($B19&lt;&gt;"",$E19&gt;0)),"",IF($F19&gt;0,MAX(0,$F19-N($G19)),IF(AND(ISNUMBER($I19),ISNUMBER($J19)),IF($J19=0,ROUNDUP($I19/$E19,0),IFERROR(ROUNDUP(NPER($J19/12,-$E19,$I19),0),"Never")),"")))</f>
        <v/>
      </c>
      <c r="L19" s="26">
        <f>IF(NOT(AND($B19&lt;&gt;"",$E19&gt;0)),"",IF(ISNUMBER($I19),$I19,IF(AND(ISNUMBER($K19),ISNUMBER($J19)),IF($J19=0,$E19*$K19,PV($J19/12,$K19,-$E19)),"")))</f>
        <v/>
      </c>
      <c r="M19" s="26">
        <f>IF(ISNUMBER($K19),$E19*$K19,"")</f>
        <v/>
      </c>
      <c r="N19" s="26">
        <f>IF(AND(ISNUMBER($M19),ISNUMBER($L19)),MAX(0,$M19-$L19),"")</f>
        <v/>
      </c>
      <c r="O19" s="84">
        <f>IF(ISNUMBER($K19),EDATE(Settings!$C$9,$K19),"")</f>
        <v/>
      </c>
      <c r="P19" s="83">
        <f>IF(ISNUMBER($J19),COUNTIF($J$6:$J$25,"&gt;"&amp;$J19)+1,"")</f>
        <v/>
      </c>
      <c r="Q19" s="83">
        <f>IF(ISNUMBER($L19),COUNTIF($L$6:$L$25,"&lt;"&amp;$L19)+1,"")</f>
        <v/>
      </c>
      <c r="R19" s="39">
        <f>IF(NOT(ISNUMBER($J19)),"",IF($J19&gt;=Settings!$C$6,"HIGH",IF($J19&gt;=Settings!$C$7,"CHECK","OK")))</f>
        <v/>
      </c>
      <c r="S19" s="1">
        <f>IF(ISNUMBER($J19),$J19+ROW()/10000000,"")</f>
        <v/>
      </c>
      <c r="T19" s="1" t="n"/>
    </row>
    <row r="20" ht="22" customHeight="1">
      <c r="A20" s="1" t="n"/>
      <c r="B20" s="70" t="n"/>
      <c r="C20" s="73" t="n"/>
      <c r="D20" s="74" t="n"/>
      <c r="E20" s="74" t="n"/>
      <c r="F20" s="75" t="n"/>
      <c r="G20" s="75" t="n"/>
      <c r="H20" s="76" t="n"/>
      <c r="I20" s="74" t="n"/>
      <c r="J20" s="36">
        <f>IF(NOT(AND($B20&lt;&gt;"",$E20&gt;0)),"",IF(ISNUMBER($H20),$H20,IF(AND($D20&gt;0,$F20&gt;0),IFERROR(RATE($F20,-$E20,$D20)*12,""),"")))</f>
        <v/>
      </c>
      <c r="K20" s="77">
        <f>IF(NOT(AND($B20&lt;&gt;"",$E20&gt;0)),"",IF($F20&gt;0,MAX(0,$F20-N($G20)),IF(AND(ISNUMBER($I20),ISNUMBER($J20)),IF($J20=0,ROUNDUP($I20/$E20,0),IFERROR(ROUNDUP(NPER($J20/12,-$E20,$I20),0),"Never")),"")))</f>
        <v/>
      </c>
      <c r="L20" s="22">
        <f>IF(NOT(AND($B20&lt;&gt;"",$E20&gt;0)),"",IF(ISNUMBER($I20),$I20,IF(AND(ISNUMBER($K20),ISNUMBER($J20)),IF($J20=0,$E20*$K20,PV($J20/12,$K20,-$E20)),"")))</f>
        <v/>
      </c>
      <c r="M20" s="22">
        <f>IF(ISNUMBER($K20),$E20*$K20,"")</f>
        <v/>
      </c>
      <c r="N20" s="22">
        <f>IF(AND(ISNUMBER($M20),ISNUMBER($L20)),MAX(0,$M20-$L20),"")</f>
        <v/>
      </c>
      <c r="O20" s="78">
        <f>IF(ISNUMBER($K20),EDATE(Settings!$C$9,$K20),"")</f>
        <v/>
      </c>
      <c r="P20" s="77">
        <f>IF(ISNUMBER($J20),COUNTIF($J$6:$J$25,"&gt;"&amp;$J20)+1,"")</f>
        <v/>
      </c>
      <c r="Q20" s="77">
        <f>IF(ISNUMBER($L20),COUNTIF($L$6:$L$25,"&lt;"&amp;$L20)+1,"")</f>
        <v/>
      </c>
      <c r="R20" s="37">
        <f>IF(NOT(ISNUMBER($J20)),"",IF($J20&gt;=Settings!$C$6,"HIGH",IF($J20&gt;=Settings!$C$7,"CHECK","OK")))</f>
        <v/>
      </c>
      <c r="S20" s="1">
        <f>IF(ISNUMBER($J20),$J20+ROW()/10000000,"")</f>
        <v/>
      </c>
      <c r="T20" s="1" t="n"/>
    </row>
    <row r="21" ht="22" customHeight="1">
      <c r="A21" s="1" t="n"/>
      <c r="B21" s="71" t="n"/>
      <c r="C21" s="79" t="n"/>
      <c r="D21" s="80" t="n"/>
      <c r="E21" s="80" t="n"/>
      <c r="F21" s="81" t="n"/>
      <c r="G21" s="81" t="n"/>
      <c r="H21" s="82" t="n"/>
      <c r="I21" s="80" t="n"/>
      <c r="J21" s="38">
        <f>IF(NOT(AND($B21&lt;&gt;"",$E21&gt;0)),"",IF(ISNUMBER($H21),$H21,IF(AND($D21&gt;0,$F21&gt;0),IFERROR(RATE($F21,-$E21,$D21)*12,""),"")))</f>
        <v/>
      </c>
      <c r="K21" s="83">
        <f>IF(NOT(AND($B21&lt;&gt;"",$E21&gt;0)),"",IF($F21&gt;0,MAX(0,$F21-N($G21)),IF(AND(ISNUMBER($I21),ISNUMBER($J21)),IF($J21=0,ROUNDUP($I21/$E21,0),IFERROR(ROUNDUP(NPER($J21/12,-$E21,$I21),0),"Never")),"")))</f>
        <v/>
      </c>
      <c r="L21" s="26">
        <f>IF(NOT(AND($B21&lt;&gt;"",$E21&gt;0)),"",IF(ISNUMBER($I21),$I21,IF(AND(ISNUMBER($K21),ISNUMBER($J21)),IF($J21=0,$E21*$K21,PV($J21/12,$K21,-$E21)),"")))</f>
        <v/>
      </c>
      <c r="M21" s="26">
        <f>IF(ISNUMBER($K21),$E21*$K21,"")</f>
        <v/>
      </c>
      <c r="N21" s="26">
        <f>IF(AND(ISNUMBER($M21),ISNUMBER($L21)),MAX(0,$M21-$L21),"")</f>
        <v/>
      </c>
      <c r="O21" s="84">
        <f>IF(ISNUMBER($K21),EDATE(Settings!$C$9,$K21),"")</f>
        <v/>
      </c>
      <c r="P21" s="83">
        <f>IF(ISNUMBER($J21),COUNTIF($J$6:$J$25,"&gt;"&amp;$J21)+1,"")</f>
        <v/>
      </c>
      <c r="Q21" s="83">
        <f>IF(ISNUMBER($L21),COUNTIF($L$6:$L$25,"&lt;"&amp;$L21)+1,"")</f>
        <v/>
      </c>
      <c r="R21" s="39">
        <f>IF(NOT(ISNUMBER($J21)),"",IF($J21&gt;=Settings!$C$6,"HIGH",IF($J21&gt;=Settings!$C$7,"CHECK","OK")))</f>
        <v/>
      </c>
      <c r="S21" s="1">
        <f>IF(ISNUMBER($J21),$J21+ROW()/10000000,"")</f>
        <v/>
      </c>
      <c r="T21" s="1" t="n"/>
    </row>
    <row r="22" ht="22" customHeight="1">
      <c r="A22" s="1" t="n"/>
      <c r="B22" s="70" t="n"/>
      <c r="C22" s="73" t="n"/>
      <c r="D22" s="74" t="n"/>
      <c r="E22" s="74" t="n"/>
      <c r="F22" s="75" t="n"/>
      <c r="G22" s="75" t="n"/>
      <c r="H22" s="76" t="n"/>
      <c r="I22" s="74" t="n"/>
      <c r="J22" s="36">
        <f>IF(NOT(AND($B22&lt;&gt;"",$E22&gt;0)),"",IF(ISNUMBER($H22),$H22,IF(AND($D22&gt;0,$F22&gt;0),IFERROR(RATE($F22,-$E22,$D22)*12,""),"")))</f>
        <v/>
      </c>
      <c r="K22" s="77">
        <f>IF(NOT(AND($B22&lt;&gt;"",$E22&gt;0)),"",IF($F22&gt;0,MAX(0,$F22-N($G22)),IF(AND(ISNUMBER($I22),ISNUMBER($J22)),IF($J22=0,ROUNDUP($I22/$E22,0),IFERROR(ROUNDUP(NPER($J22/12,-$E22,$I22),0),"Never")),"")))</f>
        <v/>
      </c>
      <c r="L22" s="22">
        <f>IF(NOT(AND($B22&lt;&gt;"",$E22&gt;0)),"",IF(ISNUMBER($I22),$I22,IF(AND(ISNUMBER($K22),ISNUMBER($J22)),IF($J22=0,$E22*$K22,PV($J22/12,$K22,-$E22)),"")))</f>
        <v/>
      </c>
      <c r="M22" s="22">
        <f>IF(ISNUMBER($K22),$E22*$K22,"")</f>
        <v/>
      </c>
      <c r="N22" s="22">
        <f>IF(AND(ISNUMBER($M22),ISNUMBER($L22)),MAX(0,$M22-$L22),"")</f>
        <v/>
      </c>
      <c r="O22" s="78">
        <f>IF(ISNUMBER($K22),EDATE(Settings!$C$9,$K22),"")</f>
        <v/>
      </c>
      <c r="P22" s="77">
        <f>IF(ISNUMBER($J22),COUNTIF($J$6:$J$25,"&gt;"&amp;$J22)+1,"")</f>
        <v/>
      </c>
      <c r="Q22" s="77">
        <f>IF(ISNUMBER($L22),COUNTIF($L$6:$L$25,"&lt;"&amp;$L22)+1,"")</f>
        <v/>
      </c>
      <c r="R22" s="37">
        <f>IF(NOT(ISNUMBER($J22)),"",IF($J22&gt;=Settings!$C$6,"HIGH",IF($J22&gt;=Settings!$C$7,"CHECK","OK")))</f>
        <v/>
      </c>
      <c r="S22" s="1">
        <f>IF(ISNUMBER($J22),$J22+ROW()/10000000,"")</f>
        <v/>
      </c>
      <c r="T22" s="1" t="n"/>
    </row>
    <row r="23" ht="22" customHeight="1">
      <c r="A23" s="1" t="n"/>
      <c r="B23" s="71" t="n"/>
      <c r="C23" s="79" t="n"/>
      <c r="D23" s="80" t="n"/>
      <c r="E23" s="80" t="n"/>
      <c r="F23" s="81" t="n"/>
      <c r="G23" s="81" t="n"/>
      <c r="H23" s="82" t="n"/>
      <c r="I23" s="80" t="n"/>
      <c r="J23" s="38">
        <f>IF(NOT(AND($B23&lt;&gt;"",$E23&gt;0)),"",IF(ISNUMBER($H23),$H23,IF(AND($D23&gt;0,$F23&gt;0),IFERROR(RATE($F23,-$E23,$D23)*12,""),"")))</f>
        <v/>
      </c>
      <c r="K23" s="83">
        <f>IF(NOT(AND($B23&lt;&gt;"",$E23&gt;0)),"",IF($F23&gt;0,MAX(0,$F23-N($G23)),IF(AND(ISNUMBER($I23),ISNUMBER($J23)),IF($J23=0,ROUNDUP($I23/$E23,0),IFERROR(ROUNDUP(NPER($J23/12,-$E23,$I23),0),"Never")),"")))</f>
        <v/>
      </c>
      <c r="L23" s="26">
        <f>IF(NOT(AND($B23&lt;&gt;"",$E23&gt;0)),"",IF(ISNUMBER($I23),$I23,IF(AND(ISNUMBER($K23),ISNUMBER($J23)),IF($J23=0,$E23*$K23,PV($J23/12,$K23,-$E23)),"")))</f>
        <v/>
      </c>
      <c r="M23" s="26">
        <f>IF(ISNUMBER($K23),$E23*$K23,"")</f>
        <v/>
      </c>
      <c r="N23" s="26">
        <f>IF(AND(ISNUMBER($M23),ISNUMBER($L23)),MAX(0,$M23-$L23),"")</f>
        <v/>
      </c>
      <c r="O23" s="84">
        <f>IF(ISNUMBER($K23),EDATE(Settings!$C$9,$K23),"")</f>
        <v/>
      </c>
      <c r="P23" s="83">
        <f>IF(ISNUMBER($J23),COUNTIF($J$6:$J$25,"&gt;"&amp;$J23)+1,"")</f>
        <v/>
      </c>
      <c r="Q23" s="83">
        <f>IF(ISNUMBER($L23),COUNTIF($L$6:$L$25,"&lt;"&amp;$L23)+1,"")</f>
        <v/>
      </c>
      <c r="R23" s="39">
        <f>IF(NOT(ISNUMBER($J23)),"",IF($J23&gt;=Settings!$C$6,"HIGH",IF($J23&gt;=Settings!$C$7,"CHECK","OK")))</f>
        <v/>
      </c>
      <c r="S23" s="1">
        <f>IF(ISNUMBER($J23),$J23+ROW()/10000000,"")</f>
        <v/>
      </c>
      <c r="T23" s="1" t="n"/>
    </row>
    <row r="24" ht="22" customHeight="1">
      <c r="A24" s="1" t="n"/>
      <c r="B24" s="70" t="n"/>
      <c r="C24" s="73" t="n"/>
      <c r="D24" s="74" t="n"/>
      <c r="E24" s="74" t="n"/>
      <c r="F24" s="75" t="n"/>
      <c r="G24" s="75" t="n"/>
      <c r="H24" s="76" t="n"/>
      <c r="I24" s="74" t="n"/>
      <c r="J24" s="36">
        <f>IF(NOT(AND($B24&lt;&gt;"",$E24&gt;0)),"",IF(ISNUMBER($H24),$H24,IF(AND($D24&gt;0,$F24&gt;0),IFERROR(RATE($F24,-$E24,$D24)*12,""),"")))</f>
        <v/>
      </c>
      <c r="K24" s="77">
        <f>IF(NOT(AND($B24&lt;&gt;"",$E24&gt;0)),"",IF($F24&gt;0,MAX(0,$F24-N($G24)),IF(AND(ISNUMBER($I24),ISNUMBER($J24)),IF($J24=0,ROUNDUP($I24/$E24,0),IFERROR(ROUNDUP(NPER($J24/12,-$E24,$I24),0),"Never")),"")))</f>
        <v/>
      </c>
      <c r="L24" s="22">
        <f>IF(NOT(AND($B24&lt;&gt;"",$E24&gt;0)),"",IF(ISNUMBER($I24),$I24,IF(AND(ISNUMBER($K24),ISNUMBER($J24)),IF($J24=0,$E24*$K24,PV($J24/12,$K24,-$E24)),"")))</f>
        <v/>
      </c>
      <c r="M24" s="22">
        <f>IF(ISNUMBER($K24),$E24*$K24,"")</f>
        <v/>
      </c>
      <c r="N24" s="22">
        <f>IF(AND(ISNUMBER($M24),ISNUMBER($L24)),MAX(0,$M24-$L24),"")</f>
        <v/>
      </c>
      <c r="O24" s="78">
        <f>IF(ISNUMBER($K24),EDATE(Settings!$C$9,$K24),"")</f>
        <v/>
      </c>
      <c r="P24" s="77">
        <f>IF(ISNUMBER($J24),COUNTIF($J$6:$J$25,"&gt;"&amp;$J24)+1,"")</f>
        <v/>
      </c>
      <c r="Q24" s="77">
        <f>IF(ISNUMBER($L24),COUNTIF($L$6:$L$25,"&lt;"&amp;$L24)+1,"")</f>
        <v/>
      </c>
      <c r="R24" s="37">
        <f>IF(NOT(ISNUMBER($J24)),"",IF($J24&gt;=Settings!$C$6,"HIGH",IF($J24&gt;=Settings!$C$7,"CHECK","OK")))</f>
        <v/>
      </c>
      <c r="S24" s="1">
        <f>IF(ISNUMBER($J24),$J24+ROW()/10000000,"")</f>
        <v/>
      </c>
      <c r="T24" s="1" t="n"/>
    </row>
    <row r="25" ht="22" customHeight="1">
      <c r="A25" s="1" t="n"/>
      <c r="B25" s="71" t="n"/>
      <c r="C25" s="79" t="n"/>
      <c r="D25" s="80" t="n"/>
      <c r="E25" s="80" t="n"/>
      <c r="F25" s="81" t="n"/>
      <c r="G25" s="81" t="n"/>
      <c r="H25" s="82" t="n"/>
      <c r="I25" s="80" t="n"/>
      <c r="J25" s="38">
        <f>IF(NOT(AND($B25&lt;&gt;"",$E25&gt;0)),"",IF(ISNUMBER($H25),$H25,IF(AND($D25&gt;0,$F25&gt;0),IFERROR(RATE($F25,-$E25,$D25)*12,""),"")))</f>
        <v/>
      </c>
      <c r="K25" s="83">
        <f>IF(NOT(AND($B25&lt;&gt;"",$E25&gt;0)),"",IF($F25&gt;0,MAX(0,$F25-N($G25)),IF(AND(ISNUMBER($I25),ISNUMBER($J25)),IF($J25=0,ROUNDUP($I25/$E25,0),IFERROR(ROUNDUP(NPER($J25/12,-$E25,$I25),0),"Never")),"")))</f>
        <v/>
      </c>
      <c r="L25" s="26">
        <f>IF(NOT(AND($B25&lt;&gt;"",$E25&gt;0)),"",IF(ISNUMBER($I25),$I25,IF(AND(ISNUMBER($K25),ISNUMBER($J25)),IF($J25=0,$E25*$K25,PV($J25/12,$K25,-$E25)),"")))</f>
        <v/>
      </c>
      <c r="M25" s="26">
        <f>IF(ISNUMBER($K25),$E25*$K25,"")</f>
        <v/>
      </c>
      <c r="N25" s="26">
        <f>IF(AND(ISNUMBER($M25),ISNUMBER($L25)),MAX(0,$M25-$L25),"")</f>
        <v/>
      </c>
      <c r="O25" s="84">
        <f>IF(ISNUMBER($K25),EDATE(Settings!$C$9,$K25),"")</f>
        <v/>
      </c>
      <c r="P25" s="83">
        <f>IF(ISNUMBER($J25),COUNTIF($J$6:$J$25,"&gt;"&amp;$J25)+1,"")</f>
        <v/>
      </c>
      <c r="Q25" s="83">
        <f>IF(ISNUMBER($L25),COUNTIF($L$6:$L$25,"&lt;"&amp;$L25)+1,"")</f>
        <v/>
      </c>
      <c r="R25" s="39">
        <f>IF(NOT(ISNUMBER($J25)),"",IF($J25&gt;=Settings!$C$6,"HIGH",IF($J25&gt;=Settings!$C$7,"CHECK","OK")))</f>
        <v/>
      </c>
      <c r="S25" s="1">
        <f>IF(ISNUMBER($J25),$J25+ROW()/10000000,"")</f>
        <v/>
      </c>
      <c r="T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</sheetData>
  <autoFilter ref="B5:R25"/>
  <conditionalFormatting sqref="C6:C25">
    <cfRule type="cellIs" priority="1" operator="equal" dxfId="1">
      <formula>"Credit card"</formula>
    </cfRule>
    <cfRule type="cellIs" priority="2" operator="equal" dxfId="3">
      <formula>"Loan"</formula>
    </cfRule>
    <cfRule type="cellIs" priority="3" operator="equal" dxfId="0">
      <formula>"Installment"</formula>
    </cfRule>
    <cfRule type="cellIs" priority="4" operator="equal" dxfId="4">
      <formula>"BNPL"</formula>
    </cfRule>
    <cfRule type="cellIs" priority="5" operator="equal" dxfId="5">
      <formula>"Family / friend"</formula>
    </cfRule>
    <cfRule type="cellIs" priority="6" operator="equal" dxfId="6">
      <formula>"Other"</formula>
    </cfRule>
  </conditionalFormatting>
  <conditionalFormatting sqref="R6:R25">
    <cfRule type="cellIs" priority="7" operator="equal" dxfId="1">
      <formula>"HIGH"</formula>
    </cfRule>
    <cfRule type="cellIs" priority="8" operator="equal" dxfId="0">
      <formula>"CHECK"</formula>
    </cfRule>
    <cfRule type="cellIs" priority="9" operator="equal" dxfId="2">
      <formula>"OK"</formula>
    </cfRule>
  </conditionalFormatting>
  <conditionalFormatting sqref="J6:J25">
    <cfRule type="expression" priority="10" dxfId="7">
      <formula>AND(ISNUMBER($J6),$J6&gt;=Settings!$C$6)</formula>
    </cfRule>
  </conditionalFormatting>
  <conditionalFormatting sqref="P6:P25">
    <cfRule type="cellIs" priority="11" operator="equal" dxfId="8">
      <formula>1</formula>
    </cfRule>
  </conditionalFormatting>
  <dataValidations count="1">
    <dataValidation sqref="C6:C25" showDropDown="0" showInputMessage="0" showErrorMessage="0" allowBlank="1" type="list">
      <formula1>=Settings!$B$13:$B$18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3A3F58"/>
    <outlinePr summaryBelow="1" summaryRight="1"/>
    <pageSetUpPr/>
  </sheetPr>
  <dimension ref="A1:V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1" customWidth="1" min="4" max="4"/>
    <col width="12" customWidth="1" min="5" max="5"/>
    <col width="13" customWidth="1" min="6" max="6"/>
    <col width="13" customWidth="1" min="7" max="7"/>
    <col width="11" customWidth="1" min="8" max="8"/>
    <col width="10" customWidth="1" min="9" max="9"/>
    <col width="10" customWidth="1" min="10" max="10"/>
    <col width="9" customWidth="1" min="11" max="11"/>
    <col width="12" customWidth="1" min="12" max="12"/>
    <col width="12" customWidth="1" min="13" max="13"/>
    <col width="14" customWidth="1" min="14" max="14"/>
    <col width="11" customWidth="1" min="15" max="15"/>
    <col width="14" customWidth="1" min="16" max="16"/>
    <col width="10" customWidth="1" min="17" max="17"/>
    <col width="14" customWidth="1" min="18" max="18"/>
    <col hidden="1" width="4" customWidth="1" min="19" max="19"/>
    <col hidden="1" width="4" customWidth="1" min="20" max="20"/>
    <col hidden="1" width="4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30" customHeight="1">
      <c r="A2" s="1" t="n"/>
      <c r="B2" s="58" t="inlineStr">
        <is>
          <t>Subscriptions &amp; Free Trials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57" t="inlineStr">
        <is>
          <t>BLUE headers: you fill in   ·   ORANGE headers: calculated for you</t>
        </is>
      </c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n"/>
      <c r="B3" s="72">
        <f>COUNT(Subscriptions!$L$6:$L$35)&amp;" subscriptions   ·   "&amp;TEXT(SUM(Subscriptions!$L$6:$L$35),"$#,##0.00")&amp;" a month   ·   "&amp;TEXT(SUM(Subscriptions!$M$6:$M$35),"$#,##0")&amp;" a year   ·   cancel the ticked ones and save "&amp;TEXT(SUMIFS(Subscriptions!$M$6:$M$35,Subscriptions!$I$6:$I$35,"Yes"),"$#,##0")&amp;" a year"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4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34" customHeight="1">
      <c r="A5" s="1" t="n"/>
      <c r="B5" s="61" t="inlineStr">
        <is>
          <t>NAME</t>
        </is>
      </c>
      <c r="C5" s="61" t="inlineStr">
        <is>
          <t>CATEGORY</t>
        </is>
      </c>
      <c r="D5" s="61" t="inlineStr">
        <is>
          <t>PRICE</t>
        </is>
      </c>
      <c r="E5" s="61" t="inlineStr">
        <is>
          <t>BILLING</t>
        </is>
      </c>
      <c r="F5" s="61" t="inlineStr">
        <is>
          <t>START DATE</t>
        </is>
      </c>
      <c r="G5" s="61" t="inlineStr">
        <is>
          <t>PAID WITH</t>
        </is>
      </c>
      <c r="H5" s="61" t="inlineStr">
        <is>
          <t>AUTO-RENEW?</t>
        </is>
      </c>
      <c r="I5" s="61" t="inlineStr">
        <is>
          <t>CANCEL IT?</t>
        </is>
      </c>
      <c r="J5" s="61" t="inlineStr">
        <is>
          <t>FREE TRIAL?</t>
        </is>
      </c>
      <c r="K5" s="61" t="inlineStr">
        <is>
          <t>TRIAL DAYS</t>
        </is>
      </c>
      <c r="L5" s="40" t="inlineStr">
        <is>
          <t>MONTHLY COST</t>
        </is>
      </c>
      <c r="M5" s="40" t="inlineStr">
        <is>
          <t>YEARLY COST</t>
        </is>
      </c>
      <c r="N5" s="40" t="inlineStr">
        <is>
          <t>NEXT CHARGE</t>
        </is>
      </c>
      <c r="O5" s="40" t="inlineStr">
        <is>
          <t>DAYS TO CHARGE</t>
        </is>
      </c>
      <c r="P5" s="40" t="inlineStr">
        <is>
          <t>TRIAL: CANCEL BY</t>
        </is>
      </c>
      <c r="Q5" s="40" t="inlineStr">
        <is>
          <t>TRIAL DAYS LEFT</t>
        </is>
      </c>
      <c r="R5" s="40" t="inlineStr">
        <is>
          <t>ALERT</t>
        </is>
      </c>
      <c r="S5" s="1" t="inlineStr">
        <is>
          <t>key</t>
        </is>
      </c>
      <c r="T5" s="1" t="inlineStr">
        <is>
          <t>key</t>
        </is>
      </c>
      <c r="U5" s="1" t="inlineStr">
        <is>
          <t>key</t>
        </is>
      </c>
      <c r="V5" s="1" t="n"/>
    </row>
    <row r="6" ht="22" customHeight="1">
      <c r="A6" s="1" t="n"/>
      <c r="B6" s="70" t="inlineStr">
        <is>
          <t>Netflix</t>
        </is>
      </c>
      <c r="C6" s="73" t="inlineStr">
        <is>
          <t>Streaming</t>
        </is>
      </c>
      <c r="D6" s="74" t="n">
        <v>15.49</v>
      </c>
      <c r="E6" s="73" t="inlineStr">
        <is>
          <t>Monthly</t>
        </is>
      </c>
      <c r="F6" s="85" t="n">
        <v>45721</v>
      </c>
      <c r="G6" s="70" t="inlineStr">
        <is>
          <t>Credit card</t>
        </is>
      </c>
      <c r="H6" s="73" t="inlineStr">
        <is>
          <t>Yes</t>
        </is>
      </c>
      <c r="I6" s="73" t="inlineStr">
        <is>
          <t>No</t>
        </is>
      </c>
      <c r="J6" s="73" t="inlineStr">
        <is>
          <t>No</t>
        </is>
      </c>
      <c r="K6" s="75" t="n"/>
      <c r="L6" s="22">
        <f>IF(NOT(AND($B6&lt;&gt;"",$D6&gt;0)),"",IF($E6="Weekly",$D6*52/12,IF($E6="Quarterly",$D6/3,IF($E6="Yearly",$D6/12,$D6))))</f>
        <v/>
      </c>
      <c r="M6" s="22">
        <f>IF(ISNUMBER($L6),$L6*12,"")</f>
        <v/>
      </c>
      <c r="N6" s="78">
        <f>IF(OR(NOT(AND($B6&lt;&gt;"",$D6&gt;0)),$F6=""),"",IF($E6="Weekly",IF(IF($J6="Yes",$F6+N($K6),$F6)&gt;=Settings!$C$9,IF($J6="Yes",$F6+N($K6),$F6),IF($J6="Yes",$F6+N($K6),$F6)+7*CEILING((Settings!$C$9-IF($J6="Yes",$F6+N($K6),$F6))/7,1)),IF(EDATE(IF($J6="Yes",$F6+N($K6),$F6),IF($E6="Monthly",1,IF($E6="Quarterly",3,IF($E6="Yearly",12,0)))*(IF(IF($J6="Yes",$F6+N($K6),$F6)&gt;=Settings!$C$9,0,CEILING(DATEDIF(IF($J6="Yes",$F6+N($K6),$F6),Settings!$C$9,"M")/IF($E6="Monthly",1,IF($E6="Quarterly",3,IF($E6="Yearly",12,0))),1))))&gt;=Settings!$C$9,EDATE(IF($J6="Yes",$F6+N($K6),$F6),IF($E6="Monthly",1,IF($E6="Quarterly",3,IF($E6="Yearly",12,0)))*(IF(IF($J6="Yes",$F6+N($K6),$F6)&gt;=Settings!$C$9,0,CEILING(DATEDIF(IF($J6="Yes",$F6+N($K6),$F6),Settings!$C$9,"M")/IF($E6="Monthly",1,IF($E6="Quarterly",3,IF($E6="Yearly",12,0))),1)))),EDATE(IF($J6="Yes",$F6+N($K6),$F6),IF($E6="Monthly",1,IF($E6="Quarterly",3,IF($E6="Yearly",12,0)))*(IF(IF($J6="Yes",$F6+N($K6),$F6)&gt;=Settings!$C$9,0,CEILING(DATEDIF(IF($J6="Yes",$F6+N($K6),$F6),Settings!$C$9,"M")/IF($E6="Monthly",1,IF($E6="Quarterly",3,IF($E6="Yearly",12,0))),1))+1)))))</f>
        <v/>
      </c>
      <c r="O6" s="24">
        <f>IF(ISNUMBER($N6),$N6-Settings!$C$9,"")</f>
        <v/>
      </c>
      <c r="P6" s="78">
        <f>IF(AND(AND($B6&lt;&gt;"",$D6&gt;0),$J6="Yes",ISNUMBER($K6)),$F6+$K6-1,"")</f>
        <v/>
      </c>
      <c r="Q6" s="24">
        <f>IF(ISNUMBER($P6),$P6-Settings!$C$9,"")</f>
        <v/>
      </c>
      <c r="R6" s="37">
        <f>IF(NOT(AND($B6&lt;&gt;"",$D6&gt;0)),"",IF(AND(ISNUMBER($Q6),$Q6&lt;0,$I6&lt;&gt;"Yes"),"Trial ended",IF(AND(ISNUMBER($Q6),$Q6&lt;=Settings!$C$8),"Cancel soon?",IF($I6="Yes","To cancel",IF(AND(ISNUMBER($O6),$O6&lt;=Settings!$C$8),"Charge soon","OK")))))</f>
        <v/>
      </c>
      <c r="S6" s="1">
        <f>IF(ISNUMBER($O6),$O6+ROW()/1000,"")</f>
        <v/>
      </c>
      <c r="T6" s="1">
        <f>IF(ISNUMBER($M6),$M6+ROW()/100000,"")</f>
        <v/>
      </c>
      <c r="U6" s="1">
        <f>IF(AND(ISNUMBER($Q6),N($Q6)&gt;=0,$I6&lt;&gt;"Yes"),$Q6+ROW()/1000,"")</f>
        <v/>
      </c>
      <c r="V6" s="1" t="n"/>
    </row>
    <row r="7" ht="22" customHeight="1">
      <c r="A7" s="1" t="n"/>
      <c r="B7" s="71" t="inlineStr">
        <is>
          <t>Spotify</t>
        </is>
      </c>
      <c r="C7" s="79" t="inlineStr">
        <is>
          <t>Streaming</t>
        </is>
      </c>
      <c r="D7" s="80" t="n">
        <v>11.99</v>
      </c>
      <c r="E7" s="79" t="inlineStr">
        <is>
          <t>Monthly</t>
        </is>
      </c>
      <c r="F7" s="86" t="n">
        <v>45616</v>
      </c>
      <c r="G7" s="71" t="inlineStr">
        <is>
          <t>PayPal</t>
        </is>
      </c>
      <c r="H7" s="79" t="inlineStr">
        <is>
          <t>Yes</t>
        </is>
      </c>
      <c r="I7" s="79" t="inlineStr">
        <is>
          <t>No</t>
        </is>
      </c>
      <c r="J7" s="79" t="inlineStr">
        <is>
          <t>No</t>
        </is>
      </c>
      <c r="K7" s="81" t="n"/>
      <c r="L7" s="26">
        <f>IF(NOT(AND($B7&lt;&gt;"",$D7&gt;0)),"",IF($E7="Weekly",$D7*52/12,IF($E7="Quarterly",$D7/3,IF($E7="Yearly",$D7/12,$D7))))</f>
        <v/>
      </c>
      <c r="M7" s="26">
        <f>IF(ISNUMBER($L7),$L7*12,"")</f>
        <v/>
      </c>
      <c r="N7" s="84">
        <f>IF(OR(NOT(AND($B7&lt;&gt;"",$D7&gt;0)),$F7=""),"",IF($E7="Weekly",IF(IF($J7="Yes",$F7+N($K7),$F7)&gt;=Settings!$C$9,IF($J7="Yes",$F7+N($K7),$F7),IF($J7="Yes",$F7+N($K7),$F7)+7*CEILING((Settings!$C$9-IF($J7="Yes",$F7+N($K7),$F7))/7,1)),IF(EDATE(IF($J7="Yes",$F7+N($K7),$F7),IF($E7="Monthly",1,IF($E7="Quarterly",3,IF($E7="Yearly",12,0)))*(IF(IF($J7="Yes",$F7+N($K7),$F7)&gt;=Settings!$C$9,0,CEILING(DATEDIF(IF($J7="Yes",$F7+N($K7),$F7),Settings!$C$9,"M")/IF($E7="Monthly",1,IF($E7="Quarterly",3,IF($E7="Yearly",12,0))),1))))&gt;=Settings!$C$9,EDATE(IF($J7="Yes",$F7+N($K7),$F7),IF($E7="Monthly",1,IF($E7="Quarterly",3,IF($E7="Yearly",12,0)))*(IF(IF($J7="Yes",$F7+N($K7),$F7)&gt;=Settings!$C$9,0,CEILING(DATEDIF(IF($J7="Yes",$F7+N($K7),$F7),Settings!$C$9,"M")/IF($E7="Monthly",1,IF($E7="Quarterly",3,IF($E7="Yearly",12,0))),1)))),EDATE(IF($J7="Yes",$F7+N($K7),$F7),IF($E7="Monthly",1,IF($E7="Quarterly",3,IF($E7="Yearly",12,0)))*(IF(IF($J7="Yes",$F7+N($K7),$F7)&gt;=Settings!$C$9,0,CEILING(DATEDIF(IF($J7="Yes",$F7+N($K7),$F7),Settings!$C$9,"M")/IF($E7="Monthly",1,IF($E7="Quarterly",3,IF($E7="Yearly",12,0))),1))+1)))))</f>
        <v/>
      </c>
      <c r="O7" s="28">
        <f>IF(ISNUMBER($N7),$N7-Settings!$C$9,"")</f>
        <v/>
      </c>
      <c r="P7" s="84">
        <f>IF(AND(AND($B7&lt;&gt;"",$D7&gt;0),$J7="Yes",ISNUMBER($K7)),$F7+$K7-1,"")</f>
        <v/>
      </c>
      <c r="Q7" s="28">
        <f>IF(ISNUMBER($P7),$P7-Settings!$C$9,"")</f>
        <v/>
      </c>
      <c r="R7" s="39">
        <f>IF(NOT(AND($B7&lt;&gt;"",$D7&gt;0)),"",IF(AND(ISNUMBER($Q7),$Q7&lt;0,$I7&lt;&gt;"Yes"),"Trial ended",IF(AND(ISNUMBER($Q7),$Q7&lt;=Settings!$C$8),"Cancel soon?",IF($I7="Yes","To cancel",IF(AND(ISNUMBER($O7),$O7&lt;=Settings!$C$8),"Charge soon","OK")))))</f>
        <v/>
      </c>
      <c r="S7" s="1">
        <f>IF(ISNUMBER($O7),$O7+ROW()/1000,"")</f>
        <v/>
      </c>
      <c r="T7" s="1">
        <f>IF(ISNUMBER($M7),$M7+ROW()/100000,"")</f>
        <v/>
      </c>
      <c r="U7" s="1">
        <f>IF(AND(ISNUMBER($Q7),N($Q7)&gt;=0,$I7&lt;&gt;"Yes"),$Q7+ROW()/1000,"")</f>
        <v/>
      </c>
      <c r="V7" s="1" t="n"/>
    </row>
    <row r="8" ht="22" customHeight="1">
      <c r="A8" s="1" t="n"/>
      <c r="B8" s="70" t="inlineStr">
        <is>
          <t>Disney+</t>
        </is>
      </c>
      <c r="C8" s="73" t="inlineStr">
        <is>
          <t>Streaming</t>
        </is>
      </c>
      <c r="D8" s="74" t="n">
        <v>13.99</v>
      </c>
      <c r="E8" s="73" t="inlineStr">
        <is>
          <t>Monthly</t>
        </is>
      </c>
      <c r="F8" s="85" t="n">
        <v>45881</v>
      </c>
      <c r="G8" s="70" t="inlineStr">
        <is>
          <t>Credit card</t>
        </is>
      </c>
      <c r="H8" s="73" t="inlineStr">
        <is>
          <t>Yes</t>
        </is>
      </c>
      <c r="I8" s="73" t="inlineStr">
        <is>
          <t>Yes</t>
        </is>
      </c>
      <c r="J8" s="73" t="inlineStr">
        <is>
          <t>No</t>
        </is>
      </c>
      <c r="K8" s="75" t="n"/>
      <c r="L8" s="22">
        <f>IF(NOT(AND($B8&lt;&gt;"",$D8&gt;0)),"",IF($E8="Weekly",$D8*52/12,IF($E8="Quarterly",$D8/3,IF($E8="Yearly",$D8/12,$D8))))</f>
        <v/>
      </c>
      <c r="M8" s="22">
        <f>IF(ISNUMBER($L8),$L8*12,"")</f>
        <v/>
      </c>
      <c r="N8" s="78">
        <f>IF(OR(NOT(AND($B8&lt;&gt;"",$D8&gt;0)),$F8=""),"",IF($E8="Weekly",IF(IF($J8="Yes",$F8+N($K8),$F8)&gt;=Settings!$C$9,IF($J8="Yes",$F8+N($K8),$F8),IF($J8="Yes",$F8+N($K8),$F8)+7*CEILING((Settings!$C$9-IF($J8="Yes",$F8+N($K8),$F8))/7,1)),IF(EDATE(IF($J8="Yes",$F8+N($K8),$F8),IF($E8="Monthly",1,IF($E8="Quarterly",3,IF($E8="Yearly",12,0)))*(IF(IF($J8="Yes",$F8+N($K8),$F8)&gt;=Settings!$C$9,0,CEILING(DATEDIF(IF($J8="Yes",$F8+N($K8),$F8),Settings!$C$9,"M")/IF($E8="Monthly",1,IF($E8="Quarterly",3,IF($E8="Yearly",12,0))),1))))&gt;=Settings!$C$9,EDATE(IF($J8="Yes",$F8+N($K8),$F8),IF($E8="Monthly",1,IF($E8="Quarterly",3,IF($E8="Yearly",12,0)))*(IF(IF($J8="Yes",$F8+N($K8),$F8)&gt;=Settings!$C$9,0,CEILING(DATEDIF(IF($J8="Yes",$F8+N($K8),$F8),Settings!$C$9,"M")/IF($E8="Monthly",1,IF($E8="Quarterly",3,IF($E8="Yearly",12,0))),1)))),EDATE(IF($J8="Yes",$F8+N($K8),$F8),IF($E8="Monthly",1,IF($E8="Quarterly",3,IF($E8="Yearly",12,0)))*(IF(IF($J8="Yes",$F8+N($K8),$F8)&gt;=Settings!$C$9,0,CEILING(DATEDIF(IF($J8="Yes",$F8+N($K8),$F8),Settings!$C$9,"M")/IF($E8="Monthly",1,IF($E8="Quarterly",3,IF($E8="Yearly",12,0))),1))+1)))))</f>
        <v/>
      </c>
      <c r="O8" s="24">
        <f>IF(ISNUMBER($N8),$N8-Settings!$C$9,"")</f>
        <v/>
      </c>
      <c r="P8" s="78">
        <f>IF(AND(AND($B8&lt;&gt;"",$D8&gt;0),$J8="Yes",ISNUMBER($K8)),$F8+$K8-1,"")</f>
        <v/>
      </c>
      <c r="Q8" s="24">
        <f>IF(ISNUMBER($P8),$P8-Settings!$C$9,"")</f>
        <v/>
      </c>
      <c r="R8" s="37">
        <f>IF(NOT(AND($B8&lt;&gt;"",$D8&gt;0)),"",IF(AND(ISNUMBER($Q8),$Q8&lt;0,$I8&lt;&gt;"Yes"),"Trial ended",IF(AND(ISNUMBER($Q8),$Q8&lt;=Settings!$C$8),"Cancel soon?",IF($I8="Yes","To cancel",IF(AND(ISNUMBER($O8),$O8&lt;=Settings!$C$8),"Charge soon","OK")))))</f>
        <v/>
      </c>
      <c r="S8" s="1">
        <f>IF(ISNUMBER($O8),$O8+ROW()/1000,"")</f>
        <v/>
      </c>
      <c r="T8" s="1">
        <f>IF(ISNUMBER($M8),$M8+ROW()/100000,"")</f>
        <v/>
      </c>
      <c r="U8" s="1">
        <f>IF(AND(ISNUMBER($Q8),N($Q8)&gt;=0,$I8&lt;&gt;"Yes"),$Q8+ROW()/1000,"")</f>
        <v/>
      </c>
      <c r="V8" s="1" t="n"/>
    </row>
    <row r="9" ht="22" customHeight="1">
      <c r="A9" s="1" t="n"/>
      <c r="B9" s="71" t="inlineStr">
        <is>
          <t>YouTube Premium</t>
        </is>
      </c>
      <c r="C9" s="79" t="inlineStr">
        <is>
          <t>Streaming</t>
        </is>
      </c>
      <c r="D9" s="80" t="n">
        <v>13.99</v>
      </c>
      <c r="E9" s="79" t="inlineStr">
        <is>
          <t>Monthly</t>
        </is>
      </c>
      <c r="F9" s="86" t="n">
        <v>45805</v>
      </c>
      <c r="G9" s="71" t="inlineStr">
        <is>
          <t>Google Pay</t>
        </is>
      </c>
      <c r="H9" s="79" t="inlineStr">
        <is>
          <t>Yes</t>
        </is>
      </c>
      <c r="I9" s="79" t="inlineStr">
        <is>
          <t>No</t>
        </is>
      </c>
      <c r="J9" s="79" t="inlineStr">
        <is>
          <t>No</t>
        </is>
      </c>
      <c r="K9" s="81" t="n"/>
      <c r="L9" s="26">
        <f>IF(NOT(AND($B9&lt;&gt;"",$D9&gt;0)),"",IF($E9="Weekly",$D9*52/12,IF($E9="Quarterly",$D9/3,IF($E9="Yearly",$D9/12,$D9))))</f>
        <v/>
      </c>
      <c r="M9" s="26">
        <f>IF(ISNUMBER($L9),$L9*12,"")</f>
        <v/>
      </c>
      <c r="N9" s="84">
        <f>IF(OR(NOT(AND($B9&lt;&gt;"",$D9&gt;0)),$F9=""),"",IF($E9="Weekly",IF(IF($J9="Yes",$F9+N($K9),$F9)&gt;=Settings!$C$9,IF($J9="Yes",$F9+N($K9),$F9),IF($J9="Yes",$F9+N($K9),$F9)+7*CEILING((Settings!$C$9-IF($J9="Yes",$F9+N($K9),$F9))/7,1)),IF(EDATE(IF($J9="Yes",$F9+N($K9),$F9),IF($E9="Monthly",1,IF($E9="Quarterly",3,IF($E9="Yearly",12,0)))*(IF(IF($J9="Yes",$F9+N($K9),$F9)&gt;=Settings!$C$9,0,CEILING(DATEDIF(IF($J9="Yes",$F9+N($K9),$F9),Settings!$C$9,"M")/IF($E9="Monthly",1,IF($E9="Quarterly",3,IF($E9="Yearly",12,0))),1))))&gt;=Settings!$C$9,EDATE(IF($J9="Yes",$F9+N($K9),$F9),IF($E9="Monthly",1,IF($E9="Quarterly",3,IF($E9="Yearly",12,0)))*(IF(IF($J9="Yes",$F9+N($K9),$F9)&gt;=Settings!$C$9,0,CEILING(DATEDIF(IF($J9="Yes",$F9+N($K9),$F9),Settings!$C$9,"M")/IF($E9="Monthly",1,IF($E9="Quarterly",3,IF($E9="Yearly",12,0))),1)))),EDATE(IF($J9="Yes",$F9+N($K9),$F9),IF($E9="Monthly",1,IF($E9="Quarterly",3,IF($E9="Yearly",12,0)))*(IF(IF($J9="Yes",$F9+N($K9),$F9)&gt;=Settings!$C$9,0,CEILING(DATEDIF(IF($J9="Yes",$F9+N($K9),$F9),Settings!$C$9,"M")/IF($E9="Monthly",1,IF($E9="Quarterly",3,IF($E9="Yearly",12,0))),1))+1)))))</f>
        <v/>
      </c>
      <c r="O9" s="28">
        <f>IF(ISNUMBER($N9),$N9-Settings!$C$9,"")</f>
        <v/>
      </c>
      <c r="P9" s="84">
        <f>IF(AND(AND($B9&lt;&gt;"",$D9&gt;0),$J9="Yes",ISNUMBER($K9)),$F9+$K9-1,"")</f>
        <v/>
      </c>
      <c r="Q9" s="28">
        <f>IF(ISNUMBER($P9),$P9-Settings!$C$9,"")</f>
        <v/>
      </c>
      <c r="R9" s="39">
        <f>IF(NOT(AND($B9&lt;&gt;"",$D9&gt;0)),"",IF(AND(ISNUMBER($Q9),$Q9&lt;0,$I9&lt;&gt;"Yes"),"Trial ended",IF(AND(ISNUMBER($Q9),$Q9&lt;=Settings!$C$8),"Cancel soon?",IF($I9="Yes","To cancel",IF(AND(ISNUMBER($O9),$O9&lt;=Settings!$C$8),"Charge soon","OK")))))</f>
        <v/>
      </c>
      <c r="S9" s="1">
        <f>IF(ISNUMBER($O9),$O9+ROW()/1000,"")</f>
        <v/>
      </c>
      <c r="T9" s="1">
        <f>IF(ISNUMBER($M9),$M9+ROW()/100000,"")</f>
        <v/>
      </c>
      <c r="U9" s="1">
        <f>IF(AND(ISNUMBER($Q9),N($Q9)&gt;=0,$I9&lt;&gt;"Yes"),$Q9+ROW()/1000,"")</f>
        <v/>
      </c>
      <c r="V9" s="1" t="n"/>
    </row>
    <row r="10" ht="22" customHeight="1">
      <c r="A10" s="1" t="n"/>
      <c r="B10" s="70" t="inlineStr">
        <is>
          <t>Sports streaming</t>
        </is>
      </c>
      <c r="C10" s="73" t="inlineStr">
        <is>
          <t>Streaming</t>
        </is>
      </c>
      <c r="D10" s="74" t="n">
        <v>9.99</v>
      </c>
      <c r="E10" s="73" t="inlineStr">
        <is>
          <t>Monthly</t>
        </is>
      </c>
      <c r="F10" s="85" t="n">
        <v>46289</v>
      </c>
      <c r="G10" s="70" t="inlineStr">
        <is>
          <t>Credit card</t>
        </is>
      </c>
      <c r="H10" s="73" t="inlineStr">
        <is>
          <t>Yes</t>
        </is>
      </c>
      <c r="I10" s="73" t="inlineStr">
        <is>
          <t>No</t>
        </is>
      </c>
      <c r="J10" s="73" t="inlineStr">
        <is>
          <t>Yes</t>
        </is>
      </c>
      <c r="K10" s="75" t="n">
        <v>7</v>
      </c>
      <c r="L10" s="22">
        <f>IF(NOT(AND($B10&lt;&gt;"",$D10&gt;0)),"",IF($E10="Weekly",$D10*52/12,IF($E10="Quarterly",$D10/3,IF($E10="Yearly",$D10/12,$D10))))</f>
        <v/>
      </c>
      <c r="M10" s="22">
        <f>IF(ISNUMBER($L10),$L10*12,"")</f>
        <v/>
      </c>
      <c r="N10" s="78">
        <f>IF(OR(NOT(AND($B10&lt;&gt;"",$D10&gt;0)),$F10=""),"",IF($E10="Weekly",IF(IF($J10="Yes",$F10+N($K10),$F10)&gt;=Settings!$C$9,IF($J10="Yes",$F10+N($K10),$F10),IF($J10="Yes",$F10+N($K10),$F10)+7*CEILING((Settings!$C$9-IF($J10="Yes",$F10+N($K10),$F10))/7,1)),IF(EDATE(IF($J10="Yes",$F10+N($K10),$F10),IF($E10="Monthly",1,IF($E10="Quarterly",3,IF($E10="Yearly",12,0)))*(IF(IF($J10="Yes",$F10+N($K10),$F10)&gt;=Settings!$C$9,0,CEILING(DATEDIF(IF($J10="Yes",$F10+N($K10),$F10),Settings!$C$9,"M")/IF($E10="Monthly",1,IF($E10="Quarterly",3,IF($E10="Yearly",12,0))),1))))&gt;=Settings!$C$9,EDATE(IF($J10="Yes",$F10+N($K10),$F10),IF($E10="Monthly",1,IF($E10="Quarterly",3,IF($E10="Yearly",12,0)))*(IF(IF($J10="Yes",$F10+N($K10),$F10)&gt;=Settings!$C$9,0,CEILING(DATEDIF(IF($J10="Yes",$F10+N($K10),$F10),Settings!$C$9,"M")/IF($E10="Monthly",1,IF($E10="Quarterly",3,IF($E10="Yearly",12,0))),1)))),EDATE(IF($J10="Yes",$F10+N($K10),$F10),IF($E10="Monthly",1,IF($E10="Quarterly",3,IF($E10="Yearly",12,0)))*(IF(IF($J10="Yes",$F10+N($K10),$F10)&gt;=Settings!$C$9,0,CEILING(DATEDIF(IF($J10="Yes",$F10+N($K10),$F10),Settings!$C$9,"M")/IF($E10="Monthly",1,IF($E10="Quarterly",3,IF($E10="Yearly",12,0))),1))+1)))))</f>
        <v/>
      </c>
      <c r="O10" s="24">
        <f>IF(ISNUMBER($N10),$N10-Settings!$C$9,"")</f>
        <v/>
      </c>
      <c r="P10" s="78">
        <f>IF(AND(AND($B10&lt;&gt;"",$D10&gt;0),$J10="Yes",ISNUMBER($K10)),$F10+$K10-1,"")</f>
        <v/>
      </c>
      <c r="Q10" s="24">
        <f>IF(ISNUMBER($P10),$P10-Settings!$C$9,"")</f>
        <v/>
      </c>
      <c r="R10" s="37">
        <f>IF(NOT(AND($B10&lt;&gt;"",$D10&gt;0)),"",IF(AND(ISNUMBER($Q10),$Q10&lt;0,$I10&lt;&gt;"Yes"),"Trial ended",IF(AND(ISNUMBER($Q10),$Q10&lt;=Settings!$C$8),"Cancel soon?",IF($I10="Yes","To cancel",IF(AND(ISNUMBER($O10),$O10&lt;=Settings!$C$8),"Charge soon","OK")))))</f>
        <v/>
      </c>
      <c r="S10" s="1">
        <f>IF(ISNUMBER($O10),$O10+ROW()/1000,"")</f>
        <v/>
      </c>
      <c r="T10" s="1">
        <f>IF(ISNUMBER($M10),$M10+ROW()/100000,"")</f>
        <v/>
      </c>
      <c r="U10" s="1">
        <f>IF(AND(ISNUMBER($Q10),N($Q10)&gt;=0,$I10&lt;&gt;"Yes"),$Q10+ROW()/1000,"")</f>
        <v/>
      </c>
      <c r="V10" s="1" t="n"/>
    </row>
    <row r="11" ht="22" customHeight="1">
      <c r="A11" s="1" t="n"/>
      <c r="B11" s="71" t="inlineStr">
        <is>
          <t>Gym membership</t>
        </is>
      </c>
      <c r="C11" s="79" t="inlineStr">
        <is>
          <t>Fitness</t>
        </is>
      </c>
      <c r="D11" s="80" t="n">
        <v>45</v>
      </c>
      <c r="E11" s="79" t="inlineStr">
        <is>
          <t>Monthly</t>
        </is>
      </c>
      <c r="F11" s="86" t="n">
        <v>45667</v>
      </c>
      <c r="G11" s="71" t="inlineStr">
        <is>
          <t>Debit card</t>
        </is>
      </c>
      <c r="H11" s="79" t="inlineStr">
        <is>
          <t>Yes</t>
        </is>
      </c>
      <c r="I11" s="79" t="inlineStr">
        <is>
          <t>Yes</t>
        </is>
      </c>
      <c r="J11" s="79" t="inlineStr">
        <is>
          <t>No</t>
        </is>
      </c>
      <c r="K11" s="81" t="n"/>
      <c r="L11" s="26">
        <f>IF(NOT(AND($B11&lt;&gt;"",$D11&gt;0)),"",IF($E11="Weekly",$D11*52/12,IF($E11="Quarterly",$D11/3,IF($E11="Yearly",$D11/12,$D11))))</f>
        <v/>
      </c>
      <c r="M11" s="26">
        <f>IF(ISNUMBER($L11),$L11*12,"")</f>
        <v/>
      </c>
      <c r="N11" s="84">
        <f>IF(OR(NOT(AND($B11&lt;&gt;"",$D11&gt;0)),$F11=""),"",IF($E11="Weekly",IF(IF($J11="Yes",$F11+N($K11),$F11)&gt;=Settings!$C$9,IF($J11="Yes",$F11+N($K11),$F11),IF($J11="Yes",$F11+N($K11),$F11)+7*CEILING((Settings!$C$9-IF($J11="Yes",$F11+N($K11),$F11))/7,1)),IF(EDATE(IF($J11="Yes",$F11+N($K11),$F11),IF($E11="Monthly",1,IF($E11="Quarterly",3,IF($E11="Yearly",12,0)))*(IF(IF($J11="Yes",$F11+N($K11),$F11)&gt;=Settings!$C$9,0,CEILING(DATEDIF(IF($J11="Yes",$F11+N($K11),$F11),Settings!$C$9,"M")/IF($E11="Monthly",1,IF($E11="Quarterly",3,IF($E11="Yearly",12,0))),1))))&gt;=Settings!$C$9,EDATE(IF($J11="Yes",$F11+N($K11),$F11),IF($E11="Monthly",1,IF($E11="Quarterly",3,IF($E11="Yearly",12,0)))*(IF(IF($J11="Yes",$F11+N($K11),$F11)&gt;=Settings!$C$9,0,CEILING(DATEDIF(IF($J11="Yes",$F11+N($K11),$F11),Settings!$C$9,"M")/IF($E11="Monthly",1,IF($E11="Quarterly",3,IF($E11="Yearly",12,0))),1)))),EDATE(IF($J11="Yes",$F11+N($K11),$F11),IF($E11="Monthly",1,IF($E11="Quarterly",3,IF($E11="Yearly",12,0)))*(IF(IF($J11="Yes",$F11+N($K11),$F11)&gt;=Settings!$C$9,0,CEILING(DATEDIF(IF($J11="Yes",$F11+N($K11),$F11),Settings!$C$9,"M")/IF($E11="Monthly",1,IF($E11="Quarterly",3,IF($E11="Yearly",12,0))),1))+1)))))</f>
        <v/>
      </c>
      <c r="O11" s="28">
        <f>IF(ISNUMBER($N11),$N11-Settings!$C$9,"")</f>
        <v/>
      </c>
      <c r="P11" s="84">
        <f>IF(AND(AND($B11&lt;&gt;"",$D11&gt;0),$J11="Yes",ISNUMBER($K11)),$F11+$K11-1,"")</f>
        <v/>
      </c>
      <c r="Q11" s="28">
        <f>IF(ISNUMBER($P11),$P11-Settings!$C$9,"")</f>
        <v/>
      </c>
      <c r="R11" s="39">
        <f>IF(NOT(AND($B11&lt;&gt;"",$D11&gt;0)),"",IF(AND(ISNUMBER($Q11),$Q11&lt;0,$I11&lt;&gt;"Yes"),"Trial ended",IF(AND(ISNUMBER($Q11),$Q11&lt;=Settings!$C$8),"Cancel soon?",IF($I11="Yes","To cancel",IF(AND(ISNUMBER($O11),$O11&lt;=Settings!$C$8),"Charge soon","OK")))))</f>
        <v/>
      </c>
      <c r="S11" s="1">
        <f>IF(ISNUMBER($O11),$O11+ROW()/1000,"")</f>
        <v/>
      </c>
      <c r="T11" s="1">
        <f>IF(ISNUMBER($M11),$M11+ROW()/100000,"")</f>
        <v/>
      </c>
      <c r="U11" s="1">
        <f>IF(AND(ISNUMBER($Q11),N($Q11)&gt;=0,$I11&lt;&gt;"Yes"),$Q11+ROW()/1000,"")</f>
        <v/>
      </c>
      <c r="V11" s="1" t="n"/>
    </row>
    <row r="12" ht="22" customHeight="1">
      <c r="A12" s="1" t="n"/>
      <c r="B12" s="70" t="inlineStr">
        <is>
          <t>Yoga app</t>
        </is>
      </c>
      <c r="C12" s="73" t="inlineStr">
        <is>
          <t>Fitness</t>
        </is>
      </c>
      <c r="D12" s="74" t="n">
        <v>69.98999999999999</v>
      </c>
      <c r="E12" s="73" t="inlineStr">
        <is>
          <t>Yearly</t>
        </is>
      </c>
      <c r="F12" s="85" t="n">
        <v>46037</v>
      </c>
      <c r="G12" s="70" t="inlineStr">
        <is>
          <t>Apple Pay</t>
        </is>
      </c>
      <c r="H12" s="73" t="inlineStr">
        <is>
          <t>Yes</t>
        </is>
      </c>
      <c r="I12" s="73" t="inlineStr">
        <is>
          <t>No</t>
        </is>
      </c>
      <c r="J12" s="73" t="inlineStr">
        <is>
          <t>No</t>
        </is>
      </c>
      <c r="K12" s="75" t="n"/>
      <c r="L12" s="22">
        <f>IF(NOT(AND($B12&lt;&gt;"",$D12&gt;0)),"",IF($E12="Weekly",$D12*52/12,IF($E12="Quarterly",$D12/3,IF($E12="Yearly",$D12/12,$D12))))</f>
        <v/>
      </c>
      <c r="M12" s="22">
        <f>IF(ISNUMBER($L12),$L12*12,"")</f>
        <v/>
      </c>
      <c r="N12" s="78">
        <f>IF(OR(NOT(AND($B12&lt;&gt;"",$D12&gt;0)),$F12=""),"",IF($E12="Weekly",IF(IF($J12="Yes",$F12+N($K12),$F12)&gt;=Settings!$C$9,IF($J12="Yes",$F12+N($K12),$F12),IF($J12="Yes",$F12+N($K12),$F12)+7*CEILING((Settings!$C$9-IF($J12="Yes",$F12+N($K12),$F12))/7,1)),IF(EDATE(IF($J12="Yes",$F12+N($K12),$F12),IF($E12="Monthly",1,IF($E12="Quarterly",3,IF($E12="Yearly",12,0)))*(IF(IF($J12="Yes",$F12+N($K12),$F12)&gt;=Settings!$C$9,0,CEILING(DATEDIF(IF($J12="Yes",$F12+N($K12),$F12),Settings!$C$9,"M")/IF($E12="Monthly",1,IF($E12="Quarterly",3,IF($E12="Yearly",12,0))),1))))&gt;=Settings!$C$9,EDATE(IF($J12="Yes",$F12+N($K12),$F12),IF($E12="Monthly",1,IF($E12="Quarterly",3,IF($E12="Yearly",12,0)))*(IF(IF($J12="Yes",$F12+N($K12),$F12)&gt;=Settings!$C$9,0,CEILING(DATEDIF(IF($J12="Yes",$F12+N($K12),$F12),Settings!$C$9,"M")/IF($E12="Monthly",1,IF($E12="Quarterly",3,IF($E12="Yearly",12,0))),1)))),EDATE(IF($J12="Yes",$F12+N($K12),$F12),IF($E12="Monthly",1,IF($E12="Quarterly",3,IF($E12="Yearly",12,0)))*(IF(IF($J12="Yes",$F12+N($K12),$F12)&gt;=Settings!$C$9,0,CEILING(DATEDIF(IF($J12="Yes",$F12+N($K12),$F12),Settings!$C$9,"M")/IF($E12="Monthly",1,IF($E12="Quarterly",3,IF($E12="Yearly",12,0))),1))+1)))))</f>
        <v/>
      </c>
      <c r="O12" s="24">
        <f>IF(ISNUMBER($N12),$N12-Settings!$C$9,"")</f>
        <v/>
      </c>
      <c r="P12" s="78">
        <f>IF(AND(AND($B12&lt;&gt;"",$D12&gt;0),$J12="Yes",ISNUMBER($K12)),$F12+$K12-1,"")</f>
        <v/>
      </c>
      <c r="Q12" s="24">
        <f>IF(ISNUMBER($P12),$P12-Settings!$C$9,"")</f>
        <v/>
      </c>
      <c r="R12" s="37">
        <f>IF(NOT(AND($B12&lt;&gt;"",$D12&gt;0)),"",IF(AND(ISNUMBER($Q12),$Q12&lt;0,$I12&lt;&gt;"Yes"),"Trial ended",IF(AND(ISNUMBER($Q12),$Q12&lt;=Settings!$C$8),"Cancel soon?",IF($I12="Yes","To cancel",IF(AND(ISNUMBER($O12),$O12&lt;=Settings!$C$8),"Charge soon","OK")))))</f>
        <v/>
      </c>
      <c r="S12" s="1">
        <f>IF(ISNUMBER($O12),$O12+ROW()/1000,"")</f>
        <v/>
      </c>
      <c r="T12" s="1">
        <f>IF(ISNUMBER($M12),$M12+ROW()/100000,"")</f>
        <v/>
      </c>
      <c r="U12" s="1">
        <f>IF(AND(ISNUMBER($Q12),N($Q12)&gt;=0,$I12&lt;&gt;"Yes"),$Q12+ROW()/1000,"")</f>
        <v/>
      </c>
      <c r="V12" s="1" t="n"/>
    </row>
    <row r="13" ht="22" customHeight="1">
      <c r="A13" s="1" t="n"/>
      <c r="B13" s="71" t="inlineStr">
        <is>
          <t>Photo editing app</t>
        </is>
      </c>
      <c r="C13" s="79" t="inlineStr">
        <is>
          <t>Software</t>
        </is>
      </c>
      <c r="D13" s="80" t="n">
        <v>22.99</v>
      </c>
      <c r="E13" s="79" t="inlineStr">
        <is>
          <t>Monthly</t>
        </is>
      </c>
      <c r="F13" s="86" t="n">
        <v>46067</v>
      </c>
      <c r="G13" s="71" t="inlineStr">
        <is>
          <t>Credit card</t>
        </is>
      </c>
      <c r="H13" s="79" t="inlineStr">
        <is>
          <t>Yes</t>
        </is>
      </c>
      <c r="I13" s="79" t="inlineStr">
        <is>
          <t>No</t>
        </is>
      </c>
      <c r="J13" s="79" t="inlineStr">
        <is>
          <t>No</t>
        </is>
      </c>
      <c r="K13" s="81" t="n"/>
      <c r="L13" s="26">
        <f>IF(NOT(AND($B13&lt;&gt;"",$D13&gt;0)),"",IF($E13="Weekly",$D13*52/12,IF($E13="Quarterly",$D13/3,IF($E13="Yearly",$D13/12,$D13))))</f>
        <v/>
      </c>
      <c r="M13" s="26">
        <f>IF(ISNUMBER($L13),$L13*12,"")</f>
        <v/>
      </c>
      <c r="N13" s="84">
        <f>IF(OR(NOT(AND($B13&lt;&gt;"",$D13&gt;0)),$F13=""),"",IF($E13="Weekly",IF(IF($J13="Yes",$F13+N($K13),$F13)&gt;=Settings!$C$9,IF($J13="Yes",$F13+N($K13),$F13),IF($J13="Yes",$F13+N($K13),$F13)+7*CEILING((Settings!$C$9-IF($J13="Yes",$F13+N($K13),$F13))/7,1)),IF(EDATE(IF($J13="Yes",$F13+N($K13),$F13),IF($E13="Monthly",1,IF($E13="Quarterly",3,IF($E13="Yearly",12,0)))*(IF(IF($J13="Yes",$F13+N($K13),$F13)&gt;=Settings!$C$9,0,CEILING(DATEDIF(IF($J13="Yes",$F13+N($K13),$F13),Settings!$C$9,"M")/IF($E13="Monthly",1,IF($E13="Quarterly",3,IF($E13="Yearly",12,0))),1))))&gt;=Settings!$C$9,EDATE(IF($J13="Yes",$F13+N($K13),$F13),IF($E13="Monthly",1,IF($E13="Quarterly",3,IF($E13="Yearly",12,0)))*(IF(IF($J13="Yes",$F13+N($K13),$F13)&gt;=Settings!$C$9,0,CEILING(DATEDIF(IF($J13="Yes",$F13+N($K13),$F13),Settings!$C$9,"M")/IF($E13="Monthly",1,IF($E13="Quarterly",3,IF($E13="Yearly",12,0))),1)))),EDATE(IF($J13="Yes",$F13+N($K13),$F13),IF($E13="Monthly",1,IF($E13="Quarterly",3,IF($E13="Yearly",12,0)))*(IF(IF($J13="Yes",$F13+N($K13),$F13)&gt;=Settings!$C$9,0,CEILING(DATEDIF(IF($J13="Yes",$F13+N($K13),$F13),Settings!$C$9,"M")/IF($E13="Monthly",1,IF($E13="Quarterly",3,IF($E13="Yearly",12,0))),1))+1)))))</f>
        <v/>
      </c>
      <c r="O13" s="28">
        <f>IF(ISNUMBER($N13),$N13-Settings!$C$9,"")</f>
        <v/>
      </c>
      <c r="P13" s="84">
        <f>IF(AND(AND($B13&lt;&gt;"",$D13&gt;0),$J13="Yes",ISNUMBER($K13)),$F13+$K13-1,"")</f>
        <v/>
      </c>
      <c r="Q13" s="28">
        <f>IF(ISNUMBER($P13),$P13-Settings!$C$9,"")</f>
        <v/>
      </c>
      <c r="R13" s="39">
        <f>IF(NOT(AND($B13&lt;&gt;"",$D13&gt;0)),"",IF(AND(ISNUMBER($Q13),$Q13&lt;0,$I13&lt;&gt;"Yes"),"Trial ended",IF(AND(ISNUMBER($Q13),$Q13&lt;=Settings!$C$8),"Cancel soon?",IF($I13="Yes","To cancel",IF(AND(ISNUMBER($O13),$O13&lt;=Settings!$C$8),"Charge soon","OK")))))</f>
        <v/>
      </c>
      <c r="S13" s="1">
        <f>IF(ISNUMBER($O13),$O13+ROW()/1000,"")</f>
        <v/>
      </c>
      <c r="T13" s="1">
        <f>IF(ISNUMBER($M13),$M13+ROW()/100000,"")</f>
        <v/>
      </c>
      <c r="U13" s="1">
        <f>IF(AND(ISNUMBER($Q13),N($Q13)&gt;=0,$I13&lt;&gt;"Yes"),$Q13+ROW()/1000,"")</f>
        <v/>
      </c>
      <c r="V13" s="1" t="n"/>
    </row>
    <row r="14" ht="22" customHeight="1">
      <c r="A14" s="1" t="n"/>
      <c r="B14" s="70" t="inlineStr">
        <is>
          <t>AI assistant</t>
        </is>
      </c>
      <c r="C14" s="73" t="inlineStr">
        <is>
          <t>Software</t>
        </is>
      </c>
      <c r="D14" s="74" t="n">
        <v>20</v>
      </c>
      <c r="E14" s="73" t="inlineStr">
        <is>
          <t>Monthly</t>
        </is>
      </c>
      <c r="F14" s="85" t="n">
        <v>45903</v>
      </c>
      <c r="G14" s="70" t="inlineStr">
        <is>
          <t>Credit card</t>
        </is>
      </c>
      <c r="H14" s="73" t="inlineStr">
        <is>
          <t>Yes</t>
        </is>
      </c>
      <c r="I14" s="73" t="inlineStr">
        <is>
          <t>No</t>
        </is>
      </c>
      <c r="J14" s="73" t="inlineStr">
        <is>
          <t>No</t>
        </is>
      </c>
      <c r="K14" s="75" t="n"/>
      <c r="L14" s="22">
        <f>IF(NOT(AND($B14&lt;&gt;"",$D14&gt;0)),"",IF($E14="Weekly",$D14*52/12,IF($E14="Quarterly",$D14/3,IF($E14="Yearly",$D14/12,$D14))))</f>
        <v/>
      </c>
      <c r="M14" s="22">
        <f>IF(ISNUMBER($L14),$L14*12,"")</f>
        <v/>
      </c>
      <c r="N14" s="78">
        <f>IF(OR(NOT(AND($B14&lt;&gt;"",$D14&gt;0)),$F14=""),"",IF($E14="Weekly",IF(IF($J14="Yes",$F14+N($K14),$F14)&gt;=Settings!$C$9,IF($J14="Yes",$F14+N($K14),$F14),IF($J14="Yes",$F14+N($K14),$F14)+7*CEILING((Settings!$C$9-IF($J14="Yes",$F14+N($K14),$F14))/7,1)),IF(EDATE(IF($J14="Yes",$F14+N($K14),$F14),IF($E14="Monthly",1,IF($E14="Quarterly",3,IF($E14="Yearly",12,0)))*(IF(IF($J14="Yes",$F14+N($K14),$F14)&gt;=Settings!$C$9,0,CEILING(DATEDIF(IF($J14="Yes",$F14+N($K14),$F14),Settings!$C$9,"M")/IF($E14="Monthly",1,IF($E14="Quarterly",3,IF($E14="Yearly",12,0))),1))))&gt;=Settings!$C$9,EDATE(IF($J14="Yes",$F14+N($K14),$F14),IF($E14="Monthly",1,IF($E14="Quarterly",3,IF($E14="Yearly",12,0)))*(IF(IF($J14="Yes",$F14+N($K14),$F14)&gt;=Settings!$C$9,0,CEILING(DATEDIF(IF($J14="Yes",$F14+N($K14),$F14),Settings!$C$9,"M")/IF($E14="Monthly",1,IF($E14="Quarterly",3,IF($E14="Yearly",12,0))),1)))),EDATE(IF($J14="Yes",$F14+N($K14),$F14),IF($E14="Monthly",1,IF($E14="Quarterly",3,IF($E14="Yearly",12,0)))*(IF(IF($J14="Yes",$F14+N($K14),$F14)&gt;=Settings!$C$9,0,CEILING(DATEDIF(IF($J14="Yes",$F14+N($K14),$F14),Settings!$C$9,"M")/IF($E14="Monthly",1,IF($E14="Quarterly",3,IF($E14="Yearly",12,0))),1))+1)))))</f>
        <v/>
      </c>
      <c r="O14" s="24">
        <f>IF(ISNUMBER($N14),$N14-Settings!$C$9,"")</f>
        <v/>
      </c>
      <c r="P14" s="78">
        <f>IF(AND(AND($B14&lt;&gt;"",$D14&gt;0),$J14="Yes",ISNUMBER($K14)),$F14+$K14-1,"")</f>
        <v/>
      </c>
      <c r="Q14" s="24">
        <f>IF(ISNUMBER($P14),$P14-Settings!$C$9,"")</f>
        <v/>
      </c>
      <c r="R14" s="37">
        <f>IF(NOT(AND($B14&lt;&gt;"",$D14&gt;0)),"",IF(AND(ISNUMBER($Q14),$Q14&lt;0,$I14&lt;&gt;"Yes"),"Trial ended",IF(AND(ISNUMBER($Q14),$Q14&lt;=Settings!$C$8),"Cancel soon?",IF($I14="Yes","To cancel",IF(AND(ISNUMBER($O14),$O14&lt;=Settings!$C$8),"Charge soon","OK")))))</f>
        <v/>
      </c>
      <c r="S14" s="1">
        <f>IF(ISNUMBER($O14),$O14+ROW()/1000,"")</f>
        <v/>
      </c>
      <c r="T14" s="1">
        <f>IF(ISNUMBER($M14),$M14+ROW()/100000,"")</f>
        <v/>
      </c>
      <c r="U14" s="1">
        <f>IF(AND(ISNUMBER($Q14),N($Q14)&gt;=0,$I14&lt;&gt;"Yes"),$Q14+ROW()/1000,"")</f>
        <v/>
      </c>
      <c r="V14" s="1" t="n"/>
    </row>
    <row r="15" ht="22" customHeight="1">
      <c r="A15" s="1" t="n"/>
      <c r="B15" s="71" t="inlineStr">
        <is>
          <t>Password manager</t>
        </is>
      </c>
      <c r="C15" s="79" t="inlineStr">
        <is>
          <t>Software</t>
        </is>
      </c>
      <c r="D15" s="80" t="n">
        <v>35.88</v>
      </c>
      <c r="E15" s="79" t="inlineStr">
        <is>
          <t>Yearly</t>
        </is>
      </c>
      <c r="F15" s="86" t="n">
        <v>45992</v>
      </c>
      <c r="G15" s="71" t="inlineStr">
        <is>
          <t>Credit card</t>
        </is>
      </c>
      <c r="H15" s="79" t="inlineStr">
        <is>
          <t>Yes</t>
        </is>
      </c>
      <c r="I15" s="79" t="inlineStr">
        <is>
          <t>No</t>
        </is>
      </c>
      <c r="J15" s="79" t="inlineStr">
        <is>
          <t>No</t>
        </is>
      </c>
      <c r="K15" s="81" t="n"/>
      <c r="L15" s="26">
        <f>IF(NOT(AND($B15&lt;&gt;"",$D15&gt;0)),"",IF($E15="Weekly",$D15*52/12,IF($E15="Quarterly",$D15/3,IF($E15="Yearly",$D15/12,$D15))))</f>
        <v/>
      </c>
      <c r="M15" s="26">
        <f>IF(ISNUMBER($L15),$L15*12,"")</f>
        <v/>
      </c>
      <c r="N15" s="84">
        <f>IF(OR(NOT(AND($B15&lt;&gt;"",$D15&gt;0)),$F15=""),"",IF($E15="Weekly",IF(IF($J15="Yes",$F15+N($K15),$F15)&gt;=Settings!$C$9,IF($J15="Yes",$F15+N($K15),$F15),IF($J15="Yes",$F15+N($K15),$F15)+7*CEILING((Settings!$C$9-IF($J15="Yes",$F15+N($K15),$F15))/7,1)),IF(EDATE(IF($J15="Yes",$F15+N($K15),$F15),IF($E15="Monthly",1,IF($E15="Quarterly",3,IF($E15="Yearly",12,0)))*(IF(IF($J15="Yes",$F15+N($K15),$F15)&gt;=Settings!$C$9,0,CEILING(DATEDIF(IF($J15="Yes",$F15+N($K15),$F15),Settings!$C$9,"M")/IF($E15="Monthly",1,IF($E15="Quarterly",3,IF($E15="Yearly",12,0))),1))))&gt;=Settings!$C$9,EDATE(IF($J15="Yes",$F15+N($K15),$F15),IF($E15="Monthly",1,IF($E15="Quarterly",3,IF($E15="Yearly",12,0)))*(IF(IF($J15="Yes",$F15+N($K15),$F15)&gt;=Settings!$C$9,0,CEILING(DATEDIF(IF($J15="Yes",$F15+N($K15),$F15),Settings!$C$9,"M")/IF($E15="Monthly",1,IF($E15="Quarterly",3,IF($E15="Yearly",12,0))),1)))),EDATE(IF($J15="Yes",$F15+N($K15),$F15),IF($E15="Monthly",1,IF($E15="Quarterly",3,IF($E15="Yearly",12,0)))*(IF(IF($J15="Yes",$F15+N($K15),$F15)&gt;=Settings!$C$9,0,CEILING(DATEDIF(IF($J15="Yes",$F15+N($K15),$F15),Settings!$C$9,"M")/IF($E15="Monthly",1,IF($E15="Quarterly",3,IF($E15="Yearly",12,0))),1))+1)))))</f>
        <v/>
      </c>
      <c r="O15" s="28">
        <f>IF(ISNUMBER($N15),$N15-Settings!$C$9,"")</f>
        <v/>
      </c>
      <c r="P15" s="84">
        <f>IF(AND(AND($B15&lt;&gt;"",$D15&gt;0),$J15="Yes",ISNUMBER($K15)),$F15+$K15-1,"")</f>
        <v/>
      </c>
      <c r="Q15" s="28">
        <f>IF(ISNUMBER($P15),$P15-Settings!$C$9,"")</f>
        <v/>
      </c>
      <c r="R15" s="39">
        <f>IF(NOT(AND($B15&lt;&gt;"",$D15&gt;0)),"",IF(AND(ISNUMBER($Q15),$Q15&lt;0,$I15&lt;&gt;"Yes"),"Trial ended",IF(AND(ISNUMBER($Q15),$Q15&lt;=Settings!$C$8),"Cancel soon?",IF($I15="Yes","To cancel",IF(AND(ISNUMBER($O15),$O15&lt;=Settings!$C$8),"Charge soon","OK")))))</f>
        <v/>
      </c>
      <c r="S15" s="1">
        <f>IF(ISNUMBER($O15),$O15+ROW()/1000,"")</f>
        <v/>
      </c>
      <c r="T15" s="1">
        <f>IF(ISNUMBER($M15),$M15+ROW()/100000,"")</f>
        <v/>
      </c>
      <c r="U15" s="1">
        <f>IF(AND(ISNUMBER($Q15),N($Q15)&gt;=0,$I15&lt;&gt;"Yes"),$Q15+ROW()/1000,"")</f>
        <v/>
      </c>
      <c r="V15" s="1" t="n"/>
    </row>
    <row r="16" ht="22" customHeight="1">
      <c r="A16" s="1" t="n"/>
      <c r="B16" s="70" t="inlineStr">
        <is>
          <t>VPN</t>
        </is>
      </c>
      <c r="C16" s="73" t="inlineStr">
        <is>
          <t>Software</t>
        </is>
      </c>
      <c r="D16" s="74" t="n">
        <v>59.88</v>
      </c>
      <c r="E16" s="73" t="inlineStr">
        <is>
          <t>Yearly</t>
        </is>
      </c>
      <c r="F16" s="85" t="n">
        <v>46073</v>
      </c>
      <c r="G16" s="70" t="inlineStr">
        <is>
          <t>PayPal</t>
        </is>
      </c>
      <c r="H16" s="73" t="inlineStr">
        <is>
          <t>Yes</t>
        </is>
      </c>
      <c r="I16" s="73" t="inlineStr">
        <is>
          <t>No</t>
        </is>
      </c>
      <c r="J16" s="73" t="inlineStr">
        <is>
          <t>No</t>
        </is>
      </c>
      <c r="K16" s="75" t="n"/>
      <c r="L16" s="22">
        <f>IF(NOT(AND($B16&lt;&gt;"",$D16&gt;0)),"",IF($E16="Weekly",$D16*52/12,IF($E16="Quarterly",$D16/3,IF($E16="Yearly",$D16/12,$D16))))</f>
        <v/>
      </c>
      <c r="M16" s="22">
        <f>IF(ISNUMBER($L16),$L16*12,"")</f>
        <v/>
      </c>
      <c r="N16" s="78">
        <f>IF(OR(NOT(AND($B16&lt;&gt;"",$D16&gt;0)),$F16=""),"",IF($E16="Weekly",IF(IF($J16="Yes",$F16+N($K16),$F16)&gt;=Settings!$C$9,IF($J16="Yes",$F16+N($K16),$F16),IF($J16="Yes",$F16+N($K16),$F16)+7*CEILING((Settings!$C$9-IF($J16="Yes",$F16+N($K16),$F16))/7,1)),IF(EDATE(IF($J16="Yes",$F16+N($K16),$F16),IF($E16="Monthly",1,IF($E16="Quarterly",3,IF($E16="Yearly",12,0)))*(IF(IF($J16="Yes",$F16+N($K16),$F16)&gt;=Settings!$C$9,0,CEILING(DATEDIF(IF($J16="Yes",$F16+N($K16),$F16),Settings!$C$9,"M")/IF($E16="Monthly",1,IF($E16="Quarterly",3,IF($E16="Yearly",12,0))),1))))&gt;=Settings!$C$9,EDATE(IF($J16="Yes",$F16+N($K16),$F16),IF($E16="Monthly",1,IF($E16="Quarterly",3,IF($E16="Yearly",12,0)))*(IF(IF($J16="Yes",$F16+N($K16),$F16)&gt;=Settings!$C$9,0,CEILING(DATEDIF(IF($J16="Yes",$F16+N($K16),$F16),Settings!$C$9,"M")/IF($E16="Monthly",1,IF($E16="Quarterly",3,IF($E16="Yearly",12,0))),1)))),EDATE(IF($J16="Yes",$F16+N($K16),$F16),IF($E16="Monthly",1,IF($E16="Quarterly",3,IF($E16="Yearly",12,0)))*(IF(IF($J16="Yes",$F16+N($K16),$F16)&gt;=Settings!$C$9,0,CEILING(DATEDIF(IF($J16="Yes",$F16+N($K16),$F16),Settings!$C$9,"M")/IF($E16="Monthly",1,IF($E16="Quarterly",3,IF($E16="Yearly",12,0))),1))+1)))))</f>
        <v/>
      </c>
      <c r="O16" s="24">
        <f>IF(ISNUMBER($N16),$N16-Settings!$C$9,"")</f>
        <v/>
      </c>
      <c r="P16" s="78">
        <f>IF(AND(AND($B16&lt;&gt;"",$D16&gt;0),$J16="Yes",ISNUMBER($K16)),$F16+$K16-1,"")</f>
        <v/>
      </c>
      <c r="Q16" s="24">
        <f>IF(ISNUMBER($P16),$P16-Settings!$C$9,"")</f>
        <v/>
      </c>
      <c r="R16" s="37">
        <f>IF(NOT(AND($B16&lt;&gt;"",$D16&gt;0)),"",IF(AND(ISNUMBER($Q16),$Q16&lt;0,$I16&lt;&gt;"Yes"),"Trial ended",IF(AND(ISNUMBER($Q16),$Q16&lt;=Settings!$C$8),"Cancel soon?",IF($I16="Yes","To cancel",IF(AND(ISNUMBER($O16),$O16&lt;=Settings!$C$8),"Charge soon","OK")))))</f>
        <v/>
      </c>
      <c r="S16" s="1">
        <f>IF(ISNUMBER($O16),$O16+ROW()/1000,"")</f>
        <v/>
      </c>
      <c r="T16" s="1">
        <f>IF(ISNUMBER($M16),$M16+ROW()/100000,"")</f>
        <v/>
      </c>
      <c r="U16" s="1">
        <f>IF(AND(ISNUMBER($Q16),N($Q16)&gt;=0,$I16&lt;&gt;"Yes"),$Q16+ROW()/1000,"")</f>
        <v/>
      </c>
      <c r="V16" s="1" t="n"/>
    </row>
    <row r="17" ht="22" customHeight="1">
      <c r="A17" s="1" t="n"/>
      <c r="B17" s="71" t="inlineStr">
        <is>
          <t>Online shopping club</t>
        </is>
      </c>
      <c r="C17" s="79" t="inlineStr">
        <is>
          <t>Shopping</t>
        </is>
      </c>
      <c r="D17" s="80" t="n">
        <v>139</v>
      </c>
      <c r="E17" s="79" t="inlineStr">
        <is>
          <t>Yearly</t>
        </is>
      </c>
      <c r="F17" s="86" t="n">
        <v>45932</v>
      </c>
      <c r="G17" s="71" t="inlineStr">
        <is>
          <t>Credit card</t>
        </is>
      </c>
      <c r="H17" s="79" t="inlineStr">
        <is>
          <t>Yes</t>
        </is>
      </c>
      <c r="I17" s="79" t="inlineStr">
        <is>
          <t>No</t>
        </is>
      </c>
      <c r="J17" s="79" t="inlineStr">
        <is>
          <t>No</t>
        </is>
      </c>
      <c r="K17" s="81" t="n"/>
      <c r="L17" s="26">
        <f>IF(NOT(AND($B17&lt;&gt;"",$D17&gt;0)),"",IF($E17="Weekly",$D17*52/12,IF($E17="Quarterly",$D17/3,IF($E17="Yearly",$D17/12,$D17))))</f>
        <v/>
      </c>
      <c r="M17" s="26">
        <f>IF(ISNUMBER($L17),$L17*12,"")</f>
        <v/>
      </c>
      <c r="N17" s="84">
        <f>IF(OR(NOT(AND($B17&lt;&gt;"",$D17&gt;0)),$F17=""),"",IF($E17="Weekly",IF(IF($J17="Yes",$F17+N($K17),$F17)&gt;=Settings!$C$9,IF($J17="Yes",$F17+N($K17),$F17),IF($J17="Yes",$F17+N($K17),$F17)+7*CEILING((Settings!$C$9-IF($J17="Yes",$F17+N($K17),$F17))/7,1)),IF(EDATE(IF($J17="Yes",$F17+N($K17),$F17),IF($E17="Monthly",1,IF($E17="Quarterly",3,IF($E17="Yearly",12,0)))*(IF(IF($J17="Yes",$F17+N($K17),$F17)&gt;=Settings!$C$9,0,CEILING(DATEDIF(IF($J17="Yes",$F17+N($K17),$F17),Settings!$C$9,"M")/IF($E17="Monthly",1,IF($E17="Quarterly",3,IF($E17="Yearly",12,0))),1))))&gt;=Settings!$C$9,EDATE(IF($J17="Yes",$F17+N($K17),$F17),IF($E17="Monthly",1,IF($E17="Quarterly",3,IF($E17="Yearly",12,0)))*(IF(IF($J17="Yes",$F17+N($K17),$F17)&gt;=Settings!$C$9,0,CEILING(DATEDIF(IF($J17="Yes",$F17+N($K17),$F17),Settings!$C$9,"M")/IF($E17="Monthly",1,IF($E17="Quarterly",3,IF($E17="Yearly",12,0))),1)))),EDATE(IF($J17="Yes",$F17+N($K17),$F17),IF($E17="Monthly",1,IF($E17="Quarterly",3,IF($E17="Yearly",12,0)))*(IF(IF($J17="Yes",$F17+N($K17),$F17)&gt;=Settings!$C$9,0,CEILING(DATEDIF(IF($J17="Yes",$F17+N($K17),$F17),Settings!$C$9,"M")/IF($E17="Monthly",1,IF($E17="Quarterly",3,IF($E17="Yearly",12,0))),1))+1)))))</f>
        <v/>
      </c>
      <c r="O17" s="28">
        <f>IF(ISNUMBER($N17),$N17-Settings!$C$9,"")</f>
        <v/>
      </c>
      <c r="P17" s="84">
        <f>IF(AND(AND($B17&lt;&gt;"",$D17&gt;0),$J17="Yes",ISNUMBER($K17)),$F17+$K17-1,"")</f>
        <v/>
      </c>
      <c r="Q17" s="28">
        <f>IF(ISNUMBER($P17),$P17-Settings!$C$9,"")</f>
        <v/>
      </c>
      <c r="R17" s="39">
        <f>IF(NOT(AND($B17&lt;&gt;"",$D17&gt;0)),"",IF(AND(ISNUMBER($Q17),$Q17&lt;0,$I17&lt;&gt;"Yes"),"Trial ended",IF(AND(ISNUMBER($Q17),$Q17&lt;=Settings!$C$8),"Cancel soon?",IF($I17="Yes","To cancel",IF(AND(ISNUMBER($O17),$O17&lt;=Settings!$C$8),"Charge soon","OK")))))</f>
        <v/>
      </c>
      <c r="S17" s="1">
        <f>IF(ISNUMBER($O17),$O17+ROW()/1000,"")</f>
        <v/>
      </c>
      <c r="T17" s="1">
        <f>IF(ISNUMBER($M17),$M17+ROW()/100000,"")</f>
        <v/>
      </c>
      <c r="U17" s="1">
        <f>IF(AND(ISNUMBER($Q17),N($Q17)&gt;=0,$I17&lt;&gt;"Yes"),$Q17+ROW()/1000,"")</f>
        <v/>
      </c>
      <c r="V17" s="1" t="n"/>
    </row>
    <row r="18" ht="22" customHeight="1">
      <c r="A18" s="1" t="n"/>
      <c r="B18" s="70" t="inlineStr">
        <is>
          <t>Beauty box</t>
        </is>
      </c>
      <c r="C18" s="73" t="inlineStr">
        <is>
          <t>Shopping</t>
        </is>
      </c>
      <c r="D18" s="74" t="n">
        <v>28</v>
      </c>
      <c r="E18" s="73" t="inlineStr">
        <is>
          <t>Monthly</t>
        </is>
      </c>
      <c r="F18" s="85" t="n">
        <v>45856</v>
      </c>
      <c r="G18" s="70" t="inlineStr">
        <is>
          <t>Debit card</t>
        </is>
      </c>
      <c r="H18" s="73" t="inlineStr">
        <is>
          <t>Yes</t>
        </is>
      </c>
      <c r="I18" s="73" t="inlineStr">
        <is>
          <t>Yes</t>
        </is>
      </c>
      <c r="J18" s="73" t="inlineStr">
        <is>
          <t>No</t>
        </is>
      </c>
      <c r="K18" s="75" t="n"/>
      <c r="L18" s="22">
        <f>IF(NOT(AND($B18&lt;&gt;"",$D18&gt;0)),"",IF($E18="Weekly",$D18*52/12,IF($E18="Quarterly",$D18/3,IF($E18="Yearly",$D18/12,$D18))))</f>
        <v/>
      </c>
      <c r="M18" s="22">
        <f>IF(ISNUMBER($L18),$L18*12,"")</f>
        <v/>
      </c>
      <c r="N18" s="78">
        <f>IF(OR(NOT(AND($B18&lt;&gt;"",$D18&gt;0)),$F18=""),"",IF($E18="Weekly",IF(IF($J18="Yes",$F18+N($K18),$F18)&gt;=Settings!$C$9,IF($J18="Yes",$F18+N($K18),$F18),IF($J18="Yes",$F18+N($K18),$F18)+7*CEILING((Settings!$C$9-IF($J18="Yes",$F18+N($K18),$F18))/7,1)),IF(EDATE(IF($J18="Yes",$F18+N($K18),$F18),IF($E18="Monthly",1,IF($E18="Quarterly",3,IF($E18="Yearly",12,0)))*(IF(IF($J18="Yes",$F18+N($K18),$F18)&gt;=Settings!$C$9,0,CEILING(DATEDIF(IF($J18="Yes",$F18+N($K18),$F18),Settings!$C$9,"M")/IF($E18="Monthly",1,IF($E18="Quarterly",3,IF($E18="Yearly",12,0))),1))))&gt;=Settings!$C$9,EDATE(IF($J18="Yes",$F18+N($K18),$F18),IF($E18="Monthly",1,IF($E18="Quarterly",3,IF($E18="Yearly",12,0)))*(IF(IF($J18="Yes",$F18+N($K18),$F18)&gt;=Settings!$C$9,0,CEILING(DATEDIF(IF($J18="Yes",$F18+N($K18),$F18),Settings!$C$9,"M")/IF($E18="Monthly",1,IF($E18="Quarterly",3,IF($E18="Yearly",12,0))),1)))),EDATE(IF($J18="Yes",$F18+N($K18),$F18),IF($E18="Monthly",1,IF($E18="Quarterly",3,IF($E18="Yearly",12,0)))*(IF(IF($J18="Yes",$F18+N($K18),$F18)&gt;=Settings!$C$9,0,CEILING(DATEDIF(IF($J18="Yes",$F18+N($K18),$F18),Settings!$C$9,"M")/IF($E18="Monthly",1,IF($E18="Quarterly",3,IF($E18="Yearly",12,0))),1))+1)))))</f>
        <v/>
      </c>
      <c r="O18" s="24">
        <f>IF(ISNUMBER($N18),$N18-Settings!$C$9,"")</f>
        <v/>
      </c>
      <c r="P18" s="78">
        <f>IF(AND(AND($B18&lt;&gt;"",$D18&gt;0),$J18="Yes",ISNUMBER($K18)),$F18+$K18-1,"")</f>
        <v/>
      </c>
      <c r="Q18" s="24">
        <f>IF(ISNUMBER($P18),$P18-Settings!$C$9,"")</f>
        <v/>
      </c>
      <c r="R18" s="37">
        <f>IF(NOT(AND($B18&lt;&gt;"",$D18&gt;0)),"",IF(AND(ISNUMBER($Q18),$Q18&lt;0,$I18&lt;&gt;"Yes"),"Trial ended",IF(AND(ISNUMBER($Q18),$Q18&lt;=Settings!$C$8),"Cancel soon?",IF($I18="Yes","To cancel",IF(AND(ISNUMBER($O18),$O18&lt;=Settings!$C$8),"Charge soon","OK")))))</f>
        <v/>
      </c>
      <c r="S18" s="1">
        <f>IF(ISNUMBER($O18),$O18+ROW()/1000,"")</f>
        <v/>
      </c>
      <c r="T18" s="1">
        <f>IF(ISNUMBER($M18),$M18+ROW()/100000,"")</f>
        <v/>
      </c>
      <c r="U18" s="1">
        <f>IF(AND(ISNUMBER($Q18),N($Q18)&gt;=0,$I18&lt;&gt;"Yes"),$Q18+ROW()/1000,"")</f>
        <v/>
      </c>
      <c r="V18" s="1" t="n"/>
    </row>
    <row r="19" ht="22" customHeight="1">
      <c r="A19" s="1" t="n"/>
      <c r="B19" s="71" t="inlineStr">
        <is>
          <t>Cloud storage</t>
        </is>
      </c>
      <c r="C19" s="79" t="inlineStr">
        <is>
          <t>Cloud</t>
        </is>
      </c>
      <c r="D19" s="80" t="n">
        <v>2.99</v>
      </c>
      <c r="E19" s="79" t="inlineStr">
        <is>
          <t>Monthly</t>
        </is>
      </c>
      <c r="F19" s="86" t="n">
        <v>45809</v>
      </c>
      <c r="G19" s="71" t="inlineStr">
        <is>
          <t>Apple Pay</t>
        </is>
      </c>
      <c r="H19" s="79" t="inlineStr">
        <is>
          <t>Yes</t>
        </is>
      </c>
      <c r="I19" s="79" t="inlineStr">
        <is>
          <t>No</t>
        </is>
      </c>
      <c r="J19" s="79" t="inlineStr">
        <is>
          <t>No</t>
        </is>
      </c>
      <c r="K19" s="81" t="n"/>
      <c r="L19" s="26">
        <f>IF(NOT(AND($B19&lt;&gt;"",$D19&gt;0)),"",IF($E19="Weekly",$D19*52/12,IF($E19="Quarterly",$D19/3,IF($E19="Yearly",$D19/12,$D19))))</f>
        <v/>
      </c>
      <c r="M19" s="26">
        <f>IF(ISNUMBER($L19),$L19*12,"")</f>
        <v/>
      </c>
      <c r="N19" s="84">
        <f>IF(OR(NOT(AND($B19&lt;&gt;"",$D19&gt;0)),$F19=""),"",IF($E19="Weekly",IF(IF($J19="Yes",$F19+N($K19),$F19)&gt;=Settings!$C$9,IF($J19="Yes",$F19+N($K19),$F19),IF($J19="Yes",$F19+N($K19),$F19)+7*CEILING((Settings!$C$9-IF($J19="Yes",$F19+N($K19),$F19))/7,1)),IF(EDATE(IF($J19="Yes",$F19+N($K19),$F19),IF($E19="Monthly",1,IF($E19="Quarterly",3,IF($E19="Yearly",12,0)))*(IF(IF($J19="Yes",$F19+N($K19),$F19)&gt;=Settings!$C$9,0,CEILING(DATEDIF(IF($J19="Yes",$F19+N($K19),$F19),Settings!$C$9,"M")/IF($E19="Monthly",1,IF($E19="Quarterly",3,IF($E19="Yearly",12,0))),1))))&gt;=Settings!$C$9,EDATE(IF($J19="Yes",$F19+N($K19),$F19),IF($E19="Monthly",1,IF($E19="Quarterly",3,IF($E19="Yearly",12,0)))*(IF(IF($J19="Yes",$F19+N($K19),$F19)&gt;=Settings!$C$9,0,CEILING(DATEDIF(IF($J19="Yes",$F19+N($K19),$F19),Settings!$C$9,"M")/IF($E19="Monthly",1,IF($E19="Quarterly",3,IF($E19="Yearly",12,0))),1)))),EDATE(IF($J19="Yes",$F19+N($K19),$F19),IF($E19="Monthly",1,IF($E19="Quarterly",3,IF($E19="Yearly",12,0)))*(IF(IF($J19="Yes",$F19+N($K19),$F19)&gt;=Settings!$C$9,0,CEILING(DATEDIF(IF($J19="Yes",$F19+N($K19),$F19),Settings!$C$9,"M")/IF($E19="Monthly",1,IF($E19="Quarterly",3,IF($E19="Yearly",12,0))),1))+1)))))</f>
        <v/>
      </c>
      <c r="O19" s="28">
        <f>IF(ISNUMBER($N19),$N19-Settings!$C$9,"")</f>
        <v/>
      </c>
      <c r="P19" s="84">
        <f>IF(AND(AND($B19&lt;&gt;"",$D19&gt;0),$J19="Yes",ISNUMBER($K19)),$F19+$K19-1,"")</f>
        <v/>
      </c>
      <c r="Q19" s="28">
        <f>IF(ISNUMBER($P19),$P19-Settings!$C$9,"")</f>
        <v/>
      </c>
      <c r="R19" s="39">
        <f>IF(NOT(AND($B19&lt;&gt;"",$D19&gt;0)),"",IF(AND(ISNUMBER($Q19),$Q19&lt;0,$I19&lt;&gt;"Yes"),"Trial ended",IF(AND(ISNUMBER($Q19),$Q19&lt;=Settings!$C$8),"Cancel soon?",IF($I19="Yes","To cancel",IF(AND(ISNUMBER($O19),$O19&lt;=Settings!$C$8),"Charge soon","OK")))))</f>
        <v/>
      </c>
      <c r="S19" s="1">
        <f>IF(ISNUMBER($O19),$O19+ROW()/1000,"")</f>
        <v/>
      </c>
      <c r="T19" s="1">
        <f>IF(ISNUMBER($M19),$M19+ROW()/100000,"")</f>
        <v/>
      </c>
      <c r="U19" s="1">
        <f>IF(AND(ISNUMBER($Q19),N($Q19)&gt;=0,$I19&lt;&gt;"Yes"),$Q19+ROW()/1000,"")</f>
        <v/>
      </c>
      <c r="V19" s="1" t="n"/>
    </row>
    <row r="20" ht="22" customHeight="1">
      <c r="A20" s="1" t="n"/>
      <c r="B20" s="70" t="inlineStr">
        <is>
          <t>Meal kit</t>
        </is>
      </c>
      <c r="C20" s="73" t="inlineStr">
        <is>
          <t>Food</t>
        </is>
      </c>
      <c r="D20" s="74" t="n">
        <v>59.99</v>
      </c>
      <c r="E20" s="73" t="inlineStr">
        <is>
          <t>Weekly</t>
        </is>
      </c>
      <c r="F20" s="85" t="n">
        <v>46285</v>
      </c>
      <c r="G20" s="70" t="inlineStr">
        <is>
          <t>Credit card</t>
        </is>
      </c>
      <c r="H20" s="73" t="inlineStr">
        <is>
          <t>Yes</t>
        </is>
      </c>
      <c r="I20" s="73" t="inlineStr">
        <is>
          <t>No</t>
        </is>
      </c>
      <c r="J20" s="73" t="inlineStr">
        <is>
          <t>Yes</t>
        </is>
      </c>
      <c r="K20" s="75" t="n">
        <v>14</v>
      </c>
      <c r="L20" s="22">
        <f>IF(NOT(AND($B20&lt;&gt;"",$D20&gt;0)),"",IF($E20="Weekly",$D20*52/12,IF($E20="Quarterly",$D20/3,IF($E20="Yearly",$D20/12,$D20))))</f>
        <v/>
      </c>
      <c r="M20" s="22">
        <f>IF(ISNUMBER($L20),$L20*12,"")</f>
        <v/>
      </c>
      <c r="N20" s="78">
        <f>IF(OR(NOT(AND($B20&lt;&gt;"",$D20&gt;0)),$F20=""),"",IF($E20="Weekly",IF(IF($J20="Yes",$F20+N($K20),$F20)&gt;=Settings!$C$9,IF($J20="Yes",$F20+N($K20),$F20),IF($J20="Yes",$F20+N($K20),$F20)+7*CEILING((Settings!$C$9-IF($J20="Yes",$F20+N($K20),$F20))/7,1)),IF(EDATE(IF($J20="Yes",$F20+N($K20),$F20),IF($E20="Monthly",1,IF($E20="Quarterly",3,IF($E20="Yearly",12,0)))*(IF(IF($J20="Yes",$F20+N($K20),$F20)&gt;=Settings!$C$9,0,CEILING(DATEDIF(IF($J20="Yes",$F20+N($K20),$F20),Settings!$C$9,"M")/IF($E20="Monthly",1,IF($E20="Quarterly",3,IF($E20="Yearly",12,0))),1))))&gt;=Settings!$C$9,EDATE(IF($J20="Yes",$F20+N($K20),$F20),IF($E20="Monthly",1,IF($E20="Quarterly",3,IF($E20="Yearly",12,0)))*(IF(IF($J20="Yes",$F20+N($K20),$F20)&gt;=Settings!$C$9,0,CEILING(DATEDIF(IF($J20="Yes",$F20+N($K20),$F20),Settings!$C$9,"M")/IF($E20="Monthly",1,IF($E20="Quarterly",3,IF($E20="Yearly",12,0))),1)))),EDATE(IF($J20="Yes",$F20+N($K20),$F20),IF($E20="Monthly",1,IF($E20="Quarterly",3,IF($E20="Yearly",12,0)))*(IF(IF($J20="Yes",$F20+N($K20),$F20)&gt;=Settings!$C$9,0,CEILING(DATEDIF(IF($J20="Yes",$F20+N($K20),$F20),Settings!$C$9,"M")/IF($E20="Monthly",1,IF($E20="Quarterly",3,IF($E20="Yearly",12,0))),1))+1)))))</f>
        <v/>
      </c>
      <c r="O20" s="24">
        <f>IF(ISNUMBER($N20),$N20-Settings!$C$9,"")</f>
        <v/>
      </c>
      <c r="P20" s="78">
        <f>IF(AND(AND($B20&lt;&gt;"",$D20&gt;0),$J20="Yes",ISNUMBER($K20)),$F20+$K20-1,"")</f>
        <v/>
      </c>
      <c r="Q20" s="24">
        <f>IF(ISNUMBER($P20),$P20-Settings!$C$9,"")</f>
        <v/>
      </c>
      <c r="R20" s="37">
        <f>IF(NOT(AND($B20&lt;&gt;"",$D20&gt;0)),"",IF(AND(ISNUMBER($Q20),$Q20&lt;0,$I20&lt;&gt;"Yes"),"Trial ended",IF(AND(ISNUMBER($Q20),$Q20&lt;=Settings!$C$8),"Cancel soon?",IF($I20="Yes","To cancel",IF(AND(ISNUMBER($O20),$O20&lt;=Settings!$C$8),"Charge soon","OK")))))</f>
        <v/>
      </c>
      <c r="S20" s="1">
        <f>IF(ISNUMBER($O20),$O20+ROW()/1000,"")</f>
        <v/>
      </c>
      <c r="T20" s="1">
        <f>IF(ISNUMBER($M20),$M20+ROW()/100000,"")</f>
        <v/>
      </c>
      <c r="U20" s="1">
        <f>IF(AND(ISNUMBER($Q20),N($Q20)&gt;=0,$I20&lt;&gt;"Yes"),$Q20+ROW()/1000,"")</f>
        <v/>
      </c>
      <c r="V20" s="1" t="n"/>
    </row>
    <row r="21" ht="22" customHeight="1">
      <c r="A21" s="1" t="n"/>
      <c r="B21" s="71" t="inlineStr">
        <is>
          <t>Coffee subscription</t>
        </is>
      </c>
      <c r="C21" s="79" t="inlineStr">
        <is>
          <t>Food</t>
        </is>
      </c>
      <c r="D21" s="80" t="n">
        <v>18</v>
      </c>
      <c r="E21" s="79" t="inlineStr">
        <is>
          <t>Monthly</t>
        </is>
      </c>
      <c r="F21" s="86" t="n">
        <v>46121</v>
      </c>
      <c r="G21" s="71" t="inlineStr">
        <is>
          <t>PayPal</t>
        </is>
      </c>
      <c r="H21" s="79" t="inlineStr">
        <is>
          <t>Yes</t>
        </is>
      </c>
      <c r="I21" s="79" t="inlineStr">
        <is>
          <t>No</t>
        </is>
      </c>
      <c r="J21" s="79" t="inlineStr">
        <is>
          <t>No</t>
        </is>
      </c>
      <c r="K21" s="81" t="n"/>
      <c r="L21" s="26">
        <f>IF(NOT(AND($B21&lt;&gt;"",$D21&gt;0)),"",IF($E21="Weekly",$D21*52/12,IF($E21="Quarterly",$D21/3,IF($E21="Yearly",$D21/12,$D21))))</f>
        <v/>
      </c>
      <c r="M21" s="26">
        <f>IF(ISNUMBER($L21),$L21*12,"")</f>
        <v/>
      </c>
      <c r="N21" s="84">
        <f>IF(OR(NOT(AND($B21&lt;&gt;"",$D21&gt;0)),$F21=""),"",IF($E21="Weekly",IF(IF($J21="Yes",$F21+N($K21),$F21)&gt;=Settings!$C$9,IF($J21="Yes",$F21+N($K21),$F21),IF($J21="Yes",$F21+N($K21),$F21)+7*CEILING((Settings!$C$9-IF($J21="Yes",$F21+N($K21),$F21))/7,1)),IF(EDATE(IF($J21="Yes",$F21+N($K21),$F21),IF($E21="Monthly",1,IF($E21="Quarterly",3,IF($E21="Yearly",12,0)))*(IF(IF($J21="Yes",$F21+N($K21),$F21)&gt;=Settings!$C$9,0,CEILING(DATEDIF(IF($J21="Yes",$F21+N($K21),$F21),Settings!$C$9,"M")/IF($E21="Monthly",1,IF($E21="Quarterly",3,IF($E21="Yearly",12,0))),1))))&gt;=Settings!$C$9,EDATE(IF($J21="Yes",$F21+N($K21),$F21),IF($E21="Monthly",1,IF($E21="Quarterly",3,IF($E21="Yearly",12,0)))*(IF(IF($J21="Yes",$F21+N($K21),$F21)&gt;=Settings!$C$9,0,CEILING(DATEDIF(IF($J21="Yes",$F21+N($K21),$F21),Settings!$C$9,"M")/IF($E21="Monthly",1,IF($E21="Quarterly",3,IF($E21="Yearly",12,0))),1)))),EDATE(IF($J21="Yes",$F21+N($K21),$F21),IF($E21="Monthly",1,IF($E21="Quarterly",3,IF($E21="Yearly",12,0)))*(IF(IF($J21="Yes",$F21+N($K21),$F21)&gt;=Settings!$C$9,0,CEILING(DATEDIF(IF($J21="Yes",$F21+N($K21),$F21),Settings!$C$9,"M")/IF($E21="Monthly",1,IF($E21="Quarterly",3,IF($E21="Yearly",12,0))),1))+1)))))</f>
        <v/>
      </c>
      <c r="O21" s="28">
        <f>IF(ISNUMBER($N21),$N21-Settings!$C$9,"")</f>
        <v/>
      </c>
      <c r="P21" s="84">
        <f>IF(AND(AND($B21&lt;&gt;"",$D21&gt;0),$J21="Yes",ISNUMBER($K21)),$F21+$K21-1,"")</f>
        <v/>
      </c>
      <c r="Q21" s="28">
        <f>IF(ISNUMBER($P21),$P21-Settings!$C$9,"")</f>
        <v/>
      </c>
      <c r="R21" s="39">
        <f>IF(NOT(AND($B21&lt;&gt;"",$D21&gt;0)),"",IF(AND(ISNUMBER($Q21),$Q21&lt;0,$I21&lt;&gt;"Yes"),"Trial ended",IF(AND(ISNUMBER($Q21),$Q21&lt;=Settings!$C$8),"Cancel soon?",IF($I21="Yes","To cancel",IF(AND(ISNUMBER($O21),$O21&lt;=Settings!$C$8),"Charge soon","OK")))))</f>
        <v/>
      </c>
      <c r="S21" s="1">
        <f>IF(ISNUMBER($O21),$O21+ROW()/1000,"")</f>
        <v/>
      </c>
      <c r="T21" s="1">
        <f>IF(ISNUMBER($M21),$M21+ROW()/100000,"")</f>
        <v/>
      </c>
      <c r="U21" s="1">
        <f>IF(AND(ISNUMBER($Q21),N($Q21)&gt;=0,$I21&lt;&gt;"Yes"),$Q21+ROW()/1000,"")</f>
        <v/>
      </c>
      <c r="V21" s="1" t="n"/>
    </row>
    <row r="22" ht="22" customHeight="1">
      <c r="A22" s="1" t="n"/>
      <c r="B22" s="70" t="inlineStr">
        <is>
          <t>News site</t>
        </is>
      </c>
      <c r="C22" s="73" t="inlineStr">
        <is>
          <t>News</t>
        </is>
      </c>
      <c r="D22" s="74" t="n">
        <v>4.99</v>
      </c>
      <c r="E22" s="73" t="inlineStr">
        <is>
          <t>Monthly</t>
        </is>
      </c>
      <c r="F22" s="85" t="n">
        <v>46280</v>
      </c>
      <c r="G22" s="70" t="inlineStr">
        <is>
          <t>PayPal</t>
        </is>
      </c>
      <c r="H22" s="73" t="inlineStr">
        <is>
          <t>Yes</t>
        </is>
      </c>
      <c r="I22" s="73" t="inlineStr">
        <is>
          <t>Yes</t>
        </is>
      </c>
      <c r="J22" s="73" t="inlineStr">
        <is>
          <t>Yes</t>
        </is>
      </c>
      <c r="K22" s="75" t="n">
        <v>30</v>
      </c>
      <c r="L22" s="22">
        <f>IF(NOT(AND($B22&lt;&gt;"",$D22&gt;0)),"",IF($E22="Weekly",$D22*52/12,IF($E22="Quarterly",$D22/3,IF($E22="Yearly",$D22/12,$D22))))</f>
        <v/>
      </c>
      <c r="M22" s="22">
        <f>IF(ISNUMBER($L22),$L22*12,"")</f>
        <v/>
      </c>
      <c r="N22" s="78">
        <f>IF(OR(NOT(AND($B22&lt;&gt;"",$D22&gt;0)),$F22=""),"",IF($E22="Weekly",IF(IF($J22="Yes",$F22+N($K22),$F22)&gt;=Settings!$C$9,IF($J22="Yes",$F22+N($K22),$F22),IF($J22="Yes",$F22+N($K22),$F22)+7*CEILING((Settings!$C$9-IF($J22="Yes",$F22+N($K22),$F22))/7,1)),IF(EDATE(IF($J22="Yes",$F22+N($K22),$F22),IF($E22="Monthly",1,IF($E22="Quarterly",3,IF($E22="Yearly",12,0)))*(IF(IF($J22="Yes",$F22+N($K22),$F22)&gt;=Settings!$C$9,0,CEILING(DATEDIF(IF($J22="Yes",$F22+N($K22),$F22),Settings!$C$9,"M")/IF($E22="Monthly",1,IF($E22="Quarterly",3,IF($E22="Yearly",12,0))),1))))&gt;=Settings!$C$9,EDATE(IF($J22="Yes",$F22+N($K22),$F22),IF($E22="Monthly",1,IF($E22="Quarterly",3,IF($E22="Yearly",12,0)))*(IF(IF($J22="Yes",$F22+N($K22),$F22)&gt;=Settings!$C$9,0,CEILING(DATEDIF(IF($J22="Yes",$F22+N($K22),$F22),Settings!$C$9,"M")/IF($E22="Monthly",1,IF($E22="Quarterly",3,IF($E22="Yearly",12,0))),1)))),EDATE(IF($J22="Yes",$F22+N($K22),$F22),IF($E22="Monthly",1,IF($E22="Quarterly",3,IF($E22="Yearly",12,0)))*(IF(IF($J22="Yes",$F22+N($K22),$F22)&gt;=Settings!$C$9,0,CEILING(DATEDIF(IF($J22="Yes",$F22+N($K22),$F22),Settings!$C$9,"M")/IF($E22="Monthly",1,IF($E22="Quarterly",3,IF($E22="Yearly",12,0))),1))+1)))))</f>
        <v/>
      </c>
      <c r="O22" s="24">
        <f>IF(ISNUMBER($N22),$N22-Settings!$C$9,"")</f>
        <v/>
      </c>
      <c r="P22" s="78">
        <f>IF(AND(AND($B22&lt;&gt;"",$D22&gt;0),$J22="Yes",ISNUMBER($K22)),$F22+$K22-1,"")</f>
        <v/>
      </c>
      <c r="Q22" s="24">
        <f>IF(ISNUMBER($P22),$P22-Settings!$C$9,"")</f>
        <v/>
      </c>
      <c r="R22" s="37">
        <f>IF(NOT(AND($B22&lt;&gt;"",$D22&gt;0)),"",IF(AND(ISNUMBER($Q22),$Q22&lt;0,$I22&lt;&gt;"Yes"),"Trial ended",IF(AND(ISNUMBER($Q22),$Q22&lt;=Settings!$C$8),"Cancel soon?",IF($I22="Yes","To cancel",IF(AND(ISNUMBER($O22),$O22&lt;=Settings!$C$8),"Charge soon","OK")))))</f>
        <v/>
      </c>
      <c r="S22" s="1">
        <f>IF(ISNUMBER($O22),$O22+ROW()/1000,"")</f>
        <v/>
      </c>
      <c r="T22" s="1">
        <f>IF(ISNUMBER($M22),$M22+ROW()/100000,"")</f>
        <v/>
      </c>
      <c r="U22" s="1">
        <f>IF(AND(ISNUMBER($Q22),N($Q22)&gt;=0,$I22&lt;&gt;"Yes"),$Q22+ROW()/1000,"")</f>
        <v/>
      </c>
      <c r="V22" s="1" t="n"/>
    </row>
    <row r="23" ht="22" customHeight="1">
      <c r="A23" s="1" t="n"/>
      <c r="B23" s="71" t="inlineStr">
        <is>
          <t>Language app</t>
        </is>
      </c>
      <c r="C23" s="79" t="inlineStr">
        <is>
          <t>Education</t>
        </is>
      </c>
      <c r="D23" s="80" t="n">
        <v>12.99</v>
      </c>
      <c r="E23" s="79" t="inlineStr">
        <is>
          <t>Monthly</t>
        </is>
      </c>
      <c r="F23" s="86" t="n">
        <v>46290</v>
      </c>
      <c r="G23" s="71" t="inlineStr">
        <is>
          <t>Credit card</t>
        </is>
      </c>
      <c r="H23" s="79" t="inlineStr">
        <is>
          <t>Yes</t>
        </is>
      </c>
      <c r="I23" s="79" t="inlineStr">
        <is>
          <t>No</t>
        </is>
      </c>
      <c r="J23" s="79" t="inlineStr">
        <is>
          <t>Yes</t>
        </is>
      </c>
      <c r="K23" s="81" t="n">
        <v>7</v>
      </c>
      <c r="L23" s="26">
        <f>IF(NOT(AND($B23&lt;&gt;"",$D23&gt;0)),"",IF($E23="Weekly",$D23*52/12,IF($E23="Quarterly",$D23/3,IF($E23="Yearly",$D23/12,$D23))))</f>
        <v/>
      </c>
      <c r="M23" s="26">
        <f>IF(ISNUMBER($L23),$L23*12,"")</f>
        <v/>
      </c>
      <c r="N23" s="84">
        <f>IF(OR(NOT(AND($B23&lt;&gt;"",$D23&gt;0)),$F23=""),"",IF($E23="Weekly",IF(IF($J23="Yes",$F23+N($K23),$F23)&gt;=Settings!$C$9,IF($J23="Yes",$F23+N($K23),$F23),IF($J23="Yes",$F23+N($K23),$F23)+7*CEILING((Settings!$C$9-IF($J23="Yes",$F23+N($K23),$F23))/7,1)),IF(EDATE(IF($J23="Yes",$F23+N($K23),$F23),IF($E23="Monthly",1,IF($E23="Quarterly",3,IF($E23="Yearly",12,0)))*(IF(IF($J23="Yes",$F23+N($K23),$F23)&gt;=Settings!$C$9,0,CEILING(DATEDIF(IF($J23="Yes",$F23+N($K23),$F23),Settings!$C$9,"M")/IF($E23="Monthly",1,IF($E23="Quarterly",3,IF($E23="Yearly",12,0))),1))))&gt;=Settings!$C$9,EDATE(IF($J23="Yes",$F23+N($K23),$F23),IF($E23="Monthly",1,IF($E23="Quarterly",3,IF($E23="Yearly",12,0)))*(IF(IF($J23="Yes",$F23+N($K23),$F23)&gt;=Settings!$C$9,0,CEILING(DATEDIF(IF($J23="Yes",$F23+N($K23),$F23),Settings!$C$9,"M")/IF($E23="Monthly",1,IF($E23="Quarterly",3,IF($E23="Yearly",12,0))),1)))),EDATE(IF($J23="Yes",$F23+N($K23),$F23),IF($E23="Monthly",1,IF($E23="Quarterly",3,IF($E23="Yearly",12,0)))*(IF(IF($J23="Yes",$F23+N($K23),$F23)&gt;=Settings!$C$9,0,CEILING(DATEDIF(IF($J23="Yes",$F23+N($K23),$F23),Settings!$C$9,"M")/IF($E23="Monthly",1,IF($E23="Quarterly",3,IF($E23="Yearly",12,0))),1))+1)))))</f>
        <v/>
      </c>
      <c r="O23" s="28">
        <f>IF(ISNUMBER($N23),$N23-Settings!$C$9,"")</f>
        <v/>
      </c>
      <c r="P23" s="84">
        <f>IF(AND(AND($B23&lt;&gt;"",$D23&gt;0),$J23="Yes",ISNUMBER($K23)),$F23+$K23-1,"")</f>
        <v/>
      </c>
      <c r="Q23" s="28">
        <f>IF(ISNUMBER($P23),$P23-Settings!$C$9,"")</f>
        <v/>
      </c>
      <c r="R23" s="39">
        <f>IF(NOT(AND($B23&lt;&gt;"",$D23&gt;0)),"",IF(AND(ISNUMBER($Q23),$Q23&lt;0,$I23&lt;&gt;"Yes"),"Trial ended",IF(AND(ISNUMBER($Q23),$Q23&lt;=Settings!$C$8),"Cancel soon?",IF($I23="Yes","To cancel",IF(AND(ISNUMBER($O23),$O23&lt;=Settings!$C$8),"Charge soon","OK")))))</f>
        <v/>
      </c>
      <c r="S23" s="1">
        <f>IF(ISNUMBER($O23),$O23+ROW()/1000,"")</f>
        <v/>
      </c>
      <c r="T23" s="1">
        <f>IF(ISNUMBER($M23),$M23+ROW()/100000,"")</f>
        <v/>
      </c>
      <c r="U23" s="1">
        <f>IF(AND(ISNUMBER($Q23),N($Q23)&gt;=0,$I23&lt;&gt;"Yes"),$Q23+ROW()/1000,"")</f>
        <v/>
      </c>
      <c r="V23" s="1" t="n"/>
    </row>
    <row r="24" ht="22" customHeight="1">
      <c r="A24" s="1" t="n"/>
      <c r="B24" s="70" t="inlineStr">
        <is>
          <t>Online course platform</t>
        </is>
      </c>
      <c r="C24" s="73" t="inlineStr">
        <is>
          <t>Education</t>
        </is>
      </c>
      <c r="D24" s="74" t="n">
        <v>59</v>
      </c>
      <c r="E24" s="73" t="inlineStr">
        <is>
          <t>Quarterly</t>
        </is>
      </c>
      <c r="F24" s="85" t="n">
        <v>46084</v>
      </c>
      <c r="G24" s="70" t="inlineStr">
        <is>
          <t>Credit card</t>
        </is>
      </c>
      <c r="H24" s="73" t="inlineStr">
        <is>
          <t>No</t>
        </is>
      </c>
      <c r="I24" s="73" t="inlineStr">
        <is>
          <t>No</t>
        </is>
      </c>
      <c r="J24" s="73" t="inlineStr">
        <is>
          <t>No</t>
        </is>
      </c>
      <c r="K24" s="75" t="n"/>
      <c r="L24" s="22">
        <f>IF(NOT(AND($B24&lt;&gt;"",$D24&gt;0)),"",IF($E24="Weekly",$D24*52/12,IF($E24="Quarterly",$D24/3,IF($E24="Yearly",$D24/12,$D24))))</f>
        <v/>
      </c>
      <c r="M24" s="22">
        <f>IF(ISNUMBER($L24),$L24*12,"")</f>
        <v/>
      </c>
      <c r="N24" s="78">
        <f>IF(OR(NOT(AND($B24&lt;&gt;"",$D24&gt;0)),$F24=""),"",IF($E24="Weekly",IF(IF($J24="Yes",$F24+N($K24),$F24)&gt;=Settings!$C$9,IF($J24="Yes",$F24+N($K24),$F24),IF($J24="Yes",$F24+N($K24),$F24)+7*CEILING((Settings!$C$9-IF($J24="Yes",$F24+N($K24),$F24))/7,1)),IF(EDATE(IF($J24="Yes",$F24+N($K24),$F24),IF($E24="Monthly",1,IF($E24="Quarterly",3,IF($E24="Yearly",12,0)))*(IF(IF($J24="Yes",$F24+N($K24),$F24)&gt;=Settings!$C$9,0,CEILING(DATEDIF(IF($J24="Yes",$F24+N($K24),$F24),Settings!$C$9,"M")/IF($E24="Monthly",1,IF($E24="Quarterly",3,IF($E24="Yearly",12,0))),1))))&gt;=Settings!$C$9,EDATE(IF($J24="Yes",$F24+N($K24),$F24),IF($E24="Monthly",1,IF($E24="Quarterly",3,IF($E24="Yearly",12,0)))*(IF(IF($J24="Yes",$F24+N($K24),$F24)&gt;=Settings!$C$9,0,CEILING(DATEDIF(IF($J24="Yes",$F24+N($K24),$F24),Settings!$C$9,"M")/IF($E24="Monthly",1,IF($E24="Quarterly",3,IF($E24="Yearly",12,0))),1)))),EDATE(IF($J24="Yes",$F24+N($K24),$F24),IF($E24="Monthly",1,IF($E24="Quarterly",3,IF($E24="Yearly",12,0)))*(IF(IF($J24="Yes",$F24+N($K24),$F24)&gt;=Settings!$C$9,0,CEILING(DATEDIF(IF($J24="Yes",$F24+N($K24),$F24),Settings!$C$9,"M")/IF($E24="Monthly",1,IF($E24="Quarterly",3,IF($E24="Yearly",12,0))),1))+1)))))</f>
        <v/>
      </c>
      <c r="O24" s="24">
        <f>IF(ISNUMBER($N24),$N24-Settings!$C$9,"")</f>
        <v/>
      </c>
      <c r="P24" s="78">
        <f>IF(AND(AND($B24&lt;&gt;"",$D24&gt;0),$J24="Yes",ISNUMBER($K24)),$F24+$K24-1,"")</f>
        <v/>
      </c>
      <c r="Q24" s="24">
        <f>IF(ISNUMBER($P24),$P24-Settings!$C$9,"")</f>
        <v/>
      </c>
      <c r="R24" s="37">
        <f>IF(NOT(AND($B24&lt;&gt;"",$D24&gt;0)),"",IF(AND(ISNUMBER($Q24),$Q24&lt;0,$I24&lt;&gt;"Yes"),"Trial ended",IF(AND(ISNUMBER($Q24),$Q24&lt;=Settings!$C$8),"Cancel soon?",IF($I24="Yes","To cancel",IF(AND(ISNUMBER($O24),$O24&lt;=Settings!$C$8),"Charge soon","OK")))))</f>
        <v/>
      </c>
      <c r="S24" s="1">
        <f>IF(ISNUMBER($O24),$O24+ROW()/1000,"")</f>
        <v/>
      </c>
      <c r="T24" s="1">
        <f>IF(ISNUMBER($M24),$M24+ROW()/100000,"")</f>
        <v/>
      </c>
      <c r="U24" s="1">
        <f>IF(AND(ISNUMBER($Q24),N($Q24)&gt;=0,$I24&lt;&gt;"Yes"),$Q24+ROW()/1000,"")</f>
        <v/>
      </c>
      <c r="V24" s="1" t="n"/>
    </row>
    <row r="25" ht="22" customHeight="1">
      <c r="A25" s="1" t="n"/>
      <c r="B25" s="71" t="n"/>
      <c r="C25" s="79" t="n"/>
      <c r="D25" s="80" t="n"/>
      <c r="E25" s="79" t="n"/>
      <c r="F25" s="86" t="n"/>
      <c r="G25" s="71" t="n"/>
      <c r="H25" s="79" t="n"/>
      <c r="I25" s="79" t="n"/>
      <c r="J25" s="79" t="n"/>
      <c r="K25" s="81" t="n"/>
      <c r="L25" s="26">
        <f>IF(NOT(AND($B25&lt;&gt;"",$D25&gt;0)),"",IF($E25="Weekly",$D25*52/12,IF($E25="Quarterly",$D25/3,IF($E25="Yearly",$D25/12,$D25))))</f>
        <v/>
      </c>
      <c r="M25" s="26">
        <f>IF(ISNUMBER($L25),$L25*12,"")</f>
        <v/>
      </c>
      <c r="N25" s="84">
        <f>IF(OR(NOT(AND($B25&lt;&gt;"",$D25&gt;0)),$F25=""),"",IF($E25="Weekly",IF(IF($J25="Yes",$F25+N($K25),$F25)&gt;=Settings!$C$9,IF($J25="Yes",$F25+N($K25),$F25),IF($J25="Yes",$F25+N($K25),$F25)+7*CEILING((Settings!$C$9-IF($J25="Yes",$F25+N($K25),$F25))/7,1)),IF(EDATE(IF($J25="Yes",$F25+N($K25),$F25),IF($E25="Monthly",1,IF($E25="Quarterly",3,IF($E25="Yearly",12,0)))*(IF(IF($J25="Yes",$F25+N($K25),$F25)&gt;=Settings!$C$9,0,CEILING(DATEDIF(IF($J25="Yes",$F25+N($K25),$F25),Settings!$C$9,"M")/IF($E25="Monthly",1,IF($E25="Quarterly",3,IF($E25="Yearly",12,0))),1))))&gt;=Settings!$C$9,EDATE(IF($J25="Yes",$F25+N($K25),$F25),IF($E25="Monthly",1,IF($E25="Quarterly",3,IF($E25="Yearly",12,0)))*(IF(IF($J25="Yes",$F25+N($K25),$F25)&gt;=Settings!$C$9,0,CEILING(DATEDIF(IF($J25="Yes",$F25+N($K25),$F25),Settings!$C$9,"M")/IF($E25="Monthly",1,IF($E25="Quarterly",3,IF($E25="Yearly",12,0))),1)))),EDATE(IF($J25="Yes",$F25+N($K25),$F25),IF($E25="Monthly",1,IF($E25="Quarterly",3,IF($E25="Yearly",12,0)))*(IF(IF($J25="Yes",$F25+N($K25),$F25)&gt;=Settings!$C$9,0,CEILING(DATEDIF(IF($J25="Yes",$F25+N($K25),$F25),Settings!$C$9,"M")/IF($E25="Monthly",1,IF($E25="Quarterly",3,IF($E25="Yearly",12,0))),1))+1)))))</f>
        <v/>
      </c>
      <c r="O25" s="28">
        <f>IF(ISNUMBER($N25),$N25-Settings!$C$9,"")</f>
        <v/>
      </c>
      <c r="P25" s="84">
        <f>IF(AND(AND($B25&lt;&gt;"",$D25&gt;0),$J25="Yes",ISNUMBER($K25)),$F25+$K25-1,"")</f>
        <v/>
      </c>
      <c r="Q25" s="28">
        <f>IF(ISNUMBER($P25),$P25-Settings!$C$9,"")</f>
        <v/>
      </c>
      <c r="R25" s="39">
        <f>IF(NOT(AND($B25&lt;&gt;"",$D25&gt;0)),"",IF(AND(ISNUMBER($Q25),$Q25&lt;0,$I25&lt;&gt;"Yes"),"Trial ended",IF(AND(ISNUMBER($Q25),$Q25&lt;=Settings!$C$8),"Cancel soon?",IF($I25="Yes","To cancel",IF(AND(ISNUMBER($O25),$O25&lt;=Settings!$C$8),"Charge soon","OK")))))</f>
        <v/>
      </c>
      <c r="S25" s="1">
        <f>IF(ISNUMBER($O25),$O25+ROW()/1000,"")</f>
        <v/>
      </c>
      <c r="T25" s="1">
        <f>IF(ISNUMBER($M25),$M25+ROW()/100000,"")</f>
        <v/>
      </c>
      <c r="U25" s="1">
        <f>IF(AND(ISNUMBER($Q25),N($Q25)&gt;=0,$I25&lt;&gt;"Yes"),$Q25+ROW()/1000,"")</f>
        <v/>
      </c>
      <c r="V25" s="1" t="n"/>
    </row>
    <row r="26" ht="22" customHeight="1">
      <c r="A26" s="1" t="n"/>
      <c r="B26" s="70" t="n"/>
      <c r="C26" s="73" t="n"/>
      <c r="D26" s="74" t="n"/>
      <c r="E26" s="73" t="n"/>
      <c r="F26" s="85" t="n"/>
      <c r="G26" s="70" t="n"/>
      <c r="H26" s="73" t="n"/>
      <c r="I26" s="73" t="n"/>
      <c r="J26" s="73" t="n"/>
      <c r="K26" s="75" t="n"/>
      <c r="L26" s="22">
        <f>IF(NOT(AND($B26&lt;&gt;"",$D26&gt;0)),"",IF($E26="Weekly",$D26*52/12,IF($E26="Quarterly",$D26/3,IF($E26="Yearly",$D26/12,$D26))))</f>
        <v/>
      </c>
      <c r="M26" s="22">
        <f>IF(ISNUMBER($L26),$L26*12,"")</f>
        <v/>
      </c>
      <c r="N26" s="78">
        <f>IF(OR(NOT(AND($B26&lt;&gt;"",$D26&gt;0)),$F26=""),"",IF($E26="Weekly",IF(IF($J26="Yes",$F26+N($K26),$F26)&gt;=Settings!$C$9,IF($J26="Yes",$F26+N($K26),$F26),IF($J26="Yes",$F26+N($K26),$F26)+7*CEILING((Settings!$C$9-IF($J26="Yes",$F26+N($K26),$F26))/7,1)),IF(EDATE(IF($J26="Yes",$F26+N($K26),$F26),IF($E26="Monthly",1,IF($E26="Quarterly",3,IF($E26="Yearly",12,0)))*(IF(IF($J26="Yes",$F26+N($K26),$F26)&gt;=Settings!$C$9,0,CEILING(DATEDIF(IF($J26="Yes",$F26+N($K26),$F26),Settings!$C$9,"M")/IF($E26="Monthly",1,IF($E26="Quarterly",3,IF($E26="Yearly",12,0))),1))))&gt;=Settings!$C$9,EDATE(IF($J26="Yes",$F26+N($K26),$F26),IF($E26="Monthly",1,IF($E26="Quarterly",3,IF($E26="Yearly",12,0)))*(IF(IF($J26="Yes",$F26+N($K26),$F26)&gt;=Settings!$C$9,0,CEILING(DATEDIF(IF($J26="Yes",$F26+N($K26),$F26),Settings!$C$9,"M")/IF($E26="Monthly",1,IF($E26="Quarterly",3,IF($E26="Yearly",12,0))),1)))),EDATE(IF($J26="Yes",$F26+N($K26),$F26),IF($E26="Monthly",1,IF($E26="Quarterly",3,IF($E26="Yearly",12,0)))*(IF(IF($J26="Yes",$F26+N($K26),$F26)&gt;=Settings!$C$9,0,CEILING(DATEDIF(IF($J26="Yes",$F26+N($K26),$F26),Settings!$C$9,"M")/IF($E26="Monthly",1,IF($E26="Quarterly",3,IF($E26="Yearly",12,0))),1))+1)))))</f>
        <v/>
      </c>
      <c r="O26" s="24">
        <f>IF(ISNUMBER($N26),$N26-Settings!$C$9,"")</f>
        <v/>
      </c>
      <c r="P26" s="78">
        <f>IF(AND(AND($B26&lt;&gt;"",$D26&gt;0),$J26="Yes",ISNUMBER($K26)),$F26+$K26-1,"")</f>
        <v/>
      </c>
      <c r="Q26" s="24">
        <f>IF(ISNUMBER($P26),$P26-Settings!$C$9,"")</f>
        <v/>
      </c>
      <c r="R26" s="37">
        <f>IF(NOT(AND($B26&lt;&gt;"",$D26&gt;0)),"",IF(AND(ISNUMBER($Q26),$Q26&lt;0,$I26&lt;&gt;"Yes"),"Trial ended",IF(AND(ISNUMBER($Q26),$Q26&lt;=Settings!$C$8),"Cancel soon?",IF($I26="Yes","To cancel",IF(AND(ISNUMBER($O26),$O26&lt;=Settings!$C$8),"Charge soon","OK")))))</f>
        <v/>
      </c>
      <c r="S26" s="1">
        <f>IF(ISNUMBER($O26),$O26+ROW()/1000,"")</f>
        <v/>
      </c>
      <c r="T26" s="1">
        <f>IF(ISNUMBER($M26),$M26+ROW()/100000,"")</f>
        <v/>
      </c>
      <c r="U26" s="1">
        <f>IF(AND(ISNUMBER($Q26),N($Q26)&gt;=0,$I26&lt;&gt;"Yes"),$Q26+ROW()/1000,"")</f>
        <v/>
      </c>
      <c r="V26" s="1" t="n"/>
    </row>
    <row r="27" ht="22" customHeight="1">
      <c r="A27" s="1" t="n"/>
      <c r="B27" s="71" t="n"/>
      <c r="C27" s="79" t="n"/>
      <c r="D27" s="80" t="n"/>
      <c r="E27" s="79" t="n"/>
      <c r="F27" s="86" t="n"/>
      <c r="G27" s="71" t="n"/>
      <c r="H27" s="79" t="n"/>
      <c r="I27" s="79" t="n"/>
      <c r="J27" s="79" t="n"/>
      <c r="K27" s="81" t="n"/>
      <c r="L27" s="26">
        <f>IF(NOT(AND($B27&lt;&gt;"",$D27&gt;0)),"",IF($E27="Weekly",$D27*52/12,IF($E27="Quarterly",$D27/3,IF($E27="Yearly",$D27/12,$D27))))</f>
        <v/>
      </c>
      <c r="M27" s="26">
        <f>IF(ISNUMBER($L27),$L27*12,"")</f>
        <v/>
      </c>
      <c r="N27" s="84">
        <f>IF(OR(NOT(AND($B27&lt;&gt;"",$D27&gt;0)),$F27=""),"",IF($E27="Weekly",IF(IF($J27="Yes",$F27+N($K27),$F27)&gt;=Settings!$C$9,IF($J27="Yes",$F27+N($K27),$F27),IF($J27="Yes",$F27+N($K27),$F27)+7*CEILING((Settings!$C$9-IF($J27="Yes",$F27+N($K27),$F27))/7,1)),IF(EDATE(IF($J27="Yes",$F27+N($K27),$F27),IF($E27="Monthly",1,IF($E27="Quarterly",3,IF($E27="Yearly",12,0)))*(IF(IF($J27="Yes",$F27+N($K27),$F27)&gt;=Settings!$C$9,0,CEILING(DATEDIF(IF($J27="Yes",$F27+N($K27),$F27),Settings!$C$9,"M")/IF($E27="Monthly",1,IF($E27="Quarterly",3,IF($E27="Yearly",12,0))),1))))&gt;=Settings!$C$9,EDATE(IF($J27="Yes",$F27+N($K27),$F27),IF($E27="Monthly",1,IF($E27="Quarterly",3,IF($E27="Yearly",12,0)))*(IF(IF($J27="Yes",$F27+N($K27),$F27)&gt;=Settings!$C$9,0,CEILING(DATEDIF(IF($J27="Yes",$F27+N($K27),$F27),Settings!$C$9,"M")/IF($E27="Monthly",1,IF($E27="Quarterly",3,IF($E27="Yearly",12,0))),1)))),EDATE(IF($J27="Yes",$F27+N($K27),$F27),IF($E27="Monthly",1,IF($E27="Quarterly",3,IF($E27="Yearly",12,0)))*(IF(IF($J27="Yes",$F27+N($K27),$F27)&gt;=Settings!$C$9,0,CEILING(DATEDIF(IF($J27="Yes",$F27+N($K27),$F27),Settings!$C$9,"M")/IF($E27="Monthly",1,IF($E27="Quarterly",3,IF($E27="Yearly",12,0))),1))+1)))))</f>
        <v/>
      </c>
      <c r="O27" s="28">
        <f>IF(ISNUMBER($N27),$N27-Settings!$C$9,"")</f>
        <v/>
      </c>
      <c r="P27" s="84">
        <f>IF(AND(AND($B27&lt;&gt;"",$D27&gt;0),$J27="Yes",ISNUMBER($K27)),$F27+$K27-1,"")</f>
        <v/>
      </c>
      <c r="Q27" s="28">
        <f>IF(ISNUMBER($P27),$P27-Settings!$C$9,"")</f>
        <v/>
      </c>
      <c r="R27" s="39">
        <f>IF(NOT(AND($B27&lt;&gt;"",$D27&gt;0)),"",IF(AND(ISNUMBER($Q27),$Q27&lt;0,$I27&lt;&gt;"Yes"),"Trial ended",IF(AND(ISNUMBER($Q27),$Q27&lt;=Settings!$C$8),"Cancel soon?",IF($I27="Yes","To cancel",IF(AND(ISNUMBER($O27),$O27&lt;=Settings!$C$8),"Charge soon","OK")))))</f>
        <v/>
      </c>
      <c r="S27" s="1">
        <f>IF(ISNUMBER($O27),$O27+ROW()/1000,"")</f>
        <v/>
      </c>
      <c r="T27" s="1">
        <f>IF(ISNUMBER($M27),$M27+ROW()/100000,"")</f>
        <v/>
      </c>
      <c r="U27" s="1">
        <f>IF(AND(ISNUMBER($Q27),N($Q27)&gt;=0,$I27&lt;&gt;"Yes"),$Q27+ROW()/1000,"")</f>
        <v/>
      </c>
      <c r="V27" s="1" t="n"/>
    </row>
    <row r="28" ht="22" customHeight="1">
      <c r="A28" s="1" t="n"/>
      <c r="B28" s="70" t="n"/>
      <c r="C28" s="73" t="n"/>
      <c r="D28" s="74" t="n"/>
      <c r="E28" s="73" t="n"/>
      <c r="F28" s="85" t="n"/>
      <c r="G28" s="70" t="n"/>
      <c r="H28" s="73" t="n"/>
      <c r="I28" s="73" t="n"/>
      <c r="J28" s="73" t="n"/>
      <c r="K28" s="75" t="n"/>
      <c r="L28" s="22">
        <f>IF(NOT(AND($B28&lt;&gt;"",$D28&gt;0)),"",IF($E28="Weekly",$D28*52/12,IF($E28="Quarterly",$D28/3,IF($E28="Yearly",$D28/12,$D28))))</f>
        <v/>
      </c>
      <c r="M28" s="22">
        <f>IF(ISNUMBER($L28),$L28*12,"")</f>
        <v/>
      </c>
      <c r="N28" s="78">
        <f>IF(OR(NOT(AND($B28&lt;&gt;"",$D28&gt;0)),$F28=""),"",IF($E28="Weekly",IF(IF($J28="Yes",$F28+N($K28),$F28)&gt;=Settings!$C$9,IF($J28="Yes",$F28+N($K28),$F28),IF($J28="Yes",$F28+N($K28),$F28)+7*CEILING((Settings!$C$9-IF($J28="Yes",$F28+N($K28),$F28))/7,1)),IF(EDATE(IF($J28="Yes",$F28+N($K28),$F28),IF($E28="Monthly",1,IF($E28="Quarterly",3,IF($E28="Yearly",12,0)))*(IF(IF($J28="Yes",$F28+N($K28),$F28)&gt;=Settings!$C$9,0,CEILING(DATEDIF(IF($J28="Yes",$F28+N($K28),$F28),Settings!$C$9,"M")/IF($E28="Monthly",1,IF($E28="Quarterly",3,IF($E28="Yearly",12,0))),1))))&gt;=Settings!$C$9,EDATE(IF($J28="Yes",$F28+N($K28),$F28),IF($E28="Monthly",1,IF($E28="Quarterly",3,IF($E28="Yearly",12,0)))*(IF(IF($J28="Yes",$F28+N($K28),$F28)&gt;=Settings!$C$9,0,CEILING(DATEDIF(IF($J28="Yes",$F28+N($K28),$F28),Settings!$C$9,"M")/IF($E28="Monthly",1,IF($E28="Quarterly",3,IF($E28="Yearly",12,0))),1)))),EDATE(IF($J28="Yes",$F28+N($K28),$F28),IF($E28="Monthly",1,IF($E28="Quarterly",3,IF($E28="Yearly",12,0)))*(IF(IF($J28="Yes",$F28+N($K28),$F28)&gt;=Settings!$C$9,0,CEILING(DATEDIF(IF($J28="Yes",$F28+N($K28),$F28),Settings!$C$9,"M")/IF($E28="Monthly",1,IF($E28="Quarterly",3,IF($E28="Yearly",12,0))),1))+1)))))</f>
        <v/>
      </c>
      <c r="O28" s="24">
        <f>IF(ISNUMBER($N28),$N28-Settings!$C$9,"")</f>
        <v/>
      </c>
      <c r="P28" s="78">
        <f>IF(AND(AND($B28&lt;&gt;"",$D28&gt;0),$J28="Yes",ISNUMBER($K28)),$F28+$K28-1,"")</f>
        <v/>
      </c>
      <c r="Q28" s="24">
        <f>IF(ISNUMBER($P28),$P28-Settings!$C$9,"")</f>
        <v/>
      </c>
      <c r="R28" s="37">
        <f>IF(NOT(AND($B28&lt;&gt;"",$D28&gt;0)),"",IF(AND(ISNUMBER($Q28),$Q28&lt;0,$I28&lt;&gt;"Yes"),"Trial ended",IF(AND(ISNUMBER($Q28),$Q28&lt;=Settings!$C$8),"Cancel soon?",IF($I28="Yes","To cancel",IF(AND(ISNUMBER($O28),$O28&lt;=Settings!$C$8),"Charge soon","OK")))))</f>
        <v/>
      </c>
      <c r="S28" s="1">
        <f>IF(ISNUMBER($O28),$O28+ROW()/1000,"")</f>
        <v/>
      </c>
      <c r="T28" s="1">
        <f>IF(ISNUMBER($M28),$M28+ROW()/100000,"")</f>
        <v/>
      </c>
      <c r="U28" s="1">
        <f>IF(AND(ISNUMBER($Q28),N($Q28)&gt;=0,$I28&lt;&gt;"Yes"),$Q28+ROW()/1000,"")</f>
        <v/>
      </c>
      <c r="V28" s="1" t="n"/>
    </row>
    <row r="29" ht="22" customHeight="1">
      <c r="A29" s="1" t="n"/>
      <c r="B29" s="71" t="n"/>
      <c r="C29" s="79" t="n"/>
      <c r="D29" s="80" t="n"/>
      <c r="E29" s="79" t="n"/>
      <c r="F29" s="86" t="n"/>
      <c r="G29" s="71" t="n"/>
      <c r="H29" s="79" t="n"/>
      <c r="I29" s="79" t="n"/>
      <c r="J29" s="79" t="n"/>
      <c r="K29" s="81" t="n"/>
      <c r="L29" s="26">
        <f>IF(NOT(AND($B29&lt;&gt;"",$D29&gt;0)),"",IF($E29="Weekly",$D29*52/12,IF($E29="Quarterly",$D29/3,IF($E29="Yearly",$D29/12,$D29))))</f>
        <v/>
      </c>
      <c r="M29" s="26">
        <f>IF(ISNUMBER($L29),$L29*12,"")</f>
        <v/>
      </c>
      <c r="N29" s="84">
        <f>IF(OR(NOT(AND($B29&lt;&gt;"",$D29&gt;0)),$F29=""),"",IF($E29="Weekly",IF(IF($J29="Yes",$F29+N($K29),$F29)&gt;=Settings!$C$9,IF($J29="Yes",$F29+N($K29),$F29),IF($J29="Yes",$F29+N($K29),$F29)+7*CEILING((Settings!$C$9-IF($J29="Yes",$F29+N($K29),$F29))/7,1)),IF(EDATE(IF($J29="Yes",$F29+N($K29),$F29),IF($E29="Monthly",1,IF($E29="Quarterly",3,IF($E29="Yearly",12,0)))*(IF(IF($J29="Yes",$F29+N($K29),$F29)&gt;=Settings!$C$9,0,CEILING(DATEDIF(IF($J29="Yes",$F29+N($K29),$F29),Settings!$C$9,"M")/IF($E29="Monthly",1,IF($E29="Quarterly",3,IF($E29="Yearly",12,0))),1))))&gt;=Settings!$C$9,EDATE(IF($J29="Yes",$F29+N($K29),$F29),IF($E29="Monthly",1,IF($E29="Quarterly",3,IF($E29="Yearly",12,0)))*(IF(IF($J29="Yes",$F29+N($K29),$F29)&gt;=Settings!$C$9,0,CEILING(DATEDIF(IF($J29="Yes",$F29+N($K29),$F29),Settings!$C$9,"M")/IF($E29="Monthly",1,IF($E29="Quarterly",3,IF($E29="Yearly",12,0))),1)))),EDATE(IF($J29="Yes",$F29+N($K29),$F29),IF($E29="Monthly",1,IF($E29="Quarterly",3,IF($E29="Yearly",12,0)))*(IF(IF($J29="Yes",$F29+N($K29),$F29)&gt;=Settings!$C$9,0,CEILING(DATEDIF(IF($J29="Yes",$F29+N($K29),$F29),Settings!$C$9,"M")/IF($E29="Monthly",1,IF($E29="Quarterly",3,IF($E29="Yearly",12,0))),1))+1)))))</f>
        <v/>
      </c>
      <c r="O29" s="28">
        <f>IF(ISNUMBER($N29),$N29-Settings!$C$9,"")</f>
        <v/>
      </c>
      <c r="P29" s="84">
        <f>IF(AND(AND($B29&lt;&gt;"",$D29&gt;0),$J29="Yes",ISNUMBER($K29)),$F29+$K29-1,"")</f>
        <v/>
      </c>
      <c r="Q29" s="28">
        <f>IF(ISNUMBER($P29),$P29-Settings!$C$9,"")</f>
        <v/>
      </c>
      <c r="R29" s="39">
        <f>IF(NOT(AND($B29&lt;&gt;"",$D29&gt;0)),"",IF(AND(ISNUMBER($Q29),$Q29&lt;0,$I29&lt;&gt;"Yes"),"Trial ended",IF(AND(ISNUMBER($Q29),$Q29&lt;=Settings!$C$8),"Cancel soon?",IF($I29="Yes","To cancel",IF(AND(ISNUMBER($O29),$O29&lt;=Settings!$C$8),"Charge soon","OK")))))</f>
        <v/>
      </c>
      <c r="S29" s="1">
        <f>IF(ISNUMBER($O29),$O29+ROW()/1000,"")</f>
        <v/>
      </c>
      <c r="T29" s="1">
        <f>IF(ISNUMBER($M29),$M29+ROW()/100000,"")</f>
        <v/>
      </c>
      <c r="U29" s="1">
        <f>IF(AND(ISNUMBER($Q29),N($Q29)&gt;=0,$I29&lt;&gt;"Yes"),$Q29+ROW()/1000,"")</f>
        <v/>
      </c>
      <c r="V29" s="1" t="n"/>
    </row>
    <row r="30" ht="22" customHeight="1">
      <c r="A30" s="1" t="n"/>
      <c r="B30" s="70" t="n"/>
      <c r="C30" s="73" t="n"/>
      <c r="D30" s="74" t="n"/>
      <c r="E30" s="73" t="n"/>
      <c r="F30" s="85" t="n"/>
      <c r="G30" s="70" t="n"/>
      <c r="H30" s="73" t="n"/>
      <c r="I30" s="73" t="n"/>
      <c r="J30" s="73" t="n"/>
      <c r="K30" s="75" t="n"/>
      <c r="L30" s="22">
        <f>IF(NOT(AND($B30&lt;&gt;"",$D30&gt;0)),"",IF($E30="Weekly",$D30*52/12,IF($E30="Quarterly",$D30/3,IF($E30="Yearly",$D30/12,$D30))))</f>
        <v/>
      </c>
      <c r="M30" s="22">
        <f>IF(ISNUMBER($L30),$L30*12,"")</f>
        <v/>
      </c>
      <c r="N30" s="78">
        <f>IF(OR(NOT(AND($B30&lt;&gt;"",$D30&gt;0)),$F30=""),"",IF($E30="Weekly",IF(IF($J30="Yes",$F30+N($K30),$F30)&gt;=Settings!$C$9,IF($J30="Yes",$F30+N($K30),$F30),IF($J30="Yes",$F30+N($K30),$F30)+7*CEILING((Settings!$C$9-IF($J30="Yes",$F30+N($K30),$F30))/7,1)),IF(EDATE(IF($J30="Yes",$F30+N($K30),$F30),IF($E30="Monthly",1,IF($E30="Quarterly",3,IF($E30="Yearly",12,0)))*(IF(IF($J30="Yes",$F30+N($K30),$F30)&gt;=Settings!$C$9,0,CEILING(DATEDIF(IF($J30="Yes",$F30+N($K30),$F30),Settings!$C$9,"M")/IF($E30="Monthly",1,IF($E30="Quarterly",3,IF($E30="Yearly",12,0))),1))))&gt;=Settings!$C$9,EDATE(IF($J30="Yes",$F30+N($K30),$F30),IF($E30="Monthly",1,IF($E30="Quarterly",3,IF($E30="Yearly",12,0)))*(IF(IF($J30="Yes",$F30+N($K30),$F30)&gt;=Settings!$C$9,0,CEILING(DATEDIF(IF($J30="Yes",$F30+N($K30),$F30),Settings!$C$9,"M")/IF($E30="Monthly",1,IF($E30="Quarterly",3,IF($E30="Yearly",12,0))),1)))),EDATE(IF($J30="Yes",$F30+N($K30),$F30),IF($E30="Monthly",1,IF($E30="Quarterly",3,IF($E30="Yearly",12,0)))*(IF(IF($J30="Yes",$F30+N($K30),$F30)&gt;=Settings!$C$9,0,CEILING(DATEDIF(IF($J30="Yes",$F30+N($K30),$F30),Settings!$C$9,"M")/IF($E30="Monthly",1,IF($E30="Quarterly",3,IF($E30="Yearly",12,0))),1))+1)))))</f>
        <v/>
      </c>
      <c r="O30" s="24">
        <f>IF(ISNUMBER($N30),$N30-Settings!$C$9,"")</f>
        <v/>
      </c>
      <c r="P30" s="78">
        <f>IF(AND(AND($B30&lt;&gt;"",$D30&gt;0),$J30="Yes",ISNUMBER($K30)),$F30+$K30-1,"")</f>
        <v/>
      </c>
      <c r="Q30" s="24">
        <f>IF(ISNUMBER($P30),$P30-Settings!$C$9,"")</f>
        <v/>
      </c>
      <c r="R30" s="37">
        <f>IF(NOT(AND($B30&lt;&gt;"",$D30&gt;0)),"",IF(AND(ISNUMBER($Q30),$Q30&lt;0,$I30&lt;&gt;"Yes"),"Trial ended",IF(AND(ISNUMBER($Q30),$Q30&lt;=Settings!$C$8),"Cancel soon?",IF($I30="Yes","To cancel",IF(AND(ISNUMBER($O30),$O30&lt;=Settings!$C$8),"Charge soon","OK")))))</f>
        <v/>
      </c>
      <c r="S30" s="1">
        <f>IF(ISNUMBER($O30),$O30+ROW()/1000,"")</f>
        <v/>
      </c>
      <c r="T30" s="1">
        <f>IF(ISNUMBER($M30),$M30+ROW()/100000,"")</f>
        <v/>
      </c>
      <c r="U30" s="1">
        <f>IF(AND(ISNUMBER($Q30),N($Q30)&gt;=0,$I30&lt;&gt;"Yes"),$Q30+ROW()/1000,"")</f>
        <v/>
      </c>
      <c r="V30" s="1" t="n"/>
    </row>
    <row r="31" ht="22" customHeight="1">
      <c r="A31" s="1" t="n"/>
      <c r="B31" s="71" t="n"/>
      <c r="C31" s="79" t="n"/>
      <c r="D31" s="80" t="n"/>
      <c r="E31" s="79" t="n"/>
      <c r="F31" s="86" t="n"/>
      <c r="G31" s="71" t="n"/>
      <c r="H31" s="79" t="n"/>
      <c r="I31" s="79" t="n"/>
      <c r="J31" s="79" t="n"/>
      <c r="K31" s="81" t="n"/>
      <c r="L31" s="26">
        <f>IF(NOT(AND($B31&lt;&gt;"",$D31&gt;0)),"",IF($E31="Weekly",$D31*52/12,IF($E31="Quarterly",$D31/3,IF($E31="Yearly",$D31/12,$D31))))</f>
        <v/>
      </c>
      <c r="M31" s="26">
        <f>IF(ISNUMBER($L31),$L31*12,"")</f>
        <v/>
      </c>
      <c r="N31" s="84">
        <f>IF(OR(NOT(AND($B31&lt;&gt;"",$D31&gt;0)),$F31=""),"",IF($E31="Weekly",IF(IF($J31="Yes",$F31+N($K31),$F31)&gt;=Settings!$C$9,IF($J31="Yes",$F31+N($K31),$F31),IF($J31="Yes",$F31+N($K31),$F31)+7*CEILING((Settings!$C$9-IF($J31="Yes",$F31+N($K31),$F31))/7,1)),IF(EDATE(IF($J31="Yes",$F31+N($K31),$F31),IF($E31="Monthly",1,IF($E31="Quarterly",3,IF($E31="Yearly",12,0)))*(IF(IF($J31="Yes",$F31+N($K31),$F31)&gt;=Settings!$C$9,0,CEILING(DATEDIF(IF($J31="Yes",$F31+N($K31),$F31),Settings!$C$9,"M")/IF($E31="Monthly",1,IF($E31="Quarterly",3,IF($E31="Yearly",12,0))),1))))&gt;=Settings!$C$9,EDATE(IF($J31="Yes",$F31+N($K31),$F31),IF($E31="Monthly",1,IF($E31="Quarterly",3,IF($E31="Yearly",12,0)))*(IF(IF($J31="Yes",$F31+N($K31),$F31)&gt;=Settings!$C$9,0,CEILING(DATEDIF(IF($J31="Yes",$F31+N($K31),$F31),Settings!$C$9,"M")/IF($E31="Monthly",1,IF($E31="Quarterly",3,IF($E31="Yearly",12,0))),1)))),EDATE(IF($J31="Yes",$F31+N($K31),$F31),IF($E31="Monthly",1,IF($E31="Quarterly",3,IF($E31="Yearly",12,0)))*(IF(IF($J31="Yes",$F31+N($K31),$F31)&gt;=Settings!$C$9,0,CEILING(DATEDIF(IF($J31="Yes",$F31+N($K31),$F31),Settings!$C$9,"M")/IF($E31="Monthly",1,IF($E31="Quarterly",3,IF($E31="Yearly",12,0))),1))+1)))))</f>
        <v/>
      </c>
      <c r="O31" s="28">
        <f>IF(ISNUMBER($N31),$N31-Settings!$C$9,"")</f>
        <v/>
      </c>
      <c r="P31" s="84">
        <f>IF(AND(AND($B31&lt;&gt;"",$D31&gt;0),$J31="Yes",ISNUMBER($K31)),$F31+$K31-1,"")</f>
        <v/>
      </c>
      <c r="Q31" s="28">
        <f>IF(ISNUMBER($P31),$P31-Settings!$C$9,"")</f>
        <v/>
      </c>
      <c r="R31" s="39">
        <f>IF(NOT(AND($B31&lt;&gt;"",$D31&gt;0)),"",IF(AND(ISNUMBER($Q31),$Q31&lt;0,$I31&lt;&gt;"Yes"),"Trial ended",IF(AND(ISNUMBER($Q31),$Q31&lt;=Settings!$C$8),"Cancel soon?",IF($I31="Yes","To cancel",IF(AND(ISNUMBER($O31),$O31&lt;=Settings!$C$8),"Charge soon","OK")))))</f>
        <v/>
      </c>
      <c r="S31" s="1">
        <f>IF(ISNUMBER($O31),$O31+ROW()/1000,"")</f>
        <v/>
      </c>
      <c r="T31" s="1">
        <f>IF(ISNUMBER($M31),$M31+ROW()/100000,"")</f>
        <v/>
      </c>
      <c r="U31" s="1">
        <f>IF(AND(ISNUMBER($Q31),N($Q31)&gt;=0,$I31&lt;&gt;"Yes"),$Q31+ROW()/1000,"")</f>
        <v/>
      </c>
      <c r="V31" s="1" t="n"/>
    </row>
    <row r="32" ht="22" customHeight="1">
      <c r="A32" s="1" t="n"/>
      <c r="B32" s="70" t="n"/>
      <c r="C32" s="73" t="n"/>
      <c r="D32" s="74" t="n"/>
      <c r="E32" s="73" t="n"/>
      <c r="F32" s="85" t="n"/>
      <c r="G32" s="70" t="n"/>
      <c r="H32" s="73" t="n"/>
      <c r="I32" s="73" t="n"/>
      <c r="J32" s="73" t="n"/>
      <c r="K32" s="75" t="n"/>
      <c r="L32" s="22">
        <f>IF(NOT(AND($B32&lt;&gt;"",$D32&gt;0)),"",IF($E32="Weekly",$D32*52/12,IF($E32="Quarterly",$D32/3,IF($E32="Yearly",$D32/12,$D32))))</f>
        <v/>
      </c>
      <c r="M32" s="22">
        <f>IF(ISNUMBER($L32),$L32*12,"")</f>
        <v/>
      </c>
      <c r="N32" s="78">
        <f>IF(OR(NOT(AND($B32&lt;&gt;"",$D32&gt;0)),$F32=""),"",IF($E32="Weekly",IF(IF($J32="Yes",$F32+N($K32),$F32)&gt;=Settings!$C$9,IF($J32="Yes",$F32+N($K32),$F32),IF($J32="Yes",$F32+N($K32),$F32)+7*CEILING((Settings!$C$9-IF($J32="Yes",$F32+N($K32),$F32))/7,1)),IF(EDATE(IF($J32="Yes",$F32+N($K32),$F32),IF($E32="Monthly",1,IF($E32="Quarterly",3,IF($E32="Yearly",12,0)))*(IF(IF($J32="Yes",$F32+N($K32),$F32)&gt;=Settings!$C$9,0,CEILING(DATEDIF(IF($J32="Yes",$F32+N($K32),$F32),Settings!$C$9,"M")/IF($E32="Monthly",1,IF($E32="Quarterly",3,IF($E32="Yearly",12,0))),1))))&gt;=Settings!$C$9,EDATE(IF($J32="Yes",$F32+N($K32),$F32),IF($E32="Monthly",1,IF($E32="Quarterly",3,IF($E32="Yearly",12,0)))*(IF(IF($J32="Yes",$F32+N($K32),$F32)&gt;=Settings!$C$9,0,CEILING(DATEDIF(IF($J32="Yes",$F32+N($K32),$F32),Settings!$C$9,"M")/IF($E32="Monthly",1,IF($E32="Quarterly",3,IF($E32="Yearly",12,0))),1)))),EDATE(IF($J32="Yes",$F32+N($K32),$F32),IF($E32="Monthly",1,IF($E32="Quarterly",3,IF($E32="Yearly",12,0)))*(IF(IF($J32="Yes",$F32+N($K32),$F32)&gt;=Settings!$C$9,0,CEILING(DATEDIF(IF($J32="Yes",$F32+N($K32),$F32),Settings!$C$9,"M")/IF($E32="Monthly",1,IF($E32="Quarterly",3,IF($E32="Yearly",12,0))),1))+1)))))</f>
        <v/>
      </c>
      <c r="O32" s="24">
        <f>IF(ISNUMBER($N32),$N32-Settings!$C$9,"")</f>
        <v/>
      </c>
      <c r="P32" s="78">
        <f>IF(AND(AND($B32&lt;&gt;"",$D32&gt;0),$J32="Yes",ISNUMBER($K32)),$F32+$K32-1,"")</f>
        <v/>
      </c>
      <c r="Q32" s="24">
        <f>IF(ISNUMBER($P32),$P32-Settings!$C$9,"")</f>
        <v/>
      </c>
      <c r="R32" s="37">
        <f>IF(NOT(AND($B32&lt;&gt;"",$D32&gt;0)),"",IF(AND(ISNUMBER($Q32),$Q32&lt;0,$I32&lt;&gt;"Yes"),"Trial ended",IF(AND(ISNUMBER($Q32),$Q32&lt;=Settings!$C$8),"Cancel soon?",IF($I32="Yes","To cancel",IF(AND(ISNUMBER($O32),$O32&lt;=Settings!$C$8),"Charge soon","OK")))))</f>
        <v/>
      </c>
      <c r="S32" s="1">
        <f>IF(ISNUMBER($O32),$O32+ROW()/1000,"")</f>
        <v/>
      </c>
      <c r="T32" s="1">
        <f>IF(ISNUMBER($M32),$M32+ROW()/100000,"")</f>
        <v/>
      </c>
      <c r="U32" s="1">
        <f>IF(AND(ISNUMBER($Q32),N($Q32)&gt;=0,$I32&lt;&gt;"Yes"),$Q32+ROW()/1000,"")</f>
        <v/>
      </c>
      <c r="V32" s="1" t="n"/>
    </row>
    <row r="33" ht="22" customHeight="1">
      <c r="A33" s="1" t="n"/>
      <c r="B33" s="71" t="n"/>
      <c r="C33" s="79" t="n"/>
      <c r="D33" s="80" t="n"/>
      <c r="E33" s="79" t="n"/>
      <c r="F33" s="86" t="n"/>
      <c r="G33" s="71" t="n"/>
      <c r="H33" s="79" t="n"/>
      <c r="I33" s="79" t="n"/>
      <c r="J33" s="79" t="n"/>
      <c r="K33" s="81" t="n"/>
      <c r="L33" s="26">
        <f>IF(NOT(AND($B33&lt;&gt;"",$D33&gt;0)),"",IF($E33="Weekly",$D33*52/12,IF($E33="Quarterly",$D33/3,IF($E33="Yearly",$D33/12,$D33))))</f>
        <v/>
      </c>
      <c r="M33" s="26">
        <f>IF(ISNUMBER($L33),$L33*12,"")</f>
        <v/>
      </c>
      <c r="N33" s="84">
        <f>IF(OR(NOT(AND($B33&lt;&gt;"",$D33&gt;0)),$F33=""),"",IF($E33="Weekly",IF(IF($J33="Yes",$F33+N($K33),$F33)&gt;=Settings!$C$9,IF($J33="Yes",$F33+N($K33),$F33),IF($J33="Yes",$F33+N($K33),$F33)+7*CEILING((Settings!$C$9-IF($J33="Yes",$F33+N($K33),$F33))/7,1)),IF(EDATE(IF($J33="Yes",$F33+N($K33),$F33),IF($E33="Monthly",1,IF($E33="Quarterly",3,IF($E33="Yearly",12,0)))*(IF(IF($J33="Yes",$F33+N($K33),$F33)&gt;=Settings!$C$9,0,CEILING(DATEDIF(IF($J33="Yes",$F33+N($K33),$F33),Settings!$C$9,"M")/IF($E33="Monthly",1,IF($E33="Quarterly",3,IF($E33="Yearly",12,0))),1))))&gt;=Settings!$C$9,EDATE(IF($J33="Yes",$F33+N($K33),$F33),IF($E33="Monthly",1,IF($E33="Quarterly",3,IF($E33="Yearly",12,0)))*(IF(IF($J33="Yes",$F33+N($K33),$F33)&gt;=Settings!$C$9,0,CEILING(DATEDIF(IF($J33="Yes",$F33+N($K33),$F33),Settings!$C$9,"M")/IF($E33="Monthly",1,IF($E33="Quarterly",3,IF($E33="Yearly",12,0))),1)))),EDATE(IF($J33="Yes",$F33+N($K33),$F33),IF($E33="Monthly",1,IF($E33="Quarterly",3,IF($E33="Yearly",12,0)))*(IF(IF($J33="Yes",$F33+N($K33),$F33)&gt;=Settings!$C$9,0,CEILING(DATEDIF(IF($J33="Yes",$F33+N($K33),$F33),Settings!$C$9,"M")/IF($E33="Monthly",1,IF($E33="Quarterly",3,IF($E33="Yearly",12,0))),1))+1)))))</f>
        <v/>
      </c>
      <c r="O33" s="28">
        <f>IF(ISNUMBER($N33),$N33-Settings!$C$9,"")</f>
        <v/>
      </c>
      <c r="P33" s="84">
        <f>IF(AND(AND($B33&lt;&gt;"",$D33&gt;0),$J33="Yes",ISNUMBER($K33)),$F33+$K33-1,"")</f>
        <v/>
      </c>
      <c r="Q33" s="28">
        <f>IF(ISNUMBER($P33),$P33-Settings!$C$9,"")</f>
        <v/>
      </c>
      <c r="R33" s="39">
        <f>IF(NOT(AND($B33&lt;&gt;"",$D33&gt;0)),"",IF(AND(ISNUMBER($Q33),$Q33&lt;0,$I33&lt;&gt;"Yes"),"Trial ended",IF(AND(ISNUMBER($Q33),$Q33&lt;=Settings!$C$8),"Cancel soon?",IF($I33="Yes","To cancel",IF(AND(ISNUMBER($O33),$O33&lt;=Settings!$C$8),"Charge soon","OK")))))</f>
        <v/>
      </c>
      <c r="S33" s="1">
        <f>IF(ISNUMBER($O33),$O33+ROW()/1000,"")</f>
        <v/>
      </c>
      <c r="T33" s="1">
        <f>IF(ISNUMBER($M33),$M33+ROW()/100000,"")</f>
        <v/>
      </c>
      <c r="U33" s="1">
        <f>IF(AND(ISNUMBER($Q33),N($Q33)&gt;=0,$I33&lt;&gt;"Yes"),$Q33+ROW()/1000,"")</f>
        <v/>
      </c>
      <c r="V33" s="1" t="n"/>
    </row>
    <row r="34" ht="22" customHeight="1">
      <c r="A34" s="1" t="n"/>
      <c r="B34" s="70" t="n"/>
      <c r="C34" s="73" t="n"/>
      <c r="D34" s="74" t="n"/>
      <c r="E34" s="73" t="n"/>
      <c r="F34" s="85" t="n"/>
      <c r="G34" s="70" t="n"/>
      <c r="H34" s="73" t="n"/>
      <c r="I34" s="73" t="n"/>
      <c r="J34" s="73" t="n"/>
      <c r="K34" s="75" t="n"/>
      <c r="L34" s="22">
        <f>IF(NOT(AND($B34&lt;&gt;"",$D34&gt;0)),"",IF($E34="Weekly",$D34*52/12,IF($E34="Quarterly",$D34/3,IF($E34="Yearly",$D34/12,$D34))))</f>
        <v/>
      </c>
      <c r="M34" s="22">
        <f>IF(ISNUMBER($L34),$L34*12,"")</f>
        <v/>
      </c>
      <c r="N34" s="78">
        <f>IF(OR(NOT(AND($B34&lt;&gt;"",$D34&gt;0)),$F34=""),"",IF($E34="Weekly",IF(IF($J34="Yes",$F34+N($K34),$F34)&gt;=Settings!$C$9,IF($J34="Yes",$F34+N($K34),$F34),IF($J34="Yes",$F34+N($K34),$F34)+7*CEILING((Settings!$C$9-IF($J34="Yes",$F34+N($K34),$F34))/7,1)),IF(EDATE(IF($J34="Yes",$F34+N($K34),$F34),IF($E34="Monthly",1,IF($E34="Quarterly",3,IF($E34="Yearly",12,0)))*(IF(IF($J34="Yes",$F34+N($K34),$F34)&gt;=Settings!$C$9,0,CEILING(DATEDIF(IF($J34="Yes",$F34+N($K34),$F34),Settings!$C$9,"M")/IF($E34="Monthly",1,IF($E34="Quarterly",3,IF($E34="Yearly",12,0))),1))))&gt;=Settings!$C$9,EDATE(IF($J34="Yes",$F34+N($K34),$F34),IF($E34="Monthly",1,IF($E34="Quarterly",3,IF($E34="Yearly",12,0)))*(IF(IF($J34="Yes",$F34+N($K34),$F34)&gt;=Settings!$C$9,0,CEILING(DATEDIF(IF($J34="Yes",$F34+N($K34),$F34),Settings!$C$9,"M")/IF($E34="Monthly",1,IF($E34="Quarterly",3,IF($E34="Yearly",12,0))),1)))),EDATE(IF($J34="Yes",$F34+N($K34),$F34),IF($E34="Monthly",1,IF($E34="Quarterly",3,IF($E34="Yearly",12,0)))*(IF(IF($J34="Yes",$F34+N($K34),$F34)&gt;=Settings!$C$9,0,CEILING(DATEDIF(IF($J34="Yes",$F34+N($K34),$F34),Settings!$C$9,"M")/IF($E34="Monthly",1,IF($E34="Quarterly",3,IF($E34="Yearly",12,0))),1))+1)))))</f>
        <v/>
      </c>
      <c r="O34" s="24">
        <f>IF(ISNUMBER($N34),$N34-Settings!$C$9,"")</f>
        <v/>
      </c>
      <c r="P34" s="78">
        <f>IF(AND(AND($B34&lt;&gt;"",$D34&gt;0),$J34="Yes",ISNUMBER($K34)),$F34+$K34-1,"")</f>
        <v/>
      </c>
      <c r="Q34" s="24">
        <f>IF(ISNUMBER($P34),$P34-Settings!$C$9,"")</f>
        <v/>
      </c>
      <c r="R34" s="37">
        <f>IF(NOT(AND($B34&lt;&gt;"",$D34&gt;0)),"",IF(AND(ISNUMBER($Q34),$Q34&lt;0,$I34&lt;&gt;"Yes"),"Trial ended",IF(AND(ISNUMBER($Q34),$Q34&lt;=Settings!$C$8),"Cancel soon?",IF($I34="Yes","To cancel",IF(AND(ISNUMBER($O34),$O34&lt;=Settings!$C$8),"Charge soon","OK")))))</f>
        <v/>
      </c>
      <c r="S34" s="1">
        <f>IF(ISNUMBER($O34),$O34+ROW()/1000,"")</f>
        <v/>
      </c>
      <c r="T34" s="1">
        <f>IF(ISNUMBER($M34),$M34+ROW()/100000,"")</f>
        <v/>
      </c>
      <c r="U34" s="1">
        <f>IF(AND(ISNUMBER($Q34),N($Q34)&gt;=0,$I34&lt;&gt;"Yes"),$Q34+ROW()/1000,"")</f>
        <v/>
      </c>
      <c r="V34" s="1" t="n"/>
    </row>
    <row r="35" ht="22" customHeight="1">
      <c r="A35" s="1" t="n"/>
      <c r="B35" s="71" t="n"/>
      <c r="C35" s="79" t="n"/>
      <c r="D35" s="80" t="n"/>
      <c r="E35" s="79" t="n"/>
      <c r="F35" s="86" t="n"/>
      <c r="G35" s="71" t="n"/>
      <c r="H35" s="79" t="n"/>
      <c r="I35" s="79" t="n"/>
      <c r="J35" s="79" t="n"/>
      <c r="K35" s="81" t="n"/>
      <c r="L35" s="26">
        <f>IF(NOT(AND($B35&lt;&gt;"",$D35&gt;0)),"",IF($E35="Weekly",$D35*52/12,IF($E35="Quarterly",$D35/3,IF($E35="Yearly",$D35/12,$D35))))</f>
        <v/>
      </c>
      <c r="M35" s="26">
        <f>IF(ISNUMBER($L35),$L35*12,"")</f>
        <v/>
      </c>
      <c r="N35" s="84">
        <f>IF(OR(NOT(AND($B35&lt;&gt;"",$D35&gt;0)),$F35=""),"",IF($E35="Weekly",IF(IF($J35="Yes",$F35+N($K35),$F35)&gt;=Settings!$C$9,IF($J35="Yes",$F35+N($K35),$F35),IF($J35="Yes",$F35+N($K35),$F35)+7*CEILING((Settings!$C$9-IF($J35="Yes",$F35+N($K35),$F35))/7,1)),IF(EDATE(IF($J35="Yes",$F35+N($K35),$F35),IF($E35="Monthly",1,IF($E35="Quarterly",3,IF($E35="Yearly",12,0)))*(IF(IF($J35="Yes",$F35+N($K35),$F35)&gt;=Settings!$C$9,0,CEILING(DATEDIF(IF($J35="Yes",$F35+N($K35),$F35),Settings!$C$9,"M")/IF($E35="Monthly",1,IF($E35="Quarterly",3,IF($E35="Yearly",12,0))),1))))&gt;=Settings!$C$9,EDATE(IF($J35="Yes",$F35+N($K35),$F35),IF($E35="Monthly",1,IF($E35="Quarterly",3,IF($E35="Yearly",12,0)))*(IF(IF($J35="Yes",$F35+N($K35),$F35)&gt;=Settings!$C$9,0,CEILING(DATEDIF(IF($J35="Yes",$F35+N($K35),$F35),Settings!$C$9,"M")/IF($E35="Monthly",1,IF($E35="Quarterly",3,IF($E35="Yearly",12,0))),1)))),EDATE(IF($J35="Yes",$F35+N($K35),$F35),IF($E35="Monthly",1,IF($E35="Quarterly",3,IF($E35="Yearly",12,0)))*(IF(IF($J35="Yes",$F35+N($K35),$F35)&gt;=Settings!$C$9,0,CEILING(DATEDIF(IF($J35="Yes",$F35+N($K35),$F35),Settings!$C$9,"M")/IF($E35="Monthly",1,IF($E35="Quarterly",3,IF($E35="Yearly",12,0))),1))+1)))))</f>
        <v/>
      </c>
      <c r="O35" s="28">
        <f>IF(ISNUMBER($N35),$N35-Settings!$C$9,"")</f>
        <v/>
      </c>
      <c r="P35" s="84">
        <f>IF(AND(AND($B35&lt;&gt;"",$D35&gt;0),$J35="Yes",ISNUMBER($K35)),$F35+$K35-1,"")</f>
        <v/>
      </c>
      <c r="Q35" s="28">
        <f>IF(ISNUMBER($P35),$P35-Settings!$C$9,"")</f>
        <v/>
      </c>
      <c r="R35" s="39">
        <f>IF(NOT(AND($B35&lt;&gt;"",$D35&gt;0)),"",IF(AND(ISNUMBER($Q35),$Q35&lt;0,$I35&lt;&gt;"Yes"),"Trial ended",IF(AND(ISNUMBER($Q35),$Q35&lt;=Settings!$C$8),"Cancel soon?",IF($I35="Yes","To cancel",IF(AND(ISNUMBER($O35),$O35&lt;=Settings!$C$8),"Charge soon","OK")))))</f>
        <v/>
      </c>
      <c r="S35" s="1">
        <f>IF(ISNUMBER($O35),$O35+ROW()/1000,"")</f>
        <v/>
      </c>
      <c r="T35" s="1">
        <f>IF(ISNUMBER($M35),$M35+ROW()/100000,"")</f>
        <v/>
      </c>
      <c r="U35" s="1">
        <f>IF(AND(ISNUMBER($Q35),N($Q35)&gt;=0,$I35&lt;&gt;"Yes"),$Q35+ROW()/1000,"")</f>
        <v/>
      </c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</row>
  </sheetData>
  <autoFilter ref="B5:R35"/>
  <conditionalFormatting sqref="C6:C35">
    <cfRule type="cellIs" priority="1" operator="equal" dxfId="4">
      <formula>"Streaming"</formula>
    </cfRule>
    <cfRule type="cellIs" priority="2" operator="equal" dxfId="3">
      <formula>"Software"</formula>
    </cfRule>
    <cfRule type="cellIs" priority="3" operator="equal" dxfId="2">
      <formula>"Fitness"</formula>
    </cfRule>
    <cfRule type="cellIs" priority="4" operator="equal" dxfId="8">
      <formula>"Shopping"</formula>
    </cfRule>
    <cfRule type="cellIs" priority="5" operator="equal" dxfId="6">
      <formula>"News"</formula>
    </cfRule>
    <cfRule type="cellIs" priority="6" operator="equal" dxfId="5">
      <formula>"Cloud"</formula>
    </cfRule>
    <cfRule type="cellIs" priority="7" operator="equal" dxfId="0">
      <formula>"Food"</formula>
    </cfRule>
    <cfRule type="cellIs" priority="8" operator="equal" dxfId="9">
      <formula>"Education"</formula>
    </cfRule>
    <cfRule type="cellIs" priority="9" operator="equal" dxfId="6">
      <formula>"Other"</formula>
    </cfRule>
  </conditionalFormatting>
  <conditionalFormatting sqref="E6:E35">
    <cfRule type="cellIs" priority="10" operator="equal" dxfId="4">
      <formula>"Weekly"</formula>
    </cfRule>
    <cfRule type="cellIs" priority="11" operator="equal" dxfId="9">
      <formula>"Monthly"</formula>
    </cfRule>
    <cfRule type="cellIs" priority="12" operator="equal" dxfId="5">
      <formula>"Quarterly"</formula>
    </cfRule>
    <cfRule type="cellIs" priority="13" operator="equal" dxfId="0">
      <formula>"Yearly"</formula>
    </cfRule>
  </conditionalFormatting>
  <conditionalFormatting sqref="H6:H35">
    <cfRule type="cellIs" priority="14" operator="equal" dxfId="2">
      <formula>"Yes"</formula>
    </cfRule>
    <cfRule type="cellIs" priority="15" operator="equal" dxfId="6">
      <formula>"No"</formula>
    </cfRule>
  </conditionalFormatting>
  <conditionalFormatting sqref="I6:I35">
    <cfRule type="cellIs" priority="16" operator="equal" dxfId="1">
      <formula>"Yes"</formula>
    </cfRule>
    <cfRule type="cellIs" priority="17" operator="equal" dxfId="6">
      <formula>"No"</formula>
    </cfRule>
  </conditionalFormatting>
  <conditionalFormatting sqref="J6:J35">
    <cfRule type="cellIs" priority="18" operator="equal" dxfId="0">
      <formula>"Yes"</formula>
    </cfRule>
    <cfRule type="cellIs" priority="19" operator="equal" dxfId="6">
      <formula>"No"</formula>
    </cfRule>
  </conditionalFormatting>
  <conditionalFormatting sqref="R6:R35">
    <cfRule type="cellIs" priority="20" operator="equal" dxfId="1">
      <formula>"Cancel soon?"</formula>
    </cfRule>
    <cfRule type="cellIs" priority="21" operator="equal" dxfId="1">
      <formula>"Trial ended"</formula>
    </cfRule>
    <cfRule type="cellIs" priority="22" operator="equal" dxfId="0">
      <formula>"Charge soon"</formula>
    </cfRule>
    <cfRule type="cellIs" priority="23" operator="equal" dxfId="6">
      <formula>"To cancel"</formula>
    </cfRule>
    <cfRule type="cellIs" priority="24" operator="equal" dxfId="2">
      <formula>"OK"</formula>
    </cfRule>
  </conditionalFormatting>
  <conditionalFormatting sqref="Q6:Q35">
    <cfRule type="expression" priority="25" dxfId="1">
      <formula>AND(ISNUMBER($Q6),$Q6&gt;=0,$Q6&lt;=3)</formula>
    </cfRule>
  </conditionalFormatting>
  <conditionalFormatting sqref="O6:O35">
    <cfRule type="expression" priority="26" dxfId="10">
      <formula>AND(ISNUMBER($O6),$O6&lt;=Settings!$C$8)</formula>
    </cfRule>
  </conditionalFormatting>
  <conditionalFormatting sqref="B6:G35">
    <cfRule type="expression" priority="27" dxfId="11">
      <formula>$R6="Cancel soon?"</formula>
    </cfRule>
  </conditionalFormatting>
  <conditionalFormatting sqref="B6:Q35">
    <cfRule type="expression" priority="28" dxfId="12">
      <formula>$I6="Yes"</formula>
    </cfRule>
  </conditionalFormatting>
  <dataValidations count="4">
    <dataValidation sqref="C6:C35" showDropDown="0" showInputMessage="0" showErrorMessage="0" allowBlank="1" type="list">
      <formula1>=Settings!$D$13:$D$21</formula1>
    </dataValidation>
    <dataValidation sqref="E6:E35" showDropDown="0" showInputMessage="0" showErrorMessage="0" allowBlank="1" type="list">
      <formula1>=Settings!$C$13:$C$16</formula1>
    </dataValidation>
    <dataValidation sqref="G6:G35" showDropDown="0" showInputMessage="0" showErrorMessage="0" allowBlank="1" type="list">
      <formula1>=Settings!$E$13:$E$21</formula1>
    </dataValidation>
    <dataValidation sqref="H6:J35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A2D3A"/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58" t="inlineStr">
        <is>
          <t>Chart Data</t>
        </is>
      </c>
      <c r="C2" s="1" t="n"/>
      <c r="D2" s="1" t="n"/>
      <c r="E2" s="1" t="n"/>
      <c r="F2" s="1" t="n"/>
      <c r="G2" s="1" t="n"/>
    </row>
    <row r="3">
      <c r="A3" s="1" t="n"/>
      <c r="B3" s="5" t="inlineStr">
        <is>
          <t>Feeds the Dashboard charts and lists. Nothing to edit here.</t>
        </is>
      </c>
      <c r="C3" s="1" t="n"/>
      <c r="D3" s="1" t="n"/>
      <c r="E3" s="1" t="n"/>
      <c r="F3" s="1" t="n"/>
      <c r="G3" s="1" t="n"/>
    </row>
    <row r="4" ht="34" customHeight="1">
      <c r="A4" s="1" t="n"/>
      <c r="B4" s="62" t="inlineStr">
        <is>
          <t>WHERE EACH MONTH'S INCOME GOES</t>
        </is>
      </c>
      <c r="C4" s="62" t="inlineStr">
        <is>
          <t>PER MONTH</t>
        </is>
      </c>
      <c r="D4" s="1" t="n"/>
      <c r="E4" s="1" t="n"/>
      <c r="F4" s="1" t="n"/>
      <c r="G4" s="1" t="n"/>
    </row>
    <row r="5">
      <c r="A5" s="1" t="n"/>
      <c r="B5" s="21" t="inlineStr">
        <is>
          <t>Loans &amp; cards</t>
        </is>
      </c>
      <c r="C5" s="22">
        <f>MAX(0,Dashboard!C41)</f>
        <v/>
      </c>
      <c r="D5" s="1" t="n"/>
      <c r="E5" s="1" t="n"/>
      <c r="F5" s="1" t="n"/>
      <c r="G5" s="1" t="n"/>
    </row>
    <row r="6">
      <c r="A6" s="1" t="n"/>
      <c r="B6" s="21" t="inlineStr">
        <is>
          <t>Installments &amp; BNPL</t>
        </is>
      </c>
      <c r="C6" s="22">
        <f>MAX(0,Dashboard!C42)</f>
        <v/>
      </c>
      <c r="D6" s="1" t="n"/>
      <c r="E6" s="1" t="n"/>
      <c r="F6" s="1" t="n"/>
      <c r="G6" s="1" t="n"/>
    </row>
    <row r="7">
      <c r="A7" s="1" t="n"/>
      <c r="B7" s="21" t="inlineStr">
        <is>
          <t>Subscriptions</t>
        </is>
      </c>
      <c r="C7" s="22">
        <f>MAX(0,Dashboard!C43)</f>
        <v/>
      </c>
      <c r="D7" s="1" t="n"/>
      <c r="E7" s="1" t="n"/>
      <c r="F7" s="1" t="n"/>
      <c r="G7" s="1" t="n"/>
    </row>
    <row r="8">
      <c r="A8" s="1" t="n"/>
      <c r="B8" s="21" t="inlineStr">
        <is>
          <t>Left over</t>
        </is>
      </c>
      <c r="C8" s="22">
        <f>MAX(0,Dashboard!C45)</f>
        <v/>
      </c>
      <c r="D8" s="1" t="n"/>
      <c r="E8" s="1" t="n"/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 ht="34" customHeight="1">
      <c r="A11" s="1" t="n"/>
      <c r="B11" s="62" t="inlineStr">
        <is>
          <t>SPEND VS SAVINGS</t>
        </is>
      </c>
      <c r="C11" s="62" t="inlineStr">
        <is>
          <t>YEARLY SPEND</t>
        </is>
      </c>
      <c r="D11" s="62" t="inlineStr">
        <is>
          <t>COULD SAVE</t>
        </is>
      </c>
      <c r="E11" s="1" t="n"/>
      <c r="F11" s="1" t="n"/>
      <c r="G11" s="1" t="n"/>
    </row>
    <row r="12">
      <c r="A12" s="1" t="n"/>
      <c r="B12" s="21">
        <f>IF(Dashboard!$I$27="By subscription",IFERROR(INDEX(Subscriptions!$B$6:$B$35,MATCH(LARGE(Subscriptions!$T$6:$T$35,1),Subscriptions!$T$6:$T$35,0)),""),Settings!$D$13)</f>
        <v/>
      </c>
      <c r="C12" s="22">
        <f>IF(Dashboard!$I$27="By subscription",IFERROR(INDEX(Subscriptions!$M$6:$M$35,MATCH(LARGE(Subscriptions!$T$6:$T$35,1),Subscriptions!$T$6:$T$35,0)),0),SUMIFS(Subscriptions!$M$6:$M$35,Subscriptions!$C$6:$C$35,Settings!$D$13))</f>
        <v/>
      </c>
      <c r="D12" s="22">
        <f>IF(Dashboard!$I$27="By subscription",IFERROR(IF(INDEX(Subscriptions!$I$6:$I$35,MATCH(LARGE(Subscriptions!$T$6:$T$35,1),Subscriptions!$T$6:$T$35,0))="Yes",C12,0),0),SUMIFS(Subscriptions!$M$6:$M$35,Subscriptions!$C$6:$C$35,Settings!$D$13,Subscriptions!$I$6:$I$35,"Yes"))</f>
        <v/>
      </c>
      <c r="E12" s="1" t="n"/>
      <c r="F12" s="1" t="n"/>
      <c r="G12" s="1" t="n"/>
    </row>
    <row r="13">
      <c r="A13" s="1" t="n"/>
      <c r="B13" s="21">
        <f>IF(Dashboard!$I$27="By subscription",IFERROR(INDEX(Subscriptions!$B$6:$B$35,MATCH(LARGE(Subscriptions!$T$6:$T$35,2),Subscriptions!$T$6:$T$35,0)),""),Settings!$D$14)</f>
        <v/>
      </c>
      <c r="C13" s="22">
        <f>IF(Dashboard!$I$27="By subscription",IFERROR(INDEX(Subscriptions!$M$6:$M$35,MATCH(LARGE(Subscriptions!$T$6:$T$35,2),Subscriptions!$T$6:$T$35,0)),0),SUMIFS(Subscriptions!$M$6:$M$35,Subscriptions!$C$6:$C$35,Settings!$D$14))</f>
        <v/>
      </c>
      <c r="D13" s="22">
        <f>IF(Dashboard!$I$27="By subscription",IFERROR(IF(INDEX(Subscriptions!$I$6:$I$35,MATCH(LARGE(Subscriptions!$T$6:$T$35,2),Subscriptions!$T$6:$T$35,0))="Yes",C13,0),0),SUMIFS(Subscriptions!$M$6:$M$35,Subscriptions!$C$6:$C$35,Settings!$D$14,Subscriptions!$I$6:$I$35,"Yes"))</f>
        <v/>
      </c>
      <c r="E13" s="1" t="n"/>
      <c r="F13" s="1" t="n"/>
      <c r="G13" s="1" t="n"/>
    </row>
    <row r="14">
      <c r="A14" s="1" t="n"/>
      <c r="B14" s="21">
        <f>IF(Dashboard!$I$27="By subscription",IFERROR(INDEX(Subscriptions!$B$6:$B$35,MATCH(LARGE(Subscriptions!$T$6:$T$35,3),Subscriptions!$T$6:$T$35,0)),""),Settings!$D$15)</f>
        <v/>
      </c>
      <c r="C14" s="22">
        <f>IF(Dashboard!$I$27="By subscription",IFERROR(INDEX(Subscriptions!$M$6:$M$35,MATCH(LARGE(Subscriptions!$T$6:$T$35,3),Subscriptions!$T$6:$T$35,0)),0),SUMIFS(Subscriptions!$M$6:$M$35,Subscriptions!$C$6:$C$35,Settings!$D$15))</f>
        <v/>
      </c>
      <c r="D14" s="22">
        <f>IF(Dashboard!$I$27="By subscription",IFERROR(IF(INDEX(Subscriptions!$I$6:$I$35,MATCH(LARGE(Subscriptions!$T$6:$T$35,3),Subscriptions!$T$6:$T$35,0))="Yes",C14,0),0),SUMIFS(Subscriptions!$M$6:$M$35,Subscriptions!$C$6:$C$35,Settings!$D$15,Subscriptions!$I$6:$I$35,"Yes"))</f>
        <v/>
      </c>
      <c r="E14" s="1" t="n"/>
      <c r="F14" s="1" t="n"/>
      <c r="G14" s="1" t="n"/>
    </row>
    <row r="15">
      <c r="A15" s="1" t="n"/>
      <c r="B15" s="21">
        <f>IF(Dashboard!$I$27="By subscription",IFERROR(INDEX(Subscriptions!$B$6:$B$35,MATCH(LARGE(Subscriptions!$T$6:$T$35,4),Subscriptions!$T$6:$T$35,0)),""),Settings!$D$16)</f>
        <v/>
      </c>
      <c r="C15" s="22">
        <f>IF(Dashboard!$I$27="By subscription",IFERROR(INDEX(Subscriptions!$M$6:$M$35,MATCH(LARGE(Subscriptions!$T$6:$T$35,4),Subscriptions!$T$6:$T$35,0)),0),SUMIFS(Subscriptions!$M$6:$M$35,Subscriptions!$C$6:$C$35,Settings!$D$16))</f>
        <v/>
      </c>
      <c r="D15" s="22">
        <f>IF(Dashboard!$I$27="By subscription",IFERROR(IF(INDEX(Subscriptions!$I$6:$I$35,MATCH(LARGE(Subscriptions!$T$6:$T$35,4),Subscriptions!$T$6:$T$35,0))="Yes",C15,0),0),SUMIFS(Subscriptions!$M$6:$M$35,Subscriptions!$C$6:$C$35,Settings!$D$16,Subscriptions!$I$6:$I$35,"Yes"))</f>
        <v/>
      </c>
      <c r="E15" s="1" t="n"/>
      <c r="F15" s="1" t="n"/>
      <c r="G15" s="1" t="n"/>
    </row>
    <row r="16">
      <c r="A16" s="1" t="n"/>
      <c r="B16" s="21">
        <f>IF(Dashboard!$I$27="By subscription",IFERROR(INDEX(Subscriptions!$B$6:$B$35,MATCH(LARGE(Subscriptions!$T$6:$T$35,5),Subscriptions!$T$6:$T$35,0)),""),Settings!$D$17)</f>
        <v/>
      </c>
      <c r="C16" s="22">
        <f>IF(Dashboard!$I$27="By subscription",IFERROR(INDEX(Subscriptions!$M$6:$M$35,MATCH(LARGE(Subscriptions!$T$6:$T$35,5),Subscriptions!$T$6:$T$35,0)),0),SUMIFS(Subscriptions!$M$6:$M$35,Subscriptions!$C$6:$C$35,Settings!$D$17))</f>
        <v/>
      </c>
      <c r="D16" s="22">
        <f>IF(Dashboard!$I$27="By subscription",IFERROR(IF(INDEX(Subscriptions!$I$6:$I$35,MATCH(LARGE(Subscriptions!$T$6:$T$35,5),Subscriptions!$T$6:$T$35,0))="Yes",C16,0),0),SUMIFS(Subscriptions!$M$6:$M$35,Subscriptions!$C$6:$C$35,Settings!$D$17,Subscriptions!$I$6:$I$35,"Yes"))</f>
        <v/>
      </c>
      <c r="E16" s="1" t="n"/>
      <c r="F16" s="1" t="n"/>
      <c r="G16" s="1" t="n"/>
    </row>
    <row r="17">
      <c r="A17" s="1" t="n"/>
      <c r="B17" s="21">
        <f>IF(Dashboard!$I$27="By subscription",IFERROR(INDEX(Subscriptions!$B$6:$B$35,MATCH(LARGE(Subscriptions!$T$6:$T$35,6),Subscriptions!$T$6:$T$35,0)),""),Settings!$D$18)</f>
        <v/>
      </c>
      <c r="C17" s="22">
        <f>IF(Dashboard!$I$27="By subscription",IFERROR(INDEX(Subscriptions!$M$6:$M$35,MATCH(LARGE(Subscriptions!$T$6:$T$35,6),Subscriptions!$T$6:$T$35,0)),0),SUMIFS(Subscriptions!$M$6:$M$35,Subscriptions!$C$6:$C$35,Settings!$D$18))</f>
        <v/>
      </c>
      <c r="D17" s="22">
        <f>IF(Dashboard!$I$27="By subscription",IFERROR(IF(INDEX(Subscriptions!$I$6:$I$35,MATCH(LARGE(Subscriptions!$T$6:$T$35,6),Subscriptions!$T$6:$T$35,0))="Yes",C17,0),0),SUMIFS(Subscriptions!$M$6:$M$35,Subscriptions!$C$6:$C$35,Settings!$D$18,Subscriptions!$I$6:$I$35,"Yes"))</f>
        <v/>
      </c>
      <c r="E17" s="1" t="n"/>
      <c r="F17" s="1" t="n"/>
      <c r="G17" s="1" t="n"/>
    </row>
    <row r="18">
      <c r="A18" s="1" t="n"/>
      <c r="B18" s="21">
        <f>IF(Dashboard!$I$27="By subscription",IFERROR(INDEX(Subscriptions!$B$6:$B$35,MATCH(LARGE(Subscriptions!$T$6:$T$35,7),Subscriptions!$T$6:$T$35,0)),""),Settings!$D$19)</f>
        <v/>
      </c>
      <c r="C18" s="22">
        <f>IF(Dashboard!$I$27="By subscription",IFERROR(INDEX(Subscriptions!$M$6:$M$35,MATCH(LARGE(Subscriptions!$T$6:$T$35,7),Subscriptions!$T$6:$T$35,0)),0),SUMIFS(Subscriptions!$M$6:$M$35,Subscriptions!$C$6:$C$35,Settings!$D$19))</f>
        <v/>
      </c>
      <c r="D18" s="22">
        <f>IF(Dashboard!$I$27="By subscription",IFERROR(IF(INDEX(Subscriptions!$I$6:$I$35,MATCH(LARGE(Subscriptions!$T$6:$T$35,7),Subscriptions!$T$6:$T$35,0))="Yes",C18,0),0),SUMIFS(Subscriptions!$M$6:$M$35,Subscriptions!$C$6:$C$35,Settings!$D$19,Subscriptions!$I$6:$I$35,"Yes"))</f>
        <v/>
      </c>
      <c r="E18" s="1" t="n"/>
      <c r="F18" s="1" t="n"/>
      <c r="G18" s="1" t="n"/>
    </row>
    <row r="19">
      <c r="A19" s="1" t="n"/>
      <c r="B19" s="21">
        <f>IF(Dashboard!$I$27="By subscription",IFERROR(INDEX(Subscriptions!$B$6:$B$35,MATCH(LARGE(Subscriptions!$T$6:$T$35,8),Subscriptions!$T$6:$T$35,0)),""),Settings!$D$20)</f>
        <v/>
      </c>
      <c r="C19" s="22">
        <f>IF(Dashboard!$I$27="By subscription",IFERROR(INDEX(Subscriptions!$M$6:$M$35,MATCH(LARGE(Subscriptions!$T$6:$T$35,8),Subscriptions!$T$6:$T$35,0)),0),SUMIFS(Subscriptions!$M$6:$M$35,Subscriptions!$C$6:$C$35,Settings!$D$20))</f>
        <v/>
      </c>
      <c r="D19" s="22">
        <f>IF(Dashboard!$I$27="By subscription",IFERROR(IF(INDEX(Subscriptions!$I$6:$I$35,MATCH(LARGE(Subscriptions!$T$6:$T$35,8),Subscriptions!$T$6:$T$35,0))="Yes",C19,0),0),SUMIFS(Subscriptions!$M$6:$M$35,Subscriptions!$C$6:$C$35,Settings!$D$20,Subscriptions!$I$6:$I$35,"Yes"))</f>
        <v/>
      </c>
      <c r="E19" s="1" t="n"/>
      <c r="F19" s="1" t="n"/>
      <c r="G19" s="1" t="n"/>
    </row>
    <row r="20">
      <c r="A20" s="1" t="n"/>
      <c r="B20" s="21">
        <f>IF(Dashboard!$I$27="By subscription",IFERROR(INDEX(Subscriptions!$B$6:$B$35,MATCH(LARGE(Subscriptions!$T$6:$T$35,9),Subscriptions!$T$6:$T$35,0)),""),Settings!$D$21)</f>
        <v/>
      </c>
      <c r="C20" s="22">
        <f>IF(Dashboard!$I$27="By subscription",IFERROR(INDEX(Subscriptions!$M$6:$M$35,MATCH(LARGE(Subscriptions!$T$6:$T$35,9),Subscriptions!$T$6:$T$35,0)),0),SUMIFS(Subscriptions!$M$6:$M$35,Subscriptions!$C$6:$C$35,Settings!$D$21))</f>
        <v/>
      </c>
      <c r="D20" s="22">
        <f>IF(Dashboard!$I$27="By subscription",IFERROR(IF(INDEX(Subscriptions!$I$6:$I$35,MATCH(LARGE(Subscriptions!$T$6:$T$35,9),Subscriptions!$T$6:$T$35,0))="Yes",C20,0),0),SUMIFS(Subscriptions!$M$6:$M$35,Subscriptions!$C$6:$C$35,Settings!$D$21,Subscriptions!$I$6:$I$35,"Yes"))</f>
        <v/>
      </c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 ht="34" customHeight="1">
      <c r="A23" s="1" t="n"/>
      <c r="B23" s="62" t="inlineStr">
        <is>
          <t>DEBT (HIGHEST APR FIRST)</t>
        </is>
      </c>
      <c r="C23" s="62" t="inlineStr">
        <is>
          <t>REAL APR</t>
        </is>
      </c>
      <c r="D23" s="62" t="inlineStr">
        <is>
          <t>FLAG</t>
        </is>
      </c>
      <c r="E23" s="62" t="inlineStr">
        <is>
          <t>INTEREST LEFT</t>
        </is>
      </c>
      <c r="F23" s="62" t="inlineStr">
        <is>
          <t>TYPE</t>
        </is>
      </c>
      <c r="G23" s="1" t="n"/>
    </row>
    <row r="24">
      <c r="A24" s="1" t="n"/>
      <c r="B24" s="21">
        <f>IFERROR(INDEX('Debts &amp; Installments'!$B$6:$B$25,MATCH(LARGE('Debts &amp; Installments'!$S$6:$S$25,1),'Debts &amp; Installments'!$S$6:$S$25,0)),"")</f>
        <v/>
      </c>
      <c r="C24" s="36">
        <f>IFERROR(INDEX('Debts &amp; Installments'!$J$6:$J$25,MATCH(LARGE('Debts &amp; Installments'!$S$6:$S$25,1),'Debts &amp; Installments'!$S$6:$S$25,0)),"")</f>
        <v/>
      </c>
      <c r="D24" s="87">
        <f>IFERROR(INDEX('Debts &amp; Installments'!$R$6:$R$25,MATCH(LARGE('Debts &amp; Installments'!$S$6:$S$25,1),'Debts &amp; Installments'!$S$6:$S$25,0)),"")</f>
        <v/>
      </c>
      <c r="E24" s="22">
        <f>IFERROR(INDEX('Debts &amp; Installments'!$N$6:$N$25,MATCH(LARGE('Debts &amp; Installments'!$S$6:$S$25,1),'Debts &amp; Installments'!$S$6:$S$25,0)),"")</f>
        <v/>
      </c>
      <c r="F24" s="21">
        <f>IFERROR(INDEX('Debts &amp; Installments'!$C$6:$C$25,MATCH(LARGE('Debts &amp; Installments'!$S$6:$S$25,1),'Debts &amp; Installments'!$S$6:$S$25,0)),"")</f>
        <v/>
      </c>
      <c r="G24" s="1" t="n"/>
    </row>
    <row r="25">
      <c r="A25" s="1" t="n"/>
      <c r="B25" s="21">
        <f>IFERROR(INDEX('Debts &amp; Installments'!$B$6:$B$25,MATCH(LARGE('Debts &amp; Installments'!$S$6:$S$25,2),'Debts &amp; Installments'!$S$6:$S$25,0)),"")</f>
        <v/>
      </c>
      <c r="C25" s="36">
        <f>IFERROR(INDEX('Debts &amp; Installments'!$J$6:$J$25,MATCH(LARGE('Debts &amp; Installments'!$S$6:$S$25,2),'Debts &amp; Installments'!$S$6:$S$25,0)),"")</f>
        <v/>
      </c>
      <c r="D25" s="87">
        <f>IFERROR(INDEX('Debts &amp; Installments'!$R$6:$R$25,MATCH(LARGE('Debts &amp; Installments'!$S$6:$S$25,2),'Debts &amp; Installments'!$S$6:$S$25,0)),"")</f>
        <v/>
      </c>
      <c r="E25" s="22">
        <f>IFERROR(INDEX('Debts &amp; Installments'!$N$6:$N$25,MATCH(LARGE('Debts &amp; Installments'!$S$6:$S$25,2),'Debts &amp; Installments'!$S$6:$S$25,0)),"")</f>
        <v/>
      </c>
      <c r="F25" s="21">
        <f>IFERROR(INDEX('Debts &amp; Installments'!$C$6:$C$25,MATCH(LARGE('Debts &amp; Installments'!$S$6:$S$25,2),'Debts &amp; Installments'!$S$6:$S$25,0)),"")</f>
        <v/>
      </c>
      <c r="G25" s="1" t="n"/>
    </row>
    <row r="26">
      <c r="A26" s="1" t="n"/>
      <c r="B26" s="21">
        <f>IFERROR(INDEX('Debts &amp; Installments'!$B$6:$B$25,MATCH(LARGE('Debts &amp; Installments'!$S$6:$S$25,3),'Debts &amp; Installments'!$S$6:$S$25,0)),"")</f>
        <v/>
      </c>
      <c r="C26" s="36">
        <f>IFERROR(INDEX('Debts &amp; Installments'!$J$6:$J$25,MATCH(LARGE('Debts &amp; Installments'!$S$6:$S$25,3),'Debts &amp; Installments'!$S$6:$S$25,0)),"")</f>
        <v/>
      </c>
      <c r="D26" s="87">
        <f>IFERROR(INDEX('Debts &amp; Installments'!$R$6:$R$25,MATCH(LARGE('Debts &amp; Installments'!$S$6:$S$25,3),'Debts &amp; Installments'!$S$6:$S$25,0)),"")</f>
        <v/>
      </c>
      <c r="E26" s="22">
        <f>IFERROR(INDEX('Debts &amp; Installments'!$N$6:$N$25,MATCH(LARGE('Debts &amp; Installments'!$S$6:$S$25,3),'Debts &amp; Installments'!$S$6:$S$25,0)),"")</f>
        <v/>
      </c>
      <c r="F26" s="21">
        <f>IFERROR(INDEX('Debts &amp; Installments'!$C$6:$C$25,MATCH(LARGE('Debts &amp; Installments'!$S$6:$S$25,3),'Debts &amp; Installments'!$S$6:$S$25,0)),"")</f>
        <v/>
      </c>
      <c r="G26" s="1" t="n"/>
    </row>
    <row r="27">
      <c r="A27" s="1" t="n"/>
      <c r="B27" s="21">
        <f>IFERROR(INDEX('Debts &amp; Installments'!$B$6:$B$25,MATCH(LARGE('Debts &amp; Installments'!$S$6:$S$25,4),'Debts &amp; Installments'!$S$6:$S$25,0)),"")</f>
        <v/>
      </c>
      <c r="C27" s="36">
        <f>IFERROR(INDEX('Debts &amp; Installments'!$J$6:$J$25,MATCH(LARGE('Debts &amp; Installments'!$S$6:$S$25,4),'Debts &amp; Installments'!$S$6:$S$25,0)),"")</f>
        <v/>
      </c>
      <c r="D27" s="87">
        <f>IFERROR(INDEX('Debts &amp; Installments'!$R$6:$R$25,MATCH(LARGE('Debts &amp; Installments'!$S$6:$S$25,4),'Debts &amp; Installments'!$S$6:$S$25,0)),"")</f>
        <v/>
      </c>
      <c r="E27" s="22">
        <f>IFERROR(INDEX('Debts &amp; Installments'!$N$6:$N$25,MATCH(LARGE('Debts &amp; Installments'!$S$6:$S$25,4),'Debts &amp; Installments'!$S$6:$S$25,0)),"")</f>
        <v/>
      </c>
      <c r="F27" s="21">
        <f>IFERROR(INDEX('Debts &amp; Installments'!$C$6:$C$25,MATCH(LARGE('Debts &amp; Installments'!$S$6:$S$25,4),'Debts &amp; Installments'!$S$6:$S$25,0)),"")</f>
        <v/>
      </c>
      <c r="G27" s="1" t="n"/>
    </row>
    <row r="28">
      <c r="A28" s="1" t="n"/>
      <c r="B28" s="21">
        <f>IFERROR(INDEX('Debts &amp; Installments'!$B$6:$B$25,MATCH(LARGE('Debts &amp; Installments'!$S$6:$S$25,5),'Debts &amp; Installments'!$S$6:$S$25,0)),"")</f>
        <v/>
      </c>
      <c r="C28" s="36">
        <f>IFERROR(INDEX('Debts &amp; Installments'!$J$6:$J$25,MATCH(LARGE('Debts &amp; Installments'!$S$6:$S$25,5),'Debts &amp; Installments'!$S$6:$S$25,0)),"")</f>
        <v/>
      </c>
      <c r="D28" s="87">
        <f>IFERROR(INDEX('Debts &amp; Installments'!$R$6:$R$25,MATCH(LARGE('Debts &amp; Installments'!$S$6:$S$25,5),'Debts &amp; Installments'!$S$6:$S$25,0)),"")</f>
        <v/>
      </c>
      <c r="E28" s="22">
        <f>IFERROR(INDEX('Debts &amp; Installments'!$N$6:$N$25,MATCH(LARGE('Debts &amp; Installments'!$S$6:$S$25,5),'Debts &amp; Installments'!$S$6:$S$25,0)),"")</f>
        <v/>
      </c>
      <c r="F28" s="21">
        <f>IFERROR(INDEX('Debts &amp; Installments'!$C$6:$C$25,MATCH(LARGE('Debts &amp; Installments'!$S$6:$S$25,5),'Debts &amp; Installments'!$S$6:$S$25,0)),"")</f>
        <v/>
      </c>
      <c r="G28" s="1" t="n"/>
    </row>
    <row r="29">
      <c r="A29" s="1" t="n"/>
      <c r="B29" s="21">
        <f>IFERROR(INDEX('Debts &amp; Installments'!$B$6:$B$25,MATCH(LARGE('Debts &amp; Installments'!$S$6:$S$25,6),'Debts &amp; Installments'!$S$6:$S$25,0)),"")</f>
        <v/>
      </c>
      <c r="C29" s="36">
        <f>IFERROR(INDEX('Debts &amp; Installments'!$J$6:$J$25,MATCH(LARGE('Debts &amp; Installments'!$S$6:$S$25,6),'Debts &amp; Installments'!$S$6:$S$25,0)),"")</f>
        <v/>
      </c>
      <c r="D29" s="87">
        <f>IFERROR(INDEX('Debts &amp; Installments'!$R$6:$R$25,MATCH(LARGE('Debts &amp; Installments'!$S$6:$S$25,6),'Debts &amp; Installments'!$S$6:$S$25,0)),"")</f>
        <v/>
      </c>
      <c r="E29" s="22">
        <f>IFERROR(INDEX('Debts &amp; Installments'!$N$6:$N$25,MATCH(LARGE('Debts &amp; Installments'!$S$6:$S$25,6),'Debts &amp; Installments'!$S$6:$S$25,0)),"")</f>
        <v/>
      </c>
      <c r="F29" s="21">
        <f>IFERROR(INDEX('Debts &amp; Installments'!$C$6:$C$25,MATCH(LARGE('Debts &amp; Installments'!$S$6:$S$25,6),'Debts &amp; Installments'!$S$6:$S$25,0)),"")</f>
        <v/>
      </c>
      <c r="G29" s="1" t="n"/>
    </row>
    <row r="30">
      <c r="A30" s="1" t="n"/>
      <c r="B30" s="21">
        <f>IFERROR(INDEX('Debts &amp; Installments'!$B$6:$B$25,MATCH(LARGE('Debts &amp; Installments'!$S$6:$S$25,7),'Debts &amp; Installments'!$S$6:$S$25,0)),"")</f>
        <v/>
      </c>
      <c r="C30" s="36">
        <f>IFERROR(INDEX('Debts &amp; Installments'!$J$6:$J$25,MATCH(LARGE('Debts &amp; Installments'!$S$6:$S$25,7),'Debts &amp; Installments'!$S$6:$S$25,0)),"")</f>
        <v/>
      </c>
      <c r="D30" s="87">
        <f>IFERROR(INDEX('Debts &amp; Installments'!$R$6:$R$25,MATCH(LARGE('Debts &amp; Installments'!$S$6:$S$25,7),'Debts &amp; Installments'!$S$6:$S$25,0)),"")</f>
        <v/>
      </c>
      <c r="E30" s="22">
        <f>IFERROR(INDEX('Debts &amp; Installments'!$N$6:$N$25,MATCH(LARGE('Debts &amp; Installments'!$S$6:$S$25,7),'Debts &amp; Installments'!$S$6:$S$25,0)),"")</f>
        <v/>
      </c>
      <c r="F30" s="21">
        <f>IFERROR(INDEX('Debts &amp; Installments'!$C$6:$C$25,MATCH(LARGE('Debts &amp; Installments'!$S$6:$S$25,7),'Debts &amp; Installments'!$S$6:$S$25,0)),"")</f>
        <v/>
      </c>
      <c r="G30" s="1" t="n"/>
    </row>
    <row r="31">
      <c r="A31" s="1" t="n"/>
      <c r="B31" s="21">
        <f>IFERROR(INDEX('Debts &amp; Installments'!$B$6:$B$25,MATCH(LARGE('Debts &amp; Installments'!$S$6:$S$25,8),'Debts &amp; Installments'!$S$6:$S$25,0)),"")</f>
        <v/>
      </c>
      <c r="C31" s="36">
        <f>IFERROR(INDEX('Debts &amp; Installments'!$J$6:$J$25,MATCH(LARGE('Debts &amp; Installments'!$S$6:$S$25,8),'Debts &amp; Installments'!$S$6:$S$25,0)),"")</f>
        <v/>
      </c>
      <c r="D31" s="87">
        <f>IFERROR(INDEX('Debts &amp; Installments'!$R$6:$R$25,MATCH(LARGE('Debts &amp; Installments'!$S$6:$S$25,8),'Debts &amp; Installments'!$S$6:$S$25,0)),"")</f>
        <v/>
      </c>
      <c r="E31" s="22">
        <f>IFERROR(INDEX('Debts &amp; Installments'!$N$6:$N$25,MATCH(LARGE('Debts &amp; Installments'!$S$6:$S$25,8),'Debts &amp; Installments'!$S$6:$S$25,0)),"")</f>
        <v/>
      </c>
      <c r="F31" s="21">
        <f>IFERROR(INDEX('Debts &amp; Installments'!$C$6:$C$25,MATCH(LARGE('Debts &amp; Installments'!$S$6:$S$25,8),'Debts &amp; Installments'!$S$6:$S$25,0)),"")</f>
        <v/>
      </c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