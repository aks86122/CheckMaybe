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Plan" sheetId="2" state="visible" r:id="rId2"/>
    <sheet name="My Debts" sheetId="3" state="visible" r:id="rId3"/>
    <sheet name="Schedule" sheetId="4" state="visible" r:id="rId4"/>
    <sheet name="Calc Smart" sheetId="5" state="hidden" r:id="rId5"/>
    <sheet name="Calc Avalanche" sheetId="6" state="hidden" r:id="rId6"/>
    <sheet name="Calc Snowball" sheetId="7" state="hidden" r:id="rId7"/>
    <sheet name="Calc Cashflow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yyyy-mm-dd"/>
    <numFmt numFmtId="166" formatCode="mmm yyyy"/>
    <numFmt numFmtId="167" formatCode="0.0%;-0.0%;&quot;-&quot;"/>
  </numFmts>
  <fonts count="25">
    <font>
      <name val="Calibri"/>
      <family val="2"/>
      <color theme="1"/>
      <sz val="11"/>
      <scheme val="minor"/>
    </font>
    <font>
      <name val="Arial"/>
      <b val="1"/>
      <color rgb="00EDEBF5"/>
      <sz val="18"/>
    </font>
    <font>
      <name val="Arial"/>
      <i val="1"/>
      <color rgb="009A98AE"/>
      <sz val="10"/>
    </font>
    <font>
      <name val="Arial"/>
      <b val="1"/>
      <color rgb="008AB4FF"/>
      <sz val="8"/>
    </font>
    <font>
      <name val="Arial"/>
      <color rgb="00EDEBF5"/>
      <sz val="10"/>
    </font>
    <font>
      <name val="Arial"/>
      <color rgb="008AB4FF"/>
      <sz val="10"/>
    </font>
    <font>
      <name val="Arial"/>
      <color rgb="009A98AE"/>
      <sz val="8"/>
    </font>
    <font>
      <name val="Arial"/>
      <b val="1"/>
      <color rgb="004FC3C7"/>
      <sz val="9"/>
    </font>
    <font>
      <name val="Arial"/>
      <b val="1"/>
      <color rgb="004FC3C7"/>
      <sz val="8"/>
    </font>
    <font>
      <name val="Arial"/>
      <b val="1"/>
      <color rgb="00EDEBF5"/>
      <sz val="10"/>
    </font>
    <font>
      <name val="Arial"/>
      <i val="1"/>
      <color rgb="009A98AE"/>
      <sz val="8"/>
    </font>
    <font>
      <name val="Arial"/>
      <b val="1"/>
      <color rgb="00F08A4B"/>
      <sz val="9"/>
    </font>
    <font>
      <name val="Arial"/>
      <b val="1"/>
      <color rgb="009A98AE"/>
      <sz val="8"/>
    </font>
    <font>
      <name val="Arial"/>
      <b val="1"/>
      <color rgb="005FD38D"/>
      <sz val="16"/>
    </font>
    <font>
      <name val="Arial"/>
      <b val="1"/>
      <color rgb="00EDEBF5"/>
      <sz val="16"/>
    </font>
    <font>
      <name val="Arial"/>
      <b val="1"/>
      <color rgb="00FF6B6B"/>
      <sz val="16"/>
    </font>
    <font>
      <name val="Arial"/>
      <b val="1"/>
      <color rgb="00F2B544"/>
      <sz val="16"/>
    </font>
    <font>
      <name val="Arial"/>
      <b val="1"/>
      <color rgb="009A98AE"/>
      <sz val="16"/>
    </font>
    <font>
      <name val="Arial"/>
      <b val="1"/>
      <color rgb="00F2B544"/>
      <sz val="9"/>
    </font>
    <font>
      <name val="Arial"/>
      <color rgb="00EDEBF5"/>
      <sz val="9"/>
    </font>
    <font>
      <name val="Arial"/>
      <b val="1"/>
      <color rgb="00F08A4B"/>
      <sz val="8"/>
    </font>
    <font>
      <name val="Arial"/>
      <color rgb="009A98AE"/>
      <sz val="9"/>
    </font>
    <font>
      <name val="Arial"/>
      <i val="1"/>
      <color rgb="009A98AE"/>
      <sz val="9"/>
    </font>
    <font>
      <name val="Arial"/>
      <b val="1"/>
      <color rgb="00F08A4B"/>
      <sz val="10"/>
    </font>
    <font>
      <name val="Arial"/>
      <color rgb="009A98AE"/>
      <sz val="10"/>
    </font>
  </fonts>
  <fills count="8">
    <fill>
      <patternFill/>
    </fill>
    <fill>
      <patternFill patternType="gray125"/>
    </fill>
    <fill>
      <patternFill patternType="solid">
        <fgColor rgb="0015171F"/>
      </patternFill>
    </fill>
    <fill>
      <patternFill patternType="solid">
        <fgColor rgb="0010121A"/>
      </patternFill>
    </fill>
    <fill>
      <patternFill patternType="solid">
        <fgColor rgb="001E2130"/>
      </patternFill>
    </fill>
    <fill>
      <patternFill patternType="solid">
        <fgColor rgb="00262A3D"/>
      </patternFill>
    </fill>
    <fill>
      <patternFill patternType="solid">
        <fgColor rgb="00232739"/>
      </patternFill>
    </fill>
    <fill>
      <patternFill patternType="solid">
        <fgColor rgb="002C3147"/>
      </patternFill>
    </fill>
  </fills>
  <borders count="9">
    <border>
      <left/>
      <right/>
      <top/>
      <bottom/>
      <diagonal/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8AB4FF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thin">
        <color rgb="0033384F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4FC3C7"/>
      </bottom>
    </border>
    <border>
      <left style="thin">
        <color rgb="0033384F"/>
      </left>
      <right style="thin">
        <color rgb="0033384F"/>
      </right>
      <top style="thin">
        <color rgb="0033384F"/>
      </top>
      <bottom style="medium">
        <color rgb="00F08A4B"/>
      </bottom>
    </border>
    <border>
      <left/>
      <right/>
      <top style="thin">
        <color rgb="0033384F"/>
      </top>
      <bottom/>
      <diagonal/>
    </border>
    <border>
      <left/>
      <right style="thin">
        <color rgb="0033384F"/>
      </right>
      <top style="thin">
        <color rgb="0033384F"/>
      </top>
      <bottom/>
      <diagonal/>
    </border>
    <border>
      <left/>
      <right/>
      <top style="thin">
        <color rgb="0033384F"/>
      </top>
      <bottom style="medium">
        <color rgb="00F08A4B"/>
      </bottom>
      <diagonal/>
    </border>
    <border>
      <left/>
      <right style="thin">
        <color rgb="0033384F"/>
      </right>
      <top style="thin">
        <color rgb="0033384F"/>
      </top>
      <bottom style="medium">
        <color rgb="00F08A4B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applyFill="1" numFmtId="0" fontId="0" fillId="2" borderId="0" pivotButton="0" quotePrefix="0" xfId="0"/>
    <xf applyFill="1" applyFont="1" numFmtId="0" fontId="1" fillId="2" borderId="0" pivotButton="0" quotePrefix="0" xfId="0"/>
    <xf applyFill="1" applyFont="1" numFmtId="0" fontId="2" fillId="2" borderId="0" pivotButton="0" quotePrefix="0" xfId="0"/>
    <xf applyFill="1" applyFont="1" numFmtId="0" fontId="9" fillId="2" borderId="0" applyAlignment="1" pivotButton="0" quotePrefix="0" xfId="0">
      <alignment vertical="top" wrapText="1"/>
    </xf>
    <xf applyFill="1" applyFont="1" numFmtId="0" fontId="24" fillId="2" borderId="0" applyAlignment="1" pivotButton="0" quotePrefix="0" xfId="0">
      <alignment vertical="top" wrapText="1"/>
    </xf>
    <xf applyBorder="1" applyFill="1" applyFont="1" numFmtId="0" fontId="3" fillId="3" borderId="1" applyAlignment="1" pivotButton="0" quotePrefix="0" xfId="0">
      <alignment horizontal="center" vertical="center" wrapText="1"/>
    </xf>
    <xf applyFill="1" applyFont="1" numFmtId="0" fontId="11" fillId="2" borderId="0" pivotButton="0" quotePrefix="0" xfId="0"/>
    <xf applyBorder="1" applyFill="1" applyFont="1" numFmtId="0" fontId="4" fillId="4" borderId="2" applyAlignment="1" pivotButton="0" quotePrefix="0" xfId="0">
      <alignment horizontal="left" vertical="center"/>
    </xf>
    <xf applyBorder="1" applyFill="1" applyFont="1" applyNumberFormat="1" numFmtId="164" fontId="5" fillId="5" borderId="2" applyAlignment="1" pivotButton="0" quotePrefix="0" xfId="0">
      <alignment horizontal="right" vertical="center"/>
    </xf>
    <xf applyBorder="1" applyFill="1" applyFont="1" numFmtId="0" fontId="6" fillId="4" borderId="2" applyAlignment="1" pivotButton="0" quotePrefix="0" xfId="0">
      <alignment horizontal="left" vertical="center" wrapText="1"/>
    </xf>
    <xf applyFill="1" applyFont="1" numFmtId="0" fontId="12" fillId="4" borderId="0" pivotButton="0" quotePrefix="0" xfId="0"/>
    <xf applyFill="1" applyFont="1" applyNumberFormat="1" numFmtId="166" fontId="13" fillId="4" borderId="0" applyAlignment="1" pivotButton="0" quotePrefix="0" xfId="0">
      <alignment horizontal="right"/>
    </xf>
    <xf applyBorder="1" applyFill="1" applyFont="1" numFmtId="0" fontId="4" fillId="6" borderId="2" applyAlignment="1" pivotButton="0" quotePrefix="0" xfId="0">
      <alignment horizontal="left" vertical="center"/>
    </xf>
    <xf applyBorder="1" applyFill="1" applyFont="1" applyNumberFormat="1" numFmtId="166" fontId="5" fillId="7" borderId="2" applyAlignment="1" pivotButton="0" quotePrefix="0" xfId="0">
      <alignment horizontal="right" vertical="center"/>
    </xf>
    <xf applyBorder="1" applyFill="1" applyFont="1" numFmtId="0" fontId="6" fillId="6" borderId="2" applyAlignment="1" pivotButton="0" quotePrefix="0" xfId="0">
      <alignment horizontal="left" vertical="center" wrapText="1"/>
    </xf>
    <xf applyFill="1" applyFont="1" applyNumberFormat="1" numFmtId="1" fontId="14" fillId="4" borderId="0" applyAlignment="1" pivotButton="0" quotePrefix="0" xfId="0">
      <alignment horizontal="right"/>
    </xf>
    <xf applyFill="1" applyFont="1" applyNumberFormat="1" numFmtId="164" fontId="15" fillId="4" borderId="0" applyAlignment="1" pivotButton="0" quotePrefix="0" xfId="0">
      <alignment horizontal="right"/>
    </xf>
    <xf applyBorder="1" applyFill="1" applyFont="1" applyNumberFormat="1" numFmtId="1" fontId="5" fillId="7" borderId="2" applyAlignment="1" pivotButton="0" quotePrefix="0" xfId="0">
      <alignment horizontal="right" vertical="center"/>
    </xf>
    <xf applyFill="1" applyFont="1" applyNumberFormat="1" numFmtId="164" fontId="16" fillId="4" borderId="0" applyAlignment="1" pivotButton="0" quotePrefix="0" xfId="0">
      <alignment horizontal="right"/>
    </xf>
    <xf applyBorder="1" applyFill="1" applyFont="1" numFmtId="0" fontId="5" fillId="5" borderId="2" applyAlignment="1" pivotButton="0" quotePrefix="0" xfId="0">
      <alignment horizontal="left" vertical="center" wrapText="1"/>
    </xf>
    <xf applyFill="1" applyFont="1" applyNumberFormat="1" numFmtId="164" fontId="17" fillId="4" borderId="0" applyAlignment="1" pivotButton="0" quotePrefix="0" xfId="0">
      <alignment horizontal="right"/>
    </xf>
    <xf applyBorder="1" applyFill="1" applyFont="1" applyNumberFormat="1" numFmtId="164" fontId="5" fillId="7" borderId="2" applyAlignment="1" pivotButton="0" quotePrefix="0" xfId="0">
      <alignment horizontal="right" vertical="center"/>
    </xf>
    <xf applyFill="1" applyFont="1" applyNumberFormat="1" numFmtId="164" fontId="13" fillId="4" borderId="0" applyAlignment="1" pivotButton="0" quotePrefix="0" xfId="0">
      <alignment horizontal="right"/>
    </xf>
    <xf applyFill="1" applyFont="1" numFmtId="0" fontId="10" fillId="2" borderId="0" pivotButton="0" quotePrefix="0" xfId="0"/>
    <xf applyFill="1" applyFont="1" numFmtId="0" fontId="7" fillId="2" borderId="0" pivotButton="0" quotePrefix="0" xfId="0"/>
    <xf applyBorder="1" applyFill="1" applyFont="1" numFmtId="0" fontId="8" fillId="3" borderId="3" applyAlignment="1" pivotButton="0" quotePrefix="0" xfId="0">
      <alignment horizontal="center" vertical="center" wrapText="1"/>
    </xf>
    <xf applyBorder="1" applyFill="1" applyFont="1" numFmtId="0" fontId="9" fillId="4" borderId="2" applyAlignment="1" pivotButton="0" quotePrefix="0" xfId="0">
      <alignment horizontal="left" vertical="center"/>
    </xf>
    <xf applyBorder="1" applyFill="1" applyFont="1" applyNumberFormat="1" numFmtId="166" fontId="4" fillId="4" borderId="2" applyAlignment="1" pivotButton="0" quotePrefix="0" xfId="0">
      <alignment horizontal="right" vertical="center"/>
    </xf>
    <xf applyBorder="1" applyFill="1" applyFont="1" numFmtId="0" fontId="9" fillId="6" borderId="2" applyAlignment="1" pivotButton="0" quotePrefix="0" xfId="0">
      <alignment horizontal="left" vertical="center"/>
    </xf>
    <xf applyBorder="1" applyFill="1" applyFont="1" applyNumberFormat="1" numFmtId="1" fontId="4" fillId="6" borderId="2" applyAlignment="1" pivotButton="0" quotePrefix="0" xfId="0">
      <alignment horizontal="right" vertical="center"/>
    </xf>
    <xf applyBorder="1" applyFill="1" applyFont="1" applyNumberFormat="1" numFmtId="164" fontId="4" fillId="4" borderId="2" applyAlignment="1" pivotButton="0" quotePrefix="0" xfId="0">
      <alignment horizontal="right" vertical="center"/>
    </xf>
    <xf applyBorder="1" applyFill="1" applyFont="1" applyNumberFormat="1" numFmtId="164" fontId="4" fillId="6" borderId="2" applyAlignment="1" pivotButton="0" quotePrefix="0" xfId="0">
      <alignment horizontal="right" vertical="center"/>
    </xf>
    <xf applyBorder="1" applyFill="1" applyFont="1" applyNumberFormat="1" numFmtId="166" fontId="4" fillId="6" borderId="2" applyAlignment="1" pivotButton="0" quotePrefix="0" xfId="0">
      <alignment horizontal="right" vertical="center"/>
    </xf>
    <xf applyFill="1" applyFont="1" numFmtId="0" fontId="18" fillId="2" borderId="0" pivotButton="0" quotePrefix="0" xfId="0"/>
    <xf applyBorder="1" applyFill="1" applyFont="1" numFmtId="0" fontId="19" fillId="4" borderId="2" applyAlignment="1" pivotButton="0" quotePrefix="0" xfId="0">
      <alignment horizontal="left" vertical="center" wrapText="1"/>
    </xf>
    <xf applyBorder="1" applyFill="1" applyFont="1" numFmtId="0" fontId="19" fillId="6" borderId="2" applyAlignment="1" pivotButton="0" quotePrefix="0" xfId="0">
      <alignment horizontal="left" vertical="center" wrapText="1"/>
    </xf>
    <xf applyBorder="1" applyFill="1" applyFont="1" numFmtId="0" fontId="20" fillId="3" borderId="4" applyAlignment="1" pivotButton="0" quotePrefix="0" xfId="0">
      <alignment horizontal="center" vertical="center" wrapText="1"/>
    </xf>
    <xf applyBorder="1" numFmtId="0" fontId="0" fillId="0" borderId="7" pivotButton="0" quotePrefix="0" xfId="0"/>
    <xf applyBorder="1" numFmtId="0" fontId="0" fillId="0" borderId="8" pivotButton="0" quotePrefix="0" xfId="0"/>
    <xf applyBorder="1" applyFill="1" applyFont="1" applyNumberFormat="1" numFmtId="1" fontId="4" fillId="4" borderId="2" applyAlignment="1" pivotButton="0" quotePrefix="0" xfId="0">
      <alignment horizontal="center" vertical="center"/>
    </xf>
    <xf applyBorder="1" applyFill="1" applyFont="1" applyNumberFormat="1" numFmtId="167" fontId="4" fillId="4" borderId="2" applyAlignment="1" pivotButton="0" quotePrefix="0" xfId="0">
      <alignment horizontal="right" vertical="center"/>
    </xf>
    <xf applyBorder="1" applyFill="1" applyFont="1" numFmtId="0" fontId="21" fillId="4" borderId="2" applyAlignment="1" pivotButton="0" quotePrefix="0" xfId="0">
      <alignment horizontal="left" vertical="center"/>
    </xf>
    <xf applyBorder="1" applyFill="1" applyFont="1" applyNumberFormat="1" numFmtId="1" fontId="4" fillId="6" borderId="2" applyAlignment="1" pivotButton="0" quotePrefix="0" xfId="0">
      <alignment horizontal="center" vertical="center"/>
    </xf>
    <xf applyBorder="1" applyFill="1" applyFont="1" applyNumberFormat="1" numFmtId="167" fontId="4" fillId="6" borderId="2" applyAlignment="1" pivotButton="0" quotePrefix="0" xfId="0">
      <alignment horizontal="right" vertical="center"/>
    </xf>
    <xf applyBorder="1" applyFill="1" applyFont="1" numFmtId="0" fontId="21" fillId="6" borderId="2" applyAlignment="1" pivotButton="0" quotePrefix="0" xfId="0">
      <alignment horizontal="left" vertical="center"/>
    </xf>
    <xf applyFill="1" applyFont="1" numFmtId="0" fontId="22" fillId="2" borderId="0" pivotButton="0" quotePrefix="0" xfId="0"/>
    <xf applyFill="1" applyFont="1" numFmtId="0" fontId="20" fillId="3" borderId="0" pivotButton="0" quotePrefix="0" xfId="0"/>
    <xf applyBorder="1" applyFill="1" applyFont="1" numFmtId="0" fontId="4" fillId="5" borderId="2" applyAlignment="1" pivotButton="0" quotePrefix="0" xfId="0">
      <alignment horizontal="left" vertical="center"/>
    </xf>
    <xf applyBorder="1" applyFill="1" applyFont="1" applyNumberFormat="1" numFmtId="164" fontId="4" fillId="5" borderId="2" applyAlignment="1" pivotButton="0" quotePrefix="0" xfId="0">
      <alignment horizontal="right" vertical="center"/>
    </xf>
    <xf applyBorder="1" applyFill="1" applyFont="1" applyNumberFormat="1" numFmtId="167" fontId="4" fillId="5" borderId="2" applyAlignment="1" pivotButton="0" quotePrefix="0" xfId="0">
      <alignment horizontal="right" vertical="center"/>
    </xf>
    <xf applyBorder="1" applyFill="1" applyFont="1" applyNumberFormat="1" numFmtId="166" fontId="4" fillId="5" borderId="2" applyAlignment="1" pivotButton="0" quotePrefix="0" xfId="0">
      <alignment horizontal="right" vertical="center"/>
    </xf>
    <xf applyBorder="1" applyFill="1" applyFont="1" numFmtId="0" fontId="19" fillId="4" borderId="2" applyAlignment="1" pivotButton="0" quotePrefix="0" xfId="0">
      <alignment horizontal="left" vertical="center"/>
    </xf>
    <xf applyBorder="1" applyFill="1" applyFont="1" numFmtId="0" fontId="4" fillId="4" borderId="2" applyAlignment="1" pivotButton="0" quotePrefix="0" xfId="0">
      <alignment horizontal="center" vertical="center"/>
    </xf>
    <xf applyBorder="1" applyFill="1" applyFont="1" applyNumberFormat="1" numFmtId="1" fontId="23" fillId="4" borderId="2" applyAlignment="1" pivotButton="0" quotePrefix="0" xfId="0">
      <alignment horizontal="center" vertical="center"/>
    </xf>
    <xf applyBorder="1" applyFill="1" applyFont="1" numFmtId="0" fontId="4" fillId="7" borderId="2" applyAlignment="1" pivotButton="0" quotePrefix="0" xfId="0">
      <alignment horizontal="left" vertical="center"/>
    </xf>
    <xf applyBorder="1" applyFill="1" applyFont="1" applyNumberFormat="1" numFmtId="164" fontId="4" fillId="7" borderId="2" applyAlignment="1" pivotButton="0" quotePrefix="0" xfId="0">
      <alignment horizontal="right" vertical="center"/>
    </xf>
    <xf applyBorder="1" applyFill="1" applyFont="1" applyNumberFormat="1" numFmtId="167" fontId="4" fillId="7" borderId="2" applyAlignment="1" pivotButton="0" quotePrefix="0" xfId="0">
      <alignment horizontal="right" vertical="center"/>
    </xf>
    <xf applyBorder="1" applyFill="1" applyFont="1" applyNumberFormat="1" numFmtId="166" fontId="4" fillId="7" borderId="2" applyAlignment="1" pivotButton="0" quotePrefix="0" xfId="0">
      <alignment horizontal="right" vertical="center"/>
    </xf>
    <xf applyBorder="1" applyFill="1" applyFont="1" numFmtId="0" fontId="19" fillId="6" borderId="2" applyAlignment="1" pivotButton="0" quotePrefix="0" xfId="0">
      <alignment horizontal="left" vertical="center"/>
    </xf>
    <xf applyBorder="1" applyFill="1" applyFont="1" numFmtId="0" fontId="4" fillId="6" borderId="2" applyAlignment="1" pivotButton="0" quotePrefix="0" xfId="0">
      <alignment horizontal="center" vertical="center"/>
    </xf>
    <xf applyBorder="1" applyFill="1" applyFont="1" applyNumberFormat="1" numFmtId="1" fontId="23" fillId="6" borderId="2" applyAlignment="1" pivotButton="0" quotePrefix="0" xfId="0">
      <alignment horizontal="center" vertical="center"/>
    </xf>
    <xf applyFill="1" applyFont="1" numFmtId="0" fontId="12" fillId="2" borderId="0" applyAlignment="1" pivotButton="0" quotePrefix="0" xfId="0">
      <alignment wrapText="1"/>
    </xf>
    <xf applyFill="1" applyFont="1" numFmtId="0" fontId="12" fillId="2" borderId="0" pivotButton="0" quotePrefix="0" xfId="0"/>
    <xf applyBorder="1" applyFill="1" applyFont="1" applyNumberFormat="1" numFmtId="166" fontId="4" fillId="4" borderId="2" applyAlignment="1" pivotButton="0" quotePrefix="0" xfId="0">
      <alignment horizontal="left" vertical="center"/>
    </xf>
    <xf applyBorder="1" applyFill="1" applyFont="1" applyNumberFormat="1" numFmtId="164" fontId="19" fillId="4" borderId="2" applyAlignment="1" pivotButton="0" quotePrefix="0" xfId="0">
      <alignment horizontal="right" vertical="center"/>
    </xf>
    <xf applyBorder="1" applyFill="1" applyFont="1" applyNumberFormat="1" numFmtId="166" fontId="4" fillId="6" borderId="2" applyAlignment="1" pivotButton="0" quotePrefix="0" xfId="0">
      <alignment horizontal="left" vertical="center"/>
    </xf>
    <xf applyBorder="1" applyFill="1" applyFont="1" applyNumberFormat="1" numFmtId="164" fontId="19" fillId="6" borderId="2" applyAlignment="1" pivotButton="0" quotePrefix="0" xfId="0">
      <alignment horizontal="right" vertical="center"/>
    </xf>
  </cellXfs>
  <cellStyles count="1">
    <cellStyle name="Normal" xfId="0" builtinId="0" hidden="0"/>
  </cellStyles>
  <dxfs count="8">
    <dxf>
      <font>
        <b val="1"/>
        <color rgb="005FD38D"/>
      </font>
    </dxf>
    <dxf>
      <font>
        <b val="1"/>
        <color rgb="00FF6B6B"/>
      </font>
      <fill>
        <patternFill patternType="solid">
          <fgColor rgb="004A1D22"/>
        </patternFill>
      </fill>
    </dxf>
    <dxf>
      <font>
        <b val="1"/>
        <color rgb="00B8B6C8"/>
      </font>
      <fill>
        <patternFill patternType="solid">
          <fgColor rgb="002F3242"/>
        </patternFill>
      </fill>
    </dxf>
    <dxf>
      <font>
        <b val="1"/>
        <color rgb="00F2B544"/>
      </font>
      <fill>
        <patternFill patternType="solid">
          <fgColor rgb="004A3A15"/>
        </patternFill>
      </fill>
    </dxf>
    <dxf>
      <font>
        <b val="1"/>
        <color rgb="005FD38D"/>
      </font>
      <fill>
        <patternFill patternType="solid">
          <fgColor rgb="00173A28"/>
        </patternFill>
      </fill>
    </dxf>
    <dxf>
      <font>
        <b val="1"/>
        <color rgb="00B18CFF"/>
      </font>
      <fill>
        <patternFill patternType="solid">
          <fgColor rgb="002E2250"/>
        </patternFill>
      </fill>
    </dxf>
    <dxf>
      <font>
        <b val="1"/>
        <color rgb="00F2B544"/>
      </font>
    </dxf>
    <dxf>
      <font>
        <color rgb="005FD38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'Schedule'!D5</f>
            </strRef>
          </tx>
          <spPr>
            <a:ln w="28000">
              <a:solidFill>
                <a:srgbClr val="F08A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'Schedule'!$B$6:$B$125</f>
            </numRef>
          </cat>
          <val>
            <numRef>
              <f>'Schedule'!$D$6:$D$125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33384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solidFill>
      <a:srgbClr val="1E2130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4FC3C7"/>
            </a:solidFill>
            <a:ln>
              <a:noFill/>
              <a:prstDash val="solid"/>
            </a:ln>
          </spPr>
          <cat>
            <numRef>
              <f>'Plan'!$C$14:$F$14</f>
            </numRef>
          </cat>
          <val>
            <numRef>
              <f>'Plan'!$C$19:$F$19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33384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33384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A98AE"/>
                </a:solidFill>
              </a:defRPr>
            </a:pPr>
            <a:r>
              <a:t/>
            </a:r>
            <a:endParaRPr sz="800" b="0">
              <a:solidFill>
                <a:srgbClr val="9A98AE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solidFill>
      <a:srgbClr val="1E2130"/>
    </a:solidFill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CheckMaybe</author>
  </authors>
  <commentList>
    <comment ref="F6" authorId="0" shapeId="0">
      <text>
        <t>The smallest payment your lender asks for each month.</t>
      </text>
    </comment>
    <comment ref="G6" authorId="0" shapeId="0">
      <text>
        <t>Yes = you've missed payments or it's in collections. Smart puts these first.</t>
      </text>
    </comment>
    <comment ref="H6" authorId="0" shapeId="0">
      <text>
        <t>Leave blank if you don't know the rule yet: it's treated as 'Allowed, no fee'.</t>
      </text>
    </comment>
    <comment ref="I6" authorId="0" shapeId="0">
      <text>
        <t>The fee your contract charges for paying the whole balance early. Blank = no fee.</t>
      </text>
    </comment>
    <comment ref="J6" authorId="0" shapeId="0">
      <text>
        <t>When the early-payoff fee or the lock-in period ends. Blank on a lock = treated as locked for now.</t>
      </text>
    </comment>
    <comment ref="K6" authorId="0" shapeId="0">
      <text>
        <t>Only for 0% or promo-rate deals. Blank = no promo.</t>
      </text>
    </comment>
    <comment ref="L6" authorId="0" shapeId="0">
      <text>
        <t>The rate after the promo ends. Blank = same as APR.</t>
      </text>
    </comment>
    <comment ref="M6" authorId="0" shapeId="0">
      <text>
        <t>Yes = if not paid in full by the promo end, back-interest from day one gets added (common on US store cards).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45</row>
      <rowOff>0</rowOff>
    </from>
    <ext cx="540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4FC3C7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>
      <c r="A1" s="1" t="n"/>
      <c r="B1" s="1" t="n"/>
      <c r="C1" s="1" t="n"/>
    </row>
    <row r="2" ht="30" customHeight="1">
      <c r="A2" s="1" t="n"/>
      <c r="B2" s="2" t="inlineStr">
        <is>
          <t>Start here</t>
        </is>
      </c>
      <c r="C2" s="1" t="n"/>
    </row>
    <row r="3">
      <c r="A3" s="1" t="n"/>
      <c r="B3" s="3" t="inlineStr">
        <is>
          <t>10 minutes to set up. Works with any currency.</t>
        </is>
      </c>
      <c r="C3" s="1" t="n"/>
    </row>
    <row r="4">
      <c r="A4" s="1" t="n"/>
      <c r="B4" s="1" t="n"/>
      <c r="C4" s="1" t="n"/>
    </row>
    <row r="5">
      <c r="A5" s="1" t="n"/>
      <c r="B5" s="4" t="inlineStr">
        <is>
          <t>1. My Debts: one row per debt. Fill the blue columns. Only Name, Balance, APR and Minimum payment are needed.</t>
        </is>
      </c>
      <c r="C5" s="1" t="n"/>
    </row>
    <row r="6">
      <c r="A6" s="1" t="n"/>
      <c r="B6" s="5" t="inlineStr">
        <is>
          <t xml:space="preserve">   • Optional columns can stay blank: blank = no fee, no lock, no promo, not behind. The maths still works.</t>
        </is>
      </c>
      <c r="C6" s="1" t="n"/>
    </row>
    <row r="7">
      <c r="A7" s="1" t="n"/>
      <c r="B7" s="5" t="inlineStr">
        <is>
          <t xml:space="preserve">   • Early payoff rule: if your contract charges a fee for paying early, pick 'Allowed with a fee' and enter the fee and when it ends.</t>
        </is>
      </c>
      <c r="C7" s="1" t="n"/>
    </row>
    <row r="8">
      <c r="A8" s="1" t="n"/>
      <c r="B8" s="5" t="inlineStr">
        <is>
          <t xml:space="preserve">     The sheet compares the fee with the interest you'd save. If the fee costs more, extra payments wait until the fee ends.</t>
        </is>
      </c>
      <c r="C8" s="1" t="n"/>
    </row>
    <row r="9">
      <c r="A9" s="1" t="n"/>
      <c r="B9" s="5" t="inlineStr">
        <is>
          <t xml:space="preserve">   • Locked until a date: no extra goes in until that date (minimums still get paid).</t>
        </is>
      </c>
      <c r="C9" s="1" t="n"/>
    </row>
    <row r="10">
      <c r="A10" s="1" t="n"/>
      <c r="B10" s="5" t="inlineStr">
        <is>
          <t xml:space="preserve">   • Not sure: minimums only, until you ask your lender and change the rule.</t>
        </is>
      </c>
      <c r="C10" s="1" t="n"/>
    </row>
    <row r="11">
      <c r="A11" s="1" t="n"/>
      <c r="B11" s="5" t="inlineStr">
        <is>
          <t xml:space="preserve">   • 0% / promo deals: enter the promo end date and the APR after it. Deferred interest = Yes if back-interest is added when you don't clear it in time.</t>
        </is>
      </c>
      <c r="C11" s="1" t="n"/>
    </row>
    <row r="12">
      <c r="A12" s="1" t="n"/>
      <c r="B12" s="4" t="inlineStr">
        <is>
          <t>2. Plan: enter how much you can put toward all debts each month, the start month, and any one-time extra.</t>
        </is>
      </c>
      <c r="C12" s="1" t="n"/>
    </row>
    <row r="13">
      <c r="A13" s="1" t="n"/>
      <c r="B13" s="4" t="inlineStr">
        <is>
          <t>3. Plan: pick a payoff order and compare all four. Smart is CheckMaybe's default:</t>
        </is>
      </c>
      <c r="C13" s="1" t="n"/>
    </row>
    <row r="14">
      <c r="A14" s="1" t="n"/>
      <c r="B14" s="5" t="inlineStr">
        <is>
          <t xml:space="preserve">   behind-on-payments first → deferred-interest deadlines → highest APR (or, if minimums take 35%+ of income, the debt that frees up the most monthly money).</t>
        </is>
      </c>
      <c r="C14" s="1" t="n"/>
    </row>
    <row r="15">
      <c r="A15" s="1" t="n"/>
      <c r="B15" s="4" t="inlineStr">
        <is>
          <t>4. Schedule: month by month, what's left on each debt.</t>
        </is>
      </c>
      <c r="C15" s="1" t="n"/>
    </row>
    <row r="16">
      <c r="A16" s="1" t="n"/>
      <c r="B16" s="5" t="inlineStr"/>
      <c r="C16" s="1" t="n"/>
    </row>
    <row r="17">
      <c r="A17" s="1" t="n"/>
      <c r="B17" s="5" t="inlineStr">
        <is>
          <t>How the extra money moves: every month all minimums get paid; whatever's left goes to the #1 debt that is allowed to take extra.</t>
        </is>
      </c>
      <c r="C17" s="1" t="n"/>
    </row>
    <row r="18">
      <c r="A18" s="1" t="n"/>
      <c r="B18" s="5" t="inlineStr">
        <is>
          <t>When a debt is cleared, its minimum rolls into the next one. Interest is APR ÷ 12 each month.</t>
        </is>
      </c>
      <c r="C18" s="1" t="n"/>
    </row>
    <row r="19">
      <c r="A19" s="1" t="n"/>
      <c r="B19" s="5" t="inlineStr"/>
      <c r="C19" s="1" t="n"/>
    </row>
    <row r="20">
      <c r="A20" s="1" t="n"/>
      <c r="B20" s="5" t="inlineStr">
        <is>
          <t>Estimates only. Not financial advice. Contracts differ by country and lender: your lender's figures are the final word.</t>
        </is>
      </c>
      <c r="C20" s="1" t="n"/>
    </row>
    <row r="21">
      <c r="A21" s="1" t="n"/>
      <c r="B21" s="5" t="inlineStr">
        <is>
          <t>Example rows are made up. Replace or clear them.</t>
        </is>
      </c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8A4B"/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  <col width="26" customWidth="1" min="8" max="8"/>
    <col width="34" customWidth="1" min="9" max="9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Debt Payoff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Set your budget here, list your debts on My Debts. Blue headers = you fill in.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24" customHeight="1">
      <c r="A4" s="1" t="n"/>
      <c r="B4" s="6" t="inlineStr">
        <is>
          <t>SETTING</t>
        </is>
      </c>
      <c r="C4" s="6" t="inlineStr">
        <is>
          <t>VALUE</t>
        </is>
      </c>
      <c r="D4" s="1" t="n"/>
      <c r="E4" s="1" t="n"/>
      <c r="F4" s="1" t="n"/>
      <c r="G4" s="1" t="n"/>
      <c r="H4" s="7" t="inlineStr">
        <is>
          <t>YOUR CHOSEN ORDER</t>
        </is>
      </c>
      <c r="I4" s="1" t="n"/>
      <c r="J4" s="1" t="n"/>
    </row>
    <row r="5" ht="26" customHeight="1">
      <c r="A5" s="1" t="n"/>
      <c r="B5" s="8" t="inlineStr">
        <is>
          <t>Money for debts each month</t>
        </is>
      </c>
      <c r="C5" s="9" t="n">
        <v>1500</v>
      </c>
      <c r="D5" s="10" t="inlineStr">
        <is>
          <t>Total you can put toward ALL debts each month, minimums included.</t>
        </is>
      </c>
      <c r="G5" s="1" t="n"/>
      <c r="H5" s="11" t="inlineStr">
        <is>
          <t>DEBT-FREE</t>
        </is>
      </c>
      <c r="I5" s="12">
        <f>INDEX(C15:F15,Plan!$K$5)</f>
        <v/>
      </c>
      <c r="J5" s="1" t="n"/>
      <c r="K5">
        <f>MATCH($C$9,{"Smart (CheckMaybe order)","Avalanche (highest APR first)","Snowball (smallest balance first)","Cash-flow (free up monthly money first)"},0)</f>
        <v/>
      </c>
    </row>
    <row r="6" ht="26" customHeight="1">
      <c r="A6" s="1" t="n"/>
      <c r="B6" s="13" t="inlineStr">
        <is>
          <t>Plan starts</t>
        </is>
      </c>
      <c r="C6" s="14" t="n">
        <v>46327</v>
      </c>
      <c r="D6" s="15" t="inlineStr">
        <is>
          <t>First month of the plan. Use the 1st of the month.</t>
        </is>
      </c>
      <c r="G6" s="1" t="n"/>
      <c r="H6" s="11" t="inlineStr">
        <is>
          <t>MONTHS TO GO</t>
        </is>
      </c>
      <c r="I6" s="16">
        <f>INDEX(C16:F16,Plan!$K$5)</f>
        <v/>
      </c>
      <c r="J6" s="1" t="n"/>
      <c r="K6">
        <f>SUMPRODUCT(('My Debts'!$D$7:$D$18&gt;0)*N(+'My Debts'!$F$7:$F$18))</f>
        <v/>
      </c>
    </row>
    <row r="7" ht="26" customHeight="1">
      <c r="A7" s="1" t="n"/>
      <c r="B7" s="8" t="inlineStr">
        <is>
          <t>One-time extra (optional)</t>
        </is>
      </c>
      <c r="C7" s="9" t="n">
        <v>0</v>
      </c>
      <c r="D7" s="10" t="inlineStr">
        <is>
          <t>A bonus, tax refund or savings you'll throw at debt once. Leave 0 if none.</t>
        </is>
      </c>
      <c r="G7" s="1" t="n"/>
      <c r="H7" s="11" t="inlineStr">
        <is>
          <t>INTEREST YOU'LL PAY</t>
        </is>
      </c>
      <c r="I7" s="17">
        <f>INDEX(C17:F17,Plan!$K$5)</f>
        <v/>
      </c>
      <c r="J7" s="1" t="n"/>
      <c r="K7">
        <f>AND(N($C$10)&gt;0,$K$6/MAX(1,N($C$10))&gt;=0.35)</f>
        <v/>
      </c>
    </row>
    <row r="8" ht="26" customHeight="1">
      <c r="A8" s="1" t="n"/>
      <c r="B8" s="13" t="inlineStr">
        <is>
          <t>…in plan month #</t>
        </is>
      </c>
      <c r="C8" s="18" t="n">
        <v>1</v>
      </c>
      <c r="D8" s="15" t="inlineStr">
        <is>
          <t>Which month the one-time extra goes in (1 = first month).</t>
        </is>
      </c>
      <c r="G8" s="1" t="n"/>
      <c r="H8" s="11" t="inlineStr">
        <is>
          <t>EARLY-PAYOFF FEES</t>
        </is>
      </c>
      <c r="I8" s="19">
        <f>INDEX(C18:F18,Plan!$K$5)</f>
        <v/>
      </c>
      <c r="J8" s="1" t="n"/>
      <c r="K8">
        <f>COUNTIFS('My Debts'!$D$7:$D$18,"&gt;0")</f>
        <v/>
      </c>
    </row>
    <row r="9" ht="26" customHeight="1">
      <c r="A9" s="1" t="n"/>
      <c r="B9" s="8" t="inlineStr">
        <is>
          <t>Payoff order</t>
        </is>
      </c>
      <c r="C9" s="20" t="inlineStr">
        <is>
          <t>Smart (CheckMaybe order)</t>
        </is>
      </c>
      <c r="D9" s="10" t="inlineStr">
        <is>
          <t>Smart is the default. Compare all four on the right.</t>
        </is>
      </c>
      <c r="G9" s="1" t="n"/>
      <c r="H9" s="11" t="inlineStr">
        <is>
          <t>MINIMUMS ONLY: INTEREST</t>
        </is>
      </c>
      <c r="I9" s="21">
        <f>IF(COUNT('My Debts'!$P$7:$P$18)=0,"",SUM('My Debts'!$P$7:$P$18))</f>
        <v/>
      </c>
      <c r="J9" s="1" t="n"/>
    </row>
    <row r="10" ht="26" customHeight="1">
      <c r="A10" s="1" t="n"/>
      <c r="B10" s="13" t="inlineStr">
        <is>
          <t>Monthly take-home income (optional)</t>
        </is>
      </c>
      <c r="C10" s="22" t="n">
        <v>3800</v>
      </c>
      <c r="D10" s="15" t="inlineStr">
        <is>
          <t>Used only to spot money pressure: if minimums take 35%+ of income, Smart frees up monthly money first.</t>
        </is>
      </c>
      <c r="G10" s="1" t="n"/>
      <c r="H10" s="11" t="inlineStr">
        <is>
          <t>YOU SAVE VS MINIMUMS ONLY</t>
        </is>
      </c>
      <c r="I10" s="23">
        <f>IF(OR(I9="",NOT(ISNUMBER(I7))),"",MAX(0,I9-I7-I8))</f>
        <v/>
      </c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24" t="inlineStr">
        <is>
          <t>Minimums-only ignores debts that minimums never clear.</t>
        </is>
      </c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5" t="inlineStr">
        <is>
          <t>COMPARE THE FOUR ORDERS</t>
        </is>
      </c>
      <c r="C13" s="1" t="n"/>
      <c r="D13" s="1" t="n"/>
      <c r="E13" s="1" t="n"/>
      <c r="F13" s="1" t="n"/>
      <c r="G13" s="1" t="n"/>
      <c r="H13" s="7" t="inlineStr">
        <is>
          <t>TOTAL LEFT, FIRST 10 YEARS</t>
        </is>
      </c>
      <c r="I13" s="1" t="n"/>
      <c r="J13" s="1" t="n"/>
    </row>
    <row r="14" ht="24" customHeight="1">
      <c r="A14" s="1" t="n"/>
      <c r="B14" s="26" t="inlineStr"/>
      <c r="C14" s="26" t="inlineStr">
        <is>
          <t>SMART</t>
        </is>
      </c>
      <c r="D14" s="26" t="inlineStr">
        <is>
          <t>AVALANCHE</t>
        </is>
      </c>
      <c r="E14" s="26" t="inlineStr">
        <is>
          <t>SNOWBALL</t>
        </is>
      </c>
      <c r="F14" s="26" t="inlineStr">
        <is>
          <t>CASH-FLOW</t>
        </is>
      </c>
      <c r="G14" s="1" t="n"/>
      <c r="H14" s="1" t="n"/>
      <c r="I14" s="1" t="n"/>
      <c r="J14" s="1" t="n"/>
    </row>
    <row r="15">
      <c r="A15" s="1" t="n"/>
      <c r="B15" s="27" t="inlineStr">
        <is>
          <t>Debt-free</t>
        </is>
      </c>
      <c r="C15" s="28">
        <f>'Calc Smart'!$B$5</f>
        <v/>
      </c>
      <c r="D15" s="28">
        <f>'Calc Avalanche'!$B$5</f>
        <v/>
      </c>
      <c r="E15" s="28">
        <f>'Calc Snowball'!$B$5</f>
        <v/>
      </c>
      <c r="F15" s="28">
        <f>'Calc Cashflow'!$B$5</f>
        <v/>
      </c>
      <c r="G15" s="1" t="n"/>
      <c r="H15" s="1" t="n"/>
      <c r="I15" s="1" t="n"/>
      <c r="J15" s="1" t="n"/>
    </row>
    <row r="16">
      <c r="A16" s="1" t="n"/>
      <c r="B16" s="29" t="inlineStr">
        <is>
          <t>Months to debt-free</t>
        </is>
      </c>
      <c r="C16" s="30">
        <f>'Calc Smart'!$B$6</f>
        <v/>
      </c>
      <c r="D16" s="30">
        <f>'Calc Avalanche'!$B$6</f>
        <v/>
      </c>
      <c r="E16" s="30">
        <f>'Calc Snowball'!$B$6</f>
        <v/>
      </c>
      <c r="F16" s="30">
        <f>'Calc Cashflow'!$B$6</f>
        <v/>
      </c>
      <c r="G16" s="1" t="n"/>
      <c r="H16" s="1" t="n"/>
      <c r="I16" s="1" t="n"/>
      <c r="J16" s="1" t="n"/>
    </row>
    <row r="17">
      <c r="A17" s="1" t="n"/>
      <c r="B17" s="27" t="inlineStr">
        <is>
          <t>Total interest</t>
        </is>
      </c>
      <c r="C17" s="31">
        <f>'Calc Smart'!$B$7</f>
        <v/>
      </c>
      <c r="D17" s="31">
        <f>'Calc Avalanche'!$B$7</f>
        <v/>
      </c>
      <c r="E17" s="31">
        <f>'Calc Snowball'!$B$7</f>
        <v/>
      </c>
      <c r="F17" s="31">
        <f>'Calc Cashflow'!$B$7</f>
        <v/>
      </c>
      <c r="G17" s="1" t="n"/>
      <c r="H17" s="1" t="n"/>
      <c r="I17" s="1" t="n"/>
      <c r="J17" s="1" t="n"/>
    </row>
    <row r="18">
      <c r="A18" s="1" t="n"/>
      <c r="B18" s="29" t="inlineStr">
        <is>
          <t>Early-payoff fees paid</t>
        </is>
      </c>
      <c r="C18" s="32">
        <f>'Calc Smart'!$B$8</f>
        <v/>
      </c>
      <c r="D18" s="32">
        <f>'Calc Avalanche'!$B$8</f>
        <v/>
      </c>
      <c r="E18" s="32">
        <f>'Calc Snowball'!$B$8</f>
        <v/>
      </c>
      <c r="F18" s="32">
        <f>'Calc Cashflow'!$B$8</f>
        <v/>
      </c>
      <c r="G18" s="1" t="n"/>
      <c r="H18" s="1" t="n"/>
      <c r="I18" s="1" t="n"/>
      <c r="J18" s="1" t="n"/>
    </row>
    <row r="19">
      <c r="A19" s="1" t="n"/>
      <c r="B19" s="27" t="inlineStr">
        <is>
          <t>Interest + fees</t>
        </is>
      </c>
      <c r="C19" s="31">
        <f>'Calc Smart'!$B$7+'Calc Smart'!$B$8</f>
        <v/>
      </c>
      <c r="D19" s="31">
        <f>'Calc Avalanche'!$B$7+'Calc Avalanche'!$B$8</f>
        <v/>
      </c>
      <c r="E19" s="31">
        <f>'Calc Snowball'!$B$7+'Calc Snowball'!$B$8</f>
        <v/>
      </c>
      <c r="F19" s="31">
        <f>'Calc Cashflow'!$B$7+'Calc Cashflow'!$B$8</f>
        <v/>
      </c>
      <c r="G19" s="1" t="n"/>
      <c r="H19" s="1" t="n"/>
      <c r="I19" s="1" t="n"/>
      <c r="J19" s="1" t="n"/>
    </row>
    <row r="20">
      <c r="A20" s="1" t="n"/>
      <c r="B20" s="29" t="inlineStr">
        <is>
          <t>First debt cleared</t>
        </is>
      </c>
      <c r="C20" s="33">
        <f>'Calc Smart'!$B$9</f>
        <v/>
      </c>
      <c r="D20" s="33">
        <f>'Calc Avalanche'!$B$9</f>
        <v/>
      </c>
      <c r="E20" s="33">
        <f>'Calc Snowball'!$B$9</f>
        <v/>
      </c>
      <c r="F20" s="33">
        <f>'Calc Cashflow'!$B$9</f>
        <v/>
      </c>
      <c r="G20" s="1" t="n"/>
      <c r="H20" s="1" t="n"/>
      <c r="I20" s="1" t="n"/>
      <c r="J20" s="1" t="n"/>
    </row>
    <row r="21">
      <c r="A21" s="1" t="n"/>
      <c r="B21" s="24" t="inlineStr">
        <is>
          <t>Green = best in that row. If a month shows "-", that plan doesn't finish within 30 years: raise the monthly amount.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34" t="inlineStr">
        <is>
          <t>CHECKS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8" customHeight="1">
      <c r="A24" s="1" t="n"/>
      <c r="B24" s="35">
        <f>IF(Plan!$C$5&lt;Plan!$K$6,"⚠ Your monthly amount is less than your minimum payments ("&amp;TEXT(Plan!$K$6,"#,##0")&amp;"). The plan assumes you still pay every minimum.","✓ Monthly amount covers all minimums ("&amp;TEXT(Plan!$K$6,"#,##0")&amp;"). Extra each month: "&amp;TEXT(Plan!$C$5-Plan!$K$6,"#,##0"))</f>
        <v/>
      </c>
      <c r="G24" s="1" t="n"/>
      <c r="H24" s="1" t="n"/>
      <c r="I24" s="1" t="n"/>
      <c r="J24" s="1" t="n"/>
    </row>
    <row r="25" ht="28" customHeight="1">
      <c r="A25" s="1" t="n"/>
      <c r="B25" s="36">
        <f>IF(COUNTIF('My Debts'!$Q$7:$Q$18,"Minimum doesn't cover interest*")&gt;0,"⚠ At least one minimum payment doesn't cover its interest: that debt grows unless you pay more.","✓ Every minimum payment covers its interest.")</f>
        <v/>
      </c>
      <c r="G25" s="1" t="n"/>
      <c r="H25" s="1" t="n"/>
      <c r="I25" s="1" t="n"/>
      <c r="J25" s="1" t="n"/>
    </row>
    <row r="26" ht="28" customHeight="1">
      <c r="A26" s="1" t="n"/>
      <c r="B26" s="35">
        <f>IF(COUNTIF('My Debts'!$Q$7:$Q$18,"Ask your lender*")+COUNTIF('My Debts'!$Q$7:$Q$18,"Locked*")+COUNTIF('My Debts'!$Q$7:$Q$18,"Wait*")&gt;0,"ℹ Some debts get minimums only until they unlock (see My Debts › Early payoff check).","✓ No locked or uncertain debts.")</f>
        <v/>
      </c>
      <c r="G26" s="1" t="n"/>
      <c r="H26" s="1" t="n"/>
      <c r="I26" s="1" t="n"/>
      <c r="J26" s="1" t="n"/>
    </row>
    <row r="27" ht="28" customHeight="1">
      <c r="A27" s="1" t="n"/>
      <c r="B27" s="36">
        <f>IF(Plan!$K$7,"ℹ Minimums take 35%+ of your income: Smart frees up monthly money first, then switches to highest APR.","ℹ Smart: behind-on-payments first, then 0%-promo deadlines, then highest APR.")</f>
        <v/>
      </c>
      <c r="G27" s="1" t="n"/>
      <c r="H27" s="1" t="n"/>
      <c r="I27" s="1" t="n"/>
      <c r="J27" s="1" t="n"/>
    </row>
    <row r="28" ht="28" customHeight="1">
      <c r="A28" s="1" t="n"/>
      <c r="B28" s="35">
        <f>IF(COUNTIF('My Debts'!$AE$7:$AE$18,TRUE)&gt;0,"⚠ A deferred-interest debt is cleared after its promo ends in this order: back-interest would be added (not in these totals). Smart avoids this when it can.","✓ No deferred-interest deadline missed in this order.")</f>
        <v/>
      </c>
      <c r="G28" s="1" t="n"/>
      <c r="H28" s="1" t="n"/>
      <c r="I28" s="1" t="n"/>
      <c r="J28" s="1" t="n"/>
    </row>
    <row r="29" ht="22" customHeight="1">
      <c r="A29" s="1" t="n"/>
      <c r="B29" s="7" t="inlineStr">
        <is>
          <t>YOUR PAYOFF ORDER (CHOSEN)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4" customHeight="1">
      <c r="A30" s="1" t="n"/>
      <c r="B30" s="37" t="inlineStr">
        <is>
          <t>#</t>
        </is>
      </c>
      <c r="C30" s="37" t="inlineStr">
        <is>
          <t>DEBT</t>
        </is>
      </c>
      <c r="D30" s="37" t="inlineStr">
        <is>
          <t>BALANCE</t>
        </is>
      </c>
      <c r="E30" s="37" t="inlineStr">
        <is>
          <t>APR</t>
        </is>
      </c>
      <c r="F30" s="37" t="inlineStr">
        <is>
          <t>PAID OFF</t>
        </is>
      </c>
      <c r="G30" s="37" t="inlineStr">
        <is>
          <t>WHY / NOTE</t>
        </is>
      </c>
      <c r="H30" s="38" t="n"/>
      <c r="I30" s="39" t="n"/>
      <c r="J30" s="1" t="n"/>
    </row>
    <row r="31">
      <c r="A31" s="1" t="n"/>
      <c r="B31" s="40">
        <f>IF(1&lt;=Plan!$K$8,1,"")</f>
        <v/>
      </c>
      <c r="C31" s="8">
        <f>IFERROR(INDEX('My Debts'!$B$7:$B$18,MATCH(1,'My Debts'!$S$7:$S$18,0)),"")</f>
        <v/>
      </c>
      <c r="D31" s="31">
        <f>IFERROR(INDEX('My Debts'!$D$7:$D$18,MATCH(1,'My Debts'!$S$7:$S$18,0)),"")</f>
        <v/>
      </c>
      <c r="E31" s="41">
        <f>IFERROR(INDEX('My Debts'!$E$7:$E$18,MATCH(1,'My Debts'!$S$7:$S$18,0)),"")</f>
        <v/>
      </c>
      <c r="F31" s="28">
        <f>IFERROR(INDEX('My Debts'!$T$7:$T$18,MATCH(1,'My Debts'!$S$7:$S$18,0)),"")</f>
        <v/>
      </c>
      <c r="G31" s="42">
        <f>IFERROR(INDEX('My Debts'!$V$7:$V$18,MATCH(1,'My Debts'!$S$7:$S$18,0)),"")</f>
        <v/>
      </c>
      <c r="J31" s="1" t="n"/>
    </row>
    <row r="32">
      <c r="A32" s="1" t="n"/>
      <c r="B32" s="43">
        <f>IF(2&lt;=Plan!$K$8,2,"")</f>
        <v/>
      </c>
      <c r="C32" s="13">
        <f>IFERROR(INDEX('My Debts'!$B$7:$B$18,MATCH(2,'My Debts'!$S$7:$S$18,0)),"")</f>
        <v/>
      </c>
      <c r="D32" s="32">
        <f>IFERROR(INDEX('My Debts'!$D$7:$D$18,MATCH(2,'My Debts'!$S$7:$S$18,0)),"")</f>
        <v/>
      </c>
      <c r="E32" s="44">
        <f>IFERROR(INDEX('My Debts'!$E$7:$E$18,MATCH(2,'My Debts'!$S$7:$S$18,0)),"")</f>
        <v/>
      </c>
      <c r="F32" s="33">
        <f>IFERROR(INDEX('My Debts'!$T$7:$T$18,MATCH(2,'My Debts'!$S$7:$S$18,0)),"")</f>
        <v/>
      </c>
      <c r="G32" s="45">
        <f>IFERROR(INDEX('My Debts'!$V$7:$V$18,MATCH(2,'My Debts'!$S$7:$S$18,0)),"")</f>
        <v/>
      </c>
      <c r="J32" s="1" t="n"/>
    </row>
    <row r="33">
      <c r="A33" s="1" t="n"/>
      <c r="B33" s="40">
        <f>IF(3&lt;=Plan!$K$8,3,"")</f>
        <v/>
      </c>
      <c r="C33" s="8">
        <f>IFERROR(INDEX('My Debts'!$B$7:$B$18,MATCH(3,'My Debts'!$S$7:$S$18,0)),"")</f>
        <v/>
      </c>
      <c r="D33" s="31">
        <f>IFERROR(INDEX('My Debts'!$D$7:$D$18,MATCH(3,'My Debts'!$S$7:$S$18,0)),"")</f>
        <v/>
      </c>
      <c r="E33" s="41">
        <f>IFERROR(INDEX('My Debts'!$E$7:$E$18,MATCH(3,'My Debts'!$S$7:$S$18,0)),"")</f>
        <v/>
      </c>
      <c r="F33" s="28">
        <f>IFERROR(INDEX('My Debts'!$T$7:$T$18,MATCH(3,'My Debts'!$S$7:$S$18,0)),"")</f>
        <v/>
      </c>
      <c r="G33" s="42">
        <f>IFERROR(INDEX('My Debts'!$V$7:$V$18,MATCH(3,'My Debts'!$S$7:$S$18,0)),"")</f>
        <v/>
      </c>
      <c r="J33" s="1" t="n"/>
    </row>
    <row r="34">
      <c r="A34" s="1" t="n"/>
      <c r="B34" s="43">
        <f>IF(4&lt;=Plan!$K$8,4,"")</f>
        <v/>
      </c>
      <c r="C34" s="13">
        <f>IFERROR(INDEX('My Debts'!$B$7:$B$18,MATCH(4,'My Debts'!$S$7:$S$18,0)),"")</f>
        <v/>
      </c>
      <c r="D34" s="32">
        <f>IFERROR(INDEX('My Debts'!$D$7:$D$18,MATCH(4,'My Debts'!$S$7:$S$18,0)),"")</f>
        <v/>
      </c>
      <c r="E34" s="44">
        <f>IFERROR(INDEX('My Debts'!$E$7:$E$18,MATCH(4,'My Debts'!$S$7:$S$18,0)),"")</f>
        <v/>
      </c>
      <c r="F34" s="33">
        <f>IFERROR(INDEX('My Debts'!$T$7:$T$18,MATCH(4,'My Debts'!$S$7:$S$18,0)),"")</f>
        <v/>
      </c>
      <c r="G34" s="45">
        <f>IFERROR(INDEX('My Debts'!$V$7:$V$18,MATCH(4,'My Debts'!$S$7:$S$18,0)),"")</f>
        <v/>
      </c>
      <c r="J34" s="1" t="n"/>
    </row>
    <row r="35">
      <c r="A35" s="1" t="n"/>
      <c r="B35" s="40">
        <f>IF(5&lt;=Plan!$K$8,5,"")</f>
        <v/>
      </c>
      <c r="C35" s="8">
        <f>IFERROR(INDEX('My Debts'!$B$7:$B$18,MATCH(5,'My Debts'!$S$7:$S$18,0)),"")</f>
        <v/>
      </c>
      <c r="D35" s="31">
        <f>IFERROR(INDEX('My Debts'!$D$7:$D$18,MATCH(5,'My Debts'!$S$7:$S$18,0)),"")</f>
        <v/>
      </c>
      <c r="E35" s="41">
        <f>IFERROR(INDEX('My Debts'!$E$7:$E$18,MATCH(5,'My Debts'!$S$7:$S$18,0)),"")</f>
        <v/>
      </c>
      <c r="F35" s="28">
        <f>IFERROR(INDEX('My Debts'!$T$7:$T$18,MATCH(5,'My Debts'!$S$7:$S$18,0)),"")</f>
        <v/>
      </c>
      <c r="G35" s="42">
        <f>IFERROR(INDEX('My Debts'!$V$7:$V$18,MATCH(5,'My Debts'!$S$7:$S$18,0)),"")</f>
        <v/>
      </c>
      <c r="J35" s="1" t="n"/>
    </row>
    <row r="36">
      <c r="A36" s="1" t="n"/>
      <c r="B36" s="43">
        <f>IF(6&lt;=Plan!$K$8,6,"")</f>
        <v/>
      </c>
      <c r="C36" s="13">
        <f>IFERROR(INDEX('My Debts'!$B$7:$B$18,MATCH(6,'My Debts'!$S$7:$S$18,0)),"")</f>
        <v/>
      </c>
      <c r="D36" s="32">
        <f>IFERROR(INDEX('My Debts'!$D$7:$D$18,MATCH(6,'My Debts'!$S$7:$S$18,0)),"")</f>
        <v/>
      </c>
      <c r="E36" s="44">
        <f>IFERROR(INDEX('My Debts'!$E$7:$E$18,MATCH(6,'My Debts'!$S$7:$S$18,0)),"")</f>
        <v/>
      </c>
      <c r="F36" s="33">
        <f>IFERROR(INDEX('My Debts'!$T$7:$T$18,MATCH(6,'My Debts'!$S$7:$S$18,0)),"")</f>
        <v/>
      </c>
      <c r="G36" s="45">
        <f>IFERROR(INDEX('My Debts'!$V$7:$V$18,MATCH(6,'My Debts'!$S$7:$S$18,0)),"")</f>
        <v/>
      </c>
      <c r="J36" s="1" t="n"/>
    </row>
    <row r="37">
      <c r="A37" s="1" t="n"/>
      <c r="B37" s="40">
        <f>IF(7&lt;=Plan!$K$8,7,"")</f>
        <v/>
      </c>
      <c r="C37" s="8">
        <f>IFERROR(INDEX('My Debts'!$B$7:$B$18,MATCH(7,'My Debts'!$S$7:$S$18,0)),"")</f>
        <v/>
      </c>
      <c r="D37" s="31">
        <f>IFERROR(INDEX('My Debts'!$D$7:$D$18,MATCH(7,'My Debts'!$S$7:$S$18,0)),"")</f>
        <v/>
      </c>
      <c r="E37" s="41">
        <f>IFERROR(INDEX('My Debts'!$E$7:$E$18,MATCH(7,'My Debts'!$S$7:$S$18,0)),"")</f>
        <v/>
      </c>
      <c r="F37" s="28">
        <f>IFERROR(INDEX('My Debts'!$T$7:$T$18,MATCH(7,'My Debts'!$S$7:$S$18,0)),"")</f>
        <v/>
      </c>
      <c r="G37" s="42">
        <f>IFERROR(INDEX('My Debts'!$V$7:$V$18,MATCH(7,'My Debts'!$S$7:$S$18,0)),"")</f>
        <v/>
      </c>
      <c r="J37" s="1" t="n"/>
    </row>
    <row r="38">
      <c r="A38" s="1" t="n"/>
      <c r="B38" s="43">
        <f>IF(8&lt;=Plan!$K$8,8,"")</f>
        <v/>
      </c>
      <c r="C38" s="13">
        <f>IFERROR(INDEX('My Debts'!$B$7:$B$18,MATCH(8,'My Debts'!$S$7:$S$18,0)),"")</f>
        <v/>
      </c>
      <c r="D38" s="32">
        <f>IFERROR(INDEX('My Debts'!$D$7:$D$18,MATCH(8,'My Debts'!$S$7:$S$18,0)),"")</f>
        <v/>
      </c>
      <c r="E38" s="44">
        <f>IFERROR(INDEX('My Debts'!$E$7:$E$18,MATCH(8,'My Debts'!$S$7:$S$18,0)),"")</f>
        <v/>
      </c>
      <c r="F38" s="33">
        <f>IFERROR(INDEX('My Debts'!$T$7:$T$18,MATCH(8,'My Debts'!$S$7:$S$18,0)),"")</f>
        <v/>
      </c>
      <c r="G38" s="45">
        <f>IFERROR(INDEX('My Debts'!$V$7:$V$18,MATCH(8,'My Debts'!$S$7:$S$18,0)),"")</f>
        <v/>
      </c>
      <c r="J38" s="1" t="n"/>
    </row>
    <row r="39">
      <c r="A39" s="1" t="n"/>
      <c r="B39" s="40">
        <f>IF(9&lt;=Plan!$K$8,9,"")</f>
        <v/>
      </c>
      <c r="C39" s="8">
        <f>IFERROR(INDEX('My Debts'!$B$7:$B$18,MATCH(9,'My Debts'!$S$7:$S$18,0)),"")</f>
        <v/>
      </c>
      <c r="D39" s="31">
        <f>IFERROR(INDEX('My Debts'!$D$7:$D$18,MATCH(9,'My Debts'!$S$7:$S$18,0)),"")</f>
        <v/>
      </c>
      <c r="E39" s="41">
        <f>IFERROR(INDEX('My Debts'!$E$7:$E$18,MATCH(9,'My Debts'!$S$7:$S$18,0)),"")</f>
        <v/>
      </c>
      <c r="F39" s="28">
        <f>IFERROR(INDEX('My Debts'!$T$7:$T$18,MATCH(9,'My Debts'!$S$7:$S$18,0)),"")</f>
        <v/>
      </c>
      <c r="G39" s="42">
        <f>IFERROR(INDEX('My Debts'!$V$7:$V$18,MATCH(9,'My Debts'!$S$7:$S$18,0)),"")</f>
        <v/>
      </c>
      <c r="J39" s="1" t="n"/>
    </row>
    <row r="40">
      <c r="A40" s="1" t="n"/>
      <c r="B40" s="43">
        <f>IF(10&lt;=Plan!$K$8,10,"")</f>
        <v/>
      </c>
      <c r="C40" s="13">
        <f>IFERROR(INDEX('My Debts'!$B$7:$B$18,MATCH(10,'My Debts'!$S$7:$S$18,0)),"")</f>
        <v/>
      </c>
      <c r="D40" s="32">
        <f>IFERROR(INDEX('My Debts'!$D$7:$D$18,MATCH(10,'My Debts'!$S$7:$S$18,0)),"")</f>
        <v/>
      </c>
      <c r="E40" s="44">
        <f>IFERROR(INDEX('My Debts'!$E$7:$E$18,MATCH(10,'My Debts'!$S$7:$S$18,0)),"")</f>
        <v/>
      </c>
      <c r="F40" s="33">
        <f>IFERROR(INDEX('My Debts'!$T$7:$T$18,MATCH(10,'My Debts'!$S$7:$S$18,0)),"")</f>
        <v/>
      </c>
      <c r="G40" s="45">
        <f>IFERROR(INDEX('My Debts'!$V$7:$V$18,MATCH(10,'My Debts'!$S$7:$S$18,0)),"")</f>
        <v/>
      </c>
      <c r="J40" s="1" t="n"/>
    </row>
    <row r="41">
      <c r="A41" s="1" t="n"/>
      <c r="B41" s="40">
        <f>IF(11&lt;=Plan!$K$8,11,"")</f>
        <v/>
      </c>
      <c r="C41" s="8">
        <f>IFERROR(INDEX('My Debts'!$B$7:$B$18,MATCH(11,'My Debts'!$S$7:$S$18,0)),"")</f>
        <v/>
      </c>
      <c r="D41" s="31">
        <f>IFERROR(INDEX('My Debts'!$D$7:$D$18,MATCH(11,'My Debts'!$S$7:$S$18,0)),"")</f>
        <v/>
      </c>
      <c r="E41" s="41">
        <f>IFERROR(INDEX('My Debts'!$E$7:$E$18,MATCH(11,'My Debts'!$S$7:$S$18,0)),"")</f>
        <v/>
      </c>
      <c r="F41" s="28">
        <f>IFERROR(INDEX('My Debts'!$T$7:$T$18,MATCH(11,'My Debts'!$S$7:$S$18,0)),"")</f>
        <v/>
      </c>
      <c r="G41" s="42">
        <f>IFERROR(INDEX('My Debts'!$V$7:$V$18,MATCH(11,'My Debts'!$S$7:$S$18,0)),"")</f>
        <v/>
      </c>
      <c r="J41" s="1" t="n"/>
    </row>
    <row r="42">
      <c r="A42" s="1" t="n"/>
      <c r="B42" s="43">
        <f>IF(12&lt;=Plan!$K$8,12,"")</f>
        <v/>
      </c>
      <c r="C42" s="13">
        <f>IFERROR(INDEX('My Debts'!$B$7:$B$18,MATCH(12,'My Debts'!$S$7:$S$18,0)),"")</f>
        <v/>
      </c>
      <c r="D42" s="32">
        <f>IFERROR(INDEX('My Debts'!$D$7:$D$18,MATCH(12,'My Debts'!$S$7:$S$18,0)),"")</f>
        <v/>
      </c>
      <c r="E42" s="44">
        <f>IFERROR(INDEX('My Debts'!$E$7:$E$18,MATCH(12,'My Debts'!$S$7:$S$18,0)),"")</f>
        <v/>
      </c>
      <c r="F42" s="33">
        <f>IFERROR(INDEX('My Debts'!$T$7:$T$18,MATCH(12,'My Debts'!$S$7:$S$18,0)),"")</f>
        <v/>
      </c>
      <c r="G42" s="45">
        <f>IFERROR(INDEX('My Debts'!$V$7:$V$18,MATCH(12,'My Debts'!$S$7:$S$18,0)),"")</f>
        <v/>
      </c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24" t="inlineStr">
        <is>
          <t>Estimates only, not financial advice. Interest is worked out monthly at APR÷12; your lender's method, fees and rules are the final word. Example debts are made up: replace them with yours.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25" t="inlineStr">
        <is>
          <t>INTEREST + FEES BY ORDER</t>
        </is>
      </c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</sheetData>
  <mergeCells count="24">
    <mergeCell ref="G38:I38"/>
    <mergeCell ref="G37:I37"/>
    <mergeCell ref="B25:F25"/>
    <mergeCell ref="G34:I34"/>
    <mergeCell ref="D7:F7"/>
    <mergeCell ref="G30:I30"/>
    <mergeCell ref="B27:F27"/>
    <mergeCell ref="G33:I33"/>
    <mergeCell ref="G35:I35"/>
    <mergeCell ref="D9:F9"/>
    <mergeCell ref="D8:F8"/>
    <mergeCell ref="G32:I32"/>
    <mergeCell ref="D5:F5"/>
    <mergeCell ref="G41:I41"/>
    <mergeCell ref="B28:F28"/>
    <mergeCell ref="G31:I31"/>
    <mergeCell ref="G40:I40"/>
    <mergeCell ref="D10:F10"/>
    <mergeCell ref="G36:I36"/>
    <mergeCell ref="G42:I42"/>
    <mergeCell ref="B24:F24"/>
    <mergeCell ref="G39:I39"/>
    <mergeCell ref="D6:F6"/>
    <mergeCell ref="B26:F26"/>
  </mergeCells>
  <conditionalFormatting sqref="C19:F19">
    <cfRule type="expression" priority="1" dxfId="0">
      <formula>AND(ISNUMBER(C19),C19=MIN($C$19:$F$19))</formula>
    </cfRule>
  </conditionalFormatting>
  <conditionalFormatting sqref="C15:F15">
    <cfRule type="expression" priority="2" dxfId="0">
      <formula>AND(ISNUMBER(C15),C15=MIN($C$15:$F$15))</formula>
    </cfRule>
  </conditionalFormatting>
  <dataValidations count="1">
    <dataValidation sqref="C9" showDropDown="0" showInputMessage="0" showErrorMessage="0" allowBlank="1" type="list">
      <formula1>"Smart (CheckMaybe order),Avalanche (highest APR first),Snowball (smallest balance first),Cash-flow (free up monthly money first)"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AB4FF"/>
    <outlinePr summaryBelow="1" summaryRight="1"/>
    <pageSetUpPr/>
  </sheetPr>
  <dimension ref="A1:AE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9" customWidth="1" min="5" max="5"/>
    <col width="13" customWidth="1" min="6" max="6"/>
    <col width="11" customWidth="1" min="7" max="7"/>
    <col width="20" customWidth="1" min="8" max="8"/>
    <col width="12" customWidth="1" min="9" max="9"/>
    <col width="13" customWidth="1" min="10" max="10"/>
    <col width="13" customWidth="1" min="11" max="11"/>
    <col width="11" customWidth="1" min="12" max="12"/>
    <col width="11" customWidth="1" min="13" max="13"/>
    <col width="20" customWidth="1" min="14" max="14"/>
    <col width="13" customWidth="1" min="15" max="15"/>
    <col width="15" customWidth="1" min="16" max="16"/>
    <col width="38" customWidth="1" min="17" max="17"/>
    <col width="12" customWidth="1" min="18" max="18"/>
    <col width="9" customWidth="1" min="19" max="19"/>
    <col width="12" customWidth="1" min="20" max="20"/>
    <col hidden="1" width="13" customWidth="1" min="21" max="21"/>
    <col width="40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0" customHeight="1">
      <c r="A2" s="1" t="n"/>
      <c r="B2" s="2" t="inlineStr">
        <is>
          <t>My Debts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3" t="inlineStr">
        <is>
          <t>One row per debt. Blue = you fill in (blank is fine for optional ones). Orange = calculated.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46" t="inlineStr">
        <is>
          <t>Any currency works: just use the same one everywhere. APR as a percent (24.99%).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44" customHeight="1">
      <c r="A6" s="1" t="n"/>
      <c r="B6" s="6" t="inlineStr">
        <is>
          <t>DEBT NAME</t>
        </is>
      </c>
      <c r="C6" s="6" t="inlineStr">
        <is>
          <t>TYPE</t>
        </is>
      </c>
      <c r="D6" s="6" t="inlineStr">
        <is>
          <t>BALANCE NOW</t>
        </is>
      </c>
      <c r="E6" s="6" t="inlineStr">
        <is>
          <t>APR</t>
        </is>
      </c>
      <c r="F6" s="6" t="inlineStr">
        <is>
          <t>MINIMUM MONTHLY PAYMENT</t>
        </is>
      </c>
      <c r="G6" s="6" t="inlineStr">
        <is>
          <t>BEHIND ON PAYMENTS?</t>
        </is>
      </c>
      <c r="H6" s="6" t="inlineStr">
        <is>
          <t>EARLY PAYOFF RULE</t>
        </is>
      </c>
      <c r="I6" s="6" t="inlineStr">
        <is>
          <t>FEE TO PAY OFF EARLY</t>
        </is>
      </c>
      <c r="J6" s="6" t="inlineStr">
        <is>
          <t>FEE / LOCK ENDS</t>
        </is>
      </c>
      <c r="K6" s="6" t="inlineStr">
        <is>
          <t>0% / PROMO RATE ENDS</t>
        </is>
      </c>
      <c r="L6" s="6" t="inlineStr">
        <is>
          <t>APR AFTER PROMO</t>
        </is>
      </c>
      <c r="M6" s="6" t="inlineStr">
        <is>
          <t>DEFERRED INTEREST?</t>
        </is>
      </c>
      <c r="N6" s="6" t="inlineStr">
        <is>
          <t>NOTES</t>
        </is>
      </c>
      <c r="O6" s="37" t="inlineStr">
        <is>
          <t>INTEREST THIS MONTH</t>
        </is>
      </c>
      <c r="P6" s="37" t="inlineStr">
        <is>
          <t>INTEREST IF MINIMUMS ONLY</t>
        </is>
      </c>
      <c r="Q6" s="37" t="inlineStr">
        <is>
          <t>EARLY PAYOFF CHECK</t>
        </is>
      </c>
      <c r="R6" s="37" t="inlineStr">
        <is>
          <t>EXTRA CAN START</t>
        </is>
      </c>
      <c r="S6" s="37" t="inlineStr">
        <is>
          <t>ORDER #</t>
        </is>
      </c>
      <c r="T6" s="37" t="inlineStr">
        <is>
          <t>PAID OFF</t>
        </is>
      </c>
      <c r="U6" s="1" t="n"/>
      <c r="V6" s="47" t="inlineStr">
        <is>
          <t>WHY / NOTE</t>
        </is>
      </c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48" t="inlineStr">
        <is>
          <t>Store card (sample)</t>
        </is>
      </c>
      <c r="C7" s="48" t="inlineStr">
        <is>
          <t>Store card</t>
        </is>
      </c>
      <c r="D7" s="49" t="n">
        <v>1200</v>
      </c>
      <c r="E7" s="50" t="n">
        <v>0</v>
      </c>
      <c r="F7" s="49" t="n">
        <v>60</v>
      </c>
      <c r="G7" s="48" t="inlineStr">
        <is>
          <t>No</t>
        </is>
      </c>
      <c r="H7" s="48" t="inlineStr">
        <is>
          <t>Allowed, no fee</t>
        </is>
      </c>
      <c r="I7" s="49" t="n"/>
      <c r="J7" s="51" t="n"/>
      <c r="K7" s="51" t="n">
        <v>46508</v>
      </c>
      <c r="L7" s="50" t="n">
        <v>0.2999</v>
      </c>
      <c r="M7" s="48" t="inlineStr">
        <is>
          <t>Yes</t>
        </is>
      </c>
      <c r="N7" s="48" t="inlineStr">
        <is>
          <t>0% until May</t>
        </is>
      </c>
      <c r="O7" s="31">
        <f>IF(AND(ISNUMBER($D7),$D7&gt;0),$D7*N(+$E7)/12,"")</f>
        <v/>
      </c>
      <c r="P7" s="31">
        <f>IF(NOT(AND(ISNUMBER($D7),$D7&gt;0)),"",IF(N(+$F7)&lt;=0,"No minimum",IF(N(+$F7)&lt;=$D7*N(+$E7)/12,"Never at minimum",IF(N(+$E7)=0,0,N(+$F7)*NPER(N(+$E7)/12,-N(+$F7),$D7)-$D7))))</f>
        <v/>
      </c>
      <c r="Q7" s="52">
        <f>IF(NOT(AND(ISNUMBER($D7),$D7&gt;0)),"",IF(AND(N(+$F7)&gt;0,N(+$F7)&lt;=$D7*N(+$E7)/12),"Minimum doesn't cover interest: pay more here",IF(N(+$F7)&lt;=0,"Add the minimum payment",IF($H7="Not sure - ask lender","Ask your lender before paying extra",IF($H7="Locked until a date",IF(N(+$J7)=0,"Locked: add the unlock date","Locked until "&amp;CHOOSE(MONTH($J7),"Jan","Feb","Mar","Apr","May","Jun","Jul","Aug","Sep","Oct","Nov","Dec")&amp;" "&amp;YEAR($J7)),IF($H7="Allowed with a fee",IF(N(+$I7)=0,"Add the fee amount (blank = no fee)",IF(NOT(ISNUMBER($P7)),"Fee is worth paying: minimums never clear this",IF(N(+$I7)&lt;$P7,"Worth it: saves about "&amp;TEXT($P7-$I7,"#,##0")&amp;" after the fee","Wait: the fee is more than the interest you'd save"&amp;IF(N(+$J7)&gt;0," (until "&amp;CHOOSE(MONTH($J7),"Jan","Feb","Mar","Apr","May","Jun","Jul","Aug","Sep","Oct","Nov","Dec")&amp;" "&amp;YEAR($J7)&amp;")","")))),"OK to pay early"))))))</f>
        <v/>
      </c>
      <c r="R7" s="53">
        <f>IF($U7="","",IF($U7&lt;=Plan!$C$6,"Now",IF($U7&gt;=DATE(2199,12,1),"Not yet",CHOOSE(MONTH($U7),"Jan","Feb","Mar","Apr","May","Jun","Jul","Aug","Sep","Oct","Nov","Dec")&amp;" "&amp;YEAR($U7))))</f>
        <v/>
      </c>
      <c r="S7" s="54">
        <f>IF(AND(ISNUMBER($D7),$D7&gt;0),CHOOSE(Plan!$K$5,AA7,AB7,AC7,AD7),"")</f>
        <v/>
      </c>
      <c r="T7" s="28">
        <f>IF(AND(ISNUMBER($D7),$D7&gt;0),CHOOSE(Plan!$K$5,'Calc Smart'!C$10,'Calc Avalanche'!C$10,'Calc Snowball'!C$10,'Calc Cashflow'!C$10),"")</f>
        <v/>
      </c>
      <c r="U7" s="1">
        <f>IF(NOT(AND(ISNUMBER($D7),$D7&gt;0)),"",IF($H7="Not sure - ask lender",DATE(2199,12,1),IF($H7="Locked until a date",IF(N(+$J7)=0,DATE(2199,12,1),$J7),IF(AND($H7="Allowed with a fee",N(+$I7)&gt;0,ISNUMBER($P7),N(+$I7)&gt;=N(+$P7)),IF(N(+$J7)=0,DATE(2199,12,1),$J7),DATE(1900,1,1)))))</f>
        <v/>
      </c>
      <c r="V7" s="42">
        <f>IF(NOT(AND(ISNUMBER($D7),$D7&gt;0)),"",IF($AE7,"⚠ Cleared after the promo ends ("&amp;CHOOSE(MONTH($K7),"Jan","Feb","Mar","Apr","May","Jun","Jul","Aug","Sep","Oct","Nov","Dec")&amp;" "&amp;YEAR($K7)&amp;"): back-interest likely, not counted here. Try Smart.",IF($G7="Yes","Behind on payments: deal with this first",IF(AND($M7="Yes",N(+$K7)&gt;Plan!$C$6),"Deferred interest: clear by "&amp;CHOOSE(MONTH($K7),"Jan","Feb","Mar","Apr","May","Jun","Jul","Aug","Sep","Oct","Nov","Dec")&amp;" "&amp;YEAR($K7)&amp;" or back-interest is added",IF($U7&gt;Plan!$C$6,$Q7,CHOOSE(Plan!$K$5,IF(Plan!$K$7,"Frees up monthly money fastest","Highest APR among the rest"),"APR "&amp;TEXT(N(+$E7),"0.0%"),"Balance "&amp;TEXT($D7,"#,##0"),"Frees "&amp;TEXT(N(+$F7),"#,##0")&amp;"/month when cleared"))))))</f>
        <v/>
      </c>
      <c r="W7" s="1">
        <f>IF(AND(ISNUMBER($D7),$D7&gt;0),1000-N(+$E7)*100+ROW()/1000000,"")</f>
        <v/>
      </c>
      <c r="X7" s="1">
        <f>IF(AND(ISNUMBER($D7),$D7&gt;0),$D7+ROW()/1000000,"")</f>
        <v/>
      </c>
      <c r="Y7" s="1">
        <f>IF(AND(ISNUMBER($D7),$D7&gt;0),1000-IF(N(+$F7)&gt;0,N(+$F7)/$D7,0)*100+ROW()/1000000,"")</f>
        <v/>
      </c>
      <c r="Z7" s="1">
        <f>IF(AND(ISNUMBER($D7),$D7&gt;0),IF($G7="Yes",0,IF(AND($M7="Yes",N(+$K7)&gt;Plan!$C$6),1,2))*1000000+IF(IF($G7="Yes",0,IF(AND($M7="Yes",N(+$K7)&gt;Plan!$C$6),1,2))=0,1000-IF(N(+$F7)&gt;0,N(+$F7)/$D7,0)*100+ROW()/1000000,IF(IF($G7="Yes",0,IF(AND($M7="Yes",N(+$K7)&gt;Plan!$C$6),1,2))=1,N(+$K7)/100,IF(Plan!$K$7,1000-IF(N(+$F7)&gt;0,N(+$F7)/$D7,0)*100+ROW()/1000000,1000-N(+$E7)*100+ROW()/1000000))),"")</f>
        <v/>
      </c>
      <c r="AA7" s="1">
        <f>IF(Z7="","",COUNTIF(Z$7:Z$18,"&lt;"&amp;Z7)+1)</f>
        <v/>
      </c>
      <c r="AB7" s="1">
        <f>IF(W7="","",COUNTIF(W$7:W$18,"&lt;"&amp;W7)+1)</f>
        <v/>
      </c>
      <c r="AC7" s="1">
        <f>IF(X7="","",COUNTIF(X$7:X$18,"&lt;"&amp;X7)+1)</f>
        <v/>
      </c>
      <c r="AD7" s="1">
        <f>IF(Y7="","",COUNTIF(Y$7:Y$18,"&lt;"&amp;Y7)+1)</f>
        <v/>
      </c>
      <c r="AE7">
        <f>AND(AND(ISNUMBER($D7),$D7&gt;0),$M7="Yes",N(+$K7)&gt;0,ISNUMBER($T7),N(+$T7)&gt;=N(+$K7))</f>
        <v/>
      </c>
    </row>
    <row r="8">
      <c r="A8" s="1" t="n"/>
      <c r="B8" s="55" t="inlineStr">
        <is>
          <t>Credit card (sample)</t>
        </is>
      </c>
      <c r="C8" s="55" t="inlineStr">
        <is>
          <t>Credit card</t>
        </is>
      </c>
      <c r="D8" s="56" t="n">
        <v>4800</v>
      </c>
      <c r="E8" s="57" t="n">
        <v>0.2449</v>
      </c>
      <c r="F8" s="56" t="n">
        <v>120</v>
      </c>
      <c r="G8" s="55" t="inlineStr">
        <is>
          <t>No</t>
        </is>
      </c>
      <c r="H8" s="55" t="inlineStr">
        <is>
          <t>Allowed, no fee</t>
        </is>
      </c>
      <c r="I8" s="56" t="n"/>
      <c r="J8" s="58" t="n"/>
      <c r="K8" s="58" t="n"/>
      <c r="L8" s="57" t="n"/>
      <c r="M8" s="55" t="n"/>
      <c r="N8" s="55" t="n"/>
      <c r="O8" s="32">
        <f>IF(AND(ISNUMBER($D8),$D8&gt;0),$D8*N(+$E8)/12,"")</f>
        <v/>
      </c>
      <c r="P8" s="32">
        <f>IF(NOT(AND(ISNUMBER($D8),$D8&gt;0)),"",IF(N(+$F8)&lt;=0,"No minimum",IF(N(+$F8)&lt;=$D8*N(+$E8)/12,"Never at minimum",IF(N(+$E8)=0,0,N(+$F8)*NPER(N(+$E8)/12,-N(+$F8),$D8)-$D8))))</f>
        <v/>
      </c>
      <c r="Q8" s="59">
        <f>IF(NOT(AND(ISNUMBER($D8),$D8&gt;0)),"",IF(AND(N(+$F8)&gt;0,N(+$F8)&lt;=$D8*N(+$E8)/12),"Minimum doesn't cover interest: pay more here",IF(N(+$F8)&lt;=0,"Add the minimum payment",IF($H8="Not sure - ask lender","Ask your lender before paying extra",IF($H8="Locked until a date",IF(N(+$J8)=0,"Locked: add the unlock date","Locked until "&amp;CHOOSE(MONTH($J8),"Jan","Feb","Mar","Apr","May","Jun","Jul","Aug","Sep","Oct","Nov","Dec")&amp;" "&amp;YEAR($J8)),IF($H8="Allowed with a fee",IF(N(+$I8)=0,"Add the fee amount (blank = no fee)",IF(NOT(ISNUMBER($P8)),"Fee is worth paying: minimums never clear this",IF(N(+$I8)&lt;$P8,"Worth it: saves about "&amp;TEXT($P8-$I8,"#,##0")&amp;" after the fee","Wait: the fee is more than the interest you'd save"&amp;IF(N(+$J8)&gt;0," (until "&amp;CHOOSE(MONTH($J8),"Jan","Feb","Mar","Apr","May","Jun","Jul","Aug","Sep","Oct","Nov","Dec")&amp;" "&amp;YEAR($J8)&amp;")","")))),"OK to pay early"))))))</f>
        <v/>
      </c>
      <c r="R8" s="60">
        <f>IF($U8="","",IF($U8&lt;=Plan!$C$6,"Now",IF($U8&gt;=DATE(2199,12,1),"Not yet",CHOOSE(MONTH($U8),"Jan","Feb","Mar","Apr","May","Jun","Jul","Aug","Sep","Oct","Nov","Dec")&amp;" "&amp;YEAR($U8))))</f>
        <v/>
      </c>
      <c r="S8" s="61">
        <f>IF(AND(ISNUMBER($D8),$D8&gt;0),CHOOSE(Plan!$K$5,AA8,AB8,AC8,AD8),"")</f>
        <v/>
      </c>
      <c r="T8" s="33">
        <f>IF(AND(ISNUMBER($D8),$D8&gt;0),CHOOSE(Plan!$K$5,'Calc Smart'!D$10,'Calc Avalanche'!D$10,'Calc Snowball'!D$10,'Calc Cashflow'!D$10),"")</f>
        <v/>
      </c>
      <c r="U8" s="1">
        <f>IF(NOT(AND(ISNUMBER($D8),$D8&gt;0)),"",IF($H8="Not sure - ask lender",DATE(2199,12,1),IF($H8="Locked until a date",IF(N(+$J8)=0,DATE(2199,12,1),$J8),IF(AND($H8="Allowed with a fee",N(+$I8)&gt;0,ISNUMBER($P8),N(+$I8)&gt;=N(+$P8)),IF(N(+$J8)=0,DATE(2199,12,1),$J8),DATE(1900,1,1)))))</f>
        <v/>
      </c>
      <c r="V8" s="45">
        <f>IF(NOT(AND(ISNUMBER($D8),$D8&gt;0)),"",IF($AE8,"⚠ Cleared after the promo ends ("&amp;CHOOSE(MONTH($K8),"Jan","Feb","Mar","Apr","May","Jun","Jul","Aug","Sep","Oct","Nov","Dec")&amp;" "&amp;YEAR($K8)&amp;"): back-interest likely, not counted here. Try Smart.",IF($G8="Yes","Behind on payments: deal with this first",IF(AND($M8="Yes",N(+$K8)&gt;Plan!$C$6),"Deferred interest: clear by "&amp;CHOOSE(MONTH($K8),"Jan","Feb","Mar","Apr","May","Jun","Jul","Aug","Sep","Oct","Nov","Dec")&amp;" "&amp;YEAR($K8)&amp;" or back-interest is added",IF($U8&gt;Plan!$C$6,$Q8,CHOOSE(Plan!$K$5,IF(Plan!$K$7,"Frees up monthly money fastest","Highest APR among the rest"),"APR "&amp;TEXT(N(+$E8),"0.0%"),"Balance "&amp;TEXT($D8,"#,##0"),"Frees "&amp;TEXT(N(+$F8),"#,##0")&amp;"/month when cleared"))))))</f>
        <v/>
      </c>
      <c r="W8" s="1">
        <f>IF(AND(ISNUMBER($D8),$D8&gt;0),1000-N(+$E8)*100+ROW()/1000000,"")</f>
        <v/>
      </c>
      <c r="X8" s="1">
        <f>IF(AND(ISNUMBER($D8),$D8&gt;0),$D8+ROW()/1000000,"")</f>
        <v/>
      </c>
      <c r="Y8" s="1">
        <f>IF(AND(ISNUMBER($D8),$D8&gt;0),1000-IF(N(+$F8)&gt;0,N(+$F8)/$D8,0)*100+ROW()/1000000,"")</f>
        <v/>
      </c>
      <c r="Z8" s="1">
        <f>IF(AND(ISNUMBER($D8),$D8&gt;0),IF($G8="Yes",0,IF(AND($M8="Yes",N(+$K8)&gt;Plan!$C$6),1,2))*1000000+IF(IF($G8="Yes",0,IF(AND($M8="Yes",N(+$K8)&gt;Plan!$C$6),1,2))=0,1000-IF(N(+$F8)&gt;0,N(+$F8)/$D8,0)*100+ROW()/1000000,IF(IF($G8="Yes",0,IF(AND($M8="Yes",N(+$K8)&gt;Plan!$C$6),1,2))=1,N(+$K8)/100,IF(Plan!$K$7,1000-IF(N(+$F8)&gt;0,N(+$F8)/$D8,0)*100+ROW()/1000000,1000-N(+$E8)*100+ROW()/1000000))),"")</f>
        <v/>
      </c>
      <c r="AA8" s="1">
        <f>IF(Z8="","",COUNTIF(Z$7:Z$18,"&lt;"&amp;Z8)+1)</f>
        <v/>
      </c>
      <c r="AB8" s="1">
        <f>IF(W8="","",COUNTIF(W$7:W$18,"&lt;"&amp;W8)+1)</f>
        <v/>
      </c>
      <c r="AC8" s="1">
        <f>IF(X8="","",COUNTIF(X$7:X$18,"&lt;"&amp;X8)+1)</f>
        <v/>
      </c>
      <c r="AD8" s="1">
        <f>IF(Y8="","",COUNTIF(Y$7:Y$18,"&lt;"&amp;Y8)+1)</f>
        <v/>
      </c>
      <c r="AE8">
        <f>AND(AND(ISNUMBER($D8),$D8&gt;0),$M8="Yes",N(+$K8)&gt;0,ISNUMBER($T8),N(+$T8)&gt;=N(+$K8))</f>
        <v/>
      </c>
    </row>
    <row r="9">
      <c r="A9" s="1" t="n"/>
      <c r="B9" s="48" t="inlineStr">
        <is>
          <t>Car loan (sample)</t>
        </is>
      </c>
      <c r="C9" s="48" t="inlineStr">
        <is>
          <t>Car loan</t>
        </is>
      </c>
      <c r="D9" s="49" t="n">
        <v>9500</v>
      </c>
      <c r="E9" s="50" t="n">
        <v>0.089</v>
      </c>
      <c r="F9" s="49" t="n">
        <v>310</v>
      </c>
      <c r="G9" s="48" t="inlineStr">
        <is>
          <t>No</t>
        </is>
      </c>
      <c r="H9" s="48" t="inlineStr">
        <is>
          <t>Allowed with a fee</t>
        </is>
      </c>
      <c r="I9" s="49" t="n">
        <v>400</v>
      </c>
      <c r="J9" s="51" t="n">
        <v>46600</v>
      </c>
      <c r="K9" s="51" t="n"/>
      <c r="L9" s="50" t="n"/>
      <c r="M9" s="48" t="n"/>
      <c r="N9" s="48" t="inlineStr">
        <is>
          <t>fee until Aug 2027</t>
        </is>
      </c>
      <c r="O9" s="31">
        <f>IF(AND(ISNUMBER($D9),$D9&gt;0),$D9*N(+$E9)/12,"")</f>
        <v/>
      </c>
      <c r="P9" s="31">
        <f>IF(NOT(AND(ISNUMBER($D9),$D9&gt;0)),"",IF(N(+$F9)&lt;=0,"No minimum",IF(N(+$F9)&lt;=$D9*N(+$E9)/12,"Never at minimum",IF(N(+$E9)=0,0,N(+$F9)*NPER(N(+$E9)/12,-N(+$F9),$D9)-$D9))))</f>
        <v/>
      </c>
      <c r="Q9" s="52">
        <f>IF(NOT(AND(ISNUMBER($D9),$D9&gt;0)),"",IF(AND(N(+$F9)&gt;0,N(+$F9)&lt;=$D9*N(+$E9)/12),"Minimum doesn't cover interest: pay more here",IF(N(+$F9)&lt;=0,"Add the minimum payment",IF($H9="Not sure - ask lender","Ask your lender before paying extra",IF($H9="Locked until a date",IF(N(+$J9)=0,"Locked: add the unlock date","Locked until "&amp;CHOOSE(MONTH($J9),"Jan","Feb","Mar","Apr","May","Jun","Jul","Aug","Sep","Oct","Nov","Dec")&amp;" "&amp;YEAR($J9)),IF($H9="Allowed with a fee",IF(N(+$I9)=0,"Add the fee amount (blank = no fee)",IF(NOT(ISNUMBER($P9)),"Fee is worth paying: minimums never clear this",IF(N(+$I9)&lt;$P9,"Worth it: saves about "&amp;TEXT($P9-$I9,"#,##0")&amp;" after the fee","Wait: the fee is more than the interest you'd save"&amp;IF(N(+$J9)&gt;0," (until "&amp;CHOOSE(MONTH($J9),"Jan","Feb","Mar","Apr","May","Jun","Jul","Aug","Sep","Oct","Nov","Dec")&amp;" "&amp;YEAR($J9)&amp;")","")))),"OK to pay early"))))))</f>
        <v/>
      </c>
      <c r="R9" s="53">
        <f>IF($U9="","",IF($U9&lt;=Plan!$C$6,"Now",IF($U9&gt;=DATE(2199,12,1),"Not yet",CHOOSE(MONTH($U9),"Jan","Feb","Mar","Apr","May","Jun","Jul","Aug","Sep","Oct","Nov","Dec")&amp;" "&amp;YEAR($U9))))</f>
        <v/>
      </c>
      <c r="S9" s="54">
        <f>IF(AND(ISNUMBER($D9),$D9&gt;0),CHOOSE(Plan!$K$5,AA9,AB9,AC9,AD9),"")</f>
        <v/>
      </c>
      <c r="T9" s="28">
        <f>IF(AND(ISNUMBER($D9),$D9&gt;0),CHOOSE(Plan!$K$5,'Calc Smart'!E$10,'Calc Avalanche'!E$10,'Calc Snowball'!E$10,'Calc Cashflow'!E$10),"")</f>
        <v/>
      </c>
      <c r="U9" s="1">
        <f>IF(NOT(AND(ISNUMBER($D9),$D9&gt;0)),"",IF($H9="Not sure - ask lender",DATE(2199,12,1),IF($H9="Locked until a date",IF(N(+$J9)=0,DATE(2199,12,1),$J9),IF(AND($H9="Allowed with a fee",N(+$I9)&gt;0,ISNUMBER($P9),N(+$I9)&gt;=N(+$P9)),IF(N(+$J9)=0,DATE(2199,12,1),$J9),DATE(1900,1,1)))))</f>
        <v/>
      </c>
      <c r="V9" s="42">
        <f>IF(NOT(AND(ISNUMBER($D9),$D9&gt;0)),"",IF($AE9,"⚠ Cleared after the promo ends ("&amp;CHOOSE(MONTH($K9),"Jan","Feb","Mar","Apr","May","Jun","Jul","Aug","Sep","Oct","Nov","Dec")&amp;" "&amp;YEAR($K9)&amp;"): back-interest likely, not counted here. Try Smart.",IF($G9="Yes","Behind on payments: deal with this first",IF(AND($M9="Yes",N(+$K9)&gt;Plan!$C$6),"Deferred interest: clear by "&amp;CHOOSE(MONTH($K9),"Jan","Feb","Mar","Apr","May","Jun","Jul","Aug","Sep","Oct","Nov","Dec")&amp;" "&amp;YEAR($K9)&amp;" or back-interest is added",IF($U9&gt;Plan!$C$6,$Q9,CHOOSE(Plan!$K$5,IF(Plan!$K$7,"Frees up monthly money fastest","Highest APR among the rest"),"APR "&amp;TEXT(N(+$E9),"0.0%"),"Balance "&amp;TEXT($D9,"#,##0"),"Frees "&amp;TEXT(N(+$F9),"#,##0")&amp;"/month when cleared"))))))</f>
        <v/>
      </c>
      <c r="W9" s="1">
        <f>IF(AND(ISNUMBER($D9),$D9&gt;0),1000-N(+$E9)*100+ROW()/1000000,"")</f>
        <v/>
      </c>
      <c r="X9" s="1">
        <f>IF(AND(ISNUMBER($D9),$D9&gt;0),$D9+ROW()/1000000,"")</f>
        <v/>
      </c>
      <c r="Y9" s="1">
        <f>IF(AND(ISNUMBER($D9),$D9&gt;0),1000-IF(N(+$F9)&gt;0,N(+$F9)/$D9,0)*100+ROW()/1000000,"")</f>
        <v/>
      </c>
      <c r="Z9" s="1">
        <f>IF(AND(ISNUMBER($D9),$D9&gt;0),IF($G9="Yes",0,IF(AND($M9="Yes",N(+$K9)&gt;Plan!$C$6),1,2))*1000000+IF(IF($G9="Yes",0,IF(AND($M9="Yes",N(+$K9)&gt;Plan!$C$6),1,2))=0,1000-IF(N(+$F9)&gt;0,N(+$F9)/$D9,0)*100+ROW()/1000000,IF(IF($G9="Yes",0,IF(AND($M9="Yes",N(+$K9)&gt;Plan!$C$6),1,2))=1,N(+$K9)/100,IF(Plan!$K$7,1000-IF(N(+$F9)&gt;0,N(+$F9)/$D9,0)*100+ROW()/1000000,1000-N(+$E9)*100+ROW()/1000000))),"")</f>
        <v/>
      </c>
      <c r="AA9" s="1">
        <f>IF(Z9="","",COUNTIF(Z$7:Z$18,"&lt;"&amp;Z9)+1)</f>
        <v/>
      </c>
      <c r="AB9" s="1">
        <f>IF(W9="","",COUNTIF(W$7:W$18,"&lt;"&amp;W9)+1)</f>
        <v/>
      </c>
      <c r="AC9" s="1">
        <f>IF(X9="","",COUNTIF(X$7:X$18,"&lt;"&amp;X9)+1)</f>
        <v/>
      </c>
      <c r="AD9" s="1">
        <f>IF(Y9="","",COUNTIF(Y$7:Y$18,"&lt;"&amp;Y9)+1)</f>
        <v/>
      </c>
      <c r="AE9">
        <f>AND(AND(ISNUMBER($D9),$D9&gt;0),$M9="Yes",N(+$K9)&gt;0,ISNUMBER($T9),N(+$T9)&gt;=N(+$K9))</f>
        <v/>
      </c>
    </row>
    <row r="10">
      <c r="A10" s="1" t="n"/>
      <c r="B10" s="55" t="inlineStr">
        <is>
          <t>Personal loan (sample)</t>
        </is>
      </c>
      <c r="C10" s="55" t="inlineStr">
        <is>
          <t>Personal loan</t>
        </is>
      </c>
      <c r="D10" s="56" t="n">
        <v>3000</v>
      </c>
      <c r="E10" s="57" t="n">
        <v>0.159</v>
      </c>
      <c r="F10" s="56" t="n">
        <v>140</v>
      </c>
      <c r="G10" s="55" t="inlineStr">
        <is>
          <t>No</t>
        </is>
      </c>
      <c r="H10" s="55" t="inlineStr">
        <is>
          <t>Not sure - ask lender</t>
        </is>
      </c>
      <c r="I10" s="56" t="n"/>
      <c r="J10" s="58" t="n"/>
      <c r="K10" s="58" t="n"/>
      <c r="L10" s="57" t="n"/>
      <c r="M10" s="55" t="n"/>
      <c r="N10" s="55" t="inlineStr">
        <is>
          <t>call lender</t>
        </is>
      </c>
      <c r="O10" s="32">
        <f>IF(AND(ISNUMBER($D10),$D10&gt;0),$D10*N(+$E10)/12,"")</f>
        <v/>
      </c>
      <c r="P10" s="32">
        <f>IF(NOT(AND(ISNUMBER($D10),$D10&gt;0)),"",IF(N(+$F10)&lt;=0,"No minimum",IF(N(+$F10)&lt;=$D10*N(+$E10)/12,"Never at minimum",IF(N(+$E10)=0,0,N(+$F10)*NPER(N(+$E10)/12,-N(+$F10),$D10)-$D10))))</f>
        <v/>
      </c>
      <c r="Q10" s="59">
        <f>IF(NOT(AND(ISNUMBER($D10),$D10&gt;0)),"",IF(AND(N(+$F10)&gt;0,N(+$F10)&lt;=$D10*N(+$E10)/12),"Minimum doesn't cover interest: pay more here",IF(N(+$F10)&lt;=0,"Add the minimum payment",IF($H10="Not sure - ask lender","Ask your lender before paying extra",IF($H10="Locked until a date",IF(N(+$J10)=0,"Locked: add the unlock date","Locked until "&amp;CHOOSE(MONTH($J10),"Jan","Feb","Mar","Apr","May","Jun","Jul","Aug","Sep","Oct","Nov","Dec")&amp;" "&amp;YEAR($J10)),IF($H10="Allowed with a fee",IF(N(+$I10)=0,"Add the fee amount (blank = no fee)",IF(NOT(ISNUMBER($P10)),"Fee is worth paying: minimums never clear this",IF(N(+$I10)&lt;$P10,"Worth it: saves about "&amp;TEXT($P10-$I10,"#,##0")&amp;" after the fee","Wait: the fee is more than the interest you'd save"&amp;IF(N(+$J10)&gt;0," (until "&amp;CHOOSE(MONTH($J10),"Jan","Feb","Mar","Apr","May","Jun","Jul","Aug","Sep","Oct","Nov","Dec")&amp;" "&amp;YEAR($J10)&amp;")","")))),"OK to pay early"))))))</f>
        <v/>
      </c>
      <c r="R10" s="60">
        <f>IF($U10="","",IF($U10&lt;=Plan!$C$6,"Now",IF($U10&gt;=DATE(2199,12,1),"Not yet",CHOOSE(MONTH($U10),"Jan","Feb","Mar","Apr","May","Jun","Jul","Aug","Sep","Oct","Nov","Dec")&amp;" "&amp;YEAR($U10))))</f>
        <v/>
      </c>
      <c r="S10" s="61">
        <f>IF(AND(ISNUMBER($D10),$D10&gt;0),CHOOSE(Plan!$K$5,AA10,AB10,AC10,AD10),"")</f>
        <v/>
      </c>
      <c r="T10" s="33">
        <f>IF(AND(ISNUMBER($D10),$D10&gt;0),CHOOSE(Plan!$K$5,'Calc Smart'!F$10,'Calc Avalanche'!F$10,'Calc Snowball'!F$10,'Calc Cashflow'!F$10),"")</f>
        <v/>
      </c>
      <c r="U10" s="1">
        <f>IF(NOT(AND(ISNUMBER($D10),$D10&gt;0)),"",IF($H10="Not sure - ask lender",DATE(2199,12,1),IF($H10="Locked until a date",IF(N(+$J10)=0,DATE(2199,12,1),$J10),IF(AND($H10="Allowed with a fee",N(+$I10)&gt;0,ISNUMBER($P10),N(+$I10)&gt;=N(+$P10)),IF(N(+$J10)=0,DATE(2199,12,1),$J10),DATE(1900,1,1)))))</f>
        <v/>
      </c>
      <c r="V10" s="45">
        <f>IF(NOT(AND(ISNUMBER($D10),$D10&gt;0)),"",IF($AE10,"⚠ Cleared after the promo ends ("&amp;CHOOSE(MONTH($K10),"Jan","Feb","Mar","Apr","May","Jun","Jul","Aug","Sep","Oct","Nov","Dec")&amp;" "&amp;YEAR($K10)&amp;"): back-interest likely, not counted here. Try Smart.",IF($G10="Yes","Behind on payments: deal with this first",IF(AND($M10="Yes",N(+$K10)&gt;Plan!$C$6),"Deferred interest: clear by "&amp;CHOOSE(MONTH($K10),"Jan","Feb","Mar","Apr","May","Jun","Jul","Aug","Sep","Oct","Nov","Dec")&amp;" "&amp;YEAR($K10)&amp;" or back-interest is added",IF($U10&gt;Plan!$C$6,$Q10,CHOOSE(Plan!$K$5,IF(Plan!$K$7,"Frees up monthly money fastest","Highest APR among the rest"),"APR "&amp;TEXT(N(+$E10),"0.0%"),"Balance "&amp;TEXT($D10,"#,##0"),"Frees "&amp;TEXT(N(+$F10),"#,##0")&amp;"/month when cleared"))))))</f>
        <v/>
      </c>
      <c r="W10" s="1">
        <f>IF(AND(ISNUMBER($D10),$D10&gt;0),1000-N(+$E10)*100+ROW()/1000000,"")</f>
        <v/>
      </c>
      <c r="X10" s="1">
        <f>IF(AND(ISNUMBER($D10),$D10&gt;0),$D10+ROW()/1000000,"")</f>
        <v/>
      </c>
      <c r="Y10" s="1">
        <f>IF(AND(ISNUMBER($D10),$D10&gt;0),1000-IF(N(+$F10)&gt;0,N(+$F10)/$D10,0)*100+ROW()/1000000,"")</f>
        <v/>
      </c>
      <c r="Z10" s="1">
        <f>IF(AND(ISNUMBER($D10),$D10&gt;0),IF($G10="Yes",0,IF(AND($M10="Yes",N(+$K10)&gt;Plan!$C$6),1,2))*1000000+IF(IF($G10="Yes",0,IF(AND($M10="Yes",N(+$K10)&gt;Plan!$C$6),1,2))=0,1000-IF(N(+$F10)&gt;0,N(+$F10)/$D10,0)*100+ROW()/1000000,IF(IF($G10="Yes",0,IF(AND($M10="Yes",N(+$K10)&gt;Plan!$C$6),1,2))=1,N(+$K10)/100,IF(Plan!$K$7,1000-IF(N(+$F10)&gt;0,N(+$F10)/$D10,0)*100+ROW()/1000000,1000-N(+$E10)*100+ROW()/1000000))),"")</f>
        <v/>
      </c>
      <c r="AA10" s="1">
        <f>IF(Z10="","",COUNTIF(Z$7:Z$18,"&lt;"&amp;Z10)+1)</f>
        <v/>
      </c>
      <c r="AB10" s="1">
        <f>IF(W10="","",COUNTIF(W$7:W$18,"&lt;"&amp;W10)+1)</f>
        <v/>
      </c>
      <c r="AC10" s="1">
        <f>IF(X10="","",COUNTIF(X$7:X$18,"&lt;"&amp;X10)+1)</f>
        <v/>
      </c>
      <c r="AD10" s="1">
        <f>IF(Y10="","",COUNTIF(Y$7:Y$18,"&lt;"&amp;Y10)+1)</f>
        <v/>
      </c>
      <c r="AE10">
        <f>AND(AND(ISNUMBER($D10),$D10&gt;0),$M10="Yes",N(+$K10)&gt;0,ISNUMBER($T10),N(+$T10)&gt;=N(+$K10))</f>
        <v/>
      </c>
    </row>
    <row r="11">
      <c r="A11" s="1" t="n"/>
      <c r="B11" s="48" t="inlineStr">
        <is>
          <t>Medical bill (sample)</t>
        </is>
      </c>
      <c r="C11" s="48" t="inlineStr">
        <is>
          <t>Medical bill</t>
        </is>
      </c>
      <c r="D11" s="49" t="n">
        <v>650</v>
      </c>
      <c r="E11" s="50" t="n">
        <v>0</v>
      </c>
      <c r="F11" s="49" t="n">
        <v>50</v>
      </c>
      <c r="G11" s="48" t="inlineStr">
        <is>
          <t>Yes</t>
        </is>
      </c>
      <c r="H11" s="48" t="n"/>
      <c r="I11" s="49" t="n"/>
      <c r="J11" s="51" t="n"/>
      <c r="K11" s="51" t="n"/>
      <c r="L11" s="50" t="n"/>
      <c r="M11" s="48" t="n"/>
      <c r="N11" s="48" t="inlineStr">
        <is>
          <t>late notice</t>
        </is>
      </c>
      <c r="O11" s="31">
        <f>IF(AND(ISNUMBER($D11),$D11&gt;0),$D11*N(+$E11)/12,"")</f>
        <v/>
      </c>
      <c r="P11" s="31">
        <f>IF(NOT(AND(ISNUMBER($D11),$D11&gt;0)),"",IF(N(+$F11)&lt;=0,"No minimum",IF(N(+$F11)&lt;=$D11*N(+$E11)/12,"Never at minimum",IF(N(+$E11)=0,0,N(+$F11)*NPER(N(+$E11)/12,-N(+$F11),$D11)-$D11))))</f>
        <v/>
      </c>
      <c r="Q11" s="52">
        <f>IF(NOT(AND(ISNUMBER($D11),$D11&gt;0)),"",IF(AND(N(+$F11)&gt;0,N(+$F11)&lt;=$D11*N(+$E11)/12),"Minimum doesn't cover interest: pay more here",IF(N(+$F11)&lt;=0,"Add the minimum payment",IF($H11="Not sure - ask lender","Ask your lender before paying extra",IF($H11="Locked until a date",IF(N(+$J11)=0,"Locked: add the unlock date","Locked until "&amp;CHOOSE(MONTH($J11),"Jan","Feb","Mar","Apr","May","Jun","Jul","Aug","Sep","Oct","Nov","Dec")&amp;" "&amp;YEAR($J11)),IF($H11="Allowed with a fee",IF(N(+$I11)=0,"Add the fee amount (blank = no fee)",IF(NOT(ISNUMBER($P11)),"Fee is worth paying: minimums never clear this",IF(N(+$I11)&lt;$P11,"Worth it: saves about "&amp;TEXT($P11-$I11,"#,##0")&amp;" after the fee","Wait: the fee is more than the interest you'd save"&amp;IF(N(+$J11)&gt;0," (until "&amp;CHOOSE(MONTH($J11),"Jan","Feb","Mar","Apr","May","Jun","Jul","Aug","Sep","Oct","Nov","Dec")&amp;" "&amp;YEAR($J11)&amp;")","")))),"OK to pay early"))))))</f>
        <v/>
      </c>
      <c r="R11" s="53">
        <f>IF($U11="","",IF($U11&lt;=Plan!$C$6,"Now",IF($U11&gt;=DATE(2199,12,1),"Not yet",CHOOSE(MONTH($U11),"Jan","Feb","Mar","Apr","May","Jun","Jul","Aug","Sep","Oct","Nov","Dec")&amp;" "&amp;YEAR($U11))))</f>
        <v/>
      </c>
      <c r="S11" s="54">
        <f>IF(AND(ISNUMBER($D11),$D11&gt;0),CHOOSE(Plan!$K$5,AA11,AB11,AC11,AD11),"")</f>
        <v/>
      </c>
      <c r="T11" s="28">
        <f>IF(AND(ISNUMBER($D11),$D11&gt;0),CHOOSE(Plan!$K$5,'Calc Smart'!G$10,'Calc Avalanche'!G$10,'Calc Snowball'!G$10,'Calc Cashflow'!G$10),"")</f>
        <v/>
      </c>
      <c r="U11" s="1">
        <f>IF(NOT(AND(ISNUMBER($D11),$D11&gt;0)),"",IF($H11="Not sure - ask lender",DATE(2199,12,1),IF($H11="Locked until a date",IF(N(+$J11)=0,DATE(2199,12,1),$J11),IF(AND($H11="Allowed with a fee",N(+$I11)&gt;0,ISNUMBER($P11),N(+$I11)&gt;=N(+$P11)),IF(N(+$J11)=0,DATE(2199,12,1),$J11),DATE(1900,1,1)))))</f>
        <v/>
      </c>
      <c r="V11" s="42">
        <f>IF(NOT(AND(ISNUMBER($D11),$D11&gt;0)),"",IF($AE11,"⚠ Cleared after the promo ends ("&amp;CHOOSE(MONTH($K11),"Jan","Feb","Mar","Apr","May","Jun","Jul","Aug","Sep","Oct","Nov","Dec")&amp;" "&amp;YEAR($K11)&amp;"): back-interest likely, not counted here. Try Smart.",IF($G11="Yes","Behind on payments: deal with this first",IF(AND($M11="Yes",N(+$K11)&gt;Plan!$C$6),"Deferred interest: clear by "&amp;CHOOSE(MONTH($K11),"Jan","Feb","Mar","Apr","May","Jun","Jul","Aug","Sep","Oct","Nov","Dec")&amp;" "&amp;YEAR($K11)&amp;" or back-interest is added",IF($U11&gt;Plan!$C$6,$Q11,CHOOSE(Plan!$K$5,IF(Plan!$K$7,"Frees up monthly money fastest","Highest APR among the rest"),"APR "&amp;TEXT(N(+$E11),"0.0%"),"Balance "&amp;TEXT($D11,"#,##0"),"Frees "&amp;TEXT(N(+$F11),"#,##0")&amp;"/month when cleared"))))))</f>
        <v/>
      </c>
      <c r="W11" s="1">
        <f>IF(AND(ISNUMBER($D11),$D11&gt;0),1000-N(+$E11)*100+ROW()/1000000,"")</f>
        <v/>
      </c>
      <c r="X11" s="1">
        <f>IF(AND(ISNUMBER($D11),$D11&gt;0),$D11+ROW()/1000000,"")</f>
        <v/>
      </c>
      <c r="Y11" s="1">
        <f>IF(AND(ISNUMBER($D11),$D11&gt;0),1000-IF(N(+$F11)&gt;0,N(+$F11)/$D11,0)*100+ROW()/1000000,"")</f>
        <v/>
      </c>
      <c r="Z11" s="1">
        <f>IF(AND(ISNUMBER($D11),$D11&gt;0),IF($G11="Yes",0,IF(AND($M11="Yes",N(+$K11)&gt;Plan!$C$6),1,2))*1000000+IF(IF($G11="Yes",0,IF(AND($M11="Yes",N(+$K11)&gt;Plan!$C$6),1,2))=0,1000-IF(N(+$F11)&gt;0,N(+$F11)/$D11,0)*100+ROW()/1000000,IF(IF($G11="Yes",0,IF(AND($M11="Yes",N(+$K11)&gt;Plan!$C$6),1,2))=1,N(+$K11)/100,IF(Plan!$K$7,1000-IF(N(+$F11)&gt;0,N(+$F11)/$D11,0)*100+ROW()/1000000,1000-N(+$E11)*100+ROW()/1000000))),"")</f>
        <v/>
      </c>
      <c r="AA11" s="1">
        <f>IF(Z11="","",COUNTIF(Z$7:Z$18,"&lt;"&amp;Z11)+1)</f>
        <v/>
      </c>
      <c r="AB11" s="1">
        <f>IF(W11="","",COUNTIF(W$7:W$18,"&lt;"&amp;W11)+1)</f>
        <v/>
      </c>
      <c r="AC11" s="1">
        <f>IF(X11="","",COUNTIF(X$7:X$18,"&lt;"&amp;X11)+1)</f>
        <v/>
      </c>
      <c r="AD11" s="1">
        <f>IF(Y11="","",COUNTIF(Y$7:Y$18,"&lt;"&amp;Y11)+1)</f>
        <v/>
      </c>
      <c r="AE11">
        <f>AND(AND(ISNUMBER($D11),$D11&gt;0),$M11="Yes",N(+$K11)&gt;0,ISNUMBER($T11),N(+$T11)&gt;=N(+$K11))</f>
        <v/>
      </c>
    </row>
    <row r="12">
      <c r="A12" s="1" t="n"/>
      <c r="B12" s="55" t="n"/>
      <c r="C12" s="55" t="n"/>
      <c r="D12" s="56" t="n"/>
      <c r="E12" s="57" t="n"/>
      <c r="F12" s="56" t="n"/>
      <c r="G12" s="55" t="n"/>
      <c r="H12" s="55" t="n"/>
      <c r="I12" s="56" t="n"/>
      <c r="J12" s="58" t="n"/>
      <c r="K12" s="58" t="n"/>
      <c r="L12" s="57" t="n"/>
      <c r="M12" s="55" t="n"/>
      <c r="N12" s="55" t="n"/>
      <c r="O12" s="32">
        <f>IF(AND(ISNUMBER($D12),$D12&gt;0),$D12*N(+$E12)/12,"")</f>
        <v/>
      </c>
      <c r="P12" s="32">
        <f>IF(NOT(AND(ISNUMBER($D12),$D12&gt;0)),"",IF(N(+$F12)&lt;=0,"No minimum",IF(N(+$F12)&lt;=$D12*N(+$E12)/12,"Never at minimum",IF(N(+$E12)=0,0,N(+$F12)*NPER(N(+$E12)/12,-N(+$F12),$D12)-$D12))))</f>
        <v/>
      </c>
      <c r="Q12" s="59">
        <f>IF(NOT(AND(ISNUMBER($D12),$D12&gt;0)),"",IF(AND(N(+$F12)&gt;0,N(+$F12)&lt;=$D12*N(+$E12)/12),"Minimum doesn't cover interest: pay more here",IF(N(+$F12)&lt;=0,"Add the minimum payment",IF($H12="Not sure - ask lender","Ask your lender before paying extra",IF($H12="Locked until a date",IF(N(+$J12)=0,"Locked: add the unlock date","Locked until "&amp;CHOOSE(MONTH($J12),"Jan","Feb","Mar","Apr","May","Jun","Jul","Aug","Sep","Oct","Nov","Dec")&amp;" "&amp;YEAR($J12)),IF($H12="Allowed with a fee",IF(N(+$I12)=0,"Add the fee amount (blank = no fee)",IF(NOT(ISNUMBER($P12)),"Fee is worth paying: minimums never clear this",IF(N(+$I12)&lt;$P12,"Worth it: saves about "&amp;TEXT($P12-$I12,"#,##0")&amp;" after the fee","Wait: the fee is more than the interest you'd save"&amp;IF(N(+$J12)&gt;0," (until "&amp;CHOOSE(MONTH($J12),"Jan","Feb","Mar","Apr","May","Jun","Jul","Aug","Sep","Oct","Nov","Dec")&amp;" "&amp;YEAR($J12)&amp;")","")))),"OK to pay early"))))))</f>
        <v/>
      </c>
      <c r="R12" s="60">
        <f>IF($U12="","",IF($U12&lt;=Plan!$C$6,"Now",IF($U12&gt;=DATE(2199,12,1),"Not yet",CHOOSE(MONTH($U12),"Jan","Feb","Mar","Apr","May","Jun","Jul","Aug","Sep","Oct","Nov","Dec")&amp;" "&amp;YEAR($U12))))</f>
        <v/>
      </c>
      <c r="S12" s="61">
        <f>IF(AND(ISNUMBER($D12),$D12&gt;0),CHOOSE(Plan!$K$5,AA12,AB12,AC12,AD12),"")</f>
        <v/>
      </c>
      <c r="T12" s="33">
        <f>IF(AND(ISNUMBER($D12),$D12&gt;0),CHOOSE(Plan!$K$5,'Calc Smart'!H$10,'Calc Avalanche'!H$10,'Calc Snowball'!H$10,'Calc Cashflow'!H$10),"")</f>
        <v/>
      </c>
      <c r="U12" s="1">
        <f>IF(NOT(AND(ISNUMBER($D12),$D12&gt;0)),"",IF($H12="Not sure - ask lender",DATE(2199,12,1),IF($H12="Locked until a date",IF(N(+$J12)=0,DATE(2199,12,1),$J12),IF(AND($H12="Allowed with a fee",N(+$I12)&gt;0,ISNUMBER($P12),N(+$I12)&gt;=N(+$P12)),IF(N(+$J12)=0,DATE(2199,12,1),$J12),DATE(1900,1,1)))))</f>
        <v/>
      </c>
      <c r="V12" s="45">
        <f>IF(NOT(AND(ISNUMBER($D12),$D12&gt;0)),"",IF($AE12,"⚠ Cleared after the promo ends ("&amp;CHOOSE(MONTH($K12),"Jan","Feb","Mar","Apr","May","Jun","Jul","Aug","Sep","Oct","Nov","Dec")&amp;" "&amp;YEAR($K12)&amp;"): back-interest likely, not counted here. Try Smart.",IF($G12="Yes","Behind on payments: deal with this first",IF(AND($M12="Yes",N(+$K12)&gt;Plan!$C$6),"Deferred interest: clear by "&amp;CHOOSE(MONTH($K12),"Jan","Feb","Mar","Apr","May","Jun","Jul","Aug","Sep","Oct","Nov","Dec")&amp;" "&amp;YEAR($K12)&amp;" or back-interest is added",IF($U12&gt;Plan!$C$6,$Q12,CHOOSE(Plan!$K$5,IF(Plan!$K$7,"Frees up monthly money fastest","Highest APR among the rest"),"APR "&amp;TEXT(N(+$E12),"0.0%"),"Balance "&amp;TEXT($D12,"#,##0"),"Frees "&amp;TEXT(N(+$F12),"#,##0")&amp;"/month when cleared"))))))</f>
        <v/>
      </c>
      <c r="W12" s="1">
        <f>IF(AND(ISNUMBER($D12),$D12&gt;0),1000-N(+$E12)*100+ROW()/1000000,"")</f>
        <v/>
      </c>
      <c r="X12" s="1">
        <f>IF(AND(ISNUMBER($D12),$D12&gt;0),$D12+ROW()/1000000,"")</f>
        <v/>
      </c>
      <c r="Y12" s="1">
        <f>IF(AND(ISNUMBER($D12),$D12&gt;0),1000-IF(N(+$F12)&gt;0,N(+$F12)/$D12,0)*100+ROW()/1000000,"")</f>
        <v/>
      </c>
      <c r="Z12" s="1">
        <f>IF(AND(ISNUMBER($D12),$D12&gt;0),IF($G12="Yes",0,IF(AND($M12="Yes",N(+$K12)&gt;Plan!$C$6),1,2))*1000000+IF(IF($G12="Yes",0,IF(AND($M12="Yes",N(+$K12)&gt;Plan!$C$6),1,2))=0,1000-IF(N(+$F12)&gt;0,N(+$F12)/$D12,0)*100+ROW()/1000000,IF(IF($G12="Yes",0,IF(AND($M12="Yes",N(+$K12)&gt;Plan!$C$6),1,2))=1,N(+$K12)/100,IF(Plan!$K$7,1000-IF(N(+$F12)&gt;0,N(+$F12)/$D12,0)*100+ROW()/1000000,1000-N(+$E12)*100+ROW()/1000000))),"")</f>
        <v/>
      </c>
      <c r="AA12" s="1">
        <f>IF(Z12="","",COUNTIF(Z$7:Z$18,"&lt;"&amp;Z12)+1)</f>
        <v/>
      </c>
      <c r="AB12" s="1">
        <f>IF(W12="","",COUNTIF(W$7:W$18,"&lt;"&amp;W12)+1)</f>
        <v/>
      </c>
      <c r="AC12" s="1">
        <f>IF(X12="","",COUNTIF(X$7:X$18,"&lt;"&amp;X12)+1)</f>
        <v/>
      </c>
      <c r="AD12" s="1">
        <f>IF(Y12="","",COUNTIF(Y$7:Y$18,"&lt;"&amp;Y12)+1)</f>
        <v/>
      </c>
      <c r="AE12">
        <f>AND(AND(ISNUMBER($D12),$D12&gt;0),$M12="Yes",N(+$K12)&gt;0,ISNUMBER($T12),N(+$T12)&gt;=N(+$K12))</f>
        <v/>
      </c>
    </row>
    <row r="13">
      <c r="A13" s="1" t="n"/>
      <c r="B13" s="48" t="n"/>
      <c r="C13" s="48" t="n"/>
      <c r="D13" s="49" t="n"/>
      <c r="E13" s="50" t="n"/>
      <c r="F13" s="49" t="n"/>
      <c r="G13" s="48" t="n"/>
      <c r="H13" s="48" t="n"/>
      <c r="I13" s="49" t="n"/>
      <c r="J13" s="51" t="n"/>
      <c r="K13" s="51" t="n"/>
      <c r="L13" s="50" t="n"/>
      <c r="M13" s="48" t="n"/>
      <c r="N13" s="48" t="n"/>
      <c r="O13" s="31">
        <f>IF(AND(ISNUMBER($D13),$D13&gt;0),$D13*N(+$E13)/12,"")</f>
        <v/>
      </c>
      <c r="P13" s="31">
        <f>IF(NOT(AND(ISNUMBER($D13),$D13&gt;0)),"",IF(N(+$F13)&lt;=0,"No minimum",IF(N(+$F13)&lt;=$D13*N(+$E13)/12,"Never at minimum",IF(N(+$E13)=0,0,N(+$F13)*NPER(N(+$E13)/12,-N(+$F13),$D13)-$D13))))</f>
        <v/>
      </c>
      <c r="Q13" s="52">
        <f>IF(NOT(AND(ISNUMBER($D13),$D13&gt;0)),"",IF(AND(N(+$F13)&gt;0,N(+$F13)&lt;=$D13*N(+$E13)/12),"Minimum doesn't cover interest: pay more here",IF(N(+$F13)&lt;=0,"Add the minimum payment",IF($H13="Not sure - ask lender","Ask your lender before paying extra",IF($H13="Locked until a date",IF(N(+$J13)=0,"Locked: add the unlock date","Locked until "&amp;CHOOSE(MONTH($J13),"Jan","Feb","Mar","Apr","May","Jun","Jul","Aug","Sep","Oct","Nov","Dec")&amp;" "&amp;YEAR($J13)),IF($H13="Allowed with a fee",IF(N(+$I13)=0,"Add the fee amount (blank = no fee)",IF(NOT(ISNUMBER($P13)),"Fee is worth paying: minimums never clear this",IF(N(+$I13)&lt;$P13,"Worth it: saves about "&amp;TEXT($P13-$I13,"#,##0")&amp;" after the fee","Wait: the fee is more than the interest you'd save"&amp;IF(N(+$J13)&gt;0," (until "&amp;CHOOSE(MONTH($J13),"Jan","Feb","Mar","Apr","May","Jun","Jul","Aug","Sep","Oct","Nov","Dec")&amp;" "&amp;YEAR($J13)&amp;")","")))),"OK to pay early"))))))</f>
        <v/>
      </c>
      <c r="R13" s="53">
        <f>IF($U13="","",IF($U13&lt;=Plan!$C$6,"Now",IF($U13&gt;=DATE(2199,12,1),"Not yet",CHOOSE(MONTH($U13),"Jan","Feb","Mar","Apr","May","Jun","Jul","Aug","Sep","Oct","Nov","Dec")&amp;" "&amp;YEAR($U13))))</f>
        <v/>
      </c>
      <c r="S13" s="54">
        <f>IF(AND(ISNUMBER($D13),$D13&gt;0),CHOOSE(Plan!$K$5,AA13,AB13,AC13,AD13),"")</f>
        <v/>
      </c>
      <c r="T13" s="28">
        <f>IF(AND(ISNUMBER($D13),$D13&gt;0),CHOOSE(Plan!$K$5,'Calc Smart'!I$10,'Calc Avalanche'!I$10,'Calc Snowball'!I$10,'Calc Cashflow'!I$10),"")</f>
        <v/>
      </c>
      <c r="U13" s="1">
        <f>IF(NOT(AND(ISNUMBER($D13),$D13&gt;0)),"",IF($H13="Not sure - ask lender",DATE(2199,12,1),IF($H13="Locked until a date",IF(N(+$J13)=0,DATE(2199,12,1),$J13),IF(AND($H13="Allowed with a fee",N(+$I13)&gt;0,ISNUMBER($P13),N(+$I13)&gt;=N(+$P13)),IF(N(+$J13)=0,DATE(2199,12,1),$J13),DATE(1900,1,1)))))</f>
        <v/>
      </c>
      <c r="V13" s="42">
        <f>IF(NOT(AND(ISNUMBER($D13),$D13&gt;0)),"",IF($AE13,"⚠ Cleared after the promo ends ("&amp;CHOOSE(MONTH($K13),"Jan","Feb","Mar","Apr","May","Jun","Jul","Aug","Sep","Oct","Nov","Dec")&amp;" "&amp;YEAR($K13)&amp;"): back-interest likely, not counted here. Try Smart.",IF($G13="Yes","Behind on payments: deal with this first",IF(AND($M13="Yes",N(+$K13)&gt;Plan!$C$6),"Deferred interest: clear by "&amp;CHOOSE(MONTH($K13),"Jan","Feb","Mar","Apr","May","Jun","Jul","Aug","Sep","Oct","Nov","Dec")&amp;" "&amp;YEAR($K13)&amp;" or back-interest is added",IF($U13&gt;Plan!$C$6,$Q13,CHOOSE(Plan!$K$5,IF(Plan!$K$7,"Frees up monthly money fastest","Highest APR among the rest"),"APR "&amp;TEXT(N(+$E13),"0.0%"),"Balance "&amp;TEXT($D13,"#,##0"),"Frees "&amp;TEXT(N(+$F13),"#,##0")&amp;"/month when cleared"))))))</f>
        <v/>
      </c>
      <c r="W13" s="1">
        <f>IF(AND(ISNUMBER($D13),$D13&gt;0),1000-N(+$E13)*100+ROW()/1000000,"")</f>
        <v/>
      </c>
      <c r="X13" s="1">
        <f>IF(AND(ISNUMBER($D13),$D13&gt;0),$D13+ROW()/1000000,"")</f>
        <v/>
      </c>
      <c r="Y13" s="1">
        <f>IF(AND(ISNUMBER($D13),$D13&gt;0),1000-IF(N(+$F13)&gt;0,N(+$F13)/$D13,0)*100+ROW()/1000000,"")</f>
        <v/>
      </c>
      <c r="Z13" s="1">
        <f>IF(AND(ISNUMBER($D13),$D13&gt;0),IF($G13="Yes",0,IF(AND($M13="Yes",N(+$K13)&gt;Plan!$C$6),1,2))*1000000+IF(IF($G13="Yes",0,IF(AND($M13="Yes",N(+$K13)&gt;Plan!$C$6),1,2))=0,1000-IF(N(+$F13)&gt;0,N(+$F13)/$D13,0)*100+ROW()/1000000,IF(IF($G13="Yes",0,IF(AND($M13="Yes",N(+$K13)&gt;Plan!$C$6),1,2))=1,N(+$K13)/100,IF(Plan!$K$7,1000-IF(N(+$F13)&gt;0,N(+$F13)/$D13,0)*100+ROW()/1000000,1000-N(+$E13)*100+ROW()/1000000))),"")</f>
        <v/>
      </c>
      <c r="AA13" s="1">
        <f>IF(Z13="","",COUNTIF(Z$7:Z$18,"&lt;"&amp;Z13)+1)</f>
        <v/>
      </c>
      <c r="AB13" s="1">
        <f>IF(W13="","",COUNTIF(W$7:W$18,"&lt;"&amp;W13)+1)</f>
        <v/>
      </c>
      <c r="AC13" s="1">
        <f>IF(X13="","",COUNTIF(X$7:X$18,"&lt;"&amp;X13)+1)</f>
        <v/>
      </c>
      <c r="AD13" s="1">
        <f>IF(Y13="","",COUNTIF(Y$7:Y$18,"&lt;"&amp;Y13)+1)</f>
        <v/>
      </c>
      <c r="AE13">
        <f>AND(AND(ISNUMBER($D13),$D13&gt;0),$M13="Yes",N(+$K13)&gt;0,ISNUMBER($T13),N(+$T13)&gt;=N(+$K13))</f>
        <v/>
      </c>
    </row>
    <row r="14">
      <c r="A14" s="1" t="n"/>
      <c r="B14" s="55" t="n"/>
      <c r="C14" s="55" t="n"/>
      <c r="D14" s="56" t="n"/>
      <c r="E14" s="57" t="n"/>
      <c r="F14" s="56" t="n"/>
      <c r="G14" s="55" t="n"/>
      <c r="H14" s="55" t="n"/>
      <c r="I14" s="56" t="n"/>
      <c r="J14" s="58" t="n"/>
      <c r="K14" s="58" t="n"/>
      <c r="L14" s="57" t="n"/>
      <c r="M14" s="55" t="n"/>
      <c r="N14" s="55" t="n"/>
      <c r="O14" s="32">
        <f>IF(AND(ISNUMBER($D14),$D14&gt;0),$D14*N(+$E14)/12,"")</f>
        <v/>
      </c>
      <c r="P14" s="32">
        <f>IF(NOT(AND(ISNUMBER($D14),$D14&gt;0)),"",IF(N(+$F14)&lt;=0,"No minimum",IF(N(+$F14)&lt;=$D14*N(+$E14)/12,"Never at minimum",IF(N(+$E14)=0,0,N(+$F14)*NPER(N(+$E14)/12,-N(+$F14),$D14)-$D14))))</f>
        <v/>
      </c>
      <c r="Q14" s="59">
        <f>IF(NOT(AND(ISNUMBER($D14),$D14&gt;0)),"",IF(AND(N(+$F14)&gt;0,N(+$F14)&lt;=$D14*N(+$E14)/12),"Minimum doesn't cover interest: pay more here",IF(N(+$F14)&lt;=0,"Add the minimum payment",IF($H14="Not sure - ask lender","Ask your lender before paying extra",IF($H14="Locked until a date",IF(N(+$J14)=0,"Locked: add the unlock date","Locked until "&amp;CHOOSE(MONTH($J14),"Jan","Feb","Mar","Apr","May","Jun","Jul","Aug","Sep","Oct","Nov","Dec")&amp;" "&amp;YEAR($J14)),IF($H14="Allowed with a fee",IF(N(+$I14)=0,"Add the fee amount (blank = no fee)",IF(NOT(ISNUMBER($P14)),"Fee is worth paying: minimums never clear this",IF(N(+$I14)&lt;$P14,"Worth it: saves about "&amp;TEXT($P14-$I14,"#,##0")&amp;" after the fee","Wait: the fee is more than the interest you'd save"&amp;IF(N(+$J14)&gt;0," (until "&amp;CHOOSE(MONTH($J14),"Jan","Feb","Mar","Apr","May","Jun","Jul","Aug","Sep","Oct","Nov","Dec")&amp;" "&amp;YEAR($J14)&amp;")","")))),"OK to pay early"))))))</f>
        <v/>
      </c>
      <c r="R14" s="60">
        <f>IF($U14="","",IF($U14&lt;=Plan!$C$6,"Now",IF($U14&gt;=DATE(2199,12,1),"Not yet",CHOOSE(MONTH($U14),"Jan","Feb","Mar","Apr","May","Jun","Jul","Aug","Sep","Oct","Nov","Dec")&amp;" "&amp;YEAR($U14))))</f>
        <v/>
      </c>
      <c r="S14" s="61">
        <f>IF(AND(ISNUMBER($D14),$D14&gt;0),CHOOSE(Plan!$K$5,AA14,AB14,AC14,AD14),"")</f>
        <v/>
      </c>
      <c r="T14" s="33">
        <f>IF(AND(ISNUMBER($D14),$D14&gt;0),CHOOSE(Plan!$K$5,'Calc Smart'!J$10,'Calc Avalanche'!J$10,'Calc Snowball'!J$10,'Calc Cashflow'!J$10),"")</f>
        <v/>
      </c>
      <c r="U14" s="1">
        <f>IF(NOT(AND(ISNUMBER($D14),$D14&gt;0)),"",IF($H14="Not sure - ask lender",DATE(2199,12,1),IF($H14="Locked until a date",IF(N(+$J14)=0,DATE(2199,12,1),$J14),IF(AND($H14="Allowed with a fee",N(+$I14)&gt;0,ISNUMBER($P14),N(+$I14)&gt;=N(+$P14)),IF(N(+$J14)=0,DATE(2199,12,1),$J14),DATE(1900,1,1)))))</f>
        <v/>
      </c>
      <c r="V14" s="45">
        <f>IF(NOT(AND(ISNUMBER($D14),$D14&gt;0)),"",IF($AE14,"⚠ Cleared after the promo ends ("&amp;CHOOSE(MONTH($K14),"Jan","Feb","Mar","Apr","May","Jun","Jul","Aug","Sep","Oct","Nov","Dec")&amp;" "&amp;YEAR($K14)&amp;"): back-interest likely, not counted here. Try Smart.",IF($G14="Yes","Behind on payments: deal with this first",IF(AND($M14="Yes",N(+$K14)&gt;Plan!$C$6),"Deferred interest: clear by "&amp;CHOOSE(MONTH($K14),"Jan","Feb","Mar","Apr","May","Jun","Jul","Aug","Sep","Oct","Nov","Dec")&amp;" "&amp;YEAR($K14)&amp;" or back-interest is added",IF($U14&gt;Plan!$C$6,$Q14,CHOOSE(Plan!$K$5,IF(Plan!$K$7,"Frees up monthly money fastest","Highest APR among the rest"),"APR "&amp;TEXT(N(+$E14),"0.0%"),"Balance "&amp;TEXT($D14,"#,##0"),"Frees "&amp;TEXT(N(+$F14),"#,##0")&amp;"/month when cleared"))))))</f>
        <v/>
      </c>
      <c r="W14" s="1">
        <f>IF(AND(ISNUMBER($D14),$D14&gt;0),1000-N(+$E14)*100+ROW()/1000000,"")</f>
        <v/>
      </c>
      <c r="X14" s="1">
        <f>IF(AND(ISNUMBER($D14),$D14&gt;0),$D14+ROW()/1000000,"")</f>
        <v/>
      </c>
      <c r="Y14" s="1">
        <f>IF(AND(ISNUMBER($D14),$D14&gt;0),1000-IF(N(+$F14)&gt;0,N(+$F14)/$D14,0)*100+ROW()/1000000,"")</f>
        <v/>
      </c>
      <c r="Z14" s="1">
        <f>IF(AND(ISNUMBER($D14),$D14&gt;0),IF($G14="Yes",0,IF(AND($M14="Yes",N(+$K14)&gt;Plan!$C$6),1,2))*1000000+IF(IF($G14="Yes",0,IF(AND($M14="Yes",N(+$K14)&gt;Plan!$C$6),1,2))=0,1000-IF(N(+$F14)&gt;0,N(+$F14)/$D14,0)*100+ROW()/1000000,IF(IF($G14="Yes",0,IF(AND($M14="Yes",N(+$K14)&gt;Plan!$C$6),1,2))=1,N(+$K14)/100,IF(Plan!$K$7,1000-IF(N(+$F14)&gt;0,N(+$F14)/$D14,0)*100+ROW()/1000000,1000-N(+$E14)*100+ROW()/1000000))),"")</f>
        <v/>
      </c>
      <c r="AA14" s="1">
        <f>IF(Z14="","",COUNTIF(Z$7:Z$18,"&lt;"&amp;Z14)+1)</f>
        <v/>
      </c>
      <c r="AB14" s="1">
        <f>IF(W14="","",COUNTIF(W$7:W$18,"&lt;"&amp;W14)+1)</f>
        <v/>
      </c>
      <c r="AC14" s="1">
        <f>IF(X14="","",COUNTIF(X$7:X$18,"&lt;"&amp;X14)+1)</f>
        <v/>
      </c>
      <c r="AD14" s="1">
        <f>IF(Y14="","",COUNTIF(Y$7:Y$18,"&lt;"&amp;Y14)+1)</f>
        <v/>
      </c>
      <c r="AE14">
        <f>AND(AND(ISNUMBER($D14),$D14&gt;0),$M14="Yes",N(+$K14)&gt;0,ISNUMBER($T14),N(+$T14)&gt;=N(+$K14))</f>
        <v/>
      </c>
    </row>
    <row r="15">
      <c r="A15" s="1" t="n"/>
      <c r="B15" s="48" t="n"/>
      <c r="C15" s="48" t="n"/>
      <c r="D15" s="49" t="n"/>
      <c r="E15" s="50" t="n"/>
      <c r="F15" s="49" t="n"/>
      <c r="G15" s="48" t="n"/>
      <c r="H15" s="48" t="n"/>
      <c r="I15" s="49" t="n"/>
      <c r="J15" s="51" t="n"/>
      <c r="K15" s="51" t="n"/>
      <c r="L15" s="50" t="n"/>
      <c r="M15" s="48" t="n"/>
      <c r="N15" s="48" t="n"/>
      <c r="O15" s="31">
        <f>IF(AND(ISNUMBER($D15),$D15&gt;0),$D15*N(+$E15)/12,"")</f>
        <v/>
      </c>
      <c r="P15" s="31">
        <f>IF(NOT(AND(ISNUMBER($D15),$D15&gt;0)),"",IF(N(+$F15)&lt;=0,"No minimum",IF(N(+$F15)&lt;=$D15*N(+$E15)/12,"Never at minimum",IF(N(+$E15)=0,0,N(+$F15)*NPER(N(+$E15)/12,-N(+$F15),$D15)-$D15))))</f>
        <v/>
      </c>
      <c r="Q15" s="52">
        <f>IF(NOT(AND(ISNUMBER($D15),$D15&gt;0)),"",IF(AND(N(+$F15)&gt;0,N(+$F15)&lt;=$D15*N(+$E15)/12),"Minimum doesn't cover interest: pay more here",IF(N(+$F15)&lt;=0,"Add the minimum payment",IF($H15="Not sure - ask lender","Ask your lender before paying extra",IF($H15="Locked until a date",IF(N(+$J15)=0,"Locked: add the unlock date","Locked until "&amp;CHOOSE(MONTH($J15),"Jan","Feb","Mar","Apr","May","Jun","Jul","Aug","Sep","Oct","Nov","Dec")&amp;" "&amp;YEAR($J15)),IF($H15="Allowed with a fee",IF(N(+$I15)=0,"Add the fee amount (blank = no fee)",IF(NOT(ISNUMBER($P15)),"Fee is worth paying: minimums never clear this",IF(N(+$I15)&lt;$P15,"Worth it: saves about "&amp;TEXT($P15-$I15,"#,##0")&amp;" after the fee","Wait: the fee is more than the interest you'd save"&amp;IF(N(+$J15)&gt;0," (until "&amp;CHOOSE(MONTH($J15),"Jan","Feb","Mar","Apr","May","Jun","Jul","Aug","Sep","Oct","Nov","Dec")&amp;" "&amp;YEAR($J15)&amp;")","")))),"OK to pay early"))))))</f>
        <v/>
      </c>
      <c r="R15" s="53">
        <f>IF($U15="","",IF($U15&lt;=Plan!$C$6,"Now",IF($U15&gt;=DATE(2199,12,1),"Not yet",CHOOSE(MONTH($U15),"Jan","Feb","Mar","Apr","May","Jun","Jul","Aug","Sep","Oct","Nov","Dec")&amp;" "&amp;YEAR($U15))))</f>
        <v/>
      </c>
      <c r="S15" s="54">
        <f>IF(AND(ISNUMBER($D15),$D15&gt;0),CHOOSE(Plan!$K$5,AA15,AB15,AC15,AD15),"")</f>
        <v/>
      </c>
      <c r="T15" s="28">
        <f>IF(AND(ISNUMBER($D15),$D15&gt;0),CHOOSE(Plan!$K$5,'Calc Smart'!K$10,'Calc Avalanche'!K$10,'Calc Snowball'!K$10,'Calc Cashflow'!K$10),"")</f>
        <v/>
      </c>
      <c r="U15" s="1">
        <f>IF(NOT(AND(ISNUMBER($D15),$D15&gt;0)),"",IF($H15="Not sure - ask lender",DATE(2199,12,1),IF($H15="Locked until a date",IF(N(+$J15)=0,DATE(2199,12,1),$J15),IF(AND($H15="Allowed with a fee",N(+$I15)&gt;0,ISNUMBER($P15),N(+$I15)&gt;=N(+$P15)),IF(N(+$J15)=0,DATE(2199,12,1),$J15),DATE(1900,1,1)))))</f>
        <v/>
      </c>
      <c r="V15" s="42">
        <f>IF(NOT(AND(ISNUMBER($D15),$D15&gt;0)),"",IF($AE15,"⚠ Cleared after the promo ends ("&amp;CHOOSE(MONTH($K15),"Jan","Feb","Mar","Apr","May","Jun","Jul","Aug","Sep","Oct","Nov","Dec")&amp;" "&amp;YEAR($K15)&amp;"): back-interest likely, not counted here. Try Smart.",IF($G15="Yes","Behind on payments: deal with this first",IF(AND($M15="Yes",N(+$K15)&gt;Plan!$C$6),"Deferred interest: clear by "&amp;CHOOSE(MONTH($K15),"Jan","Feb","Mar","Apr","May","Jun","Jul","Aug","Sep","Oct","Nov","Dec")&amp;" "&amp;YEAR($K15)&amp;" or back-interest is added",IF($U15&gt;Plan!$C$6,$Q15,CHOOSE(Plan!$K$5,IF(Plan!$K$7,"Frees up monthly money fastest","Highest APR among the rest"),"APR "&amp;TEXT(N(+$E15),"0.0%"),"Balance "&amp;TEXT($D15,"#,##0"),"Frees "&amp;TEXT(N(+$F15),"#,##0")&amp;"/month when cleared"))))))</f>
        <v/>
      </c>
      <c r="W15" s="1">
        <f>IF(AND(ISNUMBER($D15),$D15&gt;0),1000-N(+$E15)*100+ROW()/1000000,"")</f>
        <v/>
      </c>
      <c r="X15" s="1">
        <f>IF(AND(ISNUMBER($D15),$D15&gt;0),$D15+ROW()/1000000,"")</f>
        <v/>
      </c>
      <c r="Y15" s="1">
        <f>IF(AND(ISNUMBER($D15),$D15&gt;0),1000-IF(N(+$F15)&gt;0,N(+$F15)/$D15,0)*100+ROW()/1000000,"")</f>
        <v/>
      </c>
      <c r="Z15" s="1">
        <f>IF(AND(ISNUMBER($D15),$D15&gt;0),IF($G15="Yes",0,IF(AND($M15="Yes",N(+$K15)&gt;Plan!$C$6),1,2))*1000000+IF(IF($G15="Yes",0,IF(AND($M15="Yes",N(+$K15)&gt;Plan!$C$6),1,2))=0,1000-IF(N(+$F15)&gt;0,N(+$F15)/$D15,0)*100+ROW()/1000000,IF(IF($G15="Yes",0,IF(AND($M15="Yes",N(+$K15)&gt;Plan!$C$6),1,2))=1,N(+$K15)/100,IF(Plan!$K$7,1000-IF(N(+$F15)&gt;0,N(+$F15)/$D15,0)*100+ROW()/1000000,1000-N(+$E15)*100+ROW()/1000000))),"")</f>
        <v/>
      </c>
      <c r="AA15" s="1">
        <f>IF(Z15="","",COUNTIF(Z$7:Z$18,"&lt;"&amp;Z15)+1)</f>
        <v/>
      </c>
      <c r="AB15" s="1">
        <f>IF(W15="","",COUNTIF(W$7:W$18,"&lt;"&amp;W15)+1)</f>
        <v/>
      </c>
      <c r="AC15" s="1">
        <f>IF(X15="","",COUNTIF(X$7:X$18,"&lt;"&amp;X15)+1)</f>
        <v/>
      </c>
      <c r="AD15" s="1">
        <f>IF(Y15="","",COUNTIF(Y$7:Y$18,"&lt;"&amp;Y15)+1)</f>
        <v/>
      </c>
      <c r="AE15">
        <f>AND(AND(ISNUMBER($D15),$D15&gt;0),$M15="Yes",N(+$K15)&gt;0,ISNUMBER($T15),N(+$T15)&gt;=N(+$K15))</f>
        <v/>
      </c>
    </row>
    <row r="16">
      <c r="A16" s="1" t="n"/>
      <c r="B16" s="55" t="n"/>
      <c r="C16" s="55" t="n"/>
      <c r="D16" s="56" t="n"/>
      <c r="E16" s="57" t="n"/>
      <c r="F16" s="56" t="n"/>
      <c r="G16" s="55" t="n"/>
      <c r="H16" s="55" t="n"/>
      <c r="I16" s="56" t="n"/>
      <c r="J16" s="58" t="n"/>
      <c r="K16" s="58" t="n"/>
      <c r="L16" s="57" t="n"/>
      <c r="M16" s="55" t="n"/>
      <c r="N16" s="55" t="n"/>
      <c r="O16" s="32">
        <f>IF(AND(ISNUMBER($D16),$D16&gt;0),$D16*N(+$E16)/12,"")</f>
        <v/>
      </c>
      <c r="P16" s="32">
        <f>IF(NOT(AND(ISNUMBER($D16),$D16&gt;0)),"",IF(N(+$F16)&lt;=0,"No minimum",IF(N(+$F16)&lt;=$D16*N(+$E16)/12,"Never at minimum",IF(N(+$E16)=0,0,N(+$F16)*NPER(N(+$E16)/12,-N(+$F16),$D16)-$D16))))</f>
        <v/>
      </c>
      <c r="Q16" s="59">
        <f>IF(NOT(AND(ISNUMBER($D16),$D16&gt;0)),"",IF(AND(N(+$F16)&gt;0,N(+$F16)&lt;=$D16*N(+$E16)/12),"Minimum doesn't cover interest: pay more here",IF(N(+$F16)&lt;=0,"Add the minimum payment",IF($H16="Not sure - ask lender","Ask your lender before paying extra",IF($H16="Locked until a date",IF(N(+$J16)=0,"Locked: add the unlock date","Locked until "&amp;CHOOSE(MONTH($J16),"Jan","Feb","Mar","Apr","May","Jun","Jul","Aug","Sep","Oct","Nov","Dec")&amp;" "&amp;YEAR($J16)),IF($H16="Allowed with a fee",IF(N(+$I16)=0,"Add the fee amount (blank = no fee)",IF(NOT(ISNUMBER($P16)),"Fee is worth paying: minimums never clear this",IF(N(+$I16)&lt;$P16,"Worth it: saves about "&amp;TEXT($P16-$I16,"#,##0")&amp;" after the fee","Wait: the fee is more than the interest you'd save"&amp;IF(N(+$J16)&gt;0," (until "&amp;CHOOSE(MONTH($J16),"Jan","Feb","Mar","Apr","May","Jun","Jul","Aug","Sep","Oct","Nov","Dec")&amp;" "&amp;YEAR($J16)&amp;")","")))),"OK to pay early"))))))</f>
        <v/>
      </c>
      <c r="R16" s="60">
        <f>IF($U16="","",IF($U16&lt;=Plan!$C$6,"Now",IF($U16&gt;=DATE(2199,12,1),"Not yet",CHOOSE(MONTH($U16),"Jan","Feb","Mar","Apr","May","Jun","Jul","Aug","Sep","Oct","Nov","Dec")&amp;" "&amp;YEAR($U16))))</f>
        <v/>
      </c>
      <c r="S16" s="61">
        <f>IF(AND(ISNUMBER($D16),$D16&gt;0),CHOOSE(Plan!$K$5,AA16,AB16,AC16,AD16),"")</f>
        <v/>
      </c>
      <c r="T16" s="33">
        <f>IF(AND(ISNUMBER($D16),$D16&gt;0),CHOOSE(Plan!$K$5,'Calc Smart'!L$10,'Calc Avalanche'!L$10,'Calc Snowball'!L$10,'Calc Cashflow'!L$10),"")</f>
        <v/>
      </c>
      <c r="U16" s="1">
        <f>IF(NOT(AND(ISNUMBER($D16),$D16&gt;0)),"",IF($H16="Not sure - ask lender",DATE(2199,12,1),IF($H16="Locked until a date",IF(N(+$J16)=0,DATE(2199,12,1),$J16),IF(AND($H16="Allowed with a fee",N(+$I16)&gt;0,ISNUMBER($P16),N(+$I16)&gt;=N(+$P16)),IF(N(+$J16)=0,DATE(2199,12,1),$J16),DATE(1900,1,1)))))</f>
        <v/>
      </c>
      <c r="V16" s="45">
        <f>IF(NOT(AND(ISNUMBER($D16),$D16&gt;0)),"",IF($AE16,"⚠ Cleared after the promo ends ("&amp;CHOOSE(MONTH($K16),"Jan","Feb","Mar","Apr","May","Jun","Jul","Aug","Sep","Oct","Nov","Dec")&amp;" "&amp;YEAR($K16)&amp;"): back-interest likely, not counted here. Try Smart.",IF($G16="Yes","Behind on payments: deal with this first",IF(AND($M16="Yes",N(+$K16)&gt;Plan!$C$6),"Deferred interest: clear by "&amp;CHOOSE(MONTH($K16),"Jan","Feb","Mar","Apr","May","Jun","Jul","Aug","Sep","Oct","Nov","Dec")&amp;" "&amp;YEAR($K16)&amp;" or back-interest is added",IF($U16&gt;Plan!$C$6,$Q16,CHOOSE(Plan!$K$5,IF(Plan!$K$7,"Frees up monthly money fastest","Highest APR among the rest"),"APR "&amp;TEXT(N(+$E16),"0.0%"),"Balance "&amp;TEXT($D16,"#,##0"),"Frees "&amp;TEXT(N(+$F16),"#,##0")&amp;"/month when cleared"))))))</f>
        <v/>
      </c>
      <c r="W16" s="1">
        <f>IF(AND(ISNUMBER($D16),$D16&gt;0),1000-N(+$E16)*100+ROW()/1000000,"")</f>
        <v/>
      </c>
      <c r="X16" s="1">
        <f>IF(AND(ISNUMBER($D16),$D16&gt;0),$D16+ROW()/1000000,"")</f>
        <v/>
      </c>
      <c r="Y16" s="1">
        <f>IF(AND(ISNUMBER($D16),$D16&gt;0),1000-IF(N(+$F16)&gt;0,N(+$F16)/$D16,0)*100+ROW()/1000000,"")</f>
        <v/>
      </c>
      <c r="Z16" s="1">
        <f>IF(AND(ISNUMBER($D16),$D16&gt;0),IF($G16="Yes",0,IF(AND($M16="Yes",N(+$K16)&gt;Plan!$C$6),1,2))*1000000+IF(IF($G16="Yes",0,IF(AND($M16="Yes",N(+$K16)&gt;Plan!$C$6),1,2))=0,1000-IF(N(+$F16)&gt;0,N(+$F16)/$D16,0)*100+ROW()/1000000,IF(IF($G16="Yes",0,IF(AND($M16="Yes",N(+$K16)&gt;Plan!$C$6),1,2))=1,N(+$K16)/100,IF(Plan!$K$7,1000-IF(N(+$F16)&gt;0,N(+$F16)/$D16,0)*100+ROW()/1000000,1000-N(+$E16)*100+ROW()/1000000))),"")</f>
        <v/>
      </c>
      <c r="AA16" s="1">
        <f>IF(Z16="","",COUNTIF(Z$7:Z$18,"&lt;"&amp;Z16)+1)</f>
        <v/>
      </c>
      <c r="AB16" s="1">
        <f>IF(W16="","",COUNTIF(W$7:W$18,"&lt;"&amp;W16)+1)</f>
        <v/>
      </c>
      <c r="AC16" s="1">
        <f>IF(X16="","",COUNTIF(X$7:X$18,"&lt;"&amp;X16)+1)</f>
        <v/>
      </c>
      <c r="AD16" s="1">
        <f>IF(Y16="","",COUNTIF(Y$7:Y$18,"&lt;"&amp;Y16)+1)</f>
        <v/>
      </c>
      <c r="AE16">
        <f>AND(AND(ISNUMBER($D16),$D16&gt;0),$M16="Yes",N(+$K16)&gt;0,ISNUMBER($T16),N(+$T16)&gt;=N(+$K16))</f>
        <v/>
      </c>
    </row>
    <row r="17">
      <c r="A17" s="1" t="n"/>
      <c r="B17" s="48" t="n"/>
      <c r="C17" s="48" t="n"/>
      <c r="D17" s="49" t="n"/>
      <c r="E17" s="50" t="n"/>
      <c r="F17" s="49" t="n"/>
      <c r="G17" s="48" t="n"/>
      <c r="H17" s="48" t="n"/>
      <c r="I17" s="49" t="n"/>
      <c r="J17" s="51" t="n"/>
      <c r="K17" s="51" t="n"/>
      <c r="L17" s="50" t="n"/>
      <c r="M17" s="48" t="n"/>
      <c r="N17" s="48" t="n"/>
      <c r="O17" s="31">
        <f>IF(AND(ISNUMBER($D17),$D17&gt;0),$D17*N(+$E17)/12,"")</f>
        <v/>
      </c>
      <c r="P17" s="31">
        <f>IF(NOT(AND(ISNUMBER($D17),$D17&gt;0)),"",IF(N(+$F17)&lt;=0,"No minimum",IF(N(+$F17)&lt;=$D17*N(+$E17)/12,"Never at minimum",IF(N(+$E17)=0,0,N(+$F17)*NPER(N(+$E17)/12,-N(+$F17),$D17)-$D17))))</f>
        <v/>
      </c>
      <c r="Q17" s="52">
        <f>IF(NOT(AND(ISNUMBER($D17),$D17&gt;0)),"",IF(AND(N(+$F17)&gt;0,N(+$F17)&lt;=$D17*N(+$E17)/12),"Minimum doesn't cover interest: pay more here",IF(N(+$F17)&lt;=0,"Add the minimum payment",IF($H17="Not sure - ask lender","Ask your lender before paying extra",IF($H17="Locked until a date",IF(N(+$J17)=0,"Locked: add the unlock date","Locked until "&amp;CHOOSE(MONTH($J17),"Jan","Feb","Mar","Apr","May","Jun","Jul","Aug","Sep","Oct","Nov","Dec")&amp;" "&amp;YEAR($J17)),IF($H17="Allowed with a fee",IF(N(+$I17)=0,"Add the fee amount (blank = no fee)",IF(NOT(ISNUMBER($P17)),"Fee is worth paying: minimums never clear this",IF(N(+$I17)&lt;$P17,"Worth it: saves about "&amp;TEXT($P17-$I17,"#,##0")&amp;" after the fee","Wait: the fee is more than the interest you'd save"&amp;IF(N(+$J17)&gt;0," (until "&amp;CHOOSE(MONTH($J17),"Jan","Feb","Mar","Apr","May","Jun","Jul","Aug","Sep","Oct","Nov","Dec")&amp;" "&amp;YEAR($J17)&amp;")","")))),"OK to pay early"))))))</f>
        <v/>
      </c>
      <c r="R17" s="53">
        <f>IF($U17="","",IF($U17&lt;=Plan!$C$6,"Now",IF($U17&gt;=DATE(2199,12,1),"Not yet",CHOOSE(MONTH($U17),"Jan","Feb","Mar","Apr","May","Jun","Jul","Aug","Sep","Oct","Nov","Dec")&amp;" "&amp;YEAR($U17))))</f>
        <v/>
      </c>
      <c r="S17" s="54">
        <f>IF(AND(ISNUMBER($D17),$D17&gt;0),CHOOSE(Plan!$K$5,AA17,AB17,AC17,AD17),"")</f>
        <v/>
      </c>
      <c r="T17" s="28">
        <f>IF(AND(ISNUMBER($D17),$D17&gt;0),CHOOSE(Plan!$K$5,'Calc Smart'!M$10,'Calc Avalanche'!M$10,'Calc Snowball'!M$10,'Calc Cashflow'!M$10),"")</f>
        <v/>
      </c>
      <c r="U17" s="1">
        <f>IF(NOT(AND(ISNUMBER($D17),$D17&gt;0)),"",IF($H17="Not sure - ask lender",DATE(2199,12,1),IF($H17="Locked until a date",IF(N(+$J17)=0,DATE(2199,12,1),$J17),IF(AND($H17="Allowed with a fee",N(+$I17)&gt;0,ISNUMBER($P17),N(+$I17)&gt;=N(+$P17)),IF(N(+$J17)=0,DATE(2199,12,1),$J17),DATE(1900,1,1)))))</f>
        <v/>
      </c>
      <c r="V17" s="42">
        <f>IF(NOT(AND(ISNUMBER($D17),$D17&gt;0)),"",IF($AE17,"⚠ Cleared after the promo ends ("&amp;CHOOSE(MONTH($K17),"Jan","Feb","Mar","Apr","May","Jun","Jul","Aug","Sep","Oct","Nov","Dec")&amp;" "&amp;YEAR($K17)&amp;"): back-interest likely, not counted here. Try Smart.",IF($G17="Yes","Behind on payments: deal with this first",IF(AND($M17="Yes",N(+$K17)&gt;Plan!$C$6),"Deferred interest: clear by "&amp;CHOOSE(MONTH($K17),"Jan","Feb","Mar","Apr","May","Jun","Jul","Aug","Sep","Oct","Nov","Dec")&amp;" "&amp;YEAR($K17)&amp;" or back-interest is added",IF($U17&gt;Plan!$C$6,$Q17,CHOOSE(Plan!$K$5,IF(Plan!$K$7,"Frees up monthly money fastest","Highest APR among the rest"),"APR "&amp;TEXT(N(+$E17),"0.0%"),"Balance "&amp;TEXT($D17,"#,##0"),"Frees "&amp;TEXT(N(+$F17),"#,##0")&amp;"/month when cleared"))))))</f>
        <v/>
      </c>
      <c r="W17" s="1">
        <f>IF(AND(ISNUMBER($D17),$D17&gt;0),1000-N(+$E17)*100+ROW()/1000000,"")</f>
        <v/>
      </c>
      <c r="X17" s="1">
        <f>IF(AND(ISNUMBER($D17),$D17&gt;0),$D17+ROW()/1000000,"")</f>
        <v/>
      </c>
      <c r="Y17" s="1">
        <f>IF(AND(ISNUMBER($D17),$D17&gt;0),1000-IF(N(+$F17)&gt;0,N(+$F17)/$D17,0)*100+ROW()/1000000,"")</f>
        <v/>
      </c>
      <c r="Z17" s="1">
        <f>IF(AND(ISNUMBER($D17),$D17&gt;0),IF($G17="Yes",0,IF(AND($M17="Yes",N(+$K17)&gt;Plan!$C$6),1,2))*1000000+IF(IF($G17="Yes",0,IF(AND($M17="Yes",N(+$K17)&gt;Plan!$C$6),1,2))=0,1000-IF(N(+$F17)&gt;0,N(+$F17)/$D17,0)*100+ROW()/1000000,IF(IF($G17="Yes",0,IF(AND($M17="Yes",N(+$K17)&gt;Plan!$C$6),1,2))=1,N(+$K17)/100,IF(Plan!$K$7,1000-IF(N(+$F17)&gt;0,N(+$F17)/$D17,0)*100+ROW()/1000000,1000-N(+$E17)*100+ROW()/1000000))),"")</f>
        <v/>
      </c>
      <c r="AA17" s="1">
        <f>IF(Z17="","",COUNTIF(Z$7:Z$18,"&lt;"&amp;Z17)+1)</f>
        <v/>
      </c>
      <c r="AB17" s="1">
        <f>IF(W17="","",COUNTIF(W$7:W$18,"&lt;"&amp;W17)+1)</f>
        <v/>
      </c>
      <c r="AC17" s="1">
        <f>IF(X17="","",COUNTIF(X$7:X$18,"&lt;"&amp;X17)+1)</f>
        <v/>
      </c>
      <c r="AD17" s="1">
        <f>IF(Y17="","",COUNTIF(Y$7:Y$18,"&lt;"&amp;Y17)+1)</f>
        <v/>
      </c>
      <c r="AE17">
        <f>AND(AND(ISNUMBER($D17),$D17&gt;0),$M17="Yes",N(+$K17)&gt;0,ISNUMBER($T17),N(+$T17)&gt;=N(+$K17))</f>
        <v/>
      </c>
    </row>
    <row r="18">
      <c r="A18" s="1" t="n"/>
      <c r="B18" s="55" t="n"/>
      <c r="C18" s="55" t="n"/>
      <c r="D18" s="56" t="n"/>
      <c r="E18" s="57" t="n"/>
      <c r="F18" s="56" t="n"/>
      <c r="G18" s="55" t="n"/>
      <c r="H18" s="55" t="n"/>
      <c r="I18" s="56" t="n"/>
      <c r="J18" s="58" t="n"/>
      <c r="K18" s="58" t="n"/>
      <c r="L18" s="57" t="n"/>
      <c r="M18" s="55" t="n"/>
      <c r="N18" s="55" t="n"/>
      <c r="O18" s="32">
        <f>IF(AND(ISNUMBER($D18),$D18&gt;0),$D18*N(+$E18)/12,"")</f>
        <v/>
      </c>
      <c r="P18" s="32">
        <f>IF(NOT(AND(ISNUMBER($D18),$D18&gt;0)),"",IF(N(+$F18)&lt;=0,"No minimum",IF(N(+$F18)&lt;=$D18*N(+$E18)/12,"Never at minimum",IF(N(+$E18)=0,0,N(+$F18)*NPER(N(+$E18)/12,-N(+$F18),$D18)-$D18))))</f>
        <v/>
      </c>
      <c r="Q18" s="59">
        <f>IF(NOT(AND(ISNUMBER($D18),$D18&gt;0)),"",IF(AND(N(+$F18)&gt;0,N(+$F18)&lt;=$D18*N(+$E18)/12),"Minimum doesn't cover interest: pay more here",IF(N(+$F18)&lt;=0,"Add the minimum payment",IF($H18="Not sure - ask lender","Ask your lender before paying extra",IF($H18="Locked until a date",IF(N(+$J18)=0,"Locked: add the unlock date","Locked until "&amp;CHOOSE(MONTH($J18),"Jan","Feb","Mar","Apr","May","Jun","Jul","Aug","Sep","Oct","Nov","Dec")&amp;" "&amp;YEAR($J18)),IF($H18="Allowed with a fee",IF(N(+$I18)=0,"Add the fee amount (blank = no fee)",IF(NOT(ISNUMBER($P18)),"Fee is worth paying: minimums never clear this",IF(N(+$I18)&lt;$P18,"Worth it: saves about "&amp;TEXT($P18-$I18,"#,##0")&amp;" after the fee","Wait: the fee is more than the interest you'd save"&amp;IF(N(+$J18)&gt;0," (until "&amp;CHOOSE(MONTH($J18),"Jan","Feb","Mar","Apr","May","Jun","Jul","Aug","Sep","Oct","Nov","Dec")&amp;" "&amp;YEAR($J18)&amp;")","")))),"OK to pay early"))))))</f>
        <v/>
      </c>
      <c r="R18" s="60">
        <f>IF($U18="","",IF($U18&lt;=Plan!$C$6,"Now",IF($U18&gt;=DATE(2199,12,1),"Not yet",CHOOSE(MONTH($U18),"Jan","Feb","Mar","Apr","May","Jun","Jul","Aug","Sep","Oct","Nov","Dec")&amp;" "&amp;YEAR($U18))))</f>
        <v/>
      </c>
      <c r="S18" s="61">
        <f>IF(AND(ISNUMBER($D18),$D18&gt;0),CHOOSE(Plan!$K$5,AA18,AB18,AC18,AD18),"")</f>
        <v/>
      </c>
      <c r="T18" s="33">
        <f>IF(AND(ISNUMBER($D18),$D18&gt;0),CHOOSE(Plan!$K$5,'Calc Smart'!N$10,'Calc Avalanche'!N$10,'Calc Snowball'!N$10,'Calc Cashflow'!N$10),"")</f>
        <v/>
      </c>
      <c r="U18" s="1">
        <f>IF(NOT(AND(ISNUMBER($D18),$D18&gt;0)),"",IF($H18="Not sure - ask lender",DATE(2199,12,1),IF($H18="Locked until a date",IF(N(+$J18)=0,DATE(2199,12,1),$J18),IF(AND($H18="Allowed with a fee",N(+$I18)&gt;0,ISNUMBER($P18),N(+$I18)&gt;=N(+$P18)),IF(N(+$J18)=0,DATE(2199,12,1),$J18),DATE(1900,1,1)))))</f>
        <v/>
      </c>
      <c r="V18" s="45">
        <f>IF(NOT(AND(ISNUMBER($D18),$D18&gt;0)),"",IF($AE18,"⚠ Cleared after the promo ends ("&amp;CHOOSE(MONTH($K18),"Jan","Feb","Mar","Apr","May","Jun","Jul","Aug","Sep","Oct","Nov","Dec")&amp;" "&amp;YEAR($K18)&amp;"): back-interest likely, not counted here. Try Smart.",IF($G18="Yes","Behind on payments: deal with this first",IF(AND($M18="Yes",N(+$K18)&gt;Plan!$C$6),"Deferred interest: clear by "&amp;CHOOSE(MONTH($K18),"Jan","Feb","Mar","Apr","May","Jun","Jul","Aug","Sep","Oct","Nov","Dec")&amp;" "&amp;YEAR($K18)&amp;" or back-interest is added",IF($U18&gt;Plan!$C$6,$Q18,CHOOSE(Plan!$K$5,IF(Plan!$K$7,"Frees up monthly money fastest","Highest APR among the rest"),"APR "&amp;TEXT(N(+$E18),"0.0%"),"Balance "&amp;TEXT($D18,"#,##0"),"Frees "&amp;TEXT(N(+$F18),"#,##0")&amp;"/month when cleared"))))))</f>
        <v/>
      </c>
      <c r="W18" s="1">
        <f>IF(AND(ISNUMBER($D18),$D18&gt;0),1000-N(+$E18)*100+ROW()/1000000,"")</f>
        <v/>
      </c>
      <c r="X18" s="1">
        <f>IF(AND(ISNUMBER($D18),$D18&gt;0),$D18+ROW()/1000000,"")</f>
        <v/>
      </c>
      <c r="Y18" s="1">
        <f>IF(AND(ISNUMBER($D18),$D18&gt;0),1000-IF(N(+$F18)&gt;0,N(+$F18)/$D18,0)*100+ROW()/1000000,"")</f>
        <v/>
      </c>
      <c r="Z18" s="1">
        <f>IF(AND(ISNUMBER($D18),$D18&gt;0),IF($G18="Yes",0,IF(AND($M18="Yes",N(+$K18)&gt;Plan!$C$6),1,2))*1000000+IF(IF($G18="Yes",0,IF(AND($M18="Yes",N(+$K18)&gt;Plan!$C$6),1,2))=0,1000-IF(N(+$F18)&gt;0,N(+$F18)/$D18,0)*100+ROW()/1000000,IF(IF($G18="Yes",0,IF(AND($M18="Yes",N(+$K18)&gt;Plan!$C$6),1,2))=1,N(+$K18)/100,IF(Plan!$K$7,1000-IF(N(+$F18)&gt;0,N(+$F18)/$D18,0)*100+ROW()/1000000,1000-N(+$E18)*100+ROW()/1000000))),"")</f>
        <v/>
      </c>
      <c r="AA18" s="1">
        <f>IF(Z18="","",COUNTIF(Z$7:Z$18,"&lt;"&amp;Z18)+1)</f>
        <v/>
      </c>
      <c r="AB18" s="1">
        <f>IF(W18="","",COUNTIF(W$7:W$18,"&lt;"&amp;W18)+1)</f>
        <v/>
      </c>
      <c r="AC18" s="1">
        <f>IF(X18="","",COUNTIF(X$7:X$18,"&lt;"&amp;X18)+1)</f>
        <v/>
      </c>
      <c r="AD18" s="1">
        <f>IF(Y18="","",COUNTIF(Y$7:Y$18,"&lt;"&amp;Y18)+1)</f>
        <v/>
      </c>
      <c r="AE18">
        <f>AND(AND(ISNUMBER($D18),$D18&gt;0),$M18="Yes",N(+$K18)&gt;0,ISNUMBER($T18),N(+$T18)&gt;=N(+$K18))</f>
        <v/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24" t="inlineStr">
        <is>
          <t>Rows marked (sample) are made up: overwrite or clear them. Up to 12 debts.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</sheetData>
  <conditionalFormatting sqref="G7:G18">
    <cfRule type="cellIs" priority="1" operator="equal" dxfId="1">
      <formula>"Yes"</formula>
    </cfRule>
    <cfRule type="cellIs" priority="2" operator="equal" dxfId="2">
      <formula>"No"</formula>
    </cfRule>
  </conditionalFormatting>
  <conditionalFormatting sqref="M7:M18">
    <cfRule type="cellIs" priority="3" operator="equal" dxfId="3">
      <formula>"Yes"</formula>
    </cfRule>
    <cfRule type="cellIs" priority="4" operator="equal" dxfId="2">
      <formula>"No"</formula>
    </cfRule>
  </conditionalFormatting>
  <conditionalFormatting sqref="H7:H18">
    <cfRule type="cellIs" priority="5" operator="equal" dxfId="4">
      <formula>"Allowed, no fee"</formula>
    </cfRule>
    <cfRule type="cellIs" priority="6" operator="equal" dxfId="3">
      <formula>"Allowed with a fee"</formula>
    </cfRule>
    <cfRule type="cellIs" priority="7" operator="equal" dxfId="5">
      <formula>"Locked until a date"</formula>
    </cfRule>
    <cfRule type="cellIs" priority="8" operator="equal" dxfId="1">
      <formula>"Not sure - ask lender"</formula>
    </cfRule>
  </conditionalFormatting>
  <conditionalFormatting sqref="Q7:Q18">
    <cfRule type="expression" priority="9" dxfId="6">
      <formula>OR(LEFT(Q7,4)="Wait",LEFT(Q7,6)="Locked",LEFT(Q7,3)="Ask",LEFT(Q7,7)="Minimum")</formula>
    </cfRule>
    <cfRule type="expression" priority="11" dxfId="7">
      <formula>OR(LEFT(Q7,5)="Worth",LEFT(Q7,2)="OK")</formula>
    </cfRule>
  </conditionalFormatting>
  <conditionalFormatting sqref="R7:R18">
    <cfRule type="cellIs" priority="10" operator="equal" dxfId="0">
      <formula>"Now"</formula>
    </cfRule>
  </conditionalFormatting>
  <dataValidations count="4">
    <dataValidation sqref="H7:H18" showDropDown="0" showInputMessage="0" showErrorMessage="0" allowBlank="1" type="list">
      <formula1>"Allowed, no fee,Allowed with a fee,Locked until a date,Not sure - ask lender"</formula1>
    </dataValidation>
    <dataValidation sqref="C7:C18" showDropDown="0" showInputMessage="0" showErrorMessage="0" allowBlank="1" type="list">
      <formula1>"Credit card,Store card,Personal loan,Car loan,Student loan,Mortgage,Buy now, pay later,Medical bill,Family / friend,Other"</formula1>
    </dataValidation>
    <dataValidation sqref="G7:G18" showDropDown="0" showInputMessage="0" showErrorMessage="0" allowBlank="1" type="list">
      <formula1>"Yes,No"</formula1>
    </dataValidation>
    <dataValidation sqref="M7:M18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A3F58"/>
    <outlinePr summaryBelow="1" summaryRight="1"/>
    <pageSetUpPr/>
  </sheetPr>
  <dimension ref="A1:Q3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2" t="inlineStr">
        <is>
          <t>Month by month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Your chosen order. Each column is one debt's balance at the end of the month.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62">
        <f>IF('My Debts'!$B$7="","",'My Debts'!$B$7)</f>
        <v/>
      </c>
      <c r="G4" s="63">
        <f>IF('My Debts'!$B$8="","",'My Debts'!$B$8)</f>
        <v/>
      </c>
      <c r="H4" s="63">
        <f>IF('My Debts'!$B$9="","",'My Debts'!$B$9)</f>
        <v/>
      </c>
      <c r="I4" s="63">
        <f>IF('My Debts'!$B$10="","",'My Debts'!$B$10)</f>
        <v/>
      </c>
      <c r="J4" s="63">
        <f>IF('My Debts'!$B$11="","",'My Debts'!$B$11)</f>
        <v/>
      </c>
      <c r="K4" s="63">
        <f>IF('My Debts'!$B$12="","",'My Debts'!$B$12)</f>
        <v/>
      </c>
      <c r="L4" s="63">
        <f>IF('My Debts'!$B$13="","",'My Debts'!$B$13)</f>
        <v/>
      </c>
      <c r="M4" s="63">
        <f>IF('My Debts'!$B$14="","",'My Debts'!$B$14)</f>
        <v/>
      </c>
      <c r="N4" s="63">
        <f>IF('My Debts'!$B$15="","",'My Debts'!$B$15)</f>
        <v/>
      </c>
      <c r="O4" s="63">
        <f>IF('My Debts'!$B$16="","",'My Debts'!$B$16)</f>
        <v/>
      </c>
      <c r="P4" s="63">
        <f>IF('My Debts'!$B$17="","",'My Debts'!$B$17)</f>
        <v/>
      </c>
      <c r="Q4" s="63">
        <f>IF('My Debts'!$B$18="","",'My Debts'!$B$18)</f>
        <v/>
      </c>
    </row>
    <row r="5" ht="30" customHeight="1">
      <c r="A5" s="1" t="n"/>
      <c r="B5" s="37" t="inlineStr">
        <is>
          <t>MONTH</t>
        </is>
      </c>
      <c r="C5" s="37" t="inlineStr">
        <is>
          <t>PAID THIS MONTH</t>
        </is>
      </c>
      <c r="D5" s="37" t="inlineStr">
        <is>
          <t>TOTAL LEFT</t>
        </is>
      </c>
      <c r="E5" s="37" t="inlineStr">
        <is>
          <t>DEBTS LEFT</t>
        </is>
      </c>
      <c r="F5" s="37" t="inlineStr">
        <is>
          <t>DEBT 1</t>
        </is>
      </c>
      <c r="G5" s="37" t="inlineStr">
        <is>
          <t>DEBT 2</t>
        </is>
      </c>
      <c r="H5" s="37" t="inlineStr">
        <is>
          <t>DEBT 3</t>
        </is>
      </c>
      <c r="I5" s="37" t="inlineStr">
        <is>
          <t>DEBT 4</t>
        </is>
      </c>
      <c r="J5" s="37" t="inlineStr">
        <is>
          <t>DEBT 5</t>
        </is>
      </c>
      <c r="K5" s="37" t="inlineStr">
        <is>
          <t>DEBT 6</t>
        </is>
      </c>
      <c r="L5" s="37" t="inlineStr">
        <is>
          <t>DEBT 7</t>
        </is>
      </c>
      <c r="M5" s="37" t="inlineStr">
        <is>
          <t>DEBT 8</t>
        </is>
      </c>
      <c r="N5" s="37" t="inlineStr">
        <is>
          <t>DEBT 9</t>
        </is>
      </c>
      <c r="O5" s="37" t="inlineStr">
        <is>
          <t>DEBT 10</t>
        </is>
      </c>
      <c r="P5" s="37" t="inlineStr">
        <is>
          <t>DEBT 11</t>
        </is>
      </c>
      <c r="Q5" s="37" t="inlineStr">
        <is>
          <t>DEBT 12</t>
        </is>
      </c>
    </row>
    <row r="6">
      <c r="A6" s="1" t="n"/>
      <c r="B6" s="64">
        <f>EDATE(Plan!$C$6,0)</f>
        <v/>
      </c>
      <c r="C6" s="31">
        <f>CHOOSE(Plan!$K$5,'Calc Smart'!AE12,'Calc Avalanche'!AE12,'Calc Snowball'!AE12,'Calc Cashflow'!AE12)</f>
        <v/>
      </c>
      <c r="D6" s="31">
        <f>CHOOSE(Plan!$K$5,'Calc Smart'!AD12,'Calc Avalanche'!AD12,'Calc Snowball'!AD12,'Calc Cashflow'!AD12)</f>
        <v/>
      </c>
      <c r="E6" s="40">
        <f>CHOOSE(Plan!$K$5,COUNTIF('Calc Smart'!C12:N12,"&gt;0"),COUNTIF('Calc Avalanche'!C12:N12,"&gt;0"),COUNTIF('Calc Snowball'!C12:N12,"&gt;0"),COUNTIF('Calc Cashflow'!C12:N12,"&gt;0"))</f>
        <v/>
      </c>
      <c r="F6" s="65">
        <f>CHOOSE(Plan!$K$5,'Calc Smart'!C12,'Calc Avalanche'!C12,'Calc Snowball'!C12,'Calc Cashflow'!C12)</f>
        <v/>
      </c>
      <c r="G6" s="65">
        <f>CHOOSE(Plan!$K$5,'Calc Smart'!D12,'Calc Avalanche'!D12,'Calc Snowball'!D12,'Calc Cashflow'!D12)</f>
        <v/>
      </c>
      <c r="H6" s="65">
        <f>CHOOSE(Plan!$K$5,'Calc Smart'!E12,'Calc Avalanche'!E12,'Calc Snowball'!E12,'Calc Cashflow'!E12)</f>
        <v/>
      </c>
      <c r="I6" s="65">
        <f>CHOOSE(Plan!$K$5,'Calc Smart'!F12,'Calc Avalanche'!F12,'Calc Snowball'!F12,'Calc Cashflow'!F12)</f>
        <v/>
      </c>
      <c r="J6" s="65">
        <f>CHOOSE(Plan!$K$5,'Calc Smart'!G12,'Calc Avalanche'!G12,'Calc Snowball'!G12,'Calc Cashflow'!G12)</f>
        <v/>
      </c>
      <c r="K6" s="65">
        <f>CHOOSE(Plan!$K$5,'Calc Smart'!H12,'Calc Avalanche'!H12,'Calc Snowball'!H12,'Calc Cashflow'!H12)</f>
        <v/>
      </c>
      <c r="L6" s="65">
        <f>CHOOSE(Plan!$K$5,'Calc Smart'!I12,'Calc Avalanche'!I12,'Calc Snowball'!I12,'Calc Cashflow'!I12)</f>
        <v/>
      </c>
      <c r="M6" s="65">
        <f>CHOOSE(Plan!$K$5,'Calc Smart'!J12,'Calc Avalanche'!J12,'Calc Snowball'!J12,'Calc Cashflow'!J12)</f>
        <v/>
      </c>
      <c r="N6" s="65">
        <f>CHOOSE(Plan!$K$5,'Calc Smart'!K12,'Calc Avalanche'!K12,'Calc Snowball'!K12,'Calc Cashflow'!K12)</f>
        <v/>
      </c>
      <c r="O6" s="65">
        <f>CHOOSE(Plan!$K$5,'Calc Smart'!L12,'Calc Avalanche'!L12,'Calc Snowball'!L12,'Calc Cashflow'!L12)</f>
        <v/>
      </c>
      <c r="P6" s="65">
        <f>CHOOSE(Plan!$K$5,'Calc Smart'!M12,'Calc Avalanche'!M12,'Calc Snowball'!M12,'Calc Cashflow'!M12)</f>
        <v/>
      </c>
      <c r="Q6" s="65">
        <f>CHOOSE(Plan!$K$5,'Calc Smart'!N12,'Calc Avalanche'!N12,'Calc Snowball'!N12,'Calc Cashflow'!N12)</f>
        <v/>
      </c>
    </row>
    <row r="7">
      <c r="A7" s="1" t="n"/>
      <c r="B7" s="66">
        <f>EDATE(Plan!$C$6,1)</f>
        <v/>
      </c>
      <c r="C7" s="32">
        <f>CHOOSE(Plan!$K$5,'Calc Smart'!AE13,'Calc Avalanche'!AE13,'Calc Snowball'!AE13,'Calc Cashflow'!AE13)</f>
        <v/>
      </c>
      <c r="D7" s="32">
        <f>CHOOSE(Plan!$K$5,'Calc Smart'!AD13,'Calc Avalanche'!AD13,'Calc Snowball'!AD13,'Calc Cashflow'!AD13)</f>
        <v/>
      </c>
      <c r="E7" s="43">
        <f>CHOOSE(Plan!$K$5,COUNTIF('Calc Smart'!C13:N13,"&gt;0"),COUNTIF('Calc Avalanche'!C13:N13,"&gt;0"),COUNTIF('Calc Snowball'!C13:N13,"&gt;0"),COUNTIF('Calc Cashflow'!C13:N13,"&gt;0"))</f>
        <v/>
      </c>
      <c r="F7" s="67">
        <f>CHOOSE(Plan!$K$5,'Calc Smart'!C13,'Calc Avalanche'!C13,'Calc Snowball'!C13,'Calc Cashflow'!C13)</f>
        <v/>
      </c>
      <c r="G7" s="67">
        <f>CHOOSE(Plan!$K$5,'Calc Smart'!D13,'Calc Avalanche'!D13,'Calc Snowball'!D13,'Calc Cashflow'!D13)</f>
        <v/>
      </c>
      <c r="H7" s="67">
        <f>CHOOSE(Plan!$K$5,'Calc Smart'!E13,'Calc Avalanche'!E13,'Calc Snowball'!E13,'Calc Cashflow'!E13)</f>
        <v/>
      </c>
      <c r="I7" s="67">
        <f>CHOOSE(Plan!$K$5,'Calc Smart'!F13,'Calc Avalanche'!F13,'Calc Snowball'!F13,'Calc Cashflow'!F13)</f>
        <v/>
      </c>
      <c r="J7" s="67">
        <f>CHOOSE(Plan!$K$5,'Calc Smart'!G13,'Calc Avalanche'!G13,'Calc Snowball'!G13,'Calc Cashflow'!G13)</f>
        <v/>
      </c>
      <c r="K7" s="67">
        <f>CHOOSE(Plan!$K$5,'Calc Smart'!H13,'Calc Avalanche'!H13,'Calc Snowball'!H13,'Calc Cashflow'!H13)</f>
        <v/>
      </c>
      <c r="L7" s="67">
        <f>CHOOSE(Plan!$K$5,'Calc Smart'!I13,'Calc Avalanche'!I13,'Calc Snowball'!I13,'Calc Cashflow'!I13)</f>
        <v/>
      </c>
      <c r="M7" s="67">
        <f>CHOOSE(Plan!$K$5,'Calc Smart'!J13,'Calc Avalanche'!J13,'Calc Snowball'!J13,'Calc Cashflow'!J13)</f>
        <v/>
      </c>
      <c r="N7" s="67">
        <f>CHOOSE(Plan!$K$5,'Calc Smart'!K13,'Calc Avalanche'!K13,'Calc Snowball'!K13,'Calc Cashflow'!K13)</f>
        <v/>
      </c>
      <c r="O7" s="67">
        <f>CHOOSE(Plan!$K$5,'Calc Smart'!L13,'Calc Avalanche'!L13,'Calc Snowball'!L13,'Calc Cashflow'!L13)</f>
        <v/>
      </c>
      <c r="P7" s="67">
        <f>CHOOSE(Plan!$K$5,'Calc Smart'!M13,'Calc Avalanche'!M13,'Calc Snowball'!M13,'Calc Cashflow'!M13)</f>
        <v/>
      </c>
      <c r="Q7" s="67">
        <f>CHOOSE(Plan!$K$5,'Calc Smart'!N13,'Calc Avalanche'!N13,'Calc Snowball'!N13,'Calc Cashflow'!N13)</f>
        <v/>
      </c>
    </row>
    <row r="8">
      <c r="A8" s="1" t="n"/>
      <c r="B8" s="64">
        <f>EDATE(Plan!$C$6,2)</f>
        <v/>
      </c>
      <c r="C8" s="31">
        <f>CHOOSE(Plan!$K$5,'Calc Smart'!AE14,'Calc Avalanche'!AE14,'Calc Snowball'!AE14,'Calc Cashflow'!AE14)</f>
        <v/>
      </c>
      <c r="D8" s="31">
        <f>CHOOSE(Plan!$K$5,'Calc Smart'!AD14,'Calc Avalanche'!AD14,'Calc Snowball'!AD14,'Calc Cashflow'!AD14)</f>
        <v/>
      </c>
      <c r="E8" s="40">
        <f>CHOOSE(Plan!$K$5,COUNTIF('Calc Smart'!C14:N14,"&gt;0"),COUNTIF('Calc Avalanche'!C14:N14,"&gt;0"),COUNTIF('Calc Snowball'!C14:N14,"&gt;0"),COUNTIF('Calc Cashflow'!C14:N14,"&gt;0"))</f>
        <v/>
      </c>
      <c r="F8" s="65">
        <f>CHOOSE(Plan!$K$5,'Calc Smart'!C14,'Calc Avalanche'!C14,'Calc Snowball'!C14,'Calc Cashflow'!C14)</f>
        <v/>
      </c>
      <c r="G8" s="65">
        <f>CHOOSE(Plan!$K$5,'Calc Smart'!D14,'Calc Avalanche'!D14,'Calc Snowball'!D14,'Calc Cashflow'!D14)</f>
        <v/>
      </c>
      <c r="H8" s="65">
        <f>CHOOSE(Plan!$K$5,'Calc Smart'!E14,'Calc Avalanche'!E14,'Calc Snowball'!E14,'Calc Cashflow'!E14)</f>
        <v/>
      </c>
      <c r="I8" s="65">
        <f>CHOOSE(Plan!$K$5,'Calc Smart'!F14,'Calc Avalanche'!F14,'Calc Snowball'!F14,'Calc Cashflow'!F14)</f>
        <v/>
      </c>
      <c r="J8" s="65">
        <f>CHOOSE(Plan!$K$5,'Calc Smart'!G14,'Calc Avalanche'!G14,'Calc Snowball'!G14,'Calc Cashflow'!G14)</f>
        <v/>
      </c>
      <c r="K8" s="65">
        <f>CHOOSE(Plan!$K$5,'Calc Smart'!H14,'Calc Avalanche'!H14,'Calc Snowball'!H14,'Calc Cashflow'!H14)</f>
        <v/>
      </c>
      <c r="L8" s="65">
        <f>CHOOSE(Plan!$K$5,'Calc Smart'!I14,'Calc Avalanche'!I14,'Calc Snowball'!I14,'Calc Cashflow'!I14)</f>
        <v/>
      </c>
      <c r="M8" s="65">
        <f>CHOOSE(Plan!$K$5,'Calc Smart'!J14,'Calc Avalanche'!J14,'Calc Snowball'!J14,'Calc Cashflow'!J14)</f>
        <v/>
      </c>
      <c r="N8" s="65">
        <f>CHOOSE(Plan!$K$5,'Calc Smart'!K14,'Calc Avalanche'!K14,'Calc Snowball'!K14,'Calc Cashflow'!K14)</f>
        <v/>
      </c>
      <c r="O8" s="65">
        <f>CHOOSE(Plan!$K$5,'Calc Smart'!L14,'Calc Avalanche'!L14,'Calc Snowball'!L14,'Calc Cashflow'!L14)</f>
        <v/>
      </c>
      <c r="P8" s="65">
        <f>CHOOSE(Plan!$K$5,'Calc Smart'!M14,'Calc Avalanche'!M14,'Calc Snowball'!M14,'Calc Cashflow'!M14)</f>
        <v/>
      </c>
      <c r="Q8" s="65">
        <f>CHOOSE(Plan!$K$5,'Calc Smart'!N14,'Calc Avalanche'!N14,'Calc Snowball'!N14,'Calc Cashflow'!N14)</f>
        <v/>
      </c>
    </row>
    <row r="9">
      <c r="B9" s="66">
        <f>EDATE(Plan!$C$6,3)</f>
        <v/>
      </c>
      <c r="C9" s="32">
        <f>CHOOSE(Plan!$K$5,'Calc Smart'!AE15,'Calc Avalanche'!AE15,'Calc Snowball'!AE15,'Calc Cashflow'!AE15)</f>
        <v/>
      </c>
      <c r="D9" s="32">
        <f>CHOOSE(Plan!$K$5,'Calc Smart'!AD15,'Calc Avalanche'!AD15,'Calc Snowball'!AD15,'Calc Cashflow'!AD15)</f>
        <v/>
      </c>
      <c r="E9" s="43">
        <f>CHOOSE(Plan!$K$5,COUNTIF('Calc Smart'!C15:N15,"&gt;0"),COUNTIF('Calc Avalanche'!C15:N15,"&gt;0"),COUNTIF('Calc Snowball'!C15:N15,"&gt;0"),COUNTIF('Calc Cashflow'!C15:N15,"&gt;0"))</f>
        <v/>
      </c>
      <c r="F9" s="67">
        <f>CHOOSE(Plan!$K$5,'Calc Smart'!C15,'Calc Avalanche'!C15,'Calc Snowball'!C15,'Calc Cashflow'!C15)</f>
        <v/>
      </c>
      <c r="G9" s="67">
        <f>CHOOSE(Plan!$K$5,'Calc Smart'!D15,'Calc Avalanche'!D15,'Calc Snowball'!D15,'Calc Cashflow'!D15)</f>
        <v/>
      </c>
      <c r="H9" s="67">
        <f>CHOOSE(Plan!$K$5,'Calc Smart'!E15,'Calc Avalanche'!E15,'Calc Snowball'!E15,'Calc Cashflow'!E15)</f>
        <v/>
      </c>
      <c r="I9" s="67">
        <f>CHOOSE(Plan!$K$5,'Calc Smart'!F15,'Calc Avalanche'!F15,'Calc Snowball'!F15,'Calc Cashflow'!F15)</f>
        <v/>
      </c>
      <c r="J9" s="67">
        <f>CHOOSE(Plan!$K$5,'Calc Smart'!G15,'Calc Avalanche'!G15,'Calc Snowball'!G15,'Calc Cashflow'!G15)</f>
        <v/>
      </c>
      <c r="K9" s="67">
        <f>CHOOSE(Plan!$K$5,'Calc Smart'!H15,'Calc Avalanche'!H15,'Calc Snowball'!H15,'Calc Cashflow'!H15)</f>
        <v/>
      </c>
      <c r="L9" s="67">
        <f>CHOOSE(Plan!$K$5,'Calc Smart'!I15,'Calc Avalanche'!I15,'Calc Snowball'!I15,'Calc Cashflow'!I15)</f>
        <v/>
      </c>
      <c r="M9" s="67">
        <f>CHOOSE(Plan!$K$5,'Calc Smart'!J15,'Calc Avalanche'!J15,'Calc Snowball'!J15,'Calc Cashflow'!J15)</f>
        <v/>
      </c>
      <c r="N9" s="67">
        <f>CHOOSE(Plan!$K$5,'Calc Smart'!K15,'Calc Avalanche'!K15,'Calc Snowball'!K15,'Calc Cashflow'!K15)</f>
        <v/>
      </c>
      <c r="O9" s="67">
        <f>CHOOSE(Plan!$K$5,'Calc Smart'!L15,'Calc Avalanche'!L15,'Calc Snowball'!L15,'Calc Cashflow'!L15)</f>
        <v/>
      </c>
      <c r="P9" s="67">
        <f>CHOOSE(Plan!$K$5,'Calc Smart'!M15,'Calc Avalanche'!M15,'Calc Snowball'!M15,'Calc Cashflow'!M15)</f>
        <v/>
      </c>
      <c r="Q9" s="67">
        <f>CHOOSE(Plan!$K$5,'Calc Smart'!N15,'Calc Avalanche'!N15,'Calc Snowball'!N15,'Calc Cashflow'!N15)</f>
        <v/>
      </c>
    </row>
    <row r="10">
      <c r="B10" s="64">
        <f>EDATE(Plan!$C$6,4)</f>
        <v/>
      </c>
      <c r="C10" s="31">
        <f>CHOOSE(Plan!$K$5,'Calc Smart'!AE16,'Calc Avalanche'!AE16,'Calc Snowball'!AE16,'Calc Cashflow'!AE16)</f>
        <v/>
      </c>
      <c r="D10" s="31">
        <f>CHOOSE(Plan!$K$5,'Calc Smart'!AD16,'Calc Avalanche'!AD16,'Calc Snowball'!AD16,'Calc Cashflow'!AD16)</f>
        <v/>
      </c>
      <c r="E10" s="40">
        <f>CHOOSE(Plan!$K$5,COUNTIF('Calc Smart'!C16:N16,"&gt;0"),COUNTIF('Calc Avalanche'!C16:N16,"&gt;0"),COUNTIF('Calc Snowball'!C16:N16,"&gt;0"),COUNTIF('Calc Cashflow'!C16:N16,"&gt;0"))</f>
        <v/>
      </c>
      <c r="F10" s="65">
        <f>CHOOSE(Plan!$K$5,'Calc Smart'!C16,'Calc Avalanche'!C16,'Calc Snowball'!C16,'Calc Cashflow'!C16)</f>
        <v/>
      </c>
      <c r="G10" s="65">
        <f>CHOOSE(Plan!$K$5,'Calc Smart'!D16,'Calc Avalanche'!D16,'Calc Snowball'!D16,'Calc Cashflow'!D16)</f>
        <v/>
      </c>
      <c r="H10" s="65">
        <f>CHOOSE(Plan!$K$5,'Calc Smart'!E16,'Calc Avalanche'!E16,'Calc Snowball'!E16,'Calc Cashflow'!E16)</f>
        <v/>
      </c>
      <c r="I10" s="65">
        <f>CHOOSE(Plan!$K$5,'Calc Smart'!F16,'Calc Avalanche'!F16,'Calc Snowball'!F16,'Calc Cashflow'!F16)</f>
        <v/>
      </c>
      <c r="J10" s="65">
        <f>CHOOSE(Plan!$K$5,'Calc Smart'!G16,'Calc Avalanche'!G16,'Calc Snowball'!G16,'Calc Cashflow'!G16)</f>
        <v/>
      </c>
      <c r="K10" s="65">
        <f>CHOOSE(Plan!$K$5,'Calc Smart'!H16,'Calc Avalanche'!H16,'Calc Snowball'!H16,'Calc Cashflow'!H16)</f>
        <v/>
      </c>
      <c r="L10" s="65">
        <f>CHOOSE(Plan!$K$5,'Calc Smart'!I16,'Calc Avalanche'!I16,'Calc Snowball'!I16,'Calc Cashflow'!I16)</f>
        <v/>
      </c>
      <c r="M10" s="65">
        <f>CHOOSE(Plan!$K$5,'Calc Smart'!J16,'Calc Avalanche'!J16,'Calc Snowball'!J16,'Calc Cashflow'!J16)</f>
        <v/>
      </c>
      <c r="N10" s="65">
        <f>CHOOSE(Plan!$K$5,'Calc Smart'!K16,'Calc Avalanche'!K16,'Calc Snowball'!K16,'Calc Cashflow'!K16)</f>
        <v/>
      </c>
      <c r="O10" s="65">
        <f>CHOOSE(Plan!$K$5,'Calc Smart'!L16,'Calc Avalanche'!L16,'Calc Snowball'!L16,'Calc Cashflow'!L16)</f>
        <v/>
      </c>
      <c r="P10" s="65">
        <f>CHOOSE(Plan!$K$5,'Calc Smart'!M16,'Calc Avalanche'!M16,'Calc Snowball'!M16,'Calc Cashflow'!M16)</f>
        <v/>
      </c>
      <c r="Q10" s="65">
        <f>CHOOSE(Plan!$K$5,'Calc Smart'!N16,'Calc Avalanche'!N16,'Calc Snowball'!N16,'Calc Cashflow'!N16)</f>
        <v/>
      </c>
    </row>
    <row r="11">
      <c r="B11" s="66">
        <f>EDATE(Plan!$C$6,5)</f>
        <v/>
      </c>
      <c r="C11" s="32">
        <f>CHOOSE(Plan!$K$5,'Calc Smart'!AE17,'Calc Avalanche'!AE17,'Calc Snowball'!AE17,'Calc Cashflow'!AE17)</f>
        <v/>
      </c>
      <c r="D11" s="32">
        <f>CHOOSE(Plan!$K$5,'Calc Smart'!AD17,'Calc Avalanche'!AD17,'Calc Snowball'!AD17,'Calc Cashflow'!AD17)</f>
        <v/>
      </c>
      <c r="E11" s="43">
        <f>CHOOSE(Plan!$K$5,COUNTIF('Calc Smart'!C17:N17,"&gt;0"),COUNTIF('Calc Avalanche'!C17:N17,"&gt;0"),COUNTIF('Calc Snowball'!C17:N17,"&gt;0"),COUNTIF('Calc Cashflow'!C17:N17,"&gt;0"))</f>
        <v/>
      </c>
      <c r="F11" s="67">
        <f>CHOOSE(Plan!$K$5,'Calc Smart'!C17,'Calc Avalanche'!C17,'Calc Snowball'!C17,'Calc Cashflow'!C17)</f>
        <v/>
      </c>
      <c r="G11" s="67">
        <f>CHOOSE(Plan!$K$5,'Calc Smart'!D17,'Calc Avalanche'!D17,'Calc Snowball'!D17,'Calc Cashflow'!D17)</f>
        <v/>
      </c>
      <c r="H11" s="67">
        <f>CHOOSE(Plan!$K$5,'Calc Smart'!E17,'Calc Avalanche'!E17,'Calc Snowball'!E17,'Calc Cashflow'!E17)</f>
        <v/>
      </c>
      <c r="I11" s="67">
        <f>CHOOSE(Plan!$K$5,'Calc Smart'!F17,'Calc Avalanche'!F17,'Calc Snowball'!F17,'Calc Cashflow'!F17)</f>
        <v/>
      </c>
      <c r="J11" s="67">
        <f>CHOOSE(Plan!$K$5,'Calc Smart'!G17,'Calc Avalanche'!G17,'Calc Snowball'!G17,'Calc Cashflow'!G17)</f>
        <v/>
      </c>
      <c r="K11" s="67">
        <f>CHOOSE(Plan!$K$5,'Calc Smart'!H17,'Calc Avalanche'!H17,'Calc Snowball'!H17,'Calc Cashflow'!H17)</f>
        <v/>
      </c>
      <c r="L11" s="67">
        <f>CHOOSE(Plan!$K$5,'Calc Smart'!I17,'Calc Avalanche'!I17,'Calc Snowball'!I17,'Calc Cashflow'!I17)</f>
        <v/>
      </c>
      <c r="M11" s="67">
        <f>CHOOSE(Plan!$K$5,'Calc Smart'!J17,'Calc Avalanche'!J17,'Calc Snowball'!J17,'Calc Cashflow'!J17)</f>
        <v/>
      </c>
      <c r="N11" s="67">
        <f>CHOOSE(Plan!$K$5,'Calc Smart'!K17,'Calc Avalanche'!K17,'Calc Snowball'!K17,'Calc Cashflow'!K17)</f>
        <v/>
      </c>
      <c r="O11" s="67">
        <f>CHOOSE(Plan!$K$5,'Calc Smart'!L17,'Calc Avalanche'!L17,'Calc Snowball'!L17,'Calc Cashflow'!L17)</f>
        <v/>
      </c>
      <c r="P11" s="67">
        <f>CHOOSE(Plan!$K$5,'Calc Smart'!M17,'Calc Avalanche'!M17,'Calc Snowball'!M17,'Calc Cashflow'!M17)</f>
        <v/>
      </c>
      <c r="Q11" s="67">
        <f>CHOOSE(Plan!$K$5,'Calc Smart'!N17,'Calc Avalanche'!N17,'Calc Snowball'!N17,'Calc Cashflow'!N17)</f>
        <v/>
      </c>
    </row>
    <row r="12">
      <c r="B12" s="64">
        <f>EDATE(Plan!$C$6,6)</f>
        <v/>
      </c>
      <c r="C12" s="31">
        <f>CHOOSE(Plan!$K$5,'Calc Smart'!AE18,'Calc Avalanche'!AE18,'Calc Snowball'!AE18,'Calc Cashflow'!AE18)</f>
        <v/>
      </c>
      <c r="D12" s="31">
        <f>CHOOSE(Plan!$K$5,'Calc Smart'!AD18,'Calc Avalanche'!AD18,'Calc Snowball'!AD18,'Calc Cashflow'!AD18)</f>
        <v/>
      </c>
      <c r="E12" s="40">
        <f>CHOOSE(Plan!$K$5,COUNTIF('Calc Smart'!C18:N18,"&gt;0"),COUNTIF('Calc Avalanche'!C18:N18,"&gt;0"),COUNTIF('Calc Snowball'!C18:N18,"&gt;0"),COUNTIF('Calc Cashflow'!C18:N18,"&gt;0"))</f>
        <v/>
      </c>
      <c r="F12" s="65">
        <f>CHOOSE(Plan!$K$5,'Calc Smart'!C18,'Calc Avalanche'!C18,'Calc Snowball'!C18,'Calc Cashflow'!C18)</f>
        <v/>
      </c>
      <c r="G12" s="65">
        <f>CHOOSE(Plan!$K$5,'Calc Smart'!D18,'Calc Avalanche'!D18,'Calc Snowball'!D18,'Calc Cashflow'!D18)</f>
        <v/>
      </c>
      <c r="H12" s="65">
        <f>CHOOSE(Plan!$K$5,'Calc Smart'!E18,'Calc Avalanche'!E18,'Calc Snowball'!E18,'Calc Cashflow'!E18)</f>
        <v/>
      </c>
      <c r="I12" s="65">
        <f>CHOOSE(Plan!$K$5,'Calc Smart'!F18,'Calc Avalanche'!F18,'Calc Snowball'!F18,'Calc Cashflow'!F18)</f>
        <v/>
      </c>
      <c r="J12" s="65">
        <f>CHOOSE(Plan!$K$5,'Calc Smart'!G18,'Calc Avalanche'!G18,'Calc Snowball'!G18,'Calc Cashflow'!G18)</f>
        <v/>
      </c>
      <c r="K12" s="65">
        <f>CHOOSE(Plan!$K$5,'Calc Smart'!H18,'Calc Avalanche'!H18,'Calc Snowball'!H18,'Calc Cashflow'!H18)</f>
        <v/>
      </c>
      <c r="L12" s="65">
        <f>CHOOSE(Plan!$K$5,'Calc Smart'!I18,'Calc Avalanche'!I18,'Calc Snowball'!I18,'Calc Cashflow'!I18)</f>
        <v/>
      </c>
      <c r="M12" s="65">
        <f>CHOOSE(Plan!$K$5,'Calc Smart'!J18,'Calc Avalanche'!J18,'Calc Snowball'!J18,'Calc Cashflow'!J18)</f>
        <v/>
      </c>
      <c r="N12" s="65">
        <f>CHOOSE(Plan!$K$5,'Calc Smart'!K18,'Calc Avalanche'!K18,'Calc Snowball'!K18,'Calc Cashflow'!K18)</f>
        <v/>
      </c>
      <c r="O12" s="65">
        <f>CHOOSE(Plan!$K$5,'Calc Smart'!L18,'Calc Avalanche'!L18,'Calc Snowball'!L18,'Calc Cashflow'!L18)</f>
        <v/>
      </c>
      <c r="P12" s="65">
        <f>CHOOSE(Plan!$K$5,'Calc Smart'!M18,'Calc Avalanche'!M18,'Calc Snowball'!M18,'Calc Cashflow'!M18)</f>
        <v/>
      </c>
      <c r="Q12" s="65">
        <f>CHOOSE(Plan!$K$5,'Calc Smart'!N18,'Calc Avalanche'!N18,'Calc Snowball'!N18,'Calc Cashflow'!N18)</f>
        <v/>
      </c>
    </row>
    <row r="13">
      <c r="B13" s="66">
        <f>EDATE(Plan!$C$6,7)</f>
        <v/>
      </c>
      <c r="C13" s="32">
        <f>CHOOSE(Plan!$K$5,'Calc Smart'!AE19,'Calc Avalanche'!AE19,'Calc Snowball'!AE19,'Calc Cashflow'!AE19)</f>
        <v/>
      </c>
      <c r="D13" s="32">
        <f>CHOOSE(Plan!$K$5,'Calc Smart'!AD19,'Calc Avalanche'!AD19,'Calc Snowball'!AD19,'Calc Cashflow'!AD19)</f>
        <v/>
      </c>
      <c r="E13" s="43">
        <f>CHOOSE(Plan!$K$5,COUNTIF('Calc Smart'!C19:N19,"&gt;0"),COUNTIF('Calc Avalanche'!C19:N19,"&gt;0"),COUNTIF('Calc Snowball'!C19:N19,"&gt;0"),COUNTIF('Calc Cashflow'!C19:N19,"&gt;0"))</f>
        <v/>
      </c>
      <c r="F13" s="67">
        <f>CHOOSE(Plan!$K$5,'Calc Smart'!C19,'Calc Avalanche'!C19,'Calc Snowball'!C19,'Calc Cashflow'!C19)</f>
        <v/>
      </c>
      <c r="G13" s="67">
        <f>CHOOSE(Plan!$K$5,'Calc Smart'!D19,'Calc Avalanche'!D19,'Calc Snowball'!D19,'Calc Cashflow'!D19)</f>
        <v/>
      </c>
      <c r="H13" s="67">
        <f>CHOOSE(Plan!$K$5,'Calc Smart'!E19,'Calc Avalanche'!E19,'Calc Snowball'!E19,'Calc Cashflow'!E19)</f>
        <v/>
      </c>
      <c r="I13" s="67">
        <f>CHOOSE(Plan!$K$5,'Calc Smart'!F19,'Calc Avalanche'!F19,'Calc Snowball'!F19,'Calc Cashflow'!F19)</f>
        <v/>
      </c>
      <c r="J13" s="67">
        <f>CHOOSE(Plan!$K$5,'Calc Smart'!G19,'Calc Avalanche'!G19,'Calc Snowball'!G19,'Calc Cashflow'!G19)</f>
        <v/>
      </c>
      <c r="K13" s="67">
        <f>CHOOSE(Plan!$K$5,'Calc Smart'!H19,'Calc Avalanche'!H19,'Calc Snowball'!H19,'Calc Cashflow'!H19)</f>
        <v/>
      </c>
      <c r="L13" s="67">
        <f>CHOOSE(Plan!$K$5,'Calc Smart'!I19,'Calc Avalanche'!I19,'Calc Snowball'!I19,'Calc Cashflow'!I19)</f>
        <v/>
      </c>
      <c r="M13" s="67">
        <f>CHOOSE(Plan!$K$5,'Calc Smart'!J19,'Calc Avalanche'!J19,'Calc Snowball'!J19,'Calc Cashflow'!J19)</f>
        <v/>
      </c>
      <c r="N13" s="67">
        <f>CHOOSE(Plan!$K$5,'Calc Smart'!K19,'Calc Avalanche'!K19,'Calc Snowball'!K19,'Calc Cashflow'!K19)</f>
        <v/>
      </c>
      <c r="O13" s="67">
        <f>CHOOSE(Plan!$K$5,'Calc Smart'!L19,'Calc Avalanche'!L19,'Calc Snowball'!L19,'Calc Cashflow'!L19)</f>
        <v/>
      </c>
      <c r="P13" s="67">
        <f>CHOOSE(Plan!$K$5,'Calc Smart'!M19,'Calc Avalanche'!M19,'Calc Snowball'!M19,'Calc Cashflow'!M19)</f>
        <v/>
      </c>
      <c r="Q13" s="67">
        <f>CHOOSE(Plan!$K$5,'Calc Smart'!N19,'Calc Avalanche'!N19,'Calc Snowball'!N19,'Calc Cashflow'!N19)</f>
        <v/>
      </c>
    </row>
    <row r="14">
      <c r="B14" s="64">
        <f>EDATE(Plan!$C$6,8)</f>
        <v/>
      </c>
      <c r="C14" s="31">
        <f>CHOOSE(Plan!$K$5,'Calc Smart'!AE20,'Calc Avalanche'!AE20,'Calc Snowball'!AE20,'Calc Cashflow'!AE20)</f>
        <v/>
      </c>
      <c r="D14" s="31">
        <f>CHOOSE(Plan!$K$5,'Calc Smart'!AD20,'Calc Avalanche'!AD20,'Calc Snowball'!AD20,'Calc Cashflow'!AD20)</f>
        <v/>
      </c>
      <c r="E14" s="40">
        <f>CHOOSE(Plan!$K$5,COUNTIF('Calc Smart'!C20:N20,"&gt;0"),COUNTIF('Calc Avalanche'!C20:N20,"&gt;0"),COUNTIF('Calc Snowball'!C20:N20,"&gt;0"),COUNTIF('Calc Cashflow'!C20:N20,"&gt;0"))</f>
        <v/>
      </c>
      <c r="F14" s="65">
        <f>CHOOSE(Plan!$K$5,'Calc Smart'!C20,'Calc Avalanche'!C20,'Calc Snowball'!C20,'Calc Cashflow'!C20)</f>
        <v/>
      </c>
      <c r="G14" s="65">
        <f>CHOOSE(Plan!$K$5,'Calc Smart'!D20,'Calc Avalanche'!D20,'Calc Snowball'!D20,'Calc Cashflow'!D20)</f>
        <v/>
      </c>
      <c r="H14" s="65">
        <f>CHOOSE(Plan!$K$5,'Calc Smart'!E20,'Calc Avalanche'!E20,'Calc Snowball'!E20,'Calc Cashflow'!E20)</f>
        <v/>
      </c>
      <c r="I14" s="65">
        <f>CHOOSE(Plan!$K$5,'Calc Smart'!F20,'Calc Avalanche'!F20,'Calc Snowball'!F20,'Calc Cashflow'!F20)</f>
        <v/>
      </c>
      <c r="J14" s="65">
        <f>CHOOSE(Plan!$K$5,'Calc Smart'!G20,'Calc Avalanche'!G20,'Calc Snowball'!G20,'Calc Cashflow'!G20)</f>
        <v/>
      </c>
      <c r="K14" s="65">
        <f>CHOOSE(Plan!$K$5,'Calc Smart'!H20,'Calc Avalanche'!H20,'Calc Snowball'!H20,'Calc Cashflow'!H20)</f>
        <v/>
      </c>
      <c r="L14" s="65">
        <f>CHOOSE(Plan!$K$5,'Calc Smart'!I20,'Calc Avalanche'!I20,'Calc Snowball'!I20,'Calc Cashflow'!I20)</f>
        <v/>
      </c>
      <c r="M14" s="65">
        <f>CHOOSE(Plan!$K$5,'Calc Smart'!J20,'Calc Avalanche'!J20,'Calc Snowball'!J20,'Calc Cashflow'!J20)</f>
        <v/>
      </c>
      <c r="N14" s="65">
        <f>CHOOSE(Plan!$K$5,'Calc Smart'!K20,'Calc Avalanche'!K20,'Calc Snowball'!K20,'Calc Cashflow'!K20)</f>
        <v/>
      </c>
      <c r="O14" s="65">
        <f>CHOOSE(Plan!$K$5,'Calc Smart'!L20,'Calc Avalanche'!L20,'Calc Snowball'!L20,'Calc Cashflow'!L20)</f>
        <v/>
      </c>
      <c r="P14" s="65">
        <f>CHOOSE(Plan!$K$5,'Calc Smart'!M20,'Calc Avalanche'!M20,'Calc Snowball'!M20,'Calc Cashflow'!M20)</f>
        <v/>
      </c>
      <c r="Q14" s="65">
        <f>CHOOSE(Plan!$K$5,'Calc Smart'!N20,'Calc Avalanche'!N20,'Calc Snowball'!N20,'Calc Cashflow'!N20)</f>
        <v/>
      </c>
    </row>
    <row r="15">
      <c r="B15" s="66">
        <f>EDATE(Plan!$C$6,9)</f>
        <v/>
      </c>
      <c r="C15" s="32">
        <f>CHOOSE(Plan!$K$5,'Calc Smart'!AE21,'Calc Avalanche'!AE21,'Calc Snowball'!AE21,'Calc Cashflow'!AE21)</f>
        <v/>
      </c>
      <c r="D15" s="32">
        <f>CHOOSE(Plan!$K$5,'Calc Smart'!AD21,'Calc Avalanche'!AD21,'Calc Snowball'!AD21,'Calc Cashflow'!AD21)</f>
        <v/>
      </c>
      <c r="E15" s="43">
        <f>CHOOSE(Plan!$K$5,COUNTIF('Calc Smart'!C21:N21,"&gt;0"),COUNTIF('Calc Avalanche'!C21:N21,"&gt;0"),COUNTIF('Calc Snowball'!C21:N21,"&gt;0"),COUNTIF('Calc Cashflow'!C21:N21,"&gt;0"))</f>
        <v/>
      </c>
      <c r="F15" s="67">
        <f>CHOOSE(Plan!$K$5,'Calc Smart'!C21,'Calc Avalanche'!C21,'Calc Snowball'!C21,'Calc Cashflow'!C21)</f>
        <v/>
      </c>
      <c r="G15" s="67">
        <f>CHOOSE(Plan!$K$5,'Calc Smart'!D21,'Calc Avalanche'!D21,'Calc Snowball'!D21,'Calc Cashflow'!D21)</f>
        <v/>
      </c>
      <c r="H15" s="67">
        <f>CHOOSE(Plan!$K$5,'Calc Smart'!E21,'Calc Avalanche'!E21,'Calc Snowball'!E21,'Calc Cashflow'!E21)</f>
        <v/>
      </c>
      <c r="I15" s="67">
        <f>CHOOSE(Plan!$K$5,'Calc Smart'!F21,'Calc Avalanche'!F21,'Calc Snowball'!F21,'Calc Cashflow'!F21)</f>
        <v/>
      </c>
      <c r="J15" s="67">
        <f>CHOOSE(Plan!$K$5,'Calc Smart'!G21,'Calc Avalanche'!G21,'Calc Snowball'!G21,'Calc Cashflow'!G21)</f>
        <v/>
      </c>
      <c r="K15" s="67">
        <f>CHOOSE(Plan!$K$5,'Calc Smart'!H21,'Calc Avalanche'!H21,'Calc Snowball'!H21,'Calc Cashflow'!H21)</f>
        <v/>
      </c>
      <c r="L15" s="67">
        <f>CHOOSE(Plan!$K$5,'Calc Smart'!I21,'Calc Avalanche'!I21,'Calc Snowball'!I21,'Calc Cashflow'!I21)</f>
        <v/>
      </c>
      <c r="M15" s="67">
        <f>CHOOSE(Plan!$K$5,'Calc Smart'!J21,'Calc Avalanche'!J21,'Calc Snowball'!J21,'Calc Cashflow'!J21)</f>
        <v/>
      </c>
      <c r="N15" s="67">
        <f>CHOOSE(Plan!$K$5,'Calc Smart'!K21,'Calc Avalanche'!K21,'Calc Snowball'!K21,'Calc Cashflow'!K21)</f>
        <v/>
      </c>
      <c r="O15" s="67">
        <f>CHOOSE(Plan!$K$5,'Calc Smart'!L21,'Calc Avalanche'!L21,'Calc Snowball'!L21,'Calc Cashflow'!L21)</f>
        <v/>
      </c>
      <c r="P15" s="67">
        <f>CHOOSE(Plan!$K$5,'Calc Smart'!M21,'Calc Avalanche'!M21,'Calc Snowball'!M21,'Calc Cashflow'!M21)</f>
        <v/>
      </c>
      <c r="Q15" s="67">
        <f>CHOOSE(Plan!$K$5,'Calc Smart'!N21,'Calc Avalanche'!N21,'Calc Snowball'!N21,'Calc Cashflow'!N21)</f>
        <v/>
      </c>
    </row>
    <row r="16">
      <c r="B16" s="64">
        <f>EDATE(Plan!$C$6,10)</f>
        <v/>
      </c>
      <c r="C16" s="31">
        <f>CHOOSE(Plan!$K$5,'Calc Smart'!AE22,'Calc Avalanche'!AE22,'Calc Snowball'!AE22,'Calc Cashflow'!AE22)</f>
        <v/>
      </c>
      <c r="D16" s="31">
        <f>CHOOSE(Plan!$K$5,'Calc Smart'!AD22,'Calc Avalanche'!AD22,'Calc Snowball'!AD22,'Calc Cashflow'!AD22)</f>
        <v/>
      </c>
      <c r="E16" s="40">
        <f>CHOOSE(Plan!$K$5,COUNTIF('Calc Smart'!C22:N22,"&gt;0"),COUNTIF('Calc Avalanche'!C22:N22,"&gt;0"),COUNTIF('Calc Snowball'!C22:N22,"&gt;0"),COUNTIF('Calc Cashflow'!C22:N22,"&gt;0"))</f>
        <v/>
      </c>
      <c r="F16" s="65">
        <f>CHOOSE(Plan!$K$5,'Calc Smart'!C22,'Calc Avalanche'!C22,'Calc Snowball'!C22,'Calc Cashflow'!C22)</f>
        <v/>
      </c>
      <c r="G16" s="65">
        <f>CHOOSE(Plan!$K$5,'Calc Smart'!D22,'Calc Avalanche'!D22,'Calc Snowball'!D22,'Calc Cashflow'!D22)</f>
        <v/>
      </c>
      <c r="H16" s="65">
        <f>CHOOSE(Plan!$K$5,'Calc Smart'!E22,'Calc Avalanche'!E22,'Calc Snowball'!E22,'Calc Cashflow'!E22)</f>
        <v/>
      </c>
      <c r="I16" s="65">
        <f>CHOOSE(Plan!$K$5,'Calc Smart'!F22,'Calc Avalanche'!F22,'Calc Snowball'!F22,'Calc Cashflow'!F22)</f>
        <v/>
      </c>
      <c r="J16" s="65">
        <f>CHOOSE(Plan!$K$5,'Calc Smart'!G22,'Calc Avalanche'!G22,'Calc Snowball'!G22,'Calc Cashflow'!G22)</f>
        <v/>
      </c>
      <c r="K16" s="65">
        <f>CHOOSE(Plan!$K$5,'Calc Smart'!H22,'Calc Avalanche'!H22,'Calc Snowball'!H22,'Calc Cashflow'!H22)</f>
        <v/>
      </c>
      <c r="L16" s="65">
        <f>CHOOSE(Plan!$K$5,'Calc Smart'!I22,'Calc Avalanche'!I22,'Calc Snowball'!I22,'Calc Cashflow'!I22)</f>
        <v/>
      </c>
      <c r="M16" s="65">
        <f>CHOOSE(Plan!$K$5,'Calc Smart'!J22,'Calc Avalanche'!J22,'Calc Snowball'!J22,'Calc Cashflow'!J22)</f>
        <v/>
      </c>
      <c r="N16" s="65">
        <f>CHOOSE(Plan!$K$5,'Calc Smart'!K22,'Calc Avalanche'!K22,'Calc Snowball'!K22,'Calc Cashflow'!K22)</f>
        <v/>
      </c>
      <c r="O16" s="65">
        <f>CHOOSE(Plan!$K$5,'Calc Smart'!L22,'Calc Avalanche'!L22,'Calc Snowball'!L22,'Calc Cashflow'!L22)</f>
        <v/>
      </c>
      <c r="P16" s="65">
        <f>CHOOSE(Plan!$K$5,'Calc Smart'!M22,'Calc Avalanche'!M22,'Calc Snowball'!M22,'Calc Cashflow'!M22)</f>
        <v/>
      </c>
      <c r="Q16" s="65">
        <f>CHOOSE(Plan!$K$5,'Calc Smart'!N22,'Calc Avalanche'!N22,'Calc Snowball'!N22,'Calc Cashflow'!N22)</f>
        <v/>
      </c>
    </row>
    <row r="17">
      <c r="B17" s="66">
        <f>EDATE(Plan!$C$6,11)</f>
        <v/>
      </c>
      <c r="C17" s="32">
        <f>CHOOSE(Plan!$K$5,'Calc Smart'!AE23,'Calc Avalanche'!AE23,'Calc Snowball'!AE23,'Calc Cashflow'!AE23)</f>
        <v/>
      </c>
      <c r="D17" s="32">
        <f>CHOOSE(Plan!$K$5,'Calc Smart'!AD23,'Calc Avalanche'!AD23,'Calc Snowball'!AD23,'Calc Cashflow'!AD23)</f>
        <v/>
      </c>
      <c r="E17" s="43">
        <f>CHOOSE(Plan!$K$5,COUNTIF('Calc Smart'!C23:N23,"&gt;0"),COUNTIF('Calc Avalanche'!C23:N23,"&gt;0"),COUNTIF('Calc Snowball'!C23:N23,"&gt;0"),COUNTIF('Calc Cashflow'!C23:N23,"&gt;0"))</f>
        <v/>
      </c>
      <c r="F17" s="67">
        <f>CHOOSE(Plan!$K$5,'Calc Smart'!C23,'Calc Avalanche'!C23,'Calc Snowball'!C23,'Calc Cashflow'!C23)</f>
        <v/>
      </c>
      <c r="G17" s="67">
        <f>CHOOSE(Plan!$K$5,'Calc Smart'!D23,'Calc Avalanche'!D23,'Calc Snowball'!D23,'Calc Cashflow'!D23)</f>
        <v/>
      </c>
      <c r="H17" s="67">
        <f>CHOOSE(Plan!$K$5,'Calc Smart'!E23,'Calc Avalanche'!E23,'Calc Snowball'!E23,'Calc Cashflow'!E23)</f>
        <v/>
      </c>
      <c r="I17" s="67">
        <f>CHOOSE(Plan!$K$5,'Calc Smart'!F23,'Calc Avalanche'!F23,'Calc Snowball'!F23,'Calc Cashflow'!F23)</f>
        <v/>
      </c>
      <c r="J17" s="67">
        <f>CHOOSE(Plan!$K$5,'Calc Smart'!G23,'Calc Avalanche'!G23,'Calc Snowball'!G23,'Calc Cashflow'!G23)</f>
        <v/>
      </c>
      <c r="K17" s="67">
        <f>CHOOSE(Plan!$K$5,'Calc Smart'!H23,'Calc Avalanche'!H23,'Calc Snowball'!H23,'Calc Cashflow'!H23)</f>
        <v/>
      </c>
      <c r="L17" s="67">
        <f>CHOOSE(Plan!$K$5,'Calc Smart'!I23,'Calc Avalanche'!I23,'Calc Snowball'!I23,'Calc Cashflow'!I23)</f>
        <v/>
      </c>
      <c r="M17" s="67">
        <f>CHOOSE(Plan!$K$5,'Calc Smart'!J23,'Calc Avalanche'!J23,'Calc Snowball'!J23,'Calc Cashflow'!J23)</f>
        <v/>
      </c>
      <c r="N17" s="67">
        <f>CHOOSE(Plan!$K$5,'Calc Smart'!K23,'Calc Avalanche'!K23,'Calc Snowball'!K23,'Calc Cashflow'!K23)</f>
        <v/>
      </c>
      <c r="O17" s="67">
        <f>CHOOSE(Plan!$K$5,'Calc Smart'!L23,'Calc Avalanche'!L23,'Calc Snowball'!L23,'Calc Cashflow'!L23)</f>
        <v/>
      </c>
      <c r="P17" s="67">
        <f>CHOOSE(Plan!$K$5,'Calc Smart'!M23,'Calc Avalanche'!M23,'Calc Snowball'!M23,'Calc Cashflow'!M23)</f>
        <v/>
      </c>
      <c r="Q17" s="67">
        <f>CHOOSE(Plan!$K$5,'Calc Smart'!N23,'Calc Avalanche'!N23,'Calc Snowball'!N23,'Calc Cashflow'!N23)</f>
        <v/>
      </c>
    </row>
    <row r="18">
      <c r="B18" s="64">
        <f>EDATE(Plan!$C$6,12)</f>
        <v/>
      </c>
      <c r="C18" s="31">
        <f>CHOOSE(Plan!$K$5,'Calc Smart'!AE24,'Calc Avalanche'!AE24,'Calc Snowball'!AE24,'Calc Cashflow'!AE24)</f>
        <v/>
      </c>
      <c r="D18" s="31">
        <f>CHOOSE(Plan!$K$5,'Calc Smart'!AD24,'Calc Avalanche'!AD24,'Calc Snowball'!AD24,'Calc Cashflow'!AD24)</f>
        <v/>
      </c>
      <c r="E18" s="40">
        <f>CHOOSE(Plan!$K$5,COUNTIF('Calc Smart'!C24:N24,"&gt;0"),COUNTIF('Calc Avalanche'!C24:N24,"&gt;0"),COUNTIF('Calc Snowball'!C24:N24,"&gt;0"),COUNTIF('Calc Cashflow'!C24:N24,"&gt;0"))</f>
        <v/>
      </c>
      <c r="F18" s="65">
        <f>CHOOSE(Plan!$K$5,'Calc Smart'!C24,'Calc Avalanche'!C24,'Calc Snowball'!C24,'Calc Cashflow'!C24)</f>
        <v/>
      </c>
      <c r="G18" s="65">
        <f>CHOOSE(Plan!$K$5,'Calc Smart'!D24,'Calc Avalanche'!D24,'Calc Snowball'!D24,'Calc Cashflow'!D24)</f>
        <v/>
      </c>
      <c r="H18" s="65">
        <f>CHOOSE(Plan!$K$5,'Calc Smart'!E24,'Calc Avalanche'!E24,'Calc Snowball'!E24,'Calc Cashflow'!E24)</f>
        <v/>
      </c>
      <c r="I18" s="65">
        <f>CHOOSE(Plan!$K$5,'Calc Smart'!F24,'Calc Avalanche'!F24,'Calc Snowball'!F24,'Calc Cashflow'!F24)</f>
        <v/>
      </c>
      <c r="J18" s="65">
        <f>CHOOSE(Plan!$K$5,'Calc Smart'!G24,'Calc Avalanche'!G24,'Calc Snowball'!G24,'Calc Cashflow'!G24)</f>
        <v/>
      </c>
      <c r="K18" s="65">
        <f>CHOOSE(Plan!$K$5,'Calc Smart'!H24,'Calc Avalanche'!H24,'Calc Snowball'!H24,'Calc Cashflow'!H24)</f>
        <v/>
      </c>
      <c r="L18" s="65">
        <f>CHOOSE(Plan!$K$5,'Calc Smart'!I24,'Calc Avalanche'!I24,'Calc Snowball'!I24,'Calc Cashflow'!I24)</f>
        <v/>
      </c>
      <c r="M18" s="65">
        <f>CHOOSE(Plan!$K$5,'Calc Smart'!J24,'Calc Avalanche'!J24,'Calc Snowball'!J24,'Calc Cashflow'!J24)</f>
        <v/>
      </c>
      <c r="N18" s="65">
        <f>CHOOSE(Plan!$K$5,'Calc Smart'!K24,'Calc Avalanche'!K24,'Calc Snowball'!K24,'Calc Cashflow'!K24)</f>
        <v/>
      </c>
      <c r="O18" s="65">
        <f>CHOOSE(Plan!$K$5,'Calc Smart'!L24,'Calc Avalanche'!L24,'Calc Snowball'!L24,'Calc Cashflow'!L24)</f>
        <v/>
      </c>
      <c r="P18" s="65">
        <f>CHOOSE(Plan!$K$5,'Calc Smart'!M24,'Calc Avalanche'!M24,'Calc Snowball'!M24,'Calc Cashflow'!M24)</f>
        <v/>
      </c>
      <c r="Q18" s="65">
        <f>CHOOSE(Plan!$K$5,'Calc Smart'!N24,'Calc Avalanche'!N24,'Calc Snowball'!N24,'Calc Cashflow'!N24)</f>
        <v/>
      </c>
    </row>
    <row r="19">
      <c r="B19" s="66">
        <f>EDATE(Plan!$C$6,13)</f>
        <v/>
      </c>
      <c r="C19" s="32">
        <f>CHOOSE(Plan!$K$5,'Calc Smart'!AE25,'Calc Avalanche'!AE25,'Calc Snowball'!AE25,'Calc Cashflow'!AE25)</f>
        <v/>
      </c>
      <c r="D19" s="32">
        <f>CHOOSE(Plan!$K$5,'Calc Smart'!AD25,'Calc Avalanche'!AD25,'Calc Snowball'!AD25,'Calc Cashflow'!AD25)</f>
        <v/>
      </c>
      <c r="E19" s="43">
        <f>CHOOSE(Plan!$K$5,COUNTIF('Calc Smart'!C25:N25,"&gt;0"),COUNTIF('Calc Avalanche'!C25:N25,"&gt;0"),COUNTIF('Calc Snowball'!C25:N25,"&gt;0"),COUNTIF('Calc Cashflow'!C25:N25,"&gt;0"))</f>
        <v/>
      </c>
      <c r="F19" s="67">
        <f>CHOOSE(Plan!$K$5,'Calc Smart'!C25,'Calc Avalanche'!C25,'Calc Snowball'!C25,'Calc Cashflow'!C25)</f>
        <v/>
      </c>
      <c r="G19" s="67">
        <f>CHOOSE(Plan!$K$5,'Calc Smart'!D25,'Calc Avalanche'!D25,'Calc Snowball'!D25,'Calc Cashflow'!D25)</f>
        <v/>
      </c>
      <c r="H19" s="67">
        <f>CHOOSE(Plan!$K$5,'Calc Smart'!E25,'Calc Avalanche'!E25,'Calc Snowball'!E25,'Calc Cashflow'!E25)</f>
        <v/>
      </c>
      <c r="I19" s="67">
        <f>CHOOSE(Plan!$K$5,'Calc Smart'!F25,'Calc Avalanche'!F25,'Calc Snowball'!F25,'Calc Cashflow'!F25)</f>
        <v/>
      </c>
      <c r="J19" s="67">
        <f>CHOOSE(Plan!$K$5,'Calc Smart'!G25,'Calc Avalanche'!G25,'Calc Snowball'!G25,'Calc Cashflow'!G25)</f>
        <v/>
      </c>
      <c r="K19" s="67">
        <f>CHOOSE(Plan!$K$5,'Calc Smart'!H25,'Calc Avalanche'!H25,'Calc Snowball'!H25,'Calc Cashflow'!H25)</f>
        <v/>
      </c>
      <c r="L19" s="67">
        <f>CHOOSE(Plan!$K$5,'Calc Smart'!I25,'Calc Avalanche'!I25,'Calc Snowball'!I25,'Calc Cashflow'!I25)</f>
        <v/>
      </c>
      <c r="M19" s="67">
        <f>CHOOSE(Plan!$K$5,'Calc Smart'!J25,'Calc Avalanche'!J25,'Calc Snowball'!J25,'Calc Cashflow'!J25)</f>
        <v/>
      </c>
      <c r="N19" s="67">
        <f>CHOOSE(Plan!$K$5,'Calc Smart'!K25,'Calc Avalanche'!K25,'Calc Snowball'!K25,'Calc Cashflow'!K25)</f>
        <v/>
      </c>
      <c r="O19" s="67">
        <f>CHOOSE(Plan!$K$5,'Calc Smart'!L25,'Calc Avalanche'!L25,'Calc Snowball'!L25,'Calc Cashflow'!L25)</f>
        <v/>
      </c>
      <c r="P19" s="67">
        <f>CHOOSE(Plan!$K$5,'Calc Smart'!M25,'Calc Avalanche'!M25,'Calc Snowball'!M25,'Calc Cashflow'!M25)</f>
        <v/>
      </c>
      <c r="Q19" s="67">
        <f>CHOOSE(Plan!$K$5,'Calc Smart'!N25,'Calc Avalanche'!N25,'Calc Snowball'!N25,'Calc Cashflow'!N25)</f>
        <v/>
      </c>
    </row>
    <row r="20">
      <c r="B20" s="64">
        <f>EDATE(Plan!$C$6,14)</f>
        <v/>
      </c>
      <c r="C20" s="31">
        <f>CHOOSE(Plan!$K$5,'Calc Smart'!AE26,'Calc Avalanche'!AE26,'Calc Snowball'!AE26,'Calc Cashflow'!AE26)</f>
        <v/>
      </c>
      <c r="D20" s="31">
        <f>CHOOSE(Plan!$K$5,'Calc Smart'!AD26,'Calc Avalanche'!AD26,'Calc Snowball'!AD26,'Calc Cashflow'!AD26)</f>
        <v/>
      </c>
      <c r="E20" s="40">
        <f>CHOOSE(Plan!$K$5,COUNTIF('Calc Smart'!C26:N26,"&gt;0"),COUNTIF('Calc Avalanche'!C26:N26,"&gt;0"),COUNTIF('Calc Snowball'!C26:N26,"&gt;0"),COUNTIF('Calc Cashflow'!C26:N26,"&gt;0"))</f>
        <v/>
      </c>
      <c r="F20" s="65">
        <f>CHOOSE(Plan!$K$5,'Calc Smart'!C26,'Calc Avalanche'!C26,'Calc Snowball'!C26,'Calc Cashflow'!C26)</f>
        <v/>
      </c>
      <c r="G20" s="65">
        <f>CHOOSE(Plan!$K$5,'Calc Smart'!D26,'Calc Avalanche'!D26,'Calc Snowball'!D26,'Calc Cashflow'!D26)</f>
        <v/>
      </c>
      <c r="H20" s="65">
        <f>CHOOSE(Plan!$K$5,'Calc Smart'!E26,'Calc Avalanche'!E26,'Calc Snowball'!E26,'Calc Cashflow'!E26)</f>
        <v/>
      </c>
      <c r="I20" s="65">
        <f>CHOOSE(Plan!$K$5,'Calc Smart'!F26,'Calc Avalanche'!F26,'Calc Snowball'!F26,'Calc Cashflow'!F26)</f>
        <v/>
      </c>
      <c r="J20" s="65">
        <f>CHOOSE(Plan!$K$5,'Calc Smart'!G26,'Calc Avalanche'!G26,'Calc Snowball'!G26,'Calc Cashflow'!G26)</f>
        <v/>
      </c>
      <c r="K20" s="65">
        <f>CHOOSE(Plan!$K$5,'Calc Smart'!H26,'Calc Avalanche'!H26,'Calc Snowball'!H26,'Calc Cashflow'!H26)</f>
        <v/>
      </c>
      <c r="L20" s="65">
        <f>CHOOSE(Plan!$K$5,'Calc Smart'!I26,'Calc Avalanche'!I26,'Calc Snowball'!I26,'Calc Cashflow'!I26)</f>
        <v/>
      </c>
      <c r="M20" s="65">
        <f>CHOOSE(Plan!$K$5,'Calc Smart'!J26,'Calc Avalanche'!J26,'Calc Snowball'!J26,'Calc Cashflow'!J26)</f>
        <v/>
      </c>
      <c r="N20" s="65">
        <f>CHOOSE(Plan!$K$5,'Calc Smart'!K26,'Calc Avalanche'!K26,'Calc Snowball'!K26,'Calc Cashflow'!K26)</f>
        <v/>
      </c>
      <c r="O20" s="65">
        <f>CHOOSE(Plan!$K$5,'Calc Smart'!L26,'Calc Avalanche'!L26,'Calc Snowball'!L26,'Calc Cashflow'!L26)</f>
        <v/>
      </c>
      <c r="P20" s="65">
        <f>CHOOSE(Plan!$K$5,'Calc Smart'!M26,'Calc Avalanche'!M26,'Calc Snowball'!M26,'Calc Cashflow'!M26)</f>
        <v/>
      </c>
      <c r="Q20" s="65">
        <f>CHOOSE(Plan!$K$5,'Calc Smart'!N26,'Calc Avalanche'!N26,'Calc Snowball'!N26,'Calc Cashflow'!N26)</f>
        <v/>
      </c>
    </row>
    <row r="21">
      <c r="B21" s="66">
        <f>EDATE(Plan!$C$6,15)</f>
        <v/>
      </c>
      <c r="C21" s="32">
        <f>CHOOSE(Plan!$K$5,'Calc Smart'!AE27,'Calc Avalanche'!AE27,'Calc Snowball'!AE27,'Calc Cashflow'!AE27)</f>
        <v/>
      </c>
      <c r="D21" s="32">
        <f>CHOOSE(Plan!$K$5,'Calc Smart'!AD27,'Calc Avalanche'!AD27,'Calc Snowball'!AD27,'Calc Cashflow'!AD27)</f>
        <v/>
      </c>
      <c r="E21" s="43">
        <f>CHOOSE(Plan!$K$5,COUNTIF('Calc Smart'!C27:N27,"&gt;0"),COUNTIF('Calc Avalanche'!C27:N27,"&gt;0"),COUNTIF('Calc Snowball'!C27:N27,"&gt;0"),COUNTIF('Calc Cashflow'!C27:N27,"&gt;0"))</f>
        <v/>
      </c>
      <c r="F21" s="67">
        <f>CHOOSE(Plan!$K$5,'Calc Smart'!C27,'Calc Avalanche'!C27,'Calc Snowball'!C27,'Calc Cashflow'!C27)</f>
        <v/>
      </c>
      <c r="G21" s="67">
        <f>CHOOSE(Plan!$K$5,'Calc Smart'!D27,'Calc Avalanche'!D27,'Calc Snowball'!D27,'Calc Cashflow'!D27)</f>
        <v/>
      </c>
      <c r="H21" s="67">
        <f>CHOOSE(Plan!$K$5,'Calc Smart'!E27,'Calc Avalanche'!E27,'Calc Snowball'!E27,'Calc Cashflow'!E27)</f>
        <v/>
      </c>
      <c r="I21" s="67">
        <f>CHOOSE(Plan!$K$5,'Calc Smart'!F27,'Calc Avalanche'!F27,'Calc Snowball'!F27,'Calc Cashflow'!F27)</f>
        <v/>
      </c>
      <c r="J21" s="67">
        <f>CHOOSE(Plan!$K$5,'Calc Smart'!G27,'Calc Avalanche'!G27,'Calc Snowball'!G27,'Calc Cashflow'!G27)</f>
        <v/>
      </c>
      <c r="K21" s="67">
        <f>CHOOSE(Plan!$K$5,'Calc Smart'!H27,'Calc Avalanche'!H27,'Calc Snowball'!H27,'Calc Cashflow'!H27)</f>
        <v/>
      </c>
      <c r="L21" s="67">
        <f>CHOOSE(Plan!$K$5,'Calc Smart'!I27,'Calc Avalanche'!I27,'Calc Snowball'!I27,'Calc Cashflow'!I27)</f>
        <v/>
      </c>
      <c r="M21" s="67">
        <f>CHOOSE(Plan!$K$5,'Calc Smart'!J27,'Calc Avalanche'!J27,'Calc Snowball'!J27,'Calc Cashflow'!J27)</f>
        <v/>
      </c>
      <c r="N21" s="67">
        <f>CHOOSE(Plan!$K$5,'Calc Smart'!K27,'Calc Avalanche'!K27,'Calc Snowball'!K27,'Calc Cashflow'!K27)</f>
        <v/>
      </c>
      <c r="O21" s="67">
        <f>CHOOSE(Plan!$K$5,'Calc Smart'!L27,'Calc Avalanche'!L27,'Calc Snowball'!L27,'Calc Cashflow'!L27)</f>
        <v/>
      </c>
      <c r="P21" s="67">
        <f>CHOOSE(Plan!$K$5,'Calc Smart'!M27,'Calc Avalanche'!M27,'Calc Snowball'!M27,'Calc Cashflow'!M27)</f>
        <v/>
      </c>
      <c r="Q21" s="67">
        <f>CHOOSE(Plan!$K$5,'Calc Smart'!N27,'Calc Avalanche'!N27,'Calc Snowball'!N27,'Calc Cashflow'!N27)</f>
        <v/>
      </c>
    </row>
    <row r="22">
      <c r="B22" s="64">
        <f>EDATE(Plan!$C$6,16)</f>
        <v/>
      </c>
      <c r="C22" s="31">
        <f>CHOOSE(Plan!$K$5,'Calc Smart'!AE28,'Calc Avalanche'!AE28,'Calc Snowball'!AE28,'Calc Cashflow'!AE28)</f>
        <v/>
      </c>
      <c r="D22" s="31">
        <f>CHOOSE(Plan!$K$5,'Calc Smart'!AD28,'Calc Avalanche'!AD28,'Calc Snowball'!AD28,'Calc Cashflow'!AD28)</f>
        <v/>
      </c>
      <c r="E22" s="40">
        <f>CHOOSE(Plan!$K$5,COUNTIF('Calc Smart'!C28:N28,"&gt;0"),COUNTIF('Calc Avalanche'!C28:N28,"&gt;0"),COUNTIF('Calc Snowball'!C28:N28,"&gt;0"),COUNTIF('Calc Cashflow'!C28:N28,"&gt;0"))</f>
        <v/>
      </c>
      <c r="F22" s="65">
        <f>CHOOSE(Plan!$K$5,'Calc Smart'!C28,'Calc Avalanche'!C28,'Calc Snowball'!C28,'Calc Cashflow'!C28)</f>
        <v/>
      </c>
      <c r="G22" s="65">
        <f>CHOOSE(Plan!$K$5,'Calc Smart'!D28,'Calc Avalanche'!D28,'Calc Snowball'!D28,'Calc Cashflow'!D28)</f>
        <v/>
      </c>
      <c r="H22" s="65">
        <f>CHOOSE(Plan!$K$5,'Calc Smart'!E28,'Calc Avalanche'!E28,'Calc Snowball'!E28,'Calc Cashflow'!E28)</f>
        <v/>
      </c>
      <c r="I22" s="65">
        <f>CHOOSE(Plan!$K$5,'Calc Smart'!F28,'Calc Avalanche'!F28,'Calc Snowball'!F28,'Calc Cashflow'!F28)</f>
        <v/>
      </c>
      <c r="J22" s="65">
        <f>CHOOSE(Plan!$K$5,'Calc Smart'!G28,'Calc Avalanche'!G28,'Calc Snowball'!G28,'Calc Cashflow'!G28)</f>
        <v/>
      </c>
      <c r="K22" s="65">
        <f>CHOOSE(Plan!$K$5,'Calc Smart'!H28,'Calc Avalanche'!H28,'Calc Snowball'!H28,'Calc Cashflow'!H28)</f>
        <v/>
      </c>
      <c r="L22" s="65">
        <f>CHOOSE(Plan!$K$5,'Calc Smart'!I28,'Calc Avalanche'!I28,'Calc Snowball'!I28,'Calc Cashflow'!I28)</f>
        <v/>
      </c>
      <c r="M22" s="65">
        <f>CHOOSE(Plan!$K$5,'Calc Smart'!J28,'Calc Avalanche'!J28,'Calc Snowball'!J28,'Calc Cashflow'!J28)</f>
        <v/>
      </c>
      <c r="N22" s="65">
        <f>CHOOSE(Plan!$K$5,'Calc Smart'!K28,'Calc Avalanche'!K28,'Calc Snowball'!K28,'Calc Cashflow'!K28)</f>
        <v/>
      </c>
      <c r="O22" s="65">
        <f>CHOOSE(Plan!$K$5,'Calc Smart'!L28,'Calc Avalanche'!L28,'Calc Snowball'!L28,'Calc Cashflow'!L28)</f>
        <v/>
      </c>
      <c r="P22" s="65">
        <f>CHOOSE(Plan!$K$5,'Calc Smart'!M28,'Calc Avalanche'!M28,'Calc Snowball'!M28,'Calc Cashflow'!M28)</f>
        <v/>
      </c>
      <c r="Q22" s="65">
        <f>CHOOSE(Plan!$K$5,'Calc Smart'!N28,'Calc Avalanche'!N28,'Calc Snowball'!N28,'Calc Cashflow'!N28)</f>
        <v/>
      </c>
    </row>
    <row r="23">
      <c r="B23" s="66">
        <f>EDATE(Plan!$C$6,17)</f>
        <v/>
      </c>
      <c r="C23" s="32">
        <f>CHOOSE(Plan!$K$5,'Calc Smart'!AE29,'Calc Avalanche'!AE29,'Calc Snowball'!AE29,'Calc Cashflow'!AE29)</f>
        <v/>
      </c>
      <c r="D23" s="32">
        <f>CHOOSE(Plan!$K$5,'Calc Smart'!AD29,'Calc Avalanche'!AD29,'Calc Snowball'!AD29,'Calc Cashflow'!AD29)</f>
        <v/>
      </c>
      <c r="E23" s="43">
        <f>CHOOSE(Plan!$K$5,COUNTIF('Calc Smart'!C29:N29,"&gt;0"),COUNTIF('Calc Avalanche'!C29:N29,"&gt;0"),COUNTIF('Calc Snowball'!C29:N29,"&gt;0"),COUNTIF('Calc Cashflow'!C29:N29,"&gt;0"))</f>
        <v/>
      </c>
      <c r="F23" s="67">
        <f>CHOOSE(Plan!$K$5,'Calc Smart'!C29,'Calc Avalanche'!C29,'Calc Snowball'!C29,'Calc Cashflow'!C29)</f>
        <v/>
      </c>
      <c r="G23" s="67">
        <f>CHOOSE(Plan!$K$5,'Calc Smart'!D29,'Calc Avalanche'!D29,'Calc Snowball'!D29,'Calc Cashflow'!D29)</f>
        <v/>
      </c>
      <c r="H23" s="67">
        <f>CHOOSE(Plan!$K$5,'Calc Smart'!E29,'Calc Avalanche'!E29,'Calc Snowball'!E29,'Calc Cashflow'!E29)</f>
        <v/>
      </c>
      <c r="I23" s="67">
        <f>CHOOSE(Plan!$K$5,'Calc Smart'!F29,'Calc Avalanche'!F29,'Calc Snowball'!F29,'Calc Cashflow'!F29)</f>
        <v/>
      </c>
      <c r="J23" s="67">
        <f>CHOOSE(Plan!$K$5,'Calc Smart'!G29,'Calc Avalanche'!G29,'Calc Snowball'!G29,'Calc Cashflow'!G29)</f>
        <v/>
      </c>
      <c r="K23" s="67">
        <f>CHOOSE(Plan!$K$5,'Calc Smart'!H29,'Calc Avalanche'!H29,'Calc Snowball'!H29,'Calc Cashflow'!H29)</f>
        <v/>
      </c>
      <c r="L23" s="67">
        <f>CHOOSE(Plan!$K$5,'Calc Smart'!I29,'Calc Avalanche'!I29,'Calc Snowball'!I29,'Calc Cashflow'!I29)</f>
        <v/>
      </c>
      <c r="M23" s="67">
        <f>CHOOSE(Plan!$K$5,'Calc Smart'!J29,'Calc Avalanche'!J29,'Calc Snowball'!J29,'Calc Cashflow'!J29)</f>
        <v/>
      </c>
      <c r="N23" s="67">
        <f>CHOOSE(Plan!$K$5,'Calc Smart'!K29,'Calc Avalanche'!K29,'Calc Snowball'!K29,'Calc Cashflow'!K29)</f>
        <v/>
      </c>
      <c r="O23" s="67">
        <f>CHOOSE(Plan!$K$5,'Calc Smart'!L29,'Calc Avalanche'!L29,'Calc Snowball'!L29,'Calc Cashflow'!L29)</f>
        <v/>
      </c>
      <c r="P23" s="67">
        <f>CHOOSE(Plan!$K$5,'Calc Smart'!M29,'Calc Avalanche'!M29,'Calc Snowball'!M29,'Calc Cashflow'!M29)</f>
        <v/>
      </c>
      <c r="Q23" s="67">
        <f>CHOOSE(Plan!$K$5,'Calc Smart'!N29,'Calc Avalanche'!N29,'Calc Snowball'!N29,'Calc Cashflow'!N29)</f>
        <v/>
      </c>
    </row>
    <row r="24">
      <c r="B24" s="64">
        <f>EDATE(Plan!$C$6,18)</f>
        <v/>
      </c>
      <c r="C24" s="31">
        <f>CHOOSE(Plan!$K$5,'Calc Smart'!AE30,'Calc Avalanche'!AE30,'Calc Snowball'!AE30,'Calc Cashflow'!AE30)</f>
        <v/>
      </c>
      <c r="D24" s="31">
        <f>CHOOSE(Plan!$K$5,'Calc Smart'!AD30,'Calc Avalanche'!AD30,'Calc Snowball'!AD30,'Calc Cashflow'!AD30)</f>
        <v/>
      </c>
      <c r="E24" s="40">
        <f>CHOOSE(Plan!$K$5,COUNTIF('Calc Smart'!C30:N30,"&gt;0"),COUNTIF('Calc Avalanche'!C30:N30,"&gt;0"),COUNTIF('Calc Snowball'!C30:N30,"&gt;0"),COUNTIF('Calc Cashflow'!C30:N30,"&gt;0"))</f>
        <v/>
      </c>
      <c r="F24" s="65">
        <f>CHOOSE(Plan!$K$5,'Calc Smart'!C30,'Calc Avalanche'!C30,'Calc Snowball'!C30,'Calc Cashflow'!C30)</f>
        <v/>
      </c>
      <c r="G24" s="65">
        <f>CHOOSE(Plan!$K$5,'Calc Smart'!D30,'Calc Avalanche'!D30,'Calc Snowball'!D30,'Calc Cashflow'!D30)</f>
        <v/>
      </c>
      <c r="H24" s="65">
        <f>CHOOSE(Plan!$K$5,'Calc Smart'!E30,'Calc Avalanche'!E30,'Calc Snowball'!E30,'Calc Cashflow'!E30)</f>
        <v/>
      </c>
      <c r="I24" s="65">
        <f>CHOOSE(Plan!$K$5,'Calc Smart'!F30,'Calc Avalanche'!F30,'Calc Snowball'!F30,'Calc Cashflow'!F30)</f>
        <v/>
      </c>
      <c r="J24" s="65">
        <f>CHOOSE(Plan!$K$5,'Calc Smart'!G30,'Calc Avalanche'!G30,'Calc Snowball'!G30,'Calc Cashflow'!G30)</f>
        <v/>
      </c>
      <c r="K24" s="65">
        <f>CHOOSE(Plan!$K$5,'Calc Smart'!H30,'Calc Avalanche'!H30,'Calc Snowball'!H30,'Calc Cashflow'!H30)</f>
        <v/>
      </c>
      <c r="L24" s="65">
        <f>CHOOSE(Plan!$K$5,'Calc Smart'!I30,'Calc Avalanche'!I30,'Calc Snowball'!I30,'Calc Cashflow'!I30)</f>
        <v/>
      </c>
      <c r="M24" s="65">
        <f>CHOOSE(Plan!$K$5,'Calc Smart'!J30,'Calc Avalanche'!J30,'Calc Snowball'!J30,'Calc Cashflow'!J30)</f>
        <v/>
      </c>
      <c r="N24" s="65">
        <f>CHOOSE(Plan!$K$5,'Calc Smart'!K30,'Calc Avalanche'!K30,'Calc Snowball'!K30,'Calc Cashflow'!K30)</f>
        <v/>
      </c>
      <c r="O24" s="65">
        <f>CHOOSE(Plan!$K$5,'Calc Smart'!L30,'Calc Avalanche'!L30,'Calc Snowball'!L30,'Calc Cashflow'!L30)</f>
        <v/>
      </c>
      <c r="P24" s="65">
        <f>CHOOSE(Plan!$K$5,'Calc Smart'!M30,'Calc Avalanche'!M30,'Calc Snowball'!M30,'Calc Cashflow'!M30)</f>
        <v/>
      </c>
      <c r="Q24" s="65">
        <f>CHOOSE(Plan!$K$5,'Calc Smart'!N30,'Calc Avalanche'!N30,'Calc Snowball'!N30,'Calc Cashflow'!N30)</f>
        <v/>
      </c>
    </row>
    <row r="25">
      <c r="B25" s="66">
        <f>EDATE(Plan!$C$6,19)</f>
        <v/>
      </c>
      <c r="C25" s="32">
        <f>CHOOSE(Plan!$K$5,'Calc Smart'!AE31,'Calc Avalanche'!AE31,'Calc Snowball'!AE31,'Calc Cashflow'!AE31)</f>
        <v/>
      </c>
      <c r="D25" s="32">
        <f>CHOOSE(Plan!$K$5,'Calc Smart'!AD31,'Calc Avalanche'!AD31,'Calc Snowball'!AD31,'Calc Cashflow'!AD31)</f>
        <v/>
      </c>
      <c r="E25" s="43">
        <f>CHOOSE(Plan!$K$5,COUNTIF('Calc Smart'!C31:N31,"&gt;0"),COUNTIF('Calc Avalanche'!C31:N31,"&gt;0"),COUNTIF('Calc Snowball'!C31:N31,"&gt;0"),COUNTIF('Calc Cashflow'!C31:N31,"&gt;0"))</f>
        <v/>
      </c>
      <c r="F25" s="67">
        <f>CHOOSE(Plan!$K$5,'Calc Smart'!C31,'Calc Avalanche'!C31,'Calc Snowball'!C31,'Calc Cashflow'!C31)</f>
        <v/>
      </c>
      <c r="G25" s="67">
        <f>CHOOSE(Plan!$K$5,'Calc Smart'!D31,'Calc Avalanche'!D31,'Calc Snowball'!D31,'Calc Cashflow'!D31)</f>
        <v/>
      </c>
      <c r="H25" s="67">
        <f>CHOOSE(Plan!$K$5,'Calc Smart'!E31,'Calc Avalanche'!E31,'Calc Snowball'!E31,'Calc Cashflow'!E31)</f>
        <v/>
      </c>
      <c r="I25" s="67">
        <f>CHOOSE(Plan!$K$5,'Calc Smart'!F31,'Calc Avalanche'!F31,'Calc Snowball'!F31,'Calc Cashflow'!F31)</f>
        <v/>
      </c>
      <c r="J25" s="67">
        <f>CHOOSE(Plan!$K$5,'Calc Smart'!G31,'Calc Avalanche'!G31,'Calc Snowball'!G31,'Calc Cashflow'!G31)</f>
        <v/>
      </c>
      <c r="K25" s="67">
        <f>CHOOSE(Plan!$K$5,'Calc Smart'!H31,'Calc Avalanche'!H31,'Calc Snowball'!H31,'Calc Cashflow'!H31)</f>
        <v/>
      </c>
      <c r="L25" s="67">
        <f>CHOOSE(Plan!$K$5,'Calc Smart'!I31,'Calc Avalanche'!I31,'Calc Snowball'!I31,'Calc Cashflow'!I31)</f>
        <v/>
      </c>
      <c r="M25" s="67">
        <f>CHOOSE(Plan!$K$5,'Calc Smart'!J31,'Calc Avalanche'!J31,'Calc Snowball'!J31,'Calc Cashflow'!J31)</f>
        <v/>
      </c>
      <c r="N25" s="67">
        <f>CHOOSE(Plan!$K$5,'Calc Smart'!K31,'Calc Avalanche'!K31,'Calc Snowball'!K31,'Calc Cashflow'!K31)</f>
        <v/>
      </c>
      <c r="O25" s="67">
        <f>CHOOSE(Plan!$K$5,'Calc Smart'!L31,'Calc Avalanche'!L31,'Calc Snowball'!L31,'Calc Cashflow'!L31)</f>
        <v/>
      </c>
      <c r="P25" s="67">
        <f>CHOOSE(Plan!$K$5,'Calc Smart'!M31,'Calc Avalanche'!M31,'Calc Snowball'!M31,'Calc Cashflow'!M31)</f>
        <v/>
      </c>
      <c r="Q25" s="67">
        <f>CHOOSE(Plan!$K$5,'Calc Smart'!N31,'Calc Avalanche'!N31,'Calc Snowball'!N31,'Calc Cashflow'!N31)</f>
        <v/>
      </c>
    </row>
    <row r="26">
      <c r="B26" s="64">
        <f>EDATE(Plan!$C$6,20)</f>
        <v/>
      </c>
      <c r="C26" s="31">
        <f>CHOOSE(Plan!$K$5,'Calc Smart'!AE32,'Calc Avalanche'!AE32,'Calc Snowball'!AE32,'Calc Cashflow'!AE32)</f>
        <v/>
      </c>
      <c r="D26" s="31">
        <f>CHOOSE(Plan!$K$5,'Calc Smart'!AD32,'Calc Avalanche'!AD32,'Calc Snowball'!AD32,'Calc Cashflow'!AD32)</f>
        <v/>
      </c>
      <c r="E26" s="40">
        <f>CHOOSE(Plan!$K$5,COUNTIF('Calc Smart'!C32:N32,"&gt;0"),COUNTIF('Calc Avalanche'!C32:N32,"&gt;0"),COUNTIF('Calc Snowball'!C32:N32,"&gt;0"),COUNTIF('Calc Cashflow'!C32:N32,"&gt;0"))</f>
        <v/>
      </c>
      <c r="F26" s="65">
        <f>CHOOSE(Plan!$K$5,'Calc Smart'!C32,'Calc Avalanche'!C32,'Calc Snowball'!C32,'Calc Cashflow'!C32)</f>
        <v/>
      </c>
      <c r="G26" s="65">
        <f>CHOOSE(Plan!$K$5,'Calc Smart'!D32,'Calc Avalanche'!D32,'Calc Snowball'!D32,'Calc Cashflow'!D32)</f>
        <v/>
      </c>
      <c r="H26" s="65">
        <f>CHOOSE(Plan!$K$5,'Calc Smart'!E32,'Calc Avalanche'!E32,'Calc Snowball'!E32,'Calc Cashflow'!E32)</f>
        <v/>
      </c>
      <c r="I26" s="65">
        <f>CHOOSE(Plan!$K$5,'Calc Smart'!F32,'Calc Avalanche'!F32,'Calc Snowball'!F32,'Calc Cashflow'!F32)</f>
        <v/>
      </c>
      <c r="J26" s="65">
        <f>CHOOSE(Plan!$K$5,'Calc Smart'!G32,'Calc Avalanche'!G32,'Calc Snowball'!G32,'Calc Cashflow'!G32)</f>
        <v/>
      </c>
      <c r="K26" s="65">
        <f>CHOOSE(Plan!$K$5,'Calc Smart'!H32,'Calc Avalanche'!H32,'Calc Snowball'!H32,'Calc Cashflow'!H32)</f>
        <v/>
      </c>
      <c r="L26" s="65">
        <f>CHOOSE(Plan!$K$5,'Calc Smart'!I32,'Calc Avalanche'!I32,'Calc Snowball'!I32,'Calc Cashflow'!I32)</f>
        <v/>
      </c>
      <c r="M26" s="65">
        <f>CHOOSE(Plan!$K$5,'Calc Smart'!J32,'Calc Avalanche'!J32,'Calc Snowball'!J32,'Calc Cashflow'!J32)</f>
        <v/>
      </c>
      <c r="N26" s="65">
        <f>CHOOSE(Plan!$K$5,'Calc Smart'!K32,'Calc Avalanche'!K32,'Calc Snowball'!K32,'Calc Cashflow'!K32)</f>
        <v/>
      </c>
      <c r="O26" s="65">
        <f>CHOOSE(Plan!$K$5,'Calc Smart'!L32,'Calc Avalanche'!L32,'Calc Snowball'!L32,'Calc Cashflow'!L32)</f>
        <v/>
      </c>
      <c r="P26" s="65">
        <f>CHOOSE(Plan!$K$5,'Calc Smart'!M32,'Calc Avalanche'!M32,'Calc Snowball'!M32,'Calc Cashflow'!M32)</f>
        <v/>
      </c>
      <c r="Q26" s="65">
        <f>CHOOSE(Plan!$K$5,'Calc Smart'!N32,'Calc Avalanche'!N32,'Calc Snowball'!N32,'Calc Cashflow'!N32)</f>
        <v/>
      </c>
    </row>
    <row r="27">
      <c r="B27" s="66">
        <f>EDATE(Plan!$C$6,21)</f>
        <v/>
      </c>
      <c r="C27" s="32">
        <f>CHOOSE(Plan!$K$5,'Calc Smart'!AE33,'Calc Avalanche'!AE33,'Calc Snowball'!AE33,'Calc Cashflow'!AE33)</f>
        <v/>
      </c>
      <c r="D27" s="32">
        <f>CHOOSE(Plan!$K$5,'Calc Smart'!AD33,'Calc Avalanche'!AD33,'Calc Snowball'!AD33,'Calc Cashflow'!AD33)</f>
        <v/>
      </c>
      <c r="E27" s="43">
        <f>CHOOSE(Plan!$K$5,COUNTIF('Calc Smart'!C33:N33,"&gt;0"),COUNTIF('Calc Avalanche'!C33:N33,"&gt;0"),COUNTIF('Calc Snowball'!C33:N33,"&gt;0"),COUNTIF('Calc Cashflow'!C33:N33,"&gt;0"))</f>
        <v/>
      </c>
      <c r="F27" s="67">
        <f>CHOOSE(Plan!$K$5,'Calc Smart'!C33,'Calc Avalanche'!C33,'Calc Snowball'!C33,'Calc Cashflow'!C33)</f>
        <v/>
      </c>
      <c r="G27" s="67">
        <f>CHOOSE(Plan!$K$5,'Calc Smart'!D33,'Calc Avalanche'!D33,'Calc Snowball'!D33,'Calc Cashflow'!D33)</f>
        <v/>
      </c>
      <c r="H27" s="67">
        <f>CHOOSE(Plan!$K$5,'Calc Smart'!E33,'Calc Avalanche'!E33,'Calc Snowball'!E33,'Calc Cashflow'!E33)</f>
        <v/>
      </c>
      <c r="I27" s="67">
        <f>CHOOSE(Plan!$K$5,'Calc Smart'!F33,'Calc Avalanche'!F33,'Calc Snowball'!F33,'Calc Cashflow'!F33)</f>
        <v/>
      </c>
      <c r="J27" s="67">
        <f>CHOOSE(Plan!$K$5,'Calc Smart'!G33,'Calc Avalanche'!G33,'Calc Snowball'!G33,'Calc Cashflow'!G33)</f>
        <v/>
      </c>
      <c r="K27" s="67">
        <f>CHOOSE(Plan!$K$5,'Calc Smart'!H33,'Calc Avalanche'!H33,'Calc Snowball'!H33,'Calc Cashflow'!H33)</f>
        <v/>
      </c>
      <c r="L27" s="67">
        <f>CHOOSE(Plan!$K$5,'Calc Smart'!I33,'Calc Avalanche'!I33,'Calc Snowball'!I33,'Calc Cashflow'!I33)</f>
        <v/>
      </c>
      <c r="M27" s="67">
        <f>CHOOSE(Plan!$K$5,'Calc Smart'!J33,'Calc Avalanche'!J33,'Calc Snowball'!J33,'Calc Cashflow'!J33)</f>
        <v/>
      </c>
      <c r="N27" s="67">
        <f>CHOOSE(Plan!$K$5,'Calc Smart'!K33,'Calc Avalanche'!K33,'Calc Snowball'!K33,'Calc Cashflow'!K33)</f>
        <v/>
      </c>
      <c r="O27" s="67">
        <f>CHOOSE(Plan!$K$5,'Calc Smart'!L33,'Calc Avalanche'!L33,'Calc Snowball'!L33,'Calc Cashflow'!L33)</f>
        <v/>
      </c>
      <c r="P27" s="67">
        <f>CHOOSE(Plan!$K$5,'Calc Smart'!M33,'Calc Avalanche'!M33,'Calc Snowball'!M33,'Calc Cashflow'!M33)</f>
        <v/>
      </c>
      <c r="Q27" s="67">
        <f>CHOOSE(Plan!$K$5,'Calc Smart'!N33,'Calc Avalanche'!N33,'Calc Snowball'!N33,'Calc Cashflow'!N33)</f>
        <v/>
      </c>
    </row>
    <row r="28">
      <c r="B28" s="64">
        <f>EDATE(Plan!$C$6,22)</f>
        <v/>
      </c>
      <c r="C28" s="31">
        <f>CHOOSE(Plan!$K$5,'Calc Smart'!AE34,'Calc Avalanche'!AE34,'Calc Snowball'!AE34,'Calc Cashflow'!AE34)</f>
        <v/>
      </c>
      <c r="D28" s="31">
        <f>CHOOSE(Plan!$K$5,'Calc Smart'!AD34,'Calc Avalanche'!AD34,'Calc Snowball'!AD34,'Calc Cashflow'!AD34)</f>
        <v/>
      </c>
      <c r="E28" s="40">
        <f>CHOOSE(Plan!$K$5,COUNTIF('Calc Smart'!C34:N34,"&gt;0"),COUNTIF('Calc Avalanche'!C34:N34,"&gt;0"),COUNTIF('Calc Snowball'!C34:N34,"&gt;0"),COUNTIF('Calc Cashflow'!C34:N34,"&gt;0"))</f>
        <v/>
      </c>
      <c r="F28" s="65">
        <f>CHOOSE(Plan!$K$5,'Calc Smart'!C34,'Calc Avalanche'!C34,'Calc Snowball'!C34,'Calc Cashflow'!C34)</f>
        <v/>
      </c>
      <c r="G28" s="65">
        <f>CHOOSE(Plan!$K$5,'Calc Smart'!D34,'Calc Avalanche'!D34,'Calc Snowball'!D34,'Calc Cashflow'!D34)</f>
        <v/>
      </c>
      <c r="H28" s="65">
        <f>CHOOSE(Plan!$K$5,'Calc Smart'!E34,'Calc Avalanche'!E34,'Calc Snowball'!E34,'Calc Cashflow'!E34)</f>
        <v/>
      </c>
      <c r="I28" s="65">
        <f>CHOOSE(Plan!$K$5,'Calc Smart'!F34,'Calc Avalanche'!F34,'Calc Snowball'!F34,'Calc Cashflow'!F34)</f>
        <v/>
      </c>
      <c r="J28" s="65">
        <f>CHOOSE(Plan!$K$5,'Calc Smart'!G34,'Calc Avalanche'!G34,'Calc Snowball'!G34,'Calc Cashflow'!G34)</f>
        <v/>
      </c>
      <c r="K28" s="65">
        <f>CHOOSE(Plan!$K$5,'Calc Smart'!H34,'Calc Avalanche'!H34,'Calc Snowball'!H34,'Calc Cashflow'!H34)</f>
        <v/>
      </c>
      <c r="L28" s="65">
        <f>CHOOSE(Plan!$K$5,'Calc Smart'!I34,'Calc Avalanche'!I34,'Calc Snowball'!I34,'Calc Cashflow'!I34)</f>
        <v/>
      </c>
      <c r="M28" s="65">
        <f>CHOOSE(Plan!$K$5,'Calc Smart'!J34,'Calc Avalanche'!J34,'Calc Snowball'!J34,'Calc Cashflow'!J34)</f>
        <v/>
      </c>
      <c r="N28" s="65">
        <f>CHOOSE(Plan!$K$5,'Calc Smart'!K34,'Calc Avalanche'!K34,'Calc Snowball'!K34,'Calc Cashflow'!K34)</f>
        <v/>
      </c>
      <c r="O28" s="65">
        <f>CHOOSE(Plan!$K$5,'Calc Smart'!L34,'Calc Avalanche'!L34,'Calc Snowball'!L34,'Calc Cashflow'!L34)</f>
        <v/>
      </c>
      <c r="P28" s="65">
        <f>CHOOSE(Plan!$K$5,'Calc Smart'!M34,'Calc Avalanche'!M34,'Calc Snowball'!M34,'Calc Cashflow'!M34)</f>
        <v/>
      </c>
      <c r="Q28" s="65">
        <f>CHOOSE(Plan!$K$5,'Calc Smart'!N34,'Calc Avalanche'!N34,'Calc Snowball'!N34,'Calc Cashflow'!N34)</f>
        <v/>
      </c>
    </row>
    <row r="29">
      <c r="B29" s="66">
        <f>EDATE(Plan!$C$6,23)</f>
        <v/>
      </c>
      <c r="C29" s="32">
        <f>CHOOSE(Plan!$K$5,'Calc Smart'!AE35,'Calc Avalanche'!AE35,'Calc Snowball'!AE35,'Calc Cashflow'!AE35)</f>
        <v/>
      </c>
      <c r="D29" s="32">
        <f>CHOOSE(Plan!$K$5,'Calc Smart'!AD35,'Calc Avalanche'!AD35,'Calc Snowball'!AD35,'Calc Cashflow'!AD35)</f>
        <v/>
      </c>
      <c r="E29" s="43">
        <f>CHOOSE(Plan!$K$5,COUNTIF('Calc Smart'!C35:N35,"&gt;0"),COUNTIF('Calc Avalanche'!C35:N35,"&gt;0"),COUNTIF('Calc Snowball'!C35:N35,"&gt;0"),COUNTIF('Calc Cashflow'!C35:N35,"&gt;0"))</f>
        <v/>
      </c>
      <c r="F29" s="67">
        <f>CHOOSE(Plan!$K$5,'Calc Smart'!C35,'Calc Avalanche'!C35,'Calc Snowball'!C35,'Calc Cashflow'!C35)</f>
        <v/>
      </c>
      <c r="G29" s="67">
        <f>CHOOSE(Plan!$K$5,'Calc Smart'!D35,'Calc Avalanche'!D35,'Calc Snowball'!D35,'Calc Cashflow'!D35)</f>
        <v/>
      </c>
      <c r="H29" s="67">
        <f>CHOOSE(Plan!$K$5,'Calc Smart'!E35,'Calc Avalanche'!E35,'Calc Snowball'!E35,'Calc Cashflow'!E35)</f>
        <v/>
      </c>
      <c r="I29" s="67">
        <f>CHOOSE(Plan!$K$5,'Calc Smart'!F35,'Calc Avalanche'!F35,'Calc Snowball'!F35,'Calc Cashflow'!F35)</f>
        <v/>
      </c>
      <c r="J29" s="67">
        <f>CHOOSE(Plan!$K$5,'Calc Smart'!G35,'Calc Avalanche'!G35,'Calc Snowball'!G35,'Calc Cashflow'!G35)</f>
        <v/>
      </c>
      <c r="K29" s="67">
        <f>CHOOSE(Plan!$K$5,'Calc Smart'!H35,'Calc Avalanche'!H35,'Calc Snowball'!H35,'Calc Cashflow'!H35)</f>
        <v/>
      </c>
      <c r="L29" s="67">
        <f>CHOOSE(Plan!$K$5,'Calc Smart'!I35,'Calc Avalanche'!I35,'Calc Snowball'!I35,'Calc Cashflow'!I35)</f>
        <v/>
      </c>
      <c r="M29" s="67">
        <f>CHOOSE(Plan!$K$5,'Calc Smart'!J35,'Calc Avalanche'!J35,'Calc Snowball'!J35,'Calc Cashflow'!J35)</f>
        <v/>
      </c>
      <c r="N29" s="67">
        <f>CHOOSE(Plan!$K$5,'Calc Smart'!K35,'Calc Avalanche'!K35,'Calc Snowball'!K35,'Calc Cashflow'!K35)</f>
        <v/>
      </c>
      <c r="O29" s="67">
        <f>CHOOSE(Plan!$K$5,'Calc Smart'!L35,'Calc Avalanche'!L35,'Calc Snowball'!L35,'Calc Cashflow'!L35)</f>
        <v/>
      </c>
      <c r="P29" s="67">
        <f>CHOOSE(Plan!$K$5,'Calc Smart'!M35,'Calc Avalanche'!M35,'Calc Snowball'!M35,'Calc Cashflow'!M35)</f>
        <v/>
      </c>
      <c r="Q29" s="67">
        <f>CHOOSE(Plan!$K$5,'Calc Smart'!N35,'Calc Avalanche'!N35,'Calc Snowball'!N35,'Calc Cashflow'!N35)</f>
        <v/>
      </c>
    </row>
    <row r="30">
      <c r="B30" s="64">
        <f>EDATE(Plan!$C$6,24)</f>
        <v/>
      </c>
      <c r="C30" s="31">
        <f>CHOOSE(Plan!$K$5,'Calc Smart'!AE36,'Calc Avalanche'!AE36,'Calc Snowball'!AE36,'Calc Cashflow'!AE36)</f>
        <v/>
      </c>
      <c r="D30" s="31">
        <f>CHOOSE(Plan!$K$5,'Calc Smart'!AD36,'Calc Avalanche'!AD36,'Calc Snowball'!AD36,'Calc Cashflow'!AD36)</f>
        <v/>
      </c>
      <c r="E30" s="40">
        <f>CHOOSE(Plan!$K$5,COUNTIF('Calc Smart'!C36:N36,"&gt;0"),COUNTIF('Calc Avalanche'!C36:N36,"&gt;0"),COUNTIF('Calc Snowball'!C36:N36,"&gt;0"),COUNTIF('Calc Cashflow'!C36:N36,"&gt;0"))</f>
        <v/>
      </c>
      <c r="F30" s="65">
        <f>CHOOSE(Plan!$K$5,'Calc Smart'!C36,'Calc Avalanche'!C36,'Calc Snowball'!C36,'Calc Cashflow'!C36)</f>
        <v/>
      </c>
      <c r="G30" s="65">
        <f>CHOOSE(Plan!$K$5,'Calc Smart'!D36,'Calc Avalanche'!D36,'Calc Snowball'!D36,'Calc Cashflow'!D36)</f>
        <v/>
      </c>
      <c r="H30" s="65">
        <f>CHOOSE(Plan!$K$5,'Calc Smart'!E36,'Calc Avalanche'!E36,'Calc Snowball'!E36,'Calc Cashflow'!E36)</f>
        <v/>
      </c>
      <c r="I30" s="65">
        <f>CHOOSE(Plan!$K$5,'Calc Smart'!F36,'Calc Avalanche'!F36,'Calc Snowball'!F36,'Calc Cashflow'!F36)</f>
        <v/>
      </c>
      <c r="J30" s="65">
        <f>CHOOSE(Plan!$K$5,'Calc Smart'!G36,'Calc Avalanche'!G36,'Calc Snowball'!G36,'Calc Cashflow'!G36)</f>
        <v/>
      </c>
      <c r="K30" s="65">
        <f>CHOOSE(Plan!$K$5,'Calc Smart'!H36,'Calc Avalanche'!H36,'Calc Snowball'!H36,'Calc Cashflow'!H36)</f>
        <v/>
      </c>
      <c r="L30" s="65">
        <f>CHOOSE(Plan!$K$5,'Calc Smart'!I36,'Calc Avalanche'!I36,'Calc Snowball'!I36,'Calc Cashflow'!I36)</f>
        <v/>
      </c>
      <c r="M30" s="65">
        <f>CHOOSE(Plan!$K$5,'Calc Smart'!J36,'Calc Avalanche'!J36,'Calc Snowball'!J36,'Calc Cashflow'!J36)</f>
        <v/>
      </c>
      <c r="N30" s="65">
        <f>CHOOSE(Plan!$K$5,'Calc Smart'!K36,'Calc Avalanche'!K36,'Calc Snowball'!K36,'Calc Cashflow'!K36)</f>
        <v/>
      </c>
      <c r="O30" s="65">
        <f>CHOOSE(Plan!$K$5,'Calc Smart'!L36,'Calc Avalanche'!L36,'Calc Snowball'!L36,'Calc Cashflow'!L36)</f>
        <v/>
      </c>
      <c r="P30" s="65">
        <f>CHOOSE(Plan!$K$5,'Calc Smart'!M36,'Calc Avalanche'!M36,'Calc Snowball'!M36,'Calc Cashflow'!M36)</f>
        <v/>
      </c>
      <c r="Q30" s="65">
        <f>CHOOSE(Plan!$K$5,'Calc Smart'!N36,'Calc Avalanche'!N36,'Calc Snowball'!N36,'Calc Cashflow'!N36)</f>
        <v/>
      </c>
    </row>
    <row r="31">
      <c r="B31" s="66">
        <f>EDATE(Plan!$C$6,25)</f>
        <v/>
      </c>
      <c r="C31" s="32">
        <f>CHOOSE(Plan!$K$5,'Calc Smart'!AE37,'Calc Avalanche'!AE37,'Calc Snowball'!AE37,'Calc Cashflow'!AE37)</f>
        <v/>
      </c>
      <c r="D31" s="32">
        <f>CHOOSE(Plan!$K$5,'Calc Smart'!AD37,'Calc Avalanche'!AD37,'Calc Snowball'!AD37,'Calc Cashflow'!AD37)</f>
        <v/>
      </c>
      <c r="E31" s="43">
        <f>CHOOSE(Plan!$K$5,COUNTIF('Calc Smart'!C37:N37,"&gt;0"),COUNTIF('Calc Avalanche'!C37:N37,"&gt;0"),COUNTIF('Calc Snowball'!C37:N37,"&gt;0"),COUNTIF('Calc Cashflow'!C37:N37,"&gt;0"))</f>
        <v/>
      </c>
      <c r="F31" s="67">
        <f>CHOOSE(Plan!$K$5,'Calc Smart'!C37,'Calc Avalanche'!C37,'Calc Snowball'!C37,'Calc Cashflow'!C37)</f>
        <v/>
      </c>
      <c r="G31" s="67">
        <f>CHOOSE(Plan!$K$5,'Calc Smart'!D37,'Calc Avalanche'!D37,'Calc Snowball'!D37,'Calc Cashflow'!D37)</f>
        <v/>
      </c>
      <c r="H31" s="67">
        <f>CHOOSE(Plan!$K$5,'Calc Smart'!E37,'Calc Avalanche'!E37,'Calc Snowball'!E37,'Calc Cashflow'!E37)</f>
        <v/>
      </c>
      <c r="I31" s="67">
        <f>CHOOSE(Plan!$K$5,'Calc Smart'!F37,'Calc Avalanche'!F37,'Calc Snowball'!F37,'Calc Cashflow'!F37)</f>
        <v/>
      </c>
      <c r="J31" s="67">
        <f>CHOOSE(Plan!$K$5,'Calc Smart'!G37,'Calc Avalanche'!G37,'Calc Snowball'!G37,'Calc Cashflow'!G37)</f>
        <v/>
      </c>
      <c r="K31" s="67">
        <f>CHOOSE(Plan!$K$5,'Calc Smart'!H37,'Calc Avalanche'!H37,'Calc Snowball'!H37,'Calc Cashflow'!H37)</f>
        <v/>
      </c>
      <c r="L31" s="67">
        <f>CHOOSE(Plan!$K$5,'Calc Smart'!I37,'Calc Avalanche'!I37,'Calc Snowball'!I37,'Calc Cashflow'!I37)</f>
        <v/>
      </c>
      <c r="M31" s="67">
        <f>CHOOSE(Plan!$K$5,'Calc Smart'!J37,'Calc Avalanche'!J37,'Calc Snowball'!J37,'Calc Cashflow'!J37)</f>
        <v/>
      </c>
      <c r="N31" s="67">
        <f>CHOOSE(Plan!$K$5,'Calc Smart'!K37,'Calc Avalanche'!K37,'Calc Snowball'!K37,'Calc Cashflow'!K37)</f>
        <v/>
      </c>
      <c r="O31" s="67">
        <f>CHOOSE(Plan!$K$5,'Calc Smart'!L37,'Calc Avalanche'!L37,'Calc Snowball'!L37,'Calc Cashflow'!L37)</f>
        <v/>
      </c>
      <c r="P31" s="67">
        <f>CHOOSE(Plan!$K$5,'Calc Smart'!M37,'Calc Avalanche'!M37,'Calc Snowball'!M37,'Calc Cashflow'!M37)</f>
        <v/>
      </c>
      <c r="Q31" s="67">
        <f>CHOOSE(Plan!$K$5,'Calc Smart'!N37,'Calc Avalanche'!N37,'Calc Snowball'!N37,'Calc Cashflow'!N37)</f>
        <v/>
      </c>
    </row>
    <row r="32">
      <c r="B32" s="64">
        <f>EDATE(Plan!$C$6,26)</f>
        <v/>
      </c>
      <c r="C32" s="31">
        <f>CHOOSE(Plan!$K$5,'Calc Smart'!AE38,'Calc Avalanche'!AE38,'Calc Snowball'!AE38,'Calc Cashflow'!AE38)</f>
        <v/>
      </c>
      <c r="D32" s="31">
        <f>CHOOSE(Plan!$K$5,'Calc Smart'!AD38,'Calc Avalanche'!AD38,'Calc Snowball'!AD38,'Calc Cashflow'!AD38)</f>
        <v/>
      </c>
      <c r="E32" s="40">
        <f>CHOOSE(Plan!$K$5,COUNTIF('Calc Smart'!C38:N38,"&gt;0"),COUNTIF('Calc Avalanche'!C38:N38,"&gt;0"),COUNTIF('Calc Snowball'!C38:N38,"&gt;0"),COUNTIF('Calc Cashflow'!C38:N38,"&gt;0"))</f>
        <v/>
      </c>
      <c r="F32" s="65">
        <f>CHOOSE(Plan!$K$5,'Calc Smart'!C38,'Calc Avalanche'!C38,'Calc Snowball'!C38,'Calc Cashflow'!C38)</f>
        <v/>
      </c>
      <c r="G32" s="65">
        <f>CHOOSE(Plan!$K$5,'Calc Smart'!D38,'Calc Avalanche'!D38,'Calc Snowball'!D38,'Calc Cashflow'!D38)</f>
        <v/>
      </c>
      <c r="H32" s="65">
        <f>CHOOSE(Plan!$K$5,'Calc Smart'!E38,'Calc Avalanche'!E38,'Calc Snowball'!E38,'Calc Cashflow'!E38)</f>
        <v/>
      </c>
      <c r="I32" s="65">
        <f>CHOOSE(Plan!$K$5,'Calc Smart'!F38,'Calc Avalanche'!F38,'Calc Snowball'!F38,'Calc Cashflow'!F38)</f>
        <v/>
      </c>
      <c r="J32" s="65">
        <f>CHOOSE(Plan!$K$5,'Calc Smart'!G38,'Calc Avalanche'!G38,'Calc Snowball'!G38,'Calc Cashflow'!G38)</f>
        <v/>
      </c>
      <c r="K32" s="65">
        <f>CHOOSE(Plan!$K$5,'Calc Smart'!H38,'Calc Avalanche'!H38,'Calc Snowball'!H38,'Calc Cashflow'!H38)</f>
        <v/>
      </c>
      <c r="L32" s="65">
        <f>CHOOSE(Plan!$K$5,'Calc Smart'!I38,'Calc Avalanche'!I38,'Calc Snowball'!I38,'Calc Cashflow'!I38)</f>
        <v/>
      </c>
      <c r="M32" s="65">
        <f>CHOOSE(Plan!$K$5,'Calc Smart'!J38,'Calc Avalanche'!J38,'Calc Snowball'!J38,'Calc Cashflow'!J38)</f>
        <v/>
      </c>
      <c r="N32" s="65">
        <f>CHOOSE(Plan!$K$5,'Calc Smart'!K38,'Calc Avalanche'!K38,'Calc Snowball'!K38,'Calc Cashflow'!K38)</f>
        <v/>
      </c>
      <c r="O32" s="65">
        <f>CHOOSE(Plan!$K$5,'Calc Smart'!L38,'Calc Avalanche'!L38,'Calc Snowball'!L38,'Calc Cashflow'!L38)</f>
        <v/>
      </c>
      <c r="P32" s="65">
        <f>CHOOSE(Plan!$K$5,'Calc Smart'!M38,'Calc Avalanche'!M38,'Calc Snowball'!M38,'Calc Cashflow'!M38)</f>
        <v/>
      </c>
      <c r="Q32" s="65">
        <f>CHOOSE(Plan!$K$5,'Calc Smart'!N38,'Calc Avalanche'!N38,'Calc Snowball'!N38,'Calc Cashflow'!N38)</f>
        <v/>
      </c>
    </row>
    <row r="33">
      <c r="B33" s="66">
        <f>EDATE(Plan!$C$6,27)</f>
        <v/>
      </c>
      <c r="C33" s="32">
        <f>CHOOSE(Plan!$K$5,'Calc Smart'!AE39,'Calc Avalanche'!AE39,'Calc Snowball'!AE39,'Calc Cashflow'!AE39)</f>
        <v/>
      </c>
      <c r="D33" s="32">
        <f>CHOOSE(Plan!$K$5,'Calc Smart'!AD39,'Calc Avalanche'!AD39,'Calc Snowball'!AD39,'Calc Cashflow'!AD39)</f>
        <v/>
      </c>
      <c r="E33" s="43">
        <f>CHOOSE(Plan!$K$5,COUNTIF('Calc Smart'!C39:N39,"&gt;0"),COUNTIF('Calc Avalanche'!C39:N39,"&gt;0"),COUNTIF('Calc Snowball'!C39:N39,"&gt;0"),COUNTIF('Calc Cashflow'!C39:N39,"&gt;0"))</f>
        <v/>
      </c>
      <c r="F33" s="67">
        <f>CHOOSE(Plan!$K$5,'Calc Smart'!C39,'Calc Avalanche'!C39,'Calc Snowball'!C39,'Calc Cashflow'!C39)</f>
        <v/>
      </c>
      <c r="G33" s="67">
        <f>CHOOSE(Plan!$K$5,'Calc Smart'!D39,'Calc Avalanche'!D39,'Calc Snowball'!D39,'Calc Cashflow'!D39)</f>
        <v/>
      </c>
      <c r="H33" s="67">
        <f>CHOOSE(Plan!$K$5,'Calc Smart'!E39,'Calc Avalanche'!E39,'Calc Snowball'!E39,'Calc Cashflow'!E39)</f>
        <v/>
      </c>
      <c r="I33" s="67">
        <f>CHOOSE(Plan!$K$5,'Calc Smart'!F39,'Calc Avalanche'!F39,'Calc Snowball'!F39,'Calc Cashflow'!F39)</f>
        <v/>
      </c>
      <c r="J33" s="67">
        <f>CHOOSE(Plan!$K$5,'Calc Smart'!G39,'Calc Avalanche'!G39,'Calc Snowball'!G39,'Calc Cashflow'!G39)</f>
        <v/>
      </c>
      <c r="K33" s="67">
        <f>CHOOSE(Plan!$K$5,'Calc Smart'!H39,'Calc Avalanche'!H39,'Calc Snowball'!H39,'Calc Cashflow'!H39)</f>
        <v/>
      </c>
      <c r="L33" s="67">
        <f>CHOOSE(Plan!$K$5,'Calc Smart'!I39,'Calc Avalanche'!I39,'Calc Snowball'!I39,'Calc Cashflow'!I39)</f>
        <v/>
      </c>
      <c r="M33" s="67">
        <f>CHOOSE(Plan!$K$5,'Calc Smart'!J39,'Calc Avalanche'!J39,'Calc Snowball'!J39,'Calc Cashflow'!J39)</f>
        <v/>
      </c>
      <c r="N33" s="67">
        <f>CHOOSE(Plan!$K$5,'Calc Smart'!K39,'Calc Avalanche'!K39,'Calc Snowball'!K39,'Calc Cashflow'!K39)</f>
        <v/>
      </c>
      <c r="O33" s="67">
        <f>CHOOSE(Plan!$K$5,'Calc Smart'!L39,'Calc Avalanche'!L39,'Calc Snowball'!L39,'Calc Cashflow'!L39)</f>
        <v/>
      </c>
      <c r="P33" s="67">
        <f>CHOOSE(Plan!$K$5,'Calc Smart'!M39,'Calc Avalanche'!M39,'Calc Snowball'!M39,'Calc Cashflow'!M39)</f>
        <v/>
      </c>
      <c r="Q33" s="67">
        <f>CHOOSE(Plan!$K$5,'Calc Smart'!N39,'Calc Avalanche'!N39,'Calc Snowball'!N39,'Calc Cashflow'!N39)</f>
        <v/>
      </c>
    </row>
    <row r="34">
      <c r="B34" s="64">
        <f>EDATE(Plan!$C$6,28)</f>
        <v/>
      </c>
      <c r="C34" s="31">
        <f>CHOOSE(Plan!$K$5,'Calc Smart'!AE40,'Calc Avalanche'!AE40,'Calc Snowball'!AE40,'Calc Cashflow'!AE40)</f>
        <v/>
      </c>
      <c r="D34" s="31">
        <f>CHOOSE(Plan!$K$5,'Calc Smart'!AD40,'Calc Avalanche'!AD40,'Calc Snowball'!AD40,'Calc Cashflow'!AD40)</f>
        <v/>
      </c>
      <c r="E34" s="40">
        <f>CHOOSE(Plan!$K$5,COUNTIF('Calc Smart'!C40:N40,"&gt;0"),COUNTIF('Calc Avalanche'!C40:N40,"&gt;0"),COUNTIF('Calc Snowball'!C40:N40,"&gt;0"),COUNTIF('Calc Cashflow'!C40:N40,"&gt;0"))</f>
        <v/>
      </c>
      <c r="F34" s="65">
        <f>CHOOSE(Plan!$K$5,'Calc Smart'!C40,'Calc Avalanche'!C40,'Calc Snowball'!C40,'Calc Cashflow'!C40)</f>
        <v/>
      </c>
      <c r="G34" s="65">
        <f>CHOOSE(Plan!$K$5,'Calc Smart'!D40,'Calc Avalanche'!D40,'Calc Snowball'!D40,'Calc Cashflow'!D40)</f>
        <v/>
      </c>
      <c r="H34" s="65">
        <f>CHOOSE(Plan!$K$5,'Calc Smart'!E40,'Calc Avalanche'!E40,'Calc Snowball'!E40,'Calc Cashflow'!E40)</f>
        <v/>
      </c>
      <c r="I34" s="65">
        <f>CHOOSE(Plan!$K$5,'Calc Smart'!F40,'Calc Avalanche'!F40,'Calc Snowball'!F40,'Calc Cashflow'!F40)</f>
        <v/>
      </c>
      <c r="J34" s="65">
        <f>CHOOSE(Plan!$K$5,'Calc Smart'!G40,'Calc Avalanche'!G40,'Calc Snowball'!G40,'Calc Cashflow'!G40)</f>
        <v/>
      </c>
      <c r="K34" s="65">
        <f>CHOOSE(Plan!$K$5,'Calc Smart'!H40,'Calc Avalanche'!H40,'Calc Snowball'!H40,'Calc Cashflow'!H40)</f>
        <v/>
      </c>
      <c r="L34" s="65">
        <f>CHOOSE(Plan!$K$5,'Calc Smart'!I40,'Calc Avalanche'!I40,'Calc Snowball'!I40,'Calc Cashflow'!I40)</f>
        <v/>
      </c>
      <c r="M34" s="65">
        <f>CHOOSE(Plan!$K$5,'Calc Smart'!J40,'Calc Avalanche'!J40,'Calc Snowball'!J40,'Calc Cashflow'!J40)</f>
        <v/>
      </c>
      <c r="N34" s="65">
        <f>CHOOSE(Plan!$K$5,'Calc Smart'!K40,'Calc Avalanche'!K40,'Calc Snowball'!K40,'Calc Cashflow'!K40)</f>
        <v/>
      </c>
      <c r="O34" s="65">
        <f>CHOOSE(Plan!$K$5,'Calc Smart'!L40,'Calc Avalanche'!L40,'Calc Snowball'!L40,'Calc Cashflow'!L40)</f>
        <v/>
      </c>
      <c r="P34" s="65">
        <f>CHOOSE(Plan!$K$5,'Calc Smart'!M40,'Calc Avalanche'!M40,'Calc Snowball'!M40,'Calc Cashflow'!M40)</f>
        <v/>
      </c>
      <c r="Q34" s="65">
        <f>CHOOSE(Plan!$K$5,'Calc Smart'!N40,'Calc Avalanche'!N40,'Calc Snowball'!N40,'Calc Cashflow'!N40)</f>
        <v/>
      </c>
    </row>
    <row r="35">
      <c r="B35" s="66">
        <f>EDATE(Plan!$C$6,29)</f>
        <v/>
      </c>
      <c r="C35" s="32">
        <f>CHOOSE(Plan!$K$5,'Calc Smart'!AE41,'Calc Avalanche'!AE41,'Calc Snowball'!AE41,'Calc Cashflow'!AE41)</f>
        <v/>
      </c>
      <c r="D35" s="32">
        <f>CHOOSE(Plan!$K$5,'Calc Smart'!AD41,'Calc Avalanche'!AD41,'Calc Snowball'!AD41,'Calc Cashflow'!AD41)</f>
        <v/>
      </c>
      <c r="E35" s="43">
        <f>CHOOSE(Plan!$K$5,COUNTIF('Calc Smart'!C41:N41,"&gt;0"),COUNTIF('Calc Avalanche'!C41:N41,"&gt;0"),COUNTIF('Calc Snowball'!C41:N41,"&gt;0"),COUNTIF('Calc Cashflow'!C41:N41,"&gt;0"))</f>
        <v/>
      </c>
      <c r="F35" s="67">
        <f>CHOOSE(Plan!$K$5,'Calc Smart'!C41,'Calc Avalanche'!C41,'Calc Snowball'!C41,'Calc Cashflow'!C41)</f>
        <v/>
      </c>
      <c r="G35" s="67">
        <f>CHOOSE(Plan!$K$5,'Calc Smart'!D41,'Calc Avalanche'!D41,'Calc Snowball'!D41,'Calc Cashflow'!D41)</f>
        <v/>
      </c>
      <c r="H35" s="67">
        <f>CHOOSE(Plan!$K$5,'Calc Smart'!E41,'Calc Avalanche'!E41,'Calc Snowball'!E41,'Calc Cashflow'!E41)</f>
        <v/>
      </c>
      <c r="I35" s="67">
        <f>CHOOSE(Plan!$K$5,'Calc Smart'!F41,'Calc Avalanche'!F41,'Calc Snowball'!F41,'Calc Cashflow'!F41)</f>
        <v/>
      </c>
      <c r="J35" s="67">
        <f>CHOOSE(Plan!$K$5,'Calc Smart'!G41,'Calc Avalanche'!G41,'Calc Snowball'!G41,'Calc Cashflow'!G41)</f>
        <v/>
      </c>
      <c r="K35" s="67">
        <f>CHOOSE(Plan!$K$5,'Calc Smart'!H41,'Calc Avalanche'!H41,'Calc Snowball'!H41,'Calc Cashflow'!H41)</f>
        <v/>
      </c>
      <c r="L35" s="67">
        <f>CHOOSE(Plan!$K$5,'Calc Smart'!I41,'Calc Avalanche'!I41,'Calc Snowball'!I41,'Calc Cashflow'!I41)</f>
        <v/>
      </c>
      <c r="M35" s="67">
        <f>CHOOSE(Plan!$K$5,'Calc Smart'!J41,'Calc Avalanche'!J41,'Calc Snowball'!J41,'Calc Cashflow'!J41)</f>
        <v/>
      </c>
      <c r="N35" s="67">
        <f>CHOOSE(Plan!$K$5,'Calc Smart'!K41,'Calc Avalanche'!K41,'Calc Snowball'!K41,'Calc Cashflow'!K41)</f>
        <v/>
      </c>
      <c r="O35" s="67">
        <f>CHOOSE(Plan!$K$5,'Calc Smart'!L41,'Calc Avalanche'!L41,'Calc Snowball'!L41,'Calc Cashflow'!L41)</f>
        <v/>
      </c>
      <c r="P35" s="67">
        <f>CHOOSE(Plan!$K$5,'Calc Smart'!M41,'Calc Avalanche'!M41,'Calc Snowball'!M41,'Calc Cashflow'!M41)</f>
        <v/>
      </c>
      <c r="Q35" s="67">
        <f>CHOOSE(Plan!$K$5,'Calc Smart'!N41,'Calc Avalanche'!N41,'Calc Snowball'!N41,'Calc Cashflow'!N41)</f>
        <v/>
      </c>
    </row>
    <row r="36">
      <c r="B36" s="64">
        <f>EDATE(Plan!$C$6,30)</f>
        <v/>
      </c>
      <c r="C36" s="31">
        <f>CHOOSE(Plan!$K$5,'Calc Smart'!AE42,'Calc Avalanche'!AE42,'Calc Snowball'!AE42,'Calc Cashflow'!AE42)</f>
        <v/>
      </c>
      <c r="D36" s="31">
        <f>CHOOSE(Plan!$K$5,'Calc Smart'!AD42,'Calc Avalanche'!AD42,'Calc Snowball'!AD42,'Calc Cashflow'!AD42)</f>
        <v/>
      </c>
      <c r="E36" s="40">
        <f>CHOOSE(Plan!$K$5,COUNTIF('Calc Smart'!C42:N42,"&gt;0"),COUNTIF('Calc Avalanche'!C42:N42,"&gt;0"),COUNTIF('Calc Snowball'!C42:N42,"&gt;0"),COUNTIF('Calc Cashflow'!C42:N42,"&gt;0"))</f>
        <v/>
      </c>
      <c r="F36" s="65">
        <f>CHOOSE(Plan!$K$5,'Calc Smart'!C42,'Calc Avalanche'!C42,'Calc Snowball'!C42,'Calc Cashflow'!C42)</f>
        <v/>
      </c>
      <c r="G36" s="65">
        <f>CHOOSE(Plan!$K$5,'Calc Smart'!D42,'Calc Avalanche'!D42,'Calc Snowball'!D42,'Calc Cashflow'!D42)</f>
        <v/>
      </c>
      <c r="H36" s="65">
        <f>CHOOSE(Plan!$K$5,'Calc Smart'!E42,'Calc Avalanche'!E42,'Calc Snowball'!E42,'Calc Cashflow'!E42)</f>
        <v/>
      </c>
      <c r="I36" s="65">
        <f>CHOOSE(Plan!$K$5,'Calc Smart'!F42,'Calc Avalanche'!F42,'Calc Snowball'!F42,'Calc Cashflow'!F42)</f>
        <v/>
      </c>
      <c r="J36" s="65">
        <f>CHOOSE(Plan!$K$5,'Calc Smart'!G42,'Calc Avalanche'!G42,'Calc Snowball'!G42,'Calc Cashflow'!G42)</f>
        <v/>
      </c>
      <c r="K36" s="65">
        <f>CHOOSE(Plan!$K$5,'Calc Smart'!H42,'Calc Avalanche'!H42,'Calc Snowball'!H42,'Calc Cashflow'!H42)</f>
        <v/>
      </c>
      <c r="L36" s="65">
        <f>CHOOSE(Plan!$K$5,'Calc Smart'!I42,'Calc Avalanche'!I42,'Calc Snowball'!I42,'Calc Cashflow'!I42)</f>
        <v/>
      </c>
      <c r="M36" s="65">
        <f>CHOOSE(Plan!$K$5,'Calc Smart'!J42,'Calc Avalanche'!J42,'Calc Snowball'!J42,'Calc Cashflow'!J42)</f>
        <v/>
      </c>
      <c r="N36" s="65">
        <f>CHOOSE(Plan!$K$5,'Calc Smart'!K42,'Calc Avalanche'!K42,'Calc Snowball'!K42,'Calc Cashflow'!K42)</f>
        <v/>
      </c>
      <c r="O36" s="65">
        <f>CHOOSE(Plan!$K$5,'Calc Smart'!L42,'Calc Avalanche'!L42,'Calc Snowball'!L42,'Calc Cashflow'!L42)</f>
        <v/>
      </c>
      <c r="P36" s="65">
        <f>CHOOSE(Plan!$K$5,'Calc Smart'!M42,'Calc Avalanche'!M42,'Calc Snowball'!M42,'Calc Cashflow'!M42)</f>
        <v/>
      </c>
      <c r="Q36" s="65">
        <f>CHOOSE(Plan!$K$5,'Calc Smart'!N42,'Calc Avalanche'!N42,'Calc Snowball'!N42,'Calc Cashflow'!N42)</f>
        <v/>
      </c>
    </row>
    <row r="37">
      <c r="B37" s="66">
        <f>EDATE(Plan!$C$6,31)</f>
        <v/>
      </c>
      <c r="C37" s="32">
        <f>CHOOSE(Plan!$K$5,'Calc Smart'!AE43,'Calc Avalanche'!AE43,'Calc Snowball'!AE43,'Calc Cashflow'!AE43)</f>
        <v/>
      </c>
      <c r="D37" s="32">
        <f>CHOOSE(Plan!$K$5,'Calc Smart'!AD43,'Calc Avalanche'!AD43,'Calc Snowball'!AD43,'Calc Cashflow'!AD43)</f>
        <v/>
      </c>
      <c r="E37" s="43">
        <f>CHOOSE(Plan!$K$5,COUNTIF('Calc Smart'!C43:N43,"&gt;0"),COUNTIF('Calc Avalanche'!C43:N43,"&gt;0"),COUNTIF('Calc Snowball'!C43:N43,"&gt;0"),COUNTIF('Calc Cashflow'!C43:N43,"&gt;0"))</f>
        <v/>
      </c>
      <c r="F37" s="67">
        <f>CHOOSE(Plan!$K$5,'Calc Smart'!C43,'Calc Avalanche'!C43,'Calc Snowball'!C43,'Calc Cashflow'!C43)</f>
        <v/>
      </c>
      <c r="G37" s="67">
        <f>CHOOSE(Plan!$K$5,'Calc Smart'!D43,'Calc Avalanche'!D43,'Calc Snowball'!D43,'Calc Cashflow'!D43)</f>
        <v/>
      </c>
      <c r="H37" s="67">
        <f>CHOOSE(Plan!$K$5,'Calc Smart'!E43,'Calc Avalanche'!E43,'Calc Snowball'!E43,'Calc Cashflow'!E43)</f>
        <v/>
      </c>
      <c r="I37" s="67">
        <f>CHOOSE(Plan!$K$5,'Calc Smart'!F43,'Calc Avalanche'!F43,'Calc Snowball'!F43,'Calc Cashflow'!F43)</f>
        <v/>
      </c>
      <c r="J37" s="67">
        <f>CHOOSE(Plan!$K$5,'Calc Smart'!G43,'Calc Avalanche'!G43,'Calc Snowball'!G43,'Calc Cashflow'!G43)</f>
        <v/>
      </c>
      <c r="K37" s="67">
        <f>CHOOSE(Plan!$K$5,'Calc Smart'!H43,'Calc Avalanche'!H43,'Calc Snowball'!H43,'Calc Cashflow'!H43)</f>
        <v/>
      </c>
      <c r="L37" s="67">
        <f>CHOOSE(Plan!$K$5,'Calc Smart'!I43,'Calc Avalanche'!I43,'Calc Snowball'!I43,'Calc Cashflow'!I43)</f>
        <v/>
      </c>
      <c r="M37" s="67">
        <f>CHOOSE(Plan!$K$5,'Calc Smart'!J43,'Calc Avalanche'!J43,'Calc Snowball'!J43,'Calc Cashflow'!J43)</f>
        <v/>
      </c>
      <c r="N37" s="67">
        <f>CHOOSE(Plan!$K$5,'Calc Smart'!K43,'Calc Avalanche'!K43,'Calc Snowball'!K43,'Calc Cashflow'!K43)</f>
        <v/>
      </c>
      <c r="O37" s="67">
        <f>CHOOSE(Plan!$K$5,'Calc Smart'!L43,'Calc Avalanche'!L43,'Calc Snowball'!L43,'Calc Cashflow'!L43)</f>
        <v/>
      </c>
      <c r="P37" s="67">
        <f>CHOOSE(Plan!$K$5,'Calc Smart'!M43,'Calc Avalanche'!M43,'Calc Snowball'!M43,'Calc Cashflow'!M43)</f>
        <v/>
      </c>
      <c r="Q37" s="67">
        <f>CHOOSE(Plan!$K$5,'Calc Smart'!N43,'Calc Avalanche'!N43,'Calc Snowball'!N43,'Calc Cashflow'!N43)</f>
        <v/>
      </c>
    </row>
    <row r="38">
      <c r="B38" s="64">
        <f>EDATE(Plan!$C$6,32)</f>
        <v/>
      </c>
      <c r="C38" s="31">
        <f>CHOOSE(Plan!$K$5,'Calc Smart'!AE44,'Calc Avalanche'!AE44,'Calc Snowball'!AE44,'Calc Cashflow'!AE44)</f>
        <v/>
      </c>
      <c r="D38" s="31">
        <f>CHOOSE(Plan!$K$5,'Calc Smart'!AD44,'Calc Avalanche'!AD44,'Calc Snowball'!AD44,'Calc Cashflow'!AD44)</f>
        <v/>
      </c>
      <c r="E38" s="40">
        <f>CHOOSE(Plan!$K$5,COUNTIF('Calc Smart'!C44:N44,"&gt;0"),COUNTIF('Calc Avalanche'!C44:N44,"&gt;0"),COUNTIF('Calc Snowball'!C44:N44,"&gt;0"),COUNTIF('Calc Cashflow'!C44:N44,"&gt;0"))</f>
        <v/>
      </c>
      <c r="F38" s="65">
        <f>CHOOSE(Plan!$K$5,'Calc Smart'!C44,'Calc Avalanche'!C44,'Calc Snowball'!C44,'Calc Cashflow'!C44)</f>
        <v/>
      </c>
      <c r="G38" s="65">
        <f>CHOOSE(Plan!$K$5,'Calc Smart'!D44,'Calc Avalanche'!D44,'Calc Snowball'!D44,'Calc Cashflow'!D44)</f>
        <v/>
      </c>
      <c r="H38" s="65">
        <f>CHOOSE(Plan!$K$5,'Calc Smart'!E44,'Calc Avalanche'!E44,'Calc Snowball'!E44,'Calc Cashflow'!E44)</f>
        <v/>
      </c>
      <c r="I38" s="65">
        <f>CHOOSE(Plan!$K$5,'Calc Smart'!F44,'Calc Avalanche'!F44,'Calc Snowball'!F44,'Calc Cashflow'!F44)</f>
        <v/>
      </c>
      <c r="J38" s="65">
        <f>CHOOSE(Plan!$K$5,'Calc Smart'!G44,'Calc Avalanche'!G44,'Calc Snowball'!G44,'Calc Cashflow'!G44)</f>
        <v/>
      </c>
      <c r="K38" s="65">
        <f>CHOOSE(Plan!$K$5,'Calc Smart'!H44,'Calc Avalanche'!H44,'Calc Snowball'!H44,'Calc Cashflow'!H44)</f>
        <v/>
      </c>
      <c r="L38" s="65">
        <f>CHOOSE(Plan!$K$5,'Calc Smart'!I44,'Calc Avalanche'!I44,'Calc Snowball'!I44,'Calc Cashflow'!I44)</f>
        <v/>
      </c>
      <c r="M38" s="65">
        <f>CHOOSE(Plan!$K$5,'Calc Smart'!J44,'Calc Avalanche'!J44,'Calc Snowball'!J44,'Calc Cashflow'!J44)</f>
        <v/>
      </c>
      <c r="N38" s="65">
        <f>CHOOSE(Plan!$K$5,'Calc Smart'!K44,'Calc Avalanche'!K44,'Calc Snowball'!K44,'Calc Cashflow'!K44)</f>
        <v/>
      </c>
      <c r="O38" s="65">
        <f>CHOOSE(Plan!$K$5,'Calc Smart'!L44,'Calc Avalanche'!L44,'Calc Snowball'!L44,'Calc Cashflow'!L44)</f>
        <v/>
      </c>
      <c r="P38" s="65">
        <f>CHOOSE(Plan!$K$5,'Calc Smart'!M44,'Calc Avalanche'!M44,'Calc Snowball'!M44,'Calc Cashflow'!M44)</f>
        <v/>
      </c>
      <c r="Q38" s="65">
        <f>CHOOSE(Plan!$K$5,'Calc Smart'!N44,'Calc Avalanche'!N44,'Calc Snowball'!N44,'Calc Cashflow'!N44)</f>
        <v/>
      </c>
    </row>
    <row r="39">
      <c r="B39" s="66">
        <f>EDATE(Plan!$C$6,33)</f>
        <v/>
      </c>
      <c r="C39" s="32">
        <f>CHOOSE(Plan!$K$5,'Calc Smart'!AE45,'Calc Avalanche'!AE45,'Calc Snowball'!AE45,'Calc Cashflow'!AE45)</f>
        <v/>
      </c>
      <c r="D39" s="32">
        <f>CHOOSE(Plan!$K$5,'Calc Smart'!AD45,'Calc Avalanche'!AD45,'Calc Snowball'!AD45,'Calc Cashflow'!AD45)</f>
        <v/>
      </c>
      <c r="E39" s="43">
        <f>CHOOSE(Plan!$K$5,COUNTIF('Calc Smart'!C45:N45,"&gt;0"),COUNTIF('Calc Avalanche'!C45:N45,"&gt;0"),COUNTIF('Calc Snowball'!C45:N45,"&gt;0"),COUNTIF('Calc Cashflow'!C45:N45,"&gt;0"))</f>
        <v/>
      </c>
      <c r="F39" s="67">
        <f>CHOOSE(Plan!$K$5,'Calc Smart'!C45,'Calc Avalanche'!C45,'Calc Snowball'!C45,'Calc Cashflow'!C45)</f>
        <v/>
      </c>
      <c r="G39" s="67">
        <f>CHOOSE(Plan!$K$5,'Calc Smart'!D45,'Calc Avalanche'!D45,'Calc Snowball'!D45,'Calc Cashflow'!D45)</f>
        <v/>
      </c>
      <c r="H39" s="67">
        <f>CHOOSE(Plan!$K$5,'Calc Smart'!E45,'Calc Avalanche'!E45,'Calc Snowball'!E45,'Calc Cashflow'!E45)</f>
        <v/>
      </c>
      <c r="I39" s="67">
        <f>CHOOSE(Plan!$K$5,'Calc Smart'!F45,'Calc Avalanche'!F45,'Calc Snowball'!F45,'Calc Cashflow'!F45)</f>
        <v/>
      </c>
      <c r="J39" s="67">
        <f>CHOOSE(Plan!$K$5,'Calc Smart'!G45,'Calc Avalanche'!G45,'Calc Snowball'!G45,'Calc Cashflow'!G45)</f>
        <v/>
      </c>
      <c r="K39" s="67">
        <f>CHOOSE(Plan!$K$5,'Calc Smart'!H45,'Calc Avalanche'!H45,'Calc Snowball'!H45,'Calc Cashflow'!H45)</f>
        <v/>
      </c>
      <c r="L39" s="67">
        <f>CHOOSE(Plan!$K$5,'Calc Smart'!I45,'Calc Avalanche'!I45,'Calc Snowball'!I45,'Calc Cashflow'!I45)</f>
        <v/>
      </c>
      <c r="M39" s="67">
        <f>CHOOSE(Plan!$K$5,'Calc Smart'!J45,'Calc Avalanche'!J45,'Calc Snowball'!J45,'Calc Cashflow'!J45)</f>
        <v/>
      </c>
      <c r="N39" s="67">
        <f>CHOOSE(Plan!$K$5,'Calc Smart'!K45,'Calc Avalanche'!K45,'Calc Snowball'!K45,'Calc Cashflow'!K45)</f>
        <v/>
      </c>
      <c r="O39" s="67">
        <f>CHOOSE(Plan!$K$5,'Calc Smart'!L45,'Calc Avalanche'!L45,'Calc Snowball'!L45,'Calc Cashflow'!L45)</f>
        <v/>
      </c>
      <c r="P39" s="67">
        <f>CHOOSE(Plan!$K$5,'Calc Smart'!M45,'Calc Avalanche'!M45,'Calc Snowball'!M45,'Calc Cashflow'!M45)</f>
        <v/>
      </c>
      <c r="Q39" s="67">
        <f>CHOOSE(Plan!$K$5,'Calc Smart'!N45,'Calc Avalanche'!N45,'Calc Snowball'!N45,'Calc Cashflow'!N45)</f>
        <v/>
      </c>
    </row>
    <row r="40">
      <c r="B40" s="64">
        <f>EDATE(Plan!$C$6,34)</f>
        <v/>
      </c>
      <c r="C40" s="31">
        <f>CHOOSE(Plan!$K$5,'Calc Smart'!AE46,'Calc Avalanche'!AE46,'Calc Snowball'!AE46,'Calc Cashflow'!AE46)</f>
        <v/>
      </c>
      <c r="D40" s="31">
        <f>CHOOSE(Plan!$K$5,'Calc Smart'!AD46,'Calc Avalanche'!AD46,'Calc Snowball'!AD46,'Calc Cashflow'!AD46)</f>
        <v/>
      </c>
      <c r="E40" s="40">
        <f>CHOOSE(Plan!$K$5,COUNTIF('Calc Smart'!C46:N46,"&gt;0"),COUNTIF('Calc Avalanche'!C46:N46,"&gt;0"),COUNTIF('Calc Snowball'!C46:N46,"&gt;0"),COUNTIF('Calc Cashflow'!C46:N46,"&gt;0"))</f>
        <v/>
      </c>
      <c r="F40" s="65">
        <f>CHOOSE(Plan!$K$5,'Calc Smart'!C46,'Calc Avalanche'!C46,'Calc Snowball'!C46,'Calc Cashflow'!C46)</f>
        <v/>
      </c>
      <c r="G40" s="65">
        <f>CHOOSE(Plan!$K$5,'Calc Smart'!D46,'Calc Avalanche'!D46,'Calc Snowball'!D46,'Calc Cashflow'!D46)</f>
        <v/>
      </c>
      <c r="H40" s="65">
        <f>CHOOSE(Plan!$K$5,'Calc Smart'!E46,'Calc Avalanche'!E46,'Calc Snowball'!E46,'Calc Cashflow'!E46)</f>
        <v/>
      </c>
      <c r="I40" s="65">
        <f>CHOOSE(Plan!$K$5,'Calc Smart'!F46,'Calc Avalanche'!F46,'Calc Snowball'!F46,'Calc Cashflow'!F46)</f>
        <v/>
      </c>
      <c r="J40" s="65">
        <f>CHOOSE(Plan!$K$5,'Calc Smart'!G46,'Calc Avalanche'!G46,'Calc Snowball'!G46,'Calc Cashflow'!G46)</f>
        <v/>
      </c>
      <c r="K40" s="65">
        <f>CHOOSE(Plan!$K$5,'Calc Smart'!H46,'Calc Avalanche'!H46,'Calc Snowball'!H46,'Calc Cashflow'!H46)</f>
        <v/>
      </c>
      <c r="L40" s="65">
        <f>CHOOSE(Plan!$K$5,'Calc Smart'!I46,'Calc Avalanche'!I46,'Calc Snowball'!I46,'Calc Cashflow'!I46)</f>
        <v/>
      </c>
      <c r="M40" s="65">
        <f>CHOOSE(Plan!$K$5,'Calc Smart'!J46,'Calc Avalanche'!J46,'Calc Snowball'!J46,'Calc Cashflow'!J46)</f>
        <v/>
      </c>
      <c r="N40" s="65">
        <f>CHOOSE(Plan!$K$5,'Calc Smart'!K46,'Calc Avalanche'!K46,'Calc Snowball'!K46,'Calc Cashflow'!K46)</f>
        <v/>
      </c>
      <c r="O40" s="65">
        <f>CHOOSE(Plan!$K$5,'Calc Smart'!L46,'Calc Avalanche'!L46,'Calc Snowball'!L46,'Calc Cashflow'!L46)</f>
        <v/>
      </c>
      <c r="P40" s="65">
        <f>CHOOSE(Plan!$K$5,'Calc Smart'!M46,'Calc Avalanche'!M46,'Calc Snowball'!M46,'Calc Cashflow'!M46)</f>
        <v/>
      </c>
      <c r="Q40" s="65">
        <f>CHOOSE(Plan!$K$5,'Calc Smart'!N46,'Calc Avalanche'!N46,'Calc Snowball'!N46,'Calc Cashflow'!N46)</f>
        <v/>
      </c>
    </row>
    <row r="41">
      <c r="B41" s="66">
        <f>EDATE(Plan!$C$6,35)</f>
        <v/>
      </c>
      <c r="C41" s="32">
        <f>CHOOSE(Plan!$K$5,'Calc Smart'!AE47,'Calc Avalanche'!AE47,'Calc Snowball'!AE47,'Calc Cashflow'!AE47)</f>
        <v/>
      </c>
      <c r="D41" s="32">
        <f>CHOOSE(Plan!$K$5,'Calc Smart'!AD47,'Calc Avalanche'!AD47,'Calc Snowball'!AD47,'Calc Cashflow'!AD47)</f>
        <v/>
      </c>
      <c r="E41" s="43">
        <f>CHOOSE(Plan!$K$5,COUNTIF('Calc Smart'!C47:N47,"&gt;0"),COUNTIF('Calc Avalanche'!C47:N47,"&gt;0"),COUNTIF('Calc Snowball'!C47:N47,"&gt;0"),COUNTIF('Calc Cashflow'!C47:N47,"&gt;0"))</f>
        <v/>
      </c>
      <c r="F41" s="67">
        <f>CHOOSE(Plan!$K$5,'Calc Smart'!C47,'Calc Avalanche'!C47,'Calc Snowball'!C47,'Calc Cashflow'!C47)</f>
        <v/>
      </c>
      <c r="G41" s="67">
        <f>CHOOSE(Plan!$K$5,'Calc Smart'!D47,'Calc Avalanche'!D47,'Calc Snowball'!D47,'Calc Cashflow'!D47)</f>
        <v/>
      </c>
      <c r="H41" s="67">
        <f>CHOOSE(Plan!$K$5,'Calc Smart'!E47,'Calc Avalanche'!E47,'Calc Snowball'!E47,'Calc Cashflow'!E47)</f>
        <v/>
      </c>
      <c r="I41" s="67">
        <f>CHOOSE(Plan!$K$5,'Calc Smart'!F47,'Calc Avalanche'!F47,'Calc Snowball'!F47,'Calc Cashflow'!F47)</f>
        <v/>
      </c>
      <c r="J41" s="67">
        <f>CHOOSE(Plan!$K$5,'Calc Smart'!G47,'Calc Avalanche'!G47,'Calc Snowball'!G47,'Calc Cashflow'!G47)</f>
        <v/>
      </c>
      <c r="K41" s="67">
        <f>CHOOSE(Plan!$K$5,'Calc Smart'!H47,'Calc Avalanche'!H47,'Calc Snowball'!H47,'Calc Cashflow'!H47)</f>
        <v/>
      </c>
      <c r="L41" s="67">
        <f>CHOOSE(Plan!$K$5,'Calc Smart'!I47,'Calc Avalanche'!I47,'Calc Snowball'!I47,'Calc Cashflow'!I47)</f>
        <v/>
      </c>
      <c r="M41" s="67">
        <f>CHOOSE(Plan!$K$5,'Calc Smart'!J47,'Calc Avalanche'!J47,'Calc Snowball'!J47,'Calc Cashflow'!J47)</f>
        <v/>
      </c>
      <c r="N41" s="67">
        <f>CHOOSE(Plan!$K$5,'Calc Smart'!K47,'Calc Avalanche'!K47,'Calc Snowball'!K47,'Calc Cashflow'!K47)</f>
        <v/>
      </c>
      <c r="O41" s="67">
        <f>CHOOSE(Plan!$K$5,'Calc Smart'!L47,'Calc Avalanche'!L47,'Calc Snowball'!L47,'Calc Cashflow'!L47)</f>
        <v/>
      </c>
      <c r="P41" s="67">
        <f>CHOOSE(Plan!$K$5,'Calc Smart'!M47,'Calc Avalanche'!M47,'Calc Snowball'!M47,'Calc Cashflow'!M47)</f>
        <v/>
      </c>
      <c r="Q41" s="67">
        <f>CHOOSE(Plan!$K$5,'Calc Smart'!N47,'Calc Avalanche'!N47,'Calc Snowball'!N47,'Calc Cashflow'!N47)</f>
        <v/>
      </c>
    </row>
    <row r="42">
      <c r="B42" s="64">
        <f>EDATE(Plan!$C$6,36)</f>
        <v/>
      </c>
      <c r="C42" s="31">
        <f>CHOOSE(Plan!$K$5,'Calc Smart'!AE48,'Calc Avalanche'!AE48,'Calc Snowball'!AE48,'Calc Cashflow'!AE48)</f>
        <v/>
      </c>
      <c r="D42" s="31">
        <f>CHOOSE(Plan!$K$5,'Calc Smart'!AD48,'Calc Avalanche'!AD48,'Calc Snowball'!AD48,'Calc Cashflow'!AD48)</f>
        <v/>
      </c>
      <c r="E42" s="40">
        <f>CHOOSE(Plan!$K$5,COUNTIF('Calc Smart'!C48:N48,"&gt;0"),COUNTIF('Calc Avalanche'!C48:N48,"&gt;0"),COUNTIF('Calc Snowball'!C48:N48,"&gt;0"),COUNTIF('Calc Cashflow'!C48:N48,"&gt;0"))</f>
        <v/>
      </c>
      <c r="F42" s="65">
        <f>CHOOSE(Plan!$K$5,'Calc Smart'!C48,'Calc Avalanche'!C48,'Calc Snowball'!C48,'Calc Cashflow'!C48)</f>
        <v/>
      </c>
      <c r="G42" s="65">
        <f>CHOOSE(Plan!$K$5,'Calc Smart'!D48,'Calc Avalanche'!D48,'Calc Snowball'!D48,'Calc Cashflow'!D48)</f>
        <v/>
      </c>
      <c r="H42" s="65">
        <f>CHOOSE(Plan!$K$5,'Calc Smart'!E48,'Calc Avalanche'!E48,'Calc Snowball'!E48,'Calc Cashflow'!E48)</f>
        <v/>
      </c>
      <c r="I42" s="65">
        <f>CHOOSE(Plan!$K$5,'Calc Smart'!F48,'Calc Avalanche'!F48,'Calc Snowball'!F48,'Calc Cashflow'!F48)</f>
        <v/>
      </c>
      <c r="J42" s="65">
        <f>CHOOSE(Plan!$K$5,'Calc Smart'!G48,'Calc Avalanche'!G48,'Calc Snowball'!G48,'Calc Cashflow'!G48)</f>
        <v/>
      </c>
      <c r="K42" s="65">
        <f>CHOOSE(Plan!$K$5,'Calc Smart'!H48,'Calc Avalanche'!H48,'Calc Snowball'!H48,'Calc Cashflow'!H48)</f>
        <v/>
      </c>
      <c r="L42" s="65">
        <f>CHOOSE(Plan!$K$5,'Calc Smart'!I48,'Calc Avalanche'!I48,'Calc Snowball'!I48,'Calc Cashflow'!I48)</f>
        <v/>
      </c>
      <c r="M42" s="65">
        <f>CHOOSE(Plan!$K$5,'Calc Smart'!J48,'Calc Avalanche'!J48,'Calc Snowball'!J48,'Calc Cashflow'!J48)</f>
        <v/>
      </c>
      <c r="N42" s="65">
        <f>CHOOSE(Plan!$K$5,'Calc Smart'!K48,'Calc Avalanche'!K48,'Calc Snowball'!K48,'Calc Cashflow'!K48)</f>
        <v/>
      </c>
      <c r="O42" s="65">
        <f>CHOOSE(Plan!$K$5,'Calc Smart'!L48,'Calc Avalanche'!L48,'Calc Snowball'!L48,'Calc Cashflow'!L48)</f>
        <v/>
      </c>
      <c r="P42" s="65">
        <f>CHOOSE(Plan!$K$5,'Calc Smart'!M48,'Calc Avalanche'!M48,'Calc Snowball'!M48,'Calc Cashflow'!M48)</f>
        <v/>
      </c>
      <c r="Q42" s="65">
        <f>CHOOSE(Plan!$K$5,'Calc Smart'!N48,'Calc Avalanche'!N48,'Calc Snowball'!N48,'Calc Cashflow'!N48)</f>
        <v/>
      </c>
    </row>
    <row r="43">
      <c r="B43" s="66">
        <f>EDATE(Plan!$C$6,37)</f>
        <v/>
      </c>
      <c r="C43" s="32">
        <f>CHOOSE(Plan!$K$5,'Calc Smart'!AE49,'Calc Avalanche'!AE49,'Calc Snowball'!AE49,'Calc Cashflow'!AE49)</f>
        <v/>
      </c>
      <c r="D43" s="32">
        <f>CHOOSE(Plan!$K$5,'Calc Smart'!AD49,'Calc Avalanche'!AD49,'Calc Snowball'!AD49,'Calc Cashflow'!AD49)</f>
        <v/>
      </c>
      <c r="E43" s="43">
        <f>CHOOSE(Plan!$K$5,COUNTIF('Calc Smart'!C49:N49,"&gt;0"),COUNTIF('Calc Avalanche'!C49:N49,"&gt;0"),COUNTIF('Calc Snowball'!C49:N49,"&gt;0"),COUNTIF('Calc Cashflow'!C49:N49,"&gt;0"))</f>
        <v/>
      </c>
      <c r="F43" s="67">
        <f>CHOOSE(Plan!$K$5,'Calc Smart'!C49,'Calc Avalanche'!C49,'Calc Snowball'!C49,'Calc Cashflow'!C49)</f>
        <v/>
      </c>
      <c r="G43" s="67">
        <f>CHOOSE(Plan!$K$5,'Calc Smart'!D49,'Calc Avalanche'!D49,'Calc Snowball'!D49,'Calc Cashflow'!D49)</f>
        <v/>
      </c>
      <c r="H43" s="67">
        <f>CHOOSE(Plan!$K$5,'Calc Smart'!E49,'Calc Avalanche'!E49,'Calc Snowball'!E49,'Calc Cashflow'!E49)</f>
        <v/>
      </c>
      <c r="I43" s="67">
        <f>CHOOSE(Plan!$K$5,'Calc Smart'!F49,'Calc Avalanche'!F49,'Calc Snowball'!F49,'Calc Cashflow'!F49)</f>
        <v/>
      </c>
      <c r="J43" s="67">
        <f>CHOOSE(Plan!$K$5,'Calc Smart'!G49,'Calc Avalanche'!G49,'Calc Snowball'!G49,'Calc Cashflow'!G49)</f>
        <v/>
      </c>
      <c r="K43" s="67">
        <f>CHOOSE(Plan!$K$5,'Calc Smart'!H49,'Calc Avalanche'!H49,'Calc Snowball'!H49,'Calc Cashflow'!H49)</f>
        <v/>
      </c>
      <c r="L43" s="67">
        <f>CHOOSE(Plan!$K$5,'Calc Smart'!I49,'Calc Avalanche'!I49,'Calc Snowball'!I49,'Calc Cashflow'!I49)</f>
        <v/>
      </c>
      <c r="M43" s="67">
        <f>CHOOSE(Plan!$K$5,'Calc Smart'!J49,'Calc Avalanche'!J49,'Calc Snowball'!J49,'Calc Cashflow'!J49)</f>
        <v/>
      </c>
      <c r="N43" s="67">
        <f>CHOOSE(Plan!$K$5,'Calc Smart'!K49,'Calc Avalanche'!K49,'Calc Snowball'!K49,'Calc Cashflow'!K49)</f>
        <v/>
      </c>
      <c r="O43" s="67">
        <f>CHOOSE(Plan!$K$5,'Calc Smart'!L49,'Calc Avalanche'!L49,'Calc Snowball'!L49,'Calc Cashflow'!L49)</f>
        <v/>
      </c>
      <c r="P43" s="67">
        <f>CHOOSE(Plan!$K$5,'Calc Smart'!M49,'Calc Avalanche'!M49,'Calc Snowball'!M49,'Calc Cashflow'!M49)</f>
        <v/>
      </c>
      <c r="Q43" s="67">
        <f>CHOOSE(Plan!$K$5,'Calc Smart'!N49,'Calc Avalanche'!N49,'Calc Snowball'!N49,'Calc Cashflow'!N49)</f>
        <v/>
      </c>
    </row>
    <row r="44">
      <c r="B44" s="64">
        <f>EDATE(Plan!$C$6,38)</f>
        <v/>
      </c>
      <c r="C44" s="31">
        <f>CHOOSE(Plan!$K$5,'Calc Smart'!AE50,'Calc Avalanche'!AE50,'Calc Snowball'!AE50,'Calc Cashflow'!AE50)</f>
        <v/>
      </c>
      <c r="D44" s="31">
        <f>CHOOSE(Plan!$K$5,'Calc Smart'!AD50,'Calc Avalanche'!AD50,'Calc Snowball'!AD50,'Calc Cashflow'!AD50)</f>
        <v/>
      </c>
      <c r="E44" s="40">
        <f>CHOOSE(Plan!$K$5,COUNTIF('Calc Smart'!C50:N50,"&gt;0"),COUNTIF('Calc Avalanche'!C50:N50,"&gt;0"),COUNTIF('Calc Snowball'!C50:N50,"&gt;0"),COUNTIF('Calc Cashflow'!C50:N50,"&gt;0"))</f>
        <v/>
      </c>
      <c r="F44" s="65">
        <f>CHOOSE(Plan!$K$5,'Calc Smart'!C50,'Calc Avalanche'!C50,'Calc Snowball'!C50,'Calc Cashflow'!C50)</f>
        <v/>
      </c>
      <c r="G44" s="65">
        <f>CHOOSE(Plan!$K$5,'Calc Smart'!D50,'Calc Avalanche'!D50,'Calc Snowball'!D50,'Calc Cashflow'!D50)</f>
        <v/>
      </c>
      <c r="H44" s="65">
        <f>CHOOSE(Plan!$K$5,'Calc Smart'!E50,'Calc Avalanche'!E50,'Calc Snowball'!E50,'Calc Cashflow'!E50)</f>
        <v/>
      </c>
      <c r="I44" s="65">
        <f>CHOOSE(Plan!$K$5,'Calc Smart'!F50,'Calc Avalanche'!F50,'Calc Snowball'!F50,'Calc Cashflow'!F50)</f>
        <v/>
      </c>
      <c r="J44" s="65">
        <f>CHOOSE(Plan!$K$5,'Calc Smart'!G50,'Calc Avalanche'!G50,'Calc Snowball'!G50,'Calc Cashflow'!G50)</f>
        <v/>
      </c>
      <c r="K44" s="65">
        <f>CHOOSE(Plan!$K$5,'Calc Smart'!H50,'Calc Avalanche'!H50,'Calc Snowball'!H50,'Calc Cashflow'!H50)</f>
        <v/>
      </c>
      <c r="L44" s="65">
        <f>CHOOSE(Plan!$K$5,'Calc Smart'!I50,'Calc Avalanche'!I50,'Calc Snowball'!I50,'Calc Cashflow'!I50)</f>
        <v/>
      </c>
      <c r="M44" s="65">
        <f>CHOOSE(Plan!$K$5,'Calc Smart'!J50,'Calc Avalanche'!J50,'Calc Snowball'!J50,'Calc Cashflow'!J50)</f>
        <v/>
      </c>
      <c r="N44" s="65">
        <f>CHOOSE(Plan!$K$5,'Calc Smart'!K50,'Calc Avalanche'!K50,'Calc Snowball'!K50,'Calc Cashflow'!K50)</f>
        <v/>
      </c>
      <c r="O44" s="65">
        <f>CHOOSE(Plan!$K$5,'Calc Smart'!L50,'Calc Avalanche'!L50,'Calc Snowball'!L50,'Calc Cashflow'!L50)</f>
        <v/>
      </c>
      <c r="P44" s="65">
        <f>CHOOSE(Plan!$K$5,'Calc Smart'!M50,'Calc Avalanche'!M50,'Calc Snowball'!M50,'Calc Cashflow'!M50)</f>
        <v/>
      </c>
      <c r="Q44" s="65">
        <f>CHOOSE(Plan!$K$5,'Calc Smart'!N50,'Calc Avalanche'!N50,'Calc Snowball'!N50,'Calc Cashflow'!N50)</f>
        <v/>
      </c>
    </row>
    <row r="45">
      <c r="B45" s="66">
        <f>EDATE(Plan!$C$6,39)</f>
        <v/>
      </c>
      <c r="C45" s="32">
        <f>CHOOSE(Plan!$K$5,'Calc Smart'!AE51,'Calc Avalanche'!AE51,'Calc Snowball'!AE51,'Calc Cashflow'!AE51)</f>
        <v/>
      </c>
      <c r="D45" s="32">
        <f>CHOOSE(Plan!$K$5,'Calc Smart'!AD51,'Calc Avalanche'!AD51,'Calc Snowball'!AD51,'Calc Cashflow'!AD51)</f>
        <v/>
      </c>
      <c r="E45" s="43">
        <f>CHOOSE(Plan!$K$5,COUNTIF('Calc Smart'!C51:N51,"&gt;0"),COUNTIF('Calc Avalanche'!C51:N51,"&gt;0"),COUNTIF('Calc Snowball'!C51:N51,"&gt;0"),COUNTIF('Calc Cashflow'!C51:N51,"&gt;0"))</f>
        <v/>
      </c>
      <c r="F45" s="67">
        <f>CHOOSE(Plan!$K$5,'Calc Smart'!C51,'Calc Avalanche'!C51,'Calc Snowball'!C51,'Calc Cashflow'!C51)</f>
        <v/>
      </c>
      <c r="G45" s="67">
        <f>CHOOSE(Plan!$K$5,'Calc Smart'!D51,'Calc Avalanche'!D51,'Calc Snowball'!D51,'Calc Cashflow'!D51)</f>
        <v/>
      </c>
      <c r="H45" s="67">
        <f>CHOOSE(Plan!$K$5,'Calc Smart'!E51,'Calc Avalanche'!E51,'Calc Snowball'!E51,'Calc Cashflow'!E51)</f>
        <v/>
      </c>
      <c r="I45" s="67">
        <f>CHOOSE(Plan!$K$5,'Calc Smart'!F51,'Calc Avalanche'!F51,'Calc Snowball'!F51,'Calc Cashflow'!F51)</f>
        <v/>
      </c>
      <c r="J45" s="67">
        <f>CHOOSE(Plan!$K$5,'Calc Smart'!G51,'Calc Avalanche'!G51,'Calc Snowball'!G51,'Calc Cashflow'!G51)</f>
        <v/>
      </c>
      <c r="K45" s="67">
        <f>CHOOSE(Plan!$K$5,'Calc Smart'!H51,'Calc Avalanche'!H51,'Calc Snowball'!H51,'Calc Cashflow'!H51)</f>
        <v/>
      </c>
      <c r="L45" s="67">
        <f>CHOOSE(Plan!$K$5,'Calc Smart'!I51,'Calc Avalanche'!I51,'Calc Snowball'!I51,'Calc Cashflow'!I51)</f>
        <v/>
      </c>
      <c r="M45" s="67">
        <f>CHOOSE(Plan!$K$5,'Calc Smart'!J51,'Calc Avalanche'!J51,'Calc Snowball'!J51,'Calc Cashflow'!J51)</f>
        <v/>
      </c>
      <c r="N45" s="67">
        <f>CHOOSE(Plan!$K$5,'Calc Smart'!K51,'Calc Avalanche'!K51,'Calc Snowball'!K51,'Calc Cashflow'!K51)</f>
        <v/>
      </c>
      <c r="O45" s="67">
        <f>CHOOSE(Plan!$K$5,'Calc Smart'!L51,'Calc Avalanche'!L51,'Calc Snowball'!L51,'Calc Cashflow'!L51)</f>
        <v/>
      </c>
      <c r="P45" s="67">
        <f>CHOOSE(Plan!$K$5,'Calc Smart'!M51,'Calc Avalanche'!M51,'Calc Snowball'!M51,'Calc Cashflow'!M51)</f>
        <v/>
      </c>
      <c r="Q45" s="67">
        <f>CHOOSE(Plan!$K$5,'Calc Smart'!N51,'Calc Avalanche'!N51,'Calc Snowball'!N51,'Calc Cashflow'!N51)</f>
        <v/>
      </c>
    </row>
    <row r="46">
      <c r="B46" s="64">
        <f>EDATE(Plan!$C$6,40)</f>
        <v/>
      </c>
      <c r="C46" s="31">
        <f>CHOOSE(Plan!$K$5,'Calc Smart'!AE52,'Calc Avalanche'!AE52,'Calc Snowball'!AE52,'Calc Cashflow'!AE52)</f>
        <v/>
      </c>
      <c r="D46" s="31">
        <f>CHOOSE(Plan!$K$5,'Calc Smart'!AD52,'Calc Avalanche'!AD52,'Calc Snowball'!AD52,'Calc Cashflow'!AD52)</f>
        <v/>
      </c>
      <c r="E46" s="40">
        <f>CHOOSE(Plan!$K$5,COUNTIF('Calc Smart'!C52:N52,"&gt;0"),COUNTIF('Calc Avalanche'!C52:N52,"&gt;0"),COUNTIF('Calc Snowball'!C52:N52,"&gt;0"),COUNTIF('Calc Cashflow'!C52:N52,"&gt;0"))</f>
        <v/>
      </c>
      <c r="F46" s="65">
        <f>CHOOSE(Plan!$K$5,'Calc Smart'!C52,'Calc Avalanche'!C52,'Calc Snowball'!C52,'Calc Cashflow'!C52)</f>
        <v/>
      </c>
      <c r="G46" s="65">
        <f>CHOOSE(Plan!$K$5,'Calc Smart'!D52,'Calc Avalanche'!D52,'Calc Snowball'!D52,'Calc Cashflow'!D52)</f>
        <v/>
      </c>
      <c r="H46" s="65">
        <f>CHOOSE(Plan!$K$5,'Calc Smart'!E52,'Calc Avalanche'!E52,'Calc Snowball'!E52,'Calc Cashflow'!E52)</f>
        <v/>
      </c>
      <c r="I46" s="65">
        <f>CHOOSE(Plan!$K$5,'Calc Smart'!F52,'Calc Avalanche'!F52,'Calc Snowball'!F52,'Calc Cashflow'!F52)</f>
        <v/>
      </c>
      <c r="J46" s="65">
        <f>CHOOSE(Plan!$K$5,'Calc Smart'!G52,'Calc Avalanche'!G52,'Calc Snowball'!G52,'Calc Cashflow'!G52)</f>
        <v/>
      </c>
      <c r="K46" s="65">
        <f>CHOOSE(Plan!$K$5,'Calc Smart'!H52,'Calc Avalanche'!H52,'Calc Snowball'!H52,'Calc Cashflow'!H52)</f>
        <v/>
      </c>
      <c r="L46" s="65">
        <f>CHOOSE(Plan!$K$5,'Calc Smart'!I52,'Calc Avalanche'!I52,'Calc Snowball'!I52,'Calc Cashflow'!I52)</f>
        <v/>
      </c>
      <c r="M46" s="65">
        <f>CHOOSE(Plan!$K$5,'Calc Smart'!J52,'Calc Avalanche'!J52,'Calc Snowball'!J52,'Calc Cashflow'!J52)</f>
        <v/>
      </c>
      <c r="N46" s="65">
        <f>CHOOSE(Plan!$K$5,'Calc Smart'!K52,'Calc Avalanche'!K52,'Calc Snowball'!K52,'Calc Cashflow'!K52)</f>
        <v/>
      </c>
      <c r="O46" s="65">
        <f>CHOOSE(Plan!$K$5,'Calc Smart'!L52,'Calc Avalanche'!L52,'Calc Snowball'!L52,'Calc Cashflow'!L52)</f>
        <v/>
      </c>
      <c r="P46" s="65">
        <f>CHOOSE(Plan!$K$5,'Calc Smart'!M52,'Calc Avalanche'!M52,'Calc Snowball'!M52,'Calc Cashflow'!M52)</f>
        <v/>
      </c>
      <c r="Q46" s="65">
        <f>CHOOSE(Plan!$K$5,'Calc Smart'!N52,'Calc Avalanche'!N52,'Calc Snowball'!N52,'Calc Cashflow'!N52)</f>
        <v/>
      </c>
    </row>
    <row r="47">
      <c r="B47" s="66">
        <f>EDATE(Plan!$C$6,41)</f>
        <v/>
      </c>
      <c r="C47" s="32">
        <f>CHOOSE(Plan!$K$5,'Calc Smart'!AE53,'Calc Avalanche'!AE53,'Calc Snowball'!AE53,'Calc Cashflow'!AE53)</f>
        <v/>
      </c>
      <c r="D47" s="32">
        <f>CHOOSE(Plan!$K$5,'Calc Smart'!AD53,'Calc Avalanche'!AD53,'Calc Snowball'!AD53,'Calc Cashflow'!AD53)</f>
        <v/>
      </c>
      <c r="E47" s="43">
        <f>CHOOSE(Plan!$K$5,COUNTIF('Calc Smart'!C53:N53,"&gt;0"),COUNTIF('Calc Avalanche'!C53:N53,"&gt;0"),COUNTIF('Calc Snowball'!C53:N53,"&gt;0"),COUNTIF('Calc Cashflow'!C53:N53,"&gt;0"))</f>
        <v/>
      </c>
      <c r="F47" s="67">
        <f>CHOOSE(Plan!$K$5,'Calc Smart'!C53,'Calc Avalanche'!C53,'Calc Snowball'!C53,'Calc Cashflow'!C53)</f>
        <v/>
      </c>
      <c r="G47" s="67">
        <f>CHOOSE(Plan!$K$5,'Calc Smart'!D53,'Calc Avalanche'!D53,'Calc Snowball'!D53,'Calc Cashflow'!D53)</f>
        <v/>
      </c>
      <c r="H47" s="67">
        <f>CHOOSE(Plan!$K$5,'Calc Smart'!E53,'Calc Avalanche'!E53,'Calc Snowball'!E53,'Calc Cashflow'!E53)</f>
        <v/>
      </c>
      <c r="I47" s="67">
        <f>CHOOSE(Plan!$K$5,'Calc Smart'!F53,'Calc Avalanche'!F53,'Calc Snowball'!F53,'Calc Cashflow'!F53)</f>
        <v/>
      </c>
      <c r="J47" s="67">
        <f>CHOOSE(Plan!$K$5,'Calc Smart'!G53,'Calc Avalanche'!G53,'Calc Snowball'!G53,'Calc Cashflow'!G53)</f>
        <v/>
      </c>
      <c r="K47" s="67">
        <f>CHOOSE(Plan!$K$5,'Calc Smart'!H53,'Calc Avalanche'!H53,'Calc Snowball'!H53,'Calc Cashflow'!H53)</f>
        <v/>
      </c>
      <c r="L47" s="67">
        <f>CHOOSE(Plan!$K$5,'Calc Smart'!I53,'Calc Avalanche'!I53,'Calc Snowball'!I53,'Calc Cashflow'!I53)</f>
        <v/>
      </c>
      <c r="M47" s="67">
        <f>CHOOSE(Plan!$K$5,'Calc Smart'!J53,'Calc Avalanche'!J53,'Calc Snowball'!J53,'Calc Cashflow'!J53)</f>
        <v/>
      </c>
      <c r="N47" s="67">
        <f>CHOOSE(Plan!$K$5,'Calc Smart'!K53,'Calc Avalanche'!K53,'Calc Snowball'!K53,'Calc Cashflow'!K53)</f>
        <v/>
      </c>
      <c r="O47" s="67">
        <f>CHOOSE(Plan!$K$5,'Calc Smart'!L53,'Calc Avalanche'!L53,'Calc Snowball'!L53,'Calc Cashflow'!L53)</f>
        <v/>
      </c>
      <c r="P47" s="67">
        <f>CHOOSE(Plan!$K$5,'Calc Smart'!M53,'Calc Avalanche'!M53,'Calc Snowball'!M53,'Calc Cashflow'!M53)</f>
        <v/>
      </c>
      <c r="Q47" s="67">
        <f>CHOOSE(Plan!$K$5,'Calc Smart'!N53,'Calc Avalanche'!N53,'Calc Snowball'!N53,'Calc Cashflow'!N53)</f>
        <v/>
      </c>
    </row>
    <row r="48">
      <c r="B48" s="64">
        <f>EDATE(Plan!$C$6,42)</f>
        <v/>
      </c>
      <c r="C48" s="31">
        <f>CHOOSE(Plan!$K$5,'Calc Smart'!AE54,'Calc Avalanche'!AE54,'Calc Snowball'!AE54,'Calc Cashflow'!AE54)</f>
        <v/>
      </c>
      <c r="D48" s="31">
        <f>CHOOSE(Plan!$K$5,'Calc Smart'!AD54,'Calc Avalanche'!AD54,'Calc Snowball'!AD54,'Calc Cashflow'!AD54)</f>
        <v/>
      </c>
      <c r="E48" s="40">
        <f>CHOOSE(Plan!$K$5,COUNTIF('Calc Smart'!C54:N54,"&gt;0"),COUNTIF('Calc Avalanche'!C54:N54,"&gt;0"),COUNTIF('Calc Snowball'!C54:N54,"&gt;0"),COUNTIF('Calc Cashflow'!C54:N54,"&gt;0"))</f>
        <v/>
      </c>
      <c r="F48" s="65">
        <f>CHOOSE(Plan!$K$5,'Calc Smart'!C54,'Calc Avalanche'!C54,'Calc Snowball'!C54,'Calc Cashflow'!C54)</f>
        <v/>
      </c>
      <c r="G48" s="65">
        <f>CHOOSE(Plan!$K$5,'Calc Smart'!D54,'Calc Avalanche'!D54,'Calc Snowball'!D54,'Calc Cashflow'!D54)</f>
        <v/>
      </c>
      <c r="H48" s="65">
        <f>CHOOSE(Plan!$K$5,'Calc Smart'!E54,'Calc Avalanche'!E54,'Calc Snowball'!E54,'Calc Cashflow'!E54)</f>
        <v/>
      </c>
      <c r="I48" s="65">
        <f>CHOOSE(Plan!$K$5,'Calc Smart'!F54,'Calc Avalanche'!F54,'Calc Snowball'!F54,'Calc Cashflow'!F54)</f>
        <v/>
      </c>
      <c r="J48" s="65">
        <f>CHOOSE(Plan!$K$5,'Calc Smart'!G54,'Calc Avalanche'!G54,'Calc Snowball'!G54,'Calc Cashflow'!G54)</f>
        <v/>
      </c>
      <c r="K48" s="65">
        <f>CHOOSE(Plan!$K$5,'Calc Smart'!H54,'Calc Avalanche'!H54,'Calc Snowball'!H54,'Calc Cashflow'!H54)</f>
        <v/>
      </c>
      <c r="L48" s="65">
        <f>CHOOSE(Plan!$K$5,'Calc Smart'!I54,'Calc Avalanche'!I54,'Calc Snowball'!I54,'Calc Cashflow'!I54)</f>
        <v/>
      </c>
      <c r="M48" s="65">
        <f>CHOOSE(Plan!$K$5,'Calc Smart'!J54,'Calc Avalanche'!J54,'Calc Snowball'!J54,'Calc Cashflow'!J54)</f>
        <v/>
      </c>
      <c r="N48" s="65">
        <f>CHOOSE(Plan!$K$5,'Calc Smart'!K54,'Calc Avalanche'!K54,'Calc Snowball'!K54,'Calc Cashflow'!K54)</f>
        <v/>
      </c>
      <c r="O48" s="65">
        <f>CHOOSE(Plan!$K$5,'Calc Smart'!L54,'Calc Avalanche'!L54,'Calc Snowball'!L54,'Calc Cashflow'!L54)</f>
        <v/>
      </c>
      <c r="P48" s="65">
        <f>CHOOSE(Plan!$K$5,'Calc Smart'!M54,'Calc Avalanche'!M54,'Calc Snowball'!M54,'Calc Cashflow'!M54)</f>
        <v/>
      </c>
      <c r="Q48" s="65">
        <f>CHOOSE(Plan!$K$5,'Calc Smart'!N54,'Calc Avalanche'!N54,'Calc Snowball'!N54,'Calc Cashflow'!N54)</f>
        <v/>
      </c>
    </row>
    <row r="49">
      <c r="B49" s="66">
        <f>EDATE(Plan!$C$6,43)</f>
        <v/>
      </c>
      <c r="C49" s="32">
        <f>CHOOSE(Plan!$K$5,'Calc Smart'!AE55,'Calc Avalanche'!AE55,'Calc Snowball'!AE55,'Calc Cashflow'!AE55)</f>
        <v/>
      </c>
      <c r="D49" s="32">
        <f>CHOOSE(Plan!$K$5,'Calc Smart'!AD55,'Calc Avalanche'!AD55,'Calc Snowball'!AD55,'Calc Cashflow'!AD55)</f>
        <v/>
      </c>
      <c r="E49" s="43">
        <f>CHOOSE(Plan!$K$5,COUNTIF('Calc Smart'!C55:N55,"&gt;0"),COUNTIF('Calc Avalanche'!C55:N55,"&gt;0"),COUNTIF('Calc Snowball'!C55:N55,"&gt;0"),COUNTIF('Calc Cashflow'!C55:N55,"&gt;0"))</f>
        <v/>
      </c>
      <c r="F49" s="67">
        <f>CHOOSE(Plan!$K$5,'Calc Smart'!C55,'Calc Avalanche'!C55,'Calc Snowball'!C55,'Calc Cashflow'!C55)</f>
        <v/>
      </c>
      <c r="G49" s="67">
        <f>CHOOSE(Plan!$K$5,'Calc Smart'!D55,'Calc Avalanche'!D55,'Calc Snowball'!D55,'Calc Cashflow'!D55)</f>
        <v/>
      </c>
      <c r="H49" s="67">
        <f>CHOOSE(Plan!$K$5,'Calc Smart'!E55,'Calc Avalanche'!E55,'Calc Snowball'!E55,'Calc Cashflow'!E55)</f>
        <v/>
      </c>
      <c r="I49" s="67">
        <f>CHOOSE(Plan!$K$5,'Calc Smart'!F55,'Calc Avalanche'!F55,'Calc Snowball'!F55,'Calc Cashflow'!F55)</f>
        <v/>
      </c>
      <c r="J49" s="67">
        <f>CHOOSE(Plan!$K$5,'Calc Smart'!G55,'Calc Avalanche'!G55,'Calc Snowball'!G55,'Calc Cashflow'!G55)</f>
        <v/>
      </c>
      <c r="K49" s="67">
        <f>CHOOSE(Plan!$K$5,'Calc Smart'!H55,'Calc Avalanche'!H55,'Calc Snowball'!H55,'Calc Cashflow'!H55)</f>
        <v/>
      </c>
      <c r="L49" s="67">
        <f>CHOOSE(Plan!$K$5,'Calc Smart'!I55,'Calc Avalanche'!I55,'Calc Snowball'!I55,'Calc Cashflow'!I55)</f>
        <v/>
      </c>
      <c r="M49" s="67">
        <f>CHOOSE(Plan!$K$5,'Calc Smart'!J55,'Calc Avalanche'!J55,'Calc Snowball'!J55,'Calc Cashflow'!J55)</f>
        <v/>
      </c>
      <c r="N49" s="67">
        <f>CHOOSE(Plan!$K$5,'Calc Smart'!K55,'Calc Avalanche'!K55,'Calc Snowball'!K55,'Calc Cashflow'!K55)</f>
        <v/>
      </c>
      <c r="O49" s="67">
        <f>CHOOSE(Plan!$K$5,'Calc Smart'!L55,'Calc Avalanche'!L55,'Calc Snowball'!L55,'Calc Cashflow'!L55)</f>
        <v/>
      </c>
      <c r="P49" s="67">
        <f>CHOOSE(Plan!$K$5,'Calc Smart'!M55,'Calc Avalanche'!M55,'Calc Snowball'!M55,'Calc Cashflow'!M55)</f>
        <v/>
      </c>
      <c r="Q49" s="67">
        <f>CHOOSE(Plan!$K$5,'Calc Smart'!N55,'Calc Avalanche'!N55,'Calc Snowball'!N55,'Calc Cashflow'!N55)</f>
        <v/>
      </c>
    </row>
    <row r="50">
      <c r="B50" s="64">
        <f>EDATE(Plan!$C$6,44)</f>
        <v/>
      </c>
      <c r="C50" s="31">
        <f>CHOOSE(Plan!$K$5,'Calc Smart'!AE56,'Calc Avalanche'!AE56,'Calc Snowball'!AE56,'Calc Cashflow'!AE56)</f>
        <v/>
      </c>
      <c r="D50" s="31">
        <f>CHOOSE(Plan!$K$5,'Calc Smart'!AD56,'Calc Avalanche'!AD56,'Calc Snowball'!AD56,'Calc Cashflow'!AD56)</f>
        <v/>
      </c>
      <c r="E50" s="40">
        <f>CHOOSE(Plan!$K$5,COUNTIF('Calc Smart'!C56:N56,"&gt;0"),COUNTIF('Calc Avalanche'!C56:N56,"&gt;0"),COUNTIF('Calc Snowball'!C56:N56,"&gt;0"),COUNTIF('Calc Cashflow'!C56:N56,"&gt;0"))</f>
        <v/>
      </c>
      <c r="F50" s="65">
        <f>CHOOSE(Plan!$K$5,'Calc Smart'!C56,'Calc Avalanche'!C56,'Calc Snowball'!C56,'Calc Cashflow'!C56)</f>
        <v/>
      </c>
      <c r="G50" s="65">
        <f>CHOOSE(Plan!$K$5,'Calc Smart'!D56,'Calc Avalanche'!D56,'Calc Snowball'!D56,'Calc Cashflow'!D56)</f>
        <v/>
      </c>
      <c r="H50" s="65">
        <f>CHOOSE(Plan!$K$5,'Calc Smart'!E56,'Calc Avalanche'!E56,'Calc Snowball'!E56,'Calc Cashflow'!E56)</f>
        <v/>
      </c>
      <c r="I50" s="65">
        <f>CHOOSE(Plan!$K$5,'Calc Smart'!F56,'Calc Avalanche'!F56,'Calc Snowball'!F56,'Calc Cashflow'!F56)</f>
        <v/>
      </c>
      <c r="J50" s="65">
        <f>CHOOSE(Plan!$K$5,'Calc Smart'!G56,'Calc Avalanche'!G56,'Calc Snowball'!G56,'Calc Cashflow'!G56)</f>
        <v/>
      </c>
      <c r="K50" s="65">
        <f>CHOOSE(Plan!$K$5,'Calc Smart'!H56,'Calc Avalanche'!H56,'Calc Snowball'!H56,'Calc Cashflow'!H56)</f>
        <v/>
      </c>
      <c r="L50" s="65">
        <f>CHOOSE(Plan!$K$5,'Calc Smart'!I56,'Calc Avalanche'!I56,'Calc Snowball'!I56,'Calc Cashflow'!I56)</f>
        <v/>
      </c>
      <c r="M50" s="65">
        <f>CHOOSE(Plan!$K$5,'Calc Smart'!J56,'Calc Avalanche'!J56,'Calc Snowball'!J56,'Calc Cashflow'!J56)</f>
        <v/>
      </c>
      <c r="N50" s="65">
        <f>CHOOSE(Plan!$K$5,'Calc Smart'!K56,'Calc Avalanche'!K56,'Calc Snowball'!K56,'Calc Cashflow'!K56)</f>
        <v/>
      </c>
      <c r="O50" s="65">
        <f>CHOOSE(Plan!$K$5,'Calc Smart'!L56,'Calc Avalanche'!L56,'Calc Snowball'!L56,'Calc Cashflow'!L56)</f>
        <v/>
      </c>
      <c r="P50" s="65">
        <f>CHOOSE(Plan!$K$5,'Calc Smart'!M56,'Calc Avalanche'!M56,'Calc Snowball'!M56,'Calc Cashflow'!M56)</f>
        <v/>
      </c>
      <c r="Q50" s="65">
        <f>CHOOSE(Plan!$K$5,'Calc Smart'!N56,'Calc Avalanche'!N56,'Calc Snowball'!N56,'Calc Cashflow'!N56)</f>
        <v/>
      </c>
    </row>
    <row r="51">
      <c r="B51" s="66">
        <f>EDATE(Plan!$C$6,45)</f>
        <v/>
      </c>
      <c r="C51" s="32">
        <f>CHOOSE(Plan!$K$5,'Calc Smart'!AE57,'Calc Avalanche'!AE57,'Calc Snowball'!AE57,'Calc Cashflow'!AE57)</f>
        <v/>
      </c>
      <c r="D51" s="32">
        <f>CHOOSE(Plan!$K$5,'Calc Smart'!AD57,'Calc Avalanche'!AD57,'Calc Snowball'!AD57,'Calc Cashflow'!AD57)</f>
        <v/>
      </c>
      <c r="E51" s="43">
        <f>CHOOSE(Plan!$K$5,COUNTIF('Calc Smart'!C57:N57,"&gt;0"),COUNTIF('Calc Avalanche'!C57:N57,"&gt;0"),COUNTIF('Calc Snowball'!C57:N57,"&gt;0"),COUNTIF('Calc Cashflow'!C57:N57,"&gt;0"))</f>
        <v/>
      </c>
      <c r="F51" s="67">
        <f>CHOOSE(Plan!$K$5,'Calc Smart'!C57,'Calc Avalanche'!C57,'Calc Snowball'!C57,'Calc Cashflow'!C57)</f>
        <v/>
      </c>
      <c r="G51" s="67">
        <f>CHOOSE(Plan!$K$5,'Calc Smart'!D57,'Calc Avalanche'!D57,'Calc Snowball'!D57,'Calc Cashflow'!D57)</f>
        <v/>
      </c>
      <c r="H51" s="67">
        <f>CHOOSE(Plan!$K$5,'Calc Smart'!E57,'Calc Avalanche'!E57,'Calc Snowball'!E57,'Calc Cashflow'!E57)</f>
        <v/>
      </c>
      <c r="I51" s="67">
        <f>CHOOSE(Plan!$K$5,'Calc Smart'!F57,'Calc Avalanche'!F57,'Calc Snowball'!F57,'Calc Cashflow'!F57)</f>
        <v/>
      </c>
      <c r="J51" s="67">
        <f>CHOOSE(Plan!$K$5,'Calc Smart'!G57,'Calc Avalanche'!G57,'Calc Snowball'!G57,'Calc Cashflow'!G57)</f>
        <v/>
      </c>
      <c r="K51" s="67">
        <f>CHOOSE(Plan!$K$5,'Calc Smart'!H57,'Calc Avalanche'!H57,'Calc Snowball'!H57,'Calc Cashflow'!H57)</f>
        <v/>
      </c>
      <c r="L51" s="67">
        <f>CHOOSE(Plan!$K$5,'Calc Smart'!I57,'Calc Avalanche'!I57,'Calc Snowball'!I57,'Calc Cashflow'!I57)</f>
        <v/>
      </c>
      <c r="M51" s="67">
        <f>CHOOSE(Plan!$K$5,'Calc Smart'!J57,'Calc Avalanche'!J57,'Calc Snowball'!J57,'Calc Cashflow'!J57)</f>
        <v/>
      </c>
      <c r="N51" s="67">
        <f>CHOOSE(Plan!$K$5,'Calc Smart'!K57,'Calc Avalanche'!K57,'Calc Snowball'!K57,'Calc Cashflow'!K57)</f>
        <v/>
      </c>
      <c r="O51" s="67">
        <f>CHOOSE(Plan!$K$5,'Calc Smart'!L57,'Calc Avalanche'!L57,'Calc Snowball'!L57,'Calc Cashflow'!L57)</f>
        <v/>
      </c>
      <c r="P51" s="67">
        <f>CHOOSE(Plan!$K$5,'Calc Smart'!M57,'Calc Avalanche'!M57,'Calc Snowball'!M57,'Calc Cashflow'!M57)</f>
        <v/>
      </c>
      <c r="Q51" s="67">
        <f>CHOOSE(Plan!$K$5,'Calc Smart'!N57,'Calc Avalanche'!N57,'Calc Snowball'!N57,'Calc Cashflow'!N57)</f>
        <v/>
      </c>
    </row>
    <row r="52">
      <c r="B52" s="64">
        <f>EDATE(Plan!$C$6,46)</f>
        <v/>
      </c>
      <c r="C52" s="31">
        <f>CHOOSE(Plan!$K$5,'Calc Smart'!AE58,'Calc Avalanche'!AE58,'Calc Snowball'!AE58,'Calc Cashflow'!AE58)</f>
        <v/>
      </c>
      <c r="D52" s="31">
        <f>CHOOSE(Plan!$K$5,'Calc Smart'!AD58,'Calc Avalanche'!AD58,'Calc Snowball'!AD58,'Calc Cashflow'!AD58)</f>
        <v/>
      </c>
      <c r="E52" s="40">
        <f>CHOOSE(Plan!$K$5,COUNTIF('Calc Smart'!C58:N58,"&gt;0"),COUNTIF('Calc Avalanche'!C58:N58,"&gt;0"),COUNTIF('Calc Snowball'!C58:N58,"&gt;0"),COUNTIF('Calc Cashflow'!C58:N58,"&gt;0"))</f>
        <v/>
      </c>
      <c r="F52" s="65">
        <f>CHOOSE(Plan!$K$5,'Calc Smart'!C58,'Calc Avalanche'!C58,'Calc Snowball'!C58,'Calc Cashflow'!C58)</f>
        <v/>
      </c>
      <c r="G52" s="65">
        <f>CHOOSE(Plan!$K$5,'Calc Smart'!D58,'Calc Avalanche'!D58,'Calc Snowball'!D58,'Calc Cashflow'!D58)</f>
        <v/>
      </c>
      <c r="H52" s="65">
        <f>CHOOSE(Plan!$K$5,'Calc Smart'!E58,'Calc Avalanche'!E58,'Calc Snowball'!E58,'Calc Cashflow'!E58)</f>
        <v/>
      </c>
      <c r="I52" s="65">
        <f>CHOOSE(Plan!$K$5,'Calc Smart'!F58,'Calc Avalanche'!F58,'Calc Snowball'!F58,'Calc Cashflow'!F58)</f>
        <v/>
      </c>
      <c r="J52" s="65">
        <f>CHOOSE(Plan!$K$5,'Calc Smart'!G58,'Calc Avalanche'!G58,'Calc Snowball'!G58,'Calc Cashflow'!G58)</f>
        <v/>
      </c>
      <c r="K52" s="65">
        <f>CHOOSE(Plan!$K$5,'Calc Smart'!H58,'Calc Avalanche'!H58,'Calc Snowball'!H58,'Calc Cashflow'!H58)</f>
        <v/>
      </c>
      <c r="L52" s="65">
        <f>CHOOSE(Plan!$K$5,'Calc Smart'!I58,'Calc Avalanche'!I58,'Calc Snowball'!I58,'Calc Cashflow'!I58)</f>
        <v/>
      </c>
      <c r="M52" s="65">
        <f>CHOOSE(Plan!$K$5,'Calc Smart'!J58,'Calc Avalanche'!J58,'Calc Snowball'!J58,'Calc Cashflow'!J58)</f>
        <v/>
      </c>
      <c r="N52" s="65">
        <f>CHOOSE(Plan!$K$5,'Calc Smart'!K58,'Calc Avalanche'!K58,'Calc Snowball'!K58,'Calc Cashflow'!K58)</f>
        <v/>
      </c>
      <c r="O52" s="65">
        <f>CHOOSE(Plan!$K$5,'Calc Smart'!L58,'Calc Avalanche'!L58,'Calc Snowball'!L58,'Calc Cashflow'!L58)</f>
        <v/>
      </c>
      <c r="P52" s="65">
        <f>CHOOSE(Plan!$K$5,'Calc Smart'!M58,'Calc Avalanche'!M58,'Calc Snowball'!M58,'Calc Cashflow'!M58)</f>
        <v/>
      </c>
      <c r="Q52" s="65">
        <f>CHOOSE(Plan!$K$5,'Calc Smart'!N58,'Calc Avalanche'!N58,'Calc Snowball'!N58,'Calc Cashflow'!N58)</f>
        <v/>
      </c>
    </row>
    <row r="53">
      <c r="B53" s="66">
        <f>EDATE(Plan!$C$6,47)</f>
        <v/>
      </c>
      <c r="C53" s="32">
        <f>CHOOSE(Plan!$K$5,'Calc Smart'!AE59,'Calc Avalanche'!AE59,'Calc Snowball'!AE59,'Calc Cashflow'!AE59)</f>
        <v/>
      </c>
      <c r="D53" s="32">
        <f>CHOOSE(Plan!$K$5,'Calc Smart'!AD59,'Calc Avalanche'!AD59,'Calc Snowball'!AD59,'Calc Cashflow'!AD59)</f>
        <v/>
      </c>
      <c r="E53" s="43">
        <f>CHOOSE(Plan!$K$5,COUNTIF('Calc Smart'!C59:N59,"&gt;0"),COUNTIF('Calc Avalanche'!C59:N59,"&gt;0"),COUNTIF('Calc Snowball'!C59:N59,"&gt;0"),COUNTIF('Calc Cashflow'!C59:N59,"&gt;0"))</f>
        <v/>
      </c>
      <c r="F53" s="67">
        <f>CHOOSE(Plan!$K$5,'Calc Smart'!C59,'Calc Avalanche'!C59,'Calc Snowball'!C59,'Calc Cashflow'!C59)</f>
        <v/>
      </c>
      <c r="G53" s="67">
        <f>CHOOSE(Plan!$K$5,'Calc Smart'!D59,'Calc Avalanche'!D59,'Calc Snowball'!D59,'Calc Cashflow'!D59)</f>
        <v/>
      </c>
      <c r="H53" s="67">
        <f>CHOOSE(Plan!$K$5,'Calc Smart'!E59,'Calc Avalanche'!E59,'Calc Snowball'!E59,'Calc Cashflow'!E59)</f>
        <v/>
      </c>
      <c r="I53" s="67">
        <f>CHOOSE(Plan!$K$5,'Calc Smart'!F59,'Calc Avalanche'!F59,'Calc Snowball'!F59,'Calc Cashflow'!F59)</f>
        <v/>
      </c>
      <c r="J53" s="67">
        <f>CHOOSE(Plan!$K$5,'Calc Smart'!G59,'Calc Avalanche'!G59,'Calc Snowball'!G59,'Calc Cashflow'!G59)</f>
        <v/>
      </c>
      <c r="K53" s="67">
        <f>CHOOSE(Plan!$K$5,'Calc Smart'!H59,'Calc Avalanche'!H59,'Calc Snowball'!H59,'Calc Cashflow'!H59)</f>
        <v/>
      </c>
      <c r="L53" s="67">
        <f>CHOOSE(Plan!$K$5,'Calc Smart'!I59,'Calc Avalanche'!I59,'Calc Snowball'!I59,'Calc Cashflow'!I59)</f>
        <v/>
      </c>
      <c r="M53" s="67">
        <f>CHOOSE(Plan!$K$5,'Calc Smart'!J59,'Calc Avalanche'!J59,'Calc Snowball'!J59,'Calc Cashflow'!J59)</f>
        <v/>
      </c>
      <c r="N53" s="67">
        <f>CHOOSE(Plan!$K$5,'Calc Smart'!K59,'Calc Avalanche'!K59,'Calc Snowball'!K59,'Calc Cashflow'!K59)</f>
        <v/>
      </c>
      <c r="O53" s="67">
        <f>CHOOSE(Plan!$K$5,'Calc Smart'!L59,'Calc Avalanche'!L59,'Calc Snowball'!L59,'Calc Cashflow'!L59)</f>
        <v/>
      </c>
      <c r="P53" s="67">
        <f>CHOOSE(Plan!$K$5,'Calc Smart'!M59,'Calc Avalanche'!M59,'Calc Snowball'!M59,'Calc Cashflow'!M59)</f>
        <v/>
      </c>
      <c r="Q53" s="67">
        <f>CHOOSE(Plan!$K$5,'Calc Smart'!N59,'Calc Avalanche'!N59,'Calc Snowball'!N59,'Calc Cashflow'!N59)</f>
        <v/>
      </c>
    </row>
    <row r="54">
      <c r="B54" s="64">
        <f>EDATE(Plan!$C$6,48)</f>
        <v/>
      </c>
      <c r="C54" s="31">
        <f>CHOOSE(Plan!$K$5,'Calc Smart'!AE60,'Calc Avalanche'!AE60,'Calc Snowball'!AE60,'Calc Cashflow'!AE60)</f>
        <v/>
      </c>
      <c r="D54" s="31">
        <f>CHOOSE(Plan!$K$5,'Calc Smart'!AD60,'Calc Avalanche'!AD60,'Calc Snowball'!AD60,'Calc Cashflow'!AD60)</f>
        <v/>
      </c>
      <c r="E54" s="40">
        <f>CHOOSE(Plan!$K$5,COUNTIF('Calc Smart'!C60:N60,"&gt;0"),COUNTIF('Calc Avalanche'!C60:N60,"&gt;0"),COUNTIF('Calc Snowball'!C60:N60,"&gt;0"),COUNTIF('Calc Cashflow'!C60:N60,"&gt;0"))</f>
        <v/>
      </c>
      <c r="F54" s="65">
        <f>CHOOSE(Plan!$K$5,'Calc Smart'!C60,'Calc Avalanche'!C60,'Calc Snowball'!C60,'Calc Cashflow'!C60)</f>
        <v/>
      </c>
      <c r="G54" s="65">
        <f>CHOOSE(Plan!$K$5,'Calc Smart'!D60,'Calc Avalanche'!D60,'Calc Snowball'!D60,'Calc Cashflow'!D60)</f>
        <v/>
      </c>
      <c r="H54" s="65">
        <f>CHOOSE(Plan!$K$5,'Calc Smart'!E60,'Calc Avalanche'!E60,'Calc Snowball'!E60,'Calc Cashflow'!E60)</f>
        <v/>
      </c>
      <c r="I54" s="65">
        <f>CHOOSE(Plan!$K$5,'Calc Smart'!F60,'Calc Avalanche'!F60,'Calc Snowball'!F60,'Calc Cashflow'!F60)</f>
        <v/>
      </c>
      <c r="J54" s="65">
        <f>CHOOSE(Plan!$K$5,'Calc Smart'!G60,'Calc Avalanche'!G60,'Calc Snowball'!G60,'Calc Cashflow'!G60)</f>
        <v/>
      </c>
      <c r="K54" s="65">
        <f>CHOOSE(Plan!$K$5,'Calc Smart'!H60,'Calc Avalanche'!H60,'Calc Snowball'!H60,'Calc Cashflow'!H60)</f>
        <v/>
      </c>
      <c r="L54" s="65">
        <f>CHOOSE(Plan!$K$5,'Calc Smart'!I60,'Calc Avalanche'!I60,'Calc Snowball'!I60,'Calc Cashflow'!I60)</f>
        <v/>
      </c>
      <c r="M54" s="65">
        <f>CHOOSE(Plan!$K$5,'Calc Smart'!J60,'Calc Avalanche'!J60,'Calc Snowball'!J60,'Calc Cashflow'!J60)</f>
        <v/>
      </c>
      <c r="N54" s="65">
        <f>CHOOSE(Plan!$K$5,'Calc Smart'!K60,'Calc Avalanche'!K60,'Calc Snowball'!K60,'Calc Cashflow'!K60)</f>
        <v/>
      </c>
      <c r="O54" s="65">
        <f>CHOOSE(Plan!$K$5,'Calc Smart'!L60,'Calc Avalanche'!L60,'Calc Snowball'!L60,'Calc Cashflow'!L60)</f>
        <v/>
      </c>
      <c r="P54" s="65">
        <f>CHOOSE(Plan!$K$5,'Calc Smart'!M60,'Calc Avalanche'!M60,'Calc Snowball'!M60,'Calc Cashflow'!M60)</f>
        <v/>
      </c>
      <c r="Q54" s="65">
        <f>CHOOSE(Plan!$K$5,'Calc Smart'!N60,'Calc Avalanche'!N60,'Calc Snowball'!N60,'Calc Cashflow'!N60)</f>
        <v/>
      </c>
    </row>
    <row r="55">
      <c r="B55" s="66">
        <f>EDATE(Plan!$C$6,49)</f>
        <v/>
      </c>
      <c r="C55" s="32">
        <f>CHOOSE(Plan!$K$5,'Calc Smart'!AE61,'Calc Avalanche'!AE61,'Calc Snowball'!AE61,'Calc Cashflow'!AE61)</f>
        <v/>
      </c>
      <c r="D55" s="32">
        <f>CHOOSE(Plan!$K$5,'Calc Smart'!AD61,'Calc Avalanche'!AD61,'Calc Snowball'!AD61,'Calc Cashflow'!AD61)</f>
        <v/>
      </c>
      <c r="E55" s="43">
        <f>CHOOSE(Plan!$K$5,COUNTIF('Calc Smart'!C61:N61,"&gt;0"),COUNTIF('Calc Avalanche'!C61:N61,"&gt;0"),COUNTIF('Calc Snowball'!C61:N61,"&gt;0"),COUNTIF('Calc Cashflow'!C61:N61,"&gt;0"))</f>
        <v/>
      </c>
      <c r="F55" s="67">
        <f>CHOOSE(Plan!$K$5,'Calc Smart'!C61,'Calc Avalanche'!C61,'Calc Snowball'!C61,'Calc Cashflow'!C61)</f>
        <v/>
      </c>
      <c r="G55" s="67">
        <f>CHOOSE(Plan!$K$5,'Calc Smart'!D61,'Calc Avalanche'!D61,'Calc Snowball'!D61,'Calc Cashflow'!D61)</f>
        <v/>
      </c>
      <c r="H55" s="67">
        <f>CHOOSE(Plan!$K$5,'Calc Smart'!E61,'Calc Avalanche'!E61,'Calc Snowball'!E61,'Calc Cashflow'!E61)</f>
        <v/>
      </c>
      <c r="I55" s="67">
        <f>CHOOSE(Plan!$K$5,'Calc Smart'!F61,'Calc Avalanche'!F61,'Calc Snowball'!F61,'Calc Cashflow'!F61)</f>
        <v/>
      </c>
      <c r="J55" s="67">
        <f>CHOOSE(Plan!$K$5,'Calc Smart'!G61,'Calc Avalanche'!G61,'Calc Snowball'!G61,'Calc Cashflow'!G61)</f>
        <v/>
      </c>
      <c r="K55" s="67">
        <f>CHOOSE(Plan!$K$5,'Calc Smart'!H61,'Calc Avalanche'!H61,'Calc Snowball'!H61,'Calc Cashflow'!H61)</f>
        <v/>
      </c>
      <c r="L55" s="67">
        <f>CHOOSE(Plan!$K$5,'Calc Smart'!I61,'Calc Avalanche'!I61,'Calc Snowball'!I61,'Calc Cashflow'!I61)</f>
        <v/>
      </c>
      <c r="M55" s="67">
        <f>CHOOSE(Plan!$K$5,'Calc Smart'!J61,'Calc Avalanche'!J61,'Calc Snowball'!J61,'Calc Cashflow'!J61)</f>
        <v/>
      </c>
      <c r="N55" s="67">
        <f>CHOOSE(Plan!$K$5,'Calc Smart'!K61,'Calc Avalanche'!K61,'Calc Snowball'!K61,'Calc Cashflow'!K61)</f>
        <v/>
      </c>
      <c r="O55" s="67">
        <f>CHOOSE(Plan!$K$5,'Calc Smart'!L61,'Calc Avalanche'!L61,'Calc Snowball'!L61,'Calc Cashflow'!L61)</f>
        <v/>
      </c>
      <c r="P55" s="67">
        <f>CHOOSE(Plan!$K$5,'Calc Smart'!M61,'Calc Avalanche'!M61,'Calc Snowball'!M61,'Calc Cashflow'!M61)</f>
        <v/>
      </c>
      <c r="Q55" s="67">
        <f>CHOOSE(Plan!$K$5,'Calc Smart'!N61,'Calc Avalanche'!N61,'Calc Snowball'!N61,'Calc Cashflow'!N61)</f>
        <v/>
      </c>
    </row>
    <row r="56">
      <c r="B56" s="64">
        <f>EDATE(Plan!$C$6,50)</f>
        <v/>
      </c>
      <c r="C56" s="31">
        <f>CHOOSE(Plan!$K$5,'Calc Smart'!AE62,'Calc Avalanche'!AE62,'Calc Snowball'!AE62,'Calc Cashflow'!AE62)</f>
        <v/>
      </c>
      <c r="D56" s="31">
        <f>CHOOSE(Plan!$K$5,'Calc Smart'!AD62,'Calc Avalanche'!AD62,'Calc Snowball'!AD62,'Calc Cashflow'!AD62)</f>
        <v/>
      </c>
      <c r="E56" s="40">
        <f>CHOOSE(Plan!$K$5,COUNTIF('Calc Smart'!C62:N62,"&gt;0"),COUNTIF('Calc Avalanche'!C62:N62,"&gt;0"),COUNTIF('Calc Snowball'!C62:N62,"&gt;0"),COUNTIF('Calc Cashflow'!C62:N62,"&gt;0"))</f>
        <v/>
      </c>
      <c r="F56" s="65">
        <f>CHOOSE(Plan!$K$5,'Calc Smart'!C62,'Calc Avalanche'!C62,'Calc Snowball'!C62,'Calc Cashflow'!C62)</f>
        <v/>
      </c>
      <c r="G56" s="65">
        <f>CHOOSE(Plan!$K$5,'Calc Smart'!D62,'Calc Avalanche'!D62,'Calc Snowball'!D62,'Calc Cashflow'!D62)</f>
        <v/>
      </c>
      <c r="H56" s="65">
        <f>CHOOSE(Plan!$K$5,'Calc Smart'!E62,'Calc Avalanche'!E62,'Calc Snowball'!E62,'Calc Cashflow'!E62)</f>
        <v/>
      </c>
      <c r="I56" s="65">
        <f>CHOOSE(Plan!$K$5,'Calc Smart'!F62,'Calc Avalanche'!F62,'Calc Snowball'!F62,'Calc Cashflow'!F62)</f>
        <v/>
      </c>
      <c r="J56" s="65">
        <f>CHOOSE(Plan!$K$5,'Calc Smart'!G62,'Calc Avalanche'!G62,'Calc Snowball'!G62,'Calc Cashflow'!G62)</f>
        <v/>
      </c>
      <c r="K56" s="65">
        <f>CHOOSE(Plan!$K$5,'Calc Smart'!H62,'Calc Avalanche'!H62,'Calc Snowball'!H62,'Calc Cashflow'!H62)</f>
        <v/>
      </c>
      <c r="L56" s="65">
        <f>CHOOSE(Plan!$K$5,'Calc Smart'!I62,'Calc Avalanche'!I62,'Calc Snowball'!I62,'Calc Cashflow'!I62)</f>
        <v/>
      </c>
      <c r="M56" s="65">
        <f>CHOOSE(Plan!$K$5,'Calc Smart'!J62,'Calc Avalanche'!J62,'Calc Snowball'!J62,'Calc Cashflow'!J62)</f>
        <v/>
      </c>
      <c r="N56" s="65">
        <f>CHOOSE(Plan!$K$5,'Calc Smart'!K62,'Calc Avalanche'!K62,'Calc Snowball'!K62,'Calc Cashflow'!K62)</f>
        <v/>
      </c>
      <c r="O56" s="65">
        <f>CHOOSE(Plan!$K$5,'Calc Smart'!L62,'Calc Avalanche'!L62,'Calc Snowball'!L62,'Calc Cashflow'!L62)</f>
        <v/>
      </c>
      <c r="P56" s="65">
        <f>CHOOSE(Plan!$K$5,'Calc Smart'!M62,'Calc Avalanche'!M62,'Calc Snowball'!M62,'Calc Cashflow'!M62)</f>
        <v/>
      </c>
      <c r="Q56" s="65">
        <f>CHOOSE(Plan!$K$5,'Calc Smart'!N62,'Calc Avalanche'!N62,'Calc Snowball'!N62,'Calc Cashflow'!N62)</f>
        <v/>
      </c>
    </row>
    <row r="57">
      <c r="B57" s="66">
        <f>EDATE(Plan!$C$6,51)</f>
        <v/>
      </c>
      <c r="C57" s="32">
        <f>CHOOSE(Plan!$K$5,'Calc Smart'!AE63,'Calc Avalanche'!AE63,'Calc Snowball'!AE63,'Calc Cashflow'!AE63)</f>
        <v/>
      </c>
      <c r="D57" s="32">
        <f>CHOOSE(Plan!$K$5,'Calc Smart'!AD63,'Calc Avalanche'!AD63,'Calc Snowball'!AD63,'Calc Cashflow'!AD63)</f>
        <v/>
      </c>
      <c r="E57" s="43">
        <f>CHOOSE(Plan!$K$5,COUNTIF('Calc Smart'!C63:N63,"&gt;0"),COUNTIF('Calc Avalanche'!C63:N63,"&gt;0"),COUNTIF('Calc Snowball'!C63:N63,"&gt;0"),COUNTIF('Calc Cashflow'!C63:N63,"&gt;0"))</f>
        <v/>
      </c>
      <c r="F57" s="67">
        <f>CHOOSE(Plan!$K$5,'Calc Smart'!C63,'Calc Avalanche'!C63,'Calc Snowball'!C63,'Calc Cashflow'!C63)</f>
        <v/>
      </c>
      <c r="G57" s="67">
        <f>CHOOSE(Plan!$K$5,'Calc Smart'!D63,'Calc Avalanche'!D63,'Calc Snowball'!D63,'Calc Cashflow'!D63)</f>
        <v/>
      </c>
      <c r="H57" s="67">
        <f>CHOOSE(Plan!$K$5,'Calc Smart'!E63,'Calc Avalanche'!E63,'Calc Snowball'!E63,'Calc Cashflow'!E63)</f>
        <v/>
      </c>
      <c r="I57" s="67">
        <f>CHOOSE(Plan!$K$5,'Calc Smart'!F63,'Calc Avalanche'!F63,'Calc Snowball'!F63,'Calc Cashflow'!F63)</f>
        <v/>
      </c>
      <c r="J57" s="67">
        <f>CHOOSE(Plan!$K$5,'Calc Smart'!G63,'Calc Avalanche'!G63,'Calc Snowball'!G63,'Calc Cashflow'!G63)</f>
        <v/>
      </c>
      <c r="K57" s="67">
        <f>CHOOSE(Plan!$K$5,'Calc Smart'!H63,'Calc Avalanche'!H63,'Calc Snowball'!H63,'Calc Cashflow'!H63)</f>
        <v/>
      </c>
      <c r="L57" s="67">
        <f>CHOOSE(Plan!$K$5,'Calc Smart'!I63,'Calc Avalanche'!I63,'Calc Snowball'!I63,'Calc Cashflow'!I63)</f>
        <v/>
      </c>
      <c r="M57" s="67">
        <f>CHOOSE(Plan!$K$5,'Calc Smart'!J63,'Calc Avalanche'!J63,'Calc Snowball'!J63,'Calc Cashflow'!J63)</f>
        <v/>
      </c>
      <c r="N57" s="67">
        <f>CHOOSE(Plan!$K$5,'Calc Smart'!K63,'Calc Avalanche'!K63,'Calc Snowball'!K63,'Calc Cashflow'!K63)</f>
        <v/>
      </c>
      <c r="O57" s="67">
        <f>CHOOSE(Plan!$K$5,'Calc Smart'!L63,'Calc Avalanche'!L63,'Calc Snowball'!L63,'Calc Cashflow'!L63)</f>
        <v/>
      </c>
      <c r="P57" s="67">
        <f>CHOOSE(Plan!$K$5,'Calc Smart'!M63,'Calc Avalanche'!M63,'Calc Snowball'!M63,'Calc Cashflow'!M63)</f>
        <v/>
      </c>
      <c r="Q57" s="67">
        <f>CHOOSE(Plan!$K$5,'Calc Smart'!N63,'Calc Avalanche'!N63,'Calc Snowball'!N63,'Calc Cashflow'!N63)</f>
        <v/>
      </c>
    </row>
    <row r="58">
      <c r="B58" s="64">
        <f>EDATE(Plan!$C$6,52)</f>
        <v/>
      </c>
      <c r="C58" s="31">
        <f>CHOOSE(Plan!$K$5,'Calc Smart'!AE64,'Calc Avalanche'!AE64,'Calc Snowball'!AE64,'Calc Cashflow'!AE64)</f>
        <v/>
      </c>
      <c r="D58" s="31">
        <f>CHOOSE(Plan!$K$5,'Calc Smart'!AD64,'Calc Avalanche'!AD64,'Calc Snowball'!AD64,'Calc Cashflow'!AD64)</f>
        <v/>
      </c>
      <c r="E58" s="40">
        <f>CHOOSE(Plan!$K$5,COUNTIF('Calc Smart'!C64:N64,"&gt;0"),COUNTIF('Calc Avalanche'!C64:N64,"&gt;0"),COUNTIF('Calc Snowball'!C64:N64,"&gt;0"),COUNTIF('Calc Cashflow'!C64:N64,"&gt;0"))</f>
        <v/>
      </c>
      <c r="F58" s="65">
        <f>CHOOSE(Plan!$K$5,'Calc Smart'!C64,'Calc Avalanche'!C64,'Calc Snowball'!C64,'Calc Cashflow'!C64)</f>
        <v/>
      </c>
      <c r="G58" s="65">
        <f>CHOOSE(Plan!$K$5,'Calc Smart'!D64,'Calc Avalanche'!D64,'Calc Snowball'!D64,'Calc Cashflow'!D64)</f>
        <v/>
      </c>
      <c r="H58" s="65">
        <f>CHOOSE(Plan!$K$5,'Calc Smart'!E64,'Calc Avalanche'!E64,'Calc Snowball'!E64,'Calc Cashflow'!E64)</f>
        <v/>
      </c>
      <c r="I58" s="65">
        <f>CHOOSE(Plan!$K$5,'Calc Smart'!F64,'Calc Avalanche'!F64,'Calc Snowball'!F64,'Calc Cashflow'!F64)</f>
        <v/>
      </c>
      <c r="J58" s="65">
        <f>CHOOSE(Plan!$K$5,'Calc Smart'!G64,'Calc Avalanche'!G64,'Calc Snowball'!G64,'Calc Cashflow'!G64)</f>
        <v/>
      </c>
      <c r="K58" s="65">
        <f>CHOOSE(Plan!$K$5,'Calc Smart'!H64,'Calc Avalanche'!H64,'Calc Snowball'!H64,'Calc Cashflow'!H64)</f>
        <v/>
      </c>
      <c r="L58" s="65">
        <f>CHOOSE(Plan!$K$5,'Calc Smart'!I64,'Calc Avalanche'!I64,'Calc Snowball'!I64,'Calc Cashflow'!I64)</f>
        <v/>
      </c>
      <c r="M58" s="65">
        <f>CHOOSE(Plan!$K$5,'Calc Smart'!J64,'Calc Avalanche'!J64,'Calc Snowball'!J64,'Calc Cashflow'!J64)</f>
        <v/>
      </c>
      <c r="N58" s="65">
        <f>CHOOSE(Plan!$K$5,'Calc Smart'!K64,'Calc Avalanche'!K64,'Calc Snowball'!K64,'Calc Cashflow'!K64)</f>
        <v/>
      </c>
      <c r="O58" s="65">
        <f>CHOOSE(Plan!$K$5,'Calc Smart'!L64,'Calc Avalanche'!L64,'Calc Snowball'!L64,'Calc Cashflow'!L64)</f>
        <v/>
      </c>
      <c r="P58" s="65">
        <f>CHOOSE(Plan!$K$5,'Calc Smart'!M64,'Calc Avalanche'!M64,'Calc Snowball'!M64,'Calc Cashflow'!M64)</f>
        <v/>
      </c>
      <c r="Q58" s="65">
        <f>CHOOSE(Plan!$K$5,'Calc Smart'!N64,'Calc Avalanche'!N64,'Calc Snowball'!N64,'Calc Cashflow'!N64)</f>
        <v/>
      </c>
    </row>
    <row r="59">
      <c r="B59" s="66">
        <f>EDATE(Plan!$C$6,53)</f>
        <v/>
      </c>
      <c r="C59" s="32">
        <f>CHOOSE(Plan!$K$5,'Calc Smart'!AE65,'Calc Avalanche'!AE65,'Calc Snowball'!AE65,'Calc Cashflow'!AE65)</f>
        <v/>
      </c>
      <c r="D59" s="32">
        <f>CHOOSE(Plan!$K$5,'Calc Smart'!AD65,'Calc Avalanche'!AD65,'Calc Snowball'!AD65,'Calc Cashflow'!AD65)</f>
        <v/>
      </c>
      <c r="E59" s="43">
        <f>CHOOSE(Plan!$K$5,COUNTIF('Calc Smart'!C65:N65,"&gt;0"),COUNTIF('Calc Avalanche'!C65:N65,"&gt;0"),COUNTIF('Calc Snowball'!C65:N65,"&gt;0"),COUNTIF('Calc Cashflow'!C65:N65,"&gt;0"))</f>
        <v/>
      </c>
      <c r="F59" s="67">
        <f>CHOOSE(Plan!$K$5,'Calc Smart'!C65,'Calc Avalanche'!C65,'Calc Snowball'!C65,'Calc Cashflow'!C65)</f>
        <v/>
      </c>
      <c r="G59" s="67">
        <f>CHOOSE(Plan!$K$5,'Calc Smart'!D65,'Calc Avalanche'!D65,'Calc Snowball'!D65,'Calc Cashflow'!D65)</f>
        <v/>
      </c>
      <c r="H59" s="67">
        <f>CHOOSE(Plan!$K$5,'Calc Smart'!E65,'Calc Avalanche'!E65,'Calc Snowball'!E65,'Calc Cashflow'!E65)</f>
        <v/>
      </c>
      <c r="I59" s="67">
        <f>CHOOSE(Plan!$K$5,'Calc Smart'!F65,'Calc Avalanche'!F65,'Calc Snowball'!F65,'Calc Cashflow'!F65)</f>
        <v/>
      </c>
      <c r="J59" s="67">
        <f>CHOOSE(Plan!$K$5,'Calc Smart'!G65,'Calc Avalanche'!G65,'Calc Snowball'!G65,'Calc Cashflow'!G65)</f>
        <v/>
      </c>
      <c r="K59" s="67">
        <f>CHOOSE(Plan!$K$5,'Calc Smart'!H65,'Calc Avalanche'!H65,'Calc Snowball'!H65,'Calc Cashflow'!H65)</f>
        <v/>
      </c>
      <c r="L59" s="67">
        <f>CHOOSE(Plan!$K$5,'Calc Smart'!I65,'Calc Avalanche'!I65,'Calc Snowball'!I65,'Calc Cashflow'!I65)</f>
        <v/>
      </c>
      <c r="M59" s="67">
        <f>CHOOSE(Plan!$K$5,'Calc Smart'!J65,'Calc Avalanche'!J65,'Calc Snowball'!J65,'Calc Cashflow'!J65)</f>
        <v/>
      </c>
      <c r="N59" s="67">
        <f>CHOOSE(Plan!$K$5,'Calc Smart'!K65,'Calc Avalanche'!K65,'Calc Snowball'!K65,'Calc Cashflow'!K65)</f>
        <v/>
      </c>
      <c r="O59" s="67">
        <f>CHOOSE(Plan!$K$5,'Calc Smart'!L65,'Calc Avalanche'!L65,'Calc Snowball'!L65,'Calc Cashflow'!L65)</f>
        <v/>
      </c>
      <c r="P59" s="67">
        <f>CHOOSE(Plan!$K$5,'Calc Smart'!M65,'Calc Avalanche'!M65,'Calc Snowball'!M65,'Calc Cashflow'!M65)</f>
        <v/>
      </c>
      <c r="Q59" s="67">
        <f>CHOOSE(Plan!$K$5,'Calc Smart'!N65,'Calc Avalanche'!N65,'Calc Snowball'!N65,'Calc Cashflow'!N65)</f>
        <v/>
      </c>
    </row>
    <row r="60">
      <c r="B60" s="64">
        <f>EDATE(Plan!$C$6,54)</f>
        <v/>
      </c>
      <c r="C60" s="31">
        <f>CHOOSE(Plan!$K$5,'Calc Smart'!AE66,'Calc Avalanche'!AE66,'Calc Snowball'!AE66,'Calc Cashflow'!AE66)</f>
        <v/>
      </c>
      <c r="D60" s="31">
        <f>CHOOSE(Plan!$K$5,'Calc Smart'!AD66,'Calc Avalanche'!AD66,'Calc Snowball'!AD66,'Calc Cashflow'!AD66)</f>
        <v/>
      </c>
      <c r="E60" s="40">
        <f>CHOOSE(Plan!$K$5,COUNTIF('Calc Smart'!C66:N66,"&gt;0"),COUNTIF('Calc Avalanche'!C66:N66,"&gt;0"),COUNTIF('Calc Snowball'!C66:N66,"&gt;0"),COUNTIF('Calc Cashflow'!C66:N66,"&gt;0"))</f>
        <v/>
      </c>
      <c r="F60" s="65">
        <f>CHOOSE(Plan!$K$5,'Calc Smart'!C66,'Calc Avalanche'!C66,'Calc Snowball'!C66,'Calc Cashflow'!C66)</f>
        <v/>
      </c>
      <c r="G60" s="65">
        <f>CHOOSE(Plan!$K$5,'Calc Smart'!D66,'Calc Avalanche'!D66,'Calc Snowball'!D66,'Calc Cashflow'!D66)</f>
        <v/>
      </c>
      <c r="H60" s="65">
        <f>CHOOSE(Plan!$K$5,'Calc Smart'!E66,'Calc Avalanche'!E66,'Calc Snowball'!E66,'Calc Cashflow'!E66)</f>
        <v/>
      </c>
      <c r="I60" s="65">
        <f>CHOOSE(Plan!$K$5,'Calc Smart'!F66,'Calc Avalanche'!F66,'Calc Snowball'!F66,'Calc Cashflow'!F66)</f>
        <v/>
      </c>
      <c r="J60" s="65">
        <f>CHOOSE(Plan!$K$5,'Calc Smart'!G66,'Calc Avalanche'!G66,'Calc Snowball'!G66,'Calc Cashflow'!G66)</f>
        <v/>
      </c>
      <c r="K60" s="65">
        <f>CHOOSE(Plan!$K$5,'Calc Smart'!H66,'Calc Avalanche'!H66,'Calc Snowball'!H66,'Calc Cashflow'!H66)</f>
        <v/>
      </c>
      <c r="L60" s="65">
        <f>CHOOSE(Plan!$K$5,'Calc Smart'!I66,'Calc Avalanche'!I66,'Calc Snowball'!I66,'Calc Cashflow'!I66)</f>
        <v/>
      </c>
      <c r="M60" s="65">
        <f>CHOOSE(Plan!$K$5,'Calc Smart'!J66,'Calc Avalanche'!J66,'Calc Snowball'!J66,'Calc Cashflow'!J66)</f>
        <v/>
      </c>
      <c r="N60" s="65">
        <f>CHOOSE(Plan!$K$5,'Calc Smart'!K66,'Calc Avalanche'!K66,'Calc Snowball'!K66,'Calc Cashflow'!K66)</f>
        <v/>
      </c>
      <c r="O60" s="65">
        <f>CHOOSE(Plan!$K$5,'Calc Smart'!L66,'Calc Avalanche'!L66,'Calc Snowball'!L66,'Calc Cashflow'!L66)</f>
        <v/>
      </c>
      <c r="P60" s="65">
        <f>CHOOSE(Plan!$K$5,'Calc Smart'!M66,'Calc Avalanche'!M66,'Calc Snowball'!M66,'Calc Cashflow'!M66)</f>
        <v/>
      </c>
      <c r="Q60" s="65">
        <f>CHOOSE(Plan!$K$5,'Calc Smart'!N66,'Calc Avalanche'!N66,'Calc Snowball'!N66,'Calc Cashflow'!N66)</f>
        <v/>
      </c>
    </row>
    <row r="61">
      <c r="B61" s="66">
        <f>EDATE(Plan!$C$6,55)</f>
        <v/>
      </c>
      <c r="C61" s="32">
        <f>CHOOSE(Plan!$K$5,'Calc Smart'!AE67,'Calc Avalanche'!AE67,'Calc Snowball'!AE67,'Calc Cashflow'!AE67)</f>
        <v/>
      </c>
      <c r="D61" s="32">
        <f>CHOOSE(Plan!$K$5,'Calc Smart'!AD67,'Calc Avalanche'!AD67,'Calc Snowball'!AD67,'Calc Cashflow'!AD67)</f>
        <v/>
      </c>
      <c r="E61" s="43">
        <f>CHOOSE(Plan!$K$5,COUNTIF('Calc Smart'!C67:N67,"&gt;0"),COUNTIF('Calc Avalanche'!C67:N67,"&gt;0"),COUNTIF('Calc Snowball'!C67:N67,"&gt;0"),COUNTIF('Calc Cashflow'!C67:N67,"&gt;0"))</f>
        <v/>
      </c>
      <c r="F61" s="67">
        <f>CHOOSE(Plan!$K$5,'Calc Smart'!C67,'Calc Avalanche'!C67,'Calc Snowball'!C67,'Calc Cashflow'!C67)</f>
        <v/>
      </c>
      <c r="G61" s="67">
        <f>CHOOSE(Plan!$K$5,'Calc Smart'!D67,'Calc Avalanche'!D67,'Calc Snowball'!D67,'Calc Cashflow'!D67)</f>
        <v/>
      </c>
      <c r="H61" s="67">
        <f>CHOOSE(Plan!$K$5,'Calc Smart'!E67,'Calc Avalanche'!E67,'Calc Snowball'!E67,'Calc Cashflow'!E67)</f>
        <v/>
      </c>
      <c r="I61" s="67">
        <f>CHOOSE(Plan!$K$5,'Calc Smart'!F67,'Calc Avalanche'!F67,'Calc Snowball'!F67,'Calc Cashflow'!F67)</f>
        <v/>
      </c>
      <c r="J61" s="67">
        <f>CHOOSE(Plan!$K$5,'Calc Smart'!G67,'Calc Avalanche'!G67,'Calc Snowball'!G67,'Calc Cashflow'!G67)</f>
        <v/>
      </c>
      <c r="K61" s="67">
        <f>CHOOSE(Plan!$K$5,'Calc Smart'!H67,'Calc Avalanche'!H67,'Calc Snowball'!H67,'Calc Cashflow'!H67)</f>
        <v/>
      </c>
      <c r="L61" s="67">
        <f>CHOOSE(Plan!$K$5,'Calc Smart'!I67,'Calc Avalanche'!I67,'Calc Snowball'!I67,'Calc Cashflow'!I67)</f>
        <v/>
      </c>
      <c r="M61" s="67">
        <f>CHOOSE(Plan!$K$5,'Calc Smart'!J67,'Calc Avalanche'!J67,'Calc Snowball'!J67,'Calc Cashflow'!J67)</f>
        <v/>
      </c>
      <c r="N61" s="67">
        <f>CHOOSE(Plan!$K$5,'Calc Smart'!K67,'Calc Avalanche'!K67,'Calc Snowball'!K67,'Calc Cashflow'!K67)</f>
        <v/>
      </c>
      <c r="O61" s="67">
        <f>CHOOSE(Plan!$K$5,'Calc Smart'!L67,'Calc Avalanche'!L67,'Calc Snowball'!L67,'Calc Cashflow'!L67)</f>
        <v/>
      </c>
      <c r="P61" s="67">
        <f>CHOOSE(Plan!$K$5,'Calc Smart'!M67,'Calc Avalanche'!M67,'Calc Snowball'!M67,'Calc Cashflow'!M67)</f>
        <v/>
      </c>
      <c r="Q61" s="67">
        <f>CHOOSE(Plan!$K$5,'Calc Smart'!N67,'Calc Avalanche'!N67,'Calc Snowball'!N67,'Calc Cashflow'!N67)</f>
        <v/>
      </c>
    </row>
    <row r="62">
      <c r="B62" s="64">
        <f>EDATE(Plan!$C$6,56)</f>
        <v/>
      </c>
      <c r="C62" s="31">
        <f>CHOOSE(Plan!$K$5,'Calc Smart'!AE68,'Calc Avalanche'!AE68,'Calc Snowball'!AE68,'Calc Cashflow'!AE68)</f>
        <v/>
      </c>
      <c r="D62" s="31">
        <f>CHOOSE(Plan!$K$5,'Calc Smart'!AD68,'Calc Avalanche'!AD68,'Calc Snowball'!AD68,'Calc Cashflow'!AD68)</f>
        <v/>
      </c>
      <c r="E62" s="40">
        <f>CHOOSE(Plan!$K$5,COUNTIF('Calc Smart'!C68:N68,"&gt;0"),COUNTIF('Calc Avalanche'!C68:N68,"&gt;0"),COUNTIF('Calc Snowball'!C68:N68,"&gt;0"),COUNTIF('Calc Cashflow'!C68:N68,"&gt;0"))</f>
        <v/>
      </c>
      <c r="F62" s="65">
        <f>CHOOSE(Plan!$K$5,'Calc Smart'!C68,'Calc Avalanche'!C68,'Calc Snowball'!C68,'Calc Cashflow'!C68)</f>
        <v/>
      </c>
      <c r="G62" s="65">
        <f>CHOOSE(Plan!$K$5,'Calc Smart'!D68,'Calc Avalanche'!D68,'Calc Snowball'!D68,'Calc Cashflow'!D68)</f>
        <v/>
      </c>
      <c r="H62" s="65">
        <f>CHOOSE(Plan!$K$5,'Calc Smart'!E68,'Calc Avalanche'!E68,'Calc Snowball'!E68,'Calc Cashflow'!E68)</f>
        <v/>
      </c>
      <c r="I62" s="65">
        <f>CHOOSE(Plan!$K$5,'Calc Smart'!F68,'Calc Avalanche'!F68,'Calc Snowball'!F68,'Calc Cashflow'!F68)</f>
        <v/>
      </c>
      <c r="J62" s="65">
        <f>CHOOSE(Plan!$K$5,'Calc Smart'!G68,'Calc Avalanche'!G68,'Calc Snowball'!G68,'Calc Cashflow'!G68)</f>
        <v/>
      </c>
      <c r="K62" s="65">
        <f>CHOOSE(Plan!$K$5,'Calc Smart'!H68,'Calc Avalanche'!H68,'Calc Snowball'!H68,'Calc Cashflow'!H68)</f>
        <v/>
      </c>
      <c r="L62" s="65">
        <f>CHOOSE(Plan!$K$5,'Calc Smart'!I68,'Calc Avalanche'!I68,'Calc Snowball'!I68,'Calc Cashflow'!I68)</f>
        <v/>
      </c>
      <c r="M62" s="65">
        <f>CHOOSE(Plan!$K$5,'Calc Smart'!J68,'Calc Avalanche'!J68,'Calc Snowball'!J68,'Calc Cashflow'!J68)</f>
        <v/>
      </c>
      <c r="N62" s="65">
        <f>CHOOSE(Plan!$K$5,'Calc Smart'!K68,'Calc Avalanche'!K68,'Calc Snowball'!K68,'Calc Cashflow'!K68)</f>
        <v/>
      </c>
      <c r="O62" s="65">
        <f>CHOOSE(Plan!$K$5,'Calc Smart'!L68,'Calc Avalanche'!L68,'Calc Snowball'!L68,'Calc Cashflow'!L68)</f>
        <v/>
      </c>
      <c r="P62" s="65">
        <f>CHOOSE(Plan!$K$5,'Calc Smart'!M68,'Calc Avalanche'!M68,'Calc Snowball'!M68,'Calc Cashflow'!M68)</f>
        <v/>
      </c>
      <c r="Q62" s="65">
        <f>CHOOSE(Plan!$K$5,'Calc Smart'!N68,'Calc Avalanche'!N68,'Calc Snowball'!N68,'Calc Cashflow'!N68)</f>
        <v/>
      </c>
    </row>
    <row r="63">
      <c r="B63" s="66">
        <f>EDATE(Plan!$C$6,57)</f>
        <v/>
      </c>
      <c r="C63" s="32">
        <f>CHOOSE(Plan!$K$5,'Calc Smart'!AE69,'Calc Avalanche'!AE69,'Calc Snowball'!AE69,'Calc Cashflow'!AE69)</f>
        <v/>
      </c>
      <c r="D63" s="32">
        <f>CHOOSE(Plan!$K$5,'Calc Smart'!AD69,'Calc Avalanche'!AD69,'Calc Snowball'!AD69,'Calc Cashflow'!AD69)</f>
        <v/>
      </c>
      <c r="E63" s="43">
        <f>CHOOSE(Plan!$K$5,COUNTIF('Calc Smart'!C69:N69,"&gt;0"),COUNTIF('Calc Avalanche'!C69:N69,"&gt;0"),COUNTIF('Calc Snowball'!C69:N69,"&gt;0"),COUNTIF('Calc Cashflow'!C69:N69,"&gt;0"))</f>
        <v/>
      </c>
      <c r="F63" s="67">
        <f>CHOOSE(Plan!$K$5,'Calc Smart'!C69,'Calc Avalanche'!C69,'Calc Snowball'!C69,'Calc Cashflow'!C69)</f>
        <v/>
      </c>
      <c r="G63" s="67">
        <f>CHOOSE(Plan!$K$5,'Calc Smart'!D69,'Calc Avalanche'!D69,'Calc Snowball'!D69,'Calc Cashflow'!D69)</f>
        <v/>
      </c>
      <c r="H63" s="67">
        <f>CHOOSE(Plan!$K$5,'Calc Smart'!E69,'Calc Avalanche'!E69,'Calc Snowball'!E69,'Calc Cashflow'!E69)</f>
        <v/>
      </c>
      <c r="I63" s="67">
        <f>CHOOSE(Plan!$K$5,'Calc Smart'!F69,'Calc Avalanche'!F69,'Calc Snowball'!F69,'Calc Cashflow'!F69)</f>
        <v/>
      </c>
      <c r="J63" s="67">
        <f>CHOOSE(Plan!$K$5,'Calc Smart'!G69,'Calc Avalanche'!G69,'Calc Snowball'!G69,'Calc Cashflow'!G69)</f>
        <v/>
      </c>
      <c r="K63" s="67">
        <f>CHOOSE(Plan!$K$5,'Calc Smart'!H69,'Calc Avalanche'!H69,'Calc Snowball'!H69,'Calc Cashflow'!H69)</f>
        <v/>
      </c>
      <c r="L63" s="67">
        <f>CHOOSE(Plan!$K$5,'Calc Smart'!I69,'Calc Avalanche'!I69,'Calc Snowball'!I69,'Calc Cashflow'!I69)</f>
        <v/>
      </c>
      <c r="M63" s="67">
        <f>CHOOSE(Plan!$K$5,'Calc Smart'!J69,'Calc Avalanche'!J69,'Calc Snowball'!J69,'Calc Cashflow'!J69)</f>
        <v/>
      </c>
      <c r="N63" s="67">
        <f>CHOOSE(Plan!$K$5,'Calc Smart'!K69,'Calc Avalanche'!K69,'Calc Snowball'!K69,'Calc Cashflow'!K69)</f>
        <v/>
      </c>
      <c r="O63" s="67">
        <f>CHOOSE(Plan!$K$5,'Calc Smart'!L69,'Calc Avalanche'!L69,'Calc Snowball'!L69,'Calc Cashflow'!L69)</f>
        <v/>
      </c>
      <c r="P63" s="67">
        <f>CHOOSE(Plan!$K$5,'Calc Smart'!M69,'Calc Avalanche'!M69,'Calc Snowball'!M69,'Calc Cashflow'!M69)</f>
        <v/>
      </c>
      <c r="Q63" s="67">
        <f>CHOOSE(Plan!$K$5,'Calc Smart'!N69,'Calc Avalanche'!N69,'Calc Snowball'!N69,'Calc Cashflow'!N69)</f>
        <v/>
      </c>
    </row>
    <row r="64">
      <c r="B64" s="64">
        <f>EDATE(Plan!$C$6,58)</f>
        <v/>
      </c>
      <c r="C64" s="31">
        <f>CHOOSE(Plan!$K$5,'Calc Smart'!AE70,'Calc Avalanche'!AE70,'Calc Snowball'!AE70,'Calc Cashflow'!AE70)</f>
        <v/>
      </c>
      <c r="D64" s="31">
        <f>CHOOSE(Plan!$K$5,'Calc Smart'!AD70,'Calc Avalanche'!AD70,'Calc Snowball'!AD70,'Calc Cashflow'!AD70)</f>
        <v/>
      </c>
      <c r="E64" s="40">
        <f>CHOOSE(Plan!$K$5,COUNTIF('Calc Smart'!C70:N70,"&gt;0"),COUNTIF('Calc Avalanche'!C70:N70,"&gt;0"),COUNTIF('Calc Snowball'!C70:N70,"&gt;0"),COUNTIF('Calc Cashflow'!C70:N70,"&gt;0"))</f>
        <v/>
      </c>
      <c r="F64" s="65">
        <f>CHOOSE(Plan!$K$5,'Calc Smart'!C70,'Calc Avalanche'!C70,'Calc Snowball'!C70,'Calc Cashflow'!C70)</f>
        <v/>
      </c>
      <c r="G64" s="65">
        <f>CHOOSE(Plan!$K$5,'Calc Smart'!D70,'Calc Avalanche'!D70,'Calc Snowball'!D70,'Calc Cashflow'!D70)</f>
        <v/>
      </c>
      <c r="H64" s="65">
        <f>CHOOSE(Plan!$K$5,'Calc Smart'!E70,'Calc Avalanche'!E70,'Calc Snowball'!E70,'Calc Cashflow'!E70)</f>
        <v/>
      </c>
      <c r="I64" s="65">
        <f>CHOOSE(Plan!$K$5,'Calc Smart'!F70,'Calc Avalanche'!F70,'Calc Snowball'!F70,'Calc Cashflow'!F70)</f>
        <v/>
      </c>
      <c r="J64" s="65">
        <f>CHOOSE(Plan!$K$5,'Calc Smart'!G70,'Calc Avalanche'!G70,'Calc Snowball'!G70,'Calc Cashflow'!G70)</f>
        <v/>
      </c>
      <c r="K64" s="65">
        <f>CHOOSE(Plan!$K$5,'Calc Smart'!H70,'Calc Avalanche'!H70,'Calc Snowball'!H70,'Calc Cashflow'!H70)</f>
        <v/>
      </c>
      <c r="L64" s="65">
        <f>CHOOSE(Plan!$K$5,'Calc Smart'!I70,'Calc Avalanche'!I70,'Calc Snowball'!I70,'Calc Cashflow'!I70)</f>
        <v/>
      </c>
      <c r="M64" s="65">
        <f>CHOOSE(Plan!$K$5,'Calc Smart'!J70,'Calc Avalanche'!J70,'Calc Snowball'!J70,'Calc Cashflow'!J70)</f>
        <v/>
      </c>
      <c r="N64" s="65">
        <f>CHOOSE(Plan!$K$5,'Calc Smart'!K70,'Calc Avalanche'!K70,'Calc Snowball'!K70,'Calc Cashflow'!K70)</f>
        <v/>
      </c>
      <c r="O64" s="65">
        <f>CHOOSE(Plan!$K$5,'Calc Smart'!L70,'Calc Avalanche'!L70,'Calc Snowball'!L70,'Calc Cashflow'!L70)</f>
        <v/>
      </c>
      <c r="P64" s="65">
        <f>CHOOSE(Plan!$K$5,'Calc Smart'!M70,'Calc Avalanche'!M70,'Calc Snowball'!M70,'Calc Cashflow'!M70)</f>
        <v/>
      </c>
      <c r="Q64" s="65">
        <f>CHOOSE(Plan!$K$5,'Calc Smart'!N70,'Calc Avalanche'!N70,'Calc Snowball'!N70,'Calc Cashflow'!N70)</f>
        <v/>
      </c>
    </row>
    <row r="65">
      <c r="B65" s="66">
        <f>EDATE(Plan!$C$6,59)</f>
        <v/>
      </c>
      <c r="C65" s="32">
        <f>CHOOSE(Plan!$K$5,'Calc Smart'!AE71,'Calc Avalanche'!AE71,'Calc Snowball'!AE71,'Calc Cashflow'!AE71)</f>
        <v/>
      </c>
      <c r="D65" s="32">
        <f>CHOOSE(Plan!$K$5,'Calc Smart'!AD71,'Calc Avalanche'!AD71,'Calc Snowball'!AD71,'Calc Cashflow'!AD71)</f>
        <v/>
      </c>
      <c r="E65" s="43">
        <f>CHOOSE(Plan!$K$5,COUNTIF('Calc Smart'!C71:N71,"&gt;0"),COUNTIF('Calc Avalanche'!C71:N71,"&gt;0"),COUNTIF('Calc Snowball'!C71:N71,"&gt;0"),COUNTIF('Calc Cashflow'!C71:N71,"&gt;0"))</f>
        <v/>
      </c>
      <c r="F65" s="67">
        <f>CHOOSE(Plan!$K$5,'Calc Smart'!C71,'Calc Avalanche'!C71,'Calc Snowball'!C71,'Calc Cashflow'!C71)</f>
        <v/>
      </c>
      <c r="G65" s="67">
        <f>CHOOSE(Plan!$K$5,'Calc Smart'!D71,'Calc Avalanche'!D71,'Calc Snowball'!D71,'Calc Cashflow'!D71)</f>
        <v/>
      </c>
      <c r="H65" s="67">
        <f>CHOOSE(Plan!$K$5,'Calc Smart'!E71,'Calc Avalanche'!E71,'Calc Snowball'!E71,'Calc Cashflow'!E71)</f>
        <v/>
      </c>
      <c r="I65" s="67">
        <f>CHOOSE(Plan!$K$5,'Calc Smart'!F71,'Calc Avalanche'!F71,'Calc Snowball'!F71,'Calc Cashflow'!F71)</f>
        <v/>
      </c>
      <c r="J65" s="67">
        <f>CHOOSE(Plan!$K$5,'Calc Smart'!G71,'Calc Avalanche'!G71,'Calc Snowball'!G71,'Calc Cashflow'!G71)</f>
        <v/>
      </c>
      <c r="K65" s="67">
        <f>CHOOSE(Plan!$K$5,'Calc Smart'!H71,'Calc Avalanche'!H71,'Calc Snowball'!H71,'Calc Cashflow'!H71)</f>
        <v/>
      </c>
      <c r="L65" s="67">
        <f>CHOOSE(Plan!$K$5,'Calc Smart'!I71,'Calc Avalanche'!I71,'Calc Snowball'!I71,'Calc Cashflow'!I71)</f>
        <v/>
      </c>
      <c r="M65" s="67">
        <f>CHOOSE(Plan!$K$5,'Calc Smart'!J71,'Calc Avalanche'!J71,'Calc Snowball'!J71,'Calc Cashflow'!J71)</f>
        <v/>
      </c>
      <c r="N65" s="67">
        <f>CHOOSE(Plan!$K$5,'Calc Smart'!K71,'Calc Avalanche'!K71,'Calc Snowball'!K71,'Calc Cashflow'!K71)</f>
        <v/>
      </c>
      <c r="O65" s="67">
        <f>CHOOSE(Plan!$K$5,'Calc Smart'!L71,'Calc Avalanche'!L71,'Calc Snowball'!L71,'Calc Cashflow'!L71)</f>
        <v/>
      </c>
      <c r="P65" s="67">
        <f>CHOOSE(Plan!$K$5,'Calc Smart'!M71,'Calc Avalanche'!M71,'Calc Snowball'!M71,'Calc Cashflow'!M71)</f>
        <v/>
      </c>
      <c r="Q65" s="67">
        <f>CHOOSE(Plan!$K$5,'Calc Smart'!N71,'Calc Avalanche'!N71,'Calc Snowball'!N71,'Calc Cashflow'!N71)</f>
        <v/>
      </c>
    </row>
    <row r="66">
      <c r="B66" s="64">
        <f>EDATE(Plan!$C$6,60)</f>
        <v/>
      </c>
      <c r="C66" s="31">
        <f>CHOOSE(Plan!$K$5,'Calc Smart'!AE72,'Calc Avalanche'!AE72,'Calc Snowball'!AE72,'Calc Cashflow'!AE72)</f>
        <v/>
      </c>
      <c r="D66" s="31">
        <f>CHOOSE(Plan!$K$5,'Calc Smart'!AD72,'Calc Avalanche'!AD72,'Calc Snowball'!AD72,'Calc Cashflow'!AD72)</f>
        <v/>
      </c>
      <c r="E66" s="40">
        <f>CHOOSE(Plan!$K$5,COUNTIF('Calc Smart'!C72:N72,"&gt;0"),COUNTIF('Calc Avalanche'!C72:N72,"&gt;0"),COUNTIF('Calc Snowball'!C72:N72,"&gt;0"),COUNTIF('Calc Cashflow'!C72:N72,"&gt;0"))</f>
        <v/>
      </c>
      <c r="F66" s="65">
        <f>CHOOSE(Plan!$K$5,'Calc Smart'!C72,'Calc Avalanche'!C72,'Calc Snowball'!C72,'Calc Cashflow'!C72)</f>
        <v/>
      </c>
      <c r="G66" s="65">
        <f>CHOOSE(Plan!$K$5,'Calc Smart'!D72,'Calc Avalanche'!D72,'Calc Snowball'!D72,'Calc Cashflow'!D72)</f>
        <v/>
      </c>
      <c r="H66" s="65">
        <f>CHOOSE(Plan!$K$5,'Calc Smart'!E72,'Calc Avalanche'!E72,'Calc Snowball'!E72,'Calc Cashflow'!E72)</f>
        <v/>
      </c>
      <c r="I66" s="65">
        <f>CHOOSE(Plan!$K$5,'Calc Smart'!F72,'Calc Avalanche'!F72,'Calc Snowball'!F72,'Calc Cashflow'!F72)</f>
        <v/>
      </c>
      <c r="J66" s="65">
        <f>CHOOSE(Plan!$K$5,'Calc Smart'!G72,'Calc Avalanche'!G72,'Calc Snowball'!G72,'Calc Cashflow'!G72)</f>
        <v/>
      </c>
      <c r="K66" s="65">
        <f>CHOOSE(Plan!$K$5,'Calc Smart'!H72,'Calc Avalanche'!H72,'Calc Snowball'!H72,'Calc Cashflow'!H72)</f>
        <v/>
      </c>
      <c r="L66" s="65">
        <f>CHOOSE(Plan!$K$5,'Calc Smart'!I72,'Calc Avalanche'!I72,'Calc Snowball'!I72,'Calc Cashflow'!I72)</f>
        <v/>
      </c>
      <c r="M66" s="65">
        <f>CHOOSE(Plan!$K$5,'Calc Smart'!J72,'Calc Avalanche'!J72,'Calc Snowball'!J72,'Calc Cashflow'!J72)</f>
        <v/>
      </c>
      <c r="N66" s="65">
        <f>CHOOSE(Plan!$K$5,'Calc Smart'!K72,'Calc Avalanche'!K72,'Calc Snowball'!K72,'Calc Cashflow'!K72)</f>
        <v/>
      </c>
      <c r="O66" s="65">
        <f>CHOOSE(Plan!$K$5,'Calc Smart'!L72,'Calc Avalanche'!L72,'Calc Snowball'!L72,'Calc Cashflow'!L72)</f>
        <v/>
      </c>
      <c r="P66" s="65">
        <f>CHOOSE(Plan!$K$5,'Calc Smart'!M72,'Calc Avalanche'!M72,'Calc Snowball'!M72,'Calc Cashflow'!M72)</f>
        <v/>
      </c>
      <c r="Q66" s="65">
        <f>CHOOSE(Plan!$K$5,'Calc Smart'!N72,'Calc Avalanche'!N72,'Calc Snowball'!N72,'Calc Cashflow'!N72)</f>
        <v/>
      </c>
    </row>
    <row r="67">
      <c r="B67" s="66">
        <f>EDATE(Plan!$C$6,61)</f>
        <v/>
      </c>
      <c r="C67" s="32">
        <f>CHOOSE(Plan!$K$5,'Calc Smart'!AE73,'Calc Avalanche'!AE73,'Calc Snowball'!AE73,'Calc Cashflow'!AE73)</f>
        <v/>
      </c>
      <c r="D67" s="32">
        <f>CHOOSE(Plan!$K$5,'Calc Smart'!AD73,'Calc Avalanche'!AD73,'Calc Snowball'!AD73,'Calc Cashflow'!AD73)</f>
        <v/>
      </c>
      <c r="E67" s="43">
        <f>CHOOSE(Plan!$K$5,COUNTIF('Calc Smart'!C73:N73,"&gt;0"),COUNTIF('Calc Avalanche'!C73:N73,"&gt;0"),COUNTIF('Calc Snowball'!C73:N73,"&gt;0"),COUNTIF('Calc Cashflow'!C73:N73,"&gt;0"))</f>
        <v/>
      </c>
      <c r="F67" s="67">
        <f>CHOOSE(Plan!$K$5,'Calc Smart'!C73,'Calc Avalanche'!C73,'Calc Snowball'!C73,'Calc Cashflow'!C73)</f>
        <v/>
      </c>
      <c r="G67" s="67">
        <f>CHOOSE(Plan!$K$5,'Calc Smart'!D73,'Calc Avalanche'!D73,'Calc Snowball'!D73,'Calc Cashflow'!D73)</f>
        <v/>
      </c>
      <c r="H67" s="67">
        <f>CHOOSE(Plan!$K$5,'Calc Smart'!E73,'Calc Avalanche'!E73,'Calc Snowball'!E73,'Calc Cashflow'!E73)</f>
        <v/>
      </c>
      <c r="I67" s="67">
        <f>CHOOSE(Plan!$K$5,'Calc Smart'!F73,'Calc Avalanche'!F73,'Calc Snowball'!F73,'Calc Cashflow'!F73)</f>
        <v/>
      </c>
      <c r="J67" s="67">
        <f>CHOOSE(Plan!$K$5,'Calc Smart'!G73,'Calc Avalanche'!G73,'Calc Snowball'!G73,'Calc Cashflow'!G73)</f>
        <v/>
      </c>
      <c r="K67" s="67">
        <f>CHOOSE(Plan!$K$5,'Calc Smart'!H73,'Calc Avalanche'!H73,'Calc Snowball'!H73,'Calc Cashflow'!H73)</f>
        <v/>
      </c>
      <c r="L67" s="67">
        <f>CHOOSE(Plan!$K$5,'Calc Smart'!I73,'Calc Avalanche'!I73,'Calc Snowball'!I73,'Calc Cashflow'!I73)</f>
        <v/>
      </c>
      <c r="M67" s="67">
        <f>CHOOSE(Plan!$K$5,'Calc Smart'!J73,'Calc Avalanche'!J73,'Calc Snowball'!J73,'Calc Cashflow'!J73)</f>
        <v/>
      </c>
      <c r="N67" s="67">
        <f>CHOOSE(Plan!$K$5,'Calc Smart'!K73,'Calc Avalanche'!K73,'Calc Snowball'!K73,'Calc Cashflow'!K73)</f>
        <v/>
      </c>
      <c r="O67" s="67">
        <f>CHOOSE(Plan!$K$5,'Calc Smart'!L73,'Calc Avalanche'!L73,'Calc Snowball'!L73,'Calc Cashflow'!L73)</f>
        <v/>
      </c>
      <c r="P67" s="67">
        <f>CHOOSE(Plan!$K$5,'Calc Smart'!M73,'Calc Avalanche'!M73,'Calc Snowball'!M73,'Calc Cashflow'!M73)</f>
        <v/>
      </c>
      <c r="Q67" s="67">
        <f>CHOOSE(Plan!$K$5,'Calc Smart'!N73,'Calc Avalanche'!N73,'Calc Snowball'!N73,'Calc Cashflow'!N73)</f>
        <v/>
      </c>
    </row>
    <row r="68">
      <c r="B68" s="64">
        <f>EDATE(Plan!$C$6,62)</f>
        <v/>
      </c>
      <c r="C68" s="31">
        <f>CHOOSE(Plan!$K$5,'Calc Smart'!AE74,'Calc Avalanche'!AE74,'Calc Snowball'!AE74,'Calc Cashflow'!AE74)</f>
        <v/>
      </c>
      <c r="D68" s="31">
        <f>CHOOSE(Plan!$K$5,'Calc Smart'!AD74,'Calc Avalanche'!AD74,'Calc Snowball'!AD74,'Calc Cashflow'!AD74)</f>
        <v/>
      </c>
      <c r="E68" s="40">
        <f>CHOOSE(Plan!$K$5,COUNTIF('Calc Smart'!C74:N74,"&gt;0"),COUNTIF('Calc Avalanche'!C74:N74,"&gt;0"),COUNTIF('Calc Snowball'!C74:N74,"&gt;0"),COUNTIF('Calc Cashflow'!C74:N74,"&gt;0"))</f>
        <v/>
      </c>
      <c r="F68" s="65">
        <f>CHOOSE(Plan!$K$5,'Calc Smart'!C74,'Calc Avalanche'!C74,'Calc Snowball'!C74,'Calc Cashflow'!C74)</f>
        <v/>
      </c>
      <c r="G68" s="65">
        <f>CHOOSE(Plan!$K$5,'Calc Smart'!D74,'Calc Avalanche'!D74,'Calc Snowball'!D74,'Calc Cashflow'!D74)</f>
        <v/>
      </c>
      <c r="H68" s="65">
        <f>CHOOSE(Plan!$K$5,'Calc Smart'!E74,'Calc Avalanche'!E74,'Calc Snowball'!E74,'Calc Cashflow'!E74)</f>
        <v/>
      </c>
      <c r="I68" s="65">
        <f>CHOOSE(Plan!$K$5,'Calc Smart'!F74,'Calc Avalanche'!F74,'Calc Snowball'!F74,'Calc Cashflow'!F74)</f>
        <v/>
      </c>
      <c r="J68" s="65">
        <f>CHOOSE(Plan!$K$5,'Calc Smart'!G74,'Calc Avalanche'!G74,'Calc Snowball'!G74,'Calc Cashflow'!G74)</f>
        <v/>
      </c>
      <c r="K68" s="65">
        <f>CHOOSE(Plan!$K$5,'Calc Smart'!H74,'Calc Avalanche'!H74,'Calc Snowball'!H74,'Calc Cashflow'!H74)</f>
        <v/>
      </c>
      <c r="L68" s="65">
        <f>CHOOSE(Plan!$K$5,'Calc Smart'!I74,'Calc Avalanche'!I74,'Calc Snowball'!I74,'Calc Cashflow'!I74)</f>
        <v/>
      </c>
      <c r="M68" s="65">
        <f>CHOOSE(Plan!$K$5,'Calc Smart'!J74,'Calc Avalanche'!J74,'Calc Snowball'!J74,'Calc Cashflow'!J74)</f>
        <v/>
      </c>
      <c r="N68" s="65">
        <f>CHOOSE(Plan!$K$5,'Calc Smart'!K74,'Calc Avalanche'!K74,'Calc Snowball'!K74,'Calc Cashflow'!K74)</f>
        <v/>
      </c>
      <c r="O68" s="65">
        <f>CHOOSE(Plan!$K$5,'Calc Smart'!L74,'Calc Avalanche'!L74,'Calc Snowball'!L74,'Calc Cashflow'!L74)</f>
        <v/>
      </c>
      <c r="P68" s="65">
        <f>CHOOSE(Plan!$K$5,'Calc Smart'!M74,'Calc Avalanche'!M74,'Calc Snowball'!M74,'Calc Cashflow'!M74)</f>
        <v/>
      </c>
      <c r="Q68" s="65">
        <f>CHOOSE(Plan!$K$5,'Calc Smart'!N74,'Calc Avalanche'!N74,'Calc Snowball'!N74,'Calc Cashflow'!N74)</f>
        <v/>
      </c>
    </row>
    <row r="69">
      <c r="B69" s="66">
        <f>EDATE(Plan!$C$6,63)</f>
        <v/>
      </c>
      <c r="C69" s="32">
        <f>CHOOSE(Plan!$K$5,'Calc Smart'!AE75,'Calc Avalanche'!AE75,'Calc Snowball'!AE75,'Calc Cashflow'!AE75)</f>
        <v/>
      </c>
      <c r="D69" s="32">
        <f>CHOOSE(Plan!$K$5,'Calc Smart'!AD75,'Calc Avalanche'!AD75,'Calc Snowball'!AD75,'Calc Cashflow'!AD75)</f>
        <v/>
      </c>
      <c r="E69" s="43">
        <f>CHOOSE(Plan!$K$5,COUNTIF('Calc Smart'!C75:N75,"&gt;0"),COUNTIF('Calc Avalanche'!C75:N75,"&gt;0"),COUNTIF('Calc Snowball'!C75:N75,"&gt;0"),COUNTIF('Calc Cashflow'!C75:N75,"&gt;0"))</f>
        <v/>
      </c>
      <c r="F69" s="67">
        <f>CHOOSE(Plan!$K$5,'Calc Smart'!C75,'Calc Avalanche'!C75,'Calc Snowball'!C75,'Calc Cashflow'!C75)</f>
        <v/>
      </c>
      <c r="G69" s="67">
        <f>CHOOSE(Plan!$K$5,'Calc Smart'!D75,'Calc Avalanche'!D75,'Calc Snowball'!D75,'Calc Cashflow'!D75)</f>
        <v/>
      </c>
      <c r="H69" s="67">
        <f>CHOOSE(Plan!$K$5,'Calc Smart'!E75,'Calc Avalanche'!E75,'Calc Snowball'!E75,'Calc Cashflow'!E75)</f>
        <v/>
      </c>
      <c r="I69" s="67">
        <f>CHOOSE(Plan!$K$5,'Calc Smart'!F75,'Calc Avalanche'!F75,'Calc Snowball'!F75,'Calc Cashflow'!F75)</f>
        <v/>
      </c>
      <c r="J69" s="67">
        <f>CHOOSE(Plan!$K$5,'Calc Smart'!G75,'Calc Avalanche'!G75,'Calc Snowball'!G75,'Calc Cashflow'!G75)</f>
        <v/>
      </c>
      <c r="K69" s="67">
        <f>CHOOSE(Plan!$K$5,'Calc Smart'!H75,'Calc Avalanche'!H75,'Calc Snowball'!H75,'Calc Cashflow'!H75)</f>
        <v/>
      </c>
      <c r="L69" s="67">
        <f>CHOOSE(Plan!$K$5,'Calc Smart'!I75,'Calc Avalanche'!I75,'Calc Snowball'!I75,'Calc Cashflow'!I75)</f>
        <v/>
      </c>
      <c r="M69" s="67">
        <f>CHOOSE(Plan!$K$5,'Calc Smart'!J75,'Calc Avalanche'!J75,'Calc Snowball'!J75,'Calc Cashflow'!J75)</f>
        <v/>
      </c>
      <c r="N69" s="67">
        <f>CHOOSE(Plan!$K$5,'Calc Smart'!K75,'Calc Avalanche'!K75,'Calc Snowball'!K75,'Calc Cashflow'!K75)</f>
        <v/>
      </c>
      <c r="O69" s="67">
        <f>CHOOSE(Plan!$K$5,'Calc Smart'!L75,'Calc Avalanche'!L75,'Calc Snowball'!L75,'Calc Cashflow'!L75)</f>
        <v/>
      </c>
      <c r="P69" s="67">
        <f>CHOOSE(Plan!$K$5,'Calc Smart'!M75,'Calc Avalanche'!M75,'Calc Snowball'!M75,'Calc Cashflow'!M75)</f>
        <v/>
      </c>
      <c r="Q69" s="67">
        <f>CHOOSE(Plan!$K$5,'Calc Smart'!N75,'Calc Avalanche'!N75,'Calc Snowball'!N75,'Calc Cashflow'!N75)</f>
        <v/>
      </c>
    </row>
    <row r="70">
      <c r="B70" s="64">
        <f>EDATE(Plan!$C$6,64)</f>
        <v/>
      </c>
      <c r="C70" s="31">
        <f>CHOOSE(Plan!$K$5,'Calc Smart'!AE76,'Calc Avalanche'!AE76,'Calc Snowball'!AE76,'Calc Cashflow'!AE76)</f>
        <v/>
      </c>
      <c r="D70" s="31">
        <f>CHOOSE(Plan!$K$5,'Calc Smart'!AD76,'Calc Avalanche'!AD76,'Calc Snowball'!AD76,'Calc Cashflow'!AD76)</f>
        <v/>
      </c>
      <c r="E70" s="40">
        <f>CHOOSE(Plan!$K$5,COUNTIF('Calc Smart'!C76:N76,"&gt;0"),COUNTIF('Calc Avalanche'!C76:N76,"&gt;0"),COUNTIF('Calc Snowball'!C76:N76,"&gt;0"),COUNTIF('Calc Cashflow'!C76:N76,"&gt;0"))</f>
        <v/>
      </c>
      <c r="F70" s="65">
        <f>CHOOSE(Plan!$K$5,'Calc Smart'!C76,'Calc Avalanche'!C76,'Calc Snowball'!C76,'Calc Cashflow'!C76)</f>
        <v/>
      </c>
      <c r="G70" s="65">
        <f>CHOOSE(Plan!$K$5,'Calc Smart'!D76,'Calc Avalanche'!D76,'Calc Snowball'!D76,'Calc Cashflow'!D76)</f>
        <v/>
      </c>
      <c r="H70" s="65">
        <f>CHOOSE(Plan!$K$5,'Calc Smart'!E76,'Calc Avalanche'!E76,'Calc Snowball'!E76,'Calc Cashflow'!E76)</f>
        <v/>
      </c>
      <c r="I70" s="65">
        <f>CHOOSE(Plan!$K$5,'Calc Smart'!F76,'Calc Avalanche'!F76,'Calc Snowball'!F76,'Calc Cashflow'!F76)</f>
        <v/>
      </c>
      <c r="J70" s="65">
        <f>CHOOSE(Plan!$K$5,'Calc Smart'!G76,'Calc Avalanche'!G76,'Calc Snowball'!G76,'Calc Cashflow'!G76)</f>
        <v/>
      </c>
      <c r="K70" s="65">
        <f>CHOOSE(Plan!$K$5,'Calc Smart'!H76,'Calc Avalanche'!H76,'Calc Snowball'!H76,'Calc Cashflow'!H76)</f>
        <v/>
      </c>
      <c r="L70" s="65">
        <f>CHOOSE(Plan!$K$5,'Calc Smart'!I76,'Calc Avalanche'!I76,'Calc Snowball'!I76,'Calc Cashflow'!I76)</f>
        <v/>
      </c>
      <c r="M70" s="65">
        <f>CHOOSE(Plan!$K$5,'Calc Smart'!J76,'Calc Avalanche'!J76,'Calc Snowball'!J76,'Calc Cashflow'!J76)</f>
        <v/>
      </c>
      <c r="N70" s="65">
        <f>CHOOSE(Plan!$K$5,'Calc Smart'!K76,'Calc Avalanche'!K76,'Calc Snowball'!K76,'Calc Cashflow'!K76)</f>
        <v/>
      </c>
      <c r="O70" s="65">
        <f>CHOOSE(Plan!$K$5,'Calc Smart'!L76,'Calc Avalanche'!L76,'Calc Snowball'!L76,'Calc Cashflow'!L76)</f>
        <v/>
      </c>
      <c r="P70" s="65">
        <f>CHOOSE(Plan!$K$5,'Calc Smart'!M76,'Calc Avalanche'!M76,'Calc Snowball'!M76,'Calc Cashflow'!M76)</f>
        <v/>
      </c>
      <c r="Q70" s="65">
        <f>CHOOSE(Plan!$K$5,'Calc Smart'!N76,'Calc Avalanche'!N76,'Calc Snowball'!N76,'Calc Cashflow'!N76)</f>
        <v/>
      </c>
    </row>
    <row r="71">
      <c r="B71" s="66">
        <f>EDATE(Plan!$C$6,65)</f>
        <v/>
      </c>
      <c r="C71" s="32">
        <f>CHOOSE(Plan!$K$5,'Calc Smart'!AE77,'Calc Avalanche'!AE77,'Calc Snowball'!AE77,'Calc Cashflow'!AE77)</f>
        <v/>
      </c>
      <c r="D71" s="32">
        <f>CHOOSE(Plan!$K$5,'Calc Smart'!AD77,'Calc Avalanche'!AD77,'Calc Snowball'!AD77,'Calc Cashflow'!AD77)</f>
        <v/>
      </c>
      <c r="E71" s="43">
        <f>CHOOSE(Plan!$K$5,COUNTIF('Calc Smart'!C77:N77,"&gt;0"),COUNTIF('Calc Avalanche'!C77:N77,"&gt;0"),COUNTIF('Calc Snowball'!C77:N77,"&gt;0"),COUNTIF('Calc Cashflow'!C77:N77,"&gt;0"))</f>
        <v/>
      </c>
      <c r="F71" s="67">
        <f>CHOOSE(Plan!$K$5,'Calc Smart'!C77,'Calc Avalanche'!C77,'Calc Snowball'!C77,'Calc Cashflow'!C77)</f>
        <v/>
      </c>
      <c r="G71" s="67">
        <f>CHOOSE(Plan!$K$5,'Calc Smart'!D77,'Calc Avalanche'!D77,'Calc Snowball'!D77,'Calc Cashflow'!D77)</f>
        <v/>
      </c>
      <c r="H71" s="67">
        <f>CHOOSE(Plan!$K$5,'Calc Smart'!E77,'Calc Avalanche'!E77,'Calc Snowball'!E77,'Calc Cashflow'!E77)</f>
        <v/>
      </c>
      <c r="I71" s="67">
        <f>CHOOSE(Plan!$K$5,'Calc Smart'!F77,'Calc Avalanche'!F77,'Calc Snowball'!F77,'Calc Cashflow'!F77)</f>
        <v/>
      </c>
      <c r="J71" s="67">
        <f>CHOOSE(Plan!$K$5,'Calc Smart'!G77,'Calc Avalanche'!G77,'Calc Snowball'!G77,'Calc Cashflow'!G77)</f>
        <v/>
      </c>
      <c r="K71" s="67">
        <f>CHOOSE(Plan!$K$5,'Calc Smart'!H77,'Calc Avalanche'!H77,'Calc Snowball'!H77,'Calc Cashflow'!H77)</f>
        <v/>
      </c>
      <c r="L71" s="67">
        <f>CHOOSE(Plan!$K$5,'Calc Smart'!I77,'Calc Avalanche'!I77,'Calc Snowball'!I77,'Calc Cashflow'!I77)</f>
        <v/>
      </c>
      <c r="M71" s="67">
        <f>CHOOSE(Plan!$K$5,'Calc Smart'!J77,'Calc Avalanche'!J77,'Calc Snowball'!J77,'Calc Cashflow'!J77)</f>
        <v/>
      </c>
      <c r="N71" s="67">
        <f>CHOOSE(Plan!$K$5,'Calc Smart'!K77,'Calc Avalanche'!K77,'Calc Snowball'!K77,'Calc Cashflow'!K77)</f>
        <v/>
      </c>
      <c r="O71" s="67">
        <f>CHOOSE(Plan!$K$5,'Calc Smart'!L77,'Calc Avalanche'!L77,'Calc Snowball'!L77,'Calc Cashflow'!L77)</f>
        <v/>
      </c>
      <c r="P71" s="67">
        <f>CHOOSE(Plan!$K$5,'Calc Smart'!M77,'Calc Avalanche'!M77,'Calc Snowball'!M77,'Calc Cashflow'!M77)</f>
        <v/>
      </c>
      <c r="Q71" s="67">
        <f>CHOOSE(Plan!$K$5,'Calc Smart'!N77,'Calc Avalanche'!N77,'Calc Snowball'!N77,'Calc Cashflow'!N77)</f>
        <v/>
      </c>
    </row>
    <row r="72">
      <c r="B72" s="64">
        <f>EDATE(Plan!$C$6,66)</f>
        <v/>
      </c>
      <c r="C72" s="31">
        <f>CHOOSE(Plan!$K$5,'Calc Smart'!AE78,'Calc Avalanche'!AE78,'Calc Snowball'!AE78,'Calc Cashflow'!AE78)</f>
        <v/>
      </c>
      <c r="D72" s="31">
        <f>CHOOSE(Plan!$K$5,'Calc Smart'!AD78,'Calc Avalanche'!AD78,'Calc Snowball'!AD78,'Calc Cashflow'!AD78)</f>
        <v/>
      </c>
      <c r="E72" s="40">
        <f>CHOOSE(Plan!$K$5,COUNTIF('Calc Smart'!C78:N78,"&gt;0"),COUNTIF('Calc Avalanche'!C78:N78,"&gt;0"),COUNTIF('Calc Snowball'!C78:N78,"&gt;0"),COUNTIF('Calc Cashflow'!C78:N78,"&gt;0"))</f>
        <v/>
      </c>
      <c r="F72" s="65">
        <f>CHOOSE(Plan!$K$5,'Calc Smart'!C78,'Calc Avalanche'!C78,'Calc Snowball'!C78,'Calc Cashflow'!C78)</f>
        <v/>
      </c>
      <c r="G72" s="65">
        <f>CHOOSE(Plan!$K$5,'Calc Smart'!D78,'Calc Avalanche'!D78,'Calc Snowball'!D78,'Calc Cashflow'!D78)</f>
        <v/>
      </c>
      <c r="H72" s="65">
        <f>CHOOSE(Plan!$K$5,'Calc Smart'!E78,'Calc Avalanche'!E78,'Calc Snowball'!E78,'Calc Cashflow'!E78)</f>
        <v/>
      </c>
      <c r="I72" s="65">
        <f>CHOOSE(Plan!$K$5,'Calc Smart'!F78,'Calc Avalanche'!F78,'Calc Snowball'!F78,'Calc Cashflow'!F78)</f>
        <v/>
      </c>
      <c r="J72" s="65">
        <f>CHOOSE(Plan!$K$5,'Calc Smart'!G78,'Calc Avalanche'!G78,'Calc Snowball'!G78,'Calc Cashflow'!G78)</f>
        <v/>
      </c>
      <c r="K72" s="65">
        <f>CHOOSE(Plan!$K$5,'Calc Smart'!H78,'Calc Avalanche'!H78,'Calc Snowball'!H78,'Calc Cashflow'!H78)</f>
        <v/>
      </c>
      <c r="L72" s="65">
        <f>CHOOSE(Plan!$K$5,'Calc Smart'!I78,'Calc Avalanche'!I78,'Calc Snowball'!I78,'Calc Cashflow'!I78)</f>
        <v/>
      </c>
      <c r="M72" s="65">
        <f>CHOOSE(Plan!$K$5,'Calc Smart'!J78,'Calc Avalanche'!J78,'Calc Snowball'!J78,'Calc Cashflow'!J78)</f>
        <v/>
      </c>
      <c r="N72" s="65">
        <f>CHOOSE(Plan!$K$5,'Calc Smart'!K78,'Calc Avalanche'!K78,'Calc Snowball'!K78,'Calc Cashflow'!K78)</f>
        <v/>
      </c>
      <c r="O72" s="65">
        <f>CHOOSE(Plan!$K$5,'Calc Smart'!L78,'Calc Avalanche'!L78,'Calc Snowball'!L78,'Calc Cashflow'!L78)</f>
        <v/>
      </c>
      <c r="P72" s="65">
        <f>CHOOSE(Plan!$K$5,'Calc Smart'!M78,'Calc Avalanche'!M78,'Calc Snowball'!M78,'Calc Cashflow'!M78)</f>
        <v/>
      </c>
      <c r="Q72" s="65">
        <f>CHOOSE(Plan!$K$5,'Calc Smart'!N78,'Calc Avalanche'!N78,'Calc Snowball'!N78,'Calc Cashflow'!N78)</f>
        <v/>
      </c>
    </row>
    <row r="73">
      <c r="B73" s="66">
        <f>EDATE(Plan!$C$6,67)</f>
        <v/>
      </c>
      <c r="C73" s="32">
        <f>CHOOSE(Plan!$K$5,'Calc Smart'!AE79,'Calc Avalanche'!AE79,'Calc Snowball'!AE79,'Calc Cashflow'!AE79)</f>
        <v/>
      </c>
      <c r="D73" s="32">
        <f>CHOOSE(Plan!$K$5,'Calc Smart'!AD79,'Calc Avalanche'!AD79,'Calc Snowball'!AD79,'Calc Cashflow'!AD79)</f>
        <v/>
      </c>
      <c r="E73" s="43">
        <f>CHOOSE(Plan!$K$5,COUNTIF('Calc Smart'!C79:N79,"&gt;0"),COUNTIF('Calc Avalanche'!C79:N79,"&gt;0"),COUNTIF('Calc Snowball'!C79:N79,"&gt;0"),COUNTIF('Calc Cashflow'!C79:N79,"&gt;0"))</f>
        <v/>
      </c>
      <c r="F73" s="67">
        <f>CHOOSE(Plan!$K$5,'Calc Smart'!C79,'Calc Avalanche'!C79,'Calc Snowball'!C79,'Calc Cashflow'!C79)</f>
        <v/>
      </c>
      <c r="G73" s="67">
        <f>CHOOSE(Plan!$K$5,'Calc Smart'!D79,'Calc Avalanche'!D79,'Calc Snowball'!D79,'Calc Cashflow'!D79)</f>
        <v/>
      </c>
      <c r="H73" s="67">
        <f>CHOOSE(Plan!$K$5,'Calc Smart'!E79,'Calc Avalanche'!E79,'Calc Snowball'!E79,'Calc Cashflow'!E79)</f>
        <v/>
      </c>
      <c r="I73" s="67">
        <f>CHOOSE(Plan!$K$5,'Calc Smart'!F79,'Calc Avalanche'!F79,'Calc Snowball'!F79,'Calc Cashflow'!F79)</f>
        <v/>
      </c>
      <c r="J73" s="67">
        <f>CHOOSE(Plan!$K$5,'Calc Smart'!G79,'Calc Avalanche'!G79,'Calc Snowball'!G79,'Calc Cashflow'!G79)</f>
        <v/>
      </c>
      <c r="K73" s="67">
        <f>CHOOSE(Plan!$K$5,'Calc Smart'!H79,'Calc Avalanche'!H79,'Calc Snowball'!H79,'Calc Cashflow'!H79)</f>
        <v/>
      </c>
      <c r="L73" s="67">
        <f>CHOOSE(Plan!$K$5,'Calc Smart'!I79,'Calc Avalanche'!I79,'Calc Snowball'!I79,'Calc Cashflow'!I79)</f>
        <v/>
      </c>
      <c r="M73" s="67">
        <f>CHOOSE(Plan!$K$5,'Calc Smart'!J79,'Calc Avalanche'!J79,'Calc Snowball'!J79,'Calc Cashflow'!J79)</f>
        <v/>
      </c>
      <c r="N73" s="67">
        <f>CHOOSE(Plan!$K$5,'Calc Smart'!K79,'Calc Avalanche'!K79,'Calc Snowball'!K79,'Calc Cashflow'!K79)</f>
        <v/>
      </c>
      <c r="O73" s="67">
        <f>CHOOSE(Plan!$K$5,'Calc Smart'!L79,'Calc Avalanche'!L79,'Calc Snowball'!L79,'Calc Cashflow'!L79)</f>
        <v/>
      </c>
      <c r="P73" s="67">
        <f>CHOOSE(Plan!$K$5,'Calc Smart'!M79,'Calc Avalanche'!M79,'Calc Snowball'!M79,'Calc Cashflow'!M79)</f>
        <v/>
      </c>
      <c r="Q73" s="67">
        <f>CHOOSE(Plan!$K$5,'Calc Smart'!N79,'Calc Avalanche'!N79,'Calc Snowball'!N79,'Calc Cashflow'!N79)</f>
        <v/>
      </c>
    </row>
    <row r="74">
      <c r="B74" s="64">
        <f>EDATE(Plan!$C$6,68)</f>
        <v/>
      </c>
      <c r="C74" s="31">
        <f>CHOOSE(Plan!$K$5,'Calc Smart'!AE80,'Calc Avalanche'!AE80,'Calc Snowball'!AE80,'Calc Cashflow'!AE80)</f>
        <v/>
      </c>
      <c r="D74" s="31">
        <f>CHOOSE(Plan!$K$5,'Calc Smart'!AD80,'Calc Avalanche'!AD80,'Calc Snowball'!AD80,'Calc Cashflow'!AD80)</f>
        <v/>
      </c>
      <c r="E74" s="40">
        <f>CHOOSE(Plan!$K$5,COUNTIF('Calc Smart'!C80:N80,"&gt;0"),COUNTIF('Calc Avalanche'!C80:N80,"&gt;0"),COUNTIF('Calc Snowball'!C80:N80,"&gt;0"),COUNTIF('Calc Cashflow'!C80:N80,"&gt;0"))</f>
        <v/>
      </c>
      <c r="F74" s="65">
        <f>CHOOSE(Plan!$K$5,'Calc Smart'!C80,'Calc Avalanche'!C80,'Calc Snowball'!C80,'Calc Cashflow'!C80)</f>
        <v/>
      </c>
      <c r="G74" s="65">
        <f>CHOOSE(Plan!$K$5,'Calc Smart'!D80,'Calc Avalanche'!D80,'Calc Snowball'!D80,'Calc Cashflow'!D80)</f>
        <v/>
      </c>
      <c r="H74" s="65">
        <f>CHOOSE(Plan!$K$5,'Calc Smart'!E80,'Calc Avalanche'!E80,'Calc Snowball'!E80,'Calc Cashflow'!E80)</f>
        <v/>
      </c>
      <c r="I74" s="65">
        <f>CHOOSE(Plan!$K$5,'Calc Smart'!F80,'Calc Avalanche'!F80,'Calc Snowball'!F80,'Calc Cashflow'!F80)</f>
        <v/>
      </c>
      <c r="J74" s="65">
        <f>CHOOSE(Plan!$K$5,'Calc Smart'!G80,'Calc Avalanche'!G80,'Calc Snowball'!G80,'Calc Cashflow'!G80)</f>
        <v/>
      </c>
      <c r="K74" s="65">
        <f>CHOOSE(Plan!$K$5,'Calc Smart'!H80,'Calc Avalanche'!H80,'Calc Snowball'!H80,'Calc Cashflow'!H80)</f>
        <v/>
      </c>
      <c r="L74" s="65">
        <f>CHOOSE(Plan!$K$5,'Calc Smart'!I80,'Calc Avalanche'!I80,'Calc Snowball'!I80,'Calc Cashflow'!I80)</f>
        <v/>
      </c>
      <c r="M74" s="65">
        <f>CHOOSE(Plan!$K$5,'Calc Smart'!J80,'Calc Avalanche'!J80,'Calc Snowball'!J80,'Calc Cashflow'!J80)</f>
        <v/>
      </c>
      <c r="N74" s="65">
        <f>CHOOSE(Plan!$K$5,'Calc Smart'!K80,'Calc Avalanche'!K80,'Calc Snowball'!K80,'Calc Cashflow'!K80)</f>
        <v/>
      </c>
      <c r="O74" s="65">
        <f>CHOOSE(Plan!$K$5,'Calc Smart'!L80,'Calc Avalanche'!L80,'Calc Snowball'!L80,'Calc Cashflow'!L80)</f>
        <v/>
      </c>
      <c r="P74" s="65">
        <f>CHOOSE(Plan!$K$5,'Calc Smart'!M80,'Calc Avalanche'!M80,'Calc Snowball'!M80,'Calc Cashflow'!M80)</f>
        <v/>
      </c>
      <c r="Q74" s="65">
        <f>CHOOSE(Plan!$K$5,'Calc Smart'!N80,'Calc Avalanche'!N80,'Calc Snowball'!N80,'Calc Cashflow'!N80)</f>
        <v/>
      </c>
    </row>
    <row r="75">
      <c r="B75" s="66">
        <f>EDATE(Plan!$C$6,69)</f>
        <v/>
      </c>
      <c r="C75" s="32">
        <f>CHOOSE(Plan!$K$5,'Calc Smart'!AE81,'Calc Avalanche'!AE81,'Calc Snowball'!AE81,'Calc Cashflow'!AE81)</f>
        <v/>
      </c>
      <c r="D75" s="32">
        <f>CHOOSE(Plan!$K$5,'Calc Smart'!AD81,'Calc Avalanche'!AD81,'Calc Snowball'!AD81,'Calc Cashflow'!AD81)</f>
        <v/>
      </c>
      <c r="E75" s="43">
        <f>CHOOSE(Plan!$K$5,COUNTIF('Calc Smart'!C81:N81,"&gt;0"),COUNTIF('Calc Avalanche'!C81:N81,"&gt;0"),COUNTIF('Calc Snowball'!C81:N81,"&gt;0"),COUNTIF('Calc Cashflow'!C81:N81,"&gt;0"))</f>
        <v/>
      </c>
      <c r="F75" s="67">
        <f>CHOOSE(Plan!$K$5,'Calc Smart'!C81,'Calc Avalanche'!C81,'Calc Snowball'!C81,'Calc Cashflow'!C81)</f>
        <v/>
      </c>
      <c r="G75" s="67">
        <f>CHOOSE(Plan!$K$5,'Calc Smart'!D81,'Calc Avalanche'!D81,'Calc Snowball'!D81,'Calc Cashflow'!D81)</f>
        <v/>
      </c>
      <c r="H75" s="67">
        <f>CHOOSE(Plan!$K$5,'Calc Smart'!E81,'Calc Avalanche'!E81,'Calc Snowball'!E81,'Calc Cashflow'!E81)</f>
        <v/>
      </c>
      <c r="I75" s="67">
        <f>CHOOSE(Plan!$K$5,'Calc Smart'!F81,'Calc Avalanche'!F81,'Calc Snowball'!F81,'Calc Cashflow'!F81)</f>
        <v/>
      </c>
      <c r="J75" s="67">
        <f>CHOOSE(Plan!$K$5,'Calc Smart'!G81,'Calc Avalanche'!G81,'Calc Snowball'!G81,'Calc Cashflow'!G81)</f>
        <v/>
      </c>
      <c r="K75" s="67">
        <f>CHOOSE(Plan!$K$5,'Calc Smart'!H81,'Calc Avalanche'!H81,'Calc Snowball'!H81,'Calc Cashflow'!H81)</f>
        <v/>
      </c>
      <c r="L75" s="67">
        <f>CHOOSE(Plan!$K$5,'Calc Smart'!I81,'Calc Avalanche'!I81,'Calc Snowball'!I81,'Calc Cashflow'!I81)</f>
        <v/>
      </c>
      <c r="M75" s="67">
        <f>CHOOSE(Plan!$K$5,'Calc Smart'!J81,'Calc Avalanche'!J81,'Calc Snowball'!J81,'Calc Cashflow'!J81)</f>
        <v/>
      </c>
      <c r="N75" s="67">
        <f>CHOOSE(Plan!$K$5,'Calc Smart'!K81,'Calc Avalanche'!K81,'Calc Snowball'!K81,'Calc Cashflow'!K81)</f>
        <v/>
      </c>
      <c r="O75" s="67">
        <f>CHOOSE(Plan!$K$5,'Calc Smart'!L81,'Calc Avalanche'!L81,'Calc Snowball'!L81,'Calc Cashflow'!L81)</f>
        <v/>
      </c>
      <c r="P75" s="67">
        <f>CHOOSE(Plan!$K$5,'Calc Smart'!M81,'Calc Avalanche'!M81,'Calc Snowball'!M81,'Calc Cashflow'!M81)</f>
        <v/>
      </c>
      <c r="Q75" s="67">
        <f>CHOOSE(Plan!$K$5,'Calc Smart'!N81,'Calc Avalanche'!N81,'Calc Snowball'!N81,'Calc Cashflow'!N81)</f>
        <v/>
      </c>
    </row>
    <row r="76">
      <c r="B76" s="64">
        <f>EDATE(Plan!$C$6,70)</f>
        <v/>
      </c>
      <c r="C76" s="31">
        <f>CHOOSE(Plan!$K$5,'Calc Smart'!AE82,'Calc Avalanche'!AE82,'Calc Snowball'!AE82,'Calc Cashflow'!AE82)</f>
        <v/>
      </c>
      <c r="D76" s="31">
        <f>CHOOSE(Plan!$K$5,'Calc Smart'!AD82,'Calc Avalanche'!AD82,'Calc Snowball'!AD82,'Calc Cashflow'!AD82)</f>
        <v/>
      </c>
      <c r="E76" s="40">
        <f>CHOOSE(Plan!$K$5,COUNTIF('Calc Smart'!C82:N82,"&gt;0"),COUNTIF('Calc Avalanche'!C82:N82,"&gt;0"),COUNTIF('Calc Snowball'!C82:N82,"&gt;0"),COUNTIF('Calc Cashflow'!C82:N82,"&gt;0"))</f>
        <v/>
      </c>
      <c r="F76" s="65">
        <f>CHOOSE(Plan!$K$5,'Calc Smart'!C82,'Calc Avalanche'!C82,'Calc Snowball'!C82,'Calc Cashflow'!C82)</f>
        <v/>
      </c>
      <c r="G76" s="65">
        <f>CHOOSE(Plan!$K$5,'Calc Smart'!D82,'Calc Avalanche'!D82,'Calc Snowball'!D82,'Calc Cashflow'!D82)</f>
        <v/>
      </c>
      <c r="H76" s="65">
        <f>CHOOSE(Plan!$K$5,'Calc Smart'!E82,'Calc Avalanche'!E82,'Calc Snowball'!E82,'Calc Cashflow'!E82)</f>
        <v/>
      </c>
      <c r="I76" s="65">
        <f>CHOOSE(Plan!$K$5,'Calc Smart'!F82,'Calc Avalanche'!F82,'Calc Snowball'!F82,'Calc Cashflow'!F82)</f>
        <v/>
      </c>
      <c r="J76" s="65">
        <f>CHOOSE(Plan!$K$5,'Calc Smart'!G82,'Calc Avalanche'!G82,'Calc Snowball'!G82,'Calc Cashflow'!G82)</f>
        <v/>
      </c>
      <c r="K76" s="65">
        <f>CHOOSE(Plan!$K$5,'Calc Smart'!H82,'Calc Avalanche'!H82,'Calc Snowball'!H82,'Calc Cashflow'!H82)</f>
        <v/>
      </c>
      <c r="L76" s="65">
        <f>CHOOSE(Plan!$K$5,'Calc Smart'!I82,'Calc Avalanche'!I82,'Calc Snowball'!I82,'Calc Cashflow'!I82)</f>
        <v/>
      </c>
      <c r="M76" s="65">
        <f>CHOOSE(Plan!$K$5,'Calc Smart'!J82,'Calc Avalanche'!J82,'Calc Snowball'!J82,'Calc Cashflow'!J82)</f>
        <v/>
      </c>
      <c r="N76" s="65">
        <f>CHOOSE(Plan!$K$5,'Calc Smart'!K82,'Calc Avalanche'!K82,'Calc Snowball'!K82,'Calc Cashflow'!K82)</f>
        <v/>
      </c>
      <c r="O76" s="65">
        <f>CHOOSE(Plan!$K$5,'Calc Smart'!L82,'Calc Avalanche'!L82,'Calc Snowball'!L82,'Calc Cashflow'!L82)</f>
        <v/>
      </c>
      <c r="P76" s="65">
        <f>CHOOSE(Plan!$K$5,'Calc Smart'!M82,'Calc Avalanche'!M82,'Calc Snowball'!M82,'Calc Cashflow'!M82)</f>
        <v/>
      </c>
      <c r="Q76" s="65">
        <f>CHOOSE(Plan!$K$5,'Calc Smart'!N82,'Calc Avalanche'!N82,'Calc Snowball'!N82,'Calc Cashflow'!N82)</f>
        <v/>
      </c>
    </row>
    <row r="77">
      <c r="B77" s="66">
        <f>EDATE(Plan!$C$6,71)</f>
        <v/>
      </c>
      <c r="C77" s="32">
        <f>CHOOSE(Plan!$K$5,'Calc Smart'!AE83,'Calc Avalanche'!AE83,'Calc Snowball'!AE83,'Calc Cashflow'!AE83)</f>
        <v/>
      </c>
      <c r="D77" s="32">
        <f>CHOOSE(Plan!$K$5,'Calc Smart'!AD83,'Calc Avalanche'!AD83,'Calc Snowball'!AD83,'Calc Cashflow'!AD83)</f>
        <v/>
      </c>
      <c r="E77" s="43">
        <f>CHOOSE(Plan!$K$5,COUNTIF('Calc Smart'!C83:N83,"&gt;0"),COUNTIF('Calc Avalanche'!C83:N83,"&gt;0"),COUNTIF('Calc Snowball'!C83:N83,"&gt;0"),COUNTIF('Calc Cashflow'!C83:N83,"&gt;0"))</f>
        <v/>
      </c>
      <c r="F77" s="67">
        <f>CHOOSE(Plan!$K$5,'Calc Smart'!C83,'Calc Avalanche'!C83,'Calc Snowball'!C83,'Calc Cashflow'!C83)</f>
        <v/>
      </c>
      <c r="G77" s="67">
        <f>CHOOSE(Plan!$K$5,'Calc Smart'!D83,'Calc Avalanche'!D83,'Calc Snowball'!D83,'Calc Cashflow'!D83)</f>
        <v/>
      </c>
      <c r="H77" s="67">
        <f>CHOOSE(Plan!$K$5,'Calc Smart'!E83,'Calc Avalanche'!E83,'Calc Snowball'!E83,'Calc Cashflow'!E83)</f>
        <v/>
      </c>
      <c r="I77" s="67">
        <f>CHOOSE(Plan!$K$5,'Calc Smart'!F83,'Calc Avalanche'!F83,'Calc Snowball'!F83,'Calc Cashflow'!F83)</f>
        <v/>
      </c>
      <c r="J77" s="67">
        <f>CHOOSE(Plan!$K$5,'Calc Smart'!G83,'Calc Avalanche'!G83,'Calc Snowball'!G83,'Calc Cashflow'!G83)</f>
        <v/>
      </c>
      <c r="K77" s="67">
        <f>CHOOSE(Plan!$K$5,'Calc Smart'!H83,'Calc Avalanche'!H83,'Calc Snowball'!H83,'Calc Cashflow'!H83)</f>
        <v/>
      </c>
      <c r="L77" s="67">
        <f>CHOOSE(Plan!$K$5,'Calc Smart'!I83,'Calc Avalanche'!I83,'Calc Snowball'!I83,'Calc Cashflow'!I83)</f>
        <v/>
      </c>
      <c r="M77" s="67">
        <f>CHOOSE(Plan!$K$5,'Calc Smart'!J83,'Calc Avalanche'!J83,'Calc Snowball'!J83,'Calc Cashflow'!J83)</f>
        <v/>
      </c>
      <c r="N77" s="67">
        <f>CHOOSE(Plan!$K$5,'Calc Smart'!K83,'Calc Avalanche'!K83,'Calc Snowball'!K83,'Calc Cashflow'!K83)</f>
        <v/>
      </c>
      <c r="O77" s="67">
        <f>CHOOSE(Plan!$K$5,'Calc Smart'!L83,'Calc Avalanche'!L83,'Calc Snowball'!L83,'Calc Cashflow'!L83)</f>
        <v/>
      </c>
      <c r="P77" s="67">
        <f>CHOOSE(Plan!$K$5,'Calc Smart'!M83,'Calc Avalanche'!M83,'Calc Snowball'!M83,'Calc Cashflow'!M83)</f>
        <v/>
      </c>
      <c r="Q77" s="67">
        <f>CHOOSE(Plan!$K$5,'Calc Smart'!N83,'Calc Avalanche'!N83,'Calc Snowball'!N83,'Calc Cashflow'!N83)</f>
        <v/>
      </c>
    </row>
    <row r="78">
      <c r="B78" s="64">
        <f>EDATE(Plan!$C$6,72)</f>
        <v/>
      </c>
      <c r="C78" s="31">
        <f>CHOOSE(Plan!$K$5,'Calc Smart'!AE84,'Calc Avalanche'!AE84,'Calc Snowball'!AE84,'Calc Cashflow'!AE84)</f>
        <v/>
      </c>
      <c r="D78" s="31">
        <f>CHOOSE(Plan!$K$5,'Calc Smart'!AD84,'Calc Avalanche'!AD84,'Calc Snowball'!AD84,'Calc Cashflow'!AD84)</f>
        <v/>
      </c>
      <c r="E78" s="40">
        <f>CHOOSE(Plan!$K$5,COUNTIF('Calc Smart'!C84:N84,"&gt;0"),COUNTIF('Calc Avalanche'!C84:N84,"&gt;0"),COUNTIF('Calc Snowball'!C84:N84,"&gt;0"),COUNTIF('Calc Cashflow'!C84:N84,"&gt;0"))</f>
        <v/>
      </c>
      <c r="F78" s="65">
        <f>CHOOSE(Plan!$K$5,'Calc Smart'!C84,'Calc Avalanche'!C84,'Calc Snowball'!C84,'Calc Cashflow'!C84)</f>
        <v/>
      </c>
      <c r="G78" s="65">
        <f>CHOOSE(Plan!$K$5,'Calc Smart'!D84,'Calc Avalanche'!D84,'Calc Snowball'!D84,'Calc Cashflow'!D84)</f>
        <v/>
      </c>
      <c r="H78" s="65">
        <f>CHOOSE(Plan!$K$5,'Calc Smart'!E84,'Calc Avalanche'!E84,'Calc Snowball'!E84,'Calc Cashflow'!E84)</f>
        <v/>
      </c>
      <c r="I78" s="65">
        <f>CHOOSE(Plan!$K$5,'Calc Smart'!F84,'Calc Avalanche'!F84,'Calc Snowball'!F84,'Calc Cashflow'!F84)</f>
        <v/>
      </c>
      <c r="J78" s="65">
        <f>CHOOSE(Plan!$K$5,'Calc Smart'!G84,'Calc Avalanche'!G84,'Calc Snowball'!G84,'Calc Cashflow'!G84)</f>
        <v/>
      </c>
      <c r="K78" s="65">
        <f>CHOOSE(Plan!$K$5,'Calc Smart'!H84,'Calc Avalanche'!H84,'Calc Snowball'!H84,'Calc Cashflow'!H84)</f>
        <v/>
      </c>
      <c r="L78" s="65">
        <f>CHOOSE(Plan!$K$5,'Calc Smart'!I84,'Calc Avalanche'!I84,'Calc Snowball'!I84,'Calc Cashflow'!I84)</f>
        <v/>
      </c>
      <c r="M78" s="65">
        <f>CHOOSE(Plan!$K$5,'Calc Smart'!J84,'Calc Avalanche'!J84,'Calc Snowball'!J84,'Calc Cashflow'!J84)</f>
        <v/>
      </c>
      <c r="N78" s="65">
        <f>CHOOSE(Plan!$K$5,'Calc Smart'!K84,'Calc Avalanche'!K84,'Calc Snowball'!K84,'Calc Cashflow'!K84)</f>
        <v/>
      </c>
      <c r="O78" s="65">
        <f>CHOOSE(Plan!$K$5,'Calc Smart'!L84,'Calc Avalanche'!L84,'Calc Snowball'!L84,'Calc Cashflow'!L84)</f>
        <v/>
      </c>
      <c r="P78" s="65">
        <f>CHOOSE(Plan!$K$5,'Calc Smart'!M84,'Calc Avalanche'!M84,'Calc Snowball'!M84,'Calc Cashflow'!M84)</f>
        <v/>
      </c>
      <c r="Q78" s="65">
        <f>CHOOSE(Plan!$K$5,'Calc Smart'!N84,'Calc Avalanche'!N84,'Calc Snowball'!N84,'Calc Cashflow'!N84)</f>
        <v/>
      </c>
    </row>
    <row r="79">
      <c r="B79" s="66">
        <f>EDATE(Plan!$C$6,73)</f>
        <v/>
      </c>
      <c r="C79" s="32">
        <f>CHOOSE(Plan!$K$5,'Calc Smart'!AE85,'Calc Avalanche'!AE85,'Calc Snowball'!AE85,'Calc Cashflow'!AE85)</f>
        <v/>
      </c>
      <c r="D79" s="32">
        <f>CHOOSE(Plan!$K$5,'Calc Smart'!AD85,'Calc Avalanche'!AD85,'Calc Snowball'!AD85,'Calc Cashflow'!AD85)</f>
        <v/>
      </c>
      <c r="E79" s="43">
        <f>CHOOSE(Plan!$K$5,COUNTIF('Calc Smart'!C85:N85,"&gt;0"),COUNTIF('Calc Avalanche'!C85:N85,"&gt;0"),COUNTIF('Calc Snowball'!C85:N85,"&gt;0"),COUNTIF('Calc Cashflow'!C85:N85,"&gt;0"))</f>
        <v/>
      </c>
      <c r="F79" s="67">
        <f>CHOOSE(Plan!$K$5,'Calc Smart'!C85,'Calc Avalanche'!C85,'Calc Snowball'!C85,'Calc Cashflow'!C85)</f>
        <v/>
      </c>
      <c r="G79" s="67">
        <f>CHOOSE(Plan!$K$5,'Calc Smart'!D85,'Calc Avalanche'!D85,'Calc Snowball'!D85,'Calc Cashflow'!D85)</f>
        <v/>
      </c>
      <c r="H79" s="67">
        <f>CHOOSE(Plan!$K$5,'Calc Smart'!E85,'Calc Avalanche'!E85,'Calc Snowball'!E85,'Calc Cashflow'!E85)</f>
        <v/>
      </c>
      <c r="I79" s="67">
        <f>CHOOSE(Plan!$K$5,'Calc Smart'!F85,'Calc Avalanche'!F85,'Calc Snowball'!F85,'Calc Cashflow'!F85)</f>
        <v/>
      </c>
      <c r="J79" s="67">
        <f>CHOOSE(Plan!$K$5,'Calc Smart'!G85,'Calc Avalanche'!G85,'Calc Snowball'!G85,'Calc Cashflow'!G85)</f>
        <v/>
      </c>
      <c r="K79" s="67">
        <f>CHOOSE(Plan!$K$5,'Calc Smart'!H85,'Calc Avalanche'!H85,'Calc Snowball'!H85,'Calc Cashflow'!H85)</f>
        <v/>
      </c>
      <c r="L79" s="67">
        <f>CHOOSE(Plan!$K$5,'Calc Smart'!I85,'Calc Avalanche'!I85,'Calc Snowball'!I85,'Calc Cashflow'!I85)</f>
        <v/>
      </c>
      <c r="M79" s="67">
        <f>CHOOSE(Plan!$K$5,'Calc Smart'!J85,'Calc Avalanche'!J85,'Calc Snowball'!J85,'Calc Cashflow'!J85)</f>
        <v/>
      </c>
      <c r="N79" s="67">
        <f>CHOOSE(Plan!$K$5,'Calc Smart'!K85,'Calc Avalanche'!K85,'Calc Snowball'!K85,'Calc Cashflow'!K85)</f>
        <v/>
      </c>
      <c r="O79" s="67">
        <f>CHOOSE(Plan!$K$5,'Calc Smart'!L85,'Calc Avalanche'!L85,'Calc Snowball'!L85,'Calc Cashflow'!L85)</f>
        <v/>
      </c>
      <c r="P79" s="67">
        <f>CHOOSE(Plan!$K$5,'Calc Smart'!M85,'Calc Avalanche'!M85,'Calc Snowball'!M85,'Calc Cashflow'!M85)</f>
        <v/>
      </c>
      <c r="Q79" s="67">
        <f>CHOOSE(Plan!$K$5,'Calc Smart'!N85,'Calc Avalanche'!N85,'Calc Snowball'!N85,'Calc Cashflow'!N85)</f>
        <v/>
      </c>
    </row>
    <row r="80">
      <c r="B80" s="64">
        <f>EDATE(Plan!$C$6,74)</f>
        <v/>
      </c>
      <c r="C80" s="31">
        <f>CHOOSE(Plan!$K$5,'Calc Smart'!AE86,'Calc Avalanche'!AE86,'Calc Snowball'!AE86,'Calc Cashflow'!AE86)</f>
        <v/>
      </c>
      <c r="D80" s="31">
        <f>CHOOSE(Plan!$K$5,'Calc Smart'!AD86,'Calc Avalanche'!AD86,'Calc Snowball'!AD86,'Calc Cashflow'!AD86)</f>
        <v/>
      </c>
      <c r="E80" s="40">
        <f>CHOOSE(Plan!$K$5,COUNTIF('Calc Smart'!C86:N86,"&gt;0"),COUNTIF('Calc Avalanche'!C86:N86,"&gt;0"),COUNTIF('Calc Snowball'!C86:N86,"&gt;0"),COUNTIF('Calc Cashflow'!C86:N86,"&gt;0"))</f>
        <v/>
      </c>
      <c r="F80" s="65">
        <f>CHOOSE(Plan!$K$5,'Calc Smart'!C86,'Calc Avalanche'!C86,'Calc Snowball'!C86,'Calc Cashflow'!C86)</f>
        <v/>
      </c>
      <c r="G80" s="65">
        <f>CHOOSE(Plan!$K$5,'Calc Smart'!D86,'Calc Avalanche'!D86,'Calc Snowball'!D86,'Calc Cashflow'!D86)</f>
        <v/>
      </c>
      <c r="H80" s="65">
        <f>CHOOSE(Plan!$K$5,'Calc Smart'!E86,'Calc Avalanche'!E86,'Calc Snowball'!E86,'Calc Cashflow'!E86)</f>
        <v/>
      </c>
      <c r="I80" s="65">
        <f>CHOOSE(Plan!$K$5,'Calc Smart'!F86,'Calc Avalanche'!F86,'Calc Snowball'!F86,'Calc Cashflow'!F86)</f>
        <v/>
      </c>
      <c r="J80" s="65">
        <f>CHOOSE(Plan!$K$5,'Calc Smart'!G86,'Calc Avalanche'!G86,'Calc Snowball'!G86,'Calc Cashflow'!G86)</f>
        <v/>
      </c>
      <c r="K80" s="65">
        <f>CHOOSE(Plan!$K$5,'Calc Smart'!H86,'Calc Avalanche'!H86,'Calc Snowball'!H86,'Calc Cashflow'!H86)</f>
        <v/>
      </c>
      <c r="L80" s="65">
        <f>CHOOSE(Plan!$K$5,'Calc Smart'!I86,'Calc Avalanche'!I86,'Calc Snowball'!I86,'Calc Cashflow'!I86)</f>
        <v/>
      </c>
      <c r="M80" s="65">
        <f>CHOOSE(Plan!$K$5,'Calc Smart'!J86,'Calc Avalanche'!J86,'Calc Snowball'!J86,'Calc Cashflow'!J86)</f>
        <v/>
      </c>
      <c r="N80" s="65">
        <f>CHOOSE(Plan!$K$5,'Calc Smart'!K86,'Calc Avalanche'!K86,'Calc Snowball'!K86,'Calc Cashflow'!K86)</f>
        <v/>
      </c>
      <c r="O80" s="65">
        <f>CHOOSE(Plan!$K$5,'Calc Smart'!L86,'Calc Avalanche'!L86,'Calc Snowball'!L86,'Calc Cashflow'!L86)</f>
        <v/>
      </c>
      <c r="P80" s="65">
        <f>CHOOSE(Plan!$K$5,'Calc Smart'!M86,'Calc Avalanche'!M86,'Calc Snowball'!M86,'Calc Cashflow'!M86)</f>
        <v/>
      </c>
      <c r="Q80" s="65">
        <f>CHOOSE(Plan!$K$5,'Calc Smart'!N86,'Calc Avalanche'!N86,'Calc Snowball'!N86,'Calc Cashflow'!N86)</f>
        <v/>
      </c>
    </row>
    <row r="81">
      <c r="B81" s="66">
        <f>EDATE(Plan!$C$6,75)</f>
        <v/>
      </c>
      <c r="C81" s="32">
        <f>CHOOSE(Plan!$K$5,'Calc Smart'!AE87,'Calc Avalanche'!AE87,'Calc Snowball'!AE87,'Calc Cashflow'!AE87)</f>
        <v/>
      </c>
      <c r="D81" s="32">
        <f>CHOOSE(Plan!$K$5,'Calc Smart'!AD87,'Calc Avalanche'!AD87,'Calc Snowball'!AD87,'Calc Cashflow'!AD87)</f>
        <v/>
      </c>
      <c r="E81" s="43">
        <f>CHOOSE(Plan!$K$5,COUNTIF('Calc Smart'!C87:N87,"&gt;0"),COUNTIF('Calc Avalanche'!C87:N87,"&gt;0"),COUNTIF('Calc Snowball'!C87:N87,"&gt;0"),COUNTIF('Calc Cashflow'!C87:N87,"&gt;0"))</f>
        <v/>
      </c>
      <c r="F81" s="67">
        <f>CHOOSE(Plan!$K$5,'Calc Smart'!C87,'Calc Avalanche'!C87,'Calc Snowball'!C87,'Calc Cashflow'!C87)</f>
        <v/>
      </c>
      <c r="G81" s="67">
        <f>CHOOSE(Plan!$K$5,'Calc Smart'!D87,'Calc Avalanche'!D87,'Calc Snowball'!D87,'Calc Cashflow'!D87)</f>
        <v/>
      </c>
      <c r="H81" s="67">
        <f>CHOOSE(Plan!$K$5,'Calc Smart'!E87,'Calc Avalanche'!E87,'Calc Snowball'!E87,'Calc Cashflow'!E87)</f>
        <v/>
      </c>
      <c r="I81" s="67">
        <f>CHOOSE(Plan!$K$5,'Calc Smart'!F87,'Calc Avalanche'!F87,'Calc Snowball'!F87,'Calc Cashflow'!F87)</f>
        <v/>
      </c>
      <c r="J81" s="67">
        <f>CHOOSE(Plan!$K$5,'Calc Smart'!G87,'Calc Avalanche'!G87,'Calc Snowball'!G87,'Calc Cashflow'!G87)</f>
        <v/>
      </c>
      <c r="K81" s="67">
        <f>CHOOSE(Plan!$K$5,'Calc Smart'!H87,'Calc Avalanche'!H87,'Calc Snowball'!H87,'Calc Cashflow'!H87)</f>
        <v/>
      </c>
      <c r="L81" s="67">
        <f>CHOOSE(Plan!$K$5,'Calc Smart'!I87,'Calc Avalanche'!I87,'Calc Snowball'!I87,'Calc Cashflow'!I87)</f>
        <v/>
      </c>
      <c r="M81" s="67">
        <f>CHOOSE(Plan!$K$5,'Calc Smart'!J87,'Calc Avalanche'!J87,'Calc Snowball'!J87,'Calc Cashflow'!J87)</f>
        <v/>
      </c>
      <c r="N81" s="67">
        <f>CHOOSE(Plan!$K$5,'Calc Smart'!K87,'Calc Avalanche'!K87,'Calc Snowball'!K87,'Calc Cashflow'!K87)</f>
        <v/>
      </c>
      <c r="O81" s="67">
        <f>CHOOSE(Plan!$K$5,'Calc Smart'!L87,'Calc Avalanche'!L87,'Calc Snowball'!L87,'Calc Cashflow'!L87)</f>
        <v/>
      </c>
      <c r="P81" s="67">
        <f>CHOOSE(Plan!$K$5,'Calc Smart'!M87,'Calc Avalanche'!M87,'Calc Snowball'!M87,'Calc Cashflow'!M87)</f>
        <v/>
      </c>
      <c r="Q81" s="67">
        <f>CHOOSE(Plan!$K$5,'Calc Smart'!N87,'Calc Avalanche'!N87,'Calc Snowball'!N87,'Calc Cashflow'!N87)</f>
        <v/>
      </c>
    </row>
    <row r="82">
      <c r="B82" s="64">
        <f>EDATE(Plan!$C$6,76)</f>
        <v/>
      </c>
      <c r="C82" s="31">
        <f>CHOOSE(Plan!$K$5,'Calc Smart'!AE88,'Calc Avalanche'!AE88,'Calc Snowball'!AE88,'Calc Cashflow'!AE88)</f>
        <v/>
      </c>
      <c r="D82" s="31">
        <f>CHOOSE(Plan!$K$5,'Calc Smart'!AD88,'Calc Avalanche'!AD88,'Calc Snowball'!AD88,'Calc Cashflow'!AD88)</f>
        <v/>
      </c>
      <c r="E82" s="40">
        <f>CHOOSE(Plan!$K$5,COUNTIF('Calc Smart'!C88:N88,"&gt;0"),COUNTIF('Calc Avalanche'!C88:N88,"&gt;0"),COUNTIF('Calc Snowball'!C88:N88,"&gt;0"),COUNTIF('Calc Cashflow'!C88:N88,"&gt;0"))</f>
        <v/>
      </c>
      <c r="F82" s="65">
        <f>CHOOSE(Plan!$K$5,'Calc Smart'!C88,'Calc Avalanche'!C88,'Calc Snowball'!C88,'Calc Cashflow'!C88)</f>
        <v/>
      </c>
      <c r="G82" s="65">
        <f>CHOOSE(Plan!$K$5,'Calc Smart'!D88,'Calc Avalanche'!D88,'Calc Snowball'!D88,'Calc Cashflow'!D88)</f>
        <v/>
      </c>
      <c r="H82" s="65">
        <f>CHOOSE(Plan!$K$5,'Calc Smart'!E88,'Calc Avalanche'!E88,'Calc Snowball'!E88,'Calc Cashflow'!E88)</f>
        <v/>
      </c>
      <c r="I82" s="65">
        <f>CHOOSE(Plan!$K$5,'Calc Smart'!F88,'Calc Avalanche'!F88,'Calc Snowball'!F88,'Calc Cashflow'!F88)</f>
        <v/>
      </c>
      <c r="J82" s="65">
        <f>CHOOSE(Plan!$K$5,'Calc Smart'!G88,'Calc Avalanche'!G88,'Calc Snowball'!G88,'Calc Cashflow'!G88)</f>
        <v/>
      </c>
      <c r="K82" s="65">
        <f>CHOOSE(Plan!$K$5,'Calc Smart'!H88,'Calc Avalanche'!H88,'Calc Snowball'!H88,'Calc Cashflow'!H88)</f>
        <v/>
      </c>
      <c r="L82" s="65">
        <f>CHOOSE(Plan!$K$5,'Calc Smart'!I88,'Calc Avalanche'!I88,'Calc Snowball'!I88,'Calc Cashflow'!I88)</f>
        <v/>
      </c>
      <c r="M82" s="65">
        <f>CHOOSE(Plan!$K$5,'Calc Smart'!J88,'Calc Avalanche'!J88,'Calc Snowball'!J88,'Calc Cashflow'!J88)</f>
        <v/>
      </c>
      <c r="N82" s="65">
        <f>CHOOSE(Plan!$K$5,'Calc Smart'!K88,'Calc Avalanche'!K88,'Calc Snowball'!K88,'Calc Cashflow'!K88)</f>
        <v/>
      </c>
      <c r="O82" s="65">
        <f>CHOOSE(Plan!$K$5,'Calc Smart'!L88,'Calc Avalanche'!L88,'Calc Snowball'!L88,'Calc Cashflow'!L88)</f>
        <v/>
      </c>
      <c r="P82" s="65">
        <f>CHOOSE(Plan!$K$5,'Calc Smart'!M88,'Calc Avalanche'!M88,'Calc Snowball'!M88,'Calc Cashflow'!M88)</f>
        <v/>
      </c>
      <c r="Q82" s="65">
        <f>CHOOSE(Plan!$K$5,'Calc Smart'!N88,'Calc Avalanche'!N88,'Calc Snowball'!N88,'Calc Cashflow'!N88)</f>
        <v/>
      </c>
    </row>
    <row r="83">
      <c r="B83" s="66">
        <f>EDATE(Plan!$C$6,77)</f>
        <v/>
      </c>
      <c r="C83" s="32">
        <f>CHOOSE(Plan!$K$5,'Calc Smart'!AE89,'Calc Avalanche'!AE89,'Calc Snowball'!AE89,'Calc Cashflow'!AE89)</f>
        <v/>
      </c>
      <c r="D83" s="32">
        <f>CHOOSE(Plan!$K$5,'Calc Smart'!AD89,'Calc Avalanche'!AD89,'Calc Snowball'!AD89,'Calc Cashflow'!AD89)</f>
        <v/>
      </c>
      <c r="E83" s="43">
        <f>CHOOSE(Plan!$K$5,COUNTIF('Calc Smart'!C89:N89,"&gt;0"),COUNTIF('Calc Avalanche'!C89:N89,"&gt;0"),COUNTIF('Calc Snowball'!C89:N89,"&gt;0"),COUNTIF('Calc Cashflow'!C89:N89,"&gt;0"))</f>
        <v/>
      </c>
      <c r="F83" s="67">
        <f>CHOOSE(Plan!$K$5,'Calc Smart'!C89,'Calc Avalanche'!C89,'Calc Snowball'!C89,'Calc Cashflow'!C89)</f>
        <v/>
      </c>
      <c r="G83" s="67">
        <f>CHOOSE(Plan!$K$5,'Calc Smart'!D89,'Calc Avalanche'!D89,'Calc Snowball'!D89,'Calc Cashflow'!D89)</f>
        <v/>
      </c>
      <c r="H83" s="67">
        <f>CHOOSE(Plan!$K$5,'Calc Smart'!E89,'Calc Avalanche'!E89,'Calc Snowball'!E89,'Calc Cashflow'!E89)</f>
        <v/>
      </c>
      <c r="I83" s="67">
        <f>CHOOSE(Plan!$K$5,'Calc Smart'!F89,'Calc Avalanche'!F89,'Calc Snowball'!F89,'Calc Cashflow'!F89)</f>
        <v/>
      </c>
      <c r="J83" s="67">
        <f>CHOOSE(Plan!$K$5,'Calc Smart'!G89,'Calc Avalanche'!G89,'Calc Snowball'!G89,'Calc Cashflow'!G89)</f>
        <v/>
      </c>
      <c r="K83" s="67">
        <f>CHOOSE(Plan!$K$5,'Calc Smart'!H89,'Calc Avalanche'!H89,'Calc Snowball'!H89,'Calc Cashflow'!H89)</f>
        <v/>
      </c>
      <c r="L83" s="67">
        <f>CHOOSE(Plan!$K$5,'Calc Smart'!I89,'Calc Avalanche'!I89,'Calc Snowball'!I89,'Calc Cashflow'!I89)</f>
        <v/>
      </c>
      <c r="M83" s="67">
        <f>CHOOSE(Plan!$K$5,'Calc Smart'!J89,'Calc Avalanche'!J89,'Calc Snowball'!J89,'Calc Cashflow'!J89)</f>
        <v/>
      </c>
      <c r="N83" s="67">
        <f>CHOOSE(Plan!$K$5,'Calc Smart'!K89,'Calc Avalanche'!K89,'Calc Snowball'!K89,'Calc Cashflow'!K89)</f>
        <v/>
      </c>
      <c r="O83" s="67">
        <f>CHOOSE(Plan!$K$5,'Calc Smart'!L89,'Calc Avalanche'!L89,'Calc Snowball'!L89,'Calc Cashflow'!L89)</f>
        <v/>
      </c>
      <c r="P83" s="67">
        <f>CHOOSE(Plan!$K$5,'Calc Smart'!M89,'Calc Avalanche'!M89,'Calc Snowball'!M89,'Calc Cashflow'!M89)</f>
        <v/>
      </c>
      <c r="Q83" s="67">
        <f>CHOOSE(Plan!$K$5,'Calc Smart'!N89,'Calc Avalanche'!N89,'Calc Snowball'!N89,'Calc Cashflow'!N89)</f>
        <v/>
      </c>
    </row>
    <row r="84">
      <c r="B84" s="64">
        <f>EDATE(Plan!$C$6,78)</f>
        <v/>
      </c>
      <c r="C84" s="31">
        <f>CHOOSE(Plan!$K$5,'Calc Smart'!AE90,'Calc Avalanche'!AE90,'Calc Snowball'!AE90,'Calc Cashflow'!AE90)</f>
        <v/>
      </c>
      <c r="D84" s="31">
        <f>CHOOSE(Plan!$K$5,'Calc Smart'!AD90,'Calc Avalanche'!AD90,'Calc Snowball'!AD90,'Calc Cashflow'!AD90)</f>
        <v/>
      </c>
      <c r="E84" s="40">
        <f>CHOOSE(Plan!$K$5,COUNTIF('Calc Smart'!C90:N90,"&gt;0"),COUNTIF('Calc Avalanche'!C90:N90,"&gt;0"),COUNTIF('Calc Snowball'!C90:N90,"&gt;0"),COUNTIF('Calc Cashflow'!C90:N90,"&gt;0"))</f>
        <v/>
      </c>
      <c r="F84" s="65">
        <f>CHOOSE(Plan!$K$5,'Calc Smart'!C90,'Calc Avalanche'!C90,'Calc Snowball'!C90,'Calc Cashflow'!C90)</f>
        <v/>
      </c>
      <c r="G84" s="65">
        <f>CHOOSE(Plan!$K$5,'Calc Smart'!D90,'Calc Avalanche'!D90,'Calc Snowball'!D90,'Calc Cashflow'!D90)</f>
        <v/>
      </c>
      <c r="H84" s="65">
        <f>CHOOSE(Plan!$K$5,'Calc Smart'!E90,'Calc Avalanche'!E90,'Calc Snowball'!E90,'Calc Cashflow'!E90)</f>
        <v/>
      </c>
      <c r="I84" s="65">
        <f>CHOOSE(Plan!$K$5,'Calc Smart'!F90,'Calc Avalanche'!F90,'Calc Snowball'!F90,'Calc Cashflow'!F90)</f>
        <v/>
      </c>
      <c r="J84" s="65">
        <f>CHOOSE(Plan!$K$5,'Calc Smart'!G90,'Calc Avalanche'!G90,'Calc Snowball'!G90,'Calc Cashflow'!G90)</f>
        <v/>
      </c>
      <c r="K84" s="65">
        <f>CHOOSE(Plan!$K$5,'Calc Smart'!H90,'Calc Avalanche'!H90,'Calc Snowball'!H90,'Calc Cashflow'!H90)</f>
        <v/>
      </c>
      <c r="L84" s="65">
        <f>CHOOSE(Plan!$K$5,'Calc Smart'!I90,'Calc Avalanche'!I90,'Calc Snowball'!I90,'Calc Cashflow'!I90)</f>
        <v/>
      </c>
      <c r="M84" s="65">
        <f>CHOOSE(Plan!$K$5,'Calc Smart'!J90,'Calc Avalanche'!J90,'Calc Snowball'!J90,'Calc Cashflow'!J90)</f>
        <v/>
      </c>
      <c r="N84" s="65">
        <f>CHOOSE(Plan!$K$5,'Calc Smart'!K90,'Calc Avalanche'!K90,'Calc Snowball'!K90,'Calc Cashflow'!K90)</f>
        <v/>
      </c>
      <c r="O84" s="65">
        <f>CHOOSE(Plan!$K$5,'Calc Smart'!L90,'Calc Avalanche'!L90,'Calc Snowball'!L90,'Calc Cashflow'!L90)</f>
        <v/>
      </c>
      <c r="P84" s="65">
        <f>CHOOSE(Plan!$K$5,'Calc Smart'!M90,'Calc Avalanche'!M90,'Calc Snowball'!M90,'Calc Cashflow'!M90)</f>
        <v/>
      </c>
      <c r="Q84" s="65">
        <f>CHOOSE(Plan!$K$5,'Calc Smart'!N90,'Calc Avalanche'!N90,'Calc Snowball'!N90,'Calc Cashflow'!N90)</f>
        <v/>
      </c>
    </row>
    <row r="85">
      <c r="B85" s="66">
        <f>EDATE(Plan!$C$6,79)</f>
        <v/>
      </c>
      <c r="C85" s="32">
        <f>CHOOSE(Plan!$K$5,'Calc Smart'!AE91,'Calc Avalanche'!AE91,'Calc Snowball'!AE91,'Calc Cashflow'!AE91)</f>
        <v/>
      </c>
      <c r="D85" s="32">
        <f>CHOOSE(Plan!$K$5,'Calc Smart'!AD91,'Calc Avalanche'!AD91,'Calc Snowball'!AD91,'Calc Cashflow'!AD91)</f>
        <v/>
      </c>
      <c r="E85" s="43">
        <f>CHOOSE(Plan!$K$5,COUNTIF('Calc Smart'!C91:N91,"&gt;0"),COUNTIF('Calc Avalanche'!C91:N91,"&gt;0"),COUNTIF('Calc Snowball'!C91:N91,"&gt;0"),COUNTIF('Calc Cashflow'!C91:N91,"&gt;0"))</f>
        <v/>
      </c>
      <c r="F85" s="67">
        <f>CHOOSE(Plan!$K$5,'Calc Smart'!C91,'Calc Avalanche'!C91,'Calc Snowball'!C91,'Calc Cashflow'!C91)</f>
        <v/>
      </c>
      <c r="G85" s="67">
        <f>CHOOSE(Plan!$K$5,'Calc Smart'!D91,'Calc Avalanche'!D91,'Calc Snowball'!D91,'Calc Cashflow'!D91)</f>
        <v/>
      </c>
      <c r="H85" s="67">
        <f>CHOOSE(Plan!$K$5,'Calc Smart'!E91,'Calc Avalanche'!E91,'Calc Snowball'!E91,'Calc Cashflow'!E91)</f>
        <v/>
      </c>
      <c r="I85" s="67">
        <f>CHOOSE(Plan!$K$5,'Calc Smart'!F91,'Calc Avalanche'!F91,'Calc Snowball'!F91,'Calc Cashflow'!F91)</f>
        <v/>
      </c>
      <c r="J85" s="67">
        <f>CHOOSE(Plan!$K$5,'Calc Smart'!G91,'Calc Avalanche'!G91,'Calc Snowball'!G91,'Calc Cashflow'!G91)</f>
        <v/>
      </c>
      <c r="K85" s="67">
        <f>CHOOSE(Plan!$K$5,'Calc Smart'!H91,'Calc Avalanche'!H91,'Calc Snowball'!H91,'Calc Cashflow'!H91)</f>
        <v/>
      </c>
      <c r="L85" s="67">
        <f>CHOOSE(Plan!$K$5,'Calc Smart'!I91,'Calc Avalanche'!I91,'Calc Snowball'!I91,'Calc Cashflow'!I91)</f>
        <v/>
      </c>
      <c r="M85" s="67">
        <f>CHOOSE(Plan!$K$5,'Calc Smart'!J91,'Calc Avalanche'!J91,'Calc Snowball'!J91,'Calc Cashflow'!J91)</f>
        <v/>
      </c>
      <c r="N85" s="67">
        <f>CHOOSE(Plan!$K$5,'Calc Smart'!K91,'Calc Avalanche'!K91,'Calc Snowball'!K91,'Calc Cashflow'!K91)</f>
        <v/>
      </c>
      <c r="O85" s="67">
        <f>CHOOSE(Plan!$K$5,'Calc Smart'!L91,'Calc Avalanche'!L91,'Calc Snowball'!L91,'Calc Cashflow'!L91)</f>
        <v/>
      </c>
      <c r="P85" s="67">
        <f>CHOOSE(Plan!$K$5,'Calc Smart'!M91,'Calc Avalanche'!M91,'Calc Snowball'!M91,'Calc Cashflow'!M91)</f>
        <v/>
      </c>
      <c r="Q85" s="67">
        <f>CHOOSE(Plan!$K$5,'Calc Smart'!N91,'Calc Avalanche'!N91,'Calc Snowball'!N91,'Calc Cashflow'!N91)</f>
        <v/>
      </c>
    </row>
    <row r="86">
      <c r="B86" s="64">
        <f>EDATE(Plan!$C$6,80)</f>
        <v/>
      </c>
      <c r="C86" s="31">
        <f>CHOOSE(Plan!$K$5,'Calc Smart'!AE92,'Calc Avalanche'!AE92,'Calc Snowball'!AE92,'Calc Cashflow'!AE92)</f>
        <v/>
      </c>
      <c r="D86" s="31">
        <f>CHOOSE(Plan!$K$5,'Calc Smart'!AD92,'Calc Avalanche'!AD92,'Calc Snowball'!AD92,'Calc Cashflow'!AD92)</f>
        <v/>
      </c>
      <c r="E86" s="40">
        <f>CHOOSE(Plan!$K$5,COUNTIF('Calc Smart'!C92:N92,"&gt;0"),COUNTIF('Calc Avalanche'!C92:N92,"&gt;0"),COUNTIF('Calc Snowball'!C92:N92,"&gt;0"),COUNTIF('Calc Cashflow'!C92:N92,"&gt;0"))</f>
        <v/>
      </c>
      <c r="F86" s="65">
        <f>CHOOSE(Plan!$K$5,'Calc Smart'!C92,'Calc Avalanche'!C92,'Calc Snowball'!C92,'Calc Cashflow'!C92)</f>
        <v/>
      </c>
      <c r="G86" s="65">
        <f>CHOOSE(Plan!$K$5,'Calc Smart'!D92,'Calc Avalanche'!D92,'Calc Snowball'!D92,'Calc Cashflow'!D92)</f>
        <v/>
      </c>
      <c r="H86" s="65">
        <f>CHOOSE(Plan!$K$5,'Calc Smart'!E92,'Calc Avalanche'!E92,'Calc Snowball'!E92,'Calc Cashflow'!E92)</f>
        <v/>
      </c>
      <c r="I86" s="65">
        <f>CHOOSE(Plan!$K$5,'Calc Smart'!F92,'Calc Avalanche'!F92,'Calc Snowball'!F92,'Calc Cashflow'!F92)</f>
        <v/>
      </c>
      <c r="J86" s="65">
        <f>CHOOSE(Plan!$K$5,'Calc Smart'!G92,'Calc Avalanche'!G92,'Calc Snowball'!G92,'Calc Cashflow'!G92)</f>
        <v/>
      </c>
      <c r="K86" s="65">
        <f>CHOOSE(Plan!$K$5,'Calc Smart'!H92,'Calc Avalanche'!H92,'Calc Snowball'!H92,'Calc Cashflow'!H92)</f>
        <v/>
      </c>
      <c r="L86" s="65">
        <f>CHOOSE(Plan!$K$5,'Calc Smart'!I92,'Calc Avalanche'!I92,'Calc Snowball'!I92,'Calc Cashflow'!I92)</f>
        <v/>
      </c>
      <c r="M86" s="65">
        <f>CHOOSE(Plan!$K$5,'Calc Smart'!J92,'Calc Avalanche'!J92,'Calc Snowball'!J92,'Calc Cashflow'!J92)</f>
        <v/>
      </c>
      <c r="N86" s="65">
        <f>CHOOSE(Plan!$K$5,'Calc Smart'!K92,'Calc Avalanche'!K92,'Calc Snowball'!K92,'Calc Cashflow'!K92)</f>
        <v/>
      </c>
      <c r="O86" s="65">
        <f>CHOOSE(Plan!$K$5,'Calc Smart'!L92,'Calc Avalanche'!L92,'Calc Snowball'!L92,'Calc Cashflow'!L92)</f>
        <v/>
      </c>
      <c r="P86" s="65">
        <f>CHOOSE(Plan!$K$5,'Calc Smart'!M92,'Calc Avalanche'!M92,'Calc Snowball'!M92,'Calc Cashflow'!M92)</f>
        <v/>
      </c>
      <c r="Q86" s="65">
        <f>CHOOSE(Plan!$K$5,'Calc Smart'!N92,'Calc Avalanche'!N92,'Calc Snowball'!N92,'Calc Cashflow'!N92)</f>
        <v/>
      </c>
    </row>
    <row r="87">
      <c r="B87" s="66">
        <f>EDATE(Plan!$C$6,81)</f>
        <v/>
      </c>
      <c r="C87" s="32">
        <f>CHOOSE(Plan!$K$5,'Calc Smart'!AE93,'Calc Avalanche'!AE93,'Calc Snowball'!AE93,'Calc Cashflow'!AE93)</f>
        <v/>
      </c>
      <c r="D87" s="32">
        <f>CHOOSE(Plan!$K$5,'Calc Smart'!AD93,'Calc Avalanche'!AD93,'Calc Snowball'!AD93,'Calc Cashflow'!AD93)</f>
        <v/>
      </c>
      <c r="E87" s="43">
        <f>CHOOSE(Plan!$K$5,COUNTIF('Calc Smart'!C93:N93,"&gt;0"),COUNTIF('Calc Avalanche'!C93:N93,"&gt;0"),COUNTIF('Calc Snowball'!C93:N93,"&gt;0"),COUNTIF('Calc Cashflow'!C93:N93,"&gt;0"))</f>
        <v/>
      </c>
      <c r="F87" s="67">
        <f>CHOOSE(Plan!$K$5,'Calc Smart'!C93,'Calc Avalanche'!C93,'Calc Snowball'!C93,'Calc Cashflow'!C93)</f>
        <v/>
      </c>
      <c r="G87" s="67">
        <f>CHOOSE(Plan!$K$5,'Calc Smart'!D93,'Calc Avalanche'!D93,'Calc Snowball'!D93,'Calc Cashflow'!D93)</f>
        <v/>
      </c>
      <c r="H87" s="67">
        <f>CHOOSE(Plan!$K$5,'Calc Smart'!E93,'Calc Avalanche'!E93,'Calc Snowball'!E93,'Calc Cashflow'!E93)</f>
        <v/>
      </c>
      <c r="I87" s="67">
        <f>CHOOSE(Plan!$K$5,'Calc Smart'!F93,'Calc Avalanche'!F93,'Calc Snowball'!F93,'Calc Cashflow'!F93)</f>
        <v/>
      </c>
      <c r="J87" s="67">
        <f>CHOOSE(Plan!$K$5,'Calc Smart'!G93,'Calc Avalanche'!G93,'Calc Snowball'!G93,'Calc Cashflow'!G93)</f>
        <v/>
      </c>
      <c r="K87" s="67">
        <f>CHOOSE(Plan!$K$5,'Calc Smart'!H93,'Calc Avalanche'!H93,'Calc Snowball'!H93,'Calc Cashflow'!H93)</f>
        <v/>
      </c>
      <c r="L87" s="67">
        <f>CHOOSE(Plan!$K$5,'Calc Smart'!I93,'Calc Avalanche'!I93,'Calc Snowball'!I93,'Calc Cashflow'!I93)</f>
        <v/>
      </c>
      <c r="M87" s="67">
        <f>CHOOSE(Plan!$K$5,'Calc Smart'!J93,'Calc Avalanche'!J93,'Calc Snowball'!J93,'Calc Cashflow'!J93)</f>
        <v/>
      </c>
      <c r="N87" s="67">
        <f>CHOOSE(Plan!$K$5,'Calc Smart'!K93,'Calc Avalanche'!K93,'Calc Snowball'!K93,'Calc Cashflow'!K93)</f>
        <v/>
      </c>
      <c r="O87" s="67">
        <f>CHOOSE(Plan!$K$5,'Calc Smart'!L93,'Calc Avalanche'!L93,'Calc Snowball'!L93,'Calc Cashflow'!L93)</f>
        <v/>
      </c>
      <c r="P87" s="67">
        <f>CHOOSE(Plan!$K$5,'Calc Smart'!M93,'Calc Avalanche'!M93,'Calc Snowball'!M93,'Calc Cashflow'!M93)</f>
        <v/>
      </c>
      <c r="Q87" s="67">
        <f>CHOOSE(Plan!$K$5,'Calc Smart'!N93,'Calc Avalanche'!N93,'Calc Snowball'!N93,'Calc Cashflow'!N93)</f>
        <v/>
      </c>
    </row>
    <row r="88">
      <c r="B88" s="64">
        <f>EDATE(Plan!$C$6,82)</f>
        <v/>
      </c>
      <c r="C88" s="31">
        <f>CHOOSE(Plan!$K$5,'Calc Smart'!AE94,'Calc Avalanche'!AE94,'Calc Snowball'!AE94,'Calc Cashflow'!AE94)</f>
        <v/>
      </c>
      <c r="D88" s="31">
        <f>CHOOSE(Plan!$K$5,'Calc Smart'!AD94,'Calc Avalanche'!AD94,'Calc Snowball'!AD94,'Calc Cashflow'!AD94)</f>
        <v/>
      </c>
      <c r="E88" s="40">
        <f>CHOOSE(Plan!$K$5,COUNTIF('Calc Smart'!C94:N94,"&gt;0"),COUNTIF('Calc Avalanche'!C94:N94,"&gt;0"),COUNTIF('Calc Snowball'!C94:N94,"&gt;0"),COUNTIF('Calc Cashflow'!C94:N94,"&gt;0"))</f>
        <v/>
      </c>
      <c r="F88" s="65">
        <f>CHOOSE(Plan!$K$5,'Calc Smart'!C94,'Calc Avalanche'!C94,'Calc Snowball'!C94,'Calc Cashflow'!C94)</f>
        <v/>
      </c>
      <c r="G88" s="65">
        <f>CHOOSE(Plan!$K$5,'Calc Smart'!D94,'Calc Avalanche'!D94,'Calc Snowball'!D94,'Calc Cashflow'!D94)</f>
        <v/>
      </c>
      <c r="H88" s="65">
        <f>CHOOSE(Plan!$K$5,'Calc Smart'!E94,'Calc Avalanche'!E94,'Calc Snowball'!E94,'Calc Cashflow'!E94)</f>
        <v/>
      </c>
      <c r="I88" s="65">
        <f>CHOOSE(Plan!$K$5,'Calc Smart'!F94,'Calc Avalanche'!F94,'Calc Snowball'!F94,'Calc Cashflow'!F94)</f>
        <v/>
      </c>
      <c r="J88" s="65">
        <f>CHOOSE(Plan!$K$5,'Calc Smart'!G94,'Calc Avalanche'!G94,'Calc Snowball'!G94,'Calc Cashflow'!G94)</f>
        <v/>
      </c>
      <c r="K88" s="65">
        <f>CHOOSE(Plan!$K$5,'Calc Smart'!H94,'Calc Avalanche'!H94,'Calc Snowball'!H94,'Calc Cashflow'!H94)</f>
        <v/>
      </c>
      <c r="L88" s="65">
        <f>CHOOSE(Plan!$K$5,'Calc Smart'!I94,'Calc Avalanche'!I94,'Calc Snowball'!I94,'Calc Cashflow'!I94)</f>
        <v/>
      </c>
      <c r="M88" s="65">
        <f>CHOOSE(Plan!$K$5,'Calc Smart'!J94,'Calc Avalanche'!J94,'Calc Snowball'!J94,'Calc Cashflow'!J94)</f>
        <v/>
      </c>
      <c r="N88" s="65">
        <f>CHOOSE(Plan!$K$5,'Calc Smart'!K94,'Calc Avalanche'!K94,'Calc Snowball'!K94,'Calc Cashflow'!K94)</f>
        <v/>
      </c>
      <c r="O88" s="65">
        <f>CHOOSE(Plan!$K$5,'Calc Smart'!L94,'Calc Avalanche'!L94,'Calc Snowball'!L94,'Calc Cashflow'!L94)</f>
        <v/>
      </c>
      <c r="P88" s="65">
        <f>CHOOSE(Plan!$K$5,'Calc Smart'!M94,'Calc Avalanche'!M94,'Calc Snowball'!M94,'Calc Cashflow'!M94)</f>
        <v/>
      </c>
      <c r="Q88" s="65">
        <f>CHOOSE(Plan!$K$5,'Calc Smart'!N94,'Calc Avalanche'!N94,'Calc Snowball'!N94,'Calc Cashflow'!N94)</f>
        <v/>
      </c>
    </row>
    <row r="89">
      <c r="B89" s="66">
        <f>EDATE(Plan!$C$6,83)</f>
        <v/>
      </c>
      <c r="C89" s="32">
        <f>CHOOSE(Plan!$K$5,'Calc Smart'!AE95,'Calc Avalanche'!AE95,'Calc Snowball'!AE95,'Calc Cashflow'!AE95)</f>
        <v/>
      </c>
      <c r="D89" s="32">
        <f>CHOOSE(Plan!$K$5,'Calc Smart'!AD95,'Calc Avalanche'!AD95,'Calc Snowball'!AD95,'Calc Cashflow'!AD95)</f>
        <v/>
      </c>
      <c r="E89" s="43">
        <f>CHOOSE(Plan!$K$5,COUNTIF('Calc Smart'!C95:N95,"&gt;0"),COUNTIF('Calc Avalanche'!C95:N95,"&gt;0"),COUNTIF('Calc Snowball'!C95:N95,"&gt;0"),COUNTIF('Calc Cashflow'!C95:N95,"&gt;0"))</f>
        <v/>
      </c>
      <c r="F89" s="67">
        <f>CHOOSE(Plan!$K$5,'Calc Smart'!C95,'Calc Avalanche'!C95,'Calc Snowball'!C95,'Calc Cashflow'!C95)</f>
        <v/>
      </c>
      <c r="G89" s="67">
        <f>CHOOSE(Plan!$K$5,'Calc Smart'!D95,'Calc Avalanche'!D95,'Calc Snowball'!D95,'Calc Cashflow'!D95)</f>
        <v/>
      </c>
      <c r="H89" s="67">
        <f>CHOOSE(Plan!$K$5,'Calc Smart'!E95,'Calc Avalanche'!E95,'Calc Snowball'!E95,'Calc Cashflow'!E95)</f>
        <v/>
      </c>
      <c r="I89" s="67">
        <f>CHOOSE(Plan!$K$5,'Calc Smart'!F95,'Calc Avalanche'!F95,'Calc Snowball'!F95,'Calc Cashflow'!F95)</f>
        <v/>
      </c>
      <c r="J89" s="67">
        <f>CHOOSE(Plan!$K$5,'Calc Smart'!G95,'Calc Avalanche'!G95,'Calc Snowball'!G95,'Calc Cashflow'!G95)</f>
        <v/>
      </c>
      <c r="K89" s="67">
        <f>CHOOSE(Plan!$K$5,'Calc Smart'!H95,'Calc Avalanche'!H95,'Calc Snowball'!H95,'Calc Cashflow'!H95)</f>
        <v/>
      </c>
      <c r="L89" s="67">
        <f>CHOOSE(Plan!$K$5,'Calc Smart'!I95,'Calc Avalanche'!I95,'Calc Snowball'!I95,'Calc Cashflow'!I95)</f>
        <v/>
      </c>
      <c r="M89" s="67">
        <f>CHOOSE(Plan!$K$5,'Calc Smart'!J95,'Calc Avalanche'!J95,'Calc Snowball'!J95,'Calc Cashflow'!J95)</f>
        <v/>
      </c>
      <c r="N89" s="67">
        <f>CHOOSE(Plan!$K$5,'Calc Smart'!K95,'Calc Avalanche'!K95,'Calc Snowball'!K95,'Calc Cashflow'!K95)</f>
        <v/>
      </c>
      <c r="O89" s="67">
        <f>CHOOSE(Plan!$K$5,'Calc Smart'!L95,'Calc Avalanche'!L95,'Calc Snowball'!L95,'Calc Cashflow'!L95)</f>
        <v/>
      </c>
      <c r="P89" s="67">
        <f>CHOOSE(Plan!$K$5,'Calc Smart'!M95,'Calc Avalanche'!M95,'Calc Snowball'!M95,'Calc Cashflow'!M95)</f>
        <v/>
      </c>
      <c r="Q89" s="67">
        <f>CHOOSE(Plan!$K$5,'Calc Smart'!N95,'Calc Avalanche'!N95,'Calc Snowball'!N95,'Calc Cashflow'!N95)</f>
        <v/>
      </c>
    </row>
    <row r="90">
      <c r="B90" s="64">
        <f>EDATE(Plan!$C$6,84)</f>
        <v/>
      </c>
      <c r="C90" s="31">
        <f>CHOOSE(Plan!$K$5,'Calc Smart'!AE96,'Calc Avalanche'!AE96,'Calc Snowball'!AE96,'Calc Cashflow'!AE96)</f>
        <v/>
      </c>
      <c r="D90" s="31">
        <f>CHOOSE(Plan!$K$5,'Calc Smart'!AD96,'Calc Avalanche'!AD96,'Calc Snowball'!AD96,'Calc Cashflow'!AD96)</f>
        <v/>
      </c>
      <c r="E90" s="40">
        <f>CHOOSE(Plan!$K$5,COUNTIF('Calc Smart'!C96:N96,"&gt;0"),COUNTIF('Calc Avalanche'!C96:N96,"&gt;0"),COUNTIF('Calc Snowball'!C96:N96,"&gt;0"),COUNTIF('Calc Cashflow'!C96:N96,"&gt;0"))</f>
        <v/>
      </c>
      <c r="F90" s="65">
        <f>CHOOSE(Plan!$K$5,'Calc Smart'!C96,'Calc Avalanche'!C96,'Calc Snowball'!C96,'Calc Cashflow'!C96)</f>
        <v/>
      </c>
      <c r="G90" s="65">
        <f>CHOOSE(Plan!$K$5,'Calc Smart'!D96,'Calc Avalanche'!D96,'Calc Snowball'!D96,'Calc Cashflow'!D96)</f>
        <v/>
      </c>
      <c r="H90" s="65">
        <f>CHOOSE(Plan!$K$5,'Calc Smart'!E96,'Calc Avalanche'!E96,'Calc Snowball'!E96,'Calc Cashflow'!E96)</f>
        <v/>
      </c>
      <c r="I90" s="65">
        <f>CHOOSE(Plan!$K$5,'Calc Smart'!F96,'Calc Avalanche'!F96,'Calc Snowball'!F96,'Calc Cashflow'!F96)</f>
        <v/>
      </c>
      <c r="J90" s="65">
        <f>CHOOSE(Plan!$K$5,'Calc Smart'!G96,'Calc Avalanche'!G96,'Calc Snowball'!G96,'Calc Cashflow'!G96)</f>
        <v/>
      </c>
      <c r="K90" s="65">
        <f>CHOOSE(Plan!$K$5,'Calc Smart'!H96,'Calc Avalanche'!H96,'Calc Snowball'!H96,'Calc Cashflow'!H96)</f>
        <v/>
      </c>
      <c r="L90" s="65">
        <f>CHOOSE(Plan!$K$5,'Calc Smart'!I96,'Calc Avalanche'!I96,'Calc Snowball'!I96,'Calc Cashflow'!I96)</f>
        <v/>
      </c>
      <c r="M90" s="65">
        <f>CHOOSE(Plan!$K$5,'Calc Smart'!J96,'Calc Avalanche'!J96,'Calc Snowball'!J96,'Calc Cashflow'!J96)</f>
        <v/>
      </c>
      <c r="N90" s="65">
        <f>CHOOSE(Plan!$K$5,'Calc Smart'!K96,'Calc Avalanche'!K96,'Calc Snowball'!K96,'Calc Cashflow'!K96)</f>
        <v/>
      </c>
      <c r="O90" s="65">
        <f>CHOOSE(Plan!$K$5,'Calc Smart'!L96,'Calc Avalanche'!L96,'Calc Snowball'!L96,'Calc Cashflow'!L96)</f>
        <v/>
      </c>
      <c r="P90" s="65">
        <f>CHOOSE(Plan!$K$5,'Calc Smart'!M96,'Calc Avalanche'!M96,'Calc Snowball'!M96,'Calc Cashflow'!M96)</f>
        <v/>
      </c>
      <c r="Q90" s="65">
        <f>CHOOSE(Plan!$K$5,'Calc Smart'!N96,'Calc Avalanche'!N96,'Calc Snowball'!N96,'Calc Cashflow'!N96)</f>
        <v/>
      </c>
    </row>
    <row r="91">
      <c r="B91" s="66">
        <f>EDATE(Plan!$C$6,85)</f>
        <v/>
      </c>
      <c r="C91" s="32">
        <f>CHOOSE(Plan!$K$5,'Calc Smart'!AE97,'Calc Avalanche'!AE97,'Calc Snowball'!AE97,'Calc Cashflow'!AE97)</f>
        <v/>
      </c>
      <c r="D91" s="32">
        <f>CHOOSE(Plan!$K$5,'Calc Smart'!AD97,'Calc Avalanche'!AD97,'Calc Snowball'!AD97,'Calc Cashflow'!AD97)</f>
        <v/>
      </c>
      <c r="E91" s="43">
        <f>CHOOSE(Plan!$K$5,COUNTIF('Calc Smart'!C97:N97,"&gt;0"),COUNTIF('Calc Avalanche'!C97:N97,"&gt;0"),COUNTIF('Calc Snowball'!C97:N97,"&gt;0"),COUNTIF('Calc Cashflow'!C97:N97,"&gt;0"))</f>
        <v/>
      </c>
      <c r="F91" s="67">
        <f>CHOOSE(Plan!$K$5,'Calc Smart'!C97,'Calc Avalanche'!C97,'Calc Snowball'!C97,'Calc Cashflow'!C97)</f>
        <v/>
      </c>
      <c r="G91" s="67">
        <f>CHOOSE(Plan!$K$5,'Calc Smart'!D97,'Calc Avalanche'!D97,'Calc Snowball'!D97,'Calc Cashflow'!D97)</f>
        <v/>
      </c>
      <c r="H91" s="67">
        <f>CHOOSE(Plan!$K$5,'Calc Smart'!E97,'Calc Avalanche'!E97,'Calc Snowball'!E97,'Calc Cashflow'!E97)</f>
        <v/>
      </c>
      <c r="I91" s="67">
        <f>CHOOSE(Plan!$K$5,'Calc Smart'!F97,'Calc Avalanche'!F97,'Calc Snowball'!F97,'Calc Cashflow'!F97)</f>
        <v/>
      </c>
      <c r="J91" s="67">
        <f>CHOOSE(Plan!$K$5,'Calc Smart'!G97,'Calc Avalanche'!G97,'Calc Snowball'!G97,'Calc Cashflow'!G97)</f>
        <v/>
      </c>
      <c r="K91" s="67">
        <f>CHOOSE(Plan!$K$5,'Calc Smart'!H97,'Calc Avalanche'!H97,'Calc Snowball'!H97,'Calc Cashflow'!H97)</f>
        <v/>
      </c>
      <c r="L91" s="67">
        <f>CHOOSE(Plan!$K$5,'Calc Smart'!I97,'Calc Avalanche'!I97,'Calc Snowball'!I97,'Calc Cashflow'!I97)</f>
        <v/>
      </c>
      <c r="M91" s="67">
        <f>CHOOSE(Plan!$K$5,'Calc Smart'!J97,'Calc Avalanche'!J97,'Calc Snowball'!J97,'Calc Cashflow'!J97)</f>
        <v/>
      </c>
      <c r="N91" s="67">
        <f>CHOOSE(Plan!$K$5,'Calc Smart'!K97,'Calc Avalanche'!K97,'Calc Snowball'!K97,'Calc Cashflow'!K97)</f>
        <v/>
      </c>
      <c r="O91" s="67">
        <f>CHOOSE(Plan!$K$5,'Calc Smart'!L97,'Calc Avalanche'!L97,'Calc Snowball'!L97,'Calc Cashflow'!L97)</f>
        <v/>
      </c>
      <c r="P91" s="67">
        <f>CHOOSE(Plan!$K$5,'Calc Smart'!M97,'Calc Avalanche'!M97,'Calc Snowball'!M97,'Calc Cashflow'!M97)</f>
        <v/>
      </c>
      <c r="Q91" s="67">
        <f>CHOOSE(Plan!$K$5,'Calc Smart'!N97,'Calc Avalanche'!N97,'Calc Snowball'!N97,'Calc Cashflow'!N97)</f>
        <v/>
      </c>
    </row>
    <row r="92">
      <c r="B92" s="64">
        <f>EDATE(Plan!$C$6,86)</f>
        <v/>
      </c>
      <c r="C92" s="31">
        <f>CHOOSE(Plan!$K$5,'Calc Smart'!AE98,'Calc Avalanche'!AE98,'Calc Snowball'!AE98,'Calc Cashflow'!AE98)</f>
        <v/>
      </c>
      <c r="D92" s="31">
        <f>CHOOSE(Plan!$K$5,'Calc Smart'!AD98,'Calc Avalanche'!AD98,'Calc Snowball'!AD98,'Calc Cashflow'!AD98)</f>
        <v/>
      </c>
      <c r="E92" s="40">
        <f>CHOOSE(Plan!$K$5,COUNTIF('Calc Smart'!C98:N98,"&gt;0"),COUNTIF('Calc Avalanche'!C98:N98,"&gt;0"),COUNTIF('Calc Snowball'!C98:N98,"&gt;0"),COUNTIF('Calc Cashflow'!C98:N98,"&gt;0"))</f>
        <v/>
      </c>
      <c r="F92" s="65">
        <f>CHOOSE(Plan!$K$5,'Calc Smart'!C98,'Calc Avalanche'!C98,'Calc Snowball'!C98,'Calc Cashflow'!C98)</f>
        <v/>
      </c>
      <c r="G92" s="65">
        <f>CHOOSE(Plan!$K$5,'Calc Smart'!D98,'Calc Avalanche'!D98,'Calc Snowball'!D98,'Calc Cashflow'!D98)</f>
        <v/>
      </c>
      <c r="H92" s="65">
        <f>CHOOSE(Plan!$K$5,'Calc Smart'!E98,'Calc Avalanche'!E98,'Calc Snowball'!E98,'Calc Cashflow'!E98)</f>
        <v/>
      </c>
      <c r="I92" s="65">
        <f>CHOOSE(Plan!$K$5,'Calc Smart'!F98,'Calc Avalanche'!F98,'Calc Snowball'!F98,'Calc Cashflow'!F98)</f>
        <v/>
      </c>
      <c r="J92" s="65">
        <f>CHOOSE(Plan!$K$5,'Calc Smart'!G98,'Calc Avalanche'!G98,'Calc Snowball'!G98,'Calc Cashflow'!G98)</f>
        <v/>
      </c>
      <c r="K92" s="65">
        <f>CHOOSE(Plan!$K$5,'Calc Smart'!H98,'Calc Avalanche'!H98,'Calc Snowball'!H98,'Calc Cashflow'!H98)</f>
        <v/>
      </c>
      <c r="L92" s="65">
        <f>CHOOSE(Plan!$K$5,'Calc Smart'!I98,'Calc Avalanche'!I98,'Calc Snowball'!I98,'Calc Cashflow'!I98)</f>
        <v/>
      </c>
      <c r="M92" s="65">
        <f>CHOOSE(Plan!$K$5,'Calc Smart'!J98,'Calc Avalanche'!J98,'Calc Snowball'!J98,'Calc Cashflow'!J98)</f>
        <v/>
      </c>
      <c r="N92" s="65">
        <f>CHOOSE(Plan!$K$5,'Calc Smart'!K98,'Calc Avalanche'!K98,'Calc Snowball'!K98,'Calc Cashflow'!K98)</f>
        <v/>
      </c>
      <c r="O92" s="65">
        <f>CHOOSE(Plan!$K$5,'Calc Smart'!L98,'Calc Avalanche'!L98,'Calc Snowball'!L98,'Calc Cashflow'!L98)</f>
        <v/>
      </c>
      <c r="P92" s="65">
        <f>CHOOSE(Plan!$K$5,'Calc Smart'!M98,'Calc Avalanche'!M98,'Calc Snowball'!M98,'Calc Cashflow'!M98)</f>
        <v/>
      </c>
      <c r="Q92" s="65">
        <f>CHOOSE(Plan!$K$5,'Calc Smart'!N98,'Calc Avalanche'!N98,'Calc Snowball'!N98,'Calc Cashflow'!N98)</f>
        <v/>
      </c>
    </row>
    <row r="93">
      <c r="B93" s="66">
        <f>EDATE(Plan!$C$6,87)</f>
        <v/>
      </c>
      <c r="C93" s="32">
        <f>CHOOSE(Plan!$K$5,'Calc Smart'!AE99,'Calc Avalanche'!AE99,'Calc Snowball'!AE99,'Calc Cashflow'!AE99)</f>
        <v/>
      </c>
      <c r="D93" s="32">
        <f>CHOOSE(Plan!$K$5,'Calc Smart'!AD99,'Calc Avalanche'!AD99,'Calc Snowball'!AD99,'Calc Cashflow'!AD99)</f>
        <v/>
      </c>
      <c r="E93" s="43">
        <f>CHOOSE(Plan!$K$5,COUNTIF('Calc Smart'!C99:N99,"&gt;0"),COUNTIF('Calc Avalanche'!C99:N99,"&gt;0"),COUNTIF('Calc Snowball'!C99:N99,"&gt;0"),COUNTIF('Calc Cashflow'!C99:N99,"&gt;0"))</f>
        <v/>
      </c>
      <c r="F93" s="67">
        <f>CHOOSE(Plan!$K$5,'Calc Smart'!C99,'Calc Avalanche'!C99,'Calc Snowball'!C99,'Calc Cashflow'!C99)</f>
        <v/>
      </c>
      <c r="G93" s="67">
        <f>CHOOSE(Plan!$K$5,'Calc Smart'!D99,'Calc Avalanche'!D99,'Calc Snowball'!D99,'Calc Cashflow'!D99)</f>
        <v/>
      </c>
      <c r="H93" s="67">
        <f>CHOOSE(Plan!$K$5,'Calc Smart'!E99,'Calc Avalanche'!E99,'Calc Snowball'!E99,'Calc Cashflow'!E99)</f>
        <v/>
      </c>
      <c r="I93" s="67">
        <f>CHOOSE(Plan!$K$5,'Calc Smart'!F99,'Calc Avalanche'!F99,'Calc Snowball'!F99,'Calc Cashflow'!F99)</f>
        <v/>
      </c>
      <c r="J93" s="67">
        <f>CHOOSE(Plan!$K$5,'Calc Smart'!G99,'Calc Avalanche'!G99,'Calc Snowball'!G99,'Calc Cashflow'!G99)</f>
        <v/>
      </c>
      <c r="K93" s="67">
        <f>CHOOSE(Plan!$K$5,'Calc Smart'!H99,'Calc Avalanche'!H99,'Calc Snowball'!H99,'Calc Cashflow'!H99)</f>
        <v/>
      </c>
      <c r="L93" s="67">
        <f>CHOOSE(Plan!$K$5,'Calc Smart'!I99,'Calc Avalanche'!I99,'Calc Snowball'!I99,'Calc Cashflow'!I99)</f>
        <v/>
      </c>
      <c r="M93" s="67">
        <f>CHOOSE(Plan!$K$5,'Calc Smart'!J99,'Calc Avalanche'!J99,'Calc Snowball'!J99,'Calc Cashflow'!J99)</f>
        <v/>
      </c>
      <c r="N93" s="67">
        <f>CHOOSE(Plan!$K$5,'Calc Smart'!K99,'Calc Avalanche'!K99,'Calc Snowball'!K99,'Calc Cashflow'!K99)</f>
        <v/>
      </c>
      <c r="O93" s="67">
        <f>CHOOSE(Plan!$K$5,'Calc Smart'!L99,'Calc Avalanche'!L99,'Calc Snowball'!L99,'Calc Cashflow'!L99)</f>
        <v/>
      </c>
      <c r="P93" s="67">
        <f>CHOOSE(Plan!$K$5,'Calc Smart'!M99,'Calc Avalanche'!M99,'Calc Snowball'!M99,'Calc Cashflow'!M99)</f>
        <v/>
      </c>
      <c r="Q93" s="67">
        <f>CHOOSE(Plan!$K$5,'Calc Smart'!N99,'Calc Avalanche'!N99,'Calc Snowball'!N99,'Calc Cashflow'!N99)</f>
        <v/>
      </c>
    </row>
    <row r="94">
      <c r="B94" s="64">
        <f>EDATE(Plan!$C$6,88)</f>
        <v/>
      </c>
      <c r="C94" s="31">
        <f>CHOOSE(Plan!$K$5,'Calc Smart'!AE100,'Calc Avalanche'!AE100,'Calc Snowball'!AE100,'Calc Cashflow'!AE100)</f>
        <v/>
      </c>
      <c r="D94" s="31">
        <f>CHOOSE(Plan!$K$5,'Calc Smart'!AD100,'Calc Avalanche'!AD100,'Calc Snowball'!AD100,'Calc Cashflow'!AD100)</f>
        <v/>
      </c>
      <c r="E94" s="40">
        <f>CHOOSE(Plan!$K$5,COUNTIF('Calc Smart'!C100:N100,"&gt;0"),COUNTIF('Calc Avalanche'!C100:N100,"&gt;0"),COUNTIF('Calc Snowball'!C100:N100,"&gt;0"),COUNTIF('Calc Cashflow'!C100:N100,"&gt;0"))</f>
        <v/>
      </c>
      <c r="F94" s="65">
        <f>CHOOSE(Plan!$K$5,'Calc Smart'!C100,'Calc Avalanche'!C100,'Calc Snowball'!C100,'Calc Cashflow'!C100)</f>
        <v/>
      </c>
      <c r="G94" s="65">
        <f>CHOOSE(Plan!$K$5,'Calc Smart'!D100,'Calc Avalanche'!D100,'Calc Snowball'!D100,'Calc Cashflow'!D100)</f>
        <v/>
      </c>
      <c r="H94" s="65">
        <f>CHOOSE(Plan!$K$5,'Calc Smart'!E100,'Calc Avalanche'!E100,'Calc Snowball'!E100,'Calc Cashflow'!E100)</f>
        <v/>
      </c>
      <c r="I94" s="65">
        <f>CHOOSE(Plan!$K$5,'Calc Smart'!F100,'Calc Avalanche'!F100,'Calc Snowball'!F100,'Calc Cashflow'!F100)</f>
        <v/>
      </c>
      <c r="J94" s="65">
        <f>CHOOSE(Plan!$K$5,'Calc Smart'!G100,'Calc Avalanche'!G100,'Calc Snowball'!G100,'Calc Cashflow'!G100)</f>
        <v/>
      </c>
      <c r="K94" s="65">
        <f>CHOOSE(Plan!$K$5,'Calc Smart'!H100,'Calc Avalanche'!H100,'Calc Snowball'!H100,'Calc Cashflow'!H100)</f>
        <v/>
      </c>
      <c r="L94" s="65">
        <f>CHOOSE(Plan!$K$5,'Calc Smart'!I100,'Calc Avalanche'!I100,'Calc Snowball'!I100,'Calc Cashflow'!I100)</f>
        <v/>
      </c>
      <c r="M94" s="65">
        <f>CHOOSE(Plan!$K$5,'Calc Smart'!J100,'Calc Avalanche'!J100,'Calc Snowball'!J100,'Calc Cashflow'!J100)</f>
        <v/>
      </c>
      <c r="N94" s="65">
        <f>CHOOSE(Plan!$K$5,'Calc Smart'!K100,'Calc Avalanche'!K100,'Calc Snowball'!K100,'Calc Cashflow'!K100)</f>
        <v/>
      </c>
      <c r="O94" s="65">
        <f>CHOOSE(Plan!$K$5,'Calc Smart'!L100,'Calc Avalanche'!L100,'Calc Snowball'!L100,'Calc Cashflow'!L100)</f>
        <v/>
      </c>
      <c r="P94" s="65">
        <f>CHOOSE(Plan!$K$5,'Calc Smart'!M100,'Calc Avalanche'!M100,'Calc Snowball'!M100,'Calc Cashflow'!M100)</f>
        <v/>
      </c>
      <c r="Q94" s="65">
        <f>CHOOSE(Plan!$K$5,'Calc Smart'!N100,'Calc Avalanche'!N100,'Calc Snowball'!N100,'Calc Cashflow'!N100)</f>
        <v/>
      </c>
    </row>
    <row r="95">
      <c r="B95" s="66">
        <f>EDATE(Plan!$C$6,89)</f>
        <v/>
      </c>
      <c r="C95" s="32">
        <f>CHOOSE(Plan!$K$5,'Calc Smart'!AE101,'Calc Avalanche'!AE101,'Calc Snowball'!AE101,'Calc Cashflow'!AE101)</f>
        <v/>
      </c>
      <c r="D95" s="32">
        <f>CHOOSE(Plan!$K$5,'Calc Smart'!AD101,'Calc Avalanche'!AD101,'Calc Snowball'!AD101,'Calc Cashflow'!AD101)</f>
        <v/>
      </c>
      <c r="E95" s="43">
        <f>CHOOSE(Plan!$K$5,COUNTIF('Calc Smart'!C101:N101,"&gt;0"),COUNTIF('Calc Avalanche'!C101:N101,"&gt;0"),COUNTIF('Calc Snowball'!C101:N101,"&gt;0"),COUNTIF('Calc Cashflow'!C101:N101,"&gt;0"))</f>
        <v/>
      </c>
      <c r="F95" s="67">
        <f>CHOOSE(Plan!$K$5,'Calc Smart'!C101,'Calc Avalanche'!C101,'Calc Snowball'!C101,'Calc Cashflow'!C101)</f>
        <v/>
      </c>
      <c r="G95" s="67">
        <f>CHOOSE(Plan!$K$5,'Calc Smart'!D101,'Calc Avalanche'!D101,'Calc Snowball'!D101,'Calc Cashflow'!D101)</f>
        <v/>
      </c>
      <c r="H95" s="67">
        <f>CHOOSE(Plan!$K$5,'Calc Smart'!E101,'Calc Avalanche'!E101,'Calc Snowball'!E101,'Calc Cashflow'!E101)</f>
        <v/>
      </c>
      <c r="I95" s="67">
        <f>CHOOSE(Plan!$K$5,'Calc Smart'!F101,'Calc Avalanche'!F101,'Calc Snowball'!F101,'Calc Cashflow'!F101)</f>
        <v/>
      </c>
      <c r="J95" s="67">
        <f>CHOOSE(Plan!$K$5,'Calc Smart'!G101,'Calc Avalanche'!G101,'Calc Snowball'!G101,'Calc Cashflow'!G101)</f>
        <v/>
      </c>
      <c r="K95" s="67">
        <f>CHOOSE(Plan!$K$5,'Calc Smart'!H101,'Calc Avalanche'!H101,'Calc Snowball'!H101,'Calc Cashflow'!H101)</f>
        <v/>
      </c>
      <c r="L95" s="67">
        <f>CHOOSE(Plan!$K$5,'Calc Smart'!I101,'Calc Avalanche'!I101,'Calc Snowball'!I101,'Calc Cashflow'!I101)</f>
        <v/>
      </c>
      <c r="M95" s="67">
        <f>CHOOSE(Plan!$K$5,'Calc Smart'!J101,'Calc Avalanche'!J101,'Calc Snowball'!J101,'Calc Cashflow'!J101)</f>
        <v/>
      </c>
      <c r="N95" s="67">
        <f>CHOOSE(Plan!$K$5,'Calc Smart'!K101,'Calc Avalanche'!K101,'Calc Snowball'!K101,'Calc Cashflow'!K101)</f>
        <v/>
      </c>
      <c r="O95" s="67">
        <f>CHOOSE(Plan!$K$5,'Calc Smart'!L101,'Calc Avalanche'!L101,'Calc Snowball'!L101,'Calc Cashflow'!L101)</f>
        <v/>
      </c>
      <c r="P95" s="67">
        <f>CHOOSE(Plan!$K$5,'Calc Smart'!M101,'Calc Avalanche'!M101,'Calc Snowball'!M101,'Calc Cashflow'!M101)</f>
        <v/>
      </c>
      <c r="Q95" s="67">
        <f>CHOOSE(Plan!$K$5,'Calc Smart'!N101,'Calc Avalanche'!N101,'Calc Snowball'!N101,'Calc Cashflow'!N101)</f>
        <v/>
      </c>
    </row>
    <row r="96">
      <c r="B96" s="64">
        <f>EDATE(Plan!$C$6,90)</f>
        <v/>
      </c>
      <c r="C96" s="31">
        <f>CHOOSE(Plan!$K$5,'Calc Smart'!AE102,'Calc Avalanche'!AE102,'Calc Snowball'!AE102,'Calc Cashflow'!AE102)</f>
        <v/>
      </c>
      <c r="D96" s="31">
        <f>CHOOSE(Plan!$K$5,'Calc Smart'!AD102,'Calc Avalanche'!AD102,'Calc Snowball'!AD102,'Calc Cashflow'!AD102)</f>
        <v/>
      </c>
      <c r="E96" s="40">
        <f>CHOOSE(Plan!$K$5,COUNTIF('Calc Smart'!C102:N102,"&gt;0"),COUNTIF('Calc Avalanche'!C102:N102,"&gt;0"),COUNTIF('Calc Snowball'!C102:N102,"&gt;0"),COUNTIF('Calc Cashflow'!C102:N102,"&gt;0"))</f>
        <v/>
      </c>
      <c r="F96" s="65">
        <f>CHOOSE(Plan!$K$5,'Calc Smart'!C102,'Calc Avalanche'!C102,'Calc Snowball'!C102,'Calc Cashflow'!C102)</f>
        <v/>
      </c>
      <c r="G96" s="65">
        <f>CHOOSE(Plan!$K$5,'Calc Smart'!D102,'Calc Avalanche'!D102,'Calc Snowball'!D102,'Calc Cashflow'!D102)</f>
        <v/>
      </c>
      <c r="H96" s="65">
        <f>CHOOSE(Plan!$K$5,'Calc Smart'!E102,'Calc Avalanche'!E102,'Calc Snowball'!E102,'Calc Cashflow'!E102)</f>
        <v/>
      </c>
      <c r="I96" s="65">
        <f>CHOOSE(Plan!$K$5,'Calc Smart'!F102,'Calc Avalanche'!F102,'Calc Snowball'!F102,'Calc Cashflow'!F102)</f>
        <v/>
      </c>
      <c r="J96" s="65">
        <f>CHOOSE(Plan!$K$5,'Calc Smart'!G102,'Calc Avalanche'!G102,'Calc Snowball'!G102,'Calc Cashflow'!G102)</f>
        <v/>
      </c>
      <c r="K96" s="65">
        <f>CHOOSE(Plan!$K$5,'Calc Smart'!H102,'Calc Avalanche'!H102,'Calc Snowball'!H102,'Calc Cashflow'!H102)</f>
        <v/>
      </c>
      <c r="L96" s="65">
        <f>CHOOSE(Plan!$K$5,'Calc Smart'!I102,'Calc Avalanche'!I102,'Calc Snowball'!I102,'Calc Cashflow'!I102)</f>
        <v/>
      </c>
      <c r="M96" s="65">
        <f>CHOOSE(Plan!$K$5,'Calc Smart'!J102,'Calc Avalanche'!J102,'Calc Snowball'!J102,'Calc Cashflow'!J102)</f>
        <v/>
      </c>
      <c r="N96" s="65">
        <f>CHOOSE(Plan!$K$5,'Calc Smart'!K102,'Calc Avalanche'!K102,'Calc Snowball'!K102,'Calc Cashflow'!K102)</f>
        <v/>
      </c>
      <c r="O96" s="65">
        <f>CHOOSE(Plan!$K$5,'Calc Smart'!L102,'Calc Avalanche'!L102,'Calc Snowball'!L102,'Calc Cashflow'!L102)</f>
        <v/>
      </c>
      <c r="P96" s="65">
        <f>CHOOSE(Plan!$K$5,'Calc Smart'!M102,'Calc Avalanche'!M102,'Calc Snowball'!M102,'Calc Cashflow'!M102)</f>
        <v/>
      </c>
      <c r="Q96" s="65">
        <f>CHOOSE(Plan!$K$5,'Calc Smart'!N102,'Calc Avalanche'!N102,'Calc Snowball'!N102,'Calc Cashflow'!N102)</f>
        <v/>
      </c>
    </row>
    <row r="97">
      <c r="B97" s="66">
        <f>EDATE(Plan!$C$6,91)</f>
        <v/>
      </c>
      <c r="C97" s="32">
        <f>CHOOSE(Plan!$K$5,'Calc Smart'!AE103,'Calc Avalanche'!AE103,'Calc Snowball'!AE103,'Calc Cashflow'!AE103)</f>
        <v/>
      </c>
      <c r="D97" s="32">
        <f>CHOOSE(Plan!$K$5,'Calc Smart'!AD103,'Calc Avalanche'!AD103,'Calc Snowball'!AD103,'Calc Cashflow'!AD103)</f>
        <v/>
      </c>
      <c r="E97" s="43">
        <f>CHOOSE(Plan!$K$5,COUNTIF('Calc Smart'!C103:N103,"&gt;0"),COUNTIF('Calc Avalanche'!C103:N103,"&gt;0"),COUNTIF('Calc Snowball'!C103:N103,"&gt;0"),COUNTIF('Calc Cashflow'!C103:N103,"&gt;0"))</f>
        <v/>
      </c>
      <c r="F97" s="67">
        <f>CHOOSE(Plan!$K$5,'Calc Smart'!C103,'Calc Avalanche'!C103,'Calc Snowball'!C103,'Calc Cashflow'!C103)</f>
        <v/>
      </c>
      <c r="G97" s="67">
        <f>CHOOSE(Plan!$K$5,'Calc Smart'!D103,'Calc Avalanche'!D103,'Calc Snowball'!D103,'Calc Cashflow'!D103)</f>
        <v/>
      </c>
      <c r="H97" s="67">
        <f>CHOOSE(Plan!$K$5,'Calc Smart'!E103,'Calc Avalanche'!E103,'Calc Snowball'!E103,'Calc Cashflow'!E103)</f>
        <v/>
      </c>
      <c r="I97" s="67">
        <f>CHOOSE(Plan!$K$5,'Calc Smart'!F103,'Calc Avalanche'!F103,'Calc Snowball'!F103,'Calc Cashflow'!F103)</f>
        <v/>
      </c>
      <c r="J97" s="67">
        <f>CHOOSE(Plan!$K$5,'Calc Smart'!G103,'Calc Avalanche'!G103,'Calc Snowball'!G103,'Calc Cashflow'!G103)</f>
        <v/>
      </c>
      <c r="K97" s="67">
        <f>CHOOSE(Plan!$K$5,'Calc Smart'!H103,'Calc Avalanche'!H103,'Calc Snowball'!H103,'Calc Cashflow'!H103)</f>
        <v/>
      </c>
      <c r="L97" s="67">
        <f>CHOOSE(Plan!$K$5,'Calc Smart'!I103,'Calc Avalanche'!I103,'Calc Snowball'!I103,'Calc Cashflow'!I103)</f>
        <v/>
      </c>
      <c r="M97" s="67">
        <f>CHOOSE(Plan!$K$5,'Calc Smart'!J103,'Calc Avalanche'!J103,'Calc Snowball'!J103,'Calc Cashflow'!J103)</f>
        <v/>
      </c>
      <c r="N97" s="67">
        <f>CHOOSE(Plan!$K$5,'Calc Smart'!K103,'Calc Avalanche'!K103,'Calc Snowball'!K103,'Calc Cashflow'!K103)</f>
        <v/>
      </c>
      <c r="O97" s="67">
        <f>CHOOSE(Plan!$K$5,'Calc Smart'!L103,'Calc Avalanche'!L103,'Calc Snowball'!L103,'Calc Cashflow'!L103)</f>
        <v/>
      </c>
      <c r="P97" s="67">
        <f>CHOOSE(Plan!$K$5,'Calc Smart'!M103,'Calc Avalanche'!M103,'Calc Snowball'!M103,'Calc Cashflow'!M103)</f>
        <v/>
      </c>
      <c r="Q97" s="67">
        <f>CHOOSE(Plan!$K$5,'Calc Smart'!N103,'Calc Avalanche'!N103,'Calc Snowball'!N103,'Calc Cashflow'!N103)</f>
        <v/>
      </c>
    </row>
    <row r="98">
      <c r="B98" s="64">
        <f>EDATE(Plan!$C$6,92)</f>
        <v/>
      </c>
      <c r="C98" s="31">
        <f>CHOOSE(Plan!$K$5,'Calc Smart'!AE104,'Calc Avalanche'!AE104,'Calc Snowball'!AE104,'Calc Cashflow'!AE104)</f>
        <v/>
      </c>
      <c r="D98" s="31">
        <f>CHOOSE(Plan!$K$5,'Calc Smart'!AD104,'Calc Avalanche'!AD104,'Calc Snowball'!AD104,'Calc Cashflow'!AD104)</f>
        <v/>
      </c>
      <c r="E98" s="40">
        <f>CHOOSE(Plan!$K$5,COUNTIF('Calc Smart'!C104:N104,"&gt;0"),COUNTIF('Calc Avalanche'!C104:N104,"&gt;0"),COUNTIF('Calc Snowball'!C104:N104,"&gt;0"),COUNTIF('Calc Cashflow'!C104:N104,"&gt;0"))</f>
        <v/>
      </c>
      <c r="F98" s="65">
        <f>CHOOSE(Plan!$K$5,'Calc Smart'!C104,'Calc Avalanche'!C104,'Calc Snowball'!C104,'Calc Cashflow'!C104)</f>
        <v/>
      </c>
      <c r="G98" s="65">
        <f>CHOOSE(Plan!$K$5,'Calc Smart'!D104,'Calc Avalanche'!D104,'Calc Snowball'!D104,'Calc Cashflow'!D104)</f>
        <v/>
      </c>
      <c r="H98" s="65">
        <f>CHOOSE(Plan!$K$5,'Calc Smart'!E104,'Calc Avalanche'!E104,'Calc Snowball'!E104,'Calc Cashflow'!E104)</f>
        <v/>
      </c>
      <c r="I98" s="65">
        <f>CHOOSE(Plan!$K$5,'Calc Smart'!F104,'Calc Avalanche'!F104,'Calc Snowball'!F104,'Calc Cashflow'!F104)</f>
        <v/>
      </c>
      <c r="J98" s="65">
        <f>CHOOSE(Plan!$K$5,'Calc Smart'!G104,'Calc Avalanche'!G104,'Calc Snowball'!G104,'Calc Cashflow'!G104)</f>
        <v/>
      </c>
      <c r="K98" s="65">
        <f>CHOOSE(Plan!$K$5,'Calc Smart'!H104,'Calc Avalanche'!H104,'Calc Snowball'!H104,'Calc Cashflow'!H104)</f>
        <v/>
      </c>
      <c r="L98" s="65">
        <f>CHOOSE(Plan!$K$5,'Calc Smart'!I104,'Calc Avalanche'!I104,'Calc Snowball'!I104,'Calc Cashflow'!I104)</f>
        <v/>
      </c>
      <c r="M98" s="65">
        <f>CHOOSE(Plan!$K$5,'Calc Smart'!J104,'Calc Avalanche'!J104,'Calc Snowball'!J104,'Calc Cashflow'!J104)</f>
        <v/>
      </c>
      <c r="N98" s="65">
        <f>CHOOSE(Plan!$K$5,'Calc Smart'!K104,'Calc Avalanche'!K104,'Calc Snowball'!K104,'Calc Cashflow'!K104)</f>
        <v/>
      </c>
      <c r="O98" s="65">
        <f>CHOOSE(Plan!$K$5,'Calc Smart'!L104,'Calc Avalanche'!L104,'Calc Snowball'!L104,'Calc Cashflow'!L104)</f>
        <v/>
      </c>
      <c r="P98" s="65">
        <f>CHOOSE(Plan!$K$5,'Calc Smart'!M104,'Calc Avalanche'!M104,'Calc Snowball'!M104,'Calc Cashflow'!M104)</f>
        <v/>
      </c>
      <c r="Q98" s="65">
        <f>CHOOSE(Plan!$K$5,'Calc Smart'!N104,'Calc Avalanche'!N104,'Calc Snowball'!N104,'Calc Cashflow'!N104)</f>
        <v/>
      </c>
    </row>
    <row r="99">
      <c r="B99" s="66">
        <f>EDATE(Plan!$C$6,93)</f>
        <v/>
      </c>
      <c r="C99" s="32">
        <f>CHOOSE(Plan!$K$5,'Calc Smart'!AE105,'Calc Avalanche'!AE105,'Calc Snowball'!AE105,'Calc Cashflow'!AE105)</f>
        <v/>
      </c>
      <c r="D99" s="32">
        <f>CHOOSE(Plan!$K$5,'Calc Smart'!AD105,'Calc Avalanche'!AD105,'Calc Snowball'!AD105,'Calc Cashflow'!AD105)</f>
        <v/>
      </c>
      <c r="E99" s="43">
        <f>CHOOSE(Plan!$K$5,COUNTIF('Calc Smart'!C105:N105,"&gt;0"),COUNTIF('Calc Avalanche'!C105:N105,"&gt;0"),COUNTIF('Calc Snowball'!C105:N105,"&gt;0"),COUNTIF('Calc Cashflow'!C105:N105,"&gt;0"))</f>
        <v/>
      </c>
      <c r="F99" s="67">
        <f>CHOOSE(Plan!$K$5,'Calc Smart'!C105,'Calc Avalanche'!C105,'Calc Snowball'!C105,'Calc Cashflow'!C105)</f>
        <v/>
      </c>
      <c r="G99" s="67">
        <f>CHOOSE(Plan!$K$5,'Calc Smart'!D105,'Calc Avalanche'!D105,'Calc Snowball'!D105,'Calc Cashflow'!D105)</f>
        <v/>
      </c>
      <c r="H99" s="67">
        <f>CHOOSE(Plan!$K$5,'Calc Smart'!E105,'Calc Avalanche'!E105,'Calc Snowball'!E105,'Calc Cashflow'!E105)</f>
        <v/>
      </c>
      <c r="I99" s="67">
        <f>CHOOSE(Plan!$K$5,'Calc Smart'!F105,'Calc Avalanche'!F105,'Calc Snowball'!F105,'Calc Cashflow'!F105)</f>
        <v/>
      </c>
      <c r="J99" s="67">
        <f>CHOOSE(Plan!$K$5,'Calc Smart'!G105,'Calc Avalanche'!G105,'Calc Snowball'!G105,'Calc Cashflow'!G105)</f>
        <v/>
      </c>
      <c r="K99" s="67">
        <f>CHOOSE(Plan!$K$5,'Calc Smart'!H105,'Calc Avalanche'!H105,'Calc Snowball'!H105,'Calc Cashflow'!H105)</f>
        <v/>
      </c>
      <c r="L99" s="67">
        <f>CHOOSE(Plan!$K$5,'Calc Smart'!I105,'Calc Avalanche'!I105,'Calc Snowball'!I105,'Calc Cashflow'!I105)</f>
        <v/>
      </c>
      <c r="M99" s="67">
        <f>CHOOSE(Plan!$K$5,'Calc Smart'!J105,'Calc Avalanche'!J105,'Calc Snowball'!J105,'Calc Cashflow'!J105)</f>
        <v/>
      </c>
      <c r="N99" s="67">
        <f>CHOOSE(Plan!$K$5,'Calc Smart'!K105,'Calc Avalanche'!K105,'Calc Snowball'!K105,'Calc Cashflow'!K105)</f>
        <v/>
      </c>
      <c r="O99" s="67">
        <f>CHOOSE(Plan!$K$5,'Calc Smart'!L105,'Calc Avalanche'!L105,'Calc Snowball'!L105,'Calc Cashflow'!L105)</f>
        <v/>
      </c>
      <c r="P99" s="67">
        <f>CHOOSE(Plan!$K$5,'Calc Smart'!M105,'Calc Avalanche'!M105,'Calc Snowball'!M105,'Calc Cashflow'!M105)</f>
        <v/>
      </c>
      <c r="Q99" s="67">
        <f>CHOOSE(Plan!$K$5,'Calc Smart'!N105,'Calc Avalanche'!N105,'Calc Snowball'!N105,'Calc Cashflow'!N105)</f>
        <v/>
      </c>
    </row>
    <row r="100">
      <c r="B100" s="64">
        <f>EDATE(Plan!$C$6,94)</f>
        <v/>
      </c>
      <c r="C100" s="31">
        <f>CHOOSE(Plan!$K$5,'Calc Smart'!AE106,'Calc Avalanche'!AE106,'Calc Snowball'!AE106,'Calc Cashflow'!AE106)</f>
        <v/>
      </c>
      <c r="D100" s="31">
        <f>CHOOSE(Plan!$K$5,'Calc Smart'!AD106,'Calc Avalanche'!AD106,'Calc Snowball'!AD106,'Calc Cashflow'!AD106)</f>
        <v/>
      </c>
      <c r="E100" s="40">
        <f>CHOOSE(Plan!$K$5,COUNTIF('Calc Smart'!C106:N106,"&gt;0"),COUNTIF('Calc Avalanche'!C106:N106,"&gt;0"),COUNTIF('Calc Snowball'!C106:N106,"&gt;0"),COUNTIF('Calc Cashflow'!C106:N106,"&gt;0"))</f>
        <v/>
      </c>
      <c r="F100" s="65">
        <f>CHOOSE(Plan!$K$5,'Calc Smart'!C106,'Calc Avalanche'!C106,'Calc Snowball'!C106,'Calc Cashflow'!C106)</f>
        <v/>
      </c>
      <c r="G100" s="65">
        <f>CHOOSE(Plan!$K$5,'Calc Smart'!D106,'Calc Avalanche'!D106,'Calc Snowball'!D106,'Calc Cashflow'!D106)</f>
        <v/>
      </c>
      <c r="H100" s="65">
        <f>CHOOSE(Plan!$K$5,'Calc Smart'!E106,'Calc Avalanche'!E106,'Calc Snowball'!E106,'Calc Cashflow'!E106)</f>
        <v/>
      </c>
      <c r="I100" s="65">
        <f>CHOOSE(Plan!$K$5,'Calc Smart'!F106,'Calc Avalanche'!F106,'Calc Snowball'!F106,'Calc Cashflow'!F106)</f>
        <v/>
      </c>
      <c r="J100" s="65">
        <f>CHOOSE(Plan!$K$5,'Calc Smart'!G106,'Calc Avalanche'!G106,'Calc Snowball'!G106,'Calc Cashflow'!G106)</f>
        <v/>
      </c>
      <c r="K100" s="65">
        <f>CHOOSE(Plan!$K$5,'Calc Smart'!H106,'Calc Avalanche'!H106,'Calc Snowball'!H106,'Calc Cashflow'!H106)</f>
        <v/>
      </c>
      <c r="L100" s="65">
        <f>CHOOSE(Plan!$K$5,'Calc Smart'!I106,'Calc Avalanche'!I106,'Calc Snowball'!I106,'Calc Cashflow'!I106)</f>
        <v/>
      </c>
      <c r="M100" s="65">
        <f>CHOOSE(Plan!$K$5,'Calc Smart'!J106,'Calc Avalanche'!J106,'Calc Snowball'!J106,'Calc Cashflow'!J106)</f>
        <v/>
      </c>
      <c r="N100" s="65">
        <f>CHOOSE(Plan!$K$5,'Calc Smart'!K106,'Calc Avalanche'!K106,'Calc Snowball'!K106,'Calc Cashflow'!K106)</f>
        <v/>
      </c>
      <c r="O100" s="65">
        <f>CHOOSE(Plan!$K$5,'Calc Smart'!L106,'Calc Avalanche'!L106,'Calc Snowball'!L106,'Calc Cashflow'!L106)</f>
        <v/>
      </c>
      <c r="P100" s="65">
        <f>CHOOSE(Plan!$K$5,'Calc Smart'!M106,'Calc Avalanche'!M106,'Calc Snowball'!M106,'Calc Cashflow'!M106)</f>
        <v/>
      </c>
      <c r="Q100" s="65">
        <f>CHOOSE(Plan!$K$5,'Calc Smart'!N106,'Calc Avalanche'!N106,'Calc Snowball'!N106,'Calc Cashflow'!N106)</f>
        <v/>
      </c>
    </row>
    <row r="101">
      <c r="B101" s="66">
        <f>EDATE(Plan!$C$6,95)</f>
        <v/>
      </c>
      <c r="C101" s="32">
        <f>CHOOSE(Plan!$K$5,'Calc Smart'!AE107,'Calc Avalanche'!AE107,'Calc Snowball'!AE107,'Calc Cashflow'!AE107)</f>
        <v/>
      </c>
      <c r="D101" s="32">
        <f>CHOOSE(Plan!$K$5,'Calc Smart'!AD107,'Calc Avalanche'!AD107,'Calc Snowball'!AD107,'Calc Cashflow'!AD107)</f>
        <v/>
      </c>
      <c r="E101" s="43">
        <f>CHOOSE(Plan!$K$5,COUNTIF('Calc Smart'!C107:N107,"&gt;0"),COUNTIF('Calc Avalanche'!C107:N107,"&gt;0"),COUNTIF('Calc Snowball'!C107:N107,"&gt;0"),COUNTIF('Calc Cashflow'!C107:N107,"&gt;0"))</f>
        <v/>
      </c>
      <c r="F101" s="67">
        <f>CHOOSE(Plan!$K$5,'Calc Smart'!C107,'Calc Avalanche'!C107,'Calc Snowball'!C107,'Calc Cashflow'!C107)</f>
        <v/>
      </c>
      <c r="G101" s="67">
        <f>CHOOSE(Plan!$K$5,'Calc Smart'!D107,'Calc Avalanche'!D107,'Calc Snowball'!D107,'Calc Cashflow'!D107)</f>
        <v/>
      </c>
      <c r="H101" s="67">
        <f>CHOOSE(Plan!$K$5,'Calc Smart'!E107,'Calc Avalanche'!E107,'Calc Snowball'!E107,'Calc Cashflow'!E107)</f>
        <v/>
      </c>
      <c r="I101" s="67">
        <f>CHOOSE(Plan!$K$5,'Calc Smart'!F107,'Calc Avalanche'!F107,'Calc Snowball'!F107,'Calc Cashflow'!F107)</f>
        <v/>
      </c>
      <c r="J101" s="67">
        <f>CHOOSE(Plan!$K$5,'Calc Smart'!G107,'Calc Avalanche'!G107,'Calc Snowball'!G107,'Calc Cashflow'!G107)</f>
        <v/>
      </c>
      <c r="K101" s="67">
        <f>CHOOSE(Plan!$K$5,'Calc Smart'!H107,'Calc Avalanche'!H107,'Calc Snowball'!H107,'Calc Cashflow'!H107)</f>
        <v/>
      </c>
      <c r="L101" s="67">
        <f>CHOOSE(Plan!$K$5,'Calc Smart'!I107,'Calc Avalanche'!I107,'Calc Snowball'!I107,'Calc Cashflow'!I107)</f>
        <v/>
      </c>
      <c r="M101" s="67">
        <f>CHOOSE(Plan!$K$5,'Calc Smart'!J107,'Calc Avalanche'!J107,'Calc Snowball'!J107,'Calc Cashflow'!J107)</f>
        <v/>
      </c>
      <c r="N101" s="67">
        <f>CHOOSE(Plan!$K$5,'Calc Smart'!K107,'Calc Avalanche'!K107,'Calc Snowball'!K107,'Calc Cashflow'!K107)</f>
        <v/>
      </c>
      <c r="O101" s="67">
        <f>CHOOSE(Plan!$K$5,'Calc Smart'!L107,'Calc Avalanche'!L107,'Calc Snowball'!L107,'Calc Cashflow'!L107)</f>
        <v/>
      </c>
      <c r="P101" s="67">
        <f>CHOOSE(Plan!$K$5,'Calc Smart'!M107,'Calc Avalanche'!M107,'Calc Snowball'!M107,'Calc Cashflow'!M107)</f>
        <v/>
      </c>
      <c r="Q101" s="67">
        <f>CHOOSE(Plan!$K$5,'Calc Smart'!N107,'Calc Avalanche'!N107,'Calc Snowball'!N107,'Calc Cashflow'!N107)</f>
        <v/>
      </c>
    </row>
    <row r="102">
      <c r="B102" s="64">
        <f>EDATE(Plan!$C$6,96)</f>
        <v/>
      </c>
      <c r="C102" s="31">
        <f>CHOOSE(Plan!$K$5,'Calc Smart'!AE108,'Calc Avalanche'!AE108,'Calc Snowball'!AE108,'Calc Cashflow'!AE108)</f>
        <v/>
      </c>
      <c r="D102" s="31">
        <f>CHOOSE(Plan!$K$5,'Calc Smart'!AD108,'Calc Avalanche'!AD108,'Calc Snowball'!AD108,'Calc Cashflow'!AD108)</f>
        <v/>
      </c>
      <c r="E102" s="40">
        <f>CHOOSE(Plan!$K$5,COUNTIF('Calc Smart'!C108:N108,"&gt;0"),COUNTIF('Calc Avalanche'!C108:N108,"&gt;0"),COUNTIF('Calc Snowball'!C108:N108,"&gt;0"),COUNTIF('Calc Cashflow'!C108:N108,"&gt;0"))</f>
        <v/>
      </c>
      <c r="F102" s="65">
        <f>CHOOSE(Plan!$K$5,'Calc Smart'!C108,'Calc Avalanche'!C108,'Calc Snowball'!C108,'Calc Cashflow'!C108)</f>
        <v/>
      </c>
      <c r="G102" s="65">
        <f>CHOOSE(Plan!$K$5,'Calc Smart'!D108,'Calc Avalanche'!D108,'Calc Snowball'!D108,'Calc Cashflow'!D108)</f>
        <v/>
      </c>
      <c r="H102" s="65">
        <f>CHOOSE(Plan!$K$5,'Calc Smart'!E108,'Calc Avalanche'!E108,'Calc Snowball'!E108,'Calc Cashflow'!E108)</f>
        <v/>
      </c>
      <c r="I102" s="65">
        <f>CHOOSE(Plan!$K$5,'Calc Smart'!F108,'Calc Avalanche'!F108,'Calc Snowball'!F108,'Calc Cashflow'!F108)</f>
        <v/>
      </c>
      <c r="J102" s="65">
        <f>CHOOSE(Plan!$K$5,'Calc Smart'!G108,'Calc Avalanche'!G108,'Calc Snowball'!G108,'Calc Cashflow'!G108)</f>
        <v/>
      </c>
      <c r="K102" s="65">
        <f>CHOOSE(Plan!$K$5,'Calc Smart'!H108,'Calc Avalanche'!H108,'Calc Snowball'!H108,'Calc Cashflow'!H108)</f>
        <v/>
      </c>
      <c r="L102" s="65">
        <f>CHOOSE(Plan!$K$5,'Calc Smart'!I108,'Calc Avalanche'!I108,'Calc Snowball'!I108,'Calc Cashflow'!I108)</f>
        <v/>
      </c>
      <c r="M102" s="65">
        <f>CHOOSE(Plan!$K$5,'Calc Smart'!J108,'Calc Avalanche'!J108,'Calc Snowball'!J108,'Calc Cashflow'!J108)</f>
        <v/>
      </c>
      <c r="N102" s="65">
        <f>CHOOSE(Plan!$K$5,'Calc Smart'!K108,'Calc Avalanche'!K108,'Calc Snowball'!K108,'Calc Cashflow'!K108)</f>
        <v/>
      </c>
      <c r="O102" s="65">
        <f>CHOOSE(Plan!$K$5,'Calc Smart'!L108,'Calc Avalanche'!L108,'Calc Snowball'!L108,'Calc Cashflow'!L108)</f>
        <v/>
      </c>
      <c r="P102" s="65">
        <f>CHOOSE(Plan!$K$5,'Calc Smart'!M108,'Calc Avalanche'!M108,'Calc Snowball'!M108,'Calc Cashflow'!M108)</f>
        <v/>
      </c>
      <c r="Q102" s="65">
        <f>CHOOSE(Plan!$K$5,'Calc Smart'!N108,'Calc Avalanche'!N108,'Calc Snowball'!N108,'Calc Cashflow'!N108)</f>
        <v/>
      </c>
    </row>
    <row r="103">
      <c r="B103" s="66">
        <f>EDATE(Plan!$C$6,97)</f>
        <v/>
      </c>
      <c r="C103" s="32">
        <f>CHOOSE(Plan!$K$5,'Calc Smart'!AE109,'Calc Avalanche'!AE109,'Calc Snowball'!AE109,'Calc Cashflow'!AE109)</f>
        <v/>
      </c>
      <c r="D103" s="32">
        <f>CHOOSE(Plan!$K$5,'Calc Smart'!AD109,'Calc Avalanche'!AD109,'Calc Snowball'!AD109,'Calc Cashflow'!AD109)</f>
        <v/>
      </c>
      <c r="E103" s="43">
        <f>CHOOSE(Plan!$K$5,COUNTIF('Calc Smart'!C109:N109,"&gt;0"),COUNTIF('Calc Avalanche'!C109:N109,"&gt;0"),COUNTIF('Calc Snowball'!C109:N109,"&gt;0"),COUNTIF('Calc Cashflow'!C109:N109,"&gt;0"))</f>
        <v/>
      </c>
      <c r="F103" s="67">
        <f>CHOOSE(Plan!$K$5,'Calc Smart'!C109,'Calc Avalanche'!C109,'Calc Snowball'!C109,'Calc Cashflow'!C109)</f>
        <v/>
      </c>
      <c r="G103" s="67">
        <f>CHOOSE(Plan!$K$5,'Calc Smart'!D109,'Calc Avalanche'!D109,'Calc Snowball'!D109,'Calc Cashflow'!D109)</f>
        <v/>
      </c>
      <c r="H103" s="67">
        <f>CHOOSE(Plan!$K$5,'Calc Smart'!E109,'Calc Avalanche'!E109,'Calc Snowball'!E109,'Calc Cashflow'!E109)</f>
        <v/>
      </c>
      <c r="I103" s="67">
        <f>CHOOSE(Plan!$K$5,'Calc Smart'!F109,'Calc Avalanche'!F109,'Calc Snowball'!F109,'Calc Cashflow'!F109)</f>
        <v/>
      </c>
      <c r="J103" s="67">
        <f>CHOOSE(Plan!$K$5,'Calc Smart'!G109,'Calc Avalanche'!G109,'Calc Snowball'!G109,'Calc Cashflow'!G109)</f>
        <v/>
      </c>
      <c r="K103" s="67">
        <f>CHOOSE(Plan!$K$5,'Calc Smart'!H109,'Calc Avalanche'!H109,'Calc Snowball'!H109,'Calc Cashflow'!H109)</f>
        <v/>
      </c>
      <c r="L103" s="67">
        <f>CHOOSE(Plan!$K$5,'Calc Smart'!I109,'Calc Avalanche'!I109,'Calc Snowball'!I109,'Calc Cashflow'!I109)</f>
        <v/>
      </c>
      <c r="M103" s="67">
        <f>CHOOSE(Plan!$K$5,'Calc Smart'!J109,'Calc Avalanche'!J109,'Calc Snowball'!J109,'Calc Cashflow'!J109)</f>
        <v/>
      </c>
      <c r="N103" s="67">
        <f>CHOOSE(Plan!$K$5,'Calc Smart'!K109,'Calc Avalanche'!K109,'Calc Snowball'!K109,'Calc Cashflow'!K109)</f>
        <v/>
      </c>
      <c r="O103" s="67">
        <f>CHOOSE(Plan!$K$5,'Calc Smart'!L109,'Calc Avalanche'!L109,'Calc Snowball'!L109,'Calc Cashflow'!L109)</f>
        <v/>
      </c>
      <c r="P103" s="67">
        <f>CHOOSE(Plan!$K$5,'Calc Smart'!M109,'Calc Avalanche'!M109,'Calc Snowball'!M109,'Calc Cashflow'!M109)</f>
        <v/>
      </c>
      <c r="Q103" s="67">
        <f>CHOOSE(Plan!$K$5,'Calc Smart'!N109,'Calc Avalanche'!N109,'Calc Snowball'!N109,'Calc Cashflow'!N109)</f>
        <v/>
      </c>
    </row>
    <row r="104">
      <c r="B104" s="64">
        <f>EDATE(Plan!$C$6,98)</f>
        <v/>
      </c>
      <c r="C104" s="31">
        <f>CHOOSE(Plan!$K$5,'Calc Smart'!AE110,'Calc Avalanche'!AE110,'Calc Snowball'!AE110,'Calc Cashflow'!AE110)</f>
        <v/>
      </c>
      <c r="D104" s="31">
        <f>CHOOSE(Plan!$K$5,'Calc Smart'!AD110,'Calc Avalanche'!AD110,'Calc Snowball'!AD110,'Calc Cashflow'!AD110)</f>
        <v/>
      </c>
      <c r="E104" s="40">
        <f>CHOOSE(Plan!$K$5,COUNTIF('Calc Smart'!C110:N110,"&gt;0"),COUNTIF('Calc Avalanche'!C110:N110,"&gt;0"),COUNTIF('Calc Snowball'!C110:N110,"&gt;0"),COUNTIF('Calc Cashflow'!C110:N110,"&gt;0"))</f>
        <v/>
      </c>
      <c r="F104" s="65">
        <f>CHOOSE(Plan!$K$5,'Calc Smart'!C110,'Calc Avalanche'!C110,'Calc Snowball'!C110,'Calc Cashflow'!C110)</f>
        <v/>
      </c>
      <c r="G104" s="65">
        <f>CHOOSE(Plan!$K$5,'Calc Smart'!D110,'Calc Avalanche'!D110,'Calc Snowball'!D110,'Calc Cashflow'!D110)</f>
        <v/>
      </c>
      <c r="H104" s="65">
        <f>CHOOSE(Plan!$K$5,'Calc Smart'!E110,'Calc Avalanche'!E110,'Calc Snowball'!E110,'Calc Cashflow'!E110)</f>
        <v/>
      </c>
      <c r="I104" s="65">
        <f>CHOOSE(Plan!$K$5,'Calc Smart'!F110,'Calc Avalanche'!F110,'Calc Snowball'!F110,'Calc Cashflow'!F110)</f>
        <v/>
      </c>
      <c r="J104" s="65">
        <f>CHOOSE(Plan!$K$5,'Calc Smart'!G110,'Calc Avalanche'!G110,'Calc Snowball'!G110,'Calc Cashflow'!G110)</f>
        <v/>
      </c>
      <c r="K104" s="65">
        <f>CHOOSE(Plan!$K$5,'Calc Smart'!H110,'Calc Avalanche'!H110,'Calc Snowball'!H110,'Calc Cashflow'!H110)</f>
        <v/>
      </c>
      <c r="L104" s="65">
        <f>CHOOSE(Plan!$K$5,'Calc Smart'!I110,'Calc Avalanche'!I110,'Calc Snowball'!I110,'Calc Cashflow'!I110)</f>
        <v/>
      </c>
      <c r="M104" s="65">
        <f>CHOOSE(Plan!$K$5,'Calc Smart'!J110,'Calc Avalanche'!J110,'Calc Snowball'!J110,'Calc Cashflow'!J110)</f>
        <v/>
      </c>
      <c r="N104" s="65">
        <f>CHOOSE(Plan!$K$5,'Calc Smart'!K110,'Calc Avalanche'!K110,'Calc Snowball'!K110,'Calc Cashflow'!K110)</f>
        <v/>
      </c>
      <c r="O104" s="65">
        <f>CHOOSE(Plan!$K$5,'Calc Smart'!L110,'Calc Avalanche'!L110,'Calc Snowball'!L110,'Calc Cashflow'!L110)</f>
        <v/>
      </c>
      <c r="P104" s="65">
        <f>CHOOSE(Plan!$K$5,'Calc Smart'!M110,'Calc Avalanche'!M110,'Calc Snowball'!M110,'Calc Cashflow'!M110)</f>
        <v/>
      </c>
      <c r="Q104" s="65">
        <f>CHOOSE(Plan!$K$5,'Calc Smart'!N110,'Calc Avalanche'!N110,'Calc Snowball'!N110,'Calc Cashflow'!N110)</f>
        <v/>
      </c>
    </row>
    <row r="105">
      <c r="B105" s="66">
        <f>EDATE(Plan!$C$6,99)</f>
        <v/>
      </c>
      <c r="C105" s="32">
        <f>CHOOSE(Plan!$K$5,'Calc Smart'!AE111,'Calc Avalanche'!AE111,'Calc Snowball'!AE111,'Calc Cashflow'!AE111)</f>
        <v/>
      </c>
      <c r="D105" s="32">
        <f>CHOOSE(Plan!$K$5,'Calc Smart'!AD111,'Calc Avalanche'!AD111,'Calc Snowball'!AD111,'Calc Cashflow'!AD111)</f>
        <v/>
      </c>
      <c r="E105" s="43">
        <f>CHOOSE(Plan!$K$5,COUNTIF('Calc Smart'!C111:N111,"&gt;0"),COUNTIF('Calc Avalanche'!C111:N111,"&gt;0"),COUNTIF('Calc Snowball'!C111:N111,"&gt;0"),COUNTIF('Calc Cashflow'!C111:N111,"&gt;0"))</f>
        <v/>
      </c>
      <c r="F105" s="67">
        <f>CHOOSE(Plan!$K$5,'Calc Smart'!C111,'Calc Avalanche'!C111,'Calc Snowball'!C111,'Calc Cashflow'!C111)</f>
        <v/>
      </c>
      <c r="G105" s="67">
        <f>CHOOSE(Plan!$K$5,'Calc Smart'!D111,'Calc Avalanche'!D111,'Calc Snowball'!D111,'Calc Cashflow'!D111)</f>
        <v/>
      </c>
      <c r="H105" s="67">
        <f>CHOOSE(Plan!$K$5,'Calc Smart'!E111,'Calc Avalanche'!E111,'Calc Snowball'!E111,'Calc Cashflow'!E111)</f>
        <v/>
      </c>
      <c r="I105" s="67">
        <f>CHOOSE(Plan!$K$5,'Calc Smart'!F111,'Calc Avalanche'!F111,'Calc Snowball'!F111,'Calc Cashflow'!F111)</f>
        <v/>
      </c>
      <c r="J105" s="67">
        <f>CHOOSE(Plan!$K$5,'Calc Smart'!G111,'Calc Avalanche'!G111,'Calc Snowball'!G111,'Calc Cashflow'!G111)</f>
        <v/>
      </c>
      <c r="K105" s="67">
        <f>CHOOSE(Plan!$K$5,'Calc Smart'!H111,'Calc Avalanche'!H111,'Calc Snowball'!H111,'Calc Cashflow'!H111)</f>
        <v/>
      </c>
      <c r="L105" s="67">
        <f>CHOOSE(Plan!$K$5,'Calc Smart'!I111,'Calc Avalanche'!I111,'Calc Snowball'!I111,'Calc Cashflow'!I111)</f>
        <v/>
      </c>
      <c r="M105" s="67">
        <f>CHOOSE(Plan!$K$5,'Calc Smart'!J111,'Calc Avalanche'!J111,'Calc Snowball'!J111,'Calc Cashflow'!J111)</f>
        <v/>
      </c>
      <c r="N105" s="67">
        <f>CHOOSE(Plan!$K$5,'Calc Smart'!K111,'Calc Avalanche'!K111,'Calc Snowball'!K111,'Calc Cashflow'!K111)</f>
        <v/>
      </c>
      <c r="O105" s="67">
        <f>CHOOSE(Plan!$K$5,'Calc Smart'!L111,'Calc Avalanche'!L111,'Calc Snowball'!L111,'Calc Cashflow'!L111)</f>
        <v/>
      </c>
      <c r="P105" s="67">
        <f>CHOOSE(Plan!$K$5,'Calc Smart'!M111,'Calc Avalanche'!M111,'Calc Snowball'!M111,'Calc Cashflow'!M111)</f>
        <v/>
      </c>
      <c r="Q105" s="67">
        <f>CHOOSE(Plan!$K$5,'Calc Smart'!N111,'Calc Avalanche'!N111,'Calc Snowball'!N111,'Calc Cashflow'!N111)</f>
        <v/>
      </c>
    </row>
    <row r="106">
      <c r="B106" s="64">
        <f>EDATE(Plan!$C$6,100)</f>
        <v/>
      </c>
      <c r="C106" s="31">
        <f>CHOOSE(Plan!$K$5,'Calc Smart'!AE112,'Calc Avalanche'!AE112,'Calc Snowball'!AE112,'Calc Cashflow'!AE112)</f>
        <v/>
      </c>
      <c r="D106" s="31">
        <f>CHOOSE(Plan!$K$5,'Calc Smart'!AD112,'Calc Avalanche'!AD112,'Calc Snowball'!AD112,'Calc Cashflow'!AD112)</f>
        <v/>
      </c>
      <c r="E106" s="40">
        <f>CHOOSE(Plan!$K$5,COUNTIF('Calc Smart'!C112:N112,"&gt;0"),COUNTIF('Calc Avalanche'!C112:N112,"&gt;0"),COUNTIF('Calc Snowball'!C112:N112,"&gt;0"),COUNTIF('Calc Cashflow'!C112:N112,"&gt;0"))</f>
        <v/>
      </c>
      <c r="F106" s="65">
        <f>CHOOSE(Plan!$K$5,'Calc Smart'!C112,'Calc Avalanche'!C112,'Calc Snowball'!C112,'Calc Cashflow'!C112)</f>
        <v/>
      </c>
      <c r="G106" s="65">
        <f>CHOOSE(Plan!$K$5,'Calc Smart'!D112,'Calc Avalanche'!D112,'Calc Snowball'!D112,'Calc Cashflow'!D112)</f>
        <v/>
      </c>
      <c r="H106" s="65">
        <f>CHOOSE(Plan!$K$5,'Calc Smart'!E112,'Calc Avalanche'!E112,'Calc Snowball'!E112,'Calc Cashflow'!E112)</f>
        <v/>
      </c>
      <c r="I106" s="65">
        <f>CHOOSE(Plan!$K$5,'Calc Smart'!F112,'Calc Avalanche'!F112,'Calc Snowball'!F112,'Calc Cashflow'!F112)</f>
        <v/>
      </c>
      <c r="J106" s="65">
        <f>CHOOSE(Plan!$K$5,'Calc Smart'!G112,'Calc Avalanche'!G112,'Calc Snowball'!G112,'Calc Cashflow'!G112)</f>
        <v/>
      </c>
      <c r="K106" s="65">
        <f>CHOOSE(Plan!$K$5,'Calc Smart'!H112,'Calc Avalanche'!H112,'Calc Snowball'!H112,'Calc Cashflow'!H112)</f>
        <v/>
      </c>
      <c r="L106" s="65">
        <f>CHOOSE(Plan!$K$5,'Calc Smart'!I112,'Calc Avalanche'!I112,'Calc Snowball'!I112,'Calc Cashflow'!I112)</f>
        <v/>
      </c>
      <c r="M106" s="65">
        <f>CHOOSE(Plan!$K$5,'Calc Smart'!J112,'Calc Avalanche'!J112,'Calc Snowball'!J112,'Calc Cashflow'!J112)</f>
        <v/>
      </c>
      <c r="N106" s="65">
        <f>CHOOSE(Plan!$K$5,'Calc Smart'!K112,'Calc Avalanche'!K112,'Calc Snowball'!K112,'Calc Cashflow'!K112)</f>
        <v/>
      </c>
      <c r="O106" s="65">
        <f>CHOOSE(Plan!$K$5,'Calc Smart'!L112,'Calc Avalanche'!L112,'Calc Snowball'!L112,'Calc Cashflow'!L112)</f>
        <v/>
      </c>
      <c r="P106" s="65">
        <f>CHOOSE(Plan!$K$5,'Calc Smart'!M112,'Calc Avalanche'!M112,'Calc Snowball'!M112,'Calc Cashflow'!M112)</f>
        <v/>
      </c>
      <c r="Q106" s="65">
        <f>CHOOSE(Plan!$K$5,'Calc Smart'!N112,'Calc Avalanche'!N112,'Calc Snowball'!N112,'Calc Cashflow'!N112)</f>
        <v/>
      </c>
    </row>
    <row r="107">
      <c r="B107" s="66">
        <f>EDATE(Plan!$C$6,101)</f>
        <v/>
      </c>
      <c r="C107" s="32">
        <f>CHOOSE(Plan!$K$5,'Calc Smart'!AE113,'Calc Avalanche'!AE113,'Calc Snowball'!AE113,'Calc Cashflow'!AE113)</f>
        <v/>
      </c>
      <c r="D107" s="32">
        <f>CHOOSE(Plan!$K$5,'Calc Smart'!AD113,'Calc Avalanche'!AD113,'Calc Snowball'!AD113,'Calc Cashflow'!AD113)</f>
        <v/>
      </c>
      <c r="E107" s="43">
        <f>CHOOSE(Plan!$K$5,COUNTIF('Calc Smart'!C113:N113,"&gt;0"),COUNTIF('Calc Avalanche'!C113:N113,"&gt;0"),COUNTIF('Calc Snowball'!C113:N113,"&gt;0"),COUNTIF('Calc Cashflow'!C113:N113,"&gt;0"))</f>
        <v/>
      </c>
      <c r="F107" s="67">
        <f>CHOOSE(Plan!$K$5,'Calc Smart'!C113,'Calc Avalanche'!C113,'Calc Snowball'!C113,'Calc Cashflow'!C113)</f>
        <v/>
      </c>
      <c r="G107" s="67">
        <f>CHOOSE(Plan!$K$5,'Calc Smart'!D113,'Calc Avalanche'!D113,'Calc Snowball'!D113,'Calc Cashflow'!D113)</f>
        <v/>
      </c>
      <c r="H107" s="67">
        <f>CHOOSE(Plan!$K$5,'Calc Smart'!E113,'Calc Avalanche'!E113,'Calc Snowball'!E113,'Calc Cashflow'!E113)</f>
        <v/>
      </c>
      <c r="I107" s="67">
        <f>CHOOSE(Plan!$K$5,'Calc Smart'!F113,'Calc Avalanche'!F113,'Calc Snowball'!F113,'Calc Cashflow'!F113)</f>
        <v/>
      </c>
      <c r="J107" s="67">
        <f>CHOOSE(Plan!$K$5,'Calc Smart'!G113,'Calc Avalanche'!G113,'Calc Snowball'!G113,'Calc Cashflow'!G113)</f>
        <v/>
      </c>
      <c r="K107" s="67">
        <f>CHOOSE(Plan!$K$5,'Calc Smart'!H113,'Calc Avalanche'!H113,'Calc Snowball'!H113,'Calc Cashflow'!H113)</f>
        <v/>
      </c>
      <c r="L107" s="67">
        <f>CHOOSE(Plan!$K$5,'Calc Smart'!I113,'Calc Avalanche'!I113,'Calc Snowball'!I113,'Calc Cashflow'!I113)</f>
        <v/>
      </c>
      <c r="M107" s="67">
        <f>CHOOSE(Plan!$K$5,'Calc Smart'!J113,'Calc Avalanche'!J113,'Calc Snowball'!J113,'Calc Cashflow'!J113)</f>
        <v/>
      </c>
      <c r="N107" s="67">
        <f>CHOOSE(Plan!$K$5,'Calc Smart'!K113,'Calc Avalanche'!K113,'Calc Snowball'!K113,'Calc Cashflow'!K113)</f>
        <v/>
      </c>
      <c r="O107" s="67">
        <f>CHOOSE(Plan!$K$5,'Calc Smart'!L113,'Calc Avalanche'!L113,'Calc Snowball'!L113,'Calc Cashflow'!L113)</f>
        <v/>
      </c>
      <c r="P107" s="67">
        <f>CHOOSE(Plan!$K$5,'Calc Smart'!M113,'Calc Avalanche'!M113,'Calc Snowball'!M113,'Calc Cashflow'!M113)</f>
        <v/>
      </c>
      <c r="Q107" s="67">
        <f>CHOOSE(Plan!$K$5,'Calc Smart'!N113,'Calc Avalanche'!N113,'Calc Snowball'!N113,'Calc Cashflow'!N113)</f>
        <v/>
      </c>
    </row>
    <row r="108">
      <c r="B108" s="64">
        <f>EDATE(Plan!$C$6,102)</f>
        <v/>
      </c>
      <c r="C108" s="31">
        <f>CHOOSE(Plan!$K$5,'Calc Smart'!AE114,'Calc Avalanche'!AE114,'Calc Snowball'!AE114,'Calc Cashflow'!AE114)</f>
        <v/>
      </c>
      <c r="D108" s="31">
        <f>CHOOSE(Plan!$K$5,'Calc Smart'!AD114,'Calc Avalanche'!AD114,'Calc Snowball'!AD114,'Calc Cashflow'!AD114)</f>
        <v/>
      </c>
      <c r="E108" s="40">
        <f>CHOOSE(Plan!$K$5,COUNTIF('Calc Smart'!C114:N114,"&gt;0"),COUNTIF('Calc Avalanche'!C114:N114,"&gt;0"),COUNTIF('Calc Snowball'!C114:N114,"&gt;0"),COUNTIF('Calc Cashflow'!C114:N114,"&gt;0"))</f>
        <v/>
      </c>
      <c r="F108" s="65">
        <f>CHOOSE(Plan!$K$5,'Calc Smart'!C114,'Calc Avalanche'!C114,'Calc Snowball'!C114,'Calc Cashflow'!C114)</f>
        <v/>
      </c>
      <c r="G108" s="65">
        <f>CHOOSE(Plan!$K$5,'Calc Smart'!D114,'Calc Avalanche'!D114,'Calc Snowball'!D114,'Calc Cashflow'!D114)</f>
        <v/>
      </c>
      <c r="H108" s="65">
        <f>CHOOSE(Plan!$K$5,'Calc Smart'!E114,'Calc Avalanche'!E114,'Calc Snowball'!E114,'Calc Cashflow'!E114)</f>
        <v/>
      </c>
      <c r="I108" s="65">
        <f>CHOOSE(Plan!$K$5,'Calc Smart'!F114,'Calc Avalanche'!F114,'Calc Snowball'!F114,'Calc Cashflow'!F114)</f>
        <v/>
      </c>
      <c r="J108" s="65">
        <f>CHOOSE(Plan!$K$5,'Calc Smart'!G114,'Calc Avalanche'!G114,'Calc Snowball'!G114,'Calc Cashflow'!G114)</f>
        <v/>
      </c>
      <c r="K108" s="65">
        <f>CHOOSE(Plan!$K$5,'Calc Smart'!H114,'Calc Avalanche'!H114,'Calc Snowball'!H114,'Calc Cashflow'!H114)</f>
        <v/>
      </c>
      <c r="L108" s="65">
        <f>CHOOSE(Plan!$K$5,'Calc Smart'!I114,'Calc Avalanche'!I114,'Calc Snowball'!I114,'Calc Cashflow'!I114)</f>
        <v/>
      </c>
      <c r="M108" s="65">
        <f>CHOOSE(Plan!$K$5,'Calc Smart'!J114,'Calc Avalanche'!J114,'Calc Snowball'!J114,'Calc Cashflow'!J114)</f>
        <v/>
      </c>
      <c r="N108" s="65">
        <f>CHOOSE(Plan!$K$5,'Calc Smart'!K114,'Calc Avalanche'!K114,'Calc Snowball'!K114,'Calc Cashflow'!K114)</f>
        <v/>
      </c>
      <c r="O108" s="65">
        <f>CHOOSE(Plan!$K$5,'Calc Smart'!L114,'Calc Avalanche'!L114,'Calc Snowball'!L114,'Calc Cashflow'!L114)</f>
        <v/>
      </c>
      <c r="P108" s="65">
        <f>CHOOSE(Plan!$K$5,'Calc Smart'!M114,'Calc Avalanche'!M114,'Calc Snowball'!M114,'Calc Cashflow'!M114)</f>
        <v/>
      </c>
      <c r="Q108" s="65">
        <f>CHOOSE(Plan!$K$5,'Calc Smart'!N114,'Calc Avalanche'!N114,'Calc Snowball'!N114,'Calc Cashflow'!N114)</f>
        <v/>
      </c>
    </row>
    <row r="109">
      <c r="B109" s="66">
        <f>EDATE(Plan!$C$6,103)</f>
        <v/>
      </c>
      <c r="C109" s="32">
        <f>CHOOSE(Plan!$K$5,'Calc Smart'!AE115,'Calc Avalanche'!AE115,'Calc Snowball'!AE115,'Calc Cashflow'!AE115)</f>
        <v/>
      </c>
      <c r="D109" s="32">
        <f>CHOOSE(Plan!$K$5,'Calc Smart'!AD115,'Calc Avalanche'!AD115,'Calc Snowball'!AD115,'Calc Cashflow'!AD115)</f>
        <v/>
      </c>
      <c r="E109" s="43">
        <f>CHOOSE(Plan!$K$5,COUNTIF('Calc Smart'!C115:N115,"&gt;0"),COUNTIF('Calc Avalanche'!C115:N115,"&gt;0"),COUNTIF('Calc Snowball'!C115:N115,"&gt;0"),COUNTIF('Calc Cashflow'!C115:N115,"&gt;0"))</f>
        <v/>
      </c>
      <c r="F109" s="67">
        <f>CHOOSE(Plan!$K$5,'Calc Smart'!C115,'Calc Avalanche'!C115,'Calc Snowball'!C115,'Calc Cashflow'!C115)</f>
        <v/>
      </c>
      <c r="G109" s="67">
        <f>CHOOSE(Plan!$K$5,'Calc Smart'!D115,'Calc Avalanche'!D115,'Calc Snowball'!D115,'Calc Cashflow'!D115)</f>
        <v/>
      </c>
      <c r="H109" s="67">
        <f>CHOOSE(Plan!$K$5,'Calc Smart'!E115,'Calc Avalanche'!E115,'Calc Snowball'!E115,'Calc Cashflow'!E115)</f>
        <v/>
      </c>
      <c r="I109" s="67">
        <f>CHOOSE(Plan!$K$5,'Calc Smart'!F115,'Calc Avalanche'!F115,'Calc Snowball'!F115,'Calc Cashflow'!F115)</f>
        <v/>
      </c>
      <c r="J109" s="67">
        <f>CHOOSE(Plan!$K$5,'Calc Smart'!G115,'Calc Avalanche'!G115,'Calc Snowball'!G115,'Calc Cashflow'!G115)</f>
        <v/>
      </c>
      <c r="K109" s="67">
        <f>CHOOSE(Plan!$K$5,'Calc Smart'!H115,'Calc Avalanche'!H115,'Calc Snowball'!H115,'Calc Cashflow'!H115)</f>
        <v/>
      </c>
      <c r="L109" s="67">
        <f>CHOOSE(Plan!$K$5,'Calc Smart'!I115,'Calc Avalanche'!I115,'Calc Snowball'!I115,'Calc Cashflow'!I115)</f>
        <v/>
      </c>
      <c r="M109" s="67">
        <f>CHOOSE(Plan!$K$5,'Calc Smart'!J115,'Calc Avalanche'!J115,'Calc Snowball'!J115,'Calc Cashflow'!J115)</f>
        <v/>
      </c>
      <c r="N109" s="67">
        <f>CHOOSE(Plan!$K$5,'Calc Smart'!K115,'Calc Avalanche'!K115,'Calc Snowball'!K115,'Calc Cashflow'!K115)</f>
        <v/>
      </c>
      <c r="O109" s="67">
        <f>CHOOSE(Plan!$K$5,'Calc Smart'!L115,'Calc Avalanche'!L115,'Calc Snowball'!L115,'Calc Cashflow'!L115)</f>
        <v/>
      </c>
      <c r="P109" s="67">
        <f>CHOOSE(Plan!$K$5,'Calc Smart'!M115,'Calc Avalanche'!M115,'Calc Snowball'!M115,'Calc Cashflow'!M115)</f>
        <v/>
      </c>
      <c r="Q109" s="67">
        <f>CHOOSE(Plan!$K$5,'Calc Smart'!N115,'Calc Avalanche'!N115,'Calc Snowball'!N115,'Calc Cashflow'!N115)</f>
        <v/>
      </c>
    </row>
    <row r="110">
      <c r="B110" s="64">
        <f>EDATE(Plan!$C$6,104)</f>
        <v/>
      </c>
      <c r="C110" s="31">
        <f>CHOOSE(Plan!$K$5,'Calc Smart'!AE116,'Calc Avalanche'!AE116,'Calc Snowball'!AE116,'Calc Cashflow'!AE116)</f>
        <v/>
      </c>
      <c r="D110" s="31">
        <f>CHOOSE(Plan!$K$5,'Calc Smart'!AD116,'Calc Avalanche'!AD116,'Calc Snowball'!AD116,'Calc Cashflow'!AD116)</f>
        <v/>
      </c>
      <c r="E110" s="40">
        <f>CHOOSE(Plan!$K$5,COUNTIF('Calc Smart'!C116:N116,"&gt;0"),COUNTIF('Calc Avalanche'!C116:N116,"&gt;0"),COUNTIF('Calc Snowball'!C116:N116,"&gt;0"),COUNTIF('Calc Cashflow'!C116:N116,"&gt;0"))</f>
        <v/>
      </c>
      <c r="F110" s="65">
        <f>CHOOSE(Plan!$K$5,'Calc Smart'!C116,'Calc Avalanche'!C116,'Calc Snowball'!C116,'Calc Cashflow'!C116)</f>
        <v/>
      </c>
      <c r="G110" s="65">
        <f>CHOOSE(Plan!$K$5,'Calc Smart'!D116,'Calc Avalanche'!D116,'Calc Snowball'!D116,'Calc Cashflow'!D116)</f>
        <v/>
      </c>
      <c r="H110" s="65">
        <f>CHOOSE(Plan!$K$5,'Calc Smart'!E116,'Calc Avalanche'!E116,'Calc Snowball'!E116,'Calc Cashflow'!E116)</f>
        <v/>
      </c>
      <c r="I110" s="65">
        <f>CHOOSE(Plan!$K$5,'Calc Smart'!F116,'Calc Avalanche'!F116,'Calc Snowball'!F116,'Calc Cashflow'!F116)</f>
        <v/>
      </c>
      <c r="J110" s="65">
        <f>CHOOSE(Plan!$K$5,'Calc Smart'!G116,'Calc Avalanche'!G116,'Calc Snowball'!G116,'Calc Cashflow'!G116)</f>
        <v/>
      </c>
      <c r="K110" s="65">
        <f>CHOOSE(Plan!$K$5,'Calc Smart'!H116,'Calc Avalanche'!H116,'Calc Snowball'!H116,'Calc Cashflow'!H116)</f>
        <v/>
      </c>
      <c r="L110" s="65">
        <f>CHOOSE(Plan!$K$5,'Calc Smart'!I116,'Calc Avalanche'!I116,'Calc Snowball'!I116,'Calc Cashflow'!I116)</f>
        <v/>
      </c>
      <c r="M110" s="65">
        <f>CHOOSE(Plan!$K$5,'Calc Smart'!J116,'Calc Avalanche'!J116,'Calc Snowball'!J116,'Calc Cashflow'!J116)</f>
        <v/>
      </c>
      <c r="N110" s="65">
        <f>CHOOSE(Plan!$K$5,'Calc Smart'!K116,'Calc Avalanche'!K116,'Calc Snowball'!K116,'Calc Cashflow'!K116)</f>
        <v/>
      </c>
      <c r="O110" s="65">
        <f>CHOOSE(Plan!$K$5,'Calc Smart'!L116,'Calc Avalanche'!L116,'Calc Snowball'!L116,'Calc Cashflow'!L116)</f>
        <v/>
      </c>
      <c r="P110" s="65">
        <f>CHOOSE(Plan!$K$5,'Calc Smart'!M116,'Calc Avalanche'!M116,'Calc Snowball'!M116,'Calc Cashflow'!M116)</f>
        <v/>
      </c>
      <c r="Q110" s="65">
        <f>CHOOSE(Plan!$K$5,'Calc Smart'!N116,'Calc Avalanche'!N116,'Calc Snowball'!N116,'Calc Cashflow'!N116)</f>
        <v/>
      </c>
    </row>
    <row r="111">
      <c r="B111" s="66">
        <f>EDATE(Plan!$C$6,105)</f>
        <v/>
      </c>
      <c r="C111" s="32">
        <f>CHOOSE(Plan!$K$5,'Calc Smart'!AE117,'Calc Avalanche'!AE117,'Calc Snowball'!AE117,'Calc Cashflow'!AE117)</f>
        <v/>
      </c>
      <c r="D111" s="32">
        <f>CHOOSE(Plan!$K$5,'Calc Smart'!AD117,'Calc Avalanche'!AD117,'Calc Snowball'!AD117,'Calc Cashflow'!AD117)</f>
        <v/>
      </c>
      <c r="E111" s="43">
        <f>CHOOSE(Plan!$K$5,COUNTIF('Calc Smart'!C117:N117,"&gt;0"),COUNTIF('Calc Avalanche'!C117:N117,"&gt;0"),COUNTIF('Calc Snowball'!C117:N117,"&gt;0"),COUNTIF('Calc Cashflow'!C117:N117,"&gt;0"))</f>
        <v/>
      </c>
      <c r="F111" s="67">
        <f>CHOOSE(Plan!$K$5,'Calc Smart'!C117,'Calc Avalanche'!C117,'Calc Snowball'!C117,'Calc Cashflow'!C117)</f>
        <v/>
      </c>
      <c r="G111" s="67">
        <f>CHOOSE(Plan!$K$5,'Calc Smart'!D117,'Calc Avalanche'!D117,'Calc Snowball'!D117,'Calc Cashflow'!D117)</f>
        <v/>
      </c>
      <c r="H111" s="67">
        <f>CHOOSE(Plan!$K$5,'Calc Smart'!E117,'Calc Avalanche'!E117,'Calc Snowball'!E117,'Calc Cashflow'!E117)</f>
        <v/>
      </c>
      <c r="I111" s="67">
        <f>CHOOSE(Plan!$K$5,'Calc Smart'!F117,'Calc Avalanche'!F117,'Calc Snowball'!F117,'Calc Cashflow'!F117)</f>
        <v/>
      </c>
      <c r="J111" s="67">
        <f>CHOOSE(Plan!$K$5,'Calc Smart'!G117,'Calc Avalanche'!G117,'Calc Snowball'!G117,'Calc Cashflow'!G117)</f>
        <v/>
      </c>
      <c r="K111" s="67">
        <f>CHOOSE(Plan!$K$5,'Calc Smart'!H117,'Calc Avalanche'!H117,'Calc Snowball'!H117,'Calc Cashflow'!H117)</f>
        <v/>
      </c>
      <c r="L111" s="67">
        <f>CHOOSE(Plan!$K$5,'Calc Smart'!I117,'Calc Avalanche'!I117,'Calc Snowball'!I117,'Calc Cashflow'!I117)</f>
        <v/>
      </c>
      <c r="M111" s="67">
        <f>CHOOSE(Plan!$K$5,'Calc Smart'!J117,'Calc Avalanche'!J117,'Calc Snowball'!J117,'Calc Cashflow'!J117)</f>
        <v/>
      </c>
      <c r="N111" s="67">
        <f>CHOOSE(Plan!$K$5,'Calc Smart'!K117,'Calc Avalanche'!K117,'Calc Snowball'!K117,'Calc Cashflow'!K117)</f>
        <v/>
      </c>
      <c r="O111" s="67">
        <f>CHOOSE(Plan!$K$5,'Calc Smart'!L117,'Calc Avalanche'!L117,'Calc Snowball'!L117,'Calc Cashflow'!L117)</f>
        <v/>
      </c>
      <c r="P111" s="67">
        <f>CHOOSE(Plan!$K$5,'Calc Smart'!M117,'Calc Avalanche'!M117,'Calc Snowball'!M117,'Calc Cashflow'!M117)</f>
        <v/>
      </c>
      <c r="Q111" s="67">
        <f>CHOOSE(Plan!$K$5,'Calc Smart'!N117,'Calc Avalanche'!N117,'Calc Snowball'!N117,'Calc Cashflow'!N117)</f>
        <v/>
      </c>
    </row>
    <row r="112">
      <c r="B112" s="64">
        <f>EDATE(Plan!$C$6,106)</f>
        <v/>
      </c>
      <c r="C112" s="31">
        <f>CHOOSE(Plan!$K$5,'Calc Smart'!AE118,'Calc Avalanche'!AE118,'Calc Snowball'!AE118,'Calc Cashflow'!AE118)</f>
        <v/>
      </c>
      <c r="D112" s="31">
        <f>CHOOSE(Plan!$K$5,'Calc Smart'!AD118,'Calc Avalanche'!AD118,'Calc Snowball'!AD118,'Calc Cashflow'!AD118)</f>
        <v/>
      </c>
      <c r="E112" s="40">
        <f>CHOOSE(Plan!$K$5,COUNTIF('Calc Smart'!C118:N118,"&gt;0"),COUNTIF('Calc Avalanche'!C118:N118,"&gt;0"),COUNTIF('Calc Snowball'!C118:N118,"&gt;0"),COUNTIF('Calc Cashflow'!C118:N118,"&gt;0"))</f>
        <v/>
      </c>
      <c r="F112" s="65">
        <f>CHOOSE(Plan!$K$5,'Calc Smart'!C118,'Calc Avalanche'!C118,'Calc Snowball'!C118,'Calc Cashflow'!C118)</f>
        <v/>
      </c>
      <c r="G112" s="65">
        <f>CHOOSE(Plan!$K$5,'Calc Smart'!D118,'Calc Avalanche'!D118,'Calc Snowball'!D118,'Calc Cashflow'!D118)</f>
        <v/>
      </c>
      <c r="H112" s="65">
        <f>CHOOSE(Plan!$K$5,'Calc Smart'!E118,'Calc Avalanche'!E118,'Calc Snowball'!E118,'Calc Cashflow'!E118)</f>
        <v/>
      </c>
      <c r="I112" s="65">
        <f>CHOOSE(Plan!$K$5,'Calc Smart'!F118,'Calc Avalanche'!F118,'Calc Snowball'!F118,'Calc Cashflow'!F118)</f>
        <v/>
      </c>
      <c r="J112" s="65">
        <f>CHOOSE(Plan!$K$5,'Calc Smart'!G118,'Calc Avalanche'!G118,'Calc Snowball'!G118,'Calc Cashflow'!G118)</f>
        <v/>
      </c>
      <c r="K112" s="65">
        <f>CHOOSE(Plan!$K$5,'Calc Smart'!H118,'Calc Avalanche'!H118,'Calc Snowball'!H118,'Calc Cashflow'!H118)</f>
        <v/>
      </c>
      <c r="L112" s="65">
        <f>CHOOSE(Plan!$K$5,'Calc Smart'!I118,'Calc Avalanche'!I118,'Calc Snowball'!I118,'Calc Cashflow'!I118)</f>
        <v/>
      </c>
      <c r="M112" s="65">
        <f>CHOOSE(Plan!$K$5,'Calc Smart'!J118,'Calc Avalanche'!J118,'Calc Snowball'!J118,'Calc Cashflow'!J118)</f>
        <v/>
      </c>
      <c r="N112" s="65">
        <f>CHOOSE(Plan!$K$5,'Calc Smart'!K118,'Calc Avalanche'!K118,'Calc Snowball'!K118,'Calc Cashflow'!K118)</f>
        <v/>
      </c>
      <c r="O112" s="65">
        <f>CHOOSE(Plan!$K$5,'Calc Smart'!L118,'Calc Avalanche'!L118,'Calc Snowball'!L118,'Calc Cashflow'!L118)</f>
        <v/>
      </c>
      <c r="P112" s="65">
        <f>CHOOSE(Plan!$K$5,'Calc Smart'!M118,'Calc Avalanche'!M118,'Calc Snowball'!M118,'Calc Cashflow'!M118)</f>
        <v/>
      </c>
      <c r="Q112" s="65">
        <f>CHOOSE(Plan!$K$5,'Calc Smart'!N118,'Calc Avalanche'!N118,'Calc Snowball'!N118,'Calc Cashflow'!N118)</f>
        <v/>
      </c>
    </row>
    <row r="113">
      <c r="B113" s="66">
        <f>EDATE(Plan!$C$6,107)</f>
        <v/>
      </c>
      <c r="C113" s="32">
        <f>CHOOSE(Plan!$K$5,'Calc Smart'!AE119,'Calc Avalanche'!AE119,'Calc Snowball'!AE119,'Calc Cashflow'!AE119)</f>
        <v/>
      </c>
      <c r="D113" s="32">
        <f>CHOOSE(Plan!$K$5,'Calc Smart'!AD119,'Calc Avalanche'!AD119,'Calc Snowball'!AD119,'Calc Cashflow'!AD119)</f>
        <v/>
      </c>
      <c r="E113" s="43">
        <f>CHOOSE(Plan!$K$5,COUNTIF('Calc Smart'!C119:N119,"&gt;0"),COUNTIF('Calc Avalanche'!C119:N119,"&gt;0"),COUNTIF('Calc Snowball'!C119:N119,"&gt;0"),COUNTIF('Calc Cashflow'!C119:N119,"&gt;0"))</f>
        <v/>
      </c>
      <c r="F113" s="67">
        <f>CHOOSE(Plan!$K$5,'Calc Smart'!C119,'Calc Avalanche'!C119,'Calc Snowball'!C119,'Calc Cashflow'!C119)</f>
        <v/>
      </c>
      <c r="G113" s="67">
        <f>CHOOSE(Plan!$K$5,'Calc Smart'!D119,'Calc Avalanche'!D119,'Calc Snowball'!D119,'Calc Cashflow'!D119)</f>
        <v/>
      </c>
      <c r="H113" s="67">
        <f>CHOOSE(Plan!$K$5,'Calc Smart'!E119,'Calc Avalanche'!E119,'Calc Snowball'!E119,'Calc Cashflow'!E119)</f>
        <v/>
      </c>
      <c r="I113" s="67">
        <f>CHOOSE(Plan!$K$5,'Calc Smart'!F119,'Calc Avalanche'!F119,'Calc Snowball'!F119,'Calc Cashflow'!F119)</f>
        <v/>
      </c>
      <c r="J113" s="67">
        <f>CHOOSE(Plan!$K$5,'Calc Smart'!G119,'Calc Avalanche'!G119,'Calc Snowball'!G119,'Calc Cashflow'!G119)</f>
        <v/>
      </c>
      <c r="K113" s="67">
        <f>CHOOSE(Plan!$K$5,'Calc Smart'!H119,'Calc Avalanche'!H119,'Calc Snowball'!H119,'Calc Cashflow'!H119)</f>
        <v/>
      </c>
      <c r="L113" s="67">
        <f>CHOOSE(Plan!$K$5,'Calc Smart'!I119,'Calc Avalanche'!I119,'Calc Snowball'!I119,'Calc Cashflow'!I119)</f>
        <v/>
      </c>
      <c r="M113" s="67">
        <f>CHOOSE(Plan!$K$5,'Calc Smart'!J119,'Calc Avalanche'!J119,'Calc Snowball'!J119,'Calc Cashflow'!J119)</f>
        <v/>
      </c>
      <c r="N113" s="67">
        <f>CHOOSE(Plan!$K$5,'Calc Smart'!K119,'Calc Avalanche'!K119,'Calc Snowball'!K119,'Calc Cashflow'!K119)</f>
        <v/>
      </c>
      <c r="O113" s="67">
        <f>CHOOSE(Plan!$K$5,'Calc Smart'!L119,'Calc Avalanche'!L119,'Calc Snowball'!L119,'Calc Cashflow'!L119)</f>
        <v/>
      </c>
      <c r="P113" s="67">
        <f>CHOOSE(Plan!$K$5,'Calc Smart'!M119,'Calc Avalanche'!M119,'Calc Snowball'!M119,'Calc Cashflow'!M119)</f>
        <v/>
      </c>
      <c r="Q113" s="67">
        <f>CHOOSE(Plan!$K$5,'Calc Smart'!N119,'Calc Avalanche'!N119,'Calc Snowball'!N119,'Calc Cashflow'!N119)</f>
        <v/>
      </c>
    </row>
    <row r="114">
      <c r="B114" s="64">
        <f>EDATE(Plan!$C$6,108)</f>
        <v/>
      </c>
      <c r="C114" s="31">
        <f>CHOOSE(Plan!$K$5,'Calc Smart'!AE120,'Calc Avalanche'!AE120,'Calc Snowball'!AE120,'Calc Cashflow'!AE120)</f>
        <v/>
      </c>
      <c r="D114" s="31">
        <f>CHOOSE(Plan!$K$5,'Calc Smart'!AD120,'Calc Avalanche'!AD120,'Calc Snowball'!AD120,'Calc Cashflow'!AD120)</f>
        <v/>
      </c>
      <c r="E114" s="40">
        <f>CHOOSE(Plan!$K$5,COUNTIF('Calc Smart'!C120:N120,"&gt;0"),COUNTIF('Calc Avalanche'!C120:N120,"&gt;0"),COUNTIF('Calc Snowball'!C120:N120,"&gt;0"),COUNTIF('Calc Cashflow'!C120:N120,"&gt;0"))</f>
        <v/>
      </c>
      <c r="F114" s="65">
        <f>CHOOSE(Plan!$K$5,'Calc Smart'!C120,'Calc Avalanche'!C120,'Calc Snowball'!C120,'Calc Cashflow'!C120)</f>
        <v/>
      </c>
      <c r="G114" s="65">
        <f>CHOOSE(Plan!$K$5,'Calc Smart'!D120,'Calc Avalanche'!D120,'Calc Snowball'!D120,'Calc Cashflow'!D120)</f>
        <v/>
      </c>
      <c r="H114" s="65">
        <f>CHOOSE(Plan!$K$5,'Calc Smart'!E120,'Calc Avalanche'!E120,'Calc Snowball'!E120,'Calc Cashflow'!E120)</f>
        <v/>
      </c>
      <c r="I114" s="65">
        <f>CHOOSE(Plan!$K$5,'Calc Smart'!F120,'Calc Avalanche'!F120,'Calc Snowball'!F120,'Calc Cashflow'!F120)</f>
        <v/>
      </c>
      <c r="J114" s="65">
        <f>CHOOSE(Plan!$K$5,'Calc Smart'!G120,'Calc Avalanche'!G120,'Calc Snowball'!G120,'Calc Cashflow'!G120)</f>
        <v/>
      </c>
      <c r="K114" s="65">
        <f>CHOOSE(Plan!$K$5,'Calc Smart'!H120,'Calc Avalanche'!H120,'Calc Snowball'!H120,'Calc Cashflow'!H120)</f>
        <v/>
      </c>
      <c r="L114" s="65">
        <f>CHOOSE(Plan!$K$5,'Calc Smart'!I120,'Calc Avalanche'!I120,'Calc Snowball'!I120,'Calc Cashflow'!I120)</f>
        <v/>
      </c>
      <c r="M114" s="65">
        <f>CHOOSE(Plan!$K$5,'Calc Smart'!J120,'Calc Avalanche'!J120,'Calc Snowball'!J120,'Calc Cashflow'!J120)</f>
        <v/>
      </c>
      <c r="N114" s="65">
        <f>CHOOSE(Plan!$K$5,'Calc Smart'!K120,'Calc Avalanche'!K120,'Calc Snowball'!K120,'Calc Cashflow'!K120)</f>
        <v/>
      </c>
      <c r="O114" s="65">
        <f>CHOOSE(Plan!$K$5,'Calc Smart'!L120,'Calc Avalanche'!L120,'Calc Snowball'!L120,'Calc Cashflow'!L120)</f>
        <v/>
      </c>
      <c r="P114" s="65">
        <f>CHOOSE(Plan!$K$5,'Calc Smart'!M120,'Calc Avalanche'!M120,'Calc Snowball'!M120,'Calc Cashflow'!M120)</f>
        <v/>
      </c>
      <c r="Q114" s="65">
        <f>CHOOSE(Plan!$K$5,'Calc Smart'!N120,'Calc Avalanche'!N120,'Calc Snowball'!N120,'Calc Cashflow'!N120)</f>
        <v/>
      </c>
    </row>
    <row r="115">
      <c r="B115" s="66">
        <f>EDATE(Plan!$C$6,109)</f>
        <v/>
      </c>
      <c r="C115" s="32">
        <f>CHOOSE(Plan!$K$5,'Calc Smart'!AE121,'Calc Avalanche'!AE121,'Calc Snowball'!AE121,'Calc Cashflow'!AE121)</f>
        <v/>
      </c>
      <c r="D115" s="32">
        <f>CHOOSE(Plan!$K$5,'Calc Smart'!AD121,'Calc Avalanche'!AD121,'Calc Snowball'!AD121,'Calc Cashflow'!AD121)</f>
        <v/>
      </c>
      <c r="E115" s="43">
        <f>CHOOSE(Plan!$K$5,COUNTIF('Calc Smart'!C121:N121,"&gt;0"),COUNTIF('Calc Avalanche'!C121:N121,"&gt;0"),COUNTIF('Calc Snowball'!C121:N121,"&gt;0"),COUNTIF('Calc Cashflow'!C121:N121,"&gt;0"))</f>
        <v/>
      </c>
      <c r="F115" s="67">
        <f>CHOOSE(Plan!$K$5,'Calc Smart'!C121,'Calc Avalanche'!C121,'Calc Snowball'!C121,'Calc Cashflow'!C121)</f>
        <v/>
      </c>
      <c r="G115" s="67">
        <f>CHOOSE(Plan!$K$5,'Calc Smart'!D121,'Calc Avalanche'!D121,'Calc Snowball'!D121,'Calc Cashflow'!D121)</f>
        <v/>
      </c>
      <c r="H115" s="67">
        <f>CHOOSE(Plan!$K$5,'Calc Smart'!E121,'Calc Avalanche'!E121,'Calc Snowball'!E121,'Calc Cashflow'!E121)</f>
        <v/>
      </c>
      <c r="I115" s="67">
        <f>CHOOSE(Plan!$K$5,'Calc Smart'!F121,'Calc Avalanche'!F121,'Calc Snowball'!F121,'Calc Cashflow'!F121)</f>
        <v/>
      </c>
      <c r="J115" s="67">
        <f>CHOOSE(Plan!$K$5,'Calc Smart'!G121,'Calc Avalanche'!G121,'Calc Snowball'!G121,'Calc Cashflow'!G121)</f>
        <v/>
      </c>
      <c r="K115" s="67">
        <f>CHOOSE(Plan!$K$5,'Calc Smart'!H121,'Calc Avalanche'!H121,'Calc Snowball'!H121,'Calc Cashflow'!H121)</f>
        <v/>
      </c>
      <c r="L115" s="67">
        <f>CHOOSE(Plan!$K$5,'Calc Smart'!I121,'Calc Avalanche'!I121,'Calc Snowball'!I121,'Calc Cashflow'!I121)</f>
        <v/>
      </c>
      <c r="M115" s="67">
        <f>CHOOSE(Plan!$K$5,'Calc Smart'!J121,'Calc Avalanche'!J121,'Calc Snowball'!J121,'Calc Cashflow'!J121)</f>
        <v/>
      </c>
      <c r="N115" s="67">
        <f>CHOOSE(Plan!$K$5,'Calc Smart'!K121,'Calc Avalanche'!K121,'Calc Snowball'!K121,'Calc Cashflow'!K121)</f>
        <v/>
      </c>
      <c r="O115" s="67">
        <f>CHOOSE(Plan!$K$5,'Calc Smart'!L121,'Calc Avalanche'!L121,'Calc Snowball'!L121,'Calc Cashflow'!L121)</f>
        <v/>
      </c>
      <c r="P115" s="67">
        <f>CHOOSE(Plan!$K$5,'Calc Smart'!M121,'Calc Avalanche'!M121,'Calc Snowball'!M121,'Calc Cashflow'!M121)</f>
        <v/>
      </c>
      <c r="Q115" s="67">
        <f>CHOOSE(Plan!$K$5,'Calc Smart'!N121,'Calc Avalanche'!N121,'Calc Snowball'!N121,'Calc Cashflow'!N121)</f>
        <v/>
      </c>
    </row>
    <row r="116">
      <c r="B116" s="64">
        <f>EDATE(Plan!$C$6,110)</f>
        <v/>
      </c>
      <c r="C116" s="31">
        <f>CHOOSE(Plan!$K$5,'Calc Smart'!AE122,'Calc Avalanche'!AE122,'Calc Snowball'!AE122,'Calc Cashflow'!AE122)</f>
        <v/>
      </c>
      <c r="D116" s="31">
        <f>CHOOSE(Plan!$K$5,'Calc Smart'!AD122,'Calc Avalanche'!AD122,'Calc Snowball'!AD122,'Calc Cashflow'!AD122)</f>
        <v/>
      </c>
      <c r="E116" s="40">
        <f>CHOOSE(Plan!$K$5,COUNTIF('Calc Smart'!C122:N122,"&gt;0"),COUNTIF('Calc Avalanche'!C122:N122,"&gt;0"),COUNTIF('Calc Snowball'!C122:N122,"&gt;0"),COUNTIF('Calc Cashflow'!C122:N122,"&gt;0"))</f>
        <v/>
      </c>
      <c r="F116" s="65">
        <f>CHOOSE(Plan!$K$5,'Calc Smart'!C122,'Calc Avalanche'!C122,'Calc Snowball'!C122,'Calc Cashflow'!C122)</f>
        <v/>
      </c>
      <c r="G116" s="65">
        <f>CHOOSE(Plan!$K$5,'Calc Smart'!D122,'Calc Avalanche'!D122,'Calc Snowball'!D122,'Calc Cashflow'!D122)</f>
        <v/>
      </c>
      <c r="H116" s="65">
        <f>CHOOSE(Plan!$K$5,'Calc Smart'!E122,'Calc Avalanche'!E122,'Calc Snowball'!E122,'Calc Cashflow'!E122)</f>
        <v/>
      </c>
      <c r="I116" s="65">
        <f>CHOOSE(Plan!$K$5,'Calc Smart'!F122,'Calc Avalanche'!F122,'Calc Snowball'!F122,'Calc Cashflow'!F122)</f>
        <v/>
      </c>
      <c r="J116" s="65">
        <f>CHOOSE(Plan!$K$5,'Calc Smart'!G122,'Calc Avalanche'!G122,'Calc Snowball'!G122,'Calc Cashflow'!G122)</f>
        <v/>
      </c>
      <c r="K116" s="65">
        <f>CHOOSE(Plan!$K$5,'Calc Smart'!H122,'Calc Avalanche'!H122,'Calc Snowball'!H122,'Calc Cashflow'!H122)</f>
        <v/>
      </c>
      <c r="L116" s="65">
        <f>CHOOSE(Plan!$K$5,'Calc Smart'!I122,'Calc Avalanche'!I122,'Calc Snowball'!I122,'Calc Cashflow'!I122)</f>
        <v/>
      </c>
      <c r="M116" s="65">
        <f>CHOOSE(Plan!$K$5,'Calc Smart'!J122,'Calc Avalanche'!J122,'Calc Snowball'!J122,'Calc Cashflow'!J122)</f>
        <v/>
      </c>
      <c r="N116" s="65">
        <f>CHOOSE(Plan!$K$5,'Calc Smart'!K122,'Calc Avalanche'!K122,'Calc Snowball'!K122,'Calc Cashflow'!K122)</f>
        <v/>
      </c>
      <c r="O116" s="65">
        <f>CHOOSE(Plan!$K$5,'Calc Smart'!L122,'Calc Avalanche'!L122,'Calc Snowball'!L122,'Calc Cashflow'!L122)</f>
        <v/>
      </c>
      <c r="P116" s="65">
        <f>CHOOSE(Plan!$K$5,'Calc Smart'!M122,'Calc Avalanche'!M122,'Calc Snowball'!M122,'Calc Cashflow'!M122)</f>
        <v/>
      </c>
      <c r="Q116" s="65">
        <f>CHOOSE(Plan!$K$5,'Calc Smart'!N122,'Calc Avalanche'!N122,'Calc Snowball'!N122,'Calc Cashflow'!N122)</f>
        <v/>
      </c>
    </row>
    <row r="117">
      <c r="B117" s="66">
        <f>EDATE(Plan!$C$6,111)</f>
        <v/>
      </c>
      <c r="C117" s="32">
        <f>CHOOSE(Plan!$K$5,'Calc Smart'!AE123,'Calc Avalanche'!AE123,'Calc Snowball'!AE123,'Calc Cashflow'!AE123)</f>
        <v/>
      </c>
      <c r="D117" s="32">
        <f>CHOOSE(Plan!$K$5,'Calc Smart'!AD123,'Calc Avalanche'!AD123,'Calc Snowball'!AD123,'Calc Cashflow'!AD123)</f>
        <v/>
      </c>
      <c r="E117" s="43">
        <f>CHOOSE(Plan!$K$5,COUNTIF('Calc Smart'!C123:N123,"&gt;0"),COUNTIF('Calc Avalanche'!C123:N123,"&gt;0"),COUNTIF('Calc Snowball'!C123:N123,"&gt;0"),COUNTIF('Calc Cashflow'!C123:N123,"&gt;0"))</f>
        <v/>
      </c>
      <c r="F117" s="67">
        <f>CHOOSE(Plan!$K$5,'Calc Smart'!C123,'Calc Avalanche'!C123,'Calc Snowball'!C123,'Calc Cashflow'!C123)</f>
        <v/>
      </c>
      <c r="G117" s="67">
        <f>CHOOSE(Plan!$K$5,'Calc Smart'!D123,'Calc Avalanche'!D123,'Calc Snowball'!D123,'Calc Cashflow'!D123)</f>
        <v/>
      </c>
      <c r="H117" s="67">
        <f>CHOOSE(Plan!$K$5,'Calc Smart'!E123,'Calc Avalanche'!E123,'Calc Snowball'!E123,'Calc Cashflow'!E123)</f>
        <v/>
      </c>
      <c r="I117" s="67">
        <f>CHOOSE(Plan!$K$5,'Calc Smart'!F123,'Calc Avalanche'!F123,'Calc Snowball'!F123,'Calc Cashflow'!F123)</f>
        <v/>
      </c>
      <c r="J117" s="67">
        <f>CHOOSE(Plan!$K$5,'Calc Smart'!G123,'Calc Avalanche'!G123,'Calc Snowball'!G123,'Calc Cashflow'!G123)</f>
        <v/>
      </c>
      <c r="K117" s="67">
        <f>CHOOSE(Plan!$K$5,'Calc Smart'!H123,'Calc Avalanche'!H123,'Calc Snowball'!H123,'Calc Cashflow'!H123)</f>
        <v/>
      </c>
      <c r="L117" s="67">
        <f>CHOOSE(Plan!$K$5,'Calc Smart'!I123,'Calc Avalanche'!I123,'Calc Snowball'!I123,'Calc Cashflow'!I123)</f>
        <v/>
      </c>
      <c r="M117" s="67">
        <f>CHOOSE(Plan!$K$5,'Calc Smart'!J123,'Calc Avalanche'!J123,'Calc Snowball'!J123,'Calc Cashflow'!J123)</f>
        <v/>
      </c>
      <c r="N117" s="67">
        <f>CHOOSE(Plan!$K$5,'Calc Smart'!K123,'Calc Avalanche'!K123,'Calc Snowball'!K123,'Calc Cashflow'!K123)</f>
        <v/>
      </c>
      <c r="O117" s="67">
        <f>CHOOSE(Plan!$K$5,'Calc Smart'!L123,'Calc Avalanche'!L123,'Calc Snowball'!L123,'Calc Cashflow'!L123)</f>
        <v/>
      </c>
      <c r="P117" s="67">
        <f>CHOOSE(Plan!$K$5,'Calc Smart'!M123,'Calc Avalanche'!M123,'Calc Snowball'!M123,'Calc Cashflow'!M123)</f>
        <v/>
      </c>
      <c r="Q117" s="67">
        <f>CHOOSE(Plan!$K$5,'Calc Smart'!N123,'Calc Avalanche'!N123,'Calc Snowball'!N123,'Calc Cashflow'!N123)</f>
        <v/>
      </c>
    </row>
    <row r="118">
      <c r="B118" s="64">
        <f>EDATE(Plan!$C$6,112)</f>
        <v/>
      </c>
      <c r="C118" s="31">
        <f>CHOOSE(Plan!$K$5,'Calc Smart'!AE124,'Calc Avalanche'!AE124,'Calc Snowball'!AE124,'Calc Cashflow'!AE124)</f>
        <v/>
      </c>
      <c r="D118" s="31">
        <f>CHOOSE(Plan!$K$5,'Calc Smart'!AD124,'Calc Avalanche'!AD124,'Calc Snowball'!AD124,'Calc Cashflow'!AD124)</f>
        <v/>
      </c>
      <c r="E118" s="40">
        <f>CHOOSE(Plan!$K$5,COUNTIF('Calc Smart'!C124:N124,"&gt;0"),COUNTIF('Calc Avalanche'!C124:N124,"&gt;0"),COUNTIF('Calc Snowball'!C124:N124,"&gt;0"),COUNTIF('Calc Cashflow'!C124:N124,"&gt;0"))</f>
        <v/>
      </c>
      <c r="F118" s="65">
        <f>CHOOSE(Plan!$K$5,'Calc Smart'!C124,'Calc Avalanche'!C124,'Calc Snowball'!C124,'Calc Cashflow'!C124)</f>
        <v/>
      </c>
      <c r="G118" s="65">
        <f>CHOOSE(Plan!$K$5,'Calc Smart'!D124,'Calc Avalanche'!D124,'Calc Snowball'!D124,'Calc Cashflow'!D124)</f>
        <v/>
      </c>
      <c r="H118" s="65">
        <f>CHOOSE(Plan!$K$5,'Calc Smart'!E124,'Calc Avalanche'!E124,'Calc Snowball'!E124,'Calc Cashflow'!E124)</f>
        <v/>
      </c>
      <c r="I118" s="65">
        <f>CHOOSE(Plan!$K$5,'Calc Smart'!F124,'Calc Avalanche'!F124,'Calc Snowball'!F124,'Calc Cashflow'!F124)</f>
        <v/>
      </c>
      <c r="J118" s="65">
        <f>CHOOSE(Plan!$K$5,'Calc Smart'!G124,'Calc Avalanche'!G124,'Calc Snowball'!G124,'Calc Cashflow'!G124)</f>
        <v/>
      </c>
      <c r="K118" s="65">
        <f>CHOOSE(Plan!$K$5,'Calc Smart'!H124,'Calc Avalanche'!H124,'Calc Snowball'!H124,'Calc Cashflow'!H124)</f>
        <v/>
      </c>
      <c r="L118" s="65">
        <f>CHOOSE(Plan!$K$5,'Calc Smart'!I124,'Calc Avalanche'!I124,'Calc Snowball'!I124,'Calc Cashflow'!I124)</f>
        <v/>
      </c>
      <c r="M118" s="65">
        <f>CHOOSE(Plan!$K$5,'Calc Smart'!J124,'Calc Avalanche'!J124,'Calc Snowball'!J124,'Calc Cashflow'!J124)</f>
        <v/>
      </c>
      <c r="N118" s="65">
        <f>CHOOSE(Plan!$K$5,'Calc Smart'!K124,'Calc Avalanche'!K124,'Calc Snowball'!K124,'Calc Cashflow'!K124)</f>
        <v/>
      </c>
      <c r="O118" s="65">
        <f>CHOOSE(Plan!$K$5,'Calc Smart'!L124,'Calc Avalanche'!L124,'Calc Snowball'!L124,'Calc Cashflow'!L124)</f>
        <v/>
      </c>
      <c r="P118" s="65">
        <f>CHOOSE(Plan!$K$5,'Calc Smart'!M124,'Calc Avalanche'!M124,'Calc Snowball'!M124,'Calc Cashflow'!M124)</f>
        <v/>
      </c>
      <c r="Q118" s="65">
        <f>CHOOSE(Plan!$K$5,'Calc Smart'!N124,'Calc Avalanche'!N124,'Calc Snowball'!N124,'Calc Cashflow'!N124)</f>
        <v/>
      </c>
    </row>
    <row r="119">
      <c r="B119" s="66">
        <f>EDATE(Plan!$C$6,113)</f>
        <v/>
      </c>
      <c r="C119" s="32">
        <f>CHOOSE(Plan!$K$5,'Calc Smart'!AE125,'Calc Avalanche'!AE125,'Calc Snowball'!AE125,'Calc Cashflow'!AE125)</f>
        <v/>
      </c>
      <c r="D119" s="32">
        <f>CHOOSE(Plan!$K$5,'Calc Smart'!AD125,'Calc Avalanche'!AD125,'Calc Snowball'!AD125,'Calc Cashflow'!AD125)</f>
        <v/>
      </c>
      <c r="E119" s="43">
        <f>CHOOSE(Plan!$K$5,COUNTIF('Calc Smart'!C125:N125,"&gt;0"),COUNTIF('Calc Avalanche'!C125:N125,"&gt;0"),COUNTIF('Calc Snowball'!C125:N125,"&gt;0"),COUNTIF('Calc Cashflow'!C125:N125,"&gt;0"))</f>
        <v/>
      </c>
      <c r="F119" s="67">
        <f>CHOOSE(Plan!$K$5,'Calc Smart'!C125,'Calc Avalanche'!C125,'Calc Snowball'!C125,'Calc Cashflow'!C125)</f>
        <v/>
      </c>
      <c r="G119" s="67">
        <f>CHOOSE(Plan!$K$5,'Calc Smart'!D125,'Calc Avalanche'!D125,'Calc Snowball'!D125,'Calc Cashflow'!D125)</f>
        <v/>
      </c>
      <c r="H119" s="67">
        <f>CHOOSE(Plan!$K$5,'Calc Smart'!E125,'Calc Avalanche'!E125,'Calc Snowball'!E125,'Calc Cashflow'!E125)</f>
        <v/>
      </c>
      <c r="I119" s="67">
        <f>CHOOSE(Plan!$K$5,'Calc Smart'!F125,'Calc Avalanche'!F125,'Calc Snowball'!F125,'Calc Cashflow'!F125)</f>
        <v/>
      </c>
      <c r="J119" s="67">
        <f>CHOOSE(Plan!$K$5,'Calc Smart'!G125,'Calc Avalanche'!G125,'Calc Snowball'!G125,'Calc Cashflow'!G125)</f>
        <v/>
      </c>
      <c r="K119" s="67">
        <f>CHOOSE(Plan!$K$5,'Calc Smart'!H125,'Calc Avalanche'!H125,'Calc Snowball'!H125,'Calc Cashflow'!H125)</f>
        <v/>
      </c>
      <c r="L119" s="67">
        <f>CHOOSE(Plan!$K$5,'Calc Smart'!I125,'Calc Avalanche'!I125,'Calc Snowball'!I125,'Calc Cashflow'!I125)</f>
        <v/>
      </c>
      <c r="M119" s="67">
        <f>CHOOSE(Plan!$K$5,'Calc Smart'!J125,'Calc Avalanche'!J125,'Calc Snowball'!J125,'Calc Cashflow'!J125)</f>
        <v/>
      </c>
      <c r="N119" s="67">
        <f>CHOOSE(Plan!$K$5,'Calc Smart'!K125,'Calc Avalanche'!K125,'Calc Snowball'!K125,'Calc Cashflow'!K125)</f>
        <v/>
      </c>
      <c r="O119" s="67">
        <f>CHOOSE(Plan!$K$5,'Calc Smart'!L125,'Calc Avalanche'!L125,'Calc Snowball'!L125,'Calc Cashflow'!L125)</f>
        <v/>
      </c>
      <c r="P119" s="67">
        <f>CHOOSE(Plan!$K$5,'Calc Smart'!M125,'Calc Avalanche'!M125,'Calc Snowball'!M125,'Calc Cashflow'!M125)</f>
        <v/>
      </c>
      <c r="Q119" s="67">
        <f>CHOOSE(Plan!$K$5,'Calc Smart'!N125,'Calc Avalanche'!N125,'Calc Snowball'!N125,'Calc Cashflow'!N125)</f>
        <v/>
      </c>
    </row>
    <row r="120">
      <c r="B120" s="64">
        <f>EDATE(Plan!$C$6,114)</f>
        <v/>
      </c>
      <c r="C120" s="31">
        <f>CHOOSE(Plan!$K$5,'Calc Smart'!AE126,'Calc Avalanche'!AE126,'Calc Snowball'!AE126,'Calc Cashflow'!AE126)</f>
        <v/>
      </c>
      <c r="D120" s="31">
        <f>CHOOSE(Plan!$K$5,'Calc Smart'!AD126,'Calc Avalanche'!AD126,'Calc Snowball'!AD126,'Calc Cashflow'!AD126)</f>
        <v/>
      </c>
      <c r="E120" s="40">
        <f>CHOOSE(Plan!$K$5,COUNTIF('Calc Smart'!C126:N126,"&gt;0"),COUNTIF('Calc Avalanche'!C126:N126,"&gt;0"),COUNTIF('Calc Snowball'!C126:N126,"&gt;0"),COUNTIF('Calc Cashflow'!C126:N126,"&gt;0"))</f>
        <v/>
      </c>
      <c r="F120" s="65">
        <f>CHOOSE(Plan!$K$5,'Calc Smart'!C126,'Calc Avalanche'!C126,'Calc Snowball'!C126,'Calc Cashflow'!C126)</f>
        <v/>
      </c>
      <c r="G120" s="65">
        <f>CHOOSE(Plan!$K$5,'Calc Smart'!D126,'Calc Avalanche'!D126,'Calc Snowball'!D126,'Calc Cashflow'!D126)</f>
        <v/>
      </c>
      <c r="H120" s="65">
        <f>CHOOSE(Plan!$K$5,'Calc Smart'!E126,'Calc Avalanche'!E126,'Calc Snowball'!E126,'Calc Cashflow'!E126)</f>
        <v/>
      </c>
      <c r="I120" s="65">
        <f>CHOOSE(Plan!$K$5,'Calc Smart'!F126,'Calc Avalanche'!F126,'Calc Snowball'!F126,'Calc Cashflow'!F126)</f>
        <v/>
      </c>
      <c r="J120" s="65">
        <f>CHOOSE(Plan!$K$5,'Calc Smart'!G126,'Calc Avalanche'!G126,'Calc Snowball'!G126,'Calc Cashflow'!G126)</f>
        <v/>
      </c>
      <c r="K120" s="65">
        <f>CHOOSE(Plan!$K$5,'Calc Smart'!H126,'Calc Avalanche'!H126,'Calc Snowball'!H126,'Calc Cashflow'!H126)</f>
        <v/>
      </c>
      <c r="L120" s="65">
        <f>CHOOSE(Plan!$K$5,'Calc Smart'!I126,'Calc Avalanche'!I126,'Calc Snowball'!I126,'Calc Cashflow'!I126)</f>
        <v/>
      </c>
      <c r="M120" s="65">
        <f>CHOOSE(Plan!$K$5,'Calc Smart'!J126,'Calc Avalanche'!J126,'Calc Snowball'!J126,'Calc Cashflow'!J126)</f>
        <v/>
      </c>
      <c r="N120" s="65">
        <f>CHOOSE(Plan!$K$5,'Calc Smart'!K126,'Calc Avalanche'!K126,'Calc Snowball'!K126,'Calc Cashflow'!K126)</f>
        <v/>
      </c>
      <c r="O120" s="65">
        <f>CHOOSE(Plan!$K$5,'Calc Smart'!L126,'Calc Avalanche'!L126,'Calc Snowball'!L126,'Calc Cashflow'!L126)</f>
        <v/>
      </c>
      <c r="P120" s="65">
        <f>CHOOSE(Plan!$K$5,'Calc Smart'!M126,'Calc Avalanche'!M126,'Calc Snowball'!M126,'Calc Cashflow'!M126)</f>
        <v/>
      </c>
      <c r="Q120" s="65">
        <f>CHOOSE(Plan!$K$5,'Calc Smart'!N126,'Calc Avalanche'!N126,'Calc Snowball'!N126,'Calc Cashflow'!N126)</f>
        <v/>
      </c>
    </row>
    <row r="121">
      <c r="B121" s="66">
        <f>EDATE(Plan!$C$6,115)</f>
        <v/>
      </c>
      <c r="C121" s="32">
        <f>CHOOSE(Plan!$K$5,'Calc Smart'!AE127,'Calc Avalanche'!AE127,'Calc Snowball'!AE127,'Calc Cashflow'!AE127)</f>
        <v/>
      </c>
      <c r="D121" s="32">
        <f>CHOOSE(Plan!$K$5,'Calc Smart'!AD127,'Calc Avalanche'!AD127,'Calc Snowball'!AD127,'Calc Cashflow'!AD127)</f>
        <v/>
      </c>
      <c r="E121" s="43">
        <f>CHOOSE(Plan!$K$5,COUNTIF('Calc Smart'!C127:N127,"&gt;0"),COUNTIF('Calc Avalanche'!C127:N127,"&gt;0"),COUNTIF('Calc Snowball'!C127:N127,"&gt;0"),COUNTIF('Calc Cashflow'!C127:N127,"&gt;0"))</f>
        <v/>
      </c>
      <c r="F121" s="67">
        <f>CHOOSE(Plan!$K$5,'Calc Smart'!C127,'Calc Avalanche'!C127,'Calc Snowball'!C127,'Calc Cashflow'!C127)</f>
        <v/>
      </c>
      <c r="G121" s="67">
        <f>CHOOSE(Plan!$K$5,'Calc Smart'!D127,'Calc Avalanche'!D127,'Calc Snowball'!D127,'Calc Cashflow'!D127)</f>
        <v/>
      </c>
      <c r="H121" s="67">
        <f>CHOOSE(Plan!$K$5,'Calc Smart'!E127,'Calc Avalanche'!E127,'Calc Snowball'!E127,'Calc Cashflow'!E127)</f>
        <v/>
      </c>
      <c r="I121" s="67">
        <f>CHOOSE(Plan!$K$5,'Calc Smart'!F127,'Calc Avalanche'!F127,'Calc Snowball'!F127,'Calc Cashflow'!F127)</f>
        <v/>
      </c>
      <c r="J121" s="67">
        <f>CHOOSE(Plan!$K$5,'Calc Smart'!G127,'Calc Avalanche'!G127,'Calc Snowball'!G127,'Calc Cashflow'!G127)</f>
        <v/>
      </c>
      <c r="K121" s="67">
        <f>CHOOSE(Plan!$K$5,'Calc Smart'!H127,'Calc Avalanche'!H127,'Calc Snowball'!H127,'Calc Cashflow'!H127)</f>
        <v/>
      </c>
      <c r="L121" s="67">
        <f>CHOOSE(Plan!$K$5,'Calc Smart'!I127,'Calc Avalanche'!I127,'Calc Snowball'!I127,'Calc Cashflow'!I127)</f>
        <v/>
      </c>
      <c r="M121" s="67">
        <f>CHOOSE(Plan!$K$5,'Calc Smart'!J127,'Calc Avalanche'!J127,'Calc Snowball'!J127,'Calc Cashflow'!J127)</f>
        <v/>
      </c>
      <c r="N121" s="67">
        <f>CHOOSE(Plan!$K$5,'Calc Smart'!K127,'Calc Avalanche'!K127,'Calc Snowball'!K127,'Calc Cashflow'!K127)</f>
        <v/>
      </c>
      <c r="O121" s="67">
        <f>CHOOSE(Plan!$K$5,'Calc Smart'!L127,'Calc Avalanche'!L127,'Calc Snowball'!L127,'Calc Cashflow'!L127)</f>
        <v/>
      </c>
      <c r="P121" s="67">
        <f>CHOOSE(Plan!$K$5,'Calc Smart'!M127,'Calc Avalanche'!M127,'Calc Snowball'!M127,'Calc Cashflow'!M127)</f>
        <v/>
      </c>
      <c r="Q121" s="67">
        <f>CHOOSE(Plan!$K$5,'Calc Smart'!N127,'Calc Avalanche'!N127,'Calc Snowball'!N127,'Calc Cashflow'!N127)</f>
        <v/>
      </c>
    </row>
    <row r="122">
      <c r="B122" s="64">
        <f>EDATE(Plan!$C$6,116)</f>
        <v/>
      </c>
      <c r="C122" s="31">
        <f>CHOOSE(Plan!$K$5,'Calc Smart'!AE128,'Calc Avalanche'!AE128,'Calc Snowball'!AE128,'Calc Cashflow'!AE128)</f>
        <v/>
      </c>
      <c r="D122" s="31">
        <f>CHOOSE(Plan!$K$5,'Calc Smart'!AD128,'Calc Avalanche'!AD128,'Calc Snowball'!AD128,'Calc Cashflow'!AD128)</f>
        <v/>
      </c>
      <c r="E122" s="40">
        <f>CHOOSE(Plan!$K$5,COUNTIF('Calc Smart'!C128:N128,"&gt;0"),COUNTIF('Calc Avalanche'!C128:N128,"&gt;0"),COUNTIF('Calc Snowball'!C128:N128,"&gt;0"),COUNTIF('Calc Cashflow'!C128:N128,"&gt;0"))</f>
        <v/>
      </c>
      <c r="F122" s="65">
        <f>CHOOSE(Plan!$K$5,'Calc Smart'!C128,'Calc Avalanche'!C128,'Calc Snowball'!C128,'Calc Cashflow'!C128)</f>
        <v/>
      </c>
      <c r="G122" s="65">
        <f>CHOOSE(Plan!$K$5,'Calc Smart'!D128,'Calc Avalanche'!D128,'Calc Snowball'!D128,'Calc Cashflow'!D128)</f>
        <v/>
      </c>
      <c r="H122" s="65">
        <f>CHOOSE(Plan!$K$5,'Calc Smart'!E128,'Calc Avalanche'!E128,'Calc Snowball'!E128,'Calc Cashflow'!E128)</f>
        <v/>
      </c>
      <c r="I122" s="65">
        <f>CHOOSE(Plan!$K$5,'Calc Smart'!F128,'Calc Avalanche'!F128,'Calc Snowball'!F128,'Calc Cashflow'!F128)</f>
        <v/>
      </c>
      <c r="J122" s="65">
        <f>CHOOSE(Plan!$K$5,'Calc Smart'!G128,'Calc Avalanche'!G128,'Calc Snowball'!G128,'Calc Cashflow'!G128)</f>
        <v/>
      </c>
      <c r="K122" s="65">
        <f>CHOOSE(Plan!$K$5,'Calc Smart'!H128,'Calc Avalanche'!H128,'Calc Snowball'!H128,'Calc Cashflow'!H128)</f>
        <v/>
      </c>
      <c r="L122" s="65">
        <f>CHOOSE(Plan!$K$5,'Calc Smart'!I128,'Calc Avalanche'!I128,'Calc Snowball'!I128,'Calc Cashflow'!I128)</f>
        <v/>
      </c>
      <c r="M122" s="65">
        <f>CHOOSE(Plan!$K$5,'Calc Smart'!J128,'Calc Avalanche'!J128,'Calc Snowball'!J128,'Calc Cashflow'!J128)</f>
        <v/>
      </c>
      <c r="N122" s="65">
        <f>CHOOSE(Plan!$K$5,'Calc Smart'!K128,'Calc Avalanche'!K128,'Calc Snowball'!K128,'Calc Cashflow'!K128)</f>
        <v/>
      </c>
      <c r="O122" s="65">
        <f>CHOOSE(Plan!$K$5,'Calc Smart'!L128,'Calc Avalanche'!L128,'Calc Snowball'!L128,'Calc Cashflow'!L128)</f>
        <v/>
      </c>
      <c r="P122" s="65">
        <f>CHOOSE(Plan!$K$5,'Calc Smart'!M128,'Calc Avalanche'!M128,'Calc Snowball'!M128,'Calc Cashflow'!M128)</f>
        <v/>
      </c>
      <c r="Q122" s="65">
        <f>CHOOSE(Plan!$K$5,'Calc Smart'!N128,'Calc Avalanche'!N128,'Calc Snowball'!N128,'Calc Cashflow'!N128)</f>
        <v/>
      </c>
    </row>
    <row r="123">
      <c r="B123" s="66">
        <f>EDATE(Plan!$C$6,117)</f>
        <v/>
      </c>
      <c r="C123" s="32">
        <f>CHOOSE(Plan!$K$5,'Calc Smart'!AE129,'Calc Avalanche'!AE129,'Calc Snowball'!AE129,'Calc Cashflow'!AE129)</f>
        <v/>
      </c>
      <c r="D123" s="32">
        <f>CHOOSE(Plan!$K$5,'Calc Smart'!AD129,'Calc Avalanche'!AD129,'Calc Snowball'!AD129,'Calc Cashflow'!AD129)</f>
        <v/>
      </c>
      <c r="E123" s="43">
        <f>CHOOSE(Plan!$K$5,COUNTIF('Calc Smart'!C129:N129,"&gt;0"),COUNTIF('Calc Avalanche'!C129:N129,"&gt;0"),COUNTIF('Calc Snowball'!C129:N129,"&gt;0"),COUNTIF('Calc Cashflow'!C129:N129,"&gt;0"))</f>
        <v/>
      </c>
      <c r="F123" s="67">
        <f>CHOOSE(Plan!$K$5,'Calc Smart'!C129,'Calc Avalanche'!C129,'Calc Snowball'!C129,'Calc Cashflow'!C129)</f>
        <v/>
      </c>
      <c r="G123" s="67">
        <f>CHOOSE(Plan!$K$5,'Calc Smart'!D129,'Calc Avalanche'!D129,'Calc Snowball'!D129,'Calc Cashflow'!D129)</f>
        <v/>
      </c>
      <c r="H123" s="67">
        <f>CHOOSE(Plan!$K$5,'Calc Smart'!E129,'Calc Avalanche'!E129,'Calc Snowball'!E129,'Calc Cashflow'!E129)</f>
        <v/>
      </c>
      <c r="I123" s="67">
        <f>CHOOSE(Plan!$K$5,'Calc Smart'!F129,'Calc Avalanche'!F129,'Calc Snowball'!F129,'Calc Cashflow'!F129)</f>
        <v/>
      </c>
      <c r="J123" s="67">
        <f>CHOOSE(Plan!$K$5,'Calc Smart'!G129,'Calc Avalanche'!G129,'Calc Snowball'!G129,'Calc Cashflow'!G129)</f>
        <v/>
      </c>
      <c r="K123" s="67">
        <f>CHOOSE(Plan!$K$5,'Calc Smart'!H129,'Calc Avalanche'!H129,'Calc Snowball'!H129,'Calc Cashflow'!H129)</f>
        <v/>
      </c>
      <c r="L123" s="67">
        <f>CHOOSE(Plan!$K$5,'Calc Smart'!I129,'Calc Avalanche'!I129,'Calc Snowball'!I129,'Calc Cashflow'!I129)</f>
        <v/>
      </c>
      <c r="M123" s="67">
        <f>CHOOSE(Plan!$K$5,'Calc Smart'!J129,'Calc Avalanche'!J129,'Calc Snowball'!J129,'Calc Cashflow'!J129)</f>
        <v/>
      </c>
      <c r="N123" s="67">
        <f>CHOOSE(Plan!$K$5,'Calc Smart'!K129,'Calc Avalanche'!K129,'Calc Snowball'!K129,'Calc Cashflow'!K129)</f>
        <v/>
      </c>
      <c r="O123" s="67">
        <f>CHOOSE(Plan!$K$5,'Calc Smart'!L129,'Calc Avalanche'!L129,'Calc Snowball'!L129,'Calc Cashflow'!L129)</f>
        <v/>
      </c>
      <c r="P123" s="67">
        <f>CHOOSE(Plan!$K$5,'Calc Smart'!M129,'Calc Avalanche'!M129,'Calc Snowball'!M129,'Calc Cashflow'!M129)</f>
        <v/>
      </c>
      <c r="Q123" s="67">
        <f>CHOOSE(Plan!$K$5,'Calc Smart'!N129,'Calc Avalanche'!N129,'Calc Snowball'!N129,'Calc Cashflow'!N129)</f>
        <v/>
      </c>
    </row>
    <row r="124">
      <c r="B124" s="64">
        <f>EDATE(Plan!$C$6,118)</f>
        <v/>
      </c>
      <c r="C124" s="31">
        <f>CHOOSE(Plan!$K$5,'Calc Smart'!AE130,'Calc Avalanche'!AE130,'Calc Snowball'!AE130,'Calc Cashflow'!AE130)</f>
        <v/>
      </c>
      <c r="D124" s="31">
        <f>CHOOSE(Plan!$K$5,'Calc Smart'!AD130,'Calc Avalanche'!AD130,'Calc Snowball'!AD130,'Calc Cashflow'!AD130)</f>
        <v/>
      </c>
      <c r="E124" s="40">
        <f>CHOOSE(Plan!$K$5,COUNTIF('Calc Smart'!C130:N130,"&gt;0"),COUNTIF('Calc Avalanche'!C130:N130,"&gt;0"),COUNTIF('Calc Snowball'!C130:N130,"&gt;0"),COUNTIF('Calc Cashflow'!C130:N130,"&gt;0"))</f>
        <v/>
      </c>
      <c r="F124" s="65">
        <f>CHOOSE(Plan!$K$5,'Calc Smart'!C130,'Calc Avalanche'!C130,'Calc Snowball'!C130,'Calc Cashflow'!C130)</f>
        <v/>
      </c>
      <c r="G124" s="65">
        <f>CHOOSE(Plan!$K$5,'Calc Smart'!D130,'Calc Avalanche'!D130,'Calc Snowball'!D130,'Calc Cashflow'!D130)</f>
        <v/>
      </c>
      <c r="H124" s="65">
        <f>CHOOSE(Plan!$K$5,'Calc Smart'!E130,'Calc Avalanche'!E130,'Calc Snowball'!E130,'Calc Cashflow'!E130)</f>
        <v/>
      </c>
      <c r="I124" s="65">
        <f>CHOOSE(Plan!$K$5,'Calc Smart'!F130,'Calc Avalanche'!F130,'Calc Snowball'!F130,'Calc Cashflow'!F130)</f>
        <v/>
      </c>
      <c r="J124" s="65">
        <f>CHOOSE(Plan!$K$5,'Calc Smart'!G130,'Calc Avalanche'!G130,'Calc Snowball'!G130,'Calc Cashflow'!G130)</f>
        <v/>
      </c>
      <c r="K124" s="65">
        <f>CHOOSE(Plan!$K$5,'Calc Smart'!H130,'Calc Avalanche'!H130,'Calc Snowball'!H130,'Calc Cashflow'!H130)</f>
        <v/>
      </c>
      <c r="L124" s="65">
        <f>CHOOSE(Plan!$K$5,'Calc Smart'!I130,'Calc Avalanche'!I130,'Calc Snowball'!I130,'Calc Cashflow'!I130)</f>
        <v/>
      </c>
      <c r="M124" s="65">
        <f>CHOOSE(Plan!$K$5,'Calc Smart'!J130,'Calc Avalanche'!J130,'Calc Snowball'!J130,'Calc Cashflow'!J130)</f>
        <v/>
      </c>
      <c r="N124" s="65">
        <f>CHOOSE(Plan!$K$5,'Calc Smart'!K130,'Calc Avalanche'!K130,'Calc Snowball'!K130,'Calc Cashflow'!K130)</f>
        <v/>
      </c>
      <c r="O124" s="65">
        <f>CHOOSE(Plan!$K$5,'Calc Smart'!L130,'Calc Avalanche'!L130,'Calc Snowball'!L130,'Calc Cashflow'!L130)</f>
        <v/>
      </c>
      <c r="P124" s="65">
        <f>CHOOSE(Plan!$K$5,'Calc Smart'!M130,'Calc Avalanche'!M130,'Calc Snowball'!M130,'Calc Cashflow'!M130)</f>
        <v/>
      </c>
      <c r="Q124" s="65">
        <f>CHOOSE(Plan!$K$5,'Calc Smart'!N130,'Calc Avalanche'!N130,'Calc Snowball'!N130,'Calc Cashflow'!N130)</f>
        <v/>
      </c>
    </row>
    <row r="125">
      <c r="B125" s="66">
        <f>EDATE(Plan!$C$6,119)</f>
        <v/>
      </c>
      <c r="C125" s="32">
        <f>CHOOSE(Plan!$K$5,'Calc Smart'!AE131,'Calc Avalanche'!AE131,'Calc Snowball'!AE131,'Calc Cashflow'!AE131)</f>
        <v/>
      </c>
      <c r="D125" s="32">
        <f>CHOOSE(Plan!$K$5,'Calc Smart'!AD131,'Calc Avalanche'!AD131,'Calc Snowball'!AD131,'Calc Cashflow'!AD131)</f>
        <v/>
      </c>
      <c r="E125" s="43">
        <f>CHOOSE(Plan!$K$5,COUNTIF('Calc Smart'!C131:N131,"&gt;0"),COUNTIF('Calc Avalanche'!C131:N131,"&gt;0"),COUNTIF('Calc Snowball'!C131:N131,"&gt;0"),COUNTIF('Calc Cashflow'!C131:N131,"&gt;0"))</f>
        <v/>
      </c>
      <c r="F125" s="67">
        <f>CHOOSE(Plan!$K$5,'Calc Smart'!C131,'Calc Avalanche'!C131,'Calc Snowball'!C131,'Calc Cashflow'!C131)</f>
        <v/>
      </c>
      <c r="G125" s="67">
        <f>CHOOSE(Plan!$K$5,'Calc Smart'!D131,'Calc Avalanche'!D131,'Calc Snowball'!D131,'Calc Cashflow'!D131)</f>
        <v/>
      </c>
      <c r="H125" s="67">
        <f>CHOOSE(Plan!$K$5,'Calc Smart'!E131,'Calc Avalanche'!E131,'Calc Snowball'!E131,'Calc Cashflow'!E131)</f>
        <v/>
      </c>
      <c r="I125" s="67">
        <f>CHOOSE(Plan!$K$5,'Calc Smart'!F131,'Calc Avalanche'!F131,'Calc Snowball'!F131,'Calc Cashflow'!F131)</f>
        <v/>
      </c>
      <c r="J125" s="67">
        <f>CHOOSE(Plan!$K$5,'Calc Smart'!G131,'Calc Avalanche'!G131,'Calc Snowball'!G131,'Calc Cashflow'!G131)</f>
        <v/>
      </c>
      <c r="K125" s="67">
        <f>CHOOSE(Plan!$K$5,'Calc Smart'!H131,'Calc Avalanche'!H131,'Calc Snowball'!H131,'Calc Cashflow'!H131)</f>
        <v/>
      </c>
      <c r="L125" s="67">
        <f>CHOOSE(Plan!$K$5,'Calc Smart'!I131,'Calc Avalanche'!I131,'Calc Snowball'!I131,'Calc Cashflow'!I131)</f>
        <v/>
      </c>
      <c r="M125" s="67">
        <f>CHOOSE(Plan!$K$5,'Calc Smart'!J131,'Calc Avalanche'!J131,'Calc Snowball'!J131,'Calc Cashflow'!J131)</f>
        <v/>
      </c>
      <c r="N125" s="67">
        <f>CHOOSE(Plan!$K$5,'Calc Smart'!K131,'Calc Avalanche'!K131,'Calc Snowball'!K131,'Calc Cashflow'!K131)</f>
        <v/>
      </c>
      <c r="O125" s="67">
        <f>CHOOSE(Plan!$K$5,'Calc Smart'!L131,'Calc Avalanche'!L131,'Calc Snowball'!L131,'Calc Cashflow'!L131)</f>
        <v/>
      </c>
      <c r="P125" s="67">
        <f>CHOOSE(Plan!$K$5,'Calc Smart'!M131,'Calc Avalanche'!M131,'Calc Snowball'!M131,'Calc Cashflow'!M131)</f>
        <v/>
      </c>
      <c r="Q125" s="67">
        <f>CHOOSE(Plan!$K$5,'Calc Smart'!N131,'Calc Avalanche'!N131,'Calc Snowball'!N131,'Calc Cashflow'!N131)</f>
        <v/>
      </c>
    </row>
    <row r="126">
      <c r="B126" s="64">
        <f>EDATE(Plan!$C$6,120)</f>
        <v/>
      </c>
      <c r="C126" s="31">
        <f>CHOOSE(Plan!$K$5,'Calc Smart'!AE132,'Calc Avalanche'!AE132,'Calc Snowball'!AE132,'Calc Cashflow'!AE132)</f>
        <v/>
      </c>
      <c r="D126" s="31">
        <f>CHOOSE(Plan!$K$5,'Calc Smart'!AD132,'Calc Avalanche'!AD132,'Calc Snowball'!AD132,'Calc Cashflow'!AD132)</f>
        <v/>
      </c>
      <c r="E126" s="40">
        <f>CHOOSE(Plan!$K$5,COUNTIF('Calc Smart'!C132:N132,"&gt;0"),COUNTIF('Calc Avalanche'!C132:N132,"&gt;0"),COUNTIF('Calc Snowball'!C132:N132,"&gt;0"),COUNTIF('Calc Cashflow'!C132:N132,"&gt;0"))</f>
        <v/>
      </c>
      <c r="F126" s="65">
        <f>CHOOSE(Plan!$K$5,'Calc Smart'!C132,'Calc Avalanche'!C132,'Calc Snowball'!C132,'Calc Cashflow'!C132)</f>
        <v/>
      </c>
      <c r="G126" s="65">
        <f>CHOOSE(Plan!$K$5,'Calc Smart'!D132,'Calc Avalanche'!D132,'Calc Snowball'!D132,'Calc Cashflow'!D132)</f>
        <v/>
      </c>
      <c r="H126" s="65">
        <f>CHOOSE(Plan!$K$5,'Calc Smart'!E132,'Calc Avalanche'!E132,'Calc Snowball'!E132,'Calc Cashflow'!E132)</f>
        <v/>
      </c>
      <c r="I126" s="65">
        <f>CHOOSE(Plan!$K$5,'Calc Smart'!F132,'Calc Avalanche'!F132,'Calc Snowball'!F132,'Calc Cashflow'!F132)</f>
        <v/>
      </c>
      <c r="J126" s="65">
        <f>CHOOSE(Plan!$K$5,'Calc Smart'!G132,'Calc Avalanche'!G132,'Calc Snowball'!G132,'Calc Cashflow'!G132)</f>
        <v/>
      </c>
      <c r="K126" s="65">
        <f>CHOOSE(Plan!$K$5,'Calc Smart'!H132,'Calc Avalanche'!H132,'Calc Snowball'!H132,'Calc Cashflow'!H132)</f>
        <v/>
      </c>
      <c r="L126" s="65">
        <f>CHOOSE(Plan!$K$5,'Calc Smart'!I132,'Calc Avalanche'!I132,'Calc Snowball'!I132,'Calc Cashflow'!I132)</f>
        <v/>
      </c>
      <c r="M126" s="65">
        <f>CHOOSE(Plan!$K$5,'Calc Smart'!J132,'Calc Avalanche'!J132,'Calc Snowball'!J132,'Calc Cashflow'!J132)</f>
        <v/>
      </c>
      <c r="N126" s="65">
        <f>CHOOSE(Plan!$K$5,'Calc Smart'!K132,'Calc Avalanche'!K132,'Calc Snowball'!K132,'Calc Cashflow'!K132)</f>
        <v/>
      </c>
      <c r="O126" s="65">
        <f>CHOOSE(Plan!$K$5,'Calc Smart'!L132,'Calc Avalanche'!L132,'Calc Snowball'!L132,'Calc Cashflow'!L132)</f>
        <v/>
      </c>
      <c r="P126" s="65">
        <f>CHOOSE(Plan!$K$5,'Calc Smart'!M132,'Calc Avalanche'!M132,'Calc Snowball'!M132,'Calc Cashflow'!M132)</f>
        <v/>
      </c>
      <c r="Q126" s="65">
        <f>CHOOSE(Plan!$K$5,'Calc Smart'!N132,'Calc Avalanche'!N132,'Calc Snowball'!N132,'Calc Cashflow'!N132)</f>
        <v/>
      </c>
    </row>
    <row r="127">
      <c r="B127" s="66">
        <f>EDATE(Plan!$C$6,121)</f>
        <v/>
      </c>
      <c r="C127" s="32">
        <f>CHOOSE(Plan!$K$5,'Calc Smart'!AE133,'Calc Avalanche'!AE133,'Calc Snowball'!AE133,'Calc Cashflow'!AE133)</f>
        <v/>
      </c>
      <c r="D127" s="32">
        <f>CHOOSE(Plan!$K$5,'Calc Smart'!AD133,'Calc Avalanche'!AD133,'Calc Snowball'!AD133,'Calc Cashflow'!AD133)</f>
        <v/>
      </c>
      <c r="E127" s="43">
        <f>CHOOSE(Plan!$K$5,COUNTIF('Calc Smart'!C133:N133,"&gt;0"),COUNTIF('Calc Avalanche'!C133:N133,"&gt;0"),COUNTIF('Calc Snowball'!C133:N133,"&gt;0"),COUNTIF('Calc Cashflow'!C133:N133,"&gt;0"))</f>
        <v/>
      </c>
      <c r="F127" s="67">
        <f>CHOOSE(Plan!$K$5,'Calc Smart'!C133,'Calc Avalanche'!C133,'Calc Snowball'!C133,'Calc Cashflow'!C133)</f>
        <v/>
      </c>
      <c r="G127" s="67">
        <f>CHOOSE(Plan!$K$5,'Calc Smart'!D133,'Calc Avalanche'!D133,'Calc Snowball'!D133,'Calc Cashflow'!D133)</f>
        <v/>
      </c>
      <c r="H127" s="67">
        <f>CHOOSE(Plan!$K$5,'Calc Smart'!E133,'Calc Avalanche'!E133,'Calc Snowball'!E133,'Calc Cashflow'!E133)</f>
        <v/>
      </c>
      <c r="I127" s="67">
        <f>CHOOSE(Plan!$K$5,'Calc Smart'!F133,'Calc Avalanche'!F133,'Calc Snowball'!F133,'Calc Cashflow'!F133)</f>
        <v/>
      </c>
      <c r="J127" s="67">
        <f>CHOOSE(Plan!$K$5,'Calc Smart'!G133,'Calc Avalanche'!G133,'Calc Snowball'!G133,'Calc Cashflow'!G133)</f>
        <v/>
      </c>
      <c r="K127" s="67">
        <f>CHOOSE(Plan!$K$5,'Calc Smart'!H133,'Calc Avalanche'!H133,'Calc Snowball'!H133,'Calc Cashflow'!H133)</f>
        <v/>
      </c>
      <c r="L127" s="67">
        <f>CHOOSE(Plan!$K$5,'Calc Smart'!I133,'Calc Avalanche'!I133,'Calc Snowball'!I133,'Calc Cashflow'!I133)</f>
        <v/>
      </c>
      <c r="M127" s="67">
        <f>CHOOSE(Plan!$K$5,'Calc Smart'!J133,'Calc Avalanche'!J133,'Calc Snowball'!J133,'Calc Cashflow'!J133)</f>
        <v/>
      </c>
      <c r="N127" s="67">
        <f>CHOOSE(Plan!$K$5,'Calc Smart'!K133,'Calc Avalanche'!K133,'Calc Snowball'!K133,'Calc Cashflow'!K133)</f>
        <v/>
      </c>
      <c r="O127" s="67">
        <f>CHOOSE(Plan!$K$5,'Calc Smart'!L133,'Calc Avalanche'!L133,'Calc Snowball'!L133,'Calc Cashflow'!L133)</f>
        <v/>
      </c>
      <c r="P127" s="67">
        <f>CHOOSE(Plan!$K$5,'Calc Smart'!M133,'Calc Avalanche'!M133,'Calc Snowball'!M133,'Calc Cashflow'!M133)</f>
        <v/>
      </c>
      <c r="Q127" s="67">
        <f>CHOOSE(Plan!$K$5,'Calc Smart'!N133,'Calc Avalanche'!N133,'Calc Snowball'!N133,'Calc Cashflow'!N133)</f>
        <v/>
      </c>
    </row>
    <row r="128">
      <c r="B128" s="64">
        <f>EDATE(Plan!$C$6,122)</f>
        <v/>
      </c>
      <c r="C128" s="31">
        <f>CHOOSE(Plan!$K$5,'Calc Smart'!AE134,'Calc Avalanche'!AE134,'Calc Snowball'!AE134,'Calc Cashflow'!AE134)</f>
        <v/>
      </c>
      <c r="D128" s="31">
        <f>CHOOSE(Plan!$K$5,'Calc Smart'!AD134,'Calc Avalanche'!AD134,'Calc Snowball'!AD134,'Calc Cashflow'!AD134)</f>
        <v/>
      </c>
      <c r="E128" s="40">
        <f>CHOOSE(Plan!$K$5,COUNTIF('Calc Smart'!C134:N134,"&gt;0"),COUNTIF('Calc Avalanche'!C134:N134,"&gt;0"),COUNTIF('Calc Snowball'!C134:N134,"&gt;0"),COUNTIF('Calc Cashflow'!C134:N134,"&gt;0"))</f>
        <v/>
      </c>
      <c r="F128" s="65">
        <f>CHOOSE(Plan!$K$5,'Calc Smart'!C134,'Calc Avalanche'!C134,'Calc Snowball'!C134,'Calc Cashflow'!C134)</f>
        <v/>
      </c>
      <c r="G128" s="65">
        <f>CHOOSE(Plan!$K$5,'Calc Smart'!D134,'Calc Avalanche'!D134,'Calc Snowball'!D134,'Calc Cashflow'!D134)</f>
        <v/>
      </c>
      <c r="H128" s="65">
        <f>CHOOSE(Plan!$K$5,'Calc Smart'!E134,'Calc Avalanche'!E134,'Calc Snowball'!E134,'Calc Cashflow'!E134)</f>
        <v/>
      </c>
      <c r="I128" s="65">
        <f>CHOOSE(Plan!$K$5,'Calc Smart'!F134,'Calc Avalanche'!F134,'Calc Snowball'!F134,'Calc Cashflow'!F134)</f>
        <v/>
      </c>
      <c r="J128" s="65">
        <f>CHOOSE(Plan!$K$5,'Calc Smart'!G134,'Calc Avalanche'!G134,'Calc Snowball'!G134,'Calc Cashflow'!G134)</f>
        <v/>
      </c>
      <c r="K128" s="65">
        <f>CHOOSE(Plan!$K$5,'Calc Smart'!H134,'Calc Avalanche'!H134,'Calc Snowball'!H134,'Calc Cashflow'!H134)</f>
        <v/>
      </c>
      <c r="L128" s="65">
        <f>CHOOSE(Plan!$K$5,'Calc Smart'!I134,'Calc Avalanche'!I134,'Calc Snowball'!I134,'Calc Cashflow'!I134)</f>
        <v/>
      </c>
      <c r="M128" s="65">
        <f>CHOOSE(Plan!$K$5,'Calc Smart'!J134,'Calc Avalanche'!J134,'Calc Snowball'!J134,'Calc Cashflow'!J134)</f>
        <v/>
      </c>
      <c r="N128" s="65">
        <f>CHOOSE(Plan!$K$5,'Calc Smart'!K134,'Calc Avalanche'!K134,'Calc Snowball'!K134,'Calc Cashflow'!K134)</f>
        <v/>
      </c>
      <c r="O128" s="65">
        <f>CHOOSE(Plan!$K$5,'Calc Smart'!L134,'Calc Avalanche'!L134,'Calc Snowball'!L134,'Calc Cashflow'!L134)</f>
        <v/>
      </c>
      <c r="P128" s="65">
        <f>CHOOSE(Plan!$K$5,'Calc Smart'!M134,'Calc Avalanche'!M134,'Calc Snowball'!M134,'Calc Cashflow'!M134)</f>
        <v/>
      </c>
      <c r="Q128" s="65">
        <f>CHOOSE(Plan!$K$5,'Calc Smart'!N134,'Calc Avalanche'!N134,'Calc Snowball'!N134,'Calc Cashflow'!N134)</f>
        <v/>
      </c>
    </row>
    <row r="129">
      <c r="B129" s="66">
        <f>EDATE(Plan!$C$6,123)</f>
        <v/>
      </c>
      <c r="C129" s="32">
        <f>CHOOSE(Plan!$K$5,'Calc Smart'!AE135,'Calc Avalanche'!AE135,'Calc Snowball'!AE135,'Calc Cashflow'!AE135)</f>
        <v/>
      </c>
      <c r="D129" s="32">
        <f>CHOOSE(Plan!$K$5,'Calc Smart'!AD135,'Calc Avalanche'!AD135,'Calc Snowball'!AD135,'Calc Cashflow'!AD135)</f>
        <v/>
      </c>
      <c r="E129" s="43">
        <f>CHOOSE(Plan!$K$5,COUNTIF('Calc Smart'!C135:N135,"&gt;0"),COUNTIF('Calc Avalanche'!C135:N135,"&gt;0"),COUNTIF('Calc Snowball'!C135:N135,"&gt;0"),COUNTIF('Calc Cashflow'!C135:N135,"&gt;0"))</f>
        <v/>
      </c>
      <c r="F129" s="67">
        <f>CHOOSE(Plan!$K$5,'Calc Smart'!C135,'Calc Avalanche'!C135,'Calc Snowball'!C135,'Calc Cashflow'!C135)</f>
        <v/>
      </c>
      <c r="G129" s="67">
        <f>CHOOSE(Plan!$K$5,'Calc Smart'!D135,'Calc Avalanche'!D135,'Calc Snowball'!D135,'Calc Cashflow'!D135)</f>
        <v/>
      </c>
      <c r="H129" s="67">
        <f>CHOOSE(Plan!$K$5,'Calc Smart'!E135,'Calc Avalanche'!E135,'Calc Snowball'!E135,'Calc Cashflow'!E135)</f>
        <v/>
      </c>
      <c r="I129" s="67">
        <f>CHOOSE(Plan!$K$5,'Calc Smart'!F135,'Calc Avalanche'!F135,'Calc Snowball'!F135,'Calc Cashflow'!F135)</f>
        <v/>
      </c>
      <c r="J129" s="67">
        <f>CHOOSE(Plan!$K$5,'Calc Smart'!G135,'Calc Avalanche'!G135,'Calc Snowball'!G135,'Calc Cashflow'!G135)</f>
        <v/>
      </c>
      <c r="K129" s="67">
        <f>CHOOSE(Plan!$K$5,'Calc Smart'!H135,'Calc Avalanche'!H135,'Calc Snowball'!H135,'Calc Cashflow'!H135)</f>
        <v/>
      </c>
      <c r="L129" s="67">
        <f>CHOOSE(Plan!$K$5,'Calc Smart'!I135,'Calc Avalanche'!I135,'Calc Snowball'!I135,'Calc Cashflow'!I135)</f>
        <v/>
      </c>
      <c r="M129" s="67">
        <f>CHOOSE(Plan!$K$5,'Calc Smart'!J135,'Calc Avalanche'!J135,'Calc Snowball'!J135,'Calc Cashflow'!J135)</f>
        <v/>
      </c>
      <c r="N129" s="67">
        <f>CHOOSE(Plan!$K$5,'Calc Smart'!K135,'Calc Avalanche'!K135,'Calc Snowball'!K135,'Calc Cashflow'!K135)</f>
        <v/>
      </c>
      <c r="O129" s="67">
        <f>CHOOSE(Plan!$K$5,'Calc Smart'!L135,'Calc Avalanche'!L135,'Calc Snowball'!L135,'Calc Cashflow'!L135)</f>
        <v/>
      </c>
      <c r="P129" s="67">
        <f>CHOOSE(Plan!$K$5,'Calc Smart'!M135,'Calc Avalanche'!M135,'Calc Snowball'!M135,'Calc Cashflow'!M135)</f>
        <v/>
      </c>
      <c r="Q129" s="67">
        <f>CHOOSE(Plan!$K$5,'Calc Smart'!N135,'Calc Avalanche'!N135,'Calc Snowball'!N135,'Calc Cashflow'!N135)</f>
        <v/>
      </c>
    </row>
    <row r="130">
      <c r="B130" s="64">
        <f>EDATE(Plan!$C$6,124)</f>
        <v/>
      </c>
      <c r="C130" s="31">
        <f>CHOOSE(Plan!$K$5,'Calc Smart'!AE136,'Calc Avalanche'!AE136,'Calc Snowball'!AE136,'Calc Cashflow'!AE136)</f>
        <v/>
      </c>
      <c r="D130" s="31">
        <f>CHOOSE(Plan!$K$5,'Calc Smart'!AD136,'Calc Avalanche'!AD136,'Calc Snowball'!AD136,'Calc Cashflow'!AD136)</f>
        <v/>
      </c>
      <c r="E130" s="40">
        <f>CHOOSE(Plan!$K$5,COUNTIF('Calc Smart'!C136:N136,"&gt;0"),COUNTIF('Calc Avalanche'!C136:N136,"&gt;0"),COUNTIF('Calc Snowball'!C136:N136,"&gt;0"),COUNTIF('Calc Cashflow'!C136:N136,"&gt;0"))</f>
        <v/>
      </c>
      <c r="F130" s="65">
        <f>CHOOSE(Plan!$K$5,'Calc Smart'!C136,'Calc Avalanche'!C136,'Calc Snowball'!C136,'Calc Cashflow'!C136)</f>
        <v/>
      </c>
      <c r="G130" s="65">
        <f>CHOOSE(Plan!$K$5,'Calc Smart'!D136,'Calc Avalanche'!D136,'Calc Snowball'!D136,'Calc Cashflow'!D136)</f>
        <v/>
      </c>
      <c r="H130" s="65">
        <f>CHOOSE(Plan!$K$5,'Calc Smart'!E136,'Calc Avalanche'!E136,'Calc Snowball'!E136,'Calc Cashflow'!E136)</f>
        <v/>
      </c>
      <c r="I130" s="65">
        <f>CHOOSE(Plan!$K$5,'Calc Smart'!F136,'Calc Avalanche'!F136,'Calc Snowball'!F136,'Calc Cashflow'!F136)</f>
        <v/>
      </c>
      <c r="J130" s="65">
        <f>CHOOSE(Plan!$K$5,'Calc Smart'!G136,'Calc Avalanche'!G136,'Calc Snowball'!G136,'Calc Cashflow'!G136)</f>
        <v/>
      </c>
      <c r="K130" s="65">
        <f>CHOOSE(Plan!$K$5,'Calc Smart'!H136,'Calc Avalanche'!H136,'Calc Snowball'!H136,'Calc Cashflow'!H136)</f>
        <v/>
      </c>
      <c r="L130" s="65">
        <f>CHOOSE(Plan!$K$5,'Calc Smart'!I136,'Calc Avalanche'!I136,'Calc Snowball'!I136,'Calc Cashflow'!I136)</f>
        <v/>
      </c>
      <c r="M130" s="65">
        <f>CHOOSE(Plan!$K$5,'Calc Smart'!J136,'Calc Avalanche'!J136,'Calc Snowball'!J136,'Calc Cashflow'!J136)</f>
        <v/>
      </c>
      <c r="N130" s="65">
        <f>CHOOSE(Plan!$K$5,'Calc Smart'!K136,'Calc Avalanche'!K136,'Calc Snowball'!K136,'Calc Cashflow'!K136)</f>
        <v/>
      </c>
      <c r="O130" s="65">
        <f>CHOOSE(Plan!$K$5,'Calc Smart'!L136,'Calc Avalanche'!L136,'Calc Snowball'!L136,'Calc Cashflow'!L136)</f>
        <v/>
      </c>
      <c r="P130" s="65">
        <f>CHOOSE(Plan!$K$5,'Calc Smart'!M136,'Calc Avalanche'!M136,'Calc Snowball'!M136,'Calc Cashflow'!M136)</f>
        <v/>
      </c>
      <c r="Q130" s="65">
        <f>CHOOSE(Plan!$K$5,'Calc Smart'!N136,'Calc Avalanche'!N136,'Calc Snowball'!N136,'Calc Cashflow'!N136)</f>
        <v/>
      </c>
    </row>
    <row r="131">
      <c r="B131" s="66">
        <f>EDATE(Plan!$C$6,125)</f>
        <v/>
      </c>
      <c r="C131" s="32">
        <f>CHOOSE(Plan!$K$5,'Calc Smart'!AE137,'Calc Avalanche'!AE137,'Calc Snowball'!AE137,'Calc Cashflow'!AE137)</f>
        <v/>
      </c>
      <c r="D131" s="32">
        <f>CHOOSE(Plan!$K$5,'Calc Smart'!AD137,'Calc Avalanche'!AD137,'Calc Snowball'!AD137,'Calc Cashflow'!AD137)</f>
        <v/>
      </c>
      <c r="E131" s="43">
        <f>CHOOSE(Plan!$K$5,COUNTIF('Calc Smart'!C137:N137,"&gt;0"),COUNTIF('Calc Avalanche'!C137:N137,"&gt;0"),COUNTIF('Calc Snowball'!C137:N137,"&gt;0"),COUNTIF('Calc Cashflow'!C137:N137,"&gt;0"))</f>
        <v/>
      </c>
      <c r="F131" s="67">
        <f>CHOOSE(Plan!$K$5,'Calc Smart'!C137,'Calc Avalanche'!C137,'Calc Snowball'!C137,'Calc Cashflow'!C137)</f>
        <v/>
      </c>
      <c r="G131" s="67">
        <f>CHOOSE(Plan!$K$5,'Calc Smart'!D137,'Calc Avalanche'!D137,'Calc Snowball'!D137,'Calc Cashflow'!D137)</f>
        <v/>
      </c>
      <c r="H131" s="67">
        <f>CHOOSE(Plan!$K$5,'Calc Smart'!E137,'Calc Avalanche'!E137,'Calc Snowball'!E137,'Calc Cashflow'!E137)</f>
        <v/>
      </c>
      <c r="I131" s="67">
        <f>CHOOSE(Plan!$K$5,'Calc Smart'!F137,'Calc Avalanche'!F137,'Calc Snowball'!F137,'Calc Cashflow'!F137)</f>
        <v/>
      </c>
      <c r="J131" s="67">
        <f>CHOOSE(Plan!$K$5,'Calc Smart'!G137,'Calc Avalanche'!G137,'Calc Snowball'!G137,'Calc Cashflow'!G137)</f>
        <v/>
      </c>
      <c r="K131" s="67">
        <f>CHOOSE(Plan!$K$5,'Calc Smart'!H137,'Calc Avalanche'!H137,'Calc Snowball'!H137,'Calc Cashflow'!H137)</f>
        <v/>
      </c>
      <c r="L131" s="67">
        <f>CHOOSE(Plan!$K$5,'Calc Smart'!I137,'Calc Avalanche'!I137,'Calc Snowball'!I137,'Calc Cashflow'!I137)</f>
        <v/>
      </c>
      <c r="M131" s="67">
        <f>CHOOSE(Plan!$K$5,'Calc Smart'!J137,'Calc Avalanche'!J137,'Calc Snowball'!J137,'Calc Cashflow'!J137)</f>
        <v/>
      </c>
      <c r="N131" s="67">
        <f>CHOOSE(Plan!$K$5,'Calc Smart'!K137,'Calc Avalanche'!K137,'Calc Snowball'!K137,'Calc Cashflow'!K137)</f>
        <v/>
      </c>
      <c r="O131" s="67">
        <f>CHOOSE(Plan!$K$5,'Calc Smart'!L137,'Calc Avalanche'!L137,'Calc Snowball'!L137,'Calc Cashflow'!L137)</f>
        <v/>
      </c>
      <c r="P131" s="67">
        <f>CHOOSE(Plan!$K$5,'Calc Smart'!M137,'Calc Avalanche'!M137,'Calc Snowball'!M137,'Calc Cashflow'!M137)</f>
        <v/>
      </c>
      <c r="Q131" s="67">
        <f>CHOOSE(Plan!$K$5,'Calc Smart'!N137,'Calc Avalanche'!N137,'Calc Snowball'!N137,'Calc Cashflow'!N137)</f>
        <v/>
      </c>
    </row>
    <row r="132">
      <c r="B132" s="64">
        <f>EDATE(Plan!$C$6,126)</f>
        <v/>
      </c>
      <c r="C132" s="31">
        <f>CHOOSE(Plan!$K$5,'Calc Smart'!AE138,'Calc Avalanche'!AE138,'Calc Snowball'!AE138,'Calc Cashflow'!AE138)</f>
        <v/>
      </c>
      <c r="D132" s="31">
        <f>CHOOSE(Plan!$K$5,'Calc Smart'!AD138,'Calc Avalanche'!AD138,'Calc Snowball'!AD138,'Calc Cashflow'!AD138)</f>
        <v/>
      </c>
      <c r="E132" s="40">
        <f>CHOOSE(Plan!$K$5,COUNTIF('Calc Smart'!C138:N138,"&gt;0"),COUNTIF('Calc Avalanche'!C138:N138,"&gt;0"),COUNTIF('Calc Snowball'!C138:N138,"&gt;0"),COUNTIF('Calc Cashflow'!C138:N138,"&gt;0"))</f>
        <v/>
      </c>
      <c r="F132" s="65">
        <f>CHOOSE(Plan!$K$5,'Calc Smart'!C138,'Calc Avalanche'!C138,'Calc Snowball'!C138,'Calc Cashflow'!C138)</f>
        <v/>
      </c>
      <c r="G132" s="65">
        <f>CHOOSE(Plan!$K$5,'Calc Smart'!D138,'Calc Avalanche'!D138,'Calc Snowball'!D138,'Calc Cashflow'!D138)</f>
        <v/>
      </c>
      <c r="H132" s="65">
        <f>CHOOSE(Plan!$K$5,'Calc Smart'!E138,'Calc Avalanche'!E138,'Calc Snowball'!E138,'Calc Cashflow'!E138)</f>
        <v/>
      </c>
      <c r="I132" s="65">
        <f>CHOOSE(Plan!$K$5,'Calc Smart'!F138,'Calc Avalanche'!F138,'Calc Snowball'!F138,'Calc Cashflow'!F138)</f>
        <v/>
      </c>
      <c r="J132" s="65">
        <f>CHOOSE(Plan!$K$5,'Calc Smart'!G138,'Calc Avalanche'!G138,'Calc Snowball'!G138,'Calc Cashflow'!G138)</f>
        <v/>
      </c>
      <c r="K132" s="65">
        <f>CHOOSE(Plan!$K$5,'Calc Smart'!H138,'Calc Avalanche'!H138,'Calc Snowball'!H138,'Calc Cashflow'!H138)</f>
        <v/>
      </c>
      <c r="L132" s="65">
        <f>CHOOSE(Plan!$K$5,'Calc Smart'!I138,'Calc Avalanche'!I138,'Calc Snowball'!I138,'Calc Cashflow'!I138)</f>
        <v/>
      </c>
      <c r="M132" s="65">
        <f>CHOOSE(Plan!$K$5,'Calc Smart'!J138,'Calc Avalanche'!J138,'Calc Snowball'!J138,'Calc Cashflow'!J138)</f>
        <v/>
      </c>
      <c r="N132" s="65">
        <f>CHOOSE(Plan!$K$5,'Calc Smart'!K138,'Calc Avalanche'!K138,'Calc Snowball'!K138,'Calc Cashflow'!K138)</f>
        <v/>
      </c>
      <c r="O132" s="65">
        <f>CHOOSE(Plan!$K$5,'Calc Smart'!L138,'Calc Avalanche'!L138,'Calc Snowball'!L138,'Calc Cashflow'!L138)</f>
        <v/>
      </c>
      <c r="P132" s="65">
        <f>CHOOSE(Plan!$K$5,'Calc Smart'!M138,'Calc Avalanche'!M138,'Calc Snowball'!M138,'Calc Cashflow'!M138)</f>
        <v/>
      </c>
      <c r="Q132" s="65">
        <f>CHOOSE(Plan!$K$5,'Calc Smart'!N138,'Calc Avalanche'!N138,'Calc Snowball'!N138,'Calc Cashflow'!N138)</f>
        <v/>
      </c>
    </row>
    <row r="133">
      <c r="B133" s="66">
        <f>EDATE(Plan!$C$6,127)</f>
        <v/>
      </c>
      <c r="C133" s="32">
        <f>CHOOSE(Plan!$K$5,'Calc Smart'!AE139,'Calc Avalanche'!AE139,'Calc Snowball'!AE139,'Calc Cashflow'!AE139)</f>
        <v/>
      </c>
      <c r="D133" s="32">
        <f>CHOOSE(Plan!$K$5,'Calc Smart'!AD139,'Calc Avalanche'!AD139,'Calc Snowball'!AD139,'Calc Cashflow'!AD139)</f>
        <v/>
      </c>
      <c r="E133" s="43">
        <f>CHOOSE(Plan!$K$5,COUNTIF('Calc Smart'!C139:N139,"&gt;0"),COUNTIF('Calc Avalanche'!C139:N139,"&gt;0"),COUNTIF('Calc Snowball'!C139:N139,"&gt;0"),COUNTIF('Calc Cashflow'!C139:N139,"&gt;0"))</f>
        <v/>
      </c>
      <c r="F133" s="67">
        <f>CHOOSE(Plan!$K$5,'Calc Smart'!C139,'Calc Avalanche'!C139,'Calc Snowball'!C139,'Calc Cashflow'!C139)</f>
        <v/>
      </c>
      <c r="G133" s="67">
        <f>CHOOSE(Plan!$K$5,'Calc Smart'!D139,'Calc Avalanche'!D139,'Calc Snowball'!D139,'Calc Cashflow'!D139)</f>
        <v/>
      </c>
      <c r="H133" s="67">
        <f>CHOOSE(Plan!$K$5,'Calc Smart'!E139,'Calc Avalanche'!E139,'Calc Snowball'!E139,'Calc Cashflow'!E139)</f>
        <v/>
      </c>
      <c r="I133" s="67">
        <f>CHOOSE(Plan!$K$5,'Calc Smart'!F139,'Calc Avalanche'!F139,'Calc Snowball'!F139,'Calc Cashflow'!F139)</f>
        <v/>
      </c>
      <c r="J133" s="67">
        <f>CHOOSE(Plan!$K$5,'Calc Smart'!G139,'Calc Avalanche'!G139,'Calc Snowball'!G139,'Calc Cashflow'!G139)</f>
        <v/>
      </c>
      <c r="K133" s="67">
        <f>CHOOSE(Plan!$K$5,'Calc Smart'!H139,'Calc Avalanche'!H139,'Calc Snowball'!H139,'Calc Cashflow'!H139)</f>
        <v/>
      </c>
      <c r="L133" s="67">
        <f>CHOOSE(Plan!$K$5,'Calc Smart'!I139,'Calc Avalanche'!I139,'Calc Snowball'!I139,'Calc Cashflow'!I139)</f>
        <v/>
      </c>
      <c r="M133" s="67">
        <f>CHOOSE(Plan!$K$5,'Calc Smart'!J139,'Calc Avalanche'!J139,'Calc Snowball'!J139,'Calc Cashflow'!J139)</f>
        <v/>
      </c>
      <c r="N133" s="67">
        <f>CHOOSE(Plan!$K$5,'Calc Smart'!K139,'Calc Avalanche'!K139,'Calc Snowball'!K139,'Calc Cashflow'!K139)</f>
        <v/>
      </c>
      <c r="O133" s="67">
        <f>CHOOSE(Plan!$K$5,'Calc Smart'!L139,'Calc Avalanche'!L139,'Calc Snowball'!L139,'Calc Cashflow'!L139)</f>
        <v/>
      </c>
      <c r="P133" s="67">
        <f>CHOOSE(Plan!$K$5,'Calc Smart'!M139,'Calc Avalanche'!M139,'Calc Snowball'!M139,'Calc Cashflow'!M139)</f>
        <v/>
      </c>
      <c r="Q133" s="67">
        <f>CHOOSE(Plan!$K$5,'Calc Smart'!N139,'Calc Avalanche'!N139,'Calc Snowball'!N139,'Calc Cashflow'!N139)</f>
        <v/>
      </c>
    </row>
    <row r="134">
      <c r="B134" s="64">
        <f>EDATE(Plan!$C$6,128)</f>
        <v/>
      </c>
      <c r="C134" s="31">
        <f>CHOOSE(Plan!$K$5,'Calc Smart'!AE140,'Calc Avalanche'!AE140,'Calc Snowball'!AE140,'Calc Cashflow'!AE140)</f>
        <v/>
      </c>
      <c r="D134" s="31">
        <f>CHOOSE(Plan!$K$5,'Calc Smart'!AD140,'Calc Avalanche'!AD140,'Calc Snowball'!AD140,'Calc Cashflow'!AD140)</f>
        <v/>
      </c>
      <c r="E134" s="40">
        <f>CHOOSE(Plan!$K$5,COUNTIF('Calc Smart'!C140:N140,"&gt;0"),COUNTIF('Calc Avalanche'!C140:N140,"&gt;0"),COUNTIF('Calc Snowball'!C140:N140,"&gt;0"),COUNTIF('Calc Cashflow'!C140:N140,"&gt;0"))</f>
        <v/>
      </c>
      <c r="F134" s="65">
        <f>CHOOSE(Plan!$K$5,'Calc Smart'!C140,'Calc Avalanche'!C140,'Calc Snowball'!C140,'Calc Cashflow'!C140)</f>
        <v/>
      </c>
      <c r="G134" s="65">
        <f>CHOOSE(Plan!$K$5,'Calc Smart'!D140,'Calc Avalanche'!D140,'Calc Snowball'!D140,'Calc Cashflow'!D140)</f>
        <v/>
      </c>
      <c r="H134" s="65">
        <f>CHOOSE(Plan!$K$5,'Calc Smart'!E140,'Calc Avalanche'!E140,'Calc Snowball'!E140,'Calc Cashflow'!E140)</f>
        <v/>
      </c>
      <c r="I134" s="65">
        <f>CHOOSE(Plan!$K$5,'Calc Smart'!F140,'Calc Avalanche'!F140,'Calc Snowball'!F140,'Calc Cashflow'!F140)</f>
        <v/>
      </c>
      <c r="J134" s="65">
        <f>CHOOSE(Plan!$K$5,'Calc Smart'!G140,'Calc Avalanche'!G140,'Calc Snowball'!G140,'Calc Cashflow'!G140)</f>
        <v/>
      </c>
      <c r="K134" s="65">
        <f>CHOOSE(Plan!$K$5,'Calc Smart'!H140,'Calc Avalanche'!H140,'Calc Snowball'!H140,'Calc Cashflow'!H140)</f>
        <v/>
      </c>
      <c r="L134" s="65">
        <f>CHOOSE(Plan!$K$5,'Calc Smart'!I140,'Calc Avalanche'!I140,'Calc Snowball'!I140,'Calc Cashflow'!I140)</f>
        <v/>
      </c>
      <c r="M134" s="65">
        <f>CHOOSE(Plan!$K$5,'Calc Smart'!J140,'Calc Avalanche'!J140,'Calc Snowball'!J140,'Calc Cashflow'!J140)</f>
        <v/>
      </c>
      <c r="N134" s="65">
        <f>CHOOSE(Plan!$K$5,'Calc Smart'!K140,'Calc Avalanche'!K140,'Calc Snowball'!K140,'Calc Cashflow'!K140)</f>
        <v/>
      </c>
      <c r="O134" s="65">
        <f>CHOOSE(Plan!$K$5,'Calc Smart'!L140,'Calc Avalanche'!L140,'Calc Snowball'!L140,'Calc Cashflow'!L140)</f>
        <v/>
      </c>
      <c r="P134" s="65">
        <f>CHOOSE(Plan!$K$5,'Calc Smart'!M140,'Calc Avalanche'!M140,'Calc Snowball'!M140,'Calc Cashflow'!M140)</f>
        <v/>
      </c>
      <c r="Q134" s="65">
        <f>CHOOSE(Plan!$K$5,'Calc Smart'!N140,'Calc Avalanche'!N140,'Calc Snowball'!N140,'Calc Cashflow'!N140)</f>
        <v/>
      </c>
    </row>
    <row r="135">
      <c r="B135" s="66">
        <f>EDATE(Plan!$C$6,129)</f>
        <v/>
      </c>
      <c r="C135" s="32">
        <f>CHOOSE(Plan!$K$5,'Calc Smart'!AE141,'Calc Avalanche'!AE141,'Calc Snowball'!AE141,'Calc Cashflow'!AE141)</f>
        <v/>
      </c>
      <c r="D135" s="32">
        <f>CHOOSE(Plan!$K$5,'Calc Smart'!AD141,'Calc Avalanche'!AD141,'Calc Snowball'!AD141,'Calc Cashflow'!AD141)</f>
        <v/>
      </c>
      <c r="E135" s="43">
        <f>CHOOSE(Plan!$K$5,COUNTIF('Calc Smart'!C141:N141,"&gt;0"),COUNTIF('Calc Avalanche'!C141:N141,"&gt;0"),COUNTIF('Calc Snowball'!C141:N141,"&gt;0"),COUNTIF('Calc Cashflow'!C141:N141,"&gt;0"))</f>
        <v/>
      </c>
      <c r="F135" s="67">
        <f>CHOOSE(Plan!$K$5,'Calc Smart'!C141,'Calc Avalanche'!C141,'Calc Snowball'!C141,'Calc Cashflow'!C141)</f>
        <v/>
      </c>
      <c r="G135" s="67">
        <f>CHOOSE(Plan!$K$5,'Calc Smart'!D141,'Calc Avalanche'!D141,'Calc Snowball'!D141,'Calc Cashflow'!D141)</f>
        <v/>
      </c>
      <c r="H135" s="67">
        <f>CHOOSE(Plan!$K$5,'Calc Smart'!E141,'Calc Avalanche'!E141,'Calc Snowball'!E141,'Calc Cashflow'!E141)</f>
        <v/>
      </c>
      <c r="I135" s="67">
        <f>CHOOSE(Plan!$K$5,'Calc Smart'!F141,'Calc Avalanche'!F141,'Calc Snowball'!F141,'Calc Cashflow'!F141)</f>
        <v/>
      </c>
      <c r="J135" s="67">
        <f>CHOOSE(Plan!$K$5,'Calc Smart'!G141,'Calc Avalanche'!G141,'Calc Snowball'!G141,'Calc Cashflow'!G141)</f>
        <v/>
      </c>
      <c r="K135" s="67">
        <f>CHOOSE(Plan!$K$5,'Calc Smart'!H141,'Calc Avalanche'!H141,'Calc Snowball'!H141,'Calc Cashflow'!H141)</f>
        <v/>
      </c>
      <c r="L135" s="67">
        <f>CHOOSE(Plan!$K$5,'Calc Smart'!I141,'Calc Avalanche'!I141,'Calc Snowball'!I141,'Calc Cashflow'!I141)</f>
        <v/>
      </c>
      <c r="M135" s="67">
        <f>CHOOSE(Plan!$K$5,'Calc Smart'!J141,'Calc Avalanche'!J141,'Calc Snowball'!J141,'Calc Cashflow'!J141)</f>
        <v/>
      </c>
      <c r="N135" s="67">
        <f>CHOOSE(Plan!$K$5,'Calc Smart'!K141,'Calc Avalanche'!K141,'Calc Snowball'!K141,'Calc Cashflow'!K141)</f>
        <v/>
      </c>
      <c r="O135" s="67">
        <f>CHOOSE(Plan!$K$5,'Calc Smart'!L141,'Calc Avalanche'!L141,'Calc Snowball'!L141,'Calc Cashflow'!L141)</f>
        <v/>
      </c>
      <c r="P135" s="67">
        <f>CHOOSE(Plan!$K$5,'Calc Smart'!M141,'Calc Avalanche'!M141,'Calc Snowball'!M141,'Calc Cashflow'!M141)</f>
        <v/>
      </c>
      <c r="Q135" s="67">
        <f>CHOOSE(Plan!$K$5,'Calc Smart'!N141,'Calc Avalanche'!N141,'Calc Snowball'!N141,'Calc Cashflow'!N141)</f>
        <v/>
      </c>
    </row>
    <row r="136">
      <c r="B136" s="64">
        <f>EDATE(Plan!$C$6,130)</f>
        <v/>
      </c>
      <c r="C136" s="31">
        <f>CHOOSE(Plan!$K$5,'Calc Smart'!AE142,'Calc Avalanche'!AE142,'Calc Snowball'!AE142,'Calc Cashflow'!AE142)</f>
        <v/>
      </c>
      <c r="D136" s="31">
        <f>CHOOSE(Plan!$K$5,'Calc Smart'!AD142,'Calc Avalanche'!AD142,'Calc Snowball'!AD142,'Calc Cashflow'!AD142)</f>
        <v/>
      </c>
      <c r="E136" s="40">
        <f>CHOOSE(Plan!$K$5,COUNTIF('Calc Smart'!C142:N142,"&gt;0"),COUNTIF('Calc Avalanche'!C142:N142,"&gt;0"),COUNTIF('Calc Snowball'!C142:N142,"&gt;0"),COUNTIF('Calc Cashflow'!C142:N142,"&gt;0"))</f>
        <v/>
      </c>
      <c r="F136" s="65">
        <f>CHOOSE(Plan!$K$5,'Calc Smart'!C142,'Calc Avalanche'!C142,'Calc Snowball'!C142,'Calc Cashflow'!C142)</f>
        <v/>
      </c>
      <c r="G136" s="65">
        <f>CHOOSE(Plan!$K$5,'Calc Smart'!D142,'Calc Avalanche'!D142,'Calc Snowball'!D142,'Calc Cashflow'!D142)</f>
        <v/>
      </c>
      <c r="H136" s="65">
        <f>CHOOSE(Plan!$K$5,'Calc Smart'!E142,'Calc Avalanche'!E142,'Calc Snowball'!E142,'Calc Cashflow'!E142)</f>
        <v/>
      </c>
      <c r="I136" s="65">
        <f>CHOOSE(Plan!$K$5,'Calc Smart'!F142,'Calc Avalanche'!F142,'Calc Snowball'!F142,'Calc Cashflow'!F142)</f>
        <v/>
      </c>
      <c r="J136" s="65">
        <f>CHOOSE(Plan!$K$5,'Calc Smart'!G142,'Calc Avalanche'!G142,'Calc Snowball'!G142,'Calc Cashflow'!G142)</f>
        <v/>
      </c>
      <c r="K136" s="65">
        <f>CHOOSE(Plan!$K$5,'Calc Smart'!H142,'Calc Avalanche'!H142,'Calc Snowball'!H142,'Calc Cashflow'!H142)</f>
        <v/>
      </c>
      <c r="L136" s="65">
        <f>CHOOSE(Plan!$K$5,'Calc Smart'!I142,'Calc Avalanche'!I142,'Calc Snowball'!I142,'Calc Cashflow'!I142)</f>
        <v/>
      </c>
      <c r="M136" s="65">
        <f>CHOOSE(Plan!$K$5,'Calc Smart'!J142,'Calc Avalanche'!J142,'Calc Snowball'!J142,'Calc Cashflow'!J142)</f>
        <v/>
      </c>
      <c r="N136" s="65">
        <f>CHOOSE(Plan!$K$5,'Calc Smart'!K142,'Calc Avalanche'!K142,'Calc Snowball'!K142,'Calc Cashflow'!K142)</f>
        <v/>
      </c>
      <c r="O136" s="65">
        <f>CHOOSE(Plan!$K$5,'Calc Smart'!L142,'Calc Avalanche'!L142,'Calc Snowball'!L142,'Calc Cashflow'!L142)</f>
        <v/>
      </c>
      <c r="P136" s="65">
        <f>CHOOSE(Plan!$K$5,'Calc Smart'!M142,'Calc Avalanche'!M142,'Calc Snowball'!M142,'Calc Cashflow'!M142)</f>
        <v/>
      </c>
      <c r="Q136" s="65">
        <f>CHOOSE(Plan!$K$5,'Calc Smart'!N142,'Calc Avalanche'!N142,'Calc Snowball'!N142,'Calc Cashflow'!N142)</f>
        <v/>
      </c>
    </row>
    <row r="137">
      <c r="B137" s="66">
        <f>EDATE(Plan!$C$6,131)</f>
        <v/>
      </c>
      <c r="C137" s="32">
        <f>CHOOSE(Plan!$K$5,'Calc Smart'!AE143,'Calc Avalanche'!AE143,'Calc Snowball'!AE143,'Calc Cashflow'!AE143)</f>
        <v/>
      </c>
      <c r="D137" s="32">
        <f>CHOOSE(Plan!$K$5,'Calc Smart'!AD143,'Calc Avalanche'!AD143,'Calc Snowball'!AD143,'Calc Cashflow'!AD143)</f>
        <v/>
      </c>
      <c r="E137" s="43">
        <f>CHOOSE(Plan!$K$5,COUNTIF('Calc Smart'!C143:N143,"&gt;0"),COUNTIF('Calc Avalanche'!C143:N143,"&gt;0"),COUNTIF('Calc Snowball'!C143:N143,"&gt;0"),COUNTIF('Calc Cashflow'!C143:N143,"&gt;0"))</f>
        <v/>
      </c>
      <c r="F137" s="67">
        <f>CHOOSE(Plan!$K$5,'Calc Smart'!C143,'Calc Avalanche'!C143,'Calc Snowball'!C143,'Calc Cashflow'!C143)</f>
        <v/>
      </c>
      <c r="G137" s="67">
        <f>CHOOSE(Plan!$K$5,'Calc Smart'!D143,'Calc Avalanche'!D143,'Calc Snowball'!D143,'Calc Cashflow'!D143)</f>
        <v/>
      </c>
      <c r="H137" s="67">
        <f>CHOOSE(Plan!$K$5,'Calc Smart'!E143,'Calc Avalanche'!E143,'Calc Snowball'!E143,'Calc Cashflow'!E143)</f>
        <v/>
      </c>
      <c r="I137" s="67">
        <f>CHOOSE(Plan!$K$5,'Calc Smart'!F143,'Calc Avalanche'!F143,'Calc Snowball'!F143,'Calc Cashflow'!F143)</f>
        <v/>
      </c>
      <c r="J137" s="67">
        <f>CHOOSE(Plan!$K$5,'Calc Smart'!G143,'Calc Avalanche'!G143,'Calc Snowball'!G143,'Calc Cashflow'!G143)</f>
        <v/>
      </c>
      <c r="K137" s="67">
        <f>CHOOSE(Plan!$K$5,'Calc Smart'!H143,'Calc Avalanche'!H143,'Calc Snowball'!H143,'Calc Cashflow'!H143)</f>
        <v/>
      </c>
      <c r="L137" s="67">
        <f>CHOOSE(Plan!$K$5,'Calc Smart'!I143,'Calc Avalanche'!I143,'Calc Snowball'!I143,'Calc Cashflow'!I143)</f>
        <v/>
      </c>
      <c r="M137" s="67">
        <f>CHOOSE(Plan!$K$5,'Calc Smart'!J143,'Calc Avalanche'!J143,'Calc Snowball'!J143,'Calc Cashflow'!J143)</f>
        <v/>
      </c>
      <c r="N137" s="67">
        <f>CHOOSE(Plan!$K$5,'Calc Smart'!K143,'Calc Avalanche'!K143,'Calc Snowball'!K143,'Calc Cashflow'!K143)</f>
        <v/>
      </c>
      <c r="O137" s="67">
        <f>CHOOSE(Plan!$K$5,'Calc Smart'!L143,'Calc Avalanche'!L143,'Calc Snowball'!L143,'Calc Cashflow'!L143)</f>
        <v/>
      </c>
      <c r="P137" s="67">
        <f>CHOOSE(Plan!$K$5,'Calc Smart'!M143,'Calc Avalanche'!M143,'Calc Snowball'!M143,'Calc Cashflow'!M143)</f>
        <v/>
      </c>
      <c r="Q137" s="67">
        <f>CHOOSE(Plan!$K$5,'Calc Smart'!N143,'Calc Avalanche'!N143,'Calc Snowball'!N143,'Calc Cashflow'!N143)</f>
        <v/>
      </c>
    </row>
    <row r="138">
      <c r="B138" s="64">
        <f>EDATE(Plan!$C$6,132)</f>
        <v/>
      </c>
      <c r="C138" s="31">
        <f>CHOOSE(Plan!$K$5,'Calc Smart'!AE144,'Calc Avalanche'!AE144,'Calc Snowball'!AE144,'Calc Cashflow'!AE144)</f>
        <v/>
      </c>
      <c r="D138" s="31">
        <f>CHOOSE(Plan!$K$5,'Calc Smart'!AD144,'Calc Avalanche'!AD144,'Calc Snowball'!AD144,'Calc Cashflow'!AD144)</f>
        <v/>
      </c>
      <c r="E138" s="40">
        <f>CHOOSE(Plan!$K$5,COUNTIF('Calc Smart'!C144:N144,"&gt;0"),COUNTIF('Calc Avalanche'!C144:N144,"&gt;0"),COUNTIF('Calc Snowball'!C144:N144,"&gt;0"),COUNTIF('Calc Cashflow'!C144:N144,"&gt;0"))</f>
        <v/>
      </c>
      <c r="F138" s="65">
        <f>CHOOSE(Plan!$K$5,'Calc Smart'!C144,'Calc Avalanche'!C144,'Calc Snowball'!C144,'Calc Cashflow'!C144)</f>
        <v/>
      </c>
      <c r="G138" s="65">
        <f>CHOOSE(Plan!$K$5,'Calc Smart'!D144,'Calc Avalanche'!D144,'Calc Snowball'!D144,'Calc Cashflow'!D144)</f>
        <v/>
      </c>
      <c r="H138" s="65">
        <f>CHOOSE(Plan!$K$5,'Calc Smart'!E144,'Calc Avalanche'!E144,'Calc Snowball'!E144,'Calc Cashflow'!E144)</f>
        <v/>
      </c>
      <c r="I138" s="65">
        <f>CHOOSE(Plan!$K$5,'Calc Smart'!F144,'Calc Avalanche'!F144,'Calc Snowball'!F144,'Calc Cashflow'!F144)</f>
        <v/>
      </c>
      <c r="J138" s="65">
        <f>CHOOSE(Plan!$K$5,'Calc Smart'!G144,'Calc Avalanche'!G144,'Calc Snowball'!G144,'Calc Cashflow'!G144)</f>
        <v/>
      </c>
      <c r="K138" s="65">
        <f>CHOOSE(Plan!$K$5,'Calc Smart'!H144,'Calc Avalanche'!H144,'Calc Snowball'!H144,'Calc Cashflow'!H144)</f>
        <v/>
      </c>
      <c r="L138" s="65">
        <f>CHOOSE(Plan!$K$5,'Calc Smart'!I144,'Calc Avalanche'!I144,'Calc Snowball'!I144,'Calc Cashflow'!I144)</f>
        <v/>
      </c>
      <c r="M138" s="65">
        <f>CHOOSE(Plan!$K$5,'Calc Smart'!J144,'Calc Avalanche'!J144,'Calc Snowball'!J144,'Calc Cashflow'!J144)</f>
        <v/>
      </c>
      <c r="N138" s="65">
        <f>CHOOSE(Plan!$K$5,'Calc Smart'!K144,'Calc Avalanche'!K144,'Calc Snowball'!K144,'Calc Cashflow'!K144)</f>
        <v/>
      </c>
      <c r="O138" s="65">
        <f>CHOOSE(Plan!$K$5,'Calc Smart'!L144,'Calc Avalanche'!L144,'Calc Snowball'!L144,'Calc Cashflow'!L144)</f>
        <v/>
      </c>
      <c r="P138" s="65">
        <f>CHOOSE(Plan!$K$5,'Calc Smart'!M144,'Calc Avalanche'!M144,'Calc Snowball'!M144,'Calc Cashflow'!M144)</f>
        <v/>
      </c>
      <c r="Q138" s="65">
        <f>CHOOSE(Plan!$K$5,'Calc Smart'!N144,'Calc Avalanche'!N144,'Calc Snowball'!N144,'Calc Cashflow'!N144)</f>
        <v/>
      </c>
    </row>
    <row r="139">
      <c r="B139" s="66">
        <f>EDATE(Plan!$C$6,133)</f>
        <v/>
      </c>
      <c r="C139" s="32">
        <f>CHOOSE(Plan!$K$5,'Calc Smart'!AE145,'Calc Avalanche'!AE145,'Calc Snowball'!AE145,'Calc Cashflow'!AE145)</f>
        <v/>
      </c>
      <c r="D139" s="32">
        <f>CHOOSE(Plan!$K$5,'Calc Smart'!AD145,'Calc Avalanche'!AD145,'Calc Snowball'!AD145,'Calc Cashflow'!AD145)</f>
        <v/>
      </c>
      <c r="E139" s="43">
        <f>CHOOSE(Plan!$K$5,COUNTIF('Calc Smart'!C145:N145,"&gt;0"),COUNTIF('Calc Avalanche'!C145:N145,"&gt;0"),COUNTIF('Calc Snowball'!C145:N145,"&gt;0"),COUNTIF('Calc Cashflow'!C145:N145,"&gt;0"))</f>
        <v/>
      </c>
      <c r="F139" s="67">
        <f>CHOOSE(Plan!$K$5,'Calc Smart'!C145,'Calc Avalanche'!C145,'Calc Snowball'!C145,'Calc Cashflow'!C145)</f>
        <v/>
      </c>
      <c r="G139" s="67">
        <f>CHOOSE(Plan!$K$5,'Calc Smart'!D145,'Calc Avalanche'!D145,'Calc Snowball'!D145,'Calc Cashflow'!D145)</f>
        <v/>
      </c>
      <c r="H139" s="67">
        <f>CHOOSE(Plan!$K$5,'Calc Smart'!E145,'Calc Avalanche'!E145,'Calc Snowball'!E145,'Calc Cashflow'!E145)</f>
        <v/>
      </c>
      <c r="I139" s="67">
        <f>CHOOSE(Plan!$K$5,'Calc Smart'!F145,'Calc Avalanche'!F145,'Calc Snowball'!F145,'Calc Cashflow'!F145)</f>
        <v/>
      </c>
      <c r="J139" s="67">
        <f>CHOOSE(Plan!$K$5,'Calc Smart'!G145,'Calc Avalanche'!G145,'Calc Snowball'!G145,'Calc Cashflow'!G145)</f>
        <v/>
      </c>
      <c r="K139" s="67">
        <f>CHOOSE(Plan!$K$5,'Calc Smart'!H145,'Calc Avalanche'!H145,'Calc Snowball'!H145,'Calc Cashflow'!H145)</f>
        <v/>
      </c>
      <c r="L139" s="67">
        <f>CHOOSE(Plan!$K$5,'Calc Smart'!I145,'Calc Avalanche'!I145,'Calc Snowball'!I145,'Calc Cashflow'!I145)</f>
        <v/>
      </c>
      <c r="M139" s="67">
        <f>CHOOSE(Plan!$K$5,'Calc Smart'!J145,'Calc Avalanche'!J145,'Calc Snowball'!J145,'Calc Cashflow'!J145)</f>
        <v/>
      </c>
      <c r="N139" s="67">
        <f>CHOOSE(Plan!$K$5,'Calc Smart'!K145,'Calc Avalanche'!K145,'Calc Snowball'!K145,'Calc Cashflow'!K145)</f>
        <v/>
      </c>
      <c r="O139" s="67">
        <f>CHOOSE(Plan!$K$5,'Calc Smart'!L145,'Calc Avalanche'!L145,'Calc Snowball'!L145,'Calc Cashflow'!L145)</f>
        <v/>
      </c>
      <c r="P139" s="67">
        <f>CHOOSE(Plan!$K$5,'Calc Smart'!M145,'Calc Avalanche'!M145,'Calc Snowball'!M145,'Calc Cashflow'!M145)</f>
        <v/>
      </c>
      <c r="Q139" s="67">
        <f>CHOOSE(Plan!$K$5,'Calc Smart'!N145,'Calc Avalanche'!N145,'Calc Snowball'!N145,'Calc Cashflow'!N145)</f>
        <v/>
      </c>
    </row>
    <row r="140">
      <c r="B140" s="64">
        <f>EDATE(Plan!$C$6,134)</f>
        <v/>
      </c>
      <c r="C140" s="31">
        <f>CHOOSE(Plan!$K$5,'Calc Smart'!AE146,'Calc Avalanche'!AE146,'Calc Snowball'!AE146,'Calc Cashflow'!AE146)</f>
        <v/>
      </c>
      <c r="D140" s="31">
        <f>CHOOSE(Plan!$K$5,'Calc Smart'!AD146,'Calc Avalanche'!AD146,'Calc Snowball'!AD146,'Calc Cashflow'!AD146)</f>
        <v/>
      </c>
      <c r="E140" s="40">
        <f>CHOOSE(Plan!$K$5,COUNTIF('Calc Smart'!C146:N146,"&gt;0"),COUNTIF('Calc Avalanche'!C146:N146,"&gt;0"),COUNTIF('Calc Snowball'!C146:N146,"&gt;0"),COUNTIF('Calc Cashflow'!C146:N146,"&gt;0"))</f>
        <v/>
      </c>
      <c r="F140" s="65">
        <f>CHOOSE(Plan!$K$5,'Calc Smart'!C146,'Calc Avalanche'!C146,'Calc Snowball'!C146,'Calc Cashflow'!C146)</f>
        <v/>
      </c>
      <c r="G140" s="65">
        <f>CHOOSE(Plan!$K$5,'Calc Smart'!D146,'Calc Avalanche'!D146,'Calc Snowball'!D146,'Calc Cashflow'!D146)</f>
        <v/>
      </c>
      <c r="H140" s="65">
        <f>CHOOSE(Plan!$K$5,'Calc Smart'!E146,'Calc Avalanche'!E146,'Calc Snowball'!E146,'Calc Cashflow'!E146)</f>
        <v/>
      </c>
      <c r="I140" s="65">
        <f>CHOOSE(Plan!$K$5,'Calc Smart'!F146,'Calc Avalanche'!F146,'Calc Snowball'!F146,'Calc Cashflow'!F146)</f>
        <v/>
      </c>
      <c r="J140" s="65">
        <f>CHOOSE(Plan!$K$5,'Calc Smart'!G146,'Calc Avalanche'!G146,'Calc Snowball'!G146,'Calc Cashflow'!G146)</f>
        <v/>
      </c>
      <c r="K140" s="65">
        <f>CHOOSE(Plan!$K$5,'Calc Smart'!H146,'Calc Avalanche'!H146,'Calc Snowball'!H146,'Calc Cashflow'!H146)</f>
        <v/>
      </c>
      <c r="L140" s="65">
        <f>CHOOSE(Plan!$K$5,'Calc Smart'!I146,'Calc Avalanche'!I146,'Calc Snowball'!I146,'Calc Cashflow'!I146)</f>
        <v/>
      </c>
      <c r="M140" s="65">
        <f>CHOOSE(Plan!$K$5,'Calc Smart'!J146,'Calc Avalanche'!J146,'Calc Snowball'!J146,'Calc Cashflow'!J146)</f>
        <v/>
      </c>
      <c r="N140" s="65">
        <f>CHOOSE(Plan!$K$5,'Calc Smart'!K146,'Calc Avalanche'!K146,'Calc Snowball'!K146,'Calc Cashflow'!K146)</f>
        <v/>
      </c>
      <c r="O140" s="65">
        <f>CHOOSE(Plan!$K$5,'Calc Smart'!L146,'Calc Avalanche'!L146,'Calc Snowball'!L146,'Calc Cashflow'!L146)</f>
        <v/>
      </c>
      <c r="P140" s="65">
        <f>CHOOSE(Plan!$K$5,'Calc Smart'!M146,'Calc Avalanche'!M146,'Calc Snowball'!M146,'Calc Cashflow'!M146)</f>
        <v/>
      </c>
      <c r="Q140" s="65">
        <f>CHOOSE(Plan!$K$5,'Calc Smart'!N146,'Calc Avalanche'!N146,'Calc Snowball'!N146,'Calc Cashflow'!N146)</f>
        <v/>
      </c>
    </row>
    <row r="141">
      <c r="B141" s="66">
        <f>EDATE(Plan!$C$6,135)</f>
        <v/>
      </c>
      <c r="C141" s="32">
        <f>CHOOSE(Plan!$K$5,'Calc Smart'!AE147,'Calc Avalanche'!AE147,'Calc Snowball'!AE147,'Calc Cashflow'!AE147)</f>
        <v/>
      </c>
      <c r="D141" s="32">
        <f>CHOOSE(Plan!$K$5,'Calc Smart'!AD147,'Calc Avalanche'!AD147,'Calc Snowball'!AD147,'Calc Cashflow'!AD147)</f>
        <v/>
      </c>
      <c r="E141" s="43">
        <f>CHOOSE(Plan!$K$5,COUNTIF('Calc Smart'!C147:N147,"&gt;0"),COUNTIF('Calc Avalanche'!C147:N147,"&gt;0"),COUNTIF('Calc Snowball'!C147:N147,"&gt;0"),COUNTIF('Calc Cashflow'!C147:N147,"&gt;0"))</f>
        <v/>
      </c>
      <c r="F141" s="67">
        <f>CHOOSE(Plan!$K$5,'Calc Smart'!C147,'Calc Avalanche'!C147,'Calc Snowball'!C147,'Calc Cashflow'!C147)</f>
        <v/>
      </c>
      <c r="G141" s="67">
        <f>CHOOSE(Plan!$K$5,'Calc Smart'!D147,'Calc Avalanche'!D147,'Calc Snowball'!D147,'Calc Cashflow'!D147)</f>
        <v/>
      </c>
      <c r="H141" s="67">
        <f>CHOOSE(Plan!$K$5,'Calc Smart'!E147,'Calc Avalanche'!E147,'Calc Snowball'!E147,'Calc Cashflow'!E147)</f>
        <v/>
      </c>
      <c r="I141" s="67">
        <f>CHOOSE(Plan!$K$5,'Calc Smart'!F147,'Calc Avalanche'!F147,'Calc Snowball'!F147,'Calc Cashflow'!F147)</f>
        <v/>
      </c>
      <c r="J141" s="67">
        <f>CHOOSE(Plan!$K$5,'Calc Smart'!G147,'Calc Avalanche'!G147,'Calc Snowball'!G147,'Calc Cashflow'!G147)</f>
        <v/>
      </c>
      <c r="K141" s="67">
        <f>CHOOSE(Plan!$K$5,'Calc Smart'!H147,'Calc Avalanche'!H147,'Calc Snowball'!H147,'Calc Cashflow'!H147)</f>
        <v/>
      </c>
      <c r="L141" s="67">
        <f>CHOOSE(Plan!$K$5,'Calc Smart'!I147,'Calc Avalanche'!I147,'Calc Snowball'!I147,'Calc Cashflow'!I147)</f>
        <v/>
      </c>
      <c r="M141" s="67">
        <f>CHOOSE(Plan!$K$5,'Calc Smart'!J147,'Calc Avalanche'!J147,'Calc Snowball'!J147,'Calc Cashflow'!J147)</f>
        <v/>
      </c>
      <c r="N141" s="67">
        <f>CHOOSE(Plan!$K$5,'Calc Smart'!K147,'Calc Avalanche'!K147,'Calc Snowball'!K147,'Calc Cashflow'!K147)</f>
        <v/>
      </c>
      <c r="O141" s="67">
        <f>CHOOSE(Plan!$K$5,'Calc Smart'!L147,'Calc Avalanche'!L147,'Calc Snowball'!L147,'Calc Cashflow'!L147)</f>
        <v/>
      </c>
      <c r="P141" s="67">
        <f>CHOOSE(Plan!$K$5,'Calc Smart'!M147,'Calc Avalanche'!M147,'Calc Snowball'!M147,'Calc Cashflow'!M147)</f>
        <v/>
      </c>
      <c r="Q141" s="67">
        <f>CHOOSE(Plan!$K$5,'Calc Smart'!N147,'Calc Avalanche'!N147,'Calc Snowball'!N147,'Calc Cashflow'!N147)</f>
        <v/>
      </c>
    </row>
    <row r="142">
      <c r="B142" s="64">
        <f>EDATE(Plan!$C$6,136)</f>
        <v/>
      </c>
      <c r="C142" s="31">
        <f>CHOOSE(Plan!$K$5,'Calc Smart'!AE148,'Calc Avalanche'!AE148,'Calc Snowball'!AE148,'Calc Cashflow'!AE148)</f>
        <v/>
      </c>
      <c r="D142" s="31">
        <f>CHOOSE(Plan!$K$5,'Calc Smart'!AD148,'Calc Avalanche'!AD148,'Calc Snowball'!AD148,'Calc Cashflow'!AD148)</f>
        <v/>
      </c>
      <c r="E142" s="40">
        <f>CHOOSE(Plan!$K$5,COUNTIF('Calc Smart'!C148:N148,"&gt;0"),COUNTIF('Calc Avalanche'!C148:N148,"&gt;0"),COUNTIF('Calc Snowball'!C148:N148,"&gt;0"),COUNTIF('Calc Cashflow'!C148:N148,"&gt;0"))</f>
        <v/>
      </c>
      <c r="F142" s="65">
        <f>CHOOSE(Plan!$K$5,'Calc Smart'!C148,'Calc Avalanche'!C148,'Calc Snowball'!C148,'Calc Cashflow'!C148)</f>
        <v/>
      </c>
      <c r="G142" s="65">
        <f>CHOOSE(Plan!$K$5,'Calc Smart'!D148,'Calc Avalanche'!D148,'Calc Snowball'!D148,'Calc Cashflow'!D148)</f>
        <v/>
      </c>
      <c r="H142" s="65">
        <f>CHOOSE(Plan!$K$5,'Calc Smart'!E148,'Calc Avalanche'!E148,'Calc Snowball'!E148,'Calc Cashflow'!E148)</f>
        <v/>
      </c>
      <c r="I142" s="65">
        <f>CHOOSE(Plan!$K$5,'Calc Smart'!F148,'Calc Avalanche'!F148,'Calc Snowball'!F148,'Calc Cashflow'!F148)</f>
        <v/>
      </c>
      <c r="J142" s="65">
        <f>CHOOSE(Plan!$K$5,'Calc Smart'!G148,'Calc Avalanche'!G148,'Calc Snowball'!G148,'Calc Cashflow'!G148)</f>
        <v/>
      </c>
      <c r="K142" s="65">
        <f>CHOOSE(Plan!$K$5,'Calc Smart'!H148,'Calc Avalanche'!H148,'Calc Snowball'!H148,'Calc Cashflow'!H148)</f>
        <v/>
      </c>
      <c r="L142" s="65">
        <f>CHOOSE(Plan!$K$5,'Calc Smart'!I148,'Calc Avalanche'!I148,'Calc Snowball'!I148,'Calc Cashflow'!I148)</f>
        <v/>
      </c>
      <c r="M142" s="65">
        <f>CHOOSE(Plan!$K$5,'Calc Smart'!J148,'Calc Avalanche'!J148,'Calc Snowball'!J148,'Calc Cashflow'!J148)</f>
        <v/>
      </c>
      <c r="N142" s="65">
        <f>CHOOSE(Plan!$K$5,'Calc Smart'!K148,'Calc Avalanche'!K148,'Calc Snowball'!K148,'Calc Cashflow'!K148)</f>
        <v/>
      </c>
      <c r="O142" s="65">
        <f>CHOOSE(Plan!$K$5,'Calc Smart'!L148,'Calc Avalanche'!L148,'Calc Snowball'!L148,'Calc Cashflow'!L148)</f>
        <v/>
      </c>
      <c r="P142" s="65">
        <f>CHOOSE(Plan!$K$5,'Calc Smart'!M148,'Calc Avalanche'!M148,'Calc Snowball'!M148,'Calc Cashflow'!M148)</f>
        <v/>
      </c>
      <c r="Q142" s="65">
        <f>CHOOSE(Plan!$K$5,'Calc Smart'!N148,'Calc Avalanche'!N148,'Calc Snowball'!N148,'Calc Cashflow'!N148)</f>
        <v/>
      </c>
    </row>
    <row r="143">
      <c r="B143" s="66">
        <f>EDATE(Plan!$C$6,137)</f>
        <v/>
      </c>
      <c r="C143" s="32">
        <f>CHOOSE(Plan!$K$5,'Calc Smart'!AE149,'Calc Avalanche'!AE149,'Calc Snowball'!AE149,'Calc Cashflow'!AE149)</f>
        <v/>
      </c>
      <c r="D143" s="32">
        <f>CHOOSE(Plan!$K$5,'Calc Smart'!AD149,'Calc Avalanche'!AD149,'Calc Snowball'!AD149,'Calc Cashflow'!AD149)</f>
        <v/>
      </c>
      <c r="E143" s="43">
        <f>CHOOSE(Plan!$K$5,COUNTIF('Calc Smart'!C149:N149,"&gt;0"),COUNTIF('Calc Avalanche'!C149:N149,"&gt;0"),COUNTIF('Calc Snowball'!C149:N149,"&gt;0"),COUNTIF('Calc Cashflow'!C149:N149,"&gt;0"))</f>
        <v/>
      </c>
      <c r="F143" s="67">
        <f>CHOOSE(Plan!$K$5,'Calc Smart'!C149,'Calc Avalanche'!C149,'Calc Snowball'!C149,'Calc Cashflow'!C149)</f>
        <v/>
      </c>
      <c r="G143" s="67">
        <f>CHOOSE(Plan!$K$5,'Calc Smart'!D149,'Calc Avalanche'!D149,'Calc Snowball'!D149,'Calc Cashflow'!D149)</f>
        <v/>
      </c>
      <c r="H143" s="67">
        <f>CHOOSE(Plan!$K$5,'Calc Smart'!E149,'Calc Avalanche'!E149,'Calc Snowball'!E149,'Calc Cashflow'!E149)</f>
        <v/>
      </c>
      <c r="I143" s="67">
        <f>CHOOSE(Plan!$K$5,'Calc Smart'!F149,'Calc Avalanche'!F149,'Calc Snowball'!F149,'Calc Cashflow'!F149)</f>
        <v/>
      </c>
      <c r="J143" s="67">
        <f>CHOOSE(Plan!$K$5,'Calc Smart'!G149,'Calc Avalanche'!G149,'Calc Snowball'!G149,'Calc Cashflow'!G149)</f>
        <v/>
      </c>
      <c r="K143" s="67">
        <f>CHOOSE(Plan!$K$5,'Calc Smart'!H149,'Calc Avalanche'!H149,'Calc Snowball'!H149,'Calc Cashflow'!H149)</f>
        <v/>
      </c>
      <c r="L143" s="67">
        <f>CHOOSE(Plan!$K$5,'Calc Smart'!I149,'Calc Avalanche'!I149,'Calc Snowball'!I149,'Calc Cashflow'!I149)</f>
        <v/>
      </c>
      <c r="M143" s="67">
        <f>CHOOSE(Plan!$K$5,'Calc Smart'!J149,'Calc Avalanche'!J149,'Calc Snowball'!J149,'Calc Cashflow'!J149)</f>
        <v/>
      </c>
      <c r="N143" s="67">
        <f>CHOOSE(Plan!$K$5,'Calc Smart'!K149,'Calc Avalanche'!K149,'Calc Snowball'!K149,'Calc Cashflow'!K149)</f>
        <v/>
      </c>
      <c r="O143" s="67">
        <f>CHOOSE(Plan!$K$5,'Calc Smart'!L149,'Calc Avalanche'!L149,'Calc Snowball'!L149,'Calc Cashflow'!L149)</f>
        <v/>
      </c>
      <c r="P143" s="67">
        <f>CHOOSE(Plan!$K$5,'Calc Smart'!M149,'Calc Avalanche'!M149,'Calc Snowball'!M149,'Calc Cashflow'!M149)</f>
        <v/>
      </c>
      <c r="Q143" s="67">
        <f>CHOOSE(Plan!$K$5,'Calc Smart'!N149,'Calc Avalanche'!N149,'Calc Snowball'!N149,'Calc Cashflow'!N149)</f>
        <v/>
      </c>
    </row>
    <row r="144">
      <c r="B144" s="64">
        <f>EDATE(Plan!$C$6,138)</f>
        <v/>
      </c>
      <c r="C144" s="31">
        <f>CHOOSE(Plan!$K$5,'Calc Smart'!AE150,'Calc Avalanche'!AE150,'Calc Snowball'!AE150,'Calc Cashflow'!AE150)</f>
        <v/>
      </c>
      <c r="D144" s="31">
        <f>CHOOSE(Plan!$K$5,'Calc Smart'!AD150,'Calc Avalanche'!AD150,'Calc Snowball'!AD150,'Calc Cashflow'!AD150)</f>
        <v/>
      </c>
      <c r="E144" s="40">
        <f>CHOOSE(Plan!$K$5,COUNTIF('Calc Smart'!C150:N150,"&gt;0"),COUNTIF('Calc Avalanche'!C150:N150,"&gt;0"),COUNTIF('Calc Snowball'!C150:N150,"&gt;0"),COUNTIF('Calc Cashflow'!C150:N150,"&gt;0"))</f>
        <v/>
      </c>
      <c r="F144" s="65">
        <f>CHOOSE(Plan!$K$5,'Calc Smart'!C150,'Calc Avalanche'!C150,'Calc Snowball'!C150,'Calc Cashflow'!C150)</f>
        <v/>
      </c>
      <c r="G144" s="65">
        <f>CHOOSE(Plan!$K$5,'Calc Smart'!D150,'Calc Avalanche'!D150,'Calc Snowball'!D150,'Calc Cashflow'!D150)</f>
        <v/>
      </c>
      <c r="H144" s="65">
        <f>CHOOSE(Plan!$K$5,'Calc Smart'!E150,'Calc Avalanche'!E150,'Calc Snowball'!E150,'Calc Cashflow'!E150)</f>
        <v/>
      </c>
      <c r="I144" s="65">
        <f>CHOOSE(Plan!$K$5,'Calc Smart'!F150,'Calc Avalanche'!F150,'Calc Snowball'!F150,'Calc Cashflow'!F150)</f>
        <v/>
      </c>
      <c r="J144" s="65">
        <f>CHOOSE(Plan!$K$5,'Calc Smart'!G150,'Calc Avalanche'!G150,'Calc Snowball'!G150,'Calc Cashflow'!G150)</f>
        <v/>
      </c>
      <c r="K144" s="65">
        <f>CHOOSE(Plan!$K$5,'Calc Smart'!H150,'Calc Avalanche'!H150,'Calc Snowball'!H150,'Calc Cashflow'!H150)</f>
        <v/>
      </c>
      <c r="L144" s="65">
        <f>CHOOSE(Plan!$K$5,'Calc Smart'!I150,'Calc Avalanche'!I150,'Calc Snowball'!I150,'Calc Cashflow'!I150)</f>
        <v/>
      </c>
      <c r="M144" s="65">
        <f>CHOOSE(Plan!$K$5,'Calc Smart'!J150,'Calc Avalanche'!J150,'Calc Snowball'!J150,'Calc Cashflow'!J150)</f>
        <v/>
      </c>
      <c r="N144" s="65">
        <f>CHOOSE(Plan!$K$5,'Calc Smart'!K150,'Calc Avalanche'!K150,'Calc Snowball'!K150,'Calc Cashflow'!K150)</f>
        <v/>
      </c>
      <c r="O144" s="65">
        <f>CHOOSE(Plan!$K$5,'Calc Smart'!L150,'Calc Avalanche'!L150,'Calc Snowball'!L150,'Calc Cashflow'!L150)</f>
        <v/>
      </c>
      <c r="P144" s="65">
        <f>CHOOSE(Plan!$K$5,'Calc Smart'!M150,'Calc Avalanche'!M150,'Calc Snowball'!M150,'Calc Cashflow'!M150)</f>
        <v/>
      </c>
      <c r="Q144" s="65">
        <f>CHOOSE(Plan!$K$5,'Calc Smart'!N150,'Calc Avalanche'!N150,'Calc Snowball'!N150,'Calc Cashflow'!N150)</f>
        <v/>
      </c>
    </row>
    <row r="145">
      <c r="B145" s="66">
        <f>EDATE(Plan!$C$6,139)</f>
        <v/>
      </c>
      <c r="C145" s="32">
        <f>CHOOSE(Plan!$K$5,'Calc Smart'!AE151,'Calc Avalanche'!AE151,'Calc Snowball'!AE151,'Calc Cashflow'!AE151)</f>
        <v/>
      </c>
      <c r="D145" s="32">
        <f>CHOOSE(Plan!$K$5,'Calc Smart'!AD151,'Calc Avalanche'!AD151,'Calc Snowball'!AD151,'Calc Cashflow'!AD151)</f>
        <v/>
      </c>
      <c r="E145" s="43">
        <f>CHOOSE(Plan!$K$5,COUNTIF('Calc Smart'!C151:N151,"&gt;0"),COUNTIF('Calc Avalanche'!C151:N151,"&gt;0"),COUNTIF('Calc Snowball'!C151:N151,"&gt;0"),COUNTIF('Calc Cashflow'!C151:N151,"&gt;0"))</f>
        <v/>
      </c>
      <c r="F145" s="67">
        <f>CHOOSE(Plan!$K$5,'Calc Smart'!C151,'Calc Avalanche'!C151,'Calc Snowball'!C151,'Calc Cashflow'!C151)</f>
        <v/>
      </c>
      <c r="G145" s="67">
        <f>CHOOSE(Plan!$K$5,'Calc Smart'!D151,'Calc Avalanche'!D151,'Calc Snowball'!D151,'Calc Cashflow'!D151)</f>
        <v/>
      </c>
      <c r="H145" s="67">
        <f>CHOOSE(Plan!$K$5,'Calc Smart'!E151,'Calc Avalanche'!E151,'Calc Snowball'!E151,'Calc Cashflow'!E151)</f>
        <v/>
      </c>
      <c r="I145" s="67">
        <f>CHOOSE(Plan!$K$5,'Calc Smart'!F151,'Calc Avalanche'!F151,'Calc Snowball'!F151,'Calc Cashflow'!F151)</f>
        <v/>
      </c>
      <c r="J145" s="67">
        <f>CHOOSE(Plan!$K$5,'Calc Smart'!G151,'Calc Avalanche'!G151,'Calc Snowball'!G151,'Calc Cashflow'!G151)</f>
        <v/>
      </c>
      <c r="K145" s="67">
        <f>CHOOSE(Plan!$K$5,'Calc Smart'!H151,'Calc Avalanche'!H151,'Calc Snowball'!H151,'Calc Cashflow'!H151)</f>
        <v/>
      </c>
      <c r="L145" s="67">
        <f>CHOOSE(Plan!$K$5,'Calc Smart'!I151,'Calc Avalanche'!I151,'Calc Snowball'!I151,'Calc Cashflow'!I151)</f>
        <v/>
      </c>
      <c r="M145" s="67">
        <f>CHOOSE(Plan!$K$5,'Calc Smart'!J151,'Calc Avalanche'!J151,'Calc Snowball'!J151,'Calc Cashflow'!J151)</f>
        <v/>
      </c>
      <c r="N145" s="67">
        <f>CHOOSE(Plan!$K$5,'Calc Smart'!K151,'Calc Avalanche'!K151,'Calc Snowball'!K151,'Calc Cashflow'!K151)</f>
        <v/>
      </c>
      <c r="O145" s="67">
        <f>CHOOSE(Plan!$K$5,'Calc Smart'!L151,'Calc Avalanche'!L151,'Calc Snowball'!L151,'Calc Cashflow'!L151)</f>
        <v/>
      </c>
      <c r="P145" s="67">
        <f>CHOOSE(Plan!$K$5,'Calc Smart'!M151,'Calc Avalanche'!M151,'Calc Snowball'!M151,'Calc Cashflow'!M151)</f>
        <v/>
      </c>
      <c r="Q145" s="67">
        <f>CHOOSE(Plan!$K$5,'Calc Smart'!N151,'Calc Avalanche'!N151,'Calc Snowball'!N151,'Calc Cashflow'!N151)</f>
        <v/>
      </c>
    </row>
    <row r="146">
      <c r="B146" s="64">
        <f>EDATE(Plan!$C$6,140)</f>
        <v/>
      </c>
      <c r="C146" s="31">
        <f>CHOOSE(Plan!$K$5,'Calc Smart'!AE152,'Calc Avalanche'!AE152,'Calc Snowball'!AE152,'Calc Cashflow'!AE152)</f>
        <v/>
      </c>
      <c r="D146" s="31">
        <f>CHOOSE(Plan!$K$5,'Calc Smart'!AD152,'Calc Avalanche'!AD152,'Calc Snowball'!AD152,'Calc Cashflow'!AD152)</f>
        <v/>
      </c>
      <c r="E146" s="40">
        <f>CHOOSE(Plan!$K$5,COUNTIF('Calc Smart'!C152:N152,"&gt;0"),COUNTIF('Calc Avalanche'!C152:N152,"&gt;0"),COUNTIF('Calc Snowball'!C152:N152,"&gt;0"),COUNTIF('Calc Cashflow'!C152:N152,"&gt;0"))</f>
        <v/>
      </c>
      <c r="F146" s="65">
        <f>CHOOSE(Plan!$K$5,'Calc Smart'!C152,'Calc Avalanche'!C152,'Calc Snowball'!C152,'Calc Cashflow'!C152)</f>
        <v/>
      </c>
      <c r="G146" s="65">
        <f>CHOOSE(Plan!$K$5,'Calc Smart'!D152,'Calc Avalanche'!D152,'Calc Snowball'!D152,'Calc Cashflow'!D152)</f>
        <v/>
      </c>
      <c r="H146" s="65">
        <f>CHOOSE(Plan!$K$5,'Calc Smart'!E152,'Calc Avalanche'!E152,'Calc Snowball'!E152,'Calc Cashflow'!E152)</f>
        <v/>
      </c>
      <c r="I146" s="65">
        <f>CHOOSE(Plan!$K$5,'Calc Smart'!F152,'Calc Avalanche'!F152,'Calc Snowball'!F152,'Calc Cashflow'!F152)</f>
        <v/>
      </c>
      <c r="J146" s="65">
        <f>CHOOSE(Plan!$K$5,'Calc Smart'!G152,'Calc Avalanche'!G152,'Calc Snowball'!G152,'Calc Cashflow'!G152)</f>
        <v/>
      </c>
      <c r="K146" s="65">
        <f>CHOOSE(Plan!$K$5,'Calc Smart'!H152,'Calc Avalanche'!H152,'Calc Snowball'!H152,'Calc Cashflow'!H152)</f>
        <v/>
      </c>
      <c r="L146" s="65">
        <f>CHOOSE(Plan!$K$5,'Calc Smart'!I152,'Calc Avalanche'!I152,'Calc Snowball'!I152,'Calc Cashflow'!I152)</f>
        <v/>
      </c>
      <c r="M146" s="65">
        <f>CHOOSE(Plan!$K$5,'Calc Smart'!J152,'Calc Avalanche'!J152,'Calc Snowball'!J152,'Calc Cashflow'!J152)</f>
        <v/>
      </c>
      <c r="N146" s="65">
        <f>CHOOSE(Plan!$K$5,'Calc Smart'!K152,'Calc Avalanche'!K152,'Calc Snowball'!K152,'Calc Cashflow'!K152)</f>
        <v/>
      </c>
      <c r="O146" s="65">
        <f>CHOOSE(Plan!$K$5,'Calc Smart'!L152,'Calc Avalanche'!L152,'Calc Snowball'!L152,'Calc Cashflow'!L152)</f>
        <v/>
      </c>
      <c r="P146" s="65">
        <f>CHOOSE(Plan!$K$5,'Calc Smart'!M152,'Calc Avalanche'!M152,'Calc Snowball'!M152,'Calc Cashflow'!M152)</f>
        <v/>
      </c>
      <c r="Q146" s="65">
        <f>CHOOSE(Plan!$K$5,'Calc Smart'!N152,'Calc Avalanche'!N152,'Calc Snowball'!N152,'Calc Cashflow'!N152)</f>
        <v/>
      </c>
    </row>
    <row r="147">
      <c r="B147" s="66">
        <f>EDATE(Plan!$C$6,141)</f>
        <v/>
      </c>
      <c r="C147" s="32">
        <f>CHOOSE(Plan!$K$5,'Calc Smart'!AE153,'Calc Avalanche'!AE153,'Calc Snowball'!AE153,'Calc Cashflow'!AE153)</f>
        <v/>
      </c>
      <c r="D147" s="32">
        <f>CHOOSE(Plan!$K$5,'Calc Smart'!AD153,'Calc Avalanche'!AD153,'Calc Snowball'!AD153,'Calc Cashflow'!AD153)</f>
        <v/>
      </c>
      <c r="E147" s="43">
        <f>CHOOSE(Plan!$K$5,COUNTIF('Calc Smart'!C153:N153,"&gt;0"),COUNTIF('Calc Avalanche'!C153:N153,"&gt;0"),COUNTIF('Calc Snowball'!C153:N153,"&gt;0"),COUNTIF('Calc Cashflow'!C153:N153,"&gt;0"))</f>
        <v/>
      </c>
      <c r="F147" s="67">
        <f>CHOOSE(Plan!$K$5,'Calc Smart'!C153,'Calc Avalanche'!C153,'Calc Snowball'!C153,'Calc Cashflow'!C153)</f>
        <v/>
      </c>
      <c r="G147" s="67">
        <f>CHOOSE(Plan!$K$5,'Calc Smart'!D153,'Calc Avalanche'!D153,'Calc Snowball'!D153,'Calc Cashflow'!D153)</f>
        <v/>
      </c>
      <c r="H147" s="67">
        <f>CHOOSE(Plan!$K$5,'Calc Smart'!E153,'Calc Avalanche'!E153,'Calc Snowball'!E153,'Calc Cashflow'!E153)</f>
        <v/>
      </c>
      <c r="I147" s="67">
        <f>CHOOSE(Plan!$K$5,'Calc Smart'!F153,'Calc Avalanche'!F153,'Calc Snowball'!F153,'Calc Cashflow'!F153)</f>
        <v/>
      </c>
      <c r="J147" s="67">
        <f>CHOOSE(Plan!$K$5,'Calc Smart'!G153,'Calc Avalanche'!G153,'Calc Snowball'!G153,'Calc Cashflow'!G153)</f>
        <v/>
      </c>
      <c r="K147" s="67">
        <f>CHOOSE(Plan!$K$5,'Calc Smart'!H153,'Calc Avalanche'!H153,'Calc Snowball'!H153,'Calc Cashflow'!H153)</f>
        <v/>
      </c>
      <c r="L147" s="67">
        <f>CHOOSE(Plan!$K$5,'Calc Smart'!I153,'Calc Avalanche'!I153,'Calc Snowball'!I153,'Calc Cashflow'!I153)</f>
        <v/>
      </c>
      <c r="M147" s="67">
        <f>CHOOSE(Plan!$K$5,'Calc Smart'!J153,'Calc Avalanche'!J153,'Calc Snowball'!J153,'Calc Cashflow'!J153)</f>
        <v/>
      </c>
      <c r="N147" s="67">
        <f>CHOOSE(Plan!$K$5,'Calc Smart'!K153,'Calc Avalanche'!K153,'Calc Snowball'!K153,'Calc Cashflow'!K153)</f>
        <v/>
      </c>
      <c r="O147" s="67">
        <f>CHOOSE(Plan!$K$5,'Calc Smart'!L153,'Calc Avalanche'!L153,'Calc Snowball'!L153,'Calc Cashflow'!L153)</f>
        <v/>
      </c>
      <c r="P147" s="67">
        <f>CHOOSE(Plan!$K$5,'Calc Smart'!M153,'Calc Avalanche'!M153,'Calc Snowball'!M153,'Calc Cashflow'!M153)</f>
        <v/>
      </c>
      <c r="Q147" s="67">
        <f>CHOOSE(Plan!$K$5,'Calc Smart'!N153,'Calc Avalanche'!N153,'Calc Snowball'!N153,'Calc Cashflow'!N153)</f>
        <v/>
      </c>
    </row>
    <row r="148">
      <c r="B148" s="64">
        <f>EDATE(Plan!$C$6,142)</f>
        <v/>
      </c>
      <c r="C148" s="31">
        <f>CHOOSE(Plan!$K$5,'Calc Smart'!AE154,'Calc Avalanche'!AE154,'Calc Snowball'!AE154,'Calc Cashflow'!AE154)</f>
        <v/>
      </c>
      <c r="D148" s="31">
        <f>CHOOSE(Plan!$K$5,'Calc Smart'!AD154,'Calc Avalanche'!AD154,'Calc Snowball'!AD154,'Calc Cashflow'!AD154)</f>
        <v/>
      </c>
      <c r="E148" s="40">
        <f>CHOOSE(Plan!$K$5,COUNTIF('Calc Smart'!C154:N154,"&gt;0"),COUNTIF('Calc Avalanche'!C154:N154,"&gt;0"),COUNTIF('Calc Snowball'!C154:N154,"&gt;0"),COUNTIF('Calc Cashflow'!C154:N154,"&gt;0"))</f>
        <v/>
      </c>
      <c r="F148" s="65">
        <f>CHOOSE(Plan!$K$5,'Calc Smart'!C154,'Calc Avalanche'!C154,'Calc Snowball'!C154,'Calc Cashflow'!C154)</f>
        <v/>
      </c>
      <c r="G148" s="65">
        <f>CHOOSE(Plan!$K$5,'Calc Smart'!D154,'Calc Avalanche'!D154,'Calc Snowball'!D154,'Calc Cashflow'!D154)</f>
        <v/>
      </c>
      <c r="H148" s="65">
        <f>CHOOSE(Plan!$K$5,'Calc Smart'!E154,'Calc Avalanche'!E154,'Calc Snowball'!E154,'Calc Cashflow'!E154)</f>
        <v/>
      </c>
      <c r="I148" s="65">
        <f>CHOOSE(Plan!$K$5,'Calc Smart'!F154,'Calc Avalanche'!F154,'Calc Snowball'!F154,'Calc Cashflow'!F154)</f>
        <v/>
      </c>
      <c r="J148" s="65">
        <f>CHOOSE(Plan!$K$5,'Calc Smart'!G154,'Calc Avalanche'!G154,'Calc Snowball'!G154,'Calc Cashflow'!G154)</f>
        <v/>
      </c>
      <c r="K148" s="65">
        <f>CHOOSE(Plan!$K$5,'Calc Smart'!H154,'Calc Avalanche'!H154,'Calc Snowball'!H154,'Calc Cashflow'!H154)</f>
        <v/>
      </c>
      <c r="L148" s="65">
        <f>CHOOSE(Plan!$K$5,'Calc Smart'!I154,'Calc Avalanche'!I154,'Calc Snowball'!I154,'Calc Cashflow'!I154)</f>
        <v/>
      </c>
      <c r="M148" s="65">
        <f>CHOOSE(Plan!$K$5,'Calc Smart'!J154,'Calc Avalanche'!J154,'Calc Snowball'!J154,'Calc Cashflow'!J154)</f>
        <v/>
      </c>
      <c r="N148" s="65">
        <f>CHOOSE(Plan!$K$5,'Calc Smart'!K154,'Calc Avalanche'!K154,'Calc Snowball'!K154,'Calc Cashflow'!K154)</f>
        <v/>
      </c>
      <c r="O148" s="65">
        <f>CHOOSE(Plan!$K$5,'Calc Smart'!L154,'Calc Avalanche'!L154,'Calc Snowball'!L154,'Calc Cashflow'!L154)</f>
        <v/>
      </c>
      <c r="P148" s="65">
        <f>CHOOSE(Plan!$K$5,'Calc Smart'!M154,'Calc Avalanche'!M154,'Calc Snowball'!M154,'Calc Cashflow'!M154)</f>
        <v/>
      </c>
      <c r="Q148" s="65">
        <f>CHOOSE(Plan!$K$5,'Calc Smart'!N154,'Calc Avalanche'!N154,'Calc Snowball'!N154,'Calc Cashflow'!N154)</f>
        <v/>
      </c>
    </row>
    <row r="149">
      <c r="B149" s="66">
        <f>EDATE(Plan!$C$6,143)</f>
        <v/>
      </c>
      <c r="C149" s="32">
        <f>CHOOSE(Plan!$K$5,'Calc Smart'!AE155,'Calc Avalanche'!AE155,'Calc Snowball'!AE155,'Calc Cashflow'!AE155)</f>
        <v/>
      </c>
      <c r="D149" s="32">
        <f>CHOOSE(Plan!$K$5,'Calc Smart'!AD155,'Calc Avalanche'!AD155,'Calc Snowball'!AD155,'Calc Cashflow'!AD155)</f>
        <v/>
      </c>
      <c r="E149" s="43">
        <f>CHOOSE(Plan!$K$5,COUNTIF('Calc Smart'!C155:N155,"&gt;0"),COUNTIF('Calc Avalanche'!C155:N155,"&gt;0"),COUNTIF('Calc Snowball'!C155:N155,"&gt;0"),COUNTIF('Calc Cashflow'!C155:N155,"&gt;0"))</f>
        <v/>
      </c>
      <c r="F149" s="67">
        <f>CHOOSE(Plan!$K$5,'Calc Smart'!C155,'Calc Avalanche'!C155,'Calc Snowball'!C155,'Calc Cashflow'!C155)</f>
        <v/>
      </c>
      <c r="G149" s="67">
        <f>CHOOSE(Plan!$K$5,'Calc Smart'!D155,'Calc Avalanche'!D155,'Calc Snowball'!D155,'Calc Cashflow'!D155)</f>
        <v/>
      </c>
      <c r="H149" s="67">
        <f>CHOOSE(Plan!$K$5,'Calc Smart'!E155,'Calc Avalanche'!E155,'Calc Snowball'!E155,'Calc Cashflow'!E155)</f>
        <v/>
      </c>
      <c r="I149" s="67">
        <f>CHOOSE(Plan!$K$5,'Calc Smart'!F155,'Calc Avalanche'!F155,'Calc Snowball'!F155,'Calc Cashflow'!F155)</f>
        <v/>
      </c>
      <c r="J149" s="67">
        <f>CHOOSE(Plan!$K$5,'Calc Smart'!G155,'Calc Avalanche'!G155,'Calc Snowball'!G155,'Calc Cashflow'!G155)</f>
        <v/>
      </c>
      <c r="K149" s="67">
        <f>CHOOSE(Plan!$K$5,'Calc Smart'!H155,'Calc Avalanche'!H155,'Calc Snowball'!H155,'Calc Cashflow'!H155)</f>
        <v/>
      </c>
      <c r="L149" s="67">
        <f>CHOOSE(Plan!$K$5,'Calc Smart'!I155,'Calc Avalanche'!I155,'Calc Snowball'!I155,'Calc Cashflow'!I155)</f>
        <v/>
      </c>
      <c r="M149" s="67">
        <f>CHOOSE(Plan!$K$5,'Calc Smart'!J155,'Calc Avalanche'!J155,'Calc Snowball'!J155,'Calc Cashflow'!J155)</f>
        <v/>
      </c>
      <c r="N149" s="67">
        <f>CHOOSE(Plan!$K$5,'Calc Smart'!K155,'Calc Avalanche'!K155,'Calc Snowball'!K155,'Calc Cashflow'!K155)</f>
        <v/>
      </c>
      <c r="O149" s="67">
        <f>CHOOSE(Plan!$K$5,'Calc Smart'!L155,'Calc Avalanche'!L155,'Calc Snowball'!L155,'Calc Cashflow'!L155)</f>
        <v/>
      </c>
      <c r="P149" s="67">
        <f>CHOOSE(Plan!$K$5,'Calc Smart'!M155,'Calc Avalanche'!M155,'Calc Snowball'!M155,'Calc Cashflow'!M155)</f>
        <v/>
      </c>
      <c r="Q149" s="67">
        <f>CHOOSE(Plan!$K$5,'Calc Smart'!N155,'Calc Avalanche'!N155,'Calc Snowball'!N155,'Calc Cashflow'!N155)</f>
        <v/>
      </c>
    </row>
    <row r="150">
      <c r="B150" s="64">
        <f>EDATE(Plan!$C$6,144)</f>
        <v/>
      </c>
      <c r="C150" s="31">
        <f>CHOOSE(Plan!$K$5,'Calc Smart'!AE156,'Calc Avalanche'!AE156,'Calc Snowball'!AE156,'Calc Cashflow'!AE156)</f>
        <v/>
      </c>
      <c r="D150" s="31">
        <f>CHOOSE(Plan!$K$5,'Calc Smart'!AD156,'Calc Avalanche'!AD156,'Calc Snowball'!AD156,'Calc Cashflow'!AD156)</f>
        <v/>
      </c>
      <c r="E150" s="40">
        <f>CHOOSE(Plan!$K$5,COUNTIF('Calc Smart'!C156:N156,"&gt;0"),COUNTIF('Calc Avalanche'!C156:N156,"&gt;0"),COUNTIF('Calc Snowball'!C156:N156,"&gt;0"),COUNTIF('Calc Cashflow'!C156:N156,"&gt;0"))</f>
        <v/>
      </c>
      <c r="F150" s="65">
        <f>CHOOSE(Plan!$K$5,'Calc Smart'!C156,'Calc Avalanche'!C156,'Calc Snowball'!C156,'Calc Cashflow'!C156)</f>
        <v/>
      </c>
      <c r="G150" s="65">
        <f>CHOOSE(Plan!$K$5,'Calc Smart'!D156,'Calc Avalanche'!D156,'Calc Snowball'!D156,'Calc Cashflow'!D156)</f>
        <v/>
      </c>
      <c r="H150" s="65">
        <f>CHOOSE(Plan!$K$5,'Calc Smart'!E156,'Calc Avalanche'!E156,'Calc Snowball'!E156,'Calc Cashflow'!E156)</f>
        <v/>
      </c>
      <c r="I150" s="65">
        <f>CHOOSE(Plan!$K$5,'Calc Smart'!F156,'Calc Avalanche'!F156,'Calc Snowball'!F156,'Calc Cashflow'!F156)</f>
        <v/>
      </c>
      <c r="J150" s="65">
        <f>CHOOSE(Plan!$K$5,'Calc Smart'!G156,'Calc Avalanche'!G156,'Calc Snowball'!G156,'Calc Cashflow'!G156)</f>
        <v/>
      </c>
      <c r="K150" s="65">
        <f>CHOOSE(Plan!$K$5,'Calc Smart'!H156,'Calc Avalanche'!H156,'Calc Snowball'!H156,'Calc Cashflow'!H156)</f>
        <v/>
      </c>
      <c r="L150" s="65">
        <f>CHOOSE(Plan!$K$5,'Calc Smart'!I156,'Calc Avalanche'!I156,'Calc Snowball'!I156,'Calc Cashflow'!I156)</f>
        <v/>
      </c>
      <c r="M150" s="65">
        <f>CHOOSE(Plan!$K$5,'Calc Smart'!J156,'Calc Avalanche'!J156,'Calc Snowball'!J156,'Calc Cashflow'!J156)</f>
        <v/>
      </c>
      <c r="N150" s="65">
        <f>CHOOSE(Plan!$K$5,'Calc Smart'!K156,'Calc Avalanche'!K156,'Calc Snowball'!K156,'Calc Cashflow'!K156)</f>
        <v/>
      </c>
      <c r="O150" s="65">
        <f>CHOOSE(Plan!$K$5,'Calc Smart'!L156,'Calc Avalanche'!L156,'Calc Snowball'!L156,'Calc Cashflow'!L156)</f>
        <v/>
      </c>
      <c r="P150" s="65">
        <f>CHOOSE(Plan!$K$5,'Calc Smart'!M156,'Calc Avalanche'!M156,'Calc Snowball'!M156,'Calc Cashflow'!M156)</f>
        <v/>
      </c>
      <c r="Q150" s="65">
        <f>CHOOSE(Plan!$K$5,'Calc Smart'!N156,'Calc Avalanche'!N156,'Calc Snowball'!N156,'Calc Cashflow'!N156)</f>
        <v/>
      </c>
    </row>
    <row r="151">
      <c r="B151" s="66">
        <f>EDATE(Plan!$C$6,145)</f>
        <v/>
      </c>
      <c r="C151" s="32">
        <f>CHOOSE(Plan!$K$5,'Calc Smart'!AE157,'Calc Avalanche'!AE157,'Calc Snowball'!AE157,'Calc Cashflow'!AE157)</f>
        <v/>
      </c>
      <c r="D151" s="32">
        <f>CHOOSE(Plan!$K$5,'Calc Smart'!AD157,'Calc Avalanche'!AD157,'Calc Snowball'!AD157,'Calc Cashflow'!AD157)</f>
        <v/>
      </c>
      <c r="E151" s="43">
        <f>CHOOSE(Plan!$K$5,COUNTIF('Calc Smart'!C157:N157,"&gt;0"),COUNTIF('Calc Avalanche'!C157:N157,"&gt;0"),COUNTIF('Calc Snowball'!C157:N157,"&gt;0"),COUNTIF('Calc Cashflow'!C157:N157,"&gt;0"))</f>
        <v/>
      </c>
      <c r="F151" s="67">
        <f>CHOOSE(Plan!$K$5,'Calc Smart'!C157,'Calc Avalanche'!C157,'Calc Snowball'!C157,'Calc Cashflow'!C157)</f>
        <v/>
      </c>
      <c r="G151" s="67">
        <f>CHOOSE(Plan!$K$5,'Calc Smart'!D157,'Calc Avalanche'!D157,'Calc Snowball'!D157,'Calc Cashflow'!D157)</f>
        <v/>
      </c>
      <c r="H151" s="67">
        <f>CHOOSE(Plan!$K$5,'Calc Smart'!E157,'Calc Avalanche'!E157,'Calc Snowball'!E157,'Calc Cashflow'!E157)</f>
        <v/>
      </c>
      <c r="I151" s="67">
        <f>CHOOSE(Plan!$K$5,'Calc Smart'!F157,'Calc Avalanche'!F157,'Calc Snowball'!F157,'Calc Cashflow'!F157)</f>
        <v/>
      </c>
      <c r="J151" s="67">
        <f>CHOOSE(Plan!$K$5,'Calc Smart'!G157,'Calc Avalanche'!G157,'Calc Snowball'!G157,'Calc Cashflow'!G157)</f>
        <v/>
      </c>
      <c r="K151" s="67">
        <f>CHOOSE(Plan!$K$5,'Calc Smart'!H157,'Calc Avalanche'!H157,'Calc Snowball'!H157,'Calc Cashflow'!H157)</f>
        <v/>
      </c>
      <c r="L151" s="67">
        <f>CHOOSE(Plan!$K$5,'Calc Smart'!I157,'Calc Avalanche'!I157,'Calc Snowball'!I157,'Calc Cashflow'!I157)</f>
        <v/>
      </c>
      <c r="M151" s="67">
        <f>CHOOSE(Plan!$K$5,'Calc Smart'!J157,'Calc Avalanche'!J157,'Calc Snowball'!J157,'Calc Cashflow'!J157)</f>
        <v/>
      </c>
      <c r="N151" s="67">
        <f>CHOOSE(Plan!$K$5,'Calc Smart'!K157,'Calc Avalanche'!K157,'Calc Snowball'!K157,'Calc Cashflow'!K157)</f>
        <v/>
      </c>
      <c r="O151" s="67">
        <f>CHOOSE(Plan!$K$5,'Calc Smart'!L157,'Calc Avalanche'!L157,'Calc Snowball'!L157,'Calc Cashflow'!L157)</f>
        <v/>
      </c>
      <c r="P151" s="67">
        <f>CHOOSE(Plan!$K$5,'Calc Smart'!M157,'Calc Avalanche'!M157,'Calc Snowball'!M157,'Calc Cashflow'!M157)</f>
        <v/>
      </c>
      <c r="Q151" s="67">
        <f>CHOOSE(Plan!$K$5,'Calc Smart'!N157,'Calc Avalanche'!N157,'Calc Snowball'!N157,'Calc Cashflow'!N157)</f>
        <v/>
      </c>
    </row>
    <row r="152">
      <c r="B152" s="64">
        <f>EDATE(Plan!$C$6,146)</f>
        <v/>
      </c>
      <c r="C152" s="31">
        <f>CHOOSE(Plan!$K$5,'Calc Smart'!AE158,'Calc Avalanche'!AE158,'Calc Snowball'!AE158,'Calc Cashflow'!AE158)</f>
        <v/>
      </c>
      <c r="D152" s="31">
        <f>CHOOSE(Plan!$K$5,'Calc Smart'!AD158,'Calc Avalanche'!AD158,'Calc Snowball'!AD158,'Calc Cashflow'!AD158)</f>
        <v/>
      </c>
      <c r="E152" s="40">
        <f>CHOOSE(Plan!$K$5,COUNTIF('Calc Smart'!C158:N158,"&gt;0"),COUNTIF('Calc Avalanche'!C158:N158,"&gt;0"),COUNTIF('Calc Snowball'!C158:N158,"&gt;0"),COUNTIF('Calc Cashflow'!C158:N158,"&gt;0"))</f>
        <v/>
      </c>
      <c r="F152" s="65">
        <f>CHOOSE(Plan!$K$5,'Calc Smart'!C158,'Calc Avalanche'!C158,'Calc Snowball'!C158,'Calc Cashflow'!C158)</f>
        <v/>
      </c>
      <c r="G152" s="65">
        <f>CHOOSE(Plan!$K$5,'Calc Smart'!D158,'Calc Avalanche'!D158,'Calc Snowball'!D158,'Calc Cashflow'!D158)</f>
        <v/>
      </c>
      <c r="H152" s="65">
        <f>CHOOSE(Plan!$K$5,'Calc Smart'!E158,'Calc Avalanche'!E158,'Calc Snowball'!E158,'Calc Cashflow'!E158)</f>
        <v/>
      </c>
      <c r="I152" s="65">
        <f>CHOOSE(Plan!$K$5,'Calc Smart'!F158,'Calc Avalanche'!F158,'Calc Snowball'!F158,'Calc Cashflow'!F158)</f>
        <v/>
      </c>
      <c r="J152" s="65">
        <f>CHOOSE(Plan!$K$5,'Calc Smart'!G158,'Calc Avalanche'!G158,'Calc Snowball'!G158,'Calc Cashflow'!G158)</f>
        <v/>
      </c>
      <c r="K152" s="65">
        <f>CHOOSE(Plan!$K$5,'Calc Smart'!H158,'Calc Avalanche'!H158,'Calc Snowball'!H158,'Calc Cashflow'!H158)</f>
        <v/>
      </c>
      <c r="L152" s="65">
        <f>CHOOSE(Plan!$K$5,'Calc Smart'!I158,'Calc Avalanche'!I158,'Calc Snowball'!I158,'Calc Cashflow'!I158)</f>
        <v/>
      </c>
      <c r="M152" s="65">
        <f>CHOOSE(Plan!$K$5,'Calc Smart'!J158,'Calc Avalanche'!J158,'Calc Snowball'!J158,'Calc Cashflow'!J158)</f>
        <v/>
      </c>
      <c r="N152" s="65">
        <f>CHOOSE(Plan!$K$5,'Calc Smart'!K158,'Calc Avalanche'!K158,'Calc Snowball'!K158,'Calc Cashflow'!K158)</f>
        <v/>
      </c>
      <c r="O152" s="65">
        <f>CHOOSE(Plan!$K$5,'Calc Smart'!L158,'Calc Avalanche'!L158,'Calc Snowball'!L158,'Calc Cashflow'!L158)</f>
        <v/>
      </c>
      <c r="P152" s="65">
        <f>CHOOSE(Plan!$K$5,'Calc Smart'!M158,'Calc Avalanche'!M158,'Calc Snowball'!M158,'Calc Cashflow'!M158)</f>
        <v/>
      </c>
      <c r="Q152" s="65">
        <f>CHOOSE(Plan!$K$5,'Calc Smart'!N158,'Calc Avalanche'!N158,'Calc Snowball'!N158,'Calc Cashflow'!N158)</f>
        <v/>
      </c>
    </row>
    <row r="153">
      <c r="B153" s="66">
        <f>EDATE(Plan!$C$6,147)</f>
        <v/>
      </c>
      <c r="C153" s="32">
        <f>CHOOSE(Plan!$K$5,'Calc Smart'!AE159,'Calc Avalanche'!AE159,'Calc Snowball'!AE159,'Calc Cashflow'!AE159)</f>
        <v/>
      </c>
      <c r="D153" s="32">
        <f>CHOOSE(Plan!$K$5,'Calc Smart'!AD159,'Calc Avalanche'!AD159,'Calc Snowball'!AD159,'Calc Cashflow'!AD159)</f>
        <v/>
      </c>
      <c r="E153" s="43">
        <f>CHOOSE(Plan!$K$5,COUNTIF('Calc Smart'!C159:N159,"&gt;0"),COUNTIF('Calc Avalanche'!C159:N159,"&gt;0"),COUNTIF('Calc Snowball'!C159:N159,"&gt;0"),COUNTIF('Calc Cashflow'!C159:N159,"&gt;0"))</f>
        <v/>
      </c>
      <c r="F153" s="67">
        <f>CHOOSE(Plan!$K$5,'Calc Smart'!C159,'Calc Avalanche'!C159,'Calc Snowball'!C159,'Calc Cashflow'!C159)</f>
        <v/>
      </c>
      <c r="G153" s="67">
        <f>CHOOSE(Plan!$K$5,'Calc Smart'!D159,'Calc Avalanche'!D159,'Calc Snowball'!D159,'Calc Cashflow'!D159)</f>
        <v/>
      </c>
      <c r="H153" s="67">
        <f>CHOOSE(Plan!$K$5,'Calc Smart'!E159,'Calc Avalanche'!E159,'Calc Snowball'!E159,'Calc Cashflow'!E159)</f>
        <v/>
      </c>
      <c r="I153" s="67">
        <f>CHOOSE(Plan!$K$5,'Calc Smart'!F159,'Calc Avalanche'!F159,'Calc Snowball'!F159,'Calc Cashflow'!F159)</f>
        <v/>
      </c>
      <c r="J153" s="67">
        <f>CHOOSE(Plan!$K$5,'Calc Smart'!G159,'Calc Avalanche'!G159,'Calc Snowball'!G159,'Calc Cashflow'!G159)</f>
        <v/>
      </c>
      <c r="K153" s="67">
        <f>CHOOSE(Plan!$K$5,'Calc Smart'!H159,'Calc Avalanche'!H159,'Calc Snowball'!H159,'Calc Cashflow'!H159)</f>
        <v/>
      </c>
      <c r="L153" s="67">
        <f>CHOOSE(Plan!$K$5,'Calc Smart'!I159,'Calc Avalanche'!I159,'Calc Snowball'!I159,'Calc Cashflow'!I159)</f>
        <v/>
      </c>
      <c r="M153" s="67">
        <f>CHOOSE(Plan!$K$5,'Calc Smart'!J159,'Calc Avalanche'!J159,'Calc Snowball'!J159,'Calc Cashflow'!J159)</f>
        <v/>
      </c>
      <c r="N153" s="67">
        <f>CHOOSE(Plan!$K$5,'Calc Smart'!K159,'Calc Avalanche'!K159,'Calc Snowball'!K159,'Calc Cashflow'!K159)</f>
        <v/>
      </c>
      <c r="O153" s="67">
        <f>CHOOSE(Plan!$K$5,'Calc Smart'!L159,'Calc Avalanche'!L159,'Calc Snowball'!L159,'Calc Cashflow'!L159)</f>
        <v/>
      </c>
      <c r="P153" s="67">
        <f>CHOOSE(Plan!$K$5,'Calc Smart'!M159,'Calc Avalanche'!M159,'Calc Snowball'!M159,'Calc Cashflow'!M159)</f>
        <v/>
      </c>
      <c r="Q153" s="67">
        <f>CHOOSE(Plan!$K$5,'Calc Smart'!N159,'Calc Avalanche'!N159,'Calc Snowball'!N159,'Calc Cashflow'!N159)</f>
        <v/>
      </c>
    </row>
    <row r="154">
      <c r="B154" s="64">
        <f>EDATE(Plan!$C$6,148)</f>
        <v/>
      </c>
      <c r="C154" s="31">
        <f>CHOOSE(Plan!$K$5,'Calc Smart'!AE160,'Calc Avalanche'!AE160,'Calc Snowball'!AE160,'Calc Cashflow'!AE160)</f>
        <v/>
      </c>
      <c r="D154" s="31">
        <f>CHOOSE(Plan!$K$5,'Calc Smart'!AD160,'Calc Avalanche'!AD160,'Calc Snowball'!AD160,'Calc Cashflow'!AD160)</f>
        <v/>
      </c>
      <c r="E154" s="40">
        <f>CHOOSE(Plan!$K$5,COUNTIF('Calc Smart'!C160:N160,"&gt;0"),COUNTIF('Calc Avalanche'!C160:N160,"&gt;0"),COUNTIF('Calc Snowball'!C160:N160,"&gt;0"),COUNTIF('Calc Cashflow'!C160:N160,"&gt;0"))</f>
        <v/>
      </c>
      <c r="F154" s="65">
        <f>CHOOSE(Plan!$K$5,'Calc Smart'!C160,'Calc Avalanche'!C160,'Calc Snowball'!C160,'Calc Cashflow'!C160)</f>
        <v/>
      </c>
      <c r="G154" s="65">
        <f>CHOOSE(Plan!$K$5,'Calc Smart'!D160,'Calc Avalanche'!D160,'Calc Snowball'!D160,'Calc Cashflow'!D160)</f>
        <v/>
      </c>
      <c r="H154" s="65">
        <f>CHOOSE(Plan!$K$5,'Calc Smart'!E160,'Calc Avalanche'!E160,'Calc Snowball'!E160,'Calc Cashflow'!E160)</f>
        <v/>
      </c>
      <c r="I154" s="65">
        <f>CHOOSE(Plan!$K$5,'Calc Smart'!F160,'Calc Avalanche'!F160,'Calc Snowball'!F160,'Calc Cashflow'!F160)</f>
        <v/>
      </c>
      <c r="J154" s="65">
        <f>CHOOSE(Plan!$K$5,'Calc Smart'!G160,'Calc Avalanche'!G160,'Calc Snowball'!G160,'Calc Cashflow'!G160)</f>
        <v/>
      </c>
      <c r="K154" s="65">
        <f>CHOOSE(Plan!$K$5,'Calc Smart'!H160,'Calc Avalanche'!H160,'Calc Snowball'!H160,'Calc Cashflow'!H160)</f>
        <v/>
      </c>
      <c r="L154" s="65">
        <f>CHOOSE(Plan!$K$5,'Calc Smart'!I160,'Calc Avalanche'!I160,'Calc Snowball'!I160,'Calc Cashflow'!I160)</f>
        <v/>
      </c>
      <c r="M154" s="65">
        <f>CHOOSE(Plan!$K$5,'Calc Smart'!J160,'Calc Avalanche'!J160,'Calc Snowball'!J160,'Calc Cashflow'!J160)</f>
        <v/>
      </c>
      <c r="N154" s="65">
        <f>CHOOSE(Plan!$K$5,'Calc Smart'!K160,'Calc Avalanche'!K160,'Calc Snowball'!K160,'Calc Cashflow'!K160)</f>
        <v/>
      </c>
      <c r="O154" s="65">
        <f>CHOOSE(Plan!$K$5,'Calc Smart'!L160,'Calc Avalanche'!L160,'Calc Snowball'!L160,'Calc Cashflow'!L160)</f>
        <v/>
      </c>
      <c r="P154" s="65">
        <f>CHOOSE(Plan!$K$5,'Calc Smart'!M160,'Calc Avalanche'!M160,'Calc Snowball'!M160,'Calc Cashflow'!M160)</f>
        <v/>
      </c>
      <c r="Q154" s="65">
        <f>CHOOSE(Plan!$K$5,'Calc Smart'!N160,'Calc Avalanche'!N160,'Calc Snowball'!N160,'Calc Cashflow'!N160)</f>
        <v/>
      </c>
    </row>
    <row r="155">
      <c r="B155" s="66">
        <f>EDATE(Plan!$C$6,149)</f>
        <v/>
      </c>
      <c r="C155" s="32">
        <f>CHOOSE(Plan!$K$5,'Calc Smart'!AE161,'Calc Avalanche'!AE161,'Calc Snowball'!AE161,'Calc Cashflow'!AE161)</f>
        <v/>
      </c>
      <c r="D155" s="32">
        <f>CHOOSE(Plan!$K$5,'Calc Smart'!AD161,'Calc Avalanche'!AD161,'Calc Snowball'!AD161,'Calc Cashflow'!AD161)</f>
        <v/>
      </c>
      <c r="E155" s="43">
        <f>CHOOSE(Plan!$K$5,COUNTIF('Calc Smart'!C161:N161,"&gt;0"),COUNTIF('Calc Avalanche'!C161:N161,"&gt;0"),COUNTIF('Calc Snowball'!C161:N161,"&gt;0"),COUNTIF('Calc Cashflow'!C161:N161,"&gt;0"))</f>
        <v/>
      </c>
      <c r="F155" s="67">
        <f>CHOOSE(Plan!$K$5,'Calc Smart'!C161,'Calc Avalanche'!C161,'Calc Snowball'!C161,'Calc Cashflow'!C161)</f>
        <v/>
      </c>
      <c r="G155" s="67">
        <f>CHOOSE(Plan!$K$5,'Calc Smart'!D161,'Calc Avalanche'!D161,'Calc Snowball'!D161,'Calc Cashflow'!D161)</f>
        <v/>
      </c>
      <c r="H155" s="67">
        <f>CHOOSE(Plan!$K$5,'Calc Smart'!E161,'Calc Avalanche'!E161,'Calc Snowball'!E161,'Calc Cashflow'!E161)</f>
        <v/>
      </c>
      <c r="I155" s="67">
        <f>CHOOSE(Plan!$K$5,'Calc Smart'!F161,'Calc Avalanche'!F161,'Calc Snowball'!F161,'Calc Cashflow'!F161)</f>
        <v/>
      </c>
      <c r="J155" s="67">
        <f>CHOOSE(Plan!$K$5,'Calc Smart'!G161,'Calc Avalanche'!G161,'Calc Snowball'!G161,'Calc Cashflow'!G161)</f>
        <v/>
      </c>
      <c r="K155" s="67">
        <f>CHOOSE(Plan!$K$5,'Calc Smart'!H161,'Calc Avalanche'!H161,'Calc Snowball'!H161,'Calc Cashflow'!H161)</f>
        <v/>
      </c>
      <c r="L155" s="67">
        <f>CHOOSE(Plan!$K$5,'Calc Smart'!I161,'Calc Avalanche'!I161,'Calc Snowball'!I161,'Calc Cashflow'!I161)</f>
        <v/>
      </c>
      <c r="M155" s="67">
        <f>CHOOSE(Plan!$K$5,'Calc Smart'!J161,'Calc Avalanche'!J161,'Calc Snowball'!J161,'Calc Cashflow'!J161)</f>
        <v/>
      </c>
      <c r="N155" s="67">
        <f>CHOOSE(Plan!$K$5,'Calc Smart'!K161,'Calc Avalanche'!K161,'Calc Snowball'!K161,'Calc Cashflow'!K161)</f>
        <v/>
      </c>
      <c r="O155" s="67">
        <f>CHOOSE(Plan!$K$5,'Calc Smart'!L161,'Calc Avalanche'!L161,'Calc Snowball'!L161,'Calc Cashflow'!L161)</f>
        <v/>
      </c>
      <c r="P155" s="67">
        <f>CHOOSE(Plan!$K$5,'Calc Smart'!M161,'Calc Avalanche'!M161,'Calc Snowball'!M161,'Calc Cashflow'!M161)</f>
        <v/>
      </c>
      <c r="Q155" s="67">
        <f>CHOOSE(Plan!$K$5,'Calc Smart'!N161,'Calc Avalanche'!N161,'Calc Snowball'!N161,'Calc Cashflow'!N161)</f>
        <v/>
      </c>
    </row>
    <row r="156">
      <c r="B156" s="64">
        <f>EDATE(Plan!$C$6,150)</f>
        <v/>
      </c>
      <c r="C156" s="31">
        <f>CHOOSE(Plan!$K$5,'Calc Smart'!AE162,'Calc Avalanche'!AE162,'Calc Snowball'!AE162,'Calc Cashflow'!AE162)</f>
        <v/>
      </c>
      <c r="D156" s="31">
        <f>CHOOSE(Plan!$K$5,'Calc Smart'!AD162,'Calc Avalanche'!AD162,'Calc Snowball'!AD162,'Calc Cashflow'!AD162)</f>
        <v/>
      </c>
      <c r="E156" s="40">
        <f>CHOOSE(Plan!$K$5,COUNTIF('Calc Smart'!C162:N162,"&gt;0"),COUNTIF('Calc Avalanche'!C162:N162,"&gt;0"),COUNTIF('Calc Snowball'!C162:N162,"&gt;0"),COUNTIF('Calc Cashflow'!C162:N162,"&gt;0"))</f>
        <v/>
      </c>
      <c r="F156" s="65">
        <f>CHOOSE(Plan!$K$5,'Calc Smart'!C162,'Calc Avalanche'!C162,'Calc Snowball'!C162,'Calc Cashflow'!C162)</f>
        <v/>
      </c>
      <c r="G156" s="65">
        <f>CHOOSE(Plan!$K$5,'Calc Smart'!D162,'Calc Avalanche'!D162,'Calc Snowball'!D162,'Calc Cashflow'!D162)</f>
        <v/>
      </c>
      <c r="H156" s="65">
        <f>CHOOSE(Plan!$K$5,'Calc Smart'!E162,'Calc Avalanche'!E162,'Calc Snowball'!E162,'Calc Cashflow'!E162)</f>
        <v/>
      </c>
      <c r="I156" s="65">
        <f>CHOOSE(Plan!$K$5,'Calc Smart'!F162,'Calc Avalanche'!F162,'Calc Snowball'!F162,'Calc Cashflow'!F162)</f>
        <v/>
      </c>
      <c r="J156" s="65">
        <f>CHOOSE(Plan!$K$5,'Calc Smart'!G162,'Calc Avalanche'!G162,'Calc Snowball'!G162,'Calc Cashflow'!G162)</f>
        <v/>
      </c>
      <c r="K156" s="65">
        <f>CHOOSE(Plan!$K$5,'Calc Smart'!H162,'Calc Avalanche'!H162,'Calc Snowball'!H162,'Calc Cashflow'!H162)</f>
        <v/>
      </c>
      <c r="L156" s="65">
        <f>CHOOSE(Plan!$K$5,'Calc Smart'!I162,'Calc Avalanche'!I162,'Calc Snowball'!I162,'Calc Cashflow'!I162)</f>
        <v/>
      </c>
      <c r="M156" s="65">
        <f>CHOOSE(Plan!$K$5,'Calc Smart'!J162,'Calc Avalanche'!J162,'Calc Snowball'!J162,'Calc Cashflow'!J162)</f>
        <v/>
      </c>
      <c r="N156" s="65">
        <f>CHOOSE(Plan!$K$5,'Calc Smart'!K162,'Calc Avalanche'!K162,'Calc Snowball'!K162,'Calc Cashflow'!K162)</f>
        <v/>
      </c>
      <c r="O156" s="65">
        <f>CHOOSE(Plan!$K$5,'Calc Smart'!L162,'Calc Avalanche'!L162,'Calc Snowball'!L162,'Calc Cashflow'!L162)</f>
        <v/>
      </c>
      <c r="P156" s="65">
        <f>CHOOSE(Plan!$K$5,'Calc Smart'!M162,'Calc Avalanche'!M162,'Calc Snowball'!M162,'Calc Cashflow'!M162)</f>
        <v/>
      </c>
      <c r="Q156" s="65">
        <f>CHOOSE(Plan!$K$5,'Calc Smart'!N162,'Calc Avalanche'!N162,'Calc Snowball'!N162,'Calc Cashflow'!N162)</f>
        <v/>
      </c>
    </row>
    <row r="157">
      <c r="B157" s="66">
        <f>EDATE(Plan!$C$6,151)</f>
        <v/>
      </c>
      <c r="C157" s="32">
        <f>CHOOSE(Plan!$K$5,'Calc Smart'!AE163,'Calc Avalanche'!AE163,'Calc Snowball'!AE163,'Calc Cashflow'!AE163)</f>
        <v/>
      </c>
      <c r="D157" s="32">
        <f>CHOOSE(Plan!$K$5,'Calc Smart'!AD163,'Calc Avalanche'!AD163,'Calc Snowball'!AD163,'Calc Cashflow'!AD163)</f>
        <v/>
      </c>
      <c r="E157" s="43">
        <f>CHOOSE(Plan!$K$5,COUNTIF('Calc Smart'!C163:N163,"&gt;0"),COUNTIF('Calc Avalanche'!C163:N163,"&gt;0"),COUNTIF('Calc Snowball'!C163:N163,"&gt;0"),COUNTIF('Calc Cashflow'!C163:N163,"&gt;0"))</f>
        <v/>
      </c>
      <c r="F157" s="67">
        <f>CHOOSE(Plan!$K$5,'Calc Smart'!C163,'Calc Avalanche'!C163,'Calc Snowball'!C163,'Calc Cashflow'!C163)</f>
        <v/>
      </c>
      <c r="G157" s="67">
        <f>CHOOSE(Plan!$K$5,'Calc Smart'!D163,'Calc Avalanche'!D163,'Calc Snowball'!D163,'Calc Cashflow'!D163)</f>
        <v/>
      </c>
      <c r="H157" s="67">
        <f>CHOOSE(Plan!$K$5,'Calc Smart'!E163,'Calc Avalanche'!E163,'Calc Snowball'!E163,'Calc Cashflow'!E163)</f>
        <v/>
      </c>
      <c r="I157" s="67">
        <f>CHOOSE(Plan!$K$5,'Calc Smart'!F163,'Calc Avalanche'!F163,'Calc Snowball'!F163,'Calc Cashflow'!F163)</f>
        <v/>
      </c>
      <c r="J157" s="67">
        <f>CHOOSE(Plan!$K$5,'Calc Smart'!G163,'Calc Avalanche'!G163,'Calc Snowball'!G163,'Calc Cashflow'!G163)</f>
        <v/>
      </c>
      <c r="K157" s="67">
        <f>CHOOSE(Plan!$K$5,'Calc Smart'!H163,'Calc Avalanche'!H163,'Calc Snowball'!H163,'Calc Cashflow'!H163)</f>
        <v/>
      </c>
      <c r="L157" s="67">
        <f>CHOOSE(Plan!$K$5,'Calc Smart'!I163,'Calc Avalanche'!I163,'Calc Snowball'!I163,'Calc Cashflow'!I163)</f>
        <v/>
      </c>
      <c r="M157" s="67">
        <f>CHOOSE(Plan!$K$5,'Calc Smart'!J163,'Calc Avalanche'!J163,'Calc Snowball'!J163,'Calc Cashflow'!J163)</f>
        <v/>
      </c>
      <c r="N157" s="67">
        <f>CHOOSE(Plan!$K$5,'Calc Smart'!K163,'Calc Avalanche'!K163,'Calc Snowball'!K163,'Calc Cashflow'!K163)</f>
        <v/>
      </c>
      <c r="O157" s="67">
        <f>CHOOSE(Plan!$K$5,'Calc Smart'!L163,'Calc Avalanche'!L163,'Calc Snowball'!L163,'Calc Cashflow'!L163)</f>
        <v/>
      </c>
      <c r="P157" s="67">
        <f>CHOOSE(Plan!$K$5,'Calc Smart'!M163,'Calc Avalanche'!M163,'Calc Snowball'!M163,'Calc Cashflow'!M163)</f>
        <v/>
      </c>
      <c r="Q157" s="67">
        <f>CHOOSE(Plan!$K$5,'Calc Smart'!N163,'Calc Avalanche'!N163,'Calc Snowball'!N163,'Calc Cashflow'!N163)</f>
        <v/>
      </c>
    </row>
    <row r="158">
      <c r="B158" s="64">
        <f>EDATE(Plan!$C$6,152)</f>
        <v/>
      </c>
      <c r="C158" s="31">
        <f>CHOOSE(Plan!$K$5,'Calc Smart'!AE164,'Calc Avalanche'!AE164,'Calc Snowball'!AE164,'Calc Cashflow'!AE164)</f>
        <v/>
      </c>
      <c r="D158" s="31">
        <f>CHOOSE(Plan!$K$5,'Calc Smart'!AD164,'Calc Avalanche'!AD164,'Calc Snowball'!AD164,'Calc Cashflow'!AD164)</f>
        <v/>
      </c>
      <c r="E158" s="40">
        <f>CHOOSE(Plan!$K$5,COUNTIF('Calc Smart'!C164:N164,"&gt;0"),COUNTIF('Calc Avalanche'!C164:N164,"&gt;0"),COUNTIF('Calc Snowball'!C164:N164,"&gt;0"),COUNTIF('Calc Cashflow'!C164:N164,"&gt;0"))</f>
        <v/>
      </c>
      <c r="F158" s="65">
        <f>CHOOSE(Plan!$K$5,'Calc Smart'!C164,'Calc Avalanche'!C164,'Calc Snowball'!C164,'Calc Cashflow'!C164)</f>
        <v/>
      </c>
      <c r="G158" s="65">
        <f>CHOOSE(Plan!$K$5,'Calc Smart'!D164,'Calc Avalanche'!D164,'Calc Snowball'!D164,'Calc Cashflow'!D164)</f>
        <v/>
      </c>
      <c r="H158" s="65">
        <f>CHOOSE(Plan!$K$5,'Calc Smart'!E164,'Calc Avalanche'!E164,'Calc Snowball'!E164,'Calc Cashflow'!E164)</f>
        <v/>
      </c>
      <c r="I158" s="65">
        <f>CHOOSE(Plan!$K$5,'Calc Smart'!F164,'Calc Avalanche'!F164,'Calc Snowball'!F164,'Calc Cashflow'!F164)</f>
        <v/>
      </c>
      <c r="J158" s="65">
        <f>CHOOSE(Plan!$K$5,'Calc Smart'!G164,'Calc Avalanche'!G164,'Calc Snowball'!G164,'Calc Cashflow'!G164)</f>
        <v/>
      </c>
      <c r="K158" s="65">
        <f>CHOOSE(Plan!$K$5,'Calc Smart'!H164,'Calc Avalanche'!H164,'Calc Snowball'!H164,'Calc Cashflow'!H164)</f>
        <v/>
      </c>
      <c r="L158" s="65">
        <f>CHOOSE(Plan!$K$5,'Calc Smart'!I164,'Calc Avalanche'!I164,'Calc Snowball'!I164,'Calc Cashflow'!I164)</f>
        <v/>
      </c>
      <c r="M158" s="65">
        <f>CHOOSE(Plan!$K$5,'Calc Smart'!J164,'Calc Avalanche'!J164,'Calc Snowball'!J164,'Calc Cashflow'!J164)</f>
        <v/>
      </c>
      <c r="N158" s="65">
        <f>CHOOSE(Plan!$K$5,'Calc Smart'!K164,'Calc Avalanche'!K164,'Calc Snowball'!K164,'Calc Cashflow'!K164)</f>
        <v/>
      </c>
      <c r="O158" s="65">
        <f>CHOOSE(Plan!$K$5,'Calc Smart'!L164,'Calc Avalanche'!L164,'Calc Snowball'!L164,'Calc Cashflow'!L164)</f>
        <v/>
      </c>
      <c r="P158" s="65">
        <f>CHOOSE(Plan!$K$5,'Calc Smart'!M164,'Calc Avalanche'!M164,'Calc Snowball'!M164,'Calc Cashflow'!M164)</f>
        <v/>
      </c>
      <c r="Q158" s="65">
        <f>CHOOSE(Plan!$K$5,'Calc Smart'!N164,'Calc Avalanche'!N164,'Calc Snowball'!N164,'Calc Cashflow'!N164)</f>
        <v/>
      </c>
    </row>
    <row r="159">
      <c r="B159" s="66">
        <f>EDATE(Plan!$C$6,153)</f>
        <v/>
      </c>
      <c r="C159" s="32">
        <f>CHOOSE(Plan!$K$5,'Calc Smart'!AE165,'Calc Avalanche'!AE165,'Calc Snowball'!AE165,'Calc Cashflow'!AE165)</f>
        <v/>
      </c>
      <c r="D159" s="32">
        <f>CHOOSE(Plan!$K$5,'Calc Smart'!AD165,'Calc Avalanche'!AD165,'Calc Snowball'!AD165,'Calc Cashflow'!AD165)</f>
        <v/>
      </c>
      <c r="E159" s="43">
        <f>CHOOSE(Plan!$K$5,COUNTIF('Calc Smart'!C165:N165,"&gt;0"),COUNTIF('Calc Avalanche'!C165:N165,"&gt;0"),COUNTIF('Calc Snowball'!C165:N165,"&gt;0"),COUNTIF('Calc Cashflow'!C165:N165,"&gt;0"))</f>
        <v/>
      </c>
      <c r="F159" s="67">
        <f>CHOOSE(Plan!$K$5,'Calc Smart'!C165,'Calc Avalanche'!C165,'Calc Snowball'!C165,'Calc Cashflow'!C165)</f>
        <v/>
      </c>
      <c r="G159" s="67">
        <f>CHOOSE(Plan!$K$5,'Calc Smart'!D165,'Calc Avalanche'!D165,'Calc Snowball'!D165,'Calc Cashflow'!D165)</f>
        <v/>
      </c>
      <c r="H159" s="67">
        <f>CHOOSE(Plan!$K$5,'Calc Smart'!E165,'Calc Avalanche'!E165,'Calc Snowball'!E165,'Calc Cashflow'!E165)</f>
        <v/>
      </c>
      <c r="I159" s="67">
        <f>CHOOSE(Plan!$K$5,'Calc Smart'!F165,'Calc Avalanche'!F165,'Calc Snowball'!F165,'Calc Cashflow'!F165)</f>
        <v/>
      </c>
      <c r="J159" s="67">
        <f>CHOOSE(Plan!$K$5,'Calc Smart'!G165,'Calc Avalanche'!G165,'Calc Snowball'!G165,'Calc Cashflow'!G165)</f>
        <v/>
      </c>
      <c r="K159" s="67">
        <f>CHOOSE(Plan!$K$5,'Calc Smart'!H165,'Calc Avalanche'!H165,'Calc Snowball'!H165,'Calc Cashflow'!H165)</f>
        <v/>
      </c>
      <c r="L159" s="67">
        <f>CHOOSE(Plan!$K$5,'Calc Smart'!I165,'Calc Avalanche'!I165,'Calc Snowball'!I165,'Calc Cashflow'!I165)</f>
        <v/>
      </c>
      <c r="M159" s="67">
        <f>CHOOSE(Plan!$K$5,'Calc Smart'!J165,'Calc Avalanche'!J165,'Calc Snowball'!J165,'Calc Cashflow'!J165)</f>
        <v/>
      </c>
      <c r="N159" s="67">
        <f>CHOOSE(Plan!$K$5,'Calc Smart'!K165,'Calc Avalanche'!K165,'Calc Snowball'!K165,'Calc Cashflow'!K165)</f>
        <v/>
      </c>
      <c r="O159" s="67">
        <f>CHOOSE(Plan!$K$5,'Calc Smart'!L165,'Calc Avalanche'!L165,'Calc Snowball'!L165,'Calc Cashflow'!L165)</f>
        <v/>
      </c>
      <c r="P159" s="67">
        <f>CHOOSE(Plan!$K$5,'Calc Smart'!M165,'Calc Avalanche'!M165,'Calc Snowball'!M165,'Calc Cashflow'!M165)</f>
        <v/>
      </c>
      <c r="Q159" s="67">
        <f>CHOOSE(Plan!$K$5,'Calc Smart'!N165,'Calc Avalanche'!N165,'Calc Snowball'!N165,'Calc Cashflow'!N165)</f>
        <v/>
      </c>
    </row>
    <row r="160">
      <c r="B160" s="64">
        <f>EDATE(Plan!$C$6,154)</f>
        <v/>
      </c>
      <c r="C160" s="31">
        <f>CHOOSE(Plan!$K$5,'Calc Smart'!AE166,'Calc Avalanche'!AE166,'Calc Snowball'!AE166,'Calc Cashflow'!AE166)</f>
        <v/>
      </c>
      <c r="D160" s="31">
        <f>CHOOSE(Plan!$K$5,'Calc Smart'!AD166,'Calc Avalanche'!AD166,'Calc Snowball'!AD166,'Calc Cashflow'!AD166)</f>
        <v/>
      </c>
      <c r="E160" s="40">
        <f>CHOOSE(Plan!$K$5,COUNTIF('Calc Smart'!C166:N166,"&gt;0"),COUNTIF('Calc Avalanche'!C166:N166,"&gt;0"),COUNTIF('Calc Snowball'!C166:N166,"&gt;0"),COUNTIF('Calc Cashflow'!C166:N166,"&gt;0"))</f>
        <v/>
      </c>
      <c r="F160" s="65">
        <f>CHOOSE(Plan!$K$5,'Calc Smart'!C166,'Calc Avalanche'!C166,'Calc Snowball'!C166,'Calc Cashflow'!C166)</f>
        <v/>
      </c>
      <c r="G160" s="65">
        <f>CHOOSE(Plan!$K$5,'Calc Smart'!D166,'Calc Avalanche'!D166,'Calc Snowball'!D166,'Calc Cashflow'!D166)</f>
        <v/>
      </c>
      <c r="H160" s="65">
        <f>CHOOSE(Plan!$K$5,'Calc Smart'!E166,'Calc Avalanche'!E166,'Calc Snowball'!E166,'Calc Cashflow'!E166)</f>
        <v/>
      </c>
      <c r="I160" s="65">
        <f>CHOOSE(Plan!$K$5,'Calc Smart'!F166,'Calc Avalanche'!F166,'Calc Snowball'!F166,'Calc Cashflow'!F166)</f>
        <v/>
      </c>
      <c r="J160" s="65">
        <f>CHOOSE(Plan!$K$5,'Calc Smart'!G166,'Calc Avalanche'!G166,'Calc Snowball'!G166,'Calc Cashflow'!G166)</f>
        <v/>
      </c>
      <c r="K160" s="65">
        <f>CHOOSE(Plan!$K$5,'Calc Smart'!H166,'Calc Avalanche'!H166,'Calc Snowball'!H166,'Calc Cashflow'!H166)</f>
        <v/>
      </c>
      <c r="L160" s="65">
        <f>CHOOSE(Plan!$K$5,'Calc Smart'!I166,'Calc Avalanche'!I166,'Calc Snowball'!I166,'Calc Cashflow'!I166)</f>
        <v/>
      </c>
      <c r="M160" s="65">
        <f>CHOOSE(Plan!$K$5,'Calc Smart'!J166,'Calc Avalanche'!J166,'Calc Snowball'!J166,'Calc Cashflow'!J166)</f>
        <v/>
      </c>
      <c r="N160" s="65">
        <f>CHOOSE(Plan!$K$5,'Calc Smart'!K166,'Calc Avalanche'!K166,'Calc Snowball'!K166,'Calc Cashflow'!K166)</f>
        <v/>
      </c>
      <c r="O160" s="65">
        <f>CHOOSE(Plan!$K$5,'Calc Smart'!L166,'Calc Avalanche'!L166,'Calc Snowball'!L166,'Calc Cashflow'!L166)</f>
        <v/>
      </c>
      <c r="P160" s="65">
        <f>CHOOSE(Plan!$K$5,'Calc Smart'!M166,'Calc Avalanche'!M166,'Calc Snowball'!M166,'Calc Cashflow'!M166)</f>
        <v/>
      </c>
      <c r="Q160" s="65">
        <f>CHOOSE(Plan!$K$5,'Calc Smart'!N166,'Calc Avalanche'!N166,'Calc Snowball'!N166,'Calc Cashflow'!N166)</f>
        <v/>
      </c>
    </row>
    <row r="161">
      <c r="B161" s="66">
        <f>EDATE(Plan!$C$6,155)</f>
        <v/>
      </c>
      <c r="C161" s="32">
        <f>CHOOSE(Plan!$K$5,'Calc Smart'!AE167,'Calc Avalanche'!AE167,'Calc Snowball'!AE167,'Calc Cashflow'!AE167)</f>
        <v/>
      </c>
      <c r="D161" s="32">
        <f>CHOOSE(Plan!$K$5,'Calc Smart'!AD167,'Calc Avalanche'!AD167,'Calc Snowball'!AD167,'Calc Cashflow'!AD167)</f>
        <v/>
      </c>
      <c r="E161" s="43">
        <f>CHOOSE(Plan!$K$5,COUNTIF('Calc Smart'!C167:N167,"&gt;0"),COUNTIF('Calc Avalanche'!C167:N167,"&gt;0"),COUNTIF('Calc Snowball'!C167:N167,"&gt;0"),COUNTIF('Calc Cashflow'!C167:N167,"&gt;0"))</f>
        <v/>
      </c>
      <c r="F161" s="67">
        <f>CHOOSE(Plan!$K$5,'Calc Smart'!C167,'Calc Avalanche'!C167,'Calc Snowball'!C167,'Calc Cashflow'!C167)</f>
        <v/>
      </c>
      <c r="G161" s="67">
        <f>CHOOSE(Plan!$K$5,'Calc Smart'!D167,'Calc Avalanche'!D167,'Calc Snowball'!D167,'Calc Cashflow'!D167)</f>
        <v/>
      </c>
      <c r="H161" s="67">
        <f>CHOOSE(Plan!$K$5,'Calc Smart'!E167,'Calc Avalanche'!E167,'Calc Snowball'!E167,'Calc Cashflow'!E167)</f>
        <v/>
      </c>
      <c r="I161" s="67">
        <f>CHOOSE(Plan!$K$5,'Calc Smart'!F167,'Calc Avalanche'!F167,'Calc Snowball'!F167,'Calc Cashflow'!F167)</f>
        <v/>
      </c>
      <c r="J161" s="67">
        <f>CHOOSE(Plan!$K$5,'Calc Smart'!G167,'Calc Avalanche'!G167,'Calc Snowball'!G167,'Calc Cashflow'!G167)</f>
        <v/>
      </c>
      <c r="K161" s="67">
        <f>CHOOSE(Plan!$K$5,'Calc Smart'!H167,'Calc Avalanche'!H167,'Calc Snowball'!H167,'Calc Cashflow'!H167)</f>
        <v/>
      </c>
      <c r="L161" s="67">
        <f>CHOOSE(Plan!$K$5,'Calc Smart'!I167,'Calc Avalanche'!I167,'Calc Snowball'!I167,'Calc Cashflow'!I167)</f>
        <v/>
      </c>
      <c r="M161" s="67">
        <f>CHOOSE(Plan!$K$5,'Calc Smart'!J167,'Calc Avalanche'!J167,'Calc Snowball'!J167,'Calc Cashflow'!J167)</f>
        <v/>
      </c>
      <c r="N161" s="67">
        <f>CHOOSE(Plan!$K$5,'Calc Smart'!K167,'Calc Avalanche'!K167,'Calc Snowball'!K167,'Calc Cashflow'!K167)</f>
        <v/>
      </c>
      <c r="O161" s="67">
        <f>CHOOSE(Plan!$K$5,'Calc Smart'!L167,'Calc Avalanche'!L167,'Calc Snowball'!L167,'Calc Cashflow'!L167)</f>
        <v/>
      </c>
      <c r="P161" s="67">
        <f>CHOOSE(Plan!$K$5,'Calc Smart'!M167,'Calc Avalanche'!M167,'Calc Snowball'!M167,'Calc Cashflow'!M167)</f>
        <v/>
      </c>
      <c r="Q161" s="67">
        <f>CHOOSE(Plan!$K$5,'Calc Smart'!N167,'Calc Avalanche'!N167,'Calc Snowball'!N167,'Calc Cashflow'!N167)</f>
        <v/>
      </c>
    </row>
    <row r="162">
      <c r="B162" s="64">
        <f>EDATE(Plan!$C$6,156)</f>
        <v/>
      </c>
      <c r="C162" s="31">
        <f>CHOOSE(Plan!$K$5,'Calc Smart'!AE168,'Calc Avalanche'!AE168,'Calc Snowball'!AE168,'Calc Cashflow'!AE168)</f>
        <v/>
      </c>
      <c r="D162" s="31">
        <f>CHOOSE(Plan!$K$5,'Calc Smart'!AD168,'Calc Avalanche'!AD168,'Calc Snowball'!AD168,'Calc Cashflow'!AD168)</f>
        <v/>
      </c>
      <c r="E162" s="40">
        <f>CHOOSE(Plan!$K$5,COUNTIF('Calc Smart'!C168:N168,"&gt;0"),COUNTIF('Calc Avalanche'!C168:N168,"&gt;0"),COUNTIF('Calc Snowball'!C168:N168,"&gt;0"),COUNTIF('Calc Cashflow'!C168:N168,"&gt;0"))</f>
        <v/>
      </c>
      <c r="F162" s="65">
        <f>CHOOSE(Plan!$K$5,'Calc Smart'!C168,'Calc Avalanche'!C168,'Calc Snowball'!C168,'Calc Cashflow'!C168)</f>
        <v/>
      </c>
      <c r="G162" s="65">
        <f>CHOOSE(Plan!$K$5,'Calc Smart'!D168,'Calc Avalanche'!D168,'Calc Snowball'!D168,'Calc Cashflow'!D168)</f>
        <v/>
      </c>
      <c r="H162" s="65">
        <f>CHOOSE(Plan!$K$5,'Calc Smart'!E168,'Calc Avalanche'!E168,'Calc Snowball'!E168,'Calc Cashflow'!E168)</f>
        <v/>
      </c>
      <c r="I162" s="65">
        <f>CHOOSE(Plan!$K$5,'Calc Smart'!F168,'Calc Avalanche'!F168,'Calc Snowball'!F168,'Calc Cashflow'!F168)</f>
        <v/>
      </c>
      <c r="J162" s="65">
        <f>CHOOSE(Plan!$K$5,'Calc Smart'!G168,'Calc Avalanche'!G168,'Calc Snowball'!G168,'Calc Cashflow'!G168)</f>
        <v/>
      </c>
      <c r="K162" s="65">
        <f>CHOOSE(Plan!$K$5,'Calc Smart'!H168,'Calc Avalanche'!H168,'Calc Snowball'!H168,'Calc Cashflow'!H168)</f>
        <v/>
      </c>
      <c r="L162" s="65">
        <f>CHOOSE(Plan!$K$5,'Calc Smart'!I168,'Calc Avalanche'!I168,'Calc Snowball'!I168,'Calc Cashflow'!I168)</f>
        <v/>
      </c>
      <c r="M162" s="65">
        <f>CHOOSE(Plan!$K$5,'Calc Smart'!J168,'Calc Avalanche'!J168,'Calc Snowball'!J168,'Calc Cashflow'!J168)</f>
        <v/>
      </c>
      <c r="N162" s="65">
        <f>CHOOSE(Plan!$K$5,'Calc Smart'!K168,'Calc Avalanche'!K168,'Calc Snowball'!K168,'Calc Cashflow'!K168)</f>
        <v/>
      </c>
      <c r="O162" s="65">
        <f>CHOOSE(Plan!$K$5,'Calc Smart'!L168,'Calc Avalanche'!L168,'Calc Snowball'!L168,'Calc Cashflow'!L168)</f>
        <v/>
      </c>
      <c r="P162" s="65">
        <f>CHOOSE(Plan!$K$5,'Calc Smart'!M168,'Calc Avalanche'!M168,'Calc Snowball'!M168,'Calc Cashflow'!M168)</f>
        <v/>
      </c>
      <c r="Q162" s="65">
        <f>CHOOSE(Plan!$K$5,'Calc Smart'!N168,'Calc Avalanche'!N168,'Calc Snowball'!N168,'Calc Cashflow'!N168)</f>
        <v/>
      </c>
    </row>
    <row r="163">
      <c r="B163" s="66">
        <f>EDATE(Plan!$C$6,157)</f>
        <v/>
      </c>
      <c r="C163" s="32">
        <f>CHOOSE(Plan!$K$5,'Calc Smart'!AE169,'Calc Avalanche'!AE169,'Calc Snowball'!AE169,'Calc Cashflow'!AE169)</f>
        <v/>
      </c>
      <c r="D163" s="32">
        <f>CHOOSE(Plan!$K$5,'Calc Smart'!AD169,'Calc Avalanche'!AD169,'Calc Snowball'!AD169,'Calc Cashflow'!AD169)</f>
        <v/>
      </c>
      <c r="E163" s="43">
        <f>CHOOSE(Plan!$K$5,COUNTIF('Calc Smart'!C169:N169,"&gt;0"),COUNTIF('Calc Avalanche'!C169:N169,"&gt;0"),COUNTIF('Calc Snowball'!C169:N169,"&gt;0"),COUNTIF('Calc Cashflow'!C169:N169,"&gt;0"))</f>
        <v/>
      </c>
      <c r="F163" s="67">
        <f>CHOOSE(Plan!$K$5,'Calc Smart'!C169,'Calc Avalanche'!C169,'Calc Snowball'!C169,'Calc Cashflow'!C169)</f>
        <v/>
      </c>
      <c r="G163" s="67">
        <f>CHOOSE(Plan!$K$5,'Calc Smart'!D169,'Calc Avalanche'!D169,'Calc Snowball'!D169,'Calc Cashflow'!D169)</f>
        <v/>
      </c>
      <c r="H163" s="67">
        <f>CHOOSE(Plan!$K$5,'Calc Smart'!E169,'Calc Avalanche'!E169,'Calc Snowball'!E169,'Calc Cashflow'!E169)</f>
        <v/>
      </c>
      <c r="I163" s="67">
        <f>CHOOSE(Plan!$K$5,'Calc Smart'!F169,'Calc Avalanche'!F169,'Calc Snowball'!F169,'Calc Cashflow'!F169)</f>
        <v/>
      </c>
      <c r="J163" s="67">
        <f>CHOOSE(Plan!$K$5,'Calc Smart'!G169,'Calc Avalanche'!G169,'Calc Snowball'!G169,'Calc Cashflow'!G169)</f>
        <v/>
      </c>
      <c r="K163" s="67">
        <f>CHOOSE(Plan!$K$5,'Calc Smart'!H169,'Calc Avalanche'!H169,'Calc Snowball'!H169,'Calc Cashflow'!H169)</f>
        <v/>
      </c>
      <c r="L163" s="67">
        <f>CHOOSE(Plan!$K$5,'Calc Smart'!I169,'Calc Avalanche'!I169,'Calc Snowball'!I169,'Calc Cashflow'!I169)</f>
        <v/>
      </c>
      <c r="M163" s="67">
        <f>CHOOSE(Plan!$K$5,'Calc Smart'!J169,'Calc Avalanche'!J169,'Calc Snowball'!J169,'Calc Cashflow'!J169)</f>
        <v/>
      </c>
      <c r="N163" s="67">
        <f>CHOOSE(Plan!$K$5,'Calc Smart'!K169,'Calc Avalanche'!K169,'Calc Snowball'!K169,'Calc Cashflow'!K169)</f>
        <v/>
      </c>
      <c r="O163" s="67">
        <f>CHOOSE(Plan!$K$5,'Calc Smart'!L169,'Calc Avalanche'!L169,'Calc Snowball'!L169,'Calc Cashflow'!L169)</f>
        <v/>
      </c>
      <c r="P163" s="67">
        <f>CHOOSE(Plan!$K$5,'Calc Smart'!M169,'Calc Avalanche'!M169,'Calc Snowball'!M169,'Calc Cashflow'!M169)</f>
        <v/>
      </c>
      <c r="Q163" s="67">
        <f>CHOOSE(Plan!$K$5,'Calc Smart'!N169,'Calc Avalanche'!N169,'Calc Snowball'!N169,'Calc Cashflow'!N169)</f>
        <v/>
      </c>
    </row>
    <row r="164">
      <c r="B164" s="64">
        <f>EDATE(Plan!$C$6,158)</f>
        <v/>
      </c>
      <c r="C164" s="31">
        <f>CHOOSE(Plan!$K$5,'Calc Smart'!AE170,'Calc Avalanche'!AE170,'Calc Snowball'!AE170,'Calc Cashflow'!AE170)</f>
        <v/>
      </c>
      <c r="D164" s="31">
        <f>CHOOSE(Plan!$K$5,'Calc Smart'!AD170,'Calc Avalanche'!AD170,'Calc Snowball'!AD170,'Calc Cashflow'!AD170)</f>
        <v/>
      </c>
      <c r="E164" s="40">
        <f>CHOOSE(Plan!$K$5,COUNTIF('Calc Smart'!C170:N170,"&gt;0"),COUNTIF('Calc Avalanche'!C170:N170,"&gt;0"),COUNTIF('Calc Snowball'!C170:N170,"&gt;0"),COUNTIF('Calc Cashflow'!C170:N170,"&gt;0"))</f>
        <v/>
      </c>
      <c r="F164" s="65">
        <f>CHOOSE(Plan!$K$5,'Calc Smart'!C170,'Calc Avalanche'!C170,'Calc Snowball'!C170,'Calc Cashflow'!C170)</f>
        <v/>
      </c>
      <c r="G164" s="65">
        <f>CHOOSE(Plan!$K$5,'Calc Smart'!D170,'Calc Avalanche'!D170,'Calc Snowball'!D170,'Calc Cashflow'!D170)</f>
        <v/>
      </c>
      <c r="H164" s="65">
        <f>CHOOSE(Plan!$K$5,'Calc Smart'!E170,'Calc Avalanche'!E170,'Calc Snowball'!E170,'Calc Cashflow'!E170)</f>
        <v/>
      </c>
      <c r="I164" s="65">
        <f>CHOOSE(Plan!$K$5,'Calc Smart'!F170,'Calc Avalanche'!F170,'Calc Snowball'!F170,'Calc Cashflow'!F170)</f>
        <v/>
      </c>
      <c r="J164" s="65">
        <f>CHOOSE(Plan!$K$5,'Calc Smart'!G170,'Calc Avalanche'!G170,'Calc Snowball'!G170,'Calc Cashflow'!G170)</f>
        <v/>
      </c>
      <c r="K164" s="65">
        <f>CHOOSE(Plan!$K$5,'Calc Smart'!H170,'Calc Avalanche'!H170,'Calc Snowball'!H170,'Calc Cashflow'!H170)</f>
        <v/>
      </c>
      <c r="L164" s="65">
        <f>CHOOSE(Plan!$K$5,'Calc Smart'!I170,'Calc Avalanche'!I170,'Calc Snowball'!I170,'Calc Cashflow'!I170)</f>
        <v/>
      </c>
      <c r="M164" s="65">
        <f>CHOOSE(Plan!$K$5,'Calc Smart'!J170,'Calc Avalanche'!J170,'Calc Snowball'!J170,'Calc Cashflow'!J170)</f>
        <v/>
      </c>
      <c r="N164" s="65">
        <f>CHOOSE(Plan!$K$5,'Calc Smart'!K170,'Calc Avalanche'!K170,'Calc Snowball'!K170,'Calc Cashflow'!K170)</f>
        <v/>
      </c>
      <c r="O164" s="65">
        <f>CHOOSE(Plan!$K$5,'Calc Smart'!L170,'Calc Avalanche'!L170,'Calc Snowball'!L170,'Calc Cashflow'!L170)</f>
        <v/>
      </c>
      <c r="P164" s="65">
        <f>CHOOSE(Plan!$K$5,'Calc Smart'!M170,'Calc Avalanche'!M170,'Calc Snowball'!M170,'Calc Cashflow'!M170)</f>
        <v/>
      </c>
      <c r="Q164" s="65">
        <f>CHOOSE(Plan!$K$5,'Calc Smart'!N170,'Calc Avalanche'!N170,'Calc Snowball'!N170,'Calc Cashflow'!N170)</f>
        <v/>
      </c>
    </row>
    <row r="165">
      <c r="B165" s="66">
        <f>EDATE(Plan!$C$6,159)</f>
        <v/>
      </c>
      <c r="C165" s="32">
        <f>CHOOSE(Plan!$K$5,'Calc Smart'!AE171,'Calc Avalanche'!AE171,'Calc Snowball'!AE171,'Calc Cashflow'!AE171)</f>
        <v/>
      </c>
      <c r="D165" s="32">
        <f>CHOOSE(Plan!$K$5,'Calc Smart'!AD171,'Calc Avalanche'!AD171,'Calc Snowball'!AD171,'Calc Cashflow'!AD171)</f>
        <v/>
      </c>
      <c r="E165" s="43">
        <f>CHOOSE(Plan!$K$5,COUNTIF('Calc Smart'!C171:N171,"&gt;0"),COUNTIF('Calc Avalanche'!C171:N171,"&gt;0"),COUNTIF('Calc Snowball'!C171:N171,"&gt;0"),COUNTIF('Calc Cashflow'!C171:N171,"&gt;0"))</f>
        <v/>
      </c>
      <c r="F165" s="67">
        <f>CHOOSE(Plan!$K$5,'Calc Smart'!C171,'Calc Avalanche'!C171,'Calc Snowball'!C171,'Calc Cashflow'!C171)</f>
        <v/>
      </c>
      <c r="G165" s="67">
        <f>CHOOSE(Plan!$K$5,'Calc Smart'!D171,'Calc Avalanche'!D171,'Calc Snowball'!D171,'Calc Cashflow'!D171)</f>
        <v/>
      </c>
      <c r="H165" s="67">
        <f>CHOOSE(Plan!$K$5,'Calc Smart'!E171,'Calc Avalanche'!E171,'Calc Snowball'!E171,'Calc Cashflow'!E171)</f>
        <v/>
      </c>
      <c r="I165" s="67">
        <f>CHOOSE(Plan!$K$5,'Calc Smart'!F171,'Calc Avalanche'!F171,'Calc Snowball'!F171,'Calc Cashflow'!F171)</f>
        <v/>
      </c>
      <c r="J165" s="67">
        <f>CHOOSE(Plan!$K$5,'Calc Smart'!G171,'Calc Avalanche'!G171,'Calc Snowball'!G171,'Calc Cashflow'!G171)</f>
        <v/>
      </c>
      <c r="K165" s="67">
        <f>CHOOSE(Plan!$K$5,'Calc Smart'!H171,'Calc Avalanche'!H171,'Calc Snowball'!H171,'Calc Cashflow'!H171)</f>
        <v/>
      </c>
      <c r="L165" s="67">
        <f>CHOOSE(Plan!$K$5,'Calc Smart'!I171,'Calc Avalanche'!I171,'Calc Snowball'!I171,'Calc Cashflow'!I171)</f>
        <v/>
      </c>
      <c r="M165" s="67">
        <f>CHOOSE(Plan!$K$5,'Calc Smart'!J171,'Calc Avalanche'!J171,'Calc Snowball'!J171,'Calc Cashflow'!J171)</f>
        <v/>
      </c>
      <c r="N165" s="67">
        <f>CHOOSE(Plan!$K$5,'Calc Smart'!K171,'Calc Avalanche'!K171,'Calc Snowball'!K171,'Calc Cashflow'!K171)</f>
        <v/>
      </c>
      <c r="O165" s="67">
        <f>CHOOSE(Plan!$K$5,'Calc Smart'!L171,'Calc Avalanche'!L171,'Calc Snowball'!L171,'Calc Cashflow'!L171)</f>
        <v/>
      </c>
      <c r="P165" s="67">
        <f>CHOOSE(Plan!$K$5,'Calc Smart'!M171,'Calc Avalanche'!M171,'Calc Snowball'!M171,'Calc Cashflow'!M171)</f>
        <v/>
      </c>
      <c r="Q165" s="67">
        <f>CHOOSE(Plan!$K$5,'Calc Smart'!N171,'Calc Avalanche'!N171,'Calc Snowball'!N171,'Calc Cashflow'!N171)</f>
        <v/>
      </c>
    </row>
    <row r="166">
      <c r="B166" s="64">
        <f>EDATE(Plan!$C$6,160)</f>
        <v/>
      </c>
      <c r="C166" s="31">
        <f>CHOOSE(Plan!$K$5,'Calc Smart'!AE172,'Calc Avalanche'!AE172,'Calc Snowball'!AE172,'Calc Cashflow'!AE172)</f>
        <v/>
      </c>
      <c r="D166" s="31">
        <f>CHOOSE(Plan!$K$5,'Calc Smart'!AD172,'Calc Avalanche'!AD172,'Calc Snowball'!AD172,'Calc Cashflow'!AD172)</f>
        <v/>
      </c>
      <c r="E166" s="40">
        <f>CHOOSE(Plan!$K$5,COUNTIF('Calc Smart'!C172:N172,"&gt;0"),COUNTIF('Calc Avalanche'!C172:N172,"&gt;0"),COUNTIF('Calc Snowball'!C172:N172,"&gt;0"),COUNTIF('Calc Cashflow'!C172:N172,"&gt;0"))</f>
        <v/>
      </c>
      <c r="F166" s="65">
        <f>CHOOSE(Plan!$K$5,'Calc Smart'!C172,'Calc Avalanche'!C172,'Calc Snowball'!C172,'Calc Cashflow'!C172)</f>
        <v/>
      </c>
      <c r="G166" s="65">
        <f>CHOOSE(Plan!$K$5,'Calc Smart'!D172,'Calc Avalanche'!D172,'Calc Snowball'!D172,'Calc Cashflow'!D172)</f>
        <v/>
      </c>
      <c r="H166" s="65">
        <f>CHOOSE(Plan!$K$5,'Calc Smart'!E172,'Calc Avalanche'!E172,'Calc Snowball'!E172,'Calc Cashflow'!E172)</f>
        <v/>
      </c>
      <c r="I166" s="65">
        <f>CHOOSE(Plan!$K$5,'Calc Smart'!F172,'Calc Avalanche'!F172,'Calc Snowball'!F172,'Calc Cashflow'!F172)</f>
        <v/>
      </c>
      <c r="J166" s="65">
        <f>CHOOSE(Plan!$K$5,'Calc Smart'!G172,'Calc Avalanche'!G172,'Calc Snowball'!G172,'Calc Cashflow'!G172)</f>
        <v/>
      </c>
      <c r="K166" s="65">
        <f>CHOOSE(Plan!$K$5,'Calc Smart'!H172,'Calc Avalanche'!H172,'Calc Snowball'!H172,'Calc Cashflow'!H172)</f>
        <v/>
      </c>
      <c r="L166" s="65">
        <f>CHOOSE(Plan!$K$5,'Calc Smart'!I172,'Calc Avalanche'!I172,'Calc Snowball'!I172,'Calc Cashflow'!I172)</f>
        <v/>
      </c>
      <c r="M166" s="65">
        <f>CHOOSE(Plan!$K$5,'Calc Smart'!J172,'Calc Avalanche'!J172,'Calc Snowball'!J172,'Calc Cashflow'!J172)</f>
        <v/>
      </c>
      <c r="N166" s="65">
        <f>CHOOSE(Plan!$K$5,'Calc Smart'!K172,'Calc Avalanche'!K172,'Calc Snowball'!K172,'Calc Cashflow'!K172)</f>
        <v/>
      </c>
      <c r="O166" s="65">
        <f>CHOOSE(Plan!$K$5,'Calc Smart'!L172,'Calc Avalanche'!L172,'Calc Snowball'!L172,'Calc Cashflow'!L172)</f>
        <v/>
      </c>
      <c r="P166" s="65">
        <f>CHOOSE(Plan!$K$5,'Calc Smart'!M172,'Calc Avalanche'!M172,'Calc Snowball'!M172,'Calc Cashflow'!M172)</f>
        <v/>
      </c>
      <c r="Q166" s="65">
        <f>CHOOSE(Plan!$K$5,'Calc Smart'!N172,'Calc Avalanche'!N172,'Calc Snowball'!N172,'Calc Cashflow'!N172)</f>
        <v/>
      </c>
    </row>
    <row r="167">
      <c r="B167" s="66">
        <f>EDATE(Plan!$C$6,161)</f>
        <v/>
      </c>
      <c r="C167" s="32">
        <f>CHOOSE(Plan!$K$5,'Calc Smart'!AE173,'Calc Avalanche'!AE173,'Calc Snowball'!AE173,'Calc Cashflow'!AE173)</f>
        <v/>
      </c>
      <c r="D167" s="32">
        <f>CHOOSE(Plan!$K$5,'Calc Smart'!AD173,'Calc Avalanche'!AD173,'Calc Snowball'!AD173,'Calc Cashflow'!AD173)</f>
        <v/>
      </c>
      <c r="E167" s="43">
        <f>CHOOSE(Plan!$K$5,COUNTIF('Calc Smart'!C173:N173,"&gt;0"),COUNTIF('Calc Avalanche'!C173:N173,"&gt;0"),COUNTIF('Calc Snowball'!C173:N173,"&gt;0"),COUNTIF('Calc Cashflow'!C173:N173,"&gt;0"))</f>
        <v/>
      </c>
      <c r="F167" s="67">
        <f>CHOOSE(Plan!$K$5,'Calc Smart'!C173,'Calc Avalanche'!C173,'Calc Snowball'!C173,'Calc Cashflow'!C173)</f>
        <v/>
      </c>
      <c r="G167" s="67">
        <f>CHOOSE(Plan!$K$5,'Calc Smart'!D173,'Calc Avalanche'!D173,'Calc Snowball'!D173,'Calc Cashflow'!D173)</f>
        <v/>
      </c>
      <c r="H167" s="67">
        <f>CHOOSE(Plan!$K$5,'Calc Smart'!E173,'Calc Avalanche'!E173,'Calc Snowball'!E173,'Calc Cashflow'!E173)</f>
        <v/>
      </c>
      <c r="I167" s="67">
        <f>CHOOSE(Plan!$K$5,'Calc Smart'!F173,'Calc Avalanche'!F173,'Calc Snowball'!F173,'Calc Cashflow'!F173)</f>
        <v/>
      </c>
      <c r="J167" s="67">
        <f>CHOOSE(Plan!$K$5,'Calc Smart'!G173,'Calc Avalanche'!G173,'Calc Snowball'!G173,'Calc Cashflow'!G173)</f>
        <v/>
      </c>
      <c r="K167" s="67">
        <f>CHOOSE(Plan!$K$5,'Calc Smart'!H173,'Calc Avalanche'!H173,'Calc Snowball'!H173,'Calc Cashflow'!H173)</f>
        <v/>
      </c>
      <c r="L167" s="67">
        <f>CHOOSE(Plan!$K$5,'Calc Smart'!I173,'Calc Avalanche'!I173,'Calc Snowball'!I173,'Calc Cashflow'!I173)</f>
        <v/>
      </c>
      <c r="M167" s="67">
        <f>CHOOSE(Plan!$K$5,'Calc Smart'!J173,'Calc Avalanche'!J173,'Calc Snowball'!J173,'Calc Cashflow'!J173)</f>
        <v/>
      </c>
      <c r="N167" s="67">
        <f>CHOOSE(Plan!$K$5,'Calc Smart'!K173,'Calc Avalanche'!K173,'Calc Snowball'!K173,'Calc Cashflow'!K173)</f>
        <v/>
      </c>
      <c r="O167" s="67">
        <f>CHOOSE(Plan!$K$5,'Calc Smart'!L173,'Calc Avalanche'!L173,'Calc Snowball'!L173,'Calc Cashflow'!L173)</f>
        <v/>
      </c>
      <c r="P167" s="67">
        <f>CHOOSE(Plan!$K$5,'Calc Smart'!M173,'Calc Avalanche'!M173,'Calc Snowball'!M173,'Calc Cashflow'!M173)</f>
        <v/>
      </c>
      <c r="Q167" s="67">
        <f>CHOOSE(Plan!$K$5,'Calc Smart'!N173,'Calc Avalanche'!N173,'Calc Snowball'!N173,'Calc Cashflow'!N173)</f>
        <v/>
      </c>
    </row>
    <row r="168">
      <c r="B168" s="64">
        <f>EDATE(Plan!$C$6,162)</f>
        <v/>
      </c>
      <c r="C168" s="31">
        <f>CHOOSE(Plan!$K$5,'Calc Smart'!AE174,'Calc Avalanche'!AE174,'Calc Snowball'!AE174,'Calc Cashflow'!AE174)</f>
        <v/>
      </c>
      <c r="D168" s="31">
        <f>CHOOSE(Plan!$K$5,'Calc Smart'!AD174,'Calc Avalanche'!AD174,'Calc Snowball'!AD174,'Calc Cashflow'!AD174)</f>
        <v/>
      </c>
      <c r="E168" s="40">
        <f>CHOOSE(Plan!$K$5,COUNTIF('Calc Smart'!C174:N174,"&gt;0"),COUNTIF('Calc Avalanche'!C174:N174,"&gt;0"),COUNTIF('Calc Snowball'!C174:N174,"&gt;0"),COUNTIF('Calc Cashflow'!C174:N174,"&gt;0"))</f>
        <v/>
      </c>
      <c r="F168" s="65">
        <f>CHOOSE(Plan!$K$5,'Calc Smart'!C174,'Calc Avalanche'!C174,'Calc Snowball'!C174,'Calc Cashflow'!C174)</f>
        <v/>
      </c>
      <c r="G168" s="65">
        <f>CHOOSE(Plan!$K$5,'Calc Smart'!D174,'Calc Avalanche'!D174,'Calc Snowball'!D174,'Calc Cashflow'!D174)</f>
        <v/>
      </c>
      <c r="H168" s="65">
        <f>CHOOSE(Plan!$K$5,'Calc Smart'!E174,'Calc Avalanche'!E174,'Calc Snowball'!E174,'Calc Cashflow'!E174)</f>
        <v/>
      </c>
      <c r="I168" s="65">
        <f>CHOOSE(Plan!$K$5,'Calc Smart'!F174,'Calc Avalanche'!F174,'Calc Snowball'!F174,'Calc Cashflow'!F174)</f>
        <v/>
      </c>
      <c r="J168" s="65">
        <f>CHOOSE(Plan!$K$5,'Calc Smart'!G174,'Calc Avalanche'!G174,'Calc Snowball'!G174,'Calc Cashflow'!G174)</f>
        <v/>
      </c>
      <c r="K168" s="65">
        <f>CHOOSE(Plan!$K$5,'Calc Smart'!H174,'Calc Avalanche'!H174,'Calc Snowball'!H174,'Calc Cashflow'!H174)</f>
        <v/>
      </c>
      <c r="L168" s="65">
        <f>CHOOSE(Plan!$K$5,'Calc Smart'!I174,'Calc Avalanche'!I174,'Calc Snowball'!I174,'Calc Cashflow'!I174)</f>
        <v/>
      </c>
      <c r="M168" s="65">
        <f>CHOOSE(Plan!$K$5,'Calc Smart'!J174,'Calc Avalanche'!J174,'Calc Snowball'!J174,'Calc Cashflow'!J174)</f>
        <v/>
      </c>
      <c r="N168" s="65">
        <f>CHOOSE(Plan!$K$5,'Calc Smart'!K174,'Calc Avalanche'!K174,'Calc Snowball'!K174,'Calc Cashflow'!K174)</f>
        <v/>
      </c>
      <c r="O168" s="65">
        <f>CHOOSE(Plan!$K$5,'Calc Smart'!L174,'Calc Avalanche'!L174,'Calc Snowball'!L174,'Calc Cashflow'!L174)</f>
        <v/>
      </c>
      <c r="P168" s="65">
        <f>CHOOSE(Plan!$K$5,'Calc Smart'!M174,'Calc Avalanche'!M174,'Calc Snowball'!M174,'Calc Cashflow'!M174)</f>
        <v/>
      </c>
      <c r="Q168" s="65">
        <f>CHOOSE(Plan!$K$5,'Calc Smart'!N174,'Calc Avalanche'!N174,'Calc Snowball'!N174,'Calc Cashflow'!N174)</f>
        <v/>
      </c>
    </row>
    <row r="169">
      <c r="B169" s="66">
        <f>EDATE(Plan!$C$6,163)</f>
        <v/>
      </c>
      <c r="C169" s="32">
        <f>CHOOSE(Plan!$K$5,'Calc Smart'!AE175,'Calc Avalanche'!AE175,'Calc Snowball'!AE175,'Calc Cashflow'!AE175)</f>
        <v/>
      </c>
      <c r="D169" s="32">
        <f>CHOOSE(Plan!$K$5,'Calc Smart'!AD175,'Calc Avalanche'!AD175,'Calc Snowball'!AD175,'Calc Cashflow'!AD175)</f>
        <v/>
      </c>
      <c r="E169" s="43">
        <f>CHOOSE(Plan!$K$5,COUNTIF('Calc Smart'!C175:N175,"&gt;0"),COUNTIF('Calc Avalanche'!C175:N175,"&gt;0"),COUNTIF('Calc Snowball'!C175:N175,"&gt;0"),COUNTIF('Calc Cashflow'!C175:N175,"&gt;0"))</f>
        <v/>
      </c>
      <c r="F169" s="67">
        <f>CHOOSE(Plan!$K$5,'Calc Smart'!C175,'Calc Avalanche'!C175,'Calc Snowball'!C175,'Calc Cashflow'!C175)</f>
        <v/>
      </c>
      <c r="G169" s="67">
        <f>CHOOSE(Plan!$K$5,'Calc Smart'!D175,'Calc Avalanche'!D175,'Calc Snowball'!D175,'Calc Cashflow'!D175)</f>
        <v/>
      </c>
      <c r="H169" s="67">
        <f>CHOOSE(Plan!$K$5,'Calc Smart'!E175,'Calc Avalanche'!E175,'Calc Snowball'!E175,'Calc Cashflow'!E175)</f>
        <v/>
      </c>
      <c r="I169" s="67">
        <f>CHOOSE(Plan!$K$5,'Calc Smart'!F175,'Calc Avalanche'!F175,'Calc Snowball'!F175,'Calc Cashflow'!F175)</f>
        <v/>
      </c>
      <c r="J169" s="67">
        <f>CHOOSE(Plan!$K$5,'Calc Smart'!G175,'Calc Avalanche'!G175,'Calc Snowball'!G175,'Calc Cashflow'!G175)</f>
        <v/>
      </c>
      <c r="K169" s="67">
        <f>CHOOSE(Plan!$K$5,'Calc Smart'!H175,'Calc Avalanche'!H175,'Calc Snowball'!H175,'Calc Cashflow'!H175)</f>
        <v/>
      </c>
      <c r="L169" s="67">
        <f>CHOOSE(Plan!$K$5,'Calc Smart'!I175,'Calc Avalanche'!I175,'Calc Snowball'!I175,'Calc Cashflow'!I175)</f>
        <v/>
      </c>
      <c r="M169" s="67">
        <f>CHOOSE(Plan!$K$5,'Calc Smart'!J175,'Calc Avalanche'!J175,'Calc Snowball'!J175,'Calc Cashflow'!J175)</f>
        <v/>
      </c>
      <c r="N169" s="67">
        <f>CHOOSE(Plan!$K$5,'Calc Smart'!K175,'Calc Avalanche'!K175,'Calc Snowball'!K175,'Calc Cashflow'!K175)</f>
        <v/>
      </c>
      <c r="O169" s="67">
        <f>CHOOSE(Plan!$K$5,'Calc Smart'!L175,'Calc Avalanche'!L175,'Calc Snowball'!L175,'Calc Cashflow'!L175)</f>
        <v/>
      </c>
      <c r="P169" s="67">
        <f>CHOOSE(Plan!$K$5,'Calc Smart'!M175,'Calc Avalanche'!M175,'Calc Snowball'!M175,'Calc Cashflow'!M175)</f>
        <v/>
      </c>
      <c r="Q169" s="67">
        <f>CHOOSE(Plan!$K$5,'Calc Smart'!N175,'Calc Avalanche'!N175,'Calc Snowball'!N175,'Calc Cashflow'!N175)</f>
        <v/>
      </c>
    </row>
    <row r="170">
      <c r="B170" s="64">
        <f>EDATE(Plan!$C$6,164)</f>
        <v/>
      </c>
      <c r="C170" s="31">
        <f>CHOOSE(Plan!$K$5,'Calc Smart'!AE176,'Calc Avalanche'!AE176,'Calc Snowball'!AE176,'Calc Cashflow'!AE176)</f>
        <v/>
      </c>
      <c r="D170" s="31">
        <f>CHOOSE(Plan!$K$5,'Calc Smart'!AD176,'Calc Avalanche'!AD176,'Calc Snowball'!AD176,'Calc Cashflow'!AD176)</f>
        <v/>
      </c>
      <c r="E170" s="40">
        <f>CHOOSE(Plan!$K$5,COUNTIF('Calc Smart'!C176:N176,"&gt;0"),COUNTIF('Calc Avalanche'!C176:N176,"&gt;0"),COUNTIF('Calc Snowball'!C176:N176,"&gt;0"),COUNTIF('Calc Cashflow'!C176:N176,"&gt;0"))</f>
        <v/>
      </c>
      <c r="F170" s="65">
        <f>CHOOSE(Plan!$K$5,'Calc Smart'!C176,'Calc Avalanche'!C176,'Calc Snowball'!C176,'Calc Cashflow'!C176)</f>
        <v/>
      </c>
      <c r="G170" s="65">
        <f>CHOOSE(Plan!$K$5,'Calc Smart'!D176,'Calc Avalanche'!D176,'Calc Snowball'!D176,'Calc Cashflow'!D176)</f>
        <v/>
      </c>
      <c r="H170" s="65">
        <f>CHOOSE(Plan!$K$5,'Calc Smart'!E176,'Calc Avalanche'!E176,'Calc Snowball'!E176,'Calc Cashflow'!E176)</f>
        <v/>
      </c>
      <c r="I170" s="65">
        <f>CHOOSE(Plan!$K$5,'Calc Smart'!F176,'Calc Avalanche'!F176,'Calc Snowball'!F176,'Calc Cashflow'!F176)</f>
        <v/>
      </c>
      <c r="J170" s="65">
        <f>CHOOSE(Plan!$K$5,'Calc Smart'!G176,'Calc Avalanche'!G176,'Calc Snowball'!G176,'Calc Cashflow'!G176)</f>
        <v/>
      </c>
      <c r="K170" s="65">
        <f>CHOOSE(Plan!$K$5,'Calc Smart'!H176,'Calc Avalanche'!H176,'Calc Snowball'!H176,'Calc Cashflow'!H176)</f>
        <v/>
      </c>
      <c r="L170" s="65">
        <f>CHOOSE(Plan!$K$5,'Calc Smart'!I176,'Calc Avalanche'!I176,'Calc Snowball'!I176,'Calc Cashflow'!I176)</f>
        <v/>
      </c>
      <c r="M170" s="65">
        <f>CHOOSE(Plan!$K$5,'Calc Smart'!J176,'Calc Avalanche'!J176,'Calc Snowball'!J176,'Calc Cashflow'!J176)</f>
        <v/>
      </c>
      <c r="N170" s="65">
        <f>CHOOSE(Plan!$K$5,'Calc Smart'!K176,'Calc Avalanche'!K176,'Calc Snowball'!K176,'Calc Cashflow'!K176)</f>
        <v/>
      </c>
      <c r="O170" s="65">
        <f>CHOOSE(Plan!$K$5,'Calc Smart'!L176,'Calc Avalanche'!L176,'Calc Snowball'!L176,'Calc Cashflow'!L176)</f>
        <v/>
      </c>
      <c r="P170" s="65">
        <f>CHOOSE(Plan!$K$5,'Calc Smart'!M176,'Calc Avalanche'!M176,'Calc Snowball'!M176,'Calc Cashflow'!M176)</f>
        <v/>
      </c>
      <c r="Q170" s="65">
        <f>CHOOSE(Plan!$K$5,'Calc Smart'!N176,'Calc Avalanche'!N176,'Calc Snowball'!N176,'Calc Cashflow'!N176)</f>
        <v/>
      </c>
    </row>
    <row r="171">
      <c r="B171" s="66">
        <f>EDATE(Plan!$C$6,165)</f>
        <v/>
      </c>
      <c r="C171" s="32">
        <f>CHOOSE(Plan!$K$5,'Calc Smart'!AE177,'Calc Avalanche'!AE177,'Calc Snowball'!AE177,'Calc Cashflow'!AE177)</f>
        <v/>
      </c>
      <c r="D171" s="32">
        <f>CHOOSE(Plan!$K$5,'Calc Smart'!AD177,'Calc Avalanche'!AD177,'Calc Snowball'!AD177,'Calc Cashflow'!AD177)</f>
        <v/>
      </c>
      <c r="E171" s="43">
        <f>CHOOSE(Plan!$K$5,COUNTIF('Calc Smart'!C177:N177,"&gt;0"),COUNTIF('Calc Avalanche'!C177:N177,"&gt;0"),COUNTIF('Calc Snowball'!C177:N177,"&gt;0"),COUNTIF('Calc Cashflow'!C177:N177,"&gt;0"))</f>
        <v/>
      </c>
      <c r="F171" s="67">
        <f>CHOOSE(Plan!$K$5,'Calc Smart'!C177,'Calc Avalanche'!C177,'Calc Snowball'!C177,'Calc Cashflow'!C177)</f>
        <v/>
      </c>
      <c r="G171" s="67">
        <f>CHOOSE(Plan!$K$5,'Calc Smart'!D177,'Calc Avalanche'!D177,'Calc Snowball'!D177,'Calc Cashflow'!D177)</f>
        <v/>
      </c>
      <c r="H171" s="67">
        <f>CHOOSE(Plan!$K$5,'Calc Smart'!E177,'Calc Avalanche'!E177,'Calc Snowball'!E177,'Calc Cashflow'!E177)</f>
        <v/>
      </c>
      <c r="I171" s="67">
        <f>CHOOSE(Plan!$K$5,'Calc Smart'!F177,'Calc Avalanche'!F177,'Calc Snowball'!F177,'Calc Cashflow'!F177)</f>
        <v/>
      </c>
      <c r="J171" s="67">
        <f>CHOOSE(Plan!$K$5,'Calc Smart'!G177,'Calc Avalanche'!G177,'Calc Snowball'!G177,'Calc Cashflow'!G177)</f>
        <v/>
      </c>
      <c r="K171" s="67">
        <f>CHOOSE(Plan!$K$5,'Calc Smart'!H177,'Calc Avalanche'!H177,'Calc Snowball'!H177,'Calc Cashflow'!H177)</f>
        <v/>
      </c>
      <c r="L171" s="67">
        <f>CHOOSE(Plan!$K$5,'Calc Smart'!I177,'Calc Avalanche'!I177,'Calc Snowball'!I177,'Calc Cashflow'!I177)</f>
        <v/>
      </c>
      <c r="M171" s="67">
        <f>CHOOSE(Plan!$K$5,'Calc Smart'!J177,'Calc Avalanche'!J177,'Calc Snowball'!J177,'Calc Cashflow'!J177)</f>
        <v/>
      </c>
      <c r="N171" s="67">
        <f>CHOOSE(Plan!$K$5,'Calc Smart'!K177,'Calc Avalanche'!K177,'Calc Snowball'!K177,'Calc Cashflow'!K177)</f>
        <v/>
      </c>
      <c r="O171" s="67">
        <f>CHOOSE(Plan!$K$5,'Calc Smart'!L177,'Calc Avalanche'!L177,'Calc Snowball'!L177,'Calc Cashflow'!L177)</f>
        <v/>
      </c>
      <c r="P171" s="67">
        <f>CHOOSE(Plan!$K$5,'Calc Smart'!M177,'Calc Avalanche'!M177,'Calc Snowball'!M177,'Calc Cashflow'!M177)</f>
        <v/>
      </c>
      <c r="Q171" s="67">
        <f>CHOOSE(Plan!$K$5,'Calc Smart'!N177,'Calc Avalanche'!N177,'Calc Snowball'!N177,'Calc Cashflow'!N177)</f>
        <v/>
      </c>
    </row>
    <row r="172">
      <c r="B172" s="64">
        <f>EDATE(Plan!$C$6,166)</f>
        <v/>
      </c>
      <c r="C172" s="31">
        <f>CHOOSE(Plan!$K$5,'Calc Smart'!AE178,'Calc Avalanche'!AE178,'Calc Snowball'!AE178,'Calc Cashflow'!AE178)</f>
        <v/>
      </c>
      <c r="D172" s="31">
        <f>CHOOSE(Plan!$K$5,'Calc Smart'!AD178,'Calc Avalanche'!AD178,'Calc Snowball'!AD178,'Calc Cashflow'!AD178)</f>
        <v/>
      </c>
      <c r="E172" s="40">
        <f>CHOOSE(Plan!$K$5,COUNTIF('Calc Smart'!C178:N178,"&gt;0"),COUNTIF('Calc Avalanche'!C178:N178,"&gt;0"),COUNTIF('Calc Snowball'!C178:N178,"&gt;0"),COUNTIF('Calc Cashflow'!C178:N178,"&gt;0"))</f>
        <v/>
      </c>
      <c r="F172" s="65">
        <f>CHOOSE(Plan!$K$5,'Calc Smart'!C178,'Calc Avalanche'!C178,'Calc Snowball'!C178,'Calc Cashflow'!C178)</f>
        <v/>
      </c>
      <c r="G172" s="65">
        <f>CHOOSE(Plan!$K$5,'Calc Smart'!D178,'Calc Avalanche'!D178,'Calc Snowball'!D178,'Calc Cashflow'!D178)</f>
        <v/>
      </c>
      <c r="H172" s="65">
        <f>CHOOSE(Plan!$K$5,'Calc Smart'!E178,'Calc Avalanche'!E178,'Calc Snowball'!E178,'Calc Cashflow'!E178)</f>
        <v/>
      </c>
      <c r="I172" s="65">
        <f>CHOOSE(Plan!$K$5,'Calc Smart'!F178,'Calc Avalanche'!F178,'Calc Snowball'!F178,'Calc Cashflow'!F178)</f>
        <v/>
      </c>
      <c r="J172" s="65">
        <f>CHOOSE(Plan!$K$5,'Calc Smart'!G178,'Calc Avalanche'!G178,'Calc Snowball'!G178,'Calc Cashflow'!G178)</f>
        <v/>
      </c>
      <c r="K172" s="65">
        <f>CHOOSE(Plan!$K$5,'Calc Smart'!H178,'Calc Avalanche'!H178,'Calc Snowball'!H178,'Calc Cashflow'!H178)</f>
        <v/>
      </c>
      <c r="L172" s="65">
        <f>CHOOSE(Plan!$K$5,'Calc Smart'!I178,'Calc Avalanche'!I178,'Calc Snowball'!I178,'Calc Cashflow'!I178)</f>
        <v/>
      </c>
      <c r="M172" s="65">
        <f>CHOOSE(Plan!$K$5,'Calc Smart'!J178,'Calc Avalanche'!J178,'Calc Snowball'!J178,'Calc Cashflow'!J178)</f>
        <v/>
      </c>
      <c r="N172" s="65">
        <f>CHOOSE(Plan!$K$5,'Calc Smart'!K178,'Calc Avalanche'!K178,'Calc Snowball'!K178,'Calc Cashflow'!K178)</f>
        <v/>
      </c>
      <c r="O172" s="65">
        <f>CHOOSE(Plan!$K$5,'Calc Smart'!L178,'Calc Avalanche'!L178,'Calc Snowball'!L178,'Calc Cashflow'!L178)</f>
        <v/>
      </c>
      <c r="P172" s="65">
        <f>CHOOSE(Plan!$K$5,'Calc Smart'!M178,'Calc Avalanche'!M178,'Calc Snowball'!M178,'Calc Cashflow'!M178)</f>
        <v/>
      </c>
      <c r="Q172" s="65">
        <f>CHOOSE(Plan!$K$5,'Calc Smart'!N178,'Calc Avalanche'!N178,'Calc Snowball'!N178,'Calc Cashflow'!N178)</f>
        <v/>
      </c>
    </row>
    <row r="173">
      <c r="B173" s="66">
        <f>EDATE(Plan!$C$6,167)</f>
        <v/>
      </c>
      <c r="C173" s="32">
        <f>CHOOSE(Plan!$K$5,'Calc Smart'!AE179,'Calc Avalanche'!AE179,'Calc Snowball'!AE179,'Calc Cashflow'!AE179)</f>
        <v/>
      </c>
      <c r="D173" s="32">
        <f>CHOOSE(Plan!$K$5,'Calc Smart'!AD179,'Calc Avalanche'!AD179,'Calc Snowball'!AD179,'Calc Cashflow'!AD179)</f>
        <v/>
      </c>
      <c r="E173" s="43">
        <f>CHOOSE(Plan!$K$5,COUNTIF('Calc Smart'!C179:N179,"&gt;0"),COUNTIF('Calc Avalanche'!C179:N179,"&gt;0"),COUNTIF('Calc Snowball'!C179:N179,"&gt;0"),COUNTIF('Calc Cashflow'!C179:N179,"&gt;0"))</f>
        <v/>
      </c>
      <c r="F173" s="67">
        <f>CHOOSE(Plan!$K$5,'Calc Smart'!C179,'Calc Avalanche'!C179,'Calc Snowball'!C179,'Calc Cashflow'!C179)</f>
        <v/>
      </c>
      <c r="G173" s="67">
        <f>CHOOSE(Plan!$K$5,'Calc Smart'!D179,'Calc Avalanche'!D179,'Calc Snowball'!D179,'Calc Cashflow'!D179)</f>
        <v/>
      </c>
      <c r="H173" s="67">
        <f>CHOOSE(Plan!$K$5,'Calc Smart'!E179,'Calc Avalanche'!E179,'Calc Snowball'!E179,'Calc Cashflow'!E179)</f>
        <v/>
      </c>
      <c r="I173" s="67">
        <f>CHOOSE(Plan!$K$5,'Calc Smart'!F179,'Calc Avalanche'!F179,'Calc Snowball'!F179,'Calc Cashflow'!F179)</f>
        <v/>
      </c>
      <c r="J173" s="67">
        <f>CHOOSE(Plan!$K$5,'Calc Smart'!G179,'Calc Avalanche'!G179,'Calc Snowball'!G179,'Calc Cashflow'!G179)</f>
        <v/>
      </c>
      <c r="K173" s="67">
        <f>CHOOSE(Plan!$K$5,'Calc Smart'!H179,'Calc Avalanche'!H179,'Calc Snowball'!H179,'Calc Cashflow'!H179)</f>
        <v/>
      </c>
      <c r="L173" s="67">
        <f>CHOOSE(Plan!$K$5,'Calc Smart'!I179,'Calc Avalanche'!I179,'Calc Snowball'!I179,'Calc Cashflow'!I179)</f>
        <v/>
      </c>
      <c r="M173" s="67">
        <f>CHOOSE(Plan!$K$5,'Calc Smart'!J179,'Calc Avalanche'!J179,'Calc Snowball'!J179,'Calc Cashflow'!J179)</f>
        <v/>
      </c>
      <c r="N173" s="67">
        <f>CHOOSE(Plan!$K$5,'Calc Smart'!K179,'Calc Avalanche'!K179,'Calc Snowball'!K179,'Calc Cashflow'!K179)</f>
        <v/>
      </c>
      <c r="O173" s="67">
        <f>CHOOSE(Plan!$K$5,'Calc Smart'!L179,'Calc Avalanche'!L179,'Calc Snowball'!L179,'Calc Cashflow'!L179)</f>
        <v/>
      </c>
      <c r="P173" s="67">
        <f>CHOOSE(Plan!$K$5,'Calc Smart'!M179,'Calc Avalanche'!M179,'Calc Snowball'!M179,'Calc Cashflow'!M179)</f>
        <v/>
      </c>
      <c r="Q173" s="67">
        <f>CHOOSE(Plan!$K$5,'Calc Smart'!N179,'Calc Avalanche'!N179,'Calc Snowball'!N179,'Calc Cashflow'!N179)</f>
        <v/>
      </c>
    </row>
    <row r="174">
      <c r="B174" s="64">
        <f>EDATE(Plan!$C$6,168)</f>
        <v/>
      </c>
      <c r="C174" s="31">
        <f>CHOOSE(Plan!$K$5,'Calc Smart'!AE180,'Calc Avalanche'!AE180,'Calc Snowball'!AE180,'Calc Cashflow'!AE180)</f>
        <v/>
      </c>
      <c r="D174" s="31">
        <f>CHOOSE(Plan!$K$5,'Calc Smart'!AD180,'Calc Avalanche'!AD180,'Calc Snowball'!AD180,'Calc Cashflow'!AD180)</f>
        <v/>
      </c>
      <c r="E174" s="40">
        <f>CHOOSE(Plan!$K$5,COUNTIF('Calc Smart'!C180:N180,"&gt;0"),COUNTIF('Calc Avalanche'!C180:N180,"&gt;0"),COUNTIF('Calc Snowball'!C180:N180,"&gt;0"),COUNTIF('Calc Cashflow'!C180:N180,"&gt;0"))</f>
        <v/>
      </c>
      <c r="F174" s="65">
        <f>CHOOSE(Plan!$K$5,'Calc Smart'!C180,'Calc Avalanche'!C180,'Calc Snowball'!C180,'Calc Cashflow'!C180)</f>
        <v/>
      </c>
      <c r="G174" s="65">
        <f>CHOOSE(Plan!$K$5,'Calc Smart'!D180,'Calc Avalanche'!D180,'Calc Snowball'!D180,'Calc Cashflow'!D180)</f>
        <v/>
      </c>
      <c r="H174" s="65">
        <f>CHOOSE(Plan!$K$5,'Calc Smart'!E180,'Calc Avalanche'!E180,'Calc Snowball'!E180,'Calc Cashflow'!E180)</f>
        <v/>
      </c>
      <c r="I174" s="65">
        <f>CHOOSE(Plan!$K$5,'Calc Smart'!F180,'Calc Avalanche'!F180,'Calc Snowball'!F180,'Calc Cashflow'!F180)</f>
        <v/>
      </c>
      <c r="J174" s="65">
        <f>CHOOSE(Plan!$K$5,'Calc Smart'!G180,'Calc Avalanche'!G180,'Calc Snowball'!G180,'Calc Cashflow'!G180)</f>
        <v/>
      </c>
      <c r="K174" s="65">
        <f>CHOOSE(Plan!$K$5,'Calc Smart'!H180,'Calc Avalanche'!H180,'Calc Snowball'!H180,'Calc Cashflow'!H180)</f>
        <v/>
      </c>
      <c r="L174" s="65">
        <f>CHOOSE(Plan!$K$5,'Calc Smart'!I180,'Calc Avalanche'!I180,'Calc Snowball'!I180,'Calc Cashflow'!I180)</f>
        <v/>
      </c>
      <c r="M174" s="65">
        <f>CHOOSE(Plan!$K$5,'Calc Smart'!J180,'Calc Avalanche'!J180,'Calc Snowball'!J180,'Calc Cashflow'!J180)</f>
        <v/>
      </c>
      <c r="N174" s="65">
        <f>CHOOSE(Plan!$K$5,'Calc Smart'!K180,'Calc Avalanche'!K180,'Calc Snowball'!K180,'Calc Cashflow'!K180)</f>
        <v/>
      </c>
      <c r="O174" s="65">
        <f>CHOOSE(Plan!$K$5,'Calc Smart'!L180,'Calc Avalanche'!L180,'Calc Snowball'!L180,'Calc Cashflow'!L180)</f>
        <v/>
      </c>
      <c r="P174" s="65">
        <f>CHOOSE(Plan!$K$5,'Calc Smart'!M180,'Calc Avalanche'!M180,'Calc Snowball'!M180,'Calc Cashflow'!M180)</f>
        <v/>
      </c>
      <c r="Q174" s="65">
        <f>CHOOSE(Plan!$K$5,'Calc Smart'!N180,'Calc Avalanche'!N180,'Calc Snowball'!N180,'Calc Cashflow'!N180)</f>
        <v/>
      </c>
    </row>
    <row r="175">
      <c r="B175" s="66">
        <f>EDATE(Plan!$C$6,169)</f>
        <v/>
      </c>
      <c r="C175" s="32">
        <f>CHOOSE(Plan!$K$5,'Calc Smart'!AE181,'Calc Avalanche'!AE181,'Calc Snowball'!AE181,'Calc Cashflow'!AE181)</f>
        <v/>
      </c>
      <c r="D175" s="32">
        <f>CHOOSE(Plan!$K$5,'Calc Smart'!AD181,'Calc Avalanche'!AD181,'Calc Snowball'!AD181,'Calc Cashflow'!AD181)</f>
        <v/>
      </c>
      <c r="E175" s="43">
        <f>CHOOSE(Plan!$K$5,COUNTIF('Calc Smart'!C181:N181,"&gt;0"),COUNTIF('Calc Avalanche'!C181:N181,"&gt;0"),COUNTIF('Calc Snowball'!C181:N181,"&gt;0"),COUNTIF('Calc Cashflow'!C181:N181,"&gt;0"))</f>
        <v/>
      </c>
      <c r="F175" s="67">
        <f>CHOOSE(Plan!$K$5,'Calc Smart'!C181,'Calc Avalanche'!C181,'Calc Snowball'!C181,'Calc Cashflow'!C181)</f>
        <v/>
      </c>
      <c r="G175" s="67">
        <f>CHOOSE(Plan!$K$5,'Calc Smart'!D181,'Calc Avalanche'!D181,'Calc Snowball'!D181,'Calc Cashflow'!D181)</f>
        <v/>
      </c>
      <c r="H175" s="67">
        <f>CHOOSE(Plan!$K$5,'Calc Smart'!E181,'Calc Avalanche'!E181,'Calc Snowball'!E181,'Calc Cashflow'!E181)</f>
        <v/>
      </c>
      <c r="I175" s="67">
        <f>CHOOSE(Plan!$K$5,'Calc Smart'!F181,'Calc Avalanche'!F181,'Calc Snowball'!F181,'Calc Cashflow'!F181)</f>
        <v/>
      </c>
      <c r="J175" s="67">
        <f>CHOOSE(Plan!$K$5,'Calc Smart'!G181,'Calc Avalanche'!G181,'Calc Snowball'!G181,'Calc Cashflow'!G181)</f>
        <v/>
      </c>
      <c r="K175" s="67">
        <f>CHOOSE(Plan!$K$5,'Calc Smart'!H181,'Calc Avalanche'!H181,'Calc Snowball'!H181,'Calc Cashflow'!H181)</f>
        <v/>
      </c>
      <c r="L175" s="67">
        <f>CHOOSE(Plan!$K$5,'Calc Smart'!I181,'Calc Avalanche'!I181,'Calc Snowball'!I181,'Calc Cashflow'!I181)</f>
        <v/>
      </c>
      <c r="M175" s="67">
        <f>CHOOSE(Plan!$K$5,'Calc Smart'!J181,'Calc Avalanche'!J181,'Calc Snowball'!J181,'Calc Cashflow'!J181)</f>
        <v/>
      </c>
      <c r="N175" s="67">
        <f>CHOOSE(Plan!$K$5,'Calc Smart'!K181,'Calc Avalanche'!K181,'Calc Snowball'!K181,'Calc Cashflow'!K181)</f>
        <v/>
      </c>
      <c r="O175" s="67">
        <f>CHOOSE(Plan!$K$5,'Calc Smart'!L181,'Calc Avalanche'!L181,'Calc Snowball'!L181,'Calc Cashflow'!L181)</f>
        <v/>
      </c>
      <c r="P175" s="67">
        <f>CHOOSE(Plan!$K$5,'Calc Smart'!M181,'Calc Avalanche'!M181,'Calc Snowball'!M181,'Calc Cashflow'!M181)</f>
        <v/>
      </c>
      <c r="Q175" s="67">
        <f>CHOOSE(Plan!$K$5,'Calc Smart'!N181,'Calc Avalanche'!N181,'Calc Snowball'!N181,'Calc Cashflow'!N181)</f>
        <v/>
      </c>
    </row>
    <row r="176">
      <c r="B176" s="64">
        <f>EDATE(Plan!$C$6,170)</f>
        <v/>
      </c>
      <c r="C176" s="31">
        <f>CHOOSE(Plan!$K$5,'Calc Smart'!AE182,'Calc Avalanche'!AE182,'Calc Snowball'!AE182,'Calc Cashflow'!AE182)</f>
        <v/>
      </c>
      <c r="D176" s="31">
        <f>CHOOSE(Plan!$K$5,'Calc Smart'!AD182,'Calc Avalanche'!AD182,'Calc Snowball'!AD182,'Calc Cashflow'!AD182)</f>
        <v/>
      </c>
      <c r="E176" s="40">
        <f>CHOOSE(Plan!$K$5,COUNTIF('Calc Smart'!C182:N182,"&gt;0"),COUNTIF('Calc Avalanche'!C182:N182,"&gt;0"),COUNTIF('Calc Snowball'!C182:N182,"&gt;0"),COUNTIF('Calc Cashflow'!C182:N182,"&gt;0"))</f>
        <v/>
      </c>
      <c r="F176" s="65">
        <f>CHOOSE(Plan!$K$5,'Calc Smart'!C182,'Calc Avalanche'!C182,'Calc Snowball'!C182,'Calc Cashflow'!C182)</f>
        <v/>
      </c>
      <c r="G176" s="65">
        <f>CHOOSE(Plan!$K$5,'Calc Smart'!D182,'Calc Avalanche'!D182,'Calc Snowball'!D182,'Calc Cashflow'!D182)</f>
        <v/>
      </c>
      <c r="H176" s="65">
        <f>CHOOSE(Plan!$K$5,'Calc Smart'!E182,'Calc Avalanche'!E182,'Calc Snowball'!E182,'Calc Cashflow'!E182)</f>
        <v/>
      </c>
      <c r="I176" s="65">
        <f>CHOOSE(Plan!$K$5,'Calc Smart'!F182,'Calc Avalanche'!F182,'Calc Snowball'!F182,'Calc Cashflow'!F182)</f>
        <v/>
      </c>
      <c r="J176" s="65">
        <f>CHOOSE(Plan!$K$5,'Calc Smart'!G182,'Calc Avalanche'!G182,'Calc Snowball'!G182,'Calc Cashflow'!G182)</f>
        <v/>
      </c>
      <c r="K176" s="65">
        <f>CHOOSE(Plan!$K$5,'Calc Smart'!H182,'Calc Avalanche'!H182,'Calc Snowball'!H182,'Calc Cashflow'!H182)</f>
        <v/>
      </c>
      <c r="L176" s="65">
        <f>CHOOSE(Plan!$K$5,'Calc Smart'!I182,'Calc Avalanche'!I182,'Calc Snowball'!I182,'Calc Cashflow'!I182)</f>
        <v/>
      </c>
      <c r="M176" s="65">
        <f>CHOOSE(Plan!$K$5,'Calc Smart'!J182,'Calc Avalanche'!J182,'Calc Snowball'!J182,'Calc Cashflow'!J182)</f>
        <v/>
      </c>
      <c r="N176" s="65">
        <f>CHOOSE(Plan!$K$5,'Calc Smart'!K182,'Calc Avalanche'!K182,'Calc Snowball'!K182,'Calc Cashflow'!K182)</f>
        <v/>
      </c>
      <c r="O176" s="65">
        <f>CHOOSE(Plan!$K$5,'Calc Smart'!L182,'Calc Avalanche'!L182,'Calc Snowball'!L182,'Calc Cashflow'!L182)</f>
        <v/>
      </c>
      <c r="P176" s="65">
        <f>CHOOSE(Plan!$K$5,'Calc Smart'!M182,'Calc Avalanche'!M182,'Calc Snowball'!M182,'Calc Cashflow'!M182)</f>
        <v/>
      </c>
      <c r="Q176" s="65">
        <f>CHOOSE(Plan!$K$5,'Calc Smart'!N182,'Calc Avalanche'!N182,'Calc Snowball'!N182,'Calc Cashflow'!N182)</f>
        <v/>
      </c>
    </row>
    <row r="177">
      <c r="B177" s="66">
        <f>EDATE(Plan!$C$6,171)</f>
        <v/>
      </c>
      <c r="C177" s="32">
        <f>CHOOSE(Plan!$K$5,'Calc Smart'!AE183,'Calc Avalanche'!AE183,'Calc Snowball'!AE183,'Calc Cashflow'!AE183)</f>
        <v/>
      </c>
      <c r="D177" s="32">
        <f>CHOOSE(Plan!$K$5,'Calc Smart'!AD183,'Calc Avalanche'!AD183,'Calc Snowball'!AD183,'Calc Cashflow'!AD183)</f>
        <v/>
      </c>
      <c r="E177" s="43">
        <f>CHOOSE(Plan!$K$5,COUNTIF('Calc Smart'!C183:N183,"&gt;0"),COUNTIF('Calc Avalanche'!C183:N183,"&gt;0"),COUNTIF('Calc Snowball'!C183:N183,"&gt;0"),COUNTIF('Calc Cashflow'!C183:N183,"&gt;0"))</f>
        <v/>
      </c>
      <c r="F177" s="67">
        <f>CHOOSE(Plan!$K$5,'Calc Smart'!C183,'Calc Avalanche'!C183,'Calc Snowball'!C183,'Calc Cashflow'!C183)</f>
        <v/>
      </c>
      <c r="G177" s="67">
        <f>CHOOSE(Plan!$K$5,'Calc Smart'!D183,'Calc Avalanche'!D183,'Calc Snowball'!D183,'Calc Cashflow'!D183)</f>
        <v/>
      </c>
      <c r="H177" s="67">
        <f>CHOOSE(Plan!$K$5,'Calc Smart'!E183,'Calc Avalanche'!E183,'Calc Snowball'!E183,'Calc Cashflow'!E183)</f>
        <v/>
      </c>
      <c r="I177" s="67">
        <f>CHOOSE(Plan!$K$5,'Calc Smart'!F183,'Calc Avalanche'!F183,'Calc Snowball'!F183,'Calc Cashflow'!F183)</f>
        <v/>
      </c>
      <c r="J177" s="67">
        <f>CHOOSE(Plan!$K$5,'Calc Smart'!G183,'Calc Avalanche'!G183,'Calc Snowball'!G183,'Calc Cashflow'!G183)</f>
        <v/>
      </c>
      <c r="K177" s="67">
        <f>CHOOSE(Plan!$K$5,'Calc Smart'!H183,'Calc Avalanche'!H183,'Calc Snowball'!H183,'Calc Cashflow'!H183)</f>
        <v/>
      </c>
      <c r="L177" s="67">
        <f>CHOOSE(Plan!$K$5,'Calc Smart'!I183,'Calc Avalanche'!I183,'Calc Snowball'!I183,'Calc Cashflow'!I183)</f>
        <v/>
      </c>
      <c r="M177" s="67">
        <f>CHOOSE(Plan!$K$5,'Calc Smart'!J183,'Calc Avalanche'!J183,'Calc Snowball'!J183,'Calc Cashflow'!J183)</f>
        <v/>
      </c>
      <c r="N177" s="67">
        <f>CHOOSE(Plan!$K$5,'Calc Smart'!K183,'Calc Avalanche'!K183,'Calc Snowball'!K183,'Calc Cashflow'!K183)</f>
        <v/>
      </c>
      <c r="O177" s="67">
        <f>CHOOSE(Plan!$K$5,'Calc Smart'!L183,'Calc Avalanche'!L183,'Calc Snowball'!L183,'Calc Cashflow'!L183)</f>
        <v/>
      </c>
      <c r="P177" s="67">
        <f>CHOOSE(Plan!$K$5,'Calc Smart'!M183,'Calc Avalanche'!M183,'Calc Snowball'!M183,'Calc Cashflow'!M183)</f>
        <v/>
      </c>
      <c r="Q177" s="67">
        <f>CHOOSE(Plan!$K$5,'Calc Smart'!N183,'Calc Avalanche'!N183,'Calc Snowball'!N183,'Calc Cashflow'!N183)</f>
        <v/>
      </c>
    </row>
    <row r="178">
      <c r="B178" s="64">
        <f>EDATE(Plan!$C$6,172)</f>
        <v/>
      </c>
      <c r="C178" s="31">
        <f>CHOOSE(Plan!$K$5,'Calc Smart'!AE184,'Calc Avalanche'!AE184,'Calc Snowball'!AE184,'Calc Cashflow'!AE184)</f>
        <v/>
      </c>
      <c r="D178" s="31">
        <f>CHOOSE(Plan!$K$5,'Calc Smart'!AD184,'Calc Avalanche'!AD184,'Calc Snowball'!AD184,'Calc Cashflow'!AD184)</f>
        <v/>
      </c>
      <c r="E178" s="40">
        <f>CHOOSE(Plan!$K$5,COUNTIF('Calc Smart'!C184:N184,"&gt;0"),COUNTIF('Calc Avalanche'!C184:N184,"&gt;0"),COUNTIF('Calc Snowball'!C184:N184,"&gt;0"),COUNTIF('Calc Cashflow'!C184:N184,"&gt;0"))</f>
        <v/>
      </c>
      <c r="F178" s="65">
        <f>CHOOSE(Plan!$K$5,'Calc Smart'!C184,'Calc Avalanche'!C184,'Calc Snowball'!C184,'Calc Cashflow'!C184)</f>
        <v/>
      </c>
      <c r="G178" s="65">
        <f>CHOOSE(Plan!$K$5,'Calc Smart'!D184,'Calc Avalanche'!D184,'Calc Snowball'!D184,'Calc Cashflow'!D184)</f>
        <v/>
      </c>
      <c r="H178" s="65">
        <f>CHOOSE(Plan!$K$5,'Calc Smart'!E184,'Calc Avalanche'!E184,'Calc Snowball'!E184,'Calc Cashflow'!E184)</f>
        <v/>
      </c>
      <c r="I178" s="65">
        <f>CHOOSE(Plan!$K$5,'Calc Smart'!F184,'Calc Avalanche'!F184,'Calc Snowball'!F184,'Calc Cashflow'!F184)</f>
        <v/>
      </c>
      <c r="J178" s="65">
        <f>CHOOSE(Plan!$K$5,'Calc Smart'!G184,'Calc Avalanche'!G184,'Calc Snowball'!G184,'Calc Cashflow'!G184)</f>
        <v/>
      </c>
      <c r="K178" s="65">
        <f>CHOOSE(Plan!$K$5,'Calc Smart'!H184,'Calc Avalanche'!H184,'Calc Snowball'!H184,'Calc Cashflow'!H184)</f>
        <v/>
      </c>
      <c r="L178" s="65">
        <f>CHOOSE(Plan!$K$5,'Calc Smart'!I184,'Calc Avalanche'!I184,'Calc Snowball'!I184,'Calc Cashflow'!I184)</f>
        <v/>
      </c>
      <c r="M178" s="65">
        <f>CHOOSE(Plan!$K$5,'Calc Smart'!J184,'Calc Avalanche'!J184,'Calc Snowball'!J184,'Calc Cashflow'!J184)</f>
        <v/>
      </c>
      <c r="N178" s="65">
        <f>CHOOSE(Plan!$K$5,'Calc Smart'!K184,'Calc Avalanche'!K184,'Calc Snowball'!K184,'Calc Cashflow'!K184)</f>
        <v/>
      </c>
      <c r="O178" s="65">
        <f>CHOOSE(Plan!$K$5,'Calc Smart'!L184,'Calc Avalanche'!L184,'Calc Snowball'!L184,'Calc Cashflow'!L184)</f>
        <v/>
      </c>
      <c r="P178" s="65">
        <f>CHOOSE(Plan!$K$5,'Calc Smart'!M184,'Calc Avalanche'!M184,'Calc Snowball'!M184,'Calc Cashflow'!M184)</f>
        <v/>
      </c>
      <c r="Q178" s="65">
        <f>CHOOSE(Plan!$K$5,'Calc Smart'!N184,'Calc Avalanche'!N184,'Calc Snowball'!N184,'Calc Cashflow'!N184)</f>
        <v/>
      </c>
    </row>
    <row r="179">
      <c r="B179" s="66">
        <f>EDATE(Plan!$C$6,173)</f>
        <v/>
      </c>
      <c r="C179" s="32">
        <f>CHOOSE(Plan!$K$5,'Calc Smart'!AE185,'Calc Avalanche'!AE185,'Calc Snowball'!AE185,'Calc Cashflow'!AE185)</f>
        <v/>
      </c>
      <c r="D179" s="32">
        <f>CHOOSE(Plan!$K$5,'Calc Smart'!AD185,'Calc Avalanche'!AD185,'Calc Snowball'!AD185,'Calc Cashflow'!AD185)</f>
        <v/>
      </c>
      <c r="E179" s="43">
        <f>CHOOSE(Plan!$K$5,COUNTIF('Calc Smart'!C185:N185,"&gt;0"),COUNTIF('Calc Avalanche'!C185:N185,"&gt;0"),COUNTIF('Calc Snowball'!C185:N185,"&gt;0"),COUNTIF('Calc Cashflow'!C185:N185,"&gt;0"))</f>
        <v/>
      </c>
      <c r="F179" s="67">
        <f>CHOOSE(Plan!$K$5,'Calc Smart'!C185,'Calc Avalanche'!C185,'Calc Snowball'!C185,'Calc Cashflow'!C185)</f>
        <v/>
      </c>
      <c r="G179" s="67">
        <f>CHOOSE(Plan!$K$5,'Calc Smart'!D185,'Calc Avalanche'!D185,'Calc Snowball'!D185,'Calc Cashflow'!D185)</f>
        <v/>
      </c>
      <c r="H179" s="67">
        <f>CHOOSE(Plan!$K$5,'Calc Smart'!E185,'Calc Avalanche'!E185,'Calc Snowball'!E185,'Calc Cashflow'!E185)</f>
        <v/>
      </c>
      <c r="I179" s="67">
        <f>CHOOSE(Plan!$K$5,'Calc Smart'!F185,'Calc Avalanche'!F185,'Calc Snowball'!F185,'Calc Cashflow'!F185)</f>
        <v/>
      </c>
      <c r="J179" s="67">
        <f>CHOOSE(Plan!$K$5,'Calc Smart'!G185,'Calc Avalanche'!G185,'Calc Snowball'!G185,'Calc Cashflow'!G185)</f>
        <v/>
      </c>
      <c r="K179" s="67">
        <f>CHOOSE(Plan!$K$5,'Calc Smart'!H185,'Calc Avalanche'!H185,'Calc Snowball'!H185,'Calc Cashflow'!H185)</f>
        <v/>
      </c>
      <c r="L179" s="67">
        <f>CHOOSE(Plan!$K$5,'Calc Smart'!I185,'Calc Avalanche'!I185,'Calc Snowball'!I185,'Calc Cashflow'!I185)</f>
        <v/>
      </c>
      <c r="M179" s="67">
        <f>CHOOSE(Plan!$K$5,'Calc Smart'!J185,'Calc Avalanche'!J185,'Calc Snowball'!J185,'Calc Cashflow'!J185)</f>
        <v/>
      </c>
      <c r="N179" s="67">
        <f>CHOOSE(Plan!$K$5,'Calc Smart'!K185,'Calc Avalanche'!K185,'Calc Snowball'!K185,'Calc Cashflow'!K185)</f>
        <v/>
      </c>
      <c r="O179" s="67">
        <f>CHOOSE(Plan!$K$5,'Calc Smart'!L185,'Calc Avalanche'!L185,'Calc Snowball'!L185,'Calc Cashflow'!L185)</f>
        <v/>
      </c>
      <c r="P179" s="67">
        <f>CHOOSE(Plan!$K$5,'Calc Smart'!M185,'Calc Avalanche'!M185,'Calc Snowball'!M185,'Calc Cashflow'!M185)</f>
        <v/>
      </c>
      <c r="Q179" s="67">
        <f>CHOOSE(Plan!$K$5,'Calc Smart'!N185,'Calc Avalanche'!N185,'Calc Snowball'!N185,'Calc Cashflow'!N185)</f>
        <v/>
      </c>
    </row>
    <row r="180">
      <c r="B180" s="64">
        <f>EDATE(Plan!$C$6,174)</f>
        <v/>
      </c>
      <c r="C180" s="31">
        <f>CHOOSE(Plan!$K$5,'Calc Smart'!AE186,'Calc Avalanche'!AE186,'Calc Snowball'!AE186,'Calc Cashflow'!AE186)</f>
        <v/>
      </c>
      <c r="D180" s="31">
        <f>CHOOSE(Plan!$K$5,'Calc Smart'!AD186,'Calc Avalanche'!AD186,'Calc Snowball'!AD186,'Calc Cashflow'!AD186)</f>
        <v/>
      </c>
      <c r="E180" s="40">
        <f>CHOOSE(Plan!$K$5,COUNTIF('Calc Smart'!C186:N186,"&gt;0"),COUNTIF('Calc Avalanche'!C186:N186,"&gt;0"),COUNTIF('Calc Snowball'!C186:N186,"&gt;0"),COUNTIF('Calc Cashflow'!C186:N186,"&gt;0"))</f>
        <v/>
      </c>
      <c r="F180" s="65">
        <f>CHOOSE(Plan!$K$5,'Calc Smart'!C186,'Calc Avalanche'!C186,'Calc Snowball'!C186,'Calc Cashflow'!C186)</f>
        <v/>
      </c>
      <c r="G180" s="65">
        <f>CHOOSE(Plan!$K$5,'Calc Smart'!D186,'Calc Avalanche'!D186,'Calc Snowball'!D186,'Calc Cashflow'!D186)</f>
        <v/>
      </c>
      <c r="H180" s="65">
        <f>CHOOSE(Plan!$K$5,'Calc Smart'!E186,'Calc Avalanche'!E186,'Calc Snowball'!E186,'Calc Cashflow'!E186)</f>
        <v/>
      </c>
      <c r="I180" s="65">
        <f>CHOOSE(Plan!$K$5,'Calc Smart'!F186,'Calc Avalanche'!F186,'Calc Snowball'!F186,'Calc Cashflow'!F186)</f>
        <v/>
      </c>
      <c r="J180" s="65">
        <f>CHOOSE(Plan!$K$5,'Calc Smart'!G186,'Calc Avalanche'!G186,'Calc Snowball'!G186,'Calc Cashflow'!G186)</f>
        <v/>
      </c>
      <c r="K180" s="65">
        <f>CHOOSE(Plan!$K$5,'Calc Smart'!H186,'Calc Avalanche'!H186,'Calc Snowball'!H186,'Calc Cashflow'!H186)</f>
        <v/>
      </c>
      <c r="L180" s="65">
        <f>CHOOSE(Plan!$K$5,'Calc Smart'!I186,'Calc Avalanche'!I186,'Calc Snowball'!I186,'Calc Cashflow'!I186)</f>
        <v/>
      </c>
      <c r="M180" s="65">
        <f>CHOOSE(Plan!$K$5,'Calc Smart'!J186,'Calc Avalanche'!J186,'Calc Snowball'!J186,'Calc Cashflow'!J186)</f>
        <v/>
      </c>
      <c r="N180" s="65">
        <f>CHOOSE(Plan!$K$5,'Calc Smart'!K186,'Calc Avalanche'!K186,'Calc Snowball'!K186,'Calc Cashflow'!K186)</f>
        <v/>
      </c>
      <c r="O180" s="65">
        <f>CHOOSE(Plan!$K$5,'Calc Smart'!L186,'Calc Avalanche'!L186,'Calc Snowball'!L186,'Calc Cashflow'!L186)</f>
        <v/>
      </c>
      <c r="P180" s="65">
        <f>CHOOSE(Plan!$K$5,'Calc Smart'!M186,'Calc Avalanche'!M186,'Calc Snowball'!M186,'Calc Cashflow'!M186)</f>
        <v/>
      </c>
      <c r="Q180" s="65">
        <f>CHOOSE(Plan!$K$5,'Calc Smart'!N186,'Calc Avalanche'!N186,'Calc Snowball'!N186,'Calc Cashflow'!N186)</f>
        <v/>
      </c>
    </row>
    <row r="181">
      <c r="B181" s="66">
        <f>EDATE(Plan!$C$6,175)</f>
        <v/>
      </c>
      <c r="C181" s="32">
        <f>CHOOSE(Plan!$K$5,'Calc Smart'!AE187,'Calc Avalanche'!AE187,'Calc Snowball'!AE187,'Calc Cashflow'!AE187)</f>
        <v/>
      </c>
      <c r="D181" s="32">
        <f>CHOOSE(Plan!$K$5,'Calc Smart'!AD187,'Calc Avalanche'!AD187,'Calc Snowball'!AD187,'Calc Cashflow'!AD187)</f>
        <v/>
      </c>
      <c r="E181" s="43">
        <f>CHOOSE(Plan!$K$5,COUNTIF('Calc Smart'!C187:N187,"&gt;0"),COUNTIF('Calc Avalanche'!C187:N187,"&gt;0"),COUNTIF('Calc Snowball'!C187:N187,"&gt;0"),COUNTIF('Calc Cashflow'!C187:N187,"&gt;0"))</f>
        <v/>
      </c>
      <c r="F181" s="67">
        <f>CHOOSE(Plan!$K$5,'Calc Smart'!C187,'Calc Avalanche'!C187,'Calc Snowball'!C187,'Calc Cashflow'!C187)</f>
        <v/>
      </c>
      <c r="G181" s="67">
        <f>CHOOSE(Plan!$K$5,'Calc Smart'!D187,'Calc Avalanche'!D187,'Calc Snowball'!D187,'Calc Cashflow'!D187)</f>
        <v/>
      </c>
      <c r="H181" s="67">
        <f>CHOOSE(Plan!$K$5,'Calc Smart'!E187,'Calc Avalanche'!E187,'Calc Snowball'!E187,'Calc Cashflow'!E187)</f>
        <v/>
      </c>
      <c r="I181" s="67">
        <f>CHOOSE(Plan!$K$5,'Calc Smart'!F187,'Calc Avalanche'!F187,'Calc Snowball'!F187,'Calc Cashflow'!F187)</f>
        <v/>
      </c>
      <c r="J181" s="67">
        <f>CHOOSE(Plan!$K$5,'Calc Smart'!G187,'Calc Avalanche'!G187,'Calc Snowball'!G187,'Calc Cashflow'!G187)</f>
        <v/>
      </c>
      <c r="K181" s="67">
        <f>CHOOSE(Plan!$K$5,'Calc Smart'!H187,'Calc Avalanche'!H187,'Calc Snowball'!H187,'Calc Cashflow'!H187)</f>
        <v/>
      </c>
      <c r="L181" s="67">
        <f>CHOOSE(Plan!$K$5,'Calc Smart'!I187,'Calc Avalanche'!I187,'Calc Snowball'!I187,'Calc Cashflow'!I187)</f>
        <v/>
      </c>
      <c r="M181" s="67">
        <f>CHOOSE(Plan!$K$5,'Calc Smart'!J187,'Calc Avalanche'!J187,'Calc Snowball'!J187,'Calc Cashflow'!J187)</f>
        <v/>
      </c>
      <c r="N181" s="67">
        <f>CHOOSE(Plan!$K$5,'Calc Smart'!K187,'Calc Avalanche'!K187,'Calc Snowball'!K187,'Calc Cashflow'!K187)</f>
        <v/>
      </c>
      <c r="O181" s="67">
        <f>CHOOSE(Plan!$K$5,'Calc Smart'!L187,'Calc Avalanche'!L187,'Calc Snowball'!L187,'Calc Cashflow'!L187)</f>
        <v/>
      </c>
      <c r="P181" s="67">
        <f>CHOOSE(Plan!$K$5,'Calc Smart'!M187,'Calc Avalanche'!M187,'Calc Snowball'!M187,'Calc Cashflow'!M187)</f>
        <v/>
      </c>
      <c r="Q181" s="67">
        <f>CHOOSE(Plan!$K$5,'Calc Smart'!N187,'Calc Avalanche'!N187,'Calc Snowball'!N187,'Calc Cashflow'!N187)</f>
        <v/>
      </c>
    </row>
    <row r="182">
      <c r="B182" s="64">
        <f>EDATE(Plan!$C$6,176)</f>
        <v/>
      </c>
      <c r="C182" s="31">
        <f>CHOOSE(Plan!$K$5,'Calc Smart'!AE188,'Calc Avalanche'!AE188,'Calc Snowball'!AE188,'Calc Cashflow'!AE188)</f>
        <v/>
      </c>
      <c r="D182" s="31">
        <f>CHOOSE(Plan!$K$5,'Calc Smart'!AD188,'Calc Avalanche'!AD188,'Calc Snowball'!AD188,'Calc Cashflow'!AD188)</f>
        <v/>
      </c>
      <c r="E182" s="40">
        <f>CHOOSE(Plan!$K$5,COUNTIF('Calc Smart'!C188:N188,"&gt;0"),COUNTIF('Calc Avalanche'!C188:N188,"&gt;0"),COUNTIF('Calc Snowball'!C188:N188,"&gt;0"),COUNTIF('Calc Cashflow'!C188:N188,"&gt;0"))</f>
        <v/>
      </c>
      <c r="F182" s="65">
        <f>CHOOSE(Plan!$K$5,'Calc Smart'!C188,'Calc Avalanche'!C188,'Calc Snowball'!C188,'Calc Cashflow'!C188)</f>
        <v/>
      </c>
      <c r="G182" s="65">
        <f>CHOOSE(Plan!$K$5,'Calc Smart'!D188,'Calc Avalanche'!D188,'Calc Snowball'!D188,'Calc Cashflow'!D188)</f>
        <v/>
      </c>
      <c r="H182" s="65">
        <f>CHOOSE(Plan!$K$5,'Calc Smart'!E188,'Calc Avalanche'!E188,'Calc Snowball'!E188,'Calc Cashflow'!E188)</f>
        <v/>
      </c>
      <c r="I182" s="65">
        <f>CHOOSE(Plan!$K$5,'Calc Smart'!F188,'Calc Avalanche'!F188,'Calc Snowball'!F188,'Calc Cashflow'!F188)</f>
        <v/>
      </c>
      <c r="J182" s="65">
        <f>CHOOSE(Plan!$K$5,'Calc Smart'!G188,'Calc Avalanche'!G188,'Calc Snowball'!G188,'Calc Cashflow'!G188)</f>
        <v/>
      </c>
      <c r="K182" s="65">
        <f>CHOOSE(Plan!$K$5,'Calc Smart'!H188,'Calc Avalanche'!H188,'Calc Snowball'!H188,'Calc Cashflow'!H188)</f>
        <v/>
      </c>
      <c r="L182" s="65">
        <f>CHOOSE(Plan!$K$5,'Calc Smart'!I188,'Calc Avalanche'!I188,'Calc Snowball'!I188,'Calc Cashflow'!I188)</f>
        <v/>
      </c>
      <c r="M182" s="65">
        <f>CHOOSE(Plan!$K$5,'Calc Smart'!J188,'Calc Avalanche'!J188,'Calc Snowball'!J188,'Calc Cashflow'!J188)</f>
        <v/>
      </c>
      <c r="N182" s="65">
        <f>CHOOSE(Plan!$K$5,'Calc Smart'!K188,'Calc Avalanche'!K188,'Calc Snowball'!K188,'Calc Cashflow'!K188)</f>
        <v/>
      </c>
      <c r="O182" s="65">
        <f>CHOOSE(Plan!$K$5,'Calc Smart'!L188,'Calc Avalanche'!L188,'Calc Snowball'!L188,'Calc Cashflow'!L188)</f>
        <v/>
      </c>
      <c r="P182" s="65">
        <f>CHOOSE(Plan!$K$5,'Calc Smart'!M188,'Calc Avalanche'!M188,'Calc Snowball'!M188,'Calc Cashflow'!M188)</f>
        <v/>
      </c>
      <c r="Q182" s="65">
        <f>CHOOSE(Plan!$K$5,'Calc Smart'!N188,'Calc Avalanche'!N188,'Calc Snowball'!N188,'Calc Cashflow'!N188)</f>
        <v/>
      </c>
    </row>
    <row r="183">
      <c r="B183" s="66">
        <f>EDATE(Plan!$C$6,177)</f>
        <v/>
      </c>
      <c r="C183" s="32">
        <f>CHOOSE(Plan!$K$5,'Calc Smart'!AE189,'Calc Avalanche'!AE189,'Calc Snowball'!AE189,'Calc Cashflow'!AE189)</f>
        <v/>
      </c>
      <c r="D183" s="32">
        <f>CHOOSE(Plan!$K$5,'Calc Smart'!AD189,'Calc Avalanche'!AD189,'Calc Snowball'!AD189,'Calc Cashflow'!AD189)</f>
        <v/>
      </c>
      <c r="E183" s="43">
        <f>CHOOSE(Plan!$K$5,COUNTIF('Calc Smart'!C189:N189,"&gt;0"),COUNTIF('Calc Avalanche'!C189:N189,"&gt;0"),COUNTIF('Calc Snowball'!C189:N189,"&gt;0"),COUNTIF('Calc Cashflow'!C189:N189,"&gt;0"))</f>
        <v/>
      </c>
      <c r="F183" s="67">
        <f>CHOOSE(Plan!$K$5,'Calc Smart'!C189,'Calc Avalanche'!C189,'Calc Snowball'!C189,'Calc Cashflow'!C189)</f>
        <v/>
      </c>
      <c r="G183" s="67">
        <f>CHOOSE(Plan!$K$5,'Calc Smart'!D189,'Calc Avalanche'!D189,'Calc Snowball'!D189,'Calc Cashflow'!D189)</f>
        <v/>
      </c>
      <c r="H183" s="67">
        <f>CHOOSE(Plan!$K$5,'Calc Smart'!E189,'Calc Avalanche'!E189,'Calc Snowball'!E189,'Calc Cashflow'!E189)</f>
        <v/>
      </c>
      <c r="I183" s="67">
        <f>CHOOSE(Plan!$K$5,'Calc Smart'!F189,'Calc Avalanche'!F189,'Calc Snowball'!F189,'Calc Cashflow'!F189)</f>
        <v/>
      </c>
      <c r="J183" s="67">
        <f>CHOOSE(Plan!$K$5,'Calc Smart'!G189,'Calc Avalanche'!G189,'Calc Snowball'!G189,'Calc Cashflow'!G189)</f>
        <v/>
      </c>
      <c r="K183" s="67">
        <f>CHOOSE(Plan!$K$5,'Calc Smart'!H189,'Calc Avalanche'!H189,'Calc Snowball'!H189,'Calc Cashflow'!H189)</f>
        <v/>
      </c>
      <c r="L183" s="67">
        <f>CHOOSE(Plan!$K$5,'Calc Smart'!I189,'Calc Avalanche'!I189,'Calc Snowball'!I189,'Calc Cashflow'!I189)</f>
        <v/>
      </c>
      <c r="M183" s="67">
        <f>CHOOSE(Plan!$K$5,'Calc Smart'!J189,'Calc Avalanche'!J189,'Calc Snowball'!J189,'Calc Cashflow'!J189)</f>
        <v/>
      </c>
      <c r="N183" s="67">
        <f>CHOOSE(Plan!$K$5,'Calc Smart'!K189,'Calc Avalanche'!K189,'Calc Snowball'!K189,'Calc Cashflow'!K189)</f>
        <v/>
      </c>
      <c r="O183" s="67">
        <f>CHOOSE(Plan!$K$5,'Calc Smart'!L189,'Calc Avalanche'!L189,'Calc Snowball'!L189,'Calc Cashflow'!L189)</f>
        <v/>
      </c>
      <c r="P183" s="67">
        <f>CHOOSE(Plan!$K$5,'Calc Smart'!M189,'Calc Avalanche'!M189,'Calc Snowball'!M189,'Calc Cashflow'!M189)</f>
        <v/>
      </c>
      <c r="Q183" s="67">
        <f>CHOOSE(Plan!$K$5,'Calc Smart'!N189,'Calc Avalanche'!N189,'Calc Snowball'!N189,'Calc Cashflow'!N189)</f>
        <v/>
      </c>
    </row>
    <row r="184">
      <c r="B184" s="64">
        <f>EDATE(Plan!$C$6,178)</f>
        <v/>
      </c>
      <c r="C184" s="31">
        <f>CHOOSE(Plan!$K$5,'Calc Smart'!AE190,'Calc Avalanche'!AE190,'Calc Snowball'!AE190,'Calc Cashflow'!AE190)</f>
        <v/>
      </c>
      <c r="D184" s="31">
        <f>CHOOSE(Plan!$K$5,'Calc Smart'!AD190,'Calc Avalanche'!AD190,'Calc Snowball'!AD190,'Calc Cashflow'!AD190)</f>
        <v/>
      </c>
      <c r="E184" s="40">
        <f>CHOOSE(Plan!$K$5,COUNTIF('Calc Smart'!C190:N190,"&gt;0"),COUNTIF('Calc Avalanche'!C190:N190,"&gt;0"),COUNTIF('Calc Snowball'!C190:N190,"&gt;0"),COUNTIF('Calc Cashflow'!C190:N190,"&gt;0"))</f>
        <v/>
      </c>
      <c r="F184" s="65">
        <f>CHOOSE(Plan!$K$5,'Calc Smart'!C190,'Calc Avalanche'!C190,'Calc Snowball'!C190,'Calc Cashflow'!C190)</f>
        <v/>
      </c>
      <c r="G184" s="65">
        <f>CHOOSE(Plan!$K$5,'Calc Smart'!D190,'Calc Avalanche'!D190,'Calc Snowball'!D190,'Calc Cashflow'!D190)</f>
        <v/>
      </c>
      <c r="H184" s="65">
        <f>CHOOSE(Plan!$K$5,'Calc Smart'!E190,'Calc Avalanche'!E190,'Calc Snowball'!E190,'Calc Cashflow'!E190)</f>
        <v/>
      </c>
      <c r="I184" s="65">
        <f>CHOOSE(Plan!$K$5,'Calc Smart'!F190,'Calc Avalanche'!F190,'Calc Snowball'!F190,'Calc Cashflow'!F190)</f>
        <v/>
      </c>
      <c r="J184" s="65">
        <f>CHOOSE(Plan!$K$5,'Calc Smart'!G190,'Calc Avalanche'!G190,'Calc Snowball'!G190,'Calc Cashflow'!G190)</f>
        <v/>
      </c>
      <c r="K184" s="65">
        <f>CHOOSE(Plan!$K$5,'Calc Smart'!H190,'Calc Avalanche'!H190,'Calc Snowball'!H190,'Calc Cashflow'!H190)</f>
        <v/>
      </c>
      <c r="L184" s="65">
        <f>CHOOSE(Plan!$K$5,'Calc Smart'!I190,'Calc Avalanche'!I190,'Calc Snowball'!I190,'Calc Cashflow'!I190)</f>
        <v/>
      </c>
      <c r="M184" s="65">
        <f>CHOOSE(Plan!$K$5,'Calc Smart'!J190,'Calc Avalanche'!J190,'Calc Snowball'!J190,'Calc Cashflow'!J190)</f>
        <v/>
      </c>
      <c r="N184" s="65">
        <f>CHOOSE(Plan!$K$5,'Calc Smart'!K190,'Calc Avalanche'!K190,'Calc Snowball'!K190,'Calc Cashflow'!K190)</f>
        <v/>
      </c>
      <c r="O184" s="65">
        <f>CHOOSE(Plan!$K$5,'Calc Smart'!L190,'Calc Avalanche'!L190,'Calc Snowball'!L190,'Calc Cashflow'!L190)</f>
        <v/>
      </c>
      <c r="P184" s="65">
        <f>CHOOSE(Plan!$K$5,'Calc Smart'!M190,'Calc Avalanche'!M190,'Calc Snowball'!M190,'Calc Cashflow'!M190)</f>
        <v/>
      </c>
      <c r="Q184" s="65">
        <f>CHOOSE(Plan!$K$5,'Calc Smart'!N190,'Calc Avalanche'!N190,'Calc Snowball'!N190,'Calc Cashflow'!N190)</f>
        <v/>
      </c>
    </row>
    <row r="185">
      <c r="B185" s="66">
        <f>EDATE(Plan!$C$6,179)</f>
        <v/>
      </c>
      <c r="C185" s="32">
        <f>CHOOSE(Plan!$K$5,'Calc Smart'!AE191,'Calc Avalanche'!AE191,'Calc Snowball'!AE191,'Calc Cashflow'!AE191)</f>
        <v/>
      </c>
      <c r="D185" s="32">
        <f>CHOOSE(Plan!$K$5,'Calc Smart'!AD191,'Calc Avalanche'!AD191,'Calc Snowball'!AD191,'Calc Cashflow'!AD191)</f>
        <v/>
      </c>
      <c r="E185" s="43">
        <f>CHOOSE(Plan!$K$5,COUNTIF('Calc Smart'!C191:N191,"&gt;0"),COUNTIF('Calc Avalanche'!C191:N191,"&gt;0"),COUNTIF('Calc Snowball'!C191:N191,"&gt;0"),COUNTIF('Calc Cashflow'!C191:N191,"&gt;0"))</f>
        <v/>
      </c>
      <c r="F185" s="67">
        <f>CHOOSE(Plan!$K$5,'Calc Smart'!C191,'Calc Avalanche'!C191,'Calc Snowball'!C191,'Calc Cashflow'!C191)</f>
        <v/>
      </c>
      <c r="G185" s="67">
        <f>CHOOSE(Plan!$K$5,'Calc Smart'!D191,'Calc Avalanche'!D191,'Calc Snowball'!D191,'Calc Cashflow'!D191)</f>
        <v/>
      </c>
      <c r="H185" s="67">
        <f>CHOOSE(Plan!$K$5,'Calc Smart'!E191,'Calc Avalanche'!E191,'Calc Snowball'!E191,'Calc Cashflow'!E191)</f>
        <v/>
      </c>
      <c r="I185" s="67">
        <f>CHOOSE(Plan!$K$5,'Calc Smart'!F191,'Calc Avalanche'!F191,'Calc Snowball'!F191,'Calc Cashflow'!F191)</f>
        <v/>
      </c>
      <c r="J185" s="67">
        <f>CHOOSE(Plan!$K$5,'Calc Smart'!G191,'Calc Avalanche'!G191,'Calc Snowball'!G191,'Calc Cashflow'!G191)</f>
        <v/>
      </c>
      <c r="K185" s="67">
        <f>CHOOSE(Plan!$K$5,'Calc Smart'!H191,'Calc Avalanche'!H191,'Calc Snowball'!H191,'Calc Cashflow'!H191)</f>
        <v/>
      </c>
      <c r="L185" s="67">
        <f>CHOOSE(Plan!$K$5,'Calc Smart'!I191,'Calc Avalanche'!I191,'Calc Snowball'!I191,'Calc Cashflow'!I191)</f>
        <v/>
      </c>
      <c r="M185" s="67">
        <f>CHOOSE(Plan!$K$5,'Calc Smart'!J191,'Calc Avalanche'!J191,'Calc Snowball'!J191,'Calc Cashflow'!J191)</f>
        <v/>
      </c>
      <c r="N185" s="67">
        <f>CHOOSE(Plan!$K$5,'Calc Smart'!K191,'Calc Avalanche'!K191,'Calc Snowball'!K191,'Calc Cashflow'!K191)</f>
        <v/>
      </c>
      <c r="O185" s="67">
        <f>CHOOSE(Plan!$K$5,'Calc Smart'!L191,'Calc Avalanche'!L191,'Calc Snowball'!L191,'Calc Cashflow'!L191)</f>
        <v/>
      </c>
      <c r="P185" s="67">
        <f>CHOOSE(Plan!$K$5,'Calc Smart'!M191,'Calc Avalanche'!M191,'Calc Snowball'!M191,'Calc Cashflow'!M191)</f>
        <v/>
      </c>
      <c r="Q185" s="67">
        <f>CHOOSE(Plan!$K$5,'Calc Smart'!N191,'Calc Avalanche'!N191,'Calc Snowball'!N191,'Calc Cashflow'!N191)</f>
        <v/>
      </c>
    </row>
    <row r="186">
      <c r="B186" s="64">
        <f>EDATE(Plan!$C$6,180)</f>
        <v/>
      </c>
      <c r="C186" s="31">
        <f>CHOOSE(Plan!$K$5,'Calc Smart'!AE192,'Calc Avalanche'!AE192,'Calc Snowball'!AE192,'Calc Cashflow'!AE192)</f>
        <v/>
      </c>
      <c r="D186" s="31">
        <f>CHOOSE(Plan!$K$5,'Calc Smart'!AD192,'Calc Avalanche'!AD192,'Calc Snowball'!AD192,'Calc Cashflow'!AD192)</f>
        <v/>
      </c>
      <c r="E186" s="40">
        <f>CHOOSE(Plan!$K$5,COUNTIF('Calc Smart'!C192:N192,"&gt;0"),COUNTIF('Calc Avalanche'!C192:N192,"&gt;0"),COUNTIF('Calc Snowball'!C192:N192,"&gt;0"),COUNTIF('Calc Cashflow'!C192:N192,"&gt;0"))</f>
        <v/>
      </c>
      <c r="F186" s="65">
        <f>CHOOSE(Plan!$K$5,'Calc Smart'!C192,'Calc Avalanche'!C192,'Calc Snowball'!C192,'Calc Cashflow'!C192)</f>
        <v/>
      </c>
      <c r="G186" s="65">
        <f>CHOOSE(Plan!$K$5,'Calc Smart'!D192,'Calc Avalanche'!D192,'Calc Snowball'!D192,'Calc Cashflow'!D192)</f>
        <v/>
      </c>
      <c r="H186" s="65">
        <f>CHOOSE(Plan!$K$5,'Calc Smart'!E192,'Calc Avalanche'!E192,'Calc Snowball'!E192,'Calc Cashflow'!E192)</f>
        <v/>
      </c>
      <c r="I186" s="65">
        <f>CHOOSE(Plan!$K$5,'Calc Smart'!F192,'Calc Avalanche'!F192,'Calc Snowball'!F192,'Calc Cashflow'!F192)</f>
        <v/>
      </c>
      <c r="J186" s="65">
        <f>CHOOSE(Plan!$K$5,'Calc Smart'!G192,'Calc Avalanche'!G192,'Calc Snowball'!G192,'Calc Cashflow'!G192)</f>
        <v/>
      </c>
      <c r="K186" s="65">
        <f>CHOOSE(Plan!$K$5,'Calc Smart'!H192,'Calc Avalanche'!H192,'Calc Snowball'!H192,'Calc Cashflow'!H192)</f>
        <v/>
      </c>
      <c r="L186" s="65">
        <f>CHOOSE(Plan!$K$5,'Calc Smart'!I192,'Calc Avalanche'!I192,'Calc Snowball'!I192,'Calc Cashflow'!I192)</f>
        <v/>
      </c>
      <c r="M186" s="65">
        <f>CHOOSE(Plan!$K$5,'Calc Smart'!J192,'Calc Avalanche'!J192,'Calc Snowball'!J192,'Calc Cashflow'!J192)</f>
        <v/>
      </c>
      <c r="N186" s="65">
        <f>CHOOSE(Plan!$K$5,'Calc Smart'!K192,'Calc Avalanche'!K192,'Calc Snowball'!K192,'Calc Cashflow'!K192)</f>
        <v/>
      </c>
      <c r="O186" s="65">
        <f>CHOOSE(Plan!$K$5,'Calc Smart'!L192,'Calc Avalanche'!L192,'Calc Snowball'!L192,'Calc Cashflow'!L192)</f>
        <v/>
      </c>
      <c r="P186" s="65">
        <f>CHOOSE(Plan!$K$5,'Calc Smart'!M192,'Calc Avalanche'!M192,'Calc Snowball'!M192,'Calc Cashflow'!M192)</f>
        <v/>
      </c>
      <c r="Q186" s="65">
        <f>CHOOSE(Plan!$K$5,'Calc Smart'!N192,'Calc Avalanche'!N192,'Calc Snowball'!N192,'Calc Cashflow'!N192)</f>
        <v/>
      </c>
    </row>
    <row r="187">
      <c r="B187" s="66">
        <f>EDATE(Plan!$C$6,181)</f>
        <v/>
      </c>
      <c r="C187" s="32">
        <f>CHOOSE(Plan!$K$5,'Calc Smart'!AE193,'Calc Avalanche'!AE193,'Calc Snowball'!AE193,'Calc Cashflow'!AE193)</f>
        <v/>
      </c>
      <c r="D187" s="32">
        <f>CHOOSE(Plan!$K$5,'Calc Smart'!AD193,'Calc Avalanche'!AD193,'Calc Snowball'!AD193,'Calc Cashflow'!AD193)</f>
        <v/>
      </c>
      <c r="E187" s="43">
        <f>CHOOSE(Plan!$K$5,COUNTIF('Calc Smart'!C193:N193,"&gt;0"),COUNTIF('Calc Avalanche'!C193:N193,"&gt;0"),COUNTIF('Calc Snowball'!C193:N193,"&gt;0"),COUNTIF('Calc Cashflow'!C193:N193,"&gt;0"))</f>
        <v/>
      </c>
      <c r="F187" s="67">
        <f>CHOOSE(Plan!$K$5,'Calc Smart'!C193,'Calc Avalanche'!C193,'Calc Snowball'!C193,'Calc Cashflow'!C193)</f>
        <v/>
      </c>
      <c r="G187" s="67">
        <f>CHOOSE(Plan!$K$5,'Calc Smart'!D193,'Calc Avalanche'!D193,'Calc Snowball'!D193,'Calc Cashflow'!D193)</f>
        <v/>
      </c>
      <c r="H187" s="67">
        <f>CHOOSE(Plan!$K$5,'Calc Smart'!E193,'Calc Avalanche'!E193,'Calc Snowball'!E193,'Calc Cashflow'!E193)</f>
        <v/>
      </c>
      <c r="I187" s="67">
        <f>CHOOSE(Plan!$K$5,'Calc Smart'!F193,'Calc Avalanche'!F193,'Calc Snowball'!F193,'Calc Cashflow'!F193)</f>
        <v/>
      </c>
      <c r="J187" s="67">
        <f>CHOOSE(Plan!$K$5,'Calc Smart'!G193,'Calc Avalanche'!G193,'Calc Snowball'!G193,'Calc Cashflow'!G193)</f>
        <v/>
      </c>
      <c r="K187" s="67">
        <f>CHOOSE(Plan!$K$5,'Calc Smart'!H193,'Calc Avalanche'!H193,'Calc Snowball'!H193,'Calc Cashflow'!H193)</f>
        <v/>
      </c>
      <c r="L187" s="67">
        <f>CHOOSE(Plan!$K$5,'Calc Smart'!I193,'Calc Avalanche'!I193,'Calc Snowball'!I193,'Calc Cashflow'!I193)</f>
        <v/>
      </c>
      <c r="M187" s="67">
        <f>CHOOSE(Plan!$K$5,'Calc Smart'!J193,'Calc Avalanche'!J193,'Calc Snowball'!J193,'Calc Cashflow'!J193)</f>
        <v/>
      </c>
      <c r="N187" s="67">
        <f>CHOOSE(Plan!$K$5,'Calc Smart'!K193,'Calc Avalanche'!K193,'Calc Snowball'!K193,'Calc Cashflow'!K193)</f>
        <v/>
      </c>
      <c r="O187" s="67">
        <f>CHOOSE(Plan!$K$5,'Calc Smart'!L193,'Calc Avalanche'!L193,'Calc Snowball'!L193,'Calc Cashflow'!L193)</f>
        <v/>
      </c>
      <c r="P187" s="67">
        <f>CHOOSE(Plan!$K$5,'Calc Smart'!M193,'Calc Avalanche'!M193,'Calc Snowball'!M193,'Calc Cashflow'!M193)</f>
        <v/>
      </c>
      <c r="Q187" s="67">
        <f>CHOOSE(Plan!$K$5,'Calc Smart'!N193,'Calc Avalanche'!N193,'Calc Snowball'!N193,'Calc Cashflow'!N193)</f>
        <v/>
      </c>
    </row>
    <row r="188">
      <c r="B188" s="64">
        <f>EDATE(Plan!$C$6,182)</f>
        <v/>
      </c>
      <c r="C188" s="31">
        <f>CHOOSE(Plan!$K$5,'Calc Smart'!AE194,'Calc Avalanche'!AE194,'Calc Snowball'!AE194,'Calc Cashflow'!AE194)</f>
        <v/>
      </c>
      <c r="D188" s="31">
        <f>CHOOSE(Plan!$K$5,'Calc Smart'!AD194,'Calc Avalanche'!AD194,'Calc Snowball'!AD194,'Calc Cashflow'!AD194)</f>
        <v/>
      </c>
      <c r="E188" s="40">
        <f>CHOOSE(Plan!$K$5,COUNTIF('Calc Smart'!C194:N194,"&gt;0"),COUNTIF('Calc Avalanche'!C194:N194,"&gt;0"),COUNTIF('Calc Snowball'!C194:N194,"&gt;0"),COUNTIF('Calc Cashflow'!C194:N194,"&gt;0"))</f>
        <v/>
      </c>
      <c r="F188" s="65">
        <f>CHOOSE(Plan!$K$5,'Calc Smart'!C194,'Calc Avalanche'!C194,'Calc Snowball'!C194,'Calc Cashflow'!C194)</f>
        <v/>
      </c>
      <c r="G188" s="65">
        <f>CHOOSE(Plan!$K$5,'Calc Smart'!D194,'Calc Avalanche'!D194,'Calc Snowball'!D194,'Calc Cashflow'!D194)</f>
        <v/>
      </c>
      <c r="H188" s="65">
        <f>CHOOSE(Plan!$K$5,'Calc Smart'!E194,'Calc Avalanche'!E194,'Calc Snowball'!E194,'Calc Cashflow'!E194)</f>
        <v/>
      </c>
      <c r="I188" s="65">
        <f>CHOOSE(Plan!$K$5,'Calc Smart'!F194,'Calc Avalanche'!F194,'Calc Snowball'!F194,'Calc Cashflow'!F194)</f>
        <v/>
      </c>
      <c r="J188" s="65">
        <f>CHOOSE(Plan!$K$5,'Calc Smart'!G194,'Calc Avalanche'!G194,'Calc Snowball'!G194,'Calc Cashflow'!G194)</f>
        <v/>
      </c>
      <c r="K188" s="65">
        <f>CHOOSE(Plan!$K$5,'Calc Smart'!H194,'Calc Avalanche'!H194,'Calc Snowball'!H194,'Calc Cashflow'!H194)</f>
        <v/>
      </c>
      <c r="L188" s="65">
        <f>CHOOSE(Plan!$K$5,'Calc Smart'!I194,'Calc Avalanche'!I194,'Calc Snowball'!I194,'Calc Cashflow'!I194)</f>
        <v/>
      </c>
      <c r="M188" s="65">
        <f>CHOOSE(Plan!$K$5,'Calc Smart'!J194,'Calc Avalanche'!J194,'Calc Snowball'!J194,'Calc Cashflow'!J194)</f>
        <v/>
      </c>
      <c r="N188" s="65">
        <f>CHOOSE(Plan!$K$5,'Calc Smart'!K194,'Calc Avalanche'!K194,'Calc Snowball'!K194,'Calc Cashflow'!K194)</f>
        <v/>
      </c>
      <c r="O188" s="65">
        <f>CHOOSE(Plan!$K$5,'Calc Smart'!L194,'Calc Avalanche'!L194,'Calc Snowball'!L194,'Calc Cashflow'!L194)</f>
        <v/>
      </c>
      <c r="P188" s="65">
        <f>CHOOSE(Plan!$K$5,'Calc Smart'!M194,'Calc Avalanche'!M194,'Calc Snowball'!M194,'Calc Cashflow'!M194)</f>
        <v/>
      </c>
      <c r="Q188" s="65">
        <f>CHOOSE(Plan!$K$5,'Calc Smart'!N194,'Calc Avalanche'!N194,'Calc Snowball'!N194,'Calc Cashflow'!N194)</f>
        <v/>
      </c>
    </row>
    <row r="189">
      <c r="B189" s="66">
        <f>EDATE(Plan!$C$6,183)</f>
        <v/>
      </c>
      <c r="C189" s="32">
        <f>CHOOSE(Plan!$K$5,'Calc Smart'!AE195,'Calc Avalanche'!AE195,'Calc Snowball'!AE195,'Calc Cashflow'!AE195)</f>
        <v/>
      </c>
      <c r="D189" s="32">
        <f>CHOOSE(Plan!$K$5,'Calc Smart'!AD195,'Calc Avalanche'!AD195,'Calc Snowball'!AD195,'Calc Cashflow'!AD195)</f>
        <v/>
      </c>
      <c r="E189" s="43">
        <f>CHOOSE(Plan!$K$5,COUNTIF('Calc Smart'!C195:N195,"&gt;0"),COUNTIF('Calc Avalanche'!C195:N195,"&gt;0"),COUNTIF('Calc Snowball'!C195:N195,"&gt;0"),COUNTIF('Calc Cashflow'!C195:N195,"&gt;0"))</f>
        <v/>
      </c>
      <c r="F189" s="67">
        <f>CHOOSE(Plan!$K$5,'Calc Smart'!C195,'Calc Avalanche'!C195,'Calc Snowball'!C195,'Calc Cashflow'!C195)</f>
        <v/>
      </c>
      <c r="G189" s="67">
        <f>CHOOSE(Plan!$K$5,'Calc Smart'!D195,'Calc Avalanche'!D195,'Calc Snowball'!D195,'Calc Cashflow'!D195)</f>
        <v/>
      </c>
      <c r="H189" s="67">
        <f>CHOOSE(Plan!$K$5,'Calc Smart'!E195,'Calc Avalanche'!E195,'Calc Snowball'!E195,'Calc Cashflow'!E195)</f>
        <v/>
      </c>
      <c r="I189" s="67">
        <f>CHOOSE(Plan!$K$5,'Calc Smart'!F195,'Calc Avalanche'!F195,'Calc Snowball'!F195,'Calc Cashflow'!F195)</f>
        <v/>
      </c>
      <c r="J189" s="67">
        <f>CHOOSE(Plan!$K$5,'Calc Smart'!G195,'Calc Avalanche'!G195,'Calc Snowball'!G195,'Calc Cashflow'!G195)</f>
        <v/>
      </c>
      <c r="K189" s="67">
        <f>CHOOSE(Plan!$K$5,'Calc Smart'!H195,'Calc Avalanche'!H195,'Calc Snowball'!H195,'Calc Cashflow'!H195)</f>
        <v/>
      </c>
      <c r="L189" s="67">
        <f>CHOOSE(Plan!$K$5,'Calc Smart'!I195,'Calc Avalanche'!I195,'Calc Snowball'!I195,'Calc Cashflow'!I195)</f>
        <v/>
      </c>
      <c r="M189" s="67">
        <f>CHOOSE(Plan!$K$5,'Calc Smart'!J195,'Calc Avalanche'!J195,'Calc Snowball'!J195,'Calc Cashflow'!J195)</f>
        <v/>
      </c>
      <c r="N189" s="67">
        <f>CHOOSE(Plan!$K$5,'Calc Smart'!K195,'Calc Avalanche'!K195,'Calc Snowball'!K195,'Calc Cashflow'!K195)</f>
        <v/>
      </c>
      <c r="O189" s="67">
        <f>CHOOSE(Plan!$K$5,'Calc Smart'!L195,'Calc Avalanche'!L195,'Calc Snowball'!L195,'Calc Cashflow'!L195)</f>
        <v/>
      </c>
      <c r="P189" s="67">
        <f>CHOOSE(Plan!$K$5,'Calc Smart'!M195,'Calc Avalanche'!M195,'Calc Snowball'!M195,'Calc Cashflow'!M195)</f>
        <v/>
      </c>
      <c r="Q189" s="67">
        <f>CHOOSE(Plan!$K$5,'Calc Smart'!N195,'Calc Avalanche'!N195,'Calc Snowball'!N195,'Calc Cashflow'!N195)</f>
        <v/>
      </c>
    </row>
    <row r="190">
      <c r="B190" s="64">
        <f>EDATE(Plan!$C$6,184)</f>
        <v/>
      </c>
      <c r="C190" s="31">
        <f>CHOOSE(Plan!$K$5,'Calc Smart'!AE196,'Calc Avalanche'!AE196,'Calc Snowball'!AE196,'Calc Cashflow'!AE196)</f>
        <v/>
      </c>
      <c r="D190" s="31">
        <f>CHOOSE(Plan!$K$5,'Calc Smart'!AD196,'Calc Avalanche'!AD196,'Calc Snowball'!AD196,'Calc Cashflow'!AD196)</f>
        <v/>
      </c>
      <c r="E190" s="40">
        <f>CHOOSE(Plan!$K$5,COUNTIF('Calc Smart'!C196:N196,"&gt;0"),COUNTIF('Calc Avalanche'!C196:N196,"&gt;0"),COUNTIF('Calc Snowball'!C196:N196,"&gt;0"),COUNTIF('Calc Cashflow'!C196:N196,"&gt;0"))</f>
        <v/>
      </c>
      <c r="F190" s="65">
        <f>CHOOSE(Plan!$K$5,'Calc Smart'!C196,'Calc Avalanche'!C196,'Calc Snowball'!C196,'Calc Cashflow'!C196)</f>
        <v/>
      </c>
      <c r="G190" s="65">
        <f>CHOOSE(Plan!$K$5,'Calc Smart'!D196,'Calc Avalanche'!D196,'Calc Snowball'!D196,'Calc Cashflow'!D196)</f>
        <v/>
      </c>
      <c r="H190" s="65">
        <f>CHOOSE(Plan!$K$5,'Calc Smart'!E196,'Calc Avalanche'!E196,'Calc Snowball'!E196,'Calc Cashflow'!E196)</f>
        <v/>
      </c>
      <c r="I190" s="65">
        <f>CHOOSE(Plan!$K$5,'Calc Smart'!F196,'Calc Avalanche'!F196,'Calc Snowball'!F196,'Calc Cashflow'!F196)</f>
        <v/>
      </c>
      <c r="J190" s="65">
        <f>CHOOSE(Plan!$K$5,'Calc Smart'!G196,'Calc Avalanche'!G196,'Calc Snowball'!G196,'Calc Cashflow'!G196)</f>
        <v/>
      </c>
      <c r="K190" s="65">
        <f>CHOOSE(Plan!$K$5,'Calc Smart'!H196,'Calc Avalanche'!H196,'Calc Snowball'!H196,'Calc Cashflow'!H196)</f>
        <v/>
      </c>
      <c r="L190" s="65">
        <f>CHOOSE(Plan!$K$5,'Calc Smart'!I196,'Calc Avalanche'!I196,'Calc Snowball'!I196,'Calc Cashflow'!I196)</f>
        <v/>
      </c>
      <c r="M190" s="65">
        <f>CHOOSE(Plan!$K$5,'Calc Smart'!J196,'Calc Avalanche'!J196,'Calc Snowball'!J196,'Calc Cashflow'!J196)</f>
        <v/>
      </c>
      <c r="N190" s="65">
        <f>CHOOSE(Plan!$K$5,'Calc Smart'!K196,'Calc Avalanche'!K196,'Calc Snowball'!K196,'Calc Cashflow'!K196)</f>
        <v/>
      </c>
      <c r="O190" s="65">
        <f>CHOOSE(Plan!$K$5,'Calc Smart'!L196,'Calc Avalanche'!L196,'Calc Snowball'!L196,'Calc Cashflow'!L196)</f>
        <v/>
      </c>
      <c r="P190" s="65">
        <f>CHOOSE(Plan!$K$5,'Calc Smart'!M196,'Calc Avalanche'!M196,'Calc Snowball'!M196,'Calc Cashflow'!M196)</f>
        <v/>
      </c>
      <c r="Q190" s="65">
        <f>CHOOSE(Plan!$K$5,'Calc Smart'!N196,'Calc Avalanche'!N196,'Calc Snowball'!N196,'Calc Cashflow'!N196)</f>
        <v/>
      </c>
    </row>
    <row r="191">
      <c r="B191" s="66">
        <f>EDATE(Plan!$C$6,185)</f>
        <v/>
      </c>
      <c r="C191" s="32">
        <f>CHOOSE(Plan!$K$5,'Calc Smart'!AE197,'Calc Avalanche'!AE197,'Calc Snowball'!AE197,'Calc Cashflow'!AE197)</f>
        <v/>
      </c>
      <c r="D191" s="32">
        <f>CHOOSE(Plan!$K$5,'Calc Smart'!AD197,'Calc Avalanche'!AD197,'Calc Snowball'!AD197,'Calc Cashflow'!AD197)</f>
        <v/>
      </c>
      <c r="E191" s="43">
        <f>CHOOSE(Plan!$K$5,COUNTIF('Calc Smart'!C197:N197,"&gt;0"),COUNTIF('Calc Avalanche'!C197:N197,"&gt;0"),COUNTIF('Calc Snowball'!C197:N197,"&gt;0"),COUNTIF('Calc Cashflow'!C197:N197,"&gt;0"))</f>
        <v/>
      </c>
      <c r="F191" s="67">
        <f>CHOOSE(Plan!$K$5,'Calc Smart'!C197,'Calc Avalanche'!C197,'Calc Snowball'!C197,'Calc Cashflow'!C197)</f>
        <v/>
      </c>
      <c r="G191" s="67">
        <f>CHOOSE(Plan!$K$5,'Calc Smart'!D197,'Calc Avalanche'!D197,'Calc Snowball'!D197,'Calc Cashflow'!D197)</f>
        <v/>
      </c>
      <c r="H191" s="67">
        <f>CHOOSE(Plan!$K$5,'Calc Smart'!E197,'Calc Avalanche'!E197,'Calc Snowball'!E197,'Calc Cashflow'!E197)</f>
        <v/>
      </c>
      <c r="I191" s="67">
        <f>CHOOSE(Plan!$K$5,'Calc Smart'!F197,'Calc Avalanche'!F197,'Calc Snowball'!F197,'Calc Cashflow'!F197)</f>
        <v/>
      </c>
      <c r="J191" s="67">
        <f>CHOOSE(Plan!$K$5,'Calc Smart'!G197,'Calc Avalanche'!G197,'Calc Snowball'!G197,'Calc Cashflow'!G197)</f>
        <v/>
      </c>
      <c r="K191" s="67">
        <f>CHOOSE(Plan!$K$5,'Calc Smart'!H197,'Calc Avalanche'!H197,'Calc Snowball'!H197,'Calc Cashflow'!H197)</f>
        <v/>
      </c>
      <c r="L191" s="67">
        <f>CHOOSE(Plan!$K$5,'Calc Smart'!I197,'Calc Avalanche'!I197,'Calc Snowball'!I197,'Calc Cashflow'!I197)</f>
        <v/>
      </c>
      <c r="M191" s="67">
        <f>CHOOSE(Plan!$K$5,'Calc Smart'!J197,'Calc Avalanche'!J197,'Calc Snowball'!J197,'Calc Cashflow'!J197)</f>
        <v/>
      </c>
      <c r="N191" s="67">
        <f>CHOOSE(Plan!$K$5,'Calc Smart'!K197,'Calc Avalanche'!K197,'Calc Snowball'!K197,'Calc Cashflow'!K197)</f>
        <v/>
      </c>
      <c r="O191" s="67">
        <f>CHOOSE(Plan!$K$5,'Calc Smart'!L197,'Calc Avalanche'!L197,'Calc Snowball'!L197,'Calc Cashflow'!L197)</f>
        <v/>
      </c>
      <c r="P191" s="67">
        <f>CHOOSE(Plan!$K$5,'Calc Smart'!M197,'Calc Avalanche'!M197,'Calc Snowball'!M197,'Calc Cashflow'!M197)</f>
        <v/>
      </c>
      <c r="Q191" s="67">
        <f>CHOOSE(Plan!$K$5,'Calc Smart'!N197,'Calc Avalanche'!N197,'Calc Snowball'!N197,'Calc Cashflow'!N197)</f>
        <v/>
      </c>
    </row>
    <row r="192">
      <c r="B192" s="64">
        <f>EDATE(Plan!$C$6,186)</f>
        <v/>
      </c>
      <c r="C192" s="31">
        <f>CHOOSE(Plan!$K$5,'Calc Smart'!AE198,'Calc Avalanche'!AE198,'Calc Snowball'!AE198,'Calc Cashflow'!AE198)</f>
        <v/>
      </c>
      <c r="D192" s="31">
        <f>CHOOSE(Plan!$K$5,'Calc Smart'!AD198,'Calc Avalanche'!AD198,'Calc Snowball'!AD198,'Calc Cashflow'!AD198)</f>
        <v/>
      </c>
      <c r="E192" s="40">
        <f>CHOOSE(Plan!$K$5,COUNTIF('Calc Smart'!C198:N198,"&gt;0"),COUNTIF('Calc Avalanche'!C198:N198,"&gt;0"),COUNTIF('Calc Snowball'!C198:N198,"&gt;0"),COUNTIF('Calc Cashflow'!C198:N198,"&gt;0"))</f>
        <v/>
      </c>
      <c r="F192" s="65">
        <f>CHOOSE(Plan!$K$5,'Calc Smart'!C198,'Calc Avalanche'!C198,'Calc Snowball'!C198,'Calc Cashflow'!C198)</f>
        <v/>
      </c>
      <c r="G192" s="65">
        <f>CHOOSE(Plan!$K$5,'Calc Smart'!D198,'Calc Avalanche'!D198,'Calc Snowball'!D198,'Calc Cashflow'!D198)</f>
        <v/>
      </c>
      <c r="H192" s="65">
        <f>CHOOSE(Plan!$K$5,'Calc Smart'!E198,'Calc Avalanche'!E198,'Calc Snowball'!E198,'Calc Cashflow'!E198)</f>
        <v/>
      </c>
      <c r="I192" s="65">
        <f>CHOOSE(Plan!$K$5,'Calc Smart'!F198,'Calc Avalanche'!F198,'Calc Snowball'!F198,'Calc Cashflow'!F198)</f>
        <v/>
      </c>
      <c r="J192" s="65">
        <f>CHOOSE(Plan!$K$5,'Calc Smart'!G198,'Calc Avalanche'!G198,'Calc Snowball'!G198,'Calc Cashflow'!G198)</f>
        <v/>
      </c>
      <c r="K192" s="65">
        <f>CHOOSE(Plan!$K$5,'Calc Smart'!H198,'Calc Avalanche'!H198,'Calc Snowball'!H198,'Calc Cashflow'!H198)</f>
        <v/>
      </c>
      <c r="L192" s="65">
        <f>CHOOSE(Plan!$K$5,'Calc Smart'!I198,'Calc Avalanche'!I198,'Calc Snowball'!I198,'Calc Cashflow'!I198)</f>
        <v/>
      </c>
      <c r="M192" s="65">
        <f>CHOOSE(Plan!$K$5,'Calc Smart'!J198,'Calc Avalanche'!J198,'Calc Snowball'!J198,'Calc Cashflow'!J198)</f>
        <v/>
      </c>
      <c r="N192" s="65">
        <f>CHOOSE(Plan!$K$5,'Calc Smart'!K198,'Calc Avalanche'!K198,'Calc Snowball'!K198,'Calc Cashflow'!K198)</f>
        <v/>
      </c>
      <c r="O192" s="65">
        <f>CHOOSE(Plan!$K$5,'Calc Smart'!L198,'Calc Avalanche'!L198,'Calc Snowball'!L198,'Calc Cashflow'!L198)</f>
        <v/>
      </c>
      <c r="P192" s="65">
        <f>CHOOSE(Plan!$K$5,'Calc Smart'!M198,'Calc Avalanche'!M198,'Calc Snowball'!M198,'Calc Cashflow'!M198)</f>
        <v/>
      </c>
      <c r="Q192" s="65">
        <f>CHOOSE(Plan!$K$5,'Calc Smart'!N198,'Calc Avalanche'!N198,'Calc Snowball'!N198,'Calc Cashflow'!N198)</f>
        <v/>
      </c>
    </row>
    <row r="193">
      <c r="B193" s="66">
        <f>EDATE(Plan!$C$6,187)</f>
        <v/>
      </c>
      <c r="C193" s="32">
        <f>CHOOSE(Plan!$K$5,'Calc Smart'!AE199,'Calc Avalanche'!AE199,'Calc Snowball'!AE199,'Calc Cashflow'!AE199)</f>
        <v/>
      </c>
      <c r="D193" s="32">
        <f>CHOOSE(Plan!$K$5,'Calc Smart'!AD199,'Calc Avalanche'!AD199,'Calc Snowball'!AD199,'Calc Cashflow'!AD199)</f>
        <v/>
      </c>
      <c r="E193" s="43">
        <f>CHOOSE(Plan!$K$5,COUNTIF('Calc Smart'!C199:N199,"&gt;0"),COUNTIF('Calc Avalanche'!C199:N199,"&gt;0"),COUNTIF('Calc Snowball'!C199:N199,"&gt;0"),COUNTIF('Calc Cashflow'!C199:N199,"&gt;0"))</f>
        <v/>
      </c>
      <c r="F193" s="67">
        <f>CHOOSE(Plan!$K$5,'Calc Smart'!C199,'Calc Avalanche'!C199,'Calc Snowball'!C199,'Calc Cashflow'!C199)</f>
        <v/>
      </c>
      <c r="G193" s="67">
        <f>CHOOSE(Plan!$K$5,'Calc Smart'!D199,'Calc Avalanche'!D199,'Calc Snowball'!D199,'Calc Cashflow'!D199)</f>
        <v/>
      </c>
      <c r="H193" s="67">
        <f>CHOOSE(Plan!$K$5,'Calc Smart'!E199,'Calc Avalanche'!E199,'Calc Snowball'!E199,'Calc Cashflow'!E199)</f>
        <v/>
      </c>
      <c r="I193" s="67">
        <f>CHOOSE(Plan!$K$5,'Calc Smart'!F199,'Calc Avalanche'!F199,'Calc Snowball'!F199,'Calc Cashflow'!F199)</f>
        <v/>
      </c>
      <c r="J193" s="67">
        <f>CHOOSE(Plan!$K$5,'Calc Smart'!G199,'Calc Avalanche'!G199,'Calc Snowball'!G199,'Calc Cashflow'!G199)</f>
        <v/>
      </c>
      <c r="K193" s="67">
        <f>CHOOSE(Plan!$K$5,'Calc Smart'!H199,'Calc Avalanche'!H199,'Calc Snowball'!H199,'Calc Cashflow'!H199)</f>
        <v/>
      </c>
      <c r="L193" s="67">
        <f>CHOOSE(Plan!$K$5,'Calc Smart'!I199,'Calc Avalanche'!I199,'Calc Snowball'!I199,'Calc Cashflow'!I199)</f>
        <v/>
      </c>
      <c r="M193" s="67">
        <f>CHOOSE(Plan!$K$5,'Calc Smart'!J199,'Calc Avalanche'!J199,'Calc Snowball'!J199,'Calc Cashflow'!J199)</f>
        <v/>
      </c>
      <c r="N193" s="67">
        <f>CHOOSE(Plan!$K$5,'Calc Smart'!K199,'Calc Avalanche'!K199,'Calc Snowball'!K199,'Calc Cashflow'!K199)</f>
        <v/>
      </c>
      <c r="O193" s="67">
        <f>CHOOSE(Plan!$K$5,'Calc Smart'!L199,'Calc Avalanche'!L199,'Calc Snowball'!L199,'Calc Cashflow'!L199)</f>
        <v/>
      </c>
      <c r="P193" s="67">
        <f>CHOOSE(Plan!$K$5,'Calc Smart'!M199,'Calc Avalanche'!M199,'Calc Snowball'!M199,'Calc Cashflow'!M199)</f>
        <v/>
      </c>
      <c r="Q193" s="67">
        <f>CHOOSE(Plan!$K$5,'Calc Smart'!N199,'Calc Avalanche'!N199,'Calc Snowball'!N199,'Calc Cashflow'!N199)</f>
        <v/>
      </c>
    </row>
    <row r="194">
      <c r="B194" s="64">
        <f>EDATE(Plan!$C$6,188)</f>
        <v/>
      </c>
      <c r="C194" s="31">
        <f>CHOOSE(Plan!$K$5,'Calc Smart'!AE200,'Calc Avalanche'!AE200,'Calc Snowball'!AE200,'Calc Cashflow'!AE200)</f>
        <v/>
      </c>
      <c r="D194" s="31">
        <f>CHOOSE(Plan!$K$5,'Calc Smart'!AD200,'Calc Avalanche'!AD200,'Calc Snowball'!AD200,'Calc Cashflow'!AD200)</f>
        <v/>
      </c>
      <c r="E194" s="40">
        <f>CHOOSE(Plan!$K$5,COUNTIF('Calc Smart'!C200:N200,"&gt;0"),COUNTIF('Calc Avalanche'!C200:N200,"&gt;0"),COUNTIF('Calc Snowball'!C200:N200,"&gt;0"),COUNTIF('Calc Cashflow'!C200:N200,"&gt;0"))</f>
        <v/>
      </c>
      <c r="F194" s="65">
        <f>CHOOSE(Plan!$K$5,'Calc Smart'!C200,'Calc Avalanche'!C200,'Calc Snowball'!C200,'Calc Cashflow'!C200)</f>
        <v/>
      </c>
      <c r="G194" s="65">
        <f>CHOOSE(Plan!$K$5,'Calc Smart'!D200,'Calc Avalanche'!D200,'Calc Snowball'!D200,'Calc Cashflow'!D200)</f>
        <v/>
      </c>
      <c r="H194" s="65">
        <f>CHOOSE(Plan!$K$5,'Calc Smart'!E200,'Calc Avalanche'!E200,'Calc Snowball'!E200,'Calc Cashflow'!E200)</f>
        <v/>
      </c>
      <c r="I194" s="65">
        <f>CHOOSE(Plan!$K$5,'Calc Smart'!F200,'Calc Avalanche'!F200,'Calc Snowball'!F200,'Calc Cashflow'!F200)</f>
        <v/>
      </c>
      <c r="J194" s="65">
        <f>CHOOSE(Plan!$K$5,'Calc Smart'!G200,'Calc Avalanche'!G200,'Calc Snowball'!G200,'Calc Cashflow'!G200)</f>
        <v/>
      </c>
      <c r="K194" s="65">
        <f>CHOOSE(Plan!$K$5,'Calc Smart'!H200,'Calc Avalanche'!H200,'Calc Snowball'!H200,'Calc Cashflow'!H200)</f>
        <v/>
      </c>
      <c r="L194" s="65">
        <f>CHOOSE(Plan!$K$5,'Calc Smart'!I200,'Calc Avalanche'!I200,'Calc Snowball'!I200,'Calc Cashflow'!I200)</f>
        <v/>
      </c>
      <c r="M194" s="65">
        <f>CHOOSE(Plan!$K$5,'Calc Smart'!J200,'Calc Avalanche'!J200,'Calc Snowball'!J200,'Calc Cashflow'!J200)</f>
        <v/>
      </c>
      <c r="N194" s="65">
        <f>CHOOSE(Plan!$K$5,'Calc Smart'!K200,'Calc Avalanche'!K200,'Calc Snowball'!K200,'Calc Cashflow'!K200)</f>
        <v/>
      </c>
      <c r="O194" s="65">
        <f>CHOOSE(Plan!$K$5,'Calc Smart'!L200,'Calc Avalanche'!L200,'Calc Snowball'!L200,'Calc Cashflow'!L200)</f>
        <v/>
      </c>
      <c r="P194" s="65">
        <f>CHOOSE(Plan!$K$5,'Calc Smart'!M200,'Calc Avalanche'!M200,'Calc Snowball'!M200,'Calc Cashflow'!M200)</f>
        <v/>
      </c>
      <c r="Q194" s="65">
        <f>CHOOSE(Plan!$K$5,'Calc Smart'!N200,'Calc Avalanche'!N200,'Calc Snowball'!N200,'Calc Cashflow'!N200)</f>
        <v/>
      </c>
    </row>
    <row r="195">
      <c r="B195" s="66">
        <f>EDATE(Plan!$C$6,189)</f>
        <v/>
      </c>
      <c r="C195" s="32">
        <f>CHOOSE(Plan!$K$5,'Calc Smart'!AE201,'Calc Avalanche'!AE201,'Calc Snowball'!AE201,'Calc Cashflow'!AE201)</f>
        <v/>
      </c>
      <c r="D195" s="32">
        <f>CHOOSE(Plan!$K$5,'Calc Smart'!AD201,'Calc Avalanche'!AD201,'Calc Snowball'!AD201,'Calc Cashflow'!AD201)</f>
        <v/>
      </c>
      <c r="E195" s="43">
        <f>CHOOSE(Plan!$K$5,COUNTIF('Calc Smart'!C201:N201,"&gt;0"),COUNTIF('Calc Avalanche'!C201:N201,"&gt;0"),COUNTIF('Calc Snowball'!C201:N201,"&gt;0"),COUNTIF('Calc Cashflow'!C201:N201,"&gt;0"))</f>
        <v/>
      </c>
      <c r="F195" s="67">
        <f>CHOOSE(Plan!$K$5,'Calc Smart'!C201,'Calc Avalanche'!C201,'Calc Snowball'!C201,'Calc Cashflow'!C201)</f>
        <v/>
      </c>
      <c r="G195" s="67">
        <f>CHOOSE(Plan!$K$5,'Calc Smart'!D201,'Calc Avalanche'!D201,'Calc Snowball'!D201,'Calc Cashflow'!D201)</f>
        <v/>
      </c>
      <c r="H195" s="67">
        <f>CHOOSE(Plan!$K$5,'Calc Smart'!E201,'Calc Avalanche'!E201,'Calc Snowball'!E201,'Calc Cashflow'!E201)</f>
        <v/>
      </c>
      <c r="I195" s="67">
        <f>CHOOSE(Plan!$K$5,'Calc Smart'!F201,'Calc Avalanche'!F201,'Calc Snowball'!F201,'Calc Cashflow'!F201)</f>
        <v/>
      </c>
      <c r="J195" s="67">
        <f>CHOOSE(Plan!$K$5,'Calc Smart'!G201,'Calc Avalanche'!G201,'Calc Snowball'!G201,'Calc Cashflow'!G201)</f>
        <v/>
      </c>
      <c r="K195" s="67">
        <f>CHOOSE(Plan!$K$5,'Calc Smart'!H201,'Calc Avalanche'!H201,'Calc Snowball'!H201,'Calc Cashflow'!H201)</f>
        <v/>
      </c>
      <c r="L195" s="67">
        <f>CHOOSE(Plan!$K$5,'Calc Smart'!I201,'Calc Avalanche'!I201,'Calc Snowball'!I201,'Calc Cashflow'!I201)</f>
        <v/>
      </c>
      <c r="M195" s="67">
        <f>CHOOSE(Plan!$K$5,'Calc Smart'!J201,'Calc Avalanche'!J201,'Calc Snowball'!J201,'Calc Cashflow'!J201)</f>
        <v/>
      </c>
      <c r="N195" s="67">
        <f>CHOOSE(Plan!$K$5,'Calc Smart'!K201,'Calc Avalanche'!K201,'Calc Snowball'!K201,'Calc Cashflow'!K201)</f>
        <v/>
      </c>
      <c r="O195" s="67">
        <f>CHOOSE(Plan!$K$5,'Calc Smart'!L201,'Calc Avalanche'!L201,'Calc Snowball'!L201,'Calc Cashflow'!L201)</f>
        <v/>
      </c>
      <c r="P195" s="67">
        <f>CHOOSE(Plan!$K$5,'Calc Smart'!M201,'Calc Avalanche'!M201,'Calc Snowball'!M201,'Calc Cashflow'!M201)</f>
        <v/>
      </c>
      <c r="Q195" s="67">
        <f>CHOOSE(Plan!$K$5,'Calc Smart'!N201,'Calc Avalanche'!N201,'Calc Snowball'!N201,'Calc Cashflow'!N201)</f>
        <v/>
      </c>
    </row>
    <row r="196">
      <c r="B196" s="64">
        <f>EDATE(Plan!$C$6,190)</f>
        <v/>
      </c>
      <c r="C196" s="31">
        <f>CHOOSE(Plan!$K$5,'Calc Smart'!AE202,'Calc Avalanche'!AE202,'Calc Snowball'!AE202,'Calc Cashflow'!AE202)</f>
        <v/>
      </c>
      <c r="D196" s="31">
        <f>CHOOSE(Plan!$K$5,'Calc Smart'!AD202,'Calc Avalanche'!AD202,'Calc Snowball'!AD202,'Calc Cashflow'!AD202)</f>
        <v/>
      </c>
      <c r="E196" s="40">
        <f>CHOOSE(Plan!$K$5,COUNTIF('Calc Smart'!C202:N202,"&gt;0"),COUNTIF('Calc Avalanche'!C202:N202,"&gt;0"),COUNTIF('Calc Snowball'!C202:N202,"&gt;0"),COUNTIF('Calc Cashflow'!C202:N202,"&gt;0"))</f>
        <v/>
      </c>
      <c r="F196" s="65">
        <f>CHOOSE(Plan!$K$5,'Calc Smart'!C202,'Calc Avalanche'!C202,'Calc Snowball'!C202,'Calc Cashflow'!C202)</f>
        <v/>
      </c>
      <c r="G196" s="65">
        <f>CHOOSE(Plan!$K$5,'Calc Smart'!D202,'Calc Avalanche'!D202,'Calc Snowball'!D202,'Calc Cashflow'!D202)</f>
        <v/>
      </c>
      <c r="H196" s="65">
        <f>CHOOSE(Plan!$K$5,'Calc Smart'!E202,'Calc Avalanche'!E202,'Calc Snowball'!E202,'Calc Cashflow'!E202)</f>
        <v/>
      </c>
      <c r="I196" s="65">
        <f>CHOOSE(Plan!$K$5,'Calc Smart'!F202,'Calc Avalanche'!F202,'Calc Snowball'!F202,'Calc Cashflow'!F202)</f>
        <v/>
      </c>
      <c r="J196" s="65">
        <f>CHOOSE(Plan!$K$5,'Calc Smart'!G202,'Calc Avalanche'!G202,'Calc Snowball'!G202,'Calc Cashflow'!G202)</f>
        <v/>
      </c>
      <c r="K196" s="65">
        <f>CHOOSE(Plan!$K$5,'Calc Smart'!H202,'Calc Avalanche'!H202,'Calc Snowball'!H202,'Calc Cashflow'!H202)</f>
        <v/>
      </c>
      <c r="L196" s="65">
        <f>CHOOSE(Plan!$K$5,'Calc Smart'!I202,'Calc Avalanche'!I202,'Calc Snowball'!I202,'Calc Cashflow'!I202)</f>
        <v/>
      </c>
      <c r="M196" s="65">
        <f>CHOOSE(Plan!$K$5,'Calc Smart'!J202,'Calc Avalanche'!J202,'Calc Snowball'!J202,'Calc Cashflow'!J202)</f>
        <v/>
      </c>
      <c r="N196" s="65">
        <f>CHOOSE(Plan!$K$5,'Calc Smart'!K202,'Calc Avalanche'!K202,'Calc Snowball'!K202,'Calc Cashflow'!K202)</f>
        <v/>
      </c>
      <c r="O196" s="65">
        <f>CHOOSE(Plan!$K$5,'Calc Smart'!L202,'Calc Avalanche'!L202,'Calc Snowball'!L202,'Calc Cashflow'!L202)</f>
        <v/>
      </c>
      <c r="P196" s="65">
        <f>CHOOSE(Plan!$K$5,'Calc Smart'!M202,'Calc Avalanche'!M202,'Calc Snowball'!M202,'Calc Cashflow'!M202)</f>
        <v/>
      </c>
      <c r="Q196" s="65">
        <f>CHOOSE(Plan!$K$5,'Calc Smart'!N202,'Calc Avalanche'!N202,'Calc Snowball'!N202,'Calc Cashflow'!N202)</f>
        <v/>
      </c>
    </row>
    <row r="197">
      <c r="B197" s="66">
        <f>EDATE(Plan!$C$6,191)</f>
        <v/>
      </c>
      <c r="C197" s="32">
        <f>CHOOSE(Plan!$K$5,'Calc Smart'!AE203,'Calc Avalanche'!AE203,'Calc Snowball'!AE203,'Calc Cashflow'!AE203)</f>
        <v/>
      </c>
      <c r="D197" s="32">
        <f>CHOOSE(Plan!$K$5,'Calc Smart'!AD203,'Calc Avalanche'!AD203,'Calc Snowball'!AD203,'Calc Cashflow'!AD203)</f>
        <v/>
      </c>
      <c r="E197" s="43">
        <f>CHOOSE(Plan!$K$5,COUNTIF('Calc Smart'!C203:N203,"&gt;0"),COUNTIF('Calc Avalanche'!C203:N203,"&gt;0"),COUNTIF('Calc Snowball'!C203:N203,"&gt;0"),COUNTIF('Calc Cashflow'!C203:N203,"&gt;0"))</f>
        <v/>
      </c>
      <c r="F197" s="67">
        <f>CHOOSE(Plan!$K$5,'Calc Smart'!C203,'Calc Avalanche'!C203,'Calc Snowball'!C203,'Calc Cashflow'!C203)</f>
        <v/>
      </c>
      <c r="G197" s="67">
        <f>CHOOSE(Plan!$K$5,'Calc Smart'!D203,'Calc Avalanche'!D203,'Calc Snowball'!D203,'Calc Cashflow'!D203)</f>
        <v/>
      </c>
      <c r="H197" s="67">
        <f>CHOOSE(Plan!$K$5,'Calc Smart'!E203,'Calc Avalanche'!E203,'Calc Snowball'!E203,'Calc Cashflow'!E203)</f>
        <v/>
      </c>
      <c r="I197" s="67">
        <f>CHOOSE(Plan!$K$5,'Calc Smart'!F203,'Calc Avalanche'!F203,'Calc Snowball'!F203,'Calc Cashflow'!F203)</f>
        <v/>
      </c>
      <c r="J197" s="67">
        <f>CHOOSE(Plan!$K$5,'Calc Smart'!G203,'Calc Avalanche'!G203,'Calc Snowball'!G203,'Calc Cashflow'!G203)</f>
        <v/>
      </c>
      <c r="K197" s="67">
        <f>CHOOSE(Plan!$K$5,'Calc Smart'!H203,'Calc Avalanche'!H203,'Calc Snowball'!H203,'Calc Cashflow'!H203)</f>
        <v/>
      </c>
      <c r="L197" s="67">
        <f>CHOOSE(Plan!$K$5,'Calc Smart'!I203,'Calc Avalanche'!I203,'Calc Snowball'!I203,'Calc Cashflow'!I203)</f>
        <v/>
      </c>
      <c r="M197" s="67">
        <f>CHOOSE(Plan!$K$5,'Calc Smart'!J203,'Calc Avalanche'!J203,'Calc Snowball'!J203,'Calc Cashflow'!J203)</f>
        <v/>
      </c>
      <c r="N197" s="67">
        <f>CHOOSE(Plan!$K$5,'Calc Smart'!K203,'Calc Avalanche'!K203,'Calc Snowball'!K203,'Calc Cashflow'!K203)</f>
        <v/>
      </c>
      <c r="O197" s="67">
        <f>CHOOSE(Plan!$K$5,'Calc Smart'!L203,'Calc Avalanche'!L203,'Calc Snowball'!L203,'Calc Cashflow'!L203)</f>
        <v/>
      </c>
      <c r="P197" s="67">
        <f>CHOOSE(Plan!$K$5,'Calc Smart'!M203,'Calc Avalanche'!M203,'Calc Snowball'!M203,'Calc Cashflow'!M203)</f>
        <v/>
      </c>
      <c r="Q197" s="67">
        <f>CHOOSE(Plan!$K$5,'Calc Smart'!N203,'Calc Avalanche'!N203,'Calc Snowball'!N203,'Calc Cashflow'!N203)</f>
        <v/>
      </c>
    </row>
    <row r="198">
      <c r="B198" s="64">
        <f>EDATE(Plan!$C$6,192)</f>
        <v/>
      </c>
      <c r="C198" s="31">
        <f>CHOOSE(Plan!$K$5,'Calc Smart'!AE204,'Calc Avalanche'!AE204,'Calc Snowball'!AE204,'Calc Cashflow'!AE204)</f>
        <v/>
      </c>
      <c r="D198" s="31">
        <f>CHOOSE(Plan!$K$5,'Calc Smart'!AD204,'Calc Avalanche'!AD204,'Calc Snowball'!AD204,'Calc Cashflow'!AD204)</f>
        <v/>
      </c>
      <c r="E198" s="40">
        <f>CHOOSE(Plan!$K$5,COUNTIF('Calc Smart'!C204:N204,"&gt;0"),COUNTIF('Calc Avalanche'!C204:N204,"&gt;0"),COUNTIF('Calc Snowball'!C204:N204,"&gt;0"),COUNTIF('Calc Cashflow'!C204:N204,"&gt;0"))</f>
        <v/>
      </c>
      <c r="F198" s="65">
        <f>CHOOSE(Plan!$K$5,'Calc Smart'!C204,'Calc Avalanche'!C204,'Calc Snowball'!C204,'Calc Cashflow'!C204)</f>
        <v/>
      </c>
      <c r="G198" s="65">
        <f>CHOOSE(Plan!$K$5,'Calc Smart'!D204,'Calc Avalanche'!D204,'Calc Snowball'!D204,'Calc Cashflow'!D204)</f>
        <v/>
      </c>
      <c r="H198" s="65">
        <f>CHOOSE(Plan!$K$5,'Calc Smart'!E204,'Calc Avalanche'!E204,'Calc Snowball'!E204,'Calc Cashflow'!E204)</f>
        <v/>
      </c>
      <c r="I198" s="65">
        <f>CHOOSE(Plan!$K$5,'Calc Smart'!F204,'Calc Avalanche'!F204,'Calc Snowball'!F204,'Calc Cashflow'!F204)</f>
        <v/>
      </c>
      <c r="J198" s="65">
        <f>CHOOSE(Plan!$K$5,'Calc Smart'!G204,'Calc Avalanche'!G204,'Calc Snowball'!G204,'Calc Cashflow'!G204)</f>
        <v/>
      </c>
      <c r="K198" s="65">
        <f>CHOOSE(Plan!$K$5,'Calc Smart'!H204,'Calc Avalanche'!H204,'Calc Snowball'!H204,'Calc Cashflow'!H204)</f>
        <v/>
      </c>
      <c r="L198" s="65">
        <f>CHOOSE(Plan!$K$5,'Calc Smart'!I204,'Calc Avalanche'!I204,'Calc Snowball'!I204,'Calc Cashflow'!I204)</f>
        <v/>
      </c>
      <c r="M198" s="65">
        <f>CHOOSE(Plan!$K$5,'Calc Smart'!J204,'Calc Avalanche'!J204,'Calc Snowball'!J204,'Calc Cashflow'!J204)</f>
        <v/>
      </c>
      <c r="N198" s="65">
        <f>CHOOSE(Plan!$K$5,'Calc Smart'!K204,'Calc Avalanche'!K204,'Calc Snowball'!K204,'Calc Cashflow'!K204)</f>
        <v/>
      </c>
      <c r="O198" s="65">
        <f>CHOOSE(Plan!$K$5,'Calc Smart'!L204,'Calc Avalanche'!L204,'Calc Snowball'!L204,'Calc Cashflow'!L204)</f>
        <v/>
      </c>
      <c r="P198" s="65">
        <f>CHOOSE(Plan!$K$5,'Calc Smart'!M204,'Calc Avalanche'!M204,'Calc Snowball'!M204,'Calc Cashflow'!M204)</f>
        <v/>
      </c>
      <c r="Q198" s="65">
        <f>CHOOSE(Plan!$K$5,'Calc Smart'!N204,'Calc Avalanche'!N204,'Calc Snowball'!N204,'Calc Cashflow'!N204)</f>
        <v/>
      </c>
    </row>
    <row r="199">
      <c r="B199" s="66">
        <f>EDATE(Plan!$C$6,193)</f>
        <v/>
      </c>
      <c r="C199" s="32">
        <f>CHOOSE(Plan!$K$5,'Calc Smart'!AE205,'Calc Avalanche'!AE205,'Calc Snowball'!AE205,'Calc Cashflow'!AE205)</f>
        <v/>
      </c>
      <c r="D199" s="32">
        <f>CHOOSE(Plan!$K$5,'Calc Smart'!AD205,'Calc Avalanche'!AD205,'Calc Snowball'!AD205,'Calc Cashflow'!AD205)</f>
        <v/>
      </c>
      <c r="E199" s="43">
        <f>CHOOSE(Plan!$K$5,COUNTIF('Calc Smart'!C205:N205,"&gt;0"),COUNTIF('Calc Avalanche'!C205:N205,"&gt;0"),COUNTIF('Calc Snowball'!C205:N205,"&gt;0"),COUNTIF('Calc Cashflow'!C205:N205,"&gt;0"))</f>
        <v/>
      </c>
      <c r="F199" s="67">
        <f>CHOOSE(Plan!$K$5,'Calc Smart'!C205,'Calc Avalanche'!C205,'Calc Snowball'!C205,'Calc Cashflow'!C205)</f>
        <v/>
      </c>
      <c r="G199" s="67">
        <f>CHOOSE(Plan!$K$5,'Calc Smart'!D205,'Calc Avalanche'!D205,'Calc Snowball'!D205,'Calc Cashflow'!D205)</f>
        <v/>
      </c>
      <c r="H199" s="67">
        <f>CHOOSE(Plan!$K$5,'Calc Smart'!E205,'Calc Avalanche'!E205,'Calc Snowball'!E205,'Calc Cashflow'!E205)</f>
        <v/>
      </c>
      <c r="I199" s="67">
        <f>CHOOSE(Plan!$K$5,'Calc Smart'!F205,'Calc Avalanche'!F205,'Calc Snowball'!F205,'Calc Cashflow'!F205)</f>
        <v/>
      </c>
      <c r="J199" s="67">
        <f>CHOOSE(Plan!$K$5,'Calc Smart'!G205,'Calc Avalanche'!G205,'Calc Snowball'!G205,'Calc Cashflow'!G205)</f>
        <v/>
      </c>
      <c r="K199" s="67">
        <f>CHOOSE(Plan!$K$5,'Calc Smart'!H205,'Calc Avalanche'!H205,'Calc Snowball'!H205,'Calc Cashflow'!H205)</f>
        <v/>
      </c>
      <c r="L199" s="67">
        <f>CHOOSE(Plan!$K$5,'Calc Smart'!I205,'Calc Avalanche'!I205,'Calc Snowball'!I205,'Calc Cashflow'!I205)</f>
        <v/>
      </c>
      <c r="M199" s="67">
        <f>CHOOSE(Plan!$K$5,'Calc Smart'!J205,'Calc Avalanche'!J205,'Calc Snowball'!J205,'Calc Cashflow'!J205)</f>
        <v/>
      </c>
      <c r="N199" s="67">
        <f>CHOOSE(Plan!$K$5,'Calc Smart'!K205,'Calc Avalanche'!K205,'Calc Snowball'!K205,'Calc Cashflow'!K205)</f>
        <v/>
      </c>
      <c r="O199" s="67">
        <f>CHOOSE(Plan!$K$5,'Calc Smart'!L205,'Calc Avalanche'!L205,'Calc Snowball'!L205,'Calc Cashflow'!L205)</f>
        <v/>
      </c>
      <c r="P199" s="67">
        <f>CHOOSE(Plan!$K$5,'Calc Smart'!M205,'Calc Avalanche'!M205,'Calc Snowball'!M205,'Calc Cashflow'!M205)</f>
        <v/>
      </c>
      <c r="Q199" s="67">
        <f>CHOOSE(Plan!$K$5,'Calc Smart'!N205,'Calc Avalanche'!N205,'Calc Snowball'!N205,'Calc Cashflow'!N205)</f>
        <v/>
      </c>
    </row>
    <row r="200">
      <c r="B200" s="64">
        <f>EDATE(Plan!$C$6,194)</f>
        <v/>
      </c>
      <c r="C200" s="31">
        <f>CHOOSE(Plan!$K$5,'Calc Smart'!AE206,'Calc Avalanche'!AE206,'Calc Snowball'!AE206,'Calc Cashflow'!AE206)</f>
        <v/>
      </c>
      <c r="D200" s="31">
        <f>CHOOSE(Plan!$K$5,'Calc Smart'!AD206,'Calc Avalanche'!AD206,'Calc Snowball'!AD206,'Calc Cashflow'!AD206)</f>
        <v/>
      </c>
      <c r="E200" s="40">
        <f>CHOOSE(Plan!$K$5,COUNTIF('Calc Smart'!C206:N206,"&gt;0"),COUNTIF('Calc Avalanche'!C206:N206,"&gt;0"),COUNTIF('Calc Snowball'!C206:N206,"&gt;0"),COUNTIF('Calc Cashflow'!C206:N206,"&gt;0"))</f>
        <v/>
      </c>
      <c r="F200" s="65">
        <f>CHOOSE(Plan!$K$5,'Calc Smart'!C206,'Calc Avalanche'!C206,'Calc Snowball'!C206,'Calc Cashflow'!C206)</f>
        <v/>
      </c>
      <c r="G200" s="65">
        <f>CHOOSE(Plan!$K$5,'Calc Smart'!D206,'Calc Avalanche'!D206,'Calc Snowball'!D206,'Calc Cashflow'!D206)</f>
        <v/>
      </c>
      <c r="H200" s="65">
        <f>CHOOSE(Plan!$K$5,'Calc Smart'!E206,'Calc Avalanche'!E206,'Calc Snowball'!E206,'Calc Cashflow'!E206)</f>
        <v/>
      </c>
      <c r="I200" s="65">
        <f>CHOOSE(Plan!$K$5,'Calc Smart'!F206,'Calc Avalanche'!F206,'Calc Snowball'!F206,'Calc Cashflow'!F206)</f>
        <v/>
      </c>
      <c r="J200" s="65">
        <f>CHOOSE(Plan!$K$5,'Calc Smart'!G206,'Calc Avalanche'!G206,'Calc Snowball'!G206,'Calc Cashflow'!G206)</f>
        <v/>
      </c>
      <c r="K200" s="65">
        <f>CHOOSE(Plan!$K$5,'Calc Smart'!H206,'Calc Avalanche'!H206,'Calc Snowball'!H206,'Calc Cashflow'!H206)</f>
        <v/>
      </c>
      <c r="L200" s="65">
        <f>CHOOSE(Plan!$K$5,'Calc Smart'!I206,'Calc Avalanche'!I206,'Calc Snowball'!I206,'Calc Cashflow'!I206)</f>
        <v/>
      </c>
      <c r="M200" s="65">
        <f>CHOOSE(Plan!$K$5,'Calc Smart'!J206,'Calc Avalanche'!J206,'Calc Snowball'!J206,'Calc Cashflow'!J206)</f>
        <v/>
      </c>
      <c r="N200" s="65">
        <f>CHOOSE(Plan!$K$5,'Calc Smart'!K206,'Calc Avalanche'!K206,'Calc Snowball'!K206,'Calc Cashflow'!K206)</f>
        <v/>
      </c>
      <c r="O200" s="65">
        <f>CHOOSE(Plan!$K$5,'Calc Smart'!L206,'Calc Avalanche'!L206,'Calc Snowball'!L206,'Calc Cashflow'!L206)</f>
        <v/>
      </c>
      <c r="P200" s="65">
        <f>CHOOSE(Plan!$K$5,'Calc Smart'!M206,'Calc Avalanche'!M206,'Calc Snowball'!M206,'Calc Cashflow'!M206)</f>
        <v/>
      </c>
      <c r="Q200" s="65">
        <f>CHOOSE(Plan!$K$5,'Calc Smart'!N206,'Calc Avalanche'!N206,'Calc Snowball'!N206,'Calc Cashflow'!N206)</f>
        <v/>
      </c>
    </row>
    <row r="201">
      <c r="B201" s="66">
        <f>EDATE(Plan!$C$6,195)</f>
        <v/>
      </c>
      <c r="C201" s="32">
        <f>CHOOSE(Plan!$K$5,'Calc Smart'!AE207,'Calc Avalanche'!AE207,'Calc Snowball'!AE207,'Calc Cashflow'!AE207)</f>
        <v/>
      </c>
      <c r="D201" s="32">
        <f>CHOOSE(Plan!$K$5,'Calc Smart'!AD207,'Calc Avalanche'!AD207,'Calc Snowball'!AD207,'Calc Cashflow'!AD207)</f>
        <v/>
      </c>
      <c r="E201" s="43">
        <f>CHOOSE(Plan!$K$5,COUNTIF('Calc Smart'!C207:N207,"&gt;0"),COUNTIF('Calc Avalanche'!C207:N207,"&gt;0"),COUNTIF('Calc Snowball'!C207:N207,"&gt;0"),COUNTIF('Calc Cashflow'!C207:N207,"&gt;0"))</f>
        <v/>
      </c>
      <c r="F201" s="67">
        <f>CHOOSE(Plan!$K$5,'Calc Smart'!C207,'Calc Avalanche'!C207,'Calc Snowball'!C207,'Calc Cashflow'!C207)</f>
        <v/>
      </c>
      <c r="G201" s="67">
        <f>CHOOSE(Plan!$K$5,'Calc Smart'!D207,'Calc Avalanche'!D207,'Calc Snowball'!D207,'Calc Cashflow'!D207)</f>
        <v/>
      </c>
      <c r="H201" s="67">
        <f>CHOOSE(Plan!$K$5,'Calc Smart'!E207,'Calc Avalanche'!E207,'Calc Snowball'!E207,'Calc Cashflow'!E207)</f>
        <v/>
      </c>
      <c r="I201" s="67">
        <f>CHOOSE(Plan!$K$5,'Calc Smart'!F207,'Calc Avalanche'!F207,'Calc Snowball'!F207,'Calc Cashflow'!F207)</f>
        <v/>
      </c>
      <c r="J201" s="67">
        <f>CHOOSE(Plan!$K$5,'Calc Smart'!G207,'Calc Avalanche'!G207,'Calc Snowball'!G207,'Calc Cashflow'!G207)</f>
        <v/>
      </c>
      <c r="K201" s="67">
        <f>CHOOSE(Plan!$K$5,'Calc Smart'!H207,'Calc Avalanche'!H207,'Calc Snowball'!H207,'Calc Cashflow'!H207)</f>
        <v/>
      </c>
      <c r="L201" s="67">
        <f>CHOOSE(Plan!$K$5,'Calc Smart'!I207,'Calc Avalanche'!I207,'Calc Snowball'!I207,'Calc Cashflow'!I207)</f>
        <v/>
      </c>
      <c r="M201" s="67">
        <f>CHOOSE(Plan!$K$5,'Calc Smart'!J207,'Calc Avalanche'!J207,'Calc Snowball'!J207,'Calc Cashflow'!J207)</f>
        <v/>
      </c>
      <c r="N201" s="67">
        <f>CHOOSE(Plan!$K$5,'Calc Smart'!K207,'Calc Avalanche'!K207,'Calc Snowball'!K207,'Calc Cashflow'!K207)</f>
        <v/>
      </c>
      <c r="O201" s="67">
        <f>CHOOSE(Plan!$K$5,'Calc Smart'!L207,'Calc Avalanche'!L207,'Calc Snowball'!L207,'Calc Cashflow'!L207)</f>
        <v/>
      </c>
      <c r="P201" s="67">
        <f>CHOOSE(Plan!$K$5,'Calc Smart'!M207,'Calc Avalanche'!M207,'Calc Snowball'!M207,'Calc Cashflow'!M207)</f>
        <v/>
      </c>
      <c r="Q201" s="67">
        <f>CHOOSE(Plan!$K$5,'Calc Smart'!N207,'Calc Avalanche'!N207,'Calc Snowball'!N207,'Calc Cashflow'!N207)</f>
        <v/>
      </c>
    </row>
    <row r="202">
      <c r="B202" s="64">
        <f>EDATE(Plan!$C$6,196)</f>
        <v/>
      </c>
      <c r="C202" s="31">
        <f>CHOOSE(Plan!$K$5,'Calc Smart'!AE208,'Calc Avalanche'!AE208,'Calc Snowball'!AE208,'Calc Cashflow'!AE208)</f>
        <v/>
      </c>
      <c r="D202" s="31">
        <f>CHOOSE(Plan!$K$5,'Calc Smart'!AD208,'Calc Avalanche'!AD208,'Calc Snowball'!AD208,'Calc Cashflow'!AD208)</f>
        <v/>
      </c>
      <c r="E202" s="40">
        <f>CHOOSE(Plan!$K$5,COUNTIF('Calc Smart'!C208:N208,"&gt;0"),COUNTIF('Calc Avalanche'!C208:N208,"&gt;0"),COUNTIF('Calc Snowball'!C208:N208,"&gt;0"),COUNTIF('Calc Cashflow'!C208:N208,"&gt;0"))</f>
        <v/>
      </c>
      <c r="F202" s="65">
        <f>CHOOSE(Plan!$K$5,'Calc Smart'!C208,'Calc Avalanche'!C208,'Calc Snowball'!C208,'Calc Cashflow'!C208)</f>
        <v/>
      </c>
      <c r="G202" s="65">
        <f>CHOOSE(Plan!$K$5,'Calc Smart'!D208,'Calc Avalanche'!D208,'Calc Snowball'!D208,'Calc Cashflow'!D208)</f>
        <v/>
      </c>
      <c r="H202" s="65">
        <f>CHOOSE(Plan!$K$5,'Calc Smart'!E208,'Calc Avalanche'!E208,'Calc Snowball'!E208,'Calc Cashflow'!E208)</f>
        <v/>
      </c>
      <c r="I202" s="65">
        <f>CHOOSE(Plan!$K$5,'Calc Smart'!F208,'Calc Avalanche'!F208,'Calc Snowball'!F208,'Calc Cashflow'!F208)</f>
        <v/>
      </c>
      <c r="J202" s="65">
        <f>CHOOSE(Plan!$K$5,'Calc Smart'!G208,'Calc Avalanche'!G208,'Calc Snowball'!G208,'Calc Cashflow'!G208)</f>
        <v/>
      </c>
      <c r="K202" s="65">
        <f>CHOOSE(Plan!$K$5,'Calc Smart'!H208,'Calc Avalanche'!H208,'Calc Snowball'!H208,'Calc Cashflow'!H208)</f>
        <v/>
      </c>
      <c r="L202" s="65">
        <f>CHOOSE(Plan!$K$5,'Calc Smart'!I208,'Calc Avalanche'!I208,'Calc Snowball'!I208,'Calc Cashflow'!I208)</f>
        <v/>
      </c>
      <c r="M202" s="65">
        <f>CHOOSE(Plan!$K$5,'Calc Smart'!J208,'Calc Avalanche'!J208,'Calc Snowball'!J208,'Calc Cashflow'!J208)</f>
        <v/>
      </c>
      <c r="N202" s="65">
        <f>CHOOSE(Plan!$K$5,'Calc Smart'!K208,'Calc Avalanche'!K208,'Calc Snowball'!K208,'Calc Cashflow'!K208)</f>
        <v/>
      </c>
      <c r="O202" s="65">
        <f>CHOOSE(Plan!$K$5,'Calc Smart'!L208,'Calc Avalanche'!L208,'Calc Snowball'!L208,'Calc Cashflow'!L208)</f>
        <v/>
      </c>
      <c r="P202" s="65">
        <f>CHOOSE(Plan!$K$5,'Calc Smart'!M208,'Calc Avalanche'!M208,'Calc Snowball'!M208,'Calc Cashflow'!M208)</f>
        <v/>
      </c>
      <c r="Q202" s="65">
        <f>CHOOSE(Plan!$K$5,'Calc Smart'!N208,'Calc Avalanche'!N208,'Calc Snowball'!N208,'Calc Cashflow'!N208)</f>
        <v/>
      </c>
    </row>
    <row r="203">
      <c r="B203" s="66">
        <f>EDATE(Plan!$C$6,197)</f>
        <v/>
      </c>
      <c r="C203" s="32">
        <f>CHOOSE(Plan!$K$5,'Calc Smart'!AE209,'Calc Avalanche'!AE209,'Calc Snowball'!AE209,'Calc Cashflow'!AE209)</f>
        <v/>
      </c>
      <c r="D203" s="32">
        <f>CHOOSE(Plan!$K$5,'Calc Smart'!AD209,'Calc Avalanche'!AD209,'Calc Snowball'!AD209,'Calc Cashflow'!AD209)</f>
        <v/>
      </c>
      <c r="E203" s="43">
        <f>CHOOSE(Plan!$K$5,COUNTIF('Calc Smart'!C209:N209,"&gt;0"),COUNTIF('Calc Avalanche'!C209:N209,"&gt;0"),COUNTIF('Calc Snowball'!C209:N209,"&gt;0"),COUNTIF('Calc Cashflow'!C209:N209,"&gt;0"))</f>
        <v/>
      </c>
      <c r="F203" s="67">
        <f>CHOOSE(Plan!$K$5,'Calc Smart'!C209,'Calc Avalanche'!C209,'Calc Snowball'!C209,'Calc Cashflow'!C209)</f>
        <v/>
      </c>
      <c r="G203" s="67">
        <f>CHOOSE(Plan!$K$5,'Calc Smart'!D209,'Calc Avalanche'!D209,'Calc Snowball'!D209,'Calc Cashflow'!D209)</f>
        <v/>
      </c>
      <c r="H203" s="67">
        <f>CHOOSE(Plan!$K$5,'Calc Smart'!E209,'Calc Avalanche'!E209,'Calc Snowball'!E209,'Calc Cashflow'!E209)</f>
        <v/>
      </c>
      <c r="I203" s="67">
        <f>CHOOSE(Plan!$K$5,'Calc Smart'!F209,'Calc Avalanche'!F209,'Calc Snowball'!F209,'Calc Cashflow'!F209)</f>
        <v/>
      </c>
      <c r="J203" s="67">
        <f>CHOOSE(Plan!$K$5,'Calc Smart'!G209,'Calc Avalanche'!G209,'Calc Snowball'!G209,'Calc Cashflow'!G209)</f>
        <v/>
      </c>
      <c r="K203" s="67">
        <f>CHOOSE(Plan!$K$5,'Calc Smart'!H209,'Calc Avalanche'!H209,'Calc Snowball'!H209,'Calc Cashflow'!H209)</f>
        <v/>
      </c>
      <c r="L203" s="67">
        <f>CHOOSE(Plan!$K$5,'Calc Smart'!I209,'Calc Avalanche'!I209,'Calc Snowball'!I209,'Calc Cashflow'!I209)</f>
        <v/>
      </c>
      <c r="M203" s="67">
        <f>CHOOSE(Plan!$K$5,'Calc Smart'!J209,'Calc Avalanche'!J209,'Calc Snowball'!J209,'Calc Cashflow'!J209)</f>
        <v/>
      </c>
      <c r="N203" s="67">
        <f>CHOOSE(Plan!$K$5,'Calc Smart'!K209,'Calc Avalanche'!K209,'Calc Snowball'!K209,'Calc Cashflow'!K209)</f>
        <v/>
      </c>
      <c r="O203" s="67">
        <f>CHOOSE(Plan!$K$5,'Calc Smart'!L209,'Calc Avalanche'!L209,'Calc Snowball'!L209,'Calc Cashflow'!L209)</f>
        <v/>
      </c>
      <c r="P203" s="67">
        <f>CHOOSE(Plan!$K$5,'Calc Smart'!M209,'Calc Avalanche'!M209,'Calc Snowball'!M209,'Calc Cashflow'!M209)</f>
        <v/>
      </c>
      <c r="Q203" s="67">
        <f>CHOOSE(Plan!$K$5,'Calc Smart'!N209,'Calc Avalanche'!N209,'Calc Snowball'!N209,'Calc Cashflow'!N209)</f>
        <v/>
      </c>
    </row>
    <row r="204">
      <c r="B204" s="64">
        <f>EDATE(Plan!$C$6,198)</f>
        <v/>
      </c>
      <c r="C204" s="31">
        <f>CHOOSE(Plan!$K$5,'Calc Smart'!AE210,'Calc Avalanche'!AE210,'Calc Snowball'!AE210,'Calc Cashflow'!AE210)</f>
        <v/>
      </c>
      <c r="D204" s="31">
        <f>CHOOSE(Plan!$K$5,'Calc Smart'!AD210,'Calc Avalanche'!AD210,'Calc Snowball'!AD210,'Calc Cashflow'!AD210)</f>
        <v/>
      </c>
      <c r="E204" s="40">
        <f>CHOOSE(Plan!$K$5,COUNTIF('Calc Smart'!C210:N210,"&gt;0"),COUNTIF('Calc Avalanche'!C210:N210,"&gt;0"),COUNTIF('Calc Snowball'!C210:N210,"&gt;0"),COUNTIF('Calc Cashflow'!C210:N210,"&gt;0"))</f>
        <v/>
      </c>
      <c r="F204" s="65">
        <f>CHOOSE(Plan!$K$5,'Calc Smart'!C210,'Calc Avalanche'!C210,'Calc Snowball'!C210,'Calc Cashflow'!C210)</f>
        <v/>
      </c>
      <c r="G204" s="65">
        <f>CHOOSE(Plan!$K$5,'Calc Smart'!D210,'Calc Avalanche'!D210,'Calc Snowball'!D210,'Calc Cashflow'!D210)</f>
        <v/>
      </c>
      <c r="H204" s="65">
        <f>CHOOSE(Plan!$K$5,'Calc Smart'!E210,'Calc Avalanche'!E210,'Calc Snowball'!E210,'Calc Cashflow'!E210)</f>
        <v/>
      </c>
      <c r="I204" s="65">
        <f>CHOOSE(Plan!$K$5,'Calc Smart'!F210,'Calc Avalanche'!F210,'Calc Snowball'!F210,'Calc Cashflow'!F210)</f>
        <v/>
      </c>
      <c r="J204" s="65">
        <f>CHOOSE(Plan!$K$5,'Calc Smart'!G210,'Calc Avalanche'!G210,'Calc Snowball'!G210,'Calc Cashflow'!G210)</f>
        <v/>
      </c>
      <c r="K204" s="65">
        <f>CHOOSE(Plan!$K$5,'Calc Smart'!H210,'Calc Avalanche'!H210,'Calc Snowball'!H210,'Calc Cashflow'!H210)</f>
        <v/>
      </c>
      <c r="L204" s="65">
        <f>CHOOSE(Plan!$K$5,'Calc Smart'!I210,'Calc Avalanche'!I210,'Calc Snowball'!I210,'Calc Cashflow'!I210)</f>
        <v/>
      </c>
      <c r="M204" s="65">
        <f>CHOOSE(Plan!$K$5,'Calc Smart'!J210,'Calc Avalanche'!J210,'Calc Snowball'!J210,'Calc Cashflow'!J210)</f>
        <v/>
      </c>
      <c r="N204" s="65">
        <f>CHOOSE(Plan!$K$5,'Calc Smart'!K210,'Calc Avalanche'!K210,'Calc Snowball'!K210,'Calc Cashflow'!K210)</f>
        <v/>
      </c>
      <c r="O204" s="65">
        <f>CHOOSE(Plan!$K$5,'Calc Smart'!L210,'Calc Avalanche'!L210,'Calc Snowball'!L210,'Calc Cashflow'!L210)</f>
        <v/>
      </c>
      <c r="P204" s="65">
        <f>CHOOSE(Plan!$K$5,'Calc Smart'!M210,'Calc Avalanche'!M210,'Calc Snowball'!M210,'Calc Cashflow'!M210)</f>
        <v/>
      </c>
      <c r="Q204" s="65">
        <f>CHOOSE(Plan!$K$5,'Calc Smart'!N210,'Calc Avalanche'!N210,'Calc Snowball'!N210,'Calc Cashflow'!N210)</f>
        <v/>
      </c>
    </row>
    <row r="205">
      <c r="B205" s="66">
        <f>EDATE(Plan!$C$6,199)</f>
        <v/>
      </c>
      <c r="C205" s="32">
        <f>CHOOSE(Plan!$K$5,'Calc Smart'!AE211,'Calc Avalanche'!AE211,'Calc Snowball'!AE211,'Calc Cashflow'!AE211)</f>
        <v/>
      </c>
      <c r="D205" s="32">
        <f>CHOOSE(Plan!$K$5,'Calc Smart'!AD211,'Calc Avalanche'!AD211,'Calc Snowball'!AD211,'Calc Cashflow'!AD211)</f>
        <v/>
      </c>
      <c r="E205" s="43">
        <f>CHOOSE(Plan!$K$5,COUNTIF('Calc Smart'!C211:N211,"&gt;0"),COUNTIF('Calc Avalanche'!C211:N211,"&gt;0"),COUNTIF('Calc Snowball'!C211:N211,"&gt;0"),COUNTIF('Calc Cashflow'!C211:N211,"&gt;0"))</f>
        <v/>
      </c>
      <c r="F205" s="67">
        <f>CHOOSE(Plan!$K$5,'Calc Smart'!C211,'Calc Avalanche'!C211,'Calc Snowball'!C211,'Calc Cashflow'!C211)</f>
        <v/>
      </c>
      <c r="G205" s="67">
        <f>CHOOSE(Plan!$K$5,'Calc Smart'!D211,'Calc Avalanche'!D211,'Calc Snowball'!D211,'Calc Cashflow'!D211)</f>
        <v/>
      </c>
      <c r="H205" s="67">
        <f>CHOOSE(Plan!$K$5,'Calc Smart'!E211,'Calc Avalanche'!E211,'Calc Snowball'!E211,'Calc Cashflow'!E211)</f>
        <v/>
      </c>
      <c r="I205" s="67">
        <f>CHOOSE(Plan!$K$5,'Calc Smart'!F211,'Calc Avalanche'!F211,'Calc Snowball'!F211,'Calc Cashflow'!F211)</f>
        <v/>
      </c>
      <c r="J205" s="67">
        <f>CHOOSE(Plan!$K$5,'Calc Smart'!G211,'Calc Avalanche'!G211,'Calc Snowball'!G211,'Calc Cashflow'!G211)</f>
        <v/>
      </c>
      <c r="K205" s="67">
        <f>CHOOSE(Plan!$K$5,'Calc Smart'!H211,'Calc Avalanche'!H211,'Calc Snowball'!H211,'Calc Cashflow'!H211)</f>
        <v/>
      </c>
      <c r="L205" s="67">
        <f>CHOOSE(Plan!$K$5,'Calc Smart'!I211,'Calc Avalanche'!I211,'Calc Snowball'!I211,'Calc Cashflow'!I211)</f>
        <v/>
      </c>
      <c r="M205" s="67">
        <f>CHOOSE(Plan!$K$5,'Calc Smart'!J211,'Calc Avalanche'!J211,'Calc Snowball'!J211,'Calc Cashflow'!J211)</f>
        <v/>
      </c>
      <c r="N205" s="67">
        <f>CHOOSE(Plan!$K$5,'Calc Smart'!K211,'Calc Avalanche'!K211,'Calc Snowball'!K211,'Calc Cashflow'!K211)</f>
        <v/>
      </c>
      <c r="O205" s="67">
        <f>CHOOSE(Plan!$K$5,'Calc Smart'!L211,'Calc Avalanche'!L211,'Calc Snowball'!L211,'Calc Cashflow'!L211)</f>
        <v/>
      </c>
      <c r="P205" s="67">
        <f>CHOOSE(Plan!$K$5,'Calc Smart'!M211,'Calc Avalanche'!M211,'Calc Snowball'!M211,'Calc Cashflow'!M211)</f>
        <v/>
      </c>
      <c r="Q205" s="67">
        <f>CHOOSE(Plan!$K$5,'Calc Smart'!N211,'Calc Avalanche'!N211,'Calc Snowball'!N211,'Calc Cashflow'!N211)</f>
        <v/>
      </c>
    </row>
    <row r="206">
      <c r="B206" s="64">
        <f>EDATE(Plan!$C$6,200)</f>
        <v/>
      </c>
      <c r="C206" s="31">
        <f>CHOOSE(Plan!$K$5,'Calc Smart'!AE212,'Calc Avalanche'!AE212,'Calc Snowball'!AE212,'Calc Cashflow'!AE212)</f>
        <v/>
      </c>
      <c r="D206" s="31">
        <f>CHOOSE(Plan!$K$5,'Calc Smart'!AD212,'Calc Avalanche'!AD212,'Calc Snowball'!AD212,'Calc Cashflow'!AD212)</f>
        <v/>
      </c>
      <c r="E206" s="40">
        <f>CHOOSE(Plan!$K$5,COUNTIF('Calc Smart'!C212:N212,"&gt;0"),COUNTIF('Calc Avalanche'!C212:N212,"&gt;0"),COUNTIF('Calc Snowball'!C212:N212,"&gt;0"),COUNTIF('Calc Cashflow'!C212:N212,"&gt;0"))</f>
        <v/>
      </c>
      <c r="F206" s="65">
        <f>CHOOSE(Plan!$K$5,'Calc Smart'!C212,'Calc Avalanche'!C212,'Calc Snowball'!C212,'Calc Cashflow'!C212)</f>
        <v/>
      </c>
      <c r="G206" s="65">
        <f>CHOOSE(Plan!$K$5,'Calc Smart'!D212,'Calc Avalanche'!D212,'Calc Snowball'!D212,'Calc Cashflow'!D212)</f>
        <v/>
      </c>
      <c r="H206" s="65">
        <f>CHOOSE(Plan!$K$5,'Calc Smart'!E212,'Calc Avalanche'!E212,'Calc Snowball'!E212,'Calc Cashflow'!E212)</f>
        <v/>
      </c>
      <c r="I206" s="65">
        <f>CHOOSE(Plan!$K$5,'Calc Smart'!F212,'Calc Avalanche'!F212,'Calc Snowball'!F212,'Calc Cashflow'!F212)</f>
        <v/>
      </c>
      <c r="J206" s="65">
        <f>CHOOSE(Plan!$K$5,'Calc Smart'!G212,'Calc Avalanche'!G212,'Calc Snowball'!G212,'Calc Cashflow'!G212)</f>
        <v/>
      </c>
      <c r="K206" s="65">
        <f>CHOOSE(Plan!$K$5,'Calc Smart'!H212,'Calc Avalanche'!H212,'Calc Snowball'!H212,'Calc Cashflow'!H212)</f>
        <v/>
      </c>
      <c r="L206" s="65">
        <f>CHOOSE(Plan!$K$5,'Calc Smart'!I212,'Calc Avalanche'!I212,'Calc Snowball'!I212,'Calc Cashflow'!I212)</f>
        <v/>
      </c>
      <c r="M206" s="65">
        <f>CHOOSE(Plan!$K$5,'Calc Smart'!J212,'Calc Avalanche'!J212,'Calc Snowball'!J212,'Calc Cashflow'!J212)</f>
        <v/>
      </c>
      <c r="N206" s="65">
        <f>CHOOSE(Plan!$K$5,'Calc Smart'!K212,'Calc Avalanche'!K212,'Calc Snowball'!K212,'Calc Cashflow'!K212)</f>
        <v/>
      </c>
      <c r="O206" s="65">
        <f>CHOOSE(Plan!$K$5,'Calc Smart'!L212,'Calc Avalanche'!L212,'Calc Snowball'!L212,'Calc Cashflow'!L212)</f>
        <v/>
      </c>
      <c r="P206" s="65">
        <f>CHOOSE(Plan!$K$5,'Calc Smart'!M212,'Calc Avalanche'!M212,'Calc Snowball'!M212,'Calc Cashflow'!M212)</f>
        <v/>
      </c>
      <c r="Q206" s="65">
        <f>CHOOSE(Plan!$K$5,'Calc Smart'!N212,'Calc Avalanche'!N212,'Calc Snowball'!N212,'Calc Cashflow'!N212)</f>
        <v/>
      </c>
    </row>
    <row r="207">
      <c r="B207" s="66">
        <f>EDATE(Plan!$C$6,201)</f>
        <v/>
      </c>
      <c r="C207" s="32">
        <f>CHOOSE(Plan!$K$5,'Calc Smart'!AE213,'Calc Avalanche'!AE213,'Calc Snowball'!AE213,'Calc Cashflow'!AE213)</f>
        <v/>
      </c>
      <c r="D207" s="32">
        <f>CHOOSE(Plan!$K$5,'Calc Smart'!AD213,'Calc Avalanche'!AD213,'Calc Snowball'!AD213,'Calc Cashflow'!AD213)</f>
        <v/>
      </c>
      <c r="E207" s="43">
        <f>CHOOSE(Plan!$K$5,COUNTIF('Calc Smart'!C213:N213,"&gt;0"),COUNTIF('Calc Avalanche'!C213:N213,"&gt;0"),COUNTIF('Calc Snowball'!C213:N213,"&gt;0"),COUNTIF('Calc Cashflow'!C213:N213,"&gt;0"))</f>
        <v/>
      </c>
      <c r="F207" s="67">
        <f>CHOOSE(Plan!$K$5,'Calc Smart'!C213,'Calc Avalanche'!C213,'Calc Snowball'!C213,'Calc Cashflow'!C213)</f>
        <v/>
      </c>
      <c r="G207" s="67">
        <f>CHOOSE(Plan!$K$5,'Calc Smart'!D213,'Calc Avalanche'!D213,'Calc Snowball'!D213,'Calc Cashflow'!D213)</f>
        <v/>
      </c>
      <c r="H207" s="67">
        <f>CHOOSE(Plan!$K$5,'Calc Smart'!E213,'Calc Avalanche'!E213,'Calc Snowball'!E213,'Calc Cashflow'!E213)</f>
        <v/>
      </c>
      <c r="I207" s="67">
        <f>CHOOSE(Plan!$K$5,'Calc Smart'!F213,'Calc Avalanche'!F213,'Calc Snowball'!F213,'Calc Cashflow'!F213)</f>
        <v/>
      </c>
      <c r="J207" s="67">
        <f>CHOOSE(Plan!$K$5,'Calc Smart'!G213,'Calc Avalanche'!G213,'Calc Snowball'!G213,'Calc Cashflow'!G213)</f>
        <v/>
      </c>
      <c r="K207" s="67">
        <f>CHOOSE(Plan!$K$5,'Calc Smart'!H213,'Calc Avalanche'!H213,'Calc Snowball'!H213,'Calc Cashflow'!H213)</f>
        <v/>
      </c>
      <c r="L207" s="67">
        <f>CHOOSE(Plan!$K$5,'Calc Smart'!I213,'Calc Avalanche'!I213,'Calc Snowball'!I213,'Calc Cashflow'!I213)</f>
        <v/>
      </c>
      <c r="M207" s="67">
        <f>CHOOSE(Plan!$K$5,'Calc Smart'!J213,'Calc Avalanche'!J213,'Calc Snowball'!J213,'Calc Cashflow'!J213)</f>
        <v/>
      </c>
      <c r="N207" s="67">
        <f>CHOOSE(Plan!$K$5,'Calc Smart'!K213,'Calc Avalanche'!K213,'Calc Snowball'!K213,'Calc Cashflow'!K213)</f>
        <v/>
      </c>
      <c r="O207" s="67">
        <f>CHOOSE(Plan!$K$5,'Calc Smart'!L213,'Calc Avalanche'!L213,'Calc Snowball'!L213,'Calc Cashflow'!L213)</f>
        <v/>
      </c>
      <c r="P207" s="67">
        <f>CHOOSE(Plan!$K$5,'Calc Smart'!M213,'Calc Avalanche'!M213,'Calc Snowball'!M213,'Calc Cashflow'!M213)</f>
        <v/>
      </c>
      <c r="Q207" s="67">
        <f>CHOOSE(Plan!$K$5,'Calc Smart'!N213,'Calc Avalanche'!N213,'Calc Snowball'!N213,'Calc Cashflow'!N213)</f>
        <v/>
      </c>
    </row>
    <row r="208">
      <c r="B208" s="64">
        <f>EDATE(Plan!$C$6,202)</f>
        <v/>
      </c>
      <c r="C208" s="31">
        <f>CHOOSE(Plan!$K$5,'Calc Smart'!AE214,'Calc Avalanche'!AE214,'Calc Snowball'!AE214,'Calc Cashflow'!AE214)</f>
        <v/>
      </c>
      <c r="D208" s="31">
        <f>CHOOSE(Plan!$K$5,'Calc Smart'!AD214,'Calc Avalanche'!AD214,'Calc Snowball'!AD214,'Calc Cashflow'!AD214)</f>
        <v/>
      </c>
      <c r="E208" s="40">
        <f>CHOOSE(Plan!$K$5,COUNTIF('Calc Smart'!C214:N214,"&gt;0"),COUNTIF('Calc Avalanche'!C214:N214,"&gt;0"),COUNTIF('Calc Snowball'!C214:N214,"&gt;0"),COUNTIF('Calc Cashflow'!C214:N214,"&gt;0"))</f>
        <v/>
      </c>
      <c r="F208" s="65">
        <f>CHOOSE(Plan!$K$5,'Calc Smart'!C214,'Calc Avalanche'!C214,'Calc Snowball'!C214,'Calc Cashflow'!C214)</f>
        <v/>
      </c>
      <c r="G208" s="65">
        <f>CHOOSE(Plan!$K$5,'Calc Smart'!D214,'Calc Avalanche'!D214,'Calc Snowball'!D214,'Calc Cashflow'!D214)</f>
        <v/>
      </c>
      <c r="H208" s="65">
        <f>CHOOSE(Plan!$K$5,'Calc Smart'!E214,'Calc Avalanche'!E214,'Calc Snowball'!E214,'Calc Cashflow'!E214)</f>
        <v/>
      </c>
      <c r="I208" s="65">
        <f>CHOOSE(Plan!$K$5,'Calc Smart'!F214,'Calc Avalanche'!F214,'Calc Snowball'!F214,'Calc Cashflow'!F214)</f>
        <v/>
      </c>
      <c r="J208" s="65">
        <f>CHOOSE(Plan!$K$5,'Calc Smart'!G214,'Calc Avalanche'!G214,'Calc Snowball'!G214,'Calc Cashflow'!G214)</f>
        <v/>
      </c>
      <c r="K208" s="65">
        <f>CHOOSE(Plan!$K$5,'Calc Smart'!H214,'Calc Avalanche'!H214,'Calc Snowball'!H214,'Calc Cashflow'!H214)</f>
        <v/>
      </c>
      <c r="L208" s="65">
        <f>CHOOSE(Plan!$K$5,'Calc Smart'!I214,'Calc Avalanche'!I214,'Calc Snowball'!I214,'Calc Cashflow'!I214)</f>
        <v/>
      </c>
      <c r="M208" s="65">
        <f>CHOOSE(Plan!$K$5,'Calc Smart'!J214,'Calc Avalanche'!J214,'Calc Snowball'!J214,'Calc Cashflow'!J214)</f>
        <v/>
      </c>
      <c r="N208" s="65">
        <f>CHOOSE(Plan!$K$5,'Calc Smart'!K214,'Calc Avalanche'!K214,'Calc Snowball'!K214,'Calc Cashflow'!K214)</f>
        <v/>
      </c>
      <c r="O208" s="65">
        <f>CHOOSE(Plan!$K$5,'Calc Smart'!L214,'Calc Avalanche'!L214,'Calc Snowball'!L214,'Calc Cashflow'!L214)</f>
        <v/>
      </c>
      <c r="P208" s="65">
        <f>CHOOSE(Plan!$K$5,'Calc Smart'!M214,'Calc Avalanche'!M214,'Calc Snowball'!M214,'Calc Cashflow'!M214)</f>
        <v/>
      </c>
      <c r="Q208" s="65">
        <f>CHOOSE(Plan!$K$5,'Calc Smart'!N214,'Calc Avalanche'!N214,'Calc Snowball'!N214,'Calc Cashflow'!N214)</f>
        <v/>
      </c>
    </row>
    <row r="209">
      <c r="B209" s="66">
        <f>EDATE(Plan!$C$6,203)</f>
        <v/>
      </c>
      <c r="C209" s="32">
        <f>CHOOSE(Plan!$K$5,'Calc Smart'!AE215,'Calc Avalanche'!AE215,'Calc Snowball'!AE215,'Calc Cashflow'!AE215)</f>
        <v/>
      </c>
      <c r="D209" s="32">
        <f>CHOOSE(Plan!$K$5,'Calc Smart'!AD215,'Calc Avalanche'!AD215,'Calc Snowball'!AD215,'Calc Cashflow'!AD215)</f>
        <v/>
      </c>
      <c r="E209" s="43">
        <f>CHOOSE(Plan!$K$5,COUNTIF('Calc Smart'!C215:N215,"&gt;0"),COUNTIF('Calc Avalanche'!C215:N215,"&gt;0"),COUNTIF('Calc Snowball'!C215:N215,"&gt;0"),COUNTIF('Calc Cashflow'!C215:N215,"&gt;0"))</f>
        <v/>
      </c>
      <c r="F209" s="67">
        <f>CHOOSE(Plan!$K$5,'Calc Smart'!C215,'Calc Avalanche'!C215,'Calc Snowball'!C215,'Calc Cashflow'!C215)</f>
        <v/>
      </c>
      <c r="G209" s="67">
        <f>CHOOSE(Plan!$K$5,'Calc Smart'!D215,'Calc Avalanche'!D215,'Calc Snowball'!D215,'Calc Cashflow'!D215)</f>
        <v/>
      </c>
      <c r="H209" s="67">
        <f>CHOOSE(Plan!$K$5,'Calc Smart'!E215,'Calc Avalanche'!E215,'Calc Snowball'!E215,'Calc Cashflow'!E215)</f>
        <v/>
      </c>
      <c r="I209" s="67">
        <f>CHOOSE(Plan!$K$5,'Calc Smart'!F215,'Calc Avalanche'!F215,'Calc Snowball'!F215,'Calc Cashflow'!F215)</f>
        <v/>
      </c>
      <c r="J209" s="67">
        <f>CHOOSE(Plan!$K$5,'Calc Smart'!G215,'Calc Avalanche'!G215,'Calc Snowball'!G215,'Calc Cashflow'!G215)</f>
        <v/>
      </c>
      <c r="K209" s="67">
        <f>CHOOSE(Plan!$K$5,'Calc Smart'!H215,'Calc Avalanche'!H215,'Calc Snowball'!H215,'Calc Cashflow'!H215)</f>
        <v/>
      </c>
      <c r="L209" s="67">
        <f>CHOOSE(Plan!$K$5,'Calc Smart'!I215,'Calc Avalanche'!I215,'Calc Snowball'!I215,'Calc Cashflow'!I215)</f>
        <v/>
      </c>
      <c r="M209" s="67">
        <f>CHOOSE(Plan!$K$5,'Calc Smart'!J215,'Calc Avalanche'!J215,'Calc Snowball'!J215,'Calc Cashflow'!J215)</f>
        <v/>
      </c>
      <c r="N209" s="67">
        <f>CHOOSE(Plan!$K$5,'Calc Smart'!K215,'Calc Avalanche'!K215,'Calc Snowball'!K215,'Calc Cashflow'!K215)</f>
        <v/>
      </c>
      <c r="O209" s="67">
        <f>CHOOSE(Plan!$K$5,'Calc Smart'!L215,'Calc Avalanche'!L215,'Calc Snowball'!L215,'Calc Cashflow'!L215)</f>
        <v/>
      </c>
      <c r="P209" s="67">
        <f>CHOOSE(Plan!$K$5,'Calc Smart'!M215,'Calc Avalanche'!M215,'Calc Snowball'!M215,'Calc Cashflow'!M215)</f>
        <v/>
      </c>
      <c r="Q209" s="67">
        <f>CHOOSE(Plan!$K$5,'Calc Smart'!N215,'Calc Avalanche'!N215,'Calc Snowball'!N215,'Calc Cashflow'!N215)</f>
        <v/>
      </c>
    </row>
    <row r="210">
      <c r="B210" s="64">
        <f>EDATE(Plan!$C$6,204)</f>
        <v/>
      </c>
      <c r="C210" s="31">
        <f>CHOOSE(Plan!$K$5,'Calc Smart'!AE216,'Calc Avalanche'!AE216,'Calc Snowball'!AE216,'Calc Cashflow'!AE216)</f>
        <v/>
      </c>
      <c r="D210" s="31">
        <f>CHOOSE(Plan!$K$5,'Calc Smart'!AD216,'Calc Avalanche'!AD216,'Calc Snowball'!AD216,'Calc Cashflow'!AD216)</f>
        <v/>
      </c>
      <c r="E210" s="40">
        <f>CHOOSE(Plan!$K$5,COUNTIF('Calc Smart'!C216:N216,"&gt;0"),COUNTIF('Calc Avalanche'!C216:N216,"&gt;0"),COUNTIF('Calc Snowball'!C216:N216,"&gt;0"),COUNTIF('Calc Cashflow'!C216:N216,"&gt;0"))</f>
        <v/>
      </c>
      <c r="F210" s="65">
        <f>CHOOSE(Plan!$K$5,'Calc Smart'!C216,'Calc Avalanche'!C216,'Calc Snowball'!C216,'Calc Cashflow'!C216)</f>
        <v/>
      </c>
      <c r="G210" s="65">
        <f>CHOOSE(Plan!$K$5,'Calc Smart'!D216,'Calc Avalanche'!D216,'Calc Snowball'!D216,'Calc Cashflow'!D216)</f>
        <v/>
      </c>
      <c r="H210" s="65">
        <f>CHOOSE(Plan!$K$5,'Calc Smart'!E216,'Calc Avalanche'!E216,'Calc Snowball'!E216,'Calc Cashflow'!E216)</f>
        <v/>
      </c>
      <c r="I210" s="65">
        <f>CHOOSE(Plan!$K$5,'Calc Smart'!F216,'Calc Avalanche'!F216,'Calc Snowball'!F216,'Calc Cashflow'!F216)</f>
        <v/>
      </c>
      <c r="J210" s="65">
        <f>CHOOSE(Plan!$K$5,'Calc Smart'!G216,'Calc Avalanche'!G216,'Calc Snowball'!G216,'Calc Cashflow'!G216)</f>
        <v/>
      </c>
      <c r="K210" s="65">
        <f>CHOOSE(Plan!$K$5,'Calc Smart'!H216,'Calc Avalanche'!H216,'Calc Snowball'!H216,'Calc Cashflow'!H216)</f>
        <v/>
      </c>
      <c r="L210" s="65">
        <f>CHOOSE(Plan!$K$5,'Calc Smart'!I216,'Calc Avalanche'!I216,'Calc Snowball'!I216,'Calc Cashflow'!I216)</f>
        <v/>
      </c>
      <c r="M210" s="65">
        <f>CHOOSE(Plan!$K$5,'Calc Smart'!J216,'Calc Avalanche'!J216,'Calc Snowball'!J216,'Calc Cashflow'!J216)</f>
        <v/>
      </c>
      <c r="N210" s="65">
        <f>CHOOSE(Plan!$K$5,'Calc Smart'!K216,'Calc Avalanche'!K216,'Calc Snowball'!K216,'Calc Cashflow'!K216)</f>
        <v/>
      </c>
      <c r="O210" s="65">
        <f>CHOOSE(Plan!$K$5,'Calc Smart'!L216,'Calc Avalanche'!L216,'Calc Snowball'!L216,'Calc Cashflow'!L216)</f>
        <v/>
      </c>
      <c r="P210" s="65">
        <f>CHOOSE(Plan!$K$5,'Calc Smart'!M216,'Calc Avalanche'!M216,'Calc Snowball'!M216,'Calc Cashflow'!M216)</f>
        <v/>
      </c>
      <c r="Q210" s="65">
        <f>CHOOSE(Plan!$K$5,'Calc Smart'!N216,'Calc Avalanche'!N216,'Calc Snowball'!N216,'Calc Cashflow'!N216)</f>
        <v/>
      </c>
    </row>
    <row r="211">
      <c r="B211" s="66">
        <f>EDATE(Plan!$C$6,205)</f>
        <v/>
      </c>
      <c r="C211" s="32">
        <f>CHOOSE(Plan!$K$5,'Calc Smart'!AE217,'Calc Avalanche'!AE217,'Calc Snowball'!AE217,'Calc Cashflow'!AE217)</f>
        <v/>
      </c>
      <c r="D211" s="32">
        <f>CHOOSE(Plan!$K$5,'Calc Smart'!AD217,'Calc Avalanche'!AD217,'Calc Snowball'!AD217,'Calc Cashflow'!AD217)</f>
        <v/>
      </c>
      <c r="E211" s="43">
        <f>CHOOSE(Plan!$K$5,COUNTIF('Calc Smart'!C217:N217,"&gt;0"),COUNTIF('Calc Avalanche'!C217:N217,"&gt;0"),COUNTIF('Calc Snowball'!C217:N217,"&gt;0"),COUNTIF('Calc Cashflow'!C217:N217,"&gt;0"))</f>
        <v/>
      </c>
      <c r="F211" s="67">
        <f>CHOOSE(Plan!$K$5,'Calc Smart'!C217,'Calc Avalanche'!C217,'Calc Snowball'!C217,'Calc Cashflow'!C217)</f>
        <v/>
      </c>
      <c r="G211" s="67">
        <f>CHOOSE(Plan!$K$5,'Calc Smart'!D217,'Calc Avalanche'!D217,'Calc Snowball'!D217,'Calc Cashflow'!D217)</f>
        <v/>
      </c>
      <c r="H211" s="67">
        <f>CHOOSE(Plan!$K$5,'Calc Smart'!E217,'Calc Avalanche'!E217,'Calc Snowball'!E217,'Calc Cashflow'!E217)</f>
        <v/>
      </c>
      <c r="I211" s="67">
        <f>CHOOSE(Plan!$K$5,'Calc Smart'!F217,'Calc Avalanche'!F217,'Calc Snowball'!F217,'Calc Cashflow'!F217)</f>
        <v/>
      </c>
      <c r="J211" s="67">
        <f>CHOOSE(Plan!$K$5,'Calc Smart'!G217,'Calc Avalanche'!G217,'Calc Snowball'!G217,'Calc Cashflow'!G217)</f>
        <v/>
      </c>
      <c r="K211" s="67">
        <f>CHOOSE(Plan!$K$5,'Calc Smart'!H217,'Calc Avalanche'!H217,'Calc Snowball'!H217,'Calc Cashflow'!H217)</f>
        <v/>
      </c>
      <c r="L211" s="67">
        <f>CHOOSE(Plan!$K$5,'Calc Smart'!I217,'Calc Avalanche'!I217,'Calc Snowball'!I217,'Calc Cashflow'!I217)</f>
        <v/>
      </c>
      <c r="M211" s="67">
        <f>CHOOSE(Plan!$K$5,'Calc Smart'!J217,'Calc Avalanche'!J217,'Calc Snowball'!J217,'Calc Cashflow'!J217)</f>
        <v/>
      </c>
      <c r="N211" s="67">
        <f>CHOOSE(Plan!$K$5,'Calc Smart'!K217,'Calc Avalanche'!K217,'Calc Snowball'!K217,'Calc Cashflow'!K217)</f>
        <v/>
      </c>
      <c r="O211" s="67">
        <f>CHOOSE(Plan!$K$5,'Calc Smart'!L217,'Calc Avalanche'!L217,'Calc Snowball'!L217,'Calc Cashflow'!L217)</f>
        <v/>
      </c>
      <c r="P211" s="67">
        <f>CHOOSE(Plan!$K$5,'Calc Smart'!M217,'Calc Avalanche'!M217,'Calc Snowball'!M217,'Calc Cashflow'!M217)</f>
        <v/>
      </c>
      <c r="Q211" s="67">
        <f>CHOOSE(Plan!$K$5,'Calc Smart'!N217,'Calc Avalanche'!N217,'Calc Snowball'!N217,'Calc Cashflow'!N217)</f>
        <v/>
      </c>
    </row>
    <row r="212">
      <c r="B212" s="64">
        <f>EDATE(Plan!$C$6,206)</f>
        <v/>
      </c>
      <c r="C212" s="31">
        <f>CHOOSE(Plan!$K$5,'Calc Smart'!AE218,'Calc Avalanche'!AE218,'Calc Snowball'!AE218,'Calc Cashflow'!AE218)</f>
        <v/>
      </c>
      <c r="D212" s="31">
        <f>CHOOSE(Plan!$K$5,'Calc Smart'!AD218,'Calc Avalanche'!AD218,'Calc Snowball'!AD218,'Calc Cashflow'!AD218)</f>
        <v/>
      </c>
      <c r="E212" s="40">
        <f>CHOOSE(Plan!$K$5,COUNTIF('Calc Smart'!C218:N218,"&gt;0"),COUNTIF('Calc Avalanche'!C218:N218,"&gt;0"),COUNTIF('Calc Snowball'!C218:N218,"&gt;0"),COUNTIF('Calc Cashflow'!C218:N218,"&gt;0"))</f>
        <v/>
      </c>
      <c r="F212" s="65">
        <f>CHOOSE(Plan!$K$5,'Calc Smart'!C218,'Calc Avalanche'!C218,'Calc Snowball'!C218,'Calc Cashflow'!C218)</f>
        <v/>
      </c>
      <c r="G212" s="65">
        <f>CHOOSE(Plan!$K$5,'Calc Smart'!D218,'Calc Avalanche'!D218,'Calc Snowball'!D218,'Calc Cashflow'!D218)</f>
        <v/>
      </c>
      <c r="H212" s="65">
        <f>CHOOSE(Plan!$K$5,'Calc Smart'!E218,'Calc Avalanche'!E218,'Calc Snowball'!E218,'Calc Cashflow'!E218)</f>
        <v/>
      </c>
      <c r="I212" s="65">
        <f>CHOOSE(Plan!$K$5,'Calc Smart'!F218,'Calc Avalanche'!F218,'Calc Snowball'!F218,'Calc Cashflow'!F218)</f>
        <v/>
      </c>
      <c r="J212" s="65">
        <f>CHOOSE(Plan!$K$5,'Calc Smart'!G218,'Calc Avalanche'!G218,'Calc Snowball'!G218,'Calc Cashflow'!G218)</f>
        <v/>
      </c>
      <c r="K212" s="65">
        <f>CHOOSE(Plan!$K$5,'Calc Smart'!H218,'Calc Avalanche'!H218,'Calc Snowball'!H218,'Calc Cashflow'!H218)</f>
        <v/>
      </c>
      <c r="L212" s="65">
        <f>CHOOSE(Plan!$K$5,'Calc Smart'!I218,'Calc Avalanche'!I218,'Calc Snowball'!I218,'Calc Cashflow'!I218)</f>
        <v/>
      </c>
      <c r="M212" s="65">
        <f>CHOOSE(Plan!$K$5,'Calc Smart'!J218,'Calc Avalanche'!J218,'Calc Snowball'!J218,'Calc Cashflow'!J218)</f>
        <v/>
      </c>
      <c r="N212" s="65">
        <f>CHOOSE(Plan!$K$5,'Calc Smart'!K218,'Calc Avalanche'!K218,'Calc Snowball'!K218,'Calc Cashflow'!K218)</f>
        <v/>
      </c>
      <c r="O212" s="65">
        <f>CHOOSE(Plan!$K$5,'Calc Smart'!L218,'Calc Avalanche'!L218,'Calc Snowball'!L218,'Calc Cashflow'!L218)</f>
        <v/>
      </c>
      <c r="P212" s="65">
        <f>CHOOSE(Plan!$K$5,'Calc Smart'!M218,'Calc Avalanche'!M218,'Calc Snowball'!M218,'Calc Cashflow'!M218)</f>
        <v/>
      </c>
      <c r="Q212" s="65">
        <f>CHOOSE(Plan!$K$5,'Calc Smart'!N218,'Calc Avalanche'!N218,'Calc Snowball'!N218,'Calc Cashflow'!N218)</f>
        <v/>
      </c>
    </row>
    <row r="213">
      <c r="B213" s="66">
        <f>EDATE(Plan!$C$6,207)</f>
        <v/>
      </c>
      <c r="C213" s="32">
        <f>CHOOSE(Plan!$K$5,'Calc Smart'!AE219,'Calc Avalanche'!AE219,'Calc Snowball'!AE219,'Calc Cashflow'!AE219)</f>
        <v/>
      </c>
      <c r="D213" s="32">
        <f>CHOOSE(Plan!$K$5,'Calc Smart'!AD219,'Calc Avalanche'!AD219,'Calc Snowball'!AD219,'Calc Cashflow'!AD219)</f>
        <v/>
      </c>
      <c r="E213" s="43">
        <f>CHOOSE(Plan!$K$5,COUNTIF('Calc Smart'!C219:N219,"&gt;0"),COUNTIF('Calc Avalanche'!C219:N219,"&gt;0"),COUNTIF('Calc Snowball'!C219:N219,"&gt;0"),COUNTIF('Calc Cashflow'!C219:N219,"&gt;0"))</f>
        <v/>
      </c>
      <c r="F213" s="67">
        <f>CHOOSE(Plan!$K$5,'Calc Smart'!C219,'Calc Avalanche'!C219,'Calc Snowball'!C219,'Calc Cashflow'!C219)</f>
        <v/>
      </c>
      <c r="G213" s="67">
        <f>CHOOSE(Plan!$K$5,'Calc Smart'!D219,'Calc Avalanche'!D219,'Calc Snowball'!D219,'Calc Cashflow'!D219)</f>
        <v/>
      </c>
      <c r="H213" s="67">
        <f>CHOOSE(Plan!$K$5,'Calc Smart'!E219,'Calc Avalanche'!E219,'Calc Snowball'!E219,'Calc Cashflow'!E219)</f>
        <v/>
      </c>
      <c r="I213" s="67">
        <f>CHOOSE(Plan!$K$5,'Calc Smart'!F219,'Calc Avalanche'!F219,'Calc Snowball'!F219,'Calc Cashflow'!F219)</f>
        <v/>
      </c>
      <c r="J213" s="67">
        <f>CHOOSE(Plan!$K$5,'Calc Smart'!G219,'Calc Avalanche'!G219,'Calc Snowball'!G219,'Calc Cashflow'!G219)</f>
        <v/>
      </c>
      <c r="K213" s="67">
        <f>CHOOSE(Plan!$K$5,'Calc Smart'!H219,'Calc Avalanche'!H219,'Calc Snowball'!H219,'Calc Cashflow'!H219)</f>
        <v/>
      </c>
      <c r="L213" s="67">
        <f>CHOOSE(Plan!$K$5,'Calc Smart'!I219,'Calc Avalanche'!I219,'Calc Snowball'!I219,'Calc Cashflow'!I219)</f>
        <v/>
      </c>
      <c r="M213" s="67">
        <f>CHOOSE(Plan!$K$5,'Calc Smart'!J219,'Calc Avalanche'!J219,'Calc Snowball'!J219,'Calc Cashflow'!J219)</f>
        <v/>
      </c>
      <c r="N213" s="67">
        <f>CHOOSE(Plan!$K$5,'Calc Smart'!K219,'Calc Avalanche'!K219,'Calc Snowball'!K219,'Calc Cashflow'!K219)</f>
        <v/>
      </c>
      <c r="O213" s="67">
        <f>CHOOSE(Plan!$K$5,'Calc Smart'!L219,'Calc Avalanche'!L219,'Calc Snowball'!L219,'Calc Cashflow'!L219)</f>
        <v/>
      </c>
      <c r="P213" s="67">
        <f>CHOOSE(Plan!$K$5,'Calc Smart'!M219,'Calc Avalanche'!M219,'Calc Snowball'!M219,'Calc Cashflow'!M219)</f>
        <v/>
      </c>
      <c r="Q213" s="67">
        <f>CHOOSE(Plan!$K$5,'Calc Smart'!N219,'Calc Avalanche'!N219,'Calc Snowball'!N219,'Calc Cashflow'!N219)</f>
        <v/>
      </c>
    </row>
    <row r="214">
      <c r="B214" s="64">
        <f>EDATE(Plan!$C$6,208)</f>
        <v/>
      </c>
      <c r="C214" s="31">
        <f>CHOOSE(Plan!$K$5,'Calc Smart'!AE220,'Calc Avalanche'!AE220,'Calc Snowball'!AE220,'Calc Cashflow'!AE220)</f>
        <v/>
      </c>
      <c r="D214" s="31">
        <f>CHOOSE(Plan!$K$5,'Calc Smart'!AD220,'Calc Avalanche'!AD220,'Calc Snowball'!AD220,'Calc Cashflow'!AD220)</f>
        <v/>
      </c>
      <c r="E214" s="40">
        <f>CHOOSE(Plan!$K$5,COUNTIF('Calc Smart'!C220:N220,"&gt;0"),COUNTIF('Calc Avalanche'!C220:N220,"&gt;0"),COUNTIF('Calc Snowball'!C220:N220,"&gt;0"),COUNTIF('Calc Cashflow'!C220:N220,"&gt;0"))</f>
        <v/>
      </c>
      <c r="F214" s="65">
        <f>CHOOSE(Plan!$K$5,'Calc Smart'!C220,'Calc Avalanche'!C220,'Calc Snowball'!C220,'Calc Cashflow'!C220)</f>
        <v/>
      </c>
      <c r="G214" s="65">
        <f>CHOOSE(Plan!$K$5,'Calc Smart'!D220,'Calc Avalanche'!D220,'Calc Snowball'!D220,'Calc Cashflow'!D220)</f>
        <v/>
      </c>
      <c r="H214" s="65">
        <f>CHOOSE(Plan!$K$5,'Calc Smart'!E220,'Calc Avalanche'!E220,'Calc Snowball'!E220,'Calc Cashflow'!E220)</f>
        <v/>
      </c>
      <c r="I214" s="65">
        <f>CHOOSE(Plan!$K$5,'Calc Smart'!F220,'Calc Avalanche'!F220,'Calc Snowball'!F220,'Calc Cashflow'!F220)</f>
        <v/>
      </c>
      <c r="J214" s="65">
        <f>CHOOSE(Plan!$K$5,'Calc Smart'!G220,'Calc Avalanche'!G220,'Calc Snowball'!G220,'Calc Cashflow'!G220)</f>
        <v/>
      </c>
      <c r="K214" s="65">
        <f>CHOOSE(Plan!$K$5,'Calc Smart'!H220,'Calc Avalanche'!H220,'Calc Snowball'!H220,'Calc Cashflow'!H220)</f>
        <v/>
      </c>
      <c r="L214" s="65">
        <f>CHOOSE(Plan!$K$5,'Calc Smart'!I220,'Calc Avalanche'!I220,'Calc Snowball'!I220,'Calc Cashflow'!I220)</f>
        <v/>
      </c>
      <c r="M214" s="65">
        <f>CHOOSE(Plan!$K$5,'Calc Smart'!J220,'Calc Avalanche'!J220,'Calc Snowball'!J220,'Calc Cashflow'!J220)</f>
        <v/>
      </c>
      <c r="N214" s="65">
        <f>CHOOSE(Plan!$K$5,'Calc Smart'!K220,'Calc Avalanche'!K220,'Calc Snowball'!K220,'Calc Cashflow'!K220)</f>
        <v/>
      </c>
      <c r="O214" s="65">
        <f>CHOOSE(Plan!$K$5,'Calc Smart'!L220,'Calc Avalanche'!L220,'Calc Snowball'!L220,'Calc Cashflow'!L220)</f>
        <v/>
      </c>
      <c r="P214" s="65">
        <f>CHOOSE(Plan!$K$5,'Calc Smart'!M220,'Calc Avalanche'!M220,'Calc Snowball'!M220,'Calc Cashflow'!M220)</f>
        <v/>
      </c>
      <c r="Q214" s="65">
        <f>CHOOSE(Plan!$K$5,'Calc Smart'!N220,'Calc Avalanche'!N220,'Calc Snowball'!N220,'Calc Cashflow'!N220)</f>
        <v/>
      </c>
    </row>
    <row r="215">
      <c r="B215" s="66">
        <f>EDATE(Plan!$C$6,209)</f>
        <v/>
      </c>
      <c r="C215" s="32">
        <f>CHOOSE(Plan!$K$5,'Calc Smart'!AE221,'Calc Avalanche'!AE221,'Calc Snowball'!AE221,'Calc Cashflow'!AE221)</f>
        <v/>
      </c>
      <c r="D215" s="32">
        <f>CHOOSE(Plan!$K$5,'Calc Smart'!AD221,'Calc Avalanche'!AD221,'Calc Snowball'!AD221,'Calc Cashflow'!AD221)</f>
        <v/>
      </c>
      <c r="E215" s="43">
        <f>CHOOSE(Plan!$K$5,COUNTIF('Calc Smart'!C221:N221,"&gt;0"),COUNTIF('Calc Avalanche'!C221:N221,"&gt;0"),COUNTIF('Calc Snowball'!C221:N221,"&gt;0"),COUNTIF('Calc Cashflow'!C221:N221,"&gt;0"))</f>
        <v/>
      </c>
      <c r="F215" s="67">
        <f>CHOOSE(Plan!$K$5,'Calc Smart'!C221,'Calc Avalanche'!C221,'Calc Snowball'!C221,'Calc Cashflow'!C221)</f>
        <v/>
      </c>
      <c r="G215" s="67">
        <f>CHOOSE(Plan!$K$5,'Calc Smart'!D221,'Calc Avalanche'!D221,'Calc Snowball'!D221,'Calc Cashflow'!D221)</f>
        <v/>
      </c>
      <c r="H215" s="67">
        <f>CHOOSE(Plan!$K$5,'Calc Smart'!E221,'Calc Avalanche'!E221,'Calc Snowball'!E221,'Calc Cashflow'!E221)</f>
        <v/>
      </c>
      <c r="I215" s="67">
        <f>CHOOSE(Plan!$K$5,'Calc Smart'!F221,'Calc Avalanche'!F221,'Calc Snowball'!F221,'Calc Cashflow'!F221)</f>
        <v/>
      </c>
      <c r="J215" s="67">
        <f>CHOOSE(Plan!$K$5,'Calc Smart'!G221,'Calc Avalanche'!G221,'Calc Snowball'!G221,'Calc Cashflow'!G221)</f>
        <v/>
      </c>
      <c r="K215" s="67">
        <f>CHOOSE(Plan!$K$5,'Calc Smart'!H221,'Calc Avalanche'!H221,'Calc Snowball'!H221,'Calc Cashflow'!H221)</f>
        <v/>
      </c>
      <c r="L215" s="67">
        <f>CHOOSE(Plan!$K$5,'Calc Smart'!I221,'Calc Avalanche'!I221,'Calc Snowball'!I221,'Calc Cashflow'!I221)</f>
        <v/>
      </c>
      <c r="M215" s="67">
        <f>CHOOSE(Plan!$K$5,'Calc Smart'!J221,'Calc Avalanche'!J221,'Calc Snowball'!J221,'Calc Cashflow'!J221)</f>
        <v/>
      </c>
      <c r="N215" s="67">
        <f>CHOOSE(Plan!$K$5,'Calc Smart'!K221,'Calc Avalanche'!K221,'Calc Snowball'!K221,'Calc Cashflow'!K221)</f>
        <v/>
      </c>
      <c r="O215" s="67">
        <f>CHOOSE(Plan!$K$5,'Calc Smart'!L221,'Calc Avalanche'!L221,'Calc Snowball'!L221,'Calc Cashflow'!L221)</f>
        <v/>
      </c>
      <c r="P215" s="67">
        <f>CHOOSE(Plan!$K$5,'Calc Smart'!M221,'Calc Avalanche'!M221,'Calc Snowball'!M221,'Calc Cashflow'!M221)</f>
        <v/>
      </c>
      <c r="Q215" s="67">
        <f>CHOOSE(Plan!$K$5,'Calc Smart'!N221,'Calc Avalanche'!N221,'Calc Snowball'!N221,'Calc Cashflow'!N221)</f>
        <v/>
      </c>
    </row>
    <row r="216">
      <c r="B216" s="64">
        <f>EDATE(Plan!$C$6,210)</f>
        <v/>
      </c>
      <c r="C216" s="31">
        <f>CHOOSE(Plan!$K$5,'Calc Smart'!AE222,'Calc Avalanche'!AE222,'Calc Snowball'!AE222,'Calc Cashflow'!AE222)</f>
        <v/>
      </c>
      <c r="D216" s="31">
        <f>CHOOSE(Plan!$K$5,'Calc Smart'!AD222,'Calc Avalanche'!AD222,'Calc Snowball'!AD222,'Calc Cashflow'!AD222)</f>
        <v/>
      </c>
      <c r="E216" s="40">
        <f>CHOOSE(Plan!$K$5,COUNTIF('Calc Smart'!C222:N222,"&gt;0"),COUNTIF('Calc Avalanche'!C222:N222,"&gt;0"),COUNTIF('Calc Snowball'!C222:N222,"&gt;0"),COUNTIF('Calc Cashflow'!C222:N222,"&gt;0"))</f>
        <v/>
      </c>
      <c r="F216" s="65">
        <f>CHOOSE(Plan!$K$5,'Calc Smart'!C222,'Calc Avalanche'!C222,'Calc Snowball'!C222,'Calc Cashflow'!C222)</f>
        <v/>
      </c>
      <c r="G216" s="65">
        <f>CHOOSE(Plan!$K$5,'Calc Smart'!D222,'Calc Avalanche'!D222,'Calc Snowball'!D222,'Calc Cashflow'!D222)</f>
        <v/>
      </c>
      <c r="H216" s="65">
        <f>CHOOSE(Plan!$K$5,'Calc Smart'!E222,'Calc Avalanche'!E222,'Calc Snowball'!E222,'Calc Cashflow'!E222)</f>
        <v/>
      </c>
      <c r="I216" s="65">
        <f>CHOOSE(Plan!$K$5,'Calc Smart'!F222,'Calc Avalanche'!F222,'Calc Snowball'!F222,'Calc Cashflow'!F222)</f>
        <v/>
      </c>
      <c r="J216" s="65">
        <f>CHOOSE(Plan!$K$5,'Calc Smart'!G222,'Calc Avalanche'!G222,'Calc Snowball'!G222,'Calc Cashflow'!G222)</f>
        <v/>
      </c>
      <c r="K216" s="65">
        <f>CHOOSE(Plan!$K$5,'Calc Smart'!H222,'Calc Avalanche'!H222,'Calc Snowball'!H222,'Calc Cashflow'!H222)</f>
        <v/>
      </c>
      <c r="L216" s="65">
        <f>CHOOSE(Plan!$K$5,'Calc Smart'!I222,'Calc Avalanche'!I222,'Calc Snowball'!I222,'Calc Cashflow'!I222)</f>
        <v/>
      </c>
      <c r="M216" s="65">
        <f>CHOOSE(Plan!$K$5,'Calc Smart'!J222,'Calc Avalanche'!J222,'Calc Snowball'!J222,'Calc Cashflow'!J222)</f>
        <v/>
      </c>
      <c r="N216" s="65">
        <f>CHOOSE(Plan!$K$5,'Calc Smart'!K222,'Calc Avalanche'!K222,'Calc Snowball'!K222,'Calc Cashflow'!K222)</f>
        <v/>
      </c>
      <c r="O216" s="65">
        <f>CHOOSE(Plan!$K$5,'Calc Smart'!L222,'Calc Avalanche'!L222,'Calc Snowball'!L222,'Calc Cashflow'!L222)</f>
        <v/>
      </c>
      <c r="P216" s="65">
        <f>CHOOSE(Plan!$K$5,'Calc Smart'!M222,'Calc Avalanche'!M222,'Calc Snowball'!M222,'Calc Cashflow'!M222)</f>
        <v/>
      </c>
      <c r="Q216" s="65">
        <f>CHOOSE(Plan!$K$5,'Calc Smart'!N222,'Calc Avalanche'!N222,'Calc Snowball'!N222,'Calc Cashflow'!N222)</f>
        <v/>
      </c>
    </row>
    <row r="217">
      <c r="B217" s="66">
        <f>EDATE(Plan!$C$6,211)</f>
        <v/>
      </c>
      <c r="C217" s="32">
        <f>CHOOSE(Plan!$K$5,'Calc Smart'!AE223,'Calc Avalanche'!AE223,'Calc Snowball'!AE223,'Calc Cashflow'!AE223)</f>
        <v/>
      </c>
      <c r="D217" s="32">
        <f>CHOOSE(Plan!$K$5,'Calc Smart'!AD223,'Calc Avalanche'!AD223,'Calc Snowball'!AD223,'Calc Cashflow'!AD223)</f>
        <v/>
      </c>
      <c r="E217" s="43">
        <f>CHOOSE(Plan!$K$5,COUNTIF('Calc Smart'!C223:N223,"&gt;0"),COUNTIF('Calc Avalanche'!C223:N223,"&gt;0"),COUNTIF('Calc Snowball'!C223:N223,"&gt;0"),COUNTIF('Calc Cashflow'!C223:N223,"&gt;0"))</f>
        <v/>
      </c>
      <c r="F217" s="67">
        <f>CHOOSE(Plan!$K$5,'Calc Smart'!C223,'Calc Avalanche'!C223,'Calc Snowball'!C223,'Calc Cashflow'!C223)</f>
        <v/>
      </c>
      <c r="G217" s="67">
        <f>CHOOSE(Plan!$K$5,'Calc Smart'!D223,'Calc Avalanche'!D223,'Calc Snowball'!D223,'Calc Cashflow'!D223)</f>
        <v/>
      </c>
      <c r="H217" s="67">
        <f>CHOOSE(Plan!$K$5,'Calc Smart'!E223,'Calc Avalanche'!E223,'Calc Snowball'!E223,'Calc Cashflow'!E223)</f>
        <v/>
      </c>
      <c r="I217" s="67">
        <f>CHOOSE(Plan!$K$5,'Calc Smart'!F223,'Calc Avalanche'!F223,'Calc Snowball'!F223,'Calc Cashflow'!F223)</f>
        <v/>
      </c>
      <c r="J217" s="67">
        <f>CHOOSE(Plan!$K$5,'Calc Smart'!G223,'Calc Avalanche'!G223,'Calc Snowball'!G223,'Calc Cashflow'!G223)</f>
        <v/>
      </c>
      <c r="K217" s="67">
        <f>CHOOSE(Plan!$K$5,'Calc Smart'!H223,'Calc Avalanche'!H223,'Calc Snowball'!H223,'Calc Cashflow'!H223)</f>
        <v/>
      </c>
      <c r="L217" s="67">
        <f>CHOOSE(Plan!$K$5,'Calc Smart'!I223,'Calc Avalanche'!I223,'Calc Snowball'!I223,'Calc Cashflow'!I223)</f>
        <v/>
      </c>
      <c r="M217" s="67">
        <f>CHOOSE(Plan!$K$5,'Calc Smart'!J223,'Calc Avalanche'!J223,'Calc Snowball'!J223,'Calc Cashflow'!J223)</f>
        <v/>
      </c>
      <c r="N217" s="67">
        <f>CHOOSE(Plan!$K$5,'Calc Smart'!K223,'Calc Avalanche'!K223,'Calc Snowball'!K223,'Calc Cashflow'!K223)</f>
        <v/>
      </c>
      <c r="O217" s="67">
        <f>CHOOSE(Plan!$K$5,'Calc Smart'!L223,'Calc Avalanche'!L223,'Calc Snowball'!L223,'Calc Cashflow'!L223)</f>
        <v/>
      </c>
      <c r="P217" s="67">
        <f>CHOOSE(Plan!$K$5,'Calc Smart'!M223,'Calc Avalanche'!M223,'Calc Snowball'!M223,'Calc Cashflow'!M223)</f>
        <v/>
      </c>
      <c r="Q217" s="67">
        <f>CHOOSE(Plan!$K$5,'Calc Smart'!N223,'Calc Avalanche'!N223,'Calc Snowball'!N223,'Calc Cashflow'!N223)</f>
        <v/>
      </c>
    </row>
    <row r="218">
      <c r="B218" s="64">
        <f>EDATE(Plan!$C$6,212)</f>
        <v/>
      </c>
      <c r="C218" s="31">
        <f>CHOOSE(Plan!$K$5,'Calc Smart'!AE224,'Calc Avalanche'!AE224,'Calc Snowball'!AE224,'Calc Cashflow'!AE224)</f>
        <v/>
      </c>
      <c r="D218" s="31">
        <f>CHOOSE(Plan!$K$5,'Calc Smart'!AD224,'Calc Avalanche'!AD224,'Calc Snowball'!AD224,'Calc Cashflow'!AD224)</f>
        <v/>
      </c>
      <c r="E218" s="40">
        <f>CHOOSE(Plan!$K$5,COUNTIF('Calc Smart'!C224:N224,"&gt;0"),COUNTIF('Calc Avalanche'!C224:N224,"&gt;0"),COUNTIF('Calc Snowball'!C224:N224,"&gt;0"),COUNTIF('Calc Cashflow'!C224:N224,"&gt;0"))</f>
        <v/>
      </c>
      <c r="F218" s="65">
        <f>CHOOSE(Plan!$K$5,'Calc Smart'!C224,'Calc Avalanche'!C224,'Calc Snowball'!C224,'Calc Cashflow'!C224)</f>
        <v/>
      </c>
      <c r="G218" s="65">
        <f>CHOOSE(Plan!$K$5,'Calc Smart'!D224,'Calc Avalanche'!D224,'Calc Snowball'!D224,'Calc Cashflow'!D224)</f>
        <v/>
      </c>
      <c r="H218" s="65">
        <f>CHOOSE(Plan!$K$5,'Calc Smart'!E224,'Calc Avalanche'!E224,'Calc Snowball'!E224,'Calc Cashflow'!E224)</f>
        <v/>
      </c>
      <c r="I218" s="65">
        <f>CHOOSE(Plan!$K$5,'Calc Smart'!F224,'Calc Avalanche'!F224,'Calc Snowball'!F224,'Calc Cashflow'!F224)</f>
        <v/>
      </c>
      <c r="J218" s="65">
        <f>CHOOSE(Plan!$K$5,'Calc Smart'!G224,'Calc Avalanche'!G224,'Calc Snowball'!G224,'Calc Cashflow'!G224)</f>
        <v/>
      </c>
      <c r="K218" s="65">
        <f>CHOOSE(Plan!$K$5,'Calc Smart'!H224,'Calc Avalanche'!H224,'Calc Snowball'!H224,'Calc Cashflow'!H224)</f>
        <v/>
      </c>
      <c r="L218" s="65">
        <f>CHOOSE(Plan!$K$5,'Calc Smart'!I224,'Calc Avalanche'!I224,'Calc Snowball'!I224,'Calc Cashflow'!I224)</f>
        <v/>
      </c>
      <c r="M218" s="65">
        <f>CHOOSE(Plan!$K$5,'Calc Smart'!J224,'Calc Avalanche'!J224,'Calc Snowball'!J224,'Calc Cashflow'!J224)</f>
        <v/>
      </c>
      <c r="N218" s="65">
        <f>CHOOSE(Plan!$K$5,'Calc Smart'!K224,'Calc Avalanche'!K224,'Calc Snowball'!K224,'Calc Cashflow'!K224)</f>
        <v/>
      </c>
      <c r="O218" s="65">
        <f>CHOOSE(Plan!$K$5,'Calc Smart'!L224,'Calc Avalanche'!L224,'Calc Snowball'!L224,'Calc Cashflow'!L224)</f>
        <v/>
      </c>
      <c r="P218" s="65">
        <f>CHOOSE(Plan!$K$5,'Calc Smart'!M224,'Calc Avalanche'!M224,'Calc Snowball'!M224,'Calc Cashflow'!M224)</f>
        <v/>
      </c>
      <c r="Q218" s="65">
        <f>CHOOSE(Plan!$K$5,'Calc Smart'!N224,'Calc Avalanche'!N224,'Calc Snowball'!N224,'Calc Cashflow'!N224)</f>
        <v/>
      </c>
    </row>
    <row r="219">
      <c r="B219" s="66">
        <f>EDATE(Plan!$C$6,213)</f>
        <v/>
      </c>
      <c r="C219" s="32">
        <f>CHOOSE(Plan!$K$5,'Calc Smart'!AE225,'Calc Avalanche'!AE225,'Calc Snowball'!AE225,'Calc Cashflow'!AE225)</f>
        <v/>
      </c>
      <c r="D219" s="32">
        <f>CHOOSE(Plan!$K$5,'Calc Smart'!AD225,'Calc Avalanche'!AD225,'Calc Snowball'!AD225,'Calc Cashflow'!AD225)</f>
        <v/>
      </c>
      <c r="E219" s="43">
        <f>CHOOSE(Plan!$K$5,COUNTIF('Calc Smart'!C225:N225,"&gt;0"),COUNTIF('Calc Avalanche'!C225:N225,"&gt;0"),COUNTIF('Calc Snowball'!C225:N225,"&gt;0"),COUNTIF('Calc Cashflow'!C225:N225,"&gt;0"))</f>
        <v/>
      </c>
      <c r="F219" s="67">
        <f>CHOOSE(Plan!$K$5,'Calc Smart'!C225,'Calc Avalanche'!C225,'Calc Snowball'!C225,'Calc Cashflow'!C225)</f>
        <v/>
      </c>
      <c r="G219" s="67">
        <f>CHOOSE(Plan!$K$5,'Calc Smart'!D225,'Calc Avalanche'!D225,'Calc Snowball'!D225,'Calc Cashflow'!D225)</f>
        <v/>
      </c>
      <c r="H219" s="67">
        <f>CHOOSE(Plan!$K$5,'Calc Smart'!E225,'Calc Avalanche'!E225,'Calc Snowball'!E225,'Calc Cashflow'!E225)</f>
        <v/>
      </c>
      <c r="I219" s="67">
        <f>CHOOSE(Plan!$K$5,'Calc Smart'!F225,'Calc Avalanche'!F225,'Calc Snowball'!F225,'Calc Cashflow'!F225)</f>
        <v/>
      </c>
      <c r="J219" s="67">
        <f>CHOOSE(Plan!$K$5,'Calc Smart'!G225,'Calc Avalanche'!G225,'Calc Snowball'!G225,'Calc Cashflow'!G225)</f>
        <v/>
      </c>
      <c r="K219" s="67">
        <f>CHOOSE(Plan!$K$5,'Calc Smart'!H225,'Calc Avalanche'!H225,'Calc Snowball'!H225,'Calc Cashflow'!H225)</f>
        <v/>
      </c>
      <c r="L219" s="67">
        <f>CHOOSE(Plan!$K$5,'Calc Smart'!I225,'Calc Avalanche'!I225,'Calc Snowball'!I225,'Calc Cashflow'!I225)</f>
        <v/>
      </c>
      <c r="M219" s="67">
        <f>CHOOSE(Plan!$K$5,'Calc Smart'!J225,'Calc Avalanche'!J225,'Calc Snowball'!J225,'Calc Cashflow'!J225)</f>
        <v/>
      </c>
      <c r="N219" s="67">
        <f>CHOOSE(Plan!$K$5,'Calc Smart'!K225,'Calc Avalanche'!K225,'Calc Snowball'!K225,'Calc Cashflow'!K225)</f>
        <v/>
      </c>
      <c r="O219" s="67">
        <f>CHOOSE(Plan!$K$5,'Calc Smart'!L225,'Calc Avalanche'!L225,'Calc Snowball'!L225,'Calc Cashflow'!L225)</f>
        <v/>
      </c>
      <c r="P219" s="67">
        <f>CHOOSE(Plan!$K$5,'Calc Smart'!M225,'Calc Avalanche'!M225,'Calc Snowball'!M225,'Calc Cashflow'!M225)</f>
        <v/>
      </c>
      <c r="Q219" s="67">
        <f>CHOOSE(Plan!$K$5,'Calc Smart'!N225,'Calc Avalanche'!N225,'Calc Snowball'!N225,'Calc Cashflow'!N225)</f>
        <v/>
      </c>
    </row>
    <row r="220">
      <c r="B220" s="64">
        <f>EDATE(Plan!$C$6,214)</f>
        <v/>
      </c>
      <c r="C220" s="31">
        <f>CHOOSE(Plan!$K$5,'Calc Smart'!AE226,'Calc Avalanche'!AE226,'Calc Snowball'!AE226,'Calc Cashflow'!AE226)</f>
        <v/>
      </c>
      <c r="D220" s="31">
        <f>CHOOSE(Plan!$K$5,'Calc Smart'!AD226,'Calc Avalanche'!AD226,'Calc Snowball'!AD226,'Calc Cashflow'!AD226)</f>
        <v/>
      </c>
      <c r="E220" s="40">
        <f>CHOOSE(Plan!$K$5,COUNTIF('Calc Smart'!C226:N226,"&gt;0"),COUNTIF('Calc Avalanche'!C226:N226,"&gt;0"),COUNTIF('Calc Snowball'!C226:N226,"&gt;0"),COUNTIF('Calc Cashflow'!C226:N226,"&gt;0"))</f>
        <v/>
      </c>
      <c r="F220" s="65">
        <f>CHOOSE(Plan!$K$5,'Calc Smart'!C226,'Calc Avalanche'!C226,'Calc Snowball'!C226,'Calc Cashflow'!C226)</f>
        <v/>
      </c>
      <c r="G220" s="65">
        <f>CHOOSE(Plan!$K$5,'Calc Smart'!D226,'Calc Avalanche'!D226,'Calc Snowball'!D226,'Calc Cashflow'!D226)</f>
        <v/>
      </c>
      <c r="H220" s="65">
        <f>CHOOSE(Plan!$K$5,'Calc Smart'!E226,'Calc Avalanche'!E226,'Calc Snowball'!E226,'Calc Cashflow'!E226)</f>
        <v/>
      </c>
      <c r="I220" s="65">
        <f>CHOOSE(Plan!$K$5,'Calc Smart'!F226,'Calc Avalanche'!F226,'Calc Snowball'!F226,'Calc Cashflow'!F226)</f>
        <v/>
      </c>
      <c r="J220" s="65">
        <f>CHOOSE(Plan!$K$5,'Calc Smart'!G226,'Calc Avalanche'!G226,'Calc Snowball'!G226,'Calc Cashflow'!G226)</f>
        <v/>
      </c>
      <c r="K220" s="65">
        <f>CHOOSE(Plan!$K$5,'Calc Smart'!H226,'Calc Avalanche'!H226,'Calc Snowball'!H226,'Calc Cashflow'!H226)</f>
        <v/>
      </c>
      <c r="L220" s="65">
        <f>CHOOSE(Plan!$K$5,'Calc Smart'!I226,'Calc Avalanche'!I226,'Calc Snowball'!I226,'Calc Cashflow'!I226)</f>
        <v/>
      </c>
      <c r="M220" s="65">
        <f>CHOOSE(Plan!$K$5,'Calc Smart'!J226,'Calc Avalanche'!J226,'Calc Snowball'!J226,'Calc Cashflow'!J226)</f>
        <v/>
      </c>
      <c r="N220" s="65">
        <f>CHOOSE(Plan!$K$5,'Calc Smart'!K226,'Calc Avalanche'!K226,'Calc Snowball'!K226,'Calc Cashflow'!K226)</f>
        <v/>
      </c>
      <c r="O220" s="65">
        <f>CHOOSE(Plan!$K$5,'Calc Smart'!L226,'Calc Avalanche'!L226,'Calc Snowball'!L226,'Calc Cashflow'!L226)</f>
        <v/>
      </c>
      <c r="P220" s="65">
        <f>CHOOSE(Plan!$K$5,'Calc Smart'!M226,'Calc Avalanche'!M226,'Calc Snowball'!M226,'Calc Cashflow'!M226)</f>
        <v/>
      </c>
      <c r="Q220" s="65">
        <f>CHOOSE(Plan!$K$5,'Calc Smart'!N226,'Calc Avalanche'!N226,'Calc Snowball'!N226,'Calc Cashflow'!N226)</f>
        <v/>
      </c>
    </row>
    <row r="221">
      <c r="B221" s="66">
        <f>EDATE(Plan!$C$6,215)</f>
        <v/>
      </c>
      <c r="C221" s="32">
        <f>CHOOSE(Plan!$K$5,'Calc Smart'!AE227,'Calc Avalanche'!AE227,'Calc Snowball'!AE227,'Calc Cashflow'!AE227)</f>
        <v/>
      </c>
      <c r="D221" s="32">
        <f>CHOOSE(Plan!$K$5,'Calc Smart'!AD227,'Calc Avalanche'!AD227,'Calc Snowball'!AD227,'Calc Cashflow'!AD227)</f>
        <v/>
      </c>
      <c r="E221" s="43">
        <f>CHOOSE(Plan!$K$5,COUNTIF('Calc Smart'!C227:N227,"&gt;0"),COUNTIF('Calc Avalanche'!C227:N227,"&gt;0"),COUNTIF('Calc Snowball'!C227:N227,"&gt;0"),COUNTIF('Calc Cashflow'!C227:N227,"&gt;0"))</f>
        <v/>
      </c>
      <c r="F221" s="67">
        <f>CHOOSE(Plan!$K$5,'Calc Smart'!C227,'Calc Avalanche'!C227,'Calc Snowball'!C227,'Calc Cashflow'!C227)</f>
        <v/>
      </c>
      <c r="G221" s="67">
        <f>CHOOSE(Plan!$K$5,'Calc Smart'!D227,'Calc Avalanche'!D227,'Calc Snowball'!D227,'Calc Cashflow'!D227)</f>
        <v/>
      </c>
      <c r="H221" s="67">
        <f>CHOOSE(Plan!$K$5,'Calc Smart'!E227,'Calc Avalanche'!E227,'Calc Snowball'!E227,'Calc Cashflow'!E227)</f>
        <v/>
      </c>
      <c r="I221" s="67">
        <f>CHOOSE(Plan!$K$5,'Calc Smart'!F227,'Calc Avalanche'!F227,'Calc Snowball'!F227,'Calc Cashflow'!F227)</f>
        <v/>
      </c>
      <c r="J221" s="67">
        <f>CHOOSE(Plan!$K$5,'Calc Smart'!G227,'Calc Avalanche'!G227,'Calc Snowball'!G227,'Calc Cashflow'!G227)</f>
        <v/>
      </c>
      <c r="K221" s="67">
        <f>CHOOSE(Plan!$K$5,'Calc Smart'!H227,'Calc Avalanche'!H227,'Calc Snowball'!H227,'Calc Cashflow'!H227)</f>
        <v/>
      </c>
      <c r="L221" s="67">
        <f>CHOOSE(Plan!$K$5,'Calc Smart'!I227,'Calc Avalanche'!I227,'Calc Snowball'!I227,'Calc Cashflow'!I227)</f>
        <v/>
      </c>
      <c r="M221" s="67">
        <f>CHOOSE(Plan!$K$5,'Calc Smart'!J227,'Calc Avalanche'!J227,'Calc Snowball'!J227,'Calc Cashflow'!J227)</f>
        <v/>
      </c>
      <c r="N221" s="67">
        <f>CHOOSE(Plan!$K$5,'Calc Smart'!K227,'Calc Avalanche'!K227,'Calc Snowball'!K227,'Calc Cashflow'!K227)</f>
        <v/>
      </c>
      <c r="O221" s="67">
        <f>CHOOSE(Plan!$K$5,'Calc Smart'!L227,'Calc Avalanche'!L227,'Calc Snowball'!L227,'Calc Cashflow'!L227)</f>
        <v/>
      </c>
      <c r="P221" s="67">
        <f>CHOOSE(Plan!$K$5,'Calc Smart'!M227,'Calc Avalanche'!M227,'Calc Snowball'!M227,'Calc Cashflow'!M227)</f>
        <v/>
      </c>
      <c r="Q221" s="67">
        <f>CHOOSE(Plan!$K$5,'Calc Smart'!N227,'Calc Avalanche'!N227,'Calc Snowball'!N227,'Calc Cashflow'!N227)</f>
        <v/>
      </c>
    </row>
    <row r="222">
      <c r="B222" s="64">
        <f>EDATE(Plan!$C$6,216)</f>
        <v/>
      </c>
      <c r="C222" s="31">
        <f>CHOOSE(Plan!$K$5,'Calc Smart'!AE228,'Calc Avalanche'!AE228,'Calc Snowball'!AE228,'Calc Cashflow'!AE228)</f>
        <v/>
      </c>
      <c r="D222" s="31">
        <f>CHOOSE(Plan!$K$5,'Calc Smart'!AD228,'Calc Avalanche'!AD228,'Calc Snowball'!AD228,'Calc Cashflow'!AD228)</f>
        <v/>
      </c>
      <c r="E222" s="40">
        <f>CHOOSE(Plan!$K$5,COUNTIF('Calc Smart'!C228:N228,"&gt;0"),COUNTIF('Calc Avalanche'!C228:N228,"&gt;0"),COUNTIF('Calc Snowball'!C228:N228,"&gt;0"),COUNTIF('Calc Cashflow'!C228:N228,"&gt;0"))</f>
        <v/>
      </c>
      <c r="F222" s="65">
        <f>CHOOSE(Plan!$K$5,'Calc Smart'!C228,'Calc Avalanche'!C228,'Calc Snowball'!C228,'Calc Cashflow'!C228)</f>
        <v/>
      </c>
      <c r="G222" s="65">
        <f>CHOOSE(Plan!$K$5,'Calc Smart'!D228,'Calc Avalanche'!D228,'Calc Snowball'!D228,'Calc Cashflow'!D228)</f>
        <v/>
      </c>
      <c r="H222" s="65">
        <f>CHOOSE(Plan!$K$5,'Calc Smart'!E228,'Calc Avalanche'!E228,'Calc Snowball'!E228,'Calc Cashflow'!E228)</f>
        <v/>
      </c>
      <c r="I222" s="65">
        <f>CHOOSE(Plan!$K$5,'Calc Smart'!F228,'Calc Avalanche'!F228,'Calc Snowball'!F228,'Calc Cashflow'!F228)</f>
        <v/>
      </c>
      <c r="J222" s="65">
        <f>CHOOSE(Plan!$K$5,'Calc Smart'!G228,'Calc Avalanche'!G228,'Calc Snowball'!G228,'Calc Cashflow'!G228)</f>
        <v/>
      </c>
      <c r="K222" s="65">
        <f>CHOOSE(Plan!$K$5,'Calc Smart'!H228,'Calc Avalanche'!H228,'Calc Snowball'!H228,'Calc Cashflow'!H228)</f>
        <v/>
      </c>
      <c r="L222" s="65">
        <f>CHOOSE(Plan!$K$5,'Calc Smart'!I228,'Calc Avalanche'!I228,'Calc Snowball'!I228,'Calc Cashflow'!I228)</f>
        <v/>
      </c>
      <c r="M222" s="65">
        <f>CHOOSE(Plan!$K$5,'Calc Smart'!J228,'Calc Avalanche'!J228,'Calc Snowball'!J228,'Calc Cashflow'!J228)</f>
        <v/>
      </c>
      <c r="N222" s="65">
        <f>CHOOSE(Plan!$K$5,'Calc Smart'!K228,'Calc Avalanche'!K228,'Calc Snowball'!K228,'Calc Cashflow'!K228)</f>
        <v/>
      </c>
      <c r="O222" s="65">
        <f>CHOOSE(Plan!$K$5,'Calc Smart'!L228,'Calc Avalanche'!L228,'Calc Snowball'!L228,'Calc Cashflow'!L228)</f>
        <v/>
      </c>
      <c r="P222" s="65">
        <f>CHOOSE(Plan!$K$5,'Calc Smart'!M228,'Calc Avalanche'!M228,'Calc Snowball'!M228,'Calc Cashflow'!M228)</f>
        <v/>
      </c>
      <c r="Q222" s="65">
        <f>CHOOSE(Plan!$K$5,'Calc Smart'!N228,'Calc Avalanche'!N228,'Calc Snowball'!N228,'Calc Cashflow'!N228)</f>
        <v/>
      </c>
    </row>
    <row r="223">
      <c r="B223" s="66">
        <f>EDATE(Plan!$C$6,217)</f>
        <v/>
      </c>
      <c r="C223" s="32">
        <f>CHOOSE(Plan!$K$5,'Calc Smart'!AE229,'Calc Avalanche'!AE229,'Calc Snowball'!AE229,'Calc Cashflow'!AE229)</f>
        <v/>
      </c>
      <c r="D223" s="32">
        <f>CHOOSE(Plan!$K$5,'Calc Smart'!AD229,'Calc Avalanche'!AD229,'Calc Snowball'!AD229,'Calc Cashflow'!AD229)</f>
        <v/>
      </c>
      <c r="E223" s="43">
        <f>CHOOSE(Plan!$K$5,COUNTIF('Calc Smart'!C229:N229,"&gt;0"),COUNTIF('Calc Avalanche'!C229:N229,"&gt;0"),COUNTIF('Calc Snowball'!C229:N229,"&gt;0"),COUNTIF('Calc Cashflow'!C229:N229,"&gt;0"))</f>
        <v/>
      </c>
      <c r="F223" s="67">
        <f>CHOOSE(Plan!$K$5,'Calc Smart'!C229,'Calc Avalanche'!C229,'Calc Snowball'!C229,'Calc Cashflow'!C229)</f>
        <v/>
      </c>
      <c r="G223" s="67">
        <f>CHOOSE(Plan!$K$5,'Calc Smart'!D229,'Calc Avalanche'!D229,'Calc Snowball'!D229,'Calc Cashflow'!D229)</f>
        <v/>
      </c>
      <c r="H223" s="67">
        <f>CHOOSE(Plan!$K$5,'Calc Smart'!E229,'Calc Avalanche'!E229,'Calc Snowball'!E229,'Calc Cashflow'!E229)</f>
        <v/>
      </c>
      <c r="I223" s="67">
        <f>CHOOSE(Plan!$K$5,'Calc Smart'!F229,'Calc Avalanche'!F229,'Calc Snowball'!F229,'Calc Cashflow'!F229)</f>
        <v/>
      </c>
      <c r="J223" s="67">
        <f>CHOOSE(Plan!$K$5,'Calc Smart'!G229,'Calc Avalanche'!G229,'Calc Snowball'!G229,'Calc Cashflow'!G229)</f>
        <v/>
      </c>
      <c r="K223" s="67">
        <f>CHOOSE(Plan!$K$5,'Calc Smart'!H229,'Calc Avalanche'!H229,'Calc Snowball'!H229,'Calc Cashflow'!H229)</f>
        <v/>
      </c>
      <c r="L223" s="67">
        <f>CHOOSE(Plan!$K$5,'Calc Smart'!I229,'Calc Avalanche'!I229,'Calc Snowball'!I229,'Calc Cashflow'!I229)</f>
        <v/>
      </c>
      <c r="M223" s="67">
        <f>CHOOSE(Plan!$K$5,'Calc Smart'!J229,'Calc Avalanche'!J229,'Calc Snowball'!J229,'Calc Cashflow'!J229)</f>
        <v/>
      </c>
      <c r="N223" s="67">
        <f>CHOOSE(Plan!$K$5,'Calc Smart'!K229,'Calc Avalanche'!K229,'Calc Snowball'!K229,'Calc Cashflow'!K229)</f>
        <v/>
      </c>
      <c r="O223" s="67">
        <f>CHOOSE(Plan!$K$5,'Calc Smart'!L229,'Calc Avalanche'!L229,'Calc Snowball'!L229,'Calc Cashflow'!L229)</f>
        <v/>
      </c>
      <c r="P223" s="67">
        <f>CHOOSE(Plan!$K$5,'Calc Smart'!M229,'Calc Avalanche'!M229,'Calc Snowball'!M229,'Calc Cashflow'!M229)</f>
        <v/>
      </c>
      <c r="Q223" s="67">
        <f>CHOOSE(Plan!$K$5,'Calc Smart'!N229,'Calc Avalanche'!N229,'Calc Snowball'!N229,'Calc Cashflow'!N229)</f>
        <v/>
      </c>
    </row>
    <row r="224">
      <c r="B224" s="64">
        <f>EDATE(Plan!$C$6,218)</f>
        <v/>
      </c>
      <c r="C224" s="31">
        <f>CHOOSE(Plan!$K$5,'Calc Smart'!AE230,'Calc Avalanche'!AE230,'Calc Snowball'!AE230,'Calc Cashflow'!AE230)</f>
        <v/>
      </c>
      <c r="D224" s="31">
        <f>CHOOSE(Plan!$K$5,'Calc Smart'!AD230,'Calc Avalanche'!AD230,'Calc Snowball'!AD230,'Calc Cashflow'!AD230)</f>
        <v/>
      </c>
      <c r="E224" s="40">
        <f>CHOOSE(Plan!$K$5,COUNTIF('Calc Smart'!C230:N230,"&gt;0"),COUNTIF('Calc Avalanche'!C230:N230,"&gt;0"),COUNTIF('Calc Snowball'!C230:N230,"&gt;0"),COUNTIF('Calc Cashflow'!C230:N230,"&gt;0"))</f>
        <v/>
      </c>
      <c r="F224" s="65">
        <f>CHOOSE(Plan!$K$5,'Calc Smart'!C230,'Calc Avalanche'!C230,'Calc Snowball'!C230,'Calc Cashflow'!C230)</f>
        <v/>
      </c>
      <c r="G224" s="65">
        <f>CHOOSE(Plan!$K$5,'Calc Smart'!D230,'Calc Avalanche'!D230,'Calc Snowball'!D230,'Calc Cashflow'!D230)</f>
        <v/>
      </c>
      <c r="H224" s="65">
        <f>CHOOSE(Plan!$K$5,'Calc Smart'!E230,'Calc Avalanche'!E230,'Calc Snowball'!E230,'Calc Cashflow'!E230)</f>
        <v/>
      </c>
      <c r="I224" s="65">
        <f>CHOOSE(Plan!$K$5,'Calc Smart'!F230,'Calc Avalanche'!F230,'Calc Snowball'!F230,'Calc Cashflow'!F230)</f>
        <v/>
      </c>
      <c r="J224" s="65">
        <f>CHOOSE(Plan!$K$5,'Calc Smart'!G230,'Calc Avalanche'!G230,'Calc Snowball'!G230,'Calc Cashflow'!G230)</f>
        <v/>
      </c>
      <c r="K224" s="65">
        <f>CHOOSE(Plan!$K$5,'Calc Smart'!H230,'Calc Avalanche'!H230,'Calc Snowball'!H230,'Calc Cashflow'!H230)</f>
        <v/>
      </c>
      <c r="L224" s="65">
        <f>CHOOSE(Plan!$K$5,'Calc Smart'!I230,'Calc Avalanche'!I230,'Calc Snowball'!I230,'Calc Cashflow'!I230)</f>
        <v/>
      </c>
      <c r="M224" s="65">
        <f>CHOOSE(Plan!$K$5,'Calc Smart'!J230,'Calc Avalanche'!J230,'Calc Snowball'!J230,'Calc Cashflow'!J230)</f>
        <v/>
      </c>
      <c r="N224" s="65">
        <f>CHOOSE(Plan!$K$5,'Calc Smart'!K230,'Calc Avalanche'!K230,'Calc Snowball'!K230,'Calc Cashflow'!K230)</f>
        <v/>
      </c>
      <c r="O224" s="65">
        <f>CHOOSE(Plan!$K$5,'Calc Smart'!L230,'Calc Avalanche'!L230,'Calc Snowball'!L230,'Calc Cashflow'!L230)</f>
        <v/>
      </c>
      <c r="P224" s="65">
        <f>CHOOSE(Plan!$K$5,'Calc Smart'!M230,'Calc Avalanche'!M230,'Calc Snowball'!M230,'Calc Cashflow'!M230)</f>
        <v/>
      </c>
      <c r="Q224" s="65">
        <f>CHOOSE(Plan!$K$5,'Calc Smart'!N230,'Calc Avalanche'!N230,'Calc Snowball'!N230,'Calc Cashflow'!N230)</f>
        <v/>
      </c>
    </row>
    <row r="225">
      <c r="B225" s="66">
        <f>EDATE(Plan!$C$6,219)</f>
        <v/>
      </c>
      <c r="C225" s="32">
        <f>CHOOSE(Plan!$K$5,'Calc Smart'!AE231,'Calc Avalanche'!AE231,'Calc Snowball'!AE231,'Calc Cashflow'!AE231)</f>
        <v/>
      </c>
      <c r="D225" s="32">
        <f>CHOOSE(Plan!$K$5,'Calc Smart'!AD231,'Calc Avalanche'!AD231,'Calc Snowball'!AD231,'Calc Cashflow'!AD231)</f>
        <v/>
      </c>
      <c r="E225" s="43">
        <f>CHOOSE(Plan!$K$5,COUNTIF('Calc Smart'!C231:N231,"&gt;0"),COUNTIF('Calc Avalanche'!C231:N231,"&gt;0"),COUNTIF('Calc Snowball'!C231:N231,"&gt;0"),COUNTIF('Calc Cashflow'!C231:N231,"&gt;0"))</f>
        <v/>
      </c>
      <c r="F225" s="67">
        <f>CHOOSE(Plan!$K$5,'Calc Smart'!C231,'Calc Avalanche'!C231,'Calc Snowball'!C231,'Calc Cashflow'!C231)</f>
        <v/>
      </c>
      <c r="G225" s="67">
        <f>CHOOSE(Plan!$K$5,'Calc Smart'!D231,'Calc Avalanche'!D231,'Calc Snowball'!D231,'Calc Cashflow'!D231)</f>
        <v/>
      </c>
      <c r="H225" s="67">
        <f>CHOOSE(Plan!$K$5,'Calc Smart'!E231,'Calc Avalanche'!E231,'Calc Snowball'!E231,'Calc Cashflow'!E231)</f>
        <v/>
      </c>
      <c r="I225" s="67">
        <f>CHOOSE(Plan!$K$5,'Calc Smart'!F231,'Calc Avalanche'!F231,'Calc Snowball'!F231,'Calc Cashflow'!F231)</f>
        <v/>
      </c>
      <c r="J225" s="67">
        <f>CHOOSE(Plan!$K$5,'Calc Smart'!G231,'Calc Avalanche'!G231,'Calc Snowball'!G231,'Calc Cashflow'!G231)</f>
        <v/>
      </c>
      <c r="K225" s="67">
        <f>CHOOSE(Plan!$K$5,'Calc Smart'!H231,'Calc Avalanche'!H231,'Calc Snowball'!H231,'Calc Cashflow'!H231)</f>
        <v/>
      </c>
      <c r="L225" s="67">
        <f>CHOOSE(Plan!$K$5,'Calc Smart'!I231,'Calc Avalanche'!I231,'Calc Snowball'!I231,'Calc Cashflow'!I231)</f>
        <v/>
      </c>
      <c r="M225" s="67">
        <f>CHOOSE(Plan!$K$5,'Calc Smart'!J231,'Calc Avalanche'!J231,'Calc Snowball'!J231,'Calc Cashflow'!J231)</f>
        <v/>
      </c>
      <c r="N225" s="67">
        <f>CHOOSE(Plan!$K$5,'Calc Smart'!K231,'Calc Avalanche'!K231,'Calc Snowball'!K231,'Calc Cashflow'!K231)</f>
        <v/>
      </c>
      <c r="O225" s="67">
        <f>CHOOSE(Plan!$K$5,'Calc Smart'!L231,'Calc Avalanche'!L231,'Calc Snowball'!L231,'Calc Cashflow'!L231)</f>
        <v/>
      </c>
      <c r="P225" s="67">
        <f>CHOOSE(Plan!$K$5,'Calc Smart'!M231,'Calc Avalanche'!M231,'Calc Snowball'!M231,'Calc Cashflow'!M231)</f>
        <v/>
      </c>
      <c r="Q225" s="67">
        <f>CHOOSE(Plan!$K$5,'Calc Smart'!N231,'Calc Avalanche'!N231,'Calc Snowball'!N231,'Calc Cashflow'!N231)</f>
        <v/>
      </c>
    </row>
    <row r="226">
      <c r="B226" s="64">
        <f>EDATE(Plan!$C$6,220)</f>
        <v/>
      </c>
      <c r="C226" s="31">
        <f>CHOOSE(Plan!$K$5,'Calc Smart'!AE232,'Calc Avalanche'!AE232,'Calc Snowball'!AE232,'Calc Cashflow'!AE232)</f>
        <v/>
      </c>
      <c r="D226" s="31">
        <f>CHOOSE(Plan!$K$5,'Calc Smart'!AD232,'Calc Avalanche'!AD232,'Calc Snowball'!AD232,'Calc Cashflow'!AD232)</f>
        <v/>
      </c>
      <c r="E226" s="40">
        <f>CHOOSE(Plan!$K$5,COUNTIF('Calc Smart'!C232:N232,"&gt;0"),COUNTIF('Calc Avalanche'!C232:N232,"&gt;0"),COUNTIF('Calc Snowball'!C232:N232,"&gt;0"),COUNTIF('Calc Cashflow'!C232:N232,"&gt;0"))</f>
        <v/>
      </c>
      <c r="F226" s="65">
        <f>CHOOSE(Plan!$K$5,'Calc Smart'!C232,'Calc Avalanche'!C232,'Calc Snowball'!C232,'Calc Cashflow'!C232)</f>
        <v/>
      </c>
      <c r="G226" s="65">
        <f>CHOOSE(Plan!$K$5,'Calc Smart'!D232,'Calc Avalanche'!D232,'Calc Snowball'!D232,'Calc Cashflow'!D232)</f>
        <v/>
      </c>
      <c r="H226" s="65">
        <f>CHOOSE(Plan!$K$5,'Calc Smart'!E232,'Calc Avalanche'!E232,'Calc Snowball'!E232,'Calc Cashflow'!E232)</f>
        <v/>
      </c>
      <c r="I226" s="65">
        <f>CHOOSE(Plan!$K$5,'Calc Smart'!F232,'Calc Avalanche'!F232,'Calc Snowball'!F232,'Calc Cashflow'!F232)</f>
        <v/>
      </c>
      <c r="J226" s="65">
        <f>CHOOSE(Plan!$K$5,'Calc Smart'!G232,'Calc Avalanche'!G232,'Calc Snowball'!G232,'Calc Cashflow'!G232)</f>
        <v/>
      </c>
      <c r="K226" s="65">
        <f>CHOOSE(Plan!$K$5,'Calc Smart'!H232,'Calc Avalanche'!H232,'Calc Snowball'!H232,'Calc Cashflow'!H232)</f>
        <v/>
      </c>
      <c r="L226" s="65">
        <f>CHOOSE(Plan!$K$5,'Calc Smart'!I232,'Calc Avalanche'!I232,'Calc Snowball'!I232,'Calc Cashflow'!I232)</f>
        <v/>
      </c>
      <c r="M226" s="65">
        <f>CHOOSE(Plan!$K$5,'Calc Smart'!J232,'Calc Avalanche'!J232,'Calc Snowball'!J232,'Calc Cashflow'!J232)</f>
        <v/>
      </c>
      <c r="N226" s="65">
        <f>CHOOSE(Plan!$K$5,'Calc Smart'!K232,'Calc Avalanche'!K232,'Calc Snowball'!K232,'Calc Cashflow'!K232)</f>
        <v/>
      </c>
      <c r="O226" s="65">
        <f>CHOOSE(Plan!$K$5,'Calc Smart'!L232,'Calc Avalanche'!L232,'Calc Snowball'!L232,'Calc Cashflow'!L232)</f>
        <v/>
      </c>
      <c r="P226" s="65">
        <f>CHOOSE(Plan!$K$5,'Calc Smart'!M232,'Calc Avalanche'!M232,'Calc Snowball'!M232,'Calc Cashflow'!M232)</f>
        <v/>
      </c>
      <c r="Q226" s="65">
        <f>CHOOSE(Plan!$K$5,'Calc Smart'!N232,'Calc Avalanche'!N232,'Calc Snowball'!N232,'Calc Cashflow'!N232)</f>
        <v/>
      </c>
    </row>
    <row r="227">
      <c r="B227" s="66">
        <f>EDATE(Plan!$C$6,221)</f>
        <v/>
      </c>
      <c r="C227" s="32">
        <f>CHOOSE(Plan!$K$5,'Calc Smart'!AE233,'Calc Avalanche'!AE233,'Calc Snowball'!AE233,'Calc Cashflow'!AE233)</f>
        <v/>
      </c>
      <c r="D227" s="32">
        <f>CHOOSE(Plan!$K$5,'Calc Smart'!AD233,'Calc Avalanche'!AD233,'Calc Snowball'!AD233,'Calc Cashflow'!AD233)</f>
        <v/>
      </c>
      <c r="E227" s="43">
        <f>CHOOSE(Plan!$K$5,COUNTIF('Calc Smart'!C233:N233,"&gt;0"),COUNTIF('Calc Avalanche'!C233:N233,"&gt;0"),COUNTIF('Calc Snowball'!C233:N233,"&gt;0"),COUNTIF('Calc Cashflow'!C233:N233,"&gt;0"))</f>
        <v/>
      </c>
      <c r="F227" s="67">
        <f>CHOOSE(Plan!$K$5,'Calc Smart'!C233,'Calc Avalanche'!C233,'Calc Snowball'!C233,'Calc Cashflow'!C233)</f>
        <v/>
      </c>
      <c r="G227" s="67">
        <f>CHOOSE(Plan!$K$5,'Calc Smart'!D233,'Calc Avalanche'!D233,'Calc Snowball'!D233,'Calc Cashflow'!D233)</f>
        <v/>
      </c>
      <c r="H227" s="67">
        <f>CHOOSE(Plan!$K$5,'Calc Smart'!E233,'Calc Avalanche'!E233,'Calc Snowball'!E233,'Calc Cashflow'!E233)</f>
        <v/>
      </c>
      <c r="I227" s="67">
        <f>CHOOSE(Plan!$K$5,'Calc Smart'!F233,'Calc Avalanche'!F233,'Calc Snowball'!F233,'Calc Cashflow'!F233)</f>
        <v/>
      </c>
      <c r="J227" s="67">
        <f>CHOOSE(Plan!$K$5,'Calc Smart'!G233,'Calc Avalanche'!G233,'Calc Snowball'!G233,'Calc Cashflow'!G233)</f>
        <v/>
      </c>
      <c r="K227" s="67">
        <f>CHOOSE(Plan!$K$5,'Calc Smart'!H233,'Calc Avalanche'!H233,'Calc Snowball'!H233,'Calc Cashflow'!H233)</f>
        <v/>
      </c>
      <c r="L227" s="67">
        <f>CHOOSE(Plan!$K$5,'Calc Smart'!I233,'Calc Avalanche'!I233,'Calc Snowball'!I233,'Calc Cashflow'!I233)</f>
        <v/>
      </c>
      <c r="M227" s="67">
        <f>CHOOSE(Plan!$K$5,'Calc Smart'!J233,'Calc Avalanche'!J233,'Calc Snowball'!J233,'Calc Cashflow'!J233)</f>
        <v/>
      </c>
      <c r="N227" s="67">
        <f>CHOOSE(Plan!$K$5,'Calc Smart'!K233,'Calc Avalanche'!K233,'Calc Snowball'!K233,'Calc Cashflow'!K233)</f>
        <v/>
      </c>
      <c r="O227" s="67">
        <f>CHOOSE(Plan!$K$5,'Calc Smart'!L233,'Calc Avalanche'!L233,'Calc Snowball'!L233,'Calc Cashflow'!L233)</f>
        <v/>
      </c>
      <c r="P227" s="67">
        <f>CHOOSE(Plan!$K$5,'Calc Smart'!M233,'Calc Avalanche'!M233,'Calc Snowball'!M233,'Calc Cashflow'!M233)</f>
        <v/>
      </c>
      <c r="Q227" s="67">
        <f>CHOOSE(Plan!$K$5,'Calc Smart'!N233,'Calc Avalanche'!N233,'Calc Snowball'!N233,'Calc Cashflow'!N233)</f>
        <v/>
      </c>
    </row>
    <row r="228">
      <c r="B228" s="64">
        <f>EDATE(Plan!$C$6,222)</f>
        <v/>
      </c>
      <c r="C228" s="31">
        <f>CHOOSE(Plan!$K$5,'Calc Smart'!AE234,'Calc Avalanche'!AE234,'Calc Snowball'!AE234,'Calc Cashflow'!AE234)</f>
        <v/>
      </c>
      <c r="D228" s="31">
        <f>CHOOSE(Plan!$K$5,'Calc Smart'!AD234,'Calc Avalanche'!AD234,'Calc Snowball'!AD234,'Calc Cashflow'!AD234)</f>
        <v/>
      </c>
      <c r="E228" s="40">
        <f>CHOOSE(Plan!$K$5,COUNTIF('Calc Smart'!C234:N234,"&gt;0"),COUNTIF('Calc Avalanche'!C234:N234,"&gt;0"),COUNTIF('Calc Snowball'!C234:N234,"&gt;0"),COUNTIF('Calc Cashflow'!C234:N234,"&gt;0"))</f>
        <v/>
      </c>
      <c r="F228" s="65">
        <f>CHOOSE(Plan!$K$5,'Calc Smart'!C234,'Calc Avalanche'!C234,'Calc Snowball'!C234,'Calc Cashflow'!C234)</f>
        <v/>
      </c>
      <c r="G228" s="65">
        <f>CHOOSE(Plan!$K$5,'Calc Smart'!D234,'Calc Avalanche'!D234,'Calc Snowball'!D234,'Calc Cashflow'!D234)</f>
        <v/>
      </c>
      <c r="H228" s="65">
        <f>CHOOSE(Plan!$K$5,'Calc Smart'!E234,'Calc Avalanche'!E234,'Calc Snowball'!E234,'Calc Cashflow'!E234)</f>
        <v/>
      </c>
      <c r="I228" s="65">
        <f>CHOOSE(Plan!$K$5,'Calc Smart'!F234,'Calc Avalanche'!F234,'Calc Snowball'!F234,'Calc Cashflow'!F234)</f>
        <v/>
      </c>
      <c r="J228" s="65">
        <f>CHOOSE(Plan!$K$5,'Calc Smart'!G234,'Calc Avalanche'!G234,'Calc Snowball'!G234,'Calc Cashflow'!G234)</f>
        <v/>
      </c>
      <c r="K228" s="65">
        <f>CHOOSE(Plan!$K$5,'Calc Smart'!H234,'Calc Avalanche'!H234,'Calc Snowball'!H234,'Calc Cashflow'!H234)</f>
        <v/>
      </c>
      <c r="L228" s="65">
        <f>CHOOSE(Plan!$K$5,'Calc Smart'!I234,'Calc Avalanche'!I234,'Calc Snowball'!I234,'Calc Cashflow'!I234)</f>
        <v/>
      </c>
      <c r="M228" s="65">
        <f>CHOOSE(Plan!$K$5,'Calc Smart'!J234,'Calc Avalanche'!J234,'Calc Snowball'!J234,'Calc Cashflow'!J234)</f>
        <v/>
      </c>
      <c r="N228" s="65">
        <f>CHOOSE(Plan!$K$5,'Calc Smart'!K234,'Calc Avalanche'!K234,'Calc Snowball'!K234,'Calc Cashflow'!K234)</f>
        <v/>
      </c>
      <c r="O228" s="65">
        <f>CHOOSE(Plan!$K$5,'Calc Smart'!L234,'Calc Avalanche'!L234,'Calc Snowball'!L234,'Calc Cashflow'!L234)</f>
        <v/>
      </c>
      <c r="P228" s="65">
        <f>CHOOSE(Plan!$K$5,'Calc Smart'!M234,'Calc Avalanche'!M234,'Calc Snowball'!M234,'Calc Cashflow'!M234)</f>
        <v/>
      </c>
      <c r="Q228" s="65">
        <f>CHOOSE(Plan!$K$5,'Calc Smart'!N234,'Calc Avalanche'!N234,'Calc Snowball'!N234,'Calc Cashflow'!N234)</f>
        <v/>
      </c>
    </row>
    <row r="229">
      <c r="B229" s="66">
        <f>EDATE(Plan!$C$6,223)</f>
        <v/>
      </c>
      <c r="C229" s="32">
        <f>CHOOSE(Plan!$K$5,'Calc Smart'!AE235,'Calc Avalanche'!AE235,'Calc Snowball'!AE235,'Calc Cashflow'!AE235)</f>
        <v/>
      </c>
      <c r="D229" s="32">
        <f>CHOOSE(Plan!$K$5,'Calc Smart'!AD235,'Calc Avalanche'!AD235,'Calc Snowball'!AD235,'Calc Cashflow'!AD235)</f>
        <v/>
      </c>
      <c r="E229" s="43">
        <f>CHOOSE(Plan!$K$5,COUNTIF('Calc Smart'!C235:N235,"&gt;0"),COUNTIF('Calc Avalanche'!C235:N235,"&gt;0"),COUNTIF('Calc Snowball'!C235:N235,"&gt;0"),COUNTIF('Calc Cashflow'!C235:N235,"&gt;0"))</f>
        <v/>
      </c>
      <c r="F229" s="67">
        <f>CHOOSE(Plan!$K$5,'Calc Smart'!C235,'Calc Avalanche'!C235,'Calc Snowball'!C235,'Calc Cashflow'!C235)</f>
        <v/>
      </c>
      <c r="G229" s="67">
        <f>CHOOSE(Plan!$K$5,'Calc Smart'!D235,'Calc Avalanche'!D235,'Calc Snowball'!D235,'Calc Cashflow'!D235)</f>
        <v/>
      </c>
      <c r="H229" s="67">
        <f>CHOOSE(Plan!$K$5,'Calc Smart'!E235,'Calc Avalanche'!E235,'Calc Snowball'!E235,'Calc Cashflow'!E235)</f>
        <v/>
      </c>
      <c r="I229" s="67">
        <f>CHOOSE(Plan!$K$5,'Calc Smart'!F235,'Calc Avalanche'!F235,'Calc Snowball'!F235,'Calc Cashflow'!F235)</f>
        <v/>
      </c>
      <c r="J229" s="67">
        <f>CHOOSE(Plan!$K$5,'Calc Smart'!G235,'Calc Avalanche'!G235,'Calc Snowball'!G235,'Calc Cashflow'!G235)</f>
        <v/>
      </c>
      <c r="K229" s="67">
        <f>CHOOSE(Plan!$K$5,'Calc Smart'!H235,'Calc Avalanche'!H235,'Calc Snowball'!H235,'Calc Cashflow'!H235)</f>
        <v/>
      </c>
      <c r="L229" s="67">
        <f>CHOOSE(Plan!$K$5,'Calc Smart'!I235,'Calc Avalanche'!I235,'Calc Snowball'!I235,'Calc Cashflow'!I235)</f>
        <v/>
      </c>
      <c r="M229" s="67">
        <f>CHOOSE(Plan!$K$5,'Calc Smart'!J235,'Calc Avalanche'!J235,'Calc Snowball'!J235,'Calc Cashflow'!J235)</f>
        <v/>
      </c>
      <c r="N229" s="67">
        <f>CHOOSE(Plan!$K$5,'Calc Smart'!K235,'Calc Avalanche'!K235,'Calc Snowball'!K235,'Calc Cashflow'!K235)</f>
        <v/>
      </c>
      <c r="O229" s="67">
        <f>CHOOSE(Plan!$K$5,'Calc Smart'!L235,'Calc Avalanche'!L235,'Calc Snowball'!L235,'Calc Cashflow'!L235)</f>
        <v/>
      </c>
      <c r="P229" s="67">
        <f>CHOOSE(Plan!$K$5,'Calc Smart'!M235,'Calc Avalanche'!M235,'Calc Snowball'!M235,'Calc Cashflow'!M235)</f>
        <v/>
      </c>
      <c r="Q229" s="67">
        <f>CHOOSE(Plan!$K$5,'Calc Smart'!N235,'Calc Avalanche'!N235,'Calc Snowball'!N235,'Calc Cashflow'!N235)</f>
        <v/>
      </c>
    </row>
    <row r="230">
      <c r="B230" s="64">
        <f>EDATE(Plan!$C$6,224)</f>
        <v/>
      </c>
      <c r="C230" s="31">
        <f>CHOOSE(Plan!$K$5,'Calc Smart'!AE236,'Calc Avalanche'!AE236,'Calc Snowball'!AE236,'Calc Cashflow'!AE236)</f>
        <v/>
      </c>
      <c r="D230" s="31">
        <f>CHOOSE(Plan!$K$5,'Calc Smart'!AD236,'Calc Avalanche'!AD236,'Calc Snowball'!AD236,'Calc Cashflow'!AD236)</f>
        <v/>
      </c>
      <c r="E230" s="40">
        <f>CHOOSE(Plan!$K$5,COUNTIF('Calc Smart'!C236:N236,"&gt;0"),COUNTIF('Calc Avalanche'!C236:N236,"&gt;0"),COUNTIF('Calc Snowball'!C236:N236,"&gt;0"),COUNTIF('Calc Cashflow'!C236:N236,"&gt;0"))</f>
        <v/>
      </c>
      <c r="F230" s="65">
        <f>CHOOSE(Plan!$K$5,'Calc Smart'!C236,'Calc Avalanche'!C236,'Calc Snowball'!C236,'Calc Cashflow'!C236)</f>
        <v/>
      </c>
      <c r="G230" s="65">
        <f>CHOOSE(Plan!$K$5,'Calc Smart'!D236,'Calc Avalanche'!D236,'Calc Snowball'!D236,'Calc Cashflow'!D236)</f>
        <v/>
      </c>
      <c r="H230" s="65">
        <f>CHOOSE(Plan!$K$5,'Calc Smart'!E236,'Calc Avalanche'!E236,'Calc Snowball'!E236,'Calc Cashflow'!E236)</f>
        <v/>
      </c>
      <c r="I230" s="65">
        <f>CHOOSE(Plan!$K$5,'Calc Smart'!F236,'Calc Avalanche'!F236,'Calc Snowball'!F236,'Calc Cashflow'!F236)</f>
        <v/>
      </c>
      <c r="J230" s="65">
        <f>CHOOSE(Plan!$K$5,'Calc Smart'!G236,'Calc Avalanche'!G236,'Calc Snowball'!G236,'Calc Cashflow'!G236)</f>
        <v/>
      </c>
      <c r="K230" s="65">
        <f>CHOOSE(Plan!$K$5,'Calc Smart'!H236,'Calc Avalanche'!H236,'Calc Snowball'!H236,'Calc Cashflow'!H236)</f>
        <v/>
      </c>
      <c r="L230" s="65">
        <f>CHOOSE(Plan!$K$5,'Calc Smart'!I236,'Calc Avalanche'!I236,'Calc Snowball'!I236,'Calc Cashflow'!I236)</f>
        <v/>
      </c>
      <c r="M230" s="65">
        <f>CHOOSE(Plan!$K$5,'Calc Smart'!J236,'Calc Avalanche'!J236,'Calc Snowball'!J236,'Calc Cashflow'!J236)</f>
        <v/>
      </c>
      <c r="N230" s="65">
        <f>CHOOSE(Plan!$K$5,'Calc Smart'!K236,'Calc Avalanche'!K236,'Calc Snowball'!K236,'Calc Cashflow'!K236)</f>
        <v/>
      </c>
      <c r="O230" s="65">
        <f>CHOOSE(Plan!$K$5,'Calc Smart'!L236,'Calc Avalanche'!L236,'Calc Snowball'!L236,'Calc Cashflow'!L236)</f>
        <v/>
      </c>
      <c r="P230" s="65">
        <f>CHOOSE(Plan!$K$5,'Calc Smart'!M236,'Calc Avalanche'!M236,'Calc Snowball'!M236,'Calc Cashflow'!M236)</f>
        <v/>
      </c>
      <c r="Q230" s="65">
        <f>CHOOSE(Plan!$K$5,'Calc Smart'!N236,'Calc Avalanche'!N236,'Calc Snowball'!N236,'Calc Cashflow'!N236)</f>
        <v/>
      </c>
    </row>
    <row r="231">
      <c r="B231" s="66">
        <f>EDATE(Plan!$C$6,225)</f>
        <v/>
      </c>
      <c r="C231" s="32">
        <f>CHOOSE(Plan!$K$5,'Calc Smart'!AE237,'Calc Avalanche'!AE237,'Calc Snowball'!AE237,'Calc Cashflow'!AE237)</f>
        <v/>
      </c>
      <c r="D231" s="32">
        <f>CHOOSE(Plan!$K$5,'Calc Smart'!AD237,'Calc Avalanche'!AD237,'Calc Snowball'!AD237,'Calc Cashflow'!AD237)</f>
        <v/>
      </c>
      <c r="E231" s="43">
        <f>CHOOSE(Plan!$K$5,COUNTIF('Calc Smart'!C237:N237,"&gt;0"),COUNTIF('Calc Avalanche'!C237:N237,"&gt;0"),COUNTIF('Calc Snowball'!C237:N237,"&gt;0"),COUNTIF('Calc Cashflow'!C237:N237,"&gt;0"))</f>
        <v/>
      </c>
      <c r="F231" s="67">
        <f>CHOOSE(Plan!$K$5,'Calc Smart'!C237,'Calc Avalanche'!C237,'Calc Snowball'!C237,'Calc Cashflow'!C237)</f>
        <v/>
      </c>
      <c r="G231" s="67">
        <f>CHOOSE(Plan!$K$5,'Calc Smart'!D237,'Calc Avalanche'!D237,'Calc Snowball'!D237,'Calc Cashflow'!D237)</f>
        <v/>
      </c>
      <c r="H231" s="67">
        <f>CHOOSE(Plan!$K$5,'Calc Smart'!E237,'Calc Avalanche'!E237,'Calc Snowball'!E237,'Calc Cashflow'!E237)</f>
        <v/>
      </c>
      <c r="I231" s="67">
        <f>CHOOSE(Plan!$K$5,'Calc Smart'!F237,'Calc Avalanche'!F237,'Calc Snowball'!F237,'Calc Cashflow'!F237)</f>
        <v/>
      </c>
      <c r="J231" s="67">
        <f>CHOOSE(Plan!$K$5,'Calc Smart'!G237,'Calc Avalanche'!G237,'Calc Snowball'!G237,'Calc Cashflow'!G237)</f>
        <v/>
      </c>
      <c r="K231" s="67">
        <f>CHOOSE(Plan!$K$5,'Calc Smart'!H237,'Calc Avalanche'!H237,'Calc Snowball'!H237,'Calc Cashflow'!H237)</f>
        <v/>
      </c>
      <c r="L231" s="67">
        <f>CHOOSE(Plan!$K$5,'Calc Smart'!I237,'Calc Avalanche'!I237,'Calc Snowball'!I237,'Calc Cashflow'!I237)</f>
        <v/>
      </c>
      <c r="M231" s="67">
        <f>CHOOSE(Plan!$K$5,'Calc Smart'!J237,'Calc Avalanche'!J237,'Calc Snowball'!J237,'Calc Cashflow'!J237)</f>
        <v/>
      </c>
      <c r="N231" s="67">
        <f>CHOOSE(Plan!$K$5,'Calc Smart'!K237,'Calc Avalanche'!K237,'Calc Snowball'!K237,'Calc Cashflow'!K237)</f>
        <v/>
      </c>
      <c r="O231" s="67">
        <f>CHOOSE(Plan!$K$5,'Calc Smart'!L237,'Calc Avalanche'!L237,'Calc Snowball'!L237,'Calc Cashflow'!L237)</f>
        <v/>
      </c>
      <c r="P231" s="67">
        <f>CHOOSE(Plan!$K$5,'Calc Smart'!M237,'Calc Avalanche'!M237,'Calc Snowball'!M237,'Calc Cashflow'!M237)</f>
        <v/>
      </c>
      <c r="Q231" s="67">
        <f>CHOOSE(Plan!$K$5,'Calc Smart'!N237,'Calc Avalanche'!N237,'Calc Snowball'!N237,'Calc Cashflow'!N237)</f>
        <v/>
      </c>
    </row>
    <row r="232">
      <c r="B232" s="64">
        <f>EDATE(Plan!$C$6,226)</f>
        <v/>
      </c>
      <c r="C232" s="31">
        <f>CHOOSE(Plan!$K$5,'Calc Smart'!AE238,'Calc Avalanche'!AE238,'Calc Snowball'!AE238,'Calc Cashflow'!AE238)</f>
        <v/>
      </c>
      <c r="D232" s="31">
        <f>CHOOSE(Plan!$K$5,'Calc Smart'!AD238,'Calc Avalanche'!AD238,'Calc Snowball'!AD238,'Calc Cashflow'!AD238)</f>
        <v/>
      </c>
      <c r="E232" s="40">
        <f>CHOOSE(Plan!$K$5,COUNTIF('Calc Smart'!C238:N238,"&gt;0"),COUNTIF('Calc Avalanche'!C238:N238,"&gt;0"),COUNTIF('Calc Snowball'!C238:N238,"&gt;0"),COUNTIF('Calc Cashflow'!C238:N238,"&gt;0"))</f>
        <v/>
      </c>
      <c r="F232" s="65">
        <f>CHOOSE(Plan!$K$5,'Calc Smart'!C238,'Calc Avalanche'!C238,'Calc Snowball'!C238,'Calc Cashflow'!C238)</f>
        <v/>
      </c>
      <c r="G232" s="65">
        <f>CHOOSE(Plan!$K$5,'Calc Smart'!D238,'Calc Avalanche'!D238,'Calc Snowball'!D238,'Calc Cashflow'!D238)</f>
        <v/>
      </c>
      <c r="H232" s="65">
        <f>CHOOSE(Plan!$K$5,'Calc Smart'!E238,'Calc Avalanche'!E238,'Calc Snowball'!E238,'Calc Cashflow'!E238)</f>
        <v/>
      </c>
      <c r="I232" s="65">
        <f>CHOOSE(Plan!$K$5,'Calc Smart'!F238,'Calc Avalanche'!F238,'Calc Snowball'!F238,'Calc Cashflow'!F238)</f>
        <v/>
      </c>
      <c r="J232" s="65">
        <f>CHOOSE(Plan!$K$5,'Calc Smart'!G238,'Calc Avalanche'!G238,'Calc Snowball'!G238,'Calc Cashflow'!G238)</f>
        <v/>
      </c>
      <c r="K232" s="65">
        <f>CHOOSE(Plan!$K$5,'Calc Smart'!H238,'Calc Avalanche'!H238,'Calc Snowball'!H238,'Calc Cashflow'!H238)</f>
        <v/>
      </c>
      <c r="L232" s="65">
        <f>CHOOSE(Plan!$K$5,'Calc Smart'!I238,'Calc Avalanche'!I238,'Calc Snowball'!I238,'Calc Cashflow'!I238)</f>
        <v/>
      </c>
      <c r="M232" s="65">
        <f>CHOOSE(Plan!$K$5,'Calc Smart'!J238,'Calc Avalanche'!J238,'Calc Snowball'!J238,'Calc Cashflow'!J238)</f>
        <v/>
      </c>
      <c r="N232" s="65">
        <f>CHOOSE(Plan!$K$5,'Calc Smart'!K238,'Calc Avalanche'!K238,'Calc Snowball'!K238,'Calc Cashflow'!K238)</f>
        <v/>
      </c>
      <c r="O232" s="65">
        <f>CHOOSE(Plan!$K$5,'Calc Smart'!L238,'Calc Avalanche'!L238,'Calc Snowball'!L238,'Calc Cashflow'!L238)</f>
        <v/>
      </c>
      <c r="P232" s="65">
        <f>CHOOSE(Plan!$K$5,'Calc Smart'!M238,'Calc Avalanche'!M238,'Calc Snowball'!M238,'Calc Cashflow'!M238)</f>
        <v/>
      </c>
      <c r="Q232" s="65">
        <f>CHOOSE(Plan!$K$5,'Calc Smart'!N238,'Calc Avalanche'!N238,'Calc Snowball'!N238,'Calc Cashflow'!N238)</f>
        <v/>
      </c>
    </row>
    <row r="233">
      <c r="B233" s="66">
        <f>EDATE(Plan!$C$6,227)</f>
        <v/>
      </c>
      <c r="C233" s="32">
        <f>CHOOSE(Plan!$K$5,'Calc Smart'!AE239,'Calc Avalanche'!AE239,'Calc Snowball'!AE239,'Calc Cashflow'!AE239)</f>
        <v/>
      </c>
      <c r="D233" s="32">
        <f>CHOOSE(Plan!$K$5,'Calc Smart'!AD239,'Calc Avalanche'!AD239,'Calc Snowball'!AD239,'Calc Cashflow'!AD239)</f>
        <v/>
      </c>
      <c r="E233" s="43">
        <f>CHOOSE(Plan!$K$5,COUNTIF('Calc Smart'!C239:N239,"&gt;0"),COUNTIF('Calc Avalanche'!C239:N239,"&gt;0"),COUNTIF('Calc Snowball'!C239:N239,"&gt;0"),COUNTIF('Calc Cashflow'!C239:N239,"&gt;0"))</f>
        <v/>
      </c>
      <c r="F233" s="67">
        <f>CHOOSE(Plan!$K$5,'Calc Smart'!C239,'Calc Avalanche'!C239,'Calc Snowball'!C239,'Calc Cashflow'!C239)</f>
        <v/>
      </c>
      <c r="G233" s="67">
        <f>CHOOSE(Plan!$K$5,'Calc Smart'!D239,'Calc Avalanche'!D239,'Calc Snowball'!D239,'Calc Cashflow'!D239)</f>
        <v/>
      </c>
      <c r="H233" s="67">
        <f>CHOOSE(Plan!$K$5,'Calc Smart'!E239,'Calc Avalanche'!E239,'Calc Snowball'!E239,'Calc Cashflow'!E239)</f>
        <v/>
      </c>
      <c r="I233" s="67">
        <f>CHOOSE(Plan!$K$5,'Calc Smart'!F239,'Calc Avalanche'!F239,'Calc Snowball'!F239,'Calc Cashflow'!F239)</f>
        <v/>
      </c>
      <c r="J233" s="67">
        <f>CHOOSE(Plan!$K$5,'Calc Smart'!G239,'Calc Avalanche'!G239,'Calc Snowball'!G239,'Calc Cashflow'!G239)</f>
        <v/>
      </c>
      <c r="K233" s="67">
        <f>CHOOSE(Plan!$K$5,'Calc Smart'!H239,'Calc Avalanche'!H239,'Calc Snowball'!H239,'Calc Cashflow'!H239)</f>
        <v/>
      </c>
      <c r="L233" s="67">
        <f>CHOOSE(Plan!$K$5,'Calc Smart'!I239,'Calc Avalanche'!I239,'Calc Snowball'!I239,'Calc Cashflow'!I239)</f>
        <v/>
      </c>
      <c r="M233" s="67">
        <f>CHOOSE(Plan!$K$5,'Calc Smart'!J239,'Calc Avalanche'!J239,'Calc Snowball'!J239,'Calc Cashflow'!J239)</f>
        <v/>
      </c>
      <c r="N233" s="67">
        <f>CHOOSE(Plan!$K$5,'Calc Smart'!K239,'Calc Avalanche'!K239,'Calc Snowball'!K239,'Calc Cashflow'!K239)</f>
        <v/>
      </c>
      <c r="O233" s="67">
        <f>CHOOSE(Plan!$K$5,'Calc Smart'!L239,'Calc Avalanche'!L239,'Calc Snowball'!L239,'Calc Cashflow'!L239)</f>
        <v/>
      </c>
      <c r="P233" s="67">
        <f>CHOOSE(Plan!$K$5,'Calc Smart'!M239,'Calc Avalanche'!M239,'Calc Snowball'!M239,'Calc Cashflow'!M239)</f>
        <v/>
      </c>
      <c r="Q233" s="67">
        <f>CHOOSE(Plan!$K$5,'Calc Smart'!N239,'Calc Avalanche'!N239,'Calc Snowball'!N239,'Calc Cashflow'!N239)</f>
        <v/>
      </c>
    </row>
    <row r="234">
      <c r="B234" s="64">
        <f>EDATE(Plan!$C$6,228)</f>
        <v/>
      </c>
      <c r="C234" s="31">
        <f>CHOOSE(Plan!$K$5,'Calc Smart'!AE240,'Calc Avalanche'!AE240,'Calc Snowball'!AE240,'Calc Cashflow'!AE240)</f>
        <v/>
      </c>
      <c r="D234" s="31">
        <f>CHOOSE(Plan!$K$5,'Calc Smart'!AD240,'Calc Avalanche'!AD240,'Calc Snowball'!AD240,'Calc Cashflow'!AD240)</f>
        <v/>
      </c>
      <c r="E234" s="40">
        <f>CHOOSE(Plan!$K$5,COUNTIF('Calc Smart'!C240:N240,"&gt;0"),COUNTIF('Calc Avalanche'!C240:N240,"&gt;0"),COUNTIF('Calc Snowball'!C240:N240,"&gt;0"),COUNTIF('Calc Cashflow'!C240:N240,"&gt;0"))</f>
        <v/>
      </c>
      <c r="F234" s="65">
        <f>CHOOSE(Plan!$K$5,'Calc Smart'!C240,'Calc Avalanche'!C240,'Calc Snowball'!C240,'Calc Cashflow'!C240)</f>
        <v/>
      </c>
      <c r="G234" s="65">
        <f>CHOOSE(Plan!$K$5,'Calc Smart'!D240,'Calc Avalanche'!D240,'Calc Snowball'!D240,'Calc Cashflow'!D240)</f>
        <v/>
      </c>
      <c r="H234" s="65">
        <f>CHOOSE(Plan!$K$5,'Calc Smart'!E240,'Calc Avalanche'!E240,'Calc Snowball'!E240,'Calc Cashflow'!E240)</f>
        <v/>
      </c>
      <c r="I234" s="65">
        <f>CHOOSE(Plan!$K$5,'Calc Smart'!F240,'Calc Avalanche'!F240,'Calc Snowball'!F240,'Calc Cashflow'!F240)</f>
        <v/>
      </c>
      <c r="J234" s="65">
        <f>CHOOSE(Plan!$K$5,'Calc Smart'!G240,'Calc Avalanche'!G240,'Calc Snowball'!G240,'Calc Cashflow'!G240)</f>
        <v/>
      </c>
      <c r="K234" s="65">
        <f>CHOOSE(Plan!$K$5,'Calc Smart'!H240,'Calc Avalanche'!H240,'Calc Snowball'!H240,'Calc Cashflow'!H240)</f>
        <v/>
      </c>
      <c r="L234" s="65">
        <f>CHOOSE(Plan!$K$5,'Calc Smart'!I240,'Calc Avalanche'!I240,'Calc Snowball'!I240,'Calc Cashflow'!I240)</f>
        <v/>
      </c>
      <c r="M234" s="65">
        <f>CHOOSE(Plan!$K$5,'Calc Smart'!J240,'Calc Avalanche'!J240,'Calc Snowball'!J240,'Calc Cashflow'!J240)</f>
        <v/>
      </c>
      <c r="N234" s="65">
        <f>CHOOSE(Plan!$K$5,'Calc Smart'!K240,'Calc Avalanche'!K240,'Calc Snowball'!K240,'Calc Cashflow'!K240)</f>
        <v/>
      </c>
      <c r="O234" s="65">
        <f>CHOOSE(Plan!$K$5,'Calc Smart'!L240,'Calc Avalanche'!L240,'Calc Snowball'!L240,'Calc Cashflow'!L240)</f>
        <v/>
      </c>
      <c r="P234" s="65">
        <f>CHOOSE(Plan!$K$5,'Calc Smart'!M240,'Calc Avalanche'!M240,'Calc Snowball'!M240,'Calc Cashflow'!M240)</f>
        <v/>
      </c>
      <c r="Q234" s="65">
        <f>CHOOSE(Plan!$K$5,'Calc Smart'!N240,'Calc Avalanche'!N240,'Calc Snowball'!N240,'Calc Cashflow'!N240)</f>
        <v/>
      </c>
    </row>
    <row r="235">
      <c r="B235" s="66">
        <f>EDATE(Plan!$C$6,229)</f>
        <v/>
      </c>
      <c r="C235" s="32">
        <f>CHOOSE(Plan!$K$5,'Calc Smart'!AE241,'Calc Avalanche'!AE241,'Calc Snowball'!AE241,'Calc Cashflow'!AE241)</f>
        <v/>
      </c>
      <c r="D235" s="32">
        <f>CHOOSE(Plan!$K$5,'Calc Smart'!AD241,'Calc Avalanche'!AD241,'Calc Snowball'!AD241,'Calc Cashflow'!AD241)</f>
        <v/>
      </c>
      <c r="E235" s="43">
        <f>CHOOSE(Plan!$K$5,COUNTIF('Calc Smart'!C241:N241,"&gt;0"),COUNTIF('Calc Avalanche'!C241:N241,"&gt;0"),COUNTIF('Calc Snowball'!C241:N241,"&gt;0"),COUNTIF('Calc Cashflow'!C241:N241,"&gt;0"))</f>
        <v/>
      </c>
      <c r="F235" s="67">
        <f>CHOOSE(Plan!$K$5,'Calc Smart'!C241,'Calc Avalanche'!C241,'Calc Snowball'!C241,'Calc Cashflow'!C241)</f>
        <v/>
      </c>
      <c r="G235" s="67">
        <f>CHOOSE(Plan!$K$5,'Calc Smart'!D241,'Calc Avalanche'!D241,'Calc Snowball'!D241,'Calc Cashflow'!D241)</f>
        <v/>
      </c>
      <c r="H235" s="67">
        <f>CHOOSE(Plan!$K$5,'Calc Smart'!E241,'Calc Avalanche'!E241,'Calc Snowball'!E241,'Calc Cashflow'!E241)</f>
        <v/>
      </c>
      <c r="I235" s="67">
        <f>CHOOSE(Plan!$K$5,'Calc Smart'!F241,'Calc Avalanche'!F241,'Calc Snowball'!F241,'Calc Cashflow'!F241)</f>
        <v/>
      </c>
      <c r="J235" s="67">
        <f>CHOOSE(Plan!$K$5,'Calc Smart'!G241,'Calc Avalanche'!G241,'Calc Snowball'!G241,'Calc Cashflow'!G241)</f>
        <v/>
      </c>
      <c r="K235" s="67">
        <f>CHOOSE(Plan!$K$5,'Calc Smart'!H241,'Calc Avalanche'!H241,'Calc Snowball'!H241,'Calc Cashflow'!H241)</f>
        <v/>
      </c>
      <c r="L235" s="67">
        <f>CHOOSE(Plan!$K$5,'Calc Smart'!I241,'Calc Avalanche'!I241,'Calc Snowball'!I241,'Calc Cashflow'!I241)</f>
        <v/>
      </c>
      <c r="M235" s="67">
        <f>CHOOSE(Plan!$K$5,'Calc Smart'!J241,'Calc Avalanche'!J241,'Calc Snowball'!J241,'Calc Cashflow'!J241)</f>
        <v/>
      </c>
      <c r="N235" s="67">
        <f>CHOOSE(Plan!$K$5,'Calc Smart'!K241,'Calc Avalanche'!K241,'Calc Snowball'!K241,'Calc Cashflow'!K241)</f>
        <v/>
      </c>
      <c r="O235" s="67">
        <f>CHOOSE(Plan!$K$5,'Calc Smart'!L241,'Calc Avalanche'!L241,'Calc Snowball'!L241,'Calc Cashflow'!L241)</f>
        <v/>
      </c>
      <c r="P235" s="67">
        <f>CHOOSE(Plan!$K$5,'Calc Smart'!M241,'Calc Avalanche'!M241,'Calc Snowball'!M241,'Calc Cashflow'!M241)</f>
        <v/>
      </c>
      <c r="Q235" s="67">
        <f>CHOOSE(Plan!$K$5,'Calc Smart'!N241,'Calc Avalanche'!N241,'Calc Snowball'!N241,'Calc Cashflow'!N241)</f>
        <v/>
      </c>
    </row>
    <row r="236">
      <c r="B236" s="64">
        <f>EDATE(Plan!$C$6,230)</f>
        <v/>
      </c>
      <c r="C236" s="31">
        <f>CHOOSE(Plan!$K$5,'Calc Smart'!AE242,'Calc Avalanche'!AE242,'Calc Snowball'!AE242,'Calc Cashflow'!AE242)</f>
        <v/>
      </c>
      <c r="D236" s="31">
        <f>CHOOSE(Plan!$K$5,'Calc Smart'!AD242,'Calc Avalanche'!AD242,'Calc Snowball'!AD242,'Calc Cashflow'!AD242)</f>
        <v/>
      </c>
      <c r="E236" s="40">
        <f>CHOOSE(Plan!$K$5,COUNTIF('Calc Smart'!C242:N242,"&gt;0"),COUNTIF('Calc Avalanche'!C242:N242,"&gt;0"),COUNTIF('Calc Snowball'!C242:N242,"&gt;0"),COUNTIF('Calc Cashflow'!C242:N242,"&gt;0"))</f>
        <v/>
      </c>
      <c r="F236" s="65">
        <f>CHOOSE(Plan!$K$5,'Calc Smart'!C242,'Calc Avalanche'!C242,'Calc Snowball'!C242,'Calc Cashflow'!C242)</f>
        <v/>
      </c>
      <c r="G236" s="65">
        <f>CHOOSE(Plan!$K$5,'Calc Smart'!D242,'Calc Avalanche'!D242,'Calc Snowball'!D242,'Calc Cashflow'!D242)</f>
        <v/>
      </c>
      <c r="H236" s="65">
        <f>CHOOSE(Plan!$K$5,'Calc Smart'!E242,'Calc Avalanche'!E242,'Calc Snowball'!E242,'Calc Cashflow'!E242)</f>
        <v/>
      </c>
      <c r="I236" s="65">
        <f>CHOOSE(Plan!$K$5,'Calc Smart'!F242,'Calc Avalanche'!F242,'Calc Snowball'!F242,'Calc Cashflow'!F242)</f>
        <v/>
      </c>
      <c r="J236" s="65">
        <f>CHOOSE(Plan!$K$5,'Calc Smart'!G242,'Calc Avalanche'!G242,'Calc Snowball'!G242,'Calc Cashflow'!G242)</f>
        <v/>
      </c>
      <c r="K236" s="65">
        <f>CHOOSE(Plan!$K$5,'Calc Smart'!H242,'Calc Avalanche'!H242,'Calc Snowball'!H242,'Calc Cashflow'!H242)</f>
        <v/>
      </c>
      <c r="L236" s="65">
        <f>CHOOSE(Plan!$K$5,'Calc Smart'!I242,'Calc Avalanche'!I242,'Calc Snowball'!I242,'Calc Cashflow'!I242)</f>
        <v/>
      </c>
      <c r="M236" s="65">
        <f>CHOOSE(Plan!$K$5,'Calc Smart'!J242,'Calc Avalanche'!J242,'Calc Snowball'!J242,'Calc Cashflow'!J242)</f>
        <v/>
      </c>
      <c r="N236" s="65">
        <f>CHOOSE(Plan!$K$5,'Calc Smart'!K242,'Calc Avalanche'!K242,'Calc Snowball'!K242,'Calc Cashflow'!K242)</f>
        <v/>
      </c>
      <c r="O236" s="65">
        <f>CHOOSE(Plan!$K$5,'Calc Smart'!L242,'Calc Avalanche'!L242,'Calc Snowball'!L242,'Calc Cashflow'!L242)</f>
        <v/>
      </c>
      <c r="P236" s="65">
        <f>CHOOSE(Plan!$K$5,'Calc Smart'!M242,'Calc Avalanche'!M242,'Calc Snowball'!M242,'Calc Cashflow'!M242)</f>
        <v/>
      </c>
      <c r="Q236" s="65">
        <f>CHOOSE(Plan!$K$5,'Calc Smart'!N242,'Calc Avalanche'!N242,'Calc Snowball'!N242,'Calc Cashflow'!N242)</f>
        <v/>
      </c>
    </row>
    <row r="237">
      <c r="B237" s="66">
        <f>EDATE(Plan!$C$6,231)</f>
        <v/>
      </c>
      <c r="C237" s="32">
        <f>CHOOSE(Plan!$K$5,'Calc Smart'!AE243,'Calc Avalanche'!AE243,'Calc Snowball'!AE243,'Calc Cashflow'!AE243)</f>
        <v/>
      </c>
      <c r="D237" s="32">
        <f>CHOOSE(Plan!$K$5,'Calc Smart'!AD243,'Calc Avalanche'!AD243,'Calc Snowball'!AD243,'Calc Cashflow'!AD243)</f>
        <v/>
      </c>
      <c r="E237" s="43">
        <f>CHOOSE(Plan!$K$5,COUNTIF('Calc Smart'!C243:N243,"&gt;0"),COUNTIF('Calc Avalanche'!C243:N243,"&gt;0"),COUNTIF('Calc Snowball'!C243:N243,"&gt;0"),COUNTIF('Calc Cashflow'!C243:N243,"&gt;0"))</f>
        <v/>
      </c>
      <c r="F237" s="67">
        <f>CHOOSE(Plan!$K$5,'Calc Smart'!C243,'Calc Avalanche'!C243,'Calc Snowball'!C243,'Calc Cashflow'!C243)</f>
        <v/>
      </c>
      <c r="G237" s="67">
        <f>CHOOSE(Plan!$K$5,'Calc Smart'!D243,'Calc Avalanche'!D243,'Calc Snowball'!D243,'Calc Cashflow'!D243)</f>
        <v/>
      </c>
      <c r="H237" s="67">
        <f>CHOOSE(Plan!$K$5,'Calc Smart'!E243,'Calc Avalanche'!E243,'Calc Snowball'!E243,'Calc Cashflow'!E243)</f>
        <v/>
      </c>
      <c r="I237" s="67">
        <f>CHOOSE(Plan!$K$5,'Calc Smart'!F243,'Calc Avalanche'!F243,'Calc Snowball'!F243,'Calc Cashflow'!F243)</f>
        <v/>
      </c>
      <c r="J237" s="67">
        <f>CHOOSE(Plan!$K$5,'Calc Smart'!G243,'Calc Avalanche'!G243,'Calc Snowball'!G243,'Calc Cashflow'!G243)</f>
        <v/>
      </c>
      <c r="K237" s="67">
        <f>CHOOSE(Plan!$K$5,'Calc Smart'!H243,'Calc Avalanche'!H243,'Calc Snowball'!H243,'Calc Cashflow'!H243)</f>
        <v/>
      </c>
      <c r="L237" s="67">
        <f>CHOOSE(Plan!$K$5,'Calc Smart'!I243,'Calc Avalanche'!I243,'Calc Snowball'!I243,'Calc Cashflow'!I243)</f>
        <v/>
      </c>
      <c r="M237" s="67">
        <f>CHOOSE(Plan!$K$5,'Calc Smart'!J243,'Calc Avalanche'!J243,'Calc Snowball'!J243,'Calc Cashflow'!J243)</f>
        <v/>
      </c>
      <c r="N237" s="67">
        <f>CHOOSE(Plan!$K$5,'Calc Smart'!K243,'Calc Avalanche'!K243,'Calc Snowball'!K243,'Calc Cashflow'!K243)</f>
        <v/>
      </c>
      <c r="O237" s="67">
        <f>CHOOSE(Plan!$K$5,'Calc Smart'!L243,'Calc Avalanche'!L243,'Calc Snowball'!L243,'Calc Cashflow'!L243)</f>
        <v/>
      </c>
      <c r="P237" s="67">
        <f>CHOOSE(Plan!$K$5,'Calc Smart'!M243,'Calc Avalanche'!M243,'Calc Snowball'!M243,'Calc Cashflow'!M243)</f>
        <v/>
      </c>
      <c r="Q237" s="67">
        <f>CHOOSE(Plan!$K$5,'Calc Smart'!N243,'Calc Avalanche'!N243,'Calc Snowball'!N243,'Calc Cashflow'!N243)</f>
        <v/>
      </c>
    </row>
    <row r="238">
      <c r="B238" s="64">
        <f>EDATE(Plan!$C$6,232)</f>
        <v/>
      </c>
      <c r="C238" s="31">
        <f>CHOOSE(Plan!$K$5,'Calc Smart'!AE244,'Calc Avalanche'!AE244,'Calc Snowball'!AE244,'Calc Cashflow'!AE244)</f>
        <v/>
      </c>
      <c r="D238" s="31">
        <f>CHOOSE(Plan!$K$5,'Calc Smart'!AD244,'Calc Avalanche'!AD244,'Calc Snowball'!AD244,'Calc Cashflow'!AD244)</f>
        <v/>
      </c>
      <c r="E238" s="40">
        <f>CHOOSE(Plan!$K$5,COUNTIF('Calc Smart'!C244:N244,"&gt;0"),COUNTIF('Calc Avalanche'!C244:N244,"&gt;0"),COUNTIF('Calc Snowball'!C244:N244,"&gt;0"),COUNTIF('Calc Cashflow'!C244:N244,"&gt;0"))</f>
        <v/>
      </c>
      <c r="F238" s="65">
        <f>CHOOSE(Plan!$K$5,'Calc Smart'!C244,'Calc Avalanche'!C244,'Calc Snowball'!C244,'Calc Cashflow'!C244)</f>
        <v/>
      </c>
      <c r="G238" s="65">
        <f>CHOOSE(Plan!$K$5,'Calc Smart'!D244,'Calc Avalanche'!D244,'Calc Snowball'!D244,'Calc Cashflow'!D244)</f>
        <v/>
      </c>
      <c r="H238" s="65">
        <f>CHOOSE(Plan!$K$5,'Calc Smart'!E244,'Calc Avalanche'!E244,'Calc Snowball'!E244,'Calc Cashflow'!E244)</f>
        <v/>
      </c>
      <c r="I238" s="65">
        <f>CHOOSE(Plan!$K$5,'Calc Smart'!F244,'Calc Avalanche'!F244,'Calc Snowball'!F244,'Calc Cashflow'!F244)</f>
        <v/>
      </c>
      <c r="J238" s="65">
        <f>CHOOSE(Plan!$K$5,'Calc Smart'!G244,'Calc Avalanche'!G244,'Calc Snowball'!G244,'Calc Cashflow'!G244)</f>
        <v/>
      </c>
      <c r="K238" s="65">
        <f>CHOOSE(Plan!$K$5,'Calc Smart'!H244,'Calc Avalanche'!H244,'Calc Snowball'!H244,'Calc Cashflow'!H244)</f>
        <v/>
      </c>
      <c r="L238" s="65">
        <f>CHOOSE(Plan!$K$5,'Calc Smart'!I244,'Calc Avalanche'!I244,'Calc Snowball'!I244,'Calc Cashflow'!I244)</f>
        <v/>
      </c>
      <c r="M238" s="65">
        <f>CHOOSE(Plan!$K$5,'Calc Smart'!J244,'Calc Avalanche'!J244,'Calc Snowball'!J244,'Calc Cashflow'!J244)</f>
        <v/>
      </c>
      <c r="N238" s="65">
        <f>CHOOSE(Plan!$K$5,'Calc Smart'!K244,'Calc Avalanche'!K244,'Calc Snowball'!K244,'Calc Cashflow'!K244)</f>
        <v/>
      </c>
      <c r="O238" s="65">
        <f>CHOOSE(Plan!$K$5,'Calc Smart'!L244,'Calc Avalanche'!L244,'Calc Snowball'!L244,'Calc Cashflow'!L244)</f>
        <v/>
      </c>
      <c r="P238" s="65">
        <f>CHOOSE(Plan!$K$5,'Calc Smart'!M244,'Calc Avalanche'!M244,'Calc Snowball'!M244,'Calc Cashflow'!M244)</f>
        <v/>
      </c>
      <c r="Q238" s="65">
        <f>CHOOSE(Plan!$K$5,'Calc Smart'!N244,'Calc Avalanche'!N244,'Calc Snowball'!N244,'Calc Cashflow'!N244)</f>
        <v/>
      </c>
    </row>
    <row r="239">
      <c r="B239" s="66">
        <f>EDATE(Plan!$C$6,233)</f>
        <v/>
      </c>
      <c r="C239" s="32">
        <f>CHOOSE(Plan!$K$5,'Calc Smart'!AE245,'Calc Avalanche'!AE245,'Calc Snowball'!AE245,'Calc Cashflow'!AE245)</f>
        <v/>
      </c>
      <c r="D239" s="32">
        <f>CHOOSE(Plan!$K$5,'Calc Smart'!AD245,'Calc Avalanche'!AD245,'Calc Snowball'!AD245,'Calc Cashflow'!AD245)</f>
        <v/>
      </c>
      <c r="E239" s="43">
        <f>CHOOSE(Plan!$K$5,COUNTIF('Calc Smart'!C245:N245,"&gt;0"),COUNTIF('Calc Avalanche'!C245:N245,"&gt;0"),COUNTIF('Calc Snowball'!C245:N245,"&gt;0"),COUNTIF('Calc Cashflow'!C245:N245,"&gt;0"))</f>
        <v/>
      </c>
      <c r="F239" s="67">
        <f>CHOOSE(Plan!$K$5,'Calc Smart'!C245,'Calc Avalanche'!C245,'Calc Snowball'!C245,'Calc Cashflow'!C245)</f>
        <v/>
      </c>
      <c r="G239" s="67">
        <f>CHOOSE(Plan!$K$5,'Calc Smart'!D245,'Calc Avalanche'!D245,'Calc Snowball'!D245,'Calc Cashflow'!D245)</f>
        <v/>
      </c>
      <c r="H239" s="67">
        <f>CHOOSE(Plan!$K$5,'Calc Smart'!E245,'Calc Avalanche'!E245,'Calc Snowball'!E245,'Calc Cashflow'!E245)</f>
        <v/>
      </c>
      <c r="I239" s="67">
        <f>CHOOSE(Plan!$K$5,'Calc Smart'!F245,'Calc Avalanche'!F245,'Calc Snowball'!F245,'Calc Cashflow'!F245)</f>
        <v/>
      </c>
      <c r="J239" s="67">
        <f>CHOOSE(Plan!$K$5,'Calc Smart'!G245,'Calc Avalanche'!G245,'Calc Snowball'!G245,'Calc Cashflow'!G245)</f>
        <v/>
      </c>
      <c r="K239" s="67">
        <f>CHOOSE(Plan!$K$5,'Calc Smart'!H245,'Calc Avalanche'!H245,'Calc Snowball'!H245,'Calc Cashflow'!H245)</f>
        <v/>
      </c>
      <c r="L239" s="67">
        <f>CHOOSE(Plan!$K$5,'Calc Smart'!I245,'Calc Avalanche'!I245,'Calc Snowball'!I245,'Calc Cashflow'!I245)</f>
        <v/>
      </c>
      <c r="M239" s="67">
        <f>CHOOSE(Plan!$K$5,'Calc Smart'!J245,'Calc Avalanche'!J245,'Calc Snowball'!J245,'Calc Cashflow'!J245)</f>
        <v/>
      </c>
      <c r="N239" s="67">
        <f>CHOOSE(Plan!$K$5,'Calc Smart'!K245,'Calc Avalanche'!K245,'Calc Snowball'!K245,'Calc Cashflow'!K245)</f>
        <v/>
      </c>
      <c r="O239" s="67">
        <f>CHOOSE(Plan!$K$5,'Calc Smart'!L245,'Calc Avalanche'!L245,'Calc Snowball'!L245,'Calc Cashflow'!L245)</f>
        <v/>
      </c>
      <c r="P239" s="67">
        <f>CHOOSE(Plan!$K$5,'Calc Smart'!M245,'Calc Avalanche'!M245,'Calc Snowball'!M245,'Calc Cashflow'!M245)</f>
        <v/>
      </c>
      <c r="Q239" s="67">
        <f>CHOOSE(Plan!$K$5,'Calc Smart'!N245,'Calc Avalanche'!N245,'Calc Snowball'!N245,'Calc Cashflow'!N245)</f>
        <v/>
      </c>
    </row>
    <row r="240">
      <c r="B240" s="64">
        <f>EDATE(Plan!$C$6,234)</f>
        <v/>
      </c>
      <c r="C240" s="31">
        <f>CHOOSE(Plan!$K$5,'Calc Smart'!AE246,'Calc Avalanche'!AE246,'Calc Snowball'!AE246,'Calc Cashflow'!AE246)</f>
        <v/>
      </c>
      <c r="D240" s="31">
        <f>CHOOSE(Plan!$K$5,'Calc Smart'!AD246,'Calc Avalanche'!AD246,'Calc Snowball'!AD246,'Calc Cashflow'!AD246)</f>
        <v/>
      </c>
      <c r="E240" s="40">
        <f>CHOOSE(Plan!$K$5,COUNTIF('Calc Smart'!C246:N246,"&gt;0"),COUNTIF('Calc Avalanche'!C246:N246,"&gt;0"),COUNTIF('Calc Snowball'!C246:N246,"&gt;0"),COUNTIF('Calc Cashflow'!C246:N246,"&gt;0"))</f>
        <v/>
      </c>
      <c r="F240" s="65">
        <f>CHOOSE(Plan!$K$5,'Calc Smart'!C246,'Calc Avalanche'!C246,'Calc Snowball'!C246,'Calc Cashflow'!C246)</f>
        <v/>
      </c>
      <c r="G240" s="65">
        <f>CHOOSE(Plan!$K$5,'Calc Smart'!D246,'Calc Avalanche'!D246,'Calc Snowball'!D246,'Calc Cashflow'!D246)</f>
        <v/>
      </c>
      <c r="H240" s="65">
        <f>CHOOSE(Plan!$K$5,'Calc Smart'!E246,'Calc Avalanche'!E246,'Calc Snowball'!E246,'Calc Cashflow'!E246)</f>
        <v/>
      </c>
      <c r="I240" s="65">
        <f>CHOOSE(Plan!$K$5,'Calc Smart'!F246,'Calc Avalanche'!F246,'Calc Snowball'!F246,'Calc Cashflow'!F246)</f>
        <v/>
      </c>
      <c r="J240" s="65">
        <f>CHOOSE(Plan!$K$5,'Calc Smart'!G246,'Calc Avalanche'!G246,'Calc Snowball'!G246,'Calc Cashflow'!G246)</f>
        <v/>
      </c>
      <c r="K240" s="65">
        <f>CHOOSE(Plan!$K$5,'Calc Smart'!H246,'Calc Avalanche'!H246,'Calc Snowball'!H246,'Calc Cashflow'!H246)</f>
        <v/>
      </c>
      <c r="L240" s="65">
        <f>CHOOSE(Plan!$K$5,'Calc Smart'!I246,'Calc Avalanche'!I246,'Calc Snowball'!I246,'Calc Cashflow'!I246)</f>
        <v/>
      </c>
      <c r="M240" s="65">
        <f>CHOOSE(Plan!$K$5,'Calc Smart'!J246,'Calc Avalanche'!J246,'Calc Snowball'!J246,'Calc Cashflow'!J246)</f>
        <v/>
      </c>
      <c r="N240" s="65">
        <f>CHOOSE(Plan!$K$5,'Calc Smart'!K246,'Calc Avalanche'!K246,'Calc Snowball'!K246,'Calc Cashflow'!K246)</f>
        <v/>
      </c>
      <c r="O240" s="65">
        <f>CHOOSE(Plan!$K$5,'Calc Smart'!L246,'Calc Avalanche'!L246,'Calc Snowball'!L246,'Calc Cashflow'!L246)</f>
        <v/>
      </c>
      <c r="P240" s="65">
        <f>CHOOSE(Plan!$K$5,'Calc Smart'!M246,'Calc Avalanche'!M246,'Calc Snowball'!M246,'Calc Cashflow'!M246)</f>
        <v/>
      </c>
      <c r="Q240" s="65">
        <f>CHOOSE(Plan!$K$5,'Calc Smart'!N246,'Calc Avalanche'!N246,'Calc Snowball'!N246,'Calc Cashflow'!N246)</f>
        <v/>
      </c>
    </row>
    <row r="241">
      <c r="B241" s="66">
        <f>EDATE(Plan!$C$6,235)</f>
        <v/>
      </c>
      <c r="C241" s="32">
        <f>CHOOSE(Plan!$K$5,'Calc Smart'!AE247,'Calc Avalanche'!AE247,'Calc Snowball'!AE247,'Calc Cashflow'!AE247)</f>
        <v/>
      </c>
      <c r="D241" s="32">
        <f>CHOOSE(Plan!$K$5,'Calc Smart'!AD247,'Calc Avalanche'!AD247,'Calc Snowball'!AD247,'Calc Cashflow'!AD247)</f>
        <v/>
      </c>
      <c r="E241" s="43">
        <f>CHOOSE(Plan!$K$5,COUNTIF('Calc Smart'!C247:N247,"&gt;0"),COUNTIF('Calc Avalanche'!C247:N247,"&gt;0"),COUNTIF('Calc Snowball'!C247:N247,"&gt;0"),COUNTIF('Calc Cashflow'!C247:N247,"&gt;0"))</f>
        <v/>
      </c>
      <c r="F241" s="67">
        <f>CHOOSE(Plan!$K$5,'Calc Smart'!C247,'Calc Avalanche'!C247,'Calc Snowball'!C247,'Calc Cashflow'!C247)</f>
        <v/>
      </c>
      <c r="G241" s="67">
        <f>CHOOSE(Plan!$K$5,'Calc Smart'!D247,'Calc Avalanche'!D247,'Calc Snowball'!D247,'Calc Cashflow'!D247)</f>
        <v/>
      </c>
      <c r="H241" s="67">
        <f>CHOOSE(Plan!$K$5,'Calc Smart'!E247,'Calc Avalanche'!E247,'Calc Snowball'!E247,'Calc Cashflow'!E247)</f>
        <v/>
      </c>
      <c r="I241" s="67">
        <f>CHOOSE(Plan!$K$5,'Calc Smart'!F247,'Calc Avalanche'!F247,'Calc Snowball'!F247,'Calc Cashflow'!F247)</f>
        <v/>
      </c>
      <c r="J241" s="67">
        <f>CHOOSE(Plan!$K$5,'Calc Smart'!G247,'Calc Avalanche'!G247,'Calc Snowball'!G247,'Calc Cashflow'!G247)</f>
        <v/>
      </c>
      <c r="K241" s="67">
        <f>CHOOSE(Plan!$K$5,'Calc Smart'!H247,'Calc Avalanche'!H247,'Calc Snowball'!H247,'Calc Cashflow'!H247)</f>
        <v/>
      </c>
      <c r="L241" s="67">
        <f>CHOOSE(Plan!$K$5,'Calc Smart'!I247,'Calc Avalanche'!I247,'Calc Snowball'!I247,'Calc Cashflow'!I247)</f>
        <v/>
      </c>
      <c r="M241" s="67">
        <f>CHOOSE(Plan!$K$5,'Calc Smart'!J247,'Calc Avalanche'!J247,'Calc Snowball'!J247,'Calc Cashflow'!J247)</f>
        <v/>
      </c>
      <c r="N241" s="67">
        <f>CHOOSE(Plan!$K$5,'Calc Smart'!K247,'Calc Avalanche'!K247,'Calc Snowball'!K247,'Calc Cashflow'!K247)</f>
        <v/>
      </c>
      <c r="O241" s="67">
        <f>CHOOSE(Plan!$K$5,'Calc Smart'!L247,'Calc Avalanche'!L247,'Calc Snowball'!L247,'Calc Cashflow'!L247)</f>
        <v/>
      </c>
      <c r="P241" s="67">
        <f>CHOOSE(Plan!$K$5,'Calc Smart'!M247,'Calc Avalanche'!M247,'Calc Snowball'!M247,'Calc Cashflow'!M247)</f>
        <v/>
      </c>
      <c r="Q241" s="67">
        <f>CHOOSE(Plan!$K$5,'Calc Smart'!N247,'Calc Avalanche'!N247,'Calc Snowball'!N247,'Calc Cashflow'!N247)</f>
        <v/>
      </c>
    </row>
    <row r="242">
      <c r="B242" s="64">
        <f>EDATE(Plan!$C$6,236)</f>
        <v/>
      </c>
      <c r="C242" s="31">
        <f>CHOOSE(Plan!$K$5,'Calc Smart'!AE248,'Calc Avalanche'!AE248,'Calc Snowball'!AE248,'Calc Cashflow'!AE248)</f>
        <v/>
      </c>
      <c r="D242" s="31">
        <f>CHOOSE(Plan!$K$5,'Calc Smart'!AD248,'Calc Avalanche'!AD248,'Calc Snowball'!AD248,'Calc Cashflow'!AD248)</f>
        <v/>
      </c>
      <c r="E242" s="40">
        <f>CHOOSE(Plan!$K$5,COUNTIF('Calc Smart'!C248:N248,"&gt;0"),COUNTIF('Calc Avalanche'!C248:N248,"&gt;0"),COUNTIF('Calc Snowball'!C248:N248,"&gt;0"),COUNTIF('Calc Cashflow'!C248:N248,"&gt;0"))</f>
        <v/>
      </c>
      <c r="F242" s="65">
        <f>CHOOSE(Plan!$K$5,'Calc Smart'!C248,'Calc Avalanche'!C248,'Calc Snowball'!C248,'Calc Cashflow'!C248)</f>
        <v/>
      </c>
      <c r="G242" s="65">
        <f>CHOOSE(Plan!$K$5,'Calc Smart'!D248,'Calc Avalanche'!D248,'Calc Snowball'!D248,'Calc Cashflow'!D248)</f>
        <v/>
      </c>
      <c r="H242" s="65">
        <f>CHOOSE(Plan!$K$5,'Calc Smart'!E248,'Calc Avalanche'!E248,'Calc Snowball'!E248,'Calc Cashflow'!E248)</f>
        <v/>
      </c>
      <c r="I242" s="65">
        <f>CHOOSE(Plan!$K$5,'Calc Smart'!F248,'Calc Avalanche'!F248,'Calc Snowball'!F248,'Calc Cashflow'!F248)</f>
        <v/>
      </c>
      <c r="J242" s="65">
        <f>CHOOSE(Plan!$K$5,'Calc Smart'!G248,'Calc Avalanche'!G248,'Calc Snowball'!G248,'Calc Cashflow'!G248)</f>
        <v/>
      </c>
      <c r="K242" s="65">
        <f>CHOOSE(Plan!$K$5,'Calc Smart'!H248,'Calc Avalanche'!H248,'Calc Snowball'!H248,'Calc Cashflow'!H248)</f>
        <v/>
      </c>
      <c r="L242" s="65">
        <f>CHOOSE(Plan!$K$5,'Calc Smart'!I248,'Calc Avalanche'!I248,'Calc Snowball'!I248,'Calc Cashflow'!I248)</f>
        <v/>
      </c>
      <c r="M242" s="65">
        <f>CHOOSE(Plan!$K$5,'Calc Smart'!J248,'Calc Avalanche'!J248,'Calc Snowball'!J248,'Calc Cashflow'!J248)</f>
        <v/>
      </c>
      <c r="N242" s="65">
        <f>CHOOSE(Plan!$K$5,'Calc Smart'!K248,'Calc Avalanche'!K248,'Calc Snowball'!K248,'Calc Cashflow'!K248)</f>
        <v/>
      </c>
      <c r="O242" s="65">
        <f>CHOOSE(Plan!$K$5,'Calc Smart'!L248,'Calc Avalanche'!L248,'Calc Snowball'!L248,'Calc Cashflow'!L248)</f>
        <v/>
      </c>
      <c r="P242" s="65">
        <f>CHOOSE(Plan!$K$5,'Calc Smart'!M248,'Calc Avalanche'!M248,'Calc Snowball'!M248,'Calc Cashflow'!M248)</f>
        <v/>
      </c>
      <c r="Q242" s="65">
        <f>CHOOSE(Plan!$K$5,'Calc Smart'!N248,'Calc Avalanche'!N248,'Calc Snowball'!N248,'Calc Cashflow'!N248)</f>
        <v/>
      </c>
    </row>
    <row r="243">
      <c r="B243" s="66">
        <f>EDATE(Plan!$C$6,237)</f>
        <v/>
      </c>
      <c r="C243" s="32">
        <f>CHOOSE(Plan!$K$5,'Calc Smart'!AE249,'Calc Avalanche'!AE249,'Calc Snowball'!AE249,'Calc Cashflow'!AE249)</f>
        <v/>
      </c>
      <c r="D243" s="32">
        <f>CHOOSE(Plan!$K$5,'Calc Smart'!AD249,'Calc Avalanche'!AD249,'Calc Snowball'!AD249,'Calc Cashflow'!AD249)</f>
        <v/>
      </c>
      <c r="E243" s="43">
        <f>CHOOSE(Plan!$K$5,COUNTIF('Calc Smart'!C249:N249,"&gt;0"),COUNTIF('Calc Avalanche'!C249:N249,"&gt;0"),COUNTIF('Calc Snowball'!C249:N249,"&gt;0"),COUNTIF('Calc Cashflow'!C249:N249,"&gt;0"))</f>
        <v/>
      </c>
      <c r="F243" s="67">
        <f>CHOOSE(Plan!$K$5,'Calc Smart'!C249,'Calc Avalanche'!C249,'Calc Snowball'!C249,'Calc Cashflow'!C249)</f>
        <v/>
      </c>
      <c r="G243" s="67">
        <f>CHOOSE(Plan!$K$5,'Calc Smart'!D249,'Calc Avalanche'!D249,'Calc Snowball'!D249,'Calc Cashflow'!D249)</f>
        <v/>
      </c>
      <c r="H243" s="67">
        <f>CHOOSE(Plan!$K$5,'Calc Smart'!E249,'Calc Avalanche'!E249,'Calc Snowball'!E249,'Calc Cashflow'!E249)</f>
        <v/>
      </c>
      <c r="I243" s="67">
        <f>CHOOSE(Plan!$K$5,'Calc Smart'!F249,'Calc Avalanche'!F249,'Calc Snowball'!F249,'Calc Cashflow'!F249)</f>
        <v/>
      </c>
      <c r="J243" s="67">
        <f>CHOOSE(Plan!$K$5,'Calc Smart'!G249,'Calc Avalanche'!G249,'Calc Snowball'!G249,'Calc Cashflow'!G249)</f>
        <v/>
      </c>
      <c r="K243" s="67">
        <f>CHOOSE(Plan!$K$5,'Calc Smart'!H249,'Calc Avalanche'!H249,'Calc Snowball'!H249,'Calc Cashflow'!H249)</f>
        <v/>
      </c>
      <c r="L243" s="67">
        <f>CHOOSE(Plan!$K$5,'Calc Smart'!I249,'Calc Avalanche'!I249,'Calc Snowball'!I249,'Calc Cashflow'!I249)</f>
        <v/>
      </c>
      <c r="M243" s="67">
        <f>CHOOSE(Plan!$K$5,'Calc Smart'!J249,'Calc Avalanche'!J249,'Calc Snowball'!J249,'Calc Cashflow'!J249)</f>
        <v/>
      </c>
      <c r="N243" s="67">
        <f>CHOOSE(Plan!$K$5,'Calc Smart'!K249,'Calc Avalanche'!K249,'Calc Snowball'!K249,'Calc Cashflow'!K249)</f>
        <v/>
      </c>
      <c r="O243" s="67">
        <f>CHOOSE(Plan!$K$5,'Calc Smart'!L249,'Calc Avalanche'!L249,'Calc Snowball'!L249,'Calc Cashflow'!L249)</f>
        <v/>
      </c>
      <c r="P243" s="67">
        <f>CHOOSE(Plan!$K$5,'Calc Smart'!M249,'Calc Avalanche'!M249,'Calc Snowball'!M249,'Calc Cashflow'!M249)</f>
        <v/>
      </c>
      <c r="Q243" s="67">
        <f>CHOOSE(Plan!$K$5,'Calc Smart'!N249,'Calc Avalanche'!N249,'Calc Snowball'!N249,'Calc Cashflow'!N249)</f>
        <v/>
      </c>
    </row>
    <row r="244">
      <c r="B244" s="64">
        <f>EDATE(Plan!$C$6,238)</f>
        <v/>
      </c>
      <c r="C244" s="31">
        <f>CHOOSE(Plan!$K$5,'Calc Smart'!AE250,'Calc Avalanche'!AE250,'Calc Snowball'!AE250,'Calc Cashflow'!AE250)</f>
        <v/>
      </c>
      <c r="D244" s="31">
        <f>CHOOSE(Plan!$K$5,'Calc Smart'!AD250,'Calc Avalanche'!AD250,'Calc Snowball'!AD250,'Calc Cashflow'!AD250)</f>
        <v/>
      </c>
      <c r="E244" s="40">
        <f>CHOOSE(Plan!$K$5,COUNTIF('Calc Smart'!C250:N250,"&gt;0"),COUNTIF('Calc Avalanche'!C250:N250,"&gt;0"),COUNTIF('Calc Snowball'!C250:N250,"&gt;0"),COUNTIF('Calc Cashflow'!C250:N250,"&gt;0"))</f>
        <v/>
      </c>
      <c r="F244" s="65">
        <f>CHOOSE(Plan!$K$5,'Calc Smart'!C250,'Calc Avalanche'!C250,'Calc Snowball'!C250,'Calc Cashflow'!C250)</f>
        <v/>
      </c>
      <c r="G244" s="65">
        <f>CHOOSE(Plan!$K$5,'Calc Smart'!D250,'Calc Avalanche'!D250,'Calc Snowball'!D250,'Calc Cashflow'!D250)</f>
        <v/>
      </c>
      <c r="H244" s="65">
        <f>CHOOSE(Plan!$K$5,'Calc Smart'!E250,'Calc Avalanche'!E250,'Calc Snowball'!E250,'Calc Cashflow'!E250)</f>
        <v/>
      </c>
      <c r="I244" s="65">
        <f>CHOOSE(Plan!$K$5,'Calc Smart'!F250,'Calc Avalanche'!F250,'Calc Snowball'!F250,'Calc Cashflow'!F250)</f>
        <v/>
      </c>
      <c r="J244" s="65">
        <f>CHOOSE(Plan!$K$5,'Calc Smart'!G250,'Calc Avalanche'!G250,'Calc Snowball'!G250,'Calc Cashflow'!G250)</f>
        <v/>
      </c>
      <c r="K244" s="65">
        <f>CHOOSE(Plan!$K$5,'Calc Smart'!H250,'Calc Avalanche'!H250,'Calc Snowball'!H250,'Calc Cashflow'!H250)</f>
        <v/>
      </c>
      <c r="L244" s="65">
        <f>CHOOSE(Plan!$K$5,'Calc Smart'!I250,'Calc Avalanche'!I250,'Calc Snowball'!I250,'Calc Cashflow'!I250)</f>
        <v/>
      </c>
      <c r="M244" s="65">
        <f>CHOOSE(Plan!$K$5,'Calc Smart'!J250,'Calc Avalanche'!J250,'Calc Snowball'!J250,'Calc Cashflow'!J250)</f>
        <v/>
      </c>
      <c r="N244" s="65">
        <f>CHOOSE(Plan!$K$5,'Calc Smart'!K250,'Calc Avalanche'!K250,'Calc Snowball'!K250,'Calc Cashflow'!K250)</f>
        <v/>
      </c>
      <c r="O244" s="65">
        <f>CHOOSE(Plan!$K$5,'Calc Smart'!L250,'Calc Avalanche'!L250,'Calc Snowball'!L250,'Calc Cashflow'!L250)</f>
        <v/>
      </c>
      <c r="P244" s="65">
        <f>CHOOSE(Plan!$K$5,'Calc Smart'!M250,'Calc Avalanche'!M250,'Calc Snowball'!M250,'Calc Cashflow'!M250)</f>
        <v/>
      </c>
      <c r="Q244" s="65">
        <f>CHOOSE(Plan!$K$5,'Calc Smart'!N250,'Calc Avalanche'!N250,'Calc Snowball'!N250,'Calc Cashflow'!N250)</f>
        <v/>
      </c>
    </row>
    <row r="245">
      <c r="B245" s="66">
        <f>EDATE(Plan!$C$6,239)</f>
        <v/>
      </c>
      <c r="C245" s="32">
        <f>CHOOSE(Plan!$K$5,'Calc Smart'!AE251,'Calc Avalanche'!AE251,'Calc Snowball'!AE251,'Calc Cashflow'!AE251)</f>
        <v/>
      </c>
      <c r="D245" s="32">
        <f>CHOOSE(Plan!$K$5,'Calc Smart'!AD251,'Calc Avalanche'!AD251,'Calc Snowball'!AD251,'Calc Cashflow'!AD251)</f>
        <v/>
      </c>
      <c r="E245" s="43">
        <f>CHOOSE(Plan!$K$5,COUNTIF('Calc Smart'!C251:N251,"&gt;0"),COUNTIF('Calc Avalanche'!C251:N251,"&gt;0"),COUNTIF('Calc Snowball'!C251:N251,"&gt;0"),COUNTIF('Calc Cashflow'!C251:N251,"&gt;0"))</f>
        <v/>
      </c>
      <c r="F245" s="67">
        <f>CHOOSE(Plan!$K$5,'Calc Smart'!C251,'Calc Avalanche'!C251,'Calc Snowball'!C251,'Calc Cashflow'!C251)</f>
        <v/>
      </c>
      <c r="G245" s="67">
        <f>CHOOSE(Plan!$K$5,'Calc Smart'!D251,'Calc Avalanche'!D251,'Calc Snowball'!D251,'Calc Cashflow'!D251)</f>
        <v/>
      </c>
      <c r="H245" s="67">
        <f>CHOOSE(Plan!$K$5,'Calc Smart'!E251,'Calc Avalanche'!E251,'Calc Snowball'!E251,'Calc Cashflow'!E251)</f>
        <v/>
      </c>
      <c r="I245" s="67">
        <f>CHOOSE(Plan!$K$5,'Calc Smart'!F251,'Calc Avalanche'!F251,'Calc Snowball'!F251,'Calc Cashflow'!F251)</f>
        <v/>
      </c>
      <c r="J245" s="67">
        <f>CHOOSE(Plan!$K$5,'Calc Smart'!G251,'Calc Avalanche'!G251,'Calc Snowball'!G251,'Calc Cashflow'!G251)</f>
        <v/>
      </c>
      <c r="K245" s="67">
        <f>CHOOSE(Plan!$K$5,'Calc Smart'!H251,'Calc Avalanche'!H251,'Calc Snowball'!H251,'Calc Cashflow'!H251)</f>
        <v/>
      </c>
      <c r="L245" s="67">
        <f>CHOOSE(Plan!$K$5,'Calc Smart'!I251,'Calc Avalanche'!I251,'Calc Snowball'!I251,'Calc Cashflow'!I251)</f>
        <v/>
      </c>
      <c r="M245" s="67">
        <f>CHOOSE(Plan!$K$5,'Calc Smart'!J251,'Calc Avalanche'!J251,'Calc Snowball'!J251,'Calc Cashflow'!J251)</f>
        <v/>
      </c>
      <c r="N245" s="67">
        <f>CHOOSE(Plan!$K$5,'Calc Smart'!K251,'Calc Avalanche'!K251,'Calc Snowball'!K251,'Calc Cashflow'!K251)</f>
        <v/>
      </c>
      <c r="O245" s="67">
        <f>CHOOSE(Plan!$K$5,'Calc Smart'!L251,'Calc Avalanche'!L251,'Calc Snowball'!L251,'Calc Cashflow'!L251)</f>
        <v/>
      </c>
      <c r="P245" s="67">
        <f>CHOOSE(Plan!$K$5,'Calc Smart'!M251,'Calc Avalanche'!M251,'Calc Snowball'!M251,'Calc Cashflow'!M251)</f>
        <v/>
      </c>
      <c r="Q245" s="67">
        <f>CHOOSE(Plan!$K$5,'Calc Smart'!N251,'Calc Avalanche'!N251,'Calc Snowball'!N251,'Calc Cashflow'!N251)</f>
        <v/>
      </c>
    </row>
    <row r="246">
      <c r="B246" s="64">
        <f>EDATE(Plan!$C$6,240)</f>
        <v/>
      </c>
      <c r="C246" s="31">
        <f>CHOOSE(Plan!$K$5,'Calc Smart'!AE252,'Calc Avalanche'!AE252,'Calc Snowball'!AE252,'Calc Cashflow'!AE252)</f>
        <v/>
      </c>
      <c r="D246" s="31">
        <f>CHOOSE(Plan!$K$5,'Calc Smart'!AD252,'Calc Avalanche'!AD252,'Calc Snowball'!AD252,'Calc Cashflow'!AD252)</f>
        <v/>
      </c>
      <c r="E246" s="40">
        <f>CHOOSE(Plan!$K$5,COUNTIF('Calc Smart'!C252:N252,"&gt;0"),COUNTIF('Calc Avalanche'!C252:N252,"&gt;0"),COUNTIF('Calc Snowball'!C252:N252,"&gt;0"),COUNTIF('Calc Cashflow'!C252:N252,"&gt;0"))</f>
        <v/>
      </c>
      <c r="F246" s="65">
        <f>CHOOSE(Plan!$K$5,'Calc Smart'!C252,'Calc Avalanche'!C252,'Calc Snowball'!C252,'Calc Cashflow'!C252)</f>
        <v/>
      </c>
      <c r="G246" s="65">
        <f>CHOOSE(Plan!$K$5,'Calc Smart'!D252,'Calc Avalanche'!D252,'Calc Snowball'!D252,'Calc Cashflow'!D252)</f>
        <v/>
      </c>
      <c r="H246" s="65">
        <f>CHOOSE(Plan!$K$5,'Calc Smart'!E252,'Calc Avalanche'!E252,'Calc Snowball'!E252,'Calc Cashflow'!E252)</f>
        <v/>
      </c>
      <c r="I246" s="65">
        <f>CHOOSE(Plan!$K$5,'Calc Smart'!F252,'Calc Avalanche'!F252,'Calc Snowball'!F252,'Calc Cashflow'!F252)</f>
        <v/>
      </c>
      <c r="J246" s="65">
        <f>CHOOSE(Plan!$K$5,'Calc Smart'!G252,'Calc Avalanche'!G252,'Calc Snowball'!G252,'Calc Cashflow'!G252)</f>
        <v/>
      </c>
      <c r="K246" s="65">
        <f>CHOOSE(Plan!$K$5,'Calc Smart'!H252,'Calc Avalanche'!H252,'Calc Snowball'!H252,'Calc Cashflow'!H252)</f>
        <v/>
      </c>
      <c r="L246" s="65">
        <f>CHOOSE(Plan!$K$5,'Calc Smart'!I252,'Calc Avalanche'!I252,'Calc Snowball'!I252,'Calc Cashflow'!I252)</f>
        <v/>
      </c>
      <c r="M246" s="65">
        <f>CHOOSE(Plan!$K$5,'Calc Smart'!J252,'Calc Avalanche'!J252,'Calc Snowball'!J252,'Calc Cashflow'!J252)</f>
        <v/>
      </c>
      <c r="N246" s="65">
        <f>CHOOSE(Plan!$K$5,'Calc Smart'!K252,'Calc Avalanche'!K252,'Calc Snowball'!K252,'Calc Cashflow'!K252)</f>
        <v/>
      </c>
      <c r="O246" s="65">
        <f>CHOOSE(Plan!$K$5,'Calc Smart'!L252,'Calc Avalanche'!L252,'Calc Snowball'!L252,'Calc Cashflow'!L252)</f>
        <v/>
      </c>
      <c r="P246" s="65">
        <f>CHOOSE(Plan!$K$5,'Calc Smart'!M252,'Calc Avalanche'!M252,'Calc Snowball'!M252,'Calc Cashflow'!M252)</f>
        <v/>
      </c>
      <c r="Q246" s="65">
        <f>CHOOSE(Plan!$K$5,'Calc Smart'!N252,'Calc Avalanche'!N252,'Calc Snowball'!N252,'Calc Cashflow'!N252)</f>
        <v/>
      </c>
    </row>
    <row r="247">
      <c r="B247" s="66">
        <f>EDATE(Plan!$C$6,241)</f>
        <v/>
      </c>
      <c r="C247" s="32">
        <f>CHOOSE(Plan!$K$5,'Calc Smart'!AE253,'Calc Avalanche'!AE253,'Calc Snowball'!AE253,'Calc Cashflow'!AE253)</f>
        <v/>
      </c>
      <c r="D247" s="32">
        <f>CHOOSE(Plan!$K$5,'Calc Smart'!AD253,'Calc Avalanche'!AD253,'Calc Snowball'!AD253,'Calc Cashflow'!AD253)</f>
        <v/>
      </c>
      <c r="E247" s="43">
        <f>CHOOSE(Plan!$K$5,COUNTIF('Calc Smart'!C253:N253,"&gt;0"),COUNTIF('Calc Avalanche'!C253:N253,"&gt;0"),COUNTIF('Calc Snowball'!C253:N253,"&gt;0"),COUNTIF('Calc Cashflow'!C253:N253,"&gt;0"))</f>
        <v/>
      </c>
      <c r="F247" s="67">
        <f>CHOOSE(Plan!$K$5,'Calc Smart'!C253,'Calc Avalanche'!C253,'Calc Snowball'!C253,'Calc Cashflow'!C253)</f>
        <v/>
      </c>
      <c r="G247" s="67">
        <f>CHOOSE(Plan!$K$5,'Calc Smart'!D253,'Calc Avalanche'!D253,'Calc Snowball'!D253,'Calc Cashflow'!D253)</f>
        <v/>
      </c>
      <c r="H247" s="67">
        <f>CHOOSE(Plan!$K$5,'Calc Smart'!E253,'Calc Avalanche'!E253,'Calc Snowball'!E253,'Calc Cashflow'!E253)</f>
        <v/>
      </c>
      <c r="I247" s="67">
        <f>CHOOSE(Plan!$K$5,'Calc Smart'!F253,'Calc Avalanche'!F253,'Calc Snowball'!F253,'Calc Cashflow'!F253)</f>
        <v/>
      </c>
      <c r="J247" s="67">
        <f>CHOOSE(Plan!$K$5,'Calc Smart'!G253,'Calc Avalanche'!G253,'Calc Snowball'!G253,'Calc Cashflow'!G253)</f>
        <v/>
      </c>
      <c r="K247" s="67">
        <f>CHOOSE(Plan!$K$5,'Calc Smart'!H253,'Calc Avalanche'!H253,'Calc Snowball'!H253,'Calc Cashflow'!H253)</f>
        <v/>
      </c>
      <c r="L247" s="67">
        <f>CHOOSE(Plan!$K$5,'Calc Smart'!I253,'Calc Avalanche'!I253,'Calc Snowball'!I253,'Calc Cashflow'!I253)</f>
        <v/>
      </c>
      <c r="M247" s="67">
        <f>CHOOSE(Plan!$K$5,'Calc Smart'!J253,'Calc Avalanche'!J253,'Calc Snowball'!J253,'Calc Cashflow'!J253)</f>
        <v/>
      </c>
      <c r="N247" s="67">
        <f>CHOOSE(Plan!$K$5,'Calc Smart'!K253,'Calc Avalanche'!K253,'Calc Snowball'!K253,'Calc Cashflow'!K253)</f>
        <v/>
      </c>
      <c r="O247" s="67">
        <f>CHOOSE(Plan!$K$5,'Calc Smart'!L253,'Calc Avalanche'!L253,'Calc Snowball'!L253,'Calc Cashflow'!L253)</f>
        <v/>
      </c>
      <c r="P247" s="67">
        <f>CHOOSE(Plan!$K$5,'Calc Smart'!M253,'Calc Avalanche'!M253,'Calc Snowball'!M253,'Calc Cashflow'!M253)</f>
        <v/>
      </c>
      <c r="Q247" s="67">
        <f>CHOOSE(Plan!$K$5,'Calc Smart'!N253,'Calc Avalanche'!N253,'Calc Snowball'!N253,'Calc Cashflow'!N253)</f>
        <v/>
      </c>
    </row>
    <row r="248">
      <c r="B248" s="64">
        <f>EDATE(Plan!$C$6,242)</f>
        <v/>
      </c>
      <c r="C248" s="31">
        <f>CHOOSE(Plan!$K$5,'Calc Smart'!AE254,'Calc Avalanche'!AE254,'Calc Snowball'!AE254,'Calc Cashflow'!AE254)</f>
        <v/>
      </c>
      <c r="D248" s="31">
        <f>CHOOSE(Plan!$K$5,'Calc Smart'!AD254,'Calc Avalanche'!AD254,'Calc Snowball'!AD254,'Calc Cashflow'!AD254)</f>
        <v/>
      </c>
      <c r="E248" s="40">
        <f>CHOOSE(Plan!$K$5,COUNTIF('Calc Smart'!C254:N254,"&gt;0"),COUNTIF('Calc Avalanche'!C254:N254,"&gt;0"),COUNTIF('Calc Snowball'!C254:N254,"&gt;0"),COUNTIF('Calc Cashflow'!C254:N254,"&gt;0"))</f>
        <v/>
      </c>
      <c r="F248" s="65">
        <f>CHOOSE(Plan!$K$5,'Calc Smart'!C254,'Calc Avalanche'!C254,'Calc Snowball'!C254,'Calc Cashflow'!C254)</f>
        <v/>
      </c>
      <c r="G248" s="65">
        <f>CHOOSE(Plan!$K$5,'Calc Smart'!D254,'Calc Avalanche'!D254,'Calc Snowball'!D254,'Calc Cashflow'!D254)</f>
        <v/>
      </c>
      <c r="H248" s="65">
        <f>CHOOSE(Plan!$K$5,'Calc Smart'!E254,'Calc Avalanche'!E254,'Calc Snowball'!E254,'Calc Cashflow'!E254)</f>
        <v/>
      </c>
      <c r="I248" s="65">
        <f>CHOOSE(Plan!$K$5,'Calc Smart'!F254,'Calc Avalanche'!F254,'Calc Snowball'!F254,'Calc Cashflow'!F254)</f>
        <v/>
      </c>
      <c r="J248" s="65">
        <f>CHOOSE(Plan!$K$5,'Calc Smart'!G254,'Calc Avalanche'!G254,'Calc Snowball'!G254,'Calc Cashflow'!G254)</f>
        <v/>
      </c>
      <c r="K248" s="65">
        <f>CHOOSE(Plan!$K$5,'Calc Smart'!H254,'Calc Avalanche'!H254,'Calc Snowball'!H254,'Calc Cashflow'!H254)</f>
        <v/>
      </c>
      <c r="L248" s="65">
        <f>CHOOSE(Plan!$K$5,'Calc Smart'!I254,'Calc Avalanche'!I254,'Calc Snowball'!I254,'Calc Cashflow'!I254)</f>
        <v/>
      </c>
      <c r="M248" s="65">
        <f>CHOOSE(Plan!$K$5,'Calc Smart'!J254,'Calc Avalanche'!J254,'Calc Snowball'!J254,'Calc Cashflow'!J254)</f>
        <v/>
      </c>
      <c r="N248" s="65">
        <f>CHOOSE(Plan!$K$5,'Calc Smart'!K254,'Calc Avalanche'!K254,'Calc Snowball'!K254,'Calc Cashflow'!K254)</f>
        <v/>
      </c>
      <c r="O248" s="65">
        <f>CHOOSE(Plan!$K$5,'Calc Smart'!L254,'Calc Avalanche'!L254,'Calc Snowball'!L254,'Calc Cashflow'!L254)</f>
        <v/>
      </c>
      <c r="P248" s="65">
        <f>CHOOSE(Plan!$K$5,'Calc Smart'!M254,'Calc Avalanche'!M254,'Calc Snowball'!M254,'Calc Cashflow'!M254)</f>
        <v/>
      </c>
      <c r="Q248" s="65">
        <f>CHOOSE(Plan!$K$5,'Calc Smart'!N254,'Calc Avalanche'!N254,'Calc Snowball'!N254,'Calc Cashflow'!N254)</f>
        <v/>
      </c>
    </row>
    <row r="249">
      <c r="B249" s="66">
        <f>EDATE(Plan!$C$6,243)</f>
        <v/>
      </c>
      <c r="C249" s="32">
        <f>CHOOSE(Plan!$K$5,'Calc Smart'!AE255,'Calc Avalanche'!AE255,'Calc Snowball'!AE255,'Calc Cashflow'!AE255)</f>
        <v/>
      </c>
      <c r="D249" s="32">
        <f>CHOOSE(Plan!$K$5,'Calc Smart'!AD255,'Calc Avalanche'!AD255,'Calc Snowball'!AD255,'Calc Cashflow'!AD255)</f>
        <v/>
      </c>
      <c r="E249" s="43">
        <f>CHOOSE(Plan!$K$5,COUNTIF('Calc Smart'!C255:N255,"&gt;0"),COUNTIF('Calc Avalanche'!C255:N255,"&gt;0"),COUNTIF('Calc Snowball'!C255:N255,"&gt;0"),COUNTIF('Calc Cashflow'!C255:N255,"&gt;0"))</f>
        <v/>
      </c>
      <c r="F249" s="67">
        <f>CHOOSE(Plan!$K$5,'Calc Smart'!C255,'Calc Avalanche'!C255,'Calc Snowball'!C255,'Calc Cashflow'!C255)</f>
        <v/>
      </c>
      <c r="G249" s="67">
        <f>CHOOSE(Plan!$K$5,'Calc Smart'!D255,'Calc Avalanche'!D255,'Calc Snowball'!D255,'Calc Cashflow'!D255)</f>
        <v/>
      </c>
      <c r="H249" s="67">
        <f>CHOOSE(Plan!$K$5,'Calc Smart'!E255,'Calc Avalanche'!E255,'Calc Snowball'!E255,'Calc Cashflow'!E255)</f>
        <v/>
      </c>
      <c r="I249" s="67">
        <f>CHOOSE(Plan!$K$5,'Calc Smart'!F255,'Calc Avalanche'!F255,'Calc Snowball'!F255,'Calc Cashflow'!F255)</f>
        <v/>
      </c>
      <c r="J249" s="67">
        <f>CHOOSE(Plan!$K$5,'Calc Smart'!G255,'Calc Avalanche'!G255,'Calc Snowball'!G255,'Calc Cashflow'!G255)</f>
        <v/>
      </c>
      <c r="K249" s="67">
        <f>CHOOSE(Plan!$K$5,'Calc Smart'!H255,'Calc Avalanche'!H255,'Calc Snowball'!H255,'Calc Cashflow'!H255)</f>
        <v/>
      </c>
      <c r="L249" s="67">
        <f>CHOOSE(Plan!$K$5,'Calc Smart'!I255,'Calc Avalanche'!I255,'Calc Snowball'!I255,'Calc Cashflow'!I255)</f>
        <v/>
      </c>
      <c r="M249" s="67">
        <f>CHOOSE(Plan!$K$5,'Calc Smart'!J255,'Calc Avalanche'!J255,'Calc Snowball'!J255,'Calc Cashflow'!J255)</f>
        <v/>
      </c>
      <c r="N249" s="67">
        <f>CHOOSE(Plan!$K$5,'Calc Smart'!K255,'Calc Avalanche'!K255,'Calc Snowball'!K255,'Calc Cashflow'!K255)</f>
        <v/>
      </c>
      <c r="O249" s="67">
        <f>CHOOSE(Plan!$K$5,'Calc Smart'!L255,'Calc Avalanche'!L255,'Calc Snowball'!L255,'Calc Cashflow'!L255)</f>
        <v/>
      </c>
      <c r="P249" s="67">
        <f>CHOOSE(Plan!$K$5,'Calc Smart'!M255,'Calc Avalanche'!M255,'Calc Snowball'!M255,'Calc Cashflow'!M255)</f>
        <v/>
      </c>
      <c r="Q249" s="67">
        <f>CHOOSE(Plan!$K$5,'Calc Smart'!N255,'Calc Avalanche'!N255,'Calc Snowball'!N255,'Calc Cashflow'!N255)</f>
        <v/>
      </c>
    </row>
    <row r="250">
      <c r="B250" s="64">
        <f>EDATE(Plan!$C$6,244)</f>
        <v/>
      </c>
      <c r="C250" s="31">
        <f>CHOOSE(Plan!$K$5,'Calc Smart'!AE256,'Calc Avalanche'!AE256,'Calc Snowball'!AE256,'Calc Cashflow'!AE256)</f>
        <v/>
      </c>
      <c r="D250" s="31">
        <f>CHOOSE(Plan!$K$5,'Calc Smart'!AD256,'Calc Avalanche'!AD256,'Calc Snowball'!AD256,'Calc Cashflow'!AD256)</f>
        <v/>
      </c>
      <c r="E250" s="40">
        <f>CHOOSE(Plan!$K$5,COUNTIF('Calc Smart'!C256:N256,"&gt;0"),COUNTIF('Calc Avalanche'!C256:N256,"&gt;0"),COUNTIF('Calc Snowball'!C256:N256,"&gt;0"),COUNTIF('Calc Cashflow'!C256:N256,"&gt;0"))</f>
        <v/>
      </c>
      <c r="F250" s="65">
        <f>CHOOSE(Plan!$K$5,'Calc Smart'!C256,'Calc Avalanche'!C256,'Calc Snowball'!C256,'Calc Cashflow'!C256)</f>
        <v/>
      </c>
      <c r="G250" s="65">
        <f>CHOOSE(Plan!$K$5,'Calc Smart'!D256,'Calc Avalanche'!D256,'Calc Snowball'!D256,'Calc Cashflow'!D256)</f>
        <v/>
      </c>
      <c r="H250" s="65">
        <f>CHOOSE(Plan!$K$5,'Calc Smart'!E256,'Calc Avalanche'!E256,'Calc Snowball'!E256,'Calc Cashflow'!E256)</f>
        <v/>
      </c>
      <c r="I250" s="65">
        <f>CHOOSE(Plan!$K$5,'Calc Smart'!F256,'Calc Avalanche'!F256,'Calc Snowball'!F256,'Calc Cashflow'!F256)</f>
        <v/>
      </c>
      <c r="J250" s="65">
        <f>CHOOSE(Plan!$K$5,'Calc Smart'!G256,'Calc Avalanche'!G256,'Calc Snowball'!G256,'Calc Cashflow'!G256)</f>
        <v/>
      </c>
      <c r="K250" s="65">
        <f>CHOOSE(Plan!$K$5,'Calc Smart'!H256,'Calc Avalanche'!H256,'Calc Snowball'!H256,'Calc Cashflow'!H256)</f>
        <v/>
      </c>
      <c r="L250" s="65">
        <f>CHOOSE(Plan!$K$5,'Calc Smart'!I256,'Calc Avalanche'!I256,'Calc Snowball'!I256,'Calc Cashflow'!I256)</f>
        <v/>
      </c>
      <c r="M250" s="65">
        <f>CHOOSE(Plan!$K$5,'Calc Smart'!J256,'Calc Avalanche'!J256,'Calc Snowball'!J256,'Calc Cashflow'!J256)</f>
        <v/>
      </c>
      <c r="N250" s="65">
        <f>CHOOSE(Plan!$K$5,'Calc Smart'!K256,'Calc Avalanche'!K256,'Calc Snowball'!K256,'Calc Cashflow'!K256)</f>
        <v/>
      </c>
      <c r="O250" s="65">
        <f>CHOOSE(Plan!$K$5,'Calc Smart'!L256,'Calc Avalanche'!L256,'Calc Snowball'!L256,'Calc Cashflow'!L256)</f>
        <v/>
      </c>
      <c r="P250" s="65">
        <f>CHOOSE(Plan!$K$5,'Calc Smart'!M256,'Calc Avalanche'!M256,'Calc Snowball'!M256,'Calc Cashflow'!M256)</f>
        <v/>
      </c>
      <c r="Q250" s="65">
        <f>CHOOSE(Plan!$K$5,'Calc Smart'!N256,'Calc Avalanche'!N256,'Calc Snowball'!N256,'Calc Cashflow'!N256)</f>
        <v/>
      </c>
    </row>
    <row r="251">
      <c r="B251" s="66">
        <f>EDATE(Plan!$C$6,245)</f>
        <v/>
      </c>
      <c r="C251" s="32">
        <f>CHOOSE(Plan!$K$5,'Calc Smart'!AE257,'Calc Avalanche'!AE257,'Calc Snowball'!AE257,'Calc Cashflow'!AE257)</f>
        <v/>
      </c>
      <c r="D251" s="32">
        <f>CHOOSE(Plan!$K$5,'Calc Smart'!AD257,'Calc Avalanche'!AD257,'Calc Snowball'!AD257,'Calc Cashflow'!AD257)</f>
        <v/>
      </c>
      <c r="E251" s="43">
        <f>CHOOSE(Plan!$K$5,COUNTIF('Calc Smart'!C257:N257,"&gt;0"),COUNTIF('Calc Avalanche'!C257:N257,"&gt;0"),COUNTIF('Calc Snowball'!C257:N257,"&gt;0"),COUNTIF('Calc Cashflow'!C257:N257,"&gt;0"))</f>
        <v/>
      </c>
      <c r="F251" s="67">
        <f>CHOOSE(Plan!$K$5,'Calc Smart'!C257,'Calc Avalanche'!C257,'Calc Snowball'!C257,'Calc Cashflow'!C257)</f>
        <v/>
      </c>
      <c r="G251" s="67">
        <f>CHOOSE(Plan!$K$5,'Calc Smart'!D257,'Calc Avalanche'!D257,'Calc Snowball'!D257,'Calc Cashflow'!D257)</f>
        <v/>
      </c>
      <c r="H251" s="67">
        <f>CHOOSE(Plan!$K$5,'Calc Smart'!E257,'Calc Avalanche'!E257,'Calc Snowball'!E257,'Calc Cashflow'!E257)</f>
        <v/>
      </c>
      <c r="I251" s="67">
        <f>CHOOSE(Plan!$K$5,'Calc Smart'!F257,'Calc Avalanche'!F257,'Calc Snowball'!F257,'Calc Cashflow'!F257)</f>
        <v/>
      </c>
      <c r="J251" s="67">
        <f>CHOOSE(Plan!$K$5,'Calc Smart'!G257,'Calc Avalanche'!G257,'Calc Snowball'!G257,'Calc Cashflow'!G257)</f>
        <v/>
      </c>
      <c r="K251" s="67">
        <f>CHOOSE(Plan!$K$5,'Calc Smart'!H257,'Calc Avalanche'!H257,'Calc Snowball'!H257,'Calc Cashflow'!H257)</f>
        <v/>
      </c>
      <c r="L251" s="67">
        <f>CHOOSE(Plan!$K$5,'Calc Smart'!I257,'Calc Avalanche'!I257,'Calc Snowball'!I257,'Calc Cashflow'!I257)</f>
        <v/>
      </c>
      <c r="M251" s="67">
        <f>CHOOSE(Plan!$K$5,'Calc Smart'!J257,'Calc Avalanche'!J257,'Calc Snowball'!J257,'Calc Cashflow'!J257)</f>
        <v/>
      </c>
      <c r="N251" s="67">
        <f>CHOOSE(Plan!$K$5,'Calc Smart'!K257,'Calc Avalanche'!K257,'Calc Snowball'!K257,'Calc Cashflow'!K257)</f>
        <v/>
      </c>
      <c r="O251" s="67">
        <f>CHOOSE(Plan!$K$5,'Calc Smart'!L257,'Calc Avalanche'!L257,'Calc Snowball'!L257,'Calc Cashflow'!L257)</f>
        <v/>
      </c>
      <c r="P251" s="67">
        <f>CHOOSE(Plan!$K$5,'Calc Smart'!M257,'Calc Avalanche'!M257,'Calc Snowball'!M257,'Calc Cashflow'!M257)</f>
        <v/>
      </c>
      <c r="Q251" s="67">
        <f>CHOOSE(Plan!$K$5,'Calc Smart'!N257,'Calc Avalanche'!N257,'Calc Snowball'!N257,'Calc Cashflow'!N257)</f>
        <v/>
      </c>
    </row>
    <row r="252">
      <c r="B252" s="64">
        <f>EDATE(Plan!$C$6,246)</f>
        <v/>
      </c>
      <c r="C252" s="31">
        <f>CHOOSE(Plan!$K$5,'Calc Smart'!AE258,'Calc Avalanche'!AE258,'Calc Snowball'!AE258,'Calc Cashflow'!AE258)</f>
        <v/>
      </c>
      <c r="D252" s="31">
        <f>CHOOSE(Plan!$K$5,'Calc Smart'!AD258,'Calc Avalanche'!AD258,'Calc Snowball'!AD258,'Calc Cashflow'!AD258)</f>
        <v/>
      </c>
      <c r="E252" s="40">
        <f>CHOOSE(Plan!$K$5,COUNTIF('Calc Smart'!C258:N258,"&gt;0"),COUNTIF('Calc Avalanche'!C258:N258,"&gt;0"),COUNTIF('Calc Snowball'!C258:N258,"&gt;0"),COUNTIF('Calc Cashflow'!C258:N258,"&gt;0"))</f>
        <v/>
      </c>
      <c r="F252" s="65">
        <f>CHOOSE(Plan!$K$5,'Calc Smart'!C258,'Calc Avalanche'!C258,'Calc Snowball'!C258,'Calc Cashflow'!C258)</f>
        <v/>
      </c>
      <c r="G252" s="65">
        <f>CHOOSE(Plan!$K$5,'Calc Smart'!D258,'Calc Avalanche'!D258,'Calc Snowball'!D258,'Calc Cashflow'!D258)</f>
        <v/>
      </c>
      <c r="H252" s="65">
        <f>CHOOSE(Plan!$K$5,'Calc Smart'!E258,'Calc Avalanche'!E258,'Calc Snowball'!E258,'Calc Cashflow'!E258)</f>
        <v/>
      </c>
      <c r="I252" s="65">
        <f>CHOOSE(Plan!$K$5,'Calc Smart'!F258,'Calc Avalanche'!F258,'Calc Snowball'!F258,'Calc Cashflow'!F258)</f>
        <v/>
      </c>
      <c r="J252" s="65">
        <f>CHOOSE(Plan!$K$5,'Calc Smart'!G258,'Calc Avalanche'!G258,'Calc Snowball'!G258,'Calc Cashflow'!G258)</f>
        <v/>
      </c>
      <c r="K252" s="65">
        <f>CHOOSE(Plan!$K$5,'Calc Smart'!H258,'Calc Avalanche'!H258,'Calc Snowball'!H258,'Calc Cashflow'!H258)</f>
        <v/>
      </c>
      <c r="L252" s="65">
        <f>CHOOSE(Plan!$K$5,'Calc Smart'!I258,'Calc Avalanche'!I258,'Calc Snowball'!I258,'Calc Cashflow'!I258)</f>
        <v/>
      </c>
      <c r="M252" s="65">
        <f>CHOOSE(Plan!$K$5,'Calc Smart'!J258,'Calc Avalanche'!J258,'Calc Snowball'!J258,'Calc Cashflow'!J258)</f>
        <v/>
      </c>
      <c r="N252" s="65">
        <f>CHOOSE(Plan!$K$5,'Calc Smart'!K258,'Calc Avalanche'!K258,'Calc Snowball'!K258,'Calc Cashflow'!K258)</f>
        <v/>
      </c>
      <c r="O252" s="65">
        <f>CHOOSE(Plan!$K$5,'Calc Smart'!L258,'Calc Avalanche'!L258,'Calc Snowball'!L258,'Calc Cashflow'!L258)</f>
        <v/>
      </c>
      <c r="P252" s="65">
        <f>CHOOSE(Plan!$K$5,'Calc Smart'!M258,'Calc Avalanche'!M258,'Calc Snowball'!M258,'Calc Cashflow'!M258)</f>
        <v/>
      </c>
      <c r="Q252" s="65">
        <f>CHOOSE(Plan!$K$5,'Calc Smart'!N258,'Calc Avalanche'!N258,'Calc Snowball'!N258,'Calc Cashflow'!N258)</f>
        <v/>
      </c>
    </row>
    <row r="253">
      <c r="B253" s="66">
        <f>EDATE(Plan!$C$6,247)</f>
        <v/>
      </c>
      <c r="C253" s="32">
        <f>CHOOSE(Plan!$K$5,'Calc Smart'!AE259,'Calc Avalanche'!AE259,'Calc Snowball'!AE259,'Calc Cashflow'!AE259)</f>
        <v/>
      </c>
      <c r="D253" s="32">
        <f>CHOOSE(Plan!$K$5,'Calc Smart'!AD259,'Calc Avalanche'!AD259,'Calc Snowball'!AD259,'Calc Cashflow'!AD259)</f>
        <v/>
      </c>
      <c r="E253" s="43">
        <f>CHOOSE(Plan!$K$5,COUNTIF('Calc Smart'!C259:N259,"&gt;0"),COUNTIF('Calc Avalanche'!C259:N259,"&gt;0"),COUNTIF('Calc Snowball'!C259:N259,"&gt;0"),COUNTIF('Calc Cashflow'!C259:N259,"&gt;0"))</f>
        <v/>
      </c>
      <c r="F253" s="67">
        <f>CHOOSE(Plan!$K$5,'Calc Smart'!C259,'Calc Avalanche'!C259,'Calc Snowball'!C259,'Calc Cashflow'!C259)</f>
        <v/>
      </c>
      <c r="G253" s="67">
        <f>CHOOSE(Plan!$K$5,'Calc Smart'!D259,'Calc Avalanche'!D259,'Calc Snowball'!D259,'Calc Cashflow'!D259)</f>
        <v/>
      </c>
      <c r="H253" s="67">
        <f>CHOOSE(Plan!$K$5,'Calc Smart'!E259,'Calc Avalanche'!E259,'Calc Snowball'!E259,'Calc Cashflow'!E259)</f>
        <v/>
      </c>
      <c r="I253" s="67">
        <f>CHOOSE(Plan!$K$5,'Calc Smart'!F259,'Calc Avalanche'!F259,'Calc Snowball'!F259,'Calc Cashflow'!F259)</f>
        <v/>
      </c>
      <c r="J253" s="67">
        <f>CHOOSE(Plan!$K$5,'Calc Smart'!G259,'Calc Avalanche'!G259,'Calc Snowball'!G259,'Calc Cashflow'!G259)</f>
        <v/>
      </c>
      <c r="K253" s="67">
        <f>CHOOSE(Plan!$K$5,'Calc Smart'!H259,'Calc Avalanche'!H259,'Calc Snowball'!H259,'Calc Cashflow'!H259)</f>
        <v/>
      </c>
      <c r="L253" s="67">
        <f>CHOOSE(Plan!$K$5,'Calc Smart'!I259,'Calc Avalanche'!I259,'Calc Snowball'!I259,'Calc Cashflow'!I259)</f>
        <v/>
      </c>
      <c r="M253" s="67">
        <f>CHOOSE(Plan!$K$5,'Calc Smart'!J259,'Calc Avalanche'!J259,'Calc Snowball'!J259,'Calc Cashflow'!J259)</f>
        <v/>
      </c>
      <c r="N253" s="67">
        <f>CHOOSE(Plan!$K$5,'Calc Smart'!K259,'Calc Avalanche'!K259,'Calc Snowball'!K259,'Calc Cashflow'!K259)</f>
        <v/>
      </c>
      <c r="O253" s="67">
        <f>CHOOSE(Plan!$K$5,'Calc Smart'!L259,'Calc Avalanche'!L259,'Calc Snowball'!L259,'Calc Cashflow'!L259)</f>
        <v/>
      </c>
      <c r="P253" s="67">
        <f>CHOOSE(Plan!$K$5,'Calc Smart'!M259,'Calc Avalanche'!M259,'Calc Snowball'!M259,'Calc Cashflow'!M259)</f>
        <v/>
      </c>
      <c r="Q253" s="67">
        <f>CHOOSE(Plan!$K$5,'Calc Smart'!N259,'Calc Avalanche'!N259,'Calc Snowball'!N259,'Calc Cashflow'!N259)</f>
        <v/>
      </c>
    </row>
    <row r="254">
      <c r="B254" s="64">
        <f>EDATE(Plan!$C$6,248)</f>
        <v/>
      </c>
      <c r="C254" s="31">
        <f>CHOOSE(Plan!$K$5,'Calc Smart'!AE260,'Calc Avalanche'!AE260,'Calc Snowball'!AE260,'Calc Cashflow'!AE260)</f>
        <v/>
      </c>
      <c r="D254" s="31">
        <f>CHOOSE(Plan!$K$5,'Calc Smart'!AD260,'Calc Avalanche'!AD260,'Calc Snowball'!AD260,'Calc Cashflow'!AD260)</f>
        <v/>
      </c>
      <c r="E254" s="40">
        <f>CHOOSE(Plan!$K$5,COUNTIF('Calc Smart'!C260:N260,"&gt;0"),COUNTIF('Calc Avalanche'!C260:N260,"&gt;0"),COUNTIF('Calc Snowball'!C260:N260,"&gt;0"),COUNTIF('Calc Cashflow'!C260:N260,"&gt;0"))</f>
        <v/>
      </c>
      <c r="F254" s="65">
        <f>CHOOSE(Plan!$K$5,'Calc Smart'!C260,'Calc Avalanche'!C260,'Calc Snowball'!C260,'Calc Cashflow'!C260)</f>
        <v/>
      </c>
      <c r="G254" s="65">
        <f>CHOOSE(Plan!$K$5,'Calc Smart'!D260,'Calc Avalanche'!D260,'Calc Snowball'!D260,'Calc Cashflow'!D260)</f>
        <v/>
      </c>
      <c r="H254" s="65">
        <f>CHOOSE(Plan!$K$5,'Calc Smart'!E260,'Calc Avalanche'!E260,'Calc Snowball'!E260,'Calc Cashflow'!E260)</f>
        <v/>
      </c>
      <c r="I254" s="65">
        <f>CHOOSE(Plan!$K$5,'Calc Smart'!F260,'Calc Avalanche'!F260,'Calc Snowball'!F260,'Calc Cashflow'!F260)</f>
        <v/>
      </c>
      <c r="J254" s="65">
        <f>CHOOSE(Plan!$K$5,'Calc Smart'!G260,'Calc Avalanche'!G260,'Calc Snowball'!G260,'Calc Cashflow'!G260)</f>
        <v/>
      </c>
      <c r="K254" s="65">
        <f>CHOOSE(Plan!$K$5,'Calc Smart'!H260,'Calc Avalanche'!H260,'Calc Snowball'!H260,'Calc Cashflow'!H260)</f>
        <v/>
      </c>
      <c r="L254" s="65">
        <f>CHOOSE(Plan!$K$5,'Calc Smart'!I260,'Calc Avalanche'!I260,'Calc Snowball'!I260,'Calc Cashflow'!I260)</f>
        <v/>
      </c>
      <c r="M254" s="65">
        <f>CHOOSE(Plan!$K$5,'Calc Smart'!J260,'Calc Avalanche'!J260,'Calc Snowball'!J260,'Calc Cashflow'!J260)</f>
        <v/>
      </c>
      <c r="N254" s="65">
        <f>CHOOSE(Plan!$K$5,'Calc Smart'!K260,'Calc Avalanche'!K260,'Calc Snowball'!K260,'Calc Cashflow'!K260)</f>
        <v/>
      </c>
      <c r="O254" s="65">
        <f>CHOOSE(Plan!$K$5,'Calc Smart'!L260,'Calc Avalanche'!L260,'Calc Snowball'!L260,'Calc Cashflow'!L260)</f>
        <v/>
      </c>
      <c r="P254" s="65">
        <f>CHOOSE(Plan!$K$5,'Calc Smart'!M260,'Calc Avalanche'!M260,'Calc Snowball'!M260,'Calc Cashflow'!M260)</f>
        <v/>
      </c>
      <c r="Q254" s="65">
        <f>CHOOSE(Plan!$K$5,'Calc Smart'!N260,'Calc Avalanche'!N260,'Calc Snowball'!N260,'Calc Cashflow'!N260)</f>
        <v/>
      </c>
    </row>
    <row r="255">
      <c r="B255" s="66">
        <f>EDATE(Plan!$C$6,249)</f>
        <v/>
      </c>
      <c r="C255" s="32">
        <f>CHOOSE(Plan!$K$5,'Calc Smart'!AE261,'Calc Avalanche'!AE261,'Calc Snowball'!AE261,'Calc Cashflow'!AE261)</f>
        <v/>
      </c>
      <c r="D255" s="32">
        <f>CHOOSE(Plan!$K$5,'Calc Smart'!AD261,'Calc Avalanche'!AD261,'Calc Snowball'!AD261,'Calc Cashflow'!AD261)</f>
        <v/>
      </c>
      <c r="E255" s="43">
        <f>CHOOSE(Plan!$K$5,COUNTIF('Calc Smart'!C261:N261,"&gt;0"),COUNTIF('Calc Avalanche'!C261:N261,"&gt;0"),COUNTIF('Calc Snowball'!C261:N261,"&gt;0"),COUNTIF('Calc Cashflow'!C261:N261,"&gt;0"))</f>
        <v/>
      </c>
      <c r="F255" s="67">
        <f>CHOOSE(Plan!$K$5,'Calc Smart'!C261,'Calc Avalanche'!C261,'Calc Snowball'!C261,'Calc Cashflow'!C261)</f>
        <v/>
      </c>
      <c r="G255" s="67">
        <f>CHOOSE(Plan!$K$5,'Calc Smart'!D261,'Calc Avalanche'!D261,'Calc Snowball'!D261,'Calc Cashflow'!D261)</f>
        <v/>
      </c>
      <c r="H255" s="67">
        <f>CHOOSE(Plan!$K$5,'Calc Smart'!E261,'Calc Avalanche'!E261,'Calc Snowball'!E261,'Calc Cashflow'!E261)</f>
        <v/>
      </c>
      <c r="I255" s="67">
        <f>CHOOSE(Plan!$K$5,'Calc Smart'!F261,'Calc Avalanche'!F261,'Calc Snowball'!F261,'Calc Cashflow'!F261)</f>
        <v/>
      </c>
      <c r="J255" s="67">
        <f>CHOOSE(Plan!$K$5,'Calc Smart'!G261,'Calc Avalanche'!G261,'Calc Snowball'!G261,'Calc Cashflow'!G261)</f>
        <v/>
      </c>
      <c r="K255" s="67">
        <f>CHOOSE(Plan!$K$5,'Calc Smart'!H261,'Calc Avalanche'!H261,'Calc Snowball'!H261,'Calc Cashflow'!H261)</f>
        <v/>
      </c>
      <c r="L255" s="67">
        <f>CHOOSE(Plan!$K$5,'Calc Smart'!I261,'Calc Avalanche'!I261,'Calc Snowball'!I261,'Calc Cashflow'!I261)</f>
        <v/>
      </c>
      <c r="M255" s="67">
        <f>CHOOSE(Plan!$K$5,'Calc Smart'!J261,'Calc Avalanche'!J261,'Calc Snowball'!J261,'Calc Cashflow'!J261)</f>
        <v/>
      </c>
      <c r="N255" s="67">
        <f>CHOOSE(Plan!$K$5,'Calc Smart'!K261,'Calc Avalanche'!K261,'Calc Snowball'!K261,'Calc Cashflow'!K261)</f>
        <v/>
      </c>
      <c r="O255" s="67">
        <f>CHOOSE(Plan!$K$5,'Calc Smart'!L261,'Calc Avalanche'!L261,'Calc Snowball'!L261,'Calc Cashflow'!L261)</f>
        <v/>
      </c>
      <c r="P255" s="67">
        <f>CHOOSE(Plan!$K$5,'Calc Smart'!M261,'Calc Avalanche'!M261,'Calc Snowball'!M261,'Calc Cashflow'!M261)</f>
        <v/>
      </c>
      <c r="Q255" s="67">
        <f>CHOOSE(Plan!$K$5,'Calc Smart'!N261,'Calc Avalanche'!N261,'Calc Snowball'!N261,'Calc Cashflow'!N261)</f>
        <v/>
      </c>
    </row>
    <row r="256">
      <c r="B256" s="64">
        <f>EDATE(Plan!$C$6,250)</f>
        <v/>
      </c>
      <c r="C256" s="31">
        <f>CHOOSE(Plan!$K$5,'Calc Smart'!AE262,'Calc Avalanche'!AE262,'Calc Snowball'!AE262,'Calc Cashflow'!AE262)</f>
        <v/>
      </c>
      <c r="D256" s="31">
        <f>CHOOSE(Plan!$K$5,'Calc Smart'!AD262,'Calc Avalanche'!AD262,'Calc Snowball'!AD262,'Calc Cashflow'!AD262)</f>
        <v/>
      </c>
      <c r="E256" s="40">
        <f>CHOOSE(Plan!$K$5,COUNTIF('Calc Smart'!C262:N262,"&gt;0"),COUNTIF('Calc Avalanche'!C262:N262,"&gt;0"),COUNTIF('Calc Snowball'!C262:N262,"&gt;0"),COUNTIF('Calc Cashflow'!C262:N262,"&gt;0"))</f>
        <v/>
      </c>
      <c r="F256" s="65">
        <f>CHOOSE(Plan!$K$5,'Calc Smart'!C262,'Calc Avalanche'!C262,'Calc Snowball'!C262,'Calc Cashflow'!C262)</f>
        <v/>
      </c>
      <c r="G256" s="65">
        <f>CHOOSE(Plan!$K$5,'Calc Smart'!D262,'Calc Avalanche'!D262,'Calc Snowball'!D262,'Calc Cashflow'!D262)</f>
        <v/>
      </c>
      <c r="H256" s="65">
        <f>CHOOSE(Plan!$K$5,'Calc Smart'!E262,'Calc Avalanche'!E262,'Calc Snowball'!E262,'Calc Cashflow'!E262)</f>
        <v/>
      </c>
      <c r="I256" s="65">
        <f>CHOOSE(Plan!$K$5,'Calc Smart'!F262,'Calc Avalanche'!F262,'Calc Snowball'!F262,'Calc Cashflow'!F262)</f>
        <v/>
      </c>
      <c r="J256" s="65">
        <f>CHOOSE(Plan!$K$5,'Calc Smart'!G262,'Calc Avalanche'!G262,'Calc Snowball'!G262,'Calc Cashflow'!G262)</f>
        <v/>
      </c>
      <c r="K256" s="65">
        <f>CHOOSE(Plan!$K$5,'Calc Smart'!H262,'Calc Avalanche'!H262,'Calc Snowball'!H262,'Calc Cashflow'!H262)</f>
        <v/>
      </c>
      <c r="L256" s="65">
        <f>CHOOSE(Plan!$K$5,'Calc Smart'!I262,'Calc Avalanche'!I262,'Calc Snowball'!I262,'Calc Cashflow'!I262)</f>
        <v/>
      </c>
      <c r="M256" s="65">
        <f>CHOOSE(Plan!$K$5,'Calc Smart'!J262,'Calc Avalanche'!J262,'Calc Snowball'!J262,'Calc Cashflow'!J262)</f>
        <v/>
      </c>
      <c r="N256" s="65">
        <f>CHOOSE(Plan!$K$5,'Calc Smart'!K262,'Calc Avalanche'!K262,'Calc Snowball'!K262,'Calc Cashflow'!K262)</f>
        <v/>
      </c>
      <c r="O256" s="65">
        <f>CHOOSE(Plan!$K$5,'Calc Smart'!L262,'Calc Avalanche'!L262,'Calc Snowball'!L262,'Calc Cashflow'!L262)</f>
        <v/>
      </c>
      <c r="P256" s="65">
        <f>CHOOSE(Plan!$K$5,'Calc Smart'!M262,'Calc Avalanche'!M262,'Calc Snowball'!M262,'Calc Cashflow'!M262)</f>
        <v/>
      </c>
      <c r="Q256" s="65">
        <f>CHOOSE(Plan!$K$5,'Calc Smart'!N262,'Calc Avalanche'!N262,'Calc Snowball'!N262,'Calc Cashflow'!N262)</f>
        <v/>
      </c>
    </row>
    <row r="257">
      <c r="B257" s="66">
        <f>EDATE(Plan!$C$6,251)</f>
        <v/>
      </c>
      <c r="C257" s="32">
        <f>CHOOSE(Plan!$K$5,'Calc Smart'!AE263,'Calc Avalanche'!AE263,'Calc Snowball'!AE263,'Calc Cashflow'!AE263)</f>
        <v/>
      </c>
      <c r="D257" s="32">
        <f>CHOOSE(Plan!$K$5,'Calc Smart'!AD263,'Calc Avalanche'!AD263,'Calc Snowball'!AD263,'Calc Cashflow'!AD263)</f>
        <v/>
      </c>
      <c r="E257" s="43">
        <f>CHOOSE(Plan!$K$5,COUNTIF('Calc Smart'!C263:N263,"&gt;0"),COUNTIF('Calc Avalanche'!C263:N263,"&gt;0"),COUNTIF('Calc Snowball'!C263:N263,"&gt;0"),COUNTIF('Calc Cashflow'!C263:N263,"&gt;0"))</f>
        <v/>
      </c>
      <c r="F257" s="67">
        <f>CHOOSE(Plan!$K$5,'Calc Smart'!C263,'Calc Avalanche'!C263,'Calc Snowball'!C263,'Calc Cashflow'!C263)</f>
        <v/>
      </c>
      <c r="G257" s="67">
        <f>CHOOSE(Plan!$K$5,'Calc Smart'!D263,'Calc Avalanche'!D263,'Calc Snowball'!D263,'Calc Cashflow'!D263)</f>
        <v/>
      </c>
      <c r="H257" s="67">
        <f>CHOOSE(Plan!$K$5,'Calc Smart'!E263,'Calc Avalanche'!E263,'Calc Snowball'!E263,'Calc Cashflow'!E263)</f>
        <v/>
      </c>
      <c r="I257" s="67">
        <f>CHOOSE(Plan!$K$5,'Calc Smart'!F263,'Calc Avalanche'!F263,'Calc Snowball'!F263,'Calc Cashflow'!F263)</f>
        <v/>
      </c>
      <c r="J257" s="67">
        <f>CHOOSE(Plan!$K$5,'Calc Smart'!G263,'Calc Avalanche'!G263,'Calc Snowball'!G263,'Calc Cashflow'!G263)</f>
        <v/>
      </c>
      <c r="K257" s="67">
        <f>CHOOSE(Plan!$K$5,'Calc Smart'!H263,'Calc Avalanche'!H263,'Calc Snowball'!H263,'Calc Cashflow'!H263)</f>
        <v/>
      </c>
      <c r="L257" s="67">
        <f>CHOOSE(Plan!$K$5,'Calc Smart'!I263,'Calc Avalanche'!I263,'Calc Snowball'!I263,'Calc Cashflow'!I263)</f>
        <v/>
      </c>
      <c r="M257" s="67">
        <f>CHOOSE(Plan!$K$5,'Calc Smart'!J263,'Calc Avalanche'!J263,'Calc Snowball'!J263,'Calc Cashflow'!J263)</f>
        <v/>
      </c>
      <c r="N257" s="67">
        <f>CHOOSE(Plan!$K$5,'Calc Smart'!K263,'Calc Avalanche'!K263,'Calc Snowball'!K263,'Calc Cashflow'!K263)</f>
        <v/>
      </c>
      <c r="O257" s="67">
        <f>CHOOSE(Plan!$K$5,'Calc Smart'!L263,'Calc Avalanche'!L263,'Calc Snowball'!L263,'Calc Cashflow'!L263)</f>
        <v/>
      </c>
      <c r="P257" s="67">
        <f>CHOOSE(Plan!$K$5,'Calc Smart'!M263,'Calc Avalanche'!M263,'Calc Snowball'!M263,'Calc Cashflow'!M263)</f>
        <v/>
      </c>
      <c r="Q257" s="67">
        <f>CHOOSE(Plan!$K$5,'Calc Smart'!N263,'Calc Avalanche'!N263,'Calc Snowball'!N263,'Calc Cashflow'!N263)</f>
        <v/>
      </c>
    </row>
    <row r="258">
      <c r="B258" s="64">
        <f>EDATE(Plan!$C$6,252)</f>
        <v/>
      </c>
      <c r="C258" s="31">
        <f>CHOOSE(Plan!$K$5,'Calc Smart'!AE264,'Calc Avalanche'!AE264,'Calc Snowball'!AE264,'Calc Cashflow'!AE264)</f>
        <v/>
      </c>
      <c r="D258" s="31">
        <f>CHOOSE(Plan!$K$5,'Calc Smart'!AD264,'Calc Avalanche'!AD264,'Calc Snowball'!AD264,'Calc Cashflow'!AD264)</f>
        <v/>
      </c>
      <c r="E258" s="40">
        <f>CHOOSE(Plan!$K$5,COUNTIF('Calc Smart'!C264:N264,"&gt;0"),COUNTIF('Calc Avalanche'!C264:N264,"&gt;0"),COUNTIF('Calc Snowball'!C264:N264,"&gt;0"),COUNTIF('Calc Cashflow'!C264:N264,"&gt;0"))</f>
        <v/>
      </c>
      <c r="F258" s="65">
        <f>CHOOSE(Plan!$K$5,'Calc Smart'!C264,'Calc Avalanche'!C264,'Calc Snowball'!C264,'Calc Cashflow'!C264)</f>
        <v/>
      </c>
      <c r="G258" s="65">
        <f>CHOOSE(Plan!$K$5,'Calc Smart'!D264,'Calc Avalanche'!D264,'Calc Snowball'!D264,'Calc Cashflow'!D264)</f>
        <v/>
      </c>
      <c r="H258" s="65">
        <f>CHOOSE(Plan!$K$5,'Calc Smart'!E264,'Calc Avalanche'!E264,'Calc Snowball'!E264,'Calc Cashflow'!E264)</f>
        <v/>
      </c>
      <c r="I258" s="65">
        <f>CHOOSE(Plan!$K$5,'Calc Smart'!F264,'Calc Avalanche'!F264,'Calc Snowball'!F264,'Calc Cashflow'!F264)</f>
        <v/>
      </c>
      <c r="J258" s="65">
        <f>CHOOSE(Plan!$K$5,'Calc Smart'!G264,'Calc Avalanche'!G264,'Calc Snowball'!G264,'Calc Cashflow'!G264)</f>
        <v/>
      </c>
      <c r="K258" s="65">
        <f>CHOOSE(Plan!$K$5,'Calc Smart'!H264,'Calc Avalanche'!H264,'Calc Snowball'!H264,'Calc Cashflow'!H264)</f>
        <v/>
      </c>
      <c r="L258" s="65">
        <f>CHOOSE(Plan!$K$5,'Calc Smart'!I264,'Calc Avalanche'!I264,'Calc Snowball'!I264,'Calc Cashflow'!I264)</f>
        <v/>
      </c>
      <c r="M258" s="65">
        <f>CHOOSE(Plan!$K$5,'Calc Smart'!J264,'Calc Avalanche'!J264,'Calc Snowball'!J264,'Calc Cashflow'!J264)</f>
        <v/>
      </c>
      <c r="N258" s="65">
        <f>CHOOSE(Plan!$K$5,'Calc Smart'!K264,'Calc Avalanche'!K264,'Calc Snowball'!K264,'Calc Cashflow'!K264)</f>
        <v/>
      </c>
      <c r="O258" s="65">
        <f>CHOOSE(Plan!$K$5,'Calc Smart'!L264,'Calc Avalanche'!L264,'Calc Snowball'!L264,'Calc Cashflow'!L264)</f>
        <v/>
      </c>
      <c r="P258" s="65">
        <f>CHOOSE(Plan!$K$5,'Calc Smart'!M264,'Calc Avalanche'!M264,'Calc Snowball'!M264,'Calc Cashflow'!M264)</f>
        <v/>
      </c>
      <c r="Q258" s="65">
        <f>CHOOSE(Plan!$K$5,'Calc Smart'!N264,'Calc Avalanche'!N264,'Calc Snowball'!N264,'Calc Cashflow'!N264)</f>
        <v/>
      </c>
    </row>
    <row r="259">
      <c r="B259" s="66">
        <f>EDATE(Plan!$C$6,253)</f>
        <v/>
      </c>
      <c r="C259" s="32">
        <f>CHOOSE(Plan!$K$5,'Calc Smart'!AE265,'Calc Avalanche'!AE265,'Calc Snowball'!AE265,'Calc Cashflow'!AE265)</f>
        <v/>
      </c>
      <c r="D259" s="32">
        <f>CHOOSE(Plan!$K$5,'Calc Smart'!AD265,'Calc Avalanche'!AD265,'Calc Snowball'!AD265,'Calc Cashflow'!AD265)</f>
        <v/>
      </c>
      <c r="E259" s="43">
        <f>CHOOSE(Plan!$K$5,COUNTIF('Calc Smart'!C265:N265,"&gt;0"),COUNTIF('Calc Avalanche'!C265:N265,"&gt;0"),COUNTIF('Calc Snowball'!C265:N265,"&gt;0"),COUNTIF('Calc Cashflow'!C265:N265,"&gt;0"))</f>
        <v/>
      </c>
      <c r="F259" s="67">
        <f>CHOOSE(Plan!$K$5,'Calc Smart'!C265,'Calc Avalanche'!C265,'Calc Snowball'!C265,'Calc Cashflow'!C265)</f>
        <v/>
      </c>
      <c r="G259" s="67">
        <f>CHOOSE(Plan!$K$5,'Calc Smart'!D265,'Calc Avalanche'!D265,'Calc Snowball'!D265,'Calc Cashflow'!D265)</f>
        <v/>
      </c>
      <c r="H259" s="67">
        <f>CHOOSE(Plan!$K$5,'Calc Smart'!E265,'Calc Avalanche'!E265,'Calc Snowball'!E265,'Calc Cashflow'!E265)</f>
        <v/>
      </c>
      <c r="I259" s="67">
        <f>CHOOSE(Plan!$K$5,'Calc Smart'!F265,'Calc Avalanche'!F265,'Calc Snowball'!F265,'Calc Cashflow'!F265)</f>
        <v/>
      </c>
      <c r="J259" s="67">
        <f>CHOOSE(Plan!$K$5,'Calc Smart'!G265,'Calc Avalanche'!G265,'Calc Snowball'!G265,'Calc Cashflow'!G265)</f>
        <v/>
      </c>
      <c r="K259" s="67">
        <f>CHOOSE(Plan!$K$5,'Calc Smart'!H265,'Calc Avalanche'!H265,'Calc Snowball'!H265,'Calc Cashflow'!H265)</f>
        <v/>
      </c>
      <c r="L259" s="67">
        <f>CHOOSE(Plan!$K$5,'Calc Smart'!I265,'Calc Avalanche'!I265,'Calc Snowball'!I265,'Calc Cashflow'!I265)</f>
        <v/>
      </c>
      <c r="M259" s="67">
        <f>CHOOSE(Plan!$K$5,'Calc Smart'!J265,'Calc Avalanche'!J265,'Calc Snowball'!J265,'Calc Cashflow'!J265)</f>
        <v/>
      </c>
      <c r="N259" s="67">
        <f>CHOOSE(Plan!$K$5,'Calc Smart'!K265,'Calc Avalanche'!K265,'Calc Snowball'!K265,'Calc Cashflow'!K265)</f>
        <v/>
      </c>
      <c r="O259" s="67">
        <f>CHOOSE(Plan!$K$5,'Calc Smart'!L265,'Calc Avalanche'!L265,'Calc Snowball'!L265,'Calc Cashflow'!L265)</f>
        <v/>
      </c>
      <c r="P259" s="67">
        <f>CHOOSE(Plan!$K$5,'Calc Smart'!M265,'Calc Avalanche'!M265,'Calc Snowball'!M265,'Calc Cashflow'!M265)</f>
        <v/>
      </c>
      <c r="Q259" s="67">
        <f>CHOOSE(Plan!$K$5,'Calc Smart'!N265,'Calc Avalanche'!N265,'Calc Snowball'!N265,'Calc Cashflow'!N265)</f>
        <v/>
      </c>
    </row>
    <row r="260">
      <c r="B260" s="64">
        <f>EDATE(Plan!$C$6,254)</f>
        <v/>
      </c>
      <c r="C260" s="31">
        <f>CHOOSE(Plan!$K$5,'Calc Smart'!AE266,'Calc Avalanche'!AE266,'Calc Snowball'!AE266,'Calc Cashflow'!AE266)</f>
        <v/>
      </c>
      <c r="D260" s="31">
        <f>CHOOSE(Plan!$K$5,'Calc Smart'!AD266,'Calc Avalanche'!AD266,'Calc Snowball'!AD266,'Calc Cashflow'!AD266)</f>
        <v/>
      </c>
      <c r="E260" s="40">
        <f>CHOOSE(Plan!$K$5,COUNTIF('Calc Smart'!C266:N266,"&gt;0"),COUNTIF('Calc Avalanche'!C266:N266,"&gt;0"),COUNTIF('Calc Snowball'!C266:N266,"&gt;0"),COUNTIF('Calc Cashflow'!C266:N266,"&gt;0"))</f>
        <v/>
      </c>
      <c r="F260" s="65">
        <f>CHOOSE(Plan!$K$5,'Calc Smart'!C266,'Calc Avalanche'!C266,'Calc Snowball'!C266,'Calc Cashflow'!C266)</f>
        <v/>
      </c>
      <c r="G260" s="65">
        <f>CHOOSE(Plan!$K$5,'Calc Smart'!D266,'Calc Avalanche'!D266,'Calc Snowball'!D266,'Calc Cashflow'!D266)</f>
        <v/>
      </c>
      <c r="H260" s="65">
        <f>CHOOSE(Plan!$K$5,'Calc Smart'!E266,'Calc Avalanche'!E266,'Calc Snowball'!E266,'Calc Cashflow'!E266)</f>
        <v/>
      </c>
      <c r="I260" s="65">
        <f>CHOOSE(Plan!$K$5,'Calc Smart'!F266,'Calc Avalanche'!F266,'Calc Snowball'!F266,'Calc Cashflow'!F266)</f>
        <v/>
      </c>
      <c r="J260" s="65">
        <f>CHOOSE(Plan!$K$5,'Calc Smart'!G266,'Calc Avalanche'!G266,'Calc Snowball'!G266,'Calc Cashflow'!G266)</f>
        <v/>
      </c>
      <c r="K260" s="65">
        <f>CHOOSE(Plan!$K$5,'Calc Smart'!H266,'Calc Avalanche'!H266,'Calc Snowball'!H266,'Calc Cashflow'!H266)</f>
        <v/>
      </c>
      <c r="L260" s="65">
        <f>CHOOSE(Plan!$K$5,'Calc Smart'!I266,'Calc Avalanche'!I266,'Calc Snowball'!I266,'Calc Cashflow'!I266)</f>
        <v/>
      </c>
      <c r="M260" s="65">
        <f>CHOOSE(Plan!$K$5,'Calc Smart'!J266,'Calc Avalanche'!J266,'Calc Snowball'!J266,'Calc Cashflow'!J266)</f>
        <v/>
      </c>
      <c r="N260" s="65">
        <f>CHOOSE(Plan!$K$5,'Calc Smart'!K266,'Calc Avalanche'!K266,'Calc Snowball'!K266,'Calc Cashflow'!K266)</f>
        <v/>
      </c>
      <c r="O260" s="65">
        <f>CHOOSE(Plan!$K$5,'Calc Smart'!L266,'Calc Avalanche'!L266,'Calc Snowball'!L266,'Calc Cashflow'!L266)</f>
        <v/>
      </c>
      <c r="P260" s="65">
        <f>CHOOSE(Plan!$K$5,'Calc Smart'!M266,'Calc Avalanche'!M266,'Calc Snowball'!M266,'Calc Cashflow'!M266)</f>
        <v/>
      </c>
      <c r="Q260" s="65">
        <f>CHOOSE(Plan!$K$5,'Calc Smart'!N266,'Calc Avalanche'!N266,'Calc Snowball'!N266,'Calc Cashflow'!N266)</f>
        <v/>
      </c>
    </row>
    <row r="261">
      <c r="B261" s="66">
        <f>EDATE(Plan!$C$6,255)</f>
        <v/>
      </c>
      <c r="C261" s="32">
        <f>CHOOSE(Plan!$K$5,'Calc Smart'!AE267,'Calc Avalanche'!AE267,'Calc Snowball'!AE267,'Calc Cashflow'!AE267)</f>
        <v/>
      </c>
      <c r="D261" s="32">
        <f>CHOOSE(Plan!$K$5,'Calc Smart'!AD267,'Calc Avalanche'!AD267,'Calc Snowball'!AD267,'Calc Cashflow'!AD267)</f>
        <v/>
      </c>
      <c r="E261" s="43">
        <f>CHOOSE(Plan!$K$5,COUNTIF('Calc Smart'!C267:N267,"&gt;0"),COUNTIF('Calc Avalanche'!C267:N267,"&gt;0"),COUNTIF('Calc Snowball'!C267:N267,"&gt;0"),COUNTIF('Calc Cashflow'!C267:N267,"&gt;0"))</f>
        <v/>
      </c>
      <c r="F261" s="67">
        <f>CHOOSE(Plan!$K$5,'Calc Smart'!C267,'Calc Avalanche'!C267,'Calc Snowball'!C267,'Calc Cashflow'!C267)</f>
        <v/>
      </c>
      <c r="G261" s="67">
        <f>CHOOSE(Plan!$K$5,'Calc Smart'!D267,'Calc Avalanche'!D267,'Calc Snowball'!D267,'Calc Cashflow'!D267)</f>
        <v/>
      </c>
      <c r="H261" s="67">
        <f>CHOOSE(Plan!$K$5,'Calc Smart'!E267,'Calc Avalanche'!E267,'Calc Snowball'!E267,'Calc Cashflow'!E267)</f>
        <v/>
      </c>
      <c r="I261" s="67">
        <f>CHOOSE(Plan!$K$5,'Calc Smart'!F267,'Calc Avalanche'!F267,'Calc Snowball'!F267,'Calc Cashflow'!F267)</f>
        <v/>
      </c>
      <c r="J261" s="67">
        <f>CHOOSE(Plan!$K$5,'Calc Smart'!G267,'Calc Avalanche'!G267,'Calc Snowball'!G267,'Calc Cashflow'!G267)</f>
        <v/>
      </c>
      <c r="K261" s="67">
        <f>CHOOSE(Plan!$K$5,'Calc Smart'!H267,'Calc Avalanche'!H267,'Calc Snowball'!H267,'Calc Cashflow'!H267)</f>
        <v/>
      </c>
      <c r="L261" s="67">
        <f>CHOOSE(Plan!$K$5,'Calc Smart'!I267,'Calc Avalanche'!I267,'Calc Snowball'!I267,'Calc Cashflow'!I267)</f>
        <v/>
      </c>
      <c r="M261" s="67">
        <f>CHOOSE(Plan!$K$5,'Calc Smart'!J267,'Calc Avalanche'!J267,'Calc Snowball'!J267,'Calc Cashflow'!J267)</f>
        <v/>
      </c>
      <c r="N261" s="67">
        <f>CHOOSE(Plan!$K$5,'Calc Smart'!K267,'Calc Avalanche'!K267,'Calc Snowball'!K267,'Calc Cashflow'!K267)</f>
        <v/>
      </c>
      <c r="O261" s="67">
        <f>CHOOSE(Plan!$K$5,'Calc Smart'!L267,'Calc Avalanche'!L267,'Calc Snowball'!L267,'Calc Cashflow'!L267)</f>
        <v/>
      </c>
      <c r="P261" s="67">
        <f>CHOOSE(Plan!$K$5,'Calc Smart'!M267,'Calc Avalanche'!M267,'Calc Snowball'!M267,'Calc Cashflow'!M267)</f>
        <v/>
      </c>
      <c r="Q261" s="67">
        <f>CHOOSE(Plan!$K$5,'Calc Smart'!N267,'Calc Avalanche'!N267,'Calc Snowball'!N267,'Calc Cashflow'!N267)</f>
        <v/>
      </c>
    </row>
    <row r="262">
      <c r="B262" s="64">
        <f>EDATE(Plan!$C$6,256)</f>
        <v/>
      </c>
      <c r="C262" s="31">
        <f>CHOOSE(Plan!$K$5,'Calc Smart'!AE268,'Calc Avalanche'!AE268,'Calc Snowball'!AE268,'Calc Cashflow'!AE268)</f>
        <v/>
      </c>
      <c r="D262" s="31">
        <f>CHOOSE(Plan!$K$5,'Calc Smart'!AD268,'Calc Avalanche'!AD268,'Calc Snowball'!AD268,'Calc Cashflow'!AD268)</f>
        <v/>
      </c>
      <c r="E262" s="40">
        <f>CHOOSE(Plan!$K$5,COUNTIF('Calc Smart'!C268:N268,"&gt;0"),COUNTIF('Calc Avalanche'!C268:N268,"&gt;0"),COUNTIF('Calc Snowball'!C268:N268,"&gt;0"),COUNTIF('Calc Cashflow'!C268:N268,"&gt;0"))</f>
        <v/>
      </c>
      <c r="F262" s="65">
        <f>CHOOSE(Plan!$K$5,'Calc Smart'!C268,'Calc Avalanche'!C268,'Calc Snowball'!C268,'Calc Cashflow'!C268)</f>
        <v/>
      </c>
      <c r="G262" s="65">
        <f>CHOOSE(Plan!$K$5,'Calc Smart'!D268,'Calc Avalanche'!D268,'Calc Snowball'!D268,'Calc Cashflow'!D268)</f>
        <v/>
      </c>
      <c r="H262" s="65">
        <f>CHOOSE(Plan!$K$5,'Calc Smart'!E268,'Calc Avalanche'!E268,'Calc Snowball'!E268,'Calc Cashflow'!E268)</f>
        <v/>
      </c>
      <c r="I262" s="65">
        <f>CHOOSE(Plan!$K$5,'Calc Smart'!F268,'Calc Avalanche'!F268,'Calc Snowball'!F268,'Calc Cashflow'!F268)</f>
        <v/>
      </c>
      <c r="J262" s="65">
        <f>CHOOSE(Plan!$K$5,'Calc Smart'!G268,'Calc Avalanche'!G268,'Calc Snowball'!G268,'Calc Cashflow'!G268)</f>
        <v/>
      </c>
      <c r="K262" s="65">
        <f>CHOOSE(Plan!$K$5,'Calc Smart'!H268,'Calc Avalanche'!H268,'Calc Snowball'!H268,'Calc Cashflow'!H268)</f>
        <v/>
      </c>
      <c r="L262" s="65">
        <f>CHOOSE(Plan!$K$5,'Calc Smart'!I268,'Calc Avalanche'!I268,'Calc Snowball'!I268,'Calc Cashflow'!I268)</f>
        <v/>
      </c>
      <c r="M262" s="65">
        <f>CHOOSE(Plan!$K$5,'Calc Smart'!J268,'Calc Avalanche'!J268,'Calc Snowball'!J268,'Calc Cashflow'!J268)</f>
        <v/>
      </c>
      <c r="N262" s="65">
        <f>CHOOSE(Plan!$K$5,'Calc Smart'!K268,'Calc Avalanche'!K268,'Calc Snowball'!K268,'Calc Cashflow'!K268)</f>
        <v/>
      </c>
      <c r="O262" s="65">
        <f>CHOOSE(Plan!$K$5,'Calc Smart'!L268,'Calc Avalanche'!L268,'Calc Snowball'!L268,'Calc Cashflow'!L268)</f>
        <v/>
      </c>
      <c r="P262" s="65">
        <f>CHOOSE(Plan!$K$5,'Calc Smart'!M268,'Calc Avalanche'!M268,'Calc Snowball'!M268,'Calc Cashflow'!M268)</f>
        <v/>
      </c>
      <c r="Q262" s="65">
        <f>CHOOSE(Plan!$K$5,'Calc Smart'!N268,'Calc Avalanche'!N268,'Calc Snowball'!N268,'Calc Cashflow'!N268)</f>
        <v/>
      </c>
    </row>
    <row r="263">
      <c r="B263" s="66">
        <f>EDATE(Plan!$C$6,257)</f>
        <v/>
      </c>
      <c r="C263" s="32">
        <f>CHOOSE(Plan!$K$5,'Calc Smart'!AE269,'Calc Avalanche'!AE269,'Calc Snowball'!AE269,'Calc Cashflow'!AE269)</f>
        <v/>
      </c>
      <c r="D263" s="32">
        <f>CHOOSE(Plan!$K$5,'Calc Smart'!AD269,'Calc Avalanche'!AD269,'Calc Snowball'!AD269,'Calc Cashflow'!AD269)</f>
        <v/>
      </c>
      <c r="E263" s="43">
        <f>CHOOSE(Plan!$K$5,COUNTIF('Calc Smart'!C269:N269,"&gt;0"),COUNTIF('Calc Avalanche'!C269:N269,"&gt;0"),COUNTIF('Calc Snowball'!C269:N269,"&gt;0"),COUNTIF('Calc Cashflow'!C269:N269,"&gt;0"))</f>
        <v/>
      </c>
      <c r="F263" s="67">
        <f>CHOOSE(Plan!$K$5,'Calc Smart'!C269,'Calc Avalanche'!C269,'Calc Snowball'!C269,'Calc Cashflow'!C269)</f>
        <v/>
      </c>
      <c r="G263" s="67">
        <f>CHOOSE(Plan!$K$5,'Calc Smart'!D269,'Calc Avalanche'!D269,'Calc Snowball'!D269,'Calc Cashflow'!D269)</f>
        <v/>
      </c>
      <c r="H263" s="67">
        <f>CHOOSE(Plan!$K$5,'Calc Smart'!E269,'Calc Avalanche'!E269,'Calc Snowball'!E269,'Calc Cashflow'!E269)</f>
        <v/>
      </c>
      <c r="I263" s="67">
        <f>CHOOSE(Plan!$K$5,'Calc Smart'!F269,'Calc Avalanche'!F269,'Calc Snowball'!F269,'Calc Cashflow'!F269)</f>
        <v/>
      </c>
      <c r="J263" s="67">
        <f>CHOOSE(Plan!$K$5,'Calc Smart'!G269,'Calc Avalanche'!G269,'Calc Snowball'!G269,'Calc Cashflow'!G269)</f>
        <v/>
      </c>
      <c r="K263" s="67">
        <f>CHOOSE(Plan!$K$5,'Calc Smart'!H269,'Calc Avalanche'!H269,'Calc Snowball'!H269,'Calc Cashflow'!H269)</f>
        <v/>
      </c>
      <c r="L263" s="67">
        <f>CHOOSE(Plan!$K$5,'Calc Smart'!I269,'Calc Avalanche'!I269,'Calc Snowball'!I269,'Calc Cashflow'!I269)</f>
        <v/>
      </c>
      <c r="M263" s="67">
        <f>CHOOSE(Plan!$K$5,'Calc Smart'!J269,'Calc Avalanche'!J269,'Calc Snowball'!J269,'Calc Cashflow'!J269)</f>
        <v/>
      </c>
      <c r="N263" s="67">
        <f>CHOOSE(Plan!$K$5,'Calc Smart'!K269,'Calc Avalanche'!K269,'Calc Snowball'!K269,'Calc Cashflow'!K269)</f>
        <v/>
      </c>
      <c r="O263" s="67">
        <f>CHOOSE(Plan!$K$5,'Calc Smart'!L269,'Calc Avalanche'!L269,'Calc Snowball'!L269,'Calc Cashflow'!L269)</f>
        <v/>
      </c>
      <c r="P263" s="67">
        <f>CHOOSE(Plan!$K$5,'Calc Smart'!M269,'Calc Avalanche'!M269,'Calc Snowball'!M269,'Calc Cashflow'!M269)</f>
        <v/>
      </c>
      <c r="Q263" s="67">
        <f>CHOOSE(Plan!$K$5,'Calc Smart'!N269,'Calc Avalanche'!N269,'Calc Snowball'!N269,'Calc Cashflow'!N269)</f>
        <v/>
      </c>
    </row>
    <row r="264">
      <c r="B264" s="64">
        <f>EDATE(Plan!$C$6,258)</f>
        <v/>
      </c>
      <c r="C264" s="31">
        <f>CHOOSE(Plan!$K$5,'Calc Smart'!AE270,'Calc Avalanche'!AE270,'Calc Snowball'!AE270,'Calc Cashflow'!AE270)</f>
        <v/>
      </c>
      <c r="D264" s="31">
        <f>CHOOSE(Plan!$K$5,'Calc Smart'!AD270,'Calc Avalanche'!AD270,'Calc Snowball'!AD270,'Calc Cashflow'!AD270)</f>
        <v/>
      </c>
      <c r="E264" s="40">
        <f>CHOOSE(Plan!$K$5,COUNTIF('Calc Smart'!C270:N270,"&gt;0"),COUNTIF('Calc Avalanche'!C270:N270,"&gt;0"),COUNTIF('Calc Snowball'!C270:N270,"&gt;0"),COUNTIF('Calc Cashflow'!C270:N270,"&gt;0"))</f>
        <v/>
      </c>
      <c r="F264" s="65">
        <f>CHOOSE(Plan!$K$5,'Calc Smart'!C270,'Calc Avalanche'!C270,'Calc Snowball'!C270,'Calc Cashflow'!C270)</f>
        <v/>
      </c>
      <c r="G264" s="65">
        <f>CHOOSE(Plan!$K$5,'Calc Smart'!D270,'Calc Avalanche'!D270,'Calc Snowball'!D270,'Calc Cashflow'!D270)</f>
        <v/>
      </c>
      <c r="H264" s="65">
        <f>CHOOSE(Plan!$K$5,'Calc Smart'!E270,'Calc Avalanche'!E270,'Calc Snowball'!E270,'Calc Cashflow'!E270)</f>
        <v/>
      </c>
      <c r="I264" s="65">
        <f>CHOOSE(Plan!$K$5,'Calc Smart'!F270,'Calc Avalanche'!F270,'Calc Snowball'!F270,'Calc Cashflow'!F270)</f>
        <v/>
      </c>
      <c r="J264" s="65">
        <f>CHOOSE(Plan!$K$5,'Calc Smart'!G270,'Calc Avalanche'!G270,'Calc Snowball'!G270,'Calc Cashflow'!G270)</f>
        <v/>
      </c>
      <c r="K264" s="65">
        <f>CHOOSE(Plan!$K$5,'Calc Smart'!H270,'Calc Avalanche'!H270,'Calc Snowball'!H270,'Calc Cashflow'!H270)</f>
        <v/>
      </c>
      <c r="L264" s="65">
        <f>CHOOSE(Plan!$K$5,'Calc Smart'!I270,'Calc Avalanche'!I270,'Calc Snowball'!I270,'Calc Cashflow'!I270)</f>
        <v/>
      </c>
      <c r="M264" s="65">
        <f>CHOOSE(Plan!$K$5,'Calc Smart'!J270,'Calc Avalanche'!J270,'Calc Snowball'!J270,'Calc Cashflow'!J270)</f>
        <v/>
      </c>
      <c r="N264" s="65">
        <f>CHOOSE(Plan!$K$5,'Calc Smart'!K270,'Calc Avalanche'!K270,'Calc Snowball'!K270,'Calc Cashflow'!K270)</f>
        <v/>
      </c>
      <c r="O264" s="65">
        <f>CHOOSE(Plan!$K$5,'Calc Smart'!L270,'Calc Avalanche'!L270,'Calc Snowball'!L270,'Calc Cashflow'!L270)</f>
        <v/>
      </c>
      <c r="P264" s="65">
        <f>CHOOSE(Plan!$K$5,'Calc Smart'!M270,'Calc Avalanche'!M270,'Calc Snowball'!M270,'Calc Cashflow'!M270)</f>
        <v/>
      </c>
      <c r="Q264" s="65">
        <f>CHOOSE(Plan!$K$5,'Calc Smart'!N270,'Calc Avalanche'!N270,'Calc Snowball'!N270,'Calc Cashflow'!N270)</f>
        <v/>
      </c>
    </row>
    <row r="265">
      <c r="B265" s="66">
        <f>EDATE(Plan!$C$6,259)</f>
        <v/>
      </c>
      <c r="C265" s="32">
        <f>CHOOSE(Plan!$K$5,'Calc Smart'!AE271,'Calc Avalanche'!AE271,'Calc Snowball'!AE271,'Calc Cashflow'!AE271)</f>
        <v/>
      </c>
      <c r="D265" s="32">
        <f>CHOOSE(Plan!$K$5,'Calc Smart'!AD271,'Calc Avalanche'!AD271,'Calc Snowball'!AD271,'Calc Cashflow'!AD271)</f>
        <v/>
      </c>
      <c r="E265" s="43">
        <f>CHOOSE(Plan!$K$5,COUNTIF('Calc Smart'!C271:N271,"&gt;0"),COUNTIF('Calc Avalanche'!C271:N271,"&gt;0"),COUNTIF('Calc Snowball'!C271:N271,"&gt;0"),COUNTIF('Calc Cashflow'!C271:N271,"&gt;0"))</f>
        <v/>
      </c>
      <c r="F265" s="67">
        <f>CHOOSE(Plan!$K$5,'Calc Smart'!C271,'Calc Avalanche'!C271,'Calc Snowball'!C271,'Calc Cashflow'!C271)</f>
        <v/>
      </c>
      <c r="G265" s="67">
        <f>CHOOSE(Plan!$K$5,'Calc Smart'!D271,'Calc Avalanche'!D271,'Calc Snowball'!D271,'Calc Cashflow'!D271)</f>
        <v/>
      </c>
      <c r="H265" s="67">
        <f>CHOOSE(Plan!$K$5,'Calc Smart'!E271,'Calc Avalanche'!E271,'Calc Snowball'!E271,'Calc Cashflow'!E271)</f>
        <v/>
      </c>
      <c r="I265" s="67">
        <f>CHOOSE(Plan!$K$5,'Calc Smart'!F271,'Calc Avalanche'!F271,'Calc Snowball'!F271,'Calc Cashflow'!F271)</f>
        <v/>
      </c>
      <c r="J265" s="67">
        <f>CHOOSE(Plan!$K$5,'Calc Smart'!G271,'Calc Avalanche'!G271,'Calc Snowball'!G271,'Calc Cashflow'!G271)</f>
        <v/>
      </c>
      <c r="K265" s="67">
        <f>CHOOSE(Plan!$K$5,'Calc Smart'!H271,'Calc Avalanche'!H271,'Calc Snowball'!H271,'Calc Cashflow'!H271)</f>
        <v/>
      </c>
      <c r="L265" s="67">
        <f>CHOOSE(Plan!$K$5,'Calc Smart'!I271,'Calc Avalanche'!I271,'Calc Snowball'!I271,'Calc Cashflow'!I271)</f>
        <v/>
      </c>
      <c r="M265" s="67">
        <f>CHOOSE(Plan!$K$5,'Calc Smart'!J271,'Calc Avalanche'!J271,'Calc Snowball'!J271,'Calc Cashflow'!J271)</f>
        <v/>
      </c>
      <c r="N265" s="67">
        <f>CHOOSE(Plan!$K$5,'Calc Smart'!K271,'Calc Avalanche'!K271,'Calc Snowball'!K271,'Calc Cashflow'!K271)</f>
        <v/>
      </c>
      <c r="O265" s="67">
        <f>CHOOSE(Plan!$K$5,'Calc Smart'!L271,'Calc Avalanche'!L271,'Calc Snowball'!L271,'Calc Cashflow'!L271)</f>
        <v/>
      </c>
      <c r="P265" s="67">
        <f>CHOOSE(Plan!$K$5,'Calc Smart'!M271,'Calc Avalanche'!M271,'Calc Snowball'!M271,'Calc Cashflow'!M271)</f>
        <v/>
      </c>
      <c r="Q265" s="67">
        <f>CHOOSE(Plan!$K$5,'Calc Smart'!N271,'Calc Avalanche'!N271,'Calc Snowball'!N271,'Calc Cashflow'!N271)</f>
        <v/>
      </c>
    </row>
    <row r="266">
      <c r="B266" s="64">
        <f>EDATE(Plan!$C$6,260)</f>
        <v/>
      </c>
      <c r="C266" s="31">
        <f>CHOOSE(Plan!$K$5,'Calc Smart'!AE272,'Calc Avalanche'!AE272,'Calc Snowball'!AE272,'Calc Cashflow'!AE272)</f>
        <v/>
      </c>
      <c r="D266" s="31">
        <f>CHOOSE(Plan!$K$5,'Calc Smart'!AD272,'Calc Avalanche'!AD272,'Calc Snowball'!AD272,'Calc Cashflow'!AD272)</f>
        <v/>
      </c>
      <c r="E266" s="40">
        <f>CHOOSE(Plan!$K$5,COUNTIF('Calc Smart'!C272:N272,"&gt;0"),COUNTIF('Calc Avalanche'!C272:N272,"&gt;0"),COUNTIF('Calc Snowball'!C272:N272,"&gt;0"),COUNTIF('Calc Cashflow'!C272:N272,"&gt;0"))</f>
        <v/>
      </c>
      <c r="F266" s="65">
        <f>CHOOSE(Plan!$K$5,'Calc Smart'!C272,'Calc Avalanche'!C272,'Calc Snowball'!C272,'Calc Cashflow'!C272)</f>
        <v/>
      </c>
      <c r="G266" s="65">
        <f>CHOOSE(Plan!$K$5,'Calc Smart'!D272,'Calc Avalanche'!D272,'Calc Snowball'!D272,'Calc Cashflow'!D272)</f>
        <v/>
      </c>
      <c r="H266" s="65">
        <f>CHOOSE(Plan!$K$5,'Calc Smart'!E272,'Calc Avalanche'!E272,'Calc Snowball'!E272,'Calc Cashflow'!E272)</f>
        <v/>
      </c>
      <c r="I266" s="65">
        <f>CHOOSE(Plan!$K$5,'Calc Smart'!F272,'Calc Avalanche'!F272,'Calc Snowball'!F272,'Calc Cashflow'!F272)</f>
        <v/>
      </c>
      <c r="J266" s="65">
        <f>CHOOSE(Plan!$K$5,'Calc Smart'!G272,'Calc Avalanche'!G272,'Calc Snowball'!G272,'Calc Cashflow'!G272)</f>
        <v/>
      </c>
      <c r="K266" s="65">
        <f>CHOOSE(Plan!$K$5,'Calc Smart'!H272,'Calc Avalanche'!H272,'Calc Snowball'!H272,'Calc Cashflow'!H272)</f>
        <v/>
      </c>
      <c r="L266" s="65">
        <f>CHOOSE(Plan!$K$5,'Calc Smart'!I272,'Calc Avalanche'!I272,'Calc Snowball'!I272,'Calc Cashflow'!I272)</f>
        <v/>
      </c>
      <c r="M266" s="65">
        <f>CHOOSE(Plan!$K$5,'Calc Smart'!J272,'Calc Avalanche'!J272,'Calc Snowball'!J272,'Calc Cashflow'!J272)</f>
        <v/>
      </c>
      <c r="N266" s="65">
        <f>CHOOSE(Plan!$K$5,'Calc Smart'!K272,'Calc Avalanche'!K272,'Calc Snowball'!K272,'Calc Cashflow'!K272)</f>
        <v/>
      </c>
      <c r="O266" s="65">
        <f>CHOOSE(Plan!$K$5,'Calc Smart'!L272,'Calc Avalanche'!L272,'Calc Snowball'!L272,'Calc Cashflow'!L272)</f>
        <v/>
      </c>
      <c r="P266" s="65">
        <f>CHOOSE(Plan!$K$5,'Calc Smart'!M272,'Calc Avalanche'!M272,'Calc Snowball'!M272,'Calc Cashflow'!M272)</f>
        <v/>
      </c>
      <c r="Q266" s="65">
        <f>CHOOSE(Plan!$K$5,'Calc Smart'!N272,'Calc Avalanche'!N272,'Calc Snowball'!N272,'Calc Cashflow'!N272)</f>
        <v/>
      </c>
    </row>
    <row r="267">
      <c r="B267" s="66">
        <f>EDATE(Plan!$C$6,261)</f>
        <v/>
      </c>
      <c r="C267" s="32">
        <f>CHOOSE(Plan!$K$5,'Calc Smart'!AE273,'Calc Avalanche'!AE273,'Calc Snowball'!AE273,'Calc Cashflow'!AE273)</f>
        <v/>
      </c>
      <c r="D267" s="32">
        <f>CHOOSE(Plan!$K$5,'Calc Smart'!AD273,'Calc Avalanche'!AD273,'Calc Snowball'!AD273,'Calc Cashflow'!AD273)</f>
        <v/>
      </c>
      <c r="E267" s="43">
        <f>CHOOSE(Plan!$K$5,COUNTIF('Calc Smart'!C273:N273,"&gt;0"),COUNTIF('Calc Avalanche'!C273:N273,"&gt;0"),COUNTIF('Calc Snowball'!C273:N273,"&gt;0"),COUNTIF('Calc Cashflow'!C273:N273,"&gt;0"))</f>
        <v/>
      </c>
      <c r="F267" s="67">
        <f>CHOOSE(Plan!$K$5,'Calc Smart'!C273,'Calc Avalanche'!C273,'Calc Snowball'!C273,'Calc Cashflow'!C273)</f>
        <v/>
      </c>
      <c r="G267" s="67">
        <f>CHOOSE(Plan!$K$5,'Calc Smart'!D273,'Calc Avalanche'!D273,'Calc Snowball'!D273,'Calc Cashflow'!D273)</f>
        <v/>
      </c>
      <c r="H267" s="67">
        <f>CHOOSE(Plan!$K$5,'Calc Smart'!E273,'Calc Avalanche'!E273,'Calc Snowball'!E273,'Calc Cashflow'!E273)</f>
        <v/>
      </c>
      <c r="I267" s="67">
        <f>CHOOSE(Plan!$K$5,'Calc Smart'!F273,'Calc Avalanche'!F273,'Calc Snowball'!F273,'Calc Cashflow'!F273)</f>
        <v/>
      </c>
      <c r="J267" s="67">
        <f>CHOOSE(Plan!$K$5,'Calc Smart'!G273,'Calc Avalanche'!G273,'Calc Snowball'!G273,'Calc Cashflow'!G273)</f>
        <v/>
      </c>
      <c r="K267" s="67">
        <f>CHOOSE(Plan!$K$5,'Calc Smart'!H273,'Calc Avalanche'!H273,'Calc Snowball'!H273,'Calc Cashflow'!H273)</f>
        <v/>
      </c>
      <c r="L267" s="67">
        <f>CHOOSE(Plan!$K$5,'Calc Smart'!I273,'Calc Avalanche'!I273,'Calc Snowball'!I273,'Calc Cashflow'!I273)</f>
        <v/>
      </c>
      <c r="M267" s="67">
        <f>CHOOSE(Plan!$K$5,'Calc Smart'!J273,'Calc Avalanche'!J273,'Calc Snowball'!J273,'Calc Cashflow'!J273)</f>
        <v/>
      </c>
      <c r="N267" s="67">
        <f>CHOOSE(Plan!$K$5,'Calc Smart'!K273,'Calc Avalanche'!K273,'Calc Snowball'!K273,'Calc Cashflow'!K273)</f>
        <v/>
      </c>
      <c r="O267" s="67">
        <f>CHOOSE(Plan!$K$5,'Calc Smart'!L273,'Calc Avalanche'!L273,'Calc Snowball'!L273,'Calc Cashflow'!L273)</f>
        <v/>
      </c>
      <c r="P267" s="67">
        <f>CHOOSE(Plan!$K$5,'Calc Smart'!M273,'Calc Avalanche'!M273,'Calc Snowball'!M273,'Calc Cashflow'!M273)</f>
        <v/>
      </c>
      <c r="Q267" s="67">
        <f>CHOOSE(Plan!$K$5,'Calc Smart'!N273,'Calc Avalanche'!N273,'Calc Snowball'!N273,'Calc Cashflow'!N273)</f>
        <v/>
      </c>
    </row>
    <row r="268">
      <c r="B268" s="64">
        <f>EDATE(Plan!$C$6,262)</f>
        <v/>
      </c>
      <c r="C268" s="31">
        <f>CHOOSE(Plan!$K$5,'Calc Smart'!AE274,'Calc Avalanche'!AE274,'Calc Snowball'!AE274,'Calc Cashflow'!AE274)</f>
        <v/>
      </c>
      <c r="D268" s="31">
        <f>CHOOSE(Plan!$K$5,'Calc Smart'!AD274,'Calc Avalanche'!AD274,'Calc Snowball'!AD274,'Calc Cashflow'!AD274)</f>
        <v/>
      </c>
      <c r="E268" s="40">
        <f>CHOOSE(Plan!$K$5,COUNTIF('Calc Smart'!C274:N274,"&gt;0"),COUNTIF('Calc Avalanche'!C274:N274,"&gt;0"),COUNTIF('Calc Snowball'!C274:N274,"&gt;0"),COUNTIF('Calc Cashflow'!C274:N274,"&gt;0"))</f>
        <v/>
      </c>
      <c r="F268" s="65">
        <f>CHOOSE(Plan!$K$5,'Calc Smart'!C274,'Calc Avalanche'!C274,'Calc Snowball'!C274,'Calc Cashflow'!C274)</f>
        <v/>
      </c>
      <c r="G268" s="65">
        <f>CHOOSE(Plan!$K$5,'Calc Smart'!D274,'Calc Avalanche'!D274,'Calc Snowball'!D274,'Calc Cashflow'!D274)</f>
        <v/>
      </c>
      <c r="H268" s="65">
        <f>CHOOSE(Plan!$K$5,'Calc Smart'!E274,'Calc Avalanche'!E274,'Calc Snowball'!E274,'Calc Cashflow'!E274)</f>
        <v/>
      </c>
      <c r="I268" s="65">
        <f>CHOOSE(Plan!$K$5,'Calc Smart'!F274,'Calc Avalanche'!F274,'Calc Snowball'!F274,'Calc Cashflow'!F274)</f>
        <v/>
      </c>
      <c r="J268" s="65">
        <f>CHOOSE(Plan!$K$5,'Calc Smart'!G274,'Calc Avalanche'!G274,'Calc Snowball'!G274,'Calc Cashflow'!G274)</f>
        <v/>
      </c>
      <c r="K268" s="65">
        <f>CHOOSE(Plan!$K$5,'Calc Smart'!H274,'Calc Avalanche'!H274,'Calc Snowball'!H274,'Calc Cashflow'!H274)</f>
        <v/>
      </c>
      <c r="L268" s="65">
        <f>CHOOSE(Plan!$K$5,'Calc Smart'!I274,'Calc Avalanche'!I274,'Calc Snowball'!I274,'Calc Cashflow'!I274)</f>
        <v/>
      </c>
      <c r="M268" s="65">
        <f>CHOOSE(Plan!$K$5,'Calc Smart'!J274,'Calc Avalanche'!J274,'Calc Snowball'!J274,'Calc Cashflow'!J274)</f>
        <v/>
      </c>
      <c r="N268" s="65">
        <f>CHOOSE(Plan!$K$5,'Calc Smart'!K274,'Calc Avalanche'!K274,'Calc Snowball'!K274,'Calc Cashflow'!K274)</f>
        <v/>
      </c>
      <c r="O268" s="65">
        <f>CHOOSE(Plan!$K$5,'Calc Smart'!L274,'Calc Avalanche'!L274,'Calc Snowball'!L274,'Calc Cashflow'!L274)</f>
        <v/>
      </c>
      <c r="P268" s="65">
        <f>CHOOSE(Plan!$K$5,'Calc Smart'!M274,'Calc Avalanche'!M274,'Calc Snowball'!M274,'Calc Cashflow'!M274)</f>
        <v/>
      </c>
      <c r="Q268" s="65">
        <f>CHOOSE(Plan!$K$5,'Calc Smart'!N274,'Calc Avalanche'!N274,'Calc Snowball'!N274,'Calc Cashflow'!N274)</f>
        <v/>
      </c>
    </row>
    <row r="269">
      <c r="B269" s="66">
        <f>EDATE(Plan!$C$6,263)</f>
        <v/>
      </c>
      <c r="C269" s="32">
        <f>CHOOSE(Plan!$K$5,'Calc Smart'!AE275,'Calc Avalanche'!AE275,'Calc Snowball'!AE275,'Calc Cashflow'!AE275)</f>
        <v/>
      </c>
      <c r="D269" s="32">
        <f>CHOOSE(Plan!$K$5,'Calc Smart'!AD275,'Calc Avalanche'!AD275,'Calc Snowball'!AD275,'Calc Cashflow'!AD275)</f>
        <v/>
      </c>
      <c r="E269" s="43">
        <f>CHOOSE(Plan!$K$5,COUNTIF('Calc Smart'!C275:N275,"&gt;0"),COUNTIF('Calc Avalanche'!C275:N275,"&gt;0"),COUNTIF('Calc Snowball'!C275:N275,"&gt;0"),COUNTIF('Calc Cashflow'!C275:N275,"&gt;0"))</f>
        <v/>
      </c>
      <c r="F269" s="67">
        <f>CHOOSE(Plan!$K$5,'Calc Smart'!C275,'Calc Avalanche'!C275,'Calc Snowball'!C275,'Calc Cashflow'!C275)</f>
        <v/>
      </c>
      <c r="G269" s="67">
        <f>CHOOSE(Plan!$K$5,'Calc Smart'!D275,'Calc Avalanche'!D275,'Calc Snowball'!D275,'Calc Cashflow'!D275)</f>
        <v/>
      </c>
      <c r="H269" s="67">
        <f>CHOOSE(Plan!$K$5,'Calc Smart'!E275,'Calc Avalanche'!E275,'Calc Snowball'!E275,'Calc Cashflow'!E275)</f>
        <v/>
      </c>
      <c r="I269" s="67">
        <f>CHOOSE(Plan!$K$5,'Calc Smart'!F275,'Calc Avalanche'!F275,'Calc Snowball'!F275,'Calc Cashflow'!F275)</f>
        <v/>
      </c>
      <c r="J269" s="67">
        <f>CHOOSE(Plan!$K$5,'Calc Smart'!G275,'Calc Avalanche'!G275,'Calc Snowball'!G275,'Calc Cashflow'!G275)</f>
        <v/>
      </c>
      <c r="K269" s="67">
        <f>CHOOSE(Plan!$K$5,'Calc Smart'!H275,'Calc Avalanche'!H275,'Calc Snowball'!H275,'Calc Cashflow'!H275)</f>
        <v/>
      </c>
      <c r="L269" s="67">
        <f>CHOOSE(Plan!$K$5,'Calc Smart'!I275,'Calc Avalanche'!I275,'Calc Snowball'!I275,'Calc Cashflow'!I275)</f>
        <v/>
      </c>
      <c r="M269" s="67">
        <f>CHOOSE(Plan!$K$5,'Calc Smart'!J275,'Calc Avalanche'!J275,'Calc Snowball'!J275,'Calc Cashflow'!J275)</f>
        <v/>
      </c>
      <c r="N269" s="67">
        <f>CHOOSE(Plan!$K$5,'Calc Smart'!K275,'Calc Avalanche'!K275,'Calc Snowball'!K275,'Calc Cashflow'!K275)</f>
        <v/>
      </c>
      <c r="O269" s="67">
        <f>CHOOSE(Plan!$K$5,'Calc Smart'!L275,'Calc Avalanche'!L275,'Calc Snowball'!L275,'Calc Cashflow'!L275)</f>
        <v/>
      </c>
      <c r="P269" s="67">
        <f>CHOOSE(Plan!$K$5,'Calc Smart'!M275,'Calc Avalanche'!M275,'Calc Snowball'!M275,'Calc Cashflow'!M275)</f>
        <v/>
      </c>
      <c r="Q269" s="67">
        <f>CHOOSE(Plan!$K$5,'Calc Smart'!N275,'Calc Avalanche'!N275,'Calc Snowball'!N275,'Calc Cashflow'!N275)</f>
        <v/>
      </c>
    </row>
    <row r="270">
      <c r="B270" s="64">
        <f>EDATE(Plan!$C$6,264)</f>
        <v/>
      </c>
      <c r="C270" s="31">
        <f>CHOOSE(Plan!$K$5,'Calc Smart'!AE276,'Calc Avalanche'!AE276,'Calc Snowball'!AE276,'Calc Cashflow'!AE276)</f>
        <v/>
      </c>
      <c r="D270" s="31">
        <f>CHOOSE(Plan!$K$5,'Calc Smart'!AD276,'Calc Avalanche'!AD276,'Calc Snowball'!AD276,'Calc Cashflow'!AD276)</f>
        <v/>
      </c>
      <c r="E270" s="40">
        <f>CHOOSE(Plan!$K$5,COUNTIF('Calc Smart'!C276:N276,"&gt;0"),COUNTIF('Calc Avalanche'!C276:N276,"&gt;0"),COUNTIF('Calc Snowball'!C276:N276,"&gt;0"),COUNTIF('Calc Cashflow'!C276:N276,"&gt;0"))</f>
        <v/>
      </c>
      <c r="F270" s="65">
        <f>CHOOSE(Plan!$K$5,'Calc Smart'!C276,'Calc Avalanche'!C276,'Calc Snowball'!C276,'Calc Cashflow'!C276)</f>
        <v/>
      </c>
      <c r="G270" s="65">
        <f>CHOOSE(Plan!$K$5,'Calc Smart'!D276,'Calc Avalanche'!D276,'Calc Snowball'!D276,'Calc Cashflow'!D276)</f>
        <v/>
      </c>
      <c r="H270" s="65">
        <f>CHOOSE(Plan!$K$5,'Calc Smart'!E276,'Calc Avalanche'!E276,'Calc Snowball'!E276,'Calc Cashflow'!E276)</f>
        <v/>
      </c>
      <c r="I270" s="65">
        <f>CHOOSE(Plan!$K$5,'Calc Smart'!F276,'Calc Avalanche'!F276,'Calc Snowball'!F276,'Calc Cashflow'!F276)</f>
        <v/>
      </c>
      <c r="J270" s="65">
        <f>CHOOSE(Plan!$K$5,'Calc Smart'!G276,'Calc Avalanche'!G276,'Calc Snowball'!G276,'Calc Cashflow'!G276)</f>
        <v/>
      </c>
      <c r="K270" s="65">
        <f>CHOOSE(Plan!$K$5,'Calc Smart'!H276,'Calc Avalanche'!H276,'Calc Snowball'!H276,'Calc Cashflow'!H276)</f>
        <v/>
      </c>
      <c r="L270" s="65">
        <f>CHOOSE(Plan!$K$5,'Calc Smart'!I276,'Calc Avalanche'!I276,'Calc Snowball'!I276,'Calc Cashflow'!I276)</f>
        <v/>
      </c>
      <c r="M270" s="65">
        <f>CHOOSE(Plan!$K$5,'Calc Smart'!J276,'Calc Avalanche'!J276,'Calc Snowball'!J276,'Calc Cashflow'!J276)</f>
        <v/>
      </c>
      <c r="N270" s="65">
        <f>CHOOSE(Plan!$K$5,'Calc Smart'!K276,'Calc Avalanche'!K276,'Calc Snowball'!K276,'Calc Cashflow'!K276)</f>
        <v/>
      </c>
      <c r="O270" s="65">
        <f>CHOOSE(Plan!$K$5,'Calc Smart'!L276,'Calc Avalanche'!L276,'Calc Snowball'!L276,'Calc Cashflow'!L276)</f>
        <v/>
      </c>
      <c r="P270" s="65">
        <f>CHOOSE(Plan!$K$5,'Calc Smart'!M276,'Calc Avalanche'!M276,'Calc Snowball'!M276,'Calc Cashflow'!M276)</f>
        <v/>
      </c>
      <c r="Q270" s="65">
        <f>CHOOSE(Plan!$K$5,'Calc Smart'!N276,'Calc Avalanche'!N276,'Calc Snowball'!N276,'Calc Cashflow'!N276)</f>
        <v/>
      </c>
    </row>
    <row r="271">
      <c r="B271" s="66">
        <f>EDATE(Plan!$C$6,265)</f>
        <v/>
      </c>
      <c r="C271" s="32">
        <f>CHOOSE(Plan!$K$5,'Calc Smart'!AE277,'Calc Avalanche'!AE277,'Calc Snowball'!AE277,'Calc Cashflow'!AE277)</f>
        <v/>
      </c>
      <c r="D271" s="32">
        <f>CHOOSE(Plan!$K$5,'Calc Smart'!AD277,'Calc Avalanche'!AD277,'Calc Snowball'!AD277,'Calc Cashflow'!AD277)</f>
        <v/>
      </c>
      <c r="E271" s="43">
        <f>CHOOSE(Plan!$K$5,COUNTIF('Calc Smart'!C277:N277,"&gt;0"),COUNTIF('Calc Avalanche'!C277:N277,"&gt;0"),COUNTIF('Calc Snowball'!C277:N277,"&gt;0"),COUNTIF('Calc Cashflow'!C277:N277,"&gt;0"))</f>
        <v/>
      </c>
      <c r="F271" s="67">
        <f>CHOOSE(Plan!$K$5,'Calc Smart'!C277,'Calc Avalanche'!C277,'Calc Snowball'!C277,'Calc Cashflow'!C277)</f>
        <v/>
      </c>
      <c r="G271" s="67">
        <f>CHOOSE(Plan!$K$5,'Calc Smart'!D277,'Calc Avalanche'!D277,'Calc Snowball'!D277,'Calc Cashflow'!D277)</f>
        <v/>
      </c>
      <c r="H271" s="67">
        <f>CHOOSE(Plan!$K$5,'Calc Smart'!E277,'Calc Avalanche'!E277,'Calc Snowball'!E277,'Calc Cashflow'!E277)</f>
        <v/>
      </c>
      <c r="I271" s="67">
        <f>CHOOSE(Plan!$K$5,'Calc Smart'!F277,'Calc Avalanche'!F277,'Calc Snowball'!F277,'Calc Cashflow'!F277)</f>
        <v/>
      </c>
      <c r="J271" s="67">
        <f>CHOOSE(Plan!$K$5,'Calc Smart'!G277,'Calc Avalanche'!G277,'Calc Snowball'!G277,'Calc Cashflow'!G277)</f>
        <v/>
      </c>
      <c r="K271" s="67">
        <f>CHOOSE(Plan!$K$5,'Calc Smart'!H277,'Calc Avalanche'!H277,'Calc Snowball'!H277,'Calc Cashflow'!H277)</f>
        <v/>
      </c>
      <c r="L271" s="67">
        <f>CHOOSE(Plan!$K$5,'Calc Smart'!I277,'Calc Avalanche'!I277,'Calc Snowball'!I277,'Calc Cashflow'!I277)</f>
        <v/>
      </c>
      <c r="M271" s="67">
        <f>CHOOSE(Plan!$K$5,'Calc Smart'!J277,'Calc Avalanche'!J277,'Calc Snowball'!J277,'Calc Cashflow'!J277)</f>
        <v/>
      </c>
      <c r="N271" s="67">
        <f>CHOOSE(Plan!$K$5,'Calc Smart'!K277,'Calc Avalanche'!K277,'Calc Snowball'!K277,'Calc Cashflow'!K277)</f>
        <v/>
      </c>
      <c r="O271" s="67">
        <f>CHOOSE(Plan!$K$5,'Calc Smart'!L277,'Calc Avalanche'!L277,'Calc Snowball'!L277,'Calc Cashflow'!L277)</f>
        <v/>
      </c>
      <c r="P271" s="67">
        <f>CHOOSE(Plan!$K$5,'Calc Smart'!M277,'Calc Avalanche'!M277,'Calc Snowball'!M277,'Calc Cashflow'!M277)</f>
        <v/>
      </c>
      <c r="Q271" s="67">
        <f>CHOOSE(Plan!$K$5,'Calc Smart'!N277,'Calc Avalanche'!N277,'Calc Snowball'!N277,'Calc Cashflow'!N277)</f>
        <v/>
      </c>
    </row>
    <row r="272">
      <c r="B272" s="64">
        <f>EDATE(Plan!$C$6,266)</f>
        <v/>
      </c>
      <c r="C272" s="31">
        <f>CHOOSE(Plan!$K$5,'Calc Smart'!AE278,'Calc Avalanche'!AE278,'Calc Snowball'!AE278,'Calc Cashflow'!AE278)</f>
        <v/>
      </c>
      <c r="D272" s="31">
        <f>CHOOSE(Plan!$K$5,'Calc Smart'!AD278,'Calc Avalanche'!AD278,'Calc Snowball'!AD278,'Calc Cashflow'!AD278)</f>
        <v/>
      </c>
      <c r="E272" s="40">
        <f>CHOOSE(Plan!$K$5,COUNTIF('Calc Smart'!C278:N278,"&gt;0"),COUNTIF('Calc Avalanche'!C278:N278,"&gt;0"),COUNTIF('Calc Snowball'!C278:N278,"&gt;0"),COUNTIF('Calc Cashflow'!C278:N278,"&gt;0"))</f>
        <v/>
      </c>
      <c r="F272" s="65">
        <f>CHOOSE(Plan!$K$5,'Calc Smart'!C278,'Calc Avalanche'!C278,'Calc Snowball'!C278,'Calc Cashflow'!C278)</f>
        <v/>
      </c>
      <c r="G272" s="65">
        <f>CHOOSE(Plan!$K$5,'Calc Smart'!D278,'Calc Avalanche'!D278,'Calc Snowball'!D278,'Calc Cashflow'!D278)</f>
        <v/>
      </c>
      <c r="H272" s="65">
        <f>CHOOSE(Plan!$K$5,'Calc Smart'!E278,'Calc Avalanche'!E278,'Calc Snowball'!E278,'Calc Cashflow'!E278)</f>
        <v/>
      </c>
      <c r="I272" s="65">
        <f>CHOOSE(Plan!$K$5,'Calc Smart'!F278,'Calc Avalanche'!F278,'Calc Snowball'!F278,'Calc Cashflow'!F278)</f>
        <v/>
      </c>
      <c r="J272" s="65">
        <f>CHOOSE(Plan!$K$5,'Calc Smart'!G278,'Calc Avalanche'!G278,'Calc Snowball'!G278,'Calc Cashflow'!G278)</f>
        <v/>
      </c>
      <c r="K272" s="65">
        <f>CHOOSE(Plan!$K$5,'Calc Smart'!H278,'Calc Avalanche'!H278,'Calc Snowball'!H278,'Calc Cashflow'!H278)</f>
        <v/>
      </c>
      <c r="L272" s="65">
        <f>CHOOSE(Plan!$K$5,'Calc Smart'!I278,'Calc Avalanche'!I278,'Calc Snowball'!I278,'Calc Cashflow'!I278)</f>
        <v/>
      </c>
      <c r="M272" s="65">
        <f>CHOOSE(Plan!$K$5,'Calc Smart'!J278,'Calc Avalanche'!J278,'Calc Snowball'!J278,'Calc Cashflow'!J278)</f>
        <v/>
      </c>
      <c r="N272" s="65">
        <f>CHOOSE(Plan!$K$5,'Calc Smart'!K278,'Calc Avalanche'!K278,'Calc Snowball'!K278,'Calc Cashflow'!K278)</f>
        <v/>
      </c>
      <c r="O272" s="65">
        <f>CHOOSE(Plan!$K$5,'Calc Smart'!L278,'Calc Avalanche'!L278,'Calc Snowball'!L278,'Calc Cashflow'!L278)</f>
        <v/>
      </c>
      <c r="P272" s="65">
        <f>CHOOSE(Plan!$K$5,'Calc Smart'!M278,'Calc Avalanche'!M278,'Calc Snowball'!M278,'Calc Cashflow'!M278)</f>
        <v/>
      </c>
      <c r="Q272" s="65">
        <f>CHOOSE(Plan!$K$5,'Calc Smart'!N278,'Calc Avalanche'!N278,'Calc Snowball'!N278,'Calc Cashflow'!N278)</f>
        <v/>
      </c>
    </row>
    <row r="273">
      <c r="B273" s="66">
        <f>EDATE(Plan!$C$6,267)</f>
        <v/>
      </c>
      <c r="C273" s="32">
        <f>CHOOSE(Plan!$K$5,'Calc Smart'!AE279,'Calc Avalanche'!AE279,'Calc Snowball'!AE279,'Calc Cashflow'!AE279)</f>
        <v/>
      </c>
      <c r="D273" s="32">
        <f>CHOOSE(Plan!$K$5,'Calc Smart'!AD279,'Calc Avalanche'!AD279,'Calc Snowball'!AD279,'Calc Cashflow'!AD279)</f>
        <v/>
      </c>
      <c r="E273" s="43">
        <f>CHOOSE(Plan!$K$5,COUNTIF('Calc Smart'!C279:N279,"&gt;0"),COUNTIF('Calc Avalanche'!C279:N279,"&gt;0"),COUNTIF('Calc Snowball'!C279:N279,"&gt;0"),COUNTIF('Calc Cashflow'!C279:N279,"&gt;0"))</f>
        <v/>
      </c>
      <c r="F273" s="67">
        <f>CHOOSE(Plan!$K$5,'Calc Smart'!C279,'Calc Avalanche'!C279,'Calc Snowball'!C279,'Calc Cashflow'!C279)</f>
        <v/>
      </c>
      <c r="G273" s="67">
        <f>CHOOSE(Plan!$K$5,'Calc Smart'!D279,'Calc Avalanche'!D279,'Calc Snowball'!D279,'Calc Cashflow'!D279)</f>
        <v/>
      </c>
      <c r="H273" s="67">
        <f>CHOOSE(Plan!$K$5,'Calc Smart'!E279,'Calc Avalanche'!E279,'Calc Snowball'!E279,'Calc Cashflow'!E279)</f>
        <v/>
      </c>
      <c r="I273" s="67">
        <f>CHOOSE(Plan!$K$5,'Calc Smart'!F279,'Calc Avalanche'!F279,'Calc Snowball'!F279,'Calc Cashflow'!F279)</f>
        <v/>
      </c>
      <c r="J273" s="67">
        <f>CHOOSE(Plan!$K$5,'Calc Smart'!G279,'Calc Avalanche'!G279,'Calc Snowball'!G279,'Calc Cashflow'!G279)</f>
        <v/>
      </c>
      <c r="K273" s="67">
        <f>CHOOSE(Plan!$K$5,'Calc Smart'!H279,'Calc Avalanche'!H279,'Calc Snowball'!H279,'Calc Cashflow'!H279)</f>
        <v/>
      </c>
      <c r="L273" s="67">
        <f>CHOOSE(Plan!$K$5,'Calc Smart'!I279,'Calc Avalanche'!I279,'Calc Snowball'!I279,'Calc Cashflow'!I279)</f>
        <v/>
      </c>
      <c r="M273" s="67">
        <f>CHOOSE(Plan!$K$5,'Calc Smart'!J279,'Calc Avalanche'!J279,'Calc Snowball'!J279,'Calc Cashflow'!J279)</f>
        <v/>
      </c>
      <c r="N273" s="67">
        <f>CHOOSE(Plan!$K$5,'Calc Smart'!K279,'Calc Avalanche'!K279,'Calc Snowball'!K279,'Calc Cashflow'!K279)</f>
        <v/>
      </c>
      <c r="O273" s="67">
        <f>CHOOSE(Plan!$K$5,'Calc Smart'!L279,'Calc Avalanche'!L279,'Calc Snowball'!L279,'Calc Cashflow'!L279)</f>
        <v/>
      </c>
      <c r="P273" s="67">
        <f>CHOOSE(Plan!$K$5,'Calc Smart'!M279,'Calc Avalanche'!M279,'Calc Snowball'!M279,'Calc Cashflow'!M279)</f>
        <v/>
      </c>
      <c r="Q273" s="67">
        <f>CHOOSE(Plan!$K$5,'Calc Smart'!N279,'Calc Avalanche'!N279,'Calc Snowball'!N279,'Calc Cashflow'!N279)</f>
        <v/>
      </c>
    </row>
    <row r="274">
      <c r="B274" s="64">
        <f>EDATE(Plan!$C$6,268)</f>
        <v/>
      </c>
      <c r="C274" s="31">
        <f>CHOOSE(Plan!$K$5,'Calc Smart'!AE280,'Calc Avalanche'!AE280,'Calc Snowball'!AE280,'Calc Cashflow'!AE280)</f>
        <v/>
      </c>
      <c r="D274" s="31">
        <f>CHOOSE(Plan!$K$5,'Calc Smart'!AD280,'Calc Avalanche'!AD280,'Calc Snowball'!AD280,'Calc Cashflow'!AD280)</f>
        <v/>
      </c>
      <c r="E274" s="40">
        <f>CHOOSE(Plan!$K$5,COUNTIF('Calc Smart'!C280:N280,"&gt;0"),COUNTIF('Calc Avalanche'!C280:N280,"&gt;0"),COUNTIF('Calc Snowball'!C280:N280,"&gt;0"),COUNTIF('Calc Cashflow'!C280:N280,"&gt;0"))</f>
        <v/>
      </c>
      <c r="F274" s="65">
        <f>CHOOSE(Plan!$K$5,'Calc Smart'!C280,'Calc Avalanche'!C280,'Calc Snowball'!C280,'Calc Cashflow'!C280)</f>
        <v/>
      </c>
      <c r="G274" s="65">
        <f>CHOOSE(Plan!$K$5,'Calc Smart'!D280,'Calc Avalanche'!D280,'Calc Snowball'!D280,'Calc Cashflow'!D280)</f>
        <v/>
      </c>
      <c r="H274" s="65">
        <f>CHOOSE(Plan!$K$5,'Calc Smart'!E280,'Calc Avalanche'!E280,'Calc Snowball'!E280,'Calc Cashflow'!E280)</f>
        <v/>
      </c>
      <c r="I274" s="65">
        <f>CHOOSE(Plan!$K$5,'Calc Smart'!F280,'Calc Avalanche'!F280,'Calc Snowball'!F280,'Calc Cashflow'!F280)</f>
        <v/>
      </c>
      <c r="J274" s="65">
        <f>CHOOSE(Plan!$K$5,'Calc Smart'!G280,'Calc Avalanche'!G280,'Calc Snowball'!G280,'Calc Cashflow'!G280)</f>
        <v/>
      </c>
      <c r="K274" s="65">
        <f>CHOOSE(Plan!$K$5,'Calc Smart'!H280,'Calc Avalanche'!H280,'Calc Snowball'!H280,'Calc Cashflow'!H280)</f>
        <v/>
      </c>
      <c r="L274" s="65">
        <f>CHOOSE(Plan!$K$5,'Calc Smart'!I280,'Calc Avalanche'!I280,'Calc Snowball'!I280,'Calc Cashflow'!I280)</f>
        <v/>
      </c>
      <c r="M274" s="65">
        <f>CHOOSE(Plan!$K$5,'Calc Smart'!J280,'Calc Avalanche'!J280,'Calc Snowball'!J280,'Calc Cashflow'!J280)</f>
        <v/>
      </c>
      <c r="N274" s="65">
        <f>CHOOSE(Plan!$K$5,'Calc Smart'!K280,'Calc Avalanche'!K280,'Calc Snowball'!K280,'Calc Cashflow'!K280)</f>
        <v/>
      </c>
      <c r="O274" s="65">
        <f>CHOOSE(Plan!$K$5,'Calc Smart'!L280,'Calc Avalanche'!L280,'Calc Snowball'!L280,'Calc Cashflow'!L280)</f>
        <v/>
      </c>
      <c r="P274" s="65">
        <f>CHOOSE(Plan!$K$5,'Calc Smart'!M280,'Calc Avalanche'!M280,'Calc Snowball'!M280,'Calc Cashflow'!M280)</f>
        <v/>
      </c>
      <c r="Q274" s="65">
        <f>CHOOSE(Plan!$K$5,'Calc Smart'!N280,'Calc Avalanche'!N280,'Calc Snowball'!N280,'Calc Cashflow'!N280)</f>
        <v/>
      </c>
    </row>
    <row r="275">
      <c r="B275" s="66">
        <f>EDATE(Plan!$C$6,269)</f>
        <v/>
      </c>
      <c r="C275" s="32">
        <f>CHOOSE(Plan!$K$5,'Calc Smart'!AE281,'Calc Avalanche'!AE281,'Calc Snowball'!AE281,'Calc Cashflow'!AE281)</f>
        <v/>
      </c>
      <c r="D275" s="32">
        <f>CHOOSE(Plan!$K$5,'Calc Smart'!AD281,'Calc Avalanche'!AD281,'Calc Snowball'!AD281,'Calc Cashflow'!AD281)</f>
        <v/>
      </c>
      <c r="E275" s="43">
        <f>CHOOSE(Plan!$K$5,COUNTIF('Calc Smart'!C281:N281,"&gt;0"),COUNTIF('Calc Avalanche'!C281:N281,"&gt;0"),COUNTIF('Calc Snowball'!C281:N281,"&gt;0"),COUNTIF('Calc Cashflow'!C281:N281,"&gt;0"))</f>
        <v/>
      </c>
      <c r="F275" s="67">
        <f>CHOOSE(Plan!$K$5,'Calc Smart'!C281,'Calc Avalanche'!C281,'Calc Snowball'!C281,'Calc Cashflow'!C281)</f>
        <v/>
      </c>
      <c r="G275" s="67">
        <f>CHOOSE(Plan!$K$5,'Calc Smart'!D281,'Calc Avalanche'!D281,'Calc Snowball'!D281,'Calc Cashflow'!D281)</f>
        <v/>
      </c>
      <c r="H275" s="67">
        <f>CHOOSE(Plan!$K$5,'Calc Smart'!E281,'Calc Avalanche'!E281,'Calc Snowball'!E281,'Calc Cashflow'!E281)</f>
        <v/>
      </c>
      <c r="I275" s="67">
        <f>CHOOSE(Plan!$K$5,'Calc Smart'!F281,'Calc Avalanche'!F281,'Calc Snowball'!F281,'Calc Cashflow'!F281)</f>
        <v/>
      </c>
      <c r="J275" s="67">
        <f>CHOOSE(Plan!$K$5,'Calc Smart'!G281,'Calc Avalanche'!G281,'Calc Snowball'!G281,'Calc Cashflow'!G281)</f>
        <v/>
      </c>
      <c r="K275" s="67">
        <f>CHOOSE(Plan!$K$5,'Calc Smart'!H281,'Calc Avalanche'!H281,'Calc Snowball'!H281,'Calc Cashflow'!H281)</f>
        <v/>
      </c>
      <c r="L275" s="67">
        <f>CHOOSE(Plan!$K$5,'Calc Smart'!I281,'Calc Avalanche'!I281,'Calc Snowball'!I281,'Calc Cashflow'!I281)</f>
        <v/>
      </c>
      <c r="M275" s="67">
        <f>CHOOSE(Plan!$K$5,'Calc Smart'!J281,'Calc Avalanche'!J281,'Calc Snowball'!J281,'Calc Cashflow'!J281)</f>
        <v/>
      </c>
      <c r="N275" s="67">
        <f>CHOOSE(Plan!$K$5,'Calc Smart'!K281,'Calc Avalanche'!K281,'Calc Snowball'!K281,'Calc Cashflow'!K281)</f>
        <v/>
      </c>
      <c r="O275" s="67">
        <f>CHOOSE(Plan!$K$5,'Calc Smart'!L281,'Calc Avalanche'!L281,'Calc Snowball'!L281,'Calc Cashflow'!L281)</f>
        <v/>
      </c>
      <c r="P275" s="67">
        <f>CHOOSE(Plan!$K$5,'Calc Smart'!M281,'Calc Avalanche'!M281,'Calc Snowball'!M281,'Calc Cashflow'!M281)</f>
        <v/>
      </c>
      <c r="Q275" s="67">
        <f>CHOOSE(Plan!$K$5,'Calc Smart'!N281,'Calc Avalanche'!N281,'Calc Snowball'!N281,'Calc Cashflow'!N281)</f>
        <v/>
      </c>
    </row>
    <row r="276">
      <c r="B276" s="64">
        <f>EDATE(Plan!$C$6,270)</f>
        <v/>
      </c>
      <c r="C276" s="31">
        <f>CHOOSE(Plan!$K$5,'Calc Smart'!AE282,'Calc Avalanche'!AE282,'Calc Snowball'!AE282,'Calc Cashflow'!AE282)</f>
        <v/>
      </c>
      <c r="D276" s="31">
        <f>CHOOSE(Plan!$K$5,'Calc Smart'!AD282,'Calc Avalanche'!AD282,'Calc Snowball'!AD282,'Calc Cashflow'!AD282)</f>
        <v/>
      </c>
      <c r="E276" s="40">
        <f>CHOOSE(Plan!$K$5,COUNTIF('Calc Smart'!C282:N282,"&gt;0"),COUNTIF('Calc Avalanche'!C282:N282,"&gt;0"),COUNTIF('Calc Snowball'!C282:N282,"&gt;0"),COUNTIF('Calc Cashflow'!C282:N282,"&gt;0"))</f>
        <v/>
      </c>
      <c r="F276" s="65">
        <f>CHOOSE(Plan!$K$5,'Calc Smart'!C282,'Calc Avalanche'!C282,'Calc Snowball'!C282,'Calc Cashflow'!C282)</f>
        <v/>
      </c>
      <c r="G276" s="65">
        <f>CHOOSE(Plan!$K$5,'Calc Smart'!D282,'Calc Avalanche'!D282,'Calc Snowball'!D282,'Calc Cashflow'!D282)</f>
        <v/>
      </c>
      <c r="H276" s="65">
        <f>CHOOSE(Plan!$K$5,'Calc Smart'!E282,'Calc Avalanche'!E282,'Calc Snowball'!E282,'Calc Cashflow'!E282)</f>
        <v/>
      </c>
      <c r="I276" s="65">
        <f>CHOOSE(Plan!$K$5,'Calc Smart'!F282,'Calc Avalanche'!F282,'Calc Snowball'!F282,'Calc Cashflow'!F282)</f>
        <v/>
      </c>
      <c r="J276" s="65">
        <f>CHOOSE(Plan!$K$5,'Calc Smart'!G282,'Calc Avalanche'!G282,'Calc Snowball'!G282,'Calc Cashflow'!G282)</f>
        <v/>
      </c>
      <c r="K276" s="65">
        <f>CHOOSE(Plan!$K$5,'Calc Smart'!H282,'Calc Avalanche'!H282,'Calc Snowball'!H282,'Calc Cashflow'!H282)</f>
        <v/>
      </c>
      <c r="L276" s="65">
        <f>CHOOSE(Plan!$K$5,'Calc Smart'!I282,'Calc Avalanche'!I282,'Calc Snowball'!I282,'Calc Cashflow'!I282)</f>
        <v/>
      </c>
      <c r="M276" s="65">
        <f>CHOOSE(Plan!$K$5,'Calc Smart'!J282,'Calc Avalanche'!J282,'Calc Snowball'!J282,'Calc Cashflow'!J282)</f>
        <v/>
      </c>
      <c r="N276" s="65">
        <f>CHOOSE(Plan!$K$5,'Calc Smart'!K282,'Calc Avalanche'!K282,'Calc Snowball'!K282,'Calc Cashflow'!K282)</f>
        <v/>
      </c>
      <c r="O276" s="65">
        <f>CHOOSE(Plan!$K$5,'Calc Smart'!L282,'Calc Avalanche'!L282,'Calc Snowball'!L282,'Calc Cashflow'!L282)</f>
        <v/>
      </c>
      <c r="P276" s="65">
        <f>CHOOSE(Plan!$K$5,'Calc Smart'!M282,'Calc Avalanche'!M282,'Calc Snowball'!M282,'Calc Cashflow'!M282)</f>
        <v/>
      </c>
      <c r="Q276" s="65">
        <f>CHOOSE(Plan!$K$5,'Calc Smart'!N282,'Calc Avalanche'!N282,'Calc Snowball'!N282,'Calc Cashflow'!N282)</f>
        <v/>
      </c>
    </row>
    <row r="277">
      <c r="B277" s="66">
        <f>EDATE(Plan!$C$6,271)</f>
        <v/>
      </c>
      <c r="C277" s="32">
        <f>CHOOSE(Plan!$K$5,'Calc Smart'!AE283,'Calc Avalanche'!AE283,'Calc Snowball'!AE283,'Calc Cashflow'!AE283)</f>
        <v/>
      </c>
      <c r="D277" s="32">
        <f>CHOOSE(Plan!$K$5,'Calc Smart'!AD283,'Calc Avalanche'!AD283,'Calc Snowball'!AD283,'Calc Cashflow'!AD283)</f>
        <v/>
      </c>
      <c r="E277" s="43">
        <f>CHOOSE(Plan!$K$5,COUNTIF('Calc Smart'!C283:N283,"&gt;0"),COUNTIF('Calc Avalanche'!C283:N283,"&gt;0"),COUNTIF('Calc Snowball'!C283:N283,"&gt;0"),COUNTIF('Calc Cashflow'!C283:N283,"&gt;0"))</f>
        <v/>
      </c>
      <c r="F277" s="67">
        <f>CHOOSE(Plan!$K$5,'Calc Smart'!C283,'Calc Avalanche'!C283,'Calc Snowball'!C283,'Calc Cashflow'!C283)</f>
        <v/>
      </c>
      <c r="G277" s="67">
        <f>CHOOSE(Plan!$K$5,'Calc Smart'!D283,'Calc Avalanche'!D283,'Calc Snowball'!D283,'Calc Cashflow'!D283)</f>
        <v/>
      </c>
      <c r="H277" s="67">
        <f>CHOOSE(Plan!$K$5,'Calc Smart'!E283,'Calc Avalanche'!E283,'Calc Snowball'!E283,'Calc Cashflow'!E283)</f>
        <v/>
      </c>
      <c r="I277" s="67">
        <f>CHOOSE(Plan!$K$5,'Calc Smart'!F283,'Calc Avalanche'!F283,'Calc Snowball'!F283,'Calc Cashflow'!F283)</f>
        <v/>
      </c>
      <c r="J277" s="67">
        <f>CHOOSE(Plan!$K$5,'Calc Smart'!G283,'Calc Avalanche'!G283,'Calc Snowball'!G283,'Calc Cashflow'!G283)</f>
        <v/>
      </c>
      <c r="K277" s="67">
        <f>CHOOSE(Plan!$K$5,'Calc Smart'!H283,'Calc Avalanche'!H283,'Calc Snowball'!H283,'Calc Cashflow'!H283)</f>
        <v/>
      </c>
      <c r="L277" s="67">
        <f>CHOOSE(Plan!$K$5,'Calc Smart'!I283,'Calc Avalanche'!I283,'Calc Snowball'!I283,'Calc Cashflow'!I283)</f>
        <v/>
      </c>
      <c r="M277" s="67">
        <f>CHOOSE(Plan!$K$5,'Calc Smart'!J283,'Calc Avalanche'!J283,'Calc Snowball'!J283,'Calc Cashflow'!J283)</f>
        <v/>
      </c>
      <c r="N277" s="67">
        <f>CHOOSE(Plan!$K$5,'Calc Smart'!K283,'Calc Avalanche'!K283,'Calc Snowball'!K283,'Calc Cashflow'!K283)</f>
        <v/>
      </c>
      <c r="O277" s="67">
        <f>CHOOSE(Plan!$K$5,'Calc Smart'!L283,'Calc Avalanche'!L283,'Calc Snowball'!L283,'Calc Cashflow'!L283)</f>
        <v/>
      </c>
      <c r="P277" s="67">
        <f>CHOOSE(Plan!$K$5,'Calc Smart'!M283,'Calc Avalanche'!M283,'Calc Snowball'!M283,'Calc Cashflow'!M283)</f>
        <v/>
      </c>
      <c r="Q277" s="67">
        <f>CHOOSE(Plan!$K$5,'Calc Smart'!N283,'Calc Avalanche'!N283,'Calc Snowball'!N283,'Calc Cashflow'!N283)</f>
        <v/>
      </c>
    </row>
    <row r="278">
      <c r="B278" s="64">
        <f>EDATE(Plan!$C$6,272)</f>
        <v/>
      </c>
      <c r="C278" s="31">
        <f>CHOOSE(Plan!$K$5,'Calc Smart'!AE284,'Calc Avalanche'!AE284,'Calc Snowball'!AE284,'Calc Cashflow'!AE284)</f>
        <v/>
      </c>
      <c r="D278" s="31">
        <f>CHOOSE(Plan!$K$5,'Calc Smart'!AD284,'Calc Avalanche'!AD284,'Calc Snowball'!AD284,'Calc Cashflow'!AD284)</f>
        <v/>
      </c>
      <c r="E278" s="40">
        <f>CHOOSE(Plan!$K$5,COUNTIF('Calc Smart'!C284:N284,"&gt;0"),COUNTIF('Calc Avalanche'!C284:N284,"&gt;0"),COUNTIF('Calc Snowball'!C284:N284,"&gt;0"),COUNTIF('Calc Cashflow'!C284:N284,"&gt;0"))</f>
        <v/>
      </c>
      <c r="F278" s="65">
        <f>CHOOSE(Plan!$K$5,'Calc Smart'!C284,'Calc Avalanche'!C284,'Calc Snowball'!C284,'Calc Cashflow'!C284)</f>
        <v/>
      </c>
      <c r="G278" s="65">
        <f>CHOOSE(Plan!$K$5,'Calc Smart'!D284,'Calc Avalanche'!D284,'Calc Snowball'!D284,'Calc Cashflow'!D284)</f>
        <v/>
      </c>
      <c r="H278" s="65">
        <f>CHOOSE(Plan!$K$5,'Calc Smart'!E284,'Calc Avalanche'!E284,'Calc Snowball'!E284,'Calc Cashflow'!E284)</f>
        <v/>
      </c>
      <c r="I278" s="65">
        <f>CHOOSE(Plan!$K$5,'Calc Smart'!F284,'Calc Avalanche'!F284,'Calc Snowball'!F284,'Calc Cashflow'!F284)</f>
        <v/>
      </c>
      <c r="J278" s="65">
        <f>CHOOSE(Plan!$K$5,'Calc Smart'!G284,'Calc Avalanche'!G284,'Calc Snowball'!G284,'Calc Cashflow'!G284)</f>
        <v/>
      </c>
      <c r="K278" s="65">
        <f>CHOOSE(Plan!$K$5,'Calc Smart'!H284,'Calc Avalanche'!H284,'Calc Snowball'!H284,'Calc Cashflow'!H284)</f>
        <v/>
      </c>
      <c r="L278" s="65">
        <f>CHOOSE(Plan!$K$5,'Calc Smart'!I284,'Calc Avalanche'!I284,'Calc Snowball'!I284,'Calc Cashflow'!I284)</f>
        <v/>
      </c>
      <c r="M278" s="65">
        <f>CHOOSE(Plan!$K$5,'Calc Smart'!J284,'Calc Avalanche'!J284,'Calc Snowball'!J284,'Calc Cashflow'!J284)</f>
        <v/>
      </c>
      <c r="N278" s="65">
        <f>CHOOSE(Plan!$K$5,'Calc Smart'!K284,'Calc Avalanche'!K284,'Calc Snowball'!K284,'Calc Cashflow'!K284)</f>
        <v/>
      </c>
      <c r="O278" s="65">
        <f>CHOOSE(Plan!$K$5,'Calc Smart'!L284,'Calc Avalanche'!L284,'Calc Snowball'!L284,'Calc Cashflow'!L284)</f>
        <v/>
      </c>
      <c r="P278" s="65">
        <f>CHOOSE(Plan!$K$5,'Calc Smart'!M284,'Calc Avalanche'!M284,'Calc Snowball'!M284,'Calc Cashflow'!M284)</f>
        <v/>
      </c>
      <c r="Q278" s="65">
        <f>CHOOSE(Plan!$K$5,'Calc Smart'!N284,'Calc Avalanche'!N284,'Calc Snowball'!N284,'Calc Cashflow'!N284)</f>
        <v/>
      </c>
    </row>
    <row r="279">
      <c r="B279" s="66">
        <f>EDATE(Plan!$C$6,273)</f>
        <v/>
      </c>
      <c r="C279" s="32">
        <f>CHOOSE(Plan!$K$5,'Calc Smart'!AE285,'Calc Avalanche'!AE285,'Calc Snowball'!AE285,'Calc Cashflow'!AE285)</f>
        <v/>
      </c>
      <c r="D279" s="32">
        <f>CHOOSE(Plan!$K$5,'Calc Smart'!AD285,'Calc Avalanche'!AD285,'Calc Snowball'!AD285,'Calc Cashflow'!AD285)</f>
        <v/>
      </c>
      <c r="E279" s="43">
        <f>CHOOSE(Plan!$K$5,COUNTIF('Calc Smart'!C285:N285,"&gt;0"),COUNTIF('Calc Avalanche'!C285:N285,"&gt;0"),COUNTIF('Calc Snowball'!C285:N285,"&gt;0"),COUNTIF('Calc Cashflow'!C285:N285,"&gt;0"))</f>
        <v/>
      </c>
      <c r="F279" s="67">
        <f>CHOOSE(Plan!$K$5,'Calc Smart'!C285,'Calc Avalanche'!C285,'Calc Snowball'!C285,'Calc Cashflow'!C285)</f>
        <v/>
      </c>
      <c r="G279" s="67">
        <f>CHOOSE(Plan!$K$5,'Calc Smart'!D285,'Calc Avalanche'!D285,'Calc Snowball'!D285,'Calc Cashflow'!D285)</f>
        <v/>
      </c>
      <c r="H279" s="67">
        <f>CHOOSE(Plan!$K$5,'Calc Smart'!E285,'Calc Avalanche'!E285,'Calc Snowball'!E285,'Calc Cashflow'!E285)</f>
        <v/>
      </c>
      <c r="I279" s="67">
        <f>CHOOSE(Plan!$K$5,'Calc Smart'!F285,'Calc Avalanche'!F285,'Calc Snowball'!F285,'Calc Cashflow'!F285)</f>
        <v/>
      </c>
      <c r="J279" s="67">
        <f>CHOOSE(Plan!$K$5,'Calc Smart'!G285,'Calc Avalanche'!G285,'Calc Snowball'!G285,'Calc Cashflow'!G285)</f>
        <v/>
      </c>
      <c r="K279" s="67">
        <f>CHOOSE(Plan!$K$5,'Calc Smart'!H285,'Calc Avalanche'!H285,'Calc Snowball'!H285,'Calc Cashflow'!H285)</f>
        <v/>
      </c>
      <c r="L279" s="67">
        <f>CHOOSE(Plan!$K$5,'Calc Smart'!I285,'Calc Avalanche'!I285,'Calc Snowball'!I285,'Calc Cashflow'!I285)</f>
        <v/>
      </c>
      <c r="M279" s="67">
        <f>CHOOSE(Plan!$K$5,'Calc Smart'!J285,'Calc Avalanche'!J285,'Calc Snowball'!J285,'Calc Cashflow'!J285)</f>
        <v/>
      </c>
      <c r="N279" s="67">
        <f>CHOOSE(Plan!$K$5,'Calc Smart'!K285,'Calc Avalanche'!K285,'Calc Snowball'!K285,'Calc Cashflow'!K285)</f>
        <v/>
      </c>
      <c r="O279" s="67">
        <f>CHOOSE(Plan!$K$5,'Calc Smart'!L285,'Calc Avalanche'!L285,'Calc Snowball'!L285,'Calc Cashflow'!L285)</f>
        <v/>
      </c>
      <c r="P279" s="67">
        <f>CHOOSE(Plan!$K$5,'Calc Smart'!M285,'Calc Avalanche'!M285,'Calc Snowball'!M285,'Calc Cashflow'!M285)</f>
        <v/>
      </c>
      <c r="Q279" s="67">
        <f>CHOOSE(Plan!$K$5,'Calc Smart'!N285,'Calc Avalanche'!N285,'Calc Snowball'!N285,'Calc Cashflow'!N285)</f>
        <v/>
      </c>
    </row>
    <row r="280">
      <c r="B280" s="64">
        <f>EDATE(Plan!$C$6,274)</f>
        <v/>
      </c>
      <c r="C280" s="31">
        <f>CHOOSE(Plan!$K$5,'Calc Smart'!AE286,'Calc Avalanche'!AE286,'Calc Snowball'!AE286,'Calc Cashflow'!AE286)</f>
        <v/>
      </c>
      <c r="D280" s="31">
        <f>CHOOSE(Plan!$K$5,'Calc Smart'!AD286,'Calc Avalanche'!AD286,'Calc Snowball'!AD286,'Calc Cashflow'!AD286)</f>
        <v/>
      </c>
      <c r="E280" s="40">
        <f>CHOOSE(Plan!$K$5,COUNTIF('Calc Smart'!C286:N286,"&gt;0"),COUNTIF('Calc Avalanche'!C286:N286,"&gt;0"),COUNTIF('Calc Snowball'!C286:N286,"&gt;0"),COUNTIF('Calc Cashflow'!C286:N286,"&gt;0"))</f>
        <v/>
      </c>
      <c r="F280" s="65">
        <f>CHOOSE(Plan!$K$5,'Calc Smart'!C286,'Calc Avalanche'!C286,'Calc Snowball'!C286,'Calc Cashflow'!C286)</f>
        <v/>
      </c>
      <c r="G280" s="65">
        <f>CHOOSE(Plan!$K$5,'Calc Smart'!D286,'Calc Avalanche'!D286,'Calc Snowball'!D286,'Calc Cashflow'!D286)</f>
        <v/>
      </c>
      <c r="H280" s="65">
        <f>CHOOSE(Plan!$K$5,'Calc Smart'!E286,'Calc Avalanche'!E286,'Calc Snowball'!E286,'Calc Cashflow'!E286)</f>
        <v/>
      </c>
      <c r="I280" s="65">
        <f>CHOOSE(Plan!$K$5,'Calc Smart'!F286,'Calc Avalanche'!F286,'Calc Snowball'!F286,'Calc Cashflow'!F286)</f>
        <v/>
      </c>
      <c r="J280" s="65">
        <f>CHOOSE(Plan!$K$5,'Calc Smart'!G286,'Calc Avalanche'!G286,'Calc Snowball'!G286,'Calc Cashflow'!G286)</f>
        <v/>
      </c>
      <c r="K280" s="65">
        <f>CHOOSE(Plan!$K$5,'Calc Smart'!H286,'Calc Avalanche'!H286,'Calc Snowball'!H286,'Calc Cashflow'!H286)</f>
        <v/>
      </c>
      <c r="L280" s="65">
        <f>CHOOSE(Plan!$K$5,'Calc Smart'!I286,'Calc Avalanche'!I286,'Calc Snowball'!I286,'Calc Cashflow'!I286)</f>
        <v/>
      </c>
      <c r="M280" s="65">
        <f>CHOOSE(Plan!$K$5,'Calc Smart'!J286,'Calc Avalanche'!J286,'Calc Snowball'!J286,'Calc Cashflow'!J286)</f>
        <v/>
      </c>
      <c r="N280" s="65">
        <f>CHOOSE(Plan!$K$5,'Calc Smart'!K286,'Calc Avalanche'!K286,'Calc Snowball'!K286,'Calc Cashflow'!K286)</f>
        <v/>
      </c>
      <c r="O280" s="65">
        <f>CHOOSE(Plan!$K$5,'Calc Smart'!L286,'Calc Avalanche'!L286,'Calc Snowball'!L286,'Calc Cashflow'!L286)</f>
        <v/>
      </c>
      <c r="P280" s="65">
        <f>CHOOSE(Plan!$K$5,'Calc Smart'!M286,'Calc Avalanche'!M286,'Calc Snowball'!M286,'Calc Cashflow'!M286)</f>
        <v/>
      </c>
      <c r="Q280" s="65">
        <f>CHOOSE(Plan!$K$5,'Calc Smart'!N286,'Calc Avalanche'!N286,'Calc Snowball'!N286,'Calc Cashflow'!N286)</f>
        <v/>
      </c>
    </row>
    <row r="281">
      <c r="B281" s="66">
        <f>EDATE(Plan!$C$6,275)</f>
        <v/>
      </c>
      <c r="C281" s="32">
        <f>CHOOSE(Plan!$K$5,'Calc Smart'!AE287,'Calc Avalanche'!AE287,'Calc Snowball'!AE287,'Calc Cashflow'!AE287)</f>
        <v/>
      </c>
      <c r="D281" s="32">
        <f>CHOOSE(Plan!$K$5,'Calc Smart'!AD287,'Calc Avalanche'!AD287,'Calc Snowball'!AD287,'Calc Cashflow'!AD287)</f>
        <v/>
      </c>
      <c r="E281" s="43">
        <f>CHOOSE(Plan!$K$5,COUNTIF('Calc Smart'!C287:N287,"&gt;0"),COUNTIF('Calc Avalanche'!C287:N287,"&gt;0"),COUNTIF('Calc Snowball'!C287:N287,"&gt;0"),COUNTIF('Calc Cashflow'!C287:N287,"&gt;0"))</f>
        <v/>
      </c>
      <c r="F281" s="67">
        <f>CHOOSE(Plan!$K$5,'Calc Smart'!C287,'Calc Avalanche'!C287,'Calc Snowball'!C287,'Calc Cashflow'!C287)</f>
        <v/>
      </c>
      <c r="G281" s="67">
        <f>CHOOSE(Plan!$K$5,'Calc Smart'!D287,'Calc Avalanche'!D287,'Calc Snowball'!D287,'Calc Cashflow'!D287)</f>
        <v/>
      </c>
      <c r="H281" s="67">
        <f>CHOOSE(Plan!$K$5,'Calc Smart'!E287,'Calc Avalanche'!E287,'Calc Snowball'!E287,'Calc Cashflow'!E287)</f>
        <v/>
      </c>
      <c r="I281" s="67">
        <f>CHOOSE(Plan!$K$5,'Calc Smart'!F287,'Calc Avalanche'!F287,'Calc Snowball'!F287,'Calc Cashflow'!F287)</f>
        <v/>
      </c>
      <c r="J281" s="67">
        <f>CHOOSE(Plan!$K$5,'Calc Smart'!G287,'Calc Avalanche'!G287,'Calc Snowball'!G287,'Calc Cashflow'!G287)</f>
        <v/>
      </c>
      <c r="K281" s="67">
        <f>CHOOSE(Plan!$K$5,'Calc Smart'!H287,'Calc Avalanche'!H287,'Calc Snowball'!H287,'Calc Cashflow'!H287)</f>
        <v/>
      </c>
      <c r="L281" s="67">
        <f>CHOOSE(Plan!$K$5,'Calc Smart'!I287,'Calc Avalanche'!I287,'Calc Snowball'!I287,'Calc Cashflow'!I287)</f>
        <v/>
      </c>
      <c r="M281" s="67">
        <f>CHOOSE(Plan!$K$5,'Calc Smart'!J287,'Calc Avalanche'!J287,'Calc Snowball'!J287,'Calc Cashflow'!J287)</f>
        <v/>
      </c>
      <c r="N281" s="67">
        <f>CHOOSE(Plan!$K$5,'Calc Smart'!K287,'Calc Avalanche'!K287,'Calc Snowball'!K287,'Calc Cashflow'!K287)</f>
        <v/>
      </c>
      <c r="O281" s="67">
        <f>CHOOSE(Plan!$K$5,'Calc Smart'!L287,'Calc Avalanche'!L287,'Calc Snowball'!L287,'Calc Cashflow'!L287)</f>
        <v/>
      </c>
      <c r="P281" s="67">
        <f>CHOOSE(Plan!$K$5,'Calc Smart'!M287,'Calc Avalanche'!M287,'Calc Snowball'!M287,'Calc Cashflow'!M287)</f>
        <v/>
      </c>
      <c r="Q281" s="67">
        <f>CHOOSE(Plan!$K$5,'Calc Smart'!N287,'Calc Avalanche'!N287,'Calc Snowball'!N287,'Calc Cashflow'!N287)</f>
        <v/>
      </c>
    </row>
    <row r="282">
      <c r="B282" s="64">
        <f>EDATE(Plan!$C$6,276)</f>
        <v/>
      </c>
      <c r="C282" s="31">
        <f>CHOOSE(Plan!$K$5,'Calc Smart'!AE288,'Calc Avalanche'!AE288,'Calc Snowball'!AE288,'Calc Cashflow'!AE288)</f>
        <v/>
      </c>
      <c r="D282" s="31">
        <f>CHOOSE(Plan!$K$5,'Calc Smart'!AD288,'Calc Avalanche'!AD288,'Calc Snowball'!AD288,'Calc Cashflow'!AD288)</f>
        <v/>
      </c>
      <c r="E282" s="40">
        <f>CHOOSE(Plan!$K$5,COUNTIF('Calc Smart'!C288:N288,"&gt;0"),COUNTIF('Calc Avalanche'!C288:N288,"&gt;0"),COUNTIF('Calc Snowball'!C288:N288,"&gt;0"),COUNTIF('Calc Cashflow'!C288:N288,"&gt;0"))</f>
        <v/>
      </c>
      <c r="F282" s="65">
        <f>CHOOSE(Plan!$K$5,'Calc Smart'!C288,'Calc Avalanche'!C288,'Calc Snowball'!C288,'Calc Cashflow'!C288)</f>
        <v/>
      </c>
      <c r="G282" s="65">
        <f>CHOOSE(Plan!$K$5,'Calc Smart'!D288,'Calc Avalanche'!D288,'Calc Snowball'!D288,'Calc Cashflow'!D288)</f>
        <v/>
      </c>
      <c r="H282" s="65">
        <f>CHOOSE(Plan!$K$5,'Calc Smart'!E288,'Calc Avalanche'!E288,'Calc Snowball'!E288,'Calc Cashflow'!E288)</f>
        <v/>
      </c>
      <c r="I282" s="65">
        <f>CHOOSE(Plan!$K$5,'Calc Smart'!F288,'Calc Avalanche'!F288,'Calc Snowball'!F288,'Calc Cashflow'!F288)</f>
        <v/>
      </c>
      <c r="J282" s="65">
        <f>CHOOSE(Plan!$K$5,'Calc Smart'!G288,'Calc Avalanche'!G288,'Calc Snowball'!G288,'Calc Cashflow'!G288)</f>
        <v/>
      </c>
      <c r="K282" s="65">
        <f>CHOOSE(Plan!$K$5,'Calc Smart'!H288,'Calc Avalanche'!H288,'Calc Snowball'!H288,'Calc Cashflow'!H288)</f>
        <v/>
      </c>
      <c r="L282" s="65">
        <f>CHOOSE(Plan!$K$5,'Calc Smart'!I288,'Calc Avalanche'!I288,'Calc Snowball'!I288,'Calc Cashflow'!I288)</f>
        <v/>
      </c>
      <c r="M282" s="65">
        <f>CHOOSE(Plan!$K$5,'Calc Smart'!J288,'Calc Avalanche'!J288,'Calc Snowball'!J288,'Calc Cashflow'!J288)</f>
        <v/>
      </c>
      <c r="N282" s="65">
        <f>CHOOSE(Plan!$K$5,'Calc Smart'!K288,'Calc Avalanche'!K288,'Calc Snowball'!K288,'Calc Cashflow'!K288)</f>
        <v/>
      </c>
      <c r="O282" s="65">
        <f>CHOOSE(Plan!$K$5,'Calc Smart'!L288,'Calc Avalanche'!L288,'Calc Snowball'!L288,'Calc Cashflow'!L288)</f>
        <v/>
      </c>
      <c r="P282" s="65">
        <f>CHOOSE(Plan!$K$5,'Calc Smart'!M288,'Calc Avalanche'!M288,'Calc Snowball'!M288,'Calc Cashflow'!M288)</f>
        <v/>
      </c>
      <c r="Q282" s="65">
        <f>CHOOSE(Plan!$K$5,'Calc Smart'!N288,'Calc Avalanche'!N288,'Calc Snowball'!N288,'Calc Cashflow'!N288)</f>
        <v/>
      </c>
    </row>
    <row r="283">
      <c r="B283" s="66">
        <f>EDATE(Plan!$C$6,277)</f>
        <v/>
      </c>
      <c r="C283" s="32">
        <f>CHOOSE(Plan!$K$5,'Calc Smart'!AE289,'Calc Avalanche'!AE289,'Calc Snowball'!AE289,'Calc Cashflow'!AE289)</f>
        <v/>
      </c>
      <c r="D283" s="32">
        <f>CHOOSE(Plan!$K$5,'Calc Smart'!AD289,'Calc Avalanche'!AD289,'Calc Snowball'!AD289,'Calc Cashflow'!AD289)</f>
        <v/>
      </c>
      <c r="E283" s="43">
        <f>CHOOSE(Plan!$K$5,COUNTIF('Calc Smart'!C289:N289,"&gt;0"),COUNTIF('Calc Avalanche'!C289:N289,"&gt;0"),COUNTIF('Calc Snowball'!C289:N289,"&gt;0"),COUNTIF('Calc Cashflow'!C289:N289,"&gt;0"))</f>
        <v/>
      </c>
      <c r="F283" s="67">
        <f>CHOOSE(Plan!$K$5,'Calc Smart'!C289,'Calc Avalanche'!C289,'Calc Snowball'!C289,'Calc Cashflow'!C289)</f>
        <v/>
      </c>
      <c r="G283" s="67">
        <f>CHOOSE(Plan!$K$5,'Calc Smart'!D289,'Calc Avalanche'!D289,'Calc Snowball'!D289,'Calc Cashflow'!D289)</f>
        <v/>
      </c>
      <c r="H283" s="67">
        <f>CHOOSE(Plan!$K$5,'Calc Smart'!E289,'Calc Avalanche'!E289,'Calc Snowball'!E289,'Calc Cashflow'!E289)</f>
        <v/>
      </c>
      <c r="I283" s="67">
        <f>CHOOSE(Plan!$K$5,'Calc Smart'!F289,'Calc Avalanche'!F289,'Calc Snowball'!F289,'Calc Cashflow'!F289)</f>
        <v/>
      </c>
      <c r="J283" s="67">
        <f>CHOOSE(Plan!$K$5,'Calc Smart'!G289,'Calc Avalanche'!G289,'Calc Snowball'!G289,'Calc Cashflow'!G289)</f>
        <v/>
      </c>
      <c r="K283" s="67">
        <f>CHOOSE(Plan!$K$5,'Calc Smart'!H289,'Calc Avalanche'!H289,'Calc Snowball'!H289,'Calc Cashflow'!H289)</f>
        <v/>
      </c>
      <c r="L283" s="67">
        <f>CHOOSE(Plan!$K$5,'Calc Smart'!I289,'Calc Avalanche'!I289,'Calc Snowball'!I289,'Calc Cashflow'!I289)</f>
        <v/>
      </c>
      <c r="M283" s="67">
        <f>CHOOSE(Plan!$K$5,'Calc Smart'!J289,'Calc Avalanche'!J289,'Calc Snowball'!J289,'Calc Cashflow'!J289)</f>
        <v/>
      </c>
      <c r="N283" s="67">
        <f>CHOOSE(Plan!$K$5,'Calc Smart'!K289,'Calc Avalanche'!K289,'Calc Snowball'!K289,'Calc Cashflow'!K289)</f>
        <v/>
      </c>
      <c r="O283" s="67">
        <f>CHOOSE(Plan!$K$5,'Calc Smart'!L289,'Calc Avalanche'!L289,'Calc Snowball'!L289,'Calc Cashflow'!L289)</f>
        <v/>
      </c>
      <c r="P283" s="67">
        <f>CHOOSE(Plan!$K$5,'Calc Smart'!M289,'Calc Avalanche'!M289,'Calc Snowball'!M289,'Calc Cashflow'!M289)</f>
        <v/>
      </c>
      <c r="Q283" s="67">
        <f>CHOOSE(Plan!$K$5,'Calc Smart'!N289,'Calc Avalanche'!N289,'Calc Snowball'!N289,'Calc Cashflow'!N289)</f>
        <v/>
      </c>
    </row>
    <row r="284">
      <c r="B284" s="64">
        <f>EDATE(Plan!$C$6,278)</f>
        <v/>
      </c>
      <c r="C284" s="31">
        <f>CHOOSE(Plan!$K$5,'Calc Smart'!AE290,'Calc Avalanche'!AE290,'Calc Snowball'!AE290,'Calc Cashflow'!AE290)</f>
        <v/>
      </c>
      <c r="D284" s="31">
        <f>CHOOSE(Plan!$K$5,'Calc Smart'!AD290,'Calc Avalanche'!AD290,'Calc Snowball'!AD290,'Calc Cashflow'!AD290)</f>
        <v/>
      </c>
      <c r="E284" s="40">
        <f>CHOOSE(Plan!$K$5,COUNTIF('Calc Smart'!C290:N290,"&gt;0"),COUNTIF('Calc Avalanche'!C290:N290,"&gt;0"),COUNTIF('Calc Snowball'!C290:N290,"&gt;0"),COUNTIF('Calc Cashflow'!C290:N290,"&gt;0"))</f>
        <v/>
      </c>
      <c r="F284" s="65">
        <f>CHOOSE(Plan!$K$5,'Calc Smart'!C290,'Calc Avalanche'!C290,'Calc Snowball'!C290,'Calc Cashflow'!C290)</f>
        <v/>
      </c>
      <c r="G284" s="65">
        <f>CHOOSE(Plan!$K$5,'Calc Smart'!D290,'Calc Avalanche'!D290,'Calc Snowball'!D290,'Calc Cashflow'!D290)</f>
        <v/>
      </c>
      <c r="H284" s="65">
        <f>CHOOSE(Plan!$K$5,'Calc Smart'!E290,'Calc Avalanche'!E290,'Calc Snowball'!E290,'Calc Cashflow'!E290)</f>
        <v/>
      </c>
      <c r="I284" s="65">
        <f>CHOOSE(Plan!$K$5,'Calc Smart'!F290,'Calc Avalanche'!F290,'Calc Snowball'!F290,'Calc Cashflow'!F290)</f>
        <v/>
      </c>
      <c r="J284" s="65">
        <f>CHOOSE(Plan!$K$5,'Calc Smart'!G290,'Calc Avalanche'!G290,'Calc Snowball'!G290,'Calc Cashflow'!G290)</f>
        <v/>
      </c>
      <c r="K284" s="65">
        <f>CHOOSE(Plan!$K$5,'Calc Smart'!H290,'Calc Avalanche'!H290,'Calc Snowball'!H290,'Calc Cashflow'!H290)</f>
        <v/>
      </c>
      <c r="L284" s="65">
        <f>CHOOSE(Plan!$K$5,'Calc Smart'!I290,'Calc Avalanche'!I290,'Calc Snowball'!I290,'Calc Cashflow'!I290)</f>
        <v/>
      </c>
      <c r="M284" s="65">
        <f>CHOOSE(Plan!$K$5,'Calc Smart'!J290,'Calc Avalanche'!J290,'Calc Snowball'!J290,'Calc Cashflow'!J290)</f>
        <v/>
      </c>
      <c r="N284" s="65">
        <f>CHOOSE(Plan!$K$5,'Calc Smart'!K290,'Calc Avalanche'!K290,'Calc Snowball'!K290,'Calc Cashflow'!K290)</f>
        <v/>
      </c>
      <c r="O284" s="65">
        <f>CHOOSE(Plan!$K$5,'Calc Smart'!L290,'Calc Avalanche'!L290,'Calc Snowball'!L290,'Calc Cashflow'!L290)</f>
        <v/>
      </c>
      <c r="P284" s="65">
        <f>CHOOSE(Plan!$K$5,'Calc Smart'!M290,'Calc Avalanche'!M290,'Calc Snowball'!M290,'Calc Cashflow'!M290)</f>
        <v/>
      </c>
      <c r="Q284" s="65">
        <f>CHOOSE(Plan!$K$5,'Calc Smart'!N290,'Calc Avalanche'!N290,'Calc Snowball'!N290,'Calc Cashflow'!N290)</f>
        <v/>
      </c>
    </row>
    <row r="285">
      <c r="B285" s="66">
        <f>EDATE(Plan!$C$6,279)</f>
        <v/>
      </c>
      <c r="C285" s="32">
        <f>CHOOSE(Plan!$K$5,'Calc Smart'!AE291,'Calc Avalanche'!AE291,'Calc Snowball'!AE291,'Calc Cashflow'!AE291)</f>
        <v/>
      </c>
      <c r="D285" s="32">
        <f>CHOOSE(Plan!$K$5,'Calc Smart'!AD291,'Calc Avalanche'!AD291,'Calc Snowball'!AD291,'Calc Cashflow'!AD291)</f>
        <v/>
      </c>
      <c r="E285" s="43">
        <f>CHOOSE(Plan!$K$5,COUNTIF('Calc Smart'!C291:N291,"&gt;0"),COUNTIF('Calc Avalanche'!C291:N291,"&gt;0"),COUNTIF('Calc Snowball'!C291:N291,"&gt;0"),COUNTIF('Calc Cashflow'!C291:N291,"&gt;0"))</f>
        <v/>
      </c>
      <c r="F285" s="67">
        <f>CHOOSE(Plan!$K$5,'Calc Smart'!C291,'Calc Avalanche'!C291,'Calc Snowball'!C291,'Calc Cashflow'!C291)</f>
        <v/>
      </c>
      <c r="G285" s="67">
        <f>CHOOSE(Plan!$K$5,'Calc Smart'!D291,'Calc Avalanche'!D291,'Calc Snowball'!D291,'Calc Cashflow'!D291)</f>
        <v/>
      </c>
      <c r="H285" s="67">
        <f>CHOOSE(Plan!$K$5,'Calc Smart'!E291,'Calc Avalanche'!E291,'Calc Snowball'!E291,'Calc Cashflow'!E291)</f>
        <v/>
      </c>
      <c r="I285" s="67">
        <f>CHOOSE(Plan!$K$5,'Calc Smart'!F291,'Calc Avalanche'!F291,'Calc Snowball'!F291,'Calc Cashflow'!F291)</f>
        <v/>
      </c>
      <c r="J285" s="67">
        <f>CHOOSE(Plan!$K$5,'Calc Smart'!G291,'Calc Avalanche'!G291,'Calc Snowball'!G291,'Calc Cashflow'!G291)</f>
        <v/>
      </c>
      <c r="K285" s="67">
        <f>CHOOSE(Plan!$K$5,'Calc Smart'!H291,'Calc Avalanche'!H291,'Calc Snowball'!H291,'Calc Cashflow'!H291)</f>
        <v/>
      </c>
      <c r="L285" s="67">
        <f>CHOOSE(Plan!$K$5,'Calc Smart'!I291,'Calc Avalanche'!I291,'Calc Snowball'!I291,'Calc Cashflow'!I291)</f>
        <v/>
      </c>
      <c r="M285" s="67">
        <f>CHOOSE(Plan!$K$5,'Calc Smart'!J291,'Calc Avalanche'!J291,'Calc Snowball'!J291,'Calc Cashflow'!J291)</f>
        <v/>
      </c>
      <c r="N285" s="67">
        <f>CHOOSE(Plan!$K$5,'Calc Smart'!K291,'Calc Avalanche'!K291,'Calc Snowball'!K291,'Calc Cashflow'!K291)</f>
        <v/>
      </c>
      <c r="O285" s="67">
        <f>CHOOSE(Plan!$K$5,'Calc Smart'!L291,'Calc Avalanche'!L291,'Calc Snowball'!L291,'Calc Cashflow'!L291)</f>
        <v/>
      </c>
      <c r="P285" s="67">
        <f>CHOOSE(Plan!$K$5,'Calc Smart'!M291,'Calc Avalanche'!M291,'Calc Snowball'!M291,'Calc Cashflow'!M291)</f>
        <v/>
      </c>
      <c r="Q285" s="67">
        <f>CHOOSE(Plan!$K$5,'Calc Smart'!N291,'Calc Avalanche'!N291,'Calc Snowball'!N291,'Calc Cashflow'!N291)</f>
        <v/>
      </c>
    </row>
    <row r="286">
      <c r="B286" s="64">
        <f>EDATE(Plan!$C$6,280)</f>
        <v/>
      </c>
      <c r="C286" s="31">
        <f>CHOOSE(Plan!$K$5,'Calc Smart'!AE292,'Calc Avalanche'!AE292,'Calc Snowball'!AE292,'Calc Cashflow'!AE292)</f>
        <v/>
      </c>
      <c r="D286" s="31">
        <f>CHOOSE(Plan!$K$5,'Calc Smart'!AD292,'Calc Avalanche'!AD292,'Calc Snowball'!AD292,'Calc Cashflow'!AD292)</f>
        <v/>
      </c>
      <c r="E286" s="40">
        <f>CHOOSE(Plan!$K$5,COUNTIF('Calc Smart'!C292:N292,"&gt;0"),COUNTIF('Calc Avalanche'!C292:N292,"&gt;0"),COUNTIF('Calc Snowball'!C292:N292,"&gt;0"),COUNTIF('Calc Cashflow'!C292:N292,"&gt;0"))</f>
        <v/>
      </c>
      <c r="F286" s="65">
        <f>CHOOSE(Plan!$K$5,'Calc Smart'!C292,'Calc Avalanche'!C292,'Calc Snowball'!C292,'Calc Cashflow'!C292)</f>
        <v/>
      </c>
      <c r="G286" s="65">
        <f>CHOOSE(Plan!$K$5,'Calc Smart'!D292,'Calc Avalanche'!D292,'Calc Snowball'!D292,'Calc Cashflow'!D292)</f>
        <v/>
      </c>
      <c r="H286" s="65">
        <f>CHOOSE(Plan!$K$5,'Calc Smart'!E292,'Calc Avalanche'!E292,'Calc Snowball'!E292,'Calc Cashflow'!E292)</f>
        <v/>
      </c>
      <c r="I286" s="65">
        <f>CHOOSE(Plan!$K$5,'Calc Smart'!F292,'Calc Avalanche'!F292,'Calc Snowball'!F292,'Calc Cashflow'!F292)</f>
        <v/>
      </c>
      <c r="J286" s="65">
        <f>CHOOSE(Plan!$K$5,'Calc Smart'!G292,'Calc Avalanche'!G292,'Calc Snowball'!G292,'Calc Cashflow'!G292)</f>
        <v/>
      </c>
      <c r="K286" s="65">
        <f>CHOOSE(Plan!$K$5,'Calc Smart'!H292,'Calc Avalanche'!H292,'Calc Snowball'!H292,'Calc Cashflow'!H292)</f>
        <v/>
      </c>
      <c r="L286" s="65">
        <f>CHOOSE(Plan!$K$5,'Calc Smart'!I292,'Calc Avalanche'!I292,'Calc Snowball'!I292,'Calc Cashflow'!I292)</f>
        <v/>
      </c>
      <c r="M286" s="65">
        <f>CHOOSE(Plan!$K$5,'Calc Smart'!J292,'Calc Avalanche'!J292,'Calc Snowball'!J292,'Calc Cashflow'!J292)</f>
        <v/>
      </c>
      <c r="N286" s="65">
        <f>CHOOSE(Plan!$K$5,'Calc Smart'!K292,'Calc Avalanche'!K292,'Calc Snowball'!K292,'Calc Cashflow'!K292)</f>
        <v/>
      </c>
      <c r="O286" s="65">
        <f>CHOOSE(Plan!$K$5,'Calc Smart'!L292,'Calc Avalanche'!L292,'Calc Snowball'!L292,'Calc Cashflow'!L292)</f>
        <v/>
      </c>
      <c r="P286" s="65">
        <f>CHOOSE(Plan!$K$5,'Calc Smart'!M292,'Calc Avalanche'!M292,'Calc Snowball'!M292,'Calc Cashflow'!M292)</f>
        <v/>
      </c>
      <c r="Q286" s="65">
        <f>CHOOSE(Plan!$K$5,'Calc Smart'!N292,'Calc Avalanche'!N292,'Calc Snowball'!N292,'Calc Cashflow'!N292)</f>
        <v/>
      </c>
    </row>
    <row r="287">
      <c r="B287" s="66">
        <f>EDATE(Plan!$C$6,281)</f>
        <v/>
      </c>
      <c r="C287" s="32">
        <f>CHOOSE(Plan!$K$5,'Calc Smart'!AE293,'Calc Avalanche'!AE293,'Calc Snowball'!AE293,'Calc Cashflow'!AE293)</f>
        <v/>
      </c>
      <c r="D287" s="32">
        <f>CHOOSE(Plan!$K$5,'Calc Smart'!AD293,'Calc Avalanche'!AD293,'Calc Snowball'!AD293,'Calc Cashflow'!AD293)</f>
        <v/>
      </c>
      <c r="E287" s="43">
        <f>CHOOSE(Plan!$K$5,COUNTIF('Calc Smart'!C293:N293,"&gt;0"),COUNTIF('Calc Avalanche'!C293:N293,"&gt;0"),COUNTIF('Calc Snowball'!C293:N293,"&gt;0"),COUNTIF('Calc Cashflow'!C293:N293,"&gt;0"))</f>
        <v/>
      </c>
      <c r="F287" s="67">
        <f>CHOOSE(Plan!$K$5,'Calc Smart'!C293,'Calc Avalanche'!C293,'Calc Snowball'!C293,'Calc Cashflow'!C293)</f>
        <v/>
      </c>
      <c r="G287" s="67">
        <f>CHOOSE(Plan!$K$5,'Calc Smart'!D293,'Calc Avalanche'!D293,'Calc Snowball'!D293,'Calc Cashflow'!D293)</f>
        <v/>
      </c>
      <c r="H287" s="67">
        <f>CHOOSE(Plan!$K$5,'Calc Smart'!E293,'Calc Avalanche'!E293,'Calc Snowball'!E293,'Calc Cashflow'!E293)</f>
        <v/>
      </c>
      <c r="I287" s="67">
        <f>CHOOSE(Plan!$K$5,'Calc Smart'!F293,'Calc Avalanche'!F293,'Calc Snowball'!F293,'Calc Cashflow'!F293)</f>
        <v/>
      </c>
      <c r="J287" s="67">
        <f>CHOOSE(Plan!$K$5,'Calc Smart'!G293,'Calc Avalanche'!G293,'Calc Snowball'!G293,'Calc Cashflow'!G293)</f>
        <v/>
      </c>
      <c r="K287" s="67">
        <f>CHOOSE(Plan!$K$5,'Calc Smart'!H293,'Calc Avalanche'!H293,'Calc Snowball'!H293,'Calc Cashflow'!H293)</f>
        <v/>
      </c>
      <c r="L287" s="67">
        <f>CHOOSE(Plan!$K$5,'Calc Smart'!I293,'Calc Avalanche'!I293,'Calc Snowball'!I293,'Calc Cashflow'!I293)</f>
        <v/>
      </c>
      <c r="M287" s="67">
        <f>CHOOSE(Plan!$K$5,'Calc Smart'!J293,'Calc Avalanche'!J293,'Calc Snowball'!J293,'Calc Cashflow'!J293)</f>
        <v/>
      </c>
      <c r="N287" s="67">
        <f>CHOOSE(Plan!$K$5,'Calc Smart'!K293,'Calc Avalanche'!K293,'Calc Snowball'!K293,'Calc Cashflow'!K293)</f>
        <v/>
      </c>
      <c r="O287" s="67">
        <f>CHOOSE(Plan!$K$5,'Calc Smart'!L293,'Calc Avalanche'!L293,'Calc Snowball'!L293,'Calc Cashflow'!L293)</f>
        <v/>
      </c>
      <c r="P287" s="67">
        <f>CHOOSE(Plan!$K$5,'Calc Smart'!M293,'Calc Avalanche'!M293,'Calc Snowball'!M293,'Calc Cashflow'!M293)</f>
        <v/>
      </c>
      <c r="Q287" s="67">
        <f>CHOOSE(Plan!$K$5,'Calc Smart'!N293,'Calc Avalanche'!N293,'Calc Snowball'!N293,'Calc Cashflow'!N293)</f>
        <v/>
      </c>
    </row>
    <row r="288">
      <c r="B288" s="64">
        <f>EDATE(Plan!$C$6,282)</f>
        <v/>
      </c>
      <c r="C288" s="31">
        <f>CHOOSE(Plan!$K$5,'Calc Smart'!AE294,'Calc Avalanche'!AE294,'Calc Snowball'!AE294,'Calc Cashflow'!AE294)</f>
        <v/>
      </c>
      <c r="D288" s="31">
        <f>CHOOSE(Plan!$K$5,'Calc Smart'!AD294,'Calc Avalanche'!AD294,'Calc Snowball'!AD294,'Calc Cashflow'!AD294)</f>
        <v/>
      </c>
      <c r="E288" s="40">
        <f>CHOOSE(Plan!$K$5,COUNTIF('Calc Smart'!C294:N294,"&gt;0"),COUNTIF('Calc Avalanche'!C294:N294,"&gt;0"),COUNTIF('Calc Snowball'!C294:N294,"&gt;0"),COUNTIF('Calc Cashflow'!C294:N294,"&gt;0"))</f>
        <v/>
      </c>
      <c r="F288" s="65">
        <f>CHOOSE(Plan!$K$5,'Calc Smart'!C294,'Calc Avalanche'!C294,'Calc Snowball'!C294,'Calc Cashflow'!C294)</f>
        <v/>
      </c>
      <c r="G288" s="65">
        <f>CHOOSE(Plan!$K$5,'Calc Smart'!D294,'Calc Avalanche'!D294,'Calc Snowball'!D294,'Calc Cashflow'!D294)</f>
        <v/>
      </c>
      <c r="H288" s="65">
        <f>CHOOSE(Plan!$K$5,'Calc Smart'!E294,'Calc Avalanche'!E294,'Calc Snowball'!E294,'Calc Cashflow'!E294)</f>
        <v/>
      </c>
      <c r="I288" s="65">
        <f>CHOOSE(Plan!$K$5,'Calc Smart'!F294,'Calc Avalanche'!F294,'Calc Snowball'!F294,'Calc Cashflow'!F294)</f>
        <v/>
      </c>
      <c r="J288" s="65">
        <f>CHOOSE(Plan!$K$5,'Calc Smart'!G294,'Calc Avalanche'!G294,'Calc Snowball'!G294,'Calc Cashflow'!G294)</f>
        <v/>
      </c>
      <c r="K288" s="65">
        <f>CHOOSE(Plan!$K$5,'Calc Smart'!H294,'Calc Avalanche'!H294,'Calc Snowball'!H294,'Calc Cashflow'!H294)</f>
        <v/>
      </c>
      <c r="L288" s="65">
        <f>CHOOSE(Plan!$K$5,'Calc Smart'!I294,'Calc Avalanche'!I294,'Calc Snowball'!I294,'Calc Cashflow'!I294)</f>
        <v/>
      </c>
      <c r="M288" s="65">
        <f>CHOOSE(Plan!$K$5,'Calc Smart'!J294,'Calc Avalanche'!J294,'Calc Snowball'!J294,'Calc Cashflow'!J294)</f>
        <v/>
      </c>
      <c r="N288" s="65">
        <f>CHOOSE(Plan!$K$5,'Calc Smart'!K294,'Calc Avalanche'!K294,'Calc Snowball'!K294,'Calc Cashflow'!K294)</f>
        <v/>
      </c>
      <c r="O288" s="65">
        <f>CHOOSE(Plan!$K$5,'Calc Smart'!L294,'Calc Avalanche'!L294,'Calc Snowball'!L294,'Calc Cashflow'!L294)</f>
        <v/>
      </c>
      <c r="P288" s="65">
        <f>CHOOSE(Plan!$K$5,'Calc Smart'!M294,'Calc Avalanche'!M294,'Calc Snowball'!M294,'Calc Cashflow'!M294)</f>
        <v/>
      </c>
      <c r="Q288" s="65">
        <f>CHOOSE(Plan!$K$5,'Calc Smart'!N294,'Calc Avalanche'!N294,'Calc Snowball'!N294,'Calc Cashflow'!N294)</f>
        <v/>
      </c>
    </row>
    <row r="289">
      <c r="B289" s="66">
        <f>EDATE(Plan!$C$6,283)</f>
        <v/>
      </c>
      <c r="C289" s="32">
        <f>CHOOSE(Plan!$K$5,'Calc Smart'!AE295,'Calc Avalanche'!AE295,'Calc Snowball'!AE295,'Calc Cashflow'!AE295)</f>
        <v/>
      </c>
      <c r="D289" s="32">
        <f>CHOOSE(Plan!$K$5,'Calc Smart'!AD295,'Calc Avalanche'!AD295,'Calc Snowball'!AD295,'Calc Cashflow'!AD295)</f>
        <v/>
      </c>
      <c r="E289" s="43">
        <f>CHOOSE(Plan!$K$5,COUNTIF('Calc Smart'!C295:N295,"&gt;0"),COUNTIF('Calc Avalanche'!C295:N295,"&gt;0"),COUNTIF('Calc Snowball'!C295:N295,"&gt;0"),COUNTIF('Calc Cashflow'!C295:N295,"&gt;0"))</f>
        <v/>
      </c>
      <c r="F289" s="67">
        <f>CHOOSE(Plan!$K$5,'Calc Smart'!C295,'Calc Avalanche'!C295,'Calc Snowball'!C295,'Calc Cashflow'!C295)</f>
        <v/>
      </c>
      <c r="G289" s="67">
        <f>CHOOSE(Plan!$K$5,'Calc Smart'!D295,'Calc Avalanche'!D295,'Calc Snowball'!D295,'Calc Cashflow'!D295)</f>
        <v/>
      </c>
      <c r="H289" s="67">
        <f>CHOOSE(Plan!$K$5,'Calc Smart'!E295,'Calc Avalanche'!E295,'Calc Snowball'!E295,'Calc Cashflow'!E295)</f>
        <v/>
      </c>
      <c r="I289" s="67">
        <f>CHOOSE(Plan!$K$5,'Calc Smart'!F295,'Calc Avalanche'!F295,'Calc Snowball'!F295,'Calc Cashflow'!F295)</f>
        <v/>
      </c>
      <c r="J289" s="67">
        <f>CHOOSE(Plan!$K$5,'Calc Smart'!G295,'Calc Avalanche'!G295,'Calc Snowball'!G295,'Calc Cashflow'!G295)</f>
        <v/>
      </c>
      <c r="K289" s="67">
        <f>CHOOSE(Plan!$K$5,'Calc Smart'!H295,'Calc Avalanche'!H295,'Calc Snowball'!H295,'Calc Cashflow'!H295)</f>
        <v/>
      </c>
      <c r="L289" s="67">
        <f>CHOOSE(Plan!$K$5,'Calc Smart'!I295,'Calc Avalanche'!I295,'Calc Snowball'!I295,'Calc Cashflow'!I295)</f>
        <v/>
      </c>
      <c r="M289" s="67">
        <f>CHOOSE(Plan!$K$5,'Calc Smart'!J295,'Calc Avalanche'!J295,'Calc Snowball'!J295,'Calc Cashflow'!J295)</f>
        <v/>
      </c>
      <c r="N289" s="67">
        <f>CHOOSE(Plan!$K$5,'Calc Smart'!K295,'Calc Avalanche'!K295,'Calc Snowball'!K295,'Calc Cashflow'!K295)</f>
        <v/>
      </c>
      <c r="O289" s="67">
        <f>CHOOSE(Plan!$K$5,'Calc Smart'!L295,'Calc Avalanche'!L295,'Calc Snowball'!L295,'Calc Cashflow'!L295)</f>
        <v/>
      </c>
      <c r="P289" s="67">
        <f>CHOOSE(Plan!$K$5,'Calc Smart'!M295,'Calc Avalanche'!M295,'Calc Snowball'!M295,'Calc Cashflow'!M295)</f>
        <v/>
      </c>
      <c r="Q289" s="67">
        <f>CHOOSE(Plan!$K$5,'Calc Smart'!N295,'Calc Avalanche'!N295,'Calc Snowball'!N295,'Calc Cashflow'!N295)</f>
        <v/>
      </c>
    </row>
    <row r="290">
      <c r="B290" s="64">
        <f>EDATE(Plan!$C$6,284)</f>
        <v/>
      </c>
      <c r="C290" s="31">
        <f>CHOOSE(Plan!$K$5,'Calc Smart'!AE296,'Calc Avalanche'!AE296,'Calc Snowball'!AE296,'Calc Cashflow'!AE296)</f>
        <v/>
      </c>
      <c r="D290" s="31">
        <f>CHOOSE(Plan!$K$5,'Calc Smart'!AD296,'Calc Avalanche'!AD296,'Calc Snowball'!AD296,'Calc Cashflow'!AD296)</f>
        <v/>
      </c>
      <c r="E290" s="40">
        <f>CHOOSE(Plan!$K$5,COUNTIF('Calc Smart'!C296:N296,"&gt;0"),COUNTIF('Calc Avalanche'!C296:N296,"&gt;0"),COUNTIF('Calc Snowball'!C296:N296,"&gt;0"),COUNTIF('Calc Cashflow'!C296:N296,"&gt;0"))</f>
        <v/>
      </c>
      <c r="F290" s="65">
        <f>CHOOSE(Plan!$K$5,'Calc Smart'!C296,'Calc Avalanche'!C296,'Calc Snowball'!C296,'Calc Cashflow'!C296)</f>
        <v/>
      </c>
      <c r="G290" s="65">
        <f>CHOOSE(Plan!$K$5,'Calc Smart'!D296,'Calc Avalanche'!D296,'Calc Snowball'!D296,'Calc Cashflow'!D296)</f>
        <v/>
      </c>
      <c r="H290" s="65">
        <f>CHOOSE(Plan!$K$5,'Calc Smart'!E296,'Calc Avalanche'!E296,'Calc Snowball'!E296,'Calc Cashflow'!E296)</f>
        <v/>
      </c>
      <c r="I290" s="65">
        <f>CHOOSE(Plan!$K$5,'Calc Smart'!F296,'Calc Avalanche'!F296,'Calc Snowball'!F296,'Calc Cashflow'!F296)</f>
        <v/>
      </c>
      <c r="J290" s="65">
        <f>CHOOSE(Plan!$K$5,'Calc Smart'!G296,'Calc Avalanche'!G296,'Calc Snowball'!G296,'Calc Cashflow'!G296)</f>
        <v/>
      </c>
      <c r="K290" s="65">
        <f>CHOOSE(Plan!$K$5,'Calc Smart'!H296,'Calc Avalanche'!H296,'Calc Snowball'!H296,'Calc Cashflow'!H296)</f>
        <v/>
      </c>
      <c r="L290" s="65">
        <f>CHOOSE(Plan!$K$5,'Calc Smart'!I296,'Calc Avalanche'!I296,'Calc Snowball'!I296,'Calc Cashflow'!I296)</f>
        <v/>
      </c>
      <c r="M290" s="65">
        <f>CHOOSE(Plan!$K$5,'Calc Smart'!J296,'Calc Avalanche'!J296,'Calc Snowball'!J296,'Calc Cashflow'!J296)</f>
        <v/>
      </c>
      <c r="N290" s="65">
        <f>CHOOSE(Plan!$K$5,'Calc Smart'!K296,'Calc Avalanche'!K296,'Calc Snowball'!K296,'Calc Cashflow'!K296)</f>
        <v/>
      </c>
      <c r="O290" s="65">
        <f>CHOOSE(Plan!$K$5,'Calc Smart'!L296,'Calc Avalanche'!L296,'Calc Snowball'!L296,'Calc Cashflow'!L296)</f>
        <v/>
      </c>
      <c r="P290" s="65">
        <f>CHOOSE(Plan!$K$5,'Calc Smart'!M296,'Calc Avalanche'!M296,'Calc Snowball'!M296,'Calc Cashflow'!M296)</f>
        <v/>
      </c>
      <c r="Q290" s="65">
        <f>CHOOSE(Plan!$K$5,'Calc Smart'!N296,'Calc Avalanche'!N296,'Calc Snowball'!N296,'Calc Cashflow'!N296)</f>
        <v/>
      </c>
    </row>
    <row r="291">
      <c r="B291" s="66">
        <f>EDATE(Plan!$C$6,285)</f>
        <v/>
      </c>
      <c r="C291" s="32">
        <f>CHOOSE(Plan!$K$5,'Calc Smart'!AE297,'Calc Avalanche'!AE297,'Calc Snowball'!AE297,'Calc Cashflow'!AE297)</f>
        <v/>
      </c>
      <c r="D291" s="32">
        <f>CHOOSE(Plan!$K$5,'Calc Smart'!AD297,'Calc Avalanche'!AD297,'Calc Snowball'!AD297,'Calc Cashflow'!AD297)</f>
        <v/>
      </c>
      <c r="E291" s="43">
        <f>CHOOSE(Plan!$K$5,COUNTIF('Calc Smart'!C297:N297,"&gt;0"),COUNTIF('Calc Avalanche'!C297:N297,"&gt;0"),COUNTIF('Calc Snowball'!C297:N297,"&gt;0"),COUNTIF('Calc Cashflow'!C297:N297,"&gt;0"))</f>
        <v/>
      </c>
      <c r="F291" s="67">
        <f>CHOOSE(Plan!$K$5,'Calc Smart'!C297,'Calc Avalanche'!C297,'Calc Snowball'!C297,'Calc Cashflow'!C297)</f>
        <v/>
      </c>
      <c r="G291" s="67">
        <f>CHOOSE(Plan!$K$5,'Calc Smart'!D297,'Calc Avalanche'!D297,'Calc Snowball'!D297,'Calc Cashflow'!D297)</f>
        <v/>
      </c>
      <c r="H291" s="67">
        <f>CHOOSE(Plan!$K$5,'Calc Smart'!E297,'Calc Avalanche'!E297,'Calc Snowball'!E297,'Calc Cashflow'!E297)</f>
        <v/>
      </c>
      <c r="I291" s="67">
        <f>CHOOSE(Plan!$K$5,'Calc Smart'!F297,'Calc Avalanche'!F297,'Calc Snowball'!F297,'Calc Cashflow'!F297)</f>
        <v/>
      </c>
      <c r="J291" s="67">
        <f>CHOOSE(Plan!$K$5,'Calc Smart'!G297,'Calc Avalanche'!G297,'Calc Snowball'!G297,'Calc Cashflow'!G297)</f>
        <v/>
      </c>
      <c r="K291" s="67">
        <f>CHOOSE(Plan!$K$5,'Calc Smart'!H297,'Calc Avalanche'!H297,'Calc Snowball'!H297,'Calc Cashflow'!H297)</f>
        <v/>
      </c>
      <c r="L291" s="67">
        <f>CHOOSE(Plan!$K$5,'Calc Smart'!I297,'Calc Avalanche'!I297,'Calc Snowball'!I297,'Calc Cashflow'!I297)</f>
        <v/>
      </c>
      <c r="M291" s="67">
        <f>CHOOSE(Plan!$K$5,'Calc Smart'!J297,'Calc Avalanche'!J297,'Calc Snowball'!J297,'Calc Cashflow'!J297)</f>
        <v/>
      </c>
      <c r="N291" s="67">
        <f>CHOOSE(Plan!$K$5,'Calc Smart'!K297,'Calc Avalanche'!K297,'Calc Snowball'!K297,'Calc Cashflow'!K297)</f>
        <v/>
      </c>
      <c r="O291" s="67">
        <f>CHOOSE(Plan!$K$5,'Calc Smart'!L297,'Calc Avalanche'!L297,'Calc Snowball'!L297,'Calc Cashflow'!L297)</f>
        <v/>
      </c>
      <c r="P291" s="67">
        <f>CHOOSE(Plan!$K$5,'Calc Smart'!M297,'Calc Avalanche'!M297,'Calc Snowball'!M297,'Calc Cashflow'!M297)</f>
        <v/>
      </c>
      <c r="Q291" s="67">
        <f>CHOOSE(Plan!$K$5,'Calc Smart'!N297,'Calc Avalanche'!N297,'Calc Snowball'!N297,'Calc Cashflow'!N297)</f>
        <v/>
      </c>
    </row>
    <row r="292">
      <c r="B292" s="64">
        <f>EDATE(Plan!$C$6,286)</f>
        <v/>
      </c>
      <c r="C292" s="31">
        <f>CHOOSE(Plan!$K$5,'Calc Smart'!AE298,'Calc Avalanche'!AE298,'Calc Snowball'!AE298,'Calc Cashflow'!AE298)</f>
        <v/>
      </c>
      <c r="D292" s="31">
        <f>CHOOSE(Plan!$K$5,'Calc Smart'!AD298,'Calc Avalanche'!AD298,'Calc Snowball'!AD298,'Calc Cashflow'!AD298)</f>
        <v/>
      </c>
      <c r="E292" s="40">
        <f>CHOOSE(Plan!$K$5,COUNTIF('Calc Smart'!C298:N298,"&gt;0"),COUNTIF('Calc Avalanche'!C298:N298,"&gt;0"),COUNTIF('Calc Snowball'!C298:N298,"&gt;0"),COUNTIF('Calc Cashflow'!C298:N298,"&gt;0"))</f>
        <v/>
      </c>
      <c r="F292" s="65">
        <f>CHOOSE(Plan!$K$5,'Calc Smart'!C298,'Calc Avalanche'!C298,'Calc Snowball'!C298,'Calc Cashflow'!C298)</f>
        <v/>
      </c>
      <c r="G292" s="65">
        <f>CHOOSE(Plan!$K$5,'Calc Smart'!D298,'Calc Avalanche'!D298,'Calc Snowball'!D298,'Calc Cashflow'!D298)</f>
        <v/>
      </c>
      <c r="H292" s="65">
        <f>CHOOSE(Plan!$K$5,'Calc Smart'!E298,'Calc Avalanche'!E298,'Calc Snowball'!E298,'Calc Cashflow'!E298)</f>
        <v/>
      </c>
      <c r="I292" s="65">
        <f>CHOOSE(Plan!$K$5,'Calc Smart'!F298,'Calc Avalanche'!F298,'Calc Snowball'!F298,'Calc Cashflow'!F298)</f>
        <v/>
      </c>
      <c r="J292" s="65">
        <f>CHOOSE(Plan!$K$5,'Calc Smart'!G298,'Calc Avalanche'!G298,'Calc Snowball'!G298,'Calc Cashflow'!G298)</f>
        <v/>
      </c>
      <c r="K292" s="65">
        <f>CHOOSE(Plan!$K$5,'Calc Smart'!H298,'Calc Avalanche'!H298,'Calc Snowball'!H298,'Calc Cashflow'!H298)</f>
        <v/>
      </c>
      <c r="L292" s="65">
        <f>CHOOSE(Plan!$K$5,'Calc Smart'!I298,'Calc Avalanche'!I298,'Calc Snowball'!I298,'Calc Cashflow'!I298)</f>
        <v/>
      </c>
      <c r="M292" s="65">
        <f>CHOOSE(Plan!$K$5,'Calc Smart'!J298,'Calc Avalanche'!J298,'Calc Snowball'!J298,'Calc Cashflow'!J298)</f>
        <v/>
      </c>
      <c r="N292" s="65">
        <f>CHOOSE(Plan!$K$5,'Calc Smart'!K298,'Calc Avalanche'!K298,'Calc Snowball'!K298,'Calc Cashflow'!K298)</f>
        <v/>
      </c>
      <c r="O292" s="65">
        <f>CHOOSE(Plan!$K$5,'Calc Smart'!L298,'Calc Avalanche'!L298,'Calc Snowball'!L298,'Calc Cashflow'!L298)</f>
        <v/>
      </c>
      <c r="P292" s="65">
        <f>CHOOSE(Plan!$K$5,'Calc Smart'!M298,'Calc Avalanche'!M298,'Calc Snowball'!M298,'Calc Cashflow'!M298)</f>
        <v/>
      </c>
      <c r="Q292" s="65">
        <f>CHOOSE(Plan!$K$5,'Calc Smart'!N298,'Calc Avalanche'!N298,'Calc Snowball'!N298,'Calc Cashflow'!N298)</f>
        <v/>
      </c>
    </row>
    <row r="293">
      <c r="B293" s="66">
        <f>EDATE(Plan!$C$6,287)</f>
        <v/>
      </c>
      <c r="C293" s="32">
        <f>CHOOSE(Plan!$K$5,'Calc Smart'!AE299,'Calc Avalanche'!AE299,'Calc Snowball'!AE299,'Calc Cashflow'!AE299)</f>
        <v/>
      </c>
      <c r="D293" s="32">
        <f>CHOOSE(Plan!$K$5,'Calc Smart'!AD299,'Calc Avalanche'!AD299,'Calc Snowball'!AD299,'Calc Cashflow'!AD299)</f>
        <v/>
      </c>
      <c r="E293" s="43">
        <f>CHOOSE(Plan!$K$5,COUNTIF('Calc Smart'!C299:N299,"&gt;0"),COUNTIF('Calc Avalanche'!C299:N299,"&gt;0"),COUNTIF('Calc Snowball'!C299:N299,"&gt;0"),COUNTIF('Calc Cashflow'!C299:N299,"&gt;0"))</f>
        <v/>
      </c>
      <c r="F293" s="67">
        <f>CHOOSE(Plan!$K$5,'Calc Smart'!C299,'Calc Avalanche'!C299,'Calc Snowball'!C299,'Calc Cashflow'!C299)</f>
        <v/>
      </c>
      <c r="G293" s="67">
        <f>CHOOSE(Plan!$K$5,'Calc Smart'!D299,'Calc Avalanche'!D299,'Calc Snowball'!D299,'Calc Cashflow'!D299)</f>
        <v/>
      </c>
      <c r="H293" s="67">
        <f>CHOOSE(Plan!$K$5,'Calc Smart'!E299,'Calc Avalanche'!E299,'Calc Snowball'!E299,'Calc Cashflow'!E299)</f>
        <v/>
      </c>
      <c r="I293" s="67">
        <f>CHOOSE(Plan!$K$5,'Calc Smart'!F299,'Calc Avalanche'!F299,'Calc Snowball'!F299,'Calc Cashflow'!F299)</f>
        <v/>
      </c>
      <c r="J293" s="67">
        <f>CHOOSE(Plan!$K$5,'Calc Smart'!G299,'Calc Avalanche'!G299,'Calc Snowball'!G299,'Calc Cashflow'!G299)</f>
        <v/>
      </c>
      <c r="K293" s="67">
        <f>CHOOSE(Plan!$K$5,'Calc Smart'!H299,'Calc Avalanche'!H299,'Calc Snowball'!H299,'Calc Cashflow'!H299)</f>
        <v/>
      </c>
      <c r="L293" s="67">
        <f>CHOOSE(Plan!$K$5,'Calc Smart'!I299,'Calc Avalanche'!I299,'Calc Snowball'!I299,'Calc Cashflow'!I299)</f>
        <v/>
      </c>
      <c r="M293" s="67">
        <f>CHOOSE(Plan!$K$5,'Calc Smart'!J299,'Calc Avalanche'!J299,'Calc Snowball'!J299,'Calc Cashflow'!J299)</f>
        <v/>
      </c>
      <c r="N293" s="67">
        <f>CHOOSE(Plan!$K$5,'Calc Smart'!K299,'Calc Avalanche'!K299,'Calc Snowball'!K299,'Calc Cashflow'!K299)</f>
        <v/>
      </c>
      <c r="O293" s="67">
        <f>CHOOSE(Plan!$K$5,'Calc Smart'!L299,'Calc Avalanche'!L299,'Calc Snowball'!L299,'Calc Cashflow'!L299)</f>
        <v/>
      </c>
      <c r="P293" s="67">
        <f>CHOOSE(Plan!$K$5,'Calc Smart'!M299,'Calc Avalanche'!M299,'Calc Snowball'!M299,'Calc Cashflow'!M299)</f>
        <v/>
      </c>
      <c r="Q293" s="67">
        <f>CHOOSE(Plan!$K$5,'Calc Smart'!N299,'Calc Avalanche'!N299,'Calc Snowball'!N299,'Calc Cashflow'!N299)</f>
        <v/>
      </c>
    </row>
    <row r="294">
      <c r="B294" s="64">
        <f>EDATE(Plan!$C$6,288)</f>
        <v/>
      </c>
      <c r="C294" s="31">
        <f>CHOOSE(Plan!$K$5,'Calc Smart'!AE300,'Calc Avalanche'!AE300,'Calc Snowball'!AE300,'Calc Cashflow'!AE300)</f>
        <v/>
      </c>
      <c r="D294" s="31">
        <f>CHOOSE(Plan!$K$5,'Calc Smart'!AD300,'Calc Avalanche'!AD300,'Calc Snowball'!AD300,'Calc Cashflow'!AD300)</f>
        <v/>
      </c>
      <c r="E294" s="40">
        <f>CHOOSE(Plan!$K$5,COUNTIF('Calc Smart'!C300:N300,"&gt;0"),COUNTIF('Calc Avalanche'!C300:N300,"&gt;0"),COUNTIF('Calc Snowball'!C300:N300,"&gt;0"),COUNTIF('Calc Cashflow'!C300:N300,"&gt;0"))</f>
        <v/>
      </c>
      <c r="F294" s="65">
        <f>CHOOSE(Plan!$K$5,'Calc Smart'!C300,'Calc Avalanche'!C300,'Calc Snowball'!C300,'Calc Cashflow'!C300)</f>
        <v/>
      </c>
      <c r="G294" s="65">
        <f>CHOOSE(Plan!$K$5,'Calc Smart'!D300,'Calc Avalanche'!D300,'Calc Snowball'!D300,'Calc Cashflow'!D300)</f>
        <v/>
      </c>
      <c r="H294" s="65">
        <f>CHOOSE(Plan!$K$5,'Calc Smart'!E300,'Calc Avalanche'!E300,'Calc Snowball'!E300,'Calc Cashflow'!E300)</f>
        <v/>
      </c>
      <c r="I294" s="65">
        <f>CHOOSE(Plan!$K$5,'Calc Smart'!F300,'Calc Avalanche'!F300,'Calc Snowball'!F300,'Calc Cashflow'!F300)</f>
        <v/>
      </c>
      <c r="J294" s="65">
        <f>CHOOSE(Plan!$K$5,'Calc Smart'!G300,'Calc Avalanche'!G300,'Calc Snowball'!G300,'Calc Cashflow'!G300)</f>
        <v/>
      </c>
      <c r="K294" s="65">
        <f>CHOOSE(Plan!$K$5,'Calc Smart'!H300,'Calc Avalanche'!H300,'Calc Snowball'!H300,'Calc Cashflow'!H300)</f>
        <v/>
      </c>
      <c r="L294" s="65">
        <f>CHOOSE(Plan!$K$5,'Calc Smart'!I300,'Calc Avalanche'!I300,'Calc Snowball'!I300,'Calc Cashflow'!I300)</f>
        <v/>
      </c>
      <c r="M294" s="65">
        <f>CHOOSE(Plan!$K$5,'Calc Smart'!J300,'Calc Avalanche'!J300,'Calc Snowball'!J300,'Calc Cashflow'!J300)</f>
        <v/>
      </c>
      <c r="N294" s="65">
        <f>CHOOSE(Plan!$K$5,'Calc Smart'!K300,'Calc Avalanche'!K300,'Calc Snowball'!K300,'Calc Cashflow'!K300)</f>
        <v/>
      </c>
      <c r="O294" s="65">
        <f>CHOOSE(Plan!$K$5,'Calc Smart'!L300,'Calc Avalanche'!L300,'Calc Snowball'!L300,'Calc Cashflow'!L300)</f>
        <v/>
      </c>
      <c r="P294" s="65">
        <f>CHOOSE(Plan!$K$5,'Calc Smart'!M300,'Calc Avalanche'!M300,'Calc Snowball'!M300,'Calc Cashflow'!M300)</f>
        <v/>
      </c>
      <c r="Q294" s="65">
        <f>CHOOSE(Plan!$K$5,'Calc Smart'!N300,'Calc Avalanche'!N300,'Calc Snowball'!N300,'Calc Cashflow'!N300)</f>
        <v/>
      </c>
    </row>
    <row r="295">
      <c r="B295" s="66">
        <f>EDATE(Plan!$C$6,289)</f>
        <v/>
      </c>
      <c r="C295" s="32">
        <f>CHOOSE(Plan!$K$5,'Calc Smart'!AE301,'Calc Avalanche'!AE301,'Calc Snowball'!AE301,'Calc Cashflow'!AE301)</f>
        <v/>
      </c>
      <c r="D295" s="32">
        <f>CHOOSE(Plan!$K$5,'Calc Smart'!AD301,'Calc Avalanche'!AD301,'Calc Snowball'!AD301,'Calc Cashflow'!AD301)</f>
        <v/>
      </c>
      <c r="E295" s="43">
        <f>CHOOSE(Plan!$K$5,COUNTIF('Calc Smart'!C301:N301,"&gt;0"),COUNTIF('Calc Avalanche'!C301:N301,"&gt;0"),COUNTIF('Calc Snowball'!C301:N301,"&gt;0"),COUNTIF('Calc Cashflow'!C301:N301,"&gt;0"))</f>
        <v/>
      </c>
      <c r="F295" s="67">
        <f>CHOOSE(Plan!$K$5,'Calc Smart'!C301,'Calc Avalanche'!C301,'Calc Snowball'!C301,'Calc Cashflow'!C301)</f>
        <v/>
      </c>
      <c r="G295" s="67">
        <f>CHOOSE(Plan!$K$5,'Calc Smart'!D301,'Calc Avalanche'!D301,'Calc Snowball'!D301,'Calc Cashflow'!D301)</f>
        <v/>
      </c>
      <c r="H295" s="67">
        <f>CHOOSE(Plan!$K$5,'Calc Smart'!E301,'Calc Avalanche'!E301,'Calc Snowball'!E301,'Calc Cashflow'!E301)</f>
        <v/>
      </c>
      <c r="I295" s="67">
        <f>CHOOSE(Plan!$K$5,'Calc Smart'!F301,'Calc Avalanche'!F301,'Calc Snowball'!F301,'Calc Cashflow'!F301)</f>
        <v/>
      </c>
      <c r="J295" s="67">
        <f>CHOOSE(Plan!$K$5,'Calc Smart'!G301,'Calc Avalanche'!G301,'Calc Snowball'!G301,'Calc Cashflow'!G301)</f>
        <v/>
      </c>
      <c r="K295" s="67">
        <f>CHOOSE(Plan!$K$5,'Calc Smart'!H301,'Calc Avalanche'!H301,'Calc Snowball'!H301,'Calc Cashflow'!H301)</f>
        <v/>
      </c>
      <c r="L295" s="67">
        <f>CHOOSE(Plan!$K$5,'Calc Smart'!I301,'Calc Avalanche'!I301,'Calc Snowball'!I301,'Calc Cashflow'!I301)</f>
        <v/>
      </c>
      <c r="M295" s="67">
        <f>CHOOSE(Plan!$K$5,'Calc Smart'!J301,'Calc Avalanche'!J301,'Calc Snowball'!J301,'Calc Cashflow'!J301)</f>
        <v/>
      </c>
      <c r="N295" s="67">
        <f>CHOOSE(Plan!$K$5,'Calc Smart'!K301,'Calc Avalanche'!K301,'Calc Snowball'!K301,'Calc Cashflow'!K301)</f>
        <v/>
      </c>
      <c r="O295" s="67">
        <f>CHOOSE(Plan!$K$5,'Calc Smart'!L301,'Calc Avalanche'!L301,'Calc Snowball'!L301,'Calc Cashflow'!L301)</f>
        <v/>
      </c>
      <c r="P295" s="67">
        <f>CHOOSE(Plan!$K$5,'Calc Smart'!M301,'Calc Avalanche'!M301,'Calc Snowball'!M301,'Calc Cashflow'!M301)</f>
        <v/>
      </c>
      <c r="Q295" s="67">
        <f>CHOOSE(Plan!$K$5,'Calc Smart'!N301,'Calc Avalanche'!N301,'Calc Snowball'!N301,'Calc Cashflow'!N301)</f>
        <v/>
      </c>
    </row>
    <row r="296">
      <c r="B296" s="64">
        <f>EDATE(Plan!$C$6,290)</f>
        <v/>
      </c>
      <c r="C296" s="31">
        <f>CHOOSE(Plan!$K$5,'Calc Smart'!AE302,'Calc Avalanche'!AE302,'Calc Snowball'!AE302,'Calc Cashflow'!AE302)</f>
        <v/>
      </c>
      <c r="D296" s="31">
        <f>CHOOSE(Plan!$K$5,'Calc Smart'!AD302,'Calc Avalanche'!AD302,'Calc Snowball'!AD302,'Calc Cashflow'!AD302)</f>
        <v/>
      </c>
      <c r="E296" s="40">
        <f>CHOOSE(Plan!$K$5,COUNTIF('Calc Smart'!C302:N302,"&gt;0"),COUNTIF('Calc Avalanche'!C302:N302,"&gt;0"),COUNTIF('Calc Snowball'!C302:N302,"&gt;0"),COUNTIF('Calc Cashflow'!C302:N302,"&gt;0"))</f>
        <v/>
      </c>
      <c r="F296" s="65">
        <f>CHOOSE(Plan!$K$5,'Calc Smart'!C302,'Calc Avalanche'!C302,'Calc Snowball'!C302,'Calc Cashflow'!C302)</f>
        <v/>
      </c>
      <c r="G296" s="65">
        <f>CHOOSE(Plan!$K$5,'Calc Smart'!D302,'Calc Avalanche'!D302,'Calc Snowball'!D302,'Calc Cashflow'!D302)</f>
        <v/>
      </c>
      <c r="H296" s="65">
        <f>CHOOSE(Plan!$K$5,'Calc Smart'!E302,'Calc Avalanche'!E302,'Calc Snowball'!E302,'Calc Cashflow'!E302)</f>
        <v/>
      </c>
      <c r="I296" s="65">
        <f>CHOOSE(Plan!$K$5,'Calc Smart'!F302,'Calc Avalanche'!F302,'Calc Snowball'!F302,'Calc Cashflow'!F302)</f>
        <v/>
      </c>
      <c r="J296" s="65">
        <f>CHOOSE(Plan!$K$5,'Calc Smart'!G302,'Calc Avalanche'!G302,'Calc Snowball'!G302,'Calc Cashflow'!G302)</f>
        <v/>
      </c>
      <c r="K296" s="65">
        <f>CHOOSE(Plan!$K$5,'Calc Smart'!H302,'Calc Avalanche'!H302,'Calc Snowball'!H302,'Calc Cashflow'!H302)</f>
        <v/>
      </c>
      <c r="L296" s="65">
        <f>CHOOSE(Plan!$K$5,'Calc Smart'!I302,'Calc Avalanche'!I302,'Calc Snowball'!I302,'Calc Cashflow'!I302)</f>
        <v/>
      </c>
      <c r="M296" s="65">
        <f>CHOOSE(Plan!$K$5,'Calc Smart'!J302,'Calc Avalanche'!J302,'Calc Snowball'!J302,'Calc Cashflow'!J302)</f>
        <v/>
      </c>
      <c r="N296" s="65">
        <f>CHOOSE(Plan!$K$5,'Calc Smart'!K302,'Calc Avalanche'!K302,'Calc Snowball'!K302,'Calc Cashflow'!K302)</f>
        <v/>
      </c>
      <c r="O296" s="65">
        <f>CHOOSE(Plan!$K$5,'Calc Smart'!L302,'Calc Avalanche'!L302,'Calc Snowball'!L302,'Calc Cashflow'!L302)</f>
        <v/>
      </c>
      <c r="P296" s="65">
        <f>CHOOSE(Plan!$K$5,'Calc Smart'!M302,'Calc Avalanche'!M302,'Calc Snowball'!M302,'Calc Cashflow'!M302)</f>
        <v/>
      </c>
      <c r="Q296" s="65">
        <f>CHOOSE(Plan!$K$5,'Calc Smart'!N302,'Calc Avalanche'!N302,'Calc Snowball'!N302,'Calc Cashflow'!N302)</f>
        <v/>
      </c>
    </row>
    <row r="297">
      <c r="B297" s="66">
        <f>EDATE(Plan!$C$6,291)</f>
        <v/>
      </c>
      <c r="C297" s="32">
        <f>CHOOSE(Plan!$K$5,'Calc Smart'!AE303,'Calc Avalanche'!AE303,'Calc Snowball'!AE303,'Calc Cashflow'!AE303)</f>
        <v/>
      </c>
      <c r="D297" s="32">
        <f>CHOOSE(Plan!$K$5,'Calc Smart'!AD303,'Calc Avalanche'!AD303,'Calc Snowball'!AD303,'Calc Cashflow'!AD303)</f>
        <v/>
      </c>
      <c r="E297" s="43">
        <f>CHOOSE(Plan!$K$5,COUNTIF('Calc Smart'!C303:N303,"&gt;0"),COUNTIF('Calc Avalanche'!C303:N303,"&gt;0"),COUNTIF('Calc Snowball'!C303:N303,"&gt;0"),COUNTIF('Calc Cashflow'!C303:N303,"&gt;0"))</f>
        <v/>
      </c>
      <c r="F297" s="67">
        <f>CHOOSE(Plan!$K$5,'Calc Smart'!C303,'Calc Avalanche'!C303,'Calc Snowball'!C303,'Calc Cashflow'!C303)</f>
        <v/>
      </c>
      <c r="G297" s="67">
        <f>CHOOSE(Plan!$K$5,'Calc Smart'!D303,'Calc Avalanche'!D303,'Calc Snowball'!D303,'Calc Cashflow'!D303)</f>
        <v/>
      </c>
      <c r="H297" s="67">
        <f>CHOOSE(Plan!$K$5,'Calc Smart'!E303,'Calc Avalanche'!E303,'Calc Snowball'!E303,'Calc Cashflow'!E303)</f>
        <v/>
      </c>
      <c r="I297" s="67">
        <f>CHOOSE(Plan!$K$5,'Calc Smart'!F303,'Calc Avalanche'!F303,'Calc Snowball'!F303,'Calc Cashflow'!F303)</f>
        <v/>
      </c>
      <c r="J297" s="67">
        <f>CHOOSE(Plan!$K$5,'Calc Smart'!G303,'Calc Avalanche'!G303,'Calc Snowball'!G303,'Calc Cashflow'!G303)</f>
        <v/>
      </c>
      <c r="K297" s="67">
        <f>CHOOSE(Plan!$K$5,'Calc Smart'!H303,'Calc Avalanche'!H303,'Calc Snowball'!H303,'Calc Cashflow'!H303)</f>
        <v/>
      </c>
      <c r="L297" s="67">
        <f>CHOOSE(Plan!$K$5,'Calc Smart'!I303,'Calc Avalanche'!I303,'Calc Snowball'!I303,'Calc Cashflow'!I303)</f>
        <v/>
      </c>
      <c r="M297" s="67">
        <f>CHOOSE(Plan!$K$5,'Calc Smart'!J303,'Calc Avalanche'!J303,'Calc Snowball'!J303,'Calc Cashflow'!J303)</f>
        <v/>
      </c>
      <c r="N297" s="67">
        <f>CHOOSE(Plan!$K$5,'Calc Smart'!K303,'Calc Avalanche'!K303,'Calc Snowball'!K303,'Calc Cashflow'!K303)</f>
        <v/>
      </c>
      <c r="O297" s="67">
        <f>CHOOSE(Plan!$K$5,'Calc Smart'!L303,'Calc Avalanche'!L303,'Calc Snowball'!L303,'Calc Cashflow'!L303)</f>
        <v/>
      </c>
      <c r="P297" s="67">
        <f>CHOOSE(Plan!$K$5,'Calc Smart'!M303,'Calc Avalanche'!M303,'Calc Snowball'!M303,'Calc Cashflow'!M303)</f>
        <v/>
      </c>
      <c r="Q297" s="67">
        <f>CHOOSE(Plan!$K$5,'Calc Smart'!N303,'Calc Avalanche'!N303,'Calc Snowball'!N303,'Calc Cashflow'!N303)</f>
        <v/>
      </c>
    </row>
    <row r="298">
      <c r="B298" s="64">
        <f>EDATE(Plan!$C$6,292)</f>
        <v/>
      </c>
      <c r="C298" s="31">
        <f>CHOOSE(Plan!$K$5,'Calc Smart'!AE304,'Calc Avalanche'!AE304,'Calc Snowball'!AE304,'Calc Cashflow'!AE304)</f>
        <v/>
      </c>
      <c r="D298" s="31">
        <f>CHOOSE(Plan!$K$5,'Calc Smart'!AD304,'Calc Avalanche'!AD304,'Calc Snowball'!AD304,'Calc Cashflow'!AD304)</f>
        <v/>
      </c>
      <c r="E298" s="40">
        <f>CHOOSE(Plan!$K$5,COUNTIF('Calc Smart'!C304:N304,"&gt;0"),COUNTIF('Calc Avalanche'!C304:N304,"&gt;0"),COUNTIF('Calc Snowball'!C304:N304,"&gt;0"),COUNTIF('Calc Cashflow'!C304:N304,"&gt;0"))</f>
        <v/>
      </c>
      <c r="F298" s="65">
        <f>CHOOSE(Plan!$K$5,'Calc Smart'!C304,'Calc Avalanche'!C304,'Calc Snowball'!C304,'Calc Cashflow'!C304)</f>
        <v/>
      </c>
      <c r="G298" s="65">
        <f>CHOOSE(Plan!$K$5,'Calc Smart'!D304,'Calc Avalanche'!D304,'Calc Snowball'!D304,'Calc Cashflow'!D304)</f>
        <v/>
      </c>
      <c r="H298" s="65">
        <f>CHOOSE(Plan!$K$5,'Calc Smart'!E304,'Calc Avalanche'!E304,'Calc Snowball'!E304,'Calc Cashflow'!E304)</f>
        <v/>
      </c>
      <c r="I298" s="65">
        <f>CHOOSE(Plan!$K$5,'Calc Smart'!F304,'Calc Avalanche'!F304,'Calc Snowball'!F304,'Calc Cashflow'!F304)</f>
        <v/>
      </c>
      <c r="J298" s="65">
        <f>CHOOSE(Plan!$K$5,'Calc Smart'!G304,'Calc Avalanche'!G304,'Calc Snowball'!G304,'Calc Cashflow'!G304)</f>
        <v/>
      </c>
      <c r="K298" s="65">
        <f>CHOOSE(Plan!$K$5,'Calc Smart'!H304,'Calc Avalanche'!H304,'Calc Snowball'!H304,'Calc Cashflow'!H304)</f>
        <v/>
      </c>
      <c r="L298" s="65">
        <f>CHOOSE(Plan!$K$5,'Calc Smart'!I304,'Calc Avalanche'!I304,'Calc Snowball'!I304,'Calc Cashflow'!I304)</f>
        <v/>
      </c>
      <c r="M298" s="65">
        <f>CHOOSE(Plan!$K$5,'Calc Smart'!J304,'Calc Avalanche'!J304,'Calc Snowball'!J304,'Calc Cashflow'!J304)</f>
        <v/>
      </c>
      <c r="N298" s="65">
        <f>CHOOSE(Plan!$K$5,'Calc Smart'!K304,'Calc Avalanche'!K304,'Calc Snowball'!K304,'Calc Cashflow'!K304)</f>
        <v/>
      </c>
      <c r="O298" s="65">
        <f>CHOOSE(Plan!$K$5,'Calc Smart'!L304,'Calc Avalanche'!L304,'Calc Snowball'!L304,'Calc Cashflow'!L304)</f>
        <v/>
      </c>
      <c r="P298" s="65">
        <f>CHOOSE(Plan!$K$5,'Calc Smart'!M304,'Calc Avalanche'!M304,'Calc Snowball'!M304,'Calc Cashflow'!M304)</f>
        <v/>
      </c>
      <c r="Q298" s="65">
        <f>CHOOSE(Plan!$K$5,'Calc Smart'!N304,'Calc Avalanche'!N304,'Calc Snowball'!N304,'Calc Cashflow'!N304)</f>
        <v/>
      </c>
    </row>
    <row r="299">
      <c r="B299" s="66">
        <f>EDATE(Plan!$C$6,293)</f>
        <v/>
      </c>
      <c r="C299" s="32">
        <f>CHOOSE(Plan!$K$5,'Calc Smart'!AE305,'Calc Avalanche'!AE305,'Calc Snowball'!AE305,'Calc Cashflow'!AE305)</f>
        <v/>
      </c>
      <c r="D299" s="32">
        <f>CHOOSE(Plan!$K$5,'Calc Smart'!AD305,'Calc Avalanche'!AD305,'Calc Snowball'!AD305,'Calc Cashflow'!AD305)</f>
        <v/>
      </c>
      <c r="E299" s="43">
        <f>CHOOSE(Plan!$K$5,COUNTIF('Calc Smart'!C305:N305,"&gt;0"),COUNTIF('Calc Avalanche'!C305:N305,"&gt;0"),COUNTIF('Calc Snowball'!C305:N305,"&gt;0"),COUNTIF('Calc Cashflow'!C305:N305,"&gt;0"))</f>
        <v/>
      </c>
      <c r="F299" s="67">
        <f>CHOOSE(Plan!$K$5,'Calc Smart'!C305,'Calc Avalanche'!C305,'Calc Snowball'!C305,'Calc Cashflow'!C305)</f>
        <v/>
      </c>
      <c r="G299" s="67">
        <f>CHOOSE(Plan!$K$5,'Calc Smart'!D305,'Calc Avalanche'!D305,'Calc Snowball'!D305,'Calc Cashflow'!D305)</f>
        <v/>
      </c>
      <c r="H299" s="67">
        <f>CHOOSE(Plan!$K$5,'Calc Smart'!E305,'Calc Avalanche'!E305,'Calc Snowball'!E305,'Calc Cashflow'!E305)</f>
        <v/>
      </c>
      <c r="I299" s="67">
        <f>CHOOSE(Plan!$K$5,'Calc Smart'!F305,'Calc Avalanche'!F305,'Calc Snowball'!F305,'Calc Cashflow'!F305)</f>
        <v/>
      </c>
      <c r="J299" s="67">
        <f>CHOOSE(Plan!$K$5,'Calc Smart'!G305,'Calc Avalanche'!G305,'Calc Snowball'!G305,'Calc Cashflow'!G305)</f>
        <v/>
      </c>
      <c r="K299" s="67">
        <f>CHOOSE(Plan!$K$5,'Calc Smart'!H305,'Calc Avalanche'!H305,'Calc Snowball'!H305,'Calc Cashflow'!H305)</f>
        <v/>
      </c>
      <c r="L299" s="67">
        <f>CHOOSE(Plan!$K$5,'Calc Smart'!I305,'Calc Avalanche'!I305,'Calc Snowball'!I305,'Calc Cashflow'!I305)</f>
        <v/>
      </c>
      <c r="M299" s="67">
        <f>CHOOSE(Plan!$K$5,'Calc Smart'!J305,'Calc Avalanche'!J305,'Calc Snowball'!J305,'Calc Cashflow'!J305)</f>
        <v/>
      </c>
      <c r="N299" s="67">
        <f>CHOOSE(Plan!$K$5,'Calc Smart'!K305,'Calc Avalanche'!K305,'Calc Snowball'!K305,'Calc Cashflow'!K305)</f>
        <v/>
      </c>
      <c r="O299" s="67">
        <f>CHOOSE(Plan!$K$5,'Calc Smart'!L305,'Calc Avalanche'!L305,'Calc Snowball'!L305,'Calc Cashflow'!L305)</f>
        <v/>
      </c>
      <c r="P299" s="67">
        <f>CHOOSE(Plan!$K$5,'Calc Smart'!M305,'Calc Avalanche'!M305,'Calc Snowball'!M305,'Calc Cashflow'!M305)</f>
        <v/>
      </c>
      <c r="Q299" s="67">
        <f>CHOOSE(Plan!$K$5,'Calc Smart'!N305,'Calc Avalanche'!N305,'Calc Snowball'!N305,'Calc Cashflow'!N305)</f>
        <v/>
      </c>
    </row>
    <row r="300">
      <c r="B300" s="64">
        <f>EDATE(Plan!$C$6,294)</f>
        <v/>
      </c>
      <c r="C300" s="31">
        <f>CHOOSE(Plan!$K$5,'Calc Smart'!AE306,'Calc Avalanche'!AE306,'Calc Snowball'!AE306,'Calc Cashflow'!AE306)</f>
        <v/>
      </c>
      <c r="D300" s="31">
        <f>CHOOSE(Plan!$K$5,'Calc Smart'!AD306,'Calc Avalanche'!AD306,'Calc Snowball'!AD306,'Calc Cashflow'!AD306)</f>
        <v/>
      </c>
      <c r="E300" s="40">
        <f>CHOOSE(Plan!$K$5,COUNTIF('Calc Smart'!C306:N306,"&gt;0"),COUNTIF('Calc Avalanche'!C306:N306,"&gt;0"),COUNTIF('Calc Snowball'!C306:N306,"&gt;0"),COUNTIF('Calc Cashflow'!C306:N306,"&gt;0"))</f>
        <v/>
      </c>
      <c r="F300" s="65">
        <f>CHOOSE(Plan!$K$5,'Calc Smart'!C306,'Calc Avalanche'!C306,'Calc Snowball'!C306,'Calc Cashflow'!C306)</f>
        <v/>
      </c>
      <c r="G300" s="65">
        <f>CHOOSE(Plan!$K$5,'Calc Smart'!D306,'Calc Avalanche'!D306,'Calc Snowball'!D306,'Calc Cashflow'!D306)</f>
        <v/>
      </c>
      <c r="H300" s="65">
        <f>CHOOSE(Plan!$K$5,'Calc Smart'!E306,'Calc Avalanche'!E306,'Calc Snowball'!E306,'Calc Cashflow'!E306)</f>
        <v/>
      </c>
      <c r="I300" s="65">
        <f>CHOOSE(Plan!$K$5,'Calc Smart'!F306,'Calc Avalanche'!F306,'Calc Snowball'!F306,'Calc Cashflow'!F306)</f>
        <v/>
      </c>
      <c r="J300" s="65">
        <f>CHOOSE(Plan!$K$5,'Calc Smart'!G306,'Calc Avalanche'!G306,'Calc Snowball'!G306,'Calc Cashflow'!G306)</f>
        <v/>
      </c>
      <c r="K300" s="65">
        <f>CHOOSE(Plan!$K$5,'Calc Smart'!H306,'Calc Avalanche'!H306,'Calc Snowball'!H306,'Calc Cashflow'!H306)</f>
        <v/>
      </c>
      <c r="L300" s="65">
        <f>CHOOSE(Plan!$K$5,'Calc Smart'!I306,'Calc Avalanche'!I306,'Calc Snowball'!I306,'Calc Cashflow'!I306)</f>
        <v/>
      </c>
      <c r="M300" s="65">
        <f>CHOOSE(Plan!$K$5,'Calc Smart'!J306,'Calc Avalanche'!J306,'Calc Snowball'!J306,'Calc Cashflow'!J306)</f>
        <v/>
      </c>
      <c r="N300" s="65">
        <f>CHOOSE(Plan!$K$5,'Calc Smart'!K306,'Calc Avalanche'!K306,'Calc Snowball'!K306,'Calc Cashflow'!K306)</f>
        <v/>
      </c>
      <c r="O300" s="65">
        <f>CHOOSE(Plan!$K$5,'Calc Smart'!L306,'Calc Avalanche'!L306,'Calc Snowball'!L306,'Calc Cashflow'!L306)</f>
        <v/>
      </c>
      <c r="P300" s="65">
        <f>CHOOSE(Plan!$K$5,'Calc Smart'!M306,'Calc Avalanche'!M306,'Calc Snowball'!M306,'Calc Cashflow'!M306)</f>
        <v/>
      </c>
      <c r="Q300" s="65">
        <f>CHOOSE(Plan!$K$5,'Calc Smart'!N306,'Calc Avalanche'!N306,'Calc Snowball'!N306,'Calc Cashflow'!N306)</f>
        <v/>
      </c>
    </row>
    <row r="301">
      <c r="B301" s="66">
        <f>EDATE(Plan!$C$6,295)</f>
        <v/>
      </c>
      <c r="C301" s="32">
        <f>CHOOSE(Plan!$K$5,'Calc Smart'!AE307,'Calc Avalanche'!AE307,'Calc Snowball'!AE307,'Calc Cashflow'!AE307)</f>
        <v/>
      </c>
      <c r="D301" s="32">
        <f>CHOOSE(Plan!$K$5,'Calc Smart'!AD307,'Calc Avalanche'!AD307,'Calc Snowball'!AD307,'Calc Cashflow'!AD307)</f>
        <v/>
      </c>
      <c r="E301" s="43">
        <f>CHOOSE(Plan!$K$5,COUNTIF('Calc Smart'!C307:N307,"&gt;0"),COUNTIF('Calc Avalanche'!C307:N307,"&gt;0"),COUNTIF('Calc Snowball'!C307:N307,"&gt;0"),COUNTIF('Calc Cashflow'!C307:N307,"&gt;0"))</f>
        <v/>
      </c>
      <c r="F301" s="67">
        <f>CHOOSE(Plan!$K$5,'Calc Smart'!C307,'Calc Avalanche'!C307,'Calc Snowball'!C307,'Calc Cashflow'!C307)</f>
        <v/>
      </c>
      <c r="G301" s="67">
        <f>CHOOSE(Plan!$K$5,'Calc Smart'!D307,'Calc Avalanche'!D307,'Calc Snowball'!D307,'Calc Cashflow'!D307)</f>
        <v/>
      </c>
      <c r="H301" s="67">
        <f>CHOOSE(Plan!$K$5,'Calc Smart'!E307,'Calc Avalanche'!E307,'Calc Snowball'!E307,'Calc Cashflow'!E307)</f>
        <v/>
      </c>
      <c r="I301" s="67">
        <f>CHOOSE(Plan!$K$5,'Calc Smart'!F307,'Calc Avalanche'!F307,'Calc Snowball'!F307,'Calc Cashflow'!F307)</f>
        <v/>
      </c>
      <c r="J301" s="67">
        <f>CHOOSE(Plan!$K$5,'Calc Smart'!G307,'Calc Avalanche'!G307,'Calc Snowball'!G307,'Calc Cashflow'!G307)</f>
        <v/>
      </c>
      <c r="K301" s="67">
        <f>CHOOSE(Plan!$K$5,'Calc Smart'!H307,'Calc Avalanche'!H307,'Calc Snowball'!H307,'Calc Cashflow'!H307)</f>
        <v/>
      </c>
      <c r="L301" s="67">
        <f>CHOOSE(Plan!$K$5,'Calc Smart'!I307,'Calc Avalanche'!I307,'Calc Snowball'!I307,'Calc Cashflow'!I307)</f>
        <v/>
      </c>
      <c r="M301" s="67">
        <f>CHOOSE(Plan!$K$5,'Calc Smart'!J307,'Calc Avalanche'!J307,'Calc Snowball'!J307,'Calc Cashflow'!J307)</f>
        <v/>
      </c>
      <c r="N301" s="67">
        <f>CHOOSE(Plan!$K$5,'Calc Smart'!K307,'Calc Avalanche'!K307,'Calc Snowball'!K307,'Calc Cashflow'!K307)</f>
        <v/>
      </c>
      <c r="O301" s="67">
        <f>CHOOSE(Plan!$K$5,'Calc Smart'!L307,'Calc Avalanche'!L307,'Calc Snowball'!L307,'Calc Cashflow'!L307)</f>
        <v/>
      </c>
      <c r="P301" s="67">
        <f>CHOOSE(Plan!$K$5,'Calc Smart'!M307,'Calc Avalanche'!M307,'Calc Snowball'!M307,'Calc Cashflow'!M307)</f>
        <v/>
      </c>
      <c r="Q301" s="67">
        <f>CHOOSE(Plan!$K$5,'Calc Smart'!N307,'Calc Avalanche'!N307,'Calc Snowball'!N307,'Calc Cashflow'!N307)</f>
        <v/>
      </c>
    </row>
    <row r="302">
      <c r="B302" s="64">
        <f>EDATE(Plan!$C$6,296)</f>
        <v/>
      </c>
      <c r="C302" s="31">
        <f>CHOOSE(Plan!$K$5,'Calc Smart'!AE308,'Calc Avalanche'!AE308,'Calc Snowball'!AE308,'Calc Cashflow'!AE308)</f>
        <v/>
      </c>
      <c r="D302" s="31">
        <f>CHOOSE(Plan!$K$5,'Calc Smart'!AD308,'Calc Avalanche'!AD308,'Calc Snowball'!AD308,'Calc Cashflow'!AD308)</f>
        <v/>
      </c>
      <c r="E302" s="40">
        <f>CHOOSE(Plan!$K$5,COUNTIF('Calc Smart'!C308:N308,"&gt;0"),COUNTIF('Calc Avalanche'!C308:N308,"&gt;0"),COUNTIF('Calc Snowball'!C308:N308,"&gt;0"),COUNTIF('Calc Cashflow'!C308:N308,"&gt;0"))</f>
        <v/>
      </c>
      <c r="F302" s="65">
        <f>CHOOSE(Plan!$K$5,'Calc Smart'!C308,'Calc Avalanche'!C308,'Calc Snowball'!C308,'Calc Cashflow'!C308)</f>
        <v/>
      </c>
      <c r="G302" s="65">
        <f>CHOOSE(Plan!$K$5,'Calc Smart'!D308,'Calc Avalanche'!D308,'Calc Snowball'!D308,'Calc Cashflow'!D308)</f>
        <v/>
      </c>
      <c r="H302" s="65">
        <f>CHOOSE(Plan!$K$5,'Calc Smart'!E308,'Calc Avalanche'!E308,'Calc Snowball'!E308,'Calc Cashflow'!E308)</f>
        <v/>
      </c>
      <c r="I302" s="65">
        <f>CHOOSE(Plan!$K$5,'Calc Smart'!F308,'Calc Avalanche'!F308,'Calc Snowball'!F308,'Calc Cashflow'!F308)</f>
        <v/>
      </c>
      <c r="J302" s="65">
        <f>CHOOSE(Plan!$K$5,'Calc Smart'!G308,'Calc Avalanche'!G308,'Calc Snowball'!G308,'Calc Cashflow'!G308)</f>
        <v/>
      </c>
      <c r="K302" s="65">
        <f>CHOOSE(Plan!$K$5,'Calc Smart'!H308,'Calc Avalanche'!H308,'Calc Snowball'!H308,'Calc Cashflow'!H308)</f>
        <v/>
      </c>
      <c r="L302" s="65">
        <f>CHOOSE(Plan!$K$5,'Calc Smart'!I308,'Calc Avalanche'!I308,'Calc Snowball'!I308,'Calc Cashflow'!I308)</f>
        <v/>
      </c>
      <c r="M302" s="65">
        <f>CHOOSE(Plan!$K$5,'Calc Smart'!J308,'Calc Avalanche'!J308,'Calc Snowball'!J308,'Calc Cashflow'!J308)</f>
        <v/>
      </c>
      <c r="N302" s="65">
        <f>CHOOSE(Plan!$K$5,'Calc Smart'!K308,'Calc Avalanche'!K308,'Calc Snowball'!K308,'Calc Cashflow'!K308)</f>
        <v/>
      </c>
      <c r="O302" s="65">
        <f>CHOOSE(Plan!$K$5,'Calc Smart'!L308,'Calc Avalanche'!L308,'Calc Snowball'!L308,'Calc Cashflow'!L308)</f>
        <v/>
      </c>
      <c r="P302" s="65">
        <f>CHOOSE(Plan!$K$5,'Calc Smart'!M308,'Calc Avalanche'!M308,'Calc Snowball'!M308,'Calc Cashflow'!M308)</f>
        <v/>
      </c>
      <c r="Q302" s="65">
        <f>CHOOSE(Plan!$K$5,'Calc Smart'!N308,'Calc Avalanche'!N308,'Calc Snowball'!N308,'Calc Cashflow'!N308)</f>
        <v/>
      </c>
    </row>
    <row r="303">
      <c r="B303" s="66">
        <f>EDATE(Plan!$C$6,297)</f>
        <v/>
      </c>
      <c r="C303" s="32">
        <f>CHOOSE(Plan!$K$5,'Calc Smart'!AE309,'Calc Avalanche'!AE309,'Calc Snowball'!AE309,'Calc Cashflow'!AE309)</f>
        <v/>
      </c>
      <c r="D303" s="32">
        <f>CHOOSE(Plan!$K$5,'Calc Smart'!AD309,'Calc Avalanche'!AD309,'Calc Snowball'!AD309,'Calc Cashflow'!AD309)</f>
        <v/>
      </c>
      <c r="E303" s="43">
        <f>CHOOSE(Plan!$K$5,COUNTIF('Calc Smart'!C309:N309,"&gt;0"),COUNTIF('Calc Avalanche'!C309:N309,"&gt;0"),COUNTIF('Calc Snowball'!C309:N309,"&gt;0"),COUNTIF('Calc Cashflow'!C309:N309,"&gt;0"))</f>
        <v/>
      </c>
      <c r="F303" s="67">
        <f>CHOOSE(Plan!$K$5,'Calc Smart'!C309,'Calc Avalanche'!C309,'Calc Snowball'!C309,'Calc Cashflow'!C309)</f>
        <v/>
      </c>
      <c r="G303" s="67">
        <f>CHOOSE(Plan!$K$5,'Calc Smart'!D309,'Calc Avalanche'!D309,'Calc Snowball'!D309,'Calc Cashflow'!D309)</f>
        <v/>
      </c>
      <c r="H303" s="67">
        <f>CHOOSE(Plan!$K$5,'Calc Smart'!E309,'Calc Avalanche'!E309,'Calc Snowball'!E309,'Calc Cashflow'!E309)</f>
        <v/>
      </c>
      <c r="I303" s="67">
        <f>CHOOSE(Plan!$K$5,'Calc Smart'!F309,'Calc Avalanche'!F309,'Calc Snowball'!F309,'Calc Cashflow'!F309)</f>
        <v/>
      </c>
      <c r="J303" s="67">
        <f>CHOOSE(Plan!$K$5,'Calc Smart'!G309,'Calc Avalanche'!G309,'Calc Snowball'!G309,'Calc Cashflow'!G309)</f>
        <v/>
      </c>
      <c r="K303" s="67">
        <f>CHOOSE(Plan!$K$5,'Calc Smart'!H309,'Calc Avalanche'!H309,'Calc Snowball'!H309,'Calc Cashflow'!H309)</f>
        <v/>
      </c>
      <c r="L303" s="67">
        <f>CHOOSE(Plan!$K$5,'Calc Smart'!I309,'Calc Avalanche'!I309,'Calc Snowball'!I309,'Calc Cashflow'!I309)</f>
        <v/>
      </c>
      <c r="M303" s="67">
        <f>CHOOSE(Plan!$K$5,'Calc Smart'!J309,'Calc Avalanche'!J309,'Calc Snowball'!J309,'Calc Cashflow'!J309)</f>
        <v/>
      </c>
      <c r="N303" s="67">
        <f>CHOOSE(Plan!$K$5,'Calc Smart'!K309,'Calc Avalanche'!K309,'Calc Snowball'!K309,'Calc Cashflow'!K309)</f>
        <v/>
      </c>
      <c r="O303" s="67">
        <f>CHOOSE(Plan!$K$5,'Calc Smart'!L309,'Calc Avalanche'!L309,'Calc Snowball'!L309,'Calc Cashflow'!L309)</f>
        <v/>
      </c>
      <c r="P303" s="67">
        <f>CHOOSE(Plan!$K$5,'Calc Smart'!M309,'Calc Avalanche'!M309,'Calc Snowball'!M309,'Calc Cashflow'!M309)</f>
        <v/>
      </c>
      <c r="Q303" s="67">
        <f>CHOOSE(Plan!$K$5,'Calc Smart'!N309,'Calc Avalanche'!N309,'Calc Snowball'!N309,'Calc Cashflow'!N309)</f>
        <v/>
      </c>
    </row>
    <row r="304">
      <c r="B304" s="64">
        <f>EDATE(Plan!$C$6,298)</f>
        <v/>
      </c>
      <c r="C304" s="31">
        <f>CHOOSE(Plan!$K$5,'Calc Smart'!AE310,'Calc Avalanche'!AE310,'Calc Snowball'!AE310,'Calc Cashflow'!AE310)</f>
        <v/>
      </c>
      <c r="D304" s="31">
        <f>CHOOSE(Plan!$K$5,'Calc Smart'!AD310,'Calc Avalanche'!AD310,'Calc Snowball'!AD310,'Calc Cashflow'!AD310)</f>
        <v/>
      </c>
      <c r="E304" s="40">
        <f>CHOOSE(Plan!$K$5,COUNTIF('Calc Smart'!C310:N310,"&gt;0"),COUNTIF('Calc Avalanche'!C310:N310,"&gt;0"),COUNTIF('Calc Snowball'!C310:N310,"&gt;0"),COUNTIF('Calc Cashflow'!C310:N310,"&gt;0"))</f>
        <v/>
      </c>
      <c r="F304" s="65">
        <f>CHOOSE(Plan!$K$5,'Calc Smart'!C310,'Calc Avalanche'!C310,'Calc Snowball'!C310,'Calc Cashflow'!C310)</f>
        <v/>
      </c>
      <c r="G304" s="65">
        <f>CHOOSE(Plan!$K$5,'Calc Smart'!D310,'Calc Avalanche'!D310,'Calc Snowball'!D310,'Calc Cashflow'!D310)</f>
        <v/>
      </c>
      <c r="H304" s="65">
        <f>CHOOSE(Plan!$K$5,'Calc Smart'!E310,'Calc Avalanche'!E310,'Calc Snowball'!E310,'Calc Cashflow'!E310)</f>
        <v/>
      </c>
      <c r="I304" s="65">
        <f>CHOOSE(Plan!$K$5,'Calc Smart'!F310,'Calc Avalanche'!F310,'Calc Snowball'!F310,'Calc Cashflow'!F310)</f>
        <v/>
      </c>
      <c r="J304" s="65">
        <f>CHOOSE(Plan!$K$5,'Calc Smart'!G310,'Calc Avalanche'!G310,'Calc Snowball'!G310,'Calc Cashflow'!G310)</f>
        <v/>
      </c>
      <c r="K304" s="65">
        <f>CHOOSE(Plan!$K$5,'Calc Smart'!H310,'Calc Avalanche'!H310,'Calc Snowball'!H310,'Calc Cashflow'!H310)</f>
        <v/>
      </c>
      <c r="L304" s="65">
        <f>CHOOSE(Plan!$K$5,'Calc Smart'!I310,'Calc Avalanche'!I310,'Calc Snowball'!I310,'Calc Cashflow'!I310)</f>
        <v/>
      </c>
      <c r="M304" s="65">
        <f>CHOOSE(Plan!$K$5,'Calc Smart'!J310,'Calc Avalanche'!J310,'Calc Snowball'!J310,'Calc Cashflow'!J310)</f>
        <v/>
      </c>
      <c r="N304" s="65">
        <f>CHOOSE(Plan!$K$5,'Calc Smart'!K310,'Calc Avalanche'!K310,'Calc Snowball'!K310,'Calc Cashflow'!K310)</f>
        <v/>
      </c>
      <c r="O304" s="65">
        <f>CHOOSE(Plan!$K$5,'Calc Smart'!L310,'Calc Avalanche'!L310,'Calc Snowball'!L310,'Calc Cashflow'!L310)</f>
        <v/>
      </c>
      <c r="P304" s="65">
        <f>CHOOSE(Plan!$K$5,'Calc Smart'!M310,'Calc Avalanche'!M310,'Calc Snowball'!M310,'Calc Cashflow'!M310)</f>
        <v/>
      </c>
      <c r="Q304" s="65">
        <f>CHOOSE(Plan!$K$5,'Calc Smart'!N310,'Calc Avalanche'!N310,'Calc Snowball'!N310,'Calc Cashflow'!N310)</f>
        <v/>
      </c>
    </row>
    <row r="305">
      <c r="B305" s="66">
        <f>EDATE(Plan!$C$6,299)</f>
        <v/>
      </c>
      <c r="C305" s="32">
        <f>CHOOSE(Plan!$K$5,'Calc Smart'!AE311,'Calc Avalanche'!AE311,'Calc Snowball'!AE311,'Calc Cashflow'!AE311)</f>
        <v/>
      </c>
      <c r="D305" s="32">
        <f>CHOOSE(Plan!$K$5,'Calc Smart'!AD311,'Calc Avalanche'!AD311,'Calc Snowball'!AD311,'Calc Cashflow'!AD311)</f>
        <v/>
      </c>
      <c r="E305" s="43">
        <f>CHOOSE(Plan!$K$5,COUNTIF('Calc Smart'!C311:N311,"&gt;0"),COUNTIF('Calc Avalanche'!C311:N311,"&gt;0"),COUNTIF('Calc Snowball'!C311:N311,"&gt;0"),COUNTIF('Calc Cashflow'!C311:N311,"&gt;0"))</f>
        <v/>
      </c>
      <c r="F305" s="67">
        <f>CHOOSE(Plan!$K$5,'Calc Smart'!C311,'Calc Avalanche'!C311,'Calc Snowball'!C311,'Calc Cashflow'!C311)</f>
        <v/>
      </c>
      <c r="G305" s="67">
        <f>CHOOSE(Plan!$K$5,'Calc Smart'!D311,'Calc Avalanche'!D311,'Calc Snowball'!D311,'Calc Cashflow'!D311)</f>
        <v/>
      </c>
      <c r="H305" s="67">
        <f>CHOOSE(Plan!$K$5,'Calc Smart'!E311,'Calc Avalanche'!E311,'Calc Snowball'!E311,'Calc Cashflow'!E311)</f>
        <v/>
      </c>
      <c r="I305" s="67">
        <f>CHOOSE(Plan!$K$5,'Calc Smart'!F311,'Calc Avalanche'!F311,'Calc Snowball'!F311,'Calc Cashflow'!F311)</f>
        <v/>
      </c>
      <c r="J305" s="67">
        <f>CHOOSE(Plan!$K$5,'Calc Smart'!G311,'Calc Avalanche'!G311,'Calc Snowball'!G311,'Calc Cashflow'!G311)</f>
        <v/>
      </c>
      <c r="K305" s="67">
        <f>CHOOSE(Plan!$K$5,'Calc Smart'!H311,'Calc Avalanche'!H311,'Calc Snowball'!H311,'Calc Cashflow'!H311)</f>
        <v/>
      </c>
      <c r="L305" s="67">
        <f>CHOOSE(Plan!$K$5,'Calc Smart'!I311,'Calc Avalanche'!I311,'Calc Snowball'!I311,'Calc Cashflow'!I311)</f>
        <v/>
      </c>
      <c r="M305" s="67">
        <f>CHOOSE(Plan!$K$5,'Calc Smart'!J311,'Calc Avalanche'!J311,'Calc Snowball'!J311,'Calc Cashflow'!J311)</f>
        <v/>
      </c>
      <c r="N305" s="67">
        <f>CHOOSE(Plan!$K$5,'Calc Smart'!K311,'Calc Avalanche'!K311,'Calc Snowball'!K311,'Calc Cashflow'!K311)</f>
        <v/>
      </c>
      <c r="O305" s="67">
        <f>CHOOSE(Plan!$K$5,'Calc Smart'!L311,'Calc Avalanche'!L311,'Calc Snowball'!L311,'Calc Cashflow'!L311)</f>
        <v/>
      </c>
      <c r="P305" s="67">
        <f>CHOOSE(Plan!$K$5,'Calc Smart'!M311,'Calc Avalanche'!M311,'Calc Snowball'!M311,'Calc Cashflow'!M311)</f>
        <v/>
      </c>
      <c r="Q305" s="67">
        <f>CHOOSE(Plan!$K$5,'Calc Smart'!N311,'Calc Avalanche'!N311,'Calc Snowball'!N311,'Calc Cashflow'!N311)</f>
        <v/>
      </c>
    </row>
    <row r="306">
      <c r="B306" s="64">
        <f>EDATE(Plan!$C$6,300)</f>
        <v/>
      </c>
      <c r="C306" s="31">
        <f>CHOOSE(Plan!$K$5,'Calc Smart'!AE312,'Calc Avalanche'!AE312,'Calc Snowball'!AE312,'Calc Cashflow'!AE312)</f>
        <v/>
      </c>
      <c r="D306" s="31">
        <f>CHOOSE(Plan!$K$5,'Calc Smart'!AD312,'Calc Avalanche'!AD312,'Calc Snowball'!AD312,'Calc Cashflow'!AD312)</f>
        <v/>
      </c>
      <c r="E306" s="40">
        <f>CHOOSE(Plan!$K$5,COUNTIF('Calc Smart'!C312:N312,"&gt;0"),COUNTIF('Calc Avalanche'!C312:N312,"&gt;0"),COUNTIF('Calc Snowball'!C312:N312,"&gt;0"),COUNTIF('Calc Cashflow'!C312:N312,"&gt;0"))</f>
        <v/>
      </c>
      <c r="F306" s="65">
        <f>CHOOSE(Plan!$K$5,'Calc Smart'!C312,'Calc Avalanche'!C312,'Calc Snowball'!C312,'Calc Cashflow'!C312)</f>
        <v/>
      </c>
      <c r="G306" s="65">
        <f>CHOOSE(Plan!$K$5,'Calc Smart'!D312,'Calc Avalanche'!D312,'Calc Snowball'!D312,'Calc Cashflow'!D312)</f>
        <v/>
      </c>
      <c r="H306" s="65">
        <f>CHOOSE(Plan!$K$5,'Calc Smart'!E312,'Calc Avalanche'!E312,'Calc Snowball'!E312,'Calc Cashflow'!E312)</f>
        <v/>
      </c>
      <c r="I306" s="65">
        <f>CHOOSE(Plan!$K$5,'Calc Smart'!F312,'Calc Avalanche'!F312,'Calc Snowball'!F312,'Calc Cashflow'!F312)</f>
        <v/>
      </c>
      <c r="J306" s="65">
        <f>CHOOSE(Plan!$K$5,'Calc Smart'!G312,'Calc Avalanche'!G312,'Calc Snowball'!G312,'Calc Cashflow'!G312)</f>
        <v/>
      </c>
      <c r="K306" s="65">
        <f>CHOOSE(Plan!$K$5,'Calc Smart'!H312,'Calc Avalanche'!H312,'Calc Snowball'!H312,'Calc Cashflow'!H312)</f>
        <v/>
      </c>
      <c r="L306" s="65">
        <f>CHOOSE(Plan!$K$5,'Calc Smart'!I312,'Calc Avalanche'!I312,'Calc Snowball'!I312,'Calc Cashflow'!I312)</f>
        <v/>
      </c>
      <c r="M306" s="65">
        <f>CHOOSE(Plan!$K$5,'Calc Smart'!J312,'Calc Avalanche'!J312,'Calc Snowball'!J312,'Calc Cashflow'!J312)</f>
        <v/>
      </c>
      <c r="N306" s="65">
        <f>CHOOSE(Plan!$K$5,'Calc Smart'!K312,'Calc Avalanche'!K312,'Calc Snowball'!K312,'Calc Cashflow'!K312)</f>
        <v/>
      </c>
      <c r="O306" s="65">
        <f>CHOOSE(Plan!$K$5,'Calc Smart'!L312,'Calc Avalanche'!L312,'Calc Snowball'!L312,'Calc Cashflow'!L312)</f>
        <v/>
      </c>
      <c r="P306" s="65">
        <f>CHOOSE(Plan!$K$5,'Calc Smart'!M312,'Calc Avalanche'!M312,'Calc Snowball'!M312,'Calc Cashflow'!M312)</f>
        <v/>
      </c>
      <c r="Q306" s="65">
        <f>CHOOSE(Plan!$K$5,'Calc Smart'!N312,'Calc Avalanche'!N312,'Calc Snowball'!N312,'Calc Cashflow'!N312)</f>
        <v/>
      </c>
    </row>
    <row r="307">
      <c r="B307" s="66">
        <f>EDATE(Plan!$C$6,301)</f>
        <v/>
      </c>
      <c r="C307" s="32">
        <f>CHOOSE(Plan!$K$5,'Calc Smart'!AE313,'Calc Avalanche'!AE313,'Calc Snowball'!AE313,'Calc Cashflow'!AE313)</f>
        <v/>
      </c>
      <c r="D307" s="32">
        <f>CHOOSE(Plan!$K$5,'Calc Smart'!AD313,'Calc Avalanche'!AD313,'Calc Snowball'!AD313,'Calc Cashflow'!AD313)</f>
        <v/>
      </c>
      <c r="E307" s="43">
        <f>CHOOSE(Plan!$K$5,COUNTIF('Calc Smart'!C313:N313,"&gt;0"),COUNTIF('Calc Avalanche'!C313:N313,"&gt;0"),COUNTIF('Calc Snowball'!C313:N313,"&gt;0"),COUNTIF('Calc Cashflow'!C313:N313,"&gt;0"))</f>
        <v/>
      </c>
      <c r="F307" s="67">
        <f>CHOOSE(Plan!$K$5,'Calc Smart'!C313,'Calc Avalanche'!C313,'Calc Snowball'!C313,'Calc Cashflow'!C313)</f>
        <v/>
      </c>
      <c r="G307" s="67">
        <f>CHOOSE(Plan!$K$5,'Calc Smart'!D313,'Calc Avalanche'!D313,'Calc Snowball'!D313,'Calc Cashflow'!D313)</f>
        <v/>
      </c>
      <c r="H307" s="67">
        <f>CHOOSE(Plan!$K$5,'Calc Smart'!E313,'Calc Avalanche'!E313,'Calc Snowball'!E313,'Calc Cashflow'!E313)</f>
        <v/>
      </c>
      <c r="I307" s="67">
        <f>CHOOSE(Plan!$K$5,'Calc Smart'!F313,'Calc Avalanche'!F313,'Calc Snowball'!F313,'Calc Cashflow'!F313)</f>
        <v/>
      </c>
      <c r="J307" s="67">
        <f>CHOOSE(Plan!$K$5,'Calc Smart'!G313,'Calc Avalanche'!G313,'Calc Snowball'!G313,'Calc Cashflow'!G313)</f>
        <v/>
      </c>
      <c r="K307" s="67">
        <f>CHOOSE(Plan!$K$5,'Calc Smart'!H313,'Calc Avalanche'!H313,'Calc Snowball'!H313,'Calc Cashflow'!H313)</f>
        <v/>
      </c>
      <c r="L307" s="67">
        <f>CHOOSE(Plan!$K$5,'Calc Smart'!I313,'Calc Avalanche'!I313,'Calc Snowball'!I313,'Calc Cashflow'!I313)</f>
        <v/>
      </c>
      <c r="M307" s="67">
        <f>CHOOSE(Plan!$K$5,'Calc Smart'!J313,'Calc Avalanche'!J313,'Calc Snowball'!J313,'Calc Cashflow'!J313)</f>
        <v/>
      </c>
      <c r="N307" s="67">
        <f>CHOOSE(Plan!$K$5,'Calc Smart'!K313,'Calc Avalanche'!K313,'Calc Snowball'!K313,'Calc Cashflow'!K313)</f>
        <v/>
      </c>
      <c r="O307" s="67">
        <f>CHOOSE(Plan!$K$5,'Calc Smart'!L313,'Calc Avalanche'!L313,'Calc Snowball'!L313,'Calc Cashflow'!L313)</f>
        <v/>
      </c>
      <c r="P307" s="67">
        <f>CHOOSE(Plan!$K$5,'Calc Smart'!M313,'Calc Avalanche'!M313,'Calc Snowball'!M313,'Calc Cashflow'!M313)</f>
        <v/>
      </c>
      <c r="Q307" s="67">
        <f>CHOOSE(Plan!$K$5,'Calc Smart'!N313,'Calc Avalanche'!N313,'Calc Snowball'!N313,'Calc Cashflow'!N313)</f>
        <v/>
      </c>
    </row>
    <row r="308">
      <c r="B308" s="64">
        <f>EDATE(Plan!$C$6,302)</f>
        <v/>
      </c>
      <c r="C308" s="31">
        <f>CHOOSE(Plan!$K$5,'Calc Smart'!AE314,'Calc Avalanche'!AE314,'Calc Snowball'!AE314,'Calc Cashflow'!AE314)</f>
        <v/>
      </c>
      <c r="D308" s="31">
        <f>CHOOSE(Plan!$K$5,'Calc Smart'!AD314,'Calc Avalanche'!AD314,'Calc Snowball'!AD314,'Calc Cashflow'!AD314)</f>
        <v/>
      </c>
      <c r="E308" s="40">
        <f>CHOOSE(Plan!$K$5,COUNTIF('Calc Smart'!C314:N314,"&gt;0"),COUNTIF('Calc Avalanche'!C314:N314,"&gt;0"),COUNTIF('Calc Snowball'!C314:N314,"&gt;0"),COUNTIF('Calc Cashflow'!C314:N314,"&gt;0"))</f>
        <v/>
      </c>
      <c r="F308" s="65">
        <f>CHOOSE(Plan!$K$5,'Calc Smart'!C314,'Calc Avalanche'!C314,'Calc Snowball'!C314,'Calc Cashflow'!C314)</f>
        <v/>
      </c>
      <c r="G308" s="65">
        <f>CHOOSE(Plan!$K$5,'Calc Smart'!D314,'Calc Avalanche'!D314,'Calc Snowball'!D314,'Calc Cashflow'!D314)</f>
        <v/>
      </c>
      <c r="H308" s="65">
        <f>CHOOSE(Plan!$K$5,'Calc Smart'!E314,'Calc Avalanche'!E314,'Calc Snowball'!E314,'Calc Cashflow'!E314)</f>
        <v/>
      </c>
      <c r="I308" s="65">
        <f>CHOOSE(Plan!$K$5,'Calc Smart'!F314,'Calc Avalanche'!F314,'Calc Snowball'!F314,'Calc Cashflow'!F314)</f>
        <v/>
      </c>
      <c r="J308" s="65">
        <f>CHOOSE(Plan!$K$5,'Calc Smart'!G314,'Calc Avalanche'!G314,'Calc Snowball'!G314,'Calc Cashflow'!G314)</f>
        <v/>
      </c>
      <c r="K308" s="65">
        <f>CHOOSE(Plan!$K$5,'Calc Smart'!H314,'Calc Avalanche'!H314,'Calc Snowball'!H314,'Calc Cashflow'!H314)</f>
        <v/>
      </c>
      <c r="L308" s="65">
        <f>CHOOSE(Plan!$K$5,'Calc Smart'!I314,'Calc Avalanche'!I314,'Calc Snowball'!I314,'Calc Cashflow'!I314)</f>
        <v/>
      </c>
      <c r="M308" s="65">
        <f>CHOOSE(Plan!$K$5,'Calc Smart'!J314,'Calc Avalanche'!J314,'Calc Snowball'!J314,'Calc Cashflow'!J314)</f>
        <v/>
      </c>
      <c r="N308" s="65">
        <f>CHOOSE(Plan!$K$5,'Calc Smart'!K314,'Calc Avalanche'!K314,'Calc Snowball'!K314,'Calc Cashflow'!K314)</f>
        <v/>
      </c>
      <c r="O308" s="65">
        <f>CHOOSE(Plan!$K$5,'Calc Smart'!L314,'Calc Avalanche'!L314,'Calc Snowball'!L314,'Calc Cashflow'!L314)</f>
        <v/>
      </c>
      <c r="P308" s="65">
        <f>CHOOSE(Plan!$K$5,'Calc Smart'!M314,'Calc Avalanche'!M314,'Calc Snowball'!M314,'Calc Cashflow'!M314)</f>
        <v/>
      </c>
      <c r="Q308" s="65">
        <f>CHOOSE(Plan!$K$5,'Calc Smart'!N314,'Calc Avalanche'!N314,'Calc Snowball'!N314,'Calc Cashflow'!N314)</f>
        <v/>
      </c>
    </row>
    <row r="309">
      <c r="B309" s="66">
        <f>EDATE(Plan!$C$6,303)</f>
        <v/>
      </c>
      <c r="C309" s="32">
        <f>CHOOSE(Plan!$K$5,'Calc Smart'!AE315,'Calc Avalanche'!AE315,'Calc Snowball'!AE315,'Calc Cashflow'!AE315)</f>
        <v/>
      </c>
      <c r="D309" s="32">
        <f>CHOOSE(Plan!$K$5,'Calc Smart'!AD315,'Calc Avalanche'!AD315,'Calc Snowball'!AD315,'Calc Cashflow'!AD315)</f>
        <v/>
      </c>
      <c r="E309" s="43">
        <f>CHOOSE(Plan!$K$5,COUNTIF('Calc Smart'!C315:N315,"&gt;0"),COUNTIF('Calc Avalanche'!C315:N315,"&gt;0"),COUNTIF('Calc Snowball'!C315:N315,"&gt;0"),COUNTIF('Calc Cashflow'!C315:N315,"&gt;0"))</f>
        <v/>
      </c>
      <c r="F309" s="67">
        <f>CHOOSE(Plan!$K$5,'Calc Smart'!C315,'Calc Avalanche'!C315,'Calc Snowball'!C315,'Calc Cashflow'!C315)</f>
        <v/>
      </c>
      <c r="G309" s="67">
        <f>CHOOSE(Plan!$K$5,'Calc Smart'!D315,'Calc Avalanche'!D315,'Calc Snowball'!D315,'Calc Cashflow'!D315)</f>
        <v/>
      </c>
      <c r="H309" s="67">
        <f>CHOOSE(Plan!$K$5,'Calc Smart'!E315,'Calc Avalanche'!E315,'Calc Snowball'!E315,'Calc Cashflow'!E315)</f>
        <v/>
      </c>
      <c r="I309" s="67">
        <f>CHOOSE(Plan!$K$5,'Calc Smart'!F315,'Calc Avalanche'!F315,'Calc Snowball'!F315,'Calc Cashflow'!F315)</f>
        <v/>
      </c>
      <c r="J309" s="67">
        <f>CHOOSE(Plan!$K$5,'Calc Smart'!G315,'Calc Avalanche'!G315,'Calc Snowball'!G315,'Calc Cashflow'!G315)</f>
        <v/>
      </c>
      <c r="K309" s="67">
        <f>CHOOSE(Plan!$K$5,'Calc Smart'!H315,'Calc Avalanche'!H315,'Calc Snowball'!H315,'Calc Cashflow'!H315)</f>
        <v/>
      </c>
      <c r="L309" s="67">
        <f>CHOOSE(Plan!$K$5,'Calc Smart'!I315,'Calc Avalanche'!I315,'Calc Snowball'!I315,'Calc Cashflow'!I315)</f>
        <v/>
      </c>
      <c r="M309" s="67">
        <f>CHOOSE(Plan!$K$5,'Calc Smart'!J315,'Calc Avalanche'!J315,'Calc Snowball'!J315,'Calc Cashflow'!J315)</f>
        <v/>
      </c>
      <c r="N309" s="67">
        <f>CHOOSE(Plan!$K$5,'Calc Smart'!K315,'Calc Avalanche'!K315,'Calc Snowball'!K315,'Calc Cashflow'!K315)</f>
        <v/>
      </c>
      <c r="O309" s="67">
        <f>CHOOSE(Plan!$K$5,'Calc Smart'!L315,'Calc Avalanche'!L315,'Calc Snowball'!L315,'Calc Cashflow'!L315)</f>
        <v/>
      </c>
      <c r="P309" s="67">
        <f>CHOOSE(Plan!$K$5,'Calc Smart'!M315,'Calc Avalanche'!M315,'Calc Snowball'!M315,'Calc Cashflow'!M315)</f>
        <v/>
      </c>
      <c r="Q309" s="67">
        <f>CHOOSE(Plan!$K$5,'Calc Smart'!N315,'Calc Avalanche'!N315,'Calc Snowball'!N315,'Calc Cashflow'!N315)</f>
        <v/>
      </c>
    </row>
    <row r="310">
      <c r="B310" s="64">
        <f>EDATE(Plan!$C$6,304)</f>
        <v/>
      </c>
      <c r="C310" s="31">
        <f>CHOOSE(Plan!$K$5,'Calc Smart'!AE316,'Calc Avalanche'!AE316,'Calc Snowball'!AE316,'Calc Cashflow'!AE316)</f>
        <v/>
      </c>
      <c r="D310" s="31">
        <f>CHOOSE(Plan!$K$5,'Calc Smart'!AD316,'Calc Avalanche'!AD316,'Calc Snowball'!AD316,'Calc Cashflow'!AD316)</f>
        <v/>
      </c>
      <c r="E310" s="40">
        <f>CHOOSE(Plan!$K$5,COUNTIF('Calc Smart'!C316:N316,"&gt;0"),COUNTIF('Calc Avalanche'!C316:N316,"&gt;0"),COUNTIF('Calc Snowball'!C316:N316,"&gt;0"),COUNTIF('Calc Cashflow'!C316:N316,"&gt;0"))</f>
        <v/>
      </c>
      <c r="F310" s="65">
        <f>CHOOSE(Plan!$K$5,'Calc Smart'!C316,'Calc Avalanche'!C316,'Calc Snowball'!C316,'Calc Cashflow'!C316)</f>
        <v/>
      </c>
      <c r="G310" s="65">
        <f>CHOOSE(Plan!$K$5,'Calc Smart'!D316,'Calc Avalanche'!D316,'Calc Snowball'!D316,'Calc Cashflow'!D316)</f>
        <v/>
      </c>
      <c r="H310" s="65">
        <f>CHOOSE(Plan!$K$5,'Calc Smart'!E316,'Calc Avalanche'!E316,'Calc Snowball'!E316,'Calc Cashflow'!E316)</f>
        <v/>
      </c>
      <c r="I310" s="65">
        <f>CHOOSE(Plan!$K$5,'Calc Smart'!F316,'Calc Avalanche'!F316,'Calc Snowball'!F316,'Calc Cashflow'!F316)</f>
        <v/>
      </c>
      <c r="J310" s="65">
        <f>CHOOSE(Plan!$K$5,'Calc Smart'!G316,'Calc Avalanche'!G316,'Calc Snowball'!G316,'Calc Cashflow'!G316)</f>
        <v/>
      </c>
      <c r="K310" s="65">
        <f>CHOOSE(Plan!$K$5,'Calc Smart'!H316,'Calc Avalanche'!H316,'Calc Snowball'!H316,'Calc Cashflow'!H316)</f>
        <v/>
      </c>
      <c r="L310" s="65">
        <f>CHOOSE(Plan!$K$5,'Calc Smart'!I316,'Calc Avalanche'!I316,'Calc Snowball'!I316,'Calc Cashflow'!I316)</f>
        <v/>
      </c>
      <c r="M310" s="65">
        <f>CHOOSE(Plan!$K$5,'Calc Smart'!J316,'Calc Avalanche'!J316,'Calc Snowball'!J316,'Calc Cashflow'!J316)</f>
        <v/>
      </c>
      <c r="N310" s="65">
        <f>CHOOSE(Plan!$K$5,'Calc Smart'!K316,'Calc Avalanche'!K316,'Calc Snowball'!K316,'Calc Cashflow'!K316)</f>
        <v/>
      </c>
      <c r="O310" s="65">
        <f>CHOOSE(Plan!$K$5,'Calc Smart'!L316,'Calc Avalanche'!L316,'Calc Snowball'!L316,'Calc Cashflow'!L316)</f>
        <v/>
      </c>
      <c r="P310" s="65">
        <f>CHOOSE(Plan!$K$5,'Calc Smart'!M316,'Calc Avalanche'!M316,'Calc Snowball'!M316,'Calc Cashflow'!M316)</f>
        <v/>
      </c>
      <c r="Q310" s="65">
        <f>CHOOSE(Plan!$K$5,'Calc Smart'!N316,'Calc Avalanche'!N316,'Calc Snowball'!N316,'Calc Cashflow'!N316)</f>
        <v/>
      </c>
    </row>
    <row r="311">
      <c r="B311" s="66">
        <f>EDATE(Plan!$C$6,305)</f>
        <v/>
      </c>
      <c r="C311" s="32">
        <f>CHOOSE(Plan!$K$5,'Calc Smart'!AE317,'Calc Avalanche'!AE317,'Calc Snowball'!AE317,'Calc Cashflow'!AE317)</f>
        <v/>
      </c>
      <c r="D311" s="32">
        <f>CHOOSE(Plan!$K$5,'Calc Smart'!AD317,'Calc Avalanche'!AD317,'Calc Snowball'!AD317,'Calc Cashflow'!AD317)</f>
        <v/>
      </c>
      <c r="E311" s="43">
        <f>CHOOSE(Plan!$K$5,COUNTIF('Calc Smart'!C317:N317,"&gt;0"),COUNTIF('Calc Avalanche'!C317:N317,"&gt;0"),COUNTIF('Calc Snowball'!C317:N317,"&gt;0"),COUNTIF('Calc Cashflow'!C317:N317,"&gt;0"))</f>
        <v/>
      </c>
      <c r="F311" s="67">
        <f>CHOOSE(Plan!$K$5,'Calc Smart'!C317,'Calc Avalanche'!C317,'Calc Snowball'!C317,'Calc Cashflow'!C317)</f>
        <v/>
      </c>
      <c r="G311" s="67">
        <f>CHOOSE(Plan!$K$5,'Calc Smart'!D317,'Calc Avalanche'!D317,'Calc Snowball'!D317,'Calc Cashflow'!D317)</f>
        <v/>
      </c>
      <c r="H311" s="67">
        <f>CHOOSE(Plan!$K$5,'Calc Smart'!E317,'Calc Avalanche'!E317,'Calc Snowball'!E317,'Calc Cashflow'!E317)</f>
        <v/>
      </c>
      <c r="I311" s="67">
        <f>CHOOSE(Plan!$K$5,'Calc Smart'!F317,'Calc Avalanche'!F317,'Calc Snowball'!F317,'Calc Cashflow'!F317)</f>
        <v/>
      </c>
      <c r="J311" s="67">
        <f>CHOOSE(Plan!$K$5,'Calc Smart'!G317,'Calc Avalanche'!G317,'Calc Snowball'!G317,'Calc Cashflow'!G317)</f>
        <v/>
      </c>
      <c r="K311" s="67">
        <f>CHOOSE(Plan!$K$5,'Calc Smart'!H317,'Calc Avalanche'!H317,'Calc Snowball'!H317,'Calc Cashflow'!H317)</f>
        <v/>
      </c>
      <c r="L311" s="67">
        <f>CHOOSE(Plan!$K$5,'Calc Smart'!I317,'Calc Avalanche'!I317,'Calc Snowball'!I317,'Calc Cashflow'!I317)</f>
        <v/>
      </c>
      <c r="M311" s="67">
        <f>CHOOSE(Plan!$K$5,'Calc Smart'!J317,'Calc Avalanche'!J317,'Calc Snowball'!J317,'Calc Cashflow'!J317)</f>
        <v/>
      </c>
      <c r="N311" s="67">
        <f>CHOOSE(Plan!$K$5,'Calc Smart'!K317,'Calc Avalanche'!K317,'Calc Snowball'!K317,'Calc Cashflow'!K317)</f>
        <v/>
      </c>
      <c r="O311" s="67">
        <f>CHOOSE(Plan!$K$5,'Calc Smart'!L317,'Calc Avalanche'!L317,'Calc Snowball'!L317,'Calc Cashflow'!L317)</f>
        <v/>
      </c>
      <c r="P311" s="67">
        <f>CHOOSE(Plan!$K$5,'Calc Smart'!M317,'Calc Avalanche'!M317,'Calc Snowball'!M317,'Calc Cashflow'!M317)</f>
        <v/>
      </c>
      <c r="Q311" s="67">
        <f>CHOOSE(Plan!$K$5,'Calc Smart'!N317,'Calc Avalanche'!N317,'Calc Snowball'!N317,'Calc Cashflow'!N317)</f>
        <v/>
      </c>
    </row>
    <row r="312">
      <c r="B312" s="64">
        <f>EDATE(Plan!$C$6,306)</f>
        <v/>
      </c>
      <c r="C312" s="31">
        <f>CHOOSE(Plan!$K$5,'Calc Smart'!AE318,'Calc Avalanche'!AE318,'Calc Snowball'!AE318,'Calc Cashflow'!AE318)</f>
        <v/>
      </c>
      <c r="D312" s="31">
        <f>CHOOSE(Plan!$K$5,'Calc Smart'!AD318,'Calc Avalanche'!AD318,'Calc Snowball'!AD318,'Calc Cashflow'!AD318)</f>
        <v/>
      </c>
      <c r="E312" s="40">
        <f>CHOOSE(Plan!$K$5,COUNTIF('Calc Smart'!C318:N318,"&gt;0"),COUNTIF('Calc Avalanche'!C318:N318,"&gt;0"),COUNTIF('Calc Snowball'!C318:N318,"&gt;0"),COUNTIF('Calc Cashflow'!C318:N318,"&gt;0"))</f>
        <v/>
      </c>
      <c r="F312" s="65">
        <f>CHOOSE(Plan!$K$5,'Calc Smart'!C318,'Calc Avalanche'!C318,'Calc Snowball'!C318,'Calc Cashflow'!C318)</f>
        <v/>
      </c>
      <c r="G312" s="65">
        <f>CHOOSE(Plan!$K$5,'Calc Smart'!D318,'Calc Avalanche'!D318,'Calc Snowball'!D318,'Calc Cashflow'!D318)</f>
        <v/>
      </c>
      <c r="H312" s="65">
        <f>CHOOSE(Plan!$K$5,'Calc Smart'!E318,'Calc Avalanche'!E318,'Calc Snowball'!E318,'Calc Cashflow'!E318)</f>
        <v/>
      </c>
      <c r="I312" s="65">
        <f>CHOOSE(Plan!$K$5,'Calc Smart'!F318,'Calc Avalanche'!F318,'Calc Snowball'!F318,'Calc Cashflow'!F318)</f>
        <v/>
      </c>
      <c r="J312" s="65">
        <f>CHOOSE(Plan!$K$5,'Calc Smart'!G318,'Calc Avalanche'!G318,'Calc Snowball'!G318,'Calc Cashflow'!G318)</f>
        <v/>
      </c>
      <c r="K312" s="65">
        <f>CHOOSE(Plan!$K$5,'Calc Smart'!H318,'Calc Avalanche'!H318,'Calc Snowball'!H318,'Calc Cashflow'!H318)</f>
        <v/>
      </c>
      <c r="L312" s="65">
        <f>CHOOSE(Plan!$K$5,'Calc Smart'!I318,'Calc Avalanche'!I318,'Calc Snowball'!I318,'Calc Cashflow'!I318)</f>
        <v/>
      </c>
      <c r="M312" s="65">
        <f>CHOOSE(Plan!$K$5,'Calc Smart'!J318,'Calc Avalanche'!J318,'Calc Snowball'!J318,'Calc Cashflow'!J318)</f>
        <v/>
      </c>
      <c r="N312" s="65">
        <f>CHOOSE(Plan!$K$5,'Calc Smart'!K318,'Calc Avalanche'!K318,'Calc Snowball'!K318,'Calc Cashflow'!K318)</f>
        <v/>
      </c>
      <c r="O312" s="65">
        <f>CHOOSE(Plan!$K$5,'Calc Smart'!L318,'Calc Avalanche'!L318,'Calc Snowball'!L318,'Calc Cashflow'!L318)</f>
        <v/>
      </c>
      <c r="P312" s="65">
        <f>CHOOSE(Plan!$K$5,'Calc Smart'!M318,'Calc Avalanche'!M318,'Calc Snowball'!M318,'Calc Cashflow'!M318)</f>
        <v/>
      </c>
      <c r="Q312" s="65">
        <f>CHOOSE(Plan!$K$5,'Calc Smart'!N318,'Calc Avalanche'!N318,'Calc Snowball'!N318,'Calc Cashflow'!N318)</f>
        <v/>
      </c>
    </row>
    <row r="313">
      <c r="B313" s="66">
        <f>EDATE(Plan!$C$6,307)</f>
        <v/>
      </c>
      <c r="C313" s="32">
        <f>CHOOSE(Plan!$K$5,'Calc Smart'!AE319,'Calc Avalanche'!AE319,'Calc Snowball'!AE319,'Calc Cashflow'!AE319)</f>
        <v/>
      </c>
      <c r="D313" s="32">
        <f>CHOOSE(Plan!$K$5,'Calc Smart'!AD319,'Calc Avalanche'!AD319,'Calc Snowball'!AD319,'Calc Cashflow'!AD319)</f>
        <v/>
      </c>
      <c r="E313" s="43">
        <f>CHOOSE(Plan!$K$5,COUNTIF('Calc Smart'!C319:N319,"&gt;0"),COUNTIF('Calc Avalanche'!C319:N319,"&gt;0"),COUNTIF('Calc Snowball'!C319:N319,"&gt;0"),COUNTIF('Calc Cashflow'!C319:N319,"&gt;0"))</f>
        <v/>
      </c>
      <c r="F313" s="67">
        <f>CHOOSE(Plan!$K$5,'Calc Smart'!C319,'Calc Avalanche'!C319,'Calc Snowball'!C319,'Calc Cashflow'!C319)</f>
        <v/>
      </c>
      <c r="G313" s="67">
        <f>CHOOSE(Plan!$K$5,'Calc Smart'!D319,'Calc Avalanche'!D319,'Calc Snowball'!D319,'Calc Cashflow'!D319)</f>
        <v/>
      </c>
      <c r="H313" s="67">
        <f>CHOOSE(Plan!$K$5,'Calc Smart'!E319,'Calc Avalanche'!E319,'Calc Snowball'!E319,'Calc Cashflow'!E319)</f>
        <v/>
      </c>
      <c r="I313" s="67">
        <f>CHOOSE(Plan!$K$5,'Calc Smart'!F319,'Calc Avalanche'!F319,'Calc Snowball'!F319,'Calc Cashflow'!F319)</f>
        <v/>
      </c>
      <c r="J313" s="67">
        <f>CHOOSE(Plan!$K$5,'Calc Smart'!G319,'Calc Avalanche'!G319,'Calc Snowball'!G319,'Calc Cashflow'!G319)</f>
        <v/>
      </c>
      <c r="K313" s="67">
        <f>CHOOSE(Plan!$K$5,'Calc Smart'!H319,'Calc Avalanche'!H319,'Calc Snowball'!H319,'Calc Cashflow'!H319)</f>
        <v/>
      </c>
      <c r="L313" s="67">
        <f>CHOOSE(Plan!$K$5,'Calc Smart'!I319,'Calc Avalanche'!I319,'Calc Snowball'!I319,'Calc Cashflow'!I319)</f>
        <v/>
      </c>
      <c r="M313" s="67">
        <f>CHOOSE(Plan!$K$5,'Calc Smart'!J319,'Calc Avalanche'!J319,'Calc Snowball'!J319,'Calc Cashflow'!J319)</f>
        <v/>
      </c>
      <c r="N313" s="67">
        <f>CHOOSE(Plan!$K$5,'Calc Smart'!K319,'Calc Avalanche'!K319,'Calc Snowball'!K319,'Calc Cashflow'!K319)</f>
        <v/>
      </c>
      <c r="O313" s="67">
        <f>CHOOSE(Plan!$K$5,'Calc Smart'!L319,'Calc Avalanche'!L319,'Calc Snowball'!L319,'Calc Cashflow'!L319)</f>
        <v/>
      </c>
      <c r="P313" s="67">
        <f>CHOOSE(Plan!$K$5,'Calc Smart'!M319,'Calc Avalanche'!M319,'Calc Snowball'!M319,'Calc Cashflow'!M319)</f>
        <v/>
      </c>
      <c r="Q313" s="67">
        <f>CHOOSE(Plan!$K$5,'Calc Smart'!N319,'Calc Avalanche'!N319,'Calc Snowball'!N319,'Calc Cashflow'!N319)</f>
        <v/>
      </c>
    </row>
    <row r="314">
      <c r="B314" s="64">
        <f>EDATE(Plan!$C$6,308)</f>
        <v/>
      </c>
      <c r="C314" s="31">
        <f>CHOOSE(Plan!$K$5,'Calc Smart'!AE320,'Calc Avalanche'!AE320,'Calc Snowball'!AE320,'Calc Cashflow'!AE320)</f>
        <v/>
      </c>
      <c r="D314" s="31">
        <f>CHOOSE(Plan!$K$5,'Calc Smart'!AD320,'Calc Avalanche'!AD320,'Calc Snowball'!AD320,'Calc Cashflow'!AD320)</f>
        <v/>
      </c>
      <c r="E314" s="40">
        <f>CHOOSE(Plan!$K$5,COUNTIF('Calc Smart'!C320:N320,"&gt;0"),COUNTIF('Calc Avalanche'!C320:N320,"&gt;0"),COUNTIF('Calc Snowball'!C320:N320,"&gt;0"),COUNTIF('Calc Cashflow'!C320:N320,"&gt;0"))</f>
        <v/>
      </c>
      <c r="F314" s="65">
        <f>CHOOSE(Plan!$K$5,'Calc Smart'!C320,'Calc Avalanche'!C320,'Calc Snowball'!C320,'Calc Cashflow'!C320)</f>
        <v/>
      </c>
      <c r="G314" s="65">
        <f>CHOOSE(Plan!$K$5,'Calc Smart'!D320,'Calc Avalanche'!D320,'Calc Snowball'!D320,'Calc Cashflow'!D320)</f>
        <v/>
      </c>
      <c r="H314" s="65">
        <f>CHOOSE(Plan!$K$5,'Calc Smart'!E320,'Calc Avalanche'!E320,'Calc Snowball'!E320,'Calc Cashflow'!E320)</f>
        <v/>
      </c>
      <c r="I314" s="65">
        <f>CHOOSE(Plan!$K$5,'Calc Smart'!F320,'Calc Avalanche'!F320,'Calc Snowball'!F320,'Calc Cashflow'!F320)</f>
        <v/>
      </c>
      <c r="J314" s="65">
        <f>CHOOSE(Plan!$K$5,'Calc Smart'!G320,'Calc Avalanche'!G320,'Calc Snowball'!G320,'Calc Cashflow'!G320)</f>
        <v/>
      </c>
      <c r="K314" s="65">
        <f>CHOOSE(Plan!$K$5,'Calc Smart'!H320,'Calc Avalanche'!H320,'Calc Snowball'!H320,'Calc Cashflow'!H320)</f>
        <v/>
      </c>
      <c r="L314" s="65">
        <f>CHOOSE(Plan!$K$5,'Calc Smart'!I320,'Calc Avalanche'!I320,'Calc Snowball'!I320,'Calc Cashflow'!I320)</f>
        <v/>
      </c>
      <c r="M314" s="65">
        <f>CHOOSE(Plan!$K$5,'Calc Smart'!J320,'Calc Avalanche'!J320,'Calc Snowball'!J320,'Calc Cashflow'!J320)</f>
        <v/>
      </c>
      <c r="N314" s="65">
        <f>CHOOSE(Plan!$K$5,'Calc Smart'!K320,'Calc Avalanche'!K320,'Calc Snowball'!K320,'Calc Cashflow'!K320)</f>
        <v/>
      </c>
      <c r="O314" s="65">
        <f>CHOOSE(Plan!$K$5,'Calc Smart'!L320,'Calc Avalanche'!L320,'Calc Snowball'!L320,'Calc Cashflow'!L320)</f>
        <v/>
      </c>
      <c r="P314" s="65">
        <f>CHOOSE(Plan!$K$5,'Calc Smart'!M320,'Calc Avalanche'!M320,'Calc Snowball'!M320,'Calc Cashflow'!M320)</f>
        <v/>
      </c>
      <c r="Q314" s="65">
        <f>CHOOSE(Plan!$K$5,'Calc Smart'!N320,'Calc Avalanche'!N320,'Calc Snowball'!N320,'Calc Cashflow'!N320)</f>
        <v/>
      </c>
    </row>
    <row r="315">
      <c r="B315" s="66">
        <f>EDATE(Plan!$C$6,309)</f>
        <v/>
      </c>
      <c r="C315" s="32">
        <f>CHOOSE(Plan!$K$5,'Calc Smart'!AE321,'Calc Avalanche'!AE321,'Calc Snowball'!AE321,'Calc Cashflow'!AE321)</f>
        <v/>
      </c>
      <c r="D315" s="32">
        <f>CHOOSE(Plan!$K$5,'Calc Smart'!AD321,'Calc Avalanche'!AD321,'Calc Snowball'!AD321,'Calc Cashflow'!AD321)</f>
        <v/>
      </c>
      <c r="E315" s="43">
        <f>CHOOSE(Plan!$K$5,COUNTIF('Calc Smart'!C321:N321,"&gt;0"),COUNTIF('Calc Avalanche'!C321:N321,"&gt;0"),COUNTIF('Calc Snowball'!C321:N321,"&gt;0"),COUNTIF('Calc Cashflow'!C321:N321,"&gt;0"))</f>
        <v/>
      </c>
      <c r="F315" s="67">
        <f>CHOOSE(Plan!$K$5,'Calc Smart'!C321,'Calc Avalanche'!C321,'Calc Snowball'!C321,'Calc Cashflow'!C321)</f>
        <v/>
      </c>
      <c r="G315" s="67">
        <f>CHOOSE(Plan!$K$5,'Calc Smart'!D321,'Calc Avalanche'!D321,'Calc Snowball'!D321,'Calc Cashflow'!D321)</f>
        <v/>
      </c>
      <c r="H315" s="67">
        <f>CHOOSE(Plan!$K$5,'Calc Smart'!E321,'Calc Avalanche'!E321,'Calc Snowball'!E321,'Calc Cashflow'!E321)</f>
        <v/>
      </c>
      <c r="I315" s="67">
        <f>CHOOSE(Plan!$K$5,'Calc Smart'!F321,'Calc Avalanche'!F321,'Calc Snowball'!F321,'Calc Cashflow'!F321)</f>
        <v/>
      </c>
      <c r="J315" s="67">
        <f>CHOOSE(Plan!$K$5,'Calc Smart'!G321,'Calc Avalanche'!G321,'Calc Snowball'!G321,'Calc Cashflow'!G321)</f>
        <v/>
      </c>
      <c r="K315" s="67">
        <f>CHOOSE(Plan!$K$5,'Calc Smart'!H321,'Calc Avalanche'!H321,'Calc Snowball'!H321,'Calc Cashflow'!H321)</f>
        <v/>
      </c>
      <c r="L315" s="67">
        <f>CHOOSE(Plan!$K$5,'Calc Smart'!I321,'Calc Avalanche'!I321,'Calc Snowball'!I321,'Calc Cashflow'!I321)</f>
        <v/>
      </c>
      <c r="M315" s="67">
        <f>CHOOSE(Plan!$K$5,'Calc Smart'!J321,'Calc Avalanche'!J321,'Calc Snowball'!J321,'Calc Cashflow'!J321)</f>
        <v/>
      </c>
      <c r="N315" s="67">
        <f>CHOOSE(Plan!$K$5,'Calc Smart'!K321,'Calc Avalanche'!K321,'Calc Snowball'!K321,'Calc Cashflow'!K321)</f>
        <v/>
      </c>
      <c r="O315" s="67">
        <f>CHOOSE(Plan!$K$5,'Calc Smart'!L321,'Calc Avalanche'!L321,'Calc Snowball'!L321,'Calc Cashflow'!L321)</f>
        <v/>
      </c>
      <c r="P315" s="67">
        <f>CHOOSE(Plan!$K$5,'Calc Smart'!M321,'Calc Avalanche'!M321,'Calc Snowball'!M321,'Calc Cashflow'!M321)</f>
        <v/>
      </c>
      <c r="Q315" s="67">
        <f>CHOOSE(Plan!$K$5,'Calc Smart'!N321,'Calc Avalanche'!N321,'Calc Snowball'!N321,'Calc Cashflow'!N321)</f>
        <v/>
      </c>
    </row>
    <row r="316">
      <c r="B316" s="64">
        <f>EDATE(Plan!$C$6,310)</f>
        <v/>
      </c>
      <c r="C316" s="31">
        <f>CHOOSE(Plan!$K$5,'Calc Smart'!AE322,'Calc Avalanche'!AE322,'Calc Snowball'!AE322,'Calc Cashflow'!AE322)</f>
        <v/>
      </c>
      <c r="D316" s="31">
        <f>CHOOSE(Plan!$K$5,'Calc Smart'!AD322,'Calc Avalanche'!AD322,'Calc Snowball'!AD322,'Calc Cashflow'!AD322)</f>
        <v/>
      </c>
      <c r="E316" s="40">
        <f>CHOOSE(Plan!$K$5,COUNTIF('Calc Smart'!C322:N322,"&gt;0"),COUNTIF('Calc Avalanche'!C322:N322,"&gt;0"),COUNTIF('Calc Snowball'!C322:N322,"&gt;0"),COUNTIF('Calc Cashflow'!C322:N322,"&gt;0"))</f>
        <v/>
      </c>
      <c r="F316" s="65">
        <f>CHOOSE(Plan!$K$5,'Calc Smart'!C322,'Calc Avalanche'!C322,'Calc Snowball'!C322,'Calc Cashflow'!C322)</f>
        <v/>
      </c>
      <c r="G316" s="65">
        <f>CHOOSE(Plan!$K$5,'Calc Smart'!D322,'Calc Avalanche'!D322,'Calc Snowball'!D322,'Calc Cashflow'!D322)</f>
        <v/>
      </c>
      <c r="H316" s="65">
        <f>CHOOSE(Plan!$K$5,'Calc Smart'!E322,'Calc Avalanche'!E322,'Calc Snowball'!E322,'Calc Cashflow'!E322)</f>
        <v/>
      </c>
      <c r="I316" s="65">
        <f>CHOOSE(Plan!$K$5,'Calc Smart'!F322,'Calc Avalanche'!F322,'Calc Snowball'!F322,'Calc Cashflow'!F322)</f>
        <v/>
      </c>
      <c r="J316" s="65">
        <f>CHOOSE(Plan!$K$5,'Calc Smart'!G322,'Calc Avalanche'!G322,'Calc Snowball'!G322,'Calc Cashflow'!G322)</f>
        <v/>
      </c>
      <c r="K316" s="65">
        <f>CHOOSE(Plan!$K$5,'Calc Smart'!H322,'Calc Avalanche'!H322,'Calc Snowball'!H322,'Calc Cashflow'!H322)</f>
        <v/>
      </c>
      <c r="L316" s="65">
        <f>CHOOSE(Plan!$K$5,'Calc Smart'!I322,'Calc Avalanche'!I322,'Calc Snowball'!I322,'Calc Cashflow'!I322)</f>
        <v/>
      </c>
      <c r="M316" s="65">
        <f>CHOOSE(Plan!$K$5,'Calc Smart'!J322,'Calc Avalanche'!J322,'Calc Snowball'!J322,'Calc Cashflow'!J322)</f>
        <v/>
      </c>
      <c r="N316" s="65">
        <f>CHOOSE(Plan!$K$5,'Calc Smart'!K322,'Calc Avalanche'!K322,'Calc Snowball'!K322,'Calc Cashflow'!K322)</f>
        <v/>
      </c>
      <c r="O316" s="65">
        <f>CHOOSE(Plan!$K$5,'Calc Smart'!L322,'Calc Avalanche'!L322,'Calc Snowball'!L322,'Calc Cashflow'!L322)</f>
        <v/>
      </c>
      <c r="P316" s="65">
        <f>CHOOSE(Plan!$K$5,'Calc Smart'!M322,'Calc Avalanche'!M322,'Calc Snowball'!M322,'Calc Cashflow'!M322)</f>
        <v/>
      </c>
      <c r="Q316" s="65">
        <f>CHOOSE(Plan!$K$5,'Calc Smart'!N322,'Calc Avalanche'!N322,'Calc Snowball'!N322,'Calc Cashflow'!N322)</f>
        <v/>
      </c>
    </row>
    <row r="317">
      <c r="B317" s="66">
        <f>EDATE(Plan!$C$6,311)</f>
        <v/>
      </c>
      <c r="C317" s="32">
        <f>CHOOSE(Plan!$K$5,'Calc Smart'!AE323,'Calc Avalanche'!AE323,'Calc Snowball'!AE323,'Calc Cashflow'!AE323)</f>
        <v/>
      </c>
      <c r="D317" s="32">
        <f>CHOOSE(Plan!$K$5,'Calc Smart'!AD323,'Calc Avalanche'!AD323,'Calc Snowball'!AD323,'Calc Cashflow'!AD323)</f>
        <v/>
      </c>
      <c r="E317" s="43">
        <f>CHOOSE(Plan!$K$5,COUNTIF('Calc Smart'!C323:N323,"&gt;0"),COUNTIF('Calc Avalanche'!C323:N323,"&gt;0"),COUNTIF('Calc Snowball'!C323:N323,"&gt;0"),COUNTIF('Calc Cashflow'!C323:N323,"&gt;0"))</f>
        <v/>
      </c>
      <c r="F317" s="67">
        <f>CHOOSE(Plan!$K$5,'Calc Smart'!C323,'Calc Avalanche'!C323,'Calc Snowball'!C323,'Calc Cashflow'!C323)</f>
        <v/>
      </c>
      <c r="G317" s="67">
        <f>CHOOSE(Plan!$K$5,'Calc Smart'!D323,'Calc Avalanche'!D323,'Calc Snowball'!D323,'Calc Cashflow'!D323)</f>
        <v/>
      </c>
      <c r="H317" s="67">
        <f>CHOOSE(Plan!$K$5,'Calc Smart'!E323,'Calc Avalanche'!E323,'Calc Snowball'!E323,'Calc Cashflow'!E323)</f>
        <v/>
      </c>
      <c r="I317" s="67">
        <f>CHOOSE(Plan!$K$5,'Calc Smart'!F323,'Calc Avalanche'!F323,'Calc Snowball'!F323,'Calc Cashflow'!F323)</f>
        <v/>
      </c>
      <c r="J317" s="67">
        <f>CHOOSE(Plan!$K$5,'Calc Smart'!G323,'Calc Avalanche'!G323,'Calc Snowball'!G323,'Calc Cashflow'!G323)</f>
        <v/>
      </c>
      <c r="K317" s="67">
        <f>CHOOSE(Plan!$K$5,'Calc Smart'!H323,'Calc Avalanche'!H323,'Calc Snowball'!H323,'Calc Cashflow'!H323)</f>
        <v/>
      </c>
      <c r="L317" s="67">
        <f>CHOOSE(Plan!$K$5,'Calc Smart'!I323,'Calc Avalanche'!I323,'Calc Snowball'!I323,'Calc Cashflow'!I323)</f>
        <v/>
      </c>
      <c r="M317" s="67">
        <f>CHOOSE(Plan!$K$5,'Calc Smart'!J323,'Calc Avalanche'!J323,'Calc Snowball'!J323,'Calc Cashflow'!J323)</f>
        <v/>
      </c>
      <c r="N317" s="67">
        <f>CHOOSE(Plan!$K$5,'Calc Smart'!K323,'Calc Avalanche'!K323,'Calc Snowball'!K323,'Calc Cashflow'!K323)</f>
        <v/>
      </c>
      <c r="O317" s="67">
        <f>CHOOSE(Plan!$K$5,'Calc Smart'!L323,'Calc Avalanche'!L323,'Calc Snowball'!L323,'Calc Cashflow'!L323)</f>
        <v/>
      </c>
      <c r="P317" s="67">
        <f>CHOOSE(Plan!$K$5,'Calc Smart'!M323,'Calc Avalanche'!M323,'Calc Snowball'!M323,'Calc Cashflow'!M323)</f>
        <v/>
      </c>
      <c r="Q317" s="67">
        <f>CHOOSE(Plan!$K$5,'Calc Smart'!N323,'Calc Avalanche'!N323,'Calc Snowball'!N323,'Calc Cashflow'!N323)</f>
        <v/>
      </c>
    </row>
    <row r="318">
      <c r="B318" s="64">
        <f>EDATE(Plan!$C$6,312)</f>
        <v/>
      </c>
      <c r="C318" s="31">
        <f>CHOOSE(Plan!$K$5,'Calc Smart'!AE324,'Calc Avalanche'!AE324,'Calc Snowball'!AE324,'Calc Cashflow'!AE324)</f>
        <v/>
      </c>
      <c r="D318" s="31">
        <f>CHOOSE(Plan!$K$5,'Calc Smart'!AD324,'Calc Avalanche'!AD324,'Calc Snowball'!AD324,'Calc Cashflow'!AD324)</f>
        <v/>
      </c>
      <c r="E318" s="40">
        <f>CHOOSE(Plan!$K$5,COUNTIF('Calc Smart'!C324:N324,"&gt;0"),COUNTIF('Calc Avalanche'!C324:N324,"&gt;0"),COUNTIF('Calc Snowball'!C324:N324,"&gt;0"),COUNTIF('Calc Cashflow'!C324:N324,"&gt;0"))</f>
        <v/>
      </c>
      <c r="F318" s="65">
        <f>CHOOSE(Plan!$K$5,'Calc Smart'!C324,'Calc Avalanche'!C324,'Calc Snowball'!C324,'Calc Cashflow'!C324)</f>
        <v/>
      </c>
      <c r="G318" s="65">
        <f>CHOOSE(Plan!$K$5,'Calc Smart'!D324,'Calc Avalanche'!D324,'Calc Snowball'!D324,'Calc Cashflow'!D324)</f>
        <v/>
      </c>
      <c r="H318" s="65">
        <f>CHOOSE(Plan!$K$5,'Calc Smart'!E324,'Calc Avalanche'!E324,'Calc Snowball'!E324,'Calc Cashflow'!E324)</f>
        <v/>
      </c>
      <c r="I318" s="65">
        <f>CHOOSE(Plan!$K$5,'Calc Smart'!F324,'Calc Avalanche'!F324,'Calc Snowball'!F324,'Calc Cashflow'!F324)</f>
        <v/>
      </c>
      <c r="J318" s="65">
        <f>CHOOSE(Plan!$K$5,'Calc Smart'!G324,'Calc Avalanche'!G324,'Calc Snowball'!G324,'Calc Cashflow'!G324)</f>
        <v/>
      </c>
      <c r="K318" s="65">
        <f>CHOOSE(Plan!$K$5,'Calc Smart'!H324,'Calc Avalanche'!H324,'Calc Snowball'!H324,'Calc Cashflow'!H324)</f>
        <v/>
      </c>
      <c r="L318" s="65">
        <f>CHOOSE(Plan!$K$5,'Calc Smart'!I324,'Calc Avalanche'!I324,'Calc Snowball'!I324,'Calc Cashflow'!I324)</f>
        <v/>
      </c>
      <c r="M318" s="65">
        <f>CHOOSE(Plan!$K$5,'Calc Smart'!J324,'Calc Avalanche'!J324,'Calc Snowball'!J324,'Calc Cashflow'!J324)</f>
        <v/>
      </c>
      <c r="N318" s="65">
        <f>CHOOSE(Plan!$K$5,'Calc Smart'!K324,'Calc Avalanche'!K324,'Calc Snowball'!K324,'Calc Cashflow'!K324)</f>
        <v/>
      </c>
      <c r="O318" s="65">
        <f>CHOOSE(Plan!$K$5,'Calc Smart'!L324,'Calc Avalanche'!L324,'Calc Snowball'!L324,'Calc Cashflow'!L324)</f>
        <v/>
      </c>
      <c r="P318" s="65">
        <f>CHOOSE(Plan!$K$5,'Calc Smart'!M324,'Calc Avalanche'!M324,'Calc Snowball'!M324,'Calc Cashflow'!M324)</f>
        <v/>
      </c>
      <c r="Q318" s="65">
        <f>CHOOSE(Plan!$K$5,'Calc Smart'!N324,'Calc Avalanche'!N324,'Calc Snowball'!N324,'Calc Cashflow'!N324)</f>
        <v/>
      </c>
    </row>
    <row r="319">
      <c r="B319" s="66">
        <f>EDATE(Plan!$C$6,313)</f>
        <v/>
      </c>
      <c r="C319" s="32">
        <f>CHOOSE(Plan!$K$5,'Calc Smart'!AE325,'Calc Avalanche'!AE325,'Calc Snowball'!AE325,'Calc Cashflow'!AE325)</f>
        <v/>
      </c>
      <c r="D319" s="32">
        <f>CHOOSE(Plan!$K$5,'Calc Smart'!AD325,'Calc Avalanche'!AD325,'Calc Snowball'!AD325,'Calc Cashflow'!AD325)</f>
        <v/>
      </c>
      <c r="E319" s="43">
        <f>CHOOSE(Plan!$K$5,COUNTIF('Calc Smart'!C325:N325,"&gt;0"),COUNTIF('Calc Avalanche'!C325:N325,"&gt;0"),COUNTIF('Calc Snowball'!C325:N325,"&gt;0"),COUNTIF('Calc Cashflow'!C325:N325,"&gt;0"))</f>
        <v/>
      </c>
      <c r="F319" s="67">
        <f>CHOOSE(Plan!$K$5,'Calc Smart'!C325,'Calc Avalanche'!C325,'Calc Snowball'!C325,'Calc Cashflow'!C325)</f>
        <v/>
      </c>
      <c r="G319" s="67">
        <f>CHOOSE(Plan!$K$5,'Calc Smart'!D325,'Calc Avalanche'!D325,'Calc Snowball'!D325,'Calc Cashflow'!D325)</f>
        <v/>
      </c>
      <c r="H319" s="67">
        <f>CHOOSE(Plan!$K$5,'Calc Smart'!E325,'Calc Avalanche'!E325,'Calc Snowball'!E325,'Calc Cashflow'!E325)</f>
        <v/>
      </c>
      <c r="I319" s="67">
        <f>CHOOSE(Plan!$K$5,'Calc Smart'!F325,'Calc Avalanche'!F325,'Calc Snowball'!F325,'Calc Cashflow'!F325)</f>
        <v/>
      </c>
      <c r="J319" s="67">
        <f>CHOOSE(Plan!$K$5,'Calc Smart'!G325,'Calc Avalanche'!G325,'Calc Snowball'!G325,'Calc Cashflow'!G325)</f>
        <v/>
      </c>
      <c r="K319" s="67">
        <f>CHOOSE(Plan!$K$5,'Calc Smart'!H325,'Calc Avalanche'!H325,'Calc Snowball'!H325,'Calc Cashflow'!H325)</f>
        <v/>
      </c>
      <c r="L319" s="67">
        <f>CHOOSE(Plan!$K$5,'Calc Smart'!I325,'Calc Avalanche'!I325,'Calc Snowball'!I325,'Calc Cashflow'!I325)</f>
        <v/>
      </c>
      <c r="M319" s="67">
        <f>CHOOSE(Plan!$K$5,'Calc Smart'!J325,'Calc Avalanche'!J325,'Calc Snowball'!J325,'Calc Cashflow'!J325)</f>
        <v/>
      </c>
      <c r="N319" s="67">
        <f>CHOOSE(Plan!$K$5,'Calc Smart'!K325,'Calc Avalanche'!K325,'Calc Snowball'!K325,'Calc Cashflow'!K325)</f>
        <v/>
      </c>
      <c r="O319" s="67">
        <f>CHOOSE(Plan!$K$5,'Calc Smart'!L325,'Calc Avalanche'!L325,'Calc Snowball'!L325,'Calc Cashflow'!L325)</f>
        <v/>
      </c>
      <c r="P319" s="67">
        <f>CHOOSE(Plan!$K$5,'Calc Smart'!M325,'Calc Avalanche'!M325,'Calc Snowball'!M325,'Calc Cashflow'!M325)</f>
        <v/>
      </c>
      <c r="Q319" s="67">
        <f>CHOOSE(Plan!$K$5,'Calc Smart'!N325,'Calc Avalanche'!N325,'Calc Snowball'!N325,'Calc Cashflow'!N325)</f>
        <v/>
      </c>
    </row>
    <row r="320">
      <c r="B320" s="64">
        <f>EDATE(Plan!$C$6,314)</f>
        <v/>
      </c>
      <c r="C320" s="31">
        <f>CHOOSE(Plan!$K$5,'Calc Smart'!AE326,'Calc Avalanche'!AE326,'Calc Snowball'!AE326,'Calc Cashflow'!AE326)</f>
        <v/>
      </c>
      <c r="D320" s="31">
        <f>CHOOSE(Plan!$K$5,'Calc Smart'!AD326,'Calc Avalanche'!AD326,'Calc Snowball'!AD326,'Calc Cashflow'!AD326)</f>
        <v/>
      </c>
      <c r="E320" s="40">
        <f>CHOOSE(Plan!$K$5,COUNTIF('Calc Smart'!C326:N326,"&gt;0"),COUNTIF('Calc Avalanche'!C326:N326,"&gt;0"),COUNTIF('Calc Snowball'!C326:N326,"&gt;0"),COUNTIF('Calc Cashflow'!C326:N326,"&gt;0"))</f>
        <v/>
      </c>
      <c r="F320" s="65">
        <f>CHOOSE(Plan!$K$5,'Calc Smart'!C326,'Calc Avalanche'!C326,'Calc Snowball'!C326,'Calc Cashflow'!C326)</f>
        <v/>
      </c>
      <c r="G320" s="65">
        <f>CHOOSE(Plan!$K$5,'Calc Smart'!D326,'Calc Avalanche'!D326,'Calc Snowball'!D326,'Calc Cashflow'!D326)</f>
        <v/>
      </c>
      <c r="H320" s="65">
        <f>CHOOSE(Plan!$K$5,'Calc Smart'!E326,'Calc Avalanche'!E326,'Calc Snowball'!E326,'Calc Cashflow'!E326)</f>
        <v/>
      </c>
      <c r="I320" s="65">
        <f>CHOOSE(Plan!$K$5,'Calc Smart'!F326,'Calc Avalanche'!F326,'Calc Snowball'!F326,'Calc Cashflow'!F326)</f>
        <v/>
      </c>
      <c r="J320" s="65">
        <f>CHOOSE(Plan!$K$5,'Calc Smart'!G326,'Calc Avalanche'!G326,'Calc Snowball'!G326,'Calc Cashflow'!G326)</f>
        <v/>
      </c>
      <c r="K320" s="65">
        <f>CHOOSE(Plan!$K$5,'Calc Smart'!H326,'Calc Avalanche'!H326,'Calc Snowball'!H326,'Calc Cashflow'!H326)</f>
        <v/>
      </c>
      <c r="L320" s="65">
        <f>CHOOSE(Plan!$K$5,'Calc Smart'!I326,'Calc Avalanche'!I326,'Calc Snowball'!I326,'Calc Cashflow'!I326)</f>
        <v/>
      </c>
      <c r="M320" s="65">
        <f>CHOOSE(Plan!$K$5,'Calc Smart'!J326,'Calc Avalanche'!J326,'Calc Snowball'!J326,'Calc Cashflow'!J326)</f>
        <v/>
      </c>
      <c r="N320" s="65">
        <f>CHOOSE(Plan!$K$5,'Calc Smart'!K326,'Calc Avalanche'!K326,'Calc Snowball'!K326,'Calc Cashflow'!K326)</f>
        <v/>
      </c>
      <c r="O320" s="65">
        <f>CHOOSE(Plan!$K$5,'Calc Smart'!L326,'Calc Avalanche'!L326,'Calc Snowball'!L326,'Calc Cashflow'!L326)</f>
        <v/>
      </c>
      <c r="P320" s="65">
        <f>CHOOSE(Plan!$K$5,'Calc Smart'!M326,'Calc Avalanche'!M326,'Calc Snowball'!M326,'Calc Cashflow'!M326)</f>
        <v/>
      </c>
      <c r="Q320" s="65">
        <f>CHOOSE(Plan!$K$5,'Calc Smart'!N326,'Calc Avalanche'!N326,'Calc Snowball'!N326,'Calc Cashflow'!N326)</f>
        <v/>
      </c>
    </row>
    <row r="321">
      <c r="B321" s="66">
        <f>EDATE(Plan!$C$6,315)</f>
        <v/>
      </c>
      <c r="C321" s="32">
        <f>CHOOSE(Plan!$K$5,'Calc Smart'!AE327,'Calc Avalanche'!AE327,'Calc Snowball'!AE327,'Calc Cashflow'!AE327)</f>
        <v/>
      </c>
      <c r="D321" s="32">
        <f>CHOOSE(Plan!$K$5,'Calc Smart'!AD327,'Calc Avalanche'!AD327,'Calc Snowball'!AD327,'Calc Cashflow'!AD327)</f>
        <v/>
      </c>
      <c r="E321" s="43">
        <f>CHOOSE(Plan!$K$5,COUNTIF('Calc Smart'!C327:N327,"&gt;0"),COUNTIF('Calc Avalanche'!C327:N327,"&gt;0"),COUNTIF('Calc Snowball'!C327:N327,"&gt;0"),COUNTIF('Calc Cashflow'!C327:N327,"&gt;0"))</f>
        <v/>
      </c>
      <c r="F321" s="67">
        <f>CHOOSE(Plan!$K$5,'Calc Smart'!C327,'Calc Avalanche'!C327,'Calc Snowball'!C327,'Calc Cashflow'!C327)</f>
        <v/>
      </c>
      <c r="G321" s="67">
        <f>CHOOSE(Plan!$K$5,'Calc Smart'!D327,'Calc Avalanche'!D327,'Calc Snowball'!D327,'Calc Cashflow'!D327)</f>
        <v/>
      </c>
      <c r="H321" s="67">
        <f>CHOOSE(Plan!$K$5,'Calc Smart'!E327,'Calc Avalanche'!E327,'Calc Snowball'!E327,'Calc Cashflow'!E327)</f>
        <v/>
      </c>
      <c r="I321" s="67">
        <f>CHOOSE(Plan!$K$5,'Calc Smart'!F327,'Calc Avalanche'!F327,'Calc Snowball'!F327,'Calc Cashflow'!F327)</f>
        <v/>
      </c>
      <c r="J321" s="67">
        <f>CHOOSE(Plan!$K$5,'Calc Smart'!G327,'Calc Avalanche'!G327,'Calc Snowball'!G327,'Calc Cashflow'!G327)</f>
        <v/>
      </c>
      <c r="K321" s="67">
        <f>CHOOSE(Plan!$K$5,'Calc Smart'!H327,'Calc Avalanche'!H327,'Calc Snowball'!H327,'Calc Cashflow'!H327)</f>
        <v/>
      </c>
      <c r="L321" s="67">
        <f>CHOOSE(Plan!$K$5,'Calc Smart'!I327,'Calc Avalanche'!I327,'Calc Snowball'!I327,'Calc Cashflow'!I327)</f>
        <v/>
      </c>
      <c r="M321" s="67">
        <f>CHOOSE(Plan!$K$5,'Calc Smart'!J327,'Calc Avalanche'!J327,'Calc Snowball'!J327,'Calc Cashflow'!J327)</f>
        <v/>
      </c>
      <c r="N321" s="67">
        <f>CHOOSE(Plan!$K$5,'Calc Smart'!K327,'Calc Avalanche'!K327,'Calc Snowball'!K327,'Calc Cashflow'!K327)</f>
        <v/>
      </c>
      <c r="O321" s="67">
        <f>CHOOSE(Plan!$K$5,'Calc Smart'!L327,'Calc Avalanche'!L327,'Calc Snowball'!L327,'Calc Cashflow'!L327)</f>
        <v/>
      </c>
      <c r="P321" s="67">
        <f>CHOOSE(Plan!$K$5,'Calc Smart'!M327,'Calc Avalanche'!M327,'Calc Snowball'!M327,'Calc Cashflow'!M327)</f>
        <v/>
      </c>
      <c r="Q321" s="67">
        <f>CHOOSE(Plan!$K$5,'Calc Smart'!N327,'Calc Avalanche'!N327,'Calc Snowball'!N327,'Calc Cashflow'!N327)</f>
        <v/>
      </c>
    </row>
    <row r="322">
      <c r="B322" s="64">
        <f>EDATE(Plan!$C$6,316)</f>
        <v/>
      </c>
      <c r="C322" s="31">
        <f>CHOOSE(Plan!$K$5,'Calc Smart'!AE328,'Calc Avalanche'!AE328,'Calc Snowball'!AE328,'Calc Cashflow'!AE328)</f>
        <v/>
      </c>
      <c r="D322" s="31">
        <f>CHOOSE(Plan!$K$5,'Calc Smart'!AD328,'Calc Avalanche'!AD328,'Calc Snowball'!AD328,'Calc Cashflow'!AD328)</f>
        <v/>
      </c>
      <c r="E322" s="40">
        <f>CHOOSE(Plan!$K$5,COUNTIF('Calc Smart'!C328:N328,"&gt;0"),COUNTIF('Calc Avalanche'!C328:N328,"&gt;0"),COUNTIF('Calc Snowball'!C328:N328,"&gt;0"),COUNTIF('Calc Cashflow'!C328:N328,"&gt;0"))</f>
        <v/>
      </c>
      <c r="F322" s="65">
        <f>CHOOSE(Plan!$K$5,'Calc Smart'!C328,'Calc Avalanche'!C328,'Calc Snowball'!C328,'Calc Cashflow'!C328)</f>
        <v/>
      </c>
      <c r="G322" s="65">
        <f>CHOOSE(Plan!$K$5,'Calc Smart'!D328,'Calc Avalanche'!D328,'Calc Snowball'!D328,'Calc Cashflow'!D328)</f>
        <v/>
      </c>
      <c r="H322" s="65">
        <f>CHOOSE(Plan!$K$5,'Calc Smart'!E328,'Calc Avalanche'!E328,'Calc Snowball'!E328,'Calc Cashflow'!E328)</f>
        <v/>
      </c>
      <c r="I322" s="65">
        <f>CHOOSE(Plan!$K$5,'Calc Smart'!F328,'Calc Avalanche'!F328,'Calc Snowball'!F328,'Calc Cashflow'!F328)</f>
        <v/>
      </c>
      <c r="J322" s="65">
        <f>CHOOSE(Plan!$K$5,'Calc Smart'!G328,'Calc Avalanche'!G328,'Calc Snowball'!G328,'Calc Cashflow'!G328)</f>
        <v/>
      </c>
      <c r="K322" s="65">
        <f>CHOOSE(Plan!$K$5,'Calc Smart'!H328,'Calc Avalanche'!H328,'Calc Snowball'!H328,'Calc Cashflow'!H328)</f>
        <v/>
      </c>
      <c r="L322" s="65">
        <f>CHOOSE(Plan!$K$5,'Calc Smart'!I328,'Calc Avalanche'!I328,'Calc Snowball'!I328,'Calc Cashflow'!I328)</f>
        <v/>
      </c>
      <c r="M322" s="65">
        <f>CHOOSE(Plan!$K$5,'Calc Smart'!J328,'Calc Avalanche'!J328,'Calc Snowball'!J328,'Calc Cashflow'!J328)</f>
        <v/>
      </c>
      <c r="N322" s="65">
        <f>CHOOSE(Plan!$K$5,'Calc Smart'!K328,'Calc Avalanche'!K328,'Calc Snowball'!K328,'Calc Cashflow'!K328)</f>
        <v/>
      </c>
      <c r="O322" s="65">
        <f>CHOOSE(Plan!$K$5,'Calc Smart'!L328,'Calc Avalanche'!L328,'Calc Snowball'!L328,'Calc Cashflow'!L328)</f>
        <v/>
      </c>
      <c r="P322" s="65">
        <f>CHOOSE(Plan!$K$5,'Calc Smart'!M328,'Calc Avalanche'!M328,'Calc Snowball'!M328,'Calc Cashflow'!M328)</f>
        <v/>
      </c>
      <c r="Q322" s="65">
        <f>CHOOSE(Plan!$K$5,'Calc Smart'!N328,'Calc Avalanche'!N328,'Calc Snowball'!N328,'Calc Cashflow'!N328)</f>
        <v/>
      </c>
    </row>
    <row r="323">
      <c r="B323" s="66">
        <f>EDATE(Plan!$C$6,317)</f>
        <v/>
      </c>
      <c r="C323" s="32">
        <f>CHOOSE(Plan!$K$5,'Calc Smart'!AE329,'Calc Avalanche'!AE329,'Calc Snowball'!AE329,'Calc Cashflow'!AE329)</f>
        <v/>
      </c>
      <c r="D323" s="32">
        <f>CHOOSE(Plan!$K$5,'Calc Smart'!AD329,'Calc Avalanche'!AD329,'Calc Snowball'!AD329,'Calc Cashflow'!AD329)</f>
        <v/>
      </c>
      <c r="E323" s="43">
        <f>CHOOSE(Plan!$K$5,COUNTIF('Calc Smart'!C329:N329,"&gt;0"),COUNTIF('Calc Avalanche'!C329:N329,"&gt;0"),COUNTIF('Calc Snowball'!C329:N329,"&gt;0"),COUNTIF('Calc Cashflow'!C329:N329,"&gt;0"))</f>
        <v/>
      </c>
      <c r="F323" s="67">
        <f>CHOOSE(Plan!$K$5,'Calc Smart'!C329,'Calc Avalanche'!C329,'Calc Snowball'!C329,'Calc Cashflow'!C329)</f>
        <v/>
      </c>
      <c r="G323" s="67">
        <f>CHOOSE(Plan!$K$5,'Calc Smart'!D329,'Calc Avalanche'!D329,'Calc Snowball'!D329,'Calc Cashflow'!D329)</f>
        <v/>
      </c>
      <c r="H323" s="67">
        <f>CHOOSE(Plan!$K$5,'Calc Smart'!E329,'Calc Avalanche'!E329,'Calc Snowball'!E329,'Calc Cashflow'!E329)</f>
        <v/>
      </c>
      <c r="I323" s="67">
        <f>CHOOSE(Plan!$K$5,'Calc Smart'!F329,'Calc Avalanche'!F329,'Calc Snowball'!F329,'Calc Cashflow'!F329)</f>
        <v/>
      </c>
      <c r="J323" s="67">
        <f>CHOOSE(Plan!$K$5,'Calc Smart'!G329,'Calc Avalanche'!G329,'Calc Snowball'!G329,'Calc Cashflow'!G329)</f>
        <v/>
      </c>
      <c r="K323" s="67">
        <f>CHOOSE(Plan!$K$5,'Calc Smart'!H329,'Calc Avalanche'!H329,'Calc Snowball'!H329,'Calc Cashflow'!H329)</f>
        <v/>
      </c>
      <c r="L323" s="67">
        <f>CHOOSE(Plan!$K$5,'Calc Smart'!I329,'Calc Avalanche'!I329,'Calc Snowball'!I329,'Calc Cashflow'!I329)</f>
        <v/>
      </c>
      <c r="M323" s="67">
        <f>CHOOSE(Plan!$K$5,'Calc Smart'!J329,'Calc Avalanche'!J329,'Calc Snowball'!J329,'Calc Cashflow'!J329)</f>
        <v/>
      </c>
      <c r="N323" s="67">
        <f>CHOOSE(Plan!$K$5,'Calc Smart'!K329,'Calc Avalanche'!K329,'Calc Snowball'!K329,'Calc Cashflow'!K329)</f>
        <v/>
      </c>
      <c r="O323" s="67">
        <f>CHOOSE(Plan!$K$5,'Calc Smart'!L329,'Calc Avalanche'!L329,'Calc Snowball'!L329,'Calc Cashflow'!L329)</f>
        <v/>
      </c>
      <c r="P323" s="67">
        <f>CHOOSE(Plan!$K$5,'Calc Smart'!M329,'Calc Avalanche'!M329,'Calc Snowball'!M329,'Calc Cashflow'!M329)</f>
        <v/>
      </c>
      <c r="Q323" s="67">
        <f>CHOOSE(Plan!$K$5,'Calc Smart'!N329,'Calc Avalanche'!N329,'Calc Snowball'!N329,'Calc Cashflow'!N329)</f>
        <v/>
      </c>
    </row>
    <row r="324">
      <c r="B324" s="64">
        <f>EDATE(Plan!$C$6,318)</f>
        <v/>
      </c>
      <c r="C324" s="31">
        <f>CHOOSE(Plan!$K$5,'Calc Smart'!AE330,'Calc Avalanche'!AE330,'Calc Snowball'!AE330,'Calc Cashflow'!AE330)</f>
        <v/>
      </c>
      <c r="D324" s="31">
        <f>CHOOSE(Plan!$K$5,'Calc Smart'!AD330,'Calc Avalanche'!AD330,'Calc Snowball'!AD330,'Calc Cashflow'!AD330)</f>
        <v/>
      </c>
      <c r="E324" s="40">
        <f>CHOOSE(Plan!$K$5,COUNTIF('Calc Smart'!C330:N330,"&gt;0"),COUNTIF('Calc Avalanche'!C330:N330,"&gt;0"),COUNTIF('Calc Snowball'!C330:N330,"&gt;0"),COUNTIF('Calc Cashflow'!C330:N330,"&gt;0"))</f>
        <v/>
      </c>
      <c r="F324" s="65">
        <f>CHOOSE(Plan!$K$5,'Calc Smart'!C330,'Calc Avalanche'!C330,'Calc Snowball'!C330,'Calc Cashflow'!C330)</f>
        <v/>
      </c>
      <c r="G324" s="65">
        <f>CHOOSE(Plan!$K$5,'Calc Smart'!D330,'Calc Avalanche'!D330,'Calc Snowball'!D330,'Calc Cashflow'!D330)</f>
        <v/>
      </c>
      <c r="H324" s="65">
        <f>CHOOSE(Plan!$K$5,'Calc Smart'!E330,'Calc Avalanche'!E330,'Calc Snowball'!E330,'Calc Cashflow'!E330)</f>
        <v/>
      </c>
      <c r="I324" s="65">
        <f>CHOOSE(Plan!$K$5,'Calc Smart'!F330,'Calc Avalanche'!F330,'Calc Snowball'!F330,'Calc Cashflow'!F330)</f>
        <v/>
      </c>
      <c r="J324" s="65">
        <f>CHOOSE(Plan!$K$5,'Calc Smart'!G330,'Calc Avalanche'!G330,'Calc Snowball'!G330,'Calc Cashflow'!G330)</f>
        <v/>
      </c>
      <c r="K324" s="65">
        <f>CHOOSE(Plan!$K$5,'Calc Smart'!H330,'Calc Avalanche'!H330,'Calc Snowball'!H330,'Calc Cashflow'!H330)</f>
        <v/>
      </c>
      <c r="L324" s="65">
        <f>CHOOSE(Plan!$K$5,'Calc Smart'!I330,'Calc Avalanche'!I330,'Calc Snowball'!I330,'Calc Cashflow'!I330)</f>
        <v/>
      </c>
      <c r="M324" s="65">
        <f>CHOOSE(Plan!$K$5,'Calc Smart'!J330,'Calc Avalanche'!J330,'Calc Snowball'!J330,'Calc Cashflow'!J330)</f>
        <v/>
      </c>
      <c r="N324" s="65">
        <f>CHOOSE(Plan!$K$5,'Calc Smart'!K330,'Calc Avalanche'!K330,'Calc Snowball'!K330,'Calc Cashflow'!K330)</f>
        <v/>
      </c>
      <c r="O324" s="65">
        <f>CHOOSE(Plan!$K$5,'Calc Smart'!L330,'Calc Avalanche'!L330,'Calc Snowball'!L330,'Calc Cashflow'!L330)</f>
        <v/>
      </c>
      <c r="P324" s="65">
        <f>CHOOSE(Plan!$K$5,'Calc Smart'!M330,'Calc Avalanche'!M330,'Calc Snowball'!M330,'Calc Cashflow'!M330)</f>
        <v/>
      </c>
      <c r="Q324" s="65">
        <f>CHOOSE(Plan!$K$5,'Calc Smart'!N330,'Calc Avalanche'!N330,'Calc Snowball'!N330,'Calc Cashflow'!N330)</f>
        <v/>
      </c>
    </row>
    <row r="325">
      <c r="B325" s="66">
        <f>EDATE(Plan!$C$6,319)</f>
        <v/>
      </c>
      <c r="C325" s="32">
        <f>CHOOSE(Plan!$K$5,'Calc Smart'!AE331,'Calc Avalanche'!AE331,'Calc Snowball'!AE331,'Calc Cashflow'!AE331)</f>
        <v/>
      </c>
      <c r="D325" s="32">
        <f>CHOOSE(Plan!$K$5,'Calc Smart'!AD331,'Calc Avalanche'!AD331,'Calc Snowball'!AD331,'Calc Cashflow'!AD331)</f>
        <v/>
      </c>
      <c r="E325" s="43">
        <f>CHOOSE(Plan!$K$5,COUNTIF('Calc Smart'!C331:N331,"&gt;0"),COUNTIF('Calc Avalanche'!C331:N331,"&gt;0"),COUNTIF('Calc Snowball'!C331:N331,"&gt;0"),COUNTIF('Calc Cashflow'!C331:N331,"&gt;0"))</f>
        <v/>
      </c>
      <c r="F325" s="67">
        <f>CHOOSE(Plan!$K$5,'Calc Smart'!C331,'Calc Avalanche'!C331,'Calc Snowball'!C331,'Calc Cashflow'!C331)</f>
        <v/>
      </c>
      <c r="G325" s="67">
        <f>CHOOSE(Plan!$K$5,'Calc Smart'!D331,'Calc Avalanche'!D331,'Calc Snowball'!D331,'Calc Cashflow'!D331)</f>
        <v/>
      </c>
      <c r="H325" s="67">
        <f>CHOOSE(Plan!$K$5,'Calc Smart'!E331,'Calc Avalanche'!E331,'Calc Snowball'!E331,'Calc Cashflow'!E331)</f>
        <v/>
      </c>
      <c r="I325" s="67">
        <f>CHOOSE(Plan!$K$5,'Calc Smart'!F331,'Calc Avalanche'!F331,'Calc Snowball'!F331,'Calc Cashflow'!F331)</f>
        <v/>
      </c>
      <c r="J325" s="67">
        <f>CHOOSE(Plan!$K$5,'Calc Smart'!G331,'Calc Avalanche'!G331,'Calc Snowball'!G331,'Calc Cashflow'!G331)</f>
        <v/>
      </c>
      <c r="K325" s="67">
        <f>CHOOSE(Plan!$K$5,'Calc Smart'!H331,'Calc Avalanche'!H331,'Calc Snowball'!H331,'Calc Cashflow'!H331)</f>
        <v/>
      </c>
      <c r="L325" s="67">
        <f>CHOOSE(Plan!$K$5,'Calc Smart'!I331,'Calc Avalanche'!I331,'Calc Snowball'!I331,'Calc Cashflow'!I331)</f>
        <v/>
      </c>
      <c r="M325" s="67">
        <f>CHOOSE(Plan!$K$5,'Calc Smart'!J331,'Calc Avalanche'!J331,'Calc Snowball'!J331,'Calc Cashflow'!J331)</f>
        <v/>
      </c>
      <c r="N325" s="67">
        <f>CHOOSE(Plan!$K$5,'Calc Smart'!K331,'Calc Avalanche'!K331,'Calc Snowball'!K331,'Calc Cashflow'!K331)</f>
        <v/>
      </c>
      <c r="O325" s="67">
        <f>CHOOSE(Plan!$K$5,'Calc Smart'!L331,'Calc Avalanche'!L331,'Calc Snowball'!L331,'Calc Cashflow'!L331)</f>
        <v/>
      </c>
      <c r="P325" s="67">
        <f>CHOOSE(Plan!$K$5,'Calc Smart'!M331,'Calc Avalanche'!M331,'Calc Snowball'!M331,'Calc Cashflow'!M331)</f>
        <v/>
      </c>
      <c r="Q325" s="67">
        <f>CHOOSE(Plan!$K$5,'Calc Smart'!N331,'Calc Avalanche'!N331,'Calc Snowball'!N331,'Calc Cashflow'!N331)</f>
        <v/>
      </c>
    </row>
    <row r="326">
      <c r="B326" s="64">
        <f>EDATE(Plan!$C$6,320)</f>
        <v/>
      </c>
      <c r="C326" s="31">
        <f>CHOOSE(Plan!$K$5,'Calc Smart'!AE332,'Calc Avalanche'!AE332,'Calc Snowball'!AE332,'Calc Cashflow'!AE332)</f>
        <v/>
      </c>
      <c r="D326" s="31">
        <f>CHOOSE(Plan!$K$5,'Calc Smart'!AD332,'Calc Avalanche'!AD332,'Calc Snowball'!AD332,'Calc Cashflow'!AD332)</f>
        <v/>
      </c>
      <c r="E326" s="40">
        <f>CHOOSE(Plan!$K$5,COUNTIF('Calc Smart'!C332:N332,"&gt;0"),COUNTIF('Calc Avalanche'!C332:N332,"&gt;0"),COUNTIF('Calc Snowball'!C332:N332,"&gt;0"),COUNTIF('Calc Cashflow'!C332:N332,"&gt;0"))</f>
        <v/>
      </c>
      <c r="F326" s="65">
        <f>CHOOSE(Plan!$K$5,'Calc Smart'!C332,'Calc Avalanche'!C332,'Calc Snowball'!C332,'Calc Cashflow'!C332)</f>
        <v/>
      </c>
      <c r="G326" s="65">
        <f>CHOOSE(Plan!$K$5,'Calc Smart'!D332,'Calc Avalanche'!D332,'Calc Snowball'!D332,'Calc Cashflow'!D332)</f>
        <v/>
      </c>
      <c r="H326" s="65">
        <f>CHOOSE(Plan!$K$5,'Calc Smart'!E332,'Calc Avalanche'!E332,'Calc Snowball'!E332,'Calc Cashflow'!E332)</f>
        <v/>
      </c>
      <c r="I326" s="65">
        <f>CHOOSE(Plan!$K$5,'Calc Smart'!F332,'Calc Avalanche'!F332,'Calc Snowball'!F332,'Calc Cashflow'!F332)</f>
        <v/>
      </c>
      <c r="J326" s="65">
        <f>CHOOSE(Plan!$K$5,'Calc Smart'!G332,'Calc Avalanche'!G332,'Calc Snowball'!G332,'Calc Cashflow'!G332)</f>
        <v/>
      </c>
      <c r="K326" s="65">
        <f>CHOOSE(Plan!$K$5,'Calc Smart'!H332,'Calc Avalanche'!H332,'Calc Snowball'!H332,'Calc Cashflow'!H332)</f>
        <v/>
      </c>
      <c r="L326" s="65">
        <f>CHOOSE(Plan!$K$5,'Calc Smart'!I332,'Calc Avalanche'!I332,'Calc Snowball'!I332,'Calc Cashflow'!I332)</f>
        <v/>
      </c>
      <c r="M326" s="65">
        <f>CHOOSE(Plan!$K$5,'Calc Smart'!J332,'Calc Avalanche'!J332,'Calc Snowball'!J332,'Calc Cashflow'!J332)</f>
        <v/>
      </c>
      <c r="N326" s="65">
        <f>CHOOSE(Plan!$K$5,'Calc Smart'!K332,'Calc Avalanche'!K332,'Calc Snowball'!K332,'Calc Cashflow'!K332)</f>
        <v/>
      </c>
      <c r="O326" s="65">
        <f>CHOOSE(Plan!$K$5,'Calc Smart'!L332,'Calc Avalanche'!L332,'Calc Snowball'!L332,'Calc Cashflow'!L332)</f>
        <v/>
      </c>
      <c r="P326" s="65">
        <f>CHOOSE(Plan!$K$5,'Calc Smart'!M332,'Calc Avalanche'!M332,'Calc Snowball'!M332,'Calc Cashflow'!M332)</f>
        <v/>
      </c>
      <c r="Q326" s="65">
        <f>CHOOSE(Plan!$K$5,'Calc Smart'!N332,'Calc Avalanche'!N332,'Calc Snowball'!N332,'Calc Cashflow'!N332)</f>
        <v/>
      </c>
    </row>
    <row r="327">
      <c r="B327" s="66">
        <f>EDATE(Plan!$C$6,321)</f>
        <v/>
      </c>
      <c r="C327" s="32">
        <f>CHOOSE(Plan!$K$5,'Calc Smart'!AE333,'Calc Avalanche'!AE333,'Calc Snowball'!AE333,'Calc Cashflow'!AE333)</f>
        <v/>
      </c>
      <c r="D327" s="32">
        <f>CHOOSE(Plan!$K$5,'Calc Smart'!AD333,'Calc Avalanche'!AD333,'Calc Snowball'!AD333,'Calc Cashflow'!AD333)</f>
        <v/>
      </c>
      <c r="E327" s="43">
        <f>CHOOSE(Plan!$K$5,COUNTIF('Calc Smart'!C333:N333,"&gt;0"),COUNTIF('Calc Avalanche'!C333:N333,"&gt;0"),COUNTIF('Calc Snowball'!C333:N333,"&gt;0"),COUNTIF('Calc Cashflow'!C333:N333,"&gt;0"))</f>
        <v/>
      </c>
      <c r="F327" s="67">
        <f>CHOOSE(Plan!$K$5,'Calc Smart'!C333,'Calc Avalanche'!C333,'Calc Snowball'!C333,'Calc Cashflow'!C333)</f>
        <v/>
      </c>
      <c r="G327" s="67">
        <f>CHOOSE(Plan!$K$5,'Calc Smart'!D333,'Calc Avalanche'!D333,'Calc Snowball'!D333,'Calc Cashflow'!D333)</f>
        <v/>
      </c>
      <c r="H327" s="67">
        <f>CHOOSE(Plan!$K$5,'Calc Smart'!E333,'Calc Avalanche'!E333,'Calc Snowball'!E333,'Calc Cashflow'!E333)</f>
        <v/>
      </c>
      <c r="I327" s="67">
        <f>CHOOSE(Plan!$K$5,'Calc Smart'!F333,'Calc Avalanche'!F333,'Calc Snowball'!F333,'Calc Cashflow'!F333)</f>
        <v/>
      </c>
      <c r="J327" s="67">
        <f>CHOOSE(Plan!$K$5,'Calc Smart'!G333,'Calc Avalanche'!G333,'Calc Snowball'!G333,'Calc Cashflow'!G333)</f>
        <v/>
      </c>
      <c r="K327" s="67">
        <f>CHOOSE(Plan!$K$5,'Calc Smart'!H333,'Calc Avalanche'!H333,'Calc Snowball'!H333,'Calc Cashflow'!H333)</f>
        <v/>
      </c>
      <c r="L327" s="67">
        <f>CHOOSE(Plan!$K$5,'Calc Smart'!I333,'Calc Avalanche'!I333,'Calc Snowball'!I333,'Calc Cashflow'!I333)</f>
        <v/>
      </c>
      <c r="M327" s="67">
        <f>CHOOSE(Plan!$K$5,'Calc Smart'!J333,'Calc Avalanche'!J333,'Calc Snowball'!J333,'Calc Cashflow'!J333)</f>
        <v/>
      </c>
      <c r="N327" s="67">
        <f>CHOOSE(Plan!$K$5,'Calc Smart'!K333,'Calc Avalanche'!K333,'Calc Snowball'!K333,'Calc Cashflow'!K333)</f>
        <v/>
      </c>
      <c r="O327" s="67">
        <f>CHOOSE(Plan!$K$5,'Calc Smart'!L333,'Calc Avalanche'!L333,'Calc Snowball'!L333,'Calc Cashflow'!L333)</f>
        <v/>
      </c>
      <c r="P327" s="67">
        <f>CHOOSE(Plan!$K$5,'Calc Smart'!M333,'Calc Avalanche'!M333,'Calc Snowball'!M333,'Calc Cashflow'!M333)</f>
        <v/>
      </c>
      <c r="Q327" s="67">
        <f>CHOOSE(Plan!$K$5,'Calc Smart'!N333,'Calc Avalanche'!N333,'Calc Snowball'!N333,'Calc Cashflow'!N333)</f>
        <v/>
      </c>
    </row>
    <row r="328">
      <c r="B328" s="64">
        <f>EDATE(Plan!$C$6,322)</f>
        <v/>
      </c>
      <c r="C328" s="31">
        <f>CHOOSE(Plan!$K$5,'Calc Smart'!AE334,'Calc Avalanche'!AE334,'Calc Snowball'!AE334,'Calc Cashflow'!AE334)</f>
        <v/>
      </c>
      <c r="D328" s="31">
        <f>CHOOSE(Plan!$K$5,'Calc Smart'!AD334,'Calc Avalanche'!AD334,'Calc Snowball'!AD334,'Calc Cashflow'!AD334)</f>
        <v/>
      </c>
      <c r="E328" s="40">
        <f>CHOOSE(Plan!$K$5,COUNTIF('Calc Smart'!C334:N334,"&gt;0"),COUNTIF('Calc Avalanche'!C334:N334,"&gt;0"),COUNTIF('Calc Snowball'!C334:N334,"&gt;0"),COUNTIF('Calc Cashflow'!C334:N334,"&gt;0"))</f>
        <v/>
      </c>
      <c r="F328" s="65">
        <f>CHOOSE(Plan!$K$5,'Calc Smart'!C334,'Calc Avalanche'!C334,'Calc Snowball'!C334,'Calc Cashflow'!C334)</f>
        <v/>
      </c>
      <c r="G328" s="65">
        <f>CHOOSE(Plan!$K$5,'Calc Smart'!D334,'Calc Avalanche'!D334,'Calc Snowball'!D334,'Calc Cashflow'!D334)</f>
        <v/>
      </c>
      <c r="H328" s="65">
        <f>CHOOSE(Plan!$K$5,'Calc Smart'!E334,'Calc Avalanche'!E334,'Calc Snowball'!E334,'Calc Cashflow'!E334)</f>
        <v/>
      </c>
      <c r="I328" s="65">
        <f>CHOOSE(Plan!$K$5,'Calc Smart'!F334,'Calc Avalanche'!F334,'Calc Snowball'!F334,'Calc Cashflow'!F334)</f>
        <v/>
      </c>
      <c r="J328" s="65">
        <f>CHOOSE(Plan!$K$5,'Calc Smart'!G334,'Calc Avalanche'!G334,'Calc Snowball'!G334,'Calc Cashflow'!G334)</f>
        <v/>
      </c>
      <c r="K328" s="65">
        <f>CHOOSE(Plan!$K$5,'Calc Smart'!H334,'Calc Avalanche'!H334,'Calc Snowball'!H334,'Calc Cashflow'!H334)</f>
        <v/>
      </c>
      <c r="L328" s="65">
        <f>CHOOSE(Plan!$K$5,'Calc Smart'!I334,'Calc Avalanche'!I334,'Calc Snowball'!I334,'Calc Cashflow'!I334)</f>
        <v/>
      </c>
      <c r="M328" s="65">
        <f>CHOOSE(Plan!$K$5,'Calc Smart'!J334,'Calc Avalanche'!J334,'Calc Snowball'!J334,'Calc Cashflow'!J334)</f>
        <v/>
      </c>
      <c r="N328" s="65">
        <f>CHOOSE(Plan!$K$5,'Calc Smart'!K334,'Calc Avalanche'!K334,'Calc Snowball'!K334,'Calc Cashflow'!K334)</f>
        <v/>
      </c>
      <c r="O328" s="65">
        <f>CHOOSE(Plan!$K$5,'Calc Smart'!L334,'Calc Avalanche'!L334,'Calc Snowball'!L334,'Calc Cashflow'!L334)</f>
        <v/>
      </c>
      <c r="P328" s="65">
        <f>CHOOSE(Plan!$K$5,'Calc Smart'!M334,'Calc Avalanche'!M334,'Calc Snowball'!M334,'Calc Cashflow'!M334)</f>
        <v/>
      </c>
      <c r="Q328" s="65">
        <f>CHOOSE(Plan!$K$5,'Calc Smart'!N334,'Calc Avalanche'!N334,'Calc Snowball'!N334,'Calc Cashflow'!N334)</f>
        <v/>
      </c>
    </row>
    <row r="329">
      <c r="B329" s="66">
        <f>EDATE(Plan!$C$6,323)</f>
        <v/>
      </c>
      <c r="C329" s="32">
        <f>CHOOSE(Plan!$K$5,'Calc Smart'!AE335,'Calc Avalanche'!AE335,'Calc Snowball'!AE335,'Calc Cashflow'!AE335)</f>
        <v/>
      </c>
      <c r="D329" s="32">
        <f>CHOOSE(Plan!$K$5,'Calc Smart'!AD335,'Calc Avalanche'!AD335,'Calc Snowball'!AD335,'Calc Cashflow'!AD335)</f>
        <v/>
      </c>
      <c r="E329" s="43">
        <f>CHOOSE(Plan!$K$5,COUNTIF('Calc Smart'!C335:N335,"&gt;0"),COUNTIF('Calc Avalanche'!C335:N335,"&gt;0"),COUNTIF('Calc Snowball'!C335:N335,"&gt;0"),COUNTIF('Calc Cashflow'!C335:N335,"&gt;0"))</f>
        <v/>
      </c>
      <c r="F329" s="67">
        <f>CHOOSE(Plan!$K$5,'Calc Smart'!C335,'Calc Avalanche'!C335,'Calc Snowball'!C335,'Calc Cashflow'!C335)</f>
        <v/>
      </c>
      <c r="G329" s="67">
        <f>CHOOSE(Plan!$K$5,'Calc Smart'!D335,'Calc Avalanche'!D335,'Calc Snowball'!D335,'Calc Cashflow'!D335)</f>
        <v/>
      </c>
      <c r="H329" s="67">
        <f>CHOOSE(Plan!$K$5,'Calc Smart'!E335,'Calc Avalanche'!E335,'Calc Snowball'!E335,'Calc Cashflow'!E335)</f>
        <v/>
      </c>
      <c r="I329" s="67">
        <f>CHOOSE(Plan!$K$5,'Calc Smart'!F335,'Calc Avalanche'!F335,'Calc Snowball'!F335,'Calc Cashflow'!F335)</f>
        <v/>
      </c>
      <c r="J329" s="67">
        <f>CHOOSE(Plan!$K$5,'Calc Smart'!G335,'Calc Avalanche'!G335,'Calc Snowball'!G335,'Calc Cashflow'!G335)</f>
        <v/>
      </c>
      <c r="K329" s="67">
        <f>CHOOSE(Plan!$K$5,'Calc Smart'!H335,'Calc Avalanche'!H335,'Calc Snowball'!H335,'Calc Cashflow'!H335)</f>
        <v/>
      </c>
      <c r="L329" s="67">
        <f>CHOOSE(Plan!$K$5,'Calc Smart'!I335,'Calc Avalanche'!I335,'Calc Snowball'!I335,'Calc Cashflow'!I335)</f>
        <v/>
      </c>
      <c r="M329" s="67">
        <f>CHOOSE(Plan!$K$5,'Calc Smart'!J335,'Calc Avalanche'!J335,'Calc Snowball'!J335,'Calc Cashflow'!J335)</f>
        <v/>
      </c>
      <c r="N329" s="67">
        <f>CHOOSE(Plan!$K$5,'Calc Smart'!K335,'Calc Avalanche'!K335,'Calc Snowball'!K335,'Calc Cashflow'!K335)</f>
        <v/>
      </c>
      <c r="O329" s="67">
        <f>CHOOSE(Plan!$K$5,'Calc Smart'!L335,'Calc Avalanche'!L335,'Calc Snowball'!L335,'Calc Cashflow'!L335)</f>
        <v/>
      </c>
      <c r="P329" s="67">
        <f>CHOOSE(Plan!$K$5,'Calc Smart'!M335,'Calc Avalanche'!M335,'Calc Snowball'!M335,'Calc Cashflow'!M335)</f>
        <v/>
      </c>
      <c r="Q329" s="67">
        <f>CHOOSE(Plan!$K$5,'Calc Smart'!N335,'Calc Avalanche'!N335,'Calc Snowball'!N335,'Calc Cashflow'!N335)</f>
        <v/>
      </c>
    </row>
    <row r="330">
      <c r="B330" s="64">
        <f>EDATE(Plan!$C$6,324)</f>
        <v/>
      </c>
      <c r="C330" s="31">
        <f>CHOOSE(Plan!$K$5,'Calc Smart'!AE336,'Calc Avalanche'!AE336,'Calc Snowball'!AE336,'Calc Cashflow'!AE336)</f>
        <v/>
      </c>
      <c r="D330" s="31">
        <f>CHOOSE(Plan!$K$5,'Calc Smart'!AD336,'Calc Avalanche'!AD336,'Calc Snowball'!AD336,'Calc Cashflow'!AD336)</f>
        <v/>
      </c>
      <c r="E330" s="40">
        <f>CHOOSE(Plan!$K$5,COUNTIF('Calc Smart'!C336:N336,"&gt;0"),COUNTIF('Calc Avalanche'!C336:N336,"&gt;0"),COUNTIF('Calc Snowball'!C336:N336,"&gt;0"),COUNTIF('Calc Cashflow'!C336:N336,"&gt;0"))</f>
        <v/>
      </c>
      <c r="F330" s="65">
        <f>CHOOSE(Plan!$K$5,'Calc Smart'!C336,'Calc Avalanche'!C336,'Calc Snowball'!C336,'Calc Cashflow'!C336)</f>
        <v/>
      </c>
      <c r="G330" s="65">
        <f>CHOOSE(Plan!$K$5,'Calc Smart'!D336,'Calc Avalanche'!D336,'Calc Snowball'!D336,'Calc Cashflow'!D336)</f>
        <v/>
      </c>
      <c r="H330" s="65">
        <f>CHOOSE(Plan!$K$5,'Calc Smart'!E336,'Calc Avalanche'!E336,'Calc Snowball'!E336,'Calc Cashflow'!E336)</f>
        <v/>
      </c>
      <c r="I330" s="65">
        <f>CHOOSE(Plan!$K$5,'Calc Smart'!F336,'Calc Avalanche'!F336,'Calc Snowball'!F336,'Calc Cashflow'!F336)</f>
        <v/>
      </c>
      <c r="J330" s="65">
        <f>CHOOSE(Plan!$K$5,'Calc Smart'!G336,'Calc Avalanche'!G336,'Calc Snowball'!G336,'Calc Cashflow'!G336)</f>
        <v/>
      </c>
      <c r="K330" s="65">
        <f>CHOOSE(Plan!$K$5,'Calc Smart'!H336,'Calc Avalanche'!H336,'Calc Snowball'!H336,'Calc Cashflow'!H336)</f>
        <v/>
      </c>
      <c r="L330" s="65">
        <f>CHOOSE(Plan!$K$5,'Calc Smart'!I336,'Calc Avalanche'!I336,'Calc Snowball'!I336,'Calc Cashflow'!I336)</f>
        <v/>
      </c>
      <c r="M330" s="65">
        <f>CHOOSE(Plan!$K$5,'Calc Smart'!J336,'Calc Avalanche'!J336,'Calc Snowball'!J336,'Calc Cashflow'!J336)</f>
        <v/>
      </c>
      <c r="N330" s="65">
        <f>CHOOSE(Plan!$K$5,'Calc Smart'!K336,'Calc Avalanche'!K336,'Calc Snowball'!K336,'Calc Cashflow'!K336)</f>
        <v/>
      </c>
      <c r="O330" s="65">
        <f>CHOOSE(Plan!$K$5,'Calc Smart'!L336,'Calc Avalanche'!L336,'Calc Snowball'!L336,'Calc Cashflow'!L336)</f>
        <v/>
      </c>
      <c r="P330" s="65">
        <f>CHOOSE(Plan!$K$5,'Calc Smart'!M336,'Calc Avalanche'!M336,'Calc Snowball'!M336,'Calc Cashflow'!M336)</f>
        <v/>
      </c>
      <c r="Q330" s="65">
        <f>CHOOSE(Plan!$K$5,'Calc Smart'!N336,'Calc Avalanche'!N336,'Calc Snowball'!N336,'Calc Cashflow'!N336)</f>
        <v/>
      </c>
    </row>
    <row r="331">
      <c r="B331" s="66">
        <f>EDATE(Plan!$C$6,325)</f>
        <v/>
      </c>
      <c r="C331" s="32">
        <f>CHOOSE(Plan!$K$5,'Calc Smart'!AE337,'Calc Avalanche'!AE337,'Calc Snowball'!AE337,'Calc Cashflow'!AE337)</f>
        <v/>
      </c>
      <c r="D331" s="32">
        <f>CHOOSE(Plan!$K$5,'Calc Smart'!AD337,'Calc Avalanche'!AD337,'Calc Snowball'!AD337,'Calc Cashflow'!AD337)</f>
        <v/>
      </c>
      <c r="E331" s="43">
        <f>CHOOSE(Plan!$K$5,COUNTIF('Calc Smart'!C337:N337,"&gt;0"),COUNTIF('Calc Avalanche'!C337:N337,"&gt;0"),COUNTIF('Calc Snowball'!C337:N337,"&gt;0"),COUNTIF('Calc Cashflow'!C337:N337,"&gt;0"))</f>
        <v/>
      </c>
      <c r="F331" s="67">
        <f>CHOOSE(Plan!$K$5,'Calc Smart'!C337,'Calc Avalanche'!C337,'Calc Snowball'!C337,'Calc Cashflow'!C337)</f>
        <v/>
      </c>
      <c r="G331" s="67">
        <f>CHOOSE(Plan!$K$5,'Calc Smart'!D337,'Calc Avalanche'!D337,'Calc Snowball'!D337,'Calc Cashflow'!D337)</f>
        <v/>
      </c>
      <c r="H331" s="67">
        <f>CHOOSE(Plan!$K$5,'Calc Smart'!E337,'Calc Avalanche'!E337,'Calc Snowball'!E337,'Calc Cashflow'!E337)</f>
        <v/>
      </c>
      <c r="I331" s="67">
        <f>CHOOSE(Plan!$K$5,'Calc Smart'!F337,'Calc Avalanche'!F337,'Calc Snowball'!F337,'Calc Cashflow'!F337)</f>
        <v/>
      </c>
      <c r="J331" s="67">
        <f>CHOOSE(Plan!$K$5,'Calc Smart'!G337,'Calc Avalanche'!G337,'Calc Snowball'!G337,'Calc Cashflow'!G337)</f>
        <v/>
      </c>
      <c r="K331" s="67">
        <f>CHOOSE(Plan!$K$5,'Calc Smart'!H337,'Calc Avalanche'!H337,'Calc Snowball'!H337,'Calc Cashflow'!H337)</f>
        <v/>
      </c>
      <c r="L331" s="67">
        <f>CHOOSE(Plan!$K$5,'Calc Smart'!I337,'Calc Avalanche'!I337,'Calc Snowball'!I337,'Calc Cashflow'!I337)</f>
        <v/>
      </c>
      <c r="M331" s="67">
        <f>CHOOSE(Plan!$K$5,'Calc Smart'!J337,'Calc Avalanche'!J337,'Calc Snowball'!J337,'Calc Cashflow'!J337)</f>
        <v/>
      </c>
      <c r="N331" s="67">
        <f>CHOOSE(Plan!$K$5,'Calc Smart'!K337,'Calc Avalanche'!K337,'Calc Snowball'!K337,'Calc Cashflow'!K337)</f>
        <v/>
      </c>
      <c r="O331" s="67">
        <f>CHOOSE(Plan!$K$5,'Calc Smart'!L337,'Calc Avalanche'!L337,'Calc Snowball'!L337,'Calc Cashflow'!L337)</f>
        <v/>
      </c>
      <c r="P331" s="67">
        <f>CHOOSE(Plan!$K$5,'Calc Smart'!M337,'Calc Avalanche'!M337,'Calc Snowball'!M337,'Calc Cashflow'!M337)</f>
        <v/>
      </c>
      <c r="Q331" s="67">
        <f>CHOOSE(Plan!$K$5,'Calc Smart'!N337,'Calc Avalanche'!N337,'Calc Snowball'!N337,'Calc Cashflow'!N337)</f>
        <v/>
      </c>
    </row>
    <row r="332">
      <c r="B332" s="64">
        <f>EDATE(Plan!$C$6,326)</f>
        <v/>
      </c>
      <c r="C332" s="31">
        <f>CHOOSE(Plan!$K$5,'Calc Smart'!AE338,'Calc Avalanche'!AE338,'Calc Snowball'!AE338,'Calc Cashflow'!AE338)</f>
        <v/>
      </c>
      <c r="D332" s="31">
        <f>CHOOSE(Plan!$K$5,'Calc Smart'!AD338,'Calc Avalanche'!AD338,'Calc Snowball'!AD338,'Calc Cashflow'!AD338)</f>
        <v/>
      </c>
      <c r="E332" s="40">
        <f>CHOOSE(Plan!$K$5,COUNTIF('Calc Smart'!C338:N338,"&gt;0"),COUNTIF('Calc Avalanche'!C338:N338,"&gt;0"),COUNTIF('Calc Snowball'!C338:N338,"&gt;0"),COUNTIF('Calc Cashflow'!C338:N338,"&gt;0"))</f>
        <v/>
      </c>
      <c r="F332" s="65">
        <f>CHOOSE(Plan!$K$5,'Calc Smart'!C338,'Calc Avalanche'!C338,'Calc Snowball'!C338,'Calc Cashflow'!C338)</f>
        <v/>
      </c>
      <c r="G332" s="65">
        <f>CHOOSE(Plan!$K$5,'Calc Smart'!D338,'Calc Avalanche'!D338,'Calc Snowball'!D338,'Calc Cashflow'!D338)</f>
        <v/>
      </c>
      <c r="H332" s="65">
        <f>CHOOSE(Plan!$K$5,'Calc Smart'!E338,'Calc Avalanche'!E338,'Calc Snowball'!E338,'Calc Cashflow'!E338)</f>
        <v/>
      </c>
      <c r="I332" s="65">
        <f>CHOOSE(Plan!$K$5,'Calc Smart'!F338,'Calc Avalanche'!F338,'Calc Snowball'!F338,'Calc Cashflow'!F338)</f>
        <v/>
      </c>
      <c r="J332" s="65">
        <f>CHOOSE(Plan!$K$5,'Calc Smart'!G338,'Calc Avalanche'!G338,'Calc Snowball'!G338,'Calc Cashflow'!G338)</f>
        <v/>
      </c>
      <c r="K332" s="65">
        <f>CHOOSE(Plan!$K$5,'Calc Smart'!H338,'Calc Avalanche'!H338,'Calc Snowball'!H338,'Calc Cashflow'!H338)</f>
        <v/>
      </c>
      <c r="L332" s="65">
        <f>CHOOSE(Plan!$K$5,'Calc Smart'!I338,'Calc Avalanche'!I338,'Calc Snowball'!I338,'Calc Cashflow'!I338)</f>
        <v/>
      </c>
      <c r="M332" s="65">
        <f>CHOOSE(Plan!$K$5,'Calc Smart'!J338,'Calc Avalanche'!J338,'Calc Snowball'!J338,'Calc Cashflow'!J338)</f>
        <v/>
      </c>
      <c r="N332" s="65">
        <f>CHOOSE(Plan!$K$5,'Calc Smart'!K338,'Calc Avalanche'!K338,'Calc Snowball'!K338,'Calc Cashflow'!K338)</f>
        <v/>
      </c>
      <c r="O332" s="65">
        <f>CHOOSE(Plan!$K$5,'Calc Smart'!L338,'Calc Avalanche'!L338,'Calc Snowball'!L338,'Calc Cashflow'!L338)</f>
        <v/>
      </c>
      <c r="P332" s="65">
        <f>CHOOSE(Plan!$K$5,'Calc Smart'!M338,'Calc Avalanche'!M338,'Calc Snowball'!M338,'Calc Cashflow'!M338)</f>
        <v/>
      </c>
      <c r="Q332" s="65">
        <f>CHOOSE(Plan!$K$5,'Calc Smart'!N338,'Calc Avalanche'!N338,'Calc Snowball'!N338,'Calc Cashflow'!N338)</f>
        <v/>
      </c>
    </row>
    <row r="333">
      <c r="B333" s="66">
        <f>EDATE(Plan!$C$6,327)</f>
        <v/>
      </c>
      <c r="C333" s="32">
        <f>CHOOSE(Plan!$K$5,'Calc Smart'!AE339,'Calc Avalanche'!AE339,'Calc Snowball'!AE339,'Calc Cashflow'!AE339)</f>
        <v/>
      </c>
      <c r="D333" s="32">
        <f>CHOOSE(Plan!$K$5,'Calc Smart'!AD339,'Calc Avalanche'!AD339,'Calc Snowball'!AD339,'Calc Cashflow'!AD339)</f>
        <v/>
      </c>
      <c r="E333" s="43">
        <f>CHOOSE(Plan!$K$5,COUNTIF('Calc Smart'!C339:N339,"&gt;0"),COUNTIF('Calc Avalanche'!C339:N339,"&gt;0"),COUNTIF('Calc Snowball'!C339:N339,"&gt;0"),COUNTIF('Calc Cashflow'!C339:N339,"&gt;0"))</f>
        <v/>
      </c>
      <c r="F333" s="67">
        <f>CHOOSE(Plan!$K$5,'Calc Smart'!C339,'Calc Avalanche'!C339,'Calc Snowball'!C339,'Calc Cashflow'!C339)</f>
        <v/>
      </c>
      <c r="G333" s="67">
        <f>CHOOSE(Plan!$K$5,'Calc Smart'!D339,'Calc Avalanche'!D339,'Calc Snowball'!D339,'Calc Cashflow'!D339)</f>
        <v/>
      </c>
      <c r="H333" s="67">
        <f>CHOOSE(Plan!$K$5,'Calc Smart'!E339,'Calc Avalanche'!E339,'Calc Snowball'!E339,'Calc Cashflow'!E339)</f>
        <v/>
      </c>
      <c r="I333" s="67">
        <f>CHOOSE(Plan!$K$5,'Calc Smart'!F339,'Calc Avalanche'!F339,'Calc Snowball'!F339,'Calc Cashflow'!F339)</f>
        <v/>
      </c>
      <c r="J333" s="67">
        <f>CHOOSE(Plan!$K$5,'Calc Smart'!G339,'Calc Avalanche'!G339,'Calc Snowball'!G339,'Calc Cashflow'!G339)</f>
        <v/>
      </c>
      <c r="K333" s="67">
        <f>CHOOSE(Plan!$K$5,'Calc Smart'!H339,'Calc Avalanche'!H339,'Calc Snowball'!H339,'Calc Cashflow'!H339)</f>
        <v/>
      </c>
      <c r="L333" s="67">
        <f>CHOOSE(Plan!$K$5,'Calc Smart'!I339,'Calc Avalanche'!I339,'Calc Snowball'!I339,'Calc Cashflow'!I339)</f>
        <v/>
      </c>
      <c r="M333" s="67">
        <f>CHOOSE(Plan!$K$5,'Calc Smart'!J339,'Calc Avalanche'!J339,'Calc Snowball'!J339,'Calc Cashflow'!J339)</f>
        <v/>
      </c>
      <c r="N333" s="67">
        <f>CHOOSE(Plan!$K$5,'Calc Smart'!K339,'Calc Avalanche'!K339,'Calc Snowball'!K339,'Calc Cashflow'!K339)</f>
        <v/>
      </c>
      <c r="O333" s="67">
        <f>CHOOSE(Plan!$K$5,'Calc Smart'!L339,'Calc Avalanche'!L339,'Calc Snowball'!L339,'Calc Cashflow'!L339)</f>
        <v/>
      </c>
      <c r="P333" s="67">
        <f>CHOOSE(Plan!$K$5,'Calc Smart'!M339,'Calc Avalanche'!M339,'Calc Snowball'!M339,'Calc Cashflow'!M339)</f>
        <v/>
      </c>
      <c r="Q333" s="67">
        <f>CHOOSE(Plan!$K$5,'Calc Smart'!N339,'Calc Avalanche'!N339,'Calc Snowball'!N339,'Calc Cashflow'!N339)</f>
        <v/>
      </c>
    </row>
    <row r="334">
      <c r="B334" s="64">
        <f>EDATE(Plan!$C$6,328)</f>
        <v/>
      </c>
      <c r="C334" s="31">
        <f>CHOOSE(Plan!$K$5,'Calc Smart'!AE340,'Calc Avalanche'!AE340,'Calc Snowball'!AE340,'Calc Cashflow'!AE340)</f>
        <v/>
      </c>
      <c r="D334" s="31">
        <f>CHOOSE(Plan!$K$5,'Calc Smart'!AD340,'Calc Avalanche'!AD340,'Calc Snowball'!AD340,'Calc Cashflow'!AD340)</f>
        <v/>
      </c>
      <c r="E334" s="40">
        <f>CHOOSE(Plan!$K$5,COUNTIF('Calc Smart'!C340:N340,"&gt;0"),COUNTIF('Calc Avalanche'!C340:N340,"&gt;0"),COUNTIF('Calc Snowball'!C340:N340,"&gt;0"),COUNTIF('Calc Cashflow'!C340:N340,"&gt;0"))</f>
        <v/>
      </c>
      <c r="F334" s="65">
        <f>CHOOSE(Plan!$K$5,'Calc Smart'!C340,'Calc Avalanche'!C340,'Calc Snowball'!C340,'Calc Cashflow'!C340)</f>
        <v/>
      </c>
      <c r="G334" s="65">
        <f>CHOOSE(Plan!$K$5,'Calc Smart'!D340,'Calc Avalanche'!D340,'Calc Snowball'!D340,'Calc Cashflow'!D340)</f>
        <v/>
      </c>
      <c r="H334" s="65">
        <f>CHOOSE(Plan!$K$5,'Calc Smart'!E340,'Calc Avalanche'!E340,'Calc Snowball'!E340,'Calc Cashflow'!E340)</f>
        <v/>
      </c>
      <c r="I334" s="65">
        <f>CHOOSE(Plan!$K$5,'Calc Smart'!F340,'Calc Avalanche'!F340,'Calc Snowball'!F340,'Calc Cashflow'!F340)</f>
        <v/>
      </c>
      <c r="J334" s="65">
        <f>CHOOSE(Plan!$K$5,'Calc Smart'!G340,'Calc Avalanche'!G340,'Calc Snowball'!G340,'Calc Cashflow'!G340)</f>
        <v/>
      </c>
      <c r="K334" s="65">
        <f>CHOOSE(Plan!$K$5,'Calc Smart'!H340,'Calc Avalanche'!H340,'Calc Snowball'!H340,'Calc Cashflow'!H340)</f>
        <v/>
      </c>
      <c r="L334" s="65">
        <f>CHOOSE(Plan!$K$5,'Calc Smart'!I340,'Calc Avalanche'!I340,'Calc Snowball'!I340,'Calc Cashflow'!I340)</f>
        <v/>
      </c>
      <c r="M334" s="65">
        <f>CHOOSE(Plan!$K$5,'Calc Smart'!J340,'Calc Avalanche'!J340,'Calc Snowball'!J340,'Calc Cashflow'!J340)</f>
        <v/>
      </c>
      <c r="N334" s="65">
        <f>CHOOSE(Plan!$K$5,'Calc Smart'!K340,'Calc Avalanche'!K340,'Calc Snowball'!K340,'Calc Cashflow'!K340)</f>
        <v/>
      </c>
      <c r="O334" s="65">
        <f>CHOOSE(Plan!$K$5,'Calc Smart'!L340,'Calc Avalanche'!L340,'Calc Snowball'!L340,'Calc Cashflow'!L340)</f>
        <v/>
      </c>
      <c r="P334" s="65">
        <f>CHOOSE(Plan!$K$5,'Calc Smart'!M340,'Calc Avalanche'!M340,'Calc Snowball'!M340,'Calc Cashflow'!M340)</f>
        <v/>
      </c>
      <c r="Q334" s="65">
        <f>CHOOSE(Plan!$K$5,'Calc Smart'!N340,'Calc Avalanche'!N340,'Calc Snowball'!N340,'Calc Cashflow'!N340)</f>
        <v/>
      </c>
    </row>
    <row r="335">
      <c r="B335" s="66">
        <f>EDATE(Plan!$C$6,329)</f>
        <v/>
      </c>
      <c r="C335" s="32">
        <f>CHOOSE(Plan!$K$5,'Calc Smart'!AE341,'Calc Avalanche'!AE341,'Calc Snowball'!AE341,'Calc Cashflow'!AE341)</f>
        <v/>
      </c>
      <c r="D335" s="32">
        <f>CHOOSE(Plan!$K$5,'Calc Smart'!AD341,'Calc Avalanche'!AD341,'Calc Snowball'!AD341,'Calc Cashflow'!AD341)</f>
        <v/>
      </c>
      <c r="E335" s="43">
        <f>CHOOSE(Plan!$K$5,COUNTIF('Calc Smart'!C341:N341,"&gt;0"),COUNTIF('Calc Avalanche'!C341:N341,"&gt;0"),COUNTIF('Calc Snowball'!C341:N341,"&gt;0"),COUNTIF('Calc Cashflow'!C341:N341,"&gt;0"))</f>
        <v/>
      </c>
      <c r="F335" s="67">
        <f>CHOOSE(Plan!$K$5,'Calc Smart'!C341,'Calc Avalanche'!C341,'Calc Snowball'!C341,'Calc Cashflow'!C341)</f>
        <v/>
      </c>
      <c r="G335" s="67">
        <f>CHOOSE(Plan!$K$5,'Calc Smart'!D341,'Calc Avalanche'!D341,'Calc Snowball'!D341,'Calc Cashflow'!D341)</f>
        <v/>
      </c>
      <c r="H335" s="67">
        <f>CHOOSE(Plan!$K$5,'Calc Smart'!E341,'Calc Avalanche'!E341,'Calc Snowball'!E341,'Calc Cashflow'!E341)</f>
        <v/>
      </c>
      <c r="I335" s="67">
        <f>CHOOSE(Plan!$K$5,'Calc Smart'!F341,'Calc Avalanche'!F341,'Calc Snowball'!F341,'Calc Cashflow'!F341)</f>
        <v/>
      </c>
      <c r="J335" s="67">
        <f>CHOOSE(Plan!$K$5,'Calc Smart'!G341,'Calc Avalanche'!G341,'Calc Snowball'!G341,'Calc Cashflow'!G341)</f>
        <v/>
      </c>
      <c r="K335" s="67">
        <f>CHOOSE(Plan!$K$5,'Calc Smart'!H341,'Calc Avalanche'!H341,'Calc Snowball'!H341,'Calc Cashflow'!H341)</f>
        <v/>
      </c>
      <c r="L335" s="67">
        <f>CHOOSE(Plan!$K$5,'Calc Smart'!I341,'Calc Avalanche'!I341,'Calc Snowball'!I341,'Calc Cashflow'!I341)</f>
        <v/>
      </c>
      <c r="M335" s="67">
        <f>CHOOSE(Plan!$K$5,'Calc Smart'!J341,'Calc Avalanche'!J341,'Calc Snowball'!J341,'Calc Cashflow'!J341)</f>
        <v/>
      </c>
      <c r="N335" s="67">
        <f>CHOOSE(Plan!$K$5,'Calc Smart'!K341,'Calc Avalanche'!K341,'Calc Snowball'!K341,'Calc Cashflow'!K341)</f>
        <v/>
      </c>
      <c r="O335" s="67">
        <f>CHOOSE(Plan!$K$5,'Calc Smart'!L341,'Calc Avalanche'!L341,'Calc Snowball'!L341,'Calc Cashflow'!L341)</f>
        <v/>
      </c>
      <c r="P335" s="67">
        <f>CHOOSE(Plan!$K$5,'Calc Smart'!M341,'Calc Avalanche'!M341,'Calc Snowball'!M341,'Calc Cashflow'!M341)</f>
        <v/>
      </c>
      <c r="Q335" s="67">
        <f>CHOOSE(Plan!$K$5,'Calc Smart'!N341,'Calc Avalanche'!N341,'Calc Snowball'!N341,'Calc Cashflow'!N341)</f>
        <v/>
      </c>
    </row>
    <row r="336">
      <c r="B336" s="64">
        <f>EDATE(Plan!$C$6,330)</f>
        <v/>
      </c>
      <c r="C336" s="31">
        <f>CHOOSE(Plan!$K$5,'Calc Smart'!AE342,'Calc Avalanche'!AE342,'Calc Snowball'!AE342,'Calc Cashflow'!AE342)</f>
        <v/>
      </c>
      <c r="D336" s="31">
        <f>CHOOSE(Plan!$K$5,'Calc Smart'!AD342,'Calc Avalanche'!AD342,'Calc Snowball'!AD342,'Calc Cashflow'!AD342)</f>
        <v/>
      </c>
      <c r="E336" s="40">
        <f>CHOOSE(Plan!$K$5,COUNTIF('Calc Smart'!C342:N342,"&gt;0"),COUNTIF('Calc Avalanche'!C342:N342,"&gt;0"),COUNTIF('Calc Snowball'!C342:N342,"&gt;0"),COUNTIF('Calc Cashflow'!C342:N342,"&gt;0"))</f>
        <v/>
      </c>
      <c r="F336" s="65">
        <f>CHOOSE(Plan!$K$5,'Calc Smart'!C342,'Calc Avalanche'!C342,'Calc Snowball'!C342,'Calc Cashflow'!C342)</f>
        <v/>
      </c>
      <c r="G336" s="65">
        <f>CHOOSE(Plan!$K$5,'Calc Smart'!D342,'Calc Avalanche'!D342,'Calc Snowball'!D342,'Calc Cashflow'!D342)</f>
        <v/>
      </c>
      <c r="H336" s="65">
        <f>CHOOSE(Plan!$K$5,'Calc Smart'!E342,'Calc Avalanche'!E342,'Calc Snowball'!E342,'Calc Cashflow'!E342)</f>
        <v/>
      </c>
      <c r="I336" s="65">
        <f>CHOOSE(Plan!$K$5,'Calc Smart'!F342,'Calc Avalanche'!F342,'Calc Snowball'!F342,'Calc Cashflow'!F342)</f>
        <v/>
      </c>
      <c r="J336" s="65">
        <f>CHOOSE(Plan!$K$5,'Calc Smart'!G342,'Calc Avalanche'!G342,'Calc Snowball'!G342,'Calc Cashflow'!G342)</f>
        <v/>
      </c>
      <c r="K336" s="65">
        <f>CHOOSE(Plan!$K$5,'Calc Smart'!H342,'Calc Avalanche'!H342,'Calc Snowball'!H342,'Calc Cashflow'!H342)</f>
        <v/>
      </c>
      <c r="L336" s="65">
        <f>CHOOSE(Plan!$K$5,'Calc Smart'!I342,'Calc Avalanche'!I342,'Calc Snowball'!I342,'Calc Cashflow'!I342)</f>
        <v/>
      </c>
      <c r="M336" s="65">
        <f>CHOOSE(Plan!$K$5,'Calc Smart'!J342,'Calc Avalanche'!J342,'Calc Snowball'!J342,'Calc Cashflow'!J342)</f>
        <v/>
      </c>
      <c r="N336" s="65">
        <f>CHOOSE(Plan!$K$5,'Calc Smart'!K342,'Calc Avalanche'!K342,'Calc Snowball'!K342,'Calc Cashflow'!K342)</f>
        <v/>
      </c>
      <c r="O336" s="65">
        <f>CHOOSE(Plan!$K$5,'Calc Smart'!L342,'Calc Avalanche'!L342,'Calc Snowball'!L342,'Calc Cashflow'!L342)</f>
        <v/>
      </c>
      <c r="P336" s="65">
        <f>CHOOSE(Plan!$K$5,'Calc Smart'!M342,'Calc Avalanche'!M342,'Calc Snowball'!M342,'Calc Cashflow'!M342)</f>
        <v/>
      </c>
      <c r="Q336" s="65">
        <f>CHOOSE(Plan!$K$5,'Calc Smart'!N342,'Calc Avalanche'!N342,'Calc Snowball'!N342,'Calc Cashflow'!N342)</f>
        <v/>
      </c>
    </row>
    <row r="337">
      <c r="B337" s="66">
        <f>EDATE(Plan!$C$6,331)</f>
        <v/>
      </c>
      <c r="C337" s="32">
        <f>CHOOSE(Plan!$K$5,'Calc Smart'!AE343,'Calc Avalanche'!AE343,'Calc Snowball'!AE343,'Calc Cashflow'!AE343)</f>
        <v/>
      </c>
      <c r="D337" s="32">
        <f>CHOOSE(Plan!$K$5,'Calc Smart'!AD343,'Calc Avalanche'!AD343,'Calc Snowball'!AD343,'Calc Cashflow'!AD343)</f>
        <v/>
      </c>
      <c r="E337" s="43">
        <f>CHOOSE(Plan!$K$5,COUNTIF('Calc Smart'!C343:N343,"&gt;0"),COUNTIF('Calc Avalanche'!C343:N343,"&gt;0"),COUNTIF('Calc Snowball'!C343:N343,"&gt;0"),COUNTIF('Calc Cashflow'!C343:N343,"&gt;0"))</f>
        <v/>
      </c>
      <c r="F337" s="67">
        <f>CHOOSE(Plan!$K$5,'Calc Smart'!C343,'Calc Avalanche'!C343,'Calc Snowball'!C343,'Calc Cashflow'!C343)</f>
        <v/>
      </c>
      <c r="G337" s="67">
        <f>CHOOSE(Plan!$K$5,'Calc Smart'!D343,'Calc Avalanche'!D343,'Calc Snowball'!D343,'Calc Cashflow'!D343)</f>
        <v/>
      </c>
      <c r="H337" s="67">
        <f>CHOOSE(Plan!$K$5,'Calc Smart'!E343,'Calc Avalanche'!E343,'Calc Snowball'!E343,'Calc Cashflow'!E343)</f>
        <v/>
      </c>
      <c r="I337" s="67">
        <f>CHOOSE(Plan!$K$5,'Calc Smart'!F343,'Calc Avalanche'!F343,'Calc Snowball'!F343,'Calc Cashflow'!F343)</f>
        <v/>
      </c>
      <c r="J337" s="67">
        <f>CHOOSE(Plan!$K$5,'Calc Smart'!G343,'Calc Avalanche'!G343,'Calc Snowball'!G343,'Calc Cashflow'!G343)</f>
        <v/>
      </c>
      <c r="K337" s="67">
        <f>CHOOSE(Plan!$K$5,'Calc Smart'!H343,'Calc Avalanche'!H343,'Calc Snowball'!H343,'Calc Cashflow'!H343)</f>
        <v/>
      </c>
      <c r="L337" s="67">
        <f>CHOOSE(Plan!$K$5,'Calc Smart'!I343,'Calc Avalanche'!I343,'Calc Snowball'!I343,'Calc Cashflow'!I343)</f>
        <v/>
      </c>
      <c r="M337" s="67">
        <f>CHOOSE(Plan!$K$5,'Calc Smart'!J343,'Calc Avalanche'!J343,'Calc Snowball'!J343,'Calc Cashflow'!J343)</f>
        <v/>
      </c>
      <c r="N337" s="67">
        <f>CHOOSE(Plan!$K$5,'Calc Smart'!K343,'Calc Avalanche'!K343,'Calc Snowball'!K343,'Calc Cashflow'!K343)</f>
        <v/>
      </c>
      <c r="O337" s="67">
        <f>CHOOSE(Plan!$K$5,'Calc Smart'!L343,'Calc Avalanche'!L343,'Calc Snowball'!L343,'Calc Cashflow'!L343)</f>
        <v/>
      </c>
      <c r="P337" s="67">
        <f>CHOOSE(Plan!$K$5,'Calc Smart'!M343,'Calc Avalanche'!M343,'Calc Snowball'!M343,'Calc Cashflow'!M343)</f>
        <v/>
      </c>
      <c r="Q337" s="67">
        <f>CHOOSE(Plan!$K$5,'Calc Smart'!N343,'Calc Avalanche'!N343,'Calc Snowball'!N343,'Calc Cashflow'!N343)</f>
        <v/>
      </c>
    </row>
    <row r="338">
      <c r="B338" s="64">
        <f>EDATE(Plan!$C$6,332)</f>
        <v/>
      </c>
      <c r="C338" s="31">
        <f>CHOOSE(Plan!$K$5,'Calc Smart'!AE344,'Calc Avalanche'!AE344,'Calc Snowball'!AE344,'Calc Cashflow'!AE344)</f>
        <v/>
      </c>
      <c r="D338" s="31">
        <f>CHOOSE(Plan!$K$5,'Calc Smart'!AD344,'Calc Avalanche'!AD344,'Calc Snowball'!AD344,'Calc Cashflow'!AD344)</f>
        <v/>
      </c>
      <c r="E338" s="40">
        <f>CHOOSE(Plan!$K$5,COUNTIF('Calc Smart'!C344:N344,"&gt;0"),COUNTIF('Calc Avalanche'!C344:N344,"&gt;0"),COUNTIF('Calc Snowball'!C344:N344,"&gt;0"),COUNTIF('Calc Cashflow'!C344:N344,"&gt;0"))</f>
        <v/>
      </c>
      <c r="F338" s="65">
        <f>CHOOSE(Plan!$K$5,'Calc Smart'!C344,'Calc Avalanche'!C344,'Calc Snowball'!C344,'Calc Cashflow'!C344)</f>
        <v/>
      </c>
      <c r="G338" s="65">
        <f>CHOOSE(Plan!$K$5,'Calc Smart'!D344,'Calc Avalanche'!D344,'Calc Snowball'!D344,'Calc Cashflow'!D344)</f>
        <v/>
      </c>
      <c r="H338" s="65">
        <f>CHOOSE(Plan!$K$5,'Calc Smart'!E344,'Calc Avalanche'!E344,'Calc Snowball'!E344,'Calc Cashflow'!E344)</f>
        <v/>
      </c>
      <c r="I338" s="65">
        <f>CHOOSE(Plan!$K$5,'Calc Smart'!F344,'Calc Avalanche'!F344,'Calc Snowball'!F344,'Calc Cashflow'!F344)</f>
        <v/>
      </c>
      <c r="J338" s="65">
        <f>CHOOSE(Plan!$K$5,'Calc Smart'!G344,'Calc Avalanche'!G344,'Calc Snowball'!G344,'Calc Cashflow'!G344)</f>
        <v/>
      </c>
      <c r="K338" s="65">
        <f>CHOOSE(Plan!$K$5,'Calc Smart'!H344,'Calc Avalanche'!H344,'Calc Snowball'!H344,'Calc Cashflow'!H344)</f>
        <v/>
      </c>
      <c r="L338" s="65">
        <f>CHOOSE(Plan!$K$5,'Calc Smart'!I344,'Calc Avalanche'!I344,'Calc Snowball'!I344,'Calc Cashflow'!I344)</f>
        <v/>
      </c>
      <c r="M338" s="65">
        <f>CHOOSE(Plan!$K$5,'Calc Smart'!J344,'Calc Avalanche'!J344,'Calc Snowball'!J344,'Calc Cashflow'!J344)</f>
        <v/>
      </c>
      <c r="N338" s="65">
        <f>CHOOSE(Plan!$K$5,'Calc Smart'!K344,'Calc Avalanche'!K344,'Calc Snowball'!K344,'Calc Cashflow'!K344)</f>
        <v/>
      </c>
      <c r="O338" s="65">
        <f>CHOOSE(Plan!$K$5,'Calc Smart'!L344,'Calc Avalanche'!L344,'Calc Snowball'!L344,'Calc Cashflow'!L344)</f>
        <v/>
      </c>
      <c r="P338" s="65">
        <f>CHOOSE(Plan!$K$5,'Calc Smart'!M344,'Calc Avalanche'!M344,'Calc Snowball'!M344,'Calc Cashflow'!M344)</f>
        <v/>
      </c>
      <c r="Q338" s="65">
        <f>CHOOSE(Plan!$K$5,'Calc Smart'!N344,'Calc Avalanche'!N344,'Calc Snowball'!N344,'Calc Cashflow'!N344)</f>
        <v/>
      </c>
    </row>
    <row r="339">
      <c r="B339" s="66">
        <f>EDATE(Plan!$C$6,333)</f>
        <v/>
      </c>
      <c r="C339" s="32">
        <f>CHOOSE(Plan!$K$5,'Calc Smart'!AE345,'Calc Avalanche'!AE345,'Calc Snowball'!AE345,'Calc Cashflow'!AE345)</f>
        <v/>
      </c>
      <c r="D339" s="32">
        <f>CHOOSE(Plan!$K$5,'Calc Smart'!AD345,'Calc Avalanche'!AD345,'Calc Snowball'!AD345,'Calc Cashflow'!AD345)</f>
        <v/>
      </c>
      <c r="E339" s="43">
        <f>CHOOSE(Plan!$K$5,COUNTIF('Calc Smart'!C345:N345,"&gt;0"),COUNTIF('Calc Avalanche'!C345:N345,"&gt;0"),COUNTIF('Calc Snowball'!C345:N345,"&gt;0"),COUNTIF('Calc Cashflow'!C345:N345,"&gt;0"))</f>
        <v/>
      </c>
      <c r="F339" s="67">
        <f>CHOOSE(Plan!$K$5,'Calc Smart'!C345,'Calc Avalanche'!C345,'Calc Snowball'!C345,'Calc Cashflow'!C345)</f>
        <v/>
      </c>
      <c r="G339" s="67">
        <f>CHOOSE(Plan!$K$5,'Calc Smart'!D345,'Calc Avalanche'!D345,'Calc Snowball'!D345,'Calc Cashflow'!D345)</f>
        <v/>
      </c>
      <c r="H339" s="67">
        <f>CHOOSE(Plan!$K$5,'Calc Smart'!E345,'Calc Avalanche'!E345,'Calc Snowball'!E345,'Calc Cashflow'!E345)</f>
        <v/>
      </c>
      <c r="I339" s="67">
        <f>CHOOSE(Plan!$K$5,'Calc Smart'!F345,'Calc Avalanche'!F345,'Calc Snowball'!F345,'Calc Cashflow'!F345)</f>
        <v/>
      </c>
      <c r="J339" s="67">
        <f>CHOOSE(Plan!$K$5,'Calc Smart'!G345,'Calc Avalanche'!G345,'Calc Snowball'!G345,'Calc Cashflow'!G345)</f>
        <v/>
      </c>
      <c r="K339" s="67">
        <f>CHOOSE(Plan!$K$5,'Calc Smart'!H345,'Calc Avalanche'!H345,'Calc Snowball'!H345,'Calc Cashflow'!H345)</f>
        <v/>
      </c>
      <c r="L339" s="67">
        <f>CHOOSE(Plan!$K$5,'Calc Smart'!I345,'Calc Avalanche'!I345,'Calc Snowball'!I345,'Calc Cashflow'!I345)</f>
        <v/>
      </c>
      <c r="M339" s="67">
        <f>CHOOSE(Plan!$K$5,'Calc Smart'!J345,'Calc Avalanche'!J345,'Calc Snowball'!J345,'Calc Cashflow'!J345)</f>
        <v/>
      </c>
      <c r="N339" s="67">
        <f>CHOOSE(Plan!$K$5,'Calc Smart'!K345,'Calc Avalanche'!K345,'Calc Snowball'!K345,'Calc Cashflow'!K345)</f>
        <v/>
      </c>
      <c r="O339" s="67">
        <f>CHOOSE(Plan!$K$5,'Calc Smart'!L345,'Calc Avalanche'!L345,'Calc Snowball'!L345,'Calc Cashflow'!L345)</f>
        <v/>
      </c>
      <c r="P339" s="67">
        <f>CHOOSE(Plan!$K$5,'Calc Smart'!M345,'Calc Avalanche'!M345,'Calc Snowball'!M345,'Calc Cashflow'!M345)</f>
        <v/>
      </c>
      <c r="Q339" s="67">
        <f>CHOOSE(Plan!$K$5,'Calc Smart'!N345,'Calc Avalanche'!N345,'Calc Snowball'!N345,'Calc Cashflow'!N345)</f>
        <v/>
      </c>
    </row>
    <row r="340">
      <c r="B340" s="64">
        <f>EDATE(Plan!$C$6,334)</f>
        <v/>
      </c>
      <c r="C340" s="31">
        <f>CHOOSE(Plan!$K$5,'Calc Smart'!AE346,'Calc Avalanche'!AE346,'Calc Snowball'!AE346,'Calc Cashflow'!AE346)</f>
        <v/>
      </c>
      <c r="D340" s="31">
        <f>CHOOSE(Plan!$K$5,'Calc Smart'!AD346,'Calc Avalanche'!AD346,'Calc Snowball'!AD346,'Calc Cashflow'!AD346)</f>
        <v/>
      </c>
      <c r="E340" s="40">
        <f>CHOOSE(Plan!$K$5,COUNTIF('Calc Smart'!C346:N346,"&gt;0"),COUNTIF('Calc Avalanche'!C346:N346,"&gt;0"),COUNTIF('Calc Snowball'!C346:N346,"&gt;0"),COUNTIF('Calc Cashflow'!C346:N346,"&gt;0"))</f>
        <v/>
      </c>
      <c r="F340" s="65">
        <f>CHOOSE(Plan!$K$5,'Calc Smart'!C346,'Calc Avalanche'!C346,'Calc Snowball'!C346,'Calc Cashflow'!C346)</f>
        <v/>
      </c>
      <c r="G340" s="65">
        <f>CHOOSE(Plan!$K$5,'Calc Smart'!D346,'Calc Avalanche'!D346,'Calc Snowball'!D346,'Calc Cashflow'!D346)</f>
        <v/>
      </c>
      <c r="H340" s="65">
        <f>CHOOSE(Plan!$K$5,'Calc Smart'!E346,'Calc Avalanche'!E346,'Calc Snowball'!E346,'Calc Cashflow'!E346)</f>
        <v/>
      </c>
      <c r="I340" s="65">
        <f>CHOOSE(Plan!$K$5,'Calc Smart'!F346,'Calc Avalanche'!F346,'Calc Snowball'!F346,'Calc Cashflow'!F346)</f>
        <v/>
      </c>
      <c r="J340" s="65">
        <f>CHOOSE(Plan!$K$5,'Calc Smart'!G346,'Calc Avalanche'!G346,'Calc Snowball'!G346,'Calc Cashflow'!G346)</f>
        <v/>
      </c>
      <c r="K340" s="65">
        <f>CHOOSE(Plan!$K$5,'Calc Smart'!H346,'Calc Avalanche'!H346,'Calc Snowball'!H346,'Calc Cashflow'!H346)</f>
        <v/>
      </c>
      <c r="L340" s="65">
        <f>CHOOSE(Plan!$K$5,'Calc Smart'!I346,'Calc Avalanche'!I346,'Calc Snowball'!I346,'Calc Cashflow'!I346)</f>
        <v/>
      </c>
      <c r="M340" s="65">
        <f>CHOOSE(Plan!$K$5,'Calc Smart'!J346,'Calc Avalanche'!J346,'Calc Snowball'!J346,'Calc Cashflow'!J346)</f>
        <v/>
      </c>
      <c r="N340" s="65">
        <f>CHOOSE(Plan!$K$5,'Calc Smart'!K346,'Calc Avalanche'!K346,'Calc Snowball'!K346,'Calc Cashflow'!K346)</f>
        <v/>
      </c>
      <c r="O340" s="65">
        <f>CHOOSE(Plan!$K$5,'Calc Smart'!L346,'Calc Avalanche'!L346,'Calc Snowball'!L346,'Calc Cashflow'!L346)</f>
        <v/>
      </c>
      <c r="P340" s="65">
        <f>CHOOSE(Plan!$K$5,'Calc Smart'!M346,'Calc Avalanche'!M346,'Calc Snowball'!M346,'Calc Cashflow'!M346)</f>
        <v/>
      </c>
      <c r="Q340" s="65">
        <f>CHOOSE(Plan!$K$5,'Calc Smart'!N346,'Calc Avalanche'!N346,'Calc Snowball'!N346,'Calc Cashflow'!N346)</f>
        <v/>
      </c>
    </row>
    <row r="341">
      <c r="B341" s="66">
        <f>EDATE(Plan!$C$6,335)</f>
        <v/>
      </c>
      <c r="C341" s="32">
        <f>CHOOSE(Plan!$K$5,'Calc Smart'!AE347,'Calc Avalanche'!AE347,'Calc Snowball'!AE347,'Calc Cashflow'!AE347)</f>
        <v/>
      </c>
      <c r="D341" s="32">
        <f>CHOOSE(Plan!$K$5,'Calc Smart'!AD347,'Calc Avalanche'!AD347,'Calc Snowball'!AD347,'Calc Cashflow'!AD347)</f>
        <v/>
      </c>
      <c r="E341" s="43">
        <f>CHOOSE(Plan!$K$5,COUNTIF('Calc Smart'!C347:N347,"&gt;0"),COUNTIF('Calc Avalanche'!C347:N347,"&gt;0"),COUNTIF('Calc Snowball'!C347:N347,"&gt;0"),COUNTIF('Calc Cashflow'!C347:N347,"&gt;0"))</f>
        <v/>
      </c>
      <c r="F341" s="67">
        <f>CHOOSE(Plan!$K$5,'Calc Smart'!C347,'Calc Avalanche'!C347,'Calc Snowball'!C347,'Calc Cashflow'!C347)</f>
        <v/>
      </c>
      <c r="G341" s="67">
        <f>CHOOSE(Plan!$K$5,'Calc Smart'!D347,'Calc Avalanche'!D347,'Calc Snowball'!D347,'Calc Cashflow'!D347)</f>
        <v/>
      </c>
      <c r="H341" s="67">
        <f>CHOOSE(Plan!$K$5,'Calc Smart'!E347,'Calc Avalanche'!E347,'Calc Snowball'!E347,'Calc Cashflow'!E347)</f>
        <v/>
      </c>
      <c r="I341" s="67">
        <f>CHOOSE(Plan!$K$5,'Calc Smart'!F347,'Calc Avalanche'!F347,'Calc Snowball'!F347,'Calc Cashflow'!F347)</f>
        <v/>
      </c>
      <c r="J341" s="67">
        <f>CHOOSE(Plan!$K$5,'Calc Smart'!G347,'Calc Avalanche'!G347,'Calc Snowball'!G347,'Calc Cashflow'!G347)</f>
        <v/>
      </c>
      <c r="K341" s="67">
        <f>CHOOSE(Plan!$K$5,'Calc Smart'!H347,'Calc Avalanche'!H347,'Calc Snowball'!H347,'Calc Cashflow'!H347)</f>
        <v/>
      </c>
      <c r="L341" s="67">
        <f>CHOOSE(Plan!$K$5,'Calc Smart'!I347,'Calc Avalanche'!I347,'Calc Snowball'!I347,'Calc Cashflow'!I347)</f>
        <v/>
      </c>
      <c r="M341" s="67">
        <f>CHOOSE(Plan!$K$5,'Calc Smart'!J347,'Calc Avalanche'!J347,'Calc Snowball'!J347,'Calc Cashflow'!J347)</f>
        <v/>
      </c>
      <c r="N341" s="67">
        <f>CHOOSE(Plan!$K$5,'Calc Smart'!K347,'Calc Avalanche'!K347,'Calc Snowball'!K347,'Calc Cashflow'!K347)</f>
        <v/>
      </c>
      <c r="O341" s="67">
        <f>CHOOSE(Plan!$K$5,'Calc Smart'!L347,'Calc Avalanche'!L347,'Calc Snowball'!L347,'Calc Cashflow'!L347)</f>
        <v/>
      </c>
      <c r="P341" s="67">
        <f>CHOOSE(Plan!$K$5,'Calc Smart'!M347,'Calc Avalanche'!M347,'Calc Snowball'!M347,'Calc Cashflow'!M347)</f>
        <v/>
      </c>
      <c r="Q341" s="67">
        <f>CHOOSE(Plan!$K$5,'Calc Smart'!N347,'Calc Avalanche'!N347,'Calc Snowball'!N347,'Calc Cashflow'!N347)</f>
        <v/>
      </c>
    </row>
    <row r="342">
      <c r="B342" s="64">
        <f>EDATE(Plan!$C$6,336)</f>
        <v/>
      </c>
      <c r="C342" s="31">
        <f>CHOOSE(Plan!$K$5,'Calc Smart'!AE348,'Calc Avalanche'!AE348,'Calc Snowball'!AE348,'Calc Cashflow'!AE348)</f>
        <v/>
      </c>
      <c r="D342" s="31">
        <f>CHOOSE(Plan!$K$5,'Calc Smart'!AD348,'Calc Avalanche'!AD348,'Calc Snowball'!AD348,'Calc Cashflow'!AD348)</f>
        <v/>
      </c>
      <c r="E342" s="40">
        <f>CHOOSE(Plan!$K$5,COUNTIF('Calc Smart'!C348:N348,"&gt;0"),COUNTIF('Calc Avalanche'!C348:N348,"&gt;0"),COUNTIF('Calc Snowball'!C348:N348,"&gt;0"),COUNTIF('Calc Cashflow'!C348:N348,"&gt;0"))</f>
        <v/>
      </c>
      <c r="F342" s="65">
        <f>CHOOSE(Plan!$K$5,'Calc Smart'!C348,'Calc Avalanche'!C348,'Calc Snowball'!C348,'Calc Cashflow'!C348)</f>
        <v/>
      </c>
      <c r="G342" s="65">
        <f>CHOOSE(Plan!$K$5,'Calc Smart'!D348,'Calc Avalanche'!D348,'Calc Snowball'!D348,'Calc Cashflow'!D348)</f>
        <v/>
      </c>
      <c r="H342" s="65">
        <f>CHOOSE(Plan!$K$5,'Calc Smart'!E348,'Calc Avalanche'!E348,'Calc Snowball'!E348,'Calc Cashflow'!E348)</f>
        <v/>
      </c>
      <c r="I342" s="65">
        <f>CHOOSE(Plan!$K$5,'Calc Smart'!F348,'Calc Avalanche'!F348,'Calc Snowball'!F348,'Calc Cashflow'!F348)</f>
        <v/>
      </c>
      <c r="J342" s="65">
        <f>CHOOSE(Plan!$K$5,'Calc Smart'!G348,'Calc Avalanche'!G348,'Calc Snowball'!G348,'Calc Cashflow'!G348)</f>
        <v/>
      </c>
      <c r="K342" s="65">
        <f>CHOOSE(Plan!$K$5,'Calc Smart'!H348,'Calc Avalanche'!H348,'Calc Snowball'!H348,'Calc Cashflow'!H348)</f>
        <v/>
      </c>
      <c r="L342" s="65">
        <f>CHOOSE(Plan!$K$5,'Calc Smart'!I348,'Calc Avalanche'!I348,'Calc Snowball'!I348,'Calc Cashflow'!I348)</f>
        <v/>
      </c>
      <c r="M342" s="65">
        <f>CHOOSE(Plan!$K$5,'Calc Smart'!J348,'Calc Avalanche'!J348,'Calc Snowball'!J348,'Calc Cashflow'!J348)</f>
        <v/>
      </c>
      <c r="N342" s="65">
        <f>CHOOSE(Plan!$K$5,'Calc Smart'!K348,'Calc Avalanche'!K348,'Calc Snowball'!K348,'Calc Cashflow'!K348)</f>
        <v/>
      </c>
      <c r="O342" s="65">
        <f>CHOOSE(Plan!$K$5,'Calc Smart'!L348,'Calc Avalanche'!L348,'Calc Snowball'!L348,'Calc Cashflow'!L348)</f>
        <v/>
      </c>
      <c r="P342" s="65">
        <f>CHOOSE(Plan!$K$5,'Calc Smart'!M348,'Calc Avalanche'!M348,'Calc Snowball'!M348,'Calc Cashflow'!M348)</f>
        <v/>
      </c>
      <c r="Q342" s="65">
        <f>CHOOSE(Plan!$K$5,'Calc Smart'!N348,'Calc Avalanche'!N348,'Calc Snowball'!N348,'Calc Cashflow'!N348)</f>
        <v/>
      </c>
    </row>
    <row r="343">
      <c r="B343" s="66">
        <f>EDATE(Plan!$C$6,337)</f>
        <v/>
      </c>
      <c r="C343" s="32">
        <f>CHOOSE(Plan!$K$5,'Calc Smart'!AE349,'Calc Avalanche'!AE349,'Calc Snowball'!AE349,'Calc Cashflow'!AE349)</f>
        <v/>
      </c>
      <c r="D343" s="32">
        <f>CHOOSE(Plan!$K$5,'Calc Smart'!AD349,'Calc Avalanche'!AD349,'Calc Snowball'!AD349,'Calc Cashflow'!AD349)</f>
        <v/>
      </c>
      <c r="E343" s="43">
        <f>CHOOSE(Plan!$K$5,COUNTIF('Calc Smart'!C349:N349,"&gt;0"),COUNTIF('Calc Avalanche'!C349:N349,"&gt;0"),COUNTIF('Calc Snowball'!C349:N349,"&gt;0"),COUNTIF('Calc Cashflow'!C349:N349,"&gt;0"))</f>
        <v/>
      </c>
      <c r="F343" s="67">
        <f>CHOOSE(Plan!$K$5,'Calc Smart'!C349,'Calc Avalanche'!C349,'Calc Snowball'!C349,'Calc Cashflow'!C349)</f>
        <v/>
      </c>
      <c r="G343" s="67">
        <f>CHOOSE(Plan!$K$5,'Calc Smart'!D349,'Calc Avalanche'!D349,'Calc Snowball'!D349,'Calc Cashflow'!D349)</f>
        <v/>
      </c>
      <c r="H343" s="67">
        <f>CHOOSE(Plan!$K$5,'Calc Smart'!E349,'Calc Avalanche'!E349,'Calc Snowball'!E349,'Calc Cashflow'!E349)</f>
        <v/>
      </c>
      <c r="I343" s="67">
        <f>CHOOSE(Plan!$K$5,'Calc Smart'!F349,'Calc Avalanche'!F349,'Calc Snowball'!F349,'Calc Cashflow'!F349)</f>
        <v/>
      </c>
      <c r="J343" s="67">
        <f>CHOOSE(Plan!$K$5,'Calc Smart'!G349,'Calc Avalanche'!G349,'Calc Snowball'!G349,'Calc Cashflow'!G349)</f>
        <v/>
      </c>
      <c r="K343" s="67">
        <f>CHOOSE(Plan!$K$5,'Calc Smart'!H349,'Calc Avalanche'!H349,'Calc Snowball'!H349,'Calc Cashflow'!H349)</f>
        <v/>
      </c>
      <c r="L343" s="67">
        <f>CHOOSE(Plan!$K$5,'Calc Smart'!I349,'Calc Avalanche'!I349,'Calc Snowball'!I349,'Calc Cashflow'!I349)</f>
        <v/>
      </c>
      <c r="M343" s="67">
        <f>CHOOSE(Plan!$K$5,'Calc Smart'!J349,'Calc Avalanche'!J349,'Calc Snowball'!J349,'Calc Cashflow'!J349)</f>
        <v/>
      </c>
      <c r="N343" s="67">
        <f>CHOOSE(Plan!$K$5,'Calc Smart'!K349,'Calc Avalanche'!K349,'Calc Snowball'!K349,'Calc Cashflow'!K349)</f>
        <v/>
      </c>
      <c r="O343" s="67">
        <f>CHOOSE(Plan!$K$5,'Calc Smart'!L349,'Calc Avalanche'!L349,'Calc Snowball'!L349,'Calc Cashflow'!L349)</f>
        <v/>
      </c>
      <c r="P343" s="67">
        <f>CHOOSE(Plan!$K$5,'Calc Smart'!M349,'Calc Avalanche'!M349,'Calc Snowball'!M349,'Calc Cashflow'!M349)</f>
        <v/>
      </c>
      <c r="Q343" s="67">
        <f>CHOOSE(Plan!$K$5,'Calc Smart'!N349,'Calc Avalanche'!N349,'Calc Snowball'!N349,'Calc Cashflow'!N349)</f>
        <v/>
      </c>
    </row>
    <row r="344">
      <c r="B344" s="64">
        <f>EDATE(Plan!$C$6,338)</f>
        <v/>
      </c>
      <c r="C344" s="31">
        <f>CHOOSE(Plan!$K$5,'Calc Smart'!AE350,'Calc Avalanche'!AE350,'Calc Snowball'!AE350,'Calc Cashflow'!AE350)</f>
        <v/>
      </c>
      <c r="D344" s="31">
        <f>CHOOSE(Plan!$K$5,'Calc Smart'!AD350,'Calc Avalanche'!AD350,'Calc Snowball'!AD350,'Calc Cashflow'!AD350)</f>
        <v/>
      </c>
      <c r="E344" s="40">
        <f>CHOOSE(Plan!$K$5,COUNTIF('Calc Smart'!C350:N350,"&gt;0"),COUNTIF('Calc Avalanche'!C350:N350,"&gt;0"),COUNTIF('Calc Snowball'!C350:N350,"&gt;0"),COUNTIF('Calc Cashflow'!C350:N350,"&gt;0"))</f>
        <v/>
      </c>
      <c r="F344" s="65">
        <f>CHOOSE(Plan!$K$5,'Calc Smart'!C350,'Calc Avalanche'!C350,'Calc Snowball'!C350,'Calc Cashflow'!C350)</f>
        <v/>
      </c>
      <c r="G344" s="65">
        <f>CHOOSE(Plan!$K$5,'Calc Smart'!D350,'Calc Avalanche'!D350,'Calc Snowball'!D350,'Calc Cashflow'!D350)</f>
        <v/>
      </c>
      <c r="H344" s="65">
        <f>CHOOSE(Plan!$K$5,'Calc Smart'!E350,'Calc Avalanche'!E350,'Calc Snowball'!E350,'Calc Cashflow'!E350)</f>
        <v/>
      </c>
      <c r="I344" s="65">
        <f>CHOOSE(Plan!$K$5,'Calc Smart'!F350,'Calc Avalanche'!F350,'Calc Snowball'!F350,'Calc Cashflow'!F350)</f>
        <v/>
      </c>
      <c r="J344" s="65">
        <f>CHOOSE(Plan!$K$5,'Calc Smart'!G350,'Calc Avalanche'!G350,'Calc Snowball'!G350,'Calc Cashflow'!G350)</f>
        <v/>
      </c>
      <c r="K344" s="65">
        <f>CHOOSE(Plan!$K$5,'Calc Smart'!H350,'Calc Avalanche'!H350,'Calc Snowball'!H350,'Calc Cashflow'!H350)</f>
        <v/>
      </c>
      <c r="L344" s="65">
        <f>CHOOSE(Plan!$K$5,'Calc Smart'!I350,'Calc Avalanche'!I350,'Calc Snowball'!I350,'Calc Cashflow'!I350)</f>
        <v/>
      </c>
      <c r="M344" s="65">
        <f>CHOOSE(Plan!$K$5,'Calc Smart'!J350,'Calc Avalanche'!J350,'Calc Snowball'!J350,'Calc Cashflow'!J350)</f>
        <v/>
      </c>
      <c r="N344" s="65">
        <f>CHOOSE(Plan!$K$5,'Calc Smart'!K350,'Calc Avalanche'!K350,'Calc Snowball'!K350,'Calc Cashflow'!K350)</f>
        <v/>
      </c>
      <c r="O344" s="65">
        <f>CHOOSE(Plan!$K$5,'Calc Smart'!L350,'Calc Avalanche'!L350,'Calc Snowball'!L350,'Calc Cashflow'!L350)</f>
        <v/>
      </c>
      <c r="P344" s="65">
        <f>CHOOSE(Plan!$K$5,'Calc Smart'!M350,'Calc Avalanche'!M350,'Calc Snowball'!M350,'Calc Cashflow'!M350)</f>
        <v/>
      </c>
      <c r="Q344" s="65">
        <f>CHOOSE(Plan!$K$5,'Calc Smart'!N350,'Calc Avalanche'!N350,'Calc Snowball'!N350,'Calc Cashflow'!N350)</f>
        <v/>
      </c>
    </row>
    <row r="345">
      <c r="B345" s="66">
        <f>EDATE(Plan!$C$6,339)</f>
        <v/>
      </c>
      <c r="C345" s="32">
        <f>CHOOSE(Plan!$K$5,'Calc Smart'!AE351,'Calc Avalanche'!AE351,'Calc Snowball'!AE351,'Calc Cashflow'!AE351)</f>
        <v/>
      </c>
      <c r="D345" s="32">
        <f>CHOOSE(Plan!$K$5,'Calc Smart'!AD351,'Calc Avalanche'!AD351,'Calc Snowball'!AD351,'Calc Cashflow'!AD351)</f>
        <v/>
      </c>
      <c r="E345" s="43">
        <f>CHOOSE(Plan!$K$5,COUNTIF('Calc Smart'!C351:N351,"&gt;0"),COUNTIF('Calc Avalanche'!C351:N351,"&gt;0"),COUNTIF('Calc Snowball'!C351:N351,"&gt;0"),COUNTIF('Calc Cashflow'!C351:N351,"&gt;0"))</f>
        <v/>
      </c>
      <c r="F345" s="67">
        <f>CHOOSE(Plan!$K$5,'Calc Smart'!C351,'Calc Avalanche'!C351,'Calc Snowball'!C351,'Calc Cashflow'!C351)</f>
        <v/>
      </c>
      <c r="G345" s="67">
        <f>CHOOSE(Plan!$K$5,'Calc Smart'!D351,'Calc Avalanche'!D351,'Calc Snowball'!D351,'Calc Cashflow'!D351)</f>
        <v/>
      </c>
      <c r="H345" s="67">
        <f>CHOOSE(Plan!$K$5,'Calc Smart'!E351,'Calc Avalanche'!E351,'Calc Snowball'!E351,'Calc Cashflow'!E351)</f>
        <v/>
      </c>
      <c r="I345" s="67">
        <f>CHOOSE(Plan!$K$5,'Calc Smart'!F351,'Calc Avalanche'!F351,'Calc Snowball'!F351,'Calc Cashflow'!F351)</f>
        <v/>
      </c>
      <c r="J345" s="67">
        <f>CHOOSE(Plan!$K$5,'Calc Smart'!G351,'Calc Avalanche'!G351,'Calc Snowball'!G351,'Calc Cashflow'!G351)</f>
        <v/>
      </c>
      <c r="K345" s="67">
        <f>CHOOSE(Plan!$K$5,'Calc Smart'!H351,'Calc Avalanche'!H351,'Calc Snowball'!H351,'Calc Cashflow'!H351)</f>
        <v/>
      </c>
      <c r="L345" s="67">
        <f>CHOOSE(Plan!$K$5,'Calc Smart'!I351,'Calc Avalanche'!I351,'Calc Snowball'!I351,'Calc Cashflow'!I351)</f>
        <v/>
      </c>
      <c r="M345" s="67">
        <f>CHOOSE(Plan!$K$5,'Calc Smart'!J351,'Calc Avalanche'!J351,'Calc Snowball'!J351,'Calc Cashflow'!J351)</f>
        <v/>
      </c>
      <c r="N345" s="67">
        <f>CHOOSE(Plan!$K$5,'Calc Smart'!K351,'Calc Avalanche'!K351,'Calc Snowball'!K351,'Calc Cashflow'!K351)</f>
        <v/>
      </c>
      <c r="O345" s="67">
        <f>CHOOSE(Plan!$K$5,'Calc Smart'!L351,'Calc Avalanche'!L351,'Calc Snowball'!L351,'Calc Cashflow'!L351)</f>
        <v/>
      </c>
      <c r="P345" s="67">
        <f>CHOOSE(Plan!$K$5,'Calc Smart'!M351,'Calc Avalanche'!M351,'Calc Snowball'!M351,'Calc Cashflow'!M351)</f>
        <v/>
      </c>
      <c r="Q345" s="67">
        <f>CHOOSE(Plan!$K$5,'Calc Smart'!N351,'Calc Avalanche'!N351,'Calc Snowball'!N351,'Calc Cashflow'!N351)</f>
        <v/>
      </c>
    </row>
    <row r="346">
      <c r="B346" s="64">
        <f>EDATE(Plan!$C$6,340)</f>
        <v/>
      </c>
      <c r="C346" s="31">
        <f>CHOOSE(Plan!$K$5,'Calc Smart'!AE352,'Calc Avalanche'!AE352,'Calc Snowball'!AE352,'Calc Cashflow'!AE352)</f>
        <v/>
      </c>
      <c r="D346" s="31">
        <f>CHOOSE(Plan!$K$5,'Calc Smart'!AD352,'Calc Avalanche'!AD352,'Calc Snowball'!AD352,'Calc Cashflow'!AD352)</f>
        <v/>
      </c>
      <c r="E346" s="40">
        <f>CHOOSE(Plan!$K$5,COUNTIF('Calc Smart'!C352:N352,"&gt;0"),COUNTIF('Calc Avalanche'!C352:N352,"&gt;0"),COUNTIF('Calc Snowball'!C352:N352,"&gt;0"),COUNTIF('Calc Cashflow'!C352:N352,"&gt;0"))</f>
        <v/>
      </c>
      <c r="F346" s="65">
        <f>CHOOSE(Plan!$K$5,'Calc Smart'!C352,'Calc Avalanche'!C352,'Calc Snowball'!C352,'Calc Cashflow'!C352)</f>
        <v/>
      </c>
      <c r="G346" s="65">
        <f>CHOOSE(Plan!$K$5,'Calc Smart'!D352,'Calc Avalanche'!D352,'Calc Snowball'!D352,'Calc Cashflow'!D352)</f>
        <v/>
      </c>
      <c r="H346" s="65">
        <f>CHOOSE(Plan!$K$5,'Calc Smart'!E352,'Calc Avalanche'!E352,'Calc Snowball'!E352,'Calc Cashflow'!E352)</f>
        <v/>
      </c>
      <c r="I346" s="65">
        <f>CHOOSE(Plan!$K$5,'Calc Smart'!F352,'Calc Avalanche'!F352,'Calc Snowball'!F352,'Calc Cashflow'!F352)</f>
        <v/>
      </c>
      <c r="J346" s="65">
        <f>CHOOSE(Plan!$K$5,'Calc Smart'!G352,'Calc Avalanche'!G352,'Calc Snowball'!G352,'Calc Cashflow'!G352)</f>
        <v/>
      </c>
      <c r="K346" s="65">
        <f>CHOOSE(Plan!$K$5,'Calc Smart'!H352,'Calc Avalanche'!H352,'Calc Snowball'!H352,'Calc Cashflow'!H352)</f>
        <v/>
      </c>
      <c r="L346" s="65">
        <f>CHOOSE(Plan!$K$5,'Calc Smart'!I352,'Calc Avalanche'!I352,'Calc Snowball'!I352,'Calc Cashflow'!I352)</f>
        <v/>
      </c>
      <c r="M346" s="65">
        <f>CHOOSE(Plan!$K$5,'Calc Smart'!J352,'Calc Avalanche'!J352,'Calc Snowball'!J352,'Calc Cashflow'!J352)</f>
        <v/>
      </c>
      <c r="N346" s="65">
        <f>CHOOSE(Plan!$K$5,'Calc Smart'!K352,'Calc Avalanche'!K352,'Calc Snowball'!K352,'Calc Cashflow'!K352)</f>
        <v/>
      </c>
      <c r="O346" s="65">
        <f>CHOOSE(Plan!$K$5,'Calc Smart'!L352,'Calc Avalanche'!L352,'Calc Snowball'!L352,'Calc Cashflow'!L352)</f>
        <v/>
      </c>
      <c r="P346" s="65">
        <f>CHOOSE(Plan!$K$5,'Calc Smart'!M352,'Calc Avalanche'!M352,'Calc Snowball'!M352,'Calc Cashflow'!M352)</f>
        <v/>
      </c>
      <c r="Q346" s="65">
        <f>CHOOSE(Plan!$K$5,'Calc Smart'!N352,'Calc Avalanche'!N352,'Calc Snowball'!N352,'Calc Cashflow'!N352)</f>
        <v/>
      </c>
    </row>
    <row r="347">
      <c r="B347" s="66">
        <f>EDATE(Plan!$C$6,341)</f>
        <v/>
      </c>
      <c r="C347" s="32">
        <f>CHOOSE(Plan!$K$5,'Calc Smart'!AE353,'Calc Avalanche'!AE353,'Calc Snowball'!AE353,'Calc Cashflow'!AE353)</f>
        <v/>
      </c>
      <c r="D347" s="32">
        <f>CHOOSE(Plan!$K$5,'Calc Smart'!AD353,'Calc Avalanche'!AD353,'Calc Snowball'!AD353,'Calc Cashflow'!AD353)</f>
        <v/>
      </c>
      <c r="E347" s="43">
        <f>CHOOSE(Plan!$K$5,COUNTIF('Calc Smart'!C353:N353,"&gt;0"),COUNTIF('Calc Avalanche'!C353:N353,"&gt;0"),COUNTIF('Calc Snowball'!C353:N353,"&gt;0"),COUNTIF('Calc Cashflow'!C353:N353,"&gt;0"))</f>
        <v/>
      </c>
      <c r="F347" s="67">
        <f>CHOOSE(Plan!$K$5,'Calc Smart'!C353,'Calc Avalanche'!C353,'Calc Snowball'!C353,'Calc Cashflow'!C353)</f>
        <v/>
      </c>
      <c r="G347" s="67">
        <f>CHOOSE(Plan!$K$5,'Calc Smart'!D353,'Calc Avalanche'!D353,'Calc Snowball'!D353,'Calc Cashflow'!D353)</f>
        <v/>
      </c>
      <c r="H347" s="67">
        <f>CHOOSE(Plan!$K$5,'Calc Smart'!E353,'Calc Avalanche'!E353,'Calc Snowball'!E353,'Calc Cashflow'!E353)</f>
        <v/>
      </c>
      <c r="I347" s="67">
        <f>CHOOSE(Plan!$K$5,'Calc Smart'!F353,'Calc Avalanche'!F353,'Calc Snowball'!F353,'Calc Cashflow'!F353)</f>
        <v/>
      </c>
      <c r="J347" s="67">
        <f>CHOOSE(Plan!$K$5,'Calc Smart'!G353,'Calc Avalanche'!G353,'Calc Snowball'!G353,'Calc Cashflow'!G353)</f>
        <v/>
      </c>
      <c r="K347" s="67">
        <f>CHOOSE(Plan!$K$5,'Calc Smart'!H353,'Calc Avalanche'!H353,'Calc Snowball'!H353,'Calc Cashflow'!H353)</f>
        <v/>
      </c>
      <c r="L347" s="67">
        <f>CHOOSE(Plan!$K$5,'Calc Smart'!I353,'Calc Avalanche'!I353,'Calc Snowball'!I353,'Calc Cashflow'!I353)</f>
        <v/>
      </c>
      <c r="M347" s="67">
        <f>CHOOSE(Plan!$K$5,'Calc Smart'!J353,'Calc Avalanche'!J353,'Calc Snowball'!J353,'Calc Cashflow'!J353)</f>
        <v/>
      </c>
      <c r="N347" s="67">
        <f>CHOOSE(Plan!$K$5,'Calc Smart'!K353,'Calc Avalanche'!K353,'Calc Snowball'!K353,'Calc Cashflow'!K353)</f>
        <v/>
      </c>
      <c r="O347" s="67">
        <f>CHOOSE(Plan!$K$5,'Calc Smart'!L353,'Calc Avalanche'!L353,'Calc Snowball'!L353,'Calc Cashflow'!L353)</f>
        <v/>
      </c>
      <c r="P347" s="67">
        <f>CHOOSE(Plan!$K$5,'Calc Smart'!M353,'Calc Avalanche'!M353,'Calc Snowball'!M353,'Calc Cashflow'!M353)</f>
        <v/>
      </c>
      <c r="Q347" s="67">
        <f>CHOOSE(Plan!$K$5,'Calc Smart'!N353,'Calc Avalanche'!N353,'Calc Snowball'!N353,'Calc Cashflow'!N353)</f>
        <v/>
      </c>
    </row>
    <row r="348">
      <c r="B348" s="64">
        <f>EDATE(Plan!$C$6,342)</f>
        <v/>
      </c>
      <c r="C348" s="31">
        <f>CHOOSE(Plan!$K$5,'Calc Smart'!AE354,'Calc Avalanche'!AE354,'Calc Snowball'!AE354,'Calc Cashflow'!AE354)</f>
        <v/>
      </c>
      <c r="D348" s="31">
        <f>CHOOSE(Plan!$K$5,'Calc Smart'!AD354,'Calc Avalanche'!AD354,'Calc Snowball'!AD354,'Calc Cashflow'!AD354)</f>
        <v/>
      </c>
      <c r="E348" s="40">
        <f>CHOOSE(Plan!$K$5,COUNTIF('Calc Smart'!C354:N354,"&gt;0"),COUNTIF('Calc Avalanche'!C354:N354,"&gt;0"),COUNTIF('Calc Snowball'!C354:N354,"&gt;0"),COUNTIF('Calc Cashflow'!C354:N354,"&gt;0"))</f>
        <v/>
      </c>
      <c r="F348" s="65">
        <f>CHOOSE(Plan!$K$5,'Calc Smart'!C354,'Calc Avalanche'!C354,'Calc Snowball'!C354,'Calc Cashflow'!C354)</f>
        <v/>
      </c>
      <c r="G348" s="65">
        <f>CHOOSE(Plan!$K$5,'Calc Smart'!D354,'Calc Avalanche'!D354,'Calc Snowball'!D354,'Calc Cashflow'!D354)</f>
        <v/>
      </c>
      <c r="H348" s="65">
        <f>CHOOSE(Plan!$K$5,'Calc Smart'!E354,'Calc Avalanche'!E354,'Calc Snowball'!E354,'Calc Cashflow'!E354)</f>
        <v/>
      </c>
      <c r="I348" s="65">
        <f>CHOOSE(Plan!$K$5,'Calc Smart'!F354,'Calc Avalanche'!F354,'Calc Snowball'!F354,'Calc Cashflow'!F354)</f>
        <v/>
      </c>
      <c r="J348" s="65">
        <f>CHOOSE(Plan!$K$5,'Calc Smart'!G354,'Calc Avalanche'!G354,'Calc Snowball'!G354,'Calc Cashflow'!G354)</f>
        <v/>
      </c>
      <c r="K348" s="65">
        <f>CHOOSE(Plan!$K$5,'Calc Smart'!H354,'Calc Avalanche'!H354,'Calc Snowball'!H354,'Calc Cashflow'!H354)</f>
        <v/>
      </c>
      <c r="L348" s="65">
        <f>CHOOSE(Plan!$K$5,'Calc Smart'!I354,'Calc Avalanche'!I354,'Calc Snowball'!I354,'Calc Cashflow'!I354)</f>
        <v/>
      </c>
      <c r="M348" s="65">
        <f>CHOOSE(Plan!$K$5,'Calc Smart'!J354,'Calc Avalanche'!J354,'Calc Snowball'!J354,'Calc Cashflow'!J354)</f>
        <v/>
      </c>
      <c r="N348" s="65">
        <f>CHOOSE(Plan!$K$5,'Calc Smart'!K354,'Calc Avalanche'!K354,'Calc Snowball'!K354,'Calc Cashflow'!K354)</f>
        <v/>
      </c>
      <c r="O348" s="65">
        <f>CHOOSE(Plan!$K$5,'Calc Smart'!L354,'Calc Avalanche'!L354,'Calc Snowball'!L354,'Calc Cashflow'!L354)</f>
        <v/>
      </c>
      <c r="P348" s="65">
        <f>CHOOSE(Plan!$K$5,'Calc Smart'!M354,'Calc Avalanche'!M354,'Calc Snowball'!M354,'Calc Cashflow'!M354)</f>
        <v/>
      </c>
      <c r="Q348" s="65">
        <f>CHOOSE(Plan!$K$5,'Calc Smart'!N354,'Calc Avalanche'!N354,'Calc Snowball'!N354,'Calc Cashflow'!N354)</f>
        <v/>
      </c>
    </row>
    <row r="349">
      <c r="B349" s="66">
        <f>EDATE(Plan!$C$6,343)</f>
        <v/>
      </c>
      <c r="C349" s="32">
        <f>CHOOSE(Plan!$K$5,'Calc Smart'!AE355,'Calc Avalanche'!AE355,'Calc Snowball'!AE355,'Calc Cashflow'!AE355)</f>
        <v/>
      </c>
      <c r="D349" s="32">
        <f>CHOOSE(Plan!$K$5,'Calc Smart'!AD355,'Calc Avalanche'!AD355,'Calc Snowball'!AD355,'Calc Cashflow'!AD355)</f>
        <v/>
      </c>
      <c r="E349" s="43">
        <f>CHOOSE(Plan!$K$5,COUNTIF('Calc Smart'!C355:N355,"&gt;0"),COUNTIF('Calc Avalanche'!C355:N355,"&gt;0"),COUNTIF('Calc Snowball'!C355:N355,"&gt;0"),COUNTIF('Calc Cashflow'!C355:N355,"&gt;0"))</f>
        <v/>
      </c>
      <c r="F349" s="67">
        <f>CHOOSE(Plan!$K$5,'Calc Smart'!C355,'Calc Avalanche'!C355,'Calc Snowball'!C355,'Calc Cashflow'!C355)</f>
        <v/>
      </c>
      <c r="G349" s="67">
        <f>CHOOSE(Plan!$K$5,'Calc Smart'!D355,'Calc Avalanche'!D355,'Calc Snowball'!D355,'Calc Cashflow'!D355)</f>
        <v/>
      </c>
      <c r="H349" s="67">
        <f>CHOOSE(Plan!$K$5,'Calc Smart'!E355,'Calc Avalanche'!E355,'Calc Snowball'!E355,'Calc Cashflow'!E355)</f>
        <v/>
      </c>
      <c r="I349" s="67">
        <f>CHOOSE(Plan!$K$5,'Calc Smart'!F355,'Calc Avalanche'!F355,'Calc Snowball'!F355,'Calc Cashflow'!F355)</f>
        <v/>
      </c>
      <c r="J349" s="67">
        <f>CHOOSE(Plan!$K$5,'Calc Smart'!G355,'Calc Avalanche'!G355,'Calc Snowball'!G355,'Calc Cashflow'!G355)</f>
        <v/>
      </c>
      <c r="K349" s="67">
        <f>CHOOSE(Plan!$K$5,'Calc Smart'!H355,'Calc Avalanche'!H355,'Calc Snowball'!H355,'Calc Cashflow'!H355)</f>
        <v/>
      </c>
      <c r="L349" s="67">
        <f>CHOOSE(Plan!$K$5,'Calc Smart'!I355,'Calc Avalanche'!I355,'Calc Snowball'!I355,'Calc Cashflow'!I355)</f>
        <v/>
      </c>
      <c r="M349" s="67">
        <f>CHOOSE(Plan!$K$5,'Calc Smart'!J355,'Calc Avalanche'!J355,'Calc Snowball'!J355,'Calc Cashflow'!J355)</f>
        <v/>
      </c>
      <c r="N349" s="67">
        <f>CHOOSE(Plan!$K$5,'Calc Smart'!K355,'Calc Avalanche'!K355,'Calc Snowball'!K355,'Calc Cashflow'!K355)</f>
        <v/>
      </c>
      <c r="O349" s="67">
        <f>CHOOSE(Plan!$K$5,'Calc Smart'!L355,'Calc Avalanche'!L355,'Calc Snowball'!L355,'Calc Cashflow'!L355)</f>
        <v/>
      </c>
      <c r="P349" s="67">
        <f>CHOOSE(Plan!$K$5,'Calc Smart'!M355,'Calc Avalanche'!M355,'Calc Snowball'!M355,'Calc Cashflow'!M355)</f>
        <v/>
      </c>
      <c r="Q349" s="67">
        <f>CHOOSE(Plan!$K$5,'Calc Smart'!N355,'Calc Avalanche'!N355,'Calc Snowball'!N355,'Calc Cashflow'!N355)</f>
        <v/>
      </c>
    </row>
    <row r="350">
      <c r="B350" s="64">
        <f>EDATE(Plan!$C$6,344)</f>
        <v/>
      </c>
      <c r="C350" s="31">
        <f>CHOOSE(Plan!$K$5,'Calc Smart'!AE356,'Calc Avalanche'!AE356,'Calc Snowball'!AE356,'Calc Cashflow'!AE356)</f>
        <v/>
      </c>
      <c r="D350" s="31">
        <f>CHOOSE(Plan!$K$5,'Calc Smart'!AD356,'Calc Avalanche'!AD356,'Calc Snowball'!AD356,'Calc Cashflow'!AD356)</f>
        <v/>
      </c>
      <c r="E350" s="40">
        <f>CHOOSE(Plan!$K$5,COUNTIF('Calc Smart'!C356:N356,"&gt;0"),COUNTIF('Calc Avalanche'!C356:N356,"&gt;0"),COUNTIF('Calc Snowball'!C356:N356,"&gt;0"),COUNTIF('Calc Cashflow'!C356:N356,"&gt;0"))</f>
        <v/>
      </c>
      <c r="F350" s="65">
        <f>CHOOSE(Plan!$K$5,'Calc Smart'!C356,'Calc Avalanche'!C356,'Calc Snowball'!C356,'Calc Cashflow'!C356)</f>
        <v/>
      </c>
      <c r="G350" s="65">
        <f>CHOOSE(Plan!$K$5,'Calc Smart'!D356,'Calc Avalanche'!D356,'Calc Snowball'!D356,'Calc Cashflow'!D356)</f>
        <v/>
      </c>
      <c r="H350" s="65">
        <f>CHOOSE(Plan!$K$5,'Calc Smart'!E356,'Calc Avalanche'!E356,'Calc Snowball'!E356,'Calc Cashflow'!E356)</f>
        <v/>
      </c>
      <c r="I350" s="65">
        <f>CHOOSE(Plan!$K$5,'Calc Smart'!F356,'Calc Avalanche'!F356,'Calc Snowball'!F356,'Calc Cashflow'!F356)</f>
        <v/>
      </c>
      <c r="J350" s="65">
        <f>CHOOSE(Plan!$K$5,'Calc Smart'!G356,'Calc Avalanche'!G356,'Calc Snowball'!G356,'Calc Cashflow'!G356)</f>
        <v/>
      </c>
      <c r="K350" s="65">
        <f>CHOOSE(Plan!$K$5,'Calc Smart'!H356,'Calc Avalanche'!H356,'Calc Snowball'!H356,'Calc Cashflow'!H356)</f>
        <v/>
      </c>
      <c r="L350" s="65">
        <f>CHOOSE(Plan!$K$5,'Calc Smart'!I356,'Calc Avalanche'!I356,'Calc Snowball'!I356,'Calc Cashflow'!I356)</f>
        <v/>
      </c>
      <c r="M350" s="65">
        <f>CHOOSE(Plan!$K$5,'Calc Smart'!J356,'Calc Avalanche'!J356,'Calc Snowball'!J356,'Calc Cashflow'!J356)</f>
        <v/>
      </c>
      <c r="N350" s="65">
        <f>CHOOSE(Plan!$K$5,'Calc Smart'!K356,'Calc Avalanche'!K356,'Calc Snowball'!K356,'Calc Cashflow'!K356)</f>
        <v/>
      </c>
      <c r="O350" s="65">
        <f>CHOOSE(Plan!$K$5,'Calc Smart'!L356,'Calc Avalanche'!L356,'Calc Snowball'!L356,'Calc Cashflow'!L356)</f>
        <v/>
      </c>
      <c r="P350" s="65">
        <f>CHOOSE(Plan!$K$5,'Calc Smart'!M356,'Calc Avalanche'!M356,'Calc Snowball'!M356,'Calc Cashflow'!M356)</f>
        <v/>
      </c>
      <c r="Q350" s="65">
        <f>CHOOSE(Plan!$K$5,'Calc Smart'!N356,'Calc Avalanche'!N356,'Calc Snowball'!N356,'Calc Cashflow'!N356)</f>
        <v/>
      </c>
    </row>
    <row r="351">
      <c r="B351" s="66">
        <f>EDATE(Plan!$C$6,345)</f>
        <v/>
      </c>
      <c r="C351" s="32">
        <f>CHOOSE(Plan!$K$5,'Calc Smart'!AE357,'Calc Avalanche'!AE357,'Calc Snowball'!AE357,'Calc Cashflow'!AE357)</f>
        <v/>
      </c>
      <c r="D351" s="32">
        <f>CHOOSE(Plan!$K$5,'Calc Smart'!AD357,'Calc Avalanche'!AD357,'Calc Snowball'!AD357,'Calc Cashflow'!AD357)</f>
        <v/>
      </c>
      <c r="E351" s="43">
        <f>CHOOSE(Plan!$K$5,COUNTIF('Calc Smart'!C357:N357,"&gt;0"),COUNTIF('Calc Avalanche'!C357:N357,"&gt;0"),COUNTIF('Calc Snowball'!C357:N357,"&gt;0"),COUNTIF('Calc Cashflow'!C357:N357,"&gt;0"))</f>
        <v/>
      </c>
      <c r="F351" s="67">
        <f>CHOOSE(Plan!$K$5,'Calc Smart'!C357,'Calc Avalanche'!C357,'Calc Snowball'!C357,'Calc Cashflow'!C357)</f>
        <v/>
      </c>
      <c r="G351" s="67">
        <f>CHOOSE(Plan!$K$5,'Calc Smart'!D357,'Calc Avalanche'!D357,'Calc Snowball'!D357,'Calc Cashflow'!D357)</f>
        <v/>
      </c>
      <c r="H351" s="67">
        <f>CHOOSE(Plan!$K$5,'Calc Smart'!E357,'Calc Avalanche'!E357,'Calc Snowball'!E357,'Calc Cashflow'!E357)</f>
        <v/>
      </c>
      <c r="I351" s="67">
        <f>CHOOSE(Plan!$K$5,'Calc Smart'!F357,'Calc Avalanche'!F357,'Calc Snowball'!F357,'Calc Cashflow'!F357)</f>
        <v/>
      </c>
      <c r="J351" s="67">
        <f>CHOOSE(Plan!$K$5,'Calc Smart'!G357,'Calc Avalanche'!G357,'Calc Snowball'!G357,'Calc Cashflow'!G357)</f>
        <v/>
      </c>
      <c r="K351" s="67">
        <f>CHOOSE(Plan!$K$5,'Calc Smart'!H357,'Calc Avalanche'!H357,'Calc Snowball'!H357,'Calc Cashflow'!H357)</f>
        <v/>
      </c>
      <c r="L351" s="67">
        <f>CHOOSE(Plan!$K$5,'Calc Smart'!I357,'Calc Avalanche'!I357,'Calc Snowball'!I357,'Calc Cashflow'!I357)</f>
        <v/>
      </c>
      <c r="M351" s="67">
        <f>CHOOSE(Plan!$K$5,'Calc Smart'!J357,'Calc Avalanche'!J357,'Calc Snowball'!J357,'Calc Cashflow'!J357)</f>
        <v/>
      </c>
      <c r="N351" s="67">
        <f>CHOOSE(Plan!$K$5,'Calc Smart'!K357,'Calc Avalanche'!K357,'Calc Snowball'!K357,'Calc Cashflow'!K357)</f>
        <v/>
      </c>
      <c r="O351" s="67">
        <f>CHOOSE(Plan!$K$5,'Calc Smart'!L357,'Calc Avalanche'!L357,'Calc Snowball'!L357,'Calc Cashflow'!L357)</f>
        <v/>
      </c>
      <c r="P351" s="67">
        <f>CHOOSE(Plan!$K$5,'Calc Smart'!M357,'Calc Avalanche'!M357,'Calc Snowball'!M357,'Calc Cashflow'!M357)</f>
        <v/>
      </c>
      <c r="Q351" s="67">
        <f>CHOOSE(Plan!$K$5,'Calc Smart'!N357,'Calc Avalanche'!N357,'Calc Snowball'!N357,'Calc Cashflow'!N357)</f>
        <v/>
      </c>
    </row>
    <row r="352">
      <c r="B352" s="64">
        <f>EDATE(Plan!$C$6,346)</f>
        <v/>
      </c>
      <c r="C352" s="31">
        <f>CHOOSE(Plan!$K$5,'Calc Smart'!AE358,'Calc Avalanche'!AE358,'Calc Snowball'!AE358,'Calc Cashflow'!AE358)</f>
        <v/>
      </c>
      <c r="D352" s="31">
        <f>CHOOSE(Plan!$K$5,'Calc Smart'!AD358,'Calc Avalanche'!AD358,'Calc Snowball'!AD358,'Calc Cashflow'!AD358)</f>
        <v/>
      </c>
      <c r="E352" s="40">
        <f>CHOOSE(Plan!$K$5,COUNTIF('Calc Smart'!C358:N358,"&gt;0"),COUNTIF('Calc Avalanche'!C358:N358,"&gt;0"),COUNTIF('Calc Snowball'!C358:N358,"&gt;0"),COUNTIF('Calc Cashflow'!C358:N358,"&gt;0"))</f>
        <v/>
      </c>
      <c r="F352" s="65">
        <f>CHOOSE(Plan!$K$5,'Calc Smart'!C358,'Calc Avalanche'!C358,'Calc Snowball'!C358,'Calc Cashflow'!C358)</f>
        <v/>
      </c>
      <c r="G352" s="65">
        <f>CHOOSE(Plan!$K$5,'Calc Smart'!D358,'Calc Avalanche'!D358,'Calc Snowball'!D358,'Calc Cashflow'!D358)</f>
        <v/>
      </c>
      <c r="H352" s="65">
        <f>CHOOSE(Plan!$K$5,'Calc Smart'!E358,'Calc Avalanche'!E358,'Calc Snowball'!E358,'Calc Cashflow'!E358)</f>
        <v/>
      </c>
      <c r="I352" s="65">
        <f>CHOOSE(Plan!$K$5,'Calc Smart'!F358,'Calc Avalanche'!F358,'Calc Snowball'!F358,'Calc Cashflow'!F358)</f>
        <v/>
      </c>
      <c r="J352" s="65">
        <f>CHOOSE(Plan!$K$5,'Calc Smart'!G358,'Calc Avalanche'!G358,'Calc Snowball'!G358,'Calc Cashflow'!G358)</f>
        <v/>
      </c>
      <c r="K352" s="65">
        <f>CHOOSE(Plan!$K$5,'Calc Smart'!H358,'Calc Avalanche'!H358,'Calc Snowball'!H358,'Calc Cashflow'!H358)</f>
        <v/>
      </c>
      <c r="L352" s="65">
        <f>CHOOSE(Plan!$K$5,'Calc Smart'!I358,'Calc Avalanche'!I358,'Calc Snowball'!I358,'Calc Cashflow'!I358)</f>
        <v/>
      </c>
      <c r="M352" s="65">
        <f>CHOOSE(Plan!$K$5,'Calc Smart'!J358,'Calc Avalanche'!J358,'Calc Snowball'!J358,'Calc Cashflow'!J358)</f>
        <v/>
      </c>
      <c r="N352" s="65">
        <f>CHOOSE(Plan!$K$5,'Calc Smart'!K358,'Calc Avalanche'!K358,'Calc Snowball'!K358,'Calc Cashflow'!K358)</f>
        <v/>
      </c>
      <c r="O352" s="65">
        <f>CHOOSE(Plan!$K$5,'Calc Smart'!L358,'Calc Avalanche'!L358,'Calc Snowball'!L358,'Calc Cashflow'!L358)</f>
        <v/>
      </c>
      <c r="P352" s="65">
        <f>CHOOSE(Plan!$K$5,'Calc Smart'!M358,'Calc Avalanche'!M358,'Calc Snowball'!M358,'Calc Cashflow'!M358)</f>
        <v/>
      </c>
      <c r="Q352" s="65">
        <f>CHOOSE(Plan!$K$5,'Calc Smart'!N358,'Calc Avalanche'!N358,'Calc Snowball'!N358,'Calc Cashflow'!N358)</f>
        <v/>
      </c>
    </row>
    <row r="353">
      <c r="B353" s="66">
        <f>EDATE(Plan!$C$6,347)</f>
        <v/>
      </c>
      <c r="C353" s="32">
        <f>CHOOSE(Plan!$K$5,'Calc Smart'!AE359,'Calc Avalanche'!AE359,'Calc Snowball'!AE359,'Calc Cashflow'!AE359)</f>
        <v/>
      </c>
      <c r="D353" s="32">
        <f>CHOOSE(Plan!$K$5,'Calc Smart'!AD359,'Calc Avalanche'!AD359,'Calc Snowball'!AD359,'Calc Cashflow'!AD359)</f>
        <v/>
      </c>
      <c r="E353" s="43">
        <f>CHOOSE(Plan!$K$5,COUNTIF('Calc Smart'!C359:N359,"&gt;0"),COUNTIF('Calc Avalanche'!C359:N359,"&gt;0"),COUNTIF('Calc Snowball'!C359:N359,"&gt;0"),COUNTIF('Calc Cashflow'!C359:N359,"&gt;0"))</f>
        <v/>
      </c>
      <c r="F353" s="67">
        <f>CHOOSE(Plan!$K$5,'Calc Smart'!C359,'Calc Avalanche'!C359,'Calc Snowball'!C359,'Calc Cashflow'!C359)</f>
        <v/>
      </c>
      <c r="G353" s="67">
        <f>CHOOSE(Plan!$K$5,'Calc Smart'!D359,'Calc Avalanche'!D359,'Calc Snowball'!D359,'Calc Cashflow'!D359)</f>
        <v/>
      </c>
      <c r="H353" s="67">
        <f>CHOOSE(Plan!$K$5,'Calc Smart'!E359,'Calc Avalanche'!E359,'Calc Snowball'!E359,'Calc Cashflow'!E359)</f>
        <v/>
      </c>
      <c r="I353" s="67">
        <f>CHOOSE(Plan!$K$5,'Calc Smart'!F359,'Calc Avalanche'!F359,'Calc Snowball'!F359,'Calc Cashflow'!F359)</f>
        <v/>
      </c>
      <c r="J353" s="67">
        <f>CHOOSE(Plan!$K$5,'Calc Smart'!G359,'Calc Avalanche'!G359,'Calc Snowball'!G359,'Calc Cashflow'!G359)</f>
        <v/>
      </c>
      <c r="K353" s="67">
        <f>CHOOSE(Plan!$K$5,'Calc Smart'!H359,'Calc Avalanche'!H359,'Calc Snowball'!H359,'Calc Cashflow'!H359)</f>
        <v/>
      </c>
      <c r="L353" s="67">
        <f>CHOOSE(Plan!$K$5,'Calc Smart'!I359,'Calc Avalanche'!I359,'Calc Snowball'!I359,'Calc Cashflow'!I359)</f>
        <v/>
      </c>
      <c r="M353" s="67">
        <f>CHOOSE(Plan!$K$5,'Calc Smart'!J359,'Calc Avalanche'!J359,'Calc Snowball'!J359,'Calc Cashflow'!J359)</f>
        <v/>
      </c>
      <c r="N353" s="67">
        <f>CHOOSE(Plan!$K$5,'Calc Smart'!K359,'Calc Avalanche'!K359,'Calc Snowball'!K359,'Calc Cashflow'!K359)</f>
        <v/>
      </c>
      <c r="O353" s="67">
        <f>CHOOSE(Plan!$K$5,'Calc Smart'!L359,'Calc Avalanche'!L359,'Calc Snowball'!L359,'Calc Cashflow'!L359)</f>
        <v/>
      </c>
      <c r="P353" s="67">
        <f>CHOOSE(Plan!$K$5,'Calc Smart'!M359,'Calc Avalanche'!M359,'Calc Snowball'!M359,'Calc Cashflow'!M359)</f>
        <v/>
      </c>
      <c r="Q353" s="67">
        <f>CHOOSE(Plan!$K$5,'Calc Smart'!N359,'Calc Avalanche'!N359,'Calc Snowball'!N359,'Calc Cashflow'!N359)</f>
        <v/>
      </c>
    </row>
    <row r="354">
      <c r="B354" s="64">
        <f>EDATE(Plan!$C$6,348)</f>
        <v/>
      </c>
      <c r="C354" s="31">
        <f>CHOOSE(Plan!$K$5,'Calc Smart'!AE360,'Calc Avalanche'!AE360,'Calc Snowball'!AE360,'Calc Cashflow'!AE360)</f>
        <v/>
      </c>
      <c r="D354" s="31">
        <f>CHOOSE(Plan!$K$5,'Calc Smart'!AD360,'Calc Avalanche'!AD360,'Calc Snowball'!AD360,'Calc Cashflow'!AD360)</f>
        <v/>
      </c>
      <c r="E354" s="40">
        <f>CHOOSE(Plan!$K$5,COUNTIF('Calc Smart'!C360:N360,"&gt;0"),COUNTIF('Calc Avalanche'!C360:N360,"&gt;0"),COUNTIF('Calc Snowball'!C360:N360,"&gt;0"),COUNTIF('Calc Cashflow'!C360:N360,"&gt;0"))</f>
        <v/>
      </c>
      <c r="F354" s="65">
        <f>CHOOSE(Plan!$K$5,'Calc Smart'!C360,'Calc Avalanche'!C360,'Calc Snowball'!C360,'Calc Cashflow'!C360)</f>
        <v/>
      </c>
      <c r="G354" s="65">
        <f>CHOOSE(Plan!$K$5,'Calc Smart'!D360,'Calc Avalanche'!D360,'Calc Snowball'!D360,'Calc Cashflow'!D360)</f>
        <v/>
      </c>
      <c r="H354" s="65">
        <f>CHOOSE(Plan!$K$5,'Calc Smart'!E360,'Calc Avalanche'!E360,'Calc Snowball'!E360,'Calc Cashflow'!E360)</f>
        <v/>
      </c>
      <c r="I354" s="65">
        <f>CHOOSE(Plan!$K$5,'Calc Smart'!F360,'Calc Avalanche'!F360,'Calc Snowball'!F360,'Calc Cashflow'!F360)</f>
        <v/>
      </c>
      <c r="J354" s="65">
        <f>CHOOSE(Plan!$K$5,'Calc Smart'!G360,'Calc Avalanche'!G360,'Calc Snowball'!G360,'Calc Cashflow'!G360)</f>
        <v/>
      </c>
      <c r="K354" s="65">
        <f>CHOOSE(Plan!$K$5,'Calc Smart'!H360,'Calc Avalanche'!H360,'Calc Snowball'!H360,'Calc Cashflow'!H360)</f>
        <v/>
      </c>
      <c r="L354" s="65">
        <f>CHOOSE(Plan!$K$5,'Calc Smart'!I360,'Calc Avalanche'!I360,'Calc Snowball'!I360,'Calc Cashflow'!I360)</f>
        <v/>
      </c>
      <c r="M354" s="65">
        <f>CHOOSE(Plan!$K$5,'Calc Smart'!J360,'Calc Avalanche'!J360,'Calc Snowball'!J360,'Calc Cashflow'!J360)</f>
        <v/>
      </c>
      <c r="N354" s="65">
        <f>CHOOSE(Plan!$K$5,'Calc Smart'!K360,'Calc Avalanche'!K360,'Calc Snowball'!K360,'Calc Cashflow'!K360)</f>
        <v/>
      </c>
      <c r="O354" s="65">
        <f>CHOOSE(Plan!$K$5,'Calc Smart'!L360,'Calc Avalanche'!L360,'Calc Snowball'!L360,'Calc Cashflow'!L360)</f>
        <v/>
      </c>
      <c r="P354" s="65">
        <f>CHOOSE(Plan!$K$5,'Calc Smart'!M360,'Calc Avalanche'!M360,'Calc Snowball'!M360,'Calc Cashflow'!M360)</f>
        <v/>
      </c>
      <c r="Q354" s="65">
        <f>CHOOSE(Plan!$K$5,'Calc Smart'!N360,'Calc Avalanche'!N360,'Calc Snowball'!N360,'Calc Cashflow'!N360)</f>
        <v/>
      </c>
    </row>
    <row r="355">
      <c r="B355" s="66">
        <f>EDATE(Plan!$C$6,349)</f>
        <v/>
      </c>
      <c r="C355" s="32">
        <f>CHOOSE(Plan!$K$5,'Calc Smart'!AE361,'Calc Avalanche'!AE361,'Calc Snowball'!AE361,'Calc Cashflow'!AE361)</f>
        <v/>
      </c>
      <c r="D355" s="32">
        <f>CHOOSE(Plan!$K$5,'Calc Smart'!AD361,'Calc Avalanche'!AD361,'Calc Snowball'!AD361,'Calc Cashflow'!AD361)</f>
        <v/>
      </c>
      <c r="E355" s="43">
        <f>CHOOSE(Plan!$K$5,COUNTIF('Calc Smart'!C361:N361,"&gt;0"),COUNTIF('Calc Avalanche'!C361:N361,"&gt;0"),COUNTIF('Calc Snowball'!C361:N361,"&gt;0"),COUNTIF('Calc Cashflow'!C361:N361,"&gt;0"))</f>
        <v/>
      </c>
      <c r="F355" s="67">
        <f>CHOOSE(Plan!$K$5,'Calc Smart'!C361,'Calc Avalanche'!C361,'Calc Snowball'!C361,'Calc Cashflow'!C361)</f>
        <v/>
      </c>
      <c r="G355" s="67">
        <f>CHOOSE(Plan!$K$5,'Calc Smart'!D361,'Calc Avalanche'!D361,'Calc Snowball'!D361,'Calc Cashflow'!D361)</f>
        <v/>
      </c>
      <c r="H355" s="67">
        <f>CHOOSE(Plan!$K$5,'Calc Smart'!E361,'Calc Avalanche'!E361,'Calc Snowball'!E361,'Calc Cashflow'!E361)</f>
        <v/>
      </c>
      <c r="I355" s="67">
        <f>CHOOSE(Plan!$K$5,'Calc Smart'!F361,'Calc Avalanche'!F361,'Calc Snowball'!F361,'Calc Cashflow'!F361)</f>
        <v/>
      </c>
      <c r="J355" s="67">
        <f>CHOOSE(Plan!$K$5,'Calc Smart'!G361,'Calc Avalanche'!G361,'Calc Snowball'!G361,'Calc Cashflow'!G361)</f>
        <v/>
      </c>
      <c r="K355" s="67">
        <f>CHOOSE(Plan!$K$5,'Calc Smart'!H361,'Calc Avalanche'!H361,'Calc Snowball'!H361,'Calc Cashflow'!H361)</f>
        <v/>
      </c>
      <c r="L355" s="67">
        <f>CHOOSE(Plan!$K$5,'Calc Smart'!I361,'Calc Avalanche'!I361,'Calc Snowball'!I361,'Calc Cashflow'!I361)</f>
        <v/>
      </c>
      <c r="M355" s="67">
        <f>CHOOSE(Plan!$K$5,'Calc Smart'!J361,'Calc Avalanche'!J361,'Calc Snowball'!J361,'Calc Cashflow'!J361)</f>
        <v/>
      </c>
      <c r="N355" s="67">
        <f>CHOOSE(Plan!$K$5,'Calc Smart'!K361,'Calc Avalanche'!K361,'Calc Snowball'!K361,'Calc Cashflow'!K361)</f>
        <v/>
      </c>
      <c r="O355" s="67">
        <f>CHOOSE(Plan!$K$5,'Calc Smart'!L361,'Calc Avalanche'!L361,'Calc Snowball'!L361,'Calc Cashflow'!L361)</f>
        <v/>
      </c>
      <c r="P355" s="67">
        <f>CHOOSE(Plan!$K$5,'Calc Smart'!M361,'Calc Avalanche'!M361,'Calc Snowball'!M361,'Calc Cashflow'!M361)</f>
        <v/>
      </c>
      <c r="Q355" s="67">
        <f>CHOOSE(Plan!$K$5,'Calc Smart'!N361,'Calc Avalanche'!N361,'Calc Snowball'!N361,'Calc Cashflow'!N361)</f>
        <v/>
      </c>
    </row>
    <row r="356">
      <c r="B356" s="64">
        <f>EDATE(Plan!$C$6,350)</f>
        <v/>
      </c>
      <c r="C356" s="31">
        <f>CHOOSE(Plan!$K$5,'Calc Smart'!AE362,'Calc Avalanche'!AE362,'Calc Snowball'!AE362,'Calc Cashflow'!AE362)</f>
        <v/>
      </c>
      <c r="D356" s="31">
        <f>CHOOSE(Plan!$K$5,'Calc Smart'!AD362,'Calc Avalanche'!AD362,'Calc Snowball'!AD362,'Calc Cashflow'!AD362)</f>
        <v/>
      </c>
      <c r="E356" s="40">
        <f>CHOOSE(Plan!$K$5,COUNTIF('Calc Smart'!C362:N362,"&gt;0"),COUNTIF('Calc Avalanche'!C362:N362,"&gt;0"),COUNTIF('Calc Snowball'!C362:N362,"&gt;0"),COUNTIF('Calc Cashflow'!C362:N362,"&gt;0"))</f>
        <v/>
      </c>
      <c r="F356" s="65">
        <f>CHOOSE(Plan!$K$5,'Calc Smart'!C362,'Calc Avalanche'!C362,'Calc Snowball'!C362,'Calc Cashflow'!C362)</f>
        <v/>
      </c>
      <c r="G356" s="65">
        <f>CHOOSE(Plan!$K$5,'Calc Smart'!D362,'Calc Avalanche'!D362,'Calc Snowball'!D362,'Calc Cashflow'!D362)</f>
        <v/>
      </c>
      <c r="H356" s="65">
        <f>CHOOSE(Plan!$K$5,'Calc Smart'!E362,'Calc Avalanche'!E362,'Calc Snowball'!E362,'Calc Cashflow'!E362)</f>
        <v/>
      </c>
      <c r="I356" s="65">
        <f>CHOOSE(Plan!$K$5,'Calc Smart'!F362,'Calc Avalanche'!F362,'Calc Snowball'!F362,'Calc Cashflow'!F362)</f>
        <v/>
      </c>
      <c r="J356" s="65">
        <f>CHOOSE(Plan!$K$5,'Calc Smart'!G362,'Calc Avalanche'!G362,'Calc Snowball'!G362,'Calc Cashflow'!G362)</f>
        <v/>
      </c>
      <c r="K356" s="65">
        <f>CHOOSE(Plan!$K$5,'Calc Smart'!H362,'Calc Avalanche'!H362,'Calc Snowball'!H362,'Calc Cashflow'!H362)</f>
        <v/>
      </c>
      <c r="L356" s="65">
        <f>CHOOSE(Plan!$K$5,'Calc Smart'!I362,'Calc Avalanche'!I362,'Calc Snowball'!I362,'Calc Cashflow'!I362)</f>
        <v/>
      </c>
      <c r="M356" s="65">
        <f>CHOOSE(Plan!$K$5,'Calc Smart'!J362,'Calc Avalanche'!J362,'Calc Snowball'!J362,'Calc Cashflow'!J362)</f>
        <v/>
      </c>
      <c r="N356" s="65">
        <f>CHOOSE(Plan!$K$5,'Calc Smart'!K362,'Calc Avalanche'!K362,'Calc Snowball'!K362,'Calc Cashflow'!K362)</f>
        <v/>
      </c>
      <c r="O356" s="65">
        <f>CHOOSE(Plan!$K$5,'Calc Smart'!L362,'Calc Avalanche'!L362,'Calc Snowball'!L362,'Calc Cashflow'!L362)</f>
        <v/>
      </c>
      <c r="P356" s="65">
        <f>CHOOSE(Plan!$K$5,'Calc Smart'!M362,'Calc Avalanche'!M362,'Calc Snowball'!M362,'Calc Cashflow'!M362)</f>
        <v/>
      </c>
      <c r="Q356" s="65">
        <f>CHOOSE(Plan!$K$5,'Calc Smart'!N362,'Calc Avalanche'!N362,'Calc Snowball'!N362,'Calc Cashflow'!N362)</f>
        <v/>
      </c>
    </row>
    <row r="357">
      <c r="B357" s="66">
        <f>EDATE(Plan!$C$6,351)</f>
        <v/>
      </c>
      <c r="C357" s="32">
        <f>CHOOSE(Plan!$K$5,'Calc Smart'!AE363,'Calc Avalanche'!AE363,'Calc Snowball'!AE363,'Calc Cashflow'!AE363)</f>
        <v/>
      </c>
      <c r="D357" s="32">
        <f>CHOOSE(Plan!$K$5,'Calc Smart'!AD363,'Calc Avalanche'!AD363,'Calc Snowball'!AD363,'Calc Cashflow'!AD363)</f>
        <v/>
      </c>
      <c r="E357" s="43">
        <f>CHOOSE(Plan!$K$5,COUNTIF('Calc Smart'!C363:N363,"&gt;0"),COUNTIF('Calc Avalanche'!C363:N363,"&gt;0"),COUNTIF('Calc Snowball'!C363:N363,"&gt;0"),COUNTIF('Calc Cashflow'!C363:N363,"&gt;0"))</f>
        <v/>
      </c>
      <c r="F357" s="67">
        <f>CHOOSE(Plan!$K$5,'Calc Smart'!C363,'Calc Avalanche'!C363,'Calc Snowball'!C363,'Calc Cashflow'!C363)</f>
        <v/>
      </c>
      <c r="G357" s="67">
        <f>CHOOSE(Plan!$K$5,'Calc Smart'!D363,'Calc Avalanche'!D363,'Calc Snowball'!D363,'Calc Cashflow'!D363)</f>
        <v/>
      </c>
      <c r="H357" s="67">
        <f>CHOOSE(Plan!$K$5,'Calc Smart'!E363,'Calc Avalanche'!E363,'Calc Snowball'!E363,'Calc Cashflow'!E363)</f>
        <v/>
      </c>
      <c r="I357" s="67">
        <f>CHOOSE(Plan!$K$5,'Calc Smart'!F363,'Calc Avalanche'!F363,'Calc Snowball'!F363,'Calc Cashflow'!F363)</f>
        <v/>
      </c>
      <c r="J357" s="67">
        <f>CHOOSE(Plan!$K$5,'Calc Smart'!G363,'Calc Avalanche'!G363,'Calc Snowball'!G363,'Calc Cashflow'!G363)</f>
        <v/>
      </c>
      <c r="K357" s="67">
        <f>CHOOSE(Plan!$K$5,'Calc Smart'!H363,'Calc Avalanche'!H363,'Calc Snowball'!H363,'Calc Cashflow'!H363)</f>
        <v/>
      </c>
      <c r="L357" s="67">
        <f>CHOOSE(Plan!$K$5,'Calc Smart'!I363,'Calc Avalanche'!I363,'Calc Snowball'!I363,'Calc Cashflow'!I363)</f>
        <v/>
      </c>
      <c r="M357" s="67">
        <f>CHOOSE(Plan!$K$5,'Calc Smart'!J363,'Calc Avalanche'!J363,'Calc Snowball'!J363,'Calc Cashflow'!J363)</f>
        <v/>
      </c>
      <c r="N357" s="67">
        <f>CHOOSE(Plan!$K$5,'Calc Smart'!K363,'Calc Avalanche'!K363,'Calc Snowball'!K363,'Calc Cashflow'!K363)</f>
        <v/>
      </c>
      <c r="O357" s="67">
        <f>CHOOSE(Plan!$K$5,'Calc Smart'!L363,'Calc Avalanche'!L363,'Calc Snowball'!L363,'Calc Cashflow'!L363)</f>
        <v/>
      </c>
      <c r="P357" s="67">
        <f>CHOOSE(Plan!$K$5,'Calc Smart'!M363,'Calc Avalanche'!M363,'Calc Snowball'!M363,'Calc Cashflow'!M363)</f>
        <v/>
      </c>
      <c r="Q357" s="67">
        <f>CHOOSE(Plan!$K$5,'Calc Smart'!N363,'Calc Avalanche'!N363,'Calc Snowball'!N363,'Calc Cashflow'!N363)</f>
        <v/>
      </c>
    </row>
    <row r="358">
      <c r="B358" s="64">
        <f>EDATE(Plan!$C$6,352)</f>
        <v/>
      </c>
      <c r="C358" s="31">
        <f>CHOOSE(Plan!$K$5,'Calc Smart'!AE364,'Calc Avalanche'!AE364,'Calc Snowball'!AE364,'Calc Cashflow'!AE364)</f>
        <v/>
      </c>
      <c r="D358" s="31">
        <f>CHOOSE(Plan!$K$5,'Calc Smart'!AD364,'Calc Avalanche'!AD364,'Calc Snowball'!AD364,'Calc Cashflow'!AD364)</f>
        <v/>
      </c>
      <c r="E358" s="40">
        <f>CHOOSE(Plan!$K$5,COUNTIF('Calc Smart'!C364:N364,"&gt;0"),COUNTIF('Calc Avalanche'!C364:N364,"&gt;0"),COUNTIF('Calc Snowball'!C364:N364,"&gt;0"),COUNTIF('Calc Cashflow'!C364:N364,"&gt;0"))</f>
        <v/>
      </c>
      <c r="F358" s="65">
        <f>CHOOSE(Plan!$K$5,'Calc Smart'!C364,'Calc Avalanche'!C364,'Calc Snowball'!C364,'Calc Cashflow'!C364)</f>
        <v/>
      </c>
      <c r="G358" s="65">
        <f>CHOOSE(Plan!$K$5,'Calc Smart'!D364,'Calc Avalanche'!D364,'Calc Snowball'!D364,'Calc Cashflow'!D364)</f>
        <v/>
      </c>
      <c r="H358" s="65">
        <f>CHOOSE(Plan!$K$5,'Calc Smart'!E364,'Calc Avalanche'!E364,'Calc Snowball'!E364,'Calc Cashflow'!E364)</f>
        <v/>
      </c>
      <c r="I358" s="65">
        <f>CHOOSE(Plan!$K$5,'Calc Smart'!F364,'Calc Avalanche'!F364,'Calc Snowball'!F364,'Calc Cashflow'!F364)</f>
        <v/>
      </c>
      <c r="J358" s="65">
        <f>CHOOSE(Plan!$K$5,'Calc Smart'!G364,'Calc Avalanche'!G364,'Calc Snowball'!G364,'Calc Cashflow'!G364)</f>
        <v/>
      </c>
      <c r="K358" s="65">
        <f>CHOOSE(Plan!$K$5,'Calc Smart'!H364,'Calc Avalanche'!H364,'Calc Snowball'!H364,'Calc Cashflow'!H364)</f>
        <v/>
      </c>
      <c r="L358" s="65">
        <f>CHOOSE(Plan!$K$5,'Calc Smart'!I364,'Calc Avalanche'!I364,'Calc Snowball'!I364,'Calc Cashflow'!I364)</f>
        <v/>
      </c>
      <c r="M358" s="65">
        <f>CHOOSE(Plan!$K$5,'Calc Smart'!J364,'Calc Avalanche'!J364,'Calc Snowball'!J364,'Calc Cashflow'!J364)</f>
        <v/>
      </c>
      <c r="N358" s="65">
        <f>CHOOSE(Plan!$K$5,'Calc Smart'!K364,'Calc Avalanche'!K364,'Calc Snowball'!K364,'Calc Cashflow'!K364)</f>
        <v/>
      </c>
      <c r="O358" s="65">
        <f>CHOOSE(Plan!$K$5,'Calc Smart'!L364,'Calc Avalanche'!L364,'Calc Snowball'!L364,'Calc Cashflow'!L364)</f>
        <v/>
      </c>
      <c r="P358" s="65">
        <f>CHOOSE(Plan!$K$5,'Calc Smart'!M364,'Calc Avalanche'!M364,'Calc Snowball'!M364,'Calc Cashflow'!M364)</f>
        <v/>
      </c>
      <c r="Q358" s="65">
        <f>CHOOSE(Plan!$K$5,'Calc Smart'!N364,'Calc Avalanche'!N364,'Calc Snowball'!N364,'Calc Cashflow'!N364)</f>
        <v/>
      </c>
    </row>
    <row r="359">
      <c r="B359" s="66">
        <f>EDATE(Plan!$C$6,353)</f>
        <v/>
      </c>
      <c r="C359" s="32">
        <f>CHOOSE(Plan!$K$5,'Calc Smart'!AE365,'Calc Avalanche'!AE365,'Calc Snowball'!AE365,'Calc Cashflow'!AE365)</f>
        <v/>
      </c>
      <c r="D359" s="32">
        <f>CHOOSE(Plan!$K$5,'Calc Smart'!AD365,'Calc Avalanche'!AD365,'Calc Snowball'!AD365,'Calc Cashflow'!AD365)</f>
        <v/>
      </c>
      <c r="E359" s="43">
        <f>CHOOSE(Plan!$K$5,COUNTIF('Calc Smart'!C365:N365,"&gt;0"),COUNTIF('Calc Avalanche'!C365:N365,"&gt;0"),COUNTIF('Calc Snowball'!C365:N365,"&gt;0"),COUNTIF('Calc Cashflow'!C365:N365,"&gt;0"))</f>
        <v/>
      </c>
      <c r="F359" s="67">
        <f>CHOOSE(Plan!$K$5,'Calc Smart'!C365,'Calc Avalanche'!C365,'Calc Snowball'!C365,'Calc Cashflow'!C365)</f>
        <v/>
      </c>
      <c r="G359" s="67">
        <f>CHOOSE(Plan!$K$5,'Calc Smart'!D365,'Calc Avalanche'!D365,'Calc Snowball'!D365,'Calc Cashflow'!D365)</f>
        <v/>
      </c>
      <c r="H359" s="67">
        <f>CHOOSE(Plan!$K$5,'Calc Smart'!E365,'Calc Avalanche'!E365,'Calc Snowball'!E365,'Calc Cashflow'!E365)</f>
        <v/>
      </c>
      <c r="I359" s="67">
        <f>CHOOSE(Plan!$K$5,'Calc Smart'!F365,'Calc Avalanche'!F365,'Calc Snowball'!F365,'Calc Cashflow'!F365)</f>
        <v/>
      </c>
      <c r="J359" s="67">
        <f>CHOOSE(Plan!$K$5,'Calc Smart'!G365,'Calc Avalanche'!G365,'Calc Snowball'!G365,'Calc Cashflow'!G365)</f>
        <v/>
      </c>
      <c r="K359" s="67">
        <f>CHOOSE(Plan!$K$5,'Calc Smart'!H365,'Calc Avalanche'!H365,'Calc Snowball'!H365,'Calc Cashflow'!H365)</f>
        <v/>
      </c>
      <c r="L359" s="67">
        <f>CHOOSE(Plan!$K$5,'Calc Smart'!I365,'Calc Avalanche'!I365,'Calc Snowball'!I365,'Calc Cashflow'!I365)</f>
        <v/>
      </c>
      <c r="M359" s="67">
        <f>CHOOSE(Plan!$K$5,'Calc Smart'!J365,'Calc Avalanche'!J365,'Calc Snowball'!J365,'Calc Cashflow'!J365)</f>
        <v/>
      </c>
      <c r="N359" s="67">
        <f>CHOOSE(Plan!$K$5,'Calc Smart'!K365,'Calc Avalanche'!K365,'Calc Snowball'!K365,'Calc Cashflow'!K365)</f>
        <v/>
      </c>
      <c r="O359" s="67">
        <f>CHOOSE(Plan!$K$5,'Calc Smart'!L365,'Calc Avalanche'!L365,'Calc Snowball'!L365,'Calc Cashflow'!L365)</f>
        <v/>
      </c>
      <c r="P359" s="67">
        <f>CHOOSE(Plan!$K$5,'Calc Smart'!M365,'Calc Avalanche'!M365,'Calc Snowball'!M365,'Calc Cashflow'!M365)</f>
        <v/>
      </c>
      <c r="Q359" s="67">
        <f>CHOOSE(Plan!$K$5,'Calc Smart'!N365,'Calc Avalanche'!N365,'Calc Snowball'!N365,'Calc Cashflow'!N365)</f>
        <v/>
      </c>
    </row>
    <row r="360">
      <c r="B360" s="64">
        <f>EDATE(Plan!$C$6,354)</f>
        <v/>
      </c>
      <c r="C360" s="31">
        <f>CHOOSE(Plan!$K$5,'Calc Smart'!AE366,'Calc Avalanche'!AE366,'Calc Snowball'!AE366,'Calc Cashflow'!AE366)</f>
        <v/>
      </c>
      <c r="D360" s="31">
        <f>CHOOSE(Plan!$K$5,'Calc Smart'!AD366,'Calc Avalanche'!AD366,'Calc Snowball'!AD366,'Calc Cashflow'!AD366)</f>
        <v/>
      </c>
      <c r="E360" s="40">
        <f>CHOOSE(Plan!$K$5,COUNTIF('Calc Smart'!C366:N366,"&gt;0"),COUNTIF('Calc Avalanche'!C366:N366,"&gt;0"),COUNTIF('Calc Snowball'!C366:N366,"&gt;0"),COUNTIF('Calc Cashflow'!C366:N366,"&gt;0"))</f>
        <v/>
      </c>
      <c r="F360" s="65">
        <f>CHOOSE(Plan!$K$5,'Calc Smart'!C366,'Calc Avalanche'!C366,'Calc Snowball'!C366,'Calc Cashflow'!C366)</f>
        <v/>
      </c>
      <c r="G360" s="65">
        <f>CHOOSE(Plan!$K$5,'Calc Smart'!D366,'Calc Avalanche'!D366,'Calc Snowball'!D366,'Calc Cashflow'!D366)</f>
        <v/>
      </c>
      <c r="H360" s="65">
        <f>CHOOSE(Plan!$K$5,'Calc Smart'!E366,'Calc Avalanche'!E366,'Calc Snowball'!E366,'Calc Cashflow'!E366)</f>
        <v/>
      </c>
      <c r="I360" s="65">
        <f>CHOOSE(Plan!$K$5,'Calc Smart'!F366,'Calc Avalanche'!F366,'Calc Snowball'!F366,'Calc Cashflow'!F366)</f>
        <v/>
      </c>
      <c r="J360" s="65">
        <f>CHOOSE(Plan!$K$5,'Calc Smart'!G366,'Calc Avalanche'!G366,'Calc Snowball'!G366,'Calc Cashflow'!G366)</f>
        <v/>
      </c>
      <c r="K360" s="65">
        <f>CHOOSE(Plan!$K$5,'Calc Smart'!H366,'Calc Avalanche'!H366,'Calc Snowball'!H366,'Calc Cashflow'!H366)</f>
        <v/>
      </c>
      <c r="L360" s="65">
        <f>CHOOSE(Plan!$K$5,'Calc Smart'!I366,'Calc Avalanche'!I366,'Calc Snowball'!I366,'Calc Cashflow'!I366)</f>
        <v/>
      </c>
      <c r="M360" s="65">
        <f>CHOOSE(Plan!$K$5,'Calc Smart'!J366,'Calc Avalanche'!J366,'Calc Snowball'!J366,'Calc Cashflow'!J366)</f>
        <v/>
      </c>
      <c r="N360" s="65">
        <f>CHOOSE(Plan!$K$5,'Calc Smart'!K366,'Calc Avalanche'!K366,'Calc Snowball'!K366,'Calc Cashflow'!K366)</f>
        <v/>
      </c>
      <c r="O360" s="65">
        <f>CHOOSE(Plan!$K$5,'Calc Smart'!L366,'Calc Avalanche'!L366,'Calc Snowball'!L366,'Calc Cashflow'!L366)</f>
        <v/>
      </c>
      <c r="P360" s="65">
        <f>CHOOSE(Plan!$K$5,'Calc Smart'!M366,'Calc Avalanche'!M366,'Calc Snowball'!M366,'Calc Cashflow'!M366)</f>
        <v/>
      </c>
      <c r="Q360" s="65">
        <f>CHOOSE(Plan!$K$5,'Calc Smart'!N366,'Calc Avalanche'!N366,'Calc Snowball'!N366,'Calc Cashflow'!N366)</f>
        <v/>
      </c>
    </row>
    <row r="361">
      <c r="B361" s="66">
        <f>EDATE(Plan!$C$6,355)</f>
        <v/>
      </c>
      <c r="C361" s="32">
        <f>CHOOSE(Plan!$K$5,'Calc Smart'!AE367,'Calc Avalanche'!AE367,'Calc Snowball'!AE367,'Calc Cashflow'!AE367)</f>
        <v/>
      </c>
      <c r="D361" s="32">
        <f>CHOOSE(Plan!$K$5,'Calc Smart'!AD367,'Calc Avalanche'!AD367,'Calc Snowball'!AD367,'Calc Cashflow'!AD367)</f>
        <v/>
      </c>
      <c r="E361" s="43">
        <f>CHOOSE(Plan!$K$5,COUNTIF('Calc Smart'!C367:N367,"&gt;0"),COUNTIF('Calc Avalanche'!C367:N367,"&gt;0"),COUNTIF('Calc Snowball'!C367:N367,"&gt;0"),COUNTIF('Calc Cashflow'!C367:N367,"&gt;0"))</f>
        <v/>
      </c>
      <c r="F361" s="67">
        <f>CHOOSE(Plan!$K$5,'Calc Smart'!C367,'Calc Avalanche'!C367,'Calc Snowball'!C367,'Calc Cashflow'!C367)</f>
        <v/>
      </c>
      <c r="G361" s="67">
        <f>CHOOSE(Plan!$K$5,'Calc Smart'!D367,'Calc Avalanche'!D367,'Calc Snowball'!D367,'Calc Cashflow'!D367)</f>
        <v/>
      </c>
      <c r="H361" s="67">
        <f>CHOOSE(Plan!$K$5,'Calc Smart'!E367,'Calc Avalanche'!E367,'Calc Snowball'!E367,'Calc Cashflow'!E367)</f>
        <v/>
      </c>
      <c r="I361" s="67">
        <f>CHOOSE(Plan!$K$5,'Calc Smart'!F367,'Calc Avalanche'!F367,'Calc Snowball'!F367,'Calc Cashflow'!F367)</f>
        <v/>
      </c>
      <c r="J361" s="67">
        <f>CHOOSE(Plan!$K$5,'Calc Smart'!G367,'Calc Avalanche'!G367,'Calc Snowball'!G367,'Calc Cashflow'!G367)</f>
        <v/>
      </c>
      <c r="K361" s="67">
        <f>CHOOSE(Plan!$K$5,'Calc Smart'!H367,'Calc Avalanche'!H367,'Calc Snowball'!H367,'Calc Cashflow'!H367)</f>
        <v/>
      </c>
      <c r="L361" s="67">
        <f>CHOOSE(Plan!$K$5,'Calc Smart'!I367,'Calc Avalanche'!I367,'Calc Snowball'!I367,'Calc Cashflow'!I367)</f>
        <v/>
      </c>
      <c r="M361" s="67">
        <f>CHOOSE(Plan!$K$5,'Calc Smart'!J367,'Calc Avalanche'!J367,'Calc Snowball'!J367,'Calc Cashflow'!J367)</f>
        <v/>
      </c>
      <c r="N361" s="67">
        <f>CHOOSE(Plan!$K$5,'Calc Smart'!K367,'Calc Avalanche'!K367,'Calc Snowball'!K367,'Calc Cashflow'!K367)</f>
        <v/>
      </c>
      <c r="O361" s="67">
        <f>CHOOSE(Plan!$K$5,'Calc Smart'!L367,'Calc Avalanche'!L367,'Calc Snowball'!L367,'Calc Cashflow'!L367)</f>
        <v/>
      </c>
      <c r="P361" s="67">
        <f>CHOOSE(Plan!$K$5,'Calc Smart'!M367,'Calc Avalanche'!M367,'Calc Snowball'!M367,'Calc Cashflow'!M367)</f>
        <v/>
      </c>
      <c r="Q361" s="67">
        <f>CHOOSE(Plan!$K$5,'Calc Smart'!N367,'Calc Avalanche'!N367,'Calc Snowball'!N367,'Calc Cashflow'!N367)</f>
        <v/>
      </c>
    </row>
    <row r="362">
      <c r="B362" s="64">
        <f>EDATE(Plan!$C$6,356)</f>
        <v/>
      </c>
      <c r="C362" s="31">
        <f>CHOOSE(Plan!$K$5,'Calc Smart'!AE368,'Calc Avalanche'!AE368,'Calc Snowball'!AE368,'Calc Cashflow'!AE368)</f>
        <v/>
      </c>
      <c r="D362" s="31">
        <f>CHOOSE(Plan!$K$5,'Calc Smart'!AD368,'Calc Avalanche'!AD368,'Calc Snowball'!AD368,'Calc Cashflow'!AD368)</f>
        <v/>
      </c>
      <c r="E362" s="40">
        <f>CHOOSE(Plan!$K$5,COUNTIF('Calc Smart'!C368:N368,"&gt;0"),COUNTIF('Calc Avalanche'!C368:N368,"&gt;0"),COUNTIF('Calc Snowball'!C368:N368,"&gt;0"),COUNTIF('Calc Cashflow'!C368:N368,"&gt;0"))</f>
        <v/>
      </c>
      <c r="F362" s="65">
        <f>CHOOSE(Plan!$K$5,'Calc Smart'!C368,'Calc Avalanche'!C368,'Calc Snowball'!C368,'Calc Cashflow'!C368)</f>
        <v/>
      </c>
      <c r="G362" s="65">
        <f>CHOOSE(Plan!$K$5,'Calc Smart'!D368,'Calc Avalanche'!D368,'Calc Snowball'!D368,'Calc Cashflow'!D368)</f>
        <v/>
      </c>
      <c r="H362" s="65">
        <f>CHOOSE(Plan!$K$5,'Calc Smart'!E368,'Calc Avalanche'!E368,'Calc Snowball'!E368,'Calc Cashflow'!E368)</f>
        <v/>
      </c>
      <c r="I362" s="65">
        <f>CHOOSE(Plan!$K$5,'Calc Smart'!F368,'Calc Avalanche'!F368,'Calc Snowball'!F368,'Calc Cashflow'!F368)</f>
        <v/>
      </c>
      <c r="J362" s="65">
        <f>CHOOSE(Plan!$K$5,'Calc Smart'!G368,'Calc Avalanche'!G368,'Calc Snowball'!G368,'Calc Cashflow'!G368)</f>
        <v/>
      </c>
      <c r="K362" s="65">
        <f>CHOOSE(Plan!$K$5,'Calc Smart'!H368,'Calc Avalanche'!H368,'Calc Snowball'!H368,'Calc Cashflow'!H368)</f>
        <v/>
      </c>
      <c r="L362" s="65">
        <f>CHOOSE(Plan!$K$5,'Calc Smart'!I368,'Calc Avalanche'!I368,'Calc Snowball'!I368,'Calc Cashflow'!I368)</f>
        <v/>
      </c>
      <c r="M362" s="65">
        <f>CHOOSE(Plan!$K$5,'Calc Smart'!J368,'Calc Avalanche'!J368,'Calc Snowball'!J368,'Calc Cashflow'!J368)</f>
        <v/>
      </c>
      <c r="N362" s="65">
        <f>CHOOSE(Plan!$K$5,'Calc Smart'!K368,'Calc Avalanche'!K368,'Calc Snowball'!K368,'Calc Cashflow'!K368)</f>
        <v/>
      </c>
      <c r="O362" s="65">
        <f>CHOOSE(Plan!$K$5,'Calc Smart'!L368,'Calc Avalanche'!L368,'Calc Snowball'!L368,'Calc Cashflow'!L368)</f>
        <v/>
      </c>
      <c r="P362" s="65">
        <f>CHOOSE(Plan!$K$5,'Calc Smart'!M368,'Calc Avalanche'!M368,'Calc Snowball'!M368,'Calc Cashflow'!M368)</f>
        <v/>
      </c>
      <c r="Q362" s="65">
        <f>CHOOSE(Plan!$K$5,'Calc Smart'!N368,'Calc Avalanche'!N368,'Calc Snowball'!N368,'Calc Cashflow'!N368)</f>
        <v/>
      </c>
    </row>
    <row r="363">
      <c r="B363" s="66">
        <f>EDATE(Plan!$C$6,357)</f>
        <v/>
      </c>
      <c r="C363" s="32">
        <f>CHOOSE(Plan!$K$5,'Calc Smart'!AE369,'Calc Avalanche'!AE369,'Calc Snowball'!AE369,'Calc Cashflow'!AE369)</f>
        <v/>
      </c>
      <c r="D363" s="32">
        <f>CHOOSE(Plan!$K$5,'Calc Smart'!AD369,'Calc Avalanche'!AD369,'Calc Snowball'!AD369,'Calc Cashflow'!AD369)</f>
        <v/>
      </c>
      <c r="E363" s="43">
        <f>CHOOSE(Plan!$K$5,COUNTIF('Calc Smart'!C369:N369,"&gt;0"),COUNTIF('Calc Avalanche'!C369:N369,"&gt;0"),COUNTIF('Calc Snowball'!C369:N369,"&gt;0"),COUNTIF('Calc Cashflow'!C369:N369,"&gt;0"))</f>
        <v/>
      </c>
      <c r="F363" s="67">
        <f>CHOOSE(Plan!$K$5,'Calc Smart'!C369,'Calc Avalanche'!C369,'Calc Snowball'!C369,'Calc Cashflow'!C369)</f>
        <v/>
      </c>
      <c r="G363" s="67">
        <f>CHOOSE(Plan!$K$5,'Calc Smart'!D369,'Calc Avalanche'!D369,'Calc Snowball'!D369,'Calc Cashflow'!D369)</f>
        <v/>
      </c>
      <c r="H363" s="67">
        <f>CHOOSE(Plan!$K$5,'Calc Smart'!E369,'Calc Avalanche'!E369,'Calc Snowball'!E369,'Calc Cashflow'!E369)</f>
        <v/>
      </c>
      <c r="I363" s="67">
        <f>CHOOSE(Plan!$K$5,'Calc Smart'!F369,'Calc Avalanche'!F369,'Calc Snowball'!F369,'Calc Cashflow'!F369)</f>
        <v/>
      </c>
      <c r="J363" s="67">
        <f>CHOOSE(Plan!$K$5,'Calc Smart'!G369,'Calc Avalanche'!G369,'Calc Snowball'!G369,'Calc Cashflow'!G369)</f>
        <v/>
      </c>
      <c r="K363" s="67">
        <f>CHOOSE(Plan!$K$5,'Calc Smart'!H369,'Calc Avalanche'!H369,'Calc Snowball'!H369,'Calc Cashflow'!H369)</f>
        <v/>
      </c>
      <c r="L363" s="67">
        <f>CHOOSE(Plan!$K$5,'Calc Smart'!I369,'Calc Avalanche'!I369,'Calc Snowball'!I369,'Calc Cashflow'!I369)</f>
        <v/>
      </c>
      <c r="M363" s="67">
        <f>CHOOSE(Plan!$K$5,'Calc Smart'!J369,'Calc Avalanche'!J369,'Calc Snowball'!J369,'Calc Cashflow'!J369)</f>
        <v/>
      </c>
      <c r="N363" s="67">
        <f>CHOOSE(Plan!$K$5,'Calc Smart'!K369,'Calc Avalanche'!K369,'Calc Snowball'!K369,'Calc Cashflow'!K369)</f>
        <v/>
      </c>
      <c r="O363" s="67">
        <f>CHOOSE(Plan!$K$5,'Calc Smart'!L369,'Calc Avalanche'!L369,'Calc Snowball'!L369,'Calc Cashflow'!L369)</f>
        <v/>
      </c>
      <c r="P363" s="67">
        <f>CHOOSE(Plan!$K$5,'Calc Smart'!M369,'Calc Avalanche'!M369,'Calc Snowball'!M369,'Calc Cashflow'!M369)</f>
        <v/>
      </c>
      <c r="Q363" s="67">
        <f>CHOOSE(Plan!$K$5,'Calc Smart'!N369,'Calc Avalanche'!N369,'Calc Snowball'!N369,'Calc Cashflow'!N369)</f>
        <v/>
      </c>
    </row>
    <row r="364">
      <c r="B364" s="64">
        <f>EDATE(Plan!$C$6,358)</f>
        <v/>
      </c>
      <c r="C364" s="31">
        <f>CHOOSE(Plan!$K$5,'Calc Smart'!AE370,'Calc Avalanche'!AE370,'Calc Snowball'!AE370,'Calc Cashflow'!AE370)</f>
        <v/>
      </c>
      <c r="D364" s="31">
        <f>CHOOSE(Plan!$K$5,'Calc Smart'!AD370,'Calc Avalanche'!AD370,'Calc Snowball'!AD370,'Calc Cashflow'!AD370)</f>
        <v/>
      </c>
      <c r="E364" s="40">
        <f>CHOOSE(Plan!$K$5,COUNTIF('Calc Smart'!C370:N370,"&gt;0"),COUNTIF('Calc Avalanche'!C370:N370,"&gt;0"),COUNTIF('Calc Snowball'!C370:N370,"&gt;0"),COUNTIF('Calc Cashflow'!C370:N370,"&gt;0"))</f>
        <v/>
      </c>
      <c r="F364" s="65">
        <f>CHOOSE(Plan!$K$5,'Calc Smart'!C370,'Calc Avalanche'!C370,'Calc Snowball'!C370,'Calc Cashflow'!C370)</f>
        <v/>
      </c>
      <c r="G364" s="65">
        <f>CHOOSE(Plan!$K$5,'Calc Smart'!D370,'Calc Avalanche'!D370,'Calc Snowball'!D370,'Calc Cashflow'!D370)</f>
        <v/>
      </c>
      <c r="H364" s="65">
        <f>CHOOSE(Plan!$K$5,'Calc Smart'!E370,'Calc Avalanche'!E370,'Calc Snowball'!E370,'Calc Cashflow'!E370)</f>
        <v/>
      </c>
      <c r="I364" s="65">
        <f>CHOOSE(Plan!$K$5,'Calc Smart'!F370,'Calc Avalanche'!F370,'Calc Snowball'!F370,'Calc Cashflow'!F370)</f>
        <v/>
      </c>
      <c r="J364" s="65">
        <f>CHOOSE(Plan!$K$5,'Calc Smart'!G370,'Calc Avalanche'!G370,'Calc Snowball'!G370,'Calc Cashflow'!G370)</f>
        <v/>
      </c>
      <c r="K364" s="65">
        <f>CHOOSE(Plan!$K$5,'Calc Smart'!H370,'Calc Avalanche'!H370,'Calc Snowball'!H370,'Calc Cashflow'!H370)</f>
        <v/>
      </c>
      <c r="L364" s="65">
        <f>CHOOSE(Plan!$K$5,'Calc Smart'!I370,'Calc Avalanche'!I370,'Calc Snowball'!I370,'Calc Cashflow'!I370)</f>
        <v/>
      </c>
      <c r="M364" s="65">
        <f>CHOOSE(Plan!$K$5,'Calc Smart'!J370,'Calc Avalanche'!J370,'Calc Snowball'!J370,'Calc Cashflow'!J370)</f>
        <v/>
      </c>
      <c r="N364" s="65">
        <f>CHOOSE(Plan!$K$5,'Calc Smart'!K370,'Calc Avalanche'!K370,'Calc Snowball'!K370,'Calc Cashflow'!K370)</f>
        <v/>
      </c>
      <c r="O364" s="65">
        <f>CHOOSE(Plan!$K$5,'Calc Smart'!L370,'Calc Avalanche'!L370,'Calc Snowball'!L370,'Calc Cashflow'!L370)</f>
        <v/>
      </c>
      <c r="P364" s="65">
        <f>CHOOSE(Plan!$K$5,'Calc Smart'!M370,'Calc Avalanche'!M370,'Calc Snowball'!M370,'Calc Cashflow'!M370)</f>
        <v/>
      </c>
      <c r="Q364" s="65">
        <f>CHOOSE(Plan!$K$5,'Calc Smart'!N370,'Calc Avalanche'!N370,'Calc Snowball'!N370,'Calc Cashflow'!N370)</f>
        <v/>
      </c>
    </row>
    <row r="365">
      <c r="B365" s="66">
        <f>EDATE(Plan!$C$6,359)</f>
        <v/>
      </c>
      <c r="C365" s="32">
        <f>CHOOSE(Plan!$K$5,'Calc Smart'!AE371,'Calc Avalanche'!AE371,'Calc Snowball'!AE371,'Calc Cashflow'!AE371)</f>
        <v/>
      </c>
      <c r="D365" s="32">
        <f>CHOOSE(Plan!$K$5,'Calc Smart'!AD371,'Calc Avalanche'!AD371,'Calc Snowball'!AD371,'Calc Cashflow'!AD371)</f>
        <v/>
      </c>
      <c r="E365" s="43">
        <f>CHOOSE(Plan!$K$5,COUNTIF('Calc Smart'!C371:N371,"&gt;0"),COUNTIF('Calc Avalanche'!C371:N371,"&gt;0"),COUNTIF('Calc Snowball'!C371:N371,"&gt;0"),COUNTIF('Calc Cashflow'!C371:N371,"&gt;0"))</f>
        <v/>
      </c>
      <c r="F365" s="67">
        <f>CHOOSE(Plan!$K$5,'Calc Smart'!C371,'Calc Avalanche'!C371,'Calc Snowball'!C371,'Calc Cashflow'!C371)</f>
        <v/>
      </c>
      <c r="G365" s="67">
        <f>CHOOSE(Plan!$K$5,'Calc Smart'!D371,'Calc Avalanche'!D371,'Calc Snowball'!D371,'Calc Cashflow'!D371)</f>
        <v/>
      </c>
      <c r="H365" s="67">
        <f>CHOOSE(Plan!$K$5,'Calc Smart'!E371,'Calc Avalanche'!E371,'Calc Snowball'!E371,'Calc Cashflow'!E371)</f>
        <v/>
      </c>
      <c r="I365" s="67">
        <f>CHOOSE(Plan!$K$5,'Calc Smart'!F371,'Calc Avalanche'!F371,'Calc Snowball'!F371,'Calc Cashflow'!F371)</f>
        <v/>
      </c>
      <c r="J365" s="67">
        <f>CHOOSE(Plan!$K$5,'Calc Smart'!G371,'Calc Avalanche'!G371,'Calc Snowball'!G371,'Calc Cashflow'!G371)</f>
        <v/>
      </c>
      <c r="K365" s="67">
        <f>CHOOSE(Plan!$K$5,'Calc Smart'!H371,'Calc Avalanche'!H371,'Calc Snowball'!H371,'Calc Cashflow'!H371)</f>
        <v/>
      </c>
      <c r="L365" s="67">
        <f>CHOOSE(Plan!$K$5,'Calc Smart'!I371,'Calc Avalanche'!I371,'Calc Snowball'!I371,'Calc Cashflow'!I371)</f>
        <v/>
      </c>
      <c r="M365" s="67">
        <f>CHOOSE(Plan!$K$5,'Calc Smart'!J371,'Calc Avalanche'!J371,'Calc Snowball'!J371,'Calc Cashflow'!J371)</f>
        <v/>
      </c>
      <c r="N365" s="67">
        <f>CHOOSE(Plan!$K$5,'Calc Smart'!K371,'Calc Avalanche'!K371,'Calc Snowball'!K371,'Calc Cashflow'!K371)</f>
        <v/>
      </c>
      <c r="O365" s="67">
        <f>CHOOSE(Plan!$K$5,'Calc Smart'!L371,'Calc Avalanche'!L371,'Calc Snowball'!L371,'Calc Cashflow'!L371)</f>
        <v/>
      </c>
      <c r="P365" s="67">
        <f>CHOOSE(Plan!$K$5,'Calc Smart'!M371,'Calc Avalanche'!M371,'Calc Snowball'!M371,'Calc Cashflow'!M371)</f>
        <v/>
      </c>
      <c r="Q365" s="67">
        <f>CHOOSE(Plan!$K$5,'Calc Smart'!N371,'Calc Avalanche'!N371,'Calc Snowball'!N371,'Calc Cashflow'!N371)</f>
        <v/>
      </c>
    </row>
  </sheetData>
  <conditionalFormatting sqref="D6:D365">
    <cfRule type="cellIs" priority="1" operator="lessThanOrEqual" dxfId="0">
      <formula>0.005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3F58"/>
    <outlinePr summaryBelow="1" summaryRight="1"/>
    <pageSetUpPr/>
  </sheetPr>
  <dimension ref="A1:AS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C1">
        <f>IF(AND('My Debts'!$H$7="Allowed with a fee",N(+'My Debts'!$I$7)&gt;0,ISNUMBER(C10)),IF(OR(N(+'My Debts'!$J$7)=0,C10&lt;'My Debts'!$J$7),'My Debts'!$I$7,0),0)</f>
        <v/>
      </c>
      <c r="D1">
        <f>IF(AND('My Debts'!$H$8="Allowed with a fee",N(+'My Debts'!$I$8)&gt;0,ISNUMBER(D10)),IF(OR(N(+'My Debts'!$J$8)=0,D10&lt;'My Debts'!$J$8),'My Debts'!$I$8,0),0)</f>
        <v/>
      </c>
      <c r="E1">
        <f>IF(AND('My Debts'!$H$9="Allowed with a fee",N(+'My Debts'!$I$9)&gt;0,ISNUMBER(E10)),IF(OR(N(+'My Debts'!$J$9)=0,E10&lt;'My Debts'!$J$9),'My Debts'!$I$9,0),0)</f>
        <v/>
      </c>
      <c r="F1">
        <f>IF(AND('My Debts'!$H$10="Allowed with a fee",N(+'My Debts'!$I$10)&gt;0,ISNUMBER(F10)),IF(OR(N(+'My Debts'!$J$10)=0,F10&lt;'My Debts'!$J$10),'My Debts'!$I$10,0),0)</f>
        <v/>
      </c>
      <c r="G1">
        <f>IF(AND('My Debts'!$H$11="Allowed with a fee",N(+'My Debts'!$I$11)&gt;0,ISNUMBER(G10)),IF(OR(N(+'My Debts'!$J$11)=0,G10&lt;'My Debts'!$J$11),'My Debts'!$I$11,0),0)</f>
        <v/>
      </c>
      <c r="H1">
        <f>IF(AND('My Debts'!$H$12="Allowed with a fee",N(+'My Debts'!$I$12)&gt;0,ISNUMBER(H10)),IF(OR(N(+'My Debts'!$J$12)=0,H10&lt;'My Debts'!$J$12),'My Debts'!$I$12,0),0)</f>
        <v/>
      </c>
      <c r="I1">
        <f>IF(AND('My Debts'!$H$13="Allowed with a fee",N(+'My Debts'!$I$13)&gt;0,ISNUMBER(I10)),IF(OR(N(+'My Debts'!$J$13)=0,I10&lt;'My Debts'!$J$13),'My Debts'!$I$13,0),0)</f>
        <v/>
      </c>
      <c r="J1">
        <f>IF(AND('My Debts'!$H$14="Allowed with a fee",N(+'My Debts'!$I$14)&gt;0,ISNUMBER(J10)),IF(OR(N(+'My Debts'!$J$14)=0,J10&lt;'My Debts'!$J$14),'My Debts'!$I$14,0),0)</f>
        <v/>
      </c>
      <c r="K1">
        <f>IF(AND('My Debts'!$H$15="Allowed with a fee",N(+'My Debts'!$I$15)&gt;0,ISNUMBER(K10)),IF(OR(N(+'My Debts'!$J$15)=0,K10&lt;'My Debts'!$J$15),'My Debts'!$I$15,0),0)</f>
        <v/>
      </c>
      <c r="L1">
        <f>IF(AND('My Debts'!$H$16="Allowed with a fee",N(+'My Debts'!$I$16)&gt;0,ISNUMBER(L10)),IF(OR(N(+'My Debts'!$J$16)=0,L10&lt;'My Debts'!$J$16),'My Debts'!$I$16,0),0)</f>
        <v/>
      </c>
      <c r="M1">
        <f>IF(AND('My Debts'!$H$17="Allowed with a fee",N(+'My Debts'!$I$17)&gt;0,ISNUMBER(M10)),IF(OR(N(+'My Debts'!$J$17)=0,M10&lt;'My Debts'!$J$17),'My Debts'!$I$17,0),0)</f>
        <v/>
      </c>
      <c r="N1">
        <f>IF(AND('My Debts'!$H$18="Allowed with a fee",N(+'My Debts'!$I$18)&gt;0,ISNUMBER(N10)),IF(OR(N(+'My Debts'!$J$18)=0,N10&lt;'My Debts'!$J$18),'My Debts'!$I$18,0),0)</f>
        <v/>
      </c>
    </row>
    <row r="2">
      <c r="A2" t="inlineStr">
        <is>
          <t>rank</t>
        </is>
      </c>
      <c r="C2">
        <f>IF('My Debts'!$AA$7="",999,'My Debts'!$AA$7)</f>
        <v/>
      </c>
      <c r="D2">
        <f>IF('My Debts'!$AA$8="",999,'My Debts'!$AA$8)</f>
        <v/>
      </c>
      <c r="E2">
        <f>IF('My Debts'!$AA$9="",999,'My Debts'!$AA$9)</f>
        <v/>
      </c>
      <c r="F2">
        <f>IF('My Debts'!$AA$10="",999,'My Debts'!$AA$10)</f>
        <v/>
      </c>
      <c r="G2">
        <f>IF('My Debts'!$AA$11="",999,'My Debts'!$AA$11)</f>
        <v/>
      </c>
      <c r="H2">
        <f>IF('My Debts'!$AA$12="",999,'My Debts'!$AA$12)</f>
        <v/>
      </c>
      <c r="I2">
        <f>IF('My Debts'!$AA$13="",999,'My Debts'!$AA$13)</f>
        <v/>
      </c>
      <c r="J2">
        <f>IF('My Debts'!$AA$14="",999,'My Debts'!$AA$14)</f>
        <v/>
      </c>
      <c r="K2">
        <f>IF('My Debts'!$AA$15="",999,'My Debts'!$AA$15)</f>
        <v/>
      </c>
      <c r="L2">
        <f>IF('My Debts'!$AA$16="",999,'My Debts'!$AA$16)</f>
        <v/>
      </c>
      <c r="M2">
        <f>IF('My Debts'!$AA$17="",999,'My Debts'!$AA$17)</f>
        <v/>
      </c>
      <c r="N2">
        <f>IF('My Debts'!$AA$18="",999,'My Debts'!$AA$18)</f>
        <v/>
      </c>
    </row>
    <row r="3">
      <c r="A3" t="inlineStr">
        <is>
          <t>extra from</t>
        </is>
      </c>
      <c r="C3">
        <f>IF('My Debts'!$U$7="",DATE(2199,12,1),'My Debts'!$U$7)</f>
        <v/>
      </c>
      <c r="D3">
        <f>IF('My Debts'!$U$8="",DATE(2199,12,1),'My Debts'!$U$8)</f>
        <v/>
      </c>
      <c r="E3">
        <f>IF('My Debts'!$U$9="",DATE(2199,12,1),'My Debts'!$U$9)</f>
        <v/>
      </c>
      <c r="F3">
        <f>IF('My Debts'!$U$10="",DATE(2199,12,1),'My Debts'!$U$10)</f>
        <v/>
      </c>
      <c r="G3">
        <f>IF('My Debts'!$U$11="",DATE(2199,12,1),'My Debts'!$U$11)</f>
        <v/>
      </c>
      <c r="H3">
        <f>IF('My Debts'!$U$12="",DATE(2199,12,1),'My Debts'!$U$12)</f>
        <v/>
      </c>
      <c r="I3">
        <f>IF('My Debts'!$U$13="",DATE(2199,12,1),'My Debts'!$U$13)</f>
        <v/>
      </c>
      <c r="J3">
        <f>IF('My Debts'!$U$14="",DATE(2199,12,1),'My Debts'!$U$14)</f>
        <v/>
      </c>
      <c r="K3">
        <f>IF('My Debts'!$U$15="",DATE(2199,12,1),'My Debts'!$U$15)</f>
        <v/>
      </c>
      <c r="L3">
        <f>IF('My Debts'!$U$16="",DATE(2199,12,1),'My Debts'!$U$16)</f>
        <v/>
      </c>
      <c r="M3">
        <f>IF('My Debts'!$U$17="",DATE(2199,12,1),'My Debts'!$U$17)</f>
        <v/>
      </c>
      <c r="N3">
        <f>IF('My Debts'!$U$18="",DATE(2199,12,1),'My Debts'!$U$18)</f>
        <v/>
      </c>
    </row>
    <row r="4">
      <c r="A4" t="inlineStr">
        <is>
          <t>APR now</t>
        </is>
      </c>
      <c r="C4">
        <f>N(+'My Debts'!$E$7)</f>
        <v/>
      </c>
      <c r="D4">
        <f>N(+'My Debts'!$E$8)</f>
        <v/>
      </c>
      <c r="E4">
        <f>N(+'My Debts'!$E$9)</f>
        <v/>
      </c>
      <c r="F4">
        <f>N(+'My Debts'!$E$10)</f>
        <v/>
      </c>
      <c r="G4">
        <f>N(+'My Debts'!$E$11)</f>
        <v/>
      </c>
      <c r="H4">
        <f>N(+'My Debts'!$E$12)</f>
        <v/>
      </c>
      <c r="I4">
        <f>N(+'My Debts'!$E$13)</f>
        <v/>
      </c>
      <c r="J4">
        <f>N(+'My Debts'!$E$14)</f>
        <v/>
      </c>
      <c r="K4">
        <f>N(+'My Debts'!$E$15)</f>
        <v/>
      </c>
      <c r="L4">
        <f>N(+'My Debts'!$E$16)</f>
        <v/>
      </c>
      <c r="M4">
        <f>N(+'My Debts'!$E$17)</f>
        <v/>
      </c>
      <c r="N4">
        <f>N(+'My Debts'!$E$18)</f>
        <v/>
      </c>
    </row>
    <row r="5">
      <c r="A5" t="inlineStr">
        <is>
          <t>debt-free</t>
        </is>
      </c>
      <c r="B5">
        <f>IFERROR(INDEX($B$12:$B$371,MATCH(1,INDEX(($AD$12:$AD$371&lt;=0.005)*1,0),0)),"-")</f>
        <v/>
      </c>
      <c r="C5">
        <f>IF(N(+'My Debts'!$L$7)&gt;0,'My Debts'!$L$7,C4)</f>
        <v/>
      </c>
      <c r="D5">
        <f>IF(N(+'My Debts'!$L$8)&gt;0,'My Debts'!$L$8,D4)</f>
        <v/>
      </c>
      <c r="E5">
        <f>IF(N(+'My Debts'!$L$9)&gt;0,'My Debts'!$L$9,E4)</f>
        <v/>
      </c>
      <c r="F5">
        <f>IF(N(+'My Debts'!$L$10)&gt;0,'My Debts'!$L$10,F4)</f>
        <v/>
      </c>
      <c r="G5">
        <f>IF(N(+'My Debts'!$L$11)&gt;0,'My Debts'!$L$11,G4)</f>
        <v/>
      </c>
      <c r="H5">
        <f>IF(N(+'My Debts'!$L$12)&gt;0,'My Debts'!$L$12,H4)</f>
        <v/>
      </c>
      <c r="I5">
        <f>IF(N(+'My Debts'!$L$13)&gt;0,'My Debts'!$L$13,I4)</f>
        <v/>
      </c>
      <c r="J5">
        <f>IF(N(+'My Debts'!$L$14)&gt;0,'My Debts'!$L$14,J4)</f>
        <v/>
      </c>
      <c r="K5">
        <f>IF(N(+'My Debts'!$L$15)&gt;0,'My Debts'!$L$15,K4)</f>
        <v/>
      </c>
      <c r="L5">
        <f>IF(N(+'My Debts'!$L$16)&gt;0,'My Debts'!$L$16,L4)</f>
        <v/>
      </c>
      <c r="M5">
        <f>IF(N(+'My Debts'!$L$17)&gt;0,'My Debts'!$L$17,M4)</f>
        <v/>
      </c>
      <c r="N5">
        <f>IF(N(+'My Debts'!$L$18)&gt;0,'My Debts'!$L$18,N4)</f>
        <v/>
      </c>
    </row>
    <row r="6">
      <c r="A6" t="inlineStr">
        <is>
          <t>months</t>
        </is>
      </c>
      <c r="B6">
        <f>IFERROR(MATCH(1,INDEX(($AD$12:$AD$371&lt;=0.005)*1,0),0),"-")</f>
        <v/>
      </c>
      <c r="C6">
        <f>N(+'My Debts'!$K$7)</f>
        <v/>
      </c>
      <c r="D6">
        <f>N(+'My Debts'!$K$8)</f>
        <v/>
      </c>
      <c r="E6">
        <f>N(+'My Debts'!$K$9)</f>
        <v/>
      </c>
      <c r="F6">
        <f>N(+'My Debts'!$K$10)</f>
        <v/>
      </c>
      <c r="G6">
        <f>N(+'My Debts'!$K$11)</f>
        <v/>
      </c>
      <c r="H6">
        <f>N(+'My Debts'!$K$12)</f>
        <v/>
      </c>
      <c r="I6">
        <f>N(+'My Debts'!$K$13)</f>
        <v/>
      </c>
      <c r="J6">
        <f>N(+'My Debts'!$K$14)</f>
        <v/>
      </c>
      <c r="K6">
        <f>N(+'My Debts'!$K$15)</f>
        <v/>
      </c>
      <c r="L6">
        <f>N(+'My Debts'!$K$16)</f>
        <v/>
      </c>
      <c r="M6">
        <f>N(+'My Debts'!$K$17)</f>
        <v/>
      </c>
      <c r="N6">
        <f>N(+'My Debts'!$K$18)</f>
        <v/>
      </c>
    </row>
    <row r="7">
      <c r="A7" t="inlineStr">
        <is>
          <t>interest</t>
        </is>
      </c>
      <c r="B7">
        <f>SUM($O$12:$Z$371)-(SUM($C$8:$N$8)-SUM($C$371:$N$371))</f>
        <v/>
      </c>
      <c r="C7">
        <f>N(+'My Debts'!$F$7)</f>
        <v/>
      </c>
      <c r="D7">
        <f>N(+'My Debts'!$F$8)</f>
        <v/>
      </c>
      <c r="E7">
        <f>N(+'My Debts'!$F$9)</f>
        <v/>
      </c>
      <c r="F7">
        <f>N(+'My Debts'!$F$10)</f>
        <v/>
      </c>
      <c r="G7">
        <f>N(+'My Debts'!$F$11)</f>
        <v/>
      </c>
      <c r="H7">
        <f>N(+'My Debts'!$F$12)</f>
        <v/>
      </c>
      <c r="I7">
        <f>N(+'My Debts'!$F$13)</f>
        <v/>
      </c>
      <c r="J7">
        <f>N(+'My Debts'!$F$14)</f>
        <v/>
      </c>
      <c r="K7">
        <f>N(+'My Debts'!$F$15)</f>
        <v/>
      </c>
      <c r="L7">
        <f>N(+'My Debts'!$F$16)</f>
        <v/>
      </c>
      <c r="M7">
        <f>N(+'My Debts'!$F$17)</f>
        <v/>
      </c>
      <c r="N7">
        <f>N(+'My Debts'!$F$18)</f>
        <v/>
      </c>
    </row>
    <row r="8">
      <c r="A8" t="inlineStr">
        <is>
          <t>fees</t>
        </is>
      </c>
      <c r="B8">
        <f>SUM($C$1:$N$1)</f>
        <v/>
      </c>
      <c r="C8">
        <f>IF(AND(ISNUMBER('My Debts'!$D$7),'My Debts'!$D$7&gt;0),'My Debts'!$D$7,0)</f>
        <v/>
      </c>
      <c r="D8">
        <f>IF(AND(ISNUMBER('My Debts'!$D$8),'My Debts'!$D$8&gt;0),'My Debts'!$D$8,0)</f>
        <v/>
      </c>
      <c r="E8">
        <f>IF(AND(ISNUMBER('My Debts'!$D$9),'My Debts'!$D$9&gt;0),'My Debts'!$D$9,0)</f>
        <v/>
      </c>
      <c r="F8">
        <f>IF(AND(ISNUMBER('My Debts'!$D$10),'My Debts'!$D$10&gt;0),'My Debts'!$D$10,0)</f>
        <v/>
      </c>
      <c r="G8">
        <f>IF(AND(ISNUMBER('My Debts'!$D$11),'My Debts'!$D$11&gt;0),'My Debts'!$D$11,0)</f>
        <v/>
      </c>
      <c r="H8">
        <f>IF(AND(ISNUMBER('My Debts'!$D$12),'My Debts'!$D$12&gt;0),'My Debts'!$D$12,0)</f>
        <v/>
      </c>
      <c r="I8">
        <f>IF(AND(ISNUMBER('My Debts'!$D$13),'My Debts'!$D$13&gt;0),'My Debts'!$D$13,0)</f>
        <v/>
      </c>
      <c r="J8">
        <f>IF(AND(ISNUMBER('My Debts'!$D$14),'My Debts'!$D$14&gt;0),'My Debts'!$D$14,0)</f>
        <v/>
      </c>
      <c r="K8">
        <f>IF(AND(ISNUMBER('My Debts'!$D$15),'My Debts'!$D$15&gt;0),'My Debts'!$D$15,0)</f>
        <v/>
      </c>
      <c r="L8">
        <f>IF(AND(ISNUMBER('My Debts'!$D$16),'My Debts'!$D$16&gt;0),'My Debts'!$D$16,0)</f>
        <v/>
      </c>
      <c r="M8">
        <f>IF(AND(ISNUMBER('My Debts'!$D$17),'My Debts'!$D$17&gt;0),'My Debts'!$D$17,0)</f>
        <v/>
      </c>
      <c r="N8">
        <f>IF(AND(ISNUMBER('My Debts'!$D$18),'My Debts'!$D$18&gt;0),'My Debts'!$D$18,0)</f>
        <v/>
      </c>
    </row>
    <row r="9">
      <c r="A9" t="inlineStr">
        <is>
          <t>first</t>
        </is>
      </c>
      <c r="B9">
        <f>IF(COUNT($C$10:$N$10)=0,"-",MIN($C$10:$N$10))</f>
        <v/>
      </c>
    </row>
    <row r="10">
      <c r="C10">
        <f>IF(C8&lt;=0,"",IFERROR(INDEX($B$12:$B$371,MATCH(1,INDEX((C$12:C$371&lt;=0.005)*1,0),0)),""))</f>
        <v/>
      </c>
      <c r="D10">
        <f>IF(D8&lt;=0,"",IFERROR(INDEX($B$12:$B$371,MATCH(1,INDEX((D$12:D$371&lt;=0.005)*1,0),0)),""))</f>
        <v/>
      </c>
      <c r="E10">
        <f>IF(E8&lt;=0,"",IFERROR(INDEX($B$12:$B$371,MATCH(1,INDEX((E$12:E$371&lt;=0.005)*1,0),0)),""))</f>
        <v/>
      </c>
      <c r="F10">
        <f>IF(F8&lt;=0,"",IFERROR(INDEX($B$12:$B$371,MATCH(1,INDEX((F$12:F$371&lt;=0.005)*1,0),0)),""))</f>
        <v/>
      </c>
      <c r="G10">
        <f>IF(G8&lt;=0,"",IFERROR(INDEX($B$12:$B$371,MATCH(1,INDEX((G$12:G$371&lt;=0.005)*1,0),0)),""))</f>
        <v/>
      </c>
      <c r="H10">
        <f>IF(H8&lt;=0,"",IFERROR(INDEX($B$12:$B$371,MATCH(1,INDEX((H$12:H$371&lt;=0.005)*1,0),0)),""))</f>
        <v/>
      </c>
      <c r="I10">
        <f>IF(I8&lt;=0,"",IFERROR(INDEX($B$12:$B$371,MATCH(1,INDEX((I$12:I$371&lt;=0.005)*1,0),0)),""))</f>
        <v/>
      </c>
      <c r="J10">
        <f>IF(J8&lt;=0,"",IFERROR(INDEX($B$12:$B$371,MATCH(1,INDEX((J$12:J$371&lt;=0.005)*1,0),0)),""))</f>
        <v/>
      </c>
      <c r="K10">
        <f>IF(K8&lt;=0,"",IFERROR(INDEX($B$12:$B$371,MATCH(1,INDEX((K$12:K$371&lt;=0.005)*1,0),0)),""))</f>
        <v/>
      </c>
      <c r="L10">
        <f>IF(L8&lt;=0,"",IFERROR(INDEX($B$12:$B$371,MATCH(1,INDEX((L$12:L$371&lt;=0.005)*1,0),0)),""))</f>
        <v/>
      </c>
      <c r="M10">
        <f>IF(M8&lt;=0,"",IFERROR(INDEX($B$12:$B$371,MATCH(1,INDEX((M$12:M$371&lt;=0.005)*1,0),0)),""))</f>
        <v/>
      </c>
      <c r="N10">
        <f>IF(N8&lt;=0,"",IFERROR(INDEX($B$12:$B$371,MATCH(1,INDEX((N$12:N$371&lt;=0.005)*1,0),0)),""))</f>
        <v/>
      </c>
    </row>
    <row r="11">
      <c r="B11">
        <f>EDATE(Plan!$C$6,-1)</f>
        <v/>
      </c>
      <c r="C11">
        <f>C8</f>
        <v/>
      </c>
      <c r="D11">
        <f>D8</f>
        <v/>
      </c>
      <c r="E11">
        <f>E8</f>
        <v/>
      </c>
      <c r="F11">
        <f>F8</f>
        <v/>
      </c>
      <c r="G11">
        <f>G8</f>
        <v/>
      </c>
      <c r="H11">
        <f>H8</f>
        <v/>
      </c>
      <c r="I11">
        <f>I8</f>
        <v/>
      </c>
      <c r="J11">
        <f>J8</f>
        <v/>
      </c>
      <c r="K11">
        <f>K8</f>
        <v/>
      </c>
      <c r="L11">
        <f>L8</f>
        <v/>
      </c>
      <c r="M11">
        <f>M8</f>
        <v/>
      </c>
      <c r="N11">
        <f>N8</f>
        <v/>
      </c>
      <c r="AD11">
        <f>SUM(C11:N11)</f>
        <v/>
      </c>
    </row>
    <row r="12">
      <c r="A12" t="n">
        <v>1</v>
      </c>
      <c r="B12">
        <f>EDATE(Plan!$C$6,0)</f>
        <v/>
      </c>
      <c r="C12">
        <f>IF(C11&lt;=0,0,MAX(0,AH12-O12))</f>
        <v/>
      </c>
      <c r="D12">
        <f>IF(D11&lt;=0,0,MAX(0,AI12-P12))</f>
        <v/>
      </c>
      <c r="E12">
        <f>IF(E11&lt;=0,0,MAX(0,AJ12-Q12))</f>
        <v/>
      </c>
      <c r="F12">
        <f>IF(F11&lt;=0,0,MAX(0,AK12-R12))</f>
        <v/>
      </c>
      <c r="G12">
        <f>IF(G11&lt;=0,0,MAX(0,AL12-S12))</f>
        <v/>
      </c>
      <c r="H12">
        <f>IF(H11&lt;=0,0,MAX(0,AM12-T12))</f>
        <v/>
      </c>
      <c r="I12">
        <f>IF(I11&lt;=0,0,MAX(0,AN12-U12))</f>
        <v/>
      </c>
      <c r="J12">
        <f>IF(J11&lt;=0,0,MAX(0,AO12-V12))</f>
        <v/>
      </c>
      <c r="K12">
        <f>IF(K11&lt;=0,0,MAX(0,AP12-W12))</f>
        <v/>
      </c>
      <c r="L12">
        <f>IF(L11&lt;=0,0,MAX(0,AQ12-X12))</f>
        <v/>
      </c>
      <c r="M12">
        <f>IF(M11&lt;=0,0,MAX(0,AR12-Y12))</f>
        <v/>
      </c>
      <c r="N12">
        <f>IF(N11&lt;=0,0,MAX(0,AS12-Z12))</f>
        <v/>
      </c>
      <c r="O12">
        <f>IF(C11&lt;=0,0,MIN(AH12,C$7+IF(C$2=$AA12,$AC12,IF(C$2=$AF12,$AG12,0))))</f>
        <v/>
      </c>
      <c r="P12">
        <f>IF(D11&lt;=0,0,MIN(AI12,D$7+IF(D$2=$AA12,$AC12,IF(D$2=$AF12,$AG12,0))))</f>
        <v/>
      </c>
      <c r="Q12">
        <f>IF(E11&lt;=0,0,MIN(AJ12,E$7+IF(E$2=$AA12,$AC12,IF(E$2=$AF12,$AG12,0))))</f>
        <v/>
      </c>
      <c r="R12">
        <f>IF(F11&lt;=0,0,MIN(AK12,F$7+IF(F$2=$AA12,$AC12,IF(F$2=$AF12,$AG12,0))))</f>
        <v/>
      </c>
      <c r="S12">
        <f>IF(G11&lt;=0,0,MIN(AL12,G$7+IF(G$2=$AA12,$AC12,IF(G$2=$AF12,$AG12,0))))</f>
        <v/>
      </c>
      <c r="T12">
        <f>IF(H11&lt;=0,0,MIN(AM12,H$7+IF(H$2=$AA12,$AC12,IF(H$2=$AF12,$AG12,0))))</f>
        <v/>
      </c>
      <c r="U12">
        <f>IF(I11&lt;=0,0,MIN(AN12,I$7+IF(I$2=$AA12,$AC12,IF(I$2=$AF12,$AG12,0))))</f>
        <v/>
      </c>
      <c r="V12">
        <f>IF(J11&lt;=0,0,MIN(AO12,J$7+IF(J$2=$AA12,$AC12,IF(J$2=$AF12,$AG12,0))))</f>
        <v/>
      </c>
      <c r="W12">
        <f>IF(K11&lt;=0,0,MIN(AP12,K$7+IF(K$2=$AA12,$AC12,IF(K$2=$AF12,$AG12,0))))</f>
        <v/>
      </c>
      <c r="X12">
        <f>IF(L11&lt;=0,0,MIN(AQ12,L$7+IF(L$2=$AA12,$AC12,IF(L$2=$AF12,$AG12,0))))</f>
        <v/>
      </c>
      <c r="Y12">
        <f>IF(M11&lt;=0,0,MIN(AR12,M$7+IF(M$2=$AA12,$AC12,IF(M$2=$AF12,$AG12,0))))</f>
        <v/>
      </c>
      <c r="Z12">
        <f>IF(N11&lt;=0,0,MIN(AS12,N$7+IF(N$2=$AA12,$AC12,IF(N$2=$AF12,$AG12,0))))</f>
        <v/>
      </c>
      <c r="AA12">
        <f>IFERROR(ROUND(1/SUMPRODUCT(MAX((C11:N11&gt;0)*($C$3:$N$3&lt;=B12)/$C$2:$N$2)),0),0)</f>
        <v/>
      </c>
      <c r="AB12">
        <f>SUMPRODUCT((C11:N11&gt;0)*$C$7:$N$7)</f>
        <v/>
      </c>
      <c r="AC12">
        <f>MAX(0,Plan!$C$5-AB12)+IF(A12=Plan!$C$8,N(Plan!$C$7),0)</f>
        <v/>
      </c>
      <c r="AD12">
        <f>SUM(C12:N12)</f>
        <v/>
      </c>
      <c r="AE12">
        <f>SUM(O12:Z12)</f>
        <v/>
      </c>
      <c r="AF12">
        <f>IFERROR(ROUND(1/SUMPRODUCT(MAX((C11:N11&gt;0)*($C$3:$N$3&lt;=B12)*($C$2:$N$2&gt;AA12)/$C$2:$N$2)),0),0)</f>
        <v/>
      </c>
      <c r="AG12">
        <f>MAX(0,AC12-MAX(0,SUMPRODUCT(($C$2:$N$2=AA12)*(AH12:AS12-$C$7:$N$7))))</f>
        <v/>
      </c>
      <c r="AH12">
        <f>IF(C11&lt;=0,0,ROUND(C11*(1+IF(AND(C$6&gt;0,$B12&lt;C$6),C$4,C$5)/12),2))</f>
        <v/>
      </c>
      <c r="AI12">
        <f>IF(D11&lt;=0,0,ROUND(D11*(1+IF(AND(D$6&gt;0,$B12&lt;D$6),D$4,D$5)/12),2))</f>
        <v/>
      </c>
      <c r="AJ12">
        <f>IF(E11&lt;=0,0,ROUND(E11*(1+IF(AND(E$6&gt;0,$B12&lt;E$6),E$4,E$5)/12),2))</f>
        <v/>
      </c>
      <c r="AK12">
        <f>IF(F11&lt;=0,0,ROUND(F11*(1+IF(AND(F$6&gt;0,$B12&lt;F$6),F$4,F$5)/12),2))</f>
        <v/>
      </c>
      <c r="AL12">
        <f>IF(G11&lt;=0,0,ROUND(G11*(1+IF(AND(G$6&gt;0,$B12&lt;G$6),G$4,G$5)/12),2))</f>
        <v/>
      </c>
      <c r="AM12">
        <f>IF(H11&lt;=0,0,ROUND(H11*(1+IF(AND(H$6&gt;0,$B12&lt;H$6),H$4,H$5)/12),2))</f>
        <v/>
      </c>
      <c r="AN12">
        <f>IF(I11&lt;=0,0,ROUND(I11*(1+IF(AND(I$6&gt;0,$B12&lt;I$6),I$4,I$5)/12),2))</f>
        <v/>
      </c>
      <c r="AO12">
        <f>IF(J11&lt;=0,0,ROUND(J11*(1+IF(AND(J$6&gt;0,$B12&lt;J$6),J$4,J$5)/12),2))</f>
        <v/>
      </c>
      <c r="AP12">
        <f>IF(K11&lt;=0,0,ROUND(K11*(1+IF(AND(K$6&gt;0,$B12&lt;K$6),K$4,K$5)/12),2))</f>
        <v/>
      </c>
      <c r="AQ12">
        <f>IF(L11&lt;=0,0,ROUND(L11*(1+IF(AND(L$6&gt;0,$B12&lt;L$6),L$4,L$5)/12),2))</f>
        <v/>
      </c>
      <c r="AR12">
        <f>IF(M11&lt;=0,0,ROUND(M11*(1+IF(AND(M$6&gt;0,$B12&lt;M$6),M$4,M$5)/12),2))</f>
        <v/>
      </c>
      <c r="AS12">
        <f>IF(N11&lt;=0,0,ROUND(N11*(1+IF(AND(N$6&gt;0,$B12&lt;N$6),N$4,N$5)/12),2))</f>
        <v/>
      </c>
    </row>
    <row r="13">
      <c r="A13" t="n">
        <v>2</v>
      </c>
      <c r="B13">
        <f>EDATE(Plan!$C$6,1)</f>
        <v/>
      </c>
      <c r="C13">
        <f>IF(C12&lt;=0,0,MAX(0,AH13-O13))</f>
        <v/>
      </c>
      <c r="D13">
        <f>IF(D12&lt;=0,0,MAX(0,AI13-P13))</f>
        <v/>
      </c>
      <c r="E13">
        <f>IF(E12&lt;=0,0,MAX(0,AJ13-Q13))</f>
        <v/>
      </c>
      <c r="F13">
        <f>IF(F12&lt;=0,0,MAX(0,AK13-R13))</f>
        <v/>
      </c>
      <c r="G13">
        <f>IF(G12&lt;=0,0,MAX(0,AL13-S13))</f>
        <v/>
      </c>
      <c r="H13">
        <f>IF(H12&lt;=0,0,MAX(0,AM13-T13))</f>
        <v/>
      </c>
      <c r="I13">
        <f>IF(I12&lt;=0,0,MAX(0,AN13-U13))</f>
        <v/>
      </c>
      <c r="J13">
        <f>IF(J12&lt;=0,0,MAX(0,AO13-V13))</f>
        <v/>
      </c>
      <c r="K13">
        <f>IF(K12&lt;=0,0,MAX(0,AP13-W13))</f>
        <v/>
      </c>
      <c r="L13">
        <f>IF(L12&lt;=0,0,MAX(0,AQ13-X13))</f>
        <v/>
      </c>
      <c r="M13">
        <f>IF(M12&lt;=0,0,MAX(0,AR13-Y13))</f>
        <v/>
      </c>
      <c r="N13">
        <f>IF(N12&lt;=0,0,MAX(0,AS13-Z13))</f>
        <v/>
      </c>
      <c r="O13">
        <f>IF(C12&lt;=0,0,MIN(AH13,C$7+IF(C$2=$AA13,$AC13,IF(C$2=$AF13,$AG13,0))))</f>
        <v/>
      </c>
      <c r="P13">
        <f>IF(D12&lt;=0,0,MIN(AI13,D$7+IF(D$2=$AA13,$AC13,IF(D$2=$AF13,$AG13,0))))</f>
        <v/>
      </c>
      <c r="Q13">
        <f>IF(E12&lt;=0,0,MIN(AJ13,E$7+IF(E$2=$AA13,$AC13,IF(E$2=$AF13,$AG13,0))))</f>
        <v/>
      </c>
      <c r="R13">
        <f>IF(F12&lt;=0,0,MIN(AK13,F$7+IF(F$2=$AA13,$AC13,IF(F$2=$AF13,$AG13,0))))</f>
        <v/>
      </c>
      <c r="S13">
        <f>IF(G12&lt;=0,0,MIN(AL13,G$7+IF(G$2=$AA13,$AC13,IF(G$2=$AF13,$AG13,0))))</f>
        <v/>
      </c>
      <c r="T13">
        <f>IF(H12&lt;=0,0,MIN(AM13,H$7+IF(H$2=$AA13,$AC13,IF(H$2=$AF13,$AG13,0))))</f>
        <v/>
      </c>
      <c r="U13">
        <f>IF(I12&lt;=0,0,MIN(AN13,I$7+IF(I$2=$AA13,$AC13,IF(I$2=$AF13,$AG13,0))))</f>
        <v/>
      </c>
      <c r="V13">
        <f>IF(J12&lt;=0,0,MIN(AO13,J$7+IF(J$2=$AA13,$AC13,IF(J$2=$AF13,$AG13,0))))</f>
        <v/>
      </c>
      <c r="W13">
        <f>IF(K12&lt;=0,0,MIN(AP13,K$7+IF(K$2=$AA13,$AC13,IF(K$2=$AF13,$AG13,0))))</f>
        <v/>
      </c>
      <c r="X13">
        <f>IF(L12&lt;=0,0,MIN(AQ13,L$7+IF(L$2=$AA13,$AC13,IF(L$2=$AF13,$AG13,0))))</f>
        <v/>
      </c>
      <c r="Y13">
        <f>IF(M12&lt;=0,0,MIN(AR13,M$7+IF(M$2=$AA13,$AC13,IF(M$2=$AF13,$AG13,0))))</f>
        <v/>
      </c>
      <c r="Z13">
        <f>IF(N12&lt;=0,0,MIN(AS13,N$7+IF(N$2=$AA13,$AC13,IF(N$2=$AF13,$AG13,0))))</f>
        <v/>
      </c>
      <c r="AA13">
        <f>IFERROR(ROUND(1/SUMPRODUCT(MAX((C12:N12&gt;0)*($C$3:$N$3&lt;=B13)/$C$2:$N$2)),0),0)</f>
        <v/>
      </c>
      <c r="AB13">
        <f>SUMPRODUCT((C12:N12&gt;0)*$C$7:$N$7)</f>
        <v/>
      </c>
      <c r="AC13">
        <f>MAX(0,Plan!$C$5-AB13)+IF(A13=Plan!$C$8,N(Plan!$C$7),0)</f>
        <v/>
      </c>
      <c r="AD13">
        <f>SUM(C13:N13)</f>
        <v/>
      </c>
      <c r="AE13">
        <f>SUM(O13:Z13)</f>
        <v/>
      </c>
      <c r="AF13">
        <f>IFERROR(ROUND(1/SUMPRODUCT(MAX((C12:N12&gt;0)*($C$3:$N$3&lt;=B13)*($C$2:$N$2&gt;AA13)/$C$2:$N$2)),0),0)</f>
        <v/>
      </c>
      <c r="AG13">
        <f>MAX(0,AC13-MAX(0,SUMPRODUCT(($C$2:$N$2=AA13)*(AH13:AS13-$C$7:$N$7))))</f>
        <v/>
      </c>
      <c r="AH13">
        <f>IF(C12&lt;=0,0,ROUND(C12*(1+IF(AND(C$6&gt;0,$B13&lt;C$6),C$4,C$5)/12),2))</f>
        <v/>
      </c>
      <c r="AI13">
        <f>IF(D12&lt;=0,0,ROUND(D12*(1+IF(AND(D$6&gt;0,$B13&lt;D$6),D$4,D$5)/12),2))</f>
        <v/>
      </c>
      <c r="AJ13">
        <f>IF(E12&lt;=0,0,ROUND(E12*(1+IF(AND(E$6&gt;0,$B13&lt;E$6),E$4,E$5)/12),2))</f>
        <v/>
      </c>
      <c r="AK13">
        <f>IF(F12&lt;=0,0,ROUND(F12*(1+IF(AND(F$6&gt;0,$B13&lt;F$6),F$4,F$5)/12),2))</f>
        <v/>
      </c>
      <c r="AL13">
        <f>IF(G12&lt;=0,0,ROUND(G12*(1+IF(AND(G$6&gt;0,$B13&lt;G$6),G$4,G$5)/12),2))</f>
        <v/>
      </c>
      <c r="AM13">
        <f>IF(H12&lt;=0,0,ROUND(H12*(1+IF(AND(H$6&gt;0,$B13&lt;H$6),H$4,H$5)/12),2))</f>
        <v/>
      </c>
      <c r="AN13">
        <f>IF(I12&lt;=0,0,ROUND(I12*(1+IF(AND(I$6&gt;0,$B13&lt;I$6),I$4,I$5)/12),2))</f>
        <v/>
      </c>
      <c r="AO13">
        <f>IF(J12&lt;=0,0,ROUND(J12*(1+IF(AND(J$6&gt;0,$B13&lt;J$6),J$4,J$5)/12),2))</f>
        <v/>
      </c>
      <c r="AP13">
        <f>IF(K12&lt;=0,0,ROUND(K12*(1+IF(AND(K$6&gt;0,$B13&lt;K$6),K$4,K$5)/12),2))</f>
        <v/>
      </c>
      <c r="AQ13">
        <f>IF(L12&lt;=0,0,ROUND(L12*(1+IF(AND(L$6&gt;0,$B13&lt;L$6),L$4,L$5)/12),2))</f>
        <v/>
      </c>
      <c r="AR13">
        <f>IF(M12&lt;=0,0,ROUND(M12*(1+IF(AND(M$6&gt;0,$B13&lt;M$6),M$4,M$5)/12),2))</f>
        <v/>
      </c>
      <c r="AS13">
        <f>IF(N12&lt;=0,0,ROUND(N12*(1+IF(AND(N$6&gt;0,$B13&lt;N$6),N$4,N$5)/12),2))</f>
        <v/>
      </c>
    </row>
    <row r="14">
      <c r="A14" t="n">
        <v>3</v>
      </c>
      <c r="B14">
        <f>EDATE(Plan!$C$6,2)</f>
        <v/>
      </c>
      <c r="C14">
        <f>IF(C13&lt;=0,0,MAX(0,AH14-O14))</f>
        <v/>
      </c>
      <c r="D14">
        <f>IF(D13&lt;=0,0,MAX(0,AI14-P14))</f>
        <v/>
      </c>
      <c r="E14">
        <f>IF(E13&lt;=0,0,MAX(0,AJ14-Q14))</f>
        <v/>
      </c>
      <c r="F14">
        <f>IF(F13&lt;=0,0,MAX(0,AK14-R14))</f>
        <v/>
      </c>
      <c r="G14">
        <f>IF(G13&lt;=0,0,MAX(0,AL14-S14))</f>
        <v/>
      </c>
      <c r="H14">
        <f>IF(H13&lt;=0,0,MAX(0,AM14-T14))</f>
        <v/>
      </c>
      <c r="I14">
        <f>IF(I13&lt;=0,0,MAX(0,AN14-U14))</f>
        <v/>
      </c>
      <c r="J14">
        <f>IF(J13&lt;=0,0,MAX(0,AO14-V14))</f>
        <v/>
      </c>
      <c r="K14">
        <f>IF(K13&lt;=0,0,MAX(0,AP14-W14))</f>
        <v/>
      </c>
      <c r="L14">
        <f>IF(L13&lt;=0,0,MAX(0,AQ14-X14))</f>
        <v/>
      </c>
      <c r="M14">
        <f>IF(M13&lt;=0,0,MAX(0,AR14-Y14))</f>
        <v/>
      </c>
      <c r="N14">
        <f>IF(N13&lt;=0,0,MAX(0,AS14-Z14))</f>
        <v/>
      </c>
      <c r="O14">
        <f>IF(C13&lt;=0,0,MIN(AH14,C$7+IF(C$2=$AA14,$AC14,IF(C$2=$AF14,$AG14,0))))</f>
        <v/>
      </c>
      <c r="P14">
        <f>IF(D13&lt;=0,0,MIN(AI14,D$7+IF(D$2=$AA14,$AC14,IF(D$2=$AF14,$AG14,0))))</f>
        <v/>
      </c>
      <c r="Q14">
        <f>IF(E13&lt;=0,0,MIN(AJ14,E$7+IF(E$2=$AA14,$AC14,IF(E$2=$AF14,$AG14,0))))</f>
        <v/>
      </c>
      <c r="R14">
        <f>IF(F13&lt;=0,0,MIN(AK14,F$7+IF(F$2=$AA14,$AC14,IF(F$2=$AF14,$AG14,0))))</f>
        <v/>
      </c>
      <c r="S14">
        <f>IF(G13&lt;=0,0,MIN(AL14,G$7+IF(G$2=$AA14,$AC14,IF(G$2=$AF14,$AG14,0))))</f>
        <v/>
      </c>
      <c r="T14">
        <f>IF(H13&lt;=0,0,MIN(AM14,H$7+IF(H$2=$AA14,$AC14,IF(H$2=$AF14,$AG14,0))))</f>
        <v/>
      </c>
      <c r="U14">
        <f>IF(I13&lt;=0,0,MIN(AN14,I$7+IF(I$2=$AA14,$AC14,IF(I$2=$AF14,$AG14,0))))</f>
        <v/>
      </c>
      <c r="V14">
        <f>IF(J13&lt;=0,0,MIN(AO14,J$7+IF(J$2=$AA14,$AC14,IF(J$2=$AF14,$AG14,0))))</f>
        <v/>
      </c>
      <c r="W14">
        <f>IF(K13&lt;=0,0,MIN(AP14,K$7+IF(K$2=$AA14,$AC14,IF(K$2=$AF14,$AG14,0))))</f>
        <v/>
      </c>
      <c r="X14">
        <f>IF(L13&lt;=0,0,MIN(AQ14,L$7+IF(L$2=$AA14,$AC14,IF(L$2=$AF14,$AG14,0))))</f>
        <v/>
      </c>
      <c r="Y14">
        <f>IF(M13&lt;=0,0,MIN(AR14,M$7+IF(M$2=$AA14,$AC14,IF(M$2=$AF14,$AG14,0))))</f>
        <v/>
      </c>
      <c r="Z14">
        <f>IF(N13&lt;=0,0,MIN(AS14,N$7+IF(N$2=$AA14,$AC14,IF(N$2=$AF14,$AG14,0))))</f>
        <v/>
      </c>
      <c r="AA14">
        <f>IFERROR(ROUND(1/SUMPRODUCT(MAX((C13:N13&gt;0)*($C$3:$N$3&lt;=B14)/$C$2:$N$2)),0),0)</f>
        <v/>
      </c>
      <c r="AB14">
        <f>SUMPRODUCT((C13:N13&gt;0)*$C$7:$N$7)</f>
        <v/>
      </c>
      <c r="AC14">
        <f>MAX(0,Plan!$C$5-AB14)+IF(A14=Plan!$C$8,N(Plan!$C$7),0)</f>
        <v/>
      </c>
      <c r="AD14">
        <f>SUM(C14:N14)</f>
        <v/>
      </c>
      <c r="AE14">
        <f>SUM(O14:Z14)</f>
        <v/>
      </c>
      <c r="AF14">
        <f>IFERROR(ROUND(1/SUMPRODUCT(MAX((C13:N13&gt;0)*($C$3:$N$3&lt;=B14)*($C$2:$N$2&gt;AA14)/$C$2:$N$2)),0),0)</f>
        <v/>
      </c>
      <c r="AG14">
        <f>MAX(0,AC14-MAX(0,SUMPRODUCT(($C$2:$N$2=AA14)*(AH14:AS14-$C$7:$N$7))))</f>
        <v/>
      </c>
      <c r="AH14">
        <f>IF(C13&lt;=0,0,ROUND(C13*(1+IF(AND(C$6&gt;0,$B14&lt;C$6),C$4,C$5)/12),2))</f>
        <v/>
      </c>
      <c r="AI14">
        <f>IF(D13&lt;=0,0,ROUND(D13*(1+IF(AND(D$6&gt;0,$B14&lt;D$6),D$4,D$5)/12),2))</f>
        <v/>
      </c>
      <c r="AJ14">
        <f>IF(E13&lt;=0,0,ROUND(E13*(1+IF(AND(E$6&gt;0,$B14&lt;E$6),E$4,E$5)/12),2))</f>
        <v/>
      </c>
      <c r="AK14">
        <f>IF(F13&lt;=0,0,ROUND(F13*(1+IF(AND(F$6&gt;0,$B14&lt;F$6),F$4,F$5)/12),2))</f>
        <v/>
      </c>
      <c r="AL14">
        <f>IF(G13&lt;=0,0,ROUND(G13*(1+IF(AND(G$6&gt;0,$B14&lt;G$6),G$4,G$5)/12),2))</f>
        <v/>
      </c>
      <c r="AM14">
        <f>IF(H13&lt;=0,0,ROUND(H13*(1+IF(AND(H$6&gt;0,$B14&lt;H$6),H$4,H$5)/12),2))</f>
        <v/>
      </c>
      <c r="AN14">
        <f>IF(I13&lt;=0,0,ROUND(I13*(1+IF(AND(I$6&gt;0,$B14&lt;I$6),I$4,I$5)/12),2))</f>
        <v/>
      </c>
      <c r="AO14">
        <f>IF(J13&lt;=0,0,ROUND(J13*(1+IF(AND(J$6&gt;0,$B14&lt;J$6),J$4,J$5)/12),2))</f>
        <v/>
      </c>
      <c r="AP14">
        <f>IF(K13&lt;=0,0,ROUND(K13*(1+IF(AND(K$6&gt;0,$B14&lt;K$6),K$4,K$5)/12),2))</f>
        <v/>
      </c>
      <c r="AQ14">
        <f>IF(L13&lt;=0,0,ROUND(L13*(1+IF(AND(L$6&gt;0,$B14&lt;L$6),L$4,L$5)/12),2))</f>
        <v/>
      </c>
      <c r="AR14">
        <f>IF(M13&lt;=0,0,ROUND(M13*(1+IF(AND(M$6&gt;0,$B14&lt;M$6),M$4,M$5)/12),2))</f>
        <v/>
      </c>
      <c r="AS14">
        <f>IF(N13&lt;=0,0,ROUND(N13*(1+IF(AND(N$6&gt;0,$B14&lt;N$6),N$4,N$5)/12),2))</f>
        <v/>
      </c>
    </row>
    <row r="15">
      <c r="A15" t="n">
        <v>4</v>
      </c>
      <c r="B15">
        <f>EDATE(Plan!$C$6,3)</f>
        <v/>
      </c>
      <c r="C15">
        <f>IF(C14&lt;=0,0,MAX(0,AH15-O15))</f>
        <v/>
      </c>
      <c r="D15">
        <f>IF(D14&lt;=0,0,MAX(0,AI15-P15))</f>
        <v/>
      </c>
      <c r="E15">
        <f>IF(E14&lt;=0,0,MAX(0,AJ15-Q15))</f>
        <v/>
      </c>
      <c r="F15">
        <f>IF(F14&lt;=0,0,MAX(0,AK15-R15))</f>
        <v/>
      </c>
      <c r="G15">
        <f>IF(G14&lt;=0,0,MAX(0,AL15-S15))</f>
        <v/>
      </c>
      <c r="H15">
        <f>IF(H14&lt;=0,0,MAX(0,AM15-T15))</f>
        <v/>
      </c>
      <c r="I15">
        <f>IF(I14&lt;=0,0,MAX(0,AN15-U15))</f>
        <v/>
      </c>
      <c r="J15">
        <f>IF(J14&lt;=0,0,MAX(0,AO15-V15))</f>
        <v/>
      </c>
      <c r="K15">
        <f>IF(K14&lt;=0,0,MAX(0,AP15-W15))</f>
        <v/>
      </c>
      <c r="L15">
        <f>IF(L14&lt;=0,0,MAX(0,AQ15-X15))</f>
        <v/>
      </c>
      <c r="M15">
        <f>IF(M14&lt;=0,0,MAX(0,AR15-Y15))</f>
        <v/>
      </c>
      <c r="N15">
        <f>IF(N14&lt;=0,0,MAX(0,AS15-Z15))</f>
        <v/>
      </c>
      <c r="O15">
        <f>IF(C14&lt;=0,0,MIN(AH15,C$7+IF(C$2=$AA15,$AC15,IF(C$2=$AF15,$AG15,0))))</f>
        <v/>
      </c>
      <c r="P15">
        <f>IF(D14&lt;=0,0,MIN(AI15,D$7+IF(D$2=$AA15,$AC15,IF(D$2=$AF15,$AG15,0))))</f>
        <v/>
      </c>
      <c r="Q15">
        <f>IF(E14&lt;=0,0,MIN(AJ15,E$7+IF(E$2=$AA15,$AC15,IF(E$2=$AF15,$AG15,0))))</f>
        <v/>
      </c>
      <c r="R15">
        <f>IF(F14&lt;=0,0,MIN(AK15,F$7+IF(F$2=$AA15,$AC15,IF(F$2=$AF15,$AG15,0))))</f>
        <v/>
      </c>
      <c r="S15">
        <f>IF(G14&lt;=0,0,MIN(AL15,G$7+IF(G$2=$AA15,$AC15,IF(G$2=$AF15,$AG15,0))))</f>
        <v/>
      </c>
      <c r="T15">
        <f>IF(H14&lt;=0,0,MIN(AM15,H$7+IF(H$2=$AA15,$AC15,IF(H$2=$AF15,$AG15,0))))</f>
        <v/>
      </c>
      <c r="U15">
        <f>IF(I14&lt;=0,0,MIN(AN15,I$7+IF(I$2=$AA15,$AC15,IF(I$2=$AF15,$AG15,0))))</f>
        <v/>
      </c>
      <c r="V15">
        <f>IF(J14&lt;=0,0,MIN(AO15,J$7+IF(J$2=$AA15,$AC15,IF(J$2=$AF15,$AG15,0))))</f>
        <v/>
      </c>
      <c r="W15">
        <f>IF(K14&lt;=0,0,MIN(AP15,K$7+IF(K$2=$AA15,$AC15,IF(K$2=$AF15,$AG15,0))))</f>
        <v/>
      </c>
      <c r="X15">
        <f>IF(L14&lt;=0,0,MIN(AQ15,L$7+IF(L$2=$AA15,$AC15,IF(L$2=$AF15,$AG15,0))))</f>
        <v/>
      </c>
      <c r="Y15">
        <f>IF(M14&lt;=0,0,MIN(AR15,M$7+IF(M$2=$AA15,$AC15,IF(M$2=$AF15,$AG15,0))))</f>
        <v/>
      </c>
      <c r="Z15">
        <f>IF(N14&lt;=0,0,MIN(AS15,N$7+IF(N$2=$AA15,$AC15,IF(N$2=$AF15,$AG15,0))))</f>
        <v/>
      </c>
      <c r="AA15">
        <f>IFERROR(ROUND(1/SUMPRODUCT(MAX((C14:N14&gt;0)*($C$3:$N$3&lt;=B15)/$C$2:$N$2)),0),0)</f>
        <v/>
      </c>
      <c r="AB15">
        <f>SUMPRODUCT((C14:N14&gt;0)*$C$7:$N$7)</f>
        <v/>
      </c>
      <c r="AC15">
        <f>MAX(0,Plan!$C$5-AB15)+IF(A15=Plan!$C$8,N(Plan!$C$7),0)</f>
        <v/>
      </c>
      <c r="AD15">
        <f>SUM(C15:N15)</f>
        <v/>
      </c>
      <c r="AE15">
        <f>SUM(O15:Z15)</f>
        <v/>
      </c>
      <c r="AF15">
        <f>IFERROR(ROUND(1/SUMPRODUCT(MAX((C14:N14&gt;0)*($C$3:$N$3&lt;=B15)*($C$2:$N$2&gt;AA15)/$C$2:$N$2)),0),0)</f>
        <v/>
      </c>
      <c r="AG15">
        <f>MAX(0,AC15-MAX(0,SUMPRODUCT(($C$2:$N$2=AA15)*(AH15:AS15-$C$7:$N$7))))</f>
        <v/>
      </c>
      <c r="AH15">
        <f>IF(C14&lt;=0,0,ROUND(C14*(1+IF(AND(C$6&gt;0,$B15&lt;C$6),C$4,C$5)/12),2))</f>
        <v/>
      </c>
      <c r="AI15">
        <f>IF(D14&lt;=0,0,ROUND(D14*(1+IF(AND(D$6&gt;0,$B15&lt;D$6),D$4,D$5)/12),2))</f>
        <v/>
      </c>
      <c r="AJ15">
        <f>IF(E14&lt;=0,0,ROUND(E14*(1+IF(AND(E$6&gt;0,$B15&lt;E$6),E$4,E$5)/12),2))</f>
        <v/>
      </c>
      <c r="AK15">
        <f>IF(F14&lt;=0,0,ROUND(F14*(1+IF(AND(F$6&gt;0,$B15&lt;F$6),F$4,F$5)/12),2))</f>
        <v/>
      </c>
      <c r="AL15">
        <f>IF(G14&lt;=0,0,ROUND(G14*(1+IF(AND(G$6&gt;0,$B15&lt;G$6),G$4,G$5)/12),2))</f>
        <v/>
      </c>
      <c r="AM15">
        <f>IF(H14&lt;=0,0,ROUND(H14*(1+IF(AND(H$6&gt;0,$B15&lt;H$6),H$4,H$5)/12),2))</f>
        <v/>
      </c>
      <c r="AN15">
        <f>IF(I14&lt;=0,0,ROUND(I14*(1+IF(AND(I$6&gt;0,$B15&lt;I$6),I$4,I$5)/12),2))</f>
        <v/>
      </c>
      <c r="AO15">
        <f>IF(J14&lt;=0,0,ROUND(J14*(1+IF(AND(J$6&gt;0,$B15&lt;J$6),J$4,J$5)/12),2))</f>
        <v/>
      </c>
      <c r="AP15">
        <f>IF(K14&lt;=0,0,ROUND(K14*(1+IF(AND(K$6&gt;0,$B15&lt;K$6),K$4,K$5)/12),2))</f>
        <v/>
      </c>
      <c r="AQ15">
        <f>IF(L14&lt;=0,0,ROUND(L14*(1+IF(AND(L$6&gt;0,$B15&lt;L$6),L$4,L$5)/12),2))</f>
        <v/>
      </c>
      <c r="AR15">
        <f>IF(M14&lt;=0,0,ROUND(M14*(1+IF(AND(M$6&gt;0,$B15&lt;M$6),M$4,M$5)/12),2))</f>
        <v/>
      </c>
      <c r="AS15">
        <f>IF(N14&lt;=0,0,ROUND(N14*(1+IF(AND(N$6&gt;0,$B15&lt;N$6),N$4,N$5)/12),2))</f>
        <v/>
      </c>
    </row>
    <row r="16">
      <c r="A16" t="n">
        <v>5</v>
      </c>
      <c r="B16">
        <f>EDATE(Plan!$C$6,4)</f>
        <v/>
      </c>
      <c r="C16">
        <f>IF(C15&lt;=0,0,MAX(0,AH16-O16))</f>
        <v/>
      </c>
      <c r="D16">
        <f>IF(D15&lt;=0,0,MAX(0,AI16-P16))</f>
        <v/>
      </c>
      <c r="E16">
        <f>IF(E15&lt;=0,0,MAX(0,AJ16-Q16))</f>
        <v/>
      </c>
      <c r="F16">
        <f>IF(F15&lt;=0,0,MAX(0,AK16-R16))</f>
        <v/>
      </c>
      <c r="G16">
        <f>IF(G15&lt;=0,0,MAX(0,AL16-S16))</f>
        <v/>
      </c>
      <c r="H16">
        <f>IF(H15&lt;=0,0,MAX(0,AM16-T16))</f>
        <v/>
      </c>
      <c r="I16">
        <f>IF(I15&lt;=0,0,MAX(0,AN16-U16))</f>
        <v/>
      </c>
      <c r="J16">
        <f>IF(J15&lt;=0,0,MAX(0,AO16-V16))</f>
        <v/>
      </c>
      <c r="K16">
        <f>IF(K15&lt;=0,0,MAX(0,AP16-W16))</f>
        <v/>
      </c>
      <c r="L16">
        <f>IF(L15&lt;=0,0,MAX(0,AQ16-X16))</f>
        <v/>
      </c>
      <c r="M16">
        <f>IF(M15&lt;=0,0,MAX(0,AR16-Y16))</f>
        <v/>
      </c>
      <c r="N16">
        <f>IF(N15&lt;=0,0,MAX(0,AS16-Z16))</f>
        <v/>
      </c>
      <c r="O16">
        <f>IF(C15&lt;=0,0,MIN(AH16,C$7+IF(C$2=$AA16,$AC16,IF(C$2=$AF16,$AG16,0))))</f>
        <v/>
      </c>
      <c r="P16">
        <f>IF(D15&lt;=0,0,MIN(AI16,D$7+IF(D$2=$AA16,$AC16,IF(D$2=$AF16,$AG16,0))))</f>
        <v/>
      </c>
      <c r="Q16">
        <f>IF(E15&lt;=0,0,MIN(AJ16,E$7+IF(E$2=$AA16,$AC16,IF(E$2=$AF16,$AG16,0))))</f>
        <v/>
      </c>
      <c r="R16">
        <f>IF(F15&lt;=0,0,MIN(AK16,F$7+IF(F$2=$AA16,$AC16,IF(F$2=$AF16,$AG16,0))))</f>
        <v/>
      </c>
      <c r="S16">
        <f>IF(G15&lt;=0,0,MIN(AL16,G$7+IF(G$2=$AA16,$AC16,IF(G$2=$AF16,$AG16,0))))</f>
        <v/>
      </c>
      <c r="T16">
        <f>IF(H15&lt;=0,0,MIN(AM16,H$7+IF(H$2=$AA16,$AC16,IF(H$2=$AF16,$AG16,0))))</f>
        <v/>
      </c>
      <c r="U16">
        <f>IF(I15&lt;=0,0,MIN(AN16,I$7+IF(I$2=$AA16,$AC16,IF(I$2=$AF16,$AG16,0))))</f>
        <v/>
      </c>
      <c r="V16">
        <f>IF(J15&lt;=0,0,MIN(AO16,J$7+IF(J$2=$AA16,$AC16,IF(J$2=$AF16,$AG16,0))))</f>
        <v/>
      </c>
      <c r="W16">
        <f>IF(K15&lt;=0,0,MIN(AP16,K$7+IF(K$2=$AA16,$AC16,IF(K$2=$AF16,$AG16,0))))</f>
        <v/>
      </c>
      <c r="X16">
        <f>IF(L15&lt;=0,0,MIN(AQ16,L$7+IF(L$2=$AA16,$AC16,IF(L$2=$AF16,$AG16,0))))</f>
        <v/>
      </c>
      <c r="Y16">
        <f>IF(M15&lt;=0,0,MIN(AR16,M$7+IF(M$2=$AA16,$AC16,IF(M$2=$AF16,$AG16,0))))</f>
        <v/>
      </c>
      <c r="Z16">
        <f>IF(N15&lt;=0,0,MIN(AS16,N$7+IF(N$2=$AA16,$AC16,IF(N$2=$AF16,$AG16,0))))</f>
        <v/>
      </c>
      <c r="AA16">
        <f>IFERROR(ROUND(1/SUMPRODUCT(MAX((C15:N15&gt;0)*($C$3:$N$3&lt;=B16)/$C$2:$N$2)),0),0)</f>
        <v/>
      </c>
      <c r="AB16">
        <f>SUMPRODUCT((C15:N15&gt;0)*$C$7:$N$7)</f>
        <v/>
      </c>
      <c r="AC16">
        <f>MAX(0,Plan!$C$5-AB16)+IF(A16=Plan!$C$8,N(Plan!$C$7),0)</f>
        <v/>
      </c>
      <c r="AD16">
        <f>SUM(C16:N16)</f>
        <v/>
      </c>
      <c r="AE16">
        <f>SUM(O16:Z16)</f>
        <v/>
      </c>
      <c r="AF16">
        <f>IFERROR(ROUND(1/SUMPRODUCT(MAX((C15:N15&gt;0)*($C$3:$N$3&lt;=B16)*($C$2:$N$2&gt;AA16)/$C$2:$N$2)),0),0)</f>
        <v/>
      </c>
      <c r="AG16">
        <f>MAX(0,AC16-MAX(0,SUMPRODUCT(($C$2:$N$2=AA16)*(AH16:AS16-$C$7:$N$7))))</f>
        <v/>
      </c>
      <c r="AH16">
        <f>IF(C15&lt;=0,0,ROUND(C15*(1+IF(AND(C$6&gt;0,$B16&lt;C$6),C$4,C$5)/12),2))</f>
        <v/>
      </c>
      <c r="AI16">
        <f>IF(D15&lt;=0,0,ROUND(D15*(1+IF(AND(D$6&gt;0,$B16&lt;D$6),D$4,D$5)/12),2))</f>
        <v/>
      </c>
      <c r="AJ16">
        <f>IF(E15&lt;=0,0,ROUND(E15*(1+IF(AND(E$6&gt;0,$B16&lt;E$6),E$4,E$5)/12),2))</f>
        <v/>
      </c>
      <c r="AK16">
        <f>IF(F15&lt;=0,0,ROUND(F15*(1+IF(AND(F$6&gt;0,$B16&lt;F$6),F$4,F$5)/12),2))</f>
        <v/>
      </c>
      <c r="AL16">
        <f>IF(G15&lt;=0,0,ROUND(G15*(1+IF(AND(G$6&gt;0,$B16&lt;G$6),G$4,G$5)/12),2))</f>
        <v/>
      </c>
      <c r="AM16">
        <f>IF(H15&lt;=0,0,ROUND(H15*(1+IF(AND(H$6&gt;0,$B16&lt;H$6),H$4,H$5)/12),2))</f>
        <v/>
      </c>
      <c r="AN16">
        <f>IF(I15&lt;=0,0,ROUND(I15*(1+IF(AND(I$6&gt;0,$B16&lt;I$6),I$4,I$5)/12),2))</f>
        <v/>
      </c>
      <c r="AO16">
        <f>IF(J15&lt;=0,0,ROUND(J15*(1+IF(AND(J$6&gt;0,$B16&lt;J$6),J$4,J$5)/12),2))</f>
        <v/>
      </c>
      <c r="AP16">
        <f>IF(K15&lt;=0,0,ROUND(K15*(1+IF(AND(K$6&gt;0,$B16&lt;K$6),K$4,K$5)/12),2))</f>
        <v/>
      </c>
      <c r="AQ16">
        <f>IF(L15&lt;=0,0,ROUND(L15*(1+IF(AND(L$6&gt;0,$B16&lt;L$6),L$4,L$5)/12),2))</f>
        <v/>
      </c>
      <c r="AR16">
        <f>IF(M15&lt;=0,0,ROUND(M15*(1+IF(AND(M$6&gt;0,$B16&lt;M$6),M$4,M$5)/12),2))</f>
        <v/>
      </c>
      <c r="AS16">
        <f>IF(N15&lt;=0,0,ROUND(N15*(1+IF(AND(N$6&gt;0,$B16&lt;N$6),N$4,N$5)/12),2))</f>
        <v/>
      </c>
    </row>
    <row r="17">
      <c r="A17" t="n">
        <v>6</v>
      </c>
      <c r="B17">
        <f>EDATE(Plan!$C$6,5)</f>
        <v/>
      </c>
      <c r="C17">
        <f>IF(C16&lt;=0,0,MAX(0,AH17-O17))</f>
        <v/>
      </c>
      <c r="D17">
        <f>IF(D16&lt;=0,0,MAX(0,AI17-P17))</f>
        <v/>
      </c>
      <c r="E17">
        <f>IF(E16&lt;=0,0,MAX(0,AJ17-Q17))</f>
        <v/>
      </c>
      <c r="F17">
        <f>IF(F16&lt;=0,0,MAX(0,AK17-R17))</f>
        <v/>
      </c>
      <c r="G17">
        <f>IF(G16&lt;=0,0,MAX(0,AL17-S17))</f>
        <v/>
      </c>
      <c r="H17">
        <f>IF(H16&lt;=0,0,MAX(0,AM17-T17))</f>
        <v/>
      </c>
      <c r="I17">
        <f>IF(I16&lt;=0,0,MAX(0,AN17-U17))</f>
        <v/>
      </c>
      <c r="J17">
        <f>IF(J16&lt;=0,0,MAX(0,AO17-V17))</f>
        <v/>
      </c>
      <c r="K17">
        <f>IF(K16&lt;=0,0,MAX(0,AP17-W17))</f>
        <v/>
      </c>
      <c r="L17">
        <f>IF(L16&lt;=0,0,MAX(0,AQ17-X17))</f>
        <v/>
      </c>
      <c r="M17">
        <f>IF(M16&lt;=0,0,MAX(0,AR17-Y17))</f>
        <v/>
      </c>
      <c r="N17">
        <f>IF(N16&lt;=0,0,MAX(0,AS17-Z17))</f>
        <v/>
      </c>
      <c r="O17">
        <f>IF(C16&lt;=0,0,MIN(AH17,C$7+IF(C$2=$AA17,$AC17,IF(C$2=$AF17,$AG17,0))))</f>
        <v/>
      </c>
      <c r="P17">
        <f>IF(D16&lt;=0,0,MIN(AI17,D$7+IF(D$2=$AA17,$AC17,IF(D$2=$AF17,$AG17,0))))</f>
        <v/>
      </c>
      <c r="Q17">
        <f>IF(E16&lt;=0,0,MIN(AJ17,E$7+IF(E$2=$AA17,$AC17,IF(E$2=$AF17,$AG17,0))))</f>
        <v/>
      </c>
      <c r="R17">
        <f>IF(F16&lt;=0,0,MIN(AK17,F$7+IF(F$2=$AA17,$AC17,IF(F$2=$AF17,$AG17,0))))</f>
        <v/>
      </c>
      <c r="S17">
        <f>IF(G16&lt;=0,0,MIN(AL17,G$7+IF(G$2=$AA17,$AC17,IF(G$2=$AF17,$AG17,0))))</f>
        <v/>
      </c>
      <c r="T17">
        <f>IF(H16&lt;=0,0,MIN(AM17,H$7+IF(H$2=$AA17,$AC17,IF(H$2=$AF17,$AG17,0))))</f>
        <v/>
      </c>
      <c r="U17">
        <f>IF(I16&lt;=0,0,MIN(AN17,I$7+IF(I$2=$AA17,$AC17,IF(I$2=$AF17,$AG17,0))))</f>
        <v/>
      </c>
      <c r="V17">
        <f>IF(J16&lt;=0,0,MIN(AO17,J$7+IF(J$2=$AA17,$AC17,IF(J$2=$AF17,$AG17,0))))</f>
        <v/>
      </c>
      <c r="W17">
        <f>IF(K16&lt;=0,0,MIN(AP17,K$7+IF(K$2=$AA17,$AC17,IF(K$2=$AF17,$AG17,0))))</f>
        <v/>
      </c>
      <c r="X17">
        <f>IF(L16&lt;=0,0,MIN(AQ17,L$7+IF(L$2=$AA17,$AC17,IF(L$2=$AF17,$AG17,0))))</f>
        <v/>
      </c>
      <c r="Y17">
        <f>IF(M16&lt;=0,0,MIN(AR17,M$7+IF(M$2=$AA17,$AC17,IF(M$2=$AF17,$AG17,0))))</f>
        <v/>
      </c>
      <c r="Z17">
        <f>IF(N16&lt;=0,0,MIN(AS17,N$7+IF(N$2=$AA17,$AC17,IF(N$2=$AF17,$AG17,0))))</f>
        <v/>
      </c>
      <c r="AA17">
        <f>IFERROR(ROUND(1/SUMPRODUCT(MAX((C16:N16&gt;0)*($C$3:$N$3&lt;=B17)/$C$2:$N$2)),0),0)</f>
        <v/>
      </c>
      <c r="AB17">
        <f>SUMPRODUCT((C16:N16&gt;0)*$C$7:$N$7)</f>
        <v/>
      </c>
      <c r="AC17">
        <f>MAX(0,Plan!$C$5-AB17)+IF(A17=Plan!$C$8,N(Plan!$C$7),0)</f>
        <v/>
      </c>
      <c r="AD17">
        <f>SUM(C17:N17)</f>
        <v/>
      </c>
      <c r="AE17">
        <f>SUM(O17:Z17)</f>
        <v/>
      </c>
      <c r="AF17">
        <f>IFERROR(ROUND(1/SUMPRODUCT(MAX((C16:N16&gt;0)*($C$3:$N$3&lt;=B17)*($C$2:$N$2&gt;AA17)/$C$2:$N$2)),0),0)</f>
        <v/>
      </c>
      <c r="AG17">
        <f>MAX(0,AC17-MAX(0,SUMPRODUCT(($C$2:$N$2=AA17)*(AH17:AS17-$C$7:$N$7))))</f>
        <v/>
      </c>
      <c r="AH17">
        <f>IF(C16&lt;=0,0,ROUND(C16*(1+IF(AND(C$6&gt;0,$B17&lt;C$6),C$4,C$5)/12),2))</f>
        <v/>
      </c>
      <c r="AI17">
        <f>IF(D16&lt;=0,0,ROUND(D16*(1+IF(AND(D$6&gt;0,$B17&lt;D$6),D$4,D$5)/12),2))</f>
        <v/>
      </c>
      <c r="AJ17">
        <f>IF(E16&lt;=0,0,ROUND(E16*(1+IF(AND(E$6&gt;0,$B17&lt;E$6),E$4,E$5)/12),2))</f>
        <v/>
      </c>
      <c r="AK17">
        <f>IF(F16&lt;=0,0,ROUND(F16*(1+IF(AND(F$6&gt;0,$B17&lt;F$6),F$4,F$5)/12),2))</f>
        <v/>
      </c>
      <c r="AL17">
        <f>IF(G16&lt;=0,0,ROUND(G16*(1+IF(AND(G$6&gt;0,$B17&lt;G$6),G$4,G$5)/12),2))</f>
        <v/>
      </c>
      <c r="AM17">
        <f>IF(H16&lt;=0,0,ROUND(H16*(1+IF(AND(H$6&gt;0,$B17&lt;H$6),H$4,H$5)/12),2))</f>
        <v/>
      </c>
      <c r="AN17">
        <f>IF(I16&lt;=0,0,ROUND(I16*(1+IF(AND(I$6&gt;0,$B17&lt;I$6),I$4,I$5)/12),2))</f>
        <v/>
      </c>
      <c r="AO17">
        <f>IF(J16&lt;=0,0,ROUND(J16*(1+IF(AND(J$6&gt;0,$B17&lt;J$6),J$4,J$5)/12),2))</f>
        <v/>
      </c>
      <c r="AP17">
        <f>IF(K16&lt;=0,0,ROUND(K16*(1+IF(AND(K$6&gt;0,$B17&lt;K$6),K$4,K$5)/12),2))</f>
        <v/>
      </c>
      <c r="AQ17">
        <f>IF(L16&lt;=0,0,ROUND(L16*(1+IF(AND(L$6&gt;0,$B17&lt;L$6),L$4,L$5)/12),2))</f>
        <v/>
      </c>
      <c r="AR17">
        <f>IF(M16&lt;=0,0,ROUND(M16*(1+IF(AND(M$6&gt;0,$B17&lt;M$6),M$4,M$5)/12),2))</f>
        <v/>
      </c>
      <c r="AS17">
        <f>IF(N16&lt;=0,0,ROUND(N16*(1+IF(AND(N$6&gt;0,$B17&lt;N$6),N$4,N$5)/12),2))</f>
        <v/>
      </c>
    </row>
    <row r="18">
      <c r="A18" t="n">
        <v>7</v>
      </c>
      <c r="B18">
        <f>EDATE(Plan!$C$6,6)</f>
        <v/>
      </c>
      <c r="C18">
        <f>IF(C17&lt;=0,0,MAX(0,AH18-O18))</f>
        <v/>
      </c>
      <c r="D18">
        <f>IF(D17&lt;=0,0,MAX(0,AI18-P18))</f>
        <v/>
      </c>
      <c r="E18">
        <f>IF(E17&lt;=0,0,MAX(0,AJ18-Q18))</f>
        <v/>
      </c>
      <c r="F18">
        <f>IF(F17&lt;=0,0,MAX(0,AK18-R18))</f>
        <v/>
      </c>
      <c r="G18">
        <f>IF(G17&lt;=0,0,MAX(0,AL18-S18))</f>
        <v/>
      </c>
      <c r="H18">
        <f>IF(H17&lt;=0,0,MAX(0,AM18-T18))</f>
        <v/>
      </c>
      <c r="I18">
        <f>IF(I17&lt;=0,0,MAX(0,AN18-U18))</f>
        <v/>
      </c>
      <c r="J18">
        <f>IF(J17&lt;=0,0,MAX(0,AO18-V18))</f>
        <v/>
      </c>
      <c r="K18">
        <f>IF(K17&lt;=0,0,MAX(0,AP18-W18))</f>
        <v/>
      </c>
      <c r="L18">
        <f>IF(L17&lt;=0,0,MAX(0,AQ18-X18))</f>
        <v/>
      </c>
      <c r="M18">
        <f>IF(M17&lt;=0,0,MAX(0,AR18-Y18))</f>
        <v/>
      </c>
      <c r="N18">
        <f>IF(N17&lt;=0,0,MAX(0,AS18-Z18))</f>
        <v/>
      </c>
      <c r="O18">
        <f>IF(C17&lt;=0,0,MIN(AH18,C$7+IF(C$2=$AA18,$AC18,IF(C$2=$AF18,$AG18,0))))</f>
        <v/>
      </c>
      <c r="P18">
        <f>IF(D17&lt;=0,0,MIN(AI18,D$7+IF(D$2=$AA18,$AC18,IF(D$2=$AF18,$AG18,0))))</f>
        <v/>
      </c>
      <c r="Q18">
        <f>IF(E17&lt;=0,0,MIN(AJ18,E$7+IF(E$2=$AA18,$AC18,IF(E$2=$AF18,$AG18,0))))</f>
        <v/>
      </c>
      <c r="R18">
        <f>IF(F17&lt;=0,0,MIN(AK18,F$7+IF(F$2=$AA18,$AC18,IF(F$2=$AF18,$AG18,0))))</f>
        <v/>
      </c>
      <c r="S18">
        <f>IF(G17&lt;=0,0,MIN(AL18,G$7+IF(G$2=$AA18,$AC18,IF(G$2=$AF18,$AG18,0))))</f>
        <v/>
      </c>
      <c r="T18">
        <f>IF(H17&lt;=0,0,MIN(AM18,H$7+IF(H$2=$AA18,$AC18,IF(H$2=$AF18,$AG18,0))))</f>
        <v/>
      </c>
      <c r="U18">
        <f>IF(I17&lt;=0,0,MIN(AN18,I$7+IF(I$2=$AA18,$AC18,IF(I$2=$AF18,$AG18,0))))</f>
        <v/>
      </c>
      <c r="V18">
        <f>IF(J17&lt;=0,0,MIN(AO18,J$7+IF(J$2=$AA18,$AC18,IF(J$2=$AF18,$AG18,0))))</f>
        <v/>
      </c>
      <c r="W18">
        <f>IF(K17&lt;=0,0,MIN(AP18,K$7+IF(K$2=$AA18,$AC18,IF(K$2=$AF18,$AG18,0))))</f>
        <v/>
      </c>
      <c r="X18">
        <f>IF(L17&lt;=0,0,MIN(AQ18,L$7+IF(L$2=$AA18,$AC18,IF(L$2=$AF18,$AG18,0))))</f>
        <v/>
      </c>
      <c r="Y18">
        <f>IF(M17&lt;=0,0,MIN(AR18,M$7+IF(M$2=$AA18,$AC18,IF(M$2=$AF18,$AG18,0))))</f>
        <v/>
      </c>
      <c r="Z18">
        <f>IF(N17&lt;=0,0,MIN(AS18,N$7+IF(N$2=$AA18,$AC18,IF(N$2=$AF18,$AG18,0))))</f>
        <v/>
      </c>
      <c r="AA18">
        <f>IFERROR(ROUND(1/SUMPRODUCT(MAX((C17:N17&gt;0)*($C$3:$N$3&lt;=B18)/$C$2:$N$2)),0),0)</f>
        <v/>
      </c>
      <c r="AB18">
        <f>SUMPRODUCT((C17:N17&gt;0)*$C$7:$N$7)</f>
        <v/>
      </c>
      <c r="AC18">
        <f>MAX(0,Plan!$C$5-AB18)+IF(A18=Plan!$C$8,N(Plan!$C$7),0)</f>
        <v/>
      </c>
      <c r="AD18">
        <f>SUM(C18:N18)</f>
        <v/>
      </c>
      <c r="AE18">
        <f>SUM(O18:Z18)</f>
        <v/>
      </c>
      <c r="AF18">
        <f>IFERROR(ROUND(1/SUMPRODUCT(MAX((C17:N17&gt;0)*($C$3:$N$3&lt;=B18)*($C$2:$N$2&gt;AA18)/$C$2:$N$2)),0),0)</f>
        <v/>
      </c>
      <c r="AG18">
        <f>MAX(0,AC18-MAX(0,SUMPRODUCT(($C$2:$N$2=AA18)*(AH18:AS18-$C$7:$N$7))))</f>
        <v/>
      </c>
      <c r="AH18">
        <f>IF(C17&lt;=0,0,ROUND(C17*(1+IF(AND(C$6&gt;0,$B18&lt;C$6),C$4,C$5)/12),2))</f>
        <v/>
      </c>
      <c r="AI18">
        <f>IF(D17&lt;=0,0,ROUND(D17*(1+IF(AND(D$6&gt;0,$B18&lt;D$6),D$4,D$5)/12),2))</f>
        <v/>
      </c>
      <c r="AJ18">
        <f>IF(E17&lt;=0,0,ROUND(E17*(1+IF(AND(E$6&gt;0,$B18&lt;E$6),E$4,E$5)/12),2))</f>
        <v/>
      </c>
      <c r="AK18">
        <f>IF(F17&lt;=0,0,ROUND(F17*(1+IF(AND(F$6&gt;0,$B18&lt;F$6),F$4,F$5)/12),2))</f>
        <v/>
      </c>
      <c r="AL18">
        <f>IF(G17&lt;=0,0,ROUND(G17*(1+IF(AND(G$6&gt;0,$B18&lt;G$6),G$4,G$5)/12),2))</f>
        <v/>
      </c>
      <c r="AM18">
        <f>IF(H17&lt;=0,0,ROUND(H17*(1+IF(AND(H$6&gt;0,$B18&lt;H$6),H$4,H$5)/12),2))</f>
        <v/>
      </c>
      <c r="AN18">
        <f>IF(I17&lt;=0,0,ROUND(I17*(1+IF(AND(I$6&gt;0,$B18&lt;I$6),I$4,I$5)/12),2))</f>
        <v/>
      </c>
      <c r="AO18">
        <f>IF(J17&lt;=0,0,ROUND(J17*(1+IF(AND(J$6&gt;0,$B18&lt;J$6),J$4,J$5)/12),2))</f>
        <v/>
      </c>
      <c r="AP18">
        <f>IF(K17&lt;=0,0,ROUND(K17*(1+IF(AND(K$6&gt;0,$B18&lt;K$6),K$4,K$5)/12),2))</f>
        <v/>
      </c>
      <c r="AQ18">
        <f>IF(L17&lt;=0,0,ROUND(L17*(1+IF(AND(L$6&gt;0,$B18&lt;L$6),L$4,L$5)/12),2))</f>
        <v/>
      </c>
      <c r="AR18">
        <f>IF(M17&lt;=0,0,ROUND(M17*(1+IF(AND(M$6&gt;0,$B18&lt;M$6),M$4,M$5)/12),2))</f>
        <v/>
      </c>
      <c r="AS18">
        <f>IF(N17&lt;=0,0,ROUND(N17*(1+IF(AND(N$6&gt;0,$B18&lt;N$6),N$4,N$5)/12),2))</f>
        <v/>
      </c>
    </row>
    <row r="19">
      <c r="A19" t="n">
        <v>8</v>
      </c>
      <c r="B19">
        <f>EDATE(Plan!$C$6,7)</f>
        <v/>
      </c>
      <c r="C19">
        <f>IF(C18&lt;=0,0,MAX(0,AH19-O19))</f>
        <v/>
      </c>
      <c r="D19">
        <f>IF(D18&lt;=0,0,MAX(0,AI19-P19))</f>
        <v/>
      </c>
      <c r="E19">
        <f>IF(E18&lt;=0,0,MAX(0,AJ19-Q19))</f>
        <v/>
      </c>
      <c r="F19">
        <f>IF(F18&lt;=0,0,MAX(0,AK19-R19))</f>
        <v/>
      </c>
      <c r="G19">
        <f>IF(G18&lt;=0,0,MAX(0,AL19-S19))</f>
        <v/>
      </c>
      <c r="H19">
        <f>IF(H18&lt;=0,0,MAX(0,AM19-T19))</f>
        <v/>
      </c>
      <c r="I19">
        <f>IF(I18&lt;=0,0,MAX(0,AN19-U19))</f>
        <v/>
      </c>
      <c r="J19">
        <f>IF(J18&lt;=0,0,MAX(0,AO19-V19))</f>
        <v/>
      </c>
      <c r="K19">
        <f>IF(K18&lt;=0,0,MAX(0,AP19-W19))</f>
        <v/>
      </c>
      <c r="L19">
        <f>IF(L18&lt;=0,0,MAX(0,AQ19-X19))</f>
        <v/>
      </c>
      <c r="M19">
        <f>IF(M18&lt;=0,0,MAX(0,AR19-Y19))</f>
        <v/>
      </c>
      <c r="N19">
        <f>IF(N18&lt;=0,0,MAX(0,AS19-Z19))</f>
        <v/>
      </c>
      <c r="O19">
        <f>IF(C18&lt;=0,0,MIN(AH19,C$7+IF(C$2=$AA19,$AC19,IF(C$2=$AF19,$AG19,0))))</f>
        <v/>
      </c>
      <c r="P19">
        <f>IF(D18&lt;=0,0,MIN(AI19,D$7+IF(D$2=$AA19,$AC19,IF(D$2=$AF19,$AG19,0))))</f>
        <v/>
      </c>
      <c r="Q19">
        <f>IF(E18&lt;=0,0,MIN(AJ19,E$7+IF(E$2=$AA19,$AC19,IF(E$2=$AF19,$AG19,0))))</f>
        <v/>
      </c>
      <c r="R19">
        <f>IF(F18&lt;=0,0,MIN(AK19,F$7+IF(F$2=$AA19,$AC19,IF(F$2=$AF19,$AG19,0))))</f>
        <v/>
      </c>
      <c r="S19">
        <f>IF(G18&lt;=0,0,MIN(AL19,G$7+IF(G$2=$AA19,$AC19,IF(G$2=$AF19,$AG19,0))))</f>
        <v/>
      </c>
      <c r="T19">
        <f>IF(H18&lt;=0,0,MIN(AM19,H$7+IF(H$2=$AA19,$AC19,IF(H$2=$AF19,$AG19,0))))</f>
        <v/>
      </c>
      <c r="U19">
        <f>IF(I18&lt;=0,0,MIN(AN19,I$7+IF(I$2=$AA19,$AC19,IF(I$2=$AF19,$AG19,0))))</f>
        <v/>
      </c>
      <c r="V19">
        <f>IF(J18&lt;=0,0,MIN(AO19,J$7+IF(J$2=$AA19,$AC19,IF(J$2=$AF19,$AG19,0))))</f>
        <v/>
      </c>
      <c r="W19">
        <f>IF(K18&lt;=0,0,MIN(AP19,K$7+IF(K$2=$AA19,$AC19,IF(K$2=$AF19,$AG19,0))))</f>
        <v/>
      </c>
      <c r="X19">
        <f>IF(L18&lt;=0,0,MIN(AQ19,L$7+IF(L$2=$AA19,$AC19,IF(L$2=$AF19,$AG19,0))))</f>
        <v/>
      </c>
      <c r="Y19">
        <f>IF(M18&lt;=0,0,MIN(AR19,M$7+IF(M$2=$AA19,$AC19,IF(M$2=$AF19,$AG19,0))))</f>
        <v/>
      </c>
      <c r="Z19">
        <f>IF(N18&lt;=0,0,MIN(AS19,N$7+IF(N$2=$AA19,$AC19,IF(N$2=$AF19,$AG19,0))))</f>
        <v/>
      </c>
      <c r="AA19">
        <f>IFERROR(ROUND(1/SUMPRODUCT(MAX((C18:N18&gt;0)*($C$3:$N$3&lt;=B19)/$C$2:$N$2)),0),0)</f>
        <v/>
      </c>
      <c r="AB19">
        <f>SUMPRODUCT((C18:N18&gt;0)*$C$7:$N$7)</f>
        <v/>
      </c>
      <c r="AC19">
        <f>MAX(0,Plan!$C$5-AB19)+IF(A19=Plan!$C$8,N(Plan!$C$7),0)</f>
        <v/>
      </c>
      <c r="AD19">
        <f>SUM(C19:N19)</f>
        <v/>
      </c>
      <c r="AE19">
        <f>SUM(O19:Z19)</f>
        <v/>
      </c>
      <c r="AF19">
        <f>IFERROR(ROUND(1/SUMPRODUCT(MAX((C18:N18&gt;0)*($C$3:$N$3&lt;=B19)*($C$2:$N$2&gt;AA19)/$C$2:$N$2)),0),0)</f>
        <v/>
      </c>
      <c r="AG19">
        <f>MAX(0,AC19-MAX(0,SUMPRODUCT(($C$2:$N$2=AA19)*(AH19:AS19-$C$7:$N$7))))</f>
        <v/>
      </c>
      <c r="AH19">
        <f>IF(C18&lt;=0,0,ROUND(C18*(1+IF(AND(C$6&gt;0,$B19&lt;C$6),C$4,C$5)/12),2))</f>
        <v/>
      </c>
      <c r="AI19">
        <f>IF(D18&lt;=0,0,ROUND(D18*(1+IF(AND(D$6&gt;0,$B19&lt;D$6),D$4,D$5)/12),2))</f>
        <v/>
      </c>
      <c r="AJ19">
        <f>IF(E18&lt;=0,0,ROUND(E18*(1+IF(AND(E$6&gt;0,$B19&lt;E$6),E$4,E$5)/12),2))</f>
        <v/>
      </c>
      <c r="AK19">
        <f>IF(F18&lt;=0,0,ROUND(F18*(1+IF(AND(F$6&gt;0,$B19&lt;F$6),F$4,F$5)/12),2))</f>
        <v/>
      </c>
      <c r="AL19">
        <f>IF(G18&lt;=0,0,ROUND(G18*(1+IF(AND(G$6&gt;0,$B19&lt;G$6),G$4,G$5)/12),2))</f>
        <v/>
      </c>
      <c r="AM19">
        <f>IF(H18&lt;=0,0,ROUND(H18*(1+IF(AND(H$6&gt;0,$B19&lt;H$6),H$4,H$5)/12),2))</f>
        <v/>
      </c>
      <c r="AN19">
        <f>IF(I18&lt;=0,0,ROUND(I18*(1+IF(AND(I$6&gt;0,$B19&lt;I$6),I$4,I$5)/12),2))</f>
        <v/>
      </c>
      <c r="AO19">
        <f>IF(J18&lt;=0,0,ROUND(J18*(1+IF(AND(J$6&gt;0,$B19&lt;J$6),J$4,J$5)/12),2))</f>
        <v/>
      </c>
      <c r="AP19">
        <f>IF(K18&lt;=0,0,ROUND(K18*(1+IF(AND(K$6&gt;0,$B19&lt;K$6),K$4,K$5)/12),2))</f>
        <v/>
      </c>
      <c r="AQ19">
        <f>IF(L18&lt;=0,0,ROUND(L18*(1+IF(AND(L$6&gt;0,$B19&lt;L$6),L$4,L$5)/12),2))</f>
        <v/>
      </c>
      <c r="AR19">
        <f>IF(M18&lt;=0,0,ROUND(M18*(1+IF(AND(M$6&gt;0,$B19&lt;M$6),M$4,M$5)/12),2))</f>
        <v/>
      </c>
      <c r="AS19">
        <f>IF(N18&lt;=0,0,ROUND(N18*(1+IF(AND(N$6&gt;0,$B19&lt;N$6),N$4,N$5)/12),2))</f>
        <v/>
      </c>
    </row>
    <row r="20">
      <c r="A20" t="n">
        <v>9</v>
      </c>
      <c r="B20">
        <f>EDATE(Plan!$C$6,8)</f>
        <v/>
      </c>
      <c r="C20">
        <f>IF(C19&lt;=0,0,MAX(0,AH20-O20))</f>
        <v/>
      </c>
      <c r="D20">
        <f>IF(D19&lt;=0,0,MAX(0,AI20-P20))</f>
        <v/>
      </c>
      <c r="E20">
        <f>IF(E19&lt;=0,0,MAX(0,AJ20-Q20))</f>
        <v/>
      </c>
      <c r="F20">
        <f>IF(F19&lt;=0,0,MAX(0,AK20-R20))</f>
        <v/>
      </c>
      <c r="G20">
        <f>IF(G19&lt;=0,0,MAX(0,AL20-S20))</f>
        <v/>
      </c>
      <c r="H20">
        <f>IF(H19&lt;=0,0,MAX(0,AM20-T20))</f>
        <v/>
      </c>
      <c r="I20">
        <f>IF(I19&lt;=0,0,MAX(0,AN20-U20))</f>
        <v/>
      </c>
      <c r="J20">
        <f>IF(J19&lt;=0,0,MAX(0,AO20-V20))</f>
        <v/>
      </c>
      <c r="K20">
        <f>IF(K19&lt;=0,0,MAX(0,AP20-W20))</f>
        <v/>
      </c>
      <c r="L20">
        <f>IF(L19&lt;=0,0,MAX(0,AQ20-X20))</f>
        <v/>
      </c>
      <c r="M20">
        <f>IF(M19&lt;=0,0,MAX(0,AR20-Y20))</f>
        <v/>
      </c>
      <c r="N20">
        <f>IF(N19&lt;=0,0,MAX(0,AS20-Z20))</f>
        <v/>
      </c>
      <c r="O20">
        <f>IF(C19&lt;=0,0,MIN(AH20,C$7+IF(C$2=$AA20,$AC20,IF(C$2=$AF20,$AG20,0))))</f>
        <v/>
      </c>
      <c r="P20">
        <f>IF(D19&lt;=0,0,MIN(AI20,D$7+IF(D$2=$AA20,$AC20,IF(D$2=$AF20,$AG20,0))))</f>
        <v/>
      </c>
      <c r="Q20">
        <f>IF(E19&lt;=0,0,MIN(AJ20,E$7+IF(E$2=$AA20,$AC20,IF(E$2=$AF20,$AG20,0))))</f>
        <v/>
      </c>
      <c r="R20">
        <f>IF(F19&lt;=0,0,MIN(AK20,F$7+IF(F$2=$AA20,$AC20,IF(F$2=$AF20,$AG20,0))))</f>
        <v/>
      </c>
      <c r="S20">
        <f>IF(G19&lt;=0,0,MIN(AL20,G$7+IF(G$2=$AA20,$AC20,IF(G$2=$AF20,$AG20,0))))</f>
        <v/>
      </c>
      <c r="T20">
        <f>IF(H19&lt;=0,0,MIN(AM20,H$7+IF(H$2=$AA20,$AC20,IF(H$2=$AF20,$AG20,0))))</f>
        <v/>
      </c>
      <c r="U20">
        <f>IF(I19&lt;=0,0,MIN(AN20,I$7+IF(I$2=$AA20,$AC20,IF(I$2=$AF20,$AG20,0))))</f>
        <v/>
      </c>
      <c r="V20">
        <f>IF(J19&lt;=0,0,MIN(AO20,J$7+IF(J$2=$AA20,$AC20,IF(J$2=$AF20,$AG20,0))))</f>
        <v/>
      </c>
      <c r="W20">
        <f>IF(K19&lt;=0,0,MIN(AP20,K$7+IF(K$2=$AA20,$AC20,IF(K$2=$AF20,$AG20,0))))</f>
        <v/>
      </c>
      <c r="X20">
        <f>IF(L19&lt;=0,0,MIN(AQ20,L$7+IF(L$2=$AA20,$AC20,IF(L$2=$AF20,$AG20,0))))</f>
        <v/>
      </c>
      <c r="Y20">
        <f>IF(M19&lt;=0,0,MIN(AR20,M$7+IF(M$2=$AA20,$AC20,IF(M$2=$AF20,$AG20,0))))</f>
        <v/>
      </c>
      <c r="Z20">
        <f>IF(N19&lt;=0,0,MIN(AS20,N$7+IF(N$2=$AA20,$AC20,IF(N$2=$AF20,$AG20,0))))</f>
        <v/>
      </c>
      <c r="AA20">
        <f>IFERROR(ROUND(1/SUMPRODUCT(MAX((C19:N19&gt;0)*($C$3:$N$3&lt;=B20)/$C$2:$N$2)),0),0)</f>
        <v/>
      </c>
      <c r="AB20">
        <f>SUMPRODUCT((C19:N19&gt;0)*$C$7:$N$7)</f>
        <v/>
      </c>
      <c r="AC20">
        <f>MAX(0,Plan!$C$5-AB20)+IF(A20=Plan!$C$8,N(Plan!$C$7),0)</f>
        <v/>
      </c>
      <c r="AD20">
        <f>SUM(C20:N20)</f>
        <v/>
      </c>
      <c r="AE20">
        <f>SUM(O20:Z20)</f>
        <v/>
      </c>
      <c r="AF20">
        <f>IFERROR(ROUND(1/SUMPRODUCT(MAX((C19:N19&gt;0)*($C$3:$N$3&lt;=B20)*($C$2:$N$2&gt;AA20)/$C$2:$N$2)),0),0)</f>
        <v/>
      </c>
      <c r="AG20">
        <f>MAX(0,AC20-MAX(0,SUMPRODUCT(($C$2:$N$2=AA20)*(AH20:AS20-$C$7:$N$7))))</f>
        <v/>
      </c>
      <c r="AH20">
        <f>IF(C19&lt;=0,0,ROUND(C19*(1+IF(AND(C$6&gt;0,$B20&lt;C$6),C$4,C$5)/12),2))</f>
        <v/>
      </c>
      <c r="AI20">
        <f>IF(D19&lt;=0,0,ROUND(D19*(1+IF(AND(D$6&gt;0,$B20&lt;D$6),D$4,D$5)/12),2))</f>
        <v/>
      </c>
      <c r="AJ20">
        <f>IF(E19&lt;=0,0,ROUND(E19*(1+IF(AND(E$6&gt;0,$B20&lt;E$6),E$4,E$5)/12),2))</f>
        <v/>
      </c>
      <c r="AK20">
        <f>IF(F19&lt;=0,0,ROUND(F19*(1+IF(AND(F$6&gt;0,$B20&lt;F$6),F$4,F$5)/12),2))</f>
        <v/>
      </c>
      <c r="AL20">
        <f>IF(G19&lt;=0,0,ROUND(G19*(1+IF(AND(G$6&gt;0,$B20&lt;G$6),G$4,G$5)/12),2))</f>
        <v/>
      </c>
      <c r="AM20">
        <f>IF(H19&lt;=0,0,ROUND(H19*(1+IF(AND(H$6&gt;0,$B20&lt;H$6),H$4,H$5)/12),2))</f>
        <v/>
      </c>
      <c r="AN20">
        <f>IF(I19&lt;=0,0,ROUND(I19*(1+IF(AND(I$6&gt;0,$B20&lt;I$6),I$4,I$5)/12),2))</f>
        <v/>
      </c>
      <c r="AO20">
        <f>IF(J19&lt;=0,0,ROUND(J19*(1+IF(AND(J$6&gt;0,$B20&lt;J$6),J$4,J$5)/12),2))</f>
        <v/>
      </c>
      <c r="AP20">
        <f>IF(K19&lt;=0,0,ROUND(K19*(1+IF(AND(K$6&gt;0,$B20&lt;K$6),K$4,K$5)/12),2))</f>
        <v/>
      </c>
      <c r="AQ20">
        <f>IF(L19&lt;=0,0,ROUND(L19*(1+IF(AND(L$6&gt;0,$B20&lt;L$6),L$4,L$5)/12),2))</f>
        <v/>
      </c>
      <c r="AR20">
        <f>IF(M19&lt;=0,0,ROUND(M19*(1+IF(AND(M$6&gt;0,$B20&lt;M$6),M$4,M$5)/12),2))</f>
        <v/>
      </c>
      <c r="AS20">
        <f>IF(N19&lt;=0,0,ROUND(N19*(1+IF(AND(N$6&gt;0,$B20&lt;N$6),N$4,N$5)/12),2))</f>
        <v/>
      </c>
    </row>
    <row r="21">
      <c r="A21" t="n">
        <v>10</v>
      </c>
      <c r="B21">
        <f>EDATE(Plan!$C$6,9)</f>
        <v/>
      </c>
      <c r="C21">
        <f>IF(C20&lt;=0,0,MAX(0,AH21-O21))</f>
        <v/>
      </c>
      <c r="D21">
        <f>IF(D20&lt;=0,0,MAX(0,AI21-P21))</f>
        <v/>
      </c>
      <c r="E21">
        <f>IF(E20&lt;=0,0,MAX(0,AJ21-Q21))</f>
        <v/>
      </c>
      <c r="F21">
        <f>IF(F20&lt;=0,0,MAX(0,AK21-R21))</f>
        <v/>
      </c>
      <c r="G21">
        <f>IF(G20&lt;=0,0,MAX(0,AL21-S21))</f>
        <v/>
      </c>
      <c r="H21">
        <f>IF(H20&lt;=0,0,MAX(0,AM21-T21))</f>
        <v/>
      </c>
      <c r="I21">
        <f>IF(I20&lt;=0,0,MAX(0,AN21-U21))</f>
        <v/>
      </c>
      <c r="J21">
        <f>IF(J20&lt;=0,0,MAX(0,AO21-V21))</f>
        <v/>
      </c>
      <c r="K21">
        <f>IF(K20&lt;=0,0,MAX(0,AP21-W21))</f>
        <v/>
      </c>
      <c r="L21">
        <f>IF(L20&lt;=0,0,MAX(0,AQ21-X21))</f>
        <v/>
      </c>
      <c r="M21">
        <f>IF(M20&lt;=0,0,MAX(0,AR21-Y21))</f>
        <v/>
      </c>
      <c r="N21">
        <f>IF(N20&lt;=0,0,MAX(0,AS21-Z21))</f>
        <v/>
      </c>
      <c r="O21">
        <f>IF(C20&lt;=0,0,MIN(AH21,C$7+IF(C$2=$AA21,$AC21,IF(C$2=$AF21,$AG21,0))))</f>
        <v/>
      </c>
      <c r="P21">
        <f>IF(D20&lt;=0,0,MIN(AI21,D$7+IF(D$2=$AA21,$AC21,IF(D$2=$AF21,$AG21,0))))</f>
        <v/>
      </c>
      <c r="Q21">
        <f>IF(E20&lt;=0,0,MIN(AJ21,E$7+IF(E$2=$AA21,$AC21,IF(E$2=$AF21,$AG21,0))))</f>
        <v/>
      </c>
      <c r="R21">
        <f>IF(F20&lt;=0,0,MIN(AK21,F$7+IF(F$2=$AA21,$AC21,IF(F$2=$AF21,$AG21,0))))</f>
        <v/>
      </c>
      <c r="S21">
        <f>IF(G20&lt;=0,0,MIN(AL21,G$7+IF(G$2=$AA21,$AC21,IF(G$2=$AF21,$AG21,0))))</f>
        <v/>
      </c>
      <c r="T21">
        <f>IF(H20&lt;=0,0,MIN(AM21,H$7+IF(H$2=$AA21,$AC21,IF(H$2=$AF21,$AG21,0))))</f>
        <v/>
      </c>
      <c r="U21">
        <f>IF(I20&lt;=0,0,MIN(AN21,I$7+IF(I$2=$AA21,$AC21,IF(I$2=$AF21,$AG21,0))))</f>
        <v/>
      </c>
      <c r="V21">
        <f>IF(J20&lt;=0,0,MIN(AO21,J$7+IF(J$2=$AA21,$AC21,IF(J$2=$AF21,$AG21,0))))</f>
        <v/>
      </c>
      <c r="W21">
        <f>IF(K20&lt;=0,0,MIN(AP21,K$7+IF(K$2=$AA21,$AC21,IF(K$2=$AF21,$AG21,0))))</f>
        <v/>
      </c>
      <c r="X21">
        <f>IF(L20&lt;=0,0,MIN(AQ21,L$7+IF(L$2=$AA21,$AC21,IF(L$2=$AF21,$AG21,0))))</f>
        <v/>
      </c>
      <c r="Y21">
        <f>IF(M20&lt;=0,0,MIN(AR21,M$7+IF(M$2=$AA21,$AC21,IF(M$2=$AF21,$AG21,0))))</f>
        <v/>
      </c>
      <c r="Z21">
        <f>IF(N20&lt;=0,0,MIN(AS21,N$7+IF(N$2=$AA21,$AC21,IF(N$2=$AF21,$AG21,0))))</f>
        <v/>
      </c>
      <c r="AA21">
        <f>IFERROR(ROUND(1/SUMPRODUCT(MAX((C20:N20&gt;0)*($C$3:$N$3&lt;=B21)/$C$2:$N$2)),0),0)</f>
        <v/>
      </c>
      <c r="AB21">
        <f>SUMPRODUCT((C20:N20&gt;0)*$C$7:$N$7)</f>
        <v/>
      </c>
      <c r="AC21">
        <f>MAX(0,Plan!$C$5-AB21)+IF(A21=Plan!$C$8,N(Plan!$C$7),0)</f>
        <v/>
      </c>
      <c r="AD21">
        <f>SUM(C21:N21)</f>
        <v/>
      </c>
      <c r="AE21">
        <f>SUM(O21:Z21)</f>
        <v/>
      </c>
      <c r="AF21">
        <f>IFERROR(ROUND(1/SUMPRODUCT(MAX((C20:N20&gt;0)*($C$3:$N$3&lt;=B21)*($C$2:$N$2&gt;AA21)/$C$2:$N$2)),0),0)</f>
        <v/>
      </c>
      <c r="AG21">
        <f>MAX(0,AC21-MAX(0,SUMPRODUCT(($C$2:$N$2=AA21)*(AH21:AS21-$C$7:$N$7))))</f>
        <v/>
      </c>
      <c r="AH21">
        <f>IF(C20&lt;=0,0,ROUND(C20*(1+IF(AND(C$6&gt;0,$B21&lt;C$6),C$4,C$5)/12),2))</f>
        <v/>
      </c>
      <c r="AI21">
        <f>IF(D20&lt;=0,0,ROUND(D20*(1+IF(AND(D$6&gt;0,$B21&lt;D$6),D$4,D$5)/12),2))</f>
        <v/>
      </c>
      <c r="AJ21">
        <f>IF(E20&lt;=0,0,ROUND(E20*(1+IF(AND(E$6&gt;0,$B21&lt;E$6),E$4,E$5)/12),2))</f>
        <v/>
      </c>
      <c r="AK21">
        <f>IF(F20&lt;=0,0,ROUND(F20*(1+IF(AND(F$6&gt;0,$B21&lt;F$6),F$4,F$5)/12),2))</f>
        <v/>
      </c>
      <c r="AL21">
        <f>IF(G20&lt;=0,0,ROUND(G20*(1+IF(AND(G$6&gt;0,$B21&lt;G$6),G$4,G$5)/12),2))</f>
        <v/>
      </c>
      <c r="AM21">
        <f>IF(H20&lt;=0,0,ROUND(H20*(1+IF(AND(H$6&gt;0,$B21&lt;H$6),H$4,H$5)/12),2))</f>
        <v/>
      </c>
      <c r="AN21">
        <f>IF(I20&lt;=0,0,ROUND(I20*(1+IF(AND(I$6&gt;0,$B21&lt;I$6),I$4,I$5)/12),2))</f>
        <v/>
      </c>
      <c r="AO21">
        <f>IF(J20&lt;=0,0,ROUND(J20*(1+IF(AND(J$6&gt;0,$B21&lt;J$6),J$4,J$5)/12),2))</f>
        <v/>
      </c>
      <c r="AP21">
        <f>IF(K20&lt;=0,0,ROUND(K20*(1+IF(AND(K$6&gt;0,$B21&lt;K$6),K$4,K$5)/12),2))</f>
        <v/>
      </c>
      <c r="AQ21">
        <f>IF(L20&lt;=0,0,ROUND(L20*(1+IF(AND(L$6&gt;0,$B21&lt;L$6),L$4,L$5)/12),2))</f>
        <v/>
      </c>
      <c r="AR21">
        <f>IF(M20&lt;=0,0,ROUND(M20*(1+IF(AND(M$6&gt;0,$B21&lt;M$6),M$4,M$5)/12),2))</f>
        <v/>
      </c>
      <c r="AS21">
        <f>IF(N20&lt;=0,0,ROUND(N20*(1+IF(AND(N$6&gt;0,$B21&lt;N$6),N$4,N$5)/12),2))</f>
        <v/>
      </c>
    </row>
    <row r="22">
      <c r="A22" t="n">
        <v>11</v>
      </c>
      <c r="B22">
        <f>EDATE(Plan!$C$6,10)</f>
        <v/>
      </c>
      <c r="C22">
        <f>IF(C21&lt;=0,0,MAX(0,AH22-O22))</f>
        <v/>
      </c>
      <c r="D22">
        <f>IF(D21&lt;=0,0,MAX(0,AI22-P22))</f>
        <v/>
      </c>
      <c r="E22">
        <f>IF(E21&lt;=0,0,MAX(0,AJ22-Q22))</f>
        <v/>
      </c>
      <c r="F22">
        <f>IF(F21&lt;=0,0,MAX(0,AK22-R22))</f>
        <v/>
      </c>
      <c r="G22">
        <f>IF(G21&lt;=0,0,MAX(0,AL22-S22))</f>
        <v/>
      </c>
      <c r="H22">
        <f>IF(H21&lt;=0,0,MAX(0,AM22-T22))</f>
        <v/>
      </c>
      <c r="I22">
        <f>IF(I21&lt;=0,0,MAX(0,AN22-U22))</f>
        <v/>
      </c>
      <c r="J22">
        <f>IF(J21&lt;=0,0,MAX(0,AO22-V22))</f>
        <v/>
      </c>
      <c r="K22">
        <f>IF(K21&lt;=0,0,MAX(0,AP22-W22))</f>
        <v/>
      </c>
      <c r="L22">
        <f>IF(L21&lt;=0,0,MAX(0,AQ22-X22))</f>
        <v/>
      </c>
      <c r="M22">
        <f>IF(M21&lt;=0,0,MAX(0,AR22-Y22))</f>
        <v/>
      </c>
      <c r="N22">
        <f>IF(N21&lt;=0,0,MAX(0,AS22-Z22))</f>
        <v/>
      </c>
      <c r="O22">
        <f>IF(C21&lt;=0,0,MIN(AH22,C$7+IF(C$2=$AA22,$AC22,IF(C$2=$AF22,$AG22,0))))</f>
        <v/>
      </c>
      <c r="P22">
        <f>IF(D21&lt;=0,0,MIN(AI22,D$7+IF(D$2=$AA22,$AC22,IF(D$2=$AF22,$AG22,0))))</f>
        <v/>
      </c>
      <c r="Q22">
        <f>IF(E21&lt;=0,0,MIN(AJ22,E$7+IF(E$2=$AA22,$AC22,IF(E$2=$AF22,$AG22,0))))</f>
        <v/>
      </c>
      <c r="R22">
        <f>IF(F21&lt;=0,0,MIN(AK22,F$7+IF(F$2=$AA22,$AC22,IF(F$2=$AF22,$AG22,0))))</f>
        <v/>
      </c>
      <c r="S22">
        <f>IF(G21&lt;=0,0,MIN(AL22,G$7+IF(G$2=$AA22,$AC22,IF(G$2=$AF22,$AG22,0))))</f>
        <v/>
      </c>
      <c r="T22">
        <f>IF(H21&lt;=0,0,MIN(AM22,H$7+IF(H$2=$AA22,$AC22,IF(H$2=$AF22,$AG22,0))))</f>
        <v/>
      </c>
      <c r="U22">
        <f>IF(I21&lt;=0,0,MIN(AN22,I$7+IF(I$2=$AA22,$AC22,IF(I$2=$AF22,$AG22,0))))</f>
        <v/>
      </c>
      <c r="V22">
        <f>IF(J21&lt;=0,0,MIN(AO22,J$7+IF(J$2=$AA22,$AC22,IF(J$2=$AF22,$AG22,0))))</f>
        <v/>
      </c>
      <c r="W22">
        <f>IF(K21&lt;=0,0,MIN(AP22,K$7+IF(K$2=$AA22,$AC22,IF(K$2=$AF22,$AG22,0))))</f>
        <v/>
      </c>
      <c r="X22">
        <f>IF(L21&lt;=0,0,MIN(AQ22,L$7+IF(L$2=$AA22,$AC22,IF(L$2=$AF22,$AG22,0))))</f>
        <v/>
      </c>
      <c r="Y22">
        <f>IF(M21&lt;=0,0,MIN(AR22,M$7+IF(M$2=$AA22,$AC22,IF(M$2=$AF22,$AG22,0))))</f>
        <v/>
      </c>
      <c r="Z22">
        <f>IF(N21&lt;=0,0,MIN(AS22,N$7+IF(N$2=$AA22,$AC22,IF(N$2=$AF22,$AG22,0))))</f>
        <v/>
      </c>
      <c r="AA22">
        <f>IFERROR(ROUND(1/SUMPRODUCT(MAX((C21:N21&gt;0)*($C$3:$N$3&lt;=B22)/$C$2:$N$2)),0),0)</f>
        <v/>
      </c>
      <c r="AB22">
        <f>SUMPRODUCT((C21:N21&gt;0)*$C$7:$N$7)</f>
        <v/>
      </c>
      <c r="AC22">
        <f>MAX(0,Plan!$C$5-AB22)+IF(A22=Plan!$C$8,N(Plan!$C$7),0)</f>
        <v/>
      </c>
      <c r="AD22">
        <f>SUM(C22:N22)</f>
        <v/>
      </c>
      <c r="AE22">
        <f>SUM(O22:Z22)</f>
        <v/>
      </c>
      <c r="AF22">
        <f>IFERROR(ROUND(1/SUMPRODUCT(MAX((C21:N21&gt;0)*($C$3:$N$3&lt;=B22)*($C$2:$N$2&gt;AA22)/$C$2:$N$2)),0),0)</f>
        <v/>
      </c>
      <c r="AG22">
        <f>MAX(0,AC22-MAX(0,SUMPRODUCT(($C$2:$N$2=AA22)*(AH22:AS22-$C$7:$N$7))))</f>
        <v/>
      </c>
      <c r="AH22">
        <f>IF(C21&lt;=0,0,ROUND(C21*(1+IF(AND(C$6&gt;0,$B22&lt;C$6),C$4,C$5)/12),2))</f>
        <v/>
      </c>
      <c r="AI22">
        <f>IF(D21&lt;=0,0,ROUND(D21*(1+IF(AND(D$6&gt;0,$B22&lt;D$6),D$4,D$5)/12),2))</f>
        <v/>
      </c>
      <c r="AJ22">
        <f>IF(E21&lt;=0,0,ROUND(E21*(1+IF(AND(E$6&gt;0,$B22&lt;E$6),E$4,E$5)/12),2))</f>
        <v/>
      </c>
      <c r="AK22">
        <f>IF(F21&lt;=0,0,ROUND(F21*(1+IF(AND(F$6&gt;0,$B22&lt;F$6),F$4,F$5)/12),2))</f>
        <v/>
      </c>
      <c r="AL22">
        <f>IF(G21&lt;=0,0,ROUND(G21*(1+IF(AND(G$6&gt;0,$B22&lt;G$6),G$4,G$5)/12),2))</f>
        <v/>
      </c>
      <c r="AM22">
        <f>IF(H21&lt;=0,0,ROUND(H21*(1+IF(AND(H$6&gt;0,$B22&lt;H$6),H$4,H$5)/12),2))</f>
        <v/>
      </c>
      <c r="AN22">
        <f>IF(I21&lt;=0,0,ROUND(I21*(1+IF(AND(I$6&gt;0,$B22&lt;I$6),I$4,I$5)/12),2))</f>
        <v/>
      </c>
      <c r="AO22">
        <f>IF(J21&lt;=0,0,ROUND(J21*(1+IF(AND(J$6&gt;0,$B22&lt;J$6),J$4,J$5)/12),2))</f>
        <v/>
      </c>
      <c r="AP22">
        <f>IF(K21&lt;=0,0,ROUND(K21*(1+IF(AND(K$6&gt;0,$B22&lt;K$6),K$4,K$5)/12),2))</f>
        <v/>
      </c>
      <c r="AQ22">
        <f>IF(L21&lt;=0,0,ROUND(L21*(1+IF(AND(L$6&gt;0,$B22&lt;L$6),L$4,L$5)/12),2))</f>
        <v/>
      </c>
      <c r="AR22">
        <f>IF(M21&lt;=0,0,ROUND(M21*(1+IF(AND(M$6&gt;0,$B22&lt;M$6),M$4,M$5)/12),2))</f>
        <v/>
      </c>
      <c r="AS22">
        <f>IF(N21&lt;=0,0,ROUND(N21*(1+IF(AND(N$6&gt;0,$B22&lt;N$6),N$4,N$5)/12),2))</f>
        <v/>
      </c>
    </row>
    <row r="23">
      <c r="A23" t="n">
        <v>12</v>
      </c>
      <c r="B23">
        <f>EDATE(Plan!$C$6,11)</f>
        <v/>
      </c>
      <c r="C23">
        <f>IF(C22&lt;=0,0,MAX(0,AH23-O23))</f>
        <v/>
      </c>
      <c r="D23">
        <f>IF(D22&lt;=0,0,MAX(0,AI23-P23))</f>
        <v/>
      </c>
      <c r="E23">
        <f>IF(E22&lt;=0,0,MAX(0,AJ23-Q23))</f>
        <v/>
      </c>
      <c r="F23">
        <f>IF(F22&lt;=0,0,MAX(0,AK23-R23))</f>
        <v/>
      </c>
      <c r="G23">
        <f>IF(G22&lt;=0,0,MAX(0,AL23-S23))</f>
        <v/>
      </c>
      <c r="H23">
        <f>IF(H22&lt;=0,0,MAX(0,AM23-T23))</f>
        <v/>
      </c>
      <c r="I23">
        <f>IF(I22&lt;=0,0,MAX(0,AN23-U23))</f>
        <v/>
      </c>
      <c r="J23">
        <f>IF(J22&lt;=0,0,MAX(0,AO23-V23))</f>
        <v/>
      </c>
      <c r="K23">
        <f>IF(K22&lt;=0,0,MAX(0,AP23-W23))</f>
        <v/>
      </c>
      <c r="L23">
        <f>IF(L22&lt;=0,0,MAX(0,AQ23-X23))</f>
        <v/>
      </c>
      <c r="M23">
        <f>IF(M22&lt;=0,0,MAX(0,AR23-Y23))</f>
        <v/>
      </c>
      <c r="N23">
        <f>IF(N22&lt;=0,0,MAX(0,AS23-Z23))</f>
        <v/>
      </c>
      <c r="O23">
        <f>IF(C22&lt;=0,0,MIN(AH23,C$7+IF(C$2=$AA23,$AC23,IF(C$2=$AF23,$AG23,0))))</f>
        <v/>
      </c>
      <c r="P23">
        <f>IF(D22&lt;=0,0,MIN(AI23,D$7+IF(D$2=$AA23,$AC23,IF(D$2=$AF23,$AG23,0))))</f>
        <v/>
      </c>
      <c r="Q23">
        <f>IF(E22&lt;=0,0,MIN(AJ23,E$7+IF(E$2=$AA23,$AC23,IF(E$2=$AF23,$AG23,0))))</f>
        <v/>
      </c>
      <c r="R23">
        <f>IF(F22&lt;=0,0,MIN(AK23,F$7+IF(F$2=$AA23,$AC23,IF(F$2=$AF23,$AG23,0))))</f>
        <v/>
      </c>
      <c r="S23">
        <f>IF(G22&lt;=0,0,MIN(AL23,G$7+IF(G$2=$AA23,$AC23,IF(G$2=$AF23,$AG23,0))))</f>
        <v/>
      </c>
      <c r="T23">
        <f>IF(H22&lt;=0,0,MIN(AM23,H$7+IF(H$2=$AA23,$AC23,IF(H$2=$AF23,$AG23,0))))</f>
        <v/>
      </c>
      <c r="U23">
        <f>IF(I22&lt;=0,0,MIN(AN23,I$7+IF(I$2=$AA23,$AC23,IF(I$2=$AF23,$AG23,0))))</f>
        <v/>
      </c>
      <c r="V23">
        <f>IF(J22&lt;=0,0,MIN(AO23,J$7+IF(J$2=$AA23,$AC23,IF(J$2=$AF23,$AG23,0))))</f>
        <v/>
      </c>
      <c r="W23">
        <f>IF(K22&lt;=0,0,MIN(AP23,K$7+IF(K$2=$AA23,$AC23,IF(K$2=$AF23,$AG23,0))))</f>
        <v/>
      </c>
      <c r="X23">
        <f>IF(L22&lt;=0,0,MIN(AQ23,L$7+IF(L$2=$AA23,$AC23,IF(L$2=$AF23,$AG23,0))))</f>
        <v/>
      </c>
      <c r="Y23">
        <f>IF(M22&lt;=0,0,MIN(AR23,M$7+IF(M$2=$AA23,$AC23,IF(M$2=$AF23,$AG23,0))))</f>
        <v/>
      </c>
      <c r="Z23">
        <f>IF(N22&lt;=0,0,MIN(AS23,N$7+IF(N$2=$AA23,$AC23,IF(N$2=$AF23,$AG23,0))))</f>
        <v/>
      </c>
      <c r="AA23">
        <f>IFERROR(ROUND(1/SUMPRODUCT(MAX((C22:N22&gt;0)*($C$3:$N$3&lt;=B23)/$C$2:$N$2)),0),0)</f>
        <v/>
      </c>
      <c r="AB23">
        <f>SUMPRODUCT((C22:N22&gt;0)*$C$7:$N$7)</f>
        <v/>
      </c>
      <c r="AC23">
        <f>MAX(0,Plan!$C$5-AB23)+IF(A23=Plan!$C$8,N(Plan!$C$7),0)</f>
        <v/>
      </c>
      <c r="AD23">
        <f>SUM(C23:N23)</f>
        <v/>
      </c>
      <c r="AE23">
        <f>SUM(O23:Z23)</f>
        <v/>
      </c>
      <c r="AF23">
        <f>IFERROR(ROUND(1/SUMPRODUCT(MAX((C22:N22&gt;0)*($C$3:$N$3&lt;=B23)*($C$2:$N$2&gt;AA23)/$C$2:$N$2)),0),0)</f>
        <v/>
      </c>
      <c r="AG23">
        <f>MAX(0,AC23-MAX(0,SUMPRODUCT(($C$2:$N$2=AA23)*(AH23:AS23-$C$7:$N$7))))</f>
        <v/>
      </c>
      <c r="AH23">
        <f>IF(C22&lt;=0,0,ROUND(C22*(1+IF(AND(C$6&gt;0,$B23&lt;C$6),C$4,C$5)/12),2))</f>
        <v/>
      </c>
      <c r="AI23">
        <f>IF(D22&lt;=0,0,ROUND(D22*(1+IF(AND(D$6&gt;0,$B23&lt;D$6),D$4,D$5)/12),2))</f>
        <v/>
      </c>
      <c r="AJ23">
        <f>IF(E22&lt;=0,0,ROUND(E22*(1+IF(AND(E$6&gt;0,$B23&lt;E$6),E$4,E$5)/12),2))</f>
        <v/>
      </c>
      <c r="AK23">
        <f>IF(F22&lt;=0,0,ROUND(F22*(1+IF(AND(F$6&gt;0,$B23&lt;F$6),F$4,F$5)/12),2))</f>
        <v/>
      </c>
      <c r="AL23">
        <f>IF(G22&lt;=0,0,ROUND(G22*(1+IF(AND(G$6&gt;0,$B23&lt;G$6),G$4,G$5)/12),2))</f>
        <v/>
      </c>
      <c r="AM23">
        <f>IF(H22&lt;=0,0,ROUND(H22*(1+IF(AND(H$6&gt;0,$B23&lt;H$6),H$4,H$5)/12),2))</f>
        <v/>
      </c>
      <c r="AN23">
        <f>IF(I22&lt;=0,0,ROUND(I22*(1+IF(AND(I$6&gt;0,$B23&lt;I$6),I$4,I$5)/12),2))</f>
        <v/>
      </c>
      <c r="AO23">
        <f>IF(J22&lt;=0,0,ROUND(J22*(1+IF(AND(J$6&gt;0,$B23&lt;J$6),J$4,J$5)/12),2))</f>
        <v/>
      </c>
      <c r="AP23">
        <f>IF(K22&lt;=0,0,ROUND(K22*(1+IF(AND(K$6&gt;0,$B23&lt;K$6),K$4,K$5)/12),2))</f>
        <v/>
      </c>
      <c r="AQ23">
        <f>IF(L22&lt;=0,0,ROUND(L22*(1+IF(AND(L$6&gt;0,$B23&lt;L$6),L$4,L$5)/12),2))</f>
        <v/>
      </c>
      <c r="AR23">
        <f>IF(M22&lt;=0,0,ROUND(M22*(1+IF(AND(M$6&gt;0,$B23&lt;M$6),M$4,M$5)/12),2))</f>
        <v/>
      </c>
      <c r="AS23">
        <f>IF(N22&lt;=0,0,ROUND(N22*(1+IF(AND(N$6&gt;0,$B23&lt;N$6),N$4,N$5)/12),2))</f>
        <v/>
      </c>
    </row>
    <row r="24">
      <c r="A24" t="n">
        <v>13</v>
      </c>
      <c r="B24">
        <f>EDATE(Plan!$C$6,12)</f>
        <v/>
      </c>
      <c r="C24">
        <f>IF(C23&lt;=0,0,MAX(0,AH24-O24))</f>
        <v/>
      </c>
      <c r="D24">
        <f>IF(D23&lt;=0,0,MAX(0,AI24-P24))</f>
        <v/>
      </c>
      <c r="E24">
        <f>IF(E23&lt;=0,0,MAX(0,AJ24-Q24))</f>
        <v/>
      </c>
      <c r="F24">
        <f>IF(F23&lt;=0,0,MAX(0,AK24-R24))</f>
        <v/>
      </c>
      <c r="G24">
        <f>IF(G23&lt;=0,0,MAX(0,AL24-S24))</f>
        <v/>
      </c>
      <c r="H24">
        <f>IF(H23&lt;=0,0,MAX(0,AM24-T24))</f>
        <v/>
      </c>
      <c r="I24">
        <f>IF(I23&lt;=0,0,MAX(0,AN24-U24))</f>
        <v/>
      </c>
      <c r="J24">
        <f>IF(J23&lt;=0,0,MAX(0,AO24-V24))</f>
        <v/>
      </c>
      <c r="K24">
        <f>IF(K23&lt;=0,0,MAX(0,AP24-W24))</f>
        <v/>
      </c>
      <c r="L24">
        <f>IF(L23&lt;=0,0,MAX(0,AQ24-X24))</f>
        <v/>
      </c>
      <c r="M24">
        <f>IF(M23&lt;=0,0,MAX(0,AR24-Y24))</f>
        <v/>
      </c>
      <c r="N24">
        <f>IF(N23&lt;=0,0,MAX(0,AS24-Z24))</f>
        <v/>
      </c>
      <c r="O24">
        <f>IF(C23&lt;=0,0,MIN(AH24,C$7+IF(C$2=$AA24,$AC24,IF(C$2=$AF24,$AG24,0))))</f>
        <v/>
      </c>
      <c r="P24">
        <f>IF(D23&lt;=0,0,MIN(AI24,D$7+IF(D$2=$AA24,$AC24,IF(D$2=$AF24,$AG24,0))))</f>
        <v/>
      </c>
      <c r="Q24">
        <f>IF(E23&lt;=0,0,MIN(AJ24,E$7+IF(E$2=$AA24,$AC24,IF(E$2=$AF24,$AG24,0))))</f>
        <v/>
      </c>
      <c r="R24">
        <f>IF(F23&lt;=0,0,MIN(AK24,F$7+IF(F$2=$AA24,$AC24,IF(F$2=$AF24,$AG24,0))))</f>
        <v/>
      </c>
      <c r="S24">
        <f>IF(G23&lt;=0,0,MIN(AL24,G$7+IF(G$2=$AA24,$AC24,IF(G$2=$AF24,$AG24,0))))</f>
        <v/>
      </c>
      <c r="T24">
        <f>IF(H23&lt;=0,0,MIN(AM24,H$7+IF(H$2=$AA24,$AC24,IF(H$2=$AF24,$AG24,0))))</f>
        <v/>
      </c>
      <c r="U24">
        <f>IF(I23&lt;=0,0,MIN(AN24,I$7+IF(I$2=$AA24,$AC24,IF(I$2=$AF24,$AG24,0))))</f>
        <v/>
      </c>
      <c r="V24">
        <f>IF(J23&lt;=0,0,MIN(AO24,J$7+IF(J$2=$AA24,$AC24,IF(J$2=$AF24,$AG24,0))))</f>
        <v/>
      </c>
      <c r="W24">
        <f>IF(K23&lt;=0,0,MIN(AP24,K$7+IF(K$2=$AA24,$AC24,IF(K$2=$AF24,$AG24,0))))</f>
        <v/>
      </c>
      <c r="X24">
        <f>IF(L23&lt;=0,0,MIN(AQ24,L$7+IF(L$2=$AA24,$AC24,IF(L$2=$AF24,$AG24,0))))</f>
        <v/>
      </c>
      <c r="Y24">
        <f>IF(M23&lt;=0,0,MIN(AR24,M$7+IF(M$2=$AA24,$AC24,IF(M$2=$AF24,$AG24,0))))</f>
        <v/>
      </c>
      <c r="Z24">
        <f>IF(N23&lt;=0,0,MIN(AS24,N$7+IF(N$2=$AA24,$AC24,IF(N$2=$AF24,$AG24,0))))</f>
        <v/>
      </c>
      <c r="AA24">
        <f>IFERROR(ROUND(1/SUMPRODUCT(MAX((C23:N23&gt;0)*($C$3:$N$3&lt;=B24)/$C$2:$N$2)),0),0)</f>
        <v/>
      </c>
      <c r="AB24">
        <f>SUMPRODUCT((C23:N23&gt;0)*$C$7:$N$7)</f>
        <v/>
      </c>
      <c r="AC24">
        <f>MAX(0,Plan!$C$5-AB24)+IF(A24=Plan!$C$8,N(Plan!$C$7),0)</f>
        <v/>
      </c>
      <c r="AD24">
        <f>SUM(C24:N24)</f>
        <v/>
      </c>
      <c r="AE24">
        <f>SUM(O24:Z24)</f>
        <v/>
      </c>
      <c r="AF24">
        <f>IFERROR(ROUND(1/SUMPRODUCT(MAX((C23:N23&gt;0)*($C$3:$N$3&lt;=B24)*($C$2:$N$2&gt;AA24)/$C$2:$N$2)),0),0)</f>
        <v/>
      </c>
      <c r="AG24">
        <f>MAX(0,AC24-MAX(0,SUMPRODUCT(($C$2:$N$2=AA24)*(AH24:AS24-$C$7:$N$7))))</f>
        <v/>
      </c>
      <c r="AH24">
        <f>IF(C23&lt;=0,0,ROUND(C23*(1+IF(AND(C$6&gt;0,$B24&lt;C$6),C$4,C$5)/12),2))</f>
        <v/>
      </c>
      <c r="AI24">
        <f>IF(D23&lt;=0,0,ROUND(D23*(1+IF(AND(D$6&gt;0,$B24&lt;D$6),D$4,D$5)/12),2))</f>
        <v/>
      </c>
      <c r="AJ24">
        <f>IF(E23&lt;=0,0,ROUND(E23*(1+IF(AND(E$6&gt;0,$B24&lt;E$6),E$4,E$5)/12),2))</f>
        <v/>
      </c>
      <c r="AK24">
        <f>IF(F23&lt;=0,0,ROUND(F23*(1+IF(AND(F$6&gt;0,$B24&lt;F$6),F$4,F$5)/12),2))</f>
        <v/>
      </c>
      <c r="AL24">
        <f>IF(G23&lt;=0,0,ROUND(G23*(1+IF(AND(G$6&gt;0,$B24&lt;G$6),G$4,G$5)/12),2))</f>
        <v/>
      </c>
      <c r="AM24">
        <f>IF(H23&lt;=0,0,ROUND(H23*(1+IF(AND(H$6&gt;0,$B24&lt;H$6),H$4,H$5)/12),2))</f>
        <v/>
      </c>
      <c r="AN24">
        <f>IF(I23&lt;=0,0,ROUND(I23*(1+IF(AND(I$6&gt;0,$B24&lt;I$6),I$4,I$5)/12),2))</f>
        <v/>
      </c>
      <c r="AO24">
        <f>IF(J23&lt;=0,0,ROUND(J23*(1+IF(AND(J$6&gt;0,$B24&lt;J$6),J$4,J$5)/12),2))</f>
        <v/>
      </c>
      <c r="AP24">
        <f>IF(K23&lt;=0,0,ROUND(K23*(1+IF(AND(K$6&gt;0,$B24&lt;K$6),K$4,K$5)/12),2))</f>
        <v/>
      </c>
      <c r="AQ24">
        <f>IF(L23&lt;=0,0,ROUND(L23*(1+IF(AND(L$6&gt;0,$B24&lt;L$6),L$4,L$5)/12),2))</f>
        <v/>
      </c>
      <c r="AR24">
        <f>IF(M23&lt;=0,0,ROUND(M23*(1+IF(AND(M$6&gt;0,$B24&lt;M$6),M$4,M$5)/12),2))</f>
        <v/>
      </c>
      <c r="AS24">
        <f>IF(N23&lt;=0,0,ROUND(N23*(1+IF(AND(N$6&gt;0,$B24&lt;N$6),N$4,N$5)/12),2))</f>
        <v/>
      </c>
    </row>
    <row r="25">
      <c r="A25" t="n">
        <v>14</v>
      </c>
      <c r="B25">
        <f>EDATE(Plan!$C$6,13)</f>
        <v/>
      </c>
      <c r="C25">
        <f>IF(C24&lt;=0,0,MAX(0,AH25-O25))</f>
        <v/>
      </c>
      <c r="D25">
        <f>IF(D24&lt;=0,0,MAX(0,AI25-P25))</f>
        <v/>
      </c>
      <c r="E25">
        <f>IF(E24&lt;=0,0,MAX(0,AJ25-Q25))</f>
        <v/>
      </c>
      <c r="F25">
        <f>IF(F24&lt;=0,0,MAX(0,AK25-R25))</f>
        <v/>
      </c>
      <c r="G25">
        <f>IF(G24&lt;=0,0,MAX(0,AL25-S25))</f>
        <v/>
      </c>
      <c r="H25">
        <f>IF(H24&lt;=0,0,MAX(0,AM25-T25))</f>
        <v/>
      </c>
      <c r="I25">
        <f>IF(I24&lt;=0,0,MAX(0,AN25-U25))</f>
        <v/>
      </c>
      <c r="J25">
        <f>IF(J24&lt;=0,0,MAX(0,AO25-V25))</f>
        <v/>
      </c>
      <c r="K25">
        <f>IF(K24&lt;=0,0,MAX(0,AP25-W25))</f>
        <v/>
      </c>
      <c r="L25">
        <f>IF(L24&lt;=0,0,MAX(0,AQ25-X25))</f>
        <v/>
      </c>
      <c r="M25">
        <f>IF(M24&lt;=0,0,MAX(0,AR25-Y25))</f>
        <v/>
      </c>
      <c r="N25">
        <f>IF(N24&lt;=0,0,MAX(0,AS25-Z25))</f>
        <v/>
      </c>
      <c r="O25">
        <f>IF(C24&lt;=0,0,MIN(AH25,C$7+IF(C$2=$AA25,$AC25,IF(C$2=$AF25,$AG25,0))))</f>
        <v/>
      </c>
      <c r="P25">
        <f>IF(D24&lt;=0,0,MIN(AI25,D$7+IF(D$2=$AA25,$AC25,IF(D$2=$AF25,$AG25,0))))</f>
        <v/>
      </c>
      <c r="Q25">
        <f>IF(E24&lt;=0,0,MIN(AJ25,E$7+IF(E$2=$AA25,$AC25,IF(E$2=$AF25,$AG25,0))))</f>
        <v/>
      </c>
      <c r="R25">
        <f>IF(F24&lt;=0,0,MIN(AK25,F$7+IF(F$2=$AA25,$AC25,IF(F$2=$AF25,$AG25,0))))</f>
        <v/>
      </c>
      <c r="S25">
        <f>IF(G24&lt;=0,0,MIN(AL25,G$7+IF(G$2=$AA25,$AC25,IF(G$2=$AF25,$AG25,0))))</f>
        <v/>
      </c>
      <c r="T25">
        <f>IF(H24&lt;=0,0,MIN(AM25,H$7+IF(H$2=$AA25,$AC25,IF(H$2=$AF25,$AG25,0))))</f>
        <v/>
      </c>
      <c r="U25">
        <f>IF(I24&lt;=0,0,MIN(AN25,I$7+IF(I$2=$AA25,$AC25,IF(I$2=$AF25,$AG25,0))))</f>
        <v/>
      </c>
      <c r="V25">
        <f>IF(J24&lt;=0,0,MIN(AO25,J$7+IF(J$2=$AA25,$AC25,IF(J$2=$AF25,$AG25,0))))</f>
        <v/>
      </c>
      <c r="W25">
        <f>IF(K24&lt;=0,0,MIN(AP25,K$7+IF(K$2=$AA25,$AC25,IF(K$2=$AF25,$AG25,0))))</f>
        <v/>
      </c>
      <c r="X25">
        <f>IF(L24&lt;=0,0,MIN(AQ25,L$7+IF(L$2=$AA25,$AC25,IF(L$2=$AF25,$AG25,0))))</f>
        <v/>
      </c>
      <c r="Y25">
        <f>IF(M24&lt;=0,0,MIN(AR25,M$7+IF(M$2=$AA25,$AC25,IF(M$2=$AF25,$AG25,0))))</f>
        <v/>
      </c>
      <c r="Z25">
        <f>IF(N24&lt;=0,0,MIN(AS25,N$7+IF(N$2=$AA25,$AC25,IF(N$2=$AF25,$AG25,0))))</f>
        <v/>
      </c>
      <c r="AA25">
        <f>IFERROR(ROUND(1/SUMPRODUCT(MAX((C24:N24&gt;0)*($C$3:$N$3&lt;=B25)/$C$2:$N$2)),0),0)</f>
        <v/>
      </c>
      <c r="AB25">
        <f>SUMPRODUCT((C24:N24&gt;0)*$C$7:$N$7)</f>
        <v/>
      </c>
      <c r="AC25">
        <f>MAX(0,Plan!$C$5-AB25)+IF(A25=Plan!$C$8,N(Plan!$C$7),0)</f>
        <v/>
      </c>
      <c r="AD25">
        <f>SUM(C25:N25)</f>
        <v/>
      </c>
      <c r="AE25">
        <f>SUM(O25:Z25)</f>
        <v/>
      </c>
      <c r="AF25">
        <f>IFERROR(ROUND(1/SUMPRODUCT(MAX((C24:N24&gt;0)*($C$3:$N$3&lt;=B25)*($C$2:$N$2&gt;AA25)/$C$2:$N$2)),0),0)</f>
        <v/>
      </c>
      <c r="AG25">
        <f>MAX(0,AC25-MAX(0,SUMPRODUCT(($C$2:$N$2=AA25)*(AH25:AS25-$C$7:$N$7))))</f>
        <v/>
      </c>
      <c r="AH25">
        <f>IF(C24&lt;=0,0,ROUND(C24*(1+IF(AND(C$6&gt;0,$B25&lt;C$6),C$4,C$5)/12),2))</f>
        <v/>
      </c>
      <c r="AI25">
        <f>IF(D24&lt;=0,0,ROUND(D24*(1+IF(AND(D$6&gt;0,$B25&lt;D$6),D$4,D$5)/12),2))</f>
        <v/>
      </c>
      <c r="AJ25">
        <f>IF(E24&lt;=0,0,ROUND(E24*(1+IF(AND(E$6&gt;0,$B25&lt;E$6),E$4,E$5)/12),2))</f>
        <v/>
      </c>
      <c r="AK25">
        <f>IF(F24&lt;=0,0,ROUND(F24*(1+IF(AND(F$6&gt;0,$B25&lt;F$6),F$4,F$5)/12),2))</f>
        <v/>
      </c>
      <c r="AL25">
        <f>IF(G24&lt;=0,0,ROUND(G24*(1+IF(AND(G$6&gt;0,$B25&lt;G$6),G$4,G$5)/12),2))</f>
        <v/>
      </c>
      <c r="AM25">
        <f>IF(H24&lt;=0,0,ROUND(H24*(1+IF(AND(H$6&gt;0,$B25&lt;H$6),H$4,H$5)/12),2))</f>
        <v/>
      </c>
      <c r="AN25">
        <f>IF(I24&lt;=0,0,ROUND(I24*(1+IF(AND(I$6&gt;0,$B25&lt;I$6),I$4,I$5)/12),2))</f>
        <v/>
      </c>
      <c r="AO25">
        <f>IF(J24&lt;=0,0,ROUND(J24*(1+IF(AND(J$6&gt;0,$B25&lt;J$6),J$4,J$5)/12),2))</f>
        <v/>
      </c>
      <c r="AP25">
        <f>IF(K24&lt;=0,0,ROUND(K24*(1+IF(AND(K$6&gt;0,$B25&lt;K$6),K$4,K$5)/12),2))</f>
        <v/>
      </c>
      <c r="AQ25">
        <f>IF(L24&lt;=0,0,ROUND(L24*(1+IF(AND(L$6&gt;0,$B25&lt;L$6),L$4,L$5)/12),2))</f>
        <v/>
      </c>
      <c r="AR25">
        <f>IF(M24&lt;=0,0,ROUND(M24*(1+IF(AND(M$6&gt;0,$B25&lt;M$6),M$4,M$5)/12),2))</f>
        <v/>
      </c>
      <c r="AS25">
        <f>IF(N24&lt;=0,0,ROUND(N24*(1+IF(AND(N$6&gt;0,$B25&lt;N$6),N$4,N$5)/12),2))</f>
        <v/>
      </c>
    </row>
    <row r="26">
      <c r="A26" t="n">
        <v>15</v>
      </c>
      <c r="B26">
        <f>EDATE(Plan!$C$6,14)</f>
        <v/>
      </c>
      <c r="C26">
        <f>IF(C25&lt;=0,0,MAX(0,AH26-O26))</f>
        <v/>
      </c>
      <c r="D26">
        <f>IF(D25&lt;=0,0,MAX(0,AI26-P26))</f>
        <v/>
      </c>
      <c r="E26">
        <f>IF(E25&lt;=0,0,MAX(0,AJ26-Q26))</f>
        <v/>
      </c>
      <c r="F26">
        <f>IF(F25&lt;=0,0,MAX(0,AK26-R26))</f>
        <v/>
      </c>
      <c r="G26">
        <f>IF(G25&lt;=0,0,MAX(0,AL26-S26))</f>
        <v/>
      </c>
      <c r="H26">
        <f>IF(H25&lt;=0,0,MAX(0,AM26-T26))</f>
        <v/>
      </c>
      <c r="I26">
        <f>IF(I25&lt;=0,0,MAX(0,AN26-U26))</f>
        <v/>
      </c>
      <c r="J26">
        <f>IF(J25&lt;=0,0,MAX(0,AO26-V26))</f>
        <v/>
      </c>
      <c r="K26">
        <f>IF(K25&lt;=0,0,MAX(0,AP26-W26))</f>
        <v/>
      </c>
      <c r="L26">
        <f>IF(L25&lt;=0,0,MAX(0,AQ26-X26))</f>
        <v/>
      </c>
      <c r="M26">
        <f>IF(M25&lt;=0,0,MAX(0,AR26-Y26))</f>
        <v/>
      </c>
      <c r="N26">
        <f>IF(N25&lt;=0,0,MAX(0,AS26-Z26))</f>
        <v/>
      </c>
      <c r="O26">
        <f>IF(C25&lt;=0,0,MIN(AH26,C$7+IF(C$2=$AA26,$AC26,IF(C$2=$AF26,$AG26,0))))</f>
        <v/>
      </c>
      <c r="P26">
        <f>IF(D25&lt;=0,0,MIN(AI26,D$7+IF(D$2=$AA26,$AC26,IF(D$2=$AF26,$AG26,0))))</f>
        <v/>
      </c>
      <c r="Q26">
        <f>IF(E25&lt;=0,0,MIN(AJ26,E$7+IF(E$2=$AA26,$AC26,IF(E$2=$AF26,$AG26,0))))</f>
        <v/>
      </c>
      <c r="R26">
        <f>IF(F25&lt;=0,0,MIN(AK26,F$7+IF(F$2=$AA26,$AC26,IF(F$2=$AF26,$AG26,0))))</f>
        <v/>
      </c>
      <c r="S26">
        <f>IF(G25&lt;=0,0,MIN(AL26,G$7+IF(G$2=$AA26,$AC26,IF(G$2=$AF26,$AG26,0))))</f>
        <v/>
      </c>
      <c r="T26">
        <f>IF(H25&lt;=0,0,MIN(AM26,H$7+IF(H$2=$AA26,$AC26,IF(H$2=$AF26,$AG26,0))))</f>
        <v/>
      </c>
      <c r="U26">
        <f>IF(I25&lt;=0,0,MIN(AN26,I$7+IF(I$2=$AA26,$AC26,IF(I$2=$AF26,$AG26,0))))</f>
        <v/>
      </c>
      <c r="V26">
        <f>IF(J25&lt;=0,0,MIN(AO26,J$7+IF(J$2=$AA26,$AC26,IF(J$2=$AF26,$AG26,0))))</f>
        <v/>
      </c>
      <c r="W26">
        <f>IF(K25&lt;=0,0,MIN(AP26,K$7+IF(K$2=$AA26,$AC26,IF(K$2=$AF26,$AG26,0))))</f>
        <v/>
      </c>
      <c r="X26">
        <f>IF(L25&lt;=0,0,MIN(AQ26,L$7+IF(L$2=$AA26,$AC26,IF(L$2=$AF26,$AG26,0))))</f>
        <v/>
      </c>
      <c r="Y26">
        <f>IF(M25&lt;=0,0,MIN(AR26,M$7+IF(M$2=$AA26,$AC26,IF(M$2=$AF26,$AG26,0))))</f>
        <v/>
      </c>
      <c r="Z26">
        <f>IF(N25&lt;=0,0,MIN(AS26,N$7+IF(N$2=$AA26,$AC26,IF(N$2=$AF26,$AG26,0))))</f>
        <v/>
      </c>
      <c r="AA26">
        <f>IFERROR(ROUND(1/SUMPRODUCT(MAX((C25:N25&gt;0)*($C$3:$N$3&lt;=B26)/$C$2:$N$2)),0),0)</f>
        <v/>
      </c>
      <c r="AB26">
        <f>SUMPRODUCT((C25:N25&gt;0)*$C$7:$N$7)</f>
        <v/>
      </c>
      <c r="AC26">
        <f>MAX(0,Plan!$C$5-AB26)+IF(A26=Plan!$C$8,N(Plan!$C$7),0)</f>
        <v/>
      </c>
      <c r="AD26">
        <f>SUM(C26:N26)</f>
        <v/>
      </c>
      <c r="AE26">
        <f>SUM(O26:Z26)</f>
        <v/>
      </c>
      <c r="AF26">
        <f>IFERROR(ROUND(1/SUMPRODUCT(MAX((C25:N25&gt;0)*($C$3:$N$3&lt;=B26)*($C$2:$N$2&gt;AA26)/$C$2:$N$2)),0),0)</f>
        <v/>
      </c>
      <c r="AG26">
        <f>MAX(0,AC26-MAX(0,SUMPRODUCT(($C$2:$N$2=AA26)*(AH26:AS26-$C$7:$N$7))))</f>
        <v/>
      </c>
      <c r="AH26">
        <f>IF(C25&lt;=0,0,ROUND(C25*(1+IF(AND(C$6&gt;0,$B26&lt;C$6),C$4,C$5)/12),2))</f>
        <v/>
      </c>
      <c r="AI26">
        <f>IF(D25&lt;=0,0,ROUND(D25*(1+IF(AND(D$6&gt;0,$B26&lt;D$6),D$4,D$5)/12),2))</f>
        <v/>
      </c>
      <c r="AJ26">
        <f>IF(E25&lt;=0,0,ROUND(E25*(1+IF(AND(E$6&gt;0,$B26&lt;E$6),E$4,E$5)/12),2))</f>
        <v/>
      </c>
      <c r="AK26">
        <f>IF(F25&lt;=0,0,ROUND(F25*(1+IF(AND(F$6&gt;0,$B26&lt;F$6),F$4,F$5)/12),2))</f>
        <v/>
      </c>
      <c r="AL26">
        <f>IF(G25&lt;=0,0,ROUND(G25*(1+IF(AND(G$6&gt;0,$B26&lt;G$6),G$4,G$5)/12),2))</f>
        <v/>
      </c>
      <c r="AM26">
        <f>IF(H25&lt;=0,0,ROUND(H25*(1+IF(AND(H$6&gt;0,$B26&lt;H$6),H$4,H$5)/12),2))</f>
        <v/>
      </c>
      <c r="AN26">
        <f>IF(I25&lt;=0,0,ROUND(I25*(1+IF(AND(I$6&gt;0,$B26&lt;I$6),I$4,I$5)/12),2))</f>
        <v/>
      </c>
      <c r="AO26">
        <f>IF(J25&lt;=0,0,ROUND(J25*(1+IF(AND(J$6&gt;0,$B26&lt;J$6),J$4,J$5)/12),2))</f>
        <v/>
      </c>
      <c r="AP26">
        <f>IF(K25&lt;=0,0,ROUND(K25*(1+IF(AND(K$6&gt;0,$B26&lt;K$6),K$4,K$5)/12),2))</f>
        <v/>
      </c>
      <c r="AQ26">
        <f>IF(L25&lt;=0,0,ROUND(L25*(1+IF(AND(L$6&gt;0,$B26&lt;L$6),L$4,L$5)/12),2))</f>
        <v/>
      </c>
      <c r="AR26">
        <f>IF(M25&lt;=0,0,ROUND(M25*(1+IF(AND(M$6&gt;0,$B26&lt;M$6),M$4,M$5)/12),2))</f>
        <v/>
      </c>
      <c r="AS26">
        <f>IF(N25&lt;=0,0,ROUND(N25*(1+IF(AND(N$6&gt;0,$B26&lt;N$6),N$4,N$5)/12),2))</f>
        <v/>
      </c>
    </row>
    <row r="27">
      <c r="A27" t="n">
        <v>16</v>
      </c>
      <c r="B27">
        <f>EDATE(Plan!$C$6,15)</f>
        <v/>
      </c>
      <c r="C27">
        <f>IF(C26&lt;=0,0,MAX(0,AH27-O27))</f>
        <v/>
      </c>
      <c r="D27">
        <f>IF(D26&lt;=0,0,MAX(0,AI27-P27))</f>
        <v/>
      </c>
      <c r="E27">
        <f>IF(E26&lt;=0,0,MAX(0,AJ27-Q27))</f>
        <v/>
      </c>
      <c r="F27">
        <f>IF(F26&lt;=0,0,MAX(0,AK27-R27))</f>
        <v/>
      </c>
      <c r="G27">
        <f>IF(G26&lt;=0,0,MAX(0,AL27-S27))</f>
        <v/>
      </c>
      <c r="H27">
        <f>IF(H26&lt;=0,0,MAX(0,AM27-T27))</f>
        <v/>
      </c>
      <c r="I27">
        <f>IF(I26&lt;=0,0,MAX(0,AN27-U27))</f>
        <v/>
      </c>
      <c r="J27">
        <f>IF(J26&lt;=0,0,MAX(0,AO27-V27))</f>
        <v/>
      </c>
      <c r="K27">
        <f>IF(K26&lt;=0,0,MAX(0,AP27-W27))</f>
        <v/>
      </c>
      <c r="L27">
        <f>IF(L26&lt;=0,0,MAX(0,AQ27-X27))</f>
        <v/>
      </c>
      <c r="M27">
        <f>IF(M26&lt;=0,0,MAX(0,AR27-Y27))</f>
        <v/>
      </c>
      <c r="N27">
        <f>IF(N26&lt;=0,0,MAX(0,AS27-Z27))</f>
        <v/>
      </c>
      <c r="O27">
        <f>IF(C26&lt;=0,0,MIN(AH27,C$7+IF(C$2=$AA27,$AC27,IF(C$2=$AF27,$AG27,0))))</f>
        <v/>
      </c>
      <c r="P27">
        <f>IF(D26&lt;=0,0,MIN(AI27,D$7+IF(D$2=$AA27,$AC27,IF(D$2=$AF27,$AG27,0))))</f>
        <v/>
      </c>
      <c r="Q27">
        <f>IF(E26&lt;=0,0,MIN(AJ27,E$7+IF(E$2=$AA27,$AC27,IF(E$2=$AF27,$AG27,0))))</f>
        <v/>
      </c>
      <c r="R27">
        <f>IF(F26&lt;=0,0,MIN(AK27,F$7+IF(F$2=$AA27,$AC27,IF(F$2=$AF27,$AG27,0))))</f>
        <v/>
      </c>
      <c r="S27">
        <f>IF(G26&lt;=0,0,MIN(AL27,G$7+IF(G$2=$AA27,$AC27,IF(G$2=$AF27,$AG27,0))))</f>
        <v/>
      </c>
      <c r="T27">
        <f>IF(H26&lt;=0,0,MIN(AM27,H$7+IF(H$2=$AA27,$AC27,IF(H$2=$AF27,$AG27,0))))</f>
        <v/>
      </c>
      <c r="U27">
        <f>IF(I26&lt;=0,0,MIN(AN27,I$7+IF(I$2=$AA27,$AC27,IF(I$2=$AF27,$AG27,0))))</f>
        <v/>
      </c>
      <c r="V27">
        <f>IF(J26&lt;=0,0,MIN(AO27,J$7+IF(J$2=$AA27,$AC27,IF(J$2=$AF27,$AG27,0))))</f>
        <v/>
      </c>
      <c r="W27">
        <f>IF(K26&lt;=0,0,MIN(AP27,K$7+IF(K$2=$AA27,$AC27,IF(K$2=$AF27,$AG27,0))))</f>
        <v/>
      </c>
      <c r="X27">
        <f>IF(L26&lt;=0,0,MIN(AQ27,L$7+IF(L$2=$AA27,$AC27,IF(L$2=$AF27,$AG27,0))))</f>
        <v/>
      </c>
      <c r="Y27">
        <f>IF(M26&lt;=0,0,MIN(AR27,M$7+IF(M$2=$AA27,$AC27,IF(M$2=$AF27,$AG27,0))))</f>
        <v/>
      </c>
      <c r="Z27">
        <f>IF(N26&lt;=0,0,MIN(AS27,N$7+IF(N$2=$AA27,$AC27,IF(N$2=$AF27,$AG27,0))))</f>
        <v/>
      </c>
      <c r="AA27">
        <f>IFERROR(ROUND(1/SUMPRODUCT(MAX((C26:N26&gt;0)*($C$3:$N$3&lt;=B27)/$C$2:$N$2)),0),0)</f>
        <v/>
      </c>
      <c r="AB27">
        <f>SUMPRODUCT((C26:N26&gt;0)*$C$7:$N$7)</f>
        <v/>
      </c>
      <c r="AC27">
        <f>MAX(0,Plan!$C$5-AB27)+IF(A27=Plan!$C$8,N(Plan!$C$7),0)</f>
        <v/>
      </c>
      <c r="AD27">
        <f>SUM(C27:N27)</f>
        <v/>
      </c>
      <c r="AE27">
        <f>SUM(O27:Z27)</f>
        <v/>
      </c>
      <c r="AF27">
        <f>IFERROR(ROUND(1/SUMPRODUCT(MAX((C26:N26&gt;0)*($C$3:$N$3&lt;=B27)*($C$2:$N$2&gt;AA27)/$C$2:$N$2)),0),0)</f>
        <v/>
      </c>
      <c r="AG27">
        <f>MAX(0,AC27-MAX(0,SUMPRODUCT(($C$2:$N$2=AA27)*(AH27:AS27-$C$7:$N$7))))</f>
        <v/>
      </c>
      <c r="AH27">
        <f>IF(C26&lt;=0,0,ROUND(C26*(1+IF(AND(C$6&gt;0,$B27&lt;C$6),C$4,C$5)/12),2))</f>
        <v/>
      </c>
      <c r="AI27">
        <f>IF(D26&lt;=0,0,ROUND(D26*(1+IF(AND(D$6&gt;0,$B27&lt;D$6),D$4,D$5)/12),2))</f>
        <v/>
      </c>
      <c r="AJ27">
        <f>IF(E26&lt;=0,0,ROUND(E26*(1+IF(AND(E$6&gt;0,$B27&lt;E$6),E$4,E$5)/12),2))</f>
        <v/>
      </c>
      <c r="AK27">
        <f>IF(F26&lt;=0,0,ROUND(F26*(1+IF(AND(F$6&gt;0,$B27&lt;F$6),F$4,F$5)/12),2))</f>
        <v/>
      </c>
      <c r="AL27">
        <f>IF(G26&lt;=0,0,ROUND(G26*(1+IF(AND(G$6&gt;0,$B27&lt;G$6),G$4,G$5)/12),2))</f>
        <v/>
      </c>
      <c r="AM27">
        <f>IF(H26&lt;=0,0,ROUND(H26*(1+IF(AND(H$6&gt;0,$B27&lt;H$6),H$4,H$5)/12),2))</f>
        <v/>
      </c>
      <c r="AN27">
        <f>IF(I26&lt;=0,0,ROUND(I26*(1+IF(AND(I$6&gt;0,$B27&lt;I$6),I$4,I$5)/12),2))</f>
        <v/>
      </c>
      <c r="AO27">
        <f>IF(J26&lt;=0,0,ROUND(J26*(1+IF(AND(J$6&gt;0,$B27&lt;J$6),J$4,J$5)/12),2))</f>
        <v/>
      </c>
      <c r="AP27">
        <f>IF(K26&lt;=0,0,ROUND(K26*(1+IF(AND(K$6&gt;0,$B27&lt;K$6),K$4,K$5)/12),2))</f>
        <v/>
      </c>
      <c r="AQ27">
        <f>IF(L26&lt;=0,0,ROUND(L26*(1+IF(AND(L$6&gt;0,$B27&lt;L$6),L$4,L$5)/12),2))</f>
        <v/>
      </c>
      <c r="AR27">
        <f>IF(M26&lt;=0,0,ROUND(M26*(1+IF(AND(M$6&gt;0,$B27&lt;M$6),M$4,M$5)/12),2))</f>
        <v/>
      </c>
      <c r="AS27">
        <f>IF(N26&lt;=0,0,ROUND(N26*(1+IF(AND(N$6&gt;0,$B27&lt;N$6),N$4,N$5)/12),2))</f>
        <v/>
      </c>
    </row>
    <row r="28">
      <c r="A28" t="n">
        <v>17</v>
      </c>
      <c r="B28">
        <f>EDATE(Plan!$C$6,16)</f>
        <v/>
      </c>
      <c r="C28">
        <f>IF(C27&lt;=0,0,MAX(0,AH28-O28))</f>
        <v/>
      </c>
      <c r="D28">
        <f>IF(D27&lt;=0,0,MAX(0,AI28-P28))</f>
        <v/>
      </c>
      <c r="E28">
        <f>IF(E27&lt;=0,0,MAX(0,AJ28-Q28))</f>
        <v/>
      </c>
      <c r="F28">
        <f>IF(F27&lt;=0,0,MAX(0,AK28-R28))</f>
        <v/>
      </c>
      <c r="G28">
        <f>IF(G27&lt;=0,0,MAX(0,AL28-S28))</f>
        <v/>
      </c>
      <c r="H28">
        <f>IF(H27&lt;=0,0,MAX(0,AM28-T28))</f>
        <v/>
      </c>
      <c r="I28">
        <f>IF(I27&lt;=0,0,MAX(0,AN28-U28))</f>
        <v/>
      </c>
      <c r="J28">
        <f>IF(J27&lt;=0,0,MAX(0,AO28-V28))</f>
        <v/>
      </c>
      <c r="K28">
        <f>IF(K27&lt;=0,0,MAX(0,AP28-W28))</f>
        <v/>
      </c>
      <c r="L28">
        <f>IF(L27&lt;=0,0,MAX(0,AQ28-X28))</f>
        <v/>
      </c>
      <c r="M28">
        <f>IF(M27&lt;=0,0,MAX(0,AR28-Y28))</f>
        <v/>
      </c>
      <c r="N28">
        <f>IF(N27&lt;=0,0,MAX(0,AS28-Z28))</f>
        <v/>
      </c>
      <c r="O28">
        <f>IF(C27&lt;=0,0,MIN(AH28,C$7+IF(C$2=$AA28,$AC28,IF(C$2=$AF28,$AG28,0))))</f>
        <v/>
      </c>
      <c r="P28">
        <f>IF(D27&lt;=0,0,MIN(AI28,D$7+IF(D$2=$AA28,$AC28,IF(D$2=$AF28,$AG28,0))))</f>
        <v/>
      </c>
      <c r="Q28">
        <f>IF(E27&lt;=0,0,MIN(AJ28,E$7+IF(E$2=$AA28,$AC28,IF(E$2=$AF28,$AG28,0))))</f>
        <v/>
      </c>
      <c r="R28">
        <f>IF(F27&lt;=0,0,MIN(AK28,F$7+IF(F$2=$AA28,$AC28,IF(F$2=$AF28,$AG28,0))))</f>
        <v/>
      </c>
      <c r="S28">
        <f>IF(G27&lt;=0,0,MIN(AL28,G$7+IF(G$2=$AA28,$AC28,IF(G$2=$AF28,$AG28,0))))</f>
        <v/>
      </c>
      <c r="T28">
        <f>IF(H27&lt;=0,0,MIN(AM28,H$7+IF(H$2=$AA28,$AC28,IF(H$2=$AF28,$AG28,0))))</f>
        <v/>
      </c>
      <c r="U28">
        <f>IF(I27&lt;=0,0,MIN(AN28,I$7+IF(I$2=$AA28,$AC28,IF(I$2=$AF28,$AG28,0))))</f>
        <v/>
      </c>
      <c r="V28">
        <f>IF(J27&lt;=0,0,MIN(AO28,J$7+IF(J$2=$AA28,$AC28,IF(J$2=$AF28,$AG28,0))))</f>
        <v/>
      </c>
      <c r="W28">
        <f>IF(K27&lt;=0,0,MIN(AP28,K$7+IF(K$2=$AA28,$AC28,IF(K$2=$AF28,$AG28,0))))</f>
        <v/>
      </c>
      <c r="X28">
        <f>IF(L27&lt;=0,0,MIN(AQ28,L$7+IF(L$2=$AA28,$AC28,IF(L$2=$AF28,$AG28,0))))</f>
        <v/>
      </c>
      <c r="Y28">
        <f>IF(M27&lt;=0,0,MIN(AR28,M$7+IF(M$2=$AA28,$AC28,IF(M$2=$AF28,$AG28,0))))</f>
        <v/>
      </c>
      <c r="Z28">
        <f>IF(N27&lt;=0,0,MIN(AS28,N$7+IF(N$2=$AA28,$AC28,IF(N$2=$AF28,$AG28,0))))</f>
        <v/>
      </c>
      <c r="AA28">
        <f>IFERROR(ROUND(1/SUMPRODUCT(MAX((C27:N27&gt;0)*($C$3:$N$3&lt;=B28)/$C$2:$N$2)),0),0)</f>
        <v/>
      </c>
      <c r="AB28">
        <f>SUMPRODUCT((C27:N27&gt;0)*$C$7:$N$7)</f>
        <v/>
      </c>
      <c r="AC28">
        <f>MAX(0,Plan!$C$5-AB28)+IF(A28=Plan!$C$8,N(Plan!$C$7),0)</f>
        <v/>
      </c>
      <c r="AD28">
        <f>SUM(C28:N28)</f>
        <v/>
      </c>
      <c r="AE28">
        <f>SUM(O28:Z28)</f>
        <v/>
      </c>
      <c r="AF28">
        <f>IFERROR(ROUND(1/SUMPRODUCT(MAX((C27:N27&gt;0)*($C$3:$N$3&lt;=B28)*($C$2:$N$2&gt;AA28)/$C$2:$N$2)),0),0)</f>
        <v/>
      </c>
      <c r="AG28">
        <f>MAX(0,AC28-MAX(0,SUMPRODUCT(($C$2:$N$2=AA28)*(AH28:AS28-$C$7:$N$7))))</f>
        <v/>
      </c>
      <c r="AH28">
        <f>IF(C27&lt;=0,0,ROUND(C27*(1+IF(AND(C$6&gt;0,$B28&lt;C$6),C$4,C$5)/12),2))</f>
        <v/>
      </c>
      <c r="AI28">
        <f>IF(D27&lt;=0,0,ROUND(D27*(1+IF(AND(D$6&gt;0,$B28&lt;D$6),D$4,D$5)/12),2))</f>
        <v/>
      </c>
      <c r="AJ28">
        <f>IF(E27&lt;=0,0,ROUND(E27*(1+IF(AND(E$6&gt;0,$B28&lt;E$6),E$4,E$5)/12),2))</f>
        <v/>
      </c>
      <c r="AK28">
        <f>IF(F27&lt;=0,0,ROUND(F27*(1+IF(AND(F$6&gt;0,$B28&lt;F$6),F$4,F$5)/12),2))</f>
        <v/>
      </c>
      <c r="AL28">
        <f>IF(G27&lt;=0,0,ROUND(G27*(1+IF(AND(G$6&gt;0,$B28&lt;G$6),G$4,G$5)/12),2))</f>
        <v/>
      </c>
      <c r="AM28">
        <f>IF(H27&lt;=0,0,ROUND(H27*(1+IF(AND(H$6&gt;0,$B28&lt;H$6),H$4,H$5)/12),2))</f>
        <v/>
      </c>
      <c r="AN28">
        <f>IF(I27&lt;=0,0,ROUND(I27*(1+IF(AND(I$6&gt;0,$B28&lt;I$6),I$4,I$5)/12),2))</f>
        <v/>
      </c>
      <c r="AO28">
        <f>IF(J27&lt;=0,0,ROUND(J27*(1+IF(AND(J$6&gt;0,$B28&lt;J$6),J$4,J$5)/12),2))</f>
        <v/>
      </c>
      <c r="AP28">
        <f>IF(K27&lt;=0,0,ROUND(K27*(1+IF(AND(K$6&gt;0,$B28&lt;K$6),K$4,K$5)/12),2))</f>
        <v/>
      </c>
      <c r="AQ28">
        <f>IF(L27&lt;=0,0,ROUND(L27*(1+IF(AND(L$6&gt;0,$B28&lt;L$6),L$4,L$5)/12),2))</f>
        <v/>
      </c>
      <c r="AR28">
        <f>IF(M27&lt;=0,0,ROUND(M27*(1+IF(AND(M$6&gt;0,$B28&lt;M$6),M$4,M$5)/12),2))</f>
        <v/>
      </c>
      <c r="AS28">
        <f>IF(N27&lt;=0,0,ROUND(N27*(1+IF(AND(N$6&gt;0,$B28&lt;N$6),N$4,N$5)/12),2))</f>
        <v/>
      </c>
    </row>
    <row r="29">
      <c r="A29" t="n">
        <v>18</v>
      </c>
      <c r="B29">
        <f>EDATE(Plan!$C$6,17)</f>
        <v/>
      </c>
      <c r="C29">
        <f>IF(C28&lt;=0,0,MAX(0,AH29-O29))</f>
        <v/>
      </c>
      <c r="D29">
        <f>IF(D28&lt;=0,0,MAX(0,AI29-P29))</f>
        <v/>
      </c>
      <c r="E29">
        <f>IF(E28&lt;=0,0,MAX(0,AJ29-Q29))</f>
        <v/>
      </c>
      <c r="F29">
        <f>IF(F28&lt;=0,0,MAX(0,AK29-R29))</f>
        <v/>
      </c>
      <c r="G29">
        <f>IF(G28&lt;=0,0,MAX(0,AL29-S29))</f>
        <v/>
      </c>
      <c r="H29">
        <f>IF(H28&lt;=0,0,MAX(0,AM29-T29))</f>
        <v/>
      </c>
      <c r="I29">
        <f>IF(I28&lt;=0,0,MAX(0,AN29-U29))</f>
        <v/>
      </c>
      <c r="J29">
        <f>IF(J28&lt;=0,0,MAX(0,AO29-V29))</f>
        <v/>
      </c>
      <c r="K29">
        <f>IF(K28&lt;=0,0,MAX(0,AP29-W29))</f>
        <v/>
      </c>
      <c r="L29">
        <f>IF(L28&lt;=0,0,MAX(0,AQ29-X29))</f>
        <v/>
      </c>
      <c r="M29">
        <f>IF(M28&lt;=0,0,MAX(0,AR29-Y29))</f>
        <v/>
      </c>
      <c r="N29">
        <f>IF(N28&lt;=0,0,MAX(0,AS29-Z29))</f>
        <v/>
      </c>
      <c r="O29">
        <f>IF(C28&lt;=0,0,MIN(AH29,C$7+IF(C$2=$AA29,$AC29,IF(C$2=$AF29,$AG29,0))))</f>
        <v/>
      </c>
      <c r="P29">
        <f>IF(D28&lt;=0,0,MIN(AI29,D$7+IF(D$2=$AA29,$AC29,IF(D$2=$AF29,$AG29,0))))</f>
        <v/>
      </c>
      <c r="Q29">
        <f>IF(E28&lt;=0,0,MIN(AJ29,E$7+IF(E$2=$AA29,$AC29,IF(E$2=$AF29,$AG29,0))))</f>
        <v/>
      </c>
      <c r="R29">
        <f>IF(F28&lt;=0,0,MIN(AK29,F$7+IF(F$2=$AA29,$AC29,IF(F$2=$AF29,$AG29,0))))</f>
        <v/>
      </c>
      <c r="S29">
        <f>IF(G28&lt;=0,0,MIN(AL29,G$7+IF(G$2=$AA29,$AC29,IF(G$2=$AF29,$AG29,0))))</f>
        <v/>
      </c>
      <c r="T29">
        <f>IF(H28&lt;=0,0,MIN(AM29,H$7+IF(H$2=$AA29,$AC29,IF(H$2=$AF29,$AG29,0))))</f>
        <v/>
      </c>
      <c r="U29">
        <f>IF(I28&lt;=0,0,MIN(AN29,I$7+IF(I$2=$AA29,$AC29,IF(I$2=$AF29,$AG29,0))))</f>
        <v/>
      </c>
      <c r="V29">
        <f>IF(J28&lt;=0,0,MIN(AO29,J$7+IF(J$2=$AA29,$AC29,IF(J$2=$AF29,$AG29,0))))</f>
        <v/>
      </c>
      <c r="W29">
        <f>IF(K28&lt;=0,0,MIN(AP29,K$7+IF(K$2=$AA29,$AC29,IF(K$2=$AF29,$AG29,0))))</f>
        <v/>
      </c>
      <c r="X29">
        <f>IF(L28&lt;=0,0,MIN(AQ29,L$7+IF(L$2=$AA29,$AC29,IF(L$2=$AF29,$AG29,0))))</f>
        <v/>
      </c>
      <c r="Y29">
        <f>IF(M28&lt;=0,0,MIN(AR29,M$7+IF(M$2=$AA29,$AC29,IF(M$2=$AF29,$AG29,0))))</f>
        <v/>
      </c>
      <c r="Z29">
        <f>IF(N28&lt;=0,0,MIN(AS29,N$7+IF(N$2=$AA29,$AC29,IF(N$2=$AF29,$AG29,0))))</f>
        <v/>
      </c>
      <c r="AA29">
        <f>IFERROR(ROUND(1/SUMPRODUCT(MAX((C28:N28&gt;0)*($C$3:$N$3&lt;=B29)/$C$2:$N$2)),0),0)</f>
        <v/>
      </c>
      <c r="AB29">
        <f>SUMPRODUCT((C28:N28&gt;0)*$C$7:$N$7)</f>
        <v/>
      </c>
      <c r="AC29">
        <f>MAX(0,Plan!$C$5-AB29)+IF(A29=Plan!$C$8,N(Plan!$C$7),0)</f>
        <v/>
      </c>
      <c r="AD29">
        <f>SUM(C29:N29)</f>
        <v/>
      </c>
      <c r="AE29">
        <f>SUM(O29:Z29)</f>
        <v/>
      </c>
      <c r="AF29">
        <f>IFERROR(ROUND(1/SUMPRODUCT(MAX((C28:N28&gt;0)*($C$3:$N$3&lt;=B29)*($C$2:$N$2&gt;AA29)/$C$2:$N$2)),0),0)</f>
        <v/>
      </c>
      <c r="AG29">
        <f>MAX(0,AC29-MAX(0,SUMPRODUCT(($C$2:$N$2=AA29)*(AH29:AS29-$C$7:$N$7))))</f>
        <v/>
      </c>
      <c r="AH29">
        <f>IF(C28&lt;=0,0,ROUND(C28*(1+IF(AND(C$6&gt;0,$B29&lt;C$6),C$4,C$5)/12),2))</f>
        <v/>
      </c>
      <c r="AI29">
        <f>IF(D28&lt;=0,0,ROUND(D28*(1+IF(AND(D$6&gt;0,$B29&lt;D$6),D$4,D$5)/12),2))</f>
        <v/>
      </c>
      <c r="AJ29">
        <f>IF(E28&lt;=0,0,ROUND(E28*(1+IF(AND(E$6&gt;0,$B29&lt;E$6),E$4,E$5)/12),2))</f>
        <v/>
      </c>
      <c r="AK29">
        <f>IF(F28&lt;=0,0,ROUND(F28*(1+IF(AND(F$6&gt;0,$B29&lt;F$6),F$4,F$5)/12),2))</f>
        <v/>
      </c>
      <c r="AL29">
        <f>IF(G28&lt;=0,0,ROUND(G28*(1+IF(AND(G$6&gt;0,$B29&lt;G$6),G$4,G$5)/12),2))</f>
        <v/>
      </c>
      <c r="AM29">
        <f>IF(H28&lt;=0,0,ROUND(H28*(1+IF(AND(H$6&gt;0,$B29&lt;H$6),H$4,H$5)/12),2))</f>
        <v/>
      </c>
      <c r="AN29">
        <f>IF(I28&lt;=0,0,ROUND(I28*(1+IF(AND(I$6&gt;0,$B29&lt;I$6),I$4,I$5)/12),2))</f>
        <v/>
      </c>
      <c r="AO29">
        <f>IF(J28&lt;=0,0,ROUND(J28*(1+IF(AND(J$6&gt;0,$B29&lt;J$6),J$4,J$5)/12),2))</f>
        <v/>
      </c>
      <c r="AP29">
        <f>IF(K28&lt;=0,0,ROUND(K28*(1+IF(AND(K$6&gt;0,$B29&lt;K$6),K$4,K$5)/12),2))</f>
        <v/>
      </c>
      <c r="AQ29">
        <f>IF(L28&lt;=0,0,ROUND(L28*(1+IF(AND(L$6&gt;0,$B29&lt;L$6),L$4,L$5)/12),2))</f>
        <v/>
      </c>
      <c r="AR29">
        <f>IF(M28&lt;=0,0,ROUND(M28*(1+IF(AND(M$6&gt;0,$B29&lt;M$6),M$4,M$5)/12),2))</f>
        <v/>
      </c>
      <c r="AS29">
        <f>IF(N28&lt;=0,0,ROUND(N28*(1+IF(AND(N$6&gt;0,$B29&lt;N$6),N$4,N$5)/12),2))</f>
        <v/>
      </c>
    </row>
    <row r="30">
      <c r="A30" t="n">
        <v>19</v>
      </c>
      <c r="B30">
        <f>EDATE(Plan!$C$6,18)</f>
        <v/>
      </c>
      <c r="C30">
        <f>IF(C29&lt;=0,0,MAX(0,AH30-O30))</f>
        <v/>
      </c>
      <c r="D30">
        <f>IF(D29&lt;=0,0,MAX(0,AI30-P30))</f>
        <v/>
      </c>
      <c r="E30">
        <f>IF(E29&lt;=0,0,MAX(0,AJ30-Q30))</f>
        <v/>
      </c>
      <c r="F30">
        <f>IF(F29&lt;=0,0,MAX(0,AK30-R30))</f>
        <v/>
      </c>
      <c r="G30">
        <f>IF(G29&lt;=0,0,MAX(0,AL30-S30))</f>
        <v/>
      </c>
      <c r="H30">
        <f>IF(H29&lt;=0,0,MAX(0,AM30-T30))</f>
        <v/>
      </c>
      <c r="I30">
        <f>IF(I29&lt;=0,0,MAX(0,AN30-U30))</f>
        <v/>
      </c>
      <c r="J30">
        <f>IF(J29&lt;=0,0,MAX(0,AO30-V30))</f>
        <v/>
      </c>
      <c r="K30">
        <f>IF(K29&lt;=0,0,MAX(0,AP30-W30))</f>
        <v/>
      </c>
      <c r="L30">
        <f>IF(L29&lt;=0,0,MAX(0,AQ30-X30))</f>
        <v/>
      </c>
      <c r="M30">
        <f>IF(M29&lt;=0,0,MAX(0,AR30-Y30))</f>
        <v/>
      </c>
      <c r="N30">
        <f>IF(N29&lt;=0,0,MAX(0,AS30-Z30))</f>
        <v/>
      </c>
      <c r="O30">
        <f>IF(C29&lt;=0,0,MIN(AH30,C$7+IF(C$2=$AA30,$AC30,IF(C$2=$AF30,$AG30,0))))</f>
        <v/>
      </c>
      <c r="P30">
        <f>IF(D29&lt;=0,0,MIN(AI30,D$7+IF(D$2=$AA30,$AC30,IF(D$2=$AF30,$AG30,0))))</f>
        <v/>
      </c>
      <c r="Q30">
        <f>IF(E29&lt;=0,0,MIN(AJ30,E$7+IF(E$2=$AA30,$AC30,IF(E$2=$AF30,$AG30,0))))</f>
        <v/>
      </c>
      <c r="R30">
        <f>IF(F29&lt;=0,0,MIN(AK30,F$7+IF(F$2=$AA30,$AC30,IF(F$2=$AF30,$AG30,0))))</f>
        <v/>
      </c>
      <c r="S30">
        <f>IF(G29&lt;=0,0,MIN(AL30,G$7+IF(G$2=$AA30,$AC30,IF(G$2=$AF30,$AG30,0))))</f>
        <v/>
      </c>
      <c r="T30">
        <f>IF(H29&lt;=0,0,MIN(AM30,H$7+IF(H$2=$AA30,$AC30,IF(H$2=$AF30,$AG30,0))))</f>
        <v/>
      </c>
      <c r="U30">
        <f>IF(I29&lt;=0,0,MIN(AN30,I$7+IF(I$2=$AA30,$AC30,IF(I$2=$AF30,$AG30,0))))</f>
        <v/>
      </c>
      <c r="V30">
        <f>IF(J29&lt;=0,0,MIN(AO30,J$7+IF(J$2=$AA30,$AC30,IF(J$2=$AF30,$AG30,0))))</f>
        <v/>
      </c>
      <c r="W30">
        <f>IF(K29&lt;=0,0,MIN(AP30,K$7+IF(K$2=$AA30,$AC30,IF(K$2=$AF30,$AG30,0))))</f>
        <v/>
      </c>
      <c r="X30">
        <f>IF(L29&lt;=0,0,MIN(AQ30,L$7+IF(L$2=$AA30,$AC30,IF(L$2=$AF30,$AG30,0))))</f>
        <v/>
      </c>
      <c r="Y30">
        <f>IF(M29&lt;=0,0,MIN(AR30,M$7+IF(M$2=$AA30,$AC30,IF(M$2=$AF30,$AG30,0))))</f>
        <v/>
      </c>
      <c r="Z30">
        <f>IF(N29&lt;=0,0,MIN(AS30,N$7+IF(N$2=$AA30,$AC30,IF(N$2=$AF30,$AG30,0))))</f>
        <v/>
      </c>
      <c r="AA30">
        <f>IFERROR(ROUND(1/SUMPRODUCT(MAX((C29:N29&gt;0)*($C$3:$N$3&lt;=B30)/$C$2:$N$2)),0),0)</f>
        <v/>
      </c>
      <c r="AB30">
        <f>SUMPRODUCT((C29:N29&gt;0)*$C$7:$N$7)</f>
        <v/>
      </c>
      <c r="AC30">
        <f>MAX(0,Plan!$C$5-AB30)+IF(A30=Plan!$C$8,N(Plan!$C$7),0)</f>
        <v/>
      </c>
      <c r="AD30">
        <f>SUM(C30:N30)</f>
        <v/>
      </c>
      <c r="AE30">
        <f>SUM(O30:Z30)</f>
        <v/>
      </c>
      <c r="AF30">
        <f>IFERROR(ROUND(1/SUMPRODUCT(MAX((C29:N29&gt;0)*($C$3:$N$3&lt;=B30)*($C$2:$N$2&gt;AA30)/$C$2:$N$2)),0),0)</f>
        <v/>
      </c>
      <c r="AG30">
        <f>MAX(0,AC30-MAX(0,SUMPRODUCT(($C$2:$N$2=AA30)*(AH30:AS30-$C$7:$N$7))))</f>
        <v/>
      </c>
      <c r="AH30">
        <f>IF(C29&lt;=0,0,ROUND(C29*(1+IF(AND(C$6&gt;0,$B30&lt;C$6),C$4,C$5)/12),2))</f>
        <v/>
      </c>
      <c r="AI30">
        <f>IF(D29&lt;=0,0,ROUND(D29*(1+IF(AND(D$6&gt;0,$B30&lt;D$6),D$4,D$5)/12),2))</f>
        <v/>
      </c>
      <c r="AJ30">
        <f>IF(E29&lt;=0,0,ROUND(E29*(1+IF(AND(E$6&gt;0,$B30&lt;E$6),E$4,E$5)/12),2))</f>
        <v/>
      </c>
      <c r="AK30">
        <f>IF(F29&lt;=0,0,ROUND(F29*(1+IF(AND(F$6&gt;0,$B30&lt;F$6),F$4,F$5)/12),2))</f>
        <v/>
      </c>
      <c r="AL30">
        <f>IF(G29&lt;=0,0,ROUND(G29*(1+IF(AND(G$6&gt;0,$B30&lt;G$6),G$4,G$5)/12),2))</f>
        <v/>
      </c>
      <c r="AM30">
        <f>IF(H29&lt;=0,0,ROUND(H29*(1+IF(AND(H$6&gt;0,$B30&lt;H$6),H$4,H$5)/12),2))</f>
        <v/>
      </c>
      <c r="AN30">
        <f>IF(I29&lt;=0,0,ROUND(I29*(1+IF(AND(I$6&gt;0,$B30&lt;I$6),I$4,I$5)/12),2))</f>
        <v/>
      </c>
      <c r="AO30">
        <f>IF(J29&lt;=0,0,ROUND(J29*(1+IF(AND(J$6&gt;0,$B30&lt;J$6),J$4,J$5)/12),2))</f>
        <v/>
      </c>
      <c r="AP30">
        <f>IF(K29&lt;=0,0,ROUND(K29*(1+IF(AND(K$6&gt;0,$B30&lt;K$6),K$4,K$5)/12),2))</f>
        <v/>
      </c>
      <c r="AQ30">
        <f>IF(L29&lt;=0,0,ROUND(L29*(1+IF(AND(L$6&gt;0,$B30&lt;L$6),L$4,L$5)/12),2))</f>
        <v/>
      </c>
      <c r="AR30">
        <f>IF(M29&lt;=0,0,ROUND(M29*(1+IF(AND(M$6&gt;0,$B30&lt;M$6),M$4,M$5)/12),2))</f>
        <v/>
      </c>
      <c r="AS30">
        <f>IF(N29&lt;=0,0,ROUND(N29*(1+IF(AND(N$6&gt;0,$B30&lt;N$6),N$4,N$5)/12),2))</f>
        <v/>
      </c>
    </row>
    <row r="31">
      <c r="A31" t="n">
        <v>20</v>
      </c>
      <c r="B31">
        <f>EDATE(Plan!$C$6,19)</f>
        <v/>
      </c>
      <c r="C31">
        <f>IF(C30&lt;=0,0,MAX(0,AH31-O31))</f>
        <v/>
      </c>
      <c r="D31">
        <f>IF(D30&lt;=0,0,MAX(0,AI31-P31))</f>
        <v/>
      </c>
      <c r="E31">
        <f>IF(E30&lt;=0,0,MAX(0,AJ31-Q31))</f>
        <v/>
      </c>
      <c r="F31">
        <f>IF(F30&lt;=0,0,MAX(0,AK31-R31))</f>
        <v/>
      </c>
      <c r="G31">
        <f>IF(G30&lt;=0,0,MAX(0,AL31-S31))</f>
        <v/>
      </c>
      <c r="H31">
        <f>IF(H30&lt;=0,0,MAX(0,AM31-T31))</f>
        <v/>
      </c>
      <c r="I31">
        <f>IF(I30&lt;=0,0,MAX(0,AN31-U31))</f>
        <v/>
      </c>
      <c r="J31">
        <f>IF(J30&lt;=0,0,MAX(0,AO31-V31))</f>
        <v/>
      </c>
      <c r="K31">
        <f>IF(K30&lt;=0,0,MAX(0,AP31-W31))</f>
        <v/>
      </c>
      <c r="L31">
        <f>IF(L30&lt;=0,0,MAX(0,AQ31-X31))</f>
        <v/>
      </c>
      <c r="M31">
        <f>IF(M30&lt;=0,0,MAX(0,AR31-Y31))</f>
        <v/>
      </c>
      <c r="N31">
        <f>IF(N30&lt;=0,0,MAX(0,AS31-Z31))</f>
        <v/>
      </c>
      <c r="O31">
        <f>IF(C30&lt;=0,0,MIN(AH31,C$7+IF(C$2=$AA31,$AC31,IF(C$2=$AF31,$AG31,0))))</f>
        <v/>
      </c>
      <c r="P31">
        <f>IF(D30&lt;=0,0,MIN(AI31,D$7+IF(D$2=$AA31,$AC31,IF(D$2=$AF31,$AG31,0))))</f>
        <v/>
      </c>
      <c r="Q31">
        <f>IF(E30&lt;=0,0,MIN(AJ31,E$7+IF(E$2=$AA31,$AC31,IF(E$2=$AF31,$AG31,0))))</f>
        <v/>
      </c>
      <c r="R31">
        <f>IF(F30&lt;=0,0,MIN(AK31,F$7+IF(F$2=$AA31,$AC31,IF(F$2=$AF31,$AG31,0))))</f>
        <v/>
      </c>
      <c r="S31">
        <f>IF(G30&lt;=0,0,MIN(AL31,G$7+IF(G$2=$AA31,$AC31,IF(G$2=$AF31,$AG31,0))))</f>
        <v/>
      </c>
      <c r="T31">
        <f>IF(H30&lt;=0,0,MIN(AM31,H$7+IF(H$2=$AA31,$AC31,IF(H$2=$AF31,$AG31,0))))</f>
        <v/>
      </c>
      <c r="U31">
        <f>IF(I30&lt;=0,0,MIN(AN31,I$7+IF(I$2=$AA31,$AC31,IF(I$2=$AF31,$AG31,0))))</f>
        <v/>
      </c>
      <c r="V31">
        <f>IF(J30&lt;=0,0,MIN(AO31,J$7+IF(J$2=$AA31,$AC31,IF(J$2=$AF31,$AG31,0))))</f>
        <v/>
      </c>
      <c r="W31">
        <f>IF(K30&lt;=0,0,MIN(AP31,K$7+IF(K$2=$AA31,$AC31,IF(K$2=$AF31,$AG31,0))))</f>
        <v/>
      </c>
      <c r="X31">
        <f>IF(L30&lt;=0,0,MIN(AQ31,L$7+IF(L$2=$AA31,$AC31,IF(L$2=$AF31,$AG31,0))))</f>
        <v/>
      </c>
      <c r="Y31">
        <f>IF(M30&lt;=0,0,MIN(AR31,M$7+IF(M$2=$AA31,$AC31,IF(M$2=$AF31,$AG31,0))))</f>
        <v/>
      </c>
      <c r="Z31">
        <f>IF(N30&lt;=0,0,MIN(AS31,N$7+IF(N$2=$AA31,$AC31,IF(N$2=$AF31,$AG31,0))))</f>
        <v/>
      </c>
      <c r="AA31">
        <f>IFERROR(ROUND(1/SUMPRODUCT(MAX((C30:N30&gt;0)*($C$3:$N$3&lt;=B31)/$C$2:$N$2)),0),0)</f>
        <v/>
      </c>
      <c r="AB31">
        <f>SUMPRODUCT((C30:N30&gt;0)*$C$7:$N$7)</f>
        <v/>
      </c>
      <c r="AC31">
        <f>MAX(0,Plan!$C$5-AB31)+IF(A31=Plan!$C$8,N(Plan!$C$7),0)</f>
        <v/>
      </c>
      <c r="AD31">
        <f>SUM(C31:N31)</f>
        <v/>
      </c>
      <c r="AE31">
        <f>SUM(O31:Z31)</f>
        <v/>
      </c>
      <c r="AF31">
        <f>IFERROR(ROUND(1/SUMPRODUCT(MAX((C30:N30&gt;0)*($C$3:$N$3&lt;=B31)*($C$2:$N$2&gt;AA31)/$C$2:$N$2)),0),0)</f>
        <v/>
      </c>
      <c r="AG31">
        <f>MAX(0,AC31-MAX(0,SUMPRODUCT(($C$2:$N$2=AA31)*(AH31:AS31-$C$7:$N$7))))</f>
        <v/>
      </c>
      <c r="AH31">
        <f>IF(C30&lt;=0,0,ROUND(C30*(1+IF(AND(C$6&gt;0,$B31&lt;C$6),C$4,C$5)/12),2))</f>
        <v/>
      </c>
      <c r="AI31">
        <f>IF(D30&lt;=0,0,ROUND(D30*(1+IF(AND(D$6&gt;0,$B31&lt;D$6),D$4,D$5)/12),2))</f>
        <v/>
      </c>
      <c r="AJ31">
        <f>IF(E30&lt;=0,0,ROUND(E30*(1+IF(AND(E$6&gt;0,$B31&lt;E$6),E$4,E$5)/12),2))</f>
        <v/>
      </c>
      <c r="AK31">
        <f>IF(F30&lt;=0,0,ROUND(F30*(1+IF(AND(F$6&gt;0,$B31&lt;F$6),F$4,F$5)/12),2))</f>
        <v/>
      </c>
      <c r="AL31">
        <f>IF(G30&lt;=0,0,ROUND(G30*(1+IF(AND(G$6&gt;0,$B31&lt;G$6),G$4,G$5)/12),2))</f>
        <v/>
      </c>
      <c r="AM31">
        <f>IF(H30&lt;=0,0,ROUND(H30*(1+IF(AND(H$6&gt;0,$B31&lt;H$6),H$4,H$5)/12),2))</f>
        <v/>
      </c>
      <c r="AN31">
        <f>IF(I30&lt;=0,0,ROUND(I30*(1+IF(AND(I$6&gt;0,$B31&lt;I$6),I$4,I$5)/12),2))</f>
        <v/>
      </c>
      <c r="AO31">
        <f>IF(J30&lt;=0,0,ROUND(J30*(1+IF(AND(J$6&gt;0,$B31&lt;J$6),J$4,J$5)/12),2))</f>
        <v/>
      </c>
      <c r="AP31">
        <f>IF(K30&lt;=0,0,ROUND(K30*(1+IF(AND(K$6&gt;0,$B31&lt;K$6),K$4,K$5)/12),2))</f>
        <v/>
      </c>
      <c r="AQ31">
        <f>IF(L30&lt;=0,0,ROUND(L30*(1+IF(AND(L$6&gt;0,$B31&lt;L$6),L$4,L$5)/12),2))</f>
        <v/>
      </c>
      <c r="AR31">
        <f>IF(M30&lt;=0,0,ROUND(M30*(1+IF(AND(M$6&gt;0,$B31&lt;M$6),M$4,M$5)/12),2))</f>
        <v/>
      </c>
      <c r="AS31">
        <f>IF(N30&lt;=0,0,ROUND(N30*(1+IF(AND(N$6&gt;0,$B31&lt;N$6),N$4,N$5)/12),2))</f>
        <v/>
      </c>
    </row>
    <row r="32">
      <c r="A32" t="n">
        <v>21</v>
      </c>
      <c r="B32">
        <f>EDATE(Plan!$C$6,20)</f>
        <v/>
      </c>
      <c r="C32">
        <f>IF(C31&lt;=0,0,MAX(0,AH32-O32))</f>
        <v/>
      </c>
      <c r="D32">
        <f>IF(D31&lt;=0,0,MAX(0,AI32-P32))</f>
        <v/>
      </c>
      <c r="E32">
        <f>IF(E31&lt;=0,0,MAX(0,AJ32-Q32))</f>
        <v/>
      </c>
      <c r="F32">
        <f>IF(F31&lt;=0,0,MAX(0,AK32-R32))</f>
        <v/>
      </c>
      <c r="G32">
        <f>IF(G31&lt;=0,0,MAX(0,AL32-S32))</f>
        <v/>
      </c>
      <c r="H32">
        <f>IF(H31&lt;=0,0,MAX(0,AM32-T32))</f>
        <v/>
      </c>
      <c r="I32">
        <f>IF(I31&lt;=0,0,MAX(0,AN32-U32))</f>
        <v/>
      </c>
      <c r="J32">
        <f>IF(J31&lt;=0,0,MAX(0,AO32-V32))</f>
        <v/>
      </c>
      <c r="K32">
        <f>IF(K31&lt;=0,0,MAX(0,AP32-W32))</f>
        <v/>
      </c>
      <c r="L32">
        <f>IF(L31&lt;=0,0,MAX(0,AQ32-X32))</f>
        <v/>
      </c>
      <c r="M32">
        <f>IF(M31&lt;=0,0,MAX(0,AR32-Y32))</f>
        <v/>
      </c>
      <c r="N32">
        <f>IF(N31&lt;=0,0,MAX(0,AS32-Z32))</f>
        <v/>
      </c>
      <c r="O32">
        <f>IF(C31&lt;=0,0,MIN(AH32,C$7+IF(C$2=$AA32,$AC32,IF(C$2=$AF32,$AG32,0))))</f>
        <v/>
      </c>
      <c r="P32">
        <f>IF(D31&lt;=0,0,MIN(AI32,D$7+IF(D$2=$AA32,$AC32,IF(D$2=$AF32,$AG32,0))))</f>
        <v/>
      </c>
      <c r="Q32">
        <f>IF(E31&lt;=0,0,MIN(AJ32,E$7+IF(E$2=$AA32,$AC32,IF(E$2=$AF32,$AG32,0))))</f>
        <v/>
      </c>
      <c r="R32">
        <f>IF(F31&lt;=0,0,MIN(AK32,F$7+IF(F$2=$AA32,$AC32,IF(F$2=$AF32,$AG32,0))))</f>
        <v/>
      </c>
      <c r="S32">
        <f>IF(G31&lt;=0,0,MIN(AL32,G$7+IF(G$2=$AA32,$AC32,IF(G$2=$AF32,$AG32,0))))</f>
        <v/>
      </c>
      <c r="T32">
        <f>IF(H31&lt;=0,0,MIN(AM32,H$7+IF(H$2=$AA32,$AC32,IF(H$2=$AF32,$AG32,0))))</f>
        <v/>
      </c>
      <c r="U32">
        <f>IF(I31&lt;=0,0,MIN(AN32,I$7+IF(I$2=$AA32,$AC32,IF(I$2=$AF32,$AG32,0))))</f>
        <v/>
      </c>
      <c r="V32">
        <f>IF(J31&lt;=0,0,MIN(AO32,J$7+IF(J$2=$AA32,$AC32,IF(J$2=$AF32,$AG32,0))))</f>
        <v/>
      </c>
      <c r="W32">
        <f>IF(K31&lt;=0,0,MIN(AP32,K$7+IF(K$2=$AA32,$AC32,IF(K$2=$AF32,$AG32,0))))</f>
        <v/>
      </c>
      <c r="X32">
        <f>IF(L31&lt;=0,0,MIN(AQ32,L$7+IF(L$2=$AA32,$AC32,IF(L$2=$AF32,$AG32,0))))</f>
        <v/>
      </c>
      <c r="Y32">
        <f>IF(M31&lt;=0,0,MIN(AR32,M$7+IF(M$2=$AA32,$AC32,IF(M$2=$AF32,$AG32,0))))</f>
        <v/>
      </c>
      <c r="Z32">
        <f>IF(N31&lt;=0,0,MIN(AS32,N$7+IF(N$2=$AA32,$AC32,IF(N$2=$AF32,$AG32,0))))</f>
        <v/>
      </c>
      <c r="AA32">
        <f>IFERROR(ROUND(1/SUMPRODUCT(MAX((C31:N31&gt;0)*($C$3:$N$3&lt;=B32)/$C$2:$N$2)),0),0)</f>
        <v/>
      </c>
      <c r="AB32">
        <f>SUMPRODUCT((C31:N31&gt;0)*$C$7:$N$7)</f>
        <v/>
      </c>
      <c r="AC32">
        <f>MAX(0,Plan!$C$5-AB32)+IF(A32=Plan!$C$8,N(Plan!$C$7),0)</f>
        <v/>
      </c>
      <c r="AD32">
        <f>SUM(C32:N32)</f>
        <v/>
      </c>
      <c r="AE32">
        <f>SUM(O32:Z32)</f>
        <v/>
      </c>
      <c r="AF32">
        <f>IFERROR(ROUND(1/SUMPRODUCT(MAX((C31:N31&gt;0)*($C$3:$N$3&lt;=B32)*($C$2:$N$2&gt;AA32)/$C$2:$N$2)),0),0)</f>
        <v/>
      </c>
      <c r="AG32">
        <f>MAX(0,AC32-MAX(0,SUMPRODUCT(($C$2:$N$2=AA32)*(AH32:AS32-$C$7:$N$7))))</f>
        <v/>
      </c>
      <c r="AH32">
        <f>IF(C31&lt;=0,0,ROUND(C31*(1+IF(AND(C$6&gt;0,$B32&lt;C$6),C$4,C$5)/12),2))</f>
        <v/>
      </c>
      <c r="AI32">
        <f>IF(D31&lt;=0,0,ROUND(D31*(1+IF(AND(D$6&gt;0,$B32&lt;D$6),D$4,D$5)/12),2))</f>
        <v/>
      </c>
      <c r="AJ32">
        <f>IF(E31&lt;=0,0,ROUND(E31*(1+IF(AND(E$6&gt;0,$B32&lt;E$6),E$4,E$5)/12),2))</f>
        <v/>
      </c>
      <c r="AK32">
        <f>IF(F31&lt;=0,0,ROUND(F31*(1+IF(AND(F$6&gt;0,$B32&lt;F$6),F$4,F$5)/12),2))</f>
        <v/>
      </c>
      <c r="AL32">
        <f>IF(G31&lt;=0,0,ROUND(G31*(1+IF(AND(G$6&gt;0,$B32&lt;G$6),G$4,G$5)/12),2))</f>
        <v/>
      </c>
      <c r="AM32">
        <f>IF(H31&lt;=0,0,ROUND(H31*(1+IF(AND(H$6&gt;0,$B32&lt;H$6),H$4,H$5)/12),2))</f>
        <v/>
      </c>
      <c r="AN32">
        <f>IF(I31&lt;=0,0,ROUND(I31*(1+IF(AND(I$6&gt;0,$B32&lt;I$6),I$4,I$5)/12),2))</f>
        <v/>
      </c>
      <c r="AO32">
        <f>IF(J31&lt;=0,0,ROUND(J31*(1+IF(AND(J$6&gt;0,$B32&lt;J$6),J$4,J$5)/12),2))</f>
        <v/>
      </c>
      <c r="AP32">
        <f>IF(K31&lt;=0,0,ROUND(K31*(1+IF(AND(K$6&gt;0,$B32&lt;K$6),K$4,K$5)/12),2))</f>
        <v/>
      </c>
      <c r="AQ32">
        <f>IF(L31&lt;=0,0,ROUND(L31*(1+IF(AND(L$6&gt;0,$B32&lt;L$6),L$4,L$5)/12),2))</f>
        <v/>
      </c>
      <c r="AR32">
        <f>IF(M31&lt;=0,0,ROUND(M31*(1+IF(AND(M$6&gt;0,$B32&lt;M$6),M$4,M$5)/12),2))</f>
        <v/>
      </c>
      <c r="AS32">
        <f>IF(N31&lt;=0,0,ROUND(N31*(1+IF(AND(N$6&gt;0,$B32&lt;N$6),N$4,N$5)/12),2))</f>
        <v/>
      </c>
    </row>
    <row r="33">
      <c r="A33" t="n">
        <v>22</v>
      </c>
      <c r="B33">
        <f>EDATE(Plan!$C$6,21)</f>
        <v/>
      </c>
      <c r="C33">
        <f>IF(C32&lt;=0,0,MAX(0,AH33-O33))</f>
        <v/>
      </c>
      <c r="D33">
        <f>IF(D32&lt;=0,0,MAX(0,AI33-P33))</f>
        <v/>
      </c>
      <c r="E33">
        <f>IF(E32&lt;=0,0,MAX(0,AJ33-Q33))</f>
        <v/>
      </c>
      <c r="F33">
        <f>IF(F32&lt;=0,0,MAX(0,AK33-R33))</f>
        <v/>
      </c>
      <c r="G33">
        <f>IF(G32&lt;=0,0,MAX(0,AL33-S33))</f>
        <v/>
      </c>
      <c r="H33">
        <f>IF(H32&lt;=0,0,MAX(0,AM33-T33))</f>
        <v/>
      </c>
      <c r="I33">
        <f>IF(I32&lt;=0,0,MAX(0,AN33-U33))</f>
        <v/>
      </c>
      <c r="J33">
        <f>IF(J32&lt;=0,0,MAX(0,AO33-V33))</f>
        <v/>
      </c>
      <c r="K33">
        <f>IF(K32&lt;=0,0,MAX(0,AP33-W33))</f>
        <v/>
      </c>
      <c r="L33">
        <f>IF(L32&lt;=0,0,MAX(0,AQ33-X33))</f>
        <v/>
      </c>
      <c r="M33">
        <f>IF(M32&lt;=0,0,MAX(0,AR33-Y33))</f>
        <v/>
      </c>
      <c r="N33">
        <f>IF(N32&lt;=0,0,MAX(0,AS33-Z33))</f>
        <v/>
      </c>
      <c r="O33">
        <f>IF(C32&lt;=0,0,MIN(AH33,C$7+IF(C$2=$AA33,$AC33,IF(C$2=$AF33,$AG33,0))))</f>
        <v/>
      </c>
      <c r="P33">
        <f>IF(D32&lt;=0,0,MIN(AI33,D$7+IF(D$2=$AA33,$AC33,IF(D$2=$AF33,$AG33,0))))</f>
        <v/>
      </c>
      <c r="Q33">
        <f>IF(E32&lt;=0,0,MIN(AJ33,E$7+IF(E$2=$AA33,$AC33,IF(E$2=$AF33,$AG33,0))))</f>
        <v/>
      </c>
      <c r="R33">
        <f>IF(F32&lt;=0,0,MIN(AK33,F$7+IF(F$2=$AA33,$AC33,IF(F$2=$AF33,$AG33,0))))</f>
        <v/>
      </c>
      <c r="S33">
        <f>IF(G32&lt;=0,0,MIN(AL33,G$7+IF(G$2=$AA33,$AC33,IF(G$2=$AF33,$AG33,0))))</f>
        <v/>
      </c>
      <c r="T33">
        <f>IF(H32&lt;=0,0,MIN(AM33,H$7+IF(H$2=$AA33,$AC33,IF(H$2=$AF33,$AG33,0))))</f>
        <v/>
      </c>
      <c r="U33">
        <f>IF(I32&lt;=0,0,MIN(AN33,I$7+IF(I$2=$AA33,$AC33,IF(I$2=$AF33,$AG33,0))))</f>
        <v/>
      </c>
      <c r="V33">
        <f>IF(J32&lt;=0,0,MIN(AO33,J$7+IF(J$2=$AA33,$AC33,IF(J$2=$AF33,$AG33,0))))</f>
        <v/>
      </c>
      <c r="W33">
        <f>IF(K32&lt;=0,0,MIN(AP33,K$7+IF(K$2=$AA33,$AC33,IF(K$2=$AF33,$AG33,0))))</f>
        <v/>
      </c>
      <c r="X33">
        <f>IF(L32&lt;=0,0,MIN(AQ33,L$7+IF(L$2=$AA33,$AC33,IF(L$2=$AF33,$AG33,0))))</f>
        <v/>
      </c>
      <c r="Y33">
        <f>IF(M32&lt;=0,0,MIN(AR33,M$7+IF(M$2=$AA33,$AC33,IF(M$2=$AF33,$AG33,0))))</f>
        <v/>
      </c>
      <c r="Z33">
        <f>IF(N32&lt;=0,0,MIN(AS33,N$7+IF(N$2=$AA33,$AC33,IF(N$2=$AF33,$AG33,0))))</f>
        <v/>
      </c>
      <c r="AA33">
        <f>IFERROR(ROUND(1/SUMPRODUCT(MAX((C32:N32&gt;0)*($C$3:$N$3&lt;=B33)/$C$2:$N$2)),0),0)</f>
        <v/>
      </c>
      <c r="AB33">
        <f>SUMPRODUCT((C32:N32&gt;0)*$C$7:$N$7)</f>
        <v/>
      </c>
      <c r="AC33">
        <f>MAX(0,Plan!$C$5-AB33)+IF(A33=Plan!$C$8,N(Plan!$C$7),0)</f>
        <v/>
      </c>
      <c r="AD33">
        <f>SUM(C33:N33)</f>
        <v/>
      </c>
      <c r="AE33">
        <f>SUM(O33:Z33)</f>
        <v/>
      </c>
      <c r="AF33">
        <f>IFERROR(ROUND(1/SUMPRODUCT(MAX((C32:N32&gt;0)*($C$3:$N$3&lt;=B33)*($C$2:$N$2&gt;AA33)/$C$2:$N$2)),0),0)</f>
        <v/>
      </c>
      <c r="AG33">
        <f>MAX(0,AC33-MAX(0,SUMPRODUCT(($C$2:$N$2=AA33)*(AH33:AS33-$C$7:$N$7))))</f>
        <v/>
      </c>
      <c r="AH33">
        <f>IF(C32&lt;=0,0,ROUND(C32*(1+IF(AND(C$6&gt;0,$B33&lt;C$6),C$4,C$5)/12),2))</f>
        <v/>
      </c>
      <c r="AI33">
        <f>IF(D32&lt;=0,0,ROUND(D32*(1+IF(AND(D$6&gt;0,$B33&lt;D$6),D$4,D$5)/12),2))</f>
        <v/>
      </c>
      <c r="AJ33">
        <f>IF(E32&lt;=0,0,ROUND(E32*(1+IF(AND(E$6&gt;0,$B33&lt;E$6),E$4,E$5)/12),2))</f>
        <v/>
      </c>
      <c r="AK33">
        <f>IF(F32&lt;=0,0,ROUND(F32*(1+IF(AND(F$6&gt;0,$B33&lt;F$6),F$4,F$5)/12),2))</f>
        <v/>
      </c>
      <c r="AL33">
        <f>IF(G32&lt;=0,0,ROUND(G32*(1+IF(AND(G$6&gt;0,$B33&lt;G$6),G$4,G$5)/12),2))</f>
        <v/>
      </c>
      <c r="AM33">
        <f>IF(H32&lt;=0,0,ROUND(H32*(1+IF(AND(H$6&gt;0,$B33&lt;H$6),H$4,H$5)/12),2))</f>
        <v/>
      </c>
      <c r="AN33">
        <f>IF(I32&lt;=0,0,ROUND(I32*(1+IF(AND(I$6&gt;0,$B33&lt;I$6),I$4,I$5)/12),2))</f>
        <v/>
      </c>
      <c r="AO33">
        <f>IF(J32&lt;=0,0,ROUND(J32*(1+IF(AND(J$6&gt;0,$B33&lt;J$6),J$4,J$5)/12),2))</f>
        <v/>
      </c>
      <c r="AP33">
        <f>IF(K32&lt;=0,0,ROUND(K32*(1+IF(AND(K$6&gt;0,$B33&lt;K$6),K$4,K$5)/12),2))</f>
        <v/>
      </c>
      <c r="AQ33">
        <f>IF(L32&lt;=0,0,ROUND(L32*(1+IF(AND(L$6&gt;0,$B33&lt;L$6),L$4,L$5)/12),2))</f>
        <v/>
      </c>
      <c r="AR33">
        <f>IF(M32&lt;=0,0,ROUND(M32*(1+IF(AND(M$6&gt;0,$B33&lt;M$6),M$4,M$5)/12),2))</f>
        <v/>
      </c>
      <c r="AS33">
        <f>IF(N32&lt;=0,0,ROUND(N32*(1+IF(AND(N$6&gt;0,$B33&lt;N$6),N$4,N$5)/12),2))</f>
        <v/>
      </c>
    </row>
    <row r="34">
      <c r="A34" t="n">
        <v>23</v>
      </c>
      <c r="B34">
        <f>EDATE(Plan!$C$6,22)</f>
        <v/>
      </c>
      <c r="C34">
        <f>IF(C33&lt;=0,0,MAX(0,AH34-O34))</f>
        <v/>
      </c>
      <c r="D34">
        <f>IF(D33&lt;=0,0,MAX(0,AI34-P34))</f>
        <v/>
      </c>
      <c r="E34">
        <f>IF(E33&lt;=0,0,MAX(0,AJ34-Q34))</f>
        <v/>
      </c>
      <c r="F34">
        <f>IF(F33&lt;=0,0,MAX(0,AK34-R34))</f>
        <v/>
      </c>
      <c r="G34">
        <f>IF(G33&lt;=0,0,MAX(0,AL34-S34))</f>
        <v/>
      </c>
      <c r="H34">
        <f>IF(H33&lt;=0,0,MAX(0,AM34-T34))</f>
        <v/>
      </c>
      <c r="I34">
        <f>IF(I33&lt;=0,0,MAX(0,AN34-U34))</f>
        <v/>
      </c>
      <c r="J34">
        <f>IF(J33&lt;=0,0,MAX(0,AO34-V34))</f>
        <v/>
      </c>
      <c r="K34">
        <f>IF(K33&lt;=0,0,MAX(0,AP34-W34))</f>
        <v/>
      </c>
      <c r="L34">
        <f>IF(L33&lt;=0,0,MAX(0,AQ34-X34))</f>
        <v/>
      </c>
      <c r="M34">
        <f>IF(M33&lt;=0,0,MAX(0,AR34-Y34))</f>
        <v/>
      </c>
      <c r="N34">
        <f>IF(N33&lt;=0,0,MAX(0,AS34-Z34))</f>
        <v/>
      </c>
      <c r="O34">
        <f>IF(C33&lt;=0,0,MIN(AH34,C$7+IF(C$2=$AA34,$AC34,IF(C$2=$AF34,$AG34,0))))</f>
        <v/>
      </c>
      <c r="P34">
        <f>IF(D33&lt;=0,0,MIN(AI34,D$7+IF(D$2=$AA34,$AC34,IF(D$2=$AF34,$AG34,0))))</f>
        <v/>
      </c>
      <c r="Q34">
        <f>IF(E33&lt;=0,0,MIN(AJ34,E$7+IF(E$2=$AA34,$AC34,IF(E$2=$AF34,$AG34,0))))</f>
        <v/>
      </c>
      <c r="R34">
        <f>IF(F33&lt;=0,0,MIN(AK34,F$7+IF(F$2=$AA34,$AC34,IF(F$2=$AF34,$AG34,0))))</f>
        <v/>
      </c>
      <c r="S34">
        <f>IF(G33&lt;=0,0,MIN(AL34,G$7+IF(G$2=$AA34,$AC34,IF(G$2=$AF34,$AG34,0))))</f>
        <v/>
      </c>
      <c r="T34">
        <f>IF(H33&lt;=0,0,MIN(AM34,H$7+IF(H$2=$AA34,$AC34,IF(H$2=$AF34,$AG34,0))))</f>
        <v/>
      </c>
      <c r="U34">
        <f>IF(I33&lt;=0,0,MIN(AN34,I$7+IF(I$2=$AA34,$AC34,IF(I$2=$AF34,$AG34,0))))</f>
        <v/>
      </c>
      <c r="V34">
        <f>IF(J33&lt;=0,0,MIN(AO34,J$7+IF(J$2=$AA34,$AC34,IF(J$2=$AF34,$AG34,0))))</f>
        <v/>
      </c>
      <c r="W34">
        <f>IF(K33&lt;=0,0,MIN(AP34,K$7+IF(K$2=$AA34,$AC34,IF(K$2=$AF34,$AG34,0))))</f>
        <v/>
      </c>
      <c r="X34">
        <f>IF(L33&lt;=0,0,MIN(AQ34,L$7+IF(L$2=$AA34,$AC34,IF(L$2=$AF34,$AG34,0))))</f>
        <v/>
      </c>
      <c r="Y34">
        <f>IF(M33&lt;=0,0,MIN(AR34,M$7+IF(M$2=$AA34,$AC34,IF(M$2=$AF34,$AG34,0))))</f>
        <v/>
      </c>
      <c r="Z34">
        <f>IF(N33&lt;=0,0,MIN(AS34,N$7+IF(N$2=$AA34,$AC34,IF(N$2=$AF34,$AG34,0))))</f>
        <v/>
      </c>
      <c r="AA34">
        <f>IFERROR(ROUND(1/SUMPRODUCT(MAX((C33:N33&gt;0)*($C$3:$N$3&lt;=B34)/$C$2:$N$2)),0),0)</f>
        <v/>
      </c>
      <c r="AB34">
        <f>SUMPRODUCT((C33:N33&gt;0)*$C$7:$N$7)</f>
        <v/>
      </c>
      <c r="AC34">
        <f>MAX(0,Plan!$C$5-AB34)+IF(A34=Plan!$C$8,N(Plan!$C$7),0)</f>
        <v/>
      </c>
      <c r="AD34">
        <f>SUM(C34:N34)</f>
        <v/>
      </c>
      <c r="AE34">
        <f>SUM(O34:Z34)</f>
        <v/>
      </c>
      <c r="AF34">
        <f>IFERROR(ROUND(1/SUMPRODUCT(MAX((C33:N33&gt;0)*($C$3:$N$3&lt;=B34)*($C$2:$N$2&gt;AA34)/$C$2:$N$2)),0),0)</f>
        <v/>
      </c>
      <c r="AG34">
        <f>MAX(0,AC34-MAX(0,SUMPRODUCT(($C$2:$N$2=AA34)*(AH34:AS34-$C$7:$N$7))))</f>
        <v/>
      </c>
      <c r="AH34">
        <f>IF(C33&lt;=0,0,ROUND(C33*(1+IF(AND(C$6&gt;0,$B34&lt;C$6),C$4,C$5)/12),2))</f>
        <v/>
      </c>
      <c r="AI34">
        <f>IF(D33&lt;=0,0,ROUND(D33*(1+IF(AND(D$6&gt;0,$B34&lt;D$6),D$4,D$5)/12),2))</f>
        <v/>
      </c>
      <c r="AJ34">
        <f>IF(E33&lt;=0,0,ROUND(E33*(1+IF(AND(E$6&gt;0,$B34&lt;E$6),E$4,E$5)/12),2))</f>
        <v/>
      </c>
      <c r="AK34">
        <f>IF(F33&lt;=0,0,ROUND(F33*(1+IF(AND(F$6&gt;0,$B34&lt;F$6),F$4,F$5)/12),2))</f>
        <v/>
      </c>
      <c r="AL34">
        <f>IF(G33&lt;=0,0,ROUND(G33*(1+IF(AND(G$6&gt;0,$B34&lt;G$6),G$4,G$5)/12),2))</f>
        <v/>
      </c>
      <c r="AM34">
        <f>IF(H33&lt;=0,0,ROUND(H33*(1+IF(AND(H$6&gt;0,$B34&lt;H$6),H$4,H$5)/12),2))</f>
        <v/>
      </c>
      <c r="AN34">
        <f>IF(I33&lt;=0,0,ROUND(I33*(1+IF(AND(I$6&gt;0,$B34&lt;I$6),I$4,I$5)/12),2))</f>
        <v/>
      </c>
      <c r="AO34">
        <f>IF(J33&lt;=0,0,ROUND(J33*(1+IF(AND(J$6&gt;0,$B34&lt;J$6),J$4,J$5)/12),2))</f>
        <v/>
      </c>
      <c r="AP34">
        <f>IF(K33&lt;=0,0,ROUND(K33*(1+IF(AND(K$6&gt;0,$B34&lt;K$6),K$4,K$5)/12),2))</f>
        <v/>
      </c>
      <c r="AQ34">
        <f>IF(L33&lt;=0,0,ROUND(L33*(1+IF(AND(L$6&gt;0,$B34&lt;L$6),L$4,L$5)/12),2))</f>
        <v/>
      </c>
      <c r="AR34">
        <f>IF(M33&lt;=0,0,ROUND(M33*(1+IF(AND(M$6&gt;0,$B34&lt;M$6),M$4,M$5)/12),2))</f>
        <v/>
      </c>
      <c r="AS34">
        <f>IF(N33&lt;=0,0,ROUND(N33*(1+IF(AND(N$6&gt;0,$B34&lt;N$6),N$4,N$5)/12),2))</f>
        <v/>
      </c>
    </row>
    <row r="35">
      <c r="A35" t="n">
        <v>24</v>
      </c>
      <c r="B35">
        <f>EDATE(Plan!$C$6,23)</f>
        <v/>
      </c>
      <c r="C35">
        <f>IF(C34&lt;=0,0,MAX(0,AH35-O35))</f>
        <v/>
      </c>
      <c r="D35">
        <f>IF(D34&lt;=0,0,MAX(0,AI35-P35))</f>
        <v/>
      </c>
      <c r="E35">
        <f>IF(E34&lt;=0,0,MAX(0,AJ35-Q35))</f>
        <v/>
      </c>
      <c r="F35">
        <f>IF(F34&lt;=0,0,MAX(0,AK35-R35))</f>
        <v/>
      </c>
      <c r="G35">
        <f>IF(G34&lt;=0,0,MAX(0,AL35-S35))</f>
        <v/>
      </c>
      <c r="H35">
        <f>IF(H34&lt;=0,0,MAX(0,AM35-T35))</f>
        <v/>
      </c>
      <c r="I35">
        <f>IF(I34&lt;=0,0,MAX(0,AN35-U35))</f>
        <v/>
      </c>
      <c r="J35">
        <f>IF(J34&lt;=0,0,MAX(0,AO35-V35))</f>
        <v/>
      </c>
      <c r="K35">
        <f>IF(K34&lt;=0,0,MAX(0,AP35-W35))</f>
        <v/>
      </c>
      <c r="L35">
        <f>IF(L34&lt;=0,0,MAX(0,AQ35-X35))</f>
        <v/>
      </c>
      <c r="M35">
        <f>IF(M34&lt;=0,0,MAX(0,AR35-Y35))</f>
        <v/>
      </c>
      <c r="N35">
        <f>IF(N34&lt;=0,0,MAX(0,AS35-Z35))</f>
        <v/>
      </c>
      <c r="O35">
        <f>IF(C34&lt;=0,0,MIN(AH35,C$7+IF(C$2=$AA35,$AC35,IF(C$2=$AF35,$AG35,0))))</f>
        <v/>
      </c>
      <c r="P35">
        <f>IF(D34&lt;=0,0,MIN(AI35,D$7+IF(D$2=$AA35,$AC35,IF(D$2=$AF35,$AG35,0))))</f>
        <v/>
      </c>
      <c r="Q35">
        <f>IF(E34&lt;=0,0,MIN(AJ35,E$7+IF(E$2=$AA35,$AC35,IF(E$2=$AF35,$AG35,0))))</f>
        <v/>
      </c>
      <c r="R35">
        <f>IF(F34&lt;=0,0,MIN(AK35,F$7+IF(F$2=$AA35,$AC35,IF(F$2=$AF35,$AG35,0))))</f>
        <v/>
      </c>
      <c r="S35">
        <f>IF(G34&lt;=0,0,MIN(AL35,G$7+IF(G$2=$AA35,$AC35,IF(G$2=$AF35,$AG35,0))))</f>
        <v/>
      </c>
      <c r="T35">
        <f>IF(H34&lt;=0,0,MIN(AM35,H$7+IF(H$2=$AA35,$AC35,IF(H$2=$AF35,$AG35,0))))</f>
        <v/>
      </c>
      <c r="U35">
        <f>IF(I34&lt;=0,0,MIN(AN35,I$7+IF(I$2=$AA35,$AC35,IF(I$2=$AF35,$AG35,0))))</f>
        <v/>
      </c>
      <c r="V35">
        <f>IF(J34&lt;=0,0,MIN(AO35,J$7+IF(J$2=$AA35,$AC35,IF(J$2=$AF35,$AG35,0))))</f>
        <v/>
      </c>
      <c r="W35">
        <f>IF(K34&lt;=0,0,MIN(AP35,K$7+IF(K$2=$AA35,$AC35,IF(K$2=$AF35,$AG35,0))))</f>
        <v/>
      </c>
      <c r="X35">
        <f>IF(L34&lt;=0,0,MIN(AQ35,L$7+IF(L$2=$AA35,$AC35,IF(L$2=$AF35,$AG35,0))))</f>
        <v/>
      </c>
      <c r="Y35">
        <f>IF(M34&lt;=0,0,MIN(AR35,M$7+IF(M$2=$AA35,$AC35,IF(M$2=$AF35,$AG35,0))))</f>
        <v/>
      </c>
      <c r="Z35">
        <f>IF(N34&lt;=0,0,MIN(AS35,N$7+IF(N$2=$AA35,$AC35,IF(N$2=$AF35,$AG35,0))))</f>
        <v/>
      </c>
      <c r="AA35">
        <f>IFERROR(ROUND(1/SUMPRODUCT(MAX((C34:N34&gt;0)*($C$3:$N$3&lt;=B35)/$C$2:$N$2)),0),0)</f>
        <v/>
      </c>
      <c r="AB35">
        <f>SUMPRODUCT((C34:N34&gt;0)*$C$7:$N$7)</f>
        <v/>
      </c>
      <c r="AC35">
        <f>MAX(0,Plan!$C$5-AB35)+IF(A35=Plan!$C$8,N(Plan!$C$7),0)</f>
        <v/>
      </c>
      <c r="AD35">
        <f>SUM(C35:N35)</f>
        <v/>
      </c>
      <c r="AE35">
        <f>SUM(O35:Z35)</f>
        <v/>
      </c>
      <c r="AF35">
        <f>IFERROR(ROUND(1/SUMPRODUCT(MAX((C34:N34&gt;0)*($C$3:$N$3&lt;=B35)*($C$2:$N$2&gt;AA35)/$C$2:$N$2)),0),0)</f>
        <v/>
      </c>
      <c r="AG35">
        <f>MAX(0,AC35-MAX(0,SUMPRODUCT(($C$2:$N$2=AA35)*(AH35:AS35-$C$7:$N$7))))</f>
        <v/>
      </c>
      <c r="AH35">
        <f>IF(C34&lt;=0,0,ROUND(C34*(1+IF(AND(C$6&gt;0,$B35&lt;C$6),C$4,C$5)/12),2))</f>
        <v/>
      </c>
      <c r="AI35">
        <f>IF(D34&lt;=0,0,ROUND(D34*(1+IF(AND(D$6&gt;0,$B35&lt;D$6),D$4,D$5)/12),2))</f>
        <v/>
      </c>
      <c r="AJ35">
        <f>IF(E34&lt;=0,0,ROUND(E34*(1+IF(AND(E$6&gt;0,$B35&lt;E$6),E$4,E$5)/12),2))</f>
        <v/>
      </c>
      <c r="AK35">
        <f>IF(F34&lt;=0,0,ROUND(F34*(1+IF(AND(F$6&gt;0,$B35&lt;F$6),F$4,F$5)/12),2))</f>
        <v/>
      </c>
      <c r="AL35">
        <f>IF(G34&lt;=0,0,ROUND(G34*(1+IF(AND(G$6&gt;0,$B35&lt;G$6),G$4,G$5)/12),2))</f>
        <v/>
      </c>
      <c r="AM35">
        <f>IF(H34&lt;=0,0,ROUND(H34*(1+IF(AND(H$6&gt;0,$B35&lt;H$6),H$4,H$5)/12),2))</f>
        <v/>
      </c>
      <c r="AN35">
        <f>IF(I34&lt;=0,0,ROUND(I34*(1+IF(AND(I$6&gt;0,$B35&lt;I$6),I$4,I$5)/12),2))</f>
        <v/>
      </c>
      <c r="AO35">
        <f>IF(J34&lt;=0,0,ROUND(J34*(1+IF(AND(J$6&gt;0,$B35&lt;J$6),J$4,J$5)/12),2))</f>
        <v/>
      </c>
      <c r="AP35">
        <f>IF(K34&lt;=0,0,ROUND(K34*(1+IF(AND(K$6&gt;0,$B35&lt;K$6),K$4,K$5)/12),2))</f>
        <v/>
      </c>
      <c r="AQ35">
        <f>IF(L34&lt;=0,0,ROUND(L34*(1+IF(AND(L$6&gt;0,$B35&lt;L$6),L$4,L$5)/12),2))</f>
        <v/>
      </c>
      <c r="AR35">
        <f>IF(M34&lt;=0,0,ROUND(M34*(1+IF(AND(M$6&gt;0,$B35&lt;M$6),M$4,M$5)/12),2))</f>
        <v/>
      </c>
      <c r="AS35">
        <f>IF(N34&lt;=0,0,ROUND(N34*(1+IF(AND(N$6&gt;0,$B35&lt;N$6),N$4,N$5)/12),2))</f>
        <v/>
      </c>
    </row>
    <row r="36">
      <c r="A36" t="n">
        <v>25</v>
      </c>
      <c r="B36">
        <f>EDATE(Plan!$C$6,24)</f>
        <v/>
      </c>
      <c r="C36">
        <f>IF(C35&lt;=0,0,MAX(0,AH36-O36))</f>
        <v/>
      </c>
      <c r="D36">
        <f>IF(D35&lt;=0,0,MAX(0,AI36-P36))</f>
        <v/>
      </c>
      <c r="E36">
        <f>IF(E35&lt;=0,0,MAX(0,AJ36-Q36))</f>
        <v/>
      </c>
      <c r="F36">
        <f>IF(F35&lt;=0,0,MAX(0,AK36-R36))</f>
        <v/>
      </c>
      <c r="G36">
        <f>IF(G35&lt;=0,0,MAX(0,AL36-S36))</f>
        <v/>
      </c>
      <c r="H36">
        <f>IF(H35&lt;=0,0,MAX(0,AM36-T36))</f>
        <v/>
      </c>
      <c r="I36">
        <f>IF(I35&lt;=0,0,MAX(0,AN36-U36))</f>
        <v/>
      </c>
      <c r="J36">
        <f>IF(J35&lt;=0,0,MAX(0,AO36-V36))</f>
        <v/>
      </c>
      <c r="K36">
        <f>IF(K35&lt;=0,0,MAX(0,AP36-W36))</f>
        <v/>
      </c>
      <c r="L36">
        <f>IF(L35&lt;=0,0,MAX(0,AQ36-X36))</f>
        <v/>
      </c>
      <c r="M36">
        <f>IF(M35&lt;=0,0,MAX(0,AR36-Y36))</f>
        <v/>
      </c>
      <c r="N36">
        <f>IF(N35&lt;=0,0,MAX(0,AS36-Z36))</f>
        <v/>
      </c>
      <c r="O36">
        <f>IF(C35&lt;=0,0,MIN(AH36,C$7+IF(C$2=$AA36,$AC36,IF(C$2=$AF36,$AG36,0))))</f>
        <v/>
      </c>
      <c r="P36">
        <f>IF(D35&lt;=0,0,MIN(AI36,D$7+IF(D$2=$AA36,$AC36,IF(D$2=$AF36,$AG36,0))))</f>
        <v/>
      </c>
      <c r="Q36">
        <f>IF(E35&lt;=0,0,MIN(AJ36,E$7+IF(E$2=$AA36,$AC36,IF(E$2=$AF36,$AG36,0))))</f>
        <v/>
      </c>
      <c r="R36">
        <f>IF(F35&lt;=0,0,MIN(AK36,F$7+IF(F$2=$AA36,$AC36,IF(F$2=$AF36,$AG36,0))))</f>
        <v/>
      </c>
      <c r="S36">
        <f>IF(G35&lt;=0,0,MIN(AL36,G$7+IF(G$2=$AA36,$AC36,IF(G$2=$AF36,$AG36,0))))</f>
        <v/>
      </c>
      <c r="T36">
        <f>IF(H35&lt;=0,0,MIN(AM36,H$7+IF(H$2=$AA36,$AC36,IF(H$2=$AF36,$AG36,0))))</f>
        <v/>
      </c>
      <c r="U36">
        <f>IF(I35&lt;=0,0,MIN(AN36,I$7+IF(I$2=$AA36,$AC36,IF(I$2=$AF36,$AG36,0))))</f>
        <v/>
      </c>
      <c r="V36">
        <f>IF(J35&lt;=0,0,MIN(AO36,J$7+IF(J$2=$AA36,$AC36,IF(J$2=$AF36,$AG36,0))))</f>
        <v/>
      </c>
      <c r="W36">
        <f>IF(K35&lt;=0,0,MIN(AP36,K$7+IF(K$2=$AA36,$AC36,IF(K$2=$AF36,$AG36,0))))</f>
        <v/>
      </c>
      <c r="X36">
        <f>IF(L35&lt;=0,0,MIN(AQ36,L$7+IF(L$2=$AA36,$AC36,IF(L$2=$AF36,$AG36,0))))</f>
        <v/>
      </c>
      <c r="Y36">
        <f>IF(M35&lt;=0,0,MIN(AR36,M$7+IF(M$2=$AA36,$AC36,IF(M$2=$AF36,$AG36,0))))</f>
        <v/>
      </c>
      <c r="Z36">
        <f>IF(N35&lt;=0,0,MIN(AS36,N$7+IF(N$2=$AA36,$AC36,IF(N$2=$AF36,$AG36,0))))</f>
        <v/>
      </c>
      <c r="AA36">
        <f>IFERROR(ROUND(1/SUMPRODUCT(MAX((C35:N35&gt;0)*($C$3:$N$3&lt;=B36)/$C$2:$N$2)),0),0)</f>
        <v/>
      </c>
      <c r="AB36">
        <f>SUMPRODUCT((C35:N35&gt;0)*$C$7:$N$7)</f>
        <v/>
      </c>
      <c r="AC36">
        <f>MAX(0,Plan!$C$5-AB36)+IF(A36=Plan!$C$8,N(Plan!$C$7),0)</f>
        <v/>
      </c>
      <c r="AD36">
        <f>SUM(C36:N36)</f>
        <v/>
      </c>
      <c r="AE36">
        <f>SUM(O36:Z36)</f>
        <v/>
      </c>
      <c r="AF36">
        <f>IFERROR(ROUND(1/SUMPRODUCT(MAX((C35:N35&gt;0)*($C$3:$N$3&lt;=B36)*($C$2:$N$2&gt;AA36)/$C$2:$N$2)),0),0)</f>
        <v/>
      </c>
      <c r="AG36">
        <f>MAX(0,AC36-MAX(0,SUMPRODUCT(($C$2:$N$2=AA36)*(AH36:AS36-$C$7:$N$7))))</f>
        <v/>
      </c>
      <c r="AH36">
        <f>IF(C35&lt;=0,0,ROUND(C35*(1+IF(AND(C$6&gt;0,$B36&lt;C$6),C$4,C$5)/12),2))</f>
        <v/>
      </c>
      <c r="AI36">
        <f>IF(D35&lt;=0,0,ROUND(D35*(1+IF(AND(D$6&gt;0,$B36&lt;D$6),D$4,D$5)/12),2))</f>
        <v/>
      </c>
      <c r="AJ36">
        <f>IF(E35&lt;=0,0,ROUND(E35*(1+IF(AND(E$6&gt;0,$B36&lt;E$6),E$4,E$5)/12),2))</f>
        <v/>
      </c>
      <c r="AK36">
        <f>IF(F35&lt;=0,0,ROUND(F35*(1+IF(AND(F$6&gt;0,$B36&lt;F$6),F$4,F$5)/12),2))</f>
        <v/>
      </c>
      <c r="AL36">
        <f>IF(G35&lt;=0,0,ROUND(G35*(1+IF(AND(G$6&gt;0,$B36&lt;G$6),G$4,G$5)/12),2))</f>
        <v/>
      </c>
      <c r="AM36">
        <f>IF(H35&lt;=0,0,ROUND(H35*(1+IF(AND(H$6&gt;0,$B36&lt;H$6),H$4,H$5)/12),2))</f>
        <v/>
      </c>
      <c r="AN36">
        <f>IF(I35&lt;=0,0,ROUND(I35*(1+IF(AND(I$6&gt;0,$B36&lt;I$6),I$4,I$5)/12),2))</f>
        <v/>
      </c>
      <c r="AO36">
        <f>IF(J35&lt;=0,0,ROUND(J35*(1+IF(AND(J$6&gt;0,$B36&lt;J$6),J$4,J$5)/12),2))</f>
        <v/>
      </c>
      <c r="AP36">
        <f>IF(K35&lt;=0,0,ROUND(K35*(1+IF(AND(K$6&gt;0,$B36&lt;K$6),K$4,K$5)/12),2))</f>
        <v/>
      </c>
      <c r="AQ36">
        <f>IF(L35&lt;=0,0,ROUND(L35*(1+IF(AND(L$6&gt;0,$B36&lt;L$6),L$4,L$5)/12),2))</f>
        <v/>
      </c>
      <c r="AR36">
        <f>IF(M35&lt;=0,0,ROUND(M35*(1+IF(AND(M$6&gt;0,$B36&lt;M$6),M$4,M$5)/12),2))</f>
        <v/>
      </c>
      <c r="AS36">
        <f>IF(N35&lt;=0,0,ROUND(N35*(1+IF(AND(N$6&gt;0,$B36&lt;N$6),N$4,N$5)/12),2))</f>
        <v/>
      </c>
    </row>
    <row r="37">
      <c r="A37" t="n">
        <v>26</v>
      </c>
      <c r="B37">
        <f>EDATE(Plan!$C$6,25)</f>
        <v/>
      </c>
      <c r="C37">
        <f>IF(C36&lt;=0,0,MAX(0,AH37-O37))</f>
        <v/>
      </c>
      <c r="D37">
        <f>IF(D36&lt;=0,0,MAX(0,AI37-P37))</f>
        <v/>
      </c>
      <c r="E37">
        <f>IF(E36&lt;=0,0,MAX(0,AJ37-Q37))</f>
        <v/>
      </c>
      <c r="F37">
        <f>IF(F36&lt;=0,0,MAX(0,AK37-R37))</f>
        <v/>
      </c>
      <c r="G37">
        <f>IF(G36&lt;=0,0,MAX(0,AL37-S37))</f>
        <v/>
      </c>
      <c r="H37">
        <f>IF(H36&lt;=0,0,MAX(0,AM37-T37))</f>
        <v/>
      </c>
      <c r="I37">
        <f>IF(I36&lt;=0,0,MAX(0,AN37-U37))</f>
        <v/>
      </c>
      <c r="J37">
        <f>IF(J36&lt;=0,0,MAX(0,AO37-V37))</f>
        <v/>
      </c>
      <c r="K37">
        <f>IF(K36&lt;=0,0,MAX(0,AP37-W37))</f>
        <v/>
      </c>
      <c r="L37">
        <f>IF(L36&lt;=0,0,MAX(0,AQ37-X37))</f>
        <v/>
      </c>
      <c r="M37">
        <f>IF(M36&lt;=0,0,MAX(0,AR37-Y37))</f>
        <v/>
      </c>
      <c r="N37">
        <f>IF(N36&lt;=0,0,MAX(0,AS37-Z37))</f>
        <v/>
      </c>
      <c r="O37">
        <f>IF(C36&lt;=0,0,MIN(AH37,C$7+IF(C$2=$AA37,$AC37,IF(C$2=$AF37,$AG37,0))))</f>
        <v/>
      </c>
      <c r="P37">
        <f>IF(D36&lt;=0,0,MIN(AI37,D$7+IF(D$2=$AA37,$AC37,IF(D$2=$AF37,$AG37,0))))</f>
        <v/>
      </c>
      <c r="Q37">
        <f>IF(E36&lt;=0,0,MIN(AJ37,E$7+IF(E$2=$AA37,$AC37,IF(E$2=$AF37,$AG37,0))))</f>
        <v/>
      </c>
      <c r="R37">
        <f>IF(F36&lt;=0,0,MIN(AK37,F$7+IF(F$2=$AA37,$AC37,IF(F$2=$AF37,$AG37,0))))</f>
        <v/>
      </c>
      <c r="S37">
        <f>IF(G36&lt;=0,0,MIN(AL37,G$7+IF(G$2=$AA37,$AC37,IF(G$2=$AF37,$AG37,0))))</f>
        <v/>
      </c>
      <c r="T37">
        <f>IF(H36&lt;=0,0,MIN(AM37,H$7+IF(H$2=$AA37,$AC37,IF(H$2=$AF37,$AG37,0))))</f>
        <v/>
      </c>
      <c r="U37">
        <f>IF(I36&lt;=0,0,MIN(AN37,I$7+IF(I$2=$AA37,$AC37,IF(I$2=$AF37,$AG37,0))))</f>
        <v/>
      </c>
      <c r="V37">
        <f>IF(J36&lt;=0,0,MIN(AO37,J$7+IF(J$2=$AA37,$AC37,IF(J$2=$AF37,$AG37,0))))</f>
        <v/>
      </c>
      <c r="W37">
        <f>IF(K36&lt;=0,0,MIN(AP37,K$7+IF(K$2=$AA37,$AC37,IF(K$2=$AF37,$AG37,0))))</f>
        <v/>
      </c>
      <c r="X37">
        <f>IF(L36&lt;=0,0,MIN(AQ37,L$7+IF(L$2=$AA37,$AC37,IF(L$2=$AF37,$AG37,0))))</f>
        <v/>
      </c>
      <c r="Y37">
        <f>IF(M36&lt;=0,0,MIN(AR37,M$7+IF(M$2=$AA37,$AC37,IF(M$2=$AF37,$AG37,0))))</f>
        <v/>
      </c>
      <c r="Z37">
        <f>IF(N36&lt;=0,0,MIN(AS37,N$7+IF(N$2=$AA37,$AC37,IF(N$2=$AF37,$AG37,0))))</f>
        <v/>
      </c>
      <c r="AA37">
        <f>IFERROR(ROUND(1/SUMPRODUCT(MAX((C36:N36&gt;0)*($C$3:$N$3&lt;=B37)/$C$2:$N$2)),0),0)</f>
        <v/>
      </c>
      <c r="AB37">
        <f>SUMPRODUCT((C36:N36&gt;0)*$C$7:$N$7)</f>
        <v/>
      </c>
      <c r="AC37">
        <f>MAX(0,Plan!$C$5-AB37)+IF(A37=Plan!$C$8,N(Plan!$C$7),0)</f>
        <v/>
      </c>
      <c r="AD37">
        <f>SUM(C37:N37)</f>
        <v/>
      </c>
      <c r="AE37">
        <f>SUM(O37:Z37)</f>
        <v/>
      </c>
      <c r="AF37">
        <f>IFERROR(ROUND(1/SUMPRODUCT(MAX((C36:N36&gt;0)*($C$3:$N$3&lt;=B37)*($C$2:$N$2&gt;AA37)/$C$2:$N$2)),0),0)</f>
        <v/>
      </c>
      <c r="AG37">
        <f>MAX(0,AC37-MAX(0,SUMPRODUCT(($C$2:$N$2=AA37)*(AH37:AS37-$C$7:$N$7))))</f>
        <v/>
      </c>
      <c r="AH37">
        <f>IF(C36&lt;=0,0,ROUND(C36*(1+IF(AND(C$6&gt;0,$B37&lt;C$6),C$4,C$5)/12),2))</f>
        <v/>
      </c>
      <c r="AI37">
        <f>IF(D36&lt;=0,0,ROUND(D36*(1+IF(AND(D$6&gt;0,$B37&lt;D$6),D$4,D$5)/12),2))</f>
        <v/>
      </c>
      <c r="AJ37">
        <f>IF(E36&lt;=0,0,ROUND(E36*(1+IF(AND(E$6&gt;0,$B37&lt;E$6),E$4,E$5)/12),2))</f>
        <v/>
      </c>
      <c r="AK37">
        <f>IF(F36&lt;=0,0,ROUND(F36*(1+IF(AND(F$6&gt;0,$B37&lt;F$6),F$4,F$5)/12),2))</f>
        <v/>
      </c>
      <c r="AL37">
        <f>IF(G36&lt;=0,0,ROUND(G36*(1+IF(AND(G$6&gt;0,$B37&lt;G$6),G$4,G$5)/12),2))</f>
        <v/>
      </c>
      <c r="AM37">
        <f>IF(H36&lt;=0,0,ROUND(H36*(1+IF(AND(H$6&gt;0,$B37&lt;H$6),H$4,H$5)/12),2))</f>
        <v/>
      </c>
      <c r="AN37">
        <f>IF(I36&lt;=0,0,ROUND(I36*(1+IF(AND(I$6&gt;0,$B37&lt;I$6),I$4,I$5)/12),2))</f>
        <v/>
      </c>
      <c r="AO37">
        <f>IF(J36&lt;=0,0,ROUND(J36*(1+IF(AND(J$6&gt;0,$B37&lt;J$6),J$4,J$5)/12),2))</f>
        <v/>
      </c>
      <c r="AP37">
        <f>IF(K36&lt;=0,0,ROUND(K36*(1+IF(AND(K$6&gt;0,$B37&lt;K$6),K$4,K$5)/12),2))</f>
        <v/>
      </c>
      <c r="AQ37">
        <f>IF(L36&lt;=0,0,ROUND(L36*(1+IF(AND(L$6&gt;0,$B37&lt;L$6),L$4,L$5)/12),2))</f>
        <v/>
      </c>
      <c r="AR37">
        <f>IF(M36&lt;=0,0,ROUND(M36*(1+IF(AND(M$6&gt;0,$B37&lt;M$6),M$4,M$5)/12),2))</f>
        <v/>
      </c>
      <c r="AS37">
        <f>IF(N36&lt;=0,0,ROUND(N36*(1+IF(AND(N$6&gt;0,$B37&lt;N$6),N$4,N$5)/12),2))</f>
        <v/>
      </c>
    </row>
    <row r="38">
      <c r="A38" t="n">
        <v>27</v>
      </c>
      <c r="B38">
        <f>EDATE(Plan!$C$6,26)</f>
        <v/>
      </c>
      <c r="C38">
        <f>IF(C37&lt;=0,0,MAX(0,AH38-O38))</f>
        <v/>
      </c>
      <c r="D38">
        <f>IF(D37&lt;=0,0,MAX(0,AI38-P38))</f>
        <v/>
      </c>
      <c r="E38">
        <f>IF(E37&lt;=0,0,MAX(0,AJ38-Q38))</f>
        <v/>
      </c>
      <c r="F38">
        <f>IF(F37&lt;=0,0,MAX(0,AK38-R38))</f>
        <v/>
      </c>
      <c r="G38">
        <f>IF(G37&lt;=0,0,MAX(0,AL38-S38))</f>
        <v/>
      </c>
      <c r="H38">
        <f>IF(H37&lt;=0,0,MAX(0,AM38-T38))</f>
        <v/>
      </c>
      <c r="I38">
        <f>IF(I37&lt;=0,0,MAX(0,AN38-U38))</f>
        <v/>
      </c>
      <c r="J38">
        <f>IF(J37&lt;=0,0,MAX(0,AO38-V38))</f>
        <v/>
      </c>
      <c r="K38">
        <f>IF(K37&lt;=0,0,MAX(0,AP38-W38))</f>
        <v/>
      </c>
      <c r="L38">
        <f>IF(L37&lt;=0,0,MAX(0,AQ38-X38))</f>
        <v/>
      </c>
      <c r="M38">
        <f>IF(M37&lt;=0,0,MAX(0,AR38-Y38))</f>
        <v/>
      </c>
      <c r="N38">
        <f>IF(N37&lt;=0,0,MAX(0,AS38-Z38))</f>
        <v/>
      </c>
      <c r="O38">
        <f>IF(C37&lt;=0,0,MIN(AH38,C$7+IF(C$2=$AA38,$AC38,IF(C$2=$AF38,$AG38,0))))</f>
        <v/>
      </c>
      <c r="P38">
        <f>IF(D37&lt;=0,0,MIN(AI38,D$7+IF(D$2=$AA38,$AC38,IF(D$2=$AF38,$AG38,0))))</f>
        <v/>
      </c>
      <c r="Q38">
        <f>IF(E37&lt;=0,0,MIN(AJ38,E$7+IF(E$2=$AA38,$AC38,IF(E$2=$AF38,$AG38,0))))</f>
        <v/>
      </c>
      <c r="R38">
        <f>IF(F37&lt;=0,0,MIN(AK38,F$7+IF(F$2=$AA38,$AC38,IF(F$2=$AF38,$AG38,0))))</f>
        <v/>
      </c>
      <c r="S38">
        <f>IF(G37&lt;=0,0,MIN(AL38,G$7+IF(G$2=$AA38,$AC38,IF(G$2=$AF38,$AG38,0))))</f>
        <v/>
      </c>
      <c r="T38">
        <f>IF(H37&lt;=0,0,MIN(AM38,H$7+IF(H$2=$AA38,$AC38,IF(H$2=$AF38,$AG38,0))))</f>
        <v/>
      </c>
      <c r="U38">
        <f>IF(I37&lt;=0,0,MIN(AN38,I$7+IF(I$2=$AA38,$AC38,IF(I$2=$AF38,$AG38,0))))</f>
        <v/>
      </c>
      <c r="V38">
        <f>IF(J37&lt;=0,0,MIN(AO38,J$7+IF(J$2=$AA38,$AC38,IF(J$2=$AF38,$AG38,0))))</f>
        <v/>
      </c>
      <c r="W38">
        <f>IF(K37&lt;=0,0,MIN(AP38,K$7+IF(K$2=$AA38,$AC38,IF(K$2=$AF38,$AG38,0))))</f>
        <v/>
      </c>
      <c r="X38">
        <f>IF(L37&lt;=0,0,MIN(AQ38,L$7+IF(L$2=$AA38,$AC38,IF(L$2=$AF38,$AG38,0))))</f>
        <v/>
      </c>
      <c r="Y38">
        <f>IF(M37&lt;=0,0,MIN(AR38,M$7+IF(M$2=$AA38,$AC38,IF(M$2=$AF38,$AG38,0))))</f>
        <v/>
      </c>
      <c r="Z38">
        <f>IF(N37&lt;=0,0,MIN(AS38,N$7+IF(N$2=$AA38,$AC38,IF(N$2=$AF38,$AG38,0))))</f>
        <v/>
      </c>
      <c r="AA38">
        <f>IFERROR(ROUND(1/SUMPRODUCT(MAX((C37:N37&gt;0)*($C$3:$N$3&lt;=B38)/$C$2:$N$2)),0),0)</f>
        <v/>
      </c>
      <c r="AB38">
        <f>SUMPRODUCT((C37:N37&gt;0)*$C$7:$N$7)</f>
        <v/>
      </c>
      <c r="AC38">
        <f>MAX(0,Plan!$C$5-AB38)+IF(A38=Plan!$C$8,N(Plan!$C$7),0)</f>
        <v/>
      </c>
      <c r="AD38">
        <f>SUM(C38:N38)</f>
        <v/>
      </c>
      <c r="AE38">
        <f>SUM(O38:Z38)</f>
        <v/>
      </c>
      <c r="AF38">
        <f>IFERROR(ROUND(1/SUMPRODUCT(MAX((C37:N37&gt;0)*($C$3:$N$3&lt;=B38)*($C$2:$N$2&gt;AA38)/$C$2:$N$2)),0),0)</f>
        <v/>
      </c>
      <c r="AG38">
        <f>MAX(0,AC38-MAX(0,SUMPRODUCT(($C$2:$N$2=AA38)*(AH38:AS38-$C$7:$N$7))))</f>
        <v/>
      </c>
      <c r="AH38">
        <f>IF(C37&lt;=0,0,ROUND(C37*(1+IF(AND(C$6&gt;0,$B38&lt;C$6),C$4,C$5)/12),2))</f>
        <v/>
      </c>
      <c r="AI38">
        <f>IF(D37&lt;=0,0,ROUND(D37*(1+IF(AND(D$6&gt;0,$B38&lt;D$6),D$4,D$5)/12),2))</f>
        <v/>
      </c>
      <c r="AJ38">
        <f>IF(E37&lt;=0,0,ROUND(E37*(1+IF(AND(E$6&gt;0,$B38&lt;E$6),E$4,E$5)/12),2))</f>
        <v/>
      </c>
      <c r="AK38">
        <f>IF(F37&lt;=0,0,ROUND(F37*(1+IF(AND(F$6&gt;0,$B38&lt;F$6),F$4,F$5)/12),2))</f>
        <v/>
      </c>
      <c r="AL38">
        <f>IF(G37&lt;=0,0,ROUND(G37*(1+IF(AND(G$6&gt;0,$B38&lt;G$6),G$4,G$5)/12),2))</f>
        <v/>
      </c>
      <c r="AM38">
        <f>IF(H37&lt;=0,0,ROUND(H37*(1+IF(AND(H$6&gt;0,$B38&lt;H$6),H$4,H$5)/12),2))</f>
        <v/>
      </c>
      <c r="AN38">
        <f>IF(I37&lt;=0,0,ROUND(I37*(1+IF(AND(I$6&gt;0,$B38&lt;I$6),I$4,I$5)/12),2))</f>
        <v/>
      </c>
      <c r="AO38">
        <f>IF(J37&lt;=0,0,ROUND(J37*(1+IF(AND(J$6&gt;0,$B38&lt;J$6),J$4,J$5)/12),2))</f>
        <v/>
      </c>
      <c r="AP38">
        <f>IF(K37&lt;=0,0,ROUND(K37*(1+IF(AND(K$6&gt;0,$B38&lt;K$6),K$4,K$5)/12),2))</f>
        <v/>
      </c>
      <c r="AQ38">
        <f>IF(L37&lt;=0,0,ROUND(L37*(1+IF(AND(L$6&gt;0,$B38&lt;L$6),L$4,L$5)/12),2))</f>
        <v/>
      </c>
      <c r="AR38">
        <f>IF(M37&lt;=0,0,ROUND(M37*(1+IF(AND(M$6&gt;0,$B38&lt;M$6),M$4,M$5)/12),2))</f>
        <v/>
      </c>
      <c r="AS38">
        <f>IF(N37&lt;=0,0,ROUND(N37*(1+IF(AND(N$6&gt;0,$B38&lt;N$6),N$4,N$5)/12),2))</f>
        <v/>
      </c>
    </row>
    <row r="39">
      <c r="A39" t="n">
        <v>28</v>
      </c>
      <c r="B39">
        <f>EDATE(Plan!$C$6,27)</f>
        <v/>
      </c>
      <c r="C39">
        <f>IF(C38&lt;=0,0,MAX(0,AH39-O39))</f>
        <v/>
      </c>
      <c r="D39">
        <f>IF(D38&lt;=0,0,MAX(0,AI39-P39))</f>
        <v/>
      </c>
      <c r="E39">
        <f>IF(E38&lt;=0,0,MAX(0,AJ39-Q39))</f>
        <v/>
      </c>
      <c r="F39">
        <f>IF(F38&lt;=0,0,MAX(0,AK39-R39))</f>
        <v/>
      </c>
      <c r="G39">
        <f>IF(G38&lt;=0,0,MAX(0,AL39-S39))</f>
        <v/>
      </c>
      <c r="H39">
        <f>IF(H38&lt;=0,0,MAX(0,AM39-T39))</f>
        <v/>
      </c>
      <c r="I39">
        <f>IF(I38&lt;=0,0,MAX(0,AN39-U39))</f>
        <v/>
      </c>
      <c r="J39">
        <f>IF(J38&lt;=0,0,MAX(0,AO39-V39))</f>
        <v/>
      </c>
      <c r="K39">
        <f>IF(K38&lt;=0,0,MAX(0,AP39-W39))</f>
        <v/>
      </c>
      <c r="L39">
        <f>IF(L38&lt;=0,0,MAX(0,AQ39-X39))</f>
        <v/>
      </c>
      <c r="M39">
        <f>IF(M38&lt;=0,0,MAX(0,AR39-Y39))</f>
        <v/>
      </c>
      <c r="N39">
        <f>IF(N38&lt;=0,0,MAX(0,AS39-Z39))</f>
        <v/>
      </c>
      <c r="O39">
        <f>IF(C38&lt;=0,0,MIN(AH39,C$7+IF(C$2=$AA39,$AC39,IF(C$2=$AF39,$AG39,0))))</f>
        <v/>
      </c>
      <c r="P39">
        <f>IF(D38&lt;=0,0,MIN(AI39,D$7+IF(D$2=$AA39,$AC39,IF(D$2=$AF39,$AG39,0))))</f>
        <v/>
      </c>
      <c r="Q39">
        <f>IF(E38&lt;=0,0,MIN(AJ39,E$7+IF(E$2=$AA39,$AC39,IF(E$2=$AF39,$AG39,0))))</f>
        <v/>
      </c>
      <c r="R39">
        <f>IF(F38&lt;=0,0,MIN(AK39,F$7+IF(F$2=$AA39,$AC39,IF(F$2=$AF39,$AG39,0))))</f>
        <v/>
      </c>
      <c r="S39">
        <f>IF(G38&lt;=0,0,MIN(AL39,G$7+IF(G$2=$AA39,$AC39,IF(G$2=$AF39,$AG39,0))))</f>
        <v/>
      </c>
      <c r="T39">
        <f>IF(H38&lt;=0,0,MIN(AM39,H$7+IF(H$2=$AA39,$AC39,IF(H$2=$AF39,$AG39,0))))</f>
        <v/>
      </c>
      <c r="U39">
        <f>IF(I38&lt;=0,0,MIN(AN39,I$7+IF(I$2=$AA39,$AC39,IF(I$2=$AF39,$AG39,0))))</f>
        <v/>
      </c>
      <c r="V39">
        <f>IF(J38&lt;=0,0,MIN(AO39,J$7+IF(J$2=$AA39,$AC39,IF(J$2=$AF39,$AG39,0))))</f>
        <v/>
      </c>
      <c r="W39">
        <f>IF(K38&lt;=0,0,MIN(AP39,K$7+IF(K$2=$AA39,$AC39,IF(K$2=$AF39,$AG39,0))))</f>
        <v/>
      </c>
      <c r="X39">
        <f>IF(L38&lt;=0,0,MIN(AQ39,L$7+IF(L$2=$AA39,$AC39,IF(L$2=$AF39,$AG39,0))))</f>
        <v/>
      </c>
      <c r="Y39">
        <f>IF(M38&lt;=0,0,MIN(AR39,M$7+IF(M$2=$AA39,$AC39,IF(M$2=$AF39,$AG39,0))))</f>
        <v/>
      </c>
      <c r="Z39">
        <f>IF(N38&lt;=0,0,MIN(AS39,N$7+IF(N$2=$AA39,$AC39,IF(N$2=$AF39,$AG39,0))))</f>
        <v/>
      </c>
      <c r="AA39">
        <f>IFERROR(ROUND(1/SUMPRODUCT(MAX((C38:N38&gt;0)*($C$3:$N$3&lt;=B39)/$C$2:$N$2)),0),0)</f>
        <v/>
      </c>
      <c r="AB39">
        <f>SUMPRODUCT((C38:N38&gt;0)*$C$7:$N$7)</f>
        <v/>
      </c>
      <c r="AC39">
        <f>MAX(0,Plan!$C$5-AB39)+IF(A39=Plan!$C$8,N(Plan!$C$7),0)</f>
        <v/>
      </c>
      <c r="AD39">
        <f>SUM(C39:N39)</f>
        <v/>
      </c>
      <c r="AE39">
        <f>SUM(O39:Z39)</f>
        <v/>
      </c>
      <c r="AF39">
        <f>IFERROR(ROUND(1/SUMPRODUCT(MAX((C38:N38&gt;0)*($C$3:$N$3&lt;=B39)*($C$2:$N$2&gt;AA39)/$C$2:$N$2)),0),0)</f>
        <v/>
      </c>
      <c r="AG39">
        <f>MAX(0,AC39-MAX(0,SUMPRODUCT(($C$2:$N$2=AA39)*(AH39:AS39-$C$7:$N$7))))</f>
        <v/>
      </c>
      <c r="AH39">
        <f>IF(C38&lt;=0,0,ROUND(C38*(1+IF(AND(C$6&gt;0,$B39&lt;C$6),C$4,C$5)/12),2))</f>
        <v/>
      </c>
      <c r="AI39">
        <f>IF(D38&lt;=0,0,ROUND(D38*(1+IF(AND(D$6&gt;0,$B39&lt;D$6),D$4,D$5)/12),2))</f>
        <v/>
      </c>
      <c r="AJ39">
        <f>IF(E38&lt;=0,0,ROUND(E38*(1+IF(AND(E$6&gt;0,$B39&lt;E$6),E$4,E$5)/12),2))</f>
        <v/>
      </c>
      <c r="AK39">
        <f>IF(F38&lt;=0,0,ROUND(F38*(1+IF(AND(F$6&gt;0,$B39&lt;F$6),F$4,F$5)/12),2))</f>
        <v/>
      </c>
      <c r="AL39">
        <f>IF(G38&lt;=0,0,ROUND(G38*(1+IF(AND(G$6&gt;0,$B39&lt;G$6),G$4,G$5)/12),2))</f>
        <v/>
      </c>
      <c r="AM39">
        <f>IF(H38&lt;=0,0,ROUND(H38*(1+IF(AND(H$6&gt;0,$B39&lt;H$6),H$4,H$5)/12),2))</f>
        <v/>
      </c>
      <c r="AN39">
        <f>IF(I38&lt;=0,0,ROUND(I38*(1+IF(AND(I$6&gt;0,$B39&lt;I$6),I$4,I$5)/12),2))</f>
        <v/>
      </c>
      <c r="AO39">
        <f>IF(J38&lt;=0,0,ROUND(J38*(1+IF(AND(J$6&gt;0,$B39&lt;J$6),J$4,J$5)/12),2))</f>
        <v/>
      </c>
      <c r="AP39">
        <f>IF(K38&lt;=0,0,ROUND(K38*(1+IF(AND(K$6&gt;0,$B39&lt;K$6),K$4,K$5)/12),2))</f>
        <v/>
      </c>
      <c r="AQ39">
        <f>IF(L38&lt;=0,0,ROUND(L38*(1+IF(AND(L$6&gt;0,$B39&lt;L$6),L$4,L$5)/12),2))</f>
        <v/>
      </c>
      <c r="AR39">
        <f>IF(M38&lt;=0,0,ROUND(M38*(1+IF(AND(M$6&gt;0,$B39&lt;M$6),M$4,M$5)/12),2))</f>
        <v/>
      </c>
      <c r="AS39">
        <f>IF(N38&lt;=0,0,ROUND(N38*(1+IF(AND(N$6&gt;0,$B39&lt;N$6),N$4,N$5)/12),2))</f>
        <v/>
      </c>
    </row>
    <row r="40">
      <c r="A40" t="n">
        <v>29</v>
      </c>
      <c r="B40">
        <f>EDATE(Plan!$C$6,28)</f>
        <v/>
      </c>
      <c r="C40">
        <f>IF(C39&lt;=0,0,MAX(0,AH40-O40))</f>
        <v/>
      </c>
      <c r="D40">
        <f>IF(D39&lt;=0,0,MAX(0,AI40-P40))</f>
        <v/>
      </c>
      <c r="E40">
        <f>IF(E39&lt;=0,0,MAX(0,AJ40-Q40))</f>
        <v/>
      </c>
      <c r="F40">
        <f>IF(F39&lt;=0,0,MAX(0,AK40-R40))</f>
        <v/>
      </c>
      <c r="G40">
        <f>IF(G39&lt;=0,0,MAX(0,AL40-S40))</f>
        <v/>
      </c>
      <c r="H40">
        <f>IF(H39&lt;=0,0,MAX(0,AM40-T40))</f>
        <v/>
      </c>
      <c r="I40">
        <f>IF(I39&lt;=0,0,MAX(0,AN40-U40))</f>
        <v/>
      </c>
      <c r="J40">
        <f>IF(J39&lt;=0,0,MAX(0,AO40-V40))</f>
        <v/>
      </c>
      <c r="K40">
        <f>IF(K39&lt;=0,0,MAX(0,AP40-W40))</f>
        <v/>
      </c>
      <c r="L40">
        <f>IF(L39&lt;=0,0,MAX(0,AQ40-X40))</f>
        <v/>
      </c>
      <c r="M40">
        <f>IF(M39&lt;=0,0,MAX(0,AR40-Y40))</f>
        <v/>
      </c>
      <c r="N40">
        <f>IF(N39&lt;=0,0,MAX(0,AS40-Z40))</f>
        <v/>
      </c>
      <c r="O40">
        <f>IF(C39&lt;=0,0,MIN(AH40,C$7+IF(C$2=$AA40,$AC40,IF(C$2=$AF40,$AG40,0))))</f>
        <v/>
      </c>
      <c r="P40">
        <f>IF(D39&lt;=0,0,MIN(AI40,D$7+IF(D$2=$AA40,$AC40,IF(D$2=$AF40,$AG40,0))))</f>
        <v/>
      </c>
      <c r="Q40">
        <f>IF(E39&lt;=0,0,MIN(AJ40,E$7+IF(E$2=$AA40,$AC40,IF(E$2=$AF40,$AG40,0))))</f>
        <v/>
      </c>
      <c r="R40">
        <f>IF(F39&lt;=0,0,MIN(AK40,F$7+IF(F$2=$AA40,$AC40,IF(F$2=$AF40,$AG40,0))))</f>
        <v/>
      </c>
      <c r="S40">
        <f>IF(G39&lt;=0,0,MIN(AL40,G$7+IF(G$2=$AA40,$AC40,IF(G$2=$AF40,$AG40,0))))</f>
        <v/>
      </c>
      <c r="T40">
        <f>IF(H39&lt;=0,0,MIN(AM40,H$7+IF(H$2=$AA40,$AC40,IF(H$2=$AF40,$AG40,0))))</f>
        <v/>
      </c>
      <c r="U40">
        <f>IF(I39&lt;=0,0,MIN(AN40,I$7+IF(I$2=$AA40,$AC40,IF(I$2=$AF40,$AG40,0))))</f>
        <v/>
      </c>
      <c r="V40">
        <f>IF(J39&lt;=0,0,MIN(AO40,J$7+IF(J$2=$AA40,$AC40,IF(J$2=$AF40,$AG40,0))))</f>
        <v/>
      </c>
      <c r="W40">
        <f>IF(K39&lt;=0,0,MIN(AP40,K$7+IF(K$2=$AA40,$AC40,IF(K$2=$AF40,$AG40,0))))</f>
        <v/>
      </c>
      <c r="X40">
        <f>IF(L39&lt;=0,0,MIN(AQ40,L$7+IF(L$2=$AA40,$AC40,IF(L$2=$AF40,$AG40,0))))</f>
        <v/>
      </c>
      <c r="Y40">
        <f>IF(M39&lt;=0,0,MIN(AR40,M$7+IF(M$2=$AA40,$AC40,IF(M$2=$AF40,$AG40,0))))</f>
        <v/>
      </c>
      <c r="Z40">
        <f>IF(N39&lt;=0,0,MIN(AS40,N$7+IF(N$2=$AA40,$AC40,IF(N$2=$AF40,$AG40,0))))</f>
        <v/>
      </c>
      <c r="AA40">
        <f>IFERROR(ROUND(1/SUMPRODUCT(MAX((C39:N39&gt;0)*($C$3:$N$3&lt;=B40)/$C$2:$N$2)),0),0)</f>
        <v/>
      </c>
      <c r="AB40">
        <f>SUMPRODUCT((C39:N39&gt;0)*$C$7:$N$7)</f>
        <v/>
      </c>
      <c r="AC40">
        <f>MAX(0,Plan!$C$5-AB40)+IF(A40=Plan!$C$8,N(Plan!$C$7),0)</f>
        <v/>
      </c>
      <c r="AD40">
        <f>SUM(C40:N40)</f>
        <v/>
      </c>
      <c r="AE40">
        <f>SUM(O40:Z40)</f>
        <v/>
      </c>
      <c r="AF40">
        <f>IFERROR(ROUND(1/SUMPRODUCT(MAX((C39:N39&gt;0)*($C$3:$N$3&lt;=B40)*($C$2:$N$2&gt;AA40)/$C$2:$N$2)),0),0)</f>
        <v/>
      </c>
      <c r="AG40">
        <f>MAX(0,AC40-MAX(0,SUMPRODUCT(($C$2:$N$2=AA40)*(AH40:AS40-$C$7:$N$7))))</f>
        <v/>
      </c>
      <c r="AH40">
        <f>IF(C39&lt;=0,0,ROUND(C39*(1+IF(AND(C$6&gt;0,$B40&lt;C$6),C$4,C$5)/12),2))</f>
        <v/>
      </c>
      <c r="AI40">
        <f>IF(D39&lt;=0,0,ROUND(D39*(1+IF(AND(D$6&gt;0,$B40&lt;D$6),D$4,D$5)/12),2))</f>
        <v/>
      </c>
      <c r="AJ40">
        <f>IF(E39&lt;=0,0,ROUND(E39*(1+IF(AND(E$6&gt;0,$B40&lt;E$6),E$4,E$5)/12),2))</f>
        <v/>
      </c>
      <c r="AK40">
        <f>IF(F39&lt;=0,0,ROUND(F39*(1+IF(AND(F$6&gt;0,$B40&lt;F$6),F$4,F$5)/12),2))</f>
        <v/>
      </c>
      <c r="AL40">
        <f>IF(G39&lt;=0,0,ROUND(G39*(1+IF(AND(G$6&gt;0,$B40&lt;G$6),G$4,G$5)/12),2))</f>
        <v/>
      </c>
      <c r="AM40">
        <f>IF(H39&lt;=0,0,ROUND(H39*(1+IF(AND(H$6&gt;0,$B40&lt;H$6),H$4,H$5)/12),2))</f>
        <v/>
      </c>
      <c r="AN40">
        <f>IF(I39&lt;=0,0,ROUND(I39*(1+IF(AND(I$6&gt;0,$B40&lt;I$6),I$4,I$5)/12),2))</f>
        <v/>
      </c>
      <c r="AO40">
        <f>IF(J39&lt;=0,0,ROUND(J39*(1+IF(AND(J$6&gt;0,$B40&lt;J$6),J$4,J$5)/12),2))</f>
        <v/>
      </c>
      <c r="AP40">
        <f>IF(K39&lt;=0,0,ROUND(K39*(1+IF(AND(K$6&gt;0,$B40&lt;K$6),K$4,K$5)/12),2))</f>
        <v/>
      </c>
      <c r="AQ40">
        <f>IF(L39&lt;=0,0,ROUND(L39*(1+IF(AND(L$6&gt;0,$B40&lt;L$6),L$4,L$5)/12),2))</f>
        <v/>
      </c>
      <c r="AR40">
        <f>IF(M39&lt;=0,0,ROUND(M39*(1+IF(AND(M$6&gt;0,$B40&lt;M$6),M$4,M$5)/12),2))</f>
        <v/>
      </c>
      <c r="AS40">
        <f>IF(N39&lt;=0,0,ROUND(N39*(1+IF(AND(N$6&gt;0,$B40&lt;N$6),N$4,N$5)/12),2))</f>
        <v/>
      </c>
    </row>
    <row r="41">
      <c r="A41" t="n">
        <v>30</v>
      </c>
      <c r="B41">
        <f>EDATE(Plan!$C$6,29)</f>
        <v/>
      </c>
      <c r="C41">
        <f>IF(C40&lt;=0,0,MAX(0,AH41-O41))</f>
        <v/>
      </c>
      <c r="D41">
        <f>IF(D40&lt;=0,0,MAX(0,AI41-P41))</f>
        <v/>
      </c>
      <c r="E41">
        <f>IF(E40&lt;=0,0,MAX(0,AJ41-Q41))</f>
        <v/>
      </c>
      <c r="F41">
        <f>IF(F40&lt;=0,0,MAX(0,AK41-R41))</f>
        <v/>
      </c>
      <c r="G41">
        <f>IF(G40&lt;=0,0,MAX(0,AL41-S41))</f>
        <v/>
      </c>
      <c r="H41">
        <f>IF(H40&lt;=0,0,MAX(0,AM41-T41))</f>
        <v/>
      </c>
      <c r="I41">
        <f>IF(I40&lt;=0,0,MAX(0,AN41-U41))</f>
        <v/>
      </c>
      <c r="J41">
        <f>IF(J40&lt;=0,0,MAX(0,AO41-V41))</f>
        <v/>
      </c>
      <c r="K41">
        <f>IF(K40&lt;=0,0,MAX(0,AP41-W41))</f>
        <v/>
      </c>
      <c r="L41">
        <f>IF(L40&lt;=0,0,MAX(0,AQ41-X41))</f>
        <v/>
      </c>
      <c r="M41">
        <f>IF(M40&lt;=0,0,MAX(0,AR41-Y41))</f>
        <v/>
      </c>
      <c r="N41">
        <f>IF(N40&lt;=0,0,MAX(0,AS41-Z41))</f>
        <v/>
      </c>
      <c r="O41">
        <f>IF(C40&lt;=0,0,MIN(AH41,C$7+IF(C$2=$AA41,$AC41,IF(C$2=$AF41,$AG41,0))))</f>
        <v/>
      </c>
      <c r="P41">
        <f>IF(D40&lt;=0,0,MIN(AI41,D$7+IF(D$2=$AA41,$AC41,IF(D$2=$AF41,$AG41,0))))</f>
        <v/>
      </c>
      <c r="Q41">
        <f>IF(E40&lt;=0,0,MIN(AJ41,E$7+IF(E$2=$AA41,$AC41,IF(E$2=$AF41,$AG41,0))))</f>
        <v/>
      </c>
      <c r="R41">
        <f>IF(F40&lt;=0,0,MIN(AK41,F$7+IF(F$2=$AA41,$AC41,IF(F$2=$AF41,$AG41,0))))</f>
        <v/>
      </c>
      <c r="S41">
        <f>IF(G40&lt;=0,0,MIN(AL41,G$7+IF(G$2=$AA41,$AC41,IF(G$2=$AF41,$AG41,0))))</f>
        <v/>
      </c>
      <c r="T41">
        <f>IF(H40&lt;=0,0,MIN(AM41,H$7+IF(H$2=$AA41,$AC41,IF(H$2=$AF41,$AG41,0))))</f>
        <v/>
      </c>
      <c r="U41">
        <f>IF(I40&lt;=0,0,MIN(AN41,I$7+IF(I$2=$AA41,$AC41,IF(I$2=$AF41,$AG41,0))))</f>
        <v/>
      </c>
      <c r="V41">
        <f>IF(J40&lt;=0,0,MIN(AO41,J$7+IF(J$2=$AA41,$AC41,IF(J$2=$AF41,$AG41,0))))</f>
        <v/>
      </c>
      <c r="W41">
        <f>IF(K40&lt;=0,0,MIN(AP41,K$7+IF(K$2=$AA41,$AC41,IF(K$2=$AF41,$AG41,0))))</f>
        <v/>
      </c>
      <c r="X41">
        <f>IF(L40&lt;=0,0,MIN(AQ41,L$7+IF(L$2=$AA41,$AC41,IF(L$2=$AF41,$AG41,0))))</f>
        <v/>
      </c>
      <c r="Y41">
        <f>IF(M40&lt;=0,0,MIN(AR41,M$7+IF(M$2=$AA41,$AC41,IF(M$2=$AF41,$AG41,0))))</f>
        <v/>
      </c>
      <c r="Z41">
        <f>IF(N40&lt;=0,0,MIN(AS41,N$7+IF(N$2=$AA41,$AC41,IF(N$2=$AF41,$AG41,0))))</f>
        <v/>
      </c>
      <c r="AA41">
        <f>IFERROR(ROUND(1/SUMPRODUCT(MAX((C40:N40&gt;0)*($C$3:$N$3&lt;=B41)/$C$2:$N$2)),0),0)</f>
        <v/>
      </c>
      <c r="AB41">
        <f>SUMPRODUCT((C40:N40&gt;0)*$C$7:$N$7)</f>
        <v/>
      </c>
      <c r="AC41">
        <f>MAX(0,Plan!$C$5-AB41)+IF(A41=Plan!$C$8,N(Plan!$C$7),0)</f>
        <v/>
      </c>
      <c r="AD41">
        <f>SUM(C41:N41)</f>
        <v/>
      </c>
      <c r="AE41">
        <f>SUM(O41:Z41)</f>
        <v/>
      </c>
      <c r="AF41">
        <f>IFERROR(ROUND(1/SUMPRODUCT(MAX((C40:N40&gt;0)*($C$3:$N$3&lt;=B41)*($C$2:$N$2&gt;AA41)/$C$2:$N$2)),0),0)</f>
        <v/>
      </c>
      <c r="AG41">
        <f>MAX(0,AC41-MAX(0,SUMPRODUCT(($C$2:$N$2=AA41)*(AH41:AS41-$C$7:$N$7))))</f>
        <v/>
      </c>
      <c r="AH41">
        <f>IF(C40&lt;=0,0,ROUND(C40*(1+IF(AND(C$6&gt;0,$B41&lt;C$6),C$4,C$5)/12),2))</f>
        <v/>
      </c>
      <c r="AI41">
        <f>IF(D40&lt;=0,0,ROUND(D40*(1+IF(AND(D$6&gt;0,$B41&lt;D$6),D$4,D$5)/12),2))</f>
        <v/>
      </c>
      <c r="AJ41">
        <f>IF(E40&lt;=0,0,ROUND(E40*(1+IF(AND(E$6&gt;0,$B41&lt;E$6),E$4,E$5)/12),2))</f>
        <v/>
      </c>
      <c r="AK41">
        <f>IF(F40&lt;=0,0,ROUND(F40*(1+IF(AND(F$6&gt;0,$B41&lt;F$6),F$4,F$5)/12),2))</f>
        <v/>
      </c>
      <c r="AL41">
        <f>IF(G40&lt;=0,0,ROUND(G40*(1+IF(AND(G$6&gt;0,$B41&lt;G$6),G$4,G$5)/12),2))</f>
        <v/>
      </c>
      <c r="AM41">
        <f>IF(H40&lt;=0,0,ROUND(H40*(1+IF(AND(H$6&gt;0,$B41&lt;H$6),H$4,H$5)/12),2))</f>
        <v/>
      </c>
      <c r="AN41">
        <f>IF(I40&lt;=0,0,ROUND(I40*(1+IF(AND(I$6&gt;0,$B41&lt;I$6),I$4,I$5)/12),2))</f>
        <v/>
      </c>
      <c r="AO41">
        <f>IF(J40&lt;=0,0,ROUND(J40*(1+IF(AND(J$6&gt;0,$B41&lt;J$6),J$4,J$5)/12),2))</f>
        <v/>
      </c>
      <c r="AP41">
        <f>IF(K40&lt;=0,0,ROUND(K40*(1+IF(AND(K$6&gt;0,$B41&lt;K$6),K$4,K$5)/12),2))</f>
        <v/>
      </c>
      <c r="AQ41">
        <f>IF(L40&lt;=0,0,ROUND(L40*(1+IF(AND(L$6&gt;0,$B41&lt;L$6),L$4,L$5)/12),2))</f>
        <v/>
      </c>
      <c r="AR41">
        <f>IF(M40&lt;=0,0,ROUND(M40*(1+IF(AND(M$6&gt;0,$B41&lt;M$6),M$4,M$5)/12),2))</f>
        <v/>
      </c>
      <c r="AS41">
        <f>IF(N40&lt;=0,0,ROUND(N40*(1+IF(AND(N$6&gt;0,$B41&lt;N$6),N$4,N$5)/12),2))</f>
        <v/>
      </c>
    </row>
    <row r="42">
      <c r="A42" t="n">
        <v>31</v>
      </c>
      <c r="B42">
        <f>EDATE(Plan!$C$6,30)</f>
        <v/>
      </c>
      <c r="C42">
        <f>IF(C41&lt;=0,0,MAX(0,AH42-O42))</f>
        <v/>
      </c>
      <c r="D42">
        <f>IF(D41&lt;=0,0,MAX(0,AI42-P42))</f>
        <v/>
      </c>
      <c r="E42">
        <f>IF(E41&lt;=0,0,MAX(0,AJ42-Q42))</f>
        <v/>
      </c>
      <c r="F42">
        <f>IF(F41&lt;=0,0,MAX(0,AK42-R42))</f>
        <v/>
      </c>
      <c r="G42">
        <f>IF(G41&lt;=0,0,MAX(0,AL42-S42))</f>
        <v/>
      </c>
      <c r="H42">
        <f>IF(H41&lt;=0,0,MAX(0,AM42-T42))</f>
        <v/>
      </c>
      <c r="I42">
        <f>IF(I41&lt;=0,0,MAX(0,AN42-U42))</f>
        <v/>
      </c>
      <c r="J42">
        <f>IF(J41&lt;=0,0,MAX(0,AO42-V42))</f>
        <v/>
      </c>
      <c r="K42">
        <f>IF(K41&lt;=0,0,MAX(0,AP42-W42))</f>
        <v/>
      </c>
      <c r="L42">
        <f>IF(L41&lt;=0,0,MAX(0,AQ42-X42))</f>
        <v/>
      </c>
      <c r="M42">
        <f>IF(M41&lt;=0,0,MAX(0,AR42-Y42))</f>
        <v/>
      </c>
      <c r="N42">
        <f>IF(N41&lt;=0,0,MAX(0,AS42-Z42))</f>
        <v/>
      </c>
      <c r="O42">
        <f>IF(C41&lt;=0,0,MIN(AH42,C$7+IF(C$2=$AA42,$AC42,IF(C$2=$AF42,$AG42,0))))</f>
        <v/>
      </c>
      <c r="P42">
        <f>IF(D41&lt;=0,0,MIN(AI42,D$7+IF(D$2=$AA42,$AC42,IF(D$2=$AF42,$AG42,0))))</f>
        <v/>
      </c>
      <c r="Q42">
        <f>IF(E41&lt;=0,0,MIN(AJ42,E$7+IF(E$2=$AA42,$AC42,IF(E$2=$AF42,$AG42,0))))</f>
        <v/>
      </c>
      <c r="R42">
        <f>IF(F41&lt;=0,0,MIN(AK42,F$7+IF(F$2=$AA42,$AC42,IF(F$2=$AF42,$AG42,0))))</f>
        <v/>
      </c>
      <c r="S42">
        <f>IF(G41&lt;=0,0,MIN(AL42,G$7+IF(G$2=$AA42,$AC42,IF(G$2=$AF42,$AG42,0))))</f>
        <v/>
      </c>
      <c r="T42">
        <f>IF(H41&lt;=0,0,MIN(AM42,H$7+IF(H$2=$AA42,$AC42,IF(H$2=$AF42,$AG42,0))))</f>
        <v/>
      </c>
      <c r="U42">
        <f>IF(I41&lt;=0,0,MIN(AN42,I$7+IF(I$2=$AA42,$AC42,IF(I$2=$AF42,$AG42,0))))</f>
        <v/>
      </c>
      <c r="V42">
        <f>IF(J41&lt;=0,0,MIN(AO42,J$7+IF(J$2=$AA42,$AC42,IF(J$2=$AF42,$AG42,0))))</f>
        <v/>
      </c>
      <c r="W42">
        <f>IF(K41&lt;=0,0,MIN(AP42,K$7+IF(K$2=$AA42,$AC42,IF(K$2=$AF42,$AG42,0))))</f>
        <v/>
      </c>
      <c r="X42">
        <f>IF(L41&lt;=0,0,MIN(AQ42,L$7+IF(L$2=$AA42,$AC42,IF(L$2=$AF42,$AG42,0))))</f>
        <v/>
      </c>
      <c r="Y42">
        <f>IF(M41&lt;=0,0,MIN(AR42,M$7+IF(M$2=$AA42,$AC42,IF(M$2=$AF42,$AG42,0))))</f>
        <v/>
      </c>
      <c r="Z42">
        <f>IF(N41&lt;=0,0,MIN(AS42,N$7+IF(N$2=$AA42,$AC42,IF(N$2=$AF42,$AG42,0))))</f>
        <v/>
      </c>
      <c r="AA42">
        <f>IFERROR(ROUND(1/SUMPRODUCT(MAX((C41:N41&gt;0)*($C$3:$N$3&lt;=B42)/$C$2:$N$2)),0),0)</f>
        <v/>
      </c>
      <c r="AB42">
        <f>SUMPRODUCT((C41:N41&gt;0)*$C$7:$N$7)</f>
        <v/>
      </c>
      <c r="AC42">
        <f>MAX(0,Plan!$C$5-AB42)+IF(A42=Plan!$C$8,N(Plan!$C$7),0)</f>
        <v/>
      </c>
      <c r="AD42">
        <f>SUM(C42:N42)</f>
        <v/>
      </c>
      <c r="AE42">
        <f>SUM(O42:Z42)</f>
        <v/>
      </c>
      <c r="AF42">
        <f>IFERROR(ROUND(1/SUMPRODUCT(MAX((C41:N41&gt;0)*($C$3:$N$3&lt;=B42)*($C$2:$N$2&gt;AA42)/$C$2:$N$2)),0),0)</f>
        <v/>
      </c>
      <c r="AG42">
        <f>MAX(0,AC42-MAX(0,SUMPRODUCT(($C$2:$N$2=AA42)*(AH42:AS42-$C$7:$N$7))))</f>
        <v/>
      </c>
      <c r="AH42">
        <f>IF(C41&lt;=0,0,ROUND(C41*(1+IF(AND(C$6&gt;0,$B42&lt;C$6),C$4,C$5)/12),2))</f>
        <v/>
      </c>
      <c r="AI42">
        <f>IF(D41&lt;=0,0,ROUND(D41*(1+IF(AND(D$6&gt;0,$B42&lt;D$6),D$4,D$5)/12),2))</f>
        <v/>
      </c>
      <c r="AJ42">
        <f>IF(E41&lt;=0,0,ROUND(E41*(1+IF(AND(E$6&gt;0,$B42&lt;E$6),E$4,E$5)/12),2))</f>
        <v/>
      </c>
      <c r="AK42">
        <f>IF(F41&lt;=0,0,ROUND(F41*(1+IF(AND(F$6&gt;0,$B42&lt;F$6),F$4,F$5)/12),2))</f>
        <v/>
      </c>
      <c r="AL42">
        <f>IF(G41&lt;=0,0,ROUND(G41*(1+IF(AND(G$6&gt;0,$B42&lt;G$6),G$4,G$5)/12),2))</f>
        <v/>
      </c>
      <c r="AM42">
        <f>IF(H41&lt;=0,0,ROUND(H41*(1+IF(AND(H$6&gt;0,$B42&lt;H$6),H$4,H$5)/12),2))</f>
        <v/>
      </c>
      <c r="AN42">
        <f>IF(I41&lt;=0,0,ROUND(I41*(1+IF(AND(I$6&gt;0,$B42&lt;I$6),I$4,I$5)/12),2))</f>
        <v/>
      </c>
      <c r="AO42">
        <f>IF(J41&lt;=0,0,ROUND(J41*(1+IF(AND(J$6&gt;0,$B42&lt;J$6),J$4,J$5)/12),2))</f>
        <v/>
      </c>
      <c r="AP42">
        <f>IF(K41&lt;=0,0,ROUND(K41*(1+IF(AND(K$6&gt;0,$B42&lt;K$6),K$4,K$5)/12),2))</f>
        <v/>
      </c>
      <c r="AQ42">
        <f>IF(L41&lt;=0,0,ROUND(L41*(1+IF(AND(L$6&gt;0,$B42&lt;L$6),L$4,L$5)/12),2))</f>
        <v/>
      </c>
      <c r="AR42">
        <f>IF(M41&lt;=0,0,ROUND(M41*(1+IF(AND(M$6&gt;0,$B42&lt;M$6),M$4,M$5)/12),2))</f>
        <v/>
      </c>
      <c r="AS42">
        <f>IF(N41&lt;=0,0,ROUND(N41*(1+IF(AND(N$6&gt;0,$B42&lt;N$6),N$4,N$5)/12),2))</f>
        <v/>
      </c>
    </row>
    <row r="43">
      <c r="A43" t="n">
        <v>32</v>
      </c>
      <c r="B43">
        <f>EDATE(Plan!$C$6,31)</f>
        <v/>
      </c>
      <c r="C43">
        <f>IF(C42&lt;=0,0,MAX(0,AH43-O43))</f>
        <v/>
      </c>
      <c r="D43">
        <f>IF(D42&lt;=0,0,MAX(0,AI43-P43))</f>
        <v/>
      </c>
      <c r="E43">
        <f>IF(E42&lt;=0,0,MAX(0,AJ43-Q43))</f>
        <v/>
      </c>
      <c r="F43">
        <f>IF(F42&lt;=0,0,MAX(0,AK43-R43))</f>
        <v/>
      </c>
      <c r="G43">
        <f>IF(G42&lt;=0,0,MAX(0,AL43-S43))</f>
        <v/>
      </c>
      <c r="H43">
        <f>IF(H42&lt;=0,0,MAX(0,AM43-T43))</f>
        <v/>
      </c>
      <c r="I43">
        <f>IF(I42&lt;=0,0,MAX(0,AN43-U43))</f>
        <v/>
      </c>
      <c r="J43">
        <f>IF(J42&lt;=0,0,MAX(0,AO43-V43))</f>
        <v/>
      </c>
      <c r="K43">
        <f>IF(K42&lt;=0,0,MAX(0,AP43-W43))</f>
        <v/>
      </c>
      <c r="L43">
        <f>IF(L42&lt;=0,0,MAX(0,AQ43-X43))</f>
        <v/>
      </c>
      <c r="M43">
        <f>IF(M42&lt;=0,0,MAX(0,AR43-Y43))</f>
        <v/>
      </c>
      <c r="N43">
        <f>IF(N42&lt;=0,0,MAX(0,AS43-Z43))</f>
        <v/>
      </c>
      <c r="O43">
        <f>IF(C42&lt;=0,0,MIN(AH43,C$7+IF(C$2=$AA43,$AC43,IF(C$2=$AF43,$AG43,0))))</f>
        <v/>
      </c>
      <c r="P43">
        <f>IF(D42&lt;=0,0,MIN(AI43,D$7+IF(D$2=$AA43,$AC43,IF(D$2=$AF43,$AG43,0))))</f>
        <v/>
      </c>
      <c r="Q43">
        <f>IF(E42&lt;=0,0,MIN(AJ43,E$7+IF(E$2=$AA43,$AC43,IF(E$2=$AF43,$AG43,0))))</f>
        <v/>
      </c>
      <c r="R43">
        <f>IF(F42&lt;=0,0,MIN(AK43,F$7+IF(F$2=$AA43,$AC43,IF(F$2=$AF43,$AG43,0))))</f>
        <v/>
      </c>
      <c r="S43">
        <f>IF(G42&lt;=0,0,MIN(AL43,G$7+IF(G$2=$AA43,$AC43,IF(G$2=$AF43,$AG43,0))))</f>
        <v/>
      </c>
      <c r="T43">
        <f>IF(H42&lt;=0,0,MIN(AM43,H$7+IF(H$2=$AA43,$AC43,IF(H$2=$AF43,$AG43,0))))</f>
        <v/>
      </c>
      <c r="U43">
        <f>IF(I42&lt;=0,0,MIN(AN43,I$7+IF(I$2=$AA43,$AC43,IF(I$2=$AF43,$AG43,0))))</f>
        <v/>
      </c>
      <c r="V43">
        <f>IF(J42&lt;=0,0,MIN(AO43,J$7+IF(J$2=$AA43,$AC43,IF(J$2=$AF43,$AG43,0))))</f>
        <v/>
      </c>
      <c r="W43">
        <f>IF(K42&lt;=0,0,MIN(AP43,K$7+IF(K$2=$AA43,$AC43,IF(K$2=$AF43,$AG43,0))))</f>
        <v/>
      </c>
      <c r="X43">
        <f>IF(L42&lt;=0,0,MIN(AQ43,L$7+IF(L$2=$AA43,$AC43,IF(L$2=$AF43,$AG43,0))))</f>
        <v/>
      </c>
      <c r="Y43">
        <f>IF(M42&lt;=0,0,MIN(AR43,M$7+IF(M$2=$AA43,$AC43,IF(M$2=$AF43,$AG43,0))))</f>
        <v/>
      </c>
      <c r="Z43">
        <f>IF(N42&lt;=0,0,MIN(AS43,N$7+IF(N$2=$AA43,$AC43,IF(N$2=$AF43,$AG43,0))))</f>
        <v/>
      </c>
      <c r="AA43">
        <f>IFERROR(ROUND(1/SUMPRODUCT(MAX((C42:N42&gt;0)*($C$3:$N$3&lt;=B43)/$C$2:$N$2)),0),0)</f>
        <v/>
      </c>
      <c r="AB43">
        <f>SUMPRODUCT((C42:N42&gt;0)*$C$7:$N$7)</f>
        <v/>
      </c>
      <c r="AC43">
        <f>MAX(0,Plan!$C$5-AB43)+IF(A43=Plan!$C$8,N(Plan!$C$7),0)</f>
        <v/>
      </c>
      <c r="AD43">
        <f>SUM(C43:N43)</f>
        <v/>
      </c>
      <c r="AE43">
        <f>SUM(O43:Z43)</f>
        <v/>
      </c>
      <c r="AF43">
        <f>IFERROR(ROUND(1/SUMPRODUCT(MAX((C42:N42&gt;0)*($C$3:$N$3&lt;=B43)*($C$2:$N$2&gt;AA43)/$C$2:$N$2)),0),0)</f>
        <v/>
      </c>
      <c r="AG43">
        <f>MAX(0,AC43-MAX(0,SUMPRODUCT(($C$2:$N$2=AA43)*(AH43:AS43-$C$7:$N$7))))</f>
        <v/>
      </c>
      <c r="AH43">
        <f>IF(C42&lt;=0,0,ROUND(C42*(1+IF(AND(C$6&gt;0,$B43&lt;C$6),C$4,C$5)/12),2))</f>
        <v/>
      </c>
      <c r="AI43">
        <f>IF(D42&lt;=0,0,ROUND(D42*(1+IF(AND(D$6&gt;0,$B43&lt;D$6),D$4,D$5)/12),2))</f>
        <v/>
      </c>
      <c r="AJ43">
        <f>IF(E42&lt;=0,0,ROUND(E42*(1+IF(AND(E$6&gt;0,$B43&lt;E$6),E$4,E$5)/12),2))</f>
        <v/>
      </c>
      <c r="AK43">
        <f>IF(F42&lt;=0,0,ROUND(F42*(1+IF(AND(F$6&gt;0,$B43&lt;F$6),F$4,F$5)/12),2))</f>
        <v/>
      </c>
      <c r="AL43">
        <f>IF(G42&lt;=0,0,ROUND(G42*(1+IF(AND(G$6&gt;0,$B43&lt;G$6),G$4,G$5)/12),2))</f>
        <v/>
      </c>
      <c r="AM43">
        <f>IF(H42&lt;=0,0,ROUND(H42*(1+IF(AND(H$6&gt;0,$B43&lt;H$6),H$4,H$5)/12),2))</f>
        <v/>
      </c>
      <c r="AN43">
        <f>IF(I42&lt;=0,0,ROUND(I42*(1+IF(AND(I$6&gt;0,$B43&lt;I$6),I$4,I$5)/12),2))</f>
        <v/>
      </c>
      <c r="AO43">
        <f>IF(J42&lt;=0,0,ROUND(J42*(1+IF(AND(J$6&gt;0,$B43&lt;J$6),J$4,J$5)/12),2))</f>
        <v/>
      </c>
      <c r="AP43">
        <f>IF(K42&lt;=0,0,ROUND(K42*(1+IF(AND(K$6&gt;0,$B43&lt;K$6),K$4,K$5)/12),2))</f>
        <v/>
      </c>
      <c r="AQ43">
        <f>IF(L42&lt;=0,0,ROUND(L42*(1+IF(AND(L$6&gt;0,$B43&lt;L$6),L$4,L$5)/12),2))</f>
        <v/>
      </c>
      <c r="AR43">
        <f>IF(M42&lt;=0,0,ROUND(M42*(1+IF(AND(M$6&gt;0,$B43&lt;M$6),M$4,M$5)/12),2))</f>
        <v/>
      </c>
      <c r="AS43">
        <f>IF(N42&lt;=0,0,ROUND(N42*(1+IF(AND(N$6&gt;0,$B43&lt;N$6),N$4,N$5)/12),2))</f>
        <v/>
      </c>
    </row>
    <row r="44">
      <c r="A44" t="n">
        <v>33</v>
      </c>
      <c r="B44">
        <f>EDATE(Plan!$C$6,32)</f>
        <v/>
      </c>
      <c r="C44">
        <f>IF(C43&lt;=0,0,MAX(0,AH44-O44))</f>
        <v/>
      </c>
      <c r="D44">
        <f>IF(D43&lt;=0,0,MAX(0,AI44-P44))</f>
        <v/>
      </c>
      <c r="E44">
        <f>IF(E43&lt;=0,0,MAX(0,AJ44-Q44))</f>
        <v/>
      </c>
      <c r="F44">
        <f>IF(F43&lt;=0,0,MAX(0,AK44-R44))</f>
        <v/>
      </c>
      <c r="G44">
        <f>IF(G43&lt;=0,0,MAX(0,AL44-S44))</f>
        <v/>
      </c>
      <c r="H44">
        <f>IF(H43&lt;=0,0,MAX(0,AM44-T44))</f>
        <v/>
      </c>
      <c r="I44">
        <f>IF(I43&lt;=0,0,MAX(0,AN44-U44))</f>
        <v/>
      </c>
      <c r="J44">
        <f>IF(J43&lt;=0,0,MAX(0,AO44-V44))</f>
        <v/>
      </c>
      <c r="K44">
        <f>IF(K43&lt;=0,0,MAX(0,AP44-W44))</f>
        <v/>
      </c>
      <c r="L44">
        <f>IF(L43&lt;=0,0,MAX(0,AQ44-X44))</f>
        <v/>
      </c>
      <c r="M44">
        <f>IF(M43&lt;=0,0,MAX(0,AR44-Y44))</f>
        <v/>
      </c>
      <c r="N44">
        <f>IF(N43&lt;=0,0,MAX(0,AS44-Z44))</f>
        <v/>
      </c>
      <c r="O44">
        <f>IF(C43&lt;=0,0,MIN(AH44,C$7+IF(C$2=$AA44,$AC44,IF(C$2=$AF44,$AG44,0))))</f>
        <v/>
      </c>
      <c r="P44">
        <f>IF(D43&lt;=0,0,MIN(AI44,D$7+IF(D$2=$AA44,$AC44,IF(D$2=$AF44,$AG44,0))))</f>
        <v/>
      </c>
      <c r="Q44">
        <f>IF(E43&lt;=0,0,MIN(AJ44,E$7+IF(E$2=$AA44,$AC44,IF(E$2=$AF44,$AG44,0))))</f>
        <v/>
      </c>
      <c r="R44">
        <f>IF(F43&lt;=0,0,MIN(AK44,F$7+IF(F$2=$AA44,$AC44,IF(F$2=$AF44,$AG44,0))))</f>
        <v/>
      </c>
      <c r="S44">
        <f>IF(G43&lt;=0,0,MIN(AL44,G$7+IF(G$2=$AA44,$AC44,IF(G$2=$AF44,$AG44,0))))</f>
        <v/>
      </c>
      <c r="T44">
        <f>IF(H43&lt;=0,0,MIN(AM44,H$7+IF(H$2=$AA44,$AC44,IF(H$2=$AF44,$AG44,0))))</f>
        <v/>
      </c>
      <c r="U44">
        <f>IF(I43&lt;=0,0,MIN(AN44,I$7+IF(I$2=$AA44,$AC44,IF(I$2=$AF44,$AG44,0))))</f>
        <v/>
      </c>
      <c r="V44">
        <f>IF(J43&lt;=0,0,MIN(AO44,J$7+IF(J$2=$AA44,$AC44,IF(J$2=$AF44,$AG44,0))))</f>
        <v/>
      </c>
      <c r="W44">
        <f>IF(K43&lt;=0,0,MIN(AP44,K$7+IF(K$2=$AA44,$AC44,IF(K$2=$AF44,$AG44,0))))</f>
        <v/>
      </c>
      <c r="X44">
        <f>IF(L43&lt;=0,0,MIN(AQ44,L$7+IF(L$2=$AA44,$AC44,IF(L$2=$AF44,$AG44,0))))</f>
        <v/>
      </c>
      <c r="Y44">
        <f>IF(M43&lt;=0,0,MIN(AR44,M$7+IF(M$2=$AA44,$AC44,IF(M$2=$AF44,$AG44,0))))</f>
        <v/>
      </c>
      <c r="Z44">
        <f>IF(N43&lt;=0,0,MIN(AS44,N$7+IF(N$2=$AA44,$AC44,IF(N$2=$AF44,$AG44,0))))</f>
        <v/>
      </c>
      <c r="AA44">
        <f>IFERROR(ROUND(1/SUMPRODUCT(MAX((C43:N43&gt;0)*($C$3:$N$3&lt;=B44)/$C$2:$N$2)),0),0)</f>
        <v/>
      </c>
      <c r="AB44">
        <f>SUMPRODUCT((C43:N43&gt;0)*$C$7:$N$7)</f>
        <v/>
      </c>
      <c r="AC44">
        <f>MAX(0,Plan!$C$5-AB44)+IF(A44=Plan!$C$8,N(Plan!$C$7),0)</f>
        <v/>
      </c>
      <c r="AD44">
        <f>SUM(C44:N44)</f>
        <v/>
      </c>
      <c r="AE44">
        <f>SUM(O44:Z44)</f>
        <v/>
      </c>
      <c r="AF44">
        <f>IFERROR(ROUND(1/SUMPRODUCT(MAX((C43:N43&gt;0)*($C$3:$N$3&lt;=B44)*($C$2:$N$2&gt;AA44)/$C$2:$N$2)),0),0)</f>
        <v/>
      </c>
      <c r="AG44">
        <f>MAX(0,AC44-MAX(0,SUMPRODUCT(($C$2:$N$2=AA44)*(AH44:AS44-$C$7:$N$7))))</f>
        <v/>
      </c>
      <c r="AH44">
        <f>IF(C43&lt;=0,0,ROUND(C43*(1+IF(AND(C$6&gt;0,$B44&lt;C$6),C$4,C$5)/12),2))</f>
        <v/>
      </c>
      <c r="AI44">
        <f>IF(D43&lt;=0,0,ROUND(D43*(1+IF(AND(D$6&gt;0,$B44&lt;D$6),D$4,D$5)/12),2))</f>
        <v/>
      </c>
      <c r="AJ44">
        <f>IF(E43&lt;=0,0,ROUND(E43*(1+IF(AND(E$6&gt;0,$B44&lt;E$6),E$4,E$5)/12),2))</f>
        <v/>
      </c>
      <c r="AK44">
        <f>IF(F43&lt;=0,0,ROUND(F43*(1+IF(AND(F$6&gt;0,$B44&lt;F$6),F$4,F$5)/12),2))</f>
        <v/>
      </c>
      <c r="AL44">
        <f>IF(G43&lt;=0,0,ROUND(G43*(1+IF(AND(G$6&gt;0,$B44&lt;G$6),G$4,G$5)/12),2))</f>
        <v/>
      </c>
      <c r="AM44">
        <f>IF(H43&lt;=0,0,ROUND(H43*(1+IF(AND(H$6&gt;0,$B44&lt;H$6),H$4,H$5)/12),2))</f>
        <v/>
      </c>
      <c r="AN44">
        <f>IF(I43&lt;=0,0,ROUND(I43*(1+IF(AND(I$6&gt;0,$B44&lt;I$6),I$4,I$5)/12),2))</f>
        <v/>
      </c>
      <c r="AO44">
        <f>IF(J43&lt;=0,0,ROUND(J43*(1+IF(AND(J$6&gt;0,$B44&lt;J$6),J$4,J$5)/12),2))</f>
        <v/>
      </c>
      <c r="AP44">
        <f>IF(K43&lt;=0,0,ROUND(K43*(1+IF(AND(K$6&gt;0,$B44&lt;K$6),K$4,K$5)/12),2))</f>
        <v/>
      </c>
      <c r="AQ44">
        <f>IF(L43&lt;=0,0,ROUND(L43*(1+IF(AND(L$6&gt;0,$B44&lt;L$6),L$4,L$5)/12),2))</f>
        <v/>
      </c>
      <c r="AR44">
        <f>IF(M43&lt;=0,0,ROUND(M43*(1+IF(AND(M$6&gt;0,$B44&lt;M$6),M$4,M$5)/12),2))</f>
        <v/>
      </c>
      <c r="AS44">
        <f>IF(N43&lt;=0,0,ROUND(N43*(1+IF(AND(N$6&gt;0,$B44&lt;N$6),N$4,N$5)/12),2))</f>
        <v/>
      </c>
    </row>
    <row r="45">
      <c r="A45" t="n">
        <v>34</v>
      </c>
      <c r="B45">
        <f>EDATE(Plan!$C$6,33)</f>
        <v/>
      </c>
      <c r="C45">
        <f>IF(C44&lt;=0,0,MAX(0,AH45-O45))</f>
        <v/>
      </c>
      <c r="D45">
        <f>IF(D44&lt;=0,0,MAX(0,AI45-P45))</f>
        <v/>
      </c>
      <c r="E45">
        <f>IF(E44&lt;=0,0,MAX(0,AJ45-Q45))</f>
        <v/>
      </c>
      <c r="F45">
        <f>IF(F44&lt;=0,0,MAX(0,AK45-R45))</f>
        <v/>
      </c>
      <c r="G45">
        <f>IF(G44&lt;=0,0,MAX(0,AL45-S45))</f>
        <v/>
      </c>
      <c r="H45">
        <f>IF(H44&lt;=0,0,MAX(0,AM45-T45))</f>
        <v/>
      </c>
      <c r="I45">
        <f>IF(I44&lt;=0,0,MAX(0,AN45-U45))</f>
        <v/>
      </c>
      <c r="J45">
        <f>IF(J44&lt;=0,0,MAX(0,AO45-V45))</f>
        <v/>
      </c>
      <c r="K45">
        <f>IF(K44&lt;=0,0,MAX(0,AP45-W45))</f>
        <v/>
      </c>
      <c r="L45">
        <f>IF(L44&lt;=0,0,MAX(0,AQ45-X45))</f>
        <v/>
      </c>
      <c r="M45">
        <f>IF(M44&lt;=0,0,MAX(0,AR45-Y45))</f>
        <v/>
      </c>
      <c r="N45">
        <f>IF(N44&lt;=0,0,MAX(0,AS45-Z45))</f>
        <v/>
      </c>
      <c r="O45">
        <f>IF(C44&lt;=0,0,MIN(AH45,C$7+IF(C$2=$AA45,$AC45,IF(C$2=$AF45,$AG45,0))))</f>
        <v/>
      </c>
      <c r="P45">
        <f>IF(D44&lt;=0,0,MIN(AI45,D$7+IF(D$2=$AA45,$AC45,IF(D$2=$AF45,$AG45,0))))</f>
        <v/>
      </c>
      <c r="Q45">
        <f>IF(E44&lt;=0,0,MIN(AJ45,E$7+IF(E$2=$AA45,$AC45,IF(E$2=$AF45,$AG45,0))))</f>
        <v/>
      </c>
      <c r="R45">
        <f>IF(F44&lt;=0,0,MIN(AK45,F$7+IF(F$2=$AA45,$AC45,IF(F$2=$AF45,$AG45,0))))</f>
        <v/>
      </c>
      <c r="S45">
        <f>IF(G44&lt;=0,0,MIN(AL45,G$7+IF(G$2=$AA45,$AC45,IF(G$2=$AF45,$AG45,0))))</f>
        <v/>
      </c>
      <c r="T45">
        <f>IF(H44&lt;=0,0,MIN(AM45,H$7+IF(H$2=$AA45,$AC45,IF(H$2=$AF45,$AG45,0))))</f>
        <v/>
      </c>
      <c r="U45">
        <f>IF(I44&lt;=0,0,MIN(AN45,I$7+IF(I$2=$AA45,$AC45,IF(I$2=$AF45,$AG45,0))))</f>
        <v/>
      </c>
      <c r="V45">
        <f>IF(J44&lt;=0,0,MIN(AO45,J$7+IF(J$2=$AA45,$AC45,IF(J$2=$AF45,$AG45,0))))</f>
        <v/>
      </c>
      <c r="W45">
        <f>IF(K44&lt;=0,0,MIN(AP45,K$7+IF(K$2=$AA45,$AC45,IF(K$2=$AF45,$AG45,0))))</f>
        <v/>
      </c>
      <c r="X45">
        <f>IF(L44&lt;=0,0,MIN(AQ45,L$7+IF(L$2=$AA45,$AC45,IF(L$2=$AF45,$AG45,0))))</f>
        <v/>
      </c>
      <c r="Y45">
        <f>IF(M44&lt;=0,0,MIN(AR45,M$7+IF(M$2=$AA45,$AC45,IF(M$2=$AF45,$AG45,0))))</f>
        <v/>
      </c>
      <c r="Z45">
        <f>IF(N44&lt;=0,0,MIN(AS45,N$7+IF(N$2=$AA45,$AC45,IF(N$2=$AF45,$AG45,0))))</f>
        <v/>
      </c>
      <c r="AA45">
        <f>IFERROR(ROUND(1/SUMPRODUCT(MAX((C44:N44&gt;0)*($C$3:$N$3&lt;=B45)/$C$2:$N$2)),0),0)</f>
        <v/>
      </c>
      <c r="AB45">
        <f>SUMPRODUCT((C44:N44&gt;0)*$C$7:$N$7)</f>
        <v/>
      </c>
      <c r="AC45">
        <f>MAX(0,Plan!$C$5-AB45)+IF(A45=Plan!$C$8,N(Plan!$C$7),0)</f>
        <v/>
      </c>
      <c r="AD45">
        <f>SUM(C45:N45)</f>
        <v/>
      </c>
      <c r="AE45">
        <f>SUM(O45:Z45)</f>
        <v/>
      </c>
      <c r="AF45">
        <f>IFERROR(ROUND(1/SUMPRODUCT(MAX((C44:N44&gt;0)*($C$3:$N$3&lt;=B45)*($C$2:$N$2&gt;AA45)/$C$2:$N$2)),0),0)</f>
        <v/>
      </c>
      <c r="AG45">
        <f>MAX(0,AC45-MAX(0,SUMPRODUCT(($C$2:$N$2=AA45)*(AH45:AS45-$C$7:$N$7))))</f>
        <v/>
      </c>
      <c r="AH45">
        <f>IF(C44&lt;=0,0,ROUND(C44*(1+IF(AND(C$6&gt;0,$B45&lt;C$6),C$4,C$5)/12),2))</f>
        <v/>
      </c>
      <c r="AI45">
        <f>IF(D44&lt;=0,0,ROUND(D44*(1+IF(AND(D$6&gt;0,$B45&lt;D$6),D$4,D$5)/12),2))</f>
        <v/>
      </c>
      <c r="AJ45">
        <f>IF(E44&lt;=0,0,ROUND(E44*(1+IF(AND(E$6&gt;0,$B45&lt;E$6),E$4,E$5)/12),2))</f>
        <v/>
      </c>
      <c r="AK45">
        <f>IF(F44&lt;=0,0,ROUND(F44*(1+IF(AND(F$6&gt;0,$B45&lt;F$6),F$4,F$5)/12),2))</f>
        <v/>
      </c>
      <c r="AL45">
        <f>IF(G44&lt;=0,0,ROUND(G44*(1+IF(AND(G$6&gt;0,$B45&lt;G$6),G$4,G$5)/12),2))</f>
        <v/>
      </c>
      <c r="AM45">
        <f>IF(H44&lt;=0,0,ROUND(H44*(1+IF(AND(H$6&gt;0,$B45&lt;H$6),H$4,H$5)/12),2))</f>
        <v/>
      </c>
      <c r="AN45">
        <f>IF(I44&lt;=0,0,ROUND(I44*(1+IF(AND(I$6&gt;0,$B45&lt;I$6),I$4,I$5)/12),2))</f>
        <v/>
      </c>
      <c r="AO45">
        <f>IF(J44&lt;=0,0,ROUND(J44*(1+IF(AND(J$6&gt;0,$B45&lt;J$6),J$4,J$5)/12),2))</f>
        <v/>
      </c>
      <c r="AP45">
        <f>IF(K44&lt;=0,0,ROUND(K44*(1+IF(AND(K$6&gt;0,$B45&lt;K$6),K$4,K$5)/12),2))</f>
        <v/>
      </c>
      <c r="AQ45">
        <f>IF(L44&lt;=0,0,ROUND(L44*(1+IF(AND(L$6&gt;0,$B45&lt;L$6),L$4,L$5)/12),2))</f>
        <v/>
      </c>
      <c r="AR45">
        <f>IF(M44&lt;=0,0,ROUND(M44*(1+IF(AND(M$6&gt;0,$B45&lt;M$6),M$4,M$5)/12),2))</f>
        <v/>
      </c>
      <c r="AS45">
        <f>IF(N44&lt;=0,0,ROUND(N44*(1+IF(AND(N$6&gt;0,$B45&lt;N$6),N$4,N$5)/12),2))</f>
        <v/>
      </c>
    </row>
    <row r="46">
      <c r="A46" t="n">
        <v>35</v>
      </c>
      <c r="B46">
        <f>EDATE(Plan!$C$6,34)</f>
        <v/>
      </c>
      <c r="C46">
        <f>IF(C45&lt;=0,0,MAX(0,AH46-O46))</f>
        <v/>
      </c>
      <c r="D46">
        <f>IF(D45&lt;=0,0,MAX(0,AI46-P46))</f>
        <v/>
      </c>
      <c r="E46">
        <f>IF(E45&lt;=0,0,MAX(0,AJ46-Q46))</f>
        <v/>
      </c>
      <c r="F46">
        <f>IF(F45&lt;=0,0,MAX(0,AK46-R46))</f>
        <v/>
      </c>
      <c r="G46">
        <f>IF(G45&lt;=0,0,MAX(0,AL46-S46))</f>
        <v/>
      </c>
      <c r="H46">
        <f>IF(H45&lt;=0,0,MAX(0,AM46-T46))</f>
        <v/>
      </c>
      <c r="I46">
        <f>IF(I45&lt;=0,0,MAX(0,AN46-U46))</f>
        <v/>
      </c>
      <c r="J46">
        <f>IF(J45&lt;=0,0,MAX(0,AO46-V46))</f>
        <v/>
      </c>
      <c r="K46">
        <f>IF(K45&lt;=0,0,MAX(0,AP46-W46))</f>
        <v/>
      </c>
      <c r="L46">
        <f>IF(L45&lt;=0,0,MAX(0,AQ46-X46))</f>
        <v/>
      </c>
      <c r="M46">
        <f>IF(M45&lt;=0,0,MAX(0,AR46-Y46))</f>
        <v/>
      </c>
      <c r="N46">
        <f>IF(N45&lt;=0,0,MAX(0,AS46-Z46))</f>
        <v/>
      </c>
      <c r="O46">
        <f>IF(C45&lt;=0,0,MIN(AH46,C$7+IF(C$2=$AA46,$AC46,IF(C$2=$AF46,$AG46,0))))</f>
        <v/>
      </c>
      <c r="P46">
        <f>IF(D45&lt;=0,0,MIN(AI46,D$7+IF(D$2=$AA46,$AC46,IF(D$2=$AF46,$AG46,0))))</f>
        <v/>
      </c>
      <c r="Q46">
        <f>IF(E45&lt;=0,0,MIN(AJ46,E$7+IF(E$2=$AA46,$AC46,IF(E$2=$AF46,$AG46,0))))</f>
        <v/>
      </c>
      <c r="R46">
        <f>IF(F45&lt;=0,0,MIN(AK46,F$7+IF(F$2=$AA46,$AC46,IF(F$2=$AF46,$AG46,0))))</f>
        <v/>
      </c>
      <c r="S46">
        <f>IF(G45&lt;=0,0,MIN(AL46,G$7+IF(G$2=$AA46,$AC46,IF(G$2=$AF46,$AG46,0))))</f>
        <v/>
      </c>
      <c r="T46">
        <f>IF(H45&lt;=0,0,MIN(AM46,H$7+IF(H$2=$AA46,$AC46,IF(H$2=$AF46,$AG46,0))))</f>
        <v/>
      </c>
      <c r="U46">
        <f>IF(I45&lt;=0,0,MIN(AN46,I$7+IF(I$2=$AA46,$AC46,IF(I$2=$AF46,$AG46,0))))</f>
        <v/>
      </c>
      <c r="V46">
        <f>IF(J45&lt;=0,0,MIN(AO46,J$7+IF(J$2=$AA46,$AC46,IF(J$2=$AF46,$AG46,0))))</f>
        <v/>
      </c>
      <c r="W46">
        <f>IF(K45&lt;=0,0,MIN(AP46,K$7+IF(K$2=$AA46,$AC46,IF(K$2=$AF46,$AG46,0))))</f>
        <v/>
      </c>
      <c r="X46">
        <f>IF(L45&lt;=0,0,MIN(AQ46,L$7+IF(L$2=$AA46,$AC46,IF(L$2=$AF46,$AG46,0))))</f>
        <v/>
      </c>
      <c r="Y46">
        <f>IF(M45&lt;=0,0,MIN(AR46,M$7+IF(M$2=$AA46,$AC46,IF(M$2=$AF46,$AG46,0))))</f>
        <v/>
      </c>
      <c r="Z46">
        <f>IF(N45&lt;=0,0,MIN(AS46,N$7+IF(N$2=$AA46,$AC46,IF(N$2=$AF46,$AG46,0))))</f>
        <v/>
      </c>
      <c r="AA46">
        <f>IFERROR(ROUND(1/SUMPRODUCT(MAX((C45:N45&gt;0)*($C$3:$N$3&lt;=B46)/$C$2:$N$2)),0),0)</f>
        <v/>
      </c>
      <c r="AB46">
        <f>SUMPRODUCT((C45:N45&gt;0)*$C$7:$N$7)</f>
        <v/>
      </c>
      <c r="AC46">
        <f>MAX(0,Plan!$C$5-AB46)+IF(A46=Plan!$C$8,N(Plan!$C$7),0)</f>
        <v/>
      </c>
      <c r="AD46">
        <f>SUM(C46:N46)</f>
        <v/>
      </c>
      <c r="AE46">
        <f>SUM(O46:Z46)</f>
        <v/>
      </c>
      <c r="AF46">
        <f>IFERROR(ROUND(1/SUMPRODUCT(MAX((C45:N45&gt;0)*($C$3:$N$3&lt;=B46)*($C$2:$N$2&gt;AA46)/$C$2:$N$2)),0),0)</f>
        <v/>
      </c>
      <c r="AG46">
        <f>MAX(0,AC46-MAX(0,SUMPRODUCT(($C$2:$N$2=AA46)*(AH46:AS46-$C$7:$N$7))))</f>
        <v/>
      </c>
      <c r="AH46">
        <f>IF(C45&lt;=0,0,ROUND(C45*(1+IF(AND(C$6&gt;0,$B46&lt;C$6),C$4,C$5)/12),2))</f>
        <v/>
      </c>
      <c r="AI46">
        <f>IF(D45&lt;=0,0,ROUND(D45*(1+IF(AND(D$6&gt;0,$B46&lt;D$6),D$4,D$5)/12),2))</f>
        <v/>
      </c>
      <c r="AJ46">
        <f>IF(E45&lt;=0,0,ROUND(E45*(1+IF(AND(E$6&gt;0,$B46&lt;E$6),E$4,E$5)/12),2))</f>
        <v/>
      </c>
      <c r="AK46">
        <f>IF(F45&lt;=0,0,ROUND(F45*(1+IF(AND(F$6&gt;0,$B46&lt;F$6),F$4,F$5)/12),2))</f>
        <v/>
      </c>
      <c r="AL46">
        <f>IF(G45&lt;=0,0,ROUND(G45*(1+IF(AND(G$6&gt;0,$B46&lt;G$6),G$4,G$5)/12),2))</f>
        <v/>
      </c>
      <c r="AM46">
        <f>IF(H45&lt;=0,0,ROUND(H45*(1+IF(AND(H$6&gt;0,$B46&lt;H$6),H$4,H$5)/12),2))</f>
        <v/>
      </c>
      <c r="AN46">
        <f>IF(I45&lt;=0,0,ROUND(I45*(1+IF(AND(I$6&gt;0,$B46&lt;I$6),I$4,I$5)/12),2))</f>
        <v/>
      </c>
      <c r="AO46">
        <f>IF(J45&lt;=0,0,ROUND(J45*(1+IF(AND(J$6&gt;0,$B46&lt;J$6),J$4,J$5)/12),2))</f>
        <v/>
      </c>
      <c r="AP46">
        <f>IF(K45&lt;=0,0,ROUND(K45*(1+IF(AND(K$6&gt;0,$B46&lt;K$6),K$4,K$5)/12),2))</f>
        <v/>
      </c>
      <c r="AQ46">
        <f>IF(L45&lt;=0,0,ROUND(L45*(1+IF(AND(L$6&gt;0,$B46&lt;L$6),L$4,L$5)/12),2))</f>
        <v/>
      </c>
      <c r="AR46">
        <f>IF(M45&lt;=0,0,ROUND(M45*(1+IF(AND(M$6&gt;0,$B46&lt;M$6),M$4,M$5)/12),2))</f>
        <v/>
      </c>
      <c r="AS46">
        <f>IF(N45&lt;=0,0,ROUND(N45*(1+IF(AND(N$6&gt;0,$B46&lt;N$6),N$4,N$5)/12),2))</f>
        <v/>
      </c>
    </row>
    <row r="47">
      <c r="A47" t="n">
        <v>36</v>
      </c>
      <c r="B47">
        <f>EDATE(Plan!$C$6,35)</f>
        <v/>
      </c>
      <c r="C47">
        <f>IF(C46&lt;=0,0,MAX(0,AH47-O47))</f>
        <v/>
      </c>
      <c r="D47">
        <f>IF(D46&lt;=0,0,MAX(0,AI47-P47))</f>
        <v/>
      </c>
      <c r="E47">
        <f>IF(E46&lt;=0,0,MAX(0,AJ47-Q47))</f>
        <v/>
      </c>
      <c r="F47">
        <f>IF(F46&lt;=0,0,MAX(0,AK47-R47))</f>
        <v/>
      </c>
      <c r="G47">
        <f>IF(G46&lt;=0,0,MAX(0,AL47-S47))</f>
        <v/>
      </c>
      <c r="H47">
        <f>IF(H46&lt;=0,0,MAX(0,AM47-T47))</f>
        <v/>
      </c>
      <c r="I47">
        <f>IF(I46&lt;=0,0,MAX(0,AN47-U47))</f>
        <v/>
      </c>
      <c r="J47">
        <f>IF(J46&lt;=0,0,MAX(0,AO47-V47))</f>
        <v/>
      </c>
      <c r="K47">
        <f>IF(K46&lt;=0,0,MAX(0,AP47-W47))</f>
        <v/>
      </c>
      <c r="L47">
        <f>IF(L46&lt;=0,0,MAX(0,AQ47-X47))</f>
        <v/>
      </c>
      <c r="M47">
        <f>IF(M46&lt;=0,0,MAX(0,AR47-Y47))</f>
        <v/>
      </c>
      <c r="N47">
        <f>IF(N46&lt;=0,0,MAX(0,AS47-Z47))</f>
        <v/>
      </c>
      <c r="O47">
        <f>IF(C46&lt;=0,0,MIN(AH47,C$7+IF(C$2=$AA47,$AC47,IF(C$2=$AF47,$AG47,0))))</f>
        <v/>
      </c>
      <c r="P47">
        <f>IF(D46&lt;=0,0,MIN(AI47,D$7+IF(D$2=$AA47,$AC47,IF(D$2=$AF47,$AG47,0))))</f>
        <v/>
      </c>
      <c r="Q47">
        <f>IF(E46&lt;=0,0,MIN(AJ47,E$7+IF(E$2=$AA47,$AC47,IF(E$2=$AF47,$AG47,0))))</f>
        <v/>
      </c>
      <c r="R47">
        <f>IF(F46&lt;=0,0,MIN(AK47,F$7+IF(F$2=$AA47,$AC47,IF(F$2=$AF47,$AG47,0))))</f>
        <v/>
      </c>
      <c r="S47">
        <f>IF(G46&lt;=0,0,MIN(AL47,G$7+IF(G$2=$AA47,$AC47,IF(G$2=$AF47,$AG47,0))))</f>
        <v/>
      </c>
      <c r="T47">
        <f>IF(H46&lt;=0,0,MIN(AM47,H$7+IF(H$2=$AA47,$AC47,IF(H$2=$AF47,$AG47,0))))</f>
        <v/>
      </c>
      <c r="U47">
        <f>IF(I46&lt;=0,0,MIN(AN47,I$7+IF(I$2=$AA47,$AC47,IF(I$2=$AF47,$AG47,0))))</f>
        <v/>
      </c>
      <c r="V47">
        <f>IF(J46&lt;=0,0,MIN(AO47,J$7+IF(J$2=$AA47,$AC47,IF(J$2=$AF47,$AG47,0))))</f>
        <v/>
      </c>
      <c r="W47">
        <f>IF(K46&lt;=0,0,MIN(AP47,K$7+IF(K$2=$AA47,$AC47,IF(K$2=$AF47,$AG47,0))))</f>
        <v/>
      </c>
      <c r="X47">
        <f>IF(L46&lt;=0,0,MIN(AQ47,L$7+IF(L$2=$AA47,$AC47,IF(L$2=$AF47,$AG47,0))))</f>
        <v/>
      </c>
      <c r="Y47">
        <f>IF(M46&lt;=0,0,MIN(AR47,M$7+IF(M$2=$AA47,$AC47,IF(M$2=$AF47,$AG47,0))))</f>
        <v/>
      </c>
      <c r="Z47">
        <f>IF(N46&lt;=0,0,MIN(AS47,N$7+IF(N$2=$AA47,$AC47,IF(N$2=$AF47,$AG47,0))))</f>
        <v/>
      </c>
      <c r="AA47">
        <f>IFERROR(ROUND(1/SUMPRODUCT(MAX((C46:N46&gt;0)*($C$3:$N$3&lt;=B47)/$C$2:$N$2)),0),0)</f>
        <v/>
      </c>
      <c r="AB47">
        <f>SUMPRODUCT((C46:N46&gt;0)*$C$7:$N$7)</f>
        <v/>
      </c>
      <c r="AC47">
        <f>MAX(0,Plan!$C$5-AB47)+IF(A47=Plan!$C$8,N(Plan!$C$7),0)</f>
        <v/>
      </c>
      <c r="AD47">
        <f>SUM(C47:N47)</f>
        <v/>
      </c>
      <c r="AE47">
        <f>SUM(O47:Z47)</f>
        <v/>
      </c>
      <c r="AF47">
        <f>IFERROR(ROUND(1/SUMPRODUCT(MAX((C46:N46&gt;0)*($C$3:$N$3&lt;=B47)*($C$2:$N$2&gt;AA47)/$C$2:$N$2)),0),0)</f>
        <v/>
      </c>
      <c r="AG47">
        <f>MAX(0,AC47-MAX(0,SUMPRODUCT(($C$2:$N$2=AA47)*(AH47:AS47-$C$7:$N$7))))</f>
        <v/>
      </c>
      <c r="AH47">
        <f>IF(C46&lt;=0,0,ROUND(C46*(1+IF(AND(C$6&gt;0,$B47&lt;C$6),C$4,C$5)/12),2))</f>
        <v/>
      </c>
      <c r="AI47">
        <f>IF(D46&lt;=0,0,ROUND(D46*(1+IF(AND(D$6&gt;0,$B47&lt;D$6),D$4,D$5)/12),2))</f>
        <v/>
      </c>
      <c r="AJ47">
        <f>IF(E46&lt;=0,0,ROUND(E46*(1+IF(AND(E$6&gt;0,$B47&lt;E$6),E$4,E$5)/12),2))</f>
        <v/>
      </c>
      <c r="AK47">
        <f>IF(F46&lt;=0,0,ROUND(F46*(1+IF(AND(F$6&gt;0,$B47&lt;F$6),F$4,F$5)/12),2))</f>
        <v/>
      </c>
      <c r="AL47">
        <f>IF(G46&lt;=0,0,ROUND(G46*(1+IF(AND(G$6&gt;0,$B47&lt;G$6),G$4,G$5)/12),2))</f>
        <v/>
      </c>
      <c r="AM47">
        <f>IF(H46&lt;=0,0,ROUND(H46*(1+IF(AND(H$6&gt;0,$B47&lt;H$6),H$4,H$5)/12),2))</f>
        <v/>
      </c>
      <c r="AN47">
        <f>IF(I46&lt;=0,0,ROUND(I46*(1+IF(AND(I$6&gt;0,$B47&lt;I$6),I$4,I$5)/12),2))</f>
        <v/>
      </c>
      <c r="AO47">
        <f>IF(J46&lt;=0,0,ROUND(J46*(1+IF(AND(J$6&gt;0,$B47&lt;J$6),J$4,J$5)/12),2))</f>
        <v/>
      </c>
      <c r="AP47">
        <f>IF(K46&lt;=0,0,ROUND(K46*(1+IF(AND(K$6&gt;0,$B47&lt;K$6),K$4,K$5)/12),2))</f>
        <v/>
      </c>
      <c r="AQ47">
        <f>IF(L46&lt;=0,0,ROUND(L46*(1+IF(AND(L$6&gt;0,$B47&lt;L$6),L$4,L$5)/12),2))</f>
        <v/>
      </c>
      <c r="AR47">
        <f>IF(M46&lt;=0,0,ROUND(M46*(1+IF(AND(M$6&gt;0,$B47&lt;M$6),M$4,M$5)/12),2))</f>
        <v/>
      </c>
      <c r="AS47">
        <f>IF(N46&lt;=0,0,ROUND(N46*(1+IF(AND(N$6&gt;0,$B47&lt;N$6),N$4,N$5)/12),2))</f>
        <v/>
      </c>
    </row>
    <row r="48">
      <c r="A48" t="n">
        <v>37</v>
      </c>
      <c r="B48">
        <f>EDATE(Plan!$C$6,36)</f>
        <v/>
      </c>
      <c r="C48">
        <f>IF(C47&lt;=0,0,MAX(0,AH48-O48))</f>
        <v/>
      </c>
      <c r="D48">
        <f>IF(D47&lt;=0,0,MAX(0,AI48-P48))</f>
        <v/>
      </c>
      <c r="E48">
        <f>IF(E47&lt;=0,0,MAX(0,AJ48-Q48))</f>
        <v/>
      </c>
      <c r="F48">
        <f>IF(F47&lt;=0,0,MAX(0,AK48-R48))</f>
        <v/>
      </c>
      <c r="G48">
        <f>IF(G47&lt;=0,0,MAX(0,AL48-S48))</f>
        <v/>
      </c>
      <c r="H48">
        <f>IF(H47&lt;=0,0,MAX(0,AM48-T48))</f>
        <v/>
      </c>
      <c r="I48">
        <f>IF(I47&lt;=0,0,MAX(0,AN48-U48))</f>
        <v/>
      </c>
      <c r="J48">
        <f>IF(J47&lt;=0,0,MAX(0,AO48-V48))</f>
        <v/>
      </c>
      <c r="K48">
        <f>IF(K47&lt;=0,0,MAX(0,AP48-W48))</f>
        <v/>
      </c>
      <c r="L48">
        <f>IF(L47&lt;=0,0,MAX(0,AQ48-X48))</f>
        <v/>
      </c>
      <c r="M48">
        <f>IF(M47&lt;=0,0,MAX(0,AR48-Y48))</f>
        <v/>
      </c>
      <c r="N48">
        <f>IF(N47&lt;=0,0,MAX(0,AS48-Z48))</f>
        <v/>
      </c>
      <c r="O48">
        <f>IF(C47&lt;=0,0,MIN(AH48,C$7+IF(C$2=$AA48,$AC48,IF(C$2=$AF48,$AG48,0))))</f>
        <v/>
      </c>
      <c r="P48">
        <f>IF(D47&lt;=0,0,MIN(AI48,D$7+IF(D$2=$AA48,$AC48,IF(D$2=$AF48,$AG48,0))))</f>
        <v/>
      </c>
      <c r="Q48">
        <f>IF(E47&lt;=0,0,MIN(AJ48,E$7+IF(E$2=$AA48,$AC48,IF(E$2=$AF48,$AG48,0))))</f>
        <v/>
      </c>
      <c r="R48">
        <f>IF(F47&lt;=0,0,MIN(AK48,F$7+IF(F$2=$AA48,$AC48,IF(F$2=$AF48,$AG48,0))))</f>
        <v/>
      </c>
      <c r="S48">
        <f>IF(G47&lt;=0,0,MIN(AL48,G$7+IF(G$2=$AA48,$AC48,IF(G$2=$AF48,$AG48,0))))</f>
        <v/>
      </c>
      <c r="T48">
        <f>IF(H47&lt;=0,0,MIN(AM48,H$7+IF(H$2=$AA48,$AC48,IF(H$2=$AF48,$AG48,0))))</f>
        <v/>
      </c>
      <c r="U48">
        <f>IF(I47&lt;=0,0,MIN(AN48,I$7+IF(I$2=$AA48,$AC48,IF(I$2=$AF48,$AG48,0))))</f>
        <v/>
      </c>
      <c r="V48">
        <f>IF(J47&lt;=0,0,MIN(AO48,J$7+IF(J$2=$AA48,$AC48,IF(J$2=$AF48,$AG48,0))))</f>
        <v/>
      </c>
      <c r="W48">
        <f>IF(K47&lt;=0,0,MIN(AP48,K$7+IF(K$2=$AA48,$AC48,IF(K$2=$AF48,$AG48,0))))</f>
        <v/>
      </c>
      <c r="X48">
        <f>IF(L47&lt;=0,0,MIN(AQ48,L$7+IF(L$2=$AA48,$AC48,IF(L$2=$AF48,$AG48,0))))</f>
        <v/>
      </c>
      <c r="Y48">
        <f>IF(M47&lt;=0,0,MIN(AR48,M$7+IF(M$2=$AA48,$AC48,IF(M$2=$AF48,$AG48,0))))</f>
        <v/>
      </c>
      <c r="Z48">
        <f>IF(N47&lt;=0,0,MIN(AS48,N$7+IF(N$2=$AA48,$AC48,IF(N$2=$AF48,$AG48,0))))</f>
        <v/>
      </c>
      <c r="AA48">
        <f>IFERROR(ROUND(1/SUMPRODUCT(MAX((C47:N47&gt;0)*($C$3:$N$3&lt;=B48)/$C$2:$N$2)),0),0)</f>
        <v/>
      </c>
      <c r="AB48">
        <f>SUMPRODUCT((C47:N47&gt;0)*$C$7:$N$7)</f>
        <v/>
      </c>
      <c r="AC48">
        <f>MAX(0,Plan!$C$5-AB48)+IF(A48=Plan!$C$8,N(Plan!$C$7),0)</f>
        <v/>
      </c>
      <c r="AD48">
        <f>SUM(C48:N48)</f>
        <v/>
      </c>
      <c r="AE48">
        <f>SUM(O48:Z48)</f>
        <v/>
      </c>
      <c r="AF48">
        <f>IFERROR(ROUND(1/SUMPRODUCT(MAX((C47:N47&gt;0)*($C$3:$N$3&lt;=B48)*($C$2:$N$2&gt;AA48)/$C$2:$N$2)),0),0)</f>
        <v/>
      </c>
      <c r="AG48">
        <f>MAX(0,AC48-MAX(0,SUMPRODUCT(($C$2:$N$2=AA48)*(AH48:AS48-$C$7:$N$7))))</f>
        <v/>
      </c>
      <c r="AH48">
        <f>IF(C47&lt;=0,0,ROUND(C47*(1+IF(AND(C$6&gt;0,$B48&lt;C$6),C$4,C$5)/12),2))</f>
        <v/>
      </c>
      <c r="AI48">
        <f>IF(D47&lt;=0,0,ROUND(D47*(1+IF(AND(D$6&gt;0,$B48&lt;D$6),D$4,D$5)/12),2))</f>
        <v/>
      </c>
      <c r="AJ48">
        <f>IF(E47&lt;=0,0,ROUND(E47*(1+IF(AND(E$6&gt;0,$B48&lt;E$6),E$4,E$5)/12),2))</f>
        <v/>
      </c>
      <c r="AK48">
        <f>IF(F47&lt;=0,0,ROUND(F47*(1+IF(AND(F$6&gt;0,$B48&lt;F$6),F$4,F$5)/12),2))</f>
        <v/>
      </c>
      <c r="AL48">
        <f>IF(G47&lt;=0,0,ROUND(G47*(1+IF(AND(G$6&gt;0,$B48&lt;G$6),G$4,G$5)/12),2))</f>
        <v/>
      </c>
      <c r="AM48">
        <f>IF(H47&lt;=0,0,ROUND(H47*(1+IF(AND(H$6&gt;0,$B48&lt;H$6),H$4,H$5)/12),2))</f>
        <v/>
      </c>
      <c r="AN48">
        <f>IF(I47&lt;=0,0,ROUND(I47*(1+IF(AND(I$6&gt;0,$B48&lt;I$6),I$4,I$5)/12),2))</f>
        <v/>
      </c>
      <c r="AO48">
        <f>IF(J47&lt;=0,0,ROUND(J47*(1+IF(AND(J$6&gt;0,$B48&lt;J$6),J$4,J$5)/12),2))</f>
        <v/>
      </c>
      <c r="AP48">
        <f>IF(K47&lt;=0,0,ROUND(K47*(1+IF(AND(K$6&gt;0,$B48&lt;K$6),K$4,K$5)/12),2))</f>
        <v/>
      </c>
      <c r="AQ48">
        <f>IF(L47&lt;=0,0,ROUND(L47*(1+IF(AND(L$6&gt;0,$B48&lt;L$6),L$4,L$5)/12),2))</f>
        <v/>
      </c>
      <c r="AR48">
        <f>IF(M47&lt;=0,0,ROUND(M47*(1+IF(AND(M$6&gt;0,$B48&lt;M$6),M$4,M$5)/12),2))</f>
        <v/>
      </c>
      <c r="AS48">
        <f>IF(N47&lt;=0,0,ROUND(N47*(1+IF(AND(N$6&gt;0,$B48&lt;N$6),N$4,N$5)/12),2))</f>
        <v/>
      </c>
    </row>
    <row r="49">
      <c r="A49" t="n">
        <v>38</v>
      </c>
      <c r="B49">
        <f>EDATE(Plan!$C$6,37)</f>
        <v/>
      </c>
      <c r="C49">
        <f>IF(C48&lt;=0,0,MAX(0,AH49-O49))</f>
        <v/>
      </c>
      <c r="D49">
        <f>IF(D48&lt;=0,0,MAX(0,AI49-P49))</f>
        <v/>
      </c>
      <c r="E49">
        <f>IF(E48&lt;=0,0,MAX(0,AJ49-Q49))</f>
        <v/>
      </c>
      <c r="F49">
        <f>IF(F48&lt;=0,0,MAX(0,AK49-R49))</f>
        <v/>
      </c>
      <c r="G49">
        <f>IF(G48&lt;=0,0,MAX(0,AL49-S49))</f>
        <v/>
      </c>
      <c r="H49">
        <f>IF(H48&lt;=0,0,MAX(0,AM49-T49))</f>
        <v/>
      </c>
      <c r="I49">
        <f>IF(I48&lt;=0,0,MAX(0,AN49-U49))</f>
        <v/>
      </c>
      <c r="J49">
        <f>IF(J48&lt;=0,0,MAX(0,AO49-V49))</f>
        <v/>
      </c>
      <c r="K49">
        <f>IF(K48&lt;=0,0,MAX(0,AP49-W49))</f>
        <v/>
      </c>
      <c r="L49">
        <f>IF(L48&lt;=0,0,MAX(0,AQ49-X49))</f>
        <v/>
      </c>
      <c r="M49">
        <f>IF(M48&lt;=0,0,MAX(0,AR49-Y49))</f>
        <v/>
      </c>
      <c r="N49">
        <f>IF(N48&lt;=0,0,MAX(0,AS49-Z49))</f>
        <v/>
      </c>
      <c r="O49">
        <f>IF(C48&lt;=0,0,MIN(AH49,C$7+IF(C$2=$AA49,$AC49,IF(C$2=$AF49,$AG49,0))))</f>
        <v/>
      </c>
      <c r="P49">
        <f>IF(D48&lt;=0,0,MIN(AI49,D$7+IF(D$2=$AA49,$AC49,IF(D$2=$AF49,$AG49,0))))</f>
        <v/>
      </c>
      <c r="Q49">
        <f>IF(E48&lt;=0,0,MIN(AJ49,E$7+IF(E$2=$AA49,$AC49,IF(E$2=$AF49,$AG49,0))))</f>
        <v/>
      </c>
      <c r="R49">
        <f>IF(F48&lt;=0,0,MIN(AK49,F$7+IF(F$2=$AA49,$AC49,IF(F$2=$AF49,$AG49,0))))</f>
        <v/>
      </c>
      <c r="S49">
        <f>IF(G48&lt;=0,0,MIN(AL49,G$7+IF(G$2=$AA49,$AC49,IF(G$2=$AF49,$AG49,0))))</f>
        <v/>
      </c>
      <c r="T49">
        <f>IF(H48&lt;=0,0,MIN(AM49,H$7+IF(H$2=$AA49,$AC49,IF(H$2=$AF49,$AG49,0))))</f>
        <v/>
      </c>
      <c r="U49">
        <f>IF(I48&lt;=0,0,MIN(AN49,I$7+IF(I$2=$AA49,$AC49,IF(I$2=$AF49,$AG49,0))))</f>
        <v/>
      </c>
      <c r="V49">
        <f>IF(J48&lt;=0,0,MIN(AO49,J$7+IF(J$2=$AA49,$AC49,IF(J$2=$AF49,$AG49,0))))</f>
        <v/>
      </c>
      <c r="W49">
        <f>IF(K48&lt;=0,0,MIN(AP49,K$7+IF(K$2=$AA49,$AC49,IF(K$2=$AF49,$AG49,0))))</f>
        <v/>
      </c>
      <c r="X49">
        <f>IF(L48&lt;=0,0,MIN(AQ49,L$7+IF(L$2=$AA49,$AC49,IF(L$2=$AF49,$AG49,0))))</f>
        <v/>
      </c>
      <c r="Y49">
        <f>IF(M48&lt;=0,0,MIN(AR49,M$7+IF(M$2=$AA49,$AC49,IF(M$2=$AF49,$AG49,0))))</f>
        <v/>
      </c>
      <c r="Z49">
        <f>IF(N48&lt;=0,0,MIN(AS49,N$7+IF(N$2=$AA49,$AC49,IF(N$2=$AF49,$AG49,0))))</f>
        <v/>
      </c>
      <c r="AA49">
        <f>IFERROR(ROUND(1/SUMPRODUCT(MAX((C48:N48&gt;0)*($C$3:$N$3&lt;=B49)/$C$2:$N$2)),0),0)</f>
        <v/>
      </c>
      <c r="AB49">
        <f>SUMPRODUCT((C48:N48&gt;0)*$C$7:$N$7)</f>
        <v/>
      </c>
      <c r="AC49">
        <f>MAX(0,Plan!$C$5-AB49)+IF(A49=Plan!$C$8,N(Plan!$C$7),0)</f>
        <v/>
      </c>
      <c r="AD49">
        <f>SUM(C49:N49)</f>
        <v/>
      </c>
      <c r="AE49">
        <f>SUM(O49:Z49)</f>
        <v/>
      </c>
      <c r="AF49">
        <f>IFERROR(ROUND(1/SUMPRODUCT(MAX((C48:N48&gt;0)*($C$3:$N$3&lt;=B49)*($C$2:$N$2&gt;AA49)/$C$2:$N$2)),0),0)</f>
        <v/>
      </c>
      <c r="AG49">
        <f>MAX(0,AC49-MAX(0,SUMPRODUCT(($C$2:$N$2=AA49)*(AH49:AS49-$C$7:$N$7))))</f>
        <v/>
      </c>
      <c r="AH49">
        <f>IF(C48&lt;=0,0,ROUND(C48*(1+IF(AND(C$6&gt;0,$B49&lt;C$6),C$4,C$5)/12),2))</f>
        <v/>
      </c>
      <c r="AI49">
        <f>IF(D48&lt;=0,0,ROUND(D48*(1+IF(AND(D$6&gt;0,$B49&lt;D$6),D$4,D$5)/12),2))</f>
        <v/>
      </c>
      <c r="AJ49">
        <f>IF(E48&lt;=0,0,ROUND(E48*(1+IF(AND(E$6&gt;0,$B49&lt;E$6),E$4,E$5)/12),2))</f>
        <v/>
      </c>
      <c r="AK49">
        <f>IF(F48&lt;=0,0,ROUND(F48*(1+IF(AND(F$6&gt;0,$B49&lt;F$6),F$4,F$5)/12),2))</f>
        <v/>
      </c>
      <c r="AL49">
        <f>IF(G48&lt;=0,0,ROUND(G48*(1+IF(AND(G$6&gt;0,$B49&lt;G$6),G$4,G$5)/12),2))</f>
        <v/>
      </c>
      <c r="AM49">
        <f>IF(H48&lt;=0,0,ROUND(H48*(1+IF(AND(H$6&gt;0,$B49&lt;H$6),H$4,H$5)/12),2))</f>
        <v/>
      </c>
      <c r="AN49">
        <f>IF(I48&lt;=0,0,ROUND(I48*(1+IF(AND(I$6&gt;0,$B49&lt;I$6),I$4,I$5)/12),2))</f>
        <v/>
      </c>
      <c r="AO49">
        <f>IF(J48&lt;=0,0,ROUND(J48*(1+IF(AND(J$6&gt;0,$B49&lt;J$6),J$4,J$5)/12),2))</f>
        <v/>
      </c>
      <c r="AP49">
        <f>IF(K48&lt;=0,0,ROUND(K48*(1+IF(AND(K$6&gt;0,$B49&lt;K$6),K$4,K$5)/12),2))</f>
        <v/>
      </c>
      <c r="AQ49">
        <f>IF(L48&lt;=0,0,ROUND(L48*(1+IF(AND(L$6&gt;0,$B49&lt;L$6),L$4,L$5)/12),2))</f>
        <v/>
      </c>
      <c r="AR49">
        <f>IF(M48&lt;=0,0,ROUND(M48*(1+IF(AND(M$6&gt;0,$B49&lt;M$6),M$4,M$5)/12),2))</f>
        <v/>
      </c>
      <c r="AS49">
        <f>IF(N48&lt;=0,0,ROUND(N48*(1+IF(AND(N$6&gt;0,$B49&lt;N$6),N$4,N$5)/12),2))</f>
        <v/>
      </c>
    </row>
    <row r="50">
      <c r="A50" t="n">
        <v>39</v>
      </c>
      <c r="B50">
        <f>EDATE(Plan!$C$6,38)</f>
        <v/>
      </c>
      <c r="C50">
        <f>IF(C49&lt;=0,0,MAX(0,AH50-O50))</f>
        <v/>
      </c>
      <c r="D50">
        <f>IF(D49&lt;=0,0,MAX(0,AI50-P50))</f>
        <v/>
      </c>
      <c r="E50">
        <f>IF(E49&lt;=0,0,MAX(0,AJ50-Q50))</f>
        <v/>
      </c>
      <c r="F50">
        <f>IF(F49&lt;=0,0,MAX(0,AK50-R50))</f>
        <v/>
      </c>
      <c r="G50">
        <f>IF(G49&lt;=0,0,MAX(0,AL50-S50))</f>
        <v/>
      </c>
      <c r="H50">
        <f>IF(H49&lt;=0,0,MAX(0,AM50-T50))</f>
        <v/>
      </c>
      <c r="I50">
        <f>IF(I49&lt;=0,0,MAX(0,AN50-U50))</f>
        <v/>
      </c>
      <c r="J50">
        <f>IF(J49&lt;=0,0,MAX(0,AO50-V50))</f>
        <v/>
      </c>
      <c r="K50">
        <f>IF(K49&lt;=0,0,MAX(0,AP50-W50))</f>
        <v/>
      </c>
      <c r="L50">
        <f>IF(L49&lt;=0,0,MAX(0,AQ50-X50))</f>
        <v/>
      </c>
      <c r="M50">
        <f>IF(M49&lt;=0,0,MAX(0,AR50-Y50))</f>
        <v/>
      </c>
      <c r="N50">
        <f>IF(N49&lt;=0,0,MAX(0,AS50-Z50))</f>
        <v/>
      </c>
      <c r="O50">
        <f>IF(C49&lt;=0,0,MIN(AH50,C$7+IF(C$2=$AA50,$AC50,IF(C$2=$AF50,$AG50,0))))</f>
        <v/>
      </c>
      <c r="P50">
        <f>IF(D49&lt;=0,0,MIN(AI50,D$7+IF(D$2=$AA50,$AC50,IF(D$2=$AF50,$AG50,0))))</f>
        <v/>
      </c>
      <c r="Q50">
        <f>IF(E49&lt;=0,0,MIN(AJ50,E$7+IF(E$2=$AA50,$AC50,IF(E$2=$AF50,$AG50,0))))</f>
        <v/>
      </c>
      <c r="R50">
        <f>IF(F49&lt;=0,0,MIN(AK50,F$7+IF(F$2=$AA50,$AC50,IF(F$2=$AF50,$AG50,0))))</f>
        <v/>
      </c>
      <c r="S50">
        <f>IF(G49&lt;=0,0,MIN(AL50,G$7+IF(G$2=$AA50,$AC50,IF(G$2=$AF50,$AG50,0))))</f>
        <v/>
      </c>
      <c r="T50">
        <f>IF(H49&lt;=0,0,MIN(AM50,H$7+IF(H$2=$AA50,$AC50,IF(H$2=$AF50,$AG50,0))))</f>
        <v/>
      </c>
      <c r="U50">
        <f>IF(I49&lt;=0,0,MIN(AN50,I$7+IF(I$2=$AA50,$AC50,IF(I$2=$AF50,$AG50,0))))</f>
        <v/>
      </c>
      <c r="V50">
        <f>IF(J49&lt;=0,0,MIN(AO50,J$7+IF(J$2=$AA50,$AC50,IF(J$2=$AF50,$AG50,0))))</f>
        <v/>
      </c>
      <c r="W50">
        <f>IF(K49&lt;=0,0,MIN(AP50,K$7+IF(K$2=$AA50,$AC50,IF(K$2=$AF50,$AG50,0))))</f>
        <v/>
      </c>
      <c r="X50">
        <f>IF(L49&lt;=0,0,MIN(AQ50,L$7+IF(L$2=$AA50,$AC50,IF(L$2=$AF50,$AG50,0))))</f>
        <v/>
      </c>
      <c r="Y50">
        <f>IF(M49&lt;=0,0,MIN(AR50,M$7+IF(M$2=$AA50,$AC50,IF(M$2=$AF50,$AG50,0))))</f>
        <v/>
      </c>
      <c r="Z50">
        <f>IF(N49&lt;=0,0,MIN(AS50,N$7+IF(N$2=$AA50,$AC50,IF(N$2=$AF50,$AG50,0))))</f>
        <v/>
      </c>
      <c r="AA50">
        <f>IFERROR(ROUND(1/SUMPRODUCT(MAX((C49:N49&gt;0)*($C$3:$N$3&lt;=B50)/$C$2:$N$2)),0),0)</f>
        <v/>
      </c>
      <c r="AB50">
        <f>SUMPRODUCT((C49:N49&gt;0)*$C$7:$N$7)</f>
        <v/>
      </c>
      <c r="AC50">
        <f>MAX(0,Plan!$C$5-AB50)+IF(A50=Plan!$C$8,N(Plan!$C$7),0)</f>
        <v/>
      </c>
      <c r="AD50">
        <f>SUM(C50:N50)</f>
        <v/>
      </c>
      <c r="AE50">
        <f>SUM(O50:Z50)</f>
        <v/>
      </c>
      <c r="AF50">
        <f>IFERROR(ROUND(1/SUMPRODUCT(MAX((C49:N49&gt;0)*($C$3:$N$3&lt;=B50)*($C$2:$N$2&gt;AA50)/$C$2:$N$2)),0),0)</f>
        <v/>
      </c>
      <c r="AG50">
        <f>MAX(0,AC50-MAX(0,SUMPRODUCT(($C$2:$N$2=AA50)*(AH50:AS50-$C$7:$N$7))))</f>
        <v/>
      </c>
      <c r="AH50">
        <f>IF(C49&lt;=0,0,ROUND(C49*(1+IF(AND(C$6&gt;0,$B50&lt;C$6),C$4,C$5)/12),2))</f>
        <v/>
      </c>
      <c r="AI50">
        <f>IF(D49&lt;=0,0,ROUND(D49*(1+IF(AND(D$6&gt;0,$B50&lt;D$6),D$4,D$5)/12),2))</f>
        <v/>
      </c>
      <c r="AJ50">
        <f>IF(E49&lt;=0,0,ROUND(E49*(1+IF(AND(E$6&gt;0,$B50&lt;E$6),E$4,E$5)/12),2))</f>
        <v/>
      </c>
      <c r="AK50">
        <f>IF(F49&lt;=0,0,ROUND(F49*(1+IF(AND(F$6&gt;0,$B50&lt;F$6),F$4,F$5)/12),2))</f>
        <v/>
      </c>
      <c r="AL50">
        <f>IF(G49&lt;=0,0,ROUND(G49*(1+IF(AND(G$6&gt;0,$B50&lt;G$6),G$4,G$5)/12),2))</f>
        <v/>
      </c>
      <c r="AM50">
        <f>IF(H49&lt;=0,0,ROUND(H49*(1+IF(AND(H$6&gt;0,$B50&lt;H$6),H$4,H$5)/12),2))</f>
        <v/>
      </c>
      <c r="AN50">
        <f>IF(I49&lt;=0,0,ROUND(I49*(1+IF(AND(I$6&gt;0,$B50&lt;I$6),I$4,I$5)/12),2))</f>
        <v/>
      </c>
      <c r="AO50">
        <f>IF(J49&lt;=0,0,ROUND(J49*(1+IF(AND(J$6&gt;0,$B50&lt;J$6),J$4,J$5)/12),2))</f>
        <v/>
      </c>
      <c r="AP50">
        <f>IF(K49&lt;=0,0,ROUND(K49*(1+IF(AND(K$6&gt;0,$B50&lt;K$6),K$4,K$5)/12),2))</f>
        <v/>
      </c>
      <c r="AQ50">
        <f>IF(L49&lt;=0,0,ROUND(L49*(1+IF(AND(L$6&gt;0,$B50&lt;L$6),L$4,L$5)/12),2))</f>
        <v/>
      </c>
      <c r="AR50">
        <f>IF(M49&lt;=0,0,ROUND(M49*(1+IF(AND(M$6&gt;0,$B50&lt;M$6),M$4,M$5)/12),2))</f>
        <v/>
      </c>
      <c r="AS50">
        <f>IF(N49&lt;=0,0,ROUND(N49*(1+IF(AND(N$6&gt;0,$B50&lt;N$6),N$4,N$5)/12),2))</f>
        <v/>
      </c>
    </row>
    <row r="51">
      <c r="A51" t="n">
        <v>40</v>
      </c>
      <c r="B51">
        <f>EDATE(Plan!$C$6,39)</f>
        <v/>
      </c>
      <c r="C51">
        <f>IF(C50&lt;=0,0,MAX(0,AH51-O51))</f>
        <v/>
      </c>
      <c r="D51">
        <f>IF(D50&lt;=0,0,MAX(0,AI51-P51))</f>
        <v/>
      </c>
      <c r="E51">
        <f>IF(E50&lt;=0,0,MAX(0,AJ51-Q51))</f>
        <v/>
      </c>
      <c r="F51">
        <f>IF(F50&lt;=0,0,MAX(0,AK51-R51))</f>
        <v/>
      </c>
      <c r="G51">
        <f>IF(G50&lt;=0,0,MAX(0,AL51-S51))</f>
        <v/>
      </c>
      <c r="H51">
        <f>IF(H50&lt;=0,0,MAX(0,AM51-T51))</f>
        <v/>
      </c>
      <c r="I51">
        <f>IF(I50&lt;=0,0,MAX(0,AN51-U51))</f>
        <v/>
      </c>
      <c r="J51">
        <f>IF(J50&lt;=0,0,MAX(0,AO51-V51))</f>
        <v/>
      </c>
      <c r="K51">
        <f>IF(K50&lt;=0,0,MAX(0,AP51-W51))</f>
        <v/>
      </c>
      <c r="L51">
        <f>IF(L50&lt;=0,0,MAX(0,AQ51-X51))</f>
        <v/>
      </c>
      <c r="M51">
        <f>IF(M50&lt;=0,0,MAX(0,AR51-Y51))</f>
        <v/>
      </c>
      <c r="N51">
        <f>IF(N50&lt;=0,0,MAX(0,AS51-Z51))</f>
        <v/>
      </c>
      <c r="O51">
        <f>IF(C50&lt;=0,0,MIN(AH51,C$7+IF(C$2=$AA51,$AC51,IF(C$2=$AF51,$AG51,0))))</f>
        <v/>
      </c>
      <c r="P51">
        <f>IF(D50&lt;=0,0,MIN(AI51,D$7+IF(D$2=$AA51,$AC51,IF(D$2=$AF51,$AG51,0))))</f>
        <v/>
      </c>
      <c r="Q51">
        <f>IF(E50&lt;=0,0,MIN(AJ51,E$7+IF(E$2=$AA51,$AC51,IF(E$2=$AF51,$AG51,0))))</f>
        <v/>
      </c>
      <c r="R51">
        <f>IF(F50&lt;=0,0,MIN(AK51,F$7+IF(F$2=$AA51,$AC51,IF(F$2=$AF51,$AG51,0))))</f>
        <v/>
      </c>
      <c r="S51">
        <f>IF(G50&lt;=0,0,MIN(AL51,G$7+IF(G$2=$AA51,$AC51,IF(G$2=$AF51,$AG51,0))))</f>
        <v/>
      </c>
      <c r="T51">
        <f>IF(H50&lt;=0,0,MIN(AM51,H$7+IF(H$2=$AA51,$AC51,IF(H$2=$AF51,$AG51,0))))</f>
        <v/>
      </c>
      <c r="U51">
        <f>IF(I50&lt;=0,0,MIN(AN51,I$7+IF(I$2=$AA51,$AC51,IF(I$2=$AF51,$AG51,0))))</f>
        <v/>
      </c>
      <c r="V51">
        <f>IF(J50&lt;=0,0,MIN(AO51,J$7+IF(J$2=$AA51,$AC51,IF(J$2=$AF51,$AG51,0))))</f>
        <v/>
      </c>
      <c r="W51">
        <f>IF(K50&lt;=0,0,MIN(AP51,K$7+IF(K$2=$AA51,$AC51,IF(K$2=$AF51,$AG51,0))))</f>
        <v/>
      </c>
      <c r="X51">
        <f>IF(L50&lt;=0,0,MIN(AQ51,L$7+IF(L$2=$AA51,$AC51,IF(L$2=$AF51,$AG51,0))))</f>
        <v/>
      </c>
      <c r="Y51">
        <f>IF(M50&lt;=0,0,MIN(AR51,M$7+IF(M$2=$AA51,$AC51,IF(M$2=$AF51,$AG51,0))))</f>
        <v/>
      </c>
      <c r="Z51">
        <f>IF(N50&lt;=0,0,MIN(AS51,N$7+IF(N$2=$AA51,$AC51,IF(N$2=$AF51,$AG51,0))))</f>
        <v/>
      </c>
      <c r="AA51">
        <f>IFERROR(ROUND(1/SUMPRODUCT(MAX((C50:N50&gt;0)*($C$3:$N$3&lt;=B51)/$C$2:$N$2)),0),0)</f>
        <v/>
      </c>
      <c r="AB51">
        <f>SUMPRODUCT((C50:N50&gt;0)*$C$7:$N$7)</f>
        <v/>
      </c>
      <c r="AC51">
        <f>MAX(0,Plan!$C$5-AB51)+IF(A51=Plan!$C$8,N(Plan!$C$7),0)</f>
        <v/>
      </c>
      <c r="AD51">
        <f>SUM(C51:N51)</f>
        <v/>
      </c>
      <c r="AE51">
        <f>SUM(O51:Z51)</f>
        <v/>
      </c>
      <c r="AF51">
        <f>IFERROR(ROUND(1/SUMPRODUCT(MAX((C50:N50&gt;0)*($C$3:$N$3&lt;=B51)*($C$2:$N$2&gt;AA51)/$C$2:$N$2)),0),0)</f>
        <v/>
      </c>
      <c r="AG51">
        <f>MAX(0,AC51-MAX(0,SUMPRODUCT(($C$2:$N$2=AA51)*(AH51:AS51-$C$7:$N$7))))</f>
        <v/>
      </c>
      <c r="AH51">
        <f>IF(C50&lt;=0,0,ROUND(C50*(1+IF(AND(C$6&gt;0,$B51&lt;C$6),C$4,C$5)/12),2))</f>
        <v/>
      </c>
      <c r="AI51">
        <f>IF(D50&lt;=0,0,ROUND(D50*(1+IF(AND(D$6&gt;0,$B51&lt;D$6),D$4,D$5)/12),2))</f>
        <v/>
      </c>
      <c r="AJ51">
        <f>IF(E50&lt;=0,0,ROUND(E50*(1+IF(AND(E$6&gt;0,$B51&lt;E$6),E$4,E$5)/12),2))</f>
        <v/>
      </c>
      <c r="AK51">
        <f>IF(F50&lt;=0,0,ROUND(F50*(1+IF(AND(F$6&gt;0,$B51&lt;F$6),F$4,F$5)/12),2))</f>
        <v/>
      </c>
      <c r="AL51">
        <f>IF(G50&lt;=0,0,ROUND(G50*(1+IF(AND(G$6&gt;0,$B51&lt;G$6),G$4,G$5)/12),2))</f>
        <v/>
      </c>
      <c r="AM51">
        <f>IF(H50&lt;=0,0,ROUND(H50*(1+IF(AND(H$6&gt;0,$B51&lt;H$6),H$4,H$5)/12),2))</f>
        <v/>
      </c>
      <c r="AN51">
        <f>IF(I50&lt;=0,0,ROUND(I50*(1+IF(AND(I$6&gt;0,$B51&lt;I$6),I$4,I$5)/12),2))</f>
        <v/>
      </c>
      <c r="AO51">
        <f>IF(J50&lt;=0,0,ROUND(J50*(1+IF(AND(J$6&gt;0,$B51&lt;J$6),J$4,J$5)/12),2))</f>
        <v/>
      </c>
      <c r="AP51">
        <f>IF(K50&lt;=0,0,ROUND(K50*(1+IF(AND(K$6&gt;0,$B51&lt;K$6),K$4,K$5)/12),2))</f>
        <v/>
      </c>
      <c r="AQ51">
        <f>IF(L50&lt;=0,0,ROUND(L50*(1+IF(AND(L$6&gt;0,$B51&lt;L$6),L$4,L$5)/12),2))</f>
        <v/>
      </c>
      <c r="AR51">
        <f>IF(M50&lt;=0,0,ROUND(M50*(1+IF(AND(M$6&gt;0,$B51&lt;M$6),M$4,M$5)/12),2))</f>
        <v/>
      </c>
      <c r="AS51">
        <f>IF(N50&lt;=0,0,ROUND(N50*(1+IF(AND(N$6&gt;0,$B51&lt;N$6),N$4,N$5)/12),2))</f>
        <v/>
      </c>
    </row>
    <row r="52">
      <c r="A52" t="n">
        <v>41</v>
      </c>
      <c r="B52">
        <f>EDATE(Plan!$C$6,40)</f>
        <v/>
      </c>
      <c r="C52">
        <f>IF(C51&lt;=0,0,MAX(0,AH52-O52))</f>
        <v/>
      </c>
      <c r="D52">
        <f>IF(D51&lt;=0,0,MAX(0,AI52-P52))</f>
        <v/>
      </c>
      <c r="E52">
        <f>IF(E51&lt;=0,0,MAX(0,AJ52-Q52))</f>
        <v/>
      </c>
      <c r="F52">
        <f>IF(F51&lt;=0,0,MAX(0,AK52-R52))</f>
        <v/>
      </c>
      <c r="G52">
        <f>IF(G51&lt;=0,0,MAX(0,AL52-S52))</f>
        <v/>
      </c>
      <c r="H52">
        <f>IF(H51&lt;=0,0,MAX(0,AM52-T52))</f>
        <v/>
      </c>
      <c r="I52">
        <f>IF(I51&lt;=0,0,MAX(0,AN52-U52))</f>
        <v/>
      </c>
      <c r="J52">
        <f>IF(J51&lt;=0,0,MAX(0,AO52-V52))</f>
        <v/>
      </c>
      <c r="K52">
        <f>IF(K51&lt;=0,0,MAX(0,AP52-W52))</f>
        <v/>
      </c>
      <c r="L52">
        <f>IF(L51&lt;=0,0,MAX(0,AQ52-X52))</f>
        <v/>
      </c>
      <c r="M52">
        <f>IF(M51&lt;=0,0,MAX(0,AR52-Y52))</f>
        <v/>
      </c>
      <c r="N52">
        <f>IF(N51&lt;=0,0,MAX(0,AS52-Z52))</f>
        <v/>
      </c>
      <c r="O52">
        <f>IF(C51&lt;=0,0,MIN(AH52,C$7+IF(C$2=$AA52,$AC52,IF(C$2=$AF52,$AG52,0))))</f>
        <v/>
      </c>
      <c r="P52">
        <f>IF(D51&lt;=0,0,MIN(AI52,D$7+IF(D$2=$AA52,$AC52,IF(D$2=$AF52,$AG52,0))))</f>
        <v/>
      </c>
      <c r="Q52">
        <f>IF(E51&lt;=0,0,MIN(AJ52,E$7+IF(E$2=$AA52,$AC52,IF(E$2=$AF52,$AG52,0))))</f>
        <v/>
      </c>
      <c r="R52">
        <f>IF(F51&lt;=0,0,MIN(AK52,F$7+IF(F$2=$AA52,$AC52,IF(F$2=$AF52,$AG52,0))))</f>
        <v/>
      </c>
      <c r="S52">
        <f>IF(G51&lt;=0,0,MIN(AL52,G$7+IF(G$2=$AA52,$AC52,IF(G$2=$AF52,$AG52,0))))</f>
        <v/>
      </c>
      <c r="T52">
        <f>IF(H51&lt;=0,0,MIN(AM52,H$7+IF(H$2=$AA52,$AC52,IF(H$2=$AF52,$AG52,0))))</f>
        <v/>
      </c>
      <c r="U52">
        <f>IF(I51&lt;=0,0,MIN(AN52,I$7+IF(I$2=$AA52,$AC52,IF(I$2=$AF52,$AG52,0))))</f>
        <v/>
      </c>
      <c r="V52">
        <f>IF(J51&lt;=0,0,MIN(AO52,J$7+IF(J$2=$AA52,$AC52,IF(J$2=$AF52,$AG52,0))))</f>
        <v/>
      </c>
      <c r="W52">
        <f>IF(K51&lt;=0,0,MIN(AP52,K$7+IF(K$2=$AA52,$AC52,IF(K$2=$AF52,$AG52,0))))</f>
        <v/>
      </c>
      <c r="X52">
        <f>IF(L51&lt;=0,0,MIN(AQ52,L$7+IF(L$2=$AA52,$AC52,IF(L$2=$AF52,$AG52,0))))</f>
        <v/>
      </c>
      <c r="Y52">
        <f>IF(M51&lt;=0,0,MIN(AR52,M$7+IF(M$2=$AA52,$AC52,IF(M$2=$AF52,$AG52,0))))</f>
        <v/>
      </c>
      <c r="Z52">
        <f>IF(N51&lt;=0,0,MIN(AS52,N$7+IF(N$2=$AA52,$AC52,IF(N$2=$AF52,$AG52,0))))</f>
        <v/>
      </c>
      <c r="AA52">
        <f>IFERROR(ROUND(1/SUMPRODUCT(MAX((C51:N51&gt;0)*($C$3:$N$3&lt;=B52)/$C$2:$N$2)),0),0)</f>
        <v/>
      </c>
      <c r="AB52">
        <f>SUMPRODUCT((C51:N51&gt;0)*$C$7:$N$7)</f>
        <v/>
      </c>
      <c r="AC52">
        <f>MAX(0,Plan!$C$5-AB52)+IF(A52=Plan!$C$8,N(Plan!$C$7),0)</f>
        <v/>
      </c>
      <c r="AD52">
        <f>SUM(C52:N52)</f>
        <v/>
      </c>
      <c r="AE52">
        <f>SUM(O52:Z52)</f>
        <v/>
      </c>
      <c r="AF52">
        <f>IFERROR(ROUND(1/SUMPRODUCT(MAX((C51:N51&gt;0)*($C$3:$N$3&lt;=B52)*($C$2:$N$2&gt;AA52)/$C$2:$N$2)),0),0)</f>
        <v/>
      </c>
      <c r="AG52">
        <f>MAX(0,AC52-MAX(0,SUMPRODUCT(($C$2:$N$2=AA52)*(AH52:AS52-$C$7:$N$7))))</f>
        <v/>
      </c>
      <c r="AH52">
        <f>IF(C51&lt;=0,0,ROUND(C51*(1+IF(AND(C$6&gt;0,$B52&lt;C$6),C$4,C$5)/12),2))</f>
        <v/>
      </c>
      <c r="AI52">
        <f>IF(D51&lt;=0,0,ROUND(D51*(1+IF(AND(D$6&gt;0,$B52&lt;D$6),D$4,D$5)/12),2))</f>
        <v/>
      </c>
      <c r="AJ52">
        <f>IF(E51&lt;=0,0,ROUND(E51*(1+IF(AND(E$6&gt;0,$B52&lt;E$6),E$4,E$5)/12),2))</f>
        <v/>
      </c>
      <c r="AK52">
        <f>IF(F51&lt;=0,0,ROUND(F51*(1+IF(AND(F$6&gt;0,$B52&lt;F$6),F$4,F$5)/12),2))</f>
        <v/>
      </c>
      <c r="AL52">
        <f>IF(G51&lt;=0,0,ROUND(G51*(1+IF(AND(G$6&gt;0,$B52&lt;G$6),G$4,G$5)/12),2))</f>
        <v/>
      </c>
      <c r="AM52">
        <f>IF(H51&lt;=0,0,ROUND(H51*(1+IF(AND(H$6&gt;0,$B52&lt;H$6),H$4,H$5)/12),2))</f>
        <v/>
      </c>
      <c r="AN52">
        <f>IF(I51&lt;=0,0,ROUND(I51*(1+IF(AND(I$6&gt;0,$B52&lt;I$6),I$4,I$5)/12),2))</f>
        <v/>
      </c>
      <c r="AO52">
        <f>IF(J51&lt;=0,0,ROUND(J51*(1+IF(AND(J$6&gt;0,$B52&lt;J$6),J$4,J$5)/12),2))</f>
        <v/>
      </c>
      <c r="AP52">
        <f>IF(K51&lt;=0,0,ROUND(K51*(1+IF(AND(K$6&gt;0,$B52&lt;K$6),K$4,K$5)/12),2))</f>
        <v/>
      </c>
      <c r="AQ52">
        <f>IF(L51&lt;=0,0,ROUND(L51*(1+IF(AND(L$6&gt;0,$B52&lt;L$6),L$4,L$5)/12),2))</f>
        <v/>
      </c>
      <c r="AR52">
        <f>IF(M51&lt;=0,0,ROUND(M51*(1+IF(AND(M$6&gt;0,$B52&lt;M$6),M$4,M$5)/12),2))</f>
        <v/>
      </c>
      <c r="AS52">
        <f>IF(N51&lt;=0,0,ROUND(N51*(1+IF(AND(N$6&gt;0,$B52&lt;N$6),N$4,N$5)/12),2))</f>
        <v/>
      </c>
    </row>
    <row r="53">
      <c r="A53" t="n">
        <v>42</v>
      </c>
      <c r="B53">
        <f>EDATE(Plan!$C$6,41)</f>
        <v/>
      </c>
      <c r="C53">
        <f>IF(C52&lt;=0,0,MAX(0,AH53-O53))</f>
        <v/>
      </c>
      <c r="D53">
        <f>IF(D52&lt;=0,0,MAX(0,AI53-P53))</f>
        <v/>
      </c>
      <c r="E53">
        <f>IF(E52&lt;=0,0,MAX(0,AJ53-Q53))</f>
        <v/>
      </c>
      <c r="F53">
        <f>IF(F52&lt;=0,0,MAX(0,AK53-R53))</f>
        <v/>
      </c>
      <c r="G53">
        <f>IF(G52&lt;=0,0,MAX(0,AL53-S53))</f>
        <v/>
      </c>
      <c r="H53">
        <f>IF(H52&lt;=0,0,MAX(0,AM53-T53))</f>
        <v/>
      </c>
      <c r="I53">
        <f>IF(I52&lt;=0,0,MAX(0,AN53-U53))</f>
        <v/>
      </c>
      <c r="J53">
        <f>IF(J52&lt;=0,0,MAX(0,AO53-V53))</f>
        <v/>
      </c>
      <c r="K53">
        <f>IF(K52&lt;=0,0,MAX(0,AP53-W53))</f>
        <v/>
      </c>
      <c r="L53">
        <f>IF(L52&lt;=0,0,MAX(0,AQ53-X53))</f>
        <v/>
      </c>
      <c r="M53">
        <f>IF(M52&lt;=0,0,MAX(0,AR53-Y53))</f>
        <v/>
      </c>
      <c r="N53">
        <f>IF(N52&lt;=0,0,MAX(0,AS53-Z53))</f>
        <v/>
      </c>
      <c r="O53">
        <f>IF(C52&lt;=0,0,MIN(AH53,C$7+IF(C$2=$AA53,$AC53,IF(C$2=$AF53,$AG53,0))))</f>
        <v/>
      </c>
      <c r="P53">
        <f>IF(D52&lt;=0,0,MIN(AI53,D$7+IF(D$2=$AA53,$AC53,IF(D$2=$AF53,$AG53,0))))</f>
        <v/>
      </c>
      <c r="Q53">
        <f>IF(E52&lt;=0,0,MIN(AJ53,E$7+IF(E$2=$AA53,$AC53,IF(E$2=$AF53,$AG53,0))))</f>
        <v/>
      </c>
      <c r="R53">
        <f>IF(F52&lt;=0,0,MIN(AK53,F$7+IF(F$2=$AA53,$AC53,IF(F$2=$AF53,$AG53,0))))</f>
        <v/>
      </c>
      <c r="S53">
        <f>IF(G52&lt;=0,0,MIN(AL53,G$7+IF(G$2=$AA53,$AC53,IF(G$2=$AF53,$AG53,0))))</f>
        <v/>
      </c>
      <c r="T53">
        <f>IF(H52&lt;=0,0,MIN(AM53,H$7+IF(H$2=$AA53,$AC53,IF(H$2=$AF53,$AG53,0))))</f>
        <v/>
      </c>
      <c r="U53">
        <f>IF(I52&lt;=0,0,MIN(AN53,I$7+IF(I$2=$AA53,$AC53,IF(I$2=$AF53,$AG53,0))))</f>
        <v/>
      </c>
      <c r="V53">
        <f>IF(J52&lt;=0,0,MIN(AO53,J$7+IF(J$2=$AA53,$AC53,IF(J$2=$AF53,$AG53,0))))</f>
        <v/>
      </c>
      <c r="W53">
        <f>IF(K52&lt;=0,0,MIN(AP53,K$7+IF(K$2=$AA53,$AC53,IF(K$2=$AF53,$AG53,0))))</f>
        <v/>
      </c>
      <c r="X53">
        <f>IF(L52&lt;=0,0,MIN(AQ53,L$7+IF(L$2=$AA53,$AC53,IF(L$2=$AF53,$AG53,0))))</f>
        <v/>
      </c>
      <c r="Y53">
        <f>IF(M52&lt;=0,0,MIN(AR53,M$7+IF(M$2=$AA53,$AC53,IF(M$2=$AF53,$AG53,0))))</f>
        <v/>
      </c>
      <c r="Z53">
        <f>IF(N52&lt;=0,0,MIN(AS53,N$7+IF(N$2=$AA53,$AC53,IF(N$2=$AF53,$AG53,0))))</f>
        <v/>
      </c>
      <c r="AA53">
        <f>IFERROR(ROUND(1/SUMPRODUCT(MAX((C52:N52&gt;0)*($C$3:$N$3&lt;=B53)/$C$2:$N$2)),0),0)</f>
        <v/>
      </c>
      <c r="AB53">
        <f>SUMPRODUCT((C52:N52&gt;0)*$C$7:$N$7)</f>
        <v/>
      </c>
      <c r="AC53">
        <f>MAX(0,Plan!$C$5-AB53)+IF(A53=Plan!$C$8,N(Plan!$C$7),0)</f>
        <v/>
      </c>
      <c r="AD53">
        <f>SUM(C53:N53)</f>
        <v/>
      </c>
      <c r="AE53">
        <f>SUM(O53:Z53)</f>
        <v/>
      </c>
      <c r="AF53">
        <f>IFERROR(ROUND(1/SUMPRODUCT(MAX((C52:N52&gt;0)*($C$3:$N$3&lt;=B53)*($C$2:$N$2&gt;AA53)/$C$2:$N$2)),0),0)</f>
        <v/>
      </c>
      <c r="AG53">
        <f>MAX(0,AC53-MAX(0,SUMPRODUCT(($C$2:$N$2=AA53)*(AH53:AS53-$C$7:$N$7))))</f>
        <v/>
      </c>
      <c r="AH53">
        <f>IF(C52&lt;=0,0,ROUND(C52*(1+IF(AND(C$6&gt;0,$B53&lt;C$6),C$4,C$5)/12),2))</f>
        <v/>
      </c>
      <c r="AI53">
        <f>IF(D52&lt;=0,0,ROUND(D52*(1+IF(AND(D$6&gt;0,$B53&lt;D$6),D$4,D$5)/12),2))</f>
        <v/>
      </c>
      <c r="AJ53">
        <f>IF(E52&lt;=0,0,ROUND(E52*(1+IF(AND(E$6&gt;0,$B53&lt;E$6),E$4,E$5)/12),2))</f>
        <v/>
      </c>
      <c r="AK53">
        <f>IF(F52&lt;=0,0,ROUND(F52*(1+IF(AND(F$6&gt;0,$B53&lt;F$6),F$4,F$5)/12),2))</f>
        <v/>
      </c>
      <c r="AL53">
        <f>IF(G52&lt;=0,0,ROUND(G52*(1+IF(AND(G$6&gt;0,$B53&lt;G$6),G$4,G$5)/12),2))</f>
        <v/>
      </c>
      <c r="AM53">
        <f>IF(H52&lt;=0,0,ROUND(H52*(1+IF(AND(H$6&gt;0,$B53&lt;H$6),H$4,H$5)/12),2))</f>
        <v/>
      </c>
      <c r="AN53">
        <f>IF(I52&lt;=0,0,ROUND(I52*(1+IF(AND(I$6&gt;0,$B53&lt;I$6),I$4,I$5)/12),2))</f>
        <v/>
      </c>
      <c r="AO53">
        <f>IF(J52&lt;=0,0,ROUND(J52*(1+IF(AND(J$6&gt;0,$B53&lt;J$6),J$4,J$5)/12),2))</f>
        <v/>
      </c>
      <c r="AP53">
        <f>IF(K52&lt;=0,0,ROUND(K52*(1+IF(AND(K$6&gt;0,$B53&lt;K$6),K$4,K$5)/12),2))</f>
        <v/>
      </c>
      <c r="AQ53">
        <f>IF(L52&lt;=0,0,ROUND(L52*(1+IF(AND(L$6&gt;0,$B53&lt;L$6),L$4,L$5)/12),2))</f>
        <v/>
      </c>
      <c r="AR53">
        <f>IF(M52&lt;=0,0,ROUND(M52*(1+IF(AND(M$6&gt;0,$B53&lt;M$6),M$4,M$5)/12),2))</f>
        <v/>
      </c>
      <c r="AS53">
        <f>IF(N52&lt;=0,0,ROUND(N52*(1+IF(AND(N$6&gt;0,$B53&lt;N$6),N$4,N$5)/12),2))</f>
        <v/>
      </c>
    </row>
    <row r="54">
      <c r="A54" t="n">
        <v>43</v>
      </c>
      <c r="B54">
        <f>EDATE(Plan!$C$6,42)</f>
        <v/>
      </c>
      <c r="C54">
        <f>IF(C53&lt;=0,0,MAX(0,AH54-O54))</f>
        <v/>
      </c>
      <c r="D54">
        <f>IF(D53&lt;=0,0,MAX(0,AI54-P54))</f>
        <v/>
      </c>
      <c r="E54">
        <f>IF(E53&lt;=0,0,MAX(0,AJ54-Q54))</f>
        <v/>
      </c>
      <c r="F54">
        <f>IF(F53&lt;=0,0,MAX(0,AK54-R54))</f>
        <v/>
      </c>
      <c r="G54">
        <f>IF(G53&lt;=0,0,MAX(0,AL54-S54))</f>
        <v/>
      </c>
      <c r="H54">
        <f>IF(H53&lt;=0,0,MAX(0,AM54-T54))</f>
        <v/>
      </c>
      <c r="I54">
        <f>IF(I53&lt;=0,0,MAX(0,AN54-U54))</f>
        <v/>
      </c>
      <c r="J54">
        <f>IF(J53&lt;=0,0,MAX(0,AO54-V54))</f>
        <v/>
      </c>
      <c r="K54">
        <f>IF(K53&lt;=0,0,MAX(0,AP54-W54))</f>
        <v/>
      </c>
      <c r="L54">
        <f>IF(L53&lt;=0,0,MAX(0,AQ54-X54))</f>
        <v/>
      </c>
      <c r="M54">
        <f>IF(M53&lt;=0,0,MAX(0,AR54-Y54))</f>
        <v/>
      </c>
      <c r="N54">
        <f>IF(N53&lt;=0,0,MAX(0,AS54-Z54))</f>
        <v/>
      </c>
      <c r="O54">
        <f>IF(C53&lt;=0,0,MIN(AH54,C$7+IF(C$2=$AA54,$AC54,IF(C$2=$AF54,$AG54,0))))</f>
        <v/>
      </c>
      <c r="P54">
        <f>IF(D53&lt;=0,0,MIN(AI54,D$7+IF(D$2=$AA54,$AC54,IF(D$2=$AF54,$AG54,0))))</f>
        <v/>
      </c>
      <c r="Q54">
        <f>IF(E53&lt;=0,0,MIN(AJ54,E$7+IF(E$2=$AA54,$AC54,IF(E$2=$AF54,$AG54,0))))</f>
        <v/>
      </c>
      <c r="R54">
        <f>IF(F53&lt;=0,0,MIN(AK54,F$7+IF(F$2=$AA54,$AC54,IF(F$2=$AF54,$AG54,0))))</f>
        <v/>
      </c>
      <c r="S54">
        <f>IF(G53&lt;=0,0,MIN(AL54,G$7+IF(G$2=$AA54,$AC54,IF(G$2=$AF54,$AG54,0))))</f>
        <v/>
      </c>
      <c r="T54">
        <f>IF(H53&lt;=0,0,MIN(AM54,H$7+IF(H$2=$AA54,$AC54,IF(H$2=$AF54,$AG54,0))))</f>
        <v/>
      </c>
      <c r="U54">
        <f>IF(I53&lt;=0,0,MIN(AN54,I$7+IF(I$2=$AA54,$AC54,IF(I$2=$AF54,$AG54,0))))</f>
        <v/>
      </c>
      <c r="V54">
        <f>IF(J53&lt;=0,0,MIN(AO54,J$7+IF(J$2=$AA54,$AC54,IF(J$2=$AF54,$AG54,0))))</f>
        <v/>
      </c>
      <c r="W54">
        <f>IF(K53&lt;=0,0,MIN(AP54,K$7+IF(K$2=$AA54,$AC54,IF(K$2=$AF54,$AG54,0))))</f>
        <v/>
      </c>
      <c r="X54">
        <f>IF(L53&lt;=0,0,MIN(AQ54,L$7+IF(L$2=$AA54,$AC54,IF(L$2=$AF54,$AG54,0))))</f>
        <v/>
      </c>
      <c r="Y54">
        <f>IF(M53&lt;=0,0,MIN(AR54,M$7+IF(M$2=$AA54,$AC54,IF(M$2=$AF54,$AG54,0))))</f>
        <v/>
      </c>
      <c r="Z54">
        <f>IF(N53&lt;=0,0,MIN(AS54,N$7+IF(N$2=$AA54,$AC54,IF(N$2=$AF54,$AG54,0))))</f>
        <v/>
      </c>
      <c r="AA54">
        <f>IFERROR(ROUND(1/SUMPRODUCT(MAX((C53:N53&gt;0)*($C$3:$N$3&lt;=B54)/$C$2:$N$2)),0),0)</f>
        <v/>
      </c>
      <c r="AB54">
        <f>SUMPRODUCT((C53:N53&gt;0)*$C$7:$N$7)</f>
        <v/>
      </c>
      <c r="AC54">
        <f>MAX(0,Plan!$C$5-AB54)+IF(A54=Plan!$C$8,N(Plan!$C$7),0)</f>
        <v/>
      </c>
      <c r="AD54">
        <f>SUM(C54:N54)</f>
        <v/>
      </c>
      <c r="AE54">
        <f>SUM(O54:Z54)</f>
        <v/>
      </c>
      <c r="AF54">
        <f>IFERROR(ROUND(1/SUMPRODUCT(MAX((C53:N53&gt;0)*($C$3:$N$3&lt;=B54)*($C$2:$N$2&gt;AA54)/$C$2:$N$2)),0),0)</f>
        <v/>
      </c>
      <c r="AG54">
        <f>MAX(0,AC54-MAX(0,SUMPRODUCT(($C$2:$N$2=AA54)*(AH54:AS54-$C$7:$N$7))))</f>
        <v/>
      </c>
      <c r="AH54">
        <f>IF(C53&lt;=0,0,ROUND(C53*(1+IF(AND(C$6&gt;0,$B54&lt;C$6),C$4,C$5)/12),2))</f>
        <v/>
      </c>
      <c r="AI54">
        <f>IF(D53&lt;=0,0,ROUND(D53*(1+IF(AND(D$6&gt;0,$B54&lt;D$6),D$4,D$5)/12),2))</f>
        <v/>
      </c>
      <c r="AJ54">
        <f>IF(E53&lt;=0,0,ROUND(E53*(1+IF(AND(E$6&gt;0,$B54&lt;E$6),E$4,E$5)/12),2))</f>
        <v/>
      </c>
      <c r="AK54">
        <f>IF(F53&lt;=0,0,ROUND(F53*(1+IF(AND(F$6&gt;0,$B54&lt;F$6),F$4,F$5)/12),2))</f>
        <v/>
      </c>
      <c r="AL54">
        <f>IF(G53&lt;=0,0,ROUND(G53*(1+IF(AND(G$6&gt;0,$B54&lt;G$6),G$4,G$5)/12),2))</f>
        <v/>
      </c>
      <c r="AM54">
        <f>IF(H53&lt;=0,0,ROUND(H53*(1+IF(AND(H$6&gt;0,$B54&lt;H$6),H$4,H$5)/12),2))</f>
        <v/>
      </c>
      <c r="AN54">
        <f>IF(I53&lt;=0,0,ROUND(I53*(1+IF(AND(I$6&gt;0,$B54&lt;I$6),I$4,I$5)/12),2))</f>
        <v/>
      </c>
      <c r="AO54">
        <f>IF(J53&lt;=0,0,ROUND(J53*(1+IF(AND(J$6&gt;0,$B54&lt;J$6),J$4,J$5)/12),2))</f>
        <v/>
      </c>
      <c r="AP54">
        <f>IF(K53&lt;=0,0,ROUND(K53*(1+IF(AND(K$6&gt;0,$B54&lt;K$6),K$4,K$5)/12),2))</f>
        <v/>
      </c>
      <c r="AQ54">
        <f>IF(L53&lt;=0,0,ROUND(L53*(1+IF(AND(L$6&gt;0,$B54&lt;L$6),L$4,L$5)/12),2))</f>
        <v/>
      </c>
      <c r="AR54">
        <f>IF(M53&lt;=0,0,ROUND(M53*(1+IF(AND(M$6&gt;0,$B54&lt;M$6),M$4,M$5)/12),2))</f>
        <v/>
      </c>
      <c r="AS54">
        <f>IF(N53&lt;=0,0,ROUND(N53*(1+IF(AND(N$6&gt;0,$B54&lt;N$6),N$4,N$5)/12),2))</f>
        <v/>
      </c>
    </row>
    <row r="55">
      <c r="A55" t="n">
        <v>44</v>
      </c>
      <c r="B55">
        <f>EDATE(Plan!$C$6,43)</f>
        <v/>
      </c>
      <c r="C55">
        <f>IF(C54&lt;=0,0,MAX(0,AH55-O55))</f>
        <v/>
      </c>
      <c r="D55">
        <f>IF(D54&lt;=0,0,MAX(0,AI55-P55))</f>
        <v/>
      </c>
      <c r="E55">
        <f>IF(E54&lt;=0,0,MAX(0,AJ55-Q55))</f>
        <v/>
      </c>
      <c r="F55">
        <f>IF(F54&lt;=0,0,MAX(0,AK55-R55))</f>
        <v/>
      </c>
      <c r="G55">
        <f>IF(G54&lt;=0,0,MAX(0,AL55-S55))</f>
        <v/>
      </c>
      <c r="H55">
        <f>IF(H54&lt;=0,0,MAX(0,AM55-T55))</f>
        <v/>
      </c>
      <c r="I55">
        <f>IF(I54&lt;=0,0,MAX(0,AN55-U55))</f>
        <v/>
      </c>
      <c r="J55">
        <f>IF(J54&lt;=0,0,MAX(0,AO55-V55))</f>
        <v/>
      </c>
      <c r="K55">
        <f>IF(K54&lt;=0,0,MAX(0,AP55-W55))</f>
        <v/>
      </c>
      <c r="L55">
        <f>IF(L54&lt;=0,0,MAX(0,AQ55-X55))</f>
        <v/>
      </c>
      <c r="M55">
        <f>IF(M54&lt;=0,0,MAX(0,AR55-Y55))</f>
        <v/>
      </c>
      <c r="N55">
        <f>IF(N54&lt;=0,0,MAX(0,AS55-Z55))</f>
        <v/>
      </c>
      <c r="O55">
        <f>IF(C54&lt;=0,0,MIN(AH55,C$7+IF(C$2=$AA55,$AC55,IF(C$2=$AF55,$AG55,0))))</f>
        <v/>
      </c>
      <c r="P55">
        <f>IF(D54&lt;=0,0,MIN(AI55,D$7+IF(D$2=$AA55,$AC55,IF(D$2=$AF55,$AG55,0))))</f>
        <v/>
      </c>
      <c r="Q55">
        <f>IF(E54&lt;=0,0,MIN(AJ55,E$7+IF(E$2=$AA55,$AC55,IF(E$2=$AF55,$AG55,0))))</f>
        <v/>
      </c>
      <c r="R55">
        <f>IF(F54&lt;=0,0,MIN(AK55,F$7+IF(F$2=$AA55,$AC55,IF(F$2=$AF55,$AG55,0))))</f>
        <v/>
      </c>
      <c r="S55">
        <f>IF(G54&lt;=0,0,MIN(AL55,G$7+IF(G$2=$AA55,$AC55,IF(G$2=$AF55,$AG55,0))))</f>
        <v/>
      </c>
      <c r="T55">
        <f>IF(H54&lt;=0,0,MIN(AM55,H$7+IF(H$2=$AA55,$AC55,IF(H$2=$AF55,$AG55,0))))</f>
        <v/>
      </c>
      <c r="U55">
        <f>IF(I54&lt;=0,0,MIN(AN55,I$7+IF(I$2=$AA55,$AC55,IF(I$2=$AF55,$AG55,0))))</f>
        <v/>
      </c>
      <c r="V55">
        <f>IF(J54&lt;=0,0,MIN(AO55,J$7+IF(J$2=$AA55,$AC55,IF(J$2=$AF55,$AG55,0))))</f>
        <v/>
      </c>
      <c r="W55">
        <f>IF(K54&lt;=0,0,MIN(AP55,K$7+IF(K$2=$AA55,$AC55,IF(K$2=$AF55,$AG55,0))))</f>
        <v/>
      </c>
      <c r="X55">
        <f>IF(L54&lt;=0,0,MIN(AQ55,L$7+IF(L$2=$AA55,$AC55,IF(L$2=$AF55,$AG55,0))))</f>
        <v/>
      </c>
      <c r="Y55">
        <f>IF(M54&lt;=0,0,MIN(AR55,M$7+IF(M$2=$AA55,$AC55,IF(M$2=$AF55,$AG55,0))))</f>
        <v/>
      </c>
      <c r="Z55">
        <f>IF(N54&lt;=0,0,MIN(AS55,N$7+IF(N$2=$AA55,$AC55,IF(N$2=$AF55,$AG55,0))))</f>
        <v/>
      </c>
      <c r="AA55">
        <f>IFERROR(ROUND(1/SUMPRODUCT(MAX((C54:N54&gt;0)*($C$3:$N$3&lt;=B55)/$C$2:$N$2)),0),0)</f>
        <v/>
      </c>
      <c r="AB55">
        <f>SUMPRODUCT((C54:N54&gt;0)*$C$7:$N$7)</f>
        <v/>
      </c>
      <c r="AC55">
        <f>MAX(0,Plan!$C$5-AB55)+IF(A55=Plan!$C$8,N(Plan!$C$7),0)</f>
        <v/>
      </c>
      <c r="AD55">
        <f>SUM(C55:N55)</f>
        <v/>
      </c>
      <c r="AE55">
        <f>SUM(O55:Z55)</f>
        <v/>
      </c>
      <c r="AF55">
        <f>IFERROR(ROUND(1/SUMPRODUCT(MAX((C54:N54&gt;0)*($C$3:$N$3&lt;=B55)*($C$2:$N$2&gt;AA55)/$C$2:$N$2)),0),0)</f>
        <v/>
      </c>
      <c r="AG55">
        <f>MAX(0,AC55-MAX(0,SUMPRODUCT(($C$2:$N$2=AA55)*(AH55:AS55-$C$7:$N$7))))</f>
        <v/>
      </c>
      <c r="AH55">
        <f>IF(C54&lt;=0,0,ROUND(C54*(1+IF(AND(C$6&gt;0,$B55&lt;C$6),C$4,C$5)/12),2))</f>
        <v/>
      </c>
      <c r="AI55">
        <f>IF(D54&lt;=0,0,ROUND(D54*(1+IF(AND(D$6&gt;0,$B55&lt;D$6),D$4,D$5)/12),2))</f>
        <v/>
      </c>
      <c r="AJ55">
        <f>IF(E54&lt;=0,0,ROUND(E54*(1+IF(AND(E$6&gt;0,$B55&lt;E$6),E$4,E$5)/12),2))</f>
        <v/>
      </c>
      <c r="AK55">
        <f>IF(F54&lt;=0,0,ROUND(F54*(1+IF(AND(F$6&gt;0,$B55&lt;F$6),F$4,F$5)/12),2))</f>
        <v/>
      </c>
      <c r="AL55">
        <f>IF(G54&lt;=0,0,ROUND(G54*(1+IF(AND(G$6&gt;0,$B55&lt;G$6),G$4,G$5)/12),2))</f>
        <v/>
      </c>
      <c r="AM55">
        <f>IF(H54&lt;=0,0,ROUND(H54*(1+IF(AND(H$6&gt;0,$B55&lt;H$6),H$4,H$5)/12),2))</f>
        <v/>
      </c>
      <c r="AN55">
        <f>IF(I54&lt;=0,0,ROUND(I54*(1+IF(AND(I$6&gt;0,$B55&lt;I$6),I$4,I$5)/12),2))</f>
        <v/>
      </c>
      <c r="AO55">
        <f>IF(J54&lt;=0,0,ROUND(J54*(1+IF(AND(J$6&gt;0,$B55&lt;J$6),J$4,J$5)/12),2))</f>
        <v/>
      </c>
      <c r="AP55">
        <f>IF(K54&lt;=0,0,ROUND(K54*(1+IF(AND(K$6&gt;0,$B55&lt;K$6),K$4,K$5)/12),2))</f>
        <v/>
      </c>
      <c r="AQ55">
        <f>IF(L54&lt;=0,0,ROUND(L54*(1+IF(AND(L$6&gt;0,$B55&lt;L$6),L$4,L$5)/12),2))</f>
        <v/>
      </c>
      <c r="AR55">
        <f>IF(M54&lt;=0,0,ROUND(M54*(1+IF(AND(M$6&gt;0,$B55&lt;M$6),M$4,M$5)/12),2))</f>
        <v/>
      </c>
      <c r="AS55">
        <f>IF(N54&lt;=0,0,ROUND(N54*(1+IF(AND(N$6&gt;0,$B55&lt;N$6),N$4,N$5)/12),2))</f>
        <v/>
      </c>
    </row>
    <row r="56">
      <c r="A56" t="n">
        <v>45</v>
      </c>
      <c r="B56">
        <f>EDATE(Plan!$C$6,44)</f>
        <v/>
      </c>
      <c r="C56">
        <f>IF(C55&lt;=0,0,MAX(0,AH56-O56))</f>
        <v/>
      </c>
      <c r="D56">
        <f>IF(D55&lt;=0,0,MAX(0,AI56-P56))</f>
        <v/>
      </c>
      <c r="E56">
        <f>IF(E55&lt;=0,0,MAX(0,AJ56-Q56))</f>
        <v/>
      </c>
      <c r="F56">
        <f>IF(F55&lt;=0,0,MAX(0,AK56-R56))</f>
        <v/>
      </c>
      <c r="G56">
        <f>IF(G55&lt;=0,0,MAX(0,AL56-S56))</f>
        <v/>
      </c>
      <c r="H56">
        <f>IF(H55&lt;=0,0,MAX(0,AM56-T56))</f>
        <v/>
      </c>
      <c r="I56">
        <f>IF(I55&lt;=0,0,MAX(0,AN56-U56))</f>
        <v/>
      </c>
      <c r="J56">
        <f>IF(J55&lt;=0,0,MAX(0,AO56-V56))</f>
        <v/>
      </c>
      <c r="K56">
        <f>IF(K55&lt;=0,0,MAX(0,AP56-W56))</f>
        <v/>
      </c>
      <c r="L56">
        <f>IF(L55&lt;=0,0,MAX(0,AQ56-X56))</f>
        <v/>
      </c>
      <c r="M56">
        <f>IF(M55&lt;=0,0,MAX(0,AR56-Y56))</f>
        <v/>
      </c>
      <c r="N56">
        <f>IF(N55&lt;=0,0,MAX(0,AS56-Z56))</f>
        <v/>
      </c>
      <c r="O56">
        <f>IF(C55&lt;=0,0,MIN(AH56,C$7+IF(C$2=$AA56,$AC56,IF(C$2=$AF56,$AG56,0))))</f>
        <v/>
      </c>
      <c r="P56">
        <f>IF(D55&lt;=0,0,MIN(AI56,D$7+IF(D$2=$AA56,$AC56,IF(D$2=$AF56,$AG56,0))))</f>
        <v/>
      </c>
      <c r="Q56">
        <f>IF(E55&lt;=0,0,MIN(AJ56,E$7+IF(E$2=$AA56,$AC56,IF(E$2=$AF56,$AG56,0))))</f>
        <v/>
      </c>
      <c r="R56">
        <f>IF(F55&lt;=0,0,MIN(AK56,F$7+IF(F$2=$AA56,$AC56,IF(F$2=$AF56,$AG56,0))))</f>
        <v/>
      </c>
      <c r="S56">
        <f>IF(G55&lt;=0,0,MIN(AL56,G$7+IF(G$2=$AA56,$AC56,IF(G$2=$AF56,$AG56,0))))</f>
        <v/>
      </c>
      <c r="T56">
        <f>IF(H55&lt;=0,0,MIN(AM56,H$7+IF(H$2=$AA56,$AC56,IF(H$2=$AF56,$AG56,0))))</f>
        <v/>
      </c>
      <c r="U56">
        <f>IF(I55&lt;=0,0,MIN(AN56,I$7+IF(I$2=$AA56,$AC56,IF(I$2=$AF56,$AG56,0))))</f>
        <v/>
      </c>
      <c r="V56">
        <f>IF(J55&lt;=0,0,MIN(AO56,J$7+IF(J$2=$AA56,$AC56,IF(J$2=$AF56,$AG56,0))))</f>
        <v/>
      </c>
      <c r="W56">
        <f>IF(K55&lt;=0,0,MIN(AP56,K$7+IF(K$2=$AA56,$AC56,IF(K$2=$AF56,$AG56,0))))</f>
        <v/>
      </c>
      <c r="X56">
        <f>IF(L55&lt;=0,0,MIN(AQ56,L$7+IF(L$2=$AA56,$AC56,IF(L$2=$AF56,$AG56,0))))</f>
        <v/>
      </c>
      <c r="Y56">
        <f>IF(M55&lt;=0,0,MIN(AR56,M$7+IF(M$2=$AA56,$AC56,IF(M$2=$AF56,$AG56,0))))</f>
        <v/>
      </c>
      <c r="Z56">
        <f>IF(N55&lt;=0,0,MIN(AS56,N$7+IF(N$2=$AA56,$AC56,IF(N$2=$AF56,$AG56,0))))</f>
        <v/>
      </c>
      <c r="AA56">
        <f>IFERROR(ROUND(1/SUMPRODUCT(MAX((C55:N55&gt;0)*($C$3:$N$3&lt;=B56)/$C$2:$N$2)),0),0)</f>
        <v/>
      </c>
      <c r="AB56">
        <f>SUMPRODUCT((C55:N55&gt;0)*$C$7:$N$7)</f>
        <v/>
      </c>
      <c r="AC56">
        <f>MAX(0,Plan!$C$5-AB56)+IF(A56=Plan!$C$8,N(Plan!$C$7),0)</f>
        <v/>
      </c>
      <c r="AD56">
        <f>SUM(C56:N56)</f>
        <v/>
      </c>
      <c r="AE56">
        <f>SUM(O56:Z56)</f>
        <v/>
      </c>
      <c r="AF56">
        <f>IFERROR(ROUND(1/SUMPRODUCT(MAX((C55:N55&gt;0)*($C$3:$N$3&lt;=B56)*($C$2:$N$2&gt;AA56)/$C$2:$N$2)),0),0)</f>
        <v/>
      </c>
      <c r="AG56">
        <f>MAX(0,AC56-MAX(0,SUMPRODUCT(($C$2:$N$2=AA56)*(AH56:AS56-$C$7:$N$7))))</f>
        <v/>
      </c>
      <c r="AH56">
        <f>IF(C55&lt;=0,0,ROUND(C55*(1+IF(AND(C$6&gt;0,$B56&lt;C$6),C$4,C$5)/12),2))</f>
        <v/>
      </c>
      <c r="AI56">
        <f>IF(D55&lt;=0,0,ROUND(D55*(1+IF(AND(D$6&gt;0,$B56&lt;D$6),D$4,D$5)/12),2))</f>
        <v/>
      </c>
      <c r="AJ56">
        <f>IF(E55&lt;=0,0,ROUND(E55*(1+IF(AND(E$6&gt;0,$B56&lt;E$6),E$4,E$5)/12),2))</f>
        <v/>
      </c>
      <c r="AK56">
        <f>IF(F55&lt;=0,0,ROUND(F55*(1+IF(AND(F$6&gt;0,$B56&lt;F$6),F$4,F$5)/12),2))</f>
        <v/>
      </c>
      <c r="AL56">
        <f>IF(G55&lt;=0,0,ROUND(G55*(1+IF(AND(G$6&gt;0,$B56&lt;G$6),G$4,G$5)/12),2))</f>
        <v/>
      </c>
      <c r="AM56">
        <f>IF(H55&lt;=0,0,ROUND(H55*(1+IF(AND(H$6&gt;0,$B56&lt;H$6),H$4,H$5)/12),2))</f>
        <v/>
      </c>
      <c r="AN56">
        <f>IF(I55&lt;=0,0,ROUND(I55*(1+IF(AND(I$6&gt;0,$B56&lt;I$6),I$4,I$5)/12),2))</f>
        <v/>
      </c>
      <c r="AO56">
        <f>IF(J55&lt;=0,0,ROUND(J55*(1+IF(AND(J$6&gt;0,$B56&lt;J$6),J$4,J$5)/12),2))</f>
        <v/>
      </c>
      <c r="AP56">
        <f>IF(K55&lt;=0,0,ROUND(K55*(1+IF(AND(K$6&gt;0,$B56&lt;K$6),K$4,K$5)/12),2))</f>
        <v/>
      </c>
      <c r="AQ56">
        <f>IF(L55&lt;=0,0,ROUND(L55*(1+IF(AND(L$6&gt;0,$B56&lt;L$6),L$4,L$5)/12),2))</f>
        <v/>
      </c>
      <c r="AR56">
        <f>IF(M55&lt;=0,0,ROUND(M55*(1+IF(AND(M$6&gt;0,$B56&lt;M$6),M$4,M$5)/12),2))</f>
        <v/>
      </c>
      <c r="AS56">
        <f>IF(N55&lt;=0,0,ROUND(N55*(1+IF(AND(N$6&gt;0,$B56&lt;N$6),N$4,N$5)/12),2))</f>
        <v/>
      </c>
    </row>
    <row r="57">
      <c r="A57" t="n">
        <v>46</v>
      </c>
      <c r="B57">
        <f>EDATE(Plan!$C$6,45)</f>
        <v/>
      </c>
      <c r="C57">
        <f>IF(C56&lt;=0,0,MAX(0,AH57-O57))</f>
        <v/>
      </c>
      <c r="D57">
        <f>IF(D56&lt;=0,0,MAX(0,AI57-P57))</f>
        <v/>
      </c>
      <c r="E57">
        <f>IF(E56&lt;=0,0,MAX(0,AJ57-Q57))</f>
        <v/>
      </c>
      <c r="F57">
        <f>IF(F56&lt;=0,0,MAX(0,AK57-R57))</f>
        <v/>
      </c>
      <c r="G57">
        <f>IF(G56&lt;=0,0,MAX(0,AL57-S57))</f>
        <v/>
      </c>
      <c r="H57">
        <f>IF(H56&lt;=0,0,MAX(0,AM57-T57))</f>
        <v/>
      </c>
      <c r="I57">
        <f>IF(I56&lt;=0,0,MAX(0,AN57-U57))</f>
        <v/>
      </c>
      <c r="J57">
        <f>IF(J56&lt;=0,0,MAX(0,AO57-V57))</f>
        <v/>
      </c>
      <c r="K57">
        <f>IF(K56&lt;=0,0,MAX(0,AP57-W57))</f>
        <v/>
      </c>
      <c r="L57">
        <f>IF(L56&lt;=0,0,MAX(0,AQ57-X57))</f>
        <v/>
      </c>
      <c r="M57">
        <f>IF(M56&lt;=0,0,MAX(0,AR57-Y57))</f>
        <v/>
      </c>
      <c r="N57">
        <f>IF(N56&lt;=0,0,MAX(0,AS57-Z57))</f>
        <v/>
      </c>
      <c r="O57">
        <f>IF(C56&lt;=0,0,MIN(AH57,C$7+IF(C$2=$AA57,$AC57,IF(C$2=$AF57,$AG57,0))))</f>
        <v/>
      </c>
      <c r="P57">
        <f>IF(D56&lt;=0,0,MIN(AI57,D$7+IF(D$2=$AA57,$AC57,IF(D$2=$AF57,$AG57,0))))</f>
        <v/>
      </c>
      <c r="Q57">
        <f>IF(E56&lt;=0,0,MIN(AJ57,E$7+IF(E$2=$AA57,$AC57,IF(E$2=$AF57,$AG57,0))))</f>
        <v/>
      </c>
      <c r="R57">
        <f>IF(F56&lt;=0,0,MIN(AK57,F$7+IF(F$2=$AA57,$AC57,IF(F$2=$AF57,$AG57,0))))</f>
        <v/>
      </c>
      <c r="S57">
        <f>IF(G56&lt;=0,0,MIN(AL57,G$7+IF(G$2=$AA57,$AC57,IF(G$2=$AF57,$AG57,0))))</f>
        <v/>
      </c>
      <c r="T57">
        <f>IF(H56&lt;=0,0,MIN(AM57,H$7+IF(H$2=$AA57,$AC57,IF(H$2=$AF57,$AG57,0))))</f>
        <v/>
      </c>
      <c r="U57">
        <f>IF(I56&lt;=0,0,MIN(AN57,I$7+IF(I$2=$AA57,$AC57,IF(I$2=$AF57,$AG57,0))))</f>
        <v/>
      </c>
      <c r="V57">
        <f>IF(J56&lt;=0,0,MIN(AO57,J$7+IF(J$2=$AA57,$AC57,IF(J$2=$AF57,$AG57,0))))</f>
        <v/>
      </c>
      <c r="W57">
        <f>IF(K56&lt;=0,0,MIN(AP57,K$7+IF(K$2=$AA57,$AC57,IF(K$2=$AF57,$AG57,0))))</f>
        <v/>
      </c>
      <c r="X57">
        <f>IF(L56&lt;=0,0,MIN(AQ57,L$7+IF(L$2=$AA57,$AC57,IF(L$2=$AF57,$AG57,0))))</f>
        <v/>
      </c>
      <c r="Y57">
        <f>IF(M56&lt;=0,0,MIN(AR57,M$7+IF(M$2=$AA57,$AC57,IF(M$2=$AF57,$AG57,0))))</f>
        <v/>
      </c>
      <c r="Z57">
        <f>IF(N56&lt;=0,0,MIN(AS57,N$7+IF(N$2=$AA57,$AC57,IF(N$2=$AF57,$AG57,0))))</f>
        <v/>
      </c>
      <c r="AA57">
        <f>IFERROR(ROUND(1/SUMPRODUCT(MAX((C56:N56&gt;0)*($C$3:$N$3&lt;=B57)/$C$2:$N$2)),0),0)</f>
        <v/>
      </c>
      <c r="AB57">
        <f>SUMPRODUCT((C56:N56&gt;0)*$C$7:$N$7)</f>
        <v/>
      </c>
      <c r="AC57">
        <f>MAX(0,Plan!$C$5-AB57)+IF(A57=Plan!$C$8,N(Plan!$C$7),0)</f>
        <v/>
      </c>
      <c r="AD57">
        <f>SUM(C57:N57)</f>
        <v/>
      </c>
      <c r="AE57">
        <f>SUM(O57:Z57)</f>
        <v/>
      </c>
      <c r="AF57">
        <f>IFERROR(ROUND(1/SUMPRODUCT(MAX((C56:N56&gt;0)*($C$3:$N$3&lt;=B57)*($C$2:$N$2&gt;AA57)/$C$2:$N$2)),0),0)</f>
        <v/>
      </c>
      <c r="AG57">
        <f>MAX(0,AC57-MAX(0,SUMPRODUCT(($C$2:$N$2=AA57)*(AH57:AS57-$C$7:$N$7))))</f>
        <v/>
      </c>
      <c r="AH57">
        <f>IF(C56&lt;=0,0,ROUND(C56*(1+IF(AND(C$6&gt;0,$B57&lt;C$6),C$4,C$5)/12),2))</f>
        <v/>
      </c>
      <c r="AI57">
        <f>IF(D56&lt;=0,0,ROUND(D56*(1+IF(AND(D$6&gt;0,$B57&lt;D$6),D$4,D$5)/12),2))</f>
        <v/>
      </c>
      <c r="AJ57">
        <f>IF(E56&lt;=0,0,ROUND(E56*(1+IF(AND(E$6&gt;0,$B57&lt;E$6),E$4,E$5)/12),2))</f>
        <v/>
      </c>
      <c r="AK57">
        <f>IF(F56&lt;=0,0,ROUND(F56*(1+IF(AND(F$6&gt;0,$B57&lt;F$6),F$4,F$5)/12),2))</f>
        <v/>
      </c>
      <c r="AL57">
        <f>IF(G56&lt;=0,0,ROUND(G56*(1+IF(AND(G$6&gt;0,$B57&lt;G$6),G$4,G$5)/12),2))</f>
        <v/>
      </c>
      <c r="AM57">
        <f>IF(H56&lt;=0,0,ROUND(H56*(1+IF(AND(H$6&gt;0,$B57&lt;H$6),H$4,H$5)/12),2))</f>
        <v/>
      </c>
      <c r="AN57">
        <f>IF(I56&lt;=0,0,ROUND(I56*(1+IF(AND(I$6&gt;0,$B57&lt;I$6),I$4,I$5)/12),2))</f>
        <v/>
      </c>
      <c r="AO57">
        <f>IF(J56&lt;=0,0,ROUND(J56*(1+IF(AND(J$6&gt;0,$B57&lt;J$6),J$4,J$5)/12),2))</f>
        <v/>
      </c>
      <c r="AP57">
        <f>IF(K56&lt;=0,0,ROUND(K56*(1+IF(AND(K$6&gt;0,$B57&lt;K$6),K$4,K$5)/12),2))</f>
        <v/>
      </c>
      <c r="AQ57">
        <f>IF(L56&lt;=0,0,ROUND(L56*(1+IF(AND(L$6&gt;0,$B57&lt;L$6),L$4,L$5)/12),2))</f>
        <v/>
      </c>
      <c r="AR57">
        <f>IF(M56&lt;=0,0,ROUND(M56*(1+IF(AND(M$6&gt;0,$B57&lt;M$6),M$4,M$5)/12),2))</f>
        <v/>
      </c>
      <c r="AS57">
        <f>IF(N56&lt;=0,0,ROUND(N56*(1+IF(AND(N$6&gt;0,$B57&lt;N$6),N$4,N$5)/12),2))</f>
        <v/>
      </c>
    </row>
    <row r="58">
      <c r="A58" t="n">
        <v>47</v>
      </c>
      <c r="B58">
        <f>EDATE(Plan!$C$6,46)</f>
        <v/>
      </c>
      <c r="C58">
        <f>IF(C57&lt;=0,0,MAX(0,AH58-O58))</f>
        <v/>
      </c>
      <c r="D58">
        <f>IF(D57&lt;=0,0,MAX(0,AI58-P58))</f>
        <v/>
      </c>
      <c r="E58">
        <f>IF(E57&lt;=0,0,MAX(0,AJ58-Q58))</f>
        <v/>
      </c>
      <c r="F58">
        <f>IF(F57&lt;=0,0,MAX(0,AK58-R58))</f>
        <v/>
      </c>
      <c r="G58">
        <f>IF(G57&lt;=0,0,MAX(0,AL58-S58))</f>
        <v/>
      </c>
      <c r="H58">
        <f>IF(H57&lt;=0,0,MAX(0,AM58-T58))</f>
        <v/>
      </c>
      <c r="I58">
        <f>IF(I57&lt;=0,0,MAX(0,AN58-U58))</f>
        <v/>
      </c>
      <c r="J58">
        <f>IF(J57&lt;=0,0,MAX(0,AO58-V58))</f>
        <v/>
      </c>
      <c r="K58">
        <f>IF(K57&lt;=0,0,MAX(0,AP58-W58))</f>
        <v/>
      </c>
      <c r="L58">
        <f>IF(L57&lt;=0,0,MAX(0,AQ58-X58))</f>
        <v/>
      </c>
      <c r="M58">
        <f>IF(M57&lt;=0,0,MAX(0,AR58-Y58))</f>
        <v/>
      </c>
      <c r="N58">
        <f>IF(N57&lt;=0,0,MAX(0,AS58-Z58))</f>
        <v/>
      </c>
      <c r="O58">
        <f>IF(C57&lt;=0,0,MIN(AH58,C$7+IF(C$2=$AA58,$AC58,IF(C$2=$AF58,$AG58,0))))</f>
        <v/>
      </c>
      <c r="P58">
        <f>IF(D57&lt;=0,0,MIN(AI58,D$7+IF(D$2=$AA58,$AC58,IF(D$2=$AF58,$AG58,0))))</f>
        <v/>
      </c>
      <c r="Q58">
        <f>IF(E57&lt;=0,0,MIN(AJ58,E$7+IF(E$2=$AA58,$AC58,IF(E$2=$AF58,$AG58,0))))</f>
        <v/>
      </c>
      <c r="R58">
        <f>IF(F57&lt;=0,0,MIN(AK58,F$7+IF(F$2=$AA58,$AC58,IF(F$2=$AF58,$AG58,0))))</f>
        <v/>
      </c>
      <c r="S58">
        <f>IF(G57&lt;=0,0,MIN(AL58,G$7+IF(G$2=$AA58,$AC58,IF(G$2=$AF58,$AG58,0))))</f>
        <v/>
      </c>
      <c r="T58">
        <f>IF(H57&lt;=0,0,MIN(AM58,H$7+IF(H$2=$AA58,$AC58,IF(H$2=$AF58,$AG58,0))))</f>
        <v/>
      </c>
      <c r="U58">
        <f>IF(I57&lt;=0,0,MIN(AN58,I$7+IF(I$2=$AA58,$AC58,IF(I$2=$AF58,$AG58,0))))</f>
        <v/>
      </c>
      <c r="V58">
        <f>IF(J57&lt;=0,0,MIN(AO58,J$7+IF(J$2=$AA58,$AC58,IF(J$2=$AF58,$AG58,0))))</f>
        <v/>
      </c>
      <c r="W58">
        <f>IF(K57&lt;=0,0,MIN(AP58,K$7+IF(K$2=$AA58,$AC58,IF(K$2=$AF58,$AG58,0))))</f>
        <v/>
      </c>
      <c r="X58">
        <f>IF(L57&lt;=0,0,MIN(AQ58,L$7+IF(L$2=$AA58,$AC58,IF(L$2=$AF58,$AG58,0))))</f>
        <v/>
      </c>
      <c r="Y58">
        <f>IF(M57&lt;=0,0,MIN(AR58,M$7+IF(M$2=$AA58,$AC58,IF(M$2=$AF58,$AG58,0))))</f>
        <v/>
      </c>
      <c r="Z58">
        <f>IF(N57&lt;=0,0,MIN(AS58,N$7+IF(N$2=$AA58,$AC58,IF(N$2=$AF58,$AG58,0))))</f>
        <v/>
      </c>
      <c r="AA58">
        <f>IFERROR(ROUND(1/SUMPRODUCT(MAX((C57:N57&gt;0)*($C$3:$N$3&lt;=B58)/$C$2:$N$2)),0),0)</f>
        <v/>
      </c>
      <c r="AB58">
        <f>SUMPRODUCT((C57:N57&gt;0)*$C$7:$N$7)</f>
        <v/>
      </c>
      <c r="AC58">
        <f>MAX(0,Plan!$C$5-AB58)+IF(A58=Plan!$C$8,N(Plan!$C$7),0)</f>
        <v/>
      </c>
      <c r="AD58">
        <f>SUM(C58:N58)</f>
        <v/>
      </c>
      <c r="AE58">
        <f>SUM(O58:Z58)</f>
        <v/>
      </c>
      <c r="AF58">
        <f>IFERROR(ROUND(1/SUMPRODUCT(MAX((C57:N57&gt;0)*($C$3:$N$3&lt;=B58)*($C$2:$N$2&gt;AA58)/$C$2:$N$2)),0),0)</f>
        <v/>
      </c>
      <c r="AG58">
        <f>MAX(0,AC58-MAX(0,SUMPRODUCT(($C$2:$N$2=AA58)*(AH58:AS58-$C$7:$N$7))))</f>
        <v/>
      </c>
      <c r="AH58">
        <f>IF(C57&lt;=0,0,ROUND(C57*(1+IF(AND(C$6&gt;0,$B58&lt;C$6),C$4,C$5)/12),2))</f>
        <v/>
      </c>
      <c r="AI58">
        <f>IF(D57&lt;=0,0,ROUND(D57*(1+IF(AND(D$6&gt;0,$B58&lt;D$6),D$4,D$5)/12),2))</f>
        <v/>
      </c>
      <c r="AJ58">
        <f>IF(E57&lt;=0,0,ROUND(E57*(1+IF(AND(E$6&gt;0,$B58&lt;E$6),E$4,E$5)/12),2))</f>
        <v/>
      </c>
      <c r="AK58">
        <f>IF(F57&lt;=0,0,ROUND(F57*(1+IF(AND(F$6&gt;0,$B58&lt;F$6),F$4,F$5)/12),2))</f>
        <v/>
      </c>
      <c r="AL58">
        <f>IF(G57&lt;=0,0,ROUND(G57*(1+IF(AND(G$6&gt;0,$B58&lt;G$6),G$4,G$5)/12),2))</f>
        <v/>
      </c>
      <c r="AM58">
        <f>IF(H57&lt;=0,0,ROUND(H57*(1+IF(AND(H$6&gt;0,$B58&lt;H$6),H$4,H$5)/12),2))</f>
        <v/>
      </c>
      <c r="AN58">
        <f>IF(I57&lt;=0,0,ROUND(I57*(1+IF(AND(I$6&gt;0,$B58&lt;I$6),I$4,I$5)/12),2))</f>
        <v/>
      </c>
      <c r="AO58">
        <f>IF(J57&lt;=0,0,ROUND(J57*(1+IF(AND(J$6&gt;0,$B58&lt;J$6),J$4,J$5)/12),2))</f>
        <v/>
      </c>
      <c r="AP58">
        <f>IF(K57&lt;=0,0,ROUND(K57*(1+IF(AND(K$6&gt;0,$B58&lt;K$6),K$4,K$5)/12),2))</f>
        <v/>
      </c>
      <c r="AQ58">
        <f>IF(L57&lt;=0,0,ROUND(L57*(1+IF(AND(L$6&gt;0,$B58&lt;L$6),L$4,L$5)/12),2))</f>
        <v/>
      </c>
      <c r="AR58">
        <f>IF(M57&lt;=0,0,ROUND(M57*(1+IF(AND(M$6&gt;0,$B58&lt;M$6),M$4,M$5)/12),2))</f>
        <v/>
      </c>
      <c r="AS58">
        <f>IF(N57&lt;=0,0,ROUND(N57*(1+IF(AND(N$6&gt;0,$B58&lt;N$6),N$4,N$5)/12),2))</f>
        <v/>
      </c>
    </row>
    <row r="59">
      <c r="A59" t="n">
        <v>48</v>
      </c>
      <c r="B59">
        <f>EDATE(Plan!$C$6,47)</f>
        <v/>
      </c>
      <c r="C59">
        <f>IF(C58&lt;=0,0,MAX(0,AH59-O59))</f>
        <v/>
      </c>
      <c r="D59">
        <f>IF(D58&lt;=0,0,MAX(0,AI59-P59))</f>
        <v/>
      </c>
      <c r="E59">
        <f>IF(E58&lt;=0,0,MAX(0,AJ59-Q59))</f>
        <v/>
      </c>
      <c r="F59">
        <f>IF(F58&lt;=0,0,MAX(0,AK59-R59))</f>
        <v/>
      </c>
      <c r="G59">
        <f>IF(G58&lt;=0,0,MAX(0,AL59-S59))</f>
        <v/>
      </c>
      <c r="H59">
        <f>IF(H58&lt;=0,0,MAX(0,AM59-T59))</f>
        <v/>
      </c>
      <c r="I59">
        <f>IF(I58&lt;=0,0,MAX(0,AN59-U59))</f>
        <v/>
      </c>
      <c r="J59">
        <f>IF(J58&lt;=0,0,MAX(0,AO59-V59))</f>
        <v/>
      </c>
      <c r="K59">
        <f>IF(K58&lt;=0,0,MAX(0,AP59-W59))</f>
        <v/>
      </c>
      <c r="L59">
        <f>IF(L58&lt;=0,0,MAX(0,AQ59-X59))</f>
        <v/>
      </c>
      <c r="M59">
        <f>IF(M58&lt;=0,0,MAX(0,AR59-Y59))</f>
        <v/>
      </c>
      <c r="N59">
        <f>IF(N58&lt;=0,0,MAX(0,AS59-Z59))</f>
        <v/>
      </c>
      <c r="O59">
        <f>IF(C58&lt;=0,0,MIN(AH59,C$7+IF(C$2=$AA59,$AC59,IF(C$2=$AF59,$AG59,0))))</f>
        <v/>
      </c>
      <c r="P59">
        <f>IF(D58&lt;=0,0,MIN(AI59,D$7+IF(D$2=$AA59,$AC59,IF(D$2=$AF59,$AG59,0))))</f>
        <v/>
      </c>
      <c r="Q59">
        <f>IF(E58&lt;=0,0,MIN(AJ59,E$7+IF(E$2=$AA59,$AC59,IF(E$2=$AF59,$AG59,0))))</f>
        <v/>
      </c>
      <c r="R59">
        <f>IF(F58&lt;=0,0,MIN(AK59,F$7+IF(F$2=$AA59,$AC59,IF(F$2=$AF59,$AG59,0))))</f>
        <v/>
      </c>
      <c r="S59">
        <f>IF(G58&lt;=0,0,MIN(AL59,G$7+IF(G$2=$AA59,$AC59,IF(G$2=$AF59,$AG59,0))))</f>
        <v/>
      </c>
      <c r="T59">
        <f>IF(H58&lt;=0,0,MIN(AM59,H$7+IF(H$2=$AA59,$AC59,IF(H$2=$AF59,$AG59,0))))</f>
        <v/>
      </c>
      <c r="U59">
        <f>IF(I58&lt;=0,0,MIN(AN59,I$7+IF(I$2=$AA59,$AC59,IF(I$2=$AF59,$AG59,0))))</f>
        <v/>
      </c>
      <c r="V59">
        <f>IF(J58&lt;=0,0,MIN(AO59,J$7+IF(J$2=$AA59,$AC59,IF(J$2=$AF59,$AG59,0))))</f>
        <v/>
      </c>
      <c r="W59">
        <f>IF(K58&lt;=0,0,MIN(AP59,K$7+IF(K$2=$AA59,$AC59,IF(K$2=$AF59,$AG59,0))))</f>
        <v/>
      </c>
      <c r="X59">
        <f>IF(L58&lt;=0,0,MIN(AQ59,L$7+IF(L$2=$AA59,$AC59,IF(L$2=$AF59,$AG59,0))))</f>
        <v/>
      </c>
      <c r="Y59">
        <f>IF(M58&lt;=0,0,MIN(AR59,M$7+IF(M$2=$AA59,$AC59,IF(M$2=$AF59,$AG59,0))))</f>
        <v/>
      </c>
      <c r="Z59">
        <f>IF(N58&lt;=0,0,MIN(AS59,N$7+IF(N$2=$AA59,$AC59,IF(N$2=$AF59,$AG59,0))))</f>
        <v/>
      </c>
      <c r="AA59">
        <f>IFERROR(ROUND(1/SUMPRODUCT(MAX((C58:N58&gt;0)*($C$3:$N$3&lt;=B59)/$C$2:$N$2)),0),0)</f>
        <v/>
      </c>
      <c r="AB59">
        <f>SUMPRODUCT((C58:N58&gt;0)*$C$7:$N$7)</f>
        <v/>
      </c>
      <c r="AC59">
        <f>MAX(0,Plan!$C$5-AB59)+IF(A59=Plan!$C$8,N(Plan!$C$7),0)</f>
        <v/>
      </c>
      <c r="AD59">
        <f>SUM(C59:N59)</f>
        <v/>
      </c>
      <c r="AE59">
        <f>SUM(O59:Z59)</f>
        <v/>
      </c>
      <c r="AF59">
        <f>IFERROR(ROUND(1/SUMPRODUCT(MAX((C58:N58&gt;0)*($C$3:$N$3&lt;=B59)*($C$2:$N$2&gt;AA59)/$C$2:$N$2)),0),0)</f>
        <v/>
      </c>
      <c r="AG59">
        <f>MAX(0,AC59-MAX(0,SUMPRODUCT(($C$2:$N$2=AA59)*(AH59:AS59-$C$7:$N$7))))</f>
        <v/>
      </c>
      <c r="AH59">
        <f>IF(C58&lt;=0,0,ROUND(C58*(1+IF(AND(C$6&gt;0,$B59&lt;C$6),C$4,C$5)/12),2))</f>
        <v/>
      </c>
      <c r="AI59">
        <f>IF(D58&lt;=0,0,ROUND(D58*(1+IF(AND(D$6&gt;0,$B59&lt;D$6),D$4,D$5)/12),2))</f>
        <v/>
      </c>
      <c r="AJ59">
        <f>IF(E58&lt;=0,0,ROUND(E58*(1+IF(AND(E$6&gt;0,$B59&lt;E$6),E$4,E$5)/12),2))</f>
        <v/>
      </c>
      <c r="AK59">
        <f>IF(F58&lt;=0,0,ROUND(F58*(1+IF(AND(F$6&gt;0,$B59&lt;F$6),F$4,F$5)/12),2))</f>
        <v/>
      </c>
      <c r="AL59">
        <f>IF(G58&lt;=0,0,ROUND(G58*(1+IF(AND(G$6&gt;0,$B59&lt;G$6),G$4,G$5)/12),2))</f>
        <v/>
      </c>
      <c r="AM59">
        <f>IF(H58&lt;=0,0,ROUND(H58*(1+IF(AND(H$6&gt;0,$B59&lt;H$6),H$4,H$5)/12),2))</f>
        <v/>
      </c>
      <c r="AN59">
        <f>IF(I58&lt;=0,0,ROUND(I58*(1+IF(AND(I$6&gt;0,$B59&lt;I$6),I$4,I$5)/12),2))</f>
        <v/>
      </c>
      <c r="AO59">
        <f>IF(J58&lt;=0,0,ROUND(J58*(1+IF(AND(J$6&gt;0,$B59&lt;J$6),J$4,J$5)/12),2))</f>
        <v/>
      </c>
      <c r="AP59">
        <f>IF(K58&lt;=0,0,ROUND(K58*(1+IF(AND(K$6&gt;0,$B59&lt;K$6),K$4,K$5)/12),2))</f>
        <v/>
      </c>
      <c r="AQ59">
        <f>IF(L58&lt;=0,0,ROUND(L58*(1+IF(AND(L$6&gt;0,$B59&lt;L$6),L$4,L$5)/12),2))</f>
        <v/>
      </c>
      <c r="AR59">
        <f>IF(M58&lt;=0,0,ROUND(M58*(1+IF(AND(M$6&gt;0,$B59&lt;M$6),M$4,M$5)/12),2))</f>
        <v/>
      </c>
      <c r="AS59">
        <f>IF(N58&lt;=0,0,ROUND(N58*(1+IF(AND(N$6&gt;0,$B59&lt;N$6),N$4,N$5)/12),2))</f>
        <v/>
      </c>
    </row>
    <row r="60">
      <c r="A60" t="n">
        <v>49</v>
      </c>
      <c r="B60">
        <f>EDATE(Plan!$C$6,48)</f>
        <v/>
      </c>
      <c r="C60">
        <f>IF(C59&lt;=0,0,MAX(0,AH60-O60))</f>
        <v/>
      </c>
      <c r="D60">
        <f>IF(D59&lt;=0,0,MAX(0,AI60-P60))</f>
        <v/>
      </c>
      <c r="E60">
        <f>IF(E59&lt;=0,0,MAX(0,AJ60-Q60))</f>
        <v/>
      </c>
      <c r="F60">
        <f>IF(F59&lt;=0,0,MAX(0,AK60-R60))</f>
        <v/>
      </c>
      <c r="G60">
        <f>IF(G59&lt;=0,0,MAX(0,AL60-S60))</f>
        <v/>
      </c>
      <c r="H60">
        <f>IF(H59&lt;=0,0,MAX(0,AM60-T60))</f>
        <v/>
      </c>
      <c r="I60">
        <f>IF(I59&lt;=0,0,MAX(0,AN60-U60))</f>
        <v/>
      </c>
      <c r="J60">
        <f>IF(J59&lt;=0,0,MAX(0,AO60-V60))</f>
        <v/>
      </c>
      <c r="K60">
        <f>IF(K59&lt;=0,0,MAX(0,AP60-W60))</f>
        <v/>
      </c>
      <c r="L60">
        <f>IF(L59&lt;=0,0,MAX(0,AQ60-X60))</f>
        <v/>
      </c>
      <c r="M60">
        <f>IF(M59&lt;=0,0,MAX(0,AR60-Y60))</f>
        <v/>
      </c>
      <c r="N60">
        <f>IF(N59&lt;=0,0,MAX(0,AS60-Z60))</f>
        <v/>
      </c>
      <c r="O60">
        <f>IF(C59&lt;=0,0,MIN(AH60,C$7+IF(C$2=$AA60,$AC60,IF(C$2=$AF60,$AG60,0))))</f>
        <v/>
      </c>
      <c r="P60">
        <f>IF(D59&lt;=0,0,MIN(AI60,D$7+IF(D$2=$AA60,$AC60,IF(D$2=$AF60,$AG60,0))))</f>
        <v/>
      </c>
      <c r="Q60">
        <f>IF(E59&lt;=0,0,MIN(AJ60,E$7+IF(E$2=$AA60,$AC60,IF(E$2=$AF60,$AG60,0))))</f>
        <v/>
      </c>
      <c r="R60">
        <f>IF(F59&lt;=0,0,MIN(AK60,F$7+IF(F$2=$AA60,$AC60,IF(F$2=$AF60,$AG60,0))))</f>
        <v/>
      </c>
      <c r="S60">
        <f>IF(G59&lt;=0,0,MIN(AL60,G$7+IF(G$2=$AA60,$AC60,IF(G$2=$AF60,$AG60,0))))</f>
        <v/>
      </c>
      <c r="T60">
        <f>IF(H59&lt;=0,0,MIN(AM60,H$7+IF(H$2=$AA60,$AC60,IF(H$2=$AF60,$AG60,0))))</f>
        <v/>
      </c>
      <c r="U60">
        <f>IF(I59&lt;=0,0,MIN(AN60,I$7+IF(I$2=$AA60,$AC60,IF(I$2=$AF60,$AG60,0))))</f>
        <v/>
      </c>
      <c r="V60">
        <f>IF(J59&lt;=0,0,MIN(AO60,J$7+IF(J$2=$AA60,$AC60,IF(J$2=$AF60,$AG60,0))))</f>
        <v/>
      </c>
      <c r="W60">
        <f>IF(K59&lt;=0,0,MIN(AP60,K$7+IF(K$2=$AA60,$AC60,IF(K$2=$AF60,$AG60,0))))</f>
        <v/>
      </c>
      <c r="X60">
        <f>IF(L59&lt;=0,0,MIN(AQ60,L$7+IF(L$2=$AA60,$AC60,IF(L$2=$AF60,$AG60,0))))</f>
        <v/>
      </c>
      <c r="Y60">
        <f>IF(M59&lt;=0,0,MIN(AR60,M$7+IF(M$2=$AA60,$AC60,IF(M$2=$AF60,$AG60,0))))</f>
        <v/>
      </c>
      <c r="Z60">
        <f>IF(N59&lt;=0,0,MIN(AS60,N$7+IF(N$2=$AA60,$AC60,IF(N$2=$AF60,$AG60,0))))</f>
        <v/>
      </c>
      <c r="AA60">
        <f>IFERROR(ROUND(1/SUMPRODUCT(MAX((C59:N59&gt;0)*($C$3:$N$3&lt;=B60)/$C$2:$N$2)),0),0)</f>
        <v/>
      </c>
      <c r="AB60">
        <f>SUMPRODUCT((C59:N59&gt;0)*$C$7:$N$7)</f>
        <v/>
      </c>
      <c r="AC60">
        <f>MAX(0,Plan!$C$5-AB60)+IF(A60=Plan!$C$8,N(Plan!$C$7),0)</f>
        <v/>
      </c>
      <c r="AD60">
        <f>SUM(C60:N60)</f>
        <v/>
      </c>
      <c r="AE60">
        <f>SUM(O60:Z60)</f>
        <v/>
      </c>
      <c r="AF60">
        <f>IFERROR(ROUND(1/SUMPRODUCT(MAX((C59:N59&gt;0)*($C$3:$N$3&lt;=B60)*($C$2:$N$2&gt;AA60)/$C$2:$N$2)),0),0)</f>
        <v/>
      </c>
      <c r="AG60">
        <f>MAX(0,AC60-MAX(0,SUMPRODUCT(($C$2:$N$2=AA60)*(AH60:AS60-$C$7:$N$7))))</f>
        <v/>
      </c>
      <c r="AH60">
        <f>IF(C59&lt;=0,0,ROUND(C59*(1+IF(AND(C$6&gt;0,$B60&lt;C$6),C$4,C$5)/12),2))</f>
        <v/>
      </c>
      <c r="AI60">
        <f>IF(D59&lt;=0,0,ROUND(D59*(1+IF(AND(D$6&gt;0,$B60&lt;D$6),D$4,D$5)/12),2))</f>
        <v/>
      </c>
      <c r="AJ60">
        <f>IF(E59&lt;=0,0,ROUND(E59*(1+IF(AND(E$6&gt;0,$B60&lt;E$6),E$4,E$5)/12),2))</f>
        <v/>
      </c>
      <c r="AK60">
        <f>IF(F59&lt;=0,0,ROUND(F59*(1+IF(AND(F$6&gt;0,$B60&lt;F$6),F$4,F$5)/12),2))</f>
        <v/>
      </c>
      <c r="AL60">
        <f>IF(G59&lt;=0,0,ROUND(G59*(1+IF(AND(G$6&gt;0,$B60&lt;G$6),G$4,G$5)/12),2))</f>
        <v/>
      </c>
      <c r="AM60">
        <f>IF(H59&lt;=0,0,ROUND(H59*(1+IF(AND(H$6&gt;0,$B60&lt;H$6),H$4,H$5)/12),2))</f>
        <v/>
      </c>
      <c r="AN60">
        <f>IF(I59&lt;=0,0,ROUND(I59*(1+IF(AND(I$6&gt;0,$B60&lt;I$6),I$4,I$5)/12),2))</f>
        <v/>
      </c>
      <c r="AO60">
        <f>IF(J59&lt;=0,0,ROUND(J59*(1+IF(AND(J$6&gt;0,$B60&lt;J$6),J$4,J$5)/12),2))</f>
        <v/>
      </c>
      <c r="AP60">
        <f>IF(K59&lt;=0,0,ROUND(K59*(1+IF(AND(K$6&gt;0,$B60&lt;K$6),K$4,K$5)/12),2))</f>
        <v/>
      </c>
      <c r="AQ60">
        <f>IF(L59&lt;=0,0,ROUND(L59*(1+IF(AND(L$6&gt;0,$B60&lt;L$6),L$4,L$5)/12),2))</f>
        <v/>
      </c>
      <c r="AR60">
        <f>IF(M59&lt;=0,0,ROUND(M59*(1+IF(AND(M$6&gt;0,$B60&lt;M$6),M$4,M$5)/12),2))</f>
        <v/>
      </c>
      <c r="AS60">
        <f>IF(N59&lt;=0,0,ROUND(N59*(1+IF(AND(N$6&gt;0,$B60&lt;N$6),N$4,N$5)/12),2))</f>
        <v/>
      </c>
    </row>
    <row r="61">
      <c r="A61" t="n">
        <v>50</v>
      </c>
      <c r="B61">
        <f>EDATE(Plan!$C$6,49)</f>
        <v/>
      </c>
      <c r="C61">
        <f>IF(C60&lt;=0,0,MAX(0,AH61-O61))</f>
        <v/>
      </c>
      <c r="D61">
        <f>IF(D60&lt;=0,0,MAX(0,AI61-P61))</f>
        <v/>
      </c>
      <c r="E61">
        <f>IF(E60&lt;=0,0,MAX(0,AJ61-Q61))</f>
        <v/>
      </c>
      <c r="F61">
        <f>IF(F60&lt;=0,0,MAX(0,AK61-R61))</f>
        <v/>
      </c>
      <c r="G61">
        <f>IF(G60&lt;=0,0,MAX(0,AL61-S61))</f>
        <v/>
      </c>
      <c r="H61">
        <f>IF(H60&lt;=0,0,MAX(0,AM61-T61))</f>
        <v/>
      </c>
      <c r="I61">
        <f>IF(I60&lt;=0,0,MAX(0,AN61-U61))</f>
        <v/>
      </c>
      <c r="J61">
        <f>IF(J60&lt;=0,0,MAX(0,AO61-V61))</f>
        <v/>
      </c>
      <c r="K61">
        <f>IF(K60&lt;=0,0,MAX(0,AP61-W61))</f>
        <v/>
      </c>
      <c r="L61">
        <f>IF(L60&lt;=0,0,MAX(0,AQ61-X61))</f>
        <v/>
      </c>
      <c r="M61">
        <f>IF(M60&lt;=0,0,MAX(0,AR61-Y61))</f>
        <v/>
      </c>
      <c r="N61">
        <f>IF(N60&lt;=0,0,MAX(0,AS61-Z61))</f>
        <v/>
      </c>
      <c r="O61">
        <f>IF(C60&lt;=0,0,MIN(AH61,C$7+IF(C$2=$AA61,$AC61,IF(C$2=$AF61,$AG61,0))))</f>
        <v/>
      </c>
      <c r="P61">
        <f>IF(D60&lt;=0,0,MIN(AI61,D$7+IF(D$2=$AA61,$AC61,IF(D$2=$AF61,$AG61,0))))</f>
        <v/>
      </c>
      <c r="Q61">
        <f>IF(E60&lt;=0,0,MIN(AJ61,E$7+IF(E$2=$AA61,$AC61,IF(E$2=$AF61,$AG61,0))))</f>
        <v/>
      </c>
      <c r="R61">
        <f>IF(F60&lt;=0,0,MIN(AK61,F$7+IF(F$2=$AA61,$AC61,IF(F$2=$AF61,$AG61,0))))</f>
        <v/>
      </c>
      <c r="S61">
        <f>IF(G60&lt;=0,0,MIN(AL61,G$7+IF(G$2=$AA61,$AC61,IF(G$2=$AF61,$AG61,0))))</f>
        <v/>
      </c>
      <c r="T61">
        <f>IF(H60&lt;=0,0,MIN(AM61,H$7+IF(H$2=$AA61,$AC61,IF(H$2=$AF61,$AG61,0))))</f>
        <v/>
      </c>
      <c r="U61">
        <f>IF(I60&lt;=0,0,MIN(AN61,I$7+IF(I$2=$AA61,$AC61,IF(I$2=$AF61,$AG61,0))))</f>
        <v/>
      </c>
      <c r="V61">
        <f>IF(J60&lt;=0,0,MIN(AO61,J$7+IF(J$2=$AA61,$AC61,IF(J$2=$AF61,$AG61,0))))</f>
        <v/>
      </c>
      <c r="W61">
        <f>IF(K60&lt;=0,0,MIN(AP61,K$7+IF(K$2=$AA61,$AC61,IF(K$2=$AF61,$AG61,0))))</f>
        <v/>
      </c>
      <c r="X61">
        <f>IF(L60&lt;=0,0,MIN(AQ61,L$7+IF(L$2=$AA61,$AC61,IF(L$2=$AF61,$AG61,0))))</f>
        <v/>
      </c>
      <c r="Y61">
        <f>IF(M60&lt;=0,0,MIN(AR61,M$7+IF(M$2=$AA61,$AC61,IF(M$2=$AF61,$AG61,0))))</f>
        <v/>
      </c>
      <c r="Z61">
        <f>IF(N60&lt;=0,0,MIN(AS61,N$7+IF(N$2=$AA61,$AC61,IF(N$2=$AF61,$AG61,0))))</f>
        <v/>
      </c>
      <c r="AA61">
        <f>IFERROR(ROUND(1/SUMPRODUCT(MAX((C60:N60&gt;0)*($C$3:$N$3&lt;=B61)/$C$2:$N$2)),0),0)</f>
        <v/>
      </c>
      <c r="AB61">
        <f>SUMPRODUCT((C60:N60&gt;0)*$C$7:$N$7)</f>
        <v/>
      </c>
      <c r="AC61">
        <f>MAX(0,Plan!$C$5-AB61)+IF(A61=Plan!$C$8,N(Plan!$C$7),0)</f>
        <v/>
      </c>
      <c r="AD61">
        <f>SUM(C61:N61)</f>
        <v/>
      </c>
      <c r="AE61">
        <f>SUM(O61:Z61)</f>
        <v/>
      </c>
      <c r="AF61">
        <f>IFERROR(ROUND(1/SUMPRODUCT(MAX((C60:N60&gt;0)*($C$3:$N$3&lt;=B61)*($C$2:$N$2&gt;AA61)/$C$2:$N$2)),0),0)</f>
        <v/>
      </c>
      <c r="AG61">
        <f>MAX(0,AC61-MAX(0,SUMPRODUCT(($C$2:$N$2=AA61)*(AH61:AS61-$C$7:$N$7))))</f>
        <v/>
      </c>
      <c r="AH61">
        <f>IF(C60&lt;=0,0,ROUND(C60*(1+IF(AND(C$6&gt;0,$B61&lt;C$6),C$4,C$5)/12),2))</f>
        <v/>
      </c>
      <c r="AI61">
        <f>IF(D60&lt;=0,0,ROUND(D60*(1+IF(AND(D$6&gt;0,$B61&lt;D$6),D$4,D$5)/12),2))</f>
        <v/>
      </c>
      <c r="AJ61">
        <f>IF(E60&lt;=0,0,ROUND(E60*(1+IF(AND(E$6&gt;0,$B61&lt;E$6),E$4,E$5)/12),2))</f>
        <v/>
      </c>
      <c r="AK61">
        <f>IF(F60&lt;=0,0,ROUND(F60*(1+IF(AND(F$6&gt;0,$B61&lt;F$6),F$4,F$5)/12),2))</f>
        <v/>
      </c>
      <c r="AL61">
        <f>IF(G60&lt;=0,0,ROUND(G60*(1+IF(AND(G$6&gt;0,$B61&lt;G$6),G$4,G$5)/12),2))</f>
        <v/>
      </c>
      <c r="AM61">
        <f>IF(H60&lt;=0,0,ROUND(H60*(1+IF(AND(H$6&gt;0,$B61&lt;H$6),H$4,H$5)/12),2))</f>
        <v/>
      </c>
      <c r="AN61">
        <f>IF(I60&lt;=0,0,ROUND(I60*(1+IF(AND(I$6&gt;0,$B61&lt;I$6),I$4,I$5)/12),2))</f>
        <v/>
      </c>
      <c r="AO61">
        <f>IF(J60&lt;=0,0,ROUND(J60*(1+IF(AND(J$6&gt;0,$B61&lt;J$6),J$4,J$5)/12),2))</f>
        <v/>
      </c>
      <c r="AP61">
        <f>IF(K60&lt;=0,0,ROUND(K60*(1+IF(AND(K$6&gt;0,$B61&lt;K$6),K$4,K$5)/12),2))</f>
        <v/>
      </c>
      <c r="AQ61">
        <f>IF(L60&lt;=0,0,ROUND(L60*(1+IF(AND(L$6&gt;0,$B61&lt;L$6),L$4,L$5)/12),2))</f>
        <v/>
      </c>
      <c r="AR61">
        <f>IF(M60&lt;=0,0,ROUND(M60*(1+IF(AND(M$6&gt;0,$B61&lt;M$6),M$4,M$5)/12),2))</f>
        <v/>
      </c>
      <c r="AS61">
        <f>IF(N60&lt;=0,0,ROUND(N60*(1+IF(AND(N$6&gt;0,$B61&lt;N$6),N$4,N$5)/12),2))</f>
        <v/>
      </c>
    </row>
    <row r="62">
      <c r="A62" t="n">
        <v>51</v>
      </c>
      <c r="B62">
        <f>EDATE(Plan!$C$6,50)</f>
        <v/>
      </c>
      <c r="C62">
        <f>IF(C61&lt;=0,0,MAX(0,AH62-O62))</f>
        <v/>
      </c>
      <c r="D62">
        <f>IF(D61&lt;=0,0,MAX(0,AI62-P62))</f>
        <v/>
      </c>
      <c r="E62">
        <f>IF(E61&lt;=0,0,MAX(0,AJ62-Q62))</f>
        <v/>
      </c>
      <c r="F62">
        <f>IF(F61&lt;=0,0,MAX(0,AK62-R62))</f>
        <v/>
      </c>
      <c r="G62">
        <f>IF(G61&lt;=0,0,MAX(0,AL62-S62))</f>
        <v/>
      </c>
      <c r="H62">
        <f>IF(H61&lt;=0,0,MAX(0,AM62-T62))</f>
        <v/>
      </c>
      <c r="I62">
        <f>IF(I61&lt;=0,0,MAX(0,AN62-U62))</f>
        <v/>
      </c>
      <c r="J62">
        <f>IF(J61&lt;=0,0,MAX(0,AO62-V62))</f>
        <v/>
      </c>
      <c r="K62">
        <f>IF(K61&lt;=0,0,MAX(0,AP62-W62))</f>
        <v/>
      </c>
      <c r="L62">
        <f>IF(L61&lt;=0,0,MAX(0,AQ62-X62))</f>
        <v/>
      </c>
      <c r="M62">
        <f>IF(M61&lt;=0,0,MAX(0,AR62-Y62))</f>
        <v/>
      </c>
      <c r="N62">
        <f>IF(N61&lt;=0,0,MAX(0,AS62-Z62))</f>
        <v/>
      </c>
      <c r="O62">
        <f>IF(C61&lt;=0,0,MIN(AH62,C$7+IF(C$2=$AA62,$AC62,IF(C$2=$AF62,$AG62,0))))</f>
        <v/>
      </c>
      <c r="P62">
        <f>IF(D61&lt;=0,0,MIN(AI62,D$7+IF(D$2=$AA62,$AC62,IF(D$2=$AF62,$AG62,0))))</f>
        <v/>
      </c>
      <c r="Q62">
        <f>IF(E61&lt;=0,0,MIN(AJ62,E$7+IF(E$2=$AA62,$AC62,IF(E$2=$AF62,$AG62,0))))</f>
        <v/>
      </c>
      <c r="R62">
        <f>IF(F61&lt;=0,0,MIN(AK62,F$7+IF(F$2=$AA62,$AC62,IF(F$2=$AF62,$AG62,0))))</f>
        <v/>
      </c>
      <c r="S62">
        <f>IF(G61&lt;=0,0,MIN(AL62,G$7+IF(G$2=$AA62,$AC62,IF(G$2=$AF62,$AG62,0))))</f>
        <v/>
      </c>
      <c r="T62">
        <f>IF(H61&lt;=0,0,MIN(AM62,H$7+IF(H$2=$AA62,$AC62,IF(H$2=$AF62,$AG62,0))))</f>
        <v/>
      </c>
      <c r="U62">
        <f>IF(I61&lt;=0,0,MIN(AN62,I$7+IF(I$2=$AA62,$AC62,IF(I$2=$AF62,$AG62,0))))</f>
        <v/>
      </c>
      <c r="V62">
        <f>IF(J61&lt;=0,0,MIN(AO62,J$7+IF(J$2=$AA62,$AC62,IF(J$2=$AF62,$AG62,0))))</f>
        <v/>
      </c>
      <c r="W62">
        <f>IF(K61&lt;=0,0,MIN(AP62,K$7+IF(K$2=$AA62,$AC62,IF(K$2=$AF62,$AG62,0))))</f>
        <v/>
      </c>
      <c r="X62">
        <f>IF(L61&lt;=0,0,MIN(AQ62,L$7+IF(L$2=$AA62,$AC62,IF(L$2=$AF62,$AG62,0))))</f>
        <v/>
      </c>
      <c r="Y62">
        <f>IF(M61&lt;=0,0,MIN(AR62,M$7+IF(M$2=$AA62,$AC62,IF(M$2=$AF62,$AG62,0))))</f>
        <v/>
      </c>
      <c r="Z62">
        <f>IF(N61&lt;=0,0,MIN(AS62,N$7+IF(N$2=$AA62,$AC62,IF(N$2=$AF62,$AG62,0))))</f>
        <v/>
      </c>
      <c r="AA62">
        <f>IFERROR(ROUND(1/SUMPRODUCT(MAX((C61:N61&gt;0)*($C$3:$N$3&lt;=B62)/$C$2:$N$2)),0),0)</f>
        <v/>
      </c>
      <c r="AB62">
        <f>SUMPRODUCT((C61:N61&gt;0)*$C$7:$N$7)</f>
        <v/>
      </c>
      <c r="AC62">
        <f>MAX(0,Plan!$C$5-AB62)+IF(A62=Plan!$C$8,N(Plan!$C$7),0)</f>
        <v/>
      </c>
      <c r="AD62">
        <f>SUM(C62:N62)</f>
        <v/>
      </c>
      <c r="AE62">
        <f>SUM(O62:Z62)</f>
        <v/>
      </c>
      <c r="AF62">
        <f>IFERROR(ROUND(1/SUMPRODUCT(MAX((C61:N61&gt;0)*($C$3:$N$3&lt;=B62)*($C$2:$N$2&gt;AA62)/$C$2:$N$2)),0),0)</f>
        <v/>
      </c>
      <c r="AG62">
        <f>MAX(0,AC62-MAX(0,SUMPRODUCT(($C$2:$N$2=AA62)*(AH62:AS62-$C$7:$N$7))))</f>
        <v/>
      </c>
      <c r="AH62">
        <f>IF(C61&lt;=0,0,ROUND(C61*(1+IF(AND(C$6&gt;0,$B62&lt;C$6),C$4,C$5)/12),2))</f>
        <v/>
      </c>
      <c r="AI62">
        <f>IF(D61&lt;=0,0,ROUND(D61*(1+IF(AND(D$6&gt;0,$B62&lt;D$6),D$4,D$5)/12),2))</f>
        <v/>
      </c>
      <c r="AJ62">
        <f>IF(E61&lt;=0,0,ROUND(E61*(1+IF(AND(E$6&gt;0,$B62&lt;E$6),E$4,E$5)/12),2))</f>
        <v/>
      </c>
      <c r="AK62">
        <f>IF(F61&lt;=0,0,ROUND(F61*(1+IF(AND(F$6&gt;0,$B62&lt;F$6),F$4,F$5)/12),2))</f>
        <v/>
      </c>
      <c r="AL62">
        <f>IF(G61&lt;=0,0,ROUND(G61*(1+IF(AND(G$6&gt;0,$B62&lt;G$6),G$4,G$5)/12),2))</f>
        <v/>
      </c>
      <c r="AM62">
        <f>IF(H61&lt;=0,0,ROUND(H61*(1+IF(AND(H$6&gt;0,$B62&lt;H$6),H$4,H$5)/12),2))</f>
        <v/>
      </c>
      <c r="AN62">
        <f>IF(I61&lt;=0,0,ROUND(I61*(1+IF(AND(I$6&gt;0,$B62&lt;I$6),I$4,I$5)/12),2))</f>
        <v/>
      </c>
      <c r="AO62">
        <f>IF(J61&lt;=0,0,ROUND(J61*(1+IF(AND(J$6&gt;0,$B62&lt;J$6),J$4,J$5)/12),2))</f>
        <v/>
      </c>
      <c r="AP62">
        <f>IF(K61&lt;=0,0,ROUND(K61*(1+IF(AND(K$6&gt;0,$B62&lt;K$6),K$4,K$5)/12),2))</f>
        <v/>
      </c>
      <c r="AQ62">
        <f>IF(L61&lt;=0,0,ROUND(L61*(1+IF(AND(L$6&gt;0,$B62&lt;L$6),L$4,L$5)/12),2))</f>
        <v/>
      </c>
      <c r="AR62">
        <f>IF(M61&lt;=0,0,ROUND(M61*(1+IF(AND(M$6&gt;0,$B62&lt;M$6),M$4,M$5)/12),2))</f>
        <v/>
      </c>
      <c r="AS62">
        <f>IF(N61&lt;=0,0,ROUND(N61*(1+IF(AND(N$6&gt;0,$B62&lt;N$6),N$4,N$5)/12),2))</f>
        <v/>
      </c>
    </row>
    <row r="63">
      <c r="A63" t="n">
        <v>52</v>
      </c>
      <c r="B63">
        <f>EDATE(Plan!$C$6,51)</f>
        <v/>
      </c>
      <c r="C63">
        <f>IF(C62&lt;=0,0,MAX(0,AH63-O63))</f>
        <v/>
      </c>
      <c r="D63">
        <f>IF(D62&lt;=0,0,MAX(0,AI63-P63))</f>
        <v/>
      </c>
      <c r="E63">
        <f>IF(E62&lt;=0,0,MAX(0,AJ63-Q63))</f>
        <v/>
      </c>
      <c r="F63">
        <f>IF(F62&lt;=0,0,MAX(0,AK63-R63))</f>
        <v/>
      </c>
      <c r="G63">
        <f>IF(G62&lt;=0,0,MAX(0,AL63-S63))</f>
        <v/>
      </c>
      <c r="H63">
        <f>IF(H62&lt;=0,0,MAX(0,AM63-T63))</f>
        <v/>
      </c>
      <c r="I63">
        <f>IF(I62&lt;=0,0,MAX(0,AN63-U63))</f>
        <v/>
      </c>
      <c r="J63">
        <f>IF(J62&lt;=0,0,MAX(0,AO63-V63))</f>
        <v/>
      </c>
      <c r="K63">
        <f>IF(K62&lt;=0,0,MAX(0,AP63-W63))</f>
        <v/>
      </c>
      <c r="L63">
        <f>IF(L62&lt;=0,0,MAX(0,AQ63-X63))</f>
        <v/>
      </c>
      <c r="M63">
        <f>IF(M62&lt;=0,0,MAX(0,AR63-Y63))</f>
        <v/>
      </c>
      <c r="N63">
        <f>IF(N62&lt;=0,0,MAX(0,AS63-Z63))</f>
        <v/>
      </c>
      <c r="O63">
        <f>IF(C62&lt;=0,0,MIN(AH63,C$7+IF(C$2=$AA63,$AC63,IF(C$2=$AF63,$AG63,0))))</f>
        <v/>
      </c>
      <c r="P63">
        <f>IF(D62&lt;=0,0,MIN(AI63,D$7+IF(D$2=$AA63,$AC63,IF(D$2=$AF63,$AG63,0))))</f>
        <v/>
      </c>
      <c r="Q63">
        <f>IF(E62&lt;=0,0,MIN(AJ63,E$7+IF(E$2=$AA63,$AC63,IF(E$2=$AF63,$AG63,0))))</f>
        <v/>
      </c>
      <c r="R63">
        <f>IF(F62&lt;=0,0,MIN(AK63,F$7+IF(F$2=$AA63,$AC63,IF(F$2=$AF63,$AG63,0))))</f>
        <v/>
      </c>
      <c r="S63">
        <f>IF(G62&lt;=0,0,MIN(AL63,G$7+IF(G$2=$AA63,$AC63,IF(G$2=$AF63,$AG63,0))))</f>
        <v/>
      </c>
      <c r="T63">
        <f>IF(H62&lt;=0,0,MIN(AM63,H$7+IF(H$2=$AA63,$AC63,IF(H$2=$AF63,$AG63,0))))</f>
        <v/>
      </c>
      <c r="U63">
        <f>IF(I62&lt;=0,0,MIN(AN63,I$7+IF(I$2=$AA63,$AC63,IF(I$2=$AF63,$AG63,0))))</f>
        <v/>
      </c>
      <c r="V63">
        <f>IF(J62&lt;=0,0,MIN(AO63,J$7+IF(J$2=$AA63,$AC63,IF(J$2=$AF63,$AG63,0))))</f>
        <v/>
      </c>
      <c r="W63">
        <f>IF(K62&lt;=0,0,MIN(AP63,K$7+IF(K$2=$AA63,$AC63,IF(K$2=$AF63,$AG63,0))))</f>
        <v/>
      </c>
      <c r="X63">
        <f>IF(L62&lt;=0,0,MIN(AQ63,L$7+IF(L$2=$AA63,$AC63,IF(L$2=$AF63,$AG63,0))))</f>
        <v/>
      </c>
      <c r="Y63">
        <f>IF(M62&lt;=0,0,MIN(AR63,M$7+IF(M$2=$AA63,$AC63,IF(M$2=$AF63,$AG63,0))))</f>
        <v/>
      </c>
      <c r="Z63">
        <f>IF(N62&lt;=0,0,MIN(AS63,N$7+IF(N$2=$AA63,$AC63,IF(N$2=$AF63,$AG63,0))))</f>
        <v/>
      </c>
      <c r="AA63">
        <f>IFERROR(ROUND(1/SUMPRODUCT(MAX((C62:N62&gt;0)*($C$3:$N$3&lt;=B63)/$C$2:$N$2)),0),0)</f>
        <v/>
      </c>
      <c r="AB63">
        <f>SUMPRODUCT((C62:N62&gt;0)*$C$7:$N$7)</f>
        <v/>
      </c>
      <c r="AC63">
        <f>MAX(0,Plan!$C$5-AB63)+IF(A63=Plan!$C$8,N(Plan!$C$7),0)</f>
        <v/>
      </c>
      <c r="AD63">
        <f>SUM(C63:N63)</f>
        <v/>
      </c>
      <c r="AE63">
        <f>SUM(O63:Z63)</f>
        <v/>
      </c>
      <c r="AF63">
        <f>IFERROR(ROUND(1/SUMPRODUCT(MAX((C62:N62&gt;0)*($C$3:$N$3&lt;=B63)*($C$2:$N$2&gt;AA63)/$C$2:$N$2)),0),0)</f>
        <v/>
      </c>
      <c r="AG63">
        <f>MAX(0,AC63-MAX(0,SUMPRODUCT(($C$2:$N$2=AA63)*(AH63:AS63-$C$7:$N$7))))</f>
        <v/>
      </c>
      <c r="AH63">
        <f>IF(C62&lt;=0,0,ROUND(C62*(1+IF(AND(C$6&gt;0,$B63&lt;C$6),C$4,C$5)/12),2))</f>
        <v/>
      </c>
      <c r="AI63">
        <f>IF(D62&lt;=0,0,ROUND(D62*(1+IF(AND(D$6&gt;0,$B63&lt;D$6),D$4,D$5)/12),2))</f>
        <v/>
      </c>
      <c r="AJ63">
        <f>IF(E62&lt;=0,0,ROUND(E62*(1+IF(AND(E$6&gt;0,$B63&lt;E$6),E$4,E$5)/12),2))</f>
        <v/>
      </c>
      <c r="AK63">
        <f>IF(F62&lt;=0,0,ROUND(F62*(1+IF(AND(F$6&gt;0,$B63&lt;F$6),F$4,F$5)/12),2))</f>
        <v/>
      </c>
      <c r="AL63">
        <f>IF(G62&lt;=0,0,ROUND(G62*(1+IF(AND(G$6&gt;0,$B63&lt;G$6),G$4,G$5)/12),2))</f>
        <v/>
      </c>
      <c r="AM63">
        <f>IF(H62&lt;=0,0,ROUND(H62*(1+IF(AND(H$6&gt;0,$B63&lt;H$6),H$4,H$5)/12),2))</f>
        <v/>
      </c>
      <c r="AN63">
        <f>IF(I62&lt;=0,0,ROUND(I62*(1+IF(AND(I$6&gt;0,$B63&lt;I$6),I$4,I$5)/12),2))</f>
        <v/>
      </c>
      <c r="AO63">
        <f>IF(J62&lt;=0,0,ROUND(J62*(1+IF(AND(J$6&gt;0,$B63&lt;J$6),J$4,J$5)/12),2))</f>
        <v/>
      </c>
      <c r="AP63">
        <f>IF(K62&lt;=0,0,ROUND(K62*(1+IF(AND(K$6&gt;0,$B63&lt;K$6),K$4,K$5)/12),2))</f>
        <v/>
      </c>
      <c r="AQ63">
        <f>IF(L62&lt;=0,0,ROUND(L62*(1+IF(AND(L$6&gt;0,$B63&lt;L$6),L$4,L$5)/12),2))</f>
        <v/>
      </c>
      <c r="AR63">
        <f>IF(M62&lt;=0,0,ROUND(M62*(1+IF(AND(M$6&gt;0,$B63&lt;M$6),M$4,M$5)/12),2))</f>
        <v/>
      </c>
      <c r="AS63">
        <f>IF(N62&lt;=0,0,ROUND(N62*(1+IF(AND(N$6&gt;0,$B63&lt;N$6),N$4,N$5)/12),2))</f>
        <v/>
      </c>
    </row>
    <row r="64">
      <c r="A64" t="n">
        <v>53</v>
      </c>
      <c r="B64">
        <f>EDATE(Plan!$C$6,52)</f>
        <v/>
      </c>
      <c r="C64">
        <f>IF(C63&lt;=0,0,MAX(0,AH64-O64))</f>
        <v/>
      </c>
      <c r="D64">
        <f>IF(D63&lt;=0,0,MAX(0,AI64-P64))</f>
        <v/>
      </c>
      <c r="E64">
        <f>IF(E63&lt;=0,0,MAX(0,AJ64-Q64))</f>
        <v/>
      </c>
      <c r="F64">
        <f>IF(F63&lt;=0,0,MAX(0,AK64-R64))</f>
        <v/>
      </c>
      <c r="G64">
        <f>IF(G63&lt;=0,0,MAX(0,AL64-S64))</f>
        <v/>
      </c>
      <c r="H64">
        <f>IF(H63&lt;=0,0,MAX(0,AM64-T64))</f>
        <v/>
      </c>
      <c r="I64">
        <f>IF(I63&lt;=0,0,MAX(0,AN64-U64))</f>
        <v/>
      </c>
      <c r="J64">
        <f>IF(J63&lt;=0,0,MAX(0,AO64-V64))</f>
        <v/>
      </c>
      <c r="K64">
        <f>IF(K63&lt;=0,0,MAX(0,AP64-W64))</f>
        <v/>
      </c>
      <c r="L64">
        <f>IF(L63&lt;=0,0,MAX(0,AQ64-X64))</f>
        <v/>
      </c>
      <c r="M64">
        <f>IF(M63&lt;=0,0,MAX(0,AR64-Y64))</f>
        <v/>
      </c>
      <c r="N64">
        <f>IF(N63&lt;=0,0,MAX(0,AS64-Z64))</f>
        <v/>
      </c>
      <c r="O64">
        <f>IF(C63&lt;=0,0,MIN(AH64,C$7+IF(C$2=$AA64,$AC64,IF(C$2=$AF64,$AG64,0))))</f>
        <v/>
      </c>
      <c r="P64">
        <f>IF(D63&lt;=0,0,MIN(AI64,D$7+IF(D$2=$AA64,$AC64,IF(D$2=$AF64,$AG64,0))))</f>
        <v/>
      </c>
      <c r="Q64">
        <f>IF(E63&lt;=0,0,MIN(AJ64,E$7+IF(E$2=$AA64,$AC64,IF(E$2=$AF64,$AG64,0))))</f>
        <v/>
      </c>
      <c r="R64">
        <f>IF(F63&lt;=0,0,MIN(AK64,F$7+IF(F$2=$AA64,$AC64,IF(F$2=$AF64,$AG64,0))))</f>
        <v/>
      </c>
      <c r="S64">
        <f>IF(G63&lt;=0,0,MIN(AL64,G$7+IF(G$2=$AA64,$AC64,IF(G$2=$AF64,$AG64,0))))</f>
        <v/>
      </c>
      <c r="T64">
        <f>IF(H63&lt;=0,0,MIN(AM64,H$7+IF(H$2=$AA64,$AC64,IF(H$2=$AF64,$AG64,0))))</f>
        <v/>
      </c>
      <c r="U64">
        <f>IF(I63&lt;=0,0,MIN(AN64,I$7+IF(I$2=$AA64,$AC64,IF(I$2=$AF64,$AG64,0))))</f>
        <v/>
      </c>
      <c r="V64">
        <f>IF(J63&lt;=0,0,MIN(AO64,J$7+IF(J$2=$AA64,$AC64,IF(J$2=$AF64,$AG64,0))))</f>
        <v/>
      </c>
      <c r="W64">
        <f>IF(K63&lt;=0,0,MIN(AP64,K$7+IF(K$2=$AA64,$AC64,IF(K$2=$AF64,$AG64,0))))</f>
        <v/>
      </c>
      <c r="X64">
        <f>IF(L63&lt;=0,0,MIN(AQ64,L$7+IF(L$2=$AA64,$AC64,IF(L$2=$AF64,$AG64,0))))</f>
        <v/>
      </c>
      <c r="Y64">
        <f>IF(M63&lt;=0,0,MIN(AR64,M$7+IF(M$2=$AA64,$AC64,IF(M$2=$AF64,$AG64,0))))</f>
        <v/>
      </c>
      <c r="Z64">
        <f>IF(N63&lt;=0,0,MIN(AS64,N$7+IF(N$2=$AA64,$AC64,IF(N$2=$AF64,$AG64,0))))</f>
        <v/>
      </c>
      <c r="AA64">
        <f>IFERROR(ROUND(1/SUMPRODUCT(MAX((C63:N63&gt;0)*($C$3:$N$3&lt;=B64)/$C$2:$N$2)),0),0)</f>
        <v/>
      </c>
      <c r="AB64">
        <f>SUMPRODUCT((C63:N63&gt;0)*$C$7:$N$7)</f>
        <v/>
      </c>
      <c r="AC64">
        <f>MAX(0,Plan!$C$5-AB64)+IF(A64=Plan!$C$8,N(Plan!$C$7),0)</f>
        <v/>
      </c>
      <c r="AD64">
        <f>SUM(C64:N64)</f>
        <v/>
      </c>
      <c r="AE64">
        <f>SUM(O64:Z64)</f>
        <v/>
      </c>
      <c r="AF64">
        <f>IFERROR(ROUND(1/SUMPRODUCT(MAX((C63:N63&gt;0)*($C$3:$N$3&lt;=B64)*($C$2:$N$2&gt;AA64)/$C$2:$N$2)),0),0)</f>
        <v/>
      </c>
      <c r="AG64">
        <f>MAX(0,AC64-MAX(0,SUMPRODUCT(($C$2:$N$2=AA64)*(AH64:AS64-$C$7:$N$7))))</f>
        <v/>
      </c>
      <c r="AH64">
        <f>IF(C63&lt;=0,0,ROUND(C63*(1+IF(AND(C$6&gt;0,$B64&lt;C$6),C$4,C$5)/12),2))</f>
        <v/>
      </c>
      <c r="AI64">
        <f>IF(D63&lt;=0,0,ROUND(D63*(1+IF(AND(D$6&gt;0,$B64&lt;D$6),D$4,D$5)/12),2))</f>
        <v/>
      </c>
      <c r="AJ64">
        <f>IF(E63&lt;=0,0,ROUND(E63*(1+IF(AND(E$6&gt;0,$B64&lt;E$6),E$4,E$5)/12),2))</f>
        <v/>
      </c>
      <c r="AK64">
        <f>IF(F63&lt;=0,0,ROUND(F63*(1+IF(AND(F$6&gt;0,$B64&lt;F$6),F$4,F$5)/12),2))</f>
        <v/>
      </c>
      <c r="AL64">
        <f>IF(G63&lt;=0,0,ROUND(G63*(1+IF(AND(G$6&gt;0,$B64&lt;G$6),G$4,G$5)/12),2))</f>
        <v/>
      </c>
      <c r="AM64">
        <f>IF(H63&lt;=0,0,ROUND(H63*(1+IF(AND(H$6&gt;0,$B64&lt;H$6),H$4,H$5)/12),2))</f>
        <v/>
      </c>
      <c r="AN64">
        <f>IF(I63&lt;=0,0,ROUND(I63*(1+IF(AND(I$6&gt;0,$B64&lt;I$6),I$4,I$5)/12),2))</f>
        <v/>
      </c>
      <c r="AO64">
        <f>IF(J63&lt;=0,0,ROUND(J63*(1+IF(AND(J$6&gt;0,$B64&lt;J$6),J$4,J$5)/12),2))</f>
        <v/>
      </c>
      <c r="AP64">
        <f>IF(K63&lt;=0,0,ROUND(K63*(1+IF(AND(K$6&gt;0,$B64&lt;K$6),K$4,K$5)/12),2))</f>
        <v/>
      </c>
      <c r="AQ64">
        <f>IF(L63&lt;=0,0,ROUND(L63*(1+IF(AND(L$6&gt;0,$B64&lt;L$6),L$4,L$5)/12),2))</f>
        <v/>
      </c>
      <c r="AR64">
        <f>IF(M63&lt;=0,0,ROUND(M63*(1+IF(AND(M$6&gt;0,$B64&lt;M$6),M$4,M$5)/12),2))</f>
        <v/>
      </c>
      <c r="AS64">
        <f>IF(N63&lt;=0,0,ROUND(N63*(1+IF(AND(N$6&gt;0,$B64&lt;N$6),N$4,N$5)/12),2))</f>
        <v/>
      </c>
    </row>
    <row r="65">
      <c r="A65" t="n">
        <v>54</v>
      </c>
      <c r="B65">
        <f>EDATE(Plan!$C$6,53)</f>
        <v/>
      </c>
      <c r="C65">
        <f>IF(C64&lt;=0,0,MAX(0,AH65-O65))</f>
        <v/>
      </c>
      <c r="D65">
        <f>IF(D64&lt;=0,0,MAX(0,AI65-P65))</f>
        <v/>
      </c>
      <c r="E65">
        <f>IF(E64&lt;=0,0,MAX(0,AJ65-Q65))</f>
        <v/>
      </c>
      <c r="F65">
        <f>IF(F64&lt;=0,0,MAX(0,AK65-R65))</f>
        <v/>
      </c>
      <c r="G65">
        <f>IF(G64&lt;=0,0,MAX(0,AL65-S65))</f>
        <v/>
      </c>
      <c r="H65">
        <f>IF(H64&lt;=0,0,MAX(0,AM65-T65))</f>
        <v/>
      </c>
      <c r="I65">
        <f>IF(I64&lt;=0,0,MAX(0,AN65-U65))</f>
        <v/>
      </c>
      <c r="J65">
        <f>IF(J64&lt;=0,0,MAX(0,AO65-V65))</f>
        <v/>
      </c>
      <c r="K65">
        <f>IF(K64&lt;=0,0,MAX(0,AP65-W65))</f>
        <v/>
      </c>
      <c r="L65">
        <f>IF(L64&lt;=0,0,MAX(0,AQ65-X65))</f>
        <v/>
      </c>
      <c r="M65">
        <f>IF(M64&lt;=0,0,MAX(0,AR65-Y65))</f>
        <v/>
      </c>
      <c r="N65">
        <f>IF(N64&lt;=0,0,MAX(0,AS65-Z65))</f>
        <v/>
      </c>
      <c r="O65">
        <f>IF(C64&lt;=0,0,MIN(AH65,C$7+IF(C$2=$AA65,$AC65,IF(C$2=$AF65,$AG65,0))))</f>
        <v/>
      </c>
      <c r="P65">
        <f>IF(D64&lt;=0,0,MIN(AI65,D$7+IF(D$2=$AA65,$AC65,IF(D$2=$AF65,$AG65,0))))</f>
        <v/>
      </c>
      <c r="Q65">
        <f>IF(E64&lt;=0,0,MIN(AJ65,E$7+IF(E$2=$AA65,$AC65,IF(E$2=$AF65,$AG65,0))))</f>
        <v/>
      </c>
      <c r="R65">
        <f>IF(F64&lt;=0,0,MIN(AK65,F$7+IF(F$2=$AA65,$AC65,IF(F$2=$AF65,$AG65,0))))</f>
        <v/>
      </c>
      <c r="S65">
        <f>IF(G64&lt;=0,0,MIN(AL65,G$7+IF(G$2=$AA65,$AC65,IF(G$2=$AF65,$AG65,0))))</f>
        <v/>
      </c>
      <c r="T65">
        <f>IF(H64&lt;=0,0,MIN(AM65,H$7+IF(H$2=$AA65,$AC65,IF(H$2=$AF65,$AG65,0))))</f>
        <v/>
      </c>
      <c r="U65">
        <f>IF(I64&lt;=0,0,MIN(AN65,I$7+IF(I$2=$AA65,$AC65,IF(I$2=$AF65,$AG65,0))))</f>
        <v/>
      </c>
      <c r="V65">
        <f>IF(J64&lt;=0,0,MIN(AO65,J$7+IF(J$2=$AA65,$AC65,IF(J$2=$AF65,$AG65,0))))</f>
        <v/>
      </c>
      <c r="W65">
        <f>IF(K64&lt;=0,0,MIN(AP65,K$7+IF(K$2=$AA65,$AC65,IF(K$2=$AF65,$AG65,0))))</f>
        <v/>
      </c>
      <c r="X65">
        <f>IF(L64&lt;=0,0,MIN(AQ65,L$7+IF(L$2=$AA65,$AC65,IF(L$2=$AF65,$AG65,0))))</f>
        <v/>
      </c>
      <c r="Y65">
        <f>IF(M64&lt;=0,0,MIN(AR65,M$7+IF(M$2=$AA65,$AC65,IF(M$2=$AF65,$AG65,0))))</f>
        <v/>
      </c>
      <c r="Z65">
        <f>IF(N64&lt;=0,0,MIN(AS65,N$7+IF(N$2=$AA65,$AC65,IF(N$2=$AF65,$AG65,0))))</f>
        <v/>
      </c>
      <c r="AA65">
        <f>IFERROR(ROUND(1/SUMPRODUCT(MAX((C64:N64&gt;0)*($C$3:$N$3&lt;=B65)/$C$2:$N$2)),0),0)</f>
        <v/>
      </c>
      <c r="AB65">
        <f>SUMPRODUCT((C64:N64&gt;0)*$C$7:$N$7)</f>
        <v/>
      </c>
      <c r="AC65">
        <f>MAX(0,Plan!$C$5-AB65)+IF(A65=Plan!$C$8,N(Plan!$C$7),0)</f>
        <v/>
      </c>
      <c r="AD65">
        <f>SUM(C65:N65)</f>
        <v/>
      </c>
      <c r="AE65">
        <f>SUM(O65:Z65)</f>
        <v/>
      </c>
      <c r="AF65">
        <f>IFERROR(ROUND(1/SUMPRODUCT(MAX((C64:N64&gt;0)*($C$3:$N$3&lt;=B65)*($C$2:$N$2&gt;AA65)/$C$2:$N$2)),0),0)</f>
        <v/>
      </c>
      <c r="AG65">
        <f>MAX(0,AC65-MAX(0,SUMPRODUCT(($C$2:$N$2=AA65)*(AH65:AS65-$C$7:$N$7))))</f>
        <v/>
      </c>
      <c r="AH65">
        <f>IF(C64&lt;=0,0,ROUND(C64*(1+IF(AND(C$6&gt;0,$B65&lt;C$6),C$4,C$5)/12),2))</f>
        <v/>
      </c>
      <c r="AI65">
        <f>IF(D64&lt;=0,0,ROUND(D64*(1+IF(AND(D$6&gt;0,$B65&lt;D$6),D$4,D$5)/12),2))</f>
        <v/>
      </c>
      <c r="AJ65">
        <f>IF(E64&lt;=0,0,ROUND(E64*(1+IF(AND(E$6&gt;0,$B65&lt;E$6),E$4,E$5)/12),2))</f>
        <v/>
      </c>
      <c r="AK65">
        <f>IF(F64&lt;=0,0,ROUND(F64*(1+IF(AND(F$6&gt;0,$B65&lt;F$6),F$4,F$5)/12),2))</f>
        <v/>
      </c>
      <c r="AL65">
        <f>IF(G64&lt;=0,0,ROUND(G64*(1+IF(AND(G$6&gt;0,$B65&lt;G$6),G$4,G$5)/12),2))</f>
        <v/>
      </c>
      <c r="AM65">
        <f>IF(H64&lt;=0,0,ROUND(H64*(1+IF(AND(H$6&gt;0,$B65&lt;H$6),H$4,H$5)/12),2))</f>
        <v/>
      </c>
      <c r="AN65">
        <f>IF(I64&lt;=0,0,ROUND(I64*(1+IF(AND(I$6&gt;0,$B65&lt;I$6),I$4,I$5)/12),2))</f>
        <v/>
      </c>
      <c r="AO65">
        <f>IF(J64&lt;=0,0,ROUND(J64*(1+IF(AND(J$6&gt;0,$B65&lt;J$6),J$4,J$5)/12),2))</f>
        <v/>
      </c>
      <c r="AP65">
        <f>IF(K64&lt;=0,0,ROUND(K64*(1+IF(AND(K$6&gt;0,$B65&lt;K$6),K$4,K$5)/12),2))</f>
        <v/>
      </c>
      <c r="AQ65">
        <f>IF(L64&lt;=0,0,ROUND(L64*(1+IF(AND(L$6&gt;0,$B65&lt;L$6),L$4,L$5)/12),2))</f>
        <v/>
      </c>
      <c r="AR65">
        <f>IF(M64&lt;=0,0,ROUND(M64*(1+IF(AND(M$6&gt;0,$B65&lt;M$6),M$4,M$5)/12),2))</f>
        <v/>
      </c>
      <c r="AS65">
        <f>IF(N64&lt;=0,0,ROUND(N64*(1+IF(AND(N$6&gt;0,$B65&lt;N$6),N$4,N$5)/12),2))</f>
        <v/>
      </c>
    </row>
    <row r="66">
      <c r="A66" t="n">
        <v>55</v>
      </c>
      <c r="B66">
        <f>EDATE(Plan!$C$6,54)</f>
        <v/>
      </c>
      <c r="C66">
        <f>IF(C65&lt;=0,0,MAX(0,AH66-O66))</f>
        <v/>
      </c>
      <c r="D66">
        <f>IF(D65&lt;=0,0,MAX(0,AI66-P66))</f>
        <v/>
      </c>
      <c r="E66">
        <f>IF(E65&lt;=0,0,MAX(0,AJ66-Q66))</f>
        <v/>
      </c>
      <c r="F66">
        <f>IF(F65&lt;=0,0,MAX(0,AK66-R66))</f>
        <v/>
      </c>
      <c r="G66">
        <f>IF(G65&lt;=0,0,MAX(0,AL66-S66))</f>
        <v/>
      </c>
      <c r="H66">
        <f>IF(H65&lt;=0,0,MAX(0,AM66-T66))</f>
        <v/>
      </c>
      <c r="I66">
        <f>IF(I65&lt;=0,0,MAX(0,AN66-U66))</f>
        <v/>
      </c>
      <c r="J66">
        <f>IF(J65&lt;=0,0,MAX(0,AO66-V66))</f>
        <v/>
      </c>
      <c r="K66">
        <f>IF(K65&lt;=0,0,MAX(0,AP66-W66))</f>
        <v/>
      </c>
      <c r="L66">
        <f>IF(L65&lt;=0,0,MAX(0,AQ66-X66))</f>
        <v/>
      </c>
      <c r="M66">
        <f>IF(M65&lt;=0,0,MAX(0,AR66-Y66))</f>
        <v/>
      </c>
      <c r="N66">
        <f>IF(N65&lt;=0,0,MAX(0,AS66-Z66))</f>
        <v/>
      </c>
      <c r="O66">
        <f>IF(C65&lt;=0,0,MIN(AH66,C$7+IF(C$2=$AA66,$AC66,IF(C$2=$AF66,$AG66,0))))</f>
        <v/>
      </c>
      <c r="P66">
        <f>IF(D65&lt;=0,0,MIN(AI66,D$7+IF(D$2=$AA66,$AC66,IF(D$2=$AF66,$AG66,0))))</f>
        <v/>
      </c>
      <c r="Q66">
        <f>IF(E65&lt;=0,0,MIN(AJ66,E$7+IF(E$2=$AA66,$AC66,IF(E$2=$AF66,$AG66,0))))</f>
        <v/>
      </c>
      <c r="R66">
        <f>IF(F65&lt;=0,0,MIN(AK66,F$7+IF(F$2=$AA66,$AC66,IF(F$2=$AF66,$AG66,0))))</f>
        <v/>
      </c>
      <c r="S66">
        <f>IF(G65&lt;=0,0,MIN(AL66,G$7+IF(G$2=$AA66,$AC66,IF(G$2=$AF66,$AG66,0))))</f>
        <v/>
      </c>
      <c r="T66">
        <f>IF(H65&lt;=0,0,MIN(AM66,H$7+IF(H$2=$AA66,$AC66,IF(H$2=$AF66,$AG66,0))))</f>
        <v/>
      </c>
      <c r="U66">
        <f>IF(I65&lt;=0,0,MIN(AN66,I$7+IF(I$2=$AA66,$AC66,IF(I$2=$AF66,$AG66,0))))</f>
        <v/>
      </c>
      <c r="V66">
        <f>IF(J65&lt;=0,0,MIN(AO66,J$7+IF(J$2=$AA66,$AC66,IF(J$2=$AF66,$AG66,0))))</f>
        <v/>
      </c>
      <c r="W66">
        <f>IF(K65&lt;=0,0,MIN(AP66,K$7+IF(K$2=$AA66,$AC66,IF(K$2=$AF66,$AG66,0))))</f>
        <v/>
      </c>
      <c r="X66">
        <f>IF(L65&lt;=0,0,MIN(AQ66,L$7+IF(L$2=$AA66,$AC66,IF(L$2=$AF66,$AG66,0))))</f>
        <v/>
      </c>
      <c r="Y66">
        <f>IF(M65&lt;=0,0,MIN(AR66,M$7+IF(M$2=$AA66,$AC66,IF(M$2=$AF66,$AG66,0))))</f>
        <v/>
      </c>
      <c r="Z66">
        <f>IF(N65&lt;=0,0,MIN(AS66,N$7+IF(N$2=$AA66,$AC66,IF(N$2=$AF66,$AG66,0))))</f>
        <v/>
      </c>
      <c r="AA66">
        <f>IFERROR(ROUND(1/SUMPRODUCT(MAX((C65:N65&gt;0)*($C$3:$N$3&lt;=B66)/$C$2:$N$2)),0),0)</f>
        <v/>
      </c>
      <c r="AB66">
        <f>SUMPRODUCT((C65:N65&gt;0)*$C$7:$N$7)</f>
        <v/>
      </c>
      <c r="AC66">
        <f>MAX(0,Plan!$C$5-AB66)+IF(A66=Plan!$C$8,N(Plan!$C$7),0)</f>
        <v/>
      </c>
      <c r="AD66">
        <f>SUM(C66:N66)</f>
        <v/>
      </c>
      <c r="AE66">
        <f>SUM(O66:Z66)</f>
        <v/>
      </c>
      <c r="AF66">
        <f>IFERROR(ROUND(1/SUMPRODUCT(MAX((C65:N65&gt;0)*($C$3:$N$3&lt;=B66)*($C$2:$N$2&gt;AA66)/$C$2:$N$2)),0),0)</f>
        <v/>
      </c>
      <c r="AG66">
        <f>MAX(0,AC66-MAX(0,SUMPRODUCT(($C$2:$N$2=AA66)*(AH66:AS66-$C$7:$N$7))))</f>
        <v/>
      </c>
      <c r="AH66">
        <f>IF(C65&lt;=0,0,ROUND(C65*(1+IF(AND(C$6&gt;0,$B66&lt;C$6),C$4,C$5)/12),2))</f>
        <v/>
      </c>
      <c r="AI66">
        <f>IF(D65&lt;=0,0,ROUND(D65*(1+IF(AND(D$6&gt;0,$B66&lt;D$6),D$4,D$5)/12),2))</f>
        <v/>
      </c>
      <c r="AJ66">
        <f>IF(E65&lt;=0,0,ROUND(E65*(1+IF(AND(E$6&gt;0,$B66&lt;E$6),E$4,E$5)/12),2))</f>
        <v/>
      </c>
      <c r="AK66">
        <f>IF(F65&lt;=0,0,ROUND(F65*(1+IF(AND(F$6&gt;0,$B66&lt;F$6),F$4,F$5)/12),2))</f>
        <v/>
      </c>
      <c r="AL66">
        <f>IF(G65&lt;=0,0,ROUND(G65*(1+IF(AND(G$6&gt;0,$B66&lt;G$6),G$4,G$5)/12),2))</f>
        <v/>
      </c>
      <c r="AM66">
        <f>IF(H65&lt;=0,0,ROUND(H65*(1+IF(AND(H$6&gt;0,$B66&lt;H$6),H$4,H$5)/12),2))</f>
        <v/>
      </c>
      <c r="AN66">
        <f>IF(I65&lt;=0,0,ROUND(I65*(1+IF(AND(I$6&gt;0,$B66&lt;I$6),I$4,I$5)/12),2))</f>
        <v/>
      </c>
      <c r="AO66">
        <f>IF(J65&lt;=0,0,ROUND(J65*(1+IF(AND(J$6&gt;0,$B66&lt;J$6),J$4,J$5)/12),2))</f>
        <v/>
      </c>
      <c r="AP66">
        <f>IF(K65&lt;=0,0,ROUND(K65*(1+IF(AND(K$6&gt;0,$B66&lt;K$6),K$4,K$5)/12),2))</f>
        <v/>
      </c>
      <c r="AQ66">
        <f>IF(L65&lt;=0,0,ROUND(L65*(1+IF(AND(L$6&gt;0,$B66&lt;L$6),L$4,L$5)/12),2))</f>
        <v/>
      </c>
      <c r="AR66">
        <f>IF(M65&lt;=0,0,ROUND(M65*(1+IF(AND(M$6&gt;0,$B66&lt;M$6),M$4,M$5)/12),2))</f>
        <v/>
      </c>
      <c r="AS66">
        <f>IF(N65&lt;=0,0,ROUND(N65*(1+IF(AND(N$6&gt;0,$B66&lt;N$6),N$4,N$5)/12),2))</f>
        <v/>
      </c>
    </row>
    <row r="67">
      <c r="A67" t="n">
        <v>56</v>
      </c>
      <c r="B67">
        <f>EDATE(Plan!$C$6,55)</f>
        <v/>
      </c>
      <c r="C67">
        <f>IF(C66&lt;=0,0,MAX(0,AH67-O67))</f>
        <v/>
      </c>
      <c r="D67">
        <f>IF(D66&lt;=0,0,MAX(0,AI67-P67))</f>
        <v/>
      </c>
      <c r="E67">
        <f>IF(E66&lt;=0,0,MAX(0,AJ67-Q67))</f>
        <v/>
      </c>
      <c r="F67">
        <f>IF(F66&lt;=0,0,MAX(0,AK67-R67))</f>
        <v/>
      </c>
      <c r="G67">
        <f>IF(G66&lt;=0,0,MAX(0,AL67-S67))</f>
        <v/>
      </c>
      <c r="H67">
        <f>IF(H66&lt;=0,0,MAX(0,AM67-T67))</f>
        <v/>
      </c>
      <c r="I67">
        <f>IF(I66&lt;=0,0,MAX(0,AN67-U67))</f>
        <v/>
      </c>
      <c r="J67">
        <f>IF(J66&lt;=0,0,MAX(0,AO67-V67))</f>
        <v/>
      </c>
      <c r="K67">
        <f>IF(K66&lt;=0,0,MAX(0,AP67-W67))</f>
        <v/>
      </c>
      <c r="L67">
        <f>IF(L66&lt;=0,0,MAX(0,AQ67-X67))</f>
        <v/>
      </c>
      <c r="M67">
        <f>IF(M66&lt;=0,0,MAX(0,AR67-Y67))</f>
        <v/>
      </c>
      <c r="N67">
        <f>IF(N66&lt;=0,0,MAX(0,AS67-Z67))</f>
        <v/>
      </c>
      <c r="O67">
        <f>IF(C66&lt;=0,0,MIN(AH67,C$7+IF(C$2=$AA67,$AC67,IF(C$2=$AF67,$AG67,0))))</f>
        <v/>
      </c>
      <c r="P67">
        <f>IF(D66&lt;=0,0,MIN(AI67,D$7+IF(D$2=$AA67,$AC67,IF(D$2=$AF67,$AG67,0))))</f>
        <v/>
      </c>
      <c r="Q67">
        <f>IF(E66&lt;=0,0,MIN(AJ67,E$7+IF(E$2=$AA67,$AC67,IF(E$2=$AF67,$AG67,0))))</f>
        <v/>
      </c>
      <c r="R67">
        <f>IF(F66&lt;=0,0,MIN(AK67,F$7+IF(F$2=$AA67,$AC67,IF(F$2=$AF67,$AG67,0))))</f>
        <v/>
      </c>
      <c r="S67">
        <f>IF(G66&lt;=0,0,MIN(AL67,G$7+IF(G$2=$AA67,$AC67,IF(G$2=$AF67,$AG67,0))))</f>
        <v/>
      </c>
      <c r="T67">
        <f>IF(H66&lt;=0,0,MIN(AM67,H$7+IF(H$2=$AA67,$AC67,IF(H$2=$AF67,$AG67,0))))</f>
        <v/>
      </c>
      <c r="U67">
        <f>IF(I66&lt;=0,0,MIN(AN67,I$7+IF(I$2=$AA67,$AC67,IF(I$2=$AF67,$AG67,0))))</f>
        <v/>
      </c>
      <c r="V67">
        <f>IF(J66&lt;=0,0,MIN(AO67,J$7+IF(J$2=$AA67,$AC67,IF(J$2=$AF67,$AG67,0))))</f>
        <v/>
      </c>
      <c r="W67">
        <f>IF(K66&lt;=0,0,MIN(AP67,K$7+IF(K$2=$AA67,$AC67,IF(K$2=$AF67,$AG67,0))))</f>
        <v/>
      </c>
      <c r="X67">
        <f>IF(L66&lt;=0,0,MIN(AQ67,L$7+IF(L$2=$AA67,$AC67,IF(L$2=$AF67,$AG67,0))))</f>
        <v/>
      </c>
      <c r="Y67">
        <f>IF(M66&lt;=0,0,MIN(AR67,M$7+IF(M$2=$AA67,$AC67,IF(M$2=$AF67,$AG67,0))))</f>
        <v/>
      </c>
      <c r="Z67">
        <f>IF(N66&lt;=0,0,MIN(AS67,N$7+IF(N$2=$AA67,$AC67,IF(N$2=$AF67,$AG67,0))))</f>
        <v/>
      </c>
      <c r="AA67">
        <f>IFERROR(ROUND(1/SUMPRODUCT(MAX((C66:N66&gt;0)*($C$3:$N$3&lt;=B67)/$C$2:$N$2)),0),0)</f>
        <v/>
      </c>
      <c r="AB67">
        <f>SUMPRODUCT((C66:N66&gt;0)*$C$7:$N$7)</f>
        <v/>
      </c>
      <c r="AC67">
        <f>MAX(0,Plan!$C$5-AB67)+IF(A67=Plan!$C$8,N(Plan!$C$7),0)</f>
        <v/>
      </c>
      <c r="AD67">
        <f>SUM(C67:N67)</f>
        <v/>
      </c>
      <c r="AE67">
        <f>SUM(O67:Z67)</f>
        <v/>
      </c>
      <c r="AF67">
        <f>IFERROR(ROUND(1/SUMPRODUCT(MAX((C66:N66&gt;0)*($C$3:$N$3&lt;=B67)*($C$2:$N$2&gt;AA67)/$C$2:$N$2)),0),0)</f>
        <v/>
      </c>
      <c r="AG67">
        <f>MAX(0,AC67-MAX(0,SUMPRODUCT(($C$2:$N$2=AA67)*(AH67:AS67-$C$7:$N$7))))</f>
        <v/>
      </c>
      <c r="AH67">
        <f>IF(C66&lt;=0,0,ROUND(C66*(1+IF(AND(C$6&gt;0,$B67&lt;C$6),C$4,C$5)/12),2))</f>
        <v/>
      </c>
      <c r="AI67">
        <f>IF(D66&lt;=0,0,ROUND(D66*(1+IF(AND(D$6&gt;0,$B67&lt;D$6),D$4,D$5)/12),2))</f>
        <v/>
      </c>
      <c r="AJ67">
        <f>IF(E66&lt;=0,0,ROUND(E66*(1+IF(AND(E$6&gt;0,$B67&lt;E$6),E$4,E$5)/12),2))</f>
        <v/>
      </c>
      <c r="AK67">
        <f>IF(F66&lt;=0,0,ROUND(F66*(1+IF(AND(F$6&gt;0,$B67&lt;F$6),F$4,F$5)/12),2))</f>
        <v/>
      </c>
      <c r="AL67">
        <f>IF(G66&lt;=0,0,ROUND(G66*(1+IF(AND(G$6&gt;0,$B67&lt;G$6),G$4,G$5)/12),2))</f>
        <v/>
      </c>
      <c r="AM67">
        <f>IF(H66&lt;=0,0,ROUND(H66*(1+IF(AND(H$6&gt;0,$B67&lt;H$6),H$4,H$5)/12),2))</f>
        <v/>
      </c>
      <c r="AN67">
        <f>IF(I66&lt;=0,0,ROUND(I66*(1+IF(AND(I$6&gt;0,$B67&lt;I$6),I$4,I$5)/12),2))</f>
        <v/>
      </c>
      <c r="AO67">
        <f>IF(J66&lt;=0,0,ROUND(J66*(1+IF(AND(J$6&gt;0,$B67&lt;J$6),J$4,J$5)/12),2))</f>
        <v/>
      </c>
      <c r="AP67">
        <f>IF(K66&lt;=0,0,ROUND(K66*(1+IF(AND(K$6&gt;0,$B67&lt;K$6),K$4,K$5)/12),2))</f>
        <v/>
      </c>
      <c r="AQ67">
        <f>IF(L66&lt;=0,0,ROUND(L66*(1+IF(AND(L$6&gt;0,$B67&lt;L$6),L$4,L$5)/12),2))</f>
        <v/>
      </c>
      <c r="AR67">
        <f>IF(M66&lt;=0,0,ROUND(M66*(1+IF(AND(M$6&gt;0,$B67&lt;M$6),M$4,M$5)/12),2))</f>
        <v/>
      </c>
      <c r="AS67">
        <f>IF(N66&lt;=0,0,ROUND(N66*(1+IF(AND(N$6&gt;0,$B67&lt;N$6),N$4,N$5)/12),2))</f>
        <v/>
      </c>
    </row>
    <row r="68">
      <c r="A68" t="n">
        <v>57</v>
      </c>
      <c r="B68">
        <f>EDATE(Plan!$C$6,56)</f>
        <v/>
      </c>
      <c r="C68">
        <f>IF(C67&lt;=0,0,MAX(0,AH68-O68))</f>
        <v/>
      </c>
      <c r="D68">
        <f>IF(D67&lt;=0,0,MAX(0,AI68-P68))</f>
        <v/>
      </c>
      <c r="E68">
        <f>IF(E67&lt;=0,0,MAX(0,AJ68-Q68))</f>
        <v/>
      </c>
      <c r="F68">
        <f>IF(F67&lt;=0,0,MAX(0,AK68-R68))</f>
        <v/>
      </c>
      <c r="G68">
        <f>IF(G67&lt;=0,0,MAX(0,AL68-S68))</f>
        <v/>
      </c>
      <c r="H68">
        <f>IF(H67&lt;=0,0,MAX(0,AM68-T68))</f>
        <v/>
      </c>
      <c r="I68">
        <f>IF(I67&lt;=0,0,MAX(0,AN68-U68))</f>
        <v/>
      </c>
      <c r="J68">
        <f>IF(J67&lt;=0,0,MAX(0,AO68-V68))</f>
        <v/>
      </c>
      <c r="K68">
        <f>IF(K67&lt;=0,0,MAX(0,AP68-W68))</f>
        <v/>
      </c>
      <c r="L68">
        <f>IF(L67&lt;=0,0,MAX(0,AQ68-X68))</f>
        <v/>
      </c>
      <c r="M68">
        <f>IF(M67&lt;=0,0,MAX(0,AR68-Y68))</f>
        <v/>
      </c>
      <c r="N68">
        <f>IF(N67&lt;=0,0,MAX(0,AS68-Z68))</f>
        <v/>
      </c>
      <c r="O68">
        <f>IF(C67&lt;=0,0,MIN(AH68,C$7+IF(C$2=$AA68,$AC68,IF(C$2=$AF68,$AG68,0))))</f>
        <v/>
      </c>
      <c r="P68">
        <f>IF(D67&lt;=0,0,MIN(AI68,D$7+IF(D$2=$AA68,$AC68,IF(D$2=$AF68,$AG68,0))))</f>
        <v/>
      </c>
      <c r="Q68">
        <f>IF(E67&lt;=0,0,MIN(AJ68,E$7+IF(E$2=$AA68,$AC68,IF(E$2=$AF68,$AG68,0))))</f>
        <v/>
      </c>
      <c r="R68">
        <f>IF(F67&lt;=0,0,MIN(AK68,F$7+IF(F$2=$AA68,$AC68,IF(F$2=$AF68,$AG68,0))))</f>
        <v/>
      </c>
      <c r="S68">
        <f>IF(G67&lt;=0,0,MIN(AL68,G$7+IF(G$2=$AA68,$AC68,IF(G$2=$AF68,$AG68,0))))</f>
        <v/>
      </c>
      <c r="T68">
        <f>IF(H67&lt;=0,0,MIN(AM68,H$7+IF(H$2=$AA68,$AC68,IF(H$2=$AF68,$AG68,0))))</f>
        <v/>
      </c>
      <c r="U68">
        <f>IF(I67&lt;=0,0,MIN(AN68,I$7+IF(I$2=$AA68,$AC68,IF(I$2=$AF68,$AG68,0))))</f>
        <v/>
      </c>
      <c r="V68">
        <f>IF(J67&lt;=0,0,MIN(AO68,J$7+IF(J$2=$AA68,$AC68,IF(J$2=$AF68,$AG68,0))))</f>
        <v/>
      </c>
      <c r="W68">
        <f>IF(K67&lt;=0,0,MIN(AP68,K$7+IF(K$2=$AA68,$AC68,IF(K$2=$AF68,$AG68,0))))</f>
        <v/>
      </c>
      <c r="X68">
        <f>IF(L67&lt;=0,0,MIN(AQ68,L$7+IF(L$2=$AA68,$AC68,IF(L$2=$AF68,$AG68,0))))</f>
        <v/>
      </c>
      <c r="Y68">
        <f>IF(M67&lt;=0,0,MIN(AR68,M$7+IF(M$2=$AA68,$AC68,IF(M$2=$AF68,$AG68,0))))</f>
        <v/>
      </c>
      <c r="Z68">
        <f>IF(N67&lt;=0,0,MIN(AS68,N$7+IF(N$2=$AA68,$AC68,IF(N$2=$AF68,$AG68,0))))</f>
        <v/>
      </c>
      <c r="AA68">
        <f>IFERROR(ROUND(1/SUMPRODUCT(MAX((C67:N67&gt;0)*($C$3:$N$3&lt;=B68)/$C$2:$N$2)),0),0)</f>
        <v/>
      </c>
      <c r="AB68">
        <f>SUMPRODUCT((C67:N67&gt;0)*$C$7:$N$7)</f>
        <v/>
      </c>
      <c r="AC68">
        <f>MAX(0,Plan!$C$5-AB68)+IF(A68=Plan!$C$8,N(Plan!$C$7),0)</f>
        <v/>
      </c>
      <c r="AD68">
        <f>SUM(C68:N68)</f>
        <v/>
      </c>
      <c r="AE68">
        <f>SUM(O68:Z68)</f>
        <v/>
      </c>
      <c r="AF68">
        <f>IFERROR(ROUND(1/SUMPRODUCT(MAX((C67:N67&gt;0)*($C$3:$N$3&lt;=B68)*($C$2:$N$2&gt;AA68)/$C$2:$N$2)),0),0)</f>
        <v/>
      </c>
      <c r="AG68">
        <f>MAX(0,AC68-MAX(0,SUMPRODUCT(($C$2:$N$2=AA68)*(AH68:AS68-$C$7:$N$7))))</f>
        <v/>
      </c>
      <c r="AH68">
        <f>IF(C67&lt;=0,0,ROUND(C67*(1+IF(AND(C$6&gt;0,$B68&lt;C$6),C$4,C$5)/12),2))</f>
        <v/>
      </c>
      <c r="AI68">
        <f>IF(D67&lt;=0,0,ROUND(D67*(1+IF(AND(D$6&gt;0,$B68&lt;D$6),D$4,D$5)/12),2))</f>
        <v/>
      </c>
      <c r="AJ68">
        <f>IF(E67&lt;=0,0,ROUND(E67*(1+IF(AND(E$6&gt;0,$B68&lt;E$6),E$4,E$5)/12),2))</f>
        <v/>
      </c>
      <c r="AK68">
        <f>IF(F67&lt;=0,0,ROUND(F67*(1+IF(AND(F$6&gt;0,$B68&lt;F$6),F$4,F$5)/12),2))</f>
        <v/>
      </c>
      <c r="AL68">
        <f>IF(G67&lt;=0,0,ROUND(G67*(1+IF(AND(G$6&gt;0,$B68&lt;G$6),G$4,G$5)/12),2))</f>
        <v/>
      </c>
      <c r="AM68">
        <f>IF(H67&lt;=0,0,ROUND(H67*(1+IF(AND(H$6&gt;0,$B68&lt;H$6),H$4,H$5)/12),2))</f>
        <v/>
      </c>
      <c r="AN68">
        <f>IF(I67&lt;=0,0,ROUND(I67*(1+IF(AND(I$6&gt;0,$B68&lt;I$6),I$4,I$5)/12),2))</f>
        <v/>
      </c>
      <c r="AO68">
        <f>IF(J67&lt;=0,0,ROUND(J67*(1+IF(AND(J$6&gt;0,$B68&lt;J$6),J$4,J$5)/12),2))</f>
        <v/>
      </c>
      <c r="AP68">
        <f>IF(K67&lt;=0,0,ROUND(K67*(1+IF(AND(K$6&gt;0,$B68&lt;K$6),K$4,K$5)/12),2))</f>
        <v/>
      </c>
      <c r="AQ68">
        <f>IF(L67&lt;=0,0,ROUND(L67*(1+IF(AND(L$6&gt;0,$B68&lt;L$6),L$4,L$5)/12),2))</f>
        <v/>
      </c>
      <c r="AR68">
        <f>IF(M67&lt;=0,0,ROUND(M67*(1+IF(AND(M$6&gt;0,$B68&lt;M$6),M$4,M$5)/12),2))</f>
        <v/>
      </c>
      <c r="AS68">
        <f>IF(N67&lt;=0,0,ROUND(N67*(1+IF(AND(N$6&gt;0,$B68&lt;N$6),N$4,N$5)/12),2))</f>
        <v/>
      </c>
    </row>
    <row r="69">
      <c r="A69" t="n">
        <v>58</v>
      </c>
      <c r="B69">
        <f>EDATE(Plan!$C$6,57)</f>
        <v/>
      </c>
      <c r="C69">
        <f>IF(C68&lt;=0,0,MAX(0,AH69-O69))</f>
        <v/>
      </c>
      <c r="D69">
        <f>IF(D68&lt;=0,0,MAX(0,AI69-P69))</f>
        <v/>
      </c>
      <c r="E69">
        <f>IF(E68&lt;=0,0,MAX(0,AJ69-Q69))</f>
        <v/>
      </c>
      <c r="F69">
        <f>IF(F68&lt;=0,0,MAX(0,AK69-R69))</f>
        <v/>
      </c>
      <c r="G69">
        <f>IF(G68&lt;=0,0,MAX(0,AL69-S69))</f>
        <v/>
      </c>
      <c r="H69">
        <f>IF(H68&lt;=0,0,MAX(0,AM69-T69))</f>
        <v/>
      </c>
      <c r="I69">
        <f>IF(I68&lt;=0,0,MAX(0,AN69-U69))</f>
        <v/>
      </c>
      <c r="J69">
        <f>IF(J68&lt;=0,0,MAX(0,AO69-V69))</f>
        <v/>
      </c>
      <c r="K69">
        <f>IF(K68&lt;=0,0,MAX(0,AP69-W69))</f>
        <v/>
      </c>
      <c r="L69">
        <f>IF(L68&lt;=0,0,MAX(0,AQ69-X69))</f>
        <v/>
      </c>
      <c r="M69">
        <f>IF(M68&lt;=0,0,MAX(0,AR69-Y69))</f>
        <v/>
      </c>
      <c r="N69">
        <f>IF(N68&lt;=0,0,MAX(0,AS69-Z69))</f>
        <v/>
      </c>
      <c r="O69">
        <f>IF(C68&lt;=0,0,MIN(AH69,C$7+IF(C$2=$AA69,$AC69,IF(C$2=$AF69,$AG69,0))))</f>
        <v/>
      </c>
      <c r="P69">
        <f>IF(D68&lt;=0,0,MIN(AI69,D$7+IF(D$2=$AA69,$AC69,IF(D$2=$AF69,$AG69,0))))</f>
        <v/>
      </c>
      <c r="Q69">
        <f>IF(E68&lt;=0,0,MIN(AJ69,E$7+IF(E$2=$AA69,$AC69,IF(E$2=$AF69,$AG69,0))))</f>
        <v/>
      </c>
      <c r="R69">
        <f>IF(F68&lt;=0,0,MIN(AK69,F$7+IF(F$2=$AA69,$AC69,IF(F$2=$AF69,$AG69,0))))</f>
        <v/>
      </c>
      <c r="S69">
        <f>IF(G68&lt;=0,0,MIN(AL69,G$7+IF(G$2=$AA69,$AC69,IF(G$2=$AF69,$AG69,0))))</f>
        <v/>
      </c>
      <c r="T69">
        <f>IF(H68&lt;=0,0,MIN(AM69,H$7+IF(H$2=$AA69,$AC69,IF(H$2=$AF69,$AG69,0))))</f>
        <v/>
      </c>
      <c r="U69">
        <f>IF(I68&lt;=0,0,MIN(AN69,I$7+IF(I$2=$AA69,$AC69,IF(I$2=$AF69,$AG69,0))))</f>
        <v/>
      </c>
      <c r="V69">
        <f>IF(J68&lt;=0,0,MIN(AO69,J$7+IF(J$2=$AA69,$AC69,IF(J$2=$AF69,$AG69,0))))</f>
        <v/>
      </c>
      <c r="W69">
        <f>IF(K68&lt;=0,0,MIN(AP69,K$7+IF(K$2=$AA69,$AC69,IF(K$2=$AF69,$AG69,0))))</f>
        <v/>
      </c>
      <c r="X69">
        <f>IF(L68&lt;=0,0,MIN(AQ69,L$7+IF(L$2=$AA69,$AC69,IF(L$2=$AF69,$AG69,0))))</f>
        <v/>
      </c>
      <c r="Y69">
        <f>IF(M68&lt;=0,0,MIN(AR69,M$7+IF(M$2=$AA69,$AC69,IF(M$2=$AF69,$AG69,0))))</f>
        <v/>
      </c>
      <c r="Z69">
        <f>IF(N68&lt;=0,0,MIN(AS69,N$7+IF(N$2=$AA69,$AC69,IF(N$2=$AF69,$AG69,0))))</f>
        <v/>
      </c>
      <c r="AA69">
        <f>IFERROR(ROUND(1/SUMPRODUCT(MAX((C68:N68&gt;0)*($C$3:$N$3&lt;=B69)/$C$2:$N$2)),0),0)</f>
        <v/>
      </c>
      <c r="AB69">
        <f>SUMPRODUCT((C68:N68&gt;0)*$C$7:$N$7)</f>
        <v/>
      </c>
      <c r="AC69">
        <f>MAX(0,Plan!$C$5-AB69)+IF(A69=Plan!$C$8,N(Plan!$C$7),0)</f>
        <v/>
      </c>
      <c r="AD69">
        <f>SUM(C69:N69)</f>
        <v/>
      </c>
      <c r="AE69">
        <f>SUM(O69:Z69)</f>
        <v/>
      </c>
      <c r="AF69">
        <f>IFERROR(ROUND(1/SUMPRODUCT(MAX((C68:N68&gt;0)*($C$3:$N$3&lt;=B69)*($C$2:$N$2&gt;AA69)/$C$2:$N$2)),0),0)</f>
        <v/>
      </c>
      <c r="AG69">
        <f>MAX(0,AC69-MAX(0,SUMPRODUCT(($C$2:$N$2=AA69)*(AH69:AS69-$C$7:$N$7))))</f>
        <v/>
      </c>
      <c r="AH69">
        <f>IF(C68&lt;=0,0,ROUND(C68*(1+IF(AND(C$6&gt;0,$B69&lt;C$6),C$4,C$5)/12),2))</f>
        <v/>
      </c>
      <c r="AI69">
        <f>IF(D68&lt;=0,0,ROUND(D68*(1+IF(AND(D$6&gt;0,$B69&lt;D$6),D$4,D$5)/12),2))</f>
        <v/>
      </c>
      <c r="AJ69">
        <f>IF(E68&lt;=0,0,ROUND(E68*(1+IF(AND(E$6&gt;0,$B69&lt;E$6),E$4,E$5)/12),2))</f>
        <v/>
      </c>
      <c r="AK69">
        <f>IF(F68&lt;=0,0,ROUND(F68*(1+IF(AND(F$6&gt;0,$B69&lt;F$6),F$4,F$5)/12),2))</f>
        <v/>
      </c>
      <c r="AL69">
        <f>IF(G68&lt;=0,0,ROUND(G68*(1+IF(AND(G$6&gt;0,$B69&lt;G$6),G$4,G$5)/12),2))</f>
        <v/>
      </c>
      <c r="AM69">
        <f>IF(H68&lt;=0,0,ROUND(H68*(1+IF(AND(H$6&gt;0,$B69&lt;H$6),H$4,H$5)/12),2))</f>
        <v/>
      </c>
      <c r="AN69">
        <f>IF(I68&lt;=0,0,ROUND(I68*(1+IF(AND(I$6&gt;0,$B69&lt;I$6),I$4,I$5)/12),2))</f>
        <v/>
      </c>
      <c r="AO69">
        <f>IF(J68&lt;=0,0,ROUND(J68*(1+IF(AND(J$6&gt;0,$B69&lt;J$6),J$4,J$5)/12),2))</f>
        <v/>
      </c>
      <c r="AP69">
        <f>IF(K68&lt;=0,0,ROUND(K68*(1+IF(AND(K$6&gt;0,$B69&lt;K$6),K$4,K$5)/12),2))</f>
        <v/>
      </c>
      <c r="AQ69">
        <f>IF(L68&lt;=0,0,ROUND(L68*(1+IF(AND(L$6&gt;0,$B69&lt;L$6),L$4,L$5)/12),2))</f>
        <v/>
      </c>
      <c r="AR69">
        <f>IF(M68&lt;=0,0,ROUND(M68*(1+IF(AND(M$6&gt;0,$B69&lt;M$6),M$4,M$5)/12),2))</f>
        <v/>
      </c>
      <c r="AS69">
        <f>IF(N68&lt;=0,0,ROUND(N68*(1+IF(AND(N$6&gt;0,$B69&lt;N$6),N$4,N$5)/12),2))</f>
        <v/>
      </c>
    </row>
    <row r="70">
      <c r="A70" t="n">
        <v>59</v>
      </c>
      <c r="B70">
        <f>EDATE(Plan!$C$6,58)</f>
        <v/>
      </c>
      <c r="C70">
        <f>IF(C69&lt;=0,0,MAX(0,AH70-O70))</f>
        <v/>
      </c>
      <c r="D70">
        <f>IF(D69&lt;=0,0,MAX(0,AI70-P70))</f>
        <v/>
      </c>
      <c r="E70">
        <f>IF(E69&lt;=0,0,MAX(0,AJ70-Q70))</f>
        <v/>
      </c>
      <c r="F70">
        <f>IF(F69&lt;=0,0,MAX(0,AK70-R70))</f>
        <v/>
      </c>
      <c r="G70">
        <f>IF(G69&lt;=0,0,MAX(0,AL70-S70))</f>
        <v/>
      </c>
      <c r="H70">
        <f>IF(H69&lt;=0,0,MAX(0,AM70-T70))</f>
        <v/>
      </c>
      <c r="I70">
        <f>IF(I69&lt;=0,0,MAX(0,AN70-U70))</f>
        <v/>
      </c>
      <c r="J70">
        <f>IF(J69&lt;=0,0,MAX(0,AO70-V70))</f>
        <v/>
      </c>
      <c r="K70">
        <f>IF(K69&lt;=0,0,MAX(0,AP70-W70))</f>
        <v/>
      </c>
      <c r="L70">
        <f>IF(L69&lt;=0,0,MAX(0,AQ70-X70))</f>
        <v/>
      </c>
      <c r="M70">
        <f>IF(M69&lt;=0,0,MAX(0,AR70-Y70))</f>
        <v/>
      </c>
      <c r="N70">
        <f>IF(N69&lt;=0,0,MAX(0,AS70-Z70))</f>
        <v/>
      </c>
      <c r="O70">
        <f>IF(C69&lt;=0,0,MIN(AH70,C$7+IF(C$2=$AA70,$AC70,IF(C$2=$AF70,$AG70,0))))</f>
        <v/>
      </c>
      <c r="P70">
        <f>IF(D69&lt;=0,0,MIN(AI70,D$7+IF(D$2=$AA70,$AC70,IF(D$2=$AF70,$AG70,0))))</f>
        <v/>
      </c>
      <c r="Q70">
        <f>IF(E69&lt;=0,0,MIN(AJ70,E$7+IF(E$2=$AA70,$AC70,IF(E$2=$AF70,$AG70,0))))</f>
        <v/>
      </c>
      <c r="R70">
        <f>IF(F69&lt;=0,0,MIN(AK70,F$7+IF(F$2=$AA70,$AC70,IF(F$2=$AF70,$AG70,0))))</f>
        <v/>
      </c>
      <c r="S70">
        <f>IF(G69&lt;=0,0,MIN(AL70,G$7+IF(G$2=$AA70,$AC70,IF(G$2=$AF70,$AG70,0))))</f>
        <v/>
      </c>
      <c r="T70">
        <f>IF(H69&lt;=0,0,MIN(AM70,H$7+IF(H$2=$AA70,$AC70,IF(H$2=$AF70,$AG70,0))))</f>
        <v/>
      </c>
      <c r="U70">
        <f>IF(I69&lt;=0,0,MIN(AN70,I$7+IF(I$2=$AA70,$AC70,IF(I$2=$AF70,$AG70,0))))</f>
        <v/>
      </c>
      <c r="V70">
        <f>IF(J69&lt;=0,0,MIN(AO70,J$7+IF(J$2=$AA70,$AC70,IF(J$2=$AF70,$AG70,0))))</f>
        <v/>
      </c>
      <c r="W70">
        <f>IF(K69&lt;=0,0,MIN(AP70,K$7+IF(K$2=$AA70,$AC70,IF(K$2=$AF70,$AG70,0))))</f>
        <v/>
      </c>
      <c r="X70">
        <f>IF(L69&lt;=0,0,MIN(AQ70,L$7+IF(L$2=$AA70,$AC70,IF(L$2=$AF70,$AG70,0))))</f>
        <v/>
      </c>
      <c r="Y70">
        <f>IF(M69&lt;=0,0,MIN(AR70,M$7+IF(M$2=$AA70,$AC70,IF(M$2=$AF70,$AG70,0))))</f>
        <v/>
      </c>
      <c r="Z70">
        <f>IF(N69&lt;=0,0,MIN(AS70,N$7+IF(N$2=$AA70,$AC70,IF(N$2=$AF70,$AG70,0))))</f>
        <v/>
      </c>
      <c r="AA70">
        <f>IFERROR(ROUND(1/SUMPRODUCT(MAX((C69:N69&gt;0)*($C$3:$N$3&lt;=B70)/$C$2:$N$2)),0),0)</f>
        <v/>
      </c>
      <c r="AB70">
        <f>SUMPRODUCT((C69:N69&gt;0)*$C$7:$N$7)</f>
        <v/>
      </c>
      <c r="AC70">
        <f>MAX(0,Plan!$C$5-AB70)+IF(A70=Plan!$C$8,N(Plan!$C$7),0)</f>
        <v/>
      </c>
      <c r="AD70">
        <f>SUM(C70:N70)</f>
        <v/>
      </c>
      <c r="AE70">
        <f>SUM(O70:Z70)</f>
        <v/>
      </c>
      <c r="AF70">
        <f>IFERROR(ROUND(1/SUMPRODUCT(MAX((C69:N69&gt;0)*($C$3:$N$3&lt;=B70)*($C$2:$N$2&gt;AA70)/$C$2:$N$2)),0),0)</f>
        <v/>
      </c>
      <c r="AG70">
        <f>MAX(0,AC70-MAX(0,SUMPRODUCT(($C$2:$N$2=AA70)*(AH70:AS70-$C$7:$N$7))))</f>
        <v/>
      </c>
      <c r="AH70">
        <f>IF(C69&lt;=0,0,ROUND(C69*(1+IF(AND(C$6&gt;0,$B70&lt;C$6),C$4,C$5)/12),2))</f>
        <v/>
      </c>
      <c r="AI70">
        <f>IF(D69&lt;=0,0,ROUND(D69*(1+IF(AND(D$6&gt;0,$B70&lt;D$6),D$4,D$5)/12),2))</f>
        <v/>
      </c>
      <c r="AJ70">
        <f>IF(E69&lt;=0,0,ROUND(E69*(1+IF(AND(E$6&gt;0,$B70&lt;E$6),E$4,E$5)/12),2))</f>
        <v/>
      </c>
      <c r="AK70">
        <f>IF(F69&lt;=0,0,ROUND(F69*(1+IF(AND(F$6&gt;0,$B70&lt;F$6),F$4,F$5)/12),2))</f>
        <v/>
      </c>
      <c r="AL70">
        <f>IF(G69&lt;=0,0,ROUND(G69*(1+IF(AND(G$6&gt;0,$B70&lt;G$6),G$4,G$5)/12),2))</f>
        <v/>
      </c>
      <c r="AM70">
        <f>IF(H69&lt;=0,0,ROUND(H69*(1+IF(AND(H$6&gt;0,$B70&lt;H$6),H$4,H$5)/12),2))</f>
        <v/>
      </c>
      <c r="AN70">
        <f>IF(I69&lt;=0,0,ROUND(I69*(1+IF(AND(I$6&gt;0,$B70&lt;I$6),I$4,I$5)/12),2))</f>
        <v/>
      </c>
      <c r="AO70">
        <f>IF(J69&lt;=0,0,ROUND(J69*(1+IF(AND(J$6&gt;0,$B70&lt;J$6),J$4,J$5)/12),2))</f>
        <v/>
      </c>
      <c r="AP70">
        <f>IF(K69&lt;=0,0,ROUND(K69*(1+IF(AND(K$6&gt;0,$B70&lt;K$6),K$4,K$5)/12),2))</f>
        <v/>
      </c>
      <c r="AQ70">
        <f>IF(L69&lt;=0,0,ROUND(L69*(1+IF(AND(L$6&gt;0,$B70&lt;L$6),L$4,L$5)/12),2))</f>
        <v/>
      </c>
      <c r="AR70">
        <f>IF(M69&lt;=0,0,ROUND(M69*(1+IF(AND(M$6&gt;0,$B70&lt;M$6),M$4,M$5)/12),2))</f>
        <v/>
      </c>
      <c r="AS70">
        <f>IF(N69&lt;=0,0,ROUND(N69*(1+IF(AND(N$6&gt;0,$B70&lt;N$6),N$4,N$5)/12),2))</f>
        <v/>
      </c>
    </row>
    <row r="71">
      <c r="A71" t="n">
        <v>60</v>
      </c>
      <c r="B71">
        <f>EDATE(Plan!$C$6,59)</f>
        <v/>
      </c>
      <c r="C71">
        <f>IF(C70&lt;=0,0,MAX(0,AH71-O71))</f>
        <v/>
      </c>
      <c r="D71">
        <f>IF(D70&lt;=0,0,MAX(0,AI71-P71))</f>
        <v/>
      </c>
      <c r="E71">
        <f>IF(E70&lt;=0,0,MAX(0,AJ71-Q71))</f>
        <v/>
      </c>
      <c r="F71">
        <f>IF(F70&lt;=0,0,MAX(0,AK71-R71))</f>
        <v/>
      </c>
      <c r="G71">
        <f>IF(G70&lt;=0,0,MAX(0,AL71-S71))</f>
        <v/>
      </c>
      <c r="H71">
        <f>IF(H70&lt;=0,0,MAX(0,AM71-T71))</f>
        <v/>
      </c>
      <c r="I71">
        <f>IF(I70&lt;=0,0,MAX(0,AN71-U71))</f>
        <v/>
      </c>
      <c r="J71">
        <f>IF(J70&lt;=0,0,MAX(0,AO71-V71))</f>
        <v/>
      </c>
      <c r="K71">
        <f>IF(K70&lt;=0,0,MAX(0,AP71-W71))</f>
        <v/>
      </c>
      <c r="L71">
        <f>IF(L70&lt;=0,0,MAX(0,AQ71-X71))</f>
        <v/>
      </c>
      <c r="M71">
        <f>IF(M70&lt;=0,0,MAX(0,AR71-Y71))</f>
        <v/>
      </c>
      <c r="N71">
        <f>IF(N70&lt;=0,0,MAX(0,AS71-Z71))</f>
        <v/>
      </c>
      <c r="O71">
        <f>IF(C70&lt;=0,0,MIN(AH71,C$7+IF(C$2=$AA71,$AC71,IF(C$2=$AF71,$AG71,0))))</f>
        <v/>
      </c>
      <c r="P71">
        <f>IF(D70&lt;=0,0,MIN(AI71,D$7+IF(D$2=$AA71,$AC71,IF(D$2=$AF71,$AG71,0))))</f>
        <v/>
      </c>
      <c r="Q71">
        <f>IF(E70&lt;=0,0,MIN(AJ71,E$7+IF(E$2=$AA71,$AC71,IF(E$2=$AF71,$AG71,0))))</f>
        <v/>
      </c>
      <c r="R71">
        <f>IF(F70&lt;=0,0,MIN(AK71,F$7+IF(F$2=$AA71,$AC71,IF(F$2=$AF71,$AG71,0))))</f>
        <v/>
      </c>
      <c r="S71">
        <f>IF(G70&lt;=0,0,MIN(AL71,G$7+IF(G$2=$AA71,$AC71,IF(G$2=$AF71,$AG71,0))))</f>
        <v/>
      </c>
      <c r="T71">
        <f>IF(H70&lt;=0,0,MIN(AM71,H$7+IF(H$2=$AA71,$AC71,IF(H$2=$AF71,$AG71,0))))</f>
        <v/>
      </c>
      <c r="U71">
        <f>IF(I70&lt;=0,0,MIN(AN71,I$7+IF(I$2=$AA71,$AC71,IF(I$2=$AF71,$AG71,0))))</f>
        <v/>
      </c>
      <c r="V71">
        <f>IF(J70&lt;=0,0,MIN(AO71,J$7+IF(J$2=$AA71,$AC71,IF(J$2=$AF71,$AG71,0))))</f>
        <v/>
      </c>
      <c r="W71">
        <f>IF(K70&lt;=0,0,MIN(AP71,K$7+IF(K$2=$AA71,$AC71,IF(K$2=$AF71,$AG71,0))))</f>
        <v/>
      </c>
      <c r="X71">
        <f>IF(L70&lt;=0,0,MIN(AQ71,L$7+IF(L$2=$AA71,$AC71,IF(L$2=$AF71,$AG71,0))))</f>
        <v/>
      </c>
      <c r="Y71">
        <f>IF(M70&lt;=0,0,MIN(AR71,M$7+IF(M$2=$AA71,$AC71,IF(M$2=$AF71,$AG71,0))))</f>
        <v/>
      </c>
      <c r="Z71">
        <f>IF(N70&lt;=0,0,MIN(AS71,N$7+IF(N$2=$AA71,$AC71,IF(N$2=$AF71,$AG71,0))))</f>
        <v/>
      </c>
      <c r="AA71">
        <f>IFERROR(ROUND(1/SUMPRODUCT(MAX((C70:N70&gt;0)*($C$3:$N$3&lt;=B71)/$C$2:$N$2)),0),0)</f>
        <v/>
      </c>
      <c r="AB71">
        <f>SUMPRODUCT((C70:N70&gt;0)*$C$7:$N$7)</f>
        <v/>
      </c>
      <c r="AC71">
        <f>MAX(0,Plan!$C$5-AB71)+IF(A71=Plan!$C$8,N(Plan!$C$7),0)</f>
        <v/>
      </c>
      <c r="AD71">
        <f>SUM(C71:N71)</f>
        <v/>
      </c>
      <c r="AE71">
        <f>SUM(O71:Z71)</f>
        <v/>
      </c>
      <c r="AF71">
        <f>IFERROR(ROUND(1/SUMPRODUCT(MAX((C70:N70&gt;0)*($C$3:$N$3&lt;=B71)*($C$2:$N$2&gt;AA71)/$C$2:$N$2)),0),0)</f>
        <v/>
      </c>
      <c r="AG71">
        <f>MAX(0,AC71-MAX(0,SUMPRODUCT(($C$2:$N$2=AA71)*(AH71:AS71-$C$7:$N$7))))</f>
        <v/>
      </c>
      <c r="AH71">
        <f>IF(C70&lt;=0,0,ROUND(C70*(1+IF(AND(C$6&gt;0,$B71&lt;C$6),C$4,C$5)/12),2))</f>
        <v/>
      </c>
      <c r="AI71">
        <f>IF(D70&lt;=0,0,ROUND(D70*(1+IF(AND(D$6&gt;0,$B71&lt;D$6),D$4,D$5)/12),2))</f>
        <v/>
      </c>
      <c r="AJ71">
        <f>IF(E70&lt;=0,0,ROUND(E70*(1+IF(AND(E$6&gt;0,$B71&lt;E$6),E$4,E$5)/12),2))</f>
        <v/>
      </c>
      <c r="AK71">
        <f>IF(F70&lt;=0,0,ROUND(F70*(1+IF(AND(F$6&gt;0,$B71&lt;F$6),F$4,F$5)/12),2))</f>
        <v/>
      </c>
      <c r="AL71">
        <f>IF(G70&lt;=0,0,ROUND(G70*(1+IF(AND(G$6&gt;0,$B71&lt;G$6),G$4,G$5)/12),2))</f>
        <v/>
      </c>
      <c r="AM71">
        <f>IF(H70&lt;=0,0,ROUND(H70*(1+IF(AND(H$6&gt;0,$B71&lt;H$6),H$4,H$5)/12),2))</f>
        <v/>
      </c>
      <c r="AN71">
        <f>IF(I70&lt;=0,0,ROUND(I70*(1+IF(AND(I$6&gt;0,$B71&lt;I$6),I$4,I$5)/12),2))</f>
        <v/>
      </c>
      <c r="AO71">
        <f>IF(J70&lt;=0,0,ROUND(J70*(1+IF(AND(J$6&gt;0,$B71&lt;J$6),J$4,J$5)/12),2))</f>
        <v/>
      </c>
      <c r="AP71">
        <f>IF(K70&lt;=0,0,ROUND(K70*(1+IF(AND(K$6&gt;0,$B71&lt;K$6),K$4,K$5)/12),2))</f>
        <v/>
      </c>
      <c r="AQ71">
        <f>IF(L70&lt;=0,0,ROUND(L70*(1+IF(AND(L$6&gt;0,$B71&lt;L$6),L$4,L$5)/12),2))</f>
        <v/>
      </c>
      <c r="AR71">
        <f>IF(M70&lt;=0,0,ROUND(M70*(1+IF(AND(M$6&gt;0,$B71&lt;M$6),M$4,M$5)/12),2))</f>
        <v/>
      </c>
      <c r="AS71">
        <f>IF(N70&lt;=0,0,ROUND(N70*(1+IF(AND(N$6&gt;0,$B71&lt;N$6),N$4,N$5)/12),2))</f>
        <v/>
      </c>
    </row>
    <row r="72">
      <c r="A72" t="n">
        <v>61</v>
      </c>
      <c r="B72">
        <f>EDATE(Plan!$C$6,60)</f>
        <v/>
      </c>
      <c r="C72">
        <f>IF(C71&lt;=0,0,MAX(0,AH72-O72))</f>
        <v/>
      </c>
      <c r="D72">
        <f>IF(D71&lt;=0,0,MAX(0,AI72-P72))</f>
        <v/>
      </c>
      <c r="E72">
        <f>IF(E71&lt;=0,0,MAX(0,AJ72-Q72))</f>
        <v/>
      </c>
      <c r="F72">
        <f>IF(F71&lt;=0,0,MAX(0,AK72-R72))</f>
        <v/>
      </c>
      <c r="G72">
        <f>IF(G71&lt;=0,0,MAX(0,AL72-S72))</f>
        <v/>
      </c>
      <c r="H72">
        <f>IF(H71&lt;=0,0,MAX(0,AM72-T72))</f>
        <v/>
      </c>
      <c r="I72">
        <f>IF(I71&lt;=0,0,MAX(0,AN72-U72))</f>
        <v/>
      </c>
      <c r="J72">
        <f>IF(J71&lt;=0,0,MAX(0,AO72-V72))</f>
        <v/>
      </c>
      <c r="K72">
        <f>IF(K71&lt;=0,0,MAX(0,AP72-W72))</f>
        <v/>
      </c>
      <c r="L72">
        <f>IF(L71&lt;=0,0,MAX(0,AQ72-X72))</f>
        <v/>
      </c>
      <c r="M72">
        <f>IF(M71&lt;=0,0,MAX(0,AR72-Y72))</f>
        <v/>
      </c>
      <c r="N72">
        <f>IF(N71&lt;=0,0,MAX(0,AS72-Z72))</f>
        <v/>
      </c>
      <c r="O72">
        <f>IF(C71&lt;=0,0,MIN(AH72,C$7+IF(C$2=$AA72,$AC72,IF(C$2=$AF72,$AG72,0))))</f>
        <v/>
      </c>
      <c r="P72">
        <f>IF(D71&lt;=0,0,MIN(AI72,D$7+IF(D$2=$AA72,$AC72,IF(D$2=$AF72,$AG72,0))))</f>
        <v/>
      </c>
      <c r="Q72">
        <f>IF(E71&lt;=0,0,MIN(AJ72,E$7+IF(E$2=$AA72,$AC72,IF(E$2=$AF72,$AG72,0))))</f>
        <v/>
      </c>
      <c r="R72">
        <f>IF(F71&lt;=0,0,MIN(AK72,F$7+IF(F$2=$AA72,$AC72,IF(F$2=$AF72,$AG72,0))))</f>
        <v/>
      </c>
      <c r="S72">
        <f>IF(G71&lt;=0,0,MIN(AL72,G$7+IF(G$2=$AA72,$AC72,IF(G$2=$AF72,$AG72,0))))</f>
        <v/>
      </c>
      <c r="T72">
        <f>IF(H71&lt;=0,0,MIN(AM72,H$7+IF(H$2=$AA72,$AC72,IF(H$2=$AF72,$AG72,0))))</f>
        <v/>
      </c>
      <c r="U72">
        <f>IF(I71&lt;=0,0,MIN(AN72,I$7+IF(I$2=$AA72,$AC72,IF(I$2=$AF72,$AG72,0))))</f>
        <v/>
      </c>
      <c r="V72">
        <f>IF(J71&lt;=0,0,MIN(AO72,J$7+IF(J$2=$AA72,$AC72,IF(J$2=$AF72,$AG72,0))))</f>
        <v/>
      </c>
      <c r="W72">
        <f>IF(K71&lt;=0,0,MIN(AP72,K$7+IF(K$2=$AA72,$AC72,IF(K$2=$AF72,$AG72,0))))</f>
        <v/>
      </c>
      <c r="X72">
        <f>IF(L71&lt;=0,0,MIN(AQ72,L$7+IF(L$2=$AA72,$AC72,IF(L$2=$AF72,$AG72,0))))</f>
        <v/>
      </c>
      <c r="Y72">
        <f>IF(M71&lt;=0,0,MIN(AR72,M$7+IF(M$2=$AA72,$AC72,IF(M$2=$AF72,$AG72,0))))</f>
        <v/>
      </c>
      <c r="Z72">
        <f>IF(N71&lt;=0,0,MIN(AS72,N$7+IF(N$2=$AA72,$AC72,IF(N$2=$AF72,$AG72,0))))</f>
        <v/>
      </c>
      <c r="AA72">
        <f>IFERROR(ROUND(1/SUMPRODUCT(MAX((C71:N71&gt;0)*($C$3:$N$3&lt;=B72)/$C$2:$N$2)),0),0)</f>
        <v/>
      </c>
      <c r="AB72">
        <f>SUMPRODUCT((C71:N71&gt;0)*$C$7:$N$7)</f>
        <v/>
      </c>
      <c r="AC72">
        <f>MAX(0,Plan!$C$5-AB72)+IF(A72=Plan!$C$8,N(Plan!$C$7),0)</f>
        <v/>
      </c>
      <c r="AD72">
        <f>SUM(C72:N72)</f>
        <v/>
      </c>
      <c r="AE72">
        <f>SUM(O72:Z72)</f>
        <v/>
      </c>
      <c r="AF72">
        <f>IFERROR(ROUND(1/SUMPRODUCT(MAX((C71:N71&gt;0)*($C$3:$N$3&lt;=B72)*($C$2:$N$2&gt;AA72)/$C$2:$N$2)),0),0)</f>
        <v/>
      </c>
      <c r="AG72">
        <f>MAX(0,AC72-MAX(0,SUMPRODUCT(($C$2:$N$2=AA72)*(AH72:AS72-$C$7:$N$7))))</f>
        <v/>
      </c>
      <c r="AH72">
        <f>IF(C71&lt;=0,0,ROUND(C71*(1+IF(AND(C$6&gt;0,$B72&lt;C$6),C$4,C$5)/12),2))</f>
        <v/>
      </c>
      <c r="AI72">
        <f>IF(D71&lt;=0,0,ROUND(D71*(1+IF(AND(D$6&gt;0,$B72&lt;D$6),D$4,D$5)/12),2))</f>
        <v/>
      </c>
      <c r="AJ72">
        <f>IF(E71&lt;=0,0,ROUND(E71*(1+IF(AND(E$6&gt;0,$B72&lt;E$6),E$4,E$5)/12),2))</f>
        <v/>
      </c>
      <c r="AK72">
        <f>IF(F71&lt;=0,0,ROUND(F71*(1+IF(AND(F$6&gt;0,$B72&lt;F$6),F$4,F$5)/12),2))</f>
        <v/>
      </c>
      <c r="AL72">
        <f>IF(G71&lt;=0,0,ROUND(G71*(1+IF(AND(G$6&gt;0,$B72&lt;G$6),G$4,G$5)/12),2))</f>
        <v/>
      </c>
      <c r="AM72">
        <f>IF(H71&lt;=0,0,ROUND(H71*(1+IF(AND(H$6&gt;0,$B72&lt;H$6),H$4,H$5)/12),2))</f>
        <v/>
      </c>
      <c r="AN72">
        <f>IF(I71&lt;=0,0,ROUND(I71*(1+IF(AND(I$6&gt;0,$B72&lt;I$6),I$4,I$5)/12),2))</f>
        <v/>
      </c>
      <c r="AO72">
        <f>IF(J71&lt;=0,0,ROUND(J71*(1+IF(AND(J$6&gt;0,$B72&lt;J$6),J$4,J$5)/12),2))</f>
        <v/>
      </c>
      <c r="AP72">
        <f>IF(K71&lt;=0,0,ROUND(K71*(1+IF(AND(K$6&gt;0,$B72&lt;K$6),K$4,K$5)/12),2))</f>
        <v/>
      </c>
      <c r="AQ72">
        <f>IF(L71&lt;=0,0,ROUND(L71*(1+IF(AND(L$6&gt;0,$B72&lt;L$6),L$4,L$5)/12),2))</f>
        <v/>
      </c>
      <c r="AR72">
        <f>IF(M71&lt;=0,0,ROUND(M71*(1+IF(AND(M$6&gt;0,$B72&lt;M$6),M$4,M$5)/12),2))</f>
        <v/>
      </c>
      <c r="AS72">
        <f>IF(N71&lt;=0,0,ROUND(N71*(1+IF(AND(N$6&gt;0,$B72&lt;N$6),N$4,N$5)/12),2))</f>
        <v/>
      </c>
    </row>
    <row r="73">
      <c r="A73" t="n">
        <v>62</v>
      </c>
      <c r="B73">
        <f>EDATE(Plan!$C$6,61)</f>
        <v/>
      </c>
      <c r="C73">
        <f>IF(C72&lt;=0,0,MAX(0,AH73-O73))</f>
        <v/>
      </c>
      <c r="D73">
        <f>IF(D72&lt;=0,0,MAX(0,AI73-P73))</f>
        <v/>
      </c>
      <c r="E73">
        <f>IF(E72&lt;=0,0,MAX(0,AJ73-Q73))</f>
        <v/>
      </c>
      <c r="F73">
        <f>IF(F72&lt;=0,0,MAX(0,AK73-R73))</f>
        <v/>
      </c>
      <c r="G73">
        <f>IF(G72&lt;=0,0,MAX(0,AL73-S73))</f>
        <v/>
      </c>
      <c r="H73">
        <f>IF(H72&lt;=0,0,MAX(0,AM73-T73))</f>
        <v/>
      </c>
      <c r="I73">
        <f>IF(I72&lt;=0,0,MAX(0,AN73-U73))</f>
        <v/>
      </c>
      <c r="J73">
        <f>IF(J72&lt;=0,0,MAX(0,AO73-V73))</f>
        <v/>
      </c>
      <c r="K73">
        <f>IF(K72&lt;=0,0,MAX(0,AP73-W73))</f>
        <v/>
      </c>
      <c r="L73">
        <f>IF(L72&lt;=0,0,MAX(0,AQ73-X73))</f>
        <v/>
      </c>
      <c r="M73">
        <f>IF(M72&lt;=0,0,MAX(0,AR73-Y73))</f>
        <v/>
      </c>
      <c r="N73">
        <f>IF(N72&lt;=0,0,MAX(0,AS73-Z73))</f>
        <v/>
      </c>
      <c r="O73">
        <f>IF(C72&lt;=0,0,MIN(AH73,C$7+IF(C$2=$AA73,$AC73,IF(C$2=$AF73,$AG73,0))))</f>
        <v/>
      </c>
      <c r="P73">
        <f>IF(D72&lt;=0,0,MIN(AI73,D$7+IF(D$2=$AA73,$AC73,IF(D$2=$AF73,$AG73,0))))</f>
        <v/>
      </c>
      <c r="Q73">
        <f>IF(E72&lt;=0,0,MIN(AJ73,E$7+IF(E$2=$AA73,$AC73,IF(E$2=$AF73,$AG73,0))))</f>
        <v/>
      </c>
      <c r="R73">
        <f>IF(F72&lt;=0,0,MIN(AK73,F$7+IF(F$2=$AA73,$AC73,IF(F$2=$AF73,$AG73,0))))</f>
        <v/>
      </c>
      <c r="S73">
        <f>IF(G72&lt;=0,0,MIN(AL73,G$7+IF(G$2=$AA73,$AC73,IF(G$2=$AF73,$AG73,0))))</f>
        <v/>
      </c>
      <c r="T73">
        <f>IF(H72&lt;=0,0,MIN(AM73,H$7+IF(H$2=$AA73,$AC73,IF(H$2=$AF73,$AG73,0))))</f>
        <v/>
      </c>
      <c r="U73">
        <f>IF(I72&lt;=0,0,MIN(AN73,I$7+IF(I$2=$AA73,$AC73,IF(I$2=$AF73,$AG73,0))))</f>
        <v/>
      </c>
      <c r="V73">
        <f>IF(J72&lt;=0,0,MIN(AO73,J$7+IF(J$2=$AA73,$AC73,IF(J$2=$AF73,$AG73,0))))</f>
        <v/>
      </c>
      <c r="W73">
        <f>IF(K72&lt;=0,0,MIN(AP73,K$7+IF(K$2=$AA73,$AC73,IF(K$2=$AF73,$AG73,0))))</f>
        <v/>
      </c>
      <c r="X73">
        <f>IF(L72&lt;=0,0,MIN(AQ73,L$7+IF(L$2=$AA73,$AC73,IF(L$2=$AF73,$AG73,0))))</f>
        <v/>
      </c>
      <c r="Y73">
        <f>IF(M72&lt;=0,0,MIN(AR73,M$7+IF(M$2=$AA73,$AC73,IF(M$2=$AF73,$AG73,0))))</f>
        <v/>
      </c>
      <c r="Z73">
        <f>IF(N72&lt;=0,0,MIN(AS73,N$7+IF(N$2=$AA73,$AC73,IF(N$2=$AF73,$AG73,0))))</f>
        <v/>
      </c>
      <c r="AA73">
        <f>IFERROR(ROUND(1/SUMPRODUCT(MAX((C72:N72&gt;0)*($C$3:$N$3&lt;=B73)/$C$2:$N$2)),0),0)</f>
        <v/>
      </c>
      <c r="AB73">
        <f>SUMPRODUCT((C72:N72&gt;0)*$C$7:$N$7)</f>
        <v/>
      </c>
      <c r="AC73">
        <f>MAX(0,Plan!$C$5-AB73)+IF(A73=Plan!$C$8,N(Plan!$C$7),0)</f>
        <v/>
      </c>
      <c r="AD73">
        <f>SUM(C73:N73)</f>
        <v/>
      </c>
      <c r="AE73">
        <f>SUM(O73:Z73)</f>
        <v/>
      </c>
      <c r="AF73">
        <f>IFERROR(ROUND(1/SUMPRODUCT(MAX((C72:N72&gt;0)*($C$3:$N$3&lt;=B73)*($C$2:$N$2&gt;AA73)/$C$2:$N$2)),0),0)</f>
        <v/>
      </c>
      <c r="AG73">
        <f>MAX(0,AC73-MAX(0,SUMPRODUCT(($C$2:$N$2=AA73)*(AH73:AS73-$C$7:$N$7))))</f>
        <v/>
      </c>
      <c r="AH73">
        <f>IF(C72&lt;=0,0,ROUND(C72*(1+IF(AND(C$6&gt;0,$B73&lt;C$6),C$4,C$5)/12),2))</f>
        <v/>
      </c>
      <c r="AI73">
        <f>IF(D72&lt;=0,0,ROUND(D72*(1+IF(AND(D$6&gt;0,$B73&lt;D$6),D$4,D$5)/12),2))</f>
        <v/>
      </c>
      <c r="AJ73">
        <f>IF(E72&lt;=0,0,ROUND(E72*(1+IF(AND(E$6&gt;0,$B73&lt;E$6),E$4,E$5)/12),2))</f>
        <v/>
      </c>
      <c r="AK73">
        <f>IF(F72&lt;=0,0,ROUND(F72*(1+IF(AND(F$6&gt;0,$B73&lt;F$6),F$4,F$5)/12),2))</f>
        <v/>
      </c>
      <c r="AL73">
        <f>IF(G72&lt;=0,0,ROUND(G72*(1+IF(AND(G$6&gt;0,$B73&lt;G$6),G$4,G$5)/12),2))</f>
        <v/>
      </c>
      <c r="AM73">
        <f>IF(H72&lt;=0,0,ROUND(H72*(1+IF(AND(H$6&gt;0,$B73&lt;H$6),H$4,H$5)/12),2))</f>
        <v/>
      </c>
      <c r="AN73">
        <f>IF(I72&lt;=0,0,ROUND(I72*(1+IF(AND(I$6&gt;0,$B73&lt;I$6),I$4,I$5)/12),2))</f>
        <v/>
      </c>
      <c r="AO73">
        <f>IF(J72&lt;=0,0,ROUND(J72*(1+IF(AND(J$6&gt;0,$B73&lt;J$6),J$4,J$5)/12),2))</f>
        <v/>
      </c>
      <c r="AP73">
        <f>IF(K72&lt;=0,0,ROUND(K72*(1+IF(AND(K$6&gt;0,$B73&lt;K$6),K$4,K$5)/12),2))</f>
        <v/>
      </c>
      <c r="AQ73">
        <f>IF(L72&lt;=0,0,ROUND(L72*(1+IF(AND(L$6&gt;0,$B73&lt;L$6),L$4,L$5)/12),2))</f>
        <v/>
      </c>
      <c r="AR73">
        <f>IF(M72&lt;=0,0,ROUND(M72*(1+IF(AND(M$6&gt;0,$B73&lt;M$6),M$4,M$5)/12),2))</f>
        <v/>
      </c>
      <c r="AS73">
        <f>IF(N72&lt;=0,0,ROUND(N72*(1+IF(AND(N$6&gt;0,$B73&lt;N$6),N$4,N$5)/12),2))</f>
        <v/>
      </c>
    </row>
    <row r="74">
      <c r="A74" t="n">
        <v>63</v>
      </c>
      <c r="B74">
        <f>EDATE(Plan!$C$6,62)</f>
        <v/>
      </c>
      <c r="C74">
        <f>IF(C73&lt;=0,0,MAX(0,AH74-O74))</f>
        <v/>
      </c>
      <c r="D74">
        <f>IF(D73&lt;=0,0,MAX(0,AI74-P74))</f>
        <v/>
      </c>
      <c r="E74">
        <f>IF(E73&lt;=0,0,MAX(0,AJ74-Q74))</f>
        <v/>
      </c>
      <c r="F74">
        <f>IF(F73&lt;=0,0,MAX(0,AK74-R74))</f>
        <v/>
      </c>
      <c r="G74">
        <f>IF(G73&lt;=0,0,MAX(0,AL74-S74))</f>
        <v/>
      </c>
      <c r="H74">
        <f>IF(H73&lt;=0,0,MAX(0,AM74-T74))</f>
        <v/>
      </c>
      <c r="I74">
        <f>IF(I73&lt;=0,0,MAX(0,AN74-U74))</f>
        <v/>
      </c>
      <c r="J74">
        <f>IF(J73&lt;=0,0,MAX(0,AO74-V74))</f>
        <v/>
      </c>
      <c r="K74">
        <f>IF(K73&lt;=0,0,MAX(0,AP74-W74))</f>
        <v/>
      </c>
      <c r="L74">
        <f>IF(L73&lt;=0,0,MAX(0,AQ74-X74))</f>
        <v/>
      </c>
      <c r="M74">
        <f>IF(M73&lt;=0,0,MAX(0,AR74-Y74))</f>
        <v/>
      </c>
      <c r="N74">
        <f>IF(N73&lt;=0,0,MAX(0,AS74-Z74))</f>
        <v/>
      </c>
      <c r="O74">
        <f>IF(C73&lt;=0,0,MIN(AH74,C$7+IF(C$2=$AA74,$AC74,IF(C$2=$AF74,$AG74,0))))</f>
        <v/>
      </c>
      <c r="P74">
        <f>IF(D73&lt;=0,0,MIN(AI74,D$7+IF(D$2=$AA74,$AC74,IF(D$2=$AF74,$AG74,0))))</f>
        <v/>
      </c>
      <c r="Q74">
        <f>IF(E73&lt;=0,0,MIN(AJ74,E$7+IF(E$2=$AA74,$AC74,IF(E$2=$AF74,$AG74,0))))</f>
        <v/>
      </c>
      <c r="R74">
        <f>IF(F73&lt;=0,0,MIN(AK74,F$7+IF(F$2=$AA74,$AC74,IF(F$2=$AF74,$AG74,0))))</f>
        <v/>
      </c>
      <c r="S74">
        <f>IF(G73&lt;=0,0,MIN(AL74,G$7+IF(G$2=$AA74,$AC74,IF(G$2=$AF74,$AG74,0))))</f>
        <v/>
      </c>
      <c r="T74">
        <f>IF(H73&lt;=0,0,MIN(AM74,H$7+IF(H$2=$AA74,$AC74,IF(H$2=$AF74,$AG74,0))))</f>
        <v/>
      </c>
      <c r="U74">
        <f>IF(I73&lt;=0,0,MIN(AN74,I$7+IF(I$2=$AA74,$AC74,IF(I$2=$AF74,$AG74,0))))</f>
        <v/>
      </c>
      <c r="V74">
        <f>IF(J73&lt;=0,0,MIN(AO74,J$7+IF(J$2=$AA74,$AC74,IF(J$2=$AF74,$AG74,0))))</f>
        <v/>
      </c>
      <c r="W74">
        <f>IF(K73&lt;=0,0,MIN(AP74,K$7+IF(K$2=$AA74,$AC74,IF(K$2=$AF74,$AG74,0))))</f>
        <v/>
      </c>
      <c r="X74">
        <f>IF(L73&lt;=0,0,MIN(AQ74,L$7+IF(L$2=$AA74,$AC74,IF(L$2=$AF74,$AG74,0))))</f>
        <v/>
      </c>
      <c r="Y74">
        <f>IF(M73&lt;=0,0,MIN(AR74,M$7+IF(M$2=$AA74,$AC74,IF(M$2=$AF74,$AG74,0))))</f>
        <v/>
      </c>
      <c r="Z74">
        <f>IF(N73&lt;=0,0,MIN(AS74,N$7+IF(N$2=$AA74,$AC74,IF(N$2=$AF74,$AG74,0))))</f>
        <v/>
      </c>
      <c r="AA74">
        <f>IFERROR(ROUND(1/SUMPRODUCT(MAX((C73:N73&gt;0)*($C$3:$N$3&lt;=B74)/$C$2:$N$2)),0),0)</f>
        <v/>
      </c>
      <c r="AB74">
        <f>SUMPRODUCT((C73:N73&gt;0)*$C$7:$N$7)</f>
        <v/>
      </c>
      <c r="AC74">
        <f>MAX(0,Plan!$C$5-AB74)+IF(A74=Plan!$C$8,N(Plan!$C$7),0)</f>
        <v/>
      </c>
      <c r="AD74">
        <f>SUM(C74:N74)</f>
        <v/>
      </c>
      <c r="AE74">
        <f>SUM(O74:Z74)</f>
        <v/>
      </c>
      <c r="AF74">
        <f>IFERROR(ROUND(1/SUMPRODUCT(MAX((C73:N73&gt;0)*($C$3:$N$3&lt;=B74)*($C$2:$N$2&gt;AA74)/$C$2:$N$2)),0),0)</f>
        <v/>
      </c>
      <c r="AG74">
        <f>MAX(0,AC74-MAX(0,SUMPRODUCT(($C$2:$N$2=AA74)*(AH74:AS74-$C$7:$N$7))))</f>
        <v/>
      </c>
      <c r="AH74">
        <f>IF(C73&lt;=0,0,ROUND(C73*(1+IF(AND(C$6&gt;0,$B74&lt;C$6),C$4,C$5)/12),2))</f>
        <v/>
      </c>
      <c r="AI74">
        <f>IF(D73&lt;=0,0,ROUND(D73*(1+IF(AND(D$6&gt;0,$B74&lt;D$6),D$4,D$5)/12),2))</f>
        <v/>
      </c>
      <c r="AJ74">
        <f>IF(E73&lt;=0,0,ROUND(E73*(1+IF(AND(E$6&gt;0,$B74&lt;E$6),E$4,E$5)/12),2))</f>
        <v/>
      </c>
      <c r="AK74">
        <f>IF(F73&lt;=0,0,ROUND(F73*(1+IF(AND(F$6&gt;0,$B74&lt;F$6),F$4,F$5)/12),2))</f>
        <v/>
      </c>
      <c r="AL74">
        <f>IF(G73&lt;=0,0,ROUND(G73*(1+IF(AND(G$6&gt;0,$B74&lt;G$6),G$4,G$5)/12),2))</f>
        <v/>
      </c>
      <c r="AM74">
        <f>IF(H73&lt;=0,0,ROUND(H73*(1+IF(AND(H$6&gt;0,$B74&lt;H$6),H$4,H$5)/12),2))</f>
        <v/>
      </c>
      <c r="AN74">
        <f>IF(I73&lt;=0,0,ROUND(I73*(1+IF(AND(I$6&gt;0,$B74&lt;I$6),I$4,I$5)/12),2))</f>
        <v/>
      </c>
      <c r="AO74">
        <f>IF(J73&lt;=0,0,ROUND(J73*(1+IF(AND(J$6&gt;0,$B74&lt;J$6),J$4,J$5)/12),2))</f>
        <v/>
      </c>
      <c r="AP74">
        <f>IF(K73&lt;=0,0,ROUND(K73*(1+IF(AND(K$6&gt;0,$B74&lt;K$6),K$4,K$5)/12),2))</f>
        <v/>
      </c>
      <c r="AQ74">
        <f>IF(L73&lt;=0,0,ROUND(L73*(1+IF(AND(L$6&gt;0,$B74&lt;L$6),L$4,L$5)/12),2))</f>
        <v/>
      </c>
      <c r="AR74">
        <f>IF(M73&lt;=0,0,ROUND(M73*(1+IF(AND(M$6&gt;0,$B74&lt;M$6),M$4,M$5)/12),2))</f>
        <v/>
      </c>
      <c r="AS74">
        <f>IF(N73&lt;=0,0,ROUND(N73*(1+IF(AND(N$6&gt;0,$B74&lt;N$6),N$4,N$5)/12),2))</f>
        <v/>
      </c>
    </row>
    <row r="75">
      <c r="A75" t="n">
        <v>64</v>
      </c>
      <c r="B75">
        <f>EDATE(Plan!$C$6,63)</f>
        <v/>
      </c>
      <c r="C75">
        <f>IF(C74&lt;=0,0,MAX(0,AH75-O75))</f>
        <v/>
      </c>
      <c r="D75">
        <f>IF(D74&lt;=0,0,MAX(0,AI75-P75))</f>
        <v/>
      </c>
      <c r="E75">
        <f>IF(E74&lt;=0,0,MAX(0,AJ75-Q75))</f>
        <v/>
      </c>
      <c r="F75">
        <f>IF(F74&lt;=0,0,MAX(0,AK75-R75))</f>
        <v/>
      </c>
      <c r="G75">
        <f>IF(G74&lt;=0,0,MAX(0,AL75-S75))</f>
        <v/>
      </c>
      <c r="H75">
        <f>IF(H74&lt;=0,0,MAX(0,AM75-T75))</f>
        <v/>
      </c>
      <c r="I75">
        <f>IF(I74&lt;=0,0,MAX(0,AN75-U75))</f>
        <v/>
      </c>
      <c r="J75">
        <f>IF(J74&lt;=0,0,MAX(0,AO75-V75))</f>
        <v/>
      </c>
      <c r="K75">
        <f>IF(K74&lt;=0,0,MAX(0,AP75-W75))</f>
        <v/>
      </c>
      <c r="L75">
        <f>IF(L74&lt;=0,0,MAX(0,AQ75-X75))</f>
        <v/>
      </c>
      <c r="M75">
        <f>IF(M74&lt;=0,0,MAX(0,AR75-Y75))</f>
        <v/>
      </c>
      <c r="N75">
        <f>IF(N74&lt;=0,0,MAX(0,AS75-Z75))</f>
        <v/>
      </c>
      <c r="O75">
        <f>IF(C74&lt;=0,0,MIN(AH75,C$7+IF(C$2=$AA75,$AC75,IF(C$2=$AF75,$AG75,0))))</f>
        <v/>
      </c>
      <c r="P75">
        <f>IF(D74&lt;=0,0,MIN(AI75,D$7+IF(D$2=$AA75,$AC75,IF(D$2=$AF75,$AG75,0))))</f>
        <v/>
      </c>
      <c r="Q75">
        <f>IF(E74&lt;=0,0,MIN(AJ75,E$7+IF(E$2=$AA75,$AC75,IF(E$2=$AF75,$AG75,0))))</f>
        <v/>
      </c>
      <c r="R75">
        <f>IF(F74&lt;=0,0,MIN(AK75,F$7+IF(F$2=$AA75,$AC75,IF(F$2=$AF75,$AG75,0))))</f>
        <v/>
      </c>
      <c r="S75">
        <f>IF(G74&lt;=0,0,MIN(AL75,G$7+IF(G$2=$AA75,$AC75,IF(G$2=$AF75,$AG75,0))))</f>
        <v/>
      </c>
      <c r="T75">
        <f>IF(H74&lt;=0,0,MIN(AM75,H$7+IF(H$2=$AA75,$AC75,IF(H$2=$AF75,$AG75,0))))</f>
        <v/>
      </c>
      <c r="U75">
        <f>IF(I74&lt;=0,0,MIN(AN75,I$7+IF(I$2=$AA75,$AC75,IF(I$2=$AF75,$AG75,0))))</f>
        <v/>
      </c>
      <c r="V75">
        <f>IF(J74&lt;=0,0,MIN(AO75,J$7+IF(J$2=$AA75,$AC75,IF(J$2=$AF75,$AG75,0))))</f>
        <v/>
      </c>
      <c r="W75">
        <f>IF(K74&lt;=0,0,MIN(AP75,K$7+IF(K$2=$AA75,$AC75,IF(K$2=$AF75,$AG75,0))))</f>
        <v/>
      </c>
      <c r="X75">
        <f>IF(L74&lt;=0,0,MIN(AQ75,L$7+IF(L$2=$AA75,$AC75,IF(L$2=$AF75,$AG75,0))))</f>
        <v/>
      </c>
      <c r="Y75">
        <f>IF(M74&lt;=0,0,MIN(AR75,M$7+IF(M$2=$AA75,$AC75,IF(M$2=$AF75,$AG75,0))))</f>
        <v/>
      </c>
      <c r="Z75">
        <f>IF(N74&lt;=0,0,MIN(AS75,N$7+IF(N$2=$AA75,$AC75,IF(N$2=$AF75,$AG75,0))))</f>
        <v/>
      </c>
      <c r="AA75">
        <f>IFERROR(ROUND(1/SUMPRODUCT(MAX((C74:N74&gt;0)*($C$3:$N$3&lt;=B75)/$C$2:$N$2)),0),0)</f>
        <v/>
      </c>
      <c r="AB75">
        <f>SUMPRODUCT((C74:N74&gt;0)*$C$7:$N$7)</f>
        <v/>
      </c>
      <c r="AC75">
        <f>MAX(0,Plan!$C$5-AB75)+IF(A75=Plan!$C$8,N(Plan!$C$7),0)</f>
        <v/>
      </c>
      <c r="AD75">
        <f>SUM(C75:N75)</f>
        <v/>
      </c>
      <c r="AE75">
        <f>SUM(O75:Z75)</f>
        <v/>
      </c>
      <c r="AF75">
        <f>IFERROR(ROUND(1/SUMPRODUCT(MAX((C74:N74&gt;0)*($C$3:$N$3&lt;=B75)*($C$2:$N$2&gt;AA75)/$C$2:$N$2)),0),0)</f>
        <v/>
      </c>
      <c r="AG75">
        <f>MAX(0,AC75-MAX(0,SUMPRODUCT(($C$2:$N$2=AA75)*(AH75:AS75-$C$7:$N$7))))</f>
        <v/>
      </c>
      <c r="AH75">
        <f>IF(C74&lt;=0,0,ROUND(C74*(1+IF(AND(C$6&gt;0,$B75&lt;C$6),C$4,C$5)/12),2))</f>
        <v/>
      </c>
      <c r="AI75">
        <f>IF(D74&lt;=0,0,ROUND(D74*(1+IF(AND(D$6&gt;0,$B75&lt;D$6),D$4,D$5)/12),2))</f>
        <v/>
      </c>
      <c r="AJ75">
        <f>IF(E74&lt;=0,0,ROUND(E74*(1+IF(AND(E$6&gt;0,$B75&lt;E$6),E$4,E$5)/12),2))</f>
        <v/>
      </c>
      <c r="AK75">
        <f>IF(F74&lt;=0,0,ROUND(F74*(1+IF(AND(F$6&gt;0,$B75&lt;F$6),F$4,F$5)/12),2))</f>
        <v/>
      </c>
      <c r="AL75">
        <f>IF(G74&lt;=0,0,ROUND(G74*(1+IF(AND(G$6&gt;0,$B75&lt;G$6),G$4,G$5)/12),2))</f>
        <v/>
      </c>
      <c r="AM75">
        <f>IF(H74&lt;=0,0,ROUND(H74*(1+IF(AND(H$6&gt;0,$B75&lt;H$6),H$4,H$5)/12),2))</f>
        <v/>
      </c>
      <c r="AN75">
        <f>IF(I74&lt;=0,0,ROUND(I74*(1+IF(AND(I$6&gt;0,$B75&lt;I$6),I$4,I$5)/12),2))</f>
        <v/>
      </c>
      <c r="AO75">
        <f>IF(J74&lt;=0,0,ROUND(J74*(1+IF(AND(J$6&gt;0,$B75&lt;J$6),J$4,J$5)/12),2))</f>
        <v/>
      </c>
      <c r="AP75">
        <f>IF(K74&lt;=0,0,ROUND(K74*(1+IF(AND(K$6&gt;0,$B75&lt;K$6),K$4,K$5)/12),2))</f>
        <v/>
      </c>
      <c r="AQ75">
        <f>IF(L74&lt;=0,0,ROUND(L74*(1+IF(AND(L$6&gt;0,$B75&lt;L$6),L$4,L$5)/12),2))</f>
        <v/>
      </c>
      <c r="AR75">
        <f>IF(M74&lt;=0,0,ROUND(M74*(1+IF(AND(M$6&gt;0,$B75&lt;M$6),M$4,M$5)/12),2))</f>
        <v/>
      </c>
      <c r="AS75">
        <f>IF(N74&lt;=0,0,ROUND(N74*(1+IF(AND(N$6&gt;0,$B75&lt;N$6),N$4,N$5)/12),2))</f>
        <v/>
      </c>
    </row>
    <row r="76">
      <c r="A76" t="n">
        <v>65</v>
      </c>
      <c r="B76">
        <f>EDATE(Plan!$C$6,64)</f>
        <v/>
      </c>
      <c r="C76">
        <f>IF(C75&lt;=0,0,MAX(0,AH76-O76))</f>
        <v/>
      </c>
      <c r="D76">
        <f>IF(D75&lt;=0,0,MAX(0,AI76-P76))</f>
        <v/>
      </c>
      <c r="E76">
        <f>IF(E75&lt;=0,0,MAX(0,AJ76-Q76))</f>
        <v/>
      </c>
      <c r="F76">
        <f>IF(F75&lt;=0,0,MAX(0,AK76-R76))</f>
        <v/>
      </c>
      <c r="G76">
        <f>IF(G75&lt;=0,0,MAX(0,AL76-S76))</f>
        <v/>
      </c>
      <c r="H76">
        <f>IF(H75&lt;=0,0,MAX(0,AM76-T76))</f>
        <v/>
      </c>
      <c r="I76">
        <f>IF(I75&lt;=0,0,MAX(0,AN76-U76))</f>
        <v/>
      </c>
      <c r="J76">
        <f>IF(J75&lt;=0,0,MAX(0,AO76-V76))</f>
        <v/>
      </c>
      <c r="K76">
        <f>IF(K75&lt;=0,0,MAX(0,AP76-W76))</f>
        <v/>
      </c>
      <c r="L76">
        <f>IF(L75&lt;=0,0,MAX(0,AQ76-X76))</f>
        <v/>
      </c>
      <c r="M76">
        <f>IF(M75&lt;=0,0,MAX(0,AR76-Y76))</f>
        <v/>
      </c>
      <c r="N76">
        <f>IF(N75&lt;=0,0,MAX(0,AS76-Z76))</f>
        <v/>
      </c>
      <c r="O76">
        <f>IF(C75&lt;=0,0,MIN(AH76,C$7+IF(C$2=$AA76,$AC76,IF(C$2=$AF76,$AG76,0))))</f>
        <v/>
      </c>
      <c r="P76">
        <f>IF(D75&lt;=0,0,MIN(AI76,D$7+IF(D$2=$AA76,$AC76,IF(D$2=$AF76,$AG76,0))))</f>
        <v/>
      </c>
      <c r="Q76">
        <f>IF(E75&lt;=0,0,MIN(AJ76,E$7+IF(E$2=$AA76,$AC76,IF(E$2=$AF76,$AG76,0))))</f>
        <v/>
      </c>
      <c r="R76">
        <f>IF(F75&lt;=0,0,MIN(AK76,F$7+IF(F$2=$AA76,$AC76,IF(F$2=$AF76,$AG76,0))))</f>
        <v/>
      </c>
      <c r="S76">
        <f>IF(G75&lt;=0,0,MIN(AL76,G$7+IF(G$2=$AA76,$AC76,IF(G$2=$AF76,$AG76,0))))</f>
        <v/>
      </c>
      <c r="T76">
        <f>IF(H75&lt;=0,0,MIN(AM76,H$7+IF(H$2=$AA76,$AC76,IF(H$2=$AF76,$AG76,0))))</f>
        <v/>
      </c>
      <c r="U76">
        <f>IF(I75&lt;=0,0,MIN(AN76,I$7+IF(I$2=$AA76,$AC76,IF(I$2=$AF76,$AG76,0))))</f>
        <v/>
      </c>
      <c r="V76">
        <f>IF(J75&lt;=0,0,MIN(AO76,J$7+IF(J$2=$AA76,$AC76,IF(J$2=$AF76,$AG76,0))))</f>
        <v/>
      </c>
      <c r="W76">
        <f>IF(K75&lt;=0,0,MIN(AP76,K$7+IF(K$2=$AA76,$AC76,IF(K$2=$AF76,$AG76,0))))</f>
        <v/>
      </c>
      <c r="X76">
        <f>IF(L75&lt;=0,0,MIN(AQ76,L$7+IF(L$2=$AA76,$AC76,IF(L$2=$AF76,$AG76,0))))</f>
        <v/>
      </c>
      <c r="Y76">
        <f>IF(M75&lt;=0,0,MIN(AR76,M$7+IF(M$2=$AA76,$AC76,IF(M$2=$AF76,$AG76,0))))</f>
        <v/>
      </c>
      <c r="Z76">
        <f>IF(N75&lt;=0,0,MIN(AS76,N$7+IF(N$2=$AA76,$AC76,IF(N$2=$AF76,$AG76,0))))</f>
        <v/>
      </c>
      <c r="AA76">
        <f>IFERROR(ROUND(1/SUMPRODUCT(MAX((C75:N75&gt;0)*($C$3:$N$3&lt;=B76)/$C$2:$N$2)),0),0)</f>
        <v/>
      </c>
      <c r="AB76">
        <f>SUMPRODUCT((C75:N75&gt;0)*$C$7:$N$7)</f>
        <v/>
      </c>
      <c r="AC76">
        <f>MAX(0,Plan!$C$5-AB76)+IF(A76=Plan!$C$8,N(Plan!$C$7),0)</f>
        <v/>
      </c>
      <c r="AD76">
        <f>SUM(C76:N76)</f>
        <v/>
      </c>
      <c r="AE76">
        <f>SUM(O76:Z76)</f>
        <v/>
      </c>
      <c r="AF76">
        <f>IFERROR(ROUND(1/SUMPRODUCT(MAX((C75:N75&gt;0)*($C$3:$N$3&lt;=B76)*($C$2:$N$2&gt;AA76)/$C$2:$N$2)),0),0)</f>
        <v/>
      </c>
      <c r="AG76">
        <f>MAX(0,AC76-MAX(0,SUMPRODUCT(($C$2:$N$2=AA76)*(AH76:AS76-$C$7:$N$7))))</f>
        <v/>
      </c>
      <c r="AH76">
        <f>IF(C75&lt;=0,0,ROUND(C75*(1+IF(AND(C$6&gt;0,$B76&lt;C$6),C$4,C$5)/12),2))</f>
        <v/>
      </c>
      <c r="AI76">
        <f>IF(D75&lt;=0,0,ROUND(D75*(1+IF(AND(D$6&gt;0,$B76&lt;D$6),D$4,D$5)/12),2))</f>
        <v/>
      </c>
      <c r="AJ76">
        <f>IF(E75&lt;=0,0,ROUND(E75*(1+IF(AND(E$6&gt;0,$B76&lt;E$6),E$4,E$5)/12),2))</f>
        <v/>
      </c>
      <c r="AK76">
        <f>IF(F75&lt;=0,0,ROUND(F75*(1+IF(AND(F$6&gt;0,$B76&lt;F$6),F$4,F$5)/12),2))</f>
        <v/>
      </c>
      <c r="AL76">
        <f>IF(G75&lt;=0,0,ROUND(G75*(1+IF(AND(G$6&gt;0,$B76&lt;G$6),G$4,G$5)/12),2))</f>
        <v/>
      </c>
      <c r="AM76">
        <f>IF(H75&lt;=0,0,ROUND(H75*(1+IF(AND(H$6&gt;0,$B76&lt;H$6),H$4,H$5)/12),2))</f>
        <v/>
      </c>
      <c r="AN76">
        <f>IF(I75&lt;=0,0,ROUND(I75*(1+IF(AND(I$6&gt;0,$B76&lt;I$6),I$4,I$5)/12),2))</f>
        <v/>
      </c>
      <c r="AO76">
        <f>IF(J75&lt;=0,0,ROUND(J75*(1+IF(AND(J$6&gt;0,$B76&lt;J$6),J$4,J$5)/12),2))</f>
        <v/>
      </c>
      <c r="AP76">
        <f>IF(K75&lt;=0,0,ROUND(K75*(1+IF(AND(K$6&gt;0,$B76&lt;K$6),K$4,K$5)/12),2))</f>
        <v/>
      </c>
      <c r="AQ76">
        <f>IF(L75&lt;=0,0,ROUND(L75*(1+IF(AND(L$6&gt;0,$B76&lt;L$6),L$4,L$5)/12),2))</f>
        <v/>
      </c>
      <c r="AR76">
        <f>IF(M75&lt;=0,0,ROUND(M75*(1+IF(AND(M$6&gt;0,$B76&lt;M$6),M$4,M$5)/12),2))</f>
        <v/>
      </c>
      <c r="AS76">
        <f>IF(N75&lt;=0,0,ROUND(N75*(1+IF(AND(N$6&gt;0,$B76&lt;N$6),N$4,N$5)/12),2))</f>
        <v/>
      </c>
    </row>
    <row r="77">
      <c r="A77" t="n">
        <v>66</v>
      </c>
      <c r="B77">
        <f>EDATE(Plan!$C$6,65)</f>
        <v/>
      </c>
      <c r="C77">
        <f>IF(C76&lt;=0,0,MAX(0,AH77-O77))</f>
        <v/>
      </c>
      <c r="D77">
        <f>IF(D76&lt;=0,0,MAX(0,AI77-P77))</f>
        <v/>
      </c>
      <c r="E77">
        <f>IF(E76&lt;=0,0,MAX(0,AJ77-Q77))</f>
        <v/>
      </c>
      <c r="F77">
        <f>IF(F76&lt;=0,0,MAX(0,AK77-R77))</f>
        <v/>
      </c>
      <c r="G77">
        <f>IF(G76&lt;=0,0,MAX(0,AL77-S77))</f>
        <v/>
      </c>
      <c r="H77">
        <f>IF(H76&lt;=0,0,MAX(0,AM77-T77))</f>
        <v/>
      </c>
      <c r="I77">
        <f>IF(I76&lt;=0,0,MAX(0,AN77-U77))</f>
        <v/>
      </c>
      <c r="J77">
        <f>IF(J76&lt;=0,0,MAX(0,AO77-V77))</f>
        <v/>
      </c>
      <c r="K77">
        <f>IF(K76&lt;=0,0,MAX(0,AP77-W77))</f>
        <v/>
      </c>
      <c r="L77">
        <f>IF(L76&lt;=0,0,MAX(0,AQ77-X77))</f>
        <v/>
      </c>
      <c r="M77">
        <f>IF(M76&lt;=0,0,MAX(0,AR77-Y77))</f>
        <v/>
      </c>
      <c r="N77">
        <f>IF(N76&lt;=0,0,MAX(0,AS77-Z77))</f>
        <v/>
      </c>
      <c r="O77">
        <f>IF(C76&lt;=0,0,MIN(AH77,C$7+IF(C$2=$AA77,$AC77,IF(C$2=$AF77,$AG77,0))))</f>
        <v/>
      </c>
      <c r="P77">
        <f>IF(D76&lt;=0,0,MIN(AI77,D$7+IF(D$2=$AA77,$AC77,IF(D$2=$AF77,$AG77,0))))</f>
        <v/>
      </c>
      <c r="Q77">
        <f>IF(E76&lt;=0,0,MIN(AJ77,E$7+IF(E$2=$AA77,$AC77,IF(E$2=$AF77,$AG77,0))))</f>
        <v/>
      </c>
      <c r="R77">
        <f>IF(F76&lt;=0,0,MIN(AK77,F$7+IF(F$2=$AA77,$AC77,IF(F$2=$AF77,$AG77,0))))</f>
        <v/>
      </c>
      <c r="S77">
        <f>IF(G76&lt;=0,0,MIN(AL77,G$7+IF(G$2=$AA77,$AC77,IF(G$2=$AF77,$AG77,0))))</f>
        <v/>
      </c>
      <c r="T77">
        <f>IF(H76&lt;=0,0,MIN(AM77,H$7+IF(H$2=$AA77,$AC77,IF(H$2=$AF77,$AG77,0))))</f>
        <v/>
      </c>
      <c r="U77">
        <f>IF(I76&lt;=0,0,MIN(AN77,I$7+IF(I$2=$AA77,$AC77,IF(I$2=$AF77,$AG77,0))))</f>
        <v/>
      </c>
      <c r="V77">
        <f>IF(J76&lt;=0,0,MIN(AO77,J$7+IF(J$2=$AA77,$AC77,IF(J$2=$AF77,$AG77,0))))</f>
        <v/>
      </c>
      <c r="W77">
        <f>IF(K76&lt;=0,0,MIN(AP77,K$7+IF(K$2=$AA77,$AC77,IF(K$2=$AF77,$AG77,0))))</f>
        <v/>
      </c>
      <c r="X77">
        <f>IF(L76&lt;=0,0,MIN(AQ77,L$7+IF(L$2=$AA77,$AC77,IF(L$2=$AF77,$AG77,0))))</f>
        <v/>
      </c>
      <c r="Y77">
        <f>IF(M76&lt;=0,0,MIN(AR77,M$7+IF(M$2=$AA77,$AC77,IF(M$2=$AF77,$AG77,0))))</f>
        <v/>
      </c>
      <c r="Z77">
        <f>IF(N76&lt;=0,0,MIN(AS77,N$7+IF(N$2=$AA77,$AC77,IF(N$2=$AF77,$AG77,0))))</f>
        <v/>
      </c>
      <c r="AA77">
        <f>IFERROR(ROUND(1/SUMPRODUCT(MAX((C76:N76&gt;0)*($C$3:$N$3&lt;=B77)/$C$2:$N$2)),0),0)</f>
        <v/>
      </c>
      <c r="AB77">
        <f>SUMPRODUCT((C76:N76&gt;0)*$C$7:$N$7)</f>
        <v/>
      </c>
      <c r="AC77">
        <f>MAX(0,Plan!$C$5-AB77)+IF(A77=Plan!$C$8,N(Plan!$C$7),0)</f>
        <v/>
      </c>
      <c r="AD77">
        <f>SUM(C77:N77)</f>
        <v/>
      </c>
      <c r="AE77">
        <f>SUM(O77:Z77)</f>
        <v/>
      </c>
      <c r="AF77">
        <f>IFERROR(ROUND(1/SUMPRODUCT(MAX((C76:N76&gt;0)*($C$3:$N$3&lt;=B77)*($C$2:$N$2&gt;AA77)/$C$2:$N$2)),0),0)</f>
        <v/>
      </c>
      <c r="AG77">
        <f>MAX(0,AC77-MAX(0,SUMPRODUCT(($C$2:$N$2=AA77)*(AH77:AS77-$C$7:$N$7))))</f>
        <v/>
      </c>
      <c r="AH77">
        <f>IF(C76&lt;=0,0,ROUND(C76*(1+IF(AND(C$6&gt;0,$B77&lt;C$6),C$4,C$5)/12),2))</f>
        <v/>
      </c>
      <c r="AI77">
        <f>IF(D76&lt;=0,0,ROUND(D76*(1+IF(AND(D$6&gt;0,$B77&lt;D$6),D$4,D$5)/12),2))</f>
        <v/>
      </c>
      <c r="AJ77">
        <f>IF(E76&lt;=0,0,ROUND(E76*(1+IF(AND(E$6&gt;0,$B77&lt;E$6),E$4,E$5)/12),2))</f>
        <v/>
      </c>
      <c r="AK77">
        <f>IF(F76&lt;=0,0,ROUND(F76*(1+IF(AND(F$6&gt;0,$B77&lt;F$6),F$4,F$5)/12),2))</f>
        <v/>
      </c>
      <c r="AL77">
        <f>IF(G76&lt;=0,0,ROUND(G76*(1+IF(AND(G$6&gt;0,$B77&lt;G$6),G$4,G$5)/12),2))</f>
        <v/>
      </c>
      <c r="AM77">
        <f>IF(H76&lt;=0,0,ROUND(H76*(1+IF(AND(H$6&gt;0,$B77&lt;H$6),H$4,H$5)/12),2))</f>
        <v/>
      </c>
      <c r="AN77">
        <f>IF(I76&lt;=0,0,ROUND(I76*(1+IF(AND(I$6&gt;0,$B77&lt;I$6),I$4,I$5)/12),2))</f>
        <v/>
      </c>
      <c r="AO77">
        <f>IF(J76&lt;=0,0,ROUND(J76*(1+IF(AND(J$6&gt;0,$B77&lt;J$6),J$4,J$5)/12),2))</f>
        <v/>
      </c>
      <c r="AP77">
        <f>IF(K76&lt;=0,0,ROUND(K76*(1+IF(AND(K$6&gt;0,$B77&lt;K$6),K$4,K$5)/12),2))</f>
        <v/>
      </c>
      <c r="AQ77">
        <f>IF(L76&lt;=0,0,ROUND(L76*(1+IF(AND(L$6&gt;0,$B77&lt;L$6),L$4,L$5)/12),2))</f>
        <v/>
      </c>
      <c r="AR77">
        <f>IF(M76&lt;=0,0,ROUND(M76*(1+IF(AND(M$6&gt;0,$B77&lt;M$6),M$4,M$5)/12),2))</f>
        <v/>
      </c>
      <c r="AS77">
        <f>IF(N76&lt;=0,0,ROUND(N76*(1+IF(AND(N$6&gt;0,$B77&lt;N$6),N$4,N$5)/12),2))</f>
        <v/>
      </c>
    </row>
    <row r="78">
      <c r="A78" t="n">
        <v>67</v>
      </c>
      <c r="B78">
        <f>EDATE(Plan!$C$6,66)</f>
        <v/>
      </c>
      <c r="C78">
        <f>IF(C77&lt;=0,0,MAX(0,AH78-O78))</f>
        <v/>
      </c>
      <c r="D78">
        <f>IF(D77&lt;=0,0,MAX(0,AI78-P78))</f>
        <v/>
      </c>
      <c r="E78">
        <f>IF(E77&lt;=0,0,MAX(0,AJ78-Q78))</f>
        <v/>
      </c>
      <c r="F78">
        <f>IF(F77&lt;=0,0,MAX(0,AK78-R78))</f>
        <v/>
      </c>
      <c r="G78">
        <f>IF(G77&lt;=0,0,MAX(0,AL78-S78))</f>
        <v/>
      </c>
      <c r="H78">
        <f>IF(H77&lt;=0,0,MAX(0,AM78-T78))</f>
        <v/>
      </c>
      <c r="I78">
        <f>IF(I77&lt;=0,0,MAX(0,AN78-U78))</f>
        <v/>
      </c>
      <c r="J78">
        <f>IF(J77&lt;=0,0,MAX(0,AO78-V78))</f>
        <v/>
      </c>
      <c r="K78">
        <f>IF(K77&lt;=0,0,MAX(0,AP78-W78))</f>
        <v/>
      </c>
      <c r="L78">
        <f>IF(L77&lt;=0,0,MAX(0,AQ78-X78))</f>
        <v/>
      </c>
      <c r="M78">
        <f>IF(M77&lt;=0,0,MAX(0,AR78-Y78))</f>
        <v/>
      </c>
      <c r="N78">
        <f>IF(N77&lt;=0,0,MAX(0,AS78-Z78))</f>
        <v/>
      </c>
      <c r="O78">
        <f>IF(C77&lt;=0,0,MIN(AH78,C$7+IF(C$2=$AA78,$AC78,IF(C$2=$AF78,$AG78,0))))</f>
        <v/>
      </c>
      <c r="P78">
        <f>IF(D77&lt;=0,0,MIN(AI78,D$7+IF(D$2=$AA78,$AC78,IF(D$2=$AF78,$AG78,0))))</f>
        <v/>
      </c>
      <c r="Q78">
        <f>IF(E77&lt;=0,0,MIN(AJ78,E$7+IF(E$2=$AA78,$AC78,IF(E$2=$AF78,$AG78,0))))</f>
        <v/>
      </c>
      <c r="R78">
        <f>IF(F77&lt;=0,0,MIN(AK78,F$7+IF(F$2=$AA78,$AC78,IF(F$2=$AF78,$AG78,0))))</f>
        <v/>
      </c>
      <c r="S78">
        <f>IF(G77&lt;=0,0,MIN(AL78,G$7+IF(G$2=$AA78,$AC78,IF(G$2=$AF78,$AG78,0))))</f>
        <v/>
      </c>
      <c r="T78">
        <f>IF(H77&lt;=0,0,MIN(AM78,H$7+IF(H$2=$AA78,$AC78,IF(H$2=$AF78,$AG78,0))))</f>
        <v/>
      </c>
      <c r="U78">
        <f>IF(I77&lt;=0,0,MIN(AN78,I$7+IF(I$2=$AA78,$AC78,IF(I$2=$AF78,$AG78,0))))</f>
        <v/>
      </c>
      <c r="V78">
        <f>IF(J77&lt;=0,0,MIN(AO78,J$7+IF(J$2=$AA78,$AC78,IF(J$2=$AF78,$AG78,0))))</f>
        <v/>
      </c>
      <c r="W78">
        <f>IF(K77&lt;=0,0,MIN(AP78,K$7+IF(K$2=$AA78,$AC78,IF(K$2=$AF78,$AG78,0))))</f>
        <v/>
      </c>
      <c r="X78">
        <f>IF(L77&lt;=0,0,MIN(AQ78,L$7+IF(L$2=$AA78,$AC78,IF(L$2=$AF78,$AG78,0))))</f>
        <v/>
      </c>
      <c r="Y78">
        <f>IF(M77&lt;=0,0,MIN(AR78,M$7+IF(M$2=$AA78,$AC78,IF(M$2=$AF78,$AG78,0))))</f>
        <v/>
      </c>
      <c r="Z78">
        <f>IF(N77&lt;=0,0,MIN(AS78,N$7+IF(N$2=$AA78,$AC78,IF(N$2=$AF78,$AG78,0))))</f>
        <v/>
      </c>
      <c r="AA78">
        <f>IFERROR(ROUND(1/SUMPRODUCT(MAX((C77:N77&gt;0)*($C$3:$N$3&lt;=B78)/$C$2:$N$2)),0),0)</f>
        <v/>
      </c>
      <c r="AB78">
        <f>SUMPRODUCT((C77:N77&gt;0)*$C$7:$N$7)</f>
        <v/>
      </c>
      <c r="AC78">
        <f>MAX(0,Plan!$C$5-AB78)+IF(A78=Plan!$C$8,N(Plan!$C$7),0)</f>
        <v/>
      </c>
      <c r="AD78">
        <f>SUM(C78:N78)</f>
        <v/>
      </c>
      <c r="AE78">
        <f>SUM(O78:Z78)</f>
        <v/>
      </c>
      <c r="AF78">
        <f>IFERROR(ROUND(1/SUMPRODUCT(MAX((C77:N77&gt;0)*($C$3:$N$3&lt;=B78)*($C$2:$N$2&gt;AA78)/$C$2:$N$2)),0),0)</f>
        <v/>
      </c>
      <c r="AG78">
        <f>MAX(0,AC78-MAX(0,SUMPRODUCT(($C$2:$N$2=AA78)*(AH78:AS78-$C$7:$N$7))))</f>
        <v/>
      </c>
      <c r="AH78">
        <f>IF(C77&lt;=0,0,ROUND(C77*(1+IF(AND(C$6&gt;0,$B78&lt;C$6),C$4,C$5)/12),2))</f>
        <v/>
      </c>
      <c r="AI78">
        <f>IF(D77&lt;=0,0,ROUND(D77*(1+IF(AND(D$6&gt;0,$B78&lt;D$6),D$4,D$5)/12),2))</f>
        <v/>
      </c>
      <c r="AJ78">
        <f>IF(E77&lt;=0,0,ROUND(E77*(1+IF(AND(E$6&gt;0,$B78&lt;E$6),E$4,E$5)/12),2))</f>
        <v/>
      </c>
      <c r="AK78">
        <f>IF(F77&lt;=0,0,ROUND(F77*(1+IF(AND(F$6&gt;0,$B78&lt;F$6),F$4,F$5)/12),2))</f>
        <v/>
      </c>
      <c r="AL78">
        <f>IF(G77&lt;=0,0,ROUND(G77*(1+IF(AND(G$6&gt;0,$B78&lt;G$6),G$4,G$5)/12),2))</f>
        <v/>
      </c>
      <c r="AM78">
        <f>IF(H77&lt;=0,0,ROUND(H77*(1+IF(AND(H$6&gt;0,$B78&lt;H$6),H$4,H$5)/12),2))</f>
        <v/>
      </c>
      <c r="AN78">
        <f>IF(I77&lt;=0,0,ROUND(I77*(1+IF(AND(I$6&gt;0,$B78&lt;I$6),I$4,I$5)/12),2))</f>
        <v/>
      </c>
      <c r="AO78">
        <f>IF(J77&lt;=0,0,ROUND(J77*(1+IF(AND(J$6&gt;0,$B78&lt;J$6),J$4,J$5)/12),2))</f>
        <v/>
      </c>
      <c r="AP78">
        <f>IF(K77&lt;=0,0,ROUND(K77*(1+IF(AND(K$6&gt;0,$B78&lt;K$6),K$4,K$5)/12),2))</f>
        <v/>
      </c>
      <c r="AQ78">
        <f>IF(L77&lt;=0,0,ROUND(L77*(1+IF(AND(L$6&gt;0,$B78&lt;L$6),L$4,L$5)/12),2))</f>
        <v/>
      </c>
      <c r="AR78">
        <f>IF(M77&lt;=0,0,ROUND(M77*(1+IF(AND(M$6&gt;0,$B78&lt;M$6),M$4,M$5)/12),2))</f>
        <v/>
      </c>
      <c r="AS78">
        <f>IF(N77&lt;=0,0,ROUND(N77*(1+IF(AND(N$6&gt;0,$B78&lt;N$6),N$4,N$5)/12),2))</f>
        <v/>
      </c>
    </row>
    <row r="79">
      <c r="A79" t="n">
        <v>68</v>
      </c>
      <c r="B79">
        <f>EDATE(Plan!$C$6,67)</f>
        <v/>
      </c>
      <c r="C79">
        <f>IF(C78&lt;=0,0,MAX(0,AH79-O79))</f>
        <v/>
      </c>
      <c r="D79">
        <f>IF(D78&lt;=0,0,MAX(0,AI79-P79))</f>
        <v/>
      </c>
      <c r="E79">
        <f>IF(E78&lt;=0,0,MAX(0,AJ79-Q79))</f>
        <v/>
      </c>
      <c r="F79">
        <f>IF(F78&lt;=0,0,MAX(0,AK79-R79))</f>
        <v/>
      </c>
      <c r="G79">
        <f>IF(G78&lt;=0,0,MAX(0,AL79-S79))</f>
        <v/>
      </c>
      <c r="H79">
        <f>IF(H78&lt;=0,0,MAX(0,AM79-T79))</f>
        <v/>
      </c>
      <c r="I79">
        <f>IF(I78&lt;=0,0,MAX(0,AN79-U79))</f>
        <v/>
      </c>
      <c r="J79">
        <f>IF(J78&lt;=0,0,MAX(0,AO79-V79))</f>
        <v/>
      </c>
      <c r="K79">
        <f>IF(K78&lt;=0,0,MAX(0,AP79-W79))</f>
        <v/>
      </c>
      <c r="L79">
        <f>IF(L78&lt;=0,0,MAX(0,AQ79-X79))</f>
        <v/>
      </c>
      <c r="M79">
        <f>IF(M78&lt;=0,0,MAX(0,AR79-Y79))</f>
        <v/>
      </c>
      <c r="N79">
        <f>IF(N78&lt;=0,0,MAX(0,AS79-Z79))</f>
        <v/>
      </c>
      <c r="O79">
        <f>IF(C78&lt;=0,0,MIN(AH79,C$7+IF(C$2=$AA79,$AC79,IF(C$2=$AF79,$AG79,0))))</f>
        <v/>
      </c>
      <c r="P79">
        <f>IF(D78&lt;=0,0,MIN(AI79,D$7+IF(D$2=$AA79,$AC79,IF(D$2=$AF79,$AG79,0))))</f>
        <v/>
      </c>
      <c r="Q79">
        <f>IF(E78&lt;=0,0,MIN(AJ79,E$7+IF(E$2=$AA79,$AC79,IF(E$2=$AF79,$AG79,0))))</f>
        <v/>
      </c>
      <c r="R79">
        <f>IF(F78&lt;=0,0,MIN(AK79,F$7+IF(F$2=$AA79,$AC79,IF(F$2=$AF79,$AG79,0))))</f>
        <v/>
      </c>
      <c r="S79">
        <f>IF(G78&lt;=0,0,MIN(AL79,G$7+IF(G$2=$AA79,$AC79,IF(G$2=$AF79,$AG79,0))))</f>
        <v/>
      </c>
      <c r="T79">
        <f>IF(H78&lt;=0,0,MIN(AM79,H$7+IF(H$2=$AA79,$AC79,IF(H$2=$AF79,$AG79,0))))</f>
        <v/>
      </c>
      <c r="U79">
        <f>IF(I78&lt;=0,0,MIN(AN79,I$7+IF(I$2=$AA79,$AC79,IF(I$2=$AF79,$AG79,0))))</f>
        <v/>
      </c>
      <c r="V79">
        <f>IF(J78&lt;=0,0,MIN(AO79,J$7+IF(J$2=$AA79,$AC79,IF(J$2=$AF79,$AG79,0))))</f>
        <v/>
      </c>
      <c r="W79">
        <f>IF(K78&lt;=0,0,MIN(AP79,K$7+IF(K$2=$AA79,$AC79,IF(K$2=$AF79,$AG79,0))))</f>
        <v/>
      </c>
      <c r="X79">
        <f>IF(L78&lt;=0,0,MIN(AQ79,L$7+IF(L$2=$AA79,$AC79,IF(L$2=$AF79,$AG79,0))))</f>
        <v/>
      </c>
      <c r="Y79">
        <f>IF(M78&lt;=0,0,MIN(AR79,M$7+IF(M$2=$AA79,$AC79,IF(M$2=$AF79,$AG79,0))))</f>
        <v/>
      </c>
      <c r="Z79">
        <f>IF(N78&lt;=0,0,MIN(AS79,N$7+IF(N$2=$AA79,$AC79,IF(N$2=$AF79,$AG79,0))))</f>
        <v/>
      </c>
      <c r="AA79">
        <f>IFERROR(ROUND(1/SUMPRODUCT(MAX((C78:N78&gt;0)*($C$3:$N$3&lt;=B79)/$C$2:$N$2)),0),0)</f>
        <v/>
      </c>
      <c r="AB79">
        <f>SUMPRODUCT((C78:N78&gt;0)*$C$7:$N$7)</f>
        <v/>
      </c>
      <c r="AC79">
        <f>MAX(0,Plan!$C$5-AB79)+IF(A79=Plan!$C$8,N(Plan!$C$7),0)</f>
        <v/>
      </c>
      <c r="AD79">
        <f>SUM(C79:N79)</f>
        <v/>
      </c>
      <c r="AE79">
        <f>SUM(O79:Z79)</f>
        <v/>
      </c>
      <c r="AF79">
        <f>IFERROR(ROUND(1/SUMPRODUCT(MAX((C78:N78&gt;0)*($C$3:$N$3&lt;=B79)*($C$2:$N$2&gt;AA79)/$C$2:$N$2)),0),0)</f>
        <v/>
      </c>
      <c r="AG79">
        <f>MAX(0,AC79-MAX(0,SUMPRODUCT(($C$2:$N$2=AA79)*(AH79:AS79-$C$7:$N$7))))</f>
        <v/>
      </c>
      <c r="AH79">
        <f>IF(C78&lt;=0,0,ROUND(C78*(1+IF(AND(C$6&gt;0,$B79&lt;C$6),C$4,C$5)/12),2))</f>
        <v/>
      </c>
      <c r="AI79">
        <f>IF(D78&lt;=0,0,ROUND(D78*(1+IF(AND(D$6&gt;0,$B79&lt;D$6),D$4,D$5)/12),2))</f>
        <v/>
      </c>
      <c r="AJ79">
        <f>IF(E78&lt;=0,0,ROUND(E78*(1+IF(AND(E$6&gt;0,$B79&lt;E$6),E$4,E$5)/12),2))</f>
        <v/>
      </c>
      <c r="AK79">
        <f>IF(F78&lt;=0,0,ROUND(F78*(1+IF(AND(F$6&gt;0,$B79&lt;F$6),F$4,F$5)/12),2))</f>
        <v/>
      </c>
      <c r="AL79">
        <f>IF(G78&lt;=0,0,ROUND(G78*(1+IF(AND(G$6&gt;0,$B79&lt;G$6),G$4,G$5)/12),2))</f>
        <v/>
      </c>
      <c r="AM79">
        <f>IF(H78&lt;=0,0,ROUND(H78*(1+IF(AND(H$6&gt;0,$B79&lt;H$6),H$4,H$5)/12),2))</f>
        <v/>
      </c>
      <c r="AN79">
        <f>IF(I78&lt;=0,0,ROUND(I78*(1+IF(AND(I$6&gt;0,$B79&lt;I$6),I$4,I$5)/12),2))</f>
        <v/>
      </c>
      <c r="AO79">
        <f>IF(J78&lt;=0,0,ROUND(J78*(1+IF(AND(J$6&gt;0,$B79&lt;J$6),J$4,J$5)/12),2))</f>
        <v/>
      </c>
      <c r="AP79">
        <f>IF(K78&lt;=0,0,ROUND(K78*(1+IF(AND(K$6&gt;0,$B79&lt;K$6),K$4,K$5)/12),2))</f>
        <v/>
      </c>
      <c r="AQ79">
        <f>IF(L78&lt;=0,0,ROUND(L78*(1+IF(AND(L$6&gt;0,$B79&lt;L$6),L$4,L$5)/12),2))</f>
        <v/>
      </c>
      <c r="AR79">
        <f>IF(M78&lt;=0,0,ROUND(M78*(1+IF(AND(M$6&gt;0,$B79&lt;M$6),M$4,M$5)/12),2))</f>
        <v/>
      </c>
      <c r="AS79">
        <f>IF(N78&lt;=0,0,ROUND(N78*(1+IF(AND(N$6&gt;0,$B79&lt;N$6),N$4,N$5)/12),2))</f>
        <v/>
      </c>
    </row>
    <row r="80">
      <c r="A80" t="n">
        <v>69</v>
      </c>
      <c r="B80">
        <f>EDATE(Plan!$C$6,68)</f>
        <v/>
      </c>
      <c r="C80">
        <f>IF(C79&lt;=0,0,MAX(0,AH80-O80))</f>
        <v/>
      </c>
      <c r="D80">
        <f>IF(D79&lt;=0,0,MAX(0,AI80-P80))</f>
        <v/>
      </c>
      <c r="E80">
        <f>IF(E79&lt;=0,0,MAX(0,AJ80-Q80))</f>
        <v/>
      </c>
      <c r="F80">
        <f>IF(F79&lt;=0,0,MAX(0,AK80-R80))</f>
        <v/>
      </c>
      <c r="G80">
        <f>IF(G79&lt;=0,0,MAX(0,AL80-S80))</f>
        <v/>
      </c>
      <c r="H80">
        <f>IF(H79&lt;=0,0,MAX(0,AM80-T80))</f>
        <v/>
      </c>
      <c r="I80">
        <f>IF(I79&lt;=0,0,MAX(0,AN80-U80))</f>
        <v/>
      </c>
      <c r="J80">
        <f>IF(J79&lt;=0,0,MAX(0,AO80-V80))</f>
        <v/>
      </c>
      <c r="K80">
        <f>IF(K79&lt;=0,0,MAX(0,AP80-W80))</f>
        <v/>
      </c>
      <c r="L80">
        <f>IF(L79&lt;=0,0,MAX(0,AQ80-X80))</f>
        <v/>
      </c>
      <c r="M80">
        <f>IF(M79&lt;=0,0,MAX(0,AR80-Y80))</f>
        <v/>
      </c>
      <c r="N80">
        <f>IF(N79&lt;=0,0,MAX(0,AS80-Z80))</f>
        <v/>
      </c>
      <c r="O80">
        <f>IF(C79&lt;=0,0,MIN(AH80,C$7+IF(C$2=$AA80,$AC80,IF(C$2=$AF80,$AG80,0))))</f>
        <v/>
      </c>
      <c r="P80">
        <f>IF(D79&lt;=0,0,MIN(AI80,D$7+IF(D$2=$AA80,$AC80,IF(D$2=$AF80,$AG80,0))))</f>
        <v/>
      </c>
      <c r="Q80">
        <f>IF(E79&lt;=0,0,MIN(AJ80,E$7+IF(E$2=$AA80,$AC80,IF(E$2=$AF80,$AG80,0))))</f>
        <v/>
      </c>
      <c r="R80">
        <f>IF(F79&lt;=0,0,MIN(AK80,F$7+IF(F$2=$AA80,$AC80,IF(F$2=$AF80,$AG80,0))))</f>
        <v/>
      </c>
      <c r="S80">
        <f>IF(G79&lt;=0,0,MIN(AL80,G$7+IF(G$2=$AA80,$AC80,IF(G$2=$AF80,$AG80,0))))</f>
        <v/>
      </c>
      <c r="T80">
        <f>IF(H79&lt;=0,0,MIN(AM80,H$7+IF(H$2=$AA80,$AC80,IF(H$2=$AF80,$AG80,0))))</f>
        <v/>
      </c>
      <c r="U80">
        <f>IF(I79&lt;=0,0,MIN(AN80,I$7+IF(I$2=$AA80,$AC80,IF(I$2=$AF80,$AG80,0))))</f>
        <v/>
      </c>
      <c r="V80">
        <f>IF(J79&lt;=0,0,MIN(AO80,J$7+IF(J$2=$AA80,$AC80,IF(J$2=$AF80,$AG80,0))))</f>
        <v/>
      </c>
      <c r="W80">
        <f>IF(K79&lt;=0,0,MIN(AP80,K$7+IF(K$2=$AA80,$AC80,IF(K$2=$AF80,$AG80,0))))</f>
        <v/>
      </c>
      <c r="X80">
        <f>IF(L79&lt;=0,0,MIN(AQ80,L$7+IF(L$2=$AA80,$AC80,IF(L$2=$AF80,$AG80,0))))</f>
        <v/>
      </c>
      <c r="Y80">
        <f>IF(M79&lt;=0,0,MIN(AR80,M$7+IF(M$2=$AA80,$AC80,IF(M$2=$AF80,$AG80,0))))</f>
        <v/>
      </c>
      <c r="Z80">
        <f>IF(N79&lt;=0,0,MIN(AS80,N$7+IF(N$2=$AA80,$AC80,IF(N$2=$AF80,$AG80,0))))</f>
        <v/>
      </c>
      <c r="AA80">
        <f>IFERROR(ROUND(1/SUMPRODUCT(MAX((C79:N79&gt;0)*($C$3:$N$3&lt;=B80)/$C$2:$N$2)),0),0)</f>
        <v/>
      </c>
      <c r="AB80">
        <f>SUMPRODUCT((C79:N79&gt;0)*$C$7:$N$7)</f>
        <v/>
      </c>
      <c r="AC80">
        <f>MAX(0,Plan!$C$5-AB80)+IF(A80=Plan!$C$8,N(Plan!$C$7),0)</f>
        <v/>
      </c>
      <c r="AD80">
        <f>SUM(C80:N80)</f>
        <v/>
      </c>
      <c r="AE80">
        <f>SUM(O80:Z80)</f>
        <v/>
      </c>
      <c r="AF80">
        <f>IFERROR(ROUND(1/SUMPRODUCT(MAX((C79:N79&gt;0)*($C$3:$N$3&lt;=B80)*($C$2:$N$2&gt;AA80)/$C$2:$N$2)),0),0)</f>
        <v/>
      </c>
      <c r="AG80">
        <f>MAX(0,AC80-MAX(0,SUMPRODUCT(($C$2:$N$2=AA80)*(AH80:AS80-$C$7:$N$7))))</f>
        <v/>
      </c>
      <c r="AH80">
        <f>IF(C79&lt;=0,0,ROUND(C79*(1+IF(AND(C$6&gt;0,$B80&lt;C$6),C$4,C$5)/12),2))</f>
        <v/>
      </c>
      <c r="AI80">
        <f>IF(D79&lt;=0,0,ROUND(D79*(1+IF(AND(D$6&gt;0,$B80&lt;D$6),D$4,D$5)/12),2))</f>
        <v/>
      </c>
      <c r="AJ80">
        <f>IF(E79&lt;=0,0,ROUND(E79*(1+IF(AND(E$6&gt;0,$B80&lt;E$6),E$4,E$5)/12),2))</f>
        <v/>
      </c>
      <c r="AK80">
        <f>IF(F79&lt;=0,0,ROUND(F79*(1+IF(AND(F$6&gt;0,$B80&lt;F$6),F$4,F$5)/12),2))</f>
        <v/>
      </c>
      <c r="AL80">
        <f>IF(G79&lt;=0,0,ROUND(G79*(1+IF(AND(G$6&gt;0,$B80&lt;G$6),G$4,G$5)/12),2))</f>
        <v/>
      </c>
      <c r="AM80">
        <f>IF(H79&lt;=0,0,ROUND(H79*(1+IF(AND(H$6&gt;0,$B80&lt;H$6),H$4,H$5)/12),2))</f>
        <v/>
      </c>
      <c r="AN80">
        <f>IF(I79&lt;=0,0,ROUND(I79*(1+IF(AND(I$6&gt;0,$B80&lt;I$6),I$4,I$5)/12),2))</f>
        <v/>
      </c>
      <c r="AO80">
        <f>IF(J79&lt;=0,0,ROUND(J79*(1+IF(AND(J$6&gt;0,$B80&lt;J$6),J$4,J$5)/12),2))</f>
        <v/>
      </c>
      <c r="AP80">
        <f>IF(K79&lt;=0,0,ROUND(K79*(1+IF(AND(K$6&gt;0,$B80&lt;K$6),K$4,K$5)/12),2))</f>
        <v/>
      </c>
      <c r="AQ80">
        <f>IF(L79&lt;=0,0,ROUND(L79*(1+IF(AND(L$6&gt;0,$B80&lt;L$6),L$4,L$5)/12),2))</f>
        <v/>
      </c>
      <c r="AR80">
        <f>IF(M79&lt;=0,0,ROUND(M79*(1+IF(AND(M$6&gt;0,$B80&lt;M$6),M$4,M$5)/12),2))</f>
        <v/>
      </c>
      <c r="AS80">
        <f>IF(N79&lt;=0,0,ROUND(N79*(1+IF(AND(N$6&gt;0,$B80&lt;N$6),N$4,N$5)/12),2))</f>
        <v/>
      </c>
    </row>
    <row r="81">
      <c r="A81" t="n">
        <v>70</v>
      </c>
      <c r="B81">
        <f>EDATE(Plan!$C$6,69)</f>
        <v/>
      </c>
      <c r="C81">
        <f>IF(C80&lt;=0,0,MAX(0,AH81-O81))</f>
        <v/>
      </c>
      <c r="D81">
        <f>IF(D80&lt;=0,0,MAX(0,AI81-P81))</f>
        <v/>
      </c>
      <c r="E81">
        <f>IF(E80&lt;=0,0,MAX(0,AJ81-Q81))</f>
        <v/>
      </c>
      <c r="F81">
        <f>IF(F80&lt;=0,0,MAX(0,AK81-R81))</f>
        <v/>
      </c>
      <c r="G81">
        <f>IF(G80&lt;=0,0,MAX(0,AL81-S81))</f>
        <v/>
      </c>
      <c r="H81">
        <f>IF(H80&lt;=0,0,MAX(0,AM81-T81))</f>
        <v/>
      </c>
      <c r="I81">
        <f>IF(I80&lt;=0,0,MAX(0,AN81-U81))</f>
        <v/>
      </c>
      <c r="J81">
        <f>IF(J80&lt;=0,0,MAX(0,AO81-V81))</f>
        <v/>
      </c>
      <c r="K81">
        <f>IF(K80&lt;=0,0,MAX(0,AP81-W81))</f>
        <v/>
      </c>
      <c r="L81">
        <f>IF(L80&lt;=0,0,MAX(0,AQ81-X81))</f>
        <v/>
      </c>
      <c r="M81">
        <f>IF(M80&lt;=0,0,MAX(0,AR81-Y81))</f>
        <v/>
      </c>
      <c r="N81">
        <f>IF(N80&lt;=0,0,MAX(0,AS81-Z81))</f>
        <v/>
      </c>
      <c r="O81">
        <f>IF(C80&lt;=0,0,MIN(AH81,C$7+IF(C$2=$AA81,$AC81,IF(C$2=$AF81,$AG81,0))))</f>
        <v/>
      </c>
      <c r="P81">
        <f>IF(D80&lt;=0,0,MIN(AI81,D$7+IF(D$2=$AA81,$AC81,IF(D$2=$AF81,$AG81,0))))</f>
        <v/>
      </c>
      <c r="Q81">
        <f>IF(E80&lt;=0,0,MIN(AJ81,E$7+IF(E$2=$AA81,$AC81,IF(E$2=$AF81,$AG81,0))))</f>
        <v/>
      </c>
      <c r="R81">
        <f>IF(F80&lt;=0,0,MIN(AK81,F$7+IF(F$2=$AA81,$AC81,IF(F$2=$AF81,$AG81,0))))</f>
        <v/>
      </c>
      <c r="S81">
        <f>IF(G80&lt;=0,0,MIN(AL81,G$7+IF(G$2=$AA81,$AC81,IF(G$2=$AF81,$AG81,0))))</f>
        <v/>
      </c>
      <c r="T81">
        <f>IF(H80&lt;=0,0,MIN(AM81,H$7+IF(H$2=$AA81,$AC81,IF(H$2=$AF81,$AG81,0))))</f>
        <v/>
      </c>
      <c r="U81">
        <f>IF(I80&lt;=0,0,MIN(AN81,I$7+IF(I$2=$AA81,$AC81,IF(I$2=$AF81,$AG81,0))))</f>
        <v/>
      </c>
      <c r="V81">
        <f>IF(J80&lt;=0,0,MIN(AO81,J$7+IF(J$2=$AA81,$AC81,IF(J$2=$AF81,$AG81,0))))</f>
        <v/>
      </c>
      <c r="W81">
        <f>IF(K80&lt;=0,0,MIN(AP81,K$7+IF(K$2=$AA81,$AC81,IF(K$2=$AF81,$AG81,0))))</f>
        <v/>
      </c>
      <c r="X81">
        <f>IF(L80&lt;=0,0,MIN(AQ81,L$7+IF(L$2=$AA81,$AC81,IF(L$2=$AF81,$AG81,0))))</f>
        <v/>
      </c>
      <c r="Y81">
        <f>IF(M80&lt;=0,0,MIN(AR81,M$7+IF(M$2=$AA81,$AC81,IF(M$2=$AF81,$AG81,0))))</f>
        <v/>
      </c>
      <c r="Z81">
        <f>IF(N80&lt;=0,0,MIN(AS81,N$7+IF(N$2=$AA81,$AC81,IF(N$2=$AF81,$AG81,0))))</f>
        <v/>
      </c>
      <c r="AA81">
        <f>IFERROR(ROUND(1/SUMPRODUCT(MAX((C80:N80&gt;0)*($C$3:$N$3&lt;=B81)/$C$2:$N$2)),0),0)</f>
        <v/>
      </c>
      <c r="AB81">
        <f>SUMPRODUCT((C80:N80&gt;0)*$C$7:$N$7)</f>
        <v/>
      </c>
      <c r="AC81">
        <f>MAX(0,Plan!$C$5-AB81)+IF(A81=Plan!$C$8,N(Plan!$C$7),0)</f>
        <v/>
      </c>
      <c r="AD81">
        <f>SUM(C81:N81)</f>
        <v/>
      </c>
      <c r="AE81">
        <f>SUM(O81:Z81)</f>
        <v/>
      </c>
      <c r="AF81">
        <f>IFERROR(ROUND(1/SUMPRODUCT(MAX((C80:N80&gt;0)*($C$3:$N$3&lt;=B81)*($C$2:$N$2&gt;AA81)/$C$2:$N$2)),0),0)</f>
        <v/>
      </c>
      <c r="AG81">
        <f>MAX(0,AC81-MAX(0,SUMPRODUCT(($C$2:$N$2=AA81)*(AH81:AS81-$C$7:$N$7))))</f>
        <v/>
      </c>
      <c r="AH81">
        <f>IF(C80&lt;=0,0,ROUND(C80*(1+IF(AND(C$6&gt;0,$B81&lt;C$6),C$4,C$5)/12),2))</f>
        <v/>
      </c>
      <c r="AI81">
        <f>IF(D80&lt;=0,0,ROUND(D80*(1+IF(AND(D$6&gt;0,$B81&lt;D$6),D$4,D$5)/12),2))</f>
        <v/>
      </c>
      <c r="AJ81">
        <f>IF(E80&lt;=0,0,ROUND(E80*(1+IF(AND(E$6&gt;0,$B81&lt;E$6),E$4,E$5)/12),2))</f>
        <v/>
      </c>
      <c r="AK81">
        <f>IF(F80&lt;=0,0,ROUND(F80*(1+IF(AND(F$6&gt;0,$B81&lt;F$6),F$4,F$5)/12),2))</f>
        <v/>
      </c>
      <c r="AL81">
        <f>IF(G80&lt;=0,0,ROUND(G80*(1+IF(AND(G$6&gt;0,$B81&lt;G$6),G$4,G$5)/12),2))</f>
        <v/>
      </c>
      <c r="AM81">
        <f>IF(H80&lt;=0,0,ROUND(H80*(1+IF(AND(H$6&gt;0,$B81&lt;H$6),H$4,H$5)/12),2))</f>
        <v/>
      </c>
      <c r="AN81">
        <f>IF(I80&lt;=0,0,ROUND(I80*(1+IF(AND(I$6&gt;0,$B81&lt;I$6),I$4,I$5)/12),2))</f>
        <v/>
      </c>
      <c r="AO81">
        <f>IF(J80&lt;=0,0,ROUND(J80*(1+IF(AND(J$6&gt;0,$B81&lt;J$6),J$4,J$5)/12),2))</f>
        <v/>
      </c>
      <c r="AP81">
        <f>IF(K80&lt;=0,0,ROUND(K80*(1+IF(AND(K$6&gt;0,$B81&lt;K$6),K$4,K$5)/12),2))</f>
        <v/>
      </c>
      <c r="AQ81">
        <f>IF(L80&lt;=0,0,ROUND(L80*(1+IF(AND(L$6&gt;0,$B81&lt;L$6),L$4,L$5)/12),2))</f>
        <v/>
      </c>
      <c r="AR81">
        <f>IF(M80&lt;=0,0,ROUND(M80*(1+IF(AND(M$6&gt;0,$B81&lt;M$6),M$4,M$5)/12),2))</f>
        <v/>
      </c>
      <c r="AS81">
        <f>IF(N80&lt;=0,0,ROUND(N80*(1+IF(AND(N$6&gt;0,$B81&lt;N$6),N$4,N$5)/12),2))</f>
        <v/>
      </c>
    </row>
    <row r="82">
      <c r="A82" t="n">
        <v>71</v>
      </c>
      <c r="B82">
        <f>EDATE(Plan!$C$6,70)</f>
        <v/>
      </c>
      <c r="C82">
        <f>IF(C81&lt;=0,0,MAX(0,AH82-O82))</f>
        <v/>
      </c>
      <c r="D82">
        <f>IF(D81&lt;=0,0,MAX(0,AI82-P82))</f>
        <v/>
      </c>
      <c r="E82">
        <f>IF(E81&lt;=0,0,MAX(0,AJ82-Q82))</f>
        <v/>
      </c>
      <c r="F82">
        <f>IF(F81&lt;=0,0,MAX(0,AK82-R82))</f>
        <v/>
      </c>
      <c r="G82">
        <f>IF(G81&lt;=0,0,MAX(0,AL82-S82))</f>
        <v/>
      </c>
      <c r="H82">
        <f>IF(H81&lt;=0,0,MAX(0,AM82-T82))</f>
        <v/>
      </c>
      <c r="I82">
        <f>IF(I81&lt;=0,0,MAX(0,AN82-U82))</f>
        <v/>
      </c>
      <c r="J82">
        <f>IF(J81&lt;=0,0,MAX(0,AO82-V82))</f>
        <v/>
      </c>
      <c r="K82">
        <f>IF(K81&lt;=0,0,MAX(0,AP82-W82))</f>
        <v/>
      </c>
      <c r="L82">
        <f>IF(L81&lt;=0,0,MAX(0,AQ82-X82))</f>
        <v/>
      </c>
      <c r="M82">
        <f>IF(M81&lt;=0,0,MAX(0,AR82-Y82))</f>
        <v/>
      </c>
      <c r="N82">
        <f>IF(N81&lt;=0,0,MAX(0,AS82-Z82))</f>
        <v/>
      </c>
      <c r="O82">
        <f>IF(C81&lt;=0,0,MIN(AH82,C$7+IF(C$2=$AA82,$AC82,IF(C$2=$AF82,$AG82,0))))</f>
        <v/>
      </c>
      <c r="P82">
        <f>IF(D81&lt;=0,0,MIN(AI82,D$7+IF(D$2=$AA82,$AC82,IF(D$2=$AF82,$AG82,0))))</f>
        <v/>
      </c>
      <c r="Q82">
        <f>IF(E81&lt;=0,0,MIN(AJ82,E$7+IF(E$2=$AA82,$AC82,IF(E$2=$AF82,$AG82,0))))</f>
        <v/>
      </c>
      <c r="R82">
        <f>IF(F81&lt;=0,0,MIN(AK82,F$7+IF(F$2=$AA82,$AC82,IF(F$2=$AF82,$AG82,0))))</f>
        <v/>
      </c>
      <c r="S82">
        <f>IF(G81&lt;=0,0,MIN(AL82,G$7+IF(G$2=$AA82,$AC82,IF(G$2=$AF82,$AG82,0))))</f>
        <v/>
      </c>
      <c r="T82">
        <f>IF(H81&lt;=0,0,MIN(AM82,H$7+IF(H$2=$AA82,$AC82,IF(H$2=$AF82,$AG82,0))))</f>
        <v/>
      </c>
      <c r="U82">
        <f>IF(I81&lt;=0,0,MIN(AN82,I$7+IF(I$2=$AA82,$AC82,IF(I$2=$AF82,$AG82,0))))</f>
        <v/>
      </c>
      <c r="V82">
        <f>IF(J81&lt;=0,0,MIN(AO82,J$7+IF(J$2=$AA82,$AC82,IF(J$2=$AF82,$AG82,0))))</f>
        <v/>
      </c>
      <c r="W82">
        <f>IF(K81&lt;=0,0,MIN(AP82,K$7+IF(K$2=$AA82,$AC82,IF(K$2=$AF82,$AG82,0))))</f>
        <v/>
      </c>
      <c r="X82">
        <f>IF(L81&lt;=0,0,MIN(AQ82,L$7+IF(L$2=$AA82,$AC82,IF(L$2=$AF82,$AG82,0))))</f>
        <v/>
      </c>
      <c r="Y82">
        <f>IF(M81&lt;=0,0,MIN(AR82,M$7+IF(M$2=$AA82,$AC82,IF(M$2=$AF82,$AG82,0))))</f>
        <v/>
      </c>
      <c r="Z82">
        <f>IF(N81&lt;=0,0,MIN(AS82,N$7+IF(N$2=$AA82,$AC82,IF(N$2=$AF82,$AG82,0))))</f>
        <v/>
      </c>
      <c r="AA82">
        <f>IFERROR(ROUND(1/SUMPRODUCT(MAX((C81:N81&gt;0)*($C$3:$N$3&lt;=B82)/$C$2:$N$2)),0),0)</f>
        <v/>
      </c>
      <c r="AB82">
        <f>SUMPRODUCT((C81:N81&gt;0)*$C$7:$N$7)</f>
        <v/>
      </c>
      <c r="AC82">
        <f>MAX(0,Plan!$C$5-AB82)+IF(A82=Plan!$C$8,N(Plan!$C$7),0)</f>
        <v/>
      </c>
      <c r="AD82">
        <f>SUM(C82:N82)</f>
        <v/>
      </c>
      <c r="AE82">
        <f>SUM(O82:Z82)</f>
        <v/>
      </c>
      <c r="AF82">
        <f>IFERROR(ROUND(1/SUMPRODUCT(MAX((C81:N81&gt;0)*($C$3:$N$3&lt;=B82)*($C$2:$N$2&gt;AA82)/$C$2:$N$2)),0),0)</f>
        <v/>
      </c>
      <c r="AG82">
        <f>MAX(0,AC82-MAX(0,SUMPRODUCT(($C$2:$N$2=AA82)*(AH82:AS82-$C$7:$N$7))))</f>
        <v/>
      </c>
      <c r="AH82">
        <f>IF(C81&lt;=0,0,ROUND(C81*(1+IF(AND(C$6&gt;0,$B82&lt;C$6),C$4,C$5)/12),2))</f>
        <v/>
      </c>
      <c r="AI82">
        <f>IF(D81&lt;=0,0,ROUND(D81*(1+IF(AND(D$6&gt;0,$B82&lt;D$6),D$4,D$5)/12),2))</f>
        <v/>
      </c>
      <c r="AJ82">
        <f>IF(E81&lt;=0,0,ROUND(E81*(1+IF(AND(E$6&gt;0,$B82&lt;E$6),E$4,E$5)/12),2))</f>
        <v/>
      </c>
      <c r="AK82">
        <f>IF(F81&lt;=0,0,ROUND(F81*(1+IF(AND(F$6&gt;0,$B82&lt;F$6),F$4,F$5)/12),2))</f>
        <v/>
      </c>
      <c r="AL82">
        <f>IF(G81&lt;=0,0,ROUND(G81*(1+IF(AND(G$6&gt;0,$B82&lt;G$6),G$4,G$5)/12),2))</f>
        <v/>
      </c>
      <c r="AM82">
        <f>IF(H81&lt;=0,0,ROUND(H81*(1+IF(AND(H$6&gt;0,$B82&lt;H$6),H$4,H$5)/12),2))</f>
        <v/>
      </c>
      <c r="AN82">
        <f>IF(I81&lt;=0,0,ROUND(I81*(1+IF(AND(I$6&gt;0,$B82&lt;I$6),I$4,I$5)/12),2))</f>
        <v/>
      </c>
      <c r="AO82">
        <f>IF(J81&lt;=0,0,ROUND(J81*(1+IF(AND(J$6&gt;0,$B82&lt;J$6),J$4,J$5)/12),2))</f>
        <v/>
      </c>
      <c r="AP82">
        <f>IF(K81&lt;=0,0,ROUND(K81*(1+IF(AND(K$6&gt;0,$B82&lt;K$6),K$4,K$5)/12),2))</f>
        <v/>
      </c>
      <c r="AQ82">
        <f>IF(L81&lt;=0,0,ROUND(L81*(1+IF(AND(L$6&gt;0,$B82&lt;L$6),L$4,L$5)/12),2))</f>
        <v/>
      </c>
      <c r="AR82">
        <f>IF(M81&lt;=0,0,ROUND(M81*(1+IF(AND(M$6&gt;0,$B82&lt;M$6),M$4,M$5)/12),2))</f>
        <v/>
      </c>
      <c r="AS82">
        <f>IF(N81&lt;=0,0,ROUND(N81*(1+IF(AND(N$6&gt;0,$B82&lt;N$6),N$4,N$5)/12),2))</f>
        <v/>
      </c>
    </row>
    <row r="83">
      <c r="A83" t="n">
        <v>72</v>
      </c>
      <c r="B83">
        <f>EDATE(Plan!$C$6,71)</f>
        <v/>
      </c>
      <c r="C83">
        <f>IF(C82&lt;=0,0,MAX(0,AH83-O83))</f>
        <v/>
      </c>
      <c r="D83">
        <f>IF(D82&lt;=0,0,MAX(0,AI83-P83))</f>
        <v/>
      </c>
      <c r="E83">
        <f>IF(E82&lt;=0,0,MAX(0,AJ83-Q83))</f>
        <v/>
      </c>
      <c r="F83">
        <f>IF(F82&lt;=0,0,MAX(0,AK83-R83))</f>
        <v/>
      </c>
      <c r="G83">
        <f>IF(G82&lt;=0,0,MAX(0,AL83-S83))</f>
        <v/>
      </c>
      <c r="H83">
        <f>IF(H82&lt;=0,0,MAX(0,AM83-T83))</f>
        <v/>
      </c>
      <c r="I83">
        <f>IF(I82&lt;=0,0,MAX(0,AN83-U83))</f>
        <v/>
      </c>
      <c r="J83">
        <f>IF(J82&lt;=0,0,MAX(0,AO83-V83))</f>
        <v/>
      </c>
      <c r="K83">
        <f>IF(K82&lt;=0,0,MAX(0,AP83-W83))</f>
        <v/>
      </c>
      <c r="L83">
        <f>IF(L82&lt;=0,0,MAX(0,AQ83-X83))</f>
        <v/>
      </c>
      <c r="M83">
        <f>IF(M82&lt;=0,0,MAX(0,AR83-Y83))</f>
        <v/>
      </c>
      <c r="N83">
        <f>IF(N82&lt;=0,0,MAX(0,AS83-Z83))</f>
        <v/>
      </c>
      <c r="O83">
        <f>IF(C82&lt;=0,0,MIN(AH83,C$7+IF(C$2=$AA83,$AC83,IF(C$2=$AF83,$AG83,0))))</f>
        <v/>
      </c>
      <c r="P83">
        <f>IF(D82&lt;=0,0,MIN(AI83,D$7+IF(D$2=$AA83,$AC83,IF(D$2=$AF83,$AG83,0))))</f>
        <v/>
      </c>
      <c r="Q83">
        <f>IF(E82&lt;=0,0,MIN(AJ83,E$7+IF(E$2=$AA83,$AC83,IF(E$2=$AF83,$AG83,0))))</f>
        <v/>
      </c>
      <c r="R83">
        <f>IF(F82&lt;=0,0,MIN(AK83,F$7+IF(F$2=$AA83,$AC83,IF(F$2=$AF83,$AG83,0))))</f>
        <v/>
      </c>
      <c r="S83">
        <f>IF(G82&lt;=0,0,MIN(AL83,G$7+IF(G$2=$AA83,$AC83,IF(G$2=$AF83,$AG83,0))))</f>
        <v/>
      </c>
      <c r="T83">
        <f>IF(H82&lt;=0,0,MIN(AM83,H$7+IF(H$2=$AA83,$AC83,IF(H$2=$AF83,$AG83,0))))</f>
        <v/>
      </c>
      <c r="U83">
        <f>IF(I82&lt;=0,0,MIN(AN83,I$7+IF(I$2=$AA83,$AC83,IF(I$2=$AF83,$AG83,0))))</f>
        <v/>
      </c>
      <c r="V83">
        <f>IF(J82&lt;=0,0,MIN(AO83,J$7+IF(J$2=$AA83,$AC83,IF(J$2=$AF83,$AG83,0))))</f>
        <v/>
      </c>
      <c r="W83">
        <f>IF(K82&lt;=0,0,MIN(AP83,K$7+IF(K$2=$AA83,$AC83,IF(K$2=$AF83,$AG83,0))))</f>
        <v/>
      </c>
      <c r="X83">
        <f>IF(L82&lt;=0,0,MIN(AQ83,L$7+IF(L$2=$AA83,$AC83,IF(L$2=$AF83,$AG83,0))))</f>
        <v/>
      </c>
      <c r="Y83">
        <f>IF(M82&lt;=0,0,MIN(AR83,M$7+IF(M$2=$AA83,$AC83,IF(M$2=$AF83,$AG83,0))))</f>
        <v/>
      </c>
      <c r="Z83">
        <f>IF(N82&lt;=0,0,MIN(AS83,N$7+IF(N$2=$AA83,$AC83,IF(N$2=$AF83,$AG83,0))))</f>
        <v/>
      </c>
      <c r="AA83">
        <f>IFERROR(ROUND(1/SUMPRODUCT(MAX((C82:N82&gt;0)*($C$3:$N$3&lt;=B83)/$C$2:$N$2)),0),0)</f>
        <v/>
      </c>
      <c r="AB83">
        <f>SUMPRODUCT((C82:N82&gt;0)*$C$7:$N$7)</f>
        <v/>
      </c>
      <c r="AC83">
        <f>MAX(0,Plan!$C$5-AB83)+IF(A83=Plan!$C$8,N(Plan!$C$7),0)</f>
        <v/>
      </c>
      <c r="AD83">
        <f>SUM(C83:N83)</f>
        <v/>
      </c>
      <c r="AE83">
        <f>SUM(O83:Z83)</f>
        <v/>
      </c>
      <c r="AF83">
        <f>IFERROR(ROUND(1/SUMPRODUCT(MAX((C82:N82&gt;0)*($C$3:$N$3&lt;=B83)*($C$2:$N$2&gt;AA83)/$C$2:$N$2)),0),0)</f>
        <v/>
      </c>
      <c r="AG83">
        <f>MAX(0,AC83-MAX(0,SUMPRODUCT(($C$2:$N$2=AA83)*(AH83:AS83-$C$7:$N$7))))</f>
        <v/>
      </c>
      <c r="AH83">
        <f>IF(C82&lt;=0,0,ROUND(C82*(1+IF(AND(C$6&gt;0,$B83&lt;C$6),C$4,C$5)/12),2))</f>
        <v/>
      </c>
      <c r="AI83">
        <f>IF(D82&lt;=0,0,ROUND(D82*(1+IF(AND(D$6&gt;0,$B83&lt;D$6),D$4,D$5)/12),2))</f>
        <v/>
      </c>
      <c r="AJ83">
        <f>IF(E82&lt;=0,0,ROUND(E82*(1+IF(AND(E$6&gt;0,$B83&lt;E$6),E$4,E$5)/12),2))</f>
        <v/>
      </c>
      <c r="AK83">
        <f>IF(F82&lt;=0,0,ROUND(F82*(1+IF(AND(F$6&gt;0,$B83&lt;F$6),F$4,F$5)/12),2))</f>
        <v/>
      </c>
      <c r="AL83">
        <f>IF(G82&lt;=0,0,ROUND(G82*(1+IF(AND(G$6&gt;0,$B83&lt;G$6),G$4,G$5)/12),2))</f>
        <v/>
      </c>
      <c r="AM83">
        <f>IF(H82&lt;=0,0,ROUND(H82*(1+IF(AND(H$6&gt;0,$B83&lt;H$6),H$4,H$5)/12),2))</f>
        <v/>
      </c>
      <c r="AN83">
        <f>IF(I82&lt;=0,0,ROUND(I82*(1+IF(AND(I$6&gt;0,$B83&lt;I$6),I$4,I$5)/12),2))</f>
        <v/>
      </c>
      <c r="AO83">
        <f>IF(J82&lt;=0,0,ROUND(J82*(1+IF(AND(J$6&gt;0,$B83&lt;J$6),J$4,J$5)/12),2))</f>
        <v/>
      </c>
      <c r="AP83">
        <f>IF(K82&lt;=0,0,ROUND(K82*(1+IF(AND(K$6&gt;0,$B83&lt;K$6),K$4,K$5)/12),2))</f>
        <v/>
      </c>
      <c r="AQ83">
        <f>IF(L82&lt;=0,0,ROUND(L82*(1+IF(AND(L$6&gt;0,$B83&lt;L$6),L$4,L$5)/12),2))</f>
        <v/>
      </c>
      <c r="AR83">
        <f>IF(M82&lt;=0,0,ROUND(M82*(1+IF(AND(M$6&gt;0,$B83&lt;M$6),M$4,M$5)/12),2))</f>
        <v/>
      </c>
      <c r="AS83">
        <f>IF(N82&lt;=0,0,ROUND(N82*(1+IF(AND(N$6&gt;0,$B83&lt;N$6),N$4,N$5)/12),2))</f>
        <v/>
      </c>
    </row>
    <row r="84">
      <c r="A84" t="n">
        <v>73</v>
      </c>
      <c r="B84">
        <f>EDATE(Plan!$C$6,72)</f>
        <v/>
      </c>
      <c r="C84">
        <f>IF(C83&lt;=0,0,MAX(0,AH84-O84))</f>
        <v/>
      </c>
      <c r="D84">
        <f>IF(D83&lt;=0,0,MAX(0,AI84-P84))</f>
        <v/>
      </c>
      <c r="E84">
        <f>IF(E83&lt;=0,0,MAX(0,AJ84-Q84))</f>
        <v/>
      </c>
      <c r="F84">
        <f>IF(F83&lt;=0,0,MAX(0,AK84-R84))</f>
        <v/>
      </c>
      <c r="G84">
        <f>IF(G83&lt;=0,0,MAX(0,AL84-S84))</f>
        <v/>
      </c>
      <c r="H84">
        <f>IF(H83&lt;=0,0,MAX(0,AM84-T84))</f>
        <v/>
      </c>
      <c r="I84">
        <f>IF(I83&lt;=0,0,MAX(0,AN84-U84))</f>
        <v/>
      </c>
      <c r="J84">
        <f>IF(J83&lt;=0,0,MAX(0,AO84-V84))</f>
        <v/>
      </c>
      <c r="K84">
        <f>IF(K83&lt;=0,0,MAX(0,AP84-W84))</f>
        <v/>
      </c>
      <c r="L84">
        <f>IF(L83&lt;=0,0,MAX(0,AQ84-X84))</f>
        <v/>
      </c>
      <c r="M84">
        <f>IF(M83&lt;=0,0,MAX(0,AR84-Y84))</f>
        <v/>
      </c>
      <c r="N84">
        <f>IF(N83&lt;=0,0,MAX(0,AS84-Z84))</f>
        <v/>
      </c>
      <c r="O84">
        <f>IF(C83&lt;=0,0,MIN(AH84,C$7+IF(C$2=$AA84,$AC84,IF(C$2=$AF84,$AG84,0))))</f>
        <v/>
      </c>
      <c r="P84">
        <f>IF(D83&lt;=0,0,MIN(AI84,D$7+IF(D$2=$AA84,$AC84,IF(D$2=$AF84,$AG84,0))))</f>
        <v/>
      </c>
      <c r="Q84">
        <f>IF(E83&lt;=0,0,MIN(AJ84,E$7+IF(E$2=$AA84,$AC84,IF(E$2=$AF84,$AG84,0))))</f>
        <v/>
      </c>
      <c r="R84">
        <f>IF(F83&lt;=0,0,MIN(AK84,F$7+IF(F$2=$AA84,$AC84,IF(F$2=$AF84,$AG84,0))))</f>
        <v/>
      </c>
      <c r="S84">
        <f>IF(G83&lt;=0,0,MIN(AL84,G$7+IF(G$2=$AA84,$AC84,IF(G$2=$AF84,$AG84,0))))</f>
        <v/>
      </c>
      <c r="T84">
        <f>IF(H83&lt;=0,0,MIN(AM84,H$7+IF(H$2=$AA84,$AC84,IF(H$2=$AF84,$AG84,0))))</f>
        <v/>
      </c>
      <c r="U84">
        <f>IF(I83&lt;=0,0,MIN(AN84,I$7+IF(I$2=$AA84,$AC84,IF(I$2=$AF84,$AG84,0))))</f>
        <v/>
      </c>
      <c r="V84">
        <f>IF(J83&lt;=0,0,MIN(AO84,J$7+IF(J$2=$AA84,$AC84,IF(J$2=$AF84,$AG84,0))))</f>
        <v/>
      </c>
      <c r="W84">
        <f>IF(K83&lt;=0,0,MIN(AP84,K$7+IF(K$2=$AA84,$AC84,IF(K$2=$AF84,$AG84,0))))</f>
        <v/>
      </c>
      <c r="X84">
        <f>IF(L83&lt;=0,0,MIN(AQ84,L$7+IF(L$2=$AA84,$AC84,IF(L$2=$AF84,$AG84,0))))</f>
        <v/>
      </c>
      <c r="Y84">
        <f>IF(M83&lt;=0,0,MIN(AR84,M$7+IF(M$2=$AA84,$AC84,IF(M$2=$AF84,$AG84,0))))</f>
        <v/>
      </c>
      <c r="Z84">
        <f>IF(N83&lt;=0,0,MIN(AS84,N$7+IF(N$2=$AA84,$AC84,IF(N$2=$AF84,$AG84,0))))</f>
        <v/>
      </c>
      <c r="AA84">
        <f>IFERROR(ROUND(1/SUMPRODUCT(MAX((C83:N83&gt;0)*($C$3:$N$3&lt;=B84)/$C$2:$N$2)),0),0)</f>
        <v/>
      </c>
      <c r="AB84">
        <f>SUMPRODUCT((C83:N83&gt;0)*$C$7:$N$7)</f>
        <v/>
      </c>
      <c r="AC84">
        <f>MAX(0,Plan!$C$5-AB84)+IF(A84=Plan!$C$8,N(Plan!$C$7),0)</f>
        <v/>
      </c>
      <c r="AD84">
        <f>SUM(C84:N84)</f>
        <v/>
      </c>
      <c r="AE84">
        <f>SUM(O84:Z84)</f>
        <v/>
      </c>
      <c r="AF84">
        <f>IFERROR(ROUND(1/SUMPRODUCT(MAX((C83:N83&gt;0)*($C$3:$N$3&lt;=B84)*($C$2:$N$2&gt;AA84)/$C$2:$N$2)),0),0)</f>
        <v/>
      </c>
      <c r="AG84">
        <f>MAX(0,AC84-MAX(0,SUMPRODUCT(($C$2:$N$2=AA84)*(AH84:AS84-$C$7:$N$7))))</f>
        <v/>
      </c>
      <c r="AH84">
        <f>IF(C83&lt;=0,0,ROUND(C83*(1+IF(AND(C$6&gt;0,$B84&lt;C$6),C$4,C$5)/12),2))</f>
        <v/>
      </c>
      <c r="AI84">
        <f>IF(D83&lt;=0,0,ROUND(D83*(1+IF(AND(D$6&gt;0,$B84&lt;D$6),D$4,D$5)/12),2))</f>
        <v/>
      </c>
      <c r="AJ84">
        <f>IF(E83&lt;=0,0,ROUND(E83*(1+IF(AND(E$6&gt;0,$B84&lt;E$6),E$4,E$5)/12),2))</f>
        <v/>
      </c>
      <c r="AK84">
        <f>IF(F83&lt;=0,0,ROUND(F83*(1+IF(AND(F$6&gt;0,$B84&lt;F$6),F$4,F$5)/12),2))</f>
        <v/>
      </c>
      <c r="AL84">
        <f>IF(G83&lt;=0,0,ROUND(G83*(1+IF(AND(G$6&gt;0,$B84&lt;G$6),G$4,G$5)/12),2))</f>
        <v/>
      </c>
      <c r="AM84">
        <f>IF(H83&lt;=0,0,ROUND(H83*(1+IF(AND(H$6&gt;0,$B84&lt;H$6),H$4,H$5)/12),2))</f>
        <v/>
      </c>
      <c r="AN84">
        <f>IF(I83&lt;=0,0,ROUND(I83*(1+IF(AND(I$6&gt;0,$B84&lt;I$6),I$4,I$5)/12),2))</f>
        <v/>
      </c>
      <c r="AO84">
        <f>IF(J83&lt;=0,0,ROUND(J83*(1+IF(AND(J$6&gt;0,$B84&lt;J$6),J$4,J$5)/12),2))</f>
        <v/>
      </c>
      <c r="AP84">
        <f>IF(K83&lt;=0,0,ROUND(K83*(1+IF(AND(K$6&gt;0,$B84&lt;K$6),K$4,K$5)/12),2))</f>
        <v/>
      </c>
      <c r="AQ84">
        <f>IF(L83&lt;=0,0,ROUND(L83*(1+IF(AND(L$6&gt;0,$B84&lt;L$6),L$4,L$5)/12),2))</f>
        <v/>
      </c>
      <c r="AR84">
        <f>IF(M83&lt;=0,0,ROUND(M83*(1+IF(AND(M$6&gt;0,$B84&lt;M$6),M$4,M$5)/12),2))</f>
        <v/>
      </c>
      <c r="AS84">
        <f>IF(N83&lt;=0,0,ROUND(N83*(1+IF(AND(N$6&gt;0,$B84&lt;N$6),N$4,N$5)/12),2))</f>
        <v/>
      </c>
    </row>
    <row r="85">
      <c r="A85" t="n">
        <v>74</v>
      </c>
      <c r="B85">
        <f>EDATE(Plan!$C$6,73)</f>
        <v/>
      </c>
      <c r="C85">
        <f>IF(C84&lt;=0,0,MAX(0,AH85-O85))</f>
        <v/>
      </c>
      <c r="D85">
        <f>IF(D84&lt;=0,0,MAX(0,AI85-P85))</f>
        <v/>
      </c>
      <c r="E85">
        <f>IF(E84&lt;=0,0,MAX(0,AJ85-Q85))</f>
        <v/>
      </c>
      <c r="F85">
        <f>IF(F84&lt;=0,0,MAX(0,AK85-R85))</f>
        <v/>
      </c>
      <c r="G85">
        <f>IF(G84&lt;=0,0,MAX(0,AL85-S85))</f>
        <v/>
      </c>
      <c r="H85">
        <f>IF(H84&lt;=0,0,MAX(0,AM85-T85))</f>
        <v/>
      </c>
      <c r="I85">
        <f>IF(I84&lt;=0,0,MAX(0,AN85-U85))</f>
        <v/>
      </c>
      <c r="J85">
        <f>IF(J84&lt;=0,0,MAX(0,AO85-V85))</f>
        <v/>
      </c>
      <c r="K85">
        <f>IF(K84&lt;=0,0,MAX(0,AP85-W85))</f>
        <v/>
      </c>
      <c r="L85">
        <f>IF(L84&lt;=0,0,MAX(0,AQ85-X85))</f>
        <v/>
      </c>
      <c r="M85">
        <f>IF(M84&lt;=0,0,MAX(0,AR85-Y85))</f>
        <v/>
      </c>
      <c r="N85">
        <f>IF(N84&lt;=0,0,MAX(0,AS85-Z85))</f>
        <v/>
      </c>
      <c r="O85">
        <f>IF(C84&lt;=0,0,MIN(AH85,C$7+IF(C$2=$AA85,$AC85,IF(C$2=$AF85,$AG85,0))))</f>
        <v/>
      </c>
      <c r="P85">
        <f>IF(D84&lt;=0,0,MIN(AI85,D$7+IF(D$2=$AA85,$AC85,IF(D$2=$AF85,$AG85,0))))</f>
        <v/>
      </c>
      <c r="Q85">
        <f>IF(E84&lt;=0,0,MIN(AJ85,E$7+IF(E$2=$AA85,$AC85,IF(E$2=$AF85,$AG85,0))))</f>
        <v/>
      </c>
      <c r="R85">
        <f>IF(F84&lt;=0,0,MIN(AK85,F$7+IF(F$2=$AA85,$AC85,IF(F$2=$AF85,$AG85,0))))</f>
        <v/>
      </c>
      <c r="S85">
        <f>IF(G84&lt;=0,0,MIN(AL85,G$7+IF(G$2=$AA85,$AC85,IF(G$2=$AF85,$AG85,0))))</f>
        <v/>
      </c>
      <c r="T85">
        <f>IF(H84&lt;=0,0,MIN(AM85,H$7+IF(H$2=$AA85,$AC85,IF(H$2=$AF85,$AG85,0))))</f>
        <v/>
      </c>
      <c r="U85">
        <f>IF(I84&lt;=0,0,MIN(AN85,I$7+IF(I$2=$AA85,$AC85,IF(I$2=$AF85,$AG85,0))))</f>
        <v/>
      </c>
      <c r="V85">
        <f>IF(J84&lt;=0,0,MIN(AO85,J$7+IF(J$2=$AA85,$AC85,IF(J$2=$AF85,$AG85,0))))</f>
        <v/>
      </c>
      <c r="W85">
        <f>IF(K84&lt;=0,0,MIN(AP85,K$7+IF(K$2=$AA85,$AC85,IF(K$2=$AF85,$AG85,0))))</f>
        <v/>
      </c>
      <c r="X85">
        <f>IF(L84&lt;=0,0,MIN(AQ85,L$7+IF(L$2=$AA85,$AC85,IF(L$2=$AF85,$AG85,0))))</f>
        <v/>
      </c>
      <c r="Y85">
        <f>IF(M84&lt;=0,0,MIN(AR85,M$7+IF(M$2=$AA85,$AC85,IF(M$2=$AF85,$AG85,0))))</f>
        <v/>
      </c>
      <c r="Z85">
        <f>IF(N84&lt;=0,0,MIN(AS85,N$7+IF(N$2=$AA85,$AC85,IF(N$2=$AF85,$AG85,0))))</f>
        <v/>
      </c>
      <c r="AA85">
        <f>IFERROR(ROUND(1/SUMPRODUCT(MAX((C84:N84&gt;0)*($C$3:$N$3&lt;=B85)/$C$2:$N$2)),0),0)</f>
        <v/>
      </c>
      <c r="AB85">
        <f>SUMPRODUCT((C84:N84&gt;0)*$C$7:$N$7)</f>
        <v/>
      </c>
      <c r="AC85">
        <f>MAX(0,Plan!$C$5-AB85)+IF(A85=Plan!$C$8,N(Plan!$C$7),0)</f>
        <v/>
      </c>
      <c r="AD85">
        <f>SUM(C85:N85)</f>
        <v/>
      </c>
      <c r="AE85">
        <f>SUM(O85:Z85)</f>
        <v/>
      </c>
      <c r="AF85">
        <f>IFERROR(ROUND(1/SUMPRODUCT(MAX((C84:N84&gt;0)*($C$3:$N$3&lt;=B85)*($C$2:$N$2&gt;AA85)/$C$2:$N$2)),0),0)</f>
        <v/>
      </c>
      <c r="AG85">
        <f>MAX(0,AC85-MAX(0,SUMPRODUCT(($C$2:$N$2=AA85)*(AH85:AS85-$C$7:$N$7))))</f>
        <v/>
      </c>
      <c r="AH85">
        <f>IF(C84&lt;=0,0,ROUND(C84*(1+IF(AND(C$6&gt;0,$B85&lt;C$6),C$4,C$5)/12),2))</f>
        <v/>
      </c>
      <c r="AI85">
        <f>IF(D84&lt;=0,0,ROUND(D84*(1+IF(AND(D$6&gt;0,$B85&lt;D$6),D$4,D$5)/12),2))</f>
        <v/>
      </c>
      <c r="AJ85">
        <f>IF(E84&lt;=0,0,ROUND(E84*(1+IF(AND(E$6&gt;0,$B85&lt;E$6),E$4,E$5)/12),2))</f>
        <v/>
      </c>
      <c r="AK85">
        <f>IF(F84&lt;=0,0,ROUND(F84*(1+IF(AND(F$6&gt;0,$B85&lt;F$6),F$4,F$5)/12),2))</f>
        <v/>
      </c>
      <c r="AL85">
        <f>IF(G84&lt;=0,0,ROUND(G84*(1+IF(AND(G$6&gt;0,$B85&lt;G$6),G$4,G$5)/12),2))</f>
        <v/>
      </c>
      <c r="AM85">
        <f>IF(H84&lt;=0,0,ROUND(H84*(1+IF(AND(H$6&gt;0,$B85&lt;H$6),H$4,H$5)/12),2))</f>
        <v/>
      </c>
      <c r="AN85">
        <f>IF(I84&lt;=0,0,ROUND(I84*(1+IF(AND(I$6&gt;0,$B85&lt;I$6),I$4,I$5)/12),2))</f>
        <v/>
      </c>
      <c r="AO85">
        <f>IF(J84&lt;=0,0,ROUND(J84*(1+IF(AND(J$6&gt;0,$B85&lt;J$6),J$4,J$5)/12),2))</f>
        <v/>
      </c>
      <c r="AP85">
        <f>IF(K84&lt;=0,0,ROUND(K84*(1+IF(AND(K$6&gt;0,$B85&lt;K$6),K$4,K$5)/12),2))</f>
        <v/>
      </c>
      <c r="AQ85">
        <f>IF(L84&lt;=0,0,ROUND(L84*(1+IF(AND(L$6&gt;0,$B85&lt;L$6),L$4,L$5)/12),2))</f>
        <v/>
      </c>
      <c r="AR85">
        <f>IF(M84&lt;=0,0,ROUND(M84*(1+IF(AND(M$6&gt;0,$B85&lt;M$6),M$4,M$5)/12),2))</f>
        <v/>
      </c>
      <c r="AS85">
        <f>IF(N84&lt;=0,0,ROUND(N84*(1+IF(AND(N$6&gt;0,$B85&lt;N$6),N$4,N$5)/12),2))</f>
        <v/>
      </c>
    </row>
    <row r="86">
      <c r="A86" t="n">
        <v>75</v>
      </c>
      <c r="B86">
        <f>EDATE(Plan!$C$6,74)</f>
        <v/>
      </c>
      <c r="C86">
        <f>IF(C85&lt;=0,0,MAX(0,AH86-O86))</f>
        <v/>
      </c>
      <c r="D86">
        <f>IF(D85&lt;=0,0,MAX(0,AI86-P86))</f>
        <v/>
      </c>
      <c r="E86">
        <f>IF(E85&lt;=0,0,MAX(0,AJ86-Q86))</f>
        <v/>
      </c>
      <c r="F86">
        <f>IF(F85&lt;=0,0,MAX(0,AK86-R86))</f>
        <v/>
      </c>
      <c r="G86">
        <f>IF(G85&lt;=0,0,MAX(0,AL86-S86))</f>
        <v/>
      </c>
      <c r="H86">
        <f>IF(H85&lt;=0,0,MAX(0,AM86-T86))</f>
        <v/>
      </c>
      <c r="I86">
        <f>IF(I85&lt;=0,0,MAX(0,AN86-U86))</f>
        <v/>
      </c>
      <c r="J86">
        <f>IF(J85&lt;=0,0,MAX(0,AO86-V86))</f>
        <v/>
      </c>
      <c r="K86">
        <f>IF(K85&lt;=0,0,MAX(0,AP86-W86))</f>
        <v/>
      </c>
      <c r="L86">
        <f>IF(L85&lt;=0,0,MAX(0,AQ86-X86))</f>
        <v/>
      </c>
      <c r="M86">
        <f>IF(M85&lt;=0,0,MAX(0,AR86-Y86))</f>
        <v/>
      </c>
      <c r="N86">
        <f>IF(N85&lt;=0,0,MAX(0,AS86-Z86))</f>
        <v/>
      </c>
      <c r="O86">
        <f>IF(C85&lt;=0,0,MIN(AH86,C$7+IF(C$2=$AA86,$AC86,IF(C$2=$AF86,$AG86,0))))</f>
        <v/>
      </c>
      <c r="P86">
        <f>IF(D85&lt;=0,0,MIN(AI86,D$7+IF(D$2=$AA86,$AC86,IF(D$2=$AF86,$AG86,0))))</f>
        <v/>
      </c>
      <c r="Q86">
        <f>IF(E85&lt;=0,0,MIN(AJ86,E$7+IF(E$2=$AA86,$AC86,IF(E$2=$AF86,$AG86,0))))</f>
        <v/>
      </c>
      <c r="R86">
        <f>IF(F85&lt;=0,0,MIN(AK86,F$7+IF(F$2=$AA86,$AC86,IF(F$2=$AF86,$AG86,0))))</f>
        <v/>
      </c>
      <c r="S86">
        <f>IF(G85&lt;=0,0,MIN(AL86,G$7+IF(G$2=$AA86,$AC86,IF(G$2=$AF86,$AG86,0))))</f>
        <v/>
      </c>
      <c r="T86">
        <f>IF(H85&lt;=0,0,MIN(AM86,H$7+IF(H$2=$AA86,$AC86,IF(H$2=$AF86,$AG86,0))))</f>
        <v/>
      </c>
      <c r="U86">
        <f>IF(I85&lt;=0,0,MIN(AN86,I$7+IF(I$2=$AA86,$AC86,IF(I$2=$AF86,$AG86,0))))</f>
        <v/>
      </c>
      <c r="V86">
        <f>IF(J85&lt;=0,0,MIN(AO86,J$7+IF(J$2=$AA86,$AC86,IF(J$2=$AF86,$AG86,0))))</f>
        <v/>
      </c>
      <c r="W86">
        <f>IF(K85&lt;=0,0,MIN(AP86,K$7+IF(K$2=$AA86,$AC86,IF(K$2=$AF86,$AG86,0))))</f>
        <v/>
      </c>
      <c r="X86">
        <f>IF(L85&lt;=0,0,MIN(AQ86,L$7+IF(L$2=$AA86,$AC86,IF(L$2=$AF86,$AG86,0))))</f>
        <v/>
      </c>
      <c r="Y86">
        <f>IF(M85&lt;=0,0,MIN(AR86,M$7+IF(M$2=$AA86,$AC86,IF(M$2=$AF86,$AG86,0))))</f>
        <v/>
      </c>
      <c r="Z86">
        <f>IF(N85&lt;=0,0,MIN(AS86,N$7+IF(N$2=$AA86,$AC86,IF(N$2=$AF86,$AG86,0))))</f>
        <v/>
      </c>
      <c r="AA86">
        <f>IFERROR(ROUND(1/SUMPRODUCT(MAX((C85:N85&gt;0)*($C$3:$N$3&lt;=B86)/$C$2:$N$2)),0),0)</f>
        <v/>
      </c>
      <c r="AB86">
        <f>SUMPRODUCT((C85:N85&gt;0)*$C$7:$N$7)</f>
        <v/>
      </c>
      <c r="AC86">
        <f>MAX(0,Plan!$C$5-AB86)+IF(A86=Plan!$C$8,N(Plan!$C$7),0)</f>
        <v/>
      </c>
      <c r="AD86">
        <f>SUM(C86:N86)</f>
        <v/>
      </c>
      <c r="AE86">
        <f>SUM(O86:Z86)</f>
        <v/>
      </c>
      <c r="AF86">
        <f>IFERROR(ROUND(1/SUMPRODUCT(MAX((C85:N85&gt;0)*($C$3:$N$3&lt;=B86)*($C$2:$N$2&gt;AA86)/$C$2:$N$2)),0),0)</f>
        <v/>
      </c>
      <c r="AG86">
        <f>MAX(0,AC86-MAX(0,SUMPRODUCT(($C$2:$N$2=AA86)*(AH86:AS86-$C$7:$N$7))))</f>
        <v/>
      </c>
      <c r="AH86">
        <f>IF(C85&lt;=0,0,ROUND(C85*(1+IF(AND(C$6&gt;0,$B86&lt;C$6),C$4,C$5)/12),2))</f>
        <v/>
      </c>
      <c r="AI86">
        <f>IF(D85&lt;=0,0,ROUND(D85*(1+IF(AND(D$6&gt;0,$B86&lt;D$6),D$4,D$5)/12),2))</f>
        <v/>
      </c>
      <c r="AJ86">
        <f>IF(E85&lt;=0,0,ROUND(E85*(1+IF(AND(E$6&gt;0,$B86&lt;E$6),E$4,E$5)/12),2))</f>
        <v/>
      </c>
      <c r="AK86">
        <f>IF(F85&lt;=0,0,ROUND(F85*(1+IF(AND(F$6&gt;0,$B86&lt;F$6),F$4,F$5)/12),2))</f>
        <v/>
      </c>
      <c r="AL86">
        <f>IF(G85&lt;=0,0,ROUND(G85*(1+IF(AND(G$6&gt;0,$B86&lt;G$6),G$4,G$5)/12),2))</f>
        <v/>
      </c>
      <c r="AM86">
        <f>IF(H85&lt;=0,0,ROUND(H85*(1+IF(AND(H$6&gt;0,$B86&lt;H$6),H$4,H$5)/12),2))</f>
        <v/>
      </c>
      <c r="AN86">
        <f>IF(I85&lt;=0,0,ROUND(I85*(1+IF(AND(I$6&gt;0,$B86&lt;I$6),I$4,I$5)/12),2))</f>
        <v/>
      </c>
      <c r="AO86">
        <f>IF(J85&lt;=0,0,ROUND(J85*(1+IF(AND(J$6&gt;0,$B86&lt;J$6),J$4,J$5)/12),2))</f>
        <v/>
      </c>
      <c r="AP86">
        <f>IF(K85&lt;=0,0,ROUND(K85*(1+IF(AND(K$6&gt;0,$B86&lt;K$6),K$4,K$5)/12),2))</f>
        <v/>
      </c>
      <c r="AQ86">
        <f>IF(L85&lt;=0,0,ROUND(L85*(1+IF(AND(L$6&gt;0,$B86&lt;L$6),L$4,L$5)/12),2))</f>
        <v/>
      </c>
      <c r="AR86">
        <f>IF(M85&lt;=0,0,ROUND(M85*(1+IF(AND(M$6&gt;0,$B86&lt;M$6),M$4,M$5)/12),2))</f>
        <v/>
      </c>
      <c r="AS86">
        <f>IF(N85&lt;=0,0,ROUND(N85*(1+IF(AND(N$6&gt;0,$B86&lt;N$6),N$4,N$5)/12),2))</f>
        <v/>
      </c>
    </row>
    <row r="87">
      <c r="A87" t="n">
        <v>76</v>
      </c>
      <c r="B87">
        <f>EDATE(Plan!$C$6,75)</f>
        <v/>
      </c>
      <c r="C87">
        <f>IF(C86&lt;=0,0,MAX(0,AH87-O87))</f>
        <v/>
      </c>
      <c r="D87">
        <f>IF(D86&lt;=0,0,MAX(0,AI87-P87))</f>
        <v/>
      </c>
      <c r="E87">
        <f>IF(E86&lt;=0,0,MAX(0,AJ87-Q87))</f>
        <v/>
      </c>
      <c r="F87">
        <f>IF(F86&lt;=0,0,MAX(0,AK87-R87))</f>
        <v/>
      </c>
      <c r="G87">
        <f>IF(G86&lt;=0,0,MAX(0,AL87-S87))</f>
        <v/>
      </c>
      <c r="H87">
        <f>IF(H86&lt;=0,0,MAX(0,AM87-T87))</f>
        <v/>
      </c>
      <c r="I87">
        <f>IF(I86&lt;=0,0,MAX(0,AN87-U87))</f>
        <v/>
      </c>
      <c r="J87">
        <f>IF(J86&lt;=0,0,MAX(0,AO87-V87))</f>
        <v/>
      </c>
      <c r="K87">
        <f>IF(K86&lt;=0,0,MAX(0,AP87-W87))</f>
        <v/>
      </c>
      <c r="L87">
        <f>IF(L86&lt;=0,0,MAX(0,AQ87-X87))</f>
        <v/>
      </c>
      <c r="M87">
        <f>IF(M86&lt;=0,0,MAX(0,AR87-Y87))</f>
        <v/>
      </c>
      <c r="N87">
        <f>IF(N86&lt;=0,0,MAX(0,AS87-Z87))</f>
        <v/>
      </c>
      <c r="O87">
        <f>IF(C86&lt;=0,0,MIN(AH87,C$7+IF(C$2=$AA87,$AC87,IF(C$2=$AF87,$AG87,0))))</f>
        <v/>
      </c>
      <c r="P87">
        <f>IF(D86&lt;=0,0,MIN(AI87,D$7+IF(D$2=$AA87,$AC87,IF(D$2=$AF87,$AG87,0))))</f>
        <v/>
      </c>
      <c r="Q87">
        <f>IF(E86&lt;=0,0,MIN(AJ87,E$7+IF(E$2=$AA87,$AC87,IF(E$2=$AF87,$AG87,0))))</f>
        <v/>
      </c>
      <c r="R87">
        <f>IF(F86&lt;=0,0,MIN(AK87,F$7+IF(F$2=$AA87,$AC87,IF(F$2=$AF87,$AG87,0))))</f>
        <v/>
      </c>
      <c r="S87">
        <f>IF(G86&lt;=0,0,MIN(AL87,G$7+IF(G$2=$AA87,$AC87,IF(G$2=$AF87,$AG87,0))))</f>
        <v/>
      </c>
      <c r="T87">
        <f>IF(H86&lt;=0,0,MIN(AM87,H$7+IF(H$2=$AA87,$AC87,IF(H$2=$AF87,$AG87,0))))</f>
        <v/>
      </c>
      <c r="U87">
        <f>IF(I86&lt;=0,0,MIN(AN87,I$7+IF(I$2=$AA87,$AC87,IF(I$2=$AF87,$AG87,0))))</f>
        <v/>
      </c>
      <c r="V87">
        <f>IF(J86&lt;=0,0,MIN(AO87,J$7+IF(J$2=$AA87,$AC87,IF(J$2=$AF87,$AG87,0))))</f>
        <v/>
      </c>
      <c r="W87">
        <f>IF(K86&lt;=0,0,MIN(AP87,K$7+IF(K$2=$AA87,$AC87,IF(K$2=$AF87,$AG87,0))))</f>
        <v/>
      </c>
      <c r="X87">
        <f>IF(L86&lt;=0,0,MIN(AQ87,L$7+IF(L$2=$AA87,$AC87,IF(L$2=$AF87,$AG87,0))))</f>
        <v/>
      </c>
      <c r="Y87">
        <f>IF(M86&lt;=0,0,MIN(AR87,M$7+IF(M$2=$AA87,$AC87,IF(M$2=$AF87,$AG87,0))))</f>
        <v/>
      </c>
      <c r="Z87">
        <f>IF(N86&lt;=0,0,MIN(AS87,N$7+IF(N$2=$AA87,$AC87,IF(N$2=$AF87,$AG87,0))))</f>
        <v/>
      </c>
      <c r="AA87">
        <f>IFERROR(ROUND(1/SUMPRODUCT(MAX((C86:N86&gt;0)*($C$3:$N$3&lt;=B87)/$C$2:$N$2)),0),0)</f>
        <v/>
      </c>
      <c r="AB87">
        <f>SUMPRODUCT((C86:N86&gt;0)*$C$7:$N$7)</f>
        <v/>
      </c>
      <c r="AC87">
        <f>MAX(0,Plan!$C$5-AB87)+IF(A87=Plan!$C$8,N(Plan!$C$7),0)</f>
        <v/>
      </c>
      <c r="AD87">
        <f>SUM(C87:N87)</f>
        <v/>
      </c>
      <c r="AE87">
        <f>SUM(O87:Z87)</f>
        <v/>
      </c>
      <c r="AF87">
        <f>IFERROR(ROUND(1/SUMPRODUCT(MAX((C86:N86&gt;0)*($C$3:$N$3&lt;=B87)*($C$2:$N$2&gt;AA87)/$C$2:$N$2)),0),0)</f>
        <v/>
      </c>
      <c r="AG87">
        <f>MAX(0,AC87-MAX(0,SUMPRODUCT(($C$2:$N$2=AA87)*(AH87:AS87-$C$7:$N$7))))</f>
        <v/>
      </c>
      <c r="AH87">
        <f>IF(C86&lt;=0,0,ROUND(C86*(1+IF(AND(C$6&gt;0,$B87&lt;C$6),C$4,C$5)/12),2))</f>
        <v/>
      </c>
      <c r="AI87">
        <f>IF(D86&lt;=0,0,ROUND(D86*(1+IF(AND(D$6&gt;0,$B87&lt;D$6),D$4,D$5)/12),2))</f>
        <v/>
      </c>
      <c r="AJ87">
        <f>IF(E86&lt;=0,0,ROUND(E86*(1+IF(AND(E$6&gt;0,$B87&lt;E$6),E$4,E$5)/12),2))</f>
        <v/>
      </c>
      <c r="AK87">
        <f>IF(F86&lt;=0,0,ROUND(F86*(1+IF(AND(F$6&gt;0,$B87&lt;F$6),F$4,F$5)/12),2))</f>
        <v/>
      </c>
      <c r="AL87">
        <f>IF(G86&lt;=0,0,ROUND(G86*(1+IF(AND(G$6&gt;0,$B87&lt;G$6),G$4,G$5)/12),2))</f>
        <v/>
      </c>
      <c r="AM87">
        <f>IF(H86&lt;=0,0,ROUND(H86*(1+IF(AND(H$6&gt;0,$B87&lt;H$6),H$4,H$5)/12),2))</f>
        <v/>
      </c>
      <c r="AN87">
        <f>IF(I86&lt;=0,0,ROUND(I86*(1+IF(AND(I$6&gt;0,$B87&lt;I$6),I$4,I$5)/12),2))</f>
        <v/>
      </c>
      <c r="AO87">
        <f>IF(J86&lt;=0,0,ROUND(J86*(1+IF(AND(J$6&gt;0,$B87&lt;J$6),J$4,J$5)/12),2))</f>
        <v/>
      </c>
      <c r="AP87">
        <f>IF(K86&lt;=0,0,ROUND(K86*(1+IF(AND(K$6&gt;0,$B87&lt;K$6),K$4,K$5)/12),2))</f>
        <v/>
      </c>
      <c r="AQ87">
        <f>IF(L86&lt;=0,0,ROUND(L86*(1+IF(AND(L$6&gt;0,$B87&lt;L$6),L$4,L$5)/12),2))</f>
        <v/>
      </c>
      <c r="AR87">
        <f>IF(M86&lt;=0,0,ROUND(M86*(1+IF(AND(M$6&gt;0,$B87&lt;M$6),M$4,M$5)/12),2))</f>
        <v/>
      </c>
      <c r="AS87">
        <f>IF(N86&lt;=0,0,ROUND(N86*(1+IF(AND(N$6&gt;0,$B87&lt;N$6),N$4,N$5)/12),2))</f>
        <v/>
      </c>
    </row>
    <row r="88">
      <c r="A88" t="n">
        <v>77</v>
      </c>
      <c r="B88">
        <f>EDATE(Plan!$C$6,76)</f>
        <v/>
      </c>
      <c r="C88">
        <f>IF(C87&lt;=0,0,MAX(0,AH88-O88))</f>
        <v/>
      </c>
      <c r="D88">
        <f>IF(D87&lt;=0,0,MAX(0,AI88-P88))</f>
        <v/>
      </c>
      <c r="E88">
        <f>IF(E87&lt;=0,0,MAX(0,AJ88-Q88))</f>
        <v/>
      </c>
      <c r="F88">
        <f>IF(F87&lt;=0,0,MAX(0,AK88-R88))</f>
        <v/>
      </c>
      <c r="G88">
        <f>IF(G87&lt;=0,0,MAX(0,AL88-S88))</f>
        <v/>
      </c>
      <c r="H88">
        <f>IF(H87&lt;=0,0,MAX(0,AM88-T88))</f>
        <v/>
      </c>
      <c r="I88">
        <f>IF(I87&lt;=0,0,MAX(0,AN88-U88))</f>
        <v/>
      </c>
      <c r="J88">
        <f>IF(J87&lt;=0,0,MAX(0,AO88-V88))</f>
        <v/>
      </c>
      <c r="K88">
        <f>IF(K87&lt;=0,0,MAX(0,AP88-W88))</f>
        <v/>
      </c>
      <c r="L88">
        <f>IF(L87&lt;=0,0,MAX(0,AQ88-X88))</f>
        <v/>
      </c>
      <c r="M88">
        <f>IF(M87&lt;=0,0,MAX(0,AR88-Y88))</f>
        <v/>
      </c>
      <c r="N88">
        <f>IF(N87&lt;=0,0,MAX(0,AS88-Z88))</f>
        <v/>
      </c>
      <c r="O88">
        <f>IF(C87&lt;=0,0,MIN(AH88,C$7+IF(C$2=$AA88,$AC88,IF(C$2=$AF88,$AG88,0))))</f>
        <v/>
      </c>
      <c r="P88">
        <f>IF(D87&lt;=0,0,MIN(AI88,D$7+IF(D$2=$AA88,$AC88,IF(D$2=$AF88,$AG88,0))))</f>
        <v/>
      </c>
      <c r="Q88">
        <f>IF(E87&lt;=0,0,MIN(AJ88,E$7+IF(E$2=$AA88,$AC88,IF(E$2=$AF88,$AG88,0))))</f>
        <v/>
      </c>
      <c r="R88">
        <f>IF(F87&lt;=0,0,MIN(AK88,F$7+IF(F$2=$AA88,$AC88,IF(F$2=$AF88,$AG88,0))))</f>
        <v/>
      </c>
      <c r="S88">
        <f>IF(G87&lt;=0,0,MIN(AL88,G$7+IF(G$2=$AA88,$AC88,IF(G$2=$AF88,$AG88,0))))</f>
        <v/>
      </c>
      <c r="T88">
        <f>IF(H87&lt;=0,0,MIN(AM88,H$7+IF(H$2=$AA88,$AC88,IF(H$2=$AF88,$AG88,0))))</f>
        <v/>
      </c>
      <c r="U88">
        <f>IF(I87&lt;=0,0,MIN(AN88,I$7+IF(I$2=$AA88,$AC88,IF(I$2=$AF88,$AG88,0))))</f>
        <v/>
      </c>
      <c r="V88">
        <f>IF(J87&lt;=0,0,MIN(AO88,J$7+IF(J$2=$AA88,$AC88,IF(J$2=$AF88,$AG88,0))))</f>
        <v/>
      </c>
      <c r="W88">
        <f>IF(K87&lt;=0,0,MIN(AP88,K$7+IF(K$2=$AA88,$AC88,IF(K$2=$AF88,$AG88,0))))</f>
        <v/>
      </c>
      <c r="X88">
        <f>IF(L87&lt;=0,0,MIN(AQ88,L$7+IF(L$2=$AA88,$AC88,IF(L$2=$AF88,$AG88,0))))</f>
        <v/>
      </c>
      <c r="Y88">
        <f>IF(M87&lt;=0,0,MIN(AR88,M$7+IF(M$2=$AA88,$AC88,IF(M$2=$AF88,$AG88,0))))</f>
        <v/>
      </c>
      <c r="Z88">
        <f>IF(N87&lt;=0,0,MIN(AS88,N$7+IF(N$2=$AA88,$AC88,IF(N$2=$AF88,$AG88,0))))</f>
        <v/>
      </c>
      <c r="AA88">
        <f>IFERROR(ROUND(1/SUMPRODUCT(MAX((C87:N87&gt;0)*($C$3:$N$3&lt;=B88)/$C$2:$N$2)),0),0)</f>
        <v/>
      </c>
      <c r="AB88">
        <f>SUMPRODUCT((C87:N87&gt;0)*$C$7:$N$7)</f>
        <v/>
      </c>
      <c r="AC88">
        <f>MAX(0,Plan!$C$5-AB88)+IF(A88=Plan!$C$8,N(Plan!$C$7),0)</f>
        <v/>
      </c>
      <c r="AD88">
        <f>SUM(C88:N88)</f>
        <v/>
      </c>
      <c r="AE88">
        <f>SUM(O88:Z88)</f>
        <v/>
      </c>
      <c r="AF88">
        <f>IFERROR(ROUND(1/SUMPRODUCT(MAX((C87:N87&gt;0)*($C$3:$N$3&lt;=B88)*($C$2:$N$2&gt;AA88)/$C$2:$N$2)),0),0)</f>
        <v/>
      </c>
      <c r="AG88">
        <f>MAX(0,AC88-MAX(0,SUMPRODUCT(($C$2:$N$2=AA88)*(AH88:AS88-$C$7:$N$7))))</f>
        <v/>
      </c>
      <c r="AH88">
        <f>IF(C87&lt;=0,0,ROUND(C87*(1+IF(AND(C$6&gt;0,$B88&lt;C$6),C$4,C$5)/12),2))</f>
        <v/>
      </c>
      <c r="AI88">
        <f>IF(D87&lt;=0,0,ROUND(D87*(1+IF(AND(D$6&gt;0,$B88&lt;D$6),D$4,D$5)/12),2))</f>
        <v/>
      </c>
      <c r="AJ88">
        <f>IF(E87&lt;=0,0,ROUND(E87*(1+IF(AND(E$6&gt;0,$B88&lt;E$6),E$4,E$5)/12),2))</f>
        <v/>
      </c>
      <c r="AK88">
        <f>IF(F87&lt;=0,0,ROUND(F87*(1+IF(AND(F$6&gt;0,$B88&lt;F$6),F$4,F$5)/12),2))</f>
        <v/>
      </c>
      <c r="AL88">
        <f>IF(G87&lt;=0,0,ROUND(G87*(1+IF(AND(G$6&gt;0,$B88&lt;G$6),G$4,G$5)/12),2))</f>
        <v/>
      </c>
      <c r="AM88">
        <f>IF(H87&lt;=0,0,ROUND(H87*(1+IF(AND(H$6&gt;0,$B88&lt;H$6),H$4,H$5)/12),2))</f>
        <v/>
      </c>
      <c r="AN88">
        <f>IF(I87&lt;=0,0,ROUND(I87*(1+IF(AND(I$6&gt;0,$B88&lt;I$6),I$4,I$5)/12),2))</f>
        <v/>
      </c>
      <c r="AO88">
        <f>IF(J87&lt;=0,0,ROUND(J87*(1+IF(AND(J$6&gt;0,$B88&lt;J$6),J$4,J$5)/12),2))</f>
        <v/>
      </c>
      <c r="AP88">
        <f>IF(K87&lt;=0,0,ROUND(K87*(1+IF(AND(K$6&gt;0,$B88&lt;K$6),K$4,K$5)/12),2))</f>
        <v/>
      </c>
      <c r="AQ88">
        <f>IF(L87&lt;=0,0,ROUND(L87*(1+IF(AND(L$6&gt;0,$B88&lt;L$6),L$4,L$5)/12),2))</f>
        <v/>
      </c>
      <c r="AR88">
        <f>IF(M87&lt;=0,0,ROUND(M87*(1+IF(AND(M$6&gt;0,$B88&lt;M$6),M$4,M$5)/12),2))</f>
        <v/>
      </c>
      <c r="AS88">
        <f>IF(N87&lt;=0,0,ROUND(N87*(1+IF(AND(N$6&gt;0,$B88&lt;N$6),N$4,N$5)/12),2))</f>
        <v/>
      </c>
    </row>
    <row r="89">
      <c r="A89" t="n">
        <v>78</v>
      </c>
      <c r="B89">
        <f>EDATE(Plan!$C$6,77)</f>
        <v/>
      </c>
      <c r="C89">
        <f>IF(C88&lt;=0,0,MAX(0,AH89-O89))</f>
        <v/>
      </c>
      <c r="D89">
        <f>IF(D88&lt;=0,0,MAX(0,AI89-P89))</f>
        <v/>
      </c>
      <c r="E89">
        <f>IF(E88&lt;=0,0,MAX(0,AJ89-Q89))</f>
        <v/>
      </c>
      <c r="F89">
        <f>IF(F88&lt;=0,0,MAX(0,AK89-R89))</f>
        <v/>
      </c>
      <c r="G89">
        <f>IF(G88&lt;=0,0,MAX(0,AL89-S89))</f>
        <v/>
      </c>
      <c r="H89">
        <f>IF(H88&lt;=0,0,MAX(0,AM89-T89))</f>
        <v/>
      </c>
      <c r="I89">
        <f>IF(I88&lt;=0,0,MAX(0,AN89-U89))</f>
        <v/>
      </c>
      <c r="J89">
        <f>IF(J88&lt;=0,0,MAX(0,AO89-V89))</f>
        <v/>
      </c>
      <c r="K89">
        <f>IF(K88&lt;=0,0,MAX(0,AP89-W89))</f>
        <v/>
      </c>
      <c r="L89">
        <f>IF(L88&lt;=0,0,MAX(0,AQ89-X89))</f>
        <v/>
      </c>
      <c r="M89">
        <f>IF(M88&lt;=0,0,MAX(0,AR89-Y89))</f>
        <v/>
      </c>
      <c r="N89">
        <f>IF(N88&lt;=0,0,MAX(0,AS89-Z89))</f>
        <v/>
      </c>
      <c r="O89">
        <f>IF(C88&lt;=0,0,MIN(AH89,C$7+IF(C$2=$AA89,$AC89,IF(C$2=$AF89,$AG89,0))))</f>
        <v/>
      </c>
      <c r="P89">
        <f>IF(D88&lt;=0,0,MIN(AI89,D$7+IF(D$2=$AA89,$AC89,IF(D$2=$AF89,$AG89,0))))</f>
        <v/>
      </c>
      <c r="Q89">
        <f>IF(E88&lt;=0,0,MIN(AJ89,E$7+IF(E$2=$AA89,$AC89,IF(E$2=$AF89,$AG89,0))))</f>
        <v/>
      </c>
      <c r="R89">
        <f>IF(F88&lt;=0,0,MIN(AK89,F$7+IF(F$2=$AA89,$AC89,IF(F$2=$AF89,$AG89,0))))</f>
        <v/>
      </c>
      <c r="S89">
        <f>IF(G88&lt;=0,0,MIN(AL89,G$7+IF(G$2=$AA89,$AC89,IF(G$2=$AF89,$AG89,0))))</f>
        <v/>
      </c>
      <c r="T89">
        <f>IF(H88&lt;=0,0,MIN(AM89,H$7+IF(H$2=$AA89,$AC89,IF(H$2=$AF89,$AG89,0))))</f>
        <v/>
      </c>
      <c r="U89">
        <f>IF(I88&lt;=0,0,MIN(AN89,I$7+IF(I$2=$AA89,$AC89,IF(I$2=$AF89,$AG89,0))))</f>
        <v/>
      </c>
      <c r="V89">
        <f>IF(J88&lt;=0,0,MIN(AO89,J$7+IF(J$2=$AA89,$AC89,IF(J$2=$AF89,$AG89,0))))</f>
        <v/>
      </c>
      <c r="W89">
        <f>IF(K88&lt;=0,0,MIN(AP89,K$7+IF(K$2=$AA89,$AC89,IF(K$2=$AF89,$AG89,0))))</f>
        <v/>
      </c>
      <c r="X89">
        <f>IF(L88&lt;=0,0,MIN(AQ89,L$7+IF(L$2=$AA89,$AC89,IF(L$2=$AF89,$AG89,0))))</f>
        <v/>
      </c>
      <c r="Y89">
        <f>IF(M88&lt;=0,0,MIN(AR89,M$7+IF(M$2=$AA89,$AC89,IF(M$2=$AF89,$AG89,0))))</f>
        <v/>
      </c>
      <c r="Z89">
        <f>IF(N88&lt;=0,0,MIN(AS89,N$7+IF(N$2=$AA89,$AC89,IF(N$2=$AF89,$AG89,0))))</f>
        <v/>
      </c>
      <c r="AA89">
        <f>IFERROR(ROUND(1/SUMPRODUCT(MAX((C88:N88&gt;0)*($C$3:$N$3&lt;=B89)/$C$2:$N$2)),0),0)</f>
        <v/>
      </c>
      <c r="AB89">
        <f>SUMPRODUCT((C88:N88&gt;0)*$C$7:$N$7)</f>
        <v/>
      </c>
      <c r="AC89">
        <f>MAX(0,Plan!$C$5-AB89)+IF(A89=Plan!$C$8,N(Plan!$C$7),0)</f>
        <v/>
      </c>
      <c r="AD89">
        <f>SUM(C89:N89)</f>
        <v/>
      </c>
      <c r="AE89">
        <f>SUM(O89:Z89)</f>
        <v/>
      </c>
      <c r="AF89">
        <f>IFERROR(ROUND(1/SUMPRODUCT(MAX((C88:N88&gt;0)*($C$3:$N$3&lt;=B89)*($C$2:$N$2&gt;AA89)/$C$2:$N$2)),0),0)</f>
        <v/>
      </c>
      <c r="AG89">
        <f>MAX(0,AC89-MAX(0,SUMPRODUCT(($C$2:$N$2=AA89)*(AH89:AS89-$C$7:$N$7))))</f>
        <v/>
      </c>
      <c r="AH89">
        <f>IF(C88&lt;=0,0,ROUND(C88*(1+IF(AND(C$6&gt;0,$B89&lt;C$6),C$4,C$5)/12),2))</f>
        <v/>
      </c>
      <c r="AI89">
        <f>IF(D88&lt;=0,0,ROUND(D88*(1+IF(AND(D$6&gt;0,$B89&lt;D$6),D$4,D$5)/12),2))</f>
        <v/>
      </c>
      <c r="AJ89">
        <f>IF(E88&lt;=0,0,ROUND(E88*(1+IF(AND(E$6&gt;0,$B89&lt;E$6),E$4,E$5)/12),2))</f>
        <v/>
      </c>
      <c r="AK89">
        <f>IF(F88&lt;=0,0,ROUND(F88*(1+IF(AND(F$6&gt;0,$B89&lt;F$6),F$4,F$5)/12),2))</f>
        <v/>
      </c>
      <c r="AL89">
        <f>IF(G88&lt;=0,0,ROUND(G88*(1+IF(AND(G$6&gt;0,$B89&lt;G$6),G$4,G$5)/12),2))</f>
        <v/>
      </c>
      <c r="AM89">
        <f>IF(H88&lt;=0,0,ROUND(H88*(1+IF(AND(H$6&gt;0,$B89&lt;H$6),H$4,H$5)/12),2))</f>
        <v/>
      </c>
      <c r="AN89">
        <f>IF(I88&lt;=0,0,ROUND(I88*(1+IF(AND(I$6&gt;0,$B89&lt;I$6),I$4,I$5)/12),2))</f>
        <v/>
      </c>
      <c r="AO89">
        <f>IF(J88&lt;=0,0,ROUND(J88*(1+IF(AND(J$6&gt;0,$B89&lt;J$6),J$4,J$5)/12),2))</f>
        <v/>
      </c>
      <c r="AP89">
        <f>IF(K88&lt;=0,0,ROUND(K88*(1+IF(AND(K$6&gt;0,$B89&lt;K$6),K$4,K$5)/12),2))</f>
        <v/>
      </c>
      <c r="AQ89">
        <f>IF(L88&lt;=0,0,ROUND(L88*(1+IF(AND(L$6&gt;0,$B89&lt;L$6),L$4,L$5)/12),2))</f>
        <v/>
      </c>
      <c r="AR89">
        <f>IF(M88&lt;=0,0,ROUND(M88*(1+IF(AND(M$6&gt;0,$B89&lt;M$6),M$4,M$5)/12),2))</f>
        <v/>
      </c>
      <c r="AS89">
        <f>IF(N88&lt;=0,0,ROUND(N88*(1+IF(AND(N$6&gt;0,$B89&lt;N$6),N$4,N$5)/12),2))</f>
        <v/>
      </c>
    </row>
    <row r="90">
      <c r="A90" t="n">
        <v>79</v>
      </c>
      <c r="B90">
        <f>EDATE(Plan!$C$6,78)</f>
        <v/>
      </c>
      <c r="C90">
        <f>IF(C89&lt;=0,0,MAX(0,AH90-O90))</f>
        <v/>
      </c>
      <c r="D90">
        <f>IF(D89&lt;=0,0,MAX(0,AI90-P90))</f>
        <v/>
      </c>
      <c r="E90">
        <f>IF(E89&lt;=0,0,MAX(0,AJ90-Q90))</f>
        <v/>
      </c>
      <c r="F90">
        <f>IF(F89&lt;=0,0,MAX(0,AK90-R90))</f>
        <v/>
      </c>
      <c r="G90">
        <f>IF(G89&lt;=0,0,MAX(0,AL90-S90))</f>
        <v/>
      </c>
      <c r="H90">
        <f>IF(H89&lt;=0,0,MAX(0,AM90-T90))</f>
        <v/>
      </c>
      <c r="I90">
        <f>IF(I89&lt;=0,0,MAX(0,AN90-U90))</f>
        <v/>
      </c>
      <c r="J90">
        <f>IF(J89&lt;=0,0,MAX(0,AO90-V90))</f>
        <v/>
      </c>
      <c r="K90">
        <f>IF(K89&lt;=0,0,MAX(0,AP90-W90))</f>
        <v/>
      </c>
      <c r="L90">
        <f>IF(L89&lt;=0,0,MAX(0,AQ90-X90))</f>
        <v/>
      </c>
      <c r="M90">
        <f>IF(M89&lt;=0,0,MAX(0,AR90-Y90))</f>
        <v/>
      </c>
      <c r="N90">
        <f>IF(N89&lt;=0,0,MAX(0,AS90-Z90))</f>
        <v/>
      </c>
      <c r="O90">
        <f>IF(C89&lt;=0,0,MIN(AH90,C$7+IF(C$2=$AA90,$AC90,IF(C$2=$AF90,$AG90,0))))</f>
        <v/>
      </c>
      <c r="P90">
        <f>IF(D89&lt;=0,0,MIN(AI90,D$7+IF(D$2=$AA90,$AC90,IF(D$2=$AF90,$AG90,0))))</f>
        <v/>
      </c>
      <c r="Q90">
        <f>IF(E89&lt;=0,0,MIN(AJ90,E$7+IF(E$2=$AA90,$AC90,IF(E$2=$AF90,$AG90,0))))</f>
        <v/>
      </c>
      <c r="R90">
        <f>IF(F89&lt;=0,0,MIN(AK90,F$7+IF(F$2=$AA90,$AC90,IF(F$2=$AF90,$AG90,0))))</f>
        <v/>
      </c>
      <c r="S90">
        <f>IF(G89&lt;=0,0,MIN(AL90,G$7+IF(G$2=$AA90,$AC90,IF(G$2=$AF90,$AG90,0))))</f>
        <v/>
      </c>
      <c r="T90">
        <f>IF(H89&lt;=0,0,MIN(AM90,H$7+IF(H$2=$AA90,$AC90,IF(H$2=$AF90,$AG90,0))))</f>
        <v/>
      </c>
      <c r="U90">
        <f>IF(I89&lt;=0,0,MIN(AN90,I$7+IF(I$2=$AA90,$AC90,IF(I$2=$AF90,$AG90,0))))</f>
        <v/>
      </c>
      <c r="V90">
        <f>IF(J89&lt;=0,0,MIN(AO90,J$7+IF(J$2=$AA90,$AC90,IF(J$2=$AF90,$AG90,0))))</f>
        <v/>
      </c>
      <c r="W90">
        <f>IF(K89&lt;=0,0,MIN(AP90,K$7+IF(K$2=$AA90,$AC90,IF(K$2=$AF90,$AG90,0))))</f>
        <v/>
      </c>
      <c r="X90">
        <f>IF(L89&lt;=0,0,MIN(AQ90,L$7+IF(L$2=$AA90,$AC90,IF(L$2=$AF90,$AG90,0))))</f>
        <v/>
      </c>
      <c r="Y90">
        <f>IF(M89&lt;=0,0,MIN(AR90,M$7+IF(M$2=$AA90,$AC90,IF(M$2=$AF90,$AG90,0))))</f>
        <v/>
      </c>
      <c r="Z90">
        <f>IF(N89&lt;=0,0,MIN(AS90,N$7+IF(N$2=$AA90,$AC90,IF(N$2=$AF90,$AG90,0))))</f>
        <v/>
      </c>
      <c r="AA90">
        <f>IFERROR(ROUND(1/SUMPRODUCT(MAX((C89:N89&gt;0)*($C$3:$N$3&lt;=B90)/$C$2:$N$2)),0),0)</f>
        <v/>
      </c>
      <c r="AB90">
        <f>SUMPRODUCT((C89:N89&gt;0)*$C$7:$N$7)</f>
        <v/>
      </c>
      <c r="AC90">
        <f>MAX(0,Plan!$C$5-AB90)+IF(A90=Plan!$C$8,N(Plan!$C$7),0)</f>
        <v/>
      </c>
      <c r="AD90">
        <f>SUM(C90:N90)</f>
        <v/>
      </c>
      <c r="AE90">
        <f>SUM(O90:Z90)</f>
        <v/>
      </c>
      <c r="AF90">
        <f>IFERROR(ROUND(1/SUMPRODUCT(MAX((C89:N89&gt;0)*($C$3:$N$3&lt;=B90)*($C$2:$N$2&gt;AA90)/$C$2:$N$2)),0),0)</f>
        <v/>
      </c>
      <c r="AG90">
        <f>MAX(0,AC90-MAX(0,SUMPRODUCT(($C$2:$N$2=AA90)*(AH90:AS90-$C$7:$N$7))))</f>
        <v/>
      </c>
      <c r="AH90">
        <f>IF(C89&lt;=0,0,ROUND(C89*(1+IF(AND(C$6&gt;0,$B90&lt;C$6),C$4,C$5)/12),2))</f>
        <v/>
      </c>
      <c r="AI90">
        <f>IF(D89&lt;=0,0,ROUND(D89*(1+IF(AND(D$6&gt;0,$B90&lt;D$6),D$4,D$5)/12),2))</f>
        <v/>
      </c>
      <c r="AJ90">
        <f>IF(E89&lt;=0,0,ROUND(E89*(1+IF(AND(E$6&gt;0,$B90&lt;E$6),E$4,E$5)/12),2))</f>
        <v/>
      </c>
      <c r="AK90">
        <f>IF(F89&lt;=0,0,ROUND(F89*(1+IF(AND(F$6&gt;0,$B90&lt;F$6),F$4,F$5)/12),2))</f>
        <v/>
      </c>
      <c r="AL90">
        <f>IF(G89&lt;=0,0,ROUND(G89*(1+IF(AND(G$6&gt;0,$B90&lt;G$6),G$4,G$5)/12),2))</f>
        <v/>
      </c>
      <c r="AM90">
        <f>IF(H89&lt;=0,0,ROUND(H89*(1+IF(AND(H$6&gt;0,$B90&lt;H$6),H$4,H$5)/12),2))</f>
        <v/>
      </c>
      <c r="AN90">
        <f>IF(I89&lt;=0,0,ROUND(I89*(1+IF(AND(I$6&gt;0,$B90&lt;I$6),I$4,I$5)/12),2))</f>
        <v/>
      </c>
      <c r="AO90">
        <f>IF(J89&lt;=0,0,ROUND(J89*(1+IF(AND(J$6&gt;0,$B90&lt;J$6),J$4,J$5)/12),2))</f>
        <v/>
      </c>
      <c r="AP90">
        <f>IF(K89&lt;=0,0,ROUND(K89*(1+IF(AND(K$6&gt;0,$B90&lt;K$6),K$4,K$5)/12),2))</f>
        <v/>
      </c>
      <c r="AQ90">
        <f>IF(L89&lt;=0,0,ROUND(L89*(1+IF(AND(L$6&gt;0,$B90&lt;L$6),L$4,L$5)/12),2))</f>
        <v/>
      </c>
      <c r="AR90">
        <f>IF(M89&lt;=0,0,ROUND(M89*(1+IF(AND(M$6&gt;0,$B90&lt;M$6),M$4,M$5)/12),2))</f>
        <v/>
      </c>
      <c r="AS90">
        <f>IF(N89&lt;=0,0,ROUND(N89*(1+IF(AND(N$6&gt;0,$B90&lt;N$6),N$4,N$5)/12),2))</f>
        <v/>
      </c>
    </row>
    <row r="91">
      <c r="A91" t="n">
        <v>80</v>
      </c>
      <c r="B91">
        <f>EDATE(Plan!$C$6,79)</f>
        <v/>
      </c>
      <c r="C91">
        <f>IF(C90&lt;=0,0,MAX(0,AH91-O91))</f>
        <v/>
      </c>
      <c r="D91">
        <f>IF(D90&lt;=0,0,MAX(0,AI91-P91))</f>
        <v/>
      </c>
      <c r="E91">
        <f>IF(E90&lt;=0,0,MAX(0,AJ91-Q91))</f>
        <v/>
      </c>
      <c r="F91">
        <f>IF(F90&lt;=0,0,MAX(0,AK91-R91))</f>
        <v/>
      </c>
      <c r="G91">
        <f>IF(G90&lt;=0,0,MAX(0,AL91-S91))</f>
        <v/>
      </c>
      <c r="H91">
        <f>IF(H90&lt;=0,0,MAX(0,AM91-T91))</f>
        <v/>
      </c>
      <c r="I91">
        <f>IF(I90&lt;=0,0,MAX(0,AN91-U91))</f>
        <v/>
      </c>
      <c r="J91">
        <f>IF(J90&lt;=0,0,MAX(0,AO91-V91))</f>
        <v/>
      </c>
      <c r="K91">
        <f>IF(K90&lt;=0,0,MAX(0,AP91-W91))</f>
        <v/>
      </c>
      <c r="L91">
        <f>IF(L90&lt;=0,0,MAX(0,AQ91-X91))</f>
        <v/>
      </c>
      <c r="M91">
        <f>IF(M90&lt;=0,0,MAX(0,AR91-Y91))</f>
        <v/>
      </c>
      <c r="N91">
        <f>IF(N90&lt;=0,0,MAX(0,AS91-Z91))</f>
        <v/>
      </c>
      <c r="O91">
        <f>IF(C90&lt;=0,0,MIN(AH91,C$7+IF(C$2=$AA91,$AC91,IF(C$2=$AF91,$AG91,0))))</f>
        <v/>
      </c>
      <c r="P91">
        <f>IF(D90&lt;=0,0,MIN(AI91,D$7+IF(D$2=$AA91,$AC91,IF(D$2=$AF91,$AG91,0))))</f>
        <v/>
      </c>
      <c r="Q91">
        <f>IF(E90&lt;=0,0,MIN(AJ91,E$7+IF(E$2=$AA91,$AC91,IF(E$2=$AF91,$AG91,0))))</f>
        <v/>
      </c>
      <c r="R91">
        <f>IF(F90&lt;=0,0,MIN(AK91,F$7+IF(F$2=$AA91,$AC91,IF(F$2=$AF91,$AG91,0))))</f>
        <v/>
      </c>
      <c r="S91">
        <f>IF(G90&lt;=0,0,MIN(AL91,G$7+IF(G$2=$AA91,$AC91,IF(G$2=$AF91,$AG91,0))))</f>
        <v/>
      </c>
      <c r="T91">
        <f>IF(H90&lt;=0,0,MIN(AM91,H$7+IF(H$2=$AA91,$AC91,IF(H$2=$AF91,$AG91,0))))</f>
        <v/>
      </c>
      <c r="U91">
        <f>IF(I90&lt;=0,0,MIN(AN91,I$7+IF(I$2=$AA91,$AC91,IF(I$2=$AF91,$AG91,0))))</f>
        <v/>
      </c>
      <c r="V91">
        <f>IF(J90&lt;=0,0,MIN(AO91,J$7+IF(J$2=$AA91,$AC91,IF(J$2=$AF91,$AG91,0))))</f>
        <v/>
      </c>
      <c r="W91">
        <f>IF(K90&lt;=0,0,MIN(AP91,K$7+IF(K$2=$AA91,$AC91,IF(K$2=$AF91,$AG91,0))))</f>
        <v/>
      </c>
      <c r="X91">
        <f>IF(L90&lt;=0,0,MIN(AQ91,L$7+IF(L$2=$AA91,$AC91,IF(L$2=$AF91,$AG91,0))))</f>
        <v/>
      </c>
      <c r="Y91">
        <f>IF(M90&lt;=0,0,MIN(AR91,M$7+IF(M$2=$AA91,$AC91,IF(M$2=$AF91,$AG91,0))))</f>
        <v/>
      </c>
      <c r="Z91">
        <f>IF(N90&lt;=0,0,MIN(AS91,N$7+IF(N$2=$AA91,$AC91,IF(N$2=$AF91,$AG91,0))))</f>
        <v/>
      </c>
      <c r="AA91">
        <f>IFERROR(ROUND(1/SUMPRODUCT(MAX((C90:N90&gt;0)*($C$3:$N$3&lt;=B91)/$C$2:$N$2)),0),0)</f>
        <v/>
      </c>
      <c r="AB91">
        <f>SUMPRODUCT((C90:N90&gt;0)*$C$7:$N$7)</f>
        <v/>
      </c>
      <c r="AC91">
        <f>MAX(0,Plan!$C$5-AB91)+IF(A91=Plan!$C$8,N(Plan!$C$7),0)</f>
        <v/>
      </c>
      <c r="AD91">
        <f>SUM(C91:N91)</f>
        <v/>
      </c>
      <c r="AE91">
        <f>SUM(O91:Z91)</f>
        <v/>
      </c>
      <c r="AF91">
        <f>IFERROR(ROUND(1/SUMPRODUCT(MAX((C90:N90&gt;0)*($C$3:$N$3&lt;=B91)*($C$2:$N$2&gt;AA91)/$C$2:$N$2)),0),0)</f>
        <v/>
      </c>
      <c r="AG91">
        <f>MAX(0,AC91-MAX(0,SUMPRODUCT(($C$2:$N$2=AA91)*(AH91:AS91-$C$7:$N$7))))</f>
        <v/>
      </c>
      <c r="AH91">
        <f>IF(C90&lt;=0,0,ROUND(C90*(1+IF(AND(C$6&gt;0,$B91&lt;C$6),C$4,C$5)/12),2))</f>
        <v/>
      </c>
      <c r="AI91">
        <f>IF(D90&lt;=0,0,ROUND(D90*(1+IF(AND(D$6&gt;0,$B91&lt;D$6),D$4,D$5)/12),2))</f>
        <v/>
      </c>
      <c r="AJ91">
        <f>IF(E90&lt;=0,0,ROUND(E90*(1+IF(AND(E$6&gt;0,$B91&lt;E$6),E$4,E$5)/12),2))</f>
        <v/>
      </c>
      <c r="AK91">
        <f>IF(F90&lt;=0,0,ROUND(F90*(1+IF(AND(F$6&gt;0,$B91&lt;F$6),F$4,F$5)/12),2))</f>
        <v/>
      </c>
      <c r="AL91">
        <f>IF(G90&lt;=0,0,ROUND(G90*(1+IF(AND(G$6&gt;0,$B91&lt;G$6),G$4,G$5)/12),2))</f>
        <v/>
      </c>
      <c r="AM91">
        <f>IF(H90&lt;=0,0,ROUND(H90*(1+IF(AND(H$6&gt;0,$B91&lt;H$6),H$4,H$5)/12),2))</f>
        <v/>
      </c>
      <c r="AN91">
        <f>IF(I90&lt;=0,0,ROUND(I90*(1+IF(AND(I$6&gt;0,$B91&lt;I$6),I$4,I$5)/12),2))</f>
        <v/>
      </c>
      <c r="AO91">
        <f>IF(J90&lt;=0,0,ROUND(J90*(1+IF(AND(J$6&gt;0,$B91&lt;J$6),J$4,J$5)/12),2))</f>
        <v/>
      </c>
      <c r="AP91">
        <f>IF(K90&lt;=0,0,ROUND(K90*(1+IF(AND(K$6&gt;0,$B91&lt;K$6),K$4,K$5)/12),2))</f>
        <v/>
      </c>
      <c r="AQ91">
        <f>IF(L90&lt;=0,0,ROUND(L90*(1+IF(AND(L$6&gt;0,$B91&lt;L$6),L$4,L$5)/12),2))</f>
        <v/>
      </c>
      <c r="AR91">
        <f>IF(M90&lt;=0,0,ROUND(M90*(1+IF(AND(M$6&gt;0,$B91&lt;M$6),M$4,M$5)/12),2))</f>
        <v/>
      </c>
      <c r="AS91">
        <f>IF(N90&lt;=0,0,ROUND(N90*(1+IF(AND(N$6&gt;0,$B91&lt;N$6),N$4,N$5)/12),2))</f>
        <v/>
      </c>
    </row>
    <row r="92">
      <c r="A92" t="n">
        <v>81</v>
      </c>
      <c r="B92">
        <f>EDATE(Plan!$C$6,80)</f>
        <v/>
      </c>
      <c r="C92">
        <f>IF(C91&lt;=0,0,MAX(0,AH92-O92))</f>
        <v/>
      </c>
      <c r="D92">
        <f>IF(D91&lt;=0,0,MAX(0,AI92-P92))</f>
        <v/>
      </c>
      <c r="E92">
        <f>IF(E91&lt;=0,0,MAX(0,AJ92-Q92))</f>
        <v/>
      </c>
      <c r="F92">
        <f>IF(F91&lt;=0,0,MAX(0,AK92-R92))</f>
        <v/>
      </c>
      <c r="G92">
        <f>IF(G91&lt;=0,0,MAX(0,AL92-S92))</f>
        <v/>
      </c>
      <c r="H92">
        <f>IF(H91&lt;=0,0,MAX(0,AM92-T92))</f>
        <v/>
      </c>
      <c r="I92">
        <f>IF(I91&lt;=0,0,MAX(0,AN92-U92))</f>
        <v/>
      </c>
      <c r="J92">
        <f>IF(J91&lt;=0,0,MAX(0,AO92-V92))</f>
        <v/>
      </c>
      <c r="K92">
        <f>IF(K91&lt;=0,0,MAX(0,AP92-W92))</f>
        <v/>
      </c>
      <c r="L92">
        <f>IF(L91&lt;=0,0,MAX(0,AQ92-X92))</f>
        <v/>
      </c>
      <c r="M92">
        <f>IF(M91&lt;=0,0,MAX(0,AR92-Y92))</f>
        <v/>
      </c>
      <c r="N92">
        <f>IF(N91&lt;=0,0,MAX(0,AS92-Z92))</f>
        <v/>
      </c>
      <c r="O92">
        <f>IF(C91&lt;=0,0,MIN(AH92,C$7+IF(C$2=$AA92,$AC92,IF(C$2=$AF92,$AG92,0))))</f>
        <v/>
      </c>
      <c r="P92">
        <f>IF(D91&lt;=0,0,MIN(AI92,D$7+IF(D$2=$AA92,$AC92,IF(D$2=$AF92,$AG92,0))))</f>
        <v/>
      </c>
      <c r="Q92">
        <f>IF(E91&lt;=0,0,MIN(AJ92,E$7+IF(E$2=$AA92,$AC92,IF(E$2=$AF92,$AG92,0))))</f>
        <v/>
      </c>
      <c r="R92">
        <f>IF(F91&lt;=0,0,MIN(AK92,F$7+IF(F$2=$AA92,$AC92,IF(F$2=$AF92,$AG92,0))))</f>
        <v/>
      </c>
      <c r="S92">
        <f>IF(G91&lt;=0,0,MIN(AL92,G$7+IF(G$2=$AA92,$AC92,IF(G$2=$AF92,$AG92,0))))</f>
        <v/>
      </c>
      <c r="T92">
        <f>IF(H91&lt;=0,0,MIN(AM92,H$7+IF(H$2=$AA92,$AC92,IF(H$2=$AF92,$AG92,0))))</f>
        <v/>
      </c>
      <c r="U92">
        <f>IF(I91&lt;=0,0,MIN(AN92,I$7+IF(I$2=$AA92,$AC92,IF(I$2=$AF92,$AG92,0))))</f>
        <v/>
      </c>
      <c r="V92">
        <f>IF(J91&lt;=0,0,MIN(AO92,J$7+IF(J$2=$AA92,$AC92,IF(J$2=$AF92,$AG92,0))))</f>
        <v/>
      </c>
      <c r="W92">
        <f>IF(K91&lt;=0,0,MIN(AP92,K$7+IF(K$2=$AA92,$AC92,IF(K$2=$AF92,$AG92,0))))</f>
        <v/>
      </c>
      <c r="X92">
        <f>IF(L91&lt;=0,0,MIN(AQ92,L$7+IF(L$2=$AA92,$AC92,IF(L$2=$AF92,$AG92,0))))</f>
        <v/>
      </c>
      <c r="Y92">
        <f>IF(M91&lt;=0,0,MIN(AR92,M$7+IF(M$2=$AA92,$AC92,IF(M$2=$AF92,$AG92,0))))</f>
        <v/>
      </c>
      <c r="Z92">
        <f>IF(N91&lt;=0,0,MIN(AS92,N$7+IF(N$2=$AA92,$AC92,IF(N$2=$AF92,$AG92,0))))</f>
        <v/>
      </c>
      <c r="AA92">
        <f>IFERROR(ROUND(1/SUMPRODUCT(MAX((C91:N91&gt;0)*($C$3:$N$3&lt;=B92)/$C$2:$N$2)),0),0)</f>
        <v/>
      </c>
      <c r="AB92">
        <f>SUMPRODUCT((C91:N91&gt;0)*$C$7:$N$7)</f>
        <v/>
      </c>
      <c r="AC92">
        <f>MAX(0,Plan!$C$5-AB92)+IF(A92=Plan!$C$8,N(Plan!$C$7),0)</f>
        <v/>
      </c>
      <c r="AD92">
        <f>SUM(C92:N92)</f>
        <v/>
      </c>
      <c r="AE92">
        <f>SUM(O92:Z92)</f>
        <v/>
      </c>
      <c r="AF92">
        <f>IFERROR(ROUND(1/SUMPRODUCT(MAX((C91:N91&gt;0)*($C$3:$N$3&lt;=B92)*($C$2:$N$2&gt;AA92)/$C$2:$N$2)),0),0)</f>
        <v/>
      </c>
      <c r="AG92">
        <f>MAX(0,AC92-MAX(0,SUMPRODUCT(($C$2:$N$2=AA92)*(AH92:AS92-$C$7:$N$7))))</f>
        <v/>
      </c>
      <c r="AH92">
        <f>IF(C91&lt;=0,0,ROUND(C91*(1+IF(AND(C$6&gt;0,$B92&lt;C$6),C$4,C$5)/12),2))</f>
        <v/>
      </c>
      <c r="AI92">
        <f>IF(D91&lt;=0,0,ROUND(D91*(1+IF(AND(D$6&gt;0,$B92&lt;D$6),D$4,D$5)/12),2))</f>
        <v/>
      </c>
      <c r="AJ92">
        <f>IF(E91&lt;=0,0,ROUND(E91*(1+IF(AND(E$6&gt;0,$B92&lt;E$6),E$4,E$5)/12),2))</f>
        <v/>
      </c>
      <c r="AK92">
        <f>IF(F91&lt;=0,0,ROUND(F91*(1+IF(AND(F$6&gt;0,$B92&lt;F$6),F$4,F$5)/12),2))</f>
        <v/>
      </c>
      <c r="AL92">
        <f>IF(G91&lt;=0,0,ROUND(G91*(1+IF(AND(G$6&gt;0,$B92&lt;G$6),G$4,G$5)/12),2))</f>
        <v/>
      </c>
      <c r="AM92">
        <f>IF(H91&lt;=0,0,ROUND(H91*(1+IF(AND(H$6&gt;0,$B92&lt;H$6),H$4,H$5)/12),2))</f>
        <v/>
      </c>
      <c r="AN92">
        <f>IF(I91&lt;=0,0,ROUND(I91*(1+IF(AND(I$6&gt;0,$B92&lt;I$6),I$4,I$5)/12),2))</f>
        <v/>
      </c>
      <c r="AO92">
        <f>IF(J91&lt;=0,0,ROUND(J91*(1+IF(AND(J$6&gt;0,$B92&lt;J$6),J$4,J$5)/12),2))</f>
        <v/>
      </c>
      <c r="AP92">
        <f>IF(K91&lt;=0,0,ROUND(K91*(1+IF(AND(K$6&gt;0,$B92&lt;K$6),K$4,K$5)/12),2))</f>
        <v/>
      </c>
      <c r="AQ92">
        <f>IF(L91&lt;=0,0,ROUND(L91*(1+IF(AND(L$6&gt;0,$B92&lt;L$6),L$4,L$5)/12),2))</f>
        <v/>
      </c>
      <c r="AR92">
        <f>IF(M91&lt;=0,0,ROUND(M91*(1+IF(AND(M$6&gt;0,$B92&lt;M$6),M$4,M$5)/12),2))</f>
        <v/>
      </c>
      <c r="AS92">
        <f>IF(N91&lt;=0,0,ROUND(N91*(1+IF(AND(N$6&gt;0,$B92&lt;N$6),N$4,N$5)/12),2))</f>
        <v/>
      </c>
    </row>
    <row r="93">
      <c r="A93" t="n">
        <v>82</v>
      </c>
      <c r="B93">
        <f>EDATE(Plan!$C$6,81)</f>
        <v/>
      </c>
      <c r="C93">
        <f>IF(C92&lt;=0,0,MAX(0,AH93-O93))</f>
        <v/>
      </c>
      <c r="D93">
        <f>IF(D92&lt;=0,0,MAX(0,AI93-P93))</f>
        <v/>
      </c>
      <c r="E93">
        <f>IF(E92&lt;=0,0,MAX(0,AJ93-Q93))</f>
        <v/>
      </c>
      <c r="F93">
        <f>IF(F92&lt;=0,0,MAX(0,AK93-R93))</f>
        <v/>
      </c>
      <c r="G93">
        <f>IF(G92&lt;=0,0,MAX(0,AL93-S93))</f>
        <v/>
      </c>
      <c r="H93">
        <f>IF(H92&lt;=0,0,MAX(0,AM93-T93))</f>
        <v/>
      </c>
      <c r="I93">
        <f>IF(I92&lt;=0,0,MAX(0,AN93-U93))</f>
        <v/>
      </c>
      <c r="J93">
        <f>IF(J92&lt;=0,0,MAX(0,AO93-V93))</f>
        <v/>
      </c>
      <c r="K93">
        <f>IF(K92&lt;=0,0,MAX(0,AP93-W93))</f>
        <v/>
      </c>
      <c r="L93">
        <f>IF(L92&lt;=0,0,MAX(0,AQ93-X93))</f>
        <v/>
      </c>
      <c r="M93">
        <f>IF(M92&lt;=0,0,MAX(0,AR93-Y93))</f>
        <v/>
      </c>
      <c r="N93">
        <f>IF(N92&lt;=0,0,MAX(0,AS93-Z93))</f>
        <v/>
      </c>
      <c r="O93">
        <f>IF(C92&lt;=0,0,MIN(AH93,C$7+IF(C$2=$AA93,$AC93,IF(C$2=$AF93,$AG93,0))))</f>
        <v/>
      </c>
      <c r="P93">
        <f>IF(D92&lt;=0,0,MIN(AI93,D$7+IF(D$2=$AA93,$AC93,IF(D$2=$AF93,$AG93,0))))</f>
        <v/>
      </c>
      <c r="Q93">
        <f>IF(E92&lt;=0,0,MIN(AJ93,E$7+IF(E$2=$AA93,$AC93,IF(E$2=$AF93,$AG93,0))))</f>
        <v/>
      </c>
      <c r="R93">
        <f>IF(F92&lt;=0,0,MIN(AK93,F$7+IF(F$2=$AA93,$AC93,IF(F$2=$AF93,$AG93,0))))</f>
        <v/>
      </c>
      <c r="S93">
        <f>IF(G92&lt;=0,0,MIN(AL93,G$7+IF(G$2=$AA93,$AC93,IF(G$2=$AF93,$AG93,0))))</f>
        <v/>
      </c>
      <c r="T93">
        <f>IF(H92&lt;=0,0,MIN(AM93,H$7+IF(H$2=$AA93,$AC93,IF(H$2=$AF93,$AG93,0))))</f>
        <v/>
      </c>
      <c r="U93">
        <f>IF(I92&lt;=0,0,MIN(AN93,I$7+IF(I$2=$AA93,$AC93,IF(I$2=$AF93,$AG93,0))))</f>
        <v/>
      </c>
      <c r="V93">
        <f>IF(J92&lt;=0,0,MIN(AO93,J$7+IF(J$2=$AA93,$AC93,IF(J$2=$AF93,$AG93,0))))</f>
        <v/>
      </c>
      <c r="W93">
        <f>IF(K92&lt;=0,0,MIN(AP93,K$7+IF(K$2=$AA93,$AC93,IF(K$2=$AF93,$AG93,0))))</f>
        <v/>
      </c>
      <c r="X93">
        <f>IF(L92&lt;=0,0,MIN(AQ93,L$7+IF(L$2=$AA93,$AC93,IF(L$2=$AF93,$AG93,0))))</f>
        <v/>
      </c>
      <c r="Y93">
        <f>IF(M92&lt;=0,0,MIN(AR93,M$7+IF(M$2=$AA93,$AC93,IF(M$2=$AF93,$AG93,0))))</f>
        <v/>
      </c>
      <c r="Z93">
        <f>IF(N92&lt;=0,0,MIN(AS93,N$7+IF(N$2=$AA93,$AC93,IF(N$2=$AF93,$AG93,0))))</f>
        <v/>
      </c>
      <c r="AA93">
        <f>IFERROR(ROUND(1/SUMPRODUCT(MAX((C92:N92&gt;0)*($C$3:$N$3&lt;=B93)/$C$2:$N$2)),0),0)</f>
        <v/>
      </c>
      <c r="AB93">
        <f>SUMPRODUCT((C92:N92&gt;0)*$C$7:$N$7)</f>
        <v/>
      </c>
      <c r="AC93">
        <f>MAX(0,Plan!$C$5-AB93)+IF(A93=Plan!$C$8,N(Plan!$C$7),0)</f>
        <v/>
      </c>
      <c r="AD93">
        <f>SUM(C93:N93)</f>
        <v/>
      </c>
      <c r="AE93">
        <f>SUM(O93:Z93)</f>
        <v/>
      </c>
      <c r="AF93">
        <f>IFERROR(ROUND(1/SUMPRODUCT(MAX((C92:N92&gt;0)*($C$3:$N$3&lt;=B93)*($C$2:$N$2&gt;AA93)/$C$2:$N$2)),0),0)</f>
        <v/>
      </c>
      <c r="AG93">
        <f>MAX(0,AC93-MAX(0,SUMPRODUCT(($C$2:$N$2=AA93)*(AH93:AS93-$C$7:$N$7))))</f>
        <v/>
      </c>
      <c r="AH93">
        <f>IF(C92&lt;=0,0,ROUND(C92*(1+IF(AND(C$6&gt;0,$B93&lt;C$6),C$4,C$5)/12),2))</f>
        <v/>
      </c>
      <c r="AI93">
        <f>IF(D92&lt;=0,0,ROUND(D92*(1+IF(AND(D$6&gt;0,$B93&lt;D$6),D$4,D$5)/12),2))</f>
        <v/>
      </c>
      <c r="AJ93">
        <f>IF(E92&lt;=0,0,ROUND(E92*(1+IF(AND(E$6&gt;0,$B93&lt;E$6),E$4,E$5)/12),2))</f>
        <v/>
      </c>
      <c r="AK93">
        <f>IF(F92&lt;=0,0,ROUND(F92*(1+IF(AND(F$6&gt;0,$B93&lt;F$6),F$4,F$5)/12),2))</f>
        <v/>
      </c>
      <c r="AL93">
        <f>IF(G92&lt;=0,0,ROUND(G92*(1+IF(AND(G$6&gt;0,$B93&lt;G$6),G$4,G$5)/12),2))</f>
        <v/>
      </c>
      <c r="AM93">
        <f>IF(H92&lt;=0,0,ROUND(H92*(1+IF(AND(H$6&gt;0,$B93&lt;H$6),H$4,H$5)/12),2))</f>
        <v/>
      </c>
      <c r="AN93">
        <f>IF(I92&lt;=0,0,ROUND(I92*(1+IF(AND(I$6&gt;0,$B93&lt;I$6),I$4,I$5)/12),2))</f>
        <v/>
      </c>
      <c r="AO93">
        <f>IF(J92&lt;=0,0,ROUND(J92*(1+IF(AND(J$6&gt;0,$B93&lt;J$6),J$4,J$5)/12),2))</f>
        <v/>
      </c>
      <c r="AP93">
        <f>IF(K92&lt;=0,0,ROUND(K92*(1+IF(AND(K$6&gt;0,$B93&lt;K$6),K$4,K$5)/12),2))</f>
        <v/>
      </c>
      <c r="AQ93">
        <f>IF(L92&lt;=0,0,ROUND(L92*(1+IF(AND(L$6&gt;0,$B93&lt;L$6),L$4,L$5)/12),2))</f>
        <v/>
      </c>
      <c r="AR93">
        <f>IF(M92&lt;=0,0,ROUND(M92*(1+IF(AND(M$6&gt;0,$B93&lt;M$6),M$4,M$5)/12),2))</f>
        <v/>
      </c>
      <c r="AS93">
        <f>IF(N92&lt;=0,0,ROUND(N92*(1+IF(AND(N$6&gt;0,$B93&lt;N$6),N$4,N$5)/12),2))</f>
        <v/>
      </c>
    </row>
    <row r="94">
      <c r="A94" t="n">
        <v>83</v>
      </c>
      <c r="B94">
        <f>EDATE(Plan!$C$6,82)</f>
        <v/>
      </c>
      <c r="C94">
        <f>IF(C93&lt;=0,0,MAX(0,AH94-O94))</f>
        <v/>
      </c>
      <c r="D94">
        <f>IF(D93&lt;=0,0,MAX(0,AI94-P94))</f>
        <v/>
      </c>
      <c r="E94">
        <f>IF(E93&lt;=0,0,MAX(0,AJ94-Q94))</f>
        <v/>
      </c>
      <c r="F94">
        <f>IF(F93&lt;=0,0,MAX(0,AK94-R94))</f>
        <v/>
      </c>
      <c r="G94">
        <f>IF(G93&lt;=0,0,MAX(0,AL94-S94))</f>
        <v/>
      </c>
      <c r="H94">
        <f>IF(H93&lt;=0,0,MAX(0,AM94-T94))</f>
        <v/>
      </c>
      <c r="I94">
        <f>IF(I93&lt;=0,0,MAX(0,AN94-U94))</f>
        <v/>
      </c>
      <c r="J94">
        <f>IF(J93&lt;=0,0,MAX(0,AO94-V94))</f>
        <v/>
      </c>
      <c r="K94">
        <f>IF(K93&lt;=0,0,MAX(0,AP94-W94))</f>
        <v/>
      </c>
      <c r="L94">
        <f>IF(L93&lt;=0,0,MAX(0,AQ94-X94))</f>
        <v/>
      </c>
      <c r="M94">
        <f>IF(M93&lt;=0,0,MAX(0,AR94-Y94))</f>
        <v/>
      </c>
      <c r="N94">
        <f>IF(N93&lt;=0,0,MAX(0,AS94-Z94))</f>
        <v/>
      </c>
      <c r="O94">
        <f>IF(C93&lt;=0,0,MIN(AH94,C$7+IF(C$2=$AA94,$AC94,IF(C$2=$AF94,$AG94,0))))</f>
        <v/>
      </c>
      <c r="P94">
        <f>IF(D93&lt;=0,0,MIN(AI94,D$7+IF(D$2=$AA94,$AC94,IF(D$2=$AF94,$AG94,0))))</f>
        <v/>
      </c>
      <c r="Q94">
        <f>IF(E93&lt;=0,0,MIN(AJ94,E$7+IF(E$2=$AA94,$AC94,IF(E$2=$AF94,$AG94,0))))</f>
        <v/>
      </c>
      <c r="R94">
        <f>IF(F93&lt;=0,0,MIN(AK94,F$7+IF(F$2=$AA94,$AC94,IF(F$2=$AF94,$AG94,0))))</f>
        <v/>
      </c>
      <c r="S94">
        <f>IF(G93&lt;=0,0,MIN(AL94,G$7+IF(G$2=$AA94,$AC94,IF(G$2=$AF94,$AG94,0))))</f>
        <v/>
      </c>
      <c r="T94">
        <f>IF(H93&lt;=0,0,MIN(AM94,H$7+IF(H$2=$AA94,$AC94,IF(H$2=$AF94,$AG94,0))))</f>
        <v/>
      </c>
      <c r="U94">
        <f>IF(I93&lt;=0,0,MIN(AN94,I$7+IF(I$2=$AA94,$AC94,IF(I$2=$AF94,$AG94,0))))</f>
        <v/>
      </c>
      <c r="V94">
        <f>IF(J93&lt;=0,0,MIN(AO94,J$7+IF(J$2=$AA94,$AC94,IF(J$2=$AF94,$AG94,0))))</f>
        <v/>
      </c>
      <c r="W94">
        <f>IF(K93&lt;=0,0,MIN(AP94,K$7+IF(K$2=$AA94,$AC94,IF(K$2=$AF94,$AG94,0))))</f>
        <v/>
      </c>
      <c r="X94">
        <f>IF(L93&lt;=0,0,MIN(AQ94,L$7+IF(L$2=$AA94,$AC94,IF(L$2=$AF94,$AG94,0))))</f>
        <v/>
      </c>
      <c r="Y94">
        <f>IF(M93&lt;=0,0,MIN(AR94,M$7+IF(M$2=$AA94,$AC94,IF(M$2=$AF94,$AG94,0))))</f>
        <v/>
      </c>
      <c r="Z94">
        <f>IF(N93&lt;=0,0,MIN(AS94,N$7+IF(N$2=$AA94,$AC94,IF(N$2=$AF94,$AG94,0))))</f>
        <v/>
      </c>
      <c r="AA94">
        <f>IFERROR(ROUND(1/SUMPRODUCT(MAX((C93:N93&gt;0)*($C$3:$N$3&lt;=B94)/$C$2:$N$2)),0),0)</f>
        <v/>
      </c>
      <c r="AB94">
        <f>SUMPRODUCT((C93:N93&gt;0)*$C$7:$N$7)</f>
        <v/>
      </c>
      <c r="AC94">
        <f>MAX(0,Plan!$C$5-AB94)+IF(A94=Plan!$C$8,N(Plan!$C$7),0)</f>
        <v/>
      </c>
      <c r="AD94">
        <f>SUM(C94:N94)</f>
        <v/>
      </c>
      <c r="AE94">
        <f>SUM(O94:Z94)</f>
        <v/>
      </c>
      <c r="AF94">
        <f>IFERROR(ROUND(1/SUMPRODUCT(MAX((C93:N93&gt;0)*($C$3:$N$3&lt;=B94)*($C$2:$N$2&gt;AA94)/$C$2:$N$2)),0),0)</f>
        <v/>
      </c>
      <c r="AG94">
        <f>MAX(0,AC94-MAX(0,SUMPRODUCT(($C$2:$N$2=AA94)*(AH94:AS94-$C$7:$N$7))))</f>
        <v/>
      </c>
      <c r="AH94">
        <f>IF(C93&lt;=0,0,ROUND(C93*(1+IF(AND(C$6&gt;0,$B94&lt;C$6),C$4,C$5)/12),2))</f>
        <v/>
      </c>
      <c r="AI94">
        <f>IF(D93&lt;=0,0,ROUND(D93*(1+IF(AND(D$6&gt;0,$B94&lt;D$6),D$4,D$5)/12),2))</f>
        <v/>
      </c>
      <c r="AJ94">
        <f>IF(E93&lt;=0,0,ROUND(E93*(1+IF(AND(E$6&gt;0,$B94&lt;E$6),E$4,E$5)/12),2))</f>
        <v/>
      </c>
      <c r="AK94">
        <f>IF(F93&lt;=0,0,ROUND(F93*(1+IF(AND(F$6&gt;0,$B94&lt;F$6),F$4,F$5)/12),2))</f>
        <v/>
      </c>
      <c r="AL94">
        <f>IF(G93&lt;=0,0,ROUND(G93*(1+IF(AND(G$6&gt;0,$B94&lt;G$6),G$4,G$5)/12),2))</f>
        <v/>
      </c>
      <c r="AM94">
        <f>IF(H93&lt;=0,0,ROUND(H93*(1+IF(AND(H$6&gt;0,$B94&lt;H$6),H$4,H$5)/12),2))</f>
        <v/>
      </c>
      <c r="AN94">
        <f>IF(I93&lt;=0,0,ROUND(I93*(1+IF(AND(I$6&gt;0,$B94&lt;I$6),I$4,I$5)/12),2))</f>
        <v/>
      </c>
      <c r="AO94">
        <f>IF(J93&lt;=0,0,ROUND(J93*(1+IF(AND(J$6&gt;0,$B94&lt;J$6),J$4,J$5)/12),2))</f>
        <v/>
      </c>
      <c r="AP94">
        <f>IF(K93&lt;=0,0,ROUND(K93*(1+IF(AND(K$6&gt;0,$B94&lt;K$6),K$4,K$5)/12),2))</f>
        <v/>
      </c>
      <c r="AQ94">
        <f>IF(L93&lt;=0,0,ROUND(L93*(1+IF(AND(L$6&gt;0,$B94&lt;L$6),L$4,L$5)/12),2))</f>
        <v/>
      </c>
      <c r="AR94">
        <f>IF(M93&lt;=0,0,ROUND(M93*(1+IF(AND(M$6&gt;0,$B94&lt;M$6),M$4,M$5)/12),2))</f>
        <v/>
      </c>
      <c r="AS94">
        <f>IF(N93&lt;=0,0,ROUND(N93*(1+IF(AND(N$6&gt;0,$B94&lt;N$6),N$4,N$5)/12),2))</f>
        <v/>
      </c>
    </row>
    <row r="95">
      <c r="A95" t="n">
        <v>84</v>
      </c>
      <c r="B95">
        <f>EDATE(Plan!$C$6,83)</f>
        <v/>
      </c>
      <c r="C95">
        <f>IF(C94&lt;=0,0,MAX(0,AH95-O95))</f>
        <v/>
      </c>
      <c r="D95">
        <f>IF(D94&lt;=0,0,MAX(0,AI95-P95))</f>
        <v/>
      </c>
      <c r="E95">
        <f>IF(E94&lt;=0,0,MAX(0,AJ95-Q95))</f>
        <v/>
      </c>
      <c r="F95">
        <f>IF(F94&lt;=0,0,MAX(0,AK95-R95))</f>
        <v/>
      </c>
      <c r="G95">
        <f>IF(G94&lt;=0,0,MAX(0,AL95-S95))</f>
        <v/>
      </c>
      <c r="H95">
        <f>IF(H94&lt;=0,0,MAX(0,AM95-T95))</f>
        <v/>
      </c>
      <c r="I95">
        <f>IF(I94&lt;=0,0,MAX(0,AN95-U95))</f>
        <v/>
      </c>
      <c r="J95">
        <f>IF(J94&lt;=0,0,MAX(0,AO95-V95))</f>
        <v/>
      </c>
      <c r="K95">
        <f>IF(K94&lt;=0,0,MAX(0,AP95-W95))</f>
        <v/>
      </c>
      <c r="L95">
        <f>IF(L94&lt;=0,0,MAX(0,AQ95-X95))</f>
        <v/>
      </c>
      <c r="M95">
        <f>IF(M94&lt;=0,0,MAX(0,AR95-Y95))</f>
        <v/>
      </c>
      <c r="N95">
        <f>IF(N94&lt;=0,0,MAX(0,AS95-Z95))</f>
        <v/>
      </c>
      <c r="O95">
        <f>IF(C94&lt;=0,0,MIN(AH95,C$7+IF(C$2=$AA95,$AC95,IF(C$2=$AF95,$AG95,0))))</f>
        <v/>
      </c>
      <c r="P95">
        <f>IF(D94&lt;=0,0,MIN(AI95,D$7+IF(D$2=$AA95,$AC95,IF(D$2=$AF95,$AG95,0))))</f>
        <v/>
      </c>
      <c r="Q95">
        <f>IF(E94&lt;=0,0,MIN(AJ95,E$7+IF(E$2=$AA95,$AC95,IF(E$2=$AF95,$AG95,0))))</f>
        <v/>
      </c>
      <c r="R95">
        <f>IF(F94&lt;=0,0,MIN(AK95,F$7+IF(F$2=$AA95,$AC95,IF(F$2=$AF95,$AG95,0))))</f>
        <v/>
      </c>
      <c r="S95">
        <f>IF(G94&lt;=0,0,MIN(AL95,G$7+IF(G$2=$AA95,$AC95,IF(G$2=$AF95,$AG95,0))))</f>
        <v/>
      </c>
      <c r="T95">
        <f>IF(H94&lt;=0,0,MIN(AM95,H$7+IF(H$2=$AA95,$AC95,IF(H$2=$AF95,$AG95,0))))</f>
        <v/>
      </c>
      <c r="U95">
        <f>IF(I94&lt;=0,0,MIN(AN95,I$7+IF(I$2=$AA95,$AC95,IF(I$2=$AF95,$AG95,0))))</f>
        <v/>
      </c>
      <c r="V95">
        <f>IF(J94&lt;=0,0,MIN(AO95,J$7+IF(J$2=$AA95,$AC95,IF(J$2=$AF95,$AG95,0))))</f>
        <v/>
      </c>
      <c r="W95">
        <f>IF(K94&lt;=0,0,MIN(AP95,K$7+IF(K$2=$AA95,$AC95,IF(K$2=$AF95,$AG95,0))))</f>
        <v/>
      </c>
      <c r="X95">
        <f>IF(L94&lt;=0,0,MIN(AQ95,L$7+IF(L$2=$AA95,$AC95,IF(L$2=$AF95,$AG95,0))))</f>
        <v/>
      </c>
      <c r="Y95">
        <f>IF(M94&lt;=0,0,MIN(AR95,M$7+IF(M$2=$AA95,$AC95,IF(M$2=$AF95,$AG95,0))))</f>
        <v/>
      </c>
      <c r="Z95">
        <f>IF(N94&lt;=0,0,MIN(AS95,N$7+IF(N$2=$AA95,$AC95,IF(N$2=$AF95,$AG95,0))))</f>
        <v/>
      </c>
      <c r="AA95">
        <f>IFERROR(ROUND(1/SUMPRODUCT(MAX((C94:N94&gt;0)*($C$3:$N$3&lt;=B95)/$C$2:$N$2)),0),0)</f>
        <v/>
      </c>
      <c r="AB95">
        <f>SUMPRODUCT((C94:N94&gt;0)*$C$7:$N$7)</f>
        <v/>
      </c>
      <c r="AC95">
        <f>MAX(0,Plan!$C$5-AB95)+IF(A95=Plan!$C$8,N(Plan!$C$7),0)</f>
        <v/>
      </c>
      <c r="AD95">
        <f>SUM(C95:N95)</f>
        <v/>
      </c>
      <c r="AE95">
        <f>SUM(O95:Z95)</f>
        <v/>
      </c>
      <c r="AF95">
        <f>IFERROR(ROUND(1/SUMPRODUCT(MAX((C94:N94&gt;0)*($C$3:$N$3&lt;=B95)*($C$2:$N$2&gt;AA95)/$C$2:$N$2)),0),0)</f>
        <v/>
      </c>
      <c r="AG95">
        <f>MAX(0,AC95-MAX(0,SUMPRODUCT(($C$2:$N$2=AA95)*(AH95:AS95-$C$7:$N$7))))</f>
        <v/>
      </c>
      <c r="AH95">
        <f>IF(C94&lt;=0,0,ROUND(C94*(1+IF(AND(C$6&gt;0,$B95&lt;C$6),C$4,C$5)/12),2))</f>
        <v/>
      </c>
      <c r="AI95">
        <f>IF(D94&lt;=0,0,ROUND(D94*(1+IF(AND(D$6&gt;0,$B95&lt;D$6),D$4,D$5)/12),2))</f>
        <v/>
      </c>
      <c r="AJ95">
        <f>IF(E94&lt;=0,0,ROUND(E94*(1+IF(AND(E$6&gt;0,$B95&lt;E$6),E$4,E$5)/12),2))</f>
        <v/>
      </c>
      <c r="AK95">
        <f>IF(F94&lt;=0,0,ROUND(F94*(1+IF(AND(F$6&gt;0,$B95&lt;F$6),F$4,F$5)/12),2))</f>
        <v/>
      </c>
      <c r="AL95">
        <f>IF(G94&lt;=0,0,ROUND(G94*(1+IF(AND(G$6&gt;0,$B95&lt;G$6),G$4,G$5)/12),2))</f>
        <v/>
      </c>
      <c r="AM95">
        <f>IF(H94&lt;=0,0,ROUND(H94*(1+IF(AND(H$6&gt;0,$B95&lt;H$6),H$4,H$5)/12),2))</f>
        <v/>
      </c>
      <c r="AN95">
        <f>IF(I94&lt;=0,0,ROUND(I94*(1+IF(AND(I$6&gt;0,$B95&lt;I$6),I$4,I$5)/12),2))</f>
        <v/>
      </c>
      <c r="AO95">
        <f>IF(J94&lt;=0,0,ROUND(J94*(1+IF(AND(J$6&gt;0,$B95&lt;J$6),J$4,J$5)/12),2))</f>
        <v/>
      </c>
      <c r="AP95">
        <f>IF(K94&lt;=0,0,ROUND(K94*(1+IF(AND(K$6&gt;0,$B95&lt;K$6),K$4,K$5)/12),2))</f>
        <v/>
      </c>
      <c r="AQ95">
        <f>IF(L94&lt;=0,0,ROUND(L94*(1+IF(AND(L$6&gt;0,$B95&lt;L$6),L$4,L$5)/12),2))</f>
        <v/>
      </c>
      <c r="AR95">
        <f>IF(M94&lt;=0,0,ROUND(M94*(1+IF(AND(M$6&gt;0,$B95&lt;M$6),M$4,M$5)/12),2))</f>
        <v/>
      </c>
      <c r="AS95">
        <f>IF(N94&lt;=0,0,ROUND(N94*(1+IF(AND(N$6&gt;0,$B95&lt;N$6),N$4,N$5)/12),2))</f>
        <v/>
      </c>
    </row>
    <row r="96">
      <c r="A96" t="n">
        <v>85</v>
      </c>
      <c r="B96">
        <f>EDATE(Plan!$C$6,84)</f>
        <v/>
      </c>
      <c r="C96">
        <f>IF(C95&lt;=0,0,MAX(0,AH96-O96))</f>
        <v/>
      </c>
      <c r="D96">
        <f>IF(D95&lt;=0,0,MAX(0,AI96-P96))</f>
        <v/>
      </c>
      <c r="E96">
        <f>IF(E95&lt;=0,0,MAX(0,AJ96-Q96))</f>
        <v/>
      </c>
      <c r="F96">
        <f>IF(F95&lt;=0,0,MAX(0,AK96-R96))</f>
        <v/>
      </c>
      <c r="G96">
        <f>IF(G95&lt;=0,0,MAX(0,AL96-S96))</f>
        <v/>
      </c>
      <c r="H96">
        <f>IF(H95&lt;=0,0,MAX(0,AM96-T96))</f>
        <v/>
      </c>
      <c r="I96">
        <f>IF(I95&lt;=0,0,MAX(0,AN96-U96))</f>
        <v/>
      </c>
      <c r="J96">
        <f>IF(J95&lt;=0,0,MAX(0,AO96-V96))</f>
        <v/>
      </c>
      <c r="K96">
        <f>IF(K95&lt;=0,0,MAX(0,AP96-W96))</f>
        <v/>
      </c>
      <c r="L96">
        <f>IF(L95&lt;=0,0,MAX(0,AQ96-X96))</f>
        <v/>
      </c>
      <c r="M96">
        <f>IF(M95&lt;=0,0,MAX(0,AR96-Y96))</f>
        <v/>
      </c>
      <c r="N96">
        <f>IF(N95&lt;=0,0,MAX(0,AS96-Z96))</f>
        <v/>
      </c>
      <c r="O96">
        <f>IF(C95&lt;=0,0,MIN(AH96,C$7+IF(C$2=$AA96,$AC96,IF(C$2=$AF96,$AG96,0))))</f>
        <v/>
      </c>
      <c r="P96">
        <f>IF(D95&lt;=0,0,MIN(AI96,D$7+IF(D$2=$AA96,$AC96,IF(D$2=$AF96,$AG96,0))))</f>
        <v/>
      </c>
      <c r="Q96">
        <f>IF(E95&lt;=0,0,MIN(AJ96,E$7+IF(E$2=$AA96,$AC96,IF(E$2=$AF96,$AG96,0))))</f>
        <v/>
      </c>
      <c r="R96">
        <f>IF(F95&lt;=0,0,MIN(AK96,F$7+IF(F$2=$AA96,$AC96,IF(F$2=$AF96,$AG96,0))))</f>
        <v/>
      </c>
      <c r="S96">
        <f>IF(G95&lt;=0,0,MIN(AL96,G$7+IF(G$2=$AA96,$AC96,IF(G$2=$AF96,$AG96,0))))</f>
        <v/>
      </c>
      <c r="T96">
        <f>IF(H95&lt;=0,0,MIN(AM96,H$7+IF(H$2=$AA96,$AC96,IF(H$2=$AF96,$AG96,0))))</f>
        <v/>
      </c>
      <c r="U96">
        <f>IF(I95&lt;=0,0,MIN(AN96,I$7+IF(I$2=$AA96,$AC96,IF(I$2=$AF96,$AG96,0))))</f>
        <v/>
      </c>
      <c r="V96">
        <f>IF(J95&lt;=0,0,MIN(AO96,J$7+IF(J$2=$AA96,$AC96,IF(J$2=$AF96,$AG96,0))))</f>
        <v/>
      </c>
      <c r="W96">
        <f>IF(K95&lt;=0,0,MIN(AP96,K$7+IF(K$2=$AA96,$AC96,IF(K$2=$AF96,$AG96,0))))</f>
        <v/>
      </c>
      <c r="X96">
        <f>IF(L95&lt;=0,0,MIN(AQ96,L$7+IF(L$2=$AA96,$AC96,IF(L$2=$AF96,$AG96,0))))</f>
        <v/>
      </c>
      <c r="Y96">
        <f>IF(M95&lt;=0,0,MIN(AR96,M$7+IF(M$2=$AA96,$AC96,IF(M$2=$AF96,$AG96,0))))</f>
        <v/>
      </c>
      <c r="Z96">
        <f>IF(N95&lt;=0,0,MIN(AS96,N$7+IF(N$2=$AA96,$AC96,IF(N$2=$AF96,$AG96,0))))</f>
        <v/>
      </c>
      <c r="AA96">
        <f>IFERROR(ROUND(1/SUMPRODUCT(MAX((C95:N95&gt;0)*($C$3:$N$3&lt;=B96)/$C$2:$N$2)),0),0)</f>
        <v/>
      </c>
      <c r="AB96">
        <f>SUMPRODUCT((C95:N95&gt;0)*$C$7:$N$7)</f>
        <v/>
      </c>
      <c r="AC96">
        <f>MAX(0,Plan!$C$5-AB96)+IF(A96=Plan!$C$8,N(Plan!$C$7),0)</f>
        <v/>
      </c>
      <c r="AD96">
        <f>SUM(C96:N96)</f>
        <v/>
      </c>
      <c r="AE96">
        <f>SUM(O96:Z96)</f>
        <v/>
      </c>
      <c r="AF96">
        <f>IFERROR(ROUND(1/SUMPRODUCT(MAX((C95:N95&gt;0)*($C$3:$N$3&lt;=B96)*($C$2:$N$2&gt;AA96)/$C$2:$N$2)),0),0)</f>
        <v/>
      </c>
      <c r="AG96">
        <f>MAX(0,AC96-MAX(0,SUMPRODUCT(($C$2:$N$2=AA96)*(AH96:AS96-$C$7:$N$7))))</f>
        <v/>
      </c>
      <c r="AH96">
        <f>IF(C95&lt;=0,0,ROUND(C95*(1+IF(AND(C$6&gt;0,$B96&lt;C$6),C$4,C$5)/12),2))</f>
        <v/>
      </c>
      <c r="AI96">
        <f>IF(D95&lt;=0,0,ROUND(D95*(1+IF(AND(D$6&gt;0,$B96&lt;D$6),D$4,D$5)/12),2))</f>
        <v/>
      </c>
      <c r="AJ96">
        <f>IF(E95&lt;=0,0,ROUND(E95*(1+IF(AND(E$6&gt;0,$B96&lt;E$6),E$4,E$5)/12),2))</f>
        <v/>
      </c>
      <c r="AK96">
        <f>IF(F95&lt;=0,0,ROUND(F95*(1+IF(AND(F$6&gt;0,$B96&lt;F$6),F$4,F$5)/12),2))</f>
        <v/>
      </c>
      <c r="AL96">
        <f>IF(G95&lt;=0,0,ROUND(G95*(1+IF(AND(G$6&gt;0,$B96&lt;G$6),G$4,G$5)/12),2))</f>
        <v/>
      </c>
      <c r="AM96">
        <f>IF(H95&lt;=0,0,ROUND(H95*(1+IF(AND(H$6&gt;0,$B96&lt;H$6),H$4,H$5)/12),2))</f>
        <v/>
      </c>
      <c r="AN96">
        <f>IF(I95&lt;=0,0,ROUND(I95*(1+IF(AND(I$6&gt;0,$B96&lt;I$6),I$4,I$5)/12),2))</f>
        <v/>
      </c>
      <c r="AO96">
        <f>IF(J95&lt;=0,0,ROUND(J95*(1+IF(AND(J$6&gt;0,$B96&lt;J$6),J$4,J$5)/12),2))</f>
        <v/>
      </c>
      <c r="AP96">
        <f>IF(K95&lt;=0,0,ROUND(K95*(1+IF(AND(K$6&gt;0,$B96&lt;K$6),K$4,K$5)/12),2))</f>
        <v/>
      </c>
      <c r="AQ96">
        <f>IF(L95&lt;=0,0,ROUND(L95*(1+IF(AND(L$6&gt;0,$B96&lt;L$6),L$4,L$5)/12),2))</f>
        <v/>
      </c>
      <c r="AR96">
        <f>IF(M95&lt;=0,0,ROUND(M95*(1+IF(AND(M$6&gt;0,$B96&lt;M$6),M$4,M$5)/12),2))</f>
        <v/>
      </c>
      <c r="AS96">
        <f>IF(N95&lt;=0,0,ROUND(N95*(1+IF(AND(N$6&gt;0,$B96&lt;N$6),N$4,N$5)/12),2))</f>
        <v/>
      </c>
    </row>
    <row r="97">
      <c r="A97" t="n">
        <v>86</v>
      </c>
      <c r="B97">
        <f>EDATE(Plan!$C$6,85)</f>
        <v/>
      </c>
      <c r="C97">
        <f>IF(C96&lt;=0,0,MAX(0,AH97-O97))</f>
        <v/>
      </c>
      <c r="D97">
        <f>IF(D96&lt;=0,0,MAX(0,AI97-P97))</f>
        <v/>
      </c>
      <c r="E97">
        <f>IF(E96&lt;=0,0,MAX(0,AJ97-Q97))</f>
        <v/>
      </c>
      <c r="F97">
        <f>IF(F96&lt;=0,0,MAX(0,AK97-R97))</f>
        <v/>
      </c>
      <c r="G97">
        <f>IF(G96&lt;=0,0,MAX(0,AL97-S97))</f>
        <v/>
      </c>
      <c r="H97">
        <f>IF(H96&lt;=0,0,MAX(0,AM97-T97))</f>
        <v/>
      </c>
      <c r="I97">
        <f>IF(I96&lt;=0,0,MAX(0,AN97-U97))</f>
        <v/>
      </c>
      <c r="J97">
        <f>IF(J96&lt;=0,0,MAX(0,AO97-V97))</f>
        <v/>
      </c>
      <c r="K97">
        <f>IF(K96&lt;=0,0,MAX(0,AP97-W97))</f>
        <v/>
      </c>
      <c r="L97">
        <f>IF(L96&lt;=0,0,MAX(0,AQ97-X97))</f>
        <v/>
      </c>
      <c r="M97">
        <f>IF(M96&lt;=0,0,MAX(0,AR97-Y97))</f>
        <v/>
      </c>
      <c r="N97">
        <f>IF(N96&lt;=0,0,MAX(0,AS97-Z97))</f>
        <v/>
      </c>
      <c r="O97">
        <f>IF(C96&lt;=0,0,MIN(AH97,C$7+IF(C$2=$AA97,$AC97,IF(C$2=$AF97,$AG97,0))))</f>
        <v/>
      </c>
      <c r="P97">
        <f>IF(D96&lt;=0,0,MIN(AI97,D$7+IF(D$2=$AA97,$AC97,IF(D$2=$AF97,$AG97,0))))</f>
        <v/>
      </c>
      <c r="Q97">
        <f>IF(E96&lt;=0,0,MIN(AJ97,E$7+IF(E$2=$AA97,$AC97,IF(E$2=$AF97,$AG97,0))))</f>
        <v/>
      </c>
      <c r="R97">
        <f>IF(F96&lt;=0,0,MIN(AK97,F$7+IF(F$2=$AA97,$AC97,IF(F$2=$AF97,$AG97,0))))</f>
        <v/>
      </c>
      <c r="S97">
        <f>IF(G96&lt;=0,0,MIN(AL97,G$7+IF(G$2=$AA97,$AC97,IF(G$2=$AF97,$AG97,0))))</f>
        <v/>
      </c>
      <c r="T97">
        <f>IF(H96&lt;=0,0,MIN(AM97,H$7+IF(H$2=$AA97,$AC97,IF(H$2=$AF97,$AG97,0))))</f>
        <v/>
      </c>
      <c r="U97">
        <f>IF(I96&lt;=0,0,MIN(AN97,I$7+IF(I$2=$AA97,$AC97,IF(I$2=$AF97,$AG97,0))))</f>
        <v/>
      </c>
      <c r="V97">
        <f>IF(J96&lt;=0,0,MIN(AO97,J$7+IF(J$2=$AA97,$AC97,IF(J$2=$AF97,$AG97,0))))</f>
        <v/>
      </c>
      <c r="W97">
        <f>IF(K96&lt;=0,0,MIN(AP97,K$7+IF(K$2=$AA97,$AC97,IF(K$2=$AF97,$AG97,0))))</f>
        <v/>
      </c>
      <c r="X97">
        <f>IF(L96&lt;=0,0,MIN(AQ97,L$7+IF(L$2=$AA97,$AC97,IF(L$2=$AF97,$AG97,0))))</f>
        <v/>
      </c>
      <c r="Y97">
        <f>IF(M96&lt;=0,0,MIN(AR97,M$7+IF(M$2=$AA97,$AC97,IF(M$2=$AF97,$AG97,0))))</f>
        <v/>
      </c>
      <c r="Z97">
        <f>IF(N96&lt;=0,0,MIN(AS97,N$7+IF(N$2=$AA97,$AC97,IF(N$2=$AF97,$AG97,0))))</f>
        <v/>
      </c>
      <c r="AA97">
        <f>IFERROR(ROUND(1/SUMPRODUCT(MAX((C96:N96&gt;0)*($C$3:$N$3&lt;=B97)/$C$2:$N$2)),0),0)</f>
        <v/>
      </c>
      <c r="AB97">
        <f>SUMPRODUCT((C96:N96&gt;0)*$C$7:$N$7)</f>
        <v/>
      </c>
      <c r="AC97">
        <f>MAX(0,Plan!$C$5-AB97)+IF(A97=Plan!$C$8,N(Plan!$C$7),0)</f>
        <v/>
      </c>
      <c r="AD97">
        <f>SUM(C97:N97)</f>
        <v/>
      </c>
      <c r="AE97">
        <f>SUM(O97:Z97)</f>
        <v/>
      </c>
      <c r="AF97">
        <f>IFERROR(ROUND(1/SUMPRODUCT(MAX((C96:N96&gt;0)*($C$3:$N$3&lt;=B97)*($C$2:$N$2&gt;AA97)/$C$2:$N$2)),0),0)</f>
        <v/>
      </c>
      <c r="AG97">
        <f>MAX(0,AC97-MAX(0,SUMPRODUCT(($C$2:$N$2=AA97)*(AH97:AS97-$C$7:$N$7))))</f>
        <v/>
      </c>
      <c r="AH97">
        <f>IF(C96&lt;=0,0,ROUND(C96*(1+IF(AND(C$6&gt;0,$B97&lt;C$6),C$4,C$5)/12),2))</f>
        <v/>
      </c>
      <c r="AI97">
        <f>IF(D96&lt;=0,0,ROUND(D96*(1+IF(AND(D$6&gt;0,$B97&lt;D$6),D$4,D$5)/12),2))</f>
        <v/>
      </c>
      <c r="AJ97">
        <f>IF(E96&lt;=0,0,ROUND(E96*(1+IF(AND(E$6&gt;0,$B97&lt;E$6),E$4,E$5)/12),2))</f>
        <v/>
      </c>
      <c r="AK97">
        <f>IF(F96&lt;=0,0,ROUND(F96*(1+IF(AND(F$6&gt;0,$B97&lt;F$6),F$4,F$5)/12),2))</f>
        <v/>
      </c>
      <c r="AL97">
        <f>IF(G96&lt;=0,0,ROUND(G96*(1+IF(AND(G$6&gt;0,$B97&lt;G$6),G$4,G$5)/12),2))</f>
        <v/>
      </c>
      <c r="AM97">
        <f>IF(H96&lt;=0,0,ROUND(H96*(1+IF(AND(H$6&gt;0,$B97&lt;H$6),H$4,H$5)/12),2))</f>
        <v/>
      </c>
      <c r="AN97">
        <f>IF(I96&lt;=0,0,ROUND(I96*(1+IF(AND(I$6&gt;0,$B97&lt;I$6),I$4,I$5)/12),2))</f>
        <v/>
      </c>
      <c r="AO97">
        <f>IF(J96&lt;=0,0,ROUND(J96*(1+IF(AND(J$6&gt;0,$B97&lt;J$6),J$4,J$5)/12),2))</f>
        <v/>
      </c>
      <c r="AP97">
        <f>IF(K96&lt;=0,0,ROUND(K96*(1+IF(AND(K$6&gt;0,$B97&lt;K$6),K$4,K$5)/12),2))</f>
        <v/>
      </c>
      <c r="AQ97">
        <f>IF(L96&lt;=0,0,ROUND(L96*(1+IF(AND(L$6&gt;0,$B97&lt;L$6),L$4,L$5)/12),2))</f>
        <v/>
      </c>
      <c r="AR97">
        <f>IF(M96&lt;=0,0,ROUND(M96*(1+IF(AND(M$6&gt;0,$B97&lt;M$6),M$4,M$5)/12),2))</f>
        <v/>
      </c>
      <c r="AS97">
        <f>IF(N96&lt;=0,0,ROUND(N96*(1+IF(AND(N$6&gt;0,$B97&lt;N$6),N$4,N$5)/12),2))</f>
        <v/>
      </c>
    </row>
    <row r="98">
      <c r="A98" t="n">
        <v>87</v>
      </c>
      <c r="B98">
        <f>EDATE(Plan!$C$6,86)</f>
        <v/>
      </c>
      <c r="C98">
        <f>IF(C97&lt;=0,0,MAX(0,AH98-O98))</f>
        <v/>
      </c>
      <c r="D98">
        <f>IF(D97&lt;=0,0,MAX(0,AI98-P98))</f>
        <v/>
      </c>
      <c r="E98">
        <f>IF(E97&lt;=0,0,MAX(0,AJ98-Q98))</f>
        <v/>
      </c>
      <c r="F98">
        <f>IF(F97&lt;=0,0,MAX(0,AK98-R98))</f>
        <v/>
      </c>
      <c r="G98">
        <f>IF(G97&lt;=0,0,MAX(0,AL98-S98))</f>
        <v/>
      </c>
      <c r="H98">
        <f>IF(H97&lt;=0,0,MAX(0,AM98-T98))</f>
        <v/>
      </c>
      <c r="I98">
        <f>IF(I97&lt;=0,0,MAX(0,AN98-U98))</f>
        <v/>
      </c>
      <c r="J98">
        <f>IF(J97&lt;=0,0,MAX(0,AO98-V98))</f>
        <v/>
      </c>
      <c r="K98">
        <f>IF(K97&lt;=0,0,MAX(0,AP98-W98))</f>
        <v/>
      </c>
      <c r="L98">
        <f>IF(L97&lt;=0,0,MAX(0,AQ98-X98))</f>
        <v/>
      </c>
      <c r="M98">
        <f>IF(M97&lt;=0,0,MAX(0,AR98-Y98))</f>
        <v/>
      </c>
      <c r="N98">
        <f>IF(N97&lt;=0,0,MAX(0,AS98-Z98))</f>
        <v/>
      </c>
      <c r="O98">
        <f>IF(C97&lt;=0,0,MIN(AH98,C$7+IF(C$2=$AA98,$AC98,IF(C$2=$AF98,$AG98,0))))</f>
        <v/>
      </c>
      <c r="P98">
        <f>IF(D97&lt;=0,0,MIN(AI98,D$7+IF(D$2=$AA98,$AC98,IF(D$2=$AF98,$AG98,0))))</f>
        <v/>
      </c>
      <c r="Q98">
        <f>IF(E97&lt;=0,0,MIN(AJ98,E$7+IF(E$2=$AA98,$AC98,IF(E$2=$AF98,$AG98,0))))</f>
        <v/>
      </c>
      <c r="R98">
        <f>IF(F97&lt;=0,0,MIN(AK98,F$7+IF(F$2=$AA98,$AC98,IF(F$2=$AF98,$AG98,0))))</f>
        <v/>
      </c>
      <c r="S98">
        <f>IF(G97&lt;=0,0,MIN(AL98,G$7+IF(G$2=$AA98,$AC98,IF(G$2=$AF98,$AG98,0))))</f>
        <v/>
      </c>
      <c r="T98">
        <f>IF(H97&lt;=0,0,MIN(AM98,H$7+IF(H$2=$AA98,$AC98,IF(H$2=$AF98,$AG98,0))))</f>
        <v/>
      </c>
      <c r="U98">
        <f>IF(I97&lt;=0,0,MIN(AN98,I$7+IF(I$2=$AA98,$AC98,IF(I$2=$AF98,$AG98,0))))</f>
        <v/>
      </c>
      <c r="V98">
        <f>IF(J97&lt;=0,0,MIN(AO98,J$7+IF(J$2=$AA98,$AC98,IF(J$2=$AF98,$AG98,0))))</f>
        <v/>
      </c>
      <c r="W98">
        <f>IF(K97&lt;=0,0,MIN(AP98,K$7+IF(K$2=$AA98,$AC98,IF(K$2=$AF98,$AG98,0))))</f>
        <v/>
      </c>
      <c r="X98">
        <f>IF(L97&lt;=0,0,MIN(AQ98,L$7+IF(L$2=$AA98,$AC98,IF(L$2=$AF98,$AG98,0))))</f>
        <v/>
      </c>
      <c r="Y98">
        <f>IF(M97&lt;=0,0,MIN(AR98,M$7+IF(M$2=$AA98,$AC98,IF(M$2=$AF98,$AG98,0))))</f>
        <v/>
      </c>
      <c r="Z98">
        <f>IF(N97&lt;=0,0,MIN(AS98,N$7+IF(N$2=$AA98,$AC98,IF(N$2=$AF98,$AG98,0))))</f>
        <v/>
      </c>
      <c r="AA98">
        <f>IFERROR(ROUND(1/SUMPRODUCT(MAX((C97:N97&gt;0)*($C$3:$N$3&lt;=B98)/$C$2:$N$2)),0),0)</f>
        <v/>
      </c>
      <c r="AB98">
        <f>SUMPRODUCT((C97:N97&gt;0)*$C$7:$N$7)</f>
        <v/>
      </c>
      <c r="AC98">
        <f>MAX(0,Plan!$C$5-AB98)+IF(A98=Plan!$C$8,N(Plan!$C$7),0)</f>
        <v/>
      </c>
      <c r="AD98">
        <f>SUM(C98:N98)</f>
        <v/>
      </c>
      <c r="AE98">
        <f>SUM(O98:Z98)</f>
        <v/>
      </c>
      <c r="AF98">
        <f>IFERROR(ROUND(1/SUMPRODUCT(MAX((C97:N97&gt;0)*($C$3:$N$3&lt;=B98)*($C$2:$N$2&gt;AA98)/$C$2:$N$2)),0),0)</f>
        <v/>
      </c>
      <c r="AG98">
        <f>MAX(0,AC98-MAX(0,SUMPRODUCT(($C$2:$N$2=AA98)*(AH98:AS98-$C$7:$N$7))))</f>
        <v/>
      </c>
      <c r="AH98">
        <f>IF(C97&lt;=0,0,ROUND(C97*(1+IF(AND(C$6&gt;0,$B98&lt;C$6),C$4,C$5)/12),2))</f>
        <v/>
      </c>
      <c r="AI98">
        <f>IF(D97&lt;=0,0,ROUND(D97*(1+IF(AND(D$6&gt;0,$B98&lt;D$6),D$4,D$5)/12),2))</f>
        <v/>
      </c>
      <c r="AJ98">
        <f>IF(E97&lt;=0,0,ROUND(E97*(1+IF(AND(E$6&gt;0,$B98&lt;E$6),E$4,E$5)/12),2))</f>
        <v/>
      </c>
      <c r="AK98">
        <f>IF(F97&lt;=0,0,ROUND(F97*(1+IF(AND(F$6&gt;0,$B98&lt;F$6),F$4,F$5)/12),2))</f>
        <v/>
      </c>
      <c r="AL98">
        <f>IF(G97&lt;=0,0,ROUND(G97*(1+IF(AND(G$6&gt;0,$B98&lt;G$6),G$4,G$5)/12),2))</f>
        <v/>
      </c>
      <c r="AM98">
        <f>IF(H97&lt;=0,0,ROUND(H97*(1+IF(AND(H$6&gt;0,$B98&lt;H$6),H$4,H$5)/12),2))</f>
        <v/>
      </c>
      <c r="AN98">
        <f>IF(I97&lt;=0,0,ROUND(I97*(1+IF(AND(I$6&gt;0,$B98&lt;I$6),I$4,I$5)/12),2))</f>
        <v/>
      </c>
      <c r="AO98">
        <f>IF(J97&lt;=0,0,ROUND(J97*(1+IF(AND(J$6&gt;0,$B98&lt;J$6),J$4,J$5)/12),2))</f>
        <v/>
      </c>
      <c r="AP98">
        <f>IF(K97&lt;=0,0,ROUND(K97*(1+IF(AND(K$6&gt;0,$B98&lt;K$6),K$4,K$5)/12),2))</f>
        <v/>
      </c>
      <c r="AQ98">
        <f>IF(L97&lt;=0,0,ROUND(L97*(1+IF(AND(L$6&gt;0,$B98&lt;L$6),L$4,L$5)/12),2))</f>
        <v/>
      </c>
      <c r="AR98">
        <f>IF(M97&lt;=0,0,ROUND(M97*(1+IF(AND(M$6&gt;0,$B98&lt;M$6),M$4,M$5)/12),2))</f>
        <v/>
      </c>
      <c r="AS98">
        <f>IF(N97&lt;=0,0,ROUND(N97*(1+IF(AND(N$6&gt;0,$B98&lt;N$6),N$4,N$5)/12),2))</f>
        <v/>
      </c>
    </row>
    <row r="99">
      <c r="A99" t="n">
        <v>88</v>
      </c>
      <c r="B99">
        <f>EDATE(Plan!$C$6,87)</f>
        <v/>
      </c>
      <c r="C99">
        <f>IF(C98&lt;=0,0,MAX(0,AH99-O99))</f>
        <v/>
      </c>
      <c r="D99">
        <f>IF(D98&lt;=0,0,MAX(0,AI99-P99))</f>
        <v/>
      </c>
      <c r="E99">
        <f>IF(E98&lt;=0,0,MAX(0,AJ99-Q99))</f>
        <v/>
      </c>
      <c r="F99">
        <f>IF(F98&lt;=0,0,MAX(0,AK99-R99))</f>
        <v/>
      </c>
      <c r="G99">
        <f>IF(G98&lt;=0,0,MAX(0,AL99-S99))</f>
        <v/>
      </c>
      <c r="H99">
        <f>IF(H98&lt;=0,0,MAX(0,AM99-T99))</f>
        <v/>
      </c>
      <c r="I99">
        <f>IF(I98&lt;=0,0,MAX(0,AN99-U99))</f>
        <v/>
      </c>
      <c r="J99">
        <f>IF(J98&lt;=0,0,MAX(0,AO99-V99))</f>
        <v/>
      </c>
      <c r="K99">
        <f>IF(K98&lt;=0,0,MAX(0,AP99-W99))</f>
        <v/>
      </c>
      <c r="L99">
        <f>IF(L98&lt;=0,0,MAX(0,AQ99-X99))</f>
        <v/>
      </c>
      <c r="M99">
        <f>IF(M98&lt;=0,0,MAX(0,AR99-Y99))</f>
        <v/>
      </c>
      <c r="N99">
        <f>IF(N98&lt;=0,0,MAX(0,AS99-Z99))</f>
        <v/>
      </c>
      <c r="O99">
        <f>IF(C98&lt;=0,0,MIN(AH99,C$7+IF(C$2=$AA99,$AC99,IF(C$2=$AF99,$AG99,0))))</f>
        <v/>
      </c>
      <c r="P99">
        <f>IF(D98&lt;=0,0,MIN(AI99,D$7+IF(D$2=$AA99,$AC99,IF(D$2=$AF99,$AG99,0))))</f>
        <v/>
      </c>
      <c r="Q99">
        <f>IF(E98&lt;=0,0,MIN(AJ99,E$7+IF(E$2=$AA99,$AC99,IF(E$2=$AF99,$AG99,0))))</f>
        <v/>
      </c>
      <c r="R99">
        <f>IF(F98&lt;=0,0,MIN(AK99,F$7+IF(F$2=$AA99,$AC99,IF(F$2=$AF99,$AG99,0))))</f>
        <v/>
      </c>
      <c r="S99">
        <f>IF(G98&lt;=0,0,MIN(AL99,G$7+IF(G$2=$AA99,$AC99,IF(G$2=$AF99,$AG99,0))))</f>
        <v/>
      </c>
      <c r="T99">
        <f>IF(H98&lt;=0,0,MIN(AM99,H$7+IF(H$2=$AA99,$AC99,IF(H$2=$AF99,$AG99,0))))</f>
        <v/>
      </c>
      <c r="U99">
        <f>IF(I98&lt;=0,0,MIN(AN99,I$7+IF(I$2=$AA99,$AC99,IF(I$2=$AF99,$AG99,0))))</f>
        <v/>
      </c>
      <c r="V99">
        <f>IF(J98&lt;=0,0,MIN(AO99,J$7+IF(J$2=$AA99,$AC99,IF(J$2=$AF99,$AG99,0))))</f>
        <v/>
      </c>
      <c r="W99">
        <f>IF(K98&lt;=0,0,MIN(AP99,K$7+IF(K$2=$AA99,$AC99,IF(K$2=$AF99,$AG99,0))))</f>
        <v/>
      </c>
      <c r="X99">
        <f>IF(L98&lt;=0,0,MIN(AQ99,L$7+IF(L$2=$AA99,$AC99,IF(L$2=$AF99,$AG99,0))))</f>
        <v/>
      </c>
      <c r="Y99">
        <f>IF(M98&lt;=0,0,MIN(AR99,M$7+IF(M$2=$AA99,$AC99,IF(M$2=$AF99,$AG99,0))))</f>
        <v/>
      </c>
      <c r="Z99">
        <f>IF(N98&lt;=0,0,MIN(AS99,N$7+IF(N$2=$AA99,$AC99,IF(N$2=$AF99,$AG99,0))))</f>
        <v/>
      </c>
      <c r="AA99">
        <f>IFERROR(ROUND(1/SUMPRODUCT(MAX((C98:N98&gt;0)*($C$3:$N$3&lt;=B99)/$C$2:$N$2)),0),0)</f>
        <v/>
      </c>
      <c r="AB99">
        <f>SUMPRODUCT((C98:N98&gt;0)*$C$7:$N$7)</f>
        <v/>
      </c>
      <c r="AC99">
        <f>MAX(0,Plan!$C$5-AB99)+IF(A99=Plan!$C$8,N(Plan!$C$7),0)</f>
        <v/>
      </c>
      <c r="AD99">
        <f>SUM(C99:N99)</f>
        <v/>
      </c>
      <c r="AE99">
        <f>SUM(O99:Z99)</f>
        <v/>
      </c>
      <c r="AF99">
        <f>IFERROR(ROUND(1/SUMPRODUCT(MAX((C98:N98&gt;0)*($C$3:$N$3&lt;=B99)*($C$2:$N$2&gt;AA99)/$C$2:$N$2)),0),0)</f>
        <v/>
      </c>
      <c r="AG99">
        <f>MAX(0,AC99-MAX(0,SUMPRODUCT(($C$2:$N$2=AA99)*(AH99:AS99-$C$7:$N$7))))</f>
        <v/>
      </c>
      <c r="AH99">
        <f>IF(C98&lt;=0,0,ROUND(C98*(1+IF(AND(C$6&gt;0,$B99&lt;C$6),C$4,C$5)/12),2))</f>
        <v/>
      </c>
      <c r="AI99">
        <f>IF(D98&lt;=0,0,ROUND(D98*(1+IF(AND(D$6&gt;0,$B99&lt;D$6),D$4,D$5)/12),2))</f>
        <v/>
      </c>
      <c r="AJ99">
        <f>IF(E98&lt;=0,0,ROUND(E98*(1+IF(AND(E$6&gt;0,$B99&lt;E$6),E$4,E$5)/12),2))</f>
        <v/>
      </c>
      <c r="AK99">
        <f>IF(F98&lt;=0,0,ROUND(F98*(1+IF(AND(F$6&gt;0,$B99&lt;F$6),F$4,F$5)/12),2))</f>
        <v/>
      </c>
      <c r="AL99">
        <f>IF(G98&lt;=0,0,ROUND(G98*(1+IF(AND(G$6&gt;0,$B99&lt;G$6),G$4,G$5)/12),2))</f>
        <v/>
      </c>
      <c r="AM99">
        <f>IF(H98&lt;=0,0,ROUND(H98*(1+IF(AND(H$6&gt;0,$B99&lt;H$6),H$4,H$5)/12),2))</f>
        <v/>
      </c>
      <c r="AN99">
        <f>IF(I98&lt;=0,0,ROUND(I98*(1+IF(AND(I$6&gt;0,$B99&lt;I$6),I$4,I$5)/12),2))</f>
        <v/>
      </c>
      <c r="AO99">
        <f>IF(J98&lt;=0,0,ROUND(J98*(1+IF(AND(J$6&gt;0,$B99&lt;J$6),J$4,J$5)/12),2))</f>
        <v/>
      </c>
      <c r="AP99">
        <f>IF(K98&lt;=0,0,ROUND(K98*(1+IF(AND(K$6&gt;0,$B99&lt;K$6),K$4,K$5)/12),2))</f>
        <v/>
      </c>
      <c r="AQ99">
        <f>IF(L98&lt;=0,0,ROUND(L98*(1+IF(AND(L$6&gt;0,$B99&lt;L$6),L$4,L$5)/12),2))</f>
        <v/>
      </c>
      <c r="AR99">
        <f>IF(M98&lt;=0,0,ROUND(M98*(1+IF(AND(M$6&gt;0,$B99&lt;M$6),M$4,M$5)/12),2))</f>
        <v/>
      </c>
      <c r="AS99">
        <f>IF(N98&lt;=0,0,ROUND(N98*(1+IF(AND(N$6&gt;0,$B99&lt;N$6),N$4,N$5)/12),2))</f>
        <v/>
      </c>
    </row>
    <row r="100">
      <c r="A100" t="n">
        <v>89</v>
      </c>
      <c r="B100">
        <f>EDATE(Plan!$C$6,88)</f>
        <v/>
      </c>
      <c r="C100">
        <f>IF(C99&lt;=0,0,MAX(0,AH100-O100))</f>
        <v/>
      </c>
      <c r="D100">
        <f>IF(D99&lt;=0,0,MAX(0,AI100-P100))</f>
        <v/>
      </c>
      <c r="E100">
        <f>IF(E99&lt;=0,0,MAX(0,AJ100-Q100))</f>
        <v/>
      </c>
      <c r="F100">
        <f>IF(F99&lt;=0,0,MAX(0,AK100-R100))</f>
        <v/>
      </c>
      <c r="G100">
        <f>IF(G99&lt;=0,0,MAX(0,AL100-S100))</f>
        <v/>
      </c>
      <c r="H100">
        <f>IF(H99&lt;=0,0,MAX(0,AM100-T100))</f>
        <v/>
      </c>
      <c r="I100">
        <f>IF(I99&lt;=0,0,MAX(0,AN100-U100))</f>
        <v/>
      </c>
      <c r="J100">
        <f>IF(J99&lt;=0,0,MAX(0,AO100-V100))</f>
        <v/>
      </c>
      <c r="K100">
        <f>IF(K99&lt;=0,0,MAX(0,AP100-W100))</f>
        <v/>
      </c>
      <c r="L100">
        <f>IF(L99&lt;=0,0,MAX(0,AQ100-X100))</f>
        <v/>
      </c>
      <c r="M100">
        <f>IF(M99&lt;=0,0,MAX(0,AR100-Y100))</f>
        <v/>
      </c>
      <c r="N100">
        <f>IF(N99&lt;=0,0,MAX(0,AS100-Z100))</f>
        <v/>
      </c>
      <c r="O100">
        <f>IF(C99&lt;=0,0,MIN(AH100,C$7+IF(C$2=$AA100,$AC100,IF(C$2=$AF100,$AG100,0))))</f>
        <v/>
      </c>
      <c r="P100">
        <f>IF(D99&lt;=0,0,MIN(AI100,D$7+IF(D$2=$AA100,$AC100,IF(D$2=$AF100,$AG100,0))))</f>
        <v/>
      </c>
      <c r="Q100">
        <f>IF(E99&lt;=0,0,MIN(AJ100,E$7+IF(E$2=$AA100,$AC100,IF(E$2=$AF100,$AG100,0))))</f>
        <v/>
      </c>
      <c r="R100">
        <f>IF(F99&lt;=0,0,MIN(AK100,F$7+IF(F$2=$AA100,$AC100,IF(F$2=$AF100,$AG100,0))))</f>
        <v/>
      </c>
      <c r="S100">
        <f>IF(G99&lt;=0,0,MIN(AL100,G$7+IF(G$2=$AA100,$AC100,IF(G$2=$AF100,$AG100,0))))</f>
        <v/>
      </c>
      <c r="T100">
        <f>IF(H99&lt;=0,0,MIN(AM100,H$7+IF(H$2=$AA100,$AC100,IF(H$2=$AF100,$AG100,0))))</f>
        <v/>
      </c>
      <c r="U100">
        <f>IF(I99&lt;=0,0,MIN(AN100,I$7+IF(I$2=$AA100,$AC100,IF(I$2=$AF100,$AG100,0))))</f>
        <v/>
      </c>
      <c r="V100">
        <f>IF(J99&lt;=0,0,MIN(AO100,J$7+IF(J$2=$AA100,$AC100,IF(J$2=$AF100,$AG100,0))))</f>
        <v/>
      </c>
      <c r="W100">
        <f>IF(K99&lt;=0,0,MIN(AP100,K$7+IF(K$2=$AA100,$AC100,IF(K$2=$AF100,$AG100,0))))</f>
        <v/>
      </c>
      <c r="X100">
        <f>IF(L99&lt;=0,0,MIN(AQ100,L$7+IF(L$2=$AA100,$AC100,IF(L$2=$AF100,$AG100,0))))</f>
        <v/>
      </c>
      <c r="Y100">
        <f>IF(M99&lt;=0,0,MIN(AR100,M$7+IF(M$2=$AA100,$AC100,IF(M$2=$AF100,$AG100,0))))</f>
        <v/>
      </c>
      <c r="Z100">
        <f>IF(N99&lt;=0,0,MIN(AS100,N$7+IF(N$2=$AA100,$AC100,IF(N$2=$AF100,$AG100,0))))</f>
        <v/>
      </c>
      <c r="AA100">
        <f>IFERROR(ROUND(1/SUMPRODUCT(MAX((C99:N99&gt;0)*($C$3:$N$3&lt;=B100)/$C$2:$N$2)),0),0)</f>
        <v/>
      </c>
      <c r="AB100">
        <f>SUMPRODUCT((C99:N99&gt;0)*$C$7:$N$7)</f>
        <v/>
      </c>
      <c r="AC100">
        <f>MAX(0,Plan!$C$5-AB100)+IF(A100=Plan!$C$8,N(Plan!$C$7),0)</f>
        <v/>
      </c>
      <c r="AD100">
        <f>SUM(C100:N100)</f>
        <v/>
      </c>
      <c r="AE100">
        <f>SUM(O100:Z100)</f>
        <v/>
      </c>
      <c r="AF100">
        <f>IFERROR(ROUND(1/SUMPRODUCT(MAX((C99:N99&gt;0)*($C$3:$N$3&lt;=B100)*($C$2:$N$2&gt;AA100)/$C$2:$N$2)),0),0)</f>
        <v/>
      </c>
      <c r="AG100">
        <f>MAX(0,AC100-MAX(0,SUMPRODUCT(($C$2:$N$2=AA100)*(AH100:AS100-$C$7:$N$7))))</f>
        <v/>
      </c>
      <c r="AH100">
        <f>IF(C99&lt;=0,0,ROUND(C99*(1+IF(AND(C$6&gt;0,$B100&lt;C$6),C$4,C$5)/12),2))</f>
        <v/>
      </c>
      <c r="AI100">
        <f>IF(D99&lt;=0,0,ROUND(D99*(1+IF(AND(D$6&gt;0,$B100&lt;D$6),D$4,D$5)/12),2))</f>
        <v/>
      </c>
      <c r="AJ100">
        <f>IF(E99&lt;=0,0,ROUND(E99*(1+IF(AND(E$6&gt;0,$B100&lt;E$6),E$4,E$5)/12),2))</f>
        <v/>
      </c>
      <c r="AK100">
        <f>IF(F99&lt;=0,0,ROUND(F99*(1+IF(AND(F$6&gt;0,$B100&lt;F$6),F$4,F$5)/12),2))</f>
        <v/>
      </c>
      <c r="AL100">
        <f>IF(G99&lt;=0,0,ROUND(G99*(1+IF(AND(G$6&gt;0,$B100&lt;G$6),G$4,G$5)/12),2))</f>
        <v/>
      </c>
      <c r="AM100">
        <f>IF(H99&lt;=0,0,ROUND(H99*(1+IF(AND(H$6&gt;0,$B100&lt;H$6),H$4,H$5)/12),2))</f>
        <v/>
      </c>
      <c r="AN100">
        <f>IF(I99&lt;=0,0,ROUND(I99*(1+IF(AND(I$6&gt;0,$B100&lt;I$6),I$4,I$5)/12),2))</f>
        <v/>
      </c>
      <c r="AO100">
        <f>IF(J99&lt;=0,0,ROUND(J99*(1+IF(AND(J$6&gt;0,$B100&lt;J$6),J$4,J$5)/12),2))</f>
        <v/>
      </c>
      <c r="AP100">
        <f>IF(K99&lt;=0,0,ROUND(K99*(1+IF(AND(K$6&gt;0,$B100&lt;K$6),K$4,K$5)/12),2))</f>
        <v/>
      </c>
      <c r="AQ100">
        <f>IF(L99&lt;=0,0,ROUND(L99*(1+IF(AND(L$6&gt;0,$B100&lt;L$6),L$4,L$5)/12),2))</f>
        <v/>
      </c>
      <c r="AR100">
        <f>IF(M99&lt;=0,0,ROUND(M99*(1+IF(AND(M$6&gt;0,$B100&lt;M$6),M$4,M$5)/12),2))</f>
        <v/>
      </c>
      <c r="AS100">
        <f>IF(N99&lt;=0,0,ROUND(N99*(1+IF(AND(N$6&gt;0,$B100&lt;N$6),N$4,N$5)/12),2))</f>
        <v/>
      </c>
    </row>
    <row r="101">
      <c r="A101" t="n">
        <v>90</v>
      </c>
      <c r="B101">
        <f>EDATE(Plan!$C$6,89)</f>
        <v/>
      </c>
      <c r="C101">
        <f>IF(C100&lt;=0,0,MAX(0,AH101-O101))</f>
        <v/>
      </c>
      <c r="D101">
        <f>IF(D100&lt;=0,0,MAX(0,AI101-P101))</f>
        <v/>
      </c>
      <c r="E101">
        <f>IF(E100&lt;=0,0,MAX(0,AJ101-Q101))</f>
        <v/>
      </c>
      <c r="F101">
        <f>IF(F100&lt;=0,0,MAX(0,AK101-R101))</f>
        <v/>
      </c>
      <c r="G101">
        <f>IF(G100&lt;=0,0,MAX(0,AL101-S101))</f>
        <v/>
      </c>
      <c r="H101">
        <f>IF(H100&lt;=0,0,MAX(0,AM101-T101))</f>
        <v/>
      </c>
      <c r="I101">
        <f>IF(I100&lt;=0,0,MAX(0,AN101-U101))</f>
        <v/>
      </c>
      <c r="J101">
        <f>IF(J100&lt;=0,0,MAX(0,AO101-V101))</f>
        <v/>
      </c>
      <c r="K101">
        <f>IF(K100&lt;=0,0,MAX(0,AP101-W101))</f>
        <v/>
      </c>
      <c r="L101">
        <f>IF(L100&lt;=0,0,MAX(0,AQ101-X101))</f>
        <v/>
      </c>
      <c r="M101">
        <f>IF(M100&lt;=0,0,MAX(0,AR101-Y101))</f>
        <v/>
      </c>
      <c r="N101">
        <f>IF(N100&lt;=0,0,MAX(0,AS101-Z101))</f>
        <v/>
      </c>
      <c r="O101">
        <f>IF(C100&lt;=0,0,MIN(AH101,C$7+IF(C$2=$AA101,$AC101,IF(C$2=$AF101,$AG101,0))))</f>
        <v/>
      </c>
      <c r="P101">
        <f>IF(D100&lt;=0,0,MIN(AI101,D$7+IF(D$2=$AA101,$AC101,IF(D$2=$AF101,$AG101,0))))</f>
        <v/>
      </c>
      <c r="Q101">
        <f>IF(E100&lt;=0,0,MIN(AJ101,E$7+IF(E$2=$AA101,$AC101,IF(E$2=$AF101,$AG101,0))))</f>
        <v/>
      </c>
      <c r="R101">
        <f>IF(F100&lt;=0,0,MIN(AK101,F$7+IF(F$2=$AA101,$AC101,IF(F$2=$AF101,$AG101,0))))</f>
        <v/>
      </c>
      <c r="S101">
        <f>IF(G100&lt;=0,0,MIN(AL101,G$7+IF(G$2=$AA101,$AC101,IF(G$2=$AF101,$AG101,0))))</f>
        <v/>
      </c>
      <c r="T101">
        <f>IF(H100&lt;=0,0,MIN(AM101,H$7+IF(H$2=$AA101,$AC101,IF(H$2=$AF101,$AG101,0))))</f>
        <v/>
      </c>
      <c r="U101">
        <f>IF(I100&lt;=0,0,MIN(AN101,I$7+IF(I$2=$AA101,$AC101,IF(I$2=$AF101,$AG101,0))))</f>
        <v/>
      </c>
      <c r="V101">
        <f>IF(J100&lt;=0,0,MIN(AO101,J$7+IF(J$2=$AA101,$AC101,IF(J$2=$AF101,$AG101,0))))</f>
        <v/>
      </c>
      <c r="W101">
        <f>IF(K100&lt;=0,0,MIN(AP101,K$7+IF(K$2=$AA101,$AC101,IF(K$2=$AF101,$AG101,0))))</f>
        <v/>
      </c>
      <c r="X101">
        <f>IF(L100&lt;=0,0,MIN(AQ101,L$7+IF(L$2=$AA101,$AC101,IF(L$2=$AF101,$AG101,0))))</f>
        <v/>
      </c>
      <c r="Y101">
        <f>IF(M100&lt;=0,0,MIN(AR101,M$7+IF(M$2=$AA101,$AC101,IF(M$2=$AF101,$AG101,0))))</f>
        <v/>
      </c>
      <c r="Z101">
        <f>IF(N100&lt;=0,0,MIN(AS101,N$7+IF(N$2=$AA101,$AC101,IF(N$2=$AF101,$AG101,0))))</f>
        <v/>
      </c>
      <c r="AA101">
        <f>IFERROR(ROUND(1/SUMPRODUCT(MAX((C100:N100&gt;0)*($C$3:$N$3&lt;=B101)/$C$2:$N$2)),0),0)</f>
        <v/>
      </c>
      <c r="AB101">
        <f>SUMPRODUCT((C100:N100&gt;0)*$C$7:$N$7)</f>
        <v/>
      </c>
      <c r="AC101">
        <f>MAX(0,Plan!$C$5-AB101)+IF(A101=Plan!$C$8,N(Plan!$C$7),0)</f>
        <v/>
      </c>
      <c r="AD101">
        <f>SUM(C101:N101)</f>
        <v/>
      </c>
      <c r="AE101">
        <f>SUM(O101:Z101)</f>
        <v/>
      </c>
      <c r="AF101">
        <f>IFERROR(ROUND(1/SUMPRODUCT(MAX((C100:N100&gt;0)*($C$3:$N$3&lt;=B101)*($C$2:$N$2&gt;AA101)/$C$2:$N$2)),0),0)</f>
        <v/>
      </c>
      <c r="AG101">
        <f>MAX(0,AC101-MAX(0,SUMPRODUCT(($C$2:$N$2=AA101)*(AH101:AS101-$C$7:$N$7))))</f>
        <v/>
      </c>
      <c r="AH101">
        <f>IF(C100&lt;=0,0,ROUND(C100*(1+IF(AND(C$6&gt;0,$B101&lt;C$6),C$4,C$5)/12),2))</f>
        <v/>
      </c>
      <c r="AI101">
        <f>IF(D100&lt;=0,0,ROUND(D100*(1+IF(AND(D$6&gt;0,$B101&lt;D$6),D$4,D$5)/12),2))</f>
        <v/>
      </c>
      <c r="AJ101">
        <f>IF(E100&lt;=0,0,ROUND(E100*(1+IF(AND(E$6&gt;0,$B101&lt;E$6),E$4,E$5)/12),2))</f>
        <v/>
      </c>
      <c r="AK101">
        <f>IF(F100&lt;=0,0,ROUND(F100*(1+IF(AND(F$6&gt;0,$B101&lt;F$6),F$4,F$5)/12),2))</f>
        <v/>
      </c>
      <c r="AL101">
        <f>IF(G100&lt;=0,0,ROUND(G100*(1+IF(AND(G$6&gt;0,$B101&lt;G$6),G$4,G$5)/12),2))</f>
        <v/>
      </c>
      <c r="AM101">
        <f>IF(H100&lt;=0,0,ROUND(H100*(1+IF(AND(H$6&gt;0,$B101&lt;H$6),H$4,H$5)/12),2))</f>
        <v/>
      </c>
      <c r="AN101">
        <f>IF(I100&lt;=0,0,ROUND(I100*(1+IF(AND(I$6&gt;0,$B101&lt;I$6),I$4,I$5)/12),2))</f>
        <v/>
      </c>
      <c r="AO101">
        <f>IF(J100&lt;=0,0,ROUND(J100*(1+IF(AND(J$6&gt;0,$B101&lt;J$6),J$4,J$5)/12),2))</f>
        <v/>
      </c>
      <c r="AP101">
        <f>IF(K100&lt;=0,0,ROUND(K100*(1+IF(AND(K$6&gt;0,$B101&lt;K$6),K$4,K$5)/12),2))</f>
        <v/>
      </c>
      <c r="AQ101">
        <f>IF(L100&lt;=0,0,ROUND(L100*(1+IF(AND(L$6&gt;0,$B101&lt;L$6),L$4,L$5)/12),2))</f>
        <v/>
      </c>
      <c r="AR101">
        <f>IF(M100&lt;=0,0,ROUND(M100*(1+IF(AND(M$6&gt;0,$B101&lt;M$6),M$4,M$5)/12),2))</f>
        <v/>
      </c>
      <c r="AS101">
        <f>IF(N100&lt;=0,0,ROUND(N100*(1+IF(AND(N$6&gt;0,$B101&lt;N$6),N$4,N$5)/12),2))</f>
        <v/>
      </c>
    </row>
    <row r="102">
      <c r="A102" t="n">
        <v>91</v>
      </c>
      <c r="B102">
        <f>EDATE(Plan!$C$6,90)</f>
        <v/>
      </c>
      <c r="C102">
        <f>IF(C101&lt;=0,0,MAX(0,AH102-O102))</f>
        <v/>
      </c>
      <c r="D102">
        <f>IF(D101&lt;=0,0,MAX(0,AI102-P102))</f>
        <v/>
      </c>
      <c r="E102">
        <f>IF(E101&lt;=0,0,MAX(0,AJ102-Q102))</f>
        <v/>
      </c>
      <c r="F102">
        <f>IF(F101&lt;=0,0,MAX(0,AK102-R102))</f>
        <v/>
      </c>
      <c r="G102">
        <f>IF(G101&lt;=0,0,MAX(0,AL102-S102))</f>
        <v/>
      </c>
      <c r="H102">
        <f>IF(H101&lt;=0,0,MAX(0,AM102-T102))</f>
        <v/>
      </c>
      <c r="I102">
        <f>IF(I101&lt;=0,0,MAX(0,AN102-U102))</f>
        <v/>
      </c>
      <c r="J102">
        <f>IF(J101&lt;=0,0,MAX(0,AO102-V102))</f>
        <v/>
      </c>
      <c r="K102">
        <f>IF(K101&lt;=0,0,MAX(0,AP102-W102))</f>
        <v/>
      </c>
      <c r="L102">
        <f>IF(L101&lt;=0,0,MAX(0,AQ102-X102))</f>
        <v/>
      </c>
      <c r="M102">
        <f>IF(M101&lt;=0,0,MAX(0,AR102-Y102))</f>
        <v/>
      </c>
      <c r="N102">
        <f>IF(N101&lt;=0,0,MAX(0,AS102-Z102))</f>
        <v/>
      </c>
      <c r="O102">
        <f>IF(C101&lt;=0,0,MIN(AH102,C$7+IF(C$2=$AA102,$AC102,IF(C$2=$AF102,$AG102,0))))</f>
        <v/>
      </c>
      <c r="P102">
        <f>IF(D101&lt;=0,0,MIN(AI102,D$7+IF(D$2=$AA102,$AC102,IF(D$2=$AF102,$AG102,0))))</f>
        <v/>
      </c>
      <c r="Q102">
        <f>IF(E101&lt;=0,0,MIN(AJ102,E$7+IF(E$2=$AA102,$AC102,IF(E$2=$AF102,$AG102,0))))</f>
        <v/>
      </c>
      <c r="R102">
        <f>IF(F101&lt;=0,0,MIN(AK102,F$7+IF(F$2=$AA102,$AC102,IF(F$2=$AF102,$AG102,0))))</f>
        <v/>
      </c>
      <c r="S102">
        <f>IF(G101&lt;=0,0,MIN(AL102,G$7+IF(G$2=$AA102,$AC102,IF(G$2=$AF102,$AG102,0))))</f>
        <v/>
      </c>
      <c r="T102">
        <f>IF(H101&lt;=0,0,MIN(AM102,H$7+IF(H$2=$AA102,$AC102,IF(H$2=$AF102,$AG102,0))))</f>
        <v/>
      </c>
      <c r="U102">
        <f>IF(I101&lt;=0,0,MIN(AN102,I$7+IF(I$2=$AA102,$AC102,IF(I$2=$AF102,$AG102,0))))</f>
        <v/>
      </c>
      <c r="V102">
        <f>IF(J101&lt;=0,0,MIN(AO102,J$7+IF(J$2=$AA102,$AC102,IF(J$2=$AF102,$AG102,0))))</f>
        <v/>
      </c>
      <c r="W102">
        <f>IF(K101&lt;=0,0,MIN(AP102,K$7+IF(K$2=$AA102,$AC102,IF(K$2=$AF102,$AG102,0))))</f>
        <v/>
      </c>
      <c r="X102">
        <f>IF(L101&lt;=0,0,MIN(AQ102,L$7+IF(L$2=$AA102,$AC102,IF(L$2=$AF102,$AG102,0))))</f>
        <v/>
      </c>
      <c r="Y102">
        <f>IF(M101&lt;=0,0,MIN(AR102,M$7+IF(M$2=$AA102,$AC102,IF(M$2=$AF102,$AG102,0))))</f>
        <v/>
      </c>
      <c r="Z102">
        <f>IF(N101&lt;=0,0,MIN(AS102,N$7+IF(N$2=$AA102,$AC102,IF(N$2=$AF102,$AG102,0))))</f>
        <v/>
      </c>
      <c r="AA102">
        <f>IFERROR(ROUND(1/SUMPRODUCT(MAX((C101:N101&gt;0)*($C$3:$N$3&lt;=B102)/$C$2:$N$2)),0),0)</f>
        <v/>
      </c>
      <c r="AB102">
        <f>SUMPRODUCT((C101:N101&gt;0)*$C$7:$N$7)</f>
        <v/>
      </c>
      <c r="AC102">
        <f>MAX(0,Plan!$C$5-AB102)+IF(A102=Plan!$C$8,N(Plan!$C$7),0)</f>
        <v/>
      </c>
      <c r="AD102">
        <f>SUM(C102:N102)</f>
        <v/>
      </c>
      <c r="AE102">
        <f>SUM(O102:Z102)</f>
        <v/>
      </c>
      <c r="AF102">
        <f>IFERROR(ROUND(1/SUMPRODUCT(MAX((C101:N101&gt;0)*($C$3:$N$3&lt;=B102)*($C$2:$N$2&gt;AA102)/$C$2:$N$2)),0),0)</f>
        <v/>
      </c>
      <c r="AG102">
        <f>MAX(0,AC102-MAX(0,SUMPRODUCT(($C$2:$N$2=AA102)*(AH102:AS102-$C$7:$N$7))))</f>
        <v/>
      </c>
      <c r="AH102">
        <f>IF(C101&lt;=0,0,ROUND(C101*(1+IF(AND(C$6&gt;0,$B102&lt;C$6),C$4,C$5)/12),2))</f>
        <v/>
      </c>
      <c r="AI102">
        <f>IF(D101&lt;=0,0,ROUND(D101*(1+IF(AND(D$6&gt;0,$B102&lt;D$6),D$4,D$5)/12),2))</f>
        <v/>
      </c>
      <c r="AJ102">
        <f>IF(E101&lt;=0,0,ROUND(E101*(1+IF(AND(E$6&gt;0,$B102&lt;E$6),E$4,E$5)/12),2))</f>
        <v/>
      </c>
      <c r="AK102">
        <f>IF(F101&lt;=0,0,ROUND(F101*(1+IF(AND(F$6&gt;0,$B102&lt;F$6),F$4,F$5)/12),2))</f>
        <v/>
      </c>
      <c r="AL102">
        <f>IF(G101&lt;=0,0,ROUND(G101*(1+IF(AND(G$6&gt;0,$B102&lt;G$6),G$4,G$5)/12),2))</f>
        <v/>
      </c>
      <c r="AM102">
        <f>IF(H101&lt;=0,0,ROUND(H101*(1+IF(AND(H$6&gt;0,$B102&lt;H$6),H$4,H$5)/12),2))</f>
        <v/>
      </c>
      <c r="AN102">
        <f>IF(I101&lt;=0,0,ROUND(I101*(1+IF(AND(I$6&gt;0,$B102&lt;I$6),I$4,I$5)/12),2))</f>
        <v/>
      </c>
      <c r="AO102">
        <f>IF(J101&lt;=0,0,ROUND(J101*(1+IF(AND(J$6&gt;0,$B102&lt;J$6),J$4,J$5)/12),2))</f>
        <v/>
      </c>
      <c r="AP102">
        <f>IF(K101&lt;=0,0,ROUND(K101*(1+IF(AND(K$6&gt;0,$B102&lt;K$6),K$4,K$5)/12),2))</f>
        <v/>
      </c>
      <c r="AQ102">
        <f>IF(L101&lt;=0,0,ROUND(L101*(1+IF(AND(L$6&gt;0,$B102&lt;L$6),L$4,L$5)/12),2))</f>
        <v/>
      </c>
      <c r="AR102">
        <f>IF(M101&lt;=0,0,ROUND(M101*(1+IF(AND(M$6&gt;0,$B102&lt;M$6),M$4,M$5)/12),2))</f>
        <v/>
      </c>
      <c r="AS102">
        <f>IF(N101&lt;=0,0,ROUND(N101*(1+IF(AND(N$6&gt;0,$B102&lt;N$6),N$4,N$5)/12),2))</f>
        <v/>
      </c>
    </row>
    <row r="103">
      <c r="A103" t="n">
        <v>92</v>
      </c>
      <c r="B103">
        <f>EDATE(Plan!$C$6,91)</f>
        <v/>
      </c>
      <c r="C103">
        <f>IF(C102&lt;=0,0,MAX(0,AH103-O103))</f>
        <v/>
      </c>
      <c r="D103">
        <f>IF(D102&lt;=0,0,MAX(0,AI103-P103))</f>
        <v/>
      </c>
      <c r="E103">
        <f>IF(E102&lt;=0,0,MAX(0,AJ103-Q103))</f>
        <v/>
      </c>
      <c r="F103">
        <f>IF(F102&lt;=0,0,MAX(0,AK103-R103))</f>
        <v/>
      </c>
      <c r="G103">
        <f>IF(G102&lt;=0,0,MAX(0,AL103-S103))</f>
        <v/>
      </c>
      <c r="H103">
        <f>IF(H102&lt;=0,0,MAX(0,AM103-T103))</f>
        <v/>
      </c>
      <c r="I103">
        <f>IF(I102&lt;=0,0,MAX(0,AN103-U103))</f>
        <v/>
      </c>
      <c r="J103">
        <f>IF(J102&lt;=0,0,MAX(0,AO103-V103))</f>
        <v/>
      </c>
      <c r="K103">
        <f>IF(K102&lt;=0,0,MAX(0,AP103-W103))</f>
        <v/>
      </c>
      <c r="L103">
        <f>IF(L102&lt;=0,0,MAX(0,AQ103-X103))</f>
        <v/>
      </c>
      <c r="M103">
        <f>IF(M102&lt;=0,0,MAX(0,AR103-Y103))</f>
        <v/>
      </c>
      <c r="N103">
        <f>IF(N102&lt;=0,0,MAX(0,AS103-Z103))</f>
        <v/>
      </c>
      <c r="O103">
        <f>IF(C102&lt;=0,0,MIN(AH103,C$7+IF(C$2=$AA103,$AC103,IF(C$2=$AF103,$AG103,0))))</f>
        <v/>
      </c>
      <c r="P103">
        <f>IF(D102&lt;=0,0,MIN(AI103,D$7+IF(D$2=$AA103,$AC103,IF(D$2=$AF103,$AG103,0))))</f>
        <v/>
      </c>
      <c r="Q103">
        <f>IF(E102&lt;=0,0,MIN(AJ103,E$7+IF(E$2=$AA103,$AC103,IF(E$2=$AF103,$AG103,0))))</f>
        <v/>
      </c>
      <c r="R103">
        <f>IF(F102&lt;=0,0,MIN(AK103,F$7+IF(F$2=$AA103,$AC103,IF(F$2=$AF103,$AG103,0))))</f>
        <v/>
      </c>
      <c r="S103">
        <f>IF(G102&lt;=0,0,MIN(AL103,G$7+IF(G$2=$AA103,$AC103,IF(G$2=$AF103,$AG103,0))))</f>
        <v/>
      </c>
      <c r="T103">
        <f>IF(H102&lt;=0,0,MIN(AM103,H$7+IF(H$2=$AA103,$AC103,IF(H$2=$AF103,$AG103,0))))</f>
        <v/>
      </c>
      <c r="U103">
        <f>IF(I102&lt;=0,0,MIN(AN103,I$7+IF(I$2=$AA103,$AC103,IF(I$2=$AF103,$AG103,0))))</f>
        <v/>
      </c>
      <c r="V103">
        <f>IF(J102&lt;=0,0,MIN(AO103,J$7+IF(J$2=$AA103,$AC103,IF(J$2=$AF103,$AG103,0))))</f>
        <v/>
      </c>
      <c r="W103">
        <f>IF(K102&lt;=0,0,MIN(AP103,K$7+IF(K$2=$AA103,$AC103,IF(K$2=$AF103,$AG103,0))))</f>
        <v/>
      </c>
      <c r="X103">
        <f>IF(L102&lt;=0,0,MIN(AQ103,L$7+IF(L$2=$AA103,$AC103,IF(L$2=$AF103,$AG103,0))))</f>
        <v/>
      </c>
      <c r="Y103">
        <f>IF(M102&lt;=0,0,MIN(AR103,M$7+IF(M$2=$AA103,$AC103,IF(M$2=$AF103,$AG103,0))))</f>
        <v/>
      </c>
      <c r="Z103">
        <f>IF(N102&lt;=0,0,MIN(AS103,N$7+IF(N$2=$AA103,$AC103,IF(N$2=$AF103,$AG103,0))))</f>
        <v/>
      </c>
      <c r="AA103">
        <f>IFERROR(ROUND(1/SUMPRODUCT(MAX((C102:N102&gt;0)*($C$3:$N$3&lt;=B103)/$C$2:$N$2)),0),0)</f>
        <v/>
      </c>
      <c r="AB103">
        <f>SUMPRODUCT((C102:N102&gt;0)*$C$7:$N$7)</f>
        <v/>
      </c>
      <c r="AC103">
        <f>MAX(0,Plan!$C$5-AB103)+IF(A103=Plan!$C$8,N(Plan!$C$7),0)</f>
        <v/>
      </c>
      <c r="AD103">
        <f>SUM(C103:N103)</f>
        <v/>
      </c>
      <c r="AE103">
        <f>SUM(O103:Z103)</f>
        <v/>
      </c>
      <c r="AF103">
        <f>IFERROR(ROUND(1/SUMPRODUCT(MAX((C102:N102&gt;0)*($C$3:$N$3&lt;=B103)*($C$2:$N$2&gt;AA103)/$C$2:$N$2)),0),0)</f>
        <v/>
      </c>
      <c r="AG103">
        <f>MAX(0,AC103-MAX(0,SUMPRODUCT(($C$2:$N$2=AA103)*(AH103:AS103-$C$7:$N$7))))</f>
        <v/>
      </c>
      <c r="AH103">
        <f>IF(C102&lt;=0,0,ROUND(C102*(1+IF(AND(C$6&gt;0,$B103&lt;C$6),C$4,C$5)/12),2))</f>
        <v/>
      </c>
      <c r="AI103">
        <f>IF(D102&lt;=0,0,ROUND(D102*(1+IF(AND(D$6&gt;0,$B103&lt;D$6),D$4,D$5)/12),2))</f>
        <v/>
      </c>
      <c r="AJ103">
        <f>IF(E102&lt;=0,0,ROUND(E102*(1+IF(AND(E$6&gt;0,$B103&lt;E$6),E$4,E$5)/12),2))</f>
        <v/>
      </c>
      <c r="AK103">
        <f>IF(F102&lt;=0,0,ROUND(F102*(1+IF(AND(F$6&gt;0,$B103&lt;F$6),F$4,F$5)/12),2))</f>
        <v/>
      </c>
      <c r="AL103">
        <f>IF(G102&lt;=0,0,ROUND(G102*(1+IF(AND(G$6&gt;0,$B103&lt;G$6),G$4,G$5)/12),2))</f>
        <v/>
      </c>
      <c r="AM103">
        <f>IF(H102&lt;=0,0,ROUND(H102*(1+IF(AND(H$6&gt;0,$B103&lt;H$6),H$4,H$5)/12),2))</f>
        <v/>
      </c>
      <c r="AN103">
        <f>IF(I102&lt;=0,0,ROUND(I102*(1+IF(AND(I$6&gt;0,$B103&lt;I$6),I$4,I$5)/12),2))</f>
        <v/>
      </c>
      <c r="AO103">
        <f>IF(J102&lt;=0,0,ROUND(J102*(1+IF(AND(J$6&gt;0,$B103&lt;J$6),J$4,J$5)/12),2))</f>
        <v/>
      </c>
      <c r="AP103">
        <f>IF(K102&lt;=0,0,ROUND(K102*(1+IF(AND(K$6&gt;0,$B103&lt;K$6),K$4,K$5)/12),2))</f>
        <v/>
      </c>
      <c r="AQ103">
        <f>IF(L102&lt;=0,0,ROUND(L102*(1+IF(AND(L$6&gt;0,$B103&lt;L$6),L$4,L$5)/12),2))</f>
        <v/>
      </c>
      <c r="AR103">
        <f>IF(M102&lt;=0,0,ROUND(M102*(1+IF(AND(M$6&gt;0,$B103&lt;M$6),M$4,M$5)/12),2))</f>
        <v/>
      </c>
      <c r="AS103">
        <f>IF(N102&lt;=0,0,ROUND(N102*(1+IF(AND(N$6&gt;0,$B103&lt;N$6),N$4,N$5)/12),2))</f>
        <v/>
      </c>
    </row>
    <row r="104">
      <c r="A104" t="n">
        <v>93</v>
      </c>
      <c r="B104">
        <f>EDATE(Plan!$C$6,92)</f>
        <v/>
      </c>
      <c r="C104">
        <f>IF(C103&lt;=0,0,MAX(0,AH104-O104))</f>
        <v/>
      </c>
      <c r="D104">
        <f>IF(D103&lt;=0,0,MAX(0,AI104-P104))</f>
        <v/>
      </c>
      <c r="E104">
        <f>IF(E103&lt;=0,0,MAX(0,AJ104-Q104))</f>
        <v/>
      </c>
      <c r="F104">
        <f>IF(F103&lt;=0,0,MAX(0,AK104-R104))</f>
        <v/>
      </c>
      <c r="G104">
        <f>IF(G103&lt;=0,0,MAX(0,AL104-S104))</f>
        <v/>
      </c>
      <c r="H104">
        <f>IF(H103&lt;=0,0,MAX(0,AM104-T104))</f>
        <v/>
      </c>
      <c r="I104">
        <f>IF(I103&lt;=0,0,MAX(0,AN104-U104))</f>
        <v/>
      </c>
      <c r="J104">
        <f>IF(J103&lt;=0,0,MAX(0,AO104-V104))</f>
        <v/>
      </c>
      <c r="K104">
        <f>IF(K103&lt;=0,0,MAX(0,AP104-W104))</f>
        <v/>
      </c>
      <c r="L104">
        <f>IF(L103&lt;=0,0,MAX(0,AQ104-X104))</f>
        <v/>
      </c>
      <c r="M104">
        <f>IF(M103&lt;=0,0,MAX(0,AR104-Y104))</f>
        <v/>
      </c>
      <c r="N104">
        <f>IF(N103&lt;=0,0,MAX(0,AS104-Z104))</f>
        <v/>
      </c>
      <c r="O104">
        <f>IF(C103&lt;=0,0,MIN(AH104,C$7+IF(C$2=$AA104,$AC104,IF(C$2=$AF104,$AG104,0))))</f>
        <v/>
      </c>
      <c r="P104">
        <f>IF(D103&lt;=0,0,MIN(AI104,D$7+IF(D$2=$AA104,$AC104,IF(D$2=$AF104,$AG104,0))))</f>
        <v/>
      </c>
      <c r="Q104">
        <f>IF(E103&lt;=0,0,MIN(AJ104,E$7+IF(E$2=$AA104,$AC104,IF(E$2=$AF104,$AG104,0))))</f>
        <v/>
      </c>
      <c r="R104">
        <f>IF(F103&lt;=0,0,MIN(AK104,F$7+IF(F$2=$AA104,$AC104,IF(F$2=$AF104,$AG104,0))))</f>
        <v/>
      </c>
      <c r="S104">
        <f>IF(G103&lt;=0,0,MIN(AL104,G$7+IF(G$2=$AA104,$AC104,IF(G$2=$AF104,$AG104,0))))</f>
        <v/>
      </c>
      <c r="T104">
        <f>IF(H103&lt;=0,0,MIN(AM104,H$7+IF(H$2=$AA104,$AC104,IF(H$2=$AF104,$AG104,0))))</f>
        <v/>
      </c>
      <c r="U104">
        <f>IF(I103&lt;=0,0,MIN(AN104,I$7+IF(I$2=$AA104,$AC104,IF(I$2=$AF104,$AG104,0))))</f>
        <v/>
      </c>
      <c r="V104">
        <f>IF(J103&lt;=0,0,MIN(AO104,J$7+IF(J$2=$AA104,$AC104,IF(J$2=$AF104,$AG104,0))))</f>
        <v/>
      </c>
      <c r="W104">
        <f>IF(K103&lt;=0,0,MIN(AP104,K$7+IF(K$2=$AA104,$AC104,IF(K$2=$AF104,$AG104,0))))</f>
        <v/>
      </c>
      <c r="X104">
        <f>IF(L103&lt;=0,0,MIN(AQ104,L$7+IF(L$2=$AA104,$AC104,IF(L$2=$AF104,$AG104,0))))</f>
        <v/>
      </c>
      <c r="Y104">
        <f>IF(M103&lt;=0,0,MIN(AR104,M$7+IF(M$2=$AA104,$AC104,IF(M$2=$AF104,$AG104,0))))</f>
        <v/>
      </c>
      <c r="Z104">
        <f>IF(N103&lt;=0,0,MIN(AS104,N$7+IF(N$2=$AA104,$AC104,IF(N$2=$AF104,$AG104,0))))</f>
        <v/>
      </c>
      <c r="AA104">
        <f>IFERROR(ROUND(1/SUMPRODUCT(MAX((C103:N103&gt;0)*($C$3:$N$3&lt;=B104)/$C$2:$N$2)),0),0)</f>
        <v/>
      </c>
      <c r="AB104">
        <f>SUMPRODUCT((C103:N103&gt;0)*$C$7:$N$7)</f>
        <v/>
      </c>
      <c r="AC104">
        <f>MAX(0,Plan!$C$5-AB104)+IF(A104=Plan!$C$8,N(Plan!$C$7),0)</f>
        <v/>
      </c>
      <c r="AD104">
        <f>SUM(C104:N104)</f>
        <v/>
      </c>
      <c r="AE104">
        <f>SUM(O104:Z104)</f>
        <v/>
      </c>
      <c r="AF104">
        <f>IFERROR(ROUND(1/SUMPRODUCT(MAX((C103:N103&gt;0)*($C$3:$N$3&lt;=B104)*($C$2:$N$2&gt;AA104)/$C$2:$N$2)),0),0)</f>
        <v/>
      </c>
      <c r="AG104">
        <f>MAX(0,AC104-MAX(0,SUMPRODUCT(($C$2:$N$2=AA104)*(AH104:AS104-$C$7:$N$7))))</f>
        <v/>
      </c>
      <c r="AH104">
        <f>IF(C103&lt;=0,0,ROUND(C103*(1+IF(AND(C$6&gt;0,$B104&lt;C$6),C$4,C$5)/12),2))</f>
        <v/>
      </c>
      <c r="AI104">
        <f>IF(D103&lt;=0,0,ROUND(D103*(1+IF(AND(D$6&gt;0,$B104&lt;D$6),D$4,D$5)/12),2))</f>
        <v/>
      </c>
      <c r="AJ104">
        <f>IF(E103&lt;=0,0,ROUND(E103*(1+IF(AND(E$6&gt;0,$B104&lt;E$6),E$4,E$5)/12),2))</f>
        <v/>
      </c>
      <c r="AK104">
        <f>IF(F103&lt;=0,0,ROUND(F103*(1+IF(AND(F$6&gt;0,$B104&lt;F$6),F$4,F$5)/12),2))</f>
        <v/>
      </c>
      <c r="AL104">
        <f>IF(G103&lt;=0,0,ROUND(G103*(1+IF(AND(G$6&gt;0,$B104&lt;G$6),G$4,G$5)/12),2))</f>
        <v/>
      </c>
      <c r="AM104">
        <f>IF(H103&lt;=0,0,ROUND(H103*(1+IF(AND(H$6&gt;0,$B104&lt;H$6),H$4,H$5)/12),2))</f>
        <v/>
      </c>
      <c r="AN104">
        <f>IF(I103&lt;=0,0,ROUND(I103*(1+IF(AND(I$6&gt;0,$B104&lt;I$6),I$4,I$5)/12),2))</f>
        <v/>
      </c>
      <c r="AO104">
        <f>IF(J103&lt;=0,0,ROUND(J103*(1+IF(AND(J$6&gt;0,$B104&lt;J$6),J$4,J$5)/12),2))</f>
        <v/>
      </c>
      <c r="AP104">
        <f>IF(K103&lt;=0,0,ROUND(K103*(1+IF(AND(K$6&gt;0,$B104&lt;K$6),K$4,K$5)/12),2))</f>
        <v/>
      </c>
      <c r="AQ104">
        <f>IF(L103&lt;=0,0,ROUND(L103*(1+IF(AND(L$6&gt;0,$B104&lt;L$6),L$4,L$5)/12),2))</f>
        <v/>
      </c>
      <c r="AR104">
        <f>IF(M103&lt;=0,0,ROUND(M103*(1+IF(AND(M$6&gt;0,$B104&lt;M$6),M$4,M$5)/12),2))</f>
        <v/>
      </c>
      <c r="AS104">
        <f>IF(N103&lt;=0,0,ROUND(N103*(1+IF(AND(N$6&gt;0,$B104&lt;N$6),N$4,N$5)/12),2))</f>
        <v/>
      </c>
    </row>
    <row r="105">
      <c r="A105" t="n">
        <v>94</v>
      </c>
      <c r="B105">
        <f>EDATE(Plan!$C$6,93)</f>
        <v/>
      </c>
      <c r="C105">
        <f>IF(C104&lt;=0,0,MAX(0,AH105-O105))</f>
        <v/>
      </c>
      <c r="D105">
        <f>IF(D104&lt;=0,0,MAX(0,AI105-P105))</f>
        <v/>
      </c>
      <c r="E105">
        <f>IF(E104&lt;=0,0,MAX(0,AJ105-Q105))</f>
        <v/>
      </c>
      <c r="F105">
        <f>IF(F104&lt;=0,0,MAX(0,AK105-R105))</f>
        <v/>
      </c>
      <c r="G105">
        <f>IF(G104&lt;=0,0,MAX(0,AL105-S105))</f>
        <v/>
      </c>
      <c r="H105">
        <f>IF(H104&lt;=0,0,MAX(0,AM105-T105))</f>
        <v/>
      </c>
      <c r="I105">
        <f>IF(I104&lt;=0,0,MAX(0,AN105-U105))</f>
        <v/>
      </c>
      <c r="J105">
        <f>IF(J104&lt;=0,0,MAX(0,AO105-V105))</f>
        <v/>
      </c>
      <c r="K105">
        <f>IF(K104&lt;=0,0,MAX(0,AP105-W105))</f>
        <v/>
      </c>
      <c r="L105">
        <f>IF(L104&lt;=0,0,MAX(0,AQ105-X105))</f>
        <v/>
      </c>
      <c r="M105">
        <f>IF(M104&lt;=0,0,MAX(0,AR105-Y105))</f>
        <v/>
      </c>
      <c r="N105">
        <f>IF(N104&lt;=0,0,MAX(0,AS105-Z105))</f>
        <v/>
      </c>
      <c r="O105">
        <f>IF(C104&lt;=0,0,MIN(AH105,C$7+IF(C$2=$AA105,$AC105,IF(C$2=$AF105,$AG105,0))))</f>
        <v/>
      </c>
      <c r="P105">
        <f>IF(D104&lt;=0,0,MIN(AI105,D$7+IF(D$2=$AA105,$AC105,IF(D$2=$AF105,$AG105,0))))</f>
        <v/>
      </c>
      <c r="Q105">
        <f>IF(E104&lt;=0,0,MIN(AJ105,E$7+IF(E$2=$AA105,$AC105,IF(E$2=$AF105,$AG105,0))))</f>
        <v/>
      </c>
      <c r="R105">
        <f>IF(F104&lt;=0,0,MIN(AK105,F$7+IF(F$2=$AA105,$AC105,IF(F$2=$AF105,$AG105,0))))</f>
        <v/>
      </c>
      <c r="S105">
        <f>IF(G104&lt;=0,0,MIN(AL105,G$7+IF(G$2=$AA105,$AC105,IF(G$2=$AF105,$AG105,0))))</f>
        <v/>
      </c>
      <c r="T105">
        <f>IF(H104&lt;=0,0,MIN(AM105,H$7+IF(H$2=$AA105,$AC105,IF(H$2=$AF105,$AG105,0))))</f>
        <v/>
      </c>
      <c r="U105">
        <f>IF(I104&lt;=0,0,MIN(AN105,I$7+IF(I$2=$AA105,$AC105,IF(I$2=$AF105,$AG105,0))))</f>
        <v/>
      </c>
      <c r="V105">
        <f>IF(J104&lt;=0,0,MIN(AO105,J$7+IF(J$2=$AA105,$AC105,IF(J$2=$AF105,$AG105,0))))</f>
        <v/>
      </c>
      <c r="W105">
        <f>IF(K104&lt;=0,0,MIN(AP105,K$7+IF(K$2=$AA105,$AC105,IF(K$2=$AF105,$AG105,0))))</f>
        <v/>
      </c>
      <c r="X105">
        <f>IF(L104&lt;=0,0,MIN(AQ105,L$7+IF(L$2=$AA105,$AC105,IF(L$2=$AF105,$AG105,0))))</f>
        <v/>
      </c>
      <c r="Y105">
        <f>IF(M104&lt;=0,0,MIN(AR105,M$7+IF(M$2=$AA105,$AC105,IF(M$2=$AF105,$AG105,0))))</f>
        <v/>
      </c>
      <c r="Z105">
        <f>IF(N104&lt;=0,0,MIN(AS105,N$7+IF(N$2=$AA105,$AC105,IF(N$2=$AF105,$AG105,0))))</f>
        <v/>
      </c>
      <c r="AA105">
        <f>IFERROR(ROUND(1/SUMPRODUCT(MAX((C104:N104&gt;0)*($C$3:$N$3&lt;=B105)/$C$2:$N$2)),0),0)</f>
        <v/>
      </c>
      <c r="AB105">
        <f>SUMPRODUCT((C104:N104&gt;0)*$C$7:$N$7)</f>
        <v/>
      </c>
      <c r="AC105">
        <f>MAX(0,Plan!$C$5-AB105)+IF(A105=Plan!$C$8,N(Plan!$C$7),0)</f>
        <v/>
      </c>
      <c r="AD105">
        <f>SUM(C105:N105)</f>
        <v/>
      </c>
      <c r="AE105">
        <f>SUM(O105:Z105)</f>
        <v/>
      </c>
      <c r="AF105">
        <f>IFERROR(ROUND(1/SUMPRODUCT(MAX((C104:N104&gt;0)*($C$3:$N$3&lt;=B105)*($C$2:$N$2&gt;AA105)/$C$2:$N$2)),0),0)</f>
        <v/>
      </c>
      <c r="AG105">
        <f>MAX(0,AC105-MAX(0,SUMPRODUCT(($C$2:$N$2=AA105)*(AH105:AS105-$C$7:$N$7))))</f>
        <v/>
      </c>
      <c r="AH105">
        <f>IF(C104&lt;=0,0,ROUND(C104*(1+IF(AND(C$6&gt;0,$B105&lt;C$6),C$4,C$5)/12),2))</f>
        <v/>
      </c>
      <c r="AI105">
        <f>IF(D104&lt;=0,0,ROUND(D104*(1+IF(AND(D$6&gt;0,$B105&lt;D$6),D$4,D$5)/12),2))</f>
        <v/>
      </c>
      <c r="AJ105">
        <f>IF(E104&lt;=0,0,ROUND(E104*(1+IF(AND(E$6&gt;0,$B105&lt;E$6),E$4,E$5)/12),2))</f>
        <v/>
      </c>
      <c r="AK105">
        <f>IF(F104&lt;=0,0,ROUND(F104*(1+IF(AND(F$6&gt;0,$B105&lt;F$6),F$4,F$5)/12),2))</f>
        <v/>
      </c>
      <c r="AL105">
        <f>IF(G104&lt;=0,0,ROUND(G104*(1+IF(AND(G$6&gt;0,$B105&lt;G$6),G$4,G$5)/12),2))</f>
        <v/>
      </c>
      <c r="AM105">
        <f>IF(H104&lt;=0,0,ROUND(H104*(1+IF(AND(H$6&gt;0,$B105&lt;H$6),H$4,H$5)/12),2))</f>
        <v/>
      </c>
      <c r="AN105">
        <f>IF(I104&lt;=0,0,ROUND(I104*(1+IF(AND(I$6&gt;0,$B105&lt;I$6),I$4,I$5)/12),2))</f>
        <v/>
      </c>
      <c r="AO105">
        <f>IF(J104&lt;=0,0,ROUND(J104*(1+IF(AND(J$6&gt;0,$B105&lt;J$6),J$4,J$5)/12),2))</f>
        <v/>
      </c>
      <c r="AP105">
        <f>IF(K104&lt;=0,0,ROUND(K104*(1+IF(AND(K$6&gt;0,$B105&lt;K$6),K$4,K$5)/12),2))</f>
        <v/>
      </c>
      <c r="AQ105">
        <f>IF(L104&lt;=0,0,ROUND(L104*(1+IF(AND(L$6&gt;0,$B105&lt;L$6),L$4,L$5)/12),2))</f>
        <v/>
      </c>
      <c r="AR105">
        <f>IF(M104&lt;=0,0,ROUND(M104*(1+IF(AND(M$6&gt;0,$B105&lt;M$6),M$4,M$5)/12),2))</f>
        <v/>
      </c>
      <c r="AS105">
        <f>IF(N104&lt;=0,0,ROUND(N104*(1+IF(AND(N$6&gt;0,$B105&lt;N$6),N$4,N$5)/12),2))</f>
        <v/>
      </c>
    </row>
    <row r="106">
      <c r="A106" t="n">
        <v>95</v>
      </c>
      <c r="B106">
        <f>EDATE(Plan!$C$6,94)</f>
        <v/>
      </c>
      <c r="C106">
        <f>IF(C105&lt;=0,0,MAX(0,AH106-O106))</f>
        <v/>
      </c>
      <c r="D106">
        <f>IF(D105&lt;=0,0,MAX(0,AI106-P106))</f>
        <v/>
      </c>
      <c r="E106">
        <f>IF(E105&lt;=0,0,MAX(0,AJ106-Q106))</f>
        <v/>
      </c>
      <c r="F106">
        <f>IF(F105&lt;=0,0,MAX(0,AK106-R106))</f>
        <v/>
      </c>
      <c r="G106">
        <f>IF(G105&lt;=0,0,MAX(0,AL106-S106))</f>
        <v/>
      </c>
      <c r="H106">
        <f>IF(H105&lt;=0,0,MAX(0,AM106-T106))</f>
        <v/>
      </c>
      <c r="I106">
        <f>IF(I105&lt;=0,0,MAX(0,AN106-U106))</f>
        <v/>
      </c>
      <c r="J106">
        <f>IF(J105&lt;=0,0,MAX(0,AO106-V106))</f>
        <v/>
      </c>
      <c r="K106">
        <f>IF(K105&lt;=0,0,MAX(0,AP106-W106))</f>
        <v/>
      </c>
      <c r="L106">
        <f>IF(L105&lt;=0,0,MAX(0,AQ106-X106))</f>
        <v/>
      </c>
      <c r="M106">
        <f>IF(M105&lt;=0,0,MAX(0,AR106-Y106))</f>
        <v/>
      </c>
      <c r="N106">
        <f>IF(N105&lt;=0,0,MAX(0,AS106-Z106))</f>
        <v/>
      </c>
      <c r="O106">
        <f>IF(C105&lt;=0,0,MIN(AH106,C$7+IF(C$2=$AA106,$AC106,IF(C$2=$AF106,$AG106,0))))</f>
        <v/>
      </c>
      <c r="P106">
        <f>IF(D105&lt;=0,0,MIN(AI106,D$7+IF(D$2=$AA106,$AC106,IF(D$2=$AF106,$AG106,0))))</f>
        <v/>
      </c>
      <c r="Q106">
        <f>IF(E105&lt;=0,0,MIN(AJ106,E$7+IF(E$2=$AA106,$AC106,IF(E$2=$AF106,$AG106,0))))</f>
        <v/>
      </c>
      <c r="R106">
        <f>IF(F105&lt;=0,0,MIN(AK106,F$7+IF(F$2=$AA106,$AC106,IF(F$2=$AF106,$AG106,0))))</f>
        <v/>
      </c>
      <c r="S106">
        <f>IF(G105&lt;=0,0,MIN(AL106,G$7+IF(G$2=$AA106,$AC106,IF(G$2=$AF106,$AG106,0))))</f>
        <v/>
      </c>
      <c r="T106">
        <f>IF(H105&lt;=0,0,MIN(AM106,H$7+IF(H$2=$AA106,$AC106,IF(H$2=$AF106,$AG106,0))))</f>
        <v/>
      </c>
      <c r="U106">
        <f>IF(I105&lt;=0,0,MIN(AN106,I$7+IF(I$2=$AA106,$AC106,IF(I$2=$AF106,$AG106,0))))</f>
        <v/>
      </c>
      <c r="V106">
        <f>IF(J105&lt;=0,0,MIN(AO106,J$7+IF(J$2=$AA106,$AC106,IF(J$2=$AF106,$AG106,0))))</f>
        <v/>
      </c>
      <c r="W106">
        <f>IF(K105&lt;=0,0,MIN(AP106,K$7+IF(K$2=$AA106,$AC106,IF(K$2=$AF106,$AG106,0))))</f>
        <v/>
      </c>
      <c r="X106">
        <f>IF(L105&lt;=0,0,MIN(AQ106,L$7+IF(L$2=$AA106,$AC106,IF(L$2=$AF106,$AG106,0))))</f>
        <v/>
      </c>
      <c r="Y106">
        <f>IF(M105&lt;=0,0,MIN(AR106,M$7+IF(M$2=$AA106,$AC106,IF(M$2=$AF106,$AG106,0))))</f>
        <v/>
      </c>
      <c r="Z106">
        <f>IF(N105&lt;=0,0,MIN(AS106,N$7+IF(N$2=$AA106,$AC106,IF(N$2=$AF106,$AG106,0))))</f>
        <v/>
      </c>
      <c r="AA106">
        <f>IFERROR(ROUND(1/SUMPRODUCT(MAX((C105:N105&gt;0)*($C$3:$N$3&lt;=B106)/$C$2:$N$2)),0),0)</f>
        <v/>
      </c>
      <c r="AB106">
        <f>SUMPRODUCT((C105:N105&gt;0)*$C$7:$N$7)</f>
        <v/>
      </c>
      <c r="AC106">
        <f>MAX(0,Plan!$C$5-AB106)+IF(A106=Plan!$C$8,N(Plan!$C$7),0)</f>
        <v/>
      </c>
      <c r="AD106">
        <f>SUM(C106:N106)</f>
        <v/>
      </c>
      <c r="AE106">
        <f>SUM(O106:Z106)</f>
        <v/>
      </c>
      <c r="AF106">
        <f>IFERROR(ROUND(1/SUMPRODUCT(MAX((C105:N105&gt;0)*($C$3:$N$3&lt;=B106)*($C$2:$N$2&gt;AA106)/$C$2:$N$2)),0),0)</f>
        <v/>
      </c>
      <c r="AG106">
        <f>MAX(0,AC106-MAX(0,SUMPRODUCT(($C$2:$N$2=AA106)*(AH106:AS106-$C$7:$N$7))))</f>
        <v/>
      </c>
      <c r="AH106">
        <f>IF(C105&lt;=0,0,ROUND(C105*(1+IF(AND(C$6&gt;0,$B106&lt;C$6),C$4,C$5)/12),2))</f>
        <v/>
      </c>
      <c r="AI106">
        <f>IF(D105&lt;=0,0,ROUND(D105*(1+IF(AND(D$6&gt;0,$B106&lt;D$6),D$4,D$5)/12),2))</f>
        <v/>
      </c>
      <c r="AJ106">
        <f>IF(E105&lt;=0,0,ROUND(E105*(1+IF(AND(E$6&gt;0,$B106&lt;E$6),E$4,E$5)/12),2))</f>
        <v/>
      </c>
      <c r="AK106">
        <f>IF(F105&lt;=0,0,ROUND(F105*(1+IF(AND(F$6&gt;0,$B106&lt;F$6),F$4,F$5)/12),2))</f>
        <v/>
      </c>
      <c r="AL106">
        <f>IF(G105&lt;=0,0,ROUND(G105*(1+IF(AND(G$6&gt;0,$B106&lt;G$6),G$4,G$5)/12),2))</f>
        <v/>
      </c>
      <c r="AM106">
        <f>IF(H105&lt;=0,0,ROUND(H105*(1+IF(AND(H$6&gt;0,$B106&lt;H$6),H$4,H$5)/12),2))</f>
        <v/>
      </c>
      <c r="AN106">
        <f>IF(I105&lt;=0,0,ROUND(I105*(1+IF(AND(I$6&gt;0,$B106&lt;I$6),I$4,I$5)/12),2))</f>
        <v/>
      </c>
      <c r="AO106">
        <f>IF(J105&lt;=0,0,ROUND(J105*(1+IF(AND(J$6&gt;0,$B106&lt;J$6),J$4,J$5)/12),2))</f>
        <v/>
      </c>
      <c r="AP106">
        <f>IF(K105&lt;=0,0,ROUND(K105*(1+IF(AND(K$6&gt;0,$B106&lt;K$6),K$4,K$5)/12),2))</f>
        <v/>
      </c>
      <c r="AQ106">
        <f>IF(L105&lt;=0,0,ROUND(L105*(1+IF(AND(L$6&gt;0,$B106&lt;L$6),L$4,L$5)/12),2))</f>
        <v/>
      </c>
      <c r="AR106">
        <f>IF(M105&lt;=0,0,ROUND(M105*(1+IF(AND(M$6&gt;0,$B106&lt;M$6),M$4,M$5)/12),2))</f>
        <v/>
      </c>
      <c r="AS106">
        <f>IF(N105&lt;=0,0,ROUND(N105*(1+IF(AND(N$6&gt;0,$B106&lt;N$6),N$4,N$5)/12),2))</f>
        <v/>
      </c>
    </row>
    <row r="107">
      <c r="A107" t="n">
        <v>96</v>
      </c>
      <c r="B107">
        <f>EDATE(Plan!$C$6,95)</f>
        <v/>
      </c>
      <c r="C107">
        <f>IF(C106&lt;=0,0,MAX(0,AH107-O107))</f>
        <v/>
      </c>
      <c r="D107">
        <f>IF(D106&lt;=0,0,MAX(0,AI107-P107))</f>
        <v/>
      </c>
      <c r="E107">
        <f>IF(E106&lt;=0,0,MAX(0,AJ107-Q107))</f>
        <v/>
      </c>
      <c r="F107">
        <f>IF(F106&lt;=0,0,MAX(0,AK107-R107))</f>
        <v/>
      </c>
      <c r="G107">
        <f>IF(G106&lt;=0,0,MAX(0,AL107-S107))</f>
        <v/>
      </c>
      <c r="H107">
        <f>IF(H106&lt;=0,0,MAX(0,AM107-T107))</f>
        <v/>
      </c>
      <c r="I107">
        <f>IF(I106&lt;=0,0,MAX(0,AN107-U107))</f>
        <v/>
      </c>
      <c r="J107">
        <f>IF(J106&lt;=0,0,MAX(0,AO107-V107))</f>
        <v/>
      </c>
      <c r="K107">
        <f>IF(K106&lt;=0,0,MAX(0,AP107-W107))</f>
        <v/>
      </c>
      <c r="L107">
        <f>IF(L106&lt;=0,0,MAX(0,AQ107-X107))</f>
        <v/>
      </c>
      <c r="M107">
        <f>IF(M106&lt;=0,0,MAX(0,AR107-Y107))</f>
        <v/>
      </c>
      <c r="N107">
        <f>IF(N106&lt;=0,0,MAX(0,AS107-Z107))</f>
        <v/>
      </c>
      <c r="O107">
        <f>IF(C106&lt;=0,0,MIN(AH107,C$7+IF(C$2=$AA107,$AC107,IF(C$2=$AF107,$AG107,0))))</f>
        <v/>
      </c>
      <c r="P107">
        <f>IF(D106&lt;=0,0,MIN(AI107,D$7+IF(D$2=$AA107,$AC107,IF(D$2=$AF107,$AG107,0))))</f>
        <v/>
      </c>
      <c r="Q107">
        <f>IF(E106&lt;=0,0,MIN(AJ107,E$7+IF(E$2=$AA107,$AC107,IF(E$2=$AF107,$AG107,0))))</f>
        <v/>
      </c>
      <c r="R107">
        <f>IF(F106&lt;=0,0,MIN(AK107,F$7+IF(F$2=$AA107,$AC107,IF(F$2=$AF107,$AG107,0))))</f>
        <v/>
      </c>
      <c r="S107">
        <f>IF(G106&lt;=0,0,MIN(AL107,G$7+IF(G$2=$AA107,$AC107,IF(G$2=$AF107,$AG107,0))))</f>
        <v/>
      </c>
      <c r="T107">
        <f>IF(H106&lt;=0,0,MIN(AM107,H$7+IF(H$2=$AA107,$AC107,IF(H$2=$AF107,$AG107,0))))</f>
        <v/>
      </c>
      <c r="U107">
        <f>IF(I106&lt;=0,0,MIN(AN107,I$7+IF(I$2=$AA107,$AC107,IF(I$2=$AF107,$AG107,0))))</f>
        <v/>
      </c>
      <c r="V107">
        <f>IF(J106&lt;=0,0,MIN(AO107,J$7+IF(J$2=$AA107,$AC107,IF(J$2=$AF107,$AG107,0))))</f>
        <v/>
      </c>
      <c r="W107">
        <f>IF(K106&lt;=0,0,MIN(AP107,K$7+IF(K$2=$AA107,$AC107,IF(K$2=$AF107,$AG107,0))))</f>
        <v/>
      </c>
      <c r="X107">
        <f>IF(L106&lt;=0,0,MIN(AQ107,L$7+IF(L$2=$AA107,$AC107,IF(L$2=$AF107,$AG107,0))))</f>
        <v/>
      </c>
      <c r="Y107">
        <f>IF(M106&lt;=0,0,MIN(AR107,M$7+IF(M$2=$AA107,$AC107,IF(M$2=$AF107,$AG107,0))))</f>
        <v/>
      </c>
      <c r="Z107">
        <f>IF(N106&lt;=0,0,MIN(AS107,N$7+IF(N$2=$AA107,$AC107,IF(N$2=$AF107,$AG107,0))))</f>
        <v/>
      </c>
      <c r="AA107">
        <f>IFERROR(ROUND(1/SUMPRODUCT(MAX((C106:N106&gt;0)*($C$3:$N$3&lt;=B107)/$C$2:$N$2)),0),0)</f>
        <v/>
      </c>
      <c r="AB107">
        <f>SUMPRODUCT((C106:N106&gt;0)*$C$7:$N$7)</f>
        <v/>
      </c>
      <c r="AC107">
        <f>MAX(0,Plan!$C$5-AB107)+IF(A107=Plan!$C$8,N(Plan!$C$7),0)</f>
        <v/>
      </c>
      <c r="AD107">
        <f>SUM(C107:N107)</f>
        <v/>
      </c>
      <c r="AE107">
        <f>SUM(O107:Z107)</f>
        <v/>
      </c>
      <c r="AF107">
        <f>IFERROR(ROUND(1/SUMPRODUCT(MAX((C106:N106&gt;0)*($C$3:$N$3&lt;=B107)*($C$2:$N$2&gt;AA107)/$C$2:$N$2)),0),0)</f>
        <v/>
      </c>
      <c r="AG107">
        <f>MAX(0,AC107-MAX(0,SUMPRODUCT(($C$2:$N$2=AA107)*(AH107:AS107-$C$7:$N$7))))</f>
        <v/>
      </c>
      <c r="AH107">
        <f>IF(C106&lt;=0,0,ROUND(C106*(1+IF(AND(C$6&gt;0,$B107&lt;C$6),C$4,C$5)/12),2))</f>
        <v/>
      </c>
      <c r="AI107">
        <f>IF(D106&lt;=0,0,ROUND(D106*(1+IF(AND(D$6&gt;0,$B107&lt;D$6),D$4,D$5)/12),2))</f>
        <v/>
      </c>
      <c r="AJ107">
        <f>IF(E106&lt;=0,0,ROUND(E106*(1+IF(AND(E$6&gt;0,$B107&lt;E$6),E$4,E$5)/12),2))</f>
        <v/>
      </c>
      <c r="AK107">
        <f>IF(F106&lt;=0,0,ROUND(F106*(1+IF(AND(F$6&gt;0,$B107&lt;F$6),F$4,F$5)/12),2))</f>
        <v/>
      </c>
      <c r="AL107">
        <f>IF(G106&lt;=0,0,ROUND(G106*(1+IF(AND(G$6&gt;0,$B107&lt;G$6),G$4,G$5)/12),2))</f>
        <v/>
      </c>
      <c r="AM107">
        <f>IF(H106&lt;=0,0,ROUND(H106*(1+IF(AND(H$6&gt;0,$B107&lt;H$6),H$4,H$5)/12),2))</f>
        <v/>
      </c>
      <c r="AN107">
        <f>IF(I106&lt;=0,0,ROUND(I106*(1+IF(AND(I$6&gt;0,$B107&lt;I$6),I$4,I$5)/12),2))</f>
        <v/>
      </c>
      <c r="AO107">
        <f>IF(J106&lt;=0,0,ROUND(J106*(1+IF(AND(J$6&gt;0,$B107&lt;J$6),J$4,J$5)/12),2))</f>
        <v/>
      </c>
      <c r="AP107">
        <f>IF(K106&lt;=0,0,ROUND(K106*(1+IF(AND(K$6&gt;0,$B107&lt;K$6),K$4,K$5)/12),2))</f>
        <v/>
      </c>
      <c r="AQ107">
        <f>IF(L106&lt;=0,0,ROUND(L106*(1+IF(AND(L$6&gt;0,$B107&lt;L$6),L$4,L$5)/12),2))</f>
        <v/>
      </c>
      <c r="AR107">
        <f>IF(M106&lt;=0,0,ROUND(M106*(1+IF(AND(M$6&gt;0,$B107&lt;M$6),M$4,M$5)/12),2))</f>
        <v/>
      </c>
      <c r="AS107">
        <f>IF(N106&lt;=0,0,ROUND(N106*(1+IF(AND(N$6&gt;0,$B107&lt;N$6),N$4,N$5)/12),2))</f>
        <v/>
      </c>
    </row>
    <row r="108">
      <c r="A108" t="n">
        <v>97</v>
      </c>
      <c r="B108">
        <f>EDATE(Plan!$C$6,96)</f>
        <v/>
      </c>
      <c r="C108">
        <f>IF(C107&lt;=0,0,MAX(0,AH108-O108))</f>
        <v/>
      </c>
      <c r="D108">
        <f>IF(D107&lt;=0,0,MAX(0,AI108-P108))</f>
        <v/>
      </c>
      <c r="E108">
        <f>IF(E107&lt;=0,0,MAX(0,AJ108-Q108))</f>
        <v/>
      </c>
      <c r="F108">
        <f>IF(F107&lt;=0,0,MAX(0,AK108-R108))</f>
        <v/>
      </c>
      <c r="G108">
        <f>IF(G107&lt;=0,0,MAX(0,AL108-S108))</f>
        <v/>
      </c>
      <c r="H108">
        <f>IF(H107&lt;=0,0,MAX(0,AM108-T108))</f>
        <v/>
      </c>
      <c r="I108">
        <f>IF(I107&lt;=0,0,MAX(0,AN108-U108))</f>
        <v/>
      </c>
      <c r="J108">
        <f>IF(J107&lt;=0,0,MAX(0,AO108-V108))</f>
        <v/>
      </c>
      <c r="K108">
        <f>IF(K107&lt;=0,0,MAX(0,AP108-W108))</f>
        <v/>
      </c>
      <c r="L108">
        <f>IF(L107&lt;=0,0,MAX(0,AQ108-X108))</f>
        <v/>
      </c>
      <c r="M108">
        <f>IF(M107&lt;=0,0,MAX(0,AR108-Y108))</f>
        <v/>
      </c>
      <c r="N108">
        <f>IF(N107&lt;=0,0,MAX(0,AS108-Z108))</f>
        <v/>
      </c>
      <c r="O108">
        <f>IF(C107&lt;=0,0,MIN(AH108,C$7+IF(C$2=$AA108,$AC108,IF(C$2=$AF108,$AG108,0))))</f>
        <v/>
      </c>
      <c r="P108">
        <f>IF(D107&lt;=0,0,MIN(AI108,D$7+IF(D$2=$AA108,$AC108,IF(D$2=$AF108,$AG108,0))))</f>
        <v/>
      </c>
      <c r="Q108">
        <f>IF(E107&lt;=0,0,MIN(AJ108,E$7+IF(E$2=$AA108,$AC108,IF(E$2=$AF108,$AG108,0))))</f>
        <v/>
      </c>
      <c r="R108">
        <f>IF(F107&lt;=0,0,MIN(AK108,F$7+IF(F$2=$AA108,$AC108,IF(F$2=$AF108,$AG108,0))))</f>
        <v/>
      </c>
      <c r="S108">
        <f>IF(G107&lt;=0,0,MIN(AL108,G$7+IF(G$2=$AA108,$AC108,IF(G$2=$AF108,$AG108,0))))</f>
        <v/>
      </c>
      <c r="T108">
        <f>IF(H107&lt;=0,0,MIN(AM108,H$7+IF(H$2=$AA108,$AC108,IF(H$2=$AF108,$AG108,0))))</f>
        <v/>
      </c>
      <c r="U108">
        <f>IF(I107&lt;=0,0,MIN(AN108,I$7+IF(I$2=$AA108,$AC108,IF(I$2=$AF108,$AG108,0))))</f>
        <v/>
      </c>
      <c r="V108">
        <f>IF(J107&lt;=0,0,MIN(AO108,J$7+IF(J$2=$AA108,$AC108,IF(J$2=$AF108,$AG108,0))))</f>
        <v/>
      </c>
      <c r="W108">
        <f>IF(K107&lt;=0,0,MIN(AP108,K$7+IF(K$2=$AA108,$AC108,IF(K$2=$AF108,$AG108,0))))</f>
        <v/>
      </c>
      <c r="X108">
        <f>IF(L107&lt;=0,0,MIN(AQ108,L$7+IF(L$2=$AA108,$AC108,IF(L$2=$AF108,$AG108,0))))</f>
        <v/>
      </c>
      <c r="Y108">
        <f>IF(M107&lt;=0,0,MIN(AR108,M$7+IF(M$2=$AA108,$AC108,IF(M$2=$AF108,$AG108,0))))</f>
        <v/>
      </c>
      <c r="Z108">
        <f>IF(N107&lt;=0,0,MIN(AS108,N$7+IF(N$2=$AA108,$AC108,IF(N$2=$AF108,$AG108,0))))</f>
        <v/>
      </c>
      <c r="AA108">
        <f>IFERROR(ROUND(1/SUMPRODUCT(MAX((C107:N107&gt;0)*($C$3:$N$3&lt;=B108)/$C$2:$N$2)),0),0)</f>
        <v/>
      </c>
      <c r="AB108">
        <f>SUMPRODUCT((C107:N107&gt;0)*$C$7:$N$7)</f>
        <v/>
      </c>
      <c r="AC108">
        <f>MAX(0,Plan!$C$5-AB108)+IF(A108=Plan!$C$8,N(Plan!$C$7),0)</f>
        <v/>
      </c>
      <c r="AD108">
        <f>SUM(C108:N108)</f>
        <v/>
      </c>
      <c r="AE108">
        <f>SUM(O108:Z108)</f>
        <v/>
      </c>
      <c r="AF108">
        <f>IFERROR(ROUND(1/SUMPRODUCT(MAX((C107:N107&gt;0)*($C$3:$N$3&lt;=B108)*($C$2:$N$2&gt;AA108)/$C$2:$N$2)),0),0)</f>
        <v/>
      </c>
      <c r="AG108">
        <f>MAX(0,AC108-MAX(0,SUMPRODUCT(($C$2:$N$2=AA108)*(AH108:AS108-$C$7:$N$7))))</f>
        <v/>
      </c>
      <c r="AH108">
        <f>IF(C107&lt;=0,0,ROUND(C107*(1+IF(AND(C$6&gt;0,$B108&lt;C$6),C$4,C$5)/12),2))</f>
        <v/>
      </c>
      <c r="AI108">
        <f>IF(D107&lt;=0,0,ROUND(D107*(1+IF(AND(D$6&gt;0,$B108&lt;D$6),D$4,D$5)/12),2))</f>
        <v/>
      </c>
      <c r="AJ108">
        <f>IF(E107&lt;=0,0,ROUND(E107*(1+IF(AND(E$6&gt;0,$B108&lt;E$6),E$4,E$5)/12),2))</f>
        <v/>
      </c>
      <c r="AK108">
        <f>IF(F107&lt;=0,0,ROUND(F107*(1+IF(AND(F$6&gt;0,$B108&lt;F$6),F$4,F$5)/12),2))</f>
        <v/>
      </c>
      <c r="AL108">
        <f>IF(G107&lt;=0,0,ROUND(G107*(1+IF(AND(G$6&gt;0,$B108&lt;G$6),G$4,G$5)/12),2))</f>
        <v/>
      </c>
      <c r="AM108">
        <f>IF(H107&lt;=0,0,ROUND(H107*(1+IF(AND(H$6&gt;0,$B108&lt;H$6),H$4,H$5)/12),2))</f>
        <v/>
      </c>
      <c r="AN108">
        <f>IF(I107&lt;=0,0,ROUND(I107*(1+IF(AND(I$6&gt;0,$B108&lt;I$6),I$4,I$5)/12),2))</f>
        <v/>
      </c>
      <c r="AO108">
        <f>IF(J107&lt;=0,0,ROUND(J107*(1+IF(AND(J$6&gt;0,$B108&lt;J$6),J$4,J$5)/12),2))</f>
        <v/>
      </c>
      <c r="AP108">
        <f>IF(K107&lt;=0,0,ROUND(K107*(1+IF(AND(K$6&gt;0,$B108&lt;K$6),K$4,K$5)/12),2))</f>
        <v/>
      </c>
      <c r="AQ108">
        <f>IF(L107&lt;=0,0,ROUND(L107*(1+IF(AND(L$6&gt;0,$B108&lt;L$6),L$4,L$5)/12),2))</f>
        <v/>
      </c>
      <c r="AR108">
        <f>IF(M107&lt;=0,0,ROUND(M107*(1+IF(AND(M$6&gt;0,$B108&lt;M$6),M$4,M$5)/12),2))</f>
        <v/>
      </c>
      <c r="AS108">
        <f>IF(N107&lt;=0,0,ROUND(N107*(1+IF(AND(N$6&gt;0,$B108&lt;N$6),N$4,N$5)/12),2))</f>
        <v/>
      </c>
    </row>
    <row r="109">
      <c r="A109" t="n">
        <v>98</v>
      </c>
      <c r="B109">
        <f>EDATE(Plan!$C$6,97)</f>
        <v/>
      </c>
      <c r="C109">
        <f>IF(C108&lt;=0,0,MAX(0,AH109-O109))</f>
        <v/>
      </c>
      <c r="D109">
        <f>IF(D108&lt;=0,0,MAX(0,AI109-P109))</f>
        <v/>
      </c>
      <c r="E109">
        <f>IF(E108&lt;=0,0,MAX(0,AJ109-Q109))</f>
        <v/>
      </c>
      <c r="F109">
        <f>IF(F108&lt;=0,0,MAX(0,AK109-R109))</f>
        <v/>
      </c>
      <c r="G109">
        <f>IF(G108&lt;=0,0,MAX(0,AL109-S109))</f>
        <v/>
      </c>
      <c r="H109">
        <f>IF(H108&lt;=0,0,MAX(0,AM109-T109))</f>
        <v/>
      </c>
      <c r="I109">
        <f>IF(I108&lt;=0,0,MAX(0,AN109-U109))</f>
        <v/>
      </c>
      <c r="J109">
        <f>IF(J108&lt;=0,0,MAX(0,AO109-V109))</f>
        <v/>
      </c>
      <c r="K109">
        <f>IF(K108&lt;=0,0,MAX(0,AP109-W109))</f>
        <v/>
      </c>
      <c r="L109">
        <f>IF(L108&lt;=0,0,MAX(0,AQ109-X109))</f>
        <v/>
      </c>
      <c r="M109">
        <f>IF(M108&lt;=0,0,MAX(0,AR109-Y109))</f>
        <v/>
      </c>
      <c r="N109">
        <f>IF(N108&lt;=0,0,MAX(0,AS109-Z109))</f>
        <v/>
      </c>
      <c r="O109">
        <f>IF(C108&lt;=0,0,MIN(AH109,C$7+IF(C$2=$AA109,$AC109,IF(C$2=$AF109,$AG109,0))))</f>
        <v/>
      </c>
      <c r="P109">
        <f>IF(D108&lt;=0,0,MIN(AI109,D$7+IF(D$2=$AA109,$AC109,IF(D$2=$AF109,$AG109,0))))</f>
        <v/>
      </c>
      <c r="Q109">
        <f>IF(E108&lt;=0,0,MIN(AJ109,E$7+IF(E$2=$AA109,$AC109,IF(E$2=$AF109,$AG109,0))))</f>
        <v/>
      </c>
      <c r="R109">
        <f>IF(F108&lt;=0,0,MIN(AK109,F$7+IF(F$2=$AA109,$AC109,IF(F$2=$AF109,$AG109,0))))</f>
        <v/>
      </c>
      <c r="S109">
        <f>IF(G108&lt;=0,0,MIN(AL109,G$7+IF(G$2=$AA109,$AC109,IF(G$2=$AF109,$AG109,0))))</f>
        <v/>
      </c>
      <c r="T109">
        <f>IF(H108&lt;=0,0,MIN(AM109,H$7+IF(H$2=$AA109,$AC109,IF(H$2=$AF109,$AG109,0))))</f>
        <v/>
      </c>
      <c r="U109">
        <f>IF(I108&lt;=0,0,MIN(AN109,I$7+IF(I$2=$AA109,$AC109,IF(I$2=$AF109,$AG109,0))))</f>
        <v/>
      </c>
      <c r="V109">
        <f>IF(J108&lt;=0,0,MIN(AO109,J$7+IF(J$2=$AA109,$AC109,IF(J$2=$AF109,$AG109,0))))</f>
        <v/>
      </c>
      <c r="W109">
        <f>IF(K108&lt;=0,0,MIN(AP109,K$7+IF(K$2=$AA109,$AC109,IF(K$2=$AF109,$AG109,0))))</f>
        <v/>
      </c>
      <c r="X109">
        <f>IF(L108&lt;=0,0,MIN(AQ109,L$7+IF(L$2=$AA109,$AC109,IF(L$2=$AF109,$AG109,0))))</f>
        <v/>
      </c>
      <c r="Y109">
        <f>IF(M108&lt;=0,0,MIN(AR109,M$7+IF(M$2=$AA109,$AC109,IF(M$2=$AF109,$AG109,0))))</f>
        <v/>
      </c>
      <c r="Z109">
        <f>IF(N108&lt;=0,0,MIN(AS109,N$7+IF(N$2=$AA109,$AC109,IF(N$2=$AF109,$AG109,0))))</f>
        <v/>
      </c>
      <c r="AA109">
        <f>IFERROR(ROUND(1/SUMPRODUCT(MAX((C108:N108&gt;0)*($C$3:$N$3&lt;=B109)/$C$2:$N$2)),0),0)</f>
        <v/>
      </c>
      <c r="AB109">
        <f>SUMPRODUCT((C108:N108&gt;0)*$C$7:$N$7)</f>
        <v/>
      </c>
      <c r="AC109">
        <f>MAX(0,Plan!$C$5-AB109)+IF(A109=Plan!$C$8,N(Plan!$C$7),0)</f>
        <v/>
      </c>
      <c r="AD109">
        <f>SUM(C109:N109)</f>
        <v/>
      </c>
      <c r="AE109">
        <f>SUM(O109:Z109)</f>
        <v/>
      </c>
      <c r="AF109">
        <f>IFERROR(ROUND(1/SUMPRODUCT(MAX((C108:N108&gt;0)*($C$3:$N$3&lt;=B109)*($C$2:$N$2&gt;AA109)/$C$2:$N$2)),0),0)</f>
        <v/>
      </c>
      <c r="AG109">
        <f>MAX(0,AC109-MAX(0,SUMPRODUCT(($C$2:$N$2=AA109)*(AH109:AS109-$C$7:$N$7))))</f>
        <v/>
      </c>
      <c r="AH109">
        <f>IF(C108&lt;=0,0,ROUND(C108*(1+IF(AND(C$6&gt;0,$B109&lt;C$6),C$4,C$5)/12),2))</f>
        <v/>
      </c>
      <c r="AI109">
        <f>IF(D108&lt;=0,0,ROUND(D108*(1+IF(AND(D$6&gt;0,$B109&lt;D$6),D$4,D$5)/12),2))</f>
        <v/>
      </c>
      <c r="AJ109">
        <f>IF(E108&lt;=0,0,ROUND(E108*(1+IF(AND(E$6&gt;0,$B109&lt;E$6),E$4,E$5)/12),2))</f>
        <v/>
      </c>
      <c r="AK109">
        <f>IF(F108&lt;=0,0,ROUND(F108*(1+IF(AND(F$6&gt;0,$B109&lt;F$6),F$4,F$5)/12),2))</f>
        <v/>
      </c>
      <c r="AL109">
        <f>IF(G108&lt;=0,0,ROUND(G108*(1+IF(AND(G$6&gt;0,$B109&lt;G$6),G$4,G$5)/12),2))</f>
        <v/>
      </c>
      <c r="AM109">
        <f>IF(H108&lt;=0,0,ROUND(H108*(1+IF(AND(H$6&gt;0,$B109&lt;H$6),H$4,H$5)/12),2))</f>
        <v/>
      </c>
      <c r="AN109">
        <f>IF(I108&lt;=0,0,ROUND(I108*(1+IF(AND(I$6&gt;0,$B109&lt;I$6),I$4,I$5)/12),2))</f>
        <v/>
      </c>
      <c r="AO109">
        <f>IF(J108&lt;=0,0,ROUND(J108*(1+IF(AND(J$6&gt;0,$B109&lt;J$6),J$4,J$5)/12),2))</f>
        <v/>
      </c>
      <c r="AP109">
        <f>IF(K108&lt;=0,0,ROUND(K108*(1+IF(AND(K$6&gt;0,$B109&lt;K$6),K$4,K$5)/12),2))</f>
        <v/>
      </c>
      <c r="AQ109">
        <f>IF(L108&lt;=0,0,ROUND(L108*(1+IF(AND(L$6&gt;0,$B109&lt;L$6),L$4,L$5)/12),2))</f>
        <v/>
      </c>
      <c r="AR109">
        <f>IF(M108&lt;=0,0,ROUND(M108*(1+IF(AND(M$6&gt;0,$B109&lt;M$6),M$4,M$5)/12),2))</f>
        <v/>
      </c>
      <c r="AS109">
        <f>IF(N108&lt;=0,0,ROUND(N108*(1+IF(AND(N$6&gt;0,$B109&lt;N$6),N$4,N$5)/12),2))</f>
        <v/>
      </c>
    </row>
    <row r="110">
      <c r="A110" t="n">
        <v>99</v>
      </c>
      <c r="B110">
        <f>EDATE(Plan!$C$6,98)</f>
        <v/>
      </c>
      <c r="C110">
        <f>IF(C109&lt;=0,0,MAX(0,AH110-O110))</f>
        <v/>
      </c>
      <c r="D110">
        <f>IF(D109&lt;=0,0,MAX(0,AI110-P110))</f>
        <v/>
      </c>
      <c r="E110">
        <f>IF(E109&lt;=0,0,MAX(0,AJ110-Q110))</f>
        <v/>
      </c>
      <c r="F110">
        <f>IF(F109&lt;=0,0,MAX(0,AK110-R110))</f>
        <v/>
      </c>
      <c r="G110">
        <f>IF(G109&lt;=0,0,MAX(0,AL110-S110))</f>
        <v/>
      </c>
      <c r="H110">
        <f>IF(H109&lt;=0,0,MAX(0,AM110-T110))</f>
        <v/>
      </c>
      <c r="I110">
        <f>IF(I109&lt;=0,0,MAX(0,AN110-U110))</f>
        <v/>
      </c>
      <c r="J110">
        <f>IF(J109&lt;=0,0,MAX(0,AO110-V110))</f>
        <v/>
      </c>
      <c r="K110">
        <f>IF(K109&lt;=0,0,MAX(0,AP110-W110))</f>
        <v/>
      </c>
      <c r="L110">
        <f>IF(L109&lt;=0,0,MAX(0,AQ110-X110))</f>
        <v/>
      </c>
      <c r="M110">
        <f>IF(M109&lt;=0,0,MAX(0,AR110-Y110))</f>
        <v/>
      </c>
      <c r="N110">
        <f>IF(N109&lt;=0,0,MAX(0,AS110-Z110))</f>
        <v/>
      </c>
      <c r="O110">
        <f>IF(C109&lt;=0,0,MIN(AH110,C$7+IF(C$2=$AA110,$AC110,IF(C$2=$AF110,$AG110,0))))</f>
        <v/>
      </c>
      <c r="P110">
        <f>IF(D109&lt;=0,0,MIN(AI110,D$7+IF(D$2=$AA110,$AC110,IF(D$2=$AF110,$AG110,0))))</f>
        <v/>
      </c>
      <c r="Q110">
        <f>IF(E109&lt;=0,0,MIN(AJ110,E$7+IF(E$2=$AA110,$AC110,IF(E$2=$AF110,$AG110,0))))</f>
        <v/>
      </c>
      <c r="R110">
        <f>IF(F109&lt;=0,0,MIN(AK110,F$7+IF(F$2=$AA110,$AC110,IF(F$2=$AF110,$AG110,0))))</f>
        <v/>
      </c>
      <c r="S110">
        <f>IF(G109&lt;=0,0,MIN(AL110,G$7+IF(G$2=$AA110,$AC110,IF(G$2=$AF110,$AG110,0))))</f>
        <v/>
      </c>
      <c r="T110">
        <f>IF(H109&lt;=0,0,MIN(AM110,H$7+IF(H$2=$AA110,$AC110,IF(H$2=$AF110,$AG110,0))))</f>
        <v/>
      </c>
      <c r="U110">
        <f>IF(I109&lt;=0,0,MIN(AN110,I$7+IF(I$2=$AA110,$AC110,IF(I$2=$AF110,$AG110,0))))</f>
        <v/>
      </c>
      <c r="V110">
        <f>IF(J109&lt;=0,0,MIN(AO110,J$7+IF(J$2=$AA110,$AC110,IF(J$2=$AF110,$AG110,0))))</f>
        <v/>
      </c>
      <c r="W110">
        <f>IF(K109&lt;=0,0,MIN(AP110,K$7+IF(K$2=$AA110,$AC110,IF(K$2=$AF110,$AG110,0))))</f>
        <v/>
      </c>
      <c r="X110">
        <f>IF(L109&lt;=0,0,MIN(AQ110,L$7+IF(L$2=$AA110,$AC110,IF(L$2=$AF110,$AG110,0))))</f>
        <v/>
      </c>
      <c r="Y110">
        <f>IF(M109&lt;=0,0,MIN(AR110,M$7+IF(M$2=$AA110,$AC110,IF(M$2=$AF110,$AG110,0))))</f>
        <v/>
      </c>
      <c r="Z110">
        <f>IF(N109&lt;=0,0,MIN(AS110,N$7+IF(N$2=$AA110,$AC110,IF(N$2=$AF110,$AG110,0))))</f>
        <v/>
      </c>
      <c r="AA110">
        <f>IFERROR(ROUND(1/SUMPRODUCT(MAX((C109:N109&gt;0)*($C$3:$N$3&lt;=B110)/$C$2:$N$2)),0),0)</f>
        <v/>
      </c>
      <c r="AB110">
        <f>SUMPRODUCT((C109:N109&gt;0)*$C$7:$N$7)</f>
        <v/>
      </c>
      <c r="AC110">
        <f>MAX(0,Plan!$C$5-AB110)+IF(A110=Plan!$C$8,N(Plan!$C$7),0)</f>
        <v/>
      </c>
      <c r="AD110">
        <f>SUM(C110:N110)</f>
        <v/>
      </c>
      <c r="AE110">
        <f>SUM(O110:Z110)</f>
        <v/>
      </c>
      <c r="AF110">
        <f>IFERROR(ROUND(1/SUMPRODUCT(MAX((C109:N109&gt;0)*($C$3:$N$3&lt;=B110)*($C$2:$N$2&gt;AA110)/$C$2:$N$2)),0),0)</f>
        <v/>
      </c>
      <c r="AG110">
        <f>MAX(0,AC110-MAX(0,SUMPRODUCT(($C$2:$N$2=AA110)*(AH110:AS110-$C$7:$N$7))))</f>
        <v/>
      </c>
      <c r="AH110">
        <f>IF(C109&lt;=0,0,ROUND(C109*(1+IF(AND(C$6&gt;0,$B110&lt;C$6),C$4,C$5)/12),2))</f>
        <v/>
      </c>
      <c r="AI110">
        <f>IF(D109&lt;=0,0,ROUND(D109*(1+IF(AND(D$6&gt;0,$B110&lt;D$6),D$4,D$5)/12),2))</f>
        <v/>
      </c>
      <c r="AJ110">
        <f>IF(E109&lt;=0,0,ROUND(E109*(1+IF(AND(E$6&gt;0,$B110&lt;E$6),E$4,E$5)/12),2))</f>
        <v/>
      </c>
      <c r="AK110">
        <f>IF(F109&lt;=0,0,ROUND(F109*(1+IF(AND(F$6&gt;0,$B110&lt;F$6),F$4,F$5)/12),2))</f>
        <v/>
      </c>
      <c r="AL110">
        <f>IF(G109&lt;=0,0,ROUND(G109*(1+IF(AND(G$6&gt;0,$B110&lt;G$6),G$4,G$5)/12),2))</f>
        <v/>
      </c>
      <c r="AM110">
        <f>IF(H109&lt;=0,0,ROUND(H109*(1+IF(AND(H$6&gt;0,$B110&lt;H$6),H$4,H$5)/12),2))</f>
        <v/>
      </c>
      <c r="AN110">
        <f>IF(I109&lt;=0,0,ROUND(I109*(1+IF(AND(I$6&gt;0,$B110&lt;I$6),I$4,I$5)/12),2))</f>
        <v/>
      </c>
      <c r="AO110">
        <f>IF(J109&lt;=0,0,ROUND(J109*(1+IF(AND(J$6&gt;0,$B110&lt;J$6),J$4,J$5)/12),2))</f>
        <v/>
      </c>
      <c r="AP110">
        <f>IF(K109&lt;=0,0,ROUND(K109*(1+IF(AND(K$6&gt;0,$B110&lt;K$6),K$4,K$5)/12),2))</f>
        <v/>
      </c>
      <c r="AQ110">
        <f>IF(L109&lt;=0,0,ROUND(L109*(1+IF(AND(L$6&gt;0,$B110&lt;L$6),L$4,L$5)/12),2))</f>
        <v/>
      </c>
      <c r="AR110">
        <f>IF(M109&lt;=0,0,ROUND(M109*(1+IF(AND(M$6&gt;0,$B110&lt;M$6),M$4,M$5)/12),2))</f>
        <v/>
      </c>
      <c r="AS110">
        <f>IF(N109&lt;=0,0,ROUND(N109*(1+IF(AND(N$6&gt;0,$B110&lt;N$6),N$4,N$5)/12),2))</f>
        <v/>
      </c>
    </row>
    <row r="111">
      <c r="A111" t="n">
        <v>100</v>
      </c>
      <c r="B111">
        <f>EDATE(Plan!$C$6,99)</f>
        <v/>
      </c>
      <c r="C111">
        <f>IF(C110&lt;=0,0,MAX(0,AH111-O111))</f>
        <v/>
      </c>
      <c r="D111">
        <f>IF(D110&lt;=0,0,MAX(0,AI111-P111))</f>
        <v/>
      </c>
      <c r="E111">
        <f>IF(E110&lt;=0,0,MAX(0,AJ111-Q111))</f>
        <v/>
      </c>
      <c r="F111">
        <f>IF(F110&lt;=0,0,MAX(0,AK111-R111))</f>
        <v/>
      </c>
      <c r="G111">
        <f>IF(G110&lt;=0,0,MAX(0,AL111-S111))</f>
        <v/>
      </c>
      <c r="H111">
        <f>IF(H110&lt;=0,0,MAX(0,AM111-T111))</f>
        <v/>
      </c>
      <c r="I111">
        <f>IF(I110&lt;=0,0,MAX(0,AN111-U111))</f>
        <v/>
      </c>
      <c r="J111">
        <f>IF(J110&lt;=0,0,MAX(0,AO111-V111))</f>
        <v/>
      </c>
      <c r="K111">
        <f>IF(K110&lt;=0,0,MAX(0,AP111-W111))</f>
        <v/>
      </c>
      <c r="L111">
        <f>IF(L110&lt;=0,0,MAX(0,AQ111-X111))</f>
        <v/>
      </c>
      <c r="M111">
        <f>IF(M110&lt;=0,0,MAX(0,AR111-Y111))</f>
        <v/>
      </c>
      <c r="N111">
        <f>IF(N110&lt;=0,0,MAX(0,AS111-Z111))</f>
        <v/>
      </c>
      <c r="O111">
        <f>IF(C110&lt;=0,0,MIN(AH111,C$7+IF(C$2=$AA111,$AC111,IF(C$2=$AF111,$AG111,0))))</f>
        <v/>
      </c>
      <c r="P111">
        <f>IF(D110&lt;=0,0,MIN(AI111,D$7+IF(D$2=$AA111,$AC111,IF(D$2=$AF111,$AG111,0))))</f>
        <v/>
      </c>
      <c r="Q111">
        <f>IF(E110&lt;=0,0,MIN(AJ111,E$7+IF(E$2=$AA111,$AC111,IF(E$2=$AF111,$AG111,0))))</f>
        <v/>
      </c>
      <c r="R111">
        <f>IF(F110&lt;=0,0,MIN(AK111,F$7+IF(F$2=$AA111,$AC111,IF(F$2=$AF111,$AG111,0))))</f>
        <v/>
      </c>
      <c r="S111">
        <f>IF(G110&lt;=0,0,MIN(AL111,G$7+IF(G$2=$AA111,$AC111,IF(G$2=$AF111,$AG111,0))))</f>
        <v/>
      </c>
      <c r="T111">
        <f>IF(H110&lt;=0,0,MIN(AM111,H$7+IF(H$2=$AA111,$AC111,IF(H$2=$AF111,$AG111,0))))</f>
        <v/>
      </c>
      <c r="U111">
        <f>IF(I110&lt;=0,0,MIN(AN111,I$7+IF(I$2=$AA111,$AC111,IF(I$2=$AF111,$AG111,0))))</f>
        <v/>
      </c>
      <c r="V111">
        <f>IF(J110&lt;=0,0,MIN(AO111,J$7+IF(J$2=$AA111,$AC111,IF(J$2=$AF111,$AG111,0))))</f>
        <v/>
      </c>
      <c r="W111">
        <f>IF(K110&lt;=0,0,MIN(AP111,K$7+IF(K$2=$AA111,$AC111,IF(K$2=$AF111,$AG111,0))))</f>
        <v/>
      </c>
      <c r="X111">
        <f>IF(L110&lt;=0,0,MIN(AQ111,L$7+IF(L$2=$AA111,$AC111,IF(L$2=$AF111,$AG111,0))))</f>
        <v/>
      </c>
      <c r="Y111">
        <f>IF(M110&lt;=0,0,MIN(AR111,M$7+IF(M$2=$AA111,$AC111,IF(M$2=$AF111,$AG111,0))))</f>
        <v/>
      </c>
      <c r="Z111">
        <f>IF(N110&lt;=0,0,MIN(AS111,N$7+IF(N$2=$AA111,$AC111,IF(N$2=$AF111,$AG111,0))))</f>
        <v/>
      </c>
      <c r="AA111">
        <f>IFERROR(ROUND(1/SUMPRODUCT(MAX((C110:N110&gt;0)*($C$3:$N$3&lt;=B111)/$C$2:$N$2)),0),0)</f>
        <v/>
      </c>
      <c r="AB111">
        <f>SUMPRODUCT((C110:N110&gt;0)*$C$7:$N$7)</f>
        <v/>
      </c>
      <c r="AC111">
        <f>MAX(0,Plan!$C$5-AB111)+IF(A111=Plan!$C$8,N(Plan!$C$7),0)</f>
        <v/>
      </c>
      <c r="AD111">
        <f>SUM(C111:N111)</f>
        <v/>
      </c>
      <c r="AE111">
        <f>SUM(O111:Z111)</f>
        <v/>
      </c>
      <c r="AF111">
        <f>IFERROR(ROUND(1/SUMPRODUCT(MAX((C110:N110&gt;0)*($C$3:$N$3&lt;=B111)*($C$2:$N$2&gt;AA111)/$C$2:$N$2)),0),0)</f>
        <v/>
      </c>
      <c r="AG111">
        <f>MAX(0,AC111-MAX(0,SUMPRODUCT(($C$2:$N$2=AA111)*(AH111:AS111-$C$7:$N$7))))</f>
        <v/>
      </c>
      <c r="AH111">
        <f>IF(C110&lt;=0,0,ROUND(C110*(1+IF(AND(C$6&gt;0,$B111&lt;C$6),C$4,C$5)/12),2))</f>
        <v/>
      </c>
      <c r="AI111">
        <f>IF(D110&lt;=0,0,ROUND(D110*(1+IF(AND(D$6&gt;0,$B111&lt;D$6),D$4,D$5)/12),2))</f>
        <v/>
      </c>
      <c r="AJ111">
        <f>IF(E110&lt;=0,0,ROUND(E110*(1+IF(AND(E$6&gt;0,$B111&lt;E$6),E$4,E$5)/12),2))</f>
        <v/>
      </c>
      <c r="AK111">
        <f>IF(F110&lt;=0,0,ROUND(F110*(1+IF(AND(F$6&gt;0,$B111&lt;F$6),F$4,F$5)/12),2))</f>
        <v/>
      </c>
      <c r="AL111">
        <f>IF(G110&lt;=0,0,ROUND(G110*(1+IF(AND(G$6&gt;0,$B111&lt;G$6),G$4,G$5)/12),2))</f>
        <v/>
      </c>
      <c r="AM111">
        <f>IF(H110&lt;=0,0,ROUND(H110*(1+IF(AND(H$6&gt;0,$B111&lt;H$6),H$4,H$5)/12),2))</f>
        <v/>
      </c>
      <c r="AN111">
        <f>IF(I110&lt;=0,0,ROUND(I110*(1+IF(AND(I$6&gt;0,$B111&lt;I$6),I$4,I$5)/12),2))</f>
        <v/>
      </c>
      <c r="AO111">
        <f>IF(J110&lt;=0,0,ROUND(J110*(1+IF(AND(J$6&gt;0,$B111&lt;J$6),J$4,J$5)/12),2))</f>
        <v/>
      </c>
      <c r="AP111">
        <f>IF(K110&lt;=0,0,ROUND(K110*(1+IF(AND(K$6&gt;0,$B111&lt;K$6),K$4,K$5)/12),2))</f>
        <v/>
      </c>
      <c r="AQ111">
        <f>IF(L110&lt;=0,0,ROUND(L110*(1+IF(AND(L$6&gt;0,$B111&lt;L$6),L$4,L$5)/12),2))</f>
        <v/>
      </c>
      <c r="AR111">
        <f>IF(M110&lt;=0,0,ROUND(M110*(1+IF(AND(M$6&gt;0,$B111&lt;M$6),M$4,M$5)/12),2))</f>
        <v/>
      </c>
      <c r="AS111">
        <f>IF(N110&lt;=0,0,ROUND(N110*(1+IF(AND(N$6&gt;0,$B111&lt;N$6),N$4,N$5)/12),2))</f>
        <v/>
      </c>
    </row>
    <row r="112">
      <c r="A112" t="n">
        <v>101</v>
      </c>
      <c r="B112">
        <f>EDATE(Plan!$C$6,100)</f>
        <v/>
      </c>
      <c r="C112">
        <f>IF(C111&lt;=0,0,MAX(0,AH112-O112))</f>
        <v/>
      </c>
      <c r="D112">
        <f>IF(D111&lt;=0,0,MAX(0,AI112-P112))</f>
        <v/>
      </c>
      <c r="E112">
        <f>IF(E111&lt;=0,0,MAX(0,AJ112-Q112))</f>
        <v/>
      </c>
      <c r="F112">
        <f>IF(F111&lt;=0,0,MAX(0,AK112-R112))</f>
        <v/>
      </c>
      <c r="G112">
        <f>IF(G111&lt;=0,0,MAX(0,AL112-S112))</f>
        <v/>
      </c>
      <c r="H112">
        <f>IF(H111&lt;=0,0,MAX(0,AM112-T112))</f>
        <v/>
      </c>
      <c r="I112">
        <f>IF(I111&lt;=0,0,MAX(0,AN112-U112))</f>
        <v/>
      </c>
      <c r="J112">
        <f>IF(J111&lt;=0,0,MAX(0,AO112-V112))</f>
        <v/>
      </c>
      <c r="K112">
        <f>IF(K111&lt;=0,0,MAX(0,AP112-W112))</f>
        <v/>
      </c>
      <c r="L112">
        <f>IF(L111&lt;=0,0,MAX(0,AQ112-X112))</f>
        <v/>
      </c>
      <c r="M112">
        <f>IF(M111&lt;=0,0,MAX(0,AR112-Y112))</f>
        <v/>
      </c>
      <c r="N112">
        <f>IF(N111&lt;=0,0,MAX(0,AS112-Z112))</f>
        <v/>
      </c>
      <c r="O112">
        <f>IF(C111&lt;=0,0,MIN(AH112,C$7+IF(C$2=$AA112,$AC112,IF(C$2=$AF112,$AG112,0))))</f>
        <v/>
      </c>
      <c r="P112">
        <f>IF(D111&lt;=0,0,MIN(AI112,D$7+IF(D$2=$AA112,$AC112,IF(D$2=$AF112,$AG112,0))))</f>
        <v/>
      </c>
      <c r="Q112">
        <f>IF(E111&lt;=0,0,MIN(AJ112,E$7+IF(E$2=$AA112,$AC112,IF(E$2=$AF112,$AG112,0))))</f>
        <v/>
      </c>
      <c r="R112">
        <f>IF(F111&lt;=0,0,MIN(AK112,F$7+IF(F$2=$AA112,$AC112,IF(F$2=$AF112,$AG112,0))))</f>
        <v/>
      </c>
      <c r="S112">
        <f>IF(G111&lt;=0,0,MIN(AL112,G$7+IF(G$2=$AA112,$AC112,IF(G$2=$AF112,$AG112,0))))</f>
        <v/>
      </c>
      <c r="T112">
        <f>IF(H111&lt;=0,0,MIN(AM112,H$7+IF(H$2=$AA112,$AC112,IF(H$2=$AF112,$AG112,0))))</f>
        <v/>
      </c>
      <c r="U112">
        <f>IF(I111&lt;=0,0,MIN(AN112,I$7+IF(I$2=$AA112,$AC112,IF(I$2=$AF112,$AG112,0))))</f>
        <v/>
      </c>
      <c r="V112">
        <f>IF(J111&lt;=0,0,MIN(AO112,J$7+IF(J$2=$AA112,$AC112,IF(J$2=$AF112,$AG112,0))))</f>
        <v/>
      </c>
      <c r="W112">
        <f>IF(K111&lt;=0,0,MIN(AP112,K$7+IF(K$2=$AA112,$AC112,IF(K$2=$AF112,$AG112,0))))</f>
        <v/>
      </c>
      <c r="X112">
        <f>IF(L111&lt;=0,0,MIN(AQ112,L$7+IF(L$2=$AA112,$AC112,IF(L$2=$AF112,$AG112,0))))</f>
        <v/>
      </c>
      <c r="Y112">
        <f>IF(M111&lt;=0,0,MIN(AR112,M$7+IF(M$2=$AA112,$AC112,IF(M$2=$AF112,$AG112,0))))</f>
        <v/>
      </c>
      <c r="Z112">
        <f>IF(N111&lt;=0,0,MIN(AS112,N$7+IF(N$2=$AA112,$AC112,IF(N$2=$AF112,$AG112,0))))</f>
        <v/>
      </c>
      <c r="AA112">
        <f>IFERROR(ROUND(1/SUMPRODUCT(MAX((C111:N111&gt;0)*($C$3:$N$3&lt;=B112)/$C$2:$N$2)),0),0)</f>
        <v/>
      </c>
      <c r="AB112">
        <f>SUMPRODUCT((C111:N111&gt;0)*$C$7:$N$7)</f>
        <v/>
      </c>
      <c r="AC112">
        <f>MAX(0,Plan!$C$5-AB112)+IF(A112=Plan!$C$8,N(Plan!$C$7),0)</f>
        <v/>
      </c>
      <c r="AD112">
        <f>SUM(C112:N112)</f>
        <v/>
      </c>
      <c r="AE112">
        <f>SUM(O112:Z112)</f>
        <v/>
      </c>
      <c r="AF112">
        <f>IFERROR(ROUND(1/SUMPRODUCT(MAX((C111:N111&gt;0)*($C$3:$N$3&lt;=B112)*($C$2:$N$2&gt;AA112)/$C$2:$N$2)),0),0)</f>
        <v/>
      </c>
      <c r="AG112">
        <f>MAX(0,AC112-MAX(0,SUMPRODUCT(($C$2:$N$2=AA112)*(AH112:AS112-$C$7:$N$7))))</f>
        <v/>
      </c>
      <c r="AH112">
        <f>IF(C111&lt;=0,0,ROUND(C111*(1+IF(AND(C$6&gt;0,$B112&lt;C$6),C$4,C$5)/12),2))</f>
        <v/>
      </c>
      <c r="AI112">
        <f>IF(D111&lt;=0,0,ROUND(D111*(1+IF(AND(D$6&gt;0,$B112&lt;D$6),D$4,D$5)/12),2))</f>
        <v/>
      </c>
      <c r="AJ112">
        <f>IF(E111&lt;=0,0,ROUND(E111*(1+IF(AND(E$6&gt;0,$B112&lt;E$6),E$4,E$5)/12),2))</f>
        <v/>
      </c>
      <c r="AK112">
        <f>IF(F111&lt;=0,0,ROUND(F111*(1+IF(AND(F$6&gt;0,$B112&lt;F$6),F$4,F$5)/12),2))</f>
        <v/>
      </c>
      <c r="AL112">
        <f>IF(G111&lt;=0,0,ROUND(G111*(1+IF(AND(G$6&gt;0,$B112&lt;G$6),G$4,G$5)/12),2))</f>
        <v/>
      </c>
      <c r="AM112">
        <f>IF(H111&lt;=0,0,ROUND(H111*(1+IF(AND(H$6&gt;0,$B112&lt;H$6),H$4,H$5)/12),2))</f>
        <v/>
      </c>
      <c r="AN112">
        <f>IF(I111&lt;=0,0,ROUND(I111*(1+IF(AND(I$6&gt;0,$B112&lt;I$6),I$4,I$5)/12),2))</f>
        <v/>
      </c>
      <c r="AO112">
        <f>IF(J111&lt;=0,0,ROUND(J111*(1+IF(AND(J$6&gt;0,$B112&lt;J$6),J$4,J$5)/12),2))</f>
        <v/>
      </c>
      <c r="AP112">
        <f>IF(K111&lt;=0,0,ROUND(K111*(1+IF(AND(K$6&gt;0,$B112&lt;K$6),K$4,K$5)/12),2))</f>
        <v/>
      </c>
      <c r="AQ112">
        <f>IF(L111&lt;=0,0,ROUND(L111*(1+IF(AND(L$6&gt;0,$B112&lt;L$6),L$4,L$5)/12),2))</f>
        <v/>
      </c>
      <c r="AR112">
        <f>IF(M111&lt;=0,0,ROUND(M111*(1+IF(AND(M$6&gt;0,$B112&lt;M$6),M$4,M$5)/12),2))</f>
        <v/>
      </c>
      <c r="AS112">
        <f>IF(N111&lt;=0,0,ROUND(N111*(1+IF(AND(N$6&gt;0,$B112&lt;N$6),N$4,N$5)/12),2))</f>
        <v/>
      </c>
    </row>
    <row r="113">
      <c r="A113" t="n">
        <v>102</v>
      </c>
      <c r="B113">
        <f>EDATE(Plan!$C$6,101)</f>
        <v/>
      </c>
      <c r="C113">
        <f>IF(C112&lt;=0,0,MAX(0,AH113-O113))</f>
        <v/>
      </c>
      <c r="D113">
        <f>IF(D112&lt;=0,0,MAX(0,AI113-P113))</f>
        <v/>
      </c>
      <c r="E113">
        <f>IF(E112&lt;=0,0,MAX(0,AJ113-Q113))</f>
        <v/>
      </c>
      <c r="F113">
        <f>IF(F112&lt;=0,0,MAX(0,AK113-R113))</f>
        <v/>
      </c>
      <c r="G113">
        <f>IF(G112&lt;=0,0,MAX(0,AL113-S113))</f>
        <v/>
      </c>
      <c r="H113">
        <f>IF(H112&lt;=0,0,MAX(0,AM113-T113))</f>
        <v/>
      </c>
      <c r="I113">
        <f>IF(I112&lt;=0,0,MAX(0,AN113-U113))</f>
        <v/>
      </c>
      <c r="J113">
        <f>IF(J112&lt;=0,0,MAX(0,AO113-V113))</f>
        <v/>
      </c>
      <c r="K113">
        <f>IF(K112&lt;=0,0,MAX(0,AP113-W113))</f>
        <v/>
      </c>
      <c r="L113">
        <f>IF(L112&lt;=0,0,MAX(0,AQ113-X113))</f>
        <v/>
      </c>
      <c r="M113">
        <f>IF(M112&lt;=0,0,MAX(0,AR113-Y113))</f>
        <v/>
      </c>
      <c r="N113">
        <f>IF(N112&lt;=0,0,MAX(0,AS113-Z113))</f>
        <v/>
      </c>
      <c r="O113">
        <f>IF(C112&lt;=0,0,MIN(AH113,C$7+IF(C$2=$AA113,$AC113,IF(C$2=$AF113,$AG113,0))))</f>
        <v/>
      </c>
      <c r="P113">
        <f>IF(D112&lt;=0,0,MIN(AI113,D$7+IF(D$2=$AA113,$AC113,IF(D$2=$AF113,$AG113,0))))</f>
        <v/>
      </c>
      <c r="Q113">
        <f>IF(E112&lt;=0,0,MIN(AJ113,E$7+IF(E$2=$AA113,$AC113,IF(E$2=$AF113,$AG113,0))))</f>
        <v/>
      </c>
      <c r="R113">
        <f>IF(F112&lt;=0,0,MIN(AK113,F$7+IF(F$2=$AA113,$AC113,IF(F$2=$AF113,$AG113,0))))</f>
        <v/>
      </c>
      <c r="S113">
        <f>IF(G112&lt;=0,0,MIN(AL113,G$7+IF(G$2=$AA113,$AC113,IF(G$2=$AF113,$AG113,0))))</f>
        <v/>
      </c>
      <c r="T113">
        <f>IF(H112&lt;=0,0,MIN(AM113,H$7+IF(H$2=$AA113,$AC113,IF(H$2=$AF113,$AG113,0))))</f>
        <v/>
      </c>
      <c r="U113">
        <f>IF(I112&lt;=0,0,MIN(AN113,I$7+IF(I$2=$AA113,$AC113,IF(I$2=$AF113,$AG113,0))))</f>
        <v/>
      </c>
      <c r="V113">
        <f>IF(J112&lt;=0,0,MIN(AO113,J$7+IF(J$2=$AA113,$AC113,IF(J$2=$AF113,$AG113,0))))</f>
        <v/>
      </c>
      <c r="W113">
        <f>IF(K112&lt;=0,0,MIN(AP113,K$7+IF(K$2=$AA113,$AC113,IF(K$2=$AF113,$AG113,0))))</f>
        <v/>
      </c>
      <c r="X113">
        <f>IF(L112&lt;=0,0,MIN(AQ113,L$7+IF(L$2=$AA113,$AC113,IF(L$2=$AF113,$AG113,0))))</f>
        <v/>
      </c>
      <c r="Y113">
        <f>IF(M112&lt;=0,0,MIN(AR113,M$7+IF(M$2=$AA113,$AC113,IF(M$2=$AF113,$AG113,0))))</f>
        <v/>
      </c>
      <c r="Z113">
        <f>IF(N112&lt;=0,0,MIN(AS113,N$7+IF(N$2=$AA113,$AC113,IF(N$2=$AF113,$AG113,0))))</f>
        <v/>
      </c>
      <c r="AA113">
        <f>IFERROR(ROUND(1/SUMPRODUCT(MAX((C112:N112&gt;0)*($C$3:$N$3&lt;=B113)/$C$2:$N$2)),0),0)</f>
        <v/>
      </c>
      <c r="AB113">
        <f>SUMPRODUCT((C112:N112&gt;0)*$C$7:$N$7)</f>
        <v/>
      </c>
      <c r="AC113">
        <f>MAX(0,Plan!$C$5-AB113)+IF(A113=Plan!$C$8,N(Plan!$C$7),0)</f>
        <v/>
      </c>
      <c r="AD113">
        <f>SUM(C113:N113)</f>
        <v/>
      </c>
      <c r="AE113">
        <f>SUM(O113:Z113)</f>
        <v/>
      </c>
      <c r="AF113">
        <f>IFERROR(ROUND(1/SUMPRODUCT(MAX((C112:N112&gt;0)*($C$3:$N$3&lt;=B113)*($C$2:$N$2&gt;AA113)/$C$2:$N$2)),0),0)</f>
        <v/>
      </c>
      <c r="AG113">
        <f>MAX(0,AC113-MAX(0,SUMPRODUCT(($C$2:$N$2=AA113)*(AH113:AS113-$C$7:$N$7))))</f>
        <v/>
      </c>
      <c r="AH113">
        <f>IF(C112&lt;=0,0,ROUND(C112*(1+IF(AND(C$6&gt;0,$B113&lt;C$6),C$4,C$5)/12),2))</f>
        <v/>
      </c>
      <c r="AI113">
        <f>IF(D112&lt;=0,0,ROUND(D112*(1+IF(AND(D$6&gt;0,$B113&lt;D$6),D$4,D$5)/12),2))</f>
        <v/>
      </c>
      <c r="AJ113">
        <f>IF(E112&lt;=0,0,ROUND(E112*(1+IF(AND(E$6&gt;0,$B113&lt;E$6),E$4,E$5)/12),2))</f>
        <v/>
      </c>
      <c r="AK113">
        <f>IF(F112&lt;=0,0,ROUND(F112*(1+IF(AND(F$6&gt;0,$B113&lt;F$6),F$4,F$5)/12),2))</f>
        <v/>
      </c>
      <c r="AL113">
        <f>IF(G112&lt;=0,0,ROUND(G112*(1+IF(AND(G$6&gt;0,$B113&lt;G$6),G$4,G$5)/12),2))</f>
        <v/>
      </c>
      <c r="AM113">
        <f>IF(H112&lt;=0,0,ROUND(H112*(1+IF(AND(H$6&gt;0,$B113&lt;H$6),H$4,H$5)/12),2))</f>
        <v/>
      </c>
      <c r="AN113">
        <f>IF(I112&lt;=0,0,ROUND(I112*(1+IF(AND(I$6&gt;0,$B113&lt;I$6),I$4,I$5)/12),2))</f>
        <v/>
      </c>
      <c r="AO113">
        <f>IF(J112&lt;=0,0,ROUND(J112*(1+IF(AND(J$6&gt;0,$B113&lt;J$6),J$4,J$5)/12),2))</f>
        <v/>
      </c>
      <c r="AP113">
        <f>IF(K112&lt;=0,0,ROUND(K112*(1+IF(AND(K$6&gt;0,$B113&lt;K$6),K$4,K$5)/12),2))</f>
        <v/>
      </c>
      <c r="AQ113">
        <f>IF(L112&lt;=0,0,ROUND(L112*(1+IF(AND(L$6&gt;0,$B113&lt;L$6),L$4,L$5)/12),2))</f>
        <v/>
      </c>
      <c r="AR113">
        <f>IF(M112&lt;=0,0,ROUND(M112*(1+IF(AND(M$6&gt;0,$B113&lt;M$6),M$4,M$5)/12),2))</f>
        <v/>
      </c>
      <c r="AS113">
        <f>IF(N112&lt;=0,0,ROUND(N112*(1+IF(AND(N$6&gt;0,$B113&lt;N$6),N$4,N$5)/12),2))</f>
        <v/>
      </c>
    </row>
    <row r="114">
      <c r="A114" t="n">
        <v>103</v>
      </c>
      <c r="B114">
        <f>EDATE(Plan!$C$6,102)</f>
        <v/>
      </c>
      <c r="C114">
        <f>IF(C113&lt;=0,0,MAX(0,AH114-O114))</f>
        <v/>
      </c>
      <c r="D114">
        <f>IF(D113&lt;=0,0,MAX(0,AI114-P114))</f>
        <v/>
      </c>
      <c r="E114">
        <f>IF(E113&lt;=0,0,MAX(0,AJ114-Q114))</f>
        <v/>
      </c>
      <c r="F114">
        <f>IF(F113&lt;=0,0,MAX(0,AK114-R114))</f>
        <v/>
      </c>
      <c r="G114">
        <f>IF(G113&lt;=0,0,MAX(0,AL114-S114))</f>
        <v/>
      </c>
      <c r="H114">
        <f>IF(H113&lt;=0,0,MAX(0,AM114-T114))</f>
        <v/>
      </c>
      <c r="I114">
        <f>IF(I113&lt;=0,0,MAX(0,AN114-U114))</f>
        <v/>
      </c>
      <c r="J114">
        <f>IF(J113&lt;=0,0,MAX(0,AO114-V114))</f>
        <v/>
      </c>
      <c r="K114">
        <f>IF(K113&lt;=0,0,MAX(0,AP114-W114))</f>
        <v/>
      </c>
      <c r="L114">
        <f>IF(L113&lt;=0,0,MAX(0,AQ114-X114))</f>
        <v/>
      </c>
      <c r="M114">
        <f>IF(M113&lt;=0,0,MAX(0,AR114-Y114))</f>
        <v/>
      </c>
      <c r="N114">
        <f>IF(N113&lt;=0,0,MAX(0,AS114-Z114))</f>
        <v/>
      </c>
      <c r="O114">
        <f>IF(C113&lt;=0,0,MIN(AH114,C$7+IF(C$2=$AA114,$AC114,IF(C$2=$AF114,$AG114,0))))</f>
        <v/>
      </c>
      <c r="P114">
        <f>IF(D113&lt;=0,0,MIN(AI114,D$7+IF(D$2=$AA114,$AC114,IF(D$2=$AF114,$AG114,0))))</f>
        <v/>
      </c>
      <c r="Q114">
        <f>IF(E113&lt;=0,0,MIN(AJ114,E$7+IF(E$2=$AA114,$AC114,IF(E$2=$AF114,$AG114,0))))</f>
        <v/>
      </c>
      <c r="R114">
        <f>IF(F113&lt;=0,0,MIN(AK114,F$7+IF(F$2=$AA114,$AC114,IF(F$2=$AF114,$AG114,0))))</f>
        <v/>
      </c>
      <c r="S114">
        <f>IF(G113&lt;=0,0,MIN(AL114,G$7+IF(G$2=$AA114,$AC114,IF(G$2=$AF114,$AG114,0))))</f>
        <v/>
      </c>
      <c r="T114">
        <f>IF(H113&lt;=0,0,MIN(AM114,H$7+IF(H$2=$AA114,$AC114,IF(H$2=$AF114,$AG114,0))))</f>
        <v/>
      </c>
      <c r="U114">
        <f>IF(I113&lt;=0,0,MIN(AN114,I$7+IF(I$2=$AA114,$AC114,IF(I$2=$AF114,$AG114,0))))</f>
        <v/>
      </c>
      <c r="V114">
        <f>IF(J113&lt;=0,0,MIN(AO114,J$7+IF(J$2=$AA114,$AC114,IF(J$2=$AF114,$AG114,0))))</f>
        <v/>
      </c>
      <c r="W114">
        <f>IF(K113&lt;=0,0,MIN(AP114,K$7+IF(K$2=$AA114,$AC114,IF(K$2=$AF114,$AG114,0))))</f>
        <v/>
      </c>
      <c r="X114">
        <f>IF(L113&lt;=0,0,MIN(AQ114,L$7+IF(L$2=$AA114,$AC114,IF(L$2=$AF114,$AG114,0))))</f>
        <v/>
      </c>
      <c r="Y114">
        <f>IF(M113&lt;=0,0,MIN(AR114,M$7+IF(M$2=$AA114,$AC114,IF(M$2=$AF114,$AG114,0))))</f>
        <v/>
      </c>
      <c r="Z114">
        <f>IF(N113&lt;=0,0,MIN(AS114,N$7+IF(N$2=$AA114,$AC114,IF(N$2=$AF114,$AG114,0))))</f>
        <v/>
      </c>
      <c r="AA114">
        <f>IFERROR(ROUND(1/SUMPRODUCT(MAX((C113:N113&gt;0)*($C$3:$N$3&lt;=B114)/$C$2:$N$2)),0),0)</f>
        <v/>
      </c>
      <c r="AB114">
        <f>SUMPRODUCT((C113:N113&gt;0)*$C$7:$N$7)</f>
        <v/>
      </c>
      <c r="AC114">
        <f>MAX(0,Plan!$C$5-AB114)+IF(A114=Plan!$C$8,N(Plan!$C$7),0)</f>
        <v/>
      </c>
      <c r="AD114">
        <f>SUM(C114:N114)</f>
        <v/>
      </c>
      <c r="AE114">
        <f>SUM(O114:Z114)</f>
        <v/>
      </c>
      <c r="AF114">
        <f>IFERROR(ROUND(1/SUMPRODUCT(MAX((C113:N113&gt;0)*($C$3:$N$3&lt;=B114)*($C$2:$N$2&gt;AA114)/$C$2:$N$2)),0),0)</f>
        <v/>
      </c>
      <c r="AG114">
        <f>MAX(0,AC114-MAX(0,SUMPRODUCT(($C$2:$N$2=AA114)*(AH114:AS114-$C$7:$N$7))))</f>
        <v/>
      </c>
      <c r="AH114">
        <f>IF(C113&lt;=0,0,ROUND(C113*(1+IF(AND(C$6&gt;0,$B114&lt;C$6),C$4,C$5)/12),2))</f>
        <v/>
      </c>
      <c r="AI114">
        <f>IF(D113&lt;=0,0,ROUND(D113*(1+IF(AND(D$6&gt;0,$B114&lt;D$6),D$4,D$5)/12),2))</f>
        <v/>
      </c>
      <c r="AJ114">
        <f>IF(E113&lt;=0,0,ROUND(E113*(1+IF(AND(E$6&gt;0,$B114&lt;E$6),E$4,E$5)/12),2))</f>
        <v/>
      </c>
      <c r="AK114">
        <f>IF(F113&lt;=0,0,ROUND(F113*(1+IF(AND(F$6&gt;0,$B114&lt;F$6),F$4,F$5)/12),2))</f>
        <v/>
      </c>
      <c r="AL114">
        <f>IF(G113&lt;=0,0,ROUND(G113*(1+IF(AND(G$6&gt;0,$B114&lt;G$6),G$4,G$5)/12),2))</f>
        <v/>
      </c>
      <c r="AM114">
        <f>IF(H113&lt;=0,0,ROUND(H113*(1+IF(AND(H$6&gt;0,$B114&lt;H$6),H$4,H$5)/12),2))</f>
        <v/>
      </c>
      <c r="AN114">
        <f>IF(I113&lt;=0,0,ROUND(I113*(1+IF(AND(I$6&gt;0,$B114&lt;I$6),I$4,I$5)/12),2))</f>
        <v/>
      </c>
      <c r="AO114">
        <f>IF(J113&lt;=0,0,ROUND(J113*(1+IF(AND(J$6&gt;0,$B114&lt;J$6),J$4,J$5)/12),2))</f>
        <v/>
      </c>
      <c r="AP114">
        <f>IF(K113&lt;=0,0,ROUND(K113*(1+IF(AND(K$6&gt;0,$B114&lt;K$6),K$4,K$5)/12),2))</f>
        <v/>
      </c>
      <c r="AQ114">
        <f>IF(L113&lt;=0,0,ROUND(L113*(1+IF(AND(L$6&gt;0,$B114&lt;L$6),L$4,L$5)/12),2))</f>
        <v/>
      </c>
      <c r="AR114">
        <f>IF(M113&lt;=0,0,ROUND(M113*(1+IF(AND(M$6&gt;0,$B114&lt;M$6),M$4,M$5)/12),2))</f>
        <v/>
      </c>
      <c r="AS114">
        <f>IF(N113&lt;=0,0,ROUND(N113*(1+IF(AND(N$6&gt;0,$B114&lt;N$6),N$4,N$5)/12),2))</f>
        <v/>
      </c>
    </row>
    <row r="115">
      <c r="A115" t="n">
        <v>104</v>
      </c>
      <c r="B115">
        <f>EDATE(Plan!$C$6,103)</f>
        <v/>
      </c>
      <c r="C115">
        <f>IF(C114&lt;=0,0,MAX(0,AH115-O115))</f>
        <v/>
      </c>
      <c r="D115">
        <f>IF(D114&lt;=0,0,MAX(0,AI115-P115))</f>
        <v/>
      </c>
      <c r="E115">
        <f>IF(E114&lt;=0,0,MAX(0,AJ115-Q115))</f>
        <v/>
      </c>
      <c r="F115">
        <f>IF(F114&lt;=0,0,MAX(0,AK115-R115))</f>
        <v/>
      </c>
      <c r="G115">
        <f>IF(G114&lt;=0,0,MAX(0,AL115-S115))</f>
        <v/>
      </c>
      <c r="H115">
        <f>IF(H114&lt;=0,0,MAX(0,AM115-T115))</f>
        <v/>
      </c>
      <c r="I115">
        <f>IF(I114&lt;=0,0,MAX(0,AN115-U115))</f>
        <v/>
      </c>
      <c r="J115">
        <f>IF(J114&lt;=0,0,MAX(0,AO115-V115))</f>
        <v/>
      </c>
      <c r="K115">
        <f>IF(K114&lt;=0,0,MAX(0,AP115-W115))</f>
        <v/>
      </c>
      <c r="L115">
        <f>IF(L114&lt;=0,0,MAX(0,AQ115-X115))</f>
        <v/>
      </c>
      <c r="M115">
        <f>IF(M114&lt;=0,0,MAX(0,AR115-Y115))</f>
        <v/>
      </c>
      <c r="N115">
        <f>IF(N114&lt;=0,0,MAX(0,AS115-Z115))</f>
        <v/>
      </c>
      <c r="O115">
        <f>IF(C114&lt;=0,0,MIN(AH115,C$7+IF(C$2=$AA115,$AC115,IF(C$2=$AF115,$AG115,0))))</f>
        <v/>
      </c>
      <c r="P115">
        <f>IF(D114&lt;=0,0,MIN(AI115,D$7+IF(D$2=$AA115,$AC115,IF(D$2=$AF115,$AG115,0))))</f>
        <v/>
      </c>
      <c r="Q115">
        <f>IF(E114&lt;=0,0,MIN(AJ115,E$7+IF(E$2=$AA115,$AC115,IF(E$2=$AF115,$AG115,0))))</f>
        <v/>
      </c>
      <c r="R115">
        <f>IF(F114&lt;=0,0,MIN(AK115,F$7+IF(F$2=$AA115,$AC115,IF(F$2=$AF115,$AG115,0))))</f>
        <v/>
      </c>
      <c r="S115">
        <f>IF(G114&lt;=0,0,MIN(AL115,G$7+IF(G$2=$AA115,$AC115,IF(G$2=$AF115,$AG115,0))))</f>
        <v/>
      </c>
      <c r="T115">
        <f>IF(H114&lt;=0,0,MIN(AM115,H$7+IF(H$2=$AA115,$AC115,IF(H$2=$AF115,$AG115,0))))</f>
        <v/>
      </c>
      <c r="U115">
        <f>IF(I114&lt;=0,0,MIN(AN115,I$7+IF(I$2=$AA115,$AC115,IF(I$2=$AF115,$AG115,0))))</f>
        <v/>
      </c>
      <c r="V115">
        <f>IF(J114&lt;=0,0,MIN(AO115,J$7+IF(J$2=$AA115,$AC115,IF(J$2=$AF115,$AG115,0))))</f>
        <v/>
      </c>
      <c r="W115">
        <f>IF(K114&lt;=0,0,MIN(AP115,K$7+IF(K$2=$AA115,$AC115,IF(K$2=$AF115,$AG115,0))))</f>
        <v/>
      </c>
      <c r="X115">
        <f>IF(L114&lt;=0,0,MIN(AQ115,L$7+IF(L$2=$AA115,$AC115,IF(L$2=$AF115,$AG115,0))))</f>
        <v/>
      </c>
      <c r="Y115">
        <f>IF(M114&lt;=0,0,MIN(AR115,M$7+IF(M$2=$AA115,$AC115,IF(M$2=$AF115,$AG115,0))))</f>
        <v/>
      </c>
      <c r="Z115">
        <f>IF(N114&lt;=0,0,MIN(AS115,N$7+IF(N$2=$AA115,$AC115,IF(N$2=$AF115,$AG115,0))))</f>
        <v/>
      </c>
      <c r="AA115">
        <f>IFERROR(ROUND(1/SUMPRODUCT(MAX((C114:N114&gt;0)*($C$3:$N$3&lt;=B115)/$C$2:$N$2)),0),0)</f>
        <v/>
      </c>
      <c r="AB115">
        <f>SUMPRODUCT((C114:N114&gt;0)*$C$7:$N$7)</f>
        <v/>
      </c>
      <c r="AC115">
        <f>MAX(0,Plan!$C$5-AB115)+IF(A115=Plan!$C$8,N(Plan!$C$7),0)</f>
        <v/>
      </c>
      <c r="AD115">
        <f>SUM(C115:N115)</f>
        <v/>
      </c>
      <c r="AE115">
        <f>SUM(O115:Z115)</f>
        <v/>
      </c>
      <c r="AF115">
        <f>IFERROR(ROUND(1/SUMPRODUCT(MAX((C114:N114&gt;0)*($C$3:$N$3&lt;=B115)*($C$2:$N$2&gt;AA115)/$C$2:$N$2)),0),0)</f>
        <v/>
      </c>
      <c r="AG115">
        <f>MAX(0,AC115-MAX(0,SUMPRODUCT(($C$2:$N$2=AA115)*(AH115:AS115-$C$7:$N$7))))</f>
        <v/>
      </c>
      <c r="AH115">
        <f>IF(C114&lt;=0,0,ROUND(C114*(1+IF(AND(C$6&gt;0,$B115&lt;C$6),C$4,C$5)/12),2))</f>
        <v/>
      </c>
      <c r="AI115">
        <f>IF(D114&lt;=0,0,ROUND(D114*(1+IF(AND(D$6&gt;0,$B115&lt;D$6),D$4,D$5)/12),2))</f>
        <v/>
      </c>
      <c r="AJ115">
        <f>IF(E114&lt;=0,0,ROUND(E114*(1+IF(AND(E$6&gt;0,$B115&lt;E$6),E$4,E$5)/12),2))</f>
        <v/>
      </c>
      <c r="AK115">
        <f>IF(F114&lt;=0,0,ROUND(F114*(1+IF(AND(F$6&gt;0,$B115&lt;F$6),F$4,F$5)/12),2))</f>
        <v/>
      </c>
      <c r="AL115">
        <f>IF(G114&lt;=0,0,ROUND(G114*(1+IF(AND(G$6&gt;0,$B115&lt;G$6),G$4,G$5)/12),2))</f>
        <v/>
      </c>
      <c r="AM115">
        <f>IF(H114&lt;=0,0,ROUND(H114*(1+IF(AND(H$6&gt;0,$B115&lt;H$6),H$4,H$5)/12),2))</f>
        <v/>
      </c>
      <c r="AN115">
        <f>IF(I114&lt;=0,0,ROUND(I114*(1+IF(AND(I$6&gt;0,$B115&lt;I$6),I$4,I$5)/12),2))</f>
        <v/>
      </c>
      <c r="AO115">
        <f>IF(J114&lt;=0,0,ROUND(J114*(1+IF(AND(J$6&gt;0,$B115&lt;J$6),J$4,J$5)/12),2))</f>
        <v/>
      </c>
      <c r="AP115">
        <f>IF(K114&lt;=0,0,ROUND(K114*(1+IF(AND(K$6&gt;0,$B115&lt;K$6),K$4,K$5)/12),2))</f>
        <v/>
      </c>
      <c r="AQ115">
        <f>IF(L114&lt;=0,0,ROUND(L114*(1+IF(AND(L$6&gt;0,$B115&lt;L$6),L$4,L$5)/12),2))</f>
        <v/>
      </c>
      <c r="AR115">
        <f>IF(M114&lt;=0,0,ROUND(M114*(1+IF(AND(M$6&gt;0,$B115&lt;M$6),M$4,M$5)/12),2))</f>
        <v/>
      </c>
      <c r="AS115">
        <f>IF(N114&lt;=0,0,ROUND(N114*(1+IF(AND(N$6&gt;0,$B115&lt;N$6),N$4,N$5)/12),2))</f>
        <v/>
      </c>
    </row>
    <row r="116">
      <c r="A116" t="n">
        <v>105</v>
      </c>
      <c r="B116">
        <f>EDATE(Plan!$C$6,104)</f>
        <v/>
      </c>
      <c r="C116">
        <f>IF(C115&lt;=0,0,MAX(0,AH116-O116))</f>
        <v/>
      </c>
      <c r="D116">
        <f>IF(D115&lt;=0,0,MAX(0,AI116-P116))</f>
        <v/>
      </c>
      <c r="E116">
        <f>IF(E115&lt;=0,0,MAX(0,AJ116-Q116))</f>
        <v/>
      </c>
      <c r="F116">
        <f>IF(F115&lt;=0,0,MAX(0,AK116-R116))</f>
        <v/>
      </c>
      <c r="G116">
        <f>IF(G115&lt;=0,0,MAX(0,AL116-S116))</f>
        <v/>
      </c>
      <c r="H116">
        <f>IF(H115&lt;=0,0,MAX(0,AM116-T116))</f>
        <v/>
      </c>
      <c r="I116">
        <f>IF(I115&lt;=0,0,MAX(0,AN116-U116))</f>
        <v/>
      </c>
      <c r="J116">
        <f>IF(J115&lt;=0,0,MAX(0,AO116-V116))</f>
        <v/>
      </c>
      <c r="K116">
        <f>IF(K115&lt;=0,0,MAX(0,AP116-W116))</f>
        <v/>
      </c>
      <c r="L116">
        <f>IF(L115&lt;=0,0,MAX(0,AQ116-X116))</f>
        <v/>
      </c>
      <c r="M116">
        <f>IF(M115&lt;=0,0,MAX(0,AR116-Y116))</f>
        <v/>
      </c>
      <c r="N116">
        <f>IF(N115&lt;=0,0,MAX(0,AS116-Z116))</f>
        <v/>
      </c>
      <c r="O116">
        <f>IF(C115&lt;=0,0,MIN(AH116,C$7+IF(C$2=$AA116,$AC116,IF(C$2=$AF116,$AG116,0))))</f>
        <v/>
      </c>
      <c r="P116">
        <f>IF(D115&lt;=0,0,MIN(AI116,D$7+IF(D$2=$AA116,$AC116,IF(D$2=$AF116,$AG116,0))))</f>
        <v/>
      </c>
      <c r="Q116">
        <f>IF(E115&lt;=0,0,MIN(AJ116,E$7+IF(E$2=$AA116,$AC116,IF(E$2=$AF116,$AG116,0))))</f>
        <v/>
      </c>
      <c r="R116">
        <f>IF(F115&lt;=0,0,MIN(AK116,F$7+IF(F$2=$AA116,$AC116,IF(F$2=$AF116,$AG116,0))))</f>
        <v/>
      </c>
      <c r="S116">
        <f>IF(G115&lt;=0,0,MIN(AL116,G$7+IF(G$2=$AA116,$AC116,IF(G$2=$AF116,$AG116,0))))</f>
        <v/>
      </c>
      <c r="T116">
        <f>IF(H115&lt;=0,0,MIN(AM116,H$7+IF(H$2=$AA116,$AC116,IF(H$2=$AF116,$AG116,0))))</f>
        <v/>
      </c>
      <c r="U116">
        <f>IF(I115&lt;=0,0,MIN(AN116,I$7+IF(I$2=$AA116,$AC116,IF(I$2=$AF116,$AG116,0))))</f>
        <v/>
      </c>
      <c r="V116">
        <f>IF(J115&lt;=0,0,MIN(AO116,J$7+IF(J$2=$AA116,$AC116,IF(J$2=$AF116,$AG116,0))))</f>
        <v/>
      </c>
      <c r="W116">
        <f>IF(K115&lt;=0,0,MIN(AP116,K$7+IF(K$2=$AA116,$AC116,IF(K$2=$AF116,$AG116,0))))</f>
        <v/>
      </c>
      <c r="X116">
        <f>IF(L115&lt;=0,0,MIN(AQ116,L$7+IF(L$2=$AA116,$AC116,IF(L$2=$AF116,$AG116,0))))</f>
        <v/>
      </c>
      <c r="Y116">
        <f>IF(M115&lt;=0,0,MIN(AR116,M$7+IF(M$2=$AA116,$AC116,IF(M$2=$AF116,$AG116,0))))</f>
        <v/>
      </c>
      <c r="Z116">
        <f>IF(N115&lt;=0,0,MIN(AS116,N$7+IF(N$2=$AA116,$AC116,IF(N$2=$AF116,$AG116,0))))</f>
        <v/>
      </c>
      <c r="AA116">
        <f>IFERROR(ROUND(1/SUMPRODUCT(MAX((C115:N115&gt;0)*($C$3:$N$3&lt;=B116)/$C$2:$N$2)),0),0)</f>
        <v/>
      </c>
      <c r="AB116">
        <f>SUMPRODUCT((C115:N115&gt;0)*$C$7:$N$7)</f>
        <v/>
      </c>
      <c r="AC116">
        <f>MAX(0,Plan!$C$5-AB116)+IF(A116=Plan!$C$8,N(Plan!$C$7),0)</f>
        <v/>
      </c>
      <c r="AD116">
        <f>SUM(C116:N116)</f>
        <v/>
      </c>
      <c r="AE116">
        <f>SUM(O116:Z116)</f>
        <v/>
      </c>
      <c r="AF116">
        <f>IFERROR(ROUND(1/SUMPRODUCT(MAX((C115:N115&gt;0)*($C$3:$N$3&lt;=B116)*($C$2:$N$2&gt;AA116)/$C$2:$N$2)),0),0)</f>
        <v/>
      </c>
      <c r="AG116">
        <f>MAX(0,AC116-MAX(0,SUMPRODUCT(($C$2:$N$2=AA116)*(AH116:AS116-$C$7:$N$7))))</f>
        <v/>
      </c>
      <c r="AH116">
        <f>IF(C115&lt;=0,0,ROUND(C115*(1+IF(AND(C$6&gt;0,$B116&lt;C$6),C$4,C$5)/12),2))</f>
        <v/>
      </c>
      <c r="AI116">
        <f>IF(D115&lt;=0,0,ROUND(D115*(1+IF(AND(D$6&gt;0,$B116&lt;D$6),D$4,D$5)/12),2))</f>
        <v/>
      </c>
      <c r="AJ116">
        <f>IF(E115&lt;=0,0,ROUND(E115*(1+IF(AND(E$6&gt;0,$B116&lt;E$6),E$4,E$5)/12),2))</f>
        <v/>
      </c>
      <c r="AK116">
        <f>IF(F115&lt;=0,0,ROUND(F115*(1+IF(AND(F$6&gt;0,$B116&lt;F$6),F$4,F$5)/12),2))</f>
        <v/>
      </c>
      <c r="AL116">
        <f>IF(G115&lt;=0,0,ROUND(G115*(1+IF(AND(G$6&gt;0,$B116&lt;G$6),G$4,G$5)/12),2))</f>
        <v/>
      </c>
      <c r="AM116">
        <f>IF(H115&lt;=0,0,ROUND(H115*(1+IF(AND(H$6&gt;0,$B116&lt;H$6),H$4,H$5)/12),2))</f>
        <v/>
      </c>
      <c r="AN116">
        <f>IF(I115&lt;=0,0,ROUND(I115*(1+IF(AND(I$6&gt;0,$B116&lt;I$6),I$4,I$5)/12),2))</f>
        <v/>
      </c>
      <c r="AO116">
        <f>IF(J115&lt;=0,0,ROUND(J115*(1+IF(AND(J$6&gt;0,$B116&lt;J$6),J$4,J$5)/12),2))</f>
        <v/>
      </c>
      <c r="AP116">
        <f>IF(K115&lt;=0,0,ROUND(K115*(1+IF(AND(K$6&gt;0,$B116&lt;K$6),K$4,K$5)/12),2))</f>
        <v/>
      </c>
      <c r="AQ116">
        <f>IF(L115&lt;=0,0,ROUND(L115*(1+IF(AND(L$6&gt;0,$B116&lt;L$6),L$4,L$5)/12),2))</f>
        <v/>
      </c>
      <c r="AR116">
        <f>IF(M115&lt;=0,0,ROUND(M115*(1+IF(AND(M$6&gt;0,$B116&lt;M$6),M$4,M$5)/12),2))</f>
        <v/>
      </c>
      <c r="AS116">
        <f>IF(N115&lt;=0,0,ROUND(N115*(1+IF(AND(N$6&gt;0,$B116&lt;N$6),N$4,N$5)/12),2))</f>
        <v/>
      </c>
    </row>
    <row r="117">
      <c r="A117" t="n">
        <v>106</v>
      </c>
      <c r="B117">
        <f>EDATE(Plan!$C$6,105)</f>
        <v/>
      </c>
      <c r="C117">
        <f>IF(C116&lt;=0,0,MAX(0,AH117-O117))</f>
        <v/>
      </c>
      <c r="D117">
        <f>IF(D116&lt;=0,0,MAX(0,AI117-P117))</f>
        <v/>
      </c>
      <c r="E117">
        <f>IF(E116&lt;=0,0,MAX(0,AJ117-Q117))</f>
        <v/>
      </c>
      <c r="F117">
        <f>IF(F116&lt;=0,0,MAX(0,AK117-R117))</f>
        <v/>
      </c>
      <c r="G117">
        <f>IF(G116&lt;=0,0,MAX(0,AL117-S117))</f>
        <v/>
      </c>
      <c r="H117">
        <f>IF(H116&lt;=0,0,MAX(0,AM117-T117))</f>
        <v/>
      </c>
      <c r="I117">
        <f>IF(I116&lt;=0,0,MAX(0,AN117-U117))</f>
        <v/>
      </c>
      <c r="J117">
        <f>IF(J116&lt;=0,0,MAX(0,AO117-V117))</f>
        <v/>
      </c>
      <c r="K117">
        <f>IF(K116&lt;=0,0,MAX(0,AP117-W117))</f>
        <v/>
      </c>
      <c r="L117">
        <f>IF(L116&lt;=0,0,MAX(0,AQ117-X117))</f>
        <v/>
      </c>
      <c r="M117">
        <f>IF(M116&lt;=0,0,MAX(0,AR117-Y117))</f>
        <v/>
      </c>
      <c r="N117">
        <f>IF(N116&lt;=0,0,MAX(0,AS117-Z117))</f>
        <v/>
      </c>
      <c r="O117">
        <f>IF(C116&lt;=0,0,MIN(AH117,C$7+IF(C$2=$AA117,$AC117,IF(C$2=$AF117,$AG117,0))))</f>
        <v/>
      </c>
      <c r="P117">
        <f>IF(D116&lt;=0,0,MIN(AI117,D$7+IF(D$2=$AA117,$AC117,IF(D$2=$AF117,$AG117,0))))</f>
        <v/>
      </c>
      <c r="Q117">
        <f>IF(E116&lt;=0,0,MIN(AJ117,E$7+IF(E$2=$AA117,$AC117,IF(E$2=$AF117,$AG117,0))))</f>
        <v/>
      </c>
      <c r="R117">
        <f>IF(F116&lt;=0,0,MIN(AK117,F$7+IF(F$2=$AA117,$AC117,IF(F$2=$AF117,$AG117,0))))</f>
        <v/>
      </c>
      <c r="S117">
        <f>IF(G116&lt;=0,0,MIN(AL117,G$7+IF(G$2=$AA117,$AC117,IF(G$2=$AF117,$AG117,0))))</f>
        <v/>
      </c>
      <c r="T117">
        <f>IF(H116&lt;=0,0,MIN(AM117,H$7+IF(H$2=$AA117,$AC117,IF(H$2=$AF117,$AG117,0))))</f>
        <v/>
      </c>
      <c r="U117">
        <f>IF(I116&lt;=0,0,MIN(AN117,I$7+IF(I$2=$AA117,$AC117,IF(I$2=$AF117,$AG117,0))))</f>
        <v/>
      </c>
      <c r="V117">
        <f>IF(J116&lt;=0,0,MIN(AO117,J$7+IF(J$2=$AA117,$AC117,IF(J$2=$AF117,$AG117,0))))</f>
        <v/>
      </c>
      <c r="W117">
        <f>IF(K116&lt;=0,0,MIN(AP117,K$7+IF(K$2=$AA117,$AC117,IF(K$2=$AF117,$AG117,0))))</f>
        <v/>
      </c>
      <c r="X117">
        <f>IF(L116&lt;=0,0,MIN(AQ117,L$7+IF(L$2=$AA117,$AC117,IF(L$2=$AF117,$AG117,0))))</f>
        <v/>
      </c>
      <c r="Y117">
        <f>IF(M116&lt;=0,0,MIN(AR117,M$7+IF(M$2=$AA117,$AC117,IF(M$2=$AF117,$AG117,0))))</f>
        <v/>
      </c>
      <c r="Z117">
        <f>IF(N116&lt;=0,0,MIN(AS117,N$7+IF(N$2=$AA117,$AC117,IF(N$2=$AF117,$AG117,0))))</f>
        <v/>
      </c>
      <c r="AA117">
        <f>IFERROR(ROUND(1/SUMPRODUCT(MAX((C116:N116&gt;0)*($C$3:$N$3&lt;=B117)/$C$2:$N$2)),0),0)</f>
        <v/>
      </c>
      <c r="AB117">
        <f>SUMPRODUCT((C116:N116&gt;0)*$C$7:$N$7)</f>
        <v/>
      </c>
      <c r="AC117">
        <f>MAX(0,Plan!$C$5-AB117)+IF(A117=Plan!$C$8,N(Plan!$C$7),0)</f>
        <v/>
      </c>
      <c r="AD117">
        <f>SUM(C117:N117)</f>
        <v/>
      </c>
      <c r="AE117">
        <f>SUM(O117:Z117)</f>
        <v/>
      </c>
      <c r="AF117">
        <f>IFERROR(ROUND(1/SUMPRODUCT(MAX((C116:N116&gt;0)*($C$3:$N$3&lt;=B117)*($C$2:$N$2&gt;AA117)/$C$2:$N$2)),0),0)</f>
        <v/>
      </c>
      <c r="AG117">
        <f>MAX(0,AC117-MAX(0,SUMPRODUCT(($C$2:$N$2=AA117)*(AH117:AS117-$C$7:$N$7))))</f>
        <v/>
      </c>
      <c r="AH117">
        <f>IF(C116&lt;=0,0,ROUND(C116*(1+IF(AND(C$6&gt;0,$B117&lt;C$6),C$4,C$5)/12),2))</f>
        <v/>
      </c>
      <c r="AI117">
        <f>IF(D116&lt;=0,0,ROUND(D116*(1+IF(AND(D$6&gt;0,$B117&lt;D$6),D$4,D$5)/12),2))</f>
        <v/>
      </c>
      <c r="AJ117">
        <f>IF(E116&lt;=0,0,ROUND(E116*(1+IF(AND(E$6&gt;0,$B117&lt;E$6),E$4,E$5)/12),2))</f>
        <v/>
      </c>
      <c r="AK117">
        <f>IF(F116&lt;=0,0,ROUND(F116*(1+IF(AND(F$6&gt;0,$B117&lt;F$6),F$4,F$5)/12),2))</f>
        <v/>
      </c>
      <c r="AL117">
        <f>IF(G116&lt;=0,0,ROUND(G116*(1+IF(AND(G$6&gt;0,$B117&lt;G$6),G$4,G$5)/12),2))</f>
        <v/>
      </c>
      <c r="AM117">
        <f>IF(H116&lt;=0,0,ROUND(H116*(1+IF(AND(H$6&gt;0,$B117&lt;H$6),H$4,H$5)/12),2))</f>
        <v/>
      </c>
      <c r="AN117">
        <f>IF(I116&lt;=0,0,ROUND(I116*(1+IF(AND(I$6&gt;0,$B117&lt;I$6),I$4,I$5)/12),2))</f>
        <v/>
      </c>
      <c r="AO117">
        <f>IF(J116&lt;=0,0,ROUND(J116*(1+IF(AND(J$6&gt;0,$B117&lt;J$6),J$4,J$5)/12),2))</f>
        <v/>
      </c>
      <c r="AP117">
        <f>IF(K116&lt;=0,0,ROUND(K116*(1+IF(AND(K$6&gt;0,$B117&lt;K$6),K$4,K$5)/12),2))</f>
        <v/>
      </c>
      <c r="AQ117">
        <f>IF(L116&lt;=0,0,ROUND(L116*(1+IF(AND(L$6&gt;0,$B117&lt;L$6),L$4,L$5)/12),2))</f>
        <v/>
      </c>
      <c r="AR117">
        <f>IF(M116&lt;=0,0,ROUND(M116*(1+IF(AND(M$6&gt;0,$B117&lt;M$6),M$4,M$5)/12),2))</f>
        <v/>
      </c>
      <c r="AS117">
        <f>IF(N116&lt;=0,0,ROUND(N116*(1+IF(AND(N$6&gt;0,$B117&lt;N$6),N$4,N$5)/12),2))</f>
        <v/>
      </c>
    </row>
    <row r="118">
      <c r="A118" t="n">
        <v>107</v>
      </c>
      <c r="B118">
        <f>EDATE(Plan!$C$6,106)</f>
        <v/>
      </c>
      <c r="C118">
        <f>IF(C117&lt;=0,0,MAX(0,AH118-O118))</f>
        <v/>
      </c>
      <c r="D118">
        <f>IF(D117&lt;=0,0,MAX(0,AI118-P118))</f>
        <v/>
      </c>
      <c r="E118">
        <f>IF(E117&lt;=0,0,MAX(0,AJ118-Q118))</f>
        <v/>
      </c>
      <c r="F118">
        <f>IF(F117&lt;=0,0,MAX(0,AK118-R118))</f>
        <v/>
      </c>
      <c r="G118">
        <f>IF(G117&lt;=0,0,MAX(0,AL118-S118))</f>
        <v/>
      </c>
      <c r="H118">
        <f>IF(H117&lt;=0,0,MAX(0,AM118-T118))</f>
        <v/>
      </c>
      <c r="I118">
        <f>IF(I117&lt;=0,0,MAX(0,AN118-U118))</f>
        <v/>
      </c>
      <c r="J118">
        <f>IF(J117&lt;=0,0,MAX(0,AO118-V118))</f>
        <v/>
      </c>
      <c r="K118">
        <f>IF(K117&lt;=0,0,MAX(0,AP118-W118))</f>
        <v/>
      </c>
      <c r="L118">
        <f>IF(L117&lt;=0,0,MAX(0,AQ118-X118))</f>
        <v/>
      </c>
      <c r="M118">
        <f>IF(M117&lt;=0,0,MAX(0,AR118-Y118))</f>
        <v/>
      </c>
      <c r="N118">
        <f>IF(N117&lt;=0,0,MAX(0,AS118-Z118))</f>
        <v/>
      </c>
      <c r="O118">
        <f>IF(C117&lt;=0,0,MIN(AH118,C$7+IF(C$2=$AA118,$AC118,IF(C$2=$AF118,$AG118,0))))</f>
        <v/>
      </c>
      <c r="P118">
        <f>IF(D117&lt;=0,0,MIN(AI118,D$7+IF(D$2=$AA118,$AC118,IF(D$2=$AF118,$AG118,0))))</f>
        <v/>
      </c>
      <c r="Q118">
        <f>IF(E117&lt;=0,0,MIN(AJ118,E$7+IF(E$2=$AA118,$AC118,IF(E$2=$AF118,$AG118,0))))</f>
        <v/>
      </c>
      <c r="R118">
        <f>IF(F117&lt;=0,0,MIN(AK118,F$7+IF(F$2=$AA118,$AC118,IF(F$2=$AF118,$AG118,0))))</f>
        <v/>
      </c>
      <c r="S118">
        <f>IF(G117&lt;=0,0,MIN(AL118,G$7+IF(G$2=$AA118,$AC118,IF(G$2=$AF118,$AG118,0))))</f>
        <v/>
      </c>
      <c r="T118">
        <f>IF(H117&lt;=0,0,MIN(AM118,H$7+IF(H$2=$AA118,$AC118,IF(H$2=$AF118,$AG118,0))))</f>
        <v/>
      </c>
      <c r="U118">
        <f>IF(I117&lt;=0,0,MIN(AN118,I$7+IF(I$2=$AA118,$AC118,IF(I$2=$AF118,$AG118,0))))</f>
        <v/>
      </c>
      <c r="V118">
        <f>IF(J117&lt;=0,0,MIN(AO118,J$7+IF(J$2=$AA118,$AC118,IF(J$2=$AF118,$AG118,0))))</f>
        <v/>
      </c>
      <c r="W118">
        <f>IF(K117&lt;=0,0,MIN(AP118,K$7+IF(K$2=$AA118,$AC118,IF(K$2=$AF118,$AG118,0))))</f>
        <v/>
      </c>
      <c r="X118">
        <f>IF(L117&lt;=0,0,MIN(AQ118,L$7+IF(L$2=$AA118,$AC118,IF(L$2=$AF118,$AG118,0))))</f>
        <v/>
      </c>
      <c r="Y118">
        <f>IF(M117&lt;=0,0,MIN(AR118,M$7+IF(M$2=$AA118,$AC118,IF(M$2=$AF118,$AG118,0))))</f>
        <v/>
      </c>
      <c r="Z118">
        <f>IF(N117&lt;=0,0,MIN(AS118,N$7+IF(N$2=$AA118,$AC118,IF(N$2=$AF118,$AG118,0))))</f>
        <v/>
      </c>
      <c r="AA118">
        <f>IFERROR(ROUND(1/SUMPRODUCT(MAX((C117:N117&gt;0)*($C$3:$N$3&lt;=B118)/$C$2:$N$2)),0),0)</f>
        <v/>
      </c>
      <c r="AB118">
        <f>SUMPRODUCT((C117:N117&gt;0)*$C$7:$N$7)</f>
        <v/>
      </c>
      <c r="AC118">
        <f>MAX(0,Plan!$C$5-AB118)+IF(A118=Plan!$C$8,N(Plan!$C$7),0)</f>
        <v/>
      </c>
      <c r="AD118">
        <f>SUM(C118:N118)</f>
        <v/>
      </c>
      <c r="AE118">
        <f>SUM(O118:Z118)</f>
        <v/>
      </c>
      <c r="AF118">
        <f>IFERROR(ROUND(1/SUMPRODUCT(MAX((C117:N117&gt;0)*($C$3:$N$3&lt;=B118)*($C$2:$N$2&gt;AA118)/$C$2:$N$2)),0),0)</f>
        <v/>
      </c>
      <c r="AG118">
        <f>MAX(0,AC118-MAX(0,SUMPRODUCT(($C$2:$N$2=AA118)*(AH118:AS118-$C$7:$N$7))))</f>
        <v/>
      </c>
      <c r="AH118">
        <f>IF(C117&lt;=0,0,ROUND(C117*(1+IF(AND(C$6&gt;0,$B118&lt;C$6),C$4,C$5)/12),2))</f>
        <v/>
      </c>
      <c r="AI118">
        <f>IF(D117&lt;=0,0,ROUND(D117*(1+IF(AND(D$6&gt;0,$B118&lt;D$6),D$4,D$5)/12),2))</f>
        <v/>
      </c>
      <c r="AJ118">
        <f>IF(E117&lt;=0,0,ROUND(E117*(1+IF(AND(E$6&gt;0,$B118&lt;E$6),E$4,E$5)/12),2))</f>
        <v/>
      </c>
      <c r="AK118">
        <f>IF(F117&lt;=0,0,ROUND(F117*(1+IF(AND(F$6&gt;0,$B118&lt;F$6),F$4,F$5)/12),2))</f>
        <v/>
      </c>
      <c r="AL118">
        <f>IF(G117&lt;=0,0,ROUND(G117*(1+IF(AND(G$6&gt;0,$B118&lt;G$6),G$4,G$5)/12),2))</f>
        <v/>
      </c>
      <c r="AM118">
        <f>IF(H117&lt;=0,0,ROUND(H117*(1+IF(AND(H$6&gt;0,$B118&lt;H$6),H$4,H$5)/12),2))</f>
        <v/>
      </c>
      <c r="AN118">
        <f>IF(I117&lt;=0,0,ROUND(I117*(1+IF(AND(I$6&gt;0,$B118&lt;I$6),I$4,I$5)/12),2))</f>
        <v/>
      </c>
      <c r="AO118">
        <f>IF(J117&lt;=0,0,ROUND(J117*(1+IF(AND(J$6&gt;0,$B118&lt;J$6),J$4,J$5)/12),2))</f>
        <v/>
      </c>
      <c r="AP118">
        <f>IF(K117&lt;=0,0,ROUND(K117*(1+IF(AND(K$6&gt;0,$B118&lt;K$6),K$4,K$5)/12),2))</f>
        <v/>
      </c>
      <c r="AQ118">
        <f>IF(L117&lt;=0,0,ROUND(L117*(1+IF(AND(L$6&gt;0,$B118&lt;L$6),L$4,L$5)/12),2))</f>
        <v/>
      </c>
      <c r="AR118">
        <f>IF(M117&lt;=0,0,ROUND(M117*(1+IF(AND(M$6&gt;0,$B118&lt;M$6),M$4,M$5)/12),2))</f>
        <v/>
      </c>
      <c r="AS118">
        <f>IF(N117&lt;=0,0,ROUND(N117*(1+IF(AND(N$6&gt;0,$B118&lt;N$6),N$4,N$5)/12),2))</f>
        <v/>
      </c>
    </row>
    <row r="119">
      <c r="A119" t="n">
        <v>108</v>
      </c>
      <c r="B119">
        <f>EDATE(Plan!$C$6,107)</f>
        <v/>
      </c>
      <c r="C119">
        <f>IF(C118&lt;=0,0,MAX(0,AH119-O119))</f>
        <v/>
      </c>
      <c r="D119">
        <f>IF(D118&lt;=0,0,MAX(0,AI119-P119))</f>
        <v/>
      </c>
      <c r="E119">
        <f>IF(E118&lt;=0,0,MAX(0,AJ119-Q119))</f>
        <v/>
      </c>
      <c r="F119">
        <f>IF(F118&lt;=0,0,MAX(0,AK119-R119))</f>
        <v/>
      </c>
      <c r="G119">
        <f>IF(G118&lt;=0,0,MAX(0,AL119-S119))</f>
        <v/>
      </c>
      <c r="H119">
        <f>IF(H118&lt;=0,0,MAX(0,AM119-T119))</f>
        <v/>
      </c>
      <c r="I119">
        <f>IF(I118&lt;=0,0,MAX(0,AN119-U119))</f>
        <v/>
      </c>
      <c r="J119">
        <f>IF(J118&lt;=0,0,MAX(0,AO119-V119))</f>
        <v/>
      </c>
      <c r="K119">
        <f>IF(K118&lt;=0,0,MAX(0,AP119-W119))</f>
        <v/>
      </c>
      <c r="L119">
        <f>IF(L118&lt;=0,0,MAX(0,AQ119-X119))</f>
        <v/>
      </c>
      <c r="M119">
        <f>IF(M118&lt;=0,0,MAX(0,AR119-Y119))</f>
        <v/>
      </c>
      <c r="N119">
        <f>IF(N118&lt;=0,0,MAX(0,AS119-Z119))</f>
        <v/>
      </c>
      <c r="O119">
        <f>IF(C118&lt;=0,0,MIN(AH119,C$7+IF(C$2=$AA119,$AC119,IF(C$2=$AF119,$AG119,0))))</f>
        <v/>
      </c>
      <c r="P119">
        <f>IF(D118&lt;=0,0,MIN(AI119,D$7+IF(D$2=$AA119,$AC119,IF(D$2=$AF119,$AG119,0))))</f>
        <v/>
      </c>
      <c r="Q119">
        <f>IF(E118&lt;=0,0,MIN(AJ119,E$7+IF(E$2=$AA119,$AC119,IF(E$2=$AF119,$AG119,0))))</f>
        <v/>
      </c>
      <c r="R119">
        <f>IF(F118&lt;=0,0,MIN(AK119,F$7+IF(F$2=$AA119,$AC119,IF(F$2=$AF119,$AG119,0))))</f>
        <v/>
      </c>
      <c r="S119">
        <f>IF(G118&lt;=0,0,MIN(AL119,G$7+IF(G$2=$AA119,$AC119,IF(G$2=$AF119,$AG119,0))))</f>
        <v/>
      </c>
      <c r="T119">
        <f>IF(H118&lt;=0,0,MIN(AM119,H$7+IF(H$2=$AA119,$AC119,IF(H$2=$AF119,$AG119,0))))</f>
        <v/>
      </c>
      <c r="U119">
        <f>IF(I118&lt;=0,0,MIN(AN119,I$7+IF(I$2=$AA119,$AC119,IF(I$2=$AF119,$AG119,0))))</f>
        <v/>
      </c>
      <c r="V119">
        <f>IF(J118&lt;=0,0,MIN(AO119,J$7+IF(J$2=$AA119,$AC119,IF(J$2=$AF119,$AG119,0))))</f>
        <v/>
      </c>
      <c r="W119">
        <f>IF(K118&lt;=0,0,MIN(AP119,K$7+IF(K$2=$AA119,$AC119,IF(K$2=$AF119,$AG119,0))))</f>
        <v/>
      </c>
      <c r="X119">
        <f>IF(L118&lt;=0,0,MIN(AQ119,L$7+IF(L$2=$AA119,$AC119,IF(L$2=$AF119,$AG119,0))))</f>
        <v/>
      </c>
      <c r="Y119">
        <f>IF(M118&lt;=0,0,MIN(AR119,M$7+IF(M$2=$AA119,$AC119,IF(M$2=$AF119,$AG119,0))))</f>
        <v/>
      </c>
      <c r="Z119">
        <f>IF(N118&lt;=0,0,MIN(AS119,N$7+IF(N$2=$AA119,$AC119,IF(N$2=$AF119,$AG119,0))))</f>
        <v/>
      </c>
      <c r="AA119">
        <f>IFERROR(ROUND(1/SUMPRODUCT(MAX((C118:N118&gt;0)*($C$3:$N$3&lt;=B119)/$C$2:$N$2)),0),0)</f>
        <v/>
      </c>
      <c r="AB119">
        <f>SUMPRODUCT((C118:N118&gt;0)*$C$7:$N$7)</f>
        <v/>
      </c>
      <c r="AC119">
        <f>MAX(0,Plan!$C$5-AB119)+IF(A119=Plan!$C$8,N(Plan!$C$7),0)</f>
        <v/>
      </c>
      <c r="AD119">
        <f>SUM(C119:N119)</f>
        <v/>
      </c>
      <c r="AE119">
        <f>SUM(O119:Z119)</f>
        <v/>
      </c>
      <c r="AF119">
        <f>IFERROR(ROUND(1/SUMPRODUCT(MAX((C118:N118&gt;0)*($C$3:$N$3&lt;=B119)*($C$2:$N$2&gt;AA119)/$C$2:$N$2)),0),0)</f>
        <v/>
      </c>
      <c r="AG119">
        <f>MAX(0,AC119-MAX(0,SUMPRODUCT(($C$2:$N$2=AA119)*(AH119:AS119-$C$7:$N$7))))</f>
        <v/>
      </c>
      <c r="AH119">
        <f>IF(C118&lt;=0,0,ROUND(C118*(1+IF(AND(C$6&gt;0,$B119&lt;C$6),C$4,C$5)/12),2))</f>
        <v/>
      </c>
      <c r="AI119">
        <f>IF(D118&lt;=0,0,ROUND(D118*(1+IF(AND(D$6&gt;0,$B119&lt;D$6),D$4,D$5)/12),2))</f>
        <v/>
      </c>
      <c r="AJ119">
        <f>IF(E118&lt;=0,0,ROUND(E118*(1+IF(AND(E$6&gt;0,$B119&lt;E$6),E$4,E$5)/12),2))</f>
        <v/>
      </c>
      <c r="AK119">
        <f>IF(F118&lt;=0,0,ROUND(F118*(1+IF(AND(F$6&gt;0,$B119&lt;F$6),F$4,F$5)/12),2))</f>
        <v/>
      </c>
      <c r="AL119">
        <f>IF(G118&lt;=0,0,ROUND(G118*(1+IF(AND(G$6&gt;0,$B119&lt;G$6),G$4,G$5)/12),2))</f>
        <v/>
      </c>
      <c r="AM119">
        <f>IF(H118&lt;=0,0,ROUND(H118*(1+IF(AND(H$6&gt;0,$B119&lt;H$6),H$4,H$5)/12),2))</f>
        <v/>
      </c>
      <c r="AN119">
        <f>IF(I118&lt;=0,0,ROUND(I118*(1+IF(AND(I$6&gt;0,$B119&lt;I$6),I$4,I$5)/12),2))</f>
        <v/>
      </c>
      <c r="AO119">
        <f>IF(J118&lt;=0,0,ROUND(J118*(1+IF(AND(J$6&gt;0,$B119&lt;J$6),J$4,J$5)/12),2))</f>
        <v/>
      </c>
      <c r="AP119">
        <f>IF(K118&lt;=0,0,ROUND(K118*(1+IF(AND(K$6&gt;0,$B119&lt;K$6),K$4,K$5)/12),2))</f>
        <v/>
      </c>
      <c r="AQ119">
        <f>IF(L118&lt;=0,0,ROUND(L118*(1+IF(AND(L$6&gt;0,$B119&lt;L$6),L$4,L$5)/12),2))</f>
        <v/>
      </c>
      <c r="AR119">
        <f>IF(M118&lt;=0,0,ROUND(M118*(1+IF(AND(M$6&gt;0,$B119&lt;M$6),M$4,M$5)/12),2))</f>
        <v/>
      </c>
      <c r="AS119">
        <f>IF(N118&lt;=0,0,ROUND(N118*(1+IF(AND(N$6&gt;0,$B119&lt;N$6),N$4,N$5)/12),2))</f>
        <v/>
      </c>
    </row>
    <row r="120">
      <c r="A120" t="n">
        <v>109</v>
      </c>
      <c r="B120">
        <f>EDATE(Plan!$C$6,108)</f>
        <v/>
      </c>
      <c r="C120">
        <f>IF(C119&lt;=0,0,MAX(0,AH120-O120))</f>
        <v/>
      </c>
      <c r="D120">
        <f>IF(D119&lt;=0,0,MAX(0,AI120-P120))</f>
        <v/>
      </c>
      <c r="E120">
        <f>IF(E119&lt;=0,0,MAX(0,AJ120-Q120))</f>
        <v/>
      </c>
      <c r="F120">
        <f>IF(F119&lt;=0,0,MAX(0,AK120-R120))</f>
        <v/>
      </c>
      <c r="G120">
        <f>IF(G119&lt;=0,0,MAX(0,AL120-S120))</f>
        <v/>
      </c>
      <c r="H120">
        <f>IF(H119&lt;=0,0,MAX(0,AM120-T120))</f>
        <v/>
      </c>
      <c r="I120">
        <f>IF(I119&lt;=0,0,MAX(0,AN120-U120))</f>
        <v/>
      </c>
      <c r="J120">
        <f>IF(J119&lt;=0,0,MAX(0,AO120-V120))</f>
        <v/>
      </c>
      <c r="K120">
        <f>IF(K119&lt;=0,0,MAX(0,AP120-W120))</f>
        <v/>
      </c>
      <c r="L120">
        <f>IF(L119&lt;=0,0,MAX(0,AQ120-X120))</f>
        <v/>
      </c>
      <c r="M120">
        <f>IF(M119&lt;=0,0,MAX(0,AR120-Y120))</f>
        <v/>
      </c>
      <c r="N120">
        <f>IF(N119&lt;=0,0,MAX(0,AS120-Z120))</f>
        <v/>
      </c>
      <c r="O120">
        <f>IF(C119&lt;=0,0,MIN(AH120,C$7+IF(C$2=$AA120,$AC120,IF(C$2=$AF120,$AG120,0))))</f>
        <v/>
      </c>
      <c r="P120">
        <f>IF(D119&lt;=0,0,MIN(AI120,D$7+IF(D$2=$AA120,$AC120,IF(D$2=$AF120,$AG120,0))))</f>
        <v/>
      </c>
      <c r="Q120">
        <f>IF(E119&lt;=0,0,MIN(AJ120,E$7+IF(E$2=$AA120,$AC120,IF(E$2=$AF120,$AG120,0))))</f>
        <v/>
      </c>
      <c r="R120">
        <f>IF(F119&lt;=0,0,MIN(AK120,F$7+IF(F$2=$AA120,$AC120,IF(F$2=$AF120,$AG120,0))))</f>
        <v/>
      </c>
      <c r="S120">
        <f>IF(G119&lt;=0,0,MIN(AL120,G$7+IF(G$2=$AA120,$AC120,IF(G$2=$AF120,$AG120,0))))</f>
        <v/>
      </c>
      <c r="T120">
        <f>IF(H119&lt;=0,0,MIN(AM120,H$7+IF(H$2=$AA120,$AC120,IF(H$2=$AF120,$AG120,0))))</f>
        <v/>
      </c>
      <c r="U120">
        <f>IF(I119&lt;=0,0,MIN(AN120,I$7+IF(I$2=$AA120,$AC120,IF(I$2=$AF120,$AG120,0))))</f>
        <v/>
      </c>
      <c r="V120">
        <f>IF(J119&lt;=0,0,MIN(AO120,J$7+IF(J$2=$AA120,$AC120,IF(J$2=$AF120,$AG120,0))))</f>
        <v/>
      </c>
      <c r="W120">
        <f>IF(K119&lt;=0,0,MIN(AP120,K$7+IF(K$2=$AA120,$AC120,IF(K$2=$AF120,$AG120,0))))</f>
        <v/>
      </c>
      <c r="X120">
        <f>IF(L119&lt;=0,0,MIN(AQ120,L$7+IF(L$2=$AA120,$AC120,IF(L$2=$AF120,$AG120,0))))</f>
        <v/>
      </c>
      <c r="Y120">
        <f>IF(M119&lt;=0,0,MIN(AR120,M$7+IF(M$2=$AA120,$AC120,IF(M$2=$AF120,$AG120,0))))</f>
        <v/>
      </c>
      <c r="Z120">
        <f>IF(N119&lt;=0,0,MIN(AS120,N$7+IF(N$2=$AA120,$AC120,IF(N$2=$AF120,$AG120,0))))</f>
        <v/>
      </c>
      <c r="AA120">
        <f>IFERROR(ROUND(1/SUMPRODUCT(MAX((C119:N119&gt;0)*($C$3:$N$3&lt;=B120)/$C$2:$N$2)),0),0)</f>
        <v/>
      </c>
      <c r="AB120">
        <f>SUMPRODUCT((C119:N119&gt;0)*$C$7:$N$7)</f>
        <v/>
      </c>
      <c r="AC120">
        <f>MAX(0,Plan!$C$5-AB120)+IF(A120=Plan!$C$8,N(Plan!$C$7),0)</f>
        <v/>
      </c>
      <c r="AD120">
        <f>SUM(C120:N120)</f>
        <v/>
      </c>
      <c r="AE120">
        <f>SUM(O120:Z120)</f>
        <v/>
      </c>
      <c r="AF120">
        <f>IFERROR(ROUND(1/SUMPRODUCT(MAX((C119:N119&gt;0)*($C$3:$N$3&lt;=B120)*($C$2:$N$2&gt;AA120)/$C$2:$N$2)),0),0)</f>
        <v/>
      </c>
      <c r="AG120">
        <f>MAX(0,AC120-MAX(0,SUMPRODUCT(($C$2:$N$2=AA120)*(AH120:AS120-$C$7:$N$7))))</f>
        <v/>
      </c>
      <c r="AH120">
        <f>IF(C119&lt;=0,0,ROUND(C119*(1+IF(AND(C$6&gt;0,$B120&lt;C$6),C$4,C$5)/12),2))</f>
        <v/>
      </c>
      <c r="AI120">
        <f>IF(D119&lt;=0,0,ROUND(D119*(1+IF(AND(D$6&gt;0,$B120&lt;D$6),D$4,D$5)/12),2))</f>
        <v/>
      </c>
      <c r="AJ120">
        <f>IF(E119&lt;=0,0,ROUND(E119*(1+IF(AND(E$6&gt;0,$B120&lt;E$6),E$4,E$5)/12),2))</f>
        <v/>
      </c>
      <c r="AK120">
        <f>IF(F119&lt;=0,0,ROUND(F119*(1+IF(AND(F$6&gt;0,$B120&lt;F$6),F$4,F$5)/12),2))</f>
        <v/>
      </c>
      <c r="AL120">
        <f>IF(G119&lt;=0,0,ROUND(G119*(1+IF(AND(G$6&gt;0,$B120&lt;G$6),G$4,G$5)/12),2))</f>
        <v/>
      </c>
      <c r="AM120">
        <f>IF(H119&lt;=0,0,ROUND(H119*(1+IF(AND(H$6&gt;0,$B120&lt;H$6),H$4,H$5)/12),2))</f>
        <v/>
      </c>
      <c r="AN120">
        <f>IF(I119&lt;=0,0,ROUND(I119*(1+IF(AND(I$6&gt;0,$B120&lt;I$6),I$4,I$5)/12),2))</f>
        <v/>
      </c>
      <c r="AO120">
        <f>IF(J119&lt;=0,0,ROUND(J119*(1+IF(AND(J$6&gt;0,$B120&lt;J$6),J$4,J$5)/12),2))</f>
        <v/>
      </c>
      <c r="AP120">
        <f>IF(K119&lt;=0,0,ROUND(K119*(1+IF(AND(K$6&gt;0,$B120&lt;K$6),K$4,K$5)/12),2))</f>
        <v/>
      </c>
      <c r="AQ120">
        <f>IF(L119&lt;=0,0,ROUND(L119*(1+IF(AND(L$6&gt;0,$B120&lt;L$6),L$4,L$5)/12),2))</f>
        <v/>
      </c>
      <c r="AR120">
        <f>IF(M119&lt;=0,0,ROUND(M119*(1+IF(AND(M$6&gt;0,$B120&lt;M$6),M$4,M$5)/12),2))</f>
        <v/>
      </c>
      <c r="AS120">
        <f>IF(N119&lt;=0,0,ROUND(N119*(1+IF(AND(N$6&gt;0,$B120&lt;N$6),N$4,N$5)/12),2))</f>
        <v/>
      </c>
    </row>
    <row r="121">
      <c r="A121" t="n">
        <v>110</v>
      </c>
      <c r="B121">
        <f>EDATE(Plan!$C$6,109)</f>
        <v/>
      </c>
      <c r="C121">
        <f>IF(C120&lt;=0,0,MAX(0,AH121-O121))</f>
        <v/>
      </c>
      <c r="D121">
        <f>IF(D120&lt;=0,0,MAX(0,AI121-P121))</f>
        <v/>
      </c>
      <c r="E121">
        <f>IF(E120&lt;=0,0,MAX(0,AJ121-Q121))</f>
        <v/>
      </c>
      <c r="F121">
        <f>IF(F120&lt;=0,0,MAX(0,AK121-R121))</f>
        <v/>
      </c>
      <c r="G121">
        <f>IF(G120&lt;=0,0,MAX(0,AL121-S121))</f>
        <v/>
      </c>
      <c r="H121">
        <f>IF(H120&lt;=0,0,MAX(0,AM121-T121))</f>
        <v/>
      </c>
      <c r="I121">
        <f>IF(I120&lt;=0,0,MAX(0,AN121-U121))</f>
        <v/>
      </c>
      <c r="J121">
        <f>IF(J120&lt;=0,0,MAX(0,AO121-V121))</f>
        <v/>
      </c>
      <c r="K121">
        <f>IF(K120&lt;=0,0,MAX(0,AP121-W121))</f>
        <v/>
      </c>
      <c r="L121">
        <f>IF(L120&lt;=0,0,MAX(0,AQ121-X121))</f>
        <v/>
      </c>
      <c r="M121">
        <f>IF(M120&lt;=0,0,MAX(0,AR121-Y121))</f>
        <v/>
      </c>
      <c r="N121">
        <f>IF(N120&lt;=0,0,MAX(0,AS121-Z121))</f>
        <v/>
      </c>
      <c r="O121">
        <f>IF(C120&lt;=0,0,MIN(AH121,C$7+IF(C$2=$AA121,$AC121,IF(C$2=$AF121,$AG121,0))))</f>
        <v/>
      </c>
      <c r="P121">
        <f>IF(D120&lt;=0,0,MIN(AI121,D$7+IF(D$2=$AA121,$AC121,IF(D$2=$AF121,$AG121,0))))</f>
        <v/>
      </c>
      <c r="Q121">
        <f>IF(E120&lt;=0,0,MIN(AJ121,E$7+IF(E$2=$AA121,$AC121,IF(E$2=$AF121,$AG121,0))))</f>
        <v/>
      </c>
      <c r="R121">
        <f>IF(F120&lt;=0,0,MIN(AK121,F$7+IF(F$2=$AA121,$AC121,IF(F$2=$AF121,$AG121,0))))</f>
        <v/>
      </c>
      <c r="S121">
        <f>IF(G120&lt;=0,0,MIN(AL121,G$7+IF(G$2=$AA121,$AC121,IF(G$2=$AF121,$AG121,0))))</f>
        <v/>
      </c>
      <c r="T121">
        <f>IF(H120&lt;=0,0,MIN(AM121,H$7+IF(H$2=$AA121,$AC121,IF(H$2=$AF121,$AG121,0))))</f>
        <v/>
      </c>
      <c r="U121">
        <f>IF(I120&lt;=0,0,MIN(AN121,I$7+IF(I$2=$AA121,$AC121,IF(I$2=$AF121,$AG121,0))))</f>
        <v/>
      </c>
      <c r="V121">
        <f>IF(J120&lt;=0,0,MIN(AO121,J$7+IF(J$2=$AA121,$AC121,IF(J$2=$AF121,$AG121,0))))</f>
        <v/>
      </c>
      <c r="W121">
        <f>IF(K120&lt;=0,0,MIN(AP121,K$7+IF(K$2=$AA121,$AC121,IF(K$2=$AF121,$AG121,0))))</f>
        <v/>
      </c>
      <c r="X121">
        <f>IF(L120&lt;=0,0,MIN(AQ121,L$7+IF(L$2=$AA121,$AC121,IF(L$2=$AF121,$AG121,0))))</f>
        <v/>
      </c>
      <c r="Y121">
        <f>IF(M120&lt;=0,0,MIN(AR121,M$7+IF(M$2=$AA121,$AC121,IF(M$2=$AF121,$AG121,0))))</f>
        <v/>
      </c>
      <c r="Z121">
        <f>IF(N120&lt;=0,0,MIN(AS121,N$7+IF(N$2=$AA121,$AC121,IF(N$2=$AF121,$AG121,0))))</f>
        <v/>
      </c>
      <c r="AA121">
        <f>IFERROR(ROUND(1/SUMPRODUCT(MAX((C120:N120&gt;0)*($C$3:$N$3&lt;=B121)/$C$2:$N$2)),0),0)</f>
        <v/>
      </c>
      <c r="AB121">
        <f>SUMPRODUCT((C120:N120&gt;0)*$C$7:$N$7)</f>
        <v/>
      </c>
      <c r="AC121">
        <f>MAX(0,Plan!$C$5-AB121)+IF(A121=Plan!$C$8,N(Plan!$C$7),0)</f>
        <v/>
      </c>
      <c r="AD121">
        <f>SUM(C121:N121)</f>
        <v/>
      </c>
      <c r="AE121">
        <f>SUM(O121:Z121)</f>
        <v/>
      </c>
      <c r="AF121">
        <f>IFERROR(ROUND(1/SUMPRODUCT(MAX((C120:N120&gt;0)*($C$3:$N$3&lt;=B121)*($C$2:$N$2&gt;AA121)/$C$2:$N$2)),0),0)</f>
        <v/>
      </c>
      <c r="AG121">
        <f>MAX(0,AC121-MAX(0,SUMPRODUCT(($C$2:$N$2=AA121)*(AH121:AS121-$C$7:$N$7))))</f>
        <v/>
      </c>
      <c r="AH121">
        <f>IF(C120&lt;=0,0,ROUND(C120*(1+IF(AND(C$6&gt;0,$B121&lt;C$6),C$4,C$5)/12),2))</f>
        <v/>
      </c>
      <c r="AI121">
        <f>IF(D120&lt;=0,0,ROUND(D120*(1+IF(AND(D$6&gt;0,$B121&lt;D$6),D$4,D$5)/12),2))</f>
        <v/>
      </c>
      <c r="AJ121">
        <f>IF(E120&lt;=0,0,ROUND(E120*(1+IF(AND(E$6&gt;0,$B121&lt;E$6),E$4,E$5)/12),2))</f>
        <v/>
      </c>
      <c r="AK121">
        <f>IF(F120&lt;=0,0,ROUND(F120*(1+IF(AND(F$6&gt;0,$B121&lt;F$6),F$4,F$5)/12),2))</f>
        <v/>
      </c>
      <c r="AL121">
        <f>IF(G120&lt;=0,0,ROUND(G120*(1+IF(AND(G$6&gt;0,$B121&lt;G$6),G$4,G$5)/12),2))</f>
        <v/>
      </c>
      <c r="AM121">
        <f>IF(H120&lt;=0,0,ROUND(H120*(1+IF(AND(H$6&gt;0,$B121&lt;H$6),H$4,H$5)/12),2))</f>
        <v/>
      </c>
      <c r="AN121">
        <f>IF(I120&lt;=0,0,ROUND(I120*(1+IF(AND(I$6&gt;0,$B121&lt;I$6),I$4,I$5)/12),2))</f>
        <v/>
      </c>
      <c r="AO121">
        <f>IF(J120&lt;=0,0,ROUND(J120*(1+IF(AND(J$6&gt;0,$B121&lt;J$6),J$4,J$5)/12),2))</f>
        <v/>
      </c>
      <c r="AP121">
        <f>IF(K120&lt;=0,0,ROUND(K120*(1+IF(AND(K$6&gt;0,$B121&lt;K$6),K$4,K$5)/12),2))</f>
        <v/>
      </c>
      <c r="AQ121">
        <f>IF(L120&lt;=0,0,ROUND(L120*(1+IF(AND(L$6&gt;0,$B121&lt;L$6),L$4,L$5)/12),2))</f>
        <v/>
      </c>
      <c r="AR121">
        <f>IF(M120&lt;=0,0,ROUND(M120*(1+IF(AND(M$6&gt;0,$B121&lt;M$6),M$4,M$5)/12),2))</f>
        <v/>
      </c>
      <c r="AS121">
        <f>IF(N120&lt;=0,0,ROUND(N120*(1+IF(AND(N$6&gt;0,$B121&lt;N$6),N$4,N$5)/12),2))</f>
        <v/>
      </c>
    </row>
    <row r="122">
      <c r="A122" t="n">
        <v>111</v>
      </c>
      <c r="B122">
        <f>EDATE(Plan!$C$6,110)</f>
        <v/>
      </c>
      <c r="C122">
        <f>IF(C121&lt;=0,0,MAX(0,AH122-O122))</f>
        <v/>
      </c>
      <c r="D122">
        <f>IF(D121&lt;=0,0,MAX(0,AI122-P122))</f>
        <v/>
      </c>
      <c r="E122">
        <f>IF(E121&lt;=0,0,MAX(0,AJ122-Q122))</f>
        <v/>
      </c>
      <c r="F122">
        <f>IF(F121&lt;=0,0,MAX(0,AK122-R122))</f>
        <v/>
      </c>
      <c r="G122">
        <f>IF(G121&lt;=0,0,MAX(0,AL122-S122))</f>
        <v/>
      </c>
      <c r="H122">
        <f>IF(H121&lt;=0,0,MAX(0,AM122-T122))</f>
        <v/>
      </c>
      <c r="I122">
        <f>IF(I121&lt;=0,0,MAX(0,AN122-U122))</f>
        <v/>
      </c>
      <c r="J122">
        <f>IF(J121&lt;=0,0,MAX(0,AO122-V122))</f>
        <v/>
      </c>
      <c r="K122">
        <f>IF(K121&lt;=0,0,MAX(0,AP122-W122))</f>
        <v/>
      </c>
      <c r="L122">
        <f>IF(L121&lt;=0,0,MAX(0,AQ122-X122))</f>
        <v/>
      </c>
      <c r="M122">
        <f>IF(M121&lt;=0,0,MAX(0,AR122-Y122))</f>
        <v/>
      </c>
      <c r="N122">
        <f>IF(N121&lt;=0,0,MAX(0,AS122-Z122))</f>
        <v/>
      </c>
      <c r="O122">
        <f>IF(C121&lt;=0,0,MIN(AH122,C$7+IF(C$2=$AA122,$AC122,IF(C$2=$AF122,$AG122,0))))</f>
        <v/>
      </c>
      <c r="P122">
        <f>IF(D121&lt;=0,0,MIN(AI122,D$7+IF(D$2=$AA122,$AC122,IF(D$2=$AF122,$AG122,0))))</f>
        <v/>
      </c>
      <c r="Q122">
        <f>IF(E121&lt;=0,0,MIN(AJ122,E$7+IF(E$2=$AA122,$AC122,IF(E$2=$AF122,$AG122,0))))</f>
        <v/>
      </c>
      <c r="R122">
        <f>IF(F121&lt;=0,0,MIN(AK122,F$7+IF(F$2=$AA122,$AC122,IF(F$2=$AF122,$AG122,0))))</f>
        <v/>
      </c>
      <c r="S122">
        <f>IF(G121&lt;=0,0,MIN(AL122,G$7+IF(G$2=$AA122,$AC122,IF(G$2=$AF122,$AG122,0))))</f>
        <v/>
      </c>
      <c r="T122">
        <f>IF(H121&lt;=0,0,MIN(AM122,H$7+IF(H$2=$AA122,$AC122,IF(H$2=$AF122,$AG122,0))))</f>
        <v/>
      </c>
      <c r="U122">
        <f>IF(I121&lt;=0,0,MIN(AN122,I$7+IF(I$2=$AA122,$AC122,IF(I$2=$AF122,$AG122,0))))</f>
        <v/>
      </c>
      <c r="V122">
        <f>IF(J121&lt;=0,0,MIN(AO122,J$7+IF(J$2=$AA122,$AC122,IF(J$2=$AF122,$AG122,0))))</f>
        <v/>
      </c>
      <c r="W122">
        <f>IF(K121&lt;=0,0,MIN(AP122,K$7+IF(K$2=$AA122,$AC122,IF(K$2=$AF122,$AG122,0))))</f>
        <v/>
      </c>
      <c r="X122">
        <f>IF(L121&lt;=0,0,MIN(AQ122,L$7+IF(L$2=$AA122,$AC122,IF(L$2=$AF122,$AG122,0))))</f>
        <v/>
      </c>
      <c r="Y122">
        <f>IF(M121&lt;=0,0,MIN(AR122,M$7+IF(M$2=$AA122,$AC122,IF(M$2=$AF122,$AG122,0))))</f>
        <v/>
      </c>
      <c r="Z122">
        <f>IF(N121&lt;=0,0,MIN(AS122,N$7+IF(N$2=$AA122,$AC122,IF(N$2=$AF122,$AG122,0))))</f>
        <v/>
      </c>
      <c r="AA122">
        <f>IFERROR(ROUND(1/SUMPRODUCT(MAX((C121:N121&gt;0)*($C$3:$N$3&lt;=B122)/$C$2:$N$2)),0),0)</f>
        <v/>
      </c>
      <c r="AB122">
        <f>SUMPRODUCT((C121:N121&gt;0)*$C$7:$N$7)</f>
        <v/>
      </c>
      <c r="AC122">
        <f>MAX(0,Plan!$C$5-AB122)+IF(A122=Plan!$C$8,N(Plan!$C$7),0)</f>
        <v/>
      </c>
      <c r="AD122">
        <f>SUM(C122:N122)</f>
        <v/>
      </c>
      <c r="AE122">
        <f>SUM(O122:Z122)</f>
        <v/>
      </c>
      <c r="AF122">
        <f>IFERROR(ROUND(1/SUMPRODUCT(MAX((C121:N121&gt;0)*($C$3:$N$3&lt;=B122)*($C$2:$N$2&gt;AA122)/$C$2:$N$2)),0),0)</f>
        <v/>
      </c>
      <c r="AG122">
        <f>MAX(0,AC122-MAX(0,SUMPRODUCT(($C$2:$N$2=AA122)*(AH122:AS122-$C$7:$N$7))))</f>
        <v/>
      </c>
      <c r="AH122">
        <f>IF(C121&lt;=0,0,ROUND(C121*(1+IF(AND(C$6&gt;0,$B122&lt;C$6),C$4,C$5)/12),2))</f>
        <v/>
      </c>
      <c r="AI122">
        <f>IF(D121&lt;=0,0,ROUND(D121*(1+IF(AND(D$6&gt;0,$B122&lt;D$6),D$4,D$5)/12),2))</f>
        <v/>
      </c>
      <c r="AJ122">
        <f>IF(E121&lt;=0,0,ROUND(E121*(1+IF(AND(E$6&gt;0,$B122&lt;E$6),E$4,E$5)/12),2))</f>
        <v/>
      </c>
      <c r="AK122">
        <f>IF(F121&lt;=0,0,ROUND(F121*(1+IF(AND(F$6&gt;0,$B122&lt;F$6),F$4,F$5)/12),2))</f>
        <v/>
      </c>
      <c r="AL122">
        <f>IF(G121&lt;=0,0,ROUND(G121*(1+IF(AND(G$6&gt;0,$B122&lt;G$6),G$4,G$5)/12),2))</f>
        <v/>
      </c>
      <c r="AM122">
        <f>IF(H121&lt;=0,0,ROUND(H121*(1+IF(AND(H$6&gt;0,$B122&lt;H$6),H$4,H$5)/12),2))</f>
        <v/>
      </c>
      <c r="AN122">
        <f>IF(I121&lt;=0,0,ROUND(I121*(1+IF(AND(I$6&gt;0,$B122&lt;I$6),I$4,I$5)/12),2))</f>
        <v/>
      </c>
      <c r="AO122">
        <f>IF(J121&lt;=0,0,ROUND(J121*(1+IF(AND(J$6&gt;0,$B122&lt;J$6),J$4,J$5)/12),2))</f>
        <v/>
      </c>
      <c r="AP122">
        <f>IF(K121&lt;=0,0,ROUND(K121*(1+IF(AND(K$6&gt;0,$B122&lt;K$6),K$4,K$5)/12),2))</f>
        <v/>
      </c>
      <c r="AQ122">
        <f>IF(L121&lt;=0,0,ROUND(L121*(1+IF(AND(L$6&gt;0,$B122&lt;L$6),L$4,L$5)/12),2))</f>
        <v/>
      </c>
      <c r="AR122">
        <f>IF(M121&lt;=0,0,ROUND(M121*(1+IF(AND(M$6&gt;0,$B122&lt;M$6),M$4,M$5)/12),2))</f>
        <v/>
      </c>
      <c r="AS122">
        <f>IF(N121&lt;=0,0,ROUND(N121*(1+IF(AND(N$6&gt;0,$B122&lt;N$6),N$4,N$5)/12),2))</f>
        <v/>
      </c>
    </row>
    <row r="123">
      <c r="A123" t="n">
        <v>112</v>
      </c>
      <c r="B123">
        <f>EDATE(Plan!$C$6,111)</f>
        <v/>
      </c>
      <c r="C123">
        <f>IF(C122&lt;=0,0,MAX(0,AH123-O123))</f>
        <v/>
      </c>
      <c r="D123">
        <f>IF(D122&lt;=0,0,MAX(0,AI123-P123))</f>
        <v/>
      </c>
      <c r="E123">
        <f>IF(E122&lt;=0,0,MAX(0,AJ123-Q123))</f>
        <v/>
      </c>
      <c r="F123">
        <f>IF(F122&lt;=0,0,MAX(0,AK123-R123))</f>
        <v/>
      </c>
      <c r="G123">
        <f>IF(G122&lt;=0,0,MAX(0,AL123-S123))</f>
        <v/>
      </c>
      <c r="H123">
        <f>IF(H122&lt;=0,0,MAX(0,AM123-T123))</f>
        <v/>
      </c>
      <c r="I123">
        <f>IF(I122&lt;=0,0,MAX(0,AN123-U123))</f>
        <v/>
      </c>
      <c r="J123">
        <f>IF(J122&lt;=0,0,MAX(0,AO123-V123))</f>
        <v/>
      </c>
      <c r="K123">
        <f>IF(K122&lt;=0,0,MAX(0,AP123-W123))</f>
        <v/>
      </c>
      <c r="L123">
        <f>IF(L122&lt;=0,0,MAX(0,AQ123-X123))</f>
        <v/>
      </c>
      <c r="M123">
        <f>IF(M122&lt;=0,0,MAX(0,AR123-Y123))</f>
        <v/>
      </c>
      <c r="N123">
        <f>IF(N122&lt;=0,0,MAX(0,AS123-Z123))</f>
        <v/>
      </c>
      <c r="O123">
        <f>IF(C122&lt;=0,0,MIN(AH123,C$7+IF(C$2=$AA123,$AC123,IF(C$2=$AF123,$AG123,0))))</f>
        <v/>
      </c>
      <c r="P123">
        <f>IF(D122&lt;=0,0,MIN(AI123,D$7+IF(D$2=$AA123,$AC123,IF(D$2=$AF123,$AG123,0))))</f>
        <v/>
      </c>
      <c r="Q123">
        <f>IF(E122&lt;=0,0,MIN(AJ123,E$7+IF(E$2=$AA123,$AC123,IF(E$2=$AF123,$AG123,0))))</f>
        <v/>
      </c>
      <c r="R123">
        <f>IF(F122&lt;=0,0,MIN(AK123,F$7+IF(F$2=$AA123,$AC123,IF(F$2=$AF123,$AG123,0))))</f>
        <v/>
      </c>
      <c r="S123">
        <f>IF(G122&lt;=0,0,MIN(AL123,G$7+IF(G$2=$AA123,$AC123,IF(G$2=$AF123,$AG123,0))))</f>
        <v/>
      </c>
      <c r="T123">
        <f>IF(H122&lt;=0,0,MIN(AM123,H$7+IF(H$2=$AA123,$AC123,IF(H$2=$AF123,$AG123,0))))</f>
        <v/>
      </c>
      <c r="U123">
        <f>IF(I122&lt;=0,0,MIN(AN123,I$7+IF(I$2=$AA123,$AC123,IF(I$2=$AF123,$AG123,0))))</f>
        <v/>
      </c>
      <c r="V123">
        <f>IF(J122&lt;=0,0,MIN(AO123,J$7+IF(J$2=$AA123,$AC123,IF(J$2=$AF123,$AG123,0))))</f>
        <v/>
      </c>
      <c r="W123">
        <f>IF(K122&lt;=0,0,MIN(AP123,K$7+IF(K$2=$AA123,$AC123,IF(K$2=$AF123,$AG123,0))))</f>
        <v/>
      </c>
      <c r="X123">
        <f>IF(L122&lt;=0,0,MIN(AQ123,L$7+IF(L$2=$AA123,$AC123,IF(L$2=$AF123,$AG123,0))))</f>
        <v/>
      </c>
      <c r="Y123">
        <f>IF(M122&lt;=0,0,MIN(AR123,M$7+IF(M$2=$AA123,$AC123,IF(M$2=$AF123,$AG123,0))))</f>
        <v/>
      </c>
      <c r="Z123">
        <f>IF(N122&lt;=0,0,MIN(AS123,N$7+IF(N$2=$AA123,$AC123,IF(N$2=$AF123,$AG123,0))))</f>
        <v/>
      </c>
      <c r="AA123">
        <f>IFERROR(ROUND(1/SUMPRODUCT(MAX((C122:N122&gt;0)*($C$3:$N$3&lt;=B123)/$C$2:$N$2)),0),0)</f>
        <v/>
      </c>
      <c r="AB123">
        <f>SUMPRODUCT((C122:N122&gt;0)*$C$7:$N$7)</f>
        <v/>
      </c>
      <c r="AC123">
        <f>MAX(0,Plan!$C$5-AB123)+IF(A123=Plan!$C$8,N(Plan!$C$7),0)</f>
        <v/>
      </c>
      <c r="AD123">
        <f>SUM(C123:N123)</f>
        <v/>
      </c>
      <c r="AE123">
        <f>SUM(O123:Z123)</f>
        <v/>
      </c>
      <c r="AF123">
        <f>IFERROR(ROUND(1/SUMPRODUCT(MAX((C122:N122&gt;0)*($C$3:$N$3&lt;=B123)*($C$2:$N$2&gt;AA123)/$C$2:$N$2)),0),0)</f>
        <v/>
      </c>
      <c r="AG123">
        <f>MAX(0,AC123-MAX(0,SUMPRODUCT(($C$2:$N$2=AA123)*(AH123:AS123-$C$7:$N$7))))</f>
        <v/>
      </c>
      <c r="AH123">
        <f>IF(C122&lt;=0,0,ROUND(C122*(1+IF(AND(C$6&gt;0,$B123&lt;C$6),C$4,C$5)/12),2))</f>
        <v/>
      </c>
      <c r="AI123">
        <f>IF(D122&lt;=0,0,ROUND(D122*(1+IF(AND(D$6&gt;0,$B123&lt;D$6),D$4,D$5)/12),2))</f>
        <v/>
      </c>
      <c r="AJ123">
        <f>IF(E122&lt;=0,0,ROUND(E122*(1+IF(AND(E$6&gt;0,$B123&lt;E$6),E$4,E$5)/12),2))</f>
        <v/>
      </c>
      <c r="AK123">
        <f>IF(F122&lt;=0,0,ROUND(F122*(1+IF(AND(F$6&gt;0,$B123&lt;F$6),F$4,F$5)/12),2))</f>
        <v/>
      </c>
      <c r="AL123">
        <f>IF(G122&lt;=0,0,ROUND(G122*(1+IF(AND(G$6&gt;0,$B123&lt;G$6),G$4,G$5)/12),2))</f>
        <v/>
      </c>
      <c r="AM123">
        <f>IF(H122&lt;=0,0,ROUND(H122*(1+IF(AND(H$6&gt;0,$B123&lt;H$6),H$4,H$5)/12),2))</f>
        <v/>
      </c>
      <c r="AN123">
        <f>IF(I122&lt;=0,0,ROUND(I122*(1+IF(AND(I$6&gt;0,$B123&lt;I$6),I$4,I$5)/12),2))</f>
        <v/>
      </c>
      <c r="AO123">
        <f>IF(J122&lt;=0,0,ROUND(J122*(1+IF(AND(J$6&gt;0,$B123&lt;J$6),J$4,J$5)/12),2))</f>
        <v/>
      </c>
      <c r="AP123">
        <f>IF(K122&lt;=0,0,ROUND(K122*(1+IF(AND(K$6&gt;0,$B123&lt;K$6),K$4,K$5)/12),2))</f>
        <v/>
      </c>
      <c r="AQ123">
        <f>IF(L122&lt;=0,0,ROUND(L122*(1+IF(AND(L$6&gt;0,$B123&lt;L$6),L$4,L$5)/12),2))</f>
        <v/>
      </c>
      <c r="AR123">
        <f>IF(M122&lt;=0,0,ROUND(M122*(1+IF(AND(M$6&gt;0,$B123&lt;M$6),M$4,M$5)/12),2))</f>
        <v/>
      </c>
      <c r="AS123">
        <f>IF(N122&lt;=0,0,ROUND(N122*(1+IF(AND(N$6&gt;0,$B123&lt;N$6),N$4,N$5)/12),2))</f>
        <v/>
      </c>
    </row>
    <row r="124">
      <c r="A124" t="n">
        <v>113</v>
      </c>
      <c r="B124">
        <f>EDATE(Plan!$C$6,112)</f>
        <v/>
      </c>
      <c r="C124">
        <f>IF(C123&lt;=0,0,MAX(0,AH124-O124))</f>
        <v/>
      </c>
      <c r="D124">
        <f>IF(D123&lt;=0,0,MAX(0,AI124-P124))</f>
        <v/>
      </c>
      <c r="E124">
        <f>IF(E123&lt;=0,0,MAX(0,AJ124-Q124))</f>
        <v/>
      </c>
      <c r="F124">
        <f>IF(F123&lt;=0,0,MAX(0,AK124-R124))</f>
        <v/>
      </c>
      <c r="G124">
        <f>IF(G123&lt;=0,0,MAX(0,AL124-S124))</f>
        <v/>
      </c>
      <c r="H124">
        <f>IF(H123&lt;=0,0,MAX(0,AM124-T124))</f>
        <v/>
      </c>
      <c r="I124">
        <f>IF(I123&lt;=0,0,MAX(0,AN124-U124))</f>
        <v/>
      </c>
      <c r="J124">
        <f>IF(J123&lt;=0,0,MAX(0,AO124-V124))</f>
        <v/>
      </c>
      <c r="K124">
        <f>IF(K123&lt;=0,0,MAX(0,AP124-W124))</f>
        <v/>
      </c>
      <c r="L124">
        <f>IF(L123&lt;=0,0,MAX(0,AQ124-X124))</f>
        <v/>
      </c>
      <c r="M124">
        <f>IF(M123&lt;=0,0,MAX(0,AR124-Y124))</f>
        <v/>
      </c>
      <c r="N124">
        <f>IF(N123&lt;=0,0,MAX(0,AS124-Z124))</f>
        <v/>
      </c>
      <c r="O124">
        <f>IF(C123&lt;=0,0,MIN(AH124,C$7+IF(C$2=$AA124,$AC124,IF(C$2=$AF124,$AG124,0))))</f>
        <v/>
      </c>
      <c r="P124">
        <f>IF(D123&lt;=0,0,MIN(AI124,D$7+IF(D$2=$AA124,$AC124,IF(D$2=$AF124,$AG124,0))))</f>
        <v/>
      </c>
      <c r="Q124">
        <f>IF(E123&lt;=0,0,MIN(AJ124,E$7+IF(E$2=$AA124,$AC124,IF(E$2=$AF124,$AG124,0))))</f>
        <v/>
      </c>
      <c r="R124">
        <f>IF(F123&lt;=0,0,MIN(AK124,F$7+IF(F$2=$AA124,$AC124,IF(F$2=$AF124,$AG124,0))))</f>
        <v/>
      </c>
      <c r="S124">
        <f>IF(G123&lt;=0,0,MIN(AL124,G$7+IF(G$2=$AA124,$AC124,IF(G$2=$AF124,$AG124,0))))</f>
        <v/>
      </c>
      <c r="T124">
        <f>IF(H123&lt;=0,0,MIN(AM124,H$7+IF(H$2=$AA124,$AC124,IF(H$2=$AF124,$AG124,0))))</f>
        <v/>
      </c>
      <c r="U124">
        <f>IF(I123&lt;=0,0,MIN(AN124,I$7+IF(I$2=$AA124,$AC124,IF(I$2=$AF124,$AG124,0))))</f>
        <v/>
      </c>
      <c r="V124">
        <f>IF(J123&lt;=0,0,MIN(AO124,J$7+IF(J$2=$AA124,$AC124,IF(J$2=$AF124,$AG124,0))))</f>
        <v/>
      </c>
      <c r="W124">
        <f>IF(K123&lt;=0,0,MIN(AP124,K$7+IF(K$2=$AA124,$AC124,IF(K$2=$AF124,$AG124,0))))</f>
        <v/>
      </c>
      <c r="X124">
        <f>IF(L123&lt;=0,0,MIN(AQ124,L$7+IF(L$2=$AA124,$AC124,IF(L$2=$AF124,$AG124,0))))</f>
        <v/>
      </c>
      <c r="Y124">
        <f>IF(M123&lt;=0,0,MIN(AR124,M$7+IF(M$2=$AA124,$AC124,IF(M$2=$AF124,$AG124,0))))</f>
        <v/>
      </c>
      <c r="Z124">
        <f>IF(N123&lt;=0,0,MIN(AS124,N$7+IF(N$2=$AA124,$AC124,IF(N$2=$AF124,$AG124,0))))</f>
        <v/>
      </c>
      <c r="AA124">
        <f>IFERROR(ROUND(1/SUMPRODUCT(MAX((C123:N123&gt;0)*($C$3:$N$3&lt;=B124)/$C$2:$N$2)),0),0)</f>
        <v/>
      </c>
      <c r="AB124">
        <f>SUMPRODUCT((C123:N123&gt;0)*$C$7:$N$7)</f>
        <v/>
      </c>
      <c r="AC124">
        <f>MAX(0,Plan!$C$5-AB124)+IF(A124=Plan!$C$8,N(Plan!$C$7),0)</f>
        <v/>
      </c>
      <c r="AD124">
        <f>SUM(C124:N124)</f>
        <v/>
      </c>
      <c r="AE124">
        <f>SUM(O124:Z124)</f>
        <v/>
      </c>
      <c r="AF124">
        <f>IFERROR(ROUND(1/SUMPRODUCT(MAX((C123:N123&gt;0)*($C$3:$N$3&lt;=B124)*($C$2:$N$2&gt;AA124)/$C$2:$N$2)),0),0)</f>
        <v/>
      </c>
      <c r="AG124">
        <f>MAX(0,AC124-MAX(0,SUMPRODUCT(($C$2:$N$2=AA124)*(AH124:AS124-$C$7:$N$7))))</f>
        <v/>
      </c>
      <c r="AH124">
        <f>IF(C123&lt;=0,0,ROUND(C123*(1+IF(AND(C$6&gt;0,$B124&lt;C$6),C$4,C$5)/12),2))</f>
        <v/>
      </c>
      <c r="AI124">
        <f>IF(D123&lt;=0,0,ROUND(D123*(1+IF(AND(D$6&gt;0,$B124&lt;D$6),D$4,D$5)/12),2))</f>
        <v/>
      </c>
      <c r="AJ124">
        <f>IF(E123&lt;=0,0,ROUND(E123*(1+IF(AND(E$6&gt;0,$B124&lt;E$6),E$4,E$5)/12),2))</f>
        <v/>
      </c>
      <c r="AK124">
        <f>IF(F123&lt;=0,0,ROUND(F123*(1+IF(AND(F$6&gt;0,$B124&lt;F$6),F$4,F$5)/12),2))</f>
        <v/>
      </c>
      <c r="AL124">
        <f>IF(G123&lt;=0,0,ROUND(G123*(1+IF(AND(G$6&gt;0,$B124&lt;G$6),G$4,G$5)/12),2))</f>
        <v/>
      </c>
      <c r="AM124">
        <f>IF(H123&lt;=0,0,ROUND(H123*(1+IF(AND(H$6&gt;0,$B124&lt;H$6),H$4,H$5)/12),2))</f>
        <v/>
      </c>
      <c r="AN124">
        <f>IF(I123&lt;=0,0,ROUND(I123*(1+IF(AND(I$6&gt;0,$B124&lt;I$6),I$4,I$5)/12),2))</f>
        <v/>
      </c>
      <c r="AO124">
        <f>IF(J123&lt;=0,0,ROUND(J123*(1+IF(AND(J$6&gt;0,$B124&lt;J$6),J$4,J$5)/12),2))</f>
        <v/>
      </c>
      <c r="AP124">
        <f>IF(K123&lt;=0,0,ROUND(K123*(1+IF(AND(K$6&gt;0,$B124&lt;K$6),K$4,K$5)/12),2))</f>
        <v/>
      </c>
      <c r="AQ124">
        <f>IF(L123&lt;=0,0,ROUND(L123*(1+IF(AND(L$6&gt;0,$B124&lt;L$6),L$4,L$5)/12),2))</f>
        <v/>
      </c>
      <c r="AR124">
        <f>IF(M123&lt;=0,0,ROUND(M123*(1+IF(AND(M$6&gt;0,$B124&lt;M$6),M$4,M$5)/12),2))</f>
        <v/>
      </c>
      <c r="AS124">
        <f>IF(N123&lt;=0,0,ROUND(N123*(1+IF(AND(N$6&gt;0,$B124&lt;N$6),N$4,N$5)/12),2))</f>
        <v/>
      </c>
    </row>
    <row r="125">
      <c r="A125" t="n">
        <v>114</v>
      </c>
      <c r="B125">
        <f>EDATE(Plan!$C$6,113)</f>
        <v/>
      </c>
      <c r="C125">
        <f>IF(C124&lt;=0,0,MAX(0,AH125-O125))</f>
        <v/>
      </c>
      <c r="D125">
        <f>IF(D124&lt;=0,0,MAX(0,AI125-P125))</f>
        <v/>
      </c>
      <c r="E125">
        <f>IF(E124&lt;=0,0,MAX(0,AJ125-Q125))</f>
        <v/>
      </c>
      <c r="F125">
        <f>IF(F124&lt;=0,0,MAX(0,AK125-R125))</f>
        <v/>
      </c>
      <c r="G125">
        <f>IF(G124&lt;=0,0,MAX(0,AL125-S125))</f>
        <v/>
      </c>
      <c r="H125">
        <f>IF(H124&lt;=0,0,MAX(0,AM125-T125))</f>
        <v/>
      </c>
      <c r="I125">
        <f>IF(I124&lt;=0,0,MAX(0,AN125-U125))</f>
        <v/>
      </c>
      <c r="J125">
        <f>IF(J124&lt;=0,0,MAX(0,AO125-V125))</f>
        <v/>
      </c>
      <c r="K125">
        <f>IF(K124&lt;=0,0,MAX(0,AP125-W125))</f>
        <v/>
      </c>
      <c r="L125">
        <f>IF(L124&lt;=0,0,MAX(0,AQ125-X125))</f>
        <v/>
      </c>
      <c r="M125">
        <f>IF(M124&lt;=0,0,MAX(0,AR125-Y125))</f>
        <v/>
      </c>
      <c r="N125">
        <f>IF(N124&lt;=0,0,MAX(0,AS125-Z125))</f>
        <v/>
      </c>
      <c r="O125">
        <f>IF(C124&lt;=0,0,MIN(AH125,C$7+IF(C$2=$AA125,$AC125,IF(C$2=$AF125,$AG125,0))))</f>
        <v/>
      </c>
      <c r="P125">
        <f>IF(D124&lt;=0,0,MIN(AI125,D$7+IF(D$2=$AA125,$AC125,IF(D$2=$AF125,$AG125,0))))</f>
        <v/>
      </c>
      <c r="Q125">
        <f>IF(E124&lt;=0,0,MIN(AJ125,E$7+IF(E$2=$AA125,$AC125,IF(E$2=$AF125,$AG125,0))))</f>
        <v/>
      </c>
      <c r="R125">
        <f>IF(F124&lt;=0,0,MIN(AK125,F$7+IF(F$2=$AA125,$AC125,IF(F$2=$AF125,$AG125,0))))</f>
        <v/>
      </c>
      <c r="S125">
        <f>IF(G124&lt;=0,0,MIN(AL125,G$7+IF(G$2=$AA125,$AC125,IF(G$2=$AF125,$AG125,0))))</f>
        <v/>
      </c>
      <c r="T125">
        <f>IF(H124&lt;=0,0,MIN(AM125,H$7+IF(H$2=$AA125,$AC125,IF(H$2=$AF125,$AG125,0))))</f>
        <v/>
      </c>
      <c r="U125">
        <f>IF(I124&lt;=0,0,MIN(AN125,I$7+IF(I$2=$AA125,$AC125,IF(I$2=$AF125,$AG125,0))))</f>
        <v/>
      </c>
      <c r="V125">
        <f>IF(J124&lt;=0,0,MIN(AO125,J$7+IF(J$2=$AA125,$AC125,IF(J$2=$AF125,$AG125,0))))</f>
        <v/>
      </c>
      <c r="W125">
        <f>IF(K124&lt;=0,0,MIN(AP125,K$7+IF(K$2=$AA125,$AC125,IF(K$2=$AF125,$AG125,0))))</f>
        <v/>
      </c>
      <c r="X125">
        <f>IF(L124&lt;=0,0,MIN(AQ125,L$7+IF(L$2=$AA125,$AC125,IF(L$2=$AF125,$AG125,0))))</f>
        <v/>
      </c>
      <c r="Y125">
        <f>IF(M124&lt;=0,0,MIN(AR125,M$7+IF(M$2=$AA125,$AC125,IF(M$2=$AF125,$AG125,0))))</f>
        <v/>
      </c>
      <c r="Z125">
        <f>IF(N124&lt;=0,0,MIN(AS125,N$7+IF(N$2=$AA125,$AC125,IF(N$2=$AF125,$AG125,0))))</f>
        <v/>
      </c>
      <c r="AA125">
        <f>IFERROR(ROUND(1/SUMPRODUCT(MAX((C124:N124&gt;0)*($C$3:$N$3&lt;=B125)/$C$2:$N$2)),0),0)</f>
        <v/>
      </c>
      <c r="AB125">
        <f>SUMPRODUCT((C124:N124&gt;0)*$C$7:$N$7)</f>
        <v/>
      </c>
      <c r="AC125">
        <f>MAX(0,Plan!$C$5-AB125)+IF(A125=Plan!$C$8,N(Plan!$C$7),0)</f>
        <v/>
      </c>
      <c r="AD125">
        <f>SUM(C125:N125)</f>
        <v/>
      </c>
      <c r="AE125">
        <f>SUM(O125:Z125)</f>
        <v/>
      </c>
      <c r="AF125">
        <f>IFERROR(ROUND(1/SUMPRODUCT(MAX((C124:N124&gt;0)*($C$3:$N$3&lt;=B125)*($C$2:$N$2&gt;AA125)/$C$2:$N$2)),0),0)</f>
        <v/>
      </c>
      <c r="AG125">
        <f>MAX(0,AC125-MAX(0,SUMPRODUCT(($C$2:$N$2=AA125)*(AH125:AS125-$C$7:$N$7))))</f>
        <v/>
      </c>
      <c r="AH125">
        <f>IF(C124&lt;=0,0,ROUND(C124*(1+IF(AND(C$6&gt;0,$B125&lt;C$6),C$4,C$5)/12),2))</f>
        <v/>
      </c>
      <c r="AI125">
        <f>IF(D124&lt;=0,0,ROUND(D124*(1+IF(AND(D$6&gt;0,$B125&lt;D$6),D$4,D$5)/12),2))</f>
        <v/>
      </c>
      <c r="AJ125">
        <f>IF(E124&lt;=0,0,ROUND(E124*(1+IF(AND(E$6&gt;0,$B125&lt;E$6),E$4,E$5)/12),2))</f>
        <v/>
      </c>
      <c r="AK125">
        <f>IF(F124&lt;=0,0,ROUND(F124*(1+IF(AND(F$6&gt;0,$B125&lt;F$6),F$4,F$5)/12),2))</f>
        <v/>
      </c>
      <c r="AL125">
        <f>IF(G124&lt;=0,0,ROUND(G124*(1+IF(AND(G$6&gt;0,$B125&lt;G$6),G$4,G$5)/12),2))</f>
        <v/>
      </c>
      <c r="AM125">
        <f>IF(H124&lt;=0,0,ROUND(H124*(1+IF(AND(H$6&gt;0,$B125&lt;H$6),H$4,H$5)/12),2))</f>
        <v/>
      </c>
      <c r="AN125">
        <f>IF(I124&lt;=0,0,ROUND(I124*(1+IF(AND(I$6&gt;0,$B125&lt;I$6),I$4,I$5)/12),2))</f>
        <v/>
      </c>
      <c r="AO125">
        <f>IF(J124&lt;=0,0,ROUND(J124*(1+IF(AND(J$6&gt;0,$B125&lt;J$6),J$4,J$5)/12),2))</f>
        <v/>
      </c>
      <c r="AP125">
        <f>IF(K124&lt;=0,0,ROUND(K124*(1+IF(AND(K$6&gt;0,$B125&lt;K$6),K$4,K$5)/12),2))</f>
        <v/>
      </c>
      <c r="AQ125">
        <f>IF(L124&lt;=0,0,ROUND(L124*(1+IF(AND(L$6&gt;0,$B125&lt;L$6),L$4,L$5)/12),2))</f>
        <v/>
      </c>
      <c r="AR125">
        <f>IF(M124&lt;=0,0,ROUND(M124*(1+IF(AND(M$6&gt;0,$B125&lt;M$6),M$4,M$5)/12),2))</f>
        <v/>
      </c>
      <c r="AS125">
        <f>IF(N124&lt;=0,0,ROUND(N124*(1+IF(AND(N$6&gt;0,$B125&lt;N$6),N$4,N$5)/12),2))</f>
        <v/>
      </c>
    </row>
    <row r="126">
      <c r="A126" t="n">
        <v>115</v>
      </c>
      <c r="B126">
        <f>EDATE(Plan!$C$6,114)</f>
        <v/>
      </c>
      <c r="C126">
        <f>IF(C125&lt;=0,0,MAX(0,AH126-O126))</f>
        <v/>
      </c>
      <c r="D126">
        <f>IF(D125&lt;=0,0,MAX(0,AI126-P126))</f>
        <v/>
      </c>
      <c r="E126">
        <f>IF(E125&lt;=0,0,MAX(0,AJ126-Q126))</f>
        <v/>
      </c>
      <c r="F126">
        <f>IF(F125&lt;=0,0,MAX(0,AK126-R126))</f>
        <v/>
      </c>
      <c r="G126">
        <f>IF(G125&lt;=0,0,MAX(0,AL126-S126))</f>
        <v/>
      </c>
      <c r="H126">
        <f>IF(H125&lt;=0,0,MAX(0,AM126-T126))</f>
        <v/>
      </c>
      <c r="I126">
        <f>IF(I125&lt;=0,0,MAX(0,AN126-U126))</f>
        <v/>
      </c>
      <c r="J126">
        <f>IF(J125&lt;=0,0,MAX(0,AO126-V126))</f>
        <v/>
      </c>
      <c r="K126">
        <f>IF(K125&lt;=0,0,MAX(0,AP126-W126))</f>
        <v/>
      </c>
      <c r="L126">
        <f>IF(L125&lt;=0,0,MAX(0,AQ126-X126))</f>
        <v/>
      </c>
      <c r="M126">
        <f>IF(M125&lt;=0,0,MAX(0,AR126-Y126))</f>
        <v/>
      </c>
      <c r="N126">
        <f>IF(N125&lt;=0,0,MAX(0,AS126-Z126))</f>
        <v/>
      </c>
      <c r="O126">
        <f>IF(C125&lt;=0,0,MIN(AH126,C$7+IF(C$2=$AA126,$AC126,IF(C$2=$AF126,$AG126,0))))</f>
        <v/>
      </c>
      <c r="P126">
        <f>IF(D125&lt;=0,0,MIN(AI126,D$7+IF(D$2=$AA126,$AC126,IF(D$2=$AF126,$AG126,0))))</f>
        <v/>
      </c>
      <c r="Q126">
        <f>IF(E125&lt;=0,0,MIN(AJ126,E$7+IF(E$2=$AA126,$AC126,IF(E$2=$AF126,$AG126,0))))</f>
        <v/>
      </c>
      <c r="R126">
        <f>IF(F125&lt;=0,0,MIN(AK126,F$7+IF(F$2=$AA126,$AC126,IF(F$2=$AF126,$AG126,0))))</f>
        <v/>
      </c>
      <c r="S126">
        <f>IF(G125&lt;=0,0,MIN(AL126,G$7+IF(G$2=$AA126,$AC126,IF(G$2=$AF126,$AG126,0))))</f>
        <v/>
      </c>
      <c r="T126">
        <f>IF(H125&lt;=0,0,MIN(AM126,H$7+IF(H$2=$AA126,$AC126,IF(H$2=$AF126,$AG126,0))))</f>
        <v/>
      </c>
      <c r="U126">
        <f>IF(I125&lt;=0,0,MIN(AN126,I$7+IF(I$2=$AA126,$AC126,IF(I$2=$AF126,$AG126,0))))</f>
        <v/>
      </c>
      <c r="V126">
        <f>IF(J125&lt;=0,0,MIN(AO126,J$7+IF(J$2=$AA126,$AC126,IF(J$2=$AF126,$AG126,0))))</f>
        <v/>
      </c>
      <c r="W126">
        <f>IF(K125&lt;=0,0,MIN(AP126,K$7+IF(K$2=$AA126,$AC126,IF(K$2=$AF126,$AG126,0))))</f>
        <v/>
      </c>
      <c r="X126">
        <f>IF(L125&lt;=0,0,MIN(AQ126,L$7+IF(L$2=$AA126,$AC126,IF(L$2=$AF126,$AG126,0))))</f>
        <v/>
      </c>
      <c r="Y126">
        <f>IF(M125&lt;=0,0,MIN(AR126,M$7+IF(M$2=$AA126,$AC126,IF(M$2=$AF126,$AG126,0))))</f>
        <v/>
      </c>
      <c r="Z126">
        <f>IF(N125&lt;=0,0,MIN(AS126,N$7+IF(N$2=$AA126,$AC126,IF(N$2=$AF126,$AG126,0))))</f>
        <v/>
      </c>
      <c r="AA126">
        <f>IFERROR(ROUND(1/SUMPRODUCT(MAX((C125:N125&gt;0)*($C$3:$N$3&lt;=B126)/$C$2:$N$2)),0),0)</f>
        <v/>
      </c>
      <c r="AB126">
        <f>SUMPRODUCT((C125:N125&gt;0)*$C$7:$N$7)</f>
        <v/>
      </c>
      <c r="AC126">
        <f>MAX(0,Plan!$C$5-AB126)+IF(A126=Plan!$C$8,N(Plan!$C$7),0)</f>
        <v/>
      </c>
      <c r="AD126">
        <f>SUM(C126:N126)</f>
        <v/>
      </c>
      <c r="AE126">
        <f>SUM(O126:Z126)</f>
        <v/>
      </c>
      <c r="AF126">
        <f>IFERROR(ROUND(1/SUMPRODUCT(MAX((C125:N125&gt;0)*($C$3:$N$3&lt;=B126)*($C$2:$N$2&gt;AA126)/$C$2:$N$2)),0),0)</f>
        <v/>
      </c>
      <c r="AG126">
        <f>MAX(0,AC126-MAX(0,SUMPRODUCT(($C$2:$N$2=AA126)*(AH126:AS126-$C$7:$N$7))))</f>
        <v/>
      </c>
      <c r="AH126">
        <f>IF(C125&lt;=0,0,ROUND(C125*(1+IF(AND(C$6&gt;0,$B126&lt;C$6),C$4,C$5)/12),2))</f>
        <v/>
      </c>
      <c r="AI126">
        <f>IF(D125&lt;=0,0,ROUND(D125*(1+IF(AND(D$6&gt;0,$B126&lt;D$6),D$4,D$5)/12),2))</f>
        <v/>
      </c>
      <c r="AJ126">
        <f>IF(E125&lt;=0,0,ROUND(E125*(1+IF(AND(E$6&gt;0,$B126&lt;E$6),E$4,E$5)/12),2))</f>
        <v/>
      </c>
      <c r="AK126">
        <f>IF(F125&lt;=0,0,ROUND(F125*(1+IF(AND(F$6&gt;0,$B126&lt;F$6),F$4,F$5)/12),2))</f>
        <v/>
      </c>
      <c r="AL126">
        <f>IF(G125&lt;=0,0,ROUND(G125*(1+IF(AND(G$6&gt;0,$B126&lt;G$6),G$4,G$5)/12),2))</f>
        <v/>
      </c>
      <c r="AM126">
        <f>IF(H125&lt;=0,0,ROUND(H125*(1+IF(AND(H$6&gt;0,$B126&lt;H$6),H$4,H$5)/12),2))</f>
        <v/>
      </c>
      <c r="AN126">
        <f>IF(I125&lt;=0,0,ROUND(I125*(1+IF(AND(I$6&gt;0,$B126&lt;I$6),I$4,I$5)/12),2))</f>
        <v/>
      </c>
      <c r="AO126">
        <f>IF(J125&lt;=0,0,ROUND(J125*(1+IF(AND(J$6&gt;0,$B126&lt;J$6),J$4,J$5)/12),2))</f>
        <v/>
      </c>
      <c r="AP126">
        <f>IF(K125&lt;=0,0,ROUND(K125*(1+IF(AND(K$6&gt;0,$B126&lt;K$6),K$4,K$5)/12),2))</f>
        <v/>
      </c>
      <c r="AQ126">
        <f>IF(L125&lt;=0,0,ROUND(L125*(1+IF(AND(L$6&gt;0,$B126&lt;L$6),L$4,L$5)/12),2))</f>
        <v/>
      </c>
      <c r="AR126">
        <f>IF(M125&lt;=0,0,ROUND(M125*(1+IF(AND(M$6&gt;0,$B126&lt;M$6),M$4,M$5)/12),2))</f>
        <v/>
      </c>
      <c r="AS126">
        <f>IF(N125&lt;=0,0,ROUND(N125*(1+IF(AND(N$6&gt;0,$B126&lt;N$6),N$4,N$5)/12),2))</f>
        <v/>
      </c>
    </row>
    <row r="127">
      <c r="A127" t="n">
        <v>116</v>
      </c>
      <c r="B127">
        <f>EDATE(Plan!$C$6,115)</f>
        <v/>
      </c>
      <c r="C127">
        <f>IF(C126&lt;=0,0,MAX(0,AH127-O127))</f>
        <v/>
      </c>
      <c r="D127">
        <f>IF(D126&lt;=0,0,MAX(0,AI127-P127))</f>
        <v/>
      </c>
      <c r="E127">
        <f>IF(E126&lt;=0,0,MAX(0,AJ127-Q127))</f>
        <v/>
      </c>
      <c r="F127">
        <f>IF(F126&lt;=0,0,MAX(0,AK127-R127))</f>
        <v/>
      </c>
      <c r="G127">
        <f>IF(G126&lt;=0,0,MAX(0,AL127-S127))</f>
        <v/>
      </c>
      <c r="H127">
        <f>IF(H126&lt;=0,0,MAX(0,AM127-T127))</f>
        <v/>
      </c>
      <c r="I127">
        <f>IF(I126&lt;=0,0,MAX(0,AN127-U127))</f>
        <v/>
      </c>
      <c r="J127">
        <f>IF(J126&lt;=0,0,MAX(0,AO127-V127))</f>
        <v/>
      </c>
      <c r="K127">
        <f>IF(K126&lt;=0,0,MAX(0,AP127-W127))</f>
        <v/>
      </c>
      <c r="L127">
        <f>IF(L126&lt;=0,0,MAX(0,AQ127-X127))</f>
        <v/>
      </c>
      <c r="M127">
        <f>IF(M126&lt;=0,0,MAX(0,AR127-Y127))</f>
        <v/>
      </c>
      <c r="N127">
        <f>IF(N126&lt;=0,0,MAX(0,AS127-Z127))</f>
        <v/>
      </c>
      <c r="O127">
        <f>IF(C126&lt;=0,0,MIN(AH127,C$7+IF(C$2=$AA127,$AC127,IF(C$2=$AF127,$AG127,0))))</f>
        <v/>
      </c>
      <c r="P127">
        <f>IF(D126&lt;=0,0,MIN(AI127,D$7+IF(D$2=$AA127,$AC127,IF(D$2=$AF127,$AG127,0))))</f>
        <v/>
      </c>
      <c r="Q127">
        <f>IF(E126&lt;=0,0,MIN(AJ127,E$7+IF(E$2=$AA127,$AC127,IF(E$2=$AF127,$AG127,0))))</f>
        <v/>
      </c>
      <c r="R127">
        <f>IF(F126&lt;=0,0,MIN(AK127,F$7+IF(F$2=$AA127,$AC127,IF(F$2=$AF127,$AG127,0))))</f>
        <v/>
      </c>
      <c r="S127">
        <f>IF(G126&lt;=0,0,MIN(AL127,G$7+IF(G$2=$AA127,$AC127,IF(G$2=$AF127,$AG127,0))))</f>
        <v/>
      </c>
      <c r="T127">
        <f>IF(H126&lt;=0,0,MIN(AM127,H$7+IF(H$2=$AA127,$AC127,IF(H$2=$AF127,$AG127,0))))</f>
        <v/>
      </c>
      <c r="U127">
        <f>IF(I126&lt;=0,0,MIN(AN127,I$7+IF(I$2=$AA127,$AC127,IF(I$2=$AF127,$AG127,0))))</f>
        <v/>
      </c>
      <c r="V127">
        <f>IF(J126&lt;=0,0,MIN(AO127,J$7+IF(J$2=$AA127,$AC127,IF(J$2=$AF127,$AG127,0))))</f>
        <v/>
      </c>
      <c r="W127">
        <f>IF(K126&lt;=0,0,MIN(AP127,K$7+IF(K$2=$AA127,$AC127,IF(K$2=$AF127,$AG127,0))))</f>
        <v/>
      </c>
      <c r="X127">
        <f>IF(L126&lt;=0,0,MIN(AQ127,L$7+IF(L$2=$AA127,$AC127,IF(L$2=$AF127,$AG127,0))))</f>
        <v/>
      </c>
      <c r="Y127">
        <f>IF(M126&lt;=0,0,MIN(AR127,M$7+IF(M$2=$AA127,$AC127,IF(M$2=$AF127,$AG127,0))))</f>
        <v/>
      </c>
      <c r="Z127">
        <f>IF(N126&lt;=0,0,MIN(AS127,N$7+IF(N$2=$AA127,$AC127,IF(N$2=$AF127,$AG127,0))))</f>
        <v/>
      </c>
      <c r="AA127">
        <f>IFERROR(ROUND(1/SUMPRODUCT(MAX((C126:N126&gt;0)*($C$3:$N$3&lt;=B127)/$C$2:$N$2)),0),0)</f>
        <v/>
      </c>
      <c r="AB127">
        <f>SUMPRODUCT((C126:N126&gt;0)*$C$7:$N$7)</f>
        <v/>
      </c>
      <c r="AC127">
        <f>MAX(0,Plan!$C$5-AB127)+IF(A127=Plan!$C$8,N(Plan!$C$7),0)</f>
        <v/>
      </c>
      <c r="AD127">
        <f>SUM(C127:N127)</f>
        <v/>
      </c>
      <c r="AE127">
        <f>SUM(O127:Z127)</f>
        <v/>
      </c>
      <c r="AF127">
        <f>IFERROR(ROUND(1/SUMPRODUCT(MAX((C126:N126&gt;0)*($C$3:$N$3&lt;=B127)*($C$2:$N$2&gt;AA127)/$C$2:$N$2)),0),0)</f>
        <v/>
      </c>
      <c r="AG127">
        <f>MAX(0,AC127-MAX(0,SUMPRODUCT(($C$2:$N$2=AA127)*(AH127:AS127-$C$7:$N$7))))</f>
        <v/>
      </c>
      <c r="AH127">
        <f>IF(C126&lt;=0,0,ROUND(C126*(1+IF(AND(C$6&gt;0,$B127&lt;C$6),C$4,C$5)/12),2))</f>
        <v/>
      </c>
      <c r="AI127">
        <f>IF(D126&lt;=0,0,ROUND(D126*(1+IF(AND(D$6&gt;0,$B127&lt;D$6),D$4,D$5)/12),2))</f>
        <v/>
      </c>
      <c r="AJ127">
        <f>IF(E126&lt;=0,0,ROUND(E126*(1+IF(AND(E$6&gt;0,$B127&lt;E$6),E$4,E$5)/12),2))</f>
        <v/>
      </c>
      <c r="AK127">
        <f>IF(F126&lt;=0,0,ROUND(F126*(1+IF(AND(F$6&gt;0,$B127&lt;F$6),F$4,F$5)/12),2))</f>
        <v/>
      </c>
      <c r="AL127">
        <f>IF(G126&lt;=0,0,ROUND(G126*(1+IF(AND(G$6&gt;0,$B127&lt;G$6),G$4,G$5)/12),2))</f>
        <v/>
      </c>
      <c r="AM127">
        <f>IF(H126&lt;=0,0,ROUND(H126*(1+IF(AND(H$6&gt;0,$B127&lt;H$6),H$4,H$5)/12),2))</f>
        <v/>
      </c>
      <c r="AN127">
        <f>IF(I126&lt;=0,0,ROUND(I126*(1+IF(AND(I$6&gt;0,$B127&lt;I$6),I$4,I$5)/12),2))</f>
        <v/>
      </c>
      <c r="AO127">
        <f>IF(J126&lt;=0,0,ROUND(J126*(1+IF(AND(J$6&gt;0,$B127&lt;J$6),J$4,J$5)/12),2))</f>
        <v/>
      </c>
      <c r="AP127">
        <f>IF(K126&lt;=0,0,ROUND(K126*(1+IF(AND(K$6&gt;0,$B127&lt;K$6),K$4,K$5)/12),2))</f>
        <v/>
      </c>
      <c r="AQ127">
        <f>IF(L126&lt;=0,0,ROUND(L126*(1+IF(AND(L$6&gt;0,$B127&lt;L$6),L$4,L$5)/12),2))</f>
        <v/>
      </c>
      <c r="AR127">
        <f>IF(M126&lt;=0,0,ROUND(M126*(1+IF(AND(M$6&gt;0,$B127&lt;M$6),M$4,M$5)/12),2))</f>
        <v/>
      </c>
      <c r="AS127">
        <f>IF(N126&lt;=0,0,ROUND(N126*(1+IF(AND(N$6&gt;0,$B127&lt;N$6),N$4,N$5)/12),2))</f>
        <v/>
      </c>
    </row>
    <row r="128">
      <c r="A128" t="n">
        <v>117</v>
      </c>
      <c r="B128">
        <f>EDATE(Plan!$C$6,116)</f>
        <v/>
      </c>
      <c r="C128">
        <f>IF(C127&lt;=0,0,MAX(0,AH128-O128))</f>
        <v/>
      </c>
      <c r="D128">
        <f>IF(D127&lt;=0,0,MAX(0,AI128-P128))</f>
        <v/>
      </c>
      <c r="E128">
        <f>IF(E127&lt;=0,0,MAX(0,AJ128-Q128))</f>
        <v/>
      </c>
      <c r="F128">
        <f>IF(F127&lt;=0,0,MAX(0,AK128-R128))</f>
        <v/>
      </c>
      <c r="G128">
        <f>IF(G127&lt;=0,0,MAX(0,AL128-S128))</f>
        <v/>
      </c>
      <c r="H128">
        <f>IF(H127&lt;=0,0,MAX(0,AM128-T128))</f>
        <v/>
      </c>
      <c r="I128">
        <f>IF(I127&lt;=0,0,MAX(0,AN128-U128))</f>
        <v/>
      </c>
      <c r="J128">
        <f>IF(J127&lt;=0,0,MAX(0,AO128-V128))</f>
        <v/>
      </c>
      <c r="K128">
        <f>IF(K127&lt;=0,0,MAX(0,AP128-W128))</f>
        <v/>
      </c>
      <c r="L128">
        <f>IF(L127&lt;=0,0,MAX(0,AQ128-X128))</f>
        <v/>
      </c>
      <c r="M128">
        <f>IF(M127&lt;=0,0,MAX(0,AR128-Y128))</f>
        <v/>
      </c>
      <c r="N128">
        <f>IF(N127&lt;=0,0,MAX(0,AS128-Z128))</f>
        <v/>
      </c>
      <c r="O128">
        <f>IF(C127&lt;=0,0,MIN(AH128,C$7+IF(C$2=$AA128,$AC128,IF(C$2=$AF128,$AG128,0))))</f>
        <v/>
      </c>
      <c r="P128">
        <f>IF(D127&lt;=0,0,MIN(AI128,D$7+IF(D$2=$AA128,$AC128,IF(D$2=$AF128,$AG128,0))))</f>
        <v/>
      </c>
      <c r="Q128">
        <f>IF(E127&lt;=0,0,MIN(AJ128,E$7+IF(E$2=$AA128,$AC128,IF(E$2=$AF128,$AG128,0))))</f>
        <v/>
      </c>
      <c r="R128">
        <f>IF(F127&lt;=0,0,MIN(AK128,F$7+IF(F$2=$AA128,$AC128,IF(F$2=$AF128,$AG128,0))))</f>
        <v/>
      </c>
      <c r="S128">
        <f>IF(G127&lt;=0,0,MIN(AL128,G$7+IF(G$2=$AA128,$AC128,IF(G$2=$AF128,$AG128,0))))</f>
        <v/>
      </c>
      <c r="T128">
        <f>IF(H127&lt;=0,0,MIN(AM128,H$7+IF(H$2=$AA128,$AC128,IF(H$2=$AF128,$AG128,0))))</f>
        <v/>
      </c>
      <c r="U128">
        <f>IF(I127&lt;=0,0,MIN(AN128,I$7+IF(I$2=$AA128,$AC128,IF(I$2=$AF128,$AG128,0))))</f>
        <v/>
      </c>
      <c r="V128">
        <f>IF(J127&lt;=0,0,MIN(AO128,J$7+IF(J$2=$AA128,$AC128,IF(J$2=$AF128,$AG128,0))))</f>
        <v/>
      </c>
      <c r="W128">
        <f>IF(K127&lt;=0,0,MIN(AP128,K$7+IF(K$2=$AA128,$AC128,IF(K$2=$AF128,$AG128,0))))</f>
        <v/>
      </c>
      <c r="X128">
        <f>IF(L127&lt;=0,0,MIN(AQ128,L$7+IF(L$2=$AA128,$AC128,IF(L$2=$AF128,$AG128,0))))</f>
        <v/>
      </c>
      <c r="Y128">
        <f>IF(M127&lt;=0,0,MIN(AR128,M$7+IF(M$2=$AA128,$AC128,IF(M$2=$AF128,$AG128,0))))</f>
        <v/>
      </c>
      <c r="Z128">
        <f>IF(N127&lt;=0,0,MIN(AS128,N$7+IF(N$2=$AA128,$AC128,IF(N$2=$AF128,$AG128,0))))</f>
        <v/>
      </c>
      <c r="AA128">
        <f>IFERROR(ROUND(1/SUMPRODUCT(MAX((C127:N127&gt;0)*($C$3:$N$3&lt;=B128)/$C$2:$N$2)),0),0)</f>
        <v/>
      </c>
      <c r="AB128">
        <f>SUMPRODUCT((C127:N127&gt;0)*$C$7:$N$7)</f>
        <v/>
      </c>
      <c r="AC128">
        <f>MAX(0,Plan!$C$5-AB128)+IF(A128=Plan!$C$8,N(Plan!$C$7),0)</f>
        <v/>
      </c>
      <c r="AD128">
        <f>SUM(C128:N128)</f>
        <v/>
      </c>
      <c r="AE128">
        <f>SUM(O128:Z128)</f>
        <v/>
      </c>
      <c r="AF128">
        <f>IFERROR(ROUND(1/SUMPRODUCT(MAX((C127:N127&gt;0)*($C$3:$N$3&lt;=B128)*($C$2:$N$2&gt;AA128)/$C$2:$N$2)),0),0)</f>
        <v/>
      </c>
      <c r="AG128">
        <f>MAX(0,AC128-MAX(0,SUMPRODUCT(($C$2:$N$2=AA128)*(AH128:AS128-$C$7:$N$7))))</f>
        <v/>
      </c>
      <c r="AH128">
        <f>IF(C127&lt;=0,0,ROUND(C127*(1+IF(AND(C$6&gt;0,$B128&lt;C$6),C$4,C$5)/12),2))</f>
        <v/>
      </c>
      <c r="AI128">
        <f>IF(D127&lt;=0,0,ROUND(D127*(1+IF(AND(D$6&gt;0,$B128&lt;D$6),D$4,D$5)/12),2))</f>
        <v/>
      </c>
      <c r="AJ128">
        <f>IF(E127&lt;=0,0,ROUND(E127*(1+IF(AND(E$6&gt;0,$B128&lt;E$6),E$4,E$5)/12),2))</f>
        <v/>
      </c>
      <c r="AK128">
        <f>IF(F127&lt;=0,0,ROUND(F127*(1+IF(AND(F$6&gt;0,$B128&lt;F$6),F$4,F$5)/12),2))</f>
        <v/>
      </c>
      <c r="AL128">
        <f>IF(G127&lt;=0,0,ROUND(G127*(1+IF(AND(G$6&gt;0,$B128&lt;G$6),G$4,G$5)/12),2))</f>
        <v/>
      </c>
      <c r="AM128">
        <f>IF(H127&lt;=0,0,ROUND(H127*(1+IF(AND(H$6&gt;0,$B128&lt;H$6),H$4,H$5)/12),2))</f>
        <v/>
      </c>
      <c r="AN128">
        <f>IF(I127&lt;=0,0,ROUND(I127*(1+IF(AND(I$6&gt;0,$B128&lt;I$6),I$4,I$5)/12),2))</f>
        <v/>
      </c>
      <c r="AO128">
        <f>IF(J127&lt;=0,0,ROUND(J127*(1+IF(AND(J$6&gt;0,$B128&lt;J$6),J$4,J$5)/12),2))</f>
        <v/>
      </c>
      <c r="AP128">
        <f>IF(K127&lt;=0,0,ROUND(K127*(1+IF(AND(K$6&gt;0,$B128&lt;K$6),K$4,K$5)/12),2))</f>
        <v/>
      </c>
      <c r="AQ128">
        <f>IF(L127&lt;=0,0,ROUND(L127*(1+IF(AND(L$6&gt;0,$B128&lt;L$6),L$4,L$5)/12),2))</f>
        <v/>
      </c>
      <c r="AR128">
        <f>IF(M127&lt;=0,0,ROUND(M127*(1+IF(AND(M$6&gt;0,$B128&lt;M$6),M$4,M$5)/12),2))</f>
        <v/>
      </c>
      <c r="AS128">
        <f>IF(N127&lt;=0,0,ROUND(N127*(1+IF(AND(N$6&gt;0,$B128&lt;N$6),N$4,N$5)/12),2))</f>
        <v/>
      </c>
    </row>
    <row r="129">
      <c r="A129" t="n">
        <v>118</v>
      </c>
      <c r="B129">
        <f>EDATE(Plan!$C$6,117)</f>
        <v/>
      </c>
      <c r="C129">
        <f>IF(C128&lt;=0,0,MAX(0,AH129-O129))</f>
        <v/>
      </c>
      <c r="D129">
        <f>IF(D128&lt;=0,0,MAX(0,AI129-P129))</f>
        <v/>
      </c>
      <c r="E129">
        <f>IF(E128&lt;=0,0,MAX(0,AJ129-Q129))</f>
        <v/>
      </c>
      <c r="F129">
        <f>IF(F128&lt;=0,0,MAX(0,AK129-R129))</f>
        <v/>
      </c>
      <c r="G129">
        <f>IF(G128&lt;=0,0,MAX(0,AL129-S129))</f>
        <v/>
      </c>
      <c r="H129">
        <f>IF(H128&lt;=0,0,MAX(0,AM129-T129))</f>
        <v/>
      </c>
      <c r="I129">
        <f>IF(I128&lt;=0,0,MAX(0,AN129-U129))</f>
        <v/>
      </c>
      <c r="J129">
        <f>IF(J128&lt;=0,0,MAX(0,AO129-V129))</f>
        <v/>
      </c>
      <c r="K129">
        <f>IF(K128&lt;=0,0,MAX(0,AP129-W129))</f>
        <v/>
      </c>
      <c r="L129">
        <f>IF(L128&lt;=0,0,MAX(0,AQ129-X129))</f>
        <v/>
      </c>
      <c r="M129">
        <f>IF(M128&lt;=0,0,MAX(0,AR129-Y129))</f>
        <v/>
      </c>
      <c r="N129">
        <f>IF(N128&lt;=0,0,MAX(0,AS129-Z129))</f>
        <v/>
      </c>
      <c r="O129">
        <f>IF(C128&lt;=0,0,MIN(AH129,C$7+IF(C$2=$AA129,$AC129,IF(C$2=$AF129,$AG129,0))))</f>
        <v/>
      </c>
      <c r="P129">
        <f>IF(D128&lt;=0,0,MIN(AI129,D$7+IF(D$2=$AA129,$AC129,IF(D$2=$AF129,$AG129,0))))</f>
        <v/>
      </c>
      <c r="Q129">
        <f>IF(E128&lt;=0,0,MIN(AJ129,E$7+IF(E$2=$AA129,$AC129,IF(E$2=$AF129,$AG129,0))))</f>
        <v/>
      </c>
      <c r="R129">
        <f>IF(F128&lt;=0,0,MIN(AK129,F$7+IF(F$2=$AA129,$AC129,IF(F$2=$AF129,$AG129,0))))</f>
        <v/>
      </c>
      <c r="S129">
        <f>IF(G128&lt;=0,0,MIN(AL129,G$7+IF(G$2=$AA129,$AC129,IF(G$2=$AF129,$AG129,0))))</f>
        <v/>
      </c>
      <c r="T129">
        <f>IF(H128&lt;=0,0,MIN(AM129,H$7+IF(H$2=$AA129,$AC129,IF(H$2=$AF129,$AG129,0))))</f>
        <v/>
      </c>
      <c r="U129">
        <f>IF(I128&lt;=0,0,MIN(AN129,I$7+IF(I$2=$AA129,$AC129,IF(I$2=$AF129,$AG129,0))))</f>
        <v/>
      </c>
      <c r="V129">
        <f>IF(J128&lt;=0,0,MIN(AO129,J$7+IF(J$2=$AA129,$AC129,IF(J$2=$AF129,$AG129,0))))</f>
        <v/>
      </c>
      <c r="W129">
        <f>IF(K128&lt;=0,0,MIN(AP129,K$7+IF(K$2=$AA129,$AC129,IF(K$2=$AF129,$AG129,0))))</f>
        <v/>
      </c>
      <c r="X129">
        <f>IF(L128&lt;=0,0,MIN(AQ129,L$7+IF(L$2=$AA129,$AC129,IF(L$2=$AF129,$AG129,0))))</f>
        <v/>
      </c>
      <c r="Y129">
        <f>IF(M128&lt;=0,0,MIN(AR129,M$7+IF(M$2=$AA129,$AC129,IF(M$2=$AF129,$AG129,0))))</f>
        <v/>
      </c>
      <c r="Z129">
        <f>IF(N128&lt;=0,0,MIN(AS129,N$7+IF(N$2=$AA129,$AC129,IF(N$2=$AF129,$AG129,0))))</f>
        <v/>
      </c>
      <c r="AA129">
        <f>IFERROR(ROUND(1/SUMPRODUCT(MAX((C128:N128&gt;0)*($C$3:$N$3&lt;=B129)/$C$2:$N$2)),0),0)</f>
        <v/>
      </c>
      <c r="AB129">
        <f>SUMPRODUCT((C128:N128&gt;0)*$C$7:$N$7)</f>
        <v/>
      </c>
      <c r="AC129">
        <f>MAX(0,Plan!$C$5-AB129)+IF(A129=Plan!$C$8,N(Plan!$C$7),0)</f>
        <v/>
      </c>
      <c r="AD129">
        <f>SUM(C129:N129)</f>
        <v/>
      </c>
      <c r="AE129">
        <f>SUM(O129:Z129)</f>
        <v/>
      </c>
      <c r="AF129">
        <f>IFERROR(ROUND(1/SUMPRODUCT(MAX((C128:N128&gt;0)*($C$3:$N$3&lt;=B129)*($C$2:$N$2&gt;AA129)/$C$2:$N$2)),0),0)</f>
        <v/>
      </c>
      <c r="AG129">
        <f>MAX(0,AC129-MAX(0,SUMPRODUCT(($C$2:$N$2=AA129)*(AH129:AS129-$C$7:$N$7))))</f>
        <v/>
      </c>
      <c r="AH129">
        <f>IF(C128&lt;=0,0,ROUND(C128*(1+IF(AND(C$6&gt;0,$B129&lt;C$6),C$4,C$5)/12),2))</f>
        <v/>
      </c>
      <c r="AI129">
        <f>IF(D128&lt;=0,0,ROUND(D128*(1+IF(AND(D$6&gt;0,$B129&lt;D$6),D$4,D$5)/12),2))</f>
        <v/>
      </c>
      <c r="AJ129">
        <f>IF(E128&lt;=0,0,ROUND(E128*(1+IF(AND(E$6&gt;0,$B129&lt;E$6),E$4,E$5)/12),2))</f>
        <v/>
      </c>
      <c r="AK129">
        <f>IF(F128&lt;=0,0,ROUND(F128*(1+IF(AND(F$6&gt;0,$B129&lt;F$6),F$4,F$5)/12),2))</f>
        <v/>
      </c>
      <c r="AL129">
        <f>IF(G128&lt;=0,0,ROUND(G128*(1+IF(AND(G$6&gt;0,$B129&lt;G$6),G$4,G$5)/12),2))</f>
        <v/>
      </c>
      <c r="AM129">
        <f>IF(H128&lt;=0,0,ROUND(H128*(1+IF(AND(H$6&gt;0,$B129&lt;H$6),H$4,H$5)/12),2))</f>
        <v/>
      </c>
      <c r="AN129">
        <f>IF(I128&lt;=0,0,ROUND(I128*(1+IF(AND(I$6&gt;0,$B129&lt;I$6),I$4,I$5)/12),2))</f>
        <v/>
      </c>
      <c r="AO129">
        <f>IF(J128&lt;=0,0,ROUND(J128*(1+IF(AND(J$6&gt;0,$B129&lt;J$6),J$4,J$5)/12),2))</f>
        <v/>
      </c>
      <c r="AP129">
        <f>IF(K128&lt;=0,0,ROUND(K128*(1+IF(AND(K$6&gt;0,$B129&lt;K$6),K$4,K$5)/12),2))</f>
        <v/>
      </c>
      <c r="AQ129">
        <f>IF(L128&lt;=0,0,ROUND(L128*(1+IF(AND(L$6&gt;0,$B129&lt;L$6),L$4,L$5)/12),2))</f>
        <v/>
      </c>
      <c r="AR129">
        <f>IF(M128&lt;=0,0,ROUND(M128*(1+IF(AND(M$6&gt;0,$B129&lt;M$6),M$4,M$5)/12),2))</f>
        <v/>
      </c>
      <c r="AS129">
        <f>IF(N128&lt;=0,0,ROUND(N128*(1+IF(AND(N$6&gt;0,$B129&lt;N$6),N$4,N$5)/12),2))</f>
        <v/>
      </c>
    </row>
    <row r="130">
      <c r="A130" t="n">
        <v>119</v>
      </c>
      <c r="B130">
        <f>EDATE(Plan!$C$6,118)</f>
        <v/>
      </c>
      <c r="C130">
        <f>IF(C129&lt;=0,0,MAX(0,AH130-O130))</f>
        <v/>
      </c>
      <c r="D130">
        <f>IF(D129&lt;=0,0,MAX(0,AI130-P130))</f>
        <v/>
      </c>
      <c r="E130">
        <f>IF(E129&lt;=0,0,MAX(0,AJ130-Q130))</f>
        <v/>
      </c>
      <c r="F130">
        <f>IF(F129&lt;=0,0,MAX(0,AK130-R130))</f>
        <v/>
      </c>
      <c r="G130">
        <f>IF(G129&lt;=0,0,MAX(0,AL130-S130))</f>
        <v/>
      </c>
      <c r="H130">
        <f>IF(H129&lt;=0,0,MAX(0,AM130-T130))</f>
        <v/>
      </c>
      <c r="I130">
        <f>IF(I129&lt;=0,0,MAX(0,AN130-U130))</f>
        <v/>
      </c>
      <c r="J130">
        <f>IF(J129&lt;=0,0,MAX(0,AO130-V130))</f>
        <v/>
      </c>
      <c r="K130">
        <f>IF(K129&lt;=0,0,MAX(0,AP130-W130))</f>
        <v/>
      </c>
      <c r="L130">
        <f>IF(L129&lt;=0,0,MAX(0,AQ130-X130))</f>
        <v/>
      </c>
      <c r="M130">
        <f>IF(M129&lt;=0,0,MAX(0,AR130-Y130))</f>
        <v/>
      </c>
      <c r="N130">
        <f>IF(N129&lt;=0,0,MAX(0,AS130-Z130))</f>
        <v/>
      </c>
      <c r="O130">
        <f>IF(C129&lt;=0,0,MIN(AH130,C$7+IF(C$2=$AA130,$AC130,IF(C$2=$AF130,$AG130,0))))</f>
        <v/>
      </c>
      <c r="P130">
        <f>IF(D129&lt;=0,0,MIN(AI130,D$7+IF(D$2=$AA130,$AC130,IF(D$2=$AF130,$AG130,0))))</f>
        <v/>
      </c>
      <c r="Q130">
        <f>IF(E129&lt;=0,0,MIN(AJ130,E$7+IF(E$2=$AA130,$AC130,IF(E$2=$AF130,$AG130,0))))</f>
        <v/>
      </c>
      <c r="R130">
        <f>IF(F129&lt;=0,0,MIN(AK130,F$7+IF(F$2=$AA130,$AC130,IF(F$2=$AF130,$AG130,0))))</f>
        <v/>
      </c>
      <c r="S130">
        <f>IF(G129&lt;=0,0,MIN(AL130,G$7+IF(G$2=$AA130,$AC130,IF(G$2=$AF130,$AG130,0))))</f>
        <v/>
      </c>
      <c r="T130">
        <f>IF(H129&lt;=0,0,MIN(AM130,H$7+IF(H$2=$AA130,$AC130,IF(H$2=$AF130,$AG130,0))))</f>
        <v/>
      </c>
      <c r="U130">
        <f>IF(I129&lt;=0,0,MIN(AN130,I$7+IF(I$2=$AA130,$AC130,IF(I$2=$AF130,$AG130,0))))</f>
        <v/>
      </c>
      <c r="V130">
        <f>IF(J129&lt;=0,0,MIN(AO130,J$7+IF(J$2=$AA130,$AC130,IF(J$2=$AF130,$AG130,0))))</f>
        <v/>
      </c>
      <c r="W130">
        <f>IF(K129&lt;=0,0,MIN(AP130,K$7+IF(K$2=$AA130,$AC130,IF(K$2=$AF130,$AG130,0))))</f>
        <v/>
      </c>
      <c r="X130">
        <f>IF(L129&lt;=0,0,MIN(AQ130,L$7+IF(L$2=$AA130,$AC130,IF(L$2=$AF130,$AG130,0))))</f>
        <v/>
      </c>
      <c r="Y130">
        <f>IF(M129&lt;=0,0,MIN(AR130,M$7+IF(M$2=$AA130,$AC130,IF(M$2=$AF130,$AG130,0))))</f>
        <v/>
      </c>
      <c r="Z130">
        <f>IF(N129&lt;=0,0,MIN(AS130,N$7+IF(N$2=$AA130,$AC130,IF(N$2=$AF130,$AG130,0))))</f>
        <v/>
      </c>
      <c r="AA130">
        <f>IFERROR(ROUND(1/SUMPRODUCT(MAX((C129:N129&gt;0)*($C$3:$N$3&lt;=B130)/$C$2:$N$2)),0),0)</f>
        <v/>
      </c>
      <c r="AB130">
        <f>SUMPRODUCT((C129:N129&gt;0)*$C$7:$N$7)</f>
        <v/>
      </c>
      <c r="AC130">
        <f>MAX(0,Plan!$C$5-AB130)+IF(A130=Plan!$C$8,N(Plan!$C$7),0)</f>
        <v/>
      </c>
      <c r="AD130">
        <f>SUM(C130:N130)</f>
        <v/>
      </c>
      <c r="AE130">
        <f>SUM(O130:Z130)</f>
        <v/>
      </c>
      <c r="AF130">
        <f>IFERROR(ROUND(1/SUMPRODUCT(MAX((C129:N129&gt;0)*($C$3:$N$3&lt;=B130)*($C$2:$N$2&gt;AA130)/$C$2:$N$2)),0),0)</f>
        <v/>
      </c>
      <c r="AG130">
        <f>MAX(0,AC130-MAX(0,SUMPRODUCT(($C$2:$N$2=AA130)*(AH130:AS130-$C$7:$N$7))))</f>
        <v/>
      </c>
      <c r="AH130">
        <f>IF(C129&lt;=0,0,ROUND(C129*(1+IF(AND(C$6&gt;0,$B130&lt;C$6),C$4,C$5)/12),2))</f>
        <v/>
      </c>
      <c r="AI130">
        <f>IF(D129&lt;=0,0,ROUND(D129*(1+IF(AND(D$6&gt;0,$B130&lt;D$6),D$4,D$5)/12),2))</f>
        <v/>
      </c>
      <c r="AJ130">
        <f>IF(E129&lt;=0,0,ROUND(E129*(1+IF(AND(E$6&gt;0,$B130&lt;E$6),E$4,E$5)/12),2))</f>
        <v/>
      </c>
      <c r="AK130">
        <f>IF(F129&lt;=0,0,ROUND(F129*(1+IF(AND(F$6&gt;0,$B130&lt;F$6),F$4,F$5)/12),2))</f>
        <v/>
      </c>
      <c r="AL130">
        <f>IF(G129&lt;=0,0,ROUND(G129*(1+IF(AND(G$6&gt;0,$B130&lt;G$6),G$4,G$5)/12),2))</f>
        <v/>
      </c>
      <c r="AM130">
        <f>IF(H129&lt;=0,0,ROUND(H129*(1+IF(AND(H$6&gt;0,$B130&lt;H$6),H$4,H$5)/12),2))</f>
        <v/>
      </c>
      <c r="AN130">
        <f>IF(I129&lt;=0,0,ROUND(I129*(1+IF(AND(I$6&gt;0,$B130&lt;I$6),I$4,I$5)/12),2))</f>
        <v/>
      </c>
      <c r="AO130">
        <f>IF(J129&lt;=0,0,ROUND(J129*(1+IF(AND(J$6&gt;0,$B130&lt;J$6),J$4,J$5)/12),2))</f>
        <v/>
      </c>
      <c r="AP130">
        <f>IF(K129&lt;=0,0,ROUND(K129*(1+IF(AND(K$6&gt;0,$B130&lt;K$6),K$4,K$5)/12),2))</f>
        <v/>
      </c>
      <c r="AQ130">
        <f>IF(L129&lt;=0,0,ROUND(L129*(1+IF(AND(L$6&gt;0,$B130&lt;L$6),L$4,L$5)/12),2))</f>
        <v/>
      </c>
      <c r="AR130">
        <f>IF(M129&lt;=0,0,ROUND(M129*(1+IF(AND(M$6&gt;0,$B130&lt;M$6),M$4,M$5)/12),2))</f>
        <v/>
      </c>
      <c r="AS130">
        <f>IF(N129&lt;=0,0,ROUND(N129*(1+IF(AND(N$6&gt;0,$B130&lt;N$6),N$4,N$5)/12),2))</f>
        <v/>
      </c>
    </row>
    <row r="131">
      <c r="A131" t="n">
        <v>120</v>
      </c>
      <c r="B131">
        <f>EDATE(Plan!$C$6,119)</f>
        <v/>
      </c>
      <c r="C131">
        <f>IF(C130&lt;=0,0,MAX(0,AH131-O131))</f>
        <v/>
      </c>
      <c r="D131">
        <f>IF(D130&lt;=0,0,MAX(0,AI131-P131))</f>
        <v/>
      </c>
      <c r="E131">
        <f>IF(E130&lt;=0,0,MAX(0,AJ131-Q131))</f>
        <v/>
      </c>
      <c r="F131">
        <f>IF(F130&lt;=0,0,MAX(0,AK131-R131))</f>
        <v/>
      </c>
      <c r="G131">
        <f>IF(G130&lt;=0,0,MAX(0,AL131-S131))</f>
        <v/>
      </c>
      <c r="H131">
        <f>IF(H130&lt;=0,0,MAX(0,AM131-T131))</f>
        <v/>
      </c>
      <c r="I131">
        <f>IF(I130&lt;=0,0,MAX(0,AN131-U131))</f>
        <v/>
      </c>
      <c r="J131">
        <f>IF(J130&lt;=0,0,MAX(0,AO131-V131))</f>
        <v/>
      </c>
      <c r="K131">
        <f>IF(K130&lt;=0,0,MAX(0,AP131-W131))</f>
        <v/>
      </c>
      <c r="L131">
        <f>IF(L130&lt;=0,0,MAX(0,AQ131-X131))</f>
        <v/>
      </c>
      <c r="M131">
        <f>IF(M130&lt;=0,0,MAX(0,AR131-Y131))</f>
        <v/>
      </c>
      <c r="N131">
        <f>IF(N130&lt;=0,0,MAX(0,AS131-Z131))</f>
        <v/>
      </c>
      <c r="O131">
        <f>IF(C130&lt;=0,0,MIN(AH131,C$7+IF(C$2=$AA131,$AC131,IF(C$2=$AF131,$AG131,0))))</f>
        <v/>
      </c>
      <c r="P131">
        <f>IF(D130&lt;=0,0,MIN(AI131,D$7+IF(D$2=$AA131,$AC131,IF(D$2=$AF131,$AG131,0))))</f>
        <v/>
      </c>
      <c r="Q131">
        <f>IF(E130&lt;=0,0,MIN(AJ131,E$7+IF(E$2=$AA131,$AC131,IF(E$2=$AF131,$AG131,0))))</f>
        <v/>
      </c>
      <c r="R131">
        <f>IF(F130&lt;=0,0,MIN(AK131,F$7+IF(F$2=$AA131,$AC131,IF(F$2=$AF131,$AG131,0))))</f>
        <v/>
      </c>
      <c r="S131">
        <f>IF(G130&lt;=0,0,MIN(AL131,G$7+IF(G$2=$AA131,$AC131,IF(G$2=$AF131,$AG131,0))))</f>
        <v/>
      </c>
      <c r="T131">
        <f>IF(H130&lt;=0,0,MIN(AM131,H$7+IF(H$2=$AA131,$AC131,IF(H$2=$AF131,$AG131,0))))</f>
        <v/>
      </c>
      <c r="U131">
        <f>IF(I130&lt;=0,0,MIN(AN131,I$7+IF(I$2=$AA131,$AC131,IF(I$2=$AF131,$AG131,0))))</f>
        <v/>
      </c>
      <c r="V131">
        <f>IF(J130&lt;=0,0,MIN(AO131,J$7+IF(J$2=$AA131,$AC131,IF(J$2=$AF131,$AG131,0))))</f>
        <v/>
      </c>
      <c r="W131">
        <f>IF(K130&lt;=0,0,MIN(AP131,K$7+IF(K$2=$AA131,$AC131,IF(K$2=$AF131,$AG131,0))))</f>
        <v/>
      </c>
      <c r="X131">
        <f>IF(L130&lt;=0,0,MIN(AQ131,L$7+IF(L$2=$AA131,$AC131,IF(L$2=$AF131,$AG131,0))))</f>
        <v/>
      </c>
      <c r="Y131">
        <f>IF(M130&lt;=0,0,MIN(AR131,M$7+IF(M$2=$AA131,$AC131,IF(M$2=$AF131,$AG131,0))))</f>
        <v/>
      </c>
      <c r="Z131">
        <f>IF(N130&lt;=0,0,MIN(AS131,N$7+IF(N$2=$AA131,$AC131,IF(N$2=$AF131,$AG131,0))))</f>
        <v/>
      </c>
      <c r="AA131">
        <f>IFERROR(ROUND(1/SUMPRODUCT(MAX((C130:N130&gt;0)*($C$3:$N$3&lt;=B131)/$C$2:$N$2)),0),0)</f>
        <v/>
      </c>
      <c r="AB131">
        <f>SUMPRODUCT((C130:N130&gt;0)*$C$7:$N$7)</f>
        <v/>
      </c>
      <c r="AC131">
        <f>MAX(0,Plan!$C$5-AB131)+IF(A131=Plan!$C$8,N(Plan!$C$7),0)</f>
        <v/>
      </c>
      <c r="AD131">
        <f>SUM(C131:N131)</f>
        <v/>
      </c>
      <c r="AE131">
        <f>SUM(O131:Z131)</f>
        <v/>
      </c>
      <c r="AF131">
        <f>IFERROR(ROUND(1/SUMPRODUCT(MAX((C130:N130&gt;0)*($C$3:$N$3&lt;=B131)*($C$2:$N$2&gt;AA131)/$C$2:$N$2)),0),0)</f>
        <v/>
      </c>
      <c r="AG131">
        <f>MAX(0,AC131-MAX(0,SUMPRODUCT(($C$2:$N$2=AA131)*(AH131:AS131-$C$7:$N$7))))</f>
        <v/>
      </c>
      <c r="AH131">
        <f>IF(C130&lt;=0,0,ROUND(C130*(1+IF(AND(C$6&gt;0,$B131&lt;C$6),C$4,C$5)/12),2))</f>
        <v/>
      </c>
      <c r="AI131">
        <f>IF(D130&lt;=0,0,ROUND(D130*(1+IF(AND(D$6&gt;0,$B131&lt;D$6),D$4,D$5)/12),2))</f>
        <v/>
      </c>
      <c r="AJ131">
        <f>IF(E130&lt;=0,0,ROUND(E130*(1+IF(AND(E$6&gt;0,$B131&lt;E$6),E$4,E$5)/12),2))</f>
        <v/>
      </c>
      <c r="AK131">
        <f>IF(F130&lt;=0,0,ROUND(F130*(1+IF(AND(F$6&gt;0,$B131&lt;F$6),F$4,F$5)/12),2))</f>
        <v/>
      </c>
      <c r="AL131">
        <f>IF(G130&lt;=0,0,ROUND(G130*(1+IF(AND(G$6&gt;0,$B131&lt;G$6),G$4,G$5)/12),2))</f>
        <v/>
      </c>
      <c r="AM131">
        <f>IF(H130&lt;=0,0,ROUND(H130*(1+IF(AND(H$6&gt;0,$B131&lt;H$6),H$4,H$5)/12),2))</f>
        <v/>
      </c>
      <c r="AN131">
        <f>IF(I130&lt;=0,0,ROUND(I130*(1+IF(AND(I$6&gt;0,$B131&lt;I$6),I$4,I$5)/12),2))</f>
        <v/>
      </c>
      <c r="AO131">
        <f>IF(J130&lt;=0,0,ROUND(J130*(1+IF(AND(J$6&gt;0,$B131&lt;J$6),J$4,J$5)/12),2))</f>
        <v/>
      </c>
      <c r="AP131">
        <f>IF(K130&lt;=0,0,ROUND(K130*(1+IF(AND(K$6&gt;0,$B131&lt;K$6),K$4,K$5)/12),2))</f>
        <v/>
      </c>
      <c r="AQ131">
        <f>IF(L130&lt;=0,0,ROUND(L130*(1+IF(AND(L$6&gt;0,$B131&lt;L$6),L$4,L$5)/12),2))</f>
        <v/>
      </c>
      <c r="AR131">
        <f>IF(M130&lt;=0,0,ROUND(M130*(1+IF(AND(M$6&gt;0,$B131&lt;M$6),M$4,M$5)/12),2))</f>
        <v/>
      </c>
      <c r="AS131">
        <f>IF(N130&lt;=0,0,ROUND(N130*(1+IF(AND(N$6&gt;0,$B131&lt;N$6),N$4,N$5)/12),2))</f>
        <v/>
      </c>
    </row>
    <row r="132">
      <c r="A132" t="n">
        <v>121</v>
      </c>
      <c r="B132">
        <f>EDATE(Plan!$C$6,120)</f>
        <v/>
      </c>
      <c r="C132">
        <f>IF(C131&lt;=0,0,MAX(0,AH132-O132))</f>
        <v/>
      </c>
      <c r="D132">
        <f>IF(D131&lt;=0,0,MAX(0,AI132-P132))</f>
        <v/>
      </c>
      <c r="E132">
        <f>IF(E131&lt;=0,0,MAX(0,AJ132-Q132))</f>
        <v/>
      </c>
      <c r="F132">
        <f>IF(F131&lt;=0,0,MAX(0,AK132-R132))</f>
        <v/>
      </c>
      <c r="G132">
        <f>IF(G131&lt;=0,0,MAX(0,AL132-S132))</f>
        <v/>
      </c>
      <c r="H132">
        <f>IF(H131&lt;=0,0,MAX(0,AM132-T132))</f>
        <v/>
      </c>
      <c r="I132">
        <f>IF(I131&lt;=0,0,MAX(0,AN132-U132))</f>
        <v/>
      </c>
      <c r="J132">
        <f>IF(J131&lt;=0,0,MAX(0,AO132-V132))</f>
        <v/>
      </c>
      <c r="K132">
        <f>IF(K131&lt;=0,0,MAX(0,AP132-W132))</f>
        <v/>
      </c>
      <c r="L132">
        <f>IF(L131&lt;=0,0,MAX(0,AQ132-X132))</f>
        <v/>
      </c>
      <c r="M132">
        <f>IF(M131&lt;=0,0,MAX(0,AR132-Y132))</f>
        <v/>
      </c>
      <c r="N132">
        <f>IF(N131&lt;=0,0,MAX(0,AS132-Z132))</f>
        <v/>
      </c>
      <c r="O132">
        <f>IF(C131&lt;=0,0,MIN(AH132,C$7+IF(C$2=$AA132,$AC132,IF(C$2=$AF132,$AG132,0))))</f>
        <v/>
      </c>
      <c r="P132">
        <f>IF(D131&lt;=0,0,MIN(AI132,D$7+IF(D$2=$AA132,$AC132,IF(D$2=$AF132,$AG132,0))))</f>
        <v/>
      </c>
      <c r="Q132">
        <f>IF(E131&lt;=0,0,MIN(AJ132,E$7+IF(E$2=$AA132,$AC132,IF(E$2=$AF132,$AG132,0))))</f>
        <v/>
      </c>
      <c r="R132">
        <f>IF(F131&lt;=0,0,MIN(AK132,F$7+IF(F$2=$AA132,$AC132,IF(F$2=$AF132,$AG132,0))))</f>
        <v/>
      </c>
      <c r="S132">
        <f>IF(G131&lt;=0,0,MIN(AL132,G$7+IF(G$2=$AA132,$AC132,IF(G$2=$AF132,$AG132,0))))</f>
        <v/>
      </c>
      <c r="T132">
        <f>IF(H131&lt;=0,0,MIN(AM132,H$7+IF(H$2=$AA132,$AC132,IF(H$2=$AF132,$AG132,0))))</f>
        <v/>
      </c>
      <c r="U132">
        <f>IF(I131&lt;=0,0,MIN(AN132,I$7+IF(I$2=$AA132,$AC132,IF(I$2=$AF132,$AG132,0))))</f>
        <v/>
      </c>
      <c r="V132">
        <f>IF(J131&lt;=0,0,MIN(AO132,J$7+IF(J$2=$AA132,$AC132,IF(J$2=$AF132,$AG132,0))))</f>
        <v/>
      </c>
      <c r="W132">
        <f>IF(K131&lt;=0,0,MIN(AP132,K$7+IF(K$2=$AA132,$AC132,IF(K$2=$AF132,$AG132,0))))</f>
        <v/>
      </c>
      <c r="X132">
        <f>IF(L131&lt;=0,0,MIN(AQ132,L$7+IF(L$2=$AA132,$AC132,IF(L$2=$AF132,$AG132,0))))</f>
        <v/>
      </c>
      <c r="Y132">
        <f>IF(M131&lt;=0,0,MIN(AR132,M$7+IF(M$2=$AA132,$AC132,IF(M$2=$AF132,$AG132,0))))</f>
        <v/>
      </c>
      <c r="Z132">
        <f>IF(N131&lt;=0,0,MIN(AS132,N$7+IF(N$2=$AA132,$AC132,IF(N$2=$AF132,$AG132,0))))</f>
        <v/>
      </c>
      <c r="AA132">
        <f>IFERROR(ROUND(1/SUMPRODUCT(MAX((C131:N131&gt;0)*($C$3:$N$3&lt;=B132)/$C$2:$N$2)),0),0)</f>
        <v/>
      </c>
      <c r="AB132">
        <f>SUMPRODUCT((C131:N131&gt;0)*$C$7:$N$7)</f>
        <v/>
      </c>
      <c r="AC132">
        <f>MAX(0,Plan!$C$5-AB132)+IF(A132=Plan!$C$8,N(Plan!$C$7),0)</f>
        <v/>
      </c>
      <c r="AD132">
        <f>SUM(C132:N132)</f>
        <v/>
      </c>
      <c r="AE132">
        <f>SUM(O132:Z132)</f>
        <v/>
      </c>
      <c r="AF132">
        <f>IFERROR(ROUND(1/SUMPRODUCT(MAX((C131:N131&gt;0)*($C$3:$N$3&lt;=B132)*($C$2:$N$2&gt;AA132)/$C$2:$N$2)),0),0)</f>
        <v/>
      </c>
      <c r="AG132">
        <f>MAX(0,AC132-MAX(0,SUMPRODUCT(($C$2:$N$2=AA132)*(AH132:AS132-$C$7:$N$7))))</f>
        <v/>
      </c>
      <c r="AH132">
        <f>IF(C131&lt;=0,0,ROUND(C131*(1+IF(AND(C$6&gt;0,$B132&lt;C$6),C$4,C$5)/12),2))</f>
        <v/>
      </c>
      <c r="AI132">
        <f>IF(D131&lt;=0,0,ROUND(D131*(1+IF(AND(D$6&gt;0,$B132&lt;D$6),D$4,D$5)/12),2))</f>
        <v/>
      </c>
      <c r="AJ132">
        <f>IF(E131&lt;=0,0,ROUND(E131*(1+IF(AND(E$6&gt;0,$B132&lt;E$6),E$4,E$5)/12),2))</f>
        <v/>
      </c>
      <c r="AK132">
        <f>IF(F131&lt;=0,0,ROUND(F131*(1+IF(AND(F$6&gt;0,$B132&lt;F$6),F$4,F$5)/12),2))</f>
        <v/>
      </c>
      <c r="AL132">
        <f>IF(G131&lt;=0,0,ROUND(G131*(1+IF(AND(G$6&gt;0,$B132&lt;G$6),G$4,G$5)/12),2))</f>
        <v/>
      </c>
      <c r="AM132">
        <f>IF(H131&lt;=0,0,ROUND(H131*(1+IF(AND(H$6&gt;0,$B132&lt;H$6),H$4,H$5)/12),2))</f>
        <v/>
      </c>
      <c r="AN132">
        <f>IF(I131&lt;=0,0,ROUND(I131*(1+IF(AND(I$6&gt;0,$B132&lt;I$6),I$4,I$5)/12),2))</f>
        <v/>
      </c>
      <c r="AO132">
        <f>IF(J131&lt;=0,0,ROUND(J131*(1+IF(AND(J$6&gt;0,$B132&lt;J$6),J$4,J$5)/12),2))</f>
        <v/>
      </c>
      <c r="AP132">
        <f>IF(K131&lt;=0,0,ROUND(K131*(1+IF(AND(K$6&gt;0,$B132&lt;K$6),K$4,K$5)/12),2))</f>
        <v/>
      </c>
      <c r="AQ132">
        <f>IF(L131&lt;=0,0,ROUND(L131*(1+IF(AND(L$6&gt;0,$B132&lt;L$6),L$4,L$5)/12),2))</f>
        <v/>
      </c>
      <c r="AR132">
        <f>IF(M131&lt;=0,0,ROUND(M131*(1+IF(AND(M$6&gt;0,$B132&lt;M$6),M$4,M$5)/12),2))</f>
        <v/>
      </c>
      <c r="AS132">
        <f>IF(N131&lt;=0,0,ROUND(N131*(1+IF(AND(N$6&gt;0,$B132&lt;N$6),N$4,N$5)/12),2))</f>
        <v/>
      </c>
    </row>
    <row r="133">
      <c r="A133" t="n">
        <v>122</v>
      </c>
      <c r="B133">
        <f>EDATE(Plan!$C$6,121)</f>
        <v/>
      </c>
      <c r="C133">
        <f>IF(C132&lt;=0,0,MAX(0,AH133-O133))</f>
        <v/>
      </c>
      <c r="D133">
        <f>IF(D132&lt;=0,0,MAX(0,AI133-P133))</f>
        <v/>
      </c>
      <c r="E133">
        <f>IF(E132&lt;=0,0,MAX(0,AJ133-Q133))</f>
        <v/>
      </c>
      <c r="F133">
        <f>IF(F132&lt;=0,0,MAX(0,AK133-R133))</f>
        <v/>
      </c>
      <c r="G133">
        <f>IF(G132&lt;=0,0,MAX(0,AL133-S133))</f>
        <v/>
      </c>
      <c r="H133">
        <f>IF(H132&lt;=0,0,MAX(0,AM133-T133))</f>
        <v/>
      </c>
      <c r="I133">
        <f>IF(I132&lt;=0,0,MAX(0,AN133-U133))</f>
        <v/>
      </c>
      <c r="J133">
        <f>IF(J132&lt;=0,0,MAX(0,AO133-V133))</f>
        <v/>
      </c>
      <c r="K133">
        <f>IF(K132&lt;=0,0,MAX(0,AP133-W133))</f>
        <v/>
      </c>
      <c r="L133">
        <f>IF(L132&lt;=0,0,MAX(0,AQ133-X133))</f>
        <v/>
      </c>
      <c r="M133">
        <f>IF(M132&lt;=0,0,MAX(0,AR133-Y133))</f>
        <v/>
      </c>
      <c r="N133">
        <f>IF(N132&lt;=0,0,MAX(0,AS133-Z133))</f>
        <v/>
      </c>
      <c r="O133">
        <f>IF(C132&lt;=0,0,MIN(AH133,C$7+IF(C$2=$AA133,$AC133,IF(C$2=$AF133,$AG133,0))))</f>
        <v/>
      </c>
      <c r="P133">
        <f>IF(D132&lt;=0,0,MIN(AI133,D$7+IF(D$2=$AA133,$AC133,IF(D$2=$AF133,$AG133,0))))</f>
        <v/>
      </c>
      <c r="Q133">
        <f>IF(E132&lt;=0,0,MIN(AJ133,E$7+IF(E$2=$AA133,$AC133,IF(E$2=$AF133,$AG133,0))))</f>
        <v/>
      </c>
      <c r="R133">
        <f>IF(F132&lt;=0,0,MIN(AK133,F$7+IF(F$2=$AA133,$AC133,IF(F$2=$AF133,$AG133,0))))</f>
        <v/>
      </c>
      <c r="S133">
        <f>IF(G132&lt;=0,0,MIN(AL133,G$7+IF(G$2=$AA133,$AC133,IF(G$2=$AF133,$AG133,0))))</f>
        <v/>
      </c>
      <c r="T133">
        <f>IF(H132&lt;=0,0,MIN(AM133,H$7+IF(H$2=$AA133,$AC133,IF(H$2=$AF133,$AG133,0))))</f>
        <v/>
      </c>
      <c r="U133">
        <f>IF(I132&lt;=0,0,MIN(AN133,I$7+IF(I$2=$AA133,$AC133,IF(I$2=$AF133,$AG133,0))))</f>
        <v/>
      </c>
      <c r="V133">
        <f>IF(J132&lt;=0,0,MIN(AO133,J$7+IF(J$2=$AA133,$AC133,IF(J$2=$AF133,$AG133,0))))</f>
        <v/>
      </c>
      <c r="W133">
        <f>IF(K132&lt;=0,0,MIN(AP133,K$7+IF(K$2=$AA133,$AC133,IF(K$2=$AF133,$AG133,0))))</f>
        <v/>
      </c>
      <c r="X133">
        <f>IF(L132&lt;=0,0,MIN(AQ133,L$7+IF(L$2=$AA133,$AC133,IF(L$2=$AF133,$AG133,0))))</f>
        <v/>
      </c>
      <c r="Y133">
        <f>IF(M132&lt;=0,0,MIN(AR133,M$7+IF(M$2=$AA133,$AC133,IF(M$2=$AF133,$AG133,0))))</f>
        <v/>
      </c>
      <c r="Z133">
        <f>IF(N132&lt;=0,0,MIN(AS133,N$7+IF(N$2=$AA133,$AC133,IF(N$2=$AF133,$AG133,0))))</f>
        <v/>
      </c>
      <c r="AA133">
        <f>IFERROR(ROUND(1/SUMPRODUCT(MAX((C132:N132&gt;0)*($C$3:$N$3&lt;=B133)/$C$2:$N$2)),0),0)</f>
        <v/>
      </c>
      <c r="AB133">
        <f>SUMPRODUCT((C132:N132&gt;0)*$C$7:$N$7)</f>
        <v/>
      </c>
      <c r="AC133">
        <f>MAX(0,Plan!$C$5-AB133)+IF(A133=Plan!$C$8,N(Plan!$C$7),0)</f>
        <v/>
      </c>
      <c r="AD133">
        <f>SUM(C133:N133)</f>
        <v/>
      </c>
      <c r="AE133">
        <f>SUM(O133:Z133)</f>
        <v/>
      </c>
      <c r="AF133">
        <f>IFERROR(ROUND(1/SUMPRODUCT(MAX((C132:N132&gt;0)*($C$3:$N$3&lt;=B133)*($C$2:$N$2&gt;AA133)/$C$2:$N$2)),0),0)</f>
        <v/>
      </c>
      <c r="AG133">
        <f>MAX(0,AC133-MAX(0,SUMPRODUCT(($C$2:$N$2=AA133)*(AH133:AS133-$C$7:$N$7))))</f>
        <v/>
      </c>
      <c r="AH133">
        <f>IF(C132&lt;=0,0,ROUND(C132*(1+IF(AND(C$6&gt;0,$B133&lt;C$6),C$4,C$5)/12),2))</f>
        <v/>
      </c>
      <c r="AI133">
        <f>IF(D132&lt;=0,0,ROUND(D132*(1+IF(AND(D$6&gt;0,$B133&lt;D$6),D$4,D$5)/12),2))</f>
        <v/>
      </c>
      <c r="AJ133">
        <f>IF(E132&lt;=0,0,ROUND(E132*(1+IF(AND(E$6&gt;0,$B133&lt;E$6),E$4,E$5)/12),2))</f>
        <v/>
      </c>
      <c r="AK133">
        <f>IF(F132&lt;=0,0,ROUND(F132*(1+IF(AND(F$6&gt;0,$B133&lt;F$6),F$4,F$5)/12),2))</f>
        <v/>
      </c>
      <c r="AL133">
        <f>IF(G132&lt;=0,0,ROUND(G132*(1+IF(AND(G$6&gt;0,$B133&lt;G$6),G$4,G$5)/12),2))</f>
        <v/>
      </c>
      <c r="AM133">
        <f>IF(H132&lt;=0,0,ROUND(H132*(1+IF(AND(H$6&gt;0,$B133&lt;H$6),H$4,H$5)/12),2))</f>
        <v/>
      </c>
      <c r="AN133">
        <f>IF(I132&lt;=0,0,ROUND(I132*(1+IF(AND(I$6&gt;0,$B133&lt;I$6),I$4,I$5)/12),2))</f>
        <v/>
      </c>
      <c r="AO133">
        <f>IF(J132&lt;=0,0,ROUND(J132*(1+IF(AND(J$6&gt;0,$B133&lt;J$6),J$4,J$5)/12),2))</f>
        <v/>
      </c>
      <c r="AP133">
        <f>IF(K132&lt;=0,0,ROUND(K132*(1+IF(AND(K$6&gt;0,$B133&lt;K$6),K$4,K$5)/12),2))</f>
        <v/>
      </c>
      <c r="AQ133">
        <f>IF(L132&lt;=0,0,ROUND(L132*(1+IF(AND(L$6&gt;0,$B133&lt;L$6),L$4,L$5)/12),2))</f>
        <v/>
      </c>
      <c r="AR133">
        <f>IF(M132&lt;=0,0,ROUND(M132*(1+IF(AND(M$6&gt;0,$B133&lt;M$6),M$4,M$5)/12),2))</f>
        <v/>
      </c>
      <c r="AS133">
        <f>IF(N132&lt;=0,0,ROUND(N132*(1+IF(AND(N$6&gt;0,$B133&lt;N$6),N$4,N$5)/12),2))</f>
        <v/>
      </c>
    </row>
    <row r="134">
      <c r="A134" t="n">
        <v>123</v>
      </c>
      <c r="B134">
        <f>EDATE(Plan!$C$6,122)</f>
        <v/>
      </c>
      <c r="C134">
        <f>IF(C133&lt;=0,0,MAX(0,AH134-O134))</f>
        <v/>
      </c>
      <c r="D134">
        <f>IF(D133&lt;=0,0,MAX(0,AI134-P134))</f>
        <v/>
      </c>
      <c r="E134">
        <f>IF(E133&lt;=0,0,MAX(0,AJ134-Q134))</f>
        <v/>
      </c>
      <c r="F134">
        <f>IF(F133&lt;=0,0,MAX(0,AK134-R134))</f>
        <v/>
      </c>
      <c r="G134">
        <f>IF(G133&lt;=0,0,MAX(0,AL134-S134))</f>
        <v/>
      </c>
      <c r="H134">
        <f>IF(H133&lt;=0,0,MAX(0,AM134-T134))</f>
        <v/>
      </c>
      <c r="I134">
        <f>IF(I133&lt;=0,0,MAX(0,AN134-U134))</f>
        <v/>
      </c>
      <c r="J134">
        <f>IF(J133&lt;=0,0,MAX(0,AO134-V134))</f>
        <v/>
      </c>
      <c r="K134">
        <f>IF(K133&lt;=0,0,MAX(0,AP134-W134))</f>
        <v/>
      </c>
      <c r="L134">
        <f>IF(L133&lt;=0,0,MAX(0,AQ134-X134))</f>
        <v/>
      </c>
      <c r="M134">
        <f>IF(M133&lt;=0,0,MAX(0,AR134-Y134))</f>
        <v/>
      </c>
      <c r="N134">
        <f>IF(N133&lt;=0,0,MAX(0,AS134-Z134))</f>
        <v/>
      </c>
      <c r="O134">
        <f>IF(C133&lt;=0,0,MIN(AH134,C$7+IF(C$2=$AA134,$AC134,IF(C$2=$AF134,$AG134,0))))</f>
        <v/>
      </c>
      <c r="P134">
        <f>IF(D133&lt;=0,0,MIN(AI134,D$7+IF(D$2=$AA134,$AC134,IF(D$2=$AF134,$AG134,0))))</f>
        <v/>
      </c>
      <c r="Q134">
        <f>IF(E133&lt;=0,0,MIN(AJ134,E$7+IF(E$2=$AA134,$AC134,IF(E$2=$AF134,$AG134,0))))</f>
        <v/>
      </c>
      <c r="R134">
        <f>IF(F133&lt;=0,0,MIN(AK134,F$7+IF(F$2=$AA134,$AC134,IF(F$2=$AF134,$AG134,0))))</f>
        <v/>
      </c>
      <c r="S134">
        <f>IF(G133&lt;=0,0,MIN(AL134,G$7+IF(G$2=$AA134,$AC134,IF(G$2=$AF134,$AG134,0))))</f>
        <v/>
      </c>
      <c r="T134">
        <f>IF(H133&lt;=0,0,MIN(AM134,H$7+IF(H$2=$AA134,$AC134,IF(H$2=$AF134,$AG134,0))))</f>
        <v/>
      </c>
      <c r="U134">
        <f>IF(I133&lt;=0,0,MIN(AN134,I$7+IF(I$2=$AA134,$AC134,IF(I$2=$AF134,$AG134,0))))</f>
        <v/>
      </c>
      <c r="V134">
        <f>IF(J133&lt;=0,0,MIN(AO134,J$7+IF(J$2=$AA134,$AC134,IF(J$2=$AF134,$AG134,0))))</f>
        <v/>
      </c>
      <c r="W134">
        <f>IF(K133&lt;=0,0,MIN(AP134,K$7+IF(K$2=$AA134,$AC134,IF(K$2=$AF134,$AG134,0))))</f>
        <v/>
      </c>
      <c r="X134">
        <f>IF(L133&lt;=0,0,MIN(AQ134,L$7+IF(L$2=$AA134,$AC134,IF(L$2=$AF134,$AG134,0))))</f>
        <v/>
      </c>
      <c r="Y134">
        <f>IF(M133&lt;=0,0,MIN(AR134,M$7+IF(M$2=$AA134,$AC134,IF(M$2=$AF134,$AG134,0))))</f>
        <v/>
      </c>
      <c r="Z134">
        <f>IF(N133&lt;=0,0,MIN(AS134,N$7+IF(N$2=$AA134,$AC134,IF(N$2=$AF134,$AG134,0))))</f>
        <v/>
      </c>
      <c r="AA134">
        <f>IFERROR(ROUND(1/SUMPRODUCT(MAX((C133:N133&gt;0)*($C$3:$N$3&lt;=B134)/$C$2:$N$2)),0),0)</f>
        <v/>
      </c>
      <c r="AB134">
        <f>SUMPRODUCT((C133:N133&gt;0)*$C$7:$N$7)</f>
        <v/>
      </c>
      <c r="AC134">
        <f>MAX(0,Plan!$C$5-AB134)+IF(A134=Plan!$C$8,N(Plan!$C$7),0)</f>
        <v/>
      </c>
      <c r="AD134">
        <f>SUM(C134:N134)</f>
        <v/>
      </c>
      <c r="AE134">
        <f>SUM(O134:Z134)</f>
        <v/>
      </c>
      <c r="AF134">
        <f>IFERROR(ROUND(1/SUMPRODUCT(MAX((C133:N133&gt;0)*($C$3:$N$3&lt;=B134)*($C$2:$N$2&gt;AA134)/$C$2:$N$2)),0),0)</f>
        <v/>
      </c>
      <c r="AG134">
        <f>MAX(0,AC134-MAX(0,SUMPRODUCT(($C$2:$N$2=AA134)*(AH134:AS134-$C$7:$N$7))))</f>
        <v/>
      </c>
      <c r="AH134">
        <f>IF(C133&lt;=0,0,ROUND(C133*(1+IF(AND(C$6&gt;0,$B134&lt;C$6),C$4,C$5)/12),2))</f>
        <v/>
      </c>
      <c r="AI134">
        <f>IF(D133&lt;=0,0,ROUND(D133*(1+IF(AND(D$6&gt;0,$B134&lt;D$6),D$4,D$5)/12),2))</f>
        <v/>
      </c>
      <c r="AJ134">
        <f>IF(E133&lt;=0,0,ROUND(E133*(1+IF(AND(E$6&gt;0,$B134&lt;E$6),E$4,E$5)/12),2))</f>
        <v/>
      </c>
      <c r="AK134">
        <f>IF(F133&lt;=0,0,ROUND(F133*(1+IF(AND(F$6&gt;0,$B134&lt;F$6),F$4,F$5)/12),2))</f>
        <v/>
      </c>
      <c r="AL134">
        <f>IF(G133&lt;=0,0,ROUND(G133*(1+IF(AND(G$6&gt;0,$B134&lt;G$6),G$4,G$5)/12),2))</f>
        <v/>
      </c>
      <c r="AM134">
        <f>IF(H133&lt;=0,0,ROUND(H133*(1+IF(AND(H$6&gt;0,$B134&lt;H$6),H$4,H$5)/12),2))</f>
        <v/>
      </c>
      <c r="AN134">
        <f>IF(I133&lt;=0,0,ROUND(I133*(1+IF(AND(I$6&gt;0,$B134&lt;I$6),I$4,I$5)/12),2))</f>
        <v/>
      </c>
      <c r="AO134">
        <f>IF(J133&lt;=0,0,ROUND(J133*(1+IF(AND(J$6&gt;0,$B134&lt;J$6),J$4,J$5)/12),2))</f>
        <v/>
      </c>
      <c r="AP134">
        <f>IF(K133&lt;=0,0,ROUND(K133*(1+IF(AND(K$6&gt;0,$B134&lt;K$6),K$4,K$5)/12),2))</f>
        <v/>
      </c>
      <c r="AQ134">
        <f>IF(L133&lt;=0,0,ROUND(L133*(1+IF(AND(L$6&gt;0,$B134&lt;L$6),L$4,L$5)/12),2))</f>
        <v/>
      </c>
      <c r="AR134">
        <f>IF(M133&lt;=0,0,ROUND(M133*(1+IF(AND(M$6&gt;0,$B134&lt;M$6),M$4,M$5)/12),2))</f>
        <v/>
      </c>
      <c r="AS134">
        <f>IF(N133&lt;=0,0,ROUND(N133*(1+IF(AND(N$6&gt;0,$B134&lt;N$6),N$4,N$5)/12),2))</f>
        <v/>
      </c>
    </row>
    <row r="135">
      <c r="A135" t="n">
        <v>124</v>
      </c>
      <c r="B135">
        <f>EDATE(Plan!$C$6,123)</f>
        <v/>
      </c>
      <c r="C135">
        <f>IF(C134&lt;=0,0,MAX(0,AH135-O135))</f>
        <v/>
      </c>
      <c r="D135">
        <f>IF(D134&lt;=0,0,MAX(0,AI135-P135))</f>
        <v/>
      </c>
      <c r="E135">
        <f>IF(E134&lt;=0,0,MAX(0,AJ135-Q135))</f>
        <v/>
      </c>
      <c r="F135">
        <f>IF(F134&lt;=0,0,MAX(0,AK135-R135))</f>
        <v/>
      </c>
      <c r="G135">
        <f>IF(G134&lt;=0,0,MAX(0,AL135-S135))</f>
        <v/>
      </c>
      <c r="H135">
        <f>IF(H134&lt;=0,0,MAX(0,AM135-T135))</f>
        <v/>
      </c>
      <c r="I135">
        <f>IF(I134&lt;=0,0,MAX(0,AN135-U135))</f>
        <v/>
      </c>
      <c r="J135">
        <f>IF(J134&lt;=0,0,MAX(0,AO135-V135))</f>
        <v/>
      </c>
      <c r="K135">
        <f>IF(K134&lt;=0,0,MAX(0,AP135-W135))</f>
        <v/>
      </c>
      <c r="L135">
        <f>IF(L134&lt;=0,0,MAX(0,AQ135-X135))</f>
        <v/>
      </c>
      <c r="M135">
        <f>IF(M134&lt;=0,0,MAX(0,AR135-Y135))</f>
        <v/>
      </c>
      <c r="N135">
        <f>IF(N134&lt;=0,0,MAX(0,AS135-Z135))</f>
        <v/>
      </c>
      <c r="O135">
        <f>IF(C134&lt;=0,0,MIN(AH135,C$7+IF(C$2=$AA135,$AC135,IF(C$2=$AF135,$AG135,0))))</f>
        <v/>
      </c>
      <c r="P135">
        <f>IF(D134&lt;=0,0,MIN(AI135,D$7+IF(D$2=$AA135,$AC135,IF(D$2=$AF135,$AG135,0))))</f>
        <v/>
      </c>
      <c r="Q135">
        <f>IF(E134&lt;=0,0,MIN(AJ135,E$7+IF(E$2=$AA135,$AC135,IF(E$2=$AF135,$AG135,0))))</f>
        <v/>
      </c>
      <c r="R135">
        <f>IF(F134&lt;=0,0,MIN(AK135,F$7+IF(F$2=$AA135,$AC135,IF(F$2=$AF135,$AG135,0))))</f>
        <v/>
      </c>
      <c r="S135">
        <f>IF(G134&lt;=0,0,MIN(AL135,G$7+IF(G$2=$AA135,$AC135,IF(G$2=$AF135,$AG135,0))))</f>
        <v/>
      </c>
      <c r="T135">
        <f>IF(H134&lt;=0,0,MIN(AM135,H$7+IF(H$2=$AA135,$AC135,IF(H$2=$AF135,$AG135,0))))</f>
        <v/>
      </c>
      <c r="U135">
        <f>IF(I134&lt;=0,0,MIN(AN135,I$7+IF(I$2=$AA135,$AC135,IF(I$2=$AF135,$AG135,0))))</f>
        <v/>
      </c>
      <c r="V135">
        <f>IF(J134&lt;=0,0,MIN(AO135,J$7+IF(J$2=$AA135,$AC135,IF(J$2=$AF135,$AG135,0))))</f>
        <v/>
      </c>
      <c r="W135">
        <f>IF(K134&lt;=0,0,MIN(AP135,K$7+IF(K$2=$AA135,$AC135,IF(K$2=$AF135,$AG135,0))))</f>
        <v/>
      </c>
      <c r="X135">
        <f>IF(L134&lt;=0,0,MIN(AQ135,L$7+IF(L$2=$AA135,$AC135,IF(L$2=$AF135,$AG135,0))))</f>
        <v/>
      </c>
      <c r="Y135">
        <f>IF(M134&lt;=0,0,MIN(AR135,M$7+IF(M$2=$AA135,$AC135,IF(M$2=$AF135,$AG135,0))))</f>
        <v/>
      </c>
      <c r="Z135">
        <f>IF(N134&lt;=0,0,MIN(AS135,N$7+IF(N$2=$AA135,$AC135,IF(N$2=$AF135,$AG135,0))))</f>
        <v/>
      </c>
      <c r="AA135">
        <f>IFERROR(ROUND(1/SUMPRODUCT(MAX((C134:N134&gt;0)*($C$3:$N$3&lt;=B135)/$C$2:$N$2)),0),0)</f>
        <v/>
      </c>
      <c r="AB135">
        <f>SUMPRODUCT((C134:N134&gt;0)*$C$7:$N$7)</f>
        <v/>
      </c>
      <c r="AC135">
        <f>MAX(0,Plan!$C$5-AB135)+IF(A135=Plan!$C$8,N(Plan!$C$7),0)</f>
        <v/>
      </c>
      <c r="AD135">
        <f>SUM(C135:N135)</f>
        <v/>
      </c>
      <c r="AE135">
        <f>SUM(O135:Z135)</f>
        <v/>
      </c>
      <c r="AF135">
        <f>IFERROR(ROUND(1/SUMPRODUCT(MAX((C134:N134&gt;0)*($C$3:$N$3&lt;=B135)*($C$2:$N$2&gt;AA135)/$C$2:$N$2)),0),0)</f>
        <v/>
      </c>
      <c r="AG135">
        <f>MAX(0,AC135-MAX(0,SUMPRODUCT(($C$2:$N$2=AA135)*(AH135:AS135-$C$7:$N$7))))</f>
        <v/>
      </c>
      <c r="AH135">
        <f>IF(C134&lt;=0,0,ROUND(C134*(1+IF(AND(C$6&gt;0,$B135&lt;C$6),C$4,C$5)/12),2))</f>
        <v/>
      </c>
      <c r="AI135">
        <f>IF(D134&lt;=0,0,ROUND(D134*(1+IF(AND(D$6&gt;0,$B135&lt;D$6),D$4,D$5)/12),2))</f>
        <v/>
      </c>
      <c r="AJ135">
        <f>IF(E134&lt;=0,0,ROUND(E134*(1+IF(AND(E$6&gt;0,$B135&lt;E$6),E$4,E$5)/12),2))</f>
        <v/>
      </c>
      <c r="AK135">
        <f>IF(F134&lt;=0,0,ROUND(F134*(1+IF(AND(F$6&gt;0,$B135&lt;F$6),F$4,F$5)/12),2))</f>
        <v/>
      </c>
      <c r="AL135">
        <f>IF(G134&lt;=0,0,ROUND(G134*(1+IF(AND(G$6&gt;0,$B135&lt;G$6),G$4,G$5)/12),2))</f>
        <v/>
      </c>
      <c r="AM135">
        <f>IF(H134&lt;=0,0,ROUND(H134*(1+IF(AND(H$6&gt;0,$B135&lt;H$6),H$4,H$5)/12),2))</f>
        <v/>
      </c>
      <c r="AN135">
        <f>IF(I134&lt;=0,0,ROUND(I134*(1+IF(AND(I$6&gt;0,$B135&lt;I$6),I$4,I$5)/12),2))</f>
        <v/>
      </c>
      <c r="AO135">
        <f>IF(J134&lt;=0,0,ROUND(J134*(1+IF(AND(J$6&gt;0,$B135&lt;J$6),J$4,J$5)/12),2))</f>
        <v/>
      </c>
      <c r="AP135">
        <f>IF(K134&lt;=0,0,ROUND(K134*(1+IF(AND(K$6&gt;0,$B135&lt;K$6),K$4,K$5)/12),2))</f>
        <v/>
      </c>
      <c r="AQ135">
        <f>IF(L134&lt;=0,0,ROUND(L134*(1+IF(AND(L$6&gt;0,$B135&lt;L$6),L$4,L$5)/12),2))</f>
        <v/>
      </c>
      <c r="AR135">
        <f>IF(M134&lt;=0,0,ROUND(M134*(1+IF(AND(M$6&gt;0,$B135&lt;M$6),M$4,M$5)/12),2))</f>
        <v/>
      </c>
      <c r="AS135">
        <f>IF(N134&lt;=0,0,ROUND(N134*(1+IF(AND(N$6&gt;0,$B135&lt;N$6),N$4,N$5)/12),2))</f>
        <v/>
      </c>
    </row>
    <row r="136">
      <c r="A136" t="n">
        <v>125</v>
      </c>
      <c r="B136">
        <f>EDATE(Plan!$C$6,124)</f>
        <v/>
      </c>
      <c r="C136">
        <f>IF(C135&lt;=0,0,MAX(0,AH136-O136))</f>
        <v/>
      </c>
      <c r="D136">
        <f>IF(D135&lt;=0,0,MAX(0,AI136-P136))</f>
        <v/>
      </c>
      <c r="E136">
        <f>IF(E135&lt;=0,0,MAX(0,AJ136-Q136))</f>
        <v/>
      </c>
      <c r="F136">
        <f>IF(F135&lt;=0,0,MAX(0,AK136-R136))</f>
        <v/>
      </c>
      <c r="G136">
        <f>IF(G135&lt;=0,0,MAX(0,AL136-S136))</f>
        <v/>
      </c>
      <c r="H136">
        <f>IF(H135&lt;=0,0,MAX(0,AM136-T136))</f>
        <v/>
      </c>
      <c r="I136">
        <f>IF(I135&lt;=0,0,MAX(0,AN136-U136))</f>
        <v/>
      </c>
      <c r="J136">
        <f>IF(J135&lt;=0,0,MAX(0,AO136-V136))</f>
        <v/>
      </c>
      <c r="K136">
        <f>IF(K135&lt;=0,0,MAX(0,AP136-W136))</f>
        <v/>
      </c>
      <c r="L136">
        <f>IF(L135&lt;=0,0,MAX(0,AQ136-X136))</f>
        <v/>
      </c>
      <c r="M136">
        <f>IF(M135&lt;=0,0,MAX(0,AR136-Y136))</f>
        <v/>
      </c>
      <c r="N136">
        <f>IF(N135&lt;=0,0,MAX(0,AS136-Z136))</f>
        <v/>
      </c>
      <c r="O136">
        <f>IF(C135&lt;=0,0,MIN(AH136,C$7+IF(C$2=$AA136,$AC136,IF(C$2=$AF136,$AG136,0))))</f>
        <v/>
      </c>
      <c r="P136">
        <f>IF(D135&lt;=0,0,MIN(AI136,D$7+IF(D$2=$AA136,$AC136,IF(D$2=$AF136,$AG136,0))))</f>
        <v/>
      </c>
      <c r="Q136">
        <f>IF(E135&lt;=0,0,MIN(AJ136,E$7+IF(E$2=$AA136,$AC136,IF(E$2=$AF136,$AG136,0))))</f>
        <v/>
      </c>
      <c r="R136">
        <f>IF(F135&lt;=0,0,MIN(AK136,F$7+IF(F$2=$AA136,$AC136,IF(F$2=$AF136,$AG136,0))))</f>
        <v/>
      </c>
      <c r="S136">
        <f>IF(G135&lt;=0,0,MIN(AL136,G$7+IF(G$2=$AA136,$AC136,IF(G$2=$AF136,$AG136,0))))</f>
        <v/>
      </c>
      <c r="T136">
        <f>IF(H135&lt;=0,0,MIN(AM136,H$7+IF(H$2=$AA136,$AC136,IF(H$2=$AF136,$AG136,0))))</f>
        <v/>
      </c>
      <c r="U136">
        <f>IF(I135&lt;=0,0,MIN(AN136,I$7+IF(I$2=$AA136,$AC136,IF(I$2=$AF136,$AG136,0))))</f>
        <v/>
      </c>
      <c r="V136">
        <f>IF(J135&lt;=0,0,MIN(AO136,J$7+IF(J$2=$AA136,$AC136,IF(J$2=$AF136,$AG136,0))))</f>
        <v/>
      </c>
      <c r="W136">
        <f>IF(K135&lt;=0,0,MIN(AP136,K$7+IF(K$2=$AA136,$AC136,IF(K$2=$AF136,$AG136,0))))</f>
        <v/>
      </c>
      <c r="X136">
        <f>IF(L135&lt;=0,0,MIN(AQ136,L$7+IF(L$2=$AA136,$AC136,IF(L$2=$AF136,$AG136,0))))</f>
        <v/>
      </c>
      <c r="Y136">
        <f>IF(M135&lt;=0,0,MIN(AR136,M$7+IF(M$2=$AA136,$AC136,IF(M$2=$AF136,$AG136,0))))</f>
        <v/>
      </c>
      <c r="Z136">
        <f>IF(N135&lt;=0,0,MIN(AS136,N$7+IF(N$2=$AA136,$AC136,IF(N$2=$AF136,$AG136,0))))</f>
        <v/>
      </c>
      <c r="AA136">
        <f>IFERROR(ROUND(1/SUMPRODUCT(MAX((C135:N135&gt;0)*($C$3:$N$3&lt;=B136)/$C$2:$N$2)),0),0)</f>
        <v/>
      </c>
      <c r="AB136">
        <f>SUMPRODUCT((C135:N135&gt;0)*$C$7:$N$7)</f>
        <v/>
      </c>
      <c r="AC136">
        <f>MAX(0,Plan!$C$5-AB136)+IF(A136=Plan!$C$8,N(Plan!$C$7),0)</f>
        <v/>
      </c>
      <c r="AD136">
        <f>SUM(C136:N136)</f>
        <v/>
      </c>
      <c r="AE136">
        <f>SUM(O136:Z136)</f>
        <v/>
      </c>
      <c r="AF136">
        <f>IFERROR(ROUND(1/SUMPRODUCT(MAX((C135:N135&gt;0)*($C$3:$N$3&lt;=B136)*($C$2:$N$2&gt;AA136)/$C$2:$N$2)),0),0)</f>
        <v/>
      </c>
      <c r="AG136">
        <f>MAX(0,AC136-MAX(0,SUMPRODUCT(($C$2:$N$2=AA136)*(AH136:AS136-$C$7:$N$7))))</f>
        <v/>
      </c>
      <c r="AH136">
        <f>IF(C135&lt;=0,0,ROUND(C135*(1+IF(AND(C$6&gt;0,$B136&lt;C$6),C$4,C$5)/12),2))</f>
        <v/>
      </c>
      <c r="AI136">
        <f>IF(D135&lt;=0,0,ROUND(D135*(1+IF(AND(D$6&gt;0,$B136&lt;D$6),D$4,D$5)/12),2))</f>
        <v/>
      </c>
      <c r="AJ136">
        <f>IF(E135&lt;=0,0,ROUND(E135*(1+IF(AND(E$6&gt;0,$B136&lt;E$6),E$4,E$5)/12),2))</f>
        <v/>
      </c>
      <c r="AK136">
        <f>IF(F135&lt;=0,0,ROUND(F135*(1+IF(AND(F$6&gt;0,$B136&lt;F$6),F$4,F$5)/12),2))</f>
        <v/>
      </c>
      <c r="AL136">
        <f>IF(G135&lt;=0,0,ROUND(G135*(1+IF(AND(G$6&gt;0,$B136&lt;G$6),G$4,G$5)/12),2))</f>
        <v/>
      </c>
      <c r="AM136">
        <f>IF(H135&lt;=0,0,ROUND(H135*(1+IF(AND(H$6&gt;0,$B136&lt;H$6),H$4,H$5)/12),2))</f>
        <v/>
      </c>
      <c r="AN136">
        <f>IF(I135&lt;=0,0,ROUND(I135*(1+IF(AND(I$6&gt;0,$B136&lt;I$6),I$4,I$5)/12),2))</f>
        <v/>
      </c>
      <c r="AO136">
        <f>IF(J135&lt;=0,0,ROUND(J135*(1+IF(AND(J$6&gt;0,$B136&lt;J$6),J$4,J$5)/12),2))</f>
        <v/>
      </c>
      <c r="AP136">
        <f>IF(K135&lt;=0,0,ROUND(K135*(1+IF(AND(K$6&gt;0,$B136&lt;K$6),K$4,K$5)/12),2))</f>
        <v/>
      </c>
      <c r="AQ136">
        <f>IF(L135&lt;=0,0,ROUND(L135*(1+IF(AND(L$6&gt;0,$B136&lt;L$6),L$4,L$5)/12),2))</f>
        <v/>
      </c>
      <c r="AR136">
        <f>IF(M135&lt;=0,0,ROUND(M135*(1+IF(AND(M$6&gt;0,$B136&lt;M$6),M$4,M$5)/12),2))</f>
        <v/>
      </c>
      <c r="AS136">
        <f>IF(N135&lt;=0,0,ROUND(N135*(1+IF(AND(N$6&gt;0,$B136&lt;N$6),N$4,N$5)/12),2))</f>
        <v/>
      </c>
    </row>
    <row r="137">
      <c r="A137" t="n">
        <v>126</v>
      </c>
      <c r="B137">
        <f>EDATE(Plan!$C$6,125)</f>
        <v/>
      </c>
      <c r="C137">
        <f>IF(C136&lt;=0,0,MAX(0,AH137-O137))</f>
        <v/>
      </c>
      <c r="D137">
        <f>IF(D136&lt;=0,0,MAX(0,AI137-P137))</f>
        <v/>
      </c>
      <c r="E137">
        <f>IF(E136&lt;=0,0,MAX(0,AJ137-Q137))</f>
        <v/>
      </c>
      <c r="F137">
        <f>IF(F136&lt;=0,0,MAX(0,AK137-R137))</f>
        <v/>
      </c>
      <c r="G137">
        <f>IF(G136&lt;=0,0,MAX(0,AL137-S137))</f>
        <v/>
      </c>
      <c r="H137">
        <f>IF(H136&lt;=0,0,MAX(0,AM137-T137))</f>
        <v/>
      </c>
      <c r="I137">
        <f>IF(I136&lt;=0,0,MAX(0,AN137-U137))</f>
        <v/>
      </c>
      <c r="J137">
        <f>IF(J136&lt;=0,0,MAX(0,AO137-V137))</f>
        <v/>
      </c>
      <c r="K137">
        <f>IF(K136&lt;=0,0,MAX(0,AP137-W137))</f>
        <v/>
      </c>
      <c r="L137">
        <f>IF(L136&lt;=0,0,MAX(0,AQ137-X137))</f>
        <v/>
      </c>
      <c r="M137">
        <f>IF(M136&lt;=0,0,MAX(0,AR137-Y137))</f>
        <v/>
      </c>
      <c r="N137">
        <f>IF(N136&lt;=0,0,MAX(0,AS137-Z137))</f>
        <v/>
      </c>
      <c r="O137">
        <f>IF(C136&lt;=0,0,MIN(AH137,C$7+IF(C$2=$AA137,$AC137,IF(C$2=$AF137,$AG137,0))))</f>
        <v/>
      </c>
      <c r="P137">
        <f>IF(D136&lt;=0,0,MIN(AI137,D$7+IF(D$2=$AA137,$AC137,IF(D$2=$AF137,$AG137,0))))</f>
        <v/>
      </c>
      <c r="Q137">
        <f>IF(E136&lt;=0,0,MIN(AJ137,E$7+IF(E$2=$AA137,$AC137,IF(E$2=$AF137,$AG137,0))))</f>
        <v/>
      </c>
      <c r="R137">
        <f>IF(F136&lt;=0,0,MIN(AK137,F$7+IF(F$2=$AA137,$AC137,IF(F$2=$AF137,$AG137,0))))</f>
        <v/>
      </c>
      <c r="S137">
        <f>IF(G136&lt;=0,0,MIN(AL137,G$7+IF(G$2=$AA137,$AC137,IF(G$2=$AF137,$AG137,0))))</f>
        <v/>
      </c>
      <c r="T137">
        <f>IF(H136&lt;=0,0,MIN(AM137,H$7+IF(H$2=$AA137,$AC137,IF(H$2=$AF137,$AG137,0))))</f>
        <v/>
      </c>
      <c r="U137">
        <f>IF(I136&lt;=0,0,MIN(AN137,I$7+IF(I$2=$AA137,$AC137,IF(I$2=$AF137,$AG137,0))))</f>
        <v/>
      </c>
      <c r="V137">
        <f>IF(J136&lt;=0,0,MIN(AO137,J$7+IF(J$2=$AA137,$AC137,IF(J$2=$AF137,$AG137,0))))</f>
        <v/>
      </c>
      <c r="W137">
        <f>IF(K136&lt;=0,0,MIN(AP137,K$7+IF(K$2=$AA137,$AC137,IF(K$2=$AF137,$AG137,0))))</f>
        <v/>
      </c>
      <c r="X137">
        <f>IF(L136&lt;=0,0,MIN(AQ137,L$7+IF(L$2=$AA137,$AC137,IF(L$2=$AF137,$AG137,0))))</f>
        <v/>
      </c>
      <c r="Y137">
        <f>IF(M136&lt;=0,0,MIN(AR137,M$7+IF(M$2=$AA137,$AC137,IF(M$2=$AF137,$AG137,0))))</f>
        <v/>
      </c>
      <c r="Z137">
        <f>IF(N136&lt;=0,0,MIN(AS137,N$7+IF(N$2=$AA137,$AC137,IF(N$2=$AF137,$AG137,0))))</f>
        <v/>
      </c>
      <c r="AA137">
        <f>IFERROR(ROUND(1/SUMPRODUCT(MAX((C136:N136&gt;0)*($C$3:$N$3&lt;=B137)/$C$2:$N$2)),0),0)</f>
        <v/>
      </c>
      <c r="AB137">
        <f>SUMPRODUCT((C136:N136&gt;0)*$C$7:$N$7)</f>
        <v/>
      </c>
      <c r="AC137">
        <f>MAX(0,Plan!$C$5-AB137)+IF(A137=Plan!$C$8,N(Plan!$C$7),0)</f>
        <v/>
      </c>
      <c r="AD137">
        <f>SUM(C137:N137)</f>
        <v/>
      </c>
      <c r="AE137">
        <f>SUM(O137:Z137)</f>
        <v/>
      </c>
      <c r="AF137">
        <f>IFERROR(ROUND(1/SUMPRODUCT(MAX((C136:N136&gt;0)*($C$3:$N$3&lt;=B137)*($C$2:$N$2&gt;AA137)/$C$2:$N$2)),0),0)</f>
        <v/>
      </c>
      <c r="AG137">
        <f>MAX(0,AC137-MAX(0,SUMPRODUCT(($C$2:$N$2=AA137)*(AH137:AS137-$C$7:$N$7))))</f>
        <v/>
      </c>
      <c r="AH137">
        <f>IF(C136&lt;=0,0,ROUND(C136*(1+IF(AND(C$6&gt;0,$B137&lt;C$6),C$4,C$5)/12),2))</f>
        <v/>
      </c>
      <c r="AI137">
        <f>IF(D136&lt;=0,0,ROUND(D136*(1+IF(AND(D$6&gt;0,$B137&lt;D$6),D$4,D$5)/12),2))</f>
        <v/>
      </c>
      <c r="AJ137">
        <f>IF(E136&lt;=0,0,ROUND(E136*(1+IF(AND(E$6&gt;0,$B137&lt;E$6),E$4,E$5)/12),2))</f>
        <v/>
      </c>
      <c r="AK137">
        <f>IF(F136&lt;=0,0,ROUND(F136*(1+IF(AND(F$6&gt;0,$B137&lt;F$6),F$4,F$5)/12),2))</f>
        <v/>
      </c>
      <c r="AL137">
        <f>IF(G136&lt;=0,0,ROUND(G136*(1+IF(AND(G$6&gt;0,$B137&lt;G$6),G$4,G$5)/12),2))</f>
        <v/>
      </c>
      <c r="AM137">
        <f>IF(H136&lt;=0,0,ROUND(H136*(1+IF(AND(H$6&gt;0,$B137&lt;H$6),H$4,H$5)/12),2))</f>
        <v/>
      </c>
      <c r="AN137">
        <f>IF(I136&lt;=0,0,ROUND(I136*(1+IF(AND(I$6&gt;0,$B137&lt;I$6),I$4,I$5)/12),2))</f>
        <v/>
      </c>
      <c r="AO137">
        <f>IF(J136&lt;=0,0,ROUND(J136*(1+IF(AND(J$6&gt;0,$B137&lt;J$6),J$4,J$5)/12),2))</f>
        <v/>
      </c>
      <c r="AP137">
        <f>IF(K136&lt;=0,0,ROUND(K136*(1+IF(AND(K$6&gt;0,$B137&lt;K$6),K$4,K$5)/12),2))</f>
        <v/>
      </c>
      <c r="AQ137">
        <f>IF(L136&lt;=0,0,ROUND(L136*(1+IF(AND(L$6&gt;0,$B137&lt;L$6),L$4,L$5)/12),2))</f>
        <v/>
      </c>
      <c r="AR137">
        <f>IF(M136&lt;=0,0,ROUND(M136*(1+IF(AND(M$6&gt;0,$B137&lt;M$6),M$4,M$5)/12),2))</f>
        <v/>
      </c>
      <c r="AS137">
        <f>IF(N136&lt;=0,0,ROUND(N136*(1+IF(AND(N$6&gt;0,$B137&lt;N$6),N$4,N$5)/12),2))</f>
        <v/>
      </c>
    </row>
    <row r="138">
      <c r="A138" t="n">
        <v>127</v>
      </c>
      <c r="B138">
        <f>EDATE(Plan!$C$6,126)</f>
        <v/>
      </c>
      <c r="C138">
        <f>IF(C137&lt;=0,0,MAX(0,AH138-O138))</f>
        <v/>
      </c>
      <c r="D138">
        <f>IF(D137&lt;=0,0,MAX(0,AI138-P138))</f>
        <v/>
      </c>
      <c r="E138">
        <f>IF(E137&lt;=0,0,MAX(0,AJ138-Q138))</f>
        <v/>
      </c>
      <c r="F138">
        <f>IF(F137&lt;=0,0,MAX(0,AK138-R138))</f>
        <v/>
      </c>
      <c r="G138">
        <f>IF(G137&lt;=0,0,MAX(0,AL138-S138))</f>
        <v/>
      </c>
      <c r="H138">
        <f>IF(H137&lt;=0,0,MAX(0,AM138-T138))</f>
        <v/>
      </c>
      <c r="I138">
        <f>IF(I137&lt;=0,0,MAX(0,AN138-U138))</f>
        <v/>
      </c>
      <c r="J138">
        <f>IF(J137&lt;=0,0,MAX(0,AO138-V138))</f>
        <v/>
      </c>
      <c r="K138">
        <f>IF(K137&lt;=0,0,MAX(0,AP138-W138))</f>
        <v/>
      </c>
      <c r="L138">
        <f>IF(L137&lt;=0,0,MAX(0,AQ138-X138))</f>
        <v/>
      </c>
      <c r="M138">
        <f>IF(M137&lt;=0,0,MAX(0,AR138-Y138))</f>
        <v/>
      </c>
      <c r="N138">
        <f>IF(N137&lt;=0,0,MAX(0,AS138-Z138))</f>
        <v/>
      </c>
      <c r="O138">
        <f>IF(C137&lt;=0,0,MIN(AH138,C$7+IF(C$2=$AA138,$AC138,IF(C$2=$AF138,$AG138,0))))</f>
        <v/>
      </c>
      <c r="P138">
        <f>IF(D137&lt;=0,0,MIN(AI138,D$7+IF(D$2=$AA138,$AC138,IF(D$2=$AF138,$AG138,0))))</f>
        <v/>
      </c>
      <c r="Q138">
        <f>IF(E137&lt;=0,0,MIN(AJ138,E$7+IF(E$2=$AA138,$AC138,IF(E$2=$AF138,$AG138,0))))</f>
        <v/>
      </c>
      <c r="R138">
        <f>IF(F137&lt;=0,0,MIN(AK138,F$7+IF(F$2=$AA138,$AC138,IF(F$2=$AF138,$AG138,0))))</f>
        <v/>
      </c>
      <c r="S138">
        <f>IF(G137&lt;=0,0,MIN(AL138,G$7+IF(G$2=$AA138,$AC138,IF(G$2=$AF138,$AG138,0))))</f>
        <v/>
      </c>
      <c r="T138">
        <f>IF(H137&lt;=0,0,MIN(AM138,H$7+IF(H$2=$AA138,$AC138,IF(H$2=$AF138,$AG138,0))))</f>
        <v/>
      </c>
      <c r="U138">
        <f>IF(I137&lt;=0,0,MIN(AN138,I$7+IF(I$2=$AA138,$AC138,IF(I$2=$AF138,$AG138,0))))</f>
        <v/>
      </c>
      <c r="V138">
        <f>IF(J137&lt;=0,0,MIN(AO138,J$7+IF(J$2=$AA138,$AC138,IF(J$2=$AF138,$AG138,0))))</f>
        <v/>
      </c>
      <c r="W138">
        <f>IF(K137&lt;=0,0,MIN(AP138,K$7+IF(K$2=$AA138,$AC138,IF(K$2=$AF138,$AG138,0))))</f>
        <v/>
      </c>
      <c r="X138">
        <f>IF(L137&lt;=0,0,MIN(AQ138,L$7+IF(L$2=$AA138,$AC138,IF(L$2=$AF138,$AG138,0))))</f>
        <v/>
      </c>
      <c r="Y138">
        <f>IF(M137&lt;=0,0,MIN(AR138,M$7+IF(M$2=$AA138,$AC138,IF(M$2=$AF138,$AG138,0))))</f>
        <v/>
      </c>
      <c r="Z138">
        <f>IF(N137&lt;=0,0,MIN(AS138,N$7+IF(N$2=$AA138,$AC138,IF(N$2=$AF138,$AG138,0))))</f>
        <v/>
      </c>
      <c r="AA138">
        <f>IFERROR(ROUND(1/SUMPRODUCT(MAX((C137:N137&gt;0)*($C$3:$N$3&lt;=B138)/$C$2:$N$2)),0),0)</f>
        <v/>
      </c>
      <c r="AB138">
        <f>SUMPRODUCT((C137:N137&gt;0)*$C$7:$N$7)</f>
        <v/>
      </c>
      <c r="AC138">
        <f>MAX(0,Plan!$C$5-AB138)+IF(A138=Plan!$C$8,N(Plan!$C$7),0)</f>
        <v/>
      </c>
      <c r="AD138">
        <f>SUM(C138:N138)</f>
        <v/>
      </c>
      <c r="AE138">
        <f>SUM(O138:Z138)</f>
        <v/>
      </c>
      <c r="AF138">
        <f>IFERROR(ROUND(1/SUMPRODUCT(MAX((C137:N137&gt;0)*($C$3:$N$3&lt;=B138)*($C$2:$N$2&gt;AA138)/$C$2:$N$2)),0),0)</f>
        <v/>
      </c>
      <c r="AG138">
        <f>MAX(0,AC138-MAX(0,SUMPRODUCT(($C$2:$N$2=AA138)*(AH138:AS138-$C$7:$N$7))))</f>
        <v/>
      </c>
      <c r="AH138">
        <f>IF(C137&lt;=0,0,ROUND(C137*(1+IF(AND(C$6&gt;0,$B138&lt;C$6),C$4,C$5)/12),2))</f>
        <v/>
      </c>
      <c r="AI138">
        <f>IF(D137&lt;=0,0,ROUND(D137*(1+IF(AND(D$6&gt;0,$B138&lt;D$6),D$4,D$5)/12),2))</f>
        <v/>
      </c>
      <c r="AJ138">
        <f>IF(E137&lt;=0,0,ROUND(E137*(1+IF(AND(E$6&gt;0,$B138&lt;E$6),E$4,E$5)/12),2))</f>
        <v/>
      </c>
      <c r="AK138">
        <f>IF(F137&lt;=0,0,ROUND(F137*(1+IF(AND(F$6&gt;0,$B138&lt;F$6),F$4,F$5)/12),2))</f>
        <v/>
      </c>
      <c r="AL138">
        <f>IF(G137&lt;=0,0,ROUND(G137*(1+IF(AND(G$6&gt;0,$B138&lt;G$6),G$4,G$5)/12),2))</f>
        <v/>
      </c>
      <c r="AM138">
        <f>IF(H137&lt;=0,0,ROUND(H137*(1+IF(AND(H$6&gt;0,$B138&lt;H$6),H$4,H$5)/12),2))</f>
        <v/>
      </c>
      <c r="AN138">
        <f>IF(I137&lt;=0,0,ROUND(I137*(1+IF(AND(I$6&gt;0,$B138&lt;I$6),I$4,I$5)/12),2))</f>
        <v/>
      </c>
      <c r="AO138">
        <f>IF(J137&lt;=0,0,ROUND(J137*(1+IF(AND(J$6&gt;0,$B138&lt;J$6),J$4,J$5)/12),2))</f>
        <v/>
      </c>
      <c r="AP138">
        <f>IF(K137&lt;=0,0,ROUND(K137*(1+IF(AND(K$6&gt;0,$B138&lt;K$6),K$4,K$5)/12),2))</f>
        <v/>
      </c>
      <c r="AQ138">
        <f>IF(L137&lt;=0,0,ROUND(L137*(1+IF(AND(L$6&gt;0,$B138&lt;L$6),L$4,L$5)/12),2))</f>
        <v/>
      </c>
      <c r="AR138">
        <f>IF(M137&lt;=0,0,ROUND(M137*(1+IF(AND(M$6&gt;0,$B138&lt;M$6),M$4,M$5)/12),2))</f>
        <v/>
      </c>
      <c r="AS138">
        <f>IF(N137&lt;=0,0,ROUND(N137*(1+IF(AND(N$6&gt;0,$B138&lt;N$6),N$4,N$5)/12),2))</f>
        <v/>
      </c>
    </row>
    <row r="139">
      <c r="A139" t="n">
        <v>128</v>
      </c>
      <c r="B139">
        <f>EDATE(Plan!$C$6,127)</f>
        <v/>
      </c>
      <c r="C139">
        <f>IF(C138&lt;=0,0,MAX(0,AH139-O139))</f>
        <v/>
      </c>
      <c r="D139">
        <f>IF(D138&lt;=0,0,MAX(0,AI139-P139))</f>
        <v/>
      </c>
      <c r="E139">
        <f>IF(E138&lt;=0,0,MAX(0,AJ139-Q139))</f>
        <v/>
      </c>
      <c r="F139">
        <f>IF(F138&lt;=0,0,MAX(0,AK139-R139))</f>
        <v/>
      </c>
      <c r="G139">
        <f>IF(G138&lt;=0,0,MAX(0,AL139-S139))</f>
        <v/>
      </c>
      <c r="H139">
        <f>IF(H138&lt;=0,0,MAX(0,AM139-T139))</f>
        <v/>
      </c>
      <c r="I139">
        <f>IF(I138&lt;=0,0,MAX(0,AN139-U139))</f>
        <v/>
      </c>
      <c r="J139">
        <f>IF(J138&lt;=0,0,MAX(0,AO139-V139))</f>
        <v/>
      </c>
      <c r="K139">
        <f>IF(K138&lt;=0,0,MAX(0,AP139-W139))</f>
        <v/>
      </c>
      <c r="L139">
        <f>IF(L138&lt;=0,0,MAX(0,AQ139-X139))</f>
        <v/>
      </c>
      <c r="M139">
        <f>IF(M138&lt;=0,0,MAX(0,AR139-Y139))</f>
        <v/>
      </c>
      <c r="N139">
        <f>IF(N138&lt;=0,0,MAX(0,AS139-Z139))</f>
        <v/>
      </c>
      <c r="O139">
        <f>IF(C138&lt;=0,0,MIN(AH139,C$7+IF(C$2=$AA139,$AC139,IF(C$2=$AF139,$AG139,0))))</f>
        <v/>
      </c>
      <c r="P139">
        <f>IF(D138&lt;=0,0,MIN(AI139,D$7+IF(D$2=$AA139,$AC139,IF(D$2=$AF139,$AG139,0))))</f>
        <v/>
      </c>
      <c r="Q139">
        <f>IF(E138&lt;=0,0,MIN(AJ139,E$7+IF(E$2=$AA139,$AC139,IF(E$2=$AF139,$AG139,0))))</f>
        <v/>
      </c>
      <c r="R139">
        <f>IF(F138&lt;=0,0,MIN(AK139,F$7+IF(F$2=$AA139,$AC139,IF(F$2=$AF139,$AG139,0))))</f>
        <v/>
      </c>
      <c r="S139">
        <f>IF(G138&lt;=0,0,MIN(AL139,G$7+IF(G$2=$AA139,$AC139,IF(G$2=$AF139,$AG139,0))))</f>
        <v/>
      </c>
      <c r="T139">
        <f>IF(H138&lt;=0,0,MIN(AM139,H$7+IF(H$2=$AA139,$AC139,IF(H$2=$AF139,$AG139,0))))</f>
        <v/>
      </c>
      <c r="U139">
        <f>IF(I138&lt;=0,0,MIN(AN139,I$7+IF(I$2=$AA139,$AC139,IF(I$2=$AF139,$AG139,0))))</f>
        <v/>
      </c>
      <c r="V139">
        <f>IF(J138&lt;=0,0,MIN(AO139,J$7+IF(J$2=$AA139,$AC139,IF(J$2=$AF139,$AG139,0))))</f>
        <v/>
      </c>
      <c r="W139">
        <f>IF(K138&lt;=0,0,MIN(AP139,K$7+IF(K$2=$AA139,$AC139,IF(K$2=$AF139,$AG139,0))))</f>
        <v/>
      </c>
      <c r="X139">
        <f>IF(L138&lt;=0,0,MIN(AQ139,L$7+IF(L$2=$AA139,$AC139,IF(L$2=$AF139,$AG139,0))))</f>
        <v/>
      </c>
      <c r="Y139">
        <f>IF(M138&lt;=0,0,MIN(AR139,M$7+IF(M$2=$AA139,$AC139,IF(M$2=$AF139,$AG139,0))))</f>
        <v/>
      </c>
      <c r="Z139">
        <f>IF(N138&lt;=0,0,MIN(AS139,N$7+IF(N$2=$AA139,$AC139,IF(N$2=$AF139,$AG139,0))))</f>
        <v/>
      </c>
      <c r="AA139">
        <f>IFERROR(ROUND(1/SUMPRODUCT(MAX((C138:N138&gt;0)*($C$3:$N$3&lt;=B139)/$C$2:$N$2)),0),0)</f>
        <v/>
      </c>
      <c r="AB139">
        <f>SUMPRODUCT((C138:N138&gt;0)*$C$7:$N$7)</f>
        <v/>
      </c>
      <c r="AC139">
        <f>MAX(0,Plan!$C$5-AB139)+IF(A139=Plan!$C$8,N(Plan!$C$7),0)</f>
        <v/>
      </c>
      <c r="AD139">
        <f>SUM(C139:N139)</f>
        <v/>
      </c>
      <c r="AE139">
        <f>SUM(O139:Z139)</f>
        <v/>
      </c>
      <c r="AF139">
        <f>IFERROR(ROUND(1/SUMPRODUCT(MAX((C138:N138&gt;0)*($C$3:$N$3&lt;=B139)*($C$2:$N$2&gt;AA139)/$C$2:$N$2)),0),0)</f>
        <v/>
      </c>
      <c r="AG139">
        <f>MAX(0,AC139-MAX(0,SUMPRODUCT(($C$2:$N$2=AA139)*(AH139:AS139-$C$7:$N$7))))</f>
        <v/>
      </c>
      <c r="AH139">
        <f>IF(C138&lt;=0,0,ROUND(C138*(1+IF(AND(C$6&gt;0,$B139&lt;C$6),C$4,C$5)/12),2))</f>
        <v/>
      </c>
      <c r="AI139">
        <f>IF(D138&lt;=0,0,ROUND(D138*(1+IF(AND(D$6&gt;0,$B139&lt;D$6),D$4,D$5)/12),2))</f>
        <v/>
      </c>
      <c r="AJ139">
        <f>IF(E138&lt;=0,0,ROUND(E138*(1+IF(AND(E$6&gt;0,$B139&lt;E$6),E$4,E$5)/12),2))</f>
        <v/>
      </c>
      <c r="AK139">
        <f>IF(F138&lt;=0,0,ROUND(F138*(1+IF(AND(F$6&gt;0,$B139&lt;F$6),F$4,F$5)/12),2))</f>
        <v/>
      </c>
      <c r="AL139">
        <f>IF(G138&lt;=0,0,ROUND(G138*(1+IF(AND(G$6&gt;0,$B139&lt;G$6),G$4,G$5)/12),2))</f>
        <v/>
      </c>
      <c r="AM139">
        <f>IF(H138&lt;=0,0,ROUND(H138*(1+IF(AND(H$6&gt;0,$B139&lt;H$6),H$4,H$5)/12),2))</f>
        <v/>
      </c>
      <c r="AN139">
        <f>IF(I138&lt;=0,0,ROUND(I138*(1+IF(AND(I$6&gt;0,$B139&lt;I$6),I$4,I$5)/12),2))</f>
        <v/>
      </c>
      <c r="AO139">
        <f>IF(J138&lt;=0,0,ROUND(J138*(1+IF(AND(J$6&gt;0,$B139&lt;J$6),J$4,J$5)/12),2))</f>
        <v/>
      </c>
      <c r="AP139">
        <f>IF(K138&lt;=0,0,ROUND(K138*(1+IF(AND(K$6&gt;0,$B139&lt;K$6),K$4,K$5)/12),2))</f>
        <v/>
      </c>
      <c r="AQ139">
        <f>IF(L138&lt;=0,0,ROUND(L138*(1+IF(AND(L$6&gt;0,$B139&lt;L$6),L$4,L$5)/12),2))</f>
        <v/>
      </c>
      <c r="AR139">
        <f>IF(M138&lt;=0,0,ROUND(M138*(1+IF(AND(M$6&gt;0,$B139&lt;M$6),M$4,M$5)/12),2))</f>
        <v/>
      </c>
      <c r="AS139">
        <f>IF(N138&lt;=0,0,ROUND(N138*(1+IF(AND(N$6&gt;0,$B139&lt;N$6),N$4,N$5)/12),2))</f>
        <v/>
      </c>
    </row>
    <row r="140">
      <c r="A140" t="n">
        <v>129</v>
      </c>
      <c r="B140">
        <f>EDATE(Plan!$C$6,128)</f>
        <v/>
      </c>
      <c r="C140">
        <f>IF(C139&lt;=0,0,MAX(0,AH140-O140))</f>
        <v/>
      </c>
      <c r="D140">
        <f>IF(D139&lt;=0,0,MAX(0,AI140-P140))</f>
        <v/>
      </c>
      <c r="E140">
        <f>IF(E139&lt;=0,0,MAX(0,AJ140-Q140))</f>
        <v/>
      </c>
      <c r="F140">
        <f>IF(F139&lt;=0,0,MAX(0,AK140-R140))</f>
        <v/>
      </c>
      <c r="G140">
        <f>IF(G139&lt;=0,0,MAX(0,AL140-S140))</f>
        <v/>
      </c>
      <c r="H140">
        <f>IF(H139&lt;=0,0,MAX(0,AM140-T140))</f>
        <v/>
      </c>
      <c r="I140">
        <f>IF(I139&lt;=0,0,MAX(0,AN140-U140))</f>
        <v/>
      </c>
      <c r="J140">
        <f>IF(J139&lt;=0,0,MAX(0,AO140-V140))</f>
        <v/>
      </c>
      <c r="K140">
        <f>IF(K139&lt;=0,0,MAX(0,AP140-W140))</f>
        <v/>
      </c>
      <c r="L140">
        <f>IF(L139&lt;=0,0,MAX(0,AQ140-X140))</f>
        <v/>
      </c>
      <c r="M140">
        <f>IF(M139&lt;=0,0,MAX(0,AR140-Y140))</f>
        <v/>
      </c>
      <c r="N140">
        <f>IF(N139&lt;=0,0,MAX(0,AS140-Z140))</f>
        <v/>
      </c>
      <c r="O140">
        <f>IF(C139&lt;=0,0,MIN(AH140,C$7+IF(C$2=$AA140,$AC140,IF(C$2=$AF140,$AG140,0))))</f>
        <v/>
      </c>
      <c r="P140">
        <f>IF(D139&lt;=0,0,MIN(AI140,D$7+IF(D$2=$AA140,$AC140,IF(D$2=$AF140,$AG140,0))))</f>
        <v/>
      </c>
      <c r="Q140">
        <f>IF(E139&lt;=0,0,MIN(AJ140,E$7+IF(E$2=$AA140,$AC140,IF(E$2=$AF140,$AG140,0))))</f>
        <v/>
      </c>
      <c r="R140">
        <f>IF(F139&lt;=0,0,MIN(AK140,F$7+IF(F$2=$AA140,$AC140,IF(F$2=$AF140,$AG140,0))))</f>
        <v/>
      </c>
      <c r="S140">
        <f>IF(G139&lt;=0,0,MIN(AL140,G$7+IF(G$2=$AA140,$AC140,IF(G$2=$AF140,$AG140,0))))</f>
        <v/>
      </c>
      <c r="T140">
        <f>IF(H139&lt;=0,0,MIN(AM140,H$7+IF(H$2=$AA140,$AC140,IF(H$2=$AF140,$AG140,0))))</f>
        <v/>
      </c>
      <c r="U140">
        <f>IF(I139&lt;=0,0,MIN(AN140,I$7+IF(I$2=$AA140,$AC140,IF(I$2=$AF140,$AG140,0))))</f>
        <v/>
      </c>
      <c r="V140">
        <f>IF(J139&lt;=0,0,MIN(AO140,J$7+IF(J$2=$AA140,$AC140,IF(J$2=$AF140,$AG140,0))))</f>
        <v/>
      </c>
      <c r="W140">
        <f>IF(K139&lt;=0,0,MIN(AP140,K$7+IF(K$2=$AA140,$AC140,IF(K$2=$AF140,$AG140,0))))</f>
        <v/>
      </c>
      <c r="X140">
        <f>IF(L139&lt;=0,0,MIN(AQ140,L$7+IF(L$2=$AA140,$AC140,IF(L$2=$AF140,$AG140,0))))</f>
        <v/>
      </c>
      <c r="Y140">
        <f>IF(M139&lt;=0,0,MIN(AR140,M$7+IF(M$2=$AA140,$AC140,IF(M$2=$AF140,$AG140,0))))</f>
        <v/>
      </c>
      <c r="Z140">
        <f>IF(N139&lt;=0,0,MIN(AS140,N$7+IF(N$2=$AA140,$AC140,IF(N$2=$AF140,$AG140,0))))</f>
        <v/>
      </c>
      <c r="AA140">
        <f>IFERROR(ROUND(1/SUMPRODUCT(MAX((C139:N139&gt;0)*($C$3:$N$3&lt;=B140)/$C$2:$N$2)),0),0)</f>
        <v/>
      </c>
      <c r="AB140">
        <f>SUMPRODUCT((C139:N139&gt;0)*$C$7:$N$7)</f>
        <v/>
      </c>
      <c r="AC140">
        <f>MAX(0,Plan!$C$5-AB140)+IF(A140=Plan!$C$8,N(Plan!$C$7),0)</f>
        <v/>
      </c>
      <c r="AD140">
        <f>SUM(C140:N140)</f>
        <v/>
      </c>
      <c r="AE140">
        <f>SUM(O140:Z140)</f>
        <v/>
      </c>
      <c r="AF140">
        <f>IFERROR(ROUND(1/SUMPRODUCT(MAX((C139:N139&gt;0)*($C$3:$N$3&lt;=B140)*($C$2:$N$2&gt;AA140)/$C$2:$N$2)),0),0)</f>
        <v/>
      </c>
      <c r="AG140">
        <f>MAX(0,AC140-MAX(0,SUMPRODUCT(($C$2:$N$2=AA140)*(AH140:AS140-$C$7:$N$7))))</f>
        <v/>
      </c>
      <c r="AH140">
        <f>IF(C139&lt;=0,0,ROUND(C139*(1+IF(AND(C$6&gt;0,$B140&lt;C$6),C$4,C$5)/12),2))</f>
        <v/>
      </c>
      <c r="AI140">
        <f>IF(D139&lt;=0,0,ROUND(D139*(1+IF(AND(D$6&gt;0,$B140&lt;D$6),D$4,D$5)/12),2))</f>
        <v/>
      </c>
      <c r="AJ140">
        <f>IF(E139&lt;=0,0,ROUND(E139*(1+IF(AND(E$6&gt;0,$B140&lt;E$6),E$4,E$5)/12),2))</f>
        <v/>
      </c>
      <c r="AK140">
        <f>IF(F139&lt;=0,0,ROUND(F139*(1+IF(AND(F$6&gt;0,$B140&lt;F$6),F$4,F$5)/12),2))</f>
        <v/>
      </c>
      <c r="AL140">
        <f>IF(G139&lt;=0,0,ROUND(G139*(1+IF(AND(G$6&gt;0,$B140&lt;G$6),G$4,G$5)/12),2))</f>
        <v/>
      </c>
      <c r="AM140">
        <f>IF(H139&lt;=0,0,ROUND(H139*(1+IF(AND(H$6&gt;0,$B140&lt;H$6),H$4,H$5)/12),2))</f>
        <v/>
      </c>
      <c r="AN140">
        <f>IF(I139&lt;=0,0,ROUND(I139*(1+IF(AND(I$6&gt;0,$B140&lt;I$6),I$4,I$5)/12),2))</f>
        <v/>
      </c>
      <c r="AO140">
        <f>IF(J139&lt;=0,0,ROUND(J139*(1+IF(AND(J$6&gt;0,$B140&lt;J$6),J$4,J$5)/12),2))</f>
        <v/>
      </c>
      <c r="AP140">
        <f>IF(K139&lt;=0,0,ROUND(K139*(1+IF(AND(K$6&gt;0,$B140&lt;K$6),K$4,K$5)/12),2))</f>
        <v/>
      </c>
      <c r="AQ140">
        <f>IF(L139&lt;=0,0,ROUND(L139*(1+IF(AND(L$6&gt;0,$B140&lt;L$6),L$4,L$5)/12),2))</f>
        <v/>
      </c>
      <c r="AR140">
        <f>IF(M139&lt;=0,0,ROUND(M139*(1+IF(AND(M$6&gt;0,$B140&lt;M$6),M$4,M$5)/12),2))</f>
        <v/>
      </c>
      <c r="AS140">
        <f>IF(N139&lt;=0,0,ROUND(N139*(1+IF(AND(N$6&gt;0,$B140&lt;N$6),N$4,N$5)/12),2))</f>
        <v/>
      </c>
    </row>
    <row r="141">
      <c r="A141" t="n">
        <v>130</v>
      </c>
      <c r="B141">
        <f>EDATE(Plan!$C$6,129)</f>
        <v/>
      </c>
      <c r="C141">
        <f>IF(C140&lt;=0,0,MAX(0,AH141-O141))</f>
        <v/>
      </c>
      <c r="D141">
        <f>IF(D140&lt;=0,0,MAX(0,AI141-P141))</f>
        <v/>
      </c>
      <c r="E141">
        <f>IF(E140&lt;=0,0,MAX(0,AJ141-Q141))</f>
        <v/>
      </c>
      <c r="F141">
        <f>IF(F140&lt;=0,0,MAX(0,AK141-R141))</f>
        <v/>
      </c>
      <c r="G141">
        <f>IF(G140&lt;=0,0,MAX(0,AL141-S141))</f>
        <v/>
      </c>
      <c r="H141">
        <f>IF(H140&lt;=0,0,MAX(0,AM141-T141))</f>
        <v/>
      </c>
      <c r="I141">
        <f>IF(I140&lt;=0,0,MAX(0,AN141-U141))</f>
        <v/>
      </c>
      <c r="J141">
        <f>IF(J140&lt;=0,0,MAX(0,AO141-V141))</f>
        <v/>
      </c>
      <c r="K141">
        <f>IF(K140&lt;=0,0,MAX(0,AP141-W141))</f>
        <v/>
      </c>
      <c r="L141">
        <f>IF(L140&lt;=0,0,MAX(0,AQ141-X141))</f>
        <v/>
      </c>
      <c r="M141">
        <f>IF(M140&lt;=0,0,MAX(0,AR141-Y141))</f>
        <v/>
      </c>
      <c r="N141">
        <f>IF(N140&lt;=0,0,MAX(0,AS141-Z141))</f>
        <v/>
      </c>
      <c r="O141">
        <f>IF(C140&lt;=0,0,MIN(AH141,C$7+IF(C$2=$AA141,$AC141,IF(C$2=$AF141,$AG141,0))))</f>
        <v/>
      </c>
      <c r="P141">
        <f>IF(D140&lt;=0,0,MIN(AI141,D$7+IF(D$2=$AA141,$AC141,IF(D$2=$AF141,$AG141,0))))</f>
        <v/>
      </c>
      <c r="Q141">
        <f>IF(E140&lt;=0,0,MIN(AJ141,E$7+IF(E$2=$AA141,$AC141,IF(E$2=$AF141,$AG141,0))))</f>
        <v/>
      </c>
      <c r="R141">
        <f>IF(F140&lt;=0,0,MIN(AK141,F$7+IF(F$2=$AA141,$AC141,IF(F$2=$AF141,$AG141,0))))</f>
        <v/>
      </c>
      <c r="S141">
        <f>IF(G140&lt;=0,0,MIN(AL141,G$7+IF(G$2=$AA141,$AC141,IF(G$2=$AF141,$AG141,0))))</f>
        <v/>
      </c>
      <c r="T141">
        <f>IF(H140&lt;=0,0,MIN(AM141,H$7+IF(H$2=$AA141,$AC141,IF(H$2=$AF141,$AG141,0))))</f>
        <v/>
      </c>
      <c r="U141">
        <f>IF(I140&lt;=0,0,MIN(AN141,I$7+IF(I$2=$AA141,$AC141,IF(I$2=$AF141,$AG141,0))))</f>
        <v/>
      </c>
      <c r="V141">
        <f>IF(J140&lt;=0,0,MIN(AO141,J$7+IF(J$2=$AA141,$AC141,IF(J$2=$AF141,$AG141,0))))</f>
        <v/>
      </c>
      <c r="W141">
        <f>IF(K140&lt;=0,0,MIN(AP141,K$7+IF(K$2=$AA141,$AC141,IF(K$2=$AF141,$AG141,0))))</f>
        <v/>
      </c>
      <c r="X141">
        <f>IF(L140&lt;=0,0,MIN(AQ141,L$7+IF(L$2=$AA141,$AC141,IF(L$2=$AF141,$AG141,0))))</f>
        <v/>
      </c>
      <c r="Y141">
        <f>IF(M140&lt;=0,0,MIN(AR141,M$7+IF(M$2=$AA141,$AC141,IF(M$2=$AF141,$AG141,0))))</f>
        <v/>
      </c>
      <c r="Z141">
        <f>IF(N140&lt;=0,0,MIN(AS141,N$7+IF(N$2=$AA141,$AC141,IF(N$2=$AF141,$AG141,0))))</f>
        <v/>
      </c>
      <c r="AA141">
        <f>IFERROR(ROUND(1/SUMPRODUCT(MAX((C140:N140&gt;0)*($C$3:$N$3&lt;=B141)/$C$2:$N$2)),0),0)</f>
        <v/>
      </c>
      <c r="AB141">
        <f>SUMPRODUCT((C140:N140&gt;0)*$C$7:$N$7)</f>
        <v/>
      </c>
      <c r="AC141">
        <f>MAX(0,Plan!$C$5-AB141)+IF(A141=Plan!$C$8,N(Plan!$C$7),0)</f>
        <v/>
      </c>
      <c r="AD141">
        <f>SUM(C141:N141)</f>
        <v/>
      </c>
      <c r="AE141">
        <f>SUM(O141:Z141)</f>
        <v/>
      </c>
      <c r="AF141">
        <f>IFERROR(ROUND(1/SUMPRODUCT(MAX((C140:N140&gt;0)*($C$3:$N$3&lt;=B141)*($C$2:$N$2&gt;AA141)/$C$2:$N$2)),0),0)</f>
        <v/>
      </c>
      <c r="AG141">
        <f>MAX(0,AC141-MAX(0,SUMPRODUCT(($C$2:$N$2=AA141)*(AH141:AS141-$C$7:$N$7))))</f>
        <v/>
      </c>
      <c r="AH141">
        <f>IF(C140&lt;=0,0,ROUND(C140*(1+IF(AND(C$6&gt;0,$B141&lt;C$6),C$4,C$5)/12),2))</f>
        <v/>
      </c>
      <c r="AI141">
        <f>IF(D140&lt;=0,0,ROUND(D140*(1+IF(AND(D$6&gt;0,$B141&lt;D$6),D$4,D$5)/12),2))</f>
        <v/>
      </c>
      <c r="AJ141">
        <f>IF(E140&lt;=0,0,ROUND(E140*(1+IF(AND(E$6&gt;0,$B141&lt;E$6),E$4,E$5)/12),2))</f>
        <v/>
      </c>
      <c r="AK141">
        <f>IF(F140&lt;=0,0,ROUND(F140*(1+IF(AND(F$6&gt;0,$B141&lt;F$6),F$4,F$5)/12),2))</f>
        <v/>
      </c>
      <c r="AL141">
        <f>IF(G140&lt;=0,0,ROUND(G140*(1+IF(AND(G$6&gt;0,$B141&lt;G$6),G$4,G$5)/12),2))</f>
        <v/>
      </c>
      <c r="AM141">
        <f>IF(H140&lt;=0,0,ROUND(H140*(1+IF(AND(H$6&gt;0,$B141&lt;H$6),H$4,H$5)/12),2))</f>
        <v/>
      </c>
      <c r="AN141">
        <f>IF(I140&lt;=0,0,ROUND(I140*(1+IF(AND(I$6&gt;0,$B141&lt;I$6),I$4,I$5)/12),2))</f>
        <v/>
      </c>
      <c r="AO141">
        <f>IF(J140&lt;=0,0,ROUND(J140*(1+IF(AND(J$6&gt;0,$B141&lt;J$6),J$4,J$5)/12),2))</f>
        <v/>
      </c>
      <c r="AP141">
        <f>IF(K140&lt;=0,0,ROUND(K140*(1+IF(AND(K$6&gt;0,$B141&lt;K$6),K$4,K$5)/12),2))</f>
        <v/>
      </c>
      <c r="AQ141">
        <f>IF(L140&lt;=0,0,ROUND(L140*(1+IF(AND(L$6&gt;0,$B141&lt;L$6),L$4,L$5)/12),2))</f>
        <v/>
      </c>
      <c r="AR141">
        <f>IF(M140&lt;=0,0,ROUND(M140*(1+IF(AND(M$6&gt;0,$B141&lt;M$6),M$4,M$5)/12),2))</f>
        <v/>
      </c>
      <c r="AS141">
        <f>IF(N140&lt;=0,0,ROUND(N140*(1+IF(AND(N$6&gt;0,$B141&lt;N$6),N$4,N$5)/12),2))</f>
        <v/>
      </c>
    </row>
    <row r="142">
      <c r="A142" t="n">
        <v>131</v>
      </c>
      <c r="B142">
        <f>EDATE(Plan!$C$6,130)</f>
        <v/>
      </c>
      <c r="C142">
        <f>IF(C141&lt;=0,0,MAX(0,AH142-O142))</f>
        <v/>
      </c>
      <c r="D142">
        <f>IF(D141&lt;=0,0,MAX(0,AI142-P142))</f>
        <v/>
      </c>
      <c r="E142">
        <f>IF(E141&lt;=0,0,MAX(0,AJ142-Q142))</f>
        <v/>
      </c>
      <c r="F142">
        <f>IF(F141&lt;=0,0,MAX(0,AK142-R142))</f>
        <v/>
      </c>
      <c r="G142">
        <f>IF(G141&lt;=0,0,MAX(0,AL142-S142))</f>
        <v/>
      </c>
      <c r="H142">
        <f>IF(H141&lt;=0,0,MAX(0,AM142-T142))</f>
        <v/>
      </c>
      <c r="I142">
        <f>IF(I141&lt;=0,0,MAX(0,AN142-U142))</f>
        <v/>
      </c>
      <c r="J142">
        <f>IF(J141&lt;=0,0,MAX(0,AO142-V142))</f>
        <v/>
      </c>
      <c r="K142">
        <f>IF(K141&lt;=0,0,MAX(0,AP142-W142))</f>
        <v/>
      </c>
      <c r="L142">
        <f>IF(L141&lt;=0,0,MAX(0,AQ142-X142))</f>
        <v/>
      </c>
      <c r="M142">
        <f>IF(M141&lt;=0,0,MAX(0,AR142-Y142))</f>
        <v/>
      </c>
      <c r="N142">
        <f>IF(N141&lt;=0,0,MAX(0,AS142-Z142))</f>
        <v/>
      </c>
      <c r="O142">
        <f>IF(C141&lt;=0,0,MIN(AH142,C$7+IF(C$2=$AA142,$AC142,IF(C$2=$AF142,$AG142,0))))</f>
        <v/>
      </c>
      <c r="P142">
        <f>IF(D141&lt;=0,0,MIN(AI142,D$7+IF(D$2=$AA142,$AC142,IF(D$2=$AF142,$AG142,0))))</f>
        <v/>
      </c>
      <c r="Q142">
        <f>IF(E141&lt;=0,0,MIN(AJ142,E$7+IF(E$2=$AA142,$AC142,IF(E$2=$AF142,$AG142,0))))</f>
        <v/>
      </c>
      <c r="R142">
        <f>IF(F141&lt;=0,0,MIN(AK142,F$7+IF(F$2=$AA142,$AC142,IF(F$2=$AF142,$AG142,0))))</f>
        <v/>
      </c>
      <c r="S142">
        <f>IF(G141&lt;=0,0,MIN(AL142,G$7+IF(G$2=$AA142,$AC142,IF(G$2=$AF142,$AG142,0))))</f>
        <v/>
      </c>
      <c r="T142">
        <f>IF(H141&lt;=0,0,MIN(AM142,H$7+IF(H$2=$AA142,$AC142,IF(H$2=$AF142,$AG142,0))))</f>
        <v/>
      </c>
      <c r="U142">
        <f>IF(I141&lt;=0,0,MIN(AN142,I$7+IF(I$2=$AA142,$AC142,IF(I$2=$AF142,$AG142,0))))</f>
        <v/>
      </c>
      <c r="V142">
        <f>IF(J141&lt;=0,0,MIN(AO142,J$7+IF(J$2=$AA142,$AC142,IF(J$2=$AF142,$AG142,0))))</f>
        <v/>
      </c>
      <c r="W142">
        <f>IF(K141&lt;=0,0,MIN(AP142,K$7+IF(K$2=$AA142,$AC142,IF(K$2=$AF142,$AG142,0))))</f>
        <v/>
      </c>
      <c r="X142">
        <f>IF(L141&lt;=0,0,MIN(AQ142,L$7+IF(L$2=$AA142,$AC142,IF(L$2=$AF142,$AG142,0))))</f>
        <v/>
      </c>
      <c r="Y142">
        <f>IF(M141&lt;=0,0,MIN(AR142,M$7+IF(M$2=$AA142,$AC142,IF(M$2=$AF142,$AG142,0))))</f>
        <v/>
      </c>
      <c r="Z142">
        <f>IF(N141&lt;=0,0,MIN(AS142,N$7+IF(N$2=$AA142,$AC142,IF(N$2=$AF142,$AG142,0))))</f>
        <v/>
      </c>
      <c r="AA142">
        <f>IFERROR(ROUND(1/SUMPRODUCT(MAX((C141:N141&gt;0)*($C$3:$N$3&lt;=B142)/$C$2:$N$2)),0),0)</f>
        <v/>
      </c>
      <c r="AB142">
        <f>SUMPRODUCT((C141:N141&gt;0)*$C$7:$N$7)</f>
        <v/>
      </c>
      <c r="AC142">
        <f>MAX(0,Plan!$C$5-AB142)+IF(A142=Plan!$C$8,N(Plan!$C$7),0)</f>
        <v/>
      </c>
      <c r="AD142">
        <f>SUM(C142:N142)</f>
        <v/>
      </c>
      <c r="AE142">
        <f>SUM(O142:Z142)</f>
        <v/>
      </c>
      <c r="AF142">
        <f>IFERROR(ROUND(1/SUMPRODUCT(MAX((C141:N141&gt;0)*($C$3:$N$3&lt;=B142)*($C$2:$N$2&gt;AA142)/$C$2:$N$2)),0),0)</f>
        <v/>
      </c>
      <c r="AG142">
        <f>MAX(0,AC142-MAX(0,SUMPRODUCT(($C$2:$N$2=AA142)*(AH142:AS142-$C$7:$N$7))))</f>
        <v/>
      </c>
      <c r="AH142">
        <f>IF(C141&lt;=0,0,ROUND(C141*(1+IF(AND(C$6&gt;0,$B142&lt;C$6),C$4,C$5)/12),2))</f>
        <v/>
      </c>
      <c r="AI142">
        <f>IF(D141&lt;=0,0,ROUND(D141*(1+IF(AND(D$6&gt;0,$B142&lt;D$6),D$4,D$5)/12),2))</f>
        <v/>
      </c>
      <c r="AJ142">
        <f>IF(E141&lt;=0,0,ROUND(E141*(1+IF(AND(E$6&gt;0,$B142&lt;E$6),E$4,E$5)/12),2))</f>
        <v/>
      </c>
      <c r="AK142">
        <f>IF(F141&lt;=0,0,ROUND(F141*(1+IF(AND(F$6&gt;0,$B142&lt;F$6),F$4,F$5)/12),2))</f>
        <v/>
      </c>
      <c r="AL142">
        <f>IF(G141&lt;=0,0,ROUND(G141*(1+IF(AND(G$6&gt;0,$B142&lt;G$6),G$4,G$5)/12),2))</f>
        <v/>
      </c>
      <c r="AM142">
        <f>IF(H141&lt;=0,0,ROUND(H141*(1+IF(AND(H$6&gt;0,$B142&lt;H$6),H$4,H$5)/12),2))</f>
        <v/>
      </c>
      <c r="AN142">
        <f>IF(I141&lt;=0,0,ROUND(I141*(1+IF(AND(I$6&gt;0,$B142&lt;I$6),I$4,I$5)/12),2))</f>
        <v/>
      </c>
      <c r="AO142">
        <f>IF(J141&lt;=0,0,ROUND(J141*(1+IF(AND(J$6&gt;0,$B142&lt;J$6),J$4,J$5)/12),2))</f>
        <v/>
      </c>
      <c r="AP142">
        <f>IF(K141&lt;=0,0,ROUND(K141*(1+IF(AND(K$6&gt;0,$B142&lt;K$6),K$4,K$5)/12),2))</f>
        <v/>
      </c>
      <c r="AQ142">
        <f>IF(L141&lt;=0,0,ROUND(L141*(1+IF(AND(L$6&gt;0,$B142&lt;L$6),L$4,L$5)/12),2))</f>
        <v/>
      </c>
      <c r="AR142">
        <f>IF(M141&lt;=0,0,ROUND(M141*(1+IF(AND(M$6&gt;0,$B142&lt;M$6),M$4,M$5)/12),2))</f>
        <v/>
      </c>
      <c r="AS142">
        <f>IF(N141&lt;=0,0,ROUND(N141*(1+IF(AND(N$6&gt;0,$B142&lt;N$6),N$4,N$5)/12),2))</f>
        <v/>
      </c>
    </row>
    <row r="143">
      <c r="A143" t="n">
        <v>132</v>
      </c>
      <c r="B143">
        <f>EDATE(Plan!$C$6,131)</f>
        <v/>
      </c>
      <c r="C143">
        <f>IF(C142&lt;=0,0,MAX(0,AH143-O143))</f>
        <v/>
      </c>
      <c r="D143">
        <f>IF(D142&lt;=0,0,MAX(0,AI143-P143))</f>
        <v/>
      </c>
      <c r="E143">
        <f>IF(E142&lt;=0,0,MAX(0,AJ143-Q143))</f>
        <v/>
      </c>
      <c r="F143">
        <f>IF(F142&lt;=0,0,MAX(0,AK143-R143))</f>
        <v/>
      </c>
      <c r="G143">
        <f>IF(G142&lt;=0,0,MAX(0,AL143-S143))</f>
        <v/>
      </c>
      <c r="H143">
        <f>IF(H142&lt;=0,0,MAX(0,AM143-T143))</f>
        <v/>
      </c>
      <c r="I143">
        <f>IF(I142&lt;=0,0,MAX(0,AN143-U143))</f>
        <v/>
      </c>
      <c r="J143">
        <f>IF(J142&lt;=0,0,MAX(0,AO143-V143))</f>
        <v/>
      </c>
      <c r="K143">
        <f>IF(K142&lt;=0,0,MAX(0,AP143-W143))</f>
        <v/>
      </c>
      <c r="L143">
        <f>IF(L142&lt;=0,0,MAX(0,AQ143-X143))</f>
        <v/>
      </c>
      <c r="M143">
        <f>IF(M142&lt;=0,0,MAX(0,AR143-Y143))</f>
        <v/>
      </c>
      <c r="N143">
        <f>IF(N142&lt;=0,0,MAX(0,AS143-Z143))</f>
        <v/>
      </c>
      <c r="O143">
        <f>IF(C142&lt;=0,0,MIN(AH143,C$7+IF(C$2=$AA143,$AC143,IF(C$2=$AF143,$AG143,0))))</f>
        <v/>
      </c>
      <c r="P143">
        <f>IF(D142&lt;=0,0,MIN(AI143,D$7+IF(D$2=$AA143,$AC143,IF(D$2=$AF143,$AG143,0))))</f>
        <v/>
      </c>
      <c r="Q143">
        <f>IF(E142&lt;=0,0,MIN(AJ143,E$7+IF(E$2=$AA143,$AC143,IF(E$2=$AF143,$AG143,0))))</f>
        <v/>
      </c>
      <c r="R143">
        <f>IF(F142&lt;=0,0,MIN(AK143,F$7+IF(F$2=$AA143,$AC143,IF(F$2=$AF143,$AG143,0))))</f>
        <v/>
      </c>
      <c r="S143">
        <f>IF(G142&lt;=0,0,MIN(AL143,G$7+IF(G$2=$AA143,$AC143,IF(G$2=$AF143,$AG143,0))))</f>
        <v/>
      </c>
      <c r="T143">
        <f>IF(H142&lt;=0,0,MIN(AM143,H$7+IF(H$2=$AA143,$AC143,IF(H$2=$AF143,$AG143,0))))</f>
        <v/>
      </c>
      <c r="U143">
        <f>IF(I142&lt;=0,0,MIN(AN143,I$7+IF(I$2=$AA143,$AC143,IF(I$2=$AF143,$AG143,0))))</f>
        <v/>
      </c>
      <c r="V143">
        <f>IF(J142&lt;=0,0,MIN(AO143,J$7+IF(J$2=$AA143,$AC143,IF(J$2=$AF143,$AG143,0))))</f>
        <v/>
      </c>
      <c r="W143">
        <f>IF(K142&lt;=0,0,MIN(AP143,K$7+IF(K$2=$AA143,$AC143,IF(K$2=$AF143,$AG143,0))))</f>
        <v/>
      </c>
      <c r="X143">
        <f>IF(L142&lt;=0,0,MIN(AQ143,L$7+IF(L$2=$AA143,$AC143,IF(L$2=$AF143,$AG143,0))))</f>
        <v/>
      </c>
      <c r="Y143">
        <f>IF(M142&lt;=0,0,MIN(AR143,M$7+IF(M$2=$AA143,$AC143,IF(M$2=$AF143,$AG143,0))))</f>
        <v/>
      </c>
      <c r="Z143">
        <f>IF(N142&lt;=0,0,MIN(AS143,N$7+IF(N$2=$AA143,$AC143,IF(N$2=$AF143,$AG143,0))))</f>
        <v/>
      </c>
      <c r="AA143">
        <f>IFERROR(ROUND(1/SUMPRODUCT(MAX((C142:N142&gt;0)*($C$3:$N$3&lt;=B143)/$C$2:$N$2)),0),0)</f>
        <v/>
      </c>
      <c r="AB143">
        <f>SUMPRODUCT((C142:N142&gt;0)*$C$7:$N$7)</f>
        <v/>
      </c>
      <c r="AC143">
        <f>MAX(0,Plan!$C$5-AB143)+IF(A143=Plan!$C$8,N(Plan!$C$7),0)</f>
        <v/>
      </c>
      <c r="AD143">
        <f>SUM(C143:N143)</f>
        <v/>
      </c>
      <c r="AE143">
        <f>SUM(O143:Z143)</f>
        <v/>
      </c>
      <c r="AF143">
        <f>IFERROR(ROUND(1/SUMPRODUCT(MAX((C142:N142&gt;0)*($C$3:$N$3&lt;=B143)*($C$2:$N$2&gt;AA143)/$C$2:$N$2)),0),0)</f>
        <v/>
      </c>
      <c r="AG143">
        <f>MAX(0,AC143-MAX(0,SUMPRODUCT(($C$2:$N$2=AA143)*(AH143:AS143-$C$7:$N$7))))</f>
        <v/>
      </c>
      <c r="AH143">
        <f>IF(C142&lt;=0,0,ROUND(C142*(1+IF(AND(C$6&gt;0,$B143&lt;C$6),C$4,C$5)/12),2))</f>
        <v/>
      </c>
      <c r="AI143">
        <f>IF(D142&lt;=0,0,ROUND(D142*(1+IF(AND(D$6&gt;0,$B143&lt;D$6),D$4,D$5)/12),2))</f>
        <v/>
      </c>
      <c r="AJ143">
        <f>IF(E142&lt;=0,0,ROUND(E142*(1+IF(AND(E$6&gt;0,$B143&lt;E$6),E$4,E$5)/12),2))</f>
        <v/>
      </c>
      <c r="AK143">
        <f>IF(F142&lt;=0,0,ROUND(F142*(1+IF(AND(F$6&gt;0,$B143&lt;F$6),F$4,F$5)/12),2))</f>
        <v/>
      </c>
      <c r="AL143">
        <f>IF(G142&lt;=0,0,ROUND(G142*(1+IF(AND(G$6&gt;0,$B143&lt;G$6),G$4,G$5)/12),2))</f>
        <v/>
      </c>
      <c r="AM143">
        <f>IF(H142&lt;=0,0,ROUND(H142*(1+IF(AND(H$6&gt;0,$B143&lt;H$6),H$4,H$5)/12),2))</f>
        <v/>
      </c>
      <c r="AN143">
        <f>IF(I142&lt;=0,0,ROUND(I142*(1+IF(AND(I$6&gt;0,$B143&lt;I$6),I$4,I$5)/12),2))</f>
        <v/>
      </c>
      <c r="AO143">
        <f>IF(J142&lt;=0,0,ROUND(J142*(1+IF(AND(J$6&gt;0,$B143&lt;J$6),J$4,J$5)/12),2))</f>
        <v/>
      </c>
      <c r="AP143">
        <f>IF(K142&lt;=0,0,ROUND(K142*(1+IF(AND(K$6&gt;0,$B143&lt;K$6),K$4,K$5)/12),2))</f>
        <v/>
      </c>
      <c r="AQ143">
        <f>IF(L142&lt;=0,0,ROUND(L142*(1+IF(AND(L$6&gt;0,$B143&lt;L$6),L$4,L$5)/12),2))</f>
        <v/>
      </c>
      <c r="AR143">
        <f>IF(M142&lt;=0,0,ROUND(M142*(1+IF(AND(M$6&gt;0,$B143&lt;M$6),M$4,M$5)/12),2))</f>
        <v/>
      </c>
      <c r="AS143">
        <f>IF(N142&lt;=0,0,ROUND(N142*(1+IF(AND(N$6&gt;0,$B143&lt;N$6),N$4,N$5)/12),2))</f>
        <v/>
      </c>
    </row>
    <row r="144">
      <c r="A144" t="n">
        <v>133</v>
      </c>
      <c r="B144">
        <f>EDATE(Plan!$C$6,132)</f>
        <v/>
      </c>
      <c r="C144">
        <f>IF(C143&lt;=0,0,MAX(0,AH144-O144))</f>
        <v/>
      </c>
      <c r="D144">
        <f>IF(D143&lt;=0,0,MAX(0,AI144-P144))</f>
        <v/>
      </c>
      <c r="E144">
        <f>IF(E143&lt;=0,0,MAX(0,AJ144-Q144))</f>
        <v/>
      </c>
      <c r="F144">
        <f>IF(F143&lt;=0,0,MAX(0,AK144-R144))</f>
        <v/>
      </c>
      <c r="G144">
        <f>IF(G143&lt;=0,0,MAX(0,AL144-S144))</f>
        <v/>
      </c>
      <c r="H144">
        <f>IF(H143&lt;=0,0,MAX(0,AM144-T144))</f>
        <v/>
      </c>
      <c r="I144">
        <f>IF(I143&lt;=0,0,MAX(0,AN144-U144))</f>
        <v/>
      </c>
      <c r="J144">
        <f>IF(J143&lt;=0,0,MAX(0,AO144-V144))</f>
        <v/>
      </c>
      <c r="K144">
        <f>IF(K143&lt;=0,0,MAX(0,AP144-W144))</f>
        <v/>
      </c>
      <c r="L144">
        <f>IF(L143&lt;=0,0,MAX(0,AQ144-X144))</f>
        <v/>
      </c>
      <c r="M144">
        <f>IF(M143&lt;=0,0,MAX(0,AR144-Y144))</f>
        <v/>
      </c>
      <c r="N144">
        <f>IF(N143&lt;=0,0,MAX(0,AS144-Z144))</f>
        <v/>
      </c>
      <c r="O144">
        <f>IF(C143&lt;=0,0,MIN(AH144,C$7+IF(C$2=$AA144,$AC144,IF(C$2=$AF144,$AG144,0))))</f>
        <v/>
      </c>
      <c r="P144">
        <f>IF(D143&lt;=0,0,MIN(AI144,D$7+IF(D$2=$AA144,$AC144,IF(D$2=$AF144,$AG144,0))))</f>
        <v/>
      </c>
      <c r="Q144">
        <f>IF(E143&lt;=0,0,MIN(AJ144,E$7+IF(E$2=$AA144,$AC144,IF(E$2=$AF144,$AG144,0))))</f>
        <v/>
      </c>
      <c r="R144">
        <f>IF(F143&lt;=0,0,MIN(AK144,F$7+IF(F$2=$AA144,$AC144,IF(F$2=$AF144,$AG144,0))))</f>
        <v/>
      </c>
      <c r="S144">
        <f>IF(G143&lt;=0,0,MIN(AL144,G$7+IF(G$2=$AA144,$AC144,IF(G$2=$AF144,$AG144,0))))</f>
        <v/>
      </c>
      <c r="T144">
        <f>IF(H143&lt;=0,0,MIN(AM144,H$7+IF(H$2=$AA144,$AC144,IF(H$2=$AF144,$AG144,0))))</f>
        <v/>
      </c>
      <c r="U144">
        <f>IF(I143&lt;=0,0,MIN(AN144,I$7+IF(I$2=$AA144,$AC144,IF(I$2=$AF144,$AG144,0))))</f>
        <v/>
      </c>
      <c r="V144">
        <f>IF(J143&lt;=0,0,MIN(AO144,J$7+IF(J$2=$AA144,$AC144,IF(J$2=$AF144,$AG144,0))))</f>
        <v/>
      </c>
      <c r="W144">
        <f>IF(K143&lt;=0,0,MIN(AP144,K$7+IF(K$2=$AA144,$AC144,IF(K$2=$AF144,$AG144,0))))</f>
        <v/>
      </c>
      <c r="X144">
        <f>IF(L143&lt;=0,0,MIN(AQ144,L$7+IF(L$2=$AA144,$AC144,IF(L$2=$AF144,$AG144,0))))</f>
        <v/>
      </c>
      <c r="Y144">
        <f>IF(M143&lt;=0,0,MIN(AR144,M$7+IF(M$2=$AA144,$AC144,IF(M$2=$AF144,$AG144,0))))</f>
        <v/>
      </c>
      <c r="Z144">
        <f>IF(N143&lt;=0,0,MIN(AS144,N$7+IF(N$2=$AA144,$AC144,IF(N$2=$AF144,$AG144,0))))</f>
        <v/>
      </c>
      <c r="AA144">
        <f>IFERROR(ROUND(1/SUMPRODUCT(MAX((C143:N143&gt;0)*($C$3:$N$3&lt;=B144)/$C$2:$N$2)),0),0)</f>
        <v/>
      </c>
      <c r="AB144">
        <f>SUMPRODUCT((C143:N143&gt;0)*$C$7:$N$7)</f>
        <v/>
      </c>
      <c r="AC144">
        <f>MAX(0,Plan!$C$5-AB144)+IF(A144=Plan!$C$8,N(Plan!$C$7),0)</f>
        <v/>
      </c>
      <c r="AD144">
        <f>SUM(C144:N144)</f>
        <v/>
      </c>
      <c r="AE144">
        <f>SUM(O144:Z144)</f>
        <v/>
      </c>
      <c r="AF144">
        <f>IFERROR(ROUND(1/SUMPRODUCT(MAX((C143:N143&gt;0)*($C$3:$N$3&lt;=B144)*($C$2:$N$2&gt;AA144)/$C$2:$N$2)),0),0)</f>
        <v/>
      </c>
      <c r="AG144">
        <f>MAX(0,AC144-MAX(0,SUMPRODUCT(($C$2:$N$2=AA144)*(AH144:AS144-$C$7:$N$7))))</f>
        <v/>
      </c>
      <c r="AH144">
        <f>IF(C143&lt;=0,0,ROUND(C143*(1+IF(AND(C$6&gt;0,$B144&lt;C$6),C$4,C$5)/12),2))</f>
        <v/>
      </c>
      <c r="AI144">
        <f>IF(D143&lt;=0,0,ROUND(D143*(1+IF(AND(D$6&gt;0,$B144&lt;D$6),D$4,D$5)/12),2))</f>
        <v/>
      </c>
      <c r="AJ144">
        <f>IF(E143&lt;=0,0,ROUND(E143*(1+IF(AND(E$6&gt;0,$B144&lt;E$6),E$4,E$5)/12),2))</f>
        <v/>
      </c>
      <c r="AK144">
        <f>IF(F143&lt;=0,0,ROUND(F143*(1+IF(AND(F$6&gt;0,$B144&lt;F$6),F$4,F$5)/12),2))</f>
        <v/>
      </c>
      <c r="AL144">
        <f>IF(G143&lt;=0,0,ROUND(G143*(1+IF(AND(G$6&gt;0,$B144&lt;G$6),G$4,G$5)/12),2))</f>
        <v/>
      </c>
      <c r="AM144">
        <f>IF(H143&lt;=0,0,ROUND(H143*(1+IF(AND(H$6&gt;0,$B144&lt;H$6),H$4,H$5)/12),2))</f>
        <v/>
      </c>
      <c r="AN144">
        <f>IF(I143&lt;=0,0,ROUND(I143*(1+IF(AND(I$6&gt;0,$B144&lt;I$6),I$4,I$5)/12),2))</f>
        <v/>
      </c>
      <c r="AO144">
        <f>IF(J143&lt;=0,0,ROUND(J143*(1+IF(AND(J$6&gt;0,$B144&lt;J$6),J$4,J$5)/12),2))</f>
        <v/>
      </c>
      <c r="AP144">
        <f>IF(K143&lt;=0,0,ROUND(K143*(1+IF(AND(K$6&gt;0,$B144&lt;K$6),K$4,K$5)/12),2))</f>
        <v/>
      </c>
      <c r="AQ144">
        <f>IF(L143&lt;=0,0,ROUND(L143*(1+IF(AND(L$6&gt;0,$B144&lt;L$6),L$4,L$5)/12),2))</f>
        <v/>
      </c>
      <c r="AR144">
        <f>IF(M143&lt;=0,0,ROUND(M143*(1+IF(AND(M$6&gt;0,$B144&lt;M$6),M$4,M$5)/12),2))</f>
        <v/>
      </c>
      <c r="AS144">
        <f>IF(N143&lt;=0,0,ROUND(N143*(1+IF(AND(N$6&gt;0,$B144&lt;N$6),N$4,N$5)/12),2))</f>
        <v/>
      </c>
    </row>
    <row r="145">
      <c r="A145" t="n">
        <v>134</v>
      </c>
      <c r="B145">
        <f>EDATE(Plan!$C$6,133)</f>
        <v/>
      </c>
      <c r="C145">
        <f>IF(C144&lt;=0,0,MAX(0,AH145-O145))</f>
        <v/>
      </c>
      <c r="D145">
        <f>IF(D144&lt;=0,0,MAX(0,AI145-P145))</f>
        <v/>
      </c>
      <c r="E145">
        <f>IF(E144&lt;=0,0,MAX(0,AJ145-Q145))</f>
        <v/>
      </c>
      <c r="F145">
        <f>IF(F144&lt;=0,0,MAX(0,AK145-R145))</f>
        <v/>
      </c>
      <c r="G145">
        <f>IF(G144&lt;=0,0,MAX(0,AL145-S145))</f>
        <v/>
      </c>
      <c r="H145">
        <f>IF(H144&lt;=0,0,MAX(0,AM145-T145))</f>
        <v/>
      </c>
      <c r="I145">
        <f>IF(I144&lt;=0,0,MAX(0,AN145-U145))</f>
        <v/>
      </c>
      <c r="J145">
        <f>IF(J144&lt;=0,0,MAX(0,AO145-V145))</f>
        <v/>
      </c>
      <c r="K145">
        <f>IF(K144&lt;=0,0,MAX(0,AP145-W145))</f>
        <v/>
      </c>
      <c r="L145">
        <f>IF(L144&lt;=0,0,MAX(0,AQ145-X145))</f>
        <v/>
      </c>
      <c r="M145">
        <f>IF(M144&lt;=0,0,MAX(0,AR145-Y145))</f>
        <v/>
      </c>
      <c r="N145">
        <f>IF(N144&lt;=0,0,MAX(0,AS145-Z145))</f>
        <v/>
      </c>
      <c r="O145">
        <f>IF(C144&lt;=0,0,MIN(AH145,C$7+IF(C$2=$AA145,$AC145,IF(C$2=$AF145,$AG145,0))))</f>
        <v/>
      </c>
      <c r="P145">
        <f>IF(D144&lt;=0,0,MIN(AI145,D$7+IF(D$2=$AA145,$AC145,IF(D$2=$AF145,$AG145,0))))</f>
        <v/>
      </c>
      <c r="Q145">
        <f>IF(E144&lt;=0,0,MIN(AJ145,E$7+IF(E$2=$AA145,$AC145,IF(E$2=$AF145,$AG145,0))))</f>
        <v/>
      </c>
      <c r="R145">
        <f>IF(F144&lt;=0,0,MIN(AK145,F$7+IF(F$2=$AA145,$AC145,IF(F$2=$AF145,$AG145,0))))</f>
        <v/>
      </c>
      <c r="S145">
        <f>IF(G144&lt;=0,0,MIN(AL145,G$7+IF(G$2=$AA145,$AC145,IF(G$2=$AF145,$AG145,0))))</f>
        <v/>
      </c>
      <c r="T145">
        <f>IF(H144&lt;=0,0,MIN(AM145,H$7+IF(H$2=$AA145,$AC145,IF(H$2=$AF145,$AG145,0))))</f>
        <v/>
      </c>
      <c r="U145">
        <f>IF(I144&lt;=0,0,MIN(AN145,I$7+IF(I$2=$AA145,$AC145,IF(I$2=$AF145,$AG145,0))))</f>
        <v/>
      </c>
      <c r="V145">
        <f>IF(J144&lt;=0,0,MIN(AO145,J$7+IF(J$2=$AA145,$AC145,IF(J$2=$AF145,$AG145,0))))</f>
        <v/>
      </c>
      <c r="W145">
        <f>IF(K144&lt;=0,0,MIN(AP145,K$7+IF(K$2=$AA145,$AC145,IF(K$2=$AF145,$AG145,0))))</f>
        <v/>
      </c>
      <c r="X145">
        <f>IF(L144&lt;=0,0,MIN(AQ145,L$7+IF(L$2=$AA145,$AC145,IF(L$2=$AF145,$AG145,0))))</f>
        <v/>
      </c>
      <c r="Y145">
        <f>IF(M144&lt;=0,0,MIN(AR145,M$7+IF(M$2=$AA145,$AC145,IF(M$2=$AF145,$AG145,0))))</f>
        <v/>
      </c>
      <c r="Z145">
        <f>IF(N144&lt;=0,0,MIN(AS145,N$7+IF(N$2=$AA145,$AC145,IF(N$2=$AF145,$AG145,0))))</f>
        <v/>
      </c>
      <c r="AA145">
        <f>IFERROR(ROUND(1/SUMPRODUCT(MAX((C144:N144&gt;0)*($C$3:$N$3&lt;=B145)/$C$2:$N$2)),0),0)</f>
        <v/>
      </c>
      <c r="AB145">
        <f>SUMPRODUCT((C144:N144&gt;0)*$C$7:$N$7)</f>
        <v/>
      </c>
      <c r="AC145">
        <f>MAX(0,Plan!$C$5-AB145)+IF(A145=Plan!$C$8,N(Plan!$C$7),0)</f>
        <v/>
      </c>
      <c r="AD145">
        <f>SUM(C145:N145)</f>
        <v/>
      </c>
      <c r="AE145">
        <f>SUM(O145:Z145)</f>
        <v/>
      </c>
      <c r="AF145">
        <f>IFERROR(ROUND(1/SUMPRODUCT(MAX((C144:N144&gt;0)*($C$3:$N$3&lt;=B145)*($C$2:$N$2&gt;AA145)/$C$2:$N$2)),0),0)</f>
        <v/>
      </c>
      <c r="AG145">
        <f>MAX(0,AC145-MAX(0,SUMPRODUCT(($C$2:$N$2=AA145)*(AH145:AS145-$C$7:$N$7))))</f>
        <v/>
      </c>
      <c r="AH145">
        <f>IF(C144&lt;=0,0,ROUND(C144*(1+IF(AND(C$6&gt;0,$B145&lt;C$6),C$4,C$5)/12),2))</f>
        <v/>
      </c>
      <c r="AI145">
        <f>IF(D144&lt;=0,0,ROUND(D144*(1+IF(AND(D$6&gt;0,$B145&lt;D$6),D$4,D$5)/12),2))</f>
        <v/>
      </c>
      <c r="AJ145">
        <f>IF(E144&lt;=0,0,ROUND(E144*(1+IF(AND(E$6&gt;0,$B145&lt;E$6),E$4,E$5)/12),2))</f>
        <v/>
      </c>
      <c r="AK145">
        <f>IF(F144&lt;=0,0,ROUND(F144*(1+IF(AND(F$6&gt;0,$B145&lt;F$6),F$4,F$5)/12),2))</f>
        <v/>
      </c>
      <c r="AL145">
        <f>IF(G144&lt;=0,0,ROUND(G144*(1+IF(AND(G$6&gt;0,$B145&lt;G$6),G$4,G$5)/12),2))</f>
        <v/>
      </c>
      <c r="AM145">
        <f>IF(H144&lt;=0,0,ROUND(H144*(1+IF(AND(H$6&gt;0,$B145&lt;H$6),H$4,H$5)/12),2))</f>
        <v/>
      </c>
      <c r="AN145">
        <f>IF(I144&lt;=0,0,ROUND(I144*(1+IF(AND(I$6&gt;0,$B145&lt;I$6),I$4,I$5)/12),2))</f>
        <v/>
      </c>
      <c r="AO145">
        <f>IF(J144&lt;=0,0,ROUND(J144*(1+IF(AND(J$6&gt;0,$B145&lt;J$6),J$4,J$5)/12),2))</f>
        <v/>
      </c>
      <c r="AP145">
        <f>IF(K144&lt;=0,0,ROUND(K144*(1+IF(AND(K$6&gt;0,$B145&lt;K$6),K$4,K$5)/12),2))</f>
        <v/>
      </c>
      <c r="AQ145">
        <f>IF(L144&lt;=0,0,ROUND(L144*(1+IF(AND(L$6&gt;0,$B145&lt;L$6),L$4,L$5)/12),2))</f>
        <v/>
      </c>
      <c r="AR145">
        <f>IF(M144&lt;=0,0,ROUND(M144*(1+IF(AND(M$6&gt;0,$B145&lt;M$6),M$4,M$5)/12),2))</f>
        <v/>
      </c>
      <c r="AS145">
        <f>IF(N144&lt;=0,0,ROUND(N144*(1+IF(AND(N$6&gt;0,$B145&lt;N$6),N$4,N$5)/12),2))</f>
        <v/>
      </c>
    </row>
    <row r="146">
      <c r="A146" t="n">
        <v>135</v>
      </c>
      <c r="B146">
        <f>EDATE(Plan!$C$6,134)</f>
        <v/>
      </c>
      <c r="C146">
        <f>IF(C145&lt;=0,0,MAX(0,AH146-O146))</f>
        <v/>
      </c>
      <c r="D146">
        <f>IF(D145&lt;=0,0,MAX(0,AI146-P146))</f>
        <v/>
      </c>
      <c r="E146">
        <f>IF(E145&lt;=0,0,MAX(0,AJ146-Q146))</f>
        <v/>
      </c>
      <c r="F146">
        <f>IF(F145&lt;=0,0,MAX(0,AK146-R146))</f>
        <v/>
      </c>
      <c r="G146">
        <f>IF(G145&lt;=0,0,MAX(0,AL146-S146))</f>
        <v/>
      </c>
      <c r="H146">
        <f>IF(H145&lt;=0,0,MAX(0,AM146-T146))</f>
        <v/>
      </c>
      <c r="I146">
        <f>IF(I145&lt;=0,0,MAX(0,AN146-U146))</f>
        <v/>
      </c>
      <c r="J146">
        <f>IF(J145&lt;=0,0,MAX(0,AO146-V146))</f>
        <v/>
      </c>
      <c r="K146">
        <f>IF(K145&lt;=0,0,MAX(0,AP146-W146))</f>
        <v/>
      </c>
      <c r="L146">
        <f>IF(L145&lt;=0,0,MAX(0,AQ146-X146))</f>
        <v/>
      </c>
      <c r="M146">
        <f>IF(M145&lt;=0,0,MAX(0,AR146-Y146))</f>
        <v/>
      </c>
      <c r="N146">
        <f>IF(N145&lt;=0,0,MAX(0,AS146-Z146))</f>
        <v/>
      </c>
      <c r="O146">
        <f>IF(C145&lt;=0,0,MIN(AH146,C$7+IF(C$2=$AA146,$AC146,IF(C$2=$AF146,$AG146,0))))</f>
        <v/>
      </c>
      <c r="P146">
        <f>IF(D145&lt;=0,0,MIN(AI146,D$7+IF(D$2=$AA146,$AC146,IF(D$2=$AF146,$AG146,0))))</f>
        <v/>
      </c>
      <c r="Q146">
        <f>IF(E145&lt;=0,0,MIN(AJ146,E$7+IF(E$2=$AA146,$AC146,IF(E$2=$AF146,$AG146,0))))</f>
        <v/>
      </c>
      <c r="R146">
        <f>IF(F145&lt;=0,0,MIN(AK146,F$7+IF(F$2=$AA146,$AC146,IF(F$2=$AF146,$AG146,0))))</f>
        <v/>
      </c>
      <c r="S146">
        <f>IF(G145&lt;=0,0,MIN(AL146,G$7+IF(G$2=$AA146,$AC146,IF(G$2=$AF146,$AG146,0))))</f>
        <v/>
      </c>
      <c r="T146">
        <f>IF(H145&lt;=0,0,MIN(AM146,H$7+IF(H$2=$AA146,$AC146,IF(H$2=$AF146,$AG146,0))))</f>
        <v/>
      </c>
      <c r="U146">
        <f>IF(I145&lt;=0,0,MIN(AN146,I$7+IF(I$2=$AA146,$AC146,IF(I$2=$AF146,$AG146,0))))</f>
        <v/>
      </c>
      <c r="V146">
        <f>IF(J145&lt;=0,0,MIN(AO146,J$7+IF(J$2=$AA146,$AC146,IF(J$2=$AF146,$AG146,0))))</f>
        <v/>
      </c>
      <c r="W146">
        <f>IF(K145&lt;=0,0,MIN(AP146,K$7+IF(K$2=$AA146,$AC146,IF(K$2=$AF146,$AG146,0))))</f>
        <v/>
      </c>
      <c r="X146">
        <f>IF(L145&lt;=0,0,MIN(AQ146,L$7+IF(L$2=$AA146,$AC146,IF(L$2=$AF146,$AG146,0))))</f>
        <v/>
      </c>
      <c r="Y146">
        <f>IF(M145&lt;=0,0,MIN(AR146,M$7+IF(M$2=$AA146,$AC146,IF(M$2=$AF146,$AG146,0))))</f>
        <v/>
      </c>
      <c r="Z146">
        <f>IF(N145&lt;=0,0,MIN(AS146,N$7+IF(N$2=$AA146,$AC146,IF(N$2=$AF146,$AG146,0))))</f>
        <v/>
      </c>
      <c r="AA146">
        <f>IFERROR(ROUND(1/SUMPRODUCT(MAX((C145:N145&gt;0)*($C$3:$N$3&lt;=B146)/$C$2:$N$2)),0),0)</f>
        <v/>
      </c>
      <c r="AB146">
        <f>SUMPRODUCT((C145:N145&gt;0)*$C$7:$N$7)</f>
        <v/>
      </c>
      <c r="AC146">
        <f>MAX(0,Plan!$C$5-AB146)+IF(A146=Plan!$C$8,N(Plan!$C$7),0)</f>
        <v/>
      </c>
      <c r="AD146">
        <f>SUM(C146:N146)</f>
        <v/>
      </c>
      <c r="AE146">
        <f>SUM(O146:Z146)</f>
        <v/>
      </c>
      <c r="AF146">
        <f>IFERROR(ROUND(1/SUMPRODUCT(MAX((C145:N145&gt;0)*($C$3:$N$3&lt;=B146)*($C$2:$N$2&gt;AA146)/$C$2:$N$2)),0),0)</f>
        <v/>
      </c>
      <c r="AG146">
        <f>MAX(0,AC146-MAX(0,SUMPRODUCT(($C$2:$N$2=AA146)*(AH146:AS146-$C$7:$N$7))))</f>
        <v/>
      </c>
      <c r="AH146">
        <f>IF(C145&lt;=0,0,ROUND(C145*(1+IF(AND(C$6&gt;0,$B146&lt;C$6),C$4,C$5)/12),2))</f>
        <v/>
      </c>
      <c r="AI146">
        <f>IF(D145&lt;=0,0,ROUND(D145*(1+IF(AND(D$6&gt;0,$B146&lt;D$6),D$4,D$5)/12),2))</f>
        <v/>
      </c>
      <c r="AJ146">
        <f>IF(E145&lt;=0,0,ROUND(E145*(1+IF(AND(E$6&gt;0,$B146&lt;E$6),E$4,E$5)/12),2))</f>
        <v/>
      </c>
      <c r="AK146">
        <f>IF(F145&lt;=0,0,ROUND(F145*(1+IF(AND(F$6&gt;0,$B146&lt;F$6),F$4,F$5)/12),2))</f>
        <v/>
      </c>
      <c r="AL146">
        <f>IF(G145&lt;=0,0,ROUND(G145*(1+IF(AND(G$6&gt;0,$B146&lt;G$6),G$4,G$5)/12),2))</f>
        <v/>
      </c>
      <c r="AM146">
        <f>IF(H145&lt;=0,0,ROUND(H145*(1+IF(AND(H$6&gt;0,$B146&lt;H$6),H$4,H$5)/12),2))</f>
        <v/>
      </c>
      <c r="AN146">
        <f>IF(I145&lt;=0,0,ROUND(I145*(1+IF(AND(I$6&gt;0,$B146&lt;I$6),I$4,I$5)/12),2))</f>
        <v/>
      </c>
      <c r="AO146">
        <f>IF(J145&lt;=0,0,ROUND(J145*(1+IF(AND(J$6&gt;0,$B146&lt;J$6),J$4,J$5)/12),2))</f>
        <v/>
      </c>
      <c r="AP146">
        <f>IF(K145&lt;=0,0,ROUND(K145*(1+IF(AND(K$6&gt;0,$B146&lt;K$6),K$4,K$5)/12),2))</f>
        <v/>
      </c>
      <c r="AQ146">
        <f>IF(L145&lt;=0,0,ROUND(L145*(1+IF(AND(L$6&gt;0,$B146&lt;L$6),L$4,L$5)/12),2))</f>
        <v/>
      </c>
      <c r="AR146">
        <f>IF(M145&lt;=0,0,ROUND(M145*(1+IF(AND(M$6&gt;0,$B146&lt;M$6),M$4,M$5)/12),2))</f>
        <v/>
      </c>
      <c r="AS146">
        <f>IF(N145&lt;=0,0,ROUND(N145*(1+IF(AND(N$6&gt;0,$B146&lt;N$6),N$4,N$5)/12),2))</f>
        <v/>
      </c>
    </row>
    <row r="147">
      <c r="A147" t="n">
        <v>136</v>
      </c>
      <c r="B147">
        <f>EDATE(Plan!$C$6,135)</f>
        <v/>
      </c>
      <c r="C147">
        <f>IF(C146&lt;=0,0,MAX(0,AH147-O147))</f>
        <v/>
      </c>
      <c r="D147">
        <f>IF(D146&lt;=0,0,MAX(0,AI147-P147))</f>
        <v/>
      </c>
      <c r="E147">
        <f>IF(E146&lt;=0,0,MAX(0,AJ147-Q147))</f>
        <v/>
      </c>
      <c r="F147">
        <f>IF(F146&lt;=0,0,MAX(0,AK147-R147))</f>
        <v/>
      </c>
      <c r="G147">
        <f>IF(G146&lt;=0,0,MAX(0,AL147-S147))</f>
        <v/>
      </c>
      <c r="H147">
        <f>IF(H146&lt;=0,0,MAX(0,AM147-T147))</f>
        <v/>
      </c>
      <c r="I147">
        <f>IF(I146&lt;=0,0,MAX(0,AN147-U147))</f>
        <v/>
      </c>
      <c r="J147">
        <f>IF(J146&lt;=0,0,MAX(0,AO147-V147))</f>
        <v/>
      </c>
      <c r="K147">
        <f>IF(K146&lt;=0,0,MAX(0,AP147-W147))</f>
        <v/>
      </c>
      <c r="L147">
        <f>IF(L146&lt;=0,0,MAX(0,AQ147-X147))</f>
        <v/>
      </c>
      <c r="M147">
        <f>IF(M146&lt;=0,0,MAX(0,AR147-Y147))</f>
        <v/>
      </c>
      <c r="N147">
        <f>IF(N146&lt;=0,0,MAX(0,AS147-Z147))</f>
        <v/>
      </c>
      <c r="O147">
        <f>IF(C146&lt;=0,0,MIN(AH147,C$7+IF(C$2=$AA147,$AC147,IF(C$2=$AF147,$AG147,0))))</f>
        <v/>
      </c>
      <c r="P147">
        <f>IF(D146&lt;=0,0,MIN(AI147,D$7+IF(D$2=$AA147,$AC147,IF(D$2=$AF147,$AG147,0))))</f>
        <v/>
      </c>
      <c r="Q147">
        <f>IF(E146&lt;=0,0,MIN(AJ147,E$7+IF(E$2=$AA147,$AC147,IF(E$2=$AF147,$AG147,0))))</f>
        <v/>
      </c>
      <c r="R147">
        <f>IF(F146&lt;=0,0,MIN(AK147,F$7+IF(F$2=$AA147,$AC147,IF(F$2=$AF147,$AG147,0))))</f>
        <v/>
      </c>
      <c r="S147">
        <f>IF(G146&lt;=0,0,MIN(AL147,G$7+IF(G$2=$AA147,$AC147,IF(G$2=$AF147,$AG147,0))))</f>
        <v/>
      </c>
      <c r="T147">
        <f>IF(H146&lt;=0,0,MIN(AM147,H$7+IF(H$2=$AA147,$AC147,IF(H$2=$AF147,$AG147,0))))</f>
        <v/>
      </c>
      <c r="U147">
        <f>IF(I146&lt;=0,0,MIN(AN147,I$7+IF(I$2=$AA147,$AC147,IF(I$2=$AF147,$AG147,0))))</f>
        <v/>
      </c>
      <c r="V147">
        <f>IF(J146&lt;=0,0,MIN(AO147,J$7+IF(J$2=$AA147,$AC147,IF(J$2=$AF147,$AG147,0))))</f>
        <v/>
      </c>
      <c r="W147">
        <f>IF(K146&lt;=0,0,MIN(AP147,K$7+IF(K$2=$AA147,$AC147,IF(K$2=$AF147,$AG147,0))))</f>
        <v/>
      </c>
      <c r="X147">
        <f>IF(L146&lt;=0,0,MIN(AQ147,L$7+IF(L$2=$AA147,$AC147,IF(L$2=$AF147,$AG147,0))))</f>
        <v/>
      </c>
      <c r="Y147">
        <f>IF(M146&lt;=0,0,MIN(AR147,M$7+IF(M$2=$AA147,$AC147,IF(M$2=$AF147,$AG147,0))))</f>
        <v/>
      </c>
      <c r="Z147">
        <f>IF(N146&lt;=0,0,MIN(AS147,N$7+IF(N$2=$AA147,$AC147,IF(N$2=$AF147,$AG147,0))))</f>
        <v/>
      </c>
      <c r="AA147">
        <f>IFERROR(ROUND(1/SUMPRODUCT(MAX((C146:N146&gt;0)*($C$3:$N$3&lt;=B147)/$C$2:$N$2)),0),0)</f>
        <v/>
      </c>
      <c r="AB147">
        <f>SUMPRODUCT((C146:N146&gt;0)*$C$7:$N$7)</f>
        <v/>
      </c>
      <c r="AC147">
        <f>MAX(0,Plan!$C$5-AB147)+IF(A147=Plan!$C$8,N(Plan!$C$7),0)</f>
        <v/>
      </c>
      <c r="AD147">
        <f>SUM(C147:N147)</f>
        <v/>
      </c>
      <c r="AE147">
        <f>SUM(O147:Z147)</f>
        <v/>
      </c>
      <c r="AF147">
        <f>IFERROR(ROUND(1/SUMPRODUCT(MAX((C146:N146&gt;0)*($C$3:$N$3&lt;=B147)*($C$2:$N$2&gt;AA147)/$C$2:$N$2)),0),0)</f>
        <v/>
      </c>
      <c r="AG147">
        <f>MAX(0,AC147-MAX(0,SUMPRODUCT(($C$2:$N$2=AA147)*(AH147:AS147-$C$7:$N$7))))</f>
        <v/>
      </c>
      <c r="AH147">
        <f>IF(C146&lt;=0,0,ROUND(C146*(1+IF(AND(C$6&gt;0,$B147&lt;C$6),C$4,C$5)/12),2))</f>
        <v/>
      </c>
      <c r="AI147">
        <f>IF(D146&lt;=0,0,ROUND(D146*(1+IF(AND(D$6&gt;0,$B147&lt;D$6),D$4,D$5)/12),2))</f>
        <v/>
      </c>
      <c r="AJ147">
        <f>IF(E146&lt;=0,0,ROUND(E146*(1+IF(AND(E$6&gt;0,$B147&lt;E$6),E$4,E$5)/12),2))</f>
        <v/>
      </c>
      <c r="AK147">
        <f>IF(F146&lt;=0,0,ROUND(F146*(1+IF(AND(F$6&gt;0,$B147&lt;F$6),F$4,F$5)/12),2))</f>
        <v/>
      </c>
      <c r="AL147">
        <f>IF(G146&lt;=0,0,ROUND(G146*(1+IF(AND(G$6&gt;0,$B147&lt;G$6),G$4,G$5)/12),2))</f>
        <v/>
      </c>
      <c r="AM147">
        <f>IF(H146&lt;=0,0,ROUND(H146*(1+IF(AND(H$6&gt;0,$B147&lt;H$6),H$4,H$5)/12),2))</f>
        <v/>
      </c>
      <c r="AN147">
        <f>IF(I146&lt;=0,0,ROUND(I146*(1+IF(AND(I$6&gt;0,$B147&lt;I$6),I$4,I$5)/12),2))</f>
        <v/>
      </c>
      <c r="AO147">
        <f>IF(J146&lt;=0,0,ROUND(J146*(1+IF(AND(J$6&gt;0,$B147&lt;J$6),J$4,J$5)/12),2))</f>
        <v/>
      </c>
      <c r="AP147">
        <f>IF(K146&lt;=0,0,ROUND(K146*(1+IF(AND(K$6&gt;0,$B147&lt;K$6),K$4,K$5)/12),2))</f>
        <v/>
      </c>
      <c r="AQ147">
        <f>IF(L146&lt;=0,0,ROUND(L146*(1+IF(AND(L$6&gt;0,$B147&lt;L$6),L$4,L$5)/12),2))</f>
        <v/>
      </c>
      <c r="AR147">
        <f>IF(M146&lt;=0,0,ROUND(M146*(1+IF(AND(M$6&gt;0,$B147&lt;M$6),M$4,M$5)/12),2))</f>
        <v/>
      </c>
      <c r="AS147">
        <f>IF(N146&lt;=0,0,ROUND(N146*(1+IF(AND(N$6&gt;0,$B147&lt;N$6),N$4,N$5)/12),2))</f>
        <v/>
      </c>
    </row>
    <row r="148">
      <c r="A148" t="n">
        <v>137</v>
      </c>
      <c r="B148">
        <f>EDATE(Plan!$C$6,136)</f>
        <v/>
      </c>
      <c r="C148">
        <f>IF(C147&lt;=0,0,MAX(0,AH148-O148))</f>
        <v/>
      </c>
      <c r="D148">
        <f>IF(D147&lt;=0,0,MAX(0,AI148-P148))</f>
        <v/>
      </c>
      <c r="E148">
        <f>IF(E147&lt;=0,0,MAX(0,AJ148-Q148))</f>
        <v/>
      </c>
      <c r="F148">
        <f>IF(F147&lt;=0,0,MAX(0,AK148-R148))</f>
        <v/>
      </c>
      <c r="G148">
        <f>IF(G147&lt;=0,0,MAX(0,AL148-S148))</f>
        <v/>
      </c>
      <c r="H148">
        <f>IF(H147&lt;=0,0,MAX(0,AM148-T148))</f>
        <v/>
      </c>
      <c r="I148">
        <f>IF(I147&lt;=0,0,MAX(0,AN148-U148))</f>
        <v/>
      </c>
      <c r="J148">
        <f>IF(J147&lt;=0,0,MAX(0,AO148-V148))</f>
        <v/>
      </c>
      <c r="K148">
        <f>IF(K147&lt;=0,0,MAX(0,AP148-W148))</f>
        <v/>
      </c>
      <c r="L148">
        <f>IF(L147&lt;=0,0,MAX(0,AQ148-X148))</f>
        <v/>
      </c>
      <c r="M148">
        <f>IF(M147&lt;=0,0,MAX(0,AR148-Y148))</f>
        <v/>
      </c>
      <c r="N148">
        <f>IF(N147&lt;=0,0,MAX(0,AS148-Z148))</f>
        <v/>
      </c>
      <c r="O148">
        <f>IF(C147&lt;=0,0,MIN(AH148,C$7+IF(C$2=$AA148,$AC148,IF(C$2=$AF148,$AG148,0))))</f>
        <v/>
      </c>
      <c r="P148">
        <f>IF(D147&lt;=0,0,MIN(AI148,D$7+IF(D$2=$AA148,$AC148,IF(D$2=$AF148,$AG148,0))))</f>
        <v/>
      </c>
      <c r="Q148">
        <f>IF(E147&lt;=0,0,MIN(AJ148,E$7+IF(E$2=$AA148,$AC148,IF(E$2=$AF148,$AG148,0))))</f>
        <v/>
      </c>
      <c r="R148">
        <f>IF(F147&lt;=0,0,MIN(AK148,F$7+IF(F$2=$AA148,$AC148,IF(F$2=$AF148,$AG148,0))))</f>
        <v/>
      </c>
      <c r="S148">
        <f>IF(G147&lt;=0,0,MIN(AL148,G$7+IF(G$2=$AA148,$AC148,IF(G$2=$AF148,$AG148,0))))</f>
        <v/>
      </c>
      <c r="T148">
        <f>IF(H147&lt;=0,0,MIN(AM148,H$7+IF(H$2=$AA148,$AC148,IF(H$2=$AF148,$AG148,0))))</f>
        <v/>
      </c>
      <c r="U148">
        <f>IF(I147&lt;=0,0,MIN(AN148,I$7+IF(I$2=$AA148,$AC148,IF(I$2=$AF148,$AG148,0))))</f>
        <v/>
      </c>
      <c r="V148">
        <f>IF(J147&lt;=0,0,MIN(AO148,J$7+IF(J$2=$AA148,$AC148,IF(J$2=$AF148,$AG148,0))))</f>
        <v/>
      </c>
      <c r="W148">
        <f>IF(K147&lt;=0,0,MIN(AP148,K$7+IF(K$2=$AA148,$AC148,IF(K$2=$AF148,$AG148,0))))</f>
        <v/>
      </c>
      <c r="X148">
        <f>IF(L147&lt;=0,0,MIN(AQ148,L$7+IF(L$2=$AA148,$AC148,IF(L$2=$AF148,$AG148,0))))</f>
        <v/>
      </c>
      <c r="Y148">
        <f>IF(M147&lt;=0,0,MIN(AR148,M$7+IF(M$2=$AA148,$AC148,IF(M$2=$AF148,$AG148,0))))</f>
        <v/>
      </c>
      <c r="Z148">
        <f>IF(N147&lt;=0,0,MIN(AS148,N$7+IF(N$2=$AA148,$AC148,IF(N$2=$AF148,$AG148,0))))</f>
        <v/>
      </c>
      <c r="AA148">
        <f>IFERROR(ROUND(1/SUMPRODUCT(MAX((C147:N147&gt;0)*($C$3:$N$3&lt;=B148)/$C$2:$N$2)),0),0)</f>
        <v/>
      </c>
      <c r="AB148">
        <f>SUMPRODUCT((C147:N147&gt;0)*$C$7:$N$7)</f>
        <v/>
      </c>
      <c r="AC148">
        <f>MAX(0,Plan!$C$5-AB148)+IF(A148=Plan!$C$8,N(Plan!$C$7),0)</f>
        <v/>
      </c>
      <c r="AD148">
        <f>SUM(C148:N148)</f>
        <v/>
      </c>
      <c r="AE148">
        <f>SUM(O148:Z148)</f>
        <v/>
      </c>
      <c r="AF148">
        <f>IFERROR(ROUND(1/SUMPRODUCT(MAX((C147:N147&gt;0)*($C$3:$N$3&lt;=B148)*($C$2:$N$2&gt;AA148)/$C$2:$N$2)),0),0)</f>
        <v/>
      </c>
      <c r="AG148">
        <f>MAX(0,AC148-MAX(0,SUMPRODUCT(($C$2:$N$2=AA148)*(AH148:AS148-$C$7:$N$7))))</f>
        <v/>
      </c>
      <c r="AH148">
        <f>IF(C147&lt;=0,0,ROUND(C147*(1+IF(AND(C$6&gt;0,$B148&lt;C$6),C$4,C$5)/12),2))</f>
        <v/>
      </c>
      <c r="AI148">
        <f>IF(D147&lt;=0,0,ROUND(D147*(1+IF(AND(D$6&gt;0,$B148&lt;D$6),D$4,D$5)/12),2))</f>
        <v/>
      </c>
      <c r="AJ148">
        <f>IF(E147&lt;=0,0,ROUND(E147*(1+IF(AND(E$6&gt;0,$B148&lt;E$6),E$4,E$5)/12),2))</f>
        <v/>
      </c>
      <c r="AK148">
        <f>IF(F147&lt;=0,0,ROUND(F147*(1+IF(AND(F$6&gt;0,$B148&lt;F$6),F$4,F$5)/12),2))</f>
        <v/>
      </c>
      <c r="AL148">
        <f>IF(G147&lt;=0,0,ROUND(G147*(1+IF(AND(G$6&gt;0,$B148&lt;G$6),G$4,G$5)/12),2))</f>
        <v/>
      </c>
      <c r="AM148">
        <f>IF(H147&lt;=0,0,ROUND(H147*(1+IF(AND(H$6&gt;0,$B148&lt;H$6),H$4,H$5)/12),2))</f>
        <v/>
      </c>
      <c r="AN148">
        <f>IF(I147&lt;=0,0,ROUND(I147*(1+IF(AND(I$6&gt;0,$B148&lt;I$6),I$4,I$5)/12),2))</f>
        <v/>
      </c>
      <c r="AO148">
        <f>IF(J147&lt;=0,0,ROUND(J147*(1+IF(AND(J$6&gt;0,$B148&lt;J$6),J$4,J$5)/12),2))</f>
        <v/>
      </c>
      <c r="AP148">
        <f>IF(K147&lt;=0,0,ROUND(K147*(1+IF(AND(K$6&gt;0,$B148&lt;K$6),K$4,K$5)/12),2))</f>
        <v/>
      </c>
      <c r="AQ148">
        <f>IF(L147&lt;=0,0,ROUND(L147*(1+IF(AND(L$6&gt;0,$B148&lt;L$6),L$4,L$5)/12),2))</f>
        <v/>
      </c>
      <c r="AR148">
        <f>IF(M147&lt;=0,0,ROUND(M147*(1+IF(AND(M$6&gt;0,$B148&lt;M$6),M$4,M$5)/12),2))</f>
        <v/>
      </c>
      <c r="AS148">
        <f>IF(N147&lt;=0,0,ROUND(N147*(1+IF(AND(N$6&gt;0,$B148&lt;N$6),N$4,N$5)/12),2))</f>
        <v/>
      </c>
    </row>
    <row r="149">
      <c r="A149" t="n">
        <v>138</v>
      </c>
      <c r="B149">
        <f>EDATE(Plan!$C$6,137)</f>
        <v/>
      </c>
      <c r="C149">
        <f>IF(C148&lt;=0,0,MAX(0,AH149-O149))</f>
        <v/>
      </c>
      <c r="D149">
        <f>IF(D148&lt;=0,0,MAX(0,AI149-P149))</f>
        <v/>
      </c>
      <c r="E149">
        <f>IF(E148&lt;=0,0,MAX(0,AJ149-Q149))</f>
        <v/>
      </c>
      <c r="F149">
        <f>IF(F148&lt;=0,0,MAX(0,AK149-R149))</f>
        <v/>
      </c>
      <c r="G149">
        <f>IF(G148&lt;=0,0,MAX(0,AL149-S149))</f>
        <v/>
      </c>
      <c r="H149">
        <f>IF(H148&lt;=0,0,MAX(0,AM149-T149))</f>
        <v/>
      </c>
      <c r="I149">
        <f>IF(I148&lt;=0,0,MAX(0,AN149-U149))</f>
        <v/>
      </c>
      <c r="J149">
        <f>IF(J148&lt;=0,0,MAX(0,AO149-V149))</f>
        <v/>
      </c>
      <c r="K149">
        <f>IF(K148&lt;=0,0,MAX(0,AP149-W149))</f>
        <v/>
      </c>
      <c r="L149">
        <f>IF(L148&lt;=0,0,MAX(0,AQ149-X149))</f>
        <v/>
      </c>
      <c r="M149">
        <f>IF(M148&lt;=0,0,MAX(0,AR149-Y149))</f>
        <v/>
      </c>
      <c r="N149">
        <f>IF(N148&lt;=0,0,MAX(0,AS149-Z149))</f>
        <v/>
      </c>
      <c r="O149">
        <f>IF(C148&lt;=0,0,MIN(AH149,C$7+IF(C$2=$AA149,$AC149,IF(C$2=$AF149,$AG149,0))))</f>
        <v/>
      </c>
      <c r="P149">
        <f>IF(D148&lt;=0,0,MIN(AI149,D$7+IF(D$2=$AA149,$AC149,IF(D$2=$AF149,$AG149,0))))</f>
        <v/>
      </c>
      <c r="Q149">
        <f>IF(E148&lt;=0,0,MIN(AJ149,E$7+IF(E$2=$AA149,$AC149,IF(E$2=$AF149,$AG149,0))))</f>
        <v/>
      </c>
      <c r="R149">
        <f>IF(F148&lt;=0,0,MIN(AK149,F$7+IF(F$2=$AA149,$AC149,IF(F$2=$AF149,$AG149,0))))</f>
        <v/>
      </c>
      <c r="S149">
        <f>IF(G148&lt;=0,0,MIN(AL149,G$7+IF(G$2=$AA149,$AC149,IF(G$2=$AF149,$AG149,0))))</f>
        <v/>
      </c>
      <c r="T149">
        <f>IF(H148&lt;=0,0,MIN(AM149,H$7+IF(H$2=$AA149,$AC149,IF(H$2=$AF149,$AG149,0))))</f>
        <v/>
      </c>
      <c r="U149">
        <f>IF(I148&lt;=0,0,MIN(AN149,I$7+IF(I$2=$AA149,$AC149,IF(I$2=$AF149,$AG149,0))))</f>
        <v/>
      </c>
      <c r="V149">
        <f>IF(J148&lt;=0,0,MIN(AO149,J$7+IF(J$2=$AA149,$AC149,IF(J$2=$AF149,$AG149,0))))</f>
        <v/>
      </c>
      <c r="W149">
        <f>IF(K148&lt;=0,0,MIN(AP149,K$7+IF(K$2=$AA149,$AC149,IF(K$2=$AF149,$AG149,0))))</f>
        <v/>
      </c>
      <c r="X149">
        <f>IF(L148&lt;=0,0,MIN(AQ149,L$7+IF(L$2=$AA149,$AC149,IF(L$2=$AF149,$AG149,0))))</f>
        <v/>
      </c>
      <c r="Y149">
        <f>IF(M148&lt;=0,0,MIN(AR149,M$7+IF(M$2=$AA149,$AC149,IF(M$2=$AF149,$AG149,0))))</f>
        <v/>
      </c>
      <c r="Z149">
        <f>IF(N148&lt;=0,0,MIN(AS149,N$7+IF(N$2=$AA149,$AC149,IF(N$2=$AF149,$AG149,0))))</f>
        <v/>
      </c>
      <c r="AA149">
        <f>IFERROR(ROUND(1/SUMPRODUCT(MAX((C148:N148&gt;0)*($C$3:$N$3&lt;=B149)/$C$2:$N$2)),0),0)</f>
        <v/>
      </c>
      <c r="AB149">
        <f>SUMPRODUCT((C148:N148&gt;0)*$C$7:$N$7)</f>
        <v/>
      </c>
      <c r="AC149">
        <f>MAX(0,Plan!$C$5-AB149)+IF(A149=Plan!$C$8,N(Plan!$C$7),0)</f>
        <v/>
      </c>
      <c r="AD149">
        <f>SUM(C149:N149)</f>
        <v/>
      </c>
      <c r="AE149">
        <f>SUM(O149:Z149)</f>
        <v/>
      </c>
      <c r="AF149">
        <f>IFERROR(ROUND(1/SUMPRODUCT(MAX((C148:N148&gt;0)*($C$3:$N$3&lt;=B149)*($C$2:$N$2&gt;AA149)/$C$2:$N$2)),0),0)</f>
        <v/>
      </c>
      <c r="AG149">
        <f>MAX(0,AC149-MAX(0,SUMPRODUCT(($C$2:$N$2=AA149)*(AH149:AS149-$C$7:$N$7))))</f>
        <v/>
      </c>
      <c r="AH149">
        <f>IF(C148&lt;=0,0,ROUND(C148*(1+IF(AND(C$6&gt;0,$B149&lt;C$6),C$4,C$5)/12),2))</f>
        <v/>
      </c>
      <c r="AI149">
        <f>IF(D148&lt;=0,0,ROUND(D148*(1+IF(AND(D$6&gt;0,$B149&lt;D$6),D$4,D$5)/12),2))</f>
        <v/>
      </c>
      <c r="AJ149">
        <f>IF(E148&lt;=0,0,ROUND(E148*(1+IF(AND(E$6&gt;0,$B149&lt;E$6),E$4,E$5)/12),2))</f>
        <v/>
      </c>
      <c r="AK149">
        <f>IF(F148&lt;=0,0,ROUND(F148*(1+IF(AND(F$6&gt;0,$B149&lt;F$6),F$4,F$5)/12),2))</f>
        <v/>
      </c>
      <c r="AL149">
        <f>IF(G148&lt;=0,0,ROUND(G148*(1+IF(AND(G$6&gt;0,$B149&lt;G$6),G$4,G$5)/12),2))</f>
        <v/>
      </c>
      <c r="AM149">
        <f>IF(H148&lt;=0,0,ROUND(H148*(1+IF(AND(H$6&gt;0,$B149&lt;H$6),H$4,H$5)/12),2))</f>
        <v/>
      </c>
      <c r="AN149">
        <f>IF(I148&lt;=0,0,ROUND(I148*(1+IF(AND(I$6&gt;0,$B149&lt;I$6),I$4,I$5)/12),2))</f>
        <v/>
      </c>
      <c r="AO149">
        <f>IF(J148&lt;=0,0,ROUND(J148*(1+IF(AND(J$6&gt;0,$B149&lt;J$6),J$4,J$5)/12),2))</f>
        <v/>
      </c>
      <c r="AP149">
        <f>IF(K148&lt;=0,0,ROUND(K148*(1+IF(AND(K$6&gt;0,$B149&lt;K$6),K$4,K$5)/12),2))</f>
        <v/>
      </c>
      <c r="AQ149">
        <f>IF(L148&lt;=0,0,ROUND(L148*(1+IF(AND(L$6&gt;0,$B149&lt;L$6),L$4,L$5)/12),2))</f>
        <v/>
      </c>
      <c r="AR149">
        <f>IF(M148&lt;=0,0,ROUND(M148*(1+IF(AND(M$6&gt;0,$B149&lt;M$6),M$4,M$5)/12),2))</f>
        <v/>
      </c>
      <c r="AS149">
        <f>IF(N148&lt;=0,0,ROUND(N148*(1+IF(AND(N$6&gt;0,$B149&lt;N$6),N$4,N$5)/12),2))</f>
        <v/>
      </c>
    </row>
    <row r="150">
      <c r="A150" t="n">
        <v>139</v>
      </c>
      <c r="B150">
        <f>EDATE(Plan!$C$6,138)</f>
        <v/>
      </c>
      <c r="C150">
        <f>IF(C149&lt;=0,0,MAX(0,AH150-O150))</f>
        <v/>
      </c>
      <c r="D150">
        <f>IF(D149&lt;=0,0,MAX(0,AI150-P150))</f>
        <v/>
      </c>
      <c r="E150">
        <f>IF(E149&lt;=0,0,MAX(0,AJ150-Q150))</f>
        <v/>
      </c>
      <c r="F150">
        <f>IF(F149&lt;=0,0,MAX(0,AK150-R150))</f>
        <v/>
      </c>
      <c r="G150">
        <f>IF(G149&lt;=0,0,MAX(0,AL150-S150))</f>
        <v/>
      </c>
      <c r="H150">
        <f>IF(H149&lt;=0,0,MAX(0,AM150-T150))</f>
        <v/>
      </c>
      <c r="I150">
        <f>IF(I149&lt;=0,0,MAX(0,AN150-U150))</f>
        <v/>
      </c>
      <c r="J150">
        <f>IF(J149&lt;=0,0,MAX(0,AO150-V150))</f>
        <v/>
      </c>
      <c r="K150">
        <f>IF(K149&lt;=0,0,MAX(0,AP150-W150))</f>
        <v/>
      </c>
      <c r="L150">
        <f>IF(L149&lt;=0,0,MAX(0,AQ150-X150))</f>
        <v/>
      </c>
      <c r="M150">
        <f>IF(M149&lt;=0,0,MAX(0,AR150-Y150))</f>
        <v/>
      </c>
      <c r="N150">
        <f>IF(N149&lt;=0,0,MAX(0,AS150-Z150))</f>
        <v/>
      </c>
      <c r="O150">
        <f>IF(C149&lt;=0,0,MIN(AH150,C$7+IF(C$2=$AA150,$AC150,IF(C$2=$AF150,$AG150,0))))</f>
        <v/>
      </c>
      <c r="P150">
        <f>IF(D149&lt;=0,0,MIN(AI150,D$7+IF(D$2=$AA150,$AC150,IF(D$2=$AF150,$AG150,0))))</f>
        <v/>
      </c>
      <c r="Q150">
        <f>IF(E149&lt;=0,0,MIN(AJ150,E$7+IF(E$2=$AA150,$AC150,IF(E$2=$AF150,$AG150,0))))</f>
        <v/>
      </c>
      <c r="R150">
        <f>IF(F149&lt;=0,0,MIN(AK150,F$7+IF(F$2=$AA150,$AC150,IF(F$2=$AF150,$AG150,0))))</f>
        <v/>
      </c>
      <c r="S150">
        <f>IF(G149&lt;=0,0,MIN(AL150,G$7+IF(G$2=$AA150,$AC150,IF(G$2=$AF150,$AG150,0))))</f>
        <v/>
      </c>
      <c r="T150">
        <f>IF(H149&lt;=0,0,MIN(AM150,H$7+IF(H$2=$AA150,$AC150,IF(H$2=$AF150,$AG150,0))))</f>
        <v/>
      </c>
      <c r="U150">
        <f>IF(I149&lt;=0,0,MIN(AN150,I$7+IF(I$2=$AA150,$AC150,IF(I$2=$AF150,$AG150,0))))</f>
        <v/>
      </c>
      <c r="V150">
        <f>IF(J149&lt;=0,0,MIN(AO150,J$7+IF(J$2=$AA150,$AC150,IF(J$2=$AF150,$AG150,0))))</f>
        <v/>
      </c>
      <c r="W150">
        <f>IF(K149&lt;=0,0,MIN(AP150,K$7+IF(K$2=$AA150,$AC150,IF(K$2=$AF150,$AG150,0))))</f>
        <v/>
      </c>
      <c r="X150">
        <f>IF(L149&lt;=0,0,MIN(AQ150,L$7+IF(L$2=$AA150,$AC150,IF(L$2=$AF150,$AG150,0))))</f>
        <v/>
      </c>
      <c r="Y150">
        <f>IF(M149&lt;=0,0,MIN(AR150,M$7+IF(M$2=$AA150,$AC150,IF(M$2=$AF150,$AG150,0))))</f>
        <v/>
      </c>
      <c r="Z150">
        <f>IF(N149&lt;=0,0,MIN(AS150,N$7+IF(N$2=$AA150,$AC150,IF(N$2=$AF150,$AG150,0))))</f>
        <v/>
      </c>
      <c r="AA150">
        <f>IFERROR(ROUND(1/SUMPRODUCT(MAX((C149:N149&gt;0)*($C$3:$N$3&lt;=B150)/$C$2:$N$2)),0),0)</f>
        <v/>
      </c>
      <c r="AB150">
        <f>SUMPRODUCT((C149:N149&gt;0)*$C$7:$N$7)</f>
        <v/>
      </c>
      <c r="AC150">
        <f>MAX(0,Plan!$C$5-AB150)+IF(A150=Plan!$C$8,N(Plan!$C$7),0)</f>
        <v/>
      </c>
      <c r="AD150">
        <f>SUM(C150:N150)</f>
        <v/>
      </c>
      <c r="AE150">
        <f>SUM(O150:Z150)</f>
        <v/>
      </c>
      <c r="AF150">
        <f>IFERROR(ROUND(1/SUMPRODUCT(MAX((C149:N149&gt;0)*($C$3:$N$3&lt;=B150)*($C$2:$N$2&gt;AA150)/$C$2:$N$2)),0),0)</f>
        <v/>
      </c>
      <c r="AG150">
        <f>MAX(0,AC150-MAX(0,SUMPRODUCT(($C$2:$N$2=AA150)*(AH150:AS150-$C$7:$N$7))))</f>
        <v/>
      </c>
      <c r="AH150">
        <f>IF(C149&lt;=0,0,ROUND(C149*(1+IF(AND(C$6&gt;0,$B150&lt;C$6),C$4,C$5)/12),2))</f>
        <v/>
      </c>
      <c r="AI150">
        <f>IF(D149&lt;=0,0,ROUND(D149*(1+IF(AND(D$6&gt;0,$B150&lt;D$6),D$4,D$5)/12),2))</f>
        <v/>
      </c>
      <c r="AJ150">
        <f>IF(E149&lt;=0,0,ROUND(E149*(1+IF(AND(E$6&gt;0,$B150&lt;E$6),E$4,E$5)/12),2))</f>
        <v/>
      </c>
      <c r="AK150">
        <f>IF(F149&lt;=0,0,ROUND(F149*(1+IF(AND(F$6&gt;0,$B150&lt;F$6),F$4,F$5)/12),2))</f>
        <v/>
      </c>
      <c r="AL150">
        <f>IF(G149&lt;=0,0,ROUND(G149*(1+IF(AND(G$6&gt;0,$B150&lt;G$6),G$4,G$5)/12),2))</f>
        <v/>
      </c>
      <c r="AM150">
        <f>IF(H149&lt;=0,0,ROUND(H149*(1+IF(AND(H$6&gt;0,$B150&lt;H$6),H$4,H$5)/12),2))</f>
        <v/>
      </c>
      <c r="AN150">
        <f>IF(I149&lt;=0,0,ROUND(I149*(1+IF(AND(I$6&gt;0,$B150&lt;I$6),I$4,I$5)/12),2))</f>
        <v/>
      </c>
      <c r="AO150">
        <f>IF(J149&lt;=0,0,ROUND(J149*(1+IF(AND(J$6&gt;0,$B150&lt;J$6),J$4,J$5)/12),2))</f>
        <v/>
      </c>
      <c r="AP150">
        <f>IF(K149&lt;=0,0,ROUND(K149*(1+IF(AND(K$6&gt;0,$B150&lt;K$6),K$4,K$5)/12),2))</f>
        <v/>
      </c>
      <c r="AQ150">
        <f>IF(L149&lt;=0,0,ROUND(L149*(1+IF(AND(L$6&gt;0,$B150&lt;L$6),L$4,L$5)/12),2))</f>
        <v/>
      </c>
      <c r="AR150">
        <f>IF(M149&lt;=0,0,ROUND(M149*(1+IF(AND(M$6&gt;0,$B150&lt;M$6),M$4,M$5)/12),2))</f>
        <v/>
      </c>
      <c r="AS150">
        <f>IF(N149&lt;=0,0,ROUND(N149*(1+IF(AND(N$6&gt;0,$B150&lt;N$6),N$4,N$5)/12),2))</f>
        <v/>
      </c>
    </row>
    <row r="151">
      <c r="A151" t="n">
        <v>140</v>
      </c>
      <c r="B151">
        <f>EDATE(Plan!$C$6,139)</f>
        <v/>
      </c>
      <c r="C151">
        <f>IF(C150&lt;=0,0,MAX(0,AH151-O151))</f>
        <v/>
      </c>
      <c r="D151">
        <f>IF(D150&lt;=0,0,MAX(0,AI151-P151))</f>
        <v/>
      </c>
      <c r="E151">
        <f>IF(E150&lt;=0,0,MAX(0,AJ151-Q151))</f>
        <v/>
      </c>
      <c r="F151">
        <f>IF(F150&lt;=0,0,MAX(0,AK151-R151))</f>
        <v/>
      </c>
      <c r="G151">
        <f>IF(G150&lt;=0,0,MAX(0,AL151-S151))</f>
        <v/>
      </c>
      <c r="H151">
        <f>IF(H150&lt;=0,0,MAX(0,AM151-T151))</f>
        <v/>
      </c>
      <c r="I151">
        <f>IF(I150&lt;=0,0,MAX(0,AN151-U151))</f>
        <v/>
      </c>
      <c r="J151">
        <f>IF(J150&lt;=0,0,MAX(0,AO151-V151))</f>
        <v/>
      </c>
      <c r="K151">
        <f>IF(K150&lt;=0,0,MAX(0,AP151-W151))</f>
        <v/>
      </c>
      <c r="L151">
        <f>IF(L150&lt;=0,0,MAX(0,AQ151-X151))</f>
        <v/>
      </c>
      <c r="M151">
        <f>IF(M150&lt;=0,0,MAX(0,AR151-Y151))</f>
        <v/>
      </c>
      <c r="N151">
        <f>IF(N150&lt;=0,0,MAX(0,AS151-Z151))</f>
        <v/>
      </c>
      <c r="O151">
        <f>IF(C150&lt;=0,0,MIN(AH151,C$7+IF(C$2=$AA151,$AC151,IF(C$2=$AF151,$AG151,0))))</f>
        <v/>
      </c>
      <c r="P151">
        <f>IF(D150&lt;=0,0,MIN(AI151,D$7+IF(D$2=$AA151,$AC151,IF(D$2=$AF151,$AG151,0))))</f>
        <v/>
      </c>
      <c r="Q151">
        <f>IF(E150&lt;=0,0,MIN(AJ151,E$7+IF(E$2=$AA151,$AC151,IF(E$2=$AF151,$AG151,0))))</f>
        <v/>
      </c>
      <c r="R151">
        <f>IF(F150&lt;=0,0,MIN(AK151,F$7+IF(F$2=$AA151,$AC151,IF(F$2=$AF151,$AG151,0))))</f>
        <v/>
      </c>
      <c r="S151">
        <f>IF(G150&lt;=0,0,MIN(AL151,G$7+IF(G$2=$AA151,$AC151,IF(G$2=$AF151,$AG151,0))))</f>
        <v/>
      </c>
      <c r="T151">
        <f>IF(H150&lt;=0,0,MIN(AM151,H$7+IF(H$2=$AA151,$AC151,IF(H$2=$AF151,$AG151,0))))</f>
        <v/>
      </c>
      <c r="U151">
        <f>IF(I150&lt;=0,0,MIN(AN151,I$7+IF(I$2=$AA151,$AC151,IF(I$2=$AF151,$AG151,0))))</f>
        <v/>
      </c>
      <c r="V151">
        <f>IF(J150&lt;=0,0,MIN(AO151,J$7+IF(J$2=$AA151,$AC151,IF(J$2=$AF151,$AG151,0))))</f>
        <v/>
      </c>
      <c r="W151">
        <f>IF(K150&lt;=0,0,MIN(AP151,K$7+IF(K$2=$AA151,$AC151,IF(K$2=$AF151,$AG151,0))))</f>
        <v/>
      </c>
      <c r="X151">
        <f>IF(L150&lt;=0,0,MIN(AQ151,L$7+IF(L$2=$AA151,$AC151,IF(L$2=$AF151,$AG151,0))))</f>
        <v/>
      </c>
      <c r="Y151">
        <f>IF(M150&lt;=0,0,MIN(AR151,M$7+IF(M$2=$AA151,$AC151,IF(M$2=$AF151,$AG151,0))))</f>
        <v/>
      </c>
      <c r="Z151">
        <f>IF(N150&lt;=0,0,MIN(AS151,N$7+IF(N$2=$AA151,$AC151,IF(N$2=$AF151,$AG151,0))))</f>
        <v/>
      </c>
      <c r="AA151">
        <f>IFERROR(ROUND(1/SUMPRODUCT(MAX((C150:N150&gt;0)*($C$3:$N$3&lt;=B151)/$C$2:$N$2)),0),0)</f>
        <v/>
      </c>
      <c r="AB151">
        <f>SUMPRODUCT((C150:N150&gt;0)*$C$7:$N$7)</f>
        <v/>
      </c>
      <c r="AC151">
        <f>MAX(0,Plan!$C$5-AB151)+IF(A151=Plan!$C$8,N(Plan!$C$7),0)</f>
        <v/>
      </c>
      <c r="AD151">
        <f>SUM(C151:N151)</f>
        <v/>
      </c>
      <c r="AE151">
        <f>SUM(O151:Z151)</f>
        <v/>
      </c>
      <c r="AF151">
        <f>IFERROR(ROUND(1/SUMPRODUCT(MAX((C150:N150&gt;0)*($C$3:$N$3&lt;=B151)*($C$2:$N$2&gt;AA151)/$C$2:$N$2)),0),0)</f>
        <v/>
      </c>
      <c r="AG151">
        <f>MAX(0,AC151-MAX(0,SUMPRODUCT(($C$2:$N$2=AA151)*(AH151:AS151-$C$7:$N$7))))</f>
        <v/>
      </c>
      <c r="AH151">
        <f>IF(C150&lt;=0,0,ROUND(C150*(1+IF(AND(C$6&gt;0,$B151&lt;C$6),C$4,C$5)/12),2))</f>
        <v/>
      </c>
      <c r="AI151">
        <f>IF(D150&lt;=0,0,ROUND(D150*(1+IF(AND(D$6&gt;0,$B151&lt;D$6),D$4,D$5)/12),2))</f>
        <v/>
      </c>
      <c r="AJ151">
        <f>IF(E150&lt;=0,0,ROUND(E150*(1+IF(AND(E$6&gt;0,$B151&lt;E$6),E$4,E$5)/12),2))</f>
        <v/>
      </c>
      <c r="AK151">
        <f>IF(F150&lt;=0,0,ROUND(F150*(1+IF(AND(F$6&gt;0,$B151&lt;F$6),F$4,F$5)/12),2))</f>
        <v/>
      </c>
      <c r="AL151">
        <f>IF(G150&lt;=0,0,ROUND(G150*(1+IF(AND(G$6&gt;0,$B151&lt;G$6),G$4,G$5)/12),2))</f>
        <v/>
      </c>
      <c r="AM151">
        <f>IF(H150&lt;=0,0,ROUND(H150*(1+IF(AND(H$6&gt;0,$B151&lt;H$6),H$4,H$5)/12),2))</f>
        <v/>
      </c>
      <c r="AN151">
        <f>IF(I150&lt;=0,0,ROUND(I150*(1+IF(AND(I$6&gt;0,$B151&lt;I$6),I$4,I$5)/12),2))</f>
        <v/>
      </c>
      <c r="AO151">
        <f>IF(J150&lt;=0,0,ROUND(J150*(1+IF(AND(J$6&gt;0,$B151&lt;J$6),J$4,J$5)/12),2))</f>
        <v/>
      </c>
      <c r="AP151">
        <f>IF(K150&lt;=0,0,ROUND(K150*(1+IF(AND(K$6&gt;0,$B151&lt;K$6),K$4,K$5)/12),2))</f>
        <v/>
      </c>
      <c r="AQ151">
        <f>IF(L150&lt;=0,0,ROUND(L150*(1+IF(AND(L$6&gt;0,$B151&lt;L$6),L$4,L$5)/12),2))</f>
        <v/>
      </c>
      <c r="AR151">
        <f>IF(M150&lt;=0,0,ROUND(M150*(1+IF(AND(M$6&gt;0,$B151&lt;M$6),M$4,M$5)/12),2))</f>
        <v/>
      </c>
      <c r="AS151">
        <f>IF(N150&lt;=0,0,ROUND(N150*(1+IF(AND(N$6&gt;0,$B151&lt;N$6),N$4,N$5)/12),2))</f>
        <v/>
      </c>
    </row>
    <row r="152">
      <c r="A152" t="n">
        <v>141</v>
      </c>
      <c r="B152">
        <f>EDATE(Plan!$C$6,140)</f>
        <v/>
      </c>
      <c r="C152">
        <f>IF(C151&lt;=0,0,MAX(0,AH152-O152))</f>
        <v/>
      </c>
      <c r="D152">
        <f>IF(D151&lt;=0,0,MAX(0,AI152-P152))</f>
        <v/>
      </c>
      <c r="E152">
        <f>IF(E151&lt;=0,0,MAX(0,AJ152-Q152))</f>
        <v/>
      </c>
      <c r="F152">
        <f>IF(F151&lt;=0,0,MAX(0,AK152-R152))</f>
        <v/>
      </c>
      <c r="G152">
        <f>IF(G151&lt;=0,0,MAX(0,AL152-S152))</f>
        <v/>
      </c>
      <c r="H152">
        <f>IF(H151&lt;=0,0,MAX(0,AM152-T152))</f>
        <v/>
      </c>
      <c r="I152">
        <f>IF(I151&lt;=0,0,MAX(0,AN152-U152))</f>
        <v/>
      </c>
      <c r="J152">
        <f>IF(J151&lt;=0,0,MAX(0,AO152-V152))</f>
        <v/>
      </c>
      <c r="K152">
        <f>IF(K151&lt;=0,0,MAX(0,AP152-W152))</f>
        <v/>
      </c>
      <c r="L152">
        <f>IF(L151&lt;=0,0,MAX(0,AQ152-X152))</f>
        <v/>
      </c>
      <c r="M152">
        <f>IF(M151&lt;=0,0,MAX(0,AR152-Y152))</f>
        <v/>
      </c>
      <c r="N152">
        <f>IF(N151&lt;=0,0,MAX(0,AS152-Z152))</f>
        <v/>
      </c>
      <c r="O152">
        <f>IF(C151&lt;=0,0,MIN(AH152,C$7+IF(C$2=$AA152,$AC152,IF(C$2=$AF152,$AG152,0))))</f>
        <v/>
      </c>
      <c r="P152">
        <f>IF(D151&lt;=0,0,MIN(AI152,D$7+IF(D$2=$AA152,$AC152,IF(D$2=$AF152,$AG152,0))))</f>
        <v/>
      </c>
      <c r="Q152">
        <f>IF(E151&lt;=0,0,MIN(AJ152,E$7+IF(E$2=$AA152,$AC152,IF(E$2=$AF152,$AG152,0))))</f>
        <v/>
      </c>
      <c r="R152">
        <f>IF(F151&lt;=0,0,MIN(AK152,F$7+IF(F$2=$AA152,$AC152,IF(F$2=$AF152,$AG152,0))))</f>
        <v/>
      </c>
      <c r="S152">
        <f>IF(G151&lt;=0,0,MIN(AL152,G$7+IF(G$2=$AA152,$AC152,IF(G$2=$AF152,$AG152,0))))</f>
        <v/>
      </c>
      <c r="T152">
        <f>IF(H151&lt;=0,0,MIN(AM152,H$7+IF(H$2=$AA152,$AC152,IF(H$2=$AF152,$AG152,0))))</f>
        <v/>
      </c>
      <c r="U152">
        <f>IF(I151&lt;=0,0,MIN(AN152,I$7+IF(I$2=$AA152,$AC152,IF(I$2=$AF152,$AG152,0))))</f>
        <v/>
      </c>
      <c r="V152">
        <f>IF(J151&lt;=0,0,MIN(AO152,J$7+IF(J$2=$AA152,$AC152,IF(J$2=$AF152,$AG152,0))))</f>
        <v/>
      </c>
      <c r="W152">
        <f>IF(K151&lt;=0,0,MIN(AP152,K$7+IF(K$2=$AA152,$AC152,IF(K$2=$AF152,$AG152,0))))</f>
        <v/>
      </c>
      <c r="X152">
        <f>IF(L151&lt;=0,0,MIN(AQ152,L$7+IF(L$2=$AA152,$AC152,IF(L$2=$AF152,$AG152,0))))</f>
        <v/>
      </c>
      <c r="Y152">
        <f>IF(M151&lt;=0,0,MIN(AR152,M$7+IF(M$2=$AA152,$AC152,IF(M$2=$AF152,$AG152,0))))</f>
        <v/>
      </c>
      <c r="Z152">
        <f>IF(N151&lt;=0,0,MIN(AS152,N$7+IF(N$2=$AA152,$AC152,IF(N$2=$AF152,$AG152,0))))</f>
        <v/>
      </c>
      <c r="AA152">
        <f>IFERROR(ROUND(1/SUMPRODUCT(MAX((C151:N151&gt;0)*($C$3:$N$3&lt;=B152)/$C$2:$N$2)),0),0)</f>
        <v/>
      </c>
      <c r="AB152">
        <f>SUMPRODUCT((C151:N151&gt;0)*$C$7:$N$7)</f>
        <v/>
      </c>
      <c r="AC152">
        <f>MAX(0,Plan!$C$5-AB152)+IF(A152=Plan!$C$8,N(Plan!$C$7),0)</f>
        <v/>
      </c>
      <c r="AD152">
        <f>SUM(C152:N152)</f>
        <v/>
      </c>
      <c r="AE152">
        <f>SUM(O152:Z152)</f>
        <v/>
      </c>
      <c r="AF152">
        <f>IFERROR(ROUND(1/SUMPRODUCT(MAX((C151:N151&gt;0)*($C$3:$N$3&lt;=B152)*($C$2:$N$2&gt;AA152)/$C$2:$N$2)),0),0)</f>
        <v/>
      </c>
      <c r="AG152">
        <f>MAX(0,AC152-MAX(0,SUMPRODUCT(($C$2:$N$2=AA152)*(AH152:AS152-$C$7:$N$7))))</f>
        <v/>
      </c>
      <c r="AH152">
        <f>IF(C151&lt;=0,0,ROUND(C151*(1+IF(AND(C$6&gt;0,$B152&lt;C$6),C$4,C$5)/12),2))</f>
        <v/>
      </c>
      <c r="AI152">
        <f>IF(D151&lt;=0,0,ROUND(D151*(1+IF(AND(D$6&gt;0,$B152&lt;D$6),D$4,D$5)/12),2))</f>
        <v/>
      </c>
      <c r="AJ152">
        <f>IF(E151&lt;=0,0,ROUND(E151*(1+IF(AND(E$6&gt;0,$B152&lt;E$6),E$4,E$5)/12),2))</f>
        <v/>
      </c>
      <c r="AK152">
        <f>IF(F151&lt;=0,0,ROUND(F151*(1+IF(AND(F$6&gt;0,$B152&lt;F$6),F$4,F$5)/12),2))</f>
        <v/>
      </c>
      <c r="AL152">
        <f>IF(G151&lt;=0,0,ROUND(G151*(1+IF(AND(G$6&gt;0,$B152&lt;G$6),G$4,G$5)/12),2))</f>
        <v/>
      </c>
      <c r="AM152">
        <f>IF(H151&lt;=0,0,ROUND(H151*(1+IF(AND(H$6&gt;0,$B152&lt;H$6),H$4,H$5)/12),2))</f>
        <v/>
      </c>
      <c r="AN152">
        <f>IF(I151&lt;=0,0,ROUND(I151*(1+IF(AND(I$6&gt;0,$B152&lt;I$6),I$4,I$5)/12),2))</f>
        <v/>
      </c>
      <c r="AO152">
        <f>IF(J151&lt;=0,0,ROUND(J151*(1+IF(AND(J$6&gt;0,$B152&lt;J$6),J$4,J$5)/12),2))</f>
        <v/>
      </c>
      <c r="AP152">
        <f>IF(K151&lt;=0,0,ROUND(K151*(1+IF(AND(K$6&gt;0,$B152&lt;K$6),K$4,K$5)/12),2))</f>
        <v/>
      </c>
      <c r="AQ152">
        <f>IF(L151&lt;=0,0,ROUND(L151*(1+IF(AND(L$6&gt;0,$B152&lt;L$6),L$4,L$5)/12),2))</f>
        <v/>
      </c>
      <c r="AR152">
        <f>IF(M151&lt;=0,0,ROUND(M151*(1+IF(AND(M$6&gt;0,$B152&lt;M$6),M$4,M$5)/12),2))</f>
        <v/>
      </c>
      <c r="AS152">
        <f>IF(N151&lt;=0,0,ROUND(N151*(1+IF(AND(N$6&gt;0,$B152&lt;N$6),N$4,N$5)/12),2))</f>
        <v/>
      </c>
    </row>
    <row r="153">
      <c r="A153" t="n">
        <v>142</v>
      </c>
      <c r="B153">
        <f>EDATE(Plan!$C$6,141)</f>
        <v/>
      </c>
      <c r="C153">
        <f>IF(C152&lt;=0,0,MAX(0,AH153-O153))</f>
        <v/>
      </c>
      <c r="D153">
        <f>IF(D152&lt;=0,0,MAX(0,AI153-P153))</f>
        <v/>
      </c>
      <c r="E153">
        <f>IF(E152&lt;=0,0,MAX(0,AJ153-Q153))</f>
        <v/>
      </c>
      <c r="F153">
        <f>IF(F152&lt;=0,0,MAX(0,AK153-R153))</f>
        <v/>
      </c>
      <c r="G153">
        <f>IF(G152&lt;=0,0,MAX(0,AL153-S153))</f>
        <v/>
      </c>
      <c r="H153">
        <f>IF(H152&lt;=0,0,MAX(0,AM153-T153))</f>
        <v/>
      </c>
      <c r="I153">
        <f>IF(I152&lt;=0,0,MAX(0,AN153-U153))</f>
        <v/>
      </c>
      <c r="J153">
        <f>IF(J152&lt;=0,0,MAX(0,AO153-V153))</f>
        <v/>
      </c>
      <c r="K153">
        <f>IF(K152&lt;=0,0,MAX(0,AP153-W153))</f>
        <v/>
      </c>
      <c r="L153">
        <f>IF(L152&lt;=0,0,MAX(0,AQ153-X153))</f>
        <v/>
      </c>
      <c r="M153">
        <f>IF(M152&lt;=0,0,MAX(0,AR153-Y153))</f>
        <v/>
      </c>
      <c r="N153">
        <f>IF(N152&lt;=0,0,MAX(0,AS153-Z153))</f>
        <v/>
      </c>
      <c r="O153">
        <f>IF(C152&lt;=0,0,MIN(AH153,C$7+IF(C$2=$AA153,$AC153,IF(C$2=$AF153,$AG153,0))))</f>
        <v/>
      </c>
      <c r="P153">
        <f>IF(D152&lt;=0,0,MIN(AI153,D$7+IF(D$2=$AA153,$AC153,IF(D$2=$AF153,$AG153,0))))</f>
        <v/>
      </c>
      <c r="Q153">
        <f>IF(E152&lt;=0,0,MIN(AJ153,E$7+IF(E$2=$AA153,$AC153,IF(E$2=$AF153,$AG153,0))))</f>
        <v/>
      </c>
      <c r="R153">
        <f>IF(F152&lt;=0,0,MIN(AK153,F$7+IF(F$2=$AA153,$AC153,IF(F$2=$AF153,$AG153,0))))</f>
        <v/>
      </c>
      <c r="S153">
        <f>IF(G152&lt;=0,0,MIN(AL153,G$7+IF(G$2=$AA153,$AC153,IF(G$2=$AF153,$AG153,0))))</f>
        <v/>
      </c>
      <c r="T153">
        <f>IF(H152&lt;=0,0,MIN(AM153,H$7+IF(H$2=$AA153,$AC153,IF(H$2=$AF153,$AG153,0))))</f>
        <v/>
      </c>
      <c r="U153">
        <f>IF(I152&lt;=0,0,MIN(AN153,I$7+IF(I$2=$AA153,$AC153,IF(I$2=$AF153,$AG153,0))))</f>
        <v/>
      </c>
      <c r="V153">
        <f>IF(J152&lt;=0,0,MIN(AO153,J$7+IF(J$2=$AA153,$AC153,IF(J$2=$AF153,$AG153,0))))</f>
        <v/>
      </c>
      <c r="W153">
        <f>IF(K152&lt;=0,0,MIN(AP153,K$7+IF(K$2=$AA153,$AC153,IF(K$2=$AF153,$AG153,0))))</f>
        <v/>
      </c>
      <c r="X153">
        <f>IF(L152&lt;=0,0,MIN(AQ153,L$7+IF(L$2=$AA153,$AC153,IF(L$2=$AF153,$AG153,0))))</f>
        <v/>
      </c>
      <c r="Y153">
        <f>IF(M152&lt;=0,0,MIN(AR153,M$7+IF(M$2=$AA153,$AC153,IF(M$2=$AF153,$AG153,0))))</f>
        <v/>
      </c>
      <c r="Z153">
        <f>IF(N152&lt;=0,0,MIN(AS153,N$7+IF(N$2=$AA153,$AC153,IF(N$2=$AF153,$AG153,0))))</f>
        <v/>
      </c>
      <c r="AA153">
        <f>IFERROR(ROUND(1/SUMPRODUCT(MAX((C152:N152&gt;0)*($C$3:$N$3&lt;=B153)/$C$2:$N$2)),0),0)</f>
        <v/>
      </c>
      <c r="AB153">
        <f>SUMPRODUCT((C152:N152&gt;0)*$C$7:$N$7)</f>
        <v/>
      </c>
      <c r="AC153">
        <f>MAX(0,Plan!$C$5-AB153)+IF(A153=Plan!$C$8,N(Plan!$C$7),0)</f>
        <v/>
      </c>
      <c r="AD153">
        <f>SUM(C153:N153)</f>
        <v/>
      </c>
      <c r="AE153">
        <f>SUM(O153:Z153)</f>
        <v/>
      </c>
      <c r="AF153">
        <f>IFERROR(ROUND(1/SUMPRODUCT(MAX((C152:N152&gt;0)*($C$3:$N$3&lt;=B153)*($C$2:$N$2&gt;AA153)/$C$2:$N$2)),0),0)</f>
        <v/>
      </c>
      <c r="AG153">
        <f>MAX(0,AC153-MAX(0,SUMPRODUCT(($C$2:$N$2=AA153)*(AH153:AS153-$C$7:$N$7))))</f>
        <v/>
      </c>
      <c r="AH153">
        <f>IF(C152&lt;=0,0,ROUND(C152*(1+IF(AND(C$6&gt;0,$B153&lt;C$6),C$4,C$5)/12),2))</f>
        <v/>
      </c>
      <c r="AI153">
        <f>IF(D152&lt;=0,0,ROUND(D152*(1+IF(AND(D$6&gt;0,$B153&lt;D$6),D$4,D$5)/12),2))</f>
        <v/>
      </c>
      <c r="AJ153">
        <f>IF(E152&lt;=0,0,ROUND(E152*(1+IF(AND(E$6&gt;0,$B153&lt;E$6),E$4,E$5)/12),2))</f>
        <v/>
      </c>
      <c r="AK153">
        <f>IF(F152&lt;=0,0,ROUND(F152*(1+IF(AND(F$6&gt;0,$B153&lt;F$6),F$4,F$5)/12),2))</f>
        <v/>
      </c>
      <c r="AL153">
        <f>IF(G152&lt;=0,0,ROUND(G152*(1+IF(AND(G$6&gt;0,$B153&lt;G$6),G$4,G$5)/12),2))</f>
        <v/>
      </c>
      <c r="AM153">
        <f>IF(H152&lt;=0,0,ROUND(H152*(1+IF(AND(H$6&gt;0,$B153&lt;H$6),H$4,H$5)/12),2))</f>
        <v/>
      </c>
      <c r="AN153">
        <f>IF(I152&lt;=0,0,ROUND(I152*(1+IF(AND(I$6&gt;0,$B153&lt;I$6),I$4,I$5)/12),2))</f>
        <v/>
      </c>
      <c r="AO153">
        <f>IF(J152&lt;=0,0,ROUND(J152*(1+IF(AND(J$6&gt;0,$B153&lt;J$6),J$4,J$5)/12),2))</f>
        <v/>
      </c>
      <c r="AP153">
        <f>IF(K152&lt;=0,0,ROUND(K152*(1+IF(AND(K$6&gt;0,$B153&lt;K$6),K$4,K$5)/12),2))</f>
        <v/>
      </c>
      <c r="AQ153">
        <f>IF(L152&lt;=0,0,ROUND(L152*(1+IF(AND(L$6&gt;0,$B153&lt;L$6),L$4,L$5)/12),2))</f>
        <v/>
      </c>
      <c r="AR153">
        <f>IF(M152&lt;=0,0,ROUND(M152*(1+IF(AND(M$6&gt;0,$B153&lt;M$6),M$4,M$5)/12),2))</f>
        <v/>
      </c>
      <c r="AS153">
        <f>IF(N152&lt;=0,0,ROUND(N152*(1+IF(AND(N$6&gt;0,$B153&lt;N$6),N$4,N$5)/12),2))</f>
        <v/>
      </c>
    </row>
    <row r="154">
      <c r="A154" t="n">
        <v>143</v>
      </c>
      <c r="B154">
        <f>EDATE(Plan!$C$6,142)</f>
        <v/>
      </c>
      <c r="C154">
        <f>IF(C153&lt;=0,0,MAX(0,AH154-O154))</f>
        <v/>
      </c>
      <c r="D154">
        <f>IF(D153&lt;=0,0,MAX(0,AI154-P154))</f>
        <v/>
      </c>
      <c r="E154">
        <f>IF(E153&lt;=0,0,MAX(0,AJ154-Q154))</f>
        <v/>
      </c>
      <c r="F154">
        <f>IF(F153&lt;=0,0,MAX(0,AK154-R154))</f>
        <v/>
      </c>
      <c r="G154">
        <f>IF(G153&lt;=0,0,MAX(0,AL154-S154))</f>
        <v/>
      </c>
      <c r="H154">
        <f>IF(H153&lt;=0,0,MAX(0,AM154-T154))</f>
        <v/>
      </c>
      <c r="I154">
        <f>IF(I153&lt;=0,0,MAX(0,AN154-U154))</f>
        <v/>
      </c>
      <c r="J154">
        <f>IF(J153&lt;=0,0,MAX(0,AO154-V154))</f>
        <v/>
      </c>
      <c r="K154">
        <f>IF(K153&lt;=0,0,MAX(0,AP154-W154))</f>
        <v/>
      </c>
      <c r="L154">
        <f>IF(L153&lt;=0,0,MAX(0,AQ154-X154))</f>
        <v/>
      </c>
      <c r="M154">
        <f>IF(M153&lt;=0,0,MAX(0,AR154-Y154))</f>
        <v/>
      </c>
      <c r="N154">
        <f>IF(N153&lt;=0,0,MAX(0,AS154-Z154))</f>
        <v/>
      </c>
      <c r="O154">
        <f>IF(C153&lt;=0,0,MIN(AH154,C$7+IF(C$2=$AA154,$AC154,IF(C$2=$AF154,$AG154,0))))</f>
        <v/>
      </c>
      <c r="P154">
        <f>IF(D153&lt;=0,0,MIN(AI154,D$7+IF(D$2=$AA154,$AC154,IF(D$2=$AF154,$AG154,0))))</f>
        <v/>
      </c>
      <c r="Q154">
        <f>IF(E153&lt;=0,0,MIN(AJ154,E$7+IF(E$2=$AA154,$AC154,IF(E$2=$AF154,$AG154,0))))</f>
        <v/>
      </c>
      <c r="R154">
        <f>IF(F153&lt;=0,0,MIN(AK154,F$7+IF(F$2=$AA154,$AC154,IF(F$2=$AF154,$AG154,0))))</f>
        <v/>
      </c>
      <c r="S154">
        <f>IF(G153&lt;=0,0,MIN(AL154,G$7+IF(G$2=$AA154,$AC154,IF(G$2=$AF154,$AG154,0))))</f>
        <v/>
      </c>
      <c r="T154">
        <f>IF(H153&lt;=0,0,MIN(AM154,H$7+IF(H$2=$AA154,$AC154,IF(H$2=$AF154,$AG154,0))))</f>
        <v/>
      </c>
      <c r="U154">
        <f>IF(I153&lt;=0,0,MIN(AN154,I$7+IF(I$2=$AA154,$AC154,IF(I$2=$AF154,$AG154,0))))</f>
        <v/>
      </c>
      <c r="V154">
        <f>IF(J153&lt;=0,0,MIN(AO154,J$7+IF(J$2=$AA154,$AC154,IF(J$2=$AF154,$AG154,0))))</f>
        <v/>
      </c>
      <c r="W154">
        <f>IF(K153&lt;=0,0,MIN(AP154,K$7+IF(K$2=$AA154,$AC154,IF(K$2=$AF154,$AG154,0))))</f>
        <v/>
      </c>
      <c r="X154">
        <f>IF(L153&lt;=0,0,MIN(AQ154,L$7+IF(L$2=$AA154,$AC154,IF(L$2=$AF154,$AG154,0))))</f>
        <v/>
      </c>
      <c r="Y154">
        <f>IF(M153&lt;=0,0,MIN(AR154,M$7+IF(M$2=$AA154,$AC154,IF(M$2=$AF154,$AG154,0))))</f>
        <v/>
      </c>
      <c r="Z154">
        <f>IF(N153&lt;=0,0,MIN(AS154,N$7+IF(N$2=$AA154,$AC154,IF(N$2=$AF154,$AG154,0))))</f>
        <v/>
      </c>
      <c r="AA154">
        <f>IFERROR(ROUND(1/SUMPRODUCT(MAX((C153:N153&gt;0)*($C$3:$N$3&lt;=B154)/$C$2:$N$2)),0),0)</f>
        <v/>
      </c>
      <c r="AB154">
        <f>SUMPRODUCT((C153:N153&gt;0)*$C$7:$N$7)</f>
        <v/>
      </c>
      <c r="AC154">
        <f>MAX(0,Plan!$C$5-AB154)+IF(A154=Plan!$C$8,N(Plan!$C$7),0)</f>
        <v/>
      </c>
      <c r="AD154">
        <f>SUM(C154:N154)</f>
        <v/>
      </c>
      <c r="AE154">
        <f>SUM(O154:Z154)</f>
        <v/>
      </c>
      <c r="AF154">
        <f>IFERROR(ROUND(1/SUMPRODUCT(MAX((C153:N153&gt;0)*($C$3:$N$3&lt;=B154)*($C$2:$N$2&gt;AA154)/$C$2:$N$2)),0),0)</f>
        <v/>
      </c>
      <c r="AG154">
        <f>MAX(0,AC154-MAX(0,SUMPRODUCT(($C$2:$N$2=AA154)*(AH154:AS154-$C$7:$N$7))))</f>
        <v/>
      </c>
      <c r="AH154">
        <f>IF(C153&lt;=0,0,ROUND(C153*(1+IF(AND(C$6&gt;0,$B154&lt;C$6),C$4,C$5)/12),2))</f>
        <v/>
      </c>
      <c r="AI154">
        <f>IF(D153&lt;=0,0,ROUND(D153*(1+IF(AND(D$6&gt;0,$B154&lt;D$6),D$4,D$5)/12),2))</f>
        <v/>
      </c>
      <c r="AJ154">
        <f>IF(E153&lt;=0,0,ROUND(E153*(1+IF(AND(E$6&gt;0,$B154&lt;E$6),E$4,E$5)/12),2))</f>
        <v/>
      </c>
      <c r="AK154">
        <f>IF(F153&lt;=0,0,ROUND(F153*(1+IF(AND(F$6&gt;0,$B154&lt;F$6),F$4,F$5)/12),2))</f>
        <v/>
      </c>
      <c r="AL154">
        <f>IF(G153&lt;=0,0,ROUND(G153*(1+IF(AND(G$6&gt;0,$B154&lt;G$6),G$4,G$5)/12),2))</f>
        <v/>
      </c>
      <c r="AM154">
        <f>IF(H153&lt;=0,0,ROUND(H153*(1+IF(AND(H$6&gt;0,$B154&lt;H$6),H$4,H$5)/12),2))</f>
        <v/>
      </c>
      <c r="AN154">
        <f>IF(I153&lt;=0,0,ROUND(I153*(1+IF(AND(I$6&gt;0,$B154&lt;I$6),I$4,I$5)/12),2))</f>
        <v/>
      </c>
      <c r="AO154">
        <f>IF(J153&lt;=0,0,ROUND(J153*(1+IF(AND(J$6&gt;0,$B154&lt;J$6),J$4,J$5)/12),2))</f>
        <v/>
      </c>
      <c r="AP154">
        <f>IF(K153&lt;=0,0,ROUND(K153*(1+IF(AND(K$6&gt;0,$B154&lt;K$6),K$4,K$5)/12),2))</f>
        <v/>
      </c>
      <c r="AQ154">
        <f>IF(L153&lt;=0,0,ROUND(L153*(1+IF(AND(L$6&gt;0,$B154&lt;L$6),L$4,L$5)/12),2))</f>
        <v/>
      </c>
      <c r="AR154">
        <f>IF(M153&lt;=0,0,ROUND(M153*(1+IF(AND(M$6&gt;0,$B154&lt;M$6),M$4,M$5)/12),2))</f>
        <v/>
      </c>
      <c r="AS154">
        <f>IF(N153&lt;=0,0,ROUND(N153*(1+IF(AND(N$6&gt;0,$B154&lt;N$6),N$4,N$5)/12),2))</f>
        <v/>
      </c>
    </row>
    <row r="155">
      <c r="A155" t="n">
        <v>144</v>
      </c>
      <c r="B155">
        <f>EDATE(Plan!$C$6,143)</f>
        <v/>
      </c>
      <c r="C155">
        <f>IF(C154&lt;=0,0,MAX(0,AH155-O155))</f>
        <v/>
      </c>
      <c r="D155">
        <f>IF(D154&lt;=0,0,MAX(0,AI155-P155))</f>
        <v/>
      </c>
      <c r="E155">
        <f>IF(E154&lt;=0,0,MAX(0,AJ155-Q155))</f>
        <v/>
      </c>
      <c r="F155">
        <f>IF(F154&lt;=0,0,MAX(0,AK155-R155))</f>
        <v/>
      </c>
      <c r="G155">
        <f>IF(G154&lt;=0,0,MAX(0,AL155-S155))</f>
        <v/>
      </c>
      <c r="H155">
        <f>IF(H154&lt;=0,0,MAX(0,AM155-T155))</f>
        <v/>
      </c>
      <c r="I155">
        <f>IF(I154&lt;=0,0,MAX(0,AN155-U155))</f>
        <v/>
      </c>
      <c r="J155">
        <f>IF(J154&lt;=0,0,MAX(0,AO155-V155))</f>
        <v/>
      </c>
      <c r="K155">
        <f>IF(K154&lt;=0,0,MAX(0,AP155-W155))</f>
        <v/>
      </c>
      <c r="L155">
        <f>IF(L154&lt;=0,0,MAX(0,AQ155-X155))</f>
        <v/>
      </c>
      <c r="M155">
        <f>IF(M154&lt;=0,0,MAX(0,AR155-Y155))</f>
        <v/>
      </c>
      <c r="N155">
        <f>IF(N154&lt;=0,0,MAX(0,AS155-Z155))</f>
        <v/>
      </c>
      <c r="O155">
        <f>IF(C154&lt;=0,0,MIN(AH155,C$7+IF(C$2=$AA155,$AC155,IF(C$2=$AF155,$AG155,0))))</f>
        <v/>
      </c>
      <c r="P155">
        <f>IF(D154&lt;=0,0,MIN(AI155,D$7+IF(D$2=$AA155,$AC155,IF(D$2=$AF155,$AG155,0))))</f>
        <v/>
      </c>
      <c r="Q155">
        <f>IF(E154&lt;=0,0,MIN(AJ155,E$7+IF(E$2=$AA155,$AC155,IF(E$2=$AF155,$AG155,0))))</f>
        <v/>
      </c>
      <c r="R155">
        <f>IF(F154&lt;=0,0,MIN(AK155,F$7+IF(F$2=$AA155,$AC155,IF(F$2=$AF155,$AG155,0))))</f>
        <v/>
      </c>
      <c r="S155">
        <f>IF(G154&lt;=0,0,MIN(AL155,G$7+IF(G$2=$AA155,$AC155,IF(G$2=$AF155,$AG155,0))))</f>
        <v/>
      </c>
      <c r="T155">
        <f>IF(H154&lt;=0,0,MIN(AM155,H$7+IF(H$2=$AA155,$AC155,IF(H$2=$AF155,$AG155,0))))</f>
        <v/>
      </c>
      <c r="U155">
        <f>IF(I154&lt;=0,0,MIN(AN155,I$7+IF(I$2=$AA155,$AC155,IF(I$2=$AF155,$AG155,0))))</f>
        <v/>
      </c>
      <c r="V155">
        <f>IF(J154&lt;=0,0,MIN(AO155,J$7+IF(J$2=$AA155,$AC155,IF(J$2=$AF155,$AG155,0))))</f>
        <v/>
      </c>
      <c r="W155">
        <f>IF(K154&lt;=0,0,MIN(AP155,K$7+IF(K$2=$AA155,$AC155,IF(K$2=$AF155,$AG155,0))))</f>
        <v/>
      </c>
      <c r="X155">
        <f>IF(L154&lt;=0,0,MIN(AQ155,L$7+IF(L$2=$AA155,$AC155,IF(L$2=$AF155,$AG155,0))))</f>
        <v/>
      </c>
      <c r="Y155">
        <f>IF(M154&lt;=0,0,MIN(AR155,M$7+IF(M$2=$AA155,$AC155,IF(M$2=$AF155,$AG155,0))))</f>
        <v/>
      </c>
      <c r="Z155">
        <f>IF(N154&lt;=0,0,MIN(AS155,N$7+IF(N$2=$AA155,$AC155,IF(N$2=$AF155,$AG155,0))))</f>
        <v/>
      </c>
      <c r="AA155">
        <f>IFERROR(ROUND(1/SUMPRODUCT(MAX((C154:N154&gt;0)*($C$3:$N$3&lt;=B155)/$C$2:$N$2)),0),0)</f>
        <v/>
      </c>
      <c r="AB155">
        <f>SUMPRODUCT((C154:N154&gt;0)*$C$7:$N$7)</f>
        <v/>
      </c>
      <c r="AC155">
        <f>MAX(0,Plan!$C$5-AB155)+IF(A155=Plan!$C$8,N(Plan!$C$7),0)</f>
        <v/>
      </c>
      <c r="AD155">
        <f>SUM(C155:N155)</f>
        <v/>
      </c>
      <c r="AE155">
        <f>SUM(O155:Z155)</f>
        <v/>
      </c>
      <c r="AF155">
        <f>IFERROR(ROUND(1/SUMPRODUCT(MAX((C154:N154&gt;0)*($C$3:$N$3&lt;=B155)*($C$2:$N$2&gt;AA155)/$C$2:$N$2)),0),0)</f>
        <v/>
      </c>
      <c r="AG155">
        <f>MAX(0,AC155-MAX(0,SUMPRODUCT(($C$2:$N$2=AA155)*(AH155:AS155-$C$7:$N$7))))</f>
        <v/>
      </c>
      <c r="AH155">
        <f>IF(C154&lt;=0,0,ROUND(C154*(1+IF(AND(C$6&gt;0,$B155&lt;C$6),C$4,C$5)/12),2))</f>
        <v/>
      </c>
      <c r="AI155">
        <f>IF(D154&lt;=0,0,ROUND(D154*(1+IF(AND(D$6&gt;0,$B155&lt;D$6),D$4,D$5)/12),2))</f>
        <v/>
      </c>
      <c r="AJ155">
        <f>IF(E154&lt;=0,0,ROUND(E154*(1+IF(AND(E$6&gt;0,$B155&lt;E$6),E$4,E$5)/12),2))</f>
        <v/>
      </c>
      <c r="AK155">
        <f>IF(F154&lt;=0,0,ROUND(F154*(1+IF(AND(F$6&gt;0,$B155&lt;F$6),F$4,F$5)/12),2))</f>
        <v/>
      </c>
      <c r="AL155">
        <f>IF(G154&lt;=0,0,ROUND(G154*(1+IF(AND(G$6&gt;0,$B155&lt;G$6),G$4,G$5)/12),2))</f>
        <v/>
      </c>
      <c r="AM155">
        <f>IF(H154&lt;=0,0,ROUND(H154*(1+IF(AND(H$6&gt;0,$B155&lt;H$6),H$4,H$5)/12),2))</f>
        <v/>
      </c>
      <c r="AN155">
        <f>IF(I154&lt;=0,0,ROUND(I154*(1+IF(AND(I$6&gt;0,$B155&lt;I$6),I$4,I$5)/12),2))</f>
        <v/>
      </c>
      <c r="AO155">
        <f>IF(J154&lt;=0,0,ROUND(J154*(1+IF(AND(J$6&gt;0,$B155&lt;J$6),J$4,J$5)/12),2))</f>
        <v/>
      </c>
      <c r="AP155">
        <f>IF(K154&lt;=0,0,ROUND(K154*(1+IF(AND(K$6&gt;0,$B155&lt;K$6),K$4,K$5)/12),2))</f>
        <v/>
      </c>
      <c r="AQ155">
        <f>IF(L154&lt;=0,0,ROUND(L154*(1+IF(AND(L$6&gt;0,$B155&lt;L$6),L$4,L$5)/12),2))</f>
        <v/>
      </c>
      <c r="AR155">
        <f>IF(M154&lt;=0,0,ROUND(M154*(1+IF(AND(M$6&gt;0,$B155&lt;M$6),M$4,M$5)/12),2))</f>
        <v/>
      </c>
      <c r="AS155">
        <f>IF(N154&lt;=0,0,ROUND(N154*(1+IF(AND(N$6&gt;0,$B155&lt;N$6),N$4,N$5)/12),2))</f>
        <v/>
      </c>
    </row>
    <row r="156">
      <c r="A156" t="n">
        <v>145</v>
      </c>
      <c r="B156">
        <f>EDATE(Plan!$C$6,144)</f>
        <v/>
      </c>
      <c r="C156">
        <f>IF(C155&lt;=0,0,MAX(0,AH156-O156))</f>
        <v/>
      </c>
      <c r="D156">
        <f>IF(D155&lt;=0,0,MAX(0,AI156-P156))</f>
        <v/>
      </c>
      <c r="E156">
        <f>IF(E155&lt;=0,0,MAX(0,AJ156-Q156))</f>
        <v/>
      </c>
      <c r="F156">
        <f>IF(F155&lt;=0,0,MAX(0,AK156-R156))</f>
        <v/>
      </c>
      <c r="G156">
        <f>IF(G155&lt;=0,0,MAX(0,AL156-S156))</f>
        <v/>
      </c>
      <c r="H156">
        <f>IF(H155&lt;=0,0,MAX(0,AM156-T156))</f>
        <v/>
      </c>
      <c r="I156">
        <f>IF(I155&lt;=0,0,MAX(0,AN156-U156))</f>
        <v/>
      </c>
      <c r="J156">
        <f>IF(J155&lt;=0,0,MAX(0,AO156-V156))</f>
        <v/>
      </c>
      <c r="K156">
        <f>IF(K155&lt;=0,0,MAX(0,AP156-W156))</f>
        <v/>
      </c>
      <c r="L156">
        <f>IF(L155&lt;=0,0,MAX(0,AQ156-X156))</f>
        <v/>
      </c>
      <c r="M156">
        <f>IF(M155&lt;=0,0,MAX(0,AR156-Y156))</f>
        <v/>
      </c>
      <c r="N156">
        <f>IF(N155&lt;=0,0,MAX(0,AS156-Z156))</f>
        <v/>
      </c>
      <c r="O156">
        <f>IF(C155&lt;=0,0,MIN(AH156,C$7+IF(C$2=$AA156,$AC156,IF(C$2=$AF156,$AG156,0))))</f>
        <v/>
      </c>
      <c r="P156">
        <f>IF(D155&lt;=0,0,MIN(AI156,D$7+IF(D$2=$AA156,$AC156,IF(D$2=$AF156,$AG156,0))))</f>
        <v/>
      </c>
      <c r="Q156">
        <f>IF(E155&lt;=0,0,MIN(AJ156,E$7+IF(E$2=$AA156,$AC156,IF(E$2=$AF156,$AG156,0))))</f>
        <v/>
      </c>
      <c r="R156">
        <f>IF(F155&lt;=0,0,MIN(AK156,F$7+IF(F$2=$AA156,$AC156,IF(F$2=$AF156,$AG156,0))))</f>
        <v/>
      </c>
      <c r="S156">
        <f>IF(G155&lt;=0,0,MIN(AL156,G$7+IF(G$2=$AA156,$AC156,IF(G$2=$AF156,$AG156,0))))</f>
        <v/>
      </c>
      <c r="T156">
        <f>IF(H155&lt;=0,0,MIN(AM156,H$7+IF(H$2=$AA156,$AC156,IF(H$2=$AF156,$AG156,0))))</f>
        <v/>
      </c>
      <c r="U156">
        <f>IF(I155&lt;=0,0,MIN(AN156,I$7+IF(I$2=$AA156,$AC156,IF(I$2=$AF156,$AG156,0))))</f>
        <v/>
      </c>
      <c r="V156">
        <f>IF(J155&lt;=0,0,MIN(AO156,J$7+IF(J$2=$AA156,$AC156,IF(J$2=$AF156,$AG156,0))))</f>
        <v/>
      </c>
      <c r="W156">
        <f>IF(K155&lt;=0,0,MIN(AP156,K$7+IF(K$2=$AA156,$AC156,IF(K$2=$AF156,$AG156,0))))</f>
        <v/>
      </c>
      <c r="X156">
        <f>IF(L155&lt;=0,0,MIN(AQ156,L$7+IF(L$2=$AA156,$AC156,IF(L$2=$AF156,$AG156,0))))</f>
        <v/>
      </c>
      <c r="Y156">
        <f>IF(M155&lt;=0,0,MIN(AR156,M$7+IF(M$2=$AA156,$AC156,IF(M$2=$AF156,$AG156,0))))</f>
        <v/>
      </c>
      <c r="Z156">
        <f>IF(N155&lt;=0,0,MIN(AS156,N$7+IF(N$2=$AA156,$AC156,IF(N$2=$AF156,$AG156,0))))</f>
        <v/>
      </c>
      <c r="AA156">
        <f>IFERROR(ROUND(1/SUMPRODUCT(MAX((C155:N155&gt;0)*($C$3:$N$3&lt;=B156)/$C$2:$N$2)),0),0)</f>
        <v/>
      </c>
      <c r="AB156">
        <f>SUMPRODUCT((C155:N155&gt;0)*$C$7:$N$7)</f>
        <v/>
      </c>
      <c r="AC156">
        <f>MAX(0,Plan!$C$5-AB156)+IF(A156=Plan!$C$8,N(Plan!$C$7),0)</f>
        <v/>
      </c>
      <c r="AD156">
        <f>SUM(C156:N156)</f>
        <v/>
      </c>
      <c r="AE156">
        <f>SUM(O156:Z156)</f>
        <v/>
      </c>
      <c r="AF156">
        <f>IFERROR(ROUND(1/SUMPRODUCT(MAX((C155:N155&gt;0)*($C$3:$N$3&lt;=B156)*($C$2:$N$2&gt;AA156)/$C$2:$N$2)),0),0)</f>
        <v/>
      </c>
      <c r="AG156">
        <f>MAX(0,AC156-MAX(0,SUMPRODUCT(($C$2:$N$2=AA156)*(AH156:AS156-$C$7:$N$7))))</f>
        <v/>
      </c>
      <c r="AH156">
        <f>IF(C155&lt;=0,0,ROUND(C155*(1+IF(AND(C$6&gt;0,$B156&lt;C$6),C$4,C$5)/12),2))</f>
        <v/>
      </c>
      <c r="AI156">
        <f>IF(D155&lt;=0,0,ROUND(D155*(1+IF(AND(D$6&gt;0,$B156&lt;D$6),D$4,D$5)/12),2))</f>
        <v/>
      </c>
      <c r="AJ156">
        <f>IF(E155&lt;=0,0,ROUND(E155*(1+IF(AND(E$6&gt;0,$B156&lt;E$6),E$4,E$5)/12),2))</f>
        <v/>
      </c>
      <c r="AK156">
        <f>IF(F155&lt;=0,0,ROUND(F155*(1+IF(AND(F$6&gt;0,$B156&lt;F$6),F$4,F$5)/12),2))</f>
        <v/>
      </c>
      <c r="AL156">
        <f>IF(G155&lt;=0,0,ROUND(G155*(1+IF(AND(G$6&gt;0,$B156&lt;G$6),G$4,G$5)/12),2))</f>
        <v/>
      </c>
      <c r="AM156">
        <f>IF(H155&lt;=0,0,ROUND(H155*(1+IF(AND(H$6&gt;0,$B156&lt;H$6),H$4,H$5)/12),2))</f>
        <v/>
      </c>
      <c r="AN156">
        <f>IF(I155&lt;=0,0,ROUND(I155*(1+IF(AND(I$6&gt;0,$B156&lt;I$6),I$4,I$5)/12),2))</f>
        <v/>
      </c>
      <c r="AO156">
        <f>IF(J155&lt;=0,0,ROUND(J155*(1+IF(AND(J$6&gt;0,$B156&lt;J$6),J$4,J$5)/12),2))</f>
        <v/>
      </c>
      <c r="AP156">
        <f>IF(K155&lt;=0,0,ROUND(K155*(1+IF(AND(K$6&gt;0,$B156&lt;K$6),K$4,K$5)/12),2))</f>
        <v/>
      </c>
      <c r="AQ156">
        <f>IF(L155&lt;=0,0,ROUND(L155*(1+IF(AND(L$6&gt;0,$B156&lt;L$6),L$4,L$5)/12),2))</f>
        <v/>
      </c>
      <c r="AR156">
        <f>IF(M155&lt;=0,0,ROUND(M155*(1+IF(AND(M$6&gt;0,$B156&lt;M$6),M$4,M$5)/12),2))</f>
        <v/>
      </c>
      <c r="AS156">
        <f>IF(N155&lt;=0,0,ROUND(N155*(1+IF(AND(N$6&gt;0,$B156&lt;N$6),N$4,N$5)/12),2))</f>
        <v/>
      </c>
    </row>
    <row r="157">
      <c r="A157" t="n">
        <v>146</v>
      </c>
      <c r="B157">
        <f>EDATE(Plan!$C$6,145)</f>
        <v/>
      </c>
      <c r="C157">
        <f>IF(C156&lt;=0,0,MAX(0,AH157-O157))</f>
        <v/>
      </c>
      <c r="D157">
        <f>IF(D156&lt;=0,0,MAX(0,AI157-P157))</f>
        <v/>
      </c>
      <c r="E157">
        <f>IF(E156&lt;=0,0,MAX(0,AJ157-Q157))</f>
        <v/>
      </c>
      <c r="F157">
        <f>IF(F156&lt;=0,0,MAX(0,AK157-R157))</f>
        <v/>
      </c>
      <c r="G157">
        <f>IF(G156&lt;=0,0,MAX(0,AL157-S157))</f>
        <v/>
      </c>
      <c r="H157">
        <f>IF(H156&lt;=0,0,MAX(0,AM157-T157))</f>
        <v/>
      </c>
      <c r="I157">
        <f>IF(I156&lt;=0,0,MAX(0,AN157-U157))</f>
        <v/>
      </c>
      <c r="J157">
        <f>IF(J156&lt;=0,0,MAX(0,AO157-V157))</f>
        <v/>
      </c>
      <c r="K157">
        <f>IF(K156&lt;=0,0,MAX(0,AP157-W157))</f>
        <v/>
      </c>
      <c r="L157">
        <f>IF(L156&lt;=0,0,MAX(0,AQ157-X157))</f>
        <v/>
      </c>
      <c r="M157">
        <f>IF(M156&lt;=0,0,MAX(0,AR157-Y157))</f>
        <v/>
      </c>
      <c r="N157">
        <f>IF(N156&lt;=0,0,MAX(0,AS157-Z157))</f>
        <v/>
      </c>
      <c r="O157">
        <f>IF(C156&lt;=0,0,MIN(AH157,C$7+IF(C$2=$AA157,$AC157,IF(C$2=$AF157,$AG157,0))))</f>
        <v/>
      </c>
      <c r="P157">
        <f>IF(D156&lt;=0,0,MIN(AI157,D$7+IF(D$2=$AA157,$AC157,IF(D$2=$AF157,$AG157,0))))</f>
        <v/>
      </c>
      <c r="Q157">
        <f>IF(E156&lt;=0,0,MIN(AJ157,E$7+IF(E$2=$AA157,$AC157,IF(E$2=$AF157,$AG157,0))))</f>
        <v/>
      </c>
      <c r="R157">
        <f>IF(F156&lt;=0,0,MIN(AK157,F$7+IF(F$2=$AA157,$AC157,IF(F$2=$AF157,$AG157,0))))</f>
        <v/>
      </c>
      <c r="S157">
        <f>IF(G156&lt;=0,0,MIN(AL157,G$7+IF(G$2=$AA157,$AC157,IF(G$2=$AF157,$AG157,0))))</f>
        <v/>
      </c>
      <c r="T157">
        <f>IF(H156&lt;=0,0,MIN(AM157,H$7+IF(H$2=$AA157,$AC157,IF(H$2=$AF157,$AG157,0))))</f>
        <v/>
      </c>
      <c r="U157">
        <f>IF(I156&lt;=0,0,MIN(AN157,I$7+IF(I$2=$AA157,$AC157,IF(I$2=$AF157,$AG157,0))))</f>
        <v/>
      </c>
      <c r="V157">
        <f>IF(J156&lt;=0,0,MIN(AO157,J$7+IF(J$2=$AA157,$AC157,IF(J$2=$AF157,$AG157,0))))</f>
        <v/>
      </c>
      <c r="W157">
        <f>IF(K156&lt;=0,0,MIN(AP157,K$7+IF(K$2=$AA157,$AC157,IF(K$2=$AF157,$AG157,0))))</f>
        <v/>
      </c>
      <c r="X157">
        <f>IF(L156&lt;=0,0,MIN(AQ157,L$7+IF(L$2=$AA157,$AC157,IF(L$2=$AF157,$AG157,0))))</f>
        <v/>
      </c>
      <c r="Y157">
        <f>IF(M156&lt;=0,0,MIN(AR157,M$7+IF(M$2=$AA157,$AC157,IF(M$2=$AF157,$AG157,0))))</f>
        <v/>
      </c>
      <c r="Z157">
        <f>IF(N156&lt;=0,0,MIN(AS157,N$7+IF(N$2=$AA157,$AC157,IF(N$2=$AF157,$AG157,0))))</f>
        <v/>
      </c>
      <c r="AA157">
        <f>IFERROR(ROUND(1/SUMPRODUCT(MAX((C156:N156&gt;0)*($C$3:$N$3&lt;=B157)/$C$2:$N$2)),0),0)</f>
        <v/>
      </c>
      <c r="AB157">
        <f>SUMPRODUCT((C156:N156&gt;0)*$C$7:$N$7)</f>
        <v/>
      </c>
      <c r="AC157">
        <f>MAX(0,Plan!$C$5-AB157)+IF(A157=Plan!$C$8,N(Plan!$C$7),0)</f>
        <v/>
      </c>
      <c r="AD157">
        <f>SUM(C157:N157)</f>
        <v/>
      </c>
      <c r="AE157">
        <f>SUM(O157:Z157)</f>
        <v/>
      </c>
      <c r="AF157">
        <f>IFERROR(ROUND(1/SUMPRODUCT(MAX((C156:N156&gt;0)*($C$3:$N$3&lt;=B157)*($C$2:$N$2&gt;AA157)/$C$2:$N$2)),0),0)</f>
        <v/>
      </c>
      <c r="AG157">
        <f>MAX(0,AC157-MAX(0,SUMPRODUCT(($C$2:$N$2=AA157)*(AH157:AS157-$C$7:$N$7))))</f>
        <v/>
      </c>
      <c r="AH157">
        <f>IF(C156&lt;=0,0,ROUND(C156*(1+IF(AND(C$6&gt;0,$B157&lt;C$6),C$4,C$5)/12),2))</f>
        <v/>
      </c>
      <c r="AI157">
        <f>IF(D156&lt;=0,0,ROUND(D156*(1+IF(AND(D$6&gt;0,$B157&lt;D$6),D$4,D$5)/12),2))</f>
        <v/>
      </c>
      <c r="AJ157">
        <f>IF(E156&lt;=0,0,ROUND(E156*(1+IF(AND(E$6&gt;0,$B157&lt;E$6),E$4,E$5)/12),2))</f>
        <v/>
      </c>
      <c r="AK157">
        <f>IF(F156&lt;=0,0,ROUND(F156*(1+IF(AND(F$6&gt;0,$B157&lt;F$6),F$4,F$5)/12),2))</f>
        <v/>
      </c>
      <c r="AL157">
        <f>IF(G156&lt;=0,0,ROUND(G156*(1+IF(AND(G$6&gt;0,$B157&lt;G$6),G$4,G$5)/12),2))</f>
        <v/>
      </c>
      <c r="AM157">
        <f>IF(H156&lt;=0,0,ROUND(H156*(1+IF(AND(H$6&gt;0,$B157&lt;H$6),H$4,H$5)/12),2))</f>
        <v/>
      </c>
      <c r="AN157">
        <f>IF(I156&lt;=0,0,ROUND(I156*(1+IF(AND(I$6&gt;0,$B157&lt;I$6),I$4,I$5)/12),2))</f>
        <v/>
      </c>
      <c r="AO157">
        <f>IF(J156&lt;=0,0,ROUND(J156*(1+IF(AND(J$6&gt;0,$B157&lt;J$6),J$4,J$5)/12),2))</f>
        <v/>
      </c>
      <c r="AP157">
        <f>IF(K156&lt;=0,0,ROUND(K156*(1+IF(AND(K$6&gt;0,$B157&lt;K$6),K$4,K$5)/12),2))</f>
        <v/>
      </c>
      <c r="AQ157">
        <f>IF(L156&lt;=0,0,ROUND(L156*(1+IF(AND(L$6&gt;0,$B157&lt;L$6),L$4,L$5)/12),2))</f>
        <v/>
      </c>
      <c r="AR157">
        <f>IF(M156&lt;=0,0,ROUND(M156*(1+IF(AND(M$6&gt;0,$B157&lt;M$6),M$4,M$5)/12),2))</f>
        <v/>
      </c>
      <c r="AS157">
        <f>IF(N156&lt;=0,0,ROUND(N156*(1+IF(AND(N$6&gt;0,$B157&lt;N$6),N$4,N$5)/12),2))</f>
        <v/>
      </c>
    </row>
    <row r="158">
      <c r="A158" t="n">
        <v>147</v>
      </c>
      <c r="B158">
        <f>EDATE(Plan!$C$6,146)</f>
        <v/>
      </c>
      <c r="C158">
        <f>IF(C157&lt;=0,0,MAX(0,AH158-O158))</f>
        <v/>
      </c>
      <c r="D158">
        <f>IF(D157&lt;=0,0,MAX(0,AI158-P158))</f>
        <v/>
      </c>
      <c r="E158">
        <f>IF(E157&lt;=0,0,MAX(0,AJ158-Q158))</f>
        <v/>
      </c>
      <c r="F158">
        <f>IF(F157&lt;=0,0,MAX(0,AK158-R158))</f>
        <v/>
      </c>
      <c r="G158">
        <f>IF(G157&lt;=0,0,MAX(0,AL158-S158))</f>
        <v/>
      </c>
      <c r="H158">
        <f>IF(H157&lt;=0,0,MAX(0,AM158-T158))</f>
        <v/>
      </c>
      <c r="I158">
        <f>IF(I157&lt;=0,0,MAX(0,AN158-U158))</f>
        <v/>
      </c>
      <c r="J158">
        <f>IF(J157&lt;=0,0,MAX(0,AO158-V158))</f>
        <v/>
      </c>
      <c r="K158">
        <f>IF(K157&lt;=0,0,MAX(0,AP158-W158))</f>
        <v/>
      </c>
      <c r="L158">
        <f>IF(L157&lt;=0,0,MAX(0,AQ158-X158))</f>
        <v/>
      </c>
      <c r="M158">
        <f>IF(M157&lt;=0,0,MAX(0,AR158-Y158))</f>
        <v/>
      </c>
      <c r="N158">
        <f>IF(N157&lt;=0,0,MAX(0,AS158-Z158))</f>
        <v/>
      </c>
      <c r="O158">
        <f>IF(C157&lt;=0,0,MIN(AH158,C$7+IF(C$2=$AA158,$AC158,IF(C$2=$AF158,$AG158,0))))</f>
        <v/>
      </c>
      <c r="P158">
        <f>IF(D157&lt;=0,0,MIN(AI158,D$7+IF(D$2=$AA158,$AC158,IF(D$2=$AF158,$AG158,0))))</f>
        <v/>
      </c>
      <c r="Q158">
        <f>IF(E157&lt;=0,0,MIN(AJ158,E$7+IF(E$2=$AA158,$AC158,IF(E$2=$AF158,$AG158,0))))</f>
        <v/>
      </c>
      <c r="R158">
        <f>IF(F157&lt;=0,0,MIN(AK158,F$7+IF(F$2=$AA158,$AC158,IF(F$2=$AF158,$AG158,0))))</f>
        <v/>
      </c>
      <c r="S158">
        <f>IF(G157&lt;=0,0,MIN(AL158,G$7+IF(G$2=$AA158,$AC158,IF(G$2=$AF158,$AG158,0))))</f>
        <v/>
      </c>
      <c r="T158">
        <f>IF(H157&lt;=0,0,MIN(AM158,H$7+IF(H$2=$AA158,$AC158,IF(H$2=$AF158,$AG158,0))))</f>
        <v/>
      </c>
      <c r="U158">
        <f>IF(I157&lt;=0,0,MIN(AN158,I$7+IF(I$2=$AA158,$AC158,IF(I$2=$AF158,$AG158,0))))</f>
        <v/>
      </c>
      <c r="V158">
        <f>IF(J157&lt;=0,0,MIN(AO158,J$7+IF(J$2=$AA158,$AC158,IF(J$2=$AF158,$AG158,0))))</f>
        <v/>
      </c>
      <c r="W158">
        <f>IF(K157&lt;=0,0,MIN(AP158,K$7+IF(K$2=$AA158,$AC158,IF(K$2=$AF158,$AG158,0))))</f>
        <v/>
      </c>
      <c r="X158">
        <f>IF(L157&lt;=0,0,MIN(AQ158,L$7+IF(L$2=$AA158,$AC158,IF(L$2=$AF158,$AG158,0))))</f>
        <v/>
      </c>
      <c r="Y158">
        <f>IF(M157&lt;=0,0,MIN(AR158,M$7+IF(M$2=$AA158,$AC158,IF(M$2=$AF158,$AG158,0))))</f>
        <v/>
      </c>
      <c r="Z158">
        <f>IF(N157&lt;=0,0,MIN(AS158,N$7+IF(N$2=$AA158,$AC158,IF(N$2=$AF158,$AG158,0))))</f>
        <v/>
      </c>
      <c r="AA158">
        <f>IFERROR(ROUND(1/SUMPRODUCT(MAX((C157:N157&gt;0)*($C$3:$N$3&lt;=B158)/$C$2:$N$2)),0),0)</f>
        <v/>
      </c>
      <c r="AB158">
        <f>SUMPRODUCT((C157:N157&gt;0)*$C$7:$N$7)</f>
        <v/>
      </c>
      <c r="AC158">
        <f>MAX(0,Plan!$C$5-AB158)+IF(A158=Plan!$C$8,N(Plan!$C$7),0)</f>
        <v/>
      </c>
      <c r="AD158">
        <f>SUM(C158:N158)</f>
        <v/>
      </c>
      <c r="AE158">
        <f>SUM(O158:Z158)</f>
        <v/>
      </c>
      <c r="AF158">
        <f>IFERROR(ROUND(1/SUMPRODUCT(MAX((C157:N157&gt;0)*($C$3:$N$3&lt;=B158)*($C$2:$N$2&gt;AA158)/$C$2:$N$2)),0),0)</f>
        <v/>
      </c>
      <c r="AG158">
        <f>MAX(0,AC158-MAX(0,SUMPRODUCT(($C$2:$N$2=AA158)*(AH158:AS158-$C$7:$N$7))))</f>
        <v/>
      </c>
      <c r="AH158">
        <f>IF(C157&lt;=0,0,ROUND(C157*(1+IF(AND(C$6&gt;0,$B158&lt;C$6),C$4,C$5)/12),2))</f>
        <v/>
      </c>
      <c r="AI158">
        <f>IF(D157&lt;=0,0,ROUND(D157*(1+IF(AND(D$6&gt;0,$B158&lt;D$6),D$4,D$5)/12),2))</f>
        <v/>
      </c>
      <c r="AJ158">
        <f>IF(E157&lt;=0,0,ROUND(E157*(1+IF(AND(E$6&gt;0,$B158&lt;E$6),E$4,E$5)/12),2))</f>
        <v/>
      </c>
      <c r="AK158">
        <f>IF(F157&lt;=0,0,ROUND(F157*(1+IF(AND(F$6&gt;0,$B158&lt;F$6),F$4,F$5)/12),2))</f>
        <v/>
      </c>
      <c r="AL158">
        <f>IF(G157&lt;=0,0,ROUND(G157*(1+IF(AND(G$6&gt;0,$B158&lt;G$6),G$4,G$5)/12),2))</f>
        <v/>
      </c>
      <c r="AM158">
        <f>IF(H157&lt;=0,0,ROUND(H157*(1+IF(AND(H$6&gt;0,$B158&lt;H$6),H$4,H$5)/12),2))</f>
        <v/>
      </c>
      <c r="AN158">
        <f>IF(I157&lt;=0,0,ROUND(I157*(1+IF(AND(I$6&gt;0,$B158&lt;I$6),I$4,I$5)/12),2))</f>
        <v/>
      </c>
      <c r="AO158">
        <f>IF(J157&lt;=0,0,ROUND(J157*(1+IF(AND(J$6&gt;0,$B158&lt;J$6),J$4,J$5)/12),2))</f>
        <v/>
      </c>
      <c r="AP158">
        <f>IF(K157&lt;=0,0,ROUND(K157*(1+IF(AND(K$6&gt;0,$B158&lt;K$6),K$4,K$5)/12),2))</f>
        <v/>
      </c>
      <c r="AQ158">
        <f>IF(L157&lt;=0,0,ROUND(L157*(1+IF(AND(L$6&gt;0,$B158&lt;L$6),L$4,L$5)/12),2))</f>
        <v/>
      </c>
      <c r="AR158">
        <f>IF(M157&lt;=0,0,ROUND(M157*(1+IF(AND(M$6&gt;0,$B158&lt;M$6),M$4,M$5)/12),2))</f>
        <v/>
      </c>
      <c r="AS158">
        <f>IF(N157&lt;=0,0,ROUND(N157*(1+IF(AND(N$6&gt;0,$B158&lt;N$6),N$4,N$5)/12),2))</f>
        <v/>
      </c>
    </row>
    <row r="159">
      <c r="A159" t="n">
        <v>148</v>
      </c>
      <c r="B159">
        <f>EDATE(Plan!$C$6,147)</f>
        <v/>
      </c>
      <c r="C159">
        <f>IF(C158&lt;=0,0,MAX(0,AH159-O159))</f>
        <v/>
      </c>
      <c r="D159">
        <f>IF(D158&lt;=0,0,MAX(0,AI159-P159))</f>
        <v/>
      </c>
      <c r="E159">
        <f>IF(E158&lt;=0,0,MAX(0,AJ159-Q159))</f>
        <v/>
      </c>
      <c r="F159">
        <f>IF(F158&lt;=0,0,MAX(0,AK159-R159))</f>
        <v/>
      </c>
      <c r="G159">
        <f>IF(G158&lt;=0,0,MAX(0,AL159-S159))</f>
        <v/>
      </c>
      <c r="H159">
        <f>IF(H158&lt;=0,0,MAX(0,AM159-T159))</f>
        <v/>
      </c>
      <c r="I159">
        <f>IF(I158&lt;=0,0,MAX(0,AN159-U159))</f>
        <v/>
      </c>
      <c r="J159">
        <f>IF(J158&lt;=0,0,MAX(0,AO159-V159))</f>
        <v/>
      </c>
      <c r="K159">
        <f>IF(K158&lt;=0,0,MAX(0,AP159-W159))</f>
        <v/>
      </c>
      <c r="L159">
        <f>IF(L158&lt;=0,0,MAX(0,AQ159-X159))</f>
        <v/>
      </c>
      <c r="M159">
        <f>IF(M158&lt;=0,0,MAX(0,AR159-Y159))</f>
        <v/>
      </c>
      <c r="N159">
        <f>IF(N158&lt;=0,0,MAX(0,AS159-Z159))</f>
        <v/>
      </c>
      <c r="O159">
        <f>IF(C158&lt;=0,0,MIN(AH159,C$7+IF(C$2=$AA159,$AC159,IF(C$2=$AF159,$AG159,0))))</f>
        <v/>
      </c>
      <c r="P159">
        <f>IF(D158&lt;=0,0,MIN(AI159,D$7+IF(D$2=$AA159,$AC159,IF(D$2=$AF159,$AG159,0))))</f>
        <v/>
      </c>
      <c r="Q159">
        <f>IF(E158&lt;=0,0,MIN(AJ159,E$7+IF(E$2=$AA159,$AC159,IF(E$2=$AF159,$AG159,0))))</f>
        <v/>
      </c>
      <c r="R159">
        <f>IF(F158&lt;=0,0,MIN(AK159,F$7+IF(F$2=$AA159,$AC159,IF(F$2=$AF159,$AG159,0))))</f>
        <v/>
      </c>
      <c r="S159">
        <f>IF(G158&lt;=0,0,MIN(AL159,G$7+IF(G$2=$AA159,$AC159,IF(G$2=$AF159,$AG159,0))))</f>
        <v/>
      </c>
      <c r="T159">
        <f>IF(H158&lt;=0,0,MIN(AM159,H$7+IF(H$2=$AA159,$AC159,IF(H$2=$AF159,$AG159,0))))</f>
        <v/>
      </c>
      <c r="U159">
        <f>IF(I158&lt;=0,0,MIN(AN159,I$7+IF(I$2=$AA159,$AC159,IF(I$2=$AF159,$AG159,0))))</f>
        <v/>
      </c>
      <c r="V159">
        <f>IF(J158&lt;=0,0,MIN(AO159,J$7+IF(J$2=$AA159,$AC159,IF(J$2=$AF159,$AG159,0))))</f>
        <v/>
      </c>
      <c r="W159">
        <f>IF(K158&lt;=0,0,MIN(AP159,K$7+IF(K$2=$AA159,$AC159,IF(K$2=$AF159,$AG159,0))))</f>
        <v/>
      </c>
      <c r="X159">
        <f>IF(L158&lt;=0,0,MIN(AQ159,L$7+IF(L$2=$AA159,$AC159,IF(L$2=$AF159,$AG159,0))))</f>
        <v/>
      </c>
      <c r="Y159">
        <f>IF(M158&lt;=0,0,MIN(AR159,M$7+IF(M$2=$AA159,$AC159,IF(M$2=$AF159,$AG159,0))))</f>
        <v/>
      </c>
      <c r="Z159">
        <f>IF(N158&lt;=0,0,MIN(AS159,N$7+IF(N$2=$AA159,$AC159,IF(N$2=$AF159,$AG159,0))))</f>
        <v/>
      </c>
      <c r="AA159">
        <f>IFERROR(ROUND(1/SUMPRODUCT(MAX((C158:N158&gt;0)*($C$3:$N$3&lt;=B159)/$C$2:$N$2)),0),0)</f>
        <v/>
      </c>
      <c r="AB159">
        <f>SUMPRODUCT((C158:N158&gt;0)*$C$7:$N$7)</f>
        <v/>
      </c>
      <c r="AC159">
        <f>MAX(0,Plan!$C$5-AB159)+IF(A159=Plan!$C$8,N(Plan!$C$7),0)</f>
        <v/>
      </c>
      <c r="AD159">
        <f>SUM(C159:N159)</f>
        <v/>
      </c>
      <c r="AE159">
        <f>SUM(O159:Z159)</f>
        <v/>
      </c>
      <c r="AF159">
        <f>IFERROR(ROUND(1/SUMPRODUCT(MAX((C158:N158&gt;0)*($C$3:$N$3&lt;=B159)*($C$2:$N$2&gt;AA159)/$C$2:$N$2)),0),0)</f>
        <v/>
      </c>
      <c r="AG159">
        <f>MAX(0,AC159-MAX(0,SUMPRODUCT(($C$2:$N$2=AA159)*(AH159:AS159-$C$7:$N$7))))</f>
        <v/>
      </c>
      <c r="AH159">
        <f>IF(C158&lt;=0,0,ROUND(C158*(1+IF(AND(C$6&gt;0,$B159&lt;C$6),C$4,C$5)/12),2))</f>
        <v/>
      </c>
      <c r="AI159">
        <f>IF(D158&lt;=0,0,ROUND(D158*(1+IF(AND(D$6&gt;0,$B159&lt;D$6),D$4,D$5)/12),2))</f>
        <v/>
      </c>
      <c r="AJ159">
        <f>IF(E158&lt;=0,0,ROUND(E158*(1+IF(AND(E$6&gt;0,$B159&lt;E$6),E$4,E$5)/12),2))</f>
        <v/>
      </c>
      <c r="AK159">
        <f>IF(F158&lt;=0,0,ROUND(F158*(1+IF(AND(F$6&gt;0,$B159&lt;F$6),F$4,F$5)/12),2))</f>
        <v/>
      </c>
      <c r="AL159">
        <f>IF(G158&lt;=0,0,ROUND(G158*(1+IF(AND(G$6&gt;0,$B159&lt;G$6),G$4,G$5)/12),2))</f>
        <v/>
      </c>
      <c r="AM159">
        <f>IF(H158&lt;=0,0,ROUND(H158*(1+IF(AND(H$6&gt;0,$B159&lt;H$6),H$4,H$5)/12),2))</f>
        <v/>
      </c>
      <c r="AN159">
        <f>IF(I158&lt;=0,0,ROUND(I158*(1+IF(AND(I$6&gt;0,$B159&lt;I$6),I$4,I$5)/12),2))</f>
        <v/>
      </c>
      <c r="AO159">
        <f>IF(J158&lt;=0,0,ROUND(J158*(1+IF(AND(J$6&gt;0,$B159&lt;J$6),J$4,J$5)/12),2))</f>
        <v/>
      </c>
      <c r="AP159">
        <f>IF(K158&lt;=0,0,ROUND(K158*(1+IF(AND(K$6&gt;0,$B159&lt;K$6),K$4,K$5)/12),2))</f>
        <v/>
      </c>
      <c r="AQ159">
        <f>IF(L158&lt;=0,0,ROUND(L158*(1+IF(AND(L$6&gt;0,$B159&lt;L$6),L$4,L$5)/12),2))</f>
        <v/>
      </c>
      <c r="AR159">
        <f>IF(M158&lt;=0,0,ROUND(M158*(1+IF(AND(M$6&gt;0,$B159&lt;M$6),M$4,M$5)/12),2))</f>
        <v/>
      </c>
      <c r="AS159">
        <f>IF(N158&lt;=0,0,ROUND(N158*(1+IF(AND(N$6&gt;0,$B159&lt;N$6),N$4,N$5)/12),2))</f>
        <v/>
      </c>
    </row>
    <row r="160">
      <c r="A160" t="n">
        <v>149</v>
      </c>
      <c r="B160">
        <f>EDATE(Plan!$C$6,148)</f>
        <v/>
      </c>
      <c r="C160">
        <f>IF(C159&lt;=0,0,MAX(0,AH160-O160))</f>
        <v/>
      </c>
      <c r="D160">
        <f>IF(D159&lt;=0,0,MAX(0,AI160-P160))</f>
        <v/>
      </c>
      <c r="E160">
        <f>IF(E159&lt;=0,0,MAX(0,AJ160-Q160))</f>
        <v/>
      </c>
      <c r="F160">
        <f>IF(F159&lt;=0,0,MAX(0,AK160-R160))</f>
        <v/>
      </c>
      <c r="G160">
        <f>IF(G159&lt;=0,0,MAX(0,AL160-S160))</f>
        <v/>
      </c>
      <c r="H160">
        <f>IF(H159&lt;=0,0,MAX(0,AM160-T160))</f>
        <v/>
      </c>
      <c r="I160">
        <f>IF(I159&lt;=0,0,MAX(0,AN160-U160))</f>
        <v/>
      </c>
      <c r="J160">
        <f>IF(J159&lt;=0,0,MAX(0,AO160-V160))</f>
        <v/>
      </c>
      <c r="K160">
        <f>IF(K159&lt;=0,0,MAX(0,AP160-W160))</f>
        <v/>
      </c>
      <c r="L160">
        <f>IF(L159&lt;=0,0,MAX(0,AQ160-X160))</f>
        <v/>
      </c>
      <c r="M160">
        <f>IF(M159&lt;=0,0,MAX(0,AR160-Y160))</f>
        <v/>
      </c>
      <c r="N160">
        <f>IF(N159&lt;=0,0,MAX(0,AS160-Z160))</f>
        <v/>
      </c>
      <c r="O160">
        <f>IF(C159&lt;=0,0,MIN(AH160,C$7+IF(C$2=$AA160,$AC160,IF(C$2=$AF160,$AG160,0))))</f>
        <v/>
      </c>
      <c r="P160">
        <f>IF(D159&lt;=0,0,MIN(AI160,D$7+IF(D$2=$AA160,$AC160,IF(D$2=$AF160,$AG160,0))))</f>
        <v/>
      </c>
      <c r="Q160">
        <f>IF(E159&lt;=0,0,MIN(AJ160,E$7+IF(E$2=$AA160,$AC160,IF(E$2=$AF160,$AG160,0))))</f>
        <v/>
      </c>
      <c r="R160">
        <f>IF(F159&lt;=0,0,MIN(AK160,F$7+IF(F$2=$AA160,$AC160,IF(F$2=$AF160,$AG160,0))))</f>
        <v/>
      </c>
      <c r="S160">
        <f>IF(G159&lt;=0,0,MIN(AL160,G$7+IF(G$2=$AA160,$AC160,IF(G$2=$AF160,$AG160,0))))</f>
        <v/>
      </c>
      <c r="T160">
        <f>IF(H159&lt;=0,0,MIN(AM160,H$7+IF(H$2=$AA160,$AC160,IF(H$2=$AF160,$AG160,0))))</f>
        <v/>
      </c>
      <c r="U160">
        <f>IF(I159&lt;=0,0,MIN(AN160,I$7+IF(I$2=$AA160,$AC160,IF(I$2=$AF160,$AG160,0))))</f>
        <v/>
      </c>
      <c r="V160">
        <f>IF(J159&lt;=0,0,MIN(AO160,J$7+IF(J$2=$AA160,$AC160,IF(J$2=$AF160,$AG160,0))))</f>
        <v/>
      </c>
      <c r="W160">
        <f>IF(K159&lt;=0,0,MIN(AP160,K$7+IF(K$2=$AA160,$AC160,IF(K$2=$AF160,$AG160,0))))</f>
        <v/>
      </c>
      <c r="X160">
        <f>IF(L159&lt;=0,0,MIN(AQ160,L$7+IF(L$2=$AA160,$AC160,IF(L$2=$AF160,$AG160,0))))</f>
        <v/>
      </c>
      <c r="Y160">
        <f>IF(M159&lt;=0,0,MIN(AR160,M$7+IF(M$2=$AA160,$AC160,IF(M$2=$AF160,$AG160,0))))</f>
        <v/>
      </c>
      <c r="Z160">
        <f>IF(N159&lt;=0,0,MIN(AS160,N$7+IF(N$2=$AA160,$AC160,IF(N$2=$AF160,$AG160,0))))</f>
        <v/>
      </c>
      <c r="AA160">
        <f>IFERROR(ROUND(1/SUMPRODUCT(MAX((C159:N159&gt;0)*($C$3:$N$3&lt;=B160)/$C$2:$N$2)),0),0)</f>
        <v/>
      </c>
      <c r="AB160">
        <f>SUMPRODUCT((C159:N159&gt;0)*$C$7:$N$7)</f>
        <v/>
      </c>
      <c r="AC160">
        <f>MAX(0,Plan!$C$5-AB160)+IF(A160=Plan!$C$8,N(Plan!$C$7),0)</f>
        <v/>
      </c>
      <c r="AD160">
        <f>SUM(C160:N160)</f>
        <v/>
      </c>
      <c r="AE160">
        <f>SUM(O160:Z160)</f>
        <v/>
      </c>
      <c r="AF160">
        <f>IFERROR(ROUND(1/SUMPRODUCT(MAX((C159:N159&gt;0)*($C$3:$N$3&lt;=B160)*($C$2:$N$2&gt;AA160)/$C$2:$N$2)),0),0)</f>
        <v/>
      </c>
      <c r="AG160">
        <f>MAX(0,AC160-MAX(0,SUMPRODUCT(($C$2:$N$2=AA160)*(AH160:AS160-$C$7:$N$7))))</f>
        <v/>
      </c>
      <c r="AH160">
        <f>IF(C159&lt;=0,0,ROUND(C159*(1+IF(AND(C$6&gt;0,$B160&lt;C$6),C$4,C$5)/12),2))</f>
        <v/>
      </c>
      <c r="AI160">
        <f>IF(D159&lt;=0,0,ROUND(D159*(1+IF(AND(D$6&gt;0,$B160&lt;D$6),D$4,D$5)/12),2))</f>
        <v/>
      </c>
      <c r="AJ160">
        <f>IF(E159&lt;=0,0,ROUND(E159*(1+IF(AND(E$6&gt;0,$B160&lt;E$6),E$4,E$5)/12),2))</f>
        <v/>
      </c>
      <c r="AK160">
        <f>IF(F159&lt;=0,0,ROUND(F159*(1+IF(AND(F$6&gt;0,$B160&lt;F$6),F$4,F$5)/12),2))</f>
        <v/>
      </c>
      <c r="AL160">
        <f>IF(G159&lt;=0,0,ROUND(G159*(1+IF(AND(G$6&gt;0,$B160&lt;G$6),G$4,G$5)/12),2))</f>
        <v/>
      </c>
      <c r="AM160">
        <f>IF(H159&lt;=0,0,ROUND(H159*(1+IF(AND(H$6&gt;0,$B160&lt;H$6),H$4,H$5)/12),2))</f>
        <v/>
      </c>
      <c r="AN160">
        <f>IF(I159&lt;=0,0,ROUND(I159*(1+IF(AND(I$6&gt;0,$B160&lt;I$6),I$4,I$5)/12),2))</f>
        <v/>
      </c>
      <c r="AO160">
        <f>IF(J159&lt;=0,0,ROUND(J159*(1+IF(AND(J$6&gt;0,$B160&lt;J$6),J$4,J$5)/12),2))</f>
        <v/>
      </c>
      <c r="AP160">
        <f>IF(K159&lt;=0,0,ROUND(K159*(1+IF(AND(K$6&gt;0,$B160&lt;K$6),K$4,K$5)/12),2))</f>
        <v/>
      </c>
      <c r="AQ160">
        <f>IF(L159&lt;=0,0,ROUND(L159*(1+IF(AND(L$6&gt;0,$B160&lt;L$6),L$4,L$5)/12),2))</f>
        <v/>
      </c>
      <c r="AR160">
        <f>IF(M159&lt;=0,0,ROUND(M159*(1+IF(AND(M$6&gt;0,$B160&lt;M$6),M$4,M$5)/12),2))</f>
        <v/>
      </c>
      <c r="AS160">
        <f>IF(N159&lt;=0,0,ROUND(N159*(1+IF(AND(N$6&gt;0,$B160&lt;N$6),N$4,N$5)/12),2))</f>
        <v/>
      </c>
    </row>
    <row r="161">
      <c r="A161" t="n">
        <v>150</v>
      </c>
      <c r="B161">
        <f>EDATE(Plan!$C$6,149)</f>
        <v/>
      </c>
      <c r="C161">
        <f>IF(C160&lt;=0,0,MAX(0,AH161-O161))</f>
        <v/>
      </c>
      <c r="D161">
        <f>IF(D160&lt;=0,0,MAX(0,AI161-P161))</f>
        <v/>
      </c>
      <c r="E161">
        <f>IF(E160&lt;=0,0,MAX(0,AJ161-Q161))</f>
        <v/>
      </c>
      <c r="F161">
        <f>IF(F160&lt;=0,0,MAX(0,AK161-R161))</f>
        <v/>
      </c>
      <c r="G161">
        <f>IF(G160&lt;=0,0,MAX(0,AL161-S161))</f>
        <v/>
      </c>
      <c r="H161">
        <f>IF(H160&lt;=0,0,MAX(0,AM161-T161))</f>
        <v/>
      </c>
      <c r="I161">
        <f>IF(I160&lt;=0,0,MAX(0,AN161-U161))</f>
        <v/>
      </c>
      <c r="J161">
        <f>IF(J160&lt;=0,0,MAX(0,AO161-V161))</f>
        <v/>
      </c>
      <c r="K161">
        <f>IF(K160&lt;=0,0,MAX(0,AP161-W161))</f>
        <v/>
      </c>
      <c r="L161">
        <f>IF(L160&lt;=0,0,MAX(0,AQ161-X161))</f>
        <v/>
      </c>
      <c r="M161">
        <f>IF(M160&lt;=0,0,MAX(0,AR161-Y161))</f>
        <v/>
      </c>
      <c r="N161">
        <f>IF(N160&lt;=0,0,MAX(0,AS161-Z161))</f>
        <v/>
      </c>
      <c r="O161">
        <f>IF(C160&lt;=0,0,MIN(AH161,C$7+IF(C$2=$AA161,$AC161,IF(C$2=$AF161,$AG161,0))))</f>
        <v/>
      </c>
      <c r="P161">
        <f>IF(D160&lt;=0,0,MIN(AI161,D$7+IF(D$2=$AA161,$AC161,IF(D$2=$AF161,$AG161,0))))</f>
        <v/>
      </c>
      <c r="Q161">
        <f>IF(E160&lt;=0,0,MIN(AJ161,E$7+IF(E$2=$AA161,$AC161,IF(E$2=$AF161,$AG161,0))))</f>
        <v/>
      </c>
      <c r="R161">
        <f>IF(F160&lt;=0,0,MIN(AK161,F$7+IF(F$2=$AA161,$AC161,IF(F$2=$AF161,$AG161,0))))</f>
        <v/>
      </c>
      <c r="S161">
        <f>IF(G160&lt;=0,0,MIN(AL161,G$7+IF(G$2=$AA161,$AC161,IF(G$2=$AF161,$AG161,0))))</f>
        <v/>
      </c>
      <c r="T161">
        <f>IF(H160&lt;=0,0,MIN(AM161,H$7+IF(H$2=$AA161,$AC161,IF(H$2=$AF161,$AG161,0))))</f>
        <v/>
      </c>
      <c r="U161">
        <f>IF(I160&lt;=0,0,MIN(AN161,I$7+IF(I$2=$AA161,$AC161,IF(I$2=$AF161,$AG161,0))))</f>
        <v/>
      </c>
      <c r="V161">
        <f>IF(J160&lt;=0,0,MIN(AO161,J$7+IF(J$2=$AA161,$AC161,IF(J$2=$AF161,$AG161,0))))</f>
        <v/>
      </c>
      <c r="W161">
        <f>IF(K160&lt;=0,0,MIN(AP161,K$7+IF(K$2=$AA161,$AC161,IF(K$2=$AF161,$AG161,0))))</f>
        <v/>
      </c>
      <c r="X161">
        <f>IF(L160&lt;=0,0,MIN(AQ161,L$7+IF(L$2=$AA161,$AC161,IF(L$2=$AF161,$AG161,0))))</f>
        <v/>
      </c>
      <c r="Y161">
        <f>IF(M160&lt;=0,0,MIN(AR161,M$7+IF(M$2=$AA161,$AC161,IF(M$2=$AF161,$AG161,0))))</f>
        <v/>
      </c>
      <c r="Z161">
        <f>IF(N160&lt;=0,0,MIN(AS161,N$7+IF(N$2=$AA161,$AC161,IF(N$2=$AF161,$AG161,0))))</f>
        <v/>
      </c>
      <c r="AA161">
        <f>IFERROR(ROUND(1/SUMPRODUCT(MAX((C160:N160&gt;0)*($C$3:$N$3&lt;=B161)/$C$2:$N$2)),0),0)</f>
        <v/>
      </c>
      <c r="AB161">
        <f>SUMPRODUCT((C160:N160&gt;0)*$C$7:$N$7)</f>
        <v/>
      </c>
      <c r="AC161">
        <f>MAX(0,Plan!$C$5-AB161)+IF(A161=Plan!$C$8,N(Plan!$C$7),0)</f>
        <v/>
      </c>
      <c r="AD161">
        <f>SUM(C161:N161)</f>
        <v/>
      </c>
      <c r="AE161">
        <f>SUM(O161:Z161)</f>
        <v/>
      </c>
      <c r="AF161">
        <f>IFERROR(ROUND(1/SUMPRODUCT(MAX((C160:N160&gt;0)*($C$3:$N$3&lt;=B161)*($C$2:$N$2&gt;AA161)/$C$2:$N$2)),0),0)</f>
        <v/>
      </c>
      <c r="AG161">
        <f>MAX(0,AC161-MAX(0,SUMPRODUCT(($C$2:$N$2=AA161)*(AH161:AS161-$C$7:$N$7))))</f>
        <v/>
      </c>
      <c r="AH161">
        <f>IF(C160&lt;=0,0,ROUND(C160*(1+IF(AND(C$6&gt;0,$B161&lt;C$6),C$4,C$5)/12),2))</f>
        <v/>
      </c>
      <c r="AI161">
        <f>IF(D160&lt;=0,0,ROUND(D160*(1+IF(AND(D$6&gt;0,$B161&lt;D$6),D$4,D$5)/12),2))</f>
        <v/>
      </c>
      <c r="AJ161">
        <f>IF(E160&lt;=0,0,ROUND(E160*(1+IF(AND(E$6&gt;0,$B161&lt;E$6),E$4,E$5)/12),2))</f>
        <v/>
      </c>
      <c r="AK161">
        <f>IF(F160&lt;=0,0,ROUND(F160*(1+IF(AND(F$6&gt;0,$B161&lt;F$6),F$4,F$5)/12),2))</f>
        <v/>
      </c>
      <c r="AL161">
        <f>IF(G160&lt;=0,0,ROUND(G160*(1+IF(AND(G$6&gt;0,$B161&lt;G$6),G$4,G$5)/12),2))</f>
        <v/>
      </c>
      <c r="AM161">
        <f>IF(H160&lt;=0,0,ROUND(H160*(1+IF(AND(H$6&gt;0,$B161&lt;H$6),H$4,H$5)/12),2))</f>
        <v/>
      </c>
      <c r="AN161">
        <f>IF(I160&lt;=0,0,ROUND(I160*(1+IF(AND(I$6&gt;0,$B161&lt;I$6),I$4,I$5)/12),2))</f>
        <v/>
      </c>
      <c r="AO161">
        <f>IF(J160&lt;=0,0,ROUND(J160*(1+IF(AND(J$6&gt;0,$B161&lt;J$6),J$4,J$5)/12),2))</f>
        <v/>
      </c>
      <c r="AP161">
        <f>IF(K160&lt;=0,0,ROUND(K160*(1+IF(AND(K$6&gt;0,$B161&lt;K$6),K$4,K$5)/12),2))</f>
        <v/>
      </c>
      <c r="AQ161">
        <f>IF(L160&lt;=0,0,ROUND(L160*(1+IF(AND(L$6&gt;0,$B161&lt;L$6),L$4,L$5)/12),2))</f>
        <v/>
      </c>
      <c r="AR161">
        <f>IF(M160&lt;=0,0,ROUND(M160*(1+IF(AND(M$6&gt;0,$B161&lt;M$6),M$4,M$5)/12),2))</f>
        <v/>
      </c>
      <c r="AS161">
        <f>IF(N160&lt;=0,0,ROUND(N160*(1+IF(AND(N$6&gt;0,$B161&lt;N$6),N$4,N$5)/12),2))</f>
        <v/>
      </c>
    </row>
    <row r="162">
      <c r="A162" t="n">
        <v>151</v>
      </c>
      <c r="B162">
        <f>EDATE(Plan!$C$6,150)</f>
        <v/>
      </c>
      <c r="C162">
        <f>IF(C161&lt;=0,0,MAX(0,AH162-O162))</f>
        <v/>
      </c>
      <c r="D162">
        <f>IF(D161&lt;=0,0,MAX(0,AI162-P162))</f>
        <v/>
      </c>
      <c r="E162">
        <f>IF(E161&lt;=0,0,MAX(0,AJ162-Q162))</f>
        <v/>
      </c>
      <c r="F162">
        <f>IF(F161&lt;=0,0,MAX(0,AK162-R162))</f>
        <v/>
      </c>
      <c r="G162">
        <f>IF(G161&lt;=0,0,MAX(0,AL162-S162))</f>
        <v/>
      </c>
      <c r="H162">
        <f>IF(H161&lt;=0,0,MAX(0,AM162-T162))</f>
        <v/>
      </c>
      <c r="I162">
        <f>IF(I161&lt;=0,0,MAX(0,AN162-U162))</f>
        <v/>
      </c>
      <c r="J162">
        <f>IF(J161&lt;=0,0,MAX(0,AO162-V162))</f>
        <v/>
      </c>
      <c r="K162">
        <f>IF(K161&lt;=0,0,MAX(0,AP162-W162))</f>
        <v/>
      </c>
      <c r="L162">
        <f>IF(L161&lt;=0,0,MAX(0,AQ162-X162))</f>
        <v/>
      </c>
      <c r="M162">
        <f>IF(M161&lt;=0,0,MAX(0,AR162-Y162))</f>
        <v/>
      </c>
      <c r="N162">
        <f>IF(N161&lt;=0,0,MAX(0,AS162-Z162))</f>
        <v/>
      </c>
      <c r="O162">
        <f>IF(C161&lt;=0,0,MIN(AH162,C$7+IF(C$2=$AA162,$AC162,IF(C$2=$AF162,$AG162,0))))</f>
        <v/>
      </c>
      <c r="P162">
        <f>IF(D161&lt;=0,0,MIN(AI162,D$7+IF(D$2=$AA162,$AC162,IF(D$2=$AF162,$AG162,0))))</f>
        <v/>
      </c>
      <c r="Q162">
        <f>IF(E161&lt;=0,0,MIN(AJ162,E$7+IF(E$2=$AA162,$AC162,IF(E$2=$AF162,$AG162,0))))</f>
        <v/>
      </c>
      <c r="R162">
        <f>IF(F161&lt;=0,0,MIN(AK162,F$7+IF(F$2=$AA162,$AC162,IF(F$2=$AF162,$AG162,0))))</f>
        <v/>
      </c>
      <c r="S162">
        <f>IF(G161&lt;=0,0,MIN(AL162,G$7+IF(G$2=$AA162,$AC162,IF(G$2=$AF162,$AG162,0))))</f>
        <v/>
      </c>
      <c r="T162">
        <f>IF(H161&lt;=0,0,MIN(AM162,H$7+IF(H$2=$AA162,$AC162,IF(H$2=$AF162,$AG162,0))))</f>
        <v/>
      </c>
      <c r="U162">
        <f>IF(I161&lt;=0,0,MIN(AN162,I$7+IF(I$2=$AA162,$AC162,IF(I$2=$AF162,$AG162,0))))</f>
        <v/>
      </c>
      <c r="V162">
        <f>IF(J161&lt;=0,0,MIN(AO162,J$7+IF(J$2=$AA162,$AC162,IF(J$2=$AF162,$AG162,0))))</f>
        <v/>
      </c>
      <c r="W162">
        <f>IF(K161&lt;=0,0,MIN(AP162,K$7+IF(K$2=$AA162,$AC162,IF(K$2=$AF162,$AG162,0))))</f>
        <v/>
      </c>
      <c r="X162">
        <f>IF(L161&lt;=0,0,MIN(AQ162,L$7+IF(L$2=$AA162,$AC162,IF(L$2=$AF162,$AG162,0))))</f>
        <v/>
      </c>
      <c r="Y162">
        <f>IF(M161&lt;=0,0,MIN(AR162,M$7+IF(M$2=$AA162,$AC162,IF(M$2=$AF162,$AG162,0))))</f>
        <v/>
      </c>
      <c r="Z162">
        <f>IF(N161&lt;=0,0,MIN(AS162,N$7+IF(N$2=$AA162,$AC162,IF(N$2=$AF162,$AG162,0))))</f>
        <v/>
      </c>
      <c r="AA162">
        <f>IFERROR(ROUND(1/SUMPRODUCT(MAX((C161:N161&gt;0)*($C$3:$N$3&lt;=B162)/$C$2:$N$2)),0),0)</f>
        <v/>
      </c>
      <c r="AB162">
        <f>SUMPRODUCT((C161:N161&gt;0)*$C$7:$N$7)</f>
        <v/>
      </c>
      <c r="AC162">
        <f>MAX(0,Plan!$C$5-AB162)+IF(A162=Plan!$C$8,N(Plan!$C$7),0)</f>
        <v/>
      </c>
      <c r="AD162">
        <f>SUM(C162:N162)</f>
        <v/>
      </c>
      <c r="AE162">
        <f>SUM(O162:Z162)</f>
        <v/>
      </c>
      <c r="AF162">
        <f>IFERROR(ROUND(1/SUMPRODUCT(MAX((C161:N161&gt;0)*($C$3:$N$3&lt;=B162)*($C$2:$N$2&gt;AA162)/$C$2:$N$2)),0),0)</f>
        <v/>
      </c>
      <c r="AG162">
        <f>MAX(0,AC162-MAX(0,SUMPRODUCT(($C$2:$N$2=AA162)*(AH162:AS162-$C$7:$N$7))))</f>
        <v/>
      </c>
      <c r="AH162">
        <f>IF(C161&lt;=0,0,ROUND(C161*(1+IF(AND(C$6&gt;0,$B162&lt;C$6),C$4,C$5)/12),2))</f>
        <v/>
      </c>
      <c r="AI162">
        <f>IF(D161&lt;=0,0,ROUND(D161*(1+IF(AND(D$6&gt;0,$B162&lt;D$6),D$4,D$5)/12),2))</f>
        <v/>
      </c>
      <c r="AJ162">
        <f>IF(E161&lt;=0,0,ROUND(E161*(1+IF(AND(E$6&gt;0,$B162&lt;E$6),E$4,E$5)/12),2))</f>
        <v/>
      </c>
      <c r="AK162">
        <f>IF(F161&lt;=0,0,ROUND(F161*(1+IF(AND(F$6&gt;0,$B162&lt;F$6),F$4,F$5)/12),2))</f>
        <v/>
      </c>
      <c r="AL162">
        <f>IF(G161&lt;=0,0,ROUND(G161*(1+IF(AND(G$6&gt;0,$B162&lt;G$6),G$4,G$5)/12),2))</f>
        <v/>
      </c>
      <c r="AM162">
        <f>IF(H161&lt;=0,0,ROUND(H161*(1+IF(AND(H$6&gt;0,$B162&lt;H$6),H$4,H$5)/12),2))</f>
        <v/>
      </c>
      <c r="AN162">
        <f>IF(I161&lt;=0,0,ROUND(I161*(1+IF(AND(I$6&gt;0,$B162&lt;I$6),I$4,I$5)/12),2))</f>
        <v/>
      </c>
      <c r="AO162">
        <f>IF(J161&lt;=0,0,ROUND(J161*(1+IF(AND(J$6&gt;0,$B162&lt;J$6),J$4,J$5)/12),2))</f>
        <v/>
      </c>
      <c r="AP162">
        <f>IF(K161&lt;=0,0,ROUND(K161*(1+IF(AND(K$6&gt;0,$B162&lt;K$6),K$4,K$5)/12),2))</f>
        <v/>
      </c>
      <c r="AQ162">
        <f>IF(L161&lt;=0,0,ROUND(L161*(1+IF(AND(L$6&gt;0,$B162&lt;L$6),L$4,L$5)/12),2))</f>
        <v/>
      </c>
      <c r="AR162">
        <f>IF(M161&lt;=0,0,ROUND(M161*(1+IF(AND(M$6&gt;0,$B162&lt;M$6),M$4,M$5)/12),2))</f>
        <v/>
      </c>
      <c r="AS162">
        <f>IF(N161&lt;=0,0,ROUND(N161*(1+IF(AND(N$6&gt;0,$B162&lt;N$6),N$4,N$5)/12),2))</f>
        <v/>
      </c>
    </row>
    <row r="163">
      <c r="A163" t="n">
        <v>152</v>
      </c>
      <c r="B163">
        <f>EDATE(Plan!$C$6,151)</f>
        <v/>
      </c>
      <c r="C163">
        <f>IF(C162&lt;=0,0,MAX(0,AH163-O163))</f>
        <v/>
      </c>
      <c r="D163">
        <f>IF(D162&lt;=0,0,MAX(0,AI163-P163))</f>
        <v/>
      </c>
      <c r="E163">
        <f>IF(E162&lt;=0,0,MAX(0,AJ163-Q163))</f>
        <v/>
      </c>
      <c r="F163">
        <f>IF(F162&lt;=0,0,MAX(0,AK163-R163))</f>
        <v/>
      </c>
      <c r="G163">
        <f>IF(G162&lt;=0,0,MAX(0,AL163-S163))</f>
        <v/>
      </c>
      <c r="H163">
        <f>IF(H162&lt;=0,0,MAX(0,AM163-T163))</f>
        <v/>
      </c>
      <c r="I163">
        <f>IF(I162&lt;=0,0,MAX(0,AN163-U163))</f>
        <v/>
      </c>
      <c r="J163">
        <f>IF(J162&lt;=0,0,MAX(0,AO163-V163))</f>
        <v/>
      </c>
      <c r="K163">
        <f>IF(K162&lt;=0,0,MAX(0,AP163-W163))</f>
        <v/>
      </c>
      <c r="L163">
        <f>IF(L162&lt;=0,0,MAX(0,AQ163-X163))</f>
        <v/>
      </c>
      <c r="M163">
        <f>IF(M162&lt;=0,0,MAX(0,AR163-Y163))</f>
        <v/>
      </c>
      <c r="N163">
        <f>IF(N162&lt;=0,0,MAX(0,AS163-Z163))</f>
        <v/>
      </c>
      <c r="O163">
        <f>IF(C162&lt;=0,0,MIN(AH163,C$7+IF(C$2=$AA163,$AC163,IF(C$2=$AF163,$AG163,0))))</f>
        <v/>
      </c>
      <c r="P163">
        <f>IF(D162&lt;=0,0,MIN(AI163,D$7+IF(D$2=$AA163,$AC163,IF(D$2=$AF163,$AG163,0))))</f>
        <v/>
      </c>
      <c r="Q163">
        <f>IF(E162&lt;=0,0,MIN(AJ163,E$7+IF(E$2=$AA163,$AC163,IF(E$2=$AF163,$AG163,0))))</f>
        <v/>
      </c>
      <c r="R163">
        <f>IF(F162&lt;=0,0,MIN(AK163,F$7+IF(F$2=$AA163,$AC163,IF(F$2=$AF163,$AG163,0))))</f>
        <v/>
      </c>
      <c r="S163">
        <f>IF(G162&lt;=0,0,MIN(AL163,G$7+IF(G$2=$AA163,$AC163,IF(G$2=$AF163,$AG163,0))))</f>
        <v/>
      </c>
      <c r="T163">
        <f>IF(H162&lt;=0,0,MIN(AM163,H$7+IF(H$2=$AA163,$AC163,IF(H$2=$AF163,$AG163,0))))</f>
        <v/>
      </c>
      <c r="U163">
        <f>IF(I162&lt;=0,0,MIN(AN163,I$7+IF(I$2=$AA163,$AC163,IF(I$2=$AF163,$AG163,0))))</f>
        <v/>
      </c>
      <c r="V163">
        <f>IF(J162&lt;=0,0,MIN(AO163,J$7+IF(J$2=$AA163,$AC163,IF(J$2=$AF163,$AG163,0))))</f>
        <v/>
      </c>
      <c r="W163">
        <f>IF(K162&lt;=0,0,MIN(AP163,K$7+IF(K$2=$AA163,$AC163,IF(K$2=$AF163,$AG163,0))))</f>
        <v/>
      </c>
      <c r="X163">
        <f>IF(L162&lt;=0,0,MIN(AQ163,L$7+IF(L$2=$AA163,$AC163,IF(L$2=$AF163,$AG163,0))))</f>
        <v/>
      </c>
      <c r="Y163">
        <f>IF(M162&lt;=0,0,MIN(AR163,M$7+IF(M$2=$AA163,$AC163,IF(M$2=$AF163,$AG163,0))))</f>
        <v/>
      </c>
      <c r="Z163">
        <f>IF(N162&lt;=0,0,MIN(AS163,N$7+IF(N$2=$AA163,$AC163,IF(N$2=$AF163,$AG163,0))))</f>
        <v/>
      </c>
      <c r="AA163">
        <f>IFERROR(ROUND(1/SUMPRODUCT(MAX((C162:N162&gt;0)*($C$3:$N$3&lt;=B163)/$C$2:$N$2)),0),0)</f>
        <v/>
      </c>
      <c r="AB163">
        <f>SUMPRODUCT((C162:N162&gt;0)*$C$7:$N$7)</f>
        <v/>
      </c>
      <c r="AC163">
        <f>MAX(0,Plan!$C$5-AB163)+IF(A163=Plan!$C$8,N(Plan!$C$7),0)</f>
        <v/>
      </c>
      <c r="AD163">
        <f>SUM(C163:N163)</f>
        <v/>
      </c>
      <c r="AE163">
        <f>SUM(O163:Z163)</f>
        <v/>
      </c>
      <c r="AF163">
        <f>IFERROR(ROUND(1/SUMPRODUCT(MAX((C162:N162&gt;0)*($C$3:$N$3&lt;=B163)*($C$2:$N$2&gt;AA163)/$C$2:$N$2)),0),0)</f>
        <v/>
      </c>
      <c r="AG163">
        <f>MAX(0,AC163-MAX(0,SUMPRODUCT(($C$2:$N$2=AA163)*(AH163:AS163-$C$7:$N$7))))</f>
        <v/>
      </c>
      <c r="AH163">
        <f>IF(C162&lt;=0,0,ROUND(C162*(1+IF(AND(C$6&gt;0,$B163&lt;C$6),C$4,C$5)/12),2))</f>
        <v/>
      </c>
      <c r="AI163">
        <f>IF(D162&lt;=0,0,ROUND(D162*(1+IF(AND(D$6&gt;0,$B163&lt;D$6),D$4,D$5)/12),2))</f>
        <v/>
      </c>
      <c r="AJ163">
        <f>IF(E162&lt;=0,0,ROUND(E162*(1+IF(AND(E$6&gt;0,$B163&lt;E$6),E$4,E$5)/12),2))</f>
        <v/>
      </c>
      <c r="AK163">
        <f>IF(F162&lt;=0,0,ROUND(F162*(1+IF(AND(F$6&gt;0,$B163&lt;F$6),F$4,F$5)/12),2))</f>
        <v/>
      </c>
      <c r="AL163">
        <f>IF(G162&lt;=0,0,ROUND(G162*(1+IF(AND(G$6&gt;0,$B163&lt;G$6),G$4,G$5)/12),2))</f>
        <v/>
      </c>
      <c r="AM163">
        <f>IF(H162&lt;=0,0,ROUND(H162*(1+IF(AND(H$6&gt;0,$B163&lt;H$6),H$4,H$5)/12),2))</f>
        <v/>
      </c>
      <c r="AN163">
        <f>IF(I162&lt;=0,0,ROUND(I162*(1+IF(AND(I$6&gt;0,$B163&lt;I$6),I$4,I$5)/12),2))</f>
        <v/>
      </c>
      <c r="AO163">
        <f>IF(J162&lt;=0,0,ROUND(J162*(1+IF(AND(J$6&gt;0,$B163&lt;J$6),J$4,J$5)/12),2))</f>
        <v/>
      </c>
      <c r="AP163">
        <f>IF(K162&lt;=0,0,ROUND(K162*(1+IF(AND(K$6&gt;0,$B163&lt;K$6),K$4,K$5)/12),2))</f>
        <v/>
      </c>
      <c r="AQ163">
        <f>IF(L162&lt;=0,0,ROUND(L162*(1+IF(AND(L$6&gt;0,$B163&lt;L$6),L$4,L$5)/12),2))</f>
        <v/>
      </c>
      <c r="AR163">
        <f>IF(M162&lt;=0,0,ROUND(M162*(1+IF(AND(M$6&gt;0,$B163&lt;M$6),M$4,M$5)/12),2))</f>
        <v/>
      </c>
      <c r="AS163">
        <f>IF(N162&lt;=0,0,ROUND(N162*(1+IF(AND(N$6&gt;0,$B163&lt;N$6),N$4,N$5)/12),2))</f>
        <v/>
      </c>
    </row>
    <row r="164">
      <c r="A164" t="n">
        <v>153</v>
      </c>
      <c r="B164">
        <f>EDATE(Plan!$C$6,152)</f>
        <v/>
      </c>
      <c r="C164">
        <f>IF(C163&lt;=0,0,MAX(0,AH164-O164))</f>
        <v/>
      </c>
      <c r="D164">
        <f>IF(D163&lt;=0,0,MAX(0,AI164-P164))</f>
        <v/>
      </c>
      <c r="E164">
        <f>IF(E163&lt;=0,0,MAX(0,AJ164-Q164))</f>
        <v/>
      </c>
      <c r="F164">
        <f>IF(F163&lt;=0,0,MAX(0,AK164-R164))</f>
        <v/>
      </c>
      <c r="G164">
        <f>IF(G163&lt;=0,0,MAX(0,AL164-S164))</f>
        <v/>
      </c>
      <c r="H164">
        <f>IF(H163&lt;=0,0,MAX(0,AM164-T164))</f>
        <v/>
      </c>
      <c r="I164">
        <f>IF(I163&lt;=0,0,MAX(0,AN164-U164))</f>
        <v/>
      </c>
      <c r="J164">
        <f>IF(J163&lt;=0,0,MAX(0,AO164-V164))</f>
        <v/>
      </c>
      <c r="K164">
        <f>IF(K163&lt;=0,0,MAX(0,AP164-W164))</f>
        <v/>
      </c>
      <c r="L164">
        <f>IF(L163&lt;=0,0,MAX(0,AQ164-X164))</f>
        <v/>
      </c>
      <c r="M164">
        <f>IF(M163&lt;=0,0,MAX(0,AR164-Y164))</f>
        <v/>
      </c>
      <c r="N164">
        <f>IF(N163&lt;=0,0,MAX(0,AS164-Z164))</f>
        <v/>
      </c>
      <c r="O164">
        <f>IF(C163&lt;=0,0,MIN(AH164,C$7+IF(C$2=$AA164,$AC164,IF(C$2=$AF164,$AG164,0))))</f>
        <v/>
      </c>
      <c r="P164">
        <f>IF(D163&lt;=0,0,MIN(AI164,D$7+IF(D$2=$AA164,$AC164,IF(D$2=$AF164,$AG164,0))))</f>
        <v/>
      </c>
      <c r="Q164">
        <f>IF(E163&lt;=0,0,MIN(AJ164,E$7+IF(E$2=$AA164,$AC164,IF(E$2=$AF164,$AG164,0))))</f>
        <v/>
      </c>
      <c r="R164">
        <f>IF(F163&lt;=0,0,MIN(AK164,F$7+IF(F$2=$AA164,$AC164,IF(F$2=$AF164,$AG164,0))))</f>
        <v/>
      </c>
      <c r="S164">
        <f>IF(G163&lt;=0,0,MIN(AL164,G$7+IF(G$2=$AA164,$AC164,IF(G$2=$AF164,$AG164,0))))</f>
        <v/>
      </c>
      <c r="T164">
        <f>IF(H163&lt;=0,0,MIN(AM164,H$7+IF(H$2=$AA164,$AC164,IF(H$2=$AF164,$AG164,0))))</f>
        <v/>
      </c>
      <c r="U164">
        <f>IF(I163&lt;=0,0,MIN(AN164,I$7+IF(I$2=$AA164,$AC164,IF(I$2=$AF164,$AG164,0))))</f>
        <v/>
      </c>
      <c r="V164">
        <f>IF(J163&lt;=0,0,MIN(AO164,J$7+IF(J$2=$AA164,$AC164,IF(J$2=$AF164,$AG164,0))))</f>
        <v/>
      </c>
      <c r="W164">
        <f>IF(K163&lt;=0,0,MIN(AP164,K$7+IF(K$2=$AA164,$AC164,IF(K$2=$AF164,$AG164,0))))</f>
        <v/>
      </c>
      <c r="X164">
        <f>IF(L163&lt;=0,0,MIN(AQ164,L$7+IF(L$2=$AA164,$AC164,IF(L$2=$AF164,$AG164,0))))</f>
        <v/>
      </c>
      <c r="Y164">
        <f>IF(M163&lt;=0,0,MIN(AR164,M$7+IF(M$2=$AA164,$AC164,IF(M$2=$AF164,$AG164,0))))</f>
        <v/>
      </c>
      <c r="Z164">
        <f>IF(N163&lt;=0,0,MIN(AS164,N$7+IF(N$2=$AA164,$AC164,IF(N$2=$AF164,$AG164,0))))</f>
        <v/>
      </c>
      <c r="AA164">
        <f>IFERROR(ROUND(1/SUMPRODUCT(MAX((C163:N163&gt;0)*($C$3:$N$3&lt;=B164)/$C$2:$N$2)),0),0)</f>
        <v/>
      </c>
      <c r="AB164">
        <f>SUMPRODUCT((C163:N163&gt;0)*$C$7:$N$7)</f>
        <v/>
      </c>
      <c r="AC164">
        <f>MAX(0,Plan!$C$5-AB164)+IF(A164=Plan!$C$8,N(Plan!$C$7),0)</f>
        <v/>
      </c>
      <c r="AD164">
        <f>SUM(C164:N164)</f>
        <v/>
      </c>
      <c r="AE164">
        <f>SUM(O164:Z164)</f>
        <v/>
      </c>
      <c r="AF164">
        <f>IFERROR(ROUND(1/SUMPRODUCT(MAX((C163:N163&gt;0)*($C$3:$N$3&lt;=B164)*($C$2:$N$2&gt;AA164)/$C$2:$N$2)),0),0)</f>
        <v/>
      </c>
      <c r="AG164">
        <f>MAX(0,AC164-MAX(0,SUMPRODUCT(($C$2:$N$2=AA164)*(AH164:AS164-$C$7:$N$7))))</f>
        <v/>
      </c>
      <c r="AH164">
        <f>IF(C163&lt;=0,0,ROUND(C163*(1+IF(AND(C$6&gt;0,$B164&lt;C$6),C$4,C$5)/12),2))</f>
        <v/>
      </c>
      <c r="AI164">
        <f>IF(D163&lt;=0,0,ROUND(D163*(1+IF(AND(D$6&gt;0,$B164&lt;D$6),D$4,D$5)/12),2))</f>
        <v/>
      </c>
      <c r="AJ164">
        <f>IF(E163&lt;=0,0,ROUND(E163*(1+IF(AND(E$6&gt;0,$B164&lt;E$6),E$4,E$5)/12),2))</f>
        <v/>
      </c>
      <c r="AK164">
        <f>IF(F163&lt;=0,0,ROUND(F163*(1+IF(AND(F$6&gt;0,$B164&lt;F$6),F$4,F$5)/12),2))</f>
        <v/>
      </c>
      <c r="AL164">
        <f>IF(G163&lt;=0,0,ROUND(G163*(1+IF(AND(G$6&gt;0,$B164&lt;G$6),G$4,G$5)/12),2))</f>
        <v/>
      </c>
      <c r="AM164">
        <f>IF(H163&lt;=0,0,ROUND(H163*(1+IF(AND(H$6&gt;0,$B164&lt;H$6),H$4,H$5)/12),2))</f>
        <v/>
      </c>
      <c r="AN164">
        <f>IF(I163&lt;=0,0,ROUND(I163*(1+IF(AND(I$6&gt;0,$B164&lt;I$6),I$4,I$5)/12),2))</f>
        <v/>
      </c>
      <c r="AO164">
        <f>IF(J163&lt;=0,0,ROUND(J163*(1+IF(AND(J$6&gt;0,$B164&lt;J$6),J$4,J$5)/12),2))</f>
        <v/>
      </c>
      <c r="AP164">
        <f>IF(K163&lt;=0,0,ROUND(K163*(1+IF(AND(K$6&gt;0,$B164&lt;K$6),K$4,K$5)/12),2))</f>
        <v/>
      </c>
      <c r="AQ164">
        <f>IF(L163&lt;=0,0,ROUND(L163*(1+IF(AND(L$6&gt;0,$B164&lt;L$6),L$4,L$5)/12),2))</f>
        <v/>
      </c>
      <c r="AR164">
        <f>IF(M163&lt;=0,0,ROUND(M163*(1+IF(AND(M$6&gt;0,$B164&lt;M$6),M$4,M$5)/12),2))</f>
        <v/>
      </c>
      <c r="AS164">
        <f>IF(N163&lt;=0,0,ROUND(N163*(1+IF(AND(N$6&gt;0,$B164&lt;N$6),N$4,N$5)/12),2))</f>
        <v/>
      </c>
    </row>
    <row r="165">
      <c r="A165" t="n">
        <v>154</v>
      </c>
      <c r="B165">
        <f>EDATE(Plan!$C$6,153)</f>
        <v/>
      </c>
      <c r="C165">
        <f>IF(C164&lt;=0,0,MAX(0,AH165-O165))</f>
        <v/>
      </c>
      <c r="D165">
        <f>IF(D164&lt;=0,0,MAX(0,AI165-P165))</f>
        <v/>
      </c>
      <c r="E165">
        <f>IF(E164&lt;=0,0,MAX(0,AJ165-Q165))</f>
        <v/>
      </c>
      <c r="F165">
        <f>IF(F164&lt;=0,0,MAX(0,AK165-R165))</f>
        <v/>
      </c>
      <c r="G165">
        <f>IF(G164&lt;=0,0,MAX(0,AL165-S165))</f>
        <v/>
      </c>
      <c r="H165">
        <f>IF(H164&lt;=0,0,MAX(0,AM165-T165))</f>
        <v/>
      </c>
      <c r="I165">
        <f>IF(I164&lt;=0,0,MAX(0,AN165-U165))</f>
        <v/>
      </c>
      <c r="J165">
        <f>IF(J164&lt;=0,0,MAX(0,AO165-V165))</f>
        <v/>
      </c>
      <c r="K165">
        <f>IF(K164&lt;=0,0,MAX(0,AP165-W165))</f>
        <v/>
      </c>
      <c r="L165">
        <f>IF(L164&lt;=0,0,MAX(0,AQ165-X165))</f>
        <v/>
      </c>
      <c r="M165">
        <f>IF(M164&lt;=0,0,MAX(0,AR165-Y165))</f>
        <v/>
      </c>
      <c r="N165">
        <f>IF(N164&lt;=0,0,MAX(0,AS165-Z165))</f>
        <v/>
      </c>
      <c r="O165">
        <f>IF(C164&lt;=0,0,MIN(AH165,C$7+IF(C$2=$AA165,$AC165,IF(C$2=$AF165,$AG165,0))))</f>
        <v/>
      </c>
      <c r="P165">
        <f>IF(D164&lt;=0,0,MIN(AI165,D$7+IF(D$2=$AA165,$AC165,IF(D$2=$AF165,$AG165,0))))</f>
        <v/>
      </c>
      <c r="Q165">
        <f>IF(E164&lt;=0,0,MIN(AJ165,E$7+IF(E$2=$AA165,$AC165,IF(E$2=$AF165,$AG165,0))))</f>
        <v/>
      </c>
      <c r="R165">
        <f>IF(F164&lt;=0,0,MIN(AK165,F$7+IF(F$2=$AA165,$AC165,IF(F$2=$AF165,$AG165,0))))</f>
        <v/>
      </c>
      <c r="S165">
        <f>IF(G164&lt;=0,0,MIN(AL165,G$7+IF(G$2=$AA165,$AC165,IF(G$2=$AF165,$AG165,0))))</f>
        <v/>
      </c>
      <c r="T165">
        <f>IF(H164&lt;=0,0,MIN(AM165,H$7+IF(H$2=$AA165,$AC165,IF(H$2=$AF165,$AG165,0))))</f>
        <v/>
      </c>
      <c r="U165">
        <f>IF(I164&lt;=0,0,MIN(AN165,I$7+IF(I$2=$AA165,$AC165,IF(I$2=$AF165,$AG165,0))))</f>
        <v/>
      </c>
      <c r="V165">
        <f>IF(J164&lt;=0,0,MIN(AO165,J$7+IF(J$2=$AA165,$AC165,IF(J$2=$AF165,$AG165,0))))</f>
        <v/>
      </c>
      <c r="W165">
        <f>IF(K164&lt;=0,0,MIN(AP165,K$7+IF(K$2=$AA165,$AC165,IF(K$2=$AF165,$AG165,0))))</f>
        <v/>
      </c>
      <c r="X165">
        <f>IF(L164&lt;=0,0,MIN(AQ165,L$7+IF(L$2=$AA165,$AC165,IF(L$2=$AF165,$AG165,0))))</f>
        <v/>
      </c>
      <c r="Y165">
        <f>IF(M164&lt;=0,0,MIN(AR165,M$7+IF(M$2=$AA165,$AC165,IF(M$2=$AF165,$AG165,0))))</f>
        <v/>
      </c>
      <c r="Z165">
        <f>IF(N164&lt;=0,0,MIN(AS165,N$7+IF(N$2=$AA165,$AC165,IF(N$2=$AF165,$AG165,0))))</f>
        <v/>
      </c>
      <c r="AA165">
        <f>IFERROR(ROUND(1/SUMPRODUCT(MAX((C164:N164&gt;0)*($C$3:$N$3&lt;=B165)/$C$2:$N$2)),0),0)</f>
        <v/>
      </c>
      <c r="AB165">
        <f>SUMPRODUCT((C164:N164&gt;0)*$C$7:$N$7)</f>
        <v/>
      </c>
      <c r="AC165">
        <f>MAX(0,Plan!$C$5-AB165)+IF(A165=Plan!$C$8,N(Plan!$C$7),0)</f>
        <v/>
      </c>
      <c r="AD165">
        <f>SUM(C165:N165)</f>
        <v/>
      </c>
      <c r="AE165">
        <f>SUM(O165:Z165)</f>
        <v/>
      </c>
      <c r="AF165">
        <f>IFERROR(ROUND(1/SUMPRODUCT(MAX((C164:N164&gt;0)*($C$3:$N$3&lt;=B165)*($C$2:$N$2&gt;AA165)/$C$2:$N$2)),0),0)</f>
        <v/>
      </c>
      <c r="AG165">
        <f>MAX(0,AC165-MAX(0,SUMPRODUCT(($C$2:$N$2=AA165)*(AH165:AS165-$C$7:$N$7))))</f>
        <v/>
      </c>
      <c r="AH165">
        <f>IF(C164&lt;=0,0,ROUND(C164*(1+IF(AND(C$6&gt;0,$B165&lt;C$6),C$4,C$5)/12),2))</f>
        <v/>
      </c>
      <c r="AI165">
        <f>IF(D164&lt;=0,0,ROUND(D164*(1+IF(AND(D$6&gt;0,$B165&lt;D$6),D$4,D$5)/12),2))</f>
        <v/>
      </c>
      <c r="AJ165">
        <f>IF(E164&lt;=0,0,ROUND(E164*(1+IF(AND(E$6&gt;0,$B165&lt;E$6),E$4,E$5)/12),2))</f>
        <v/>
      </c>
      <c r="AK165">
        <f>IF(F164&lt;=0,0,ROUND(F164*(1+IF(AND(F$6&gt;0,$B165&lt;F$6),F$4,F$5)/12),2))</f>
        <v/>
      </c>
      <c r="AL165">
        <f>IF(G164&lt;=0,0,ROUND(G164*(1+IF(AND(G$6&gt;0,$B165&lt;G$6),G$4,G$5)/12),2))</f>
        <v/>
      </c>
      <c r="AM165">
        <f>IF(H164&lt;=0,0,ROUND(H164*(1+IF(AND(H$6&gt;0,$B165&lt;H$6),H$4,H$5)/12),2))</f>
        <v/>
      </c>
      <c r="AN165">
        <f>IF(I164&lt;=0,0,ROUND(I164*(1+IF(AND(I$6&gt;0,$B165&lt;I$6),I$4,I$5)/12),2))</f>
        <v/>
      </c>
      <c r="AO165">
        <f>IF(J164&lt;=0,0,ROUND(J164*(1+IF(AND(J$6&gt;0,$B165&lt;J$6),J$4,J$5)/12),2))</f>
        <v/>
      </c>
      <c r="AP165">
        <f>IF(K164&lt;=0,0,ROUND(K164*(1+IF(AND(K$6&gt;0,$B165&lt;K$6),K$4,K$5)/12),2))</f>
        <v/>
      </c>
      <c r="AQ165">
        <f>IF(L164&lt;=0,0,ROUND(L164*(1+IF(AND(L$6&gt;0,$B165&lt;L$6),L$4,L$5)/12),2))</f>
        <v/>
      </c>
      <c r="AR165">
        <f>IF(M164&lt;=0,0,ROUND(M164*(1+IF(AND(M$6&gt;0,$B165&lt;M$6),M$4,M$5)/12),2))</f>
        <v/>
      </c>
      <c r="AS165">
        <f>IF(N164&lt;=0,0,ROUND(N164*(1+IF(AND(N$6&gt;0,$B165&lt;N$6),N$4,N$5)/12),2))</f>
        <v/>
      </c>
    </row>
    <row r="166">
      <c r="A166" t="n">
        <v>155</v>
      </c>
      <c r="B166">
        <f>EDATE(Plan!$C$6,154)</f>
        <v/>
      </c>
      <c r="C166">
        <f>IF(C165&lt;=0,0,MAX(0,AH166-O166))</f>
        <v/>
      </c>
      <c r="D166">
        <f>IF(D165&lt;=0,0,MAX(0,AI166-P166))</f>
        <v/>
      </c>
      <c r="E166">
        <f>IF(E165&lt;=0,0,MAX(0,AJ166-Q166))</f>
        <v/>
      </c>
      <c r="F166">
        <f>IF(F165&lt;=0,0,MAX(0,AK166-R166))</f>
        <v/>
      </c>
      <c r="G166">
        <f>IF(G165&lt;=0,0,MAX(0,AL166-S166))</f>
        <v/>
      </c>
      <c r="H166">
        <f>IF(H165&lt;=0,0,MAX(0,AM166-T166))</f>
        <v/>
      </c>
      <c r="I166">
        <f>IF(I165&lt;=0,0,MAX(0,AN166-U166))</f>
        <v/>
      </c>
      <c r="J166">
        <f>IF(J165&lt;=0,0,MAX(0,AO166-V166))</f>
        <v/>
      </c>
      <c r="K166">
        <f>IF(K165&lt;=0,0,MAX(0,AP166-W166))</f>
        <v/>
      </c>
      <c r="L166">
        <f>IF(L165&lt;=0,0,MAX(0,AQ166-X166))</f>
        <v/>
      </c>
      <c r="M166">
        <f>IF(M165&lt;=0,0,MAX(0,AR166-Y166))</f>
        <v/>
      </c>
      <c r="N166">
        <f>IF(N165&lt;=0,0,MAX(0,AS166-Z166))</f>
        <v/>
      </c>
      <c r="O166">
        <f>IF(C165&lt;=0,0,MIN(AH166,C$7+IF(C$2=$AA166,$AC166,IF(C$2=$AF166,$AG166,0))))</f>
        <v/>
      </c>
      <c r="P166">
        <f>IF(D165&lt;=0,0,MIN(AI166,D$7+IF(D$2=$AA166,$AC166,IF(D$2=$AF166,$AG166,0))))</f>
        <v/>
      </c>
      <c r="Q166">
        <f>IF(E165&lt;=0,0,MIN(AJ166,E$7+IF(E$2=$AA166,$AC166,IF(E$2=$AF166,$AG166,0))))</f>
        <v/>
      </c>
      <c r="R166">
        <f>IF(F165&lt;=0,0,MIN(AK166,F$7+IF(F$2=$AA166,$AC166,IF(F$2=$AF166,$AG166,0))))</f>
        <v/>
      </c>
      <c r="S166">
        <f>IF(G165&lt;=0,0,MIN(AL166,G$7+IF(G$2=$AA166,$AC166,IF(G$2=$AF166,$AG166,0))))</f>
        <v/>
      </c>
      <c r="T166">
        <f>IF(H165&lt;=0,0,MIN(AM166,H$7+IF(H$2=$AA166,$AC166,IF(H$2=$AF166,$AG166,0))))</f>
        <v/>
      </c>
      <c r="U166">
        <f>IF(I165&lt;=0,0,MIN(AN166,I$7+IF(I$2=$AA166,$AC166,IF(I$2=$AF166,$AG166,0))))</f>
        <v/>
      </c>
      <c r="V166">
        <f>IF(J165&lt;=0,0,MIN(AO166,J$7+IF(J$2=$AA166,$AC166,IF(J$2=$AF166,$AG166,0))))</f>
        <v/>
      </c>
      <c r="W166">
        <f>IF(K165&lt;=0,0,MIN(AP166,K$7+IF(K$2=$AA166,$AC166,IF(K$2=$AF166,$AG166,0))))</f>
        <v/>
      </c>
      <c r="X166">
        <f>IF(L165&lt;=0,0,MIN(AQ166,L$7+IF(L$2=$AA166,$AC166,IF(L$2=$AF166,$AG166,0))))</f>
        <v/>
      </c>
      <c r="Y166">
        <f>IF(M165&lt;=0,0,MIN(AR166,M$7+IF(M$2=$AA166,$AC166,IF(M$2=$AF166,$AG166,0))))</f>
        <v/>
      </c>
      <c r="Z166">
        <f>IF(N165&lt;=0,0,MIN(AS166,N$7+IF(N$2=$AA166,$AC166,IF(N$2=$AF166,$AG166,0))))</f>
        <v/>
      </c>
      <c r="AA166">
        <f>IFERROR(ROUND(1/SUMPRODUCT(MAX((C165:N165&gt;0)*($C$3:$N$3&lt;=B166)/$C$2:$N$2)),0),0)</f>
        <v/>
      </c>
      <c r="AB166">
        <f>SUMPRODUCT((C165:N165&gt;0)*$C$7:$N$7)</f>
        <v/>
      </c>
      <c r="AC166">
        <f>MAX(0,Plan!$C$5-AB166)+IF(A166=Plan!$C$8,N(Plan!$C$7),0)</f>
        <v/>
      </c>
      <c r="AD166">
        <f>SUM(C166:N166)</f>
        <v/>
      </c>
      <c r="AE166">
        <f>SUM(O166:Z166)</f>
        <v/>
      </c>
      <c r="AF166">
        <f>IFERROR(ROUND(1/SUMPRODUCT(MAX((C165:N165&gt;0)*($C$3:$N$3&lt;=B166)*($C$2:$N$2&gt;AA166)/$C$2:$N$2)),0),0)</f>
        <v/>
      </c>
      <c r="AG166">
        <f>MAX(0,AC166-MAX(0,SUMPRODUCT(($C$2:$N$2=AA166)*(AH166:AS166-$C$7:$N$7))))</f>
        <v/>
      </c>
      <c r="AH166">
        <f>IF(C165&lt;=0,0,ROUND(C165*(1+IF(AND(C$6&gt;0,$B166&lt;C$6),C$4,C$5)/12),2))</f>
        <v/>
      </c>
      <c r="AI166">
        <f>IF(D165&lt;=0,0,ROUND(D165*(1+IF(AND(D$6&gt;0,$B166&lt;D$6),D$4,D$5)/12),2))</f>
        <v/>
      </c>
      <c r="AJ166">
        <f>IF(E165&lt;=0,0,ROUND(E165*(1+IF(AND(E$6&gt;0,$B166&lt;E$6),E$4,E$5)/12),2))</f>
        <v/>
      </c>
      <c r="AK166">
        <f>IF(F165&lt;=0,0,ROUND(F165*(1+IF(AND(F$6&gt;0,$B166&lt;F$6),F$4,F$5)/12),2))</f>
        <v/>
      </c>
      <c r="AL166">
        <f>IF(G165&lt;=0,0,ROUND(G165*(1+IF(AND(G$6&gt;0,$B166&lt;G$6),G$4,G$5)/12),2))</f>
        <v/>
      </c>
      <c r="AM166">
        <f>IF(H165&lt;=0,0,ROUND(H165*(1+IF(AND(H$6&gt;0,$B166&lt;H$6),H$4,H$5)/12),2))</f>
        <v/>
      </c>
      <c r="AN166">
        <f>IF(I165&lt;=0,0,ROUND(I165*(1+IF(AND(I$6&gt;0,$B166&lt;I$6),I$4,I$5)/12),2))</f>
        <v/>
      </c>
      <c r="AO166">
        <f>IF(J165&lt;=0,0,ROUND(J165*(1+IF(AND(J$6&gt;0,$B166&lt;J$6),J$4,J$5)/12),2))</f>
        <v/>
      </c>
      <c r="AP166">
        <f>IF(K165&lt;=0,0,ROUND(K165*(1+IF(AND(K$6&gt;0,$B166&lt;K$6),K$4,K$5)/12),2))</f>
        <v/>
      </c>
      <c r="AQ166">
        <f>IF(L165&lt;=0,0,ROUND(L165*(1+IF(AND(L$6&gt;0,$B166&lt;L$6),L$4,L$5)/12),2))</f>
        <v/>
      </c>
      <c r="AR166">
        <f>IF(M165&lt;=0,0,ROUND(M165*(1+IF(AND(M$6&gt;0,$B166&lt;M$6),M$4,M$5)/12),2))</f>
        <v/>
      </c>
      <c r="AS166">
        <f>IF(N165&lt;=0,0,ROUND(N165*(1+IF(AND(N$6&gt;0,$B166&lt;N$6),N$4,N$5)/12),2))</f>
        <v/>
      </c>
    </row>
    <row r="167">
      <c r="A167" t="n">
        <v>156</v>
      </c>
      <c r="B167">
        <f>EDATE(Plan!$C$6,155)</f>
        <v/>
      </c>
      <c r="C167">
        <f>IF(C166&lt;=0,0,MAX(0,AH167-O167))</f>
        <v/>
      </c>
      <c r="D167">
        <f>IF(D166&lt;=0,0,MAX(0,AI167-P167))</f>
        <v/>
      </c>
      <c r="E167">
        <f>IF(E166&lt;=0,0,MAX(0,AJ167-Q167))</f>
        <v/>
      </c>
      <c r="F167">
        <f>IF(F166&lt;=0,0,MAX(0,AK167-R167))</f>
        <v/>
      </c>
      <c r="G167">
        <f>IF(G166&lt;=0,0,MAX(0,AL167-S167))</f>
        <v/>
      </c>
      <c r="H167">
        <f>IF(H166&lt;=0,0,MAX(0,AM167-T167))</f>
        <v/>
      </c>
      <c r="I167">
        <f>IF(I166&lt;=0,0,MAX(0,AN167-U167))</f>
        <v/>
      </c>
      <c r="J167">
        <f>IF(J166&lt;=0,0,MAX(0,AO167-V167))</f>
        <v/>
      </c>
      <c r="K167">
        <f>IF(K166&lt;=0,0,MAX(0,AP167-W167))</f>
        <v/>
      </c>
      <c r="L167">
        <f>IF(L166&lt;=0,0,MAX(0,AQ167-X167))</f>
        <v/>
      </c>
      <c r="M167">
        <f>IF(M166&lt;=0,0,MAX(0,AR167-Y167))</f>
        <v/>
      </c>
      <c r="N167">
        <f>IF(N166&lt;=0,0,MAX(0,AS167-Z167))</f>
        <v/>
      </c>
      <c r="O167">
        <f>IF(C166&lt;=0,0,MIN(AH167,C$7+IF(C$2=$AA167,$AC167,IF(C$2=$AF167,$AG167,0))))</f>
        <v/>
      </c>
      <c r="P167">
        <f>IF(D166&lt;=0,0,MIN(AI167,D$7+IF(D$2=$AA167,$AC167,IF(D$2=$AF167,$AG167,0))))</f>
        <v/>
      </c>
      <c r="Q167">
        <f>IF(E166&lt;=0,0,MIN(AJ167,E$7+IF(E$2=$AA167,$AC167,IF(E$2=$AF167,$AG167,0))))</f>
        <v/>
      </c>
      <c r="R167">
        <f>IF(F166&lt;=0,0,MIN(AK167,F$7+IF(F$2=$AA167,$AC167,IF(F$2=$AF167,$AG167,0))))</f>
        <v/>
      </c>
      <c r="S167">
        <f>IF(G166&lt;=0,0,MIN(AL167,G$7+IF(G$2=$AA167,$AC167,IF(G$2=$AF167,$AG167,0))))</f>
        <v/>
      </c>
      <c r="T167">
        <f>IF(H166&lt;=0,0,MIN(AM167,H$7+IF(H$2=$AA167,$AC167,IF(H$2=$AF167,$AG167,0))))</f>
        <v/>
      </c>
      <c r="U167">
        <f>IF(I166&lt;=0,0,MIN(AN167,I$7+IF(I$2=$AA167,$AC167,IF(I$2=$AF167,$AG167,0))))</f>
        <v/>
      </c>
      <c r="V167">
        <f>IF(J166&lt;=0,0,MIN(AO167,J$7+IF(J$2=$AA167,$AC167,IF(J$2=$AF167,$AG167,0))))</f>
        <v/>
      </c>
      <c r="W167">
        <f>IF(K166&lt;=0,0,MIN(AP167,K$7+IF(K$2=$AA167,$AC167,IF(K$2=$AF167,$AG167,0))))</f>
        <v/>
      </c>
      <c r="X167">
        <f>IF(L166&lt;=0,0,MIN(AQ167,L$7+IF(L$2=$AA167,$AC167,IF(L$2=$AF167,$AG167,0))))</f>
        <v/>
      </c>
      <c r="Y167">
        <f>IF(M166&lt;=0,0,MIN(AR167,M$7+IF(M$2=$AA167,$AC167,IF(M$2=$AF167,$AG167,0))))</f>
        <v/>
      </c>
      <c r="Z167">
        <f>IF(N166&lt;=0,0,MIN(AS167,N$7+IF(N$2=$AA167,$AC167,IF(N$2=$AF167,$AG167,0))))</f>
        <v/>
      </c>
      <c r="AA167">
        <f>IFERROR(ROUND(1/SUMPRODUCT(MAX((C166:N166&gt;0)*($C$3:$N$3&lt;=B167)/$C$2:$N$2)),0),0)</f>
        <v/>
      </c>
      <c r="AB167">
        <f>SUMPRODUCT((C166:N166&gt;0)*$C$7:$N$7)</f>
        <v/>
      </c>
      <c r="AC167">
        <f>MAX(0,Plan!$C$5-AB167)+IF(A167=Plan!$C$8,N(Plan!$C$7),0)</f>
        <v/>
      </c>
      <c r="AD167">
        <f>SUM(C167:N167)</f>
        <v/>
      </c>
      <c r="AE167">
        <f>SUM(O167:Z167)</f>
        <v/>
      </c>
      <c r="AF167">
        <f>IFERROR(ROUND(1/SUMPRODUCT(MAX((C166:N166&gt;0)*($C$3:$N$3&lt;=B167)*($C$2:$N$2&gt;AA167)/$C$2:$N$2)),0),0)</f>
        <v/>
      </c>
      <c r="AG167">
        <f>MAX(0,AC167-MAX(0,SUMPRODUCT(($C$2:$N$2=AA167)*(AH167:AS167-$C$7:$N$7))))</f>
        <v/>
      </c>
      <c r="AH167">
        <f>IF(C166&lt;=0,0,ROUND(C166*(1+IF(AND(C$6&gt;0,$B167&lt;C$6),C$4,C$5)/12),2))</f>
        <v/>
      </c>
      <c r="AI167">
        <f>IF(D166&lt;=0,0,ROUND(D166*(1+IF(AND(D$6&gt;0,$B167&lt;D$6),D$4,D$5)/12),2))</f>
        <v/>
      </c>
      <c r="AJ167">
        <f>IF(E166&lt;=0,0,ROUND(E166*(1+IF(AND(E$6&gt;0,$B167&lt;E$6),E$4,E$5)/12),2))</f>
        <v/>
      </c>
      <c r="AK167">
        <f>IF(F166&lt;=0,0,ROUND(F166*(1+IF(AND(F$6&gt;0,$B167&lt;F$6),F$4,F$5)/12),2))</f>
        <v/>
      </c>
      <c r="AL167">
        <f>IF(G166&lt;=0,0,ROUND(G166*(1+IF(AND(G$6&gt;0,$B167&lt;G$6),G$4,G$5)/12),2))</f>
        <v/>
      </c>
      <c r="AM167">
        <f>IF(H166&lt;=0,0,ROUND(H166*(1+IF(AND(H$6&gt;0,$B167&lt;H$6),H$4,H$5)/12),2))</f>
        <v/>
      </c>
      <c r="AN167">
        <f>IF(I166&lt;=0,0,ROUND(I166*(1+IF(AND(I$6&gt;0,$B167&lt;I$6),I$4,I$5)/12),2))</f>
        <v/>
      </c>
      <c r="AO167">
        <f>IF(J166&lt;=0,0,ROUND(J166*(1+IF(AND(J$6&gt;0,$B167&lt;J$6),J$4,J$5)/12),2))</f>
        <v/>
      </c>
      <c r="AP167">
        <f>IF(K166&lt;=0,0,ROUND(K166*(1+IF(AND(K$6&gt;0,$B167&lt;K$6),K$4,K$5)/12),2))</f>
        <v/>
      </c>
      <c r="AQ167">
        <f>IF(L166&lt;=0,0,ROUND(L166*(1+IF(AND(L$6&gt;0,$B167&lt;L$6),L$4,L$5)/12),2))</f>
        <v/>
      </c>
      <c r="AR167">
        <f>IF(M166&lt;=0,0,ROUND(M166*(1+IF(AND(M$6&gt;0,$B167&lt;M$6),M$4,M$5)/12),2))</f>
        <v/>
      </c>
      <c r="AS167">
        <f>IF(N166&lt;=0,0,ROUND(N166*(1+IF(AND(N$6&gt;0,$B167&lt;N$6),N$4,N$5)/12),2))</f>
        <v/>
      </c>
    </row>
    <row r="168">
      <c r="A168" t="n">
        <v>157</v>
      </c>
      <c r="B168">
        <f>EDATE(Plan!$C$6,156)</f>
        <v/>
      </c>
      <c r="C168">
        <f>IF(C167&lt;=0,0,MAX(0,AH168-O168))</f>
        <v/>
      </c>
      <c r="D168">
        <f>IF(D167&lt;=0,0,MAX(0,AI168-P168))</f>
        <v/>
      </c>
      <c r="E168">
        <f>IF(E167&lt;=0,0,MAX(0,AJ168-Q168))</f>
        <v/>
      </c>
      <c r="F168">
        <f>IF(F167&lt;=0,0,MAX(0,AK168-R168))</f>
        <v/>
      </c>
      <c r="G168">
        <f>IF(G167&lt;=0,0,MAX(0,AL168-S168))</f>
        <v/>
      </c>
      <c r="H168">
        <f>IF(H167&lt;=0,0,MAX(0,AM168-T168))</f>
        <v/>
      </c>
      <c r="I168">
        <f>IF(I167&lt;=0,0,MAX(0,AN168-U168))</f>
        <v/>
      </c>
      <c r="J168">
        <f>IF(J167&lt;=0,0,MAX(0,AO168-V168))</f>
        <v/>
      </c>
      <c r="K168">
        <f>IF(K167&lt;=0,0,MAX(0,AP168-W168))</f>
        <v/>
      </c>
      <c r="L168">
        <f>IF(L167&lt;=0,0,MAX(0,AQ168-X168))</f>
        <v/>
      </c>
      <c r="M168">
        <f>IF(M167&lt;=0,0,MAX(0,AR168-Y168))</f>
        <v/>
      </c>
      <c r="N168">
        <f>IF(N167&lt;=0,0,MAX(0,AS168-Z168))</f>
        <v/>
      </c>
      <c r="O168">
        <f>IF(C167&lt;=0,0,MIN(AH168,C$7+IF(C$2=$AA168,$AC168,IF(C$2=$AF168,$AG168,0))))</f>
        <v/>
      </c>
      <c r="P168">
        <f>IF(D167&lt;=0,0,MIN(AI168,D$7+IF(D$2=$AA168,$AC168,IF(D$2=$AF168,$AG168,0))))</f>
        <v/>
      </c>
      <c r="Q168">
        <f>IF(E167&lt;=0,0,MIN(AJ168,E$7+IF(E$2=$AA168,$AC168,IF(E$2=$AF168,$AG168,0))))</f>
        <v/>
      </c>
      <c r="R168">
        <f>IF(F167&lt;=0,0,MIN(AK168,F$7+IF(F$2=$AA168,$AC168,IF(F$2=$AF168,$AG168,0))))</f>
        <v/>
      </c>
      <c r="S168">
        <f>IF(G167&lt;=0,0,MIN(AL168,G$7+IF(G$2=$AA168,$AC168,IF(G$2=$AF168,$AG168,0))))</f>
        <v/>
      </c>
      <c r="T168">
        <f>IF(H167&lt;=0,0,MIN(AM168,H$7+IF(H$2=$AA168,$AC168,IF(H$2=$AF168,$AG168,0))))</f>
        <v/>
      </c>
      <c r="U168">
        <f>IF(I167&lt;=0,0,MIN(AN168,I$7+IF(I$2=$AA168,$AC168,IF(I$2=$AF168,$AG168,0))))</f>
        <v/>
      </c>
      <c r="V168">
        <f>IF(J167&lt;=0,0,MIN(AO168,J$7+IF(J$2=$AA168,$AC168,IF(J$2=$AF168,$AG168,0))))</f>
        <v/>
      </c>
      <c r="W168">
        <f>IF(K167&lt;=0,0,MIN(AP168,K$7+IF(K$2=$AA168,$AC168,IF(K$2=$AF168,$AG168,0))))</f>
        <v/>
      </c>
      <c r="X168">
        <f>IF(L167&lt;=0,0,MIN(AQ168,L$7+IF(L$2=$AA168,$AC168,IF(L$2=$AF168,$AG168,0))))</f>
        <v/>
      </c>
      <c r="Y168">
        <f>IF(M167&lt;=0,0,MIN(AR168,M$7+IF(M$2=$AA168,$AC168,IF(M$2=$AF168,$AG168,0))))</f>
        <v/>
      </c>
      <c r="Z168">
        <f>IF(N167&lt;=0,0,MIN(AS168,N$7+IF(N$2=$AA168,$AC168,IF(N$2=$AF168,$AG168,0))))</f>
        <v/>
      </c>
      <c r="AA168">
        <f>IFERROR(ROUND(1/SUMPRODUCT(MAX((C167:N167&gt;0)*($C$3:$N$3&lt;=B168)/$C$2:$N$2)),0),0)</f>
        <v/>
      </c>
      <c r="AB168">
        <f>SUMPRODUCT((C167:N167&gt;0)*$C$7:$N$7)</f>
        <v/>
      </c>
      <c r="AC168">
        <f>MAX(0,Plan!$C$5-AB168)+IF(A168=Plan!$C$8,N(Plan!$C$7),0)</f>
        <v/>
      </c>
      <c r="AD168">
        <f>SUM(C168:N168)</f>
        <v/>
      </c>
      <c r="AE168">
        <f>SUM(O168:Z168)</f>
        <v/>
      </c>
      <c r="AF168">
        <f>IFERROR(ROUND(1/SUMPRODUCT(MAX((C167:N167&gt;0)*($C$3:$N$3&lt;=B168)*($C$2:$N$2&gt;AA168)/$C$2:$N$2)),0),0)</f>
        <v/>
      </c>
      <c r="AG168">
        <f>MAX(0,AC168-MAX(0,SUMPRODUCT(($C$2:$N$2=AA168)*(AH168:AS168-$C$7:$N$7))))</f>
        <v/>
      </c>
      <c r="AH168">
        <f>IF(C167&lt;=0,0,ROUND(C167*(1+IF(AND(C$6&gt;0,$B168&lt;C$6),C$4,C$5)/12),2))</f>
        <v/>
      </c>
      <c r="AI168">
        <f>IF(D167&lt;=0,0,ROUND(D167*(1+IF(AND(D$6&gt;0,$B168&lt;D$6),D$4,D$5)/12),2))</f>
        <v/>
      </c>
      <c r="AJ168">
        <f>IF(E167&lt;=0,0,ROUND(E167*(1+IF(AND(E$6&gt;0,$B168&lt;E$6),E$4,E$5)/12),2))</f>
        <v/>
      </c>
      <c r="AK168">
        <f>IF(F167&lt;=0,0,ROUND(F167*(1+IF(AND(F$6&gt;0,$B168&lt;F$6),F$4,F$5)/12),2))</f>
        <v/>
      </c>
      <c r="AL168">
        <f>IF(G167&lt;=0,0,ROUND(G167*(1+IF(AND(G$6&gt;0,$B168&lt;G$6),G$4,G$5)/12),2))</f>
        <v/>
      </c>
      <c r="AM168">
        <f>IF(H167&lt;=0,0,ROUND(H167*(1+IF(AND(H$6&gt;0,$B168&lt;H$6),H$4,H$5)/12),2))</f>
        <v/>
      </c>
      <c r="AN168">
        <f>IF(I167&lt;=0,0,ROUND(I167*(1+IF(AND(I$6&gt;0,$B168&lt;I$6),I$4,I$5)/12),2))</f>
        <v/>
      </c>
      <c r="AO168">
        <f>IF(J167&lt;=0,0,ROUND(J167*(1+IF(AND(J$6&gt;0,$B168&lt;J$6),J$4,J$5)/12),2))</f>
        <v/>
      </c>
      <c r="AP168">
        <f>IF(K167&lt;=0,0,ROUND(K167*(1+IF(AND(K$6&gt;0,$B168&lt;K$6),K$4,K$5)/12),2))</f>
        <v/>
      </c>
      <c r="AQ168">
        <f>IF(L167&lt;=0,0,ROUND(L167*(1+IF(AND(L$6&gt;0,$B168&lt;L$6),L$4,L$5)/12),2))</f>
        <v/>
      </c>
      <c r="AR168">
        <f>IF(M167&lt;=0,0,ROUND(M167*(1+IF(AND(M$6&gt;0,$B168&lt;M$6),M$4,M$5)/12),2))</f>
        <v/>
      </c>
      <c r="AS168">
        <f>IF(N167&lt;=0,0,ROUND(N167*(1+IF(AND(N$6&gt;0,$B168&lt;N$6),N$4,N$5)/12),2))</f>
        <v/>
      </c>
    </row>
    <row r="169">
      <c r="A169" t="n">
        <v>158</v>
      </c>
      <c r="B169">
        <f>EDATE(Plan!$C$6,157)</f>
        <v/>
      </c>
      <c r="C169">
        <f>IF(C168&lt;=0,0,MAX(0,AH169-O169))</f>
        <v/>
      </c>
      <c r="D169">
        <f>IF(D168&lt;=0,0,MAX(0,AI169-P169))</f>
        <v/>
      </c>
      <c r="E169">
        <f>IF(E168&lt;=0,0,MAX(0,AJ169-Q169))</f>
        <v/>
      </c>
      <c r="F169">
        <f>IF(F168&lt;=0,0,MAX(0,AK169-R169))</f>
        <v/>
      </c>
      <c r="G169">
        <f>IF(G168&lt;=0,0,MAX(0,AL169-S169))</f>
        <v/>
      </c>
      <c r="H169">
        <f>IF(H168&lt;=0,0,MAX(0,AM169-T169))</f>
        <v/>
      </c>
      <c r="I169">
        <f>IF(I168&lt;=0,0,MAX(0,AN169-U169))</f>
        <v/>
      </c>
      <c r="J169">
        <f>IF(J168&lt;=0,0,MAX(0,AO169-V169))</f>
        <v/>
      </c>
      <c r="K169">
        <f>IF(K168&lt;=0,0,MAX(0,AP169-W169))</f>
        <v/>
      </c>
      <c r="L169">
        <f>IF(L168&lt;=0,0,MAX(0,AQ169-X169))</f>
        <v/>
      </c>
      <c r="M169">
        <f>IF(M168&lt;=0,0,MAX(0,AR169-Y169))</f>
        <v/>
      </c>
      <c r="N169">
        <f>IF(N168&lt;=0,0,MAX(0,AS169-Z169))</f>
        <v/>
      </c>
      <c r="O169">
        <f>IF(C168&lt;=0,0,MIN(AH169,C$7+IF(C$2=$AA169,$AC169,IF(C$2=$AF169,$AG169,0))))</f>
        <v/>
      </c>
      <c r="P169">
        <f>IF(D168&lt;=0,0,MIN(AI169,D$7+IF(D$2=$AA169,$AC169,IF(D$2=$AF169,$AG169,0))))</f>
        <v/>
      </c>
      <c r="Q169">
        <f>IF(E168&lt;=0,0,MIN(AJ169,E$7+IF(E$2=$AA169,$AC169,IF(E$2=$AF169,$AG169,0))))</f>
        <v/>
      </c>
      <c r="R169">
        <f>IF(F168&lt;=0,0,MIN(AK169,F$7+IF(F$2=$AA169,$AC169,IF(F$2=$AF169,$AG169,0))))</f>
        <v/>
      </c>
      <c r="S169">
        <f>IF(G168&lt;=0,0,MIN(AL169,G$7+IF(G$2=$AA169,$AC169,IF(G$2=$AF169,$AG169,0))))</f>
        <v/>
      </c>
      <c r="T169">
        <f>IF(H168&lt;=0,0,MIN(AM169,H$7+IF(H$2=$AA169,$AC169,IF(H$2=$AF169,$AG169,0))))</f>
        <v/>
      </c>
      <c r="U169">
        <f>IF(I168&lt;=0,0,MIN(AN169,I$7+IF(I$2=$AA169,$AC169,IF(I$2=$AF169,$AG169,0))))</f>
        <v/>
      </c>
      <c r="V169">
        <f>IF(J168&lt;=0,0,MIN(AO169,J$7+IF(J$2=$AA169,$AC169,IF(J$2=$AF169,$AG169,0))))</f>
        <v/>
      </c>
      <c r="W169">
        <f>IF(K168&lt;=0,0,MIN(AP169,K$7+IF(K$2=$AA169,$AC169,IF(K$2=$AF169,$AG169,0))))</f>
        <v/>
      </c>
      <c r="X169">
        <f>IF(L168&lt;=0,0,MIN(AQ169,L$7+IF(L$2=$AA169,$AC169,IF(L$2=$AF169,$AG169,0))))</f>
        <v/>
      </c>
      <c r="Y169">
        <f>IF(M168&lt;=0,0,MIN(AR169,M$7+IF(M$2=$AA169,$AC169,IF(M$2=$AF169,$AG169,0))))</f>
        <v/>
      </c>
      <c r="Z169">
        <f>IF(N168&lt;=0,0,MIN(AS169,N$7+IF(N$2=$AA169,$AC169,IF(N$2=$AF169,$AG169,0))))</f>
        <v/>
      </c>
      <c r="AA169">
        <f>IFERROR(ROUND(1/SUMPRODUCT(MAX((C168:N168&gt;0)*($C$3:$N$3&lt;=B169)/$C$2:$N$2)),0),0)</f>
        <v/>
      </c>
      <c r="AB169">
        <f>SUMPRODUCT((C168:N168&gt;0)*$C$7:$N$7)</f>
        <v/>
      </c>
      <c r="AC169">
        <f>MAX(0,Plan!$C$5-AB169)+IF(A169=Plan!$C$8,N(Plan!$C$7),0)</f>
        <v/>
      </c>
      <c r="AD169">
        <f>SUM(C169:N169)</f>
        <v/>
      </c>
      <c r="AE169">
        <f>SUM(O169:Z169)</f>
        <v/>
      </c>
      <c r="AF169">
        <f>IFERROR(ROUND(1/SUMPRODUCT(MAX((C168:N168&gt;0)*($C$3:$N$3&lt;=B169)*($C$2:$N$2&gt;AA169)/$C$2:$N$2)),0),0)</f>
        <v/>
      </c>
      <c r="AG169">
        <f>MAX(0,AC169-MAX(0,SUMPRODUCT(($C$2:$N$2=AA169)*(AH169:AS169-$C$7:$N$7))))</f>
        <v/>
      </c>
      <c r="AH169">
        <f>IF(C168&lt;=0,0,ROUND(C168*(1+IF(AND(C$6&gt;0,$B169&lt;C$6),C$4,C$5)/12),2))</f>
        <v/>
      </c>
      <c r="AI169">
        <f>IF(D168&lt;=0,0,ROUND(D168*(1+IF(AND(D$6&gt;0,$B169&lt;D$6),D$4,D$5)/12),2))</f>
        <v/>
      </c>
      <c r="AJ169">
        <f>IF(E168&lt;=0,0,ROUND(E168*(1+IF(AND(E$6&gt;0,$B169&lt;E$6),E$4,E$5)/12),2))</f>
        <v/>
      </c>
      <c r="AK169">
        <f>IF(F168&lt;=0,0,ROUND(F168*(1+IF(AND(F$6&gt;0,$B169&lt;F$6),F$4,F$5)/12),2))</f>
        <v/>
      </c>
      <c r="AL169">
        <f>IF(G168&lt;=0,0,ROUND(G168*(1+IF(AND(G$6&gt;0,$B169&lt;G$6),G$4,G$5)/12),2))</f>
        <v/>
      </c>
      <c r="AM169">
        <f>IF(H168&lt;=0,0,ROUND(H168*(1+IF(AND(H$6&gt;0,$B169&lt;H$6),H$4,H$5)/12),2))</f>
        <v/>
      </c>
      <c r="AN169">
        <f>IF(I168&lt;=0,0,ROUND(I168*(1+IF(AND(I$6&gt;0,$B169&lt;I$6),I$4,I$5)/12),2))</f>
        <v/>
      </c>
      <c r="AO169">
        <f>IF(J168&lt;=0,0,ROUND(J168*(1+IF(AND(J$6&gt;0,$B169&lt;J$6),J$4,J$5)/12),2))</f>
        <v/>
      </c>
      <c r="AP169">
        <f>IF(K168&lt;=0,0,ROUND(K168*(1+IF(AND(K$6&gt;0,$B169&lt;K$6),K$4,K$5)/12),2))</f>
        <v/>
      </c>
      <c r="AQ169">
        <f>IF(L168&lt;=0,0,ROUND(L168*(1+IF(AND(L$6&gt;0,$B169&lt;L$6),L$4,L$5)/12),2))</f>
        <v/>
      </c>
      <c r="AR169">
        <f>IF(M168&lt;=0,0,ROUND(M168*(1+IF(AND(M$6&gt;0,$B169&lt;M$6),M$4,M$5)/12),2))</f>
        <v/>
      </c>
      <c r="AS169">
        <f>IF(N168&lt;=0,0,ROUND(N168*(1+IF(AND(N$6&gt;0,$B169&lt;N$6),N$4,N$5)/12),2))</f>
        <v/>
      </c>
    </row>
    <row r="170">
      <c r="A170" t="n">
        <v>159</v>
      </c>
      <c r="B170">
        <f>EDATE(Plan!$C$6,158)</f>
        <v/>
      </c>
      <c r="C170">
        <f>IF(C169&lt;=0,0,MAX(0,AH170-O170))</f>
        <v/>
      </c>
      <c r="D170">
        <f>IF(D169&lt;=0,0,MAX(0,AI170-P170))</f>
        <v/>
      </c>
      <c r="E170">
        <f>IF(E169&lt;=0,0,MAX(0,AJ170-Q170))</f>
        <v/>
      </c>
      <c r="F170">
        <f>IF(F169&lt;=0,0,MAX(0,AK170-R170))</f>
        <v/>
      </c>
      <c r="G170">
        <f>IF(G169&lt;=0,0,MAX(0,AL170-S170))</f>
        <v/>
      </c>
      <c r="H170">
        <f>IF(H169&lt;=0,0,MAX(0,AM170-T170))</f>
        <v/>
      </c>
      <c r="I170">
        <f>IF(I169&lt;=0,0,MAX(0,AN170-U170))</f>
        <v/>
      </c>
      <c r="J170">
        <f>IF(J169&lt;=0,0,MAX(0,AO170-V170))</f>
        <v/>
      </c>
      <c r="K170">
        <f>IF(K169&lt;=0,0,MAX(0,AP170-W170))</f>
        <v/>
      </c>
      <c r="L170">
        <f>IF(L169&lt;=0,0,MAX(0,AQ170-X170))</f>
        <v/>
      </c>
      <c r="M170">
        <f>IF(M169&lt;=0,0,MAX(0,AR170-Y170))</f>
        <v/>
      </c>
      <c r="N170">
        <f>IF(N169&lt;=0,0,MAX(0,AS170-Z170))</f>
        <v/>
      </c>
      <c r="O170">
        <f>IF(C169&lt;=0,0,MIN(AH170,C$7+IF(C$2=$AA170,$AC170,IF(C$2=$AF170,$AG170,0))))</f>
        <v/>
      </c>
      <c r="P170">
        <f>IF(D169&lt;=0,0,MIN(AI170,D$7+IF(D$2=$AA170,$AC170,IF(D$2=$AF170,$AG170,0))))</f>
        <v/>
      </c>
      <c r="Q170">
        <f>IF(E169&lt;=0,0,MIN(AJ170,E$7+IF(E$2=$AA170,$AC170,IF(E$2=$AF170,$AG170,0))))</f>
        <v/>
      </c>
      <c r="R170">
        <f>IF(F169&lt;=0,0,MIN(AK170,F$7+IF(F$2=$AA170,$AC170,IF(F$2=$AF170,$AG170,0))))</f>
        <v/>
      </c>
      <c r="S170">
        <f>IF(G169&lt;=0,0,MIN(AL170,G$7+IF(G$2=$AA170,$AC170,IF(G$2=$AF170,$AG170,0))))</f>
        <v/>
      </c>
      <c r="T170">
        <f>IF(H169&lt;=0,0,MIN(AM170,H$7+IF(H$2=$AA170,$AC170,IF(H$2=$AF170,$AG170,0))))</f>
        <v/>
      </c>
      <c r="U170">
        <f>IF(I169&lt;=0,0,MIN(AN170,I$7+IF(I$2=$AA170,$AC170,IF(I$2=$AF170,$AG170,0))))</f>
        <v/>
      </c>
      <c r="V170">
        <f>IF(J169&lt;=0,0,MIN(AO170,J$7+IF(J$2=$AA170,$AC170,IF(J$2=$AF170,$AG170,0))))</f>
        <v/>
      </c>
      <c r="W170">
        <f>IF(K169&lt;=0,0,MIN(AP170,K$7+IF(K$2=$AA170,$AC170,IF(K$2=$AF170,$AG170,0))))</f>
        <v/>
      </c>
      <c r="X170">
        <f>IF(L169&lt;=0,0,MIN(AQ170,L$7+IF(L$2=$AA170,$AC170,IF(L$2=$AF170,$AG170,0))))</f>
        <v/>
      </c>
      <c r="Y170">
        <f>IF(M169&lt;=0,0,MIN(AR170,M$7+IF(M$2=$AA170,$AC170,IF(M$2=$AF170,$AG170,0))))</f>
        <v/>
      </c>
      <c r="Z170">
        <f>IF(N169&lt;=0,0,MIN(AS170,N$7+IF(N$2=$AA170,$AC170,IF(N$2=$AF170,$AG170,0))))</f>
        <v/>
      </c>
      <c r="AA170">
        <f>IFERROR(ROUND(1/SUMPRODUCT(MAX((C169:N169&gt;0)*($C$3:$N$3&lt;=B170)/$C$2:$N$2)),0),0)</f>
        <v/>
      </c>
      <c r="AB170">
        <f>SUMPRODUCT((C169:N169&gt;0)*$C$7:$N$7)</f>
        <v/>
      </c>
      <c r="AC170">
        <f>MAX(0,Plan!$C$5-AB170)+IF(A170=Plan!$C$8,N(Plan!$C$7),0)</f>
        <v/>
      </c>
      <c r="AD170">
        <f>SUM(C170:N170)</f>
        <v/>
      </c>
      <c r="AE170">
        <f>SUM(O170:Z170)</f>
        <v/>
      </c>
      <c r="AF170">
        <f>IFERROR(ROUND(1/SUMPRODUCT(MAX((C169:N169&gt;0)*($C$3:$N$3&lt;=B170)*($C$2:$N$2&gt;AA170)/$C$2:$N$2)),0),0)</f>
        <v/>
      </c>
      <c r="AG170">
        <f>MAX(0,AC170-MAX(0,SUMPRODUCT(($C$2:$N$2=AA170)*(AH170:AS170-$C$7:$N$7))))</f>
        <v/>
      </c>
      <c r="AH170">
        <f>IF(C169&lt;=0,0,ROUND(C169*(1+IF(AND(C$6&gt;0,$B170&lt;C$6),C$4,C$5)/12),2))</f>
        <v/>
      </c>
      <c r="AI170">
        <f>IF(D169&lt;=0,0,ROUND(D169*(1+IF(AND(D$6&gt;0,$B170&lt;D$6),D$4,D$5)/12),2))</f>
        <v/>
      </c>
      <c r="AJ170">
        <f>IF(E169&lt;=0,0,ROUND(E169*(1+IF(AND(E$6&gt;0,$B170&lt;E$6),E$4,E$5)/12),2))</f>
        <v/>
      </c>
      <c r="AK170">
        <f>IF(F169&lt;=0,0,ROUND(F169*(1+IF(AND(F$6&gt;0,$B170&lt;F$6),F$4,F$5)/12),2))</f>
        <v/>
      </c>
      <c r="AL170">
        <f>IF(G169&lt;=0,0,ROUND(G169*(1+IF(AND(G$6&gt;0,$B170&lt;G$6),G$4,G$5)/12),2))</f>
        <v/>
      </c>
      <c r="AM170">
        <f>IF(H169&lt;=0,0,ROUND(H169*(1+IF(AND(H$6&gt;0,$B170&lt;H$6),H$4,H$5)/12),2))</f>
        <v/>
      </c>
      <c r="AN170">
        <f>IF(I169&lt;=0,0,ROUND(I169*(1+IF(AND(I$6&gt;0,$B170&lt;I$6),I$4,I$5)/12),2))</f>
        <v/>
      </c>
      <c r="AO170">
        <f>IF(J169&lt;=0,0,ROUND(J169*(1+IF(AND(J$6&gt;0,$B170&lt;J$6),J$4,J$5)/12),2))</f>
        <v/>
      </c>
      <c r="AP170">
        <f>IF(K169&lt;=0,0,ROUND(K169*(1+IF(AND(K$6&gt;0,$B170&lt;K$6),K$4,K$5)/12),2))</f>
        <v/>
      </c>
      <c r="AQ170">
        <f>IF(L169&lt;=0,0,ROUND(L169*(1+IF(AND(L$6&gt;0,$B170&lt;L$6),L$4,L$5)/12),2))</f>
        <v/>
      </c>
      <c r="AR170">
        <f>IF(M169&lt;=0,0,ROUND(M169*(1+IF(AND(M$6&gt;0,$B170&lt;M$6),M$4,M$5)/12),2))</f>
        <v/>
      </c>
      <c r="AS170">
        <f>IF(N169&lt;=0,0,ROUND(N169*(1+IF(AND(N$6&gt;0,$B170&lt;N$6),N$4,N$5)/12),2))</f>
        <v/>
      </c>
    </row>
    <row r="171">
      <c r="A171" t="n">
        <v>160</v>
      </c>
      <c r="B171">
        <f>EDATE(Plan!$C$6,159)</f>
        <v/>
      </c>
      <c r="C171">
        <f>IF(C170&lt;=0,0,MAX(0,AH171-O171))</f>
        <v/>
      </c>
      <c r="D171">
        <f>IF(D170&lt;=0,0,MAX(0,AI171-P171))</f>
        <v/>
      </c>
      <c r="E171">
        <f>IF(E170&lt;=0,0,MAX(0,AJ171-Q171))</f>
        <v/>
      </c>
      <c r="F171">
        <f>IF(F170&lt;=0,0,MAX(0,AK171-R171))</f>
        <v/>
      </c>
      <c r="G171">
        <f>IF(G170&lt;=0,0,MAX(0,AL171-S171))</f>
        <v/>
      </c>
      <c r="H171">
        <f>IF(H170&lt;=0,0,MAX(0,AM171-T171))</f>
        <v/>
      </c>
      <c r="I171">
        <f>IF(I170&lt;=0,0,MAX(0,AN171-U171))</f>
        <v/>
      </c>
      <c r="J171">
        <f>IF(J170&lt;=0,0,MAX(0,AO171-V171))</f>
        <v/>
      </c>
      <c r="K171">
        <f>IF(K170&lt;=0,0,MAX(0,AP171-W171))</f>
        <v/>
      </c>
      <c r="L171">
        <f>IF(L170&lt;=0,0,MAX(0,AQ171-X171))</f>
        <v/>
      </c>
      <c r="M171">
        <f>IF(M170&lt;=0,0,MAX(0,AR171-Y171))</f>
        <v/>
      </c>
      <c r="N171">
        <f>IF(N170&lt;=0,0,MAX(0,AS171-Z171))</f>
        <v/>
      </c>
      <c r="O171">
        <f>IF(C170&lt;=0,0,MIN(AH171,C$7+IF(C$2=$AA171,$AC171,IF(C$2=$AF171,$AG171,0))))</f>
        <v/>
      </c>
      <c r="P171">
        <f>IF(D170&lt;=0,0,MIN(AI171,D$7+IF(D$2=$AA171,$AC171,IF(D$2=$AF171,$AG171,0))))</f>
        <v/>
      </c>
      <c r="Q171">
        <f>IF(E170&lt;=0,0,MIN(AJ171,E$7+IF(E$2=$AA171,$AC171,IF(E$2=$AF171,$AG171,0))))</f>
        <v/>
      </c>
      <c r="R171">
        <f>IF(F170&lt;=0,0,MIN(AK171,F$7+IF(F$2=$AA171,$AC171,IF(F$2=$AF171,$AG171,0))))</f>
        <v/>
      </c>
      <c r="S171">
        <f>IF(G170&lt;=0,0,MIN(AL171,G$7+IF(G$2=$AA171,$AC171,IF(G$2=$AF171,$AG171,0))))</f>
        <v/>
      </c>
      <c r="T171">
        <f>IF(H170&lt;=0,0,MIN(AM171,H$7+IF(H$2=$AA171,$AC171,IF(H$2=$AF171,$AG171,0))))</f>
        <v/>
      </c>
      <c r="U171">
        <f>IF(I170&lt;=0,0,MIN(AN171,I$7+IF(I$2=$AA171,$AC171,IF(I$2=$AF171,$AG171,0))))</f>
        <v/>
      </c>
      <c r="V171">
        <f>IF(J170&lt;=0,0,MIN(AO171,J$7+IF(J$2=$AA171,$AC171,IF(J$2=$AF171,$AG171,0))))</f>
        <v/>
      </c>
      <c r="W171">
        <f>IF(K170&lt;=0,0,MIN(AP171,K$7+IF(K$2=$AA171,$AC171,IF(K$2=$AF171,$AG171,0))))</f>
        <v/>
      </c>
      <c r="X171">
        <f>IF(L170&lt;=0,0,MIN(AQ171,L$7+IF(L$2=$AA171,$AC171,IF(L$2=$AF171,$AG171,0))))</f>
        <v/>
      </c>
      <c r="Y171">
        <f>IF(M170&lt;=0,0,MIN(AR171,M$7+IF(M$2=$AA171,$AC171,IF(M$2=$AF171,$AG171,0))))</f>
        <v/>
      </c>
      <c r="Z171">
        <f>IF(N170&lt;=0,0,MIN(AS171,N$7+IF(N$2=$AA171,$AC171,IF(N$2=$AF171,$AG171,0))))</f>
        <v/>
      </c>
      <c r="AA171">
        <f>IFERROR(ROUND(1/SUMPRODUCT(MAX((C170:N170&gt;0)*($C$3:$N$3&lt;=B171)/$C$2:$N$2)),0),0)</f>
        <v/>
      </c>
      <c r="AB171">
        <f>SUMPRODUCT((C170:N170&gt;0)*$C$7:$N$7)</f>
        <v/>
      </c>
      <c r="AC171">
        <f>MAX(0,Plan!$C$5-AB171)+IF(A171=Plan!$C$8,N(Plan!$C$7),0)</f>
        <v/>
      </c>
      <c r="AD171">
        <f>SUM(C171:N171)</f>
        <v/>
      </c>
      <c r="AE171">
        <f>SUM(O171:Z171)</f>
        <v/>
      </c>
      <c r="AF171">
        <f>IFERROR(ROUND(1/SUMPRODUCT(MAX((C170:N170&gt;0)*($C$3:$N$3&lt;=B171)*($C$2:$N$2&gt;AA171)/$C$2:$N$2)),0),0)</f>
        <v/>
      </c>
      <c r="AG171">
        <f>MAX(0,AC171-MAX(0,SUMPRODUCT(($C$2:$N$2=AA171)*(AH171:AS171-$C$7:$N$7))))</f>
        <v/>
      </c>
      <c r="AH171">
        <f>IF(C170&lt;=0,0,ROUND(C170*(1+IF(AND(C$6&gt;0,$B171&lt;C$6),C$4,C$5)/12),2))</f>
        <v/>
      </c>
      <c r="AI171">
        <f>IF(D170&lt;=0,0,ROUND(D170*(1+IF(AND(D$6&gt;0,$B171&lt;D$6),D$4,D$5)/12),2))</f>
        <v/>
      </c>
      <c r="AJ171">
        <f>IF(E170&lt;=0,0,ROUND(E170*(1+IF(AND(E$6&gt;0,$B171&lt;E$6),E$4,E$5)/12),2))</f>
        <v/>
      </c>
      <c r="AK171">
        <f>IF(F170&lt;=0,0,ROUND(F170*(1+IF(AND(F$6&gt;0,$B171&lt;F$6),F$4,F$5)/12),2))</f>
        <v/>
      </c>
      <c r="AL171">
        <f>IF(G170&lt;=0,0,ROUND(G170*(1+IF(AND(G$6&gt;0,$B171&lt;G$6),G$4,G$5)/12),2))</f>
        <v/>
      </c>
      <c r="AM171">
        <f>IF(H170&lt;=0,0,ROUND(H170*(1+IF(AND(H$6&gt;0,$B171&lt;H$6),H$4,H$5)/12),2))</f>
        <v/>
      </c>
      <c r="AN171">
        <f>IF(I170&lt;=0,0,ROUND(I170*(1+IF(AND(I$6&gt;0,$B171&lt;I$6),I$4,I$5)/12),2))</f>
        <v/>
      </c>
      <c r="AO171">
        <f>IF(J170&lt;=0,0,ROUND(J170*(1+IF(AND(J$6&gt;0,$B171&lt;J$6),J$4,J$5)/12),2))</f>
        <v/>
      </c>
      <c r="AP171">
        <f>IF(K170&lt;=0,0,ROUND(K170*(1+IF(AND(K$6&gt;0,$B171&lt;K$6),K$4,K$5)/12),2))</f>
        <v/>
      </c>
      <c r="AQ171">
        <f>IF(L170&lt;=0,0,ROUND(L170*(1+IF(AND(L$6&gt;0,$B171&lt;L$6),L$4,L$5)/12),2))</f>
        <v/>
      </c>
      <c r="AR171">
        <f>IF(M170&lt;=0,0,ROUND(M170*(1+IF(AND(M$6&gt;0,$B171&lt;M$6),M$4,M$5)/12),2))</f>
        <v/>
      </c>
      <c r="AS171">
        <f>IF(N170&lt;=0,0,ROUND(N170*(1+IF(AND(N$6&gt;0,$B171&lt;N$6),N$4,N$5)/12),2))</f>
        <v/>
      </c>
    </row>
    <row r="172">
      <c r="A172" t="n">
        <v>161</v>
      </c>
      <c r="B172">
        <f>EDATE(Plan!$C$6,160)</f>
        <v/>
      </c>
      <c r="C172">
        <f>IF(C171&lt;=0,0,MAX(0,AH172-O172))</f>
        <v/>
      </c>
      <c r="D172">
        <f>IF(D171&lt;=0,0,MAX(0,AI172-P172))</f>
        <v/>
      </c>
      <c r="E172">
        <f>IF(E171&lt;=0,0,MAX(0,AJ172-Q172))</f>
        <v/>
      </c>
      <c r="F172">
        <f>IF(F171&lt;=0,0,MAX(0,AK172-R172))</f>
        <v/>
      </c>
      <c r="G172">
        <f>IF(G171&lt;=0,0,MAX(0,AL172-S172))</f>
        <v/>
      </c>
      <c r="H172">
        <f>IF(H171&lt;=0,0,MAX(0,AM172-T172))</f>
        <v/>
      </c>
      <c r="I172">
        <f>IF(I171&lt;=0,0,MAX(0,AN172-U172))</f>
        <v/>
      </c>
      <c r="J172">
        <f>IF(J171&lt;=0,0,MAX(0,AO172-V172))</f>
        <v/>
      </c>
      <c r="K172">
        <f>IF(K171&lt;=0,0,MAX(0,AP172-W172))</f>
        <v/>
      </c>
      <c r="L172">
        <f>IF(L171&lt;=0,0,MAX(0,AQ172-X172))</f>
        <v/>
      </c>
      <c r="M172">
        <f>IF(M171&lt;=0,0,MAX(0,AR172-Y172))</f>
        <v/>
      </c>
      <c r="N172">
        <f>IF(N171&lt;=0,0,MAX(0,AS172-Z172))</f>
        <v/>
      </c>
      <c r="O172">
        <f>IF(C171&lt;=0,0,MIN(AH172,C$7+IF(C$2=$AA172,$AC172,IF(C$2=$AF172,$AG172,0))))</f>
        <v/>
      </c>
      <c r="P172">
        <f>IF(D171&lt;=0,0,MIN(AI172,D$7+IF(D$2=$AA172,$AC172,IF(D$2=$AF172,$AG172,0))))</f>
        <v/>
      </c>
      <c r="Q172">
        <f>IF(E171&lt;=0,0,MIN(AJ172,E$7+IF(E$2=$AA172,$AC172,IF(E$2=$AF172,$AG172,0))))</f>
        <v/>
      </c>
      <c r="R172">
        <f>IF(F171&lt;=0,0,MIN(AK172,F$7+IF(F$2=$AA172,$AC172,IF(F$2=$AF172,$AG172,0))))</f>
        <v/>
      </c>
      <c r="S172">
        <f>IF(G171&lt;=0,0,MIN(AL172,G$7+IF(G$2=$AA172,$AC172,IF(G$2=$AF172,$AG172,0))))</f>
        <v/>
      </c>
      <c r="T172">
        <f>IF(H171&lt;=0,0,MIN(AM172,H$7+IF(H$2=$AA172,$AC172,IF(H$2=$AF172,$AG172,0))))</f>
        <v/>
      </c>
      <c r="U172">
        <f>IF(I171&lt;=0,0,MIN(AN172,I$7+IF(I$2=$AA172,$AC172,IF(I$2=$AF172,$AG172,0))))</f>
        <v/>
      </c>
      <c r="V172">
        <f>IF(J171&lt;=0,0,MIN(AO172,J$7+IF(J$2=$AA172,$AC172,IF(J$2=$AF172,$AG172,0))))</f>
        <v/>
      </c>
      <c r="W172">
        <f>IF(K171&lt;=0,0,MIN(AP172,K$7+IF(K$2=$AA172,$AC172,IF(K$2=$AF172,$AG172,0))))</f>
        <v/>
      </c>
      <c r="X172">
        <f>IF(L171&lt;=0,0,MIN(AQ172,L$7+IF(L$2=$AA172,$AC172,IF(L$2=$AF172,$AG172,0))))</f>
        <v/>
      </c>
      <c r="Y172">
        <f>IF(M171&lt;=0,0,MIN(AR172,M$7+IF(M$2=$AA172,$AC172,IF(M$2=$AF172,$AG172,0))))</f>
        <v/>
      </c>
      <c r="Z172">
        <f>IF(N171&lt;=0,0,MIN(AS172,N$7+IF(N$2=$AA172,$AC172,IF(N$2=$AF172,$AG172,0))))</f>
        <v/>
      </c>
      <c r="AA172">
        <f>IFERROR(ROUND(1/SUMPRODUCT(MAX((C171:N171&gt;0)*($C$3:$N$3&lt;=B172)/$C$2:$N$2)),0),0)</f>
        <v/>
      </c>
      <c r="AB172">
        <f>SUMPRODUCT((C171:N171&gt;0)*$C$7:$N$7)</f>
        <v/>
      </c>
      <c r="AC172">
        <f>MAX(0,Plan!$C$5-AB172)+IF(A172=Plan!$C$8,N(Plan!$C$7),0)</f>
        <v/>
      </c>
      <c r="AD172">
        <f>SUM(C172:N172)</f>
        <v/>
      </c>
      <c r="AE172">
        <f>SUM(O172:Z172)</f>
        <v/>
      </c>
      <c r="AF172">
        <f>IFERROR(ROUND(1/SUMPRODUCT(MAX((C171:N171&gt;0)*($C$3:$N$3&lt;=B172)*($C$2:$N$2&gt;AA172)/$C$2:$N$2)),0),0)</f>
        <v/>
      </c>
      <c r="AG172">
        <f>MAX(0,AC172-MAX(0,SUMPRODUCT(($C$2:$N$2=AA172)*(AH172:AS172-$C$7:$N$7))))</f>
        <v/>
      </c>
      <c r="AH172">
        <f>IF(C171&lt;=0,0,ROUND(C171*(1+IF(AND(C$6&gt;0,$B172&lt;C$6),C$4,C$5)/12),2))</f>
        <v/>
      </c>
      <c r="AI172">
        <f>IF(D171&lt;=0,0,ROUND(D171*(1+IF(AND(D$6&gt;0,$B172&lt;D$6),D$4,D$5)/12),2))</f>
        <v/>
      </c>
      <c r="AJ172">
        <f>IF(E171&lt;=0,0,ROUND(E171*(1+IF(AND(E$6&gt;0,$B172&lt;E$6),E$4,E$5)/12),2))</f>
        <v/>
      </c>
      <c r="AK172">
        <f>IF(F171&lt;=0,0,ROUND(F171*(1+IF(AND(F$6&gt;0,$B172&lt;F$6),F$4,F$5)/12),2))</f>
        <v/>
      </c>
      <c r="AL172">
        <f>IF(G171&lt;=0,0,ROUND(G171*(1+IF(AND(G$6&gt;0,$B172&lt;G$6),G$4,G$5)/12),2))</f>
        <v/>
      </c>
      <c r="AM172">
        <f>IF(H171&lt;=0,0,ROUND(H171*(1+IF(AND(H$6&gt;0,$B172&lt;H$6),H$4,H$5)/12),2))</f>
        <v/>
      </c>
      <c r="AN172">
        <f>IF(I171&lt;=0,0,ROUND(I171*(1+IF(AND(I$6&gt;0,$B172&lt;I$6),I$4,I$5)/12),2))</f>
        <v/>
      </c>
      <c r="AO172">
        <f>IF(J171&lt;=0,0,ROUND(J171*(1+IF(AND(J$6&gt;0,$B172&lt;J$6),J$4,J$5)/12),2))</f>
        <v/>
      </c>
      <c r="AP172">
        <f>IF(K171&lt;=0,0,ROUND(K171*(1+IF(AND(K$6&gt;0,$B172&lt;K$6),K$4,K$5)/12),2))</f>
        <v/>
      </c>
      <c r="AQ172">
        <f>IF(L171&lt;=0,0,ROUND(L171*(1+IF(AND(L$6&gt;0,$B172&lt;L$6),L$4,L$5)/12),2))</f>
        <v/>
      </c>
      <c r="AR172">
        <f>IF(M171&lt;=0,0,ROUND(M171*(1+IF(AND(M$6&gt;0,$B172&lt;M$6),M$4,M$5)/12),2))</f>
        <v/>
      </c>
      <c r="AS172">
        <f>IF(N171&lt;=0,0,ROUND(N171*(1+IF(AND(N$6&gt;0,$B172&lt;N$6),N$4,N$5)/12),2))</f>
        <v/>
      </c>
    </row>
    <row r="173">
      <c r="A173" t="n">
        <v>162</v>
      </c>
      <c r="B173">
        <f>EDATE(Plan!$C$6,161)</f>
        <v/>
      </c>
      <c r="C173">
        <f>IF(C172&lt;=0,0,MAX(0,AH173-O173))</f>
        <v/>
      </c>
      <c r="D173">
        <f>IF(D172&lt;=0,0,MAX(0,AI173-P173))</f>
        <v/>
      </c>
      <c r="E173">
        <f>IF(E172&lt;=0,0,MAX(0,AJ173-Q173))</f>
        <v/>
      </c>
      <c r="F173">
        <f>IF(F172&lt;=0,0,MAX(0,AK173-R173))</f>
        <v/>
      </c>
      <c r="G173">
        <f>IF(G172&lt;=0,0,MAX(0,AL173-S173))</f>
        <v/>
      </c>
      <c r="H173">
        <f>IF(H172&lt;=0,0,MAX(0,AM173-T173))</f>
        <v/>
      </c>
      <c r="I173">
        <f>IF(I172&lt;=0,0,MAX(0,AN173-U173))</f>
        <v/>
      </c>
      <c r="J173">
        <f>IF(J172&lt;=0,0,MAX(0,AO173-V173))</f>
        <v/>
      </c>
      <c r="K173">
        <f>IF(K172&lt;=0,0,MAX(0,AP173-W173))</f>
        <v/>
      </c>
      <c r="L173">
        <f>IF(L172&lt;=0,0,MAX(0,AQ173-X173))</f>
        <v/>
      </c>
      <c r="M173">
        <f>IF(M172&lt;=0,0,MAX(0,AR173-Y173))</f>
        <v/>
      </c>
      <c r="N173">
        <f>IF(N172&lt;=0,0,MAX(0,AS173-Z173))</f>
        <v/>
      </c>
      <c r="O173">
        <f>IF(C172&lt;=0,0,MIN(AH173,C$7+IF(C$2=$AA173,$AC173,IF(C$2=$AF173,$AG173,0))))</f>
        <v/>
      </c>
      <c r="P173">
        <f>IF(D172&lt;=0,0,MIN(AI173,D$7+IF(D$2=$AA173,$AC173,IF(D$2=$AF173,$AG173,0))))</f>
        <v/>
      </c>
      <c r="Q173">
        <f>IF(E172&lt;=0,0,MIN(AJ173,E$7+IF(E$2=$AA173,$AC173,IF(E$2=$AF173,$AG173,0))))</f>
        <v/>
      </c>
      <c r="R173">
        <f>IF(F172&lt;=0,0,MIN(AK173,F$7+IF(F$2=$AA173,$AC173,IF(F$2=$AF173,$AG173,0))))</f>
        <v/>
      </c>
      <c r="S173">
        <f>IF(G172&lt;=0,0,MIN(AL173,G$7+IF(G$2=$AA173,$AC173,IF(G$2=$AF173,$AG173,0))))</f>
        <v/>
      </c>
      <c r="T173">
        <f>IF(H172&lt;=0,0,MIN(AM173,H$7+IF(H$2=$AA173,$AC173,IF(H$2=$AF173,$AG173,0))))</f>
        <v/>
      </c>
      <c r="U173">
        <f>IF(I172&lt;=0,0,MIN(AN173,I$7+IF(I$2=$AA173,$AC173,IF(I$2=$AF173,$AG173,0))))</f>
        <v/>
      </c>
      <c r="V173">
        <f>IF(J172&lt;=0,0,MIN(AO173,J$7+IF(J$2=$AA173,$AC173,IF(J$2=$AF173,$AG173,0))))</f>
        <v/>
      </c>
      <c r="W173">
        <f>IF(K172&lt;=0,0,MIN(AP173,K$7+IF(K$2=$AA173,$AC173,IF(K$2=$AF173,$AG173,0))))</f>
        <v/>
      </c>
      <c r="X173">
        <f>IF(L172&lt;=0,0,MIN(AQ173,L$7+IF(L$2=$AA173,$AC173,IF(L$2=$AF173,$AG173,0))))</f>
        <v/>
      </c>
      <c r="Y173">
        <f>IF(M172&lt;=0,0,MIN(AR173,M$7+IF(M$2=$AA173,$AC173,IF(M$2=$AF173,$AG173,0))))</f>
        <v/>
      </c>
      <c r="Z173">
        <f>IF(N172&lt;=0,0,MIN(AS173,N$7+IF(N$2=$AA173,$AC173,IF(N$2=$AF173,$AG173,0))))</f>
        <v/>
      </c>
      <c r="AA173">
        <f>IFERROR(ROUND(1/SUMPRODUCT(MAX((C172:N172&gt;0)*($C$3:$N$3&lt;=B173)/$C$2:$N$2)),0),0)</f>
        <v/>
      </c>
      <c r="AB173">
        <f>SUMPRODUCT((C172:N172&gt;0)*$C$7:$N$7)</f>
        <v/>
      </c>
      <c r="AC173">
        <f>MAX(0,Plan!$C$5-AB173)+IF(A173=Plan!$C$8,N(Plan!$C$7),0)</f>
        <v/>
      </c>
      <c r="AD173">
        <f>SUM(C173:N173)</f>
        <v/>
      </c>
      <c r="AE173">
        <f>SUM(O173:Z173)</f>
        <v/>
      </c>
      <c r="AF173">
        <f>IFERROR(ROUND(1/SUMPRODUCT(MAX((C172:N172&gt;0)*($C$3:$N$3&lt;=B173)*($C$2:$N$2&gt;AA173)/$C$2:$N$2)),0),0)</f>
        <v/>
      </c>
      <c r="AG173">
        <f>MAX(0,AC173-MAX(0,SUMPRODUCT(($C$2:$N$2=AA173)*(AH173:AS173-$C$7:$N$7))))</f>
        <v/>
      </c>
      <c r="AH173">
        <f>IF(C172&lt;=0,0,ROUND(C172*(1+IF(AND(C$6&gt;0,$B173&lt;C$6),C$4,C$5)/12),2))</f>
        <v/>
      </c>
      <c r="AI173">
        <f>IF(D172&lt;=0,0,ROUND(D172*(1+IF(AND(D$6&gt;0,$B173&lt;D$6),D$4,D$5)/12),2))</f>
        <v/>
      </c>
      <c r="AJ173">
        <f>IF(E172&lt;=0,0,ROUND(E172*(1+IF(AND(E$6&gt;0,$B173&lt;E$6),E$4,E$5)/12),2))</f>
        <v/>
      </c>
      <c r="AK173">
        <f>IF(F172&lt;=0,0,ROUND(F172*(1+IF(AND(F$6&gt;0,$B173&lt;F$6),F$4,F$5)/12),2))</f>
        <v/>
      </c>
      <c r="AL173">
        <f>IF(G172&lt;=0,0,ROUND(G172*(1+IF(AND(G$6&gt;0,$B173&lt;G$6),G$4,G$5)/12),2))</f>
        <v/>
      </c>
      <c r="AM173">
        <f>IF(H172&lt;=0,0,ROUND(H172*(1+IF(AND(H$6&gt;0,$B173&lt;H$6),H$4,H$5)/12),2))</f>
        <v/>
      </c>
      <c r="AN173">
        <f>IF(I172&lt;=0,0,ROUND(I172*(1+IF(AND(I$6&gt;0,$B173&lt;I$6),I$4,I$5)/12),2))</f>
        <v/>
      </c>
      <c r="AO173">
        <f>IF(J172&lt;=0,0,ROUND(J172*(1+IF(AND(J$6&gt;0,$B173&lt;J$6),J$4,J$5)/12),2))</f>
        <v/>
      </c>
      <c r="AP173">
        <f>IF(K172&lt;=0,0,ROUND(K172*(1+IF(AND(K$6&gt;0,$B173&lt;K$6),K$4,K$5)/12),2))</f>
        <v/>
      </c>
      <c r="AQ173">
        <f>IF(L172&lt;=0,0,ROUND(L172*(1+IF(AND(L$6&gt;0,$B173&lt;L$6),L$4,L$5)/12),2))</f>
        <v/>
      </c>
      <c r="AR173">
        <f>IF(M172&lt;=0,0,ROUND(M172*(1+IF(AND(M$6&gt;0,$B173&lt;M$6),M$4,M$5)/12),2))</f>
        <v/>
      </c>
      <c r="AS173">
        <f>IF(N172&lt;=0,0,ROUND(N172*(1+IF(AND(N$6&gt;0,$B173&lt;N$6),N$4,N$5)/12),2))</f>
        <v/>
      </c>
    </row>
    <row r="174">
      <c r="A174" t="n">
        <v>163</v>
      </c>
      <c r="B174">
        <f>EDATE(Plan!$C$6,162)</f>
        <v/>
      </c>
      <c r="C174">
        <f>IF(C173&lt;=0,0,MAX(0,AH174-O174))</f>
        <v/>
      </c>
      <c r="D174">
        <f>IF(D173&lt;=0,0,MAX(0,AI174-P174))</f>
        <v/>
      </c>
      <c r="E174">
        <f>IF(E173&lt;=0,0,MAX(0,AJ174-Q174))</f>
        <v/>
      </c>
      <c r="F174">
        <f>IF(F173&lt;=0,0,MAX(0,AK174-R174))</f>
        <v/>
      </c>
      <c r="G174">
        <f>IF(G173&lt;=0,0,MAX(0,AL174-S174))</f>
        <v/>
      </c>
      <c r="H174">
        <f>IF(H173&lt;=0,0,MAX(0,AM174-T174))</f>
        <v/>
      </c>
      <c r="I174">
        <f>IF(I173&lt;=0,0,MAX(0,AN174-U174))</f>
        <v/>
      </c>
      <c r="J174">
        <f>IF(J173&lt;=0,0,MAX(0,AO174-V174))</f>
        <v/>
      </c>
      <c r="K174">
        <f>IF(K173&lt;=0,0,MAX(0,AP174-W174))</f>
        <v/>
      </c>
      <c r="L174">
        <f>IF(L173&lt;=0,0,MAX(0,AQ174-X174))</f>
        <v/>
      </c>
      <c r="M174">
        <f>IF(M173&lt;=0,0,MAX(0,AR174-Y174))</f>
        <v/>
      </c>
      <c r="N174">
        <f>IF(N173&lt;=0,0,MAX(0,AS174-Z174))</f>
        <v/>
      </c>
      <c r="O174">
        <f>IF(C173&lt;=0,0,MIN(AH174,C$7+IF(C$2=$AA174,$AC174,IF(C$2=$AF174,$AG174,0))))</f>
        <v/>
      </c>
      <c r="P174">
        <f>IF(D173&lt;=0,0,MIN(AI174,D$7+IF(D$2=$AA174,$AC174,IF(D$2=$AF174,$AG174,0))))</f>
        <v/>
      </c>
      <c r="Q174">
        <f>IF(E173&lt;=0,0,MIN(AJ174,E$7+IF(E$2=$AA174,$AC174,IF(E$2=$AF174,$AG174,0))))</f>
        <v/>
      </c>
      <c r="R174">
        <f>IF(F173&lt;=0,0,MIN(AK174,F$7+IF(F$2=$AA174,$AC174,IF(F$2=$AF174,$AG174,0))))</f>
        <v/>
      </c>
      <c r="S174">
        <f>IF(G173&lt;=0,0,MIN(AL174,G$7+IF(G$2=$AA174,$AC174,IF(G$2=$AF174,$AG174,0))))</f>
        <v/>
      </c>
      <c r="T174">
        <f>IF(H173&lt;=0,0,MIN(AM174,H$7+IF(H$2=$AA174,$AC174,IF(H$2=$AF174,$AG174,0))))</f>
        <v/>
      </c>
      <c r="U174">
        <f>IF(I173&lt;=0,0,MIN(AN174,I$7+IF(I$2=$AA174,$AC174,IF(I$2=$AF174,$AG174,0))))</f>
        <v/>
      </c>
      <c r="V174">
        <f>IF(J173&lt;=0,0,MIN(AO174,J$7+IF(J$2=$AA174,$AC174,IF(J$2=$AF174,$AG174,0))))</f>
        <v/>
      </c>
      <c r="W174">
        <f>IF(K173&lt;=0,0,MIN(AP174,K$7+IF(K$2=$AA174,$AC174,IF(K$2=$AF174,$AG174,0))))</f>
        <v/>
      </c>
      <c r="X174">
        <f>IF(L173&lt;=0,0,MIN(AQ174,L$7+IF(L$2=$AA174,$AC174,IF(L$2=$AF174,$AG174,0))))</f>
        <v/>
      </c>
      <c r="Y174">
        <f>IF(M173&lt;=0,0,MIN(AR174,M$7+IF(M$2=$AA174,$AC174,IF(M$2=$AF174,$AG174,0))))</f>
        <v/>
      </c>
      <c r="Z174">
        <f>IF(N173&lt;=0,0,MIN(AS174,N$7+IF(N$2=$AA174,$AC174,IF(N$2=$AF174,$AG174,0))))</f>
        <v/>
      </c>
      <c r="AA174">
        <f>IFERROR(ROUND(1/SUMPRODUCT(MAX((C173:N173&gt;0)*($C$3:$N$3&lt;=B174)/$C$2:$N$2)),0),0)</f>
        <v/>
      </c>
      <c r="AB174">
        <f>SUMPRODUCT((C173:N173&gt;0)*$C$7:$N$7)</f>
        <v/>
      </c>
      <c r="AC174">
        <f>MAX(0,Plan!$C$5-AB174)+IF(A174=Plan!$C$8,N(Plan!$C$7),0)</f>
        <v/>
      </c>
      <c r="AD174">
        <f>SUM(C174:N174)</f>
        <v/>
      </c>
      <c r="AE174">
        <f>SUM(O174:Z174)</f>
        <v/>
      </c>
      <c r="AF174">
        <f>IFERROR(ROUND(1/SUMPRODUCT(MAX((C173:N173&gt;0)*($C$3:$N$3&lt;=B174)*($C$2:$N$2&gt;AA174)/$C$2:$N$2)),0),0)</f>
        <v/>
      </c>
      <c r="AG174">
        <f>MAX(0,AC174-MAX(0,SUMPRODUCT(($C$2:$N$2=AA174)*(AH174:AS174-$C$7:$N$7))))</f>
        <v/>
      </c>
      <c r="AH174">
        <f>IF(C173&lt;=0,0,ROUND(C173*(1+IF(AND(C$6&gt;0,$B174&lt;C$6),C$4,C$5)/12),2))</f>
        <v/>
      </c>
      <c r="AI174">
        <f>IF(D173&lt;=0,0,ROUND(D173*(1+IF(AND(D$6&gt;0,$B174&lt;D$6),D$4,D$5)/12),2))</f>
        <v/>
      </c>
      <c r="AJ174">
        <f>IF(E173&lt;=0,0,ROUND(E173*(1+IF(AND(E$6&gt;0,$B174&lt;E$6),E$4,E$5)/12),2))</f>
        <v/>
      </c>
      <c r="AK174">
        <f>IF(F173&lt;=0,0,ROUND(F173*(1+IF(AND(F$6&gt;0,$B174&lt;F$6),F$4,F$5)/12),2))</f>
        <v/>
      </c>
      <c r="AL174">
        <f>IF(G173&lt;=0,0,ROUND(G173*(1+IF(AND(G$6&gt;0,$B174&lt;G$6),G$4,G$5)/12),2))</f>
        <v/>
      </c>
      <c r="AM174">
        <f>IF(H173&lt;=0,0,ROUND(H173*(1+IF(AND(H$6&gt;0,$B174&lt;H$6),H$4,H$5)/12),2))</f>
        <v/>
      </c>
      <c r="AN174">
        <f>IF(I173&lt;=0,0,ROUND(I173*(1+IF(AND(I$6&gt;0,$B174&lt;I$6),I$4,I$5)/12),2))</f>
        <v/>
      </c>
      <c r="AO174">
        <f>IF(J173&lt;=0,0,ROUND(J173*(1+IF(AND(J$6&gt;0,$B174&lt;J$6),J$4,J$5)/12),2))</f>
        <v/>
      </c>
      <c r="AP174">
        <f>IF(K173&lt;=0,0,ROUND(K173*(1+IF(AND(K$6&gt;0,$B174&lt;K$6),K$4,K$5)/12),2))</f>
        <v/>
      </c>
      <c r="AQ174">
        <f>IF(L173&lt;=0,0,ROUND(L173*(1+IF(AND(L$6&gt;0,$B174&lt;L$6),L$4,L$5)/12),2))</f>
        <v/>
      </c>
      <c r="AR174">
        <f>IF(M173&lt;=0,0,ROUND(M173*(1+IF(AND(M$6&gt;0,$B174&lt;M$6),M$4,M$5)/12),2))</f>
        <v/>
      </c>
      <c r="AS174">
        <f>IF(N173&lt;=0,0,ROUND(N173*(1+IF(AND(N$6&gt;0,$B174&lt;N$6),N$4,N$5)/12),2))</f>
        <v/>
      </c>
    </row>
    <row r="175">
      <c r="A175" t="n">
        <v>164</v>
      </c>
      <c r="B175">
        <f>EDATE(Plan!$C$6,163)</f>
        <v/>
      </c>
      <c r="C175">
        <f>IF(C174&lt;=0,0,MAX(0,AH175-O175))</f>
        <v/>
      </c>
      <c r="D175">
        <f>IF(D174&lt;=0,0,MAX(0,AI175-P175))</f>
        <v/>
      </c>
      <c r="E175">
        <f>IF(E174&lt;=0,0,MAX(0,AJ175-Q175))</f>
        <v/>
      </c>
      <c r="F175">
        <f>IF(F174&lt;=0,0,MAX(0,AK175-R175))</f>
        <v/>
      </c>
      <c r="G175">
        <f>IF(G174&lt;=0,0,MAX(0,AL175-S175))</f>
        <v/>
      </c>
      <c r="H175">
        <f>IF(H174&lt;=0,0,MAX(0,AM175-T175))</f>
        <v/>
      </c>
      <c r="I175">
        <f>IF(I174&lt;=0,0,MAX(0,AN175-U175))</f>
        <v/>
      </c>
      <c r="J175">
        <f>IF(J174&lt;=0,0,MAX(0,AO175-V175))</f>
        <v/>
      </c>
      <c r="K175">
        <f>IF(K174&lt;=0,0,MAX(0,AP175-W175))</f>
        <v/>
      </c>
      <c r="L175">
        <f>IF(L174&lt;=0,0,MAX(0,AQ175-X175))</f>
        <v/>
      </c>
      <c r="M175">
        <f>IF(M174&lt;=0,0,MAX(0,AR175-Y175))</f>
        <v/>
      </c>
      <c r="N175">
        <f>IF(N174&lt;=0,0,MAX(0,AS175-Z175))</f>
        <v/>
      </c>
      <c r="O175">
        <f>IF(C174&lt;=0,0,MIN(AH175,C$7+IF(C$2=$AA175,$AC175,IF(C$2=$AF175,$AG175,0))))</f>
        <v/>
      </c>
      <c r="P175">
        <f>IF(D174&lt;=0,0,MIN(AI175,D$7+IF(D$2=$AA175,$AC175,IF(D$2=$AF175,$AG175,0))))</f>
        <v/>
      </c>
      <c r="Q175">
        <f>IF(E174&lt;=0,0,MIN(AJ175,E$7+IF(E$2=$AA175,$AC175,IF(E$2=$AF175,$AG175,0))))</f>
        <v/>
      </c>
      <c r="R175">
        <f>IF(F174&lt;=0,0,MIN(AK175,F$7+IF(F$2=$AA175,$AC175,IF(F$2=$AF175,$AG175,0))))</f>
        <v/>
      </c>
      <c r="S175">
        <f>IF(G174&lt;=0,0,MIN(AL175,G$7+IF(G$2=$AA175,$AC175,IF(G$2=$AF175,$AG175,0))))</f>
        <v/>
      </c>
      <c r="T175">
        <f>IF(H174&lt;=0,0,MIN(AM175,H$7+IF(H$2=$AA175,$AC175,IF(H$2=$AF175,$AG175,0))))</f>
        <v/>
      </c>
      <c r="U175">
        <f>IF(I174&lt;=0,0,MIN(AN175,I$7+IF(I$2=$AA175,$AC175,IF(I$2=$AF175,$AG175,0))))</f>
        <v/>
      </c>
      <c r="V175">
        <f>IF(J174&lt;=0,0,MIN(AO175,J$7+IF(J$2=$AA175,$AC175,IF(J$2=$AF175,$AG175,0))))</f>
        <v/>
      </c>
      <c r="W175">
        <f>IF(K174&lt;=0,0,MIN(AP175,K$7+IF(K$2=$AA175,$AC175,IF(K$2=$AF175,$AG175,0))))</f>
        <v/>
      </c>
      <c r="X175">
        <f>IF(L174&lt;=0,0,MIN(AQ175,L$7+IF(L$2=$AA175,$AC175,IF(L$2=$AF175,$AG175,0))))</f>
        <v/>
      </c>
      <c r="Y175">
        <f>IF(M174&lt;=0,0,MIN(AR175,M$7+IF(M$2=$AA175,$AC175,IF(M$2=$AF175,$AG175,0))))</f>
        <v/>
      </c>
      <c r="Z175">
        <f>IF(N174&lt;=0,0,MIN(AS175,N$7+IF(N$2=$AA175,$AC175,IF(N$2=$AF175,$AG175,0))))</f>
        <v/>
      </c>
      <c r="AA175">
        <f>IFERROR(ROUND(1/SUMPRODUCT(MAX((C174:N174&gt;0)*($C$3:$N$3&lt;=B175)/$C$2:$N$2)),0),0)</f>
        <v/>
      </c>
      <c r="AB175">
        <f>SUMPRODUCT((C174:N174&gt;0)*$C$7:$N$7)</f>
        <v/>
      </c>
      <c r="AC175">
        <f>MAX(0,Plan!$C$5-AB175)+IF(A175=Plan!$C$8,N(Plan!$C$7),0)</f>
        <v/>
      </c>
      <c r="AD175">
        <f>SUM(C175:N175)</f>
        <v/>
      </c>
      <c r="AE175">
        <f>SUM(O175:Z175)</f>
        <v/>
      </c>
      <c r="AF175">
        <f>IFERROR(ROUND(1/SUMPRODUCT(MAX((C174:N174&gt;0)*($C$3:$N$3&lt;=B175)*($C$2:$N$2&gt;AA175)/$C$2:$N$2)),0),0)</f>
        <v/>
      </c>
      <c r="AG175">
        <f>MAX(0,AC175-MAX(0,SUMPRODUCT(($C$2:$N$2=AA175)*(AH175:AS175-$C$7:$N$7))))</f>
        <v/>
      </c>
      <c r="AH175">
        <f>IF(C174&lt;=0,0,ROUND(C174*(1+IF(AND(C$6&gt;0,$B175&lt;C$6),C$4,C$5)/12),2))</f>
        <v/>
      </c>
      <c r="AI175">
        <f>IF(D174&lt;=0,0,ROUND(D174*(1+IF(AND(D$6&gt;0,$B175&lt;D$6),D$4,D$5)/12),2))</f>
        <v/>
      </c>
      <c r="AJ175">
        <f>IF(E174&lt;=0,0,ROUND(E174*(1+IF(AND(E$6&gt;0,$B175&lt;E$6),E$4,E$5)/12),2))</f>
        <v/>
      </c>
      <c r="AK175">
        <f>IF(F174&lt;=0,0,ROUND(F174*(1+IF(AND(F$6&gt;0,$B175&lt;F$6),F$4,F$5)/12),2))</f>
        <v/>
      </c>
      <c r="AL175">
        <f>IF(G174&lt;=0,0,ROUND(G174*(1+IF(AND(G$6&gt;0,$B175&lt;G$6),G$4,G$5)/12),2))</f>
        <v/>
      </c>
      <c r="AM175">
        <f>IF(H174&lt;=0,0,ROUND(H174*(1+IF(AND(H$6&gt;0,$B175&lt;H$6),H$4,H$5)/12),2))</f>
        <v/>
      </c>
      <c r="AN175">
        <f>IF(I174&lt;=0,0,ROUND(I174*(1+IF(AND(I$6&gt;0,$B175&lt;I$6),I$4,I$5)/12),2))</f>
        <v/>
      </c>
      <c r="AO175">
        <f>IF(J174&lt;=0,0,ROUND(J174*(1+IF(AND(J$6&gt;0,$B175&lt;J$6),J$4,J$5)/12),2))</f>
        <v/>
      </c>
      <c r="AP175">
        <f>IF(K174&lt;=0,0,ROUND(K174*(1+IF(AND(K$6&gt;0,$B175&lt;K$6),K$4,K$5)/12),2))</f>
        <v/>
      </c>
      <c r="AQ175">
        <f>IF(L174&lt;=0,0,ROUND(L174*(1+IF(AND(L$6&gt;0,$B175&lt;L$6),L$4,L$5)/12),2))</f>
        <v/>
      </c>
      <c r="AR175">
        <f>IF(M174&lt;=0,0,ROUND(M174*(1+IF(AND(M$6&gt;0,$B175&lt;M$6),M$4,M$5)/12),2))</f>
        <v/>
      </c>
      <c r="AS175">
        <f>IF(N174&lt;=0,0,ROUND(N174*(1+IF(AND(N$6&gt;0,$B175&lt;N$6),N$4,N$5)/12),2))</f>
        <v/>
      </c>
    </row>
    <row r="176">
      <c r="A176" t="n">
        <v>165</v>
      </c>
      <c r="B176">
        <f>EDATE(Plan!$C$6,164)</f>
        <v/>
      </c>
      <c r="C176">
        <f>IF(C175&lt;=0,0,MAX(0,AH176-O176))</f>
        <v/>
      </c>
      <c r="D176">
        <f>IF(D175&lt;=0,0,MAX(0,AI176-P176))</f>
        <v/>
      </c>
      <c r="E176">
        <f>IF(E175&lt;=0,0,MAX(0,AJ176-Q176))</f>
        <v/>
      </c>
      <c r="F176">
        <f>IF(F175&lt;=0,0,MAX(0,AK176-R176))</f>
        <v/>
      </c>
      <c r="G176">
        <f>IF(G175&lt;=0,0,MAX(0,AL176-S176))</f>
        <v/>
      </c>
      <c r="H176">
        <f>IF(H175&lt;=0,0,MAX(0,AM176-T176))</f>
        <v/>
      </c>
      <c r="I176">
        <f>IF(I175&lt;=0,0,MAX(0,AN176-U176))</f>
        <v/>
      </c>
      <c r="J176">
        <f>IF(J175&lt;=0,0,MAX(0,AO176-V176))</f>
        <v/>
      </c>
      <c r="K176">
        <f>IF(K175&lt;=0,0,MAX(0,AP176-W176))</f>
        <v/>
      </c>
      <c r="L176">
        <f>IF(L175&lt;=0,0,MAX(0,AQ176-X176))</f>
        <v/>
      </c>
      <c r="M176">
        <f>IF(M175&lt;=0,0,MAX(0,AR176-Y176))</f>
        <v/>
      </c>
      <c r="N176">
        <f>IF(N175&lt;=0,0,MAX(0,AS176-Z176))</f>
        <v/>
      </c>
      <c r="O176">
        <f>IF(C175&lt;=0,0,MIN(AH176,C$7+IF(C$2=$AA176,$AC176,IF(C$2=$AF176,$AG176,0))))</f>
        <v/>
      </c>
      <c r="P176">
        <f>IF(D175&lt;=0,0,MIN(AI176,D$7+IF(D$2=$AA176,$AC176,IF(D$2=$AF176,$AG176,0))))</f>
        <v/>
      </c>
      <c r="Q176">
        <f>IF(E175&lt;=0,0,MIN(AJ176,E$7+IF(E$2=$AA176,$AC176,IF(E$2=$AF176,$AG176,0))))</f>
        <v/>
      </c>
      <c r="R176">
        <f>IF(F175&lt;=0,0,MIN(AK176,F$7+IF(F$2=$AA176,$AC176,IF(F$2=$AF176,$AG176,0))))</f>
        <v/>
      </c>
      <c r="S176">
        <f>IF(G175&lt;=0,0,MIN(AL176,G$7+IF(G$2=$AA176,$AC176,IF(G$2=$AF176,$AG176,0))))</f>
        <v/>
      </c>
      <c r="T176">
        <f>IF(H175&lt;=0,0,MIN(AM176,H$7+IF(H$2=$AA176,$AC176,IF(H$2=$AF176,$AG176,0))))</f>
        <v/>
      </c>
      <c r="U176">
        <f>IF(I175&lt;=0,0,MIN(AN176,I$7+IF(I$2=$AA176,$AC176,IF(I$2=$AF176,$AG176,0))))</f>
        <v/>
      </c>
      <c r="V176">
        <f>IF(J175&lt;=0,0,MIN(AO176,J$7+IF(J$2=$AA176,$AC176,IF(J$2=$AF176,$AG176,0))))</f>
        <v/>
      </c>
      <c r="W176">
        <f>IF(K175&lt;=0,0,MIN(AP176,K$7+IF(K$2=$AA176,$AC176,IF(K$2=$AF176,$AG176,0))))</f>
        <v/>
      </c>
      <c r="X176">
        <f>IF(L175&lt;=0,0,MIN(AQ176,L$7+IF(L$2=$AA176,$AC176,IF(L$2=$AF176,$AG176,0))))</f>
        <v/>
      </c>
      <c r="Y176">
        <f>IF(M175&lt;=0,0,MIN(AR176,M$7+IF(M$2=$AA176,$AC176,IF(M$2=$AF176,$AG176,0))))</f>
        <v/>
      </c>
      <c r="Z176">
        <f>IF(N175&lt;=0,0,MIN(AS176,N$7+IF(N$2=$AA176,$AC176,IF(N$2=$AF176,$AG176,0))))</f>
        <v/>
      </c>
      <c r="AA176">
        <f>IFERROR(ROUND(1/SUMPRODUCT(MAX((C175:N175&gt;0)*($C$3:$N$3&lt;=B176)/$C$2:$N$2)),0),0)</f>
        <v/>
      </c>
      <c r="AB176">
        <f>SUMPRODUCT((C175:N175&gt;0)*$C$7:$N$7)</f>
        <v/>
      </c>
      <c r="AC176">
        <f>MAX(0,Plan!$C$5-AB176)+IF(A176=Plan!$C$8,N(Plan!$C$7),0)</f>
        <v/>
      </c>
      <c r="AD176">
        <f>SUM(C176:N176)</f>
        <v/>
      </c>
      <c r="AE176">
        <f>SUM(O176:Z176)</f>
        <v/>
      </c>
      <c r="AF176">
        <f>IFERROR(ROUND(1/SUMPRODUCT(MAX((C175:N175&gt;0)*($C$3:$N$3&lt;=B176)*($C$2:$N$2&gt;AA176)/$C$2:$N$2)),0),0)</f>
        <v/>
      </c>
      <c r="AG176">
        <f>MAX(0,AC176-MAX(0,SUMPRODUCT(($C$2:$N$2=AA176)*(AH176:AS176-$C$7:$N$7))))</f>
        <v/>
      </c>
      <c r="AH176">
        <f>IF(C175&lt;=0,0,ROUND(C175*(1+IF(AND(C$6&gt;0,$B176&lt;C$6),C$4,C$5)/12),2))</f>
        <v/>
      </c>
      <c r="AI176">
        <f>IF(D175&lt;=0,0,ROUND(D175*(1+IF(AND(D$6&gt;0,$B176&lt;D$6),D$4,D$5)/12),2))</f>
        <v/>
      </c>
      <c r="AJ176">
        <f>IF(E175&lt;=0,0,ROUND(E175*(1+IF(AND(E$6&gt;0,$B176&lt;E$6),E$4,E$5)/12),2))</f>
        <v/>
      </c>
      <c r="AK176">
        <f>IF(F175&lt;=0,0,ROUND(F175*(1+IF(AND(F$6&gt;0,$B176&lt;F$6),F$4,F$5)/12),2))</f>
        <v/>
      </c>
      <c r="AL176">
        <f>IF(G175&lt;=0,0,ROUND(G175*(1+IF(AND(G$6&gt;0,$B176&lt;G$6),G$4,G$5)/12),2))</f>
        <v/>
      </c>
      <c r="AM176">
        <f>IF(H175&lt;=0,0,ROUND(H175*(1+IF(AND(H$6&gt;0,$B176&lt;H$6),H$4,H$5)/12),2))</f>
        <v/>
      </c>
      <c r="AN176">
        <f>IF(I175&lt;=0,0,ROUND(I175*(1+IF(AND(I$6&gt;0,$B176&lt;I$6),I$4,I$5)/12),2))</f>
        <v/>
      </c>
      <c r="AO176">
        <f>IF(J175&lt;=0,0,ROUND(J175*(1+IF(AND(J$6&gt;0,$B176&lt;J$6),J$4,J$5)/12),2))</f>
        <v/>
      </c>
      <c r="AP176">
        <f>IF(K175&lt;=0,0,ROUND(K175*(1+IF(AND(K$6&gt;0,$B176&lt;K$6),K$4,K$5)/12),2))</f>
        <v/>
      </c>
      <c r="AQ176">
        <f>IF(L175&lt;=0,0,ROUND(L175*(1+IF(AND(L$6&gt;0,$B176&lt;L$6),L$4,L$5)/12),2))</f>
        <v/>
      </c>
      <c r="AR176">
        <f>IF(M175&lt;=0,0,ROUND(M175*(1+IF(AND(M$6&gt;0,$B176&lt;M$6),M$4,M$5)/12),2))</f>
        <v/>
      </c>
      <c r="AS176">
        <f>IF(N175&lt;=0,0,ROUND(N175*(1+IF(AND(N$6&gt;0,$B176&lt;N$6),N$4,N$5)/12),2))</f>
        <v/>
      </c>
    </row>
    <row r="177">
      <c r="A177" t="n">
        <v>166</v>
      </c>
      <c r="B177">
        <f>EDATE(Plan!$C$6,165)</f>
        <v/>
      </c>
      <c r="C177">
        <f>IF(C176&lt;=0,0,MAX(0,AH177-O177))</f>
        <v/>
      </c>
      <c r="D177">
        <f>IF(D176&lt;=0,0,MAX(0,AI177-P177))</f>
        <v/>
      </c>
      <c r="E177">
        <f>IF(E176&lt;=0,0,MAX(0,AJ177-Q177))</f>
        <v/>
      </c>
      <c r="F177">
        <f>IF(F176&lt;=0,0,MAX(0,AK177-R177))</f>
        <v/>
      </c>
      <c r="G177">
        <f>IF(G176&lt;=0,0,MAX(0,AL177-S177))</f>
        <v/>
      </c>
      <c r="H177">
        <f>IF(H176&lt;=0,0,MAX(0,AM177-T177))</f>
        <v/>
      </c>
      <c r="I177">
        <f>IF(I176&lt;=0,0,MAX(0,AN177-U177))</f>
        <v/>
      </c>
      <c r="J177">
        <f>IF(J176&lt;=0,0,MAX(0,AO177-V177))</f>
        <v/>
      </c>
      <c r="K177">
        <f>IF(K176&lt;=0,0,MAX(0,AP177-W177))</f>
        <v/>
      </c>
      <c r="L177">
        <f>IF(L176&lt;=0,0,MAX(0,AQ177-X177))</f>
        <v/>
      </c>
      <c r="M177">
        <f>IF(M176&lt;=0,0,MAX(0,AR177-Y177))</f>
        <v/>
      </c>
      <c r="N177">
        <f>IF(N176&lt;=0,0,MAX(0,AS177-Z177))</f>
        <v/>
      </c>
      <c r="O177">
        <f>IF(C176&lt;=0,0,MIN(AH177,C$7+IF(C$2=$AA177,$AC177,IF(C$2=$AF177,$AG177,0))))</f>
        <v/>
      </c>
      <c r="P177">
        <f>IF(D176&lt;=0,0,MIN(AI177,D$7+IF(D$2=$AA177,$AC177,IF(D$2=$AF177,$AG177,0))))</f>
        <v/>
      </c>
      <c r="Q177">
        <f>IF(E176&lt;=0,0,MIN(AJ177,E$7+IF(E$2=$AA177,$AC177,IF(E$2=$AF177,$AG177,0))))</f>
        <v/>
      </c>
      <c r="R177">
        <f>IF(F176&lt;=0,0,MIN(AK177,F$7+IF(F$2=$AA177,$AC177,IF(F$2=$AF177,$AG177,0))))</f>
        <v/>
      </c>
      <c r="S177">
        <f>IF(G176&lt;=0,0,MIN(AL177,G$7+IF(G$2=$AA177,$AC177,IF(G$2=$AF177,$AG177,0))))</f>
        <v/>
      </c>
      <c r="T177">
        <f>IF(H176&lt;=0,0,MIN(AM177,H$7+IF(H$2=$AA177,$AC177,IF(H$2=$AF177,$AG177,0))))</f>
        <v/>
      </c>
      <c r="U177">
        <f>IF(I176&lt;=0,0,MIN(AN177,I$7+IF(I$2=$AA177,$AC177,IF(I$2=$AF177,$AG177,0))))</f>
        <v/>
      </c>
      <c r="V177">
        <f>IF(J176&lt;=0,0,MIN(AO177,J$7+IF(J$2=$AA177,$AC177,IF(J$2=$AF177,$AG177,0))))</f>
        <v/>
      </c>
      <c r="W177">
        <f>IF(K176&lt;=0,0,MIN(AP177,K$7+IF(K$2=$AA177,$AC177,IF(K$2=$AF177,$AG177,0))))</f>
        <v/>
      </c>
      <c r="X177">
        <f>IF(L176&lt;=0,0,MIN(AQ177,L$7+IF(L$2=$AA177,$AC177,IF(L$2=$AF177,$AG177,0))))</f>
        <v/>
      </c>
      <c r="Y177">
        <f>IF(M176&lt;=0,0,MIN(AR177,M$7+IF(M$2=$AA177,$AC177,IF(M$2=$AF177,$AG177,0))))</f>
        <v/>
      </c>
      <c r="Z177">
        <f>IF(N176&lt;=0,0,MIN(AS177,N$7+IF(N$2=$AA177,$AC177,IF(N$2=$AF177,$AG177,0))))</f>
        <v/>
      </c>
      <c r="AA177">
        <f>IFERROR(ROUND(1/SUMPRODUCT(MAX((C176:N176&gt;0)*($C$3:$N$3&lt;=B177)/$C$2:$N$2)),0),0)</f>
        <v/>
      </c>
      <c r="AB177">
        <f>SUMPRODUCT((C176:N176&gt;0)*$C$7:$N$7)</f>
        <v/>
      </c>
      <c r="AC177">
        <f>MAX(0,Plan!$C$5-AB177)+IF(A177=Plan!$C$8,N(Plan!$C$7),0)</f>
        <v/>
      </c>
      <c r="AD177">
        <f>SUM(C177:N177)</f>
        <v/>
      </c>
      <c r="AE177">
        <f>SUM(O177:Z177)</f>
        <v/>
      </c>
      <c r="AF177">
        <f>IFERROR(ROUND(1/SUMPRODUCT(MAX((C176:N176&gt;0)*($C$3:$N$3&lt;=B177)*($C$2:$N$2&gt;AA177)/$C$2:$N$2)),0),0)</f>
        <v/>
      </c>
      <c r="AG177">
        <f>MAX(0,AC177-MAX(0,SUMPRODUCT(($C$2:$N$2=AA177)*(AH177:AS177-$C$7:$N$7))))</f>
        <v/>
      </c>
      <c r="AH177">
        <f>IF(C176&lt;=0,0,ROUND(C176*(1+IF(AND(C$6&gt;0,$B177&lt;C$6),C$4,C$5)/12),2))</f>
        <v/>
      </c>
      <c r="AI177">
        <f>IF(D176&lt;=0,0,ROUND(D176*(1+IF(AND(D$6&gt;0,$B177&lt;D$6),D$4,D$5)/12),2))</f>
        <v/>
      </c>
      <c r="AJ177">
        <f>IF(E176&lt;=0,0,ROUND(E176*(1+IF(AND(E$6&gt;0,$B177&lt;E$6),E$4,E$5)/12),2))</f>
        <v/>
      </c>
      <c r="AK177">
        <f>IF(F176&lt;=0,0,ROUND(F176*(1+IF(AND(F$6&gt;0,$B177&lt;F$6),F$4,F$5)/12),2))</f>
        <v/>
      </c>
      <c r="AL177">
        <f>IF(G176&lt;=0,0,ROUND(G176*(1+IF(AND(G$6&gt;0,$B177&lt;G$6),G$4,G$5)/12),2))</f>
        <v/>
      </c>
      <c r="AM177">
        <f>IF(H176&lt;=0,0,ROUND(H176*(1+IF(AND(H$6&gt;0,$B177&lt;H$6),H$4,H$5)/12),2))</f>
        <v/>
      </c>
      <c r="AN177">
        <f>IF(I176&lt;=0,0,ROUND(I176*(1+IF(AND(I$6&gt;0,$B177&lt;I$6),I$4,I$5)/12),2))</f>
        <v/>
      </c>
      <c r="AO177">
        <f>IF(J176&lt;=0,0,ROUND(J176*(1+IF(AND(J$6&gt;0,$B177&lt;J$6),J$4,J$5)/12),2))</f>
        <v/>
      </c>
      <c r="AP177">
        <f>IF(K176&lt;=0,0,ROUND(K176*(1+IF(AND(K$6&gt;0,$B177&lt;K$6),K$4,K$5)/12),2))</f>
        <v/>
      </c>
      <c r="AQ177">
        <f>IF(L176&lt;=0,0,ROUND(L176*(1+IF(AND(L$6&gt;0,$B177&lt;L$6),L$4,L$5)/12),2))</f>
        <v/>
      </c>
      <c r="AR177">
        <f>IF(M176&lt;=0,0,ROUND(M176*(1+IF(AND(M$6&gt;0,$B177&lt;M$6),M$4,M$5)/12),2))</f>
        <v/>
      </c>
      <c r="AS177">
        <f>IF(N176&lt;=0,0,ROUND(N176*(1+IF(AND(N$6&gt;0,$B177&lt;N$6),N$4,N$5)/12),2))</f>
        <v/>
      </c>
    </row>
    <row r="178">
      <c r="A178" t="n">
        <v>167</v>
      </c>
      <c r="B178">
        <f>EDATE(Plan!$C$6,166)</f>
        <v/>
      </c>
      <c r="C178">
        <f>IF(C177&lt;=0,0,MAX(0,AH178-O178))</f>
        <v/>
      </c>
      <c r="D178">
        <f>IF(D177&lt;=0,0,MAX(0,AI178-P178))</f>
        <v/>
      </c>
      <c r="E178">
        <f>IF(E177&lt;=0,0,MAX(0,AJ178-Q178))</f>
        <v/>
      </c>
      <c r="F178">
        <f>IF(F177&lt;=0,0,MAX(0,AK178-R178))</f>
        <v/>
      </c>
      <c r="G178">
        <f>IF(G177&lt;=0,0,MAX(0,AL178-S178))</f>
        <v/>
      </c>
      <c r="H178">
        <f>IF(H177&lt;=0,0,MAX(0,AM178-T178))</f>
        <v/>
      </c>
      <c r="I178">
        <f>IF(I177&lt;=0,0,MAX(0,AN178-U178))</f>
        <v/>
      </c>
      <c r="J178">
        <f>IF(J177&lt;=0,0,MAX(0,AO178-V178))</f>
        <v/>
      </c>
      <c r="K178">
        <f>IF(K177&lt;=0,0,MAX(0,AP178-W178))</f>
        <v/>
      </c>
      <c r="L178">
        <f>IF(L177&lt;=0,0,MAX(0,AQ178-X178))</f>
        <v/>
      </c>
      <c r="M178">
        <f>IF(M177&lt;=0,0,MAX(0,AR178-Y178))</f>
        <v/>
      </c>
      <c r="N178">
        <f>IF(N177&lt;=0,0,MAX(0,AS178-Z178))</f>
        <v/>
      </c>
      <c r="O178">
        <f>IF(C177&lt;=0,0,MIN(AH178,C$7+IF(C$2=$AA178,$AC178,IF(C$2=$AF178,$AG178,0))))</f>
        <v/>
      </c>
      <c r="P178">
        <f>IF(D177&lt;=0,0,MIN(AI178,D$7+IF(D$2=$AA178,$AC178,IF(D$2=$AF178,$AG178,0))))</f>
        <v/>
      </c>
      <c r="Q178">
        <f>IF(E177&lt;=0,0,MIN(AJ178,E$7+IF(E$2=$AA178,$AC178,IF(E$2=$AF178,$AG178,0))))</f>
        <v/>
      </c>
      <c r="R178">
        <f>IF(F177&lt;=0,0,MIN(AK178,F$7+IF(F$2=$AA178,$AC178,IF(F$2=$AF178,$AG178,0))))</f>
        <v/>
      </c>
      <c r="S178">
        <f>IF(G177&lt;=0,0,MIN(AL178,G$7+IF(G$2=$AA178,$AC178,IF(G$2=$AF178,$AG178,0))))</f>
        <v/>
      </c>
      <c r="T178">
        <f>IF(H177&lt;=0,0,MIN(AM178,H$7+IF(H$2=$AA178,$AC178,IF(H$2=$AF178,$AG178,0))))</f>
        <v/>
      </c>
      <c r="U178">
        <f>IF(I177&lt;=0,0,MIN(AN178,I$7+IF(I$2=$AA178,$AC178,IF(I$2=$AF178,$AG178,0))))</f>
        <v/>
      </c>
      <c r="V178">
        <f>IF(J177&lt;=0,0,MIN(AO178,J$7+IF(J$2=$AA178,$AC178,IF(J$2=$AF178,$AG178,0))))</f>
        <v/>
      </c>
      <c r="W178">
        <f>IF(K177&lt;=0,0,MIN(AP178,K$7+IF(K$2=$AA178,$AC178,IF(K$2=$AF178,$AG178,0))))</f>
        <v/>
      </c>
      <c r="X178">
        <f>IF(L177&lt;=0,0,MIN(AQ178,L$7+IF(L$2=$AA178,$AC178,IF(L$2=$AF178,$AG178,0))))</f>
        <v/>
      </c>
      <c r="Y178">
        <f>IF(M177&lt;=0,0,MIN(AR178,M$7+IF(M$2=$AA178,$AC178,IF(M$2=$AF178,$AG178,0))))</f>
        <v/>
      </c>
      <c r="Z178">
        <f>IF(N177&lt;=0,0,MIN(AS178,N$7+IF(N$2=$AA178,$AC178,IF(N$2=$AF178,$AG178,0))))</f>
        <v/>
      </c>
      <c r="AA178">
        <f>IFERROR(ROUND(1/SUMPRODUCT(MAX((C177:N177&gt;0)*($C$3:$N$3&lt;=B178)/$C$2:$N$2)),0),0)</f>
        <v/>
      </c>
      <c r="AB178">
        <f>SUMPRODUCT((C177:N177&gt;0)*$C$7:$N$7)</f>
        <v/>
      </c>
      <c r="AC178">
        <f>MAX(0,Plan!$C$5-AB178)+IF(A178=Plan!$C$8,N(Plan!$C$7),0)</f>
        <v/>
      </c>
      <c r="AD178">
        <f>SUM(C178:N178)</f>
        <v/>
      </c>
      <c r="AE178">
        <f>SUM(O178:Z178)</f>
        <v/>
      </c>
      <c r="AF178">
        <f>IFERROR(ROUND(1/SUMPRODUCT(MAX((C177:N177&gt;0)*($C$3:$N$3&lt;=B178)*($C$2:$N$2&gt;AA178)/$C$2:$N$2)),0),0)</f>
        <v/>
      </c>
      <c r="AG178">
        <f>MAX(0,AC178-MAX(0,SUMPRODUCT(($C$2:$N$2=AA178)*(AH178:AS178-$C$7:$N$7))))</f>
        <v/>
      </c>
      <c r="AH178">
        <f>IF(C177&lt;=0,0,ROUND(C177*(1+IF(AND(C$6&gt;0,$B178&lt;C$6),C$4,C$5)/12),2))</f>
        <v/>
      </c>
      <c r="AI178">
        <f>IF(D177&lt;=0,0,ROUND(D177*(1+IF(AND(D$6&gt;0,$B178&lt;D$6),D$4,D$5)/12),2))</f>
        <v/>
      </c>
      <c r="AJ178">
        <f>IF(E177&lt;=0,0,ROUND(E177*(1+IF(AND(E$6&gt;0,$B178&lt;E$6),E$4,E$5)/12),2))</f>
        <v/>
      </c>
      <c r="AK178">
        <f>IF(F177&lt;=0,0,ROUND(F177*(1+IF(AND(F$6&gt;0,$B178&lt;F$6),F$4,F$5)/12),2))</f>
        <v/>
      </c>
      <c r="AL178">
        <f>IF(G177&lt;=0,0,ROUND(G177*(1+IF(AND(G$6&gt;0,$B178&lt;G$6),G$4,G$5)/12),2))</f>
        <v/>
      </c>
      <c r="AM178">
        <f>IF(H177&lt;=0,0,ROUND(H177*(1+IF(AND(H$6&gt;0,$B178&lt;H$6),H$4,H$5)/12),2))</f>
        <v/>
      </c>
      <c r="AN178">
        <f>IF(I177&lt;=0,0,ROUND(I177*(1+IF(AND(I$6&gt;0,$B178&lt;I$6),I$4,I$5)/12),2))</f>
        <v/>
      </c>
      <c r="AO178">
        <f>IF(J177&lt;=0,0,ROUND(J177*(1+IF(AND(J$6&gt;0,$B178&lt;J$6),J$4,J$5)/12),2))</f>
        <v/>
      </c>
      <c r="AP178">
        <f>IF(K177&lt;=0,0,ROUND(K177*(1+IF(AND(K$6&gt;0,$B178&lt;K$6),K$4,K$5)/12),2))</f>
        <v/>
      </c>
      <c r="AQ178">
        <f>IF(L177&lt;=0,0,ROUND(L177*(1+IF(AND(L$6&gt;0,$B178&lt;L$6),L$4,L$5)/12),2))</f>
        <v/>
      </c>
      <c r="AR178">
        <f>IF(M177&lt;=0,0,ROUND(M177*(1+IF(AND(M$6&gt;0,$B178&lt;M$6),M$4,M$5)/12),2))</f>
        <v/>
      </c>
      <c r="AS178">
        <f>IF(N177&lt;=0,0,ROUND(N177*(1+IF(AND(N$6&gt;0,$B178&lt;N$6),N$4,N$5)/12),2))</f>
        <v/>
      </c>
    </row>
    <row r="179">
      <c r="A179" t="n">
        <v>168</v>
      </c>
      <c r="B179">
        <f>EDATE(Plan!$C$6,167)</f>
        <v/>
      </c>
      <c r="C179">
        <f>IF(C178&lt;=0,0,MAX(0,AH179-O179))</f>
        <v/>
      </c>
      <c r="D179">
        <f>IF(D178&lt;=0,0,MAX(0,AI179-P179))</f>
        <v/>
      </c>
      <c r="E179">
        <f>IF(E178&lt;=0,0,MAX(0,AJ179-Q179))</f>
        <v/>
      </c>
      <c r="F179">
        <f>IF(F178&lt;=0,0,MAX(0,AK179-R179))</f>
        <v/>
      </c>
      <c r="G179">
        <f>IF(G178&lt;=0,0,MAX(0,AL179-S179))</f>
        <v/>
      </c>
      <c r="H179">
        <f>IF(H178&lt;=0,0,MAX(0,AM179-T179))</f>
        <v/>
      </c>
      <c r="I179">
        <f>IF(I178&lt;=0,0,MAX(0,AN179-U179))</f>
        <v/>
      </c>
      <c r="J179">
        <f>IF(J178&lt;=0,0,MAX(0,AO179-V179))</f>
        <v/>
      </c>
      <c r="K179">
        <f>IF(K178&lt;=0,0,MAX(0,AP179-W179))</f>
        <v/>
      </c>
      <c r="L179">
        <f>IF(L178&lt;=0,0,MAX(0,AQ179-X179))</f>
        <v/>
      </c>
      <c r="M179">
        <f>IF(M178&lt;=0,0,MAX(0,AR179-Y179))</f>
        <v/>
      </c>
      <c r="N179">
        <f>IF(N178&lt;=0,0,MAX(0,AS179-Z179))</f>
        <v/>
      </c>
      <c r="O179">
        <f>IF(C178&lt;=0,0,MIN(AH179,C$7+IF(C$2=$AA179,$AC179,IF(C$2=$AF179,$AG179,0))))</f>
        <v/>
      </c>
      <c r="P179">
        <f>IF(D178&lt;=0,0,MIN(AI179,D$7+IF(D$2=$AA179,$AC179,IF(D$2=$AF179,$AG179,0))))</f>
        <v/>
      </c>
      <c r="Q179">
        <f>IF(E178&lt;=0,0,MIN(AJ179,E$7+IF(E$2=$AA179,$AC179,IF(E$2=$AF179,$AG179,0))))</f>
        <v/>
      </c>
      <c r="R179">
        <f>IF(F178&lt;=0,0,MIN(AK179,F$7+IF(F$2=$AA179,$AC179,IF(F$2=$AF179,$AG179,0))))</f>
        <v/>
      </c>
      <c r="S179">
        <f>IF(G178&lt;=0,0,MIN(AL179,G$7+IF(G$2=$AA179,$AC179,IF(G$2=$AF179,$AG179,0))))</f>
        <v/>
      </c>
      <c r="T179">
        <f>IF(H178&lt;=0,0,MIN(AM179,H$7+IF(H$2=$AA179,$AC179,IF(H$2=$AF179,$AG179,0))))</f>
        <v/>
      </c>
      <c r="U179">
        <f>IF(I178&lt;=0,0,MIN(AN179,I$7+IF(I$2=$AA179,$AC179,IF(I$2=$AF179,$AG179,0))))</f>
        <v/>
      </c>
      <c r="V179">
        <f>IF(J178&lt;=0,0,MIN(AO179,J$7+IF(J$2=$AA179,$AC179,IF(J$2=$AF179,$AG179,0))))</f>
        <v/>
      </c>
      <c r="W179">
        <f>IF(K178&lt;=0,0,MIN(AP179,K$7+IF(K$2=$AA179,$AC179,IF(K$2=$AF179,$AG179,0))))</f>
        <v/>
      </c>
      <c r="X179">
        <f>IF(L178&lt;=0,0,MIN(AQ179,L$7+IF(L$2=$AA179,$AC179,IF(L$2=$AF179,$AG179,0))))</f>
        <v/>
      </c>
      <c r="Y179">
        <f>IF(M178&lt;=0,0,MIN(AR179,M$7+IF(M$2=$AA179,$AC179,IF(M$2=$AF179,$AG179,0))))</f>
        <v/>
      </c>
      <c r="Z179">
        <f>IF(N178&lt;=0,0,MIN(AS179,N$7+IF(N$2=$AA179,$AC179,IF(N$2=$AF179,$AG179,0))))</f>
        <v/>
      </c>
      <c r="AA179">
        <f>IFERROR(ROUND(1/SUMPRODUCT(MAX((C178:N178&gt;0)*($C$3:$N$3&lt;=B179)/$C$2:$N$2)),0),0)</f>
        <v/>
      </c>
      <c r="AB179">
        <f>SUMPRODUCT((C178:N178&gt;0)*$C$7:$N$7)</f>
        <v/>
      </c>
      <c r="AC179">
        <f>MAX(0,Plan!$C$5-AB179)+IF(A179=Plan!$C$8,N(Plan!$C$7),0)</f>
        <v/>
      </c>
      <c r="AD179">
        <f>SUM(C179:N179)</f>
        <v/>
      </c>
      <c r="AE179">
        <f>SUM(O179:Z179)</f>
        <v/>
      </c>
      <c r="AF179">
        <f>IFERROR(ROUND(1/SUMPRODUCT(MAX((C178:N178&gt;0)*($C$3:$N$3&lt;=B179)*($C$2:$N$2&gt;AA179)/$C$2:$N$2)),0),0)</f>
        <v/>
      </c>
      <c r="AG179">
        <f>MAX(0,AC179-MAX(0,SUMPRODUCT(($C$2:$N$2=AA179)*(AH179:AS179-$C$7:$N$7))))</f>
        <v/>
      </c>
      <c r="AH179">
        <f>IF(C178&lt;=0,0,ROUND(C178*(1+IF(AND(C$6&gt;0,$B179&lt;C$6),C$4,C$5)/12),2))</f>
        <v/>
      </c>
      <c r="AI179">
        <f>IF(D178&lt;=0,0,ROUND(D178*(1+IF(AND(D$6&gt;0,$B179&lt;D$6),D$4,D$5)/12),2))</f>
        <v/>
      </c>
      <c r="AJ179">
        <f>IF(E178&lt;=0,0,ROUND(E178*(1+IF(AND(E$6&gt;0,$B179&lt;E$6),E$4,E$5)/12),2))</f>
        <v/>
      </c>
      <c r="AK179">
        <f>IF(F178&lt;=0,0,ROUND(F178*(1+IF(AND(F$6&gt;0,$B179&lt;F$6),F$4,F$5)/12),2))</f>
        <v/>
      </c>
      <c r="AL179">
        <f>IF(G178&lt;=0,0,ROUND(G178*(1+IF(AND(G$6&gt;0,$B179&lt;G$6),G$4,G$5)/12),2))</f>
        <v/>
      </c>
      <c r="AM179">
        <f>IF(H178&lt;=0,0,ROUND(H178*(1+IF(AND(H$6&gt;0,$B179&lt;H$6),H$4,H$5)/12),2))</f>
        <v/>
      </c>
      <c r="AN179">
        <f>IF(I178&lt;=0,0,ROUND(I178*(1+IF(AND(I$6&gt;0,$B179&lt;I$6),I$4,I$5)/12),2))</f>
        <v/>
      </c>
      <c r="AO179">
        <f>IF(J178&lt;=0,0,ROUND(J178*(1+IF(AND(J$6&gt;0,$B179&lt;J$6),J$4,J$5)/12),2))</f>
        <v/>
      </c>
      <c r="AP179">
        <f>IF(K178&lt;=0,0,ROUND(K178*(1+IF(AND(K$6&gt;0,$B179&lt;K$6),K$4,K$5)/12),2))</f>
        <v/>
      </c>
      <c r="AQ179">
        <f>IF(L178&lt;=0,0,ROUND(L178*(1+IF(AND(L$6&gt;0,$B179&lt;L$6),L$4,L$5)/12),2))</f>
        <v/>
      </c>
      <c r="AR179">
        <f>IF(M178&lt;=0,0,ROUND(M178*(1+IF(AND(M$6&gt;0,$B179&lt;M$6),M$4,M$5)/12),2))</f>
        <v/>
      </c>
      <c r="AS179">
        <f>IF(N178&lt;=0,0,ROUND(N178*(1+IF(AND(N$6&gt;0,$B179&lt;N$6),N$4,N$5)/12),2))</f>
        <v/>
      </c>
    </row>
    <row r="180">
      <c r="A180" t="n">
        <v>169</v>
      </c>
      <c r="B180">
        <f>EDATE(Plan!$C$6,168)</f>
        <v/>
      </c>
      <c r="C180">
        <f>IF(C179&lt;=0,0,MAX(0,AH180-O180))</f>
        <v/>
      </c>
      <c r="D180">
        <f>IF(D179&lt;=0,0,MAX(0,AI180-P180))</f>
        <v/>
      </c>
      <c r="E180">
        <f>IF(E179&lt;=0,0,MAX(0,AJ180-Q180))</f>
        <v/>
      </c>
      <c r="F180">
        <f>IF(F179&lt;=0,0,MAX(0,AK180-R180))</f>
        <v/>
      </c>
      <c r="G180">
        <f>IF(G179&lt;=0,0,MAX(0,AL180-S180))</f>
        <v/>
      </c>
      <c r="H180">
        <f>IF(H179&lt;=0,0,MAX(0,AM180-T180))</f>
        <v/>
      </c>
      <c r="I180">
        <f>IF(I179&lt;=0,0,MAX(0,AN180-U180))</f>
        <v/>
      </c>
      <c r="J180">
        <f>IF(J179&lt;=0,0,MAX(0,AO180-V180))</f>
        <v/>
      </c>
      <c r="K180">
        <f>IF(K179&lt;=0,0,MAX(0,AP180-W180))</f>
        <v/>
      </c>
      <c r="L180">
        <f>IF(L179&lt;=0,0,MAX(0,AQ180-X180))</f>
        <v/>
      </c>
      <c r="M180">
        <f>IF(M179&lt;=0,0,MAX(0,AR180-Y180))</f>
        <v/>
      </c>
      <c r="N180">
        <f>IF(N179&lt;=0,0,MAX(0,AS180-Z180))</f>
        <v/>
      </c>
      <c r="O180">
        <f>IF(C179&lt;=0,0,MIN(AH180,C$7+IF(C$2=$AA180,$AC180,IF(C$2=$AF180,$AG180,0))))</f>
        <v/>
      </c>
      <c r="P180">
        <f>IF(D179&lt;=0,0,MIN(AI180,D$7+IF(D$2=$AA180,$AC180,IF(D$2=$AF180,$AG180,0))))</f>
        <v/>
      </c>
      <c r="Q180">
        <f>IF(E179&lt;=0,0,MIN(AJ180,E$7+IF(E$2=$AA180,$AC180,IF(E$2=$AF180,$AG180,0))))</f>
        <v/>
      </c>
      <c r="R180">
        <f>IF(F179&lt;=0,0,MIN(AK180,F$7+IF(F$2=$AA180,$AC180,IF(F$2=$AF180,$AG180,0))))</f>
        <v/>
      </c>
      <c r="S180">
        <f>IF(G179&lt;=0,0,MIN(AL180,G$7+IF(G$2=$AA180,$AC180,IF(G$2=$AF180,$AG180,0))))</f>
        <v/>
      </c>
      <c r="T180">
        <f>IF(H179&lt;=0,0,MIN(AM180,H$7+IF(H$2=$AA180,$AC180,IF(H$2=$AF180,$AG180,0))))</f>
        <v/>
      </c>
      <c r="U180">
        <f>IF(I179&lt;=0,0,MIN(AN180,I$7+IF(I$2=$AA180,$AC180,IF(I$2=$AF180,$AG180,0))))</f>
        <v/>
      </c>
      <c r="V180">
        <f>IF(J179&lt;=0,0,MIN(AO180,J$7+IF(J$2=$AA180,$AC180,IF(J$2=$AF180,$AG180,0))))</f>
        <v/>
      </c>
      <c r="W180">
        <f>IF(K179&lt;=0,0,MIN(AP180,K$7+IF(K$2=$AA180,$AC180,IF(K$2=$AF180,$AG180,0))))</f>
        <v/>
      </c>
      <c r="X180">
        <f>IF(L179&lt;=0,0,MIN(AQ180,L$7+IF(L$2=$AA180,$AC180,IF(L$2=$AF180,$AG180,0))))</f>
        <v/>
      </c>
      <c r="Y180">
        <f>IF(M179&lt;=0,0,MIN(AR180,M$7+IF(M$2=$AA180,$AC180,IF(M$2=$AF180,$AG180,0))))</f>
        <v/>
      </c>
      <c r="Z180">
        <f>IF(N179&lt;=0,0,MIN(AS180,N$7+IF(N$2=$AA180,$AC180,IF(N$2=$AF180,$AG180,0))))</f>
        <v/>
      </c>
      <c r="AA180">
        <f>IFERROR(ROUND(1/SUMPRODUCT(MAX((C179:N179&gt;0)*($C$3:$N$3&lt;=B180)/$C$2:$N$2)),0),0)</f>
        <v/>
      </c>
      <c r="AB180">
        <f>SUMPRODUCT((C179:N179&gt;0)*$C$7:$N$7)</f>
        <v/>
      </c>
      <c r="AC180">
        <f>MAX(0,Plan!$C$5-AB180)+IF(A180=Plan!$C$8,N(Plan!$C$7),0)</f>
        <v/>
      </c>
      <c r="AD180">
        <f>SUM(C180:N180)</f>
        <v/>
      </c>
      <c r="AE180">
        <f>SUM(O180:Z180)</f>
        <v/>
      </c>
      <c r="AF180">
        <f>IFERROR(ROUND(1/SUMPRODUCT(MAX((C179:N179&gt;0)*($C$3:$N$3&lt;=B180)*($C$2:$N$2&gt;AA180)/$C$2:$N$2)),0),0)</f>
        <v/>
      </c>
      <c r="AG180">
        <f>MAX(0,AC180-MAX(0,SUMPRODUCT(($C$2:$N$2=AA180)*(AH180:AS180-$C$7:$N$7))))</f>
        <v/>
      </c>
      <c r="AH180">
        <f>IF(C179&lt;=0,0,ROUND(C179*(1+IF(AND(C$6&gt;0,$B180&lt;C$6),C$4,C$5)/12),2))</f>
        <v/>
      </c>
      <c r="AI180">
        <f>IF(D179&lt;=0,0,ROUND(D179*(1+IF(AND(D$6&gt;0,$B180&lt;D$6),D$4,D$5)/12),2))</f>
        <v/>
      </c>
      <c r="AJ180">
        <f>IF(E179&lt;=0,0,ROUND(E179*(1+IF(AND(E$6&gt;0,$B180&lt;E$6),E$4,E$5)/12),2))</f>
        <v/>
      </c>
      <c r="AK180">
        <f>IF(F179&lt;=0,0,ROUND(F179*(1+IF(AND(F$6&gt;0,$B180&lt;F$6),F$4,F$5)/12),2))</f>
        <v/>
      </c>
      <c r="AL180">
        <f>IF(G179&lt;=0,0,ROUND(G179*(1+IF(AND(G$6&gt;0,$B180&lt;G$6),G$4,G$5)/12),2))</f>
        <v/>
      </c>
      <c r="AM180">
        <f>IF(H179&lt;=0,0,ROUND(H179*(1+IF(AND(H$6&gt;0,$B180&lt;H$6),H$4,H$5)/12),2))</f>
        <v/>
      </c>
      <c r="AN180">
        <f>IF(I179&lt;=0,0,ROUND(I179*(1+IF(AND(I$6&gt;0,$B180&lt;I$6),I$4,I$5)/12),2))</f>
        <v/>
      </c>
      <c r="AO180">
        <f>IF(J179&lt;=0,0,ROUND(J179*(1+IF(AND(J$6&gt;0,$B180&lt;J$6),J$4,J$5)/12),2))</f>
        <v/>
      </c>
      <c r="AP180">
        <f>IF(K179&lt;=0,0,ROUND(K179*(1+IF(AND(K$6&gt;0,$B180&lt;K$6),K$4,K$5)/12),2))</f>
        <v/>
      </c>
      <c r="AQ180">
        <f>IF(L179&lt;=0,0,ROUND(L179*(1+IF(AND(L$6&gt;0,$B180&lt;L$6),L$4,L$5)/12),2))</f>
        <v/>
      </c>
      <c r="AR180">
        <f>IF(M179&lt;=0,0,ROUND(M179*(1+IF(AND(M$6&gt;0,$B180&lt;M$6),M$4,M$5)/12),2))</f>
        <v/>
      </c>
      <c r="AS180">
        <f>IF(N179&lt;=0,0,ROUND(N179*(1+IF(AND(N$6&gt;0,$B180&lt;N$6),N$4,N$5)/12),2))</f>
        <v/>
      </c>
    </row>
    <row r="181">
      <c r="A181" t="n">
        <v>170</v>
      </c>
      <c r="B181">
        <f>EDATE(Plan!$C$6,169)</f>
        <v/>
      </c>
      <c r="C181">
        <f>IF(C180&lt;=0,0,MAX(0,AH181-O181))</f>
        <v/>
      </c>
      <c r="D181">
        <f>IF(D180&lt;=0,0,MAX(0,AI181-P181))</f>
        <v/>
      </c>
      <c r="E181">
        <f>IF(E180&lt;=0,0,MAX(0,AJ181-Q181))</f>
        <v/>
      </c>
      <c r="F181">
        <f>IF(F180&lt;=0,0,MAX(0,AK181-R181))</f>
        <v/>
      </c>
      <c r="G181">
        <f>IF(G180&lt;=0,0,MAX(0,AL181-S181))</f>
        <v/>
      </c>
      <c r="H181">
        <f>IF(H180&lt;=0,0,MAX(0,AM181-T181))</f>
        <v/>
      </c>
      <c r="I181">
        <f>IF(I180&lt;=0,0,MAX(0,AN181-U181))</f>
        <v/>
      </c>
      <c r="J181">
        <f>IF(J180&lt;=0,0,MAX(0,AO181-V181))</f>
        <v/>
      </c>
      <c r="K181">
        <f>IF(K180&lt;=0,0,MAX(0,AP181-W181))</f>
        <v/>
      </c>
      <c r="L181">
        <f>IF(L180&lt;=0,0,MAX(0,AQ181-X181))</f>
        <v/>
      </c>
      <c r="M181">
        <f>IF(M180&lt;=0,0,MAX(0,AR181-Y181))</f>
        <v/>
      </c>
      <c r="N181">
        <f>IF(N180&lt;=0,0,MAX(0,AS181-Z181))</f>
        <v/>
      </c>
      <c r="O181">
        <f>IF(C180&lt;=0,0,MIN(AH181,C$7+IF(C$2=$AA181,$AC181,IF(C$2=$AF181,$AG181,0))))</f>
        <v/>
      </c>
      <c r="P181">
        <f>IF(D180&lt;=0,0,MIN(AI181,D$7+IF(D$2=$AA181,$AC181,IF(D$2=$AF181,$AG181,0))))</f>
        <v/>
      </c>
      <c r="Q181">
        <f>IF(E180&lt;=0,0,MIN(AJ181,E$7+IF(E$2=$AA181,$AC181,IF(E$2=$AF181,$AG181,0))))</f>
        <v/>
      </c>
      <c r="R181">
        <f>IF(F180&lt;=0,0,MIN(AK181,F$7+IF(F$2=$AA181,$AC181,IF(F$2=$AF181,$AG181,0))))</f>
        <v/>
      </c>
      <c r="S181">
        <f>IF(G180&lt;=0,0,MIN(AL181,G$7+IF(G$2=$AA181,$AC181,IF(G$2=$AF181,$AG181,0))))</f>
        <v/>
      </c>
      <c r="T181">
        <f>IF(H180&lt;=0,0,MIN(AM181,H$7+IF(H$2=$AA181,$AC181,IF(H$2=$AF181,$AG181,0))))</f>
        <v/>
      </c>
      <c r="U181">
        <f>IF(I180&lt;=0,0,MIN(AN181,I$7+IF(I$2=$AA181,$AC181,IF(I$2=$AF181,$AG181,0))))</f>
        <v/>
      </c>
      <c r="V181">
        <f>IF(J180&lt;=0,0,MIN(AO181,J$7+IF(J$2=$AA181,$AC181,IF(J$2=$AF181,$AG181,0))))</f>
        <v/>
      </c>
      <c r="W181">
        <f>IF(K180&lt;=0,0,MIN(AP181,K$7+IF(K$2=$AA181,$AC181,IF(K$2=$AF181,$AG181,0))))</f>
        <v/>
      </c>
      <c r="X181">
        <f>IF(L180&lt;=0,0,MIN(AQ181,L$7+IF(L$2=$AA181,$AC181,IF(L$2=$AF181,$AG181,0))))</f>
        <v/>
      </c>
      <c r="Y181">
        <f>IF(M180&lt;=0,0,MIN(AR181,M$7+IF(M$2=$AA181,$AC181,IF(M$2=$AF181,$AG181,0))))</f>
        <v/>
      </c>
      <c r="Z181">
        <f>IF(N180&lt;=0,0,MIN(AS181,N$7+IF(N$2=$AA181,$AC181,IF(N$2=$AF181,$AG181,0))))</f>
        <v/>
      </c>
      <c r="AA181">
        <f>IFERROR(ROUND(1/SUMPRODUCT(MAX((C180:N180&gt;0)*($C$3:$N$3&lt;=B181)/$C$2:$N$2)),0),0)</f>
        <v/>
      </c>
      <c r="AB181">
        <f>SUMPRODUCT((C180:N180&gt;0)*$C$7:$N$7)</f>
        <v/>
      </c>
      <c r="AC181">
        <f>MAX(0,Plan!$C$5-AB181)+IF(A181=Plan!$C$8,N(Plan!$C$7),0)</f>
        <v/>
      </c>
      <c r="AD181">
        <f>SUM(C181:N181)</f>
        <v/>
      </c>
      <c r="AE181">
        <f>SUM(O181:Z181)</f>
        <v/>
      </c>
      <c r="AF181">
        <f>IFERROR(ROUND(1/SUMPRODUCT(MAX((C180:N180&gt;0)*($C$3:$N$3&lt;=B181)*($C$2:$N$2&gt;AA181)/$C$2:$N$2)),0),0)</f>
        <v/>
      </c>
      <c r="AG181">
        <f>MAX(0,AC181-MAX(0,SUMPRODUCT(($C$2:$N$2=AA181)*(AH181:AS181-$C$7:$N$7))))</f>
        <v/>
      </c>
      <c r="AH181">
        <f>IF(C180&lt;=0,0,ROUND(C180*(1+IF(AND(C$6&gt;0,$B181&lt;C$6),C$4,C$5)/12),2))</f>
        <v/>
      </c>
      <c r="AI181">
        <f>IF(D180&lt;=0,0,ROUND(D180*(1+IF(AND(D$6&gt;0,$B181&lt;D$6),D$4,D$5)/12),2))</f>
        <v/>
      </c>
      <c r="AJ181">
        <f>IF(E180&lt;=0,0,ROUND(E180*(1+IF(AND(E$6&gt;0,$B181&lt;E$6),E$4,E$5)/12),2))</f>
        <v/>
      </c>
      <c r="AK181">
        <f>IF(F180&lt;=0,0,ROUND(F180*(1+IF(AND(F$6&gt;0,$B181&lt;F$6),F$4,F$5)/12),2))</f>
        <v/>
      </c>
      <c r="AL181">
        <f>IF(G180&lt;=0,0,ROUND(G180*(1+IF(AND(G$6&gt;0,$B181&lt;G$6),G$4,G$5)/12),2))</f>
        <v/>
      </c>
      <c r="AM181">
        <f>IF(H180&lt;=0,0,ROUND(H180*(1+IF(AND(H$6&gt;0,$B181&lt;H$6),H$4,H$5)/12),2))</f>
        <v/>
      </c>
      <c r="AN181">
        <f>IF(I180&lt;=0,0,ROUND(I180*(1+IF(AND(I$6&gt;0,$B181&lt;I$6),I$4,I$5)/12),2))</f>
        <v/>
      </c>
      <c r="AO181">
        <f>IF(J180&lt;=0,0,ROUND(J180*(1+IF(AND(J$6&gt;0,$B181&lt;J$6),J$4,J$5)/12),2))</f>
        <v/>
      </c>
      <c r="AP181">
        <f>IF(K180&lt;=0,0,ROUND(K180*(1+IF(AND(K$6&gt;0,$B181&lt;K$6),K$4,K$5)/12),2))</f>
        <v/>
      </c>
      <c r="AQ181">
        <f>IF(L180&lt;=0,0,ROUND(L180*(1+IF(AND(L$6&gt;0,$B181&lt;L$6),L$4,L$5)/12),2))</f>
        <v/>
      </c>
      <c r="AR181">
        <f>IF(M180&lt;=0,0,ROUND(M180*(1+IF(AND(M$6&gt;0,$B181&lt;M$6),M$4,M$5)/12),2))</f>
        <v/>
      </c>
      <c r="AS181">
        <f>IF(N180&lt;=0,0,ROUND(N180*(1+IF(AND(N$6&gt;0,$B181&lt;N$6),N$4,N$5)/12),2))</f>
        <v/>
      </c>
    </row>
    <row r="182">
      <c r="A182" t="n">
        <v>171</v>
      </c>
      <c r="B182">
        <f>EDATE(Plan!$C$6,170)</f>
        <v/>
      </c>
      <c r="C182">
        <f>IF(C181&lt;=0,0,MAX(0,AH182-O182))</f>
        <v/>
      </c>
      <c r="D182">
        <f>IF(D181&lt;=0,0,MAX(0,AI182-P182))</f>
        <v/>
      </c>
      <c r="E182">
        <f>IF(E181&lt;=0,0,MAX(0,AJ182-Q182))</f>
        <v/>
      </c>
      <c r="F182">
        <f>IF(F181&lt;=0,0,MAX(0,AK182-R182))</f>
        <v/>
      </c>
      <c r="G182">
        <f>IF(G181&lt;=0,0,MAX(0,AL182-S182))</f>
        <v/>
      </c>
      <c r="H182">
        <f>IF(H181&lt;=0,0,MAX(0,AM182-T182))</f>
        <v/>
      </c>
      <c r="I182">
        <f>IF(I181&lt;=0,0,MAX(0,AN182-U182))</f>
        <v/>
      </c>
      <c r="J182">
        <f>IF(J181&lt;=0,0,MAX(0,AO182-V182))</f>
        <v/>
      </c>
      <c r="K182">
        <f>IF(K181&lt;=0,0,MAX(0,AP182-W182))</f>
        <v/>
      </c>
      <c r="L182">
        <f>IF(L181&lt;=0,0,MAX(0,AQ182-X182))</f>
        <v/>
      </c>
      <c r="M182">
        <f>IF(M181&lt;=0,0,MAX(0,AR182-Y182))</f>
        <v/>
      </c>
      <c r="N182">
        <f>IF(N181&lt;=0,0,MAX(0,AS182-Z182))</f>
        <v/>
      </c>
      <c r="O182">
        <f>IF(C181&lt;=0,0,MIN(AH182,C$7+IF(C$2=$AA182,$AC182,IF(C$2=$AF182,$AG182,0))))</f>
        <v/>
      </c>
      <c r="P182">
        <f>IF(D181&lt;=0,0,MIN(AI182,D$7+IF(D$2=$AA182,$AC182,IF(D$2=$AF182,$AG182,0))))</f>
        <v/>
      </c>
      <c r="Q182">
        <f>IF(E181&lt;=0,0,MIN(AJ182,E$7+IF(E$2=$AA182,$AC182,IF(E$2=$AF182,$AG182,0))))</f>
        <v/>
      </c>
      <c r="R182">
        <f>IF(F181&lt;=0,0,MIN(AK182,F$7+IF(F$2=$AA182,$AC182,IF(F$2=$AF182,$AG182,0))))</f>
        <v/>
      </c>
      <c r="S182">
        <f>IF(G181&lt;=0,0,MIN(AL182,G$7+IF(G$2=$AA182,$AC182,IF(G$2=$AF182,$AG182,0))))</f>
        <v/>
      </c>
      <c r="T182">
        <f>IF(H181&lt;=0,0,MIN(AM182,H$7+IF(H$2=$AA182,$AC182,IF(H$2=$AF182,$AG182,0))))</f>
        <v/>
      </c>
      <c r="U182">
        <f>IF(I181&lt;=0,0,MIN(AN182,I$7+IF(I$2=$AA182,$AC182,IF(I$2=$AF182,$AG182,0))))</f>
        <v/>
      </c>
      <c r="V182">
        <f>IF(J181&lt;=0,0,MIN(AO182,J$7+IF(J$2=$AA182,$AC182,IF(J$2=$AF182,$AG182,0))))</f>
        <v/>
      </c>
      <c r="W182">
        <f>IF(K181&lt;=0,0,MIN(AP182,K$7+IF(K$2=$AA182,$AC182,IF(K$2=$AF182,$AG182,0))))</f>
        <v/>
      </c>
      <c r="X182">
        <f>IF(L181&lt;=0,0,MIN(AQ182,L$7+IF(L$2=$AA182,$AC182,IF(L$2=$AF182,$AG182,0))))</f>
        <v/>
      </c>
      <c r="Y182">
        <f>IF(M181&lt;=0,0,MIN(AR182,M$7+IF(M$2=$AA182,$AC182,IF(M$2=$AF182,$AG182,0))))</f>
        <v/>
      </c>
      <c r="Z182">
        <f>IF(N181&lt;=0,0,MIN(AS182,N$7+IF(N$2=$AA182,$AC182,IF(N$2=$AF182,$AG182,0))))</f>
        <v/>
      </c>
      <c r="AA182">
        <f>IFERROR(ROUND(1/SUMPRODUCT(MAX((C181:N181&gt;0)*($C$3:$N$3&lt;=B182)/$C$2:$N$2)),0),0)</f>
        <v/>
      </c>
      <c r="AB182">
        <f>SUMPRODUCT((C181:N181&gt;0)*$C$7:$N$7)</f>
        <v/>
      </c>
      <c r="AC182">
        <f>MAX(0,Plan!$C$5-AB182)+IF(A182=Plan!$C$8,N(Plan!$C$7),0)</f>
        <v/>
      </c>
      <c r="AD182">
        <f>SUM(C182:N182)</f>
        <v/>
      </c>
      <c r="AE182">
        <f>SUM(O182:Z182)</f>
        <v/>
      </c>
      <c r="AF182">
        <f>IFERROR(ROUND(1/SUMPRODUCT(MAX((C181:N181&gt;0)*($C$3:$N$3&lt;=B182)*($C$2:$N$2&gt;AA182)/$C$2:$N$2)),0),0)</f>
        <v/>
      </c>
      <c r="AG182">
        <f>MAX(0,AC182-MAX(0,SUMPRODUCT(($C$2:$N$2=AA182)*(AH182:AS182-$C$7:$N$7))))</f>
        <v/>
      </c>
      <c r="AH182">
        <f>IF(C181&lt;=0,0,ROUND(C181*(1+IF(AND(C$6&gt;0,$B182&lt;C$6),C$4,C$5)/12),2))</f>
        <v/>
      </c>
      <c r="AI182">
        <f>IF(D181&lt;=0,0,ROUND(D181*(1+IF(AND(D$6&gt;0,$B182&lt;D$6),D$4,D$5)/12),2))</f>
        <v/>
      </c>
      <c r="AJ182">
        <f>IF(E181&lt;=0,0,ROUND(E181*(1+IF(AND(E$6&gt;0,$B182&lt;E$6),E$4,E$5)/12),2))</f>
        <v/>
      </c>
      <c r="AK182">
        <f>IF(F181&lt;=0,0,ROUND(F181*(1+IF(AND(F$6&gt;0,$B182&lt;F$6),F$4,F$5)/12),2))</f>
        <v/>
      </c>
      <c r="AL182">
        <f>IF(G181&lt;=0,0,ROUND(G181*(1+IF(AND(G$6&gt;0,$B182&lt;G$6),G$4,G$5)/12),2))</f>
        <v/>
      </c>
      <c r="AM182">
        <f>IF(H181&lt;=0,0,ROUND(H181*(1+IF(AND(H$6&gt;0,$B182&lt;H$6),H$4,H$5)/12),2))</f>
        <v/>
      </c>
      <c r="AN182">
        <f>IF(I181&lt;=0,0,ROUND(I181*(1+IF(AND(I$6&gt;0,$B182&lt;I$6),I$4,I$5)/12),2))</f>
        <v/>
      </c>
      <c r="AO182">
        <f>IF(J181&lt;=0,0,ROUND(J181*(1+IF(AND(J$6&gt;0,$B182&lt;J$6),J$4,J$5)/12),2))</f>
        <v/>
      </c>
      <c r="AP182">
        <f>IF(K181&lt;=0,0,ROUND(K181*(1+IF(AND(K$6&gt;0,$B182&lt;K$6),K$4,K$5)/12),2))</f>
        <v/>
      </c>
      <c r="AQ182">
        <f>IF(L181&lt;=0,0,ROUND(L181*(1+IF(AND(L$6&gt;0,$B182&lt;L$6),L$4,L$5)/12),2))</f>
        <v/>
      </c>
      <c r="AR182">
        <f>IF(M181&lt;=0,0,ROUND(M181*(1+IF(AND(M$6&gt;0,$B182&lt;M$6),M$4,M$5)/12),2))</f>
        <v/>
      </c>
      <c r="AS182">
        <f>IF(N181&lt;=0,0,ROUND(N181*(1+IF(AND(N$6&gt;0,$B182&lt;N$6),N$4,N$5)/12),2))</f>
        <v/>
      </c>
    </row>
    <row r="183">
      <c r="A183" t="n">
        <v>172</v>
      </c>
      <c r="B183">
        <f>EDATE(Plan!$C$6,171)</f>
        <v/>
      </c>
      <c r="C183">
        <f>IF(C182&lt;=0,0,MAX(0,AH183-O183))</f>
        <v/>
      </c>
      <c r="D183">
        <f>IF(D182&lt;=0,0,MAX(0,AI183-P183))</f>
        <v/>
      </c>
      <c r="E183">
        <f>IF(E182&lt;=0,0,MAX(0,AJ183-Q183))</f>
        <v/>
      </c>
      <c r="F183">
        <f>IF(F182&lt;=0,0,MAX(0,AK183-R183))</f>
        <v/>
      </c>
      <c r="G183">
        <f>IF(G182&lt;=0,0,MAX(0,AL183-S183))</f>
        <v/>
      </c>
      <c r="H183">
        <f>IF(H182&lt;=0,0,MAX(0,AM183-T183))</f>
        <v/>
      </c>
      <c r="I183">
        <f>IF(I182&lt;=0,0,MAX(0,AN183-U183))</f>
        <v/>
      </c>
      <c r="J183">
        <f>IF(J182&lt;=0,0,MAX(0,AO183-V183))</f>
        <v/>
      </c>
      <c r="K183">
        <f>IF(K182&lt;=0,0,MAX(0,AP183-W183))</f>
        <v/>
      </c>
      <c r="L183">
        <f>IF(L182&lt;=0,0,MAX(0,AQ183-X183))</f>
        <v/>
      </c>
      <c r="M183">
        <f>IF(M182&lt;=0,0,MAX(0,AR183-Y183))</f>
        <v/>
      </c>
      <c r="N183">
        <f>IF(N182&lt;=0,0,MAX(0,AS183-Z183))</f>
        <v/>
      </c>
      <c r="O183">
        <f>IF(C182&lt;=0,0,MIN(AH183,C$7+IF(C$2=$AA183,$AC183,IF(C$2=$AF183,$AG183,0))))</f>
        <v/>
      </c>
      <c r="P183">
        <f>IF(D182&lt;=0,0,MIN(AI183,D$7+IF(D$2=$AA183,$AC183,IF(D$2=$AF183,$AG183,0))))</f>
        <v/>
      </c>
      <c r="Q183">
        <f>IF(E182&lt;=0,0,MIN(AJ183,E$7+IF(E$2=$AA183,$AC183,IF(E$2=$AF183,$AG183,0))))</f>
        <v/>
      </c>
      <c r="R183">
        <f>IF(F182&lt;=0,0,MIN(AK183,F$7+IF(F$2=$AA183,$AC183,IF(F$2=$AF183,$AG183,0))))</f>
        <v/>
      </c>
      <c r="S183">
        <f>IF(G182&lt;=0,0,MIN(AL183,G$7+IF(G$2=$AA183,$AC183,IF(G$2=$AF183,$AG183,0))))</f>
        <v/>
      </c>
      <c r="T183">
        <f>IF(H182&lt;=0,0,MIN(AM183,H$7+IF(H$2=$AA183,$AC183,IF(H$2=$AF183,$AG183,0))))</f>
        <v/>
      </c>
      <c r="U183">
        <f>IF(I182&lt;=0,0,MIN(AN183,I$7+IF(I$2=$AA183,$AC183,IF(I$2=$AF183,$AG183,0))))</f>
        <v/>
      </c>
      <c r="V183">
        <f>IF(J182&lt;=0,0,MIN(AO183,J$7+IF(J$2=$AA183,$AC183,IF(J$2=$AF183,$AG183,0))))</f>
        <v/>
      </c>
      <c r="W183">
        <f>IF(K182&lt;=0,0,MIN(AP183,K$7+IF(K$2=$AA183,$AC183,IF(K$2=$AF183,$AG183,0))))</f>
        <v/>
      </c>
      <c r="X183">
        <f>IF(L182&lt;=0,0,MIN(AQ183,L$7+IF(L$2=$AA183,$AC183,IF(L$2=$AF183,$AG183,0))))</f>
        <v/>
      </c>
      <c r="Y183">
        <f>IF(M182&lt;=0,0,MIN(AR183,M$7+IF(M$2=$AA183,$AC183,IF(M$2=$AF183,$AG183,0))))</f>
        <v/>
      </c>
      <c r="Z183">
        <f>IF(N182&lt;=0,0,MIN(AS183,N$7+IF(N$2=$AA183,$AC183,IF(N$2=$AF183,$AG183,0))))</f>
        <v/>
      </c>
      <c r="AA183">
        <f>IFERROR(ROUND(1/SUMPRODUCT(MAX((C182:N182&gt;0)*($C$3:$N$3&lt;=B183)/$C$2:$N$2)),0),0)</f>
        <v/>
      </c>
      <c r="AB183">
        <f>SUMPRODUCT((C182:N182&gt;0)*$C$7:$N$7)</f>
        <v/>
      </c>
      <c r="AC183">
        <f>MAX(0,Plan!$C$5-AB183)+IF(A183=Plan!$C$8,N(Plan!$C$7),0)</f>
        <v/>
      </c>
      <c r="AD183">
        <f>SUM(C183:N183)</f>
        <v/>
      </c>
      <c r="AE183">
        <f>SUM(O183:Z183)</f>
        <v/>
      </c>
      <c r="AF183">
        <f>IFERROR(ROUND(1/SUMPRODUCT(MAX((C182:N182&gt;0)*($C$3:$N$3&lt;=B183)*($C$2:$N$2&gt;AA183)/$C$2:$N$2)),0),0)</f>
        <v/>
      </c>
      <c r="AG183">
        <f>MAX(0,AC183-MAX(0,SUMPRODUCT(($C$2:$N$2=AA183)*(AH183:AS183-$C$7:$N$7))))</f>
        <v/>
      </c>
      <c r="AH183">
        <f>IF(C182&lt;=0,0,ROUND(C182*(1+IF(AND(C$6&gt;0,$B183&lt;C$6),C$4,C$5)/12),2))</f>
        <v/>
      </c>
      <c r="AI183">
        <f>IF(D182&lt;=0,0,ROUND(D182*(1+IF(AND(D$6&gt;0,$B183&lt;D$6),D$4,D$5)/12),2))</f>
        <v/>
      </c>
      <c r="AJ183">
        <f>IF(E182&lt;=0,0,ROUND(E182*(1+IF(AND(E$6&gt;0,$B183&lt;E$6),E$4,E$5)/12),2))</f>
        <v/>
      </c>
      <c r="AK183">
        <f>IF(F182&lt;=0,0,ROUND(F182*(1+IF(AND(F$6&gt;0,$B183&lt;F$6),F$4,F$5)/12),2))</f>
        <v/>
      </c>
      <c r="AL183">
        <f>IF(G182&lt;=0,0,ROUND(G182*(1+IF(AND(G$6&gt;0,$B183&lt;G$6),G$4,G$5)/12),2))</f>
        <v/>
      </c>
      <c r="AM183">
        <f>IF(H182&lt;=0,0,ROUND(H182*(1+IF(AND(H$6&gt;0,$B183&lt;H$6),H$4,H$5)/12),2))</f>
        <v/>
      </c>
      <c r="AN183">
        <f>IF(I182&lt;=0,0,ROUND(I182*(1+IF(AND(I$6&gt;0,$B183&lt;I$6),I$4,I$5)/12),2))</f>
        <v/>
      </c>
      <c r="AO183">
        <f>IF(J182&lt;=0,0,ROUND(J182*(1+IF(AND(J$6&gt;0,$B183&lt;J$6),J$4,J$5)/12),2))</f>
        <v/>
      </c>
      <c r="AP183">
        <f>IF(K182&lt;=0,0,ROUND(K182*(1+IF(AND(K$6&gt;0,$B183&lt;K$6),K$4,K$5)/12),2))</f>
        <v/>
      </c>
      <c r="AQ183">
        <f>IF(L182&lt;=0,0,ROUND(L182*(1+IF(AND(L$6&gt;0,$B183&lt;L$6),L$4,L$5)/12),2))</f>
        <v/>
      </c>
      <c r="AR183">
        <f>IF(M182&lt;=0,0,ROUND(M182*(1+IF(AND(M$6&gt;0,$B183&lt;M$6),M$4,M$5)/12),2))</f>
        <v/>
      </c>
      <c r="AS183">
        <f>IF(N182&lt;=0,0,ROUND(N182*(1+IF(AND(N$6&gt;0,$B183&lt;N$6),N$4,N$5)/12),2))</f>
        <v/>
      </c>
    </row>
    <row r="184">
      <c r="A184" t="n">
        <v>173</v>
      </c>
      <c r="B184">
        <f>EDATE(Plan!$C$6,172)</f>
        <v/>
      </c>
      <c r="C184">
        <f>IF(C183&lt;=0,0,MAX(0,AH184-O184))</f>
        <v/>
      </c>
      <c r="D184">
        <f>IF(D183&lt;=0,0,MAX(0,AI184-P184))</f>
        <v/>
      </c>
      <c r="E184">
        <f>IF(E183&lt;=0,0,MAX(0,AJ184-Q184))</f>
        <v/>
      </c>
      <c r="F184">
        <f>IF(F183&lt;=0,0,MAX(0,AK184-R184))</f>
        <v/>
      </c>
      <c r="G184">
        <f>IF(G183&lt;=0,0,MAX(0,AL184-S184))</f>
        <v/>
      </c>
      <c r="H184">
        <f>IF(H183&lt;=0,0,MAX(0,AM184-T184))</f>
        <v/>
      </c>
      <c r="I184">
        <f>IF(I183&lt;=0,0,MAX(0,AN184-U184))</f>
        <v/>
      </c>
      <c r="J184">
        <f>IF(J183&lt;=0,0,MAX(0,AO184-V184))</f>
        <v/>
      </c>
      <c r="K184">
        <f>IF(K183&lt;=0,0,MAX(0,AP184-W184))</f>
        <v/>
      </c>
      <c r="L184">
        <f>IF(L183&lt;=0,0,MAX(0,AQ184-X184))</f>
        <v/>
      </c>
      <c r="M184">
        <f>IF(M183&lt;=0,0,MAX(0,AR184-Y184))</f>
        <v/>
      </c>
      <c r="N184">
        <f>IF(N183&lt;=0,0,MAX(0,AS184-Z184))</f>
        <v/>
      </c>
      <c r="O184">
        <f>IF(C183&lt;=0,0,MIN(AH184,C$7+IF(C$2=$AA184,$AC184,IF(C$2=$AF184,$AG184,0))))</f>
        <v/>
      </c>
      <c r="P184">
        <f>IF(D183&lt;=0,0,MIN(AI184,D$7+IF(D$2=$AA184,$AC184,IF(D$2=$AF184,$AG184,0))))</f>
        <v/>
      </c>
      <c r="Q184">
        <f>IF(E183&lt;=0,0,MIN(AJ184,E$7+IF(E$2=$AA184,$AC184,IF(E$2=$AF184,$AG184,0))))</f>
        <v/>
      </c>
      <c r="R184">
        <f>IF(F183&lt;=0,0,MIN(AK184,F$7+IF(F$2=$AA184,$AC184,IF(F$2=$AF184,$AG184,0))))</f>
        <v/>
      </c>
      <c r="S184">
        <f>IF(G183&lt;=0,0,MIN(AL184,G$7+IF(G$2=$AA184,$AC184,IF(G$2=$AF184,$AG184,0))))</f>
        <v/>
      </c>
      <c r="T184">
        <f>IF(H183&lt;=0,0,MIN(AM184,H$7+IF(H$2=$AA184,$AC184,IF(H$2=$AF184,$AG184,0))))</f>
        <v/>
      </c>
      <c r="U184">
        <f>IF(I183&lt;=0,0,MIN(AN184,I$7+IF(I$2=$AA184,$AC184,IF(I$2=$AF184,$AG184,0))))</f>
        <v/>
      </c>
      <c r="V184">
        <f>IF(J183&lt;=0,0,MIN(AO184,J$7+IF(J$2=$AA184,$AC184,IF(J$2=$AF184,$AG184,0))))</f>
        <v/>
      </c>
      <c r="W184">
        <f>IF(K183&lt;=0,0,MIN(AP184,K$7+IF(K$2=$AA184,$AC184,IF(K$2=$AF184,$AG184,0))))</f>
        <v/>
      </c>
      <c r="X184">
        <f>IF(L183&lt;=0,0,MIN(AQ184,L$7+IF(L$2=$AA184,$AC184,IF(L$2=$AF184,$AG184,0))))</f>
        <v/>
      </c>
      <c r="Y184">
        <f>IF(M183&lt;=0,0,MIN(AR184,M$7+IF(M$2=$AA184,$AC184,IF(M$2=$AF184,$AG184,0))))</f>
        <v/>
      </c>
      <c r="Z184">
        <f>IF(N183&lt;=0,0,MIN(AS184,N$7+IF(N$2=$AA184,$AC184,IF(N$2=$AF184,$AG184,0))))</f>
        <v/>
      </c>
      <c r="AA184">
        <f>IFERROR(ROUND(1/SUMPRODUCT(MAX((C183:N183&gt;0)*($C$3:$N$3&lt;=B184)/$C$2:$N$2)),0),0)</f>
        <v/>
      </c>
      <c r="AB184">
        <f>SUMPRODUCT((C183:N183&gt;0)*$C$7:$N$7)</f>
        <v/>
      </c>
      <c r="AC184">
        <f>MAX(0,Plan!$C$5-AB184)+IF(A184=Plan!$C$8,N(Plan!$C$7),0)</f>
        <v/>
      </c>
      <c r="AD184">
        <f>SUM(C184:N184)</f>
        <v/>
      </c>
      <c r="AE184">
        <f>SUM(O184:Z184)</f>
        <v/>
      </c>
      <c r="AF184">
        <f>IFERROR(ROUND(1/SUMPRODUCT(MAX((C183:N183&gt;0)*($C$3:$N$3&lt;=B184)*($C$2:$N$2&gt;AA184)/$C$2:$N$2)),0),0)</f>
        <v/>
      </c>
      <c r="AG184">
        <f>MAX(0,AC184-MAX(0,SUMPRODUCT(($C$2:$N$2=AA184)*(AH184:AS184-$C$7:$N$7))))</f>
        <v/>
      </c>
      <c r="AH184">
        <f>IF(C183&lt;=0,0,ROUND(C183*(1+IF(AND(C$6&gt;0,$B184&lt;C$6),C$4,C$5)/12),2))</f>
        <v/>
      </c>
      <c r="AI184">
        <f>IF(D183&lt;=0,0,ROUND(D183*(1+IF(AND(D$6&gt;0,$B184&lt;D$6),D$4,D$5)/12),2))</f>
        <v/>
      </c>
      <c r="AJ184">
        <f>IF(E183&lt;=0,0,ROUND(E183*(1+IF(AND(E$6&gt;0,$B184&lt;E$6),E$4,E$5)/12),2))</f>
        <v/>
      </c>
      <c r="AK184">
        <f>IF(F183&lt;=0,0,ROUND(F183*(1+IF(AND(F$6&gt;0,$B184&lt;F$6),F$4,F$5)/12),2))</f>
        <v/>
      </c>
      <c r="AL184">
        <f>IF(G183&lt;=0,0,ROUND(G183*(1+IF(AND(G$6&gt;0,$B184&lt;G$6),G$4,G$5)/12),2))</f>
        <v/>
      </c>
      <c r="AM184">
        <f>IF(H183&lt;=0,0,ROUND(H183*(1+IF(AND(H$6&gt;0,$B184&lt;H$6),H$4,H$5)/12),2))</f>
        <v/>
      </c>
      <c r="AN184">
        <f>IF(I183&lt;=0,0,ROUND(I183*(1+IF(AND(I$6&gt;0,$B184&lt;I$6),I$4,I$5)/12),2))</f>
        <v/>
      </c>
      <c r="AO184">
        <f>IF(J183&lt;=0,0,ROUND(J183*(1+IF(AND(J$6&gt;0,$B184&lt;J$6),J$4,J$5)/12),2))</f>
        <v/>
      </c>
      <c r="AP184">
        <f>IF(K183&lt;=0,0,ROUND(K183*(1+IF(AND(K$6&gt;0,$B184&lt;K$6),K$4,K$5)/12),2))</f>
        <v/>
      </c>
      <c r="AQ184">
        <f>IF(L183&lt;=0,0,ROUND(L183*(1+IF(AND(L$6&gt;0,$B184&lt;L$6),L$4,L$5)/12),2))</f>
        <v/>
      </c>
      <c r="AR184">
        <f>IF(M183&lt;=0,0,ROUND(M183*(1+IF(AND(M$6&gt;0,$B184&lt;M$6),M$4,M$5)/12),2))</f>
        <v/>
      </c>
      <c r="AS184">
        <f>IF(N183&lt;=0,0,ROUND(N183*(1+IF(AND(N$6&gt;0,$B184&lt;N$6),N$4,N$5)/12),2))</f>
        <v/>
      </c>
    </row>
    <row r="185">
      <c r="A185" t="n">
        <v>174</v>
      </c>
      <c r="B185">
        <f>EDATE(Plan!$C$6,173)</f>
        <v/>
      </c>
      <c r="C185">
        <f>IF(C184&lt;=0,0,MAX(0,AH185-O185))</f>
        <v/>
      </c>
      <c r="D185">
        <f>IF(D184&lt;=0,0,MAX(0,AI185-P185))</f>
        <v/>
      </c>
      <c r="E185">
        <f>IF(E184&lt;=0,0,MAX(0,AJ185-Q185))</f>
        <v/>
      </c>
      <c r="F185">
        <f>IF(F184&lt;=0,0,MAX(0,AK185-R185))</f>
        <v/>
      </c>
      <c r="G185">
        <f>IF(G184&lt;=0,0,MAX(0,AL185-S185))</f>
        <v/>
      </c>
      <c r="H185">
        <f>IF(H184&lt;=0,0,MAX(0,AM185-T185))</f>
        <v/>
      </c>
      <c r="I185">
        <f>IF(I184&lt;=0,0,MAX(0,AN185-U185))</f>
        <v/>
      </c>
      <c r="J185">
        <f>IF(J184&lt;=0,0,MAX(0,AO185-V185))</f>
        <v/>
      </c>
      <c r="K185">
        <f>IF(K184&lt;=0,0,MAX(0,AP185-W185))</f>
        <v/>
      </c>
      <c r="L185">
        <f>IF(L184&lt;=0,0,MAX(0,AQ185-X185))</f>
        <v/>
      </c>
      <c r="M185">
        <f>IF(M184&lt;=0,0,MAX(0,AR185-Y185))</f>
        <v/>
      </c>
      <c r="N185">
        <f>IF(N184&lt;=0,0,MAX(0,AS185-Z185))</f>
        <v/>
      </c>
      <c r="O185">
        <f>IF(C184&lt;=0,0,MIN(AH185,C$7+IF(C$2=$AA185,$AC185,IF(C$2=$AF185,$AG185,0))))</f>
        <v/>
      </c>
      <c r="P185">
        <f>IF(D184&lt;=0,0,MIN(AI185,D$7+IF(D$2=$AA185,$AC185,IF(D$2=$AF185,$AG185,0))))</f>
        <v/>
      </c>
      <c r="Q185">
        <f>IF(E184&lt;=0,0,MIN(AJ185,E$7+IF(E$2=$AA185,$AC185,IF(E$2=$AF185,$AG185,0))))</f>
        <v/>
      </c>
      <c r="R185">
        <f>IF(F184&lt;=0,0,MIN(AK185,F$7+IF(F$2=$AA185,$AC185,IF(F$2=$AF185,$AG185,0))))</f>
        <v/>
      </c>
      <c r="S185">
        <f>IF(G184&lt;=0,0,MIN(AL185,G$7+IF(G$2=$AA185,$AC185,IF(G$2=$AF185,$AG185,0))))</f>
        <v/>
      </c>
      <c r="T185">
        <f>IF(H184&lt;=0,0,MIN(AM185,H$7+IF(H$2=$AA185,$AC185,IF(H$2=$AF185,$AG185,0))))</f>
        <v/>
      </c>
      <c r="U185">
        <f>IF(I184&lt;=0,0,MIN(AN185,I$7+IF(I$2=$AA185,$AC185,IF(I$2=$AF185,$AG185,0))))</f>
        <v/>
      </c>
      <c r="V185">
        <f>IF(J184&lt;=0,0,MIN(AO185,J$7+IF(J$2=$AA185,$AC185,IF(J$2=$AF185,$AG185,0))))</f>
        <v/>
      </c>
      <c r="W185">
        <f>IF(K184&lt;=0,0,MIN(AP185,K$7+IF(K$2=$AA185,$AC185,IF(K$2=$AF185,$AG185,0))))</f>
        <v/>
      </c>
      <c r="X185">
        <f>IF(L184&lt;=0,0,MIN(AQ185,L$7+IF(L$2=$AA185,$AC185,IF(L$2=$AF185,$AG185,0))))</f>
        <v/>
      </c>
      <c r="Y185">
        <f>IF(M184&lt;=0,0,MIN(AR185,M$7+IF(M$2=$AA185,$AC185,IF(M$2=$AF185,$AG185,0))))</f>
        <v/>
      </c>
      <c r="Z185">
        <f>IF(N184&lt;=0,0,MIN(AS185,N$7+IF(N$2=$AA185,$AC185,IF(N$2=$AF185,$AG185,0))))</f>
        <v/>
      </c>
      <c r="AA185">
        <f>IFERROR(ROUND(1/SUMPRODUCT(MAX((C184:N184&gt;0)*($C$3:$N$3&lt;=B185)/$C$2:$N$2)),0),0)</f>
        <v/>
      </c>
      <c r="AB185">
        <f>SUMPRODUCT((C184:N184&gt;0)*$C$7:$N$7)</f>
        <v/>
      </c>
      <c r="AC185">
        <f>MAX(0,Plan!$C$5-AB185)+IF(A185=Plan!$C$8,N(Plan!$C$7),0)</f>
        <v/>
      </c>
      <c r="AD185">
        <f>SUM(C185:N185)</f>
        <v/>
      </c>
      <c r="AE185">
        <f>SUM(O185:Z185)</f>
        <v/>
      </c>
      <c r="AF185">
        <f>IFERROR(ROUND(1/SUMPRODUCT(MAX((C184:N184&gt;0)*($C$3:$N$3&lt;=B185)*($C$2:$N$2&gt;AA185)/$C$2:$N$2)),0),0)</f>
        <v/>
      </c>
      <c r="AG185">
        <f>MAX(0,AC185-MAX(0,SUMPRODUCT(($C$2:$N$2=AA185)*(AH185:AS185-$C$7:$N$7))))</f>
        <v/>
      </c>
      <c r="AH185">
        <f>IF(C184&lt;=0,0,ROUND(C184*(1+IF(AND(C$6&gt;0,$B185&lt;C$6),C$4,C$5)/12),2))</f>
        <v/>
      </c>
      <c r="AI185">
        <f>IF(D184&lt;=0,0,ROUND(D184*(1+IF(AND(D$6&gt;0,$B185&lt;D$6),D$4,D$5)/12),2))</f>
        <v/>
      </c>
      <c r="AJ185">
        <f>IF(E184&lt;=0,0,ROUND(E184*(1+IF(AND(E$6&gt;0,$B185&lt;E$6),E$4,E$5)/12),2))</f>
        <v/>
      </c>
      <c r="AK185">
        <f>IF(F184&lt;=0,0,ROUND(F184*(1+IF(AND(F$6&gt;0,$B185&lt;F$6),F$4,F$5)/12),2))</f>
        <v/>
      </c>
      <c r="AL185">
        <f>IF(G184&lt;=0,0,ROUND(G184*(1+IF(AND(G$6&gt;0,$B185&lt;G$6),G$4,G$5)/12),2))</f>
        <v/>
      </c>
      <c r="AM185">
        <f>IF(H184&lt;=0,0,ROUND(H184*(1+IF(AND(H$6&gt;0,$B185&lt;H$6),H$4,H$5)/12),2))</f>
        <v/>
      </c>
      <c r="AN185">
        <f>IF(I184&lt;=0,0,ROUND(I184*(1+IF(AND(I$6&gt;0,$B185&lt;I$6),I$4,I$5)/12),2))</f>
        <v/>
      </c>
      <c r="AO185">
        <f>IF(J184&lt;=0,0,ROUND(J184*(1+IF(AND(J$6&gt;0,$B185&lt;J$6),J$4,J$5)/12),2))</f>
        <v/>
      </c>
      <c r="AP185">
        <f>IF(K184&lt;=0,0,ROUND(K184*(1+IF(AND(K$6&gt;0,$B185&lt;K$6),K$4,K$5)/12),2))</f>
        <v/>
      </c>
      <c r="AQ185">
        <f>IF(L184&lt;=0,0,ROUND(L184*(1+IF(AND(L$6&gt;0,$B185&lt;L$6),L$4,L$5)/12),2))</f>
        <v/>
      </c>
      <c r="AR185">
        <f>IF(M184&lt;=0,0,ROUND(M184*(1+IF(AND(M$6&gt;0,$B185&lt;M$6),M$4,M$5)/12),2))</f>
        <v/>
      </c>
      <c r="AS185">
        <f>IF(N184&lt;=0,0,ROUND(N184*(1+IF(AND(N$6&gt;0,$B185&lt;N$6),N$4,N$5)/12),2))</f>
        <v/>
      </c>
    </row>
    <row r="186">
      <c r="A186" t="n">
        <v>175</v>
      </c>
      <c r="B186">
        <f>EDATE(Plan!$C$6,174)</f>
        <v/>
      </c>
      <c r="C186">
        <f>IF(C185&lt;=0,0,MAX(0,AH186-O186))</f>
        <v/>
      </c>
      <c r="D186">
        <f>IF(D185&lt;=0,0,MAX(0,AI186-P186))</f>
        <v/>
      </c>
      <c r="E186">
        <f>IF(E185&lt;=0,0,MAX(0,AJ186-Q186))</f>
        <v/>
      </c>
      <c r="F186">
        <f>IF(F185&lt;=0,0,MAX(0,AK186-R186))</f>
        <v/>
      </c>
      <c r="G186">
        <f>IF(G185&lt;=0,0,MAX(0,AL186-S186))</f>
        <v/>
      </c>
      <c r="H186">
        <f>IF(H185&lt;=0,0,MAX(0,AM186-T186))</f>
        <v/>
      </c>
      <c r="I186">
        <f>IF(I185&lt;=0,0,MAX(0,AN186-U186))</f>
        <v/>
      </c>
      <c r="J186">
        <f>IF(J185&lt;=0,0,MAX(0,AO186-V186))</f>
        <v/>
      </c>
      <c r="K186">
        <f>IF(K185&lt;=0,0,MAX(0,AP186-W186))</f>
        <v/>
      </c>
      <c r="L186">
        <f>IF(L185&lt;=0,0,MAX(0,AQ186-X186))</f>
        <v/>
      </c>
      <c r="M186">
        <f>IF(M185&lt;=0,0,MAX(0,AR186-Y186))</f>
        <v/>
      </c>
      <c r="N186">
        <f>IF(N185&lt;=0,0,MAX(0,AS186-Z186))</f>
        <v/>
      </c>
      <c r="O186">
        <f>IF(C185&lt;=0,0,MIN(AH186,C$7+IF(C$2=$AA186,$AC186,IF(C$2=$AF186,$AG186,0))))</f>
        <v/>
      </c>
      <c r="P186">
        <f>IF(D185&lt;=0,0,MIN(AI186,D$7+IF(D$2=$AA186,$AC186,IF(D$2=$AF186,$AG186,0))))</f>
        <v/>
      </c>
      <c r="Q186">
        <f>IF(E185&lt;=0,0,MIN(AJ186,E$7+IF(E$2=$AA186,$AC186,IF(E$2=$AF186,$AG186,0))))</f>
        <v/>
      </c>
      <c r="R186">
        <f>IF(F185&lt;=0,0,MIN(AK186,F$7+IF(F$2=$AA186,$AC186,IF(F$2=$AF186,$AG186,0))))</f>
        <v/>
      </c>
      <c r="S186">
        <f>IF(G185&lt;=0,0,MIN(AL186,G$7+IF(G$2=$AA186,$AC186,IF(G$2=$AF186,$AG186,0))))</f>
        <v/>
      </c>
      <c r="T186">
        <f>IF(H185&lt;=0,0,MIN(AM186,H$7+IF(H$2=$AA186,$AC186,IF(H$2=$AF186,$AG186,0))))</f>
        <v/>
      </c>
      <c r="U186">
        <f>IF(I185&lt;=0,0,MIN(AN186,I$7+IF(I$2=$AA186,$AC186,IF(I$2=$AF186,$AG186,0))))</f>
        <v/>
      </c>
      <c r="V186">
        <f>IF(J185&lt;=0,0,MIN(AO186,J$7+IF(J$2=$AA186,$AC186,IF(J$2=$AF186,$AG186,0))))</f>
        <v/>
      </c>
      <c r="W186">
        <f>IF(K185&lt;=0,0,MIN(AP186,K$7+IF(K$2=$AA186,$AC186,IF(K$2=$AF186,$AG186,0))))</f>
        <v/>
      </c>
      <c r="X186">
        <f>IF(L185&lt;=0,0,MIN(AQ186,L$7+IF(L$2=$AA186,$AC186,IF(L$2=$AF186,$AG186,0))))</f>
        <v/>
      </c>
      <c r="Y186">
        <f>IF(M185&lt;=0,0,MIN(AR186,M$7+IF(M$2=$AA186,$AC186,IF(M$2=$AF186,$AG186,0))))</f>
        <v/>
      </c>
      <c r="Z186">
        <f>IF(N185&lt;=0,0,MIN(AS186,N$7+IF(N$2=$AA186,$AC186,IF(N$2=$AF186,$AG186,0))))</f>
        <v/>
      </c>
      <c r="AA186">
        <f>IFERROR(ROUND(1/SUMPRODUCT(MAX((C185:N185&gt;0)*($C$3:$N$3&lt;=B186)/$C$2:$N$2)),0),0)</f>
        <v/>
      </c>
      <c r="AB186">
        <f>SUMPRODUCT((C185:N185&gt;0)*$C$7:$N$7)</f>
        <v/>
      </c>
      <c r="AC186">
        <f>MAX(0,Plan!$C$5-AB186)+IF(A186=Plan!$C$8,N(Plan!$C$7),0)</f>
        <v/>
      </c>
      <c r="AD186">
        <f>SUM(C186:N186)</f>
        <v/>
      </c>
      <c r="AE186">
        <f>SUM(O186:Z186)</f>
        <v/>
      </c>
      <c r="AF186">
        <f>IFERROR(ROUND(1/SUMPRODUCT(MAX((C185:N185&gt;0)*($C$3:$N$3&lt;=B186)*($C$2:$N$2&gt;AA186)/$C$2:$N$2)),0),0)</f>
        <v/>
      </c>
      <c r="AG186">
        <f>MAX(0,AC186-MAX(0,SUMPRODUCT(($C$2:$N$2=AA186)*(AH186:AS186-$C$7:$N$7))))</f>
        <v/>
      </c>
      <c r="AH186">
        <f>IF(C185&lt;=0,0,ROUND(C185*(1+IF(AND(C$6&gt;0,$B186&lt;C$6),C$4,C$5)/12),2))</f>
        <v/>
      </c>
      <c r="AI186">
        <f>IF(D185&lt;=0,0,ROUND(D185*(1+IF(AND(D$6&gt;0,$B186&lt;D$6),D$4,D$5)/12),2))</f>
        <v/>
      </c>
      <c r="AJ186">
        <f>IF(E185&lt;=0,0,ROUND(E185*(1+IF(AND(E$6&gt;0,$B186&lt;E$6),E$4,E$5)/12),2))</f>
        <v/>
      </c>
      <c r="AK186">
        <f>IF(F185&lt;=0,0,ROUND(F185*(1+IF(AND(F$6&gt;0,$B186&lt;F$6),F$4,F$5)/12),2))</f>
        <v/>
      </c>
      <c r="AL186">
        <f>IF(G185&lt;=0,0,ROUND(G185*(1+IF(AND(G$6&gt;0,$B186&lt;G$6),G$4,G$5)/12),2))</f>
        <v/>
      </c>
      <c r="AM186">
        <f>IF(H185&lt;=0,0,ROUND(H185*(1+IF(AND(H$6&gt;0,$B186&lt;H$6),H$4,H$5)/12),2))</f>
        <v/>
      </c>
      <c r="AN186">
        <f>IF(I185&lt;=0,0,ROUND(I185*(1+IF(AND(I$6&gt;0,$B186&lt;I$6),I$4,I$5)/12),2))</f>
        <v/>
      </c>
      <c r="AO186">
        <f>IF(J185&lt;=0,0,ROUND(J185*(1+IF(AND(J$6&gt;0,$B186&lt;J$6),J$4,J$5)/12),2))</f>
        <v/>
      </c>
      <c r="AP186">
        <f>IF(K185&lt;=0,0,ROUND(K185*(1+IF(AND(K$6&gt;0,$B186&lt;K$6),K$4,K$5)/12),2))</f>
        <v/>
      </c>
      <c r="AQ186">
        <f>IF(L185&lt;=0,0,ROUND(L185*(1+IF(AND(L$6&gt;0,$B186&lt;L$6),L$4,L$5)/12),2))</f>
        <v/>
      </c>
      <c r="AR186">
        <f>IF(M185&lt;=0,0,ROUND(M185*(1+IF(AND(M$6&gt;0,$B186&lt;M$6),M$4,M$5)/12),2))</f>
        <v/>
      </c>
      <c r="AS186">
        <f>IF(N185&lt;=0,0,ROUND(N185*(1+IF(AND(N$6&gt;0,$B186&lt;N$6),N$4,N$5)/12),2))</f>
        <v/>
      </c>
    </row>
    <row r="187">
      <c r="A187" t="n">
        <v>176</v>
      </c>
      <c r="B187">
        <f>EDATE(Plan!$C$6,175)</f>
        <v/>
      </c>
      <c r="C187">
        <f>IF(C186&lt;=0,0,MAX(0,AH187-O187))</f>
        <v/>
      </c>
      <c r="D187">
        <f>IF(D186&lt;=0,0,MAX(0,AI187-P187))</f>
        <v/>
      </c>
      <c r="E187">
        <f>IF(E186&lt;=0,0,MAX(0,AJ187-Q187))</f>
        <v/>
      </c>
      <c r="F187">
        <f>IF(F186&lt;=0,0,MAX(0,AK187-R187))</f>
        <v/>
      </c>
      <c r="G187">
        <f>IF(G186&lt;=0,0,MAX(0,AL187-S187))</f>
        <v/>
      </c>
      <c r="H187">
        <f>IF(H186&lt;=0,0,MAX(0,AM187-T187))</f>
        <v/>
      </c>
      <c r="I187">
        <f>IF(I186&lt;=0,0,MAX(0,AN187-U187))</f>
        <v/>
      </c>
      <c r="J187">
        <f>IF(J186&lt;=0,0,MAX(0,AO187-V187))</f>
        <v/>
      </c>
      <c r="K187">
        <f>IF(K186&lt;=0,0,MAX(0,AP187-W187))</f>
        <v/>
      </c>
      <c r="L187">
        <f>IF(L186&lt;=0,0,MAX(0,AQ187-X187))</f>
        <v/>
      </c>
      <c r="M187">
        <f>IF(M186&lt;=0,0,MAX(0,AR187-Y187))</f>
        <v/>
      </c>
      <c r="N187">
        <f>IF(N186&lt;=0,0,MAX(0,AS187-Z187))</f>
        <v/>
      </c>
      <c r="O187">
        <f>IF(C186&lt;=0,0,MIN(AH187,C$7+IF(C$2=$AA187,$AC187,IF(C$2=$AF187,$AG187,0))))</f>
        <v/>
      </c>
      <c r="P187">
        <f>IF(D186&lt;=0,0,MIN(AI187,D$7+IF(D$2=$AA187,$AC187,IF(D$2=$AF187,$AG187,0))))</f>
        <v/>
      </c>
      <c r="Q187">
        <f>IF(E186&lt;=0,0,MIN(AJ187,E$7+IF(E$2=$AA187,$AC187,IF(E$2=$AF187,$AG187,0))))</f>
        <v/>
      </c>
      <c r="R187">
        <f>IF(F186&lt;=0,0,MIN(AK187,F$7+IF(F$2=$AA187,$AC187,IF(F$2=$AF187,$AG187,0))))</f>
        <v/>
      </c>
      <c r="S187">
        <f>IF(G186&lt;=0,0,MIN(AL187,G$7+IF(G$2=$AA187,$AC187,IF(G$2=$AF187,$AG187,0))))</f>
        <v/>
      </c>
      <c r="T187">
        <f>IF(H186&lt;=0,0,MIN(AM187,H$7+IF(H$2=$AA187,$AC187,IF(H$2=$AF187,$AG187,0))))</f>
        <v/>
      </c>
      <c r="U187">
        <f>IF(I186&lt;=0,0,MIN(AN187,I$7+IF(I$2=$AA187,$AC187,IF(I$2=$AF187,$AG187,0))))</f>
        <v/>
      </c>
      <c r="V187">
        <f>IF(J186&lt;=0,0,MIN(AO187,J$7+IF(J$2=$AA187,$AC187,IF(J$2=$AF187,$AG187,0))))</f>
        <v/>
      </c>
      <c r="W187">
        <f>IF(K186&lt;=0,0,MIN(AP187,K$7+IF(K$2=$AA187,$AC187,IF(K$2=$AF187,$AG187,0))))</f>
        <v/>
      </c>
      <c r="X187">
        <f>IF(L186&lt;=0,0,MIN(AQ187,L$7+IF(L$2=$AA187,$AC187,IF(L$2=$AF187,$AG187,0))))</f>
        <v/>
      </c>
      <c r="Y187">
        <f>IF(M186&lt;=0,0,MIN(AR187,M$7+IF(M$2=$AA187,$AC187,IF(M$2=$AF187,$AG187,0))))</f>
        <v/>
      </c>
      <c r="Z187">
        <f>IF(N186&lt;=0,0,MIN(AS187,N$7+IF(N$2=$AA187,$AC187,IF(N$2=$AF187,$AG187,0))))</f>
        <v/>
      </c>
      <c r="AA187">
        <f>IFERROR(ROUND(1/SUMPRODUCT(MAX((C186:N186&gt;0)*($C$3:$N$3&lt;=B187)/$C$2:$N$2)),0),0)</f>
        <v/>
      </c>
      <c r="AB187">
        <f>SUMPRODUCT((C186:N186&gt;0)*$C$7:$N$7)</f>
        <v/>
      </c>
      <c r="AC187">
        <f>MAX(0,Plan!$C$5-AB187)+IF(A187=Plan!$C$8,N(Plan!$C$7),0)</f>
        <v/>
      </c>
      <c r="AD187">
        <f>SUM(C187:N187)</f>
        <v/>
      </c>
      <c r="AE187">
        <f>SUM(O187:Z187)</f>
        <v/>
      </c>
      <c r="AF187">
        <f>IFERROR(ROUND(1/SUMPRODUCT(MAX((C186:N186&gt;0)*($C$3:$N$3&lt;=B187)*($C$2:$N$2&gt;AA187)/$C$2:$N$2)),0),0)</f>
        <v/>
      </c>
      <c r="AG187">
        <f>MAX(0,AC187-MAX(0,SUMPRODUCT(($C$2:$N$2=AA187)*(AH187:AS187-$C$7:$N$7))))</f>
        <v/>
      </c>
      <c r="AH187">
        <f>IF(C186&lt;=0,0,ROUND(C186*(1+IF(AND(C$6&gt;0,$B187&lt;C$6),C$4,C$5)/12),2))</f>
        <v/>
      </c>
      <c r="AI187">
        <f>IF(D186&lt;=0,0,ROUND(D186*(1+IF(AND(D$6&gt;0,$B187&lt;D$6),D$4,D$5)/12),2))</f>
        <v/>
      </c>
      <c r="AJ187">
        <f>IF(E186&lt;=0,0,ROUND(E186*(1+IF(AND(E$6&gt;0,$B187&lt;E$6),E$4,E$5)/12),2))</f>
        <v/>
      </c>
      <c r="AK187">
        <f>IF(F186&lt;=0,0,ROUND(F186*(1+IF(AND(F$6&gt;0,$B187&lt;F$6),F$4,F$5)/12),2))</f>
        <v/>
      </c>
      <c r="AL187">
        <f>IF(G186&lt;=0,0,ROUND(G186*(1+IF(AND(G$6&gt;0,$B187&lt;G$6),G$4,G$5)/12),2))</f>
        <v/>
      </c>
      <c r="AM187">
        <f>IF(H186&lt;=0,0,ROUND(H186*(1+IF(AND(H$6&gt;0,$B187&lt;H$6),H$4,H$5)/12),2))</f>
        <v/>
      </c>
      <c r="AN187">
        <f>IF(I186&lt;=0,0,ROUND(I186*(1+IF(AND(I$6&gt;0,$B187&lt;I$6),I$4,I$5)/12),2))</f>
        <v/>
      </c>
      <c r="AO187">
        <f>IF(J186&lt;=0,0,ROUND(J186*(1+IF(AND(J$6&gt;0,$B187&lt;J$6),J$4,J$5)/12),2))</f>
        <v/>
      </c>
      <c r="AP187">
        <f>IF(K186&lt;=0,0,ROUND(K186*(1+IF(AND(K$6&gt;0,$B187&lt;K$6),K$4,K$5)/12),2))</f>
        <v/>
      </c>
      <c r="AQ187">
        <f>IF(L186&lt;=0,0,ROUND(L186*(1+IF(AND(L$6&gt;0,$B187&lt;L$6),L$4,L$5)/12),2))</f>
        <v/>
      </c>
      <c r="AR187">
        <f>IF(M186&lt;=0,0,ROUND(M186*(1+IF(AND(M$6&gt;0,$B187&lt;M$6),M$4,M$5)/12),2))</f>
        <v/>
      </c>
      <c r="AS187">
        <f>IF(N186&lt;=0,0,ROUND(N186*(1+IF(AND(N$6&gt;0,$B187&lt;N$6),N$4,N$5)/12),2))</f>
        <v/>
      </c>
    </row>
    <row r="188">
      <c r="A188" t="n">
        <v>177</v>
      </c>
      <c r="B188">
        <f>EDATE(Plan!$C$6,176)</f>
        <v/>
      </c>
      <c r="C188">
        <f>IF(C187&lt;=0,0,MAX(0,AH188-O188))</f>
        <v/>
      </c>
      <c r="D188">
        <f>IF(D187&lt;=0,0,MAX(0,AI188-P188))</f>
        <v/>
      </c>
      <c r="E188">
        <f>IF(E187&lt;=0,0,MAX(0,AJ188-Q188))</f>
        <v/>
      </c>
      <c r="F188">
        <f>IF(F187&lt;=0,0,MAX(0,AK188-R188))</f>
        <v/>
      </c>
      <c r="G188">
        <f>IF(G187&lt;=0,0,MAX(0,AL188-S188))</f>
        <v/>
      </c>
      <c r="H188">
        <f>IF(H187&lt;=0,0,MAX(0,AM188-T188))</f>
        <v/>
      </c>
      <c r="I188">
        <f>IF(I187&lt;=0,0,MAX(0,AN188-U188))</f>
        <v/>
      </c>
      <c r="J188">
        <f>IF(J187&lt;=0,0,MAX(0,AO188-V188))</f>
        <v/>
      </c>
      <c r="K188">
        <f>IF(K187&lt;=0,0,MAX(0,AP188-W188))</f>
        <v/>
      </c>
      <c r="L188">
        <f>IF(L187&lt;=0,0,MAX(0,AQ188-X188))</f>
        <v/>
      </c>
      <c r="M188">
        <f>IF(M187&lt;=0,0,MAX(0,AR188-Y188))</f>
        <v/>
      </c>
      <c r="N188">
        <f>IF(N187&lt;=0,0,MAX(0,AS188-Z188))</f>
        <v/>
      </c>
      <c r="O188">
        <f>IF(C187&lt;=0,0,MIN(AH188,C$7+IF(C$2=$AA188,$AC188,IF(C$2=$AF188,$AG188,0))))</f>
        <v/>
      </c>
      <c r="P188">
        <f>IF(D187&lt;=0,0,MIN(AI188,D$7+IF(D$2=$AA188,$AC188,IF(D$2=$AF188,$AG188,0))))</f>
        <v/>
      </c>
      <c r="Q188">
        <f>IF(E187&lt;=0,0,MIN(AJ188,E$7+IF(E$2=$AA188,$AC188,IF(E$2=$AF188,$AG188,0))))</f>
        <v/>
      </c>
      <c r="R188">
        <f>IF(F187&lt;=0,0,MIN(AK188,F$7+IF(F$2=$AA188,$AC188,IF(F$2=$AF188,$AG188,0))))</f>
        <v/>
      </c>
      <c r="S188">
        <f>IF(G187&lt;=0,0,MIN(AL188,G$7+IF(G$2=$AA188,$AC188,IF(G$2=$AF188,$AG188,0))))</f>
        <v/>
      </c>
      <c r="T188">
        <f>IF(H187&lt;=0,0,MIN(AM188,H$7+IF(H$2=$AA188,$AC188,IF(H$2=$AF188,$AG188,0))))</f>
        <v/>
      </c>
      <c r="U188">
        <f>IF(I187&lt;=0,0,MIN(AN188,I$7+IF(I$2=$AA188,$AC188,IF(I$2=$AF188,$AG188,0))))</f>
        <v/>
      </c>
      <c r="V188">
        <f>IF(J187&lt;=0,0,MIN(AO188,J$7+IF(J$2=$AA188,$AC188,IF(J$2=$AF188,$AG188,0))))</f>
        <v/>
      </c>
      <c r="W188">
        <f>IF(K187&lt;=0,0,MIN(AP188,K$7+IF(K$2=$AA188,$AC188,IF(K$2=$AF188,$AG188,0))))</f>
        <v/>
      </c>
      <c r="X188">
        <f>IF(L187&lt;=0,0,MIN(AQ188,L$7+IF(L$2=$AA188,$AC188,IF(L$2=$AF188,$AG188,0))))</f>
        <v/>
      </c>
      <c r="Y188">
        <f>IF(M187&lt;=0,0,MIN(AR188,M$7+IF(M$2=$AA188,$AC188,IF(M$2=$AF188,$AG188,0))))</f>
        <v/>
      </c>
      <c r="Z188">
        <f>IF(N187&lt;=0,0,MIN(AS188,N$7+IF(N$2=$AA188,$AC188,IF(N$2=$AF188,$AG188,0))))</f>
        <v/>
      </c>
      <c r="AA188">
        <f>IFERROR(ROUND(1/SUMPRODUCT(MAX((C187:N187&gt;0)*($C$3:$N$3&lt;=B188)/$C$2:$N$2)),0),0)</f>
        <v/>
      </c>
      <c r="AB188">
        <f>SUMPRODUCT((C187:N187&gt;0)*$C$7:$N$7)</f>
        <v/>
      </c>
      <c r="AC188">
        <f>MAX(0,Plan!$C$5-AB188)+IF(A188=Plan!$C$8,N(Plan!$C$7),0)</f>
        <v/>
      </c>
      <c r="AD188">
        <f>SUM(C188:N188)</f>
        <v/>
      </c>
      <c r="AE188">
        <f>SUM(O188:Z188)</f>
        <v/>
      </c>
      <c r="AF188">
        <f>IFERROR(ROUND(1/SUMPRODUCT(MAX((C187:N187&gt;0)*($C$3:$N$3&lt;=B188)*($C$2:$N$2&gt;AA188)/$C$2:$N$2)),0),0)</f>
        <v/>
      </c>
      <c r="AG188">
        <f>MAX(0,AC188-MAX(0,SUMPRODUCT(($C$2:$N$2=AA188)*(AH188:AS188-$C$7:$N$7))))</f>
        <v/>
      </c>
      <c r="AH188">
        <f>IF(C187&lt;=0,0,ROUND(C187*(1+IF(AND(C$6&gt;0,$B188&lt;C$6),C$4,C$5)/12),2))</f>
        <v/>
      </c>
      <c r="AI188">
        <f>IF(D187&lt;=0,0,ROUND(D187*(1+IF(AND(D$6&gt;0,$B188&lt;D$6),D$4,D$5)/12),2))</f>
        <v/>
      </c>
      <c r="AJ188">
        <f>IF(E187&lt;=0,0,ROUND(E187*(1+IF(AND(E$6&gt;0,$B188&lt;E$6),E$4,E$5)/12),2))</f>
        <v/>
      </c>
      <c r="AK188">
        <f>IF(F187&lt;=0,0,ROUND(F187*(1+IF(AND(F$6&gt;0,$B188&lt;F$6),F$4,F$5)/12),2))</f>
        <v/>
      </c>
      <c r="AL188">
        <f>IF(G187&lt;=0,0,ROUND(G187*(1+IF(AND(G$6&gt;0,$B188&lt;G$6),G$4,G$5)/12),2))</f>
        <v/>
      </c>
      <c r="AM188">
        <f>IF(H187&lt;=0,0,ROUND(H187*(1+IF(AND(H$6&gt;0,$B188&lt;H$6),H$4,H$5)/12),2))</f>
        <v/>
      </c>
      <c r="AN188">
        <f>IF(I187&lt;=0,0,ROUND(I187*(1+IF(AND(I$6&gt;0,$B188&lt;I$6),I$4,I$5)/12),2))</f>
        <v/>
      </c>
      <c r="AO188">
        <f>IF(J187&lt;=0,0,ROUND(J187*(1+IF(AND(J$6&gt;0,$B188&lt;J$6),J$4,J$5)/12),2))</f>
        <v/>
      </c>
      <c r="AP188">
        <f>IF(K187&lt;=0,0,ROUND(K187*(1+IF(AND(K$6&gt;0,$B188&lt;K$6),K$4,K$5)/12),2))</f>
        <v/>
      </c>
      <c r="AQ188">
        <f>IF(L187&lt;=0,0,ROUND(L187*(1+IF(AND(L$6&gt;0,$B188&lt;L$6),L$4,L$5)/12),2))</f>
        <v/>
      </c>
      <c r="AR188">
        <f>IF(M187&lt;=0,0,ROUND(M187*(1+IF(AND(M$6&gt;0,$B188&lt;M$6),M$4,M$5)/12),2))</f>
        <v/>
      </c>
      <c r="AS188">
        <f>IF(N187&lt;=0,0,ROUND(N187*(1+IF(AND(N$6&gt;0,$B188&lt;N$6),N$4,N$5)/12),2))</f>
        <v/>
      </c>
    </row>
    <row r="189">
      <c r="A189" t="n">
        <v>178</v>
      </c>
      <c r="B189">
        <f>EDATE(Plan!$C$6,177)</f>
        <v/>
      </c>
      <c r="C189">
        <f>IF(C188&lt;=0,0,MAX(0,AH189-O189))</f>
        <v/>
      </c>
      <c r="D189">
        <f>IF(D188&lt;=0,0,MAX(0,AI189-P189))</f>
        <v/>
      </c>
      <c r="E189">
        <f>IF(E188&lt;=0,0,MAX(0,AJ189-Q189))</f>
        <v/>
      </c>
      <c r="F189">
        <f>IF(F188&lt;=0,0,MAX(0,AK189-R189))</f>
        <v/>
      </c>
      <c r="G189">
        <f>IF(G188&lt;=0,0,MAX(0,AL189-S189))</f>
        <v/>
      </c>
      <c r="H189">
        <f>IF(H188&lt;=0,0,MAX(0,AM189-T189))</f>
        <v/>
      </c>
      <c r="I189">
        <f>IF(I188&lt;=0,0,MAX(0,AN189-U189))</f>
        <v/>
      </c>
      <c r="J189">
        <f>IF(J188&lt;=0,0,MAX(0,AO189-V189))</f>
        <v/>
      </c>
      <c r="K189">
        <f>IF(K188&lt;=0,0,MAX(0,AP189-W189))</f>
        <v/>
      </c>
      <c r="L189">
        <f>IF(L188&lt;=0,0,MAX(0,AQ189-X189))</f>
        <v/>
      </c>
      <c r="M189">
        <f>IF(M188&lt;=0,0,MAX(0,AR189-Y189))</f>
        <v/>
      </c>
      <c r="N189">
        <f>IF(N188&lt;=0,0,MAX(0,AS189-Z189))</f>
        <v/>
      </c>
      <c r="O189">
        <f>IF(C188&lt;=0,0,MIN(AH189,C$7+IF(C$2=$AA189,$AC189,IF(C$2=$AF189,$AG189,0))))</f>
        <v/>
      </c>
      <c r="P189">
        <f>IF(D188&lt;=0,0,MIN(AI189,D$7+IF(D$2=$AA189,$AC189,IF(D$2=$AF189,$AG189,0))))</f>
        <v/>
      </c>
      <c r="Q189">
        <f>IF(E188&lt;=0,0,MIN(AJ189,E$7+IF(E$2=$AA189,$AC189,IF(E$2=$AF189,$AG189,0))))</f>
        <v/>
      </c>
      <c r="R189">
        <f>IF(F188&lt;=0,0,MIN(AK189,F$7+IF(F$2=$AA189,$AC189,IF(F$2=$AF189,$AG189,0))))</f>
        <v/>
      </c>
      <c r="S189">
        <f>IF(G188&lt;=0,0,MIN(AL189,G$7+IF(G$2=$AA189,$AC189,IF(G$2=$AF189,$AG189,0))))</f>
        <v/>
      </c>
      <c r="T189">
        <f>IF(H188&lt;=0,0,MIN(AM189,H$7+IF(H$2=$AA189,$AC189,IF(H$2=$AF189,$AG189,0))))</f>
        <v/>
      </c>
      <c r="U189">
        <f>IF(I188&lt;=0,0,MIN(AN189,I$7+IF(I$2=$AA189,$AC189,IF(I$2=$AF189,$AG189,0))))</f>
        <v/>
      </c>
      <c r="V189">
        <f>IF(J188&lt;=0,0,MIN(AO189,J$7+IF(J$2=$AA189,$AC189,IF(J$2=$AF189,$AG189,0))))</f>
        <v/>
      </c>
      <c r="W189">
        <f>IF(K188&lt;=0,0,MIN(AP189,K$7+IF(K$2=$AA189,$AC189,IF(K$2=$AF189,$AG189,0))))</f>
        <v/>
      </c>
      <c r="X189">
        <f>IF(L188&lt;=0,0,MIN(AQ189,L$7+IF(L$2=$AA189,$AC189,IF(L$2=$AF189,$AG189,0))))</f>
        <v/>
      </c>
      <c r="Y189">
        <f>IF(M188&lt;=0,0,MIN(AR189,M$7+IF(M$2=$AA189,$AC189,IF(M$2=$AF189,$AG189,0))))</f>
        <v/>
      </c>
      <c r="Z189">
        <f>IF(N188&lt;=0,0,MIN(AS189,N$7+IF(N$2=$AA189,$AC189,IF(N$2=$AF189,$AG189,0))))</f>
        <v/>
      </c>
      <c r="AA189">
        <f>IFERROR(ROUND(1/SUMPRODUCT(MAX((C188:N188&gt;0)*($C$3:$N$3&lt;=B189)/$C$2:$N$2)),0),0)</f>
        <v/>
      </c>
      <c r="AB189">
        <f>SUMPRODUCT((C188:N188&gt;0)*$C$7:$N$7)</f>
        <v/>
      </c>
      <c r="AC189">
        <f>MAX(0,Plan!$C$5-AB189)+IF(A189=Plan!$C$8,N(Plan!$C$7),0)</f>
        <v/>
      </c>
      <c r="AD189">
        <f>SUM(C189:N189)</f>
        <v/>
      </c>
      <c r="AE189">
        <f>SUM(O189:Z189)</f>
        <v/>
      </c>
      <c r="AF189">
        <f>IFERROR(ROUND(1/SUMPRODUCT(MAX((C188:N188&gt;0)*($C$3:$N$3&lt;=B189)*($C$2:$N$2&gt;AA189)/$C$2:$N$2)),0),0)</f>
        <v/>
      </c>
      <c r="AG189">
        <f>MAX(0,AC189-MAX(0,SUMPRODUCT(($C$2:$N$2=AA189)*(AH189:AS189-$C$7:$N$7))))</f>
        <v/>
      </c>
      <c r="AH189">
        <f>IF(C188&lt;=0,0,ROUND(C188*(1+IF(AND(C$6&gt;0,$B189&lt;C$6),C$4,C$5)/12),2))</f>
        <v/>
      </c>
      <c r="AI189">
        <f>IF(D188&lt;=0,0,ROUND(D188*(1+IF(AND(D$6&gt;0,$B189&lt;D$6),D$4,D$5)/12),2))</f>
        <v/>
      </c>
      <c r="AJ189">
        <f>IF(E188&lt;=0,0,ROUND(E188*(1+IF(AND(E$6&gt;0,$B189&lt;E$6),E$4,E$5)/12),2))</f>
        <v/>
      </c>
      <c r="AK189">
        <f>IF(F188&lt;=0,0,ROUND(F188*(1+IF(AND(F$6&gt;0,$B189&lt;F$6),F$4,F$5)/12),2))</f>
        <v/>
      </c>
      <c r="AL189">
        <f>IF(G188&lt;=0,0,ROUND(G188*(1+IF(AND(G$6&gt;0,$B189&lt;G$6),G$4,G$5)/12),2))</f>
        <v/>
      </c>
      <c r="AM189">
        <f>IF(H188&lt;=0,0,ROUND(H188*(1+IF(AND(H$6&gt;0,$B189&lt;H$6),H$4,H$5)/12),2))</f>
        <v/>
      </c>
      <c r="AN189">
        <f>IF(I188&lt;=0,0,ROUND(I188*(1+IF(AND(I$6&gt;0,$B189&lt;I$6),I$4,I$5)/12),2))</f>
        <v/>
      </c>
      <c r="AO189">
        <f>IF(J188&lt;=0,0,ROUND(J188*(1+IF(AND(J$6&gt;0,$B189&lt;J$6),J$4,J$5)/12),2))</f>
        <v/>
      </c>
      <c r="AP189">
        <f>IF(K188&lt;=0,0,ROUND(K188*(1+IF(AND(K$6&gt;0,$B189&lt;K$6),K$4,K$5)/12),2))</f>
        <v/>
      </c>
      <c r="AQ189">
        <f>IF(L188&lt;=0,0,ROUND(L188*(1+IF(AND(L$6&gt;0,$B189&lt;L$6),L$4,L$5)/12),2))</f>
        <v/>
      </c>
      <c r="AR189">
        <f>IF(M188&lt;=0,0,ROUND(M188*(1+IF(AND(M$6&gt;0,$B189&lt;M$6),M$4,M$5)/12),2))</f>
        <v/>
      </c>
      <c r="AS189">
        <f>IF(N188&lt;=0,0,ROUND(N188*(1+IF(AND(N$6&gt;0,$B189&lt;N$6),N$4,N$5)/12),2))</f>
        <v/>
      </c>
    </row>
    <row r="190">
      <c r="A190" t="n">
        <v>179</v>
      </c>
      <c r="B190">
        <f>EDATE(Plan!$C$6,178)</f>
        <v/>
      </c>
      <c r="C190">
        <f>IF(C189&lt;=0,0,MAX(0,AH190-O190))</f>
        <v/>
      </c>
      <c r="D190">
        <f>IF(D189&lt;=0,0,MAX(0,AI190-P190))</f>
        <v/>
      </c>
      <c r="E190">
        <f>IF(E189&lt;=0,0,MAX(0,AJ190-Q190))</f>
        <v/>
      </c>
      <c r="F190">
        <f>IF(F189&lt;=0,0,MAX(0,AK190-R190))</f>
        <v/>
      </c>
      <c r="G190">
        <f>IF(G189&lt;=0,0,MAX(0,AL190-S190))</f>
        <v/>
      </c>
      <c r="H190">
        <f>IF(H189&lt;=0,0,MAX(0,AM190-T190))</f>
        <v/>
      </c>
      <c r="I190">
        <f>IF(I189&lt;=0,0,MAX(0,AN190-U190))</f>
        <v/>
      </c>
      <c r="J190">
        <f>IF(J189&lt;=0,0,MAX(0,AO190-V190))</f>
        <v/>
      </c>
      <c r="K190">
        <f>IF(K189&lt;=0,0,MAX(0,AP190-W190))</f>
        <v/>
      </c>
      <c r="L190">
        <f>IF(L189&lt;=0,0,MAX(0,AQ190-X190))</f>
        <v/>
      </c>
      <c r="M190">
        <f>IF(M189&lt;=0,0,MAX(0,AR190-Y190))</f>
        <v/>
      </c>
      <c r="N190">
        <f>IF(N189&lt;=0,0,MAX(0,AS190-Z190))</f>
        <v/>
      </c>
      <c r="O190">
        <f>IF(C189&lt;=0,0,MIN(AH190,C$7+IF(C$2=$AA190,$AC190,IF(C$2=$AF190,$AG190,0))))</f>
        <v/>
      </c>
      <c r="P190">
        <f>IF(D189&lt;=0,0,MIN(AI190,D$7+IF(D$2=$AA190,$AC190,IF(D$2=$AF190,$AG190,0))))</f>
        <v/>
      </c>
      <c r="Q190">
        <f>IF(E189&lt;=0,0,MIN(AJ190,E$7+IF(E$2=$AA190,$AC190,IF(E$2=$AF190,$AG190,0))))</f>
        <v/>
      </c>
      <c r="R190">
        <f>IF(F189&lt;=0,0,MIN(AK190,F$7+IF(F$2=$AA190,$AC190,IF(F$2=$AF190,$AG190,0))))</f>
        <v/>
      </c>
      <c r="S190">
        <f>IF(G189&lt;=0,0,MIN(AL190,G$7+IF(G$2=$AA190,$AC190,IF(G$2=$AF190,$AG190,0))))</f>
        <v/>
      </c>
      <c r="T190">
        <f>IF(H189&lt;=0,0,MIN(AM190,H$7+IF(H$2=$AA190,$AC190,IF(H$2=$AF190,$AG190,0))))</f>
        <v/>
      </c>
      <c r="U190">
        <f>IF(I189&lt;=0,0,MIN(AN190,I$7+IF(I$2=$AA190,$AC190,IF(I$2=$AF190,$AG190,0))))</f>
        <v/>
      </c>
      <c r="V190">
        <f>IF(J189&lt;=0,0,MIN(AO190,J$7+IF(J$2=$AA190,$AC190,IF(J$2=$AF190,$AG190,0))))</f>
        <v/>
      </c>
      <c r="W190">
        <f>IF(K189&lt;=0,0,MIN(AP190,K$7+IF(K$2=$AA190,$AC190,IF(K$2=$AF190,$AG190,0))))</f>
        <v/>
      </c>
      <c r="X190">
        <f>IF(L189&lt;=0,0,MIN(AQ190,L$7+IF(L$2=$AA190,$AC190,IF(L$2=$AF190,$AG190,0))))</f>
        <v/>
      </c>
      <c r="Y190">
        <f>IF(M189&lt;=0,0,MIN(AR190,M$7+IF(M$2=$AA190,$AC190,IF(M$2=$AF190,$AG190,0))))</f>
        <v/>
      </c>
      <c r="Z190">
        <f>IF(N189&lt;=0,0,MIN(AS190,N$7+IF(N$2=$AA190,$AC190,IF(N$2=$AF190,$AG190,0))))</f>
        <v/>
      </c>
      <c r="AA190">
        <f>IFERROR(ROUND(1/SUMPRODUCT(MAX((C189:N189&gt;0)*($C$3:$N$3&lt;=B190)/$C$2:$N$2)),0),0)</f>
        <v/>
      </c>
      <c r="AB190">
        <f>SUMPRODUCT((C189:N189&gt;0)*$C$7:$N$7)</f>
        <v/>
      </c>
      <c r="AC190">
        <f>MAX(0,Plan!$C$5-AB190)+IF(A190=Plan!$C$8,N(Plan!$C$7),0)</f>
        <v/>
      </c>
      <c r="AD190">
        <f>SUM(C190:N190)</f>
        <v/>
      </c>
      <c r="AE190">
        <f>SUM(O190:Z190)</f>
        <v/>
      </c>
      <c r="AF190">
        <f>IFERROR(ROUND(1/SUMPRODUCT(MAX((C189:N189&gt;0)*($C$3:$N$3&lt;=B190)*($C$2:$N$2&gt;AA190)/$C$2:$N$2)),0),0)</f>
        <v/>
      </c>
      <c r="AG190">
        <f>MAX(0,AC190-MAX(0,SUMPRODUCT(($C$2:$N$2=AA190)*(AH190:AS190-$C$7:$N$7))))</f>
        <v/>
      </c>
      <c r="AH190">
        <f>IF(C189&lt;=0,0,ROUND(C189*(1+IF(AND(C$6&gt;0,$B190&lt;C$6),C$4,C$5)/12),2))</f>
        <v/>
      </c>
      <c r="AI190">
        <f>IF(D189&lt;=0,0,ROUND(D189*(1+IF(AND(D$6&gt;0,$B190&lt;D$6),D$4,D$5)/12),2))</f>
        <v/>
      </c>
      <c r="AJ190">
        <f>IF(E189&lt;=0,0,ROUND(E189*(1+IF(AND(E$6&gt;0,$B190&lt;E$6),E$4,E$5)/12),2))</f>
        <v/>
      </c>
      <c r="AK190">
        <f>IF(F189&lt;=0,0,ROUND(F189*(1+IF(AND(F$6&gt;0,$B190&lt;F$6),F$4,F$5)/12),2))</f>
        <v/>
      </c>
      <c r="AL190">
        <f>IF(G189&lt;=0,0,ROUND(G189*(1+IF(AND(G$6&gt;0,$B190&lt;G$6),G$4,G$5)/12),2))</f>
        <v/>
      </c>
      <c r="AM190">
        <f>IF(H189&lt;=0,0,ROUND(H189*(1+IF(AND(H$6&gt;0,$B190&lt;H$6),H$4,H$5)/12),2))</f>
        <v/>
      </c>
      <c r="AN190">
        <f>IF(I189&lt;=0,0,ROUND(I189*(1+IF(AND(I$6&gt;0,$B190&lt;I$6),I$4,I$5)/12),2))</f>
        <v/>
      </c>
      <c r="AO190">
        <f>IF(J189&lt;=0,0,ROUND(J189*(1+IF(AND(J$6&gt;0,$B190&lt;J$6),J$4,J$5)/12),2))</f>
        <v/>
      </c>
      <c r="AP190">
        <f>IF(K189&lt;=0,0,ROUND(K189*(1+IF(AND(K$6&gt;0,$B190&lt;K$6),K$4,K$5)/12),2))</f>
        <v/>
      </c>
      <c r="AQ190">
        <f>IF(L189&lt;=0,0,ROUND(L189*(1+IF(AND(L$6&gt;0,$B190&lt;L$6),L$4,L$5)/12),2))</f>
        <v/>
      </c>
      <c r="AR190">
        <f>IF(M189&lt;=0,0,ROUND(M189*(1+IF(AND(M$6&gt;0,$B190&lt;M$6),M$4,M$5)/12),2))</f>
        <v/>
      </c>
      <c r="AS190">
        <f>IF(N189&lt;=0,0,ROUND(N189*(1+IF(AND(N$6&gt;0,$B190&lt;N$6),N$4,N$5)/12),2))</f>
        <v/>
      </c>
    </row>
    <row r="191">
      <c r="A191" t="n">
        <v>180</v>
      </c>
      <c r="B191">
        <f>EDATE(Plan!$C$6,179)</f>
        <v/>
      </c>
      <c r="C191">
        <f>IF(C190&lt;=0,0,MAX(0,AH191-O191))</f>
        <v/>
      </c>
      <c r="D191">
        <f>IF(D190&lt;=0,0,MAX(0,AI191-P191))</f>
        <v/>
      </c>
      <c r="E191">
        <f>IF(E190&lt;=0,0,MAX(0,AJ191-Q191))</f>
        <v/>
      </c>
      <c r="F191">
        <f>IF(F190&lt;=0,0,MAX(0,AK191-R191))</f>
        <v/>
      </c>
      <c r="G191">
        <f>IF(G190&lt;=0,0,MAX(0,AL191-S191))</f>
        <v/>
      </c>
      <c r="H191">
        <f>IF(H190&lt;=0,0,MAX(0,AM191-T191))</f>
        <v/>
      </c>
      <c r="I191">
        <f>IF(I190&lt;=0,0,MAX(0,AN191-U191))</f>
        <v/>
      </c>
      <c r="J191">
        <f>IF(J190&lt;=0,0,MAX(0,AO191-V191))</f>
        <v/>
      </c>
      <c r="K191">
        <f>IF(K190&lt;=0,0,MAX(0,AP191-W191))</f>
        <v/>
      </c>
      <c r="L191">
        <f>IF(L190&lt;=0,0,MAX(0,AQ191-X191))</f>
        <v/>
      </c>
      <c r="M191">
        <f>IF(M190&lt;=0,0,MAX(0,AR191-Y191))</f>
        <v/>
      </c>
      <c r="N191">
        <f>IF(N190&lt;=0,0,MAX(0,AS191-Z191))</f>
        <v/>
      </c>
      <c r="O191">
        <f>IF(C190&lt;=0,0,MIN(AH191,C$7+IF(C$2=$AA191,$AC191,IF(C$2=$AF191,$AG191,0))))</f>
        <v/>
      </c>
      <c r="P191">
        <f>IF(D190&lt;=0,0,MIN(AI191,D$7+IF(D$2=$AA191,$AC191,IF(D$2=$AF191,$AG191,0))))</f>
        <v/>
      </c>
      <c r="Q191">
        <f>IF(E190&lt;=0,0,MIN(AJ191,E$7+IF(E$2=$AA191,$AC191,IF(E$2=$AF191,$AG191,0))))</f>
        <v/>
      </c>
      <c r="R191">
        <f>IF(F190&lt;=0,0,MIN(AK191,F$7+IF(F$2=$AA191,$AC191,IF(F$2=$AF191,$AG191,0))))</f>
        <v/>
      </c>
      <c r="S191">
        <f>IF(G190&lt;=0,0,MIN(AL191,G$7+IF(G$2=$AA191,$AC191,IF(G$2=$AF191,$AG191,0))))</f>
        <v/>
      </c>
      <c r="T191">
        <f>IF(H190&lt;=0,0,MIN(AM191,H$7+IF(H$2=$AA191,$AC191,IF(H$2=$AF191,$AG191,0))))</f>
        <v/>
      </c>
      <c r="U191">
        <f>IF(I190&lt;=0,0,MIN(AN191,I$7+IF(I$2=$AA191,$AC191,IF(I$2=$AF191,$AG191,0))))</f>
        <v/>
      </c>
      <c r="V191">
        <f>IF(J190&lt;=0,0,MIN(AO191,J$7+IF(J$2=$AA191,$AC191,IF(J$2=$AF191,$AG191,0))))</f>
        <v/>
      </c>
      <c r="W191">
        <f>IF(K190&lt;=0,0,MIN(AP191,K$7+IF(K$2=$AA191,$AC191,IF(K$2=$AF191,$AG191,0))))</f>
        <v/>
      </c>
      <c r="X191">
        <f>IF(L190&lt;=0,0,MIN(AQ191,L$7+IF(L$2=$AA191,$AC191,IF(L$2=$AF191,$AG191,0))))</f>
        <v/>
      </c>
      <c r="Y191">
        <f>IF(M190&lt;=0,0,MIN(AR191,M$7+IF(M$2=$AA191,$AC191,IF(M$2=$AF191,$AG191,0))))</f>
        <v/>
      </c>
      <c r="Z191">
        <f>IF(N190&lt;=0,0,MIN(AS191,N$7+IF(N$2=$AA191,$AC191,IF(N$2=$AF191,$AG191,0))))</f>
        <v/>
      </c>
      <c r="AA191">
        <f>IFERROR(ROUND(1/SUMPRODUCT(MAX((C190:N190&gt;0)*($C$3:$N$3&lt;=B191)/$C$2:$N$2)),0),0)</f>
        <v/>
      </c>
      <c r="AB191">
        <f>SUMPRODUCT((C190:N190&gt;0)*$C$7:$N$7)</f>
        <v/>
      </c>
      <c r="AC191">
        <f>MAX(0,Plan!$C$5-AB191)+IF(A191=Plan!$C$8,N(Plan!$C$7),0)</f>
        <v/>
      </c>
      <c r="AD191">
        <f>SUM(C191:N191)</f>
        <v/>
      </c>
      <c r="AE191">
        <f>SUM(O191:Z191)</f>
        <v/>
      </c>
      <c r="AF191">
        <f>IFERROR(ROUND(1/SUMPRODUCT(MAX((C190:N190&gt;0)*($C$3:$N$3&lt;=B191)*($C$2:$N$2&gt;AA191)/$C$2:$N$2)),0),0)</f>
        <v/>
      </c>
      <c r="AG191">
        <f>MAX(0,AC191-MAX(0,SUMPRODUCT(($C$2:$N$2=AA191)*(AH191:AS191-$C$7:$N$7))))</f>
        <v/>
      </c>
      <c r="AH191">
        <f>IF(C190&lt;=0,0,ROUND(C190*(1+IF(AND(C$6&gt;0,$B191&lt;C$6),C$4,C$5)/12),2))</f>
        <v/>
      </c>
      <c r="AI191">
        <f>IF(D190&lt;=0,0,ROUND(D190*(1+IF(AND(D$6&gt;0,$B191&lt;D$6),D$4,D$5)/12),2))</f>
        <v/>
      </c>
      <c r="AJ191">
        <f>IF(E190&lt;=0,0,ROUND(E190*(1+IF(AND(E$6&gt;0,$B191&lt;E$6),E$4,E$5)/12),2))</f>
        <v/>
      </c>
      <c r="AK191">
        <f>IF(F190&lt;=0,0,ROUND(F190*(1+IF(AND(F$6&gt;0,$B191&lt;F$6),F$4,F$5)/12),2))</f>
        <v/>
      </c>
      <c r="AL191">
        <f>IF(G190&lt;=0,0,ROUND(G190*(1+IF(AND(G$6&gt;0,$B191&lt;G$6),G$4,G$5)/12),2))</f>
        <v/>
      </c>
      <c r="AM191">
        <f>IF(H190&lt;=0,0,ROUND(H190*(1+IF(AND(H$6&gt;0,$B191&lt;H$6),H$4,H$5)/12),2))</f>
        <v/>
      </c>
      <c r="AN191">
        <f>IF(I190&lt;=0,0,ROUND(I190*(1+IF(AND(I$6&gt;0,$B191&lt;I$6),I$4,I$5)/12),2))</f>
        <v/>
      </c>
      <c r="AO191">
        <f>IF(J190&lt;=0,0,ROUND(J190*(1+IF(AND(J$6&gt;0,$B191&lt;J$6),J$4,J$5)/12),2))</f>
        <v/>
      </c>
      <c r="AP191">
        <f>IF(K190&lt;=0,0,ROUND(K190*(1+IF(AND(K$6&gt;0,$B191&lt;K$6),K$4,K$5)/12),2))</f>
        <v/>
      </c>
      <c r="AQ191">
        <f>IF(L190&lt;=0,0,ROUND(L190*(1+IF(AND(L$6&gt;0,$B191&lt;L$6),L$4,L$5)/12),2))</f>
        <v/>
      </c>
      <c r="AR191">
        <f>IF(M190&lt;=0,0,ROUND(M190*(1+IF(AND(M$6&gt;0,$B191&lt;M$6),M$4,M$5)/12),2))</f>
        <v/>
      </c>
      <c r="AS191">
        <f>IF(N190&lt;=0,0,ROUND(N190*(1+IF(AND(N$6&gt;0,$B191&lt;N$6),N$4,N$5)/12),2))</f>
        <v/>
      </c>
    </row>
    <row r="192">
      <c r="A192" t="n">
        <v>181</v>
      </c>
      <c r="B192">
        <f>EDATE(Plan!$C$6,180)</f>
        <v/>
      </c>
      <c r="C192">
        <f>IF(C191&lt;=0,0,MAX(0,AH192-O192))</f>
        <v/>
      </c>
      <c r="D192">
        <f>IF(D191&lt;=0,0,MAX(0,AI192-P192))</f>
        <v/>
      </c>
      <c r="E192">
        <f>IF(E191&lt;=0,0,MAX(0,AJ192-Q192))</f>
        <v/>
      </c>
      <c r="F192">
        <f>IF(F191&lt;=0,0,MAX(0,AK192-R192))</f>
        <v/>
      </c>
      <c r="G192">
        <f>IF(G191&lt;=0,0,MAX(0,AL192-S192))</f>
        <v/>
      </c>
      <c r="H192">
        <f>IF(H191&lt;=0,0,MAX(0,AM192-T192))</f>
        <v/>
      </c>
      <c r="I192">
        <f>IF(I191&lt;=0,0,MAX(0,AN192-U192))</f>
        <v/>
      </c>
      <c r="J192">
        <f>IF(J191&lt;=0,0,MAX(0,AO192-V192))</f>
        <v/>
      </c>
      <c r="K192">
        <f>IF(K191&lt;=0,0,MAX(0,AP192-W192))</f>
        <v/>
      </c>
      <c r="L192">
        <f>IF(L191&lt;=0,0,MAX(0,AQ192-X192))</f>
        <v/>
      </c>
      <c r="M192">
        <f>IF(M191&lt;=0,0,MAX(0,AR192-Y192))</f>
        <v/>
      </c>
      <c r="N192">
        <f>IF(N191&lt;=0,0,MAX(0,AS192-Z192))</f>
        <v/>
      </c>
      <c r="O192">
        <f>IF(C191&lt;=0,0,MIN(AH192,C$7+IF(C$2=$AA192,$AC192,IF(C$2=$AF192,$AG192,0))))</f>
        <v/>
      </c>
      <c r="P192">
        <f>IF(D191&lt;=0,0,MIN(AI192,D$7+IF(D$2=$AA192,$AC192,IF(D$2=$AF192,$AG192,0))))</f>
        <v/>
      </c>
      <c r="Q192">
        <f>IF(E191&lt;=0,0,MIN(AJ192,E$7+IF(E$2=$AA192,$AC192,IF(E$2=$AF192,$AG192,0))))</f>
        <v/>
      </c>
      <c r="R192">
        <f>IF(F191&lt;=0,0,MIN(AK192,F$7+IF(F$2=$AA192,$AC192,IF(F$2=$AF192,$AG192,0))))</f>
        <v/>
      </c>
      <c r="S192">
        <f>IF(G191&lt;=0,0,MIN(AL192,G$7+IF(G$2=$AA192,$AC192,IF(G$2=$AF192,$AG192,0))))</f>
        <v/>
      </c>
      <c r="T192">
        <f>IF(H191&lt;=0,0,MIN(AM192,H$7+IF(H$2=$AA192,$AC192,IF(H$2=$AF192,$AG192,0))))</f>
        <v/>
      </c>
      <c r="U192">
        <f>IF(I191&lt;=0,0,MIN(AN192,I$7+IF(I$2=$AA192,$AC192,IF(I$2=$AF192,$AG192,0))))</f>
        <v/>
      </c>
      <c r="V192">
        <f>IF(J191&lt;=0,0,MIN(AO192,J$7+IF(J$2=$AA192,$AC192,IF(J$2=$AF192,$AG192,0))))</f>
        <v/>
      </c>
      <c r="W192">
        <f>IF(K191&lt;=0,0,MIN(AP192,K$7+IF(K$2=$AA192,$AC192,IF(K$2=$AF192,$AG192,0))))</f>
        <v/>
      </c>
      <c r="X192">
        <f>IF(L191&lt;=0,0,MIN(AQ192,L$7+IF(L$2=$AA192,$AC192,IF(L$2=$AF192,$AG192,0))))</f>
        <v/>
      </c>
      <c r="Y192">
        <f>IF(M191&lt;=0,0,MIN(AR192,M$7+IF(M$2=$AA192,$AC192,IF(M$2=$AF192,$AG192,0))))</f>
        <v/>
      </c>
      <c r="Z192">
        <f>IF(N191&lt;=0,0,MIN(AS192,N$7+IF(N$2=$AA192,$AC192,IF(N$2=$AF192,$AG192,0))))</f>
        <v/>
      </c>
      <c r="AA192">
        <f>IFERROR(ROUND(1/SUMPRODUCT(MAX((C191:N191&gt;0)*($C$3:$N$3&lt;=B192)/$C$2:$N$2)),0),0)</f>
        <v/>
      </c>
      <c r="AB192">
        <f>SUMPRODUCT((C191:N191&gt;0)*$C$7:$N$7)</f>
        <v/>
      </c>
      <c r="AC192">
        <f>MAX(0,Plan!$C$5-AB192)+IF(A192=Plan!$C$8,N(Plan!$C$7),0)</f>
        <v/>
      </c>
      <c r="AD192">
        <f>SUM(C192:N192)</f>
        <v/>
      </c>
      <c r="AE192">
        <f>SUM(O192:Z192)</f>
        <v/>
      </c>
      <c r="AF192">
        <f>IFERROR(ROUND(1/SUMPRODUCT(MAX((C191:N191&gt;0)*($C$3:$N$3&lt;=B192)*($C$2:$N$2&gt;AA192)/$C$2:$N$2)),0),0)</f>
        <v/>
      </c>
      <c r="AG192">
        <f>MAX(0,AC192-MAX(0,SUMPRODUCT(($C$2:$N$2=AA192)*(AH192:AS192-$C$7:$N$7))))</f>
        <v/>
      </c>
      <c r="AH192">
        <f>IF(C191&lt;=0,0,ROUND(C191*(1+IF(AND(C$6&gt;0,$B192&lt;C$6),C$4,C$5)/12),2))</f>
        <v/>
      </c>
      <c r="AI192">
        <f>IF(D191&lt;=0,0,ROUND(D191*(1+IF(AND(D$6&gt;0,$B192&lt;D$6),D$4,D$5)/12),2))</f>
        <v/>
      </c>
      <c r="AJ192">
        <f>IF(E191&lt;=0,0,ROUND(E191*(1+IF(AND(E$6&gt;0,$B192&lt;E$6),E$4,E$5)/12),2))</f>
        <v/>
      </c>
      <c r="AK192">
        <f>IF(F191&lt;=0,0,ROUND(F191*(1+IF(AND(F$6&gt;0,$B192&lt;F$6),F$4,F$5)/12),2))</f>
        <v/>
      </c>
      <c r="AL192">
        <f>IF(G191&lt;=0,0,ROUND(G191*(1+IF(AND(G$6&gt;0,$B192&lt;G$6),G$4,G$5)/12),2))</f>
        <v/>
      </c>
      <c r="AM192">
        <f>IF(H191&lt;=0,0,ROUND(H191*(1+IF(AND(H$6&gt;0,$B192&lt;H$6),H$4,H$5)/12),2))</f>
        <v/>
      </c>
      <c r="AN192">
        <f>IF(I191&lt;=0,0,ROUND(I191*(1+IF(AND(I$6&gt;0,$B192&lt;I$6),I$4,I$5)/12),2))</f>
        <v/>
      </c>
      <c r="AO192">
        <f>IF(J191&lt;=0,0,ROUND(J191*(1+IF(AND(J$6&gt;0,$B192&lt;J$6),J$4,J$5)/12),2))</f>
        <v/>
      </c>
      <c r="AP192">
        <f>IF(K191&lt;=0,0,ROUND(K191*(1+IF(AND(K$6&gt;0,$B192&lt;K$6),K$4,K$5)/12),2))</f>
        <v/>
      </c>
      <c r="AQ192">
        <f>IF(L191&lt;=0,0,ROUND(L191*(1+IF(AND(L$6&gt;0,$B192&lt;L$6),L$4,L$5)/12),2))</f>
        <v/>
      </c>
      <c r="AR192">
        <f>IF(M191&lt;=0,0,ROUND(M191*(1+IF(AND(M$6&gt;0,$B192&lt;M$6),M$4,M$5)/12),2))</f>
        <v/>
      </c>
      <c r="AS192">
        <f>IF(N191&lt;=0,0,ROUND(N191*(1+IF(AND(N$6&gt;0,$B192&lt;N$6),N$4,N$5)/12),2))</f>
        <v/>
      </c>
    </row>
    <row r="193">
      <c r="A193" t="n">
        <v>182</v>
      </c>
      <c r="B193">
        <f>EDATE(Plan!$C$6,181)</f>
        <v/>
      </c>
      <c r="C193">
        <f>IF(C192&lt;=0,0,MAX(0,AH193-O193))</f>
        <v/>
      </c>
      <c r="D193">
        <f>IF(D192&lt;=0,0,MAX(0,AI193-P193))</f>
        <v/>
      </c>
      <c r="E193">
        <f>IF(E192&lt;=0,0,MAX(0,AJ193-Q193))</f>
        <v/>
      </c>
      <c r="F193">
        <f>IF(F192&lt;=0,0,MAX(0,AK193-R193))</f>
        <v/>
      </c>
      <c r="G193">
        <f>IF(G192&lt;=0,0,MAX(0,AL193-S193))</f>
        <v/>
      </c>
      <c r="H193">
        <f>IF(H192&lt;=0,0,MAX(0,AM193-T193))</f>
        <v/>
      </c>
      <c r="I193">
        <f>IF(I192&lt;=0,0,MAX(0,AN193-U193))</f>
        <v/>
      </c>
      <c r="J193">
        <f>IF(J192&lt;=0,0,MAX(0,AO193-V193))</f>
        <v/>
      </c>
      <c r="K193">
        <f>IF(K192&lt;=0,0,MAX(0,AP193-W193))</f>
        <v/>
      </c>
      <c r="L193">
        <f>IF(L192&lt;=0,0,MAX(0,AQ193-X193))</f>
        <v/>
      </c>
      <c r="M193">
        <f>IF(M192&lt;=0,0,MAX(0,AR193-Y193))</f>
        <v/>
      </c>
      <c r="N193">
        <f>IF(N192&lt;=0,0,MAX(0,AS193-Z193))</f>
        <v/>
      </c>
      <c r="O193">
        <f>IF(C192&lt;=0,0,MIN(AH193,C$7+IF(C$2=$AA193,$AC193,IF(C$2=$AF193,$AG193,0))))</f>
        <v/>
      </c>
      <c r="P193">
        <f>IF(D192&lt;=0,0,MIN(AI193,D$7+IF(D$2=$AA193,$AC193,IF(D$2=$AF193,$AG193,0))))</f>
        <v/>
      </c>
      <c r="Q193">
        <f>IF(E192&lt;=0,0,MIN(AJ193,E$7+IF(E$2=$AA193,$AC193,IF(E$2=$AF193,$AG193,0))))</f>
        <v/>
      </c>
      <c r="R193">
        <f>IF(F192&lt;=0,0,MIN(AK193,F$7+IF(F$2=$AA193,$AC193,IF(F$2=$AF193,$AG193,0))))</f>
        <v/>
      </c>
      <c r="S193">
        <f>IF(G192&lt;=0,0,MIN(AL193,G$7+IF(G$2=$AA193,$AC193,IF(G$2=$AF193,$AG193,0))))</f>
        <v/>
      </c>
      <c r="T193">
        <f>IF(H192&lt;=0,0,MIN(AM193,H$7+IF(H$2=$AA193,$AC193,IF(H$2=$AF193,$AG193,0))))</f>
        <v/>
      </c>
      <c r="U193">
        <f>IF(I192&lt;=0,0,MIN(AN193,I$7+IF(I$2=$AA193,$AC193,IF(I$2=$AF193,$AG193,0))))</f>
        <v/>
      </c>
      <c r="V193">
        <f>IF(J192&lt;=0,0,MIN(AO193,J$7+IF(J$2=$AA193,$AC193,IF(J$2=$AF193,$AG193,0))))</f>
        <v/>
      </c>
      <c r="W193">
        <f>IF(K192&lt;=0,0,MIN(AP193,K$7+IF(K$2=$AA193,$AC193,IF(K$2=$AF193,$AG193,0))))</f>
        <v/>
      </c>
      <c r="X193">
        <f>IF(L192&lt;=0,0,MIN(AQ193,L$7+IF(L$2=$AA193,$AC193,IF(L$2=$AF193,$AG193,0))))</f>
        <v/>
      </c>
      <c r="Y193">
        <f>IF(M192&lt;=0,0,MIN(AR193,M$7+IF(M$2=$AA193,$AC193,IF(M$2=$AF193,$AG193,0))))</f>
        <v/>
      </c>
      <c r="Z193">
        <f>IF(N192&lt;=0,0,MIN(AS193,N$7+IF(N$2=$AA193,$AC193,IF(N$2=$AF193,$AG193,0))))</f>
        <v/>
      </c>
      <c r="AA193">
        <f>IFERROR(ROUND(1/SUMPRODUCT(MAX((C192:N192&gt;0)*($C$3:$N$3&lt;=B193)/$C$2:$N$2)),0),0)</f>
        <v/>
      </c>
      <c r="AB193">
        <f>SUMPRODUCT((C192:N192&gt;0)*$C$7:$N$7)</f>
        <v/>
      </c>
      <c r="AC193">
        <f>MAX(0,Plan!$C$5-AB193)+IF(A193=Plan!$C$8,N(Plan!$C$7),0)</f>
        <v/>
      </c>
      <c r="AD193">
        <f>SUM(C193:N193)</f>
        <v/>
      </c>
      <c r="AE193">
        <f>SUM(O193:Z193)</f>
        <v/>
      </c>
      <c r="AF193">
        <f>IFERROR(ROUND(1/SUMPRODUCT(MAX((C192:N192&gt;0)*($C$3:$N$3&lt;=B193)*($C$2:$N$2&gt;AA193)/$C$2:$N$2)),0),0)</f>
        <v/>
      </c>
      <c r="AG193">
        <f>MAX(0,AC193-MAX(0,SUMPRODUCT(($C$2:$N$2=AA193)*(AH193:AS193-$C$7:$N$7))))</f>
        <v/>
      </c>
      <c r="AH193">
        <f>IF(C192&lt;=0,0,ROUND(C192*(1+IF(AND(C$6&gt;0,$B193&lt;C$6),C$4,C$5)/12),2))</f>
        <v/>
      </c>
      <c r="AI193">
        <f>IF(D192&lt;=0,0,ROUND(D192*(1+IF(AND(D$6&gt;0,$B193&lt;D$6),D$4,D$5)/12),2))</f>
        <v/>
      </c>
      <c r="AJ193">
        <f>IF(E192&lt;=0,0,ROUND(E192*(1+IF(AND(E$6&gt;0,$B193&lt;E$6),E$4,E$5)/12),2))</f>
        <v/>
      </c>
      <c r="AK193">
        <f>IF(F192&lt;=0,0,ROUND(F192*(1+IF(AND(F$6&gt;0,$B193&lt;F$6),F$4,F$5)/12),2))</f>
        <v/>
      </c>
      <c r="AL193">
        <f>IF(G192&lt;=0,0,ROUND(G192*(1+IF(AND(G$6&gt;0,$B193&lt;G$6),G$4,G$5)/12),2))</f>
        <v/>
      </c>
      <c r="AM193">
        <f>IF(H192&lt;=0,0,ROUND(H192*(1+IF(AND(H$6&gt;0,$B193&lt;H$6),H$4,H$5)/12),2))</f>
        <v/>
      </c>
      <c r="AN193">
        <f>IF(I192&lt;=0,0,ROUND(I192*(1+IF(AND(I$6&gt;0,$B193&lt;I$6),I$4,I$5)/12),2))</f>
        <v/>
      </c>
      <c r="AO193">
        <f>IF(J192&lt;=0,0,ROUND(J192*(1+IF(AND(J$6&gt;0,$B193&lt;J$6),J$4,J$5)/12),2))</f>
        <v/>
      </c>
      <c r="AP193">
        <f>IF(K192&lt;=0,0,ROUND(K192*(1+IF(AND(K$6&gt;0,$B193&lt;K$6),K$4,K$5)/12),2))</f>
        <v/>
      </c>
      <c r="AQ193">
        <f>IF(L192&lt;=0,0,ROUND(L192*(1+IF(AND(L$6&gt;0,$B193&lt;L$6),L$4,L$5)/12),2))</f>
        <v/>
      </c>
      <c r="AR193">
        <f>IF(M192&lt;=0,0,ROUND(M192*(1+IF(AND(M$6&gt;0,$B193&lt;M$6),M$4,M$5)/12),2))</f>
        <v/>
      </c>
      <c r="AS193">
        <f>IF(N192&lt;=0,0,ROUND(N192*(1+IF(AND(N$6&gt;0,$B193&lt;N$6),N$4,N$5)/12),2))</f>
        <v/>
      </c>
    </row>
    <row r="194">
      <c r="A194" t="n">
        <v>183</v>
      </c>
      <c r="B194">
        <f>EDATE(Plan!$C$6,182)</f>
        <v/>
      </c>
      <c r="C194">
        <f>IF(C193&lt;=0,0,MAX(0,AH194-O194))</f>
        <v/>
      </c>
      <c r="D194">
        <f>IF(D193&lt;=0,0,MAX(0,AI194-P194))</f>
        <v/>
      </c>
      <c r="E194">
        <f>IF(E193&lt;=0,0,MAX(0,AJ194-Q194))</f>
        <v/>
      </c>
      <c r="F194">
        <f>IF(F193&lt;=0,0,MAX(0,AK194-R194))</f>
        <v/>
      </c>
      <c r="G194">
        <f>IF(G193&lt;=0,0,MAX(0,AL194-S194))</f>
        <v/>
      </c>
      <c r="H194">
        <f>IF(H193&lt;=0,0,MAX(0,AM194-T194))</f>
        <v/>
      </c>
      <c r="I194">
        <f>IF(I193&lt;=0,0,MAX(0,AN194-U194))</f>
        <v/>
      </c>
      <c r="J194">
        <f>IF(J193&lt;=0,0,MAX(0,AO194-V194))</f>
        <v/>
      </c>
      <c r="K194">
        <f>IF(K193&lt;=0,0,MAX(0,AP194-W194))</f>
        <v/>
      </c>
      <c r="L194">
        <f>IF(L193&lt;=0,0,MAX(0,AQ194-X194))</f>
        <v/>
      </c>
      <c r="M194">
        <f>IF(M193&lt;=0,0,MAX(0,AR194-Y194))</f>
        <v/>
      </c>
      <c r="N194">
        <f>IF(N193&lt;=0,0,MAX(0,AS194-Z194))</f>
        <v/>
      </c>
      <c r="O194">
        <f>IF(C193&lt;=0,0,MIN(AH194,C$7+IF(C$2=$AA194,$AC194,IF(C$2=$AF194,$AG194,0))))</f>
        <v/>
      </c>
      <c r="P194">
        <f>IF(D193&lt;=0,0,MIN(AI194,D$7+IF(D$2=$AA194,$AC194,IF(D$2=$AF194,$AG194,0))))</f>
        <v/>
      </c>
      <c r="Q194">
        <f>IF(E193&lt;=0,0,MIN(AJ194,E$7+IF(E$2=$AA194,$AC194,IF(E$2=$AF194,$AG194,0))))</f>
        <v/>
      </c>
      <c r="R194">
        <f>IF(F193&lt;=0,0,MIN(AK194,F$7+IF(F$2=$AA194,$AC194,IF(F$2=$AF194,$AG194,0))))</f>
        <v/>
      </c>
      <c r="S194">
        <f>IF(G193&lt;=0,0,MIN(AL194,G$7+IF(G$2=$AA194,$AC194,IF(G$2=$AF194,$AG194,0))))</f>
        <v/>
      </c>
      <c r="T194">
        <f>IF(H193&lt;=0,0,MIN(AM194,H$7+IF(H$2=$AA194,$AC194,IF(H$2=$AF194,$AG194,0))))</f>
        <v/>
      </c>
      <c r="U194">
        <f>IF(I193&lt;=0,0,MIN(AN194,I$7+IF(I$2=$AA194,$AC194,IF(I$2=$AF194,$AG194,0))))</f>
        <v/>
      </c>
      <c r="V194">
        <f>IF(J193&lt;=0,0,MIN(AO194,J$7+IF(J$2=$AA194,$AC194,IF(J$2=$AF194,$AG194,0))))</f>
        <v/>
      </c>
      <c r="W194">
        <f>IF(K193&lt;=0,0,MIN(AP194,K$7+IF(K$2=$AA194,$AC194,IF(K$2=$AF194,$AG194,0))))</f>
        <v/>
      </c>
      <c r="X194">
        <f>IF(L193&lt;=0,0,MIN(AQ194,L$7+IF(L$2=$AA194,$AC194,IF(L$2=$AF194,$AG194,0))))</f>
        <v/>
      </c>
      <c r="Y194">
        <f>IF(M193&lt;=0,0,MIN(AR194,M$7+IF(M$2=$AA194,$AC194,IF(M$2=$AF194,$AG194,0))))</f>
        <v/>
      </c>
      <c r="Z194">
        <f>IF(N193&lt;=0,0,MIN(AS194,N$7+IF(N$2=$AA194,$AC194,IF(N$2=$AF194,$AG194,0))))</f>
        <v/>
      </c>
      <c r="AA194">
        <f>IFERROR(ROUND(1/SUMPRODUCT(MAX((C193:N193&gt;0)*($C$3:$N$3&lt;=B194)/$C$2:$N$2)),0),0)</f>
        <v/>
      </c>
      <c r="AB194">
        <f>SUMPRODUCT((C193:N193&gt;0)*$C$7:$N$7)</f>
        <v/>
      </c>
      <c r="AC194">
        <f>MAX(0,Plan!$C$5-AB194)+IF(A194=Plan!$C$8,N(Plan!$C$7),0)</f>
        <v/>
      </c>
      <c r="AD194">
        <f>SUM(C194:N194)</f>
        <v/>
      </c>
      <c r="AE194">
        <f>SUM(O194:Z194)</f>
        <v/>
      </c>
      <c r="AF194">
        <f>IFERROR(ROUND(1/SUMPRODUCT(MAX((C193:N193&gt;0)*($C$3:$N$3&lt;=B194)*($C$2:$N$2&gt;AA194)/$C$2:$N$2)),0),0)</f>
        <v/>
      </c>
      <c r="AG194">
        <f>MAX(0,AC194-MAX(0,SUMPRODUCT(($C$2:$N$2=AA194)*(AH194:AS194-$C$7:$N$7))))</f>
        <v/>
      </c>
      <c r="AH194">
        <f>IF(C193&lt;=0,0,ROUND(C193*(1+IF(AND(C$6&gt;0,$B194&lt;C$6),C$4,C$5)/12),2))</f>
        <v/>
      </c>
      <c r="AI194">
        <f>IF(D193&lt;=0,0,ROUND(D193*(1+IF(AND(D$6&gt;0,$B194&lt;D$6),D$4,D$5)/12),2))</f>
        <v/>
      </c>
      <c r="AJ194">
        <f>IF(E193&lt;=0,0,ROUND(E193*(1+IF(AND(E$6&gt;0,$B194&lt;E$6),E$4,E$5)/12),2))</f>
        <v/>
      </c>
      <c r="AK194">
        <f>IF(F193&lt;=0,0,ROUND(F193*(1+IF(AND(F$6&gt;0,$B194&lt;F$6),F$4,F$5)/12),2))</f>
        <v/>
      </c>
      <c r="AL194">
        <f>IF(G193&lt;=0,0,ROUND(G193*(1+IF(AND(G$6&gt;0,$B194&lt;G$6),G$4,G$5)/12),2))</f>
        <v/>
      </c>
      <c r="AM194">
        <f>IF(H193&lt;=0,0,ROUND(H193*(1+IF(AND(H$6&gt;0,$B194&lt;H$6),H$4,H$5)/12),2))</f>
        <v/>
      </c>
      <c r="AN194">
        <f>IF(I193&lt;=0,0,ROUND(I193*(1+IF(AND(I$6&gt;0,$B194&lt;I$6),I$4,I$5)/12),2))</f>
        <v/>
      </c>
      <c r="AO194">
        <f>IF(J193&lt;=0,0,ROUND(J193*(1+IF(AND(J$6&gt;0,$B194&lt;J$6),J$4,J$5)/12),2))</f>
        <v/>
      </c>
      <c r="AP194">
        <f>IF(K193&lt;=0,0,ROUND(K193*(1+IF(AND(K$6&gt;0,$B194&lt;K$6),K$4,K$5)/12),2))</f>
        <v/>
      </c>
      <c r="AQ194">
        <f>IF(L193&lt;=0,0,ROUND(L193*(1+IF(AND(L$6&gt;0,$B194&lt;L$6),L$4,L$5)/12),2))</f>
        <v/>
      </c>
      <c r="AR194">
        <f>IF(M193&lt;=0,0,ROUND(M193*(1+IF(AND(M$6&gt;0,$B194&lt;M$6),M$4,M$5)/12),2))</f>
        <v/>
      </c>
      <c r="AS194">
        <f>IF(N193&lt;=0,0,ROUND(N193*(1+IF(AND(N$6&gt;0,$B194&lt;N$6),N$4,N$5)/12),2))</f>
        <v/>
      </c>
    </row>
    <row r="195">
      <c r="A195" t="n">
        <v>184</v>
      </c>
      <c r="B195">
        <f>EDATE(Plan!$C$6,183)</f>
        <v/>
      </c>
      <c r="C195">
        <f>IF(C194&lt;=0,0,MAX(0,AH195-O195))</f>
        <v/>
      </c>
      <c r="D195">
        <f>IF(D194&lt;=0,0,MAX(0,AI195-P195))</f>
        <v/>
      </c>
      <c r="E195">
        <f>IF(E194&lt;=0,0,MAX(0,AJ195-Q195))</f>
        <v/>
      </c>
      <c r="F195">
        <f>IF(F194&lt;=0,0,MAX(0,AK195-R195))</f>
        <v/>
      </c>
      <c r="G195">
        <f>IF(G194&lt;=0,0,MAX(0,AL195-S195))</f>
        <v/>
      </c>
      <c r="H195">
        <f>IF(H194&lt;=0,0,MAX(0,AM195-T195))</f>
        <v/>
      </c>
      <c r="I195">
        <f>IF(I194&lt;=0,0,MAX(0,AN195-U195))</f>
        <v/>
      </c>
      <c r="J195">
        <f>IF(J194&lt;=0,0,MAX(0,AO195-V195))</f>
        <v/>
      </c>
      <c r="K195">
        <f>IF(K194&lt;=0,0,MAX(0,AP195-W195))</f>
        <v/>
      </c>
      <c r="L195">
        <f>IF(L194&lt;=0,0,MAX(0,AQ195-X195))</f>
        <v/>
      </c>
      <c r="M195">
        <f>IF(M194&lt;=0,0,MAX(0,AR195-Y195))</f>
        <v/>
      </c>
      <c r="N195">
        <f>IF(N194&lt;=0,0,MAX(0,AS195-Z195))</f>
        <v/>
      </c>
      <c r="O195">
        <f>IF(C194&lt;=0,0,MIN(AH195,C$7+IF(C$2=$AA195,$AC195,IF(C$2=$AF195,$AG195,0))))</f>
        <v/>
      </c>
      <c r="P195">
        <f>IF(D194&lt;=0,0,MIN(AI195,D$7+IF(D$2=$AA195,$AC195,IF(D$2=$AF195,$AG195,0))))</f>
        <v/>
      </c>
      <c r="Q195">
        <f>IF(E194&lt;=0,0,MIN(AJ195,E$7+IF(E$2=$AA195,$AC195,IF(E$2=$AF195,$AG195,0))))</f>
        <v/>
      </c>
      <c r="R195">
        <f>IF(F194&lt;=0,0,MIN(AK195,F$7+IF(F$2=$AA195,$AC195,IF(F$2=$AF195,$AG195,0))))</f>
        <v/>
      </c>
      <c r="S195">
        <f>IF(G194&lt;=0,0,MIN(AL195,G$7+IF(G$2=$AA195,$AC195,IF(G$2=$AF195,$AG195,0))))</f>
        <v/>
      </c>
      <c r="T195">
        <f>IF(H194&lt;=0,0,MIN(AM195,H$7+IF(H$2=$AA195,$AC195,IF(H$2=$AF195,$AG195,0))))</f>
        <v/>
      </c>
      <c r="U195">
        <f>IF(I194&lt;=0,0,MIN(AN195,I$7+IF(I$2=$AA195,$AC195,IF(I$2=$AF195,$AG195,0))))</f>
        <v/>
      </c>
      <c r="V195">
        <f>IF(J194&lt;=0,0,MIN(AO195,J$7+IF(J$2=$AA195,$AC195,IF(J$2=$AF195,$AG195,0))))</f>
        <v/>
      </c>
      <c r="W195">
        <f>IF(K194&lt;=0,0,MIN(AP195,K$7+IF(K$2=$AA195,$AC195,IF(K$2=$AF195,$AG195,0))))</f>
        <v/>
      </c>
      <c r="X195">
        <f>IF(L194&lt;=0,0,MIN(AQ195,L$7+IF(L$2=$AA195,$AC195,IF(L$2=$AF195,$AG195,0))))</f>
        <v/>
      </c>
      <c r="Y195">
        <f>IF(M194&lt;=0,0,MIN(AR195,M$7+IF(M$2=$AA195,$AC195,IF(M$2=$AF195,$AG195,0))))</f>
        <v/>
      </c>
      <c r="Z195">
        <f>IF(N194&lt;=0,0,MIN(AS195,N$7+IF(N$2=$AA195,$AC195,IF(N$2=$AF195,$AG195,0))))</f>
        <v/>
      </c>
      <c r="AA195">
        <f>IFERROR(ROUND(1/SUMPRODUCT(MAX((C194:N194&gt;0)*($C$3:$N$3&lt;=B195)/$C$2:$N$2)),0),0)</f>
        <v/>
      </c>
      <c r="AB195">
        <f>SUMPRODUCT((C194:N194&gt;0)*$C$7:$N$7)</f>
        <v/>
      </c>
      <c r="AC195">
        <f>MAX(0,Plan!$C$5-AB195)+IF(A195=Plan!$C$8,N(Plan!$C$7),0)</f>
        <v/>
      </c>
      <c r="AD195">
        <f>SUM(C195:N195)</f>
        <v/>
      </c>
      <c r="AE195">
        <f>SUM(O195:Z195)</f>
        <v/>
      </c>
      <c r="AF195">
        <f>IFERROR(ROUND(1/SUMPRODUCT(MAX((C194:N194&gt;0)*($C$3:$N$3&lt;=B195)*($C$2:$N$2&gt;AA195)/$C$2:$N$2)),0),0)</f>
        <v/>
      </c>
      <c r="AG195">
        <f>MAX(0,AC195-MAX(0,SUMPRODUCT(($C$2:$N$2=AA195)*(AH195:AS195-$C$7:$N$7))))</f>
        <v/>
      </c>
      <c r="AH195">
        <f>IF(C194&lt;=0,0,ROUND(C194*(1+IF(AND(C$6&gt;0,$B195&lt;C$6),C$4,C$5)/12),2))</f>
        <v/>
      </c>
      <c r="AI195">
        <f>IF(D194&lt;=0,0,ROUND(D194*(1+IF(AND(D$6&gt;0,$B195&lt;D$6),D$4,D$5)/12),2))</f>
        <v/>
      </c>
      <c r="AJ195">
        <f>IF(E194&lt;=0,0,ROUND(E194*(1+IF(AND(E$6&gt;0,$B195&lt;E$6),E$4,E$5)/12),2))</f>
        <v/>
      </c>
      <c r="AK195">
        <f>IF(F194&lt;=0,0,ROUND(F194*(1+IF(AND(F$6&gt;0,$B195&lt;F$6),F$4,F$5)/12),2))</f>
        <v/>
      </c>
      <c r="AL195">
        <f>IF(G194&lt;=0,0,ROUND(G194*(1+IF(AND(G$6&gt;0,$B195&lt;G$6),G$4,G$5)/12),2))</f>
        <v/>
      </c>
      <c r="AM195">
        <f>IF(H194&lt;=0,0,ROUND(H194*(1+IF(AND(H$6&gt;0,$B195&lt;H$6),H$4,H$5)/12),2))</f>
        <v/>
      </c>
      <c r="AN195">
        <f>IF(I194&lt;=0,0,ROUND(I194*(1+IF(AND(I$6&gt;0,$B195&lt;I$6),I$4,I$5)/12),2))</f>
        <v/>
      </c>
      <c r="AO195">
        <f>IF(J194&lt;=0,0,ROUND(J194*(1+IF(AND(J$6&gt;0,$B195&lt;J$6),J$4,J$5)/12),2))</f>
        <v/>
      </c>
      <c r="AP195">
        <f>IF(K194&lt;=0,0,ROUND(K194*(1+IF(AND(K$6&gt;0,$B195&lt;K$6),K$4,K$5)/12),2))</f>
        <v/>
      </c>
      <c r="AQ195">
        <f>IF(L194&lt;=0,0,ROUND(L194*(1+IF(AND(L$6&gt;0,$B195&lt;L$6),L$4,L$5)/12),2))</f>
        <v/>
      </c>
      <c r="AR195">
        <f>IF(M194&lt;=0,0,ROUND(M194*(1+IF(AND(M$6&gt;0,$B195&lt;M$6),M$4,M$5)/12),2))</f>
        <v/>
      </c>
      <c r="AS195">
        <f>IF(N194&lt;=0,0,ROUND(N194*(1+IF(AND(N$6&gt;0,$B195&lt;N$6),N$4,N$5)/12),2))</f>
        <v/>
      </c>
    </row>
    <row r="196">
      <c r="A196" t="n">
        <v>185</v>
      </c>
      <c r="B196">
        <f>EDATE(Plan!$C$6,184)</f>
        <v/>
      </c>
      <c r="C196">
        <f>IF(C195&lt;=0,0,MAX(0,AH196-O196))</f>
        <v/>
      </c>
      <c r="D196">
        <f>IF(D195&lt;=0,0,MAX(0,AI196-P196))</f>
        <v/>
      </c>
      <c r="E196">
        <f>IF(E195&lt;=0,0,MAX(0,AJ196-Q196))</f>
        <v/>
      </c>
      <c r="F196">
        <f>IF(F195&lt;=0,0,MAX(0,AK196-R196))</f>
        <v/>
      </c>
      <c r="G196">
        <f>IF(G195&lt;=0,0,MAX(0,AL196-S196))</f>
        <v/>
      </c>
      <c r="H196">
        <f>IF(H195&lt;=0,0,MAX(0,AM196-T196))</f>
        <v/>
      </c>
      <c r="I196">
        <f>IF(I195&lt;=0,0,MAX(0,AN196-U196))</f>
        <v/>
      </c>
      <c r="J196">
        <f>IF(J195&lt;=0,0,MAX(0,AO196-V196))</f>
        <v/>
      </c>
      <c r="K196">
        <f>IF(K195&lt;=0,0,MAX(0,AP196-W196))</f>
        <v/>
      </c>
      <c r="L196">
        <f>IF(L195&lt;=0,0,MAX(0,AQ196-X196))</f>
        <v/>
      </c>
      <c r="M196">
        <f>IF(M195&lt;=0,0,MAX(0,AR196-Y196))</f>
        <v/>
      </c>
      <c r="N196">
        <f>IF(N195&lt;=0,0,MAX(0,AS196-Z196))</f>
        <v/>
      </c>
      <c r="O196">
        <f>IF(C195&lt;=0,0,MIN(AH196,C$7+IF(C$2=$AA196,$AC196,IF(C$2=$AF196,$AG196,0))))</f>
        <v/>
      </c>
      <c r="P196">
        <f>IF(D195&lt;=0,0,MIN(AI196,D$7+IF(D$2=$AA196,$AC196,IF(D$2=$AF196,$AG196,0))))</f>
        <v/>
      </c>
      <c r="Q196">
        <f>IF(E195&lt;=0,0,MIN(AJ196,E$7+IF(E$2=$AA196,$AC196,IF(E$2=$AF196,$AG196,0))))</f>
        <v/>
      </c>
      <c r="R196">
        <f>IF(F195&lt;=0,0,MIN(AK196,F$7+IF(F$2=$AA196,$AC196,IF(F$2=$AF196,$AG196,0))))</f>
        <v/>
      </c>
      <c r="S196">
        <f>IF(G195&lt;=0,0,MIN(AL196,G$7+IF(G$2=$AA196,$AC196,IF(G$2=$AF196,$AG196,0))))</f>
        <v/>
      </c>
      <c r="T196">
        <f>IF(H195&lt;=0,0,MIN(AM196,H$7+IF(H$2=$AA196,$AC196,IF(H$2=$AF196,$AG196,0))))</f>
        <v/>
      </c>
      <c r="U196">
        <f>IF(I195&lt;=0,0,MIN(AN196,I$7+IF(I$2=$AA196,$AC196,IF(I$2=$AF196,$AG196,0))))</f>
        <v/>
      </c>
      <c r="V196">
        <f>IF(J195&lt;=0,0,MIN(AO196,J$7+IF(J$2=$AA196,$AC196,IF(J$2=$AF196,$AG196,0))))</f>
        <v/>
      </c>
      <c r="W196">
        <f>IF(K195&lt;=0,0,MIN(AP196,K$7+IF(K$2=$AA196,$AC196,IF(K$2=$AF196,$AG196,0))))</f>
        <v/>
      </c>
      <c r="X196">
        <f>IF(L195&lt;=0,0,MIN(AQ196,L$7+IF(L$2=$AA196,$AC196,IF(L$2=$AF196,$AG196,0))))</f>
        <v/>
      </c>
      <c r="Y196">
        <f>IF(M195&lt;=0,0,MIN(AR196,M$7+IF(M$2=$AA196,$AC196,IF(M$2=$AF196,$AG196,0))))</f>
        <v/>
      </c>
      <c r="Z196">
        <f>IF(N195&lt;=0,0,MIN(AS196,N$7+IF(N$2=$AA196,$AC196,IF(N$2=$AF196,$AG196,0))))</f>
        <v/>
      </c>
      <c r="AA196">
        <f>IFERROR(ROUND(1/SUMPRODUCT(MAX((C195:N195&gt;0)*($C$3:$N$3&lt;=B196)/$C$2:$N$2)),0),0)</f>
        <v/>
      </c>
      <c r="AB196">
        <f>SUMPRODUCT((C195:N195&gt;0)*$C$7:$N$7)</f>
        <v/>
      </c>
      <c r="AC196">
        <f>MAX(0,Plan!$C$5-AB196)+IF(A196=Plan!$C$8,N(Plan!$C$7),0)</f>
        <v/>
      </c>
      <c r="AD196">
        <f>SUM(C196:N196)</f>
        <v/>
      </c>
      <c r="AE196">
        <f>SUM(O196:Z196)</f>
        <v/>
      </c>
      <c r="AF196">
        <f>IFERROR(ROUND(1/SUMPRODUCT(MAX((C195:N195&gt;0)*($C$3:$N$3&lt;=B196)*($C$2:$N$2&gt;AA196)/$C$2:$N$2)),0),0)</f>
        <v/>
      </c>
      <c r="AG196">
        <f>MAX(0,AC196-MAX(0,SUMPRODUCT(($C$2:$N$2=AA196)*(AH196:AS196-$C$7:$N$7))))</f>
        <v/>
      </c>
      <c r="AH196">
        <f>IF(C195&lt;=0,0,ROUND(C195*(1+IF(AND(C$6&gt;0,$B196&lt;C$6),C$4,C$5)/12),2))</f>
        <v/>
      </c>
      <c r="AI196">
        <f>IF(D195&lt;=0,0,ROUND(D195*(1+IF(AND(D$6&gt;0,$B196&lt;D$6),D$4,D$5)/12),2))</f>
        <v/>
      </c>
      <c r="AJ196">
        <f>IF(E195&lt;=0,0,ROUND(E195*(1+IF(AND(E$6&gt;0,$B196&lt;E$6),E$4,E$5)/12),2))</f>
        <v/>
      </c>
      <c r="AK196">
        <f>IF(F195&lt;=0,0,ROUND(F195*(1+IF(AND(F$6&gt;0,$B196&lt;F$6),F$4,F$5)/12),2))</f>
        <v/>
      </c>
      <c r="AL196">
        <f>IF(G195&lt;=0,0,ROUND(G195*(1+IF(AND(G$6&gt;0,$B196&lt;G$6),G$4,G$5)/12),2))</f>
        <v/>
      </c>
      <c r="AM196">
        <f>IF(H195&lt;=0,0,ROUND(H195*(1+IF(AND(H$6&gt;0,$B196&lt;H$6),H$4,H$5)/12),2))</f>
        <v/>
      </c>
      <c r="AN196">
        <f>IF(I195&lt;=0,0,ROUND(I195*(1+IF(AND(I$6&gt;0,$B196&lt;I$6),I$4,I$5)/12),2))</f>
        <v/>
      </c>
      <c r="AO196">
        <f>IF(J195&lt;=0,0,ROUND(J195*(1+IF(AND(J$6&gt;0,$B196&lt;J$6),J$4,J$5)/12),2))</f>
        <v/>
      </c>
      <c r="AP196">
        <f>IF(K195&lt;=0,0,ROUND(K195*(1+IF(AND(K$6&gt;0,$B196&lt;K$6),K$4,K$5)/12),2))</f>
        <v/>
      </c>
      <c r="AQ196">
        <f>IF(L195&lt;=0,0,ROUND(L195*(1+IF(AND(L$6&gt;0,$B196&lt;L$6),L$4,L$5)/12),2))</f>
        <v/>
      </c>
      <c r="AR196">
        <f>IF(M195&lt;=0,0,ROUND(M195*(1+IF(AND(M$6&gt;0,$B196&lt;M$6),M$4,M$5)/12),2))</f>
        <v/>
      </c>
      <c r="AS196">
        <f>IF(N195&lt;=0,0,ROUND(N195*(1+IF(AND(N$6&gt;0,$B196&lt;N$6),N$4,N$5)/12),2))</f>
        <v/>
      </c>
    </row>
    <row r="197">
      <c r="A197" t="n">
        <v>186</v>
      </c>
      <c r="B197">
        <f>EDATE(Plan!$C$6,185)</f>
        <v/>
      </c>
      <c r="C197">
        <f>IF(C196&lt;=0,0,MAX(0,AH197-O197))</f>
        <v/>
      </c>
      <c r="D197">
        <f>IF(D196&lt;=0,0,MAX(0,AI197-P197))</f>
        <v/>
      </c>
      <c r="E197">
        <f>IF(E196&lt;=0,0,MAX(0,AJ197-Q197))</f>
        <v/>
      </c>
      <c r="F197">
        <f>IF(F196&lt;=0,0,MAX(0,AK197-R197))</f>
        <v/>
      </c>
      <c r="G197">
        <f>IF(G196&lt;=0,0,MAX(0,AL197-S197))</f>
        <v/>
      </c>
      <c r="H197">
        <f>IF(H196&lt;=0,0,MAX(0,AM197-T197))</f>
        <v/>
      </c>
      <c r="I197">
        <f>IF(I196&lt;=0,0,MAX(0,AN197-U197))</f>
        <v/>
      </c>
      <c r="J197">
        <f>IF(J196&lt;=0,0,MAX(0,AO197-V197))</f>
        <v/>
      </c>
      <c r="K197">
        <f>IF(K196&lt;=0,0,MAX(0,AP197-W197))</f>
        <v/>
      </c>
      <c r="L197">
        <f>IF(L196&lt;=0,0,MAX(0,AQ197-X197))</f>
        <v/>
      </c>
      <c r="M197">
        <f>IF(M196&lt;=0,0,MAX(0,AR197-Y197))</f>
        <v/>
      </c>
      <c r="N197">
        <f>IF(N196&lt;=0,0,MAX(0,AS197-Z197))</f>
        <v/>
      </c>
      <c r="O197">
        <f>IF(C196&lt;=0,0,MIN(AH197,C$7+IF(C$2=$AA197,$AC197,IF(C$2=$AF197,$AG197,0))))</f>
        <v/>
      </c>
      <c r="P197">
        <f>IF(D196&lt;=0,0,MIN(AI197,D$7+IF(D$2=$AA197,$AC197,IF(D$2=$AF197,$AG197,0))))</f>
        <v/>
      </c>
      <c r="Q197">
        <f>IF(E196&lt;=0,0,MIN(AJ197,E$7+IF(E$2=$AA197,$AC197,IF(E$2=$AF197,$AG197,0))))</f>
        <v/>
      </c>
      <c r="R197">
        <f>IF(F196&lt;=0,0,MIN(AK197,F$7+IF(F$2=$AA197,$AC197,IF(F$2=$AF197,$AG197,0))))</f>
        <v/>
      </c>
      <c r="S197">
        <f>IF(G196&lt;=0,0,MIN(AL197,G$7+IF(G$2=$AA197,$AC197,IF(G$2=$AF197,$AG197,0))))</f>
        <v/>
      </c>
      <c r="T197">
        <f>IF(H196&lt;=0,0,MIN(AM197,H$7+IF(H$2=$AA197,$AC197,IF(H$2=$AF197,$AG197,0))))</f>
        <v/>
      </c>
      <c r="U197">
        <f>IF(I196&lt;=0,0,MIN(AN197,I$7+IF(I$2=$AA197,$AC197,IF(I$2=$AF197,$AG197,0))))</f>
        <v/>
      </c>
      <c r="V197">
        <f>IF(J196&lt;=0,0,MIN(AO197,J$7+IF(J$2=$AA197,$AC197,IF(J$2=$AF197,$AG197,0))))</f>
        <v/>
      </c>
      <c r="W197">
        <f>IF(K196&lt;=0,0,MIN(AP197,K$7+IF(K$2=$AA197,$AC197,IF(K$2=$AF197,$AG197,0))))</f>
        <v/>
      </c>
      <c r="X197">
        <f>IF(L196&lt;=0,0,MIN(AQ197,L$7+IF(L$2=$AA197,$AC197,IF(L$2=$AF197,$AG197,0))))</f>
        <v/>
      </c>
      <c r="Y197">
        <f>IF(M196&lt;=0,0,MIN(AR197,M$7+IF(M$2=$AA197,$AC197,IF(M$2=$AF197,$AG197,0))))</f>
        <v/>
      </c>
      <c r="Z197">
        <f>IF(N196&lt;=0,0,MIN(AS197,N$7+IF(N$2=$AA197,$AC197,IF(N$2=$AF197,$AG197,0))))</f>
        <v/>
      </c>
      <c r="AA197">
        <f>IFERROR(ROUND(1/SUMPRODUCT(MAX((C196:N196&gt;0)*($C$3:$N$3&lt;=B197)/$C$2:$N$2)),0),0)</f>
        <v/>
      </c>
      <c r="AB197">
        <f>SUMPRODUCT((C196:N196&gt;0)*$C$7:$N$7)</f>
        <v/>
      </c>
      <c r="AC197">
        <f>MAX(0,Plan!$C$5-AB197)+IF(A197=Plan!$C$8,N(Plan!$C$7),0)</f>
        <v/>
      </c>
      <c r="AD197">
        <f>SUM(C197:N197)</f>
        <v/>
      </c>
      <c r="AE197">
        <f>SUM(O197:Z197)</f>
        <v/>
      </c>
      <c r="AF197">
        <f>IFERROR(ROUND(1/SUMPRODUCT(MAX((C196:N196&gt;0)*($C$3:$N$3&lt;=B197)*($C$2:$N$2&gt;AA197)/$C$2:$N$2)),0),0)</f>
        <v/>
      </c>
      <c r="AG197">
        <f>MAX(0,AC197-MAX(0,SUMPRODUCT(($C$2:$N$2=AA197)*(AH197:AS197-$C$7:$N$7))))</f>
        <v/>
      </c>
      <c r="AH197">
        <f>IF(C196&lt;=0,0,ROUND(C196*(1+IF(AND(C$6&gt;0,$B197&lt;C$6),C$4,C$5)/12),2))</f>
        <v/>
      </c>
      <c r="AI197">
        <f>IF(D196&lt;=0,0,ROUND(D196*(1+IF(AND(D$6&gt;0,$B197&lt;D$6),D$4,D$5)/12),2))</f>
        <v/>
      </c>
      <c r="AJ197">
        <f>IF(E196&lt;=0,0,ROUND(E196*(1+IF(AND(E$6&gt;0,$B197&lt;E$6),E$4,E$5)/12),2))</f>
        <v/>
      </c>
      <c r="AK197">
        <f>IF(F196&lt;=0,0,ROUND(F196*(1+IF(AND(F$6&gt;0,$B197&lt;F$6),F$4,F$5)/12),2))</f>
        <v/>
      </c>
      <c r="AL197">
        <f>IF(G196&lt;=0,0,ROUND(G196*(1+IF(AND(G$6&gt;0,$B197&lt;G$6),G$4,G$5)/12),2))</f>
        <v/>
      </c>
      <c r="AM197">
        <f>IF(H196&lt;=0,0,ROUND(H196*(1+IF(AND(H$6&gt;0,$B197&lt;H$6),H$4,H$5)/12),2))</f>
        <v/>
      </c>
      <c r="AN197">
        <f>IF(I196&lt;=0,0,ROUND(I196*(1+IF(AND(I$6&gt;0,$B197&lt;I$6),I$4,I$5)/12),2))</f>
        <v/>
      </c>
      <c r="AO197">
        <f>IF(J196&lt;=0,0,ROUND(J196*(1+IF(AND(J$6&gt;0,$B197&lt;J$6),J$4,J$5)/12),2))</f>
        <v/>
      </c>
      <c r="AP197">
        <f>IF(K196&lt;=0,0,ROUND(K196*(1+IF(AND(K$6&gt;0,$B197&lt;K$6),K$4,K$5)/12),2))</f>
        <v/>
      </c>
      <c r="AQ197">
        <f>IF(L196&lt;=0,0,ROUND(L196*(1+IF(AND(L$6&gt;0,$B197&lt;L$6),L$4,L$5)/12),2))</f>
        <v/>
      </c>
      <c r="AR197">
        <f>IF(M196&lt;=0,0,ROUND(M196*(1+IF(AND(M$6&gt;0,$B197&lt;M$6),M$4,M$5)/12),2))</f>
        <v/>
      </c>
      <c r="AS197">
        <f>IF(N196&lt;=0,0,ROUND(N196*(1+IF(AND(N$6&gt;0,$B197&lt;N$6),N$4,N$5)/12),2))</f>
        <v/>
      </c>
    </row>
    <row r="198">
      <c r="A198" t="n">
        <v>187</v>
      </c>
      <c r="B198">
        <f>EDATE(Plan!$C$6,186)</f>
        <v/>
      </c>
      <c r="C198">
        <f>IF(C197&lt;=0,0,MAX(0,AH198-O198))</f>
        <v/>
      </c>
      <c r="D198">
        <f>IF(D197&lt;=0,0,MAX(0,AI198-P198))</f>
        <v/>
      </c>
      <c r="E198">
        <f>IF(E197&lt;=0,0,MAX(0,AJ198-Q198))</f>
        <v/>
      </c>
      <c r="F198">
        <f>IF(F197&lt;=0,0,MAX(0,AK198-R198))</f>
        <v/>
      </c>
      <c r="G198">
        <f>IF(G197&lt;=0,0,MAX(0,AL198-S198))</f>
        <v/>
      </c>
      <c r="H198">
        <f>IF(H197&lt;=0,0,MAX(0,AM198-T198))</f>
        <v/>
      </c>
      <c r="I198">
        <f>IF(I197&lt;=0,0,MAX(0,AN198-U198))</f>
        <v/>
      </c>
      <c r="J198">
        <f>IF(J197&lt;=0,0,MAX(0,AO198-V198))</f>
        <v/>
      </c>
      <c r="K198">
        <f>IF(K197&lt;=0,0,MAX(0,AP198-W198))</f>
        <v/>
      </c>
      <c r="L198">
        <f>IF(L197&lt;=0,0,MAX(0,AQ198-X198))</f>
        <v/>
      </c>
      <c r="M198">
        <f>IF(M197&lt;=0,0,MAX(0,AR198-Y198))</f>
        <v/>
      </c>
      <c r="N198">
        <f>IF(N197&lt;=0,0,MAX(0,AS198-Z198))</f>
        <v/>
      </c>
      <c r="O198">
        <f>IF(C197&lt;=0,0,MIN(AH198,C$7+IF(C$2=$AA198,$AC198,IF(C$2=$AF198,$AG198,0))))</f>
        <v/>
      </c>
      <c r="P198">
        <f>IF(D197&lt;=0,0,MIN(AI198,D$7+IF(D$2=$AA198,$AC198,IF(D$2=$AF198,$AG198,0))))</f>
        <v/>
      </c>
      <c r="Q198">
        <f>IF(E197&lt;=0,0,MIN(AJ198,E$7+IF(E$2=$AA198,$AC198,IF(E$2=$AF198,$AG198,0))))</f>
        <v/>
      </c>
      <c r="R198">
        <f>IF(F197&lt;=0,0,MIN(AK198,F$7+IF(F$2=$AA198,$AC198,IF(F$2=$AF198,$AG198,0))))</f>
        <v/>
      </c>
      <c r="S198">
        <f>IF(G197&lt;=0,0,MIN(AL198,G$7+IF(G$2=$AA198,$AC198,IF(G$2=$AF198,$AG198,0))))</f>
        <v/>
      </c>
      <c r="T198">
        <f>IF(H197&lt;=0,0,MIN(AM198,H$7+IF(H$2=$AA198,$AC198,IF(H$2=$AF198,$AG198,0))))</f>
        <v/>
      </c>
      <c r="U198">
        <f>IF(I197&lt;=0,0,MIN(AN198,I$7+IF(I$2=$AA198,$AC198,IF(I$2=$AF198,$AG198,0))))</f>
        <v/>
      </c>
      <c r="V198">
        <f>IF(J197&lt;=0,0,MIN(AO198,J$7+IF(J$2=$AA198,$AC198,IF(J$2=$AF198,$AG198,0))))</f>
        <v/>
      </c>
      <c r="W198">
        <f>IF(K197&lt;=0,0,MIN(AP198,K$7+IF(K$2=$AA198,$AC198,IF(K$2=$AF198,$AG198,0))))</f>
        <v/>
      </c>
      <c r="X198">
        <f>IF(L197&lt;=0,0,MIN(AQ198,L$7+IF(L$2=$AA198,$AC198,IF(L$2=$AF198,$AG198,0))))</f>
        <v/>
      </c>
      <c r="Y198">
        <f>IF(M197&lt;=0,0,MIN(AR198,M$7+IF(M$2=$AA198,$AC198,IF(M$2=$AF198,$AG198,0))))</f>
        <v/>
      </c>
      <c r="Z198">
        <f>IF(N197&lt;=0,0,MIN(AS198,N$7+IF(N$2=$AA198,$AC198,IF(N$2=$AF198,$AG198,0))))</f>
        <v/>
      </c>
      <c r="AA198">
        <f>IFERROR(ROUND(1/SUMPRODUCT(MAX((C197:N197&gt;0)*($C$3:$N$3&lt;=B198)/$C$2:$N$2)),0),0)</f>
        <v/>
      </c>
      <c r="AB198">
        <f>SUMPRODUCT((C197:N197&gt;0)*$C$7:$N$7)</f>
        <v/>
      </c>
      <c r="AC198">
        <f>MAX(0,Plan!$C$5-AB198)+IF(A198=Plan!$C$8,N(Plan!$C$7),0)</f>
        <v/>
      </c>
      <c r="AD198">
        <f>SUM(C198:N198)</f>
        <v/>
      </c>
      <c r="AE198">
        <f>SUM(O198:Z198)</f>
        <v/>
      </c>
      <c r="AF198">
        <f>IFERROR(ROUND(1/SUMPRODUCT(MAX((C197:N197&gt;0)*($C$3:$N$3&lt;=B198)*($C$2:$N$2&gt;AA198)/$C$2:$N$2)),0),0)</f>
        <v/>
      </c>
      <c r="AG198">
        <f>MAX(0,AC198-MAX(0,SUMPRODUCT(($C$2:$N$2=AA198)*(AH198:AS198-$C$7:$N$7))))</f>
        <v/>
      </c>
      <c r="AH198">
        <f>IF(C197&lt;=0,0,ROUND(C197*(1+IF(AND(C$6&gt;0,$B198&lt;C$6),C$4,C$5)/12),2))</f>
        <v/>
      </c>
      <c r="AI198">
        <f>IF(D197&lt;=0,0,ROUND(D197*(1+IF(AND(D$6&gt;0,$B198&lt;D$6),D$4,D$5)/12),2))</f>
        <v/>
      </c>
      <c r="AJ198">
        <f>IF(E197&lt;=0,0,ROUND(E197*(1+IF(AND(E$6&gt;0,$B198&lt;E$6),E$4,E$5)/12),2))</f>
        <v/>
      </c>
      <c r="AK198">
        <f>IF(F197&lt;=0,0,ROUND(F197*(1+IF(AND(F$6&gt;0,$B198&lt;F$6),F$4,F$5)/12),2))</f>
        <v/>
      </c>
      <c r="AL198">
        <f>IF(G197&lt;=0,0,ROUND(G197*(1+IF(AND(G$6&gt;0,$B198&lt;G$6),G$4,G$5)/12),2))</f>
        <v/>
      </c>
      <c r="AM198">
        <f>IF(H197&lt;=0,0,ROUND(H197*(1+IF(AND(H$6&gt;0,$B198&lt;H$6),H$4,H$5)/12),2))</f>
        <v/>
      </c>
      <c r="AN198">
        <f>IF(I197&lt;=0,0,ROUND(I197*(1+IF(AND(I$6&gt;0,$B198&lt;I$6),I$4,I$5)/12),2))</f>
        <v/>
      </c>
      <c r="AO198">
        <f>IF(J197&lt;=0,0,ROUND(J197*(1+IF(AND(J$6&gt;0,$B198&lt;J$6),J$4,J$5)/12),2))</f>
        <v/>
      </c>
      <c r="AP198">
        <f>IF(K197&lt;=0,0,ROUND(K197*(1+IF(AND(K$6&gt;0,$B198&lt;K$6),K$4,K$5)/12),2))</f>
        <v/>
      </c>
      <c r="AQ198">
        <f>IF(L197&lt;=0,0,ROUND(L197*(1+IF(AND(L$6&gt;0,$B198&lt;L$6),L$4,L$5)/12),2))</f>
        <v/>
      </c>
      <c r="AR198">
        <f>IF(M197&lt;=0,0,ROUND(M197*(1+IF(AND(M$6&gt;0,$B198&lt;M$6),M$4,M$5)/12),2))</f>
        <v/>
      </c>
      <c r="AS198">
        <f>IF(N197&lt;=0,0,ROUND(N197*(1+IF(AND(N$6&gt;0,$B198&lt;N$6),N$4,N$5)/12),2))</f>
        <v/>
      </c>
    </row>
    <row r="199">
      <c r="A199" t="n">
        <v>188</v>
      </c>
      <c r="B199">
        <f>EDATE(Plan!$C$6,187)</f>
        <v/>
      </c>
      <c r="C199">
        <f>IF(C198&lt;=0,0,MAX(0,AH199-O199))</f>
        <v/>
      </c>
      <c r="D199">
        <f>IF(D198&lt;=0,0,MAX(0,AI199-P199))</f>
        <v/>
      </c>
      <c r="E199">
        <f>IF(E198&lt;=0,0,MAX(0,AJ199-Q199))</f>
        <v/>
      </c>
      <c r="F199">
        <f>IF(F198&lt;=0,0,MAX(0,AK199-R199))</f>
        <v/>
      </c>
      <c r="G199">
        <f>IF(G198&lt;=0,0,MAX(0,AL199-S199))</f>
        <v/>
      </c>
      <c r="H199">
        <f>IF(H198&lt;=0,0,MAX(0,AM199-T199))</f>
        <v/>
      </c>
      <c r="I199">
        <f>IF(I198&lt;=0,0,MAX(0,AN199-U199))</f>
        <v/>
      </c>
      <c r="J199">
        <f>IF(J198&lt;=0,0,MAX(0,AO199-V199))</f>
        <v/>
      </c>
      <c r="K199">
        <f>IF(K198&lt;=0,0,MAX(0,AP199-W199))</f>
        <v/>
      </c>
      <c r="L199">
        <f>IF(L198&lt;=0,0,MAX(0,AQ199-X199))</f>
        <v/>
      </c>
      <c r="M199">
        <f>IF(M198&lt;=0,0,MAX(0,AR199-Y199))</f>
        <v/>
      </c>
      <c r="N199">
        <f>IF(N198&lt;=0,0,MAX(0,AS199-Z199))</f>
        <v/>
      </c>
      <c r="O199">
        <f>IF(C198&lt;=0,0,MIN(AH199,C$7+IF(C$2=$AA199,$AC199,IF(C$2=$AF199,$AG199,0))))</f>
        <v/>
      </c>
      <c r="P199">
        <f>IF(D198&lt;=0,0,MIN(AI199,D$7+IF(D$2=$AA199,$AC199,IF(D$2=$AF199,$AG199,0))))</f>
        <v/>
      </c>
      <c r="Q199">
        <f>IF(E198&lt;=0,0,MIN(AJ199,E$7+IF(E$2=$AA199,$AC199,IF(E$2=$AF199,$AG199,0))))</f>
        <v/>
      </c>
      <c r="R199">
        <f>IF(F198&lt;=0,0,MIN(AK199,F$7+IF(F$2=$AA199,$AC199,IF(F$2=$AF199,$AG199,0))))</f>
        <v/>
      </c>
      <c r="S199">
        <f>IF(G198&lt;=0,0,MIN(AL199,G$7+IF(G$2=$AA199,$AC199,IF(G$2=$AF199,$AG199,0))))</f>
        <v/>
      </c>
      <c r="T199">
        <f>IF(H198&lt;=0,0,MIN(AM199,H$7+IF(H$2=$AA199,$AC199,IF(H$2=$AF199,$AG199,0))))</f>
        <v/>
      </c>
      <c r="U199">
        <f>IF(I198&lt;=0,0,MIN(AN199,I$7+IF(I$2=$AA199,$AC199,IF(I$2=$AF199,$AG199,0))))</f>
        <v/>
      </c>
      <c r="V199">
        <f>IF(J198&lt;=0,0,MIN(AO199,J$7+IF(J$2=$AA199,$AC199,IF(J$2=$AF199,$AG199,0))))</f>
        <v/>
      </c>
      <c r="W199">
        <f>IF(K198&lt;=0,0,MIN(AP199,K$7+IF(K$2=$AA199,$AC199,IF(K$2=$AF199,$AG199,0))))</f>
        <v/>
      </c>
      <c r="X199">
        <f>IF(L198&lt;=0,0,MIN(AQ199,L$7+IF(L$2=$AA199,$AC199,IF(L$2=$AF199,$AG199,0))))</f>
        <v/>
      </c>
      <c r="Y199">
        <f>IF(M198&lt;=0,0,MIN(AR199,M$7+IF(M$2=$AA199,$AC199,IF(M$2=$AF199,$AG199,0))))</f>
        <v/>
      </c>
      <c r="Z199">
        <f>IF(N198&lt;=0,0,MIN(AS199,N$7+IF(N$2=$AA199,$AC199,IF(N$2=$AF199,$AG199,0))))</f>
        <v/>
      </c>
      <c r="AA199">
        <f>IFERROR(ROUND(1/SUMPRODUCT(MAX((C198:N198&gt;0)*($C$3:$N$3&lt;=B199)/$C$2:$N$2)),0),0)</f>
        <v/>
      </c>
      <c r="AB199">
        <f>SUMPRODUCT((C198:N198&gt;0)*$C$7:$N$7)</f>
        <v/>
      </c>
      <c r="AC199">
        <f>MAX(0,Plan!$C$5-AB199)+IF(A199=Plan!$C$8,N(Plan!$C$7),0)</f>
        <v/>
      </c>
      <c r="AD199">
        <f>SUM(C199:N199)</f>
        <v/>
      </c>
      <c r="AE199">
        <f>SUM(O199:Z199)</f>
        <v/>
      </c>
      <c r="AF199">
        <f>IFERROR(ROUND(1/SUMPRODUCT(MAX((C198:N198&gt;0)*($C$3:$N$3&lt;=B199)*($C$2:$N$2&gt;AA199)/$C$2:$N$2)),0),0)</f>
        <v/>
      </c>
      <c r="AG199">
        <f>MAX(0,AC199-MAX(0,SUMPRODUCT(($C$2:$N$2=AA199)*(AH199:AS199-$C$7:$N$7))))</f>
        <v/>
      </c>
      <c r="AH199">
        <f>IF(C198&lt;=0,0,ROUND(C198*(1+IF(AND(C$6&gt;0,$B199&lt;C$6),C$4,C$5)/12),2))</f>
        <v/>
      </c>
      <c r="AI199">
        <f>IF(D198&lt;=0,0,ROUND(D198*(1+IF(AND(D$6&gt;0,$B199&lt;D$6),D$4,D$5)/12),2))</f>
        <v/>
      </c>
      <c r="AJ199">
        <f>IF(E198&lt;=0,0,ROUND(E198*(1+IF(AND(E$6&gt;0,$B199&lt;E$6),E$4,E$5)/12),2))</f>
        <v/>
      </c>
      <c r="AK199">
        <f>IF(F198&lt;=0,0,ROUND(F198*(1+IF(AND(F$6&gt;0,$B199&lt;F$6),F$4,F$5)/12),2))</f>
        <v/>
      </c>
      <c r="AL199">
        <f>IF(G198&lt;=0,0,ROUND(G198*(1+IF(AND(G$6&gt;0,$B199&lt;G$6),G$4,G$5)/12),2))</f>
        <v/>
      </c>
      <c r="AM199">
        <f>IF(H198&lt;=0,0,ROUND(H198*(1+IF(AND(H$6&gt;0,$B199&lt;H$6),H$4,H$5)/12),2))</f>
        <v/>
      </c>
      <c r="AN199">
        <f>IF(I198&lt;=0,0,ROUND(I198*(1+IF(AND(I$6&gt;0,$B199&lt;I$6),I$4,I$5)/12),2))</f>
        <v/>
      </c>
      <c r="AO199">
        <f>IF(J198&lt;=0,0,ROUND(J198*(1+IF(AND(J$6&gt;0,$B199&lt;J$6),J$4,J$5)/12),2))</f>
        <v/>
      </c>
      <c r="AP199">
        <f>IF(K198&lt;=0,0,ROUND(K198*(1+IF(AND(K$6&gt;0,$B199&lt;K$6),K$4,K$5)/12),2))</f>
        <v/>
      </c>
      <c r="AQ199">
        <f>IF(L198&lt;=0,0,ROUND(L198*(1+IF(AND(L$6&gt;0,$B199&lt;L$6),L$4,L$5)/12),2))</f>
        <v/>
      </c>
      <c r="AR199">
        <f>IF(M198&lt;=0,0,ROUND(M198*(1+IF(AND(M$6&gt;0,$B199&lt;M$6),M$4,M$5)/12),2))</f>
        <v/>
      </c>
      <c r="AS199">
        <f>IF(N198&lt;=0,0,ROUND(N198*(1+IF(AND(N$6&gt;0,$B199&lt;N$6),N$4,N$5)/12),2))</f>
        <v/>
      </c>
    </row>
    <row r="200">
      <c r="A200" t="n">
        <v>189</v>
      </c>
      <c r="B200">
        <f>EDATE(Plan!$C$6,188)</f>
        <v/>
      </c>
      <c r="C200">
        <f>IF(C199&lt;=0,0,MAX(0,AH200-O200))</f>
        <v/>
      </c>
      <c r="D200">
        <f>IF(D199&lt;=0,0,MAX(0,AI200-P200))</f>
        <v/>
      </c>
      <c r="E200">
        <f>IF(E199&lt;=0,0,MAX(0,AJ200-Q200))</f>
        <v/>
      </c>
      <c r="F200">
        <f>IF(F199&lt;=0,0,MAX(0,AK200-R200))</f>
        <v/>
      </c>
      <c r="G200">
        <f>IF(G199&lt;=0,0,MAX(0,AL200-S200))</f>
        <v/>
      </c>
      <c r="H200">
        <f>IF(H199&lt;=0,0,MAX(0,AM200-T200))</f>
        <v/>
      </c>
      <c r="I200">
        <f>IF(I199&lt;=0,0,MAX(0,AN200-U200))</f>
        <v/>
      </c>
      <c r="J200">
        <f>IF(J199&lt;=0,0,MAX(0,AO200-V200))</f>
        <v/>
      </c>
      <c r="K200">
        <f>IF(K199&lt;=0,0,MAX(0,AP200-W200))</f>
        <v/>
      </c>
      <c r="L200">
        <f>IF(L199&lt;=0,0,MAX(0,AQ200-X200))</f>
        <v/>
      </c>
      <c r="M200">
        <f>IF(M199&lt;=0,0,MAX(0,AR200-Y200))</f>
        <v/>
      </c>
      <c r="N200">
        <f>IF(N199&lt;=0,0,MAX(0,AS200-Z200))</f>
        <v/>
      </c>
      <c r="O200">
        <f>IF(C199&lt;=0,0,MIN(AH200,C$7+IF(C$2=$AA200,$AC200,IF(C$2=$AF200,$AG200,0))))</f>
        <v/>
      </c>
      <c r="P200">
        <f>IF(D199&lt;=0,0,MIN(AI200,D$7+IF(D$2=$AA200,$AC200,IF(D$2=$AF200,$AG200,0))))</f>
        <v/>
      </c>
      <c r="Q200">
        <f>IF(E199&lt;=0,0,MIN(AJ200,E$7+IF(E$2=$AA200,$AC200,IF(E$2=$AF200,$AG200,0))))</f>
        <v/>
      </c>
      <c r="R200">
        <f>IF(F199&lt;=0,0,MIN(AK200,F$7+IF(F$2=$AA200,$AC200,IF(F$2=$AF200,$AG200,0))))</f>
        <v/>
      </c>
      <c r="S200">
        <f>IF(G199&lt;=0,0,MIN(AL200,G$7+IF(G$2=$AA200,$AC200,IF(G$2=$AF200,$AG200,0))))</f>
        <v/>
      </c>
      <c r="T200">
        <f>IF(H199&lt;=0,0,MIN(AM200,H$7+IF(H$2=$AA200,$AC200,IF(H$2=$AF200,$AG200,0))))</f>
        <v/>
      </c>
      <c r="U200">
        <f>IF(I199&lt;=0,0,MIN(AN200,I$7+IF(I$2=$AA200,$AC200,IF(I$2=$AF200,$AG200,0))))</f>
        <v/>
      </c>
      <c r="V200">
        <f>IF(J199&lt;=0,0,MIN(AO200,J$7+IF(J$2=$AA200,$AC200,IF(J$2=$AF200,$AG200,0))))</f>
        <v/>
      </c>
      <c r="W200">
        <f>IF(K199&lt;=0,0,MIN(AP200,K$7+IF(K$2=$AA200,$AC200,IF(K$2=$AF200,$AG200,0))))</f>
        <v/>
      </c>
      <c r="X200">
        <f>IF(L199&lt;=0,0,MIN(AQ200,L$7+IF(L$2=$AA200,$AC200,IF(L$2=$AF200,$AG200,0))))</f>
        <v/>
      </c>
      <c r="Y200">
        <f>IF(M199&lt;=0,0,MIN(AR200,M$7+IF(M$2=$AA200,$AC200,IF(M$2=$AF200,$AG200,0))))</f>
        <v/>
      </c>
      <c r="Z200">
        <f>IF(N199&lt;=0,0,MIN(AS200,N$7+IF(N$2=$AA200,$AC200,IF(N$2=$AF200,$AG200,0))))</f>
        <v/>
      </c>
      <c r="AA200">
        <f>IFERROR(ROUND(1/SUMPRODUCT(MAX((C199:N199&gt;0)*($C$3:$N$3&lt;=B200)/$C$2:$N$2)),0),0)</f>
        <v/>
      </c>
      <c r="AB200">
        <f>SUMPRODUCT((C199:N199&gt;0)*$C$7:$N$7)</f>
        <v/>
      </c>
      <c r="AC200">
        <f>MAX(0,Plan!$C$5-AB200)+IF(A200=Plan!$C$8,N(Plan!$C$7),0)</f>
        <v/>
      </c>
      <c r="AD200">
        <f>SUM(C200:N200)</f>
        <v/>
      </c>
      <c r="AE200">
        <f>SUM(O200:Z200)</f>
        <v/>
      </c>
      <c r="AF200">
        <f>IFERROR(ROUND(1/SUMPRODUCT(MAX((C199:N199&gt;0)*($C$3:$N$3&lt;=B200)*($C$2:$N$2&gt;AA200)/$C$2:$N$2)),0),0)</f>
        <v/>
      </c>
      <c r="AG200">
        <f>MAX(0,AC200-MAX(0,SUMPRODUCT(($C$2:$N$2=AA200)*(AH200:AS200-$C$7:$N$7))))</f>
        <v/>
      </c>
      <c r="AH200">
        <f>IF(C199&lt;=0,0,ROUND(C199*(1+IF(AND(C$6&gt;0,$B200&lt;C$6),C$4,C$5)/12),2))</f>
        <v/>
      </c>
      <c r="AI200">
        <f>IF(D199&lt;=0,0,ROUND(D199*(1+IF(AND(D$6&gt;0,$B200&lt;D$6),D$4,D$5)/12),2))</f>
        <v/>
      </c>
      <c r="AJ200">
        <f>IF(E199&lt;=0,0,ROUND(E199*(1+IF(AND(E$6&gt;0,$B200&lt;E$6),E$4,E$5)/12),2))</f>
        <v/>
      </c>
      <c r="AK200">
        <f>IF(F199&lt;=0,0,ROUND(F199*(1+IF(AND(F$6&gt;0,$B200&lt;F$6),F$4,F$5)/12),2))</f>
        <v/>
      </c>
      <c r="AL200">
        <f>IF(G199&lt;=0,0,ROUND(G199*(1+IF(AND(G$6&gt;0,$B200&lt;G$6),G$4,G$5)/12),2))</f>
        <v/>
      </c>
      <c r="AM200">
        <f>IF(H199&lt;=0,0,ROUND(H199*(1+IF(AND(H$6&gt;0,$B200&lt;H$6),H$4,H$5)/12),2))</f>
        <v/>
      </c>
      <c r="AN200">
        <f>IF(I199&lt;=0,0,ROUND(I199*(1+IF(AND(I$6&gt;0,$B200&lt;I$6),I$4,I$5)/12),2))</f>
        <v/>
      </c>
      <c r="AO200">
        <f>IF(J199&lt;=0,0,ROUND(J199*(1+IF(AND(J$6&gt;0,$B200&lt;J$6),J$4,J$5)/12),2))</f>
        <v/>
      </c>
      <c r="AP200">
        <f>IF(K199&lt;=0,0,ROUND(K199*(1+IF(AND(K$6&gt;0,$B200&lt;K$6),K$4,K$5)/12),2))</f>
        <v/>
      </c>
      <c r="AQ200">
        <f>IF(L199&lt;=0,0,ROUND(L199*(1+IF(AND(L$6&gt;0,$B200&lt;L$6),L$4,L$5)/12),2))</f>
        <v/>
      </c>
      <c r="AR200">
        <f>IF(M199&lt;=0,0,ROUND(M199*(1+IF(AND(M$6&gt;0,$B200&lt;M$6),M$4,M$5)/12),2))</f>
        <v/>
      </c>
      <c r="AS200">
        <f>IF(N199&lt;=0,0,ROUND(N199*(1+IF(AND(N$6&gt;0,$B200&lt;N$6),N$4,N$5)/12),2))</f>
        <v/>
      </c>
    </row>
    <row r="201">
      <c r="A201" t="n">
        <v>190</v>
      </c>
      <c r="B201">
        <f>EDATE(Plan!$C$6,189)</f>
        <v/>
      </c>
      <c r="C201">
        <f>IF(C200&lt;=0,0,MAX(0,AH201-O201))</f>
        <v/>
      </c>
      <c r="D201">
        <f>IF(D200&lt;=0,0,MAX(0,AI201-P201))</f>
        <v/>
      </c>
      <c r="E201">
        <f>IF(E200&lt;=0,0,MAX(0,AJ201-Q201))</f>
        <v/>
      </c>
      <c r="F201">
        <f>IF(F200&lt;=0,0,MAX(0,AK201-R201))</f>
        <v/>
      </c>
      <c r="G201">
        <f>IF(G200&lt;=0,0,MAX(0,AL201-S201))</f>
        <v/>
      </c>
      <c r="H201">
        <f>IF(H200&lt;=0,0,MAX(0,AM201-T201))</f>
        <v/>
      </c>
      <c r="I201">
        <f>IF(I200&lt;=0,0,MAX(0,AN201-U201))</f>
        <v/>
      </c>
      <c r="J201">
        <f>IF(J200&lt;=0,0,MAX(0,AO201-V201))</f>
        <v/>
      </c>
      <c r="K201">
        <f>IF(K200&lt;=0,0,MAX(0,AP201-W201))</f>
        <v/>
      </c>
      <c r="L201">
        <f>IF(L200&lt;=0,0,MAX(0,AQ201-X201))</f>
        <v/>
      </c>
      <c r="M201">
        <f>IF(M200&lt;=0,0,MAX(0,AR201-Y201))</f>
        <v/>
      </c>
      <c r="N201">
        <f>IF(N200&lt;=0,0,MAX(0,AS201-Z201))</f>
        <v/>
      </c>
      <c r="O201">
        <f>IF(C200&lt;=0,0,MIN(AH201,C$7+IF(C$2=$AA201,$AC201,IF(C$2=$AF201,$AG201,0))))</f>
        <v/>
      </c>
      <c r="P201">
        <f>IF(D200&lt;=0,0,MIN(AI201,D$7+IF(D$2=$AA201,$AC201,IF(D$2=$AF201,$AG201,0))))</f>
        <v/>
      </c>
      <c r="Q201">
        <f>IF(E200&lt;=0,0,MIN(AJ201,E$7+IF(E$2=$AA201,$AC201,IF(E$2=$AF201,$AG201,0))))</f>
        <v/>
      </c>
      <c r="R201">
        <f>IF(F200&lt;=0,0,MIN(AK201,F$7+IF(F$2=$AA201,$AC201,IF(F$2=$AF201,$AG201,0))))</f>
        <v/>
      </c>
      <c r="S201">
        <f>IF(G200&lt;=0,0,MIN(AL201,G$7+IF(G$2=$AA201,$AC201,IF(G$2=$AF201,$AG201,0))))</f>
        <v/>
      </c>
      <c r="T201">
        <f>IF(H200&lt;=0,0,MIN(AM201,H$7+IF(H$2=$AA201,$AC201,IF(H$2=$AF201,$AG201,0))))</f>
        <v/>
      </c>
      <c r="U201">
        <f>IF(I200&lt;=0,0,MIN(AN201,I$7+IF(I$2=$AA201,$AC201,IF(I$2=$AF201,$AG201,0))))</f>
        <v/>
      </c>
      <c r="V201">
        <f>IF(J200&lt;=0,0,MIN(AO201,J$7+IF(J$2=$AA201,$AC201,IF(J$2=$AF201,$AG201,0))))</f>
        <v/>
      </c>
      <c r="W201">
        <f>IF(K200&lt;=0,0,MIN(AP201,K$7+IF(K$2=$AA201,$AC201,IF(K$2=$AF201,$AG201,0))))</f>
        <v/>
      </c>
      <c r="X201">
        <f>IF(L200&lt;=0,0,MIN(AQ201,L$7+IF(L$2=$AA201,$AC201,IF(L$2=$AF201,$AG201,0))))</f>
        <v/>
      </c>
      <c r="Y201">
        <f>IF(M200&lt;=0,0,MIN(AR201,M$7+IF(M$2=$AA201,$AC201,IF(M$2=$AF201,$AG201,0))))</f>
        <v/>
      </c>
      <c r="Z201">
        <f>IF(N200&lt;=0,0,MIN(AS201,N$7+IF(N$2=$AA201,$AC201,IF(N$2=$AF201,$AG201,0))))</f>
        <v/>
      </c>
      <c r="AA201">
        <f>IFERROR(ROUND(1/SUMPRODUCT(MAX((C200:N200&gt;0)*($C$3:$N$3&lt;=B201)/$C$2:$N$2)),0),0)</f>
        <v/>
      </c>
      <c r="AB201">
        <f>SUMPRODUCT((C200:N200&gt;0)*$C$7:$N$7)</f>
        <v/>
      </c>
      <c r="AC201">
        <f>MAX(0,Plan!$C$5-AB201)+IF(A201=Plan!$C$8,N(Plan!$C$7),0)</f>
        <v/>
      </c>
      <c r="AD201">
        <f>SUM(C201:N201)</f>
        <v/>
      </c>
      <c r="AE201">
        <f>SUM(O201:Z201)</f>
        <v/>
      </c>
      <c r="AF201">
        <f>IFERROR(ROUND(1/SUMPRODUCT(MAX((C200:N200&gt;0)*($C$3:$N$3&lt;=B201)*($C$2:$N$2&gt;AA201)/$C$2:$N$2)),0),0)</f>
        <v/>
      </c>
      <c r="AG201">
        <f>MAX(0,AC201-MAX(0,SUMPRODUCT(($C$2:$N$2=AA201)*(AH201:AS201-$C$7:$N$7))))</f>
        <v/>
      </c>
      <c r="AH201">
        <f>IF(C200&lt;=0,0,ROUND(C200*(1+IF(AND(C$6&gt;0,$B201&lt;C$6),C$4,C$5)/12),2))</f>
        <v/>
      </c>
      <c r="AI201">
        <f>IF(D200&lt;=0,0,ROUND(D200*(1+IF(AND(D$6&gt;0,$B201&lt;D$6),D$4,D$5)/12),2))</f>
        <v/>
      </c>
      <c r="AJ201">
        <f>IF(E200&lt;=0,0,ROUND(E200*(1+IF(AND(E$6&gt;0,$B201&lt;E$6),E$4,E$5)/12),2))</f>
        <v/>
      </c>
      <c r="AK201">
        <f>IF(F200&lt;=0,0,ROUND(F200*(1+IF(AND(F$6&gt;0,$B201&lt;F$6),F$4,F$5)/12),2))</f>
        <v/>
      </c>
      <c r="AL201">
        <f>IF(G200&lt;=0,0,ROUND(G200*(1+IF(AND(G$6&gt;0,$B201&lt;G$6),G$4,G$5)/12),2))</f>
        <v/>
      </c>
      <c r="AM201">
        <f>IF(H200&lt;=0,0,ROUND(H200*(1+IF(AND(H$6&gt;0,$B201&lt;H$6),H$4,H$5)/12),2))</f>
        <v/>
      </c>
      <c r="AN201">
        <f>IF(I200&lt;=0,0,ROUND(I200*(1+IF(AND(I$6&gt;0,$B201&lt;I$6),I$4,I$5)/12),2))</f>
        <v/>
      </c>
      <c r="AO201">
        <f>IF(J200&lt;=0,0,ROUND(J200*(1+IF(AND(J$6&gt;0,$B201&lt;J$6),J$4,J$5)/12),2))</f>
        <v/>
      </c>
      <c r="AP201">
        <f>IF(K200&lt;=0,0,ROUND(K200*(1+IF(AND(K$6&gt;0,$B201&lt;K$6),K$4,K$5)/12),2))</f>
        <v/>
      </c>
      <c r="AQ201">
        <f>IF(L200&lt;=0,0,ROUND(L200*(1+IF(AND(L$6&gt;0,$B201&lt;L$6),L$4,L$5)/12),2))</f>
        <v/>
      </c>
      <c r="AR201">
        <f>IF(M200&lt;=0,0,ROUND(M200*(1+IF(AND(M$6&gt;0,$B201&lt;M$6),M$4,M$5)/12),2))</f>
        <v/>
      </c>
      <c r="AS201">
        <f>IF(N200&lt;=0,0,ROUND(N200*(1+IF(AND(N$6&gt;0,$B201&lt;N$6),N$4,N$5)/12),2))</f>
        <v/>
      </c>
    </row>
    <row r="202">
      <c r="A202" t="n">
        <v>191</v>
      </c>
      <c r="B202">
        <f>EDATE(Plan!$C$6,190)</f>
        <v/>
      </c>
      <c r="C202">
        <f>IF(C201&lt;=0,0,MAX(0,AH202-O202))</f>
        <v/>
      </c>
      <c r="D202">
        <f>IF(D201&lt;=0,0,MAX(0,AI202-P202))</f>
        <v/>
      </c>
      <c r="E202">
        <f>IF(E201&lt;=0,0,MAX(0,AJ202-Q202))</f>
        <v/>
      </c>
      <c r="F202">
        <f>IF(F201&lt;=0,0,MAX(0,AK202-R202))</f>
        <v/>
      </c>
      <c r="G202">
        <f>IF(G201&lt;=0,0,MAX(0,AL202-S202))</f>
        <v/>
      </c>
      <c r="H202">
        <f>IF(H201&lt;=0,0,MAX(0,AM202-T202))</f>
        <v/>
      </c>
      <c r="I202">
        <f>IF(I201&lt;=0,0,MAX(0,AN202-U202))</f>
        <v/>
      </c>
      <c r="J202">
        <f>IF(J201&lt;=0,0,MAX(0,AO202-V202))</f>
        <v/>
      </c>
      <c r="K202">
        <f>IF(K201&lt;=0,0,MAX(0,AP202-W202))</f>
        <v/>
      </c>
      <c r="L202">
        <f>IF(L201&lt;=0,0,MAX(0,AQ202-X202))</f>
        <v/>
      </c>
      <c r="M202">
        <f>IF(M201&lt;=0,0,MAX(0,AR202-Y202))</f>
        <v/>
      </c>
      <c r="N202">
        <f>IF(N201&lt;=0,0,MAX(0,AS202-Z202))</f>
        <v/>
      </c>
      <c r="O202">
        <f>IF(C201&lt;=0,0,MIN(AH202,C$7+IF(C$2=$AA202,$AC202,IF(C$2=$AF202,$AG202,0))))</f>
        <v/>
      </c>
      <c r="P202">
        <f>IF(D201&lt;=0,0,MIN(AI202,D$7+IF(D$2=$AA202,$AC202,IF(D$2=$AF202,$AG202,0))))</f>
        <v/>
      </c>
      <c r="Q202">
        <f>IF(E201&lt;=0,0,MIN(AJ202,E$7+IF(E$2=$AA202,$AC202,IF(E$2=$AF202,$AG202,0))))</f>
        <v/>
      </c>
      <c r="R202">
        <f>IF(F201&lt;=0,0,MIN(AK202,F$7+IF(F$2=$AA202,$AC202,IF(F$2=$AF202,$AG202,0))))</f>
        <v/>
      </c>
      <c r="S202">
        <f>IF(G201&lt;=0,0,MIN(AL202,G$7+IF(G$2=$AA202,$AC202,IF(G$2=$AF202,$AG202,0))))</f>
        <v/>
      </c>
      <c r="T202">
        <f>IF(H201&lt;=0,0,MIN(AM202,H$7+IF(H$2=$AA202,$AC202,IF(H$2=$AF202,$AG202,0))))</f>
        <v/>
      </c>
      <c r="U202">
        <f>IF(I201&lt;=0,0,MIN(AN202,I$7+IF(I$2=$AA202,$AC202,IF(I$2=$AF202,$AG202,0))))</f>
        <v/>
      </c>
      <c r="V202">
        <f>IF(J201&lt;=0,0,MIN(AO202,J$7+IF(J$2=$AA202,$AC202,IF(J$2=$AF202,$AG202,0))))</f>
        <v/>
      </c>
      <c r="W202">
        <f>IF(K201&lt;=0,0,MIN(AP202,K$7+IF(K$2=$AA202,$AC202,IF(K$2=$AF202,$AG202,0))))</f>
        <v/>
      </c>
      <c r="X202">
        <f>IF(L201&lt;=0,0,MIN(AQ202,L$7+IF(L$2=$AA202,$AC202,IF(L$2=$AF202,$AG202,0))))</f>
        <v/>
      </c>
      <c r="Y202">
        <f>IF(M201&lt;=0,0,MIN(AR202,M$7+IF(M$2=$AA202,$AC202,IF(M$2=$AF202,$AG202,0))))</f>
        <v/>
      </c>
      <c r="Z202">
        <f>IF(N201&lt;=0,0,MIN(AS202,N$7+IF(N$2=$AA202,$AC202,IF(N$2=$AF202,$AG202,0))))</f>
        <v/>
      </c>
      <c r="AA202">
        <f>IFERROR(ROUND(1/SUMPRODUCT(MAX((C201:N201&gt;0)*($C$3:$N$3&lt;=B202)/$C$2:$N$2)),0),0)</f>
        <v/>
      </c>
      <c r="AB202">
        <f>SUMPRODUCT((C201:N201&gt;0)*$C$7:$N$7)</f>
        <v/>
      </c>
      <c r="AC202">
        <f>MAX(0,Plan!$C$5-AB202)+IF(A202=Plan!$C$8,N(Plan!$C$7),0)</f>
        <v/>
      </c>
      <c r="AD202">
        <f>SUM(C202:N202)</f>
        <v/>
      </c>
      <c r="AE202">
        <f>SUM(O202:Z202)</f>
        <v/>
      </c>
      <c r="AF202">
        <f>IFERROR(ROUND(1/SUMPRODUCT(MAX((C201:N201&gt;0)*($C$3:$N$3&lt;=B202)*($C$2:$N$2&gt;AA202)/$C$2:$N$2)),0),0)</f>
        <v/>
      </c>
      <c r="AG202">
        <f>MAX(0,AC202-MAX(0,SUMPRODUCT(($C$2:$N$2=AA202)*(AH202:AS202-$C$7:$N$7))))</f>
        <v/>
      </c>
      <c r="AH202">
        <f>IF(C201&lt;=0,0,ROUND(C201*(1+IF(AND(C$6&gt;0,$B202&lt;C$6),C$4,C$5)/12),2))</f>
        <v/>
      </c>
      <c r="AI202">
        <f>IF(D201&lt;=0,0,ROUND(D201*(1+IF(AND(D$6&gt;0,$B202&lt;D$6),D$4,D$5)/12),2))</f>
        <v/>
      </c>
      <c r="AJ202">
        <f>IF(E201&lt;=0,0,ROUND(E201*(1+IF(AND(E$6&gt;0,$B202&lt;E$6),E$4,E$5)/12),2))</f>
        <v/>
      </c>
      <c r="AK202">
        <f>IF(F201&lt;=0,0,ROUND(F201*(1+IF(AND(F$6&gt;0,$B202&lt;F$6),F$4,F$5)/12),2))</f>
        <v/>
      </c>
      <c r="AL202">
        <f>IF(G201&lt;=0,0,ROUND(G201*(1+IF(AND(G$6&gt;0,$B202&lt;G$6),G$4,G$5)/12),2))</f>
        <v/>
      </c>
      <c r="AM202">
        <f>IF(H201&lt;=0,0,ROUND(H201*(1+IF(AND(H$6&gt;0,$B202&lt;H$6),H$4,H$5)/12),2))</f>
        <v/>
      </c>
      <c r="AN202">
        <f>IF(I201&lt;=0,0,ROUND(I201*(1+IF(AND(I$6&gt;0,$B202&lt;I$6),I$4,I$5)/12),2))</f>
        <v/>
      </c>
      <c r="AO202">
        <f>IF(J201&lt;=0,0,ROUND(J201*(1+IF(AND(J$6&gt;0,$B202&lt;J$6),J$4,J$5)/12),2))</f>
        <v/>
      </c>
      <c r="AP202">
        <f>IF(K201&lt;=0,0,ROUND(K201*(1+IF(AND(K$6&gt;0,$B202&lt;K$6),K$4,K$5)/12),2))</f>
        <v/>
      </c>
      <c r="AQ202">
        <f>IF(L201&lt;=0,0,ROUND(L201*(1+IF(AND(L$6&gt;0,$B202&lt;L$6),L$4,L$5)/12),2))</f>
        <v/>
      </c>
      <c r="AR202">
        <f>IF(M201&lt;=0,0,ROUND(M201*(1+IF(AND(M$6&gt;0,$B202&lt;M$6),M$4,M$5)/12),2))</f>
        <v/>
      </c>
      <c r="AS202">
        <f>IF(N201&lt;=0,0,ROUND(N201*(1+IF(AND(N$6&gt;0,$B202&lt;N$6),N$4,N$5)/12),2))</f>
        <v/>
      </c>
    </row>
    <row r="203">
      <c r="A203" t="n">
        <v>192</v>
      </c>
      <c r="B203">
        <f>EDATE(Plan!$C$6,191)</f>
        <v/>
      </c>
      <c r="C203">
        <f>IF(C202&lt;=0,0,MAX(0,AH203-O203))</f>
        <v/>
      </c>
      <c r="D203">
        <f>IF(D202&lt;=0,0,MAX(0,AI203-P203))</f>
        <v/>
      </c>
      <c r="E203">
        <f>IF(E202&lt;=0,0,MAX(0,AJ203-Q203))</f>
        <v/>
      </c>
      <c r="F203">
        <f>IF(F202&lt;=0,0,MAX(0,AK203-R203))</f>
        <v/>
      </c>
      <c r="G203">
        <f>IF(G202&lt;=0,0,MAX(0,AL203-S203))</f>
        <v/>
      </c>
      <c r="H203">
        <f>IF(H202&lt;=0,0,MAX(0,AM203-T203))</f>
        <v/>
      </c>
      <c r="I203">
        <f>IF(I202&lt;=0,0,MAX(0,AN203-U203))</f>
        <v/>
      </c>
      <c r="J203">
        <f>IF(J202&lt;=0,0,MAX(0,AO203-V203))</f>
        <v/>
      </c>
      <c r="K203">
        <f>IF(K202&lt;=0,0,MAX(0,AP203-W203))</f>
        <v/>
      </c>
      <c r="L203">
        <f>IF(L202&lt;=0,0,MAX(0,AQ203-X203))</f>
        <v/>
      </c>
      <c r="M203">
        <f>IF(M202&lt;=0,0,MAX(0,AR203-Y203))</f>
        <v/>
      </c>
      <c r="N203">
        <f>IF(N202&lt;=0,0,MAX(0,AS203-Z203))</f>
        <v/>
      </c>
      <c r="O203">
        <f>IF(C202&lt;=0,0,MIN(AH203,C$7+IF(C$2=$AA203,$AC203,IF(C$2=$AF203,$AG203,0))))</f>
        <v/>
      </c>
      <c r="P203">
        <f>IF(D202&lt;=0,0,MIN(AI203,D$7+IF(D$2=$AA203,$AC203,IF(D$2=$AF203,$AG203,0))))</f>
        <v/>
      </c>
      <c r="Q203">
        <f>IF(E202&lt;=0,0,MIN(AJ203,E$7+IF(E$2=$AA203,$AC203,IF(E$2=$AF203,$AG203,0))))</f>
        <v/>
      </c>
      <c r="R203">
        <f>IF(F202&lt;=0,0,MIN(AK203,F$7+IF(F$2=$AA203,$AC203,IF(F$2=$AF203,$AG203,0))))</f>
        <v/>
      </c>
      <c r="S203">
        <f>IF(G202&lt;=0,0,MIN(AL203,G$7+IF(G$2=$AA203,$AC203,IF(G$2=$AF203,$AG203,0))))</f>
        <v/>
      </c>
      <c r="T203">
        <f>IF(H202&lt;=0,0,MIN(AM203,H$7+IF(H$2=$AA203,$AC203,IF(H$2=$AF203,$AG203,0))))</f>
        <v/>
      </c>
      <c r="U203">
        <f>IF(I202&lt;=0,0,MIN(AN203,I$7+IF(I$2=$AA203,$AC203,IF(I$2=$AF203,$AG203,0))))</f>
        <v/>
      </c>
      <c r="V203">
        <f>IF(J202&lt;=0,0,MIN(AO203,J$7+IF(J$2=$AA203,$AC203,IF(J$2=$AF203,$AG203,0))))</f>
        <v/>
      </c>
      <c r="W203">
        <f>IF(K202&lt;=0,0,MIN(AP203,K$7+IF(K$2=$AA203,$AC203,IF(K$2=$AF203,$AG203,0))))</f>
        <v/>
      </c>
      <c r="X203">
        <f>IF(L202&lt;=0,0,MIN(AQ203,L$7+IF(L$2=$AA203,$AC203,IF(L$2=$AF203,$AG203,0))))</f>
        <v/>
      </c>
      <c r="Y203">
        <f>IF(M202&lt;=0,0,MIN(AR203,M$7+IF(M$2=$AA203,$AC203,IF(M$2=$AF203,$AG203,0))))</f>
        <v/>
      </c>
      <c r="Z203">
        <f>IF(N202&lt;=0,0,MIN(AS203,N$7+IF(N$2=$AA203,$AC203,IF(N$2=$AF203,$AG203,0))))</f>
        <v/>
      </c>
      <c r="AA203">
        <f>IFERROR(ROUND(1/SUMPRODUCT(MAX((C202:N202&gt;0)*($C$3:$N$3&lt;=B203)/$C$2:$N$2)),0),0)</f>
        <v/>
      </c>
      <c r="AB203">
        <f>SUMPRODUCT((C202:N202&gt;0)*$C$7:$N$7)</f>
        <v/>
      </c>
      <c r="AC203">
        <f>MAX(0,Plan!$C$5-AB203)+IF(A203=Plan!$C$8,N(Plan!$C$7),0)</f>
        <v/>
      </c>
      <c r="AD203">
        <f>SUM(C203:N203)</f>
        <v/>
      </c>
      <c r="AE203">
        <f>SUM(O203:Z203)</f>
        <v/>
      </c>
      <c r="AF203">
        <f>IFERROR(ROUND(1/SUMPRODUCT(MAX((C202:N202&gt;0)*($C$3:$N$3&lt;=B203)*($C$2:$N$2&gt;AA203)/$C$2:$N$2)),0),0)</f>
        <v/>
      </c>
      <c r="AG203">
        <f>MAX(0,AC203-MAX(0,SUMPRODUCT(($C$2:$N$2=AA203)*(AH203:AS203-$C$7:$N$7))))</f>
        <v/>
      </c>
      <c r="AH203">
        <f>IF(C202&lt;=0,0,ROUND(C202*(1+IF(AND(C$6&gt;0,$B203&lt;C$6),C$4,C$5)/12),2))</f>
        <v/>
      </c>
      <c r="AI203">
        <f>IF(D202&lt;=0,0,ROUND(D202*(1+IF(AND(D$6&gt;0,$B203&lt;D$6),D$4,D$5)/12),2))</f>
        <v/>
      </c>
      <c r="AJ203">
        <f>IF(E202&lt;=0,0,ROUND(E202*(1+IF(AND(E$6&gt;0,$B203&lt;E$6),E$4,E$5)/12),2))</f>
        <v/>
      </c>
      <c r="AK203">
        <f>IF(F202&lt;=0,0,ROUND(F202*(1+IF(AND(F$6&gt;0,$B203&lt;F$6),F$4,F$5)/12),2))</f>
        <v/>
      </c>
      <c r="AL203">
        <f>IF(G202&lt;=0,0,ROUND(G202*(1+IF(AND(G$6&gt;0,$B203&lt;G$6),G$4,G$5)/12),2))</f>
        <v/>
      </c>
      <c r="AM203">
        <f>IF(H202&lt;=0,0,ROUND(H202*(1+IF(AND(H$6&gt;0,$B203&lt;H$6),H$4,H$5)/12),2))</f>
        <v/>
      </c>
      <c r="AN203">
        <f>IF(I202&lt;=0,0,ROUND(I202*(1+IF(AND(I$6&gt;0,$B203&lt;I$6),I$4,I$5)/12),2))</f>
        <v/>
      </c>
      <c r="AO203">
        <f>IF(J202&lt;=0,0,ROUND(J202*(1+IF(AND(J$6&gt;0,$B203&lt;J$6),J$4,J$5)/12),2))</f>
        <v/>
      </c>
      <c r="AP203">
        <f>IF(K202&lt;=0,0,ROUND(K202*(1+IF(AND(K$6&gt;0,$B203&lt;K$6),K$4,K$5)/12),2))</f>
        <v/>
      </c>
      <c r="AQ203">
        <f>IF(L202&lt;=0,0,ROUND(L202*(1+IF(AND(L$6&gt;0,$B203&lt;L$6),L$4,L$5)/12),2))</f>
        <v/>
      </c>
      <c r="AR203">
        <f>IF(M202&lt;=0,0,ROUND(M202*(1+IF(AND(M$6&gt;0,$B203&lt;M$6),M$4,M$5)/12),2))</f>
        <v/>
      </c>
      <c r="AS203">
        <f>IF(N202&lt;=0,0,ROUND(N202*(1+IF(AND(N$6&gt;0,$B203&lt;N$6),N$4,N$5)/12),2))</f>
        <v/>
      </c>
    </row>
    <row r="204">
      <c r="A204" t="n">
        <v>193</v>
      </c>
      <c r="B204">
        <f>EDATE(Plan!$C$6,192)</f>
        <v/>
      </c>
      <c r="C204">
        <f>IF(C203&lt;=0,0,MAX(0,AH204-O204))</f>
        <v/>
      </c>
      <c r="D204">
        <f>IF(D203&lt;=0,0,MAX(0,AI204-P204))</f>
        <v/>
      </c>
      <c r="E204">
        <f>IF(E203&lt;=0,0,MAX(0,AJ204-Q204))</f>
        <v/>
      </c>
      <c r="F204">
        <f>IF(F203&lt;=0,0,MAX(0,AK204-R204))</f>
        <v/>
      </c>
      <c r="G204">
        <f>IF(G203&lt;=0,0,MAX(0,AL204-S204))</f>
        <v/>
      </c>
      <c r="H204">
        <f>IF(H203&lt;=0,0,MAX(0,AM204-T204))</f>
        <v/>
      </c>
      <c r="I204">
        <f>IF(I203&lt;=0,0,MAX(0,AN204-U204))</f>
        <v/>
      </c>
      <c r="J204">
        <f>IF(J203&lt;=0,0,MAX(0,AO204-V204))</f>
        <v/>
      </c>
      <c r="K204">
        <f>IF(K203&lt;=0,0,MAX(0,AP204-W204))</f>
        <v/>
      </c>
      <c r="L204">
        <f>IF(L203&lt;=0,0,MAX(0,AQ204-X204))</f>
        <v/>
      </c>
      <c r="M204">
        <f>IF(M203&lt;=0,0,MAX(0,AR204-Y204))</f>
        <v/>
      </c>
      <c r="N204">
        <f>IF(N203&lt;=0,0,MAX(0,AS204-Z204))</f>
        <v/>
      </c>
      <c r="O204">
        <f>IF(C203&lt;=0,0,MIN(AH204,C$7+IF(C$2=$AA204,$AC204,IF(C$2=$AF204,$AG204,0))))</f>
        <v/>
      </c>
      <c r="P204">
        <f>IF(D203&lt;=0,0,MIN(AI204,D$7+IF(D$2=$AA204,$AC204,IF(D$2=$AF204,$AG204,0))))</f>
        <v/>
      </c>
      <c r="Q204">
        <f>IF(E203&lt;=0,0,MIN(AJ204,E$7+IF(E$2=$AA204,$AC204,IF(E$2=$AF204,$AG204,0))))</f>
        <v/>
      </c>
      <c r="R204">
        <f>IF(F203&lt;=0,0,MIN(AK204,F$7+IF(F$2=$AA204,$AC204,IF(F$2=$AF204,$AG204,0))))</f>
        <v/>
      </c>
      <c r="S204">
        <f>IF(G203&lt;=0,0,MIN(AL204,G$7+IF(G$2=$AA204,$AC204,IF(G$2=$AF204,$AG204,0))))</f>
        <v/>
      </c>
      <c r="T204">
        <f>IF(H203&lt;=0,0,MIN(AM204,H$7+IF(H$2=$AA204,$AC204,IF(H$2=$AF204,$AG204,0))))</f>
        <v/>
      </c>
      <c r="U204">
        <f>IF(I203&lt;=0,0,MIN(AN204,I$7+IF(I$2=$AA204,$AC204,IF(I$2=$AF204,$AG204,0))))</f>
        <v/>
      </c>
      <c r="V204">
        <f>IF(J203&lt;=0,0,MIN(AO204,J$7+IF(J$2=$AA204,$AC204,IF(J$2=$AF204,$AG204,0))))</f>
        <v/>
      </c>
      <c r="W204">
        <f>IF(K203&lt;=0,0,MIN(AP204,K$7+IF(K$2=$AA204,$AC204,IF(K$2=$AF204,$AG204,0))))</f>
        <v/>
      </c>
      <c r="X204">
        <f>IF(L203&lt;=0,0,MIN(AQ204,L$7+IF(L$2=$AA204,$AC204,IF(L$2=$AF204,$AG204,0))))</f>
        <v/>
      </c>
      <c r="Y204">
        <f>IF(M203&lt;=0,0,MIN(AR204,M$7+IF(M$2=$AA204,$AC204,IF(M$2=$AF204,$AG204,0))))</f>
        <v/>
      </c>
      <c r="Z204">
        <f>IF(N203&lt;=0,0,MIN(AS204,N$7+IF(N$2=$AA204,$AC204,IF(N$2=$AF204,$AG204,0))))</f>
        <v/>
      </c>
      <c r="AA204">
        <f>IFERROR(ROUND(1/SUMPRODUCT(MAX((C203:N203&gt;0)*($C$3:$N$3&lt;=B204)/$C$2:$N$2)),0),0)</f>
        <v/>
      </c>
      <c r="AB204">
        <f>SUMPRODUCT((C203:N203&gt;0)*$C$7:$N$7)</f>
        <v/>
      </c>
      <c r="AC204">
        <f>MAX(0,Plan!$C$5-AB204)+IF(A204=Plan!$C$8,N(Plan!$C$7),0)</f>
        <v/>
      </c>
      <c r="AD204">
        <f>SUM(C204:N204)</f>
        <v/>
      </c>
      <c r="AE204">
        <f>SUM(O204:Z204)</f>
        <v/>
      </c>
      <c r="AF204">
        <f>IFERROR(ROUND(1/SUMPRODUCT(MAX((C203:N203&gt;0)*($C$3:$N$3&lt;=B204)*($C$2:$N$2&gt;AA204)/$C$2:$N$2)),0),0)</f>
        <v/>
      </c>
      <c r="AG204">
        <f>MAX(0,AC204-MAX(0,SUMPRODUCT(($C$2:$N$2=AA204)*(AH204:AS204-$C$7:$N$7))))</f>
        <v/>
      </c>
      <c r="AH204">
        <f>IF(C203&lt;=0,0,ROUND(C203*(1+IF(AND(C$6&gt;0,$B204&lt;C$6),C$4,C$5)/12),2))</f>
        <v/>
      </c>
      <c r="AI204">
        <f>IF(D203&lt;=0,0,ROUND(D203*(1+IF(AND(D$6&gt;0,$B204&lt;D$6),D$4,D$5)/12),2))</f>
        <v/>
      </c>
      <c r="AJ204">
        <f>IF(E203&lt;=0,0,ROUND(E203*(1+IF(AND(E$6&gt;0,$B204&lt;E$6),E$4,E$5)/12),2))</f>
        <v/>
      </c>
      <c r="AK204">
        <f>IF(F203&lt;=0,0,ROUND(F203*(1+IF(AND(F$6&gt;0,$B204&lt;F$6),F$4,F$5)/12),2))</f>
        <v/>
      </c>
      <c r="AL204">
        <f>IF(G203&lt;=0,0,ROUND(G203*(1+IF(AND(G$6&gt;0,$B204&lt;G$6),G$4,G$5)/12),2))</f>
        <v/>
      </c>
      <c r="AM204">
        <f>IF(H203&lt;=0,0,ROUND(H203*(1+IF(AND(H$6&gt;0,$B204&lt;H$6),H$4,H$5)/12),2))</f>
        <v/>
      </c>
      <c r="AN204">
        <f>IF(I203&lt;=0,0,ROUND(I203*(1+IF(AND(I$6&gt;0,$B204&lt;I$6),I$4,I$5)/12),2))</f>
        <v/>
      </c>
      <c r="AO204">
        <f>IF(J203&lt;=0,0,ROUND(J203*(1+IF(AND(J$6&gt;0,$B204&lt;J$6),J$4,J$5)/12),2))</f>
        <v/>
      </c>
      <c r="AP204">
        <f>IF(K203&lt;=0,0,ROUND(K203*(1+IF(AND(K$6&gt;0,$B204&lt;K$6),K$4,K$5)/12),2))</f>
        <v/>
      </c>
      <c r="AQ204">
        <f>IF(L203&lt;=0,0,ROUND(L203*(1+IF(AND(L$6&gt;0,$B204&lt;L$6),L$4,L$5)/12),2))</f>
        <v/>
      </c>
      <c r="AR204">
        <f>IF(M203&lt;=0,0,ROUND(M203*(1+IF(AND(M$6&gt;0,$B204&lt;M$6),M$4,M$5)/12),2))</f>
        <v/>
      </c>
      <c r="AS204">
        <f>IF(N203&lt;=0,0,ROUND(N203*(1+IF(AND(N$6&gt;0,$B204&lt;N$6),N$4,N$5)/12),2))</f>
        <v/>
      </c>
    </row>
    <row r="205">
      <c r="A205" t="n">
        <v>194</v>
      </c>
      <c r="B205">
        <f>EDATE(Plan!$C$6,193)</f>
        <v/>
      </c>
      <c r="C205">
        <f>IF(C204&lt;=0,0,MAX(0,AH205-O205))</f>
        <v/>
      </c>
      <c r="D205">
        <f>IF(D204&lt;=0,0,MAX(0,AI205-P205))</f>
        <v/>
      </c>
      <c r="E205">
        <f>IF(E204&lt;=0,0,MAX(0,AJ205-Q205))</f>
        <v/>
      </c>
      <c r="F205">
        <f>IF(F204&lt;=0,0,MAX(0,AK205-R205))</f>
        <v/>
      </c>
      <c r="G205">
        <f>IF(G204&lt;=0,0,MAX(0,AL205-S205))</f>
        <v/>
      </c>
      <c r="H205">
        <f>IF(H204&lt;=0,0,MAX(0,AM205-T205))</f>
        <v/>
      </c>
      <c r="I205">
        <f>IF(I204&lt;=0,0,MAX(0,AN205-U205))</f>
        <v/>
      </c>
      <c r="J205">
        <f>IF(J204&lt;=0,0,MAX(0,AO205-V205))</f>
        <v/>
      </c>
      <c r="K205">
        <f>IF(K204&lt;=0,0,MAX(0,AP205-W205))</f>
        <v/>
      </c>
      <c r="L205">
        <f>IF(L204&lt;=0,0,MAX(0,AQ205-X205))</f>
        <v/>
      </c>
      <c r="M205">
        <f>IF(M204&lt;=0,0,MAX(0,AR205-Y205))</f>
        <v/>
      </c>
      <c r="N205">
        <f>IF(N204&lt;=0,0,MAX(0,AS205-Z205))</f>
        <v/>
      </c>
      <c r="O205">
        <f>IF(C204&lt;=0,0,MIN(AH205,C$7+IF(C$2=$AA205,$AC205,IF(C$2=$AF205,$AG205,0))))</f>
        <v/>
      </c>
      <c r="P205">
        <f>IF(D204&lt;=0,0,MIN(AI205,D$7+IF(D$2=$AA205,$AC205,IF(D$2=$AF205,$AG205,0))))</f>
        <v/>
      </c>
      <c r="Q205">
        <f>IF(E204&lt;=0,0,MIN(AJ205,E$7+IF(E$2=$AA205,$AC205,IF(E$2=$AF205,$AG205,0))))</f>
        <v/>
      </c>
      <c r="R205">
        <f>IF(F204&lt;=0,0,MIN(AK205,F$7+IF(F$2=$AA205,$AC205,IF(F$2=$AF205,$AG205,0))))</f>
        <v/>
      </c>
      <c r="S205">
        <f>IF(G204&lt;=0,0,MIN(AL205,G$7+IF(G$2=$AA205,$AC205,IF(G$2=$AF205,$AG205,0))))</f>
        <v/>
      </c>
      <c r="T205">
        <f>IF(H204&lt;=0,0,MIN(AM205,H$7+IF(H$2=$AA205,$AC205,IF(H$2=$AF205,$AG205,0))))</f>
        <v/>
      </c>
      <c r="U205">
        <f>IF(I204&lt;=0,0,MIN(AN205,I$7+IF(I$2=$AA205,$AC205,IF(I$2=$AF205,$AG205,0))))</f>
        <v/>
      </c>
      <c r="V205">
        <f>IF(J204&lt;=0,0,MIN(AO205,J$7+IF(J$2=$AA205,$AC205,IF(J$2=$AF205,$AG205,0))))</f>
        <v/>
      </c>
      <c r="W205">
        <f>IF(K204&lt;=0,0,MIN(AP205,K$7+IF(K$2=$AA205,$AC205,IF(K$2=$AF205,$AG205,0))))</f>
        <v/>
      </c>
      <c r="X205">
        <f>IF(L204&lt;=0,0,MIN(AQ205,L$7+IF(L$2=$AA205,$AC205,IF(L$2=$AF205,$AG205,0))))</f>
        <v/>
      </c>
      <c r="Y205">
        <f>IF(M204&lt;=0,0,MIN(AR205,M$7+IF(M$2=$AA205,$AC205,IF(M$2=$AF205,$AG205,0))))</f>
        <v/>
      </c>
      <c r="Z205">
        <f>IF(N204&lt;=0,0,MIN(AS205,N$7+IF(N$2=$AA205,$AC205,IF(N$2=$AF205,$AG205,0))))</f>
        <v/>
      </c>
      <c r="AA205">
        <f>IFERROR(ROUND(1/SUMPRODUCT(MAX((C204:N204&gt;0)*($C$3:$N$3&lt;=B205)/$C$2:$N$2)),0),0)</f>
        <v/>
      </c>
      <c r="AB205">
        <f>SUMPRODUCT((C204:N204&gt;0)*$C$7:$N$7)</f>
        <v/>
      </c>
      <c r="AC205">
        <f>MAX(0,Plan!$C$5-AB205)+IF(A205=Plan!$C$8,N(Plan!$C$7),0)</f>
        <v/>
      </c>
      <c r="AD205">
        <f>SUM(C205:N205)</f>
        <v/>
      </c>
      <c r="AE205">
        <f>SUM(O205:Z205)</f>
        <v/>
      </c>
      <c r="AF205">
        <f>IFERROR(ROUND(1/SUMPRODUCT(MAX((C204:N204&gt;0)*($C$3:$N$3&lt;=B205)*($C$2:$N$2&gt;AA205)/$C$2:$N$2)),0),0)</f>
        <v/>
      </c>
      <c r="AG205">
        <f>MAX(0,AC205-MAX(0,SUMPRODUCT(($C$2:$N$2=AA205)*(AH205:AS205-$C$7:$N$7))))</f>
        <v/>
      </c>
      <c r="AH205">
        <f>IF(C204&lt;=0,0,ROUND(C204*(1+IF(AND(C$6&gt;0,$B205&lt;C$6),C$4,C$5)/12),2))</f>
        <v/>
      </c>
      <c r="AI205">
        <f>IF(D204&lt;=0,0,ROUND(D204*(1+IF(AND(D$6&gt;0,$B205&lt;D$6),D$4,D$5)/12),2))</f>
        <v/>
      </c>
      <c r="AJ205">
        <f>IF(E204&lt;=0,0,ROUND(E204*(1+IF(AND(E$6&gt;0,$B205&lt;E$6),E$4,E$5)/12),2))</f>
        <v/>
      </c>
      <c r="AK205">
        <f>IF(F204&lt;=0,0,ROUND(F204*(1+IF(AND(F$6&gt;0,$B205&lt;F$6),F$4,F$5)/12),2))</f>
        <v/>
      </c>
      <c r="AL205">
        <f>IF(G204&lt;=0,0,ROUND(G204*(1+IF(AND(G$6&gt;0,$B205&lt;G$6),G$4,G$5)/12),2))</f>
        <v/>
      </c>
      <c r="AM205">
        <f>IF(H204&lt;=0,0,ROUND(H204*(1+IF(AND(H$6&gt;0,$B205&lt;H$6),H$4,H$5)/12),2))</f>
        <v/>
      </c>
      <c r="AN205">
        <f>IF(I204&lt;=0,0,ROUND(I204*(1+IF(AND(I$6&gt;0,$B205&lt;I$6),I$4,I$5)/12),2))</f>
        <v/>
      </c>
      <c r="AO205">
        <f>IF(J204&lt;=0,0,ROUND(J204*(1+IF(AND(J$6&gt;0,$B205&lt;J$6),J$4,J$5)/12),2))</f>
        <v/>
      </c>
      <c r="AP205">
        <f>IF(K204&lt;=0,0,ROUND(K204*(1+IF(AND(K$6&gt;0,$B205&lt;K$6),K$4,K$5)/12),2))</f>
        <v/>
      </c>
      <c r="AQ205">
        <f>IF(L204&lt;=0,0,ROUND(L204*(1+IF(AND(L$6&gt;0,$B205&lt;L$6),L$4,L$5)/12),2))</f>
        <v/>
      </c>
      <c r="AR205">
        <f>IF(M204&lt;=0,0,ROUND(M204*(1+IF(AND(M$6&gt;0,$B205&lt;M$6),M$4,M$5)/12),2))</f>
        <v/>
      </c>
      <c r="AS205">
        <f>IF(N204&lt;=0,0,ROUND(N204*(1+IF(AND(N$6&gt;0,$B205&lt;N$6),N$4,N$5)/12),2))</f>
        <v/>
      </c>
    </row>
    <row r="206">
      <c r="A206" t="n">
        <v>195</v>
      </c>
      <c r="B206">
        <f>EDATE(Plan!$C$6,194)</f>
        <v/>
      </c>
      <c r="C206">
        <f>IF(C205&lt;=0,0,MAX(0,AH206-O206))</f>
        <v/>
      </c>
      <c r="D206">
        <f>IF(D205&lt;=0,0,MAX(0,AI206-P206))</f>
        <v/>
      </c>
      <c r="E206">
        <f>IF(E205&lt;=0,0,MAX(0,AJ206-Q206))</f>
        <v/>
      </c>
      <c r="F206">
        <f>IF(F205&lt;=0,0,MAX(0,AK206-R206))</f>
        <v/>
      </c>
      <c r="G206">
        <f>IF(G205&lt;=0,0,MAX(0,AL206-S206))</f>
        <v/>
      </c>
      <c r="H206">
        <f>IF(H205&lt;=0,0,MAX(0,AM206-T206))</f>
        <v/>
      </c>
      <c r="I206">
        <f>IF(I205&lt;=0,0,MAX(0,AN206-U206))</f>
        <v/>
      </c>
      <c r="J206">
        <f>IF(J205&lt;=0,0,MAX(0,AO206-V206))</f>
        <v/>
      </c>
      <c r="K206">
        <f>IF(K205&lt;=0,0,MAX(0,AP206-W206))</f>
        <v/>
      </c>
      <c r="L206">
        <f>IF(L205&lt;=0,0,MAX(0,AQ206-X206))</f>
        <v/>
      </c>
      <c r="M206">
        <f>IF(M205&lt;=0,0,MAX(0,AR206-Y206))</f>
        <v/>
      </c>
      <c r="N206">
        <f>IF(N205&lt;=0,0,MAX(0,AS206-Z206))</f>
        <v/>
      </c>
      <c r="O206">
        <f>IF(C205&lt;=0,0,MIN(AH206,C$7+IF(C$2=$AA206,$AC206,IF(C$2=$AF206,$AG206,0))))</f>
        <v/>
      </c>
      <c r="P206">
        <f>IF(D205&lt;=0,0,MIN(AI206,D$7+IF(D$2=$AA206,$AC206,IF(D$2=$AF206,$AG206,0))))</f>
        <v/>
      </c>
      <c r="Q206">
        <f>IF(E205&lt;=0,0,MIN(AJ206,E$7+IF(E$2=$AA206,$AC206,IF(E$2=$AF206,$AG206,0))))</f>
        <v/>
      </c>
      <c r="R206">
        <f>IF(F205&lt;=0,0,MIN(AK206,F$7+IF(F$2=$AA206,$AC206,IF(F$2=$AF206,$AG206,0))))</f>
        <v/>
      </c>
      <c r="S206">
        <f>IF(G205&lt;=0,0,MIN(AL206,G$7+IF(G$2=$AA206,$AC206,IF(G$2=$AF206,$AG206,0))))</f>
        <v/>
      </c>
      <c r="T206">
        <f>IF(H205&lt;=0,0,MIN(AM206,H$7+IF(H$2=$AA206,$AC206,IF(H$2=$AF206,$AG206,0))))</f>
        <v/>
      </c>
      <c r="U206">
        <f>IF(I205&lt;=0,0,MIN(AN206,I$7+IF(I$2=$AA206,$AC206,IF(I$2=$AF206,$AG206,0))))</f>
        <v/>
      </c>
      <c r="V206">
        <f>IF(J205&lt;=0,0,MIN(AO206,J$7+IF(J$2=$AA206,$AC206,IF(J$2=$AF206,$AG206,0))))</f>
        <v/>
      </c>
      <c r="W206">
        <f>IF(K205&lt;=0,0,MIN(AP206,K$7+IF(K$2=$AA206,$AC206,IF(K$2=$AF206,$AG206,0))))</f>
        <v/>
      </c>
      <c r="X206">
        <f>IF(L205&lt;=0,0,MIN(AQ206,L$7+IF(L$2=$AA206,$AC206,IF(L$2=$AF206,$AG206,0))))</f>
        <v/>
      </c>
      <c r="Y206">
        <f>IF(M205&lt;=0,0,MIN(AR206,M$7+IF(M$2=$AA206,$AC206,IF(M$2=$AF206,$AG206,0))))</f>
        <v/>
      </c>
      <c r="Z206">
        <f>IF(N205&lt;=0,0,MIN(AS206,N$7+IF(N$2=$AA206,$AC206,IF(N$2=$AF206,$AG206,0))))</f>
        <v/>
      </c>
      <c r="AA206">
        <f>IFERROR(ROUND(1/SUMPRODUCT(MAX((C205:N205&gt;0)*($C$3:$N$3&lt;=B206)/$C$2:$N$2)),0),0)</f>
        <v/>
      </c>
      <c r="AB206">
        <f>SUMPRODUCT((C205:N205&gt;0)*$C$7:$N$7)</f>
        <v/>
      </c>
      <c r="AC206">
        <f>MAX(0,Plan!$C$5-AB206)+IF(A206=Plan!$C$8,N(Plan!$C$7),0)</f>
        <v/>
      </c>
      <c r="AD206">
        <f>SUM(C206:N206)</f>
        <v/>
      </c>
      <c r="AE206">
        <f>SUM(O206:Z206)</f>
        <v/>
      </c>
      <c r="AF206">
        <f>IFERROR(ROUND(1/SUMPRODUCT(MAX((C205:N205&gt;0)*($C$3:$N$3&lt;=B206)*($C$2:$N$2&gt;AA206)/$C$2:$N$2)),0),0)</f>
        <v/>
      </c>
      <c r="AG206">
        <f>MAX(0,AC206-MAX(0,SUMPRODUCT(($C$2:$N$2=AA206)*(AH206:AS206-$C$7:$N$7))))</f>
        <v/>
      </c>
      <c r="AH206">
        <f>IF(C205&lt;=0,0,ROUND(C205*(1+IF(AND(C$6&gt;0,$B206&lt;C$6),C$4,C$5)/12),2))</f>
        <v/>
      </c>
      <c r="AI206">
        <f>IF(D205&lt;=0,0,ROUND(D205*(1+IF(AND(D$6&gt;0,$B206&lt;D$6),D$4,D$5)/12),2))</f>
        <v/>
      </c>
      <c r="AJ206">
        <f>IF(E205&lt;=0,0,ROUND(E205*(1+IF(AND(E$6&gt;0,$B206&lt;E$6),E$4,E$5)/12),2))</f>
        <v/>
      </c>
      <c r="AK206">
        <f>IF(F205&lt;=0,0,ROUND(F205*(1+IF(AND(F$6&gt;0,$B206&lt;F$6),F$4,F$5)/12),2))</f>
        <v/>
      </c>
      <c r="AL206">
        <f>IF(G205&lt;=0,0,ROUND(G205*(1+IF(AND(G$6&gt;0,$B206&lt;G$6),G$4,G$5)/12),2))</f>
        <v/>
      </c>
      <c r="AM206">
        <f>IF(H205&lt;=0,0,ROUND(H205*(1+IF(AND(H$6&gt;0,$B206&lt;H$6),H$4,H$5)/12),2))</f>
        <v/>
      </c>
      <c r="AN206">
        <f>IF(I205&lt;=0,0,ROUND(I205*(1+IF(AND(I$6&gt;0,$B206&lt;I$6),I$4,I$5)/12),2))</f>
        <v/>
      </c>
      <c r="AO206">
        <f>IF(J205&lt;=0,0,ROUND(J205*(1+IF(AND(J$6&gt;0,$B206&lt;J$6),J$4,J$5)/12),2))</f>
        <v/>
      </c>
      <c r="AP206">
        <f>IF(K205&lt;=0,0,ROUND(K205*(1+IF(AND(K$6&gt;0,$B206&lt;K$6),K$4,K$5)/12),2))</f>
        <v/>
      </c>
      <c r="AQ206">
        <f>IF(L205&lt;=0,0,ROUND(L205*(1+IF(AND(L$6&gt;0,$B206&lt;L$6),L$4,L$5)/12),2))</f>
        <v/>
      </c>
      <c r="AR206">
        <f>IF(M205&lt;=0,0,ROUND(M205*(1+IF(AND(M$6&gt;0,$B206&lt;M$6),M$4,M$5)/12),2))</f>
        <v/>
      </c>
      <c r="AS206">
        <f>IF(N205&lt;=0,0,ROUND(N205*(1+IF(AND(N$6&gt;0,$B206&lt;N$6),N$4,N$5)/12),2))</f>
        <v/>
      </c>
    </row>
    <row r="207">
      <c r="A207" t="n">
        <v>196</v>
      </c>
      <c r="B207">
        <f>EDATE(Plan!$C$6,195)</f>
        <v/>
      </c>
      <c r="C207">
        <f>IF(C206&lt;=0,0,MAX(0,AH207-O207))</f>
        <v/>
      </c>
      <c r="D207">
        <f>IF(D206&lt;=0,0,MAX(0,AI207-P207))</f>
        <v/>
      </c>
      <c r="E207">
        <f>IF(E206&lt;=0,0,MAX(0,AJ207-Q207))</f>
        <v/>
      </c>
      <c r="F207">
        <f>IF(F206&lt;=0,0,MAX(0,AK207-R207))</f>
        <v/>
      </c>
      <c r="G207">
        <f>IF(G206&lt;=0,0,MAX(0,AL207-S207))</f>
        <v/>
      </c>
      <c r="H207">
        <f>IF(H206&lt;=0,0,MAX(0,AM207-T207))</f>
        <v/>
      </c>
      <c r="I207">
        <f>IF(I206&lt;=0,0,MAX(0,AN207-U207))</f>
        <v/>
      </c>
      <c r="J207">
        <f>IF(J206&lt;=0,0,MAX(0,AO207-V207))</f>
        <v/>
      </c>
      <c r="K207">
        <f>IF(K206&lt;=0,0,MAX(0,AP207-W207))</f>
        <v/>
      </c>
      <c r="L207">
        <f>IF(L206&lt;=0,0,MAX(0,AQ207-X207))</f>
        <v/>
      </c>
      <c r="M207">
        <f>IF(M206&lt;=0,0,MAX(0,AR207-Y207))</f>
        <v/>
      </c>
      <c r="N207">
        <f>IF(N206&lt;=0,0,MAX(0,AS207-Z207))</f>
        <v/>
      </c>
      <c r="O207">
        <f>IF(C206&lt;=0,0,MIN(AH207,C$7+IF(C$2=$AA207,$AC207,IF(C$2=$AF207,$AG207,0))))</f>
        <v/>
      </c>
      <c r="P207">
        <f>IF(D206&lt;=0,0,MIN(AI207,D$7+IF(D$2=$AA207,$AC207,IF(D$2=$AF207,$AG207,0))))</f>
        <v/>
      </c>
      <c r="Q207">
        <f>IF(E206&lt;=0,0,MIN(AJ207,E$7+IF(E$2=$AA207,$AC207,IF(E$2=$AF207,$AG207,0))))</f>
        <v/>
      </c>
      <c r="R207">
        <f>IF(F206&lt;=0,0,MIN(AK207,F$7+IF(F$2=$AA207,$AC207,IF(F$2=$AF207,$AG207,0))))</f>
        <v/>
      </c>
      <c r="S207">
        <f>IF(G206&lt;=0,0,MIN(AL207,G$7+IF(G$2=$AA207,$AC207,IF(G$2=$AF207,$AG207,0))))</f>
        <v/>
      </c>
      <c r="T207">
        <f>IF(H206&lt;=0,0,MIN(AM207,H$7+IF(H$2=$AA207,$AC207,IF(H$2=$AF207,$AG207,0))))</f>
        <v/>
      </c>
      <c r="U207">
        <f>IF(I206&lt;=0,0,MIN(AN207,I$7+IF(I$2=$AA207,$AC207,IF(I$2=$AF207,$AG207,0))))</f>
        <v/>
      </c>
      <c r="V207">
        <f>IF(J206&lt;=0,0,MIN(AO207,J$7+IF(J$2=$AA207,$AC207,IF(J$2=$AF207,$AG207,0))))</f>
        <v/>
      </c>
      <c r="W207">
        <f>IF(K206&lt;=0,0,MIN(AP207,K$7+IF(K$2=$AA207,$AC207,IF(K$2=$AF207,$AG207,0))))</f>
        <v/>
      </c>
      <c r="X207">
        <f>IF(L206&lt;=0,0,MIN(AQ207,L$7+IF(L$2=$AA207,$AC207,IF(L$2=$AF207,$AG207,0))))</f>
        <v/>
      </c>
      <c r="Y207">
        <f>IF(M206&lt;=0,0,MIN(AR207,M$7+IF(M$2=$AA207,$AC207,IF(M$2=$AF207,$AG207,0))))</f>
        <v/>
      </c>
      <c r="Z207">
        <f>IF(N206&lt;=0,0,MIN(AS207,N$7+IF(N$2=$AA207,$AC207,IF(N$2=$AF207,$AG207,0))))</f>
        <v/>
      </c>
      <c r="AA207">
        <f>IFERROR(ROUND(1/SUMPRODUCT(MAX((C206:N206&gt;0)*($C$3:$N$3&lt;=B207)/$C$2:$N$2)),0),0)</f>
        <v/>
      </c>
      <c r="AB207">
        <f>SUMPRODUCT((C206:N206&gt;0)*$C$7:$N$7)</f>
        <v/>
      </c>
      <c r="AC207">
        <f>MAX(0,Plan!$C$5-AB207)+IF(A207=Plan!$C$8,N(Plan!$C$7),0)</f>
        <v/>
      </c>
      <c r="AD207">
        <f>SUM(C207:N207)</f>
        <v/>
      </c>
      <c r="AE207">
        <f>SUM(O207:Z207)</f>
        <v/>
      </c>
      <c r="AF207">
        <f>IFERROR(ROUND(1/SUMPRODUCT(MAX((C206:N206&gt;0)*($C$3:$N$3&lt;=B207)*($C$2:$N$2&gt;AA207)/$C$2:$N$2)),0),0)</f>
        <v/>
      </c>
      <c r="AG207">
        <f>MAX(0,AC207-MAX(0,SUMPRODUCT(($C$2:$N$2=AA207)*(AH207:AS207-$C$7:$N$7))))</f>
        <v/>
      </c>
      <c r="AH207">
        <f>IF(C206&lt;=0,0,ROUND(C206*(1+IF(AND(C$6&gt;0,$B207&lt;C$6),C$4,C$5)/12),2))</f>
        <v/>
      </c>
      <c r="AI207">
        <f>IF(D206&lt;=0,0,ROUND(D206*(1+IF(AND(D$6&gt;0,$B207&lt;D$6),D$4,D$5)/12),2))</f>
        <v/>
      </c>
      <c r="AJ207">
        <f>IF(E206&lt;=0,0,ROUND(E206*(1+IF(AND(E$6&gt;0,$B207&lt;E$6),E$4,E$5)/12),2))</f>
        <v/>
      </c>
      <c r="AK207">
        <f>IF(F206&lt;=0,0,ROUND(F206*(1+IF(AND(F$6&gt;0,$B207&lt;F$6),F$4,F$5)/12),2))</f>
        <v/>
      </c>
      <c r="AL207">
        <f>IF(G206&lt;=0,0,ROUND(G206*(1+IF(AND(G$6&gt;0,$B207&lt;G$6),G$4,G$5)/12),2))</f>
        <v/>
      </c>
      <c r="AM207">
        <f>IF(H206&lt;=0,0,ROUND(H206*(1+IF(AND(H$6&gt;0,$B207&lt;H$6),H$4,H$5)/12),2))</f>
        <v/>
      </c>
      <c r="AN207">
        <f>IF(I206&lt;=0,0,ROUND(I206*(1+IF(AND(I$6&gt;0,$B207&lt;I$6),I$4,I$5)/12),2))</f>
        <v/>
      </c>
      <c r="AO207">
        <f>IF(J206&lt;=0,0,ROUND(J206*(1+IF(AND(J$6&gt;0,$B207&lt;J$6),J$4,J$5)/12),2))</f>
        <v/>
      </c>
      <c r="AP207">
        <f>IF(K206&lt;=0,0,ROUND(K206*(1+IF(AND(K$6&gt;0,$B207&lt;K$6),K$4,K$5)/12),2))</f>
        <v/>
      </c>
      <c r="AQ207">
        <f>IF(L206&lt;=0,0,ROUND(L206*(1+IF(AND(L$6&gt;0,$B207&lt;L$6),L$4,L$5)/12),2))</f>
        <v/>
      </c>
      <c r="AR207">
        <f>IF(M206&lt;=0,0,ROUND(M206*(1+IF(AND(M$6&gt;0,$B207&lt;M$6),M$4,M$5)/12),2))</f>
        <v/>
      </c>
      <c r="AS207">
        <f>IF(N206&lt;=0,0,ROUND(N206*(1+IF(AND(N$6&gt;0,$B207&lt;N$6),N$4,N$5)/12),2))</f>
        <v/>
      </c>
    </row>
    <row r="208">
      <c r="A208" t="n">
        <v>197</v>
      </c>
      <c r="B208">
        <f>EDATE(Plan!$C$6,196)</f>
        <v/>
      </c>
      <c r="C208">
        <f>IF(C207&lt;=0,0,MAX(0,AH208-O208))</f>
        <v/>
      </c>
      <c r="D208">
        <f>IF(D207&lt;=0,0,MAX(0,AI208-P208))</f>
        <v/>
      </c>
      <c r="E208">
        <f>IF(E207&lt;=0,0,MAX(0,AJ208-Q208))</f>
        <v/>
      </c>
      <c r="F208">
        <f>IF(F207&lt;=0,0,MAX(0,AK208-R208))</f>
        <v/>
      </c>
      <c r="G208">
        <f>IF(G207&lt;=0,0,MAX(0,AL208-S208))</f>
        <v/>
      </c>
      <c r="H208">
        <f>IF(H207&lt;=0,0,MAX(0,AM208-T208))</f>
        <v/>
      </c>
      <c r="I208">
        <f>IF(I207&lt;=0,0,MAX(0,AN208-U208))</f>
        <v/>
      </c>
      <c r="J208">
        <f>IF(J207&lt;=0,0,MAX(0,AO208-V208))</f>
        <v/>
      </c>
      <c r="K208">
        <f>IF(K207&lt;=0,0,MAX(0,AP208-W208))</f>
        <v/>
      </c>
      <c r="L208">
        <f>IF(L207&lt;=0,0,MAX(0,AQ208-X208))</f>
        <v/>
      </c>
      <c r="M208">
        <f>IF(M207&lt;=0,0,MAX(0,AR208-Y208))</f>
        <v/>
      </c>
      <c r="N208">
        <f>IF(N207&lt;=0,0,MAX(0,AS208-Z208))</f>
        <v/>
      </c>
      <c r="O208">
        <f>IF(C207&lt;=0,0,MIN(AH208,C$7+IF(C$2=$AA208,$AC208,IF(C$2=$AF208,$AG208,0))))</f>
        <v/>
      </c>
      <c r="P208">
        <f>IF(D207&lt;=0,0,MIN(AI208,D$7+IF(D$2=$AA208,$AC208,IF(D$2=$AF208,$AG208,0))))</f>
        <v/>
      </c>
      <c r="Q208">
        <f>IF(E207&lt;=0,0,MIN(AJ208,E$7+IF(E$2=$AA208,$AC208,IF(E$2=$AF208,$AG208,0))))</f>
        <v/>
      </c>
      <c r="R208">
        <f>IF(F207&lt;=0,0,MIN(AK208,F$7+IF(F$2=$AA208,$AC208,IF(F$2=$AF208,$AG208,0))))</f>
        <v/>
      </c>
      <c r="S208">
        <f>IF(G207&lt;=0,0,MIN(AL208,G$7+IF(G$2=$AA208,$AC208,IF(G$2=$AF208,$AG208,0))))</f>
        <v/>
      </c>
      <c r="T208">
        <f>IF(H207&lt;=0,0,MIN(AM208,H$7+IF(H$2=$AA208,$AC208,IF(H$2=$AF208,$AG208,0))))</f>
        <v/>
      </c>
      <c r="U208">
        <f>IF(I207&lt;=0,0,MIN(AN208,I$7+IF(I$2=$AA208,$AC208,IF(I$2=$AF208,$AG208,0))))</f>
        <v/>
      </c>
      <c r="V208">
        <f>IF(J207&lt;=0,0,MIN(AO208,J$7+IF(J$2=$AA208,$AC208,IF(J$2=$AF208,$AG208,0))))</f>
        <v/>
      </c>
      <c r="W208">
        <f>IF(K207&lt;=0,0,MIN(AP208,K$7+IF(K$2=$AA208,$AC208,IF(K$2=$AF208,$AG208,0))))</f>
        <v/>
      </c>
      <c r="X208">
        <f>IF(L207&lt;=0,0,MIN(AQ208,L$7+IF(L$2=$AA208,$AC208,IF(L$2=$AF208,$AG208,0))))</f>
        <v/>
      </c>
      <c r="Y208">
        <f>IF(M207&lt;=0,0,MIN(AR208,M$7+IF(M$2=$AA208,$AC208,IF(M$2=$AF208,$AG208,0))))</f>
        <v/>
      </c>
      <c r="Z208">
        <f>IF(N207&lt;=0,0,MIN(AS208,N$7+IF(N$2=$AA208,$AC208,IF(N$2=$AF208,$AG208,0))))</f>
        <v/>
      </c>
      <c r="AA208">
        <f>IFERROR(ROUND(1/SUMPRODUCT(MAX((C207:N207&gt;0)*($C$3:$N$3&lt;=B208)/$C$2:$N$2)),0),0)</f>
        <v/>
      </c>
      <c r="AB208">
        <f>SUMPRODUCT((C207:N207&gt;0)*$C$7:$N$7)</f>
        <v/>
      </c>
      <c r="AC208">
        <f>MAX(0,Plan!$C$5-AB208)+IF(A208=Plan!$C$8,N(Plan!$C$7),0)</f>
        <v/>
      </c>
      <c r="AD208">
        <f>SUM(C208:N208)</f>
        <v/>
      </c>
      <c r="AE208">
        <f>SUM(O208:Z208)</f>
        <v/>
      </c>
      <c r="AF208">
        <f>IFERROR(ROUND(1/SUMPRODUCT(MAX((C207:N207&gt;0)*($C$3:$N$3&lt;=B208)*($C$2:$N$2&gt;AA208)/$C$2:$N$2)),0),0)</f>
        <v/>
      </c>
      <c r="AG208">
        <f>MAX(0,AC208-MAX(0,SUMPRODUCT(($C$2:$N$2=AA208)*(AH208:AS208-$C$7:$N$7))))</f>
        <v/>
      </c>
      <c r="AH208">
        <f>IF(C207&lt;=0,0,ROUND(C207*(1+IF(AND(C$6&gt;0,$B208&lt;C$6),C$4,C$5)/12),2))</f>
        <v/>
      </c>
      <c r="AI208">
        <f>IF(D207&lt;=0,0,ROUND(D207*(1+IF(AND(D$6&gt;0,$B208&lt;D$6),D$4,D$5)/12),2))</f>
        <v/>
      </c>
      <c r="AJ208">
        <f>IF(E207&lt;=0,0,ROUND(E207*(1+IF(AND(E$6&gt;0,$B208&lt;E$6),E$4,E$5)/12),2))</f>
        <v/>
      </c>
      <c r="AK208">
        <f>IF(F207&lt;=0,0,ROUND(F207*(1+IF(AND(F$6&gt;0,$B208&lt;F$6),F$4,F$5)/12),2))</f>
        <v/>
      </c>
      <c r="AL208">
        <f>IF(G207&lt;=0,0,ROUND(G207*(1+IF(AND(G$6&gt;0,$B208&lt;G$6),G$4,G$5)/12),2))</f>
        <v/>
      </c>
      <c r="AM208">
        <f>IF(H207&lt;=0,0,ROUND(H207*(1+IF(AND(H$6&gt;0,$B208&lt;H$6),H$4,H$5)/12),2))</f>
        <v/>
      </c>
      <c r="AN208">
        <f>IF(I207&lt;=0,0,ROUND(I207*(1+IF(AND(I$6&gt;0,$B208&lt;I$6),I$4,I$5)/12),2))</f>
        <v/>
      </c>
      <c r="AO208">
        <f>IF(J207&lt;=0,0,ROUND(J207*(1+IF(AND(J$6&gt;0,$B208&lt;J$6),J$4,J$5)/12),2))</f>
        <v/>
      </c>
      <c r="AP208">
        <f>IF(K207&lt;=0,0,ROUND(K207*(1+IF(AND(K$6&gt;0,$B208&lt;K$6),K$4,K$5)/12),2))</f>
        <v/>
      </c>
      <c r="AQ208">
        <f>IF(L207&lt;=0,0,ROUND(L207*(1+IF(AND(L$6&gt;0,$B208&lt;L$6),L$4,L$5)/12),2))</f>
        <v/>
      </c>
      <c r="AR208">
        <f>IF(M207&lt;=0,0,ROUND(M207*(1+IF(AND(M$6&gt;0,$B208&lt;M$6),M$4,M$5)/12),2))</f>
        <v/>
      </c>
      <c r="AS208">
        <f>IF(N207&lt;=0,0,ROUND(N207*(1+IF(AND(N$6&gt;0,$B208&lt;N$6),N$4,N$5)/12),2))</f>
        <v/>
      </c>
    </row>
    <row r="209">
      <c r="A209" t="n">
        <v>198</v>
      </c>
      <c r="B209">
        <f>EDATE(Plan!$C$6,197)</f>
        <v/>
      </c>
      <c r="C209">
        <f>IF(C208&lt;=0,0,MAX(0,AH209-O209))</f>
        <v/>
      </c>
      <c r="D209">
        <f>IF(D208&lt;=0,0,MAX(0,AI209-P209))</f>
        <v/>
      </c>
      <c r="E209">
        <f>IF(E208&lt;=0,0,MAX(0,AJ209-Q209))</f>
        <v/>
      </c>
      <c r="F209">
        <f>IF(F208&lt;=0,0,MAX(0,AK209-R209))</f>
        <v/>
      </c>
      <c r="G209">
        <f>IF(G208&lt;=0,0,MAX(0,AL209-S209))</f>
        <v/>
      </c>
      <c r="H209">
        <f>IF(H208&lt;=0,0,MAX(0,AM209-T209))</f>
        <v/>
      </c>
      <c r="I209">
        <f>IF(I208&lt;=0,0,MAX(0,AN209-U209))</f>
        <v/>
      </c>
      <c r="J209">
        <f>IF(J208&lt;=0,0,MAX(0,AO209-V209))</f>
        <v/>
      </c>
      <c r="K209">
        <f>IF(K208&lt;=0,0,MAX(0,AP209-W209))</f>
        <v/>
      </c>
      <c r="L209">
        <f>IF(L208&lt;=0,0,MAX(0,AQ209-X209))</f>
        <v/>
      </c>
      <c r="M209">
        <f>IF(M208&lt;=0,0,MAX(0,AR209-Y209))</f>
        <v/>
      </c>
      <c r="N209">
        <f>IF(N208&lt;=0,0,MAX(0,AS209-Z209))</f>
        <v/>
      </c>
      <c r="O209">
        <f>IF(C208&lt;=0,0,MIN(AH209,C$7+IF(C$2=$AA209,$AC209,IF(C$2=$AF209,$AG209,0))))</f>
        <v/>
      </c>
      <c r="P209">
        <f>IF(D208&lt;=0,0,MIN(AI209,D$7+IF(D$2=$AA209,$AC209,IF(D$2=$AF209,$AG209,0))))</f>
        <v/>
      </c>
      <c r="Q209">
        <f>IF(E208&lt;=0,0,MIN(AJ209,E$7+IF(E$2=$AA209,$AC209,IF(E$2=$AF209,$AG209,0))))</f>
        <v/>
      </c>
      <c r="R209">
        <f>IF(F208&lt;=0,0,MIN(AK209,F$7+IF(F$2=$AA209,$AC209,IF(F$2=$AF209,$AG209,0))))</f>
        <v/>
      </c>
      <c r="S209">
        <f>IF(G208&lt;=0,0,MIN(AL209,G$7+IF(G$2=$AA209,$AC209,IF(G$2=$AF209,$AG209,0))))</f>
        <v/>
      </c>
      <c r="T209">
        <f>IF(H208&lt;=0,0,MIN(AM209,H$7+IF(H$2=$AA209,$AC209,IF(H$2=$AF209,$AG209,0))))</f>
        <v/>
      </c>
      <c r="U209">
        <f>IF(I208&lt;=0,0,MIN(AN209,I$7+IF(I$2=$AA209,$AC209,IF(I$2=$AF209,$AG209,0))))</f>
        <v/>
      </c>
      <c r="V209">
        <f>IF(J208&lt;=0,0,MIN(AO209,J$7+IF(J$2=$AA209,$AC209,IF(J$2=$AF209,$AG209,0))))</f>
        <v/>
      </c>
      <c r="W209">
        <f>IF(K208&lt;=0,0,MIN(AP209,K$7+IF(K$2=$AA209,$AC209,IF(K$2=$AF209,$AG209,0))))</f>
        <v/>
      </c>
      <c r="X209">
        <f>IF(L208&lt;=0,0,MIN(AQ209,L$7+IF(L$2=$AA209,$AC209,IF(L$2=$AF209,$AG209,0))))</f>
        <v/>
      </c>
      <c r="Y209">
        <f>IF(M208&lt;=0,0,MIN(AR209,M$7+IF(M$2=$AA209,$AC209,IF(M$2=$AF209,$AG209,0))))</f>
        <v/>
      </c>
      <c r="Z209">
        <f>IF(N208&lt;=0,0,MIN(AS209,N$7+IF(N$2=$AA209,$AC209,IF(N$2=$AF209,$AG209,0))))</f>
        <v/>
      </c>
      <c r="AA209">
        <f>IFERROR(ROUND(1/SUMPRODUCT(MAX((C208:N208&gt;0)*($C$3:$N$3&lt;=B209)/$C$2:$N$2)),0),0)</f>
        <v/>
      </c>
      <c r="AB209">
        <f>SUMPRODUCT((C208:N208&gt;0)*$C$7:$N$7)</f>
        <v/>
      </c>
      <c r="AC209">
        <f>MAX(0,Plan!$C$5-AB209)+IF(A209=Plan!$C$8,N(Plan!$C$7),0)</f>
        <v/>
      </c>
      <c r="AD209">
        <f>SUM(C209:N209)</f>
        <v/>
      </c>
      <c r="AE209">
        <f>SUM(O209:Z209)</f>
        <v/>
      </c>
      <c r="AF209">
        <f>IFERROR(ROUND(1/SUMPRODUCT(MAX((C208:N208&gt;0)*($C$3:$N$3&lt;=B209)*($C$2:$N$2&gt;AA209)/$C$2:$N$2)),0),0)</f>
        <v/>
      </c>
      <c r="AG209">
        <f>MAX(0,AC209-MAX(0,SUMPRODUCT(($C$2:$N$2=AA209)*(AH209:AS209-$C$7:$N$7))))</f>
        <v/>
      </c>
      <c r="AH209">
        <f>IF(C208&lt;=0,0,ROUND(C208*(1+IF(AND(C$6&gt;0,$B209&lt;C$6),C$4,C$5)/12),2))</f>
        <v/>
      </c>
      <c r="AI209">
        <f>IF(D208&lt;=0,0,ROUND(D208*(1+IF(AND(D$6&gt;0,$B209&lt;D$6),D$4,D$5)/12),2))</f>
        <v/>
      </c>
      <c r="AJ209">
        <f>IF(E208&lt;=0,0,ROUND(E208*(1+IF(AND(E$6&gt;0,$B209&lt;E$6),E$4,E$5)/12),2))</f>
        <v/>
      </c>
      <c r="AK209">
        <f>IF(F208&lt;=0,0,ROUND(F208*(1+IF(AND(F$6&gt;0,$B209&lt;F$6),F$4,F$5)/12),2))</f>
        <v/>
      </c>
      <c r="AL209">
        <f>IF(G208&lt;=0,0,ROUND(G208*(1+IF(AND(G$6&gt;0,$B209&lt;G$6),G$4,G$5)/12),2))</f>
        <v/>
      </c>
      <c r="AM209">
        <f>IF(H208&lt;=0,0,ROUND(H208*(1+IF(AND(H$6&gt;0,$B209&lt;H$6),H$4,H$5)/12),2))</f>
        <v/>
      </c>
      <c r="AN209">
        <f>IF(I208&lt;=0,0,ROUND(I208*(1+IF(AND(I$6&gt;0,$B209&lt;I$6),I$4,I$5)/12),2))</f>
        <v/>
      </c>
      <c r="AO209">
        <f>IF(J208&lt;=0,0,ROUND(J208*(1+IF(AND(J$6&gt;0,$B209&lt;J$6),J$4,J$5)/12),2))</f>
        <v/>
      </c>
      <c r="AP209">
        <f>IF(K208&lt;=0,0,ROUND(K208*(1+IF(AND(K$6&gt;0,$B209&lt;K$6),K$4,K$5)/12),2))</f>
        <v/>
      </c>
      <c r="AQ209">
        <f>IF(L208&lt;=0,0,ROUND(L208*(1+IF(AND(L$6&gt;0,$B209&lt;L$6),L$4,L$5)/12),2))</f>
        <v/>
      </c>
      <c r="AR209">
        <f>IF(M208&lt;=0,0,ROUND(M208*(1+IF(AND(M$6&gt;0,$B209&lt;M$6),M$4,M$5)/12),2))</f>
        <v/>
      </c>
      <c r="AS209">
        <f>IF(N208&lt;=0,0,ROUND(N208*(1+IF(AND(N$6&gt;0,$B209&lt;N$6),N$4,N$5)/12),2))</f>
        <v/>
      </c>
    </row>
    <row r="210">
      <c r="A210" t="n">
        <v>199</v>
      </c>
      <c r="B210">
        <f>EDATE(Plan!$C$6,198)</f>
        <v/>
      </c>
      <c r="C210">
        <f>IF(C209&lt;=0,0,MAX(0,AH210-O210))</f>
        <v/>
      </c>
      <c r="D210">
        <f>IF(D209&lt;=0,0,MAX(0,AI210-P210))</f>
        <v/>
      </c>
      <c r="E210">
        <f>IF(E209&lt;=0,0,MAX(0,AJ210-Q210))</f>
        <v/>
      </c>
      <c r="F210">
        <f>IF(F209&lt;=0,0,MAX(0,AK210-R210))</f>
        <v/>
      </c>
      <c r="G210">
        <f>IF(G209&lt;=0,0,MAX(0,AL210-S210))</f>
        <v/>
      </c>
      <c r="H210">
        <f>IF(H209&lt;=0,0,MAX(0,AM210-T210))</f>
        <v/>
      </c>
      <c r="I210">
        <f>IF(I209&lt;=0,0,MAX(0,AN210-U210))</f>
        <v/>
      </c>
      <c r="J210">
        <f>IF(J209&lt;=0,0,MAX(0,AO210-V210))</f>
        <v/>
      </c>
      <c r="K210">
        <f>IF(K209&lt;=0,0,MAX(0,AP210-W210))</f>
        <v/>
      </c>
      <c r="L210">
        <f>IF(L209&lt;=0,0,MAX(0,AQ210-X210))</f>
        <v/>
      </c>
      <c r="M210">
        <f>IF(M209&lt;=0,0,MAX(0,AR210-Y210))</f>
        <v/>
      </c>
      <c r="N210">
        <f>IF(N209&lt;=0,0,MAX(0,AS210-Z210))</f>
        <v/>
      </c>
      <c r="O210">
        <f>IF(C209&lt;=0,0,MIN(AH210,C$7+IF(C$2=$AA210,$AC210,IF(C$2=$AF210,$AG210,0))))</f>
        <v/>
      </c>
      <c r="P210">
        <f>IF(D209&lt;=0,0,MIN(AI210,D$7+IF(D$2=$AA210,$AC210,IF(D$2=$AF210,$AG210,0))))</f>
        <v/>
      </c>
      <c r="Q210">
        <f>IF(E209&lt;=0,0,MIN(AJ210,E$7+IF(E$2=$AA210,$AC210,IF(E$2=$AF210,$AG210,0))))</f>
        <v/>
      </c>
      <c r="R210">
        <f>IF(F209&lt;=0,0,MIN(AK210,F$7+IF(F$2=$AA210,$AC210,IF(F$2=$AF210,$AG210,0))))</f>
        <v/>
      </c>
      <c r="S210">
        <f>IF(G209&lt;=0,0,MIN(AL210,G$7+IF(G$2=$AA210,$AC210,IF(G$2=$AF210,$AG210,0))))</f>
        <v/>
      </c>
      <c r="T210">
        <f>IF(H209&lt;=0,0,MIN(AM210,H$7+IF(H$2=$AA210,$AC210,IF(H$2=$AF210,$AG210,0))))</f>
        <v/>
      </c>
      <c r="U210">
        <f>IF(I209&lt;=0,0,MIN(AN210,I$7+IF(I$2=$AA210,$AC210,IF(I$2=$AF210,$AG210,0))))</f>
        <v/>
      </c>
      <c r="V210">
        <f>IF(J209&lt;=0,0,MIN(AO210,J$7+IF(J$2=$AA210,$AC210,IF(J$2=$AF210,$AG210,0))))</f>
        <v/>
      </c>
      <c r="W210">
        <f>IF(K209&lt;=0,0,MIN(AP210,K$7+IF(K$2=$AA210,$AC210,IF(K$2=$AF210,$AG210,0))))</f>
        <v/>
      </c>
      <c r="X210">
        <f>IF(L209&lt;=0,0,MIN(AQ210,L$7+IF(L$2=$AA210,$AC210,IF(L$2=$AF210,$AG210,0))))</f>
        <v/>
      </c>
      <c r="Y210">
        <f>IF(M209&lt;=0,0,MIN(AR210,M$7+IF(M$2=$AA210,$AC210,IF(M$2=$AF210,$AG210,0))))</f>
        <v/>
      </c>
      <c r="Z210">
        <f>IF(N209&lt;=0,0,MIN(AS210,N$7+IF(N$2=$AA210,$AC210,IF(N$2=$AF210,$AG210,0))))</f>
        <v/>
      </c>
      <c r="AA210">
        <f>IFERROR(ROUND(1/SUMPRODUCT(MAX((C209:N209&gt;0)*($C$3:$N$3&lt;=B210)/$C$2:$N$2)),0),0)</f>
        <v/>
      </c>
      <c r="AB210">
        <f>SUMPRODUCT((C209:N209&gt;0)*$C$7:$N$7)</f>
        <v/>
      </c>
      <c r="AC210">
        <f>MAX(0,Plan!$C$5-AB210)+IF(A210=Plan!$C$8,N(Plan!$C$7),0)</f>
        <v/>
      </c>
      <c r="AD210">
        <f>SUM(C210:N210)</f>
        <v/>
      </c>
      <c r="AE210">
        <f>SUM(O210:Z210)</f>
        <v/>
      </c>
      <c r="AF210">
        <f>IFERROR(ROUND(1/SUMPRODUCT(MAX((C209:N209&gt;0)*($C$3:$N$3&lt;=B210)*($C$2:$N$2&gt;AA210)/$C$2:$N$2)),0),0)</f>
        <v/>
      </c>
      <c r="AG210">
        <f>MAX(0,AC210-MAX(0,SUMPRODUCT(($C$2:$N$2=AA210)*(AH210:AS210-$C$7:$N$7))))</f>
        <v/>
      </c>
      <c r="AH210">
        <f>IF(C209&lt;=0,0,ROUND(C209*(1+IF(AND(C$6&gt;0,$B210&lt;C$6),C$4,C$5)/12),2))</f>
        <v/>
      </c>
      <c r="AI210">
        <f>IF(D209&lt;=0,0,ROUND(D209*(1+IF(AND(D$6&gt;0,$B210&lt;D$6),D$4,D$5)/12),2))</f>
        <v/>
      </c>
      <c r="AJ210">
        <f>IF(E209&lt;=0,0,ROUND(E209*(1+IF(AND(E$6&gt;0,$B210&lt;E$6),E$4,E$5)/12),2))</f>
        <v/>
      </c>
      <c r="AK210">
        <f>IF(F209&lt;=0,0,ROUND(F209*(1+IF(AND(F$6&gt;0,$B210&lt;F$6),F$4,F$5)/12),2))</f>
        <v/>
      </c>
      <c r="AL210">
        <f>IF(G209&lt;=0,0,ROUND(G209*(1+IF(AND(G$6&gt;0,$B210&lt;G$6),G$4,G$5)/12),2))</f>
        <v/>
      </c>
      <c r="AM210">
        <f>IF(H209&lt;=0,0,ROUND(H209*(1+IF(AND(H$6&gt;0,$B210&lt;H$6),H$4,H$5)/12),2))</f>
        <v/>
      </c>
      <c r="AN210">
        <f>IF(I209&lt;=0,0,ROUND(I209*(1+IF(AND(I$6&gt;0,$B210&lt;I$6),I$4,I$5)/12),2))</f>
        <v/>
      </c>
      <c r="AO210">
        <f>IF(J209&lt;=0,0,ROUND(J209*(1+IF(AND(J$6&gt;0,$B210&lt;J$6),J$4,J$5)/12),2))</f>
        <v/>
      </c>
      <c r="AP210">
        <f>IF(K209&lt;=0,0,ROUND(K209*(1+IF(AND(K$6&gt;0,$B210&lt;K$6),K$4,K$5)/12),2))</f>
        <v/>
      </c>
      <c r="AQ210">
        <f>IF(L209&lt;=0,0,ROUND(L209*(1+IF(AND(L$6&gt;0,$B210&lt;L$6),L$4,L$5)/12),2))</f>
        <v/>
      </c>
      <c r="AR210">
        <f>IF(M209&lt;=0,0,ROUND(M209*(1+IF(AND(M$6&gt;0,$B210&lt;M$6),M$4,M$5)/12),2))</f>
        <v/>
      </c>
      <c r="AS210">
        <f>IF(N209&lt;=0,0,ROUND(N209*(1+IF(AND(N$6&gt;0,$B210&lt;N$6),N$4,N$5)/12),2))</f>
        <v/>
      </c>
    </row>
    <row r="211">
      <c r="A211" t="n">
        <v>200</v>
      </c>
      <c r="B211">
        <f>EDATE(Plan!$C$6,199)</f>
        <v/>
      </c>
      <c r="C211">
        <f>IF(C210&lt;=0,0,MAX(0,AH211-O211))</f>
        <v/>
      </c>
      <c r="D211">
        <f>IF(D210&lt;=0,0,MAX(0,AI211-P211))</f>
        <v/>
      </c>
      <c r="E211">
        <f>IF(E210&lt;=0,0,MAX(0,AJ211-Q211))</f>
        <v/>
      </c>
      <c r="F211">
        <f>IF(F210&lt;=0,0,MAX(0,AK211-R211))</f>
        <v/>
      </c>
      <c r="G211">
        <f>IF(G210&lt;=0,0,MAX(0,AL211-S211))</f>
        <v/>
      </c>
      <c r="H211">
        <f>IF(H210&lt;=0,0,MAX(0,AM211-T211))</f>
        <v/>
      </c>
      <c r="I211">
        <f>IF(I210&lt;=0,0,MAX(0,AN211-U211))</f>
        <v/>
      </c>
      <c r="J211">
        <f>IF(J210&lt;=0,0,MAX(0,AO211-V211))</f>
        <v/>
      </c>
      <c r="K211">
        <f>IF(K210&lt;=0,0,MAX(0,AP211-W211))</f>
        <v/>
      </c>
      <c r="L211">
        <f>IF(L210&lt;=0,0,MAX(0,AQ211-X211))</f>
        <v/>
      </c>
      <c r="M211">
        <f>IF(M210&lt;=0,0,MAX(0,AR211-Y211))</f>
        <v/>
      </c>
      <c r="N211">
        <f>IF(N210&lt;=0,0,MAX(0,AS211-Z211))</f>
        <v/>
      </c>
      <c r="O211">
        <f>IF(C210&lt;=0,0,MIN(AH211,C$7+IF(C$2=$AA211,$AC211,IF(C$2=$AF211,$AG211,0))))</f>
        <v/>
      </c>
      <c r="P211">
        <f>IF(D210&lt;=0,0,MIN(AI211,D$7+IF(D$2=$AA211,$AC211,IF(D$2=$AF211,$AG211,0))))</f>
        <v/>
      </c>
      <c r="Q211">
        <f>IF(E210&lt;=0,0,MIN(AJ211,E$7+IF(E$2=$AA211,$AC211,IF(E$2=$AF211,$AG211,0))))</f>
        <v/>
      </c>
      <c r="R211">
        <f>IF(F210&lt;=0,0,MIN(AK211,F$7+IF(F$2=$AA211,$AC211,IF(F$2=$AF211,$AG211,0))))</f>
        <v/>
      </c>
      <c r="S211">
        <f>IF(G210&lt;=0,0,MIN(AL211,G$7+IF(G$2=$AA211,$AC211,IF(G$2=$AF211,$AG211,0))))</f>
        <v/>
      </c>
      <c r="T211">
        <f>IF(H210&lt;=0,0,MIN(AM211,H$7+IF(H$2=$AA211,$AC211,IF(H$2=$AF211,$AG211,0))))</f>
        <v/>
      </c>
      <c r="U211">
        <f>IF(I210&lt;=0,0,MIN(AN211,I$7+IF(I$2=$AA211,$AC211,IF(I$2=$AF211,$AG211,0))))</f>
        <v/>
      </c>
      <c r="V211">
        <f>IF(J210&lt;=0,0,MIN(AO211,J$7+IF(J$2=$AA211,$AC211,IF(J$2=$AF211,$AG211,0))))</f>
        <v/>
      </c>
      <c r="W211">
        <f>IF(K210&lt;=0,0,MIN(AP211,K$7+IF(K$2=$AA211,$AC211,IF(K$2=$AF211,$AG211,0))))</f>
        <v/>
      </c>
      <c r="X211">
        <f>IF(L210&lt;=0,0,MIN(AQ211,L$7+IF(L$2=$AA211,$AC211,IF(L$2=$AF211,$AG211,0))))</f>
        <v/>
      </c>
      <c r="Y211">
        <f>IF(M210&lt;=0,0,MIN(AR211,M$7+IF(M$2=$AA211,$AC211,IF(M$2=$AF211,$AG211,0))))</f>
        <v/>
      </c>
      <c r="Z211">
        <f>IF(N210&lt;=0,0,MIN(AS211,N$7+IF(N$2=$AA211,$AC211,IF(N$2=$AF211,$AG211,0))))</f>
        <v/>
      </c>
      <c r="AA211">
        <f>IFERROR(ROUND(1/SUMPRODUCT(MAX((C210:N210&gt;0)*($C$3:$N$3&lt;=B211)/$C$2:$N$2)),0),0)</f>
        <v/>
      </c>
      <c r="AB211">
        <f>SUMPRODUCT((C210:N210&gt;0)*$C$7:$N$7)</f>
        <v/>
      </c>
      <c r="AC211">
        <f>MAX(0,Plan!$C$5-AB211)+IF(A211=Plan!$C$8,N(Plan!$C$7),0)</f>
        <v/>
      </c>
      <c r="AD211">
        <f>SUM(C211:N211)</f>
        <v/>
      </c>
      <c r="AE211">
        <f>SUM(O211:Z211)</f>
        <v/>
      </c>
      <c r="AF211">
        <f>IFERROR(ROUND(1/SUMPRODUCT(MAX((C210:N210&gt;0)*($C$3:$N$3&lt;=B211)*($C$2:$N$2&gt;AA211)/$C$2:$N$2)),0),0)</f>
        <v/>
      </c>
      <c r="AG211">
        <f>MAX(0,AC211-MAX(0,SUMPRODUCT(($C$2:$N$2=AA211)*(AH211:AS211-$C$7:$N$7))))</f>
        <v/>
      </c>
      <c r="AH211">
        <f>IF(C210&lt;=0,0,ROUND(C210*(1+IF(AND(C$6&gt;0,$B211&lt;C$6),C$4,C$5)/12),2))</f>
        <v/>
      </c>
      <c r="AI211">
        <f>IF(D210&lt;=0,0,ROUND(D210*(1+IF(AND(D$6&gt;0,$B211&lt;D$6),D$4,D$5)/12),2))</f>
        <v/>
      </c>
      <c r="AJ211">
        <f>IF(E210&lt;=0,0,ROUND(E210*(1+IF(AND(E$6&gt;0,$B211&lt;E$6),E$4,E$5)/12),2))</f>
        <v/>
      </c>
      <c r="AK211">
        <f>IF(F210&lt;=0,0,ROUND(F210*(1+IF(AND(F$6&gt;0,$B211&lt;F$6),F$4,F$5)/12),2))</f>
        <v/>
      </c>
      <c r="AL211">
        <f>IF(G210&lt;=0,0,ROUND(G210*(1+IF(AND(G$6&gt;0,$B211&lt;G$6),G$4,G$5)/12),2))</f>
        <v/>
      </c>
      <c r="AM211">
        <f>IF(H210&lt;=0,0,ROUND(H210*(1+IF(AND(H$6&gt;0,$B211&lt;H$6),H$4,H$5)/12),2))</f>
        <v/>
      </c>
      <c r="AN211">
        <f>IF(I210&lt;=0,0,ROUND(I210*(1+IF(AND(I$6&gt;0,$B211&lt;I$6),I$4,I$5)/12),2))</f>
        <v/>
      </c>
      <c r="AO211">
        <f>IF(J210&lt;=0,0,ROUND(J210*(1+IF(AND(J$6&gt;0,$B211&lt;J$6),J$4,J$5)/12),2))</f>
        <v/>
      </c>
      <c r="AP211">
        <f>IF(K210&lt;=0,0,ROUND(K210*(1+IF(AND(K$6&gt;0,$B211&lt;K$6),K$4,K$5)/12),2))</f>
        <v/>
      </c>
      <c r="AQ211">
        <f>IF(L210&lt;=0,0,ROUND(L210*(1+IF(AND(L$6&gt;0,$B211&lt;L$6),L$4,L$5)/12),2))</f>
        <v/>
      </c>
      <c r="AR211">
        <f>IF(M210&lt;=0,0,ROUND(M210*(1+IF(AND(M$6&gt;0,$B211&lt;M$6),M$4,M$5)/12),2))</f>
        <v/>
      </c>
      <c r="AS211">
        <f>IF(N210&lt;=0,0,ROUND(N210*(1+IF(AND(N$6&gt;0,$B211&lt;N$6),N$4,N$5)/12),2))</f>
        <v/>
      </c>
    </row>
    <row r="212">
      <c r="A212" t="n">
        <v>201</v>
      </c>
      <c r="B212">
        <f>EDATE(Plan!$C$6,200)</f>
        <v/>
      </c>
      <c r="C212">
        <f>IF(C211&lt;=0,0,MAX(0,AH212-O212))</f>
        <v/>
      </c>
      <c r="D212">
        <f>IF(D211&lt;=0,0,MAX(0,AI212-P212))</f>
        <v/>
      </c>
      <c r="E212">
        <f>IF(E211&lt;=0,0,MAX(0,AJ212-Q212))</f>
        <v/>
      </c>
      <c r="F212">
        <f>IF(F211&lt;=0,0,MAX(0,AK212-R212))</f>
        <v/>
      </c>
      <c r="G212">
        <f>IF(G211&lt;=0,0,MAX(0,AL212-S212))</f>
        <v/>
      </c>
      <c r="H212">
        <f>IF(H211&lt;=0,0,MAX(0,AM212-T212))</f>
        <v/>
      </c>
      <c r="I212">
        <f>IF(I211&lt;=0,0,MAX(0,AN212-U212))</f>
        <v/>
      </c>
      <c r="J212">
        <f>IF(J211&lt;=0,0,MAX(0,AO212-V212))</f>
        <v/>
      </c>
      <c r="K212">
        <f>IF(K211&lt;=0,0,MAX(0,AP212-W212))</f>
        <v/>
      </c>
      <c r="L212">
        <f>IF(L211&lt;=0,0,MAX(0,AQ212-X212))</f>
        <v/>
      </c>
      <c r="M212">
        <f>IF(M211&lt;=0,0,MAX(0,AR212-Y212))</f>
        <v/>
      </c>
      <c r="N212">
        <f>IF(N211&lt;=0,0,MAX(0,AS212-Z212))</f>
        <v/>
      </c>
      <c r="O212">
        <f>IF(C211&lt;=0,0,MIN(AH212,C$7+IF(C$2=$AA212,$AC212,IF(C$2=$AF212,$AG212,0))))</f>
        <v/>
      </c>
      <c r="P212">
        <f>IF(D211&lt;=0,0,MIN(AI212,D$7+IF(D$2=$AA212,$AC212,IF(D$2=$AF212,$AG212,0))))</f>
        <v/>
      </c>
      <c r="Q212">
        <f>IF(E211&lt;=0,0,MIN(AJ212,E$7+IF(E$2=$AA212,$AC212,IF(E$2=$AF212,$AG212,0))))</f>
        <v/>
      </c>
      <c r="R212">
        <f>IF(F211&lt;=0,0,MIN(AK212,F$7+IF(F$2=$AA212,$AC212,IF(F$2=$AF212,$AG212,0))))</f>
        <v/>
      </c>
      <c r="S212">
        <f>IF(G211&lt;=0,0,MIN(AL212,G$7+IF(G$2=$AA212,$AC212,IF(G$2=$AF212,$AG212,0))))</f>
        <v/>
      </c>
      <c r="T212">
        <f>IF(H211&lt;=0,0,MIN(AM212,H$7+IF(H$2=$AA212,$AC212,IF(H$2=$AF212,$AG212,0))))</f>
        <v/>
      </c>
      <c r="U212">
        <f>IF(I211&lt;=0,0,MIN(AN212,I$7+IF(I$2=$AA212,$AC212,IF(I$2=$AF212,$AG212,0))))</f>
        <v/>
      </c>
      <c r="V212">
        <f>IF(J211&lt;=0,0,MIN(AO212,J$7+IF(J$2=$AA212,$AC212,IF(J$2=$AF212,$AG212,0))))</f>
        <v/>
      </c>
      <c r="W212">
        <f>IF(K211&lt;=0,0,MIN(AP212,K$7+IF(K$2=$AA212,$AC212,IF(K$2=$AF212,$AG212,0))))</f>
        <v/>
      </c>
      <c r="X212">
        <f>IF(L211&lt;=0,0,MIN(AQ212,L$7+IF(L$2=$AA212,$AC212,IF(L$2=$AF212,$AG212,0))))</f>
        <v/>
      </c>
      <c r="Y212">
        <f>IF(M211&lt;=0,0,MIN(AR212,M$7+IF(M$2=$AA212,$AC212,IF(M$2=$AF212,$AG212,0))))</f>
        <v/>
      </c>
      <c r="Z212">
        <f>IF(N211&lt;=0,0,MIN(AS212,N$7+IF(N$2=$AA212,$AC212,IF(N$2=$AF212,$AG212,0))))</f>
        <v/>
      </c>
      <c r="AA212">
        <f>IFERROR(ROUND(1/SUMPRODUCT(MAX((C211:N211&gt;0)*($C$3:$N$3&lt;=B212)/$C$2:$N$2)),0),0)</f>
        <v/>
      </c>
      <c r="AB212">
        <f>SUMPRODUCT((C211:N211&gt;0)*$C$7:$N$7)</f>
        <v/>
      </c>
      <c r="AC212">
        <f>MAX(0,Plan!$C$5-AB212)+IF(A212=Plan!$C$8,N(Plan!$C$7),0)</f>
        <v/>
      </c>
      <c r="AD212">
        <f>SUM(C212:N212)</f>
        <v/>
      </c>
      <c r="AE212">
        <f>SUM(O212:Z212)</f>
        <v/>
      </c>
      <c r="AF212">
        <f>IFERROR(ROUND(1/SUMPRODUCT(MAX((C211:N211&gt;0)*($C$3:$N$3&lt;=B212)*($C$2:$N$2&gt;AA212)/$C$2:$N$2)),0),0)</f>
        <v/>
      </c>
      <c r="AG212">
        <f>MAX(0,AC212-MAX(0,SUMPRODUCT(($C$2:$N$2=AA212)*(AH212:AS212-$C$7:$N$7))))</f>
        <v/>
      </c>
      <c r="AH212">
        <f>IF(C211&lt;=0,0,ROUND(C211*(1+IF(AND(C$6&gt;0,$B212&lt;C$6),C$4,C$5)/12),2))</f>
        <v/>
      </c>
      <c r="AI212">
        <f>IF(D211&lt;=0,0,ROUND(D211*(1+IF(AND(D$6&gt;0,$B212&lt;D$6),D$4,D$5)/12),2))</f>
        <v/>
      </c>
      <c r="AJ212">
        <f>IF(E211&lt;=0,0,ROUND(E211*(1+IF(AND(E$6&gt;0,$B212&lt;E$6),E$4,E$5)/12),2))</f>
        <v/>
      </c>
      <c r="AK212">
        <f>IF(F211&lt;=0,0,ROUND(F211*(1+IF(AND(F$6&gt;0,$B212&lt;F$6),F$4,F$5)/12),2))</f>
        <v/>
      </c>
      <c r="AL212">
        <f>IF(G211&lt;=0,0,ROUND(G211*(1+IF(AND(G$6&gt;0,$B212&lt;G$6),G$4,G$5)/12),2))</f>
        <v/>
      </c>
      <c r="AM212">
        <f>IF(H211&lt;=0,0,ROUND(H211*(1+IF(AND(H$6&gt;0,$B212&lt;H$6),H$4,H$5)/12),2))</f>
        <v/>
      </c>
      <c r="AN212">
        <f>IF(I211&lt;=0,0,ROUND(I211*(1+IF(AND(I$6&gt;0,$B212&lt;I$6),I$4,I$5)/12),2))</f>
        <v/>
      </c>
      <c r="AO212">
        <f>IF(J211&lt;=0,0,ROUND(J211*(1+IF(AND(J$6&gt;0,$B212&lt;J$6),J$4,J$5)/12),2))</f>
        <v/>
      </c>
      <c r="AP212">
        <f>IF(K211&lt;=0,0,ROUND(K211*(1+IF(AND(K$6&gt;0,$B212&lt;K$6),K$4,K$5)/12),2))</f>
        <v/>
      </c>
      <c r="AQ212">
        <f>IF(L211&lt;=0,0,ROUND(L211*(1+IF(AND(L$6&gt;0,$B212&lt;L$6),L$4,L$5)/12),2))</f>
        <v/>
      </c>
      <c r="AR212">
        <f>IF(M211&lt;=0,0,ROUND(M211*(1+IF(AND(M$6&gt;0,$B212&lt;M$6),M$4,M$5)/12),2))</f>
        <v/>
      </c>
      <c r="AS212">
        <f>IF(N211&lt;=0,0,ROUND(N211*(1+IF(AND(N$6&gt;0,$B212&lt;N$6),N$4,N$5)/12),2))</f>
        <v/>
      </c>
    </row>
    <row r="213">
      <c r="A213" t="n">
        <v>202</v>
      </c>
      <c r="B213">
        <f>EDATE(Plan!$C$6,201)</f>
        <v/>
      </c>
      <c r="C213">
        <f>IF(C212&lt;=0,0,MAX(0,AH213-O213))</f>
        <v/>
      </c>
      <c r="D213">
        <f>IF(D212&lt;=0,0,MAX(0,AI213-P213))</f>
        <v/>
      </c>
      <c r="E213">
        <f>IF(E212&lt;=0,0,MAX(0,AJ213-Q213))</f>
        <v/>
      </c>
      <c r="F213">
        <f>IF(F212&lt;=0,0,MAX(0,AK213-R213))</f>
        <v/>
      </c>
      <c r="G213">
        <f>IF(G212&lt;=0,0,MAX(0,AL213-S213))</f>
        <v/>
      </c>
      <c r="H213">
        <f>IF(H212&lt;=0,0,MAX(0,AM213-T213))</f>
        <v/>
      </c>
      <c r="I213">
        <f>IF(I212&lt;=0,0,MAX(0,AN213-U213))</f>
        <v/>
      </c>
      <c r="J213">
        <f>IF(J212&lt;=0,0,MAX(0,AO213-V213))</f>
        <v/>
      </c>
      <c r="K213">
        <f>IF(K212&lt;=0,0,MAX(0,AP213-W213))</f>
        <v/>
      </c>
      <c r="L213">
        <f>IF(L212&lt;=0,0,MAX(0,AQ213-X213))</f>
        <v/>
      </c>
      <c r="M213">
        <f>IF(M212&lt;=0,0,MAX(0,AR213-Y213))</f>
        <v/>
      </c>
      <c r="N213">
        <f>IF(N212&lt;=0,0,MAX(0,AS213-Z213))</f>
        <v/>
      </c>
      <c r="O213">
        <f>IF(C212&lt;=0,0,MIN(AH213,C$7+IF(C$2=$AA213,$AC213,IF(C$2=$AF213,$AG213,0))))</f>
        <v/>
      </c>
      <c r="P213">
        <f>IF(D212&lt;=0,0,MIN(AI213,D$7+IF(D$2=$AA213,$AC213,IF(D$2=$AF213,$AG213,0))))</f>
        <v/>
      </c>
      <c r="Q213">
        <f>IF(E212&lt;=0,0,MIN(AJ213,E$7+IF(E$2=$AA213,$AC213,IF(E$2=$AF213,$AG213,0))))</f>
        <v/>
      </c>
      <c r="R213">
        <f>IF(F212&lt;=0,0,MIN(AK213,F$7+IF(F$2=$AA213,$AC213,IF(F$2=$AF213,$AG213,0))))</f>
        <v/>
      </c>
      <c r="S213">
        <f>IF(G212&lt;=0,0,MIN(AL213,G$7+IF(G$2=$AA213,$AC213,IF(G$2=$AF213,$AG213,0))))</f>
        <v/>
      </c>
      <c r="T213">
        <f>IF(H212&lt;=0,0,MIN(AM213,H$7+IF(H$2=$AA213,$AC213,IF(H$2=$AF213,$AG213,0))))</f>
        <v/>
      </c>
      <c r="U213">
        <f>IF(I212&lt;=0,0,MIN(AN213,I$7+IF(I$2=$AA213,$AC213,IF(I$2=$AF213,$AG213,0))))</f>
        <v/>
      </c>
      <c r="V213">
        <f>IF(J212&lt;=0,0,MIN(AO213,J$7+IF(J$2=$AA213,$AC213,IF(J$2=$AF213,$AG213,0))))</f>
        <v/>
      </c>
      <c r="W213">
        <f>IF(K212&lt;=0,0,MIN(AP213,K$7+IF(K$2=$AA213,$AC213,IF(K$2=$AF213,$AG213,0))))</f>
        <v/>
      </c>
      <c r="X213">
        <f>IF(L212&lt;=0,0,MIN(AQ213,L$7+IF(L$2=$AA213,$AC213,IF(L$2=$AF213,$AG213,0))))</f>
        <v/>
      </c>
      <c r="Y213">
        <f>IF(M212&lt;=0,0,MIN(AR213,M$7+IF(M$2=$AA213,$AC213,IF(M$2=$AF213,$AG213,0))))</f>
        <v/>
      </c>
      <c r="Z213">
        <f>IF(N212&lt;=0,0,MIN(AS213,N$7+IF(N$2=$AA213,$AC213,IF(N$2=$AF213,$AG213,0))))</f>
        <v/>
      </c>
      <c r="AA213">
        <f>IFERROR(ROUND(1/SUMPRODUCT(MAX((C212:N212&gt;0)*($C$3:$N$3&lt;=B213)/$C$2:$N$2)),0),0)</f>
        <v/>
      </c>
      <c r="AB213">
        <f>SUMPRODUCT((C212:N212&gt;0)*$C$7:$N$7)</f>
        <v/>
      </c>
      <c r="AC213">
        <f>MAX(0,Plan!$C$5-AB213)+IF(A213=Plan!$C$8,N(Plan!$C$7),0)</f>
        <v/>
      </c>
      <c r="AD213">
        <f>SUM(C213:N213)</f>
        <v/>
      </c>
      <c r="AE213">
        <f>SUM(O213:Z213)</f>
        <v/>
      </c>
      <c r="AF213">
        <f>IFERROR(ROUND(1/SUMPRODUCT(MAX((C212:N212&gt;0)*($C$3:$N$3&lt;=B213)*($C$2:$N$2&gt;AA213)/$C$2:$N$2)),0),0)</f>
        <v/>
      </c>
      <c r="AG213">
        <f>MAX(0,AC213-MAX(0,SUMPRODUCT(($C$2:$N$2=AA213)*(AH213:AS213-$C$7:$N$7))))</f>
        <v/>
      </c>
      <c r="AH213">
        <f>IF(C212&lt;=0,0,ROUND(C212*(1+IF(AND(C$6&gt;0,$B213&lt;C$6),C$4,C$5)/12),2))</f>
        <v/>
      </c>
      <c r="AI213">
        <f>IF(D212&lt;=0,0,ROUND(D212*(1+IF(AND(D$6&gt;0,$B213&lt;D$6),D$4,D$5)/12),2))</f>
        <v/>
      </c>
      <c r="AJ213">
        <f>IF(E212&lt;=0,0,ROUND(E212*(1+IF(AND(E$6&gt;0,$B213&lt;E$6),E$4,E$5)/12),2))</f>
        <v/>
      </c>
      <c r="AK213">
        <f>IF(F212&lt;=0,0,ROUND(F212*(1+IF(AND(F$6&gt;0,$B213&lt;F$6),F$4,F$5)/12),2))</f>
        <v/>
      </c>
      <c r="AL213">
        <f>IF(G212&lt;=0,0,ROUND(G212*(1+IF(AND(G$6&gt;0,$B213&lt;G$6),G$4,G$5)/12),2))</f>
        <v/>
      </c>
      <c r="AM213">
        <f>IF(H212&lt;=0,0,ROUND(H212*(1+IF(AND(H$6&gt;0,$B213&lt;H$6),H$4,H$5)/12),2))</f>
        <v/>
      </c>
      <c r="AN213">
        <f>IF(I212&lt;=0,0,ROUND(I212*(1+IF(AND(I$6&gt;0,$B213&lt;I$6),I$4,I$5)/12),2))</f>
        <v/>
      </c>
      <c r="AO213">
        <f>IF(J212&lt;=0,0,ROUND(J212*(1+IF(AND(J$6&gt;0,$B213&lt;J$6),J$4,J$5)/12),2))</f>
        <v/>
      </c>
      <c r="AP213">
        <f>IF(K212&lt;=0,0,ROUND(K212*(1+IF(AND(K$6&gt;0,$B213&lt;K$6),K$4,K$5)/12),2))</f>
        <v/>
      </c>
      <c r="AQ213">
        <f>IF(L212&lt;=0,0,ROUND(L212*(1+IF(AND(L$6&gt;0,$B213&lt;L$6),L$4,L$5)/12),2))</f>
        <v/>
      </c>
      <c r="AR213">
        <f>IF(M212&lt;=0,0,ROUND(M212*(1+IF(AND(M$6&gt;0,$B213&lt;M$6),M$4,M$5)/12),2))</f>
        <v/>
      </c>
      <c r="AS213">
        <f>IF(N212&lt;=0,0,ROUND(N212*(1+IF(AND(N$6&gt;0,$B213&lt;N$6),N$4,N$5)/12),2))</f>
        <v/>
      </c>
    </row>
    <row r="214">
      <c r="A214" t="n">
        <v>203</v>
      </c>
      <c r="B214">
        <f>EDATE(Plan!$C$6,202)</f>
        <v/>
      </c>
      <c r="C214">
        <f>IF(C213&lt;=0,0,MAX(0,AH214-O214))</f>
        <v/>
      </c>
      <c r="D214">
        <f>IF(D213&lt;=0,0,MAX(0,AI214-P214))</f>
        <v/>
      </c>
      <c r="E214">
        <f>IF(E213&lt;=0,0,MAX(0,AJ214-Q214))</f>
        <v/>
      </c>
      <c r="F214">
        <f>IF(F213&lt;=0,0,MAX(0,AK214-R214))</f>
        <v/>
      </c>
      <c r="G214">
        <f>IF(G213&lt;=0,0,MAX(0,AL214-S214))</f>
        <v/>
      </c>
      <c r="H214">
        <f>IF(H213&lt;=0,0,MAX(0,AM214-T214))</f>
        <v/>
      </c>
      <c r="I214">
        <f>IF(I213&lt;=0,0,MAX(0,AN214-U214))</f>
        <v/>
      </c>
      <c r="J214">
        <f>IF(J213&lt;=0,0,MAX(0,AO214-V214))</f>
        <v/>
      </c>
      <c r="K214">
        <f>IF(K213&lt;=0,0,MAX(0,AP214-W214))</f>
        <v/>
      </c>
      <c r="L214">
        <f>IF(L213&lt;=0,0,MAX(0,AQ214-X214))</f>
        <v/>
      </c>
      <c r="M214">
        <f>IF(M213&lt;=0,0,MAX(0,AR214-Y214))</f>
        <v/>
      </c>
      <c r="N214">
        <f>IF(N213&lt;=0,0,MAX(0,AS214-Z214))</f>
        <v/>
      </c>
      <c r="O214">
        <f>IF(C213&lt;=0,0,MIN(AH214,C$7+IF(C$2=$AA214,$AC214,IF(C$2=$AF214,$AG214,0))))</f>
        <v/>
      </c>
      <c r="P214">
        <f>IF(D213&lt;=0,0,MIN(AI214,D$7+IF(D$2=$AA214,$AC214,IF(D$2=$AF214,$AG214,0))))</f>
        <v/>
      </c>
      <c r="Q214">
        <f>IF(E213&lt;=0,0,MIN(AJ214,E$7+IF(E$2=$AA214,$AC214,IF(E$2=$AF214,$AG214,0))))</f>
        <v/>
      </c>
      <c r="R214">
        <f>IF(F213&lt;=0,0,MIN(AK214,F$7+IF(F$2=$AA214,$AC214,IF(F$2=$AF214,$AG214,0))))</f>
        <v/>
      </c>
      <c r="S214">
        <f>IF(G213&lt;=0,0,MIN(AL214,G$7+IF(G$2=$AA214,$AC214,IF(G$2=$AF214,$AG214,0))))</f>
        <v/>
      </c>
      <c r="T214">
        <f>IF(H213&lt;=0,0,MIN(AM214,H$7+IF(H$2=$AA214,$AC214,IF(H$2=$AF214,$AG214,0))))</f>
        <v/>
      </c>
      <c r="U214">
        <f>IF(I213&lt;=0,0,MIN(AN214,I$7+IF(I$2=$AA214,$AC214,IF(I$2=$AF214,$AG214,0))))</f>
        <v/>
      </c>
      <c r="V214">
        <f>IF(J213&lt;=0,0,MIN(AO214,J$7+IF(J$2=$AA214,$AC214,IF(J$2=$AF214,$AG214,0))))</f>
        <v/>
      </c>
      <c r="W214">
        <f>IF(K213&lt;=0,0,MIN(AP214,K$7+IF(K$2=$AA214,$AC214,IF(K$2=$AF214,$AG214,0))))</f>
        <v/>
      </c>
      <c r="X214">
        <f>IF(L213&lt;=0,0,MIN(AQ214,L$7+IF(L$2=$AA214,$AC214,IF(L$2=$AF214,$AG214,0))))</f>
        <v/>
      </c>
      <c r="Y214">
        <f>IF(M213&lt;=0,0,MIN(AR214,M$7+IF(M$2=$AA214,$AC214,IF(M$2=$AF214,$AG214,0))))</f>
        <v/>
      </c>
      <c r="Z214">
        <f>IF(N213&lt;=0,0,MIN(AS214,N$7+IF(N$2=$AA214,$AC214,IF(N$2=$AF214,$AG214,0))))</f>
        <v/>
      </c>
      <c r="AA214">
        <f>IFERROR(ROUND(1/SUMPRODUCT(MAX((C213:N213&gt;0)*($C$3:$N$3&lt;=B214)/$C$2:$N$2)),0),0)</f>
        <v/>
      </c>
      <c r="AB214">
        <f>SUMPRODUCT((C213:N213&gt;0)*$C$7:$N$7)</f>
        <v/>
      </c>
      <c r="AC214">
        <f>MAX(0,Plan!$C$5-AB214)+IF(A214=Plan!$C$8,N(Plan!$C$7),0)</f>
        <v/>
      </c>
      <c r="AD214">
        <f>SUM(C214:N214)</f>
        <v/>
      </c>
      <c r="AE214">
        <f>SUM(O214:Z214)</f>
        <v/>
      </c>
      <c r="AF214">
        <f>IFERROR(ROUND(1/SUMPRODUCT(MAX((C213:N213&gt;0)*($C$3:$N$3&lt;=B214)*($C$2:$N$2&gt;AA214)/$C$2:$N$2)),0),0)</f>
        <v/>
      </c>
      <c r="AG214">
        <f>MAX(0,AC214-MAX(0,SUMPRODUCT(($C$2:$N$2=AA214)*(AH214:AS214-$C$7:$N$7))))</f>
        <v/>
      </c>
      <c r="AH214">
        <f>IF(C213&lt;=0,0,ROUND(C213*(1+IF(AND(C$6&gt;0,$B214&lt;C$6),C$4,C$5)/12),2))</f>
        <v/>
      </c>
      <c r="AI214">
        <f>IF(D213&lt;=0,0,ROUND(D213*(1+IF(AND(D$6&gt;0,$B214&lt;D$6),D$4,D$5)/12),2))</f>
        <v/>
      </c>
      <c r="AJ214">
        <f>IF(E213&lt;=0,0,ROUND(E213*(1+IF(AND(E$6&gt;0,$B214&lt;E$6),E$4,E$5)/12),2))</f>
        <v/>
      </c>
      <c r="AK214">
        <f>IF(F213&lt;=0,0,ROUND(F213*(1+IF(AND(F$6&gt;0,$B214&lt;F$6),F$4,F$5)/12),2))</f>
        <v/>
      </c>
      <c r="AL214">
        <f>IF(G213&lt;=0,0,ROUND(G213*(1+IF(AND(G$6&gt;0,$B214&lt;G$6),G$4,G$5)/12),2))</f>
        <v/>
      </c>
      <c r="AM214">
        <f>IF(H213&lt;=0,0,ROUND(H213*(1+IF(AND(H$6&gt;0,$B214&lt;H$6),H$4,H$5)/12),2))</f>
        <v/>
      </c>
      <c r="AN214">
        <f>IF(I213&lt;=0,0,ROUND(I213*(1+IF(AND(I$6&gt;0,$B214&lt;I$6),I$4,I$5)/12),2))</f>
        <v/>
      </c>
      <c r="AO214">
        <f>IF(J213&lt;=0,0,ROUND(J213*(1+IF(AND(J$6&gt;0,$B214&lt;J$6),J$4,J$5)/12),2))</f>
        <v/>
      </c>
      <c r="AP214">
        <f>IF(K213&lt;=0,0,ROUND(K213*(1+IF(AND(K$6&gt;0,$B214&lt;K$6),K$4,K$5)/12),2))</f>
        <v/>
      </c>
      <c r="AQ214">
        <f>IF(L213&lt;=0,0,ROUND(L213*(1+IF(AND(L$6&gt;0,$B214&lt;L$6),L$4,L$5)/12),2))</f>
        <v/>
      </c>
      <c r="AR214">
        <f>IF(M213&lt;=0,0,ROUND(M213*(1+IF(AND(M$6&gt;0,$B214&lt;M$6),M$4,M$5)/12),2))</f>
        <v/>
      </c>
      <c r="AS214">
        <f>IF(N213&lt;=0,0,ROUND(N213*(1+IF(AND(N$6&gt;0,$B214&lt;N$6),N$4,N$5)/12),2))</f>
        <v/>
      </c>
    </row>
    <row r="215">
      <c r="A215" t="n">
        <v>204</v>
      </c>
      <c r="B215">
        <f>EDATE(Plan!$C$6,203)</f>
        <v/>
      </c>
      <c r="C215">
        <f>IF(C214&lt;=0,0,MAX(0,AH215-O215))</f>
        <v/>
      </c>
      <c r="D215">
        <f>IF(D214&lt;=0,0,MAX(0,AI215-P215))</f>
        <v/>
      </c>
      <c r="E215">
        <f>IF(E214&lt;=0,0,MAX(0,AJ215-Q215))</f>
        <v/>
      </c>
      <c r="F215">
        <f>IF(F214&lt;=0,0,MAX(0,AK215-R215))</f>
        <v/>
      </c>
      <c r="G215">
        <f>IF(G214&lt;=0,0,MAX(0,AL215-S215))</f>
        <v/>
      </c>
      <c r="H215">
        <f>IF(H214&lt;=0,0,MAX(0,AM215-T215))</f>
        <v/>
      </c>
      <c r="I215">
        <f>IF(I214&lt;=0,0,MAX(0,AN215-U215))</f>
        <v/>
      </c>
      <c r="J215">
        <f>IF(J214&lt;=0,0,MAX(0,AO215-V215))</f>
        <v/>
      </c>
      <c r="K215">
        <f>IF(K214&lt;=0,0,MAX(0,AP215-W215))</f>
        <v/>
      </c>
      <c r="L215">
        <f>IF(L214&lt;=0,0,MAX(0,AQ215-X215))</f>
        <v/>
      </c>
      <c r="M215">
        <f>IF(M214&lt;=0,0,MAX(0,AR215-Y215))</f>
        <v/>
      </c>
      <c r="N215">
        <f>IF(N214&lt;=0,0,MAX(0,AS215-Z215))</f>
        <v/>
      </c>
      <c r="O215">
        <f>IF(C214&lt;=0,0,MIN(AH215,C$7+IF(C$2=$AA215,$AC215,IF(C$2=$AF215,$AG215,0))))</f>
        <v/>
      </c>
      <c r="P215">
        <f>IF(D214&lt;=0,0,MIN(AI215,D$7+IF(D$2=$AA215,$AC215,IF(D$2=$AF215,$AG215,0))))</f>
        <v/>
      </c>
      <c r="Q215">
        <f>IF(E214&lt;=0,0,MIN(AJ215,E$7+IF(E$2=$AA215,$AC215,IF(E$2=$AF215,$AG215,0))))</f>
        <v/>
      </c>
      <c r="R215">
        <f>IF(F214&lt;=0,0,MIN(AK215,F$7+IF(F$2=$AA215,$AC215,IF(F$2=$AF215,$AG215,0))))</f>
        <v/>
      </c>
      <c r="S215">
        <f>IF(G214&lt;=0,0,MIN(AL215,G$7+IF(G$2=$AA215,$AC215,IF(G$2=$AF215,$AG215,0))))</f>
        <v/>
      </c>
      <c r="T215">
        <f>IF(H214&lt;=0,0,MIN(AM215,H$7+IF(H$2=$AA215,$AC215,IF(H$2=$AF215,$AG215,0))))</f>
        <v/>
      </c>
      <c r="U215">
        <f>IF(I214&lt;=0,0,MIN(AN215,I$7+IF(I$2=$AA215,$AC215,IF(I$2=$AF215,$AG215,0))))</f>
        <v/>
      </c>
      <c r="V215">
        <f>IF(J214&lt;=0,0,MIN(AO215,J$7+IF(J$2=$AA215,$AC215,IF(J$2=$AF215,$AG215,0))))</f>
        <v/>
      </c>
      <c r="W215">
        <f>IF(K214&lt;=0,0,MIN(AP215,K$7+IF(K$2=$AA215,$AC215,IF(K$2=$AF215,$AG215,0))))</f>
        <v/>
      </c>
      <c r="X215">
        <f>IF(L214&lt;=0,0,MIN(AQ215,L$7+IF(L$2=$AA215,$AC215,IF(L$2=$AF215,$AG215,0))))</f>
        <v/>
      </c>
      <c r="Y215">
        <f>IF(M214&lt;=0,0,MIN(AR215,M$7+IF(M$2=$AA215,$AC215,IF(M$2=$AF215,$AG215,0))))</f>
        <v/>
      </c>
      <c r="Z215">
        <f>IF(N214&lt;=0,0,MIN(AS215,N$7+IF(N$2=$AA215,$AC215,IF(N$2=$AF215,$AG215,0))))</f>
        <v/>
      </c>
      <c r="AA215">
        <f>IFERROR(ROUND(1/SUMPRODUCT(MAX((C214:N214&gt;0)*($C$3:$N$3&lt;=B215)/$C$2:$N$2)),0),0)</f>
        <v/>
      </c>
      <c r="AB215">
        <f>SUMPRODUCT((C214:N214&gt;0)*$C$7:$N$7)</f>
        <v/>
      </c>
      <c r="AC215">
        <f>MAX(0,Plan!$C$5-AB215)+IF(A215=Plan!$C$8,N(Plan!$C$7),0)</f>
        <v/>
      </c>
      <c r="AD215">
        <f>SUM(C215:N215)</f>
        <v/>
      </c>
      <c r="AE215">
        <f>SUM(O215:Z215)</f>
        <v/>
      </c>
      <c r="AF215">
        <f>IFERROR(ROUND(1/SUMPRODUCT(MAX((C214:N214&gt;0)*($C$3:$N$3&lt;=B215)*($C$2:$N$2&gt;AA215)/$C$2:$N$2)),0),0)</f>
        <v/>
      </c>
      <c r="AG215">
        <f>MAX(0,AC215-MAX(0,SUMPRODUCT(($C$2:$N$2=AA215)*(AH215:AS215-$C$7:$N$7))))</f>
        <v/>
      </c>
      <c r="AH215">
        <f>IF(C214&lt;=0,0,ROUND(C214*(1+IF(AND(C$6&gt;0,$B215&lt;C$6),C$4,C$5)/12),2))</f>
        <v/>
      </c>
      <c r="AI215">
        <f>IF(D214&lt;=0,0,ROUND(D214*(1+IF(AND(D$6&gt;0,$B215&lt;D$6),D$4,D$5)/12),2))</f>
        <v/>
      </c>
      <c r="AJ215">
        <f>IF(E214&lt;=0,0,ROUND(E214*(1+IF(AND(E$6&gt;0,$B215&lt;E$6),E$4,E$5)/12),2))</f>
        <v/>
      </c>
      <c r="AK215">
        <f>IF(F214&lt;=0,0,ROUND(F214*(1+IF(AND(F$6&gt;0,$B215&lt;F$6),F$4,F$5)/12),2))</f>
        <v/>
      </c>
      <c r="AL215">
        <f>IF(G214&lt;=0,0,ROUND(G214*(1+IF(AND(G$6&gt;0,$B215&lt;G$6),G$4,G$5)/12),2))</f>
        <v/>
      </c>
      <c r="AM215">
        <f>IF(H214&lt;=0,0,ROUND(H214*(1+IF(AND(H$6&gt;0,$B215&lt;H$6),H$4,H$5)/12),2))</f>
        <v/>
      </c>
      <c r="AN215">
        <f>IF(I214&lt;=0,0,ROUND(I214*(1+IF(AND(I$6&gt;0,$B215&lt;I$6),I$4,I$5)/12),2))</f>
        <v/>
      </c>
      <c r="AO215">
        <f>IF(J214&lt;=0,0,ROUND(J214*(1+IF(AND(J$6&gt;0,$B215&lt;J$6),J$4,J$5)/12),2))</f>
        <v/>
      </c>
      <c r="AP215">
        <f>IF(K214&lt;=0,0,ROUND(K214*(1+IF(AND(K$6&gt;0,$B215&lt;K$6),K$4,K$5)/12),2))</f>
        <v/>
      </c>
      <c r="AQ215">
        <f>IF(L214&lt;=0,0,ROUND(L214*(1+IF(AND(L$6&gt;0,$B215&lt;L$6),L$4,L$5)/12),2))</f>
        <v/>
      </c>
      <c r="AR215">
        <f>IF(M214&lt;=0,0,ROUND(M214*(1+IF(AND(M$6&gt;0,$B215&lt;M$6),M$4,M$5)/12),2))</f>
        <v/>
      </c>
      <c r="AS215">
        <f>IF(N214&lt;=0,0,ROUND(N214*(1+IF(AND(N$6&gt;0,$B215&lt;N$6),N$4,N$5)/12),2))</f>
        <v/>
      </c>
    </row>
    <row r="216">
      <c r="A216" t="n">
        <v>205</v>
      </c>
      <c r="B216">
        <f>EDATE(Plan!$C$6,204)</f>
        <v/>
      </c>
      <c r="C216">
        <f>IF(C215&lt;=0,0,MAX(0,AH216-O216))</f>
        <v/>
      </c>
      <c r="D216">
        <f>IF(D215&lt;=0,0,MAX(0,AI216-P216))</f>
        <v/>
      </c>
      <c r="E216">
        <f>IF(E215&lt;=0,0,MAX(0,AJ216-Q216))</f>
        <v/>
      </c>
      <c r="F216">
        <f>IF(F215&lt;=0,0,MAX(0,AK216-R216))</f>
        <v/>
      </c>
      <c r="G216">
        <f>IF(G215&lt;=0,0,MAX(0,AL216-S216))</f>
        <v/>
      </c>
      <c r="H216">
        <f>IF(H215&lt;=0,0,MAX(0,AM216-T216))</f>
        <v/>
      </c>
      <c r="I216">
        <f>IF(I215&lt;=0,0,MAX(0,AN216-U216))</f>
        <v/>
      </c>
      <c r="J216">
        <f>IF(J215&lt;=0,0,MAX(0,AO216-V216))</f>
        <v/>
      </c>
      <c r="K216">
        <f>IF(K215&lt;=0,0,MAX(0,AP216-W216))</f>
        <v/>
      </c>
      <c r="L216">
        <f>IF(L215&lt;=0,0,MAX(0,AQ216-X216))</f>
        <v/>
      </c>
      <c r="M216">
        <f>IF(M215&lt;=0,0,MAX(0,AR216-Y216))</f>
        <v/>
      </c>
      <c r="N216">
        <f>IF(N215&lt;=0,0,MAX(0,AS216-Z216))</f>
        <v/>
      </c>
      <c r="O216">
        <f>IF(C215&lt;=0,0,MIN(AH216,C$7+IF(C$2=$AA216,$AC216,IF(C$2=$AF216,$AG216,0))))</f>
        <v/>
      </c>
      <c r="P216">
        <f>IF(D215&lt;=0,0,MIN(AI216,D$7+IF(D$2=$AA216,$AC216,IF(D$2=$AF216,$AG216,0))))</f>
        <v/>
      </c>
      <c r="Q216">
        <f>IF(E215&lt;=0,0,MIN(AJ216,E$7+IF(E$2=$AA216,$AC216,IF(E$2=$AF216,$AG216,0))))</f>
        <v/>
      </c>
      <c r="R216">
        <f>IF(F215&lt;=0,0,MIN(AK216,F$7+IF(F$2=$AA216,$AC216,IF(F$2=$AF216,$AG216,0))))</f>
        <v/>
      </c>
      <c r="S216">
        <f>IF(G215&lt;=0,0,MIN(AL216,G$7+IF(G$2=$AA216,$AC216,IF(G$2=$AF216,$AG216,0))))</f>
        <v/>
      </c>
      <c r="T216">
        <f>IF(H215&lt;=0,0,MIN(AM216,H$7+IF(H$2=$AA216,$AC216,IF(H$2=$AF216,$AG216,0))))</f>
        <v/>
      </c>
      <c r="U216">
        <f>IF(I215&lt;=0,0,MIN(AN216,I$7+IF(I$2=$AA216,$AC216,IF(I$2=$AF216,$AG216,0))))</f>
        <v/>
      </c>
      <c r="V216">
        <f>IF(J215&lt;=0,0,MIN(AO216,J$7+IF(J$2=$AA216,$AC216,IF(J$2=$AF216,$AG216,0))))</f>
        <v/>
      </c>
      <c r="W216">
        <f>IF(K215&lt;=0,0,MIN(AP216,K$7+IF(K$2=$AA216,$AC216,IF(K$2=$AF216,$AG216,0))))</f>
        <v/>
      </c>
      <c r="X216">
        <f>IF(L215&lt;=0,0,MIN(AQ216,L$7+IF(L$2=$AA216,$AC216,IF(L$2=$AF216,$AG216,0))))</f>
        <v/>
      </c>
      <c r="Y216">
        <f>IF(M215&lt;=0,0,MIN(AR216,M$7+IF(M$2=$AA216,$AC216,IF(M$2=$AF216,$AG216,0))))</f>
        <v/>
      </c>
      <c r="Z216">
        <f>IF(N215&lt;=0,0,MIN(AS216,N$7+IF(N$2=$AA216,$AC216,IF(N$2=$AF216,$AG216,0))))</f>
        <v/>
      </c>
      <c r="AA216">
        <f>IFERROR(ROUND(1/SUMPRODUCT(MAX((C215:N215&gt;0)*($C$3:$N$3&lt;=B216)/$C$2:$N$2)),0),0)</f>
        <v/>
      </c>
      <c r="AB216">
        <f>SUMPRODUCT((C215:N215&gt;0)*$C$7:$N$7)</f>
        <v/>
      </c>
      <c r="AC216">
        <f>MAX(0,Plan!$C$5-AB216)+IF(A216=Plan!$C$8,N(Plan!$C$7),0)</f>
        <v/>
      </c>
      <c r="AD216">
        <f>SUM(C216:N216)</f>
        <v/>
      </c>
      <c r="AE216">
        <f>SUM(O216:Z216)</f>
        <v/>
      </c>
      <c r="AF216">
        <f>IFERROR(ROUND(1/SUMPRODUCT(MAX((C215:N215&gt;0)*($C$3:$N$3&lt;=B216)*($C$2:$N$2&gt;AA216)/$C$2:$N$2)),0),0)</f>
        <v/>
      </c>
      <c r="AG216">
        <f>MAX(0,AC216-MAX(0,SUMPRODUCT(($C$2:$N$2=AA216)*(AH216:AS216-$C$7:$N$7))))</f>
        <v/>
      </c>
      <c r="AH216">
        <f>IF(C215&lt;=0,0,ROUND(C215*(1+IF(AND(C$6&gt;0,$B216&lt;C$6),C$4,C$5)/12),2))</f>
        <v/>
      </c>
      <c r="AI216">
        <f>IF(D215&lt;=0,0,ROUND(D215*(1+IF(AND(D$6&gt;0,$B216&lt;D$6),D$4,D$5)/12),2))</f>
        <v/>
      </c>
      <c r="AJ216">
        <f>IF(E215&lt;=0,0,ROUND(E215*(1+IF(AND(E$6&gt;0,$B216&lt;E$6),E$4,E$5)/12),2))</f>
        <v/>
      </c>
      <c r="AK216">
        <f>IF(F215&lt;=0,0,ROUND(F215*(1+IF(AND(F$6&gt;0,$B216&lt;F$6),F$4,F$5)/12),2))</f>
        <v/>
      </c>
      <c r="AL216">
        <f>IF(G215&lt;=0,0,ROUND(G215*(1+IF(AND(G$6&gt;0,$B216&lt;G$6),G$4,G$5)/12),2))</f>
        <v/>
      </c>
      <c r="AM216">
        <f>IF(H215&lt;=0,0,ROUND(H215*(1+IF(AND(H$6&gt;0,$B216&lt;H$6),H$4,H$5)/12),2))</f>
        <v/>
      </c>
      <c r="AN216">
        <f>IF(I215&lt;=0,0,ROUND(I215*(1+IF(AND(I$6&gt;0,$B216&lt;I$6),I$4,I$5)/12),2))</f>
        <v/>
      </c>
      <c r="AO216">
        <f>IF(J215&lt;=0,0,ROUND(J215*(1+IF(AND(J$6&gt;0,$B216&lt;J$6),J$4,J$5)/12),2))</f>
        <v/>
      </c>
      <c r="AP216">
        <f>IF(K215&lt;=0,0,ROUND(K215*(1+IF(AND(K$6&gt;0,$B216&lt;K$6),K$4,K$5)/12),2))</f>
        <v/>
      </c>
      <c r="AQ216">
        <f>IF(L215&lt;=0,0,ROUND(L215*(1+IF(AND(L$6&gt;0,$B216&lt;L$6),L$4,L$5)/12),2))</f>
        <v/>
      </c>
      <c r="AR216">
        <f>IF(M215&lt;=0,0,ROUND(M215*(1+IF(AND(M$6&gt;0,$B216&lt;M$6),M$4,M$5)/12),2))</f>
        <v/>
      </c>
      <c r="AS216">
        <f>IF(N215&lt;=0,0,ROUND(N215*(1+IF(AND(N$6&gt;0,$B216&lt;N$6),N$4,N$5)/12),2))</f>
        <v/>
      </c>
    </row>
    <row r="217">
      <c r="A217" t="n">
        <v>206</v>
      </c>
      <c r="B217">
        <f>EDATE(Plan!$C$6,205)</f>
        <v/>
      </c>
      <c r="C217">
        <f>IF(C216&lt;=0,0,MAX(0,AH217-O217))</f>
        <v/>
      </c>
      <c r="D217">
        <f>IF(D216&lt;=0,0,MAX(0,AI217-P217))</f>
        <v/>
      </c>
      <c r="E217">
        <f>IF(E216&lt;=0,0,MAX(0,AJ217-Q217))</f>
        <v/>
      </c>
      <c r="F217">
        <f>IF(F216&lt;=0,0,MAX(0,AK217-R217))</f>
        <v/>
      </c>
      <c r="G217">
        <f>IF(G216&lt;=0,0,MAX(0,AL217-S217))</f>
        <v/>
      </c>
      <c r="H217">
        <f>IF(H216&lt;=0,0,MAX(0,AM217-T217))</f>
        <v/>
      </c>
      <c r="I217">
        <f>IF(I216&lt;=0,0,MAX(0,AN217-U217))</f>
        <v/>
      </c>
      <c r="J217">
        <f>IF(J216&lt;=0,0,MAX(0,AO217-V217))</f>
        <v/>
      </c>
      <c r="K217">
        <f>IF(K216&lt;=0,0,MAX(0,AP217-W217))</f>
        <v/>
      </c>
      <c r="L217">
        <f>IF(L216&lt;=0,0,MAX(0,AQ217-X217))</f>
        <v/>
      </c>
      <c r="M217">
        <f>IF(M216&lt;=0,0,MAX(0,AR217-Y217))</f>
        <v/>
      </c>
      <c r="N217">
        <f>IF(N216&lt;=0,0,MAX(0,AS217-Z217))</f>
        <v/>
      </c>
      <c r="O217">
        <f>IF(C216&lt;=0,0,MIN(AH217,C$7+IF(C$2=$AA217,$AC217,IF(C$2=$AF217,$AG217,0))))</f>
        <v/>
      </c>
      <c r="P217">
        <f>IF(D216&lt;=0,0,MIN(AI217,D$7+IF(D$2=$AA217,$AC217,IF(D$2=$AF217,$AG217,0))))</f>
        <v/>
      </c>
      <c r="Q217">
        <f>IF(E216&lt;=0,0,MIN(AJ217,E$7+IF(E$2=$AA217,$AC217,IF(E$2=$AF217,$AG217,0))))</f>
        <v/>
      </c>
      <c r="R217">
        <f>IF(F216&lt;=0,0,MIN(AK217,F$7+IF(F$2=$AA217,$AC217,IF(F$2=$AF217,$AG217,0))))</f>
        <v/>
      </c>
      <c r="S217">
        <f>IF(G216&lt;=0,0,MIN(AL217,G$7+IF(G$2=$AA217,$AC217,IF(G$2=$AF217,$AG217,0))))</f>
        <v/>
      </c>
      <c r="T217">
        <f>IF(H216&lt;=0,0,MIN(AM217,H$7+IF(H$2=$AA217,$AC217,IF(H$2=$AF217,$AG217,0))))</f>
        <v/>
      </c>
      <c r="U217">
        <f>IF(I216&lt;=0,0,MIN(AN217,I$7+IF(I$2=$AA217,$AC217,IF(I$2=$AF217,$AG217,0))))</f>
        <v/>
      </c>
      <c r="V217">
        <f>IF(J216&lt;=0,0,MIN(AO217,J$7+IF(J$2=$AA217,$AC217,IF(J$2=$AF217,$AG217,0))))</f>
        <v/>
      </c>
      <c r="W217">
        <f>IF(K216&lt;=0,0,MIN(AP217,K$7+IF(K$2=$AA217,$AC217,IF(K$2=$AF217,$AG217,0))))</f>
        <v/>
      </c>
      <c r="X217">
        <f>IF(L216&lt;=0,0,MIN(AQ217,L$7+IF(L$2=$AA217,$AC217,IF(L$2=$AF217,$AG217,0))))</f>
        <v/>
      </c>
      <c r="Y217">
        <f>IF(M216&lt;=0,0,MIN(AR217,M$7+IF(M$2=$AA217,$AC217,IF(M$2=$AF217,$AG217,0))))</f>
        <v/>
      </c>
      <c r="Z217">
        <f>IF(N216&lt;=0,0,MIN(AS217,N$7+IF(N$2=$AA217,$AC217,IF(N$2=$AF217,$AG217,0))))</f>
        <v/>
      </c>
      <c r="AA217">
        <f>IFERROR(ROUND(1/SUMPRODUCT(MAX((C216:N216&gt;0)*($C$3:$N$3&lt;=B217)/$C$2:$N$2)),0),0)</f>
        <v/>
      </c>
      <c r="AB217">
        <f>SUMPRODUCT((C216:N216&gt;0)*$C$7:$N$7)</f>
        <v/>
      </c>
      <c r="AC217">
        <f>MAX(0,Plan!$C$5-AB217)+IF(A217=Plan!$C$8,N(Plan!$C$7),0)</f>
        <v/>
      </c>
      <c r="AD217">
        <f>SUM(C217:N217)</f>
        <v/>
      </c>
      <c r="AE217">
        <f>SUM(O217:Z217)</f>
        <v/>
      </c>
      <c r="AF217">
        <f>IFERROR(ROUND(1/SUMPRODUCT(MAX((C216:N216&gt;0)*($C$3:$N$3&lt;=B217)*($C$2:$N$2&gt;AA217)/$C$2:$N$2)),0),0)</f>
        <v/>
      </c>
      <c r="AG217">
        <f>MAX(0,AC217-MAX(0,SUMPRODUCT(($C$2:$N$2=AA217)*(AH217:AS217-$C$7:$N$7))))</f>
        <v/>
      </c>
      <c r="AH217">
        <f>IF(C216&lt;=0,0,ROUND(C216*(1+IF(AND(C$6&gt;0,$B217&lt;C$6),C$4,C$5)/12),2))</f>
        <v/>
      </c>
      <c r="AI217">
        <f>IF(D216&lt;=0,0,ROUND(D216*(1+IF(AND(D$6&gt;0,$B217&lt;D$6),D$4,D$5)/12),2))</f>
        <v/>
      </c>
      <c r="AJ217">
        <f>IF(E216&lt;=0,0,ROUND(E216*(1+IF(AND(E$6&gt;0,$B217&lt;E$6),E$4,E$5)/12),2))</f>
        <v/>
      </c>
      <c r="AK217">
        <f>IF(F216&lt;=0,0,ROUND(F216*(1+IF(AND(F$6&gt;0,$B217&lt;F$6),F$4,F$5)/12),2))</f>
        <v/>
      </c>
      <c r="AL217">
        <f>IF(G216&lt;=0,0,ROUND(G216*(1+IF(AND(G$6&gt;0,$B217&lt;G$6),G$4,G$5)/12),2))</f>
        <v/>
      </c>
      <c r="AM217">
        <f>IF(H216&lt;=0,0,ROUND(H216*(1+IF(AND(H$6&gt;0,$B217&lt;H$6),H$4,H$5)/12),2))</f>
        <v/>
      </c>
      <c r="AN217">
        <f>IF(I216&lt;=0,0,ROUND(I216*(1+IF(AND(I$6&gt;0,$B217&lt;I$6),I$4,I$5)/12),2))</f>
        <v/>
      </c>
      <c r="AO217">
        <f>IF(J216&lt;=0,0,ROUND(J216*(1+IF(AND(J$6&gt;0,$B217&lt;J$6),J$4,J$5)/12),2))</f>
        <v/>
      </c>
      <c r="AP217">
        <f>IF(K216&lt;=0,0,ROUND(K216*(1+IF(AND(K$6&gt;0,$B217&lt;K$6),K$4,K$5)/12),2))</f>
        <v/>
      </c>
      <c r="AQ217">
        <f>IF(L216&lt;=0,0,ROUND(L216*(1+IF(AND(L$6&gt;0,$B217&lt;L$6),L$4,L$5)/12),2))</f>
        <v/>
      </c>
      <c r="AR217">
        <f>IF(M216&lt;=0,0,ROUND(M216*(1+IF(AND(M$6&gt;0,$B217&lt;M$6),M$4,M$5)/12),2))</f>
        <v/>
      </c>
      <c r="AS217">
        <f>IF(N216&lt;=0,0,ROUND(N216*(1+IF(AND(N$6&gt;0,$B217&lt;N$6),N$4,N$5)/12),2))</f>
        <v/>
      </c>
    </row>
    <row r="218">
      <c r="A218" t="n">
        <v>207</v>
      </c>
      <c r="B218">
        <f>EDATE(Plan!$C$6,206)</f>
        <v/>
      </c>
      <c r="C218">
        <f>IF(C217&lt;=0,0,MAX(0,AH218-O218))</f>
        <v/>
      </c>
      <c r="D218">
        <f>IF(D217&lt;=0,0,MAX(0,AI218-P218))</f>
        <v/>
      </c>
      <c r="E218">
        <f>IF(E217&lt;=0,0,MAX(0,AJ218-Q218))</f>
        <v/>
      </c>
      <c r="F218">
        <f>IF(F217&lt;=0,0,MAX(0,AK218-R218))</f>
        <v/>
      </c>
      <c r="G218">
        <f>IF(G217&lt;=0,0,MAX(0,AL218-S218))</f>
        <v/>
      </c>
      <c r="H218">
        <f>IF(H217&lt;=0,0,MAX(0,AM218-T218))</f>
        <v/>
      </c>
      <c r="I218">
        <f>IF(I217&lt;=0,0,MAX(0,AN218-U218))</f>
        <v/>
      </c>
      <c r="J218">
        <f>IF(J217&lt;=0,0,MAX(0,AO218-V218))</f>
        <v/>
      </c>
      <c r="K218">
        <f>IF(K217&lt;=0,0,MAX(0,AP218-W218))</f>
        <v/>
      </c>
      <c r="L218">
        <f>IF(L217&lt;=0,0,MAX(0,AQ218-X218))</f>
        <v/>
      </c>
      <c r="M218">
        <f>IF(M217&lt;=0,0,MAX(0,AR218-Y218))</f>
        <v/>
      </c>
      <c r="N218">
        <f>IF(N217&lt;=0,0,MAX(0,AS218-Z218))</f>
        <v/>
      </c>
      <c r="O218">
        <f>IF(C217&lt;=0,0,MIN(AH218,C$7+IF(C$2=$AA218,$AC218,IF(C$2=$AF218,$AG218,0))))</f>
        <v/>
      </c>
      <c r="P218">
        <f>IF(D217&lt;=0,0,MIN(AI218,D$7+IF(D$2=$AA218,$AC218,IF(D$2=$AF218,$AG218,0))))</f>
        <v/>
      </c>
      <c r="Q218">
        <f>IF(E217&lt;=0,0,MIN(AJ218,E$7+IF(E$2=$AA218,$AC218,IF(E$2=$AF218,$AG218,0))))</f>
        <v/>
      </c>
      <c r="R218">
        <f>IF(F217&lt;=0,0,MIN(AK218,F$7+IF(F$2=$AA218,$AC218,IF(F$2=$AF218,$AG218,0))))</f>
        <v/>
      </c>
      <c r="S218">
        <f>IF(G217&lt;=0,0,MIN(AL218,G$7+IF(G$2=$AA218,$AC218,IF(G$2=$AF218,$AG218,0))))</f>
        <v/>
      </c>
      <c r="T218">
        <f>IF(H217&lt;=0,0,MIN(AM218,H$7+IF(H$2=$AA218,$AC218,IF(H$2=$AF218,$AG218,0))))</f>
        <v/>
      </c>
      <c r="U218">
        <f>IF(I217&lt;=0,0,MIN(AN218,I$7+IF(I$2=$AA218,$AC218,IF(I$2=$AF218,$AG218,0))))</f>
        <v/>
      </c>
      <c r="V218">
        <f>IF(J217&lt;=0,0,MIN(AO218,J$7+IF(J$2=$AA218,$AC218,IF(J$2=$AF218,$AG218,0))))</f>
        <v/>
      </c>
      <c r="W218">
        <f>IF(K217&lt;=0,0,MIN(AP218,K$7+IF(K$2=$AA218,$AC218,IF(K$2=$AF218,$AG218,0))))</f>
        <v/>
      </c>
      <c r="X218">
        <f>IF(L217&lt;=0,0,MIN(AQ218,L$7+IF(L$2=$AA218,$AC218,IF(L$2=$AF218,$AG218,0))))</f>
        <v/>
      </c>
      <c r="Y218">
        <f>IF(M217&lt;=0,0,MIN(AR218,M$7+IF(M$2=$AA218,$AC218,IF(M$2=$AF218,$AG218,0))))</f>
        <v/>
      </c>
      <c r="Z218">
        <f>IF(N217&lt;=0,0,MIN(AS218,N$7+IF(N$2=$AA218,$AC218,IF(N$2=$AF218,$AG218,0))))</f>
        <v/>
      </c>
      <c r="AA218">
        <f>IFERROR(ROUND(1/SUMPRODUCT(MAX((C217:N217&gt;0)*($C$3:$N$3&lt;=B218)/$C$2:$N$2)),0),0)</f>
        <v/>
      </c>
      <c r="AB218">
        <f>SUMPRODUCT((C217:N217&gt;0)*$C$7:$N$7)</f>
        <v/>
      </c>
      <c r="AC218">
        <f>MAX(0,Plan!$C$5-AB218)+IF(A218=Plan!$C$8,N(Plan!$C$7),0)</f>
        <v/>
      </c>
      <c r="AD218">
        <f>SUM(C218:N218)</f>
        <v/>
      </c>
      <c r="AE218">
        <f>SUM(O218:Z218)</f>
        <v/>
      </c>
      <c r="AF218">
        <f>IFERROR(ROUND(1/SUMPRODUCT(MAX((C217:N217&gt;0)*($C$3:$N$3&lt;=B218)*($C$2:$N$2&gt;AA218)/$C$2:$N$2)),0),0)</f>
        <v/>
      </c>
      <c r="AG218">
        <f>MAX(0,AC218-MAX(0,SUMPRODUCT(($C$2:$N$2=AA218)*(AH218:AS218-$C$7:$N$7))))</f>
        <v/>
      </c>
      <c r="AH218">
        <f>IF(C217&lt;=0,0,ROUND(C217*(1+IF(AND(C$6&gt;0,$B218&lt;C$6),C$4,C$5)/12),2))</f>
        <v/>
      </c>
      <c r="AI218">
        <f>IF(D217&lt;=0,0,ROUND(D217*(1+IF(AND(D$6&gt;0,$B218&lt;D$6),D$4,D$5)/12),2))</f>
        <v/>
      </c>
      <c r="AJ218">
        <f>IF(E217&lt;=0,0,ROUND(E217*(1+IF(AND(E$6&gt;0,$B218&lt;E$6),E$4,E$5)/12),2))</f>
        <v/>
      </c>
      <c r="AK218">
        <f>IF(F217&lt;=0,0,ROUND(F217*(1+IF(AND(F$6&gt;0,$B218&lt;F$6),F$4,F$5)/12),2))</f>
        <v/>
      </c>
      <c r="AL218">
        <f>IF(G217&lt;=0,0,ROUND(G217*(1+IF(AND(G$6&gt;0,$B218&lt;G$6),G$4,G$5)/12),2))</f>
        <v/>
      </c>
      <c r="AM218">
        <f>IF(H217&lt;=0,0,ROUND(H217*(1+IF(AND(H$6&gt;0,$B218&lt;H$6),H$4,H$5)/12),2))</f>
        <v/>
      </c>
      <c r="AN218">
        <f>IF(I217&lt;=0,0,ROUND(I217*(1+IF(AND(I$6&gt;0,$B218&lt;I$6),I$4,I$5)/12),2))</f>
        <v/>
      </c>
      <c r="AO218">
        <f>IF(J217&lt;=0,0,ROUND(J217*(1+IF(AND(J$6&gt;0,$B218&lt;J$6),J$4,J$5)/12),2))</f>
        <v/>
      </c>
      <c r="AP218">
        <f>IF(K217&lt;=0,0,ROUND(K217*(1+IF(AND(K$6&gt;0,$B218&lt;K$6),K$4,K$5)/12),2))</f>
        <v/>
      </c>
      <c r="AQ218">
        <f>IF(L217&lt;=0,0,ROUND(L217*(1+IF(AND(L$6&gt;0,$B218&lt;L$6),L$4,L$5)/12),2))</f>
        <v/>
      </c>
      <c r="AR218">
        <f>IF(M217&lt;=0,0,ROUND(M217*(1+IF(AND(M$6&gt;0,$B218&lt;M$6),M$4,M$5)/12),2))</f>
        <v/>
      </c>
      <c r="AS218">
        <f>IF(N217&lt;=0,0,ROUND(N217*(1+IF(AND(N$6&gt;0,$B218&lt;N$6),N$4,N$5)/12),2))</f>
        <v/>
      </c>
    </row>
    <row r="219">
      <c r="A219" t="n">
        <v>208</v>
      </c>
      <c r="B219">
        <f>EDATE(Plan!$C$6,207)</f>
        <v/>
      </c>
      <c r="C219">
        <f>IF(C218&lt;=0,0,MAX(0,AH219-O219))</f>
        <v/>
      </c>
      <c r="D219">
        <f>IF(D218&lt;=0,0,MAX(0,AI219-P219))</f>
        <v/>
      </c>
      <c r="E219">
        <f>IF(E218&lt;=0,0,MAX(0,AJ219-Q219))</f>
        <v/>
      </c>
      <c r="F219">
        <f>IF(F218&lt;=0,0,MAX(0,AK219-R219))</f>
        <v/>
      </c>
      <c r="G219">
        <f>IF(G218&lt;=0,0,MAX(0,AL219-S219))</f>
        <v/>
      </c>
      <c r="H219">
        <f>IF(H218&lt;=0,0,MAX(0,AM219-T219))</f>
        <v/>
      </c>
      <c r="I219">
        <f>IF(I218&lt;=0,0,MAX(0,AN219-U219))</f>
        <v/>
      </c>
      <c r="J219">
        <f>IF(J218&lt;=0,0,MAX(0,AO219-V219))</f>
        <v/>
      </c>
      <c r="K219">
        <f>IF(K218&lt;=0,0,MAX(0,AP219-W219))</f>
        <v/>
      </c>
      <c r="L219">
        <f>IF(L218&lt;=0,0,MAX(0,AQ219-X219))</f>
        <v/>
      </c>
      <c r="M219">
        <f>IF(M218&lt;=0,0,MAX(0,AR219-Y219))</f>
        <v/>
      </c>
      <c r="N219">
        <f>IF(N218&lt;=0,0,MAX(0,AS219-Z219))</f>
        <v/>
      </c>
      <c r="O219">
        <f>IF(C218&lt;=0,0,MIN(AH219,C$7+IF(C$2=$AA219,$AC219,IF(C$2=$AF219,$AG219,0))))</f>
        <v/>
      </c>
      <c r="P219">
        <f>IF(D218&lt;=0,0,MIN(AI219,D$7+IF(D$2=$AA219,$AC219,IF(D$2=$AF219,$AG219,0))))</f>
        <v/>
      </c>
      <c r="Q219">
        <f>IF(E218&lt;=0,0,MIN(AJ219,E$7+IF(E$2=$AA219,$AC219,IF(E$2=$AF219,$AG219,0))))</f>
        <v/>
      </c>
      <c r="R219">
        <f>IF(F218&lt;=0,0,MIN(AK219,F$7+IF(F$2=$AA219,$AC219,IF(F$2=$AF219,$AG219,0))))</f>
        <v/>
      </c>
      <c r="S219">
        <f>IF(G218&lt;=0,0,MIN(AL219,G$7+IF(G$2=$AA219,$AC219,IF(G$2=$AF219,$AG219,0))))</f>
        <v/>
      </c>
      <c r="T219">
        <f>IF(H218&lt;=0,0,MIN(AM219,H$7+IF(H$2=$AA219,$AC219,IF(H$2=$AF219,$AG219,0))))</f>
        <v/>
      </c>
      <c r="U219">
        <f>IF(I218&lt;=0,0,MIN(AN219,I$7+IF(I$2=$AA219,$AC219,IF(I$2=$AF219,$AG219,0))))</f>
        <v/>
      </c>
      <c r="V219">
        <f>IF(J218&lt;=0,0,MIN(AO219,J$7+IF(J$2=$AA219,$AC219,IF(J$2=$AF219,$AG219,0))))</f>
        <v/>
      </c>
      <c r="W219">
        <f>IF(K218&lt;=0,0,MIN(AP219,K$7+IF(K$2=$AA219,$AC219,IF(K$2=$AF219,$AG219,0))))</f>
        <v/>
      </c>
      <c r="X219">
        <f>IF(L218&lt;=0,0,MIN(AQ219,L$7+IF(L$2=$AA219,$AC219,IF(L$2=$AF219,$AG219,0))))</f>
        <v/>
      </c>
      <c r="Y219">
        <f>IF(M218&lt;=0,0,MIN(AR219,M$7+IF(M$2=$AA219,$AC219,IF(M$2=$AF219,$AG219,0))))</f>
        <v/>
      </c>
      <c r="Z219">
        <f>IF(N218&lt;=0,0,MIN(AS219,N$7+IF(N$2=$AA219,$AC219,IF(N$2=$AF219,$AG219,0))))</f>
        <v/>
      </c>
      <c r="AA219">
        <f>IFERROR(ROUND(1/SUMPRODUCT(MAX((C218:N218&gt;0)*($C$3:$N$3&lt;=B219)/$C$2:$N$2)),0),0)</f>
        <v/>
      </c>
      <c r="AB219">
        <f>SUMPRODUCT((C218:N218&gt;0)*$C$7:$N$7)</f>
        <v/>
      </c>
      <c r="AC219">
        <f>MAX(0,Plan!$C$5-AB219)+IF(A219=Plan!$C$8,N(Plan!$C$7),0)</f>
        <v/>
      </c>
      <c r="AD219">
        <f>SUM(C219:N219)</f>
        <v/>
      </c>
      <c r="AE219">
        <f>SUM(O219:Z219)</f>
        <v/>
      </c>
      <c r="AF219">
        <f>IFERROR(ROUND(1/SUMPRODUCT(MAX((C218:N218&gt;0)*($C$3:$N$3&lt;=B219)*($C$2:$N$2&gt;AA219)/$C$2:$N$2)),0),0)</f>
        <v/>
      </c>
      <c r="AG219">
        <f>MAX(0,AC219-MAX(0,SUMPRODUCT(($C$2:$N$2=AA219)*(AH219:AS219-$C$7:$N$7))))</f>
        <v/>
      </c>
      <c r="AH219">
        <f>IF(C218&lt;=0,0,ROUND(C218*(1+IF(AND(C$6&gt;0,$B219&lt;C$6),C$4,C$5)/12),2))</f>
        <v/>
      </c>
      <c r="AI219">
        <f>IF(D218&lt;=0,0,ROUND(D218*(1+IF(AND(D$6&gt;0,$B219&lt;D$6),D$4,D$5)/12),2))</f>
        <v/>
      </c>
      <c r="AJ219">
        <f>IF(E218&lt;=0,0,ROUND(E218*(1+IF(AND(E$6&gt;0,$B219&lt;E$6),E$4,E$5)/12),2))</f>
        <v/>
      </c>
      <c r="AK219">
        <f>IF(F218&lt;=0,0,ROUND(F218*(1+IF(AND(F$6&gt;0,$B219&lt;F$6),F$4,F$5)/12),2))</f>
        <v/>
      </c>
      <c r="AL219">
        <f>IF(G218&lt;=0,0,ROUND(G218*(1+IF(AND(G$6&gt;0,$B219&lt;G$6),G$4,G$5)/12),2))</f>
        <v/>
      </c>
      <c r="AM219">
        <f>IF(H218&lt;=0,0,ROUND(H218*(1+IF(AND(H$6&gt;0,$B219&lt;H$6),H$4,H$5)/12),2))</f>
        <v/>
      </c>
      <c r="AN219">
        <f>IF(I218&lt;=0,0,ROUND(I218*(1+IF(AND(I$6&gt;0,$B219&lt;I$6),I$4,I$5)/12),2))</f>
        <v/>
      </c>
      <c r="AO219">
        <f>IF(J218&lt;=0,0,ROUND(J218*(1+IF(AND(J$6&gt;0,$B219&lt;J$6),J$4,J$5)/12),2))</f>
        <v/>
      </c>
      <c r="AP219">
        <f>IF(K218&lt;=0,0,ROUND(K218*(1+IF(AND(K$6&gt;0,$B219&lt;K$6),K$4,K$5)/12),2))</f>
        <v/>
      </c>
      <c r="AQ219">
        <f>IF(L218&lt;=0,0,ROUND(L218*(1+IF(AND(L$6&gt;0,$B219&lt;L$6),L$4,L$5)/12),2))</f>
        <v/>
      </c>
      <c r="AR219">
        <f>IF(M218&lt;=0,0,ROUND(M218*(1+IF(AND(M$6&gt;0,$B219&lt;M$6),M$4,M$5)/12),2))</f>
        <v/>
      </c>
      <c r="AS219">
        <f>IF(N218&lt;=0,0,ROUND(N218*(1+IF(AND(N$6&gt;0,$B219&lt;N$6),N$4,N$5)/12),2))</f>
        <v/>
      </c>
    </row>
    <row r="220">
      <c r="A220" t="n">
        <v>209</v>
      </c>
      <c r="B220">
        <f>EDATE(Plan!$C$6,208)</f>
        <v/>
      </c>
      <c r="C220">
        <f>IF(C219&lt;=0,0,MAX(0,AH220-O220))</f>
        <v/>
      </c>
      <c r="D220">
        <f>IF(D219&lt;=0,0,MAX(0,AI220-P220))</f>
        <v/>
      </c>
      <c r="E220">
        <f>IF(E219&lt;=0,0,MAX(0,AJ220-Q220))</f>
        <v/>
      </c>
      <c r="F220">
        <f>IF(F219&lt;=0,0,MAX(0,AK220-R220))</f>
        <v/>
      </c>
      <c r="G220">
        <f>IF(G219&lt;=0,0,MAX(0,AL220-S220))</f>
        <v/>
      </c>
      <c r="H220">
        <f>IF(H219&lt;=0,0,MAX(0,AM220-T220))</f>
        <v/>
      </c>
      <c r="I220">
        <f>IF(I219&lt;=0,0,MAX(0,AN220-U220))</f>
        <v/>
      </c>
      <c r="J220">
        <f>IF(J219&lt;=0,0,MAX(0,AO220-V220))</f>
        <v/>
      </c>
      <c r="K220">
        <f>IF(K219&lt;=0,0,MAX(0,AP220-W220))</f>
        <v/>
      </c>
      <c r="L220">
        <f>IF(L219&lt;=0,0,MAX(0,AQ220-X220))</f>
        <v/>
      </c>
      <c r="M220">
        <f>IF(M219&lt;=0,0,MAX(0,AR220-Y220))</f>
        <v/>
      </c>
      <c r="N220">
        <f>IF(N219&lt;=0,0,MAX(0,AS220-Z220))</f>
        <v/>
      </c>
      <c r="O220">
        <f>IF(C219&lt;=0,0,MIN(AH220,C$7+IF(C$2=$AA220,$AC220,IF(C$2=$AF220,$AG220,0))))</f>
        <v/>
      </c>
      <c r="P220">
        <f>IF(D219&lt;=0,0,MIN(AI220,D$7+IF(D$2=$AA220,$AC220,IF(D$2=$AF220,$AG220,0))))</f>
        <v/>
      </c>
      <c r="Q220">
        <f>IF(E219&lt;=0,0,MIN(AJ220,E$7+IF(E$2=$AA220,$AC220,IF(E$2=$AF220,$AG220,0))))</f>
        <v/>
      </c>
      <c r="R220">
        <f>IF(F219&lt;=0,0,MIN(AK220,F$7+IF(F$2=$AA220,$AC220,IF(F$2=$AF220,$AG220,0))))</f>
        <v/>
      </c>
      <c r="S220">
        <f>IF(G219&lt;=0,0,MIN(AL220,G$7+IF(G$2=$AA220,$AC220,IF(G$2=$AF220,$AG220,0))))</f>
        <v/>
      </c>
      <c r="T220">
        <f>IF(H219&lt;=0,0,MIN(AM220,H$7+IF(H$2=$AA220,$AC220,IF(H$2=$AF220,$AG220,0))))</f>
        <v/>
      </c>
      <c r="U220">
        <f>IF(I219&lt;=0,0,MIN(AN220,I$7+IF(I$2=$AA220,$AC220,IF(I$2=$AF220,$AG220,0))))</f>
        <v/>
      </c>
      <c r="V220">
        <f>IF(J219&lt;=0,0,MIN(AO220,J$7+IF(J$2=$AA220,$AC220,IF(J$2=$AF220,$AG220,0))))</f>
        <v/>
      </c>
      <c r="W220">
        <f>IF(K219&lt;=0,0,MIN(AP220,K$7+IF(K$2=$AA220,$AC220,IF(K$2=$AF220,$AG220,0))))</f>
        <v/>
      </c>
      <c r="X220">
        <f>IF(L219&lt;=0,0,MIN(AQ220,L$7+IF(L$2=$AA220,$AC220,IF(L$2=$AF220,$AG220,0))))</f>
        <v/>
      </c>
      <c r="Y220">
        <f>IF(M219&lt;=0,0,MIN(AR220,M$7+IF(M$2=$AA220,$AC220,IF(M$2=$AF220,$AG220,0))))</f>
        <v/>
      </c>
      <c r="Z220">
        <f>IF(N219&lt;=0,0,MIN(AS220,N$7+IF(N$2=$AA220,$AC220,IF(N$2=$AF220,$AG220,0))))</f>
        <v/>
      </c>
      <c r="AA220">
        <f>IFERROR(ROUND(1/SUMPRODUCT(MAX((C219:N219&gt;0)*($C$3:$N$3&lt;=B220)/$C$2:$N$2)),0),0)</f>
        <v/>
      </c>
      <c r="AB220">
        <f>SUMPRODUCT((C219:N219&gt;0)*$C$7:$N$7)</f>
        <v/>
      </c>
      <c r="AC220">
        <f>MAX(0,Plan!$C$5-AB220)+IF(A220=Plan!$C$8,N(Plan!$C$7),0)</f>
        <v/>
      </c>
      <c r="AD220">
        <f>SUM(C220:N220)</f>
        <v/>
      </c>
      <c r="AE220">
        <f>SUM(O220:Z220)</f>
        <v/>
      </c>
      <c r="AF220">
        <f>IFERROR(ROUND(1/SUMPRODUCT(MAX((C219:N219&gt;0)*($C$3:$N$3&lt;=B220)*($C$2:$N$2&gt;AA220)/$C$2:$N$2)),0),0)</f>
        <v/>
      </c>
      <c r="AG220">
        <f>MAX(0,AC220-MAX(0,SUMPRODUCT(($C$2:$N$2=AA220)*(AH220:AS220-$C$7:$N$7))))</f>
        <v/>
      </c>
      <c r="AH220">
        <f>IF(C219&lt;=0,0,ROUND(C219*(1+IF(AND(C$6&gt;0,$B220&lt;C$6),C$4,C$5)/12),2))</f>
        <v/>
      </c>
      <c r="AI220">
        <f>IF(D219&lt;=0,0,ROUND(D219*(1+IF(AND(D$6&gt;0,$B220&lt;D$6),D$4,D$5)/12),2))</f>
        <v/>
      </c>
      <c r="AJ220">
        <f>IF(E219&lt;=0,0,ROUND(E219*(1+IF(AND(E$6&gt;0,$B220&lt;E$6),E$4,E$5)/12),2))</f>
        <v/>
      </c>
      <c r="AK220">
        <f>IF(F219&lt;=0,0,ROUND(F219*(1+IF(AND(F$6&gt;0,$B220&lt;F$6),F$4,F$5)/12),2))</f>
        <v/>
      </c>
      <c r="AL220">
        <f>IF(G219&lt;=0,0,ROUND(G219*(1+IF(AND(G$6&gt;0,$B220&lt;G$6),G$4,G$5)/12),2))</f>
        <v/>
      </c>
      <c r="AM220">
        <f>IF(H219&lt;=0,0,ROUND(H219*(1+IF(AND(H$6&gt;0,$B220&lt;H$6),H$4,H$5)/12),2))</f>
        <v/>
      </c>
      <c r="AN220">
        <f>IF(I219&lt;=0,0,ROUND(I219*(1+IF(AND(I$6&gt;0,$B220&lt;I$6),I$4,I$5)/12),2))</f>
        <v/>
      </c>
      <c r="AO220">
        <f>IF(J219&lt;=0,0,ROUND(J219*(1+IF(AND(J$6&gt;0,$B220&lt;J$6),J$4,J$5)/12),2))</f>
        <v/>
      </c>
      <c r="AP220">
        <f>IF(K219&lt;=0,0,ROUND(K219*(1+IF(AND(K$6&gt;0,$B220&lt;K$6),K$4,K$5)/12),2))</f>
        <v/>
      </c>
      <c r="AQ220">
        <f>IF(L219&lt;=0,0,ROUND(L219*(1+IF(AND(L$6&gt;0,$B220&lt;L$6),L$4,L$5)/12),2))</f>
        <v/>
      </c>
      <c r="AR220">
        <f>IF(M219&lt;=0,0,ROUND(M219*(1+IF(AND(M$6&gt;0,$B220&lt;M$6),M$4,M$5)/12),2))</f>
        <v/>
      </c>
      <c r="AS220">
        <f>IF(N219&lt;=0,0,ROUND(N219*(1+IF(AND(N$6&gt;0,$B220&lt;N$6),N$4,N$5)/12),2))</f>
        <v/>
      </c>
    </row>
    <row r="221">
      <c r="A221" t="n">
        <v>210</v>
      </c>
      <c r="B221">
        <f>EDATE(Plan!$C$6,209)</f>
        <v/>
      </c>
      <c r="C221">
        <f>IF(C220&lt;=0,0,MAX(0,AH221-O221))</f>
        <v/>
      </c>
      <c r="D221">
        <f>IF(D220&lt;=0,0,MAX(0,AI221-P221))</f>
        <v/>
      </c>
      <c r="E221">
        <f>IF(E220&lt;=0,0,MAX(0,AJ221-Q221))</f>
        <v/>
      </c>
      <c r="F221">
        <f>IF(F220&lt;=0,0,MAX(0,AK221-R221))</f>
        <v/>
      </c>
      <c r="G221">
        <f>IF(G220&lt;=0,0,MAX(0,AL221-S221))</f>
        <v/>
      </c>
      <c r="H221">
        <f>IF(H220&lt;=0,0,MAX(0,AM221-T221))</f>
        <v/>
      </c>
      <c r="I221">
        <f>IF(I220&lt;=0,0,MAX(0,AN221-U221))</f>
        <v/>
      </c>
      <c r="J221">
        <f>IF(J220&lt;=0,0,MAX(0,AO221-V221))</f>
        <v/>
      </c>
      <c r="K221">
        <f>IF(K220&lt;=0,0,MAX(0,AP221-W221))</f>
        <v/>
      </c>
      <c r="L221">
        <f>IF(L220&lt;=0,0,MAX(0,AQ221-X221))</f>
        <v/>
      </c>
      <c r="M221">
        <f>IF(M220&lt;=0,0,MAX(0,AR221-Y221))</f>
        <v/>
      </c>
      <c r="N221">
        <f>IF(N220&lt;=0,0,MAX(0,AS221-Z221))</f>
        <v/>
      </c>
      <c r="O221">
        <f>IF(C220&lt;=0,0,MIN(AH221,C$7+IF(C$2=$AA221,$AC221,IF(C$2=$AF221,$AG221,0))))</f>
        <v/>
      </c>
      <c r="P221">
        <f>IF(D220&lt;=0,0,MIN(AI221,D$7+IF(D$2=$AA221,$AC221,IF(D$2=$AF221,$AG221,0))))</f>
        <v/>
      </c>
      <c r="Q221">
        <f>IF(E220&lt;=0,0,MIN(AJ221,E$7+IF(E$2=$AA221,$AC221,IF(E$2=$AF221,$AG221,0))))</f>
        <v/>
      </c>
      <c r="R221">
        <f>IF(F220&lt;=0,0,MIN(AK221,F$7+IF(F$2=$AA221,$AC221,IF(F$2=$AF221,$AG221,0))))</f>
        <v/>
      </c>
      <c r="S221">
        <f>IF(G220&lt;=0,0,MIN(AL221,G$7+IF(G$2=$AA221,$AC221,IF(G$2=$AF221,$AG221,0))))</f>
        <v/>
      </c>
      <c r="T221">
        <f>IF(H220&lt;=0,0,MIN(AM221,H$7+IF(H$2=$AA221,$AC221,IF(H$2=$AF221,$AG221,0))))</f>
        <v/>
      </c>
      <c r="U221">
        <f>IF(I220&lt;=0,0,MIN(AN221,I$7+IF(I$2=$AA221,$AC221,IF(I$2=$AF221,$AG221,0))))</f>
        <v/>
      </c>
      <c r="V221">
        <f>IF(J220&lt;=0,0,MIN(AO221,J$7+IF(J$2=$AA221,$AC221,IF(J$2=$AF221,$AG221,0))))</f>
        <v/>
      </c>
      <c r="W221">
        <f>IF(K220&lt;=0,0,MIN(AP221,K$7+IF(K$2=$AA221,$AC221,IF(K$2=$AF221,$AG221,0))))</f>
        <v/>
      </c>
      <c r="X221">
        <f>IF(L220&lt;=0,0,MIN(AQ221,L$7+IF(L$2=$AA221,$AC221,IF(L$2=$AF221,$AG221,0))))</f>
        <v/>
      </c>
      <c r="Y221">
        <f>IF(M220&lt;=0,0,MIN(AR221,M$7+IF(M$2=$AA221,$AC221,IF(M$2=$AF221,$AG221,0))))</f>
        <v/>
      </c>
      <c r="Z221">
        <f>IF(N220&lt;=0,0,MIN(AS221,N$7+IF(N$2=$AA221,$AC221,IF(N$2=$AF221,$AG221,0))))</f>
        <v/>
      </c>
      <c r="AA221">
        <f>IFERROR(ROUND(1/SUMPRODUCT(MAX((C220:N220&gt;0)*($C$3:$N$3&lt;=B221)/$C$2:$N$2)),0),0)</f>
        <v/>
      </c>
      <c r="AB221">
        <f>SUMPRODUCT((C220:N220&gt;0)*$C$7:$N$7)</f>
        <v/>
      </c>
      <c r="AC221">
        <f>MAX(0,Plan!$C$5-AB221)+IF(A221=Plan!$C$8,N(Plan!$C$7),0)</f>
        <v/>
      </c>
      <c r="AD221">
        <f>SUM(C221:N221)</f>
        <v/>
      </c>
      <c r="AE221">
        <f>SUM(O221:Z221)</f>
        <v/>
      </c>
      <c r="AF221">
        <f>IFERROR(ROUND(1/SUMPRODUCT(MAX((C220:N220&gt;0)*($C$3:$N$3&lt;=B221)*($C$2:$N$2&gt;AA221)/$C$2:$N$2)),0),0)</f>
        <v/>
      </c>
      <c r="AG221">
        <f>MAX(0,AC221-MAX(0,SUMPRODUCT(($C$2:$N$2=AA221)*(AH221:AS221-$C$7:$N$7))))</f>
        <v/>
      </c>
      <c r="AH221">
        <f>IF(C220&lt;=0,0,ROUND(C220*(1+IF(AND(C$6&gt;0,$B221&lt;C$6),C$4,C$5)/12),2))</f>
        <v/>
      </c>
      <c r="AI221">
        <f>IF(D220&lt;=0,0,ROUND(D220*(1+IF(AND(D$6&gt;0,$B221&lt;D$6),D$4,D$5)/12),2))</f>
        <v/>
      </c>
      <c r="AJ221">
        <f>IF(E220&lt;=0,0,ROUND(E220*(1+IF(AND(E$6&gt;0,$B221&lt;E$6),E$4,E$5)/12),2))</f>
        <v/>
      </c>
      <c r="AK221">
        <f>IF(F220&lt;=0,0,ROUND(F220*(1+IF(AND(F$6&gt;0,$B221&lt;F$6),F$4,F$5)/12),2))</f>
        <v/>
      </c>
      <c r="AL221">
        <f>IF(G220&lt;=0,0,ROUND(G220*(1+IF(AND(G$6&gt;0,$B221&lt;G$6),G$4,G$5)/12),2))</f>
        <v/>
      </c>
      <c r="AM221">
        <f>IF(H220&lt;=0,0,ROUND(H220*(1+IF(AND(H$6&gt;0,$B221&lt;H$6),H$4,H$5)/12),2))</f>
        <v/>
      </c>
      <c r="AN221">
        <f>IF(I220&lt;=0,0,ROUND(I220*(1+IF(AND(I$6&gt;0,$B221&lt;I$6),I$4,I$5)/12),2))</f>
        <v/>
      </c>
      <c r="AO221">
        <f>IF(J220&lt;=0,0,ROUND(J220*(1+IF(AND(J$6&gt;0,$B221&lt;J$6),J$4,J$5)/12),2))</f>
        <v/>
      </c>
      <c r="AP221">
        <f>IF(K220&lt;=0,0,ROUND(K220*(1+IF(AND(K$6&gt;0,$B221&lt;K$6),K$4,K$5)/12),2))</f>
        <v/>
      </c>
      <c r="AQ221">
        <f>IF(L220&lt;=0,0,ROUND(L220*(1+IF(AND(L$6&gt;0,$B221&lt;L$6),L$4,L$5)/12),2))</f>
        <v/>
      </c>
      <c r="AR221">
        <f>IF(M220&lt;=0,0,ROUND(M220*(1+IF(AND(M$6&gt;0,$B221&lt;M$6),M$4,M$5)/12),2))</f>
        <v/>
      </c>
      <c r="AS221">
        <f>IF(N220&lt;=0,0,ROUND(N220*(1+IF(AND(N$6&gt;0,$B221&lt;N$6),N$4,N$5)/12),2))</f>
        <v/>
      </c>
    </row>
    <row r="222">
      <c r="A222" t="n">
        <v>211</v>
      </c>
      <c r="B222">
        <f>EDATE(Plan!$C$6,210)</f>
        <v/>
      </c>
      <c r="C222">
        <f>IF(C221&lt;=0,0,MAX(0,AH222-O222))</f>
        <v/>
      </c>
      <c r="D222">
        <f>IF(D221&lt;=0,0,MAX(0,AI222-P222))</f>
        <v/>
      </c>
      <c r="E222">
        <f>IF(E221&lt;=0,0,MAX(0,AJ222-Q222))</f>
        <v/>
      </c>
      <c r="F222">
        <f>IF(F221&lt;=0,0,MAX(0,AK222-R222))</f>
        <v/>
      </c>
      <c r="G222">
        <f>IF(G221&lt;=0,0,MAX(0,AL222-S222))</f>
        <v/>
      </c>
      <c r="H222">
        <f>IF(H221&lt;=0,0,MAX(0,AM222-T222))</f>
        <v/>
      </c>
      <c r="I222">
        <f>IF(I221&lt;=0,0,MAX(0,AN222-U222))</f>
        <v/>
      </c>
      <c r="J222">
        <f>IF(J221&lt;=0,0,MAX(0,AO222-V222))</f>
        <v/>
      </c>
      <c r="K222">
        <f>IF(K221&lt;=0,0,MAX(0,AP222-W222))</f>
        <v/>
      </c>
      <c r="L222">
        <f>IF(L221&lt;=0,0,MAX(0,AQ222-X222))</f>
        <v/>
      </c>
      <c r="M222">
        <f>IF(M221&lt;=0,0,MAX(0,AR222-Y222))</f>
        <v/>
      </c>
      <c r="N222">
        <f>IF(N221&lt;=0,0,MAX(0,AS222-Z222))</f>
        <v/>
      </c>
      <c r="O222">
        <f>IF(C221&lt;=0,0,MIN(AH222,C$7+IF(C$2=$AA222,$AC222,IF(C$2=$AF222,$AG222,0))))</f>
        <v/>
      </c>
      <c r="P222">
        <f>IF(D221&lt;=0,0,MIN(AI222,D$7+IF(D$2=$AA222,$AC222,IF(D$2=$AF222,$AG222,0))))</f>
        <v/>
      </c>
      <c r="Q222">
        <f>IF(E221&lt;=0,0,MIN(AJ222,E$7+IF(E$2=$AA222,$AC222,IF(E$2=$AF222,$AG222,0))))</f>
        <v/>
      </c>
      <c r="R222">
        <f>IF(F221&lt;=0,0,MIN(AK222,F$7+IF(F$2=$AA222,$AC222,IF(F$2=$AF222,$AG222,0))))</f>
        <v/>
      </c>
      <c r="S222">
        <f>IF(G221&lt;=0,0,MIN(AL222,G$7+IF(G$2=$AA222,$AC222,IF(G$2=$AF222,$AG222,0))))</f>
        <v/>
      </c>
      <c r="T222">
        <f>IF(H221&lt;=0,0,MIN(AM222,H$7+IF(H$2=$AA222,$AC222,IF(H$2=$AF222,$AG222,0))))</f>
        <v/>
      </c>
      <c r="U222">
        <f>IF(I221&lt;=0,0,MIN(AN222,I$7+IF(I$2=$AA222,$AC222,IF(I$2=$AF222,$AG222,0))))</f>
        <v/>
      </c>
      <c r="V222">
        <f>IF(J221&lt;=0,0,MIN(AO222,J$7+IF(J$2=$AA222,$AC222,IF(J$2=$AF222,$AG222,0))))</f>
        <v/>
      </c>
      <c r="W222">
        <f>IF(K221&lt;=0,0,MIN(AP222,K$7+IF(K$2=$AA222,$AC222,IF(K$2=$AF222,$AG222,0))))</f>
        <v/>
      </c>
      <c r="X222">
        <f>IF(L221&lt;=0,0,MIN(AQ222,L$7+IF(L$2=$AA222,$AC222,IF(L$2=$AF222,$AG222,0))))</f>
        <v/>
      </c>
      <c r="Y222">
        <f>IF(M221&lt;=0,0,MIN(AR222,M$7+IF(M$2=$AA222,$AC222,IF(M$2=$AF222,$AG222,0))))</f>
        <v/>
      </c>
      <c r="Z222">
        <f>IF(N221&lt;=0,0,MIN(AS222,N$7+IF(N$2=$AA222,$AC222,IF(N$2=$AF222,$AG222,0))))</f>
        <v/>
      </c>
      <c r="AA222">
        <f>IFERROR(ROUND(1/SUMPRODUCT(MAX((C221:N221&gt;0)*($C$3:$N$3&lt;=B222)/$C$2:$N$2)),0),0)</f>
        <v/>
      </c>
      <c r="AB222">
        <f>SUMPRODUCT((C221:N221&gt;0)*$C$7:$N$7)</f>
        <v/>
      </c>
      <c r="AC222">
        <f>MAX(0,Plan!$C$5-AB222)+IF(A222=Plan!$C$8,N(Plan!$C$7),0)</f>
        <v/>
      </c>
      <c r="AD222">
        <f>SUM(C222:N222)</f>
        <v/>
      </c>
      <c r="AE222">
        <f>SUM(O222:Z222)</f>
        <v/>
      </c>
      <c r="AF222">
        <f>IFERROR(ROUND(1/SUMPRODUCT(MAX((C221:N221&gt;0)*($C$3:$N$3&lt;=B222)*($C$2:$N$2&gt;AA222)/$C$2:$N$2)),0),0)</f>
        <v/>
      </c>
      <c r="AG222">
        <f>MAX(0,AC222-MAX(0,SUMPRODUCT(($C$2:$N$2=AA222)*(AH222:AS222-$C$7:$N$7))))</f>
        <v/>
      </c>
      <c r="AH222">
        <f>IF(C221&lt;=0,0,ROUND(C221*(1+IF(AND(C$6&gt;0,$B222&lt;C$6),C$4,C$5)/12),2))</f>
        <v/>
      </c>
      <c r="AI222">
        <f>IF(D221&lt;=0,0,ROUND(D221*(1+IF(AND(D$6&gt;0,$B222&lt;D$6),D$4,D$5)/12),2))</f>
        <v/>
      </c>
      <c r="AJ222">
        <f>IF(E221&lt;=0,0,ROUND(E221*(1+IF(AND(E$6&gt;0,$B222&lt;E$6),E$4,E$5)/12),2))</f>
        <v/>
      </c>
      <c r="AK222">
        <f>IF(F221&lt;=0,0,ROUND(F221*(1+IF(AND(F$6&gt;0,$B222&lt;F$6),F$4,F$5)/12),2))</f>
        <v/>
      </c>
      <c r="AL222">
        <f>IF(G221&lt;=0,0,ROUND(G221*(1+IF(AND(G$6&gt;0,$B222&lt;G$6),G$4,G$5)/12),2))</f>
        <v/>
      </c>
      <c r="AM222">
        <f>IF(H221&lt;=0,0,ROUND(H221*(1+IF(AND(H$6&gt;0,$B222&lt;H$6),H$4,H$5)/12),2))</f>
        <v/>
      </c>
      <c r="AN222">
        <f>IF(I221&lt;=0,0,ROUND(I221*(1+IF(AND(I$6&gt;0,$B222&lt;I$6),I$4,I$5)/12),2))</f>
        <v/>
      </c>
      <c r="AO222">
        <f>IF(J221&lt;=0,0,ROUND(J221*(1+IF(AND(J$6&gt;0,$B222&lt;J$6),J$4,J$5)/12),2))</f>
        <v/>
      </c>
      <c r="AP222">
        <f>IF(K221&lt;=0,0,ROUND(K221*(1+IF(AND(K$6&gt;0,$B222&lt;K$6),K$4,K$5)/12),2))</f>
        <v/>
      </c>
      <c r="AQ222">
        <f>IF(L221&lt;=0,0,ROUND(L221*(1+IF(AND(L$6&gt;0,$B222&lt;L$6),L$4,L$5)/12),2))</f>
        <v/>
      </c>
      <c r="AR222">
        <f>IF(M221&lt;=0,0,ROUND(M221*(1+IF(AND(M$6&gt;0,$B222&lt;M$6),M$4,M$5)/12),2))</f>
        <v/>
      </c>
      <c r="AS222">
        <f>IF(N221&lt;=0,0,ROUND(N221*(1+IF(AND(N$6&gt;0,$B222&lt;N$6),N$4,N$5)/12),2))</f>
        <v/>
      </c>
    </row>
    <row r="223">
      <c r="A223" t="n">
        <v>212</v>
      </c>
      <c r="B223">
        <f>EDATE(Plan!$C$6,211)</f>
        <v/>
      </c>
      <c r="C223">
        <f>IF(C222&lt;=0,0,MAX(0,AH223-O223))</f>
        <v/>
      </c>
      <c r="D223">
        <f>IF(D222&lt;=0,0,MAX(0,AI223-P223))</f>
        <v/>
      </c>
      <c r="E223">
        <f>IF(E222&lt;=0,0,MAX(0,AJ223-Q223))</f>
        <v/>
      </c>
      <c r="F223">
        <f>IF(F222&lt;=0,0,MAX(0,AK223-R223))</f>
        <v/>
      </c>
      <c r="G223">
        <f>IF(G222&lt;=0,0,MAX(0,AL223-S223))</f>
        <v/>
      </c>
      <c r="H223">
        <f>IF(H222&lt;=0,0,MAX(0,AM223-T223))</f>
        <v/>
      </c>
      <c r="I223">
        <f>IF(I222&lt;=0,0,MAX(0,AN223-U223))</f>
        <v/>
      </c>
      <c r="J223">
        <f>IF(J222&lt;=0,0,MAX(0,AO223-V223))</f>
        <v/>
      </c>
      <c r="K223">
        <f>IF(K222&lt;=0,0,MAX(0,AP223-W223))</f>
        <v/>
      </c>
      <c r="L223">
        <f>IF(L222&lt;=0,0,MAX(0,AQ223-X223))</f>
        <v/>
      </c>
      <c r="M223">
        <f>IF(M222&lt;=0,0,MAX(0,AR223-Y223))</f>
        <v/>
      </c>
      <c r="N223">
        <f>IF(N222&lt;=0,0,MAX(0,AS223-Z223))</f>
        <v/>
      </c>
      <c r="O223">
        <f>IF(C222&lt;=0,0,MIN(AH223,C$7+IF(C$2=$AA223,$AC223,IF(C$2=$AF223,$AG223,0))))</f>
        <v/>
      </c>
      <c r="P223">
        <f>IF(D222&lt;=0,0,MIN(AI223,D$7+IF(D$2=$AA223,$AC223,IF(D$2=$AF223,$AG223,0))))</f>
        <v/>
      </c>
      <c r="Q223">
        <f>IF(E222&lt;=0,0,MIN(AJ223,E$7+IF(E$2=$AA223,$AC223,IF(E$2=$AF223,$AG223,0))))</f>
        <v/>
      </c>
      <c r="R223">
        <f>IF(F222&lt;=0,0,MIN(AK223,F$7+IF(F$2=$AA223,$AC223,IF(F$2=$AF223,$AG223,0))))</f>
        <v/>
      </c>
      <c r="S223">
        <f>IF(G222&lt;=0,0,MIN(AL223,G$7+IF(G$2=$AA223,$AC223,IF(G$2=$AF223,$AG223,0))))</f>
        <v/>
      </c>
      <c r="T223">
        <f>IF(H222&lt;=0,0,MIN(AM223,H$7+IF(H$2=$AA223,$AC223,IF(H$2=$AF223,$AG223,0))))</f>
        <v/>
      </c>
      <c r="U223">
        <f>IF(I222&lt;=0,0,MIN(AN223,I$7+IF(I$2=$AA223,$AC223,IF(I$2=$AF223,$AG223,0))))</f>
        <v/>
      </c>
      <c r="V223">
        <f>IF(J222&lt;=0,0,MIN(AO223,J$7+IF(J$2=$AA223,$AC223,IF(J$2=$AF223,$AG223,0))))</f>
        <v/>
      </c>
      <c r="W223">
        <f>IF(K222&lt;=0,0,MIN(AP223,K$7+IF(K$2=$AA223,$AC223,IF(K$2=$AF223,$AG223,0))))</f>
        <v/>
      </c>
      <c r="X223">
        <f>IF(L222&lt;=0,0,MIN(AQ223,L$7+IF(L$2=$AA223,$AC223,IF(L$2=$AF223,$AG223,0))))</f>
        <v/>
      </c>
      <c r="Y223">
        <f>IF(M222&lt;=0,0,MIN(AR223,M$7+IF(M$2=$AA223,$AC223,IF(M$2=$AF223,$AG223,0))))</f>
        <v/>
      </c>
      <c r="Z223">
        <f>IF(N222&lt;=0,0,MIN(AS223,N$7+IF(N$2=$AA223,$AC223,IF(N$2=$AF223,$AG223,0))))</f>
        <v/>
      </c>
      <c r="AA223">
        <f>IFERROR(ROUND(1/SUMPRODUCT(MAX((C222:N222&gt;0)*($C$3:$N$3&lt;=B223)/$C$2:$N$2)),0),0)</f>
        <v/>
      </c>
      <c r="AB223">
        <f>SUMPRODUCT((C222:N222&gt;0)*$C$7:$N$7)</f>
        <v/>
      </c>
      <c r="AC223">
        <f>MAX(0,Plan!$C$5-AB223)+IF(A223=Plan!$C$8,N(Plan!$C$7),0)</f>
        <v/>
      </c>
      <c r="AD223">
        <f>SUM(C223:N223)</f>
        <v/>
      </c>
      <c r="AE223">
        <f>SUM(O223:Z223)</f>
        <v/>
      </c>
      <c r="AF223">
        <f>IFERROR(ROUND(1/SUMPRODUCT(MAX((C222:N222&gt;0)*($C$3:$N$3&lt;=B223)*($C$2:$N$2&gt;AA223)/$C$2:$N$2)),0),0)</f>
        <v/>
      </c>
      <c r="AG223">
        <f>MAX(0,AC223-MAX(0,SUMPRODUCT(($C$2:$N$2=AA223)*(AH223:AS223-$C$7:$N$7))))</f>
        <v/>
      </c>
      <c r="AH223">
        <f>IF(C222&lt;=0,0,ROUND(C222*(1+IF(AND(C$6&gt;0,$B223&lt;C$6),C$4,C$5)/12),2))</f>
        <v/>
      </c>
      <c r="AI223">
        <f>IF(D222&lt;=0,0,ROUND(D222*(1+IF(AND(D$6&gt;0,$B223&lt;D$6),D$4,D$5)/12),2))</f>
        <v/>
      </c>
      <c r="AJ223">
        <f>IF(E222&lt;=0,0,ROUND(E222*(1+IF(AND(E$6&gt;0,$B223&lt;E$6),E$4,E$5)/12),2))</f>
        <v/>
      </c>
      <c r="AK223">
        <f>IF(F222&lt;=0,0,ROUND(F222*(1+IF(AND(F$6&gt;0,$B223&lt;F$6),F$4,F$5)/12),2))</f>
        <v/>
      </c>
      <c r="AL223">
        <f>IF(G222&lt;=0,0,ROUND(G222*(1+IF(AND(G$6&gt;0,$B223&lt;G$6),G$4,G$5)/12),2))</f>
        <v/>
      </c>
      <c r="AM223">
        <f>IF(H222&lt;=0,0,ROUND(H222*(1+IF(AND(H$6&gt;0,$B223&lt;H$6),H$4,H$5)/12),2))</f>
        <v/>
      </c>
      <c r="AN223">
        <f>IF(I222&lt;=0,0,ROUND(I222*(1+IF(AND(I$6&gt;0,$B223&lt;I$6),I$4,I$5)/12),2))</f>
        <v/>
      </c>
      <c r="AO223">
        <f>IF(J222&lt;=0,0,ROUND(J222*(1+IF(AND(J$6&gt;0,$B223&lt;J$6),J$4,J$5)/12),2))</f>
        <v/>
      </c>
      <c r="AP223">
        <f>IF(K222&lt;=0,0,ROUND(K222*(1+IF(AND(K$6&gt;0,$B223&lt;K$6),K$4,K$5)/12),2))</f>
        <v/>
      </c>
      <c r="AQ223">
        <f>IF(L222&lt;=0,0,ROUND(L222*(1+IF(AND(L$6&gt;0,$B223&lt;L$6),L$4,L$5)/12),2))</f>
        <v/>
      </c>
      <c r="AR223">
        <f>IF(M222&lt;=0,0,ROUND(M222*(1+IF(AND(M$6&gt;0,$B223&lt;M$6),M$4,M$5)/12),2))</f>
        <v/>
      </c>
      <c r="AS223">
        <f>IF(N222&lt;=0,0,ROUND(N222*(1+IF(AND(N$6&gt;0,$B223&lt;N$6),N$4,N$5)/12),2))</f>
        <v/>
      </c>
    </row>
    <row r="224">
      <c r="A224" t="n">
        <v>213</v>
      </c>
      <c r="B224">
        <f>EDATE(Plan!$C$6,212)</f>
        <v/>
      </c>
      <c r="C224">
        <f>IF(C223&lt;=0,0,MAX(0,AH224-O224))</f>
        <v/>
      </c>
      <c r="D224">
        <f>IF(D223&lt;=0,0,MAX(0,AI224-P224))</f>
        <v/>
      </c>
      <c r="E224">
        <f>IF(E223&lt;=0,0,MAX(0,AJ224-Q224))</f>
        <v/>
      </c>
      <c r="F224">
        <f>IF(F223&lt;=0,0,MAX(0,AK224-R224))</f>
        <v/>
      </c>
      <c r="G224">
        <f>IF(G223&lt;=0,0,MAX(0,AL224-S224))</f>
        <v/>
      </c>
      <c r="H224">
        <f>IF(H223&lt;=0,0,MAX(0,AM224-T224))</f>
        <v/>
      </c>
      <c r="I224">
        <f>IF(I223&lt;=0,0,MAX(0,AN224-U224))</f>
        <v/>
      </c>
      <c r="J224">
        <f>IF(J223&lt;=0,0,MAX(0,AO224-V224))</f>
        <v/>
      </c>
      <c r="K224">
        <f>IF(K223&lt;=0,0,MAX(0,AP224-W224))</f>
        <v/>
      </c>
      <c r="L224">
        <f>IF(L223&lt;=0,0,MAX(0,AQ224-X224))</f>
        <v/>
      </c>
      <c r="M224">
        <f>IF(M223&lt;=0,0,MAX(0,AR224-Y224))</f>
        <v/>
      </c>
      <c r="N224">
        <f>IF(N223&lt;=0,0,MAX(0,AS224-Z224))</f>
        <v/>
      </c>
      <c r="O224">
        <f>IF(C223&lt;=0,0,MIN(AH224,C$7+IF(C$2=$AA224,$AC224,IF(C$2=$AF224,$AG224,0))))</f>
        <v/>
      </c>
      <c r="P224">
        <f>IF(D223&lt;=0,0,MIN(AI224,D$7+IF(D$2=$AA224,$AC224,IF(D$2=$AF224,$AG224,0))))</f>
        <v/>
      </c>
      <c r="Q224">
        <f>IF(E223&lt;=0,0,MIN(AJ224,E$7+IF(E$2=$AA224,$AC224,IF(E$2=$AF224,$AG224,0))))</f>
        <v/>
      </c>
      <c r="R224">
        <f>IF(F223&lt;=0,0,MIN(AK224,F$7+IF(F$2=$AA224,$AC224,IF(F$2=$AF224,$AG224,0))))</f>
        <v/>
      </c>
      <c r="S224">
        <f>IF(G223&lt;=0,0,MIN(AL224,G$7+IF(G$2=$AA224,$AC224,IF(G$2=$AF224,$AG224,0))))</f>
        <v/>
      </c>
      <c r="T224">
        <f>IF(H223&lt;=0,0,MIN(AM224,H$7+IF(H$2=$AA224,$AC224,IF(H$2=$AF224,$AG224,0))))</f>
        <v/>
      </c>
      <c r="U224">
        <f>IF(I223&lt;=0,0,MIN(AN224,I$7+IF(I$2=$AA224,$AC224,IF(I$2=$AF224,$AG224,0))))</f>
        <v/>
      </c>
      <c r="V224">
        <f>IF(J223&lt;=0,0,MIN(AO224,J$7+IF(J$2=$AA224,$AC224,IF(J$2=$AF224,$AG224,0))))</f>
        <v/>
      </c>
      <c r="W224">
        <f>IF(K223&lt;=0,0,MIN(AP224,K$7+IF(K$2=$AA224,$AC224,IF(K$2=$AF224,$AG224,0))))</f>
        <v/>
      </c>
      <c r="X224">
        <f>IF(L223&lt;=0,0,MIN(AQ224,L$7+IF(L$2=$AA224,$AC224,IF(L$2=$AF224,$AG224,0))))</f>
        <v/>
      </c>
      <c r="Y224">
        <f>IF(M223&lt;=0,0,MIN(AR224,M$7+IF(M$2=$AA224,$AC224,IF(M$2=$AF224,$AG224,0))))</f>
        <v/>
      </c>
      <c r="Z224">
        <f>IF(N223&lt;=0,0,MIN(AS224,N$7+IF(N$2=$AA224,$AC224,IF(N$2=$AF224,$AG224,0))))</f>
        <v/>
      </c>
      <c r="AA224">
        <f>IFERROR(ROUND(1/SUMPRODUCT(MAX((C223:N223&gt;0)*($C$3:$N$3&lt;=B224)/$C$2:$N$2)),0),0)</f>
        <v/>
      </c>
      <c r="AB224">
        <f>SUMPRODUCT((C223:N223&gt;0)*$C$7:$N$7)</f>
        <v/>
      </c>
      <c r="AC224">
        <f>MAX(0,Plan!$C$5-AB224)+IF(A224=Plan!$C$8,N(Plan!$C$7),0)</f>
        <v/>
      </c>
      <c r="AD224">
        <f>SUM(C224:N224)</f>
        <v/>
      </c>
      <c r="AE224">
        <f>SUM(O224:Z224)</f>
        <v/>
      </c>
      <c r="AF224">
        <f>IFERROR(ROUND(1/SUMPRODUCT(MAX((C223:N223&gt;0)*($C$3:$N$3&lt;=B224)*($C$2:$N$2&gt;AA224)/$C$2:$N$2)),0),0)</f>
        <v/>
      </c>
      <c r="AG224">
        <f>MAX(0,AC224-MAX(0,SUMPRODUCT(($C$2:$N$2=AA224)*(AH224:AS224-$C$7:$N$7))))</f>
        <v/>
      </c>
      <c r="AH224">
        <f>IF(C223&lt;=0,0,ROUND(C223*(1+IF(AND(C$6&gt;0,$B224&lt;C$6),C$4,C$5)/12),2))</f>
        <v/>
      </c>
      <c r="AI224">
        <f>IF(D223&lt;=0,0,ROUND(D223*(1+IF(AND(D$6&gt;0,$B224&lt;D$6),D$4,D$5)/12),2))</f>
        <v/>
      </c>
      <c r="AJ224">
        <f>IF(E223&lt;=0,0,ROUND(E223*(1+IF(AND(E$6&gt;0,$B224&lt;E$6),E$4,E$5)/12),2))</f>
        <v/>
      </c>
      <c r="AK224">
        <f>IF(F223&lt;=0,0,ROUND(F223*(1+IF(AND(F$6&gt;0,$B224&lt;F$6),F$4,F$5)/12),2))</f>
        <v/>
      </c>
      <c r="AL224">
        <f>IF(G223&lt;=0,0,ROUND(G223*(1+IF(AND(G$6&gt;0,$B224&lt;G$6),G$4,G$5)/12),2))</f>
        <v/>
      </c>
      <c r="AM224">
        <f>IF(H223&lt;=0,0,ROUND(H223*(1+IF(AND(H$6&gt;0,$B224&lt;H$6),H$4,H$5)/12),2))</f>
        <v/>
      </c>
      <c r="AN224">
        <f>IF(I223&lt;=0,0,ROUND(I223*(1+IF(AND(I$6&gt;0,$B224&lt;I$6),I$4,I$5)/12),2))</f>
        <v/>
      </c>
      <c r="AO224">
        <f>IF(J223&lt;=0,0,ROUND(J223*(1+IF(AND(J$6&gt;0,$B224&lt;J$6),J$4,J$5)/12),2))</f>
        <v/>
      </c>
      <c r="AP224">
        <f>IF(K223&lt;=0,0,ROUND(K223*(1+IF(AND(K$6&gt;0,$B224&lt;K$6),K$4,K$5)/12),2))</f>
        <v/>
      </c>
      <c r="AQ224">
        <f>IF(L223&lt;=0,0,ROUND(L223*(1+IF(AND(L$6&gt;0,$B224&lt;L$6),L$4,L$5)/12),2))</f>
        <v/>
      </c>
      <c r="AR224">
        <f>IF(M223&lt;=0,0,ROUND(M223*(1+IF(AND(M$6&gt;0,$B224&lt;M$6),M$4,M$5)/12),2))</f>
        <v/>
      </c>
      <c r="AS224">
        <f>IF(N223&lt;=0,0,ROUND(N223*(1+IF(AND(N$6&gt;0,$B224&lt;N$6),N$4,N$5)/12),2))</f>
        <v/>
      </c>
    </row>
    <row r="225">
      <c r="A225" t="n">
        <v>214</v>
      </c>
      <c r="B225">
        <f>EDATE(Plan!$C$6,213)</f>
        <v/>
      </c>
      <c r="C225">
        <f>IF(C224&lt;=0,0,MAX(0,AH225-O225))</f>
        <v/>
      </c>
      <c r="D225">
        <f>IF(D224&lt;=0,0,MAX(0,AI225-P225))</f>
        <v/>
      </c>
      <c r="E225">
        <f>IF(E224&lt;=0,0,MAX(0,AJ225-Q225))</f>
        <v/>
      </c>
      <c r="F225">
        <f>IF(F224&lt;=0,0,MAX(0,AK225-R225))</f>
        <v/>
      </c>
      <c r="G225">
        <f>IF(G224&lt;=0,0,MAX(0,AL225-S225))</f>
        <v/>
      </c>
      <c r="H225">
        <f>IF(H224&lt;=0,0,MAX(0,AM225-T225))</f>
        <v/>
      </c>
      <c r="I225">
        <f>IF(I224&lt;=0,0,MAX(0,AN225-U225))</f>
        <v/>
      </c>
      <c r="J225">
        <f>IF(J224&lt;=0,0,MAX(0,AO225-V225))</f>
        <v/>
      </c>
      <c r="K225">
        <f>IF(K224&lt;=0,0,MAX(0,AP225-W225))</f>
        <v/>
      </c>
      <c r="L225">
        <f>IF(L224&lt;=0,0,MAX(0,AQ225-X225))</f>
        <v/>
      </c>
      <c r="M225">
        <f>IF(M224&lt;=0,0,MAX(0,AR225-Y225))</f>
        <v/>
      </c>
      <c r="N225">
        <f>IF(N224&lt;=0,0,MAX(0,AS225-Z225))</f>
        <v/>
      </c>
      <c r="O225">
        <f>IF(C224&lt;=0,0,MIN(AH225,C$7+IF(C$2=$AA225,$AC225,IF(C$2=$AF225,$AG225,0))))</f>
        <v/>
      </c>
      <c r="P225">
        <f>IF(D224&lt;=0,0,MIN(AI225,D$7+IF(D$2=$AA225,$AC225,IF(D$2=$AF225,$AG225,0))))</f>
        <v/>
      </c>
      <c r="Q225">
        <f>IF(E224&lt;=0,0,MIN(AJ225,E$7+IF(E$2=$AA225,$AC225,IF(E$2=$AF225,$AG225,0))))</f>
        <v/>
      </c>
      <c r="R225">
        <f>IF(F224&lt;=0,0,MIN(AK225,F$7+IF(F$2=$AA225,$AC225,IF(F$2=$AF225,$AG225,0))))</f>
        <v/>
      </c>
      <c r="S225">
        <f>IF(G224&lt;=0,0,MIN(AL225,G$7+IF(G$2=$AA225,$AC225,IF(G$2=$AF225,$AG225,0))))</f>
        <v/>
      </c>
      <c r="T225">
        <f>IF(H224&lt;=0,0,MIN(AM225,H$7+IF(H$2=$AA225,$AC225,IF(H$2=$AF225,$AG225,0))))</f>
        <v/>
      </c>
      <c r="U225">
        <f>IF(I224&lt;=0,0,MIN(AN225,I$7+IF(I$2=$AA225,$AC225,IF(I$2=$AF225,$AG225,0))))</f>
        <v/>
      </c>
      <c r="V225">
        <f>IF(J224&lt;=0,0,MIN(AO225,J$7+IF(J$2=$AA225,$AC225,IF(J$2=$AF225,$AG225,0))))</f>
        <v/>
      </c>
      <c r="W225">
        <f>IF(K224&lt;=0,0,MIN(AP225,K$7+IF(K$2=$AA225,$AC225,IF(K$2=$AF225,$AG225,0))))</f>
        <v/>
      </c>
      <c r="X225">
        <f>IF(L224&lt;=0,0,MIN(AQ225,L$7+IF(L$2=$AA225,$AC225,IF(L$2=$AF225,$AG225,0))))</f>
        <v/>
      </c>
      <c r="Y225">
        <f>IF(M224&lt;=0,0,MIN(AR225,M$7+IF(M$2=$AA225,$AC225,IF(M$2=$AF225,$AG225,0))))</f>
        <v/>
      </c>
      <c r="Z225">
        <f>IF(N224&lt;=0,0,MIN(AS225,N$7+IF(N$2=$AA225,$AC225,IF(N$2=$AF225,$AG225,0))))</f>
        <v/>
      </c>
      <c r="AA225">
        <f>IFERROR(ROUND(1/SUMPRODUCT(MAX((C224:N224&gt;0)*($C$3:$N$3&lt;=B225)/$C$2:$N$2)),0),0)</f>
        <v/>
      </c>
      <c r="AB225">
        <f>SUMPRODUCT((C224:N224&gt;0)*$C$7:$N$7)</f>
        <v/>
      </c>
      <c r="AC225">
        <f>MAX(0,Plan!$C$5-AB225)+IF(A225=Plan!$C$8,N(Plan!$C$7),0)</f>
        <v/>
      </c>
      <c r="AD225">
        <f>SUM(C225:N225)</f>
        <v/>
      </c>
      <c r="AE225">
        <f>SUM(O225:Z225)</f>
        <v/>
      </c>
      <c r="AF225">
        <f>IFERROR(ROUND(1/SUMPRODUCT(MAX((C224:N224&gt;0)*($C$3:$N$3&lt;=B225)*($C$2:$N$2&gt;AA225)/$C$2:$N$2)),0),0)</f>
        <v/>
      </c>
      <c r="AG225">
        <f>MAX(0,AC225-MAX(0,SUMPRODUCT(($C$2:$N$2=AA225)*(AH225:AS225-$C$7:$N$7))))</f>
        <v/>
      </c>
      <c r="AH225">
        <f>IF(C224&lt;=0,0,ROUND(C224*(1+IF(AND(C$6&gt;0,$B225&lt;C$6),C$4,C$5)/12),2))</f>
        <v/>
      </c>
      <c r="AI225">
        <f>IF(D224&lt;=0,0,ROUND(D224*(1+IF(AND(D$6&gt;0,$B225&lt;D$6),D$4,D$5)/12),2))</f>
        <v/>
      </c>
      <c r="AJ225">
        <f>IF(E224&lt;=0,0,ROUND(E224*(1+IF(AND(E$6&gt;0,$B225&lt;E$6),E$4,E$5)/12),2))</f>
        <v/>
      </c>
      <c r="AK225">
        <f>IF(F224&lt;=0,0,ROUND(F224*(1+IF(AND(F$6&gt;0,$B225&lt;F$6),F$4,F$5)/12),2))</f>
        <v/>
      </c>
      <c r="AL225">
        <f>IF(G224&lt;=0,0,ROUND(G224*(1+IF(AND(G$6&gt;0,$B225&lt;G$6),G$4,G$5)/12),2))</f>
        <v/>
      </c>
      <c r="AM225">
        <f>IF(H224&lt;=0,0,ROUND(H224*(1+IF(AND(H$6&gt;0,$B225&lt;H$6),H$4,H$5)/12),2))</f>
        <v/>
      </c>
      <c r="AN225">
        <f>IF(I224&lt;=0,0,ROUND(I224*(1+IF(AND(I$6&gt;0,$B225&lt;I$6),I$4,I$5)/12),2))</f>
        <v/>
      </c>
      <c r="AO225">
        <f>IF(J224&lt;=0,0,ROUND(J224*(1+IF(AND(J$6&gt;0,$B225&lt;J$6),J$4,J$5)/12),2))</f>
        <v/>
      </c>
      <c r="AP225">
        <f>IF(K224&lt;=0,0,ROUND(K224*(1+IF(AND(K$6&gt;0,$B225&lt;K$6),K$4,K$5)/12),2))</f>
        <v/>
      </c>
      <c r="AQ225">
        <f>IF(L224&lt;=0,0,ROUND(L224*(1+IF(AND(L$6&gt;0,$B225&lt;L$6),L$4,L$5)/12),2))</f>
        <v/>
      </c>
      <c r="AR225">
        <f>IF(M224&lt;=0,0,ROUND(M224*(1+IF(AND(M$6&gt;0,$B225&lt;M$6),M$4,M$5)/12),2))</f>
        <v/>
      </c>
      <c r="AS225">
        <f>IF(N224&lt;=0,0,ROUND(N224*(1+IF(AND(N$6&gt;0,$B225&lt;N$6),N$4,N$5)/12),2))</f>
        <v/>
      </c>
    </row>
    <row r="226">
      <c r="A226" t="n">
        <v>215</v>
      </c>
      <c r="B226">
        <f>EDATE(Plan!$C$6,214)</f>
        <v/>
      </c>
      <c r="C226">
        <f>IF(C225&lt;=0,0,MAX(0,AH226-O226))</f>
        <v/>
      </c>
      <c r="D226">
        <f>IF(D225&lt;=0,0,MAX(0,AI226-P226))</f>
        <v/>
      </c>
      <c r="E226">
        <f>IF(E225&lt;=0,0,MAX(0,AJ226-Q226))</f>
        <v/>
      </c>
      <c r="F226">
        <f>IF(F225&lt;=0,0,MAX(0,AK226-R226))</f>
        <v/>
      </c>
      <c r="G226">
        <f>IF(G225&lt;=0,0,MAX(0,AL226-S226))</f>
        <v/>
      </c>
      <c r="H226">
        <f>IF(H225&lt;=0,0,MAX(0,AM226-T226))</f>
        <v/>
      </c>
      <c r="I226">
        <f>IF(I225&lt;=0,0,MAX(0,AN226-U226))</f>
        <v/>
      </c>
      <c r="J226">
        <f>IF(J225&lt;=0,0,MAX(0,AO226-V226))</f>
        <v/>
      </c>
      <c r="K226">
        <f>IF(K225&lt;=0,0,MAX(0,AP226-W226))</f>
        <v/>
      </c>
      <c r="L226">
        <f>IF(L225&lt;=0,0,MAX(0,AQ226-X226))</f>
        <v/>
      </c>
      <c r="M226">
        <f>IF(M225&lt;=0,0,MAX(0,AR226-Y226))</f>
        <v/>
      </c>
      <c r="N226">
        <f>IF(N225&lt;=0,0,MAX(0,AS226-Z226))</f>
        <v/>
      </c>
      <c r="O226">
        <f>IF(C225&lt;=0,0,MIN(AH226,C$7+IF(C$2=$AA226,$AC226,IF(C$2=$AF226,$AG226,0))))</f>
        <v/>
      </c>
      <c r="P226">
        <f>IF(D225&lt;=0,0,MIN(AI226,D$7+IF(D$2=$AA226,$AC226,IF(D$2=$AF226,$AG226,0))))</f>
        <v/>
      </c>
      <c r="Q226">
        <f>IF(E225&lt;=0,0,MIN(AJ226,E$7+IF(E$2=$AA226,$AC226,IF(E$2=$AF226,$AG226,0))))</f>
        <v/>
      </c>
      <c r="R226">
        <f>IF(F225&lt;=0,0,MIN(AK226,F$7+IF(F$2=$AA226,$AC226,IF(F$2=$AF226,$AG226,0))))</f>
        <v/>
      </c>
      <c r="S226">
        <f>IF(G225&lt;=0,0,MIN(AL226,G$7+IF(G$2=$AA226,$AC226,IF(G$2=$AF226,$AG226,0))))</f>
        <v/>
      </c>
      <c r="T226">
        <f>IF(H225&lt;=0,0,MIN(AM226,H$7+IF(H$2=$AA226,$AC226,IF(H$2=$AF226,$AG226,0))))</f>
        <v/>
      </c>
      <c r="U226">
        <f>IF(I225&lt;=0,0,MIN(AN226,I$7+IF(I$2=$AA226,$AC226,IF(I$2=$AF226,$AG226,0))))</f>
        <v/>
      </c>
      <c r="V226">
        <f>IF(J225&lt;=0,0,MIN(AO226,J$7+IF(J$2=$AA226,$AC226,IF(J$2=$AF226,$AG226,0))))</f>
        <v/>
      </c>
      <c r="W226">
        <f>IF(K225&lt;=0,0,MIN(AP226,K$7+IF(K$2=$AA226,$AC226,IF(K$2=$AF226,$AG226,0))))</f>
        <v/>
      </c>
      <c r="X226">
        <f>IF(L225&lt;=0,0,MIN(AQ226,L$7+IF(L$2=$AA226,$AC226,IF(L$2=$AF226,$AG226,0))))</f>
        <v/>
      </c>
      <c r="Y226">
        <f>IF(M225&lt;=0,0,MIN(AR226,M$7+IF(M$2=$AA226,$AC226,IF(M$2=$AF226,$AG226,0))))</f>
        <v/>
      </c>
      <c r="Z226">
        <f>IF(N225&lt;=0,0,MIN(AS226,N$7+IF(N$2=$AA226,$AC226,IF(N$2=$AF226,$AG226,0))))</f>
        <v/>
      </c>
      <c r="AA226">
        <f>IFERROR(ROUND(1/SUMPRODUCT(MAX((C225:N225&gt;0)*($C$3:$N$3&lt;=B226)/$C$2:$N$2)),0),0)</f>
        <v/>
      </c>
      <c r="AB226">
        <f>SUMPRODUCT((C225:N225&gt;0)*$C$7:$N$7)</f>
        <v/>
      </c>
      <c r="AC226">
        <f>MAX(0,Plan!$C$5-AB226)+IF(A226=Plan!$C$8,N(Plan!$C$7),0)</f>
        <v/>
      </c>
      <c r="AD226">
        <f>SUM(C226:N226)</f>
        <v/>
      </c>
      <c r="AE226">
        <f>SUM(O226:Z226)</f>
        <v/>
      </c>
      <c r="AF226">
        <f>IFERROR(ROUND(1/SUMPRODUCT(MAX((C225:N225&gt;0)*($C$3:$N$3&lt;=B226)*($C$2:$N$2&gt;AA226)/$C$2:$N$2)),0),0)</f>
        <v/>
      </c>
      <c r="AG226">
        <f>MAX(0,AC226-MAX(0,SUMPRODUCT(($C$2:$N$2=AA226)*(AH226:AS226-$C$7:$N$7))))</f>
        <v/>
      </c>
      <c r="AH226">
        <f>IF(C225&lt;=0,0,ROUND(C225*(1+IF(AND(C$6&gt;0,$B226&lt;C$6),C$4,C$5)/12),2))</f>
        <v/>
      </c>
      <c r="AI226">
        <f>IF(D225&lt;=0,0,ROUND(D225*(1+IF(AND(D$6&gt;0,$B226&lt;D$6),D$4,D$5)/12),2))</f>
        <v/>
      </c>
      <c r="AJ226">
        <f>IF(E225&lt;=0,0,ROUND(E225*(1+IF(AND(E$6&gt;0,$B226&lt;E$6),E$4,E$5)/12),2))</f>
        <v/>
      </c>
      <c r="AK226">
        <f>IF(F225&lt;=0,0,ROUND(F225*(1+IF(AND(F$6&gt;0,$B226&lt;F$6),F$4,F$5)/12),2))</f>
        <v/>
      </c>
      <c r="AL226">
        <f>IF(G225&lt;=0,0,ROUND(G225*(1+IF(AND(G$6&gt;0,$B226&lt;G$6),G$4,G$5)/12),2))</f>
        <v/>
      </c>
      <c r="AM226">
        <f>IF(H225&lt;=0,0,ROUND(H225*(1+IF(AND(H$6&gt;0,$B226&lt;H$6),H$4,H$5)/12),2))</f>
        <v/>
      </c>
      <c r="AN226">
        <f>IF(I225&lt;=0,0,ROUND(I225*(1+IF(AND(I$6&gt;0,$B226&lt;I$6),I$4,I$5)/12),2))</f>
        <v/>
      </c>
      <c r="AO226">
        <f>IF(J225&lt;=0,0,ROUND(J225*(1+IF(AND(J$6&gt;0,$B226&lt;J$6),J$4,J$5)/12),2))</f>
        <v/>
      </c>
      <c r="AP226">
        <f>IF(K225&lt;=0,0,ROUND(K225*(1+IF(AND(K$6&gt;0,$B226&lt;K$6),K$4,K$5)/12),2))</f>
        <v/>
      </c>
      <c r="AQ226">
        <f>IF(L225&lt;=0,0,ROUND(L225*(1+IF(AND(L$6&gt;0,$B226&lt;L$6),L$4,L$5)/12),2))</f>
        <v/>
      </c>
      <c r="AR226">
        <f>IF(M225&lt;=0,0,ROUND(M225*(1+IF(AND(M$6&gt;0,$B226&lt;M$6),M$4,M$5)/12),2))</f>
        <v/>
      </c>
      <c r="AS226">
        <f>IF(N225&lt;=0,0,ROUND(N225*(1+IF(AND(N$6&gt;0,$B226&lt;N$6),N$4,N$5)/12),2))</f>
        <v/>
      </c>
    </row>
    <row r="227">
      <c r="A227" t="n">
        <v>216</v>
      </c>
      <c r="B227">
        <f>EDATE(Plan!$C$6,215)</f>
        <v/>
      </c>
      <c r="C227">
        <f>IF(C226&lt;=0,0,MAX(0,AH227-O227))</f>
        <v/>
      </c>
      <c r="D227">
        <f>IF(D226&lt;=0,0,MAX(0,AI227-P227))</f>
        <v/>
      </c>
      <c r="E227">
        <f>IF(E226&lt;=0,0,MAX(0,AJ227-Q227))</f>
        <v/>
      </c>
      <c r="F227">
        <f>IF(F226&lt;=0,0,MAX(0,AK227-R227))</f>
        <v/>
      </c>
      <c r="G227">
        <f>IF(G226&lt;=0,0,MAX(0,AL227-S227))</f>
        <v/>
      </c>
      <c r="H227">
        <f>IF(H226&lt;=0,0,MAX(0,AM227-T227))</f>
        <v/>
      </c>
      <c r="I227">
        <f>IF(I226&lt;=0,0,MAX(0,AN227-U227))</f>
        <v/>
      </c>
      <c r="J227">
        <f>IF(J226&lt;=0,0,MAX(0,AO227-V227))</f>
        <v/>
      </c>
      <c r="K227">
        <f>IF(K226&lt;=0,0,MAX(0,AP227-W227))</f>
        <v/>
      </c>
      <c r="L227">
        <f>IF(L226&lt;=0,0,MAX(0,AQ227-X227))</f>
        <v/>
      </c>
      <c r="M227">
        <f>IF(M226&lt;=0,0,MAX(0,AR227-Y227))</f>
        <v/>
      </c>
      <c r="N227">
        <f>IF(N226&lt;=0,0,MAX(0,AS227-Z227))</f>
        <v/>
      </c>
      <c r="O227">
        <f>IF(C226&lt;=0,0,MIN(AH227,C$7+IF(C$2=$AA227,$AC227,IF(C$2=$AF227,$AG227,0))))</f>
        <v/>
      </c>
      <c r="P227">
        <f>IF(D226&lt;=0,0,MIN(AI227,D$7+IF(D$2=$AA227,$AC227,IF(D$2=$AF227,$AG227,0))))</f>
        <v/>
      </c>
      <c r="Q227">
        <f>IF(E226&lt;=0,0,MIN(AJ227,E$7+IF(E$2=$AA227,$AC227,IF(E$2=$AF227,$AG227,0))))</f>
        <v/>
      </c>
      <c r="R227">
        <f>IF(F226&lt;=0,0,MIN(AK227,F$7+IF(F$2=$AA227,$AC227,IF(F$2=$AF227,$AG227,0))))</f>
        <v/>
      </c>
      <c r="S227">
        <f>IF(G226&lt;=0,0,MIN(AL227,G$7+IF(G$2=$AA227,$AC227,IF(G$2=$AF227,$AG227,0))))</f>
        <v/>
      </c>
      <c r="T227">
        <f>IF(H226&lt;=0,0,MIN(AM227,H$7+IF(H$2=$AA227,$AC227,IF(H$2=$AF227,$AG227,0))))</f>
        <v/>
      </c>
      <c r="U227">
        <f>IF(I226&lt;=0,0,MIN(AN227,I$7+IF(I$2=$AA227,$AC227,IF(I$2=$AF227,$AG227,0))))</f>
        <v/>
      </c>
      <c r="V227">
        <f>IF(J226&lt;=0,0,MIN(AO227,J$7+IF(J$2=$AA227,$AC227,IF(J$2=$AF227,$AG227,0))))</f>
        <v/>
      </c>
      <c r="W227">
        <f>IF(K226&lt;=0,0,MIN(AP227,K$7+IF(K$2=$AA227,$AC227,IF(K$2=$AF227,$AG227,0))))</f>
        <v/>
      </c>
      <c r="X227">
        <f>IF(L226&lt;=0,0,MIN(AQ227,L$7+IF(L$2=$AA227,$AC227,IF(L$2=$AF227,$AG227,0))))</f>
        <v/>
      </c>
      <c r="Y227">
        <f>IF(M226&lt;=0,0,MIN(AR227,M$7+IF(M$2=$AA227,$AC227,IF(M$2=$AF227,$AG227,0))))</f>
        <v/>
      </c>
      <c r="Z227">
        <f>IF(N226&lt;=0,0,MIN(AS227,N$7+IF(N$2=$AA227,$AC227,IF(N$2=$AF227,$AG227,0))))</f>
        <v/>
      </c>
      <c r="AA227">
        <f>IFERROR(ROUND(1/SUMPRODUCT(MAX((C226:N226&gt;0)*($C$3:$N$3&lt;=B227)/$C$2:$N$2)),0),0)</f>
        <v/>
      </c>
      <c r="AB227">
        <f>SUMPRODUCT((C226:N226&gt;0)*$C$7:$N$7)</f>
        <v/>
      </c>
      <c r="AC227">
        <f>MAX(0,Plan!$C$5-AB227)+IF(A227=Plan!$C$8,N(Plan!$C$7),0)</f>
        <v/>
      </c>
      <c r="AD227">
        <f>SUM(C227:N227)</f>
        <v/>
      </c>
      <c r="AE227">
        <f>SUM(O227:Z227)</f>
        <v/>
      </c>
      <c r="AF227">
        <f>IFERROR(ROUND(1/SUMPRODUCT(MAX((C226:N226&gt;0)*($C$3:$N$3&lt;=B227)*($C$2:$N$2&gt;AA227)/$C$2:$N$2)),0),0)</f>
        <v/>
      </c>
      <c r="AG227">
        <f>MAX(0,AC227-MAX(0,SUMPRODUCT(($C$2:$N$2=AA227)*(AH227:AS227-$C$7:$N$7))))</f>
        <v/>
      </c>
      <c r="AH227">
        <f>IF(C226&lt;=0,0,ROUND(C226*(1+IF(AND(C$6&gt;0,$B227&lt;C$6),C$4,C$5)/12),2))</f>
        <v/>
      </c>
      <c r="AI227">
        <f>IF(D226&lt;=0,0,ROUND(D226*(1+IF(AND(D$6&gt;0,$B227&lt;D$6),D$4,D$5)/12),2))</f>
        <v/>
      </c>
      <c r="AJ227">
        <f>IF(E226&lt;=0,0,ROUND(E226*(1+IF(AND(E$6&gt;0,$B227&lt;E$6),E$4,E$5)/12),2))</f>
        <v/>
      </c>
      <c r="AK227">
        <f>IF(F226&lt;=0,0,ROUND(F226*(1+IF(AND(F$6&gt;0,$B227&lt;F$6),F$4,F$5)/12),2))</f>
        <v/>
      </c>
      <c r="AL227">
        <f>IF(G226&lt;=0,0,ROUND(G226*(1+IF(AND(G$6&gt;0,$B227&lt;G$6),G$4,G$5)/12),2))</f>
        <v/>
      </c>
      <c r="AM227">
        <f>IF(H226&lt;=0,0,ROUND(H226*(1+IF(AND(H$6&gt;0,$B227&lt;H$6),H$4,H$5)/12),2))</f>
        <v/>
      </c>
      <c r="AN227">
        <f>IF(I226&lt;=0,0,ROUND(I226*(1+IF(AND(I$6&gt;0,$B227&lt;I$6),I$4,I$5)/12),2))</f>
        <v/>
      </c>
      <c r="AO227">
        <f>IF(J226&lt;=0,0,ROUND(J226*(1+IF(AND(J$6&gt;0,$B227&lt;J$6),J$4,J$5)/12),2))</f>
        <v/>
      </c>
      <c r="AP227">
        <f>IF(K226&lt;=0,0,ROUND(K226*(1+IF(AND(K$6&gt;0,$B227&lt;K$6),K$4,K$5)/12),2))</f>
        <v/>
      </c>
      <c r="AQ227">
        <f>IF(L226&lt;=0,0,ROUND(L226*(1+IF(AND(L$6&gt;0,$B227&lt;L$6),L$4,L$5)/12),2))</f>
        <v/>
      </c>
      <c r="AR227">
        <f>IF(M226&lt;=0,0,ROUND(M226*(1+IF(AND(M$6&gt;0,$B227&lt;M$6),M$4,M$5)/12),2))</f>
        <v/>
      </c>
      <c r="AS227">
        <f>IF(N226&lt;=0,0,ROUND(N226*(1+IF(AND(N$6&gt;0,$B227&lt;N$6),N$4,N$5)/12),2))</f>
        <v/>
      </c>
    </row>
    <row r="228">
      <c r="A228" t="n">
        <v>217</v>
      </c>
      <c r="B228">
        <f>EDATE(Plan!$C$6,216)</f>
        <v/>
      </c>
      <c r="C228">
        <f>IF(C227&lt;=0,0,MAX(0,AH228-O228))</f>
        <v/>
      </c>
      <c r="D228">
        <f>IF(D227&lt;=0,0,MAX(0,AI228-P228))</f>
        <v/>
      </c>
      <c r="E228">
        <f>IF(E227&lt;=0,0,MAX(0,AJ228-Q228))</f>
        <v/>
      </c>
      <c r="F228">
        <f>IF(F227&lt;=0,0,MAX(0,AK228-R228))</f>
        <v/>
      </c>
      <c r="G228">
        <f>IF(G227&lt;=0,0,MAX(0,AL228-S228))</f>
        <v/>
      </c>
      <c r="H228">
        <f>IF(H227&lt;=0,0,MAX(0,AM228-T228))</f>
        <v/>
      </c>
      <c r="I228">
        <f>IF(I227&lt;=0,0,MAX(0,AN228-U228))</f>
        <v/>
      </c>
      <c r="J228">
        <f>IF(J227&lt;=0,0,MAX(0,AO228-V228))</f>
        <v/>
      </c>
      <c r="K228">
        <f>IF(K227&lt;=0,0,MAX(0,AP228-W228))</f>
        <v/>
      </c>
      <c r="L228">
        <f>IF(L227&lt;=0,0,MAX(0,AQ228-X228))</f>
        <v/>
      </c>
      <c r="M228">
        <f>IF(M227&lt;=0,0,MAX(0,AR228-Y228))</f>
        <v/>
      </c>
      <c r="N228">
        <f>IF(N227&lt;=0,0,MAX(0,AS228-Z228))</f>
        <v/>
      </c>
      <c r="O228">
        <f>IF(C227&lt;=0,0,MIN(AH228,C$7+IF(C$2=$AA228,$AC228,IF(C$2=$AF228,$AG228,0))))</f>
        <v/>
      </c>
      <c r="P228">
        <f>IF(D227&lt;=0,0,MIN(AI228,D$7+IF(D$2=$AA228,$AC228,IF(D$2=$AF228,$AG228,0))))</f>
        <v/>
      </c>
      <c r="Q228">
        <f>IF(E227&lt;=0,0,MIN(AJ228,E$7+IF(E$2=$AA228,$AC228,IF(E$2=$AF228,$AG228,0))))</f>
        <v/>
      </c>
      <c r="R228">
        <f>IF(F227&lt;=0,0,MIN(AK228,F$7+IF(F$2=$AA228,$AC228,IF(F$2=$AF228,$AG228,0))))</f>
        <v/>
      </c>
      <c r="S228">
        <f>IF(G227&lt;=0,0,MIN(AL228,G$7+IF(G$2=$AA228,$AC228,IF(G$2=$AF228,$AG228,0))))</f>
        <v/>
      </c>
      <c r="T228">
        <f>IF(H227&lt;=0,0,MIN(AM228,H$7+IF(H$2=$AA228,$AC228,IF(H$2=$AF228,$AG228,0))))</f>
        <v/>
      </c>
      <c r="U228">
        <f>IF(I227&lt;=0,0,MIN(AN228,I$7+IF(I$2=$AA228,$AC228,IF(I$2=$AF228,$AG228,0))))</f>
        <v/>
      </c>
      <c r="V228">
        <f>IF(J227&lt;=0,0,MIN(AO228,J$7+IF(J$2=$AA228,$AC228,IF(J$2=$AF228,$AG228,0))))</f>
        <v/>
      </c>
      <c r="W228">
        <f>IF(K227&lt;=0,0,MIN(AP228,K$7+IF(K$2=$AA228,$AC228,IF(K$2=$AF228,$AG228,0))))</f>
        <v/>
      </c>
      <c r="X228">
        <f>IF(L227&lt;=0,0,MIN(AQ228,L$7+IF(L$2=$AA228,$AC228,IF(L$2=$AF228,$AG228,0))))</f>
        <v/>
      </c>
      <c r="Y228">
        <f>IF(M227&lt;=0,0,MIN(AR228,M$7+IF(M$2=$AA228,$AC228,IF(M$2=$AF228,$AG228,0))))</f>
        <v/>
      </c>
      <c r="Z228">
        <f>IF(N227&lt;=0,0,MIN(AS228,N$7+IF(N$2=$AA228,$AC228,IF(N$2=$AF228,$AG228,0))))</f>
        <v/>
      </c>
      <c r="AA228">
        <f>IFERROR(ROUND(1/SUMPRODUCT(MAX((C227:N227&gt;0)*($C$3:$N$3&lt;=B228)/$C$2:$N$2)),0),0)</f>
        <v/>
      </c>
      <c r="AB228">
        <f>SUMPRODUCT((C227:N227&gt;0)*$C$7:$N$7)</f>
        <v/>
      </c>
      <c r="AC228">
        <f>MAX(0,Plan!$C$5-AB228)+IF(A228=Plan!$C$8,N(Plan!$C$7),0)</f>
        <v/>
      </c>
      <c r="AD228">
        <f>SUM(C228:N228)</f>
        <v/>
      </c>
      <c r="AE228">
        <f>SUM(O228:Z228)</f>
        <v/>
      </c>
      <c r="AF228">
        <f>IFERROR(ROUND(1/SUMPRODUCT(MAX((C227:N227&gt;0)*($C$3:$N$3&lt;=B228)*($C$2:$N$2&gt;AA228)/$C$2:$N$2)),0),0)</f>
        <v/>
      </c>
      <c r="AG228">
        <f>MAX(0,AC228-MAX(0,SUMPRODUCT(($C$2:$N$2=AA228)*(AH228:AS228-$C$7:$N$7))))</f>
        <v/>
      </c>
      <c r="AH228">
        <f>IF(C227&lt;=0,0,ROUND(C227*(1+IF(AND(C$6&gt;0,$B228&lt;C$6),C$4,C$5)/12),2))</f>
        <v/>
      </c>
      <c r="AI228">
        <f>IF(D227&lt;=0,0,ROUND(D227*(1+IF(AND(D$6&gt;0,$B228&lt;D$6),D$4,D$5)/12),2))</f>
        <v/>
      </c>
      <c r="AJ228">
        <f>IF(E227&lt;=0,0,ROUND(E227*(1+IF(AND(E$6&gt;0,$B228&lt;E$6),E$4,E$5)/12),2))</f>
        <v/>
      </c>
      <c r="AK228">
        <f>IF(F227&lt;=0,0,ROUND(F227*(1+IF(AND(F$6&gt;0,$B228&lt;F$6),F$4,F$5)/12),2))</f>
        <v/>
      </c>
      <c r="AL228">
        <f>IF(G227&lt;=0,0,ROUND(G227*(1+IF(AND(G$6&gt;0,$B228&lt;G$6),G$4,G$5)/12),2))</f>
        <v/>
      </c>
      <c r="AM228">
        <f>IF(H227&lt;=0,0,ROUND(H227*(1+IF(AND(H$6&gt;0,$B228&lt;H$6),H$4,H$5)/12),2))</f>
        <v/>
      </c>
      <c r="AN228">
        <f>IF(I227&lt;=0,0,ROUND(I227*(1+IF(AND(I$6&gt;0,$B228&lt;I$6),I$4,I$5)/12),2))</f>
        <v/>
      </c>
      <c r="AO228">
        <f>IF(J227&lt;=0,0,ROUND(J227*(1+IF(AND(J$6&gt;0,$B228&lt;J$6),J$4,J$5)/12),2))</f>
        <v/>
      </c>
      <c r="AP228">
        <f>IF(K227&lt;=0,0,ROUND(K227*(1+IF(AND(K$6&gt;0,$B228&lt;K$6),K$4,K$5)/12),2))</f>
        <v/>
      </c>
      <c r="AQ228">
        <f>IF(L227&lt;=0,0,ROUND(L227*(1+IF(AND(L$6&gt;0,$B228&lt;L$6),L$4,L$5)/12),2))</f>
        <v/>
      </c>
      <c r="AR228">
        <f>IF(M227&lt;=0,0,ROUND(M227*(1+IF(AND(M$6&gt;0,$B228&lt;M$6),M$4,M$5)/12),2))</f>
        <v/>
      </c>
      <c r="AS228">
        <f>IF(N227&lt;=0,0,ROUND(N227*(1+IF(AND(N$6&gt;0,$B228&lt;N$6),N$4,N$5)/12),2))</f>
        <v/>
      </c>
    </row>
    <row r="229">
      <c r="A229" t="n">
        <v>218</v>
      </c>
      <c r="B229">
        <f>EDATE(Plan!$C$6,217)</f>
        <v/>
      </c>
      <c r="C229">
        <f>IF(C228&lt;=0,0,MAX(0,AH229-O229))</f>
        <v/>
      </c>
      <c r="D229">
        <f>IF(D228&lt;=0,0,MAX(0,AI229-P229))</f>
        <v/>
      </c>
      <c r="E229">
        <f>IF(E228&lt;=0,0,MAX(0,AJ229-Q229))</f>
        <v/>
      </c>
      <c r="F229">
        <f>IF(F228&lt;=0,0,MAX(0,AK229-R229))</f>
        <v/>
      </c>
      <c r="G229">
        <f>IF(G228&lt;=0,0,MAX(0,AL229-S229))</f>
        <v/>
      </c>
      <c r="H229">
        <f>IF(H228&lt;=0,0,MAX(0,AM229-T229))</f>
        <v/>
      </c>
      <c r="I229">
        <f>IF(I228&lt;=0,0,MAX(0,AN229-U229))</f>
        <v/>
      </c>
      <c r="J229">
        <f>IF(J228&lt;=0,0,MAX(0,AO229-V229))</f>
        <v/>
      </c>
      <c r="K229">
        <f>IF(K228&lt;=0,0,MAX(0,AP229-W229))</f>
        <v/>
      </c>
      <c r="L229">
        <f>IF(L228&lt;=0,0,MAX(0,AQ229-X229))</f>
        <v/>
      </c>
      <c r="M229">
        <f>IF(M228&lt;=0,0,MAX(0,AR229-Y229))</f>
        <v/>
      </c>
      <c r="N229">
        <f>IF(N228&lt;=0,0,MAX(0,AS229-Z229))</f>
        <v/>
      </c>
      <c r="O229">
        <f>IF(C228&lt;=0,0,MIN(AH229,C$7+IF(C$2=$AA229,$AC229,IF(C$2=$AF229,$AG229,0))))</f>
        <v/>
      </c>
      <c r="P229">
        <f>IF(D228&lt;=0,0,MIN(AI229,D$7+IF(D$2=$AA229,$AC229,IF(D$2=$AF229,$AG229,0))))</f>
        <v/>
      </c>
      <c r="Q229">
        <f>IF(E228&lt;=0,0,MIN(AJ229,E$7+IF(E$2=$AA229,$AC229,IF(E$2=$AF229,$AG229,0))))</f>
        <v/>
      </c>
      <c r="R229">
        <f>IF(F228&lt;=0,0,MIN(AK229,F$7+IF(F$2=$AA229,$AC229,IF(F$2=$AF229,$AG229,0))))</f>
        <v/>
      </c>
      <c r="S229">
        <f>IF(G228&lt;=0,0,MIN(AL229,G$7+IF(G$2=$AA229,$AC229,IF(G$2=$AF229,$AG229,0))))</f>
        <v/>
      </c>
      <c r="T229">
        <f>IF(H228&lt;=0,0,MIN(AM229,H$7+IF(H$2=$AA229,$AC229,IF(H$2=$AF229,$AG229,0))))</f>
        <v/>
      </c>
      <c r="U229">
        <f>IF(I228&lt;=0,0,MIN(AN229,I$7+IF(I$2=$AA229,$AC229,IF(I$2=$AF229,$AG229,0))))</f>
        <v/>
      </c>
      <c r="V229">
        <f>IF(J228&lt;=0,0,MIN(AO229,J$7+IF(J$2=$AA229,$AC229,IF(J$2=$AF229,$AG229,0))))</f>
        <v/>
      </c>
      <c r="W229">
        <f>IF(K228&lt;=0,0,MIN(AP229,K$7+IF(K$2=$AA229,$AC229,IF(K$2=$AF229,$AG229,0))))</f>
        <v/>
      </c>
      <c r="X229">
        <f>IF(L228&lt;=0,0,MIN(AQ229,L$7+IF(L$2=$AA229,$AC229,IF(L$2=$AF229,$AG229,0))))</f>
        <v/>
      </c>
      <c r="Y229">
        <f>IF(M228&lt;=0,0,MIN(AR229,M$7+IF(M$2=$AA229,$AC229,IF(M$2=$AF229,$AG229,0))))</f>
        <v/>
      </c>
      <c r="Z229">
        <f>IF(N228&lt;=0,0,MIN(AS229,N$7+IF(N$2=$AA229,$AC229,IF(N$2=$AF229,$AG229,0))))</f>
        <v/>
      </c>
      <c r="AA229">
        <f>IFERROR(ROUND(1/SUMPRODUCT(MAX((C228:N228&gt;0)*($C$3:$N$3&lt;=B229)/$C$2:$N$2)),0),0)</f>
        <v/>
      </c>
      <c r="AB229">
        <f>SUMPRODUCT((C228:N228&gt;0)*$C$7:$N$7)</f>
        <v/>
      </c>
      <c r="AC229">
        <f>MAX(0,Plan!$C$5-AB229)+IF(A229=Plan!$C$8,N(Plan!$C$7),0)</f>
        <v/>
      </c>
      <c r="AD229">
        <f>SUM(C229:N229)</f>
        <v/>
      </c>
      <c r="AE229">
        <f>SUM(O229:Z229)</f>
        <v/>
      </c>
      <c r="AF229">
        <f>IFERROR(ROUND(1/SUMPRODUCT(MAX((C228:N228&gt;0)*($C$3:$N$3&lt;=B229)*($C$2:$N$2&gt;AA229)/$C$2:$N$2)),0),0)</f>
        <v/>
      </c>
      <c r="AG229">
        <f>MAX(0,AC229-MAX(0,SUMPRODUCT(($C$2:$N$2=AA229)*(AH229:AS229-$C$7:$N$7))))</f>
        <v/>
      </c>
      <c r="AH229">
        <f>IF(C228&lt;=0,0,ROUND(C228*(1+IF(AND(C$6&gt;0,$B229&lt;C$6),C$4,C$5)/12),2))</f>
        <v/>
      </c>
      <c r="AI229">
        <f>IF(D228&lt;=0,0,ROUND(D228*(1+IF(AND(D$6&gt;0,$B229&lt;D$6),D$4,D$5)/12),2))</f>
        <v/>
      </c>
      <c r="AJ229">
        <f>IF(E228&lt;=0,0,ROUND(E228*(1+IF(AND(E$6&gt;0,$B229&lt;E$6),E$4,E$5)/12),2))</f>
        <v/>
      </c>
      <c r="AK229">
        <f>IF(F228&lt;=0,0,ROUND(F228*(1+IF(AND(F$6&gt;0,$B229&lt;F$6),F$4,F$5)/12),2))</f>
        <v/>
      </c>
      <c r="AL229">
        <f>IF(G228&lt;=0,0,ROUND(G228*(1+IF(AND(G$6&gt;0,$B229&lt;G$6),G$4,G$5)/12),2))</f>
        <v/>
      </c>
      <c r="AM229">
        <f>IF(H228&lt;=0,0,ROUND(H228*(1+IF(AND(H$6&gt;0,$B229&lt;H$6),H$4,H$5)/12),2))</f>
        <v/>
      </c>
      <c r="AN229">
        <f>IF(I228&lt;=0,0,ROUND(I228*(1+IF(AND(I$6&gt;0,$B229&lt;I$6),I$4,I$5)/12),2))</f>
        <v/>
      </c>
      <c r="AO229">
        <f>IF(J228&lt;=0,0,ROUND(J228*(1+IF(AND(J$6&gt;0,$B229&lt;J$6),J$4,J$5)/12),2))</f>
        <v/>
      </c>
      <c r="AP229">
        <f>IF(K228&lt;=0,0,ROUND(K228*(1+IF(AND(K$6&gt;0,$B229&lt;K$6),K$4,K$5)/12),2))</f>
        <v/>
      </c>
      <c r="AQ229">
        <f>IF(L228&lt;=0,0,ROUND(L228*(1+IF(AND(L$6&gt;0,$B229&lt;L$6),L$4,L$5)/12),2))</f>
        <v/>
      </c>
      <c r="AR229">
        <f>IF(M228&lt;=0,0,ROUND(M228*(1+IF(AND(M$6&gt;0,$B229&lt;M$6),M$4,M$5)/12),2))</f>
        <v/>
      </c>
      <c r="AS229">
        <f>IF(N228&lt;=0,0,ROUND(N228*(1+IF(AND(N$6&gt;0,$B229&lt;N$6),N$4,N$5)/12),2))</f>
        <v/>
      </c>
    </row>
    <row r="230">
      <c r="A230" t="n">
        <v>219</v>
      </c>
      <c r="B230">
        <f>EDATE(Plan!$C$6,218)</f>
        <v/>
      </c>
      <c r="C230">
        <f>IF(C229&lt;=0,0,MAX(0,AH230-O230))</f>
        <v/>
      </c>
      <c r="D230">
        <f>IF(D229&lt;=0,0,MAX(0,AI230-P230))</f>
        <v/>
      </c>
      <c r="E230">
        <f>IF(E229&lt;=0,0,MAX(0,AJ230-Q230))</f>
        <v/>
      </c>
      <c r="F230">
        <f>IF(F229&lt;=0,0,MAX(0,AK230-R230))</f>
        <v/>
      </c>
      <c r="G230">
        <f>IF(G229&lt;=0,0,MAX(0,AL230-S230))</f>
        <v/>
      </c>
      <c r="H230">
        <f>IF(H229&lt;=0,0,MAX(0,AM230-T230))</f>
        <v/>
      </c>
      <c r="I230">
        <f>IF(I229&lt;=0,0,MAX(0,AN230-U230))</f>
        <v/>
      </c>
      <c r="J230">
        <f>IF(J229&lt;=0,0,MAX(0,AO230-V230))</f>
        <v/>
      </c>
      <c r="K230">
        <f>IF(K229&lt;=0,0,MAX(0,AP230-W230))</f>
        <v/>
      </c>
      <c r="L230">
        <f>IF(L229&lt;=0,0,MAX(0,AQ230-X230))</f>
        <v/>
      </c>
      <c r="M230">
        <f>IF(M229&lt;=0,0,MAX(0,AR230-Y230))</f>
        <v/>
      </c>
      <c r="N230">
        <f>IF(N229&lt;=0,0,MAX(0,AS230-Z230))</f>
        <v/>
      </c>
      <c r="O230">
        <f>IF(C229&lt;=0,0,MIN(AH230,C$7+IF(C$2=$AA230,$AC230,IF(C$2=$AF230,$AG230,0))))</f>
        <v/>
      </c>
      <c r="P230">
        <f>IF(D229&lt;=0,0,MIN(AI230,D$7+IF(D$2=$AA230,$AC230,IF(D$2=$AF230,$AG230,0))))</f>
        <v/>
      </c>
      <c r="Q230">
        <f>IF(E229&lt;=0,0,MIN(AJ230,E$7+IF(E$2=$AA230,$AC230,IF(E$2=$AF230,$AG230,0))))</f>
        <v/>
      </c>
      <c r="R230">
        <f>IF(F229&lt;=0,0,MIN(AK230,F$7+IF(F$2=$AA230,$AC230,IF(F$2=$AF230,$AG230,0))))</f>
        <v/>
      </c>
      <c r="S230">
        <f>IF(G229&lt;=0,0,MIN(AL230,G$7+IF(G$2=$AA230,$AC230,IF(G$2=$AF230,$AG230,0))))</f>
        <v/>
      </c>
      <c r="T230">
        <f>IF(H229&lt;=0,0,MIN(AM230,H$7+IF(H$2=$AA230,$AC230,IF(H$2=$AF230,$AG230,0))))</f>
        <v/>
      </c>
      <c r="U230">
        <f>IF(I229&lt;=0,0,MIN(AN230,I$7+IF(I$2=$AA230,$AC230,IF(I$2=$AF230,$AG230,0))))</f>
        <v/>
      </c>
      <c r="V230">
        <f>IF(J229&lt;=0,0,MIN(AO230,J$7+IF(J$2=$AA230,$AC230,IF(J$2=$AF230,$AG230,0))))</f>
        <v/>
      </c>
      <c r="W230">
        <f>IF(K229&lt;=0,0,MIN(AP230,K$7+IF(K$2=$AA230,$AC230,IF(K$2=$AF230,$AG230,0))))</f>
        <v/>
      </c>
      <c r="X230">
        <f>IF(L229&lt;=0,0,MIN(AQ230,L$7+IF(L$2=$AA230,$AC230,IF(L$2=$AF230,$AG230,0))))</f>
        <v/>
      </c>
      <c r="Y230">
        <f>IF(M229&lt;=0,0,MIN(AR230,M$7+IF(M$2=$AA230,$AC230,IF(M$2=$AF230,$AG230,0))))</f>
        <v/>
      </c>
      <c r="Z230">
        <f>IF(N229&lt;=0,0,MIN(AS230,N$7+IF(N$2=$AA230,$AC230,IF(N$2=$AF230,$AG230,0))))</f>
        <v/>
      </c>
      <c r="AA230">
        <f>IFERROR(ROUND(1/SUMPRODUCT(MAX((C229:N229&gt;0)*($C$3:$N$3&lt;=B230)/$C$2:$N$2)),0),0)</f>
        <v/>
      </c>
      <c r="AB230">
        <f>SUMPRODUCT((C229:N229&gt;0)*$C$7:$N$7)</f>
        <v/>
      </c>
      <c r="AC230">
        <f>MAX(0,Plan!$C$5-AB230)+IF(A230=Plan!$C$8,N(Plan!$C$7),0)</f>
        <v/>
      </c>
      <c r="AD230">
        <f>SUM(C230:N230)</f>
        <v/>
      </c>
      <c r="AE230">
        <f>SUM(O230:Z230)</f>
        <v/>
      </c>
      <c r="AF230">
        <f>IFERROR(ROUND(1/SUMPRODUCT(MAX((C229:N229&gt;0)*($C$3:$N$3&lt;=B230)*($C$2:$N$2&gt;AA230)/$C$2:$N$2)),0),0)</f>
        <v/>
      </c>
      <c r="AG230">
        <f>MAX(0,AC230-MAX(0,SUMPRODUCT(($C$2:$N$2=AA230)*(AH230:AS230-$C$7:$N$7))))</f>
        <v/>
      </c>
      <c r="AH230">
        <f>IF(C229&lt;=0,0,ROUND(C229*(1+IF(AND(C$6&gt;0,$B230&lt;C$6),C$4,C$5)/12),2))</f>
        <v/>
      </c>
      <c r="AI230">
        <f>IF(D229&lt;=0,0,ROUND(D229*(1+IF(AND(D$6&gt;0,$B230&lt;D$6),D$4,D$5)/12),2))</f>
        <v/>
      </c>
      <c r="AJ230">
        <f>IF(E229&lt;=0,0,ROUND(E229*(1+IF(AND(E$6&gt;0,$B230&lt;E$6),E$4,E$5)/12),2))</f>
        <v/>
      </c>
      <c r="AK230">
        <f>IF(F229&lt;=0,0,ROUND(F229*(1+IF(AND(F$6&gt;0,$B230&lt;F$6),F$4,F$5)/12),2))</f>
        <v/>
      </c>
      <c r="AL230">
        <f>IF(G229&lt;=0,0,ROUND(G229*(1+IF(AND(G$6&gt;0,$B230&lt;G$6),G$4,G$5)/12),2))</f>
        <v/>
      </c>
      <c r="AM230">
        <f>IF(H229&lt;=0,0,ROUND(H229*(1+IF(AND(H$6&gt;0,$B230&lt;H$6),H$4,H$5)/12),2))</f>
        <v/>
      </c>
      <c r="AN230">
        <f>IF(I229&lt;=0,0,ROUND(I229*(1+IF(AND(I$6&gt;0,$B230&lt;I$6),I$4,I$5)/12),2))</f>
        <v/>
      </c>
      <c r="AO230">
        <f>IF(J229&lt;=0,0,ROUND(J229*(1+IF(AND(J$6&gt;0,$B230&lt;J$6),J$4,J$5)/12),2))</f>
        <v/>
      </c>
      <c r="AP230">
        <f>IF(K229&lt;=0,0,ROUND(K229*(1+IF(AND(K$6&gt;0,$B230&lt;K$6),K$4,K$5)/12),2))</f>
        <v/>
      </c>
      <c r="AQ230">
        <f>IF(L229&lt;=0,0,ROUND(L229*(1+IF(AND(L$6&gt;0,$B230&lt;L$6),L$4,L$5)/12),2))</f>
        <v/>
      </c>
      <c r="AR230">
        <f>IF(M229&lt;=0,0,ROUND(M229*(1+IF(AND(M$6&gt;0,$B230&lt;M$6),M$4,M$5)/12),2))</f>
        <v/>
      </c>
      <c r="AS230">
        <f>IF(N229&lt;=0,0,ROUND(N229*(1+IF(AND(N$6&gt;0,$B230&lt;N$6),N$4,N$5)/12),2))</f>
        <v/>
      </c>
    </row>
    <row r="231">
      <c r="A231" t="n">
        <v>220</v>
      </c>
      <c r="B231">
        <f>EDATE(Plan!$C$6,219)</f>
        <v/>
      </c>
      <c r="C231">
        <f>IF(C230&lt;=0,0,MAX(0,AH231-O231))</f>
        <v/>
      </c>
      <c r="D231">
        <f>IF(D230&lt;=0,0,MAX(0,AI231-P231))</f>
        <v/>
      </c>
      <c r="E231">
        <f>IF(E230&lt;=0,0,MAX(0,AJ231-Q231))</f>
        <v/>
      </c>
      <c r="F231">
        <f>IF(F230&lt;=0,0,MAX(0,AK231-R231))</f>
        <v/>
      </c>
      <c r="G231">
        <f>IF(G230&lt;=0,0,MAX(0,AL231-S231))</f>
        <v/>
      </c>
      <c r="H231">
        <f>IF(H230&lt;=0,0,MAX(0,AM231-T231))</f>
        <v/>
      </c>
      <c r="I231">
        <f>IF(I230&lt;=0,0,MAX(0,AN231-U231))</f>
        <v/>
      </c>
      <c r="J231">
        <f>IF(J230&lt;=0,0,MAX(0,AO231-V231))</f>
        <v/>
      </c>
      <c r="K231">
        <f>IF(K230&lt;=0,0,MAX(0,AP231-W231))</f>
        <v/>
      </c>
      <c r="L231">
        <f>IF(L230&lt;=0,0,MAX(0,AQ231-X231))</f>
        <v/>
      </c>
      <c r="M231">
        <f>IF(M230&lt;=0,0,MAX(0,AR231-Y231))</f>
        <v/>
      </c>
      <c r="N231">
        <f>IF(N230&lt;=0,0,MAX(0,AS231-Z231))</f>
        <v/>
      </c>
      <c r="O231">
        <f>IF(C230&lt;=0,0,MIN(AH231,C$7+IF(C$2=$AA231,$AC231,IF(C$2=$AF231,$AG231,0))))</f>
        <v/>
      </c>
      <c r="P231">
        <f>IF(D230&lt;=0,0,MIN(AI231,D$7+IF(D$2=$AA231,$AC231,IF(D$2=$AF231,$AG231,0))))</f>
        <v/>
      </c>
      <c r="Q231">
        <f>IF(E230&lt;=0,0,MIN(AJ231,E$7+IF(E$2=$AA231,$AC231,IF(E$2=$AF231,$AG231,0))))</f>
        <v/>
      </c>
      <c r="R231">
        <f>IF(F230&lt;=0,0,MIN(AK231,F$7+IF(F$2=$AA231,$AC231,IF(F$2=$AF231,$AG231,0))))</f>
        <v/>
      </c>
      <c r="S231">
        <f>IF(G230&lt;=0,0,MIN(AL231,G$7+IF(G$2=$AA231,$AC231,IF(G$2=$AF231,$AG231,0))))</f>
        <v/>
      </c>
      <c r="T231">
        <f>IF(H230&lt;=0,0,MIN(AM231,H$7+IF(H$2=$AA231,$AC231,IF(H$2=$AF231,$AG231,0))))</f>
        <v/>
      </c>
      <c r="U231">
        <f>IF(I230&lt;=0,0,MIN(AN231,I$7+IF(I$2=$AA231,$AC231,IF(I$2=$AF231,$AG231,0))))</f>
        <v/>
      </c>
      <c r="V231">
        <f>IF(J230&lt;=0,0,MIN(AO231,J$7+IF(J$2=$AA231,$AC231,IF(J$2=$AF231,$AG231,0))))</f>
        <v/>
      </c>
      <c r="W231">
        <f>IF(K230&lt;=0,0,MIN(AP231,K$7+IF(K$2=$AA231,$AC231,IF(K$2=$AF231,$AG231,0))))</f>
        <v/>
      </c>
      <c r="X231">
        <f>IF(L230&lt;=0,0,MIN(AQ231,L$7+IF(L$2=$AA231,$AC231,IF(L$2=$AF231,$AG231,0))))</f>
        <v/>
      </c>
      <c r="Y231">
        <f>IF(M230&lt;=0,0,MIN(AR231,M$7+IF(M$2=$AA231,$AC231,IF(M$2=$AF231,$AG231,0))))</f>
        <v/>
      </c>
      <c r="Z231">
        <f>IF(N230&lt;=0,0,MIN(AS231,N$7+IF(N$2=$AA231,$AC231,IF(N$2=$AF231,$AG231,0))))</f>
        <v/>
      </c>
      <c r="AA231">
        <f>IFERROR(ROUND(1/SUMPRODUCT(MAX((C230:N230&gt;0)*($C$3:$N$3&lt;=B231)/$C$2:$N$2)),0),0)</f>
        <v/>
      </c>
      <c r="AB231">
        <f>SUMPRODUCT((C230:N230&gt;0)*$C$7:$N$7)</f>
        <v/>
      </c>
      <c r="AC231">
        <f>MAX(0,Plan!$C$5-AB231)+IF(A231=Plan!$C$8,N(Plan!$C$7),0)</f>
        <v/>
      </c>
      <c r="AD231">
        <f>SUM(C231:N231)</f>
        <v/>
      </c>
      <c r="AE231">
        <f>SUM(O231:Z231)</f>
        <v/>
      </c>
      <c r="AF231">
        <f>IFERROR(ROUND(1/SUMPRODUCT(MAX((C230:N230&gt;0)*($C$3:$N$3&lt;=B231)*($C$2:$N$2&gt;AA231)/$C$2:$N$2)),0),0)</f>
        <v/>
      </c>
      <c r="AG231">
        <f>MAX(0,AC231-MAX(0,SUMPRODUCT(($C$2:$N$2=AA231)*(AH231:AS231-$C$7:$N$7))))</f>
        <v/>
      </c>
      <c r="AH231">
        <f>IF(C230&lt;=0,0,ROUND(C230*(1+IF(AND(C$6&gt;0,$B231&lt;C$6),C$4,C$5)/12),2))</f>
        <v/>
      </c>
      <c r="AI231">
        <f>IF(D230&lt;=0,0,ROUND(D230*(1+IF(AND(D$6&gt;0,$B231&lt;D$6),D$4,D$5)/12),2))</f>
        <v/>
      </c>
      <c r="AJ231">
        <f>IF(E230&lt;=0,0,ROUND(E230*(1+IF(AND(E$6&gt;0,$B231&lt;E$6),E$4,E$5)/12),2))</f>
        <v/>
      </c>
      <c r="AK231">
        <f>IF(F230&lt;=0,0,ROUND(F230*(1+IF(AND(F$6&gt;0,$B231&lt;F$6),F$4,F$5)/12),2))</f>
        <v/>
      </c>
      <c r="AL231">
        <f>IF(G230&lt;=0,0,ROUND(G230*(1+IF(AND(G$6&gt;0,$B231&lt;G$6),G$4,G$5)/12),2))</f>
        <v/>
      </c>
      <c r="AM231">
        <f>IF(H230&lt;=0,0,ROUND(H230*(1+IF(AND(H$6&gt;0,$B231&lt;H$6),H$4,H$5)/12),2))</f>
        <v/>
      </c>
      <c r="AN231">
        <f>IF(I230&lt;=0,0,ROUND(I230*(1+IF(AND(I$6&gt;0,$B231&lt;I$6),I$4,I$5)/12),2))</f>
        <v/>
      </c>
      <c r="AO231">
        <f>IF(J230&lt;=0,0,ROUND(J230*(1+IF(AND(J$6&gt;0,$B231&lt;J$6),J$4,J$5)/12),2))</f>
        <v/>
      </c>
      <c r="AP231">
        <f>IF(K230&lt;=0,0,ROUND(K230*(1+IF(AND(K$6&gt;0,$B231&lt;K$6),K$4,K$5)/12),2))</f>
        <v/>
      </c>
      <c r="AQ231">
        <f>IF(L230&lt;=0,0,ROUND(L230*(1+IF(AND(L$6&gt;0,$B231&lt;L$6),L$4,L$5)/12),2))</f>
        <v/>
      </c>
      <c r="AR231">
        <f>IF(M230&lt;=0,0,ROUND(M230*(1+IF(AND(M$6&gt;0,$B231&lt;M$6),M$4,M$5)/12),2))</f>
        <v/>
      </c>
      <c r="AS231">
        <f>IF(N230&lt;=0,0,ROUND(N230*(1+IF(AND(N$6&gt;0,$B231&lt;N$6),N$4,N$5)/12),2))</f>
        <v/>
      </c>
    </row>
    <row r="232">
      <c r="A232" t="n">
        <v>221</v>
      </c>
      <c r="B232">
        <f>EDATE(Plan!$C$6,220)</f>
        <v/>
      </c>
      <c r="C232">
        <f>IF(C231&lt;=0,0,MAX(0,AH232-O232))</f>
        <v/>
      </c>
      <c r="D232">
        <f>IF(D231&lt;=0,0,MAX(0,AI232-P232))</f>
        <v/>
      </c>
      <c r="E232">
        <f>IF(E231&lt;=0,0,MAX(0,AJ232-Q232))</f>
        <v/>
      </c>
      <c r="F232">
        <f>IF(F231&lt;=0,0,MAX(0,AK232-R232))</f>
        <v/>
      </c>
      <c r="G232">
        <f>IF(G231&lt;=0,0,MAX(0,AL232-S232))</f>
        <v/>
      </c>
      <c r="H232">
        <f>IF(H231&lt;=0,0,MAX(0,AM232-T232))</f>
        <v/>
      </c>
      <c r="I232">
        <f>IF(I231&lt;=0,0,MAX(0,AN232-U232))</f>
        <v/>
      </c>
      <c r="J232">
        <f>IF(J231&lt;=0,0,MAX(0,AO232-V232))</f>
        <v/>
      </c>
      <c r="K232">
        <f>IF(K231&lt;=0,0,MAX(0,AP232-W232))</f>
        <v/>
      </c>
      <c r="L232">
        <f>IF(L231&lt;=0,0,MAX(0,AQ232-X232))</f>
        <v/>
      </c>
      <c r="M232">
        <f>IF(M231&lt;=0,0,MAX(0,AR232-Y232))</f>
        <v/>
      </c>
      <c r="N232">
        <f>IF(N231&lt;=0,0,MAX(0,AS232-Z232))</f>
        <v/>
      </c>
      <c r="O232">
        <f>IF(C231&lt;=0,0,MIN(AH232,C$7+IF(C$2=$AA232,$AC232,IF(C$2=$AF232,$AG232,0))))</f>
        <v/>
      </c>
      <c r="P232">
        <f>IF(D231&lt;=0,0,MIN(AI232,D$7+IF(D$2=$AA232,$AC232,IF(D$2=$AF232,$AG232,0))))</f>
        <v/>
      </c>
      <c r="Q232">
        <f>IF(E231&lt;=0,0,MIN(AJ232,E$7+IF(E$2=$AA232,$AC232,IF(E$2=$AF232,$AG232,0))))</f>
        <v/>
      </c>
      <c r="R232">
        <f>IF(F231&lt;=0,0,MIN(AK232,F$7+IF(F$2=$AA232,$AC232,IF(F$2=$AF232,$AG232,0))))</f>
        <v/>
      </c>
      <c r="S232">
        <f>IF(G231&lt;=0,0,MIN(AL232,G$7+IF(G$2=$AA232,$AC232,IF(G$2=$AF232,$AG232,0))))</f>
        <v/>
      </c>
      <c r="T232">
        <f>IF(H231&lt;=0,0,MIN(AM232,H$7+IF(H$2=$AA232,$AC232,IF(H$2=$AF232,$AG232,0))))</f>
        <v/>
      </c>
      <c r="U232">
        <f>IF(I231&lt;=0,0,MIN(AN232,I$7+IF(I$2=$AA232,$AC232,IF(I$2=$AF232,$AG232,0))))</f>
        <v/>
      </c>
      <c r="V232">
        <f>IF(J231&lt;=0,0,MIN(AO232,J$7+IF(J$2=$AA232,$AC232,IF(J$2=$AF232,$AG232,0))))</f>
        <v/>
      </c>
      <c r="W232">
        <f>IF(K231&lt;=0,0,MIN(AP232,K$7+IF(K$2=$AA232,$AC232,IF(K$2=$AF232,$AG232,0))))</f>
        <v/>
      </c>
      <c r="X232">
        <f>IF(L231&lt;=0,0,MIN(AQ232,L$7+IF(L$2=$AA232,$AC232,IF(L$2=$AF232,$AG232,0))))</f>
        <v/>
      </c>
      <c r="Y232">
        <f>IF(M231&lt;=0,0,MIN(AR232,M$7+IF(M$2=$AA232,$AC232,IF(M$2=$AF232,$AG232,0))))</f>
        <v/>
      </c>
      <c r="Z232">
        <f>IF(N231&lt;=0,0,MIN(AS232,N$7+IF(N$2=$AA232,$AC232,IF(N$2=$AF232,$AG232,0))))</f>
        <v/>
      </c>
      <c r="AA232">
        <f>IFERROR(ROUND(1/SUMPRODUCT(MAX((C231:N231&gt;0)*($C$3:$N$3&lt;=B232)/$C$2:$N$2)),0),0)</f>
        <v/>
      </c>
      <c r="AB232">
        <f>SUMPRODUCT((C231:N231&gt;0)*$C$7:$N$7)</f>
        <v/>
      </c>
      <c r="AC232">
        <f>MAX(0,Plan!$C$5-AB232)+IF(A232=Plan!$C$8,N(Plan!$C$7),0)</f>
        <v/>
      </c>
      <c r="AD232">
        <f>SUM(C232:N232)</f>
        <v/>
      </c>
      <c r="AE232">
        <f>SUM(O232:Z232)</f>
        <v/>
      </c>
      <c r="AF232">
        <f>IFERROR(ROUND(1/SUMPRODUCT(MAX((C231:N231&gt;0)*($C$3:$N$3&lt;=B232)*($C$2:$N$2&gt;AA232)/$C$2:$N$2)),0),0)</f>
        <v/>
      </c>
      <c r="AG232">
        <f>MAX(0,AC232-MAX(0,SUMPRODUCT(($C$2:$N$2=AA232)*(AH232:AS232-$C$7:$N$7))))</f>
        <v/>
      </c>
      <c r="AH232">
        <f>IF(C231&lt;=0,0,ROUND(C231*(1+IF(AND(C$6&gt;0,$B232&lt;C$6),C$4,C$5)/12),2))</f>
        <v/>
      </c>
      <c r="AI232">
        <f>IF(D231&lt;=0,0,ROUND(D231*(1+IF(AND(D$6&gt;0,$B232&lt;D$6),D$4,D$5)/12),2))</f>
        <v/>
      </c>
      <c r="AJ232">
        <f>IF(E231&lt;=0,0,ROUND(E231*(1+IF(AND(E$6&gt;0,$B232&lt;E$6),E$4,E$5)/12),2))</f>
        <v/>
      </c>
      <c r="AK232">
        <f>IF(F231&lt;=0,0,ROUND(F231*(1+IF(AND(F$6&gt;0,$B232&lt;F$6),F$4,F$5)/12),2))</f>
        <v/>
      </c>
      <c r="AL232">
        <f>IF(G231&lt;=0,0,ROUND(G231*(1+IF(AND(G$6&gt;0,$B232&lt;G$6),G$4,G$5)/12),2))</f>
        <v/>
      </c>
      <c r="AM232">
        <f>IF(H231&lt;=0,0,ROUND(H231*(1+IF(AND(H$6&gt;0,$B232&lt;H$6),H$4,H$5)/12),2))</f>
        <v/>
      </c>
      <c r="AN232">
        <f>IF(I231&lt;=0,0,ROUND(I231*(1+IF(AND(I$6&gt;0,$B232&lt;I$6),I$4,I$5)/12),2))</f>
        <v/>
      </c>
      <c r="AO232">
        <f>IF(J231&lt;=0,0,ROUND(J231*(1+IF(AND(J$6&gt;0,$B232&lt;J$6),J$4,J$5)/12),2))</f>
        <v/>
      </c>
      <c r="AP232">
        <f>IF(K231&lt;=0,0,ROUND(K231*(1+IF(AND(K$6&gt;0,$B232&lt;K$6),K$4,K$5)/12),2))</f>
        <v/>
      </c>
      <c r="AQ232">
        <f>IF(L231&lt;=0,0,ROUND(L231*(1+IF(AND(L$6&gt;0,$B232&lt;L$6),L$4,L$5)/12),2))</f>
        <v/>
      </c>
      <c r="AR232">
        <f>IF(M231&lt;=0,0,ROUND(M231*(1+IF(AND(M$6&gt;0,$B232&lt;M$6),M$4,M$5)/12),2))</f>
        <v/>
      </c>
      <c r="AS232">
        <f>IF(N231&lt;=0,0,ROUND(N231*(1+IF(AND(N$6&gt;0,$B232&lt;N$6),N$4,N$5)/12),2))</f>
        <v/>
      </c>
    </row>
    <row r="233">
      <c r="A233" t="n">
        <v>222</v>
      </c>
      <c r="B233">
        <f>EDATE(Plan!$C$6,221)</f>
        <v/>
      </c>
      <c r="C233">
        <f>IF(C232&lt;=0,0,MAX(0,AH233-O233))</f>
        <v/>
      </c>
      <c r="D233">
        <f>IF(D232&lt;=0,0,MAX(0,AI233-P233))</f>
        <v/>
      </c>
      <c r="E233">
        <f>IF(E232&lt;=0,0,MAX(0,AJ233-Q233))</f>
        <v/>
      </c>
      <c r="F233">
        <f>IF(F232&lt;=0,0,MAX(0,AK233-R233))</f>
        <v/>
      </c>
      <c r="G233">
        <f>IF(G232&lt;=0,0,MAX(0,AL233-S233))</f>
        <v/>
      </c>
      <c r="H233">
        <f>IF(H232&lt;=0,0,MAX(0,AM233-T233))</f>
        <v/>
      </c>
      <c r="I233">
        <f>IF(I232&lt;=0,0,MAX(0,AN233-U233))</f>
        <v/>
      </c>
      <c r="J233">
        <f>IF(J232&lt;=0,0,MAX(0,AO233-V233))</f>
        <v/>
      </c>
      <c r="K233">
        <f>IF(K232&lt;=0,0,MAX(0,AP233-W233))</f>
        <v/>
      </c>
      <c r="L233">
        <f>IF(L232&lt;=0,0,MAX(0,AQ233-X233))</f>
        <v/>
      </c>
      <c r="M233">
        <f>IF(M232&lt;=0,0,MAX(0,AR233-Y233))</f>
        <v/>
      </c>
      <c r="N233">
        <f>IF(N232&lt;=0,0,MAX(0,AS233-Z233))</f>
        <v/>
      </c>
      <c r="O233">
        <f>IF(C232&lt;=0,0,MIN(AH233,C$7+IF(C$2=$AA233,$AC233,IF(C$2=$AF233,$AG233,0))))</f>
        <v/>
      </c>
      <c r="P233">
        <f>IF(D232&lt;=0,0,MIN(AI233,D$7+IF(D$2=$AA233,$AC233,IF(D$2=$AF233,$AG233,0))))</f>
        <v/>
      </c>
      <c r="Q233">
        <f>IF(E232&lt;=0,0,MIN(AJ233,E$7+IF(E$2=$AA233,$AC233,IF(E$2=$AF233,$AG233,0))))</f>
        <v/>
      </c>
      <c r="R233">
        <f>IF(F232&lt;=0,0,MIN(AK233,F$7+IF(F$2=$AA233,$AC233,IF(F$2=$AF233,$AG233,0))))</f>
        <v/>
      </c>
      <c r="S233">
        <f>IF(G232&lt;=0,0,MIN(AL233,G$7+IF(G$2=$AA233,$AC233,IF(G$2=$AF233,$AG233,0))))</f>
        <v/>
      </c>
      <c r="T233">
        <f>IF(H232&lt;=0,0,MIN(AM233,H$7+IF(H$2=$AA233,$AC233,IF(H$2=$AF233,$AG233,0))))</f>
        <v/>
      </c>
      <c r="U233">
        <f>IF(I232&lt;=0,0,MIN(AN233,I$7+IF(I$2=$AA233,$AC233,IF(I$2=$AF233,$AG233,0))))</f>
        <v/>
      </c>
      <c r="V233">
        <f>IF(J232&lt;=0,0,MIN(AO233,J$7+IF(J$2=$AA233,$AC233,IF(J$2=$AF233,$AG233,0))))</f>
        <v/>
      </c>
      <c r="W233">
        <f>IF(K232&lt;=0,0,MIN(AP233,K$7+IF(K$2=$AA233,$AC233,IF(K$2=$AF233,$AG233,0))))</f>
        <v/>
      </c>
      <c r="X233">
        <f>IF(L232&lt;=0,0,MIN(AQ233,L$7+IF(L$2=$AA233,$AC233,IF(L$2=$AF233,$AG233,0))))</f>
        <v/>
      </c>
      <c r="Y233">
        <f>IF(M232&lt;=0,0,MIN(AR233,M$7+IF(M$2=$AA233,$AC233,IF(M$2=$AF233,$AG233,0))))</f>
        <v/>
      </c>
      <c r="Z233">
        <f>IF(N232&lt;=0,0,MIN(AS233,N$7+IF(N$2=$AA233,$AC233,IF(N$2=$AF233,$AG233,0))))</f>
        <v/>
      </c>
      <c r="AA233">
        <f>IFERROR(ROUND(1/SUMPRODUCT(MAX((C232:N232&gt;0)*($C$3:$N$3&lt;=B233)/$C$2:$N$2)),0),0)</f>
        <v/>
      </c>
      <c r="AB233">
        <f>SUMPRODUCT((C232:N232&gt;0)*$C$7:$N$7)</f>
        <v/>
      </c>
      <c r="AC233">
        <f>MAX(0,Plan!$C$5-AB233)+IF(A233=Plan!$C$8,N(Plan!$C$7),0)</f>
        <v/>
      </c>
      <c r="AD233">
        <f>SUM(C233:N233)</f>
        <v/>
      </c>
      <c r="AE233">
        <f>SUM(O233:Z233)</f>
        <v/>
      </c>
      <c r="AF233">
        <f>IFERROR(ROUND(1/SUMPRODUCT(MAX((C232:N232&gt;0)*($C$3:$N$3&lt;=B233)*($C$2:$N$2&gt;AA233)/$C$2:$N$2)),0),0)</f>
        <v/>
      </c>
      <c r="AG233">
        <f>MAX(0,AC233-MAX(0,SUMPRODUCT(($C$2:$N$2=AA233)*(AH233:AS233-$C$7:$N$7))))</f>
        <v/>
      </c>
      <c r="AH233">
        <f>IF(C232&lt;=0,0,ROUND(C232*(1+IF(AND(C$6&gt;0,$B233&lt;C$6),C$4,C$5)/12),2))</f>
        <v/>
      </c>
      <c r="AI233">
        <f>IF(D232&lt;=0,0,ROUND(D232*(1+IF(AND(D$6&gt;0,$B233&lt;D$6),D$4,D$5)/12),2))</f>
        <v/>
      </c>
      <c r="AJ233">
        <f>IF(E232&lt;=0,0,ROUND(E232*(1+IF(AND(E$6&gt;0,$B233&lt;E$6),E$4,E$5)/12),2))</f>
        <v/>
      </c>
      <c r="AK233">
        <f>IF(F232&lt;=0,0,ROUND(F232*(1+IF(AND(F$6&gt;0,$B233&lt;F$6),F$4,F$5)/12),2))</f>
        <v/>
      </c>
      <c r="AL233">
        <f>IF(G232&lt;=0,0,ROUND(G232*(1+IF(AND(G$6&gt;0,$B233&lt;G$6),G$4,G$5)/12),2))</f>
        <v/>
      </c>
      <c r="AM233">
        <f>IF(H232&lt;=0,0,ROUND(H232*(1+IF(AND(H$6&gt;0,$B233&lt;H$6),H$4,H$5)/12),2))</f>
        <v/>
      </c>
      <c r="AN233">
        <f>IF(I232&lt;=0,0,ROUND(I232*(1+IF(AND(I$6&gt;0,$B233&lt;I$6),I$4,I$5)/12),2))</f>
        <v/>
      </c>
      <c r="AO233">
        <f>IF(J232&lt;=0,0,ROUND(J232*(1+IF(AND(J$6&gt;0,$B233&lt;J$6),J$4,J$5)/12),2))</f>
        <v/>
      </c>
      <c r="AP233">
        <f>IF(K232&lt;=0,0,ROUND(K232*(1+IF(AND(K$6&gt;0,$B233&lt;K$6),K$4,K$5)/12),2))</f>
        <v/>
      </c>
      <c r="AQ233">
        <f>IF(L232&lt;=0,0,ROUND(L232*(1+IF(AND(L$6&gt;0,$B233&lt;L$6),L$4,L$5)/12),2))</f>
        <v/>
      </c>
      <c r="AR233">
        <f>IF(M232&lt;=0,0,ROUND(M232*(1+IF(AND(M$6&gt;0,$B233&lt;M$6),M$4,M$5)/12),2))</f>
        <v/>
      </c>
      <c r="AS233">
        <f>IF(N232&lt;=0,0,ROUND(N232*(1+IF(AND(N$6&gt;0,$B233&lt;N$6),N$4,N$5)/12),2))</f>
        <v/>
      </c>
    </row>
    <row r="234">
      <c r="A234" t="n">
        <v>223</v>
      </c>
      <c r="B234">
        <f>EDATE(Plan!$C$6,222)</f>
        <v/>
      </c>
      <c r="C234">
        <f>IF(C233&lt;=0,0,MAX(0,AH234-O234))</f>
        <v/>
      </c>
      <c r="D234">
        <f>IF(D233&lt;=0,0,MAX(0,AI234-P234))</f>
        <v/>
      </c>
      <c r="E234">
        <f>IF(E233&lt;=0,0,MAX(0,AJ234-Q234))</f>
        <v/>
      </c>
      <c r="F234">
        <f>IF(F233&lt;=0,0,MAX(0,AK234-R234))</f>
        <v/>
      </c>
      <c r="G234">
        <f>IF(G233&lt;=0,0,MAX(0,AL234-S234))</f>
        <v/>
      </c>
      <c r="H234">
        <f>IF(H233&lt;=0,0,MAX(0,AM234-T234))</f>
        <v/>
      </c>
      <c r="I234">
        <f>IF(I233&lt;=0,0,MAX(0,AN234-U234))</f>
        <v/>
      </c>
      <c r="J234">
        <f>IF(J233&lt;=0,0,MAX(0,AO234-V234))</f>
        <v/>
      </c>
      <c r="K234">
        <f>IF(K233&lt;=0,0,MAX(0,AP234-W234))</f>
        <v/>
      </c>
      <c r="L234">
        <f>IF(L233&lt;=0,0,MAX(0,AQ234-X234))</f>
        <v/>
      </c>
      <c r="M234">
        <f>IF(M233&lt;=0,0,MAX(0,AR234-Y234))</f>
        <v/>
      </c>
      <c r="N234">
        <f>IF(N233&lt;=0,0,MAX(0,AS234-Z234))</f>
        <v/>
      </c>
      <c r="O234">
        <f>IF(C233&lt;=0,0,MIN(AH234,C$7+IF(C$2=$AA234,$AC234,IF(C$2=$AF234,$AG234,0))))</f>
        <v/>
      </c>
      <c r="P234">
        <f>IF(D233&lt;=0,0,MIN(AI234,D$7+IF(D$2=$AA234,$AC234,IF(D$2=$AF234,$AG234,0))))</f>
        <v/>
      </c>
      <c r="Q234">
        <f>IF(E233&lt;=0,0,MIN(AJ234,E$7+IF(E$2=$AA234,$AC234,IF(E$2=$AF234,$AG234,0))))</f>
        <v/>
      </c>
      <c r="R234">
        <f>IF(F233&lt;=0,0,MIN(AK234,F$7+IF(F$2=$AA234,$AC234,IF(F$2=$AF234,$AG234,0))))</f>
        <v/>
      </c>
      <c r="S234">
        <f>IF(G233&lt;=0,0,MIN(AL234,G$7+IF(G$2=$AA234,$AC234,IF(G$2=$AF234,$AG234,0))))</f>
        <v/>
      </c>
      <c r="T234">
        <f>IF(H233&lt;=0,0,MIN(AM234,H$7+IF(H$2=$AA234,$AC234,IF(H$2=$AF234,$AG234,0))))</f>
        <v/>
      </c>
      <c r="U234">
        <f>IF(I233&lt;=0,0,MIN(AN234,I$7+IF(I$2=$AA234,$AC234,IF(I$2=$AF234,$AG234,0))))</f>
        <v/>
      </c>
      <c r="V234">
        <f>IF(J233&lt;=0,0,MIN(AO234,J$7+IF(J$2=$AA234,$AC234,IF(J$2=$AF234,$AG234,0))))</f>
        <v/>
      </c>
      <c r="W234">
        <f>IF(K233&lt;=0,0,MIN(AP234,K$7+IF(K$2=$AA234,$AC234,IF(K$2=$AF234,$AG234,0))))</f>
        <v/>
      </c>
      <c r="X234">
        <f>IF(L233&lt;=0,0,MIN(AQ234,L$7+IF(L$2=$AA234,$AC234,IF(L$2=$AF234,$AG234,0))))</f>
        <v/>
      </c>
      <c r="Y234">
        <f>IF(M233&lt;=0,0,MIN(AR234,M$7+IF(M$2=$AA234,$AC234,IF(M$2=$AF234,$AG234,0))))</f>
        <v/>
      </c>
      <c r="Z234">
        <f>IF(N233&lt;=0,0,MIN(AS234,N$7+IF(N$2=$AA234,$AC234,IF(N$2=$AF234,$AG234,0))))</f>
        <v/>
      </c>
      <c r="AA234">
        <f>IFERROR(ROUND(1/SUMPRODUCT(MAX((C233:N233&gt;0)*($C$3:$N$3&lt;=B234)/$C$2:$N$2)),0),0)</f>
        <v/>
      </c>
      <c r="AB234">
        <f>SUMPRODUCT((C233:N233&gt;0)*$C$7:$N$7)</f>
        <v/>
      </c>
      <c r="AC234">
        <f>MAX(0,Plan!$C$5-AB234)+IF(A234=Plan!$C$8,N(Plan!$C$7),0)</f>
        <v/>
      </c>
      <c r="AD234">
        <f>SUM(C234:N234)</f>
        <v/>
      </c>
      <c r="AE234">
        <f>SUM(O234:Z234)</f>
        <v/>
      </c>
      <c r="AF234">
        <f>IFERROR(ROUND(1/SUMPRODUCT(MAX((C233:N233&gt;0)*($C$3:$N$3&lt;=B234)*($C$2:$N$2&gt;AA234)/$C$2:$N$2)),0),0)</f>
        <v/>
      </c>
      <c r="AG234">
        <f>MAX(0,AC234-MAX(0,SUMPRODUCT(($C$2:$N$2=AA234)*(AH234:AS234-$C$7:$N$7))))</f>
        <v/>
      </c>
      <c r="AH234">
        <f>IF(C233&lt;=0,0,ROUND(C233*(1+IF(AND(C$6&gt;0,$B234&lt;C$6),C$4,C$5)/12),2))</f>
        <v/>
      </c>
      <c r="AI234">
        <f>IF(D233&lt;=0,0,ROUND(D233*(1+IF(AND(D$6&gt;0,$B234&lt;D$6),D$4,D$5)/12),2))</f>
        <v/>
      </c>
      <c r="AJ234">
        <f>IF(E233&lt;=0,0,ROUND(E233*(1+IF(AND(E$6&gt;0,$B234&lt;E$6),E$4,E$5)/12),2))</f>
        <v/>
      </c>
      <c r="AK234">
        <f>IF(F233&lt;=0,0,ROUND(F233*(1+IF(AND(F$6&gt;0,$B234&lt;F$6),F$4,F$5)/12),2))</f>
        <v/>
      </c>
      <c r="AL234">
        <f>IF(G233&lt;=0,0,ROUND(G233*(1+IF(AND(G$6&gt;0,$B234&lt;G$6),G$4,G$5)/12),2))</f>
        <v/>
      </c>
      <c r="AM234">
        <f>IF(H233&lt;=0,0,ROUND(H233*(1+IF(AND(H$6&gt;0,$B234&lt;H$6),H$4,H$5)/12),2))</f>
        <v/>
      </c>
      <c r="AN234">
        <f>IF(I233&lt;=0,0,ROUND(I233*(1+IF(AND(I$6&gt;0,$B234&lt;I$6),I$4,I$5)/12),2))</f>
        <v/>
      </c>
      <c r="AO234">
        <f>IF(J233&lt;=0,0,ROUND(J233*(1+IF(AND(J$6&gt;0,$B234&lt;J$6),J$4,J$5)/12),2))</f>
        <v/>
      </c>
      <c r="AP234">
        <f>IF(K233&lt;=0,0,ROUND(K233*(1+IF(AND(K$6&gt;0,$B234&lt;K$6),K$4,K$5)/12),2))</f>
        <v/>
      </c>
      <c r="AQ234">
        <f>IF(L233&lt;=0,0,ROUND(L233*(1+IF(AND(L$6&gt;0,$B234&lt;L$6),L$4,L$5)/12),2))</f>
        <v/>
      </c>
      <c r="AR234">
        <f>IF(M233&lt;=0,0,ROUND(M233*(1+IF(AND(M$6&gt;0,$B234&lt;M$6),M$4,M$5)/12),2))</f>
        <v/>
      </c>
      <c r="AS234">
        <f>IF(N233&lt;=0,0,ROUND(N233*(1+IF(AND(N$6&gt;0,$B234&lt;N$6),N$4,N$5)/12),2))</f>
        <v/>
      </c>
    </row>
    <row r="235">
      <c r="A235" t="n">
        <v>224</v>
      </c>
      <c r="B235">
        <f>EDATE(Plan!$C$6,223)</f>
        <v/>
      </c>
      <c r="C235">
        <f>IF(C234&lt;=0,0,MAX(0,AH235-O235))</f>
        <v/>
      </c>
      <c r="D235">
        <f>IF(D234&lt;=0,0,MAX(0,AI235-P235))</f>
        <v/>
      </c>
      <c r="E235">
        <f>IF(E234&lt;=0,0,MAX(0,AJ235-Q235))</f>
        <v/>
      </c>
      <c r="F235">
        <f>IF(F234&lt;=0,0,MAX(0,AK235-R235))</f>
        <v/>
      </c>
      <c r="G235">
        <f>IF(G234&lt;=0,0,MAX(0,AL235-S235))</f>
        <v/>
      </c>
      <c r="H235">
        <f>IF(H234&lt;=0,0,MAX(0,AM235-T235))</f>
        <v/>
      </c>
      <c r="I235">
        <f>IF(I234&lt;=0,0,MAX(0,AN235-U235))</f>
        <v/>
      </c>
      <c r="J235">
        <f>IF(J234&lt;=0,0,MAX(0,AO235-V235))</f>
        <v/>
      </c>
      <c r="K235">
        <f>IF(K234&lt;=0,0,MAX(0,AP235-W235))</f>
        <v/>
      </c>
      <c r="L235">
        <f>IF(L234&lt;=0,0,MAX(0,AQ235-X235))</f>
        <v/>
      </c>
      <c r="M235">
        <f>IF(M234&lt;=0,0,MAX(0,AR235-Y235))</f>
        <v/>
      </c>
      <c r="N235">
        <f>IF(N234&lt;=0,0,MAX(0,AS235-Z235))</f>
        <v/>
      </c>
      <c r="O235">
        <f>IF(C234&lt;=0,0,MIN(AH235,C$7+IF(C$2=$AA235,$AC235,IF(C$2=$AF235,$AG235,0))))</f>
        <v/>
      </c>
      <c r="P235">
        <f>IF(D234&lt;=0,0,MIN(AI235,D$7+IF(D$2=$AA235,$AC235,IF(D$2=$AF235,$AG235,0))))</f>
        <v/>
      </c>
      <c r="Q235">
        <f>IF(E234&lt;=0,0,MIN(AJ235,E$7+IF(E$2=$AA235,$AC235,IF(E$2=$AF235,$AG235,0))))</f>
        <v/>
      </c>
      <c r="R235">
        <f>IF(F234&lt;=0,0,MIN(AK235,F$7+IF(F$2=$AA235,$AC235,IF(F$2=$AF235,$AG235,0))))</f>
        <v/>
      </c>
      <c r="S235">
        <f>IF(G234&lt;=0,0,MIN(AL235,G$7+IF(G$2=$AA235,$AC235,IF(G$2=$AF235,$AG235,0))))</f>
        <v/>
      </c>
      <c r="T235">
        <f>IF(H234&lt;=0,0,MIN(AM235,H$7+IF(H$2=$AA235,$AC235,IF(H$2=$AF235,$AG235,0))))</f>
        <v/>
      </c>
      <c r="U235">
        <f>IF(I234&lt;=0,0,MIN(AN235,I$7+IF(I$2=$AA235,$AC235,IF(I$2=$AF235,$AG235,0))))</f>
        <v/>
      </c>
      <c r="V235">
        <f>IF(J234&lt;=0,0,MIN(AO235,J$7+IF(J$2=$AA235,$AC235,IF(J$2=$AF235,$AG235,0))))</f>
        <v/>
      </c>
      <c r="W235">
        <f>IF(K234&lt;=0,0,MIN(AP235,K$7+IF(K$2=$AA235,$AC235,IF(K$2=$AF235,$AG235,0))))</f>
        <v/>
      </c>
      <c r="X235">
        <f>IF(L234&lt;=0,0,MIN(AQ235,L$7+IF(L$2=$AA235,$AC235,IF(L$2=$AF235,$AG235,0))))</f>
        <v/>
      </c>
      <c r="Y235">
        <f>IF(M234&lt;=0,0,MIN(AR235,M$7+IF(M$2=$AA235,$AC235,IF(M$2=$AF235,$AG235,0))))</f>
        <v/>
      </c>
      <c r="Z235">
        <f>IF(N234&lt;=0,0,MIN(AS235,N$7+IF(N$2=$AA235,$AC235,IF(N$2=$AF235,$AG235,0))))</f>
        <v/>
      </c>
      <c r="AA235">
        <f>IFERROR(ROUND(1/SUMPRODUCT(MAX((C234:N234&gt;0)*($C$3:$N$3&lt;=B235)/$C$2:$N$2)),0),0)</f>
        <v/>
      </c>
      <c r="AB235">
        <f>SUMPRODUCT((C234:N234&gt;0)*$C$7:$N$7)</f>
        <v/>
      </c>
      <c r="AC235">
        <f>MAX(0,Plan!$C$5-AB235)+IF(A235=Plan!$C$8,N(Plan!$C$7),0)</f>
        <v/>
      </c>
      <c r="AD235">
        <f>SUM(C235:N235)</f>
        <v/>
      </c>
      <c r="AE235">
        <f>SUM(O235:Z235)</f>
        <v/>
      </c>
      <c r="AF235">
        <f>IFERROR(ROUND(1/SUMPRODUCT(MAX((C234:N234&gt;0)*($C$3:$N$3&lt;=B235)*($C$2:$N$2&gt;AA235)/$C$2:$N$2)),0),0)</f>
        <v/>
      </c>
      <c r="AG235">
        <f>MAX(0,AC235-MAX(0,SUMPRODUCT(($C$2:$N$2=AA235)*(AH235:AS235-$C$7:$N$7))))</f>
        <v/>
      </c>
      <c r="AH235">
        <f>IF(C234&lt;=0,0,ROUND(C234*(1+IF(AND(C$6&gt;0,$B235&lt;C$6),C$4,C$5)/12),2))</f>
        <v/>
      </c>
      <c r="AI235">
        <f>IF(D234&lt;=0,0,ROUND(D234*(1+IF(AND(D$6&gt;0,$B235&lt;D$6),D$4,D$5)/12),2))</f>
        <v/>
      </c>
      <c r="AJ235">
        <f>IF(E234&lt;=0,0,ROUND(E234*(1+IF(AND(E$6&gt;0,$B235&lt;E$6),E$4,E$5)/12),2))</f>
        <v/>
      </c>
      <c r="AK235">
        <f>IF(F234&lt;=0,0,ROUND(F234*(1+IF(AND(F$6&gt;0,$B235&lt;F$6),F$4,F$5)/12),2))</f>
        <v/>
      </c>
      <c r="AL235">
        <f>IF(G234&lt;=0,0,ROUND(G234*(1+IF(AND(G$6&gt;0,$B235&lt;G$6),G$4,G$5)/12),2))</f>
        <v/>
      </c>
      <c r="AM235">
        <f>IF(H234&lt;=0,0,ROUND(H234*(1+IF(AND(H$6&gt;0,$B235&lt;H$6),H$4,H$5)/12),2))</f>
        <v/>
      </c>
      <c r="AN235">
        <f>IF(I234&lt;=0,0,ROUND(I234*(1+IF(AND(I$6&gt;0,$B235&lt;I$6),I$4,I$5)/12),2))</f>
        <v/>
      </c>
      <c r="AO235">
        <f>IF(J234&lt;=0,0,ROUND(J234*(1+IF(AND(J$6&gt;0,$B235&lt;J$6),J$4,J$5)/12),2))</f>
        <v/>
      </c>
      <c r="AP235">
        <f>IF(K234&lt;=0,0,ROUND(K234*(1+IF(AND(K$6&gt;0,$B235&lt;K$6),K$4,K$5)/12),2))</f>
        <v/>
      </c>
      <c r="AQ235">
        <f>IF(L234&lt;=0,0,ROUND(L234*(1+IF(AND(L$6&gt;0,$B235&lt;L$6),L$4,L$5)/12),2))</f>
        <v/>
      </c>
      <c r="AR235">
        <f>IF(M234&lt;=0,0,ROUND(M234*(1+IF(AND(M$6&gt;0,$B235&lt;M$6),M$4,M$5)/12),2))</f>
        <v/>
      </c>
      <c r="AS235">
        <f>IF(N234&lt;=0,0,ROUND(N234*(1+IF(AND(N$6&gt;0,$B235&lt;N$6),N$4,N$5)/12),2))</f>
        <v/>
      </c>
    </row>
    <row r="236">
      <c r="A236" t="n">
        <v>225</v>
      </c>
      <c r="B236">
        <f>EDATE(Plan!$C$6,224)</f>
        <v/>
      </c>
      <c r="C236">
        <f>IF(C235&lt;=0,0,MAX(0,AH236-O236))</f>
        <v/>
      </c>
      <c r="D236">
        <f>IF(D235&lt;=0,0,MAX(0,AI236-P236))</f>
        <v/>
      </c>
      <c r="E236">
        <f>IF(E235&lt;=0,0,MAX(0,AJ236-Q236))</f>
        <v/>
      </c>
      <c r="F236">
        <f>IF(F235&lt;=0,0,MAX(0,AK236-R236))</f>
        <v/>
      </c>
      <c r="G236">
        <f>IF(G235&lt;=0,0,MAX(0,AL236-S236))</f>
        <v/>
      </c>
      <c r="H236">
        <f>IF(H235&lt;=0,0,MAX(0,AM236-T236))</f>
        <v/>
      </c>
      <c r="I236">
        <f>IF(I235&lt;=0,0,MAX(0,AN236-U236))</f>
        <v/>
      </c>
      <c r="J236">
        <f>IF(J235&lt;=0,0,MAX(0,AO236-V236))</f>
        <v/>
      </c>
      <c r="K236">
        <f>IF(K235&lt;=0,0,MAX(0,AP236-W236))</f>
        <v/>
      </c>
      <c r="L236">
        <f>IF(L235&lt;=0,0,MAX(0,AQ236-X236))</f>
        <v/>
      </c>
      <c r="M236">
        <f>IF(M235&lt;=0,0,MAX(0,AR236-Y236))</f>
        <v/>
      </c>
      <c r="N236">
        <f>IF(N235&lt;=0,0,MAX(0,AS236-Z236))</f>
        <v/>
      </c>
      <c r="O236">
        <f>IF(C235&lt;=0,0,MIN(AH236,C$7+IF(C$2=$AA236,$AC236,IF(C$2=$AF236,$AG236,0))))</f>
        <v/>
      </c>
      <c r="P236">
        <f>IF(D235&lt;=0,0,MIN(AI236,D$7+IF(D$2=$AA236,$AC236,IF(D$2=$AF236,$AG236,0))))</f>
        <v/>
      </c>
      <c r="Q236">
        <f>IF(E235&lt;=0,0,MIN(AJ236,E$7+IF(E$2=$AA236,$AC236,IF(E$2=$AF236,$AG236,0))))</f>
        <v/>
      </c>
      <c r="R236">
        <f>IF(F235&lt;=0,0,MIN(AK236,F$7+IF(F$2=$AA236,$AC236,IF(F$2=$AF236,$AG236,0))))</f>
        <v/>
      </c>
      <c r="S236">
        <f>IF(G235&lt;=0,0,MIN(AL236,G$7+IF(G$2=$AA236,$AC236,IF(G$2=$AF236,$AG236,0))))</f>
        <v/>
      </c>
      <c r="T236">
        <f>IF(H235&lt;=0,0,MIN(AM236,H$7+IF(H$2=$AA236,$AC236,IF(H$2=$AF236,$AG236,0))))</f>
        <v/>
      </c>
      <c r="U236">
        <f>IF(I235&lt;=0,0,MIN(AN236,I$7+IF(I$2=$AA236,$AC236,IF(I$2=$AF236,$AG236,0))))</f>
        <v/>
      </c>
      <c r="V236">
        <f>IF(J235&lt;=0,0,MIN(AO236,J$7+IF(J$2=$AA236,$AC236,IF(J$2=$AF236,$AG236,0))))</f>
        <v/>
      </c>
      <c r="W236">
        <f>IF(K235&lt;=0,0,MIN(AP236,K$7+IF(K$2=$AA236,$AC236,IF(K$2=$AF236,$AG236,0))))</f>
        <v/>
      </c>
      <c r="X236">
        <f>IF(L235&lt;=0,0,MIN(AQ236,L$7+IF(L$2=$AA236,$AC236,IF(L$2=$AF236,$AG236,0))))</f>
        <v/>
      </c>
      <c r="Y236">
        <f>IF(M235&lt;=0,0,MIN(AR236,M$7+IF(M$2=$AA236,$AC236,IF(M$2=$AF236,$AG236,0))))</f>
        <v/>
      </c>
      <c r="Z236">
        <f>IF(N235&lt;=0,0,MIN(AS236,N$7+IF(N$2=$AA236,$AC236,IF(N$2=$AF236,$AG236,0))))</f>
        <v/>
      </c>
      <c r="AA236">
        <f>IFERROR(ROUND(1/SUMPRODUCT(MAX((C235:N235&gt;0)*($C$3:$N$3&lt;=B236)/$C$2:$N$2)),0),0)</f>
        <v/>
      </c>
      <c r="AB236">
        <f>SUMPRODUCT((C235:N235&gt;0)*$C$7:$N$7)</f>
        <v/>
      </c>
      <c r="AC236">
        <f>MAX(0,Plan!$C$5-AB236)+IF(A236=Plan!$C$8,N(Plan!$C$7),0)</f>
        <v/>
      </c>
      <c r="AD236">
        <f>SUM(C236:N236)</f>
        <v/>
      </c>
      <c r="AE236">
        <f>SUM(O236:Z236)</f>
        <v/>
      </c>
      <c r="AF236">
        <f>IFERROR(ROUND(1/SUMPRODUCT(MAX((C235:N235&gt;0)*($C$3:$N$3&lt;=B236)*($C$2:$N$2&gt;AA236)/$C$2:$N$2)),0),0)</f>
        <v/>
      </c>
      <c r="AG236">
        <f>MAX(0,AC236-MAX(0,SUMPRODUCT(($C$2:$N$2=AA236)*(AH236:AS236-$C$7:$N$7))))</f>
        <v/>
      </c>
      <c r="AH236">
        <f>IF(C235&lt;=0,0,ROUND(C235*(1+IF(AND(C$6&gt;0,$B236&lt;C$6),C$4,C$5)/12),2))</f>
        <v/>
      </c>
      <c r="AI236">
        <f>IF(D235&lt;=0,0,ROUND(D235*(1+IF(AND(D$6&gt;0,$B236&lt;D$6),D$4,D$5)/12),2))</f>
        <v/>
      </c>
      <c r="AJ236">
        <f>IF(E235&lt;=0,0,ROUND(E235*(1+IF(AND(E$6&gt;0,$B236&lt;E$6),E$4,E$5)/12),2))</f>
        <v/>
      </c>
      <c r="AK236">
        <f>IF(F235&lt;=0,0,ROUND(F235*(1+IF(AND(F$6&gt;0,$B236&lt;F$6),F$4,F$5)/12),2))</f>
        <v/>
      </c>
      <c r="AL236">
        <f>IF(G235&lt;=0,0,ROUND(G235*(1+IF(AND(G$6&gt;0,$B236&lt;G$6),G$4,G$5)/12),2))</f>
        <v/>
      </c>
      <c r="AM236">
        <f>IF(H235&lt;=0,0,ROUND(H235*(1+IF(AND(H$6&gt;0,$B236&lt;H$6),H$4,H$5)/12),2))</f>
        <v/>
      </c>
      <c r="AN236">
        <f>IF(I235&lt;=0,0,ROUND(I235*(1+IF(AND(I$6&gt;0,$B236&lt;I$6),I$4,I$5)/12),2))</f>
        <v/>
      </c>
      <c r="AO236">
        <f>IF(J235&lt;=0,0,ROUND(J235*(1+IF(AND(J$6&gt;0,$B236&lt;J$6),J$4,J$5)/12),2))</f>
        <v/>
      </c>
      <c r="AP236">
        <f>IF(K235&lt;=0,0,ROUND(K235*(1+IF(AND(K$6&gt;0,$B236&lt;K$6),K$4,K$5)/12),2))</f>
        <v/>
      </c>
      <c r="AQ236">
        <f>IF(L235&lt;=0,0,ROUND(L235*(1+IF(AND(L$6&gt;0,$B236&lt;L$6),L$4,L$5)/12),2))</f>
        <v/>
      </c>
      <c r="AR236">
        <f>IF(M235&lt;=0,0,ROUND(M235*(1+IF(AND(M$6&gt;0,$B236&lt;M$6),M$4,M$5)/12),2))</f>
        <v/>
      </c>
      <c r="AS236">
        <f>IF(N235&lt;=0,0,ROUND(N235*(1+IF(AND(N$6&gt;0,$B236&lt;N$6),N$4,N$5)/12),2))</f>
        <v/>
      </c>
    </row>
    <row r="237">
      <c r="A237" t="n">
        <v>226</v>
      </c>
      <c r="B237">
        <f>EDATE(Plan!$C$6,225)</f>
        <v/>
      </c>
      <c r="C237">
        <f>IF(C236&lt;=0,0,MAX(0,AH237-O237))</f>
        <v/>
      </c>
      <c r="D237">
        <f>IF(D236&lt;=0,0,MAX(0,AI237-P237))</f>
        <v/>
      </c>
      <c r="E237">
        <f>IF(E236&lt;=0,0,MAX(0,AJ237-Q237))</f>
        <v/>
      </c>
      <c r="F237">
        <f>IF(F236&lt;=0,0,MAX(0,AK237-R237))</f>
        <v/>
      </c>
      <c r="G237">
        <f>IF(G236&lt;=0,0,MAX(0,AL237-S237))</f>
        <v/>
      </c>
      <c r="H237">
        <f>IF(H236&lt;=0,0,MAX(0,AM237-T237))</f>
        <v/>
      </c>
      <c r="I237">
        <f>IF(I236&lt;=0,0,MAX(0,AN237-U237))</f>
        <v/>
      </c>
      <c r="J237">
        <f>IF(J236&lt;=0,0,MAX(0,AO237-V237))</f>
        <v/>
      </c>
      <c r="K237">
        <f>IF(K236&lt;=0,0,MAX(0,AP237-W237))</f>
        <v/>
      </c>
      <c r="L237">
        <f>IF(L236&lt;=0,0,MAX(0,AQ237-X237))</f>
        <v/>
      </c>
      <c r="M237">
        <f>IF(M236&lt;=0,0,MAX(0,AR237-Y237))</f>
        <v/>
      </c>
      <c r="N237">
        <f>IF(N236&lt;=0,0,MAX(0,AS237-Z237))</f>
        <v/>
      </c>
      <c r="O237">
        <f>IF(C236&lt;=0,0,MIN(AH237,C$7+IF(C$2=$AA237,$AC237,IF(C$2=$AF237,$AG237,0))))</f>
        <v/>
      </c>
      <c r="P237">
        <f>IF(D236&lt;=0,0,MIN(AI237,D$7+IF(D$2=$AA237,$AC237,IF(D$2=$AF237,$AG237,0))))</f>
        <v/>
      </c>
      <c r="Q237">
        <f>IF(E236&lt;=0,0,MIN(AJ237,E$7+IF(E$2=$AA237,$AC237,IF(E$2=$AF237,$AG237,0))))</f>
        <v/>
      </c>
      <c r="R237">
        <f>IF(F236&lt;=0,0,MIN(AK237,F$7+IF(F$2=$AA237,$AC237,IF(F$2=$AF237,$AG237,0))))</f>
        <v/>
      </c>
      <c r="S237">
        <f>IF(G236&lt;=0,0,MIN(AL237,G$7+IF(G$2=$AA237,$AC237,IF(G$2=$AF237,$AG237,0))))</f>
        <v/>
      </c>
      <c r="T237">
        <f>IF(H236&lt;=0,0,MIN(AM237,H$7+IF(H$2=$AA237,$AC237,IF(H$2=$AF237,$AG237,0))))</f>
        <v/>
      </c>
      <c r="U237">
        <f>IF(I236&lt;=0,0,MIN(AN237,I$7+IF(I$2=$AA237,$AC237,IF(I$2=$AF237,$AG237,0))))</f>
        <v/>
      </c>
      <c r="V237">
        <f>IF(J236&lt;=0,0,MIN(AO237,J$7+IF(J$2=$AA237,$AC237,IF(J$2=$AF237,$AG237,0))))</f>
        <v/>
      </c>
      <c r="W237">
        <f>IF(K236&lt;=0,0,MIN(AP237,K$7+IF(K$2=$AA237,$AC237,IF(K$2=$AF237,$AG237,0))))</f>
        <v/>
      </c>
      <c r="X237">
        <f>IF(L236&lt;=0,0,MIN(AQ237,L$7+IF(L$2=$AA237,$AC237,IF(L$2=$AF237,$AG237,0))))</f>
        <v/>
      </c>
      <c r="Y237">
        <f>IF(M236&lt;=0,0,MIN(AR237,M$7+IF(M$2=$AA237,$AC237,IF(M$2=$AF237,$AG237,0))))</f>
        <v/>
      </c>
      <c r="Z237">
        <f>IF(N236&lt;=0,0,MIN(AS237,N$7+IF(N$2=$AA237,$AC237,IF(N$2=$AF237,$AG237,0))))</f>
        <v/>
      </c>
      <c r="AA237">
        <f>IFERROR(ROUND(1/SUMPRODUCT(MAX((C236:N236&gt;0)*($C$3:$N$3&lt;=B237)/$C$2:$N$2)),0),0)</f>
        <v/>
      </c>
      <c r="AB237">
        <f>SUMPRODUCT((C236:N236&gt;0)*$C$7:$N$7)</f>
        <v/>
      </c>
      <c r="AC237">
        <f>MAX(0,Plan!$C$5-AB237)+IF(A237=Plan!$C$8,N(Plan!$C$7),0)</f>
        <v/>
      </c>
      <c r="AD237">
        <f>SUM(C237:N237)</f>
        <v/>
      </c>
      <c r="AE237">
        <f>SUM(O237:Z237)</f>
        <v/>
      </c>
      <c r="AF237">
        <f>IFERROR(ROUND(1/SUMPRODUCT(MAX((C236:N236&gt;0)*($C$3:$N$3&lt;=B237)*($C$2:$N$2&gt;AA237)/$C$2:$N$2)),0),0)</f>
        <v/>
      </c>
      <c r="AG237">
        <f>MAX(0,AC237-MAX(0,SUMPRODUCT(($C$2:$N$2=AA237)*(AH237:AS237-$C$7:$N$7))))</f>
        <v/>
      </c>
      <c r="AH237">
        <f>IF(C236&lt;=0,0,ROUND(C236*(1+IF(AND(C$6&gt;0,$B237&lt;C$6),C$4,C$5)/12),2))</f>
        <v/>
      </c>
      <c r="AI237">
        <f>IF(D236&lt;=0,0,ROUND(D236*(1+IF(AND(D$6&gt;0,$B237&lt;D$6),D$4,D$5)/12),2))</f>
        <v/>
      </c>
      <c r="AJ237">
        <f>IF(E236&lt;=0,0,ROUND(E236*(1+IF(AND(E$6&gt;0,$B237&lt;E$6),E$4,E$5)/12),2))</f>
        <v/>
      </c>
      <c r="AK237">
        <f>IF(F236&lt;=0,0,ROUND(F236*(1+IF(AND(F$6&gt;0,$B237&lt;F$6),F$4,F$5)/12),2))</f>
        <v/>
      </c>
      <c r="AL237">
        <f>IF(G236&lt;=0,0,ROUND(G236*(1+IF(AND(G$6&gt;0,$B237&lt;G$6),G$4,G$5)/12),2))</f>
        <v/>
      </c>
      <c r="AM237">
        <f>IF(H236&lt;=0,0,ROUND(H236*(1+IF(AND(H$6&gt;0,$B237&lt;H$6),H$4,H$5)/12),2))</f>
        <v/>
      </c>
      <c r="AN237">
        <f>IF(I236&lt;=0,0,ROUND(I236*(1+IF(AND(I$6&gt;0,$B237&lt;I$6),I$4,I$5)/12),2))</f>
        <v/>
      </c>
      <c r="AO237">
        <f>IF(J236&lt;=0,0,ROUND(J236*(1+IF(AND(J$6&gt;0,$B237&lt;J$6),J$4,J$5)/12),2))</f>
        <v/>
      </c>
      <c r="AP237">
        <f>IF(K236&lt;=0,0,ROUND(K236*(1+IF(AND(K$6&gt;0,$B237&lt;K$6),K$4,K$5)/12),2))</f>
        <v/>
      </c>
      <c r="AQ237">
        <f>IF(L236&lt;=0,0,ROUND(L236*(1+IF(AND(L$6&gt;0,$B237&lt;L$6),L$4,L$5)/12),2))</f>
        <v/>
      </c>
      <c r="AR237">
        <f>IF(M236&lt;=0,0,ROUND(M236*(1+IF(AND(M$6&gt;0,$B237&lt;M$6),M$4,M$5)/12),2))</f>
        <v/>
      </c>
      <c r="AS237">
        <f>IF(N236&lt;=0,0,ROUND(N236*(1+IF(AND(N$6&gt;0,$B237&lt;N$6),N$4,N$5)/12),2))</f>
        <v/>
      </c>
    </row>
    <row r="238">
      <c r="A238" t="n">
        <v>227</v>
      </c>
      <c r="B238">
        <f>EDATE(Plan!$C$6,226)</f>
        <v/>
      </c>
      <c r="C238">
        <f>IF(C237&lt;=0,0,MAX(0,AH238-O238))</f>
        <v/>
      </c>
      <c r="D238">
        <f>IF(D237&lt;=0,0,MAX(0,AI238-P238))</f>
        <v/>
      </c>
      <c r="E238">
        <f>IF(E237&lt;=0,0,MAX(0,AJ238-Q238))</f>
        <v/>
      </c>
      <c r="F238">
        <f>IF(F237&lt;=0,0,MAX(0,AK238-R238))</f>
        <v/>
      </c>
      <c r="G238">
        <f>IF(G237&lt;=0,0,MAX(0,AL238-S238))</f>
        <v/>
      </c>
      <c r="H238">
        <f>IF(H237&lt;=0,0,MAX(0,AM238-T238))</f>
        <v/>
      </c>
      <c r="I238">
        <f>IF(I237&lt;=0,0,MAX(0,AN238-U238))</f>
        <v/>
      </c>
      <c r="J238">
        <f>IF(J237&lt;=0,0,MAX(0,AO238-V238))</f>
        <v/>
      </c>
      <c r="K238">
        <f>IF(K237&lt;=0,0,MAX(0,AP238-W238))</f>
        <v/>
      </c>
      <c r="L238">
        <f>IF(L237&lt;=0,0,MAX(0,AQ238-X238))</f>
        <v/>
      </c>
      <c r="M238">
        <f>IF(M237&lt;=0,0,MAX(0,AR238-Y238))</f>
        <v/>
      </c>
      <c r="N238">
        <f>IF(N237&lt;=0,0,MAX(0,AS238-Z238))</f>
        <v/>
      </c>
      <c r="O238">
        <f>IF(C237&lt;=0,0,MIN(AH238,C$7+IF(C$2=$AA238,$AC238,IF(C$2=$AF238,$AG238,0))))</f>
        <v/>
      </c>
      <c r="P238">
        <f>IF(D237&lt;=0,0,MIN(AI238,D$7+IF(D$2=$AA238,$AC238,IF(D$2=$AF238,$AG238,0))))</f>
        <v/>
      </c>
      <c r="Q238">
        <f>IF(E237&lt;=0,0,MIN(AJ238,E$7+IF(E$2=$AA238,$AC238,IF(E$2=$AF238,$AG238,0))))</f>
        <v/>
      </c>
      <c r="R238">
        <f>IF(F237&lt;=0,0,MIN(AK238,F$7+IF(F$2=$AA238,$AC238,IF(F$2=$AF238,$AG238,0))))</f>
        <v/>
      </c>
      <c r="S238">
        <f>IF(G237&lt;=0,0,MIN(AL238,G$7+IF(G$2=$AA238,$AC238,IF(G$2=$AF238,$AG238,0))))</f>
        <v/>
      </c>
      <c r="T238">
        <f>IF(H237&lt;=0,0,MIN(AM238,H$7+IF(H$2=$AA238,$AC238,IF(H$2=$AF238,$AG238,0))))</f>
        <v/>
      </c>
      <c r="U238">
        <f>IF(I237&lt;=0,0,MIN(AN238,I$7+IF(I$2=$AA238,$AC238,IF(I$2=$AF238,$AG238,0))))</f>
        <v/>
      </c>
      <c r="V238">
        <f>IF(J237&lt;=0,0,MIN(AO238,J$7+IF(J$2=$AA238,$AC238,IF(J$2=$AF238,$AG238,0))))</f>
        <v/>
      </c>
      <c r="W238">
        <f>IF(K237&lt;=0,0,MIN(AP238,K$7+IF(K$2=$AA238,$AC238,IF(K$2=$AF238,$AG238,0))))</f>
        <v/>
      </c>
      <c r="X238">
        <f>IF(L237&lt;=0,0,MIN(AQ238,L$7+IF(L$2=$AA238,$AC238,IF(L$2=$AF238,$AG238,0))))</f>
        <v/>
      </c>
      <c r="Y238">
        <f>IF(M237&lt;=0,0,MIN(AR238,M$7+IF(M$2=$AA238,$AC238,IF(M$2=$AF238,$AG238,0))))</f>
        <v/>
      </c>
      <c r="Z238">
        <f>IF(N237&lt;=0,0,MIN(AS238,N$7+IF(N$2=$AA238,$AC238,IF(N$2=$AF238,$AG238,0))))</f>
        <v/>
      </c>
      <c r="AA238">
        <f>IFERROR(ROUND(1/SUMPRODUCT(MAX((C237:N237&gt;0)*($C$3:$N$3&lt;=B238)/$C$2:$N$2)),0),0)</f>
        <v/>
      </c>
      <c r="AB238">
        <f>SUMPRODUCT((C237:N237&gt;0)*$C$7:$N$7)</f>
        <v/>
      </c>
      <c r="AC238">
        <f>MAX(0,Plan!$C$5-AB238)+IF(A238=Plan!$C$8,N(Plan!$C$7),0)</f>
        <v/>
      </c>
      <c r="AD238">
        <f>SUM(C238:N238)</f>
        <v/>
      </c>
      <c r="AE238">
        <f>SUM(O238:Z238)</f>
        <v/>
      </c>
      <c r="AF238">
        <f>IFERROR(ROUND(1/SUMPRODUCT(MAX((C237:N237&gt;0)*($C$3:$N$3&lt;=B238)*($C$2:$N$2&gt;AA238)/$C$2:$N$2)),0),0)</f>
        <v/>
      </c>
      <c r="AG238">
        <f>MAX(0,AC238-MAX(0,SUMPRODUCT(($C$2:$N$2=AA238)*(AH238:AS238-$C$7:$N$7))))</f>
        <v/>
      </c>
      <c r="AH238">
        <f>IF(C237&lt;=0,0,ROUND(C237*(1+IF(AND(C$6&gt;0,$B238&lt;C$6),C$4,C$5)/12),2))</f>
        <v/>
      </c>
      <c r="AI238">
        <f>IF(D237&lt;=0,0,ROUND(D237*(1+IF(AND(D$6&gt;0,$B238&lt;D$6),D$4,D$5)/12),2))</f>
        <v/>
      </c>
      <c r="AJ238">
        <f>IF(E237&lt;=0,0,ROUND(E237*(1+IF(AND(E$6&gt;0,$B238&lt;E$6),E$4,E$5)/12),2))</f>
        <v/>
      </c>
      <c r="AK238">
        <f>IF(F237&lt;=0,0,ROUND(F237*(1+IF(AND(F$6&gt;0,$B238&lt;F$6),F$4,F$5)/12),2))</f>
        <v/>
      </c>
      <c r="AL238">
        <f>IF(G237&lt;=0,0,ROUND(G237*(1+IF(AND(G$6&gt;0,$B238&lt;G$6),G$4,G$5)/12),2))</f>
        <v/>
      </c>
      <c r="AM238">
        <f>IF(H237&lt;=0,0,ROUND(H237*(1+IF(AND(H$6&gt;0,$B238&lt;H$6),H$4,H$5)/12),2))</f>
        <v/>
      </c>
      <c r="AN238">
        <f>IF(I237&lt;=0,0,ROUND(I237*(1+IF(AND(I$6&gt;0,$B238&lt;I$6),I$4,I$5)/12),2))</f>
        <v/>
      </c>
      <c r="AO238">
        <f>IF(J237&lt;=0,0,ROUND(J237*(1+IF(AND(J$6&gt;0,$B238&lt;J$6),J$4,J$5)/12),2))</f>
        <v/>
      </c>
      <c r="AP238">
        <f>IF(K237&lt;=0,0,ROUND(K237*(1+IF(AND(K$6&gt;0,$B238&lt;K$6),K$4,K$5)/12),2))</f>
        <v/>
      </c>
      <c r="AQ238">
        <f>IF(L237&lt;=0,0,ROUND(L237*(1+IF(AND(L$6&gt;0,$B238&lt;L$6),L$4,L$5)/12),2))</f>
        <v/>
      </c>
      <c r="AR238">
        <f>IF(M237&lt;=0,0,ROUND(M237*(1+IF(AND(M$6&gt;0,$B238&lt;M$6),M$4,M$5)/12),2))</f>
        <v/>
      </c>
      <c r="AS238">
        <f>IF(N237&lt;=0,0,ROUND(N237*(1+IF(AND(N$6&gt;0,$B238&lt;N$6),N$4,N$5)/12),2))</f>
        <v/>
      </c>
    </row>
    <row r="239">
      <c r="A239" t="n">
        <v>228</v>
      </c>
      <c r="B239">
        <f>EDATE(Plan!$C$6,227)</f>
        <v/>
      </c>
      <c r="C239">
        <f>IF(C238&lt;=0,0,MAX(0,AH239-O239))</f>
        <v/>
      </c>
      <c r="D239">
        <f>IF(D238&lt;=0,0,MAX(0,AI239-P239))</f>
        <v/>
      </c>
      <c r="E239">
        <f>IF(E238&lt;=0,0,MAX(0,AJ239-Q239))</f>
        <v/>
      </c>
      <c r="F239">
        <f>IF(F238&lt;=0,0,MAX(0,AK239-R239))</f>
        <v/>
      </c>
      <c r="G239">
        <f>IF(G238&lt;=0,0,MAX(0,AL239-S239))</f>
        <v/>
      </c>
      <c r="H239">
        <f>IF(H238&lt;=0,0,MAX(0,AM239-T239))</f>
        <v/>
      </c>
      <c r="I239">
        <f>IF(I238&lt;=0,0,MAX(0,AN239-U239))</f>
        <v/>
      </c>
      <c r="J239">
        <f>IF(J238&lt;=0,0,MAX(0,AO239-V239))</f>
        <v/>
      </c>
      <c r="K239">
        <f>IF(K238&lt;=0,0,MAX(0,AP239-W239))</f>
        <v/>
      </c>
      <c r="L239">
        <f>IF(L238&lt;=0,0,MAX(0,AQ239-X239))</f>
        <v/>
      </c>
      <c r="M239">
        <f>IF(M238&lt;=0,0,MAX(0,AR239-Y239))</f>
        <v/>
      </c>
      <c r="N239">
        <f>IF(N238&lt;=0,0,MAX(0,AS239-Z239))</f>
        <v/>
      </c>
      <c r="O239">
        <f>IF(C238&lt;=0,0,MIN(AH239,C$7+IF(C$2=$AA239,$AC239,IF(C$2=$AF239,$AG239,0))))</f>
        <v/>
      </c>
      <c r="P239">
        <f>IF(D238&lt;=0,0,MIN(AI239,D$7+IF(D$2=$AA239,$AC239,IF(D$2=$AF239,$AG239,0))))</f>
        <v/>
      </c>
      <c r="Q239">
        <f>IF(E238&lt;=0,0,MIN(AJ239,E$7+IF(E$2=$AA239,$AC239,IF(E$2=$AF239,$AG239,0))))</f>
        <v/>
      </c>
      <c r="R239">
        <f>IF(F238&lt;=0,0,MIN(AK239,F$7+IF(F$2=$AA239,$AC239,IF(F$2=$AF239,$AG239,0))))</f>
        <v/>
      </c>
      <c r="S239">
        <f>IF(G238&lt;=0,0,MIN(AL239,G$7+IF(G$2=$AA239,$AC239,IF(G$2=$AF239,$AG239,0))))</f>
        <v/>
      </c>
      <c r="T239">
        <f>IF(H238&lt;=0,0,MIN(AM239,H$7+IF(H$2=$AA239,$AC239,IF(H$2=$AF239,$AG239,0))))</f>
        <v/>
      </c>
      <c r="U239">
        <f>IF(I238&lt;=0,0,MIN(AN239,I$7+IF(I$2=$AA239,$AC239,IF(I$2=$AF239,$AG239,0))))</f>
        <v/>
      </c>
      <c r="V239">
        <f>IF(J238&lt;=0,0,MIN(AO239,J$7+IF(J$2=$AA239,$AC239,IF(J$2=$AF239,$AG239,0))))</f>
        <v/>
      </c>
      <c r="W239">
        <f>IF(K238&lt;=0,0,MIN(AP239,K$7+IF(K$2=$AA239,$AC239,IF(K$2=$AF239,$AG239,0))))</f>
        <v/>
      </c>
      <c r="X239">
        <f>IF(L238&lt;=0,0,MIN(AQ239,L$7+IF(L$2=$AA239,$AC239,IF(L$2=$AF239,$AG239,0))))</f>
        <v/>
      </c>
      <c r="Y239">
        <f>IF(M238&lt;=0,0,MIN(AR239,M$7+IF(M$2=$AA239,$AC239,IF(M$2=$AF239,$AG239,0))))</f>
        <v/>
      </c>
      <c r="Z239">
        <f>IF(N238&lt;=0,0,MIN(AS239,N$7+IF(N$2=$AA239,$AC239,IF(N$2=$AF239,$AG239,0))))</f>
        <v/>
      </c>
      <c r="AA239">
        <f>IFERROR(ROUND(1/SUMPRODUCT(MAX((C238:N238&gt;0)*($C$3:$N$3&lt;=B239)/$C$2:$N$2)),0),0)</f>
        <v/>
      </c>
      <c r="AB239">
        <f>SUMPRODUCT((C238:N238&gt;0)*$C$7:$N$7)</f>
        <v/>
      </c>
      <c r="AC239">
        <f>MAX(0,Plan!$C$5-AB239)+IF(A239=Plan!$C$8,N(Plan!$C$7),0)</f>
        <v/>
      </c>
      <c r="AD239">
        <f>SUM(C239:N239)</f>
        <v/>
      </c>
      <c r="AE239">
        <f>SUM(O239:Z239)</f>
        <v/>
      </c>
      <c r="AF239">
        <f>IFERROR(ROUND(1/SUMPRODUCT(MAX((C238:N238&gt;0)*($C$3:$N$3&lt;=B239)*($C$2:$N$2&gt;AA239)/$C$2:$N$2)),0),0)</f>
        <v/>
      </c>
      <c r="AG239">
        <f>MAX(0,AC239-MAX(0,SUMPRODUCT(($C$2:$N$2=AA239)*(AH239:AS239-$C$7:$N$7))))</f>
        <v/>
      </c>
      <c r="AH239">
        <f>IF(C238&lt;=0,0,ROUND(C238*(1+IF(AND(C$6&gt;0,$B239&lt;C$6),C$4,C$5)/12),2))</f>
        <v/>
      </c>
      <c r="AI239">
        <f>IF(D238&lt;=0,0,ROUND(D238*(1+IF(AND(D$6&gt;0,$B239&lt;D$6),D$4,D$5)/12),2))</f>
        <v/>
      </c>
      <c r="AJ239">
        <f>IF(E238&lt;=0,0,ROUND(E238*(1+IF(AND(E$6&gt;0,$B239&lt;E$6),E$4,E$5)/12),2))</f>
        <v/>
      </c>
      <c r="AK239">
        <f>IF(F238&lt;=0,0,ROUND(F238*(1+IF(AND(F$6&gt;0,$B239&lt;F$6),F$4,F$5)/12),2))</f>
        <v/>
      </c>
      <c r="AL239">
        <f>IF(G238&lt;=0,0,ROUND(G238*(1+IF(AND(G$6&gt;0,$B239&lt;G$6),G$4,G$5)/12),2))</f>
        <v/>
      </c>
      <c r="AM239">
        <f>IF(H238&lt;=0,0,ROUND(H238*(1+IF(AND(H$6&gt;0,$B239&lt;H$6),H$4,H$5)/12),2))</f>
        <v/>
      </c>
      <c r="AN239">
        <f>IF(I238&lt;=0,0,ROUND(I238*(1+IF(AND(I$6&gt;0,$B239&lt;I$6),I$4,I$5)/12),2))</f>
        <v/>
      </c>
      <c r="AO239">
        <f>IF(J238&lt;=0,0,ROUND(J238*(1+IF(AND(J$6&gt;0,$B239&lt;J$6),J$4,J$5)/12),2))</f>
        <v/>
      </c>
      <c r="AP239">
        <f>IF(K238&lt;=0,0,ROUND(K238*(1+IF(AND(K$6&gt;0,$B239&lt;K$6),K$4,K$5)/12),2))</f>
        <v/>
      </c>
      <c r="AQ239">
        <f>IF(L238&lt;=0,0,ROUND(L238*(1+IF(AND(L$6&gt;0,$B239&lt;L$6),L$4,L$5)/12),2))</f>
        <v/>
      </c>
      <c r="AR239">
        <f>IF(M238&lt;=0,0,ROUND(M238*(1+IF(AND(M$6&gt;0,$B239&lt;M$6),M$4,M$5)/12),2))</f>
        <v/>
      </c>
      <c r="AS239">
        <f>IF(N238&lt;=0,0,ROUND(N238*(1+IF(AND(N$6&gt;0,$B239&lt;N$6),N$4,N$5)/12),2))</f>
        <v/>
      </c>
    </row>
    <row r="240">
      <c r="A240" t="n">
        <v>229</v>
      </c>
      <c r="B240">
        <f>EDATE(Plan!$C$6,228)</f>
        <v/>
      </c>
      <c r="C240">
        <f>IF(C239&lt;=0,0,MAX(0,AH240-O240))</f>
        <v/>
      </c>
      <c r="D240">
        <f>IF(D239&lt;=0,0,MAX(0,AI240-P240))</f>
        <v/>
      </c>
      <c r="E240">
        <f>IF(E239&lt;=0,0,MAX(0,AJ240-Q240))</f>
        <v/>
      </c>
      <c r="F240">
        <f>IF(F239&lt;=0,0,MAX(0,AK240-R240))</f>
        <v/>
      </c>
      <c r="G240">
        <f>IF(G239&lt;=0,0,MAX(0,AL240-S240))</f>
        <v/>
      </c>
      <c r="H240">
        <f>IF(H239&lt;=0,0,MAX(0,AM240-T240))</f>
        <v/>
      </c>
      <c r="I240">
        <f>IF(I239&lt;=0,0,MAX(0,AN240-U240))</f>
        <v/>
      </c>
      <c r="J240">
        <f>IF(J239&lt;=0,0,MAX(0,AO240-V240))</f>
        <v/>
      </c>
      <c r="K240">
        <f>IF(K239&lt;=0,0,MAX(0,AP240-W240))</f>
        <v/>
      </c>
      <c r="L240">
        <f>IF(L239&lt;=0,0,MAX(0,AQ240-X240))</f>
        <v/>
      </c>
      <c r="M240">
        <f>IF(M239&lt;=0,0,MAX(0,AR240-Y240))</f>
        <v/>
      </c>
      <c r="N240">
        <f>IF(N239&lt;=0,0,MAX(0,AS240-Z240))</f>
        <v/>
      </c>
      <c r="O240">
        <f>IF(C239&lt;=0,0,MIN(AH240,C$7+IF(C$2=$AA240,$AC240,IF(C$2=$AF240,$AG240,0))))</f>
        <v/>
      </c>
      <c r="P240">
        <f>IF(D239&lt;=0,0,MIN(AI240,D$7+IF(D$2=$AA240,$AC240,IF(D$2=$AF240,$AG240,0))))</f>
        <v/>
      </c>
      <c r="Q240">
        <f>IF(E239&lt;=0,0,MIN(AJ240,E$7+IF(E$2=$AA240,$AC240,IF(E$2=$AF240,$AG240,0))))</f>
        <v/>
      </c>
      <c r="R240">
        <f>IF(F239&lt;=0,0,MIN(AK240,F$7+IF(F$2=$AA240,$AC240,IF(F$2=$AF240,$AG240,0))))</f>
        <v/>
      </c>
      <c r="S240">
        <f>IF(G239&lt;=0,0,MIN(AL240,G$7+IF(G$2=$AA240,$AC240,IF(G$2=$AF240,$AG240,0))))</f>
        <v/>
      </c>
      <c r="T240">
        <f>IF(H239&lt;=0,0,MIN(AM240,H$7+IF(H$2=$AA240,$AC240,IF(H$2=$AF240,$AG240,0))))</f>
        <v/>
      </c>
      <c r="U240">
        <f>IF(I239&lt;=0,0,MIN(AN240,I$7+IF(I$2=$AA240,$AC240,IF(I$2=$AF240,$AG240,0))))</f>
        <v/>
      </c>
      <c r="V240">
        <f>IF(J239&lt;=0,0,MIN(AO240,J$7+IF(J$2=$AA240,$AC240,IF(J$2=$AF240,$AG240,0))))</f>
        <v/>
      </c>
      <c r="W240">
        <f>IF(K239&lt;=0,0,MIN(AP240,K$7+IF(K$2=$AA240,$AC240,IF(K$2=$AF240,$AG240,0))))</f>
        <v/>
      </c>
      <c r="X240">
        <f>IF(L239&lt;=0,0,MIN(AQ240,L$7+IF(L$2=$AA240,$AC240,IF(L$2=$AF240,$AG240,0))))</f>
        <v/>
      </c>
      <c r="Y240">
        <f>IF(M239&lt;=0,0,MIN(AR240,M$7+IF(M$2=$AA240,$AC240,IF(M$2=$AF240,$AG240,0))))</f>
        <v/>
      </c>
      <c r="Z240">
        <f>IF(N239&lt;=0,0,MIN(AS240,N$7+IF(N$2=$AA240,$AC240,IF(N$2=$AF240,$AG240,0))))</f>
        <v/>
      </c>
      <c r="AA240">
        <f>IFERROR(ROUND(1/SUMPRODUCT(MAX((C239:N239&gt;0)*($C$3:$N$3&lt;=B240)/$C$2:$N$2)),0),0)</f>
        <v/>
      </c>
      <c r="AB240">
        <f>SUMPRODUCT((C239:N239&gt;0)*$C$7:$N$7)</f>
        <v/>
      </c>
      <c r="AC240">
        <f>MAX(0,Plan!$C$5-AB240)+IF(A240=Plan!$C$8,N(Plan!$C$7),0)</f>
        <v/>
      </c>
      <c r="AD240">
        <f>SUM(C240:N240)</f>
        <v/>
      </c>
      <c r="AE240">
        <f>SUM(O240:Z240)</f>
        <v/>
      </c>
      <c r="AF240">
        <f>IFERROR(ROUND(1/SUMPRODUCT(MAX((C239:N239&gt;0)*($C$3:$N$3&lt;=B240)*($C$2:$N$2&gt;AA240)/$C$2:$N$2)),0),0)</f>
        <v/>
      </c>
      <c r="AG240">
        <f>MAX(0,AC240-MAX(0,SUMPRODUCT(($C$2:$N$2=AA240)*(AH240:AS240-$C$7:$N$7))))</f>
        <v/>
      </c>
      <c r="AH240">
        <f>IF(C239&lt;=0,0,ROUND(C239*(1+IF(AND(C$6&gt;0,$B240&lt;C$6),C$4,C$5)/12),2))</f>
        <v/>
      </c>
      <c r="AI240">
        <f>IF(D239&lt;=0,0,ROUND(D239*(1+IF(AND(D$6&gt;0,$B240&lt;D$6),D$4,D$5)/12),2))</f>
        <v/>
      </c>
      <c r="AJ240">
        <f>IF(E239&lt;=0,0,ROUND(E239*(1+IF(AND(E$6&gt;0,$B240&lt;E$6),E$4,E$5)/12),2))</f>
        <v/>
      </c>
      <c r="AK240">
        <f>IF(F239&lt;=0,0,ROUND(F239*(1+IF(AND(F$6&gt;0,$B240&lt;F$6),F$4,F$5)/12),2))</f>
        <v/>
      </c>
      <c r="AL240">
        <f>IF(G239&lt;=0,0,ROUND(G239*(1+IF(AND(G$6&gt;0,$B240&lt;G$6),G$4,G$5)/12),2))</f>
        <v/>
      </c>
      <c r="AM240">
        <f>IF(H239&lt;=0,0,ROUND(H239*(1+IF(AND(H$6&gt;0,$B240&lt;H$6),H$4,H$5)/12),2))</f>
        <v/>
      </c>
      <c r="AN240">
        <f>IF(I239&lt;=0,0,ROUND(I239*(1+IF(AND(I$6&gt;0,$B240&lt;I$6),I$4,I$5)/12),2))</f>
        <v/>
      </c>
      <c r="AO240">
        <f>IF(J239&lt;=0,0,ROUND(J239*(1+IF(AND(J$6&gt;0,$B240&lt;J$6),J$4,J$5)/12),2))</f>
        <v/>
      </c>
      <c r="AP240">
        <f>IF(K239&lt;=0,0,ROUND(K239*(1+IF(AND(K$6&gt;0,$B240&lt;K$6),K$4,K$5)/12),2))</f>
        <v/>
      </c>
      <c r="AQ240">
        <f>IF(L239&lt;=0,0,ROUND(L239*(1+IF(AND(L$6&gt;0,$B240&lt;L$6),L$4,L$5)/12),2))</f>
        <v/>
      </c>
      <c r="AR240">
        <f>IF(M239&lt;=0,0,ROUND(M239*(1+IF(AND(M$6&gt;0,$B240&lt;M$6),M$4,M$5)/12),2))</f>
        <v/>
      </c>
      <c r="AS240">
        <f>IF(N239&lt;=0,0,ROUND(N239*(1+IF(AND(N$6&gt;0,$B240&lt;N$6),N$4,N$5)/12),2))</f>
        <v/>
      </c>
    </row>
    <row r="241">
      <c r="A241" t="n">
        <v>230</v>
      </c>
      <c r="B241">
        <f>EDATE(Plan!$C$6,229)</f>
        <v/>
      </c>
      <c r="C241">
        <f>IF(C240&lt;=0,0,MAX(0,AH241-O241))</f>
        <v/>
      </c>
      <c r="D241">
        <f>IF(D240&lt;=0,0,MAX(0,AI241-P241))</f>
        <v/>
      </c>
      <c r="E241">
        <f>IF(E240&lt;=0,0,MAX(0,AJ241-Q241))</f>
        <v/>
      </c>
      <c r="F241">
        <f>IF(F240&lt;=0,0,MAX(0,AK241-R241))</f>
        <v/>
      </c>
      <c r="G241">
        <f>IF(G240&lt;=0,0,MAX(0,AL241-S241))</f>
        <v/>
      </c>
      <c r="H241">
        <f>IF(H240&lt;=0,0,MAX(0,AM241-T241))</f>
        <v/>
      </c>
      <c r="I241">
        <f>IF(I240&lt;=0,0,MAX(0,AN241-U241))</f>
        <v/>
      </c>
      <c r="J241">
        <f>IF(J240&lt;=0,0,MAX(0,AO241-V241))</f>
        <v/>
      </c>
      <c r="K241">
        <f>IF(K240&lt;=0,0,MAX(0,AP241-W241))</f>
        <v/>
      </c>
      <c r="L241">
        <f>IF(L240&lt;=0,0,MAX(0,AQ241-X241))</f>
        <v/>
      </c>
      <c r="M241">
        <f>IF(M240&lt;=0,0,MAX(0,AR241-Y241))</f>
        <v/>
      </c>
      <c r="N241">
        <f>IF(N240&lt;=0,0,MAX(0,AS241-Z241))</f>
        <v/>
      </c>
      <c r="O241">
        <f>IF(C240&lt;=0,0,MIN(AH241,C$7+IF(C$2=$AA241,$AC241,IF(C$2=$AF241,$AG241,0))))</f>
        <v/>
      </c>
      <c r="P241">
        <f>IF(D240&lt;=0,0,MIN(AI241,D$7+IF(D$2=$AA241,$AC241,IF(D$2=$AF241,$AG241,0))))</f>
        <v/>
      </c>
      <c r="Q241">
        <f>IF(E240&lt;=0,0,MIN(AJ241,E$7+IF(E$2=$AA241,$AC241,IF(E$2=$AF241,$AG241,0))))</f>
        <v/>
      </c>
      <c r="R241">
        <f>IF(F240&lt;=0,0,MIN(AK241,F$7+IF(F$2=$AA241,$AC241,IF(F$2=$AF241,$AG241,0))))</f>
        <v/>
      </c>
      <c r="S241">
        <f>IF(G240&lt;=0,0,MIN(AL241,G$7+IF(G$2=$AA241,$AC241,IF(G$2=$AF241,$AG241,0))))</f>
        <v/>
      </c>
      <c r="T241">
        <f>IF(H240&lt;=0,0,MIN(AM241,H$7+IF(H$2=$AA241,$AC241,IF(H$2=$AF241,$AG241,0))))</f>
        <v/>
      </c>
      <c r="U241">
        <f>IF(I240&lt;=0,0,MIN(AN241,I$7+IF(I$2=$AA241,$AC241,IF(I$2=$AF241,$AG241,0))))</f>
        <v/>
      </c>
      <c r="V241">
        <f>IF(J240&lt;=0,0,MIN(AO241,J$7+IF(J$2=$AA241,$AC241,IF(J$2=$AF241,$AG241,0))))</f>
        <v/>
      </c>
      <c r="W241">
        <f>IF(K240&lt;=0,0,MIN(AP241,K$7+IF(K$2=$AA241,$AC241,IF(K$2=$AF241,$AG241,0))))</f>
        <v/>
      </c>
      <c r="X241">
        <f>IF(L240&lt;=0,0,MIN(AQ241,L$7+IF(L$2=$AA241,$AC241,IF(L$2=$AF241,$AG241,0))))</f>
        <v/>
      </c>
      <c r="Y241">
        <f>IF(M240&lt;=0,0,MIN(AR241,M$7+IF(M$2=$AA241,$AC241,IF(M$2=$AF241,$AG241,0))))</f>
        <v/>
      </c>
      <c r="Z241">
        <f>IF(N240&lt;=0,0,MIN(AS241,N$7+IF(N$2=$AA241,$AC241,IF(N$2=$AF241,$AG241,0))))</f>
        <v/>
      </c>
      <c r="AA241">
        <f>IFERROR(ROUND(1/SUMPRODUCT(MAX((C240:N240&gt;0)*($C$3:$N$3&lt;=B241)/$C$2:$N$2)),0),0)</f>
        <v/>
      </c>
      <c r="AB241">
        <f>SUMPRODUCT((C240:N240&gt;0)*$C$7:$N$7)</f>
        <v/>
      </c>
      <c r="AC241">
        <f>MAX(0,Plan!$C$5-AB241)+IF(A241=Plan!$C$8,N(Plan!$C$7),0)</f>
        <v/>
      </c>
      <c r="AD241">
        <f>SUM(C241:N241)</f>
        <v/>
      </c>
      <c r="AE241">
        <f>SUM(O241:Z241)</f>
        <v/>
      </c>
      <c r="AF241">
        <f>IFERROR(ROUND(1/SUMPRODUCT(MAX((C240:N240&gt;0)*($C$3:$N$3&lt;=B241)*($C$2:$N$2&gt;AA241)/$C$2:$N$2)),0),0)</f>
        <v/>
      </c>
      <c r="AG241">
        <f>MAX(0,AC241-MAX(0,SUMPRODUCT(($C$2:$N$2=AA241)*(AH241:AS241-$C$7:$N$7))))</f>
        <v/>
      </c>
      <c r="AH241">
        <f>IF(C240&lt;=0,0,ROUND(C240*(1+IF(AND(C$6&gt;0,$B241&lt;C$6),C$4,C$5)/12),2))</f>
        <v/>
      </c>
      <c r="AI241">
        <f>IF(D240&lt;=0,0,ROUND(D240*(1+IF(AND(D$6&gt;0,$B241&lt;D$6),D$4,D$5)/12),2))</f>
        <v/>
      </c>
      <c r="AJ241">
        <f>IF(E240&lt;=0,0,ROUND(E240*(1+IF(AND(E$6&gt;0,$B241&lt;E$6),E$4,E$5)/12),2))</f>
        <v/>
      </c>
      <c r="AK241">
        <f>IF(F240&lt;=0,0,ROUND(F240*(1+IF(AND(F$6&gt;0,$B241&lt;F$6),F$4,F$5)/12),2))</f>
        <v/>
      </c>
      <c r="AL241">
        <f>IF(G240&lt;=0,0,ROUND(G240*(1+IF(AND(G$6&gt;0,$B241&lt;G$6),G$4,G$5)/12),2))</f>
        <v/>
      </c>
      <c r="AM241">
        <f>IF(H240&lt;=0,0,ROUND(H240*(1+IF(AND(H$6&gt;0,$B241&lt;H$6),H$4,H$5)/12),2))</f>
        <v/>
      </c>
      <c r="AN241">
        <f>IF(I240&lt;=0,0,ROUND(I240*(1+IF(AND(I$6&gt;0,$B241&lt;I$6),I$4,I$5)/12),2))</f>
        <v/>
      </c>
      <c r="AO241">
        <f>IF(J240&lt;=0,0,ROUND(J240*(1+IF(AND(J$6&gt;0,$B241&lt;J$6),J$4,J$5)/12),2))</f>
        <v/>
      </c>
      <c r="AP241">
        <f>IF(K240&lt;=0,0,ROUND(K240*(1+IF(AND(K$6&gt;0,$B241&lt;K$6),K$4,K$5)/12),2))</f>
        <v/>
      </c>
      <c r="AQ241">
        <f>IF(L240&lt;=0,0,ROUND(L240*(1+IF(AND(L$6&gt;0,$B241&lt;L$6),L$4,L$5)/12),2))</f>
        <v/>
      </c>
      <c r="AR241">
        <f>IF(M240&lt;=0,0,ROUND(M240*(1+IF(AND(M$6&gt;0,$B241&lt;M$6),M$4,M$5)/12),2))</f>
        <v/>
      </c>
      <c r="AS241">
        <f>IF(N240&lt;=0,0,ROUND(N240*(1+IF(AND(N$6&gt;0,$B241&lt;N$6),N$4,N$5)/12),2))</f>
        <v/>
      </c>
    </row>
    <row r="242">
      <c r="A242" t="n">
        <v>231</v>
      </c>
      <c r="B242">
        <f>EDATE(Plan!$C$6,230)</f>
        <v/>
      </c>
      <c r="C242">
        <f>IF(C241&lt;=0,0,MAX(0,AH242-O242))</f>
        <v/>
      </c>
      <c r="D242">
        <f>IF(D241&lt;=0,0,MAX(0,AI242-P242))</f>
        <v/>
      </c>
      <c r="E242">
        <f>IF(E241&lt;=0,0,MAX(0,AJ242-Q242))</f>
        <v/>
      </c>
      <c r="F242">
        <f>IF(F241&lt;=0,0,MAX(0,AK242-R242))</f>
        <v/>
      </c>
      <c r="G242">
        <f>IF(G241&lt;=0,0,MAX(0,AL242-S242))</f>
        <v/>
      </c>
      <c r="H242">
        <f>IF(H241&lt;=0,0,MAX(0,AM242-T242))</f>
        <v/>
      </c>
      <c r="I242">
        <f>IF(I241&lt;=0,0,MAX(0,AN242-U242))</f>
        <v/>
      </c>
      <c r="J242">
        <f>IF(J241&lt;=0,0,MAX(0,AO242-V242))</f>
        <v/>
      </c>
      <c r="K242">
        <f>IF(K241&lt;=0,0,MAX(0,AP242-W242))</f>
        <v/>
      </c>
      <c r="L242">
        <f>IF(L241&lt;=0,0,MAX(0,AQ242-X242))</f>
        <v/>
      </c>
      <c r="M242">
        <f>IF(M241&lt;=0,0,MAX(0,AR242-Y242))</f>
        <v/>
      </c>
      <c r="N242">
        <f>IF(N241&lt;=0,0,MAX(0,AS242-Z242))</f>
        <v/>
      </c>
      <c r="O242">
        <f>IF(C241&lt;=0,0,MIN(AH242,C$7+IF(C$2=$AA242,$AC242,IF(C$2=$AF242,$AG242,0))))</f>
        <v/>
      </c>
      <c r="P242">
        <f>IF(D241&lt;=0,0,MIN(AI242,D$7+IF(D$2=$AA242,$AC242,IF(D$2=$AF242,$AG242,0))))</f>
        <v/>
      </c>
      <c r="Q242">
        <f>IF(E241&lt;=0,0,MIN(AJ242,E$7+IF(E$2=$AA242,$AC242,IF(E$2=$AF242,$AG242,0))))</f>
        <v/>
      </c>
      <c r="R242">
        <f>IF(F241&lt;=0,0,MIN(AK242,F$7+IF(F$2=$AA242,$AC242,IF(F$2=$AF242,$AG242,0))))</f>
        <v/>
      </c>
      <c r="S242">
        <f>IF(G241&lt;=0,0,MIN(AL242,G$7+IF(G$2=$AA242,$AC242,IF(G$2=$AF242,$AG242,0))))</f>
        <v/>
      </c>
      <c r="T242">
        <f>IF(H241&lt;=0,0,MIN(AM242,H$7+IF(H$2=$AA242,$AC242,IF(H$2=$AF242,$AG242,0))))</f>
        <v/>
      </c>
      <c r="U242">
        <f>IF(I241&lt;=0,0,MIN(AN242,I$7+IF(I$2=$AA242,$AC242,IF(I$2=$AF242,$AG242,0))))</f>
        <v/>
      </c>
      <c r="V242">
        <f>IF(J241&lt;=0,0,MIN(AO242,J$7+IF(J$2=$AA242,$AC242,IF(J$2=$AF242,$AG242,0))))</f>
        <v/>
      </c>
      <c r="W242">
        <f>IF(K241&lt;=0,0,MIN(AP242,K$7+IF(K$2=$AA242,$AC242,IF(K$2=$AF242,$AG242,0))))</f>
        <v/>
      </c>
      <c r="X242">
        <f>IF(L241&lt;=0,0,MIN(AQ242,L$7+IF(L$2=$AA242,$AC242,IF(L$2=$AF242,$AG242,0))))</f>
        <v/>
      </c>
      <c r="Y242">
        <f>IF(M241&lt;=0,0,MIN(AR242,M$7+IF(M$2=$AA242,$AC242,IF(M$2=$AF242,$AG242,0))))</f>
        <v/>
      </c>
      <c r="Z242">
        <f>IF(N241&lt;=0,0,MIN(AS242,N$7+IF(N$2=$AA242,$AC242,IF(N$2=$AF242,$AG242,0))))</f>
        <v/>
      </c>
      <c r="AA242">
        <f>IFERROR(ROUND(1/SUMPRODUCT(MAX((C241:N241&gt;0)*($C$3:$N$3&lt;=B242)/$C$2:$N$2)),0),0)</f>
        <v/>
      </c>
      <c r="AB242">
        <f>SUMPRODUCT((C241:N241&gt;0)*$C$7:$N$7)</f>
        <v/>
      </c>
      <c r="AC242">
        <f>MAX(0,Plan!$C$5-AB242)+IF(A242=Plan!$C$8,N(Plan!$C$7),0)</f>
        <v/>
      </c>
      <c r="AD242">
        <f>SUM(C242:N242)</f>
        <v/>
      </c>
      <c r="AE242">
        <f>SUM(O242:Z242)</f>
        <v/>
      </c>
      <c r="AF242">
        <f>IFERROR(ROUND(1/SUMPRODUCT(MAX((C241:N241&gt;0)*($C$3:$N$3&lt;=B242)*($C$2:$N$2&gt;AA242)/$C$2:$N$2)),0),0)</f>
        <v/>
      </c>
      <c r="AG242">
        <f>MAX(0,AC242-MAX(0,SUMPRODUCT(($C$2:$N$2=AA242)*(AH242:AS242-$C$7:$N$7))))</f>
        <v/>
      </c>
      <c r="AH242">
        <f>IF(C241&lt;=0,0,ROUND(C241*(1+IF(AND(C$6&gt;0,$B242&lt;C$6),C$4,C$5)/12),2))</f>
        <v/>
      </c>
      <c r="AI242">
        <f>IF(D241&lt;=0,0,ROUND(D241*(1+IF(AND(D$6&gt;0,$B242&lt;D$6),D$4,D$5)/12),2))</f>
        <v/>
      </c>
      <c r="AJ242">
        <f>IF(E241&lt;=0,0,ROUND(E241*(1+IF(AND(E$6&gt;0,$B242&lt;E$6),E$4,E$5)/12),2))</f>
        <v/>
      </c>
      <c r="AK242">
        <f>IF(F241&lt;=0,0,ROUND(F241*(1+IF(AND(F$6&gt;0,$B242&lt;F$6),F$4,F$5)/12),2))</f>
        <v/>
      </c>
      <c r="AL242">
        <f>IF(G241&lt;=0,0,ROUND(G241*(1+IF(AND(G$6&gt;0,$B242&lt;G$6),G$4,G$5)/12),2))</f>
        <v/>
      </c>
      <c r="AM242">
        <f>IF(H241&lt;=0,0,ROUND(H241*(1+IF(AND(H$6&gt;0,$B242&lt;H$6),H$4,H$5)/12),2))</f>
        <v/>
      </c>
      <c r="AN242">
        <f>IF(I241&lt;=0,0,ROUND(I241*(1+IF(AND(I$6&gt;0,$B242&lt;I$6),I$4,I$5)/12),2))</f>
        <v/>
      </c>
      <c r="AO242">
        <f>IF(J241&lt;=0,0,ROUND(J241*(1+IF(AND(J$6&gt;0,$B242&lt;J$6),J$4,J$5)/12),2))</f>
        <v/>
      </c>
      <c r="AP242">
        <f>IF(K241&lt;=0,0,ROUND(K241*(1+IF(AND(K$6&gt;0,$B242&lt;K$6),K$4,K$5)/12),2))</f>
        <v/>
      </c>
      <c r="AQ242">
        <f>IF(L241&lt;=0,0,ROUND(L241*(1+IF(AND(L$6&gt;0,$B242&lt;L$6),L$4,L$5)/12),2))</f>
        <v/>
      </c>
      <c r="AR242">
        <f>IF(M241&lt;=0,0,ROUND(M241*(1+IF(AND(M$6&gt;0,$B242&lt;M$6),M$4,M$5)/12),2))</f>
        <v/>
      </c>
      <c r="AS242">
        <f>IF(N241&lt;=0,0,ROUND(N241*(1+IF(AND(N$6&gt;0,$B242&lt;N$6),N$4,N$5)/12),2))</f>
        <v/>
      </c>
    </row>
    <row r="243">
      <c r="A243" t="n">
        <v>232</v>
      </c>
      <c r="B243">
        <f>EDATE(Plan!$C$6,231)</f>
        <v/>
      </c>
      <c r="C243">
        <f>IF(C242&lt;=0,0,MAX(0,AH243-O243))</f>
        <v/>
      </c>
      <c r="D243">
        <f>IF(D242&lt;=0,0,MAX(0,AI243-P243))</f>
        <v/>
      </c>
      <c r="E243">
        <f>IF(E242&lt;=0,0,MAX(0,AJ243-Q243))</f>
        <v/>
      </c>
      <c r="F243">
        <f>IF(F242&lt;=0,0,MAX(0,AK243-R243))</f>
        <v/>
      </c>
      <c r="G243">
        <f>IF(G242&lt;=0,0,MAX(0,AL243-S243))</f>
        <v/>
      </c>
      <c r="H243">
        <f>IF(H242&lt;=0,0,MAX(0,AM243-T243))</f>
        <v/>
      </c>
      <c r="I243">
        <f>IF(I242&lt;=0,0,MAX(0,AN243-U243))</f>
        <v/>
      </c>
      <c r="J243">
        <f>IF(J242&lt;=0,0,MAX(0,AO243-V243))</f>
        <v/>
      </c>
      <c r="K243">
        <f>IF(K242&lt;=0,0,MAX(0,AP243-W243))</f>
        <v/>
      </c>
      <c r="L243">
        <f>IF(L242&lt;=0,0,MAX(0,AQ243-X243))</f>
        <v/>
      </c>
      <c r="M243">
        <f>IF(M242&lt;=0,0,MAX(0,AR243-Y243))</f>
        <v/>
      </c>
      <c r="N243">
        <f>IF(N242&lt;=0,0,MAX(0,AS243-Z243))</f>
        <v/>
      </c>
      <c r="O243">
        <f>IF(C242&lt;=0,0,MIN(AH243,C$7+IF(C$2=$AA243,$AC243,IF(C$2=$AF243,$AG243,0))))</f>
        <v/>
      </c>
      <c r="P243">
        <f>IF(D242&lt;=0,0,MIN(AI243,D$7+IF(D$2=$AA243,$AC243,IF(D$2=$AF243,$AG243,0))))</f>
        <v/>
      </c>
      <c r="Q243">
        <f>IF(E242&lt;=0,0,MIN(AJ243,E$7+IF(E$2=$AA243,$AC243,IF(E$2=$AF243,$AG243,0))))</f>
        <v/>
      </c>
      <c r="R243">
        <f>IF(F242&lt;=0,0,MIN(AK243,F$7+IF(F$2=$AA243,$AC243,IF(F$2=$AF243,$AG243,0))))</f>
        <v/>
      </c>
      <c r="S243">
        <f>IF(G242&lt;=0,0,MIN(AL243,G$7+IF(G$2=$AA243,$AC243,IF(G$2=$AF243,$AG243,0))))</f>
        <v/>
      </c>
      <c r="T243">
        <f>IF(H242&lt;=0,0,MIN(AM243,H$7+IF(H$2=$AA243,$AC243,IF(H$2=$AF243,$AG243,0))))</f>
        <v/>
      </c>
      <c r="U243">
        <f>IF(I242&lt;=0,0,MIN(AN243,I$7+IF(I$2=$AA243,$AC243,IF(I$2=$AF243,$AG243,0))))</f>
        <v/>
      </c>
      <c r="V243">
        <f>IF(J242&lt;=0,0,MIN(AO243,J$7+IF(J$2=$AA243,$AC243,IF(J$2=$AF243,$AG243,0))))</f>
        <v/>
      </c>
      <c r="W243">
        <f>IF(K242&lt;=0,0,MIN(AP243,K$7+IF(K$2=$AA243,$AC243,IF(K$2=$AF243,$AG243,0))))</f>
        <v/>
      </c>
      <c r="X243">
        <f>IF(L242&lt;=0,0,MIN(AQ243,L$7+IF(L$2=$AA243,$AC243,IF(L$2=$AF243,$AG243,0))))</f>
        <v/>
      </c>
      <c r="Y243">
        <f>IF(M242&lt;=0,0,MIN(AR243,M$7+IF(M$2=$AA243,$AC243,IF(M$2=$AF243,$AG243,0))))</f>
        <v/>
      </c>
      <c r="Z243">
        <f>IF(N242&lt;=0,0,MIN(AS243,N$7+IF(N$2=$AA243,$AC243,IF(N$2=$AF243,$AG243,0))))</f>
        <v/>
      </c>
      <c r="AA243">
        <f>IFERROR(ROUND(1/SUMPRODUCT(MAX((C242:N242&gt;0)*($C$3:$N$3&lt;=B243)/$C$2:$N$2)),0),0)</f>
        <v/>
      </c>
      <c r="AB243">
        <f>SUMPRODUCT((C242:N242&gt;0)*$C$7:$N$7)</f>
        <v/>
      </c>
      <c r="AC243">
        <f>MAX(0,Plan!$C$5-AB243)+IF(A243=Plan!$C$8,N(Plan!$C$7),0)</f>
        <v/>
      </c>
      <c r="AD243">
        <f>SUM(C243:N243)</f>
        <v/>
      </c>
      <c r="AE243">
        <f>SUM(O243:Z243)</f>
        <v/>
      </c>
      <c r="AF243">
        <f>IFERROR(ROUND(1/SUMPRODUCT(MAX((C242:N242&gt;0)*($C$3:$N$3&lt;=B243)*($C$2:$N$2&gt;AA243)/$C$2:$N$2)),0),0)</f>
        <v/>
      </c>
      <c r="AG243">
        <f>MAX(0,AC243-MAX(0,SUMPRODUCT(($C$2:$N$2=AA243)*(AH243:AS243-$C$7:$N$7))))</f>
        <v/>
      </c>
      <c r="AH243">
        <f>IF(C242&lt;=0,0,ROUND(C242*(1+IF(AND(C$6&gt;0,$B243&lt;C$6),C$4,C$5)/12),2))</f>
        <v/>
      </c>
      <c r="AI243">
        <f>IF(D242&lt;=0,0,ROUND(D242*(1+IF(AND(D$6&gt;0,$B243&lt;D$6),D$4,D$5)/12),2))</f>
        <v/>
      </c>
      <c r="AJ243">
        <f>IF(E242&lt;=0,0,ROUND(E242*(1+IF(AND(E$6&gt;0,$B243&lt;E$6),E$4,E$5)/12),2))</f>
        <v/>
      </c>
      <c r="AK243">
        <f>IF(F242&lt;=0,0,ROUND(F242*(1+IF(AND(F$6&gt;0,$B243&lt;F$6),F$4,F$5)/12),2))</f>
        <v/>
      </c>
      <c r="AL243">
        <f>IF(G242&lt;=0,0,ROUND(G242*(1+IF(AND(G$6&gt;0,$B243&lt;G$6),G$4,G$5)/12),2))</f>
        <v/>
      </c>
      <c r="AM243">
        <f>IF(H242&lt;=0,0,ROUND(H242*(1+IF(AND(H$6&gt;0,$B243&lt;H$6),H$4,H$5)/12),2))</f>
        <v/>
      </c>
      <c r="AN243">
        <f>IF(I242&lt;=0,0,ROUND(I242*(1+IF(AND(I$6&gt;0,$B243&lt;I$6),I$4,I$5)/12),2))</f>
        <v/>
      </c>
      <c r="AO243">
        <f>IF(J242&lt;=0,0,ROUND(J242*(1+IF(AND(J$6&gt;0,$B243&lt;J$6),J$4,J$5)/12),2))</f>
        <v/>
      </c>
      <c r="AP243">
        <f>IF(K242&lt;=0,0,ROUND(K242*(1+IF(AND(K$6&gt;0,$B243&lt;K$6),K$4,K$5)/12),2))</f>
        <v/>
      </c>
      <c r="AQ243">
        <f>IF(L242&lt;=0,0,ROUND(L242*(1+IF(AND(L$6&gt;0,$B243&lt;L$6),L$4,L$5)/12),2))</f>
        <v/>
      </c>
      <c r="AR243">
        <f>IF(M242&lt;=0,0,ROUND(M242*(1+IF(AND(M$6&gt;0,$B243&lt;M$6),M$4,M$5)/12),2))</f>
        <v/>
      </c>
      <c r="AS243">
        <f>IF(N242&lt;=0,0,ROUND(N242*(1+IF(AND(N$6&gt;0,$B243&lt;N$6),N$4,N$5)/12),2))</f>
        <v/>
      </c>
    </row>
    <row r="244">
      <c r="A244" t="n">
        <v>233</v>
      </c>
      <c r="B244">
        <f>EDATE(Plan!$C$6,232)</f>
        <v/>
      </c>
      <c r="C244">
        <f>IF(C243&lt;=0,0,MAX(0,AH244-O244))</f>
        <v/>
      </c>
      <c r="D244">
        <f>IF(D243&lt;=0,0,MAX(0,AI244-P244))</f>
        <v/>
      </c>
      <c r="E244">
        <f>IF(E243&lt;=0,0,MAX(0,AJ244-Q244))</f>
        <v/>
      </c>
      <c r="F244">
        <f>IF(F243&lt;=0,0,MAX(0,AK244-R244))</f>
        <v/>
      </c>
      <c r="G244">
        <f>IF(G243&lt;=0,0,MAX(0,AL244-S244))</f>
        <v/>
      </c>
      <c r="H244">
        <f>IF(H243&lt;=0,0,MAX(0,AM244-T244))</f>
        <v/>
      </c>
      <c r="I244">
        <f>IF(I243&lt;=0,0,MAX(0,AN244-U244))</f>
        <v/>
      </c>
      <c r="J244">
        <f>IF(J243&lt;=0,0,MAX(0,AO244-V244))</f>
        <v/>
      </c>
      <c r="K244">
        <f>IF(K243&lt;=0,0,MAX(0,AP244-W244))</f>
        <v/>
      </c>
      <c r="L244">
        <f>IF(L243&lt;=0,0,MAX(0,AQ244-X244))</f>
        <v/>
      </c>
      <c r="M244">
        <f>IF(M243&lt;=0,0,MAX(0,AR244-Y244))</f>
        <v/>
      </c>
      <c r="N244">
        <f>IF(N243&lt;=0,0,MAX(0,AS244-Z244))</f>
        <v/>
      </c>
      <c r="O244">
        <f>IF(C243&lt;=0,0,MIN(AH244,C$7+IF(C$2=$AA244,$AC244,IF(C$2=$AF244,$AG244,0))))</f>
        <v/>
      </c>
      <c r="P244">
        <f>IF(D243&lt;=0,0,MIN(AI244,D$7+IF(D$2=$AA244,$AC244,IF(D$2=$AF244,$AG244,0))))</f>
        <v/>
      </c>
      <c r="Q244">
        <f>IF(E243&lt;=0,0,MIN(AJ244,E$7+IF(E$2=$AA244,$AC244,IF(E$2=$AF244,$AG244,0))))</f>
        <v/>
      </c>
      <c r="R244">
        <f>IF(F243&lt;=0,0,MIN(AK244,F$7+IF(F$2=$AA244,$AC244,IF(F$2=$AF244,$AG244,0))))</f>
        <v/>
      </c>
      <c r="S244">
        <f>IF(G243&lt;=0,0,MIN(AL244,G$7+IF(G$2=$AA244,$AC244,IF(G$2=$AF244,$AG244,0))))</f>
        <v/>
      </c>
      <c r="T244">
        <f>IF(H243&lt;=0,0,MIN(AM244,H$7+IF(H$2=$AA244,$AC244,IF(H$2=$AF244,$AG244,0))))</f>
        <v/>
      </c>
      <c r="U244">
        <f>IF(I243&lt;=0,0,MIN(AN244,I$7+IF(I$2=$AA244,$AC244,IF(I$2=$AF244,$AG244,0))))</f>
        <v/>
      </c>
      <c r="V244">
        <f>IF(J243&lt;=0,0,MIN(AO244,J$7+IF(J$2=$AA244,$AC244,IF(J$2=$AF244,$AG244,0))))</f>
        <v/>
      </c>
      <c r="W244">
        <f>IF(K243&lt;=0,0,MIN(AP244,K$7+IF(K$2=$AA244,$AC244,IF(K$2=$AF244,$AG244,0))))</f>
        <v/>
      </c>
      <c r="X244">
        <f>IF(L243&lt;=0,0,MIN(AQ244,L$7+IF(L$2=$AA244,$AC244,IF(L$2=$AF244,$AG244,0))))</f>
        <v/>
      </c>
      <c r="Y244">
        <f>IF(M243&lt;=0,0,MIN(AR244,M$7+IF(M$2=$AA244,$AC244,IF(M$2=$AF244,$AG244,0))))</f>
        <v/>
      </c>
      <c r="Z244">
        <f>IF(N243&lt;=0,0,MIN(AS244,N$7+IF(N$2=$AA244,$AC244,IF(N$2=$AF244,$AG244,0))))</f>
        <v/>
      </c>
      <c r="AA244">
        <f>IFERROR(ROUND(1/SUMPRODUCT(MAX((C243:N243&gt;0)*($C$3:$N$3&lt;=B244)/$C$2:$N$2)),0),0)</f>
        <v/>
      </c>
      <c r="AB244">
        <f>SUMPRODUCT((C243:N243&gt;0)*$C$7:$N$7)</f>
        <v/>
      </c>
      <c r="AC244">
        <f>MAX(0,Plan!$C$5-AB244)+IF(A244=Plan!$C$8,N(Plan!$C$7),0)</f>
        <v/>
      </c>
      <c r="AD244">
        <f>SUM(C244:N244)</f>
        <v/>
      </c>
      <c r="AE244">
        <f>SUM(O244:Z244)</f>
        <v/>
      </c>
      <c r="AF244">
        <f>IFERROR(ROUND(1/SUMPRODUCT(MAX((C243:N243&gt;0)*($C$3:$N$3&lt;=B244)*($C$2:$N$2&gt;AA244)/$C$2:$N$2)),0),0)</f>
        <v/>
      </c>
      <c r="AG244">
        <f>MAX(0,AC244-MAX(0,SUMPRODUCT(($C$2:$N$2=AA244)*(AH244:AS244-$C$7:$N$7))))</f>
        <v/>
      </c>
      <c r="AH244">
        <f>IF(C243&lt;=0,0,ROUND(C243*(1+IF(AND(C$6&gt;0,$B244&lt;C$6),C$4,C$5)/12),2))</f>
        <v/>
      </c>
      <c r="AI244">
        <f>IF(D243&lt;=0,0,ROUND(D243*(1+IF(AND(D$6&gt;0,$B244&lt;D$6),D$4,D$5)/12),2))</f>
        <v/>
      </c>
      <c r="AJ244">
        <f>IF(E243&lt;=0,0,ROUND(E243*(1+IF(AND(E$6&gt;0,$B244&lt;E$6),E$4,E$5)/12),2))</f>
        <v/>
      </c>
      <c r="AK244">
        <f>IF(F243&lt;=0,0,ROUND(F243*(1+IF(AND(F$6&gt;0,$B244&lt;F$6),F$4,F$5)/12),2))</f>
        <v/>
      </c>
      <c r="AL244">
        <f>IF(G243&lt;=0,0,ROUND(G243*(1+IF(AND(G$6&gt;0,$B244&lt;G$6),G$4,G$5)/12),2))</f>
        <v/>
      </c>
      <c r="AM244">
        <f>IF(H243&lt;=0,0,ROUND(H243*(1+IF(AND(H$6&gt;0,$B244&lt;H$6),H$4,H$5)/12),2))</f>
        <v/>
      </c>
      <c r="AN244">
        <f>IF(I243&lt;=0,0,ROUND(I243*(1+IF(AND(I$6&gt;0,$B244&lt;I$6),I$4,I$5)/12),2))</f>
        <v/>
      </c>
      <c r="AO244">
        <f>IF(J243&lt;=0,0,ROUND(J243*(1+IF(AND(J$6&gt;0,$B244&lt;J$6),J$4,J$5)/12),2))</f>
        <v/>
      </c>
      <c r="AP244">
        <f>IF(K243&lt;=0,0,ROUND(K243*(1+IF(AND(K$6&gt;0,$B244&lt;K$6),K$4,K$5)/12),2))</f>
        <v/>
      </c>
      <c r="AQ244">
        <f>IF(L243&lt;=0,0,ROUND(L243*(1+IF(AND(L$6&gt;0,$B244&lt;L$6),L$4,L$5)/12),2))</f>
        <v/>
      </c>
      <c r="AR244">
        <f>IF(M243&lt;=0,0,ROUND(M243*(1+IF(AND(M$6&gt;0,$B244&lt;M$6),M$4,M$5)/12),2))</f>
        <v/>
      </c>
      <c r="AS244">
        <f>IF(N243&lt;=0,0,ROUND(N243*(1+IF(AND(N$6&gt;0,$B244&lt;N$6),N$4,N$5)/12),2))</f>
        <v/>
      </c>
    </row>
    <row r="245">
      <c r="A245" t="n">
        <v>234</v>
      </c>
      <c r="B245">
        <f>EDATE(Plan!$C$6,233)</f>
        <v/>
      </c>
      <c r="C245">
        <f>IF(C244&lt;=0,0,MAX(0,AH245-O245))</f>
        <v/>
      </c>
      <c r="D245">
        <f>IF(D244&lt;=0,0,MAX(0,AI245-P245))</f>
        <v/>
      </c>
      <c r="E245">
        <f>IF(E244&lt;=0,0,MAX(0,AJ245-Q245))</f>
        <v/>
      </c>
      <c r="F245">
        <f>IF(F244&lt;=0,0,MAX(0,AK245-R245))</f>
        <v/>
      </c>
      <c r="G245">
        <f>IF(G244&lt;=0,0,MAX(0,AL245-S245))</f>
        <v/>
      </c>
      <c r="H245">
        <f>IF(H244&lt;=0,0,MAX(0,AM245-T245))</f>
        <v/>
      </c>
      <c r="I245">
        <f>IF(I244&lt;=0,0,MAX(0,AN245-U245))</f>
        <v/>
      </c>
      <c r="J245">
        <f>IF(J244&lt;=0,0,MAX(0,AO245-V245))</f>
        <v/>
      </c>
      <c r="K245">
        <f>IF(K244&lt;=0,0,MAX(0,AP245-W245))</f>
        <v/>
      </c>
      <c r="L245">
        <f>IF(L244&lt;=0,0,MAX(0,AQ245-X245))</f>
        <v/>
      </c>
      <c r="M245">
        <f>IF(M244&lt;=0,0,MAX(0,AR245-Y245))</f>
        <v/>
      </c>
      <c r="N245">
        <f>IF(N244&lt;=0,0,MAX(0,AS245-Z245))</f>
        <v/>
      </c>
      <c r="O245">
        <f>IF(C244&lt;=0,0,MIN(AH245,C$7+IF(C$2=$AA245,$AC245,IF(C$2=$AF245,$AG245,0))))</f>
        <v/>
      </c>
      <c r="P245">
        <f>IF(D244&lt;=0,0,MIN(AI245,D$7+IF(D$2=$AA245,$AC245,IF(D$2=$AF245,$AG245,0))))</f>
        <v/>
      </c>
      <c r="Q245">
        <f>IF(E244&lt;=0,0,MIN(AJ245,E$7+IF(E$2=$AA245,$AC245,IF(E$2=$AF245,$AG245,0))))</f>
        <v/>
      </c>
      <c r="R245">
        <f>IF(F244&lt;=0,0,MIN(AK245,F$7+IF(F$2=$AA245,$AC245,IF(F$2=$AF245,$AG245,0))))</f>
        <v/>
      </c>
      <c r="S245">
        <f>IF(G244&lt;=0,0,MIN(AL245,G$7+IF(G$2=$AA245,$AC245,IF(G$2=$AF245,$AG245,0))))</f>
        <v/>
      </c>
      <c r="T245">
        <f>IF(H244&lt;=0,0,MIN(AM245,H$7+IF(H$2=$AA245,$AC245,IF(H$2=$AF245,$AG245,0))))</f>
        <v/>
      </c>
      <c r="U245">
        <f>IF(I244&lt;=0,0,MIN(AN245,I$7+IF(I$2=$AA245,$AC245,IF(I$2=$AF245,$AG245,0))))</f>
        <v/>
      </c>
      <c r="V245">
        <f>IF(J244&lt;=0,0,MIN(AO245,J$7+IF(J$2=$AA245,$AC245,IF(J$2=$AF245,$AG245,0))))</f>
        <v/>
      </c>
      <c r="W245">
        <f>IF(K244&lt;=0,0,MIN(AP245,K$7+IF(K$2=$AA245,$AC245,IF(K$2=$AF245,$AG245,0))))</f>
        <v/>
      </c>
      <c r="X245">
        <f>IF(L244&lt;=0,0,MIN(AQ245,L$7+IF(L$2=$AA245,$AC245,IF(L$2=$AF245,$AG245,0))))</f>
        <v/>
      </c>
      <c r="Y245">
        <f>IF(M244&lt;=0,0,MIN(AR245,M$7+IF(M$2=$AA245,$AC245,IF(M$2=$AF245,$AG245,0))))</f>
        <v/>
      </c>
      <c r="Z245">
        <f>IF(N244&lt;=0,0,MIN(AS245,N$7+IF(N$2=$AA245,$AC245,IF(N$2=$AF245,$AG245,0))))</f>
        <v/>
      </c>
      <c r="AA245">
        <f>IFERROR(ROUND(1/SUMPRODUCT(MAX((C244:N244&gt;0)*($C$3:$N$3&lt;=B245)/$C$2:$N$2)),0),0)</f>
        <v/>
      </c>
      <c r="AB245">
        <f>SUMPRODUCT((C244:N244&gt;0)*$C$7:$N$7)</f>
        <v/>
      </c>
      <c r="AC245">
        <f>MAX(0,Plan!$C$5-AB245)+IF(A245=Plan!$C$8,N(Plan!$C$7),0)</f>
        <v/>
      </c>
      <c r="AD245">
        <f>SUM(C245:N245)</f>
        <v/>
      </c>
      <c r="AE245">
        <f>SUM(O245:Z245)</f>
        <v/>
      </c>
      <c r="AF245">
        <f>IFERROR(ROUND(1/SUMPRODUCT(MAX((C244:N244&gt;0)*($C$3:$N$3&lt;=B245)*($C$2:$N$2&gt;AA245)/$C$2:$N$2)),0),0)</f>
        <v/>
      </c>
      <c r="AG245">
        <f>MAX(0,AC245-MAX(0,SUMPRODUCT(($C$2:$N$2=AA245)*(AH245:AS245-$C$7:$N$7))))</f>
        <v/>
      </c>
      <c r="AH245">
        <f>IF(C244&lt;=0,0,ROUND(C244*(1+IF(AND(C$6&gt;0,$B245&lt;C$6),C$4,C$5)/12),2))</f>
        <v/>
      </c>
      <c r="AI245">
        <f>IF(D244&lt;=0,0,ROUND(D244*(1+IF(AND(D$6&gt;0,$B245&lt;D$6),D$4,D$5)/12),2))</f>
        <v/>
      </c>
      <c r="AJ245">
        <f>IF(E244&lt;=0,0,ROUND(E244*(1+IF(AND(E$6&gt;0,$B245&lt;E$6),E$4,E$5)/12),2))</f>
        <v/>
      </c>
      <c r="AK245">
        <f>IF(F244&lt;=0,0,ROUND(F244*(1+IF(AND(F$6&gt;0,$B245&lt;F$6),F$4,F$5)/12),2))</f>
        <v/>
      </c>
      <c r="AL245">
        <f>IF(G244&lt;=0,0,ROUND(G244*(1+IF(AND(G$6&gt;0,$B245&lt;G$6),G$4,G$5)/12),2))</f>
        <v/>
      </c>
      <c r="AM245">
        <f>IF(H244&lt;=0,0,ROUND(H244*(1+IF(AND(H$6&gt;0,$B245&lt;H$6),H$4,H$5)/12),2))</f>
        <v/>
      </c>
      <c r="AN245">
        <f>IF(I244&lt;=0,0,ROUND(I244*(1+IF(AND(I$6&gt;0,$B245&lt;I$6),I$4,I$5)/12),2))</f>
        <v/>
      </c>
      <c r="AO245">
        <f>IF(J244&lt;=0,0,ROUND(J244*(1+IF(AND(J$6&gt;0,$B245&lt;J$6),J$4,J$5)/12),2))</f>
        <v/>
      </c>
      <c r="AP245">
        <f>IF(K244&lt;=0,0,ROUND(K244*(1+IF(AND(K$6&gt;0,$B245&lt;K$6),K$4,K$5)/12),2))</f>
        <v/>
      </c>
      <c r="AQ245">
        <f>IF(L244&lt;=0,0,ROUND(L244*(1+IF(AND(L$6&gt;0,$B245&lt;L$6),L$4,L$5)/12),2))</f>
        <v/>
      </c>
      <c r="AR245">
        <f>IF(M244&lt;=0,0,ROUND(M244*(1+IF(AND(M$6&gt;0,$B245&lt;M$6),M$4,M$5)/12),2))</f>
        <v/>
      </c>
      <c r="AS245">
        <f>IF(N244&lt;=0,0,ROUND(N244*(1+IF(AND(N$6&gt;0,$B245&lt;N$6),N$4,N$5)/12),2))</f>
        <v/>
      </c>
    </row>
    <row r="246">
      <c r="A246" t="n">
        <v>235</v>
      </c>
      <c r="B246">
        <f>EDATE(Plan!$C$6,234)</f>
        <v/>
      </c>
      <c r="C246">
        <f>IF(C245&lt;=0,0,MAX(0,AH246-O246))</f>
        <v/>
      </c>
      <c r="D246">
        <f>IF(D245&lt;=0,0,MAX(0,AI246-P246))</f>
        <v/>
      </c>
      <c r="E246">
        <f>IF(E245&lt;=0,0,MAX(0,AJ246-Q246))</f>
        <v/>
      </c>
      <c r="F246">
        <f>IF(F245&lt;=0,0,MAX(0,AK246-R246))</f>
        <v/>
      </c>
      <c r="G246">
        <f>IF(G245&lt;=0,0,MAX(0,AL246-S246))</f>
        <v/>
      </c>
      <c r="H246">
        <f>IF(H245&lt;=0,0,MAX(0,AM246-T246))</f>
        <v/>
      </c>
      <c r="I246">
        <f>IF(I245&lt;=0,0,MAX(0,AN246-U246))</f>
        <v/>
      </c>
      <c r="J246">
        <f>IF(J245&lt;=0,0,MAX(0,AO246-V246))</f>
        <v/>
      </c>
      <c r="K246">
        <f>IF(K245&lt;=0,0,MAX(0,AP246-W246))</f>
        <v/>
      </c>
      <c r="L246">
        <f>IF(L245&lt;=0,0,MAX(0,AQ246-X246))</f>
        <v/>
      </c>
      <c r="M246">
        <f>IF(M245&lt;=0,0,MAX(0,AR246-Y246))</f>
        <v/>
      </c>
      <c r="N246">
        <f>IF(N245&lt;=0,0,MAX(0,AS246-Z246))</f>
        <v/>
      </c>
      <c r="O246">
        <f>IF(C245&lt;=0,0,MIN(AH246,C$7+IF(C$2=$AA246,$AC246,IF(C$2=$AF246,$AG246,0))))</f>
        <v/>
      </c>
      <c r="P246">
        <f>IF(D245&lt;=0,0,MIN(AI246,D$7+IF(D$2=$AA246,$AC246,IF(D$2=$AF246,$AG246,0))))</f>
        <v/>
      </c>
      <c r="Q246">
        <f>IF(E245&lt;=0,0,MIN(AJ246,E$7+IF(E$2=$AA246,$AC246,IF(E$2=$AF246,$AG246,0))))</f>
        <v/>
      </c>
      <c r="R246">
        <f>IF(F245&lt;=0,0,MIN(AK246,F$7+IF(F$2=$AA246,$AC246,IF(F$2=$AF246,$AG246,0))))</f>
        <v/>
      </c>
      <c r="S246">
        <f>IF(G245&lt;=0,0,MIN(AL246,G$7+IF(G$2=$AA246,$AC246,IF(G$2=$AF246,$AG246,0))))</f>
        <v/>
      </c>
      <c r="T246">
        <f>IF(H245&lt;=0,0,MIN(AM246,H$7+IF(H$2=$AA246,$AC246,IF(H$2=$AF246,$AG246,0))))</f>
        <v/>
      </c>
      <c r="U246">
        <f>IF(I245&lt;=0,0,MIN(AN246,I$7+IF(I$2=$AA246,$AC246,IF(I$2=$AF246,$AG246,0))))</f>
        <v/>
      </c>
      <c r="V246">
        <f>IF(J245&lt;=0,0,MIN(AO246,J$7+IF(J$2=$AA246,$AC246,IF(J$2=$AF246,$AG246,0))))</f>
        <v/>
      </c>
      <c r="W246">
        <f>IF(K245&lt;=0,0,MIN(AP246,K$7+IF(K$2=$AA246,$AC246,IF(K$2=$AF246,$AG246,0))))</f>
        <v/>
      </c>
      <c r="X246">
        <f>IF(L245&lt;=0,0,MIN(AQ246,L$7+IF(L$2=$AA246,$AC246,IF(L$2=$AF246,$AG246,0))))</f>
        <v/>
      </c>
      <c r="Y246">
        <f>IF(M245&lt;=0,0,MIN(AR246,M$7+IF(M$2=$AA246,$AC246,IF(M$2=$AF246,$AG246,0))))</f>
        <v/>
      </c>
      <c r="Z246">
        <f>IF(N245&lt;=0,0,MIN(AS246,N$7+IF(N$2=$AA246,$AC246,IF(N$2=$AF246,$AG246,0))))</f>
        <v/>
      </c>
      <c r="AA246">
        <f>IFERROR(ROUND(1/SUMPRODUCT(MAX((C245:N245&gt;0)*($C$3:$N$3&lt;=B246)/$C$2:$N$2)),0),0)</f>
        <v/>
      </c>
      <c r="AB246">
        <f>SUMPRODUCT((C245:N245&gt;0)*$C$7:$N$7)</f>
        <v/>
      </c>
      <c r="AC246">
        <f>MAX(0,Plan!$C$5-AB246)+IF(A246=Plan!$C$8,N(Plan!$C$7),0)</f>
        <v/>
      </c>
      <c r="AD246">
        <f>SUM(C246:N246)</f>
        <v/>
      </c>
      <c r="AE246">
        <f>SUM(O246:Z246)</f>
        <v/>
      </c>
      <c r="AF246">
        <f>IFERROR(ROUND(1/SUMPRODUCT(MAX((C245:N245&gt;0)*($C$3:$N$3&lt;=B246)*($C$2:$N$2&gt;AA246)/$C$2:$N$2)),0),0)</f>
        <v/>
      </c>
      <c r="AG246">
        <f>MAX(0,AC246-MAX(0,SUMPRODUCT(($C$2:$N$2=AA246)*(AH246:AS246-$C$7:$N$7))))</f>
        <v/>
      </c>
      <c r="AH246">
        <f>IF(C245&lt;=0,0,ROUND(C245*(1+IF(AND(C$6&gt;0,$B246&lt;C$6),C$4,C$5)/12),2))</f>
        <v/>
      </c>
      <c r="AI246">
        <f>IF(D245&lt;=0,0,ROUND(D245*(1+IF(AND(D$6&gt;0,$B246&lt;D$6),D$4,D$5)/12),2))</f>
        <v/>
      </c>
      <c r="AJ246">
        <f>IF(E245&lt;=0,0,ROUND(E245*(1+IF(AND(E$6&gt;0,$B246&lt;E$6),E$4,E$5)/12),2))</f>
        <v/>
      </c>
      <c r="AK246">
        <f>IF(F245&lt;=0,0,ROUND(F245*(1+IF(AND(F$6&gt;0,$B246&lt;F$6),F$4,F$5)/12),2))</f>
        <v/>
      </c>
      <c r="AL246">
        <f>IF(G245&lt;=0,0,ROUND(G245*(1+IF(AND(G$6&gt;0,$B246&lt;G$6),G$4,G$5)/12),2))</f>
        <v/>
      </c>
      <c r="AM246">
        <f>IF(H245&lt;=0,0,ROUND(H245*(1+IF(AND(H$6&gt;0,$B246&lt;H$6),H$4,H$5)/12),2))</f>
        <v/>
      </c>
      <c r="AN246">
        <f>IF(I245&lt;=0,0,ROUND(I245*(1+IF(AND(I$6&gt;0,$B246&lt;I$6),I$4,I$5)/12),2))</f>
        <v/>
      </c>
      <c r="AO246">
        <f>IF(J245&lt;=0,0,ROUND(J245*(1+IF(AND(J$6&gt;0,$B246&lt;J$6),J$4,J$5)/12),2))</f>
        <v/>
      </c>
      <c r="AP246">
        <f>IF(K245&lt;=0,0,ROUND(K245*(1+IF(AND(K$6&gt;0,$B246&lt;K$6),K$4,K$5)/12),2))</f>
        <v/>
      </c>
      <c r="AQ246">
        <f>IF(L245&lt;=0,0,ROUND(L245*(1+IF(AND(L$6&gt;0,$B246&lt;L$6),L$4,L$5)/12),2))</f>
        <v/>
      </c>
      <c r="AR246">
        <f>IF(M245&lt;=0,0,ROUND(M245*(1+IF(AND(M$6&gt;0,$B246&lt;M$6),M$4,M$5)/12),2))</f>
        <v/>
      </c>
      <c r="AS246">
        <f>IF(N245&lt;=0,0,ROUND(N245*(1+IF(AND(N$6&gt;0,$B246&lt;N$6),N$4,N$5)/12),2))</f>
        <v/>
      </c>
    </row>
    <row r="247">
      <c r="A247" t="n">
        <v>236</v>
      </c>
      <c r="B247">
        <f>EDATE(Plan!$C$6,235)</f>
        <v/>
      </c>
      <c r="C247">
        <f>IF(C246&lt;=0,0,MAX(0,AH247-O247))</f>
        <v/>
      </c>
      <c r="D247">
        <f>IF(D246&lt;=0,0,MAX(0,AI247-P247))</f>
        <v/>
      </c>
      <c r="E247">
        <f>IF(E246&lt;=0,0,MAX(0,AJ247-Q247))</f>
        <v/>
      </c>
      <c r="F247">
        <f>IF(F246&lt;=0,0,MAX(0,AK247-R247))</f>
        <v/>
      </c>
      <c r="G247">
        <f>IF(G246&lt;=0,0,MAX(0,AL247-S247))</f>
        <v/>
      </c>
      <c r="H247">
        <f>IF(H246&lt;=0,0,MAX(0,AM247-T247))</f>
        <v/>
      </c>
      <c r="I247">
        <f>IF(I246&lt;=0,0,MAX(0,AN247-U247))</f>
        <v/>
      </c>
      <c r="J247">
        <f>IF(J246&lt;=0,0,MAX(0,AO247-V247))</f>
        <v/>
      </c>
      <c r="K247">
        <f>IF(K246&lt;=0,0,MAX(0,AP247-W247))</f>
        <v/>
      </c>
      <c r="L247">
        <f>IF(L246&lt;=0,0,MAX(0,AQ247-X247))</f>
        <v/>
      </c>
      <c r="M247">
        <f>IF(M246&lt;=0,0,MAX(0,AR247-Y247))</f>
        <v/>
      </c>
      <c r="N247">
        <f>IF(N246&lt;=0,0,MAX(0,AS247-Z247))</f>
        <v/>
      </c>
      <c r="O247">
        <f>IF(C246&lt;=0,0,MIN(AH247,C$7+IF(C$2=$AA247,$AC247,IF(C$2=$AF247,$AG247,0))))</f>
        <v/>
      </c>
      <c r="P247">
        <f>IF(D246&lt;=0,0,MIN(AI247,D$7+IF(D$2=$AA247,$AC247,IF(D$2=$AF247,$AG247,0))))</f>
        <v/>
      </c>
      <c r="Q247">
        <f>IF(E246&lt;=0,0,MIN(AJ247,E$7+IF(E$2=$AA247,$AC247,IF(E$2=$AF247,$AG247,0))))</f>
        <v/>
      </c>
      <c r="R247">
        <f>IF(F246&lt;=0,0,MIN(AK247,F$7+IF(F$2=$AA247,$AC247,IF(F$2=$AF247,$AG247,0))))</f>
        <v/>
      </c>
      <c r="S247">
        <f>IF(G246&lt;=0,0,MIN(AL247,G$7+IF(G$2=$AA247,$AC247,IF(G$2=$AF247,$AG247,0))))</f>
        <v/>
      </c>
      <c r="T247">
        <f>IF(H246&lt;=0,0,MIN(AM247,H$7+IF(H$2=$AA247,$AC247,IF(H$2=$AF247,$AG247,0))))</f>
        <v/>
      </c>
      <c r="U247">
        <f>IF(I246&lt;=0,0,MIN(AN247,I$7+IF(I$2=$AA247,$AC247,IF(I$2=$AF247,$AG247,0))))</f>
        <v/>
      </c>
      <c r="V247">
        <f>IF(J246&lt;=0,0,MIN(AO247,J$7+IF(J$2=$AA247,$AC247,IF(J$2=$AF247,$AG247,0))))</f>
        <v/>
      </c>
      <c r="W247">
        <f>IF(K246&lt;=0,0,MIN(AP247,K$7+IF(K$2=$AA247,$AC247,IF(K$2=$AF247,$AG247,0))))</f>
        <v/>
      </c>
      <c r="X247">
        <f>IF(L246&lt;=0,0,MIN(AQ247,L$7+IF(L$2=$AA247,$AC247,IF(L$2=$AF247,$AG247,0))))</f>
        <v/>
      </c>
      <c r="Y247">
        <f>IF(M246&lt;=0,0,MIN(AR247,M$7+IF(M$2=$AA247,$AC247,IF(M$2=$AF247,$AG247,0))))</f>
        <v/>
      </c>
      <c r="Z247">
        <f>IF(N246&lt;=0,0,MIN(AS247,N$7+IF(N$2=$AA247,$AC247,IF(N$2=$AF247,$AG247,0))))</f>
        <v/>
      </c>
      <c r="AA247">
        <f>IFERROR(ROUND(1/SUMPRODUCT(MAX((C246:N246&gt;0)*($C$3:$N$3&lt;=B247)/$C$2:$N$2)),0),0)</f>
        <v/>
      </c>
      <c r="AB247">
        <f>SUMPRODUCT((C246:N246&gt;0)*$C$7:$N$7)</f>
        <v/>
      </c>
      <c r="AC247">
        <f>MAX(0,Plan!$C$5-AB247)+IF(A247=Plan!$C$8,N(Plan!$C$7),0)</f>
        <v/>
      </c>
      <c r="AD247">
        <f>SUM(C247:N247)</f>
        <v/>
      </c>
      <c r="AE247">
        <f>SUM(O247:Z247)</f>
        <v/>
      </c>
      <c r="AF247">
        <f>IFERROR(ROUND(1/SUMPRODUCT(MAX((C246:N246&gt;0)*($C$3:$N$3&lt;=B247)*($C$2:$N$2&gt;AA247)/$C$2:$N$2)),0),0)</f>
        <v/>
      </c>
      <c r="AG247">
        <f>MAX(0,AC247-MAX(0,SUMPRODUCT(($C$2:$N$2=AA247)*(AH247:AS247-$C$7:$N$7))))</f>
        <v/>
      </c>
      <c r="AH247">
        <f>IF(C246&lt;=0,0,ROUND(C246*(1+IF(AND(C$6&gt;0,$B247&lt;C$6),C$4,C$5)/12),2))</f>
        <v/>
      </c>
      <c r="AI247">
        <f>IF(D246&lt;=0,0,ROUND(D246*(1+IF(AND(D$6&gt;0,$B247&lt;D$6),D$4,D$5)/12),2))</f>
        <v/>
      </c>
      <c r="AJ247">
        <f>IF(E246&lt;=0,0,ROUND(E246*(1+IF(AND(E$6&gt;0,$B247&lt;E$6),E$4,E$5)/12),2))</f>
        <v/>
      </c>
      <c r="AK247">
        <f>IF(F246&lt;=0,0,ROUND(F246*(1+IF(AND(F$6&gt;0,$B247&lt;F$6),F$4,F$5)/12),2))</f>
        <v/>
      </c>
      <c r="AL247">
        <f>IF(G246&lt;=0,0,ROUND(G246*(1+IF(AND(G$6&gt;0,$B247&lt;G$6),G$4,G$5)/12),2))</f>
        <v/>
      </c>
      <c r="AM247">
        <f>IF(H246&lt;=0,0,ROUND(H246*(1+IF(AND(H$6&gt;0,$B247&lt;H$6),H$4,H$5)/12),2))</f>
        <v/>
      </c>
      <c r="AN247">
        <f>IF(I246&lt;=0,0,ROUND(I246*(1+IF(AND(I$6&gt;0,$B247&lt;I$6),I$4,I$5)/12),2))</f>
        <v/>
      </c>
      <c r="AO247">
        <f>IF(J246&lt;=0,0,ROUND(J246*(1+IF(AND(J$6&gt;0,$B247&lt;J$6),J$4,J$5)/12),2))</f>
        <v/>
      </c>
      <c r="AP247">
        <f>IF(K246&lt;=0,0,ROUND(K246*(1+IF(AND(K$6&gt;0,$B247&lt;K$6),K$4,K$5)/12),2))</f>
        <v/>
      </c>
      <c r="AQ247">
        <f>IF(L246&lt;=0,0,ROUND(L246*(1+IF(AND(L$6&gt;0,$B247&lt;L$6),L$4,L$5)/12),2))</f>
        <v/>
      </c>
      <c r="AR247">
        <f>IF(M246&lt;=0,0,ROUND(M246*(1+IF(AND(M$6&gt;0,$B247&lt;M$6),M$4,M$5)/12),2))</f>
        <v/>
      </c>
      <c r="AS247">
        <f>IF(N246&lt;=0,0,ROUND(N246*(1+IF(AND(N$6&gt;0,$B247&lt;N$6),N$4,N$5)/12),2))</f>
        <v/>
      </c>
    </row>
    <row r="248">
      <c r="A248" t="n">
        <v>237</v>
      </c>
      <c r="B248">
        <f>EDATE(Plan!$C$6,236)</f>
        <v/>
      </c>
      <c r="C248">
        <f>IF(C247&lt;=0,0,MAX(0,AH248-O248))</f>
        <v/>
      </c>
      <c r="D248">
        <f>IF(D247&lt;=0,0,MAX(0,AI248-P248))</f>
        <v/>
      </c>
      <c r="E248">
        <f>IF(E247&lt;=0,0,MAX(0,AJ248-Q248))</f>
        <v/>
      </c>
      <c r="F248">
        <f>IF(F247&lt;=0,0,MAX(0,AK248-R248))</f>
        <v/>
      </c>
      <c r="G248">
        <f>IF(G247&lt;=0,0,MAX(0,AL248-S248))</f>
        <v/>
      </c>
      <c r="H248">
        <f>IF(H247&lt;=0,0,MAX(0,AM248-T248))</f>
        <v/>
      </c>
      <c r="I248">
        <f>IF(I247&lt;=0,0,MAX(0,AN248-U248))</f>
        <v/>
      </c>
      <c r="J248">
        <f>IF(J247&lt;=0,0,MAX(0,AO248-V248))</f>
        <v/>
      </c>
      <c r="K248">
        <f>IF(K247&lt;=0,0,MAX(0,AP248-W248))</f>
        <v/>
      </c>
      <c r="L248">
        <f>IF(L247&lt;=0,0,MAX(0,AQ248-X248))</f>
        <v/>
      </c>
      <c r="M248">
        <f>IF(M247&lt;=0,0,MAX(0,AR248-Y248))</f>
        <v/>
      </c>
      <c r="N248">
        <f>IF(N247&lt;=0,0,MAX(0,AS248-Z248))</f>
        <v/>
      </c>
      <c r="O248">
        <f>IF(C247&lt;=0,0,MIN(AH248,C$7+IF(C$2=$AA248,$AC248,IF(C$2=$AF248,$AG248,0))))</f>
        <v/>
      </c>
      <c r="P248">
        <f>IF(D247&lt;=0,0,MIN(AI248,D$7+IF(D$2=$AA248,$AC248,IF(D$2=$AF248,$AG248,0))))</f>
        <v/>
      </c>
      <c r="Q248">
        <f>IF(E247&lt;=0,0,MIN(AJ248,E$7+IF(E$2=$AA248,$AC248,IF(E$2=$AF248,$AG248,0))))</f>
        <v/>
      </c>
      <c r="R248">
        <f>IF(F247&lt;=0,0,MIN(AK248,F$7+IF(F$2=$AA248,$AC248,IF(F$2=$AF248,$AG248,0))))</f>
        <v/>
      </c>
      <c r="S248">
        <f>IF(G247&lt;=0,0,MIN(AL248,G$7+IF(G$2=$AA248,$AC248,IF(G$2=$AF248,$AG248,0))))</f>
        <v/>
      </c>
      <c r="T248">
        <f>IF(H247&lt;=0,0,MIN(AM248,H$7+IF(H$2=$AA248,$AC248,IF(H$2=$AF248,$AG248,0))))</f>
        <v/>
      </c>
      <c r="U248">
        <f>IF(I247&lt;=0,0,MIN(AN248,I$7+IF(I$2=$AA248,$AC248,IF(I$2=$AF248,$AG248,0))))</f>
        <v/>
      </c>
      <c r="V248">
        <f>IF(J247&lt;=0,0,MIN(AO248,J$7+IF(J$2=$AA248,$AC248,IF(J$2=$AF248,$AG248,0))))</f>
        <v/>
      </c>
      <c r="W248">
        <f>IF(K247&lt;=0,0,MIN(AP248,K$7+IF(K$2=$AA248,$AC248,IF(K$2=$AF248,$AG248,0))))</f>
        <v/>
      </c>
      <c r="X248">
        <f>IF(L247&lt;=0,0,MIN(AQ248,L$7+IF(L$2=$AA248,$AC248,IF(L$2=$AF248,$AG248,0))))</f>
        <v/>
      </c>
      <c r="Y248">
        <f>IF(M247&lt;=0,0,MIN(AR248,M$7+IF(M$2=$AA248,$AC248,IF(M$2=$AF248,$AG248,0))))</f>
        <v/>
      </c>
      <c r="Z248">
        <f>IF(N247&lt;=0,0,MIN(AS248,N$7+IF(N$2=$AA248,$AC248,IF(N$2=$AF248,$AG248,0))))</f>
        <v/>
      </c>
      <c r="AA248">
        <f>IFERROR(ROUND(1/SUMPRODUCT(MAX((C247:N247&gt;0)*($C$3:$N$3&lt;=B248)/$C$2:$N$2)),0),0)</f>
        <v/>
      </c>
      <c r="AB248">
        <f>SUMPRODUCT((C247:N247&gt;0)*$C$7:$N$7)</f>
        <v/>
      </c>
      <c r="AC248">
        <f>MAX(0,Plan!$C$5-AB248)+IF(A248=Plan!$C$8,N(Plan!$C$7),0)</f>
        <v/>
      </c>
      <c r="AD248">
        <f>SUM(C248:N248)</f>
        <v/>
      </c>
      <c r="AE248">
        <f>SUM(O248:Z248)</f>
        <v/>
      </c>
      <c r="AF248">
        <f>IFERROR(ROUND(1/SUMPRODUCT(MAX((C247:N247&gt;0)*($C$3:$N$3&lt;=B248)*($C$2:$N$2&gt;AA248)/$C$2:$N$2)),0),0)</f>
        <v/>
      </c>
      <c r="AG248">
        <f>MAX(0,AC248-MAX(0,SUMPRODUCT(($C$2:$N$2=AA248)*(AH248:AS248-$C$7:$N$7))))</f>
        <v/>
      </c>
      <c r="AH248">
        <f>IF(C247&lt;=0,0,ROUND(C247*(1+IF(AND(C$6&gt;0,$B248&lt;C$6),C$4,C$5)/12),2))</f>
        <v/>
      </c>
      <c r="AI248">
        <f>IF(D247&lt;=0,0,ROUND(D247*(1+IF(AND(D$6&gt;0,$B248&lt;D$6),D$4,D$5)/12),2))</f>
        <v/>
      </c>
      <c r="AJ248">
        <f>IF(E247&lt;=0,0,ROUND(E247*(1+IF(AND(E$6&gt;0,$B248&lt;E$6),E$4,E$5)/12),2))</f>
        <v/>
      </c>
      <c r="AK248">
        <f>IF(F247&lt;=0,0,ROUND(F247*(1+IF(AND(F$6&gt;0,$B248&lt;F$6),F$4,F$5)/12),2))</f>
        <v/>
      </c>
      <c r="AL248">
        <f>IF(G247&lt;=0,0,ROUND(G247*(1+IF(AND(G$6&gt;0,$B248&lt;G$6),G$4,G$5)/12),2))</f>
        <v/>
      </c>
      <c r="AM248">
        <f>IF(H247&lt;=0,0,ROUND(H247*(1+IF(AND(H$6&gt;0,$B248&lt;H$6),H$4,H$5)/12),2))</f>
        <v/>
      </c>
      <c r="AN248">
        <f>IF(I247&lt;=0,0,ROUND(I247*(1+IF(AND(I$6&gt;0,$B248&lt;I$6),I$4,I$5)/12),2))</f>
        <v/>
      </c>
      <c r="AO248">
        <f>IF(J247&lt;=0,0,ROUND(J247*(1+IF(AND(J$6&gt;0,$B248&lt;J$6),J$4,J$5)/12),2))</f>
        <v/>
      </c>
      <c r="AP248">
        <f>IF(K247&lt;=0,0,ROUND(K247*(1+IF(AND(K$6&gt;0,$B248&lt;K$6),K$4,K$5)/12),2))</f>
        <v/>
      </c>
      <c r="AQ248">
        <f>IF(L247&lt;=0,0,ROUND(L247*(1+IF(AND(L$6&gt;0,$B248&lt;L$6),L$4,L$5)/12),2))</f>
        <v/>
      </c>
      <c r="AR248">
        <f>IF(M247&lt;=0,0,ROUND(M247*(1+IF(AND(M$6&gt;0,$B248&lt;M$6),M$4,M$5)/12),2))</f>
        <v/>
      </c>
      <c r="AS248">
        <f>IF(N247&lt;=0,0,ROUND(N247*(1+IF(AND(N$6&gt;0,$B248&lt;N$6),N$4,N$5)/12),2))</f>
        <v/>
      </c>
    </row>
    <row r="249">
      <c r="A249" t="n">
        <v>238</v>
      </c>
      <c r="B249">
        <f>EDATE(Plan!$C$6,237)</f>
        <v/>
      </c>
      <c r="C249">
        <f>IF(C248&lt;=0,0,MAX(0,AH249-O249))</f>
        <v/>
      </c>
      <c r="D249">
        <f>IF(D248&lt;=0,0,MAX(0,AI249-P249))</f>
        <v/>
      </c>
      <c r="E249">
        <f>IF(E248&lt;=0,0,MAX(0,AJ249-Q249))</f>
        <v/>
      </c>
      <c r="F249">
        <f>IF(F248&lt;=0,0,MAX(0,AK249-R249))</f>
        <v/>
      </c>
      <c r="G249">
        <f>IF(G248&lt;=0,0,MAX(0,AL249-S249))</f>
        <v/>
      </c>
      <c r="H249">
        <f>IF(H248&lt;=0,0,MAX(0,AM249-T249))</f>
        <v/>
      </c>
      <c r="I249">
        <f>IF(I248&lt;=0,0,MAX(0,AN249-U249))</f>
        <v/>
      </c>
      <c r="J249">
        <f>IF(J248&lt;=0,0,MAX(0,AO249-V249))</f>
        <v/>
      </c>
      <c r="K249">
        <f>IF(K248&lt;=0,0,MAX(0,AP249-W249))</f>
        <v/>
      </c>
      <c r="L249">
        <f>IF(L248&lt;=0,0,MAX(0,AQ249-X249))</f>
        <v/>
      </c>
      <c r="M249">
        <f>IF(M248&lt;=0,0,MAX(0,AR249-Y249))</f>
        <v/>
      </c>
      <c r="N249">
        <f>IF(N248&lt;=0,0,MAX(0,AS249-Z249))</f>
        <v/>
      </c>
      <c r="O249">
        <f>IF(C248&lt;=0,0,MIN(AH249,C$7+IF(C$2=$AA249,$AC249,IF(C$2=$AF249,$AG249,0))))</f>
        <v/>
      </c>
      <c r="P249">
        <f>IF(D248&lt;=0,0,MIN(AI249,D$7+IF(D$2=$AA249,$AC249,IF(D$2=$AF249,$AG249,0))))</f>
        <v/>
      </c>
      <c r="Q249">
        <f>IF(E248&lt;=0,0,MIN(AJ249,E$7+IF(E$2=$AA249,$AC249,IF(E$2=$AF249,$AG249,0))))</f>
        <v/>
      </c>
      <c r="R249">
        <f>IF(F248&lt;=0,0,MIN(AK249,F$7+IF(F$2=$AA249,$AC249,IF(F$2=$AF249,$AG249,0))))</f>
        <v/>
      </c>
      <c r="S249">
        <f>IF(G248&lt;=0,0,MIN(AL249,G$7+IF(G$2=$AA249,$AC249,IF(G$2=$AF249,$AG249,0))))</f>
        <v/>
      </c>
      <c r="T249">
        <f>IF(H248&lt;=0,0,MIN(AM249,H$7+IF(H$2=$AA249,$AC249,IF(H$2=$AF249,$AG249,0))))</f>
        <v/>
      </c>
      <c r="U249">
        <f>IF(I248&lt;=0,0,MIN(AN249,I$7+IF(I$2=$AA249,$AC249,IF(I$2=$AF249,$AG249,0))))</f>
        <v/>
      </c>
      <c r="V249">
        <f>IF(J248&lt;=0,0,MIN(AO249,J$7+IF(J$2=$AA249,$AC249,IF(J$2=$AF249,$AG249,0))))</f>
        <v/>
      </c>
      <c r="W249">
        <f>IF(K248&lt;=0,0,MIN(AP249,K$7+IF(K$2=$AA249,$AC249,IF(K$2=$AF249,$AG249,0))))</f>
        <v/>
      </c>
      <c r="X249">
        <f>IF(L248&lt;=0,0,MIN(AQ249,L$7+IF(L$2=$AA249,$AC249,IF(L$2=$AF249,$AG249,0))))</f>
        <v/>
      </c>
      <c r="Y249">
        <f>IF(M248&lt;=0,0,MIN(AR249,M$7+IF(M$2=$AA249,$AC249,IF(M$2=$AF249,$AG249,0))))</f>
        <v/>
      </c>
      <c r="Z249">
        <f>IF(N248&lt;=0,0,MIN(AS249,N$7+IF(N$2=$AA249,$AC249,IF(N$2=$AF249,$AG249,0))))</f>
        <v/>
      </c>
      <c r="AA249">
        <f>IFERROR(ROUND(1/SUMPRODUCT(MAX((C248:N248&gt;0)*($C$3:$N$3&lt;=B249)/$C$2:$N$2)),0),0)</f>
        <v/>
      </c>
      <c r="AB249">
        <f>SUMPRODUCT((C248:N248&gt;0)*$C$7:$N$7)</f>
        <v/>
      </c>
      <c r="AC249">
        <f>MAX(0,Plan!$C$5-AB249)+IF(A249=Plan!$C$8,N(Plan!$C$7),0)</f>
        <v/>
      </c>
      <c r="AD249">
        <f>SUM(C249:N249)</f>
        <v/>
      </c>
      <c r="AE249">
        <f>SUM(O249:Z249)</f>
        <v/>
      </c>
      <c r="AF249">
        <f>IFERROR(ROUND(1/SUMPRODUCT(MAX((C248:N248&gt;0)*($C$3:$N$3&lt;=B249)*($C$2:$N$2&gt;AA249)/$C$2:$N$2)),0),0)</f>
        <v/>
      </c>
      <c r="AG249">
        <f>MAX(0,AC249-MAX(0,SUMPRODUCT(($C$2:$N$2=AA249)*(AH249:AS249-$C$7:$N$7))))</f>
        <v/>
      </c>
      <c r="AH249">
        <f>IF(C248&lt;=0,0,ROUND(C248*(1+IF(AND(C$6&gt;0,$B249&lt;C$6),C$4,C$5)/12),2))</f>
        <v/>
      </c>
      <c r="AI249">
        <f>IF(D248&lt;=0,0,ROUND(D248*(1+IF(AND(D$6&gt;0,$B249&lt;D$6),D$4,D$5)/12),2))</f>
        <v/>
      </c>
      <c r="AJ249">
        <f>IF(E248&lt;=0,0,ROUND(E248*(1+IF(AND(E$6&gt;0,$B249&lt;E$6),E$4,E$5)/12),2))</f>
        <v/>
      </c>
      <c r="AK249">
        <f>IF(F248&lt;=0,0,ROUND(F248*(1+IF(AND(F$6&gt;0,$B249&lt;F$6),F$4,F$5)/12),2))</f>
        <v/>
      </c>
      <c r="AL249">
        <f>IF(G248&lt;=0,0,ROUND(G248*(1+IF(AND(G$6&gt;0,$B249&lt;G$6),G$4,G$5)/12),2))</f>
        <v/>
      </c>
      <c r="AM249">
        <f>IF(H248&lt;=0,0,ROUND(H248*(1+IF(AND(H$6&gt;0,$B249&lt;H$6),H$4,H$5)/12),2))</f>
        <v/>
      </c>
      <c r="AN249">
        <f>IF(I248&lt;=0,0,ROUND(I248*(1+IF(AND(I$6&gt;0,$B249&lt;I$6),I$4,I$5)/12),2))</f>
        <v/>
      </c>
      <c r="AO249">
        <f>IF(J248&lt;=0,0,ROUND(J248*(1+IF(AND(J$6&gt;0,$B249&lt;J$6),J$4,J$5)/12),2))</f>
        <v/>
      </c>
      <c r="AP249">
        <f>IF(K248&lt;=0,0,ROUND(K248*(1+IF(AND(K$6&gt;0,$B249&lt;K$6),K$4,K$5)/12),2))</f>
        <v/>
      </c>
      <c r="AQ249">
        <f>IF(L248&lt;=0,0,ROUND(L248*(1+IF(AND(L$6&gt;0,$B249&lt;L$6),L$4,L$5)/12),2))</f>
        <v/>
      </c>
      <c r="AR249">
        <f>IF(M248&lt;=0,0,ROUND(M248*(1+IF(AND(M$6&gt;0,$B249&lt;M$6),M$4,M$5)/12),2))</f>
        <v/>
      </c>
      <c r="AS249">
        <f>IF(N248&lt;=0,0,ROUND(N248*(1+IF(AND(N$6&gt;0,$B249&lt;N$6),N$4,N$5)/12),2))</f>
        <v/>
      </c>
    </row>
    <row r="250">
      <c r="A250" t="n">
        <v>239</v>
      </c>
      <c r="B250">
        <f>EDATE(Plan!$C$6,238)</f>
        <v/>
      </c>
      <c r="C250">
        <f>IF(C249&lt;=0,0,MAX(0,AH250-O250))</f>
        <v/>
      </c>
      <c r="D250">
        <f>IF(D249&lt;=0,0,MAX(0,AI250-P250))</f>
        <v/>
      </c>
      <c r="E250">
        <f>IF(E249&lt;=0,0,MAX(0,AJ250-Q250))</f>
        <v/>
      </c>
      <c r="F250">
        <f>IF(F249&lt;=0,0,MAX(0,AK250-R250))</f>
        <v/>
      </c>
      <c r="G250">
        <f>IF(G249&lt;=0,0,MAX(0,AL250-S250))</f>
        <v/>
      </c>
      <c r="H250">
        <f>IF(H249&lt;=0,0,MAX(0,AM250-T250))</f>
        <v/>
      </c>
      <c r="I250">
        <f>IF(I249&lt;=0,0,MAX(0,AN250-U250))</f>
        <v/>
      </c>
      <c r="J250">
        <f>IF(J249&lt;=0,0,MAX(0,AO250-V250))</f>
        <v/>
      </c>
      <c r="K250">
        <f>IF(K249&lt;=0,0,MAX(0,AP250-W250))</f>
        <v/>
      </c>
      <c r="L250">
        <f>IF(L249&lt;=0,0,MAX(0,AQ250-X250))</f>
        <v/>
      </c>
      <c r="M250">
        <f>IF(M249&lt;=0,0,MAX(0,AR250-Y250))</f>
        <v/>
      </c>
      <c r="N250">
        <f>IF(N249&lt;=0,0,MAX(0,AS250-Z250))</f>
        <v/>
      </c>
      <c r="O250">
        <f>IF(C249&lt;=0,0,MIN(AH250,C$7+IF(C$2=$AA250,$AC250,IF(C$2=$AF250,$AG250,0))))</f>
        <v/>
      </c>
      <c r="P250">
        <f>IF(D249&lt;=0,0,MIN(AI250,D$7+IF(D$2=$AA250,$AC250,IF(D$2=$AF250,$AG250,0))))</f>
        <v/>
      </c>
      <c r="Q250">
        <f>IF(E249&lt;=0,0,MIN(AJ250,E$7+IF(E$2=$AA250,$AC250,IF(E$2=$AF250,$AG250,0))))</f>
        <v/>
      </c>
      <c r="R250">
        <f>IF(F249&lt;=0,0,MIN(AK250,F$7+IF(F$2=$AA250,$AC250,IF(F$2=$AF250,$AG250,0))))</f>
        <v/>
      </c>
      <c r="S250">
        <f>IF(G249&lt;=0,0,MIN(AL250,G$7+IF(G$2=$AA250,$AC250,IF(G$2=$AF250,$AG250,0))))</f>
        <v/>
      </c>
      <c r="T250">
        <f>IF(H249&lt;=0,0,MIN(AM250,H$7+IF(H$2=$AA250,$AC250,IF(H$2=$AF250,$AG250,0))))</f>
        <v/>
      </c>
      <c r="U250">
        <f>IF(I249&lt;=0,0,MIN(AN250,I$7+IF(I$2=$AA250,$AC250,IF(I$2=$AF250,$AG250,0))))</f>
        <v/>
      </c>
      <c r="V250">
        <f>IF(J249&lt;=0,0,MIN(AO250,J$7+IF(J$2=$AA250,$AC250,IF(J$2=$AF250,$AG250,0))))</f>
        <v/>
      </c>
      <c r="W250">
        <f>IF(K249&lt;=0,0,MIN(AP250,K$7+IF(K$2=$AA250,$AC250,IF(K$2=$AF250,$AG250,0))))</f>
        <v/>
      </c>
      <c r="X250">
        <f>IF(L249&lt;=0,0,MIN(AQ250,L$7+IF(L$2=$AA250,$AC250,IF(L$2=$AF250,$AG250,0))))</f>
        <v/>
      </c>
      <c r="Y250">
        <f>IF(M249&lt;=0,0,MIN(AR250,M$7+IF(M$2=$AA250,$AC250,IF(M$2=$AF250,$AG250,0))))</f>
        <v/>
      </c>
      <c r="Z250">
        <f>IF(N249&lt;=0,0,MIN(AS250,N$7+IF(N$2=$AA250,$AC250,IF(N$2=$AF250,$AG250,0))))</f>
        <v/>
      </c>
      <c r="AA250">
        <f>IFERROR(ROUND(1/SUMPRODUCT(MAX((C249:N249&gt;0)*($C$3:$N$3&lt;=B250)/$C$2:$N$2)),0),0)</f>
        <v/>
      </c>
      <c r="AB250">
        <f>SUMPRODUCT((C249:N249&gt;0)*$C$7:$N$7)</f>
        <v/>
      </c>
      <c r="AC250">
        <f>MAX(0,Plan!$C$5-AB250)+IF(A250=Plan!$C$8,N(Plan!$C$7),0)</f>
        <v/>
      </c>
      <c r="AD250">
        <f>SUM(C250:N250)</f>
        <v/>
      </c>
      <c r="AE250">
        <f>SUM(O250:Z250)</f>
        <v/>
      </c>
      <c r="AF250">
        <f>IFERROR(ROUND(1/SUMPRODUCT(MAX((C249:N249&gt;0)*($C$3:$N$3&lt;=B250)*($C$2:$N$2&gt;AA250)/$C$2:$N$2)),0),0)</f>
        <v/>
      </c>
      <c r="AG250">
        <f>MAX(0,AC250-MAX(0,SUMPRODUCT(($C$2:$N$2=AA250)*(AH250:AS250-$C$7:$N$7))))</f>
        <v/>
      </c>
      <c r="AH250">
        <f>IF(C249&lt;=0,0,ROUND(C249*(1+IF(AND(C$6&gt;0,$B250&lt;C$6),C$4,C$5)/12),2))</f>
        <v/>
      </c>
      <c r="AI250">
        <f>IF(D249&lt;=0,0,ROUND(D249*(1+IF(AND(D$6&gt;0,$B250&lt;D$6),D$4,D$5)/12),2))</f>
        <v/>
      </c>
      <c r="AJ250">
        <f>IF(E249&lt;=0,0,ROUND(E249*(1+IF(AND(E$6&gt;0,$B250&lt;E$6),E$4,E$5)/12),2))</f>
        <v/>
      </c>
      <c r="AK250">
        <f>IF(F249&lt;=0,0,ROUND(F249*(1+IF(AND(F$6&gt;0,$B250&lt;F$6),F$4,F$5)/12),2))</f>
        <v/>
      </c>
      <c r="AL250">
        <f>IF(G249&lt;=0,0,ROUND(G249*(1+IF(AND(G$6&gt;0,$B250&lt;G$6),G$4,G$5)/12),2))</f>
        <v/>
      </c>
      <c r="AM250">
        <f>IF(H249&lt;=0,0,ROUND(H249*(1+IF(AND(H$6&gt;0,$B250&lt;H$6),H$4,H$5)/12),2))</f>
        <v/>
      </c>
      <c r="AN250">
        <f>IF(I249&lt;=0,0,ROUND(I249*(1+IF(AND(I$6&gt;0,$B250&lt;I$6),I$4,I$5)/12),2))</f>
        <v/>
      </c>
      <c r="AO250">
        <f>IF(J249&lt;=0,0,ROUND(J249*(1+IF(AND(J$6&gt;0,$B250&lt;J$6),J$4,J$5)/12),2))</f>
        <v/>
      </c>
      <c r="AP250">
        <f>IF(K249&lt;=0,0,ROUND(K249*(1+IF(AND(K$6&gt;0,$B250&lt;K$6),K$4,K$5)/12),2))</f>
        <v/>
      </c>
      <c r="AQ250">
        <f>IF(L249&lt;=0,0,ROUND(L249*(1+IF(AND(L$6&gt;0,$B250&lt;L$6),L$4,L$5)/12),2))</f>
        <v/>
      </c>
      <c r="AR250">
        <f>IF(M249&lt;=0,0,ROUND(M249*(1+IF(AND(M$6&gt;0,$B250&lt;M$6),M$4,M$5)/12),2))</f>
        <v/>
      </c>
      <c r="AS250">
        <f>IF(N249&lt;=0,0,ROUND(N249*(1+IF(AND(N$6&gt;0,$B250&lt;N$6),N$4,N$5)/12),2))</f>
        <v/>
      </c>
    </row>
    <row r="251">
      <c r="A251" t="n">
        <v>240</v>
      </c>
      <c r="B251">
        <f>EDATE(Plan!$C$6,239)</f>
        <v/>
      </c>
      <c r="C251">
        <f>IF(C250&lt;=0,0,MAX(0,AH251-O251))</f>
        <v/>
      </c>
      <c r="D251">
        <f>IF(D250&lt;=0,0,MAX(0,AI251-P251))</f>
        <v/>
      </c>
      <c r="E251">
        <f>IF(E250&lt;=0,0,MAX(0,AJ251-Q251))</f>
        <v/>
      </c>
      <c r="F251">
        <f>IF(F250&lt;=0,0,MAX(0,AK251-R251))</f>
        <v/>
      </c>
      <c r="G251">
        <f>IF(G250&lt;=0,0,MAX(0,AL251-S251))</f>
        <v/>
      </c>
      <c r="H251">
        <f>IF(H250&lt;=0,0,MAX(0,AM251-T251))</f>
        <v/>
      </c>
      <c r="I251">
        <f>IF(I250&lt;=0,0,MAX(0,AN251-U251))</f>
        <v/>
      </c>
      <c r="J251">
        <f>IF(J250&lt;=0,0,MAX(0,AO251-V251))</f>
        <v/>
      </c>
      <c r="K251">
        <f>IF(K250&lt;=0,0,MAX(0,AP251-W251))</f>
        <v/>
      </c>
      <c r="L251">
        <f>IF(L250&lt;=0,0,MAX(0,AQ251-X251))</f>
        <v/>
      </c>
      <c r="M251">
        <f>IF(M250&lt;=0,0,MAX(0,AR251-Y251))</f>
        <v/>
      </c>
      <c r="N251">
        <f>IF(N250&lt;=0,0,MAX(0,AS251-Z251))</f>
        <v/>
      </c>
      <c r="O251">
        <f>IF(C250&lt;=0,0,MIN(AH251,C$7+IF(C$2=$AA251,$AC251,IF(C$2=$AF251,$AG251,0))))</f>
        <v/>
      </c>
      <c r="P251">
        <f>IF(D250&lt;=0,0,MIN(AI251,D$7+IF(D$2=$AA251,$AC251,IF(D$2=$AF251,$AG251,0))))</f>
        <v/>
      </c>
      <c r="Q251">
        <f>IF(E250&lt;=0,0,MIN(AJ251,E$7+IF(E$2=$AA251,$AC251,IF(E$2=$AF251,$AG251,0))))</f>
        <v/>
      </c>
      <c r="R251">
        <f>IF(F250&lt;=0,0,MIN(AK251,F$7+IF(F$2=$AA251,$AC251,IF(F$2=$AF251,$AG251,0))))</f>
        <v/>
      </c>
      <c r="S251">
        <f>IF(G250&lt;=0,0,MIN(AL251,G$7+IF(G$2=$AA251,$AC251,IF(G$2=$AF251,$AG251,0))))</f>
        <v/>
      </c>
      <c r="T251">
        <f>IF(H250&lt;=0,0,MIN(AM251,H$7+IF(H$2=$AA251,$AC251,IF(H$2=$AF251,$AG251,0))))</f>
        <v/>
      </c>
      <c r="U251">
        <f>IF(I250&lt;=0,0,MIN(AN251,I$7+IF(I$2=$AA251,$AC251,IF(I$2=$AF251,$AG251,0))))</f>
        <v/>
      </c>
      <c r="V251">
        <f>IF(J250&lt;=0,0,MIN(AO251,J$7+IF(J$2=$AA251,$AC251,IF(J$2=$AF251,$AG251,0))))</f>
        <v/>
      </c>
      <c r="W251">
        <f>IF(K250&lt;=0,0,MIN(AP251,K$7+IF(K$2=$AA251,$AC251,IF(K$2=$AF251,$AG251,0))))</f>
        <v/>
      </c>
      <c r="X251">
        <f>IF(L250&lt;=0,0,MIN(AQ251,L$7+IF(L$2=$AA251,$AC251,IF(L$2=$AF251,$AG251,0))))</f>
        <v/>
      </c>
      <c r="Y251">
        <f>IF(M250&lt;=0,0,MIN(AR251,M$7+IF(M$2=$AA251,$AC251,IF(M$2=$AF251,$AG251,0))))</f>
        <v/>
      </c>
      <c r="Z251">
        <f>IF(N250&lt;=0,0,MIN(AS251,N$7+IF(N$2=$AA251,$AC251,IF(N$2=$AF251,$AG251,0))))</f>
        <v/>
      </c>
      <c r="AA251">
        <f>IFERROR(ROUND(1/SUMPRODUCT(MAX((C250:N250&gt;0)*($C$3:$N$3&lt;=B251)/$C$2:$N$2)),0),0)</f>
        <v/>
      </c>
      <c r="AB251">
        <f>SUMPRODUCT((C250:N250&gt;0)*$C$7:$N$7)</f>
        <v/>
      </c>
      <c r="AC251">
        <f>MAX(0,Plan!$C$5-AB251)+IF(A251=Plan!$C$8,N(Plan!$C$7),0)</f>
        <v/>
      </c>
      <c r="AD251">
        <f>SUM(C251:N251)</f>
        <v/>
      </c>
      <c r="AE251">
        <f>SUM(O251:Z251)</f>
        <v/>
      </c>
      <c r="AF251">
        <f>IFERROR(ROUND(1/SUMPRODUCT(MAX((C250:N250&gt;0)*($C$3:$N$3&lt;=B251)*($C$2:$N$2&gt;AA251)/$C$2:$N$2)),0),0)</f>
        <v/>
      </c>
      <c r="AG251">
        <f>MAX(0,AC251-MAX(0,SUMPRODUCT(($C$2:$N$2=AA251)*(AH251:AS251-$C$7:$N$7))))</f>
        <v/>
      </c>
      <c r="AH251">
        <f>IF(C250&lt;=0,0,ROUND(C250*(1+IF(AND(C$6&gt;0,$B251&lt;C$6),C$4,C$5)/12),2))</f>
        <v/>
      </c>
      <c r="AI251">
        <f>IF(D250&lt;=0,0,ROUND(D250*(1+IF(AND(D$6&gt;0,$B251&lt;D$6),D$4,D$5)/12),2))</f>
        <v/>
      </c>
      <c r="AJ251">
        <f>IF(E250&lt;=0,0,ROUND(E250*(1+IF(AND(E$6&gt;0,$B251&lt;E$6),E$4,E$5)/12),2))</f>
        <v/>
      </c>
      <c r="AK251">
        <f>IF(F250&lt;=0,0,ROUND(F250*(1+IF(AND(F$6&gt;0,$B251&lt;F$6),F$4,F$5)/12),2))</f>
        <v/>
      </c>
      <c r="AL251">
        <f>IF(G250&lt;=0,0,ROUND(G250*(1+IF(AND(G$6&gt;0,$B251&lt;G$6),G$4,G$5)/12),2))</f>
        <v/>
      </c>
      <c r="AM251">
        <f>IF(H250&lt;=0,0,ROUND(H250*(1+IF(AND(H$6&gt;0,$B251&lt;H$6),H$4,H$5)/12),2))</f>
        <v/>
      </c>
      <c r="AN251">
        <f>IF(I250&lt;=0,0,ROUND(I250*(1+IF(AND(I$6&gt;0,$B251&lt;I$6),I$4,I$5)/12),2))</f>
        <v/>
      </c>
      <c r="AO251">
        <f>IF(J250&lt;=0,0,ROUND(J250*(1+IF(AND(J$6&gt;0,$B251&lt;J$6),J$4,J$5)/12),2))</f>
        <v/>
      </c>
      <c r="AP251">
        <f>IF(K250&lt;=0,0,ROUND(K250*(1+IF(AND(K$6&gt;0,$B251&lt;K$6),K$4,K$5)/12),2))</f>
        <v/>
      </c>
      <c r="AQ251">
        <f>IF(L250&lt;=0,0,ROUND(L250*(1+IF(AND(L$6&gt;0,$B251&lt;L$6),L$4,L$5)/12),2))</f>
        <v/>
      </c>
      <c r="AR251">
        <f>IF(M250&lt;=0,0,ROUND(M250*(1+IF(AND(M$6&gt;0,$B251&lt;M$6),M$4,M$5)/12),2))</f>
        <v/>
      </c>
      <c r="AS251">
        <f>IF(N250&lt;=0,0,ROUND(N250*(1+IF(AND(N$6&gt;0,$B251&lt;N$6),N$4,N$5)/12),2))</f>
        <v/>
      </c>
    </row>
    <row r="252">
      <c r="A252" t="n">
        <v>241</v>
      </c>
      <c r="B252">
        <f>EDATE(Plan!$C$6,240)</f>
        <v/>
      </c>
      <c r="C252">
        <f>IF(C251&lt;=0,0,MAX(0,AH252-O252))</f>
        <v/>
      </c>
      <c r="D252">
        <f>IF(D251&lt;=0,0,MAX(0,AI252-P252))</f>
        <v/>
      </c>
      <c r="E252">
        <f>IF(E251&lt;=0,0,MAX(0,AJ252-Q252))</f>
        <v/>
      </c>
      <c r="F252">
        <f>IF(F251&lt;=0,0,MAX(0,AK252-R252))</f>
        <v/>
      </c>
      <c r="G252">
        <f>IF(G251&lt;=0,0,MAX(0,AL252-S252))</f>
        <v/>
      </c>
      <c r="H252">
        <f>IF(H251&lt;=0,0,MAX(0,AM252-T252))</f>
        <v/>
      </c>
      <c r="I252">
        <f>IF(I251&lt;=0,0,MAX(0,AN252-U252))</f>
        <v/>
      </c>
      <c r="J252">
        <f>IF(J251&lt;=0,0,MAX(0,AO252-V252))</f>
        <v/>
      </c>
      <c r="K252">
        <f>IF(K251&lt;=0,0,MAX(0,AP252-W252))</f>
        <v/>
      </c>
      <c r="L252">
        <f>IF(L251&lt;=0,0,MAX(0,AQ252-X252))</f>
        <v/>
      </c>
      <c r="M252">
        <f>IF(M251&lt;=0,0,MAX(0,AR252-Y252))</f>
        <v/>
      </c>
      <c r="N252">
        <f>IF(N251&lt;=0,0,MAX(0,AS252-Z252))</f>
        <v/>
      </c>
      <c r="O252">
        <f>IF(C251&lt;=0,0,MIN(AH252,C$7+IF(C$2=$AA252,$AC252,IF(C$2=$AF252,$AG252,0))))</f>
        <v/>
      </c>
      <c r="P252">
        <f>IF(D251&lt;=0,0,MIN(AI252,D$7+IF(D$2=$AA252,$AC252,IF(D$2=$AF252,$AG252,0))))</f>
        <v/>
      </c>
      <c r="Q252">
        <f>IF(E251&lt;=0,0,MIN(AJ252,E$7+IF(E$2=$AA252,$AC252,IF(E$2=$AF252,$AG252,0))))</f>
        <v/>
      </c>
      <c r="R252">
        <f>IF(F251&lt;=0,0,MIN(AK252,F$7+IF(F$2=$AA252,$AC252,IF(F$2=$AF252,$AG252,0))))</f>
        <v/>
      </c>
      <c r="S252">
        <f>IF(G251&lt;=0,0,MIN(AL252,G$7+IF(G$2=$AA252,$AC252,IF(G$2=$AF252,$AG252,0))))</f>
        <v/>
      </c>
      <c r="T252">
        <f>IF(H251&lt;=0,0,MIN(AM252,H$7+IF(H$2=$AA252,$AC252,IF(H$2=$AF252,$AG252,0))))</f>
        <v/>
      </c>
      <c r="U252">
        <f>IF(I251&lt;=0,0,MIN(AN252,I$7+IF(I$2=$AA252,$AC252,IF(I$2=$AF252,$AG252,0))))</f>
        <v/>
      </c>
      <c r="V252">
        <f>IF(J251&lt;=0,0,MIN(AO252,J$7+IF(J$2=$AA252,$AC252,IF(J$2=$AF252,$AG252,0))))</f>
        <v/>
      </c>
      <c r="W252">
        <f>IF(K251&lt;=0,0,MIN(AP252,K$7+IF(K$2=$AA252,$AC252,IF(K$2=$AF252,$AG252,0))))</f>
        <v/>
      </c>
      <c r="X252">
        <f>IF(L251&lt;=0,0,MIN(AQ252,L$7+IF(L$2=$AA252,$AC252,IF(L$2=$AF252,$AG252,0))))</f>
        <v/>
      </c>
      <c r="Y252">
        <f>IF(M251&lt;=0,0,MIN(AR252,M$7+IF(M$2=$AA252,$AC252,IF(M$2=$AF252,$AG252,0))))</f>
        <v/>
      </c>
      <c r="Z252">
        <f>IF(N251&lt;=0,0,MIN(AS252,N$7+IF(N$2=$AA252,$AC252,IF(N$2=$AF252,$AG252,0))))</f>
        <v/>
      </c>
      <c r="AA252">
        <f>IFERROR(ROUND(1/SUMPRODUCT(MAX((C251:N251&gt;0)*($C$3:$N$3&lt;=B252)/$C$2:$N$2)),0),0)</f>
        <v/>
      </c>
      <c r="AB252">
        <f>SUMPRODUCT((C251:N251&gt;0)*$C$7:$N$7)</f>
        <v/>
      </c>
      <c r="AC252">
        <f>MAX(0,Plan!$C$5-AB252)+IF(A252=Plan!$C$8,N(Plan!$C$7),0)</f>
        <v/>
      </c>
      <c r="AD252">
        <f>SUM(C252:N252)</f>
        <v/>
      </c>
      <c r="AE252">
        <f>SUM(O252:Z252)</f>
        <v/>
      </c>
      <c r="AF252">
        <f>IFERROR(ROUND(1/SUMPRODUCT(MAX((C251:N251&gt;0)*($C$3:$N$3&lt;=B252)*($C$2:$N$2&gt;AA252)/$C$2:$N$2)),0),0)</f>
        <v/>
      </c>
      <c r="AG252">
        <f>MAX(0,AC252-MAX(0,SUMPRODUCT(($C$2:$N$2=AA252)*(AH252:AS252-$C$7:$N$7))))</f>
        <v/>
      </c>
      <c r="AH252">
        <f>IF(C251&lt;=0,0,ROUND(C251*(1+IF(AND(C$6&gt;0,$B252&lt;C$6),C$4,C$5)/12),2))</f>
        <v/>
      </c>
      <c r="AI252">
        <f>IF(D251&lt;=0,0,ROUND(D251*(1+IF(AND(D$6&gt;0,$B252&lt;D$6),D$4,D$5)/12),2))</f>
        <v/>
      </c>
      <c r="AJ252">
        <f>IF(E251&lt;=0,0,ROUND(E251*(1+IF(AND(E$6&gt;0,$B252&lt;E$6),E$4,E$5)/12),2))</f>
        <v/>
      </c>
      <c r="AK252">
        <f>IF(F251&lt;=0,0,ROUND(F251*(1+IF(AND(F$6&gt;0,$B252&lt;F$6),F$4,F$5)/12),2))</f>
        <v/>
      </c>
      <c r="AL252">
        <f>IF(G251&lt;=0,0,ROUND(G251*(1+IF(AND(G$6&gt;0,$B252&lt;G$6),G$4,G$5)/12),2))</f>
        <v/>
      </c>
      <c r="AM252">
        <f>IF(H251&lt;=0,0,ROUND(H251*(1+IF(AND(H$6&gt;0,$B252&lt;H$6),H$4,H$5)/12),2))</f>
        <v/>
      </c>
      <c r="AN252">
        <f>IF(I251&lt;=0,0,ROUND(I251*(1+IF(AND(I$6&gt;0,$B252&lt;I$6),I$4,I$5)/12),2))</f>
        <v/>
      </c>
      <c r="AO252">
        <f>IF(J251&lt;=0,0,ROUND(J251*(1+IF(AND(J$6&gt;0,$B252&lt;J$6),J$4,J$5)/12),2))</f>
        <v/>
      </c>
      <c r="AP252">
        <f>IF(K251&lt;=0,0,ROUND(K251*(1+IF(AND(K$6&gt;0,$B252&lt;K$6),K$4,K$5)/12),2))</f>
        <v/>
      </c>
      <c r="AQ252">
        <f>IF(L251&lt;=0,0,ROUND(L251*(1+IF(AND(L$6&gt;0,$B252&lt;L$6),L$4,L$5)/12),2))</f>
        <v/>
      </c>
      <c r="AR252">
        <f>IF(M251&lt;=0,0,ROUND(M251*(1+IF(AND(M$6&gt;0,$B252&lt;M$6),M$4,M$5)/12),2))</f>
        <v/>
      </c>
      <c r="AS252">
        <f>IF(N251&lt;=0,0,ROUND(N251*(1+IF(AND(N$6&gt;0,$B252&lt;N$6),N$4,N$5)/12),2))</f>
        <v/>
      </c>
    </row>
    <row r="253">
      <c r="A253" t="n">
        <v>242</v>
      </c>
      <c r="B253">
        <f>EDATE(Plan!$C$6,241)</f>
        <v/>
      </c>
      <c r="C253">
        <f>IF(C252&lt;=0,0,MAX(0,AH253-O253))</f>
        <v/>
      </c>
      <c r="D253">
        <f>IF(D252&lt;=0,0,MAX(0,AI253-P253))</f>
        <v/>
      </c>
      <c r="E253">
        <f>IF(E252&lt;=0,0,MAX(0,AJ253-Q253))</f>
        <v/>
      </c>
      <c r="F253">
        <f>IF(F252&lt;=0,0,MAX(0,AK253-R253))</f>
        <v/>
      </c>
      <c r="G253">
        <f>IF(G252&lt;=0,0,MAX(0,AL253-S253))</f>
        <v/>
      </c>
      <c r="H253">
        <f>IF(H252&lt;=0,0,MAX(0,AM253-T253))</f>
        <v/>
      </c>
      <c r="I253">
        <f>IF(I252&lt;=0,0,MAX(0,AN253-U253))</f>
        <v/>
      </c>
      <c r="J253">
        <f>IF(J252&lt;=0,0,MAX(0,AO253-V253))</f>
        <v/>
      </c>
      <c r="K253">
        <f>IF(K252&lt;=0,0,MAX(0,AP253-W253))</f>
        <v/>
      </c>
      <c r="L253">
        <f>IF(L252&lt;=0,0,MAX(0,AQ253-X253))</f>
        <v/>
      </c>
      <c r="M253">
        <f>IF(M252&lt;=0,0,MAX(0,AR253-Y253))</f>
        <v/>
      </c>
      <c r="N253">
        <f>IF(N252&lt;=0,0,MAX(0,AS253-Z253))</f>
        <v/>
      </c>
      <c r="O253">
        <f>IF(C252&lt;=0,0,MIN(AH253,C$7+IF(C$2=$AA253,$AC253,IF(C$2=$AF253,$AG253,0))))</f>
        <v/>
      </c>
      <c r="P253">
        <f>IF(D252&lt;=0,0,MIN(AI253,D$7+IF(D$2=$AA253,$AC253,IF(D$2=$AF253,$AG253,0))))</f>
        <v/>
      </c>
      <c r="Q253">
        <f>IF(E252&lt;=0,0,MIN(AJ253,E$7+IF(E$2=$AA253,$AC253,IF(E$2=$AF253,$AG253,0))))</f>
        <v/>
      </c>
      <c r="R253">
        <f>IF(F252&lt;=0,0,MIN(AK253,F$7+IF(F$2=$AA253,$AC253,IF(F$2=$AF253,$AG253,0))))</f>
        <v/>
      </c>
      <c r="S253">
        <f>IF(G252&lt;=0,0,MIN(AL253,G$7+IF(G$2=$AA253,$AC253,IF(G$2=$AF253,$AG253,0))))</f>
        <v/>
      </c>
      <c r="T253">
        <f>IF(H252&lt;=0,0,MIN(AM253,H$7+IF(H$2=$AA253,$AC253,IF(H$2=$AF253,$AG253,0))))</f>
        <v/>
      </c>
      <c r="U253">
        <f>IF(I252&lt;=0,0,MIN(AN253,I$7+IF(I$2=$AA253,$AC253,IF(I$2=$AF253,$AG253,0))))</f>
        <v/>
      </c>
      <c r="V253">
        <f>IF(J252&lt;=0,0,MIN(AO253,J$7+IF(J$2=$AA253,$AC253,IF(J$2=$AF253,$AG253,0))))</f>
        <v/>
      </c>
      <c r="W253">
        <f>IF(K252&lt;=0,0,MIN(AP253,K$7+IF(K$2=$AA253,$AC253,IF(K$2=$AF253,$AG253,0))))</f>
        <v/>
      </c>
      <c r="X253">
        <f>IF(L252&lt;=0,0,MIN(AQ253,L$7+IF(L$2=$AA253,$AC253,IF(L$2=$AF253,$AG253,0))))</f>
        <v/>
      </c>
      <c r="Y253">
        <f>IF(M252&lt;=0,0,MIN(AR253,M$7+IF(M$2=$AA253,$AC253,IF(M$2=$AF253,$AG253,0))))</f>
        <v/>
      </c>
      <c r="Z253">
        <f>IF(N252&lt;=0,0,MIN(AS253,N$7+IF(N$2=$AA253,$AC253,IF(N$2=$AF253,$AG253,0))))</f>
        <v/>
      </c>
      <c r="AA253">
        <f>IFERROR(ROUND(1/SUMPRODUCT(MAX((C252:N252&gt;0)*($C$3:$N$3&lt;=B253)/$C$2:$N$2)),0),0)</f>
        <v/>
      </c>
      <c r="AB253">
        <f>SUMPRODUCT((C252:N252&gt;0)*$C$7:$N$7)</f>
        <v/>
      </c>
      <c r="AC253">
        <f>MAX(0,Plan!$C$5-AB253)+IF(A253=Plan!$C$8,N(Plan!$C$7),0)</f>
        <v/>
      </c>
      <c r="AD253">
        <f>SUM(C253:N253)</f>
        <v/>
      </c>
      <c r="AE253">
        <f>SUM(O253:Z253)</f>
        <v/>
      </c>
      <c r="AF253">
        <f>IFERROR(ROUND(1/SUMPRODUCT(MAX((C252:N252&gt;0)*($C$3:$N$3&lt;=B253)*($C$2:$N$2&gt;AA253)/$C$2:$N$2)),0),0)</f>
        <v/>
      </c>
      <c r="AG253">
        <f>MAX(0,AC253-MAX(0,SUMPRODUCT(($C$2:$N$2=AA253)*(AH253:AS253-$C$7:$N$7))))</f>
        <v/>
      </c>
      <c r="AH253">
        <f>IF(C252&lt;=0,0,ROUND(C252*(1+IF(AND(C$6&gt;0,$B253&lt;C$6),C$4,C$5)/12),2))</f>
        <v/>
      </c>
      <c r="AI253">
        <f>IF(D252&lt;=0,0,ROUND(D252*(1+IF(AND(D$6&gt;0,$B253&lt;D$6),D$4,D$5)/12),2))</f>
        <v/>
      </c>
      <c r="AJ253">
        <f>IF(E252&lt;=0,0,ROUND(E252*(1+IF(AND(E$6&gt;0,$B253&lt;E$6),E$4,E$5)/12),2))</f>
        <v/>
      </c>
      <c r="AK253">
        <f>IF(F252&lt;=0,0,ROUND(F252*(1+IF(AND(F$6&gt;0,$B253&lt;F$6),F$4,F$5)/12),2))</f>
        <v/>
      </c>
      <c r="AL253">
        <f>IF(G252&lt;=0,0,ROUND(G252*(1+IF(AND(G$6&gt;0,$B253&lt;G$6),G$4,G$5)/12),2))</f>
        <v/>
      </c>
      <c r="AM253">
        <f>IF(H252&lt;=0,0,ROUND(H252*(1+IF(AND(H$6&gt;0,$B253&lt;H$6),H$4,H$5)/12),2))</f>
        <v/>
      </c>
      <c r="AN253">
        <f>IF(I252&lt;=0,0,ROUND(I252*(1+IF(AND(I$6&gt;0,$B253&lt;I$6),I$4,I$5)/12),2))</f>
        <v/>
      </c>
      <c r="AO253">
        <f>IF(J252&lt;=0,0,ROUND(J252*(1+IF(AND(J$6&gt;0,$B253&lt;J$6),J$4,J$5)/12),2))</f>
        <v/>
      </c>
      <c r="AP253">
        <f>IF(K252&lt;=0,0,ROUND(K252*(1+IF(AND(K$6&gt;0,$B253&lt;K$6),K$4,K$5)/12),2))</f>
        <v/>
      </c>
      <c r="AQ253">
        <f>IF(L252&lt;=0,0,ROUND(L252*(1+IF(AND(L$6&gt;0,$B253&lt;L$6),L$4,L$5)/12),2))</f>
        <v/>
      </c>
      <c r="AR253">
        <f>IF(M252&lt;=0,0,ROUND(M252*(1+IF(AND(M$6&gt;0,$B253&lt;M$6),M$4,M$5)/12),2))</f>
        <v/>
      </c>
      <c r="AS253">
        <f>IF(N252&lt;=0,0,ROUND(N252*(1+IF(AND(N$6&gt;0,$B253&lt;N$6),N$4,N$5)/12),2))</f>
        <v/>
      </c>
    </row>
    <row r="254">
      <c r="A254" t="n">
        <v>243</v>
      </c>
      <c r="B254">
        <f>EDATE(Plan!$C$6,242)</f>
        <v/>
      </c>
      <c r="C254">
        <f>IF(C253&lt;=0,0,MAX(0,AH254-O254))</f>
        <v/>
      </c>
      <c r="D254">
        <f>IF(D253&lt;=0,0,MAX(0,AI254-P254))</f>
        <v/>
      </c>
      <c r="E254">
        <f>IF(E253&lt;=0,0,MAX(0,AJ254-Q254))</f>
        <v/>
      </c>
      <c r="F254">
        <f>IF(F253&lt;=0,0,MAX(0,AK254-R254))</f>
        <v/>
      </c>
      <c r="G254">
        <f>IF(G253&lt;=0,0,MAX(0,AL254-S254))</f>
        <v/>
      </c>
      <c r="H254">
        <f>IF(H253&lt;=0,0,MAX(0,AM254-T254))</f>
        <v/>
      </c>
      <c r="I254">
        <f>IF(I253&lt;=0,0,MAX(0,AN254-U254))</f>
        <v/>
      </c>
      <c r="J254">
        <f>IF(J253&lt;=0,0,MAX(0,AO254-V254))</f>
        <v/>
      </c>
      <c r="K254">
        <f>IF(K253&lt;=0,0,MAX(0,AP254-W254))</f>
        <v/>
      </c>
      <c r="L254">
        <f>IF(L253&lt;=0,0,MAX(0,AQ254-X254))</f>
        <v/>
      </c>
      <c r="M254">
        <f>IF(M253&lt;=0,0,MAX(0,AR254-Y254))</f>
        <v/>
      </c>
      <c r="N254">
        <f>IF(N253&lt;=0,0,MAX(0,AS254-Z254))</f>
        <v/>
      </c>
      <c r="O254">
        <f>IF(C253&lt;=0,0,MIN(AH254,C$7+IF(C$2=$AA254,$AC254,IF(C$2=$AF254,$AG254,0))))</f>
        <v/>
      </c>
      <c r="P254">
        <f>IF(D253&lt;=0,0,MIN(AI254,D$7+IF(D$2=$AA254,$AC254,IF(D$2=$AF254,$AG254,0))))</f>
        <v/>
      </c>
      <c r="Q254">
        <f>IF(E253&lt;=0,0,MIN(AJ254,E$7+IF(E$2=$AA254,$AC254,IF(E$2=$AF254,$AG254,0))))</f>
        <v/>
      </c>
      <c r="R254">
        <f>IF(F253&lt;=0,0,MIN(AK254,F$7+IF(F$2=$AA254,$AC254,IF(F$2=$AF254,$AG254,0))))</f>
        <v/>
      </c>
      <c r="S254">
        <f>IF(G253&lt;=0,0,MIN(AL254,G$7+IF(G$2=$AA254,$AC254,IF(G$2=$AF254,$AG254,0))))</f>
        <v/>
      </c>
      <c r="T254">
        <f>IF(H253&lt;=0,0,MIN(AM254,H$7+IF(H$2=$AA254,$AC254,IF(H$2=$AF254,$AG254,0))))</f>
        <v/>
      </c>
      <c r="U254">
        <f>IF(I253&lt;=0,0,MIN(AN254,I$7+IF(I$2=$AA254,$AC254,IF(I$2=$AF254,$AG254,0))))</f>
        <v/>
      </c>
      <c r="V254">
        <f>IF(J253&lt;=0,0,MIN(AO254,J$7+IF(J$2=$AA254,$AC254,IF(J$2=$AF254,$AG254,0))))</f>
        <v/>
      </c>
      <c r="W254">
        <f>IF(K253&lt;=0,0,MIN(AP254,K$7+IF(K$2=$AA254,$AC254,IF(K$2=$AF254,$AG254,0))))</f>
        <v/>
      </c>
      <c r="X254">
        <f>IF(L253&lt;=0,0,MIN(AQ254,L$7+IF(L$2=$AA254,$AC254,IF(L$2=$AF254,$AG254,0))))</f>
        <v/>
      </c>
      <c r="Y254">
        <f>IF(M253&lt;=0,0,MIN(AR254,M$7+IF(M$2=$AA254,$AC254,IF(M$2=$AF254,$AG254,0))))</f>
        <v/>
      </c>
      <c r="Z254">
        <f>IF(N253&lt;=0,0,MIN(AS254,N$7+IF(N$2=$AA254,$AC254,IF(N$2=$AF254,$AG254,0))))</f>
        <v/>
      </c>
      <c r="AA254">
        <f>IFERROR(ROUND(1/SUMPRODUCT(MAX((C253:N253&gt;0)*($C$3:$N$3&lt;=B254)/$C$2:$N$2)),0),0)</f>
        <v/>
      </c>
      <c r="AB254">
        <f>SUMPRODUCT((C253:N253&gt;0)*$C$7:$N$7)</f>
        <v/>
      </c>
      <c r="AC254">
        <f>MAX(0,Plan!$C$5-AB254)+IF(A254=Plan!$C$8,N(Plan!$C$7),0)</f>
        <v/>
      </c>
      <c r="AD254">
        <f>SUM(C254:N254)</f>
        <v/>
      </c>
      <c r="AE254">
        <f>SUM(O254:Z254)</f>
        <v/>
      </c>
      <c r="AF254">
        <f>IFERROR(ROUND(1/SUMPRODUCT(MAX((C253:N253&gt;0)*($C$3:$N$3&lt;=B254)*($C$2:$N$2&gt;AA254)/$C$2:$N$2)),0),0)</f>
        <v/>
      </c>
      <c r="AG254">
        <f>MAX(0,AC254-MAX(0,SUMPRODUCT(($C$2:$N$2=AA254)*(AH254:AS254-$C$7:$N$7))))</f>
        <v/>
      </c>
      <c r="AH254">
        <f>IF(C253&lt;=0,0,ROUND(C253*(1+IF(AND(C$6&gt;0,$B254&lt;C$6),C$4,C$5)/12),2))</f>
        <v/>
      </c>
      <c r="AI254">
        <f>IF(D253&lt;=0,0,ROUND(D253*(1+IF(AND(D$6&gt;0,$B254&lt;D$6),D$4,D$5)/12),2))</f>
        <v/>
      </c>
      <c r="AJ254">
        <f>IF(E253&lt;=0,0,ROUND(E253*(1+IF(AND(E$6&gt;0,$B254&lt;E$6),E$4,E$5)/12),2))</f>
        <v/>
      </c>
      <c r="AK254">
        <f>IF(F253&lt;=0,0,ROUND(F253*(1+IF(AND(F$6&gt;0,$B254&lt;F$6),F$4,F$5)/12),2))</f>
        <v/>
      </c>
      <c r="AL254">
        <f>IF(G253&lt;=0,0,ROUND(G253*(1+IF(AND(G$6&gt;0,$B254&lt;G$6),G$4,G$5)/12),2))</f>
        <v/>
      </c>
      <c r="AM254">
        <f>IF(H253&lt;=0,0,ROUND(H253*(1+IF(AND(H$6&gt;0,$B254&lt;H$6),H$4,H$5)/12),2))</f>
        <v/>
      </c>
      <c r="AN254">
        <f>IF(I253&lt;=0,0,ROUND(I253*(1+IF(AND(I$6&gt;0,$B254&lt;I$6),I$4,I$5)/12),2))</f>
        <v/>
      </c>
      <c r="AO254">
        <f>IF(J253&lt;=0,0,ROUND(J253*(1+IF(AND(J$6&gt;0,$B254&lt;J$6),J$4,J$5)/12),2))</f>
        <v/>
      </c>
      <c r="AP254">
        <f>IF(K253&lt;=0,0,ROUND(K253*(1+IF(AND(K$6&gt;0,$B254&lt;K$6),K$4,K$5)/12),2))</f>
        <v/>
      </c>
      <c r="AQ254">
        <f>IF(L253&lt;=0,0,ROUND(L253*(1+IF(AND(L$6&gt;0,$B254&lt;L$6),L$4,L$5)/12),2))</f>
        <v/>
      </c>
      <c r="AR254">
        <f>IF(M253&lt;=0,0,ROUND(M253*(1+IF(AND(M$6&gt;0,$B254&lt;M$6),M$4,M$5)/12),2))</f>
        <v/>
      </c>
      <c r="AS254">
        <f>IF(N253&lt;=0,0,ROUND(N253*(1+IF(AND(N$6&gt;0,$B254&lt;N$6),N$4,N$5)/12),2))</f>
        <v/>
      </c>
    </row>
    <row r="255">
      <c r="A255" t="n">
        <v>244</v>
      </c>
      <c r="B255">
        <f>EDATE(Plan!$C$6,243)</f>
        <v/>
      </c>
      <c r="C255">
        <f>IF(C254&lt;=0,0,MAX(0,AH255-O255))</f>
        <v/>
      </c>
      <c r="D255">
        <f>IF(D254&lt;=0,0,MAX(0,AI255-P255))</f>
        <v/>
      </c>
      <c r="E255">
        <f>IF(E254&lt;=0,0,MAX(0,AJ255-Q255))</f>
        <v/>
      </c>
      <c r="F255">
        <f>IF(F254&lt;=0,0,MAX(0,AK255-R255))</f>
        <v/>
      </c>
      <c r="G255">
        <f>IF(G254&lt;=0,0,MAX(0,AL255-S255))</f>
        <v/>
      </c>
      <c r="H255">
        <f>IF(H254&lt;=0,0,MAX(0,AM255-T255))</f>
        <v/>
      </c>
      <c r="I255">
        <f>IF(I254&lt;=0,0,MAX(0,AN255-U255))</f>
        <v/>
      </c>
      <c r="J255">
        <f>IF(J254&lt;=0,0,MAX(0,AO255-V255))</f>
        <v/>
      </c>
      <c r="K255">
        <f>IF(K254&lt;=0,0,MAX(0,AP255-W255))</f>
        <v/>
      </c>
      <c r="L255">
        <f>IF(L254&lt;=0,0,MAX(0,AQ255-X255))</f>
        <v/>
      </c>
      <c r="M255">
        <f>IF(M254&lt;=0,0,MAX(0,AR255-Y255))</f>
        <v/>
      </c>
      <c r="N255">
        <f>IF(N254&lt;=0,0,MAX(0,AS255-Z255))</f>
        <v/>
      </c>
      <c r="O255">
        <f>IF(C254&lt;=0,0,MIN(AH255,C$7+IF(C$2=$AA255,$AC255,IF(C$2=$AF255,$AG255,0))))</f>
        <v/>
      </c>
      <c r="P255">
        <f>IF(D254&lt;=0,0,MIN(AI255,D$7+IF(D$2=$AA255,$AC255,IF(D$2=$AF255,$AG255,0))))</f>
        <v/>
      </c>
      <c r="Q255">
        <f>IF(E254&lt;=0,0,MIN(AJ255,E$7+IF(E$2=$AA255,$AC255,IF(E$2=$AF255,$AG255,0))))</f>
        <v/>
      </c>
      <c r="R255">
        <f>IF(F254&lt;=0,0,MIN(AK255,F$7+IF(F$2=$AA255,$AC255,IF(F$2=$AF255,$AG255,0))))</f>
        <v/>
      </c>
      <c r="S255">
        <f>IF(G254&lt;=0,0,MIN(AL255,G$7+IF(G$2=$AA255,$AC255,IF(G$2=$AF255,$AG255,0))))</f>
        <v/>
      </c>
      <c r="T255">
        <f>IF(H254&lt;=0,0,MIN(AM255,H$7+IF(H$2=$AA255,$AC255,IF(H$2=$AF255,$AG255,0))))</f>
        <v/>
      </c>
      <c r="U255">
        <f>IF(I254&lt;=0,0,MIN(AN255,I$7+IF(I$2=$AA255,$AC255,IF(I$2=$AF255,$AG255,0))))</f>
        <v/>
      </c>
      <c r="V255">
        <f>IF(J254&lt;=0,0,MIN(AO255,J$7+IF(J$2=$AA255,$AC255,IF(J$2=$AF255,$AG255,0))))</f>
        <v/>
      </c>
      <c r="W255">
        <f>IF(K254&lt;=0,0,MIN(AP255,K$7+IF(K$2=$AA255,$AC255,IF(K$2=$AF255,$AG255,0))))</f>
        <v/>
      </c>
      <c r="X255">
        <f>IF(L254&lt;=0,0,MIN(AQ255,L$7+IF(L$2=$AA255,$AC255,IF(L$2=$AF255,$AG255,0))))</f>
        <v/>
      </c>
      <c r="Y255">
        <f>IF(M254&lt;=0,0,MIN(AR255,M$7+IF(M$2=$AA255,$AC255,IF(M$2=$AF255,$AG255,0))))</f>
        <v/>
      </c>
      <c r="Z255">
        <f>IF(N254&lt;=0,0,MIN(AS255,N$7+IF(N$2=$AA255,$AC255,IF(N$2=$AF255,$AG255,0))))</f>
        <v/>
      </c>
      <c r="AA255">
        <f>IFERROR(ROUND(1/SUMPRODUCT(MAX((C254:N254&gt;0)*($C$3:$N$3&lt;=B255)/$C$2:$N$2)),0),0)</f>
        <v/>
      </c>
      <c r="AB255">
        <f>SUMPRODUCT((C254:N254&gt;0)*$C$7:$N$7)</f>
        <v/>
      </c>
      <c r="AC255">
        <f>MAX(0,Plan!$C$5-AB255)+IF(A255=Plan!$C$8,N(Plan!$C$7),0)</f>
        <v/>
      </c>
      <c r="AD255">
        <f>SUM(C255:N255)</f>
        <v/>
      </c>
      <c r="AE255">
        <f>SUM(O255:Z255)</f>
        <v/>
      </c>
      <c r="AF255">
        <f>IFERROR(ROUND(1/SUMPRODUCT(MAX((C254:N254&gt;0)*($C$3:$N$3&lt;=B255)*($C$2:$N$2&gt;AA255)/$C$2:$N$2)),0),0)</f>
        <v/>
      </c>
      <c r="AG255">
        <f>MAX(0,AC255-MAX(0,SUMPRODUCT(($C$2:$N$2=AA255)*(AH255:AS255-$C$7:$N$7))))</f>
        <v/>
      </c>
      <c r="AH255">
        <f>IF(C254&lt;=0,0,ROUND(C254*(1+IF(AND(C$6&gt;0,$B255&lt;C$6),C$4,C$5)/12),2))</f>
        <v/>
      </c>
      <c r="AI255">
        <f>IF(D254&lt;=0,0,ROUND(D254*(1+IF(AND(D$6&gt;0,$B255&lt;D$6),D$4,D$5)/12),2))</f>
        <v/>
      </c>
      <c r="AJ255">
        <f>IF(E254&lt;=0,0,ROUND(E254*(1+IF(AND(E$6&gt;0,$B255&lt;E$6),E$4,E$5)/12),2))</f>
        <v/>
      </c>
      <c r="AK255">
        <f>IF(F254&lt;=0,0,ROUND(F254*(1+IF(AND(F$6&gt;0,$B255&lt;F$6),F$4,F$5)/12),2))</f>
        <v/>
      </c>
      <c r="AL255">
        <f>IF(G254&lt;=0,0,ROUND(G254*(1+IF(AND(G$6&gt;0,$B255&lt;G$6),G$4,G$5)/12),2))</f>
        <v/>
      </c>
      <c r="AM255">
        <f>IF(H254&lt;=0,0,ROUND(H254*(1+IF(AND(H$6&gt;0,$B255&lt;H$6),H$4,H$5)/12),2))</f>
        <v/>
      </c>
      <c r="AN255">
        <f>IF(I254&lt;=0,0,ROUND(I254*(1+IF(AND(I$6&gt;0,$B255&lt;I$6),I$4,I$5)/12),2))</f>
        <v/>
      </c>
      <c r="AO255">
        <f>IF(J254&lt;=0,0,ROUND(J254*(1+IF(AND(J$6&gt;0,$B255&lt;J$6),J$4,J$5)/12),2))</f>
        <v/>
      </c>
      <c r="AP255">
        <f>IF(K254&lt;=0,0,ROUND(K254*(1+IF(AND(K$6&gt;0,$B255&lt;K$6),K$4,K$5)/12),2))</f>
        <v/>
      </c>
      <c r="AQ255">
        <f>IF(L254&lt;=0,0,ROUND(L254*(1+IF(AND(L$6&gt;0,$B255&lt;L$6),L$4,L$5)/12),2))</f>
        <v/>
      </c>
      <c r="AR255">
        <f>IF(M254&lt;=0,0,ROUND(M254*(1+IF(AND(M$6&gt;0,$B255&lt;M$6),M$4,M$5)/12),2))</f>
        <v/>
      </c>
      <c r="AS255">
        <f>IF(N254&lt;=0,0,ROUND(N254*(1+IF(AND(N$6&gt;0,$B255&lt;N$6),N$4,N$5)/12),2))</f>
        <v/>
      </c>
    </row>
    <row r="256">
      <c r="A256" t="n">
        <v>245</v>
      </c>
      <c r="B256">
        <f>EDATE(Plan!$C$6,244)</f>
        <v/>
      </c>
      <c r="C256">
        <f>IF(C255&lt;=0,0,MAX(0,AH256-O256))</f>
        <v/>
      </c>
      <c r="D256">
        <f>IF(D255&lt;=0,0,MAX(0,AI256-P256))</f>
        <v/>
      </c>
      <c r="E256">
        <f>IF(E255&lt;=0,0,MAX(0,AJ256-Q256))</f>
        <v/>
      </c>
      <c r="F256">
        <f>IF(F255&lt;=0,0,MAX(0,AK256-R256))</f>
        <v/>
      </c>
      <c r="G256">
        <f>IF(G255&lt;=0,0,MAX(0,AL256-S256))</f>
        <v/>
      </c>
      <c r="H256">
        <f>IF(H255&lt;=0,0,MAX(0,AM256-T256))</f>
        <v/>
      </c>
      <c r="I256">
        <f>IF(I255&lt;=0,0,MAX(0,AN256-U256))</f>
        <v/>
      </c>
      <c r="J256">
        <f>IF(J255&lt;=0,0,MAX(0,AO256-V256))</f>
        <v/>
      </c>
      <c r="K256">
        <f>IF(K255&lt;=0,0,MAX(0,AP256-W256))</f>
        <v/>
      </c>
      <c r="L256">
        <f>IF(L255&lt;=0,0,MAX(0,AQ256-X256))</f>
        <v/>
      </c>
      <c r="M256">
        <f>IF(M255&lt;=0,0,MAX(0,AR256-Y256))</f>
        <v/>
      </c>
      <c r="N256">
        <f>IF(N255&lt;=0,0,MAX(0,AS256-Z256))</f>
        <v/>
      </c>
      <c r="O256">
        <f>IF(C255&lt;=0,0,MIN(AH256,C$7+IF(C$2=$AA256,$AC256,IF(C$2=$AF256,$AG256,0))))</f>
        <v/>
      </c>
      <c r="P256">
        <f>IF(D255&lt;=0,0,MIN(AI256,D$7+IF(D$2=$AA256,$AC256,IF(D$2=$AF256,$AG256,0))))</f>
        <v/>
      </c>
      <c r="Q256">
        <f>IF(E255&lt;=0,0,MIN(AJ256,E$7+IF(E$2=$AA256,$AC256,IF(E$2=$AF256,$AG256,0))))</f>
        <v/>
      </c>
      <c r="R256">
        <f>IF(F255&lt;=0,0,MIN(AK256,F$7+IF(F$2=$AA256,$AC256,IF(F$2=$AF256,$AG256,0))))</f>
        <v/>
      </c>
      <c r="S256">
        <f>IF(G255&lt;=0,0,MIN(AL256,G$7+IF(G$2=$AA256,$AC256,IF(G$2=$AF256,$AG256,0))))</f>
        <v/>
      </c>
      <c r="T256">
        <f>IF(H255&lt;=0,0,MIN(AM256,H$7+IF(H$2=$AA256,$AC256,IF(H$2=$AF256,$AG256,0))))</f>
        <v/>
      </c>
      <c r="U256">
        <f>IF(I255&lt;=0,0,MIN(AN256,I$7+IF(I$2=$AA256,$AC256,IF(I$2=$AF256,$AG256,0))))</f>
        <v/>
      </c>
      <c r="V256">
        <f>IF(J255&lt;=0,0,MIN(AO256,J$7+IF(J$2=$AA256,$AC256,IF(J$2=$AF256,$AG256,0))))</f>
        <v/>
      </c>
      <c r="W256">
        <f>IF(K255&lt;=0,0,MIN(AP256,K$7+IF(K$2=$AA256,$AC256,IF(K$2=$AF256,$AG256,0))))</f>
        <v/>
      </c>
      <c r="X256">
        <f>IF(L255&lt;=0,0,MIN(AQ256,L$7+IF(L$2=$AA256,$AC256,IF(L$2=$AF256,$AG256,0))))</f>
        <v/>
      </c>
      <c r="Y256">
        <f>IF(M255&lt;=0,0,MIN(AR256,M$7+IF(M$2=$AA256,$AC256,IF(M$2=$AF256,$AG256,0))))</f>
        <v/>
      </c>
      <c r="Z256">
        <f>IF(N255&lt;=0,0,MIN(AS256,N$7+IF(N$2=$AA256,$AC256,IF(N$2=$AF256,$AG256,0))))</f>
        <v/>
      </c>
      <c r="AA256">
        <f>IFERROR(ROUND(1/SUMPRODUCT(MAX((C255:N255&gt;0)*($C$3:$N$3&lt;=B256)/$C$2:$N$2)),0),0)</f>
        <v/>
      </c>
      <c r="AB256">
        <f>SUMPRODUCT((C255:N255&gt;0)*$C$7:$N$7)</f>
        <v/>
      </c>
      <c r="AC256">
        <f>MAX(0,Plan!$C$5-AB256)+IF(A256=Plan!$C$8,N(Plan!$C$7),0)</f>
        <v/>
      </c>
      <c r="AD256">
        <f>SUM(C256:N256)</f>
        <v/>
      </c>
      <c r="AE256">
        <f>SUM(O256:Z256)</f>
        <v/>
      </c>
      <c r="AF256">
        <f>IFERROR(ROUND(1/SUMPRODUCT(MAX((C255:N255&gt;0)*($C$3:$N$3&lt;=B256)*($C$2:$N$2&gt;AA256)/$C$2:$N$2)),0),0)</f>
        <v/>
      </c>
      <c r="AG256">
        <f>MAX(0,AC256-MAX(0,SUMPRODUCT(($C$2:$N$2=AA256)*(AH256:AS256-$C$7:$N$7))))</f>
        <v/>
      </c>
      <c r="AH256">
        <f>IF(C255&lt;=0,0,ROUND(C255*(1+IF(AND(C$6&gt;0,$B256&lt;C$6),C$4,C$5)/12),2))</f>
        <v/>
      </c>
      <c r="AI256">
        <f>IF(D255&lt;=0,0,ROUND(D255*(1+IF(AND(D$6&gt;0,$B256&lt;D$6),D$4,D$5)/12),2))</f>
        <v/>
      </c>
      <c r="AJ256">
        <f>IF(E255&lt;=0,0,ROUND(E255*(1+IF(AND(E$6&gt;0,$B256&lt;E$6),E$4,E$5)/12),2))</f>
        <v/>
      </c>
      <c r="AK256">
        <f>IF(F255&lt;=0,0,ROUND(F255*(1+IF(AND(F$6&gt;0,$B256&lt;F$6),F$4,F$5)/12),2))</f>
        <v/>
      </c>
      <c r="AL256">
        <f>IF(G255&lt;=0,0,ROUND(G255*(1+IF(AND(G$6&gt;0,$B256&lt;G$6),G$4,G$5)/12),2))</f>
        <v/>
      </c>
      <c r="AM256">
        <f>IF(H255&lt;=0,0,ROUND(H255*(1+IF(AND(H$6&gt;0,$B256&lt;H$6),H$4,H$5)/12),2))</f>
        <v/>
      </c>
      <c r="AN256">
        <f>IF(I255&lt;=0,0,ROUND(I255*(1+IF(AND(I$6&gt;0,$B256&lt;I$6),I$4,I$5)/12),2))</f>
        <v/>
      </c>
      <c r="AO256">
        <f>IF(J255&lt;=0,0,ROUND(J255*(1+IF(AND(J$6&gt;0,$B256&lt;J$6),J$4,J$5)/12),2))</f>
        <v/>
      </c>
      <c r="AP256">
        <f>IF(K255&lt;=0,0,ROUND(K255*(1+IF(AND(K$6&gt;0,$B256&lt;K$6),K$4,K$5)/12),2))</f>
        <v/>
      </c>
      <c r="AQ256">
        <f>IF(L255&lt;=0,0,ROUND(L255*(1+IF(AND(L$6&gt;0,$B256&lt;L$6),L$4,L$5)/12),2))</f>
        <v/>
      </c>
      <c r="AR256">
        <f>IF(M255&lt;=0,0,ROUND(M255*(1+IF(AND(M$6&gt;0,$B256&lt;M$6),M$4,M$5)/12),2))</f>
        <v/>
      </c>
      <c r="AS256">
        <f>IF(N255&lt;=0,0,ROUND(N255*(1+IF(AND(N$6&gt;0,$B256&lt;N$6),N$4,N$5)/12),2))</f>
        <v/>
      </c>
    </row>
    <row r="257">
      <c r="A257" t="n">
        <v>246</v>
      </c>
      <c r="B257">
        <f>EDATE(Plan!$C$6,245)</f>
        <v/>
      </c>
      <c r="C257">
        <f>IF(C256&lt;=0,0,MAX(0,AH257-O257))</f>
        <v/>
      </c>
      <c r="D257">
        <f>IF(D256&lt;=0,0,MAX(0,AI257-P257))</f>
        <v/>
      </c>
      <c r="E257">
        <f>IF(E256&lt;=0,0,MAX(0,AJ257-Q257))</f>
        <v/>
      </c>
      <c r="F257">
        <f>IF(F256&lt;=0,0,MAX(0,AK257-R257))</f>
        <v/>
      </c>
      <c r="G257">
        <f>IF(G256&lt;=0,0,MAX(0,AL257-S257))</f>
        <v/>
      </c>
      <c r="H257">
        <f>IF(H256&lt;=0,0,MAX(0,AM257-T257))</f>
        <v/>
      </c>
      <c r="I257">
        <f>IF(I256&lt;=0,0,MAX(0,AN257-U257))</f>
        <v/>
      </c>
      <c r="J257">
        <f>IF(J256&lt;=0,0,MAX(0,AO257-V257))</f>
        <v/>
      </c>
      <c r="K257">
        <f>IF(K256&lt;=0,0,MAX(0,AP257-W257))</f>
        <v/>
      </c>
      <c r="L257">
        <f>IF(L256&lt;=0,0,MAX(0,AQ257-X257))</f>
        <v/>
      </c>
      <c r="M257">
        <f>IF(M256&lt;=0,0,MAX(0,AR257-Y257))</f>
        <v/>
      </c>
      <c r="N257">
        <f>IF(N256&lt;=0,0,MAX(0,AS257-Z257))</f>
        <v/>
      </c>
      <c r="O257">
        <f>IF(C256&lt;=0,0,MIN(AH257,C$7+IF(C$2=$AA257,$AC257,IF(C$2=$AF257,$AG257,0))))</f>
        <v/>
      </c>
      <c r="P257">
        <f>IF(D256&lt;=0,0,MIN(AI257,D$7+IF(D$2=$AA257,$AC257,IF(D$2=$AF257,$AG257,0))))</f>
        <v/>
      </c>
      <c r="Q257">
        <f>IF(E256&lt;=0,0,MIN(AJ257,E$7+IF(E$2=$AA257,$AC257,IF(E$2=$AF257,$AG257,0))))</f>
        <v/>
      </c>
      <c r="R257">
        <f>IF(F256&lt;=0,0,MIN(AK257,F$7+IF(F$2=$AA257,$AC257,IF(F$2=$AF257,$AG257,0))))</f>
        <v/>
      </c>
      <c r="S257">
        <f>IF(G256&lt;=0,0,MIN(AL257,G$7+IF(G$2=$AA257,$AC257,IF(G$2=$AF257,$AG257,0))))</f>
        <v/>
      </c>
      <c r="T257">
        <f>IF(H256&lt;=0,0,MIN(AM257,H$7+IF(H$2=$AA257,$AC257,IF(H$2=$AF257,$AG257,0))))</f>
        <v/>
      </c>
      <c r="U257">
        <f>IF(I256&lt;=0,0,MIN(AN257,I$7+IF(I$2=$AA257,$AC257,IF(I$2=$AF257,$AG257,0))))</f>
        <v/>
      </c>
      <c r="V257">
        <f>IF(J256&lt;=0,0,MIN(AO257,J$7+IF(J$2=$AA257,$AC257,IF(J$2=$AF257,$AG257,0))))</f>
        <v/>
      </c>
      <c r="W257">
        <f>IF(K256&lt;=0,0,MIN(AP257,K$7+IF(K$2=$AA257,$AC257,IF(K$2=$AF257,$AG257,0))))</f>
        <v/>
      </c>
      <c r="X257">
        <f>IF(L256&lt;=0,0,MIN(AQ257,L$7+IF(L$2=$AA257,$AC257,IF(L$2=$AF257,$AG257,0))))</f>
        <v/>
      </c>
      <c r="Y257">
        <f>IF(M256&lt;=0,0,MIN(AR257,M$7+IF(M$2=$AA257,$AC257,IF(M$2=$AF257,$AG257,0))))</f>
        <v/>
      </c>
      <c r="Z257">
        <f>IF(N256&lt;=0,0,MIN(AS257,N$7+IF(N$2=$AA257,$AC257,IF(N$2=$AF257,$AG257,0))))</f>
        <v/>
      </c>
      <c r="AA257">
        <f>IFERROR(ROUND(1/SUMPRODUCT(MAX((C256:N256&gt;0)*($C$3:$N$3&lt;=B257)/$C$2:$N$2)),0),0)</f>
        <v/>
      </c>
      <c r="AB257">
        <f>SUMPRODUCT((C256:N256&gt;0)*$C$7:$N$7)</f>
        <v/>
      </c>
      <c r="AC257">
        <f>MAX(0,Plan!$C$5-AB257)+IF(A257=Plan!$C$8,N(Plan!$C$7),0)</f>
        <v/>
      </c>
      <c r="AD257">
        <f>SUM(C257:N257)</f>
        <v/>
      </c>
      <c r="AE257">
        <f>SUM(O257:Z257)</f>
        <v/>
      </c>
      <c r="AF257">
        <f>IFERROR(ROUND(1/SUMPRODUCT(MAX((C256:N256&gt;0)*($C$3:$N$3&lt;=B257)*($C$2:$N$2&gt;AA257)/$C$2:$N$2)),0),0)</f>
        <v/>
      </c>
      <c r="AG257">
        <f>MAX(0,AC257-MAX(0,SUMPRODUCT(($C$2:$N$2=AA257)*(AH257:AS257-$C$7:$N$7))))</f>
        <v/>
      </c>
      <c r="AH257">
        <f>IF(C256&lt;=0,0,ROUND(C256*(1+IF(AND(C$6&gt;0,$B257&lt;C$6),C$4,C$5)/12),2))</f>
        <v/>
      </c>
      <c r="AI257">
        <f>IF(D256&lt;=0,0,ROUND(D256*(1+IF(AND(D$6&gt;0,$B257&lt;D$6),D$4,D$5)/12),2))</f>
        <v/>
      </c>
      <c r="AJ257">
        <f>IF(E256&lt;=0,0,ROUND(E256*(1+IF(AND(E$6&gt;0,$B257&lt;E$6),E$4,E$5)/12),2))</f>
        <v/>
      </c>
      <c r="AK257">
        <f>IF(F256&lt;=0,0,ROUND(F256*(1+IF(AND(F$6&gt;0,$B257&lt;F$6),F$4,F$5)/12),2))</f>
        <v/>
      </c>
      <c r="AL257">
        <f>IF(G256&lt;=0,0,ROUND(G256*(1+IF(AND(G$6&gt;0,$B257&lt;G$6),G$4,G$5)/12),2))</f>
        <v/>
      </c>
      <c r="AM257">
        <f>IF(H256&lt;=0,0,ROUND(H256*(1+IF(AND(H$6&gt;0,$B257&lt;H$6),H$4,H$5)/12),2))</f>
        <v/>
      </c>
      <c r="AN257">
        <f>IF(I256&lt;=0,0,ROUND(I256*(1+IF(AND(I$6&gt;0,$B257&lt;I$6),I$4,I$5)/12),2))</f>
        <v/>
      </c>
      <c r="AO257">
        <f>IF(J256&lt;=0,0,ROUND(J256*(1+IF(AND(J$6&gt;0,$B257&lt;J$6),J$4,J$5)/12),2))</f>
        <v/>
      </c>
      <c r="AP257">
        <f>IF(K256&lt;=0,0,ROUND(K256*(1+IF(AND(K$6&gt;0,$B257&lt;K$6),K$4,K$5)/12),2))</f>
        <v/>
      </c>
      <c r="AQ257">
        <f>IF(L256&lt;=0,0,ROUND(L256*(1+IF(AND(L$6&gt;0,$B257&lt;L$6),L$4,L$5)/12),2))</f>
        <v/>
      </c>
      <c r="AR257">
        <f>IF(M256&lt;=0,0,ROUND(M256*(1+IF(AND(M$6&gt;0,$B257&lt;M$6),M$4,M$5)/12),2))</f>
        <v/>
      </c>
      <c r="AS257">
        <f>IF(N256&lt;=0,0,ROUND(N256*(1+IF(AND(N$6&gt;0,$B257&lt;N$6),N$4,N$5)/12),2))</f>
        <v/>
      </c>
    </row>
    <row r="258">
      <c r="A258" t="n">
        <v>247</v>
      </c>
      <c r="B258">
        <f>EDATE(Plan!$C$6,246)</f>
        <v/>
      </c>
      <c r="C258">
        <f>IF(C257&lt;=0,0,MAX(0,AH258-O258))</f>
        <v/>
      </c>
      <c r="D258">
        <f>IF(D257&lt;=0,0,MAX(0,AI258-P258))</f>
        <v/>
      </c>
      <c r="E258">
        <f>IF(E257&lt;=0,0,MAX(0,AJ258-Q258))</f>
        <v/>
      </c>
      <c r="F258">
        <f>IF(F257&lt;=0,0,MAX(0,AK258-R258))</f>
        <v/>
      </c>
      <c r="G258">
        <f>IF(G257&lt;=0,0,MAX(0,AL258-S258))</f>
        <v/>
      </c>
      <c r="H258">
        <f>IF(H257&lt;=0,0,MAX(0,AM258-T258))</f>
        <v/>
      </c>
      <c r="I258">
        <f>IF(I257&lt;=0,0,MAX(0,AN258-U258))</f>
        <v/>
      </c>
      <c r="J258">
        <f>IF(J257&lt;=0,0,MAX(0,AO258-V258))</f>
        <v/>
      </c>
      <c r="K258">
        <f>IF(K257&lt;=0,0,MAX(0,AP258-W258))</f>
        <v/>
      </c>
      <c r="L258">
        <f>IF(L257&lt;=0,0,MAX(0,AQ258-X258))</f>
        <v/>
      </c>
      <c r="M258">
        <f>IF(M257&lt;=0,0,MAX(0,AR258-Y258))</f>
        <v/>
      </c>
      <c r="N258">
        <f>IF(N257&lt;=0,0,MAX(0,AS258-Z258))</f>
        <v/>
      </c>
      <c r="O258">
        <f>IF(C257&lt;=0,0,MIN(AH258,C$7+IF(C$2=$AA258,$AC258,IF(C$2=$AF258,$AG258,0))))</f>
        <v/>
      </c>
      <c r="P258">
        <f>IF(D257&lt;=0,0,MIN(AI258,D$7+IF(D$2=$AA258,$AC258,IF(D$2=$AF258,$AG258,0))))</f>
        <v/>
      </c>
      <c r="Q258">
        <f>IF(E257&lt;=0,0,MIN(AJ258,E$7+IF(E$2=$AA258,$AC258,IF(E$2=$AF258,$AG258,0))))</f>
        <v/>
      </c>
      <c r="R258">
        <f>IF(F257&lt;=0,0,MIN(AK258,F$7+IF(F$2=$AA258,$AC258,IF(F$2=$AF258,$AG258,0))))</f>
        <v/>
      </c>
      <c r="S258">
        <f>IF(G257&lt;=0,0,MIN(AL258,G$7+IF(G$2=$AA258,$AC258,IF(G$2=$AF258,$AG258,0))))</f>
        <v/>
      </c>
      <c r="T258">
        <f>IF(H257&lt;=0,0,MIN(AM258,H$7+IF(H$2=$AA258,$AC258,IF(H$2=$AF258,$AG258,0))))</f>
        <v/>
      </c>
      <c r="U258">
        <f>IF(I257&lt;=0,0,MIN(AN258,I$7+IF(I$2=$AA258,$AC258,IF(I$2=$AF258,$AG258,0))))</f>
        <v/>
      </c>
      <c r="V258">
        <f>IF(J257&lt;=0,0,MIN(AO258,J$7+IF(J$2=$AA258,$AC258,IF(J$2=$AF258,$AG258,0))))</f>
        <v/>
      </c>
      <c r="W258">
        <f>IF(K257&lt;=0,0,MIN(AP258,K$7+IF(K$2=$AA258,$AC258,IF(K$2=$AF258,$AG258,0))))</f>
        <v/>
      </c>
      <c r="X258">
        <f>IF(L257&lt;=0,0,MIN(AQ258,L$7+IF(L$2=$AA258,$AC258,IF(L$2=$AF258,$AG258,0))))</f>
        <v/>
      </c>
      <c r="Y258">
        <f>IF(M257&lt;=0,0,MIN(AR258,M$7+IF(M$2=$AA258,$AC258,IF(M$2=$AF258,$AG258,0))))</f>
        <v/>
      </c>
      <c r="Z258">
        <f>IF(N257&lt;=0,0,MIN(AS258,N$7+IF(N$2=$AA258,$AC258,IF(N$2=$AF258,$AG258,0))))</f>
        <v/>
      </c>
      <c r="AA258">
        <f>IFERROR(ROUND(1/SUMPRODUCT(MAX((C257:N257&gt;0)*($C$3:$N$3&lt;=B258)/$C$2:$N$2)),0),0)</f>
        <v/>
      </c>
      <c r="AB258">
        <f>SUMPRODUCT((C257:N257&gt;0)*$C$7:$N$7)</f>
        <v/>
      </c>
      <c r="AC258">
        <f>MAX(0,Plan!$C$5-AB258)+IF(A258=Plan!$C$8,N(Plan!$C$7),0)</f>
        <v/>
      </c>
      <c r="AD258">
        <f>SUM(C258:N258)</f>
        <v/>
      </c>
      <c r="AE258">
        <f>SUM(O258:Z258)</f>
        <v/>
      </c>
      <c r="AF258">
        <f>IFERROR(ROUND(1/SUMPRODUCT(MAX((C257:N257&gt;0)*($C$3:$N$3&lt;=B258)*($C$2:$N$2&gt;AA258)/$C$2:$N$2)),0),0)</f>
        <v/>
      </c>
      <c r="AG258">
        <f>MAX(0,AC258-MAX(0,SUMPRODUCT(($C$2:$N$2=AA258)*(AH258:AS258-$C$7:$N$7))))</f>
        <v/>
      </c>
      <c r="AH258">
        <f>IF(C257&lt;=0,0,ROUND(C257*(1+IF(AND(C$6&gt;0,$B258&lt;C$6),C$4,C$5)/12),2))</f>
        <v/>
      </c>
      <c r="AI258">
        <f>IF(D257&lt;=0,0,ROUND(D257*(1+IF(AND(D$6&gt;0,$B258&lt;D$6),D$4,D$5)/12),2))</f>
        <v/>
      </c>
      <c r="AJ258">
        <f>IF(E257&lt;=0,0,ROUND(E257*(1+IF(AND(E$6&gt;0,$B258&lt;E$6),E$4,E$5)/12),2))</f>
        <v/>
      </c>
      <c r="AK258">
        <f>IF(F257&lt;=0,0,ROUND(F257*(1+IF(AND(F$6&gt;0,$B258&lt;F$6),F$4,F$5)/12),2))</f>
        <v/>
      </c>
      <c r="AL258">
        <f>IF(G257&lt;=0,0,ROUND(G257*(1+IF(AND(G$6&gt;0,$B258&lt;G$6),G$4,G$5)/12),2))</f>
        <v/>
      </c>
      <c r="AM258">
        <f>IF(H257&lt;=0,0,ROUND(H257*(1+IF(AND(H$6&gt;0,$B258&lt;H$6),H$4,H$5)/12),2))</f>
        <v/>
      </c>
      <c r="AN258">
        <f>IF(I257&lt;=0,0,ROUND(I257*(1+IF(AND(I$6&gt;0,$B258&lt;I$6),I$4,I$5)/12),2))</f>
        <v/>
      </c>
      <c r="AO258">
        <f>IF(J257&lt;=0,0,ROUND(J257*(1+IF(AND(J$6&gt;0,$B258&lt;J$6),J$4,J$5)/12),2))</f>
        <v/>
      </c>
      <c r="AP258">
        <f>IF(K257&lt;=0,0,ROUND(K257*(1+IF(AND(K$6&gt;0,$B258&lt;K$6),K$4,K$5)/12),2))</f>
        <v/>
      </c>
      <c r="AQ258">
        <f>IF(L257&lt;=0,0,ROUND(L257*(1+IF(AND(L$6&gt;0,$B258&lt;L$6),L$4,L$5)/12),2))</f>
        <v/>
      </c>
      <c r="AR258">
        <f>IF(M257&lt;=0,0,ROUND(M257*(1+IF(AND(M$6&gt;0,$B258&lt;M$6),M$4,M$5)/12),2))</f>
        <v/>
      </c>
      <c r="AS258">
        <f>IF(N257&lt;=0,0,ROUND(N257*(1+IF(AND(N$6&gt;0,$B258&lt;N$6),N$4,N$5)/12),2))</f>
        <v/>
      </c>
    </row>
    <row r="259">
      <c r="A259" t="n">
        <v>248</v>
      </c>
      <c r="B259">
        <f>EDATE(Plan!$C$6,247)</f>
        <v/>
      </c>
      <c r="C259">
        <f>IF(C258&lt;=0,0,MAX(0,AH259-O259))</f>
        <v/>
      </c>
      <c r="D259">
        <f>IF(D258&lt;=0,0,MAX(0,AI259-P259))</f>
        <v/>
      </c>
      <c r="E259">
        <f>IF(E258&lt;=0,0,MAX(0,AJ259-Q259))</f>
        <v/>
      </c>
      <c r="F259">
        <f>IF(F258&lt;=0,0,MAX(0,AK259-R259))</f>
        <v/>
      </c>
      <c r="G259">
        <f>IF(G258&lt;=0,0,MAX(0,AL259-S259))</f>
        <v/>
      </c>
      <c r="H259">
        <f>IF(H258&lt;=0,0,MAX(0,AM259-T259))</f>
        <v/>
      </c>
      <c r="I259">
        <f>IF(I258&lt;=0,0,MAX(0,AN259-U259))</f>
        <v/>
      </c>
      <c r="J259">
        <f>IF(J258&lt;=0,0,MAX(0,AO259-V259))</f>
        <v/>
      </c>
      <c r="K259">
        <f>IF(K258&lt;=0,0,MAX(0,AP259-W259))</f>
        <v/>
      </c>
      <c r="L259">
        <f>IF(L258&lt;=0,0,MAX(0,AQ259-X259))</f>
        <v/>
      </c>
      <c r="M259">
        <f>IF(M258&lt;=0,0,MAX(0,AR259-Y259))</f>
        <v/>
      </c>
      <c r="N259">
        <f>IF(N258&lt;=0,0,MAX(0,AS259-Z259))</f>
        <v/>
      </c>
      <c r="O259">
        <f>IF(C258&lt;=0,0,MIN(AH259,C$7+IF(C$2=$AA259,$AC259,IF(C$2=$AF259,$AG259,0))))</f>
        <v/>
      </c>
      <c r="P259">
        <f>IF(D258&lt;=0,0,MIN(AI259,D$7+IF(D$2=$AA259,$AC259,IF(D$2=$AF259,$AG259,0))))</f>
        <v/>
      </c>
      <c r="Q259">
        <f>IF(E258&lt;=0,0,MIN(AJ259,E$7+IF(E$2=$AA259,$AC259,IF(E$2=$AF259,$AG259,0))))</f>
        <v/>
      </c>
      <c r="R259">
        <f>IF(F258&lt;=0,0,MIN(AK259,F$7+IF(F$2=$AA259,$AC259,IF(F$2=$AF259,$AG259,0))))</f>
        <v/>
      </c>
      <c r="S259">
        <f>IF(G258&lt;=0,0,MIN(AL259,G$7+IF(G$2=$AA259,$AC259,IF(G$2=$AF259,$AG259,0))))</f>
        <v/>
      </c>
      <c r="T259">
        <f>IF(H258&lt;=0,0,MIN(AM259,H$7+IF(H$2=$AA259,$AC259,IF(H$2=$AF259,$AG259,0))))</f>
        <v/>
      </c>
      <c r="U259">
        <f>IF(I258&lt;=0,0,MIN(AN259,I$7+IF(I$2=$AA259,$AC259,IF(I$2=$AF259,$AG259,0))))</f>
        <v/>
      </c>
      <c r="V259">
        <f>IF(J258&lt;=0,0,MIN(AO259,J$7+IF(J$2=$AA259,$AC259,IF(J$2=$AF259,$AG259,0))))</f>
        <v/>
      </c>
      <c r="W259">
        <f>IF(K258&lt;=0,0,MIN(AP259,K$7+IF(K$2=$AA259,$AC259,IF(K$2=$AF259,$AG259,0))))</f>
        <v/>
      </c>
      <c r="X259">
        <f>IF(L258&lt;=0,0,MIN(AQ259,L$7+IF(L$2=$AA259,$AC259,IF(L$2=$AF259,$AG259,0))))</f>
        <v/>
      </c>
      <c r="Y259">
        <f>IF(M258&lt;=0,0,MIN(AR259,M$7+IF(M$2=$AA259,$AC259,IF(M$2=$AF259,$AG259,0))))</f>
        <v/>
      </c>
      <c r="Z259">
        <f>IF(N258&lt;=0,0,MIN(AS259,N$7+IF(N$2=$AA259,$AC259,IF(N$2=$AF259,$AG259,0))))</f>
        <v/>
      </c>
      <c r="AA259">
        <f>IFERROR(ROUND(1/SUMPRODUCT(MAX((C258:N258&gt;0)*($C$3:$N$3&lt;=B259)/$C$2:$N$2)),0),0)</f>
        <v/>
      </c>
      <c r="AB259">
        <f>SUMPRODUCT((C258:N258&gt;0)*$C$7:$N$7)</f>
        <v/>
      </c>
      <c r="AC259">
        <f>MAX(0,Plan!$C$5-AB259)+IF(A259=Plan!$C$8,N(Plan!$C$7),0)</f>
        <v/>
      </c>
      <c r="AD259">
        <f>SUM(C259:N259)</f>
        <v/>
      </c>
      <c r="AE259">
        <f>SUM(O259:Z259)</f>
        <v/>
      </c>
      <c r="AF259">
        <f>IFERROR(ROUND(1/SUMPRODUCT(MAX((C258:N258&gt;0)*($C$3:$N$3&lt;=B259)*($C$2:$N$2&gt;AA259)/$C$2:$N$2)),0),0)</f>
        <v/>
      </c>
      <c r="AG259">
        <f>MAX(0,AC259-MAX(0,SUMPRODUCT(($C$2:$N$2=AA259)*(AH259:AS259-$C$7:$N$7))))</f>
        <v/>
      </c>
      <c r="AH259">
        <f>IF(C258&lt;=0,0,ROUND(C258*(1+IF(AND(C$6&gt;0,$B259&lt;C$6),C$4,C$5)/12),2))</f>
        <v/>
      </c>
      <c r="AI259">
        <f>IF(D258&lt;=0,0,ROUND(D258*(1+IF(AND(D$6&gt;0,$B259&lt;D$6),D$4,D$5)/12),2))</f>
        <v/>
      </c>
      <c r="AJ259">
        <f>IF(E258&lt;=0,0,ROUND(E258*(1+IF(AND(E$6&gt;0,$B259&lt;E$6),E$4,E$5)/12),2))</f>
        <v/>
      </c>
      <c r="AK259">
        <f>IF(F258&lt;=0,0,ROUND(F258*(1+IF(AND(F$6&gt;0,$B259&lt;F$6),F$4,F$5)/12),2))</f>
        <v/>
      </c>
      <c r="AL259">
        <f>IF(G258&lt;=0,0,ROUND(G258*(1+IF(AND(G$6&gt;0,$B259&lt;G$6),G$4,G$5)/12),2))</f>
        <v/>
      </c>
      <c r="AM259">
        <f>IF(H258&lt;=0,0,ROUND(H258*(1+IF(AND(H$6&gt;0,$B259&lt;H$6),H$4,H$5)/12),2))</f>
        <v/>
      </c>
      <c r="AN259">
        <f>IF(I258&lt;=0,0,ROUND(I258*(1+IF(AND(I$6&gt;0,$B259&lt;I$6),I$4,I$5)/12),2))</f>
        <v/>
      </c>
      <c r="AO259">
        <f>IF(J258&lt;=0,0,ROUND(J258*(1+IF(AND(J$6&gt;0,$B259&lt;J$6),J$4,J$5)/12),2))</f>
        <v/>
      </c>
      <c r="AP259">
        <f>IF(K258&lt;=0,0,ROUND(K258*(1+IF(AND(K$6&gt;0,$B259&lt;K$6),K$4,K$5)/12),2))</f>
        <v/>
      </c>
      <c r="AQ259">
        <f>IF(L258&lt;=0,0,ROUND(L258*(1+IF(AND(L$6&gt;0,$B259&lt;L$6),L$4,L$5)/12),2))</f>
        <v/>
      </c>
      <c r="AR259">
        <f>IF(M258&lt;=0,0,ROUND(M258*(1+IF(AND(M$6&gt;0,$B259&lt;M$6),M$4,M$5)/12),2))</f>
        <v/>
      </c>
      <c r="AS259">
        <f>IF(N258&lt;=0,0,ROUND(N258*(1+IF(AND(N$6&gt;0,$B259&lt;N$6),N$4,N$5)/12),2))</f>
        <v/>
      </c>
    </row>
    <row r="260">
      <c r="A260" t="n">
        <v>249</v>
      </c>
      <c r="B260">
        <f>EDATE(Plan!$C$6,248)</f>
        <v/>
      </c>
      <c r="C260">
        <f>IF(C259&lt;=0,0,MAX(0,AH260-O260))</f>
        <v/>
      </c>
      <c r="D260">
        <f>IF(D259&lt;=0,0,MAX(0,AI260-P260))</f>
        <v/>
      </c>
      <c r="E260">
        <f>IF(E259&lt;=0,0,MAX(0,AJ260-Q260))</f>
        <v/>
      </c>
      <c r="F260">
        <f>IF(F259&lt;=0,0,MAX(0,AK260-R260))</f>
        <v/>
      </c>
      <c r="G260">
        <f>IF(G259&lt;=0,0,MAX(0,AL260-S260))</f>
        <v/>
      </c>
      <c r="H260">
        <f>IF(H259&lt;=0,0,MAX(0,AM260-T260))</f>
        <v/>
      </c>
      <c r="I260">
        <f>IF(I259&lt;=0,0,MAX(0,AN260-U260))</f>
        <v/>
      </c>
      <c r="J260">
        <f>IF(J259&lt;=0,0,MAX(0,AO260-V260))</f>
        <v/>
      </c>
      <c r="K260">
        <f>IF(K259&lt;=0,0,MAX(0,AP260-W260))</f>
        <v/>
      </c>
      <c r="L260">
        <f>IF(L259&lt;=0,0,MAX(0,AQ260-X260))</f>
        <v/>
      </c>
      <c r="M260">
        <f>IF(M259&lt;=0,0,MAX(0,AR260-Y260))</f>
        <v/>
      </c>
      <c r="N260">
        <f>IF(N259&lt;=0,0,MAX(0,AS260-Z260))</f>
        <v/>
      </c>
      <c r="O260">
        <f>IF(C259&lt;=0,0,MIN(AH260,C$7+IF(C$2=$AA260,$AC260,IF(C$2=$AF260,$AG260,0))))</f>
        <v/>
      </c>
      <c r="P260">
        <f>IF(D259&lt;=0,0,MIN(AI260,D$7+IF(D$2=$AA260,$AC260,IF(D$2=$AF260,$AG260,0))))</f>
        <v/>
      </c>
      <c r="Q260">
        <f>IF(E259&lt;=0,0,MIN(AJ260,E$7+IF(E$2=$AA260,$AC260,IF(E$2=$AF260,$AG260,0))))</f>
        <v/>
      </c>
      <c r="R260">
        <f>IF(F259&lt;=0,0,MIN(AK260,F$7+IF(F$2=$AA260,$AC260,IF(F$2=$AF260,$AG260,0))))</f>
        <v/>
      </c>
      <c r="S260">
        <f>IF(G259&lt;=0,0,MIN(AL260,G$7+IF(G$2=$AA260,$AC260,IF(G$2=$AF260,$AG260,0))))</f>
        <v/>
      </c>
      <c r="T260">
        <f>IF(H259&lt;=0,0,MIN(AM260,H$7+IF(H$2=$AA260,$AC260,IF(H$2=$AF260,$AG260,0))))</f>
        <v/>
      </c>
      <c r="U260">
        <f>IF(I259&lt;=0,0,MIN(AN260,I$7+IF(I$2=$AA260,$AC260,IF(I$2=$AF260,$AG260,0))))</f>
        <v/>
      </c>
      <c r="V260">
        <f>IF(J259&lt;=0,0,MIN(AO260,J$7+IF(J$2=$AA260,$AC260,IF(J$2=$AF260,$AG260,0))))</f>
        <v/>
      </c>
      <c r="W260">
        <f>IF(K259&lt;=0,0,MIN(AP260,K$7+IF(K$2=$AA260,$AC260,IF(K$2=$AF260,$AG260,0))))</f>
        <v/>
      </c>
      <c r="X260">
        <f>IF(L259&lt;=0,0,MIN(AQ260,L$7+IF(L$2=$AA260,$AC260,IF(L$2=$AF260,$AG260,0))))</f>
        <v/>
      </c>
      <c r="Y260">
        <f>IF(M259&lt;=0,0,MIN(AR260,M$7+IF(M$2=$AA260,$AC260,IF(M$2=$AF260,$AG260,0))))</f>
        <v/>
      </c>
      <c r="Z260">
        <f>IF(N259&lt;=0,0,MIN(AS260,N$7+IF(N$2=$AA260,$AC260,IF(N$2=$AF260,$AG260,0))))</f>
        <v/>
      </c>
      <c r="AA260">
        <f>IFERROR(ROUND(1/SUMPRODUCT(MAX((C259:N259&gt;0)*($C$3:$N$3&lt;=B260)/$C$2:$N$2)),0),0)</f>
        <v/>
      </c>
      <c r="AB260">
        <f>SUMPRODUCT((C259:N259&gt;0)*$C$7:$N$7)</f>
        <v/>
      </c>
      <c r="AC260">
        <f>MAX(0,Plan!$C$5-AB260)+IF(A260=Plan!$C$8,N(Plan!$C$7),0)</f>
        <v/>
      </c>
      <c r="AD260">
        <f>SUM(C260:N260)</f>
        <v/>
      </c>
      <c r="AE260">
        <f>SUM(O260:Z260)</f>
        <v/>
      </c>
      <c r="AF260">
        <f>IFERROR(ROUND(1/SUMPRODUCT(MAX((C259:N259&gt;0)*($C$3:$N$3&lt;=B260)*($C$2:$N$2&gt;AA260)/$C$2:$N$2)),0),0)</f>
        <v/>
      </c>
      <c r="AG260">
        <f>MAX(0,AC260-MAX(0,SUMPRODUCT(($C$2:$N$2=AA260)*(AH260:AS260-$C$7:$N$7))))</f>
        <v/>
      </c>
      <c r="AH260">
        <f>IF(C259&lt;=0,0,ROUND(C259*(1+IF(AND(C$6&gt;0,$B260&lt;C$6),C$4,C$5)/12),2))</f>
        <v/>
      </c>
      <c r="AI260">
        <f>IF(D259&lt;=0,0,ROUND(D259*(1+IF(AND(D$6&gt;0,$B260&lt;D$6),D$4,D$5)/12),2))</f>
        <v/>
      </c>
      <c r="AJ260">
        <f>IF(E259&lt;=0,0,ROUND(E259*(1+IF(AND(E$6&gt;0,$B260&lt;E$6),E$4,E$5)/12),2))</f>
        <v/>
      </c>
      <c r="AK260">
        <f>IF(F259&lt;=0,0,ROUND(F259*(1+IF(AND(F$6&gt;0,$B260&lt;F$6),F$4,F$5)/12),2))</f>
        <v/>
      </c>
      <c r="AL260">
        <f>IF(G259&lt;=0,0,ROUND(G259*(1+IF(AND(G$6&gt;0,$B260&lt;G$6),G$4,G$5)/12),2))</f>
        <v/>
      </c>
      <c r="AM260">
        <f>IF(H259&lt;=0,0,ROUND(H259*(1+IF(AND(H$6&gt;0,$B260&lt;H$6),H$4,H$5)/12),2))</f>
        <v/>
      </c>
      <c r="AN260">
        <f>IF(I259&lt;=0,0,ROUND(I259*(1+IF(AND(I$6&gt;0,$B260&lt;I$6),I$4,I$5)/12),2))</f>
        <v/>
      </c>
      <c r="AO260">
        <f>IF(J259&lt;=0,0,ROUND(J259*(1+IF(AND(J$6&gt;0,$B260&lt;J$6),J$4,J$5)/12),2))</f>
        <v/>
      </c>
      <c r="AP260">
        <f>IF(K259&lt;=0,0,ROUND(K259*(1+IF(AND(K$6&gt;0,$B260&lt;K$6),K$4,K$5)/12),2))</f>
        <v/>
      </c>
      <c r="AQ260">
        <f>IF(L259&lt;=0,0,ROUND(L259*(1+IF(AND(L$6&gt;0,$B260&lt;L$6),L$4,L$5)/12),2))</f>
        <v/>
      </c>
      <c r="AR260">
        <f>IF(M259&lt;=0,0,ROUND(M259*(1+IF(AND(M$6&gt;0,$B260&lt;M$6),M$4,M$5)/12),2))</f>
        <v/>
      </c>
      <c r="AS260">
        <f>IF(N259&lt;=0,0,ROUND(N259*(1+IF(AND(N$6&gt;0,$B260&lt;N$6),N$4,N$5)/12),2))</f>
        <v/>
      </c>
    </row>
    <row r="261">
      <c r="A261" t="n">
        <v>250</v>
      </c>
      <c r="B261">
        <f>EDATE(Plan!$C$6,249)</f>
        <v/>
      </c>
      <c r="C261">
        <f>IF(C260&lt;=0,0,MAX(0,AH261-O261))</f>
        <v/>
      </c>
      <c r="D261">
        <f>IF(D260&lt;=0,0,MAX(0,AI261-P261))</f>
        <v/>
      </c>
      <c r="E261">
        <f>IF(E260&lt;=0,0,MAX(0,AJ261-Q261))</f>
        <v/>
      </c>
      <c r="F261">
        <f>IF(F260&lt;=0,0,MAX(0,AK261-R261))</f>
        <v/>
      </c>
      <c r="G261">
        <f>IF(G260&lt;=0,0,MAX(0,AL261-S261))</f>
        <v/>
      </c>
      <c r="H261">
        <f>IF(H260&lt;=0,0,MAX(0,AM261-T261))</f>
        <v/>
      </c>
      <c r="I261">
        <f>IF(I260&lt;=0,0,MAX(0,AN261-U261))</f>
        <v/>
      </c>
      <c r="J261">
        <f>IF(J260&lt;=0,0,MAX(0,AO261-V261))</f>
        <v/>
      </c>
      <c r="K261">
        <f>IF(K260&lt;=0,0,MAX(0,AP261-W261))</f>
        <v/>
      </c>
      <c r="L261">
        <f>IF(L260&lt;=0,0,MAX(0,AQ261-X261))</f>
        <v/>
      </c>
      <c r="M261">
        <f>IF(M260&lt;=0,0,MAX(0,AR261-Y261))</f>
        <v/>
      </c>
      <c r="N261">
        <f>IF(N260&lt;=0,0,MAX(0,AS261-Z261))</f>
        <v/>
      </c>
      <c r="O261">
        <f>IF(C260&lt;=0,0,MIN(AH261,C$7+IF(C$2=$AA261,$AC261,IF(C$2=$AF261,$AG261,0))))</f>
        <v/>
      </c>
      <c r="P261">
        <f>IF(D260&lt;=0,0,MIN(AI261,D$7+IF(D$2=$AA261,$AC261,IF(D$2=$AF261,$AG261,0))))</f>
        <v/>
      </c>
      <c r="Q261">
        <f>IF(E260&lt;=0,0,MIN(AJ261,E$7+IF(E$2=$AA261,$AC261,IF(E$2=$AF261,$AG261,0))))</f>
        <v/>
      </c>
      <c r="R261">
        <f>IF(F260&lt;=0,0,MIN(AK261,F$7+IF(F$2=$AA261,$AC261,IF(F$2=$AF261,$AG261,0))))</f>
        <v/>
      </c>
      <c r="S261">
        <f>IF(G260&lt;=0,0,MIN(AL261,G$7+IF(G$2=$AA261,$AC261,IF(G$2=$AF261,$AG261,0))))</f>
        <v/>
      </c>
      <c r="T261">
        <f>IF(H260&lt;=0,0,MIN(AM261,H$7+IF(H$2=$AA261,$AC261,IF(H$2=$AF261,$AG261,0))))</f>
        <v/>
      </c>
      <c r="U261">
        <f>IF(I260&lt;=0,0,MIN(AN261,I$7+IF(I$2=$AA261,$AC261,IF(I$2=$AF261,$AG261,0))))</f>
        <v/>
      </c>
      <c r="V261">
        <f>IF(J260&lt;=0,0,MIN(AO261,J$7+IF(J$2=$AA261,$AC261,IF(J$2=$AF261,$AG261,0))))</f>
        <v/>
      </c>
      <c r="W261">
        <f>IF(K260&lt;=0,0,MIN(AP261,K$7+IF(K$2=$AA261,$AC261,IF(K$2=$AF261,$AG261,0))))</f>
        <v/>
      </c>
      <c r="X261">
        <f>IF(L260&lt;=0,0,MIN(AQ261,L$7+IF(L$2=$AA261,$AC261,IF(L$2=$AF261,$AG261,0))))</f>
        <v/>
      </c>
      <c r="Y261">
        <f>IF(M260&lt;=0,0,MIN(AR261,M$7+IF(M$2=$AA261,$AC261,IF(M$2=$AF261,$AG261,0))))</f>
        <v/>
      </c>
      <c r="Z261">
        <f>IF(N260&lt;=0,0,MIN(AS261,N$7+IF(N$2=$AA261,$AC261,IF(N$2=$AF261,$AG261,0))))</f>
        <v/>
      </c>
      <c r="AA261">
        <f>IFERROR(ROUND(1/SUMPRODUCT(MAX((C260:N260&gt;0)*($C$3:$N$3&lt;=B261)/$C$2:$N$2)),0),0)</f>
        <v/>
      </c>
      <c r="AB261">
        <f>SUMPRODUCT((C260:N260&gt;0)*$C$7:$N$7)</f>
        <v/>
      </c>
      <c r="AC261">
        <f>MAX(0,Plan!$C$5-AB261)+IF(A261=Plan!$C$8,N(Plan!$C$7),0)</f>
        <v/>
      </c>
      <c r="AD261">
        <f>SUM(C261:N261)</f>
        <v/>
      </c>
      <c r="AE261">
        <f>SUM(O261:Z261)</f>
        <v/>
      </c>
      <c r="AF261">
        <f>IFERROR(ROUND(1/SUMPRODUCT(MAX((C260:N260&gt;0)*($C$3:$N$3&lt;=B261)*($C$2:$N$2&gt;AA261)/$C$2:$N$2)),0),0)</f>
        <v/>
      </c>
      <c r="AG261">
        <f>MAX(0,AC261-MAX(0,SUMPRODUCT(($C$2:$N$2=AA261)*(AH261:AS261-$C$7:$N$7))))</f>
        <v/>
      </c>
      <c r="AH261">
        <f>IF(C260&lt;=0,0,ROUND(C260*(1+IF(AND(C$6&gt;0,$B261&lt;C$6),C$4,C$5)/12),2))</f>
        <v/>
      </c>
      <c r="AI261">
        <f>IF(D260&lt;=0,0,ROUND(D260*(1+IF(AND(D$6&gt;0,$B261&lt;D$6),D$4,D$5)/12),2))</f>
        <v/>
      </c>
      <c r="AJ261">
        <f>IF(E260&lt;=0,0,ROUND(E260*(1+IF(AND(E$6&gt;0,$B261&lt;E$6),E$4,E$5)/12),2))</f>
        <v/>
      </c>
      <c r="AK261">
        <f>IF(F260&lt;=0,0,ROUND(F260*(1+IF(AND(F$6&gt;0,$B261&lt;F$6),F$4,F$5)/12),2))</f>
        <v/>
      </c>
      <c r="AL261">
        <f>IF(G260&lt;=0,0,ROUND(G260*(1+IF(AND(G$6&gt;0,$B261&lt;G$6),G$4,G$5)/12),2))</f>
        <v/>
      </c>
      <c r="AM261">
        <f>IF(H260&lt;=0,0,ROUND(H260*(1+IF(AND(H$6&gt;0,$B261&lt;H$6),H$4,H$5)/12),2))</f>
        <v/>
      </c>
      <c r="AN261">
        <f>IF(I260&lt;=0,0,ROUND(I260*(1+IF(AND(I$6&gt;0,$B261&lt;I$6),I$4,I$5)/12),2))</f>
        <v/>
      </c>
      <c r="AO261">
        <f>IF(J260&lt;=0,0,ROUND(J260*(1+IF(AND(J$6&gt;0,$B261&lt;J$6),J$4,J$5)/12),2))</f>
        <v/>
      </c>
      <c r="AP261">
        <f>IF(K260&lt;=0,0,ROUND(K260*(1+IF(AND(K$6&gt;0,$B261&lt;K$6),K$4,K$5)/12),2))</f>
        <v/>
      </c>
      <c r="AQ261">
        <f>IF(L260&lt;=0,0,ROUND(L260*(1+IF(AND(L$6&gt;0,$B261&lt;L$6),L$4,L$5)/12),2))</f>
        <v/>
      </c>
      <c r="AR261">
        <f>IF(M260&lt;=0,0,ROUND(M260*(1+IF(AND(M$6&gt;0,$B261&lt;M$6),M$4,M$5)/12),2))</f>
        <v/>
      </c>
      <c r="AS261">
        <f>IF(N260&lt;=0,0,ROUND(N260*(1+IF(AND(N$6&gt;0,$B261&lt;N$6),N$4,N$5)/12),2))</f>
        <v/>
      </c>
    </row>
    <row r="262">
      <c r="A262" t="n">
        <v>251</v>
      </c>
      <c r="B262">
        <f>EDATE(Plan!$C$6,250)</f>
        <v/>
      </c>
      <c r="C262">
        <f>IF(C261&lt;=0,0,MAX(0,AH262-O262))</f>
        <v/>
      </c>
      <c r="D262">
        <f>IF(D261&lt;=0,0,MAX(0,AI262-P262))</f>
        <v/>
      </c>
      <c r="E262">
        <f>IF(E261&lt;=0,0,MAX(0,AJ262-Q262))</f>
        <v/>
      </c>
      <c r="F262">
        <f>IF(F261&lt;=0,0,MAX(0,AK262-R262))</f>
        <v/>
      </c>
      <c r="G262">
        <f>IF(G261&lt;=0,0,MAX(0,AL262-S262))</f>
        <v/>
      </c>
      <c r="H262">
        <f>IF(H261&lt;=0,0,MAX(0,AM262-T262))</f>
        <v/>
      </c>
      <c r="I262">
        <f>IF(I261&lt;=0,0,MAX(0,AN262-U262))</f>
        <v/>
      </c>
      <c r="J262">
        <f>IF(J261&lt;=0,0,MAX(0,AO262-V262))</f>
        <v/>
      </c>
      <c r="K262">
        <f>IF(K261&lt;=0,0,MAX(0,AP262-W262))</f>
        <v/>
      </c>
      <c r="L262">
        <f>IF(L261&lt;=0,0,MAX(0,AQ262-X262))</f>
        <v/>
      </c>
      <c r="M262">
        <f>IF(M261&lt;=0,0,MAX(0,AR262-Y262))</f>
        <v/>
      </c>
      <c r="N262">
        <f>IF(N261&lt;=0,0,MAX(0,AS262-Z262))</f>
        <v/>
      </c>
      <c r="O262">
        <f>IF(C261&lt;=0,0,MIN(AH262,C$7+IF(C$2=$AA262,$AC262,IF(C$2=$AF262,$AG262,0))))</f>
        <v/>
      </c>
      <c r="P262">
        <f>IF(D261&lt;=0,0,MIN(AI262,D$7+IF(D$2=$AA262,$AC262,IF(D$2=$AF262,$AG262,0))))</f>
        <v/>
      </c>
      <c r="Q262">
        <f>IF(E261&lt;=0,0,MIN(AJ262,E$7+IF(E$2=$AA262,$AC262,IF(E$2=$AF262,$AG262,0))))</f>
        <v/>
      </c>
      <c r="R262">
        <f>IF(F261&lt;=0,0,MIN(AK262,F$7+IF(F$2=$AA262,$AC262,IF(F$2=$AF262,$AG262,0))))</f>
        <v/>
      </c>
      <c r="S262">
        <f>IF(G261&lt;=0,0,MIN(AL262,G$7+IF(G$2=$AA262,$AC262,IF(G$2=$AF262,$AG262,0))))</f>
        <v/>
      </c>
      <c r="T262">
        <f>IF(H261&lt;=0,0,MIN(AM262,H$7+IF(H$2=$AA262,$AC262,IF(H$2=$AF262,$AG262,0))))</f>
        <v/>
      </c>
      <c r="U262">
        <f>IF(I261&lt;=0,0,MIN(AN262,I$7+IF(I$2=$AA262,$AC262,IF(I$2=$AF262,$AG262,0))))</f>
        <v/>
      </c>
      <c r="V262">
        <f>IF(J261&lt;=0,0,MIN(AO262,J$7+IF(J$2=$AA262,$AC262,IF(J$2=$AF262,$AG262,0))))</f>
        <v/>
      </c>
      <c r="W262">
        <f>IF(K261&lt;=0,0,MIN(AP262,K$7+IF(K$2=$AA262,$AC262,IF(K$2=$AF262,$AG262,0))))</f>
        <v/>
      </c>
      <c r="X262">
        <f>IF(L261&lt;=0,0,MIN(AQ262,L$7+IF(L$2=$AA262,$AC262,IF(L$2=$AF262,$AG262,0))))</f>
        <v/>
      </c>
      <c r="Y262">
        <f>IF(M261&lt;=0,0,MIN(AR262,M$7+IF(M$2=$AA262,$AC262,IF(M$2=$AF262,$AG262,0))))</f>
        <v/>
      </c>
      <c r="Z262">
        <f>IF(N261&lt;=0,0,MIN(AS262,N$7+IF(N$2=$AA262,$AC262,IF(N$2=$AF262,$AG262,0))))</f>
        <v/>
      </c>
      <c r="AA262">
        <f>IFERROR(ROUND(1/SUMPRODUCT(MAX((C261:N261&gt;0)*($C$3:$N$3&lt;=B262)/$C$2:$N$2)),0),0)</f>
        <v/>
      </c>
      <c r="AB262">
        <f>SUMPRODUCT((C261:N261&gt;0)*$C$7:$N$7)</f>
        <v/>
      </c>
      <c r="AC262">
        <f>MAX(0,Plan!$C$5-AB262)+IF(A262=Plan!$C$8,N(Plan!$C$7),0)</f>
        <v/>
      </c>
      <c r="AD262">
        <f>SUM(C262:N262)</f>
        <v/>
      </c>
      <c r="AE262">
        <f>SUM(O262:Z262)</f>
        <v/>
      </c>
      <c r="AF262">
        <f>IFERROR(ROUND(1/SUMPRODUCT(MAX((C261:N261&gt;0)*($C$3:$N$3&lt;=B262)*($C$2:$N$2&gt;AA262)/$C$2:$N$2)),0),0)</f>
        <v/>
      </c>
      <c r="AG262">
        <f>MAX(0,AC262-MAX(0,SUMPRODUCT(($C$2:$N$2=AA262)*(AH262:AS262-$C$7:$N$7))))</f>
        <v/>
      </c>
      <c r="AH262">
        <f>IF(C261&lt;=0,0,ROUND(C261*(1+IF(AND(C$6&gt;0,$B262&lt;C$6),C$4,C$5)/12),2))</f>
        <v/>
      </c>
      <c r="AI262">
        <f>IF(D261&lt;=0,0,ROUND(D261*(1+IF(AND(D$6&gt;0,$B262&lt;D$6),D$4,D$5)/12),2))</f>
        <v/>
      </c>
      <c r="AJ262">
        <f>IF(E261&lt;=0,0,ROUND(E261*(1+IF(AND(E$6&gt;0,$B262&lt;E$6),E$4,E$5)/12),2))</f>
        <v/>
      </c>
      <c r="AK262">
        <f>IF(F261&lt;=0,0,ROUND(F261*(1+IF(AND(F$6&gt;0,$B262&lt;F$6),F$4,F$5)/12),2))</f>
        <v/>
      </c>
      <c r="AL262">
        <f>IF(G261&lt;=0,0,ROUND(G261*(1+IF(AND(G$6&gt;0,$B262&lt;G$6),G$4,G$5)/12),2))</f>
        <v/>
      </c>
      <c r="AM262">
        <f>IF(H261&lt;=0,0,ROUND(H261*(1+IF(AND(H$6&gt;0,$B262&lt;H$6),H$4,H$5)/12),2))</f>
        <v/>
      </c>
      <c r="AN262">
        <f>IF(I261&lt;=0,0,ROUND(I261*(1+IF(AND(I$6&gt;0,$B262&lt;I$6),I$4,I$5)/12),2))</f>
        <v/>
      </c>
      <c r="AO262">
        <f>IF(J261&lt;=0,0,ROUND(J261*(1+IF(AND(J$6&gt;0,$B262&lt;J$6),J$4,J$5)/12),2))</f>
        <v/>
      </c>
      <c r="AP262">
        <f>IF(K261&lt;=0,0,ROUND(K261*(1+IF(AND(K$6&gt;0,$B262&lt;K$6),K$4,K$5)/12),2))</f>
        <v/>
      </c>
      <c r="AQ262">
        <f>IF(L261&lt;=0,0,ROUND(L261*(1+IF(AND(L$6&gt;0,$B262&lt;L$6),L$4,L$5)/12),2))</f>
        <v/>
      </c>
      <c r="AR262">
        <f>IF(M261&lt;=0,0,ROUND(M261*(1+IF(AND(M$6&gt;0,$B262&lt;M$6),M$4,M$5)/12),2))</f>
        <v/>
      </c>
      <c r="AS262">
        <f>IF(N261&lt;=0,0,ROUND(N261*(1+IF(AND(N$6&gt;0,$B262&lt;N$6),N$4,N$5)/12),2))</f>
        <v/>
      </c>
    </row>
    <row r="263">
      <c r="A263" t="n">
        <v>252</v>
      </c>
      <c r="B263">
        <f>EDATE(Plan!$C$6,251)</f>
        <v/>
      </c>
      <c r="C263">
        <f>IF(C262&lt;=0,0,MAX(0,AH263-O263))</f>
        <v/>
      </c>
      <c r="D263">
        <f>IF(D262&lt;=0,0,MAX(0,AI263-P263))</f>
        <v/>
      </c>
      <c r="E263">
        <f>IF(E262&lt;=0,0,MAX(0,AJ263-Q263))</f>
        <v/>
      </c>
      <c r="F263">
        <f>IF(F262&lt;=0,0,MAX(0,AK263-R263))</f>
        <v/>
      </c>
      <c r="G263">
        <f>IF(G262&lt;=0,0,MAX(0,AL263-S263))</f>
        <v/>
      </c>
      <c r="H263">
        <f>IF(H262&lt;=0,0,MAX(0,AM263-T263))</f>
        <v/>
      </c>
      <c r="I263">
        <f>IF(I262&lt;=0,0,MAX(0,AN263-U263))</f>
        <v/>
      </c>
      <c r="J263">
        <f>IF(J262&lt;=0,0,MAX(0,AO263-V263))</f>
        <v/>
      </c>
      <c r="K263">
        <f>IF(K262&lt;=0,0,MAX(0,AP263-W263))</f>
        <v/>
      </c>
      <c r="L263">
        <f>IF(L262&lt;=0,0,MAX(0,AQ263-X263))</f>
        <v/>
      </c>
      <c r="M263">
        <f>IF(M262&lt;=0,0,MAX(0,AR263-Y263))</f>
        <v/>
      </c>
      <c r="N263">
        <f>IF(N262&lt;=0,0,MAX(0,AS263-Z263))</f>
        <v/>
      </c>
      <c r="O263">
        <f>IF(C262&lt;=0,0,MIN(AH263,C$7+IF(C$2=$AA263,$AC263,IF(C$2=$AF263,$AG263,0))))</f>
        <v/>
      </c>
      <c r="P263">
        <f>IF(D262&lt;=0,0,MIN(AI263,D$7+IF(D$2=$AA263,$AC263,IF(D$2=$AF263,$AG263,0))))</f>
        <v/>
      </c>
      <c r="Q263">
        <f>IF(E262&lt;=0,0,MIN(AJ263,E$7+IF(E$2=$AA263,$AC263,IF(E$2=$AF263,$AG263,0))))</f>
        <v/>
      </c>
      <c r="R263">
        <f>IF(F262&lt;=0,0,MIN(AK263,F$7+IF(F$2=$AA263,$AC263,IF(F$2=$AF263,$AG263,0))))</f>
        <v/>
      </c>
      <c r="S263">
        <f>IF(G262&lt;=0,0,MIN(AL263,G$7+IF(G$2=$AA263,$AC263,IF(G$2=$AF263,$AG263,0))))</f>
        <v/>
      </c>
      <c r="T263">
        <f>IF(H262&lt;=0,0,MIN(AM263,H$7+IF(H$2=$AA263,$AC263,IF(H$2=$AF263,$AG263,0))))</f>
        <v/>
      </c>
      <c r="U263">
        <f>IF(I262&lt;=0,0,MIN(AN263,I$7+IF(I$2=$AA263,$AC263,IF(I$2=$AF263,$AG263,0))))</f>
        <v/>
      </c>
      <c r="V263">
        <f>IF(J262&lt;=0,0,MIN(AO263,J$7+IF(J$2=$AA263,$AC263,IF(J$2=$AF263,$AG263,0))))</f>
        <v/>
      </c>
      <c r="W263">
        <f>IF(K262&lt;=0,0,MIN(AP263,K$7+IF(K$2=$AA263,$AC263,IF(K$2=$AF263,$AG263,0))))</f>
        <v/>
      </c>
      <c r="X263">
        <f>IF(L262&lt;=0,0,MIN(AQ263,L$7+IF(L$2=$AA263,$AC263,IF(L$2=$AF263,$AG263,0))))</f>
        <v/>
      </c>
      <c r="Y263">
        <f>IF(M262&lt;=0,0,MIN(AR263,M$7+IF(M$2=$AA263,$AC263,IF(M$2=$AF263,$AG263,0))))</f>
        <v/>
      </c>
      <c r="Z263">
        <f>IF(N262&lt;=0,0,MIN(AS263,N$7+IF(N$2=$AA263,$AC263,IF(N$2=$AF263,$AG263,0))))</f>
        <v/>
      </c>
      <c r="AA263">
        <f>IFERROR(ROUND(1/SUMPRODUCT(MAX((C262:N262&gt;0)*($C$3:$N$3&lt;=B263)/$C$2:$N$2)),0),0)</f>
        <v/>
      </c>
      <c r="AB263">
        <f>SUMPRODUCT((C262:N262&gt;0)*$C$7:$N$7)</f>
        <v/>
      </c>
      <c r="AC263">
        <f>MAX(0,Plan!$C$5-AB263)+IF(A263=Plan!$C$8,N(Plan!$C$7),0)</f>
        <v/>
      </c>
      <c r="AD263">
        <f>SUM(C263:N263)</f>
        <v/>
      </c>
      <c r="AE263">
        <f>SUM(O263:Z263)</f>
        <v/>
      </c>
      <c r="AF263">
        <f>IFERROR(ROUND(1/SUMPRODUCT(MAX((C262:N262&gt;0)*($C$3:$N$3&lt;=B263)*($C$2:$N$2&gt;AA263)/$C$2:$N$2)),0),0)</f>
        <v/>
      </c>
      <c r="AG263">
        <f>MAX(0,AC263-MAX(0,SUMPRODUCT(($C$2:$N$2=AA263)*(AH263:AS263-$C$7:$N$7))))</f>
        <v/>
      </c>
      <c r="AH263">
        <f>IF(C262&lt;=0,0,ROUND(C262*(1+IF(AND(C$6&gt;0,$B263&lt;C$6),C$4,C$5)/12),2))</f>
        <v/>
      </c>
      <c r="AI263">
        <f>IF(D262&lt;=0,0,ROUND(D262*(1+IF(AND(D$6&gt;0,$B263&lt;D$6),D$4,D$5)/12),2))</f>
        <v/>
      </c>
      <c r="AJ263">
        <f>IF(E262&lt;=0,0,ROUND(E262*(1+IF(AND(E$6&gt;0,$B263&lt;E$6),E$4,E$5)/12),2))</f>
        <v/>
      </c>
      <c r="AK263">
        <f>IF(F262&lt;=0,0,ROUND(F262*(1+IF(AND(F$6&gt;0,$B263&lt;F$6),F$4,F$5)/12),2))</f>
        <v/>
      </c>
      <c r="AL263">
        <f>IF(G262&lt;=0,0,ROUND(G262*(1+IF(AND(G$6&gt;0,$B263&lt;G$6),G$4,G$5)/12),2))</f>
        <v/>
      </c>
      <c r="AM263">
        <f>IF(H262&lt;=0,0,ROUND(H262*(1+IF(AND(H$6&gt;0,$B263&lt;H$6),H$4,H$5)/12),2))</f>
        <v/>
      </c>
      <c r="AN263">
        <f>IF(I262&lt;=0,0,ROUND(I262*(1+IF(AND(I$6&gt;0,$B263&lt;I$6),I$4,I$5)/12),2))</f>
        <v/>
      </c>
      <c r="AO263">
        <f>IF(J262&lt;=0,0,ROUND(J262*(1+IF(AND(J$6&gt;0,$B263&lt;J$6),J$4,J$5)/12),2))</f>
        <v/>
      </c>
      <c r="AP263">
        <f>IF(K262&lt;=0,0,ROUND(K262*(1+IF(AND(K$6&gt;0,$B263&lt;K$6),K$4,K$5)/12),2))</f>
        <v/>
      </c>
      <c r="AQ263">
        <f>IF(L262&lt;=0,0,ROUND(L262*(1+IF(AND(L$6&gt;0,$B263&lt;L$6),L$4,L$5)/12),2))</f>
        <v/>
      </c>
      <c r="AR263">
        <f>IF(M262&lt;=0,0,ROUND(M262*(1+IF(AND(M$6&gt;0,$B263&lt;M$6),M$4,M$5)/12),2))</f>
        <v/>
      </c>
      <c r="AS263">
        <f>IF(N262&lt;=0,0,ROUND(N262*(1+IF(AND(N$6&gt;0,$B263&lt;N$6),N$4,N$5)/12),2))</f>
        <v/>
      </c>
    </row>
    <row r="264">
      <c r="A264" t="n">
        <v>253</v>
      </c>
      <c r="B264">
        <f>EDATE(Plan!$C$6,252)</f>
        <v/>
      </c>
      <c r="C264">
        <f>IF(C263&lt;=0,0,MAX(0,AH264-O264))</f>
        <v/>
      </c>
      <c r="D264">
        <f>IF(D263&lt;=0,0,MAX(0,AI264-P264))</f>
        <v/>
      </c>
      <c r="E264">
        <f>IF(E263&lt;=0,0,MAX(0,AJ264-Q264))</f>
        <v/>
      </c>
      <c r="F264">
        <f>IF(F263&lt;=0,0,MAX(0,AK264-R264))</f>
        <v/>
      </c>
      <c r="G264">
        <f>IF(G263&lt;=0,0,MAX(0,AL264-S264))</f>
        <v/>
      </c>
      <c r="H264">
        <f>IF(H263&lt;=0,0,MAX(0,AM264-T264))</f>
        <v/>
      </c>
      <c r="I264">
        <f>IF(I263&lt;=0,0,MAX(0,AN264-U264))</f>
        <v/>
      </c>
      <c r="J264">
        <f>IF(J263&lt;=0,0,MAX(0,AO264-V264))</f>
        <v/>
      </c>
      <c r="K264">
        <f>IF(K263&lt;=0,0,MAX(0,AP264-W264))</f>
        <v/>
      </c>
      <c r="L264">
        <f>IF(L263&lt;=0,0,MAX(0,AQ264-X264))</f>
        <v/>
      </c>
      <c r="M264">
        <f>IF(M263&lt;=0,0,MAX(0,AR264-Y264))</f>
        <v/>
      </c>
      <c r="N264">
        <f>IF(N263&lt;=0,0,MAX(0,AS264-Z264))</f>
        <v/>
      </c>
      <c r="O264">
        <f>IF(C263&lt;=0,0,MIN(AH264,C$7+IF(C$2=$AA264,$AC264,IF(C$2=$AF264,$AG264,0))))</f>
        <v/>
      </c>
      <c r="P264">
        <f>IF(D263&lt;=0,0,MIN(AI264,D$7+IF(D$2=$AA264,$AC264,IF(D$2=$AF264,$AG264,0))))</f>
        <v/>
      </c>
      <c r="Q264">
        <f>IF(E263&lt;=0,0,MIN(AJ264,E$7+IF(E$2=$AA264,$AC264,IF(E$2=$AF264,$AG264,0))))</f>
        <v/>
      </c>
      <c r="R264">
        <f>IF(F263&lt;=0,0,MIN(AK264,F$7+IF(F$2=$AA264,$AC264,IF(F$2=$AF264,$AG264,0))))</f>
        <v/>
      </c>
      <c r="S264">
        <f>IF(G263&lt;=0,0,MIN(AL264,G$7+IF(G$2=$AA264,$AC264,IF(G$2=$AF264,$AG264,0))))</f>
        <v/>
      </c>
      <c r="T264">
        <f>IF(H263&lt;=0,0,MIN(AM264,H$7+IF(H$2=$AA264,$AC264,IF(H$2=$AF264,$AG264,0))))</f>
        <v/>
      </c>
      <c r="U264">
        <f>IF(I263&lt;=0,0,MIN(AN264,I$7+IF(I$2=$AA264,$AC264,IF(I$2=$AF264,$AG264,0))))</f>
        <v/>
      </c>
      <c r="V264">
        <f>IF(J263&lt;=0,0,MIN(AO264,J$7+IF(J$2=$AA264,$AC264,IF(J$2=$AF264,$AG264,0))))</f>
        <v/>
      </c>
      <c r="W264">
        <f>IF(K263&lt;=0,0,MIN(AP264,K$7+IF(K$2=$AA264,$AC264,IF(K$2=$AF264,$AG264,0))))</f>
        <v/>
      </c>
      <c r="X264">
        <f>IF(L263&lt;=0,0,MIN(AQ264,L$7+IF(L$2=$AA264,$AC264,IF(L$2=$AF264,$AG264,0))))</f>
        <v/>
      </c>
      <c r="Y264">
        <f>IF(M263&lt;=0,0,MIN(AR264,M$7+IF(M$2=$AA264,$AC264,IF(M$2=$AF264,$AG264,0))))</f>
        <v/>
      </c>
      <c r="Z264">
        <f>IF(N263&lt;=0,0,MIN(AS264,N$7+IF(N$2=$AA264,$AC264,IF(N$2=$AF264,$AG264,0))))</f>
        <v/>
      </c>
      <c r="AA264">
        <f>IFERROR(ROUND(1/SUMPRODUCT(MAX((C263:N263&gt;0)*($C$3:$N$3&lt;=B264)/$C$2:$N$2)),0),0)</f>
        <v/>
      </c>
      <c r="AB264">
        <f>SUMPRODUCT((C263:N263&gt;0)*$C$7:$N$7)</f>
        <v/>
      </c>
      <c r="AC264">
        <f>MAX(0,Plan!$C$5-AB264)+IF(A264=Plan!$C$8,N(Plan!$C$7),0)</f>
        <v/>
      </c>
      <c r="AD264">
        <f>SUM(C264:N264)</f>
        <v/>
      </c>
      <c r="AE264">
        <f>SUM(O264:Z264)</f>
        <v/>
      </c>
      <c r="AF264">
        <f>IFERROR(ROUND(1/SUMPRODUCT(MAX((C263:N263&gt;0)*($C$3:$N$3&lt;=B264)*($C$2:$N$2&gt;AA264)/$C$2:$N$2)),0),0)</f>
        <v/>
      </c>
      <c r="AG264">
        <f>MAX(0,AC264-MAX(0,SUMPRODUCT(($C$2:$N$2=AA264)*(AH264:AS264-$C$7:$N$7))))</f>
        <v/>
      </c>
      <c r="AH264">
        <f>IF(C263&lt;=0,0,ROUND(C263*(1+IF(AND(C$6&gt;0,$B264&lt;C$6),C$4,C$5)/12),2))</f>
        <v/>
      </c>
      <c r="AI264">
        <f>IF(D263&lt;=0,0,ROUND(D263*(1+IF(AND(D$6&gt;0,$B264&lt;D$6),D$4,D$5)/12),2))</f>
        <v/>
      </c>
      <c r="AJ264">
        <f>IF(E263&lt;=0,0,ROUND(E263*(1+IF(AND(E$6&gt;0,$B264&lt;E$6),E$4,E$5)/12),2))</f>
        <v/>
      </c>
      <c r="AK264">
        <f>IF(F263&lt;=0,0,ROUND(F263*(1+IF(AND(F$6&gt;0,$B264&lt;F$6),F$4,F$5)/12),2))</f>
        <v/>
      </c>
      <c r="AL264">
        <f>IF(G263&lt;=0,0,ROUND(G263*(1+IF(AND(G$6&gt;0,$B264&lt;G$6),G$4,G$5)/12),2))</f>
        <v/>
      </c>
      <c r="AM264">
        <f>IF(H263&lt;=0,0,ROUND(H263*(1+IF(AND(H$6&gt;0,$B264&lt;H$6),H$4,H$5)/12),2))</f>
        <v/>
      </c>
      <c r="AN264">
        <f>IF(I263&lt;=0,0,ROUND(I263*(1+IF(AND(I$6&gt;0,$B264&lt;I$6),I$4,I$5)/12),2))</f>
        <v/>
      </c>
      <c r="AO264">
        <f>IF(J263&lt;=0,0,ROUND(J263*(1+IF(AND(J$6&gt;0,$B264&lt;J$6),J$4,J$5)/12),2))</f>
        <v/>
      </c>
      <c r="AP264">
        <f>IF(K263&lt;=0,0,ROUND(K263*(1+IF(AND(K$6&gt;0,$B264&lt;K$6),K$4,K$5)/12),2))</f>
        <v/>
      </c>
      <c r="AQ264">
        <f>IF(L263&lt;=0,0,ROUND(L263*(1+IF(AND(L$6&gt;0,$B264&lt;L$6),L$4,L$5)/12),2))</f>
        <v/>
      </c>
      <c r="AR264">
        <f>IF(M263&lt;=0,0,ROUND(M263*(1+IF(AND(M$6&gt;0,$B264&lt;M$6),M$4,M$5)/12),2))</f>
        <v/>
      </c>
      <c r="AS264">
        <f>IF(N263&lt;=0,0,ROUND(N263*(1+IF(AND(N$6&gt;0,$B264&lt;N$6),N$4,N$5)/12),2))</f>
        <v/>
      </c>
    </row>
    <row r="265">
      <c r="A265" t="n">
        <v>254</v>
      </c>
      <c r="B265">
        <f>EDATE(Plan!$C$6,253)</f>
        <v/>
      </c>
      <c r="C265">
        <f>IF(C264&lt;=0,0,MAX(0,AH265-O265))</f>
        <v/>
      </c>
      <c r="D265">
        <f>IF(D264&lt;=0,0,MAX(0,AI265-P265))</f>
        <v/>
      </c>
      <c r="E265">
        <f>IF(E264&lt;=0,0,MAX(0,AJ265-Q265))</f>
        <v/>
      </c>
      <c r="F265">
        <f>IF(F264&lt;=0,0,MAX(0,AK265-R265))</f>
        <v/>
      </c>
      <c r="G265">
        <f>IF(G264&lt;=0,0,MAX(0,AL265-S265))</f>
        <v/>
      </c>
      <c r="H265">
        <f>IF(H264&lt;=0,0,MAX(0,AM265-T265))</f>
        <v/>
      </c>
      <c r="I265">
        <f>IF(I264&lt;=0,0,MAX(0,AN265-U265))</f>
        <v/>
      </c>
      <c r="J265">
        <f>IF(J264&lt;=0,0,MAX(0,AO265-V265))</f>
        <v/>
      </c>
      <c r="K265">
        <f>IF(K264&lt;=0,0,MAX(0,AP265-W265))</f>
        <v/>
      </c>
      <c r="L265">
        <f>IF(L264&lt;=0,0,MAX(0,AQ265-X265))</f>
        <v/>
      </c>
      <c r="M265">
        <f>IF(M264&lt;=0,0,MAX(0,AR265-Y265))</f>
        <v/>
      </c>
      <c r="N265">
        <f>IF(N264&lt;=0,0,MAX(0,AS265-Z265))</f>
        <v/>
      </c>
      <c r="O265">
        <f>IF(C264&lt;=0,0,MIN(AH265,C$7+IF(C$2=$AA265,$AC265,IF(C$2=$AF265,$AG265,0))))</f>
        <v/>
      </c>
      <c r="P265">
        <f>IF(D264&lt;=0,0,MIN(AI265,D$7+IF(D$2=$AA265,$AC265,IF(D$2=$AF265,$AG265,0))))</f>
        <v/>
      </c>
      <c r="Q265">
        <f>IF(E264&lt;=0,0,MIN(AJ265,E$7+IF(E$2=$AA265,$AC265,IF(E$2=$AF265,$AG265,0))))</f>
        <v/>
      </c>
      <c r="R265">
        <f>IF(F264&lt;=0,0,MIN(AK265,F$7+IF(F$2=$AA265,$AC265,IF(F$2=$AF265,$AG265,0))))</f>
        <v/>
      </c>
      <c r="S265">
        <f>IF(G264&lt;=0,0,MIN(AL265,G$7+IF(G$2=$AA265,$AC265,IF(G$2=$AF265,$AG265,0))))</f>
        <v/>
      </c>
      <c r="T265">
        <f>IF(H264&lt;=0,0,MIN(AM265,H$7+IF(H$2=$AA265,$AC265,IF(H$2=$AF265,$AG265,0))))</f>
        <v/>
      </c>
      <c r="U265">
        <f>IF(I264&lt;=0,0,MIN(AN265,I$7+IF(I$2=$AA265,$AC265,IF(I$2=$AF265,$AG265,0))))</f>
        <v/>
      </c>
      <c r="V265">
        <f>IF(J264&lt;=0,0,MIN(AO265,J$7+IF(J$2=$AA265,$AC265,IF(J$2=$AF265,$AG265,0))))</f>
        <v/>
      </c>
      <c r="W265">
        <f>IF(K264&lt;=0,0,MIN(AP265,K$7+IF(K$2=$AA265,$AC265,IF(K$2=$AF265,$AG265,0))))</f>
        <v/>
      </c>
      <c r="X265">
        <f>IF(L264&lt;=0,0,MIN(AQ265,L$7+IF(L$2=$AA265,$AC265,IF(L$2=$AF265,$AG265,0))))</f>
        <v/>
      </c>
      <c r="Y265">
        <f>IF(M264&lt;=0,0,MIN(AR265,M$7+IF(M$2=$AA265,$AC265,IF(M$2=$AF265,$AG265,0))))</f>
        <v/>
      </c>
      <c r="Z265">
        <f>IF(N264&lt;=0,0,MIN(AS265,N$7+IF(N$2=$AA265,$AC265,IF(N$2=$AF265,$AG265,0))))</f>
        <v/>
      </c>
      <c r="AA265">
        <f>IFERROR(ROUND(1/SUMPRODUCT(MAX((C264:N264&gt;0)*($C$3:$N$3&lt;=B265)/$C$2:$N$2)),0),0)</f>
        <v/>
      </c>
      <c r="AB265">
        <f>SUMPRODUCT((C264:N264&gt;0)*$C$7:$N$7)</f>
        <v/>
      </c>
      <c r="AC265">
        <f>MAX(0,Plan!$C$5-AB265)+IF(A265=Plan!$C$8,N(Plan!$C$7),0)</f>
        <v/>
      </c>
      <c r="AD265">
        <f>SUM(C265:N265)</f>
        <v/>
      </c>
      <c r="AE265">
        <f>SUM(O265:Z265)</f>
        <v/>
      </c>
      <c r="AF265">
        <f>IFERROR(ROUND(1/SUMPRODUCT(MAX((C264:N264&gt;0)*($C$3:$N$3&lt;=B265)*($C$2:$N$2&gt;AA265)/$C$2:$N$2)),0),0)</f>
        <v/>
      </c>
      <c r="AG265">
        <f>MAX(0,AC265-MAX(0,SUMPRODUCT(($C$2:$N$2=AA265)*(AH265:AS265-$C$7:$N$7))))</f>
        <v/>
      </c>
      <c r="AH265">
        <f>IF(C264&lt;=0,0,ROUND(C264*(1+IF(AND(C$6&gt;0,$B265&lt;C$6),C$4,C$5)/12),2))</f>
        <v/>
      </c>
      <c r="AI265">
        <f>IF(D264&lt;=0,0,ROUND(D264*(1+IF(AND(D$6&gt;0,$B265&lt;D$6),D$4,D$5)/12),2))</f>
        <v/>
      </c>
      <c r="AJ265">
        <f>IF(E264&lt;=0,0,ROUND(E264*(1+IF(AND(E$6&gt;0,$B265&lt;E$6),E$4,E$5)/12),2))</f>
        <v/>
      </c>
      <c r="AK265">
        <f>IF(F264&lt;=0,0,ROUND(F264*(1+IF(AND(F$6&gt;0,$B265&lt;F$6),F$4,F$5)/12),2))</f>
        <v/>
      </c>
      <c r="AL265">
        <f>IF(G264&lt;=0,0,ROUND(G264*(1+IF(AND(G$6&gt;0,$B265&lt;G$6),G$4,G$5)/12),2))</f>
        <v/>
      </c>
      <c r="AM265">
        <f>IF(H264&lt;=0,0,ROUND(H264*(1+IF(AND(H$6&gt;0,$B265&lt;H$6),H$4,H$5)/12),2))</f>
        <v/>
      </c>
      <c r="AN265">
        <f>IF(I264&lt;=0,0,ROUND(I264*(1+IF(AND(I$6&gt;0,$B265&lt;I$6),I$4,I$5)/12),2))</f>
        <v/>
      </c>
      <c r="AO265">
        <f>IF(J264&lt;=0,0,ROUND(J264*(1+IF(AND(J$6&gt;0,$B265&lt;J$6),J$4,J$5)/12),2))</f>
        <v/>
      </c>
      <c r="AP265">
        <f>IF(K264&lt;=0,0,ROUND(K264*(1+IF(AND(K$6&gt;0,$B265&lt;K$6),K$4,K$5)/12),2))</f>
        <v/>
      </c>
      <c r="AQ265">
        <f>IF(L264&lt;=0,0,ROUND(L264*(1+IF(AND(L$6&gt;0,$B265&lt;L$6),L$4,L$5)/12),2))</f>
        <v/>
      </c>
      <c r="AR265">
        <f>IF(M264&lt;=0,0,ROUND(M264*(1+IF(AND(M$6&gt;0,$B265&lt;M$6),M$4,M$5)/12),2))</f>
        <v/>
      </c>
      <c r="AS265">
        <f>IF(N264&lt;=0,0,ROUND(N264*(1+IF(AND(N$6&gt;0,$B265&lt;N$6),N$4,N$5)/12),2))</f>
        <v/>
      </c>
    </row>
    <row r="266">
      <c r="A266" t="n">
        <v>255</v>
      </c>
      <c r="B266">
        <f>EDATE(Plan!$C$6,254)</f>
        <v/>
      </c>
      <c r="C266">
        <f>IF(C265&lt;=0,0,MAX(0,AH266-O266))</f>
        <v/>
      </c>
      <c r="D266">
        <f>IF(D265&lt;=0,0,MAX(0,AI266-P266))</f>
        <v/>
      </c>
      <c r="E266">
        <f>IF(E265&lt;=0,0,MAX(0,AJ266-Q266))</f>
        <v/>
      </c>
      <c r="F266">
        <f>IF(F265&lt;=0,0,MAX(0,AK266-R266))</f>
        <v/>
      </c>
      <c r="G266">
        <f>IF(G265&lt;=0,0,MAX(0,AL266-S266))</f>
        <v/>
      </c>
      <c r="H266">
        <f>IF(H265&lt;=0,0,MAX(0,AM266-T266))</f>
        <v/>
      </c>
      <c r="I266">
        <f>IF(I265&lt;=0,0,MAX(0,AN266-U266))</f>
        <v/>
      </c>
      <c r="J266">
        <f>IF(J265&lt;=0,0,MAX(0,AO266-V266))</f>
        <v/>
      </c>
      <c r="K266">
        <f>IF(K265&lt;=0,0,MAX(0,AP266-W266))</f>
        <v/>
      </c>
      <c r="L266">
        <f>IF(L265&lt;=0,0,MAX(0,AQ266-X266))</f>
        <v/>
      </c>
      <c r="M266">
        <f>IF(M265&lt;=0,0,MAX(0,AR266-Y266))</f>
        <v/>
      </c>
      <c r="N266">
        <f>IF(N265&lt;=0,0,MAX(0,AS266-Z266))</f>
        <v/>
      </c>
      <c r="O266">
        <f>IF(C265&lt;=0,0,MIN(AH266,C$7+IF(C$2=$AA266,$AC266,IF(C$2=$AF266,$AG266,0))))</f>
        <v/>
      </c>
      <c r="P266">
        <f>IF(D265&lt;=0,0,MIN(AI266,D$7+IF(D$2=$AA266,$AC266,IF(D$2=$AF266,$AG266,0))))</f>
        <v/>
      </c>
      <c r="Q266">
        <f>IF(E265&lt;=0,0,MIN(AJ266,E$7+IF(E$2=$AA266,$AC266,IF(E$2=$AF266,$AG266,0))))</f>
        <v/>
      </c>
      <c r="R266">
        <f>IF(F265&lt;=0,0,MIN(AK266,F$7+IF(F$2=$AA266,$AC266,IF(F$2=$AF266,$AG266,0))))</f>
        <v/>
      </c>
      <c r="S266">
        <f>IF(G265&lt;=0,0,MIN(AL266,G$7+IF(G$2=$AA266,$AC266,IF(G$2=$AF266,$AG266,0))))</f>
        <v/>
      </c>
      <c r="T266">
        <f>IF(H265&lt;=0,0,MIN(AM266,H$7+IF(H$2=$AA266,$AC266,IF(H$2=$AF266,$AG266,0))))</f>
        <v/>
      </c>
      <c r="U266">
        <f>IF(I265&lt;=0,0,MIN(AN266,I$7+IF(I$2=$AA266,$AC266,IF(I$2=$AF266,$AG266,0))))</f>
        <v/>
      </c>
      <c r="V266">
        <f>IF(J265&lt;=0,0,MIN(AO266,J$7+IF(J$2=$AA266,$AC266,IF(J$2=$AF266,$AG266,0))))</f>
        <v/>
      </c>
      <c r="W266">
        <f>IF(K265&lt;=0,0,MIN(AP266,K$7+IF(K$2=$AA266,$AC266,IF(K$2=$AF266,$AG266,0))))</f>
        <v/>
      </c>
      <c r="X266">
        <f>IF(L265&lt;=0,0,MIN(AQ266,L$7+IF(L$2=$AA266,$AC266,IF(L$2=$AF266,$AG266,0))))</f>
        <v/>
      </c>
      <c r="Y266">
        <f>IF(M265&lt;=0,0,MIN(AR266,M$7+IF(M$2=$AA266,$AC266,IF(M$2=$AF266,$AG266,0))))</f>
        <v/>
      </c>
      <c r="Z266">
        <f>IF(N265&lt;=0,0,MIN(AS266,N$7+IF(N$2=$AA266,$AC266,IF(N$2=$AF266,$AG266,0))))</f>
        <v/>
      </c>
      <c r="AA266">
        <f>IFERROR(ROUND(1/SUMPRODUCT(MAX((C265:N265&gt;0)*($C$3:$N$3&lt;=B266)/$C$2:$N$2)),0),0)</f>
        <v/>
      </c>
      <c r="AB266">
        <f>SUMPRODUCT((C265:N265&gt;0)*$C$7:$N$7)</f>
        <v/>
      </c>
      <c r="AC266">
        <f>MAX(0,Plan!$C$5-AB266)+IF(A266=Plan!$C$8,N(Plan!$C$7),0)</f>
        <v/>
      </c>
      <c r="AD266">
        <f>SUM(C266:N266)</f>
        <v/>
      </c>
      <c r="AE266">
        <f>SUM(O266:Z266)</f>
        <v/>
      </c>
      <c r="AF266">
        <f>IFERROR(ROUND(1/SUMPRODUCT(MAX((C265:N265&gt;0)*($C$3:$N$3&lt;=B266)*($C$2:$N$2&gt;AA266)/$C$2:$N$2)),0),0)</f>
        <v/>
      </c>
      <c r="AG266">
        <f>MAX(0,AC266-MAX(0,SUMPRODUCT(($C$2:$N$2=AA266)*(AH266:AS266-$C$7:$N$7))))</f>
        <v/>
      </c>
      <c r="AH266">
        <f>IF(C265&lt;=0,0,ROUND(C265*(1+IF(AND(C$6&gt;0,$B266&lt;C$6),C$4,C$5)/12),2))</f>
        <v/>
      </c>
      <c r="AI266">
        <f>IF(D265&lt;=0,0,ROUND(D265*(1+IF(AND(D$6&gt;0,$B266&lt;D$6),D$4,D$5)/12),2))</f>
        <v/>
      </c>
      <c r="AJ266">
        <f>IF(E265&lt;=0,0,ROUND(E265*(1+IF(AND(E$6&gt;0,$B266&lt;E$6),E$4,E$5)/12),2))</f>
        <v/>
      </c>
      <c r="AK266">
        <f>IF(F265&lt;=0,0,ROUND(F265*(1+IF(AND(F$6&gt;0,$B266&lt;F$6),F$4,F$5)/12),2))</f>
        <v/>
      </c>
      <c r="AL266">
        <f>IF(G265&lt;=0,0,ROUND(G265*(1+IF(AND(G$6&gt;0,$B266&lt;G$6),G$4,G$5)/12),2))</f>
        <v/>
      </c>
      <c r="AM266">
        <f>IF(H265&lt;=0,0,ROUND(H265*(1+IF(AND(H$6&gt;0,$B266&lt;H$6),H$4,H$5)/12),2))</f>
        <v/>
      </c>
      <c r="AN266">
        <f>IF(I265&lt;=0,0,ROUND(I265*(1+IF(AND(I$6&gt;0,$B266&lt;I$6),I$4,I$5)/12),2))</f>
        <v/>
      </c>
      <c r="AO266">
        <f>IF(J265&lt;=0,0,ROUND(J265*(1+IF(AND(J$6&gt;0,$B266&lt;J$6),J$4,J$5)/12),2))</f>
        <v/>
      </c>
      <c r="AP266">
        <f>IF(K265&lt;=0,0,ROUND(K265*(1+IF(AND(K$6&gt;0,$B266&lt;K$6),K$4,K$5)/12),2))</f>
        <v/>
      </c>
      <c r="AQ266">
        <f>IF(L265&lt;=0,0,ROUND(L265*(1+IF(AND(L$6&gt;0,$B266&lt;L$6),L$4,L$5)/12),2))</f>
        <v/>
      </c>
      <c r="AR266">
        <f>IF(M265&lt;=0,0,ROUND(M265*(1+IF(AND(M$6&gt;0,$B266&lt;M$6),M$4,M$5)/12),2))</f>
        <v/>
      </c>
      <c r="AS266">
        <f>IF(N265&lt;=0,0,ROUND(N265*(1+IF(AND(N$6&gt;0,$B266&lt;N$6),N$4,N$5)/12),2))</f>
        <v/>
      </c>
    </row>
    <row r="267">
      <c r="A267" t="n">
        <v>256</v>
      </c>
      <c r="B267">
        <f>EDATE(Plan!$C$6,255)</f>
        <v/>
      </c>
      <c r="C267">
        <f>IF(C266&lt;=0,0,MAX(0,AH267-O267))</f>
        <v/>
      </c>
      <c r="D267">
        <f>IF(D266&lt;=0,0,MAX(0,AI267-P267))</f>
        <v/>
      </c>
      <c r="E267">
        <f>IF(E266&lt;=0,0,MAX(0,AJ267-Q267))</f>
        <v/>
      </c>
      <c r="F267">
        <f>IF(F266&lt;=0,0,MAX(0,AK267-R267))</f>
        <v/>
      </c>
      <c r="G267">
        <f>IF(G266&lt;=0,0,MAX(0,AL267-S267))</f>
        <v/>
      </c>
      <c r="H267">
        <f>IF(H266&lt;=0,0,MAX(0,AM267-T267))</f>
        <v/>
      </c>
      <c r="I267">
        <f>IF(I266&lt;=0,0,MAX(0,AN267-U267))</f>
        <v/>
      </c>
      <c r="J267">
        <f>IF(J266&lt;=0,0,MAX(0,AO267-V267))</f>
        <v/>
      </c>
      <c r="K267">
        <f>IF(K266&lt;=0,0,MAX(0,AP267-W267))</f>
        <v/>
      </c>
      <c r="L267">
        <f>IF(L266&lt;=0,0,MAX(0,AQ267-X267))</f>
        <v/>
      </c>
      <c r="M267">
        <f>IF(M266&lt;=0,0,MAX(0,AR267-Y267))</f>
        <v/>
      </c>
      <c r="N267">
        <f>IF(N266&lt;=0,0,MAX(0,AS267-Z267))</f>
        <v/>
      </c>
      <c r="O267">
        <f>IF(C266&lt;=0,0,MIN(AH267,C$7+IF(C$2=$AA267,$AC267,IF(C$2=$AF267,$AG267,0))))</f>
        <v/>
      </c>
      <c r="P267">
        <f>IF(D266&lt;=0,0,MIN(AI267,D$7+IF(D$2=$AA267,$AC267,IF(D$2=$AF267,$AG267,0))))</f>
        <v/>
      </c>
      <c r="Q267">
        <f>IF(E266&lt;=0,0,MIN(AJ267,E$7+IF(E$2=$AA267,$AC267,IF(E$2=$AF267,$AG267,0))))</f>
        <v/>
      </c>
      <c r="R267">
        <f>IF(F266&lt;=0,0,MIN(AK267,F$7+IF(F$2=$AA267,$AC267,IF(F$2=$AF267,$AG267,0))))</f>
        <v/>
      </c>
      <c r="S267">
        <f>IF(G266&lt;=0,0,MIN(AL267,G$7+IF(G$2=$AA267,$AC267,IF(G$2=$AF267,$AG267,0))))</f>
        <v/>
      </c>
      <c r="T267">
        <f>IF(H266&lt;=0,0,MIN(AM267,H$7+IF(H$2=$AA267,$AC267,IF(H$2=$AF267,$AG267,0))))</f>
        <v/>
      </c>
      <c r="U267">
        <f>IF(I266&lt;=0,0,MIN(AN267,I$7+IF(I$2=$AA267,$AC267,IF(I$2=$AF267,$AG267,0))))</f>
        <v/>
      </c>
      <c r="V267">
        <f>IF(J266&lt;=0,0,MIN(AO267,J$7+IF(J$2=$AA267,$AC267,IF(J$2=$AF267,$AG267,0))))</f>
        <v/>
      </c>
      <c r="W267">
        <f>IF(K266&lt;=0,0,MIN(AP267,K$7+IF(K$2=$AA267,$AC267,IF(K$2=$AF267,$AG267,0))))</f>
        <v/>
      </c>
      <c r="X267">
        <f>IF(L266&lt;=0,0,MIN(AQ267,L$7+IF(L$2=$AA267,$AC267,IF(L$2=$AF267,$AG267,0))))</f>
        <v/>
      </c>
      <c r="Y267">
        <f>IF(M266&lt;=0,0,MIN(AR267,M$7+IF(M$2=$AA267,$AC267,IF(M$2=$AF267,$AG267,0))))</f>
        <v/>
      </c>
      <c r="Z267">
        <f>IF(N266&lt;=0,0,MIN(AS267,N$7+IF(N$2=$AA267,$AC267,IF(N$2=$AF267,$AG267,0))))</f>
        <v/>
      </c>
      <c r="AA267">
        <f>IFERROR(ROUND(1/SUMPRODUCT(MAX((C266:N266&gt;0)*($C$3:$N$3&lt;=B267)/$C$2:$N$2)),0),0)</f>
        <v/>
      </c>
      <c r="AB267">
        <f>SUMPRODUCT((C266:N266&gt;0)*$C$7:$N$7)</f>
        <v/>
      </c>
      <c r="AC267">
        <f>MAX(0,Plan!$C$5-AB267)+IF(A267=Plan!$C$8,N(Plan!$C$7),0)</f>
        <v/>
      </c>
      <c r="AD267">
        <f>SUM(C267:N267)</f>
        <v/>
      </c>
      <c r="AE267">
        <f>SUM(O267:Z267)</f>
        <v/>
      </c>
      <c r="AF267">
        <f>IFERROR(ROUND(1/SUMPRODUCT(MAX((C266:N266&gt;0)*($C$3:$N$3&lt;=B267)*($C$2:$N$2&gt;AA267)/$C$2:$N$2)),0),0)</f>
        <v/>
      </c>
      <c r="AG267">
        <f>MAX(0,AC267-MAX(0,SUMPRODUCT(($C$2:$N$2=AA267)*(AH267:AS267-$C$7:$N$7))))</f>
        <v/>
      </c>
      <c r="AH267">
        <f>IF(C266&lt;=0,0,ROUND(C266*(1+IF(AND(C$6&gt;0,$B267&lt;C$6),C$4,C$5)/12),2))</f>
        <v/>
      </c>
      <c r="AI267">
        <f>IF(D266&lt;=0,0,ROUND(D266*(1+IF(AND(D$6&gt;0,$B267&lt;D$6),D$4,D$5)/12),2))</f>
        <v/>
      </c>
      <c r="AJ267">
        <f>IF(E266&lt;=0,0,ROUND(E266*(1+IF(AND(E$6&gt;0,$B267&lt;E$6),E$4,E$5)/12),2))</f>
        <v/>
      </c>
      <c r="AK267">
        <f>IF(F266&lt;=0,0,ROUND(F266*(1+IF(AND(F$6&gt;0,$B267&lt;F$6),F$4,F$5)/12),2))</f>
        <v/>
      </c>
      <c r="AL267">
        <f>IF(G266&lt;=0,0,ROUND(G266*(1+IF(AND(G$6&gt;0,$B267&lt;G$6),G$4,G$5)/12),2))</f>
        <v/>
      </c>
      <c r="AM267">
        <f>IF(H266&lt;=0,0,ROUND(H266*(1+IF(AND(H$6&gt;0,$B267&lt;H$6),H$4,H$5)/12),2))</f>
        <v/>
      </c>
      <c r="AN267">
        <f>IF(I266&lt;=0,0,ROUND(I266*(1+IF(AND(I$6&gt;0,$B267&lt;I$6),I$4,I$5)/12),2))</f>
        <v/>
      </c>
      <c r="AO267">
        <f>IF(J266&lt;=0,0,ROUND(J266*(1+IF(AND(J$6&gt;0,$B267&lt;J$6),J$4,J$5)/12),2))</f>
        <v/>
      </c>
      <c r="AP267">
        <f>IF(K266&lt;=0,0,ROUND(K266*(1+IF(AND(K$6&gt;0,$B267&lt;K$6),K$4,K$5)/12),2))</f>
        <v/>
      </c>
      <c r="AQ267">
        <f>IF(L266&lt;=0,0,ROUND(L266*(1+IF(AND(L$6&gt;0,$B267&lt;L$6),L$4,L$5)/12),2))</f>
        <v/>
      </c>
      <c r="AR267">
        <f>IF(M266&lt;=0,0,ROUND(M266*(1+IF(AND(M$6&gt;0,$B267&lt;M$6),M$4,M$5)/12),2))</f>
        <v/>
      </c>
      <c r="AS267">
        <f>IF(N266&lt;=0,0,ROUND(N266*(1+IF(AND(N$6&gt;0,$B267&lt;N$6),N$4,N$5)/12),2))</f>
        <v/>
      </c>
    </row>
    <row r="268">
      <c r="A268" t="n">
        <v>257</v>
      </c>
      <c r="B268">
        <f>EDATE(Plan!$C$6,256)</f>
        <v/>
      </c>
      <c r="C268">
        <f>IF(C267&lt;=0,0,MAX(0,AH268-O268))</f>
        <v/>
      </c>
      <c r="D268">
        <f>IF(D267&lt;=0,0,MAX(0,AI268-P268))</f>
        <v/>
      </c>
      <c r="E268">
        <f>IF(E267&lt;=0,0,MAX(0,AJ268-Q268))</f>
        <v/>
      </c>
      <c r="F268">
        <f>IF(F267&lt;=0,0,MAX(0,AK268-R268))</f>
        <v/>
      </c>
      <c r="G268">
        <f>IF(G267&lt;=0,0,MAX(0,AL268-S268))</f>
        <v/>
      </c>
      <c r="H268">
        <f>IF(H267&lt;=0,0,MAX(0,AM268-T268))</f>
        <v/>
      </c>
      <c r="I268">
        <f>IF(I267&lt;=0,0,MAX(0,AN268-U268))</f>
        <v/>
      </c>
      <c r="J268">
        <f>IF(J267&lt;=0,0,MAX(0,AO268-V268))</f>
        <v/>
      </c>
      <c r="K268">
        <f>IF(K267&lt;=0,0,MAX(0,AP268-W268))</f>
        <v/>
      </c>
      <c r="L268">
        <f>IF(L267&lt;=0,0,MAX(0,AQ268-X268))</f>
        <v/>
      </c>
      <c r="M268">
        <f>IF(M267&lt;=0,0,MAX(0,AR268-Y268))</f>
        <v/>
      </c>
      <c r="N268">
        <f>IF(N267&lt;=0,0,MAX(0,AS268-Z268))</f>
        <v/>
      </c>
      <c r="O268">
        <f>IF(C267&lt;=0,0,MIN(AH268,C$7+IF(C$2=$AA268,$AC268,IF(C$2=$AF268,$AG268,0))))</f>
        <v/>
      </c>
      <c r="P268">
        <f>IF(D267&lt;=0,0,MIN(AI268,D$7+IF(D$2=$AA268,$AC268,IF(D$2=$AF268,$AG268,0))))</f>
        <v/>
      </c>
      <c r="Q268">
        <f>IF(E267&lt;=0,0,MIN(AJ268,E$7+IF(E$2=$AA268,$AC268,IF(E$2=$AF268,$AG268,0))))</f>
        <v/>
      </c>
      <c r="R268">
        <f>IF(F267&lt;=0,0,MIN(AK268,F$7+IF(F$2=$AA268,$AC268,IF(F$2=$AF268,$AG268,0))))</f>
        <v/>
      </c>
      <c r="S268">
        <f>IF(G267&lt;=0,0,MIN(AL268,G$7+IF(G$2=$AA268,$AC268,IF(G$2=$AF268,$AG268,0))))</f>
        <v/>
      </c>
      <c r="T268">
        <f>IF(H267&lt;=0,0,MIN(AM268,H$7+IF(H$2=$AA268,$AC268,IF(H$2=$AF268,$AG268,0))))</f>
        <v/>
      </c>
      <c r="U268">
        <f>IF(I267&lt;=0,0,MIN(AN268,I$7+IF(I$2=$AA268,$AC268,IF(I$2=$AF268,$AG268,0))))</f>
        <v/>
      </c>
      <c r="V268">
        <f>IF(J267&lt;=0,0,MIN(AO268,J$7+IF(J$2=$AA268,$AC268,IF(J$2=$AF268,$AG268,0))))</f>
        <v/>
      </c>
      <c r="W268">
        <f>IF(K267&lt;=0,0,MIN(AP268,K$7+IF(K$2=$AA268,$AC268,IF(K$2=$AF268,$AG268,0))))</f>
        <v/>
      </c>
      <c r="X268">
        <f>IF(L267&lt;=0,0,MIN(AQ268,L$7+IF(L$2=$AA268,$AC268,IF(L$2=$AF268,$AG268,0))))</f>
        <v/>
      </c>
      <c r="Y268">
        <f>IF(M267&lt;=0,0,MIN(AR268,M$7+IF(M$2=$AA268,$AC268,IF(M$2=$AF268,$AG268,0))))</f>
        <v/>
      </c>
      <c r="Z268">
        <f>IF(N267&lt;=0,0,MIN(AS268,N$7+IF(N$2=$AA268,$AC268,IF(N$2=$AF268,$AG268,0))))</f>
        <v/>
      </c>
      <c r="AA268">
        <f>IFERROR(ROUND(1/SUMPRODUCT(MAX((C267:N267&gt;0)*($C$3:$N$3&lt;=B268)/$C$2:$N$2)),0),0)</f>
        <v/>
      </c>
      <c r="AB268">
        <f>SUMPRODUCT((C267:N267&gt;0)*$C$7:$N$7)</f>
        <v/>
      </c>
      <c r="AC268">
        <f>MAX(0,Plan!$C$5-AB268)+IF(A268=Plan!$C$8,N(Plan!$C$7),0)</f>
        <v/>
      </c>
      <c r="AD268">
        <f>SUM(C268:N268)</f>
        <v/>
      </c>
      <c r="AE268">
        <f>SUM(O268:Z268)</f>
        <v/>
      </c>
      <c r="AF268">
        <f>IFERROR(ROUND(1/SUMPRODUCT(MAX((C267:N267&gt;0)*($C$3:$N$3&lt;=B268)*($C$2:$N$2&gt;AA268)/$C$2:$N$2)),0),0)</f>
        <v/>
      </c>
      <c r="AG268">
        <f>MAX(0,AC268-MAX(0,SUMPRODUCT(($C$2:$N$2=AA268)*(AH268:AS268-$C$7:$N$7))))</f>
        <v/>
      </c>
      <c r="AH268">
        <f>IF(C267&lt;=0,0,ROUND(C267*(1+IF(AND(C$6&gt;0,$B268&lt;C$6),C$4,C$5)/12),2))</f>
        <v/>
      </c>
      <c r="AI268">
        <f>IF(D267&lt;=0,0,ROUND(D267*(1+IF(AND(D$6&gt;0,$B268&lt;D$6),D$4,D$5)/12),2))</f>
        <v/>
      </c>
      <c r="AJ268">
        <f>IF(E267&lt;=0,0,ROUND(E267*(1+IF(AND(E$6&gt;0,$B268&lt;E$6),E$4,E$5)/12),2))</f>
        <v/>
      </c>
      <c r="AK268">
        <f>IF(F267&lt;=0,0,ROUND(F267*(1+IF(AND(F$6&gt;0,$B268&lt;F$6),F$4,F$5)/12),2))</f>
        <v/>
      </c>
      <c r="AL268">
        <f>IF(G267&lt;=0,0,ROUND(G267*(1+IF(AND(G$6&gt;0,$B268&lt;G$6),G$4,G$5)/12),2))</f>
        <v/>
      </c>
      <c r="AM268">
        <f>IF(H267&lt;=0,0,ROUND(H267*(1+IF(AND(H$6&gt;0,$B268&lt;H$6),H$4,H$5)/12),2))</f>
        <v/>
      </c>
      <c r="AN268">
        <f>IF(I267&lt;=0,0,ROUND(I267*(1+IF(AND(I$6&gt;0,$B268&lt;I$6),I$4,I$5)/12),2))</f>
        <v/>
      </c>
      <c r="AO268">
        <f>IF(J267&lt;=0,0,ROUND(J267*(1+IF(AND(J$6&gt;0,$B268&lt;J$6),J$4,J$5)/12),2))</f>
        <v/>
      </c>
      <c r="AP268">
        <f>IF(K267&lt;=0,0,ROUND(K267*(1+IF(AND(K$6&gt;0,$B268&lt;K$6),K$4,K$5)/12),2))</f>
        <v/>
      </c>
      <c r="AQ268">
        <f>IF(L267&lt;=0,0,ROUND(L267*(1+IF(AND(L$6&gt;0,$B268&lt;L$6),L$4,L$5)/12),2))</f>
        <v/>
      </c>
      <c r="AR268">
        <f>IF(M267&lt;=0,0,ROUND(M267*(1+IF(AND(M$6&gt;0,$B268&lt;M$6),M$4,M$5)/12),2))</f>
        <v/>
      </c>
      <c r="AS268">
        <f>IF(N267&lt;=0,0,ROUND(N267*(1+IF(AND(N$6&gt;0,$B268&lt;N$6),N$4,N$5)/12),2))</f>
        <v/>
      </c>
    </row>
    <row r="269">
      <c r="A269" t="n">
        <v>258</v>
      </c>
      <c r="B269">
        <f>EDATE(Plan!$C$6,257)</f>
        <v/>
      </c>
      <c r="C269">
        <f>IF(C268&lt;=0,0,MAX(0,AH269-O269))</f>
        <v/>
      </c>
      <c r="D269">
        <f>IF(D268&lt;=0,0,MAX(0,AI269-P269))</f>
        <v/>
      </c>
      <c r="E269">
        <f>IF(E268&lt;=0,0,MAX(0,AJ269-Q269))</f>
        <v/>
      </c>
      <c r="F269">
        <f>IF(F268&lt;=0,0,MAX(0,AK269-R269))</f>
        <v/>
      </c>
      <c r="G269">
        <f>IF(G268&lt;=0,0,MAX(0,AL269-S269))</f>
        <v/>
      </c>
      <c r="H269">
        <f>IF(H268&lt;=0,0,MAX(0,AM269-T269))</f>
        <v/>
      </c>
      <c r="I269">
        <f>IF(I268&lt;=0,0,MAX(0,AN269-U269))</f>
        <v/>
      </c>
      <c r="J269">
        <f>IF(J268&lt;=0,0,MAX(0,AO269-V269))</f>
        <v/>
      </c>
      <c r="K269">
        <f>IF(K268&lt;=0,0,MAX(0,AP269-W269))</f>
        <v/>
      </c>
      <c r="L269">
        <f>IF(L268&lt;=0,0,MAX(0,AQ269-X269))</f>
        <v/>
      </c>
      <c r="M269">
        <f>IF(M268&lt;=0,0,MAX(0,AR269-Y269))</f>
        <v/>
      </c>
      <c r="N269">
        <f>IF(N268&lt;=0,0,MAX(0,AS269-Z269))</f>
        <v/>
      </c>
      <c r="O269">
        <f>IF(C268&lt;=0,0,MIN(AH269,C$7+IF(C$2=$AA269,$AC269,IF(C$2=$AF269,$AG269,0))))</f>
        <v/>
      </c>
      <c r="P269">
        <f>IF(D268&lt;=0,0,MIN(AI269,D$7+IF(D$2=$AA269,$AC269,IF(D$2=$AF269,$AG269,0))))</f>
        <v/>
      </c>
      <c r="Q269">
        <f>IF(E268&lt;=0,0,MIN(AJ269,E$7+IF(E$2=$AA269,$AC269,IF(E$2=$AF269,$AG269,0))))</f>
        <v/>
      </c>
      <c r="R269">
        <f>IF(F268&lt;=0,0,MIN(AK269,F$7+IF(F$2=$AA269,$AC269,IF(F$2=$AF269,$AG269,0))))</f>
        <v/>
      </c>
      <c r="S269">
        <f>IF(G268&lt;=0,0,MIN(AL269,G$7+IF(G$2=$AA269,$AC269,IF(G$2=$AF269,$AG269,0))))</f>
        <v/>
      </c>
      <c r="T269">
        <f>IF(H268&lt;=0,0,MIN(AM269,H$7+IF(H$2=$AA269,$AC269,IF(H$2=$AF269,$AG269,0))))</f>
        <v/>
      </c>
      <c r="U269">
        <f>IF(I268&lt;=0,0,MIN(AN269,I$7+IF(I$2=$AA269,$AC269,IF(I$2=$AF269,$AG269,0))))</f>
        <v/>
      </c>
      <c r="V269">
        <f>IF(J268&lt;=0,0,MIN(AO269,J$7+IF(J$2=$AA269,$AC269,IF(J$2=$AF269,$AG269,0))))</f>
        <v/>
      </c>
      <c r="W269">
        <f>IF(K268&lt;=0,0,MIN(AP269,K$7+IF(K$2=$AA269,$AC269,IF(K$2=$AF269,$AG269,0))))</f>
        <v/>
      </c>
      <c r="X269">
        <f>IF(L268&lt;=0,0,MIN(AQ269,L$7+IF(L$2=$AA269,$AC269,IF(L$2=$AF269,$AG269,0))))</f>
        <v/>
      </c>
      <c r="Y269">
        <f>IF(M268&lt;=0,0,MIN(AR269,M$7+IF(M$2=$AA269,$AC269,IF(M$2=$AF269,$AG269,0))))</f>
        <v/>
      </c>
      <c r="Z269">
        <f>IF(N268&lt;=0,0,MIN(AS269,N$7+IF(N$2=$AA269,$AC269,IF(N$2=$AF269,$AG269,0))))</f>
        <v/>
      </c>
      <c r="AA269">
        <f>IFERROR(ROUND(1/SUMPRODUCT(MAX((C268:N268&gt;0)*($C$3:$N$3&lt;=B269)/$C$2:$N$2)),0),0)</f>
        <v/>
      </c>
      <c r="AB269">
        <f>SUMPRODUCT((C268:N268&gt;0)*$C$7:$N$7)</f>
        <v/>
      </c>
      <c r="AC269">
        <f>MAX(0,Plan!$C$5-AB269)+IF(A269=Plan!$C$8,N(Plan!$C$7),0)</f>
        <v/>
      </c>
      <c r="AD269">
        <f>SUM(C269:N269)</f>
        <v/>
      </c>
      <c r="AE269">
        <f>SUM(O269:Z269)</f>
        <v/>
      </c>
      <c r="AF269">
        <f>IFERROR(ROUND(1/SUMPRODUCT(MAX((C268:N268&gt;0)*($C$3:$N$3&lt;=B269)*($C$2:$N$2&gt;AA269)/$C$2:$N$2)),0),0)</f>
        <v/>
      </c>
      <c r="AG269">
        <f>MAX(0,AC269-MAX(0,SUMPRODUCT(($C$2:$N$2=AA269)*(AH269:AS269-$C$7:$N$7))))</f>
        <v/>
      </c>
      <c r="AH269">
        <f>IF(C268&lt;=0,0,ROUND(C268*(1+IF(AND(C$6&gt;0,$B269&lt;C$6),C$4,C$5)/12),2))</f>
        <v/>
      </c>
      <c r="AI269">
        <f>IF(D268&lt;=0,0,ROUND(D268*(1+IF(AND(D$6&gt;0,$B269&lt;D$6),D$4,D$5)/12),2))</f>
        <v/>
      </c>
      <c r="AJ269">
        <f>IF(E268&lt;=0,0,ROUND(E268*(1+IF(AND(E$6&gt;0,$B269&lt;E$6),E$4,E$5)/12),2))</f>
        <v/>
      </c>
      <c r="AK269">
        <f>IF(F268&lt;=0,0,ROUND(F268*(1+IF(AND(F$6&gt;0,$B269&lt;F$6),F$4,F$5)/12),2))</f>
        <v/>
      </c>
      <c r="AL269">
        <f>IF(G268&lt;=0,0,ROUND(G268*(1+IF(AND(G$6&gt;0,$B269&lt;G$6),G$4,G$5)/12),2))</f>
        <v/>
      </c>
      <c r="AM269">
        <f>IF(H268&lt;=0,0,ROUND(H268*(1+IF(AND(H$6&gt;0,$B269&lt;H$6),H$4,H$5)/12),2))</f>
        <v/>
      </c>
      <c r="AN269">
        <f>IF(I268&lt;=0,0,ROUND(I268*(1+IF(AND(I$6&gt;0,$B269&lt;I$6),I$4,I$5)/12),2))</f>
        <v/>
      </c>
      <c r="AO269">
        <f>IF(J268&lt;=0,0,ROUND(J268*(1+IF(AND(J$6&gt;0,$B269&lt;J$6),J$4,J$5)/12),2))</f>
        <v/>
      </c>
      <c r="AP269">
        <f>IF(K268&lt;=0,0,ROUND(K268*(1+IF(AND(K$6&gt;0,$B269&lt;K$6),K$4,K$5)/12),2))</f>
        <v/>
      </c>
      <c r="AQ269">
        <f>IF(L268&lt;=0,0,ROUND(L268*(1+IF(AND(L$6&gt;0,$B269&lt;L$6),L$4,L$5)/12),2))</f>
        <v/>
      </c>
      <c r="AR269">
        <f>IF(M268&lt;=0,0,ROUND(M268*(1+IF(AND(M$6&gt;0,$B269&lt;M$6),M$4,M$5)/12),2))</f>
        <v/>
      </c>
      <c r="AS269">
        <f>IF(N268&lt;=0,0,ROUND(N268*(1+IF(AND(N$6&gt;0,$B269&lt;N$6),N$4,N$5)/12),2))</f>
        <v/>
      </c>
    </row>
    <row r="270">
      <c r="A270" t="n">
        <v>259</v>
      </c>
      <c r="B270">
        <f>EDATE(Plan!$C$6,258)</f>
        <v/>
      </c>
      <c r="C270">
        <f>IF(C269&lt;=0,0,MAX(0,AH270-O270))</f>
        <v/>
      </c>
      <c r="D270">
        <f>IF(D269&lt;=0,0,MAX(0,AI270-P270))</f>
        <v/>
      </c>
      <c r="E270">
        <f>IF(E269&lt;=0,0,MAX(0,AJ270-Q270))</f>
        <v/>
      </c>
      <c r="F270">
        <f>IF(F269&lt;=0,0,MAX(0,AK270-R270))</f>
        <v/>
      </c>
      <c r="G270">
        <f>IF(G269&lt;=0,0,MAX(0,AL270-S270))</f>
        <v/>
      </c>
      <c r="H270">
        <f>IF(H269&lt;=0,0,MAX(0,AM270-T270))</f>
        <v/>
      </c>
      <c r="I270">
        <f>IF(I269&lt;=0,0,MAX(0,AN270-U270))</f>
        <v/>
      </c>
      <c r="J270">
        <f>IF(J269&lt;=0,0,MAX(0,AO270-V270))</f>
        <v/>
      </c>
      <c r="K270">
        <f>IF(K269&lt;=0,0,MAX(0,AP270-W270))</f>
        <v/>
      </c>
      <c r="L270">
        <f>IF(L269&lt;=0,0,MAX(0,AQ270-X270))</f>
        <v/>
      </c>
      <c r="M270">
        <f>IF(M269&lt;=0,0,MAX(0,AR270-Y270))</f>
        <v/>
      </c>
      <c r="N270">
        <f>IF(N269&lt;=0,0,MAX(0,AS270-Z270))</f>
        <v/>
      </c>
      <c r="O270">
        <f>IF(C269&lt;=0,0,MIN(AH270,C$7+IF(C$2=$AA270,$AC270,IF(C$2=$AF270,$AG270,0))))</f>
        <v/>
      </c>
      <c r="P270">
        <f>IF(D269&lt;=0,0,MIN(AI270,D$7+IF(D$2=$AA270,$AC270,IF(D$2=$AF270,$AG270,0))))</f>
        <v/>
      </c>
      <c r="Q270">
        <f>IF(E269&lt;=0,0,MIN(AJ270,E$7+IF(E$2=$AA270,$AC270,IF(E$2=$AF270,$AG270,0))))</f>
        <v/>
      </c>
      <c r="R270">
        <f>IF(F269&lt;=0,0,MIN(AK270,F$7+IF(F$2=$AA270,$AC270,IF(F$2=$AF270,$AG270,0))))</f>
        <v/>
      </c>
      <c r="S270">
        <f>IF(G269&lt;=0,0,MIN(AL270,G$7+IF(G$2=$AA270,$AC270,IF(G$2=$AF270,$AG270,0))))</f>
        <v/>
      </c>
      <c r="T270">
        <f>IF(H269&lt;=0,0,MIN(AM270,H$7+IF(H$2=$AA270,$AC270,IF(H$2=$AF270,$AG270,0))))</f>
        <v/>
      </c>
      <c r="U270">
        <f>IF(I269&lt;=0,0,MIN(AN270,I$7+IF(I$2=$AA270,$AC270,IF(I$2=$AF270,$AG270,0))))</f>
        <v/>
      </c>
      <c r="V270">
        <f>IF(J269&lt;=0,0,MIN(AO270,J$7+IF(J$2=$AA270,$AC270,IF(J$2=$AF270,$AG270,0))))</f>
        <v/>
      </c>
      <c r="W270">
        <f>IF(K269&lt;=0,0,MIN(AP270,K$7+IF(K$2=$AA270,$AC270,IF(K$2=$AF270,$AG270,0))))</f>
        <v/>
      </c>
      <c r="X270">
        <f>IF(L269&lt;=0,0,MIN(AQ270,L$7+IF(L$2=$AA270,$AC270,IF(L$2=$AF270,$AG270,0))))</f>
        <v/>
      </c>
      <c r="Y270">
        <f>IF(M269&lt;=0,0,MIN(AR270,M$7+IF(M$2=$AA270,$AC270,IF(M$2=$AF270,$AG270,0))))</f>
        <v/>
      </c>
      <c r="Z270">
        <f>IF(N269&lt;=0,0,MIN(AS270,N$7+IF(N$2=$AA270,$AC270,IF(N$2=$AF270,$AG270,0))))</f>
        <v/>
      </c>
      <c r="AA270">
        <f>IFERROR(ROUND(1/SUMPRODUCT(MAX((C269:N269&gt;0)*($C$3:$N$3&lt;=B270)/$C$2:$N$2)),0),0)</f>
        <v/>
      </c>
      <c r="AB270">
        <f>SUMPRODUCT((C269:N269&gt;0)*$C$7:$N$7)</f>
        <v/>
      </c>
      <c r="AC270">
        <f>MAX(0,Plan!$C$5-AB270)+IF(A270=Plan!$C$8,N(Plan!$C$7),0)</f>
        <v/>
      </c>
      <c r="AD270">
        <f>SUM(C270:N270)</f>
        <v/>
      </c>
      <c r="AE270">
        <f>SUM(O270:Z270)</f>
        <v/>
      </c>
      <c r="AF270">
        <f>IFERROR(ROUND(1/SUMPRODUCT(MAX((C269:N269&gt;0)*($C$3:$N$3&lt;=B270)*($C$2:$N$2&gt;AA270)/$C$2:$N$2)),0),0)</f>
        <v/>
      </c>
      <c r="AG270">
        <f>MAX(0,AC270-MAX(0,SUMPRODUCT(($C$2:$N$2=AA270)*(AH270:AS270-$C$7:$N$7))))</f>
        <v/>
      </c>
      <c r="AH270">
        <f>IF(C269&lt;=0,0,ROUND(C269*(1+IF(AND(C$6&gt;0,$B270&lt;C$6),C$4,C$5)/12),2))</f>
        <v/>
      </c>
      <c r="AI270">
        <f>IF(D269&lt;=0,0,ROUND(D269*(1+IF(AND(D$6&gt;0,$B270&lt;D$6),D$4,D$5)/12),2))</f>
        <v/>
      </c>
      <c r="AJ270">
        <f>IF(E269&lt;=0,0,ROUND(E269*(1+IF(AND(E$6&gt;0,$B270&lt;E$6),E$4,E$5)/12),2))</f>
        <v/>
      </c>
      <c r="AK270">
        <f>IF(F269&lt;=0,0,ROUND(F269*(1+IF(AND(F$6&gt;0,$B270&lt;F$6),F$4,F$5)/12),2))</f>
        <v/>
      </c>
      <c r="AL270">
        <f>IF(G269&lt;=0,0,ROUND(G269*(1+IF(AND(G$6&gt;0,$B270&lt;G$6),G$4,G$5)/12),2))</f>
        <v/>
      </c>
      <c r="AM270">
        <f>IF(H269&lt;=0,0,ROUND(H269*(1+IF(AND(H$6&gt;0,$B270&lt;H$6),H$4,H$5)/12),2))</f>
        <v/>
      </c>
      <c r="AN270">
        <f>IF(I269&lt;=0,0,ROUND(I269*(1+IF(AND(I$6&gt;0,$B270&lt;I$6),I$4,I$5)/12),2))</f>
        <v/>
      </c>
      <c r="AO270">
        <f>IF(J269&lt;=0,0,ROUND(J269*(1+IF(AND(J$6&gt;0,$B270&lt;J$6),J$4,J$5)/12),2))</f>
        <v/>
      </c>
      <c r="AP270">
        <f>IF(K269&lt;=0,0,ROUND(K269*(1+IF(AND(K$6&gt;0,$B270&lt;K$6),K$4,K$5)/12),2))</f>
        <v/>
      </c>
      <c r="AQ270">
        <f>IF(L269&lt;=0,0,ROUND(L269*(1+IF(AND(L$6&gt;0,$B270&lt;L$6),L$4,L$5)/12),2))</f>
        <v/>
      </c>
      <c r="AR270">
        <f>IF(M269&lt;=0,0,ROUND(M269*(1+IF(AND(M$6&gt;0,$B270&lt;M$6),M$4,M$5)/12),2))</f>
        <v/>
      </c>
      <c r="AS270">
        <f>IF(N269&lt;=0,0,ROUND(N269*(1+IF(AND(N$6&gt;0,$B270&lt;N$6),N$4,N$5)/12),2))</f>
        <v/>
      </c>
    </row>
    <row r="271">
      <c r="A271" t="n">
        <v>260</v>
      </c>
      <c r="B271">
        <f>EDATE(Plan!$C$6,259)</f>
        <v/>
      </c>
      <c r="C271">
        <f>IF(C270&lt;=0,0,MAX(0,AH271-O271))</f>
        <v/>
      </c>
      <c r="D271">
        <f>IF(D270&lt;=0,0,MAX(0,AI271-P271))</f>
        <v/>
      </c>
      <c r="E271">
        <f>IF(E270&lt;=0,0,MAX(0,AJ271-Q271))</f>
        <v/>
      </c>
      <c r="F271">
        <f>IF(F270&lt;=0,0,MAX(0,AK271-R271))</f>
        <v/>
      </c>
      <c r="G271">
        <f>IF(G270&lt;=0,0,MAX(0,AL271-S271))</f>
        <v/>
      </c>
      <c r="H271">
        <f>IF(H270&lt;=0,0,MAX(0,AM271-T271))</f>
        <v/>
      </c>
      <c r="I271">
        <f>IF(I270&lt;=0,0,MAX(0,AN271-U271))</f>
        <v/>
      </c>
      <c r="J271">
        <f>IF(J270&lt;=0,0,MAX(0,AO271-V271))</f>
        <v/>
      </c>
      <c r="K271">
        <f>IF(K270&lt;=0,0,MAX(0,AP271-W271))</f>
        <v/>
      </c>
      <c r="L271">
        <f>IF(L270&lt;=0,0,MAX(0,AQ271-X271))</f>
        <v/>
      </c>
      <c r="M271">
        <f>IF(M270&lt;=0,0,MAX(0,AR271-Y271))</f>
        <v/>
      </c>
      <c r="N271">
        <f>IF(N270&lt;=0,0,MAX(0,AS271-Z271))</f>
        <v/>
      </c>
      <c r="O271">
        <f>IF(C270&lt;=0,0,MIN(AH271,C$7+IF(C$2=$AA271,$AC271,IF(C$2=$AF271,$AG271,0))))</f>
        <v/>
      </c>
      <c r="P271">
        <f>IF(D270&lt;=0,0,MIN(AI271,D$7+IF(D$2=$AA271,$AC271,IF(D$2=$AF271,$AG271,0))))</f>
        <v/>
      </c>
      <c r="Q271">
        <f>IF(E270&lt;=0,0,MIN(AJ271,E$7+IF(E$2=$AA271,$AC271,IF(E$2=$AF271,$AG271,0))))</f>
        <v/>
      </c>
      <c r="R271">
        <f>IF(F270&lt;=0,0,MIN(AK271,F$7+IF(F$2=$AA271,$AC271,IF(F$2=$AF271,$AG271,0))))</f>
        <v/>
      </c>
      <c r="S271">
        <f>IF(G270&lt;=0,0,MIN(AL271,G$7+IF(G$2=$AA271,$AC271,IF(G$2=$AF271,$AG271,0))))</f>
        <v/>
      </c>
      <c r="T271">
        <f>IF(H270&lt;=0,0,MIN(AM271,H$7+IF(H$2=$AA271,$AC271,IF(H$2=$AF271,$AG271,0))))</f>
        <v/>
      </c>
      <c r="U271">
        <f>IF(I270&lt;=0,0,MIN(AN271,I$7+IF(I$2=$AA271,$AC271,IF(I$2=$AF271,$AG271,0))))</f>
        <v/>
      </c>
      <c r="V271">
        <f>IF(J270&lt;=0,0,MIN(AO271,J$7+IF(J$2=$AA271,$AC271,IF(J$2=$AF271,$AG271,0))))</f>
        <v/>
      </c>
      <c r="W271">
        <f>IF(K270&lt;=0,0,MIN(AP271,K$7+IF(K$2=$AA271,$AC271,IF(K$2=$AF271,$AG271,0))))</f>
        <v/>
      </c>
      <c r="X271">
        <f>IF(L270&lt;=0,0,MIN(AQ271,L$7+IF(L$2=$AA271,$AC271,IF(L$2=$AF271,$AG271,0))))</f>
        <v/>
      </c>
      <c r="Y271">
        <f>IF(M270&lt;=0,0,MIN(AR271,M$7+IF(M$2=$AA271,$AC271,IF(M$2=$AF271,$AG271,0))))</f>
        <v/>
      </c>
      <c r="Z271">
        <f>IF(N270&lt;=0,0,MIN(AS271,N$7+IF(N$2=$AA271,$AC271,IF(N$2=$AF271,$AG271,0))))</f>
        <v/>
      </c>
      <c r="AA271">
        <f>IFERROR(ROUND(1/SUMPRODUCT(MAX((C270:N270&gt;0)*($C$3:$N$3&lt;=B271)/$C$2:$N$2)),0),0)</f>
        <v/>
      </c>
      <c r="AB271">
        <f>SUMPRODUCT((C270:N270&gt;0)*$C$7:$N$7)</f>
        <v/>
      </c>
      <c r="AC271">
        <f>MAX(0,Plan!$C$5-AB271)+IF(A271=Plan!$C$8,N(Plan!$C$7),0)</f>
        <v/>
      </c>
      <c r="AD271">
        <f>SUM(C271:N271)</f>
        <v/>
      </c>
      <c r="AE271">
        <f>SUM(O271:Z271)</f>
        <v/>
      </c>
      <c r="AF271">
        <f>IFERROR(ROUND(1/SUMPRODUCT(MAX((C270:N270&gt;0)*($C$3:$N$3&lt;=B271)*($C$2:$N$2&gt;AA271)/$C$2:$N$2)),0),0)</f>
        <v/>
      </c>
      <c r="AG271">
        <f>MAX(0,AC271-MAX(0,SUMPRODUCT(($C$2:$N$2=AA271)*(AH271:AS271-$C$7:$N$7))))</f>
        <v/>
      </c>
      <c r="AH271">
        <f>IF(C270&lt;=0,0,ROUND(C270*(1+IF(AND(C$6&gt;0,$B271&lt;C$6),C$4,C$5)/12),2))</f>
        <v/>
      </c>
      <c r="AI271">
        <f>IF(D270&lt;=0,0,ROUND(D270*(1+IF(AND(D$6&gt;0,$B271&lt;D$6),D$4,D$5)/12),2))</f>
        <v/>
      </c>
      <c r="AJ271">
        <f>IF(E270&lt;=0,0,ROUND(E270*(1+IF(AND(E$6&gt;0,$B271&lt;E$6),E$4,E$5)/12),2))</f>
        <v/>
      </c>
      <c r="AK271">
        <f>IF(F270&lt;=0,0,ROUND(F270*(1+IF(AND(F$6&gt;0,$B271&lt;F$6),F$4,F$5)/12),2))</f>
        <v/>
      </c>
      <c r="AL271">
        <f>IF(G270&lt;=0,0,ROUND(G270*(1+IF(AND(G$6&gt;0,$B271&lt;G$6),G$4,G$5)/12),2))</f>
        <v/>
      </c>
      <c r="AM271">
        <f>IF(H270&lt;=0,0,ROUND(H270*(1+IF(AND(H$6&gt;0,$B271&lt;H$6),H$4,H$5)/12),2))</f>
        <v/>
      </c>
      <c r="AN271">
        <f>IF(I270&lt;=0,0,ROUND(I270*(1+IF(AND(I$6&gt;0,$B271&lt;I$6),I$4,I$5)/12),2))</f>
        <v/>
      </c>
      <c r="AO271">
        <f>IF(J270&lt;=0,0,ROUND(J270*(1+IF(AND(J$6&gt;0,$B271&lt;J$6),J$4,J$5)/12),2))</f>
        <v/>
      </c>
      <c r="AP271">
        <f>IF(K270&lt;=0,0,ROUND(K270*(1+IF(AND(K$6&gt;0,$B271&lt;K$6),K$4,K$5)/12),2))</f>
        <v/>
      </c>
      <c r="AQ271">
        <f>IF(L270&lt;=0,0,ROUND(L270*(1+IF(AND(L$6&gt;0,$B271&lt;L$6),L$4,L$5)/12),2))</f>
        <v/>
      </c>
      <c r="AR271">
        <f>IF(M270&lt;=0,0,ROUND(M270*(1+IF(AND(M$6&gt;0,$B271&lt;M$6),M$4,M$5)/12),2))</f>
        <v/>
      </c>
      <c r="AS271">
        <f>IF(N270&lt;=0,0,ROUND(N270*(1+IF(AND(N$6&gt;0,$B271&lt;N$6),N$4,N$5)/12),2))</f>
        <v/>
      </c>
    </row>
    <row r="272">
      <c r="A272" t="n">
        <v>261</v>
      </c>
      <c r="B272">
        <f>EDATE(Plan!$C$6,260)</f>
        <v/>
      </c>
      <c r="C272">
        <f>IF(C271&lt;=0,0,MAX(0,AH272-O272))</f>
        <v/>
      </c>
      <c r="D272">
        <f>IF(D271&lt;=0,0,MAX(0,AI272-P272))</f>
        <v/>
      </c>
      <c r="E272">
        <f>IF(E271&lt;=0,0,MAX(0,AJ272-Q272))</f>
        <v/>
      </c>
      <c r="F272">
        <f>IF(F271&lt;=0,0,MAX(0,AK272-R272))</f>
        <v/>
      </c>
      <c r="G272">
        <f>IF(G271&lt;=0,0,MAX(0,AL272-S272))</f>
        <v/>
      </c>
      <c r="H272">
        <f>IF(H271&lt;=0,0,MAX(0,AM272-T272))</f>
        <v/>
      </c>
      <c r="I272">
        <f>IF(I271&lt;=0,0,MAX(0,AN272-U272))</f>
        <v/>
      </c>
      <c r="J272">
        <f>IF(J271&lt;=0,0,MAX(0,AO272-V272))</f>
        <v/>
      </c>
      <c r="K272">
        <f>IF(K271&lt;=0,0,MAX(0,AP272-W272))</f>
        <v/>
      </c>
      <c r="L272">
        <f>IF(L271&lt;=0,0,MAX(0,AQ272-X272))</f>
        <v/>
      </c>
      <c r="M272">
        <f>IF(M271&lt;=0,0,MAX(0,AR272-Y272))</f>
        <v/>
      </c>
      <c r="N272">
        <f>IF(N271&lt;=0,0,MAX(0,AS272-Z272))</f>
        <v/>
      </c>
      <c r="O272">
        <f>IF(C271&lt;=0,0,MIN(AH272,C$7+IF(C$2=$AA272,$AC272,IF(C$2=$AF272,$AG272,0))))</f>
        <v/>
      </c>
      <c r="P272">
        <f>IF(D271&lt;=0,0,MIN(AI272,D$7+IF(D$2=$AA272,$AC272,IF(D$2=$AF272,$AG272,0))))</f>
        <v/>
      </c>
      <c r="Q272">
        <f>IF(E271&lt;=0,0,MIN(AJ272,E$7+IF(E$2=$AA272,$AC272,IF(E$2=$AF272,$AG272,0))))</f>
        <v/>
      </c>
      <c r="R272">
        <f>IF(F271&lt;=0,0,MIN(AK272,F$7+IF(F$2=$AA272,$AC272,IF(F$2=$AF272,$AG272,0))))</f>
        <v/>
      </c>
      <c r="S272">
        <f>IF(G271&lt;=0,0,MIN(AL272,G$7+IF(G$2=$AA272,$AC272,IF(G$2=$AF272,$AG272,0))))</f>
        <v/>
      </c>
      <c r="T272">
        <f>IF(H271&lt;=0,0,MIN(AM272,H$7+IF(H$2=$AA272,$AC272,IF(H$2=$AF272,$AG272,0))))</f>
        <v/>
      </c>
      <c r="U272">
        <f>IF(I271&lt;=0,0,MIN(AN272,I$7+IF(I$2=$AA272,$AC272,IF(I$2=$AF272,$AG272,0))))</f>
        <v/>
      </c>
      <c r="V272">
        <f>IF(J271&lt;=0,0,MIN(AO272,J$7+IF(J$2=$AA272,$AC272,IF(J$2=$AF272,$AG272,0))))</f>
        <v/>
      </c>
      <c r="W272">
        <f>IF(K271&lt;=0,0,MIN(AP272,K$7+IF(K$2=$AA272,$AC272,IF(K$2=$AF272,$AG272,0))))</f>
        <v/>
      </c>
      <c r="X272">
        <f>IF(L271&lt;=0,0,MIN(AQ272,L$7+IF(L$2=$AA272,$AC272,IF(L$2=$AF272,$AG272,0))))</f>
        <v/>
      </c>
      <c r="Y272">
        <f>IF(M271&lt;=0,0,MIN(AR272,M$7+IF(M$2=$AA272,$AC272,IF(M$2=$AF272,$AG272,0))))</f>
        <v/>
      </c>
      <c r="Z272">
        <f>IF(N271&lt;=0,0,MIN(AS272,N$7+IF(N$2=$AA272,$AC272,IF(N$2=$AF272,$AG272,0))))</f>
        <v/>
      </c>
      <c r="AA272">
        <f>IFERROR(ROUND(1/SUMPRODUCT(MAX((C271:N271&gt;0)*($C$3:$N$3&lt;=B272)/$C$2:$N$2)),0),0)</f>
        <v/>
      </c>
      <c r="AB272">
        <f>SUMPRODUCT((C271:N271&gt;0)*$C$7:$N$7)</f>
        <v/>
      </c>
      <c r="AC272">
        <f>MAX(0,Plan!$C$5-AB272)+IF(A272=Plan!$C$8,N(Plan!$C$7),0)</f>
        <v/>
      </c>
      <c r="AD272">
        <f>SUM(C272:N272)</f>
        <v/>
      </c>
      <c r="AE272">
        <f>SUM(O272:Z272)</f>
        <v/>
      </c>
      <c r="AF272">
        <f>IFERROR(ROUND(1/SUMPRODUCT(MAX((C271:N271&gt;0)*($C$3:$N$3&lt;=B272)*($C$2:$N$2&gt;AA272)/$C$2:$N$2)),0),0)</f>
        <v/>
      </c>
      <c r="AG272">
        <f>MAX(0,AC272-MAX(0,SUMPRODUCT(($C$2:$N$2=AA272)*(AH272:AS272-$C$7:$N$7))))</f>
        <v/>
      </c>
      <c r="AH272">
        <f>IF(C271&lt;=0,0,ROUND(C271*(1+IF(AND(C$6&gt;0,$B272&lt;C$6),C$4,C$5)/12),2))</f>
        <v/>
      </c>
      <c r="AI272">
        <f>IF(D271&lt;=0,0,ROUND(D271*(1+IF(AND(D$6&gt;0,$B272&lt;D$6),D$4,D$5)/12),2))</f>
        <v/>
      </c>
      <c r="AJ272">
        <f>IF(E271&lt;=0,0,ROUND(E271*(1+IF(AND(E$6&gt;0,$B272&lt;E$6),E$4,E$5)/12),2))</f>
        <v/>
      </c>
      <c r="AK272">
        <f>IF(F271&lt;=0,0,ROUND(F271*(1+IF(AND(F$6&gt;0,$B272&lt;F$6),F$4,F$5)/12),2))</f>
        <v/>
      </c>
      <c r="AL272">
        <f>IF(G271&lt;=0,0,ROUND(G271*(1+IF(AND(G$6&gt;0,$B272&lt;G$6),G$4,G$5)/12),2))</f>
        <v/>
      </c>
      <c r="AM272">
        <f>IF(H271&lt;=0,0,ROUND(H271*(1+IF(AND(H$6&gt;0,$B272&lt;H$6),H$4,H$5)/12),2))</f>
        <v/>
      </c>
      <c r="AN272">
        <f>IF(I271&lt;=0,0,ROUND(I271*(1+IF(AND(I$6&gt;0,$B272&lt;I$6),I$4,I$5)/12),2))</f>
        <v/>
      </c>
      <c r="AO272">
        <f>IF(J271&lt;=0,0,ROUND(J271*(1+IF(AND(J$6&gt;0,$B272&lt;J$6),J$4,J$5)/12),2))</f>
        <v/>
      </c>
      <c r="AP272">
        <f>IF(K271&lt;=0,0,ROUND(K271*(1+IF(AND(K$6&gt;0,$B272&lt;K$6),K$4,K$5)/12),2))</f>
        <v/>
      </c>
      <c r="AQ272">
        <f>IF(L271&lt;=0,0,ROUND(L271*(1+IF(AND(L$6&gt;0,$B272&lt;L$6),L$4,L$5)/12),2))</f>
        <v/>
      </c>
      <c r="AR272">
        <f>IF(M271&lt;=0,0,ROUND(M271*(1+IF(AND(M$6&gt;0,$B272&lt;M$6),M$4,M$5)/12),2))</f>
        <v/>
      </c>
      <c r="AS272">
        <f>IF(N271&lt;=0,0,ROUND(N271*(1+IF(AND(N$6&gt;0,$B272&lt;N$6),N$4,N$5)/12),2))</f>
        <v/>
      </c>
    </row>
    <row r="273">
      <c r="A273" t="n">
        <v>262</v>
      </c>
      <c r="B273">
        <f>EDATE(Plan!$C$6,261)</f>
        <v/>
      </c>
      <c r="C273">
        <f>IF(C272&lt;=0,0,MAX(0,AH273-O273))</f>
        <v/>
      </c>
      <c r="D273">
        <f>IF(D272&lt;=0,0,MAX(0,AI273-P273))</f>
        <v/>
      </c>
      <c r="E273">
        <f>IF(E272&lt;=0,0,MAX(0,AJ273-Q273))</f>
        <v/>
      </c>
      <c r="F273">
        <f>IF(F272&lt;=0,0,MAX(0,AK273-R273))</f>
        <v/>
      </c>
      <c r="G273">
        <f>IF(G272&lt;=0,0,MAX(0,AL273-S273))</f>
        <v/>
      </c>
      <c r="H273">
        <f>IF(H272&lt;=0,0,MAX(0,AM273-T273))</f>
        <v/>
      </c>
      <c r="I273">
        <f>IF(I272&lt;=0,0,MAX(0,AN273-U273))</f>
        <v/>
      </c>
      <c r="J273">
        <f>IF(J272&lt;=0,0,MAX(0,AO273-V273))</f>
        <v/>
      </c>
      <c r="K273">
        <f>IF(K272&lt;=0,0,MAX(0,AP273-W273))</f>
        <v/>
      </c>
      <c r="L273">
        <f>IF(L272&lt;=0,0,MAX(0,AQ273-X273))</f>
        <v/>
      </c>
      <c r="M273">
        <f>IF(M272&lt;=0,0,MAX(0,AR273-Y273))</f>
        <v/>
      </c>
      <c r="N273">
        <f>IF(N272&lt;=0,0,MAX(0,AS273-Z273))</f>
        <v/>
      </c>
      <c r="O273">
        <f>IF(C272&lt;=0,0,MIN(AH273,C$7+IF(C$2=$AA273,$AC273,IF(C$2=$AF273,$AG273,0))))</f>
        <v/>
      </c>
      <c r="P273">
        <f>IF(D272&lt;=0,0,MIN(AI273,D$7+IF(D$2=$AA273,$AC273,IF(D$2=$AF273,$AG273,0))))</f>
        <v/>
      </c>
      <c r="Q273">
        <f>IF(E272&lt;=0,0,MIN(AJ273,E$7+IF(E$2=$AA273,$AC273,IF(E$2=$AF273,$AG273,0))))</f>
        <v/>
      </c>
      <c r="R273">
        <f>IF(F272&lt;=0,0,MIN(AK273,F$7+IF(F$2=$AA273,$AC273,IF(F$2=$AF273,$AG273,0))))</f>
        <v/>
      </c>
      <c r="S273">
        <f>IF(G272&lt;=0,0,MIN(AL273,G$7+IF(G$2=$AA273,$AC273,IF(G$2=$AF273,$AG273,0))))</f>
        <v/>
      </c>
      <c r="T273">
        <f>IF(H272&lt;=0,0,MIN(AM273,H$7+IF(H$2=$AA273,$AC273,IF(H$2=$AF273,$AG273,0))))</f>
        <v/>
      </c>
      <c r="U273">
        <f>IF(I272&lt;=0,0,MIN(AN273,I$7+IF(I$2=$AA273,$AC273,IF(I$2=$AF273,$AG273,0))))</f>
        <v/>
      </c>
      <c r="V273">
        <f>IF(J272&lt;=0,0,MIN(AO273,J$7+IF(J$2=$AA273,$AC273,IF(J$2=$AF273,$AG273,0))))</f>
        <v/>
      </c>
      <c r="W273">
        <f>IF(K272&lt;=0,0,MIN(AP273,K$7+IF(K$2=$AA273,$AC273,IF(K$2=$AF273,$AG273,0))))</f>
        <v/>
      </c>
      <c r="X273">
        <f>IF(L272&lt;=0,0,MIN(AQ273,L$7+IF(L$2=$AA273,$AC273,IF(L$2=$AF273,$AG273,0))))</f>
        <v/>
      </c>
      <c r="Y273">
        <f>IF(M272&lt;=0,0,MIN(AR273,M$7+IF(M$2=$AA273,$AC273,IF(M$2=$AF273,$AG273,0))))</f>
        <v/>
      </c>
      <c r="Z273">
        <f>IF(N272&lt;=0,0,MIN(AS273,N$7+IF(N$2=$AA273,$AC273,IF(N$2=$AF273,$AG273,0))))</f>
        <v/>
      </c>
      <c r="AA273">
        <f>IFERROR(ROUND(1/SUMPRODUCT(MAX((C272:N272&gt;0)*($C$3:$N$3&lt;=B273)/$C$2:$N$2)),0),0)</f>
        <v/>
      </c>
      <c r="AB273">
        <f>SUMPRODUCT((C272:N272&gt;0)*$C$7:$N$7)</f>
        <v/>
      </c>
      <c r="AC273">
        <f>MAX(0,Plan!$C$5-AB273)+IF(A273=Plan!$C$8,N(Plan!$C$7),0)</f>
        <v/>
      </c>
      <c r="AD273">
        <f>SUM(C273:N273)</f>
        <v/>
      </c>
      <c r="AE273">
        <f>SUM(O273:Z273)</f>
        <v/>
      </c>
      <c r="AF273">
        <f>IFERROR(ROUND(1/SUMPRODUCT(MAX((C272:N272&gt;0)*($C$3:$N$3&lt;=B273)*($C$2:$N$2&gt;AA273)/$C$2:$N$2)),0),0)</f>
        <v/>
      </c>
      <c r="AG273">
        <f>MAX(0,AC273-MAX(0,SUMPRODUCT(($C$2:$N$2=AA273)*(AH273:AS273-$C$7:$N$7))))</f>
        <v/>
      </c>
      <c r="AH273">
        <f>IF(C272&lt;=0,0,ROUND(C272*(1+IF(AND(C$6&gt;0,$B273&lt;C$6),C$4,C$5)/12),2))</f>
        <v/>
      </c>
      <c r="AI273">
        <f>IF(D272&lt;=0,0,ROUND(D272*(1+IF(AND(D$6&gt;0,$B273&lt;D$6),D$4,D$5)/12),2))</f>
        <v/>
      </c>
      <c r="AJ273">
        <f>IF(E272&lt;=0,0,ROUND(E272*(1+IF(AND(E$6&gt;0,$B273&lt;E$6),E$4,E$5)/12),2))</f>
        <v/>
      </c>
      <c r="AK273">
        <f>IF(F272&lt;=0,0,ROUND(F272*(1+IF(AND(F$6&gt;0,$B273&lt;F$6),F$4,F$5)/12),2))</f>
        <v/>
      </c>
      <c r="AL273">
        <f>IF(G272&lt;=0,0,ROUND(G272*(1+IF(AND(G$6&gt;0,$B273&lt;G$6),G$4,G$5)/12),2))</f>
        <v/>
      </c>
      <c r="AM273">
        <f>IF(H272&lt;=0,0,ROUND(H272*(1+IF(AND(H$6&gt;0,$B273&lt;H$6),H$4,H$5)/12),2))</f>
        <v/>
      </c>
      <c r="AN273">
        <f>IF(I272&lt;=0,0,ROUND(I272*(1+IF(AND(I$6&gt;0,$B273&lt;I$6),I$4,I$5)/12),2))</f>
        <v/>
      </c>
      <c r="AO273">
        <f>IF(J272&lt;=0,0,ROUND(J272*(1+IF(AND(J$6&gt;0,$B273&lt;J$6),J$4,J$5)/12),2))</f>
        <v/>
      </c>
      <c r="AP273">
        <f>IF(K272&lt;=0,0,ROUND(K272*(1+IF(AND(K$6&gt;0,$B273&lt;K$6),K$4,K$5)/12),2))</f>
        <v/>
      </c>
      <c r="AQ273">
        <f>IF(L272&lt;=0,0,ROUND(L272*(1+IF(AND(L$6&gt;0,$B273&lt;L$6),L$4,L$5)/12),2))</f>
        <v/>
      </c>
      <c r="AR273">
        <f>IF(M272&lt;=0,0,ROUND(M272*(1+IF(AND(M$6&gt;0,$B273&lt;M$6),M$4,M$5)/12),2))</f>
        <v/>
      </c>
      <c r="AS273">
        <f>IF(N272&lt;=0,0,ROUND(N272*(1+IF(AND(N$6&gt;0,$B273&lt;N$6),N$4,N$5)/12),2))</f>
        <v/>
      </c>
    </row>
    <row r="274">
      <c r="A274" t="n">
        <v>263</v>
      </c>
      <c r="B274">
        <f>EDATE(Plan!$C$6,262)</f>
        <v/>
      </c>
      <c r="C274">
        <f>IF(C273&lt;=0,0,MAX(0,AH274-O274))</f>
        <v/>
      </c>
      <c r="D274">
        <f>IF(D273&lt;=0,0,MAX(0,AI274-P274))</f>
        <v/>
      </c>
      <c r="E274">
        <f>IF(E273&lt;=0,0,MAX(0,AJ274-Q274))</f>
        <v/>
      </c>
      <c r="F274">
        <f>IF(F273&lt;=0,0,MAX(0,AK274-R274))</f>
        <v/>
      </c>
      <c r="G274">
        <f>IF(G273&lt;=0,0,MAX(0,AL274-S274))</f>
        <v/>
      </c>
      <c r="H274">
        <f>IF(H273&lt;=0,0,MAX(0,AM274-T274))</f>
        <v/>
      </c>
      <c r="I274">
        <f>IF(I273&lt;=0,0,MAX(0,AN274-U274))</f>
        <v/>
      </c>
      <c r="J274">
        <f>IF(J273&lt;=0,0,MAX(0,AO274-V274))</f>
        <v/>
      </c>
      <c r="K274">
        <f>IF(K273&lt;=0,0,MAX(0,AP274-W274))</f>
        <v/>
      </c>
      <c r="L274">
        <f>IF(L273&lt;=0,0,MAX(0,AQ274-X274))</f>
        <v/>
      </c>
      <c r="M274">
        <f>IF(M273&lt;=0,0,MAX(0,AR274-Y274))</f>
        <v/>
      </c>
      <c r="N274">
        <f>IF(N273&lt;=0,0,MAX(0,AS274-Z274))</f>
        <v/>
      </c>
      <c r="O274">
        <f>IF(C273&lt;=0,0,MIN(AH274,C$7+IF(C$2=$AA274,$AC274,IF(C$2=$AF274,$AG274,0))))</f>
        <v/>
      </c>
      <c r="P274">
        <f>IF(D273&lt;=0,0,MIN(AI274,D$7+IF(D$2=$AA274,$AC274,IF(D$2=$AF274,$AG274,0))))</f>
        <v/>
      </c>
      <c r="Q274">
        <f>IF(E273&lt;=0,0,MIN(AJ274,E$7+IF(E$2=$AA274,$AC274,IF(E$2=$AF274,$AG274,0))))</f>
        <v/>
      </c>
      <c r="R274">
        <f>IF(F273&lt;=0,0,MIN(AK274,F$7+IF(F$2=$AA274,$AC274,IF(F$2=$AF274,$AG274,0))))</f>
        <v/>
      </c>
      <c r="S274">
        <f>IF(G273&lt;=0,0,MIN(AL274,G$7+IF(G$2=$AA274,$AC274,IF(G$2=$AF274,$AG274,0))))</f>
        <v/>
      </c>
      <c r="T274">
        <f>IF(H273&lt;=0,0,MIN(AM274,H$7+IF(H$2=$AA274,$AC274,IF(H$2=$AF274,$AG274,0))))</f>
        <v/>
      </c>
      <c r="U274">
        <f>IF(I273&lt;=0,0,MIN(AN274,I$7+IF(I$2=$AA274,$AC274,IF(I$2=$AF274,$AG274,0))))</f>
        <v/>
      </c>
      <c r="V274">
        <f>IF(J273&lt;=0,0,MIN(AO274,J$7+IF(J$2=$AA274,$AC274,IF(J$2=$AF274,$AG274,0))))</f>
        <v/>
      </c>
      <c r="W274">
        <f>IF(K273&lt;=0,0,MIN(AP274,K$7+IF(K$2=$AA274,$AC274,IF(K$2=$AF274,$AG274,0))))</f>
        <v/>
      </c>
      <c r="X274">
        <f>IF(L273&lt;=0,0,MIN(AQ274,L$7+IF(L$2=$AA274,$AC274,IF(L$2=$AF274,$AG274,0))))</f>
        <v/>
      </c>
      <c r="Y274">
        <f>IF(M273&lt;=0,0,MIN(AR274,M$7+IF(M$2=$AA274,$AC274,IF(M$2=$AF274,$AG274,0))))</f>
        <v/>
      </c>
      <c r="Z274">
        <f>IF(N273&lt;=0,0,MIN(AS274,N$7+IF(N$2=$AA274,$AC274,IF(N$2=$AF274,$AG274,0))))</f>
        <v/>
      </c>
      <c r="AA274">
        <f>IFERROR(ROUND(1/SUMPRODUCT(MAX((C273:N273&gt;0)*($C$3:$N$3&lt;=B274)/$C$2:$N$2)),0),0)</f>
        <v/>
      </c>
      <c r="AB274">
        <f>SUMPRODUCT((C273:N273&gt;0)*$C$7:$N$7)</f>
        <v/>
      </c>
      <c r="AC274">
        <f>MAX(0,Plan!$C$5-AB274)+IF(A274=Plan!$C$8,N(Plan!$C$7),0)</f>
        <v/>
      </c>
      <c r="AD274">
        <f>SUM(C274:N274)</f>
        <v/>
      </c>
      <c r="AE274">
        <f>SUM(O274:Z274)</f>
        <v/>
      </c>
      <c r="AF274">
        <f>IFERROR(ROUND(1/SUMPRODUCT(MAX((C273:N273&gt;0)*($C$3:$N$3&lt;=B274)*($C$2:$N$2&gt;AA274)/$C$2:$N$2)),0),0)</f>
        <v/>
      </c>
      <c r="AG274">
        <f>MAX(0,AC274-MAX(0,SUMPRODUCT(($C$2:$N$2=AA274)*(AH274:AS274-$C$7:$N$7))))</f>
        <v/>
      </c>
      <c r="AH274">
        <f>IF(C273&lt;=0,0,ROUND(C273*(1+IF(AND(C$6&gt;0,$B274&lt;C$6),C$4,C$5)/12),2))</f>
        <v/>
      </c>
      <c r="AI274">
        <f>IF(D273&lt;=0,0,ROUND(D273*(1+IF(AND(D$6&gt;0,$B274&lt;D$6),D$4,D$5)/12),2))</f>
        <v/>
      </c>
      <c r="AJ274">
        <f>IF(E273&lt;=0,0,ROUND(E273*(1+IF(AND(E$6&gt;0,$B274&lt;E$6),E$4,E$5)/12),2))</f>
        <v/>
      </c>
      <c r="AK274">
        <f>IF(F273&lt;=0,0,ROUND(F273*(1+IF(AND(F$6&gt;0,$B274&lt;F$6),F$4,F$5)/12),2))</f>
        <v/>
      </c>
      <c r="AL274">
        <f>IF(G273&lt;=0,0,ROUND(G273*(1+IF(AND(G$6&gt;0,$B274&lt;G$6),G$4,G$5)/12),2))</f>
        <v/>
      </c>
      <c r="AM274">
        <f>IF(H273&lt;=0,0,ROUND(H273*(1+IF(AND(H$6&gt;0,$B274&lt;H$6),H$4,H$5)/12),2))</f>
        <v/>
      </c>
      <c r="AN274">
        <f>IF(I273&lt;=0,0,ROUND(I273*(1+IF(AND(I$6&gt;0,$B274&lt;I$6),I$4,I$5)/12),2))</f>
        <v/>
      </c>
      <c r="AO274">
        <f>IF(J273&lt;=0,0,ROUND(J273*(1+IF(AND(J$6&gt;0,$B274&lt;J$6),J$4,J$5)/12),2))</f>
        <v/>
      </c>
      <c r="AP274">
        <f>IF(K273&lt;=0,0,ROUND(K273*(1+IF(AND(K$6&gt;0,$B274&lt;K$6),K$4,K$5)/12),2))</f>
        <v/>
      </c>
      <c r="AQ274">
        <f>IF(L273&lt;=0,0,ROUND(L273*(1+IF(AND(L$6&gt;0,$B274&lt;L$6),L$4,L$5)/12),2))</f>
        <v/>
      </c>
      <c r="AR274">
        <f>IF(M273&lt;=0,0,ROUND(M273*(1+IF(AND(M$6&gt;0,$B274&lt;M$6),M$4,M$5)/12),2))</f>
        <v/>
      </c>
      <c r="AS274">
        <f>IF(N273&lt;=0,0,ROUND(N273*(1+IF(AND(N$6&gt;0,$B274&lt;N$6),N$4,N$5)/12),2))</f>
        <v/>
      </c>
    </row>
    <row r="275">
      <c r="A275" t="n">
        <v>264</v>
      </c>
      <c r="B275">
        <f>EDATE(Plan!$C$6,263)</f>
        <v/>
      </c>
      <c r="C275">
        <f>IF(C274&lt;=0,0,MAX(0,AH275-O275))</f>
        <v/>
      </c>
      <c r="D275">
        <f>IF(D274&lt;=0,0,MAX(0,AI275-P275))</f>
        <v/>
      </c>
      <c r="E275">
        <f>IF(E274&lt;=0,0,MAX(0,AJ275-Q275))</f>
        <v/>
      </c>
      <c r="F275">
        <f>IF(F274&lt;=0,0,MAX(0,AK275-R275))</f>
        <v/>
      </c>
      <c r="G275">
        <f>IF(G274&lt;=0,0,MAX(0,AL275-S275))</f>
        <v/>
      </c>
      <c r="H275">
        <f>IF(H274&lt;=0,0,MAX(0,AM275-T275))</f>
        <v/>
      </c>
      <c r="I275">
        <f>IF(I274&lt;=0,0,MAX(0,AN275-U275))</f>
        <v/>
      </c>
      <c r="J275">
        <f>IF(J274&lt;=0,0,MAX(0,AO275-V275))</f>
        <v/>
      </c>
      <c r="K275">
        <f>IF(K274&lt;=0,0,MAX(0,AP275-W275))</f>
        <v/>
      </c>
      <c r="L275">
        <f>IF(L274&lt;=0,0,MAX(0,AQ275-X275))</f>
        <v/>
      </c>
      <c r="M275">
        <f>IF(M274&lt;=0,0,MAX(0,AR275-Y275))</f>
        <v/>
      </c>
      <c r="N275">
        <f>IF(N274&lt;=0,0,MAX(0,AS275-Z275))</f>
        <v/>
      </c>
      <c r="O275">
        <f>IF(C274&lt;=0,0,MIN(AH275,C$7+IF(C$2=$AA275,$AC275,IF(C$2=$AF275,$AG275,0))))</f>
        <v/>
      </c>
      <c r="P275">
        <f>IF(D274&lt;=0,0,MIN(AI275,D$7+IF(D$2=$AA275,$AC275,IF(D$2=$AF275,$AG275,0))))</f>
        <v/>
      </c>
      <c r="Q275">
        <f>IF(E274&lt;=0,0,MIN(AJ275,E$7+IF(E$2=$AA275,$AC275,IF(E$2=$AF275,$AG275,0))))</f>
        <v/>
      </c>
      <c r="R275">
        <f>IF(F274&lt;=0,0,MIN(AK275,F$7+IF(F$2=$AA275,$AC275,IF(F$2=$AF275,$AG275,0))))</f>
        <v/>
      </c>
      <c r="S275">
        <f>IF(G274&lt;=0,0,MIN(AL275,G$7+IF(G$2=$AA275,$AC275,IF(G$2=$AF275,$AG275,0))))</f>
        <v/>
      </c>
      <c r="T275">
        <f>IF(H274&lt;=0,0,MIN(AM275,H$7+IF(H$2=$AA275,$AC275,IF(H$2=$AF275,$AG275,0))))</f>
        <v/>
      </c>
      <c r="U275">
        <f>IF(I274&lt;=0,0,MIN(AN275,I$7+IF(I$2=$AA275,$AC275,IF(I$2=$AF275,$AG275,0))))</f>
        <v/>
      </c>
      <c r="V275">
        <f>IF(J274&lt;=0,0,MIN(AO275,J$7+IF(J$2=$AA275,$AC275,IF(J$2=$AF275,$AG275,0))))</f>
        <v/>
      </c>
      <c r="W275">
        <f>IF(K274&lt;=0,0,MIN(AP275,K$7+IF(K$2=$AA275,$AC275,IF(K$2=$AF275,$AG275,0))))</f>
        <v/>
      </c>
      <c r="X275">
        <f>IF(L274&lt;=0,0,MIN(AQ275,L$7+IF(L$2=$AA275,$AC275,IF(L$2=$AF275,$AG275,0))))</f>
        <v/>
      </c>
      <c r="Y275">
        <f>IF(M274&lt;=0,0,MIN(AR275,M$7+IF(M$2=$AA275,$AC275,IF(M$2=$AF275,$AG275,0))))</f>
        <v/>
      </c>
      <c r="Z275">
        <f>IF(N274&lt;=0,0,MIN(AS275,N$7+IF(N$2=$AA275,$AC275,IF(N$2=$AF275,$AG275,0))))</f>
        <v/>
      </c>
      <c r="AA275">
        <f>IFERROR(ROUND(1/SUMPRODUCT(MAX((C274:N274&gt;0)*($C$3:$N$3&lt;=B275)/$C$2:$N$2)),0),0)</f>
        <v/>
      </c>
      <c r="AB275">
        <f>SUMPRODUCT((C274:N274&gt;0)*$C$7:$N$7)</f>
        <v/>
      </c>
      <c r="AC275">
        <f>MAX(0,Plan!$C$5-AB275)+IF(A275=Plan!$C$8,N(Plan!$C$7),0)</f>
        <v/>
      </c>
      <c r="AD275">
        <f>SUM(C275:N275)</f>
        <v/>
      </c>
      <c r="AE275">
        <f>SUM(O275:Z275)</f>
        <v/>
      </c>
      <c r="AF275">
        <f>IFERROR(ROUND(1/SUMPRODUCT(MAX((C274:N274&gt;0)*($C$3:$N$3&lt;=B275)*($C$2:$N$2&gt;AA275)/$C$2:$N$2)),0),0)</f>
        <v/>
      </c>
      <c r="AG275">
        <f>MAX(0,AC275-MAX(0,SUMPRODUCT(($C$2:$N$2=AA275)*(AH275:AS275-$C$7:$N$7))))</f>
        <v/>
      </c>
      <c r="AH275">
        <f>IF(C274&lt;=0,0,ROUND(C274*(1+IF(AND(C$6&gt;0,$B275&lt;C$6),C$4,C$5)/12),2))</f>
        <v/>
      </c>
      <c r="AI275">
        <f>IF(D274&lt;=0,0,ROUND(D274*(1+IF(AND(D$6&gt;0,$B275&lt;D$6),D$4,D$5)/12),2))</f>
        <v/>
      </c>
      <c r="AJ275">
        <f>IF(E274&lt;=0,0,ROUND(E274*(1+IF(AND(E$6&gt;0,$B275&lt;E$6),E$4,E$5)/12),2))</f>
        <v/>
      </c>
      <c r="AK275">
        <f>IF(F274&lt;=0,0,ROUND(F274*(1+IF(AND(F$6&gt;0,$B275&lt;F$6),F$4,F$5)/12),2))</f>
        <v/>
      </c>
      <c r="AL275">
        <f>IF(G274&lt;=0,0,ROUND(G274*(1+IF(AND(G$6&gt;0,$B275&lt;G$6),G$4,G$5)/12),2))</f>
        <v/>
      </c>
      <c r="AM275">
        <f>IF(H274&lt;=0,0,ROUND(H274*(1+IF(AND(H$6&gt;0,$B275&lt;H$6),H$4,H$5)/12),2))</f>
        <v/>
      </c>
      <c r="AN275">
        <f>IF(I274&lt;=0,0,ROUND(I274*(1+IF(AND(I$6&gt;0,$B275&lt;I$6),I$4,I$5)/12),2))</f>
        <v/>
      </c>
      <c r="AO275">
        <f>IF(J274&lt;=0,0,ROUND(J274*(1+IF(AND(J$6&gt;0,$B275&lt;J$6),J$4,J$5)/12),2))</f>
        <v/>
      </c>
      <c r="AP275">
        <f>IF(K274&lt;=0,0,ROUND(K274*(1+IF(AND(K$6&gt;0,$B275&lt;K$6),K$4,K$5)/12),2))</f>
        <v/>
      </c>
      <c r="AQ275">
        <f>IF(L274&lt;=0,0,ROUND(L274*(1+IF(AND(L$6&gt;0,$B275&lt;L$6),L$4,L$5)/12),2))</f>
        <v/>
      </c>
      <c r="AR275">
        <f>IF(M274&lt;=0,0,ROUND(M274*(1+IF(AND(M$6&gt;0,$B275&lt;M$6),M$4,M$5)/12),2))</f>
        <v/>
      </c>
      <c r="AS275">
        <f>IF(N274&lt;=0,0,ROUND(N274*(1+IF(AND(N$6&gt;0,$B275&lt;N$6),N$4,N$5)/12),2))</f>
        <v/>
      </c>
    </row>
    <row r="276">
      <c r="A276" t="n">
        <v>265</v>
      </c>
      <c r="B276">
        <f>EDATE(Plan!$C$6,264)</f>
        <v/>
      </c>
      <c r="C276">
        <f>IF(C275&lt;=0,0,MAX(0,AH276-O276))</f>
        <v/>
      </c>
      <c r="D276">
        <f>IF(D275&lt;=0,0,MAX(0,AI276-P276))</f>
        <v/>
      </c>
      <c r="E276">
        <f>IF(E275&lt;=0,0,MAX(0,AJ276-Q276))</f>
        <v/>
      </c>
      <c r="F276">
        <f>IF(F275&lt;=0,0,MAX(0,AK276-R276))</f>
        <v/>
      </c>
      <c r="G276">
        <f>IF(G275&lt;=0,0,MAX(0,AL276-S276))</f>
        <v/>
      </c>
      <c r="H276">
        <f>IF(H275&lt;=0,0,MAX(0,AM276-T276))</f>
        <v/>
      </c>
      <c r="I276">
        <f>IF(I275&lt;=0,0,MAX(0,AN276-U276))</f>
        <v/>
      </c>
      <c r="J276">
        <f>IF(J275&lt;=0,0,MAX(0,AO276-V276))</f>
        <v/>
      </c>
      <c r="K276">
        <f>IF(K275&lt;=0,0,MAX(0,AP276-W276))</f>
        <v/>
      </c>
      <c r="L276">
        <f>IF(L275&lt;=0,0,MAX(0,AQ276-X276))</f>
        <v/>
      </c>
      <c r="M276">
        <f>IF(M275&lt;=0,0,MAX(0,AR276-Y276))</f>
        <v/>
      </c>
      <c r="N276">
        <f>IF(N275&lt;=0,0,MAX(0,AS276-Z276))</f>
        <v/>
      </c>
      <c r="O276">
        <f>IF(C275&lt;=0,0,MIN(AH276,C$7+IF(C$2=$AA276,$AC276,IF(C$2=$AF276,$AG276,0))))</f>
        <v/>
      </c>
      <c r="P276">
        <f>IF(D275&lt;=0,0,MIN(AI276,D$7+IF(D$2=$AA276,$AC276,IF(D$2=$AF276,$AG276,0))))</f>
        <v/>
      </c>
      <c r="Q276">
        <f>IF(E275&lt;=0,0,MIN(AJ276,E$7+IF(E$2=$AA276,$AC276,IF(E$2=$AF276,$AG276,0))))</f>
        <v/>
      </c>
      <c r="R276">
        <f>IF(F275&lt;=0,0,MIN(AK276,F$7+IF(F$2=$AA276,$AC276,IF(F$2=$AF276,$AG276,0))))</f>
        <v/>
      </c>
      <c r="S276">
        <f>IF(G275&lt;=0,0,MIN(AL276,G$7+IF(G$2=$AA276,$AC276,IF(G$2=$AF276,$AG276,0))))</f>
        <v/>
      </c>
      <c r="T276">
        <f>IF(H275&lt;=0,0,MIN(AM276,H$7+IF(H$2=$AA276,$AC276,IF(H$2=$AF276,$AG276,0))))</f>
        <v/>
      </c>
      <c r="U276">
        <f>IF(I275&lt;=0,0,MIN(AN276,I$7+IF(I$2=$AA276,$AC276,IF(I$2=$AF276,$AG276,0))))</f>
        <v/>
      </c>
      <c r="V276">
        <f>IF(J275&lt;=0,0,MIN(AO276,J$7+IF(J$2=$AA276,$AC276,IF(J$2=$AF276,$AG276,0))))</f>
        <v/>
      </c>
      <c r="W276">
        <f>IF(K275&lt;=0,0,MIN(AP276,K$7+IF(K$2=$AA276,$AC276,IF(K$2=$AF276,$AG276,0))))</f>
        <v/>
      </c>
      <c r="X276">
        <f>IF(L275&lt;=0,0,MIN(AQ276,L$7+IF(L$2=$AA276,$AC276,IF(L$2=$AF276,$AG276,0))))</f>
        <v/>
      </c>
      <c r="Y276">
        <f>IF(M275&lt;=0,0,MIN(AR276,M$7+IF(M$2=$AA276,$AC276,IF(M$2=$AF276,$AG276,0))))</f>
        <v/>
      </c>
      <c r="Z276">
        <f>IF(N275&lt;=0,0,MIN(AS276,N$7+IF(N$2=$AA276,$AC276,IF(N$2=$AF276,$AG276,0))))</f>
        <v/>
      </c>
      <c r="AA276">
        <f>IFERROR(ROUND(1/SUMPRODUCT(MAX((C275:N275&gt;0)*($C$3:$N$3&lt;=B276)/$C$2:$N$2)),0),0)</f>
        <v/>
      </c>
      <c r="AB276">
        <f>SUMPRODUCT((C275:N275&gt;0)*$C$7:$N$7)</f>
        <v/>
      </c>
      <c r="AC276">
        <f>MAX(0,Plan!$C$5-AB276)+IF(A276=Plan!$C$8,N(Plan!$C$7),0)</f>
        <v/>
      </c>
      <c r="AD276">
        <f>SUM(C276:N276)</f>
        <v/>
      </c>
      <c r="AE276">
        <f>SUM(O276:Z276)</f>
        <v/>
      </c>
      <c r="AF276">
        <f>IFERROR(ROUND(1/SUMPRODUCT(MAX((C275:N275&gt;0)*($C$3:$N$3&lt;=B276)*($C$2:$N$2&gt;AA276)/$C$2:$N$2)),0),0)</f>
        <v/>
      </c>
      <c r="AG276">
        <f>MAX(0,AC276-MAX(0,SUMPRODUCT(($C$2:$N$2=AA276)*(AH276:AS276-$C$7:$N$7))))</f>
        <v/>
      </c>
      <c r="AH276">
        <f>IF(C275&lt;=0,0,ROUND(C275*(1+IF(AND(C$6&gt;0,$B276&lt;C$6),C$4,C$5)/12),2))</f>
        <v/>
      </c>
      <c r="AI276">
        <f>IF(D275&lt;=0,0,ROUND(D275*(1+IF(AND(D$6&gt;0,$B276&lt;D$6),D$4,D$5)/12),2))</f>
        <v/>
      </c>
      <c r="AJ276">
        <f>IF(E275&lt;=0,0,ROUND(E275*(1+IF(AND(E$6&gt;0,$B276&lt;E$6),E$4,E$5)/12),2))</f>
        <v/>
      </c>
      <c r="AK276">
        <f>IF(F275&lt;=0,0,ROUND(F275*(1+IF(AND(F$6&gt;0,$B276&lt;F$6),F$4,F$5)/12),2))</f>
        <v/>
      </c>
      <c r="AL276">
        <f>IF(G275&lt;=0,0,ROUND(G275*(1+IF(AND(G$6&gt;0,$B276&lt;G$6),G$4,G$5)/12),2))</f>
        <v/>
      </c>
      <c r="AM276">
        <f>IF(H275&lt;=0,0,ROUND(H275*(1+IF(AND(H$6&gt;0,$B276&lt;H$6),H$4,H$5)/12),2))</f>
        <v/>
      </c>
      <c r="AN276">
        <f>IF(I275&lt;=0,0,ROUND(I275*(1+IF(AND(I$6&gt;0,$B276&lt;I$6),I$4,I$5)/12),2))</f>
        <v/>
      </c>
      <c r="AO276">
        <f>IF(J275&lt;=0,0,ROUND(J275*(1+IF(AND(J$6&gt;0,$B276&lt;J$6),J$4,J$5)/12),2))</f>
        <v/>
      </c>
      <c r="AP276">
        <f>IF(K275&lt;=0,0,ROUND(K275*(1+IF(AND(K$6&gt;0,$B276&lt;K$6),K$4,K$5)/12),2))</f>
        <v/>
      </c>
      <c r="AQ276">
        <f>IF(L275&lt;=0,0,ROUND(L275*(1+IF(AND(L$6&gt;0,$B276&lt;L$6),L$4,L$5)/12),2))</f>
        <v/>
      </c>
      <c r="AR276">
        <f>IF(M275&lt;=0,0,ROUND(M275*(1+IF(AND(M$6&gt;0,$B276&lt;M$6),M$4,M$5)/12),2))</f>
        <v/>
      </c>
      <c r="AS276">
        <f>IF(N275&lt;=0,0,ROUND(N275*(1+IF(AND(N$6&gt;0,$B276&lt;N$6),N$4,N$5)/12),2))</f>
        <v/>
      </c>
    </row>
    <row r="277">
      <c r="A277" t="n">
        <v>266</v>
      </c>
      <c r="B277">
        <f>EDATE(Plan!$C$6,265)</f>
        <v/>
      </c>
      <c r="C277">
        <f>IF(C276&lt;=0,0,MAX(0,AH277-O277))</f>
        <v/>
      </c>
      <c r="D277">
        <f>IF(D276&lt;=0,0,MAX(0,AI277-P277))</f>
        <v/>
      </c>
      <c r="E277">
        <f>IF(E276&lt;=0,0,MAX(0,AJ277-Q277))</f>
        <v/>
      </c>
      <c r="F277">
        <f>IF(F276&lt;=0,0,MAX(0,AK277-R277))</f>
        <v/>
      </c>
      <c r="G277">
        <f>IF(G276&lt;=0,0,MAX(0,AL277-S277))</f>
        <v/>
      </c>
      <c r="H277">
        <f>IF(H276&lt;=0,0,MAX(0,AM277-T277))</f>
        <v/>
      </c>
      <c r="I277">
        <f>IF(I276&lt;=0,0,MAX(0,AN277-U277))</f>
        <v/>
      </c>
      <c r="J277">
        <f>IF(J276&lt;=0,0,MAX(0,AO277-V277))</f>
        <v/>
      </c>
      <c r="K277">
        <f>IF(K276&lt;=0,0,MAX(0,AP277-W277))</f>
        <v/>
      </c>
      <c r="L277">
        <f>IF(L276&lt;=0,0,MAX(0,AQ277-X277))</f>
        <v/>
      </c>
      <c r="M277">
        <f>IF(M276&lt;=0,0,MAX(0,AR277-Y277))</f>
        <v/>
      </c>
      <c r="N277">
        <f>IF(N276&lt;=0,0,MAX(0,AS277-Z277))</f>
        <v/>
      </c>
      <c r="O277">
        <f>IF(C276&lt;=0,0,MIN(AH277,C$7+IF(C$2=$AA277,$AC277,IF(C$2=$AF277,$AG277,0))))</f>
        <v/>
      </c>
      <c r="P277">
        <f>IF(D276&lt;=0,0,MIN(AI277,D$7+IF(D$2=$AA277,$AC277,IF(D$2=$AF277,$AG277,0))))</f>
        <v/>
      </c>
      <c r="Q277">
        <f>IF(E276&lt;=0,0,MIN(AJ277,E$7+IF(E$2=$AA277,$AC277,IF(E$2=$AF277,$AG277,0))))</f>
        <v/>
      </c>
      <c r="R277">
        <f>IF(F276&lt;=0,0,MIN(AK277,F$7+IF(F$2=$AA277,$AC277,IF(F$2=$AF277,$AG277,0))))</f>
        <v/>
      </c>
      <c r="S277">
        <f>IF(G276&lt;=0,0,MIN(AL277,G$7+IF(G$2=$AA277,$AC277,IF(G$2=$AF277,$AG277,0))))</f>
        <v/>
      </c>
      <c r="T277">
        <f>IF(H276&lt;=0,0,MIN(AM277,H$7+IF(H$2=$AA277,$AC277,IF(H$2=$AF277,$AG277,0))))</f>
        <v/>
      </c>
      <c r="U277">
        <f>IF(I276&lt;=0,0,MIN(AN277,I$7+IF(I$2=$AA277,$AC277,IF(I$2=$AF277,$AG277,0))))</f>
        <v/>
      </c>
      <c r="V277">
        <f>IF(J276&lt;=0,0,MIN(AO277,J$7+IF(J$2=$AA277,$AC277,IF(J$2=$AF277,$AG277,0))))</f>
        <v/>
      </c>
      <c r="W277">
        <f>IF(K276&lt;=0,0,MIN(AP277,K$7+IF(K$2=$AA277,$AC277,IF(K$2=$AF277,$AG277,0))))</f>
        <v/>
      </c>
      <c r="X277">
        <f>IF(L276&lt;=0,0,MIN(AQ277,L$7+IF(L$2=$AA277,$AC277,IF(L$2=$AF277,$AG277,0))))</f>
        <v/>
      </c>
      <c r="Y277">
        <f>IF(M276&lt;=0,0,MIN(AR277,M$7+IF(M$2=$AA277,$AC277,IF(M$2=$AF277,$AG277,0))))</f>
        <v/>
      </c>
      <c r="Z277">
        <f>IF(N276&lt;=0,0,MIN(AS277,N$7+IF(N$2=$AA277,$AC277,IF(N$2=$AF277,$AG277,0))))</f>
        <v/>
      </c>
      <c r="AA277">
        <f>IFERROR(ROUND(1/SUMPRODUCT(MAX((C276:N276&gt;0)*($C$3:$N$3&lt;=B277)/$C$2:$N$2)),0),0)</f>
        <v/>
      </c>
      <c r="AB277">
        <f>SUMPRODUCT((C276:N276&gt;0)*$C$7:$N$7)</f>
        <v/>
      </c>
      <c r="AC277">
        <f>MAX(0,Plan!$C$5-AB277)+IF(A277=Plan!$C$8,N(Plan!$C$7),0)</f>
        <v/>
      </c>
      <c r="AD277">
        <f>SUM(C277:N277)</f>
        <v/>
      </c>
      <c r="AE277">
        <f>SUM(O277:Z277)</f>
        <v/>
      </c>
      <c r="AF277">
        <f>IFERROR(ROUND(1/SUMPRODUCT(MAX((C276:N276&gt;0)*($C$3:$N$3&lt;=B277)*($C$2:$N$2&gt;AA277)/$C$2:$N$2)),0),0)</f>
        <v/>
      </c>
      <c r="AG277">
        <f>MAX(0,AC277-MAX(0,SUMPRODUCT(($C$2:$N$2=AA277)*(AH277:AS277-$C$7:$N$7))))</f>
        <v/>
      </c>
      <c r="AH277">
        <f>IF(C276&lt;=0,0,ROUND(C276*(1+IF(AND(C$6&gt;0,$B277&lt;C$6),C$4,C$5)/12),2))</f>
        <v/>
      </c>
      <c r="AI277">
        <f>IF(D276&lt;=0,0,ROUND(D276*(1+IF(AND(D$6&gt;0,$B277&lt;D$6),D$4,D$5)/12),2))</f>
        <v/>
      </c>
      <c r="AJ277">
        <f>IF(E276&lt;=0,0,ROUND(E276*(1+IF(AND(E$6&gt;0,$B277&lt;E$6),E$4,E$5)/12),2))</f>
        <v/>
      </c>
      <c r="AK277">
        <f>IF(F276&lt;=0,0,ROUND(F276*(1+IF(AND(F$6&gt;0,$B277&lt;F$6),F$4,F$5)/12),2))</f>
        <v/>
      </c>
      <c r="AL277">
        <f>IF(G276&lt;=0,0,ROUND(G276*(1+IF(AND(G$6&gt;0,$B277&lt;G$6),G$4,G$5)/12),2))</f>
        <v/>
      </c>
      <c r="AM277">
        <f>IF(H276&lt;=0,0,ROUND(H276*(1+IF(AND(H$6&gt;0,$B277&lt;H$6),H$4,H$5)/12),2))</f>
        <v/>
      </c>
      <c r="AN277">
        <f>IF(I276&lt;=0,0,ROUND(I276*(1+IF(AND(I$6&gt;0,$B277&lt;I$6),I$4,I$5)/12),2))</f>
        <v/>
      </c>
      <c r="AO277">
        <f>IF(J276&lt;=0,0,ROUND(J276*(1+IF(AND(J$6&gt;0,$B277&lt;J$6),J$4,J$5)/12),2))</f>
        <v/>
      </c>
      <c r="AP277">
        <f>IF(K276&lt;=0,0,ROUND(K276*(1+IF(AND(K$6&gt;0,$B277&lt;K$6),K$4,K$5)/12),2))</f>
        <v/>
      </c>
      <c r="AQ277">
        <f>IF(L276&lt;=0,0,ROUND(L276*(1+IF(AND(L$6&gt;0,$B277&lt;L$6),L$4,L$5)/12),2))</f>
        <v/>
      </c>
      <c r="AR277">
        <f>IF(M276&lt;=0,0,ROUND(M276*(1+IF(AND(M$6&gt;0,$B277&lt;M$6),M$4,M$5)/12),2))</f>
        <v/>
      </c>
      <c r="AS277">
        <f>IF(N276&lt;=0,0,ROUND(N276*(1+IF(AND(N$6&gt;0,$B277&lt;N$6),N$4,N$5)/12),2))</f>
        <v/>
      </c>
    </row>
    <row r="278">
      <c r="A278" t="n">
        <v>267</v>
      </c>
      <c r="B278">
        <f>EDATE(Plan!$C$6,266)</f>
        <v/>
      </c>
      <c r="C278">
        <f>IF(C277&lt;=0,0,MAX(0,AH278-O278))</f>
        <v/>
      </c>
      <c r="D278">
        <f>IF(D277&lt;=0,0,MAX(0,AI278-P278))</f>
        <v/>
      </c>
      <c r="E278">
        <f>IF(E277&lt;=0,0,MAX(0,AJ278-Q278))</f>
        <v/>
      </c>
      <c r="F278">
        <f>IF(F277&lt;=0,0,MAX(0,AK278-R278))</f>
        <v/>
      </c>
      <c r="G278">
        <f>IF(G277&lt;=0,0,MAX(0,AL278-S278))</f>
        <v/>
      </c>
      <c r="H278">
        <f>IF(H277&lt;=0,0,MAX(0,AM278-T278))</f>
        <v/>
      </c>
      <c r="I278">
        <f>IF(I277&lt;=0,0,MAX(0,AN278-U278))</f>
        <v/>
      </c>
      <c r="J278">
        <f>IF(J277&lt;=0,0,MAX(0,AO278-V278))</f>
        <v/>
      </c>
      <c r="K278">
        <f>IF(K277&lt;=0,0,MAX(0,AP278-W278))</f>
        <v/>
      </c>
      <c r="L278">
        <f>IF(L277&lt;=0,0,MAX(0,AQ278-X278))</f>
        <v/>
      </c>
      <c r="M278">
        <f>IF(M277&lt;=0,0,MAX(0,AR278-Y278))</f>
        <v/>
      </c>
      <c r="N278">
        <f>IF(N277&lt;=0,0,MAX(0,AS278-Z278))</f>
        <v/>
      </c>
      <c r="O278">
        <f>IF(C277&lt;=0,0,MIN(AH278,C$7+IF(C$2=$AA278,$AC278,IF(C$2=$AF278,$AG278,0))))</f>
        <v/>
      </c>
      <c r="P278">
        <f>IF(D277&lt;=0,0,MIN(AI278,D$7+IF(D$2=$AA278,$AC278,IF(D$2=$AF278,$AG278,0))))</f>
        <v/>
      </c>
      <c r="Q278">
        <f>IF(E277&lt;=0,0,MIN(AJ278,E$7+IF(E$2=$AA278,$AC278,IF(E$2=$AF278,$AG278,0))))</f>
        <v/>
      </c>
      <c r="R278">
        <f>IF(F277&lt;=0,0,MIN(AK278,F$7+IF(F$2=$AA278,$AC278,IF(F$2=$AF278,$AG278,0))))</f>
        <v/>
      </c>
      <c r="S278">
        <f>IF(G277&lt;=0,0,MIN(AL278,G$7+IF(G$2=$AA278,$AC278,IF(G$2=$AF278,$AG278,0))))</f>
        <v/>
      </c>
      <c r="T278">
        <f>IF(H277&lt;=0,0,MIN(AM278,H$7+IF(H$2=$AA278,$AC278,IF(H$2=$AF278,$AG278,0))))</f>
        <v/>
      </c>
      <c r="U278">
        <f>IF(I277&lt;=0,0,MIN(AN278,I$7+IF(I$2=$AA278,$AC278,IF(I$2=$AF278,$AG278,0))))</f>
        <v/>
      </c>
      <c r="V278">
        <f>IF(J277&lt;=0,0,MIN(AO278,J$7+IF(J$2=$AA278,$AC278,IF(J$2=$AF278,$AG278,0))))</f>
        <v/>
      </c>
      <c r="W278">
        <f>IF(K277&lt;=0,0,MIN(AP278,K$7+IF(K$2=$AA278,$AC278,IF(K$2=$AF278,$AG278,0))))</f>
        <v/>
      </c>
      <c r="X278">
        <f>IF(L277&lt;=0,0,MIN(AQ278,L$7+IF(L$2=$AA278,$AC278,IF(L$2=$AF278,$AG278,0))))</f>
        <v/>
      </c>
      <c r="Y278">
        <f>IF(M277&lt;=0,0,MIN(AR278,M$7+IF(M$2=$AA278,$AC278,IF(M$2=$AF278,$AG278,0))))</f>
        <v/>
      </c>
      <c r="Z278">
        <f>IF(N277&lt;=0,0,MIN(AS278,N$7+IF(N$2=$AA278,$AC278,IF(N$2=$AF278,$AG278,0))))</f>
        <v/>
      </c>
      <c r="AA278">
        <f>IFERROR(ROUND(1/SUMPRODUCT(MAX((C277:N277&gt;0)*($C$3:$N$3&lt;=B278)/$C$2:$N$2)),0),0)</f>
        <v/>
      </c>
      <c r="AB278">
        <f>SUMPRODUCT((C277:N277&gt;0)*$C$7:$N$7)</f>
        <v/>
      </c>
      <c r="AC278">
        <f>MAX(0,Plan!$C$5-AB278)+IF(A278=Plan!$C$8,N(Plan!$C$7),0)</f>
        <v/>
      </c>
      <c r="AD278">
        <f>SUM(C278:N278)</f>
        <v/>
      </c>
      <c r="AE278">
        <f>SUM(O278:Z278)</f>
        <v/>
      </c>
      <c r="AF278">
        <f>IFERROR(ROUND(1/SUMPRODUCT(MAX((C277:N277&gt;0)*($C$3:$N$3&lt;=B278)*($C$2:$N$2&gt;AA278)/$C$2:$N$2)),0),0)</f>
        <v/>
      </c>
      <c r="AG278">
        <f>MAX(0,AC278-MAX(0,SUMPRODUCT(($C$2:$N$2=AA278)*(AH278:AS278-$C$7:$N$7))))</f>
        <v/>
      </c>
      <c r="AH278">
        <f>IF(C277&lt;=0,0,ROUND(C277*(1+IF(AND(C$6&gt;0,$B278&lt;C$6),C$4,C$5)/12),2))</f>
        <v/>
      </c>
      <c r="AI278">
        <f>IF(D277&lt;=0,0,ROUND(D277*(1+IF(AND(D$6&gt;0,$B278&lt;D$6),D$4,D$5)/12),2))</f>
        <v/>
      </c>
      <c r="AJ278">
        <f>IF(E277&lt;=0,0,ROUND(E277*(1+IF(AND(E$6&gt;0,$B278&lt;E$6),E$4,E$5)/12),2))</f>
        <v/>
      </c>
      <c r="AK278">
        <f>IF(F277&lt;=0,0,ROUND(F277*(1+IF(AND(F$6&gt;0,$B278&lt;F$6),F$4,F$5)/12),2))</f>
        <v/>
      </c>
      <c r="AL278">
        <f>IF(G277&lt;=0,0,ROUND(G277*(1+IF(AND(G$6&gt;0,$B278&lt;G$6),G$4,G$5)/12),2))</f>
        <v/>
      </c>
      <c r="AM278">
        <f>IF(H277&lt;=0,0,ROUND(H277*(1+IF(AND(H$6&gt;0,$B278&lt;H$6),H$4,H$5)/12),2))</f>
        <v/>
      </c>
      <c r="AN278">
        <f>IF(I277&lt;=0,0,ROUND(I277*(1+IF(AND(I$6&gt;0,$B278&lt;I$6),I$4,I$5)/12),2))</f>
        <v/>
      </c>
      <c r="AO278">
        <f>IF(J277&lt;=0,0,ROUND(J277*(1+IF(AND(J$6&gt;0,$B278&lt;J$6),J$4,J$5)/12),2))</f>
        <v/>
      </c>
      <c r="AP278">
        <f>IF(K277&lt;=0,0,ROUND(K277*(1+IF(AND(K$6&gt;0,$B278&lt;K$6),K$4,K$5)/12),2))</f>
        <v/>
      </c>
      <c r="AQ278">
        <f>IF(L277&lt;=0,0,ROUND(L277*(1+IF(AND(L$6&gt;0,$B278&lt;L$6),L$4,L$5)/12),2))</f>
        <v/>
      </c>
      <c r="AR278">
        <f>IF(M277&lt;=0,0,ROUND(M277*(1+IF(AND(M$6&gt;0,$B278&lt;M$6),M$4,M$5)/12),2))</f>
        <v/>
      </c>
      <c r="AS278">
        <f>IF(N277&lt;=0,0,ROUND(N277*(1+IF(AND(N$6&gt;0,$B278&lt;N$6),N$4,N$5)/12),2))</f>
        <v/>
      </c>
    </row>
    <row r="279">
      <c r="A279" t="n">
        <v>268</v>
      </c>
      <c r="B279">
        <f>EDATE(Plan!$C$6,267)</f>
        <v/>
      </c>
      <c r="C279">
        <f>IF(C278&lt;=0,0,MAX(0,AH279-O279))</f>
        <v/>
      </c>
      <c r="D279">
        <f>IF(D278&lt;=0,0,MAX(0,AI279-P279))</f>
        <v/>
      </c>
      <c r="E279">
        <f>IF(E278&lt;=0,0,MAX(0,AJ279-Q279))</f>
        <v/>
      </c>
      <c r="F279">
        <f>IF(F278&lt;=0,0,MAX(0,AK279-R279))</f>
        <v/>
      </c>
      <c r="G279">
        <f>IF(G278&lt;=0,0,MAX(0,AL279-S279))</f>
        <v/>
      </c>
      <c r="H279">
        <f>IF(H278&lt;=0,0,MAX(0,AM279-T279))</f>
        <v/>
      </c>
      <c r="I279">
        <f>IF(I278&lt;=0,0,MAX(0,AN279-U279))</f>
        <v/>
      </c>
      <c r="J279">
        <f>IF(J278&lt;=0,0,MAX(0,AO279-V279))</f>
        <v/>
      </c>
      <c r="K279">
        <f>IF(K278&lt;=0,0,MAX(0,AP279-W279))</f>
        <v/>
      </c>
      <c r="L279">
        <f>IF(L278&lt;=0,0,MAX(0,AQ279-X279))</f>
        <v/>
      </c>
      <c r="M279">
        <f>IF(M278&lt;=0,0,MAX(0,AR279-Y279))</f>
        <v/>
      </c>
      <c r="N279">
        <f>IF(N278&lt;=0,0,MAX(0,AS279-Z279))</f>
        <v/>
      </c>
      <c r="O279">
        <f>IF(C278&lt;=0,0,MIN(AH279,C$7+IF(C$2=$AA279,$AC279,IF(C$2=$AF279,$AG279,0))))</f>
        <v/>
      </c>
      <c r="P279">
        <f>IF(D278&lt;=0,0,MIN(AI279,D$7+IF(D$2=$AA279,$AC279,IF(D$2=$AF279,$AG279,0))))</f>
        <v/>
      </c>
      <c r="Q279">
        <f>IF(E278&lt;=0,0,MIN(AJ279,E$7+IF(E$2=$AA279,$AC279,IF(E$2=$AF279,$AG279,0))))</f>
        <v/>
      </c>
      <c r="R279">
        <f>IF(F278&lt;=0,0,MIN(AK279,F$7+IF(F$2=$AA279,$AC279,IF(F$2=$AF279,$AG279,0))))</f>
        <v/>
      </c>
      <c r="S279">
        <f>IF(G278&lt;=0,0,MIN(AL279,G$7+IF(G$2=$AA279,$AC279,IF(G$2=$AF279,$AG279,0))))</f>
        <v/>
      </c>
      <c r="T279">
        <f>IF(H278&lt;=0,0,MIN(AM279,H$7+IF(H$2=$AA279,$AC279,IF(H$2=$AF279,$AG279,0))))</f>
        <v/>
      </c>
      <c r="U279">
        <f>IF(I278&lt;=0,0,MIN(AN279,I$7+IF(I$2=$AA279,$AC279,IF(I$2=$AF279,$AG279,0))))</f>
        <v/>
      </c>
      <c r="V279">
        <f>IF(J278&lt;=0,0,MIN(AO279,J$7+IF(J$2=$AA279,$AC279,IF(J$2=$AF279,$AG279,0))))</f>
        <v/>
      </c>
      <c r="W279">
        <f>IF(K278&lt;=0,0,MIN(AP279,K$7+IF(K$2=$AA279,$AC279,IF(K$2=$AF279,$AG279,0))))</f>
        <v/>
      </c>
      <c r="X279">
        <f>IF(L278&lt;=0,0,MIN(AQ279,L$7+IF(L$2=$AA279,$AC279,IF(L$2=$AF279,$AG279,0))))</f>
        <v/>
      </c>
      <c r="Y279">
        <f>IF(M278&lt;=0,0,MIN(AR279,M$7+IF(M$2=$AA279,$AC279,IF(M$2=$AF279,$AG279,0))))</f>
        <v/>
      </c>
      <c r="Z279">
        <f>IF(N278&lt;=0,0,MIN(AS279,N$7+IF(N$2=$AA279,$AC279,IF(N$2=$AF279,$AG279,0))))</f>
        <v/>
      </c>
      <c r="AA279">
        <f>IFERROR(ROUND(1/SUMPRODUCT(MAX((C278:N278&gt;0)*($C$3:$N$3&lt;=B279)/$C$2:$N$2)),0),0)</f>
        <v/>
      </c>
      <c r="AB279">
        <f>SUMPRODUCT((C278:N278&gt;0)*$C$7:$N$7)</f>
        <v/>
      </c>
      <c r="AC279">
        <f>MAX(0,Plan!$C$5-AB279)+IF(A279=Plan!$C$8,N(Plan!$C$7),0)</f>
        <v/>
      </c>
      <c r="AD279">
        <f>SUM(C279:N279)</f>
        <v/>
      </c>
      <c r="AE279">
        <f>SUM(O279:Z279)</f>
        <v/>
      </c>
      <c r="AF279">
        <f>IFERROR(ROUND(1/SUMPRODUCT(MAX((C278:N278&gt;0)*($C$3:$N$3&lt;=B279)*($C$2:$N$2&gt;AA279)/$C$2:$N$2)),0),0)</f>
        <v/>
      </c>
      <c r="AG279">
        <f>MAX(0,AC279-MAX(0,SUMPRODUCT(($C$2:$N$2=AA279)*(AH279:AS279-$C$7:$N$7))))</f>
        <v/>
      </c>
      <c r="AH279">
        <f>IF(C278&lt;=0,0,ROUND(C278*(1+IF(AND(C$6&gt;0,$B279&lt;C$6),C$4,C$5)/12),2))</f>
        <v/>
      </c>
      <c r="AI279">
        <f>IF(D278&lt;=0,0,ROUND(D278*(1+IF(AND(D$6&gt;0,$B279&lt;D$6),D$4,D$5)/12),2))</f>
        <v/>
      </c>
      <c r="AJ279">
        <f>IF(E278&lt;=0,0,ROUND(E278*(1+IF(AND(E$6&gt;0,$B279&lt;E$6),E$4,E$5)/12),2))</f>
        <v/>
      </c>
      <c r="AK279">
        <f>IF(F278&lt;=0,0,ROUND(F278*(1+IF(AND(F$6&gt;0,$B279&lt;F$6),F$4,F$5)/12),2))</f>
        <v/>
      </c>
      <c r="AL279">
        <f>IF(G278&lt;=0,0,ROUND(G278*(1+IF(AND(G$6&gt;0,$B279&lt;G$6),G$4,G$5)/12),2))</f>
        <v/>
      </c>
      <c r="AM279">
        <f>IF(H278&lt;=0,0,ROUND(H278*(1+IF(AND(H$6&gt;0,$B279&lt;H$6),H$4,H$5)/12),2))</f>
        <v/>
      </c>
      <c r="AN279">
        <f>IF(I278&lt;=0,0,ROUND(I278*(1+IF(AND(I$6&gt;0,$B279&lt;I$6),I$4,I$5)/12),2))</f>
        <v/>
      </c>
      <c r="AO279">
        <f>IF(J278&lt;=0,0,ROUND(J278*(1+IF(AND(J$6&gt;0,$B279&lt;J$6),J$4,J$5)/12),2))</f>
        <v/>
      </c>
      <c r="AP279">
        <f>IF(K278&lt;=0,0,ROUND(K278*(1+IF(AND(K$6&gt;0,$B279&lt;K$6),K$4,K$5)/12),2))</f>
        <v/>
      </c>
      <c r="AQ279">
        <f>IF(L278&lt;=0,0,ROUND(L278*(1+IF(AND(L$6&gt;0,$B279&lt;L$6),L$4,L$5)/12),2))</f>
        <v/>
      </c>
      <c r="AR279">
        <f>IF(M278&lt;=0,0,ROUND(M278*(1+IF(AND(M$6&gt;0,$B279&lt;M$6),M$4,M$5)/12),2))</f>
        <v/>
      </c>
      <c r="AS279">
        <f>IF(N278&lt;=0,0,ROUND(N278*(1+IF(AND(N$6&gt;0,$B279&lt;N$6),N$4,N$5)/12),2))</f>
        <v/>
      </c>
    </row>
    <row r="280">
      <c r="A280" t="n">
        <v>269</v>
      </c>
      <c r="B280">
        <f>EDATE(Plan!$C$6,268)</f>
        <v/>
      </c>
      <c r="C280">
        <f>IF(C279&lt;=0,0,MAX(0,AH280-O280))</f>
        <v/>
      </c>
      <c r="D280">
        <f>IF(D279&lt;=0,0,MAX(0,AI280-P280))</f>
        <v/>
      </c>
      <c r="E280">
        <f>IF(E279&lt;=0,0,MAX(0,AJ280-Q280))</f>
        <v/>
      </c>
      <c r="F280">
        <f>IF(F279&lt;=0,0,MAX(0,AK280-R280))</f>
        <v/>
      </c>
      <c r="G280">
        <f>IF(G279&lt;=0,0,MAX(0,AL280-S280))</f>
        <v/>
      </c>
      <c r="H280">
        <f>IF(H279&lt;=0,0,MAX(0,AM280-T280))</f>
        <v/>
      </c>
      <c r="I280">
        <f>IF(I279&lt;=0,0,MAX(0,AN280-U280))</f>
        <v/>
      </c>
      <c r="J280">
        <f>IF(J279&lt;=0,0,MAX(0,AO280-V280))</f>
        <v/>
      </c>
      <c r="K280">
        <f>IF(K279&lt;=0,0,MAX(0,AP280-W280))</f>
        <v/>
      </c>
      <c r="L280">
        <f>IF(L279&lt;=0,0,MAX(0,AQ280-X280))</f>
        <v/>
      </c>
      <c r="M280">
        <f>IF(M279&lt;=0,0,MAX(0,AR280-Y280))</f>
        <v/>
      </c>
      <c r="N280">
        <f>IF(N279&lt;=0,0,MAX(0,AS280-Z280))</f>
        <v/>
      </c>
      <c r="O280">
        <f>IF(C279&lt;=0,0,MIN(AH280,C$7+IF(C$2=$AA280,$AC280,IF(C$2=$AF280,$AG280,0))))</f>
        <v/>
      </c>
      <c r="P280">
        <f>IF(D279&lt;=0,0,MIN(AI280,D$7+IF(D$2=$AA280,$AC280,IF(D$2=$AF280,$AG280,0))))</f>
        <v/>
      </c>
      <c r="Q280">
        <f>IF(E279&lt;=0,0,MIN(AJ280,E$7+IF(E$2=$AA280,$AC280,IF(E$2=$AF280,$AG280,0))))</f>
        <v/>
      </c>
      <c r="R280">
        <f>IF(F279&lt;=0,0,MIN(AK280,F$7+IF(F$2=$AA280,$AC280,IF(F$2=$AF280,$AG280,0))))</f>
        <v/>
      </c>
      <c r="S280">
        <f>IF(G279&lt;=0,0,MIN(AL280,G$7+IF(G$2=$AA280,$AC280,IF(G$2=$AF280,$AG280,0))))</f>
        <v/>
      </c>
      <c r="T280">
        <f>IF(H279&lt;=0,0,MIN(AM280,H$7+IF(H$2=$AA280,$AC280,IF(H$2=$AF280,$AG280,0))))</f>
        <v/>
      </c>
      <c r="U280">
        <f>IF(I279&lt;=0,0,MIN(AN280,I$7+IF(I$2=$AA280,$AC280,IF(I$2=$AF280,$AG280,0))))</f>
        <v/>
      </c>
      <c r="V280">
        <f>IF(J279&lt;=0,0,MIN(AO280,J$7+IF(J$2=$AA280,$AC280,IF(J$2=$AF280,$AG280,0))))</f>
        <v/>
      </c>
      <c r="W280">
        <f>IF(K279&lt;=0,0,MIN(AP280,K$7+IF(K$2=$AA280,$AC280,IF(K$2=$AF280,$AG280,0))))</f>
        <v/>
      </c>
      <c r="X280">
        <f>IF(L279&lt;=0,0,MIN(AQ280,L$7+IF(L$2=$AA280,$AC280,IF(L$2=$AF280,$AG280,0))))</f>
        <v/>
      </c>
      <c r="Y280">
        <f>IF(M279&lt;=0,0,MIN(AR280,M$7+IF(M$2=$AA280,$AC280,IF(M$2=$AF280,$AG280,0))))</f>
        <v/>
      </c>
      <c r="Z280">
        <f>IF(N279&lt;=0,0,MIN(AS280,N$7+IF(N$2=$AA280,$AC280,IF(N$2=$AF280,$AG280,0))))</f>
        <v/>
      </c>
      <c r="AA280">
        <f>IFERROR(ROUND(1/SUMPRODUCT(MAX((C279:N279&gt;0)*($C$3:$N$3&lt;=B280)/$C$2:$N$2)),0),0)</f>
        <v/>
      </c>
      <c r="AB280">
        <f>SUMPRODUCT((C279:N279&gt;0)*$C$7:$N$7)</f>
        <v/>
      </c>
      <c r="AC280">
        <f>MAX(0,Plan!$C$5-AB280)+IF(A280=Plan!$C$8,N(Plan!$C$7),0)</f>
        <v/>
      </c>
      <c r="AD280">
        <f>SUM(C280:N280)</f>
        <v/>
      </c>
      <c r="AE280">
        <f>SUM(O280:Z280)</f>
        <v/>
      </c>
      <c r="AF280">
        <f>IFERROR(ROUND(1/SUMPRODUCT(MAX((C279:N279&gt;0)*($C$3:$N$3&lt;=B280)*($C$2:$N$2&gt;AA280)/$C$2:$N$2)),0),0)</f>
        <v/>
      </c>
      <c r="AG280">
        <f>MAX(0,AC280-MAX(0,SUMPRODUCT(($C$2:$N$2=AA280)*(AH280:AS280-$C$7:$N$7))))</f>
        <v/>
      </c>
      <c r="AH280">
        <f>IF(C279&lt;=0,0,ROUND(C279*(1+IF(AND(C$6&gt;0,$B280&lt;C$6),C$4,C$5)/12),2))</f>
        <v/>
      </c>
      <c r="AI280">
        <f>IF(D279&lt;=0,0,ROUND(D279*(1+IF(AND(D$6&gt;0,$B280&lt;D$6),D$4,D$5)/12),2))</f>
        <v/>
      </c>
      <c r="AJ280">
        <f>IF(E279&lt;=0,0,ROUND(E279*(1+IF(AND(E$6&gt;0,$B280&lt;E$6),E$4,E$5)/12),2))</f>
        <v/>
      </c>
      <c r="AK280">
        <f>IF(F279&lt;=0,0,ROUND(F279*(1+IF(AND(F$6&gt;0,$B280&lt;F$6),F$4,F$5)/12),2))</f>
        <v/>
      </c>
      <c r="AL280">
        <f>IF(G279&lt;=0,0,ROUND(G279*(1+IF(AND(G$6&gt;0,$B280&lt;G$6),G$4,G$5)/12),2))</f>
        <v/>
      </c>
      <c r="AM280">
        <f>IF(H279&lt;=0,0,ROUND(H279*(1+IF(AND(H$6&gt;0,$B280&lt;H$6),H$4,H$5)/12),2))</f>
        <v/>
      </c>
      <c r="AN280">
        <f>IF(I279&lt;=0,0,ROUND(I279*(1+IF(AND(I$6&gt;0,$B280&lt;I$6),I$4,I$5)/12),2))</f>
        <v/>
      </c>
      <c r="AO280">
        <f>IF(J279&lt;=0,0,ROUND(J279*(1+IF(AND(J$6&gt;0,$B280&lt;J$6),J$4,J$5)/12),2))</f>
        <v/>
      </c>
      <c r="AP280">
        <f>IF(K279&lt;=0,0,ROUND(K279*(1+IF(AND(K$6&gt;0,$B280&lt;K$6),K$4,K$5)/12),2))</f>
        <v/>
      </c>
      <c r="AQ280">
        <f>IF(L279&lt;=0,0,ROUND(L279*(1+IF(AND(L$6&gt;0,$B280&lt;L$6),L$4,L$5)/12),2))</f>
        <v/>
      </c>
      <c r="AR280">
        <f>IF(M279&lt;=0,0,ROUND(M279*(1+IF(AND(M$6&gt;0,$B280&lt;M$6),M$4,M$5)/12),2))</f>
        <v/>
      </c>
      <c r="AS280">
        <f>IF(N279&lt;=0,0,ROUND(N279*(1+IF(AND(N$6&gt;0,$B280&lt;N$6),N$4,N$5)/12),2))</f>
        <v/>
      </c>
    </row>
    <row r="281">
      <c r="A281" t="n">
        <v>270</v>
      </c>
      <c r="B281">
        <f>EDATE(Plan!$C$6,269)</f>
        <v/>
      </c>
      <c r="C281">
        <f>IF(C280&lt;=0,0,MAX(0,AH281-O281))</f>
        <v/>
      </c>
      <c r="D281">
        <f>IF(D280&lt;=0,0,MAX(0,AI281-P281))</f>
        <v/>
      </c>
      <c r="E281">
        <f>IF(E280&lt;=0,0,MAX(0,AJ281-Q281))</f>
        <v/>
      </c>
      <c r="F281">
        <f>IF(F280&lt;=0,0,MAX(0,AK281-R281))</f>
        <v/>
      </c>
      <c r="G281">
        <f>IF(G280&lt;=0,0,MAX(0,AL281-S281))</f>
        <v/>
      </c>
      <c r="H281">
        <f>IF(H280&lt;=0,0,MAX(0,AM281-T281))</f>
        <v/>
      </c>
      <c r="I281">
        <f>IF(I280&lt;=0,0,MAX(0,AN281-U281))</f>
        <v/>
      </c>
      <c r="J281">
        <f>IF(J280&lt;=0,0,MAX(0,AO281-V281))</f>
        <v/>
      </c>
      <c r="K281">
        <f>IF(K280&lt;=0,0,MAX(0,AP281-W281))</f>
        <v/>
      </c>
      <c r="L281">
        <f>IF(L280&lt;=0,0,MAX(0,AQ281-X281))</f>
        <v/>
      </c>
      <c r="M281">
        <f>IF(M280&lt;=0,0,MAX(0,AR281-Y281))</f>
        <v/>
      </c>
      <c r="N281">
        <f>IF(N280&lt;=0,0,MAX(0,AS281-Z281))</f>
        <v/>
      </c>
      <c r="O281">
        <f>IF(C280&lt;=0,0,MIN(AH281,C$7+IF(C$2=$AA281,$AC281,IF(C$2=$AF281,$AG281,0))))</f>
        <v/>
      </c>
      <c r="P281">
        <f>IF(D280&lt;=0,0,MIN(AI281,D$7+IF(D$2=$AA281,$AC281,IF(D$2=$AF281,$AG281,0))))</f>
        <v/>
      </c>
      <c r="Q281">
        <f>IF(E280&lt;=0,0,MIN(AJ281,E$7+IF(E$2=$AA281,$AC281,IF(E$2=$AF281,$AG281,0))))</f>
        <v/>
      </c>
      <c r="R281">
        <f>IF(F280&lt;=0,0,MIN(AK281,F$7+IF(F$2=$AA281,$AC281,IF(F$2=$AF281,$AG281,0))))</f>
        <v/>
      </c>
      <c r="S281">
        <f>IF(G280&lt;=0,0,MIN(AL281,G$7+IF(G$2=$AA281,$AC281,IF(G$2=$AF281,$AG281,0))))</f>
        <v/>
      </c>
      <c r="T281">
        <f>IF(H280&lt;=0,0,MIN(AM281,H$7+IF(H$2=$AA281,$AC281,IF(H$2=$AF281,$AG281,0))))</f>
        <v/>
      </c>
      <c r="U281">
        <f>IF(I280&lt;=0,0,MIN(AN281,I$7+IF(I$2=$AA281,$AC281,IF(I$2=$AF281,$AG281,0))))</f>
        <v/>
      </c>
      <c r="V281">
        <f>IF(J280&lt;=0,0,MIN(AO281,J$7+IF(J$2=$AA281,$AC281,IF(J$2=$AF281,$AG281,0))))</f>
        <v/>
      </c>
      <c r="W281">
        <f>IF(K280&lt;=0,0,MIN(AP281,K$7+IF(K$2=$AA281,$AC281,IF(K$2=$AF281,$AG281,0))))</f>
        <v/>
      </c>
      <c r="X281">
        <f>IF(L280&lt;=0,0,MIN(AQ281,L$7+IF(L$2=$AA281,$AC281,IF(L$2=$AF281,$AG281,0))))</f>
        <v/>
      </c>
      <c r="Y281">
        <f>IF(M280&lt;=0,0,MIN(AR281,M$7+IF(M$2=$AA281,$AC281,IF(M$2=$AF281,$AG281,0))))</f>
        <v/>
      </c>
      <c r="Z281">
        <f>IF(N280&lt;=0,0,MIN(AS281,N$7+IF(N$2=$AA281,$AC281,IF(N$2=$AF281,$AG281,0))))</f>
        <v/>
      </c>
      <c r="AA281">
        <f>IFERROR(ROUND(1/SUMPRODUCT(MAX((C280:N280&gt;0)*($C$3:$N$3&lt;=B281)/$C$2:$N$2)),0),0)</f>
        <v/>
      </c>
      <c r="AB281">
        <f>SUMPRODUCT((C280:N280&gt;0)*$C$7:$N$7)</f>
        <v/>
      </c>
      <c r="AC281">
        <f>MAX(0,Plan!$C$5-AB281)+IF(A281=Plan!$C$8,N(Plan!$C$7),0)</f>
        <v/>
      </c>
      <c r="AD281">
        <f>SUM(C281:N281)</f>
        <v/>
      </c>
      <c r="AE281">
        <f>SUM(O281:Z281)</f>
        <v/>
      </c>
      <c r="AF281">
        <f>IFERROR(ROUND(1/SUMPRODUCT(MAX((C280:N280&gt;0)*($C$3:$N$3&lt;=B281)*($C$2:$N$2&gt;AA281)/$C$2:$N$2)),0),0)</f>
        <v/>
      </c>
      <c r="AG281">
        <f>MAX(0,AC281-MAX(0,SUMPRODUCT(($C$2:$N$2=AA281)*(AH281:AS281-$C$7:$N$7))))</f>
        <v/>
      </c>
      <c r="AH281">
        <f>IF(C280&lt;=0,0,ROUND(C280*(1+IF(AND(C$6&gt;0,$B281&lt;C$6),C$4,C$5)/12),2))</f>
        <v/>
      </c>
      <c r="AI281">
        <f>IF(D280&lt;=0,0,ROUND(D280*(1+IF(AND(D$6&gt;0,$B281&lt;D$6),D$4,D$5)/12),2))</f>
        <v/>
      </c>
      <c r="AJ281">
        <f>IF(E280&lt;=0,0,ROUND(E280*(1+IF(AND(E$6&gt;0,$B281&lt;E$6),E$4,E$5)/12),2))</f>
        <v/>
      </c>
      <c r="AK281">
        <f>IF(F280&lt;=0,0,ROUND(F280*(1+IF(AND(F$6&gt;0,$B281&lt;F$6),F$4,F$5)/12),2))</f>
        <v/>
      </c>
      <c r="AL281">
        <f>IF(G280&lt;=0,0,ROUND(G280*(1+IF(AND(G$6&gt;0,$B281&lt;G$6),G$4,G$5)/12),2))</f>
        <v/>
      </c>
      <c r="AM281">
        <f>IF(H280&lt;=0,0,ROUND(H280*(1+IF(AND(H$6&gt;0,$B281&lt;H$6),H$4,H$5)/12),2))</f>
        <v/>
      </c>
      <c r="AN281">
        <f>IF(I280&lt;=0,0,ROUND(I280*(1+IF(AND(I$6&gt;0,$B281&lt;I$6),I$4,I$5)/12),2))</f>
        <v/>
      </c>
      <c r="AO281">
        <f>IF(J280&lt;=0,0,ROUND(J280*(1+IF(AND(J$6&gt;0,$B281&lt;J$6),J$4,J$5)/12),2))</f>
        <v/>
      </c>
      <c r="AP281">
        <f>IF(K280&lt;=0,0,ROUND(K280*(1+IF(AND(K$6&gt;0,$B281&lt;K$6),K$4,K$5)/12),2))</f>
        <v/>
      </c>
      <c r="AQ281">
        <f>IF(L280&lt;=0,0,ROUND(L280*(1+IF(AND(L$6&gt;0,$B281&lt;L$6),L$4,L$5)/12),2))</f>
        <v/>
      </c>
      <c r="AR281">
        <f>IF(M280&lt;=0,0,ROUND(M280*(1+IF(AND(M$6&gt;0,$B281&lt;M$6),M$4,M$5)/12),2))</f>
        <v/>
      </c>
      <c r="AS281">
        <f>IF(N280&lt;=0,0,ROUND(N280*(1+IF(AND(N$6&gt;0,$B281&lt;N$6),N$4,N$5)/12),2))</f>
        <v/>
      </c>
    </row>
    <row r="282">
      <c r="A282" t="n">
        <v>271</v>
      </c>
      <c r="B282">
        <f>EDATE(Plan!$C$6,270)</f>
        <v/>
      </c>
      <c r="C282">
        <f>IF(C281&lt;=0,0,MAX(0,AH282-O282))</f>
        <v/>
      </c>
      <c r="D282">
        <f>IF(D281&lt;=0,0,MAX(0,AI282-P282))</f>
        <v/>
      </c>
      <c r="E282">
        <f>IF(E281&lt;=0,0,MAX(0,AJ282-Q282))</f>
        <v/>
      </c>
      <c r="F282">
        <f>IF(F281&lt;=0,0,MAX(0,AK282-R282))</f>
        <v/>
      </c>
      <c r="G282">
        <f>IF(G281&lt;=0,0,MAX(0,AL282-S282))</f>
        <v/>
      </c>
      <c r="H282">
        <f>IF(H281&lt;=0,0,MAX(0,AM282-T282))</f>
        <v/>
      </c>
      <c r="I282">
        <f>IF(I281&lt;=0,0,MAX(0,AN282-U282))</f>
        <v/>
      </c>
      <c r="J282">
        <f>IF(J281&lt;=0,0,MAX(0,AO282-V282))</f>
        <v/>
      </c>
      <c r="K282">
        <f>IF(K281&lt;=0,0,MAX(0,AP282-W282))</f>
        <v/>
      </c>
      <c r="L282">
        <f>IF(L281&lt;=0,0,MAX(0,AQ282-X282))</f>
        <v/>
      </c>
      <c r="M282">
        <f>IF(M281&lt;=0,0,MAX(0,AR282-Y282))</f>
        <v/>
      </c>
      <c r="N282">
        <f>IF(N281&lt;=0,0,MAX(0,AS282-Z282))</f>
        <v/>
      </c>
      <c r="O282">
        <f>IF(C281&lt;=0,0,MIN(AH282,C$7+IF(C$2=$AA282,$AC282,IF(C$2=$AF282,$AG282,0))))</f>
        <v/>
      </c>
      <c r="P282">
        <f>IF(D281&lt;=0,0,MIN(AI282,D$7+IF(D$2=$AA282,$AC282,IF(D$2=$AF282,$AG282,0))))</f>
        <v/>
      </c>
      <c r="Q282">
        <f>IF(E281&lt;=0,0,MIN(AJ282,E$7+IF(E$2=$AA282,$AC282,IF(E$2=$AF282,$AG282,0))))</f>
        <v/>
      </c>
      <c r="R282">
        <f>IF(F281&lt;=0,0,MIN(AK282,F$7+IF(F$2=$AA282,$AC282,IF(F$2=$AF282,$AG282,0))))</f>
        <v/>
      </c>
      <c r="S282">
        <f>IF(G281&lt;=0,0,MIN(AL282,G$7+IF(G$2=$AA282,$AC282,IF(G$2=$AF282,$AG282,0))))</f>
        <v/>
      </c>
      <c r="T282">
        <f>IF(H281&lt;=0,0,MIN(AM282,H$7+IF(H$2=$AA282,$AC282,IF(H$2=$AF282,$AG282,0))))</f>
        <v/>
      </c>
      <c r="U282">
        <f>IF(I281&lt;=0,0,MIN(AN282,I$7+IF(I$2=$AA282,$AC282,IF(I$2=$AF282,$AG282,0))))</f>
        <v/>
      </c>
      <c r="V282">
        <f>IF(J281&lt;=0,0,MIN(AO282,J$7+IF(J$2=$AA282,$AC282,IF(J$2=$AF282,$AG282,0))))</f>
        <v/>
      </c>
      <c r="W282">
        <f>IF(K281&lt;=0,0,MIN(AP282,K$7+IF(K$2=$AA282,$AC282,IF(K$2=$AF282,$AG282,0))))</f>
        <v/>
      </c>
      <c r="X282">
        <f>IF(L281&lt;=0,0,MIN(AQ282,L$7+IF(L$2=$AA282,$AC282,IF(L$2=$AF282,$AG282,0))))</f>
        <v/>
      </c>
      <c r="Y282">
        <f>IF(M281&lt;=0,0,MIN(AR282,M$7+IF(M$2=$AA282,$AC282,IF(M$2=$AF282,$AG282,0))))</f>
        <v/>
      </c>
      <c r="Z282">
        <f>IF(N281&lt;=0,0,MIN(AS282,N$7+IF(N$2=$AA282,$AC282,IF(N$2=$AF282,$AG282,0))))</f>
        <v/>
      </c>
      <c r="AA282">
        <f>IFERROR(ROUND(1/SUMPRODUCT(MAX((C281:N281&gt;0)*($C$3:$N$3&lt;=B282)/$C$2:$N$2)),0),0)</f>
        <v/>
      </c>
      <c r="AB282">
        <f>SUMPRODUCT((C281:N281&gt;0)*$C$7:$N$7)</f>
        <v/>
      </c>
      <c r="AC282">
        <f>MAX(0,Plan!$C$5-AB282)+IF(A282=Plan!$C$8,N(Plan!$C$7),0)</f>
        <v/>
      </c>
      <c r="AD282">
        <f>SUM(C282:N282)</f>
        <v/>
      </c>
      <c r="AE282">
        <f>SUM(O282:Z282)</f>
        <v/>
      </c>
      <c r="AF282">
        <f>IFERROR(ROUND(1/SUMPRODUCT(MAX((C281:N281&gt;0)*($C$3:$N$3&lt;=B282)*($C$2:$N$2&gt;AA282)/$C$2:$N$2)),0),0)</f>
        <v/>
      </c>
      <c r="AG282">
        <f>MAX(0,AC282-MAX(0,SUMPRODUCT(($C$2:$N$2=AA282)*(AH282:AS282-$C$7:$N$7))))</f>
        <v/>
      </c>
      <c r="AH282">
        <f>IF(C281&lt;=0,0,ROUND(C281*(1+IF(AND(C$6&gt;0,$B282&lt;C$6),C$4,C$5)/12),2))</f>
        <v/>
      </c>
      <c r="AI282">
        <f>IF(D281&lt;=0,0,ROUND(D281*(1+IF(AND(D$6&gt;0,$B282&lt;D$6),D$4,D$5)/12),2))</f>
        <v/>
      </c>
      <c r="AJ282">
        <f>IF(E281&lt;=0,0,ROUND(E281*(1+IF(AND(E$6&gt;0,$B282&lt;E$6),E$4,E$5)/12),2))</f>
        <v/>
      </c>
      <c r="AK282">
        <f>IF(F281&lt;=0,0,ROUND(F281*(1+IF(AND(F$6&gt;0,$B282&lt;F$6),F$4,F$5)/12),2))</f>
        <v/>
      </c>
      <c r="AL282">
        <f>IF(G281&lt;=0,0,ROUND(G281*(1+IF(AND(G$6&gt;0,$B282&lt;G$6),G$4,G$5)/12),2))</f>
        <v/>
      </c>
      <c r="AM282">
        <f>IF(H281&lt;=0,0,ROUND(H281*(1+IF(AND(H$6&gt;0,$B282&lt;H$6),H$4,H$5)/12),2))</f>
        <v/>
      </c>
      <c r="AN282">
        <f>IF(I281&lt;=0,0,ROUND(I281*(1+IF(AND(I$6&gt;0,$B282&lt;I$6),I$4,I$5)/12),2))</f>
        <v/>
      </c>
      <c r="AO282">
        <f>IF(J281&lt;=0,0,ROUND(J281*(1+IF(AND(J$6&gt;0,$B282&lt;J$6),J$4,J$5)/12),2))</f>
        <v/>
      </c>
      <c r="AP282">
        <f>IF(K281&lt;=0,0,ROUND(K281*(1+IF(AND(K$6&gt;0,$B282&lt;K$6),K$4,K$5)/12),2))</f>
        <v/>
      </c>
      <c r="AQ282">
        <f>IF(L281&lt;=0,0,ROUND(L281*(1+IF(AND(L$6&gt;0,$B282&lt;L$6),L$4,L$5)/12),2))</f>
        <v/>
      </c>
      <c r="AR282">
        <f>IF(M281&lt;=0,0,ROUND(M281*(1+IF(AND(M$6&gt;0,$B282&lt;M$6),M$4,M$5)/12),2))</f>
        <v/>
      </c>
      <c r="AS282">
        <f>IF(N281&lt;=0,0,ROUND(N281*(1+IF(AND(N$6&gt;0,$B282&lt;N$6),N$4,N$5)/12),2))</f>
        <v/>
      </c>
    </row>
    <row r="283">
      <c r="A283" t="n">
        <v>272</v>
      </c>
      <c r="B283">
        <f>EDATE(Plan!$C$6,271)</f>
        <v/>
      </c>
      <c r="C283">
        <f>IF(C282&lt;=0,0,MAX(0,AH283-O283))</f>
        <v/>
      </c>
      <c r="D283">
        <f>IF(D282&lt;=0,0,MAX(0,AI283-P283))</f>
        <v/>
      </c>
      <c r="E283">
        <f>IF(E282&lt;=0,0,MAX(0,AJ283-Q283))</f>
        <v/>
      </c>
      <c r="F283">
        <f>IF(F282&lt;=0,0,MAX(0,AK283-R283))</f>
        <v/>
      </c>
      <c r="G283">
        <f>IF(G282&lt;=0,0,MAX(0,AL283-S283))</f>
        <v/>
      </c>
      <c r="H283">
        <f>IF(H282&lt;=0,0,MAX(0,AM283-T283))</f>
        <v/>
      </c>
      <c r="I283">
        <f>IF(I282&lt;=0,0,MAX(0,AN283-U283))</f>
        <v/>
      </c>
      <c r="J283">
        <f>IF(J282&lt;=0,0,MAX(0,AO283-V283))</f>
        <v/>
      </c>
      <c r="K283">
        <f>IF(K282&lt;=0,0,MAX(0,AP283-W283))</f>
        <v/>
      </c>
      <c r="L283">
        <f>IF(L282&lt;=0,0,MAX(0,AQ283-X283))</f>
        <v/>
      </c>
      <c r="M283">
        <f>IF(M282&lt;=0,0,MAX(0,AR283-Y283))</f>
        <v/>
      </c>
      <c r="N283">
        <f>IF(N282&lt;=0,0,MAX(0,AS283-Z283))</f>
        <v/>
      </c>
      <c r="O283">
        <f>IF(C282&lt;=0,0,MIN(AH283,C$7+IF(C$2=$AA283,$AC283,IF(C$2=$AF283,$AG283,0))))</f>
        <v/>
      </c>
      <c r="P283">
        <f>IF(D282&lt;=0,0,MIN(AI283,D$7+IF(D$2=$AA283,$AC283,IF(D$2=$AF283,$AG283,0))))</f>
        <v/>
      </c>
      <c r="Q283">
        <f>IF(E282&lt;=0,0,MIN(AJ283,E$7+IF(E$2=$AA283,$AC283,IF(E$2=$AF283,$AG283,0))))</f>
        <v/>
      </c>
      <c r="R283">
        <f>IF(F282&lt;=0,0,MIN(AK283,F$7+IF(F$2=$AA283,$AC283,IF(F$2=$AF283,$AG283,0))))</f>
        <v/>
      </c>
      <c r="S283">
        <f>IF(G282&lt;=0,0,MIN(AL283,G$7+IF(G$2=$AA283,$AC283,IF(G$2=$AF283,$AG283,0))))</f>
        <v/>
      </c>
      <c r="T283">
        <f>IF(H282&lt;=0,0,MIN(AM283,H$7+IF(H$2=$AA283,$AC283,IF(H$2=$AF283,$AG283,0))))</f>
        <v/>
      </c>
      <c r="U283">
        <f>IF(I282&lt;=0,0,MIN(AN283,I$7+IF(I$2=$AA283,$AC283,IF(I$2=$AF283,$AG283,0))))</f>
        <v/>
      </c>
      <c r="V283">
        <f>IF(J282&lt;=0,0,MIN(AO283,J$7+IF(J$2=$AA283,$AC283,IF(J$2=$AF283,$AG283,0))))</f>
        <v/>
      </c>
      <c r="W283">
        <f>IF(K282&lt;=0,0,MIN(AP283,K$7+IF(K$2=$AA283,$AC283,IF(K$2=$AF283,$AG283,0))))</f>
        <v/>
      </c>
      <c r="X283">
        <f>IF(L282&lt;=0,0,MIN(AQ283,L$7+IF(L$2=$AA283,$AC283,IF(L$2=$AF283,$AG283,0))))</f>
        <v/>
      </c>
      <c r="Y283">
        <f>IF(M282&lt;=0,0,MIN(AR283,M$7+IF(M$2=$AA283,$AC283,IF(M$2=$AF283,$AG283,0))))</f>
        <v/>
      </c>
      <c r="Z283">
        <f>IF(N282&lt;=0,0,MIN(AS283,N$7+IF(N$2=$AA283,$AC283,IF(N$2=$AF283,$AG283,0))))</f>
        <v/>
      </c>
      <c r="AA283">
        <f>IFERROR(ROUND(1/SUMPRODUCT(MAX((C282:N282&gt;0)*($C$3:$N$3&lt;=B283)/$C$2:$N$2)),0),0)</f>
        <v/>
      </c>
      <c r="AB283">
        <f>SUMPRODUCT((C282:N282&gt;0)*$C$7:$N$7)</f>
        <v/>
      </c>
      <c r="AC283">
        <f>MAX(0,Plan!$C$5-AB283)+IF(A283=Plan!$C$8,N(Plan!$C$7),0)</f>
        <v/>
      </c>
      <c r="AD283">
        <f>SUM(C283:N283)</f>
        <v/>
      </c>
      <c r="AE283">
        <f>SUM(O283:Z283)</f>
        <v/>
      </c>
      <c r="AF283">
        <f>IFERROR(ROUND(1/SUMPRODUCT(MAX((C282:N282&gt;0)*($C$3:$N$3&lt;=B283)*($C$2:$N$2&gt;AA283)/$C$2:$N$2)),0),0)</f>
        <v/>
      </c>
      <c r="AG283">
        <f>MAX(0,AC283-MAX(0,SUMPRODUCT(($C$2:$N$2=AA283)*(AH283:AS283-$C$7:$N$7))))</f>
        <v/>
      </c>
      <c r="AH283">
        <f>IF(C282&lt;=0,0,ROUND(C282*(1+IF(AND(C$6&gt;0,$B283&lt;C$6),C$4,C$5)/12),2))</f>
        <v/>
      </c>
      <c r="AI283">
        <f>IF(D282&lt;=0,0,ROUND(D282*(1+IF(AND(D$6&gt;0,$B283&lt;D$6),D$4,D$5)/12),2))</f>
        <v/>
      </c>
      <c r="AJ283">
        <f>IF(E282&lt;=0,0,ROUND(E282*(1+IF(AND(E$6&gt;0,$B283&lt;E$6),E$4,E$5)/12),2))</f>
        <v/>
      </c>
      <c r="AK283">
        <f>IF(F282&lt;=0,0,ROUND(F282*(1+IF(AND(F$6&gt;0,$B283&lt;F$6),F$4,F$5)/12),2))</f>
        <v/>
      </c>
      <c r="AL283">
        <f>IF(G282&lt;=0,0,ROUND(G282*(1+IF(AND(G$6&gt;0,$B283&lt;G$6),G$4,G$5)/12),2))</f>
        <v/>
      </c>
      <c r="AM283">
        <f>IF(H282&lt;=0,0,ROUND(H282*(1+IF(AND(H$6&gt;0,$B283&lt;H$6),H$4,H$5)/12),2))</f>
        <v/>
      </c>
      <c r="AN283">
        <f>IF(I282&lt;=0,0,ROUND(I282*(1+IF(AND(I$6&gt;0,$B283&lt;I$6),I$4,I$5)/12),2))</f>
        <v/>
      </c>
      <c r="AO283">
        <f>IF(J282&lt;=0,0,ROUND(J282*(1+IF(AND(J$6&gt;0,$B283&lt;J$6),J$4,J$5)/12),2))</f>
        <v/>
      </c>
      <c r="AP283">
        <f>IF(K282&lt;=0,0,ROUND(K282*(1+IF(AND(K$6&gt;0,$B283&lt;K$6),K$4,K$5)/12),2))</f>
        <v/>
      </c>
      <c r="AQ283">
        <f>IF(L282&lt;=0,0,ROUND(L282*(1+IF(AND(L$6&gt;0,$B283&lt;L$6),L$4,L$5)/12),2))</f>
        <v/>
      </c>
      <c r="AR283">
        <f>IF(M282&lt;=0,0,ROUND(M282*(1+IF(AND(M$6&gt;0,$B283&lt;M$6),M$4,M$5)/12),2))</f>
        <v/>
      </c>
      <c r="AS283">
        <f>IF(N282&lt;=0,0,ROUND(N282*(1+IF(AND(N$6&gt;0,$B283&lt;N$6),N$4,N$5)/12),2))</f>
        <v/>
      </c>
    </row>
    <row r="284">
      <c r="A284" t="n">
        <v>273</v>
      </c>
      <c r="B284">
        <f>EDATE(Plan!$C$6,272)</f>
        <v/>
      </c>
      <c r="C284">
        <f>IF(C283&lt;=0,0,MAX(0,AH284-O284))</f>
        <v/>
      </c>
      <c r="D284">
        <f>IF(D283&lt;=0,0,MAX(0,AI284-P284))</f>
        <v/>
      </c>
      <c r="E284">
        <f>IF(E283&lt;=0,0,MAX(0,AJ284-Q284))</f>
        <v/>
      </c>
      <c r="F284">
        <f>IF(F283&lt;=0,0,MAX(0,AK284-R284))</f>
        <v/>
      </c>
      <c r="G284">
        <f>IF(G283&lt;=0,0,MAX(0,AL284-S284))</f>
        <v/>
      </c>
      <c r="H284">
        <f>IF(H283&lt;=0,0,MAX(0,AM284-T284))</f>
        <v/>
      </c>
      <c r="I284">
        <f>IF(I283&lt;=0,0,MAX(0,AN284-U284))</f>
        <v/>
      </c>
      <c r="J284">
        <f>IF(J283&lt;=0,0,MAX(0,AO284-V284))</f>
        <v/>
      </c>
      <c r="K284">
        <f>IF(K283&lt;=0,0,MAX(0,AP284-W284))</f>
        <v/>
      </c>
      <c r="L284">
        <f>IF(L283&lt;=0,0,MAX(0,AQ284-X284))</f>
        <v/>
      </c>
      <c r="M284">
        <f>IF(M283&lt;=0,0,MAX(0,AR284-Y284))</f>
        <v/>
      </c>
      <c r="N284">
        <f>IF(N283&lt;=0,0,MAX(0,AS284-Z284))</f>
        <v/>
      </c>
      <c r="O284">
        <f>IF(C283&lt;=0,0,MIN(AH284,C$7+IF(C$2=$AA284,$AC284,IF(C$2=$AF284,$AG284,0))))</f>
        <v/>
      </c>
      <c r="P284">
        <f>IF(D283&lt;=0,0,MIN(AI284,D$7+IF(D$2=$AA284,$AC284,IF(D$2=$AF284,$AG284,0))))</f>
        <v/>
      </c>
      <c r="Q284">
        <f>IF(E283&lt;=0,0,MIN(AJ284,E$7+IF(E$2=$AA284,$AC284,IF(E$2=$AF284,$AG284,0))))</f>
        <v/>
      </c>
      <c r="R284">
        <f>IF(F283&lt;=0,0,MIN(AK284,F$7+IF(F$2=$AA284,$AC284,IF(F$2=$AF284,$AG284,0))))</f>
        <v/>
      </c>
      <c r="S284">
        <f>IF(G283&lt;=0,0,MIN(AL284,G$7+IF(G$2=$AA284,$AC284,IF(G$2=$AF284,$AG284,0))))</f>
        <v/>
      </c>
      <c r="T284">
        <f>IF(H283&lt;=0,0,MIN(AM284,H$7+IF(H$2=$AA284,$AC284,IF(H$2=$AF284,$AG284,0))))</f>
        <v/>
      </c>
      <c r="U284">
        <f>IF(I283&lt;=0,0,MIN(AN284,I$7+IF(I$2=$AA284,$AC284,IF(I$2=$AF284,$AG284,0))))</f>
        <v/>
      </c>
      <c r="V284">
        <f>IF(J283&lt;=0,0,MIN(AO284,J$7+IF(J$2=$AA284,$AC284,IF(J$2=$AF284,$AG284,0))))</f>
        <v/>
      </c>
      <c r="W284">
        <f>IF(K283&lt;=0,0,MIN(AP284,K$7+IF(K$2=$AA284,$AC284,IF(K$2=$AF284,$AG284,0))))</f>
        <v/>
      </c>
      <c r="X284">
        <f>IF(L283&lt;=0,0,MIN(AQ284,L$7+IF(L$2=$AA284,$AC284,IF(L$2=$AF284,$AG284,0))))</f>
        <v/>
      </c>
      <c r="Y284">
        <f>IF(M283&lt;=0,0,MIN(AR284,M$7+IF(M$2=$AA284,$AC284,IF(M$2=$AF284,$AG284,0))))</f>
        <v/>
      </c>
      <c r="Z284">
        <f>IF(N283&lt;=0,0,MIN(AS284,N$7+IF(N$2=$AA284,$AC284,IF(N$2=$AF284,$AG284,0))))</f>
        <v/>
      </c>
      <c r="AA284">
        <f>IFERROR(ROUND(1/SUMPRODUCT(MAX((C283:N283&gt;0)*($C$3:$N$3&lt;=B284)/$C$2:$N$2)),0),0)</f>
        <v/>
      </c>
      <c r="AB284">
        <f>SUMPRODUCT((C283:N283&gt;0)*$C$7:$N$7)</f>
        <v/>
      </c>
      <c r="AC284">
        <f>MAX(0,Plan!$C$5-AB284)+IF(A284=Plan!$C$8,N(Plan!$C$7),0)</f>
        <v/>
      </c>
      <c r="AD284">
        <f>SUM(C284:N284)</f>
        <v/>
      </c>
      <c r="AE284">
        <f>SUM(O284:Z284)</f>
        <v/>
      </c>
      <c r="AF284">
        <f>IFERROR(ROUND(1/SUMPRODUCT(MAX((C283:N283&gt;0)*($C$3:$N$3&lt;=B284)*($C$2:$N$2&gt;AA284)/$C$2:$N$2)),0),0)</f>
        <v/>
      </c>
      <c r="AG284">
        <f>MAX(0,AC284-MAX(0,SUMPRODUCT(($C$2:$N$2=AA284)*(AH284:AS284-$C$7:$N$7))))</f>
        <v/>
      </c>
      <c r="AH284">
        <f>IF(C283&lt;=0,0,ROUND(C283*(1+IF(AND(C$6&gt;0,$B284&lt;C$6),C$4,C$5)/12),2))</f>
        <v/>
      </c>
      <c r="AI284">
        <f>IF(D283&lt;=0,0,ROUND(D283*(1+IF(AND(D$6&gt;0,$B284&lt;D$6),D$4,D$5)/12),2))</f>
        <v/>
      </c>
      <c r="AJ284">
        <f>IF(E283&lt;=0,0,ROUND(E283*(1+IF(AND(E$6&gt;0,$B284&lt;E$6),E$4,E$5)/12),2))</f>
        <v/>
      </c>
      <c r="AK284">
        <f>IF(F283&lt;=0,0,ROUND(F283*(1+IF(AND(F$6&gt;0,$B284&lt;F$6),F$4,F$5)/12),2))</f>
        <v/>
      </c>
      <c r="AL284">
        <f>IF(G283&lt;=0,0,ROUND(G283*(1+IF(AND(G$6&gt;0,$B284&lt;G$6),G$4,G$5)/12),2))</f>
        <v/>
      </c>
      <c r="AM284">
        <f>IF(H283&lt;=0,0,ROUND(H283*(1+IF(AND(H$6&gt;0,$B284&lt;H$6),H$4,H$5)/12),2))</f>
        <v/>
      </c>
      <c r="AN284">
        <f>IF(I283&lt;=0,0,ROUND(I283*(1+IF(AND(I$6&gt;0,$B284&lt;I$6),I$4,I$5)/12),2))</f>
        <v/>
      </c>
      <c r="AO284">
        <f>IF(J283&lt;=0,0,ROUND(J283*(1+IF(AND(J$6&gt;0,$B284&lt;J$6),J$4,J$5)/12),2))</f>
        <v/>
      </c>
      <c r="AP284">
        <f>IF(K283&lt;=0,0,ROUND(K283*(1+IF(AND(K$6&gt;0,$B284&lt;K$6),K$4,K$5)/12),2))</f>
        <v/>
      </c>
      <c r="AQ284">
        <f>IF(L283&lt;=0,0,ROUND(L283*(1+IF(AND(L$6&gt;0,$B284&lt;L$6),L$4,L$5)/12),2))</f>
        <v/>
      </c>
      <c r="AR284">
        <f>IF(M283&lt;=0,0,ROUND(M283*(1+IF(AND(M$6&gt;0,$B284&lt;M$6),M$4,M$5)/12),2))</f>
        <v/>
      </c>
      <c r="AS284">
        <f>IF(N283&lt;=0,0,ROUND(N283*(1+IF(AND(N$6&gt;0,$B284&lt;N$6),N$4,N$5)/12),2))</f>
        <v/>
      </c>
    </row>
    <row r="285">
      <c r="A285" t="n">
        <v>274</v>
      </c>
      <c r="B285">
        <f>EDATE(Plan!$C$6,273)</f>
        <v/>
      </c>
      <c r="C285">
        <f>IF(C284&lt;=0,0,MAX(0,AH285-O285))</f>
        <v/>
      </c>
      <c r="D285">
        <f>IF(D284&lt;=0,0,MAX(0,AI285-P285))</f>
        <v/>
      </c>
      <c r="E285">
        <f>IF(E284&lt;=0,0,MAX(0,AJ285-Q285))</f>
        <v/>
      </c>
      <c r="F285">
        <f>IF(F284&lt;=0,0,MAX(0,AK285-R285))</f>
        <v/>
      </c>
      <c r="G285">
        <f>IF(G284&lt;=0,0,MAX(0,AL285-S285))</f>
        <v/>
      </c>
      <c r="H285">
        <f>IF(H284&lt;=0,0,MAX(0,AM285-T285))</f>
        <v/>
      </c>
      <c r="I285">
        <f>IF(I284&lt;=0,0,MAX(0,AN285-U285))</f>
        <v/>
      </c>
      <c r="J285">
        <f>IF(J284&lt;=0,0,MAX(0,AO285-V285))</f>
        <v/>
      </c>
      <c r="K285">
        <f>IF(K284&lt;=0,0,MAX(0,AP285-W285))</f>
        <v/>
      </c>
      <c r="L285">
        <f>IF(L284&lt;=0,0,MAX(0,AQ285-X285))</f>
        <v/>
      </c>
      <c r="M285">
        <f>IF(M284&lt;=0,0,MAX(0,AR285-Y285))</f>
        <v/>
      </c>
      <c r="N285">
        <f>IF(N284&lt;=0,0,MAX(0,AS285-Z285))</f>
        <v/>
      </c>
      <c r="O285">
        <f>IF(C284&lt;=0,0,MIN(AH285,C$7+IF(C$2=$AA285,$AC285,IF(C$2=$AF285,$AG285,0))))</f>
        <v/>
      </c>
      <c r="P285">
        <f>IF(D284&lt;=0,0,MIN(AI285,D$7+IF(D$2=$AA285,$AC285,IF(D$2=$AF285,$AG285,0))))</f>
        <v/>
      </c>
      <c r="Q285">
        <f>IF(E284&lt;=0,0,MIN(AJ285,E$7+IF(E$2=$AA285,$AC285,IF(E$2=$AF285,$AG285,0))))</f>
        <v/>
      </c>
      <c r="R285">
        <f>IF(F284&lt;=0,0,MIN(AK285,F$7+IF(F$2=$AA285,$AC285,IF(F$2=$AF285,$AG285,0))))</f>
        <v/>
      </c>
      <c r="S285">
        <f>IF(G284&lt;=0,0,MIN(AL285,G$7+IF(G$2=$AA285,$AC285,IF(G$2=$AF285,$AG285,0))))</f>
        <v/>
      </c>
      <c r="T285">
        <f>IF(H284&lt;=0,0,MIN(AM285,H$7+IF(H$2=$AA285,$AC285,IF(H$2=$AF285,$AG285,0))))</f>
        <v/>
      </c>
      <c r="U285">
        <f>IF(I284&lt;=0,0,MIN(AN285,I$7+IF(I$2=$AA285,$AC285,IF(I$2=$AF285,$AG285,0))))</f>
        <v/>
      </c>
      <c r="V285">
        <f>IF(J284&lt;=0,0,MIN(AO285,J$7+IF(J$2=$AA285,$AC285,IF(J$2=$AF285,$AG285,0))))</f>
        <v/>
      </c>
      <c r="W285">
        <f>IF(K284&lt;=0,0,MIN(AP285,K$7+IF(K$2=$AA285,$AC285,IF(K$2=$AF285,$AG285,0))))</f>
        <v/>
      </c>
      <c r="X285">
        <f>IF(L284&lt;=0,0,MIN(AQ285,L$7+IF(L$2=$AA285,$AC285,IF(L$2=$AF285,$AG285,0))))</f>
        <v/>
      </c>
      <c r="Y285">
        <f>IF(M284&lt;=0,0,MIN(AR285,M$7+IF(M$2=$AA285,$AC285,IF(M$2=$AF285,$AG285,0))))</f>
        <v/>
      </c>
      <c r="Z285">
        <f>IF(N284&lt;=0,0,MIN(AS285,N$7+IF(N$2=$AA285,$AC285,IF(N$2=$AF285,$AG285,0))))</f>
        <v/>
      </c>
      <c r="AA285">
        <f>IFERROR(ROUND(1/SUMPRODUCT(MAX((C284:N284&gt;0)*($C$3:$N$3&lt;=B285)/$C$2:$N$2)),0),0)</f>
        <v/>
      </c>
      <c r="AB285">
        <f>SUMPRODUCT((C284:N284&gt;0)*$C$7:$N$7)</f>
        <v/>
      </c>
      <c r="AC285">
        <f>MAX(0,Plan!$C$5-AB285)+IF(A285=Plan!$C$8,N(Plan!$C$7),0)</f>
        <v/>
      </c>
      <c r="AD285">
        <f>SUM(C285:N285)</f>
        <v/>
      </c>
      <c r="AE285">
        <f>SUM(O285:Z285)</f>
        <v/>
      </c>
      <c r="AF285">
        <f>IFERROR(ROUND(1/SUMPRODUCT(MAX((C284:N284&gt;0)*($C$3:$N$3&lt;=B285)*($C$2:$N$2&gt;AA285)/$C$2:$N$2)),0),0)</f>
        <v/>
      </c>
      <c r="AG285">
        <f>MAX(0,AC285-MAX(0,SUMPRODUCT(($C$2:$N$2=AA285)*(AH285:AS285-$C$7:$N$7))))</f>
        <v/>
      </c>
      <c r="AH285">
        <f>IF(C284&lt;=0,0,ROUND(C284*(1+IF(AND(C$6&gt;0,$B285&lt;C$6),C$4,C$5)/12),2))</f>
        <v/>
      </c>
      <c r="AI285">
        <f>IF(D284&lt;=0,0,ROUND(D284*(1+IF(AND(D$6&gt;0,$B285&lt;D$6),D$4,D$5)/12),2))</f>
        <v/>
      </c>
      <c r="AJ285">
        <f>IF(E284&lt;=0,0,ROUND(E284*(1+IF(AND(E$6&gt;0,$B285&lt;E$6),E$4,E$5)/12),2))</f>
        <v/>
      </c>
      <c r="AK285">
        <f>IF(F284&lt;=0,0,ROUND(F284*(1+IF(AND(F$6&gt;0,$B285&lt;F$6),F$4,F$5)/12),2))</f>
        <v/>
      </c>
      <c r="AL285">
        <f>IF(G284&lt;=0,0,ROUND(G284*(1+IF(AND(G$6&gt;0,$B285&lt;G$6),G$4,G$5)/12),2))</f>
        <v/>
      </c>
      <c r="AM285">
        <f>IF(H284&lt;=0,0,ROUND(H284*(1+IF(AND(H$6&gt;0,$B285&lt;H$6),H$4,H$5)/12),2))</f>
        <v/>
      </c>
      <c r="AN285">
        <f>IF(I284&lt;=0,0,ROUND(I284*(1+IF(AND(I$6&gt;0,$B285&lt;I$6),I$4,I$5)/12),2))</f>
        <v/>
      </c>
      <c r="AO285">
        <f>IF(J284&lt;=0,0,ROUND(J284*(1+IF(AND(J$6&gt;0,$B285&lt;J$6),J$4,J$5)/12),2))</f>
        <v/>
      </c>
      <c r="AP285">
        <f>IF(K284&lt;=0,0,ROUND(K284*(1+IF(AND(K$6&gt;0,$B285&lt;K$6),K$4,K$5)/12),2))</f>
        <v/>
      </c>
      <c r="AQ285">
        <f>IF(L284&lt;=0,0,ROUND(L284*(1+IF(AND(L$6&gt;0,$B285&lt;L$6),L$4,L$5)/12),2))</f>
        <v/>
      </c>
      <c r="AR285">
        <f>IF(M284&lt;=0,0,ROUND(M284*(1+IF(AND(M$6&gt;0,$B285&lt;M$6),M$4,M$5)/12),2))</f>
        <v/>
      </c>
      <c r="AS285">
        <f>IF(N284&lt;=0,0,ROUND(N284*(1+IF(AND(N$6&gt;0,$B285&lt;N$6),N$4,N$5)/12),2))</f>
        <v/>
      </c>
    </row>
    <row r="286">
      <c r="A286" t="n">
        <v>275</v>
      </c>
      <c r="B286">
        <f>EDATE(Plan!$C$6,274)</f>
        <v/>
      </c>
      <c r="C286">
        <f>IF(C285&lt;=0,0,MAX(0,AH286-O286))</f>
        <v/>
      </c>
      <c r="D286">
        <f>IF(D285&lt;=0,0,MAX(0,AI286-P286))</f>
        <v/>
      </c>
      <c r="E286">
        <f>IF(E285&lt;=0,0,MAX(0,AJ286-Q286))</f>
        <v/>
      </c>
      <c r="F286">
        <f>IF(F285&lt;=0,0,MAX(0,AK286-R286))</f>
        <v/>
      </c>
      <c r="G286">
        <f>IF(G285&lt;=0,0,MAX(0,AL286-S286))</f>
        <v/>
      </c>
      <c r="H286">
        <f>IF(H285&lt;=0,0,MAX(0,AM286-T286))</f>
        <v/>
      </c>
      <c r="I286">
        <f>IF(I285&lt;=0,0,MAX(0,AN286-U286))</f>
        <v/>
      </c>
      <c r="J286">
        <f>IF(J285&lt;=0,0,MAX(0,AO286-V286))</f>
        <v/>
      </c>
      <c r="K286">
        <f>IF(K285&lt;=0,0,MAX(0,AP286-W286))</f>
        <v/>
      </c>
      <c r="L286">
        <f>IF(L285&lt;=0,0,MAX(0,AQ286-X286))</f>
        <v/>
      </c>
      <c r="M286">
        <f>IF(M285&lt;=0,0,MAX(0,AR286-Y286))</f>
        <v/>
      </c>
      <c r="N286">
        <f>IF(N285&lt;=0,0,MAX(0,AS286-Z286))</f>
        <v/>
      </c>
      <c r="O286">
        <f>IF(C285&lt;=0,0,MIN(AH286,C$7+IF(C$2=$AA286,$AC286,IF(C$2=$AF286,$AG286,0))))</f>
        <v/>
      </c>
      <c r="P286">
        <f>IF(D285&lt;=0,0,MIN(AI286,D$7+IF(D$2=$AA286,$AC286,IF(D$2=$AF286,$AG286,0))))</f>
        <v/>
      </c>
      <c r="Q286">
        <f>IF(E285&lt;=0,0,MIN(AJ286,E$7+IF(E$2=$AA286,$AC286,IF(E$2=$AF286,$AG286,0))))</f>
        <v/>
      </c>
      <c r="R286">
        <f>IF(F285&lt;=0,0,MIN(AK286,F$7+IF(F$2=$AA286,$AC286,IF(F$2=$AF286,$AG286,0))))</f>
        <v/>
      </c>
      <c r="S286">
        <f>IF(G285&lt;=0,0,MIN(AL286,G$7+IF(G$2=$AA286,$AC286,IF(G$2=$AF286,$AG286,0))))</f>
        <v/>
      </c>
      <c r="T286">
        <f>IF(H285&lt;=0,0,MIN(AM286,H$7+IF(H$2=$AA286,$AC286,IF(H$2=$AF286,$AG286,0))))</f>
        <v/>
      </c>
      <c r="U286">
        <f>IF(I285&lt;=0,0,MIN(AN286,I$7+IF(I$2=$AA286,$AC286,IF(I$2=$AF286,$AG286,0))))</f>
        <v/>
      </c>
      <c r="V286">
        <f>IF(J285&lt;=0,0,MIN(AO286,J$7+IF(J$2=$AA286,$AC286,IF(J$2=$AF286,$AG286,0))))</f>
        <v/>
      </c>
      <c r="W286">
        <f>IF(K285&lt;=0,0,MIN(AP286,K$7+IF(K$2=$AA286,$AC286,IF(K$2=$AF286,$AG286,0))))</f>
        <v/>
      </c>
      <c r="X286">
        <f>IF(L285&lt;=0,0,MIN(AQ286,L$7+IF(L$2=$AA286,$AC286,IF(L$2=$AF286,$AG286,0))))</f>
        <v/>
      </c>
      <c r="Y286">
        <f>IF(M285&lt;=0,0,MIN(AR286,M$7+IF(M$2=$AA286,$AC286,IF(M$2=$AF286,$AG286,0))))</f>
        <v/>
      </c>
      <c r="Z286">
        <f>IF(N285&lt;=0,0,MIN(AS286,N$7+IF(N$2=$AA286,$AC286,IF(N$2=$AF286,$AG286,0))))</f>
        <v/>
      </c>
      <c r="AA286">
        <f>IFERROR(ROUND(1/SUMPRODUCT(MAX((C285:N285&gt;0)*($C$3:$N$3&lt;=B286)/$C$2:$N$2)),0),0)</f>
        <v/>
      </c>
      <c r="AB286">
        <f>SUMPRODUCT((C285:N285&gt;0)*$C$7:$N$7)</f>
        <v/>
      </c>
      <c r="AC286">
        <f>MAX(0,Plan!$C$5-AB286)+IF(A286=Plan!$C$8,N(Plan!$C$7),0)</f>
        <v/>
      </c>
      <c r="AD286">
        <f>SUM(C286:N286)</f>
        <v/>
      </c>
      <c r="AE286">
        <f>SUM(O286:Z286)</f>
        <v/>
      </c>
      <c r="AF286">
        <f>IFERROR(ROUND(1/SUMPRODUCT(MAX((C285:N285&gt;0)*($C$3:$N$3&lt;=B286)*($C$2:$N$2&gt;AA286)/$C$2:$N$2)),0),0)</f>
        <v/>
      </c>
      <c r="AG286">
        <f>MAX(0,AC286-MAX(0,SUMPRODUCT(($C$2:$N$2=AA286)*(AH286:AS286-$C$7:$N$7))))</f>
        <v/>
      </c>
      <c r="AH286">
        <f>IF(C285&lt;=0,0,ROUND(C285*(1+IF(AND(C$6&gt;0,$B286&lt;C$6),C$4,C$5)/12),2))</f>
        <v/>
      </c>
      <c r="AI286">
        <f>IF(D285&lt;=0,0,ROUND(D285*(1+IF(AND(D$6&gt;0,$B286&lt;D$6),D$4,D$5)/12),2))</f>
        <v/>
      </c>
      <c r="AJ286">
        <f>IF(E285&lt;=0,0,ROUND(E285*(1+IF(AND(E$6&gt;0,$B286&lt;E$6),E$4,E$5)/12),2))</f>
        <v/>
      </c>
      <c r="AK286">
        <f>IF(F285&lt;=0,0,ROUND(F285*(1+IF(AND(F$6&gt;0,$B286&lt;F$6),F$4,F$5)/12),2))</f>
        <v/>
      </c>
      <c r="AL286">
        <f>IF(G285&lt;=0,0,ROUND(G285*(1+IF(AND(G$6&gt;0,$B286&lt;G$6),G$4,G$5)/12),2))</f>
        <v/>
      </c>
      <c r="AM286">
        <f>IF(H285&lt;=0,0,ROUND(H285*(1+IF(AND(H$6&gt;0,$B286&lt;H$6),H$4,H$5)/12),2))</f>
        <v/>
      </c>
      <c r="AN286">
        <f>IF(I285&lt;=0,0,ROUND(I285*(1+IF(AND(I$6&gt;0,$B286&lt;I$6),I$4,I$5)/12),2))</f>
        <v/>
      </c>
      <c r="AO286">
        <f>IF(J285&lt;=0,0,ROUND(J285*(1+IF(AND(J$6&gt;0,$B286&lt;J$6),J$4,J$5)/12),2))</f>
        <v/>
      </c>
      <c r="AP286">
        <f>IF(K285&lt;=0,0,ROUND(K285*(1+IF(AND(K$6&gt;0,$B286&lt;K$6),K$4,K$5)/12),2))</f>
        <v/>
      </c>
      <c r="AQ286">
        <f>IF(L285&lt;=0,0,ROUND(L285*(1+IF(AND(L$6&gt;0,$B286&lt;L$6),L$4,L$5)/12),2))</f>
        <v/>
      </c>
      <c r="AR286">
        <f>IF(M285&lt;=0,0,ROUND(M285*(1+IF(AND(M$6&gt;0,$B286&lt;M$6),M$4,M$5)/12),2))</f>
        <v/>
      </c>
      <c r="AS286">
        <f>IF(N285&lt;=0,0,ROUND(N285*(1+IF(AND(N$6&gt;0,$B286&lt;N$6),N$4,N$5)/12),2))</f>
        <v/>
      </c>
    </row>
    <row r="287">
      <c r="A287" t="n">
        <v>276</v>
      </c>
      <c r="B287">
        <f>EDATE(Plan!$C$6,275)</f>
        <v/>
      </c>
      <c r="C287">
        <f>IF(C286&lt;=0,0,MAX(0,AH287-O287))</f>
        <v/>
      </c>
      <c r="D287">
        <f>IF(D286&lt;=0,0,MAX(0,AI287-P287))</f>
        <v/>
      </c>
      <c r="E287">
        <f>IF(E286&lt;=0,0,MAX(0,AJ287-Q287))</f>
        <v/>
      </c>
      <c r="F287">
        <f>IF(F286&lt;=0,0,MAX(0,AK287-R287))</f>
        <v/>
      </c>
      <c r="G287">
        <f>IF(G286&lt;=0,0,MAX(0,AL287-S287))</f>
        <v/>
      </c>
      <c r="H287">
        <f>IF(H286&lt;=0,0,MAX(0,AM287-T287))</f>
        <v/>
      </c>
      <c r="I287">
        <f>IF(I286&lt;=0,0,MAX(0,AN287-U287))</f>
        <v/>
      </c>
      <c r="J287">
        <f>IF(J286&lt;=0,0,MAX(0,AO287-V287))</f>
        <v/>
      </c>
      <c r="K287">
        <f>IF(K286&lt;=0,0,MAX(0,AP287-W287))</f>
        <v/>
      </c>
      <c r="L287">
        <f>IF(L286&lt;=0,0,MAX(0,AQ287-X287))</f>
        <v/>
      </c>
      <c r="M287">
        <f>IF(M286&lt;=0,0,MAX(0,AR287-Y287))</f>
        <v/>
      </c>
      <c r="N287">
        <f>IF(N286&lt;=0,0,MAX(0,AS287-Z287))</f>
        <v/>
      </c>
      <c r="O287">
        <f>IF(C286&lt;=0,0,MIN(AH287,C$7+IF(C$2=$AA287,$AC287,IF(C$2=$AF287,$AG287,0))))</f>
        <v/>
      </c>
      <c r="P287">
        <f>IF(D286&lt;=0,0,MIN(AI287,D$7+IF(D$2=$AA287,$AC287,IF(D$2=$AF287,$AG287,0))))</f>
        <v/>
      </c>
      <c r="Q287">
        <f>IF(E286&lt;=0,0,MIN(AJ287,E$7+IF(E$2=$AA287,$AC287,IF(E$2=$AF287,$AG287,0))))</f>
        <v/>
      </c>
      <c r="R287">
        <f>IF(F286&lt;=0,0,MIN(AK287,F$7+IF(F$2=$AA287,$AC287,IF(F$2=$AF287,$AG287,0))))</f>
        <v/>
      </c>
      <c r="S287">
        <f>IF(G286&lt;=0,0,MIN(AL287,G$7+IF(G$2=$AA287,$AC287,IF(G$2=$AF287,$AG287,0))))</f>
        <v/>
      </c>
      <c r="T287">
        <f>IF(H286&lt;=0,0,MIN(AM287,H$7+IF(H$2=$AA287,$AC287,IF(H$2=$AF287,$AG287,0))))</f>
        <v/>
      </c>
      <c r="U287">
        <f>IF(I286&lt;=0,0,MIN(AN287,I$7+IF(I$2=$AA287,$AC287,IF(I$2=$AF287,$AG287,0))))</f>
        <v/>
      </c>
      <c r="V287">
        <f>IF(J286&lt;=0,0,MIN(AO287,J$7+IF(J$2=$AA287,$AC287,IF(J$2=$AF287,$AG287,0))))</f>
        <v/>
      </c>
      <c r="W287">
        <f>IF(K286&lt;=0,0,MIN(AP287,K$7+IF(K$2=$AA287,$AC287,IF(K$2=$AF287,$AG287,0))))</f>
        <v/>
      </c>
      <c r="X287">
        <f>IF(L286&lt;=0,0,MIN(AQ287,L$7+IF(L$2=$AA287,$AC287,IF(L$2=$AF287,$AG287,0))))</f>
        <v/>
      </c>
      <c r="Y287">
        <f>IF(M286&lt;=0,0,MIN(AR287,M$7+IF(M$2=$AA287,$AC287,IF(M$2=$AF287,$AG287,0))))</f>
        <v/>
      </c>
      <c r="Z287">
        <f>IF(N286&lt;=0,0,MIN(AS287,N$7+IF(N$2=$AA287,$AC287,IF(N$2=$AF287,$AG287,0))))</f>
        <v/>
      </c>
      <c r="AA287">
        <f>IFERROR(ROUND(1/SUMPRODUCT(MAX((C286:N286&gt;0)*($C$3:$N$3&lt;=B287)/$C$2:$N$2)),0),0)</f>
        <v/>
      </c>
      <c r="AB287">
        <f>SUMPRODUCT((C286:N286&gt;0)*$C$7:$N$7)</f>
        <v/>
      </c>
      <c r="AC287">
        <f>MAX(0,Plan!$C$5-AB287)+IF(A287=Plan!$C$8,N(Plan!$C$7),0)</f>
        <v/>
      </c>
      <c r="AD287">
        <f>SUM(C287:N287)</f>
        <v/>
      </c>
      <c r="AE287">
        <f>SUM(O287:Z287)</f>
        <v/>
      </c>
      <c r="AF287">
        <f>IFERROR(ROUND(1/SUMPRODUCT(MAX((C286:N286&gt;0)*($C$3:$N$3&lt;=B287)*($C$2:$N$2&gt;AA287)/$C$2:$N$2)),0),0)</f>
        <v/>
      </c>
      <c r="AG287">
        <f>MAX(0,AC287-MAX(0,SUMPRODUCT(($C$2:$N$2=AA287)*(AH287:AS287-$C$7:$N$7))))</f>
        <v/>
      </c>
      <c r="AH287">
        <f>IF(C286&lt;=0,0,ROUND(C286*(1+IF(AND(C$6&gt;0,$B287&lt;C$6),C$4,C$5)/12),2))</f>
        <v/>
      </c>
      <c r="AI287">
        <f>IF(D286&lt;=0,0,ROUND(D286*(1+IF(AND(D$6&gt;0,$B287&lt;D$6),D$4,D$5)/12),2))</f>
        <v/>
      </c>
      <c r="AJ287">
        <f>IF(E286&lt;=0,0,ROUND(E286*(1+IF(AND(E$6&gt;0,$B287&lt;E$6),E$4,E$5)/12),2))</f>
        <v/>
      </c>
      <c r="AK287">
        <f>IF(F286&lt;=0,0,ROUND(F286*(1+IF(AND(F$6&gt;0,$B287&lt;F$6),F$4,F$5)/12),2))</f>
        <v/>
      </c>
      <c r="AL287">
        <f>IF(G286&lt;=0,0,ROUND(G286*(1+IF(AND(G$6&gt;0,$B287&lt;G$6),G$4,G$5)/12),2))</f>
        <v/>
      </c>
      <c r="AM287">
        <f>IF(H286&lt;=0,0,ROUND(H286*(1+IF(AND(H$6&gt;0,$B287&lt;H$6),H$4,H$5)/12),2))</f>
        <v/>
      </c>
      <c r="AN287">
        <f>IF(I286&lt;=0,0,ROUND(I286*(1+IF(AND(I$6&gt;0,$B287&lt;I$6),I$4,I$5)/12),2))</f>
        <v/>
      </c>
      <c r="AO287">
        <f>IF(J286&lt;=0,0,ROUND(J286*(1+IF(AND(J$6&gt;0,$B287&lt;J$6),J$4,J$5)/12),2))</f>
        <v/>
      </c>
      <c r="AP287">
        <f>IF(K286&lt;=0,0,ROUND(K286*(1+IF(AND(K$6&gt;0,$B287&lt;K$6),K$4,K$5)/12),2))</f>
        <v/>
      </c>
      <c r="AQ287">
        <f>IF(L286&lt;=0,0,ROUND(L286*(1+IF(AND(L$6&gt;0,$B287&lt;L$6),L$4,L$5)/12),2))</f>
        <v/>
      </c>
      <c r="AR287">
        <f>IF(M286&lt;=0,0,ROUND(M286*(1+IF(AND(M$6&gt;0,$B287&lt;M$6),M$4,M$5)/12),2))</f>
        <v/>
      </c>
      <c r="AS287">
        <f>IF(N286&lt;=0,0,ROUND(N286*(1+IF(AND(N$6&gt;0,$B287&lt;N$6),N$4,N$5)/12),2))</f>
        <v/>
      </c>
    </row>
    <row r="288">
      <c r="A288" t="n">
        <v>277</v>
      </c>
      <c r="B288">
        <f>EDATE(Plan!$C$6,276)</f>
        <v/>
      </c>
      <c r="C288">
        <f>IF(C287&lt;=0,0,MAX(0,AH288-O288))</f>
        <v/>
      </c>
      <c r="D288">
        <f>IF(D287&lt;=0,0,MAX(0,AI288-P288))</f>
        <v/>
      </c>
      <c r="E288">
        <f>IF(E287&lt;=0,0,MAX(0,AJ288-Q288))</f>
        <v/>
      </c>
      <c r="F288">
        <f>IF(F287&lt;=0,0,MAX(0,AK288-R288))</f>
        <v/>
      </c>
      <c r="G288">
        <f>IF(G287&lt;=0,0,MAX(0,AL288-S288))</f>
        <v/>
      </c>
      <c r="H288">
        <f>IF(H287&lt;=0,0,MAX(0,AM288-T288))</f>
        <v/>
      </c>
      <c r="I288">
        <f>IF(I287&lt;=0,0,MAX(0,AN288-U288))</f>
        <v/>
      </c>
      <c r="J288">
        <f>IF(J287&lt;=0,0,MAX(0,AO288-V288))</f>
        <v/>
      </c>
      <c r="K288">
        <f>IF(K287&lt;=0,0,MAX(0,AP288-W288))</f>
        <v/>
      </c>
      <c r="L288">
        <f>IF(L287&lt;=0,0,MAX(0,AQ288-X288))</f>
        <v/>
      </c>
      <c r="M288">
        <f>IF(M287&lt;=0,0,MAX(0,AR288-Y288))</f>
        <v/>
      </c>
      <c r="N288">
        <f>IF(N287&lt;=0,0,MAX(0,AS288-Z288))</f>
        <v/>
      </c>
      <c r="O288">
        <f>IF(C287&lt;=0,0,MIN(AH288,C$7+IF(C$2=$AA288,$AC288,IF(C$2=$AF288,$AG288,0))))</f>
        <v/>
      </c>
      <c r="P288">
        <f>IF(D287&lt;=0,0,MIN(AI288,D$7+IF(D$2=$AA288,$AC288,IF(D$2=$AF288,$AG288,0))))</f>
        <v/>
      </c>
      <c r="Q288">
        <f>IF(E287&lt;=0,0,MIN(AJ288,E$7+IF(E$2=$AA288,$AC288,IF(E$2=$AF288,$AG288,0))))</f>
        <v/>
      </c>
      <c r="R288">
        <f>IF(F287&lt;=0,0,MIN(AK288,F$7+IF(F$2=$AA288,$AC288,IF(F$2=$AF288,$AG288,0))))</f>
        <v/>
      </c>
      <c r="S288">
        <f>IF(G287&lt;=0,0,MIN(AL288,G$7+IF(G$2=$AA288,$AC288,IF(G$2=$AF288,$AG288,0))))</f>
        <v/>
      </c>
      <c r="T288">
        <f>IF(H287&lt;=0,0,MIN(AM288,H$7+IF(H$2=$AA288,$AC288,IF(H$2=$AF288,$AG288,0))))</f>
        <v/>
      </c>
      <c r="U288">
        <f>IF(I287&lt;=0,0,MIN(AN288,I$7+IF(I$2=$AA288,$AC288,IF(I$2=$AF288,$AG288,0))))</f>
        <v/>
      </c>
      <c r="V288">
        <f>IF(J287&lt;=0,0,MIN(AO288,J$7+IF(J$2=$AA288,$AC288,IF(J$2=$AF288,$AG288,0))))</f>
        <v/>
      </c>
      <c r="W288">
        <f>IF(K287&lt;=0,0,MIN(AP288,K$7+IF(K$2=$AA288,$AC288,IF(K$2=$AF288,$AG288,0))))</f>
        <v/>
      </c>
      <c r="X288">
        <f>IF(L287&lt;=0,0,MIN(AQ288,L$7+IF(L$2=$AA288,$AC288,IF(L$2=$AF288,$AG288,0))))</f>
        <v/>
      </c>
      <c r="Y288">
        <f>IF(M287&lt;=0,0,MIN(AR288,M$7+IF(M$2=$AA288,$AC288,IF(M$2=$AF288,$AG288,0))))</f>
        <v/>
      </c>
      <c r="Z288">
        <f>IF(N287&lt;=0,0,MIN(AS288,N$7+IF(N$2=$AA288,$AC288,IF(N$2=$AF288,$AG288,0))))</f>
        <v/>
      </c>
      <c r="AA288">
        <f>IFERROR(ROUND(1/SUMPRODUCT(MAX((C287:N287&gt;0)*($C$3:$N$3&lt;=B288)/$C$2:$N$2)),0),0)</f>
        <v/>
      </c>
      <c r="AB288">
        <f>SUMPRODUCT((C287:N287&gt;0)*$C$7:$N$7)</f>
        <v/>
      </c>
      <c r="AC288">
        <f>MAX(0,Plan!$C$5-AB288)+IF(A288=Plan!$C$8,N(Plan!$C$7),0)</f>
        <v/>
      </c>
      <c r="AD288">
        <f>SUM(C288:N288)</f>
        <v/>
      </c>
      <c r="AE288">
        <f>SUM(O288:Z288)</f>
        <v/>
      </c>
      <c r="AF288">
        <f>IFERROR(ROUND(1/SUMPRODUCT(MAX((C287:N287&gt;0)*($C$3:$N$3&lt;=B288)*($C$2:$N$2&gt;AA288)/$C$2:$N$2)),0),0)</f>
        <v/>
      </c>
      <c r="AG288">
        <f>MAX(0,AC288-MAX(0,SUMPRODUCT(($C$2:$N$2=AA288)*(AH288:AS288-$C$7:$N$7))))</f>
        <v/>
      </c>
      <c r="AH288">
        <f>IF(C287&lt;=0,0,ROUND(C287*(1+IF(AND(C$6&gt;0,$B288&lt;C$6),C$4,C$5)/12),2))</f>
        <v/>
      </c>
      <c r="AI288">
        <f>IF(D287&lt;=0,0,ROUND(D287*(1+IF(AND(D$6&gt;0,$B288&lt;D$6),D$4,D$5)/12),2))</f>
        <v/>
      </c>
      <c r="AJ288">
        <f>IF(E287&lt;=0,0,ROUND(E287*(1+IF(AND(E$6&gt;0,$B288&lt;E$6),E$4,E$5)/12),2))</f>
        <v/>
      </c>
      <c r="AK288">
        <f>IF(F287&lt;=0,0,ROUND(F287*(1+IF(AND(F$6&gt;0,$B288&lt;F$6),F$4,F$5)/12),2))</f>
        <v/>
      </c>
      <c r="AL288">
        <f>IF(G287&lt;=0,0,ROUND(G287*(1+IF(AND(G$6&gt;0,$B288&lt;G$6),G$4,G$5)/12),2))</f>
        <v/>
      </c>
      <c r="AM288">
        <f>IF(H287&lt;=0,0,ROUND(H287*(1+IF(AND(H$6&gt;0,$B288&lt;H$6),H$4,H$5)/12),2))</f>
        <v/>
      </c>
      <c r="AN288">
        <f>IF(I287&lt;=0,0,ROUND(I287*(1+IF(AND(I$6&gt;0,$B288&lt;I$6),I$4,I$5)/12),2))</f>
        <v/>
      </c>
      <c r="AO288">
        <f>IF(J287&lt;=0,0,ROUND(J287*(1+IF(AND(J$6&gt;0,$B288&lt;J$6),J$4,J$5)/12),2))</f>
        <v/>
      </c>
      <c r="AP288">
        <f>IF(K287&lt;=0,0,ROUND(K287*(1+IF(AND(K$6&gt;0,$B288&lt;K$6),K$4,K$5)/12),2))</f>
        <v/>
      </c>
      <c r="AQ288">
        <f>IF(L287&lt;=0,0,ROUND(L287*(1+IF(AND(L$6&gt;0,$B288&lt;L$6),L$4,L$5)/12),2))</f>
        <v/>
      </c>
      <c r="AR288">
        <f>IF(M287&lt;=0,0,ROUND(M287*(1+IF(AND(M$6&gt;0,$B288&lt;M$6),M$4,M$5)/12),2))</f>
        <v/>
      </c>
      <c r="AS288">
        <f>IF(N287&lt;=0,0,ROUND(N287*(1+IF(AND(N$6&gt;0,$B288&lt;N$6),N$4,N$5)/12),2))</f>
        <v/>
      </c>
    </row>
    <row r="289">
      <c r="A289" t="n">
        <v>278</v>
      </c>
      <c r="B289">
        <f>EDATE(Plan!$C$6,277)</f>
        <v/>
      </c>
      <c r="C289">
        <f>IF(C288&lt;=0,0,MAX(0,AH289-O289))</f>
        <v/>
      </c>
      <c r="D289">
        <f>IF(D288&lt;=0,0,MAX(0,AI289-P289))</f>
        <v/>
      </c>
      <c r="E289">
        <f>IF(E288&lt;=0,0,MAX(0,AJ289-Q289))</f>
        <v/>
      </c>
      <c r="F289">
        <f>IF(F288&lt;=0,0,MAX(0,AK289-R289))</f>
        <v/>
      </c>
      <c r="G289">
        <f>IF(G288&lt;=0,0,MAX(0,AL289-S289))</f>
        <v/>
      </c>
      <c r="H289">
        <f>IF(H288&lt;=0,0,MAX(0,AM289-T289))</f>
        <v/>
      </c>
      <c r="I289">
        <f>IF(I288&lt;=0,0,MAX(0,AN289-U289))</f>
        <v/>
      </c>
      <c r="J289">
        <f>IF(J288&lt;=0,0,MAX(0,AO289-V289))</f>
        <v/>
      </c>
      <c r="K289">
        <f>IF(K288&lt;=0,0,MAX(0,AP289-W289))</f>
        <v/>
      </c>
      <c r="L289">
        <f>IF(L288&lt;=0,0,MAX(0,AQ289-X289))</f>
        <v/>
      </c>
      <c r="M289">
        <f>IF(M288&lt;=0,0,MAX(0,AR289-Y289))</f>
        <v/>
      </c>
      <c r="N289">
        <f>IF(N288&lt;=0,0,MAX(0,AS289-Z289))</f>
        <v/>
      </c>
      <c r="O289">
        <f>IF(C288&lt;=0,0,MIN(AH289,C$7+IF(C$2=$AA289,$AC289,IF(C$2=$AF289,$AG289,0))))</f>
        <v/>
      </c>
      <c r="P289">
        <f>IF(D288&lt;=0,0,MIN(AI289,D$7+IF(D$2=$AA289,$AC289,IF(D$2=$AF289,$AG289,0))))</f>
        <v/>
      </c>
      <c r="Q289">
        <f>IF(E288&lt;=0,0,MIN(AJ289,E$7+IF(E$2=$AA289,$AC289,IF(E$2=$AF289,$AG289,0))))</f>
        <v/>
      </c>
      <c r="R289">
        <f>IF(F288&lt;=0,0,MIN(AK289,F$7+IF(F$2=$AA289,$AC289,IF(F$2=$AF289,$AG289,0))))</f>
        <v/>
      </c>
      <c r="S289">
        <f>IF(G288&lt;=0,0,MIN(AL289,G$7+IF(G$2=$AA289,$AC289,IF(G$2=$AF289,$AG289,0))))</f>
        <v/>
      </c>
      <c r="T289">
        <f>IF(H288&lt;=0,0,MIN(AM289,H$7+IF(H$2=$AA289,$AC289,IF(H$2=$AF289,$AG289,0))))</f>
        <v/>
      </c>
      <c r="U289">
        <f>IF(I288&lt;=0,0,MIN(AN289,I$7+IF(I$2=$AA289,$AC289,IF(I$2=$AF289,$AG289,0))))</f>
        <v/>
      </c>
      <c r="V289">
        <f>IF(J288&lt;=0,0,MIN(AO289,J$7+IF(J$2=$AA289,$AC289,IF(J$2=$AF289,$AG289,0))))</f>
        <v/>
      </c>
      <c r="W289">
        <f>IF(K288&lt;=0,0,MIN(AP289,K$7+IF(K$2=$AA289,$AC289,IF(K$2=$AF289,$AG289,0))))</f>
        <v/>
      </c>
      <c r="X289">
        <f>IF(L288&lt;=0,0,MIN(AQ289,L$7+IF(L$2=$AA289,$AC289,IF(L$2=$AF289,$AG289,0))))</f>
        <v/>
      </c>
      <c r="Y289">
        <f>IF(M288&lt;=0,0,MIN(AR289,M$7+IF(M$2=$AA289,$AC289,IF(M$2=$AF289,$AG289,0))))</f>
        <v/>
      </c>
      <c r="Z289">
        <f>IF(N288&lt;=0,0,MIN(AS289,N$7+IF(N$2=$AA289,$AC289,IF(N$2=$AF289,$AG289,0))))</f>
        <v/>
      </c>
      <c r="AA289">
        <f>IFERROR(ROUND(1/SUMPRODUCT(MAX((C288:N288&gt;0)*($C$3:$N$3&lt;=B289)/$C$2:$N$2)),0),0)</f>
        <v/>
      </c>
      <c r="AB289">
        <f>SUMPRODUCT((C288:N288&gt;0)*$C$7:$N$7)</f>
        <v/>
      </c>
      <c r="AC289">
        <f>MAX(0,Plan!$C$5-AB289)+IF(A289=Plan!$C$8,N(Plan!$C$7),0)</f>
        <v/>
      </c>
      <c r="AD289">
        <f>SUM(C289:N289)</f>
        <v/>
      </c>
      <c r="AE289">
        <f>SUM(O289:Z289)</f>
        <v/>
      </c>
      <c r="AF289">
        <f>IFERROR(ROUND(1/SUMPRODUCT(MAX((C288:N288&gt;0)*($C$3:$N$3&lt;=B289)*($C$2:$N$2&gt;AA289)/$C$2:$N$2)),0),0)</f>
        <v/>
      </c>
      <c r="AG289">
        <f>MAX(0,AC289-MAX(0,SUMPRODUCT(($C$2:$N$2=AA289)*(AH289:AS289-$C$7:$N$7))))</f>
        <v/>
      </c>
      <c r="AH289">
        <f>IF(C288&lt;=0,0,ROUND(C288*(1+IF(AND(C$6&gt;0,$B289&lt;C$6),C$4,C$5)/12),2))</f>
        <v/>
      </c>
      <c r="AI289">
        <f>IF(D288&lt;=0,0,ROUND(D288*(1+IF(AND(D$6&gt;0,$B289&lt;D$6),D$4,D$5)/12),2))</f>
        <v/>
      </c>
      <c r="AJ289">
        <f>IF(E288&lt;=0,0,ROUND(E288*(1+IF(AND(E$6&gt;0,$B289&lt;E$6),E$4,E$5)/12),2))</f>
        <v/>
      </c>
      <c r="AK289">
        <f>IF(F288&lt;=0,0,ROUND(F288*(1+IF(AND(F$6&gt;0,$B289&lt;F$6),F$4,F$5)/12),2))</f>
        <v/>
      </c>
      <c r="AL289">
        <f>IF(G288&lt;=0,0,ROUND(G288*(1+IF(AND(G$6&gt;0,$B289&lt;G$6),G$4,G$5)/12),2))</f>
        <v/>
      </c>
      <c r="AM289">
        <f>IF(H288&lt;=0,0,ROUND(H288*(1+IF(AND(H$6&gt;0,$B289&lt;H$6),H$4,H$5)/12),2))</f>
        <v/>
      </c>
      <c r="AN289">
        <f>IF(I288&lt;=0,0,ROUND(I288*(1+IF(AND(I$6&gt;0,$B289&lt;I$6),I$4,I$5)/12),2))</f>
        <v/>
      </c>
      <c r="AO289">
        <f>IF(J288&lt;=0,0,ROUND(J288*(1+IF(AND(J$6&gt;0,$B289&lt;J$6),J$4,J$5)/12),2))</f>
        <v/>
      </c>
      <c r="AP289">
        <f>IF(K288&lt;=0,0,ROUND(K288*(1+IF(AND(K$6&gt;0,$B289&lt;K$6),K$4,K$5)/12),2))</f>
        <v/>
      </c>
      <c r="AQ289">
        <f>IF(L288&lt;=0,0,ROUND(L288*(1+IF(AND(L$6&gt;0,$B289&lt;L$6),L$4,L$5)/12),2))</f>
        <v/>
      </c>
      <c r="AR289">
        <f>IF(M288&lt;=0,0,ROUND(M288*(1+IF(AND(M$6&gt;0,$B289&lt;M$6),M$4,M$5)/12),2))</f>
        <v/>
      </c>
      <c r="AS289">
        <f>IF(N288&lt;=0,0,ROUND(N288*(1+IF(AND(N$6&gt;0,$B289&lt;N$6),N$4,N$5)/12),2))</f>
        <v/>
      </c>
    </row>
    <row r="290">
      <c r="A290" t="n">
        <v>279</v>
      </c>
      <c r="B290">
        <f>EDATE(Plan!$C$6,278)</f>
        <v/>
      </c>
      <c r="C290">
        <f>IF(C289&lt;=0,0,MAX(0,AH290-O290))</f>
        <v/>
      </c>
      <c r="D290">
        <f>IF(D289&lt;=0,0,MAX(0,AI290-P290))</f>
        <v/>
      </c>
      <c r="E290">
        <f>IF(E289&lt;=0,0,MAX(0,AJ290-Q290))</f>
        <v/>
      </c>
      <c r="F290">
        <f>IF(F289&lt;=0,0,MAX(0,AK290-R290))</f>
        <v/>
      </c>
      <c r="G290">
        <f>IF(G289&lt;=0,0,MAX(0,AL290-S290))</f>
        <v/>
      </c>
      <c r="H290">
        <f>IF(H289&lt;=0,0,MAX(0,AM290-T290))</f>
        <v/>
      </c>
      <c r="I290">
        <f>IF(I289&lt;=0,0,MAX(0,AN290-U290))</f>
        <v/>
      </c>
      <c r="J290">
        <f>IF(J289&lt;=0,0,MAX(0,AO290-V290))</f>
        <v/>
      </c>
      <c r="K290">
        <f>IF(K289&lt;=0,0,MAX(0,AP290-W290))</f>
        <v/>
      </c>
      <c r="L290">
        <f>IF(L289&lt;=0,0,MAX(0,AQ290-X290))</f>
        <v/>
      </c>
      <c r="M290">
        <f>IF(M289&lt;=0,0,MAX(0,AR290-Y290))</f>
        <v/>
      </c>
      <c r="N290">
        <f>IF(N289&lt;=0,0,MAX(0,AS290-Z290))</f>
        <v/>
      </c>
      <c r="O290">
        <f>IF(C289&lt;=0,0,MIN(AH290,C$7+IF(C$2=$AA290,$AC290,IF(C$2=$AF290,$AG290,0))))</f>
        <v/>
      </c>
      <c r="P290">
        <f>IF(D289&lt;=0,0,MIN(AI290,D$7+IF(D$2=$AA290,$AC290,IF(D$2=$AF290,$AG290,0))))</f>
        <v/>
      </c>
      <c r="Q290">
        <f>IF(E289&lt;=0,0,MIN(AJ290,E$7+IF(E$2=$AA290,$AC290,IF(E$2=$AF290,$AG290,0))))</f>
        <v/>
      </c>
      <c r="R290">
        <f>IF(F289&lt;=0,0,MIN(AK290,F$7+IF(F$2=$AA290,$AC290,IF(F$2=$AF290,$AG290,0))))</f>
        <v/>
      </c>
      <c r="S290">
        <f>IF(G289&lt;=0,0,MIN(AL290,G$7+IF(G$2=$AA290,$AC290,IF(G$2=$AF290,$AG290,0))))</f>
        <v/>
      </c>
      <c r="T290">
        <f>IF(H289&lt;=0,0,MIN(AM290,H$7+IF(H$2=$AA290,$AC290,IF(H$2=$AF290,$AG290,0))))</f>
        <v/>
      </c>
      <c r="U290">
        <f>IF(I289&lt;=0,0,MIN(AN290,I$7+IF(I$2=$AA290,$AC290,IF(I$2=$AF290,$AG290,0))))</f>
        <v/>
      </c>
      <c r="V290">
        <f>IF(J289&lt;=0,0,MIN(AO290,J$7+IF(J$2=$AA290,$AC290,IF(J$2=$AF290,$AG290,0))))</f>
        <v/>
      </c>
      <c r="W290">
        <f>IF(K289&lt;=0,0,MIN(AP290,K$7+IF(K$2=$AA290,$AC290,IF(K$2=$AF290,$AG290,0))))</f>
        <v/>
      </c>
      <c r="X290">
        <f>IF(L289&lt;=0,0,MIN(AQ290,L$7+IF(L$2=$AA290,$AC290,IF(L$2=$AF290,$AG290,0))))</f>
        <v/>
      </c>
      <c r="Y290">
        <f>IF(M289&lt;=0,0,MIN(AR290,M$7+IF(M$2=$AA290,$AC290,IF(M$2=$AF290,$AG290,0))))</f>
        <v/>
      </c>
      <c r="Z290">
        <f>IF(N289&lt;=0,0,MIN(AS290,N$7+IF(N$2=$AA290,$AC290,IF(N$2=$AF290,$AG290,0))))</f>
        <v/>
      </c>
      <c r="AA290">
        <f>IFERROR(ROUND(1/SUMPRODUCT(MAX((C289:N289&gt;0)*($C$3:$N$3&lt;=B290)/$C$2:$N$2)),0),0)</f>
        <v/>
      </c>
      <c r="AB290">
        <f>SUMPRODUCT((C289:N289&gt;0)*$C$7:$N$7)</f>
        <v/>
      </c>
      <c r="AC290">
        <f>MAX(0,Plan!$C$5-AB290)+IF(A290=Plan!$C$8,N(Plan!$C$7),0)</f>
        <v/>
      </c>
      <c r="AD290">
        <f>SUM(C290:N290)</f>
        <v/>
      </c>
      <c r="AE290">
        <f>SUM(O290:Z290)</f>
        <v/>
      </c>
      <c r="AF290">
        <f>IFERROR(ROUND(1/SUMPRODUCT(MAX((C289:N289&gt;0)*($C$3:$N$3&lt;=B290)*($C$2:$N$2&gt;AA290)/$C$2:$N$2)),0),0)</f>
        <v/>
      </c>
      <c r="AG290">
        <f>MAX(0,AC290-MAX(0,SUMPRODUCT(($C$2:$N$2=AA290)*(AH290:AS290-$C$7:$N$7))))</f>
        <v/>
      </c>
      <c r="AH290">
        <f>IF(C289&lt;=0,0,ROUND(C289*(1+IF(AND(C$6&gt;0,$B290&lt;C$6),C$4,C$5)/12),2))</f>
        <v/>
      </c>
      <c r="AI290">
        <f>IF(D289&lt;=0,0,ROUND(D289*(1+IF(AND(D$6&gt;0,$B290&lt;D$6),D$4,D$5)/12),2))</f>
        <v/>
      </c>
      <c r="AJ290">
        <f>IF(E289&lt;=0,0,ROUND(E289*(1+IF(AND(E$6&gt;0,$B290&lt;E$6),E$4,E$5)/12),2))</f>
        <v/>
      </c>
      <c r="AK290">
        <f>IF(F289&lt;=0,0,ROUND(F289*(1+IF(AND(F$6&gt;0,$B290&lt;F$6),F$4,F$5)/12),2))</f>
        <v/>
      </c>
      <c r="AL290">
        <f>IF(G289&lt;=0,0,ROUND(G289*(1+IF(AND(G$6&gt;0,$B290&lt;G$6),G$4,G$5)/12),2))</f>
        <v/>
      </c>
      <c r="AM290">
        <f>IF(H289&lt;=0,0,ROUND(H289*(1+IF(AND(H$6&gt;0,$B290&lt;H$6),H$4,H$5)/12),2))</f>
        <v/>
      </c>
      <c r="AN290">
        <f>IF(I289&lt;=0,0,ROUND(I289*(1+IF(AND(I$6&gt;0,$B290&lt;I$6),I$4,I$5)/12),2))</f>
        <v/>
      </c>
      <c r="AO290">
        <f>IF(J289&lt;=0,0,ROUND(J289*(1+IF(AND(J$6&gt;0,$B290&lt;J$6),J$4,J$5)/12),2))</f>
        <v/>
      </c>
      <c r="AP290">
        <f>IF(K289&lt;=0,0,ROUND(K289*(1+IF(AND(K$6&gt;0,$B290&lt;K$6),K$4,K$5)/12),2))</f>
        <v/>
      </c>
      <c r="AQ290">
        <f>IF(L289&lt;=0,0,ROUND(L289*(1+IF(AND(L$6&gt;0,$B290&lt;L$6),L$4,L$5)/12),2))</f>
        <v/>
      </c>
      <c r="AR290">
        <f>IF(M289&lt;=0,0,ROUND(M289*(1+IF(AND(M$6&gt;0,$B290&lt;M$6),M$4,M$5)/12),2))</f>
        <v/>
      </c>
      <c r="AS290">
        <f>IF(N289&lt;=0,0,ROUND(N289*(1+IF(AND(N$6&gt;0,$B290&lt;N$6),N$4,N$5)/12),2))</f>
        <v/>
      </c>
    </row>
    <row r="291">
      <c r="A291" t="n">
        <v>280</v>
      </c>
      <c r="B291">
        <f>EDATE(Plan!$C$6,279)</f>
        <v/>
      </c>
      <c r="C291">
        <f>IF(C290&lt;=0,0,MAX(0,AH291-O291))</f>
        <v/>
      </c>
      <c r="D291">
        <f>IF(D290&lt;=0,0,MAX(0,AI291-P291))</f>
        <v/>
      </c>
      <c r="E291">
        <f>IF(E290&lt;=0,0,MAX(0,AJ291-Q291))</f>
        <v/>
      </c>
      <c r="F291">
        <f>IF(F290&lt;=0,0,MAX(0,AK291-R291))</f>
        <v/>
      </c>
      <c r="G291">
        <f>IF(G290&lt;=0,0,MAX(0,AL291-S291))</f>
        <v/>
      </c>
      <c r="H291">
        <f>IF(H290&lt;=0,0,MAX(0,AM291-T291))</f>
        <v/>
      </c>
      <c r="I291">
        <f>IF(I290&lt;=0,0,MAX(0,AN291-U291))</f>
        <v/>
      </c>
      <c r="J291">
        <f>IF(J290&lt;=0,0,MAX(0,AO291-V291))</f>
        <v/>
      </c>
      <c r="K291">
        <f>IF(K290&lt;=0,0,MAX(0,AP291-W291))</f>
        <v/>
      </c>
      <c r="L291">
        <f>IF(L290&lt;=0,0,MAX(0,AQ291-X291))</f>
        <v/>
      </c>
      <c r="M291">
        <f>IF(M290&lt;=0,0,MAX(0,AR291-Y291))</f>
        <v/>
      </c>
      <c r="N291">
        <f>IF(N290&lt;=0,0,MAX(0,AS291-Z291))</f>
        <v/>
      </c>
      <c r="O291">
        <f>IF(C290&lt;=0,0,MIN(AH291,C$7+IF(C$2=$AA291,$AC291,IF(C$2=$AF291,$AG291,0))))</f>
        <v/>
      </c>
      <c r="P291">
        <f>IF(D290&lt;=0,0,MIN(AI291,D$7+IF(D$2=$AA291,$AC291,IF(D$2=$AF291,$AG291,0))))</f>
        <v/>
      </c>
      <c r="Q291">
        <f>IF(E290&lt;=0,0,MIN(AJ291,E$7+IF(E$2=$AA291,$AC291,IF(E$2=$AF291,$AG291,0))))</f>
        <v/>
      </c>
      <c r="R291">
        <f>IF(F290&lt;=0,0,MIN(AK291,F$7+IF(F$2=$AA291,$AC291,IF(F$2=$AF291,$AG291,0))))</f>
        <v/>
      </c>
      <c r="S291">
        <f>IF(G290&lt;=0,0,MIN(AL291,G$7+IF(G$2=$AA291,$AC291,IF(G$2=$AF291,$AG291,0))))</f>
        <v/>
      </c>
      <c r="T291">
        <f>IF(H290&lt;=0,0,MIN(AM291,H$7+IF(H$2=$AA291,$AC291,IF(H$2=$AF291,$AG291,0))))</f>
        <v/>
      </c>
      <c r="U291">
        <f>IF(I290&lt;=0,0,MIN(AN291,I$7+IF(I$2=$AA291,$AC291,IF(I$2=$AF291,$AG291,0))))</f>
        <v/>
      </c>
      <c r="V291">
        <f>IF(J290&lt;=0,0,MIN(AO291,J$7+IF(J$2=$AA291,$AC291,IF(J$2=$AF291,$AG291,0))))</f>
        <v/>
      </c>
      <c r="W291">
        <f>IF(K290&lt;=0,0,MIN(AP291,K$7+IF(K$2=$AA291,$AC291,IF(K$2=$AF291,$AG291,0))))</f>
        <v/>
      </c>
      <c r="X291">
        <f>IF(L290&lt;=0,0,MIN(AQ291,L$7+IF(L$2=$AA291,$AC291,IF(L$2=$AF291,$AG291,0))))</f>
        <v/>
      </c>
      <c r="Y291">
        <f>IF(M290&lt;=0,0,MIN(AR291,M$7+IF(M$2=$AA291,$AC291,IF(M$2=$AF291,$AG291,0))))</f>
        <v/>
      </c>
      <c r="Z291">
        <f>IF(N290&lt;=0,0,MIN(AS291,N$7+IF(N$2=$AA291,$AC291,IF(N$2=$AF291,$AG291,0))))</f>
        <v/>
      </c>
      <c r="AA291">
        <f>IFERROR(ROUND(1/SUMPRODUCT(MAX((C290:N290&gt;0)*($C$3:$N$3&lt;=B291)/$C$2:$N$2)),0),0)</f>
        <v/>
      </c>
      <c r="AB291">
        <f>SUMPRODUCT((C290:N290&gt;0)*$C$7:$N$7)</f>
        <v/>
      </c>
      <c r="AC291">
        <f>MAX(0,Plan!$C$5-AB291)+IF(A291=Plan!$C$8,N(Plan!$C$7),0)</f>
        <v/>
      </c>
      <c r="AD291">
        <f>SUM(C291:N291)</f>
        <v/>
      </c>
      <c r="AE291">
        <f>SUM(O291:Z291)</f>
        <v/>
      </c>
      <c r="AF291">
        <f>IFERROR(ROUND(1/SUMPRODUCT(MAX((C290:N290&gt;0)*($C$3:$N$3&lt;=B291)*($C$2:$N$2&gt;AA291)/$C$2:$N$2)),0),0)</f>
        <v/>
      </c>
      <c r="AG291">
        <f>MAX(0,AC291-MAX(0,SUMPRODUCT(($C$2:$N$2=AA291)*(AH291:AS291-$C$7:$N$7))))</f>
        <v/>
      </c>
      <c r="AH291">
        <f>IF(C290&lt;=0,0,ROUND(C290*(1+IF(AND(C$6&gt;0,$B291&lt;C$6),C$4,C$5)/12),2))</f>
        <v/>
      </c>
      <c r="AI291">
        <f>IF(D290&lt;=0,0,ROUND(D290*(1+IF(AND(D$6&gt;0,$B291&lt;D$6),D$4,D$5)/12),2))</f>
        <v/>
      </c>
      <c r="AJ291">
        <f>IF(E290&lt;=0,0,ROUND(E290*(1+IF(AND(E$6&gt;0,$B291&lt;E$6),E$4,E$5)/12),2))</f>
        <v/>
      </c>
      <c r="AK291">
        <f>IF(F290&lt;=0,0,ROUND(F290*(1+IF(AND(F$6&gt;0,$B291&lt;F$6),F$4,F$5)/12),2))</f>
        <v/>
      </c>
      <c r="AL291">
        <f>IF(G290&lt;=0,0,ROUND(G290*(1+IF(AND(G$6&gt;0,$B291&lt;G$6),G$4,G$5)/12),2))</f>
        <v/>
      </c>
      <c r="AM291">
        <f>IF(H290&lt;=0,0,ROUND(H290*(1+IF(AND(H$6&gt;0,$B291&lt;H$6),H$4,H$5)/12),2))</f>
        <v/>
      </c>
      <c r="AN291">
        <f>IF(I290&lt;=0,0,ROUND(I290*(1+IF(AND(I$6&gt;0,$B291&lt;I$6),I$4,I$5)/12),2))</f>
        <v/>
      </c>
      <c r="AO291">
        <f>IF(J290&lt;=0,0,ROUND(J290*(1+IF(AND(J$6&gt;0,$B291&lt;J$6),J$4,J$5)/12),2))</f>
        <v/>
      </c>
      <c r="AP291">
        <f>IF(K290&lt;=0,0,ROUND(K290*(1+IF(AND(K$6&gt;0,$B291&lt;K$6),K$4,K$5)/12),2))</f>
        <v/>
      </c>
      <c r="AQ291">
        <f>IF(L290&lt;=0,0,ROUND(L290*(1+IF(AND(L$6&gt;0,$B291&lt;L$6),L$4,L$5)/12),2))</f>
        <v/>
      </c>
      <c r="AR291">
        <f>IF(M290&lt;=0,0,ROUND(M290*(1+IF(AND(M$6&gt;0,$B291&lt;M$6),M$4,M$5)/12),2))</f>
        <v/>
      </c>
      <c r="AS291">
        <f>IF(N290&lt;=0,0,ROUND(N290*(1+IF(AND(N$6&gt;0,$B291&lt;N$6),N$4,N$5)/12),2))</f>
        <v/>
      </c>
    </row>
    <row r="292">
      <c r="A292" t="n">
        <v>281</v>
      </c>
      <c r="B292">
        <f>EDATE(Plan!$C$6,280)</f>
        <v/>
      </c>
      <c r="C292">
        <f>IF(C291&lt;=0,0,MAX(0,AH292-O292))</f>
        <v/>
      </c>
      <c r="D292">
        <f>IF(D291&lt;=0,0,MAX(0,AI292-P292))</f>
        <v/>
      </c>
      <c r="E292">
        <f>IF(E291&lt;=0,0,MAX(0,AJ292-Q292))</f>
        <v/>
      </c>
      <c r="F292">
        <f>IF(F291&lt;=0,0,MAX(0,AK292-R292))</f>
        <v/>
      </c>
      <c r="G292">
        <f>IF(G291&lt;=0,0,MAX(0,AL292-S292))</f>
        <v/>
      </c>
      <c r="H292">
        <f>IF(H291&lt;=0,0,MAX(0,AM292-T292))</f>
        <v/>
      </c>
      <c r="I292">
        <f>IF(I291&lt;=0,0,MAX(0,AN292-U292))</f>
        <v/>
      </c>
      <c r="J292">
        <f>IF(J291&lt;=0,0,MAX(0,AO292-V292))</f>
        <v/>
      </c>
      <c r="K292">
        <f>IF(K291&lt;=0,0,MAX(0,AP292-W292))</f>
        <v/>
      </c>
      <c r="L292">
        <f>IF(L291&lt;=0,0,MAX(0,AQ292-X292))</f>
        <v/>
      </c>
      <c r="M292">
        <f>IF(M291&lt;=0,0,MAX(0,AR292-Y292))</f>
        <v/>
      </c>
      <c r="N292">
        <f>IF(N291&lt;=0,0,MAX(0,AS292-Z292))</f>
        <v/>
      </c>
      <c r="O292">
        <f>IF(C291&lt;=0,0,MIN(AH292,C$7+IF(C$2=$AA292,$AC292,IF(C$2=$AF292,$AG292,0))))</f>
        <v/>
      </c>
      <c r="P292">
        <f>IF(D291&lt;=0,0,MIN(AI292,D$7+IF(D$2=$AA292,$AC292,IF(D$2=$AF292,$AG292,0))))</f>
        <v/>
      </c>
      <c r="Q292">
        <f>IF(E291&lt;=0,0,MIN(AJ292,E$7+IF(E$2=$AA292,$AC292,IF(E$2=$AF292,$AG292,0))))</f>
        <v/>
      </c>
      <c r="R292">
        <f>IF(F291&lt;=0,0,MIN(AK292,F$7+IF(F$2=$AA292,$AC292,IF(F$2=$AF292,$AG292,0))))</f>
        <v/>
      </c>
      <c r="S292">
        <f>IF(G291&lt;=0,0,MIN(AL292,G$7+IF(G$2=$AA292,$AC292,IF(G$2=$AF292,$AG292,0))))</f>
        <v/>
      </c>
      <c r="T292">
        <f>IF(H291&lt;=0,0,MIN(AM292,H$7+IF(H$2=$AA292,$AC292,IF(H$2=$AF292,$AG292,0))))</f>
        <v/>
      </c>
      <c r="U292">
        <f>IF(I291&lt;=0,0,MIN(AN292,I$7+IF(I$2=$AA292,$AC292,IF(I$2=$AF292,$AG292,0))))</f>
        <v/>
      </c>
      <c r="V292">
        <f>IF(J291&lt;=0,0,MIN(AO292,J$7+IF(J$2=$AA292,$AC292,IF(J$2=$AF292,$AG292,0))))</f>
        <v/>
      </c>
      <c r="W292">
        <f>IF(K291&lt;=0,0,MIN(AP292,K$7+IF(K$2=$AA292,$AC292,IF(K$2=$AF292,$AG292,0))))</f>
        <v/>
      </c>
      <c r="X292">
        <f>IF(L291&lt;=0,0,MIN(AQ292,L$7+IF(L$2=$AA292,$AC292,IF(L$2=$AF292,$AG292,0))))</f>
        <v/>
      </c>
      <c r="Y292">
        <f>IF(M291&lt;=0,0,MIN(AR292,M$7+IF(M$2=$AA292,$AC292,IF(M$2=$AF292,$AG292,0))))</f>
        <v/>
      </c>
      <c r="Z292">
        <f>IF(N291&lt;=0,0,MIN(AS292,N$7+IF(N$2=$AA292,$AC292,IF(N$2=$AF292,$AG292,0))))</f>
        <v/>
      </c>
      <c r="AA292">
        <f>IFERROR(ROUND(1/SUMPRODUCT(MAX((C291:N291&gt;0)*($C$3:$N$3&lt;=B292)/$C$2:$N$2)),0),0)</f>
        <v/>
      </c>
      <c r="AB292">
        <f>SUMPRODUCT((C291:N291&gt;0)*$C$7:$N$7)</f>
        <v/>
      </c>
      <c r="AC292">
        <f>MAX(0,Plan!$C$5-AB292)+IF(A292=Plan!$C$8,N(Plan!$C$7),0)</f>
        <v/>
      </c>
      <c r="AD292">
        <f>SUM(C292:N292)</f>
        <v/>
      </c>
      <c r="AE292">
        <f>SUM(O292:Z292)</f>
        <v/>
      </c>
      <c r="AF292">
        <f>IFERROR(ROUND(1/SUMPRODUCT(MAX((C291:N291&gt;0)*($C$3:$N$3&lt;=B292)*($C$2:$N$2&gt;AA292)/$C$2:$N$2)),0),0)</f>
        <v/>
      </c>
      <c r="AG292">
        <f>MAX(0,AC292-MAX(0,SUMPRODUCT(($C$2:$N$2=AA292)*(AH292:AS292-$C$7:$N$7))))</f>
        <v/>
      </c>
      <c r="AH292">
        <f>IF(C291&lt;=0,0,ROUND(C291*(1+IF(AND(C$6&gt;0,$B292&lt;C$6),C$4,C$5)/12),2))</f>
        <v/>
      </c>
      <c r="AI292">
        <f>IF(D291&lt;=0,0,ROUND(D291*(1+IF(AND(D$6&gt;0,$B292&lt;D$6),D$4,D$5)/12),2))</f>
        <v/>
      </c>
      <c r="AJ292">
        <f>IF(E291&lt;=0,0,ROUND(E291*(1+IF(AND(E$6&gt;0,$B292&lt;E$6),E$4,E$5)/12),2))</f>
        <v/>
      </c>
      <c r="AK292">
        <f>IF(F291&lt;=0,0,ROUND(F291*(1+IF(AND(F$6&gt;0,$B292&lt;F$6),F$4,F$5)/12),2))</f>
        <v/>
      </c>
      <c r="AL292">
        <f>IF(G291&lt;=0,0,ROUND(G291*(1+IF(AND(G$6&gt;0,$B292&lt;G$6),G$4,G$5)/12),2))</f>
        <v/>
      </c>
      <c r="AM292">
        <f>IF(H291&lt;=0,0,ROUND(H291*(1+IF(AND(H$6&gt;0,$B292&lt;H$6),H$4,H$5)/12),2))</f>
        <v/>
      </c>
      <c r="AN292">
        <f>IF(I291&lt;=0,0,ROUND(I291*(1+IF(AND(I$6&gt;0,$B292&lt;I$6),I$4,I$5)/12),2))</f>
        <v/>
      </c>
      <c r="AO292">
        <f>IF(J291&lt;=0,0,ROUND(J291*(1+IF(AND(J$6&gt;0,$B292&lt;J$6),J$4,J$5)/12),2))</f>
        <v/>
      </c>
      <c r="AP292">
        <f>IF(K291&lt;=0,0,ROUND(K291*(1+IF(AND(K$6&gt;0,$B292&lt;K$6),K$4,K$5)/12),2))</f>
        <v/>
      </c>
      <c r="AQ292">
        <f>IF(L291&lt;=0,0,ROUND(L291*(1+IF(AND(L$6&gt;0,$B292&lt;L$6),L$4,L$5)/12),2))</f>
        <v/>
      </c>
      <c r="AR292">
        <f>IF(M291&lt;=0,0,ROUND(M291*(1+IF(AND(M$6&gt;0,$B292&lt;M$6),M$4,M$5)/12),2))</f>
        <v/>
      </c>
      <c r="AS292">
        <f>IF(N291&lt;=0,0,ROUND(N291*(1+IF(AND(N$6&gt;0,$B292&lt;N$6),N$4,N$5)/12),2))</f>
        <v/>
      </c>
    </row>
    <row r="293">
      <c r="A293" t="n">
        <v>282</v>
      </c>
      <c r="B293">
        <f>EDATE(Plan!$C$6,281)</f>
        <v/>
      </c>
      <c r="C293">
        <f>IF(C292&lt;=0,0,MAX(0,AH293-O293))</f>
        <v/>
      </c>
      <c r="D293">
        <f>IF(D292&lt;=0,0,MAX(0,AI293-P293))</f>
        <v/>
      </c>
      <c r="E293">
        <f>IF(E292&lt;=0,0,MAX(0,AJ293-Q293))</f>
        <v/>
      </c>
      <c r="F293">
        <f>IF(F292&lt;=0,0,MAX(0,AK293-R293))</f>
        <v/>
      </c>
      <c r="G293">
        <f>IF(G292&lt;=0,0,MAX(0,AL293-S293))</f>
        <v/>
      </c>
      <c r="H293">
        <f>IF(H292&lt;=0,0,MAX(0,AM293-T293))</f>
        <v/>
      </c>
      <c r="I293">
        <f>IF(I292&lt;=0,0,MAX(0,AN293-U293))</f>
        <v/>
      </c>
      <c r="J293">
        <f>IF(J292&lt;=0,0,MAX(0,AO293-V293))</f>
        <v/>
      </c>
      <c r="K293">
        <f>IF(K292&lt;=0,0,MAX(0,AP293-W293))</f>
        <v/>
      </c>
      <c r="L293">
        <f>IF(L292&lt;=0,0,MAX(0,AQ293-X293))</f>
        <v/>
      </c>
      <c r="M293">
        <f>IF(M292&lt;=0,0,MAX(0,AR293-Y293))</f>
        <v/>
      </c>
      <c r="N293">
        <f>IF(N292&lt;=0,0,MAX(0,AS293-Z293))</f>
        <v/>
      </c>
      <c r="O293">
        <f>IF(C292&lt;=0,0,MIN(AH293,C$7+IF(C$2=$AA293,$AC293,IF(C$2=$AF293,$AG293,0))))</f>
        <v/>
      </c>
      <c r="P293">
        <f>IF(D292&lt;=0,0,MIN(AI293,D$7+IF(D$2=$AA293,$AC293,IF(D$2=$AF293,$AG293,0))))</f>
        <v/>
      </c>
      <c r="Q293">
        <f>IF(E292&lt;=0,0,MIN(AJ293,E$7+IF(E$2=$AA293,$AC293,IF(E$2=$AF293,$AG293,0))))</f>
        <v/>
      </c>
      <c r="R293">
        <f>IF(F292&lt;=0,0,MIN(AK293,F$7+IF(F$2=$AA293,$AC293,IF(F$2=$AF293,$AG293,0))))</f>
        <v/>
      </c>
      <c r="S293">
        <f>IF(G292&lt;=0,0,MIN(AL293,G$7+IF(G$2=$AA293,$AC293,IF(G$2=$AF293,$AG293,0))))</f>
        <v/>
      </c>
      <c r="T293">
        <f>IF(H292&lt;=0,0,MIN(AM293,H$7+IF(H$2=$AA293,$AC293,IF(H$2=$AF293,$AG293,0))))</f>
        <v/>
      </c>
      <c r="U293">
        <f>IF(I292&lt;=0,0,MIN(AN293,I$7+IF(I$2=$AA293,$AC293,IF(I$2=$AF293,$AG293,0))))</f>
        <v/>
      </c>
      <c r="V293">
        <f>IF(J292&lt;=0,0,MIN(AO293,J$7+IF(J$2=$AA293,$AC293,IF(J$2=$AF293,$AG293,0))))</f>
        <v/>
      </c>
      <c r="W293">
        <f>IF(K292&lt;=0,0,MIN(AP293,K$7+IF(K$2=$AA293,$AC293,IF(K$2=$AF293,$AG293,0))))</f>
        <v/>
      </c>
      <c r="X293">
        <f>IF(L292&lt;=0,0,MIN(AQ293,L$7+IF(L$2=$AA293,$AC293,IF(L$2=$AF293,$AG293,0))))</f>
        <v/>
      </c>
      <c r="Y293">
        <f>IF(M292&lt;=0,0,MIN(AR293,M$7+IF(M$2=$AA293,$AC293,IF(M$2=$AF293,$AG293,0))))</f>
        <v/>
      </c>
      <c r="Z293">
        <f>IF(N292&lt;=0,0,MIN(AS293,N$7+IF(N$2=$AA293,$AC293,IF(N$2=$AF293,$AG293,0))))</f>
        <v/>
      </c>
      <c r="AA293">
        <f>IFERROR(ROUND(1/SUMPRODUCT(MAX((C292:N292&gt;0)*($C$3:$N$3&lt;=B293)/$C$2:$N$2)),0),0)</f>
        <v/>
      </c>
      <c r="AB293">
        <f>SUMPRODUCT((C292:N292&gt;0)*$C$7:$N$7)</f>
        <v/>
      </c>
      <c r="AC293">
        <f>MAX(0,Plan!$C$5-AB293)+IF(A293=Plan!$C$8,N(Plan!$C$7),0)</f>
        <v/>
      </c>
      <c r="AD293">
        <f>SUM(C293:N293)</f>
        <v/>
      </c>
      <c r="AE293">
        <f>SUM(O293:Z293)</f>
        <v/>
      </c>
      <c r="AF293">
        <f>IFERROR(ROUND(1/SUMPRODUCT(MAX((C292:N292&gt;0)*($C$3:$N$3&lt;=B293)*($C$2:$N$2&gt;AA293)/$C$2:$N$2)),0),0)</f>
        <v/>
      </c>
      <c r="AG293">
        <f>MAX(0,AC293-MAX(0,SUMPRODUCT(($C$2:$N$2=AA293)*(AH293:AS293-$C$7:$N$7))))</f>
        <v/>
      </c>
      <c r="AH293">
        <f>IF(C292&lt;=0,0,ROUND(C292*(1+IF(AND(C$6&gt;0,$B293&lt;C$6),C$4,C$5)/12),2))</f>
        <v/>
      </c>
      <c r="AI293">
        <f>IF(D292&lt;=0,0,ROUND(D292*(1+IF(AND(D$6&gt;0,$B293&lt;D$6),D$4,D$5)/12),2))</f>
        <v/>
      </c>
      <c r="AJ293">
        <f>IF(E292&lt;=0,0,ROUND(E292*(1+IF(AND(E$6&gt;0,$B293&lt;E$6),E$4,E$5)/12),2))</f>
        <v/>
      </c>
      <c r="AK293">
        <f>IF(F292&lt;=0,0,ROUND(F292*(1+IF(AND(F$6&gt;0,$B293&lt;F$6),F$4,F$5)/12),2))</f>
        <v/>
      </c>
      <c r="AL293">
        <f>IF(G292&lt;=0,0,ROUND(G292*(1+IF(AND(G$6&gt;0,$B293&lt;G$6),G$4,G$5)/12),2))</f>
        <v/>
      </c>
      <c r="AM293">
        <f>IF(H292&lt;=0,0,ROUND(H292*(1+IF(AND(H$6&gt;0,$B293&lt;H$6),H$4,H$5)/12),2))</f>
        <v/>
      </c>
      <c r="AN293">
        <f>IF(I292&lt;=0,0,ROUND(I292*(1+IF(AND(I$6&gt;0,$B293&lt;I$6),I$4,I$5)/12),2))</f>
        <v/>
      </c>
      <c r="AO293">
        <f>IF(J292&lt;=0,0,ROUND(J292*(1+IF(AND(J$6&gt;0,$B293&lt;J$6),J$4,J$5)/12),2))</f>
        <v/>
      </c>
      <c r="AP293">
        <f>IF(K292&lt;=0,0,ROUND(K292*(1+IF(AND(K$6&gt;0,$B293&lt;K$6),K$4,K$5)/12),2))</f>
        <v/>
      </c>
      <c r="AQ293">
        <f>IF(L292&lt;=0,0,ROUND(L292*(1+IF(AND(L$6&gt;0,$B293&lt;L$6),L$4,L$5)/12),2))</f>
        <v/>
      </c>
      <c r="AR293">
        <f>IF(M292&lt;=0,0,ROUND(M292*(1+IF(AND(M$6&gt;0,$B293&lt;M$6),M$4,M$5)/12),2))</f>
        <v/>
      </c>
      <c r="AS293">
        <f>IF(N292&lt;=0,0,ROUND(N292*(1+IF(AND(N$6&gt;0,$B293&lt;N$6),N$4,N$5)/12),2))</f>
        <v/>
      </c>
    </row>
    <row r="294">
      <c r="A294" t="n">
        <v>283</v>
      </c>
      <c r="B294">
        <f>EDATE(Plan!$C$6,282)</f>
        <v/>
      </c>
      <c r="C294">
        <f>IF(C293&lt;=0,0,MAX(0,AH294-O294))</f>
        <v/>
      </c>
      <c r="D294">
        <f>IF(D293&lt;=0,0,MAX(0,AI294-P294))</f>
        <v/>
      </c>
      <c r="E294">
        <f>IF(E293&lt;=0,0,MAX(0,AJ294-Q294))</f>
        <v/>
      </c>
      <c r="F294">
        <f>IF(F293&lt;=0,0,MAX(0,AK294-R294))</f>
        <v/>
      </c>
      <c r="G294">
        <f>IF(G293&lt;=0,0,MAX(0,AL294-S294))</f>
        <v/>
      </c>
      <c r="H294">
        <f>IF(H293&lt;=0,0,MAX(0,AM294-T294))</f>
        <v/>
      </c>
      <c r="I294">
        <f>IF(I293&lt;=0,0,MAX(0,AN294-U294))</f>
        <v/>
      </c>
      <c r="J294">
        <f>IF(J293&lt;=0,0,MAX(0,AO294-V294))</f>
        <v/>
      </c>
      <c r="K294">
        <f>IF(K293&lt;=0,0,MAX(0,AP294-W294))</f>
        <v/>
      </c>
      <c r="L294">
        <f>IF(L293&lt;=0,0,MAX(0,AQ294-X294))</f>
        <v/>
      </c>
      <c r="M294">
        <f>IF(M293&lt;=0,0,MAX(0,AR294-Y294))</f>
        <v/>
      </c>
      <c r="N294">
        <f>IF(N293&lt;=0,0,MAX(0,AS294-Z294))</f>
        <v/>
      </c>
      <c r="O294">
        <f>IF(C293&lt;=0,0,MIN(AH294,C$7+IF(C$2=$AA294,$AC294,IF(C$2=$AF294,$AG294,0))))</f>
        <v/>
      </c>
      <c r="P294">
        <f>IF(D293&lt;=0,0,MIN(AI294,D$7+IF(D$2=$AA294,$AC294,IF(D$2=$AF294,$AG294,0))))</f>
        <v/>
      </c>
      <c r="Q294">
        <f>IF(E293&lt;=0,0,MIN(AJ294,E$7+IF(E$2=$AA294,$AC294,IF(E$2=$AF294,$AG294,0))))</f>
        <v/>
      </c>
      <c r="R294">
        <f>IF(F293&lt;=0,0,MIN(AK294,F$7+IF(F$2=$AA294,$AC294,IF(F$2=$AF294,$AG294,0))))</f>
        <v/>
      </c>
      <c r="S294">
        <f>IF(G293&lt;=0,0,MIN(AL294,G$7+IF(G$2=$AA294,$AC294,IF(G$2=$AF294,$AG294,0))))</f>
        <v/>
      </c>
      <c r="T294">
        <f>IF(H293&lt;=0,0,MIN(AM294,H$7+IF(H$2=$AA294,$AC294,IF(H$2=$AF294,$AG294,0))))</f>
        <v/>
      </c>
      <c r="U294">
        <f>IF(I293&lt;=0,0,MIN(AN294,I$7+IF(I$2=$AA294,$AC294,IF(I$2=$AF294,$AG294,0))))</f>
        <v/>
      </c>
      <c r="V294">
        <f>IF(J293&lt;=0,0,MIN(AO294,J$7+IF(J$2=$AA294,$AC294,IF(J$2=$AF294,$AG294,0))))</f>
        <v/>
      </c>
      <c r="W294">
        <f>IF(K293&lt;=0,0,MIN(AP294,K$7+IF(K$2=$AA294,$AC294,IF(K$2=$AF294,$AG294,0))))</f>
        <v/>
      </c>
      <c r="X294">
        <f>IF(L293&lt;=0,0,MIN(AQ294,L$7+IF(L$2=$AA294,$AC294,IF(L$2=$AF294,$AG294,0))))</f>
        <v/>
      </c>
      <c r="Y294">
        <f>IF(M293&lt;=0,0,MIN(AR294,M$7+IF(M$2=$AA294,$AC294,IF(M$2=$AF294,$AG294,0))))</f>
        <v/>
      </c>
      <c r="Z294">
        <f>IF(N293&lt;=0,0,MIN(AS294,N$7+IF(N$2=$AA294,$AC294,IF(N$2=$AF294,$AG294,0))))</f>
        <v/>
      </c>
      <c r="AA294">
        <f>IFERROR(ROUND(1/SUMPRODUCT(MAX((C293:N293&gt;0)*($C$3:$N$3&lt;=B294)/$C$2:$N$2)),0),0)</f>
        <v/>
      </c>
      <c r="AB294">
        <f>SUMPRODUCT((C293:N293&gt;0)*$C$7:$N$7)</f>
        <v/>
      </c>
      <c r="AC294">
        <f>MAX(0,Plan!$C$5-AB294)+IF(A294=Plan!$C$8,N(Plan!$C$7),0)</f>
        <v/>
      </c>
      <c r="AD294">
        <f>SUM(C294:N294)</f>
        <v/>
      </c>
      <c r="AE294">
        <f>SUM(O294:Z294)</f>
        <v/>
      </c>
      <c r="AF294">
        <f>IFERROR(ROUND(1/SUMPRODUCT(MAX((C293:N293&gt;0)*($C$3:$N$3&lt;=B294)*($C$2:$N$2&gt;AA294)/$C$2:$N$2)),0),0)</f>
        <v/>
      </c>
      <c r="AG294">
        <f>MAX(0,AC294-MAX(0,SUMPRODUCT(($C$2:$N$2=AA294)*(AH294:AS294-$C$7:$N$7))))</f>
        <v/>
      </c>
      <c r="AH294">
        <f>IF(C293&lt;=0,0,ROUND(C293*(1+IF(AND(C$6&gt;0,$B294&lt;C$6),C$4,C$5)/12),2))</f>
        <v/>
      </c>
      <c r="AI294">
        <f>IF(D293&lt;=0,0,ROUND(D293*(1+IF(AND(D$6&gt;0,$B294&lt;D$6),D$4,D$5)/12),2))</f>
        <v/>
      </c>
      <c r="AJ294">
        <f>IF(E293&lt;=0,0,ROUND(E293*(1+IF(AND(E$6&gt;0,$B294&lt;E$6),E$4,E$5)/12),2))</f>
        <v/>
      </c>
      <c r="AK294">
        <f>IF(F293&lt;=0,0,ROUND(F293*(1+IF(AND(F$6&gt;0,$B294&lt;F$6),F$4,F$5)/12),2))</f>
        <v/>
      </c>
      <c r="AL294">
        <f>IF(G293&lt;=0,0,ROUND(G293*(1+IF(AND(G$6&gt;0,$B294&lt;G$6),G$4,G$5)/12),2))</f>
        <v/>
      </c>
      <c r="AM294">
        <f>IF(H293&lt;=0,0,ROUND(H293*(1+IF(AND(H$6&gt;0,$B294&lt;H$6),H$4,H$5)/12),2))</f>
        <v/>
      </c>
      <c r="AN294">
        <f>IF(I293&lt;=0,0,ROUND(I293*(1+IF(AND(I$6&gt;0,$B294&lt;I$6),I$4,I$5)/12),2))</f>
        <v/>
      </c>
      <c r="AO294">
        <f>IF(J293&lt;=0,0,ROUND(J293*(1+IF(AND(J$6&gt;0,$B294&lt;J$6),J$4,J$5)/12),2))</f>
        <v/>
      </c>
      <c r="AP294">
        <f>IF(K293&lt;=0,0,ROUND(K293*(1+IF(AND(K$6&gt;0,$B294&lt;K$6),K$4,K$5)/12),2))</f>
        <v/>
      </c>
      <c r="AQ294">
        <f>IF(L293&lt;=0,0,ROUND(L293*(1+IF(AND(L$6&gt;0,$B294&lt;L$6),L$4,L$5)/12),2))</f>
        <v/>
      </c>
      <c r="AR294">
        <f>IF(M293&lt;=0,0,ROUND(M293*(1+IF(AND(M$6&gt;0,$B294&lt;M$6),M$4,M$5)/12),2))</f>
        <v/>
      </c>
      <c r="AS294">
        <f>IF(N293&lt;=0,0,ROUND(N293*(1+IF(AND(N$6&gt;0,$B294&lt;N$6),N$4,N$5)/12),2))</f>
        <v/>
      </c>
    </row>
    <row r="295">
      <c r="A295" t="n">
        <v>284</v>
      </c>
      <c r="B295">
        <f>EDATE(Plan!$C$6,283)</f>
        <v/>
      </c>
      <c r="C295">
        <f>IF(C294&lt;=0,0,MAX(0,AH295-O295))</f>
        <v/>
      </c>
      <c r="D295">
        <f>IF(D294&lt;=0,0,MAX(0,AI295-P295))</f>
        <v/>
      </c>
      <c r="E295">
        <f>IF(E294&lt;=0,0,MAX(0,AJ295-Q295))</f>
        <v/>
      </c>
      <c r="F295">
        <f>IF(F294&lt;=0,0,MAX(0,AK295-R295))</f>
        <v/>
      </c>
      <c r="G295">
        <f>IF(G294&lt;=0,0,MAX(0,AL295-S295))</f>
        <v/>
      </c>
      <c r="H295">
        <f>IF(H294&lt;=0,0,MAX(0,AM295-T295))</f>
        <v/>
      </c>
      <c r="I295">
        <f>IF(I294&lt;=0,0,MAX(0,AN295-U295))</f>
        <v/>
      </c>
      <c r="J295">
        <f>IF(J294&lt;=0,0,MAX(0,AO295-V295))</f>
        <v/>
      </c>
      <c r="K295">
        <f>IF(K294&lt;=0,0,MAX(0,AP295-W295))</f>
        <v/>
      </c>
      <c r="L295">
        <f>IF(L294&lt;=0,0,MAX(0,AQ295-X295))</f>
        <v/>
      </c>
      <c r="M295">
        <f>IF(M294&lt;=0,0,MAX(0,AR295-Y295))</f>
        <v/>
      </c>
      <c r="N295">
        <f>IF(N294&lt;=0,0,MAX(0,AS295-Z295))</f>
        <v/>
      </c>
      <c r="O295">
        <f>IF(C294&lt;=0,0,MIN(AH295,C$7+IF(C$2=$AA295,$AC295,IF(C$2=$AF295,$AG295,0))))</f>
        <v/>
      </c>
      <c r="P295">
        <f>IF(D294&lt;=0,0,MIN(AI295,D$7+IF(D$2=$AA295,$AC295,IF(D$2=$AF295,$AG295,0))))</f>
        <v/>
      </c>
      <c r="Q295">
        <f>IF(E294&lt;=0,0,MIN(AJ295,E$7+IF(E$2=$AA295,$AC295,IF(E$2=$AF295,$AG295,0))))</f>
        <v/>
      </c>
      <c r="R295">
        <f>IF(F294&lt;=0,0,MIN(AK295,F$7+IF(F$2=$AA295,$AC295,IF(F$2=$AF295,$AG295,0))))</f>
        <v/>
      </c>
      <c r="S295">
        <f>IF(G294&lt;=0,0,MIN(AL295,G$7+IF(G$2=$AA295,$AC295,IF(G$2=$AF295,$AG295,0))))</f>
        <v/>
      </c>
      <c r="T295">
        <f>IF(H294&lt;=0,0,MIN(AM295,H$7+IF(H$2=$AA295,$AC295,IF(H$2=$AF295,$AG295,0))))</f>
        <v/>
      </c>
      <c r="U295">
        <f>IF(I294&lt;=0,0,MIN(AN295,I$7+IF(I$2=$AA295,$AC295,IF(I$2=$AF295,$AG295,0))))</f>
        <v/>
      </c>
      <c r="V295">
        <f>IF(J294&lt;=0,0,MIN(AO295,J$7+IF(J$2=$AA295,$AC295,IF(J$2=$AF295,$AG295,0))))</f>
        <v/>
      </c>
      <c r="W295">
        <f>IF(K294&lt;=0,0,MIN(AP295,K$7+IF(K$2=$AA295,$AC295,IF(K$2=$AF295,$AG295,0))))</f>
        <v/>
      </c>
      <c r="X295">
        <f>IF(L294&lt;=0,0,MIN(AQ295,L$7+IF(L$2=$AA295,$AC295,IF(L$2=$AF295,$AG295,0))))</f>
        <v/>
      </c>
      <c r="Y295">
        <f>IF(M294&lt;=0,0,MIN(AR295,M$7+IF(M$2=$AA295,$AC295,IF(M$2=$AF295,$AG295,0))))</f>
        <v/>
      </c>
      <c r="Z295">
        <f>IF(N294&lt;=0,0,MIN(AS295,N$7+IF(N$2=$AA295,$AC295,IF(N$2=$AF295,$AG295,0))))</f>
        <v/>
      </c>
      <c r="AA295">
        <f>IFERROR(ROUND(1/SUMPRODUCT(MAX((C294:N294&gt;0)*($C$3:$N$3&lt;=B295)/$C$2:$N$2)),0),0)</f>
        <v/>
      </c>
      <c r="AB295">
        <f>SUMPRODUCT((C294:N294&gt;0)*$C$7:$N$7)</f>
        <v/>
      </c>
      <c r="AC295">
        <f>MAX(0,Plan!$C$5-AB295)+IF(A295=Plan!$C$8,N(Plan!$C$7),0)</f>
        <v/>
      </c>
      <c r="AD295">
        <f>SUM(C295:N295)</f>
        <v/>
      </c>
      <c r="AE295">
        <f>SUM(O295:Z295)</f>
        <v/>
      </c>
      <c r="AF295">
        <f>IFERROR(ROUND(1/SUMPRODUCT(MAX((C294:N294&gt;0)*($C$3:$N$3&lt;=B295)*($C$2:$N$2&gt;AA295)/$C$2:$N$2)),0),0)</f>
        <v/>
      </c>
      <c r="AG295">
        <f>MAX(0,AC295-MAX(0,SUMPRODUCT(($C$2:$N$2=AA295)*(AH295:AS295-$C$7:$N$7))))</f>
        <v/>
      </c>
      <c r="AH295">
        <f>IF(C294&lt;=0,0,ROUND(C294*(1+IF(AND(C$6&gt;0,$B295&lt;C$6),C$4,C$5)/12),2))</f>
        <v/>
      </c>
      <c r="AI295">
        <f>IF(D294&lt;=0,0,ROUND(D294*(1+IF(AND(D$6&gt;0,$B295&lt;D$6),D$4,D$5)/12),2))</f>
        <v/>
      </c>
      <c r="AJ295">
        <f>IF(E294&lt;=0,0,ROUND(E294*(1+IF(AND(E$6&gt;0,$B295&lt;E$6),E$4,E$5)/12),2))</f>
        <v/>
      </c>
      <c r="AK295">
        <f>IF(F294&lt;=0,0,ROUND(F294*(1+IF(AND(F$6&gt;0,$B295&lt;F$6),F$4,F$5)/12),2))</f>
        <v/>
      </c>
      <c r="AL295">
        <f>IF(G294&lt;=0,0,ROUND(G294*(1+IF(AND(G$6&gt;0,$B295&lt;G$6),G$4,G$5)/12),2))</f>
        <v/>
      </c>
      <c r="AM295">
        <f>IF(H294&lt;=0,0,ROUND(H294*(1+IF(AND(H$6&gt;0,$B295&lt;H$6),H$4,H$5)/12),2))</f>
        <v/>
      </c>
      <c r="AN295">
        <f>IF(I294&lt;=0,0,ROUND(I294*(1+IF(AND(I$6&gt;0,$B295&lt;I$6),I$4,I$5)/12),2))</f>
        <v/>
      </c>
      <c r="AO295">
        <f>IF(J294&lt;=0,0,ROUND(J294*(1+IF(AND(J$6&gt;0,$B295&lt;J$6),J$4,J$5)/12),2))</f>
        <v/>
      </c>
      <c r="AP295">
        <f>IF(K294&lt;=0,0,ROUND(K294*(1+IF(AND(K$6&gt;0,$B295&lt;K$6),K$4,K$5)/12),2))</f>
        <v/>
      </c>
      <c r="AQ295">
        <f>IF(L294&lt;=0,0,ROUND(L294*(1+IF(AND(L$6&gt;0,$B295&lt;L$6),L$4,L$5)/12),2))</f>
        <v/>
      </c>
      <c r="AR295">
        <f>IF(M294&lt;=0,0,ROUND(M294*(1+IF(AND(M$6&gt;0,$B295&lt;M$6),M$4,M$5)/12),2))</f>
        <v/>
      </c>
      <c r="AS295">
        <f>IF(N294&lt;=0,0,ROUND(N294*(1+IF(AND(N$6&gt;0,$B295&lt;N$6),N$4,N$5)/12),2))</f>
        <v/>
      </c>
    </row>
    <row r="296">
      <c r="A296" t="n">
        <v>285</v>
      </c>
      <c r="B296">
        <f>EDATE(Plan!$C$6,284)</f>
        <v/>
      </c>
      <c r="C296">
        <f>IF(C295&lt;=0,0,MAX(0,AH296-O296))</f>
        <v/>
      </c>
      <c r="D296">
        <f>IF(D295&lt;=0,0,MAX(0,AI296-P296))</f>
        <v/>
      </c>
      <c r="E296">
        <f>IF(E295&lt;=0,0,MAX(0,AJ296-Q296))</f>
        <v/>
      </c>
      <c r="F296">
        <f>IF(F295&lt;=0,0,MAX(0,AK296-R296))</f>
        <v/>
      </c>
      <c r="G296">
        <f>IF(G295&lt;=0,0,MAX(0,AL296-S296))</f>
        <v/>
      </c>
      <c r="H296">
        <f>IF(H295&lt;=0,0,MAX(0,AM296-T296))</f>
        <v/>
      </c>
      <c r="I296">
        <f>IF(I295&lt;=0,0,MAX(0,AN296-U296))</f>
        <v/>
      </c>
      <c r="J296">
        <f>IF(J295&lt;=0,0,MAX(0,AO296-V296))</f>
        <v/>
      </c>
      <c r="K296">
        <f>IF(K295&lt;=0,0,MAX(0,AP296-W296))</f>
        <v/>
      </c>
      <c r="L296">
        <f>IF(L295&lt;=0,0,MAX(0,AQ296-X296))</f>
        <v/>
      </c>
      <c r="M296">
        <f>IF(M295&lt;=0,0,MAX(0,AR296-Y296))</f>
        <v/>
      </c>
      <c r="N296">
        <f>IF(N295&lt;=0,0,MAX(0,AS296-Z296))</f>
        <v/>
      </c>
      <c r="O296">
        <f>IF(C295&lt;=0,0,MIN(AH296,C$7+IF(C$2=$AA296,$AC296,IF(C$2=$AF296,$AG296,0))))</f>
        <v/>
      </c>
      <c r="P296">
        <f>IF(D295&lt;=0,0,MIN(AI296,D$7+IF(D$2=$AA296,$AC296,IF(D$2=$AF296,$AG296,0))))</f>
        <v/>
      </c>
      <c r="Q296">
        <f>IF(E295&lt;=0,0,MIN(AJ296,E$7+IF(E$2=$AA296,$AC296,IF(E$2=$AF296,$AG296,0))))</f>
        <v/>
      </c>
      <c r="R296">
        <f>IF(F295&lt;=0,0,MIN(AK296,F$7+IF(F$2=$AA296,$AC296,IF(F$2=$AF296,$AG296,0))))</f>
        <v/>
      </c>
      <c r="S296">
        <f>IF(G295&lt;=0,0,MIN(AL296,G$7+IF(G$2=$AA296,$AC296,IF(G$2=$AF296,$AG296,0))))</f>
        <v/>
      </c>
      <c r="T296">
        <f>IF(H295&lt;=0,0,MIN(AM296,H$7+IF(H$2=$AA296,$AC296,IF(H$2=$AF296,$AG296,0))))</f>
        <v/>
      </c>
      <c r="U296">
        <f>IF(I295&lt;=0,0,MIN(AN296,I$7+IF(I$2=$AA296,$AC296,IF(I$2=$AF296,$AG296,0))))</f>
        <v/>
      </c>
      <c r="V296">
        <f>IF(J295&lt;=0,0,MIN(AO296,J$7+IF(J$2=$AA296,$AC296,IF(J$2=$AF296,$AG296,0))))</f>
        <v/>
      </c>
      <c r="W296">
        <f>IF(K295&lt;=0,0,MIN(AP296,K$7+IF(K$2=$AA296,$AC296,IF(K$2=$AF296,$AG296,0))))</f>
        <v/>
      </c>
      <c r="X296">
        <f>IF(L295&lt;=0,0,MIN(AQ296,L$7+IF(L$2=$AA296,$AC296,IF(L$2=$AF296,$AG296,0))))</f>
        <v/>
      </c>
      <c r="Y296">
        <f>IF(M295&lt;=0,0,MIN(AR296,M$7+IF(M$2=$AA296,$AC296,IF(M$2=$AF296,$AG296,0))))</f>
        <v/>
      </c>
      <c r="Z296">
        <f>IF(N295&lt;=0,0,MIN(AS296,N$7+IF(N$2=$AA296,$AC296,IF(N$2=$AF296,$AG296,0))))</f>
        <v/>
      </c>
      <c r="AA296">
        <f>IFERROR(ROUND(1/SUMPRODUCT(MAX((C295:N295&gt;0)*($C$3:$N$3&lt;=B296)/$C$2:$N$2)),0),0)</f>
        <v/>
      </c>
      <c r="AB296">
        <f>SUMPRODUCT((C295:N295&gt;0)*$C$7:$N$7)</f>
        <v/>
      </c>
      <c r="AC296">
        <f>MAX(0,Plan!$C$5-AB296)+IF(A296=Plan!$C$8,N(Plan!$C$7),0)</f>
        <v/>
      </c>
      <c r="AD296">
        <f>SUM(C296:N296)</f>
        <v/>
      </c>
      <c r="AE296">
        <f>SUM(O296:Z296)</f>
        <v/>
      </c>
      <c r="AF296">
        <f>IFERROR(ROUND(1/SUMPRODUCT(MAX((C295:N295&gt;0)*($C$3:$N$3&lt;=B296)*($C$2:$N$2&gt;AA296)/$C$2:$N$2)),0),0)</f>
        <v/>
      </c>
      <c r="AG296">
        <f>MAX(0,AC296-MAX(0,SUMPRODUCT(($C$2:$N$2=AA296)*(AH296:AS296-$C$7:$N$7))))</f>
        <v/>
      </c>
      <c r="AH296">
        <f>IF(C295&lt;=0,0,ROUND(C295*(1+IF(AND(C$6&gt;0,$B296&lt;C$6),C$4,C$5)/12),2))</f>
        <v/>
      </c>
      <c r="AI296">
        <f>IF(D295&lt;=0,0,ROUND(D295*(1+IF(AND(D$6&gt;0,$B296&lt;D$6),D$4,D$5)/12),2))</f>
        <v/>
      </c>
      <c r="AJ296">
        <f>IF(E295&lt;=0,0,ROUND(E295*(1+IF(AND(E$6&gt;0,$B296&lt;E$6),E$4,E$5)/12),2))</f>
        <v/>
      </c>
      <c r="AK296">
        <f>IF(F295&lt;=0,0,ROUND(F295*(1+IF(AND(F$6&gt;0,$B296&lt;F$6),F$4,F$5)/12),2))</f>
        <v/>
      </c>
      <c r="AL296">
        <f>IF(G295&lt;=0,0,ROUND(G295*(1+IF(AND(G$6&gt;0,$B296&lt;G$6),G$4,G$5)/12),2))</f>
        <v/>
      </c>
      <c r="AM296">
        <f>IF(H295&lt;=0,0,ROUND(H295*(1+IF(AND(H$6&gt;0,$B296&lt;H$6),H$4,H$5)/12),2))</f>
        <v/>
      </c>
      <c r="AN296">
        <f>IF(I295&lt;=0,0,ROUND(I295*(1+IF(AND(I$6&gt;0,$B296&lt;I$6),I$4,I$5)/12),2))</f>
        <v/>
      </c>
      <c r="AO296">
        <f>IF(J295&lt;=0,0,ROUND(J295*(1+IF(AND(J$6&gt;0,$B296&lt;J$6),J$4,J$5)/12),2))</f>
        <v/>
      </c>
      <c r="AP296">
        <f>IF(K295&lt;=0,0,ROUND(K295*(1+IF(AND(K$6&gt;0,$B296&lt;K$6),K$4,K$5)/12),2))</f>
        <v/>
      </c>
      <c r="AQ296">
        <f>IF(L295&lt;=0,0,ROUND(L295*(1+IF(AND(L$6&gt;0,$B296&lt;L$6),L$4,L$5)/12),2))</f>
        <v/>
      </c>
      <c r="AR296">
        <f>IF(M295&lt;=0,0,ROUND(M295*(1+IF(AND(M$6&gt;0,$B296&lt;M$6),M$4,M$5)/12),2))</f>
        <v/>
      </c>
      <c r="AS296">
        <f>IF(N295&lt;=0,0,ROUND(N295*(1+IF(AND(N$6&gt;0,$B296&lt;N$6),N$4,N$5)/12),2))</f>
        <v/>
      </c>
    </row>
    <row r="297">
      <c r="A297" t="n">
        <v>286</v>
      </c>
      <c r="B297">
        <f>EDATE(Plan!$C$6,285)</f>
        <v/>
      </c>
      <c r="C297">
        <f>IF(C296&lt;=0,0,MAX(0,AH297-O297))</f>
        <v/>
      </c>
      <c r="D297">
        <f>IF(D296&lt;=0,0,MAX(0,AI297-P297))</f>
        <v/>
      </c>
      <c r="E297">
        <f>IF(E296&lt;=0,0,MAX(0,AJ297-Q297))</f>
        <v/>
      </c>
      <c r="F297">
        <f>IF(F296&lt;=0,0,MAX(0,AK297-R297))</f>
        <v/>
      </c>
      <c r="G297">
        <f>IF(G296&lt;=0,0,MAX(0,AL297-S297))</f>
        <v/>
      </c>
      <c r="H297">
        <f>IF(H296&lt;=0,0,MAX(0,AM297-T297))</f>
        <v/>
      </c>
      <c r="I297">
        <f>IF(I296&lt;=0,0,MAX(0,AN297-U297))</f>
        <v/>
      </c>
      <c r="J297">
        <f>IF(J296&lt;=0,0,MAX(0,AO297-V297))</f>
        <v/>
      </c>
      <c r="K297">
        <f>IF(K296&lt;=0,0,MAX(0,AP297-W297))</f>
        <v/>
      </c>
      <c r="L297">
        <f>IF(L296&lt;=0,0,MAX(0,AQ297-X297))</f>
        <v/>
      </c>
      <c r="M297">
        <f>IF(M296&lt;=0,0,MAX(0,AR297-Y297))</f>
        <v/>
      </c>
      <c r="N297">
        <f>IF(N296&lt;=0,0,MAX(0,AS297-Z297))</f>
        <v/>
      </c>
      <c r="O297">
        <f>IF(C296&lt;=0,0,MIN(AH297,C$7+IF(C$2=$AA297,$AC297,IF(C$2=$AF297,$AG297,0))))</f>
        <v/>
      </c>
      <c r="P297">
        <f>IF(D296&lt;=0,0,MIN(AI297,D$7+IF(D$2=$AA297,$AC297,IF(D$2=$AF297,$AG297,0))))</f>
        <v/>
      </c>
      <c r="Q297">
        <f>IF(E296&lt;=0,0,MIN(AJ297,E$7+IF(E$2=$AA297,$AC297,IF(E$2=$AF297,$AG297,0))))</f>
        <v/>
      </c>
      <c r="R297">
        <f>IF(F296&lt;=0,0,MIN(AK297,F$7+IF(F$2=$AA297,$AC297,IF(F$2=$AF297,$AG297,0))))</f>
        <v/>
      </c>
      <c r="S297">
        <f>IF(G296&lt;=0,0,MIN(AL297,G$7+IF(G$2=$AA297,$AC297,IF(G$2=$AF297,$AG297,0))))</f>
        <v/>
      </c>
      <c r="T297">
        <f>IF(H296&lt;=0,0,MIN(AM297,H$7+IF(H$2=$AA297,$AC297,IF(H$2=$AF297,$AG297,0))))</f>
        <v/>
      </c>
      <c r="U297">
        <f>IF(I296&lt;=0,0,MIN(AN297,I$7+IF(I$2=$AA297,$AC297,IF(I$2=$AF297,$AG297,0))))</f>
        <v/>
      </c>
      <c r="V297">
        <f>IF(J296&lt;=0,0,MIN(AO297,J$7+IF(J$2=$AA297,$AC297,IF(J$2=$AF297,$AG297,0))))</f>
        <v/>
      </c>
      <c r="W297">
        <f>IF(K296&lt;=0,0,MIN(AP297,K$7+IF(K$2=$AA297,$AC297,IF(K$2=$AF297,$AG297,0))))</f>
        <v/>
      </c>
      <c r="X297">
        <f>IF(L296&lt;=0,0,MIN(AQ297,L$7+IF(L$2=$AA297,$AC297,IF(L$2=$AF297,$AG297,0))))</f>
        <v/>
      </c>
      <c r="Y297">
        <f>IF(M296&lt;=0,0,MIN(AR297,M$7+IF(M$2=$AA297,$AC297,IF(M$2=$AF297,$AG297,0))))</f>
        <v/>
      </c>
      <c r="Z297">
        <f>IF(N296&lt;=0,0,MIN(AS297,N$7+IF(N$2=$AA297,$AC297,IF(N$2=$AF297,$AG297,0))))</f>
        <v/>
      </c>
      <c r="AA297">
        <f>IFERROR(ROUND(1/SUMPRODUCT(MAX((C296:N296&gt;0)*($C$3:$N$3&lt;=B297)/$C$2:$N$2)),0),0)</f>
        <v/>
      </c>
      <c r="AB297">
        <f>SUMPRODUCT((C296:N296&gt;0)*$C$7:$N$7)</f>
        <v/>
      </c>
      <c r="AC297">
        <f>MAX(0,Plan!$C$5-AB297)+IF(A297=Plan!$C$8,N(Plan!$C$7),0)</f>
        <v/>
      </c>
      <c r="AD297">
        <f>SUM(C297:N297)</f>
        <v/>
      </c>
      <c r="AE297">
        <f>SUM(O297:Z297)</f>
        <v/>
      </c>
      <c r="AF297">
        <f>IFERROR(ROUND(1/SUMPRODUCT(MAX((C296:N296&gt;0)*($C$3:$N$3&lt;=B297)*($C$2:$N$2&gt;AA297)/$C$2:$N$2)),0),0)</f>
        <v/>
      </c>
      <c r="AG297">
        <f>MAX(0,AC297-MAX(0,SUMPRODUCT(($C$2:$N$2=AA297)*(AH297:AS297-$C$7:$N$7))))</f>
        <v/>
      </c>
      <c r="AH297">
        <f>IF(C296&lt;=0,0,ROUND(C296*(1+IF(AND(C$6&gt;0,$B297&lt;C$6),C$4,C$5)/12),2))</f>
        <v/>
      </c>
      <c r="AI297">
        <f>IF(D296&lt;=0,0,ROUND(D296*(1+IF(AND(D$6&gt;0,$B297&lt;D$6),D$4,D$5)/12),2))</f>
        <v/>
      </c>
      <c r="AJ297">
        <f>IF(E296&lt;=0,0,ROUND(E296*(1+IF(AND(E$6&gt;0,$B297&lt;E$6),E$4,E$5)/12),2))</f>
        <v/>
      </c>
      <c r="AK297">
        <f>IF(F296&lt;=0,0,ROUND(F296*(1+IF(AND(F$6&gt;0,$B297&lt;F$6),F$4,F$5)/12),2))</f>
        <v/>
      </c>
      <c r="AL297">
        <f>IF(G296&lt;=0,0,ROUND(G296*(1+IF(AND(G$6&gt;0,$B297&lt;G$6),G$4,G$5)/12),2))</f>
        <v/>
      </c>
      <c r="AM297">
        <f>IF(H296&lt;=0,0,ROUND(H296*(1+IF(AND(H$6&gt;0,$B297&lt;H$6),H$4,H$5)/12),2))</f>
        <v/>
      </c>
      <c r="AN297">
        <f>IF(I296&lt;=0,0,ROUND(I296*(1+IF(AND(I$6&gt;0,$B297&lt;I$6),I$4,I$5)/12),2))</f>
        <v/>
      </c>
      <c r="AO297">
        <f>IF(J296&lt;=0,0,ROUND(J296*(1+IF(AND(J$6&gt;0,$B297&lt;J$6),J$4,J$5)/12),2))</f>
        <v/>
      </c>
      <c r="AP297">
        <f>IF(K296&lt;=0,0,ROUND(K296*(1+IF(AND(K$6&gt;0,$B297&lt;K$6),K$4,K$5)/12),2))</f>
        <v/>
      </c>
      <c r="AQ297">
        <f>IF(L296&lt;=0,0,ROUND(L296*(1+IF(AND(L$6&gt;0,$B297&lt;L$6),L$4,L$5)/12),2))</f>
        <v/>
      </c>
      <c r="AR297">
        <f>IF(M296&lt;=0,0,ROUND(M296*(1+IF(AND(M$6&gt;0,$B297&lt;M$6),M$4,M$5)/12),2))</f>
        <v/>
      </c>
      <c r="AS297">
        <f>IF(N296&lt;=0,0,ROUND(N296*(1+IF(AND(N$6&gt;0,$B297&lt;N$6),N$4,N$5)/12),2))</f>
        <v/>
      </c>
    </row>
    <row r="298">
      <c r="A298" t="n">
        <v>287</v>
      </c>
      <c r="B298">
        <f>EDATE(Plan!$C$6,286)</f>
        <v/>
      </c>
      <c r="C298">
        <f>IF(C297&lt;=0,0,MAX(0,AH298-O298))</f>
        <v/>
      </c>
      <c r="D298">
        <f>IF(D297&lt;=0,0,MAX(0,AI298-P298))</f>
        <v/>
      </c>
      <c r="E298">
        <f>IF(E297&lt;=0,0,MAX(0,AJ298-Q298))</f>
        <v/>
      </c>
      <c r="F298">
        <f>IF(F297&lt;=0,0,MAX(0,AK298-R298))</f>
        <v/>
      </c>
      <c r="G298">
        <f>IF(G297&lt;=0,0,MAX(0,AL298-S298))</f>
        <v/>
      </c>
      <c r="H298">
        <f>IF(H297&lt;=0,0,MAX(0,AM298-T298))</f>
        <v/>
      </c>
      <c r="I298">
        <f>IF(I297&lt;=0,0,MAX(0,AN298-U298))</f>
        <v/>
      </c>
      <c r="J298">
        <f>IF(J297&lt;=0,0,MAX(0,AO298-V298))</f>
        <v/>
      </c>
      <c r="K298">
        <f>IF(K297&lt;=0,0,MAX(0,AP298-W298))</f>
        <v/>
      </c>
      <c r="L298">
        <f>IF(L297&lt;=0,0,MAX(0,AQ298-X298))</f>
        <v/>
      </c>
      <c r="M298">
        <f>IF(M297&lt;=0,0,MAX(0,AR298-Y298))</f>
        <v/>
      </c>
      <c r="N298">
        <f>IF(N297&lt;=0,0,MAX(0,AS298-Z298))</f>
        <v/>
      </c>
      <c r="O298">
        <f>IF(C297&lt;=0,0,MIN(AH298,C$7+IF(C$2=$AA298,$AC298,IF(C$2=$AF298,$AG298,0))))</f>
        <v/>
      </c>
      <c r="P298">
        <f>IF(D297&lt;=0,0,MIN(AI298,D$7+IF(D$2=$AA298,$AC298,IF(D$2=$AF298,$AG298,0))))</f>
        <v/>
      </c>
      <c r="Q298">
        <f>IF(E297&lt;=0,0,MIN(AJ298,E$7+IF(E$2=$AA298,$AC298,IF(E$2=$AF298,$AG298,0))))</f>
        <v/>
      </c>
      <c r="R298">
        <f>IF(F297&lt;=0,0,MIN(AK298,F$7+IF(F$2=$AA298,$AC298,IF(F$2=$AF298,$AG298,0))))</f>
        <v/>
      </c>
      <c r="S298">
        <f>IF(G297&lt;=0,0,MIN(AL298,G$7+IF(G$2=$AA298,$AC298,IF(G$2=$AF298,$AG298,0))))</f>
        <v/>
      </c>
      <c r="T298">
        <f>IF(H297&lt;=0,0,MIN(AM298,H$7+IF(H$2=$AA298,$AC298,IF(H$2=$AF298,$AG298,0))))</f>
        <v/>
      </c>
      <c r="U298">
        <f>IF(I297&lt;=0,0,MIN(AN298,I$7+IF(I$2=$AA298,$AC298,IF(I$2=$AF298,$AG298,0))))</f>
        <v/>
      </c>
      <c r="V298">
        <f>IF(J297&lt;=0,0,MIN(AO298,J$7+IF(J$2=$AA298,$AC298,IF(J$2=$AF298,$AG298,0))))</f>
        <v/>
      </c>
      <c r="W298">
        <f>IF(K297&lt;=0,0,MIN(AP298,K$7+IF(K$2=$AA298,$AC298,IF(K$2=$AF298,$AG298,0))))</f>
        <v/>
      </c>
      <c r="X298">
        <f>IF(L297&lt;=0,0,MIN(AQ298,L$7+IF(L$2=$AA298,$AC298,IF(L$2=$AF298,$AG298,0))))</f>
        <v/>
      </c>
      <c r="Y298">
        <f>IF(M297&lt;=0,0,MIN(AR298,M$7+IF(M$2=$AA298,$AC298,IF(M$2=$AF298,$AG298,0))))</f>
        <v/>
      </c>
      <c r="Z298">
        <f>IF(N297&lt;=0,0,MIN(AS298,N$7+IF(N$2=$AA298,$AC298,IF(N$2=$AF298,$AG298,0))))</f>
        <v/>
      </c>
      <c r="AA298">
        <f>IFERROR(ROUND(1/SUMPRODUCT(MAX((C297:N297&gt;0)*($C$3:$N$3&lt;=B298)/$C$2:$N$2)),0),0)</f>
        <v/>
      </c>
      <c r="AB298">
        <f>SUMPRODUCT((C297:N297&gt;0)*$C$7:$N$7)</f>
        <v/>
      </c>
      <c r="AC298">
        <f>MAX(0,Plan!$C$5-AB298)+IF(A298=Plan!$C$8,N(Plan!$C$7),0)</f>
        <v/>
      </c>
      <c r="AD298">
        <f>SUM(C298:N298)</f>
        <v/>
      </c>
      <c r="AE298">
        <f>SUM(O298:Z298)</f>
        <v/>
      </c>
      <c r="AF298">
        <f>IFERROR(ROUND(1/SUMPRODUCT(MAX((C297:N297&gt;0)*($C$3:$N$3&lt;=B298)*($C$2:$N$2&gt;AA298)/$C$2:$N$2)),0),0)</f>
        <v/>
      </c>
      <c r="AG298">
        <f>MAX(0,AC298-MAX(0,SUMPRODUCT(($C$2:$N$2=AA298)*(AH298:AS298-$C$7:$N$7))))</f>
        <v/>
      </c>
      <c r="AH298">
        <f>IF(C297&lt;=0,0,ROUND(C297*(1+IF(AND(C$6&gt;0,$B298&lt;C$6),C$4,C$5)/12),2))</f>
        <v/>
      </c>
      <c r="AI298">
        <f>IF(D297&lt;=0,0,ROUND(D297*(1+IF(AND(D$6&gt;0,$B298&lt;D$6),D$4,D$5)/12),2))</f>
        <v/>
      </c>
      <c r="AJ298">
        <f>IF(E297&lt;=0,0,ROUND(E297*(1+IF(AND(E$6&gt;0,$B298&lt;E$6),E$4,E$5)/12),2))</f>
        <v/>
      </c>
      <c r="AK298">
        <f>IF(F297&lt;=0,0,ROUND(F297*(1+IF(AND(F$6&gt;0,$B298&lt;F$6),F$4,F$5)/12),2))</f>
        <v/>
      </c>
      <c r="AL298">
        <f>IF(G297&lt;=0,0,ROUND(G297*(1+IF(AND(G$6&gt;0,$B298&lt;G$6),G$4,G$5)/12),2))</f>
        <v/>
      </c>
      <c r="AM298">
        <f>IF(H297&lt;=0,0,ROUND(H297*(1+IF(AND(H$6&gt;0,$B298&lt;H$6),H$4,H$5)/12),2))</f>
        <v/>
      </c>
      <c r="AN298">
        <f>IF(I297&lt;=0,0,ROUND(I297*(1+IF(AND(I$6&gt;0,$B298&lt;I$6),I$4,I$5)/12),2))</f>
        <v/>
      </c>
      <c r="AO298">
        <f>IF(J297&lt;=0,0,ROUND(J297*(1+IF(AND(J$6&gt;0,$B298&lt;J$6),J$4,J$5)/12),2))</f>
        <v/>
      </c>
      <c r="AP298">
        <f>IF(K297&lt;=0,0,ROUND(K297*(1+IF(AND(K$6&gt;0,$B298&lt;K$6),K$4,K$5)/12),2))</f>
        <v/>
      </c>
      <c r="AQ298">
        <f>IF(L297&lt;=0,0,ROUND(L297*(1+IF(AND(L$6&gt;0,$B298&lt;L$6),L$4,L$5)/12),2))</f>
        <v/>
      </c>
      <c r="AR298">
        <f>IF(M297&lt;=0,0,ROUND(M297*(1+IF(AND(M$6&gt;0,$B298&lt;M$6),M$4,M$5)/12),2))</f>
        <v/>
      </c>
      <c r="AS298">
        <f>IF(N297&lt;=0,0,ROUND(N297*(1+IF(AND(N$6&gt;0,$B298&lt;N$6),N$4,N$5)/12),2))</f>
        <v/>
      </c>
    </row>
    <row r="299">
      <c r="A299" t="n">
        <v>288</v>
      </c>
      <c r="B299">
        <f>EDATE(Plan!$C$6,287)</f>
        <v/>
      </c>
      <c r="C299">
        <f>IF(C298&lt;=0,0,MAX(0,AH299-O299))</f>
        <v/>
      </c>
      <c r="D299">
        <f>IF(D298&lt;=0,0,MAX(0,AI299-P299))</f>
        <v/>
      </c>
      <c r="E299">
        <f>IF(E298&lt;=0,0,MAX(0,AJ299-Q299))</f>
        <v/>
      </c>
      <c r="F299">
        <f>IF(F298&lt;=0,0,MAX(0,AK299-R299))</f>
        <v/>
      </c>
      <c r="G299">
        <f>IF(G298&lt;=0,0,MAX(0,AL299-S299))</f>
        <v/>
      </c>
      <c r="H299">
        <f>IF(H298&lt;=0,0,MAX(0,AM299-T299))</f>
        <v/>
      </c>
      <c r="I299">
        <f>IF(I298&lt;=0,0,MAX(0,AN299-U299))</f>
        <v/>
      </c>
      <c r="J299">
        <f>IF(J298&lt;=0,0,MAX(0,AO299-V299))</f>
        <v/>
      </c>
      <c r="K299">
        <f>IF(K298&lt;=0,0,MAX(0,AP299-W299))</f>
        <v/>
      </c>
      <c r="L299">
        <f>IF(L298&lt;=0,0,MAX(0,AQ299-X299))</f>
        <v/>
      </c>
      <c r="M299">
        <f>IF(M298&lt;=0,0,MAX(0,AR299-Y299))</f>
        <v/>
      </c>
      <c r="N299">
        <f>IF(N298&lt;=0,0,MAX(0,AS299-Z299))</f>
        <v/>
      </c>
      <c r="O299">
        <f>IF(C298&lt;=0,0,MIN(AH299,C$7+IF(C$2=$AA299,$AC299,IF(C$2=$AF299,$AG299,0))))</f>
        <v/>
      </c>
      <c r="P299">
        <f>IF(D298&lt;=0,0,MIN(AI299,D$7+IF(D$2=$AA299,$AC299,IF(D$2=$AF299,$AG299,0))))</f>
        <v/>
      </c>
      <c r="Q299">
        <f>IF(E298&lt;=0,0,MIN(AJ299,E$7+IF(E$2=$AA299,$AC299,IF(E$2=$AF299,$AG299,0))))</f>
        <v/>
      </c>
      <c r="R299">
        <f>IF(F298&lt;=0,0,MIN(AK299,F$7+IF(F$2=$AA299,$AC299,IF(F$2=$AF299,$AG299,0))))</f>
        <v/>
      </c>
      <c r="S299">
        <f>IF(G298&lt;=0,0,MIN(AL299,G$7+IF(G$2=$AA299,$AC299,IF(G$2=$AF299,$AG299,0))))</f>
        <v/>
      </c>
      <c r="T299">
        <f>IF(H298&lt;=0,0,MIN(AM299,H$7+IF(H$2=$AA299,$AC299,IF(H$2=$AF299,$AG299,0))))</f>
        <v/>
      </c>
      <c r="U299">
        <f>IF(I298&lt;=0,0,MIN(AN299,I$7+IF(I$2=$AA299,$AC299,IF(I$2=$AF299,$AG299,0))))</f>
        <v/>
      </c>
      <c r="V299">
        <f>IF(J298&lt;=0,0,MIN(AO299,J$7+IF(J$2=$AA299,$AC299,IF(J$2=$AF299,$AG299,0))))</f>
        <v/>
      </c>
      <c r="W299">
        <f>IF(K298&lt;=0,0,MIN(AP299,K$7+IF(K$2=$AA299,$AC299,IF(K$2=$AF299,$AG299,0))))</f>
        <v/>
      </c>
      <c r="X299">
        <f>IF(L298&lt;=0,0,MIN(AQ299,L$7+IF(L$2=$AA299,$AC299,IF(L$2=$AF299,$AG299,0))))</f>
        <v/>
      </c>
      <c r="Y299">
        <f>IF(M298&lt;=0,0,MIN(AR299,M$7+IF(M$2=$AA299,$AC299,IF(M$2=$AF299,$AG299,0))))</f>
        <v/>
      </c>
      <c r="Z299">
        <f>IF(N298&lt;=0,0,MIN(AS299,N$7+IF(N$2=$AA299,$AC299,IF(N$2=$AF299,$AG299,0))))</f>
        <v/>
      </c>
      <c r="AA299">
        <f>IFERROR(ROUND(1/SUMPRODUCT(MAX((C298:N298&gt;0)*($C$3:$N$3&lt;=B299)/$C$2:$N$2)),0),0)</f>
        <v/>
      </c>
      <c r="AB299">
        <f>SUMPRODUCT((C298:N298&gt;0)*$C$7:$N$7)</f>
        <v/>
      </c>
      <c r="AC299">
        <f>MAX(0,Plan!$C$5-AB299)+IF(A299=Plan!$C$8,N(Plan!$C$7),0)</f>
        <v/>
      </c>
      <c r="AD299">
        <f>SUM(C299:N299)</f>
        <v/>
      </c>
      <c r="AE299">
        <f>SUM(O299:Z299)</f>
        <v/>
      </c>
      <c r="AF299">
        <f>IFERROR(ROUND(1/SUMPRODUCT(MAX((C298:N298&gt;0)*($C$3:$N$3&lt;=B299)*($C$2:$N$2&gt;AA299)/$C$2:$N$2)),0),0)</f>
        <v/>
      </c>
      <c r="AG299">
        <f>MAX(0,AC299-MAX(0,SUMPRODUCT(($C$2:$N$2=AA299)*(AH299:AS299-$C$7:$N$7))))</f>
        <v/>
      </c>
      <c r="AH299">
        <f>IF(C298&lt;=0,0,ROUND(C298*(1+IF(AND(C$6&gt;0,$B299&lt;C$6),C$4,C$5)/12),2))</f>
        <v/>
      </c>
      <c r="AI299">
        <f>IF(D298&lt;=0,0,ROUND(D298*(1+IF(AND(D$6&gt;0,$B299&lt;D$6),D$4,D$5)/12),2))</f>
        <v/>
      </c>
      <c r="AJ299">
        <f>IF(E298&lt;=0,0,ROUND(E298*(1+IF(AND(E$6&gt;0,$B299&lt;E$6),E$4,E$5)/12),2))</f>
        <v/>
      </c>
      <c r="AK299">
        <f>IF(F298&lt;=0,0,ROUND(F298*(1+IF(AND(F$6&gt;0,$B299&lt;F$6),F$4,F$5)/12),2))</f>
        <v/>
      </c>
      <c r="AL299">
        <f>IF(G298&lt;=0,0,ROUND(G298*(1+IF(AND(G$6&gt;0,$B299&lt;G$6),G$4,G$5)/12),2))</f>
        <v/>
      </c>
      <c r="AM299">
        <f>IF(H298&lt;=0,0,ROUND(H298*(1+IF(AND(H$6&gt;0,$B299&lt;H$6),H$4,H$5)/12),2))</f>
        <v/>
      </c>
      <c r="AN299">
        <f>IF(I298&lt;=0,0,ROUND(I298*(1+IF(AND(I$6&gt;0,$B299&lt;I$6),I$4,I$5)/12),2))</f>
        <v/>
      </c>
      <c r="AO299">
        <f>IF(J298&lt;=0,0,ROUND(J298*(1+IF(AND(J$6&gt;0,$B299&lt;J$6),J$4,J$5)/12),2))</f>
        <v/>
      </c>
      <c r="AP299">
        <f>IF(K298&lt;=0,0,ROUND(K298*(1+IF(AND(K$6&gt;0,$B299&lt;K$6),K$4,K$5)/12),2))</f>
        <v/>
      </c>
      <c r="AQ299">
        <f>IF(L298&lt;=0,0,ROUND(L298*(1+IF(AND(L$6&gt;0,$B299&lt;L$6),L$4,L$5)/12),2))</f>
        <v/>
      </c>
      <c r="AR299">
        <f>IF(M298&lt;=0,0,ROUND(M298*(1+IF(AND(M$6&gt;0,$B299&lt;M$6),M$4,M$5)/12),2))</f>
        <v/>
      </c>
      <c r="AS299">
        <f>IF(N298&lt;=0,0,ROUND(N298*(1+IF(AND(N$6&gt;0,$B299&lt;N$6),N$4,N$5)/12),2))</f>
        <v/>
      </c>
    </row>
    <row r="300">
      <c r="A300" t="n">
        <v>289</v>
      </c>
      <c r="B300">
        <f>EDATE(Plan!$C$6,288)</f>
        <v/>
      </c>
      <c r="C300">
        <f>IF(C299&lt;=0,0,MAX(0,AH300-O300))</f>
        <v/>
      </c>
      <c r="D300">
        <f>IF(D299&lt;=0,0,MAX(0,AI300-P300))</f>
        <v/>
      </c>
      <c r="E300">
        <f>IF(E299&lt;=0,0,MAX(0,AJ300-Q300))</f>
        <v/>
      </c>
      <c r="F300">
        <f>IF(F299&lt;=0,0,MAX(0,AK300-R300))</f>
        <v/>
      </c>
      <c r="G300">
        <f>IF(G299&lt;=0,0,MAX(0,AL300-S300))</f>
        <v/>
      </c>
      <c r="H300">
        <f>IF(H299&lt;=0,0,MAX(0,AM300-T300))</f>
        <v/>
      </c>
      <c r="I300">
        <f>IF(I299&lt;=0,0,MAX(0,AN300-U300))</f>
        <v/>
      </c>
      <c r="J300">
        <f>IF(J299&lt;=0,0,MAX(0,AO300-V300))</f>
        <v/>
      </c>
      <c r="K300">
        <f>IF(K299&lt;=0,0,MAX(0,AP300-W300))</f>
        <v/>
      </c>
      <c r="L300">
        <f>IF(L299&lt;=0,0,MAX(0,AQ300-X300))</f>
        <v/>
      </c>
      <c r="M300">
        <f>IF(M299&lt;=0,0,MAX(0,AR300-Y300))</f>
        <v/>
      </c>
      <c r="N300">
        <f>IF(N299&lt;=0,0,MAX(0,AS300-Z300))</f>
        <v/>
      </c>
      <c r="O300">
        <f>IF(C299&lt;=0,0,MIN(AH300,C$7+IF(C$2=$AA300,$AC300,IF(C$2=$AF300,$AG300,0))))</f>
        <v/>
      </c>
      <c r="P300">
        <f>IF(D299&lt;=0,0,MIN(AI300,D$7+IF(D$2=$AA300,$AC300,IF(D$2=$AF300,$AG300,0))))</f>
        <v/>
      </c>
      <c r="Q300">
        <f>IF(E299&lt;=0,0,MIN(AJ300,E$7+IF(E$2=$AA300,$AC300,IF(E$2=$AF300,$AG300,0))))</f>
        <v/>
      </c>
      <c r="R300">
        <f>IF(F299&lt;=0,0,MIN(AK300,F$7+IF(F$2=$AA300,$AC300,IF(F$2=$AF300,$AG300,0))))</f>
        <v/>
      </c>
      <c r="S300">
        <f>IF(G299&lt;=0,0,MIN(AL300,G$7+IF(G$2=$AA300,$AC300,IF(G$2=$AF300,$AG300,0))))</f>
        <v/>
      </c>
      <c r="T300">
        <f>IF(H299&lt;=0,0,MIN(AM300,H$7+IF(H$2=$AA300,$AC300,IF(H$2=$AF300,$AG300,0))))</f>
        <v/>
      </c>
      <c r="U300">
        <f>IF(I299&lt;=0,0,MIN(AN300,I$7+IF(I$2=$AA300,$AC300,IF(I$2=$AF300,$AG300,0))))</f>
        <v/>
      </c>
      <c r="V300">
        <f>IF(J299&lt;=0,0,MIN(AO300,J$7+IF(J$2=$AA300,$AC300,IF(J$2=$AF300,$AG300,0))))</f>
        <v/>
      </c>
      <c r="W300">
        <f>IF(K299&lt;=0,0,MIN(AP300,K$7+IF(K$2=$AA300,$AC300,IF(K$2=$AF300,$AG300,0))))</f>
        <v/>
      </c>
      <c r="X300">
        <f>IF(L299&lt;=0,0,MIN(AQ300,L$7+IF(L$2=$AA300,$AC300,IF(L$2=$AF300,$AG300,0))))</f>
        <v/>
      </c>
      <c r="Y300">
        <f>IF(M299&lt;=0,0,MIN(AR300,M$7+IF(M$2=$AA300,$AC300,IF(M$2=$AF300,$AG300,0))))</f>
        <v/>
      </c>
      <c r="Z300">
        <f>IF(N299&lt;=0,0,MIN(AS300,N$7+IF(N$2=$AA300,$AC300,IF(N$2=$AF300,$AG300,0))))</f>
        <v/>
      </c>
      <c r="AA300">
        <f>IFERROR(ROUND(1/SUMPRODUCT(MAX((C299:N299&gt;0)*($C$3:$N$3&lt;=B300)/$C$2:$N$2)),0),0)</f>
        <v/>
      </c>
      <c r="AB300">
        <f>SUMPRODUCT((C299:N299&gt;0)*$C$7:$N$7)</f>
        <v/>
      </c>
      <c r="AC300">
        <f>MAX(0,Plan!$C$5-AB300)+IF(A300=Plan!$C$8,N(Plan!$C$7),0)</f>
        <v/>
      </c>
      <c r="AD300">
        <f>SUM(C300:N300)</f>
        <v/>
      </c>
      <c r="AE300">
        <f>SUM(O300:Z300)</f>
        <v/>
      </c>
      <c r="AF300">
        <f>IFERROR(ROUND(1/SUMPRODUCT(MAX((C299:N299&gt;0)*($C$3:$N$3&lt;=B300)*($C$2:$N$2&gt;AA300)/$C$2:$N$2)),0),0)</f>
        <v/>
      </c>
      <c r="AG300">
        <f>MAX(0,AC300-MAX(0,SUMPRODUCT(($C$2:$N$2=AA300)*(AH300:AS300-$C$7:$N$7))))</f>
        <v/>
      </c>
      <c r="AH300">
        <f>IF(C299&lt;=0,0,ROUND(C299*(1+IF(AND(C$6&gt;0,$B300&lt;C$6),C$4,C$5)/12),2))</f>
        <v/>
      </c>
      <c r="AI300">
        <f>IF(D299&lt;=0,0,ROUND(D299*(1+IF(AND(D$6&gt;0,$B300&lt;D$6),D$4,D$5)/12),2))</f>
        <v/>
      </c>
      <c r="AJ300">
        <f>IF(E299&lt;=0,0,ROUND(E299*(1+IF(AND(E$6&gt;0,$B300&lt;E$6),E$4,E$5)/12),2))</f>
        <v/>
      </c>
      <c r="AK300">
        <f>IF(F299&lt;=0,0,ROUND(F299*(1+IF(AND(F$6&gt;0,$B300&lt;F$6),F$4,F$5)/12),2))</f>
        <v/>
      </c>
      <c r="AL300">
        <f>IF(G299&lt;=0,0,ROUND(G299*(1+IF(AND(G$6&gt;0,$B300&lt;G$6),G$4,G$5)/12),2))</f>
        <v/>
      </c>
      <c r="AM300">
        <f>IF(H299&lt;=0,0,ROUND(H299*(1+IF(AND(H$6&gt;0,$B300&lt;H$6),H$4,H$5)/12),2))</f>
        <v/>
      </c>
      <c r="AN300">
        <f>IF(I299&lt;=0,0,ROUND(I299*(1+IF(AND(I$6&gt;0,$B300&lt;I$6),I$4,I$5)/12),2))</f>
        <v/>
      </c>
      <c r="AO300">
        <f>IF(J299&lt;=0,0,ROUND(J299*(1+IF(AND(J$6&gt;0,$B300&lt;J$6),J$4,J$5)/12),2))</f>
        <v/>
      </c>
      <c r="AP300">
        <f>IF(K299&lt;=0,0,ROUND(K299*(1+IF(AND(K$6&gt;0,$B300&lt;K$6),K$4,K$5)/12),2))</f>
        <v/>
      </c>
      <c r="AQ300">
        <f>IF(L299&lt;=0,0,ROUND(L299*(1+IF(AND(L$6&gt;0,$B300&lt;L$6),L$4,L$5)/12),2))</f>
        <v/>
      </c>
      <c r="AR300">
        <f>IF(M299&lt;=0,0,ROUND(M299*(1+IF(AND(M$6&gt;0,$B300&lt;M$6),M$4,M$5)/12),2))</f>
        <v/>
      </c>
      <c r="AS300">
        <f>IF(N299&lt;=0,0,ROUND(N299*(1+IF(AND(N$6&gt;0,$B300&lt;N$6),N$4,N$5)/12),2))</f>
        <v/>
      </c>
    </row>
    <row r="301">
      <c r="A301" t="n">
        <v>290</v>
      </c>
      <c r="B301">
        <f>EDATE(Plan!$C$6,289)</f>
        <v/>
      </c>
      <c r="C301">
        <f>IF(C300&lt;=0,0,MAX(0,AH301-O301))</f>
        <v/>
      </c>
      <c r="D301">
        <f>IF(D300&lt;=0,0,MAX(0,AI301-P301))</f>
        <v/>
      </c>
      <c r="E301">
        <f>IF(E300&lt;=0,0,MAX(0,AJ301-Q301))</f>
        <v/>
      </c>
      <c r="F301">
        <f>IF(F300&lt;=0,0,MAX(0,AK301-R301))</f>
        <v/>
      </c>
      <c r="G301">
        <f>IF(G300&lt;=0,0,MAX(0,AL301-S301))</f>
        <v/>
      </c>
      <c r="H301">
        <f>IF(H300&lt;=0,0,MAX(0,AM301-T301))</f>
        <v/>
      </c>
      <c r="I301">
        <f>IF(I300&lt;=0,0,MAX(0,AN301-U301))</f>
        <v/>
      </c>
      <c r="J301">
        <f>IF(J300&lt;=0,0,MAX(0,AO301-V301))</f>
        <v/>
      </c>
      <c r="K301">
        <f>IF(K300&lt;=0,0,MAX(0,AP301-W301))</f>
        <v/>
      </c>
      <c r="L301">
        <f>IF(L300&lt;=0,0,MAX(0,AQ301-X301))</f>
        <v/>
      </c>
      <c r="M301">
        <f>IF(M300&lt;=0,0,MAX(0,AR301-Y301))</f>
        <v/>
      </c>
      <c r="N301">
        <f>IF(N300&lt;=0,0,MAX(0,AS301-Z301))</f>
        <v/>
      </c>
      <c r="O301">
        <f>IF(C300&lt;=0,0,MIN(AH301,C$7+IF(C$2=$AA301,$AC301,IF(C$2=$AF301,$AG301,0))))</f>
        <v/>
      </c>
      <c r="P301">
        <f>IF(D300&lt;=0,0,MIN(AI301,D$7+IF(D$2=$AA301,$AC301,IF(D$2=$AF301,$AG301,0))))</f>
        <v/>
      </c>
      <c r="Q301">
        <f>IF(E300&lt;=0,0,MIN(AJ301,E$7+IF(E$2=$AA301,$AC301,IF(E$2=$AF301,$AG301,0))))</f>
        <v/>
      </c>
      <c r="R301">
        <f>IF(F300&lt;=0,0,MIN(AK301,F$7+IF(F$2=$AA301,$AC301,IF(F$2=$AF301,$AG301,0))))</f>
        <v/>
      </c>
      <c r="S301">
        <f>IF(G300&lt;=0,0,MIN(AL301,G$7+IF(G$2=$AA301,$AC301,IF(G$2=$AF301,$AG301,0))))</f>
        <v/>
      </c>
      <c r="T301">
        <f>IF(H300&lt;=0,0,MIN(AM301,H$7+IF(H$2=$AA301,$AC301,IF(H$2=$AF301,$AG301,0))))</f>
        <v/>
      </c>
      <c r="U301">
        <f>IF(I300&lt;=0,0,MIN(AN301,I$7+IF(I$2=$AA301,$AC301,IF(I$2=$AF301,$AG301,0))))</f>
        <v/>
      </c>
      <c r="V301">
        <f>IF(J300&lt;=0,0,MIN(AO301,J$7+IF(J$2=$AA301,$AC301,IF(J$2=$AF301,$AG301,0))))</f>
        <v/>
      </c>
      <c r="W301">
        <f>IF(K300&lt;=0,0,MIN(AP301,K$7+IF(K$2=$AA301,$AC301,IF(K$2=$AF301,$AG301,0))))</f>
        <v/>
      </c>
      <c r="X301">
        <f>IF(L300&lt;=0,0,MIN(AQ301,L$7+IF(L$2=$AA301,$AC301,IF(L$2=$AF301,$AG301,0))))</f>
        <v/>
      </c>
      <c r="Y301">
        <f>IF(M300&lt;=0,0,MIN(AR301,M$7+IF(M$2=$AA301,$AC301,IF(M$2=$AF301,$AG301,0))))</f>
        <v/>
      </c>
      <c r="Z301">
        <f>IF(N300&lt;=0,0,MIN(AS301,N$7+IF(N$2=$AA301,$AC301,IF(N$2=$AF301,$AG301,0))))</f>
        <v/>
      </c>
      <c r="AA301">
        <f>IFERROR(ROUND(1/SUMPRODUCT(MAX((C300:N300&gt;0)*($C$3:$N$3&lt;=B301)/$C$2:$N$2)),0),0)</f>
        <v/>
      </c>
      <c r="AB301">
        <f>SUMPRODUCT((C300:N300&gt;0)*$C$7:$N$7)</f>
        <v/>
      </c>
      <c r="AC301">
        <f>MAX(0,Plan!$C$5-AB301)+IF(A301=Plan!$C$8,N(Plan!$C$7),0)</f>
        <v/>
      </c>
      <c r="AD301">
        <f>SUM(C301:N301)</f>
        <v/>
      </c>
      <c r="AE301">
        <f>SUM(O301:Z301)</f>
        <v/>
      </c>
      <c r="AF301">
        <f>IFERROR(ROUND(1/SUMPRODUCT(MAX((C300:N300&gt;0)*($C$3:$N$3&lt;=B301)*($C$2:$N$2&gt;AA301)/$C$2:$N$2)),0),0)</f>
        <v/>
      </c>
      <c r="AG301">
        <f>MAX(0,AC301-MAX(0,SUMPRODUCT(($C$2:$N$2=AA301)*(AH301:AS301-$C$7:$N$7))))</f>
        <v/>
      </c>
      <c r="AH301">
        <f>IF(C300&lt;=0,0,ROUND(C300*(1+IF(AND(C$6&gt;0,$B301&lt;C$6),C$4,C$5)/12),2))</f>
        <v/>
      </c>
      <c r="AI301">
        <f>IF(D300&lt;=0,0,ROUND(D300*(1+IF(AND(D$6&gt;0,$B301&lt;D$6),D$4,D$5)/12),2))</f>
        <v/>
      </c>
      <c r="AJ301">
        <f>IF(E300&lt;=0,0,ROUND(E300*(1+IF(AND(E$6&gt;0,$B301&lt;E$6),E$4,E$5)/12),2))</f>
        <v/>
      </c>
      <c r="AK301">
        <f>IF(F300&lt;=0,0,ROUND(F300*(1+IF(AND(F$6&gt;0,$B301&lt;F$6),F$4,F$5)/12),2))</f>
        <v/>
      </c>
      <c r="AL301">
        <f>IF(G300&lt;=0,0,ROUND(G300*(1+IF(AND(G$6&gt;0,$B301&lt;G$6),G$4,G$5)/12),2))</f>
        <v/>
      </c>
      <c r="AM301">
        <f>IF(H300&lt;=0,0,ROUND(H300*(1+IF(AND(H$6&gt;0,$B301&lt;H$6),H$4,H$5)/12),2))</f>
        <v/>
      </c>
      <c r="AN301">
        <f>IF(I300&lt;=0,0,ROUND(I300*(1+IF(AND(I$6&gt;0,$B301&lt;I$6),I$4,I$5)/12),2))</f>
        <v/>
      </c>
      <c r="AO301">
        <f>IF(J300&lt;=0,0,ROUND(J300*(1+IF(AND(J$6&gt;0,$B301&lt;J$6),J$4,J$5)/12),2))</f>
        <v/>
      </c>
      <c r="AP301">
        <f>IF(K300&lt;=0,0,ROUND(K300*(1+IF(AND(K$6&gt;0,$B301&lt;K$6),K$4,K$5)/12),2))</f>
        <v/>
      </c>
      <c r="AQ301">
        <f>IF(L300&lt;=0,0,ROUND(L300*(1+IF(AND(L$6&gt;0,$B301&lt;L$6),L$4,L$5)/12),2))</f>
        <v/>
      </c>
      <c r="AR301">
        <f>IF(M300&lt;=0,0,ROUND(M300*(1+IF(AND(M$6&gt;0,$B301&lt;M$6),M$4,M$5)/12),2))</f>
        <v/>
      </c>
      <c r="AS301">
        <f>IF(N300&lt;=0,0,ROUND(N300*(1+IF(AND(N$6&gt;0,$B301&lt;N$6),N$4,N$5)/12),2))</f>
        <v/>
      </c>
    </row>
    <row r="302">
      <c r="A302" t="n">
        <v>291</v>
      </c>
      <c r="B302">
        <f>EDATE(Plan!$C$6,290)</f>
        <v/>
      </c>
      <c r="C302">
        <f>IF(C301&lt;=0,0,MAX(0,AH302-O302))</f>
        <v/>
      </c>
      <c r="D302">
        <f>IF(D301&lt;=0,0,MAX(0,AI302-P302))</f>
        <v/>
      </c>
      <c r="E302">
        <f>IF(E301&lt;=0,0,MAX(0,AJ302-Q302))</f>
        <v/>
      </c>
      <c r="F302">
        <f>IF(F301&lt;=0,0,MAX(0,AK302-R302))</f>
        <v/>
      </c>
      <c r="G302">
        <f>IF(G301&lt;=0,0,MAX(0,AL302-S302))</f>
        <v/>
      </c>
      <c r="H302">
        <f>IF(H301&lt;=0,0,MAX(0,AM302-T302))</f>
        <v/>
      </c>
      <c r="I302">
        <f>IF(I301&lt;=0,0,MAX(0,AN302-U302))</f>
        <v/>
      </c>
      <c r="J302">
        <f>IF(J301&lt;=0,0,MAX(0,AO302-V302))</f>
        <v/>
      </c>
      <c r="K302">
        <f>IF(K301&lt;=0,0,MAX(0,AP302-W302))</f>
        <v/>
      </c>
      <c r="L302">
        <f>IF(L301&lt;=0,0,MAX(0,AQ302-X302))</f>
        <v/>
      </c>
      <c r="M302">
        <f>IF(M301&lt;=0,0,MAX(0,AR302-Y302))</f>
        <v/>
      </c>
      <c r="N302">
        <f>IF(N301&lt;=0,0,MAX(0,AS302-Z302))</f>
        <v/>
      </c>
      <c r="O302">
        <f>IF(C301&lt;=0,0,MIN(AH302,C$7+IF(C$2=$AA302,$AC302,IF(C$2=$AF302,$AG302,0))))</f>
        <v/>
      </c>
      <c r="P302">
        <f>IF(D301&lt;=0,0,MIN(AI302,D$7+IF(D$2=$AA302,$AC302,IF(D$2=$AF302,$AG302,0))))</f>
        <v/>
      </c>
      <c r="Q302">
        <f>IF(E301&lt;=0,0,MIN(AJ302,E$7+IF(E$2=$AA302,$AC302,IF(E$2=$AF302,$AG302,0))))</f>
        <v/>
      </c>
      <c r="R302">
        <f>IF(F301&lt;=0,0,MIN(AK302,F$7+IF(F$2=$AA302,$AC302,IF(F$2=$AF302,$AG302,0))))</f>
        <v/>
      </c>
      <c r="S302">
        <f>IF(G301&lt;=0,0,MIN(AL302,G$7+IF(G$2=$AA302,$AC302,IF(G$2=$AF302,$AG302,0))))</f>
        <v/>
      </c>
      <c r="T302">
        <f>IF(H301&lt;=0,0,MIN(AM302,H$7+IF(H$2=$AA302,$AC302,IF(H$2=$AF302,$AG302,0))))</f>
        <v/>
      </c>
      <c r="U302">
        <f>IF(I301&lt;=0,0,MIN(AN302,I$7+IF(I$2=$AA302,$AC302,IF(I$2=$AF302,$AG302,0))))</f>
        <v/>
      </c>
      <c r="V302">
        <f>IF(J301&lt;=0,0,MIN(AO302,J$7+IF(J$2=$AA302,$AC302,IF(J$2=$AF302,$AG302,0))))</f>
        <v/>
      </c>
      <c r="W302">
        <f>IF(K301&lt;=0,0,MIN(AP302,K$7+IF(K$2=$AA302,$AC302,IF(K$2=$AF302,$AG302,0))))</f>
        <v/>
      </c>
      <c r="X302">
        <f>IF(L301&lt;=0,0,MIN(AQ302,L$7+IF(L$2=$AA302,$AC302,IF(L$2=$AF302,$AG302,0))))</f>
        <v/>
      </c>
      <c r="Y302">
        <f>IF(M301&lt;=0,0,MIN(AR302,M$7+IF(M$2=$AA302,$AC302,IF(M$2=$AF302,$AG302,0))))</f>
        <v/>
      </c>
      <c r="Z302">
        <f>IF(N301&lt;=0,0,MIN(AS302,N$7+IF(N$2=$AA302,$AC302,IF(N$2=$AF302,$AG302,0))))</f>
        <v/>
      </c>
      <c r="AA302">
        <f>IFERROR(ROUND(1/SUMPRODUCT(MAX((C301:N301&gt;0)*($C$3:$N$3&lt;=B302)/$C$2:$N$2)),0),0)</f>
        <v/>
      </c>
      <c r="AB302">
        <f>SUMPRODUCT((C301:N301&gt;0)*$C$7:$N$7)</f>
        <v/>
      </c>
      <c r="AC302">
        <f>MAX(0,Plan!$C$5-AB302)+IF(A302=Plan!$C$8,N(Plan!$C$7),0)</f>
        <v/>
      </c>
      <c r="AD302">
        <f>SUM(C302:N302)</f>
        <v/>
      </c>
      <c r="AE302">
        <f>SUM(O302:Z302)</f>
        <v/>
      </c>
      <c r="AF302">
        <f>IFERROR(ROUND(1/SUMPRODUCT(MAX((C301:N301&gt;0)*($C$3:$N$3&lt;=B302)*($C$2:$N$2&gt;AA302)/$C$2:$N$2)),0),0)</f>
        <v/>
      </c>
      <c r="AG302">
        <f>MAX(0,AC302-MAX(0,SUMPRODUCT(($C$2:$N$2=AA302)*(AH302:AS302-$C$7:$N$7))))</f>
        <v/>
      </c>
      <c r="AH302">
        <f>IF(C301&lt;=0,0,ROUND(C301*(1+IF(AND(C$6&gt;0,$B302&lt;C$6),C$4,C$5)/12),2))</f>
        <v/>
      </c>
      <c r="AI302">
        <f>IF(D301&lt;=0,0,ROUND(D301*(1+IF(AND(D$6&gt;0,$B302&lt;D$6),D$4,D$5)/12),2))</f>
        <v/>
      </c>
      <c r="AJ302">
        <f>IF(E301&lt;=0,0,ROUND(E301*(1+IF(AND(E$6&gt;0,$B302&lt;E$6),E$4,E$5)/12),2))</f>
        <v/>
      </c>
      <c r="AK302">
        <f>IF(F301&lt;=0,0,ROUND(F301*(1+IF(AND(F$6&gt;0,$B302&lt;F$6),F$4,F$5)/12),2))</f>
        <v/>
      </c>
      <c r="AL302">
        <f>IF(G301&lt;=0,0,ROUND(G301*(1+IF(AND(G$6&gt;0,$B302&lt;G$6),G$4,G$5)/12),2))</f>
        <v/>
      </c>
      <c r="AM302">
        <f>IF(H301&lt;=0,0,ROUND(H301*(1+IF(AND(H$6&gt;0,$B302&lt;H$6),H$4,H$5)/12),2))</f>
        <v/>
      </c>
      <c r="AN302">
        <f>IF(I301&lt;=0,0,ROUND(I301*(1+IF(AND(I$6&gt;0,$B302&lt;I$6),I$4,I$5)/12),2))</f>
        <v/>
      </c>
      <c r="AO302">
        <f>IF(J301&lt;=0,0,ROUND(J301*(1+IF(AND(J$6&gt;0,$B302&lt;J$6),J$4,J$5)/12),2))</f>
        <v/>
      </c>
      <c r="AP302">
        <f>IF(K301&lt;=0,0,ROUND(K301*(1+IF(AND(K$6&gt;0,$B302&lt;K$6),K$4,K$5)/12),2))</f>
        <v/>
      </c>
      <c r="AQ302">
        <f>IF(L301&lt;=0,0,ROUND(L301*(1+IF(AND(L$6&gt;0,$B302&lt;L$6),L$4,L$5)/12),2))</f>
        <v/>
      </c>
      <c r="AR302">
        <f>IF(M301&lt;=0,0,ROUND(M301*(1+IF(AND(M$6&gt;0,$B302&lt;M$6),M$4,M$5)/12),2))</f>
        <v/>
      </c>
      <c r="AS302">
        <f>IF(N301&lt;=0,0,ROUND(N301*(1+IF(AND(N$6&gt;0,$B302&lt;N$6),N$4,N$5)/12),2))</f>
        <v/>
      </c>
    </row>
    <row r="303">
      <c r="A303" t="n">
        <v>292</v>
      </c>
      <c r="B303">
        <f>EDATE(Plan!$C$6,291)</f>
        <v/>
      </c>
      <c r="C303">
        <f>IF(C302&lt;=0,0,MAX(0,AH303-O303))</f>
        <v/>
      </c>
      <c r="D303">
        <f>IF(D302&lt;=0,0,MAX(0,AI303-P303))</f>
        <v/>
      </c>
      <c r="E303">
        <f>IF(E302&lt;=0,0,MAX(0,AJ303-Q303))</f>
        <v/>
      </c>
      <c r="F303">
        <f>IF(F302&lt;=0,0,MAX(0,AK303-R303))</f>
        <v/>
      </c>
      <c r="G303">
        <f>IF(G302&lt;=0,0,MAX(0,AL303-S303))</f>
        <v/>
      </c>
      <c r="H303">
        <f>IF(H302&lt;=0,0,MAX(0,AM303-T303))</f>
        <v/>
      </c>
      <c r="I303">
        <f>IF(I302&lt;=0,0,MAX(0,AN303-U303))</f>
        <v/>
      </c>
      <c r="J303">
        <f>IF(J302&lt;=0,0,MAX(0,AO303-V303))</f>
        <v/>
      </c>
      <c r="K303">
        <f>IF(K302&lt;=0,0,MAX(0,AP303-W303))</f>
        <v/>
      </c>
      <c r="L303">
        <f>IF(L302&lt;=0,0,MAX(0,AQ303-X303))</f>
        <v/>
      </c>
      <c r="M303">
        <f>IF(M302&lt;=0,0,MAX(0,AR303-Y303))</f>
        <v/>
      </c>
      <c r="N303">
        <f>IF(N302&lt;=0,0,MAX(0,AS303-Z303))</f>
        <v/>
      </c>
      <c r="O303">
        <f>IF(C302&lt;=0,0,MIN(AH303,C$7+IF(C$2=$AA303,$AC303,IF(C$2=$AF303,$AG303,0))))</f>
        <v/>
      </c>
      <c r="P303">
        <f>IF(D302&lt;=0,0,MIN(AI303,D$7+IF(D$2=$AA303,$AC303,IF(D$2=$AF303,$AG303,0))))</f>
        <v/>
      </c>
      <c r="Q303">
        <f>IF(E302&lt;=0,0,MIN(AJ303,E$7+IF(E$2=$AA303,$AC303,IF(E$2=$AF303,$AG303,0))))</f>
        <v/>
      </c>
      <c r="R303">
        <f>IF(F302&lt;=0,0,MIN(AK303,F$7+IF(F$2=$AA303,$AC303,IF(F$2=$AF303,$AG303,0))))</f>
        <v/>
      </c>
      <c r="S303">
        <f>IF(G302&lt;=0,0,MIN(AL303,G$7+IF(G$2=$AA303,$AC303,IF(G$2=$AF303,$AG303,0))))</f>
        <v/>
      </c>
      <c r="T303">
        <f>IF(H302&lt;=0,0,MIN(AM303,H$7+IF(H$2=$AA303,$AC303,IF(H$2=$AF303,$AG303,0))))</f>
        <v/>
      </c>
      <c r="U303">
        <f>IF(I302&lt;=0,0,MIN(AN303,I$7+IF(I$2=$AA303,$AC303,IF(I$2=$AF303,$AG303,0))))</f>
        <v/>
      </c>
      <c r="V303">
        <f>IF(J302&lt;=0,0,MIN(AO303,J$7+IF(J$2=$AA303,$AC303,IF(J$2=$AF303,$AG303,0))))</f>
        <v/>
      </c>
      <c r="W303">
        <f>IF(K302&lt;=0,0,MIN(AP303,K$7+IF(K$2=$AA303,$AC303,IF(K$2=$AF303,$AG303,0))))</f>
        <v/>
      </c>
      <c r="X303">
        <f>IF(L302&lt;=0,0,MIN(AQ303,L$7+IF(L$2=$AA303,$AC303,IF(L$2=$AF303,$AG303,0))))</f>
        <v/>
      </c>
      <c r="Y303">
        <f>IF(M302&lt;=0,0,MIN(AR303,M$7+IF(M$2=$AA303,$AC303,IF(M$2=$AF303,$AG303,0))))</f>
        <v/>
      </c>
      <c r="Z303">
        <f>IF(N302&lt;=0,0,MIN(AS303,N$7+IF(N$2=$AA303,$AC303,IF(N$2=$AF303,$AG303,0))))</f>
        <v/>
      </c>
      <c r="AA303">
        <f>IFERROR(ROUND(1/SUMPRODUCT(MAX((C302:N302&gt;0)*($C$3:$N$3&lt;=B303)/$C$2:$N$2)),0),0)</f>
        <v/>
      </c>
      <c r="AB303">
        <f>SUMPRODUCT((C302:N302&gt;0)*$C$7:$N$7)</f>
        <v/>
      </c>
      <c r="AC303">
        <f>MAX(0,Plan!$C$5-AB303)+IF(A303=Plan!$C$8,N(Plan!$C$7),0)</f>
        <v/>
      </c>
      <c r="AD303">
        <f>SUM(C303:N303)</f>
        <v/>
      </c>
      <c r="AE303">
        <f>SUM(O303:Z303)</f>
        <v/>
      </c>
      <c r="AF303">
        <f>IFERROR(ROUND(1/SUMPRODUCT(MAX((C302:N302&gt;0)*($C$3:$N$3&lt;=B303)*($C$2:$N$2&gt;AA303)/$C$2:$N$2)),0),0)</f>
        <v/>
      </c>
      <c r="AG303">
        <f>MAX(0,AC303-MAX(0,SUMPRODUCT(($C$2:$N$2=AA303)*(AH303:AS303-$C$7:$N$7))))</f>
        <v/>
      </c>
      <c r="AH303">
        <f>IF(C302&lt;=0,0,ROUND(C302*(1+IF(AND(C$6&gt;0,$B303&lt;C$6),C$4,C$5)/12),2))</f>
        <v/>
      </c>
      <c r="AI303">
        <f>IF(D302&lt;=0,0,ROUND(D302*(1+IF(AND(D$6&gt;0,$B303&lt;D$6),D$4,D$5)/12),2))</f>
        <v/>
      </c>
      <c r="AJ303">
        <f>IF(E302&lt;=0,0,ROUND(E302*(1+IF(AND(E$6&gt;0,$B303&lt;E$6),E$4,E$5)/12),2))</f>
        <v/>
      </c>
      <c r="AK303">
        <f>IF(F302&lt;=0,0,ROUND(F302*(1+IF(AND(F$6&gt;0,$B303&lt;F$6),F$4,F$5)/12),2))</f>
        <v/>
      </c>
      <c r="AL303">
        <f>IF(G302&lt;=0,0,ROUND(G302*(1+IF(AND(G$6&gt;0,$B303&lt;G$6),G$4,G$5)/12),2))</f>
        <v/>
      </c>
      <c r="AM303">
        <f>IF(H302&lt;=0,0,ROUND(H302*(1+IF(AND(H$6&gt;0,$B303&lt;H$6),H$4,H$5)/12),2))</f>
        <v/>
      </c>
      <c r="AN303">
        <f>IF(I302&lt;=0,0,ROUND(I302*(1+IF(AND(I$6&gt;0,$B303&lt;I$6),I$4,I$5)/12),2))</f>
        <v/>
      </c>
      <c r="AO303">
        <f>IF(J302&lt;=0,0,ROUND(J302*(1+IF(AND(J$6&gt;0,$B303&lt;J$6),J$4,J$5)/12),2))</f>
        <v/>
      </c>
      <c r="AP303">
        <f>IF(K302&lt;=0,0,ROUND(K302*(1+IF(AND(K$6&gt;0,$B303&lt;K$6),K$4,K$5)/12),2))</f>
        <v/>
      </c>
      <c r="AQ303">
        <f>IF(L302&lt;=0,0,ROUND(L302*(1+IF(AND(L$6&gt;0,$B303&lt;L$6),L$4,L$5)/12),2))</f>
        <v/>
      </c>
      <c r="AR303">
        <f>IF(M302&lt;=0,0,ROUND(M302*(1+IF(AND(M$6&gt;0,$B303&lt;M$6),M$4,M$5)/12),2))</f>
        <v/>
      </c>
      <c r="AS303">
        <f>IF(N302&lt;=0,0,ROUND(N302*(1+IF(AND(N$6&gt;0,$B303&lt;N$6),N$4,N$5)/12),2))</f>
        <v/>
      </c>
    </row>
    <row r="304">
      <c r="A304" t="n">
        <v>293</v>
      </c>
      <c r="B304">
        <f>EDATE(Plan!$C$6,292)</f>
        <v/>
      </c>
      <c r="C304">
        <f>IF(C303&lt;=0,0,MAX(0,AH304-O304))</f>
        <v/>
      </c>
      <c r="D304">
        <f>IF(D303&lt;=0,0,MAX(0,AI304-P304))</f>
        <v/>
      </c>
      <c r="E304">
        <f>IF(E303&lt;=0,0,MAX(0,AJ304-Q304))</f>
        <v/>
      </c>
      <c r="F304">
        <f>IF(F303&lt;=0,0,MAX(0,AK304-R304))</f>
        <v/>
      </c>
      <c r="G304">
        <f>IF(G303&lt;=0,0,MAX(0,AL304-S304))</f>
        <v/>
      </c>
      <c r="H304">
        <f>IF(H303&lt;=0,0,MAX(0,AM304-T304))</f>
        <v/>
      </c>
      <c r="I304">
        <f>IF(I303&lt;=0,0,MAX(0,AN304-U304))</f>
        <v/>
      </c>
      <c r="J304">
        <f>IF(J303&lt;=0,0,MAX(0,AO304-V304))</f>
        <v/>
      </c>
      <c r="K304">
        <f>IF(K303&lt;=0,0,MAX(0,AP304-W304))</f>
        <v/>
      </c>
      <c r="L304">
        <f>IF(L303&lt;=0,0,MAX(0,AQ304-X304))</f>
        <v/>
      </c>
      <c r="M304">
        <f>IF(M303&lt;=0,0,MAX(0,AR304-Y304))</f>
        <v/>
      </c>
      <c r="N304">
        <f>IF(N303&lt;=0,0,MAX(0,AS304-Z304))</f>
        <v/>
      </c>
      <c r="O304">
        <f>IF(C303&lt;=0,0,MIN(AH304,C$7+IF(C$2=$AA304,$AC304,IF(C$2=$AF304,$AG304,0))))</f>
        <v/>
      </c>
      <c r="P304">
        <f>IF(D303&lt;=0,0,MIN(AI304,D$7+IF(D$2=$AA304,$AC304,IF(D$2=$AF304,$AG304,0))))</f>
        <v/>
      </c>
      <c r="Q304">
        <f>IF(E303&lt;=0,0,MIN(AJ304,E$7+IF(E$2=$AA304,$AC304,IF(E$2=$AF304,$AG304,0))))</f>
        <v/>
      </c>
      <c r="R304">
        <f>IF(F303&lt;=0,0,MIN(AK304,F$7+IF(F$2=$AA304,$AC304,IF(F$2=$AF304,$AG304,0))))</f>
        <v/>
      </c>
      <c r="S304">
        <f>IF(G303&lt;=0,0,MIN(AL304,G$7+IF(G$2=$AA304,$AC304,IF(G$2=$AF304,$AG304,0))))</f>
        <v/>
      </c>
      <c r="T304">
        <f>IF(H303&lt;=0,0,MIN(AM304,H$7+IF(H$2=$AA304,$AC304,IF(H$2=$AF304,$AG304,0))))</f>
        <v/>
      </c>
      <c r="U304">
        <f>IF(I303&lt;=0,0,MIN(AN304,I$7+IF(I$2=$AA304,$AC304,IF(I$2=$AF304,$AG304,0))))</f>
        <v/>
      </c>
      <c r="V304">
        <f>IF(J303&lt;=0,0,MIN(AO304,J$7+IF(J$2=$AA304,$AC304,IF(J$2=$AF304,$AG304,0))))</f>
        <v/>
      </c>
      <c r="W304">
        <f>IF(K303&lt;=0,0,MIN(AP304,K$7+IF(K$2=$AA304,$AC304,IF(K$2=$AF304,$AG304,0))))</f>
        <v/>
      </c>
      <c r="X304">
        <f>IF(L303&lt;=0,0,MIN(AQ304,L$7+IF(L$2=$AA304,$AC304,IF(L$2=$AF304,$AG304,0))))</f>
        <v/>
      </c>
      <c r="Y304">
        <f>IF(M303&lt;=0,0,MIN(AR304,M$7+IF(M$2=$AA304,$AC304,IF(M$2=$AF304,$AG304,0))))</f>
        <v/>
      </c>
      <c r="Z304">
        <f>IF(N303&lt;=0,0,MIN(AS304,N$7+IF(N$2=$AA304,$AC304,IF(N$2=$AF304,$AG304,0))))</f>
        <v/>
      </c>
      <c r="AA304">
        <f>IFERROR(ROUND(1/SUMPRODUCT(MAX((C303:N303&gt;0)*($C$3:$N$3&lt;=B304)/$C$2:$N$2)),0),0)</f>
        <v/>
      </c>
      <c r="AB304">
        <f>SUMPRODUCT((C303:N303&gt;0)*$C$7:$N$7)</f>
        <v/>
      </c>
      <c r="AC304">
        <f>MAX(0,Plan!$C$5-AB304)+IF(A304=Plan!$C$8,N(Plan!$C$7),0)</f>
        <v/>
      </c>
      <c r="AD304">
        <f>SUM(C304:N304)</f>
        <v/>
      </c>
      <c r="AE304">
        <f>SUM(O304:Z304)</f>
        <v/>
      </c>
      <c r="AF304">
        <f>IFERROR(ROUND(1/SUMPRODUCT(MAX((C303:N303&gt;0)*($C$3:$N$3&lt;=B304)*($C$2:$N$2&gt;AA304)/$C$2:$N$2)),0),0)</f>
        <v/>
      </c>
      <c r="AG304">
        <f>MAX(0,AC304-MAX(0,SUMPRODUCT(($C$2:$N$2=AA304)*(AH304:AS304-$C$7:$N$7))))</f>
        <v/>
      </c>
      <c r="AH304">
        <f>IF(C303&lt;=0,0,ROUND(C303*(1+IF(AND(C$6&gt;0,$B304&lt;C$6),C$4,C$5)/12),2))</f>
        <v/>
      </c>
      <c r="AI304">
        <f>IF(D303&lt;=0,0,ROUND(D303*(1+IF(AND(D$6&gt;0,$B304&lt;D$6),D$4,D$5)/12),2))</f>
        <v/>
      </c>
      <c r="AJ304">
        <f>IF(E303&lt;=0,0,ROUND(E303*(1+IF(AND(E$6&gt;0,$B304&lt;E$6),E$4,E$5)/12),2))</f>
        <v/>
      </c>
      <c r="AK304">
        <f>IF(F303&lt;=0,0,ROUND(F303*(1+IF(AND(F$6&gt;0,$B304&lt;F$6),F$4,F$5)/12),2))</f>
        <v/>
      </c>
      <c r="AL304">
        <f>IF(G303&lt;=0,0,ROUND(G303*(1+IF(AND(G$6&gt;0,$B304&lt;G$6),G$4,G$5)/12),2))</f>
        <v/>
      </c>
      <c r="AM304">
        <f>IF(H303&lt;=0,0,ROUND(H303*(1+IF(AND(H$6&gt;0,$B304&lt;H$6),H$4,H$5)/12),2))</f>
        <v/>
      </c>
      <c r="AN304">
        <f>IF(I303&lt;=0,0,ROUND(I303*(1+IF(AND(I$6&gt;0,$B304&lt;I$6),I$4,I$5)/12),2))</f>
        <v/>
      </c>
      <c r="AO304">
        <f>IF(J303&lt;=0,0,ROUND(J303*(1+IF(AND(J$6&gt;0,$B304&lt;J$6),J$4,J$5)/12),2))</f>
        <v/>
      </c>
      <c r="AP304">
        <f>IF(K303&lt;=0,0,ROUND(K303*(1+IF(AND(K$6&gt;0,$B304&lt;K$6),K$4,K$5)/12),2))</f>
        <v/>
      </c>
      <c r="AQ304">
        <f>IF(L303&lt;=0,0,ROUND(L303*(1+IF(AND(L$6&gt;0,$B304&lt;L$6),L$4,L$5)/12),2))</f>
        <v/>
      </c>
      <c r="AR304">
        <f>IF(M303&lt;=0,0,ROUND(M303*(1+IF(AND(M$6&gt;0,$B304&lt;M$6),M$4,M$5)/12),2))</f>
        <v/>
      </c>
      <c r="AS304">
        <f>IF(N303&lt;=0,0,ROUND(N303*(1+IF(AND(N$6&gt;0,$B304&lt;N$6),N$4,N$5)/12),2))</f>
        <v/>
      </c>
    </row>
    <row r="305">
      <c r="A305" t="n">
        <v>294</v>
      </c>
      <c r="B305">
        <f>EDATE(Plan!$C$6,293)</f>
        <v/>
      </c>
      <c r="C305">
        <f>IF(C304&lt;=0,0,MAX(0,AH305-O305))</f>
        <v/>
      </c>
      <c r="D305">
        <f>IF(D304&lt;=0,0,MAX(0,AI305-P305))</f>
        <v/>
      </c>
      <c r="E305">
        <f>IF(E304&lt;=0,0,MAX(0,AJ305-Q305))</f>
        <v/>
      </c>
      <c r="F305">
        <f>IF(F304&lt;=0,0,MAX(0,AK305-R305))</f>
        <v/>
      </c>
      <c r="G305">
        <f>IF(G304&lt;=0,0,MAX(0,AL305-S305))</f>
        <v/>
      </c>
      <c r="H305">
        <f>IF(H304&lt;=0,0,MAX(0,AM305-T305))</f>
        <v/>
      </c>
      <c r="I305">
        <f>IF(I304&lt;=0,0,MAX(0,AN305-U305))</f>
        <v/>
      </c>
      <c r="J305">
        <f>IF(J304&lt;=0,0,MAX(0,AO305-V305))</f>
        <v/>
      </c>
      <c r="K305">
        <f>IF(K304&lt;=0,0,MAX(0,AP305-W305))</f>
        <v/>
      </c>
      <c r="L305">
        <f>IF(L304&lt;=0,0,MAX(0,AQ305-X305))</f>
        <v/>
      </c>
      <c r="M305">
        <f>IF(M304&lt;=0,0,MAX(0,AR305-Y305))</f>
        <v/>
      </c>
      <c r="N305">
        <f>IF(N304&lt;=0,0,MAX(0,AS305-Z305))</f>
        <v/>
      </c>
      <c r="O305">
        <f>IF(C304&lt;=0,0,MIN(AH305,C$7+IF(C$2=$AA305,$AC305,IF(C$2=$AF305,$AG305,0))))</f>
        <v/>
      </c>
      <c r="P305">
        <f>IF(D304&lt;=0,0,MIN(AI305,D$7+IF(D$2=$AA305,$AC305,IF(D$2=$AF305,$AG305,0))))</f>
        <v/>
      </c>
      <c r="Q305">
        <f>IF(E304&lt;=0,0,MIN(AJ305,E$7+IF(E$2=$AA305,$AC305,IF(E$2=$AF305,$AG305,0))))</f>
        <v/>
      </c>
      <c r="R305">
        <f>IF(F304&lt;=0,0,MIN(AK305,F$7+IF(F$2=$AA305,$AC305,IF(F$2=$AF305,$AG305,0))))</f>
        <v/>
      </c>
      <c r="S305">
        <f>IF(G304&lt;=0,0,MIN(AL305,G$7+IF(G$2=$AA305,$AC305,IF(G$2=$AF305,$AG305,0))))</f>
        <v/>
      </c>
      <c r="T305">
        <f>IF(H304&lt;=0,0,MIN(AM305,H$7+IF(H$2=$AA305,$AC305,IF(H$2=$AF305,$AG305,0))))</f>
        <v/>
      </c>
      <c r="U305">
        <f>IF(I304&lt;=0,0,MIN(AN305,I$7+IF(I$2=$AA305,$AC305,IF(I$2=$AF305,$AG305,0))))</f>
        <v/>
      </c>
      <c r="V305">
        <f>IF(J304&lt;=0,0,MIN(AO305,J$7+IF(J$2=$AA305,$AC305,IF(J$2=$AF305,$AG305,0))))</f>
        <v/>
      </c>
      <c r="W305">
        <f>IF(K304&lt;=0,0,MIN(AP305,K$7+IF(K$2=$AA305,$AC305,IF(K$2=$AF305,$AG305,0))))</f>
        <v/>
      </c>
      <c r="X305">
        <f>IF(L304&lt;=0,0,MIN(AQ305,L$7+IF(L$2=$AA305,$AC305,IF(L$2=$AF305,$AG305,0))))</f>
        <v/>
      </c>
      <c r="Y305">
        <f>IF(M304&lt;=0,0,MIN(AR305,M$7+IF(M$2=$AA305,$AC305,IF(M$2=$AF305,$AG305,0))))</f>
        <v/>
      </c>
      <c r="Z305">
        <f>IF(N304&lt;=0,0,MIN(AS305,N$7+IF(N$2=$AA305,$AC305,IF(N$2=$AF305,$AG305,0))))</f>
        <v/>
      </c>
      <c r="AA305">
        <f>IFERROR(ROUND(1/SUMPRODUCT(MAX((C304:N304&gt;0)*($C$3:$N$3&lt;=B305)/$C$2:$N$2)),0),0)</f>
        <v/>
      </c>
      <c r="AB305">
        <f>SUMPRODUCT((C304:N304&gt;0)*$C$7:$N$7)</f>
        <v/>
      </c>
      <c r="AC305">
        <f>MAX(0,Plan!$C$5-AB305)+IF(A305=Plan!$C$8,N(Plan!$C$7),0)</f>
        <v/>
      </c>
      <c r="AD305">
        <f>SUM(C305:N305)</f>
        <v/>
      </c>
      <c r="AE305">
        <f>SUM(O305:Z305)</f>
        <v/>
      </c>
      <c r="AF305">
        <f>IFERROR(ROUND(1/SUMPRODUCT(MAX((C304:N304&gt;0)*($C$3:$N$3&lt;=B305)*($C$2:$N$2&gt;AA305)/$C$2:$N$2)),0),0)</f>
        <v/>
      </c>
      <c r="AG305">
        <f>MAX(0,AC305-MAX(0,SUMPRODUCT(($C$2:$N$2=AA305)*(AH305:AS305-$C$7:$N$7))))</f>
        <v/>
      </c>
      <c r="AH305">
        <f>IF(C304&lt;=0,0,ROUND(C304*(1+IF(AND(C$6&gt;0,$B305&lt;C$6),C$4,C$5)/12),2))</f>
        <v/>
      </c>
      <c r="AI305">
        <f>IF(D304&lt;=0,0,ROUND(D304*(1+IF(AND(D$6&gt;0,$B305&lt;D$6),D$4,D$5)/12),2))</f>
        <v/>
      </c>
      <c r="AJ305">
        <f>IF(E304&lt;=0,0,ROUND(E304*(1+IF(AND(E$6&gt;0,$B305&lt;E$6),E$4,E$5)/12),2))</f>
        <v/>
      </c>
      <c r="AK305">
        <f>IF(F304&lt;=0,0,ROUND(F304*(1+IF(AND(F$6&gt;0,$B305&lt;F$6),F$4,F$5)/12),2))</f>
        <v/>
      </c>
      <c r="AL305">
        <f>IF(G304&lt;=0,0,ROUND(G304*(1+IF(AND(G$6&gt;0,$B305&lt;G$6),G$4,G$5)/12),2))</f>
        <v/>
      </c>
      <c r="AM305">
        <f>IF(H304&lt;=0,0,ROUND(H304*(1+IF(AND(H$6&gt;0,$B305&lt;H$6),H$4,H$5)/12),2))</f>
        <v/>
      </c>
      <c r="AN305">
        <f>IF(I304&lt;=0,0,ROUND(I304*(1+IF(AND(I$6&gt;0,$B305&lt;I$6),I$4,I$5)/12),2))</f>
        <v/>
      </c>
      <c r="AO305">
        <f>IF(J304&lt;=0,0,ROUND(J304*(1+IF(AND(J$6&gt;0,$B305&lt;J$6),J$4,J$5)/12),2))</f>
        <v/>
      </c>
      <c r="AP305">
        <f>IF(K304&lt;=0,0,ROUND(K304*(1+IF(AND(K$6&gt;0,$B305&lt;K$6),K$4,K$5)/12),2))</f>
        <v/>
      </c>
      <c r="AQ305">
        <f>IF(L304&lt;=0,0,ROUND(L304*(1+IF(AND(L$6&gt;0,$B305&lt;L$6),L$4,L$5)/12),2))</f>
        <v/>
      </c>
      <c r="AR305">
        <f>IF(M304&lt;=0,0,ROUND(M304*(1+IF(AND(M$6&gt;0,$B305&lt;M$6),M$4,M$5)/12),2))</f>
        <v/>
      </c>
      <c r="AS305">
        <f>IF(N304&lt;=0,0,ROUND(N304*(1+IF(AND(N$6&gt;0,$B305&lt;N$6),N$4,N$5)/12),2))</f>
        <v/>
      </c>
    </row>
    <row r="306">
      <c r="A306" t="n">
        <v>295</v>
      </c>
      <c r="B306">
        <f>EDATE(Plan!$C$6,294)</f>
        <v/>
      </c>
      <c r="C306">
        <f>IF(C305&lt;=0,0,MAX(0,AH306-O306))</f>
        <v/>
      </c>
      <c r="D306">
        <f>IF(D305&lt;=0,0,MAX(0,AI306-P306))</f>
        <v/>
      </c>
      <c r="E306">
        <f>IF(E305&lt;=0,0,MAX(0,AJ306-Q306))</f>
        <v/>
      </c>
      <c r="F306">
        <f>IF(F305&lt;=0,0,MAX(0,AK306-R306))</f>
        <v/>
      </c>
      <c r="G306">
        <f>IF(G305&lt;=0,0,MAX(0,AL306-S306))</f>
        <v/>
      </c>
      <c r="H306">
        <f>IF(H305&lt;=0,0,MAX(0,AM306-T306))</f>
        <v/>
      </c>
      <c r="I306">
        <f>IF(I305&lt;=0,0,MAX(0,AN306-U306))</f>
        <v/>
      </c>
      <c r="J306">
        <f>IF(J305&lt;=0,0,MAX(0,AO306-V306))</f>
        <v/>
      </c>
      <c r="K306">
        <f>IF(K305&lt;=0,0,MAX(0,AP306-W306))</f>
        <v/>
      </c>
      <c r="L306">
        <f>IF(L305&lt;=0,0,MAX(0,AQ306-X306))</f>
        <v/>
      </c>
      <c r="M306">
        <f>IF(M305&lt;=0,0,MAX(0,AR306-Y306))</f>
        <v/>
      </c>
      <c r="N306">
        <f>IF(N305&lt;=0,0,MAX(0,AS306-Z306))</f>
        <v/>
      </c>
      <c r="O306">
        <f>IF(C305&lt;=0,0,MIN(AH306,C$7+IF(C$2=$AA306,$AC306,IF(C$2=$AF306,$AG306,0))))</f>
        <v/>
      </c>
      <c r="P306">
        <f>IF(D305&lt;=0,0,MIN(AI306,D$7+IF(D$2=$AA306,$AC306,IF(D$2=$AF306,$AG306,0))))</f>
        <v/>
      </c>
      <c r="Q306">
        <f>IF(E305&lt;=0,0,MIN(AJ306,E$7+IF(E$2=$AA306,$AC306,IF(E$2=$AF306,$AG306,0))))</f>
        <v/>
      </c>
      <c r="R306">
        <f>IF(F305&lt;=0,0,MIN(AK306,F$7+IF(F$2=$AA306,$AC306,IF(F$2=$AF306,$AG306,0))))</f>
        <v/>
      </c>
      <c r="S306">
        <f>IF(G305&lt;=0,0,MIN(AL306,G$7+IF(G$2=$AA306,$AC306,IF(G$2=$AF306,$AG306,0))))</f>
        <v/>
      </c>
      <c r="T306">
        <f>IF(H305&lt;=0,0,MIN(AM306,H$7+IF(H$2=$AA306,$AC306,IF(H$2=$AF306,$AG306,0))))</f>
        <v/>
      </c>
      <c r="U306">
        <f>IF(I305&lt;=0,0,MIN(AN306,I$7+IF(I$2=$AA306,$AC306,IF(I$2=$AF306,$AG306,0))))</f>
        <v/>
      </c>
      <c r="V306">
        <f>IF(J305&lt;=0,0,MIN(AO306,J$7+IF(J$2=$AA306,$AC306,IF(J$2=$AF306,$AG306,0))))</f>
        <v/>
      </c>
      <c r="W306">
        <f>IF(K305&lt;=0,0,MIN(AP306,K$7+IF(K$2=$AA306,$AC306,IF(K$2=$AF306,$AG306,0))))</f>
        <v/>
      </c>
      <c r="X306">
        <f>IF(L305&lt;=0,0,MIN(AQ306,L$7+IF(L$2=$AA306,$AC306,IF(L$2=$AF306,$AG306,0))))</f>
        <v/>
      </c>
      <c r="Y306">
        <f>IF(M305&lt;=0,0,MIN(AR306,M$7+IF(M$2=$AA306,$AC306,IF(M$2=$AF306,$AG306,0))))</f>
        <v/>
      </c>
      <c r="Z306">
        <f>IF(N305&lt;=0,0,MIN(AS306,N$7+IF(N$2=$AA306,$AC306,IF(N$2=$AF306,$AG306,0))))</f>
        <v/>
      </c>
      <c r="AA306">
        <f>IFERROR(ROUND(1/SUMPRODUCT(MAX((C305:N305&gt;0)*($C$3:$N$3&lt;=B306)/$C$2:$N$2)),0),0)</f>
        <v/>
      </c>
      <c r="AB306">
        <f>SUMPRODUCT((C305:N305&gt;0)*$C$7:$N$7)</f>
        <v/>
      </c>
      <c r="AC306">
        <f>MAX(0,Plan!$C$5-AB306)+IF(A306=Plan!$C$8,N(Plan!$C$7),0)</f>
        <v/>
      </c>
      <c r="AD306">
        <f>SUM(C306:N306)</f>
        <v/>
      </c>
      <c r="AE306">
        <f>SUM(O306:Z306)</f>
        <v/>
      </c>
      <c r="AF306">
        <f>IFERROR(ROUND(1/SUMPRODUCT(MAX((C305:N305&gt;0)*($C$3:$N$3&lt;=B306)*($C$2:$N$2&gt;AA306)/$C$2:$N$2)),0),0)</f>
        <v/>
      </c>
      <c r="AG306">
        <f>MAX(0,AC306-MAX(0,SUMPRODUCT(($C$2:$N$2=AA306)*(AH306:AS306-$C$7:$N$7))))</f>
        <v/>
      </c>
      <c r="AH306">
        <f>IF(C305&lt;=0,0,ROUND(C305*(1+IF(AND(C$6&gt;0,$B306&lt;C$6),C$4,C$5)/12),2))</f>
        <v/>
      </c>
      <c r="AI306">
        <f>IF(D305&lt;=0,0,ROUND(D305*(1+IF(AND(D$6&gt;0,$B306&lt;D$6),D$4,D$5)/12),2))</f>
        <v/>
      </c>
      <c r="AJ306">
        <f>IF(E305&lt;=0,0,ROUND(E305*(1+IF(AND(E$6&gt;0,$B306&lt;E$6),E$4,E$5)/12),2))</f>
        <v/>
      </c>
      <c r="AK306">
        <f>IF(F305&lt;=0,0,ROUND(F305*(1+IF(AND(F$6&gt;0,$B306&lt;F$6),F$4,F$5)/12),2))</f>
        <v/>
      </c>
      <c r="AL306">
        <f>IF(G305&lt;=0,0,ROUND(G305*(1+IF(AND(G$6&gt;0,$B306&lt;G$6),G$4,G$5)/12),2))</f>
        <v/>
      </c>
      <c r="AM306">
        <f>IF(H305&lt;=0,0,ROUND(H305*(1+IF(AND(H$6&gt;0,$B306&lt;H$6),H$4,H$5)/12),2))</f>
        <v/>
      </c>
      <c r="AN306">
        <f>IF(I305&lt;=0,0,ROUND(I305*(1+IF(AND(I$6&gt;0,$B306&lt;I$6),I$4,I$5)/12),2))</f>
        <v/>
      </c>
      <c r="AO306">
        <f>IF(J305&lt;=0,0,ROUND(J305*(1+IF(AND(J$6&gt;0,$B306&lt;J$6),J$4,J$5)/12),2))</f>
        <v/>
      </c>
      <c r="AP306">
        <f>IF(K305&lt;=0,0,ROUND(K305*(1+IF(AND(K$6&gt;0,$B306&lt;K$6),K$4,K$5)/12),2))</f>
        <v/>
      </c>
      <c r="AQ306">
        <f>IF(L305&lt;=0,0,ROUND(L305*(1+IF(AND(L$6&gt;0,$B306&lt;L$6),L$4,L$5)/12),2))</f>
        <v/>
      </c>
      <c r="AR306">
        <f>IF(M305&lt;=0,0,ROUND(M305*(1+IF(AND(M$6&gt;0,$B306&lt;M$6),M$4,M$5)/12),2))</f>
        <v/>
      </c>
      <c r="AS306">
        <f>IF(N305&lt;=0,0,ROUND(N305*(1+IF(AND(N$6&gt;0,$B306&lt;N$6),N$4,N$5)/12),2))</f>
        <v/>
      </c>
    </row>
    <row r="307">
      <c r="A307" t="n">
        <v>296</v>
      </c>
      <c r="B307">
        <f>EDATE(Plan!$C$6,295)</f>
        <v/>
      </c>
      <c r="C307">
        <f>IF(C306&lt;=0,0,MAX(0,AH307-O307))</f>
        <v/>
      </c>
      <c r="D307">
        <f>IF(D306&lt;=0,0,MAX(0,AI307-P307))</f>
        <v/>
      </c>
      <c r="E307">
        <f>IF(E306&lt;=0,0,MAX(0,AJ307-Q307))</f>
        <v/>
      </c>
      <c r="F307">
        <f>IF(F306&lt;=0,0,MAX(0,AK307-R307))</f>
        <v/>
      </c>
      <c r="G307">
        <f>IF(G306&lt;=0,0,MAX(0,AL307-S307))</f>
        <v/>
      </c>
      <c r="H307">
        <f>IF(H306&lt;=0,0,MAX(0,AM307-T307))</f>
        <v/>
      </c>
      <c r="I307">
        <f>IF(I306&lt;=0,0,MAX(0,AN307-U307))</f>
        <v/>
      </c>
      <c r="J307">
        <f>IF(J306&lt;=0,0,MAX(0,AO307-V307))</f>
        <v/>
      </c>
      <c r="K307">
        <f>IF(K306&lt;=0,0,MAX(0,AP307-W307))</f>
        <v/>
      </c>
      <c r="L307">
        <f>IF(L306&lt;=0,0,MAX(0,AQ307-X307))</f>
        <v/>
      </c>
      <c r="M307">
        <f>IF(M306&lt;=0,0,MAX(0,AR307-Y307))</f>
        <v/>
      </c>
      <c r="N307">
        <f>IF(N306&lt;=0,0,MAX(0,AS307-Z307))</f>
        <v/>
      </c>
      <c r="O307">
        <f>IF(C306&lt;=0,0,MIN(AH307,C$7+IF(C$2=$AA307,$AC307,IF(C$2=$AF307,$AG307,0))))</f>
        <v/>
      </c>
      <c r="P307">
        <f>IF(D306&lt;=0,0,MIN(AI307,D$7+IF(D$2=$AA307,$AC307,IF(D$2=$AF307,$AG307,0))))</f>
        <v/>
      </c>
      <c r="Q307">
        <f>IF(E306&lt;=0,0,MIN(AJ307,E$7+IF(E$2=$AA307,$AC307,IF(E$2=$AF307,$AG307,0))))</f>
        <v/>
      </c>
      <c r="R307">
        <f>IF(F306&lt;=0,0,MIN(AK307,F$7+IF(F$2=$AA307,$AC307,IF(F$2=$AF307,$AG307,0))))</f>
        <v/>
      </c>
      <c r="S307">
        <f>IF(G306&lt;=0,0,MIN(AL307,G$7+IF(G$2=$AA307,$AC307,IF(G$2=$AF307,$AG307,0))))</f>
        <v/>
      </c>
      <c r="T307">
        <f>IF(H306&lt;=0,0,MIN(AM307,H$7+IF(H$2=$AA307,$AC307,IF(H$2=$AF307,$AG307,0))))</f>
        <v/>
      </c>
      <c r="U307">
        <f>IF(I306&lt;=0,0,MIN(AN307,I$7+IF(I$2=$AA307,$AC307,IF(I$2=$AF307,$AG307,0))))</f>
        <v/>
      </c>
      <c r="V307">
        <f>IF(J306&lt;=0,0,MIN(AO307,J$7+IF(J$2=$AA307,$AC307,IF(J$2=$AF307,$AG307,0))))</f>
        <v/>
      </c>
      <c r="W307">
        <f>IF(K306&lt;=0,0,MIN(AP307,K$7+IF(K$2=$AA307,$AC307,IF(K$2=$AF307,$AG307,0))))</f>
        <v/>
      </c>
      <c r="X307">
        <f>IF(L306&lt;=0,0,MIN(AQ307,L$7+IF(L$2=$AA307,$AC307,IF(L$2=$AF307,$AG307,0))))</f>
        <v/>
      </c>
      <c r="Y307">
        <f>IF(M306&lt;=0,0,MIN(AR307,M$7+IF(M$2=$AA307,$AC307,IF(M$2=$AF307,$AG307,0))))</f>
        <v/>
      </c>
      <c r="Z307">
        <f>IF(N306&lt;=0,0,MIN(AS307,N$7+IF(N$2=$AA307,$AC307,IF(N$2=$AF307,$AG307,0))))</f>
        <v/>
      </c>
      <c r="AA307">
        <f>IFERROR(ROUND(1/SUMPRODUCT(MAX((C306:N306&gt;0)*($C$3:$N$3&lt;=B307)/$C$2:$N$2)),0),0)</f>
        <v/>
      </c>
      <c r="AB307">
        <f>SUMPRODUCT((C306:N306&gt;0)*$C$7:$N$7)</f>
        <v/>
      </c>
      <c r="AC307">
        <f>MAX(0,Plan!$C$5-AB307)+IF(A307=Plan!$C$8,N(Plan!$C$7),0)</f>
        <v/>
      </c>
      <c r="AD307">
        <f>SUM(C307:N307)</f>
        <v/>
      </c>
      <c r="AE307">
        <f>SUM(O307:Z307)</f>
        <v/>
      </c>
      <c r="AF307">
        <f>IFERROR(ROUND(1/SUMPRODUCT(MAX((C306:N306&gt;0)*($C$3:$N$3&lt;=B307)*($C$2:$N$2&gt;AA307)/$C$2:$N$2)),0),0)</f>
        <v/>
      </c>
      <c r="AG307">
        <f>MAX(0,AC307-MAX(0,SUMPRODUCT(($C$2:$N$2=AA307)*(AH307:AS307-$C$7:$N$7))))</f>
        <v/>
      </c>
      <c r="AH307">
        <f>IF(C306&lt;=0,0,ROUND(C306*(1+IF(AND(C$6&gt;0,$B307&lt;C$6),C$4,C$5)/12),2))</f>
        <v/>
      </c>
      <c r="AI307">
        <f>IF(D306&lt;=0,0,ROUND(D306*(1+IF(AND(D$6&gt;0,$B307&lt;D$6),D$4,D$5)/12),2))</f>
        <v/>
      </c>
      <c r="AJ307">
        <f>IF(E306&lt;=0,0,ROUND(E306*(1+IF(AND(E$6&gt;0,$B307&lt;E$6),E$4,E$5)/12),2))</f>
        <v/>
      </c>
      <c r="AK307">
        <f>IF(F306&lt;=0,0,ROUND(F306*(1+IF(AND(F$6&gt;0,$B307&lt;F$6),F$4,F$5)/12),2))</f>
        <v/>
      </c>
      <c r="AL307">
        <f>IF(G306&lt;=0,0,ROUND(G306*(1+IF(AND(G$6&gt;0,$B307&lt;G$6),G$4,G$5)/12),2))</f>
        <v/>
      </c>
      <c r="AM307">
        <f>IF(H306&lt;=0,0,ROUND(H306*(1+IF(AND(H$6&gt;0,$B307&lt;H$6),H$4,H$5)/12),2))</f>
        <v/>
      </c>
      <c r="AN307">
        <f>IF(I306&lt;=0,0,ROUND(I306*(1+IF(AND(I$6&gt;0,$B307&lt;I$6),I$4,I$5)/12),2))</f>
        <v/>
      </c>
      <c r="AO307">
        <f>IF(J306&lt;=0,0,ROUND(J306*(1+IF(AND(J$6&gt;0,$B307&lt;J$6),J$4,J$5)/12),2))</f>
        <v/>
      </c>
      <c r="AP307">
        <f>IF(K306&lt;=0,0,ROUND(K306*(1+IF(AND(K$6&gt;0,$B307&lt;K$6),K$4,K$5)/12),2))</f>
        <v/>
      </c>
      <c r="AQ307">
        <f>IF(L306&lt;=0,0,ROUND(L306*(1+IF(AND(L$6&gt;0,$B307&lt;L$6),L$4,L$5)/12),2))</f>
        <v/>
      </c>
      <c r="AR307">
        <f>IF(M306&lt;=0,0,ROUND(M306*(1+IF(AND(M$6&gt;0,$B307&lt;M$6),M$4,M$5)/12),2))</f>
        <v/>
      </c>
      <c r="AS307">
        <f>IF(N306&lt;=0,0,ROUND(N306*(1+IF(AND(N$6&gt;0,$B307&lt;N$6),N$4,N$5)/12),2))</f>
        <v/>
      </c>
    </row>
    <row r="308">
      <c r="A308" t="n">
        <v>297</v>
      </c>
      <c r="B308">
        <f>EDATE(Plan!$C$6,296)</f>
        <v/>
      </c>
      <c r="C308">
        <f>IF(C307&lt;=0,0,MAX(0,AH308-O308))</f>
        <v/>
      </c>
      <c r="D308">
        <f>IF(D307&lt;=0,0,MAX(0,AI308-P308))</f>
        <v/>
      </c>
      <c r="E308">
        <f>IF(E307&lt;=0,0,MAX(0,AJ308-Q308))</f>
        <v/>
      </c>
      <c r="F308">
        <f>IF(F307&lt;=0,0,MAX(0,AK308-R308))</f>
        <v/>
      </c>
      <c r="G308">
        <f>IF(G307&lt;=0,0,MAX(0,AL308-S308))</f>
        <v/>
      </c>
      <c r="H308">
        <f>IF(H307&lt;=0,0,MAX(0,AM308-T308))</f>
        <v/>
      </c>
      <c r="I308">
        <f>IF(I307&lt;=0,0,MAX(0,AN308-U308))</f>
        <v/>
      </c>
      <c r="J308">
        <f>IF(J307&lt;=0,0,MAX(0,AO308-V308))</f>
        <v/>
      </c>
      <c r="K308">
        <f>IF(K307&lt;=0,0,MAX(0,AP308-W308))</f>
        <v/>
      </c>
      <c r="L308">
        <f>IF(L307&lt;=0,0,MAX(0,AQ308-X308))</f>
        <v/>
      </c>
      <c r="M308">
        <f>IF(M307&lt;=0,0,MAX(0,AR308-Y308))</f>
        <v/>
      </c>
      <c r="N308">
        <f>IF(N307&lt;=0,0,MAX(0,AS308-Z308))</f>
        <v/>
      </c>
      <c r="O308">
        <f>IF(C307&lt;=0,0,MIN(AH308,C$7+IF(C$2=$AA308,$AC308,IF(C$2=$AF308,$AG308,0))))</f>
        <v/>
      </c>
      <c r="P308">
        <f>IF(D307&lt;=0,0,MIN(AI308,D$7+IF(D$2=$AA308,$AC308,IF(D$2=$AF308,$AG308,0))))</f>
        <v/>
      </c>
      <c r="Q308">
        <f>IF(E307&lt;=0,0,MIN(AJ308,E$7+IF(E$2=$AA308,$AC308,IF(E$2=$AF308,$AG308,0))))</f>
        <v/>
      </c>
      <c r="R308">
        <f>IF(F307&lt;=0,0,MIN(AK308,F$7+IF(F$2=$AA308,$AC308,IF(F$2=$AF308,$AG308,0))))</f>
        <v/>
      </c>
      <c r="S308">
        <f>IF(G307&lt;=0,0,MIN(AL308,G$7+IF(G$2=$AA308,$AC308,IF(G$2=$AF308,$AG308,0))))</f>
        <v/>
      </c>
      <c r="T308">
        <f>IF(H307&lt;=0,0,MIN(AM308,H$7+IF(H$2=$AA308,$AC308,IF(H$2=$AF308,$AG308,0))))</f>
        <v/>
      </c>
      <c r="U308">
        <f>IF(I307&lt;=0,0,MIN(AN308,I$7+IF(I$2=$AA308,$AC308,IF(I$2=$AF308,$AG308,0))))</f>
        <v/>
      </c>
      <c r="V308">
        <f>IF(J307&lt;=0,0,MIN(AO308,J$7+IF(J$2=$AA308,$AC308,IF(J$2=$AF308,$AG308,0))))</f>
        <v/>
      </c>
      <c r="W308">
        <f>IF(K307&lt;=0,0,MIN(AP308,K$7+IF(K$2=$AA308,$AC308,IF(K$2=$AF308,$AG308,0))))</f>
        <v/>
      </c>
      <c r="X308">
        <f>IF(L307&lt;=0,0,MIN(AQ308,L$7+IF(L$2=$AA308,$AC308,IF(L$2=$AF308,$AG308,0))))</f>
        <v/>
      </c>
      <c r="Y308">
        <f>IF(M307&lt;=0,0,MIN(AR308,M$7+IF(M$2=$AA308,$AC308,IF(M$2=$AF308,$AG308,0))))</f>
        <v/>
      </c>
      <c r="Z308">
        <f>IF(N307&lt;=0,0,MIN(AS308,N$7+IF(N$2=$AA308,$AC308,IF(N$2=$AF308,$AG308,0))))</f>
        <v/>
      </c>
      <c r="AA308">
        <f>IFERROR(ROUND(1/SUMPRODUCT(MAX((C307:N307&gt;0)*($C$3:$N$3&lt;=B308)/$C$2:$N$2)),0),0)</f>
        <v/>
      </c>
      <c r="AB308">
        <f>SUMPRODUCT((C307:N307&gt;0)*$C$7:$N$7)</f>
        <v/>
      </c>
      <c r="AC308">
        <f>MAX(0,Plan!$C$5-AB308)+IF(A308=Plan!$C$8,N(Plan!$C$7),0)</f>
        <v/>
      </c>
      <c r="AD308">
        <f>SUM(C308:N308)</f>
        <v/>
      </c>
      <c r="AE308">
        <f>SUM(O308:Z308)</f>
        <v/>
      </c>
      <c r="AF308">
        <f>IFERROR(ROUND(1/SUMPRODUCT(MAX((C307:N307&gt;0)*($C$3:$N$3&lt;=B308)*($C$2:$N$2&gt;AA308)/$C$2:$N$2)),0),0)</f>
        <v/>
      </c>
      <c r="AG308">
        <f>MAX(0,AC308-MAX(0,SUMPRODUCT(($C$2:$N$2=AA308)*(AH308:AS308-$C$7:$N$7))))</f>
        <v/>
      </c>
      <c r="AH308">
        <f>IF(C307&lt;=0,0,ROUND(C307*(1+IF(AND(C$6&gt;0,$B308&lt;C$6),C$4,C$5)/12),2))</f>
        <v/>
      </c>
      <c r="AI308">
        <f>IF(D307&lt;=0,0,ROUND(D307*(1+IF(AND(D$6&gt;0,$B308&lt;D$6),D$4,D$5)/12),2))</f>
        <v/>
      </c>
      <c r="AJ308">
        <f>IF(E307&lt;=0,0,ROUND(E307*(1+IF(AND(E$6&gt;0,$B308&lt;E$6),E$4,E$5)/12),2))</f>
        <v/>
      </c>
      <c r="AK308">
        <f>IF(F307&lt;=0,0,ROUND(F307*(1+IF(AND(F$6&gt;0,$B308&lt;F$6),F$4,F$5)/12),2))</f>
        <v/>
      </c>
      <c r="AL308">
        <f>IF(G307&lt;=0,0,ROUND(G307*(1+IF(AND(G$6&gt;0,$B308&lt;G$6),G$4,G$5)/12),2))</f>
        <v/>
      </c>
      <c r="AM308">
        <f>IF(H307&lt;=0,0,ROUND(H307*(1+IF(AND(H$6&gt;0,$B308&lt;H$6),H$4,H$5)/12),2))</f>
        <v/>
      </c>
      <c r="AN308">
        <f>IF(I307&lt;=0,0,ROUND(I307*(1+IF(AND(I$6&gt;0,$B308&lt;I$6),I$4,I$5)/12),2))</f>
        <v/>
      </c>
      <c r="AO308">
        <f>IF(J307&lt;=0,0,ROUND(J307*(1+IF(AND(J$6&gt;0,$B308&lt;J$6),J$4,J$5)/12),2))</f>
        <v/>
      </c>
      <c r="AP308">
        <f>IF(K307&lt;=0,0,ROUND(K307*(1+IF(AND(K$6&gt;0,$B308&lt;K$6),K$4,K$5)/12),2))</f>
        <v/>
      </c>
      <c r="AQ308">
        <f>IF(L307&lt;=0,0,ROUND(L307*(1+IF(AND(L$6&gt;0,$B308&lt;L$6),L$4,L$5)/12),2))</f>
        <v/>
      </c>
      <c r="AR308">
        <f>IF(M307&lt;=0,0,ROUND(M307*(1+IF(AND(M$6&gt;0,$B308&lt;M$6),M$4,M$5)/12),2))</f>
        <v/>
      </c>
      <c r="AS308">
        <f>IF(N307&lt;=0,0,ROUND(N307*(1+IF(AND(N$6&gt;0,$B308&lt;N$6),N$4,N$5)/12),2))</f>
        <v/>
      </c>
    </row>
    <row r="309">
      <c r="A309" t="n">
        <v>298</v>
      </c>
      <c r="B309">
        <f>EDATE(Plan!$C$6,297)</f>
        <v/>
      </c>
      <c r="C309">
        <f>IF(C308&lt;=0,0,MAX(0,AH309-O309))</f>
        <v/>
      </c>
      <c r="D309">
        <f>IF(D308&lt;=0,0,MAX(0,AI309-P309))</f>
        <v/>
      </c>
      <c r="E309">
        <f>IF(E308&lt;=0,0,MAX(0,AJ309-Q309))</f>
        <v/>
      </c>
      <c r="F309">
        <f>IF(F308&lt;=0,0,MAX(0,AK309-R309))</f>
        <v/>
      </c>
      <c r="G309">
        <f>IF(G308&lt;=0,0,MAX(0,AL309-S309))</f>
        <v/>
      </c>
      <c r="H309">
        <f>IF(H308&lt;=0,0,MAX(0,AM309-T309))</f>
        <v/>
      </c>
      <c r="I309">
        <f>IF(I308&lt;=0,0,MAX(0,AN309-U309))</f>
        <v/>
      </c>
      <c r="J309">
        <f>IF(J308&lt;=0,0,MAX(0,AO309-V309))</f>
        <v/>
      </c>
      <c r="K309">
        <f>IF(K308&lt;=0,0,MAX(0,AP309-W309))</f>
        <v/>
      </c>
      <c r="L309">
        <f>IF(L308&lt;=0,0,MAX(0,AQ309-X309))</f>
        <v/>
      </c>
      <c r="M309">
        <f>IF(M308&lt;=0,0,MAX(0,AR309-Y309))</f>
        <v/>
      </c>
      <c r="N309">
        <f>IF(N308&lt;=0,0,MAX(0,AS309-Z309))</f>
        <v/>
      </c>
      <c r="O309">
        <f>IF(C308&lt;=0,0,MIN(AH309,C$7+IF(C$2=$AA309,$AC309,IF(C$2=$AF309,$AG309,0))))</f>
        <v/>
      </c>
      <c r="P309">
        <f>IF(D308&lt;=0,0,MIN(AI309,D$7+IF(D$2=$AA309,$AC309,IF(D$2=$AF309,$AG309,0))))</f>
        <v/>
      </c>
      <c r="Q309">
        <f>IF(E308&lt;=0,0,MIN(AJ309,E$7+IF(E$2=$AA309,$AC309,IF(E$2=$AF309,$AG309,0))))</f>
        <v/>
      </c>
      <c r="R309">
        <f>IF(F308&lt;=0,0,MIN(AK309,F$7+IF(F$2=$AA309,$AC309,IF(F$2=$AF309,$AG309,0))))</f>
        <v/>
      </c>
      <c r="S309">
        <f>IF(G308&lt;=0,0,MIN(AL309,G$7+IF(G$2=$AA309,$AC309,IF(G$2=$AF309,$AG309,0))))</f>
        <v/>
      </c>
      <c r="T309">
        <f>IF(H308&lt;=0,0,MIN(AM309,H$7+IF(H$2=$AA309,$AC309,IF(H$2=$AF309,$AG309,0))))</f>
        <v/>
      </c>
      <c r="U309">
        <f>IF(I308&lt;=0,0,MIN(AN309,I$7+IF(I$2=$AA309,$AC309,IF(I$2=$AF309,$AG309,0))))</f>
        <v/>
      </c>
      <c r="V309">
        <f>IF(J308&lt;=0,0,MIN(AO309,J$7+IF(J$2=$AA309,$AC309,IF(J$2=$AF309,$AG309,0))))</f>
        <v/>
      </c>
      <c r="W309">
        <f>IF(K308&lt;=0,0,MIN(AP309,K$7+IF(K$2=$AA309,$AC309,IF(K$2=$AF309,$AG309,0))))</f>
        <v/>
      </c>
      <c r="X309">
        <f>IF(L308&lt;=0,0,MIN(AQ309,L$7+IF(L$2=$AA309,$AC309,IF(L$2=$AF309,$AG309,0))))</f>
        <v/>
      </c>
      <c r="Y309">
        <f>IF(M308&lt;=0,0,MIN(AR309,M$7+IF(M$2=$AA309,$AC309,IF(M$2=$AF309,$AG309,0))))</f>
        <v/>
      </c>
      <c r="Z309">
        <f>IF(N308&lt;=0,0,MIN(AS309,N$7+IF(N$2=$AA309,$AC309,IF(N$2=$AF309,$AG309,0))))</f>
        <v/>
      </c>
      <c r="AA309">
        <f>IFERROR(ROUND(1/SUMPRODUCT(MAX((C308:N308&gt;0)*($C$3:$N$3&lt;=B309)/$C$2:$N$2)),0),0)</f>
        <v/>
      </c>
      <c r="AB309">
        <f>SUMPRODUCT((C308:N308&gt;0)*$C$7:$N$7)</f>
        <v/>
      </c>
      <c r="AC309">
        <f>MAX(0,Plan!$C$5-AB309)+IF(A309=Plan!$C$8,N(Plan!$C$7),0)</f>
        <v/>
      </c>
      <c r="AD309">
        <f>SUM(C309:N309)</f>
        <v/>
      </c>
      <c r="AE309">
        <f>SUM(O309:Z309)</f>
        <v/>
      </c>
      <c r="AF309">
        <f>IFERROR(ROUND(1/SUMPRODUCT(MAX((C308:N308&gt;0)*($C$3:$N$3&lt;=B309)*($C$2:$N$2&gt;AA309)/$C$2:$N$2)),0),0)</f>
        <v/>
      </c>
      <c r="AG309">
        <f>MAX(0,AC309-MAX(0,SUMPRODUCT(($C$2:$N$2=AA309)*(AH309:AS309-$C$7:$N$7))))</f>
        <v/>
      </c>
      <c r="AH309">
        <f>IF(C308&lt;=0,0,ROUND(C308*(1+IF(AND(C$6&gt;0,$B309&lt;C$6),C$4,C$5)/12),2))</f>
        <v/>
      </c>
      <c r="AI309">
        <f>IF(D308&lt;=0,0,ROUND(D308*(1+IF(AND(D$6&gt;0,$B309&lt;D$6),D$4,D$5)/12),2))</f>
        <v/>
      </c>
      <c r="AJ309">
        <f>IF(E308&lt;=0,0,ROUND(E308*(1+IF(AND(E$6&gt;0,$B309&lt;E$6),E$4,E$5)/12),2))</f>
        <v/>
      </c>
      <c r="AK309">
        <f>IF(F308&lt;=0,0,ROUND(F308*(1+IF(AND(F$6&gt;0,$B309&lt;F$6),F$4,F$5)/12),2))</f>
        <v/>
      </c>
      <c r="AL309">
        <f>IF(G308&lt;=0,0,ROUND(G308*(1+IF(AND(G$6&gt;0,$B309&lt;G$6),G$4,G$5)/12),2))</f>
        <v/>
      </c>
      <c r="AM309">
        <f>IF(H308&lt;=0,0,ROUND(H308*(1+IF(AND(H$6&gt;0,$B309&lt;H$6),H$4,H$5)/12),2))</f>
        <v/>
      </c>
      <c r="AN309">
        <f>IF(I308&lt;=0,0,ROUND(I308*(1+IF(AND(I$6&gt;0,$B309&lt;I$6),I$4,I$5)/12),2))</f>
        <v/>
      </c>
      <c r="AO309">
        <f>IF(J308&lt;=0,0,ROUND(J308*(1+IF(AND(J$6&gt;0,$B309&lt;J$6),J$4,J$5)/12),2))</f>
        <v/>
      </c>
      <c r="AP309">
        <f>IF(K308&lt;=0,0,ROUND(K308*(1+IF(AND(K$6&gt;0,$B309&lt;K$6),K$4,K$5)/12),2))</f>
        <v/>
      </c>
      <c r="AQ309">
        <f>IF(L308&lt;=0,0,ROUND(L308*(1+IF(AND(L$6&gt;0,$B309&lt;L$6),L$4,L$5)/12),2))</f>
        <v/>
      </c>
      <c r="AR309">
        <f>IF(M308&lt;=0,0,ROUND(M308*(1+IF(AND(M$6&gt;0,$B309&lt;M$6),M$4,M$5)/12),2))</f>
        <v/>
      </c>
      <c r="AS309">
        <f>IF(N308&lt;=0,0,ROUND(N308*(1+IF(AND(N$6&gt;0,$B309&lt;N$6),N$4,N$5)/12),2))</f>
        <v/>
      </c>
    </row>
    <row r="310">
      <c r="A310" t="n">
        <v>299</v>
      </c>
      <c r="B310">
        <f>EDATE(Plan!$C$6,298)</f>
        <v/>
      </c>
      <c r="C310">
        <f>IF(C309&lt;=0,0,MAX(0,AH310-O310))</f>
        <v/>
      </c>
      <c r="D310">
        <f>IF(D309&lt;=0,0,MAX(0,AI310-P310))</f>
        <v/>
      </c>
      <c r="E310">
        <f>IF(E309&lt;=0,0,MAX(0,AJ310-Q310))</f>
        <v/>
      </c>
      <c r="F310">
        <f>IF(F309&lt;=0,0,MAX(0,AK310-R310))</f>
        <v/>
      </c>
      <c r="G310">
        <f>IF(G309&lt;=0,0,MAX(0,AL310-S310))</f>
        <v/>
      </c>
      <c r="H310">
        <f>IF(H309&lt;=0,0,MAX(0,AM310-T310))</f>
        <v/>
      </c>
      <c r="I310">
        <f>IF(I309&lt;=0,0,MAX(0,AN310-U310))</f>
        <v/>
      </c>
      <c r="J310">
        <f>IF(J309&lt;=0,0,MAX(0,AO310-V310))</f>
        <v/>
      </c>
      <c r="K310">
        <f>IF(K309&lt;=0,0,MAX(0,AP310-W310))</f>
        <v/>
      </c>
      <c r="L310">
        <f>IF(L309&lt;=0,0,MAX(0,AQ310-X310))</f>
        <v/>
      </c>
      <c r="M310">
        <f>IF(M309&lt;=0,0,MAX(0,AR310-Y310))</f>
        <v/>
      </c>
      <c r="N310">
        <f>IF(N309&lt;=0,0,MAX(0,AS310-Z310))</f>
        <v/>
      </c>
      <c r="O310">
        <f>IF(C309&lt;=0,0,MIN(AH310,C$7+IF(C$2=$AA310,$AC310,IF(C$2=$AF310,$AG310,0))))</f>
        <v/>
      </c>
      <c r="P310">
        <f>IF(D309&lt;=0,0,MIN(AI310,D$7+IF(D$2=$AA310,$AC310,IF(D$2=$AF310,$AG310,0))))</f>
        <v/>
      </c>
      <c r="Q310">
        <f>IF(E309&lt;=0,0,MIN(AJ310,E$7+IF(E$2=$AA310,$AC310,IF(E$2=$AF310,$AG310,0))))</f>
        <v/>
      </c>
      <c r="R310">
        <f>IF(F309&lt;=0,0,MIN(AK310,F$7+IF(F$2=$AA310,$AC310,IF(F$2=$AF310,$AG310,0))))</f>
        <v/>
      </c>
      <c r="S310">
        <f>IF(G309&lt;=0,0,MIN(AL310,G$7+IF(G$2=$AA310,$AC310,IF(G$2=$AF310,$AG310,0))))</f>
        <v/>
      </c>
      <c r="T310">
        <f>IF(H309&lt;=0,0,MIN(AM310,H$7+IF(H$2=$AA310,$AC310,IF(H$2=$AF310,$AG310,0))))</f>
        <v/>
      </c>
      <c r="U310">
        <f>IF(I309&lt;=0,0,MIN(AN310,I$7+IF(I$2=$AA310,$AC310,IF(I$2=$AF310,$AG310,0))))</f>
        <v/>
      </c>
      <c r="V310">
        <f>IF(J309&lt;=0,0,MIN(AO310,J$7+IF(J$2=$AA310,$AC310,IF(J$2=$AF310,$AG310,0))))</f>
        <v/>
      </c>
      <c r="W310">
        <f>IF(K309&lt;=0,0,MIN(AP310,K$7+IF(K$2=$AA310,$AC310,IF(K$2=$AF310,$AG310,0))))</f>
        <v/>
      </c>
      <c r="X310">
        <f>IF(L309&lt;=0,0,MIN(AQ310,L$7+IF(L$2=$AA310,$AC310,IF(L$2=$AF310,$AG310,0))))</f>
        <v/>
      </c>
      <c r="Y310">
        <f>IF(M309&lt;=0,0,MIN(AR310,M$7+IF(M$2=$AA310,$AC310,IF(M$2=$AF310,$AG310,0))))</f>
        <v/>
      </c>
      <c r="Z310">
        <f>IF(N309&lt;=0,0,MIN(AS310,N$7+IF(N$2=$AA310,$AC310,IF(N$2=$AF310,$AG310,0))))</f>
        <v/>
      </c>
      <c r="AA310">
        <f>IFERROR(ROUND(1/SUMPRODUCT(MAX((C309:N309&gt;0)*($C$3:$N$3&lt;=B310)/$C$2:$N$2)),0),0)</f>
        <v/>
      </c>
      <c r="AB310">
        <f>SUMPRODUCT((C309:N309&gt;0)*$C$7:$N$7)</f>
        <v/>
      </c>
      <c r="AC310">
        <f>MAX(0,Plan!$C$5-AB310)+IF(A310=Plan!$C$8,N(Plan!$C$7),0)</f>
        <v/>
      </c>
      <c r="AD310">
        <f>SUM(C310:N310)</f>
        <v/>
      </c>
      <c r="AE310">
        <f>SUM(O310:Z310)</f>
        <v/>
      </c>
      <c r="AF310">
        <f>IFERROR(ROUND(1/SUMPRODUCT(MAX((C309:N309&gt;0)*($C$3:$N$3&lt;=B310)*($C$2:$N$2&gt;AA310)/$C$2:$N$2)),0),0)</f>
        <v/>
      </c>
      <c r="AG310">
        <f>MAX(0,AC310-MAX(0,SUMPRODUCT(($C$2:$N$2=AA310)*(AH310:AS310-$C$7:$N$7))))</f>
        <v/>
      </c>
      <c r="AH310">
        <f>IF(C309&lt;=0,0,ROUND(C309*(1+IF(AND(C$6&gt;0,$B310&lt;C$6),C$4,C$5)/12),2))</f>
        <v/>
      </c>
      <c r="AI310">
        <f>IF(D309&lt;=0,0,ROUND(D309*(1+IF(AND(D$6&gt;0,$B310&lt;D$6),D$4,D$5)/12),2))</f>
        <v/>
      </c>
      <c r="AJ310">
        <f>IF(E309&lt;=0,0,ROUND(E309*(1+IF(AND(E$6&gt;0,$B310&lt;E$6),E$4,E$5)/12),2))</f>
        <v/>
      </c>
      <c r="AK310">
        <f>IF(F309&lt;=0,0,ROUND(F309*(1+IF(AND(F$6&gt;0,$B310&lt;F$6),F$4,F$5)/12),2))</f>
        <v/>
      </c>
      <c r="AL310">
        <f>IF(G309&lt;=0,0,ROUND(G309*(1+IF(AND(G$6&gt;0,$B310&lt;G$6),G$4,G$5)/12),2))</f>
        <v/>
      </c>
      <c r="AM310">
        <f>IF(H309&lt;=0,0,ROUND(H309*(1+IF(AND(H$6&gt;0,$B310&lt;H$6),H$4,H$5)/12),2))</f>
        <v/>
      </c>
      <c r="AN310">
        <f>IF(I309&lt;=0,0,ROUND(I309*(1+IF(AND(I$6&gt;0,$B310&lt;I$6),I$4,I$5)/12),2))</f>
        <v/>
      </c>
      <c r="AO310">
        <f>IF(J309&lt;=0,0,ROUND(J309*(1+IF(AND(J$6&gt;0,$B310&lt;J$6),J$4,J$5)/12),2))</f>
        <v/>
      </c>
      <c r="AP310">
        <f>IF(K309&lt;=0,0,ROUND(K309*(1+IF(AND(K$6&gt;0,$B310&lt;K$6),K$4,K$5)/12),2))</f>
        <v/>
      </c>
      <c r="AQ310">
        <f>IF(L309&lt;=0,0,ROUND(L309*(1+IF(AND(L$6&gt;0,$B310&lt;L$6),L$4,L$5)/12),2))</f>
        <v/>
      </c>
      <c r="AR310">
        <f>IF(M309&lt;=0,0,ROUND(M309*(1+IF(AND(M$6&gt;0,$B310&lt;M$6),M$4,M$5)/12),2))</f>
        <v/>
      </c>
      <c r="AS310">
        <f>IF(N309&lt;=0,0,ROUND(N309*(1+IF(AND(N$6&gt;0,$B310&lt;N$6),N$4,N$5)/12),2))</f>
        <v/>
      </c>
    </row>
    <row r="311">
      <c r="A311" t="n">
        <v>300</v>
      </c>
      <c r="B311">
        <f>EDATE(Plan!$C$6,299)</f>
        <v/>
      </c>
      <c r="C311">
        <f>IF(C310&lt;=0,0,MAX(0,AH311-O311))</f>
        <v/>
      </c>
      <c r="D311">
        <f>IF(D310&lt;=0,0,MAX(0,AI311-P311))</f>
        <v/>
      </c>
      <c r="E311">
        <f>IF(E310&lt;=0,0,MAX(0,AJ311-Q311))</f>
        <v/>
      </c>
      <c r="F311">
        <f>IF(F310&lt;=0,0,MAX(0,AK311-R311))</f>
        <v/>
      </c>
      <c r="G311">
        <f>IF(G310&lt;=0,0,MAX(0,AL311-S311))</f>
        <v/>
      </c>
      <c r="H311">
        <f>IF(H310&lt;=0,0,MAX(0,AM311-T311))</f>
        <v/>
      </c>
      <c r="I311">
        <f>IF(I310&lt;=0,0,MAX(0,AN311-U311))</f>
        <v/>
      </c>
      <c r="J311">
        <f>IF(J310&lt;=0,0,MAX(0,AO311-V311))</f>
        <v/>
      </c>
      <c r="K311">
        <f>IF(K310&lt;=0,0,MAX(0,AP311-W311))</f>
        <v/>
      </c>
      <c r="L311">
        <f>IF(L310&lt;=0,0,MAX(0,AQ311-X311))</f>
        <v/>
      </c>
      <c r="M311">
        <f>IF(M310&lt;=0,0,MAX(0,AR311-Y311))</f>
        <v/>
      </c>
      <c r="N311">
        <f>IF(N310&lt;=0,0,MAX(0,AS311-Z311))</f>
        <v/>
      </c>
      <c r="O311">
        <f>IF(C310&lt;=0,0,MIN(AH311,C$7+IF(C$2=$AA311,$AC311,IF(C$2=$AF311,$AG311,0))))</f>
        <v/>
      </c>
      <c r="P311">
        <f>IF(D310&lt;=0,0,MIN(AI311,D$7+IF(D$2=$AA311,$AC311,IF(D$2=$AF311,$AG311,0))))</f>
        <v/>
      </c>
      <c r="Q311">
        <f>IF(E310&lt;=0,0,MIN(AJ311,E$7+IF(E$2=$AA311,$AC311,IF(E$2=$AF311,$AG311,0))))</f>
        <v/>
      </c>
      <c r="R311">
        <f>IF(F310&lt;=0,0,MIN(AK311,F$7+IF(F$2=$AA311,$AC311,IF(F$2=$AF311,$AG311,0))))</f>
        <v/>
      </c>
      <c r="S311">
        <f>IF(G310&lt;=0,0,MIN(AL311,G$7+IF(G$2=$AA311,$AC311,IF(G$2=$AF311,$AG311,0))))</f>
        <v/>
      </c>
      <c r="T311">
        <f>IF(H310&lt;=0,0,MIN(AM311,H$7+IF(H$2=$AA311,$AC311,IF(H$2=$AF311,$AG311,0))))</f>
        <v/>
      </c>
      <c r="U311">
        <f>IF(I310&lt;=0,0,MIN(AN311,I$7+IF(I$2=$AA311,$AC311,IF(I$2=$AF311,$AG311,0))))</f>
        <v/>
      </c>
      <c r="V311">
        <f>IF(J310&lt;=0,0,MIN(AO311,J$7+IF(J$2=$AA311,$AC311,IF(J$2=$AF311,$AG311,0))))</f>
        <v/>
      </c>
      <c r="W311">
        <f>IF(K310&lt;=0,0,MIN(AP311,K$7+IF(K$2=$AA311,$AC311,IF(K$2=$AF311,$AG311,0))))</f>
        <v/>
      </c>
      <c r="X311">
        <f>IF(L310&lt;=0,0,MIN(AQ311,L$7+IF(L$2=$AA311,$AC311,IF(L$2=$AF311,$AG311,0))))</f>
        <v/>
      </c>
      <c r="Y311">
        <f>IF(M310&lt;=0,0,MIN(AR311,M$7+IF(M$2=$AA311,$AC311,IF(M$2=$AF311,$AG311,0))))</f>
        <v/>
      </c>
      <c r="Z311">
        <f>IF(N310&lt;=0,0,MIN(AS311,N$7+IF(N$2=$AA311,$AC311,IF(N$2=$AF311,$AG311,0))))</f>
        <v/>
      </c>
      <c r="AA311">
        <f>IFERROR(ROUND(1/SUMPRODUCT(MAX((C310:N310&gt;0)*($C$3:$N$3&lt;=B311)/$C$2:$N$2)),0),0)</f>
        <v/>
      </c>
      <c r="AB311">
        <f>SUMPRODUCT((C310:N310&gt;0)*$C$7:$N$7)</f>
        <v/>
      </c>
      <c r="AC311">
        <f>MAX(0,Plan!$C$5-AB311)+IF(A311=Plan!$C$8,N(Plan!$C$7),0)</f>
        <v/>
      </c>
      <c r="AD311">
        <f>SUM(C311:N311)</f>
        <v/>
      </c>
      <c r="AE311">
        <f>SUM(O311:Z311)</f>
        <v/>
      </c>
      <c r="AF311">
        <f>IFERROR(ROUND(1/SUMPRODUCT(MAX((C310:N310&gt;0)*($C$3:$N$3&lt;=B311)*($C$2:$N$2&gt;AA311)/$C$2:$N$2)),0),0)</f>
        <v/>
      </c>
      <c r="AG311">
        <f>MAX(0,AC311-MAX(0,SUMPRODUCT(($C$2:$N$2=AA311)*(AH311:AS311-$C$7:$N$7))))</f>
        <v/>
      </c>
      <c r="AH311">
        <f>IF(C310&lt;=0,0,ROUND(C310*(1+IF(AND(C$6&gt;0,$B311&lt;C$6),C$4,C$5)/12),2))</f>
        <v/>
      </c>
      <c r="AI311">
        <f>IF(D310&lt;=0,0,ROUND(D310*(1+IF(AND(D$6&gt;0,$B311&lt;D$6),D$4,D$5)/12),2))</f>
        <v/>
      </c>
      <c r="AJ311">
        <f>IF(E310&lt;=0,0,ROUND(E310*(1+IF(AND(E$6&gt;0,$B311&lt;E$6),E$4,E$5)/12),2))</f>
        <v/>
      </c>
      <c r="AK311">
        <f>IF(F310&lt;=0,0,ROUND(F310*(1+IF(AND(F$6&gt;0,$B311&lt;F$6),F$4,F$5)/12),2))</f>
        <v/>
      </c>
      <c r="AL311">
        <f>IF(G310&lt;=0,0,ROUND(G310*(1+IF(AND(G$6&gt;0,$B311&lt;G$6),G$4,G$5)/12),2))</f>
        <v/>
      </c>
      <c r="AM311">
        <f>IF(H310&lt;=0,0,ROUND(H310*(1+IF(AND(H$6&gt;0,$B311&lt;H$6),H$4,H$5)/12),2))</f>
        <v/>
      </c>
      <c r="AN311">
        <f>IF(I310&lt;=0,0,ROUND(I310*(1+IF(AND(I$6&gt;0,$B311&lt;I$6),I$4,I$5)/12),2))</f>
        <v/>
      </c>
      <c r="AO311">
        <f>IF(J310&lt;=0,0,ROUND(J310*(1+IF(AND(J$6&gt;0,$B311&lt;J$6),J$4,J$5)/12),2))</f>
        <v/>
      </c>
      <c r="AP311">
        <f>IF(K310&lt;=0,0,ROUND(K310*(1+IF(AND(K$6&gt;0,$B311&lt;K$6),K$4,K$5)/12),2))</f>
        <v/>
      </c>
      <c r="AQ311">
        <f>IF(L310&lt;=0,0,ROUND(L310*(1+IF(AND(L$6&gt;0,$B311&lt;L$6),L$4,L$5)/12),2))</f>
        <v/>
      </c>
      <c r="AR311">
        <f>IF(M310&lt;=0,0,ROUND(M310*(1+IF(AND(M$6&gt;0,$B311&lt;M$6),M$4,M$5)/12),2))</f>
        <v/>
      </c>
      <c r="AS311">
        <f>IF(N310&lt;=0,0,ROUND(N310*(1+IF(AND(N$6&gt;0,$B311&lt;N$6),N$4,N$5)/12),2))</f>
        <v/>
      </c>
    </row>
    <row r="312">
      <c r="A312" t="n">
        <v>301</v>
      </c>
      <c r="B312">
        <f>EDATE(Plan!$C$6,300)</f>
        <v/>
      </c>
      <c r="C312">
        <f>IF(C311&lt;=0,0,MAX(0,AH312-O312))</f>
        <v/>
      </c>
      <c r="D312">
        <f>IF(D311&lt;=0,0,MAX(0,AI312-P312))</f>
        <v/>
      </c>
      <c r="E312">
        <f>IF(E311&lt;=0,0,MAX(0,AJ312-Q312))</f>
        <v/>
      </c>
      <c r="F312">
        <f>IF(F311&lt;=0,0,MAX(0,AK312-R312))</f>
        <v/>
      </c>
      <c r="G312">
        <f>IF(G311&lt;=0,0,MAX(0,AL312-S312))</f>
        <v/>
      </c>
      <c r="H312">
        <f>IF(H311&lt;=0,0,MAX(0,AM312-T312))</f>
        <v/>
      </c>
      <c r="I312">
        <f>IF(I311&lt;=0,0,MAX(0,AN312-U312))</f>
        <v/>
      </c>
      <c r="J312">
        <f>IF(J311&lt;=0,0,MAX(0,AO312-V312))</f>
        <v/>
      </c>
      <c r="K312">
        <f>IF(K311&lt;=0,0,MAX(0,AP312-W312))</f>
        <v/>
      </c>
      <c r="L312">
        <f>IF(L311&lt;=0,0,MAX(0,AQ312-X312))</f>
        <v/>
      </c>
      <c r="M312">
        <f>IF(M311&lt;=0,0,MAX(0,AR312-Y312))</f>
        <v/>
      </c>
      <c r="N312">
        <f>IF(N311&lt;=0,0,MAX(0,AS312-Z312))</f>
        <v/>
      </c>
      <c r="O312">
        <f>IF(C311&lt;=0,0,MIN(AH312,C$7+IF(C$2=$AA312,$AC312,IF(C$2=$AF312,$AG312,0))))</f>
        <v/>
      </c>
      <c r="P312">
        <f>IF(D311&lt;=0,0,MIN(AI312,D$7+IF(D$2=$AA312,$AC312,IF(D$2=$AF312,$AG312,0))))</f>
        <v/>
      </c>
      <c r="Q312">
        <f>IF(E311&lt;=0,0,MIN(AJ312,E$7+IF(E$2=$AA312,$AC312,IF(E$2=$AF312,$AG312,0))))</f>
        <v/>
      </c>
      <c r="R312">
        <f>IF(F311&lt;=0,0,MIN(AK312,F$7+IF(F$2=$AA312,$AC312,IF(F$2=$AF312,$AG312,0))))</f>
        <v/>
      </c>
      <c r="S312">
        <f>IF(G311&lt;=0,0,MIN(AL312,G$7+IF(G$2=$AA312,$AC312,IF(G$2=$AF312,$AG312,0))))</f>
        <v/>
      </c>
      <c r="T312">
        <f>IF(H311&lt;=0,0,MIN(AM312,H$7+IF(H$2=$AA312,$AC312,IF(H$2=$AF312,$AG312,0))))</f>
        <v/>
      </c>
      <c r="U312">
        <f>IF(I311&lt;=0,0,MIN(AN312,I$7+IF(I$2=$AA312,$AC312,IF(I$2=$AF312,$AG312,0))))</f>
        <v/>
      </c>
      <c r="V312">
        <f>IF(J311&lt;=0,0,MIN(AO312,J$7+IF(J$2=$AA312,$AC312,IF(J$2=$AF312,$AG312,0))))</f>
        <v/>
      </c>
      <c r="W312">
        <f>IF(K311&lt;=0,0,MIN(AP312,K$7+IF(K$2=$AA312,$AC312,IF(K$2=$AF312,$AG312,0))))</f>
        <v/>
      </c>
      <c r="X312">
        <f>IF(L311&lt;=0,0,MIN(AQ312,L$7+IF(L$2=$AA312,$AC312,IF(L$2=$AF312,$AG312,0))))</f>
        <v/>
      </c>
      <c r="Y312">
        <f>IF(M311&lt;=0,0,MIN(AR312,M$7+IF(M$2=$AA312,$AC312,IF(M$2=$AF312,$AG312,0))))</f>
        <v/>
      </c>
      <c r="Z312">
        <f>IF(N311&lt;=0,0,MIN(AS312,N$7+IF(N$2=$AA312,$AC312,IF(N$2=$AF312,$AG312,0))))</f>
        <v/>
      </c>
      <c r="AA312">
        <f>IFERROR(ROUND(1/SUMPRODUCT(MAX((C311:N311&gt;0)*($C$3:$N$3&lt;=B312)/$C$2:$N$2)),0),0)</f>
        <v/>
      </c>
      <c r="AB312">
        <f>SUMPRODUCT((C311:N311&gt;0)*$C$7:$N$7)</f>
        <v/>
      </c>
      <c r="AC312">
        <f>MAX(0,Plan!$C$5-AB312)+IF(A312=Plan!$C$8,N(Plan!$C$7),0)</f>
        <v/>
      </c>
      <c r="AD312">
        <f>SUM(C312:N312)</f>
        <v/>
      </c>
      <c r="AE312">
        <f>SUM(O312:Z312)</f>
        <v/>
      </c>
      <c r="AF312">
        <f>IFERROR(ROUND(1/SUMPRODUCT(MAX((C311:N311&gt;0)*($C$3:$N$3&lt;=B312)*($C$2:$N$2&gt;AA312)/$C$2:$N$2)),0),0)</f>
        <v/>
      </c>
      <c r="AG312">
        <f>MAX(0,AC312-MAX(0,SUMPRODUCT(($C$2:$N$2=AA312)*(AH312:AS312-$C$7:$N$7))))</f>
        <v/>
      </c>
      <c r="AH312">
        <f>IF(C311&lt;=0,0,ROUND(C311*(1+IF(AND(C$6&gt;0,$B312&lt;C$6),C$4,C$5)/12),2))</f>
        <v/>
      </c>
      <c r="AI312">
        <f>IF(D311&lt;=0,0,ROUND(D311*(1+IF(AND(D$6&gt;0,$B312&lt;D$6),D$4,D$5)/12),2))</f>
        <v/>
      </c>
      <c r="AJ312">
        <f>IF(E311&lt;=0,0,ROUND(E311*(1+IF(AND(E$6&gt;0,$B312&lt;E$6),E$4,E$5)/12),2))</f>
        <v/>
      </c>
      <c r="AK312">
        <f>IF(F311&lt;=0,0,ROUND(F311*(1+IF(AND(F$6&gt;0,$B312&lt;F$6),F$4,F$5)/12),2))</f>
        <v/>
      </c>
      <c r="AL312">
        <f>IF(G311&lt;=0,0,ROUND(G311*(1+IF(AND(G$6&gt;0,$B312&lt;G$6),G$4,G$5)/12),2))</f>
        <v/>
      </c>
      <c r="AM312">
        <f>IF(H311&lt;=0,0,ROUND(H311*(1+IF(AND(H$6&gt;0,$B312&lt;H$6),H$4,H$5)/12),2))</f>
        <v/>
      </c>
      <c r="AN312">
        <f>IF(I311&lt;=0,0,ROUND(I311*(1+IF(AND(I$6&gt;0,$B312&lt;I$6),I$4,I$5)/12),2))</f>
        <v/>
      </c>
      <c r="AO312">
        <f>IF(J311&lt;=0,0,ROUND(J311*(1+IF(AND(J$6&gt;0,$B312&lt;J$6),J$4,J$5)/12),2))</f>
        <v/>
      </c>
      <c r="AP312">
        <f>IF(K311&lt;=0,0,ROUND(K311*(1+IF(AND(K$6&gt;0,$B312&lt;K$6),K$4,K$5)/12),2))</f>
        <v/>
      </c>
      <c r="AQ312">
        <f>IF(L311&lt;=0,0,ROUND(L311*(1+IF(AND(L$6&gt;0,$B312&lt;L$6),L$4,L$5)/12),2))</f>
        <v/>
      </c>
      <c r="AR312">
        <f>IF(M311&lt;=0,0,ROUND(M311*(1+IF(AND(M$6&gt;0,$B312&lt;M$6),M$4,M$5)/12),2))</f>
        <v/>
      </c>
      <c r="AS312">
        <f>IF(N311&lt;=0,0,ROUND(N311*(1+IF(AND(N$6&gt;0,$B312&lt;N$6),N$4,N$5)/12),2))</f>
        <v/>
      </c>
    </row>
    <row r="313">
      <c r="A313" t="n">
        <v>302</v>
      </c>
      <c r="B313">
        <f>EDATE(Plan!$C$6,301)</f>
        <v/>
      </c>
      <c r="C313">
        <f>IF(C312&lt;=0,0,MAX(0,AH313-O313))</f>
        <v/>
      </c>
      <c r="D313">
        <f>IF(D312&lt;=0,0,MAX(0,AI313-P313))</f>
        <v/>
      </c>
      <c r="E313">
        <f>IF(E312&lt;=0,0,MAX(0,AJ313-Q313))</f>
        <v/>
      </c>
      <c r="F313">
        <f>IF(F312&lt;=0,0,MAX(0,AK313-R313))</f>
        <v/>
      </c>
      <c r="G313">
        <f>IF(G312&lt;=0,0,MAX(0,AL313-S313))</f>
        <v/>
      </c>
      <c r="H313">
        <f>IF(H312&lt;=0,0,MAX(0,AM313-T313))</f>
        <v/>
      </c>
      <c r="I313">
        <f>IF(I312&lt;=0,0,MAX(0,AN313-U313))</f>
        <v/>
      </c>
      <c r="J313">
        <f>IF(J312&lt;=0,0,MAX(0,AO313-V313))</f>
        <v/>
      </c>
      <c r="K313">
        <f>IF(K312&lt;=0,0,MAX(0,AP313-W313))</f>
        <v/>
      </c>
      <c r="L313">
        <f>IF(L312&lt;=0,0,MAX(0,AQ313-X313))</f>
        <v/>
      </c>
      <c r="M313">
        <f>IF(M312&lt;=0,0,MAX(0,AR313-Y313))</f>
        <v/>
      </c>
      <c r="N313">
        <f>IF(N312&lt;=0,0,MAX(0,AS313-Z313))</f>
        <v/>
      </c>
      <c r="O313">
        <f>IF(C312&lt;=0,0,MIN(AH313,C$7+IF(C$2=$AA313,$AC313,IF(C$2=$AF313,$AG313,0))))</f>
        <v/>
      </c>
      <c r="P313">
        <f>IF(D312&lt;=0,0,MIN(AI313,D$7+IF(D$2=$AA313,$AC313,IF(D$2=$AF313,$AG313,0))))</f>
        <v/>
      </c>
      <c r="Q313">
        <f>IF(E312&lt;=0,0,MIN(AJ313,E$7+IF(E$2=$AA313,$AC313,IF(E$2=$AF313,$AG313,0))))</f>
        <v/>
      </c>
      <c r="R313">
        <f>IF(F312&lt;=0,0,MIN(AK313,F$7+IF(F$2=$AA313,$AC313,IF(F$2=$AF313,$AG313,0))))</f>
        <v/>
      </c>
      <c r="S313">
        <f>IF(G312&lt;=0,0,MIN(AL313,G$7+IF(G$2=$AA313,$AC313,IF(G$2=$AF313,$AG313,0))))</f>
        <v/>
      </c>
      <c r="T313">
        <f>IF(H312&lt;=0,0,MIN(AM313,H$7+IF(H$2=$AA313,$AC313,IF(H$2=$AF313,$AG313,0))))</f>
        <v/>
      </c>
      <c r="U313">
        <f>IF(I312&lt;=0,0,MIN(AN313,I$7+IF(I$2=$AA313,$AC313,IF(I$2=$AF313,$AG313,0))))</f>
        <v/>
      </c>
      <c r="V313">
        <f>IF(J312&lt;=0,0,MIN(AO313,J$7+IF(J$2=$AA313,$AC313,IF(J$2=$AF313,$AG313,0))))</f>
        <v/>
      </c>
      <c r="W313">
        <f>IF(K312&lt;=0,0,MIN(AP313,K$7+IF(K$2=$AA313,$AC313,IF(K$2=$AF313,$AG313,0))))</f>
        <v/>
      </c>
      <c r="X313">
        <f>IF(L312&lt;=0,0,MIN(AQ313,L$7+IF(L$2=$AA313,$AC313,IF(L$2=$AF313,$AG313,0))))</f>
        <v/>
      </c>
      <c r="Y313">
        <f>IF(M312&lt;=0,0,MIN(AR313,M$7+IF(M$2=$AA313,$AC313,IF(M$2=$AF313,$AG313,0))))</f>
        <v/>
      </c>
      <c r="Z313">
        <f>IF(N312&lt;=0,0,MIN(AS313,N$7+IF(N$2=$AA313,$AC313,IF(N$2=$AF313,$AG313,0))))</f>
        <v/>
      </c>
      <c r="AA313">
        <f>IFERROR(ROUND(1/SUMPRODUCT(MAX((C312:N312&gt;0)*($C$3:$N$3&lt;=B313)/$C$2:$N$2)),0),0)</f>
        <v/>
      </c>
      <c r="AB313">
        <f>SUMPRODUCT((C312:N312&gt;0)*$C$7:$N$7)</f>
        <v/>
      </c>
      <c r="AC313">
        <f>MAX(0,Plan!$C$5-AB313)+IF(A313=Plan!$C$8,N(Plan!$C$7),0)</f>
        <v/>
      </c>
      <c r="AD313">
        <f>SUM(C313:N313)</f>
        <v/>
      </c>
      <c r="AE313">
        <f>SUM(O313:Z313)</f>
        <v/>
      </c>
      <c r="AF313">
        <f>IFERROR(ROUND(1/SUMPRODUCT(MAX((C312:N312&gt;0)*($C$3:$N$3&lt;=B313)*($C$2:$N$2&gt;AA313)/$C$2:$N$2)),0),0)</f>
        <v/>
      </c>
      <c r="AG313">
        <f>MAX(0,AC313-MAX(0,SUMPRODUCT(($C$2:$N$2=AA313)*(AH313:AS313-$C$7:$N$7))))</f>
        <v/>
      </c>
      <c r="AH313">
        <f>IF(C312&lt;=0,0,ROUND(C312*(1+IF(AND(C$6&gt;0,$B313&lt;C$6),C$4,C$5)/12),2))</f>
        <v/>
      </c>
      <c r="AI313">
        <f>IF(D312&lt;=0,0,ROUND(D312*(1+IF(AND(D$6&gt;0,$B313&lt;D$6),D$4,D$5)/12),2))</f>
        <v/>
      </c>
      <c r="AJ313">
        <f>IF(E312&lt;=0,0,ROUND(E312*(1+IF(AND(E$6&gt;0,$B313&lt;E$6),E$4,E$5)/12),2))</f>
        <v/>
      </c>
      <c r="AK313">
        <f>IF(F312&lt;=0,0,ROUND(F312*(1+IF(AND(F$6&gt;0,$B313&lt;F$6),F$4,F$5)/12),2))</f>
        <v/>
      </c>
      <c r="AL313">
        <f>IF(G312&lt;=0,0,ROUND(G312*(1+IF(AND(G$6&gt;0,$B313&lt;G$6),G$4,G$5)/12),2))</f>
        <v/>
      </c>
      <c r="AM313">
        <f>IF(H312&lt;=0,0,ROUND(H312*(1+IF(AND(H$6&gt;0,$B313&lt;H$6),H$4,H$5)/12),2))</f>
        <v/>
      </c>
      <c r="AN313">
        <f>IF(I312&lt;=0,0,ROUND(I312*(1+IF(AND(I$6&gt;0,$B313&lt;I$6),I$4,I$5)/12),2))</f>
        <v/>
      </c>
      <c r="AO313">
        <f>IF(J312&lt;=0,0,ROUND(J312*(1+IF(AND(J$6&gt;0,$B313&lt;J$6),J$4,J$5)/12),2))</f>
        <v/>
      </c>
      <c r="AP313">
        <f>IF(K312&lt;=0,0,ROUND(K312*(1+IF(AND(K$6&gt;0,$B313&lt;K$6),K$4,K$5)/12),2))</f>
        <v/>
      </c>
      <c r="AQ313">
        <f>IF(L312&lt;=0,0,ROUND(L312*(1+IF(AND(L$6&gt;0,$B313&lt;L$6),L$4,L$5)/12),2))</f>
        <v/>
      </c>
      <c r="AR313">
        <f>IF(M312&lt;=0,0,ROUND(M312*(1+IF(AND(M$6&gt;0,$B313&lt;M$6),M$4,M$5)/12),2))</f>
        <v/>
      </c>
      <c r="AS313">
        <f>IF(N312&lt;=0,0,ROUND(N312*(1+IF(AND(N$6&gt;0,$B313&lt;N$6),N$4,N$5)/12),2))</f>
        <v/>
      </c>
    </row>
    <row r="314">
      <c r="A314" t="n">
        <v>303</v>
      </c>
      <c r="B314">
        <f>EDATE(Plan!$C$6,302)</f>
        <v/>
      </c>
      <c r="C314">
        <f>IF(C313&lt;=0,0,MAX(0,AH314-O314))</f>
        <v/>
      </c>
      <c r="D314">
        <f>IF(D313&lt;=0,0,MAX(0,AI314-P314))</f>
        <v/>
      </c>
      <c r="E314">
        <f>IF(E313&lt;=0,0,MAX(0,AJ314-Q314))</f>
        <v/>
      </c>
      <c r="F314">
        <f>IF(F313&lt;=0,0,MAX(0,AK314-R314))</f>
        <v/>
      </c>
      <c r="G314">
        <f>IF(G313&lt;=0,0,MAX(0,AL314-S314))</f>
        <v/>
      </c>
      <c r="H314">
        <f>IF(H313&lt;=0,0,MAX(0,AM314-T314))</f>
        <v/>
      </c>
      <c r="I314">
        <f>IF(I313&lt;=0,0,MAX(0,AN314-U314))</f>
        <v/>
      </c>
      <c r="J314">
        <f>IF(J313&lt;=0,0,MAX(0,AO314-V314))</f>
        <v/>
      </c>
      <c r="K314">
        <f>IF(K313&lt;=0,0,MAX(0,AP314-W314))</f>
        <v/>
      </c>
      <c r="L314">
        <f>IF(L313&lt;=0,0,MAX(0,AQ314-X314))</f>
        <v/>
      </c>
      <c r="M314">
        <f>IF(M313&lt;=0,0,MAX(0,AR314-Y314))</f>
        <v/>
      </c>
      <c r="N314">
        <f>IF(N313&lt;=0,0,MAX(0,AS314-Z314))</f>
        <v/>
      </c>
      <c r="O314">
        <f>IF(C313&lt;=0,0,MIN(AH314,C$7+IF(C$2=$AA314,$AC314,IF(C$2=$AF314,$AG314,0))))</f>
        <v/>
      </c>
      <c r="P314">
        <f>IF(D313&lt;=0,0,MIN(AI314,D$7+IF(D$2=$AA314,$AC314,IF(D$2=$AF314,$AG314,0))))</f>
        <v/>
      </c>
      <c r="Q314">
        <f>IF(E313&lt;=0,0,MIN(AJ314,E$7+IF(E$2=$AA314,$AC314,IF(E$2=$AF314,$AG314,0))))</f>
        <v/>
      </c>
      <c r="R314">
        <f>IF(F313&lt;=0,0,MIN(AK314,F$7+IF(F$2=$AA314,$AC314,IF(F$2=$AF314,$AG314,0))))</f>
        <v/>
      </c>
      <c r="S314">
        <f>IF(G313&lt;=0,0,MIN(AL314,G$7+IF(G$2=$AA314,$AC314,IF(G$2=$AF314,$AG314,0))))</f>
        <v/>
      </c>
      <c r="T314">
        <f>IF(H313&lt;=0,0,MIN(AM314,H$7+IF(H$2=$AA314,$AC314,IF(H$2=$AF314,$AG314,0))))</f>
        <v/>
      </c>
      <c r="U314">
        <f>IF(I313&lt;=0,0,MIN(AN314,I$7+IF(I$2=$AA314,$AC314,IF(I$2=$AF314,$AG314,0))))</f>
        <v/>
      </c>
      <c r="V314">
        <f>IF(J313&lt;=0,0,MIN(AO314,J$7+IF(J$2=$AA314,$AC314,IF(J$2=$AF314,$AG314,0))))</f>
        <v/>
      </c>
      <c r="W314">
        <f>IF(K313&lt;=0,0,MIN(AP314,K$7+IF(K$2=$AA314,$AC314,IF(K$2=$AF314,$AG314,0))))</f>
        <v/>
      </c>
      <c r="X314">
        <f>IF(L313&lt;=0,0,MIN(AQ314,L$7+IF(L$2=$AA314,$AC314,IF(L$2=$AF314,$AG314,0))))</f>
        <v/>
      </c>
      <c r="Y314">
        <f>IF(M313&lt;=0,0,MIN(AR314,M$7+IF(M$2=$AA314,$AC314,IF(M$2=$AF314,$AG314,0))))</f>
        <v/>
      </c>
      <c r="Z314">
        <f>IF(N313&lt;=0,0,MIN(AS314,N$7+IF(N$2=$AA314,$AC314,IF(N$2=$AF314,$AG314,0))))</f>
        <v/>
      </c>
      <c r="AA314">
        <f>IFERROR(ROUND(1/SUMPRODUCT(MAX((C313:N313&gt;0)*($C$3:$N$3&lt;=B314)/$C$2:$N$2)),0),0)</f>
        <v/>
      </c>
      <c r="AB314">
        <f>SUMPRODUCT((C313:N313&gt;0)*$C$7:$N$7)</f>
        <v/>
      </c>
      <c r="AC314">
        <f>MAX(0,Plan!$C$5-AB314)+IF(A314=Plan!$C$8,N(Plan!$C$7),0)</f>
        <v/>
      </c>
      <c r="AD314">
        <f>SUM(C314:N314)</f>
        <v/>
      </c>
      <c r="AE314">
        <f>SUM(O314:Z314)</f>
        <v/>
      </c>
      <c r="AF314">
        <f>IFERROR(ROUND(1/SUMPRODUCT(MAX((C313:N313&gt;0)*($C$3:$N$3&lt;=B314)*($C$2:$N$2&gt;AA314)/$C$2:$N$2)),0),0)</f>
        <v/>
      </c>
      <c r="AG314">
        <f>MAX(0,AC314-MAX(0,SUMPRODUCT(($C$2:$N$2=AA314)*(AH314:AS314-$C$7:$N$7))))</f>
        <v/>
      </c>
      <c r="AH314">
        <f>IF(C313&lt;=0,0,ROUND(C313*(1+IF(AND(C$6&gt;0,$B314&lt;C$6),C$4,C$5)/12),2))</f>
        <v/>
      </c>
      <c r="AI314">
        <f>IF(D313&lt;=0,0,ROUND(D313*(1+IF(AND(D$6&gt;0,$B314&lt;D$6),D$4,D$5)/12),2))</f>
        <v/>
      </c>
      <c r="AJ314">
        <f>IF(E313&lt;=0,0,ROUND(E313*(1+IF(AND(E$6&gt;0,$B314&lt;E$6),E$4,E$5)/12),2))</f>
        <v/>
      </c>
      <c r="AK314">
        <f>IF(F313&lt;=0,0,ROUND(F313*(1+IF(AND(F$6&gt;0,$B314&lt;F$6),F$4,F$5)/12),2))</f>
        <v/>
      </c>
      <c r="AL314">
        <f>IF(G313&lt;=0,0,ROUND(G313*(1+IF(AND(G$6&gt;0,$B314&lt;G$6),G$4,G$5)/12),2))</f>
        <v/>
      </c>
      <c r="AM314">
        <f>IF(H313&lt;=0,0,ROUND(H313*(1+IF(AND(H$6&gt;0,$B314&lt;H$6),H$4,H$5)/12),2))</f>
        <v/>
      </c>
      <c r="AN314">
        <f>IF(I313&lt;=0,0,ROUND(I313*(1+IF(AND(I$6&gt;0,$B314&lt;I$6),I$4,I$5)/12),2))</f>
        <v/>
      </c>
      <c r="AO314">
        <f>IF(J313&lt;=0,0,ROUND(J313*(1+IF(AND(J$6&gt;0,$B314&lt;J$6),J$4,J$5)/12),2))</f>
        <v/>
      </c>
      <c r="AP314">
        <f>IF(K313&lt;=0,0,ROUND(K313*(1+IF(AND(K$6&gt;0,$B314&lt;K$6),K$4,K$5)/12),2))</f>
        <v/>
      </c>
      <c r="AQ314">
        <f>IF(L313&lt;=0,0,ROUND(L313*(1+IF(AND(L$6&gt;0,$B314&lt;L$6),L$4,L$5)/12),2))</f>
        <v/>
      </c>
      <c r="AR314">
        <f>IF(M313&lt;=0,0,ROUND(M313*(1+IF(AND(M$6&gt;0,$B314&lt;M$6),M$4,M$5)/12),2))</f>
        <v/>
      </c>
      <c r="AS314">
        <f>IF(N313&lt;=0,0,ROUND(N313*(1+IF(AND(N$6&gt;0,$B314&lt;N$6),N$4,N$5)/12),2))</f>
        <v/>
      </c>
    </row>
    <row r="315">
      <c r="A315" t="n">
        <v>304</v>
      </c>
      <c r="B315">
        <f>EDATE(Plan!$C$6,303)</f>
        <v/>
      </c>
      <c r="C315">
        <f>IF(C314&lt;=0,0,MAX(0,AH315-O315))</f>
        <v/>
      </c>
      <c r="D315">
        <f>IF(D314&lt;=0,0,MAX(0,AI315-P315))</f>
        <v/>
      </c>
      <c r="E315">
        <f>IF(E314&lt;=0,0,MAX(0,AJ315-Q315))</f>
        <v/>
      </c>
      <c r="F315">
        <f>IF(F314&lt;=0,0,MAX(0,AK315-R315))</f>
        <v/>
      </c>
      <c r="G315">
        <f>IF(G314&lt;=0,0,MAX(0,AL315-S315))</f>
        <v/>
      </c>
      <c r="H315">
        <f>IF(H314&lt;=0,0,MAX(0,AM315-T315))</f>
        <v/>
      </c>
      <c r="I315">
        <f>IF(I314&lt;=0,0,MAX(0,AN315-U315))</f>
        <v/>
      </c>
      <c r="J315">
        <f>IF(J314&lt;=0,0,MAX(0,AO315-V315))</f>
        <v/>
      </c>
      <c r="K315">
        <f>IF(K314&lt;=0,0,MAX(0,AP315-W315))</f>
        <v/>
      </c>
      <c r="L315">
        <f>IF(L314&lt;=0,0,MAX(0,AQ315-X315))</f>
        <v/>
      </c>
      <c r="M315">
        <f>IF(M314&lt;=0,0,MAX(0,AR315-Y315))</f>
        <v/>
      </c>
      <c r="N315">
        <f>IF(N314&lt;=0,0,MAX(0,AS315-Z315))</f>
        <v/>
      </c>
      <c r="O315">
        <f>IF(C314&lt;=0,0,MIN(AH315,C$7+IF(C$2=$AA315,$AC315,IF(C$2=$AF315,$AG315,0))))</f>
        <v/>
      </c>
      <c r="P315">
        <f>IF(D314&lt;=0,0,MIN(AI315,D$7+IF(D$2=$AA315,$AC315,IF(D$2=$AF315,$AG315,0))))</f>
        <v/>
      </c>
      <c r="Q315">
        <f>IF(E314&lt;=0,0,MIN(AJ315,E$7+IF(E$2=$AA315,$AC315,IF(E$2=$AF315,$AG315,0))))</f>
        <v/>
      </c>
      <c r="R315">
        <f>IF(F314&lt;=0,0,MIN(AK315,F$7+IF(F$2=$AA315,$AC315,IF(F$2=$AF315,$AG315,0))))</f>
        <v/>
      </c>
      <c r="S315">
        <f>IF(G314&lt;=0,0,MIN(AL315,G$7+IF(G$2=$AA315,$AC315,IF(G$2=$AF315,$AG315,0))))</f>
        <v/>
      </c>
      <c r="T315">
        <f>IF(H314&lt;=0,0,MIN(AM315,H$7+IF(H$2=$AA315,$AC315,IF(H$2=$AF315,$AG315,0))))</f>
        <v/>
      </c>
      <c r="U315">
        <f>IF(I314&lt;=0,0,MIN(AN315,I$7+IF(I$2=$AA315,$AC315,IF(I$2=$AF315,$AG315,0))))</f>
        <v/>
      </c>
      <c r="V315">
        <f>IF(J314&lt;=0,0,MIN(AO315,J$7+IF(J$2=$AA315,$AC315,IF(J$2=$AF315,$AG315,0))))</f>
        <v/>
      </c>
      <c r="W315">
        <f>IF(K314&lt;=0,0,MIN(AP315,K$7+IF(K$2=$AA315,$AC315,IF(K$2=$AF315,$AG315,0))))</f>
        <v/>
      </c>
      <c r="X315">
        <f>IF(L314&lt;=0,0,MIN(AQ315,L$7+IF(L$2=$AA315,$AC315,IF(L$2=$AF315,$AG315,0))))</f>
        <v/>
      </c>
      <c r="Y315">
        <f>IF(M314&lt;=0,0,MIN(AR315,M$7+IF(M$2=$AA315,$AC315,IF(M$2=$AF315,$AG315,0))))</f>
        <v/>
      </c>
      <c r="Z315">
        <f>IF(N314&lt;=0,0,MIN(AS315,N$7+IF(N$2=$AA315,$AC315,IF(N$2=$AF315,$AG315,0))))</f>
        <v/>
      </c>
      <c r="AA315">
        <f>IFERROR(ROUND(1/SUMPRODUCT(MAX((C314:N314&gt;0)*($C$3:$N$3&lt;=B315)/$C$2:$N$2)),0),0)</f>
        <v/>
      </c>
      <c r="AB315">
        <f>SUMPRODUCT((C314:N314&gt;0)*$C$7:$N$7)</f>
        <v/>
      </c>
      <c r="AC315">
        <f>MAX(0,Plan!$C$5-AB315)+IF(A315=Plan!$C$8,N(Plan!$C$7),0)</f>
        <v/>
      </c>
      <c r="AD315">
        <f>SUM(C315:N315)</f>
        <v/>
      </c>
      <c r="AE315">
        <f>SUM(O315:Z315)</f>
        <v/>
      </c>
      <c r="AF315">
        <f>IFERROR(ROUND(1/SUMPRODUCT(MAX((C314:N314&gt;0)*($C$3:$N$3&lt;=B315)*($C$2:$N$2&gt;AA315)/$C$2:$N$2)),0),0)</f>
        <v/>
      </c>
      <c r="AG315">
        <f>MAX(0,AC315-MAX(0,SUMPRODUCT(($C$2:$N$2=AA315)*(AH315:AS315-$C$7:$N$7))))</f>
        <v/>
      </c>
      <c r="AH315">
        <f>IF(C314&lt;=0,0,ROUND(C314*(1+IF(AND(C$6&gt;0,$B315&lt;C$6),C$4,C$5)/12),2))</f>
        <v/>
      </c>
      <c r="AI315">
        <f>IF(D314&lt;=0,0,ROUND(D314*(1+IF(AND(D$6&gt;0,$B315&lt;D$6),D$4,D$5)/12),2))</f>
        <v/>
      </c>
      <c r="AJ315">
        <f>IF(E314&lt;=0,0,ROUND(E314*(1+IF(AND(E$6&gt;0,$B315&lt;E$6),E$4,E$5)/12),2))</f>
        <v/>
      </c>
      <c r="AK315">
        <f>IF(F314&lt;=0,0,ROUND(F314*(1+IF(AND(F$6&gt;0,$B315&lt;F$6),F$4,F$5)/12),2))</f>
        <v/>
      </c>
      <c r="AL315">
        <f>IF(G314&lt;=0,0,ROUND(G314*(1+IF(AND(G$6&gt;0,$B315&lt;G$6),G$4,G$5)/12),2))</f>
        <v/>
      </c>
      <c r="AM315">
        <f>IF(H314&lt;=0,0,ROUND(H314*(1+IF(AND(H$6&gt;0,$B315&lt;H$6),H$4,H$5)/12),2))</f>
        <v/>
      </c>
      <c r="AN315">
        <f>IF(I314&lt;=0,0,ROUND(I314*(1+IF(AND(I$6&gt;0,$B315&lt;I$6),I$4,I$5)/12),2))</f>
        <v/>
      </c>
      <c r="AO315">
        <f>IF(J314&lt;=0,0,ROUND(J314*(1+IF(AND(J$6&gt;0,$B315&lt;J$6),J$4,J$5)/12),2))</f>
        <v/>
      </c>
      <c r="AP315">
        <f>IF(K314&lt;=0,0,ROUND(K314*(1+IF(AND(K$6&gt;0,$B315&lt;K$6),K$4,K$5)/12),2))</f>
        <v/>
      </c>
      <c r="AQ315">
        <f>IF(L314&lt;=0,0,ROUND(L314*(1+IF(AND(L$6&gt;0,$B315&lt;L$6),L$4,L$5)/12),2))</f>
        <v/>
      </c>
      <c r="AR315">
        <f>IF(M314&lt;=0,0,ROUND(M314*(1+IF(AND(M$6&gt;0,$B315&lt;M$6),M$4,M$5)/12),2))</f>
        <v/>
      </c>
      <c r="AS315">
        <f>IF(N314&lt;=0,0,ROUND(N314*(1+IF(AND(N$6&gt;0,$B315&lt;N$6),N$4,N$5)/12),2))</f>
        <v/>
      </c>
    </row>
    <row r="316">
      <c r="A316" t="n">
        <v>305</v>
      </c>
      <c r="B316">
        <f>EDATE(Plan!$C$6,304)</f>
        <v/>
      </c>
      <c r="C316">
        <f>IF(C315&lt;=0,0,MAX(0,AH316-O316))</f>
        <v/>
      </c>
      <c r="D316">
        <f>IF(D315&lt;=0,0,MAX(0,AI316-P316))</f>
        <v/>
      </c>
      <c r="E316">
        <f>IF(E315&lt;=0,0,MAX(0,AJ316-Q316))</f>
        <v/>
      </c>
      <c r="F316">
        <f>IF(F315&lt;=0,0,MAX(0,AK316-R316))</f>
        <v/>
      </c>
      <c r="G316">
        <f>IF(G315&lt;=0,0,MAX(0,AL316-S316))</f>
        <v/>
      </c>
      <c r="H316">
        <f>IF(H315&lt;=0,0,MAX(0,AM316-T316))</f>
        <v/>
      </c>
      <c r="I316">
        <f>IF(I315&lt;=0,0,MAX(0,AN316-U316))</f>
        <v/>
      </c>
      <c r="J316">
        <f>IF(J315&lt;=0,0,MAX(0,AO316-V316))</f>
        <v/>
      </c>
      <c r="K316">
        <f>IF(K315&lt;=0,0,MAX(0,AP316-W316))</f>
        <v/>
      </c>
      <c r="L316">
        <f>IF(L315&lt;=0,0,MAX(0,AQ316-X316))</f>
        <v/>
      </c>
      <c r="M316">
        <f>IF(M315&lt;=0,0,MAX(0,AR316-Y316))</f>
        <v/>
      </c>
      <c r="N316">
        <f>IF(N315&lt;=0,0,MAX(0,AS316-Z316))</f>
        <v/>
      </c>
      <c r="O316">
        <f>IF(C315&lt;=0,0,MIN(AH316,C$7+IF(C$2=$AA316,$AC316,IF(C$2=$AF316,$AG316,0))))</f>
        <v/>
      </c>
      <c r="P316">
        <f>IF(D315&lt;=0,0,MIN(AI316,D$7+IF(D$2=$AA316,$AC316,IF(D$2=$AF316,$AG316,0))))</f>
        <v/>
      </c>
      <c r="Q316">
        <f>IF(E315&lt;=0,0,MIN(AJ316,E$7+IF(E$2=$AA316,$AC316,IF(E$2=$AF316,$AG316,0))))</f>
        <v/>
      </c>
      <c r="R316">
        <f>IF(F315&lt;=0,0,MIN(AK316,F$7+IF(F$2=$AA316,$AC316,IF(F$2=$AF316,$AG316,0))))</f>
        <v/>
      </c>
      <c r="S316">
        <f>IF(G315&lt;=0,0,MIN(AL316,G$7+IF(G$2=$AA316,$AC316,IF(G$2=$AF316,$AG316,0))))</f>
        <v/>
      </c>
      <c r="T316">
        <f>IF(H315&lt;=0,0,MIN(AM316,H$7+IF(H$2=$AA316,$AC316,IF(H$2=$AF316,$AG316,0))))</f>
        <v/>
      </c>
      <c r="U316">
        <f>IF(I315&lt;=0,0,MIN(AN316,I$7+IF(I$2=$AA316,$AC316,IF(I$2=$AF316,$AG316,0))))</f>
        <v/>
      </c>
      <c r="V316">
        <f>IF(J315&lt;=0,0,MIN(AO316,J$7+IF(J$2=$AA316,$AC316,IF(J$2=$AF316,$AG316,0))))</f>
        <v/>
      </c>
      <c r="W316">
        <f>IF(K315&lt;=0,0,MIN(AP316,K$7+IF(K$2=$AA316,$AC316,IF(K$2=$AF316,$AG316,0))))</f>
        <v/>
      </c>
      <c r="X316">
        <f>IF(L315&lt;=0,0,MIN(AQ316,L$7+IF(L$2=$AA316,$AC316,IF(L$2=$AF316,$AG316,0))))</f>
        <v/>
      </c>
      <c r="Y316">
        <f>IF(M315&lt;=0,0,MIN(AR316,M$7+IF(M$2=$AA316,$AC316,IF(M$2=$AF316,$AG316,0))))</f>
        <v/>
      </c>
      <c r="Z316">
        <f>IF(N315&lt;=0,0,MIN(AS316,N$7+IF(N$2=$AA316,$AC316,IF(N$2=$AF316,$AG316,0))))</f>
        <v/>
      </c>
      <c r="AA316">
        <f>IFERROR(ROUND(1/SUMPRODUCT(MAX((C315:N315&gt;0)*($C$3:$N$3&lt;=B316)/$C$2:$N$2)),0),0)</f>
        <v/>
      </c>
      <c r="AB316">
        <f>SUMPRODUCT((C315:N315&gt;0)*$C$7:$N$7)</f>
        <v/>
      </c>
      <c r="AC316">
        <f>MAX(0,Plan!$C$5-AB316)+IF(A316=Plan!$C$8,N(Plan!$C$7),0)</f>
        <v/>
      </c>
      <c r="AD316">
        <f>SUM(C316:N316)</f>
        <v/>
      </c>
      <c r="AE316">
        <f>SUM(O316:Z316)</f>
        <v/>
      </c>
      <c r="AF316">
        <f>IFERROR(ROUND(1/SUMPRODUCT(MAX((C315:N315&gt;0)*($C$3:$N$3&lt;=B316)*($C$2:$N$2&gt;AA316)/$C$2:$N$2)),0),0)</f>
        <v/>
      </c>
      <c r="AG316">
        <f>MAX(0,AC316-MAX(0,SUMPRODUCT(($C$2:$N$2=AA316)*(AH316:AS316-$C$7:$N$7))))</f>
        <v/>
      </c>
      <c r="AH316">
        <f>IF(C315&lt;=0,0,ROUND(C315*(1+IF(AND(C$6&gt;0,$B316&lt;C$6),C$4,C$5)/12),2))</f>
        <v/>
      </c>
      <c r="AI316">
        <f>IF(D315&lt;=0,0,ROUND(D315*(1+IF(AND(D$6&gt;0,$B316&lt;D$6),D$4,D$5)/12),2))</f>
        <v/>
      </c>
      <c r="AJ316">
        <f>IF(E315&lt;=0,0,ROUND(E315*(1+IF(AND(E$6&gt;0,$B316&lt;E$6),E$4,E$5)/12),2))</f>
        <v/>
      </c>
      <c r="AK316">
        <f>IF(F315&lt;=0,0,ROUND(F315*(1+IF(AND(F$6&gt;0,$B316&lt;F$6),F$4,F$5)/12),2))</f>
        <v/>
      </c>
      <c r="AL316">
        <f>IF(G315&lt;=0,0,ROUND(G315*(1+IF(AND(G$6&gt;0,$B316&lt;G$6),G$4,G$5)/12),2))</f>
        <v/>
      </c>
      <c r="AM316">
        <f>IF(H315&lt;=0,0,ROUND(H315*(1+IF(AND(H$6&gt;0,$B316&lt;H$6),H$4,H$5)/12),2))</f>
        <v/>
      </c>
      <c r="AN316">
        <f>IF(I315&lt;=0,0,ROUND(I315*(1+IF(AND(I$6&gt;0,$B316&lt;I$6),I$4,I$5)/12),2))</f>
        <v/>
      </c>
      <c r="AO316">
        <f>IF(J315&lt;=0,0,ROUND(J315*(1+IF(AND(J$6&gt;0,$B316&lt;J$6),J$4,J$5)/12),2))</f>
        <v/>
      </c>
      <c r="AP316">
        <f>IF(K315&lt;=0,0,ROUND(K315*(1+IF(AND(K$6&gt;0,$B316&lt;K$6),K$4,K$5)/12),2))</f>
        <v/>
      </c>
      <c r="AQ316">
        <f>IF(L315&lt;=0,0,ROUND(L315*(1+IF(AND(L$6&gt;0,$B316&lt;L$6),L$4,L$5)/12),2))</f>
        <v/>
      </c>
      <c r="AR316">
        <f>IF(M315&lt;=0,0,ROUND(M315*(1+IF(AND(M$6&gt;0,$B316&lt;M$6),M$4,M$5)/12),2))</f>
        <v/>
      </c>
      <c r="AS316">
        <f>IF(N315&lt;=0,0,ROUND(N315*(1+IF(AND(N$6&gt;0,$B316&lt;N$6),N$4,N$5)/12),2))</f>
        <v/>
      </c>
    </row>
    <row r="317">
      <c r="A317" t="n">
        <v>306</v>
      </c>
      <c r="B317">
        <f>EDATE(Plan!$C$6,305)</f>
        <v/>
      </c>
      <c r="C317">
        <f>IF(C316&lt;=0,0,MAX(0,AH317-O317))</f>
        <v/>
      </c>
      <c r="D317">
        <f>IF(D316&lt;=0,0,MAX(0,AI317-P317))</f>
        <v/>
      </c>
      <c r="E317">
        <f>IF(E316&lt;=0,0,MAX(0,AJ317-Q317))</f>
        <v/>
      </c>
      <c r="F317">
        <f>IF(F316&lt;=0,0,MAX(0,AK317-R317))</f>
        <v/>
      </c>
      <c r="G317">
        <f>IF(G316&lt;=0,0,MAX(0,AL317-S317))</f>
        <v/>
      </c>
      <c r="H317">
        <f>IF(H316&lt;=0,0,MAX(0,AM317-T317))</f>
        <v/>
      </c>
      <c r="I317">
        <f>IF(I316&lt;=0,0,MAX(0,AN317-U317))</f>
        <v/>
      </c>
      <c r="J317">
        <f>IF(J316&lt;=0,0,MAX(0,AO317-V317))</f>
        <v/>
      </c>
      <c r="K317">
        <f>IF(K316&lt;=0,0,MAX(0,AP317-W317))</f>
        <v/>
      </c>
      <c r="L317">
        <f>IF(L316&lt;=0,0,MAX(0,AQ317-X317))</f>
        <v/>
      </c>
      <c r="M317">
        <f>IF(M316&lt;=0,0,MAX(0,AR317-Y317))</f>
        <v/>
      </c>
      <c r="N317">
        <f>IF(N316&lt;=0,0,MAX(0,AS317-Z317))</f>
        <v/>
      </c>
      <c r="O317">
        <f>IF(C316&lt;=0,0,MIN(AH317,C$7+IF(C$2=$AA317,$AC317,IF(C$2=$AF317,$AG317,0))))</f>
        <v/>
      </c>
      <c r="P317">
        <f>IF(D316&lt;=0,0,MIN(AI317,D$7+IF(D$2=$AA317,$AC317,IF(D$2=$AF317,$AG317,0))))</f>
        <v/>
      </c>
      <c r="Q317">
        <f>IF(E316&lt;=0,0,MIN(AJ317,E$7+IF(E$2=$AA317,$AC317,IF(E$2=$AF317,$AG317,0))))</f>
        <v/>
      </c>
      <c r="R317">
        <f>IF(F316&lt;=0,0,MIN(AK317,F$7+IF(F$2=$AA317,$AC317,IF(F$2=$AF317,$AG317,0))))</f>
        <v/>
      </c>
      <c r="S317">
        <f>IF(G316&lt;=0,0,MIN(AL317,G$7+IF(G$2=$AA317,$AC317,IF(G$2=$AF317,$AG317,0))))</f>
        <v/>
      </c>
      <c r="T317">
        <f>IF(H316&lt;=0,0,MIN(AM317,H$7+IF(H$2=$AA317,$AC317,IF(H$2=$AF317,$AG317,0))))</f>
        <v/>
      </c>
      <c r="U317">
        <f>IF(I316&lt;=0,0,MIN(AN317,I$7+IF(I$2=$AA317,$AC317,IF(I$2=$AF317,$AG317,0))))</f>
        <v/>
      </c>
      <c r="V317">
        <f>IF(J316&lt;=0,0,MIN(AO317,J$7+IF(J$2=$AA317,$AC317,IF(J$2=$AF317,$AG317,0))))</f>
        <v/>
      </c>
      <c r="W317">
        <f>IF(K316&lt;=0,0,MIN(AP317,K$7+IF(K$2=$AA317,$AC317,IF(K$2=$AF317,$AG317,0))))</f>
        <v/>
      </c>
      <c r="X317">
        <f>IF(L316&lt;=0,0,MIN(AQ317,L$7+IF(L$2=$AA317,$AC317,IF(L$2=$AF317,$AG317,0))))</f>
        <v/>
      </c>
      <c r="Y317">
        <f>IF(M316&lt;=0,0,MIN(AR317,M$7+IF(M$2=$AA317,$AC317,IF(M$2=$AF317,$AG317,0))))</f>
        <v/>
      </c>
      <c r="Z317">
        <f>IF(N316&lt;=0,0,MIN(AS317,N$7+IF(N$2=$AA317,$AC317,IF(N$2=$AF317,$AG317,0))))</f>
        <v/>
      </c>
      <c r="AA317">
        <f>IFERROR(ROUND(1/SUMPRODUCT(MAX((C316:N316&gt;0)*($C$3:$N$3&lt;=B317)/$C$2:$N$2)),0),0)</f>
        <v/>
      </c>
      <c r="AB317">
        <f>SUMPRODUCT((C316:N316&gt;0)*$C$7:$N$7)</f>
        <v/>
      </c>
      <c r="AC317">
        <f>MAX(0,Plan!$C$5-AB317)+IF(A317=Plan!$C$8,N(Plan!$C$7),0)</f>
        <v/>
      </c>
      <c r="AD317">
        <f>SUM(C317:N317)</f>
        <v/>
      </c>
      <c r="AE317">
        <f>SUM(O317:Z317)</f>
        <v/>
      </c>
      <c r="AF317">
        <f>IFERROR(ROUND(1/SUMPRODUCT(MAX((C316:N316&gt;0)*($C$3:$N$3&lt;=B317)*($C$2:$N$2&gt;AA317)/$C$2:$N$2)),0),0)</f>
        <v/>
      </c>
      <c r="AG317">
        <f>MAX(0,AC317-MAX(0,SUMPRODUCT(($C$2:$N$2=AA317)*(AH317:AS317-$C$7:$N$7))))</f>
        <v/>
      </c>
      <c r="AH317">
        <f>IF(C316&lt;=0,0,ROUND(C316*(1+IF(AND(C$6&gt;0,$B317&lt;C$6),C$4,C$5)/12),2))</f>
        <v/>
      </c>
      <c r="AI317">
        <f>IF(D316&lt;=0,0,ROUND(D316*(1+IF(AND(D$6&gt;0,$B317&lt;D$6),D$4,D$5)/12),2))</f>
        <v/>
      </c>
      <c r="AJ317">
        <f>IF(E316&lt;=0,0,ROUND(E316*(1+IF(AND(E$6&gt;0,$B317&lt;E$6),E$4,E$5)/12),2))</f>
        <v/>
      </c>
      <c r="AK317">
        <f>IF(F316&lt;=0,0,ROUND(F316*(1+IF(AND(F$6&gt;0,$B317&lt;F$6),F$4,F$5)/12),2))</f>
        <v/>
      </c>
      <c r="AL317">
        <f>IF(G316&lt;=0,0,ROUND(G316*(1+IF(AND(G$6&gt;0,$B317&lt;G$6),G$4,G$5)/12),2))</f>
        <v/>
      </c>
      <c r="AM317">
        <f>IF(H316&lt;=0,0,ROUND(H316*(1+IF(AND(H$6&gt;0,$B317&lt;H$6),H$4,H$5)/12),2))</f>
        <v/>
      </c>
      <c r="AN317">
        <f>IF(I316&lt;=0,0,ROUND(I316*(1+IF(AND(I$6&gt;0,$B317&lt;I$6),I$4,I$5)/12),2))</f>
        <v/>
      </c>
      <c r="AO317">
        <f>IF(J316&lt;=0,0,ROUND(J316*(1+IF(AND(J$6&gt;0,$B317&lt;J$6),J$4,J$5)/12),2))</f>
        <v/>
      </c>
      <c r="AP317">
        <f>IF(K316&lt;=0,0,ROUND(K316*(1+IF(AND(K$6&gt;0,$B317&lt;K$6),K$4,K$5)/12),2))</f>
        <v/>
      </c>
      <c r="AQ317">
        <f>IF(L316&lt;=0,0,ROUND(L316*(1+IF(AND(L$6&gt;0,$B317&lt;L$6),L$4,L$5)/12),2))</f>
        <v/>
      </c>
      <c r="AR317">
        <f>IF(M316&lt;=0,0,ROUND(M316*(1+IF(AND(M$6&gt;0,$B317&lt;M$6),M$4,M$5)/12),2))</f>
        <v/>
      </c>
      <c r="AS317">
        <f>IF(N316&lt;=0,0,ROUND(N316*(1+IF(AND(N$6&gt;0,$B317&lt;N$6),N$4,N$5)/12),2))</f>
        <v/>
      </c>
    </row>
    <row r="318">
      <c r="A318" t="n">
        <v>307</v>
      </c>
      <c r="B318">
        <f>EDATE(Plan!$C$6,306)</f>
        <v/>
      </c>
      <c r="C318">
        <f>IF(C317&lt;=0,0,MAX(0,AH318-O318))</f>
        <v/>
      </c>
      <c r="D318">
        <f>IF(D317&lt;=0,0,MAX(0,AI318-P318))</f>
        <v/>
      </c>
      <c r="E318">
        <f>IF(E317&lt;=0,0,MAX(0,AJ318-Q318))</f>
        <v/>
      </c>
      <c r="F318">
        <f>IF(F317&lt;=0,0,MAX(0,AK318-R318))</f>
        <v/>
      </c>
      <c r="G318">
        <f>IF(G317&lt;=0,0,MAX(0,AL318-S318))</f>
        <v/>
      </c>
      <c r="H318">
        <f>IF(H317&lt;=0,0,MAX(0,AM318-T318))</f>
        <v/>
      </c>
      <c r="I318">
        <f>IF(I317&lt;=0,0,MAX(0,AN318-U318))</f>
        <v/>
      </c>
      <c r="J318">
        <f>IF(J317&lt;=0,0,MAX(0,AO318-V318))</f>
        <v/>
      </c>
      <c r="K318">
        <f>IF(K317&lt;=0,0,MAX(0,AP318-W318))</f>
        <v/>
      </c>
      <c r="L318">
        <f>IF(L317&lt;=0,0,MAX(0,AQ318-X318))</f>
        <v/>
      </c>
      <c r="M318">
        <f>IF(M317&lt;=0,0,MAX(0,AR318-Y318))</f>
        <v/>
      </c>
      <c r="N318">
        <f>IF(N317&lt;=0,0,MAX(0,AS318-Z318))</f>
        <v/>
      </c>
      <c r="O318">
        <f>IF(C317&lt;=0,0,MIN(AH318,C$7+IF(C$2=$AA318,$AC318,IF(C$2=$AF318,$AG318,0))))</f>
        <v/>
      </c>
      <c r="P318">
        <f>IF(D317&lt;=0,0,MIN(AI318,D$7+IF(D$2=$AA318,$AC318,IF(D$2=$AF318,$AG318,0))))</f>
        <v/>
      </c>
      <c r="Q318">
        <f>IF(E317&lt;=0,0,MIN(AJ318,E$7+IF(E$2=$AA318,$AC318,IF(E$2=$AF318,$AG318,0))))</f>
        <v/>
      </c>
      <c r="R318">
        <f>IF(F317&lt;=0,0,MIN(AK318,F$7+IF(F$2=$AA318,$AC318,IF(F$2=$AF318,$AG318,0))))</f>
        <v/>
      </c>
      <c r="S318">
        <f>IF(G317&lt;=0,0,MIN(AL318,G$7+IF(G$2=$AA318,$AC318,IF(G$2=$AF318,$AG318,0))))</f>
        <v/>
      </c>
      <c r="T318">
        <f>IF(H317&lt;=0,0,MIN(AM318,H$7+IF(H$2=$AA318,$AC318,IF(H$2=$AF318,$AG318,0))))</f>
        <v/>
      </c>
      <c r="U318">
        <f>IF(I317&lt;=0,0,MIN(AN318,I$7+IF(I$2=$AA318,$AC318,IF(I$2=$AF318,$AG318,0))))</f>
        <v/>
      </c>
      <c r="V318">
        <f>IF(J317&lt;=0,0,MIN(AO318,J$7+IF(J$2=$AA318,$AC318,IF(J$2=$AF318,$AG318,0))))</f>
        <v/>
      </c>
      <c r="W318">
        <f>IF(K317&lt;=0,0,MIN(AP318,K$7+IF(K$2=$AA318,$AC318,IF(K$2=$AF318,$AG318,0))))</f>
        <v/>
      </c>
      <c r="X318">
        <f>IF(L317&lt;=0,0,MIN(AQ318,L$7+IF(L$2=$AA318,$AC318,IF(L$2=$AF318,$AG318,0))))</f>
        <v/>
      </c>
      <c r="Y318">
        <f>IF(M317&lt;=0,0,MIN(AR318,M$7+IF(M$2=$AA318,$AC318,IF(M$2=$AF318,$AG318,0))))</f>
        <v/>
      </c>
      <c r="Z318">
        <f>IF(N317&lt;=0,0,MIN(AS318,N$7+IF(N$2=$AA318,$AC318,IF(N$2=$AF318,$AG318,0))))</f>
        <v/>
      </c>
      <c r="AA318">
        <f>IFERROR(ROUND(1/SUMPRODUCT(MAX((C317:N317&gt;0)*($C$3:$N$3&lt;=B318)/$C$2:$N$2)),0),0)</f>
        <v/>
      </c>
      <c r="AB318">
        <f>SUMPRODUCT((C317:N317&gt;0)*$C$7:$N$7)</f>
        <v/>
      </c>
      <c r="AC318">
        <f>MAX(0,Plan!$C$5-AB318)+IF(A318=Plan!$C$8,N(Plan!$C$7),0)</f>
        <v/>
      </c>
      <c r="AD318">
        <f>SUM(C318:N318)</f>
        <v/>
      </c>
      <c r="AE318">
        <f>SUM(O318:Z318)</f>
        <v/>
      </c>
      <c r="AF318">
        <f>IFERROR(ROUND(1/SUMPRODUCT(MAX((C317:N317&gt;0)*($C$3:$N$3&lt;=B318)*($C$2:$N$2&gt;AA318)/$C$2:$N$2)),0),0)</f>
        <v/>
      </c>
      <c r="AG318">
        <f>MAX(0,AC318-MAX(0,SUMPRODUCT(($C$2:$N$2=AA318)*(AH318:AS318-$C$7:$N$7))))</f>
        <v/>
      </c>
      <c r="AH318">
        <f>IF(C317&lt;=0,0,ROUND(C317*(1+IF(AND(C$6&gt;0,$B318&lt;C$6),C$4,C$5)/12),2))</f>
        <v/>
      </c>
      <c r="AI318">
        <f>IF(D317&lt;=0,0,ROUND(D317*(1+IF(AND(D$6&gt;0,$B318&lt;D$6),D$4,D$5)/12),2))</f>
        <v/>
      </c>
      <c r="AJ318">
        <f>IF(E317&lt;=0,0,ROUND(E317*(1+IF(AND(E$6&gt;0,$B318&lt;E$6),E$4,E$5)/12),2))</f>
        <v/>
      </c>
      <c r="AK318">
        <f>IF(F317&lt;=0,0,ROUND(F317*(1+IF(AND(F$6&gt;0,$B318&lt;F$6),F$4,F$5)/12),2))</f>
        <v/>
      </c>
      <c r="AL318">
        <f>IF(G317&lt;=0,0,ROUND(G317*(1+IF(AND(G$6&gt;0,$B318&lt;G$6),G$4,G$5)/12),2))</f>
        <v/>
      </c>
      <c r="AM318">
        <f>IF(H317&lt;=0,0,ROUND(H317*(1+IF(AND(H$6&gt;0,$B318&lt;H$6),H$4,H$5)/12),2))</f>
        <v/>
      </c>
      <c r="AN318">
        <f>IF(I317&lt;=0,0,ROUND(I317*(1+IF(AND(I$6&gt;0,$B318&lt;I$6),I$4,I$5)/12),2))</f>
        <v/>
      </c>
      <c r="AO318">
        <f>IF(J317&lt;=0,0,ROUND(J317*(1+IF(AND(J$6&gt;0,$B318&lt;J$6),J$4,J$5)/12),2))</f>
        <v/>
      </c>
      <c r="AP318">
        <f>IF(K317&lt;=0,0,ROUND(K317*(1+IF(AND(K$6&gt;0,$B318&lt;K$6),K$4,K$5)/12),2))</f>
        <v/>
      </c>
      <c r="AQ318">
        <f>IF(L317&lt;=0,0,ROUND(L317*(1+IF(AND(L$6&gt;0,$B318&lt;L$6),L$4,L$5)/12),2))</f>
        <v/>
      </c>
      <c r="AR318">
        <f>IF(M317&lt;=0,0,ROUND(M317*(1+IF(AND(M$6&gt;0,$B318&lt;M$6),M$4,M$5)/12),2))</f>
        <v/>
      </c>
      <c r="AS318">
        <f>IF(N317&lt;=0,0,ROUND(N317*(1+IF(AND(N$6&gt;0,$B318&lt;N$6),N$4,N$5)/12),2))</f>
        <v/>
      </c>
    </row>
    <row r="319">
      <c r="A319" t="n">
        <v>308</v>
      </c>
      <c r="B319">
        <f>EDATE(Plan!$C$6,307)</f>
        <v/>
      </c>
      <c r="C319">
        <f>IF(C318&lt;=0,0,MAX(0,AH319-O319))</f>
        <v/>
      </c>
      <c r="D319">
        <f>IF(D318&lt;=0,0,MAX(0,AI319-P319))</f>
        <v/>
      </c>
      <c r="E319">
        <f>IF(E318&lt;=0,0,MAX(0,AJ319-Q319))</f>
        <v/>
      </c>
      <c r="F319">
        <f>IF(F318&lt;=0,0,MAX(0,AK319-R319))</f>
        <v/>
      </c>
      <c r="G319">
        <f>IF(G318&lt;=0,0,MAX(0,AL319-S319))</f>
        <v/>
      </c>
      <c r="H319">
        <f>IF(H318&lt;=0,0,MAX(0,AM319-T319))</f>
        <v/>
      </c>
      <c r="I319">
        <f>IF(I318&lt;=0,0,MAX(0,AN319-U319))</f>
        <v/>
      </c>
      <c r="J319">
        <f>IF(J318&lt;=0,0,MAX(0,AO319-V319))</f>
        <v/>
      </c>
      <c r="K319">
        <f>IF(K318&lt;=0,0,MAX(0,AP319-W319))</f>
        <v/>
      </c>
      <c r="L319">
        <f>IF(L318&lt;=0,0,MAX(0,AQ319-X319))</f>
        <v/>
      </c>
      <c r="M319">
        <f>IF(M318&lt;=0,0,MAX(0,AR319-Y319))</f>
        <v/>
      </c>
      <c r="N319">
        <f>IF(N318&lt;=0,0,MAX(0,AS319-Z319))</f>
        <v/>
      </c>
      <c r="O319">
        <f>IF(C318&lt;=0,0,MIN(AH319,C$7+IF(C$2=$AA319,$AC319,IF(C$2=$AF319,$AG319,0))))</f>
        <v/>
      </c>
      <c r="P319">
        <f>IF(D318&lt;=0,0,MIN(AI319,D$7+IF(D$2=$AA319,$AC319,IF(D$2=$AF319,$AG319,0))))</f>
        <v/>
      </c>
      <c r="Q319">
        <f>IF(E318&lt;=0,0,MIN(AJ319,E$7+IF(E$2=$AA319,$AC319,IF(E$2=$AF319,$AG319,0))))</f>
        <v/>
      </c>
      <c r="R319">
        <f>IF(F318&lt;=0,0,MIN(AK319,F$7+IF(F$2=$AA319,$AC319,IF(F$2=$AF319,$AG319,0))))</f>
        <v/>
      </c>
      <c r="S319">
        <f>IF(G318&lt;=0,0,MIN(AL319,G$7+IF(G$2=$AA319,$AC319,IF(G$2=$AF319,$AG319,0))))</f>
        <v/>
      </c>
      <c r="T319">
        <f>IF(H318&lt;=0,0,MIN(AM319,H$7+IF(H$2=$AA319,$AC319,IF(H$2=$AF319,$AG319,0))))</f>
        <v/>
      </c>
      <c r="U319">
        <f>IF(I318&lt;=0,0,MIN(AN319,I$7+IF(I$2=$AA319,$AC319,IF(I$2=$AF319,$AG319,0))))</f>
        <v/>
      </c>
      <c r="V319">
        <f>IF(J318&lt;=0,0,MIN(AO319,J$7+IF(J$2=$AA319,$AC319,IF(J$2=$AF319,$AG319,0))))</f>
        <v/>
      </c>
      <c r="W319">
        <f>IF(K318&lt;=0,0,MIN(AP319,K$7+IF(K$2=$AA319,$AC319,IF(K$2=$AF319,$AG319,0))))</f>
        <v/>
      </c>
      <c r="X319">
        <f>IF(L318&lt;=0,0,MIN(AQ319,L$7+IF(L$2=$AA319,$AC319,IF(L$2=$AF319,$AG319,0))))</f>
        <v/>
      </c>
      <c r="Y319">
        <f>IF(M318&lt;=0,0,MIN(AR319,M$7+IF(M$2=$AA319,$AC319,IF(M$2=$AF319,$AG319,0))))</f>
        <v/>
      </c>
      <c r="Z319">
        <f>IF(N318&lt;=0,0,MIN(AS319,N$7+IF(N$2=$AA319,$AC319,IF(N$2=$AF319,$AG319,0))))</f>
        <v/>
      </c>
      <c r="AA319">
        <f>IFERROR(ROUND(1/SUMPRODUCT(MAX((C318:N318&gt;0)*($C$3:$N$3&lt;=B319)/$C$2:$N$2)),0),0)</f>
        <v/>
      </c>
      <c r="AB319">
        <f>SUMPRODUCT((C318:N318&gt;0)*$C$7:$N$7)</f>
        <v/>
      </c>
      <c r="AC319">
        <f>MAX(0,Plan!$C$5-AB319)+IF(A319=Plan!$C$8,N(Plan!$C$7),0)</f>
        <v/>
      </c>
      <c r="AD319">
        <f>SUM(C319:N319)</f>
        <v/>
      </c>
      <c r="AE319">
        <f>SUM(O319:Z319)</f>
        <v/>
      </c>
      <c r="AF319">
        <f>IFERROR(ROUND(1/SUMPRODUCT(MAX((C318:N318&gt;0)*($C$3:$N$3&lt;=B319)*($C$2:$N$2&gt;AA319)/$C$2:$N$2)),0),0)</f>
        <v/>
      </c>
      <c r="AG319">
        <f>MAX(0,AC319-MAX(0,SUMPRODUCT(($C$2:$N$2=AA319)*(AH319:AS319-$C$7:$N$7))))</f>
        <v/>
      </c>
      <c r="AH319">
        <f>IF(C318&lt;=0,0,ROUND(C318*(1+IF(AND(C$6&gt;0,$B319&lt;C$6),C$4,C$5)/12),2))</f>
        <v/>
      </c>
      <c r="AI319">
        <f>IF(D318&lt;=0,0,ROUND(D318*(1+IF(AND(D$6&gt;0,$B319&lt;D$6),D$4,D$5)/12),2))</f>
        <v/>
      </c>
      <c r="AJ319">
        <f>IF(E318&lt;=0,0,ROUND(E318*(1+IF(AND(E$6&gt;0,$B319&lt;E$6),E$4,E$5)/12),2))</f>
        <v/>
      </c>
      <c r="AK319">
        <f>IF(F318&lt;=0,0,ROUND(F318*(1+IF(AND(F$6&gt;0,$B319&lt;F$6),F$4,F$5)/12),2))</f>
        <v/>
      </c>
      <c r="AL319">
        <f>IF(G318&lt;=0,0,ROUND(G318*(1+IF(AND(G$6&gt;0,$B319&lt;G$6),G$4,G$5)/12),2))</f>
        <v/>
      </c>
      <c r="AM319">
        <f>IF(H318&lt;=0,0,ROUND(H318*(1+IF(AND(H$6&gt;0,$B319&lt;H$6),H$4,H$5)/12),2))</f>
        <v/>
      </c>
      <c r="AN319">
        <f>IF(I318&lt;=0,0,ROUND(I318*(1+IF(AND(I$6&gt;0,$B319&lt;I$6),I$4,I$5)/12),2))</f>
        <v/>
      </c>
      <c r="AO319">
        <f>IF(J318&lt;=0,0,ROUND(J318*(1+IF(AND(J$6&gt;0,$B319&lt;J$6),J$4,J$5)/12),2))</f>
        <v/>
      </c>
      <c r="AP319">
        <f>IF(K318&lt;=0,0,ROUND(K318*(1+IF(AND(K$6&gt;0,$B319&lt;K$6),K$4,K$5)/12),2))</f>
        <v/>
      </c>
      <c r="AQ319">
        <f>IF(L318&lt;=0,0,ROUND(L318*(1+IF(AND(L$6&gt;0,$B319&lt;L$6),L$4,L$5)/12),2))</f>
        <v/>
      </c>
      <c r="AR319">
        <f>IF(M318&lt;=0,0,ROUND(M318*(1+IF(AND(M$6&gt;0,$B319&lt;M$6),M$4,M$5)/12),2))</f>
        <v/>
      </c>
      <c r="AS319">
        <f>IF(N318&lt;=0,0,ROUND(N318*(1+IF(AND(N$6&gt;0,$B319&lt;N$6),N$4,N$5)/12),2))</f>
        <v/>
      </c>
    </row>
    <row r="320">
      <c r="A320" t="n">
        <v>309</v>
      </c>
      <c r="B320">
        <f>EDATE(Plan!$C$6,308)</f>
        <v/>
      </c>
      <c r="C320">
        <f>IF(C319&lt;=0,0,MAX(0,AH320-O320))</f>
        <v/>
      </c>
      <c r="D320">
        <f>IF(D319&lt;=0,0,MAX(0,AI320-P320))</f>
        <v/>
      </c>
      <c r="E320">
        <f>IF(E319&lt;=0,0,MAX(0,AJ320-Q320))</f>
        <v/>
      </c>
      <c r="F320">
        <f>IF(F319&lt;=0,0,MAX(0,AK320-R320))</f>
        <v/>
      </c>
      <c r="G320">
        <f>IF(G319&lt;=0,0,MAX(0,AL320-S320))</f>
        <v/>
      </c>
      <c r="H320">
        <f>IF(H319&lt;=0,0,MAX(0,AM320-T320))</f>
        <v/>
      </c>
      <c r="I320">
        <f>IF(I319&lt;=0,0,MAX(0,AN320-U320))</f>
        <v/>
      </c>
      <c r="J320">
        <f>IF(J319&lt;=0,0,MAX(0,AO320-V320))</f>
        <v/>
      </c>
      <c r="K320">
        <f>IF(K319&lt;=0,0,MAX(0,AP320-W320))</f>
        <v/>
      </c>
      <c r="L320">
        <f>IF(L319&lt;=0,0,MAX(0,AQ320-X320))</f>
        <v/>
      </c>
      <c r="M320">
        <f>IF(M319&lt;=0,0,MAX(0,AR320-Y320))</f>
        <v/>
      </c>
      <c r="N320">
        <f>IF(N319&lt;=0,0,MAX(0,AS320-Z320))</f>
        <v/>
      </c>
      <c r="O320">
        <f>IF(C319&lt;=0,0,MIN(AH320,C$7+IF(C$2=$AA320,$AC320,IF(C$2=$AF320,$AG320,0))))</f>
        <v/>
      </c>
      <c r="P320">
        <f>IF(D319&lt;=0,0,MIN(AI320,D$7+IF(D$2=$AA320,$AC320,IF(D$2=$AF320,$AG320,0))))</f>
        <v/>
      </c>
      <c r="Q320">
        <f>IF(E319&lt;=0,0,MIN(AJ320,E$7+IF(E$2=$AA320,$AC320,IF(E$2=$AF320,$AG320,0))))</f>
        <v/>
      </c>
      <c r="R320">
        <f>IF(F319&lt;=0,0,MIN(AK320,F$7+IF(F$2=$AA320,$AC320,IF(F$2=$AF320,$AG320,0))))</f>
        <v/>
      </c>
      <c r="S320">
        <f>IF(G319&lt;=0,0,MIN(AL320,G$7+IF(G$2=$AA320,$AC320,IF(G$2=$AF320,$AG320,0))))</f>
        <v/>
      </c>
      <c r="T320">
        <f>IF(H319&lt;=0,0,MIN(AM320,H$7+IF(H$2=$AA320,$AC320,IF(H$2=$AF320,$AG320,0))))</f>
        <v/>
      </c>
      <c r="U320">
        <f>IF(I319&lt;=0,0,MIN(AN320,I$7+IF(I$2=$AA320,$AC320,IF(I$2=$AF320,$AG320,0))))</f>
        <v/>
      </c>
      <c r="V320">
        <f>IF(J319&lt;=0,0,MIN(AO320,J$7+IF(J$2=$AA320,$AC320,IF(J$2=$AF320,$AG320,0))))</f>
        <v/>
      </c>
      <c r="W320">
        <f>IF(K319&lt;=0,0,MIN(AP320,K$7+IF(K$2=$AA320,$AC320,IF(K$2=$AF320,$AG320,0))))</f>
        <v/>
      </c>
      <c r="X320">
        <f>IF(L319&lt;=0,0,MIN(AQ320,L$7+IF(L$2=$AA320,$AC320,IF(L$2=$AF320,$AG320,0))))</f>
        <v/>
      </c>
      <c r="Y320">
        <f>IF(M319&lt;=0,0,MIN(AR320,M$7+IF(M$2=$AA320,$AC320,IF(M$2=$AF320,$AG320,0))))</f>
        <v/>
      </c>
      <c r="Z320">
        <f>IF(N319&lt;=0,0,MIN(AS320,N$7+IF(N$2=$AA320,$AC320,IF(N$2=$AF320,$AG320,0))))</f>
        <v/>
      </c>
      <c r="AA320">
        <f>IFERROR(ROUND(1/SUMPRODUCT(MAX((C319:N319&gt;0)*($C$3:$N$3&lt;=B320)/$C$2:$N$2)),0),0)</f>
        <v/>
      </c>
      <c r="AB320">
        <f>SUMPRODUCT((C319:N319&gt;0)*$C$7:$N$7)</f>
        <v/>
      </c>
      <c r="AC320">
        <f>MAX(0,Plan!$C$5-AB320)+IF(A320=Plan!$C$8,N(Plan!$C$7),0)</f>
        <v/>
      </c>
      <c r="AD320">
        <f>SUM(C320:N320)</f>
        <v/>
      </c>
      <c r="AE320">
        <f>SUM(O320:Z320)</f>
        <v/>
      </c>
      <c r="AF320">
        <f>IFERROR(ROUND(1/SUMPRODUCT(MAX((C319:N319&gt;0)*($C$3:$N$3&lt;=B320)*($C$2:$N$2&gt;AA320)/$C$2:$N$2)),0),0)</f>
        <v/>
      </c>
      <c r="AG320">
        <f>MAX(0,AC320-MAX(0,SUMPRODUCT(($C$2:$N$2=AA320)*(AH320:AS320-$C$7:$N$7))))</f>
        <v/>
      </c>
      <c r="AH320">
        <f>IF(C319&lt;=0,0,ROUND(C319*(1+IF(AND(C$6&gt;0,$B320&lt;C$6),C$4,C$5)/12),2))</f>
        <v/>
      </c>
      <c r="AI320">
        <f>IF(D319&lt;=0,0,ROUND(D319*(1+IF(AND(D$6&gt;0,$B320&lt;D$6),D$4,D$5)/12),2))</f>
        <v/>
      </c>
      <c r="AJ320">
        <f>IF(E319&lt;=0,0,ROUND(E319*(1+IF(AND(E$6&gt;0,$B320&lt;E$6),E$4,E$5)/12),2))</f>
        <v/>
      </c>
      <c r="AK320">
        <f>IF(F319&lt;=0,0,ROUND(F319*(1+IF(AND(F$6&gt;0,$B320&lt;F$6),F$4,F$5)/12),2))</f>
        <v/>
      </c>
      <c r="AL320">
        <f>IF(G319&lt;=0,0,ROUND(G319*(1+IF(AND(G$6&gt;0,$B320&lt;G$6),G$4,G$5)/12),2))</f>
        <v/>
      </c>
      <c r="AM320">
        <f>IF(H319&lt;=0,0,ROUND(H319*(1+IF(AND(H$6&gt;0,$B320&lt;H$6),H$4,H$5)/12),2))</f>
        <v/>
      </c>
      <c r="AN320">
        <f>IF(I319&lt;=0,0,ROUND(I319*(1+IF(AND(I$6&gt;0,$B320&lt;I$6),I$4,I$5)/12),2))</f>
        <v/>
      </c>
      <c r="AO320">
        <f>IF(J319&lt;=0,0,ROUND(J319*(1+IF(AND(J$6&gt;0,$B320&lt;J$6),J$4,J$5)/12),2))</f>
        <v/>
      </c>
      <c r="AP320">
        <f>IF(K319&lt;=0,0,ROUND(K319*(1+IF(AND(K$6&gt;0,$B320&lt;K$6),K$4,K$5)/12),2))</f>
        <v/>
      </c>
      <c r="AQ320">
        <f>IF(L319&lt;=0,0,ROUND(L319*(1+IF(AND(L$6&gt;0,$B320&lt;L$6),L$4,L$5)/12),2))</f>
        <v/>
      </c>
      <c r="AR320">
        <f>IF(M319&lt;=0,0,ROUND(M319*(1+IF(AND(M$6&gt;0,$B320&lt;M$6),M$4,M$5)/12),2))</f>
        <v/>
      </c>
      <c r="AS320">
        <f>IF(N319&lt;=0,0,ROUND(N319*(1+IF(AND(N$6&gt;0,$B320&lt;N$6),N$4,N$5)/12),2))</f>
        <v/>
      </c>
    </row>
    <row r="321">
      <c r="A321" t="n">
        <v>310</v>
      </c>
      <c r="B321">
        <f>EDATE(Plan!$C$6,309)</f>
        <v/>
      </c>
      <c r="C321">
        <f>IF(C320&lt;=0,0,MAX(0,AH321-O321))</f>
        <v/>
      </c>
      <c r="D321">
        <f>IF(D320&lt;=0,0,MAX(0,AI321-P321))</f>
        <v/>
      </c>
      <c r="E321">
        <f>IF(E320&lt;=0,0,MAX(0,AJ321-Q321))</f>
        <v/>
      </c>
      <c r="F321">
        <f>IF(F320&lt;=0,0,MAX(0,AK321-R321))</f>
        <v/>
      </c>
      <c r="G321">
        <f>IF(G320&lt;=0,0,MAX(0,AL321-S321))</f>
        <v/>
      </c>
      <c r="H321">
        <f>IF(H320&lt;=0,0,MAX(0,AM321-T321))</f>
        <v/>
      </c>
      <c r="I321">
        <f>IF(I320&lt;=0,0,MAX(0,AN321-U321))</f>
        <v/>
      </c>
      <c r="J321">
        <f>IF(J320&lt;=0,0,MAX(0,AO321-V321))</f>
        <v/>
      </c>
      <c r="K321">
        <f>IF(K320&lt;=0,0,MAX(0,AP321-W321))</f>
        <v/>
      </c>
      <c r="L321">
        <f>IF(L320&lt;=0,0,MAX(0,AQ321-X321))</f>
        <v/>
      </c>
      <c r="M321">
        <f>IF(M320&lt;=0,0,MAX(0,AR321-Y321))</f>
        <v/>
      </c>
      <c r="N321">
        <f>IF(N320&lt;=0,0,MAX(0,AS321-Z321))</f>
        <v/>
      </c>
      <c r="O321">
        <f>IF(C320&lt;=0,0,MIN(AH321,C$7+IF(C$2=$AA321,$AC321,IF(C$2=$AF321,$AG321,0))))</f>
        <v/>
      </c>
      <c r="P321">
        <f>IF(D320&lt;=0,0,MIN(AI321,D$7+IF(D$2=$AA321,$AC321,IF(D$2=$AF321,$AG321,0))))</f>
        <v/>
      </c>
      <c r="Q321">
        <f>IF(E320&lt;=0,0,MIN(AJ321,E$7+IF(E$2=$AA321,$AC321,IF(E$2=$AF321,$AG321,0))))</f>
        <v/>
      </c>
      <c r="R321">
        <f>IF(F320&lt;=0,0,MIN(AK321,F$7+IF(F$2=$AA321,$AC321,IF(F$2=$AF321,$AG321,0))))</f>
        <v/>
      </c>
      <c r="S321">
        <f>IF(G320&lt;=0,0,MIN(AL321,G$7+IF(G$2=$AA321,$AC321,IF(G$2=$AF321,$AG321,0))))</f>
        <v/>
      </c>
      <c r="T321">
        <f>IF(H320&lt;=0,0,MIN(AM321,H$7+IF(H$2=$AA321,$AC321,IF(H$2=$AF321,$AG321,0))))</f>
        <v/>
      </c>
      <c r="U321">
        <f>IF(I320&lt;=0,0,MIN(AN321,I$7+IF(I$2=$AA321,$AC321,IF(I$2=$AF321,$AG321,0))))</f>
        <v/>
      </c>
      <c r="V321">
        <f>IF(J320&lt;=0,0,MIN(AO321,J$7+IF(J$2=$AA321,$AC321,IF(J$2=$AF321,$AG321,0))))</f>
        <v/>
      </c>
      <c r="W321">
        <f>IF(K320&lt;=0,0,MIN(AP321,K$7+IF(K$2=$AA321,$AC321,IF(K$2=$AF321,$AG321,0))))</f>
        <v/>
      </c>
      <c r="X321">
        <f>IF(L320&lt;=0,0,MIN(AQ321,L$7+IF(L$2=$AA321,$AC321,IF(L$2=$AF321,$AG321,0))))</f>
        <v/>
      </c>
      <c r="Y321">
        <f>IF(M320&lt;=0,0,MIN(AR321,M$7+IF(M$2=$AA321,$AC321,IF(M$2=$AF321,$AG321,0))))</f>
        <v/>
      </c>
      <c r="Z321">
        <f>IF(N320&lt;=0,0,MIN(AS321,N$7+IF(N$2=$AA321,$AC321,IF(N$2=$AF321,$AG321,0))))</f>
        <v/>
      </c>
      <c r="AA321">
        <f>IFERROR(ROUND(1/SUMPRODUCT(MAX((C320:N320&gt;0)*($C$3:$N$3&lt;=B321)/$C$2:$N$2)),0),0)</f>
        <v/>
      </c>
      <c r="AB321">
        <f>SUMPRODUCT((C320:N320&gt;0)*$C$7:$N$7)</f>
        <v/>
      </c>
      <c r="AC321">
        <f>MAX(0,Plan!$C$5-AB321)+IF(A321=Plan!$C$8,N(Plan!$C$7),0)</f>
        <v/>
      </c>
      <c r="AD321">
        <f>SUM(C321:N321)</f>
        <v/>
      </c>
      <c r="AE321">
        <f>SUM(O321:Z321)</f>
        <v/>
      </c>
      <c r="AF321">
        <f>IFERROR(ROUND(1/SUMPRODUCT(MAX((C320:N320&gt;0)*($C$3:$N$3&lt;=B321)*($C$2:$N$2&gt;AA321)/$C$2:$N$2)),0),0)</f>
        <v/>
      </c>
      <c r="AG321">
        <f>MAX(0,AC321-MAX(0,SUMPRODUCT(($C$2:$N$2=AA321)*(AH321:AS321-$C$7:$N$7))))</f>
        <v/>
      </c>
      <c r="AH321">
        <f>IF(C320&lt;=0,0,ROUND(C320*(1+IF(AND(C$6&gt;0,$B321&lt;C$6),C$4,C$5)/12),2))</f>
        <v/>
      </c>
      <c r="AI321">
        <f>IF(D320&lt;=0,0,ROUND(D320*(1+IF(AND(D$6&gt;0,$B321&lt;D$6),D$4,D$5)/12),2))</f>
        <v/>
      </c>
      <c r="AJ321">
        <f>IF(E320&lt;=0,0,ROUND(E320*(1+IF(AND(E$6&gt;0,$B321&lt;E$6),E$4,E$5)/12),2))</f>
        <v/>
      </c>
      <c r="AK321">
        <f>IF(F320&lt;=0,0,ROUND(F320*(1+IF(AND(F$6&gt;0,$B321&lt;F$6),F$4,F$5)/12),2))</f>
        <v/>
      </c>
      <c r="AL321">
        <f>IF(G320&lt;=0,0,ROUND(G320*(1+IF(AND(G$6&gt;0,$B321&lt;G$6),G$4,G$5)/12),2))</f>
        <v/>
      </c>
      <c r="AM321">
        <f>IF(H320&lt;=0,0,ROUND(H320*(1+IF(AND(H$6&gt;0,$B321&lt;H$6),H$4,H$5)/12),2))</f>
        <v/>
      </c>
      <c r="AN321">
        <f>IF(I320&lt;=0,0,ROUND(I320*(1+IF(AND(I$6&gt;0,$B321&lt;I$6),I$4,I$5)/12),2))</f>
        <v/>
      </c>
      <c r="AO321">
        <f>IF(J320&lt;=0,0,ROUND(J320*(1+IF(AND(J$6&gt;0,$B321&lt;J$6),J$4,J$5)/12),2))</f>
        <v/>
      </c>
      <c r="AP321">
        <f>IF(K320&lt;=0,0,ROUND(K320*(1+IF(AND(K$6&gt;0,$B321&lt;K$6),K$4,K$5)/12),2))</f>
        <v/>
      </c>
      <c r="AQ321">
        <f>IF(L320&lt;=0,0,ROUND(L320*(1+IF(AND(L$6&gt;0,$B321&lt;L$6),L$4,L$5)/12),2))</f>
        <v/>
      </c>
      <c r="AR321">
        <f>IF(M320&lt;=0,0,ROUND(M320*(1+IF(AND(M$6&gt;0,$B321&lt;M$6),M$4,M$5)/12),2))</f>
        <v/>
      </c>
      <c r="AS321">
        <f>IF(N320&lt;=0,0,ROUND(N320*(1+IF(AND(N$6&gt;0,$B321&lt;N$6),N$4,N$5)/12),2))</f>
        <v/>
      </c>
    </row>
    <row r="322">
      <c r="A322" t="n">
        <v>311</v>
      </c>
      <c r="B322">
        <f>EDATE(Plan!$C$6,310)</f>
        <v/>
      </c>
      <c r="C322">
        <f>IF(C321&lt;=0,0,MAX(0,AH322-O322))</f>
        <v/>
      </c>
      <c r="D322">
        <f>IF(D321&lt;=0,0,MAX(0,AI322-P322))</f>
        <v/>
      </c>
      <c r="E322">
        <f>IF(E321&lt;=0,0,MAX(0,AJ322-Q322))</f>
        <v/>
      </c>
      <c r="F322">
        <f>IF(F321&lt;=0,0,MAX(0,AK322-R322))</f>
        <v/>
      </c>
      <c r="G322">
        <f>IF(G321&lt;=0,0,MAX(0,AL322-S322))</f>
        <v/>
      </c>
      <c r="H322">
        <f>IF(H321&lt;=0,0,MAX(0,AM322-T322))</f>
        <v/>
      </c>
      <c r="I322">
        <f>IF(I321&lt;=0,0,MAX(0,AN322-U322))</f>
        <v/>
      </c>
      <c r="J322">
        <f>IF(J321&lt;=0,0,MAX(0,AO322-V322))</f>
        <v/>
      </c>
      <c r="K322">
        <f>IF(K321&lt;=0,0,MAX(0,AP322-W322))</f>
        <v/>
      </c>
      <c r="L322">
        <f>IF(L321&lt;=0,0,MAX(0,AQ322-X322))</f>
        <v/>
      </c>
      <c r="M322">
        <f>IF(M321&lt;=0,0,MAX(0,AR322-Y322))</f>
        <v/>
      </c>
      <c r="N322">
        <f>IF(N321&lt;=0,0,MAX(0,AS322-Z322))</f>
        <v/>
      </c>
      <c r="O322">
        <f>IF(C321&lt;=0,0,MIN(AH322,C$7+IF(C$2=$AA322,$AC322,IF(C$2=$AF322,$AG322,0))))</f>
        <v/>
      </c>
      <c r="P322">
        <f>IF(D321&lt;=0,0,MIN(AI322,D$7+IF(D$2=$AA322,$AC322,IF(D$2=$AF322,$AG322,0))))</f>
        <v/>
      </c>
      <c r="Q322">
        <f>IF(E321&lt;=0,0,MIN(AJ322,E$7+IF(E$2=$AA322,$AC322,IF(E$2=$AF322,$AG322,0))))</f>
        <v/>
      </c>
      <c r="R322">
        <f>IF(F321&lt;=0,0,MIN(AK322,F$7+IF(F$2=$AA322,$AC322,IF(F$2=$AF322,$AG322,0))))</f>
        <v/>
      </c>
      <c r="S322">
        <f>IF(G321&lt;=0,0,MIN(AL322,G$7+IF(G$2=$AA322,$AC322,IF(G$2=$AF322,$AG322,0))))</f>
        <v/>
      </c>
      <c r="T322">
        <f>IF(H321&lt;=0,0,MIN(AM322,H$7+IF(H$2=$AA322,$AC322,IF(H$2=$AF322,$AG322,0))))</f>
        <v/>
      </c>
      <c r="U322">
        <f>IF(I321&lt;=0,0,MIN(AN322,I$7+IF(I$2=$AA322,$AC322,IF(I$2=$AF322,$AG322,0))))</f>
        <v/>
      </c>
      <c r="V322">
        <f>IF(J321&lt;=0,0,MIN(AO322,J$7+IF(J$2=$AA322,$AC322,IF(J$2=$AF322,$AG322,0))))</f>
        <v/>
      </c>
      <c r="W322">
        <f>IF(K321&lt;=0,0,MIN(AP322,K$7+IF(K$2=$AA322,$AC322,IF(K$2=$AF322,$AG322,0))))</f>
        <v/>
      </c>
      <c r="X322">
        <f>IF(L321&lt;=0,0,MIN(AQ322,L$7+IF(L$2=$AA322,$AC322,IF(L$2=$AF322,$AG322,0))))</f>
        <v/>
      </c>
      <c r="Y322">
        <f>IF(M321&lt;=0,0,MIN(AR322,M$7+IF(M$2=$AA322,$AC322,IF(M$2=$AF322,$AG322,0))))</f>
        <v/>
      </c>
      <c r="Z322">
        <f>IF(N321&lt;=0,0,MIN(AS322,N$7+IF(N$2=$AA322,$AC322,IF(N$2=$AF322,$AG322,0))))</f>
        <v/>
      </c>
      <c r="AA322">
        <f>IFERROR(ROUND(1/SUMPRODUCT(MAX((C321:N321&gt;0)*($C$3:$N$3&lt;=B322)/$C$2:$N$2)),0),0)</f>
        <v/>
      </c>
      <c r="AB322">
        <f>SUMPRODUCT((C321:N321&gt;0)*$C$7:$N$7)</f>
        <v/>
      </c>
      <c r="AC322">
        <f>MAX(0,Plan!$C$5-AB322)+IF(A322=Plan!$C$8,N(Plan!$C$7),0)</f>
        <v/>
      </c>
      <c r="AD322">
        <f>SUM(C322:N322)</f>
        <v/>
      </c>
      <c r="AE322">
        <f>SUM(O322:Z322)</f>
        <v/>
      </c>
      <c r="AF322">
        <f>IFERROR(ROUND(1/SUMPRODUCT(MAX((C321:N321&gt;0)*($C$3:$N$3&lt;=B322)*($C$2:$N$2&gt;AA322)/$C$2:$N$2)),0),0)</f>
        <v/>
      </c>
      <c r="AG322">
        <f>MAX(0,AC322-MAX(0,SUMPRODUCT(($C$2:$N$2=AA322)*(AH322:AS322-$C$7:$N$7))))</f>
        <v/>
      </c>
      <c r="AH322">
        <f>IF(C321&lt;=0,0,ROUND(C321*(1+IF(AND(C$6&gt;0,$B322&lt;C$6),C$4,C$5)/12),2))</f>
        <v/>
      </c>
      <c r="AI322">
        <f>IF(D321&lt;=0,0,ROUND(D321*(1+IF(AND(D$6&gt;0,$B322&lt;D$6),D$4,D$5)/12),2))</f>
        <v/>
      </c>
      <c r="AJ322">
        <f>IF(E321&lt;=0,0,ROUND(E321*(1+IF(AND(E$6&gt;0,$B322&lt;E$6),E$4,E$5)/12),2))</f>
        <v/>
      </c>
      <c r="AK322">
        <f>IF(F321&lt;=0,0,ROUND(F321*(1+IF(AND(F$6&gt;0,$B322&lt;F$6),F$4,F$5)/12),2))</f>
        <v/>
      </c>
      <c r="AL322">
        <f>IF(G321&lt;=0,0,ROUND(G321*(1+IF(AND(G$6&gt;0,$B322&lt;G$6),G$4,G$5)/12),2))</f>
        <v/>
      </c>
      <c r="AM322">
        <f>IF(H321&lt;=0,0,ROUND(H321*(1+IF(AND(H$6&gt;0,$B322&lt;H$6),H$4,H$5)/12),2))</f>
        <v/>
      </c>
      <c r="AN322">
        <f>IF(I321&lt;=0,0,ROUND(I321*(1+IF(AND(I$6&gt;0,$B322&lt;I$6),I$4,I$5)/12),2))</f>
        <v/>
      </c>
      <c r="AO322">
        <f>IF(J321&lt;=0,0,ROUND(J321*(1+IF(AND(J$6&gt;0,$B322&lt;J$6),J$4,J$5)/12),2))</f>
        <v/>
      </c>
      <c r="AP322">
        <f>IF(K321&lt;=0,0,ROUND(K321*(1+IF(AND(K$6&gt;0,$B322&lt;K$6),K$4,K$5)/12),2))</f>
        <v/>
      </c>
      <c r="AQ322">
        <f>IF(L321&lt;=0,0,ROUND(L321*(1+IF(AND(L$6&gt;0,$B322&lt;L$6),L$4,L$5)/12),2))</f>
        <v/>
      </c>
      <c r="AR322">
        <f>IF(M321&lt;=0,0,ROUND(M321*(1+IF(AND(M$6&gt;0,$B322&lt;M$6),M$4,M$5)/12),2))</f>
        <v/>
      </c>
      <c r="AS322">
        <f>IF(N321&lt;=0,0,ROUND(N321*(1+IF(AND(N$6&gt;0,$B322&lt;N$6),N$4,N$5)/12),2))</f>
        <v/>
      </c>
    </row>
    <row r="323">
      <c r="A323" t="n">
        <v>312</v>
      </c>
      <c r="B323">
        <f>EDATE(Plan!$C$6,311)</f>
        <v/>
      </c>
      <c r="C323">
        <f>IF(C322&lt;=0,0,MAX(0,AH323-O323))</f>
        <v/>
      </c>
      <c r="D323">
        <f>IF(D322&lt;=0,0,MAX(0,AI323-P323))</f>
        <v/>
      </c>
      <c r="E323">
        <f>IF(E322&lt;=0,0,MAX(0,AJ323-Q323))</f>
        <v/>
      </c>
      <c r="F323">
        <f>IF(F322&lt;=0,0,MAX(0,AK323-R323))</f>
        <v/>
      </c>
      <c r="G323">
        <f>IF(G322&lt;=0,0,MAX(0,AL323-S323))</f>
        <v/>
      </c>
      <c r="H323">
        <f>IF(H322&lt;=0,0,MAX(0,AM323-T323))</f>
        <v/>
      </c>
      <c r="I323">
        <f>IF(I322&lt;=0,0,MAX(0,AN323-U323))</f>
        <v/>
      </c>
      <c r="J323">
        <f>IF(J322&lt;=0,0,MAX(0,AO323-V323))</f>
        <v/>
      </c>
      <c r="K323">
        <f>IF(K322&lt;=0,0,MAX(0,AP323-W323))</f>
        <v/>
      </c>
      <c r="L323">
        <f>IF(L322&lt;=0,0,MAX(0,AQ323-X323))</f>
        <v/>
      </c>
      <c r="M323">
        <f>IF(M322&lt;=0,0,MAX(0,AR323-Y323))</f>
        <v/>
      </c>
      <c r="N323">
        <f>IF(N322&lt;=0,0,MAX(0,AS323-Z323))</f>
        <v/>
      </c>
      <c r="O323">
        <f>IF(C322&lt;=0,0,MIN(AH323,C$7+IF(C$2=$AA323,$AC323,IF(C$2=$AF323,$AG323,0))))</f>
        <v/>
      </c>
      <c r="P323">
        <f>IF(D322&lt;=0,0,MIN(AI323,D$7+IF(D$2=$AA323,$AC323,IF(D$2=$AF323,$AG323,0))))</f>
        <v/>
      </c>
      <c r="Q323">
        <f>IF(E322&lt;=0,0,MIN(AJ323,E$7+IF(E$2=$AA323,$AC323,IF(E$2=$AF323,$AG323,0))))</f>
        <v/>
      </c>
      <c r="R323">
        <f>IF(F322&lt;=0,0,MIN(AK323,F$7+IF(F$2=$AA323,$AC323,IF(F$2=$AF323,$AG323,0))))</f>
        <v/>
      </c>
      <c r="S323">
        <f>IF(G322&lt;=0,0,MIN(AL323,G$7+IF(G$2=$AA323,$AC323,IF(G$2=$AF323,$AG323,0))))</f>
        <v/>
      </c>
      <c r="T323">
        <f>IF(H322&lt;=0,0,MIN(AM323,H$7+IF(H$2=$AA323,$AC323,IF(H$2=$AF323,$AG323,0))))</f>
        <v/>
      </c>
      <c r="U323">
        <f>IF(I322&lt;=0,0,MIN(AN323,I$7+IF(I$2=$AA323,$AC323,IF(I$2=$AF323,$AG323,0))))</f>
        <v/>
      </c>
      <c r="V323">
        <f>IF(J322&lt;=0,0,MIN(AO323,J$7+IF(J$2=$AA323,$AC323,IF(J$2=$AF323,$AG323,0))))</f>
        <v/>
      </c>
      <c r="W323">
        <f>IF(K322&lt;=0,0,MIN(AP323,K$7+IF(K$2=$AA323,$AC323,IF(K$2=$AF323,$AG323,0))))</f>
        <v/>
      </c>
      <c r="X323">
        <f>IF(L322&lt;=0,0,MIN(AQ323,L$7+IF(L$2=$AA323,$AC323,IF(L$2=$AF323,$AG323,0))))</f>
        <v/>
      </c>
      <c r="Y323">
        <f>IF(M322&lt;=0,0,MIN(AR323,M$7+IF(M$2=$AA323,$AC323,IF(M$2=$AF323,$AG323,0))))</f>
        <v/>
      </c>
      <c r="Z323">
        <f>IF(N322&lt;=0,0,MIN(AS323,N$7+IF(N$2=$AA323,$AC323,IF(N$2=$AF323,$AG323,0))))</f>
        <v/>
      </c>
      <c r="AA323">
        <f>IFERROR(ROUND(1/SUMPRODUCT(MAX((C322:N322&gt;0)*($C$3:$N$3&lt;=B323)/$C$2:$N$2)),0),0)</f>
        <v/>
      </c>
      <c r="AB323">
        <f>SUMPRODUCT((C322:N322&gt;0)*$C$7:$N$7)</f>
        <v/>
      </c>
      <c r="AC323">
        <f>MAX(0,Plan!$C$5-AB323)+IF(A323=Plan!$C$8,N(Plan!$C$7),0)</f>
        <v/>
      </c>
      <c r="AD323">
        <f>SUM(C323:N323)</f>
        <v/>
      </c>
      <c r="AE323">
        <f>SUM(O323:Z323)</f>
        <v/>
      </c>
      <c r="AF323">
        <f>IFERROR(ROUND(1/SUMPRODUCT(MAX((C322:N322&gt;0)*($C$3:$N$3&lt;=B323)*($C$2:$N$2&gt;AA323)/$C$2:$N$2)),0),0)</f>
        <v/>
      </c>
      <c r="AG323">
        <f>MAX(0,AC323-MAX(0,SUMPRODUCT(($C$2:$N$2=AA323)*(AH323:AS323-$C$7:$N$7))))</f>
        <v/>
      </c>
      <c r="AH323">
        <f>IF(C322&lt;=0,0,ROUND(C322*(1+IF(AND(C$6&gt;0,$B323&lt;C$6),C$4,C$5)/12),2))</f>
        <v/>
      </c>
      <c r="AI323">
        <f>IF(D322&lt;=0,0,ROUND(D322*(1+IF(AND(D$6&gt;0,$B323&lt;D$6),D$4,D$5)/12),2))</f>
        <v/>
      </c>
      <c r="AJ323">
        <f>IF(E322&lt;=0,0,ROUND(E322*(1+IF(AND(E$6&gt;0,$B323&lt;E$6),E$4,E$5)/12),2))</f>
        <v/>
      </c>
      <c r="AK323">
        <f>IF(F322&lt;=0,0,ROUND(F322*(1+IF(AND(F$6&gt;0,$B323&lt;F$6),F$4,F$5)/12),2))</f>
        <v/>
      </c>
      <c r="AL323">
        <f>IF(G322&lt;=0,0,ROUND(G322*(1+IF(AND(G$6&gt;0,$B323&lt;G$6),G$4,G$5)/12),2))</f>
        <v/>
      </c>
      <c r="AM323">
        <f>IF(H322&lt;=0,0,ROUND(H322*(1+IF(AND(H$6&gt;0,$B323&lt;H$6),H$4,H$5)/12),2))</f>
        <v/>
      </c>
      <c r="AN323">
        <f>IF(I322&lt;=0,0,ROUND(I322*(1+IF(AND(I$6&gt;0,$B323&lt;I$6),I$4,I$5)/12),2))</f>
        <v/>
      </c>
      <c r="AO323">
        <f>IF(J322&lt;=0,0,ROUND(J322*(1+IF(AND(J$6&gt;0,$B323&lt;J$6),J$4,J$5)/12),2))</f>
        <v/>
      </c>
      <c r="AP323">
        <f>IF(K322&lt;=0,0,ROUND(K322*(1+IF(AND(K$6&gt;0,$B323&lt;K$6),K$4,K$5)/12),2))</f>
        <v/>
      </c>
      <c r="AQ323">
        <f>IF(L322&lt;=0,0,ROUND(L322*(1+IF(AND(L$6&gt;0,$B323&lt;L$6),L$4,L$5)/12),2))</f>
        <v/>
      </c>
      <c r="AR323">
        <f>IF(M322&lt;=0,0,ROUND(M322*(1+IF(AND(M$6&gt;0,$B323&lt;M$6),M$4,M$5)/12),2))</f>
        <v/>
      </c>
      <c r="AS323">
        <f>IF(N322&lt;=0,0,ROUND(N322*(1+IF(AND(N$6&gt;0,$B323&lt;N$6),N$4,N$5)/12),2))</f>
        <v/>
      </c>
    </row>
    <row r="324">
      <c r="A324" t="n">
        <v>313</v>
      </c>
      <c r="B324">
        <f>EDATE(Plan!$C$6,312)</f>
        <v/>
      </c>
      <c r="C324">
        <f>IF(C323&lt;=0,0,MAX(0,AH324-O324))</f>
        <v/>
      </c>
      <c r="D324">
        <f>IF(D323&lt;=0,0,MAX(0,AI324-P324))</f>
        <v/>
      </c>
      <c r="E324">
        <f>IF(E323&lt;=0,0,MAX(0,AJ324-Q324))</f>
        <v/>
      </c>
      <c r="F324">
        <f>IF(F323&lt;=0,0,MAX(0,AK324-R324))</f>
        <v/>
      </c>
      <c r="G324">
        <f>IF(G323&lt;=0,0,MAX(0,AL324-S324))</f>
        <v/>
      </c>
      <c r="H324">
        <f>IF(H323&lt;=0,0,MAX(0,AM324-T324))</f>
        <v/>
      </c>
      <c r="I324">
        <f>IF(I323&lt;=0,0,MAX(0,AN324-U324))</f>
        <v/>
      </c>
      <c r="J324">
        <f>IF(J323&lt;=0,0,MAX(0,AO324-V324))</f>
        <v/>
      </c>
      <c r="K324">
        <f>IF(K323&lt;=0,0,MAX(0,AP324-W324))</f>
        <v/>
      </c>
      <c r="L324">
        <f>IF(L323&lt;=0,0,MAX(0,AQ324-X324))</f>
        <v/>
      </c>
      <c r="M324">
        <f>IF(M323&lt;=0,0,MAX(0,AR324-Y324))</f>
        <v/>
      </c>
      <c r="N324">
        <f>IF(N323&lt;=0,0,MAX(0,AS324-Z324))</f>
        <v/>
      </c>
      <c r="O324">
        <f>IF(C323&lt;=0,0,MIN(AH324,C$7+IF(C$2=$AA324,$AC324,IF(C$2=$AF324,$AG324,0))))</f>
        <v/>
      </c>
      <c r="P324">
        <f>IF(D323&lt;=0,0,MIN(AI324,D$7+IF(D$2=$AA324,$AC324,IF(D$2=$AF324,$AG324,0))))</f>
        <v/>
      </c>
      <c r="Q324">
        <f>IF(E323&lt;=0,0,MIN(AJ324,E$7+IF(E$2=$AA324,$AC324,IF(E$2=$AF324,$AG324,0))))</f>
        <v/>
      </c>
      <c r="R324">
        <f>IF(F323&lt;=0,0,MIN(AK324,F$7+IF(F$2=$AA324,$AC324,IF(F$2=$AF324,$AG324,0))))</f>
        <v/>
      </c>
      <c r="S324">
        <f>IF(G323&lt;=0,0,MIN(AL324,G$7+IF(G$2=$AA324,$AC324,IF(G$2=$AF324,$AG324,0))))</f>
        <v/>
      </c>
      <c r="T324">
        <f>IF(H323&lt;=0,0,MIN(AM324,H$7+IF(H$2=$AA324,$AC324,IF(H$2=$AF324,$AG324,0))))</f>
        <v/>
      </c>
      <c r="U324">
        <f>IF(I323&lt;=0,0,MIN(AN324,I$7+IF(I$2=$AA324,$AC324,IF(I$2=$AF324,$AG324,0))))</f>
        <v/>
      </c>
      <c r="V324">
        <f>IF(J323&lt;=0,0,MIN(AO324,J$7+IF(J$2=$AA324,$AC324,IF(J$2=$AF324,$AG324,0))))</f>
        <v/>
      </c>
      <c r="W324">
        <f>IF(K323&lt;=0,0,MIN(AP324,K$7+IF(K$2=$AA324,$AC324,IF(K$2=$AF324,$AG324,0))))</f>
        <v/>
      </c>
      <c r="X324">
        <f>IF(L323&lt;=0,0,MIN(AQ324,L$7+IF(L$2=$AA324,$AC324,IF(L$2=$AF324,$AG324,0))))</f>
        <v/>
      </c>
      <c r="Y324">
        <f>IF(M323&lt;=0,0,MIN(AR324,M$7+IF(M$2=$AA324,$AC324,IF(M$2=$AF324,$AG324,0))))</f>
        <v/>
      </c>
      <c r="Z324">
        <f>IF(N323&lt;=0,0,MIN(AS324,N$7+IF(N$2=$AA324,$AC324,IF(N$2=$AF324,$AG324,0))))</f>
        <v/>
      </c>
      <c r="AA324">
        <f>IFERROR(ROUND(1/SUMPRODUCT(MAX((C323:N323&gt;0)*($C$3:$N$3&lt;=B324)/$C$2:$N$2)),0),0)</f>
        <v/>
      </c>
      <c r="AB324">
        <f>SUMPRODUCT((C323:N323&gt;0)*$C$7:$N$7)</f>
        <v/>
      </c>
      <c r="AC324">
        <f>MAX(0,Plan!$C$5-AB324)+IF(A324=Plan!$C$8,N(Plan!$C$7),0)</f>
        <v/>
      </c>
      <c r="AD324">
        <f>SUM(C324:N324)</f>
        <v/>
      </c>
      <c r="AE324">
        <f>SUM(O324:Z324)</f>
        <v/>
      </c>
      <c r="AF324">
        <f>IFERROR(ROUND(1/SUMPRODUCT(MAX((C323:N323&gt;0)*($C$3:$N$3&lt;=B324)*($C$2:$N$2&gt;AA324)/$C$2:$N$2)),0),0)</f>
        <v/>
      </c>
      <c r="AG324">
        <f>MAX(0,AC324-MAX(0,SUMPRODUCT(($C$2:$N$2=AA324)*(AH324:AS324-$C$7:$N$7))))</f>
        <v/>
      </c>
      <c r="AH324">
        <f>IF(C323&lt;=0,0,ROUND(C323*(1+IF(AND(C$6&gt;0,$B324&lt;C$6),C$4,C$5)/12),2))</f>
        <v/>
      </c>
      <c r="AI324">
        <f>IF(D323&lt;=0,0,ROUND(D323*(1+IF(AND(D$6&gt;0,$B324&lt;D$6),D$4,D$5)/12),2))</f>
        <v/>
      </c>
      <c r="AJ324">
        <f>IF(E323&lt;=0,0,ROUND(E323*(1+IF(AND(E$6&gt;0,$B324&lt;E$6),E$4,E$5)/12),2))</f>
        <v/>
      </c>
      <c r="AK324">
        <f>IF(F323&lt;=0,0,ROUND(F323*(1+IF(AND(F$6&gt;0,$B324&lt;F$6),F$4,F$5)/12),2))</f>
        <v/>
      </c>
      <c r="AL324">
        <f>IF(G323&lt;=0,0,ROUND(G323*(1+IF(AND(G$6&gt;0,$B324&lt;G$6),G$4,G$5)/12),2))</f>
        <v/>
      </c>
      <c r="AM324">
        <f>IF(H323&lt;=0,0,ROUND(H323*(1+IF(AND(H$6&gt;0,$B324&lt;H$6),H$4,H$5)/12),2))</f>
        <v/>
      </c>
      <c r="AN324">
        <f>IF(I323&lt;=0,0,ROUND(I323*(1+IF(AND(I$6&gt;0,$B324&lt;I$6),I$4,I$5)/12),2))</f>
        <v/>
      </c>
      <c r="AO324">
        <f>IF(J323&lt;=0,0,ROUND(J323*(1+IF(AND(J$6&gt;0,$B324&lt;J$6),J$4,J$5)/12),2))</f>
        <v/>
      </c>
      <c r="AP324">
        <f>IF(K323&lt;=0,0,ROUND(K323*(1+IF(AND(K$6&gt;0,$B324&lt;K$6),K$4,K$5)/12),2))</f>
        <v/>
      </c>
      <c r="AQ324">
        <f>IF(L323&lt;=0,0,ROUND(L323*(1+IF(AND(L$6&gt;0,$B324&lt;L$6),L$4,L$5)/12),2))</f>
        <v/>
      </c>
      <c r="AR324">
        <f>IF(M323&lt;=0,0,ROUND(M323*(1+IF(AND(M$6&gt;0,$B324&lt;M$6),M$4,M$5)/12),2))</f>
        <v/>
      </c>
      <c r="AS324">
        <f>IF(N323&lt;=0,0,ROUND(N323*(1+IF(AND(N$6&gt;0,$B324&lt;N$6),N$4,N$5)/12),2))</f>
        <v/>
      </c>
    </row>
    <row r="325">
      <c r="A325" t="n">
        <v>314</v>
      </c>
      <c r="B325">
        <f>EDATE(Plan!$C$6,313)</f>
        <v/>
      </c>
      <c r="C325">
        <f>IF(C324&lt;=0,0,MAX(0,AH325-O325))</f>
        <v/>
      </c>
      <c r="D325">
        <f>IF(D324&lt;=0,0,MAX(0,AI325-P325))</f>
        <v/>
      </c>
      <c r="E325">
        <f>IF(E324&lt;=0,0,MAX(0,AJ325-Q325))</f>
        <v/>
      </c>
      <c r="F325">
        <f>IF(F324&lt;=0,0,MAX(0,AK325-R325))</f>
        <v/>
      </c>
      <c r="G325">
        <f>IF(G324&lt;=0,0,MAX(0,AL325-S325))</f>
        <v/>
      </c>
      <c r="H325">
        <f>IF(H324&lt;=0,0,MAX(0,AM325-T325))</f>
        <v/>
      </c>
      <c r="I325">
        <f>IF(I324&lt;=0,0,MAX(0,AN325-U325))</f>
        <v/>
      </c>
      <c r="J325">
        <f>IF(J324&lt;=0,0,MAX(0,AO325-V325))</f>
        <v/>
      </c>
      <c r="K325">
        <f>IF(K324&lt;=0,0,MAX(0,AP325-W325))</f>
        <v/>
      </c>
      <c r="L325">
        <f>IF(L324&lt;=0,0,MAX(0,AQ325-X325))</f>
        <v/>
      </c>
      <c r="M325">
        <f>IF(M324&lt;=0,0,MAX(0,AR325-Y325))</f>
        <v/>
      </c>
      <c r="N325">
        <f>IF(N324&lt;=0,0,MAX(0,AS325-Z325))</f>
        <v/>
      </c>
      <c r="O325">
        <f>IF(C324&lt;=0,0,MIN(AH325,C$7+IF(C$2=$AA325,$AC325,IF(C$2=$AF325,$AG325,0))))</f>
        <v/>
      </c>
      <c r="P325">
        <f>IF(D324&lt;=0,0,MIN(AI325,D$7+IF(D$2=$AA325,$AC325,IF(D$2=$AF325,$AG325,0))))</f>
        <v/>
      </c>
      <c r="Q325">
        <f>IF(E324&lt;=0,0,MIN(AJ325,E$7+IF(E$2=$AA325,$AC325,IF(E$2=$AF325,$AG325,0))))</f>
        <v/>
      </c>
      <c r="R325">
        <f>IF(F324&lt;=0,0,MIN(AK325,F$7+IF(F$2=$AA325,$AC325,IF(F$2=$AF325,$AG325,0))))</f>
        <v/>
      </c>
      <c r="S325">
        <f>IF(G324&lt;=0,0,MIN(AL325,G$7+IF(G$2=$AA325,$AC325,IF(G$2=$AF325,$AG325,0))))</f>
        <v/>
      </c>
      <c r="T325">
        <f>IF(H324&lt;=0,0,MIN(AM325,H$7+IF(H$2=$AA325,$AC325,IF(H$2=$AF325,$AG325,0))))</f>
        <v/>
      </c>
      <c r="U325">
        <f>IF(I324&lt;=0,0,MIN(AN325,I$7+IF(I$2=$AA325,$AC325,IF(I$2=$AF325,$AG325,0))))</f>
        <v/>
      </c>
      <c r="V325">
        <f>IF(J324&lt;=0,0,MIN(AO325,J$7+IF(J$2=$AA325,$AC325,IF(J$2=$AF325,$AG325,0))))</f>
        <v/>
      </c>
      <c r="W325">
        <f>IF(K324&lt;=0,0,MIN(AP325,K$7+IF(K$2=$AA325,$AC325,IF(K$2=$AF325,$AG325,0))))</f>
        <v/>
      </c>
      <c r="X325">
        <f>IF(L324&lt;=0,0,MIN(AQ325,L$7+IF(L$2=$AA325,$AC325,IF(L$2=$AF325,$AG325,0))))</f>
        <v/>
      </c>
      <c r="Y325">
        <f>IF(M324&lt;=0,0,MIN(AR325,M$7+IF(M$2=$AA325,$AC325,IF(M$2=$AF325,$AG325,0))))</f>
        <v/>
      </c>
      <c r="Z325">
        <f>IF(N324&lt;=0,0,MIN(AS325,N$7+IF(N$2=$AA325,$AC325,IF(N$2=$AF325,$AG325,0))))</f>
        <v/>
      </c>
      <c r="AA325">
        <f>IFERROR(ROUND(1/SUMPRODUCT(MAX((C324:N324&gt;0)*($C$3:$N$3&lt;=B325)/$C$2:$N$2)),0),0)</f>
        <v/>
      </c>
      <c r="AB325">
        <f>SUMPRODUCT((C324:N324&gt;0)*$C$7:$N$7)</f>
        <v/>
      </c>
      <c r="AC325">
        <f>MAX(0,Plan!$C$5-AB325)+IF(A325=Plan!$C$8,N(Plan!$C$7),0)</f>
        <v/>
      </c>
      <c r="AD325">
        <f>SUM(C325:N325)</f>
        <v/>
      </c>
      <c r="AE325">
        <f>SUM(O325:Z325)</f>
        <v/>
      </c>
      <c r="AF325">
        <f>IFERROR(ROUND(1/SUMPRODUCT(MAX((C324:N324&gt;0)*($C$3:$N$3&lt;=B325)*($C$2:$N$2&gt;AA325)/$C$2:$N$2)),0),0)</f>
        <v/>
      </c>
      <c r="AG325">
        <f>MAX(0,AC325-MAX(0,SUMPRODUCT(($C$2:$N$2=AA325)*(AH325:AS325-$C$7:$N$7))))</f>
        <v/>
      </c>
      <c r="AH325">
        <f>IF(C324&lt;=0,0,ROUND(C324*(1+IF(AND(C$6&gt;0,$B325&lt;C$6),C$4,C$5)/12),2))</f>
        <v/>
      </c>
      <c r="AI325">
        <f>IF(D324&lt;=0,0,ROUND(D324*(1+IF(AND(D$6&gt;0,$B325&lt;D$6),D$4,D$5)/12),2))</f>
        <v/>
      </c>
      <c r="AJ325">
        <f>IF(E324&lt;=0,0,ROUND(E324*(1+IF(AND(E$6&gt;0,$B325&lt;E$6),E$4,E$5)/12),2))</f>
        <v/>
      </c>
      <c r="AK325">
        <f>IF(F324&lt;=0,0,ROUND(F324*(1+IF(AND(F$6&gt;0,$B325&lt;F$6),F$4,F$5)/12),2))</f>
        <v/>
      </c>
      <c r="AL325">
        <f>IF(G324&lt;=0,0,ROUND(G324*(1+IF(AND(G$6&gt;0,$B325&lt;G$6),G$4,G$5)/12),2))</f>
        <v/>
      </c>
      <c r="AM325">
        <f>IF(H324&lt;=0,0,ROUND(H324*(1+IF(AND(H$6&gt;0,$B325&lt;H$6),H$4,H$5)/12),2))</f>
        <v/>
      </c>
      <c r="AN325">
        <f>IF(I324&lt;=0,0,ROUND(I324*(1+IF(AND(I$6&gt;0,$B325&lt;I$6),I$4,I$5)/12),2))</f>
        <v/>
      </c>
      <c r="AO325">
        <f>IF(J324&lt;=0,0,ROUND(J324*(1+IF(AND(J$6&gt;0,$B325&lt;J$6),J$4,J$5)/12),2))</f>
        <v/>
      </c>
      <c r="AP325">
        <f>IF(K324&lt;=0,0,ROUND(K324*(1+IF(AND(K$6&gt;0,$B325&lt;K$6),K$4,K$5)/12),2))</f>
        <v/>
      </c>
      <c r="AQ325">
        <f>IF(L324&lt;=0,0,ROUND(L324*(1+IF(AND(L$6&gt;0,$B325&lt;L$6),L$4,L$5)/12),2))</f>
        <v/>
      </c>
      <c r="AR325">
        <f>IF(M324&lt;=0,0,ROUND(M324*(1+IF(AND(M$6&gt;0,$B325&lt;M$6),M$4,M$5)/12),2))</f>
        <v/>
      </c>
      <c r="AS325">
        <f>IF(N324&lt;=0,0,ROUND(N324*(1+IF(AND(N$6&gt;0,$B325&lt;N$6),N$4,N$5)/12),2))</f>
        <v/>
      </c>
    </row>
    <row r="326">
      <c r="A326" t="n">
        <v>315</v>
      </c>
      <c r="B326">
        <f>EDATE(Plan!$C$6,314)</f>
        <v/>
      </c>
      <c r="C326">
        <f>IF(C325&lt;=0,0,MAX(0,AH326-O326))</f>
        <v/>
      </c>
      <c r="D326">
        <f>IF(D325&lt;=0,0,MAX(0,AI326-P326))</f>
        <v/>
      </c>
      <c r="E326">
        <f>IF(E325&lt;=0,0,MAX(0,AJ326-Q326))</f>
        <v/>
      </c>
      <c r="F326">
        <f>IF(F325&lt;=0,0,MAX(0,AK326-R326))</f>
        <v/>
      </c>
      <c r="G326">
        <f>IF(G325&lt;=0,0,MAX(0,AL326-S326))</f>
        <v/>
      </c>
      <c r="H326">
        <f>IF(H325&lt;=0,0,MAX(0,AM326-T326))</f>
        <v/>
      </c>
      <c r="I326">
        <f>IF(I325&lt;=0,0,MAX(0,AN326-U326))</f>
        <v/>
      </c>
      <c r="J326">
        <f>IF(J325&lt;=0,0,MAX(0,AO326-V326))</f>
        <v/>
      </c>
      <c r="K326">
        <f>IF(K325&lt;=0,0,MAX(0,AP326-W326))</f>
        <v/>
      </c>
      <c r="L326">
        <f>IF(L325&lt;=0,0,MAX(0,AQ326-X326))</f>
        <v/>
      </c>
      <c r="M326">
        <f>IF(M325&lt;=0,0,MAX(0,AR326-Y326))</f>
        <v/>
      </c>
      <c r="N326">
        <f>IF(N325&lt;=0,0,MAX(0,AS326-Z326))</f>
        <v/>
      </c>
      <c r="O326">
        <f>IF(C325&lt;=0,0,MIN(AH326,C$7+IF(C$2=$AA326,$AC326,IF(C$2=$AF326,$AG326,0))))</f>
        <v/>
      </c>
      <c r="P326">
        <f>IF(D325&lt;=0,0,MIN(AI326,D$7+IF(D$2=$AA326,$AC326,IF(D$2=$AF326,$AG326,0))))</f>
        <v/>
      </c>
      <c r="Q326">
        <f>IF(E325&lt;=0,0,MIN(AJ326,E$7+IF(E$2=$AA326,$AC326,IF(E$2=$AF326,$AG326,0))))</f>
        <v/>
      </c>
      <c r="R326">
        <f>IF(F325&lt;=0,0,MIN(AK326,F$7+IF(F$2=$AA326,$AC326,IF(F$2=$AF326,$AG326,0))))</f>
        <v/>
      </c>
      <c r="S326">
        <f>IF(G325&lt;=0,0,MIN(AL326,G$7+IF(G$2=$AA326,$AC326,IF(G$2=$AF326,$AG326,0))))</f>
        <v/>
      </c>
      <c r="T326">
        <f>IF(H325&lt;=0,0,MIN(AM326,H$7+IF(H$2=$AA326,$AC326,IF(H$2=$AF326,$AG326,0))))</f>
        <v/>
      </c>
      <c r="U326">
        <f>IF(I325&lt;=0,0,MIN(AN326,I$7+IF(I$2=$AA326,$AC326,IF(I$2=$AF326,$AG326,0))))</f>
        <v/>
      </c>
      <c r="V326">
        <f>IF(J325&lt;=0,0,MIN(AO326,J$7+IF(J$2=$AA326,$AC326,IF(J$2=$AF326,$AG326,0))))</f>
        <v/>
      </c>
      <c r="W326">
        <f>IF(K325&lt;=0,0,MIN(AP326,K$7+IF(K$2=$AA326,$AC326,IF(K$2=$AF326,$AG326,0))))</f>
        <v/>
      </c>
      <c r="X326">
        <f>IF(L325&lt;=0,0,MIN(AQ326,L$7+IF(L$2=$AA326,$AC326,IF(L$2=$AF326,$AG326,0))))</f>
        <v/>
      </c>
      <c r="Y326">
        <f>IF(M325&lt;=0,0,MIN(AR326,M$7+IF(M$2=$AA326,$AC326,IF(M$2=$AF326,$AG326,0))))</f>
        <v/>
      </c>
      <c r="Z326">
        <f>IF(N325&lt;=0,0,MIN(AS326,N$7+IF(N$2=$AA326,$AC326,IF(N$2=$AF326,$AG326,0))))</f>
        <v/>
      </c>
      <c r="AA326">
        <f>IFERROR(ROUND(1/SUMPRODUCT(MAX((C325:N325&gt;0)*($C$3:$N$3&lt;=B326)/$C$2:$N$2)),0),0)</f>
        <v/>
      </c>
      <c r="AB326">
        <f>SUMPRODUCT((C325:N325&gt;0)*$C$7:$N$7)</f>
        <v/>
      </c>
      <c r="AC326">
        <f>MAX(0,Plan!$C$5-AB326)+IF(A326=Plan!$C$8,N(Plan!$C$7),0)</f>
        <v/>
      </c>
      <c r="AD326">
        <f>SUM(C326:N326)</f>
        <v/>
      </c>
      <c r="AE326">
        <f>SUM(O326:Z326)</f>
        <v/>
      </c>
      <c r="AF326">
        <f>IFERROR(ROUND(1/SUMPRODUCT(MAX((C325:N325&gt;0)*($C$3:$N$3&lt;=B326)*($C$2:$N$2&gt;AA326)/$C$2:$N$2)),0),0)</f>
        <v/>
      </c>
      <c r="AG326">
        <f>MAX(0,AC326-MAX(0,SUMPRODUCT(($C$2:$N$2=AA326)*(AH326:AS326-$C$7:$N$7))))</f>
        <v/>
      </c>
      <c r="AH326">
        <f>IF(C325&lt;=0,0,ROUND(C325*(1+IF(AND(C$6&gt;0,$B326&lt;C$6),C$4,C$5)/12),2))</f>
        <v/>
      </c>
      <c r="AI326">
        <f>IF(D325&lt;=0,0,ROUND(D325*(1+IF(AND(D$6&gt;0,$B326&lt;D$6),D$4,D$5)/12),2))</f>
        <v/>
      </c>
      <c r="AJ326">
        <f>IF(E325&lt;=0,0,ROUND(E325*(1+IF(AND(E$6&gt;0,$B326&lt;E$6),E$4,E$5)/12),2))</f>
        <v/>
      </c>
      <c r="AK326">
        <f>IF(F325&lt;=0,0,ROUND(F325*(1+IF(AND(F$6&gt;0,$B326&lt;F$6),F$4,F$5)/12),2))</f>
        <v/>
      </c>
      <c r="AL326">
        <f>IF(G325&lt;=0,0,ROUND(G325*(1+IF(AND(G$6&gt;0,$B326&lt;G$6),G$4,G$5)/12),2))</f>
        <v/>
      </c>
      <c r="AM326">
        <f>IF(H325&lt;=0,0,ROUND(H325*(1+IF(AND(H$6&gt;0,$B326&lt;H$6),H$4,H$5)/12),2))</f>
        <v/>
      </c>
      <c r="AN326">
        <f>IF(I325&lt;=0,0,ROUND(I325*(1+IF(AND(I$6&gt;0,$B326&lt;I$6),I$4,I$5)/12),2))</f>
        <v/>
      </c>
      <c r="AO326">
        <f>IF(J325&lt;=0,0,ROUND(J325*(1+IF(AND(J$6&gt;0,$B326&lt;J$6),J$4,J$5)/12),2))</f>
        <v/>
      </c>
      <c r="AP326">
        <f>IF(K325&lt;=0,0,ROUND(K325*(1+IF(AND(K$6&gt;0,$B326&lt;K$6),K$4,K$5)/12),2))</f>
        <v/>
      </c>
      <c r="AQ326">
        <f>IF(L325&lt;=0,0,ROUND(L325*(1+IF(AND(L$6&gt;0,$B326&lt;L$6),L$4,L$5)/12),2))</f>
        <v/>
      </c>
      <c r="AR326">
        <f>IF(M325&lt;=0,0,ROUND(M325*(1+IF(AND(M$6&gt;0,$B326&lt;M$6),M$4,M$5)/12),2))</f>
        <v/>
      </c>
      <c r="AS326">
        <f>IF(N325&lt;=0,0,ROUND(N325*(1+IF(AND(N$6&gt;0,$B326&lt;N$6),N$4,N$5)/12),2))</f>
        <v/>
      </c>
    </row>
    <row r="327">
      <c r="A327" t="n">
        <v>316</v>
      </c>
      <c r="B327">
        <f>EDATE(Plan!$C$6,315)</f>
        <v/>
      </c>
      <c r="C327">
        <f>IF(C326&lt;=0,0,MAX(0,AH327-O327))</f>
        <v/>
      </c>
      <c r="D327">
        <f>IF(D326&lt;=0,0,MAX(0,AI327-P327))</f>
        <v/>
      </c>
      <c r="E327">
        <f>IF(E326&lt;=0,0,MAX(0,AJ327-Q327))</f>
        <v/>
      </c>
      <c r="F327">
        <f>IF(F326&lt;=0,0,MAX(0,AK327-R327))</f>
        <v/>
      </c>
      <c r="G327">
        <f>IF(G326&lt;=0,0,MAX(0,AL327-S327))</f>
        <v/>
      </c>
      <c r="H327">
        <f>IF(H326&lt;=0,0,MAX(0,AM327-T327))</f>
        <v/>
      </c>
      <c r="I327">
        <f>IF(I326&lt;=0,0,MAX(0,AN327-U327))</f>
        <v/>
      </c>
      <c r="J327">
        <f>IF(J326&lt;=0,0,MAX(0,AO327-V327))</f>
        <v/>
      </c>
      <c r="K327">
        <f>IF(K326&lt;=0,0,MAX(0,AP327-W327))</f>
        <v/>
      </c>
      <c r="L327">
        <f>IF(L326&lt;=0,0,MAX(0,AQ327-X327))</f>
        <v/>
      </c>
      <c r="M327">
        <f>IF(M326&lt;=0,0,MAX(0,AR327-Y327))</f>
        <v/>
      </c>
      <c r="N327">
        <f>IF(N326&lt;=0,0,MAX(0,AS327-Z327))</f>
        <v/>
      </c>
      <c r="O327">
        <f>IF(C326&lt;=0,0,MIN(AH327,C$7+IF(C$2=$AA327,$AC327,IF(C$2=$AF327,$AG327,0))))</f>
        <v/>
      </c>
      <c r="P327">
        <f>IF(D326&lt;=0,0,MIN(AI327,D$7+IF(D$2=$AA327,$AC327,IF(D$2=$AF327,$AG327,0))))</f>
        <v/>
      </c>
      <c r="Q327">
        <f>IF(E326&lt;=0,0,MIN(AJ327,E$7+IF(E$2=$AA327,$AC327,IF(E$2=$AF327,$AG327,0))))</f>
        <v/>
      </c>
      <c r="R327">
        <f>IF(F326&lt;=0,0,MIN(AK327,F$7+IF(F$2=$AA327,$AC327,IF(F$2=$AF327,$AG327,0))))</f>
        <v/>
      </c>
      <c r="S327">
        <f>IF(G326&lt;=0,0,MIN(AL327,G$7+IF(G$2=$AA327,$AC327,IF(G$2=$AF327,$AG327,0))))</f>
        <v/>
      </c>
      <c r="T327">
        <f>IF(H326&lt;=0,0,MIN(AM327,H$7+IF(H$2=$AA327,$AC327,IF(H$2=$AF327,$AG327,0))))</f>
        <v/>
      </c>
      <c r="U327">
        <f>IF(I326&lt;=0,0,MIN(AN327,I$7+IF(I$2=$AA327,$AC327,IF(I$2=$AF327,$AG327,0))))</f>
        <v/>
      </c>
      <c r="V327">
        <f>IF(J326&lt;=0,0,MIN(AO327,J$7+IF(J$2=$AA327,$AC327,IF(J$2=$AF327,$AG327,0))))</f>
        <v/>
      </c>
      <c r="W327">
        <f>IF(K326&lt;=0,0,MIN(AP327,K$7+IF(K$2=$AA327,$AC327,IF(K$2=$AF327,$AG327,0))))</f>
        <v/>
      </c>
      <c r="X327">
        <f>IF(L326&lt;=0,0,MIN(AQ327,L$7+IF(L$2=$AA327,$AC327,IF(L$2=$AF327,$AG327,0))))</f>
        <v/>
      </c>
      <c r="Y327">
        <f>IF(M326&lt;=0,0,MIN(AR327,M$7+IF(M$2=$AA327,$AC327,IF(M$2=$AF327,$AG327,0))))</f>
        <v/>
      </c>
      <c r="Z327">
        <f>IF(N326&lt;=0,0,MIN(AS327,N$7+IF(N$2=$AA327,$AC327,IF(N$2=$AF327,$AG327,0))))</f>
        <v/>
      </c>
      <c r="AA327">
        <f>IFERROR(ROUND(1/SUMPRODUCT(MAX((C326:N326&gt;0)*($C$3:$N$3&lt;=B327)/$C$2:$N$2)),0),0)</f>
        <v/>
      </c>
      <c r="AB327">
        <f>SUMPRODUCT((C326:N326&gt;0)*$C$7:$N$7)</f>
        <v/>
      </c>
      <c r="AC327">
        <f>MAX(0,Plan!$C$5-AB327)+IF(A327=Plan!$C$8,N(Plan!$C$7),0)</f>
        <v/>
      </c>
      <c r="AD327">
        <f>SUM(C327:N327)</f>
        <v/>
      </c>
      <c r="AE327">
        <f>SUM(O327:Z327)</f>
        <v/>
      </c>
      <c r="AF327">
        <f>IFERROR(ROUND(1/SUMPRODUCT(MAX((C326:N326&gt;0)*($C$3:$N$3&lt;=B327)*($C$2:$N$2&gt;AA327)/$C$2:$N$2)),0),0)</f>
        <v/>
      </c>
      <c r="AG327">
        <f>MAX(0,AC327-MAX(0,SUMPRODUCT(($C$2:$N$2=AA327)*(AH327:AS327-$C$7:$N$7))))</f>
        <v/>
      </c>
      <c r="AH327">
        <f>IF(C326&lt;=0,0,ROUND(C326*(1+IF(AND(C$6&gt;0,$B327&lt;C$6),C$4,C$5)/12),2))</f>
        <v/>
      </c>
      <c r="AI327">
        <f>IF(D326&lt;=0,0,ROUND(D326*(1+IF(AND(D$6&gt;0,$B327&lt;D$6),D$4,D$5)/12),2))</f>
        <v/>
      </c>
      <c r="AJ327">
        <f>IF(E326&lt;=0,0,ROUND(E326*(1+IF(AND(E$6&gt;0,$B327&lt;E$6),E$4,E$5)/12),2))</f>
        <v/>
      </c>
      <c r="AK327">
        <f>IF(F326&lt;=0,0,ROUND(F326*(1+IF(AND(F$6&gt;0,$B327&lt;F$6),F$4,F$5)/12),2))</f>
        <v/>
      </c>
      <c r="AL327">
        <f>IF(G326&lt;=0,0,ROUND(G326*(1+IF(AND(G$6&gt;0,$B327&lt;G$6),G$4,G$5)/12),2))</f>
        <v/>
      </c>
      <c r="AM327">
        <f>IF(H326&lt;=0,0,ROUND(H326*(1+IF(AND(H$6&gt;0,$B327&lt;H$6),H$4,H$5)/12),2))</f>
        <v/>
      </c>
      <c r="AN327">
        <f>IF(I326&lt;=0,0,ROUND(I326*(1+IF(AND(I$6&gt;0,$B327&lt;I$6),I$4,I$5)/12),2))</f>
        <v/>
      </c>
      <c r="AO327">
        <f>IF(J326&lt;=0,0,ROUND(J326*(1+IF(AND(J$6&gt;0,$B327&lt;J$6),J$4,J$5)/12),2))</f>
        <v/>
      </c>
      <c r="AP327">
        <f>IF(K326&lt;=0,0,ROUND(K326*(1+IF(AND(K$6&gt;0,$B327&lt;K$6),K$4,K$5)/12),2))</f>
        <v/>
      </c>
      <c r="AQ327">
        <f>IF(L326&lt;=0,0,ROUND(L326*(1+IF(AND(L$6&gt;0,$B327&lt;L$6),L$4,L$5)/12),2))</f>
        <v/>
      </c>
      <c r="AR327">
        <f>IF(M326&lt;=0,0,ROUND(M326*(1+IF(AND(M$6&gt;0,$B327&lt;M$6),M$4,M$5)/12),2))</f>
        <v/>
      </c>
      <c r="AS327">
        <f>IF(N326&lt;=0,0,ROUND(N326*(1+IF(AND(N$6&gt;0,$B327&lt;N$6),N$4,N$5)/12),2))</f>
        <v/>
      </c>
    </row>
    <row r="328">
      <c r="A328" t="n">
        <v>317</v>
      </c>
      <c r="B328">
        <f>EDATE(Plan!$C$6,316)</f>
        <v/>
      </c>
      <c r="C328">
        <f>IF(C327&lt;=0,0,MAX(0,AH328-O328))</f>
        <v/>
      </c>
      <c r="D328">
        <f>IF(D327&lt;=0,0,MAX(0,AI328-P328))</f>
        <v/>
      </c>
      <c r="E328">
        <f>IF(E327&lt;=0,0,MAX(0,AJ328-Q328))</f>
        <v/>
      </c>
      <c r="F328">
        <f>IF(F327&lt;=0,0,MAX(0,AK328-R328))</f>
        <v/>
      </c>
      <c r="G328">
        <f>IF(G327&lt;=0,0,MAX(0,AL328-S328))</f>
        <v/>
      </c>
      <c r="H328">
        <f>IF(H327&lt;=0,0,MAX(0,AM328-T328))</f>
        <v/>
      </c>
      <c r="I328">
        <f>IF(I327&lt;=0,0,MAX(0,AN328-U328))</f>
        <v/>
      </c>
      <c r="J328">
        <f>IF(J327&lt;=0,0,MAX(0,AO328-V328))</f>
        <v/>
      </c>
      <c r="K328">
        <f>IF(K327&lt;=0,0,MAX(0,AP328-W328))</f>
        <v/>
      </c>
      <c r="L328">
        <f>IF(L327&lt;=0,0,MAX(0,AQ328-X328))</f>
        <v/>
      </c>
      <c r="M328">
        <f>IF(M327&lt;=0,0,MAX(0,AR328-Y328))</f>
        <v/>
      </c>
      <c r="N328">
        <f>IF(N327&lt;=0,0,MAX(0,AS328-Z328))</f>
        <v/>
      </c>
      <c r="O328">
        <f>IF(C327&lt;=0,0,MIN(AH328,C$7+IF(C$2=$AA328,$AC328,IF(C$2=$AF328,$AG328,0))))</f>
        <v/>
      </c>
      <c r="P328">
        <f>IF(D327&lt;=0,0,MIN(AI328,D$7+IF(D$2=$AA328,$AC328,IF(D$2=$AF328,$AG328,0))))</f>
        <v/>
      </c>
      <c r="Q328">
        <f>IF(E327&lt;=0,0,MIN(AJ328,E$7+IF(E$2=$AA328,$AC328,IF(E$2=$AF328,$AG328,0))))</f>
        <v/>
      </c>
      <c r="R328">
        <f>IF(F327&lt;=0,0,MIN(AK328,F$7+IF(F$2=$AA328,$AC328,IF(F$2=$AF328,$AG328,0))))</f>
        <v/>
      </c>
      <c r="S328">
        <f>IF(G327&lt;=0,0,MIN(AL328,G$7+IF(G$2=$AA328,$AC328,IF(G$2=$AF328,$AG328,0))))</f>
        <v/>
      </c>
      <c r="T328">
        <f>IF(H327&lt;=0,0,MIN(AM328,H$7+IF(H$2=$AA328,$AC328,IF(H$2=$AF328,$AG328,0))))</f>
        <v/>
      </c>
      <c r="U328">
        <f>IF(I327&lt;=0,0,MIN(AN328,I$7+IF(I$2=$AA328,$AC328,IF(I$2=$AF328,$AG328,0))))</f>
        <v/>
      </c>
      <c r="V328">
        <f>IF(J327&lt;=0,0,MIN(AO328,J$7+IF(J$2=$AA328,$AC328,IF(J$2=$AF328,$AG328,0))))</f>
        <v/>
      </c>
      <c r="W328">
        <f>IF(K327&lt;=0,0,MIN(AP328,K$7+IF(K$2=$AA328,$AC328,IF(K$2=$AF328,$AG328,0))))</f>
        <v/>
      </c>
      <c r="X328">
        <f>IF(L327&lt;=0,0,MIN(AQ328,L$7+IF(L$2=$AA328,$AC328,IF(L$2=$AF328,$AG328,0))))</f>
        <v/>
      </c>
      <c r="Y328">
        <f>IF(M327&lt;=0,0,MIN(AR328,M$7+IF(M$2=$AA328,$AC328,IF(M$2=$AF328,$AG328,0))))</f>
        <v/>
      </c>
      <c r="Z328">
        <f>IF(N327&lt;=0,0,MIN(AS328,N$7+IF(N$2=$AA328,$AC328,IF(N$2=$AF328,$AG328,0))))</f>
        <v/>
      </c>
      <c r="AA328">
        <f>IFERROR(ROUND(1/SUMPRODUCT(MAX((C327:N327&gt;0)*($C$3:$N$3&lt;=B328)/$C$2:$N$2)),0),0)</f>
        <v/>
      </c>
      <c r="AB328">
        <f>SUMPRODUCT((C327:N327&gt;0)*$C$7:$N$7)</f>
        <v/>
      </c>
      <c r="AC328">
        <f>MAX(0,Plan!$C$5-AB328)+IF(A328=Plan!$C$8,N(Plan!$C$7),0)</f>
        <v/>
      </c>
      <c r="AD328">
        <f>SUM(C328:N328)</f>
        <v/>
      </c>
      <c r="AE328">
        <f>SUM(O328:Z328)</f>
        <v/>
      </c>
      <c r="AF328">
        <f>IFERROR(ROUND(1/SUMPRODUCT(MAX((C327:N327&gt;0)*($C$3:$N$3&lt;=B328)*($C$2:$N$2&gt;AA328)/$C$2:$N$2)),0),0)</f>
        <v/>
      </c>
      <c r="AG328">
        <f>MAX(0,AC328-MAX(0,SUMPRODUCT(($C$2:$N$2=AA328)*(AH328:AS328-$C$7:$N$7))))</f>
        <v/>
      </c>
      <c r="AH328">
        <f>IF(C327&lt;=0,0,ROUND(C327*(1+IF(AND(C$6&gt;0,$B328&lt;C$6),C$4,C$5)/12),2))</f>
        <v/>
      </c>
      <c r="AI328">
        <f>IF(D327&lt;=0,0,ROUND(D327*(1+IF(AND(D$6&gt;0,$B328&lt;D$6),D$4,D$5)/12),2))</f>
        <v/>
      </c>
      <c r="AJ328">
        <f>IF(E327&lt;=0,0,ROUND(E327*(1+IF(AND(E$6&gt;0,$B328&lt;E$6),E$4,E$5)/12),2))</f>
        <v/>
      </c>
      <c r="AK328">
        <f>IF(F327&lt;=0,0,ROUND(F327*(1+IF(AND(F$6&gt;0,$B328&lt;F$6),F$4,F$5)/12),2))</f>
        <v/>
      </c>
      <c r="AL328">
        <f>IF(G327&lt;=0,0,ROUND(G327*(1+IF(AND(G$6&gt;0,$B328&lt;G$6),G$4,G$5)/12),2))</f>
        <v/>
      </c>
      <c r="AM328">
        <f>IF(H327&lt;=0,0,ROUND(H327*(1+IF(AND(H$6&gt;0,$B328&lt;H$6),H$4,H$5)/12),2))</f>
        <v/>
      </c>
      <c r="AN328">
        <f>IF(I327&lt;=0,0,ROUND(I327*(1+IF(AND(I$6&gt;0,$B328&lt;I$6),I$4,I$5)/12),2))</f>
        <v/>
      </c>
      <c r="AO328">
        <f>IF(J327&lt;=0,0,ROUND(J327*(1+IF(AND(J$6&gt;0,$B328&lt;J$6),J$4,J$5)/12),2))</f>
        <v/>
      </c>
      <c r="AP328">
        <f>IF(K327&lt;=0,0,ROUND(K327*(1+IF(AND(K$6&gt;0,$B328&lt;K$6),K$4,K$5)/12),2))</f>
        <v/>
      </c>
      <c r="AQ328">
        <f>IF(L327&lt;=0,0,ROUND(L327*(1+IF(AND(L$6&gt;0,$B328&lt;L$6),L$4,L$5)/12),2))</f>
        <v/>
      </c>
      <c r="AR328">
        <f>IF(M327&lt;=0,0,ROUND(M327*(1+IF(AND(M$6&gt;0,$B328&lt;M$6),M$4,M$5)/12),2))</f>
        <v/>
      </c>
      <c r="AS328">
        <f>IF(N327&lt;=0,0,ROUND(N327*(1+IF(AND(N$6&gt;0,$B328&lt;N$6),N$4,N$5)/12),2))</f>
        <v/>
      </c>
    </row>
    <row r="329">
      <c r="A329" t="n">
        <v>318</v>
      </c>
      <c r="B329">
        <f>EDATE(Plan!$C$6,317)</f>
        <v/>
      </c>
      <c r="C329">
        <f>IF(C328&lt;=0,0,MAX(0,AH329-O329))</f>
        <v/>
      </c>
      <c r="D329">
        <f>IF(D328&lt;=0,0,MAX(0,AI329-P329))</f>
        <v/>
      </c>
      <c r="E329">
        <f>IF(E328&lt;=0,0,MAX(0,AJ329-Q329))</f>
        <v/>
      </c>
      <c r="F329">
        <f>IF(F328&lt;=0,0,MAX(0,AK329-R329))</f>
        <v/>
      </c>
      <c r="G329">
        <f>IF(G328&lt;=0,0,MAX(0,AL329-S329))</f>
        <v/>
      </c>
      <c r="H329">
        <f>IF(H328&lt;=0,0,MAX(0,AM329-T329))</f>
        <v/>
      </c>
      <c r="I329">
        <f>IF(I328&lt;=0,0,MAX(0,AN329-U329))</f>
        <v/>
      </c>
      <c r="J329">
        <f>IF(J328&lt;=0,0,MAX(0,AO329-V329))</f>
        <v/>
      </c>
      <c r="K329">
        <f>IF(K328&lt;=0,0,MAX(0,AP329-W329))</f>
        <v/>
      </c>
      <c r="L329">
        <f>IF(L328&lt;=0,0,MAX(0,AQ329-X329))</f>
        <v/>
      </c>
      <c r="M329">
        <f>IF(M328&lt;=0,0,MAX(0,AR329-Y329))</f>
        <v/>
      </c>
      <c r="N329">
        <f>IF(N328&lt;=0,0,MAX(0,AS329-Z329))</f>
        <v/>
      </c>
      <c r="O329">
        <f>IF(C328&lt;=0,0,MIN(AH329,C$7+IF(C$2=$AA329,$AC329,IF(C$2=$AF329,$AG329,0))))</f>
        <v/>
      </c>
      <c r="P329">
        <f>IF(D328&lt;=0,0,MIN(AI329,D$7+IF(D$2=$AA329,$AC329,IF(D$2=$AF329,$AG329,0))))</f>
        <v/>
      </c>
      <c r="Q329">
        <f>IF(E328&lt;=0,0,MIN(AJ329,E$7+IF(E$2=$AA329,$AC329,IF(E$2=$AF329,$AG329,0))))</f>
        <v/>
      </c>
      <c r="R329">
        <f>IF(F328&lt;=0,0,MIN(AK329,F$7+IF(F$2=$AA329,$AC329,IF(F$2=$AF329,$AG329,0))))</f>
        <v/>
      </c>
      <c r="S329">
        <f>IF(G328&lt;=0,0,MIN(AL329,G$7+IF(G$2=$AA329,$AC329,IF(G$2=$AF329,$AG329,0))))</f>
        <v/>
      </c>
      <c r="T329">
        <f>IF(H328&lt;=0,0,MIN(AM329,H$7+IF(H$2=$AA329,$AC329,IF(H$2=$AF329,$AG329,0))))</f>
        <v/>
      </c>
      <c r="U329">
        <f>IF(I328&lt;=0,0,MIN(AN329,I$7+IF(I$2=$AA329,$AC329,IF(I$2=$AF329,$AG329,0))))</f>
        <v/>
      </c>
      <c r="V329">
        <f>IF(J328&lt;=0,0,MIN(AO329,J$7+IF(J$2=$AA329,$AC329,IF(J$2=$AF329,$AG329,0))))</f>
        <v/>
      </c>
      <c r="W329">
        <f>IF(K328&lt;=0,0,MIN(AP329,K$7+IF(K$2=$AA329,$AC329,IF(K$2=$AF329,$AG329,0))))</f>
        <v/>
      </c>
      <c r="X329">
        <f>IF(L328&lt;=0,0,MIN(AQ329,L$7+IF(L$2=$AA329,$AC329,IF(L$2=$AF329,$AG329,0))))</f>
        <v/>
      </c>
      <c r="Y329">
        <f>IF(M328&lt;=0,0,MIN(AR329,M$7+IF(M$2=$AA329,$AC329,IF(M$2=$AF329,$AG329,0))))</f>
        <v/>
      </c>
      <c r="Z329">
        <f>IF(N328&lt;=0,0,MIN(AS329,N$7+IF(N$2=$AA329,$AC329,IF(N$2=$AF329,$AG329,0))))</f>
        <v/>
      </c>
      <c r="AA329">
        <f>IFERROR(ROUND(1/SUMPRODUCT(MAX((C328:N328&gt;0)*($C$3:$N$3&lt;=B329)/$C$2:$N$2)),0),0)</f>
        <v/>
      </c>
      <c r="AB329">
        <f>SUMPRODUCT((C328:N328&gt;0)*$C$7:$N$7)</f>
        <v/>
      </c>
      <c r="AC329">
        <f>MAX(0,Plan!$C$5-AB329)+IF(A329=Plan!$C$8,N(Plan!$C$7),0)</f>
        <v/>
      </c>
      <c r="AD329">
        <f>SUM(C329:N329)</f>
        <v/>
      </c>
      <c r="AE329">
        <f>SUM(O329:Z329)</f>
        <v/>
      </c>
      <c r="AF329">
        <f>IFERROR(ROUND(1/SUMPRODUCT(MAX((C328:N328&gt;0)*($C$3:$N$3&lt;=B329)*($C$2:$N$2&gt;AA329)/$C$2:$N$2)),0),0)</f>
        <v/>
      </c>
      <c r="AG329">
        <f>MAX(0,AC329-MAX(0,SUMPRODUCT(($C$2:$N$2=AA329)*(AH329:AS329-$C$7:$N$7))))</f>
        <v/>
      </c>
      <c r="AH329">
        <f>IF(C328&lt;=0,0,ROUND(C328*(1+IF(AND(C$6&gt;0,$B329&lt;C$6),C$4,C$5)/12),2))</f>
        <v/>
      </c>
      <c r="AI329">
        <f>IF(D328&lt;=0,0,ROUND(D328*(1+IF(AND(D$6&gt;0,$B329&lt;D$6),D$4,D$5)/12),2))</f>
        <v/>
      </c>
      <c r="AJ329">
        <f>IF(E328&lt;=0,0,ROUND(E328*(1+IF(AND(E$6&gt;0,$B329&lt;E$6),E$4,E$5)/12),2))</f>
        <v/>
      </c>
      <c r="AK329">
        <f>IF(F328&lt;=0,0,ROUND(F328*(1+IF(AND(F$6&gt;0,$B329&lt;F$6),F$4,F$5)/12),2))</f>
        <v/>
      </c>
      <c r="AL329">
        <f>IF(G328&lt;=0,0,ROUND(G328*(1+IF(AND(G$6&gt;0,$B329&lt;G$6),G$4,G$5)/12),2))</f>
        <v/>
      </c>
      <c r="AM329">
        <f>IF(H328&lt;=0,0,ROUND(H328*(1+IF(AND(H$6&gt;0,$B329&lt;H$6),H$4,H$5)/12),2))</f>
        <v/>
      </c>
      <c r="AN329">
        <f>IF(I328&lt;=0,0,ROUND(I328*(1+IF(AND(I$6&gt;0,$B329&lt;I$6),I$4,I$5)/12),2))</f>
        <v/>
      </c>
      <c r="AO329">
        <f>IF(J328&lt;=0,0,ROUND(J328*(1+IF(AND(J$6&gt;0,$B329&lt;J$6),J$4,J$5)/12),2))</f>
        <v/>
      </c>
      <c r="AP329">
        <f>IF(K328&lt;=0,0,ROUND(K328*(1+IF(AND(K$6&gt;0,$B329&lt;K$6),K$4,K$5)/12),2))</f>
        <v/>
      </c>
      <c r="AQ329">
        <f>IF(L328&lt;=0,0,ROUND(L328*(1+IF(AND(L$6&gt;0,$B329&lt;L$6),L$4,L$5)/12),2))</f>
        <v/>
      </c>
      <c r="AR329">
        <f>IF(M328&lt;=0,0,ROUND(M328*(1+IF(AND(M$6&gt;0,$B329&lt;M$6),M$4,M$5)/12),2))</f>
        <v/>
      </c>
      <c r="AS329">
        <f>IF(N328&lt;=0,0,ROUND(N328*(1+IF(AND(N$6&gt;0,$B329&lt;N$6),N$4,N$5)/12),2))</f>
        <v/>
      </c>
    </row>
    <row r="330">
      <c r="A330" t="n">
        <v>319</v>
      </c>
      <c r="B330">
        <f>EDATE(Plan!$C$6,318)</f>
        <v/>
      </c>
      <c r="C330">
        <f>IF(C329&lt;=0,0,MAX(0,AH330-O330))</f>
        <v/>
      </c>
      <c r="D330">
        <f>IF(D329&lt;=0,0,MAX(0,AI330-P330))</f>
        <v/>
      </c>
      <c r="E330">
        <f>IF(E329&lt;=0,0,MAX(0,AJ330-Q330))</f>
        <v/>
      </c>
      <c r="F330">
        <f>IF(F329&lt;=0,0,MAX(0,AK330-R330))</f>
        <v/>
      </c>
      <c r="G330">
        <f>IF(G329&lt;=0,0,MAX(0,AL330-S330))</f>
        <v/>
      </c>
      <c r="H330">
        <f>IF(H329&lt;=0,0,MAX(0,AM330-T330))</f>
        <v/>
      </c>
      <c r="I330">
        <f>IF(I329&lt;=0,0,MAX(0,AN330-U330))</f>
        <v/>
      </c>
      <c r="J330">
        <f>IF(J329&lt;=0,0,MAX(0,AO330-V330))</f>
        <v/>
      </c>
      <c r="K330">
        <f>IF(K329&lt;=0,0,MAX(0,AP330-W330))</f>
        <v/>
      </c>
      <c r="L330">
        <f>IF(L329&lt;=0,0,MAX(0,AQ330-X330))</f>
        <v/>
      </c>
      <c r="M330">
        <f>IF(M329&lt;=0,0,MAX(0,AR330-Y330))</f>
        <v/>
      </c>
      <c r="N330">
        <f>IF(N329&lt;=0,0,MAX(0,AS330-Z330))</f>
        <v/>
      </c>
      <c r="O330">
        <f>IF(C329&lt;=0,0,MIN(AH330,C$7+IF(C$2=$AA330,$AC330,IF(C$2=$AF330,$AG330,0))))</f>
        <v/>
      </c>
      <c r="P330">
        <f>IF(D329&lt;=0,0,MIN(AI330,D$7+IF(D$2=$AA330,$AC330,IF(D$2=$AF330,$AG330,0))))</f>
        <v/>
      </c>
      <c r="Q330">
        <f>IF(E329&lt;=0,0,MIN(AJ330,E$7+IF(E$2=$AA330,$AC330,IF(E$2=$AF330,$AG330,0))))</f>
        <v/>
      </c>
      <c r="R330">
        <f>IF(F329&lt;=0,0,MIN(AK330,F$7+IF(F$2=$AA330,$AC330,IF(F$2=$AF330,$AG330,0))))</f>
        <v/>
      </c>
      <c r="S330">
        <f>IF(G329&lt;=0,0,MIN(AL330,G$7+IF(G$2=$AA330,$AC330,IF(G$2=$AF330,$AG330,0))))</f>
        <v/>
      </c>
      <c r="T330">
        <f>IF(H329&lt;=0,0,MIN(AM330,H$7+IF(H$2=$AA330,$AC330,IF(H$2=$AF330,$AG330,0))))</f>
        <v/>
      </c>
      <c r="U330">
        <f>IF(I329&lt;=0,0,MIN(AN330,I$7+IF(I$2=$AA330,$AC330,IF(I$2=$AF330,$AG330,0))))</f>
        <v/>
      </c>
      <c r="V330">
        <f>IF(J329&lt;=0,0,MIN(AO330,J$7+IF(J$2=$AA330,$AC330,IF(J$2=$AF330,$AG330,0))))</f>
        <v/>
      </c>
      <c r="W330">
        <f>IF(K329&lt;=0,0,MIN(AP330,K$7+IF(K$2=$AA330,$AC330,IF(K$2=$AF330,$AG330,0))))</f>
        <v/>
      </c>
      <c r="X330">
        <f>IF(L329&lt;=0,0,MIN(AQ330,L$7+IF(L$2=$AA330,$AC330,IF(L$2=$AF330,$AG330,0))))</f>
        <v/>
      </c>
      <c r="Y330">
        <f>IF(M329&lt;=0,0,MIN(AR330,M$7+IF(M$2=$AA330,$AC330,IF(M$2=$AF330,$AG330,0))))</f>
        <v/>
      </c>
      <c r="Z330">
        <f>IF(N329&lt;=0,0,MIN(AS330,N$7+IF(N$2=$AA330,$AC330,IF(N$2=$AF330,$AG330,0))))</f>
        <v/>
      </c>
      <c r="AA330">
        <f>IFERROR(ROUND(1/SUMPRODUCT(MAX((C329:N329&gt;0)*($C$3:$N$3&lt;=B330)/$C$2:$N$2)),0),0)</f>
        <v/>
      </c>
      <c r="AB330">
        <f>SUMPRODUCT((C329:N329&gt;0)*$C$7:$N$7)</f>
        <v/>
      </c>
      <c r="AC330">
        <f>MAX(0,Plan!$C$5-AB330)+IF(A330=Plan!$C$8,N(Plan!$C$7),0)</f>
        <v/>
      </c>
      <c r="AD330">
        <f>SUM(C330:N330)</f>
        <v/>
      </c>
      <c r="AE330">
        <f>SUM(O330:Z330)</f>
        <v/>
      </c>
      <c r="AF330">
        <f>IFERROR(ROUND(1/SUMPRODUCT(MAX((C329:N329&gt;0)*($C$3:$N$3&lt;=B330)*($C$2:$N$2&gt;AA330)/$C$2:$N$2)),0),0)</f>
        <v/>
      </c>
      <c r="AG330">
        <f>MAX(0,AC330-MAX(0,SUMPRODUCT(($C$2:$N$2=AA330)*(AH330:AS330-$C$7:$N$7))))</f>
        <v/>
      </c>
      <c r="AH330">
        <f>IF(C329&lt;=0,0,ROUND(C329*(1+IF(AND(C$6&gt;0,$B330&lt;C$6),C$4,C$5)/12),2))</f>
        <v/>
      </c>
      <c r="AI330">
        <f>IF(D329&lt;=0,0,ROUND(D329*(1+IF(AND(D$6&gt;0,$B330&lt;D$6),D$4,D$5)/12),2))</f>
        <v/>
      </c>
      <c r="AJ330">
        <f>IF(E329&lt;=0,0,ROUND(E329*(1+IF(AND(E$6&gt;0,$B330&lt;E$6),E$4,E$5)/12),2))</f>
        <v/>
      </c>
      <c r="AK330">
        <f>IF(F329&lt;=0,0,ROUND(F329*(1+IF(AND(F$6&gt;0,$B330&lt;F$6),F$4,F$5)/12),2))</f>
        <v/>
      </c>
      <c r="AL330">
        <f>IF(G329&lt;=0,0,ROUND(G329*(1+IF(AND(G$6&gt;0,$B330&lt;G$6),G$4,G$5)/12),2))</f>
        <v/>
      </c>
      <c r="AM330">
        <f>IF(H329&lt;=0,0,ROUND(H329*(1+IF(AND(H$6&gt;0,$B330&lt;H$6),H$4,H$5)/12),2))</f>
        <v/>
      </c>
      <c r="AN330">
        <f>IF(I329&lt;=0,0,ROUND(I329*(1+IF(AND(I$6&gt;0,$B330&lt;I$6),I$4,I$5)/12),2))</f>
        <v/>
      </c>
      <c r="AO330">
        <f>IF(J329&lt;=0,0,ROUND(J329*(1+IF(AND(J$6&gt;0,$B330&lt;J$6),J$4,J$5)/12),2))</f>
        <v/>
      </c>
      <c r="AP330">
        <f>IF(K329&lt;=0,0,ROUND(K329*(1+IF(AND(K$6&gt;0,$B330&lt;K$6),K$4,K$5)/12),2))</f>
        <v/>
      </c>
      <c r="AQ330">
        <f>IF(L329&lt;=0,0,ROUND(L329*(1+IF(AND(L$6&gt;0,$B330&lt;L$6),L$4,L$5)/12),2))</f>
        <v/>
      </c>
      <c r="AR330">
        <f>IF(M329&lt;=0,0,ROUND(M329*(1+IF(AND(M$6&gt;0,$B330&lt;M$6),M$4,M$5)/12),2))</f>
        <v/>
      </c>
      <c r="AS330">
        <f>IF(N329&lt;=0,0,ROUND(N329*(1+IF(AND(N$6&gt;0,$B330&lt;N$6),N$4,N$5)/12),2))</f>
        <v/>
      </c>
    </row>
    <row r="331">
      <c r="A331" t="n">
        <v>320</v>
      </c>
      <c r="B331">
        <f>EDATE(Plan!$C$6,319)</f>
        <v/>
      </c>
      <c r="C331">
        <f>IF(C330&lt;=0,0,MAX(0,AH331-O331))</f>
        <v/>
      </c>
      <c r="D331">
        <f>IF(D330&lt;=0,0,MAX(0,AI331-P331))</f>
        <v/>
      </c>
      <c r="E331">
        <f>IF(E330&lt;=0,0,MAX(0,AJ331-Q331))</f>
        <v/>
      </c>
      <c r="F331">
        <f>IF(F330&lt;=0,0,MAX(0,AK331-R331))</f>
        <v/>
      </c>
      <c r="G331">
        <f>IF(G330&lt;=0,0,MAX(0,AL331-S331))</f>
        <v/>
      </c>
      <c r="H331">
        <f>IF(H330&lt;=0,0,MAX(0,AM331-T331))</f>
        <v/>
      </c>
      <c r="I331">
        <f>IF(I330&lt;=0,0,MAX(0,AN331-U331))</f>
        <v/>
      </c>
      <c r="J331">
        <f>IF(J330&lt;=0,0,MAX(0,AO331-V331))</f>
        <v/>
      </c>
      <c r="K331">
        <f>IF(K330&lt;=0,0,MAX(0,AP331-W331))</f>
        <v/>
      </c>
      <c r="L331">
        <f>IF(L330&lt;=0,0,MAX(0,AQ331-X331))</f>
        <v/>
      </c>
      <c r="M331">
        <f>IF(M330&lt;=0,0,MAX(0,AR331-Y331))</f>
        <v/>
      </c>
      <c r="N331">
        <f>IF(N330&lt;=0,0,MAX(0,AS331-Z331))</f>
        <v/>
      </c>
      <c r="O331">
        <f>IF(C330&lt;=0,0,MIN(AH331,C$7+IF(C$2=$AA331,$AC331,IF(C$2=$AF331,$AG331,0))))</f>
        <v/>
      </c>
      <c r="P331">
        <f>IF(D330&lt;=0,0,MIN(AI331,D$7+IF(D$2=$AA331,$AC331,IF(D$2=$AF331,$AG331,0))))</f>
        <v/>
      </c>
      <c r="Q331">
        <f>IF(E330&lt;=0,0,MIN(AJ331,E$7+IF(E$2=$AA331,$AC331,IF(E$2=$AF331,$AG331,0))))</f>
        <v/>
      </c>
      <c r="R331">
        <f>IF(F330&lt;=0,0,MIN(AK331,F$7+IF(F$2=$AA331,$AC331,IF(F$2=$AF331,$AG331,0))))</f>
        <v/>
      </c>
      <c r="S331">
        <f>IF(G330&lt;=0,0,MIN(AL331,G$7+IF(G$2=$AA331,$AC331,IF(G$2=$AF331,$AG331,0))))</f>
        <v/>
      </c>
      <c r="T331">
        <f>IF(H330&lt;=0,0,MIN(AM331,H$7+IF(H$2=$AA331,$AC331,IF(H$2=$AF331,$AG331,0))))</f>
        <v/>
      </c>
      <c r="U331">
        <f>IF(I330&lt;=0,0,MIN(AN331,I$7+IF(I$2=$AA331,$AC331,IF(I$2=$AF331,$AG331,0))))</f>
        <v/>
      </c>
      <c r="V331">
        <f>IF(J330&lt;=0,0,MIN(AO331,J$7+IF(J$2=$AA331,$AC331,IF(J$2=$AF331,$AG331,0))))</f>
        <v/>
      </c>
      <c r="W331">
        <f>IF(K330&lt;=0,0,MIN(AP331,K$7+IF(K$2=$AA331,$AC331,IF(K$2=$AF331,$AG331,0))))</f>
        <v/>
      </c>
      <c r="X331">
        <f>IF(L330&lt;=0,0,MIN(AQ331,L$7+IF(L$2=$AA331,$AC331,IF(L$2=$AF331,$AG331,0))))</f>
        <v/>
      </c>
      <c r="Y331">
        <f>IF(M330&lt;=0,0,MIN(AR331,M$7+IF(M$2=$AA331,$AC331,IF(M$2=$AF331,$AG331,0))))</f>
        <v/>
      </c>
      <c r="Z331">
        <f>IF(N330&lt;=0,0,MIN(AS331,N$7+IF(N$2=$AA331,$AC331,IF(N$2=$AF331,$AG331,0))))</f>
        <v/>
      </c>
      <c r="AA331">
        <f>IFERROR(ROUND(1/SUMPRODUCT(MAX((C330:N330&gt;0)*($C$3:$N$3&lt;=B331)/$C$2:$N$2)),0),0)</f>
        <v/>
      </c>
      <c r="AB331">
        <f>SUMPRODUCT((C330:N330&gt;0)*$C$7:$N$7)</f>
        <v/>
      </c>
      <c r="AC331">
        <f>MAX(0,Plan!$C$5-AB331)+IF(A331=Plan!$C$8,N(Plan!$C$7),0)</f>
        <v/>
      </c>
      <c r="AD331">
        <f>SUM(C331:N331)</f>
        <v/>
      </c>
      <c r="AE331">
        <f>SUM(O331:Z331)</f>
        <v/>
      </c>
      <c r="AF331">
        <f>IFERROR(ROUND(1/SUMPRODUCT(MAX((C330:N330&gt;0)*($C$3:$N$3&lt;=B331)*($C$2:$N$2&gt;AA331)/$C$2:$N$2)),0),0)</f>
        <v/>
      </c>
      <c r="AG331">
        <f>MAX(0,AC331-MAX(0,SUMPRODUCT(($C$2:$N$2=AA331)*(AH331:AS331-$C$7:$N$7))))</f>
        <v/>
      </c>
      <c r="AH331">
        <f>IF(C330&lt;=0,0,ROUND(C330*(1+IF(AND(C$6&gt;0,$B331&lt;C$6),C$4,C$5)/12),2))</f>
        <v/>
      </c>
      <c r="AI331">
        <f>IF(D330&lt;=0,0,ROUND(D330*(1+IF(AND(D$6&gt;0,$B331&lt;D$6),D$4,D$5)/12),2))</f>
        <v/>
      </c>
      <c r="AJ331">
        <f>IF(E330&lt;=0,0,ROUND(E330*(1+IF(AND(E$6&gt;0,$B331&lt;E$6),E$4,E$5)/12),2))</f>
        <v/>
      </c>
      <c r="AK331">
        <f>IF(F330&lt;=0,0,ROUND(F330*(1+IF(AND(F$6&gt;0,$B331&lt;F$6),F$4,F$5)/12),2))</f>
        <v/>
      </c>
      <c r="AL331">
        <f>IF(G330&lt;=0,0,ROUND(G330*(1+IF(AND(G$6&gt;0,$B331&lt;G$6),G$4,G$5)/12),2))</f>
        <v/>
      </c>
      <c r="AM331">
        <f>IF(H330&lt;=0,0,ROUND(H330*(1+IF(AND(H$6&gt;0,$B331&lt;H$6),H$4,H$5)/12),2))</f>
        <v/>
      </c>
      <c r="AN331">
        <f>IF(I330&lt;=0,0,ROUND(I330*(1+IF(AND(I$6&gt;0,$B331&lt;I$6),I$4,I$5)/12),2))</f>
        <v/>
      </c>
      <c r="AO331">
        <f>IF(J330&lt;=0,0,ROUND(J330*(1+IF(AND(J$6&gt;0,$B331&lt;J$6),J$4,J$5)/12),2))</f>
        <v/>
      </c>
      <c r="AP331">
        <f>IF(K330&lt;=0,0,ROUND(K330*(1+IF(AND(K$6&gt;0,$B331&lt;K$6),K$4,K$5)/12),2))</f>
        <v/>
      </c>
      <c r="AQ331">
        <f>IF(L330&lt;=0,0,ROUND(L330*(1+IF(AND(L$6&gt;0,$B331&lt;L$6),L$4,L$5)/12),2))</f>
        <v/>
      </c>
      <c r="AR331">
        <f>IF(M330&lt;=0,0,ROUND(M330*(1+IF(AND(M$6&gt;0,$B331&lt;M$6),M$4,M$5)/12),2))</f>
        <v/>
      </c>
      <c r="AS331">
        <f>IF(N330&lt;=0,0,ROUND(N330*(1+IF(AND(N$6&gt;0,$B331&lt;N$6),N$4,N$5)/12),2))</f>
        <v/>
      </c>
    </row>
    <row r="332">
      <c r="A332" t="n">
        <v>321</v>
      </c>
      <c r="B332">
        <f>EDATE(Plan!$C$6,320)</f>
        <v/>
      </c>
      <c r="C332">
        <f>IF(C331&lt;=0,0,MAX(0,AH332-O332))</f>
        <v/>
      </c>
      <c r="D332">
        <f>IF(D331&lt;=0,0,MAX(0,AI332-P332))</f>
        <v/>
      </c>
      <c r="E332">
        <f>IF(E331&lt;=0,0,MAX(0,AJ332-Q332))</f>
        <v/>
      </c>
      <c r="F332">
        <f>IF(F331&lt;=0,0,MAX(0,AK332-R332))</f>
        <v/>
      </c>
      <c r="G332">
        <f>IF(G331&lt;=0,0,MAX(0,AL332-S332))</f>
        <v/>
      </c>
      <c r="H332">
        <f>IF(H331&lt;=0,0,MAX(0,AM332-T332))</f>
        <v/>
      </c>
      <c r="I332">
        <f>IF(I331&lt;=0,0,MAX(0,AN332-U332))</f>
        <v/>
      </c>
      <c r="J332">
        <f>IF(J331&lt;=0,0,MAX(0,AO332-V332))</f>
        <v/>
      </c>
      <c r="K332">
        <f>IF(K331&lt;=0,0,MAX(0,AP332-W332))</f>
        <v/>
      </c>
      <c r="L332">
        <f>IF(L331&lt;=0,0,MAX(0,AQ332-X332))</f>
        <v/>
      </c>
      <c r="M332">
        <f>IF(M331&lt;=0,0,MAX(0,AR332-Y332))</f>
        <v/>
      </c>
      <c r="N332">
        <f>IF(N331&lt;=0,0,MAX(0,AS332-Z332))</f>
        <v/>
      </c>
      <c r="O332">
        <f>IF(C331&lt;=0,0,MIN(AH332,C$7+IF(C$2=$AA332,$AC332,IF(C$2=$AF332,$AG332,0))))</f>
        <v/>
      </c>
      <c r="P332">
        <f>IF(D331&lt;=0,0,MIN(AI332,D$7+IF(D$2=$AA332,$AC332,IF(D$2=$AF332,$AG332,0))))</f>
        <v/>
      </c>
      <c r="Q332">
        <f>IF(E331&lt;=0,0,MIN(AJ332,E$7+IF(E$2=$AA332,$AC332,IF(E$2=$AF332,$AG332,0))))</f>
        <v/>
      </c>
      <c r="R332">
        <f>IF(F331&lt;=0,0,MIN(AK332,F$7+IF(F$2=$AA332,$AC332,IF(F$2=$AF332,$AG332,0))))</f>
        <v/>
      </c>
      <c r="S332">
        <f>IF(G331&lt;=0,0,MIN(AL332,G$7+IF(G$2=$AA332,$AC332,IF(G$2=$AF332,$AG332,0))))</f>
        <v/>
      </c>
      <c r="T332">
        <f>IF(H331&lt;=0,0,MIN(AM332,H$7+IF(H$2=$AA332,$AC332,IF(H$2=$AF332,$AG332,0))))</f>
        <v/>
      </c>
      <c r="U332">
        <f>IF(I331&lt;=0,0,MIN(AN332,I$7+IF(I$2=$AA332,$AC332,IF(I$2=$AF332,$AG332,0))))</f>
        <v/>
      </c>
      <c r="V332">
        <f>IF(J331&lt;=0,0,MIN(AO332,J$7+IF(J$2=$AA332,$AC332,IF(J$2=$AF332,$AG332,0))))</f>
        <v/>
      </c>
      <c r="W332">
        <f>IF(K331&lt;=0,0,MIN(AP332,K$7+IF(K$2=$AA332,$AC332,IF(K$2=$AF332,$AG332,0))))</f>
        <v/>
      </c>
      <c r="X332">
        <f>IF(L331&lt;=0,0,MIN(AQ332,L$7+IF(L$2=$AA332,$AC332,IF(L$2=$AF332,$AG332,0))))</f>
        <v/>
      </c>
      <c r="Y332">
        <f>IF(M331&lt;=0,0,MIN(AR332,M$7+IF(M$2=$AA332,$AC332,IF(M$2=$AF332,$AG332,0))))</f>
        <v/>
      </c>
      <c r="Z332">
        <f>IF(N331&lt;=0,0,MIN(AS332,N$7+IF(N$2=$AA332,$AC332,IF(N$2=$AF332,$AG332,0))))</f>
        <v/>
      </c>
      <c r="AA332">
        <f>IFERROR(ROUND(1/SUMPRODUCT(MAX((C331:N331&gt;0)*($C$3:$N$3&lt;=B332)/$C$2:$N$2)),0),0)</f>
        <v/>
      </c>
      <c r="AB332">
        <f>SUMPRODUCT((C331:N331&gt;0)*$C$7:$N$7)</f>
        <v/>
      </c>
      <c r="AC332">
        <f>MAX(0,Plan!$C$5-AB332)+IF(A332=Plan!$C$8,N(Plan!$C$7),0)</f>
        <v/>
      </c>
      <c r="AD332">
        <f>SUM(C332:N332)</f>
        <v/>
      </c>
      <c r="AE332">
        <f>SUM(O332:Z332)</f>
        <v/>
      </c>
      <c r="AF332">
        <f>IFERROR(ROUND(1/SUMPRODUCT(MAX((C331:N331&gt;0)*($C$3:$N$3&lt;=B332)*($C$2:$N$2&gt;AA332)/$C$2:$N$2)),0),0)</f>
        <v/>
      </c>
      <c r="AG332">
        <f>MAX(0,AC332-MAX(0,SUMPRODUCT(($C$2:$N$2=AA332)*(AH332:AS332-$C$7:$N$7))))</f>
        <v/>
      </c>
      <c r="AH332">
        <f>IF(C331&lt;=0,0,ROUND(C331*(1+IF(AND(C$6&gt;0,$B332&lt;C$6),C$4,C$5)/12),2))</f>
        <v/>
      </c>
      <c r="AI332">
        <f>IF(D331&lt;=0,0,ROUND(D331*(1+IF(AND(D$6&gt;0,$B332&lt;D$6),D$4,D$5)/12),2))</f>
        <v/>
      </c>
      <c r="AJ332">
        <f>IF(E331&lt;=0,0,ROUND(E331*(1+IF(AND(E$6&gt;0,$B332&lt;E$6),E$4,E$5)/12),2))</f>
        <v/>
      </c>
      <c r="AK332">
        <f>IF(F331&lt;=0,0,ROUND(F331*(1+IF(AND(F$6&gt;0,$B332&lt;F$6),F$4,F$5)/12),2))</f>
        <v/>
      </c>
      <c r="AL332">
        <f>IF(G331&lt;=0,0,ROUND(G331*(1+IF(AND(G$6&gt;0,$B332&lt;G$6),G$4,G$5)/12),2))</f>
        <v/>
      </c>
      <c r="AM332">
        <f>IF(H331&lt;=0,0,ROUND(H331*(1+IF(AND(H$6&gt;0,$B332&lt;H$6),H$4,H$5)/12),2))</f>
        <v/>
      </c>
      <c r="AN332">
        <f>IF(I331&lt;=0,0,ROUND(I331*(1+IF(AND(I$6&gt;0,$B332&lt;I$6),I$4,I$5)/12),2))</f>
        <v/>
      </c>
      <c r="AO332">
        <f>IF(J331&lt;=0,0,ROUND(J331*(1+IF(AND(J$6&gt;0,$B332&lt;J$6),J$4,J$5)/12),2))</f>
        <v/>
      </c>
      <c r="AP332">
        <f>IF(K331&lt;=0,0,ROUND(K331*(1+IF(AND(K$6&gt;0,$B332&lt;K$6),K$4,K$5)/12),2))</f>
        <v/>
      </c>
      <c r="AQ332">
        <f>IF(L331&lt;=0,0,ROUND(L331*(1+IF(AND(L$6&gt;0,$B332&lt;L$6),L$4,L$5)/12),2))</f>
        <v/>
      </c>
      <c r="AR332">
        <f>IF(M331&lt;=0,0,ROUND(M331*(1+IF(AND(M$6&gt;0,$B332&lt;M$6),M$4,M$5)/12),2))</f>
        <v/>
      </c>
      <c r="AS332">
        <f>IF(N331&lt;=0,0,ROUND(N331*(1+IF(AND(N$6&gt;0,$B332&lt;N$6),N$4,N$5)/12),2))</f>
        <v/>
      </c>
    </row>
    <row r="333">
      <c r="A333" t="n">
        <v>322</v>
      </c>
      <c r="B333">
        <f>EDATE(Plan!$C$6,321)</f>
        <v/>
      </c>
      <c r="C333">
        <f>IF(C332&lt;=0,0,MAX(0,AH333-O333))</f>
        <v/>
      </c>
      <c r="D333">
        <f>IF(D332&lt;=0,0,MAX(0,AI333-P333))</f>
        <v/>
      </c>
      <c r="E333">
        <f>IF(E332&lt;=0,0,MAX(0,AJ333-Q333))</f>
        <v/>
      </c>
      <c r="F333">
        <f>IF(F332&lt;=0,0,MAX(0,AK333-R333))</f>
        <v/>
      </c>
      <c r="G333">
        <f>IF(G332&lt;=0,0,MAX(0,AL333-S333))</f>
        <v/>
      </c>
      <c r="H333">
        <f>IF(H332&lt;=0,0,MAX(0,AM333-T333))</f>
        <v/>
      </c>
      <c r="I333">
        <f>IF(I332&lt;=0,0,MAX(0,AN333-U333))</f>
        <v/>
      </c>
      <c r="J333">
        <f>IF(J332&lt;=0,0,MAX(0,AO333-V333))</f>
        <v/>
      </c>
      <c r="K333">
        <f>IF(K332&lt;=0,0,MAX(0,AP333-W333))</f>
        <v/>
      </c>
      <c r="L333">
        <f>IF(L332&lt;=0,0,MAX(0,AQ333-X333))</f>
        <v/>
      </c>
      <c r="M333">
        <f>IF(M332&lt;=0,0,MAX(0,AR333-Y333))</f>
        <v/>
      </c>
      <c r="N333">
        <f>IF(N332&lt;=0,0,MAX(0,AS333-Z333))</f>
        <v/>
      </c>
      <c r="O333">
        <f>IF(C332&lt;=0,0,MIN(AH333,C$7+IF(C$2=$AA333,$AC333,IF(C$2=$AF333,$AG333,0))))</f>
        <v/>
      </c>
      <c r="P333">
        <f>IF(D332&lt;=0,0,MIN(AI333,D$7+IF(D$2=$AA333,$AC333,IF(D$2=$AF333,$AG333,0))))</f>
        <v/>
      </c>
      <c r="Q333">
        <f>IF(E332&lt;=0,0,MIN(AJ333,E$7+IF(E$2=$AA333,$AC333,IF(E$2=$AF333,$AG333,0))))</f>
        <v/>
      </c>
      <c r="R333">
        <f>IF(F332&lt;=0,0,MIN(AK333,F$7+IF(F$2=$AA333,$AC333,IF(F$2=$AF333,$AG333,0))))</f>
        <v/>
      </c>
      <c r="S333">
        <f>IF(G332&lt;=0,0,MIN(AL333,G$7+IF(G$2=$AA333,$AC333,IF(G$2=$AF333,$AG333,0))))</f>
        <v/>
      </c>
      <c r="T333">
        <f>IF(H332&lt;=0,0,MIN(AM333,H$7+IF(H$2=$AA333,$AC333,IF(H$2=$AF333,$AG333,0))))</f>
        <v/>
      </c>
      <c r="U333">
        <f>IF(I332&lt;=0,0,MIN(AN333,I$7+IF(I$2=$AA333,$AC333,IF(I$2=$AF333,$AG333,0))))</f>
        <v/>
      </c>
      <c r="V333">
        <f>IF(J332&lt;=0,0,MIN(AO333,J$7+IF(J$2=$AA333,$AC333,IF(J$2=$AF333,$AG333,0))))</f>
        <v/>
      </c>
      <c r="W333">
        <f>IF(K332&lt;=0,0,MIN(AP333,K$7+IF(K$2=$AA333,$AC333,IF(K$2=$AF333,$AG333,0))))</f>
        <v/>
      </c>
      <c r="X333">
        <f>IF(L332&lt;=0,0,MIN(AQ333,L$7+IF(L$2=$AA333,$AC333,IF(L$2=$AF333,$AG333,0))))</f>
        <v/>
      </c>
      <c r="Y333">
        <f>IF(M332&lt;=0,0,MIN(AR333,M$7+IF(M$2=$AA333,$AC333,IF(M$2=$AF333,$AG333,0))))</f>
        <v/>
      </c>
      <c r="Z333">
        <f>IF(N332&lt;=0,0,MIN(AS333,N$7+IF(N$2=$AA333,$AC333,IF(N$2=$AF333,$AG333,0))))</f>
        <v/>
      </c>
      <c r="AA333">
        <f>IFERROR(ROUND(1/SUMPRODUCT(MAX((C332:N332&gt;0)*($C$3:$N$3&lt;=B333)/$C$2:$N$2)),0),0)</f>
        <v/>
      </c>
      <c r="AB333">
        <f>SUMPRODUCT((C332:N332&gt;0)*$C$7:$N$7)</f>
        <v/>
      </c>
      <c r="AC333">
        <f>MAX(0,Plan!$C$5-AB333)+IF(A333=Plan!$C$8,N(Plan!$C$7),0)</f>
        <v/>
      </c>
      <c r="AD333">
        <f>SUM(C333:N333)</f>
        <v/>
      </c>
      <c r="AE333">
        <f>SUM(O333:Z333)</f>
        <v/>
      </c>
      <c r="AF333">
        <f>IFERROR(ROUND(1/SUMPRODUCT(MAX((C332:N332&gt;0)*($C$3:$N$3&lt;=B333)*($C$2:$N$2&gt;AA333)/$C$2:$N$2)),0),0)</f>
        <v/>
      </c>
      <c r="AG333">
        <f>MAX(0,AC333-MAX(0,SUMPRODUCT(($C$2:$N$2=AA333)*(AH333:AS333-$C$7:$N$7))))</f>
        <v/>
      </c>
      <c r="AH333">
        <f>IF(C332&lt;=0,0,ROUND(C332*(1+IF(AND(C$6&gt;0,$B333&lt;C$6),C$4,C$5)/12),2))</f>
        <v/>
      </c>
      <c r="AI333">
        <f>IF(D332&lt;=0,0,ROUND(D332*(1+IF(AND(D$6&gt;0,$B333&lt;D$6),D$4,D$5)/12),2))</f>
        <v/>
      </c>
      <c r="AJ333">
        <f>IF(E332&lt;=0,0,ROUND(E332*(1+IF(AND(E$6&gt;0,$B333&lt;E$6),E$4,E$5)/12),2))</f>
        <v/>
      </c>
      <c r="AK333">
        <f>IF(F332&lt;=0,0,ROUND(F332*(1+IF(AND(F$6&gt;0,$B333&lt;F$6),F$4,F$5)/12),2))</f>
        <v/>
      </c>
      <c r="AL333">
        <f>IF(G332&lt;=0,0,ROUND(G332*(1+IF(AND(G$6&gt;0,$B333&lt;G$6),G$4,G$5)/12),2))</f>
        <v/>
      </c>
      <c r="AM333">
        <f>IF(H332&lt;=0,0,ROUND(H332*(1+IF(AND(H$6&gt;0,$B333&lt;H$6),H$4,H$5)/12),2))</f>
        <v/>
      </c>
      <c r="AN333">
        <f>IF(I332&lt;=0,0,ROUND(I332*(1+IF(AND(I$6&gt;0,$B333&lt;I$6),I$4,I$5)/12),2))</f>
        <v/>
      </c>
      <c r="AO333">
        <f>IF(J332&lt;=0,0,ROUND(J332*(1+IF(AND(J$6&gt;0,$B333&lt;J$6),J$4,J$5)/12),2))</f>
        <v/>
      </c>
      <c r="AP333">
        <f>IF(K332&lt;=0,0,ROUND(K332*(1+IF(AND(K$6&gt;0,$B333&lt;K$6),K$4,K$5)/12),2))</f>
        <v/>
      </c>
      <c r="AQ333">
        <f>IF(L332&lt;=0,0,ROUND(L332*(1+IF(AND(L$6&gt;0,$B333&lt;L$6),L$4,L$5)/12),2))</f>
        <v/>
      </c>
      <c r="AR333">
        <f>IF(M332&lt;=0,0,ROUND(M332*(1+IF(AND(M$6&gt;0,$B333&lt;M$6),M$4,M$5)/12),2))</f>
        <v/>
      </c>
      <c r="AS333">
        <f>IF(N332&lt;=0,0,ROUND(N332*(1+IF(AND(N$6&gt;0,$B333&lt;N$6),N$4,N$5)/12),2))</f>
        <v/>
      </c>
    </row>
    <row r="334">
      <c r="A334" t="n">
        <v>323</v>
      </c>
      <c r="B334">
        <f>EDATE(Plan!$C$6,322)</f>
        <v/>
      </c>
      <c r="C334">
        <f>IF(C333&lt;=0,0,MAX(0,AH334-O334))</f>
        <v/>
      </c>
      <c r="D334">
        <f>IF(D333&lt;=0,0,MAX(0,AI334-P334))</f>
        <v/>
      </c>
      <c r="E334">
        <f>IF(E333&lt;=0,0,MAX(0,AJ334-Q334))</f>
        <v/>
      </c>
      <c r="F334">
        <f>IF(F333&lt;=0,0,MAX(0,AK334-R334))</f>
        <v/>
      </c>
      <c r="G334">
        <f>IF(G333&lt;=0,0,MAX(0,AL334-S334))</f>
        <v/>
      </c>
      <c r="H334">
        <f>IF(H333&lt;=0,0,MAX(0,AM334-T334))</f>
        <v/>
      </c>
      <c r="I334">
        <f>IF(I333&lt;=0,0,MAX(0,AN334-U334))</f>
        <v/>
      </c>
      <c r="J334">
        <f>IF(J333&lt;=0,0,MAX(0,AO334-V334))</f>
        <v/>
      </c>
      <c r="K334">
        <f>IF(K333&lt;=0,0,MAX(0,AP334-W334))</f>
        <v/>
      </c>
      <c r="L334">
        <f>IF(L333&lt;=0,0,MAX(0,AQ334-X334))</f>
        <v/>
      </c>
      <c r="M334">
        <f>IF(M333&lt;=0,0,MAX(0,AR334-Y334))</f>
        <v/>
      </c>
      <c r="N334">
        <f>IF(N333&lt;=0,0,MAX(0,AS334-Z334))</f>
        <v/>
      </c>
      <c r="O334">
        <f>IF(C333&lt;=0,0,MIN(AH334,C$7+IF(C$2=$AA334,$AC334,IF(C$2=$AF334,$AG334,0))))</f>
        <v/>
      </c>
      <c r="P334">
        <f>IF(D333&lt;=0,0,MIN(AI334,D$7+IF(D$2=$AA334,$AC334,IF(D$2=$AF334,$AG334,0))))</f>
        <v/>
      </c>
      <c r="Q334">
        <f>IF(E333&lt;=0,0,MIN(AJ334,E$7+IF(E$2=$AA334,$AC334,IF(E$2=$AF334,$AG334,0))))</f>
        <v/>
      </c>
      <c r="R334">
        <f>IF(F333&lt;=0,0,MIN(AK334,F$7+IF(F$2=$AA334,$AC334,IF(F$2=$AF334,$AG334,0))))</f>
        <v/>
      </c>
      <c r="S334">
        <f>IF(G333&lt;=0,0,MIN(AL334,G$7+IF(G$2=$AA334,$AC334,IF(G$2=$AF334,$AG334,0))))</f>
        <v/>
      </c>
      <c r="T334">
        <f>IF(H333&lt;=0,0,MIN(AM334,H$7+IF(H$2=$AA334,$AC334,IF(H$2=$AF334,$AG334,0))))</f>
        <v/>
      </c>
      <c r="U334">
        <f>IF(I333&lt;=0,0,MIN(AN334,I$7+IF(I$2=$AA334,$AC334,IF(I$2=$AF334,$AG334,0))))</f>
        <v/>
      </c>
      <c r="V334">
        <f>IF(J333&lt;=0,0,MIN(AO334,J$7+IF(J$2=$AA334,$AC334,IF(J$2=$AF334,$AG334,0))))</f>
        <v/>
      </c>
      <c r="W334">
        <f>IF(K333&lt;=0,0,MIN(AP334,K$7+IF(K$2=$AA334,$AC334,IF(K$2=$AF334,$AG334,0))))</f>
        <v/>
      </c>
      <c r="X334">
        <f>IF(L333&lt;=0,0,MIN(AQ334,L$7+IF(L$2=$AA334,$AC334,IF(L$2=$AF334,$AG334,0))))</f>
        <v/>
      </c>
      <c r="Y334">
        <f>IF(M333&lt;=0,0,MIN(AR334,M$7+IF(M$2=$AA334,$AC334,IF(M$2=$AF334,$AG334,0))))</f>
        <v/>
      </c>
      <c r="Z334">
        <f>IF(N333&lt;=0,0,MIN(AS334,N$7+IF(N$2=$AA334,$AC334,IF(N$2=$AF334,$AG334,0))))</f>
        <v/>
      </c>
      <c r="AA334">
        <f>IFERROR(ROUND(1/SUMPRODUCT(MAX((C333:N333&gt;0)*($C$3:$N$3&lt;=B334)/$C$2:$N$2)),0),0)</f>
        <v/>
      </c>
      <c r="AB334">
        <f>SUMPRODUCT((C333:N333&gt;0)*$C$7:$N$7)</f>
        <v/>
      </c>
      <c r="AC334">
        <f>MAX(0,Plan!$C$5-AB334)+IF(A334=Plan!$C$8,N(Plan!$C$7),0)</f>
        <v/>
      </c>
      <c r="AD334">
        <f>SUM(C334:N334)</f>
        <v/>
      </c>
      <c r="AE334">
        <f>SUM(O334:Z334)</f>
        <v/>
      </c>
      <c r="AF334">
        <f>IFERROR(ROUND(1/SUMPRODUCT(MAX((C333:N333&gt;0)*($C$3:$N$3&lt;=B334)*($C$2:$N$2&gt;AA334)/$C$2:$N$2)),0),0)</f>
        <v/>
      </c>
      <c r="AG334">
        <f>MAX(0,AC334-MAX(0,SUMPRODUCT(($C$2:$N$2=AA334)*(AH334:AS334-$C$7:$N$7))))</f>
        <v/>
      </c>
      <c r="AH334">
        <f>IF(C333&lt;=0,0,ROUND(C333*(1+IF(AND(C$6&gt;0,$B334&lt;C$6),C$4,C$5)/12),2))</f>
        <v/>
      </c>
      <c r="AI334">
        <f>IF(D333&lt;=0,0,ROUND(D333*(1+IF(AND(D$6&gt;0,$B334&lt;D$6),D$4,D$5)/12),2))</f>
        <v/>
      </c>
      <c r="AJ334">
        <f>IF(E333&lt;=0,0,ROUND(E333*(1+IF(AND(E$6&gt;0,$B334&lt;E$6),E$4,E$5)/12),2))</f>
        <v/>
      </c>
      <c r="AK334">
        <f>IF(F333&lt;=0,0,ROUND(F333*(1+IF(AND(F$6&gt;0,$B334&lt;F$6),F$4,F$5)/12),2))</f>
        <v/>
      </c>
      <c r="AL334">
        <f>IF(G333&lt;=0,0,ROUND(G333*(1+IF(AND(G$6&gt;0,$B334&lt;G$6),G$4,G$5)/12),2))</f>
        <v/>
      </c>
      <c r="AM334">
        <f>IF(H333&lt;=0,0,ROUND(H333*(1+IF(AND(H$6&gt;0,$B334&lt;H$6),H$4,H$5)/12),2))</f>
        <v/>
      </c>
      <c r="AN334">
        <f>IF(I333&lt;=0,0,ROUND(I333*(1+IF(AND(I$6&gt;0,$B334&lt;I$6),I$4,I$5)/12),2))</f>
        <v/>
      </c>
      <c r="AO334">
        <f>IF(J333&lt;=0,0,ROUND(J333*(1+IF(AND(J$6&gt;0,$B334&lt;J$6),J$4,J$5)/12),2))</f>
        <v/>
      </c>
      <c r="AP334">
        <f>IF(K333&lt;=0,0,ROUND(K333*(1+IF(AND(K$6&gt;0,$B334&lt;K$6),K$4,K$5)/12),2))</f>
        <v/>
      </c>
      <c r="AQ334">
        <f>IF(L333&lt;=0,0,ROUND(L333*(1+IF(AND(L$6&gt;0,$B334&lt;L$6),L$4,L$5)/12),2))</f>
        <v/>
      </c>
      <c r="AR334">
        <f>IF(M333&lt;=0,0,ROUND(M333*(1+IF(AND(M$6&gt;0,$B334&lt;M$6),M$4,M$5)/12),2))</f>
        <v/>
      </c>
      <c r="AS334">
        <f>IF(N333&lt;=0,0,ROUND(N333*(1+IF(AND(N$6&gt;0,$B334&lt;N$6),N$4,N$5)/12),2))</f>
        <v/>
      </c>
    </row>
    <row r="335">
      <c r="A335" t="n">
        <v>324</v>
      </c>
      <c r="B335">
        <f>EDATE(Plan!$C$6,323)</f>
        <v/>
      </c>
      <c r="C335">
        <f>IF(C334&lt;=0,0,MAX(0,AH335-O335))</f>
        <v/>
      </c>
      <c r="D335">
        <f>IF(D334&lt;=0,0,MAX(0,AI335-P335))</f>
        <v/>
      </c>
      <c r="E335">
        <f>IF(E334&lt;=0,0,MAX(0,AJ335-Q335))</f>
        <v/>
      </c>
      <c r="F335">
        <f>IF(F334&lt;=0,0,MAX(0,AK335-R335))</f>
        <v/>
      </c>
      <c r="G335">
        <f>IF(G334&lt;=0,0,MAX(0,AL335-S335))</f>
        <v/>
      </c>
      <c r="H335">
        <f>IF(H334&lt;=0,0,MAX(0,AM335-T335))</f>
        <v/>
      </c>
      <c r="I335">
        <f>IF(I334&lt;=0,0,MAX(0,AN335-U335))</f>
        <v/>
      </c>
      <c r="J335">
        <f>IF(J334&lt;=0,0,MAX(0,AO335-V335))</f>
        <v/>
      </c>
      <c r="K335">
        <f>IF(K334&lt;=0,0,MAX(0,AP335-W335))</f>
        <v/>
      </c>
      <c r="L335">
        <f>IF(L334&lt;=0,0,MAX(0,AQ335-X335))</f>
        <v/>
      </c>
      <c r="M335">
        <f>IF(M334&lt;=0,0,MAX(0,AR335-Y335))</f>
        <v/>
      </c>
      <c r="N335">
        <f>IF(N334&lt;=0,0,MAX(0,AS335-Z335))</f>
        <v/>
      </c>
      <c r="O335">
        <f>IF(C334&lt;=0,0,MIN(AH335,C$7+IF(C$2=$AA335,$AC335,IF(C$2=$AF335,$AG335,0))))</f>
        <v/>
      </c>
      <c r="P335">
        <f>IF(D334&lt;=0,0,MIN(AI335,D$7+IF(D$2=$AA335,$AC335,IF(D$2=$AF335,$AG335,0))))</f>
        <v/>
      </c>
      <c r="Q335">
        <f>IF(E334&lt;=0,0,MIN(AJ335,E$7+IF(E$2=$AA335,$AC335,IF(E$2=$AF335,$AG335,0))))</f>
        <v/>
      </c>
      <c r="R335">
        <f>IF(F334&lt;=0,0,MIN(AK335,F$7+IF(F$2=$AA335,$AC335,IF(F$2=$AF335,$AG335,0))))</f>
        <v/>
      </c>
      <c r="S335">
        <f>IF(G334&lt;=0,0,MIN(AL335,G$7+IF(G$2=$AA335,$AC335,IF(G$2=$AF335,$AG335,0))))</f>
        <v/>
      </c>
      <c r="T335">
        <f>IF(H334&lt;=0,0,MIN(AM335,H$7+IF(H$2=$AA335,$AC335,IF(H$2=$AF335,$AG335,0))))</f>
        <v/>
      </c>
      <c r="U335">
        <f>IF(I334&lt;=0,0,MIN(AN335,I$7+IF(I$2=$AA335,$AC335,IF(I$2=$AF335,$AG335,0))))</f>
        <v/>
      </c>
      <c r="V335">
        <f>IF(J334&lt;=0,0,MIN(AO335,J$7+IF(J$2=$AA335,$AC335,IF(J$2=$AF335,$AG335,0))))</f>
        <v/>
      </c>
      <c r="W335">
        <f>IF(K334&lt;=0,0,MIN(AP335,K$7+IF(K$2=$AA335,$AC335,IF(K$2=$AF335,$AG335,0))))</f>
        <v/>
      </c>
      <c r="X335">
        <f>IF(L334&lt;=0,0,MIN(AQ335,L$7+IF(L$2=$AA335,$AC335,IF(L$2=$AF335,$AG335,0))))</f>
        <v/>
      </c>
      <c r="Y335">
        <f>IF(M334&lt;=0,0,MIN(AR335,M$7+IF(M$2=$AA335,$AC335,IF(M$2=$AF335,$AG335,0))))</f>
        <v/>
      </c>
      <c r="Z335">
        <f>IF(N334&lt;=0,0,MIN(AS335,N$7+IF(N$2=$AA335,$AC335,IF(N$2=$AF335,$AG335,0))))</f>
        <v/>
      </c>
      <c r="AA335">
        <f>IFERROR(ROUND(1/SUMPRODUCT(MAX((C334:N334&gt;0)*($C$3:$N$3&lt;=B335)/$C$2:$N$2)),0),0)</f>
        <v/>
      </c>
      <c r="AB335">
        <f>SUMPRODUCT((C334:N334&gt;0)*$C$7:$N$7)</f>
        <v/>
      </c>
      <c r="AC335">
        <f>MAX(0,Plan!$C$5-AB335)+IF(A335=Plan!$C$8,N(Plan!$C$7),0)</f>
        <v/>
      </c>
      <c r="AD335">
        <f>SUM(C335:N335)</f>
        <v/>
      </c>
      <c r="AE335">
        <f>SUM(O335:Z335)</f>
        <v/>
      </c>
      <c r="AF335">
        <f>IFERROR(ROUND(1/SUMPRODUCT(MAX((C334:N334&gt;0)*($C$3:$N$3&lt;=B335)*($C$2:$N$2&gt;AA335)/$C$2:$N$2)),0),0)</f>
        <v/>
      </c>
      <c r="AG335">
        <f>MAX(0,AC335-MAX(0,SUMPRODUCT(($C$2:$N$2=AA335)*(AH335:AS335-$C$7:$N$7))))</f>
        <v/>
      </c>
      <c r="AH335">
        <f>IF(C334&lt;=0,0,ROUND(C334*(1+IF(AND(C$6&gt;0,$B335&lt;C$6),C$4,C$5)/12),2))</f>
        <v/>
      </c>
      <c r="AI335">
        <f>IF(D334&lt;=0,0,ROUND(D334*(1+IF(AND(D$6&gt;0,$B335&lt;D$6),D$4,D$5)/12),2))</f>
        <v/>
      </c>
      <c r="AJ335">
        <f>IF(E334&lt;=0,0,ROUND(E334*(1+IF(AND(E$6&gt;0,$B335&lt;E$6),E$4,E$5)/12),2))</f>
        <v/>
      </c>
      <c r="AK335">
        <f>IF(F334&lt;=0,0,ROUND(F334*(1+IF(AND(F$6&gt;0,$B335&lt;F$6),F$4,F$5)/12),2))</f>
        <v/>
      </c>
      <c r="AL335">
        <f>IF(G334&lt;=0,0,ROUND(G334*(1+IF(AND(G$6&gt;0,$B335&lt;G$6),G$4,G$5)/12),2))</f>
        <v/>
      </c>
      <c r="AM335">
        <f>IF(H334&lt;=0,0,ROUND(H334*(1+IF(AND(H$6&gt;0,$B335&lt;H$6),H$4,H$5)/12),2))</f>
        <v/>
      </c>
      <c r="AN335">
        <f>IF(I334&lt;=0,0,ROUND(I334*(1+IF(AND(I$6&gt;0,$B335&lt;I$6),I$4,I$5)/12),2))</f>
        <v/>
      </c>
      <c r="AO335">
        <f>IF(J334&lt;=0,0,ROUND(J334*(1+IF(AND(J$6&gt;0,$B335&lt;J$6),J$4,J$5)/12),2))</f>
        <v/>
      </c>
      <c r="AP335">
        <f>IF(K334&lt;=0,0,ROUND(K334*(1+IF(AND(K$6&gt;0,$B335&lt;K$6),K$4,K$5)/12),2))</f>
        <v/>
      </c>
      <c r="AQ335">
        <f>IF(L334&lt;=0,0,ROUND(L334*(1+IF(AND(L$6&gt;0,$B335&lt;L$6),L$4,L$5)/12),2))</f>
        <v/>
      </c>
      <c r="AR335">
        <f>IF(M334&lt;=0,0,ROUND(M334*(1+IF(AND(M$6&gt;0,$B335&lt;M$6),M$4,M$5)/12),2))</f>
        <v/>
      </c>
      <c r="AS335">
        <f>IF(N334&lt;=0,0,ROUND(N334*(1+IF(AND(N$6&gt;0,$B335&lt;N$6),N$4,N$5)/12),2))</f>
        <v/>
      </c>
    </row>
    <row r="336">
      <c r="A336" t="n">
        <v>325</v>
      </c>
      <c r="B336">
        <f>EDATE(Plan!$C$6,324)</f>
        <v/>
      </c>
      <c r="C336">
        <f>IF(C335&lt;=0,0,MAX(0,AH336-O336))</f>
        <v/>
      </c>
      <c r="D336">
        <f>IF(D335&lt;=0,0,MAX(0,AI336-P336))</f>
        <v/>
      </c>
      <c r="E336">
        <f>IF(E335&lt;=0,0,MAX(0,AJ336-Q336))</f>
        <v/>
      </c>
      <c r="F336">
        <f>IF(F335&lt;=0,0,MAX(0,AK336-R336))</f>
        <v/>
      </c>
      <c r="G336">
        <f>IF(G335&lt;=0,0,MAX(0,AL336-S336))</f>
        <v/>
      </c>
      <c r="H336">
        <f>IF(H335&lt;=0,0,MAX(0,AM336-T336))</f>
        <v/>
      </c>
      <c r="I336">
        <f>IF(I335&lt;=0,0,MAX(0,AN336-U336))</f>
        <v/>
      </c>
      <c r="J336">
        <f>IF(J335&lt;=0,0,MAX(0,AO336-V336))</f>
        <v/>
      </c>
      <c r="K336">
        <f>IF(K335&lt;=0,0,MAX(0,AP336-W336))</f>
        <v/>
      </c>
      <c r="L336">
        <f>IF(L335&lt;=0,0,MAX(0,AQ336-X336))</f>
        <v/>
      </c>
      <c r="M336">
        <f>IF(M335&lt;=0,0,MAX(0,AR336-Y336))</f>
        <v/>
      </c>
      <c r="N336">
        <f>IF(N335&lt;=0,0,MAX(0,AS336-Z336))</f>
        <v/>
      </c>
      <c r="O336">
        <f>IF(C335&lt;=0,0,MIN(AH336,C$7+IF(C$2=$AA336,$AC336,IF(C$2=$AF336,$AG336,0))))</f>
        <v/>
      </c>
      <c r="P336">
        <f>IF(D335&lt;=0,0,MIN(AI336,D$7+IF(D$2=$AA336,$AC336,IF(D$2=$AF336,$AG336,0))))</f>
        <v/>
      </c>
      <c r="Q336">
        <f>IF(E335&lt;=0,0,MIN(AJ336,E$7+IF(E$2=$AA336,$AC336,IF(E$2=$AF336,$AG336,0))))</f>
        <v/>
      </c>
      <c r="R336">
        <f>IF(F335&lt;=0,0,MIN(AK336,F$7+IF(F$2=$AA336,$AC336,IF(F$2=$AF336,$AG336,0))))</f>
        <v/>
      </c>
      <c r="S336">
        <f>IF(G335&lt;=0,0,MIN(AL336,G$7+IF(G$2=$AA336,$AC336,IF(G$2=$AF336,$AG336,0))))</f>
        <v/>
      </c>
      <c r="T336">
        <f>IF(H335&lt;=0,0,MIN(AM336,H$7+IF(H$2=$AA336,$AC336,IF(H$2=$AF336,$AG336,0))))</f>
        <v/>
      </c>
      <c r="U336">
        <f>IF(I335&lt;=0,0,MIN(AN336,I$7+IF(I$2=$AA336,$AC336,IF(I$2=$AF336,$AG336,0))))</f>
        <v/>
      </c>
      <c r="V336">
        <f>IF(J335&lt;=0,0,MIN(AO336,J$7+IF(J$2=$AA336,$AC336,IF(J$2=$AF336,$AG336,0))))</f>
        <v/>
      </c>
      <c r="W336">
        <f>IF(K335&lt;=0,0,MIN(AP336,K$7+IF(K$2=$AA336,$AC336,IF(K$2=$AF336,$AG336,0))))</f>
        <v/>
      </c>
      <c r="X336">
        <f>IF(L335&lt;=0,0,MIN(AQ336,L$7+IF(L$2=$AA336,$AC336,IF(L$2=$AF336,$AG336,0))))</f>
        <v/>
      </c>
      <c r="Y336">
        <f>IF(M335&lt;=0,0,MIN(AR336,M$7+IF(M$2=$AA336,$AC336,IF(M$2=$AF336,$AG336,0))))</f>
        <v/>
      </c>
      <c r="Z336">
        <f>IF(N335&lt;=0,0,MIN(AS336,N$7+IF(N$2=$AA336,$AC336,IF(N$2=$AF336,$AG336,0))))</f>
        <v/>
      </c>
      <c r="AA336">
        <f>IFERROR(ROUND(1/SUMPRODUCT(MAX((C335:N335&gt;0)*($C$3:$N$3&lt;=B336)/$C$2:$N$2)),0),0)</f>
        <v/>
      </c>
      <c r="AB336">
        <f>SUMPRODUCT((C335:N335&gt;0)*$C$7:$N$7)</f>
        <v/>
      </c>
      <c r="AC336">
        <f>MAX(0,Plan!$C$5-AB336)+IF(A336=Plan!$C$8,N(Plan!$C$7),0)</f>
        <v/>
      </c>
      <c r="AD336">
        <f>SUM(C336:N336)</f>
        <v/>
      </c>
      <c r="AE336">
        <f>SUM(O336:Z336)</f>
        <v/>
      </c>
      <c r="AF336">
        <f>IFERROR(ROUND(1/SUMPRODUCT(MAX((C335:N335&gt;0)*($C$3:$N$3&lt;=B336)*($C$2:$N$2&gt;AA336)/$C$2:$N$2)),0),0)</f>
        <v/>
      </c>
      <c r="AG336">
        <f>MAX(0,AC336-MAX(0,SUMPRODUCT(($C$2:$N$2=AA336)*(AH336:AS336-$C$7:$N$7))))</f>
        <v/>
      </c>
      <c r="AH336">
        <f>IF(C335&lt;=0,0,ROUND(C335*(1+IF(AND(C$6&gt;0,$B336&lt;C$6),C$4,C$5)/12),2))</f>
        <v/>
      </c>
      <c r="AI336">
        <f>IF(D335&lt;=0,0,ROUND(D335*(1+IF(AND(D$6&gt;0,$B336&lt;D$6),D$4,D$5)/12),2))</f>
        <v/>
      </c>
      <c r="AJ336">
        <f>IF(E335&lt;=0,0,ROUND(E335*(1+IF(AND(E$6&gt;0,$B336&lt;E$6),E$4,E$5)/12),2))</f>
        <v/>
      </c>
      <c r="AK336">
        <f>IF(F335&lt;=0,0,ROUND(F335*(1+IF(AND(F$6&gt;0,$B336&lt;F$6),F$4,F$5)/12),2))</f>
        <v/>
      </c>
      <c r="AL336">
        <f>IF(G335&lt;=0,0,ROUND(G335*(1+IF(AND(G$6&gt;0,$B336&lt;G$6),G$4,G$5)/12),2))</f>
        <v/>
      </c>
      <c r="AM336">
        <f>IF(H335&lt;=0,0,ROUND(H335*(1+IF(AND(H$6&gt;0,$B336&lt;H$6),H$4,H$5)/12),2))</f>
        <v/>
      </c>
      <c r="AN336">
        <f>IF(I335&lt;=0,0,ROUND(I335*(1+IF(AND(I$6&gt;0,$B336&lt;I$6),I$4,I$5)/12),2))</f>
        <v/>
      </c>
      <c r="AO336">
        <f>IF(J335&lt;=0,0,ROUND(J335*(1+IF(AND(J$6&gt;0,$B336&lt;J$6),J$4,J$5)/12),2))</f>
        <v/>
      </c>
      <c r="AP336">
        <f>IF(K335&lt;=0,0,ROUND(K335*(1+IF(AND(K$6&gt;0,$B336&lt;K$6),K$4,K$5)/12),2))</f>
        <v/>
      </c>
      <c r="AQ336">
        <f>IF(L335&lt;=0,0,ROUND(L335*(1+IF(AND(L$6&gt;0,$B336&lt;L$6),L$4,L$5)/12),2))</f>
        <v/>
      </c>
      <c r="AR336">
        <f>IF(M335&lt;=0,0,ROUND(M335*(1+IF(AND(M$6&gt;0,$B336&lt;M$6),M$4,M$5)/12),2))</f>
        <v/>
      </c>
      <c r="AS336">
        <f>IF(N335&lt;=0,0,ROUND(N335*(1+IF(AND(N$6&gt;0,$B336&lt;N$6),N$4,N$5)/12),2))</f>
        <v/>
      </c>
    </row>
    <row r="337">
      <c r="A337" t="n">
        <v>326</v>
      </c>
      <c r="B337">
        <f>EDATE(Plan!$C$6,325)</f>
        <v/>
      </c>
      <c r="C337">
        <f>IF(C336&lt;=0,0,MAX(0,AH337-O337))</f>
        <v/>
      </c>
      <c r="D337">
        <f>IF(D336&lt;=0,0,MAX(0,AI337-P337))</f>
        <v/>
      </c>
      <c r="E337">
        <f>IF(E336&lt;=0,0,MAX(0,AJ337-Q337))</f>
        <v/>
      </c>
      <c r="F337">
        <f>IF(F336&lt;=0,0,MAX(0,AK337-R337))</f>
        <v/>
      </c>
      <c r="G337">
        <f>IF(G336&lt;=0,0,MAX(0,AL337-S337))</f>
        <v/>
      </c>
      <c r="H337">
        <f>IF(H336&lt;=0,0,MAX(0,AM337-T337))</f>
        <v/>
      </c>
      <c r="I337">
        <f>IF(I336&lt;=0,0,MAX(0,AN337-U337))</f>
        <v/>
      </c>
      <c r="J337">
        <f>IF(J336&lt;=0,0,MAX(0,AO337-V337))</f>
        <v/>
      </c>
      <c r="K337">
        <f>IF(K336&lt;=0,0,MAX(0,AP337-W337))</f>
        <v/>
      </c>
      <c r="L337">
        <f>IF(L336&lt;=0,0,MAX(0,AQ337-X337))</f>
        <v/>
      </c>
      <c r="M337">
        <f>IF(M336&lt;=0,0,MAX(0,AR337-Y337))</f>
        <v/>
      </c>
      <c r="N337">
        <f>IF(N336&lt;=0,0,MAX(0,AS337-Z337))</f>
        <v/>
      </c>
      <c r="O337">
        <f>IF(C336&lt;=0,0,MIN(AH337,C$7+IF(C$2=$AA337,$AC337,IF(C$2=$AF337,$AG337,0))))</f>
        <v/>
      </c>
      <c r="P337">
        <f>IF(D336&lt;=0,0,MIN(AI337,D$7+IF(D$2=$AA337,$AC337,IF(D$2=$AF337,$AG337,0))))</f>
        <v/>
      </c>
      <c r="Q337">
        <f>IF(E336&lt;=0,0,MIN(AJ337,E$7+IF(E$2=$AA337,$AC337,IF(E$2=$AF337,$AG337,0))))</f>
        <v/>
      </c>
      <c r="R337">
        <f>IF(F336&lt;=0,0,MIN(AK337,F$7+IF(F$2=$AA337,$AC337,IF(F$2=$AF337,$AG337,0))))</f>
        <v/>
      </c>
      <c r="S337">
        <f>IF(G336&lt;=0,0,MIN(AL337,G$7+IF(G$2=$AA337,$AC337,IF(G$2=$AF337,$AG337,0))))</f>
        <v/>
      </c>
      <c r="T337">
        <f>IF(H336&lt;=0,0,MIN(AM337,H$7+IF(H$2=$AA337,$AC337,IF(H$2=$AF337,$AG337,0))))</f>
        <v/>
      </c>
      <c r="U337">
        <f>IF(I336&lt;=0,0,MIN(AN337,I$7+IF(I$2=$AA337,$AC337,IF(I$2=$AF337,$AG337,0))))</f>
        <v/>
      </c>
      <c r="V337">
        <f>IF(J336&lt;=0,0,MIN(AO337,J$7+IF(J$2=$AA337,$AC337,IF(J$2=$AF337,$AG337,0))))</f>
        <v/>
      </c>
      <c r="W337">
        <f>IF(K336&lt;=0,0,MIN(AP337,K$7+IF(K$2=$AA337,$AC337,IF(K$2=$AF337,$AG337,0))))</f>
        <v/>
      </c>
      <c r="X337">
        <f>IF(L336&lt;=0,0,MIN(AQ337,L$7+IF(L$2=$AA337,$AC337,IF(L$2=$AF337,$AG337,0))))</f>
        <v/>
      </c>
      <c r="Y337">
        <f>IF(M336&lt;=0,0,MIN(AR337,M$7+IF(M$2=$AA337,$AC337,IF(M$2=$AF337,$AG337,0))))</f>
        <v/>
      </c>
      <c r="Z337">
        <f>IF(N336&lt;=0,0,MIN(AS337,N$7+IF(N$2=$AA337,$AC337,IF(N$2=$AF337,$AG337,0))))</f>
        <v/>
      </c>
      <c r="AA337">
        <f>IFERROR(ROUND(1/SUMPRODUCT(MAX((C336:N336&gt;0)*($C$3:$N$3&lt;=B337)/$C$2:$N$2)),0),0)</f>
        <v/>
      </c>
      <c r="AB337">
        <f>SUMPRODUCT((C336:N336&gt;0)*$C$7:$N$7)</f>
        <v/>
      </c>
      <c r="AC337">
        <f>MAX(0,Plan!$C$5-AB337)+IF(A337=Plan!$C$8,N(Plan!$C$7),0)</f>
        <v/>
      </c>
      <c r="AD337">
        <f>SUM(C337:N337)</f>
        <v/>
      </c>
      <c r="AE337">
        <f>SUM(O337:Z337)</f>
        <v/>
      </c>
      <c r="AF337">
        <f>IFERROR(ROUND(1/SUMPRODUCT(MAX((C336:N336&gt;0)*($C$3:$N$3&lt;=B337)*($C$2:$N$2&gt;AA337)/$C$2:$N$2)),0),0)</f>
        <v/>
      </c>
      <c r="AG337">
        <f>MAX(0,AC337-MAX(0,SUMPRODUCT(($C$2:$N$2=AA337)*(AH337:AS337-$C$7:$N$7))))</f>
        <v/>
      </c>
      <c r="AH337">
        <f>IF(C336&lt;=0,0,ROUND(C336*(1+IF(AND(C$6&gt;0,$B337&lt;C$6),C$4,C$5)/12),2))</f>
        <v/>
      </c>
      <c r="AI337">
        <f>IF(D336&lt;=0,0,ROUND(D336*(1+IF(AND(D$6&gt;0,$B337&lt;D$6),D$4,D$5)/12),2))</f>
        <v/>
      </c>
      <c r="AJ337">
        <f>IF(E336&lt;=0,0,ROUND(E336*(1+IF(AND(E$6&gt;0,$B337&lt;E$6),E$4,E$5)/12),2))</f>
        <v/>
      </c>
      <c r="AK337">
        <f>IF(F336&lt;=0,0,ROUND(F336*(1+IF(AND(F$6&gt;0,$B337&lt;F$6),F$4,F$5)/12),2))</f>
        <v/>
      </c>
      <c r="AL337">
        <f>IF(G336&lt;=0,0,ROUND(G336*(1+IF(AND(G$6&gt;0,$B337&lt;G$6),G$4,G$5)/12),2))</f>
        <v/>
      </c>
      <c r="AM337">
        <f>IF(H336&lt;=0,0,ROUND(H336*(1+IF(AND(H$6&gt;0,$B337&lt;H$6),H$4,H$5)/12),2))</f>
        <v/>
      </c>
      <c r="AN337">
        <f>IF(I336&lt;=0,0,ROUND(I336*(1+IF(AND(I$6&gt;0,$B337&lt;I$6),I$4,I$5)/12),2))</f>
        <v/>
      </c>
      <c r="AO337">
        <f>IF(J336&lt;=0,0,ROUND(J336*(1+IF(AND(J$6&gt;0,$B337&lt;J$6),J$4,J$5)/12),2))</f>
        <v/>
      </c>
      <c r="AP337">
        <f>IF(K336&lt;=0,0,ROUND(K336*(1+IF(AND(K$6&gt;0,$B337&lt;K$6),K$4,K$5)/12),2))</f>
        <v/>
      </c>
      <c r="AQ337">
        <f>IF(L336&lt;=0,0,ROUND(L336*(1+IF(AND(L$6&gt;0,$B337&lt;L$6),L$4,L$5)/12),2))</f>
        <v/>
      </c>
      <c r="AR337">
        <f>IF(M336&lt;=0,0,ROUND(M336*(1+IF(AND(M$6&gt;0,$B337&lt;M$6),M$4,M$5)/12),2))</f>
        <v/>
      </c>
      <c r="AS337">
        <f>IF(N336&lt;=0,0,ROUND(N336*(1+IF(AND(N$6&gt;0,$B337&lt;N$6),N$4,N$5)/12),2))</f>
        <v/>
      </c>
    </row>
    <row r="338">
      <c r="A338" t="n">
        <v>327</v>
      </c>
      <c r="B338">
        <f>EDATE(Plan!$C$6,326)</f>
        <v/>
      </c>
      <c r="C338">
        <f>IF(C337&lt;=0,0,MAX(0,AH338-O338))</f>
        <v/>
      </c>
      <c r="D338">
        <f>IF(D337&lt;=0,0,MAX(0,AI338-P338))</f>
        <v/>
      </c>
      <c r="E338">
        <f>IF(E337&lt;=0,0,MAX(0,AJ338-Q338))</f>
        <v/>
      </c>
      <c r="F338">
        <f>IF(F337&lt;=0,0,MAX(0,AK338-R338))</f>
        <v/>
      </c>
      <c r="G338">
        <f>IF(G337&lt;=0,0,MAX(0,AL338-S338))</f>
        <v/>
      </c>
      <c r="H338">
        <f>IF(H337&lt;=0,0,MAX(0,AM338-T338))</f>
        <v/>
      </c>
      <c r="I338">
        <f>IF(I337&lt;=0,0,MAX(0,AN338-U338))</f>
        <v/>
      </c>
      <c r="J338">
        <f>IF(J337&lt;=0,0,MAX(0,AO338-V338))</f>
        <v/>
      </c>
      <c r="K338">
        <f>IF(K337&lt;=0,0,MAX(0,AP338-W338))</f>
        <v/>
      </c>
      <c r="L338">
        <f>IF(L337&lt;=0,0,MAX(0,AQ338-X338))</f>
        <v/>
      </c>
      <c r="M338">
        <f>IF(M337&lt;=0,0,MAX(0,AR338-Y338))</f>
        <v/>
      </c>
      <c r="N338">
        <f>IF(N337&lt;=0,0,MAX(0,AS338-Z338))</f>
        <v/>
      </c>
      <c r="O338">
        <f>IF(C337&lt;=0,0,MIN(AH338,C$7+IF(C$2=$AA338,$AC338,IF(C$2=$AF338,$AG338,0))))</f>
        <v/>
      </c>
      <c r="P338">
        <f>IF(D337&lt;=0,0,MIN(AI338,D$7+IF(D$2=$AA338,$AC338,IF(D$2=$AF338,$AG338,0))))</f>
        <v/>
      </c>
      <c r="Q338">
        <f>IF(E337&lt;=0,0,MIN(AJ338,E$7+IF(E$2=$AA338,$AC338,IF(E$2=$AF338,$AG338,0))))</f>
        <v/>
      </c>
      <c r="R338">
        <f>IF(F337&lt;=0,0,MIN(AK338,F$7+IF(F$2=$AA338,$AC338,IF(F$2=$AF338,$AG338,0))))</f>
        <v/>
      </c>
      <c r="S338">
        <f>IF(G337&lt;=0,0,MIN(AL338,G$7+IF(G$2=$AA338,$AC338,IF(G$2=$AF338,$AG338,0))))</f>
        <v/>
      </c>
      <c r="T338">
        <f>IF(H337&lt;=0,0,MIN(AM338,H$7+IF(H$2=$AA338,$AC338,IF(H$2=$AF338,$AG338,0))))</f>
        <v/>
      </c>
      <c r="U338">
        <f>IF(I337&lt;=0,0,MIN(AN338,I$7+IF(I$2=$AA338,$AC338,IF(I$2=$AF338,$AG338,0))))</f>
        <v/>
      </c>
      <c r="V338">
        <f>IF(J337&lt;=0,0,MIN(AO338,J$7+IF(J$2=$AA338,$AC338,IF(J$2=$AF338,$AG338,0))))</f>
        <v/>
      </c>
      <c r="W338">
        <f>IF(K337&lt;=0,0,MIN(AP338,K$7+IF(K$2=$AA338,$AC338,IF(K$2=$AF338,$AG338,0))))</f>
        <v/>
      </c>
      <c r="X338">
        <f>IF(L337&lt;=0,0,MIN(AQ338,L$7+IF(L$2=$AA338,$AC338,IF(L$2=$AF338,$AG338,0))))</f>
        <v/>
      </c>
      <c r="Y338">
        <f>IF(M337&lt;=0,0,MIN(AR338,M$7+IF(M$2=$AA338,$AC338,IF(M$2=$AF338,$AG338,0))))</f>
        <v/>
      </c>
      <c r="Z338">
        <f>IF(N337&lt;=0,0,MIN(AS338,N$7+IF(N$2=$AA338,$AC338,IF(N$2=$AF338,$AG338,0))))</f>
        <v/>
      </c>
      <c r="AA338">
        <f>IFERROR(ROUND(1/SUMPRODUCT(MAX((C337:N337&gt;0)*($C$3:$N$3&lt;=B338)/$C$2:$N$2)),0),0)</f>
        <v/>
      </c>
      <c r="AB338">
        <f>SUMPRODUCT((C337:N337&gt;0)*$C$7:$N$7)</f>
        <v/>
      </c>
      <c r="AC338">
        <f>MAX(0,Plan!$C$5-AB338)+IF(A338=Plan!$C$8,N(Plan!$C$7),0)</f>
        <v/>
      </c>
      <c r="AD338">
        <f>SUM(C338:N338)</f>
        <v/>
      </c>
      <c r="AE338">
        <f>SUM(O338:Z338)</f>
        <v/>
      </c>
      <c r="AF338">
        <f>IFERROR(ROUND(1/SUMPRODUCT(MAX((C337:N337&gt;0)*($C$3:$N$3&lt;=B338)*($C$2:$N$2&gt;AA338)/$C$2:$N$2)),0),0)</f>
        <v/>
      </c>
      <c r="AG338">
        <f>MAX(0,AC338-MAX(0,SUMPRODUCT(($C$2:$N$2=AA338)*(AH338:AS338-$C$7:$N$7))))</f>
        <v/>
      </c>
      <c r="AH338">
        <f>IF(C337&lt;=0,0,ROUND(C337*(1+IF(AND(C$6&gt;0,$B338&lt;C$6),C$4,C$5)/12),2))</f>
        <v/>
      </c>
      <c r="AI338">
        <f>IF(D337&lt;=0,0,ROUND(D337*(1+IF(AND(D$6&gt;0,$B338&lt;D$6),D$4,D$5)/12),2))</f>
        <v/>
      </c>
      <c r="AJ338">
        <f>IF(E337&lt;=0,0,ROUND(E337*(1+IF(AND(E$6&gt;0,$B338&lt;E$6),E$4,E$5)/12),2))</f>
        <v/>
      </c>
      <c r="AK338">
        <f>IF(F337&lt;=0,0,ROUND(F337*(1+IF(AND(F$6&gt;0,$B338&lt;F$6),F$4,F$5)/12),2))</f>
        <v/>
      </c>
      <c r="AL338">
        <f>IF(G337&lt;=0,0,ROUND(G337*(1+IF(AND(G$6&gt;0,$B338&lt;G$6),G$4,G$5)/12),2))</f>
        <v/>
      </c>
      <c r="AM338">
        <f>IF(H337&lt;=0,0,ROUND(H337*(1+IF(AND(H$6&gt;0,$B338&lt;H$6),H$4,H$5)/12),2))</f>
        <v/>
      </c>
      <c r="AN338">
        <f>IF(I337&lt;=0,0,ROUND(I337*(1+IF(AND(I$6&gt;0,$B338&lt;I$6),I$4,I$5)/12),2))</f>
        <v/>
      </c>
      <c r="AO338">
        <f>IF(J337&lt;=0,0,ROUND(J337*(1+IF(AND(J$6&gt;0,$B338&lt;J$6),J$4,J$5)/12),2))</f>
        <v/>
      </c>
      <c r="AP338">
        <f>IF(K337&lt;=0,0,ROUND(K337*(1+IF(AND(K$6&gt;0,$B338&lt;K$6),K$4,K$5)/12),2))</f>
        <v/>
      </c>
      <c r="AQ338">
        <f>IF(L337&lt;=0,0,ROUND(L337*(1+IF(AND(L$6&gt;0,$B338&lt;L$6),L$4,L$5)/12),2))</f>
        <v/>
      </c>
      <c r="AR338">
        <f>IF(M337&lt;=0,0,ROUND(M337*(1+IF(AND(M$6&gt;0,$B338&lt;M$6),M$4,M$5)/12),2))</f>
        <v/>
      </c>
      <c r="AS338">
        <f>IF(N337&lt;=0,0,ROUND(N337*(1+IF(AND(N$6&gt;0,$B338&lt;N$6),N$4,N$5)/12),2))</f>
        <v/>
      </c>
    </row>
    <row r="339">
      <c r="A339" t="n">
        <v>328</v>
      </c>
      <c r="B339">
        <f>EDATE(Plan!$C$6,327)</f>
        <v/>
      </c>
      <c r="C339">
        <f>IF(C338&lt;=0,0,MAX(0,AH339-O339))</f>
        <v/>
      </c>
      <c r="D339">
        <f>IF(D338&lt;=0,0,MAX(0,AI339-P339))</f>
        <v/>
      </c>
      <c r="E339">
        <f>IF(E338&lt;=0,0,MAX(0,AJ339-Q339))</f>
        <v/>
      </c>
      <c r="F339">
        <f>IF(F338&lt;=0,0,MAX(0,AK339-R339))</f>
        <v/>
      </c>
      <c r="G339">
        <f>IF(G338&lt;=0,0,MAX(0,AL339-S339))</f>
        <v/>
      </c>
      <c r="H339">
        <f>IF(H338&lt;=0,0,MAX(0,AM339-T339))</f>
        <v/>
      </c>
      <c r="I339">
        <f>IF(I338&lt;=0,0,MAX(0,AN339-U339))</f>
        <v/>
      </c>
      <c r="J339">
        <f>IF(J338&lt;=0,0,MAX(0,AO339-V339))</f>
        <v/>
      </c>
      <c r="K339">
        <f>IF(K338&lt;=0,0,MAX(0,AP339-W339))</f>
        <v/>
      </c>
      <c r="L339">
        <f>IF(L338&lt;=0,0,MAX(0,AQ339-X339))</f>
        <v/>
      </c>
      <c r="M339">
        <f>IF(M338&lt;=0,0,MAX(0,AR339-Y339))</f>
        <v/>
      </c>
      <c r="N339">
        <f>IF(N338&lt;=0,0,MAX(0,AS339-Z339))</f>
        <v/>
      </c>
      <c r="O339">
        <f>IF(C338&lt;=0,0,MIN(AH339,C$7+IF(C$2=$AA339,$AC339,IF(C$2=$AF339,$AG339,0))))</f>
        <v/>
      </c>
      <c r="P339">
        <f>IF(D338&lt;=0,0,MIN(AI339,D$7+IF(D$2=$AA339,$AC339,IF(D$2=$AF339,$AG339,0))))</f>
        <v/>
      </c>
      <c r="Q339">
        <f>IF(E338&lt;=0,0,MIN(AJ339,E$7+IF(E$2=$AA339,$AC339,IF(E$2=$AF339,$AG339,0))))</f>
        <v/>
      </c>
      <c r="R339">
        <f>IF(F338&lt;=0,0,MIN(AK339,F$7+IF(F$2=$AA339,$AC339,IF(F$2=$AF339,$AG339,0))))</f>
        <v/>
      </c>
      <c r="S339">
        <f>IF(G338&lt;=0,0,MIN(AL339,G$7+IF(G$2=$AA339,$AC339,IF(G$2=$AF339,$AG339,0))))</f>
        <v/>
      </c>
      <c r="T339">
        <f>IF(H338&lt;=0,0,MIN(AM339,H$7+IF(H$2=$AA339,$AC339,IF(H$2=$AF339,$AG339,0))))</f>
        <v/>
      </c>
      <c r="U339">
        <f>IF(I338&lt;=0,0,MIN(AN339,I$7+IF(I$2=$AA339,$AC339,IF(I$2=$AF339,$AG339,0))))</f>
        <v/>
      </c>
      <c r="V339">
        <f>IF(J338&lt;=0,0,MIN(AO339,J$7+IF(J$2=$AA339,$AC339,IF(J$2=$AF339,$AG339,0))))</f>
        <v/>
      </c>
      <c r="W339">
        <f>IF(K338&lt;=0,0,MIN(AP339,K$7+IF(K$2=$AA339,$AC339,IF(K$2=$AF339,$AG339,0))))</f>
        <v/>
      </c>
      <c r="X339">
        <f>IF(L338&lt;=0,0,MIN(AQ339,L$7+IF(L$2=$AA339,$AC339,IF(L$2=$AF339,$AG339,0))))</f>
        <v/>
      </c>
      <c r="Y339">
        <f>IF(M338&lt;=0,0,MIN(AR339,M$7+IF(M$2=$AA339,$AC339,IF(M$2=$AF339,$AG339,0))))</f>
        <v/>
      </c>
      <c r="Z339">
        <f>IF(N338&lt;=0,0,MIN(AS339,N$7+IF(N$2=$AA339,$AC339,IF(N$2=$AF339,$AG339,0))))</f>
        <v/>
      </c>
      <c r="AA339">
        <f>IFERROR(ROUND(1/SUMPRODUCT(MAX((C338:N338&gt;0)*($C$3:$N$3&lt;=B339)/$C$2:$N$2)),0),0)</f>
        <v/>
      </c>
      <c r="AB339">
        <f>SUMPRODUCT((C338:N338&gt;0)*$C$7:$N$7)</f>
        <v/>
      </c>
      <c r="AC339">
        <f>MAX(0,Plan!$C$5-AB339)+IF(A339=Plan!$C$8,N(Plan!$C$7),0)</f>
        <v/>
      </c>
      <c r="AD339">
        <f>SUM(C339:N339)</f>
        <v/>
      </c>
      <c r="AE339">
        <f>SUM(O339:Z339)</f>
        <v/>
      </c>
      <c r="AF339">
        <f>IFERROR(ROUND(1/SUMPRODUCT(MAX((C338:N338&gt;0)*($C$3:$N$3&lt;=B339)*($C$2:$N$2&gt;AA339)/$C$2:$N$2)),0),0)</f>
        <v/>
      </c>
      <c r="AG339">
        <f>MAX(0,AC339-MAX(0,SUMPRODUCT(($C$2:$N$2=AA339)*(AH339:AS339-$C$7:$N$7))))</f>
        <v/>
      </c>
      <c r="AH339">
        <f>IF(C338&lt;=0,0,ROUND(C338*(1+IF(AND(C$6&gt;0,$B339&lt;C$6),C$4,C$5)/12),2))</f>
        <v/>
      </c>
      <c r="AI339">
        <f>IF(D338&lt;=0,0,ROUND(D338*(1+IF(AND(D$6&gt;0,$B339&lt;D$6),D$4,D$5)/12),2))</f>
        <v/>
      </c>
      <c r="AJ339">
        <f>IF(E338&lt;=0,0,ROUND(E338*(1+IF(AND(E$6&gt;0,$B339&lt;E$6),E$4,E$5)/12),2))</f>
        <v/>
      </c>
      <c r="AK339">
        <f>IF(F338&lt;=0,0,ROUND(F338*(1+IF(AND(F$6&gt;0,$B339&lt;F$6),F$4,F$5)/12),2))</f>
        <v/>
      </c>
      <c r="AL339">
        <f>IF(G338&lt;=0,0,ROUND(G338*(1+IF(AND(G$6&gt;0,$B339&lt;G$6),G$4,G$5)/12),2))</f>
        <v/>
      </c>
      <c r="AM339">
        <f>IF(H338&lt;=0,0,ROUND(H338*(1+IF(AND(H$6&gt;0,$B339&lt;H$6),H$4,H$5)/12),2))</f>
        <v/>
      </c>
      <c r="AN339">
        <f>IF(I338&lt;=0,0,ROUND(I338*(1+IF(AND(I$6&gt;0,$B339&lt;I$6),I$4,I$5)/12),2))</f>
        <v/>
      </c>
      <c r="AO339">
        <f>IF(J338&lt;=0,0,ROUND(J338*(1+IF(AND(J$6&gt;0,$B339&lt;J$6),J$4,J$5)/12),2))</f>
        <v/>
      </c>
      <c r="AP339">
        <f>IF(K338&lt;=0,0,ROUND(K338*(1+IF(AND(K$6&gt;0,$B339&lt;K$6),K$4,K$5)/12),2))</f>
        <v/>
      </c>
      <c r="AQ339">
        <f>IF(L338&lt;=0,0,ROUND(L338*(1+IF(AND(L$6&gt;0,$B339&lt;L$6),L$4,L$5)/12),2))</f>
        <v/>
      </c>
      <c r="AR339">
        <f>IF(M338&lt;=0,0,ROUND(M338*(1+IF(AND(M$6&gt;0,$B339&lt;M$6),M$4,M$5)/12),2))</f>
        <v/>
      </c>
      <c r="AS339">
        <f>IF(N338&lt;=0,0,ROUND(N338*(1+IF(AND(N$6&gt;0,$B339&lt;N$6),N$4,N$5)/12),2))</f>
        <v/>
      </c>
    </row>
    <row r="340">
      <c r="A340" t="n">
        <v>329</v>
      </c>
      <c r="B340">
        <f>EDATE(Plan!$C$6,328)</f>
        <v/>
      </c>
      <c r="C340">
        <f>IF(C339&lt;=0,0,MAX(0,AH340-O340))</f>
        <v/>
      </c>
      <c r="D340">
        <f>IF(D339&lt;=0,0,MAX(0,AI340-P340))</f>
        <v/>
      </c>
      <c r="E340">
        <f>IF(E339&lt;=0,0,MAX(0,AJ340-Q340))</f>
        <v/>
      </c>
      <c r="F340">
        <f>IF(F339&lt;=0,0,MAX(0,AK340-R340))</f>
        <v/>
      </c>
      <c r="G340">
        <f>IF(G339&lt;=0,0,MAX(0,AL340-S340))</f>
        <v/>
      </c>
      <c r="H340">
        <f>IF(H339&lt;=0,0,MAX(0,AM340-T340))</f>
        <v/>
      </c>
      <c r="I340">
        <f>IF(I339&lt;=0,0,MAX(0,AN340-U340))</f>
        <v/>
      </c>
      <c r="J340">
        <f>IF(J339&lt;=0,0,MAX(0,AO340-V340))</f>
        <v/>
      </c>
      <c r="K340">
        <f>IF(K339&lt;=0,0,MAX(0,AP340-W340))</f>
        <v/>
      </c>
      <c r="L340">
        <f>IF(L339&lt;=0,0,MAX(0,AQ340-X340))</f>
        <v/>
      </c>
      <c r="M340">
        <f>IF(M339&lt;=0,0,MAX(0,AR340-Y340))</f>
        <v/>
      </c>
      <c r="N340">
        <f>IF(N339&lt;=0,0,MAX(0,AS340-Z340))</f>
        <v/>
      </c>
      <c r="O340">
        <f>IF(C339&lt;=0,0,MIN(AH340,C$7+IF(C$2=$AA340,$AC340,IF(C$2=$AF340,$AG340,0))))</f>
        <v/>
      </c>
      <c r="P340">
        <f>IF(D339&lt;=0,0,MIN(AI340,D$7+IF(D$2=$AA340,$AC340,IF(D$2=$AF340,$AG340,0))))</f>
        <v/>
      </c>
      <c r="Q340">
        <f>IF(E339&lt;=0,0,MIN(AJ340,E$7+IF(E$2=$AA340,$AC340,IF(E$2=$AF340,$AG340,0))))</f>
        <v/>
      </c>
      <c r="R340">
        <f>IF(F339&lt;=0,0,MIN(AK340,F$7+IF(F$2=$AA340,$AC340,IF(F$2=$AF340,$AG340,0))))</f>
        <v/>
      </c>
      <c r="S340">
        <f>IF(G339&lt;=0,0,MIN(AL340,G$7+IF(G$2=$AA340,$AC340,IF(G$2=$AF340,$AG340,0))))</f>
        <v/>
      </c>
      <c r="T340">
        <f>IF(H339&lt;=0,0,MIN(AM340,H$7+IF(H$2=$AA340,$AC340,IF(H$2=$AF340,$AG340,0))))</f>
        <v/>
      </c>
      <c r="U340">
        <f>IF(I339&lt;=0,0,MIN(AN340,I$7+IF(I$2=$AA340,$AC340,IF(I$2=$AF340,$AG340,0))))</f>
        <v/>
      </c>
      <c r="V340">
        <f>IF(J339&lt;=0,0,MIN(AO340,J$7+IF(J$2=$AA340,$AC340,IF(J$2=$AF340,$AG340,0))))</f>
        <v/>
      </c>
      <c r="W340">
        <f>IF(K339&lt;=0,0,MIN(AP340,K$7+IF(K$2=$AA340,$AC340,IF(K$2=$AF340,$AG340,0))))</f>
        <v/>
      </c>
      <c r="X340">
        <f>IF(L339&lt;=0,0,MIN(AQ340,L$7+IF(L$2=$AA340,$AC340,IF(L$2=$AF340,$AG340,0))))</f>
        <v/>
      </c>
      <c r="Y340">
        <f>IF(M339&lt;=0,0,MIN(AR340,M$7+IF(M$2=$AA340,$AC340,IF(M$2=$AF340,$AG340,0))))</f>
        <v/>
      </c>
      <c r="Z340">
        <f>IF(N339&lt;=0,0,MIN(AS340,N$7+IF(N$2=$AA340,$AC340,IF(N$2=$AF340,$AG340,0))))</f>
        <v/>
      </c>
      <c r="AA340">
        <f>IFERROR(ROUND(1/SUMPRODUCT(MAX((C339:N339&gt;0)*($C$3:$N$3&lt;=B340)/$C$2:$N$2)),0),0)</f>
        <v/>
      </c>
      <c r="AB340">
        <f>SUMPRODUCT((C339:N339&gt;0)*$C$7:$N$7)</f>
        <v/>
      </c>
      <c r="AC340">
        <f>MAX(0,Plan!$C$5-AB340)+IF(A340=Plan!$C$8,N(Plan!$C$7),0)</f>
        <v/>
      </c>
      <c r="AD340">
        <f>SUM(C340:N340)</f>
        <v/>
      </c>
      <c r="AE340">
        <f>SUM(O340:Z340)</f>
        <v/>
      </c>
      <c r="AF340">
        <f>IFERROR(ROUND(1/SUMPRODUCT(MAX((C339:N339&gt;0)*($C$3:$N$3&lt;=B340)*($C$2:$N$2&gt;AA340)/$C$2:$N$2)),0),0)</f>
        <v/>
      </c>
      <c r="AG340">
        <f>MAX(0,AC340-MAX(0,SUMPRODUCT(($C$2:$N$2=AA340)*(AH340:AS340-$C$7:$N$7))))</f>
        <v/>
      </c>
      <c r="AH340">
        <f>IF(C339&lt;=0,0,ROUND(C339*(1+IF(AND(C$6&gt;0,$B340&lt;C$6),C$4,C$5)/12),2))</f>
        <v/>
      </c>
      <c r="AI340">
        <f>IF(D339&lt;=0,0,ROUND(D339*(1+IF(AND(D$6&gt;0,$B340&lt;D$6),D$4,D$5)/12),2))</f>
        <v/>
      </c>
      <c r="AJ340">
        <f>IF(E339&lt;=0,0,ROUND(E339*(1+IF(AND(E$6&gt;0,$B340&lt;E$6),E$4,E$5)/12),2))</f>
        <v/>
      </c>
      <c r="AK340">
        <f>IF(F339&lt;=0,0,ROUND(F339*(1+IF(AND(F$6&gt;0,$B340&lt;F$6),F$4,F$5)/12),2))</f>
        <v/>
      </c>
      <c r="AL340">
        <f>IF(G339&lt;=0,0,ROUND(G339*(1+IF(AND(G$6&gt;0,$B340&lt;G$6),G$4,G$5)/12),2))</f>
        <v/>
      </c>
      <c r="AM340">
        <f>IF(H339&lt;=0,0,ROUND(H339*(1+IF(AND(H$6&gt;0,$B340&lt;H$6),H$4,H$5)/12),2))</f>
        <v/>
      </c>
      <c r="AN340">
        <f>IF(I339&lt;=0,0,ROUND(I339*(1+IF(AND(I$6&gt;0,$B340&lt;I$6),I$4,I$5)/12),2))</f>
        <v/>
      </c>
      <c r="AO340">
        <f>IF(J339&lt;=0,0,ROUND(J339*(1+IF(AND(J$6&gt;0,$B340&lt;J$6),J$4,J$5)/12),2))</f>
        <v/>
      </c>
      <c r="AP340">
        <f>IF(K339&lt;=0,0,ROUND(K339*(1+IF(AND(K$6&gt;0,$B340&lt;K$6),K$4,K$5)/12),2))</f>
        <v/>
      </c>
      <c r="AQ340">
        <f>IF(L339&lt;=0,0,ROUND(L339*(1+IF(AND(L$6&gt;0,$B340&lt;L$6),L$4,L$5)/12),2))</f>
        <v/>
      </c>
      <c r="AR340">
        <f>IF(M339&lt;=0,0,ROUND(M339*(1+IF(AND(M$6&gt;0,$B340&lt;M$6),M$4,M$5)/12),2))</f>
        <v/>
      </c>
      <c r="AS340">
        <f>IF(N339&lt;=0,0,ROUND(N339*(1+IF(AND(N$6&gt;0,$B340&lt;N$6),N$4,N$5)/12),2))</f>
        <v/>
      </c>
    </row>
    <row r="341">
      <c r="A341" t="n">
        <v>330</v>
      </c>
      <c r="B341">
        <f>EDATE(Plan!$C$6,329)</f>
        <v/>
      </c>
      <c r="C341">
        <f>IF(C340&lt;=0,0,MAX(0,AH341-O341))</f>
        <v/>
      </c>
      <c r="D341">
        <f>IF(D340&lt;=0,0,MAX(0,AI341-P341))</f>
        <v/>
      </c>
      <c r="E341">
        <f>IF(E340&lt;=0,0,MAX(0,AJ341-Q341))</f>
        <v/>
      </c>
      <c r="F341">
        <f>IF(F340&lt;=0,0,MAX(0,AK341-R341))</f>
        <v/>
      </c>
      <c r="G341">
        <f>IF(G340&lt;=0,0,MAX(0,AL341-S341))</f>
        <v/>
      </c>
      <c r="H341">
        <f>IF(H340&lt;=0,0,MAX(0,AM341-T341))</f>
        <v/>
      </c>
      <c r="I341">
        <f>IF(I340&lt;=0,0,MAX(0,AN341-U341))</f>
        <v/>
      </c>
      <c r="J341">
        <f>IF(J340&lt;=0,0,MAX(0,AO341-V341))</f>
        <v/>
      </c>
      <c r="K341">
        <f>IF(K340&lt;=0,0,MAX(0,AP341-W341))</f>
        <v/>
      </c>
      <c r="L341">
        <f>IF(L340&lt;=0,0,MAX(0,AQ341-X341))</f>
        <v/>
      </c>
      <c r="M341">
        <f>IF(M340&lt;=0,0,MAX(0,AR341-Y341))</f>
        <v/>
      </c>
      <c r="N341">
        <f>IF(N340&lt;=0,0,MAX(0,AS341-Z341))</f>
        <v/>
      </c>
      <c r="O341">
        <f>IF(C340&lt;=0,0,MIN(AH341,C$7+IF(C$2=$AA341,$AC341,IF(C$2=$AF341,$AG341,0))))</f>
        <v/>
      </c>
      <c r="P341">
        <f>IF(D340&lt;=0,0,MIN(AI341,D$7+IF(D$2=$AA341,$AC341,IF(D$2=$AF341,$AG341,0))))</f>
        <v/>
      </c>
      <c r="Q341">
        <f>IF(E340&lt;=0,0,MIN(AJ341,E$7+IF(E$2=$AA341,$AC341,IF(E$2=$AF341,$AG341,0))))</f>
        <v/>
      </c>
      <c r="R341">
        <f>IF(F340&lt;=0,0,MIN(AK341,F$7+IF(F$2=$AA341,$AC341,IF(F$2=$AF341,$AG341,0))))</f>
        <v/>
      </c>
      <c r="S341">
        <f>IF(G340&lt;=0,0,MIN(AL341,G$7+IF(G$2=$AA341,$AC341,IF(G$2=$AF341,$AG341,0))))</f>
        <v/>
      </c>
      <c r="T341">
        <f>IF(H340&lt;=0,0,MIN(AM341,H$7+IF(H$2=$AA341,$AC341,IF(H$2=$AF341,$AG341,0))))</f>
        <v/>
      </c>
      <c r="U341">
        <f>IF(I340&lt;=0,0,MIN(AN341,I$7+IF(I$2=$AA341,$AC341,IF(I$2=$AF341,$AG341,0))))</f>
        <v/>
      </c>
      <c r="V341">
        <f>IF(J340&lt;=0,0,MIN(AO341,J$7+IF(J$2=$AA341,$AC341,IF(J$2=$AF341,$AG341,0))))</f>
        <v/>
      </c>
      <c r="W341">
        <f>IF(K340&lt;=0,0,MIN(AP341,K$7+IF(K$2=$AA341,$AC341,IF(K$2=$AF341,$AG341,0))))</f>
        <v/>
      </c>
      <c r="X341">
        <f>IF(L340&lt;=0,0,MIN(AQ341,L$7+IF(L$2=$AA341,$AC341,IF(L$2=$AF341,$AG341,0))))</f>
        <v/>
      </c>
      <c r="Y341">
        <f>IF(M340&lt;=0,0,MIN(AR341,M$7+IF(M$2=$AA341,$AC341,IF(M$2=$AF341,$AG341,0))))</f>
        <v/>
      </c>
      <c r="Z341">
        <f>IF(N340&lt;=0,0,MIN(AS341,N$7+IF(N$2=$AA341,$AC341,IF(N$2=$AF341,$AG341,0))))</f>
        <v/>
      </c>
      <c r="AA341">
        <f>IFERROR(ROUND(1/SUMPRODUCT(MAX((C340:N340&gt;0)*($C$3:$N$3&lt;=B341)/$C$2:$N$2)),0),0)</f>
        <v/>
      </c>
      <c r="AB341">
        <f>SUMPRODUCT((C340:N340&gt;0)*$C$7:$N$7)</f>
        <v/>
      </c>
      <c r="AC341">
        <f>MAX(0,Plan!$C$5-AB341)+IF(A341=Plan!$C$8,N(Plan!$C$7),0)</f>
        <v/>
      </c>
      <c r="AD341">
        <f>SUM(C341:N341)</f>
        <v/>
      </c>
      <c r="AE341">
        <f>SUM(O341:Z341)</f>
        <v/>
      </c>
      <c r="AF341">
        <f>IFERROR(ROUND(1/SUMPRODUCT(MAX((C340:N340&gt;0)*($C$3:$N$3&lt;=B341)*($C$2:$N$2&gt;AA341)/$C$2:$N$2)),0),0)</f>
        <v/>
      </c>
      <c r="AG341">
        <f>MAX(0,AC341-MAX(0,SUMPRODUCT(($C$2:$N$2=AA341)*(AH341:AS341-$C$7:$N$7))))</f>
        <v/>
      </c>
      <c r="AH341">
        <f>IF(C340&lt;=0,0,ROUND(C340*(1+IF(AND(C$6&gt;0,$B341&lt;C$6),C$4,C$5)/12),2))</f>
        <v/>
      </c>
      <c r="AI341">
        <f>IF(D340&lt;=0,0,ROUND(D340*(1+IF(AND(D$6&gt;0,$B341&lt;D$6),D$4,D$5)/12),2))</f>
        <v/>
      </c>
      <c r="AJ341">
        <f>IF(E340&lt;=0,0,ROUND(E340*(1+IF(AND(E$6&gt;0,$B341&lt;E$6),E$4,E$5)/12),2))</f>
        <v/>
      </c>
      <c r="AK341">
        <f>IF(F340&lt;=0,0,ROUND(F340*(1+IF(AND(F$6&gt;0,$B341&lt;F$6),F$4,F$5)/12),2))</f>
        <v/>
      </c>
      <c r="AL341">
        <f>IF(G340&lt;=0,0,ROUND(G340*(1+IF(AND(G$6&gt;0,$B341&lt;G$6),G$4,G$5)/12),2))</f>
        <v/>
      </c>
      <c r="AM341">
        <f>IF(H340&lt;=0,0,ROUND(H340*(1+IF(AND(H$6&gt;0,$B341&lt;H$6),H$4,H$5)/12),2))</f>
        <v/>
      </c>
      <c r="AN341">
        <f>IF(I340&lt;=0,0,ROUND(I340*(1+IF(AND(I$6&gt;0,$B341&lt;I$6),I$4,I$5)/12),2))</f>
        <v/>
      </c>
      <c r="AO341">
        <f>IF(J340&lt;=0,0,ROUND(J340*(1+IF(AND(J$6&gt;0,$B341&lt;J$6),J$4,J$5)/12),2))</f>
        <v/>
      </c>
      <c r="AP341">
        <f>IF(K340&lt;=0,0,ROUND(K340*(1+IF(AND(K$6&gt;0,$B341&lt;K$6),K$4,K$5)/12),2))</f>
        <v/>
      </c>
      <c r="AQ341">
        <f>IF(L340&lt;=0,0,ROUND(L340*(1+IF(AND(L$6&gt;0,$B341&lt;L$6),L$4,L$5)/12),2))</f>
        <v/>
      </c>
      <c r="AR341">
        <f>IF(M340&lt;=0,0,ROUND(M340*(1+IF(AND(M$6&gt;0,$B341&lt;M$6),M$4,M$5)/12),2))</f>
        <v/>
      </c>
      <c r="AS341">
        <f>IF(N340&lt;=0,0,ROUND(N340*(1+IF(AND(N$6&gt;0,$B341&lt;N$6),N$4,N$5)/12),2))</f>
        <v/>
      </c>
    </row>
    <row r="342">
      <c r="A342" t="n">
        <v>331</v>
      </c>
      <c r="B342">
        <f>EDATE(Plan!$C$6,330)</f>
        <v/>
      </c>
      <c r="C342">
        <f>IF(C341&lt;=0,0,MAX(0,AH342-O342))</f>
        <v/>
      </c>
      <c r="D342">
        <f>IF(D341&lt;=0,0,MAX(0,AI342-P342))</f>
        <v/>
      </c>
      <c r="E342">
        <f>IF(E341&lt;=0,0,MAX(0,AJ342-Q342))</f>
        <v/>
      </c>
      <c r="F342">
        <f>IF(F341&lt;=0,0,MAX(0,AK342-R342))</f>
        <v/>
      </c>
      <c r="G342">
        <f>IF(G341&lt;=0,0,MAX(0,AL342-S342))</f>
        <v/>
      </c>
      <c r="H342">
        <f>IF(H341&lt;=0,0,MAX(0,AM342-T342))</f>
        <v/>
      </c>
      <c r="I342">
        <f>IF(I341&lt;=0,0,MAX(0,AN342-U342))</f>
        <v/>
      </c>
      <c r="J342">
        <f>IF(J341&lt;=0,0,MAX(0,AO342-V342))</f>
        <v/>
      </c>
      <c r="K342">
        <f>IF(K341&lt;=0,0,MAX(0,AP342-W342))</f>
        <v/>
      </c>
      <c r="L342">
        <f>IF(L341&lt;=0,0,MAX(0,AQ342-X342))</f>
        <v/>
      </c>
      <c r="M342">
        <f>IF(M341&lt;=0,0,MAX(0,AR342-Y342))</f>
        <v/>
      </c>
      <c r="N342">
        <f>IF(N341&lt;=0,0,MAX(0,AS342-Z342))</f>
        <v/>
      </c>
      <c r="O342">
        <f>IF(C341&lt;=0,0,MIN(AH342,C$7+IF(C$2=$AA342,$AC342,IF(C$2=$AF342,$AG342,0))))</f>
        <v/>
      </c>
      <c r="P342">
        <f>IF(D341&lt;=0,0,MIN(AI342,D$7+IF(D$2=$AA342,$AC342,IF(D$2=$AF342,$AG342,0))))</f>
        <v/>
      </c>
      <c r="Q342">
        <f>IF(E341&lt;=0,0,MIN(AJ342,E$7+IF(E$2=$AA342,$AC342,IF(E$2=$AF342,$AG342,0))))</f>
        <v/>
      </c>
      <c r="R342">
        <f>IF(F341&lt;=0,0,MIN(AK342,F$7+IF(F$2=$AA342,$AC342,IF(F$2=$AF342,$AG342,0))))</f>
        <v/>
      </c>
      <c r="S342">
        <f>IF(G341&lt;=0,0,MIN(AL342,G$7+IF(G$2=$AA342,$AC342,IF(G$2=$AF342,$AG342,0))))</f>
        <v/>
      </c>
      <c r="T342">
        <f>IF(H341&lt;=0,0,MIN(AM342,H$7+IF(H$2=$AA342,$AC342,IF(H$2=$AF342,$AG342,0))))</f>
        <v/>
      </c>
      <c r="U342">
        <f>IF(I341&lt;=0,0,MIN(AN342,I$7+IF(I$2=$AA342,$AC342,IF(I$2=$AF342,$AG342,0))))</f>
        <v/>
      </c>
      <c r="V342">
        <f>IF(J341&lt;=0,0,MIN(AO342,J$7+IF(J$2=$AA342,$AC342,IF(J$2=$AF342,$AG342,0))))</f>
        <v/>
      </c>
      <c r="W342">
        <f>IF(K341&lt;=0,0,MIN(AP342,K$7+IF(K$2=$AA342,$AC342,IF(K$2=$AF342,$AG342,0))))</f>
        <v/>
      </c>
      <c r="X342">
        <f>IF(L341&lt;=0,0,MIN(AQ342,L$7+IF(L$2=$AA342,$AC342,IF(L$2=$AF342,$AG342,0))))</f>
        <v/>
      </c>
      <c r="Y342">
        <f>IF(M341&lt;=0,0,MIN(AR342,M$7+IF(M$2=$AA342,$AC342,IF(M$2=$AF342,$AG342,0))))</f>
        <v/>
      </c>
      <c r="Z342">
        <f>IF(N341&lt;=0,0,MIN(AS342,N$7+IF(N$2=$AA342,$AC342,IF(N$2=$AF342,$AG342,0))))</f>
        <v/>
      </c>
      <c r="AA342">
        <f>IFERROR(ROUND(1/SUMPRODUCT(MAX((C341:N341&gt;0)*($C$3:$N$3&lt;=B342)/$C$2:$N$2)),0),0)</f>
        <v/>
      </c>
      <c r="AB342">
        <f>SUMPRODUCT((C341:N341&gt;0)*$C$7:$N$7)</f>
        <v/>
      </c>
      <c r="AC342">
        <f>MAX(0,Plan!$C$5-AB342)+IF(A342=Plan!$C$8,N(Plan!$C$7),0)</f>
        <v/>
      </c>
      <c r="AD342">
        <f>SUM(C342:N342)</f>
        <v/>
      </c>
      <c r="AE342">
        <f>SUM(O342:Z342)</f>
        <v/>
      </c>
      <c r="AF342">
        <f>IFERROR(ROUND(1/SUMPRODUCT(MAX((C341:N341&gt;0)*($C$3:$N$3&lt;=B342)*($C$2:$N$2&gt;AA342)/$C$2:$N$2)),0),0)</f>
        <v/>
      </c>
      <c r="AG342">
        <f>MAX(0,AC342-MAX(0,SUMPRODUCT(($C$2:$N$2=AA342)*(AH342:AS342-$C$7:$N$7))))</f>
        <v/>
      </c>
      <c r="AH342">
        <f>IF(C341&lt;=0,0,ROUND(C341*(1+IF(AND(C$6&gt;0,$B342&lt;C$6),C$4,C$5)/12),2))</f>
        <v/>
      </c>
      <c r="AI342">
        <f>IF(D341&lt;=0,0,ROUND(D341*(1+IF(AND(D$6&gt;0,$B342&lt;D$6),D$4,D$5)/12),2))</f>
        <v/>
      </c>
      <c r="AJ342">
        <f>IF(E341&lt;=0,0,ROUND(E341*(1+IF(AND(E$6&gt;0,$B342&lt;E$6),E$4,E$5)/12),2))</f>
        <v/>
      </c>
      <c r="AK342">
        <f>IF(F341&lt;=0,0,ROUND(F341*(1+IF(AND(F$6&gt;0,$B342&lt;F$6),F$4,F$5)/12),2))</f>
        <v/>
      </c>
      <c r="AL342">
        <f>IF(G341&lt;=0,0,ROUND(G341*(1+IF(AND(G$6&gt;0,$B342&lt;G$6),G$4,G$5)/12),2))</f>
        <v/>
      </c>
      <c r="AM342">
        <f>IF(H341&lt;=0,0,ROUND(H341*(1+IF(AND(H$6&gt;0,$B342&lt;H$6),H$4,H$5)/12),2))</f>
        <v/>
      </c>
      <c r="AN342">
        <f>IF(I341&lt;=0,0,ROUND(I341*(1+IF(AND(I$6&gt;0,$B342&lt;I$6),I$4,I$5)/12),2))</f>
        <v/>
      </c>
      <c r="AO342">
        <f>IF(J341&lt;=0,0,ROUND(J341*(1+IF(AND(J$6&gt;0,$B342&lt;J$6),J$4,J$5)/12),2))</f>
        <v/>
      </c>
      <c r="AP342">
        <f>IF(K341&lt;=0,0,ROUND(K341*(1+IF(AND(K$6&gt;0,$B342&lt;K$6),K$4,K$5)/12),2))</f>
        <v/>
      </c>
      <c r="AQ342">
        <f>IF(L341&lt;=0,0,ROUND(L341*(1+IF(AND(L$6&gt;0,$B342&lt;L$6),L$4,L$5)/12),2))</f>
        <v/>
      </c>
      <c r="AR342">
        <f>IF(M341&lt;=0,0,ROUND(M341*(1+IF(AND(M$6&gt;0,$B342&lt;M$6),M$4,M$5)/12),2))</f>
        <v/>
      </c>
      <c r="AS342">
        <f>IF(N341&lt;=0,0,ROUND(N341*(1+IF(AND(N$6&gt;0,$B342&lt;N$6),N$4,N$5)/12),2))</f>
        <v/>
      </c>
    </row>
    <row r="343">
      <c r="A343" t="n">
        <v>332</v>
      </c>
      <c r="B343">
        <f>EDATE(Plan!$C$6,331)</f>
        <v/>
      </c>
      <c r="C343">
        <f>IF(C342&lt;=0,0,MAX(0,AH343-O343))</f>
        <v/>
      </c>
      <c r="D343">
        <f>IF(D342&lt;=0,0,MAX(0,AI343-P343))</f>
        <v/>
      </c>
      <c r="E343">
        <f>IF(E342&lt;=0,0,MAX(0,AJ343-Q343))</f>
        <v/>
      </c>
      <c r="F343">
        <f>IF(F342&lt;=0,0,MAX(0,AK343-R343))</f>
        <v/>
      </c>
      <c r="G343">
        <f>IF(G342&lt;=0,0,MAX(0,AL343-S343))</f>
        <v/>
      </c>
      <c r="H343">
        <f>IF(H342&lt;=0,0,MAX(0,AM343-T343))</f>
        <v/>
      </c>
      <c r="I343">
        <f>IF(I342&lt;=0,0,MAX(0,AN343-U343))</f>
        <v/>
      </c>
      <c r="J343">
        <f>IF(J342&lt;=0,0,MAX(0,AO343-V343))</f>
        <v/>
      </c>
      <c r="K343">
        <f>IF(K342&lt;=0,0,MAX(0,AP343-W343))</f>
        <v/>
      </c>
      <c r="L343">
        <f>IF(L342&lt;=0,0,MAX(0,AQ343-X343))</f>
        <v/>
      </c>
      <c r="M343">
        <f>IF(M342&lt;=0,0,MAX(0,AR343-Y343))</f>
        <v/>
      </c>
      <c r="N343">
        <f>IF(N342&lt;=0,0,MAX(0,AS343-Z343))</f>
        <v/>
      </c>
      <c r="O343">
        <f>IF(C342&lt;=0,0,MIN(AH343,C$7+IF(C$2=$AA343,$AC343,IF(C$2=$AF343,$AG343,0))))</f>
        <v/>
      </c>
      <c r="P343">
        <f>IF(D342&lt;=0,0,MIN(AI343,D$7+IF(D$2=$AA343,$AC343,IF(D$2=$AF343,$AG343,0))))</f>
        <v/>
      </c>
      <c r="Q343">
        <f>IF(E342&lt;=0,0,MIN(AJ343,E$7+IF(E$2=$AA343,$AC343,IF(E$2=$AF343,$AG343,0))))</f>
        <v/>
      </c>
      <c r="R343">
        <f>IF(F342&lt;=0,0,MIN(AK343,F$7+IF(F$2=$AA343,$AC343,IF(F$2=$AF343,$AG343,0))))</f>
        <v/>
      </c>
      <c r="S343">
        <f>IF(G342&lt;=0,0,MIN(AL343,G$7+IF(G$2=$AA343,$AC343,IF(G$2=$AF343,$AG343,0))))</f>
        <v/>
      </c>
      <c r="T343">
        <f>IF(H342&lt;=0,0,MIN(AM343,H$7+IF(H$2=$AA343,$AC343,IF(H$2=$AF343,$AG343,0))))</f>
        <v/>
      </c>
      <c r="U343">
        <f>IF(I342&lt;=0,0,MIN(AN343,I$7+IF(I$2=$AA343,$AC343,IF(I$2=$AF343,$AG343,0))))</f>
        <v/>
      </c>
      <c r="V343">
        <f>IF(J342&lt;=0,0,MIN(AO343,J$7+IF(J$2=$AA343,$AC343,IF(J$2=$AF343,$AG343,0))))</f>
        <v/>
      </c>
      <c r="W343">
        <f>IF(K342&lt;=0,0,MIN(AP343,K$7+IF(K$2=$AA343,$AC343,IF(K$2=$AF343,$AG343,0))))</f>
        <v/>
      </c>
      <c r="X343">
        <f>IF(L342&lt;=0,0,MIN(AQ343,L$7+IF(L$2=$AA343,$AC343,IF(L$2=$AF343,$AG343,0))))</f>
        <v/>
      </c>
      <c r="Y343">
        <f>IF(M342&lt;=0,0,MIN(AR343,M$7+IF(M$2=$AA343,$AC343,IF(M$2=$AF343,$AG343,0))))</f>
        <v/>
      </c>
      <c r="Z343">
        <f>IF(N342&lt;=0,0,MIN(AS343,N$7+IF(N$2=$AA343,$AC343,IF(N$2=$AF343,$AG343,0))))</f>
        <v/>
      </c>
      <c r="AA343">
        <f>IFERROR(ROUND(1/SUMPRODUCT(MAX((C342:N342&gt;0)*($C$3:$N$3&lt;=B343)/$C$2:$N$2)),0),0)</f>
        <v/>
      </c>
      <c r="AB343">
        <f>SUMPRODUCT((C342:N342&gt;0)*$C$7:$N$7)</f>
        <v/>
      </c>
      <c r="AC343">
        <f>MAX(0,Plan!$C$5-AB343)+IF(A343=Plan!$C$8,N(Plan!$C$7),0)</f>
        <v/>
      </c>
      <c r="AD343">
        <f>SUM(C343:N343)</f>
        <v/>
      </c>
      <c r="AE343">
        <f>SUM(O343:Z343)</f>
        <v/>
      </c>
      <c r="AF343">
        <f>IFERROR(ROUND(1/SUMPRODUCT(MAX((C342:N342&gt;0)*($C$3:$N$3&lt;=B343)*($C$2:$N$2&gt;AA343)/$C$2:$N$2)),0),0)</f>
        <v/>
      </c>
      <c r="AG343">
        <f>MAX(0,AC343-MAX(0,SUMPRODUCT(($C$2:$N$2=AA343)*(AH343:AS343-$C$7:$N$7))))</f>
        <v/>
      </c>
      <c r="AH343">
        <f>IF(C342&lt;=0,0,ROUND(C342*(1+IF(AND(C$6&gt;0,$B343&lt;C$6),C$4,C$5)/12),2))</f>
        <v/>
      </c>
      <c r="AI343">
        <f>IF(D342&lt;=0,0,ROUND(D342*(1+IF(AND(D$6&gt;0,$B343&lt;D$6),D$4,D$5)/12),2))</f>
        <v/>
      </c>
      <c r="AJ343">
        <f>IF(E342&lt;=0,0,ROUND(E342*(1+IF(AND(E$6&gt;0,$B343&lt;E$6),E$4,E$5)/12),2))</f>
        <v/>
      </c>
      <c r="AK343">
        <f>IF(F342&lt;=0,0,ROUND(F342*(1+IF(AND(F$6&gt;0,$B343&lt;F$6),F$4,F$5)/12),2))</f>
        <v/>
      </c>
      <c r="AL343">
        <f>IF(G342&lt;=0,0,ROUND(G342*(1+IF(AND(G$6&gt;0,$B343&lt;G$6),G$4,G$5)/12),2))</f>
        <v/>
      </c>
      <c r="AM343">
        <f>IF(H342&lt;=0,0,ROUND(H342*(1+IF(AND(H$6&gt;0,$B343&lt;H$6),H$4,H$5)/12),2))</f>
        <v/>
      </c>
      <c r="AN343">
        <f>IF(I342&lt;=0,0,ROUND(I342*(1+IF(AND(I$6&gt;0,$B343&lt;I$6),I$4,I$5)/12),2))</f>
        <v/>
      </c>
      <c r="AO343">
        <f>IF(J342&lt;=0,0,ROUND(J342*(1+IF(AND(J$6&gt;0,$B343&lt;J$6),J$4,J$5)/12),2))</f>
        <v/>
      </c>
      <c r="AP343">
        <f>IF(K342&lt;=0,0,ROUND(K342*(1+IF(AND(K$6&gt;0,$B343&lt;K$6),K$4,K$5)/12),2))</f>
        <v/>
      </c>
      <c r="AQ343">
        <f>IF(L342&lt;=0,0,ROUND(L342*(1+IF(AND(L$6&gt;0,$B343&lt;L$6),L$4,L$5)/12),2))</f>
        <v/>
      </c>
      <c r="AR343">
        <f>IF(M342&lt;=0,0,ROUND(M342*(1+IF(AND(M$6&gt;0,$B343&lt;M$6),M$4,M$5)/12),2))</f>
        <v/>
      </c>
      <c r="AS343">
        <f>IF(N342&lt;=0,0,ROUND(N342*(1+IF(AND(N$6&gt;0,$B343&lt;N$6),N$4,N$5)/12),2))</f>
        <v/>
      </c>
    </row>
    <row r="344">
      <c r="A344" t="n">
        <v>333</v>
      </c>
      <c r="B344">
        <f>EDATE(Plan!$C$6,332)</f>
        <v/>
      </c>
      <c r="C344">
        <f>IF(C343&lt;=0,0,MAX(0,AH344-O344))</f>
        <v/>
      </c>
      <c r="D344">
        <f>IF(D343&lt;=0,0,MAX(0,AI344-P344))</f>
        <v/>
      </c>
      <c r="E344">
        <f>IF(E343&lt;=0,0,MAX(0,AJ344-Q344))</f>
        <v/>
      </c>
      <c r="F344">
        <f>IF(F343&lt;=0,0,MAX(0,AK344-R344))</f>
        <v/>
      </c>
      <c r="G344">
        <f>IF(G343&lt;=0,0,MAX(0,AL344-S344))</f>
        <v/>
      </c>
      <c r="H344">
        <f>IF(H343&lt;=0,0,MAX(0,AM344-T344))</f>
        <v/>
      </c>
      <c r="I344">
        <f>IF(I343&lt;=0,0,MAX(0,AN344-U344))</f>
        <v/>
      </c>
      <c r="J344">
        <f>IF(J343&lt;=0,0,MAX(0,AO344-V344))</f>
        <v/>
      </c>
      <c r="K344">
        <f>IF(K343&lt;=0,0,MAX(0,AP344-W344))</f>
        <v/>
      </c>
      <c r="L344">
        <f>IF(L343&lt;=0,0,MAX(0,AQ344-X344))</f>
        <v/>
      </c>
      <c r="M344">
        <f>IF(M343&lt;=0,0,MAX(0,AR344-Y344))</f>
        <v/>
      </c>
      <c r="N344">
        <f>IF(N343&lt;=0,0,MAX(0,AS344-Z344))</f>
        <v/>
      </c>
      <c r="O344">
        <f>IF(C343&lt;=0,0,MIN(AH344,C$7+IF(C$2=$AA344,$AC344,IF(C$2=$AF344,$AG344,0))))</f>
        <v/>
      </c>
      <c r="P344">
        <f>IF(D343&lt;=0,0,MIN(AI344,D$7+IF(D$2=$AA344,$AC344,IF(D$2=$AF344,$AG344,0))))</f>
        <v/>
      </c>
      <c r="Q344">
        <f>IF(E343&lt;=0,0,MIN(AJ344,E$7+IF(E$2=$AA344,$AC344,IF(E$2=$AF344,$AG344,0))))</f>
        <v/>
      </c>
      <c r="R344">
        <f>IF(F343&lt;=0,0,MIN(AK344,F$7+IF(F$2=$AA344,$AC344,IF(F$2=$AF344,$AG344,0))))</f>
        <v/>
      </c>
      <c r="S344">
        <f>IF(G343&lt;=0,0,MIN(AL344,G$7+IF(G$2=$AA344,$AC344,IF(G$2=$AF344,$AG344,0))))</f>
        <v/>
      </c>
      <c r="T344">
        <f>IF(H343&lt;=0,0,MIN(AM344,H$7+IF(H$2=$AA344,$AC344,IF(H$2=$AF344,$AG344,0))))</f>
        <v/>
      </c>
      <c r="U344">
        <f>IF(I343&lt;=0,0,MIN(AN344,I$7+IF(I$2=$AA344,$AC344,IF(I$2=$AF344,$AG344,0))))</f>
        <v/>
      </c>
      <c r="V344">
        <f>IF(J343&lt;=0,0,MIN(AO344,J$7+IF(J$2=$AA344,$AC344,IF(J$2=$AF344,$AG344,0))))</f>
        <v/>
      </c>
      <c r="W344">
        <f>IF(K343&lt;=0,0,MIN(AP344,K$7+IF(K$2=$AA344,$AC344,IF(K$2=$AF344,$AG344,0))))</f>
        <v/>
      </c>
      <c r="X344">
        <f>IF(L343&lt;=0,0,MIN(AQ344,L$7+IF(L$2=$AA344,$AC344,IF(L$2=$AF344,$AG344,0))))</f>
        <v/>
      </c>
      <c r="Y344">
        <f>IF(M343&lt;=0,0,MIN(AR344,M$7+IF(M$2=$AA344,$AC344,IF(M$2=$AF344,$AG344,0))))</f>
        <v/>
      </c>
      <c r="Z344">
        <f>IF(N343&lt;=0,0,MIN(AS344,N$7+IF(N$2=$AA344,$AC344,IF(N$2=$AF344,$AG344,0))))</f>
        <v/>
      </c>
      <c r="AA344">
        <f>IFERROR(ROUND(1/SUMPRODUCT(MAX((C343:N343&gt;0)*($C$3:$N$3&lt;=B344)/$C$2:$N$2)),0),0)</f>
        <v/>
      </c>
      <c r="AB344">
        <f>SUMPRODUCT((C343:N343&gt;0)*$C$7:$N$7)</f>
        <v/>
      </c>
      <c r="AC344">
        <f>MAX(0,Plan!$C$5-AB344)+IF(A344=Plan!$C$8,N(Plan!$C$7),0)</f>
        <v/>
      </c>
      <c r="AD344">
        <f>SUM(C344:N344)</f>
        <v/>
      </c>
      <c r="AE344">
        <f>SUM(O344:Z344)</f>
        <v/>
      </c>
      <c r="AF344">
        <f>IFERROR(ROUND(1/SUMPRODUCT(MAX((C343:N343&gt;0)*($C$3:$N$3&lt;=B344)*($C$2:$N$2&gt;AA344)/$C$2:$N$2)),0),0)</f>
        <v/>
      </c>
      <c r="AG344">
        <f>MAX(0,AC344-MAX(0,SUMPRODUCT(($C$2:$N$2=AA344)*(AH344:AS344-$C$7:$N$7))))</f>
        <v/>
      </c>
      <c r="AH344">
        <f>IF(C343&lt;=0,0,ROUND(C343*(1+IF(AND(C$6&gt;0,$B344&lt;C$6),C$4,C$5)/12),2))</f>
        <v/>
      </c>
      <c r="AI344">
        <f>IF(D343&lt;=0,0,ROUND(D343*(1+IF(AND(D$6&gt;0,$B344&lt;D$6),D$4,D$5)/12),2))</f>
        <v/>
      </c>
      <c r="AJ344">
        <f>IF(E343&lt;=0,0,ROUND(E343*(1+IF(AND(E$6&gt;0,$B344&lt;E$6),E$4,E$5)/12),2))</f>
        <v/>
      </c>
      <c r="AK344">
        <f>IF(F343&lt;=0,0,ROUND(F343*(1+IF(AND(F$6&gt;0,$B344&lt;F$6),F$4,F$5)/12),2))</f>
        <v/>
      </c>
      <c r="AL344">
        <f>IF(G343&lt;=0,0,ROUND(G343*(1+IF(AND(G$6&gt;0,$B344&lt;G$6),G$4,G$5)/12),2))</f>
        <v/>
      </c>
      <c r="AM344">
        <f>IF(H343&lt;=0,0,ROUND(H343*(1+IF(AND(H$6&gt;0,$B344&lt;H$6),H$4,H$5)/12),2))</f>
        <v/>
      </c>
      <c r="AN344">
        <f>IF(I343&lt;=0,0,ROUND(I343*(1+IF(AND(I$6&gt;0,$B344&lt;I$6),I$4,I$5)/12),2))</f>
        <v/>
      </c>
      <c r="AO344">
        <f>IF(J343&lt;=0,0,ROUND(J343*(1+IF(AND(J$6&gt;0,$B344&lt;J$6),J$4,J$5)/12),2))</f>
        <v/>
      </c>
      <c r="AP344">
        <f>IF(K343&lt;=0,0,ROUND(K343*(1+IF(AND(K$6&gt;0,$B344&lt;K$6),K$4,K$5)/12),2))</f>
        <v/>
      </c>
      <c r="AQ344">
        <f>IF(L343&lt;=0,0,ROUND(L343*(1+IF(AND(L$6&gt;0,$B344&lt;L$6),L$4,L$5)/12),2))</f>
        <v/>
      </c>
      <c r="AR344">
        <f>IF(M343&lt;=0,0,ROUND(M343*(1+IF(AND(M$6&gt;0,$B344&lt;M$6),M$4,M$5)/12),2))</f>
        <v/>
      </c>
      <c r="AS344">
        <f>IF(N343&lt;=0,0,ROUND(N343*(1+IF(AND(N$6&gt;0,$B344&lt;N$6),N$4,N$5)/12),2))</f>
        <v/>
      </c>
    </row>
    <row r="345">
      <c r="A345" t="n">
        <v>334</v>
      </c>
      <c r="B345">
        <f>EDATE(Plan!$C$6,333)</f>
        <v/>
      </c>
      <c r="C345">
        <f>IF(C344&lt;=0,0,MAX(0,AH345-O345))</f>
        <v/>
      </c>
      <c r="D345">
        <f>IF(D344&lt;=0,0,MAX(0,AI345-P345))</f>
        <v/>
      </c>
      <c r="E345">
        <f>IF(E344&lt;=0,0,MAX(0,AJ345-Q345))</f>
        <v/>
      </c>
      <c r="F345">
        <f>IF(F344&lt;=0,0,MAX(0,AK345-R345))</f>
        <v/>
      </c>
      <c r="G345">
        <f>IF(G344&lt;=0,0,MAX(0,AL345-S345))</f>
        <v/>
      </c>
      <c r="H345">
        <f>IF(H344&lt;=0,0,MAX(0,AM345-T345))</f>
        <v/>
      </c>
      <c r="I345">
        <f>IF(I344&lt;=0,0,MAX(0,AN345-U345))</f>
        <v/>
      </c>
      <c r="J345">
        <f>IF(J344&lt;=0,0,MAX(0,AO345-V345))</f>
        <v/>
      </c>
      <c r="K345">
        <f>IF(K344&lt;=0,0,MAX(0,AP345-W345))</f>
        <v/>
      </c>
      <c r="L345">
        <f>IF(L344&lt;=0,0,MAX(0,AQ345-X345))</f>
        <v/>
      </c>
      <c r="M345">
        <f>IF(M344&lt;=0,0,MAX(0,AR345-Y345))</f>
        <v/>
      </c>
      <c r="N345">
        <f>IF(N344&lt;=0,0,MAX(0,AS345-Z345))</f>
        <v/>
      </c>
      <c r="O345">
        <f>IF(C344&lt;=0,0,MIN(AH345,C$7+IF(C$2=$AA345,$AC345,IF(C$2=$AF345,$AG345,0))))</f>
        <v/>
      </c>
      <c r="P345">
        <f>IF(D344&lt;=0,0,MIN(AI345,D$7+IF(D$2=$AA345,$AC345,IF(D$2=$AF345,$AG345,0))))</f>
        <v/>
      </c>
      <c r="Q345">
        <f>IF(E344&lt;=0,0,MIN(AJ345,E$7+IF(E$2=$AA345,$AC345,IF(E$2=$AF345,$AG345,0))))</f>
        <v/>
      </c>
      <c r="R345">
        <f>IF(F344&lt;=0,0,MIN(AK345,F$7+IF(F$2=$AA345,$AC345,IF(F$2=$AF345,$AG345,0))))</f>
        <v/>
      </c>
      <c r="S345">
        <f>IF(G344&lt;=0,0,MIN(AL345,G$7+IF(G$2=$AA345,$AC345,IF(G$2=$AF345,$AG345,0))))</f>
        <v/>
      </c>
      <c r="T345">
        <f>IF(H344&lt;=0,0,MIN(AM345,H$7+IF(H$2=$AA345,$AC345,IF(H$2=$AF345,$AG345,0))))</f>
        <v/>
      </c>
      <c r="U345">
        <f>IF(I344&lt;=0,0,MIN(AN345,I$7+IF(I$2=$AA345,$AC345,IF(I$2=$AF345,$AG345,0))))</f>
        <v/>
      </c>
      <c r="V345">
        <f>IF(J344&lt;=0,0,MIN(AO345,J$7+IF(J$2=$AA345,$AC345,IF(J$2=$AF345,$AG345,0))))</f>
        <v/>
      </c>
      <c r="W345">
        <f>IF(K344&lt;=0,0,MIN(AP345,K$7+IF(K$2=$AA345,$AC345,IF(K$2=$AF345,$AG345,0))))</f>
        <v/>
      </c>
      <c r="X345">
        <f>IF(L344&lt;=0,0,MIN(AQ345,L$7+IF(L$2=$AA345,$AC345,IF(L$2=$AF345,$AG345,0))))</f>
        <v/>
      </c>
      <c r="Y345">
        <f>IF(M344&lt;=0,0,MIN(AR345,M$7+IF(M$2=$AA345,$AC345,IF(M$2=$AF345,$AG345,0))))</f>
        <v/>
      </c>
      <c r="Z345">
        <f>IF(N344&lt;=0,0,MIN(AS345,N$7+IF(N$2=$AA345,$AC345,IF(N$2=$AF345,$AG345,0))))</f>
        <v/>
      </c>
      <c r="AA345">
        <f>IFERROR(ROUND(1/SUMPRODUCT(MAX((C344:N344&gt;0)*($C$3:$N$3&lt;=B345)/$C$2:$N$2)),0),0)</f>
        <v/>
      </c>
      <c r="AB345">
        <f>SUMPRODUCT((C344:N344&gt;0)*$C$7:$N$7)</f>
        <v/>
      </c>
      <c r="AC345">
        <f>MAX(0,Plan!$C$5-AB345)+IF(A345=Plan!$C$8,N(Plan!$C$7),0)</f>
        <v/>
      </c>
      <c r="AD345">
        <f>SUM(C345:N345)</f>
        <v/>
      </c>
      <c r="AE345">
        <f>SUM(O345:Z345)</f>
        <v/>
      </c>
      <c r="AF345">
        <f>IFERROR(ROUND(1/SUMPRODUCT(MAX((C344:N344&gt;0)*($C$3:$N$3&lt;=B345)*($C$2:$N$2&gt;AA345)/$C$2:$N$2)),0),0)</f>
        <v/>
      </c>
      <c r="AG345">
        <f>MAX(0,AC345-MAX(0,SUMPRODUCT(($C$2:$N$2=AA345)*(AH345:AS345-$C$7:$N$7))))</f>
        <v/>
      </c>
      <c r="AH345">
        <f>IF(C344&lt;=0,0,ROUND(C344*(1+IF(AND(C$6&gt;0,$B345&lt;C$6),C$4,C$5)/12),2))</f>
        <v/>
      </c>
      <c r="AI345">
        <f>IF(D344&lt;=0,0,ROUND(D344*(1+IF(AND(D$6&gt;0,$B345&lt;D$6),D$4,D$5)/12),2))</f>
        <v/>
      </c>
      <c r="AJ345">
        <f>IF(E344&lt;=0,0,ROUND(E344*(1+IF(AND(E$6&gt;0,$B345&lt;E$6),E$4,E$5)/12),2))</f>
        <v/>
      </c>
      <c r="AK345">
        <f>IF(F344&lt;=0,0,ROUND(F344*(1+IF(AND(F$6&gt;0,$B345&lt;F$6),F$4,F$5)/12),2))</f>
        <v/>
      </c>
      <c r="AL345">
        <f>IF(G344&lt;=0,0,ROUND(G344*(1+IF(AND(G$6&gt;0,$B345&lt;G$6),G$4,G$5)/12),2))</f>
        <v/>
      </c>
      <c r="AM345">
        <f>IF(H344&lt;=0,0,ROUND(H344*(1+IF(AND(H$6&gt;0,$B345&lt;H$6),H$4,H$5)/12),2))</f>
        <v/>
      </c>
      <c r="AN345">
        <f>IF(I344&lt;=0,0,ROUND(I344*(1+IF(AND(I$6&gt;0,$B345&lt;I$6),I$4,I$5)/12),2))</f>
        <v/>
      </c>
      <c r="AO345">
        <f>IF(J344&lt;=0,0,ROUND(J344*(1+IF(AND(J$6&gt;0,$B345&lt;J$6),J$4,J$5)/12),2))</f>
        <v/>
      </c>
      <c r="AP345">
        <f>IF(K344&lt;=0,0,ROUND(K344*(1+IF(AND(K$6&gt;0,$B345&lt;K$6),K$4,K$5)/12),2))</f>
        <v/>
      </c>
      <c r="AQ345">
        <f>IF(L344&lt;=0,0,ROUND(L344*(1+IF(AND(L$6&gt;0,$B345&lt;L$6),L$4,L$5)/12),2))</f>
        <v/>
      </c>
      <c r="AR345">
        <f>IF(M344&lt;=0,0,ROUND(M344*(1+IF(AND(M$6&gt;0,$B345&lt;M$6),M$4,M$5)/12),2))</f>
        <v/>
      </c>
      <c r="AS345">
        <f>IF(N344&lt;=0,0,ROUND(N344*(1+IF(AND(N$6&gt;0,$B345&lt;N$6),N$4,N$5)/12),2))</f>
        <v/>
      </c>
    </row>
    <row r="346">
      <c r="A346" t="n">
        <v>335</v>
      </c>
      <c r="B346">
        <f>EDATE(Plan!$C$6,334)</f>
        <v/>
      </c>
      <c r="C346">
        <f>IF(C345&lt;=0,0,MAX(0,AH346-O346))</f>
        <v/>
      </c>
      <c r="D346">
        <f>IF(D345&lt;=0,0,MAX(0,AI346-P346))</f>
        <v/>
      </c>
      <c r="E346">
        <f>IF(E345&lt;=0,0,MAX(0,AJ346-Q346))</f>
        <v/>
      </c>
      <c r="F346">
        <f>IF(F345&lt;=0,0,MAX(0,AK346-R346))</f>
        <v/>
      </c>
      <c r="G346">
        <f>IF(G345&lt;=0,0,MAX(0,AL346-S346))</f>
        <v/>
      </c>
      <c r="H346">
        <f>IF(H345&lt;=0,0,MAX(0,AM346-T346))</f>
        <v/>
      </c>
      <c r="I346">
        <f>IF(I345&lt;=0,0,MAX(0,AN346-U346))</f>
        <v/>
      </c>
      <c r="J346">
        <f>IF(J345&lt;=0,0,MAX(0,AO346-V346))</f>
        <v/>
      </c>
      <c r="K346">
        <f>IF(K345&lt;=0,0,MAX(0,AP346-W346))</f>
        <v/>
      </c>
      <c r="L346">
        <f>IF(L345&lt;=0,0,MAX(0,AQ346-X346))</f>
        <v/>
      </c>
      <c r="M346">
        <f>IF(M345&lt;=0,0,MAX(0,AR346-Y346))</f>
        <v/>
      </c>
      <c r="N346">
        <f>IF(N345&lt;=0,0,MAX(0,AS346-Z346))</f>
        <v/>
      </c>
      <c r="O346">
        <f>IF(C345&lt;=0,0,MIN(AH346,C$7+IF(C$2=$AA346,$AC346,IF(C$2=$AF346,$AG346,0))))</f>
        <v/>
      </c>
      <c r="P346">
        <f>IF(D345&lt;=0,0,MIN(AI346,D$7+IF(D$2=$AA346,$AC346,IF(D$2=$AF346,$AG346,0))))</f>
        <v/>
      </c>
      <c r="Q346">
        <f>IF(E345&lt;=0,0,MIN(AJ346,E$7+IF(E$2=$AA346,$AC346,IF(E$2=$AF346,$AG346,0))))</f>
        <v/>
      </c>
      <c r="R346">
        <f>IF(F345&lt;=0,0,MIN(AK346,F$7+IF(F$2=$AA346,$AC346,IF(F$2=$AF346,$AG346,0))))</f>
        <v/>
      </c>
      <c r="S346">
        <f>IF(G345&lt;=0,0,MIN(AL346,G$7+IF(G$2=$AA346,$AC346,IF(G$2=$AF346,$AG346,0))))</f>
        <v/>
      </c>
      <c r="T346">
        <f>IF(H345&lt;=0,0,MIN(AM346,H$7+IF(H$2=$AA346,$AC346,IF(H$2=$AF346,$AG346,0))))</f>
        <v/>
      </c>
      <c r="U346">
        <f>IF(I345&lt;=0,0,MIN(AN346,I$7+IF(I$2=$AA346,$AC346,IF(I$2=$AF346,$AG346,0))))</f>
        <v/>
      </c>
      <c r="V346">
        <f>IF(J345&lt;=0,0,MIN(AO346,J$7+IF(J$2=$AA346,$AC346,IF(J$2=$AF346,$AG346,0))))</f>
        <v/>
      </c>
      <c r="W346">
        <f>IF(K345&lt;=0,0,MIN(AP346,K$7+IF(K$2=$AA346,$AC346,IF(K$2=$AF346,$AG346,0))))</f>
        <v/>
      </c>
      <c r="X346">
        <f>IF(L345&lt;=0,0,MIN(AQ346,L$7+IF(L$2=$AA346,$AC346,IF(L$2=$AF346,$AG346,0))))</f>
        <v/>
      </c>
      <c r="Y346">
        <f>IF(M345&lt;=0,0,MIN(AR346,M$7+IF(M$2=$AA346,$AC346,IF(M$2=$AF346,$AG346,0))))</f>
        <v/>
      </c>
      <c r="Z346">
        <f>IF(N345&lt;=0,0,MIN(AS346,N$7+IF(N$2=$AA346,$AC346,IF(N$2=$AF346,$AG346,0))))</f>
        <v/>
      </c>
      <c r="AA346">
        <f>IFERROR(ROUND(1/SUMPRODUCT(MAX((C345:N345&gt;0)*($C$3:$N$3&lt;=B346)/$C$2:$N$2)),0),0)</f>
        <v/>
      </c>
      <c r="AB346">
        <f>SUMPRODUCT((C345:N345&gt;0)*$C$7:$N$7)</f>
        <v/>
      </c>
      <c r="AC346">
        <f>MAX(0,Plan!$C$5-AB346)+IF(A346=Plan!$C$8,N(Plan!$C$7),0)</f>
        <v/>
      </c>
      <c r="AD346">
        <f>SUM(C346:N346)</f>
        <v/>
      </c>
      <c r="AE346">
        <f>SUM(O346:Z346)</f>
        <v/>
      </c>
      <c r="AF346">
        <f>IFERROR(ROUND(1/SUMPRODUCT(MAX((C345:N345&gt;0)*($C$3:$N$3&lt;=B346)*($C$2:$N$2&gt;AA346)/$C$2:$N$2)),0),0)</f>
        <v/>
      </c>
      <c r="AG346">
        <f>MAX(0,AC346-MAX(0,SUMPRODUCT(($C$2:$N$2=AA346)*(AH346:AS346-$C$7:$N$7))))</f>
        <v/>
      </c>
      <c r="AH346">
        <f>IF(C345&lt;=0,0,ROUND(C345*(1+IF(AND(C$6&gt;0,$B346&lt;C$6),C$4,C$5)/12),2))</f>
        <v/>
      </c>
      <c r="AI346">
        <f>IF(D345&lt;=0,0,ROUND(D345*(1+IF(AND(D$6&gt;0,$B346&lt;D$6),D$4,D$5)/12),2))</f>
        <v/>
      </c>
      <c r="AJ346">
        <f>IF(E345&lt;=0,0,ROUND(E345*(1+IF(AND(E$6&gt;0,$B346&lt;E$6),E$4,E$5)/12),2))</f>
        <v/>
      </c>
      <c r="AK346">
        <f>IF(F345&lt;=0,0,ROUND(F345*(1+IF(AND(F$6&gt;0,$B346&lt;F$6),F$4,F$5)/12),2))</f>
        <v/>
      </c>
      <c r="AL346">
        <f>IF(G345&lt;=0,0,ROUND(G345*(1+IF(AND(G$6&gt;0,$B346&lt;G$6),G$4,G$5)/12),2))</f>
        <v/>
      </c>
      <c r="AM346">
        <f>IF(H345&lt;=0,0,ROUND(H345*(1+IF(AND(H$6&gt;0,$B346&lt;H$6),H$4,H$5)/12),2))</f>
        <v/>
      </c>
      <c r="AN346">
        <f>IF(I345&lt;=0,0,ROUND(I345*(1+IF(AND(I$6&gt;0,$B346&lt;I$6),I$4,I$5)/12),2))</f>
        <v/>
      </c>
      <c r="AO346">
        <f>IF(J345&lt;=0,0,ROUND(J345*(1+IF(AND(J$6&gt;0,$B346&lt;J$6),J$4,J$5)/12),2))</f>
        <v/>
      </c>
      <c r="AP346">
        <f>IF(K345&lt;=0,0,ROUND(K345*(1+IF(AND(K$6&gt;0,$B346&lt;K$6),K$4,K$5)/12),2))</f>
        <v/>
      </c>
      <c r="AQ346">
        <f>IF(L345&lt;=0,0,ROUND(L345*(1+IF(AND(L$6&gt;0,$B346&lt;L$6),L$4,L$5)/12),2))</f>
        <v/>
      </c>
      <c r="AR346">
        <f>IF(M345&lt;=0,0,ROUND(M345*(1+IF(AND(M$6&gt;0,$B346&lt;M$6),M$4,M$5)/12),2))</f>
        <v/>
      </c>
      <c r="AS346">
        <f>IF(N345&lt;=0,0,ROUND(N345*(1+IF(AND(N$6&gt;0,$B346&lt;N$6),N$4,N$5)/12),2))</f>
        <v/>
      </c>
    </row>
    <row r="347">
      <c r="A347" t="n">
        <v>336</v>
      </c>
      <c r="B347">
        <f>EDATE(Plan!$C$6,335)</f>
        <v/>
      </c>
      <c r="C347">
        <f>IF(C346&lt;=0,0,MAX(0,AH347-O347))</f>
        <v/>
      </c>
      <c r="D347">
        <f>IF(D346&lt;=0,0,MAX(0,AI347-P347))</f>
        <v/>
      </c>
      <c r="E347">
        <f>IF(E346&lt;=0,0,MAX(0,AJ347-Q347))</f>
        <v/>
      </c>
      <c r="F347">
        <f>IF(F346&lt;=0,0,MAX(0,AK347-R347))</f>
        <v/>
      </c>
      <c r="G347">
        <f>IF(G346&lt;=0,0,MAX(0,AL347-S347))</f>
        <v/>
      </c>
      <c r="H347">
        <f>IF(H346&lt;=0,0,MAX(0,AM347-T347))</f>
        <v/>
      </c>
      <c r="I347">
        <f>IF(I346&lt;=0,0,MAX(0,AN347-U347))</f>
        <v/>
      </c>
      <c r="J347">
        <f>IF(J346&lt;=0,0,MAX(0,AO347-V347))</f>
        <v/>
      </c>
      <c r="K347">
        <f>IF(K346&lt;=0,0,MAX(0,AP347-W347))</f>
        <v/>
      </c>
      <c r="L347">
        <f>IF(L346&lt;=0,0,MAX(0,AQ347-X347))</f>
        <v/>
      </c>
      <c r="M347">
        <f>IF(M346&lt;=0,0,MAX(0,AR347-Y347))</f>
        <v/>
      </c>
      <c r="N347">
        <f>IF(N346&lt;=0,0,MAX(0,AS347-Z347))</f>
        <v/>
      </c>
      <c r="O347">
        <f>IF(C346&lt;=0,0,MIN(AH347,C$7+IF(C$2=$AA347,$AC347,IF(C$2=$AF347,$AG347,0))))</f>
        <v/>
      </c>
      <c r="P347">
        <f>IF(D346&lt;=0,0,MIN(AI347,D$7+IF(D$2=$AA347,$AC347,IF(D$2=$AF347,$AG347,0))))</f>
        <v/>
      </c>
      <c r="Q347">
        <f>IF(E346&lt;=0,0,MIN(AJ347,E$7+IF(E$2=$AA347,$AC347,IF(E$2=$AF347,$AG347,0))))</f>
        <v/>
      </c>
      <c r="R347">
        <f>IF(F346&lt;=0,0,MIN(AK347,F$7+IF(F$2=$AA347,$AC347,IF(F$2=$AF347,$AG347,0))))</f>
        <v/>
      </c>
      <c r="S347">
        <f>IF(G346&lt;=0,0,MIN(AL347,G$7+IF(G$2=$AA347,$AC347,IF(G$2=$AF347,$AG347,0))))</f>
        <v/>
      </c>
      <c r="T347">
        <f>IF(H346&lt;=0,0,MIN(AM347,H$7+IF(H$2=$AA347,$AC347,IF(H$2=$AF347,$AG347,0))))</f>
        <v/>
      </c>
      <c r="U347">
        <f>IF(I346&lt;=0,0,MIN(AN347,I$7+IF(I$2=$AA347,$AC347,IF(I$2=$AF347,$AG347,0))))</f>
        <v/>
      </c>
      <c r="V347">
        <f>IF(J346&lt;=0,0,MIN(AO347,J$7+IF(J$2=$AA347,$AC347,IF(J$2=$AF347,$AG347,0))))</f>
        <v/>
      </c>
      <c r="W347">
        <f>IF(K346&lt;=0,0,MIN(AP347,K$7+IF(K$2=$AA347,$AC347,IF(K$2=$AF347,$AG347,0))))</f>
        <v/>
      </c>
      <c r="X347">
        <f>IF(L346&lt;=0,0,MIN(AQ347,L$7+IF(L$2=$AA347,$AC347,IF(L$2=$AF347,$AG347,0))))</f>
        <v/>
      </c>
      <c r="Y347">
        <f>IF(M346&lt;=0,0,MIN(AR347,M$7+IF(M$2=$AA347,$AC347,IF(M$2=$AF347,$AG347,0))))</f>
        <v/>
      </c>
      <c r="Z347">
        <f>IF(N346&lt;=0,0,MIN(AS347,N$7+IF(N$2=$AA347,$AC347,IF(N$2=$AF347,$AG347,0))))</f>
        <v/>
      </c>
      <c r="AA347">
        <f>IFERROR(ROUND(1/SUMPRODUCT(MAX((C346:N346&gt;0)*($C$3:$N$3&lt;=B347)/$C$2:$N$2)),0),0)</f>
        <v/>
      </c>
      <c r="AB347">
        <f>SUMPRODUCT((C346:N346&gt;0)*$C$7:$N$7)</f>
        <v/>
      </c>
      <c r="AC347">
        <f>MAX(0,Plan!$C$5-AB347)+IF(A347=Plan!$C$8,N(Plan!$C$7),0)</f>
        <v/>
      </c>
      <c r="AD347">
        <f>SUM(C347:N347)</f>
        <v/>
      </c>
      <c r="AE347">
        <f>SUM(O347:Z347)</f>
        <v/>
      </c>
      <c r="AF347">
        <f>IFERROR(ROUND(1/SUMPRODUCT(MAX((C346:N346&gt;0)*($C$3:$N$3&lt;=B347)*($C$2:$N$2&gt;AA347)/$C$2:$N$2)),0),0)</f>
        <v/>
      </c>
      <c r="AG347">
        <f>MAX(0,AC347-MAX(0,SUMPRODUCT(($C$2:$N$2=AA347)*(AH347:AS347-$C$7:$N$7))))</f>
        <v/>
      </c>
      <c r="AH347">
        <f>IF(C346&lt;=0,0,ROUND(C346*(1+IF(AND(C$6&gt;0,$B347&lt;C$6),C$4,C$5)/12),2))</f>
        <v/>
      </c>
      <c r="AI347">
        <f>IF(D346&lt;=0,0,ROUND(D346*(1+IF(AND(D$6&gt;0,$B347&lt;D$6),D$4,D$5)/12),2))</f>
        <v/>
      </c>
      <c r="AJ347">
        <f>IF(E346&lt;=0,0,ROUND(E346*(1+IF(AND(E$6&gt;0,$B347&lt;E$6),E$4,E$5)/12),2))</f>
        <v/>
      </c>
      <c r="AK347">
        <f>IF(F346&lt;=0,0,ROUND(F346*(1+IF(AND(F$6&gt;0,$B347&lt;F$6),F$4,F$5)/12),2))</f>
        <v/>
      </c>
      <c r="AL347">
        <f>IF(G346&lt;=0,0,ROUND(G346*(1+IF(AND(G$6&gt;0,$B347&lt;G$6),G$4,G$5)/12),2))</f>
        <v/>
      </c>
      <c r="AM347">
        <f>IF(H346&lt;=0,0,ROUND(H346*(1+IF(AND(H$6&gt;0,$B347&lt;H$6),H$4,H$5)/12),2))</f>
        <v/>
      </c>
      <c r="AN347">
        <f>IF(I346&lt;=0,0,ROUND(I346*(1+IF(AND(I$6&gt;0,$B347&lt;I$6),I$4,I$5)/12),2))</f>
        <v/>
      </c>
      <c r="AO347">
        <f>IF(J346&lt;=0,0,ROUND(J346*(1+IF(AND(J$6&gt;0,$B347&lt;J$6),J$4,J$5)/12),2))</f>
        <v/>
      </c>
      <c r="AP347">
        <f>IF(K346&lt;=0,0,ROUND(K346*(1+IF(AND(K$6&gt;0,$B347&lt;K$6),K$4,K$5)/12),2))</f>
        <v/>
      </c>
      <c r="AQ347">
        <f>IF(L346&lt;=0,0,ROUND(L346*(1+IF(AND(L$6&gt;0,$B347&lt;L$6),L$4,L$5)/12),2))</f>
        <v/>
      </c>
      <c r="AR347">
        <f>IF(M346&lt;=0,0,ROUND(M346*(1+IF(AND(M$6&gt;0,$B347&lt;M$6),M$4,M$5)/12),2))</f>
        <v/>
      </c>
      <c r="AS347">
        <f>IF(N346&lt;=0,0,ROUND(N346*(1+IF(AND(N$6&gt;0,$B347&lt;N$6),N$4,N$5)/12),2))</f>
        <v/>
      </c>
    </row>
    <row r="348">
      <c r="A348" t="n">
        <v>337</v>
      </c>
      <c r="B348">
        <f>EDATE(Plan!$C$6,336)</f>
        <v/>
      </c>
      <c r="C348">
        <f>IF(C347&lt;=0,0,MAX(0,AH348-O348))</f>
        <v/>
      </c>
      <c r="D348">
        <f>IF(D347&lt;=0,0,MAX(0,AI348-P348))</f>
        <v/>
      </c>
      <c r="E348">
        <f>IF(E347&lt;=0,0,MAX(0,AJ348-Q348))</f>
        <v/>
      </c>
      <c r="F348">
        <f>IF(F347&lt;=0,0,MAX(0,AK348-R348))</f>
        <v/>
      </c>
      <c r="G348">
        <f>IF(G347&lt;=0,0,MAX(0,AL348-S348))</f>
        <v/>
      </c>
      <c r="H348">
        <f>IF(H347&lt;=0,0,MAX(0,AM348-T348))</f>
        <v/>
      </c>
      <c r="I348">
        <f>IF(I347&lt;=0,0,MAX(0,AN348-U348))</f>
        <v/>
      </c>
      <c r="J348">
        <f>IF(J347&lt;=0,0,MAX(0,AO348-V348))</f>
        <v/>
      </c>
      <c r="K348">
        <f>IF(K347&lt;=0,0,MAX(0,AP348-W348))</f>
        <v/>
      </c>
      <c r="L348">
        <f>IF(L347&lt;=0,0,MAX(0,AQ348-X348))</f>
        <v/>
      </c>
      <c r="M348">
        <f>IF(M347&lt;=0,0,MAX(0,AR348-Y348))</f>
        <v/>
      </c>
      <c r="N348">
        <f>IF(N347&lt;=0,0,MAX(0,AS348-Z348))</f>
        <v/>
      </c>
      <c r="O348">
        <f>IF(C347&lt;=0,0,MIN(AH348,C$7+IF(C$2=$AA348,$AC348,IF(C$2=$AF348,$AG348,0))))</f>
        <v/>
      </c>
      <c r="P348">
        <f>IF(D347&lt;=0,0,MIN(AI348,D$7+IF(D$2=$AA348,$AC348,IF(D$2=$AF348,$AG348,0))))</f>
        <v/>
      </c>
      <c r="Q348">
        <f>IF(E347&lt;=0,0,MIN(AJ348,E$7+IF(E$2=$AA348,$AC348,IF(E$2=$AF348,$AG348,0))))</f>
        <v/>
      </c>
      <c r="R348">
        <f>IF(F347&lt;=0,0,MIN(AK348,F$7+IF(F$2=$AA348,$AC348,IF(F$2=$AF348,$AG348,0))))</f>
        <v/>
      </c>
      <c r="S348">
        <f>IF(G347&lt;=0,0,MIN(AL348,G$7+IF(G$2=$AA348,$AC348,IF(G$2=$AF348,$AG348,0))))</f>
        <v/>
      </c>
      <c r="T348">
        <f>IF(H347&lt;=0,0,MIN(AM348,H$7+IF(H$2=$AA348,$AC348,IF(H$2=$AF348,$AG348,0))))</f>
        <v/>
      </c>
      <c r="U348">
        <f>IF(I347&lt;=0,0,MIN(AN348,I$7+IF(I$2=$AA348,$AC348,IF(I$2=$AF348,$AG348,0))))</f>
        <v/>
      </c>
      <c r="V348">
        <f>IF(J347&lt;=0,0,MIN(AO348,J$7+IF(J$2=$AA348,$AC348,IF(J$2=$AF348,$AG348,0))))</f>
        <v/>
      </c>
      <c r="W348">
        <f>IF(K347&lt;=0,0,MIN(AP348,K$7+IF(K$2=$AA348,$AC348,IF(K$2=$AF348,$AG348,0))))</f>
        <v/>
      </c>
      <c r="X348">
        <f>IF(L347&lt;=0,0,MIN(AQ348,L$7+IF(L$2=$AA348,$AC348,IF(L$2=$AF348,$AG348,0))))</f>
        <v/>
      </c>
      <c r="Y348">
        <f>IF(M347&lt;=0,0,MIN(AR348,M$7+IF(M$2=$AA348,$AC348,IF(M$2=$AF348,$AG348,0))))</f>
        <v/>
      </c>
      <c r="Z348">
        <f>IF(N347&lt;=0,0,MIN(AS348,N$7+IF(N$2=$AA348,$AC348,IF(N$2=$AF348,$AG348,0))))</f>
        <v/>
      </c>
      <c r="AA348">
        <f>IFERROR(ROUND(1/SUMPRODUCT(MAX((C347:N347&gt;0)*($C$3:$N$3&lt;=B348)/$C$2:$N$2)),0),0)</f>
        <v/>
      </c>
      <c r="AB348">
        <f>SUMPRODUCT((C347:N347&gt;0)*$C$7:$N$7)</f>
        <v/>
      </c>
      <c r="AC348">
        <f>MAX(0,Plan!$C$5-AB348)+IF(A348=Plan!$C$8,N(Plan!$C$7),0)</f>
        <v/>
      </c>
      <c r="AD348">
        <f>SUM(C348:N348)</f>
        <v/>
      </c>
      <c r="AE348">
        <f>SUM(O348:Z348)</f>
        <v/>
      </c>
      <c r="AF348">
        <f>IFERROR(ROUND(1/SUMPRODUCT(MAX((C347:N347&gt;0)*($C$3:$N$3&lt;=B348)*($C$2:$N$2&gt;AA348)/$C$2:$N$2)),0),0)</f>
        <v/>
      </c>
      <c r="AG348">
        <f>MAX(0,AC348-MAX(0,SUMPRODUCT(($C$2:$N$2=AA348)*(AH348:AS348-$C$7:$N$7))))</f>
        <v/>
      </c>
      <c r="AH348">
        <f>IF(C347&lt;=0,0,ROUND(C347*(1+IF(AND(C$6&gt;0,$B348&lt;C$6),C$4,C$5)/12),2))</f>
        <v/>
      </c>
      <c r="AI348">
        <f>IF(D347&lt;=0,0,ROUND(D347*(1+IF(AND(D$6&gt;0,$B348&lt;D$6),D$4,D$5)/12),2))</f>
        <v/>
      </c>
      <c r="AJ348">
        <f>IF(E347&lt;=0,0,ROUND(E347*(1+IF(AND(E$6&gt;0,$B348&lt;E$6),E$4,E$5)/12),2))</f>
        <v/>
      </c>
      <c r="AK348">
        <f>IF(F347&lt;=0,0,ROUND(F347*(1+IF(AND(F$6&gt;0,$B348&lt;F$6),F$4,F$5)/12),2))</f>
        <v/>
      </c>
      <c r="AL348">
        <f>IF(G347&lt;=0,0,ROUND(G347*(1+IF(AND(G$6&gt;0,$B348&lt;G$6),G$4,G$5)/12),2))</f>
        <v/>
      </c>
      <c r="AM348">
        <f>IF(H347&lt;=0,0,ROUND(H347*(1+IF(AND(H$6&gt;0,$B348&lt;H$6),H$4,H$5)/12),2))</f>
        <v/>
      </c>
      <c r="AN348">
        <f>IF(I347&lt;=0,0,ROUND(I347*(1+IF(AND(I$6&gt;0,$B348&lt;I$6),I$4,I$5)/12),2))</f>
        <v/>
      </c>
      <c r="AO348">
        <f>IF(J347&lt;=0,0,ROUND(J347*(1+IF(AND(J$6&gt;0,$B348&lt;J$6),J$4,J$5)/12),2))</f>
        <v/>
      </c>
      <c r="AP348">
        <f>IF(K347&lt;=0,0,ROUND(K347*(1+IF(AND(K$6&gt;0,$B348&lt;K$6),K$4,K$5)/12),2))</f>
        <v/>
      </c>
      <c r="AQ348">
        <f>IF(L347&lt;=0,0,ROUND(L347*(1+IF(AND(L$6&gt;0,$B348&lt;L$6),L$4,L$5)/12),2))</f>
        <v/>
      </c>
      <c r="AR348">
        <f>IF(M347&lt;=0,0,ROUND(M347*(1+IF(AND(M$6&gt;0,$B348&lt;M$6),M$4,M$5)/12),2))</f>
        <v/>
      </c>
      <c r="AS348">
        <f>IF(N347&lt;=0,0,ROUND(N347*(1+IF(AND(N$6&gt;0,$B348&lt;N$6),N$4,N$5)/12),2))</f>
        <v/>
      </c>
    </row>
    <row r="349">
      <c r="A349" t="n">
        <v>338</v>
      </c>
      <c r="B349">
        <f>EDATE(Plan!$C$6,337)</f>
        <v/>
      </c>
      <c r="C349">
        <f>IF(C348&lt;=0,0,MAX(0,AH349-O349))</f>
        <v/>
      </c>
      <c r="D349">
        <f>IF(D348&lt;=0,0,MAX(0,AI349-P349))</f>
        <v/>
      </c>
      <c r="E349">
        <f>IF(E348&lt;=0,0,MAX(0,AJ349-Q349))</f>
        <v/>
      </c>
      <c r="F349">
        <f>IF(F348&lt;=0,0,MAX(0,AK349-R349))</f>
        <v/>
      </c>
      <c r="G349">
        <f>IF(G348&lt;=0,0,MAX(0,AL349-S349))</f>
        <v/>
      </c>
      <c r="H349">
        <f>IF(H348&lt;=0,0,MAX(0,AM349-T349))</f>
        <v/>
      </c>
      <c r="I349">
        <f>IF(I348&lt;=0,0,MAX(0,AN349-U349))</f>
        <v/>
      </c>
      <c r="J349">
        <f>IF(J348&lt;=0,0,MAX(0,AO349-V349))</f>
        <v/>
      </c>
      <c r="K349">
        <f>IF(K348&lt;=0,0,MAX(0,AP349-W349))</f>
        <v/>
      </c>
      <c r="L349">
        <f>IF(L348&lt;=0,0,MAX(0,AQ349-X349))</f>
        <v/>
      </c>
      <c r="M349">
        <f>IF(M348&lt;=0,0,MAX(0,AR349-Y349))</f>
        <v/>
      </c>
      <c r="N349">
        <f>IF(N348&lt;=0,0,MAX(0,AS349-Z349))</f>
        <v/>
      </c>
      <c r="O349">
        <f>IF(C348&lt;=0,0,MIN(AH349,C$7+IF(C$2=$AA349,$AC349,IF(C$2=$AF349,$AG349,0))))</f>
        <v/>
      </c>
      <c r="P349">
        <f>IF(D348&lt;=0,0,MIN(AI349,D$7+IF(D$2=$AA349,$AC349,IF(D$2=$AF349,$AG349,0))))</f>
        <v/>
      </c>
      <c r="Q349">
        <f>IF(E348&lt;=0,0,MIN(AJ349,E$7+IF(E$2=$AA349,$AC349,IF(E$2=$AF349,$AG349,0))))</f>
        <v/>
      </c>
      <c r="R349">
        <f>IF(F348&lt;=0,0,MIN(AK349,F$7+IF(F$2=$AA349,$AC349,IF(F$2=$AF349,$AG349,0))))</f>
        <v/>
      </c>
      <c r="S349">
        <f>IF(G348&lt;=0,0,MIN(AL349,G$7+IF(G$2=$AA349,$AC349,IF(G$2=$AF349,$AG349,0))))</f>
        <v/>
      </c>
      <c r="T349">
        <f>IF(H348&lt;=0,0,MIN(AM349,H$7+IF(H$2=$AA349,$AC349,IF(H$2=$AF349,$AG349,0))))</f>
        <v/>
      </c>
      <c r="U349">
        <f>IF(I348&lt;=0,0,MIN(AN349,I$7+IF(I$2=$AA349,$AC349,IF(I$2=$AF349,$AG349,0))))</f>
        <v/>
      </c>
      <c r="V349">
        <f>IF(J348&lt;=0,0,MIN(AO349,J$7+IF(J$2=$AA349,$AC349,IF(J$2=$AF349,$AG349,0))))</f>
        <v/>
      </c>
      <c r="W349">
        <f>IF(K348&lt;=0,0,MIN(AP349,K$7+IF(K$2=$AA349,$AC349,IF(K$2=$AF349,$AG349,0))))</f>
        <v/>
      </c>
      <c r="X349">
        <f>IF(L348&lt;=0,0,MIN(AQ349,L$7+IF(L$2=$AA349,$AC349,IF(L$2=$AF349,$AG349,0))))</f>
        <v/>
      </c>
      <c r="Y349">
        <f>IF(M348&lt;=0,0,MIN(AR349,M$7+IF(M$2=$AA349,$AC349,IF(M$2=$AF349,$AG349,0))))</f>
        <v/>
      </c>
      <c r="Z349">
        <f>IF(N348&lt;=0,0,MIN(AS349,N$7+IF(N$2=$AA349,$AC349,IF(N$2=$AF349,$AG349,0))))</f>
        <v/>
      </c>
      <c r="AA349">
        <f>IFERROR(ROUND(1/SUMPRODUCT(MAX((C348:N348&gt;0)*($C$3:$N$3&lt;=B349)/$C$2:$N$2)),0),0)</f>
        <v/>
      </c>
      <c r="AB349">
        <f>SUMPRODUCT((C348:N348&gt;0)*$C$7:$N$7)</f>
        <v/>
      </c>
      <c r="AC349">
        <f>MAX(0,Plan!$C$5-AB349)+IF(A349=Plan!$C$8,N(Plan!$C$7),0)</f>
        <v/>
      </c>
      <c r="AD349">
        <f>SUM(C349:N349)</f>
        <v/>
      </c>
      <c r="AE349">
        <f>SUM(O349:Z349)</f>
        <v/>
      </c>
      <c r="AF349">
        <f>IFERROR(ROUND(1/SUMPRODUCT(MAX((C348:N348&gt;0)*($C$3:$N$3&lt;=B349)*($C$2:$N$2&gt;AA349)/$C$2:$N$2)),0),0)</f>
        <v/>
      </c>
      <c r="AG349">
        <f>MAX(0,AC349-MAX(0,SUMPRODUCT(($C$2:$N$2=AA349)*(AH349:AS349-$C$7:$N$7))))</f>
        <v/>
      </c>
      <c r="AH349">
        <f>IF(C348&lt;=0,0,ROUND(C348*(1+IF(AND(C$6&gt;0,$B349&lt;C$6),C$4,C$5)/12),2))</f>
        <v/>
      </c>
      <c r="AI349">
        <f>IF(D348&lt;=0,0,ROUND(D348*(1+IF(AND(D$6&gt;0,$B349&lt;D$6),D$4,D$5)/12),2))</f>
        <v/>
      </c>
      <c r="AJ349">
        <f>IF(E348&lt;=0,0,ROUND(E348*(1+IF(AND(E$6&gt;0,$B349&lt;E$6),E$4,E$5)/12),2))</f>
        <v/>
      </c>
      <c r="AK349">
        <f>IF(F348&lt;=0,0,ROUND(F348*(1+IF(AND(F$6&gt;0,$B349&lt;F$6),F$4,F$5)/12),2))</f>
        <v/>
      </c>
      <c r="AL349">
        <f>IF(G348&lt;=0,0,ROUND(G348*(1+IF(AND(G$6&gt;0,$B349&lt;G$6),G$4,G$5)/12),2))</f>
        <v/>
      </c>
      <c r="AM349">
        <f>IF(H348&lt;=0,0,ROUND(H348*(1+IF(AND(H$6&gt;0,$B349&lt;H$6),H$4,H$5)/12),2))</f>
        <v/>
      </c>
      <c r="AN349">
        <f>IF(I348&lt;=0,0,ROUND(I348*(1+IF(AND(I$6&gt;0,$B349&lt;I$6),I$4,I$5)/12),2))</f>
        <v/>
      </c>
      <c r="AO349">
        <f>IF(J348&lt;=0,0,ROUND(J348*(1+IF(AND(J$6&gt;0,$B349&lt;J$6),J$4,J$5)/12),2))</f>
        <v/>
      </c>
      <c r="AP349">
        <f>IF(K348&lt;=0,0,ROUND(K348*(1+IF(AND(K$6&gt;0,$B349&lt;K$6),K$4,K$5)/12),2))</f>
        <v/>
      </c>
      <c r="AQ349">
        <f>IF(L348&lt;=0,0,ROUND(L348*(1+IF(AND(L$6&gt;0,$B349&lt;L$6),L$4,L$5)/12),2))</f>
        <v/>
      </c>
      <c r="AR349">
        <f>IF(M348&lt;=0,0,ROUND(M348*(1+IF(AND(M$6&gt;0,$B349&lt;M$6),M$4,M$5)/12),2))</f>
        <v/>
      </c>
      <c r="AS349">
        <f>IF(N348&lt;=0,0,ROUND(N348*(1+IF(AND(N$6&gt;0,$B349&lt;N$6),N$4,N$5)/12),2))</f>
        <v/>
      </c>
    </row>
    <row r="350">
      <c r="A350" t="n">
        <v>339</v>
      </c>
      <c r="B350">
        <f>EDATE(Plan!$C$6,338)</f>
        <v/>
      </c>
      <c r="C350">
        <f>IF(C349&lt;=0,0,MAX(0,AH350-O350))</f>
        <v/>
      </c>
      <c r="D350">
        <f>IF(D349&lt;=0,0,MAX(0,AI350-P350))</f>
        <v/>
      </c>
      <c r="E350">
        <f>IF(E349&lt;=0,0,MAX(0,AJ350-Q350))</f>
        <v/>
      </c>
      <c r="F350">
        <f>IF(F349&lt;=0,0,MAX(0,AK350-R350))</f>
        <v/>
      </c>
      <c r="G350">
        <f>IF(G349&lt;=0,0,MAX(0,AL350-S350))</f>
        <v/>
      </c>
      <c r="H350">
        <f>IF(H349&lt;=0,0,MAX(0,AM350-T350))</f>
        <v/>
      </c>
      <c r="I350">
        <f>IF(I349&lt;=0,0,MAX(0,AN350-U350))</f>
        <v/>
      </c>
      <c r="J350">
        <f>IF(J349&lt;=0,0,MAX(0,AO350-V350))</f>
        <v/>
      </c>
      <c r="K350">
        <f>IF(K349&lt;=0,0,MAX(0,AP350-W350))</f>
        <v/>
      </c>
      <c r="L350">
        <f>IF(L349&lt;=0,0,MAX(0,AQ350-X350))</f>
        <v/>
      </c>
      <c r="M350">
        <f>IF(M349&lt;=0,0,MAX(0,AR350-Y350))</f>
        <v/>
      </c>
      <c r="N350">
        <f>IF(N349&lt;=0,0,MAX(0,AS350-Z350))</f>
        <v/>
      </c>
      <c r="O350">
        <f>IF(C349&lt;=0,0,MIN(AH350,C$7+IF(C$2=$AA350,$AC350,IF(C$2=$AF350,$AG350,0))))</f>
        <v/>
      </c>
      <c r="P350">
        <f>IF(D349&lt;=0,0,MIN(AI350,D$7+IF(D$2=$AA350,$AC350,IF(D$2=$AF350,$AG350,0))))</f>
        <v/>
      </c>
      <c r="Q350">
        <f>IF(E349&lt;=0,0,MIN(AJ350,E$7+IF(E$2=$AA350,$AC350,IF(E$2=$AF350,$AG350,0))))</f>
        <v/>
      </c>
      <c r="R350">
        <f>IF(F349&lt;=0,0,MIN(AK350,F$7+IF(F$2=$AA350,$AC350,IF(F$2=$AF350,$AG350,0))))</f>
        <v/>
      </c>
      <c r="S350">
        <f>IF(G349&lt;=0,0,MIN(AL350,G$7+IF(G$2=$AA350,$AC350,IF(G$2=$AF350,$AG350,0))))</f>
        <v/>
      </c>
      <c r="T350">
        <f>IF(H349&lt;=0,0,MIN(AM350,H$7+IF(H$2=$AA350,$AC350,IF(H$2=$AF350,$AG350,0))))</f>
        <v/>
      </c>
      <c r="U350">
        <f>IF(I349&lt;=0,0,MIN(AN350,I$7+IF(I$2=$AA350,$AC350,IF(I$2=$AF350,$AG350,0))))</f>
        <v/>
      </c>
      <c r="V350">
        <f>IF(J349&lt;=0,0,MIN(AO350,J$7+IF(J$2=$AA350,$AC350,IF(J$2=$AF350,$AG350,0))))</f>
        <v/>
      </c>
      <c r="W350">
        <f>IF(K349&lt;=0,0,MIN(AP350,K$7+IF(K$2=$AA350,$AC350,IF(K$2=$AF350,$AG350,0))))</f>
        <v/>
      </c>
      <c r="X350">
        <f>IF(L349&lt;=0,0,MIN(AQ350,L$7+IF(L$2=$AA350,$AC350,IF(L$2=$AF350,$AG350,0))))</f>
        <v/>
      </c>
      <c r="Y350">
        <f>IF(M349&lt;=0,0,MIN(AR350,M$7+IF(M$2=$AA350,$AC350,IF(M$2=$AF350,$AG350,0))))</f>
        <v/>
      </c>
      <c r="Z350">
        <f>IF(N349&lt;=0,0,MIN(AS350,N$7+IF(N$2=$AA350,$AC350,IF(N$2=$AF350,$AG350,0))))</f>
        <v/>
      </c>
      <c r="AA350">
        <f>IFERROR(ROUND(1/SUMPRODUCT(MAX((C349:N349&gt;0)*($C$3:$N$3&lt;=B350)/$C$2:$N$2)),0),0)</f>
        <v/>
      </c>
      <c r="AB350">
        <f>SUMPRODUCT((C349:N349&gt;0)*$C$7:$N$7)</f>
        <v/>
      </c>
      <c r="AC350">
        <f>MAX(0,Plan!$C$5-AB350)+IF(A350=Plan!$C$8,N(Plan!$C$7),0)</f>
        <v/>
      </c>
      <c r="AD350">
        <f>SUM(C350:N350)</f>
        <v/>
      </c>
      <c r="AE350">
        <f>SUM(O350:Z350)</f>
        <v/>
      </c>
      <c r="AF350">
        <f>IFERROR(ROUND(1/SUMPRODUCT(MAX((C349:N349&gt;0)*($C$3:$N$3&lt;=B350)*($C$2:$N$2&gt;AA350)/$C$2:$N$2)),0),0)</f>
        <v/>
      </c>
      <c r="AG350">
        <f>MAX(0,AC350-MAX(0,SUMPRODUCT(($C$2:$N$2=AA350)*(AH350:AS350-$C$7:$N$7))))</f>
        <v/>
      </c>
      <c r="AH350">
        <f>IF(C349&lt;=0,0,ROUND(C349*(1+IF(AND(C$6&gt;0,$B350&lt;C$6),C$4,C$5)/12),2))</f>
        <v/>
      </c>
      <c r="AI350">
        <f>IF(D349&lt;=0,0,ROUND(D349*(1+IF(AND(D$6&gt;0,$B350&lt;D$6),D$4,D$5)/12),2))</f>
        <v/>
      </c>
      <c r="AJ350">
        <f>IF(E349&lt;=0,0,ROUND(E349*(1+IF(AND(E$6&gt;0,$B350&lt;E$6),E$4,E$5)/12),2))</f>
        <v/>
      </c>
      <c r="AK350">
        <f>IF(F349&lt;=0,0,ROUND(F349*(1+IF(AND(F$6&gt;0,$B350&lt;F$6),F$4,F$5)/12),2))</f>
        <v/>
      </c>
      <c r="AL350">
        <f>IF(G349&lt;=0,0,ROUND(G349*(1+IF(AND(G$6&gt;0,$B350&lt;G$6),G$4,G$5)/12),2))</f>
        <v/>
      </c>
      <c r="AM350">
        <f>IF(H349&lt;=0,0,ROUND(H349*(1+IF(AND(H$6&gt;0,$B350&lt;H$6),H$4,H$5)/12),2))</f>
        <v/>
      </c>
      <c r="AN350">
        <f>IF(I349&lt;=0,0,ROUND(I349*(1+IF(AND(I$6&gt;0,$B350&lt;I$6),I$4,I$5)/12),2))</f>
        <v/>
      </c>
      <c r="AO350">
        <f>IF(J349&lt;=0,0,ROUND(J349*(1+IF(AND(J$6&gt;0,$B350&lt;J$6),J$4,J$5)/12),2))</f>
        <v/>
      </c>
      <c r="AP350">
        <f>IF(K349&lt;=0,0,ROUND(K349*(1+IF(AND(K$6&gt;0,$B350&lt;K$6),K$4,K$5)/12),2))</f>
        <v/>
      </c>
      <c r="AQ350">
        <f>IF(L349&lt;=0,0,ROUND(L349*(1+IF(AND(L$6&gt;0,$B350&lt;L$6),L$4,L$5)/12),2))</f>
        <v/>
      </c>
      <c r="AR350">
        <f>IF(M349&lt;=0,0,ROUND(M349*(1+IF(AND(M$6&gt;0,$B350&lt;M$6),M$4,M$5)/12),2))</f>
        <v/>
      </c>
      <c r="AS350">
        <f>IF(N349&lt;=0,0,ROUND(N349*(1+IF(AND(N$6&gt;0,$B350&lt;N$6),N$4,N$5)/12),2))</f>
        <v/>
      </c>
    </row>
    <row r="351">
      <c r="A351" t="n">
        <v>340</v>
      </c>
      <c r="B351">
        <f>EDATE(Plan!$C$6,339)</f>
        <v/>
      </c>
      <c r="C351">
        <f>IF(C350&lt;=0,0,MAX(0,AH351-O351))</f>
        <v/>
      </c>
      <c r="D351">
        <f>IF(D350&lt;=0,0,MAX(0,AI351-P351))</f>
        <v/>
      </c>
      <c r="E351">
        <f>IF(E350&lt;=0,0,MAX(0,AJ351-Q351))</f>
        <v/>
      </c>
      <c r="F351">
        <f>IF(F350&lt;=0,0,MAX(0,AK351-R351))</f>
        <v/>
      </c>
      <c r="G351">
        <f>IF(G350&lt;=0,0,MAX(0,AL351-S351))</f>
        <v/>
      </c>
      <c r="H351">
        <f>IF(H350&lt;=0,0,MAX(0,AM351-T351))</f>
        <v/>
      </c>
      <c r="I351">
        <f>IF(I350&lt;=0,0,MAX(0,AN351-U351))</f>
        <v/>
      </c>
      <c r="J351">
        <f>IF(J350&lt;=0,0,MAX(0,AO351-V351))</f>
        <v/>
      </c>
      <c r="K351">
        <f>IF(K350&lt;=0,0,MAX(0,AP351-W351))</f>
        <v/>
      </c>
      <c r="L351">
        <f>IF(L350&lt;=0,0,MAX(0,AQ351-X351))</f>
        <v/>
      </c>
      <c r="M351">
        <f>IF(M350&lt;=0,0,MAX(0,AR351-Y351))</f>
        <v/>
      </c>
      <c r="N351">
        <f>IF(N350&lt;=0,0,MAX(0,AS351-Z351))</f>
        <v/>
      </c>
      <c r="O351">
        <f>IF(C350&lt;=0,0,MIN(AH351,C$7+IF(C$2=$AA351,$AC351,IF(C$2=$AF351,$AG351,0))))</f>
        <v/>
      </c>
      <c r="P351">
        <f>IF(D350&lt;=0,0,MIN(AI351,D$7+IF(D$2=$AA351,$AC351,IF(D$2=$AF351,$AG351,0))))</f>
        <v/>
      </c>
      <c r="Q351">
        <f>IF(E350&lt;=0,0,MIN(AJ351,E$7+IF(E$2=$AA351,$AC351,IF(E$2=$AF351,$AG351,0))))</f>
        <v/>
      </c>
      <c r="R351">
        <f>IF(F350&lt;=0,0,MIN(AK351,F$7+IF(F$2=$AA351,$AC351,IF(F$2=$AF351,$AG351,0))))</f>
        <v/>
      </c>
      <c r="S351">
        <f>IF(G350&lt;=0,0,MIN(AL351,G$7+IF(G$2=$AA351,$AC351,IF(G$2=$AF351,$AG351,0))))</f>
        <v/>
      </c>
      <c r="T351">
        <f>IF(H350&lt;=0,0,MIN(AM351,H$7+IF(H$2=$AA351,$AC351,IF(H$2=$AF351,$AG351,0))))</f>
        <v/>
      </c>
      <c r="U351">
        <f>IF(I350&lt;=0,0,MIN(AN351,I$7+IF(I$2=$AA351,$AC351,IF(I$2=$AF351,$AG351,0))))</f>
        <v/>
      </c>
      <c r="V351">
        <f>IF(J350&lt;=0,0,MIN(AO351,J$7+IF(J$2=$AA351,$AC351,IF(J$2=$AF351,$AG351,0))))</f>
        <v/>
      </c>
      <c r="W351">
        <f>IF(K350&lt;=0,0,MIN(AP351,K$7+IF(K$2=$AA351,$AC351,IF(K$2=$AF351,$AG351,0))))</f>
        <v/>
      </c>
      <c r="X351">
        <f>IF(L350&lt;=0,0,MIN(AQ351,L$7+IF(L$2=$AA351,$AC351,IF(L$2=$AF351,$AG351,0))))</f>
        <v/>
      </c>
      <c r="Y351">
        <f>IF(M350&lt;=0,0,MIN(AR351,M$7+IF(M$2=$AA351,$AC351,IF(M$2=$AF351,$AG351,0))))</f>
        <v/>
      </c>
      <c r="Z351">
        <f>IF(N350&lt;=0,0,MIN(AS351,N$7+IF(N$2=$AA351,$AC351,IF(N$2=$AF351,$AG351,0))))</f>
        <v/>
      </c>
      <c r="AA351">
        <f>IFERROR(ROUND(1/SUMPRODUCT(MAX((C350:N350&gt;0)*($C$3:$N$3&lt;=B351)/$C$2:$N$2)),0),0)</f>
        <v/>
      </c>
      <c r="AB351">
        <f>SUMPRODUCT((C350:N350&gt;0)*$C$7:$N$7)</f>
        <v/>
      </c>
      <c r="AC351">
        <f>MAX(0,Plan!$C$5-AB351)+IF(A351=Plan!$C$8,N(Plan!$C$7),0)</f>
        <v/>
      </c>
      <c r="AD351">
        <f>SUM(C351:N351)</f>
        <v/>
      </c>
      <c r="AE351">
        <f>SUM(O351:Z351)</f>
        <v/>
      </c>
      <c r="AF351">
        <f>IFERROR(ROUND(1/SUMPRODUCT(MAX((C350:N350&gt;0)*($C$3:$N$3&lt;=B351)*($C$2:$N$2&gt;AA351)/$C$2:$N$2)),0),0)</f>
        <v/>
      </c>
      <c r="AG351">
        <f>MAX(0,AC351-MAX(0,SUMPRODUCT(($C$2:$N$2=AA351)*(AH351:AS351-$C$7:$N$7))))</f>
        <v/>
      </c>
      <c r="AH351">
        <f>IF(C350&lt;=0,0,ROUND(C350*(1+IF(AND(C$6&gt;0,$B351&lt;C$6),C$4,C$5)/12),2))</f>
        <v/>
      </c>
      <c r="AI351">
        <f>IF(D350&lt;=0,0,ROUND(D350*(1+IF(AND(D$6&gt;0,$B351&lt;D$6),D$4,D$5)/12),2))</f>
        <v/>
      </c>
      <c r="AJ351">
        <f>IF(E350&lt;=0,0,ROUND(E350*(1+IF(AND(E$6&gt;0,$B351&lt;E$6),E$4,E$5)/12),2))</f>
        <v/>
      </c>
      <c r="AK351">
        <f>IF(F350&lt;=0,0,ROUND(F350*(1+IF(AND(F$6&gt;0,$B351&lt;F$6),F$4,F$5)/12),2))</f>
        <v/>
      </c>
      <c r="AL351">
        <f>IF(G350&lt;=0,0,ROUND(G350*(1+IF(AND(G$6&gt;0,$B351&lt;G$6),G$4,G$5)/12),2))</f>
        <v/>
      </c>
      <c r="AM351">
        <f>IF(H350&lt;=0,0,ROUND(H350*(1+IF(AND(H$6&gt;0,$B351&lt;H$6),H$4,H$5)/12),2))</f>
        <v/>
      </c>
      <c r="AN351">
        <f>IF(I350&lt;=0,0,ROUND(I350*(1+IF(AND(I$6&gt;0,$B351&lt;I$6),I$4,I$5)/12),2))</f>
        <v/>
      </c>
      <c r="AO351">
        <f>IF(J350&lt;=0,0,ROUND(J350*(1+IF(AND(J$6&gt;0,$B351&lt;J$6),J$4,J$5)/12),2))</f>
        <v/>
      </c>
      <c r="AP351">
        <f>IF(K350&lt;=0,0,ROUND(K350*(1+IF(AND(K$6&gt;0,$B351&lt;K$6),K$4,K$5)/12),2))</f>
        <v/>
      </c>
      <c r="AQ351">
        <f>IF(L350&lt;=0,0,ROUND(L350*(1+IF(AND(L$6&gt;0,$B351&lt;L$6),L$4,L$5)/12),2))</f>
        <v/>
      </c>
      <c r="AR351">
        <f>IF(M350&lt;=0,0,ROUND(M350*(1+IF(AND(M$6&gt;0,$B351&lt;M$6),M$4,M$5)/12),2))</f>
        <v/>
      </c>
      <c r="AS351">
        <f>IF(N350&lt;=0,0,ROUND(N350*(1+IF(AND(N$6&gt;0,$B351&lt;N$6),N$4,N$5)/12),2))</f>
        <v/>
      </c>
    </row>
    <row r="352">
      <c r="A352" t="n">
        <v>341</v>
      </c>
      <c r="B352">
        <f>EDATE(Plan!$C$6,340)</f>
        <v/>
      </c>
      <c r="C352">
        <f>IF(C351&lt;=0,0,MAX(0,AH352-O352))</f>
        <v/>
      </c>
      <c r="D352">
        <f>IF(D351&lt;=0,0,MAX(0,AI352-P352))</f>
        <v/>
      </c>
      <c r="E352">
        <f>IF(E351&lt;=0,0,MAX(0,AJ352-Q352))</f>
        <v/>
      </c>
      <c r="F352">
        <f>IF(F351&lt;=0,0,MAX(0,AK352-R352))</f>
        <v/>
      </c>
      <c r="G352">
        <f>IF(G351&lt;=0,0,MAX(0,AL352-S352))</f>
        <v/>
      </c>
      <c r="H352">
        <f>IF(H351&lt;=0,0,MAX(0,AM352-T352))</f>
        <v/>
      </c>
      <c r="I352">
        <f>IF(I351&lt;=0,0,MAX(0,AN352-U352))</f>
        <v/>
      </c>
      <c r="J352">
        <f>IF(J351&lt;=0,0,MAX(0,AO352-V352))</f>
        <v/>
      </c>
      <c r="K352">
        <f>IF(K351&lt;=0,0,MAX(0,AP352-W352))</f>
        <v/>
      </c>
      <c r="L352">
        <f>IF(L351&lt;=0,0,MAX(0,AQ352-X352))</f>
        <v/>
      </c>
      <c r="M352">
        <f>IF(M351&lt;=0,0,MAX(0,AR352-Y352))</f>
        <v/>
      </c>
      <c r="N352">
        <f>IF(N351&lt;=0,0,MAX(0,AS352-Z352))</f>
        <v/>
      </c>
      <c r="O352">
        <f>IF(C351&lt;=0,0,MIN(AH352,C$7+IF(C$2=$AA352,$AC352,IF(C$2=$AF352,$AG352,0))))</f>
        <v/>
      </c>
      <c r="P352">
        <f>IF(D351&lt;=0,0,MIN(AI352,D$7+IF(D$2=$AA352,$AC352,IF(D$2=$AF352,$AG352,0))))</f>
        <v/>
      </c>
      <c r="Q352">
        <f>IF(E351&lt;=0,0,MIN(AJ352,E$7+IF(E$2=$AA352,$AC352,IF(E$2=$AF352,$AG352,0))))</f>
        <v/>
      </c>
      <c r="R352">
        <f>IF(F351&lt;=0,0,MIN(AK352,F$7+IF(F$2=$AA352,$AC352,IF(F$2=$AF352,$AG352,0))))</f>
        <v/>
      </c>
      <c r="S352">
        <f>IF(G351&lt;=0,0,MIN(AL352,G$7+IF(G$2=$AA352,$AC352,IF(G$2=$AF352,$AG352,0))))</f>
        <v/>
      </c>
      <c r="T352">
        <f>IF(H351&lt;=0,0,MIN(AM352,H$7+IF(H$2=$AA352,$AC352,IF(H$2=$AF352,$AG352,0))))</f>
        <v/>
      </c>
      <c r="U352">
        <f>IF(I351&lt;=0,0,MIN(AN352,I$7+IF(I$2=$AA352,$AC352,IF(I$2=$AF352,$AG352,0))))</f>
        <v/>
      </c>
      <c r="V352">
        <f>IF(J351&lt;=0,0,MIN(AO352,J$7+IF(J$2=$AA352,$AC352,IF(J$2=$AF352,$AG352,0))))</f>
        <v/>
      </c>
      <c r="W352">
        <f>IF(K351&lt;=0,0,MIN(AP352,K$7+IF(K$2=$AA352,$AC352,IF(K$2=$AF352,$AG352,0))))</f>
        <v/>
      </c>
      <c r="X352">
        <f>IF(L351&lt;=0,0,MIN(AQ352,L$7+IF(L$2=$AA352,$AC352,IF(L$2=$AF352,$AG352,0))))</f>
        <v/>
      </c>
      <c r="Y352">
        <f>IF(M351&lt;=0,0,MIN(AR352,M$7+IF(M$2=$AA352,$AC352,IF(M$2=$AF352,$AG352,0))))</f>
        <v/>
      </c>
      <c r="Z352">
        <f>IF(N351&lt;=0,0,MIN(AS352,N$7+IF(N$2=$AA352,$AC352,IF(N$2=$AF352,$AG352,0))))</f>
        <v/>
      </c>
      <c r="AA352">
        <f>IFERROR(ROUND(1/SUMPRODUCT(MAX((C351:N351&gt;0)*($C$3:$N$3&lt;=B352)/$C$2:$N$2)),0),0)</f>
        <v/>
      </c>
      <c r="AB352">
        <f>SUMPRODUCT((C351:N351&gt;0)*$C$7:$N$7)</f>
        <v/>
      </c>
      <c r="AC352">
        <f>MAX(0,Plan!$C$5-AB352)+IF(A352=Plan!$C$8,N(Plan!$C$7),0)</f>
        <v/>
      </c>
      <c r="AD352">
        <f>SUM(C352:N352)</f>
        <v/>
      </c>
      <c r="AE352">
        <f>SUM(O352:Z352)</f>
        <v/>
      </c>
      <c r="AF352">
        <f>IFERROR(ROUND(1/SUMPRODUCT(MAX((C351:N351&gt;0)*($C$3:$N$3&lt;=B352)*($C$2:$N$2&gt;AA352)/$C$2:$N$2)),0),0)</f>
        <v/>
      </c>
      <c r="AG352">
        <f>MAX(0,AC352-MAX(0,SUMPRODUCT(($C$2:$N$2=AA352)*(AH352:AS352-$C$7:$N$7))))</f>
        <v/>
      </c>
      <c r="AH352">
        <f>IF(C351&lt;=0,0,ROUND(C351*(1+IF(AND(C$6&gt;0,$B352&lt;C$6),C$4,C$5)/12),2))</f>
        <v/>
      </c>
      <c r="AI352">
        <f>IF(D351&lt;=0,0,ROUND(D351*(1+IF(AND(D$6&gt;0,$B352&lt;D$6),D$4,D$5)/12),2))</f>
        <v/>
      </c>
      <c r="AJ352">
        <f>IF(E351&lt;=0,0,ROUND(E351*(1+IF(AND(E$6&gt;0,$B352&lt;E$6),E$4,E$5)/12),2))</f>
        <v/>
      </c>
      <c r="AK352">
        <f>IF(F351&lt;=0,0,ROUND(F351*(1+IF(AND(F$6&gt;0,$B352&lt;F$6),F$4,F$5)/12),2))</f>
        <v/>
      </c>
      <c r="AL352">
        <f>IF(G351&lt;=0,0,ROUND(G351*(1+IF(AND(G$6&gt;0,$B352&lt;G$6),G$4,G$5)/12),2))</f>
        <v/>
      </c>
      <c r="AM352">
        <f>IF(H351&lt;=0,0,ROUND(H351*(1+IF(AND(H$6&gt;0,$B352&lt;H$6),H$4,H$5)/12),2))</f>
        <v/>
      </c>
      <c r="AN352">
        <f>IF(I351&lt;=0,0,ROUND(I351*(1+IF(AND(I$6&gt;0,$B352&lt;I$6),I$4,I$5)/12),2))</f>
        <v/>
      </c>
      <c r="AO352">
        <f>IF(J351&lt;=0,0,ROUND(J351*(1+IF(AND(J$6&gt;0,$B352&lt;J$6),J$4,J$5)/12),2))</f>
        <v/>
      </c>
      <c r="AP352">
        <f>IF(K351&lt;=0,0,ROUND(K351*(1+IF(AND(K$6&gt;0,$B352&lt;K$6),K$4,K$5)/12),2))</f>
        <v/>
      </c>
      <c r="AQ352">
        <f>IF(L351&lt;=0,0,ROUND(L351*(1+IF(AND(L$6&gt;0,$B352&lt;L$6),L$4,L$5)/12),2))</f>
        <v/>
      </c>
      <c r="AR352">
        <f>IF(M351&lt;=0,0,ROUND(M351*(1+IF(AND(M$6&gt;0,$B352&lt;M$6),M$4,M$5)/12),2))</f>
        <v/>
      </c>
      <c r="AS352">
        <f>IF(N351&lt;=0,0,ROUND(N351*(1+IF(AND(N$6&gt;0,$B352&lt;N$6),N$4,N$5)/12),2))</f>
        <v/>
      </c>
    </row>
    <row r="353">
      <c r="A353" t="n">
        <v>342</v>
      </c>
      <c r="B353">
        <f>EDATE(Plan!$C$6,341)</f>
        <v/>
      </c>
      <c r="C353">
        <f>IF(C352&lt;=0,0,MAX(0,AH353-O353))</f>
        <v/>
      </c>
      <c r="D353">
        <f>IF(D352&lt;=0,0,MAX(0,AI353-P353))</f>
        <v/>
      </c>
      <c r="E353">
        <f>IF(E352&lt;=0,0,MAX(0,AJ353-Q353))</f>
        <v/>
      </c>
      <c r="F353">
        <f>IF(F352&lt;=0,0,MAX(0,AK353-R353))</f>
        <v/>
      </c>
      <c r="G353">
        <f>IF(G352&lt;=0,0,MAX(0,AL353-S353))</f>
        <v/>
      </c>
      <c r="H353">
        <f>IF(H352&lt;=0,0,MAX(0,AM353-T353))</f>
        <v/>
      </c>
      <c r="I353">
        <f>IF(I352&lt;=0,0,MAX(0,AN353-U353))</f>
        <v/>
      </c>
      <c r="J353">
        <f>IF(J352&lt;=0,0,MAX(0,AO353-V353))</f>
        <v/>
      </c>
      <c r="K353">
        <f>IF(K352&lt;=0,0,MAX(0,AP353-W353))</f>
        <v/>
      </c>
      <c r="L353">
        <f>IF(L352&lt;=0,0,MAX(0,AQ353-X353))</f>
        <v/>
      </c>
      <c r="M353">
        <f>IF(M352&lt;=0,0,MAX(0,AR353-Y353))</f>
        <v/>
      </c>
      <c r="N353">
        <f>IF(N352&lt;=0,0,MAX(0,AS353-Z353))</f>
        <v/>
      </c>
      <c r="O353">
        <f>IF(C352&lt;=0,0,MIN(AH353,C$7+IF(C$2=$AA353,$AC353,IF(C$2=$AF353,$AG353,0))))</f>
        <v/>
      </c>
      <c r="P353">
        <f>IF(D352&lt;=0,0,MIN(AI353,D$7+IF(D$2=$AA353,$AC353,IF(D$2=$AF353,$AG353,0))))</f>
        <v/>
      </c>
      <c r="Q353">
        <f>IF(E352&lt;=0,0,MIN(AJ353,E$7+IF(E$2=$AA353,$AC353,IF(E$2=$AF353,$AG353,0))))</f>
        <v/>
      </c>
      <c r="R353">
        <f>IF(F352&lt;=0,0,MIN(AK353,F$7+IF(F$2=$AA353,$AC353,IF(F$2=$AF353,$AG353,0))))</f>
        <v/>
      </c>
      <c r="S353">
        <f>IF(G352&lt;=0,0,MIN(AL353,G$7+IF(G$2=$AA353,$AC353,IF(G$2=$AF353,$AG353,0))))</f>
        <v/>
      </c>
      <c r="T353">
        <f>IF(H352&lt;=0,0,MIN(AM353,H$7+IF(H$2=$AA353,$AC353,IF(H$2=$AF353,$AG353,0))))</f>
        <v/>
      </c>
      <c r="U353">
        <f>IF(I352&lt;=0,0,MIN(AN353,I$7+IF(I$2=$AA353,$AC353,IF(I$2=$AF353,$AG353,0))))</f>
        <v/>
      </c>
      <c r="V353">
        <f>IF(J352&lt;=0,0,MIN(AO353,J$7+IF(J$2=$AA353,$AC353,IF(J$2=$AF353,$AG353,0))))</f>
        <v/>
      </c>
      <c r="W353">
        <f>IF(K352&lt;=0,0,MIN(AP353,K$7+IF(K$2=$AA353,$AC353,IF(K$2=$AF353,$AG353,0))))</f>
        <v/>
      </c>
      <c r="X353">
        <f>IF(L352&lt;=0,0,MIN(AQ353,L$7+IF(L$2=$AA353,$AC353,IF(L$2=$AF353,$AG353,0))))</f>
        <v/>
      </c>
      <c r="Y353">
        <f>IF(M352&lt;=0,0,MIN(AR353,M$7+IF(M$2=$AA353,$AC353,IF(M$2=$AF353,$AG353,0))))</f>
        <v/>
      </c>
      <c r="Z353">
        <f>IF(N352&lt;=0,0,MIN(AS353,N$7+IF(N$2=$AA353,$AC353,IF(N$2=$AF353,$AG353,0))))</f>
        <v/>
      </c>
      <c r="AA353">
        <f>IFERROR(ROUND(1/SUMPRODUCT(MAX((C352:N352&gt;0)*($C$3:$N$3&lt;=B353)/$C$2:$N$2)),0),0)</f>
        <v/>
      </c>
      <c r="AB353">
        <f>SUMPRODUCT((C352:N352&gt;0)*$C$7:$N$7)</f>
        <v/>
      </c>
      <c r="AC353">
        <f>MAX(0,Plan!$C$5-AB353)+IF(A353=Plan!$C$8,N(Plan!$C$7),0)</f>
        <v/>
      </c>
      <c r="AD353">
        <f>SUM(C353:N353)</f>
        <v/>
      </c>
      <c r="AE353">
        <f>SUM(O353:Z353)</f>
        <v/>
      </c>
      <c r="AF353">
        <f>IFERROR(ROUND(1/SUMPRODUCT(MAX((C352:N352&gt;0)*($C$3:$N$3&lt;=B353)*($C$2:$N$2&gt;AA353)/$C$2:$N$2)),0),0)</f>
        <v/>
      </c>
      <c r="AG353">
        <f>MAX(0,AC353-MAX(0,SUMPRODUCT(($C$2:$N$2=AA353)*(AH353:AS353-$C$7:$N$7))))</f>
        <v/>
      </c>
      <c r="AH353">
        <f>IF(C352&lt;=0,0,ROUND(C352*(1+IF(AND(C$6&gt;0,$B353&lt;C$6),C$4,C$5)/12),2))</f>
        <v/>
      </c>
      <c r="AI353">
        <f>IF(D352&lt;=0,0,ROUND(D352*(1+IF(AND(D$6&gt;0,$B353&lt;D$6),D$4,D$5)/12),2))</f>
        <v/>
      </c>
      <c r="AJ353">
        <f>IF(E352&lt;=0,0,ROUND(E352*(1+IF(AND(E$6&gt;0,$B353&lt;E$6),E$4,E$5)/12),2))</f>
        <v/>
      </c>
      <c r="AK353">
        <f>IF(F352&lt;=0,0,ROUND(F352*(1+IF(AND(F$6&gt;0,$B353&lt;F$6),F$4,F$5)/12),2))</f>
        <v/>
      </c>
      <c r="AL353">
        <f>IF(G352&lt;=0,0,ROUND(G352*(1+IF(AND(G$6&gt;0,$B353&lt;G$6),G$4,G$5)/12),2))</f>
        <v/>
      </c>
      <c r="AM353">
        <f>IF(H352&lt;=0,0,ROUND(H352*(1+IF(AND(H$6&gt;0,$B353&lt;H$6),H$4,H$5)/12),2))</f>
        <v/>
      </c>
      <c r="AN353">
        <f>IF(I352&lt;=0,0,ROUND(I352*(1+IF(AND(I$6&gt;0,$B353&lt;I$6),I$4,I$5)/12),2))</f>
        <v/>
      </c>
      <c r="AO353">
        <f>IF(J352&lt;=0,0,ROUND(J352*(1+IF(AND(J$6&gt;0,$B353&lt;J$6),J$4,J$5)/12),2))</f>
        <v/>
      </c>
      <c r="AP353">
        <f>IF(K352&lt;=0,0,ROUND(K352*(1+IF(AND(K$6&gt;0,$B353&lt;K$6),K$4,K$5)/12),2))</f>
        <v/>
      </c>
      <c r="AQ353">
        <f>IF(L352&lt;=0,0,ROUND(L352*(1+IF(AND(L$6&gt;0,$B353&lt;L$6),L$4,L$5)/12),2))</f>
        <v/>
      </c>
      <c r="AR353">
        <f>IF(M352&lt;=0,0,ROUND(M352*(1+IF(AND(M$6&gt;0,$B353&lt;M$6),M$4,M$5)/12),2))</f>
        <v/>
      </c>
      <c r="AS353">
        <f>IF(N352&lt;=0,0,ROUND(N352*(1+IF(AND(N$6&gt;0,$B353&lt;N$6),N$4,N$5)/12),2))</f>
        <v/>
      </c>
    </row>
    <row r="354">
      <c r="A354" t="n">
        <v>343</v>
      </c>
      <c r="B354">
        <f>EDATE(Plan!$C$6,342)</f>
        <v/>
      </c>
      <c r="C354">
        <f>IF(C353&lt;=0,0,MAX(0,AH354-O354))</f>
        <v/>
      </c>
      <c r="D354">
        <f>IF(D353&lt;=0,0,MAX(0,AI354-P354))</f>
        <v/>
      </c>
      <c r="E354">
        <f>IF(E353&lt;=0,0,MAX(0,AJ354-Q354))</f>
        <v/>
      </c>
      <c r="F354">
        <f>IF(F353&lt;=0,0,MAX(0,AK354-R354))</f>
        <v/>
      </c>
      <c r="G354">
        <f>IF(G353&lt;=0,0,MAX(0,AL354-S354))</f>
        <v/>
      </c>
      <c r="H354">
        <f>IF(H353&lt;=0,0,MAX(0,AM354-T354))</f>
        <v/>
      </c>
      <c r="I354">
        <f>IF(I353&lt;=0,0,MAX(0,AN354-U354))</f>
        <v/>
      </c>
      <c r="J354">
        <f>IF(J353&lt;=0,0,MAX(0,AO354-V354))</f>
        <v/>
      </c>
      <c r="K354">
        <f>IF(K353&lt;=0,0,MAX(0,AP354-W354))</f>
        <v/>
      </c>
      <c r="L354">
        <f>IF(L353&lt;=0,0,MAX(0,AQ354-X354))</f>
        <v/>
      </c>
      <c r="M354">
        <f>IF(M353&lt;=0,0,MAX(0,AR354-Y354))</f>
        <v/>
      </c>
      <c r="N354">
        <f>IF(N353&lt;=0,0,MAX(0,AS354-Z354))</f>
        <v/>
      </c>
      <c r="O354">
        <f>IF(C353&lt;=0,0,MIN(AH354,C$7+IF(C$2=$AA354,$AC354,IF(C$2=$AF354,$AG354,0))))</f>
        <v/>
      </c>
      <c r="P354">
        <f>IF(D353&lt;=0,0,MIN(AI354,D$7+IF(D$2=$AA354,$AC354,IF(D$2=$AF354,$AG354,0))))</f>
        <v/>
      </c>
      <c r="Q354">
        <f>IF(E353&lt;=0,0,MIN(AJ354,E$7+IF(E$2=$AA354,$AC354,IF(E$2=$AF354,$AG354,0))))</f>
        <v/>
      </c>
      <c r="R354">
        <f>IF(F353&lt;=0,0,MIN(AK354,F$7+IF(F$2=$AA354,$AC354,IF(F$2=$AF354,$AG354,0))))</f>
        <v/>
      </c>
      <c r="S354">
        <f>IF(G353&lt;=0,0,MIN(AL354,G$7+IF(G$2=$AA354,$AC354,IF(G$2=$AF354,$AG354,0))))</f>
        <v/>
      </c>
      <c r="T354">
        <f>IF(H353&lt;=0,0,MIN(AM354,H$7+IF(H$2=$AA354,$AC354,IF(H$2=$AF354,$AG354,0))))</f>
        <v/>
      </c>
      <c r="U354">
        <f>IF(I353&lt;=0,0,MIN(AN354,I$7+IF(I$2=$AA354,$AC354,IF(I$2=$AF354,$AG354,0))))</f>
        <v/>
      </c>
      <c r="V354">
        <f>IF(J353&lt;=0,0,MIN(AO354,J$7+IF(J$2=$AA354,$AC354,IF(J$2=$AF354,$AG354,0))))</f>
        <v/>
      </c>
      <c r="W354">
        <f>IF(K353&lt;=0,0,MIN(AP354,K$7+IF(K$2=$AA354,$AC354,IF(K$2=$AF354,$AG354,0))))</f>
        <v/>
      </c>
      <c r="X354">
        <f>IF(L353&lt;=0,0,MIN(AQ354,L$7+IF(L$2=$AA354,$AC354,IF(L$2=$AF354,$AG354,0))))</f>
        <v/>
      </c>
      <c r="Y354">
        <f>IF(M353&lt;=0,0,MIN(AR354,M$7+IF(M$2=$AA354,$AC354,IF(M$2=$AF354,$AG354,0))))</f>
        <v/>
      </c>
      <c r="Z354">
        <f>IF(N353&lt;=0,0,MIN(AS354,N$7+IF(N$2=$AA354,$AC354,IF(N$2=$AF354,$AG354,0))))</f>
        <v/>
      </c>
      <c r="AA354">
        <f>IFERROR(ROUND(1/SUMPRODUCT(MAX((C353:N353&gt;0)*($C$3:$N$3&lt;=B354)/$C$2:$N$2)),0),0)</f>
        <v/>
      </c>
      <c r="AB354">
        <f>SUMPRODUCT((C353:N353&gt;0)*$C$7:$N$7)</f>
        <v/>
      </c>
      <c r="AC354">
        <f>MAX(0,Plan!$C$5-AB354)+IF(A354=Plan!$C$8,N(Plan!$C$7),0)</f>
        <v/>
      </c>
      <c r="AD354">
        <f>SUM(C354:N354)</f>
        <v/>
      </c>
      <c r="AE354">
        <f>SUM(O354:Z354)</f>
        <v/>
      </c>
      <c r="AF354">
        <f>IFERROR(ROUND(1/SUMPRODUCT(MAX((C353:N353&gt;0)*($C$3:$N$3&lt;=B354)*($C$2:$N$2&gt;AA354)/$C$2:$N$2)),0),0)</f>
        <v/>
      </c>
      <c r="AG354">
        <f>MAX(0,AC354-MAX(0,SUMPRODUCT(($C$2:$N$2=AA354)*(AH354:AS354-$C$7:$N$7))))</f>
        <v/>
      </c>
      <c r="AH354">
        <f>IF(C353&lt;=0,0,ROUND(C353*(1+IF(AND(C$6&gt;0,$B354&lt;C$6),C$4,C$5)/12),2))</f>
        <v/>
      </c>
      <c r="AI354">
        <f>IF(D353&lt;=0,0,ROUND(D353*(1+IF(AND(D$6&gt;0,$B354&lt;D$6),D$4,D$5)/12),2))</f>
        <v/>
      </c>
      <c r="AJ354">
        <f>IF(E353&lt;=0,0,ROUND(E353*(1+IF(AND(E$6&gt;0,$B354&lt;E$6),E$4,E$5)/12),2))</f>
        <v/>
      </c>
      <c r="AK354">
        <f>IF(F353&lt;=0,0,ROUND(F353*(1+IF(AND(F$6&gt;0,$B354&lt;F$6),F$4,F$5)/12),2))</f>
        <v/>
      </c>
      <c r="AL354">
        <f>IF(G353&lt;=0,0,ROUND(G353*(1+IF(AND(G$6&gt;0,$B354&lt;G$6),G$4,G$5)/12),2))</f>
        <v/>
      </c>
      <c r="AM354">
        <f>IF(H353&lt;=0,0,ROUND(H353*(1+IF(AND(H$6&gt;0,$B354&lt;H$6),H$4,H$5)/12),2))</f>
        <v/>
      </c>
      <c r="AN354">
        <f>IF(I353&lt;=0,0,ROUND(I353*(1+IF(AND(I$6&gt;0,$B354&lt;I$6),I$4,I$5)/12),2))</f>
        <v/>
      </c>
      <c r="AO354">
        <f>IF(J353&lt;=0,0,ROUND(J353*(1+IF(AND(J$6&gt;0,$B354&lt;J$6),J$4,J$5)/12),2))</f>
        <v/>
      </c>
      <c r="AP354">
        <f>IF(K353&lt;=0,0,ROUND(K353*(1+IF(AND(K$6&gt;0,$B354&lt;K$6),K$4,K$5)/12),2))</f>
        <v/>
      </c>
      <c r="AQ354">
        <f>IF(L353&lt;=0,0,ROUND(L353*(1+IF(AND(L$6&gt;0,$B354&lt;L$6),L$4,L$5)/12),2))</f>
        <v/>
      </c>
      <c r="AR354">
        <f>IF(M353&lt;=0,0,ROUND(M353*(1+IF(AND(M$6&gt;0,$B354&lt;M$6),M$4,M$5)/12),2))</f>
        <v/>
      </c>
      <c r="AS354">
        <f>IF(N353&lt;=0,0,ROUND(N353*(1+IF(AND(N$6&gt;0,$B354&lt;N$6),N$4,N$5)/12),2))</f>
        <v/>
      </c>
    </row>
    <row r="355">
      <c r="A355" t="n">
        <v>344</v>
      </c>
      <c r="B355">
        <f>EDATE(Plan!$C$6,343)</f>
        <v/>
      </c>
      <c r="C355">
        <f>IF(C354&lt;=0,0,MAX(0,AH355-O355))</f>
        <v/>
      </c>
      <c r="D355">
        <f>IF(D354&lt;=0,0,MAX(0,AI355-P355))</f>
        <v/>
      </c>
      <c r="E355">
        <f>IF(E354&lt;=0,0,MAX(0,AJ355-Q355))</f>
        <v/>
      </c>
      <c r="F355">
        <f>IF(F354&lt;=0,0,MAX(0,AK355-R355))</f>
        <v/>
      </c>
      <c r="G355">
        <f>IF(G354&lt;=0,0,MAX(0,AL355-S355))</f>
        <v/>
      </c>
      <c r="H355">
        <f>IF(H354&lt;=0,0,MAX(0,AM355-T355))</f>
        <v/>
      </c>
      <c r="I355">
        <f>IF(I354&lt;=0,0,MAX(0,AN355-U355))</f>
        <v/>
      </c>
      <c r="J355">
        <f>IF(J354&lt;=0,0,MAX(0,AO355-V355))</f>
        <v/>
      </c>
      <c r="K355">
        <f>IF(K354&lt;=0,0,MAX(0,AP355-W355))</f>
        <v/>
      </c>
      <c r="L355">
        <f>IF(L354&lt;=0,0,MAX(0,AQ355-X355))</f>
        <v/>
      </c>
      <c r="M355">
        <f>IF(M354&lt;=0,0,MAX(0,AR355-Y355))</f>
        <v/>
      </c>
      <c r="N355">
        <f>IF(N354&lt;=0,0,MAX(0,AS355-Z355))</f>
        <v/>
      </c>
      <c r="O355">
        <f>IF(C354&lt;=0,0,MIN(AH355,C$7+IF(C$2=$AA355,$AC355,IF(C$2=$AF355,$AG355,0))))</f>
        <v/>
      </c>
      <c r="P355">
        <f>IF(D354&lt;=0,0,MIN(AI355,D$7+IF(D$2=$AA355,$AC355,IF(D$2=$AF355,$AG355,0))))</f>
        <v/>
      </c>
      <c r="Q355">
        <f>IF(E354&lt;=0,0,MIN(AJ355,E$7+IF(E$2=$AA355,$AC355,IF(E$2=$AF355,$AG355,0))))</f>
        <v/>
      </c>
      <c r="R355">
        <f>IF(F354&lt;=0,0,MIN(AK355,F$7+IF(F$2=$AA355,$AC355,IF(F$2=$AF355,$AG355,0))))</f>
        <v/>
      </c>
      <c r="S355">
        <f>IF(G354&lt;=0,0,MIN(AL355,G$7+IF(G$2=$AA355,$AC355,IF(G$2=$AF355,$AG355,0))))</f>
        <v/>
      </c>
      <c r="T355">
        <f>IF(H354&lt;=0,0,MIN(AM355,H$7+IF(H$2=$AA355,$AC355,IF(H$2=$AF355,$AG355,0))))</f>
        <v/>
      </c>
      <c r="U355">
        <f>IF(I354&lt;=0,0,MIN(AN355,I$7+IF(I$2=$AA355,$AC355,IF(I$2=$AF355,$AG355,0))))</f>
        <v/>
      </c>
      <c r="V355">
        <f>IF(J354&lt;=0,0,MIN(AO355,J$7+IF(J$2=$AA355,$AC355,IF(J$2=$AF355,$AG355,0))))</f>
        <v/>
      </c>
      <c r="W355">
        <f>IF(K354&lt;=0,0,MIN(AP355,K$7+IF(K$2=$AA355,$AC355,IF(K$2=$AF355,$AG355,0))))</f>
        <v/>
      </c>
      <c r="X355">
        <f>IF(L354&lt;=0,0,MIN(AQ355,L$7+IF(L$2=$AA355,$AC355,IF(L$2=$AF355,$AG355,0))))</f>
        <v/>
      </c>
      <c r="Y355">
        <f>IF(M354&lt;=0,0,MIN(AR355,M$7+IF(M$2=$AA355,$AC355,IF(M$2=$AF355,$AG355,0))))</f>
        <v/>
      </c>
      <c r="Z355">
        <f>IF(N354&lt;=0,0,MIN(AS355,N$7+IF(N$2=$AA355,$AC355,IF(N$2=$AF355,$AG355,0))))</f>
        <v/>
      </c>
      <c r="AA355">
        <f>IFERROR(ROUND(1/SUMPRODUCT(MAX((C354:N354&gt;0)*($C$3:$N$3&lt;=B355)/$C$2:$N$2)),0),0)</f>
        <v/>
      </c>
      <c r="AB355">
        <f>SUMPRODUCT((C354:N354&gt;0)*$C$7:$N$7)</f>
        <v/>
      </c>
      <c r="AC355">
        <f>MAX(0,Plan!$C$5-AB355)+IF(A355=Plan!$C$8,N(Plan!$C$7),0)</f>
        <v/>
      </c>
      <c r="AD355">
        <f>SUM(C355:N355)</f>
        <v/>
      </c>
      <c r="AE355">
        <f>SUM(O355:Z355)</f>
        <v/>
      </c>
      <c r="AF355">
        <f>IFERROR(ROUND(1/SUMPRODUCT(MAX((C354:N354&gt;0)*($C$3:$N$3&lt;=B355)*($C$2:$N$2&gt;AA355)/$C$2:$N$2)),0),0)</f>
        <v/>
      </c>
      <c r="AG355">
        <f>MAX(0,AC355-MAX(0,SUMPRODUCT(($C$2:$N$2=AA355)*(AH355:AS355-$C$7:$N$7))))</f>
        <v/>
      </c>
      <c r="AH355">
        <f>IF(C354&lt;=0,0,ROUND(C354*(1+IF(AND(C$6&gt;0,$B355&lt;C$6),C$4,C$5)/12),2))</f>
        <v/>
      </c>
      <c r="AI355">
        <f>IF(D354&lt;=0,0,ROUND(D354*(1+IF(AND(D$6&gt;0,$B355&lt;D$6),D$4,D$5)/12),2))</f>
        <v/>
      </c>
      <c r="AJ355">
        <f>IF(E354&lt;=0,0,ROUND(E354*(1+IF(AND(E$6&gt;0,$B355&lt;E$6),E$4,E$5)/12),2))</f>
        <v/>
      </c>
      <c r="AK355">
        <f>IF(F354&lt;=0,0,ROUND(F354*(1+IF(AND(F$6&gt;0,$B355&lt;F$6),F$4,F$5)/12),2))</f>
        <v/>
      </c>
      <c r="AL355">
        <f>IF(G354&lt;=0,0,ROUND(G354*(1+IF(AND(G$6&gt;0,$B355&lt;G$6),G$4,G$5)/12),2))</f>
        <v/>
      </c>
      <c r="AM355">
        <f>IF(H354&lt;=0,0,ROUND(H354*(1+IF(AND(H$6&gt;0,$B355&lt;H$6),H$4,H$5)/12),2))</f>
        <v/>
      </c>
      <c r="AN355">
        <f>IF(I354&lt;=0,0,ROUND(I354*(1+IF(AND(I$6&gt;0,$B355&lt;I$6),I$4,I$5)/12),2))</f>
        <v/>
      </c>
      <c r="AO355">
        <f>IF(J354&lt;=0,0,ROUND(J354*(1+IF(AND(J$6&gt;0,$B355&lt;J$6),J$4,J$5)/12),2))</f>
        <v/>
      </c>
      <c r="AP355">
        <f>IF(K354&lt;=0,0,ROUND(K354*(1+IF(AND(K$6&gt;0,$B355&lt;K$6),K$4,K$5)/12),2))</f>
        <v/>
      </c>
      <c r="AQ355">
        <f>IF(L354&lt;=0,0,ROUND(L354*(1+IF(AND(L$6&gt;0,$B355&lt;L$6),L$4,L$5)/12),2))</f>
        <v/>
      </c>
      <c r="AR355">
        <f>IF(M354&lt;=0,0,ROUND(M354*(1+IF(AND(M$6&gt;0,$B355&lt;M$6),M$4,M$5)/12),2))</f>
        <v/>
      </c>
      <c r="AS355">
        <f>IF(N354&lt;=0,0,ROUND(N354*(1+IF(AND(N$6&gt;0,$B355&lt;N$6),N$4,N$5)/12),2))</f>
        <v/>
      </c>
    </row>
    <row r="356">
      <c r="A356" t="n">
        <v>345</v>
      </c>
      <c r="B356">
        <f>EDATE(Plan!$C$6,344)</f>
        <v/>
      </c>
      <c r="C356">
        <f>IF(C355&lt;=0,0,MAX(0,AH356-O356))</f>
        <v/>
      </c>
      <c r="D356">
        <f>IF(D355&lt;=0,0,MAX(0,AI356-P356))</f>
        <v/>
      </c>
      <c r="E356">
        <f>IF(E355&lt;=0,0,MAX(0,AJ356-Q356))</f>
        <v/>
      </c>
      <c r="F356">
        <f>IF(F355&lt;=0,0,MAX(0,AK356-R356))</f>
        <v/>
      </c>
      <c r="G356">
        <f>IF(G355&lt;=0,0,MAX(0,AL356-S356))</f>
        <v/>
      </c>
      <c r="H356">
        <f>IF(H355&lt;=0,0,MAX(0,AM356-T356))</f>
        <v/>
      </c>
      <c r="I356">
        <f>IF(I355&lt;=0,0,MAX(0,AN356-U356))</f>
        <v/>
      </c>
      <c r="J356">
        <f>IF(J355&lt;=0,0,MAX(0,AO356-V356))</f>
        <v/>
      </c>
      <c r="K356">
        <f>IF(K355&lt;=0,0,MAX(0,AP356-W356))</f>
        <v/>
      </c>
      <c r="L356">
        <f>IF(L355&lt;=0,0,MAX(0,AQ356-X356))</f>
        <v/>
      </c>
      <c r="M356">
        <f>IF(M355&lt;=0,0,MAX(0,AR356-Y356))</f>
        <v/>
      </c>
      <c r="N356">
        <f>IF(N355&lt;=0,0,MAX(0,AS356-Z356))</f>
        <v/>
      </c>
      <c r="O356">
        <f>IF(C355&lt;=0,0,MIN(AH356,C$7+IF(C$2=$AA356,$AC356,IF(C$2=$AF356,$AG356,0))))</f>
        <v/>
      </c>
      <c r="P356">
        <f>IF(D355&lt;=0,0,MIN(AI356,D$7+IF(D$2=$AA356,$AC356,IF(D$2=$AF356,$AG356,0))))</f>
        <v/>
      </c>
      <c r="Q356">
        <f>IF(E355&lt;=0,0,MIN(AJ356,E$7+IF(E$2=$AA356,$AC356,IF(E$2=$AF356,$AG356,0))))</f>
        <v/>
      </c>
      <c r="R356">
        <f>IF(F355&lt;=0,0,MIN(AK356,F$7+IF(F$2=$AA356,$AC356,IF(F$2=$AF356,$AG356,0))))</f>
        <v/>
      </c>
      <c r="S356">
        <f>IF(G355&lt;=0,0,MIN(AL356,G$7+IF(G$2=$AA356,$AC356,IF(G$2=$AF356,$AG356,0))))</f>
        <v/>
      </c>
      <c r="T356">
        <f>IF(H355&lt;=0,0,MIN(AM356,H$7+IF(H$2=$AA356,$AC356,IF(H$2=$AF356,$AG356,0))))</f>
        <v/>
      </c>
      <c r="U356">
        <f>IF(I355&lt;=0,0,MIN(AN356,I$7+IF(I$2=$AA356,$AC356,IF(I$2=$AF356,$AG356,0))))</f>
        <v/>
      </c>
      <c r="V356">
        <f>IF(J355&lt;=0,0,MIN(AO356,J$7+IF(J$2=$AA356,$AC356,IF(J$2=$AF356,$AG356,0))))</f>
        <v/>
      </c>
      <c r="W356">
        <f>IF(K355&lt;=0,0,MIN(AP356,K$7+IF(K$2=$AA356,$AC356,IF(K$2=$AF356,$AG356,0))))</f>
        <v/>
      </c>
      <c r="X356">
        <f>IF(L355&lt;=0,0,MIN(AQ356,L$7+IF(L$2=$AA356,$AC356,IF(L$2=$AF356,$AG356,0))))</f>
        <v/>
      </c>
      <c r="Y356">
        <f>IF(M355&lt;=0,0,MIN(AR356,M$7+IF(M$2=$AA356,$AC356,IF(M$2=$AF356,$AG356,0))))</f>
        <v/>
      </c>
      <c r="Z356">
        <f>IF(N355&lt;=0,0,MIN(AS356,N$7+IF(N$2=$AA356,$AC356,IF(N$2=$AF356,$AG356,0))))</f>
        <v/>
      </c>
      <c r="AA356">
        <f>IFERROR(ROUND(1/SUMPRODUCT(MAX((C355:N355&gt;0)*($C$3:$N$3&lt;=B356)/$C$2:$N$2)),0),0)</f>
        <v/>
      </c>
      <c r="AB356">
        <f>SUMPRODUCT((C355:N355&gt;0)*$C$7:$N$7)</f>
        <v/>
      </c>
      <c r="AC356">
        <f>MAX(0,Plan!$C$5-AB356)+IF(A356=Plan!$C$8,N(Plan!$C$7),0)</f>
        <v/>
      </c>
      <c r="AD356">
        <f>SUM(C356:N356)</f>
        <v/>
      </c>
      <c r="AE356">
        <f>SUM(O356:Z356)</f>
        <v/>
      </c>
      <c r="AF356">
        <f>IFERROR(ROUND(1/SUMPRODUCT(MAX((C355:N355&gt;0)*($C$3:$N$3&lt;=B356)*($C$2:$N$2&gt;AA356)/$C$2:$N$2)),0),0)</f>
        <v/>
      </c>
      <c r="AG356">
        <f>MAX(0,AC356-MAX(0,SUMPRODUCT(($C$2:$N$2=AA356)*(AH356:AS356-$C$7:$N$7))))</f>
        <v/>
      </c>
      <c r="AH356">
        <f>IF(C355&lt;=0,0,ROUND(C355*(1+IF(AND(C$6&gt;0,$B356&lt;C$6),C$4,C$5)/12),2))</f>
        <v/>
      </c>
      <c r="AI356">
        <f>IF(D355&lt;=0,0,ROUND(D355*(1+IF(AND(D$6&gt;0,$B356&lt;D$6),D$4,D$5)/12),2))</f>
        <v/>
      </c>
      <c r="AJ356">
        <f>IF(E355&lt;=0,0,ROUND(E355*(1+IF(AND(E$6&gt;0,$B356&lt;E$6),E$4,E$5)/12),2))</f>
        <v/>
      </c>
      <c r="AK356">
        <f>IF(F355&lt;=0,0,ROUND(F355*(1+IF(AND(F$6&gt;0,$B356&lt;F$6),F$4,F$5)/12),2))</f>
        <v/>
      </c>
      <c r="AL356">
        <f>IF(G355&lt;=0,0,ROUND(G355*(1+IF(AND(G$6&gt;0,$B356&lt;G$6),G$4,G$5)/12),2))</f>
        <v/>
      </c>
      <c r="AM356">
        <f>IF(H355&lt;=0,0,ROUND(H355*(1+IF(AND(H$6&gt;0,$B356&lt;H$6),H$4,H$5)/12),2))</f>
        <v/>
      </c>
      <c r="AN356">
        <f>IF(I355&lt;=0,0,ROUND(I355*(1+IF(AND(I$6&gt;0,$B356&lt;I$6),I$4,I$5)/12),2))</f>
        <v/>
      </c>
      <c r="AO356">
        <f>IF(J355&lt;=0,0,ROUND(J355*(1+IF(AND(J$6&gt;0,$B356&lt;J$6),J$4,J$5)/12),2))</f>
        <v/>
      </c>
      <c r="AP356">
        <f>IF(K355&lt;=0,0,ROUND(K355*(1+IF(AND(K$6&gt;0,$B356&lt;K$6),K$4,K$5)/12),2))</f>
        <v/>
      </c>
      <c r="AQ356">
        <f>IF(L355&lt;=0,0,ROUND(L355*(1+IF(AND(L$6&gt;0,$B356&lt;L$6),L$4,L$5)/12),2))</f>
        <v/>
      </c>
      <c r="AR356">
        <f>IF(M355&lt;=0,0,ROUND(M355*(1+IF(AND(M$6&gt;0,$B356&lt;M$6),M$4,M$5)/12),2))</f>
        <v/>
      </c>
      <c r="AS356">
        <f>IF(N355&lt;=0,0,ROUND(N355*(1+IF(AND(N$6&gt;0,$B356&lt;N$6),N$4,N$5)/12),2))</f>
        <v/>
      </c>
    </row>
    <row r="357">
      <c r="A357" t="n">
        <v>346</v>
      </c>
      <c r="B357">
        <f>EDATE(Plan!$C$6,345)</f>
        <v/>
      </c>
      <c r="C357">
        <f>IF(C356&lt;=0,0,MAX(0,AH357-O357))</f>
        <v/>
      </c>
      <c r="D357">
        <f>IF(D356&lt;=0,0,MAX(0,AI357-P357))</f>
        <v/>
      </c>
      <c r="E357">
        <f>IF(E356&lt;=0,0,MAX(0,AJ357-Q357))</f>
        <v/>
      </c>
      <c r="F357">
        <f>IF(F356&lt;=0,0,MAX(0,AK357-R357))</f>
        <v/>
      </c>
      <c r="G357">
        <f>IF(G356&lt;=0,0,MAX(0,AL357-S357))</f>
        <v/>
      </c>
      <c r="H357">
        <f>IF(H356&lt;=0,0,MAX(0,AM357-T357))</f>
        <v/>
      </c>
      <c r="I357">
        <f>IF(I356&lt;=0,0,MAX(0,AN357-U357))</f>
        <v/>
      </c>
      <c r="J357">
        <f>IF(J356&lt;=0,0,MAX(0,AO357-V357))</f>
        <v/>
      </c>
      <c r="K357">
        <f>IF(K356&lt;=0,0,MAX(0,AP357-W357))</f>
        <v/>
      </c>
      <c r="L357">
        <f>IF(L356&lt;=0,0,MAX(0,AQ357-X357))</f>
        <v/>
      </c>
      <c r="M357">
        <f>IF(M356&lt;=0,0,MAX(0,AR357-Y357))</f>
        <v/>
      </c>
      <c r="N357">
        <f>IF(N356&lt;=0,0,MAX(0,AS357-Z357))</f>
        <v/>
      </c>
      <c r="O357">
        <f>IF(C356&lt;=0,0,MIN(AH357,C$7+IF(C$2=$AA357,$AC357,IF(C$2=$AF357,$AG357,0))))</f>
        <v/>
      </c>
      <c r="P357">
        <f>IF(D356&lt;=0,0,MIN(AI357,D$7+IF(D$2=$AA357,$AC357,IF(D$2=$AF357,$AG357,0))))</f>
        <v/>
      </c>
      <c r="Q357">
        <f>IF(E356&lt;=0,0,MIN(AJ357,E$7+IF(E$2=$AA357,$AC357,IF(E$2=$AF357,$AG357,0))))</f>
        <v/>
      </c>
      <c r="R357">
        <f>IF(F356&lt;=0,0,MIN(AK357,F$7+IF(F$2=$AA357,$AC357,IF(F$2=$AF357,$AG357,0))))</f>
        <v/>
      </c>
      <c r="S357">
        <f>IF(G356&lt;=0,0,MIN(AL357,G$7+IF(G$2=$AA357,$AC357,IF(G$2=$AF357,$AG357,0))))</f>
        <v/>
      </c>
      <c r="T357">
        <f>IF(H356&lt;=0,0,MIN(AM357,H$7+IF(H$2=$AA357,$AC357,IF(H$2=$AF357,$AG357,0))))</f>
        <v/>
      </c>
      <c r="U357">
        <f>IF(I356&lt;=0,0,MIN(AN357,I$7+IF(I$2=$AA357,$AC357,IF(I$2=$AF357,$AG357,0))))</f>
        <v/>
      </c>
      <c r="V357">
        <f>IF(J356&lt;=0,0,MIN(AO357,J$7+IF(J$2=$AA357,$AC357,IF(J$2=$AF357,$AG357,0))))</f>
        <v/>
      </c>
      <c r="W357">
        <f>IF(K356&lt;=0,0,MIN(AP357,K$7+IF(K$2=$AA357,$AC357,IF(K$2=$AF357,$AG357,0))))</f>
        <v/>
      </c>
      <c r="X357">
        <f>IF(L356&lt;=0,0,MIN(AQ357,L$7+IF(L$2=$AA357,$AC357,IF(L$2=$AF357,$AG357,0))))</f>
        <v/>
      </c>
      <c r="Y357">
        <f>IF(M356&lt;=0,0,MIN(AR357,M$7+IF(M$2=$AA357,$AC357,IF(M$2=$AF357,$AG357,0))))</f>
        <v/>
      </c>
      <c r="Z357">
        <f>IF(N356&lt;=0,0,MIN(AS357,N$7+IF(N$2=$AA357,$AC357,IF(N$2=$AF357,$AG357,0))))</f>
        <v/>
      </c>
      <c r="AA357">
        <f>IFERROR(ROUND(1/SUMPRODUCT(MAX((C356:N356&gt;0)*($C$3:$N$3&lt;=B357)/$C$2:$N$2)),0),0)</f>
        <v/>
      </c>
      <c r="AB357">
        <f>SUMPRODUCT((C356:N356&gt;0)*$C$7:$N$7)</f>
        <v/>
      </c>
      <c r="AC357">
        <f>MAX(0,Plan!$C$5-AB357)+IF(A357=Plan!$C$8,N(Plan!$C$7),0)</f>
        <v/>
      </c>
      <c r="AD357">
        <f>SUM(C357:N357)</f>
        <v/>
      </c>
      <c r="AE357">
        <f>SUM(O357:Z357)</f>
        <v/>
      </c>
      <c r="AF357">
        <f>IFERROR(ROUND(1/SUMPRODUCT(MAX((C356:N356&gt;0)*($C$3:$N$3&lt;=B357)*($C$2:$N$2&gt;AA357)/$C$2:$N$2)),0),0)</f>
        <v/>
      </c>
      <c r="AG357">
        <f>MAX(0,AC357-MAX(0,SUMPRODUCT(($C$2:$N$2=AA357)*(AH357:AS357-$C$7:$N$7))))</f>
        <v/>
      </c>
      <c r="AH357">
        <f>IF(C356&lt;=0,0,ROUND(C356*(1+IF(AND(C$6&gt;0,$B357&lt;C$6),C$4,C$5)/12),2))</f>
        <v/>
      </c>
      <c r="AI357">
        <f>IF(D356&lt;=0,0,ROUND(D356*(1+IF(AND(D$6&gt;0,$B357&lt;D$6),D$4,D$5)/12),2))</f>
        <v/>
      </c>
      <c r="AJ357">
        <f>IF(E356&lt;=0,0,ROUND(E356*(1+IF(AND(E$6&gt;0,$B357&lt;E$6),E$4,E$5)/12),2))</f>
        <v/>
      </c>
      <c r="AK357">
        <f>IF(F356&lt;=0,0,ROUND(F356*(1+IF(AND(F$6&gt;0,$B357&lt;F$6),F$4,F$5)/12),2))</f>
        <v/>
      </c>
      <c r="AL357">
        <f>IF(G356&lt;=0,0,ROUND(G356*(1+IF(AND(G$6&gt;0,$B357&lt;G$6),G$4,G$5)/12),2))</f>
        <v/>
      </c>
      <c r="AM357">
        <f>IF(H356&lt;=0,0,ROUND(H356*(1+IF(AND(H$6&gt;0,$B357&lt;H$6),H$4,H$5)/12),2))</f>
        <v/>
      </c>
      <c r="AN357">
        <f>IF(I356&lt;=0,0,ROUND(I356*(1+IF(AND(I$6&gt;0,$B357&lt;I$6),I$4,I$5)/12),2))</f>
        <v/>
      </c>
      <c r="AO357">
        <f>IF(J356&lt;=0,0,ROUND(J356*(1+IF(AND(J$6&gt;0,$B357&lt;J$6),J$4,J$5)/12),2))</f>
        <v/>
      </c>
      <c r="AP357">
        <f>IF(K356&lt;=0,0,ROUND(K356*(1+IF(AND(K$6&gt;0,$B357&lt;K$6),K$4,K$5)/12),2))</f>
        <v/>
      </c>
      <c r="AQ357">
        <f>IF(L356&lt;=0,0,ROUND(L356*(1+IF(AND(L$6&gt;0,$B357&lt;L$6),L$4,L$5)/12),2))</f>
        <v/>
      </c>
      <c r="AR357">
        <f>IF(M356&lt;=0,0,ROUND(M356*(1+IF(AND(M$6&gt;0,$B357&lt;M$6),M$4,M$5)/12),2))</f>
        <v/>
      </c>
      <c r="AS357">
        <f>IF(N356&lt;=0,0,ROUND(N356*(1+IF(AND(N$6&gt;0,$B357&lt;N$6),N$4,N$5)/12),2))</f>
        <v/>
      </c>
    </row>
    <row r="358">
      <c r="A358" t="n">
        <v>347</v>
      </c>
      <c r="B358">
        <f>EDATE(Plan!$C$6,346)</f>
        <v/>
      </c>
      <c r="C358">
        <f>IF(C357&lt;=0,0,MAX(0,AH358-O358))</f>
        <v/>
      </c>
      <c r="D358">
        <f>IF(D357&lt;=0,0,MAX(0,AI358-P358))</f>
        <v/>
      </c>
      <c r="E358">
        <f>IF(E357&lt;=0,0,MAX(0,AJ358-Q358))</f>
        <v/>
      </c>
      <c r="F358">
        <f>IF(F357&lt;=0,0,MAX(0,AK358-R358))</f>
        <v/>
      </c>
      <c r="G358">
        <f>IF(G357&lt;=0,0,MAX(0,AL358-S358))</f>
        <v/>
      </c>
      <c r="H358">
        <f>IF(H357&lt;=0,0,MAX(0,AM358-T358))</f>
        <v/>
      </c>
      <c r="I358">
        <f>IF(I357&lt;=0,0,MAX(0,AN358-U358))</f>
        <v/>
      </c>
      <c r="J358">
        <f>IF(J357&lt;=0,0,MAX(0,AO358-V358))</f>
        <v/>
      </c>
      <c r="K358">
        <f>IF(K357&lt;=0,0,MAX(0,AP358-W358))</f>
        <v/>
      </c>
      <c r="L358">
        <f>IF(L357&lt;=0,0,MAX(0,AQ358-X358))</f>
        <v/>
      </c>
      <c r="M358">
        <f>IF(M357&lt;=0,0,MAX(0,AR358-Y358))</f>
        <v/>
      </c>
      <c r="N358">
        <f>IF(N357&lt;=0,0,MAX(0,AS358-Z358))</f>
        <v/>
      </c>
      <c r="O358">
        <f>IF(C357&lt;=0,0,MIN(AH358,C$7+IF(C$2=$AA358,$AC358,IF(C$2=$AF358,$AG358,0))))</f>
        <v/>
      </c>
      <c r="P358">
        <f>IF(D357&lt;=0,0,MIN(AI358,D$7+IF(D$2=$AA358,$AC358,IF(D$2=$AF358,$AG358,0))))</f>
        <v/>
      </c>
      <c r="Q358">
        <f>IF(E357&lt;=0,0,MIN(AJ358,E$7+IF(E$2=$AA358,$AC358,IF(E$2=$AF358,$AG358,0))))</f>
        <v/>
      </c>
      <c r="R358">
        <f>IF(F357&lt;=0,0,MIN(AK358,F$7+IF(F$2=$AA358,$AC358,IF(F$2=$AF358,$AG358,0))))</f>
        <v/>
      </c>
      <c r="S358">
        <f>IF(G357&lt;=0,0,MIN(AL358,G$7+IF(G$2=$AA358,$AC358,IF(G$2=$AF358,$AG358,0))))</f>
        <v/>
      </c>
      <c r="T358">
        <f>IF(H357&lt;=0,0,MIN(AM358,H$7+IF(H$2=$AA358,$AC358,IF(H$2=$AF358,$AG358,0))))</f>
        <v/>
      </c>
      <c r="U358">
        <f>IF(I357&lt;=0,0,MIN(AN358,I$7+IF(I$2=$AA358,$AC358,IF(I$2=$AF358,$AG358,0))))</f>
        <v/>
      </c>
      <c r="V358">
        <f>IF(J357&lt;=0,0,MIN(AO358,J$7+IF(J$2=$AA358,$AC358,IF(J$2=$AF358,$AG358,0))))</f>
        <v/>
      </c>
      <c r="W358">
        <f>IF(K357&lt;=0,0,MIN(AP358,K$7+IF(K$2=$AA358,$AC358,IF(K$2=$AF358,$AG358,0))))</f>
        <v/>
      </c>
      <c r="X358">
        <f>IF(L357&lt;=0,0,MIN(AQ358,L$7+IF(L$2=$AA358,$AC358,IF(L$2=$AF358,$AG358,0))))</f>
        <v/>
      </c>
      <c r="Y358">
        <f>IF(M357&lt;=0,0,MIN(AR358,M$7+IF(M$2=$AA358,$AC358,IF(M$2=$AF358,$AG358,0))))</f>
        <v/>
      </c>
      <c r="Z358">
        <f>IF(N357&lt;=0,0,MIN(AS358,N$7+IF(N$2=$AA358,$AC358,IF(N$2=$AF358,$AG358,0))))</f>
        <v/>
      </c>
      <c r="AA358">
        <f>IFERROR(ROUND(1/SUMPRODUCT(MAX((C357:N357&gt;0)*($C$3:$N$3&lt;=B358)/$C$2:$N$2)),0),0)</f>
        <v/>
      </c>
      <c r="AB358">
        <f>SUMPRODUCT((C357:N357&gt;0)*$C$7:$N$7)</f>
        <v/>
      </c>
      <c r="AC358">
        <f>MAX(0,Plan!$C$5-AB358)+IF(A358=Plan!$C$8,N(Plan!$C$7),0)</f>
        <v/>
      </c>
      <c r="AD358">
        <f>SUM(C358:N358)</f>
        <v/>
      </c>
      <c r="AE358">
        <f>SUM(O358:Z358)</f>
        <v/>
      </c>
      <c r="AF358">
        <f>IFERROR(ROUND(1/SUMPRODUCT(MAX((C357:N357&gt;0)*($C$3:$N$3&lt;=B358)*($C$2:$N$2&gt;AA358)/$C$2:$N$2)),0),0)</f>
        <v/>
      </c>
      <c r="AG358">
        <f>MAX(0,AC358-MAX(0,SUMPRODUCT(($C$2:$N$2=AA358)*(AH358:AS358-$C$7:$N$7))))</f>
        <v/>
      </c>
      <c r="AH358">
        <f>IF(C357&lt;=0,0,ROUND(C357*(1+IF(AND(C$6&gt;0,$B358&lt;C$6),C$4,C$5)/12),2))</f>
        <v/>
      </c>
      <c r="AI358">
        <f>IF(D357&lt;=0,0,ROUND(D357*(1+IF(AND(D$6&gt;0,$B358&lt;D$6),D$4,D$5)/12),2))</f>
        <v/>
      </c>
      <c r="AJ358">
        <f>IF(E357&lt;=0,0,ROUND(E357*(1+IF(AND(E$6&gt;0,$B358&lt;E$6),E$4,E$5)/12),2))</f>
        <v/>
      </c>
      <c r="AK358">
        <f>IF(F357&lt;=0,0,ROUND(F357*(1+IF(AND(F$6&gt;0,$B358&lt;F$6),F$4,F$5)/12),2))</f>
        <v/>
      </c>
      <c r="AL358">
        <f>IF(G357&lt;=0,0,ROUND(G357*(1+IF(AND(G$6&gt;0,$B358&lt;G$6),G$4,G$5)/12),2))</f>
        <v/>
      </c>
      <c r="AM358">
        <f>IF(H357&lt;=0,0,ROUND(H357*(1+IF(AND(H$6&gt;0,$B358&lt;H$6),H$4,H$5)/12),2))</f>
        <v/>
      </c>
      <c r="AN358">
        <f>IF(I357&lt;=0,0,ROUND(I357*(1+IF(AND(I$6&gt;0,$B358&lt;I$6),I$4,I$5)/12),2))</f>
        <v/>
      </c>
      <c r="AO358">
        <f>IF(J357&lt;=0,0,ROUND(J357*(1+IF(AND(J$6&gt;0,$B358&lt;J$6),J$4,J$5)/12),2))</f>
        <v/>
      </c>
      <c r="AP358">
        <f>IF(K357&lt;=0,0,ROUND(K357*(1+IF(AND(K$6&gt;0,$B358&lt;K$6),K$4,K$5)/12),2))</f>
        <v/>
      </c>
      <c r="AQ358">
        <f>IF(L357&lt;=0,0,ROUND(L357*(1+IF(AND(L$6&gt;0,$B358&lt;L$6),L$4,L$5)/12),2))</f>
        <v/>
      </c>
      <c r="AR358">
        <f>IF(M357&lt;=0,0,ROUND(M357*(1+IF(AND(M$6&gt;0,$B358&lt;M$6),M$4,M$5)/12),2))</f>
        <v/>
      </c>
      <c r="AS358">
        <f>IF(N357&lt;=0,0,ROUND(N357*(1+IF(AND(N$6&gt;0,$B358&lt;N$6),N$4,N$5)/12),2))</f>
        <v/>
      </c>
    </row>
    <row r="359">
      <c r="A359" t="n">
        <v>348</v>
      </c>
      <c r="B359">
        <f>EDATE(Plan!$C$6,347)</f>
        <v/>
      </c>
      <c r="C359">
        <f>IF(C358&lt;=0,0,MAX(0,AH359-O359))</f>
        <v/>
      </c>
      <c r="D359">
        <f>IF(D358&lt;=0,0,MAX(0,AI359-P359))</f>
        <v/>
      </c>
      <c r="E359">
        <f>IF(E358&lt;=0,0,MAX(0,AJ359-Q359))</f>
        <v/>
      </c>
      <c r="F359">
        <f>IF(F358&lt;=0,0,MAX(0,AK359-R359))</f>
        <v/>
      </c>
      <c r="G359">
        <f>IF(G358&lt;=0,0,MAX(0,AL359-S359))</f>
        <v/>
      </c>
      <c r="H359">
        <f>IF(H358&lt;=0,0,MAX(0,AM359-T359))</f>
        <v/>
      </c>
      <c r="I359">
        <f>IF(I358&lt;=0,0,MAX(0,AN359-U359))</f>
        <v/>
      </c>
      <c r="J359">
        <f>IF(J358&lt;=0,0,MAX(0,AO359-V359))</f>
        <v/>
      </c>
      <c r="K359">
        <f>IF(K358&lt;=0,0,MAX(0,AP359-W359))</f>
        <v/>
      </c>
      <c r="L359">
        <f>IF(L358&lt;=0,0,MAX(0,AQ359-X359))</f>
        <v/>
      </c>
      <c r="M359">
        <f>IF(M358&lt;=0,0,MAX(0,AR359-Y359))</f>
        <v/>
      </c>
      <c r="N359">
        <f>IF(N358&lt;=0,0,MAX(0,AS359-Z359))</f>
        <v/>
      </c>
      <c r="O359">
        <f>IF(C358&lt;=0,0,MIN(AH359,C$7+IF(C$2=$AA359,$AC359,IF(C$2=$AF359,$AG359,0))))</f>
        <v/>
      </c>
      <c r="P359">
        <f>IF(D358&lt;=0,0,MIN(AI359,D$7+IF(D$2=$AA359,$AC359,IF(D$2=$AF359,$AG359,0))))</f>
        <v/>
      </c>
      <c r="Q359">
        <f>IF(E358&lt;=0,0,MIN(AJ359,E$7+IF(E$2=$AA359,$AC359,IF(E$2=$AF359,$AG359,0))))</f>
        <v/>
      </c>
      <c r="R359">
        <f>IF(F358&lt;=0,0,MIN(AK359,F$7+IF(F$2=$AA359,$AC359,IF(F$2=$AF359,$AG359,0))))</f>
        <v/>
      </c>
      <c r="S359">
        <f>IF(G358&lt;=0,0,MIN(AL359,G$7+IF(G$2=$AA359,$AC359,IF(G$2=$AF359,$AG359,0))))</f>
        <v/>
      </c>
      <c r="T359">
        <f>IF(H358&lt;=0,0,MIN(AM359,H$7+IF(H$2=$AA359,$AC359,IF(H$2=$AF359,$AG359,0))))</f>
        <v/>
      </c>
      <c r="U359">
        <f>IF(I358&lt;=0,0,MIN(AN359,I$7+IF(I$2=$AA359,$AC359,IF(I$2=$AF359,$AG359,0))))</f>
        <v/>
      </c>
      <c r="V359">
        <f>IF(J358&lt;=0,0,MIN(AO359,J$7+IF(J$2=$AA359,$AC359,IF(J$2=$AF359,$AG359,0))))</f>
        <v/>
      </c>
      <c r="W359">
        <f>IF(K358&lt;=0,0,MIN(AP359,K$7+IF(K$2=$AA359,$AC359,IF(K$2=$AF359,$AG359,0))))</f>
        <v/>
      </c>
      <c r="X359">
        <f>IF(L358&lt;=0,0,MIN(AQ359,L$7+IF(L$2=$AA359,$AC359,IF(L$2=$AF359,$AG359,0))))</f>
        <v/>
      </c>
      <c r="Y359">
        <f>IF(M358&lt;=0,0,MIN(AR359,M$7+IF(M$2=$AA359,$AC359,IF(M$2=$AF359,$AG359,0))))</f>
        <v/>
      </c>
      <c r="Z359">
        <f>IF(N358&lt;=0,0,MIN(AS359,N$7+IF(N$2=$AA359,$AC359,IF(N$2=$AF359,$AG359,0))))</f>
        <v/>
      </c>
      <c r="AA359">
        <f>IFERROR(ROUND(1/SUMPRODUCT(MAX((C358:N358&gt;0)*($C$3:$N$3&lt;=B359)/$C$2:$N$2)),0),0)</f>
        <v/>
      </c>
      <c r="AB359">
        <f>SUMPRODUCT((C358:N358&gt;0)*$C$7:$N$7)</f>
        <v/>
      </c>
      <c r="AC359">
        <f>MAX(0,Plan!$C$5-AB359)+IF(A359=Plan!$C$8,N(Plan!$C$7),0)</f>
        <v/>
      </c>
      <c r="AD359">
        <f>SUM(C359:N359)</f>
        <v/>
      </c>
      <c r="AE359">
        <f>SUM(O359:Z359)</f>
        <v/>
      </c>
      <c r="AF359">
        <f>IFERROR(ROUND(1/SUMPRODUCT(MAX((C358:N358&gt;0)*($C$3:$N$3&lt;=B359)*($C$2:$N$2&gt;AA359)/$C$2:$N$2)),0),0)</f>
        <v/>
      </c>
      <c r="AG359">
        <f>MAX(0,AC359-MAX(0,SUMPRODUCT(($C$2:$N$2=AA359)*(AH359:AS359-$C$7:$N$7))))</f>
        <v/>
      </c>
      <c r="AH359">
        <f>IF(C358&lt;=0,0,ROUND(C358*(1+IF(AND(C$6&gt;0,$B359&lt;C$6),C$4,C$5)/12),2))</f>
        <v/>
      </c>
      <c r="AI359">
        <f>IF(D358&lt;=0,0,ROUND(D358*(1+IF(AND(D$6&gt;0,$B359&lt;D$6),D$4,D$5)/12),2))</f>
        <v/>
      </c>
      <c r="AJ359">
        <f>IF(E358&lt;=0,0,ROUND(E358*(1+IF(AND(E$6&gt;0,$B359&lt;E$6),E$4,E$5)/12),2))</f>
        <v/>
      </c>
      <c r="AK359">
        <f>IF(F358&lt;=0,0,ROUND(F358*(1+IF(AND(F$6&gt;0,$B359&lt;F$6),F$4,F$5)/12),2))</f>
        <v/>
      </c>
      <c r="AL359">
        <f>IF(G358&lt;=0,0,ROUND(G358*(1+IF(AND(G$6&gt;0,$B359&lt;G$6),G$4,G$5)/12),2))</f>
        <v/>
      </c>
      <c r="AM359">
        <f>IF(H358&lt;=0,0,ROUND(H358*(1+IF(AND(H$6&gt;0,$B359&lt;H$6),H$4,H$5)/12),2))</f>
        <v/>
      </c>
      <c r="AN359">
        <f>IF(I358&lt;=0,0,ROUND(I358*(1+IF(AND(I$6&gt;0,$B359&lt;I$6),I$4,I$5)/12),2))</f>
        <v/>
      </c>
      <c r="AO359">
        <f>IF(J358&lt;=0,0,ROUND(J358*(1+IF(AND(J$6&gt;0,$B359&lt;J$6),J$4,J$5)/12),2))</f>
        <v/>
      </c>
      <c r="AP359">
        <f>IF(K358&lt;=0,0,ROUND(K358*(1+IF(AND(K$6&gt;0,$B359&lt;K$6),K$4,K$5)/12),2))</f>
        <v/>
      </c>
      <c r="AQ359">
        <f>IF(L358&lt;=0,0,ROUND(L358*(1+IF(AND(L$6&gt;0,$B359&lt;L$6),L$4,L$5)/12),2))</f>
        <v/>
      </c>
      <c r="AR359">
        <f>IF(M358&lt;=0,0,ROUND(M358*(1+IF(AND(M$6&gt;0,$B359&lt;M$6),M$4,M$5)/12),2))</f>
        <v/>
      </c>
      <c r="AS359">
        <f>IF(N358&lt;=0,0,ROUND(N358*(1+IF(AND(N$6&gt;0,$B359&lt;N$6),N$4,N$5)/12),2))</f>
        <v/>
      </c>
    </row>
    <row r="360">
      <c r="A360" t="n">
        <v>349</v>
      </c>
      <c r="B360">
        <f>EDATE(Plan!$C$6,348)</f>
        <v/>
      </c>
      <c r="C360">
        <f>IF(C359&lt;=0,0,MAX(0,AH360-O360))</f>
        <v/>
      </c>
      <c r="D360">
        <f>IF(D359&lt;=0,0,MAX(0,AI360-P360))</f>
        <v/>
      </c>
      <c r="E360">
        <f>IF(E359&lt;=0,0,MAX(0,AJ360-Q360))</f>
        <v/>
      </c>
      <c r="F360">
        <f>IF(F359&lt;=0,0,MAX(0,AK360-R360))</f>
        <v/>
      </c>
      <c r="G360">
        <f>IF(G359&lt;=0,0,MAX(0,AL360-S360))</f>
        <v/>
      </c>
      <c r="H360">
        <f>IF(H359&lt;=0,0,MAX(0,AM360-T360))</f>
        <v/>
      </c>
      <c r="I360">
        <f>IF(I359&lt;=0,0,MAX(0,AN360-U360))</f>
        <v/>
      </c>
      <c r="J360">
        <f>IF(J359&lt;=0,0,MAX(0,AO360-V360))</f>
        <v/>
      </c>
      <c r="K360">
        <f>IF(K359&lt;=0,0,MAX(0,AP360-W360))</f>
        <v/>
      </c>
      <c r="L360">
        <f>IF(L359&lt;=0,0,MAX(0,AQ360-X360))</f>
        <v/>
      </c>
      <c r="M360">
        <f>IF(M359&lt;=0,0,MAX(0,AR360-Y360))</f>
        <v/>
      </c>
      <c r="N360">
        <f>IF(N359&lt;=0,0,MAX(0,AS360-Z360))</f>
        <v/>
      </c>
      <c r="O360">
        <f>IF(C359&lt;=0,0,MIN(AH360,C$7+IF(C$2=$AA360,$AC360,IF(C$2=$AF360,$AG360,0))))</f>
        <v/>
      </c>
      <c r="P360">
        <f>IF(D359&lt;=0,0,MIN(AI360,D$7+IF(D$2=$AA360,$AC360,IF(D$2=$AF360,$AG360,0))))</f>
        <v/>
      </c>
      <c r="Q360">
        <f>IF(E359&lt;=0,0,MIN(AJ360,E$7+IF(E$2=$AA360,$AC360,IF(E$2=$AF360,$AG360,0))))</f>
        <v/>
      </c>
      <c r="R360">
        <f>IF(F359&lt;=0,0,MIN(AK360,F$7+IF(F$2=$AA360,$AC360,IF(F$2=$AF360,$AG360,0))))</f>
        <v/>
      </c>
      <c r="S360">
        <f>IF(G359&lt;=0,0,MIN(AL360,G$7+IF(G$2=$AA360,$AC360,IF(G$2=$AF360,$AG360,0))))</f>
        <v/>
      </c>
      <c r="T360">
        <f>IF(H359&lt;=0,0,MIN(AM360,H$7+IF(H$2=$AA360,$AC360,IF(H$2=$AF360,$AG360,0))))</f>
        <v/>
      </c>
      <c r="U360">
        <f>IF(I359&lt;=0,0,MIN(AN360,I$7+IF(I$2=$AA360,$AC360,IF(I$2=$AF360,$AG360,0))))</f>
        <v/>
      </c>
      <c r="V360">
        <f>IF(J359&lt;=0,0,MIN(AO360,J$7+IF(J$2=$AA360,$AC360,IF(J$2=$AF360,$AG360,0))))</f>
        <v/>
      </c>
      <c r="W360">
        <f>IF(K359&lt;=0,0,MIN(AP360,K$7+IF(K$2=$AA360,$AC360,IF(K$2=$AF360,$AG360,0))))</f>
        <v/>
      </c>
      <c r="X360">
        <f>IF(L359&lt;=0,0,MIN(AQ360,L$7+IF(L$2=$AA360,$AC360,IF(L$2=$AF360,$AG360,0))))</f>
        <v/>
      </c>
      <c r="Y360">
        <f>IF(M359&lt;=0,0,MIN(AR360,M$7+IF(M$2=$AA360,$AC360,IF(M$2=$AF360,$AG360,0))))</f>
        <v/>
      </c>
      <c r="Z360">
        <f>IF(N359&lt;=0,0,MIN(AS360,N$7+IF(N$2=$AA360,$AC360,IF(N$2=$AF360,$AG360,0))))</f>
        <v/>
      </c>
      <c r="AA360">
        <f>IFERROR(ROUND(1/SUMPRODUCT(MAX((C359:N359&gt;0)*($C$3:$N$3&lt;=B360)/$C$2:$N$2)),0),0)</f>
        <v/>
      </c>
      <c r="AB360">
        <f>SUMPRODUCT((C359:N359&gt;0)*$C$7:$N$7)</f>
        <v/>
      </c>
      <c r="AC360">
        <f>MAX(0,Plan!$C$5-AB360)+IF(A360=Plan!$C$8,N(Plan!$C$7),0)</f>
        <v/>
      </c>
      <c r="AD360">
        <f>SUM(C360:N360)</f>
        <v/>
      </c>
      <c r="AE360">
        <f>SUM(O360:Z360)</f>
        <v/>
      </c>
      <c r="AF360">
        <f>IFERROR(ROUND(1/SUMPRODUCT(MAX((C359:N359&gt;0)*($C$3:$N$3&lt;=B360)*($C$2:$N$2&gt;AA360)/$C$2:$N$2)),0),0)</f>
        <v/>
      </c>
      <c r="AG360">
        <f>MAX(0,AC360-MAX(0,SUMPRODUCT(($C$2:$N$2=AA360)*(AH360:AS360-$C$7:$N$7))))</f>
        <v/>
      </c>
      <c r="AH360">
        <f>IF(C359&lt;=0,0,ROUND(C359*(1+IF(AND(C$6&gt;0,$B360&lt;C$6),C$4,C$5)/12),2))</f>
        <v/>
      </c>
      <c r="AI360">
        <f>IF(D359&lt;=0,0,ROUND(D359*(1+IF(AND(D$6&gt;0,$B360&lt;D$6),D$4,D$5)/12),2))</f>
        <v/>
      </c>
      <c r="AJ360">
        <f>IF(E359&lt;=0,0,ROUND(E359*(1+IF(AND(E$6&gt;0,$B360&lt;E$6),E$4,E$5)/12),2))</f>
        <v/>
      </c>
      <c r="AK360">
        <f>IF(F359&lt;=0,0,ROUND(F359*(1+IF(AND(F$6&gt;0,$B360&lt;F$6),F$4,F$5)/12),2))</f>
        <v/>
      </c>
      <c r="AL360">
        <f>IF(G359&lt;=0,0,ROUND(G359*(1+IF(AND(G$6&gt;0,$B360&lt;G$6),G$4,G$5)/12),2))</f>
        <v/>
      </c>
      <c r="AM360">
        <f>IF(H359&lt;=0,0,ROUND(H359*(1+IF(AND(H$6&gt;0,$B360&lt;H$6),H$4,H$5)/12),2))</f>
        <v/>
      </c>
      <c r="AN360">
        <f>IF(I359&lt;=0,0,ROUND(I359*(1+IF(AND(I$6&gt;0,$B360&lt;I$6),I$4,I$5)/12),2))</f>
        <v/>
      </c>
      <c r="AO360">
        <f>IF(J359&lt;=0,0,ROUND(J359*(1+IF(AND(J$6&gt;0,$B360&lt;J$6),J$4,J$5)/12),2))</f>
        <v/>
      </c>
      <c r="AP360">
        <f>IF(K359&lt;=0,0,ROUND(K359*(1+IF(AND(K$6&gt;0,$B360&lt;K$6),K$4,K$5)/12),2))</f>
        <v/>
      </c>
      <c r="AQ360">
        <f>IF(L359&lt;=0,0,ROUND(L359*(1+IF(AND(L$6&gt;0,$B360&lt;L$6),L$4,L$5)/12),2))</f>
        <v/>
      </c>
      <c r="AR360">
        <f>IF(M359&lt;=0,0,ROUND(M359*(1+IF(AND(M$6&gt;0,$B360&lt;M$6),M$4,M$5)/12),2))</f>
        <v/>
      </c>
      <c r="AS360">
        <f>IF(N359&lt;=0,0,ROUND(N359*(1+IF(AND(N$6&gt;0,$B360&lt;N$6),N$4,N$5)/12),2))</f>
        <v/>
      </c>
    </row>
    <row r="361">
      <c r="A361" t="n">
        <v>350</v>
      </c>
      <c r="B361">
        <f>EDATE(Plan!$C$6,349)</f>
        <v/>
      </c>
      <c r="C361">
        <f>IF(C360&lt;=0,0,MAX(0,AH361-O361))</f>
        <v/>
      </c>
      <c r="D361">
        <f>IF(D360&lt;=0,0,MAX(0,AI361-P361))</f>
        <v/>
      </c>
      <c r="E361">
        <f>IF(E360&lt;=0,0,MAX(0,AJ361-Q361))</f>
        <v/>
      </c>
      <c r="F361">
        <f>IF(F360&lt;=0,0,MAX(0,AK361-R361))</f>
        <v/>
      </c>
      <c r="G361">
        <f>IF(G360&lt;=0,0,MAX(0,AL361-S361))</f>
        <v/>
      </c>
      <c r="H361">
        <f>IF(H360&lt;=0,0,MAX(0,AM361-T361))</f>
        <v/>
      </c>
      <c r="I361">
        <f>IF(I360&lt;=0,0,MAX(0,AN361-U361))</f>
        <v/>
      </c>
      <c r="J361">
        <f>IF(J360&lt;=0,0,MAX(0,AO361-V361))</f>
        <v/>
      </c>
      <c r="K361">
        <f>IF(K360&lt;=0,0,MAX(0,AP361-W361))</f>
        <v/>
      </c>
      <c r="L361">
        <f>IF(L360&lt;=0,0,MAX(0,AQ361-X361))</f>
        <v/>
      </c>
      <c r="M361">
        <f>IF(M360&lt;=0,0,MAX(0,AR361-Y361))</f>
        <v/>
      </c>
      <c r="N361">
        <f>IF(N360&lt;=0,0,MAX(0,AS361-Z361))</f>
        <v/>
      </c>
      <c r="O361">
        <f>IF(C360&lt;=0,0,MIN(AH361,C$7+IF(C$2=$AA361,$AC361,IF(C$2=$AF361,$AG361,0))))</f>
        <v/>
      </c>
      <c r="P361">
        <f>IF(D360&lt;=0,0,MIN(AI361,D$7+IF(D$2=$AA361,$AC361,IF(D$2=$AF361,$AG361,0))))</f>
        <v/>
      </c>
      <c r="Q361">
        <f>IF(E360&lt;=0,0,MIN(AJ361,E$7+IF(E$2=$AA361,$AC361,IF(E$2=$AF361,$AG361,0))))</f>
        <v/>
      </c>
      <c r="R361">
        <f>IF(F360&lt;=0,0,MIN(AK361,F$7+IF(F$2=$AA361,$AC361,IF(F$2=$AF361,$AG361,0))))</f>
        <v/>
      </c>
      <c r="S361">
        <f>IF(G360&lt;=0,0,MIN(AL361,G$7+IF(G$2=$AA361,$AC361,IF(G$2=$AF361,$AG361,0))))</f>
        <v/>
      </c>
      <c r="T361">
        <f>IF(H360&lt;=0,0,MIN(AM361,H$7+IF(H$2=$AA361,$AC361,IF(H$2=$AF361,$AG361,0))))</f>
        <v/>
      </c>
      <c r="U361">
        <f>IF(I360&lt;=0,0,MIN(AN361,I$7+IF(I$2=$AA361,$AC361,IF(I$2=$AF361,$AG361,0))))</f>
        <v/>
      </c>
      <c r="V361">
        <f>IF(J360&lt;=0,0,MIN(AO361,J$7+IF(J$2=$AA361,$AC361,IF(J$2=$AF361,$AG361,0))))</f>
        <v/>
      </c>
      <c r="W361">
        <f>IF(K360&lt;=0,0,MIN(AP361,K$7+IF(K$2=$AA361,$AC361,IF(K$2=$AF361,$AG361,0))))</f>
        <v/>
      </c>
      <c r="X361">
        <f>IF(L360&lt;=0,0,MIN(AQ361,L$7+IF(L$2=$AA361,$AC361,IF(L$2=$AF361,$AG361,0))))</f>
        <v/>
      </c>
      <c r="Y361">
        <f>IF(M360&lt;=0,0,MIN(AR361,M$7+IF(M$2=$AA361,$AC361,IF(M$2=$AF361,$AG361,0))))</f>
        <v/>
      </c>
      <c r="Z361">
        <f>IF(N360&lt;=0,0,MIN(AS361,N$7+IF(N$2=$AA361,$AC361,IF(N$2=$AF361,$AG361,0))))</f>
        <v/>
      </c>
      <c r="AA361">
        <f>IFERROR(ROUND(1/SUMPRODUCT(MAX((C360:N360&gt;0)*($C$3:$N$3&lt;=B361)/$C$2:$N$2)),0),0)</f>
        <v/>
      </c>
      <c r="AB361">
        <f>SUMPRODUCT((C360:N360&gt;0)*$C$7:$N$7)</f>
        <v/>
      </c>
      <c r="AC361">
        <f>MAX(0,Plan!$C$5-AB361)+IF(A361=Plan!$C$8,N(Plan!$C$7),0)</f>
        <v/>
      </c>
      <c r="AD361">
        <f>SUM(C361:N361)</f>
        <v/>
      </c>
      <c r="AE361">
        <f>SUM(O361:Z361)</f>
        <v/>
      </c>
      <c r="AF361">
        <f>IFERROR(ROUND(1/SUMPRODUCT(MAX((C360:N360&gt;0)*($C$3:$N$3&lt;=B361)*($C$2:$N$2&gt;AA361)/$C$2:$N$2)),0),0)</f>
        <v/>
      </c>
      <c r="AG361">
        <f>MAX(0,AC361-MAX(0,SUMPRODUCT(($C$2:$N$2=AA361)*(AH361:AS361-$C$7:$N$7))))</f>
        <v/>
      </c>
      <c r="AH361">
        <f>IF(C360&lt;=0,0,ROUND(C360*(1+IF(AND(C$6&gt;0,$B361&lt;C$6),C$4,C$5)/12),2))</f>
        <v/>
      </c>
      <c r="AI361">
        <f>IF(D360&lt;=0,0,ROUND(D360*(1+IF(AND(D$6&gt;0,$B361&lt;D$6),D$4,D$5)/12),2))</f>
        <v/>
      </c>
      <c r="AJ361">
        <f>IF(E360&lt;=0,0,ROUND(E360*(1+IF(AND(E$6&gt;0,$B361&lt;E$6),E$4,E$5)/12),2))</f>
        <v/>
      </c>
      <c r="AK361">
        <f>IF(F360&lt;=0,0,ROUND(F360*(1+IF(AND(F$6&gt;0,$B361&lt;F$6),F$4,F$5)/12),2))</f>
        <v/>
      </c>
      <c r="AL361">
        <f>IF(G360&lt;=0,0,ROUND(G360*(1+IF(AND(G$6&gt;0,$B361&lt;G$6),G$4,G$5)/12),2))</f>
        <v/>
      </c>
      <c r="AM361">
        <f>IF(H360&lt;=0,0,ROUND(H360*(1+IF(AND(H$6&gt;0,$B361&lt;H$6),H$4,H$5)/12),2))</f>
        <v/>
      </c>
      <c r="AN361">
        <f>IF(I360&lt;=0,0,ROUND(I360*(1+IF(AND(I$6&gt;0,$B361&lt;I$6),I$4,I$5)/12),2))</f>
        <v/>
      </c>
      <c r="AO361">
        <f>IF(J360&lt;=0,0,ROUND(J360*(1+IF(AND(J$6&gt;0,$B361&lt;J$6),J$4,J$5)/12),2))</f>
        <v/>
      </c>
      <c r="AP361">
        <f>IF(K360&lt;=0,0,ROUND(K360*(1+IF(AND(K$6&gt;0,$B361&lt;K$6),K$4,K$5)/12),2))</f>
        <v/>
      </c>
      <c r="AQ361">
        <f>IF(L360&lt;=0,0,ROUND(L360*(1+IF(AND(L$6&gt;0,$B361&lt;L$6),L$4,L$5)/12),2))</f>
        <v/>
      </c>
      <c r="AR361">
        <f>IF(M360&lt;=0,0,ROUND(M360*(1+IF(AND(M$6&gt;0,$B361&lt;M$6),M$4,M$5)/12),2))</f>
        <v/>
      </c>
      <c r="AS361">
        <f>IF(N360&lt;=0,0,ROUND(N360*(1+IF(AND(N$6&gt;0,$B361&lt;N$6),N$4,N$5)/12),2))</f>
        <v/>
      </c>
    </row>
    <row r="362">
      <c r="A362" t="n">
        <v>351</v>
      </c>
      <c r="B362">
        <f>EDATE(Plan!$C$6,350)</f>
        <v/>
      </c>
      <c r="C362">
        <f>IF(C361&lt;=0,0,MAX(0,AH362-O362))</f>
        <v/>
      </c>
      <c r="D362">
        <f>IF(D361&lt;=0,0,MAX(0,AI362-P362))</f>
        <v/>
      </c>
      <c r="E362">
        <f>IF(E361&lt;=0,0,MAX(0,AJ362-Q362))</f>
        <v/>
      </c>
      <c r="F362">
        <f>IF(F361&lt;=0,0,MAX(0,AK362-R362))</f>
        <v/>
      </c>
      <c r="G362">
        <f>IF(G361&lt;=0,0,MAX(0,AL362-S362))</f>
        <v/>
      </c>
      <c r="H362">
        <f>IF(H361&lt;=0,0,MAX(0,AM362-T362))</f>
        <v/>
      </c>
      <c r="I362">
        <f>IF(I361&lt;=0,0,MAX(0,AN362-U362))</f>
        <v/>
      </c>
      <c r="J362">
        <f>IF(J361&lt;=0,0,MAX(0,AO362-V362))</f>
        <v/>
      </c>
      <c r="K362">
        <f>IF(K361&lt;=0,0,MAX(0,AP362-W362))</f>
        <v/>
      </c>
      <c r="L362">
        <f>IF(L361&lt;=0,0,MAX(0,AQ362-X362))</f>
        <v/>
      </c>
      <c r="M362">
        <f>IF(M361&lt;=0,0,MAX(0,AR362-Y362))</f>
        <v/>
      </c>
      <c r="N362">
        <f>IF(N361&lt;=0,0,MAX(0,AS362-Z362))</f>
        <v/>
      </c>
      <c r="O362">
        <f>IF(C361&lt;=0,0,MIN(AH362,C$7+IF(C$2=$AA362,$AC362,IF(C$2=$AF362,$AG362,0))))</f>
        <v/>
      </c>
      <c r="P362">
        <f>IF(D361&lt;=0,0,MIN(AI362,D$7+IF(D$2=$AA362,$AC362,IF(D$2=$AF362,$AG362,0))))</f>
        <v/>
      </c>
      <c r="Q362">
        <f>IF(E361&lt;=0,0,MIN(AJ362,E$7+IF(E$2=$AA362,$AC362,IF(E$2=$AF362,$AG362,0))))</f>
        <v/>
      </c>
      <c r="R362">
        <f>IF(F361&lt;=0,0,MIN(AK362,F$7+IF(F$2=$AA362,$AC362,IF(F$2=$AF362,$AG362,0))))</f>
        <v/>
      </c>
      <c r="S362">
        <f>IF(G361&lt;=0,0,MIN(AL362,G$7+IF(G$2=$AA362,$AC362,IF(G$2=$AF362,$AG362,0))))</f>
        <v/>
      </c>
      <c r="T362">
        <f>IF(H361&lt;=0,0,MIN(AM362,H$7+IF(H$2=$AA362,$AC362,IF(H$2=$AF362,$AG362,0))))</f>
        <v/>
      </c>
      <c r="U362">
        <f>IF(I361&lt;=0,0,MIN(AN362,I$7+IF(I$2=$AA362,$AC362,IF(I$2=$AF362,$AG362,0))))</f>
        <v/>
      </c>
      <c r="V362">
        <f>IF(J361&lt;=0,0,MIN(AO362,J$7+IF(J$2=$AA362,$AC362,IF(J$2=$AF362,$AG362,0))))</f>
        <v/>
      </c>
      <c r="W362">
        <f>IF(K361&lt;=0,0,MIN(AP362,K$7+IF(K$2=$AA362,$AC362,IF(K$2=$AF362,$AG362,0))))</f>
        <v/>
      </c>
      <c r="X362">
        <f>IF(L361&lt;=0,0,MIN(AQ362,L$7+IF(L$2=$AA362,$AC362,IF(L$2=$AF362,$AG362,0))))</f>
        <v/>
      </c>
      <c r="Y362">
        <f>IF(M361&lt;=0,0,MIN(AR362,M$7+IF(M$2=$AA362,$AC362,IF(M$2=$AF362,$AG362,0))))</f>
        <v/>
      </c>
      <c r="Z362">
        <f>IF(N361&lt;=0,0,MIN(AS362,N$7+IF(N$2=$AA362,$AC362,IF(N$2=$AF362,$AG362,0))))</f>
        <v/>
      </c>
      <c r="AA362">
        <f>IFERROR(ROUND(1/SUMPRODUCT(MAX((C361:N361&gt;0)*($C$3:$N$3&lt;=B362)/$C$2:$N$2)),0),0)</f>
        <v/>
      </c>
      <c r="AB362">
        <f>SUMPRODUCT((C361:N361&gt;0)*$C$7:$N$7)</f>
        <v/>
      </c>
      <c r="AC362">
        <f>MAX(0,Plan!$C$5-AB362)+IF(A362=Plan!$C$8,N(Plan!$C$7),0)</f>
        <v/>
      </c>
      <c r="AD362">
        <f>SUM(C362:N362)</f>
        <v/>
      </c>
      <c r="AE362">
        <f>SUM(O362:Z362)</f>
        <v/>
      </c>
      <c r="AF362">
        <f>IFERROR(ROUND(1/SUMPRODUCT(MAX((C361:N361&gt;0)*($C$3:$N$3&lt;=B362)*($C$2:$N$2&gt;AA362)/$C$2:$N$2)),0),0)</f>
        <v/>
      </c>
      <c r="AG362">
        <f>MAX(0,AC362-MAX(0,SUMPRODUCT(($C$2:$N$2=AA362)*(AH362:AS362-$C$7:$N$7))))</f>
        <v/>
      </c>
      <c r="AH362">
        <f>IF(C361&lt;=0,0,ROUND(C361*(1+IF(AND(C$6&gt;0,$B362&lt;C$6),C$4,C$5)/12),2))</f>
        <v/>
      </c>
      <c r="AI362">
        <f>IF(D361&lt;=0,0,ROUND(D361*(1+IF(AND(D$6&gt;0,$B362&lt;D$6),D$4,D$5)/12),2))</f>
        <v/>
      </c>
      <c r="AJ362">
        <f>IF(E361&lt;=0,0,ROUND(E361*(1+IF(AND(E$6&gt;0,$B362&lt;E$6),E$4,E$5)/12),2))</f>
        <v/>
      </c>
      <c r="AK362">
        <f>IF(F361&lt;=0,0,ROUND(F361*(1+IF(AND(F$6&gt;0,$B362&lt;F$6),F$4,F$5)/12),2))</f>
        <v/>
      </c>
      <c r="AL362">
        <f>IF(G361&lt;=0,0,ROUND(G361*(1+IF(AND(G$6&gt;0,$B362&lt;G$6),G$4,G$5)/12),2))</f>
        <v/>
      </c>
      <c r="AM362">
        <f>IF(H361&lt;=0,0,ROUND(H361*(1+IF(AND(H$6&gt;0,$B362&lt;H$6),H$4,H$5)/12),2))</f>
        <v/>
      </c>
      <c r="AN362">
        <f>IF(I361&lt;=0,0,ROUND(I361*(1+IF(AND(I$6&gt;0,$B362&lt;I$6),I$4,I$5)/12),2))</f>
        <v/>
      </c>
      <c r="AO362">
        <f>IF(J361&lt;=0,0,ROUND(J361*(1+IF(AND(J$6&gt;0,$B362&lt;J$6),J$4,J$5)/12),2))</f>
        <v/>
      </c>
      <c r="AP362">
        <f>IF(K361&lt;=0,0,ROUND(K361*(1+IF(AND(K$6&gt;0,$B362&lt;K$6),K$4,K$5)/12),2))</f>
        <v/>
      </c>
      <c r="AQ362">
        <f>IF(L361&lt;=0,0,ROUND(L361*(1+IF(AND(L$6&gt;0,$B362&lt;L$6),L$4,L$5)/12),2))</f>
        <v/>
      </c>
      <c r="AR362">
        <f>IF(M361&lt;=0,0,ROUND(M361*(1+IF(AND(M$6&gt;0,$B362&lt;M$6),M$4,M$5)/12),2))</f>
        <v/>
      </c>
      <c r="AS362">
        <f>IF(N361&lt;=0,0,ROUND(N361*(1+IF(AND(N$6&gt;0,$B362&lt;N$6),N$4,N$5)/12),2))</f>
        <v/>
      </c>
    </row>
    <row r="363">
      <c r="A363" t="n">
        <v>352</v>
      </c>
      <c r="B363">
        <f>EDATE(Plan!$C$6,351)</f>
        <v/>
      </c>
      <c r="C363">
        <f>IF(C362&lt;=0,0,MAX(0,AH363-O363))</f>
        <v/>
      </c>
      <c r="D363">
        <f>IF(D362&lt;=0,0,MAX(0,AI363-P363))</f>
        <v/>
      </c>
      <c r="E363">
        <f>IF(E362&lt;=0,0,MAX(0,AJ363-Q363))</f>
        <v/>
      </c>
      <c r="F363">
        <f>IF(F362&lt;=0,0,MAX(0,AK363-R363))</f>
        <v/>
      </c>
      <c r="G363">
        <f>IF(G362&lt;=0,0,MAX(0,AL363-S363))</f>
        <v/>
      </c>
      <c r="H363">
        <f>IF(H362&lt;=0,0,MAX(0,AM363-T363))</f>
        <v/>
      </c>
      <c r="I363">
        <f>IF(I362&lt;=0,0,MAX(0,AN363-U363))</f>
        <v/>
      </c>
      <c r="J363">
        <f>IF(J362&lt;=0,0,MAX(0,AO363-V363))</f>
        <v/>
      </c>
      <c r="K363">
        <f>IF(K362&lt;=0,0,MAX(0,AP363-W363))</f>
        <v/>
      </c>
      <c r="L363">
        <f>IF(L362&lt;=0,0,MAX(0,AQ363-X363))</f>
        <v/>
      </c>
      <c r="M363">
        <f>IF(M362&lt;=0,0,MAX(0,AR363-Y363))</f>
        <v/>
      </c>
      <c r="N363">
        <f>IF(N362&lt;=0,0,MAX(0,AS363-Z363))</f>
        <v/>
      </c>
      <c r="O363">
        <f>IF(C362&lt;=0,0,MIN(AH363,C$7+IF(C$2=$AA363,$AC363,IF(C$2=$AF363,$AG363,0))))</f>
        <v/>
      </c>
      <c r="P363">
        <f>IF(D362&lt;=0,0,MIN(AI363,D$7+IF(D$2=$AA363,$AC363,IF(D$2=$AF363,$AG363,0))))</f>
        <v/>
      </c>
      <c r="Q363">
        <f>IF(E362&lt;=0,0,MIN(AJ363,E$7+IF(E$2=$AA363,$AC363,IF(E$2=$AF363,$AG363,0))))</f>
        <v/>
      </c>
      <c r="R363">
        <f>IF(F362&lt;=0,0,MIN(AK363,F$7+IF(F$2=$AA363,$AC363,IF(F$2=$AF363,$AG363,0))))</f>
        <v/>
      </c>
      <c r="S363">
        <f>IF(G362&lt;=0,0,MIN(AL363,G$7+IF(G$2=$AA363,$AC363,IF(G$2=$AF363,$AG363,0))))</f>
        <v/>
      </c>
      <c r="T363">
        <f>IF(H362&lt;=0,0,MIN(AM363,H$7+IF(H$2=$AA363,$AC363,IF(H$2=$AF363,$AG363,0))))</f>
        <v/>
      </c>
      <c r="U363">
        <f>IF(I362&lt;=0,0,MIN(AN363,I$7+IF(I$2=$AA363,$AC363,IF(I$2=$AF363,$AG363,0))))</f>
        <v/>
      </c>
      <c r="V363">
        <f>IF(J362&lt;=0,0,MIN(AO363,J$7+IF(J$2=$AA363,$AC363,IF(J$2=$AF363,$AG363,0))))</f>
        <v/>
      </c>
      <c r="W363">
        <f>IF(K362&lt;=0,0,MIN(AP363,K$7+IF(K$2=$AA363,$AC363,IF(K$2=$AF363,$AG363,0))))</f>
        <v/>
      </c>
      <c r="X363">
        <f>IF(L362&lt;=0,0,MIN(AQ363,L$7+IF(L$2=$AA363,$AC363,IF(L$2=$AF363,$AG363,0))))</f>
        <v/>
      </c>
      <c r="Y363">
        <f>IF(M362&lt;=0,0,MIN(AR363,M$7+IF(M$2=$AA363,$AC363,IF(M$2=$AF363,$AG363,0))))</f>
        <v/>
      </c>
      <c r="Z363">
        <f>IF(N362&lt;=0,0,MIN(AS363,N$7+IF(N$2=$AA363,$AC363,IF(N$2=$AF363,$AG363,0))))</f>
        <v/>
      </c>
      <c r="AA363">
        <f>IFERROR(ROUND(1/SUMPRODUCT(MAX((C362:N362&gt;0)*($C$3:$N$3&lt;=B363)/$C$2:$N$2)),0),0)</f>
        <v/>
      </c>
      <c r="AB363">
        <f>SUMPRODUCT((C362:N362&gt;0)*$C$7:$N$7)</f>
        <v/>
      </c>
      <c r="AC363">
        <f>MAX(0,Plan!$C$5-AB363)+IF(A363=Plan!$C$8,N(Plan!$C$7),0)</f>
        <v/>
      </c>
      <c r="AD363">
        <f>SUM(C363:N363)</f>
        <v/>
      </c>
      <c r="AE363">
        <f>SUM(O363:Z363)</f>
        <v/>
      </c>
      <c r="AF363">
        <f>IFERROR(ROUND(1/SUMPRODUCT(MAX((C362:N362&gt;0)*($C$3:$N$3&lt;=B363)*($C$2:$N$2&gt;AA363)/$C$2:$N$2)),0),0)</f>
        <v/>
      </c>
      <c r="AG363">
        <f>MAX(0,AC363-MAX(0,SUMPRODUCT(($C$2:$N$2=AA363)*(AH363:AS363-$C$7:$N$7))))</f>
        <v/>
      </c>
      <c r="AH363">
        <f>IF(C362&lt;=0,0,ROUND(C362*(1+IF(AND(C$6&gt;0,$B363&lt;C$6),C$4,C$5)/12),2))</f>
        <v/>
      </c>
      <c r="AI363">
        <f>IF(D362&lt;=0,0,ROUND(D362*(1+IF(AND(D$6&gt;0,$B363&lt;D$6),D$4,D$5)/12),2))</f>
        <v/>
      </c>
      <c r="AJ363">
        <f>IF(E362&lt;=0,0,ROUND(E362*(1+IF(AND(E$6&gt;0,$B363&lt;E$6),E$4,E$5)/12),2))</f>
        <v/>
      </c>
      <c r="AK363">
        <f>IF(F362&lt;=0,0,ROUND(F362*(1+IF(AND(F$6&gt;0,$B363&lt;F$6),F$4,F$5)/12),2))</f>
        <v/>
      </c>
      <c r="AL363">
        <f>IF(G362&lt;=0,0,ROUND(G362*(1+IF(AND(G$6&gt;0,$B363&lt;G$6),G$4,G$5)/12),2))</f>
        <v/>
      </c>
      <c r="AM363">
        <f>IF(H362&lt;=0,0,ROUND(H362*(1+IF(AND(H$6&gt;0,$B363&lt;H$6),H$4,H$5)/12),2))</f>
        <v/>
      </c>
      <c r="AN363">
        <f>IF(I362&lt;=0,0,ROUND(I362*(1+IF(AND(I$6&gt;0,$B363&lt;I$6),I$4,I$5)/12),2))</f>
        <v/>
      </c>
      <c r="AO363">
        <f>IF(J362&lt;=0,0,ROUND(J362*(1+IF(AND(J$6&gt;0,$B363&lt;J$6),J$4,J$5)/12),2))</f>
        <v/>
      </c>
      <c r="AP363">
        <f>IF(K362&lt;=0,0,ROUND(K362*(1+IF(AND(K$6&gt;0,$B363&lt;K$6),K$4,K$5)/12),2))</f>
        <v/>
      </c>
      <c r="AQ363">
        <f>IF(L362&lt;=0,0,ROUND(L362*(1+IF(AND(L$6&gt;0,$B363&lt;L$6),L$4,L$5)/12),2))</f>
        <v/>
      </c>
      <c r="AR363">
        <f>IF(M362&lt;=0,0,ROUND(M362*(1+IF(AND(M$6&gt;0,$B363&lt;M$6),M$4,M$5)/12),2))</f>
        <v/>
      </c>
      <c r="AS363">
        <f>IF(N362&lt;=0,0,ROUND(N362*(1+IF(AND(N$6&gt;0,$B363&lt;N$6),N$4,N$5)/12),2))</f>
        <v/>
      </c>
    </row>
    <row r="364">
      <c r="A364" t="n">
        <v>353</v>
      </c>
      <c r="B364">
        <f>EDATE(Plan!$C$6,352)</f>
        <v/>
      </c>
      <c r="C364">
        <f>IF(C363&lt;=0,0,MAX(0,AH364-O364))</f>
        <v/>
      </c>
      <c r="D364">
        <f>IF(D363&lt;=0,0,MAX(0,AI364-P364))</f>
        <v/>
      </c>
      <c r="E364">
        <f>IF(E363&lt;=0,0,MAX(0,AJ364-Q364))</f>
        <v/>
      </c>
      <c r="F364">
        <f>IF(F363&lt;=0,0,MAX(0,AK364-R364))</f>
        <v/>
      </c>
      <c r="G364">
        <f>IF(G363&lt;=0,0,MAX(0,AL364-S364))</f>
        <v/>
      </c>
      <c r="H364">
        <f>IF(H363&lt;=0,0,MAX(0,AM364-T364))</f>
        <v/>
      </c>
      <c r="I364">
        <f>IF(I363&lt;=0,0,MAX(0,AN364-U364))</f>
        <v/>
      </c>
      <c r="J364">
        <f>IF(J363&lt;=0,0,MAX(0,AO364-V364))</f>
        <v/>
      </c>
      <c r="K364">
        <f>IF(K363&lt;=0,0,MAX(0,AP364-W364))</f>
        <v/>
      </c>
      <c r="L364">
        <f>IF(L363&lt;=0,0,MAX(0,AQ364-X364))</f>
        <v/>
      </c>
      <c r="M364">
        <f>IF(M363&lt;=0,0,MAX(0,AR364-Y364))</f>
        <v/>
      </c>
      <c r="N364">
        <f>IF(N363&lt;=0,0,MAX(0,AS364-Z364))</f>
        <v/>
      </c>
      <c r="O364">
        <f>IF(C363&lt;=0,0,MIN(AH364,C$7+IF(C$2=$AA364,$AC364,IF(C$2=$AF364,$AG364,0))))</f>
        <v/>
      </c>
      <c r="P364">
        <f>IF(D363&lt;=0,0,MIN(AI364,D$7+IF(D$2=$AA364,$AC364,IF(D$2=$AF364,$AG364,0))))</f>
        <v/>
      </c>
      <c r="Q364">
        <f>IF(E363&lt;=0,0,MIN(AJ364,E$7+IF(E$2=$AA364,$AC364,IF(E$2=$AF364,$AG364,0))))</f>
        <v/>
      </c>
      <c r="R364">
        <f>IF(F363&lt;=0,0,MIN(AK364,F$7+IF(F$2=$AA364,$AC364,IF(F$2=$AF364,$AG364,0))))</f>
        <v/>
      </c>
      <c r="S364">
        <f>IF(G363&lt;=0,0,MIN(AL364,G$7+IF(G$2=$AA364,$AC364,IF(G$2=$AF364,$AG364,0))))</f>
        <v/>
      </c>
      <c r="T364">
        <f>IF(H363&lt;=0,0,MIN(AM364,H$7+IF(H$2=$AA364,$AC364,IF(H$2=$AF364,$AG364,0))))</f>
        <v/>
      </c>
      <c r="U364">
        <f>IF(I363&lt;=0,0,MIN(AN364,I$7+IF(I$2=$AA364,$AC364,IF(I$2=$AF364,$AG364,0))))</f>
        <v/>
      </c>
      <c r="V364">
        <f>IF(J363&lt;=0,0,MIN(AO364,J$7+IF(J$2=$AA364,$AC364,IF(J$2=$AF364,$AG364,0))))</f>
        <v/>
      </c>
      <c r="W364">
        <f>IF(K363&lt;=0,0,MIN(AP364,K$7+IF(K$2=$AA364,$AC364,IF(K$2=$AF364,$AG364,0))))</f>
        <v/>
      </c>
      <c r="X364">
        <f>IF(L363&lt;=0,0,MIN(AQ364,L$7+IF(L$2=$AA364,$AC364,IF(L$2=$AF364,$AG364,0))))</f>
        <v/>
      </c>
      <c r="Y364">
        <f>IF(M363&lt;=0,0,MIN(AR364,M$7+IF(M$2=$AA364,$AC364,IF(M$2=$AF364,$AG364,0))))</f>
        <v/>
      </c>
      <c r="Z364">
        <f>IF(N363&lt;=0,0,MIN(AS364,N$7+IF(N$2=$AA364,$AC364,IF(N$2=$AF364,$AG364,0))))</f>
        <v/>
      </c>
      <c r="AA364">
        <f>IFERROR(ROUND(1/SUMPRODUCT(MAX((C363:N363&gt;0)*($C$3:$N$3&lt;=B364)/$C$2:$N$2)),0),0)</f>
        <v/>
      </c>
      <c r="AB364">
        <f>SUMPRODUCT((C363:N363&gt;0)*$C$7:$N$7)</f>
        <v/>
      </c>
      <c r="AC364">
        <f>MAX(0,Plan!$C$5-AB364)+IF(A364=Plan!$C$8,N(Plan!$C$7),0)</f>
        <v/>
      </c>
      <c r="AD364">
        <f>SUM(C364:N364)</f>
        <v/>
      </c>
      <c r="AE364">
        <f>SUM(O364:Z364)</f>
        <v/>
      </c>
      <c r="AF364">
        <f>IFERROR(ROUND(1/SUMPRODUCT(MAX((C363:N363&gt;0)*($C$3:$N$3&lt;=B364)*($C$2:$N$2&gt;AA364)/$C$2:$N$2)),0),0)</f>
        <v/>
      </c>
      <c r="AG364">
        <f>MAX(0,AC364-MAX(0,SUMPRODUCT(($C$2:$N$2=AA364)*(AH364:AS364-$C$7:$N$7))))</f>
        <v/>
      </c>
      <c r="AH364">
        <f>IF(C363&lt;=0,0,ROUND(C363*(1+IF(AND(C$6&gt;0,$B364&lt;C$6),C$4,C$5)/12),2))</f>
        <v/>
      </c>
      <c r="AI364">
        <f>IF(D363&lt;=0,0,ROUND(D363*(1+IF(AND(D$6&gt;0,$B364&lt;D$6),D$4,D$5)/12),2))</f>
        <v/>
      </c>
      <c r="AJ364">
        <f>IF(E363&lt;=0,0,ROUND(E363*(1+IF(AND(E$6&gt;0,$B364&lt;E$6),E$4,E$5)/12),2))</f>
        <v/>
      </c>
      <c r="AK364">
        <f>IF(F363&lt;=0,0,ROUND(F363*(1+IF(AND(F$6&gt;0,$B364&lt;F$6),F$4,F$5)/12),2))</f>
        <v/>
      </c>
      <c r="AL364">
        <f>IF(G363&lt;=0,0,ROUND(G363*(1+IF(AND(G$6&gt;0,$B364&lt;G$6),G$4,G$5)/12),2))</f>
        <v/>
      </c>
      <c r="AM364">
        <f>IF(H363&lt;=0,0,ROUND(H363*(1+IF(AND(H$6&gt;0,$B364&lt;H$6),H$4,H$5)/12),2))</f>
        <v/>
      </c>
      <c r="AN364">
        <f>IF(I363&lt;=0,0,ROUND(I363*(1+IF(AND(I$6&gt;0,$B364&lt;I$6),I$4,I$5)/12),2))</f>
        <v/>
      </c>
      <c r="AO364">
        <f>IF(J363&lt;=0,0,ROUND(J363*(1+IF(AND(J$6&gt;0,$B364&lt;J$6),J$4,J$5)/12),2))</f>
        <v/>
      </c>
      <c r="AP364">
        <f>IF(K363&lt;=0,0,ROUND(K363*(1+IF(AND(K$6&gt;0,$B364&lt;K$6),K$4,K$5)/12),2))</f>
        <v/>
      </c>
      <c r="AQ364">
        <f>IF(L363&lt;=0,0,ROUND(L363*(1+IF(AND(L$6&gt;0,$B364&lt;L$6),L$4,L$5)/12),2))</f>
        <v/>
      </c>
      <c r="AR364">
        <f>IF(M363&lt;=0,0,ROUND(M363*(1+IF(AND(M$6&gt;0,$B364&lt;M$6),M$4,M$5)/12),2))</f>
        <v/>
      </c>
      <c r="AS364">
        <f>IF(N363&lt;=0,0,ROUND(N363*(1+IF(AND(N$6&gt;0,$B364&lt;N$6),N$4,N$5)/12),2))</f>
        <v/>
      </c>
    </row>
    <row r="365">
      <c r="A365" t="n">
        <v>354</v>
      </c>
      <c r="B365">
        <f>EDATE(Plan!$C$6,353)</f>
        <v/>
      </c>
      <c r="C365">
        <f>IF(C364&lt;=0,0,MAX(0,AH365-O365))</f>
        <v/>
      </c>
      <c r="D365">
        <f>IF(D364&lt;=0,0,MAX(0,AI365-P365))</f>
        <v/>
      </c>
      <c r="E365">
        <f>IF(E364&lt;=0,0,MAX(0,AJ365-Q365))</f>
        <v/>
      </c>
      <c r="F365">
        <f>IF(F364&lt;=0,0,MAX(0,AK365-R365))</f>
        <v/>
      </c>
      <c r="G365">
        <f>IF(G364&lt;=0,0,MAX(0,AL365-S365))</f>
        <v/>
      </c>
      <c r="H365">
        <f>IF(H364&lt;=0,0,MAX(0,AM365-T365))</f>
        <v/>
      </c>
      <c r="I365">
        <f>IF(I364&lt;=0,0,MAX(0,AN365-U365))</f>
        <v/>
      </c>
      <c r="J365">
        <f>IF(J364&lt;=0,0,MAX(0,AO365-V365))</f>
        <v/>
      </c>
      <c r="K365">
        <f>IF(K364&lt;=0,0,MAX(0,AP365-W365))</f>
        <v/>
      </c>
      <c r="L365">
        <f>IF(L364&lt;=0,0,MAX(0,AQ365-X365))</f>
        <v/>
      </c>
      <c r="M365">
        <f>IF(M364&lt;=0,0,MAX(0,AR365-Y365))</f>
        <v/>
      </c>
      <c r="N365">
        <f>IF(N364&lt;=0,0,MAX(0,AS365-Z365))</f>
        <v/>
      </c>
      <c r="O365">
        <f>IF(C364&lt;=0,0,MIN(AH365,C$7+IF(C$2=$AA365,$AC365,IF(C$2=$AF365,$AG365,0))))</f>
        <v/>
      </c>
      <c r="P365">
        <f>IF(D364&lt;=0,0,MIN(AI365,D$7+IF(D$2=$AA365,$AC365,IF(D$2=$AF365,$AG365,0))))</f>
        <v/>
      </c>
      <c r="Q365">
        <f>IF(E364&lt;=0,0,MIN(AJ365,E$7+IF(E$2=$AA365,$AC365,IF(E$2=$AF365,$AG365,0))))</f>
        <v/>
      </c>
      <c r="R365">
        <f>IF(F364&lt;=0,0,MIN(AK365,F$7+IF(F$2=$AA365,$AC365,IF(F$2=$AF365,$AG365,0))))</f>
        <v/>
      </c>
      <c r="S365">
        <f>IF(G364&lt;=0,0,MIN(AL365,G$7+IF(G$2=$AA365,$AC365,IF(G$2=$AF365,$AG365,0))))</f>
        <v/>
      </c>
      <c r="T365">
        <f>IF(H364&lt;=0,0,MIN(AM365,H$7+IF(H$2=$AA365,$AC365,IF(H$2=$AF365,$AG365,0))))</f>
        <v/>
      </c>
      <c r="U365">
        <f>IF(I364&lt;=0,0,MIN(AN365,I$7+IF(I$2=$AA365,$AC365,IF(I$2=$AF365,$AG365,0))))</f>
        <v/>
      </c>
      <c r="V365">
        <f>IF(J364&lt;=0,0,MIN(AO365,J$7+IF(J$2=$AA365,$AC365,IF(J$2=$AF365,$AG365,0))))</f>
        <v/>
      </c>
      <c r="W365">
        <f>IF(K364&lt;=0,0,MIN(AP365,K$7+IF(K$2=$AA365,$AC365,IF(K$2=$AF365,$AG365,0))))</f>
        <v/>
      </c>
      <c r="X365">
        <f>IF(L364&lt;=0,0,MIN(AQ365,L$7+IF(L$2=$AA365,$AC365,IF(L$2=$AF365,$AG365,0))))</f>
        <v/>
      </c>
      <c r="Y365">
        <f>IF(M364&lt;=0,0,MIN(AR365,M$7+IF(M$2=$AA365,$AC365,IF(M$2=$AF365,$AG365,0))))</f>
        <v/>
      </c>
      <c r="Z365">
        <f>IF(N364&lt;=0,0,MIN(AS365,N$7+IF(N$2=$AA365,$AC365,IF(N$2=$AF365,$AG365,0))))</f>
        <v/>
      </c>
      <c r="AA365">
        <f>IFERROR(ROUND(1/SUMPRODUCT(MAX((C364:N364&gt;0)*($C$3:$N$3&lt;=B365)/$C$2:$N$2)),0),0)</f>
        <v/>
      </c>
      <c r="AB365">
        <f>SUMPRODUCT((C364:N364&gt;0)*$C$7:$N$7)</f>
        <v/>
      </c>
      <c r="AC365">
        <f>MAX(0,Plan!$C$5-AB365)+IF(A365=Plan!$C$8,N(Plan!$C$7),0)</f>
        <v/>
      </c>
      <c r="AD365">
        <f>SUM(C365:N365)</f>
        <v/>
      </c>
      <c r="AE365">
        <f>SUM(O365:Z365)</f>
        <v/>
      </c>
      <c r="AF365">
        <f>IFERROR(ROUND(1/SUMPRODUCT(MAX((C364:N364&gt;0)*($C$3:$N$3&lt;=B365)*($C$2:$N$2&gt;AA365)/$C$2:$N$2)),0),0)</f>
        <v/>
      </c>
      <c r="AG365">
        <f>MAX(0,AC365-MAX(0,SUMPRODUCT(($C$2:$N$2=AA365)*(AH365:AS365-$C$7:$N$7))))</f>
        <v/>
      </c>
      <c r="AH365">
        <f>IF(C364&lt;=0,0,ROUND(C364*(1+IF(AND(C$6&gt;0,$B365&lt;C$6),C$4,C$5)/12),2))</f>
        <v/>
      </c>
      <c r="AI365">
        <f>IF(D364&lt;=0,0,ROUND(D364*(1+IF(AND(D$6&gt;0,$B365&lt;D$6),D$4,D$5)/12),2))</f>
        <v/>
      </c>
      <c r="AJ365">
        <f>IF(E364&lt;=0,0,ROUND(E364*(1+IF(AND(E$6&gt;0,$B365&lt;E$6),E$4,E$5)/12),2))</f>
        <v/>
      </c>
      <c r="AK365">
        <f>IF(F364&lt;=0,0,ROUND(F364*(1+IF(AND(F$6&gt;0,$B365&lt;F$6),F$4,F$5)/12),2))</f>
        <v/>
      </c>
      <c r="AL365">
        <f>IF(G364&lt;=0,0,ROUND(G364*(1+IF(AND(G$6&gt;0,$B365&lt;G$6),G$4,G$5)/12),2))</f>
        <v/>
      </c>
      <c r="AM365">
        <f>IF(H364&lt;=0,0,ROUND(H364*(1+IF(AND(H$6&gt;0,$B365&lt;H$6),H$4,H$5)/12),2))</f>
        <v/>
      </c>
      <c r="AN365">
        <f>IF(I364&lt;=0,0,ROUND(I364*(1+IF(AND(I$6&gt;0,$B365&lt;I$6),I$4,I$5)/12),2))</f>
        <v/>
      </c>
      <c r="AO365">
        <f>IF(J364&lt;=0,0,ROUND(J364*(1+IF(AND(J$6&gt;0,$B365&lt;J$6),J$4,J$5)/12),2))</f>
        <v/>
      </c>
      <c r="AP365">
        <f>IF(K364&lt;=0,0,ROUND(K364*(1+IF(AND(K$6&gt;0,$B365&lt;K$6),K$4,K$5)/12),2))</f>
        <v/>
      </c>
      <c r="AQ365">
        <f>IF(L364&lt;=0,0,ROUND(L364*(1+IF(AND(L$6&gt;0,$B365&lt;L$6),L$4,L$5)/12),2))</f>
        <v/>
      </c>
      <c r="AR365">
        <f>IF(M364&lt;=0,0,ROUND(M364*(1+IF(AND(M$6&gt;0,$B365&lt;M$6),M$4,M$5)/12),2))</f>
        <v/>
      </c>
      <c r="AS365">
        <f>IF(N364&lt;=0,0,ROUND(N364*(1+IF(AND(N$6&gt;0,$B365&lt;N$6),N$4,N$5)/12),2))</f>
        <v/>
      </c>
    </row>
    <row r="366">
      <c r="A366" t="n">
        <v>355</v>
      </c>
      <c r="B366">
        <f>EDATE(Plan!$C$6,354)</f>
        <v/>
      </c>
      <c r="C366">
        <f>IF(C365&lt;=0,0,MAX(0,AH366-O366))</f>
        <v/>
      </c>
      <c r="D366">
        <f>IF(D365&lt;=0,0,MAX(0,AI366-P366))</f>
        <v/>
      </c>
      <c r="E366">
        <f>IF(E365&lt;=0,0,MAX(0,AJ366-Q366))</f>
        <v/>
      </c>
      <c r="F366">
        <f>IF(F365&lt;=0,0,MAX(0,AK366-R366))</f>
        <v/>
      </c>
      <c r="G366">
        <f>IF(G365&lt;=0,0,MAX(0,AL366-S366))</f>
        <v/>
      </c>
      <c r="H366">
        <f>IF(H365&lt;=0,0,MAX(0,AM366-T366))</f>
        <v/>
      </c>
      <c r="I366">
        <f>IF(I365&lt;=0,0,MAX(0,AN366-U366))</f>
        <v/>
      </c>
      <c r="J366">
        <f>IF(J365&lt;=0,0,MAX(0,AO366-V366))</f>
        <v/>
      </c>
      <c r="K366">
        <f>IF(K365&lt;=0,0,MAX(0,AP366-W366))</f>
        <v/>
      </c>
      <c r="L366">
        <f>IF(L365&lt;=0,0,MAX(0,AQ366-X366))</f>
        <v/>
      </c>
      <c r="M366">
        <f>IF(M365&lt;=0,0,MAX(0,AR366-Y366))</f>
        <v/>
      </c>
      <c r="N366">
        <f>IF(N365&lt;=0,0,MAX(0,AS366-Z366))</f>
        <v/>
      </c>
      <c r="O366">
        <f>IF(C365&lt;=0,0,MIN(AH366,C$7+IF(C$2=$AA366,$AC366,IF(C$2=$AF366,$AG366,0))))</f>
        <v/>
      </c>
      <c r="P366">
        <f>IF(D365&lt;=0,0,MIN(AI366,D$7+IF(D$2=$AA366,$AC366,IF(D$2=$AF366,$AG366,0))))</f>
        <v/>
      </c>
      <c r="Q366">
        <f>IF(E365&lt;=0,0,MIN(AJ366,E$7+IF(E$2=$AA366,$AC366,IF(E$2=$AF366,$AG366,0))))</f>
        <v/>
      </c>
      <c r="R366">
        <f>IF(F365&lt;=0,0,MIN(AK366,F$7+IF(F$2=$AA366,$AC366,IF(F$2=$AF366,$AG366,0))))</f>
        <v/>
      </c>
      <c r="S366">
        <f>IF(G365&lt;=0,0,MIN(AL366,G$7+IF(G$2=$AA366,$AC366,IF(G$2=$AF366,$AG366,0))))</f>
        <v/>
      </c>
      <c r="T366">
        <f>IF(H365&lt;=0,0,MIN(AM366,H$7+IF(H$2=$AA366,$AC366,IF(H$2=$AF366,$AG366,0))))</f>
        <v/>
      </c>
      <c r="U366">
        <f>IF(I365&lt;=0,0,MIN(AN366,I$7+IF(I$2=$AA366,$AC366,IF(I$2=$AF366,$AG366,0))))</f>
        <v/>
      </c>
      <c r="V366">
        <f>IF(J365&lt;=0,0,MIN(AO366,J$7+IF(J$2=$AA366,$AC366,IF(J$2=$AF366,$AG366,0))))</f>
        <v/>
      </c>
      <c r="W366">
        <f>IF(K365&lt;=0,0,MIN(AP366,K$7+IF(K$2=$AA366,$AC366,IF(K$2=$AF366,$AG366,0))))</f>
        <v/>
      </c>
      <c r="X366">
        <f>IF(L365&lt;=0,0,MIN(AQ366,L$7+IF(L$2=$AA366,$AC366,IF(L$2=$AF366,$AG366,0))))</f>
        <v/>
      </c>
      <c r="Y366">
        <f>IF(M365&lt;=0,0,MIN(AR366,M$7+IF(M$2=$AA366,$AC366,IF(M$2=$AF366,$AG366,0))))</f>
        <v/>
      </c>
      <c r="Z366">
        <f>IF(N365&lt;=0,0,MIN(AS366,N$7+IF(N$2=$AA366,$AC366,IF(N$2=$AF366,$AG366,0))))</f>
        <v/>
      </c>
      <c r="AA366">
        <f>IFERROR(ROUND(1/SUMPRODUCT(MAX((C365:N365&gt;0)*($C$3:$N$3&lt;=B366)/$C$2:$N$2)),0),0)</f>
        <v/>
      </c>
      <c r="AB366">
        <f>SUMPRODUCT((C365:N365&gt;0)*$C$7:$N$7)</f>
        <v/>
      </c>
      <c r="AC366">
        <f>MAX(0,Plan!$C$5-AB366)+IF(A366=Plan!$C$8,N(Plan!$C$7),0)</f>
        <v/>
      </c>
      <c r="AD366">
        <f>SUM(C366:N366)</f>
        <v/>
      </c>
      <c r="AE366">
        <f>SUM(O366:Z366)</f>
        <v/>
      </c>
      <c r="AF366">
        <f>IFERROR(ROUND(1/SUMPRODUCT(MAX((C365:N365&gt;0)*($C$3:$N$3&lt;=B366)*($C$2:$N$2&gt;AA366)/$C$2:$N$2)),0),0)</f>
        <v/>
      </c>
      <c r="AG366">
        <f>MAX(0,AC366-MAX(0,SUMPRODUCT(($C$2:$N$2=AA366)*(AH366:AS366-$C$7:$N$7))))</f>
        <v/>
      </c>
      <c r="AH366">
        <f>IF(C365&lt;=0,0,ROUND(C365*(1+IF(AND(C$6&gt;0,$B366&lt;C$6),C$4,C$5)/12),2))</f>
        <v/>
      </c>
      <c r="AI366">
        <f>IF(D365&lt;=0,0,ROUND(D365*(1+IF(AND(D$6&gt;0,$B366&lt;D$6),D$4,D$5)/12),2))</f>
        <v/>
      </c>
      <c r="AJ366">
        <f>IF(E365&lt;=0,0,ROUND(E365*(1+IF(AND(E$6&gt;0,$B366&lt;E$6),E$4,E$5)/12),2))</f>
        <v/>
      </c>
      <c r="AK366">
        <f>IF(F365&lt;=0,0,ROUND(F365*(1+IF(AND(F$6&gt;0,$B366&lt;F$6),F$4,F$5)/12),2))</f>
        <v/>
      </c>
      <c r="AL366">
        <f>IF(G365&lt;=0,0,ROUND(G365*(1+IF(AND(G$6&gt;0,$B366&lt;G$6),G$4,G$5)/12),2))</f>
        <v/>
      </c>
      <c r="AM366">
        <f>IF(H365&lt;=0,0,ROUND(H365*(1+IF(AND(H$6&gt;0,$B366&lt;H$6),H$4,H$5)/12),2))</f>
        <v/>
      </c>
      <c r="AN366">
        <f>IF(I365&lt;=0,0,ROUND(I365*(1+IF(AND(I$6&gt;0,$B366&lt;I$6),I$4,I$5)/12),2))</f>
        <v/>
      </c>
      <c r="AO366">
        <f>IF(J365&lt;=0,0,ROUND(J365*(1+IF(AND(J$6&gt;0,$B366&lt;J$6),J$4,J$5)/12),2))</f>
        <v/>
      </c>
      <c r="AP366">
        <f>IF(K365&lt;=0,0,ROUND(K365*(1+IF(AND(K$6&gt;0,$B366&lt;K$6),K$4,K$5)/12),2))</f>
        <v/>
      </c>
      <c r="AQ366">
        <f>IF(L365&lt;=0,0,ROUND(L365*(1+IF(AND(L$6&gt;0,$B366&lt;L$6),L$4,L$5)/12),2))</f>
        <v/>
      </c>
      <c r="AR366">
        <f>IF(M365&lt;=0,0,ROUND(M365*(1+IF(AND(M$6&gt;0,$B366&lt;M$6),M$4,M$5)/12),2))</f>
        <v/>
      </c>
      <c r="AS366">
        <f>IF(N365&lt;=0,0,ROUND(N365*(1+IF(AND(N$6&gt;0,$B366&lt;N$6),N$4,N$5)/12),2))</f>
        <v/>
      </c>
    </row>
    <row r="367">
      <c r="A367" t="n">
        <v>356</v>
      </c>
      <c r="B367">
        <f>EDATE(Plan!$C$6,355)</f>
        <v/>
      </c>
      <c r="C367">
        <f>IF(C366&lt;=0,0,MAX(0,AH367-O367))</f>
        <v/>
      </c>
      <c r="D367">
        <f>IF(D366&lt;=0,0,MAX(0,AI367-P367))</f>
        <v/>
      </c>
      <c r="E367">
        <f>IF(E366&lt;=0,0,MAX(0,AJ367-Q367))</f>
        <v/>
      </c>
      <c r="F367">
        <f>IF(F366&lt;=0,0,MAX(0,AK367-R367))</f>
        <v/>
      </c>
      <c r="G367">
        <f>IF(G366&lt;=0,0,MAX(0,AL367-S367))</f>
        <v/>
      </c>
      <c r="H367">
        <f>IF(H366&lt;=0,0,MAX(0,AM367-T367))</f>
        <v/>
      </c>
      <c r="I367">
        <f>IF(I366&lt;=0,0,MAX(0,AN367-U367))</f>
        <v/>
      </c>
      <c r="J367">
        <f>IF(J366&lt;=0,0,MAX(0,AO367-V367))</f>
        <v/>
      </c>
      <c r="K367">
        <f>IF(K366&lt;=0,0,MAX(0,AP367-W367))</f>
        <v/>
      </c>
      <c r="L367">
        <f>IF(L366&lt;=0,0,MAX(0,AQ367-X367))</f>
        <v/>
      </c>
      <c r="M367">
        <f>IF(M366&lt;=0,0,MAX(0,AR367-Y367))</f>
        <v/>
      </c>
      <c r="N367">
        <f>IF(N366&lt;=0,0,MAX(0,AS367-Z367))</f>
        <v/>
      </c>
      <c r="O367">
        <f>IF(C366&lt;=0,0,MIN(AH367,C$7+IF(C$2=$AA367,$AC367,IF(C$2=$AF367,$AG367,0))))</f>
        <v/>
      </c>
      <c r="P367">
        <f>IF(D366&lt;=0,0,MIN(AI367,D$7+IF(D$2=$AA367,$AC367,IF(D$2=$AF367,$AG367,0))))</f>
        <v/>
      </c>
      <c r="Q367">
        <f>IF(E366&lt;=0,0,MIN(AJ367,E$7+IF(E$2=$AA367,$AC367,IF(E$2=$AF367,$AG367,0))))</f>
        <v/>
      </c>
      <c r="R367">
        <f>IF(F366&lt;=0,0,MIN(AK367,F$7+IF(F$2=$AA367,$AC367,IF(F$2=$AF367,$AG367,0))))</f>
        <v/>
      </c>
      <c r="S367">
        <f>IF(G366&lt;=0,0,MIN(AL367,G$7+IF(G$2=$AA367,$AC367,IF(G$2=$AF367,$AG367,0))))</f>
        <v/>
      </c>
      <c r="T367">
        <f>IF(H366&lt;=0,0,MIN(AM367,H$7+IF(H$2=$AA367,$AC367,IF(H$2=$AF367,$AG367,0))))</f>
        <v/>
      </c>
      <c r="U367">
        <f>IF(I366&lt;=0,0,MIN(AN367,I$7+IF(I$2=$AA367,$AC367,IF(I$2=$AF367,$AG367,0))))</f>
        <v/>
      </c>
      <c r="V367">
        <f>IF(J366&lt;=0,0,MIN(AO367,J$7+IF(J$2=$AA367,$AC367,IF(J$2=$AF367,$AG367,0))))</f>
        <v/>
      </c>
      <c r="W367">
        <f>IF(K366&lt;=0,0,MIN(AP367,K$7+IF(K$2=$AA367,$AC367,IF(K$2=$AF367,$AG367,0))))</f>
        <v/>
      </c>
      <c r="X367">
        <f>IF(L366&lt;=0,0,MIN(AQ367,L$7+IF(L$2=$AA367,$AC367,IF(L$2=$AF367,$AG367,0))))</f>
        <v/>
      </c>
      <c r="Y367">
        <f>IF(M366&lt;=0,0,MIN(AR367,M$7+IF(M$2=$AA367,$AC367,IF(M$2=$AF367,$AG367,0))))</f>
        <v/>
      </c>
      <c r="Z367">
        <f>IF(N366&lt;=0,0,MIN(AS367,N$7+IF(N$2=$AA367,$AC367,IF(N$2=$AF367,$AG367,0))))</f>
        <v/>
      </c>
      <c r="AA367">
        <f>IFERROR(ROUND(1/SUMPRODUCT(MAX((C366:N366&gt;0)*($C$3:$N$3&lt;=B367)/$C$2:$N$2)),0),0)</f>
        <v/>
      </c>
      <c r="AB367">
        <f>SUMPRODUCT((C366:N366&gt;0)*$C$7:$N$7)</f>
        <v/>
      </c>
      <c r="AC367">
        <f>MAX(0,Plan!$C$5-AB367)+IF(A367=Plan!$C$8,N(Plan!$C$7),0)</f>
        <v/>
      </c>
      <c r="AD367">
        <f>SUM(C367:N367)</f>
        <v/>
      </c>
      <c r="AE367">
        <f>SUM(O367:Z367)</f>
        <v/>
      </c>
      <c r="AF367">
        <f>IFERROR(ROUND(1/SUMPRODUCT(MAX((C366:N366&gt;0)*($C$3:$N$3&lt;=B367)*($C$2:$N$2&gt;AA367)/$C$2:$N$2)),0),0)</f>
        <v/>
      </c>
      <c r="AG367">
        <f>MAX(0,AC367-MAX(0,SUMPRODUCT(($C$2:$N$2=AA367)*(AH367:AS367-$C$7:$N$7))))</f>
        <v/>
      </c>
      <c r="AH367">
        <f>IF(C366&lt;=0,0,ROUND(C366*(1+IF(AND(C$6&gt;0,$B367&lt;C$6),C$4,C$5)/12),2))</f>
        <v/>
      </c>
      <c r="AI367">
        <f>IF(D366&lt;=0,0,ROUND(D366*(1+IF(AND(D$6&gt;0,$B367&lt;D$6),D$4,D$5)/12),2))</f>
        <v/>
      </c>
      <c r="AJ367">
        <f>IF(E366&lt;=0,0,ROUND(E366*(1+IF(AND(E$6&gt;0,$B367&lt;E$6),E$4,E$5)/12),2))</f>
        <v/>
      </c>
      <c r="AK367">
        <f>IF(F366&lt;=0,0,ROUND(F366*(1+IF(AND(F$6&gt;0,$B367&lt;F$6),F$4,F$5)/12),2))</f>
        <v/>
      </c>
      <c r="AL367">
        <f>IF(G366&lt;=0,0,ROUND(G366*(1+IF(AND(G$6&gt;0,$B367&lt;G$6),G$4,G$5)/12),2))</f>
        <v/>
      </c>
      <c r="AM367">
        <f>IF(H366&lt;=0,0,ROUND(H366*(1+IF(AND(H$6&gt;0,$B367&lt;H$6),H$4,H$5)/12),2))</f>
        <v/>
      </c>
      <c r="AN367">
        <f>IF(I366&lt;=0,0,ROUND(I366*(1+IF(AND(I$6&gt;0,$B367&lt;I$6),I$4,I$5)/12),2))</f>
        <v/>
      </c>
      <c r="AO367">
        <f>IF(J366&lt;=0,0,ROUND(J366*(1+IF(AND(J$6&gt;0,$B367&lt;J$6),J$4,J$5)/12),2))</f>
        <v/>
      </c>
      <c r="AP367">
        <f>IF(K366&lt;=0,0,ROUND(K366*(1+IF(AND(K$6&gt;0,$B367&lt;K$6),K$4,K$5)/12),2))</f>
        <v/>
      </c>
      <c r="AQ367">
        <f>IF(L366&lt;=0,0,ROUND(L366*(1+IF(AND(L$6&gt;0,$B367&lt;L$6),L$4,L$5)/12),2))</f>
        <v/>
      </c>
      <c r="AR367">
        <f>IF(M366&lt;=0,0,ROUND(M366*(1+IF(AND(M$6&gt;0,$B367&lt;M$6),M$4,M$5)/12),2))</f>
        <v/>
      </c>
      <c r="AS367">
        <f>IF(N366&lt;=0,0,ROUND(N366*(1+IF(AND(N$6&gt;0,$B367&lt;N$6),N$4,N$5)/12),2))</f>
        <v/>
      </c>
    </row>
    <row r="368">
      <c r="A368" t="n">
        <v>357</v>
      </c>
      <c r="B368">
        <f>EDATE(Plan!$C$6,356)</f>
        <v/>
      </c>
      <c r="C368">
        <f>IF(C367&lt;=0,0,MAX(0,AH368-O368))</f>
        <v/>
      </c>
      <c r="D368">
        <f>IF(D367&lt;=0,0,MAX(0,AI368-P368))</f>
        <v/>
      </c>
      <c r="E368">
        <f>IF(E367&lt;=0,0,MAX(0,AJ368-Q368))</f>
        <v/>
      </c>
      <c r="F368">
        <f>IF(F367&lt;=0,0,MAX(0,AK368-R368))</f>
        <v/>
      </c>
      <c r="G368">
        <f>IF(G367&lt;=0,0,MAX(0,AL368-S368))</f>
        <v/>
      </c>
      <c r="H368">
        <f>IF(H367&lt;=0,0,MAX(0,AM368-T368))</f>
        <v/>
      </c>
      <c r="I368">
        <f>IF(I367&lt;=0,0,MAX(0,AN368-U368))</f>
        <v/>
      </c>
      <c r="J368">
        <f>IF(J367&lt;=0,0,MAX(0,AO368-V368))</f>
        <v/>
      </c>
      <c r="K368">
        <f>IF(K367&lt;=0,0,MAX(0,AP368-W368))</f>
        <v/>
      </c>
      <c r="L368">
        <f>IF(L367&lt;=0,0,MAX(0,AQ368-X368))</f>
        <v/>
      </c>
      <c r="M368">
        <f>IF(M367&lt;=0,0,MAX(0,AR368-Y368))</f>
        <v/>
      </c>
      <c r="N368">
        <f>IF(N367&lt;=0,0,MAX(0,AS368-Z368))</f>
        <v/>
      </c>
      <c r="O368">
        <f>IF(C367&lt;=0,0,MIN(AH368,C$7+IF(C$2=$AA368,$AC368,IF(C$2=$AF368,$AG368,0))))</f>
        <v/>
      </c>
      <c r="P368">
        <f>IF(D367&lt;=0,0,MIN(AI368,D$7+IF(D$2=$AA368,$AC368,IF(D$2=$AF368,$AG368,0))))</f>
        <v/>
      </c>
      <c r="Q368">
        <f>IF(E367&lt;=0,0,MIN(AJ368,E$7+IF(E$2=$AA368,$AC368,IF(E$2=$AF368,$AG368,0))))</f>
        <v/>
      </c>
      <c r="R368">
        <f>IF(F367&lt;=0,0,MIN(AK368,F$7+IF(F$2=$AA368,$AC368,IF(F$2=$AF368,$AG368,0))))</f>
        <v/>
      </c>
      <c r="S368">
        <f>IF(G367&lt;=0,0,MIN(AL368,G$7+IF(G$2=$AA368,$AC368,IF(G$2=$AF368,$AG368,0))))</f>
        <v/>
      </c>
      <c r="T368">
        <f>IF(H367&lt;=0,0,MIN(AM368,H$7+IF(H$2=$AA368,$AC368,IF(H$2=$AF368,$AG368,0))))</f>
        <v/>
      </c>
      <c r="U368">
        <f>IF(I367&lt;=0,0,MIN(AN368,I$7+IF(I$2=$AA368,$AC368,IF(I$2=$AF368,$AG368,0))))</f>
        <v/>
      </c>
      <c r="V368">
        <f>IF(J367&lt;=0,0,MIN(AO368,J$7+IF(J$2=$AA368,$AC368,IF(J$2=$AF368,$AG368,0))))</f>
        <v/>
      </c>
      <c r="W368">
        <f>IF(K367&lt;=0,0,MIN(AP368,K$7+IF(K$2=$AA368,$AC368,IF(K$2=$AF368,$AG368,0))))</f>
        <v/>
      </c>
      <c r="X368">
        <f>IF(L367&lt;=0,0,MIN(AQ368,L$7+IF(L$2=$AA368,$AC368,IF(L$2=$AF368,$AG368,0))))</f>
        <v/>
      </c>
      <c r="Y368">
        <f>IF(M367&lt;=0,0,MIN(AR368,M$7+IF(M$2=$AA368,$AC368,IF(M$2=$AF368,$AG368,0))))</f>
        <v/>
      </c>
      <c r="Z368">
        <f>IF(N367&lt;=0,0,MIN(AS368,N$7+IF(N$2=$AA368,$AC368,IF(N$2=$AF368,$AG368,0))))</f>
        <v/>
      </c>
      <c r="AA368">
        <f>IFERROR(ROUND(1/SUMPRODUCT(MAX((C367:N367&gt;0)*($C$3:$N$3&lt;=B368)/$C$2:$N$2)),0),0)</f>
        <v/>
      </c>
      <c r="AB368">
        <f>SUMPRODUCT((C367:N367&gt;0)*$C$7:$N$7)</f>
        <v/>
      </c>
      <c r="AC368">
        <f>MAX(0,Plan!$C$5-AB368)+IF(A368=Plan!$C$8,N(Plan!$C$7),0)</f>
        <v/>
      </c>
      <c r="AD368">
        <f>SUM(C368:N368)</f>
        <v/>
      </c>
      <c r="AE368">
        <f>SUM(O368:Z368)</f>
        <v/>
      </c>
      <c r="AF368">
        <f>IFERROR(ROUND(1/SUMPRODUCT(MAX((C367:N367&gt;0)*($C$3:$N$3&lt;=B368)*($C$2:$N$2&gt;AA368)/$C$2:$N$2)),0),0)</f>
        <v/>
      </c>
      <c r="AG368">
        <f>MAX(0,AC368-MAX(0,SUMPRODUCT(($C$2:$N$2=AA368)*(AH368:AS368-$C$7:$N$7))))</f>
        <v/>
      </c>
      <c r="AH368">
        <f>IF(C367&lt;=0,0,ROUND(C367*(1+IF(AND(C$6&gt;0,$B368&lt;C$6),C$4,C$5)/12),2))</f>
        <v/>
      </c>
      <c r="AI368">
        <f>IF(D367&lt;=0,0,ROUND(D367*(1+IF(AND(D$6&gt;0,$B368&lt;D$6),D$4,D$5)/12),2))</f>
        <v/>
      </c>
      <c r="AJ368">
        <f>IF(E367&lt;=0,0,ROUND(E367*(1+IF(AND(E$6&gt;0,$B368&lt;E$6),E$4,E$5)/12),2))</f>
        <v/>
      </c>
      <c r="AK368">
        <f>IF(F367&lt;=0,0,ROUND(F367*(1+IF(AND(F$6&gt;0,$B368&lt;F$6),F$4,F$5)/12),2))</f>
        <v/>
      </c>
      <c r="AL368">
        <f>IF(G367&lt;=0,0,ROUND(G367*(1+IF(AND(G$6&gt;0,$B368&lt;G$6),G$4,G$5)/12),2))</f>
        <v/>
      </c>
      <c r="AM368">
        <f>IF(H367&lt;=0,0,ROUND(H367*(1+IF(AND(H$6&gt;0,$B368&lt;H$6),H$4,H$5)/12),2))</f>
        <v/>
      </c>
      <c r="AN368">
        <f>IF(I367&lt;=0,0,ROUND(I367*(1+IF(AND(I$6&gt;0,$B368&lt;I$6),I$4,I$5)/12),2))</f>
        <v/>
      </c>
      <c r="AO368">
        <f>IF(J367&lt;=0,0,ROUND(J367*(1+IF(AND(J$6&gt;0,$B368&lt;J$6),J$4,J$5)/12),2))</f>
        <v/>
      </c>
      <c r="AP368">
        <f>IF(K367&lt;=0,0,ROUND(K367*(1+IF(AND(K$6&gt;0,$B368&lt;K$6),K$4,K$5)/12),2))</f>
        <v/>
      </c>
      <c r="AQ368">
        <f>IF(L367&lt;=0,0,ROUND(L367*(1+IF(AND(L$6&gt;0,$B368&lt;L$6),L$4,L$5)/12),2))</f>
        <v/>
      </c>
      <c r="AR368">
        <f>IF(M367&lt;=0,0,ROUND(M367*(1+IF(AND(M$6&gt;0,$B368&lt;M$6),M$4,M$5)/12),2))</f>
        <v/>
      </c>
      <c r="AS368">
        <f>IF(N367&lt;=0,0,ROUND(N367*(1+IF(AND(N$6&gt;0,$B368&lt;N$6),N$4,N$5)/12),2))</f>
        <v/>
      </c>
    </row>
    <row r="369">
      <c r="A369" t="n">
        <v>358</v>
      </c>
      <c r="B369">
        <f>EDATE(Plan!$C$6,357)</f>
        <v/>
      </c>
      <c r="C369">
        <f>IF(C368&lt;=0,0,MAX(0,AH369-O369))</f>
        <v/>
      </c>
      <c r="D369">
        <f>IF(D368&lt;=0,0,MAX(0,AI369-P369))</f>
        <v/>
      </c>
      <c r="E369">
        <f>IF(E368&lt;=0,0,MAX(0,AJ369-Q369))</f>
        <v/>
      </c>
      <c r="F369">
        <f>IF(F368&lt;=0,0,MAX(0,AK369-R369))</f>
        <v/>
      </c>
      <c r="G369">
        <f>IF(G368&lt;=0,0,MAX(0,AL369-S369))</f>
        <v/>
      </c>
      <c r="H369">
        <f>IF(H368&lt;=0,0,MAX(0,AM369-T369))</f>
        <v/>
      </c>
      <c r="I369">
        <f>IF(I368&lt;=0,0,MAX(0,AN369-U369))</f>
        <v/>
      </c>
      <c r="J369">
        <f>IF(J368&lt;=0,0,MAX(0,AO369-V369))</f>
        <v/>
      </c>
      <c r="K369">
        <f>IF(K368&lt;=0,0,MAX(0,AP369-W369))</f>
        <v/>
      </c>
      <c r="L369">
        <f>IF(L368&lt;=0,0,MAX(0,AQ369-X369))</f>
        <v/>
      </c>
      <c r="M369">
        <f>IF(M368&lt;=0,0,MAX(0,AR369-Y369))</f>
        <v/>
      </c>
      <c r="N369">
        <f>IF(N368&lt;=0,0,MAX(0,AS369-Z369))</f>
        <v/>
      </c>
      <c r="O369">
        <f>IF(C368&lt;=0,0,MIN(AH369,C$7+IF(C$2=$AA369,$AC369,IF(C$2=$AF369,$AG369,0))))</f>
        <v/>
      </c>
      <c r="P369">
        <f>IF(D368&lt;=0,0,MIN(AI369,D$7+IF(D$2=$AA369,$AC369,IF(D$2=$AF369,$AG369,0))))</f>
        <v/>
      </c>
      <c r="Q369">
        <f>IF(E368&lt;=0,0,MIN(AJ369,E$7+IF(E$2=$AA369,$AC369,IF(E$2=$AF369,$AG369,0))))</f>
        <v/>
      </c>
      <c r="R369">
        <f>IF(F368&lt;=0,0,MIN(AK369,F$7+IF(F$2=$AA369,$AC369,IF(F$2=$AF369,$AG369,0))))</f>
        <v/>
      </c>
      <c r="S369">
        <f>IF(G368&lt;=0,0,MIN(AL369,G$7+IF(G$2=$AA369,$AC369,IF(G$2=$AF369,$AG369,0))))</f>
        <v/>
      </c>
      <c r="T369">
        <f>IF(H368&lt;=0,0,MIN(AM369,H$7+IF(H$2=$AA369,$AC369,IF(H$2=$AF369,$AG369,0))))</f>
        <v/>
      </c>
      <c r="U369">
        <f>IF(I368&lt;=0,0,MIN(AN369,I$7+IF(I$2=$AA369,$AC369,IF(I$2=$AF369,$AG369,0))))</f>
        <v/>
      </c>
      <c r="V369">
        <f>IF(J368&lt;=0,0,MIN(AO369,J$7+IF(J$2=$AA369,$AC369,IF(J$2=$AF369,$AG369,0))))</f>
        <v/>
      </c>
      <c r="W369">
        <f>IF(K368&lt;=0,0,MIN(AP369,K$7+IF(K$2=$AA369,$AC369,IF(K$2=$AF369,$AG369,0))))</f>
        <v/>
      </c>
      <c r="X369">
        <f>IF(L368&lt;=0,0,MIN(AQ369,L$7+IF(L$2=$AA369,$AC369,IF(L$2=$AF369,$AG369,0))))</f>
        <v/>
      </c>
      <c r="Y369">
        <f>IF(M368&lt;=0,0,MIN(AR369,M$7+IF(M$2=$AA369,$AC369,IF(M$2=$AF369,$AG369,0))))</f>
        <v/>
      </c>
      <c r="Z369">
        <f>IF(N368&lt;=0,0,MIN(AS369,N$7+IF(N$2=$AA369,$AC369,IF(N$2=$AF369,$AG369,0))))</f>
        <v/>
      </c>
      <c r="AA369">
        <f>IFERROR(ROUND(1/SUMPRODUCT(MAX((C368:N368&gt;0)*($C$3:$N$3&lt;=B369)/$C$2:$N$2)),0),0)</f>
        <v/>
      </c>
      <c r="AB369">
        <f>SUMPRODUCT((C368:N368&gt;0)*$C$7:$N$7)</f>
        <v/>
      </c>
      <c r="AC369">
        <f>MAX(0,Plan!$C$5-AB369)+IF(A369=Plan!$C$8,N(Plan!$C$7),0)</f>
        <v/>
      </c>
      <c r="AD369">
        <f>SUM(C369:N369)</f>
        <v/>
      </c>
      <c r="AE369">
        <f>SUM(O369:Z369)</f>
        <v/>
      </c>
      <c r="AF369">
        <f>IFERROR(ROUND(1/SUMPRODUCT(MAX((C368:N368&gt;0)*($C$3:$N$3&lt;=B369)*($C$2:$N$2&gt;AA369)/$C$2:$N$2)),0),0)</f>
        <v/>
      </c>
      <c r="AG369">
        <f>MAX(0,AC369-MAX(0,SUMPRODUCT(($C$2:$N$2=AA369)*(AH369:AS369-$C$7:$N$7))))</f>
        <v/>
      </c>
      <c r="AH369">
        <f>IF(C368&lt;=0,0,ROUND(C368*(1+IF(AND(C$6&gt;0,$B369&lt;C$6),C$4,C$5)/12),2))</f>
        <v/>
      </c>
      <c r="AI369">
        <f>IF(D368&lt;=0,0,ROUND(D368*(1+IF(AND(D$6&gt;0,$B369&lt;D$6),D$4,D$5)/12),2))</f>
        <v/>
      </c>
      <c r="AJ369">
        <f>IF(E368&lt;=0,0,ROUND(E368*(1+IF(AND(E$6&gt;0,$B369&lt;E$6),E$4,E$5)/12),2))</f>
        <v/>
      </c>
      <c r="AK369">
        <f>IF(F368&lt;=0,0,ROUND(F368*(1+IF(AND(F$6&gt;0,$B369&lt;F$6),F$4,F$5)/12),2))</f>
        <v/>
      </c>
      <c r="AL369">
        <f>IF(G368&lt;=0,0,ROUND(G368*(1+IF(AND(G$6&gt;0,$B369&lt;G$6),G$4,G$5)/12),2))</f>
        <v/>
      </c>
      <c r="AM369">
        <f>IF(H368&lt;=0,0,ROUND(H368*(1+IF(AND(H$6&gt;0,$B369&lt;H$6),H$4,H$5)/12),2))</f>
        <v/>
      </c>
      <c r="AN369">
        <f>IF(I368&lt;=0,0,ROUND(I368*(1+IF(AND(I$6&gt;0,$B369&lt;I$6),I$4,I$5)/12),2))</f>
        <v/>
      </c>
      <c r="AO369">
        <f>IF(J368&lt;=0,0,ROUND(J368*(1+IF(AND(J$6&gt;0,$B369&lt;J$6),J$4,J$5)/12),2))</f>
        <v/>
      </c>
      <c r="AP369">
        <f>IF(K368&lt;=0,0,ROUND(K368*(1+IF(AND(K$6&gt;0,$B369&lt;K$6),K$4,K$5)/12),2))</f>
        <v/>
      </c>
      <c r="AQ369">
        <f>IF(L368&lt;=0,0,ROUND(L368*(1+IF(AND(L$6&gt;0,$B369&lt;L$6),L$4,L$5)/12),2))</f>
        <v/>
      </c>
      <c r="AR369">
        <f>IF(M368&lt;=0,0,ROUND(M368*(1+IF(AND(M$6&gt;0,$B369&lt;M$6),M$4,M$5)/12),2))</f>
        <v/>
      </c>
      <c r="AS369">
        <f>IF(N368&lt;=0,0,ROUND(N368*(1+IF(AND(N$6&gt;0,$B369&lt;N$6),N$4,N$5)/12),2))</f>
        <v/>
      </c>
    </row>
    <row r="370">
      <c r="A370" t="n">
        <v>359</v>
      </c>
      <c r="B370">
        <f>EDATE(Plan!$C$6,358)</f>
        <v/>
      </c>
      <c r="C370">
        <f>IF(C369&lt;=0,0,MAX(0,AH370-O370))</f>
        <v/>
      </c>
      <c r="D370">
        <f>IF(D369&lt;=0,0,MAX(0,AI370-P370))</f>
        <v/>
      </c>
      <c r="E370">
        <f>IF(E369&lt;=0,0,MAX(0,AJ370-Q370))</f>
        <v/>
      </c>
      <c r="F370">
        <f>IF(F369&lt;=0,0,MAX(0,AK370-R370))</f>
        <v/>
      </c>
      <c r="G370">
        <f>IF(G369&lt;=0,0,MAX(0,AL370-S370))</f>
        <v/>
      </c>
      <c r="H370">
        <f>IF(H369&lt;=0,0,MAX(0,AM370-T370))</f>
        <v/>
      </c>
      <c r="I370">
        <f>IF(I369&lt;=0,0,MAX(0,AN370-U370))</f>
        <v/>
      </c>
      <c r="J370">
        <f>IF(J369&lt;=0,0,MAX(0,AO370-V370))</f>
        <v/>
      </c>
      <c r="K370">
        <f>IF(K369&lt;=0,0,MAX(0,AP370-W370))</f>
        <v/>
      </c>
      <c r="L370">
        <f>IF(L369&lt;=0,0,MAX(0,AQ370-X370))</f>
        <v/>
      </c>
      <c r="M370">
        <f>IF(M369&lt;=0,0,MAX(0,AR370-Y370))</f>
        <v/>
      </c>
      <c r="N370">
        <f>IF(N369&lt;=0,0,MAX(0,AS370-Z370))</f>
        <v/>
      </c>
      <c r="O370">
        <f>IF(C369&lt;=0,0,MIN(AH370,C$7+IF(C$2=$AA370,$AC370,IF(C$2=$AF370,$AG370,0))))</f>
        <v/>
      </c>
      <c r="P370">
        <f>IF(D369&lt;=0,0,MIN(AI370,D$7+IF(D$2=$AA370,$AC370,IF(D$2=$AF370,$AG370,0))))</f>
        <v/>
      </c>
      <c r="Q370">
        <f>IF(E369&lt;=0,0,MIN(AJ370,E$7+IF(E$2=$AA370,$AC370,IF(E$2=$AF370,$AG370,0))))</f>
        <v/>
      </c>
      <c r="R370">
        <f>IF(F369&lt;=0,0,MIN(AK370,F$7+IF(F$2=$AA370,$AC370,IF(F$2=$AF370,$AG370,0))))</f>
        <v/>
      </c>
      <c r="S370">
        <f>IF(G369&lt;=0,0,MIN(AL370,G$7+IF(G$2=$AA370,$AC370,IF(G$2=$AF370,$AG370,0))))</f>
        <v/>
      </c>
      <c r="T370">
        <f>IF(H369&lt;=0,0,MIN(AM370,H$7+IF(H$2=$AA370,$AC370,IF(H$2=$AF370,$AG370,0))))</f>
        <v/>
      </c>
      <c r="U370">
        <f>IF(I369&lt;=0,0,MIN(AN370,I$7+IF(I$2=$AA370,$AC370,IF(I$2=$AF370,$AG370,0))))</f>
        <v/>
      </c>
      <c r="V370">
        <f>IF(J369&lt;=0,0,MIN(AO370,J$7+IF(J$2=$AA370,$AC370,IF(J$2=$AF370,$AG370,0))))</f>
        <v/>
      </c>
      <c r="W370">
        <f>IF(K369&lt;=0,0,MIN(AP370,K$7+IF(K$2=$AA370,$AC370,IF(K$2=$AF370,$AG370,0))))</f>
        <v/>
      </c>
      <c r="X370">
        <f>IF(L369&lt;=0,0,MIN(AQ370,L$7+IF(L$2=$AA370,$AC370,IF(L$2=$AF370,$AG370,0))))</f>
        <v/>
      </c>
      <c r="Y370">
        <f>IF(M369&lt;=0,0,MIN(AR370,M$7+IF(M$2=$AA370,$AC370,IF(M$2=$AF370,$AG370,0))))</f>
        <v/>
      </c>
      <c r="Z370">
        <f>IF(N369&lt;=0,0,MIN(AS370,N$7+IF(N$2=$AA370,$AC370,IF(N$2=$AF370,$AG370,0))))</f>
        <v/>
      </c>
      <c r="AA370">
        <f>IFERROR(ROUND(1/SUMPRODUCT(MAX((C369:N369&gt;0)*($C$3:$N$3&lt;=B370)/$C$2:$N$2)),0),0)</f>
        <v/>
      </c>
      <c r="AB370">
        <f>SUMPRODUCT((C369:N369&gt;0)*$C$7:$N$7)</f>
        <v/>
      </c>
      <c r="AC370">
        <f>MAX(0,Plan!$C$5-AB370)+IF(A370=Plan!$C$8,N(Plan!$C$7),0)</f>
        <v/>
      </c>
      <c r="AD370">
        <f>SUM(C370:N370)</f>
        <v/>
      </c>
      <c r="AE370">
        <f>SUM(O370:Z370)</f>
        <v/>
      </c>
      <c r="AF370">
        <f>IFERROR(ROUND(1/SUMPRODUCT(MAX((C369:N369&gt;0)*($C$3:$N$3&lt;=B370)*($C$2:$N$2&gt;AA370)/$C$2:$N$2)),0),0)</f>
        <v/>
      </c>
      <c r="AG370">
        <f>MAX(0,AC370-MAX(0,SUMPRODUCT(($C$2:$N$2=AA370)*(AH370:AS370-$C$7:$N$7))))</f>
        <v/>
      </c>
      <c r="AH370">
        <f>IF(C369&lt;=0,0,ROUND(C369*(1+IF(AND(C$6&gt;0,$B370&lt;C$6),C$4,C$5)/12),2))</f>
        <v/>
      </c>
      <c r="AI370">
        <f>IF(D369&lt;=0,0,ROUND(D369*(1+IF(AND(D$6&gt;0,$B370&lt;D$6),D$4,D$5)/12),2))</f>
        <v/>
      </c>
      <c r="AJ370">
        <f>IF(E369&lt;=0,0,ROUND(E369*(1+IF(AND(E$6&gt;0,$B370&lt;E$6),E$4,E$5)/12),2))</f>
        <v/>
      </c>
      <c r="AK370">
        <f>IF(F369&lt;=0,0,ROUND(F369*(1+IF(AND(F$6&gt;0,$B370&lt;F$6),F$4,F$5)/12),2))</f>
        <v/>
      </c>
      <c r="AL370">
        <f>IF(G369&lt;=0,0,ROUND(G369*(1+IF(AND(G$6&gt;0,$B370&lt;G$6),G$4,G$5)/12),2))</f>
        <v/>
      </c>
      <c r="AM370">
        <f>IF(H369&lt;=0,0,ROUND(H369*(1+IF(AND(H$6&gt;0,$B370&lt;H$6),H$4,H$5)/12),2))</f>
        <v/>
      </c>
      <c r="AN370">
        <f>IF(I369&lt;=0,0,ROUND(I369*(1+IF(AND(I$6&gt;0,$B370&lt;I$6),I$4,I$5)/12),2))</f>
        <v/>
      </c>
      <c r="AO370">
        <f>IF(J369&lt;=0,0,ROUND(J369*(1+IF(AND(J$6&gt;0,$B370&lt;J$6),J$4,J$5)/12),2))</f>
        <v/>
      </c>
      <c r="AP370">
        <f>IF(K369&lt;=0,0,ROUND(K369*(1+IF(AND(K$6&gt;0,$B370&lt;K$6),K$4,K$5)/12),2))</f>
        <v/>
      </c>
      <c r="AQ370">
        <f>IF(L369&lt;=0,0,ROUND(L369*(1+IF(AND(L$6&gt;0,$B370&lt;L$6),L$4,L$5)/12),2))</f>
        <v/>
      </c>
      <c r="AR370">
        <f>IF(M369&lt;=0,0,ROUND(M369*(1+IF(AND(M$6&gt;0,$B370&lt;M$6),M$4,M$5)/12),2))</f>
        <v/>
      </c>
      <c r="AS370">
        <f>IF(N369&lt;=0,0,ROUND(N369*(1+IF(AND(N$6&gt;0,$B370&lt;N$6),N$4,N$5)/12),2))</f>
        <v/>
      </c>
    </row>
    <row r="371">
      <c r="A371" t="n">
        <v>360</v>
      </c>
      <c r="B371">
        <f>EDATE(Plan!$C$6,359)</f>
        <v/>
      </c>
      <c r="C371">
        <f>IF(C370&lt;=0,0,MAX(0,AH371-O371))</f>
        <v/>
      </c>
      <c r="D371">
        <f>IF(D370&lt;=0,0,MAX(0,AI371-P371))</f>
        <v/>
      </c>
      <c r="E371">
        <f>IF(E370&lt;=0,0,MAX(0,AJ371-Q371))</f>
        <v/>
      </c>
      <c r="F371">
        <f>IF(F370&lt;=0,0,MAX(0,AK371-R371))</f>
        <v/>
      </c>
      <c r="G371">
        <f>IF(G370&lt;=0,0,MAX(0,AL371-S371))</f>
        <v/>
      </c>
      <c r="H371">
        <f>IF(H370&lt;=0,0,MAX(0,AM371-T371))</f>
        <v/>
      </c>
      <c r="I371">
        <f>IF(I370&lt;=0,0,MAX(0,AN371-U371))</f>
        <v/>
      </c>
      <c r="J371">
        <f>IF(J370&lt;=0,0,MAX(0,AO371-V371))</f>
        <v/>
      </c>
      <c r="K371">
        <f>IF(K370&lt;=0,0,MAX(0,AP371-W371))</f>
        <v/>
      </c>
      <c r="L371">
        <f>IF(L370&lt;=0,0,MAX(0,AQ371-X371))</f>
        <v/>
      </c>
      <c r="M371">
        <f>IF(M370&lt;=0,0,MAX(0,AR371-Y371))</f>
        <v/>
      </c>
      <c r="N371">
        <f>IF(N370&lt;=0,0,MAX(0,AS371-Z371))</f>
        <v/>
      </c>
      <c r="O371">
        <f>IF(C370&lt;=0,0,MIN(AH371,C$7+IF(C$2=$AA371,$AC371,IF(C$2=$AF371,$AG371,0))))</f>
        <v/>
      </c>
      <c r="P371">
        <f>IF(D370&lt;=0,0,MIN(AI371,D$7+IF(D$2=$AA371,$AC371,IF(D$2=$AF371,$AG371,0))))</f>
        <v/>
      </c>
      <c r="Q371">
        <f>IF(E370&lt;=0,0,MIN(AJ371,E$7+IF(E$2=$AA371,$AC371,IF(E$2=$AF371,$AG371,0))))</f>
        <v/>
      </c>
      <c r="R371">
        <f>IF(F370&lt;=0,0,MIN(AK371,F$7+IF(F$2=$AA371,$AC371,IF(F$2=$AF371,$AG371,0))))</f>
        <v/>
      </c>
      <c r="S371">
        <f>IF(G370&lt;=0,0,MIN(AL371,G$7+IF(G$2=$AA371,$AC371,IF(G$2=$AF371,$AG371,0))))</f>
        <v/>
      </c>
      <c r="T371">
        <f>IF(H370&lt;=0,0,MIN(AM371,H$7+IF(H$2=$AA371,$AC371,IF(H$2=$AF371,$AG371,0))))</f>
        <v/>
      </c>
      <c r="U371">
        <f>IF(I370&lt;=0,0,MIN(AN371,I$7+IF(I$2=$AA371,$AC371,IF(I$2=$AF371,$AG371,0))))</f>
        <v/>
      </c>
      <c r="V371">
        <f>IF(J370&lt;=0,0,MIN(AO371,J$7+IF(J$2=$AA371,$AC371,IF(J$2=$AF371,$AG371,0))))</f>
        <v/>
      </c>
      <c r="W371">
        <f>IF(K370&lt;=0,0,MIN(AP371,K$7+IF(K$2=$AA371,$AC371,IF(K$2=$AF371,$AG371,0))))</f>
        <v/>
      </c>
      <c r="X371">
        <f>IF(L370&lt;=0,0,MIN(AQ371,L$7+IF(L$2=$AA371,$AC371,IF(L$2=$AF371,$AG371,0))))</f>
        <v/>
      </c>
      <c r="Y371">
        <f>IF(M370&lt;=0,0,MIN(AR371,M$7+IF(M$2=$AA371,$AC371,IF(M$2=$AF371,$AG371,0))))</f>
        <v/>
      </c>
      <c r="Z371">
        <f>IF(N370&lt;=0,0,MIN(AS371,N$7+IF(N$2=$AA371,$AC371,IF(N$2=$AF371,$AG371,0))))</f>
        <v/>
      </c>
      <c r="AA371">
        <f>IFERROR(ROUND(1/SUMPRODUCT(MAX((C370:N370&gt;0)*($C$3:$N$3&lt;=B371)/$C$2:$N$2)),0),0)</f>
        <v/>
      </c>
      <c r="AB371">
        <f>SUMPRODUCT((C370:N370&gt;0)*$C$7:$N$7)</f>
        <v/>
      </c>
      <c r="AC371">
        <f>MAX(0,Plan!$C$5-AB371)+IF(A371=Plan!$C$8,N(Plan!$C$7),0)</f>
        <v/>
      </c>
      <c r="AD371">
        <f>SUM(C371:N371)</f>
        <v/>
      </c>
      <c r="AE371">
        <f>SUM(O371:Z371)</f>
        <v/>
      </c>
      <c r="AF371">
        <f>IFERROR(ROUND(1/SUMPRODUCT(MAX((C370:N370&gt;0)*($C$3:$N$3&lt;=B371)*($C$2:$N$2&gt;AA371)/$C$2:$N$2)),0),0)</f>
        <v/>
      </c>
      <c r="AG371">
        <f>MAX(0,AC371-MAX(0,SUMPRODUCT(($C$2:$N$2=AA371)*(AH371:AS371-$C$7:$N$7))))</f>
        <v/>
      </c>
      <c r="AH371">
        <f>IF(C370&lt;=0,0,ROUND(C370*(1+IF(AND(C$6&gt;0,$B371&lt;C$6),C$4,C$5)/12),2))</f>
        <v/>
      </c>
      <c r="AI371">
        <f>IF(D370&lt;=0,0,ROUND(D370*(1+IF(AND(D$6&gt;0,$B371&lt;D$6),D$4,D$5)/12),2))</f>
        <v/>
      </c>
      <c r="AJ371">
        <f>IF(E370&lt;=0,0,ROUND(E370*(1+IF(AND(E$6&gt;0,$B371&lt;E$6),E$4,E$5)/12),2))</f>
        <v/>
      </c>
      <c r="AK371">
        <f>IF(F370&lt;=0,0,ROUND(F370*(1+IF(AND(F$6&gt;0,$B371&lt;F$6),F$4,F$5)/12),2))</f>
        <v/>
      </c>
      <c r="AL371">
        <f>IF(G370&lt;=0,0,ROUND(G370*(1+IF(AND(G$6&gt;0,$B371&lt;G$6),G$4,G$5)/12),2))</f>
        <v/>
      </c>
      <c r="AM371">
        <f>IF(H370&lt;=0,0,ROUND(H370*(1+IF(AND(H$6&gt;0,$B371&lt;H$6),H$4,H$5)/12),2))</f>
        <v/>
      </c>
      <c r="AN371">
        <f>IF(I370&lt;=0,0,ROUND(I370*(1+IF(AND(I$6&gt;0,$B371&lt;I$6),I$4,I$5)/12),2))</f>
        <v/>
      </c>
      <c r="AO371">
        <f>IF(J370&lt;=0,0,ROUND(J370*(1+IF(AND(J$6&gt;0,$B371&lt;J$6),J$4,J$5)/12),2))</f>
        <v/>
      </c>
      <c r="AP371">
        <f>IF(K370&lt;=0,0,ROUND(K370*(1+IF(AND(K$6&gt;0,$B371&lt;K$6),K$4,K$5)/12),2))</f>
        <v/>
      </c>
      <c r="AQ371">
        <f>IF(L370&lt;=0,0,ROUND(L370*(1+IF(AND(L$6&gt;0,$B371&lt;L$6),L$4,L$5)/12),2))</f>
        <v/>
      </c>
      <c r="AR371">
        <f>IF(M370&lt;=0,0,ROUND(M370*(1+IF(AND(M$6&gt;0,$B371&lt;M$6),M$4,M$5)/12),2))</f>
        <v/>
      </c>
      <c r="AS371">
        <f>IF(N370&lt;=0,0,ROUND(N370*(1+IF(AND(N$6&gt;0,$B371&lt;N$6),N$4,N$5)/12),2))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3F58"/>
    <outlinePr summaryBelow="1" summaryRight="1"/>
    <pageSetUpPr/>
  </sheetPr>
  <dimension ref="A1:AS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C1">
        <f>IF(AND('My Debts'!$H$7="Allowed with a fee",N(+'My Debts'!$I$7)&gt;0,ISNUMBER(C10)),IF(OR(N(+'My Debts'!$J$7)=0,C10&lt;'My Debts'!$J$7),'My Debts'!$I$7,0),0)</f>
        <v/>
      </c>
      <c r="D1">
        <f>IF(AND('My Debts'!$H$8="Allowed with a fee",N(+'My Debts'!$I$8)&gt;0,ISNUMBER(D10)),IF(OR(N(+'My Debts'!$J$8)=0,D10&lt;'My Debts'!$J$8),'My Debts'!$I$8,0),0)</f>
        <v/>
      </c>
      <c r="E1">
        <f>IF(AND('My Debts'!$H$9="Allowed with a fee",N(+'My Debts'!$I$9)&gt;0,ISNUMBER(E10)),IF(OR(N(+'My Debts'!$J$9)=0,E10&lt;'My Debts'!$J$9),'My Debts'!$I$9,0),0)</f>
        <v/>
      </c>
      <c r="F1">
        <f>IF(AND('My Debts'!$H$10="Allowed with a fee",N(+'My Debts'!$I$10)&gt;0,ISNUMBER(F10)),IF(OR(N(+'My Debts'!$J$10)=0,F10&lt;'My Debts'!$J$10),'My Debts'!$I$10,0),0)</f>
        <v/>
      </c>
      <c r="G1">
        <f>IF(AND('My Debts'!$H$11="Allowed with a fee",N(+'My Debts'!$I$11)&gt;0,ISNUMBER(G10)),IF(OR(N(+'My Debts'!$J$11)=0,G10&lt;'My Debts'!$J$11),'My Debts'!$I$11,0),0)</f>
        <v/>
      </c>
      <c r="H1">
        <f>IF(AND('My Debts'!$H$12="Allowed with a fee",N(+'My Debts'!$I$12)&gt;0,ISNUMBER(H10)),IF(OR(N(+'My Debts'!$J$12)=0,H10&lt;'My Debts'!$J$12),'My Debts'!$I$12,0),0)</f>
        <v/>
      </c>
      <c r="I1">
        <f>IF(AND('My Debts'!$H$13="Allowed with a fee",N(+'My Debts'!$I$13)&gt;0,ISNUMBER(I10)),IF(OR(N(+'My Debts'!$J$13)=0,I10&lt;'My Debts'!$J$13),'My Debts'!$I$13,0),0)</f>
        <v/>
      </c>
      <c r="J1">
        <f>IF(AND('My Debts'!$H$14="Allowed with a fee",N(+'My Debts'!$I$14)&gt;0,ISNUMBER(J10)),IF(OR(N(+'My Debts'!$J$14)=0,J10&lt;'My Debts'!$J$14),'My Debts'!$I$14,0),0)</f>
        <v/>
      </c>
      <c r="K1">
        <f>IF(AND('My Debts'!$H$15="Allowed with a fee",N(+'My Debts'!$I$15)&gt;0,ISNUMBER(K10)),IF(OR(N(+'My Debts'!$J$15)=0,K10&lt;'My Debts'!$J$15),'My Debts'!$I$15,0),0)</f>
        <v/>
      </c>
      <c r="L1">
        <f>IF(AND('My Debts'!$H$16="Allowed with a fee",N(+'My Debts'!$I$16)&gt;0,ISNUMBER(L10)),IF(OR(N(+'My Debts'!$J$16)=0,L10&lt;'My Debts'!$J$16),'My Debts'!$I$16,0),0)</f>
        <v/>
      </c>
      <c r="M1">
        <f>IF(AND('My Debts'!$H$17="Allowed with a fee",N(+'My Debts'!$I$17)&gt;0,ISNUMBER(M10)),IF(OR(N(+'My Debts'!$J$17)=0,M10&lt;'My Debts'!$J$17),'My Debts'!$I$17,0),0)</f>
        <v/>
      </c>
      <c r="N1">
        <f>IF(AND('My Debts'!$H$18="Allowed with a fee",N(+'My Debts'!$I$18)&gt;0,ISNUMBER(N10)),IF(OR(N(+'My Debts'!$J$18)=0,N10&lt;'My Debts'!$J$18),'My Debts'!$I$18,0),0)</f>
        <v/>
      </c>
    </row>
    <row r="2">
      <c r="A2" t="inlineStr">
        <is>
          <t>rank</t>
        </is>
      </c>
      <c r="C2">
        <f>IF('My Debts'!$AB$7="",999,'My Debts'!$AB$7)</f>
        <v/>
      </c>
      <c r="D2">
        <f>IF('My Debts'!$AB$8="",999,'My Debts'!$AB$8)</f>
        <v/>
      </c>
      <c r="E2">
        <f>IF('My Debts'!$AB$9="",999,'My Debts'!$AB$9)</f>
        <v/>
      </c>
      <c r="F2">
        <f>IF('My Debts'!$AB$10="",999,'My Debts'!$AB$10)</f>
        <v/>
      </c>
      <c r="G2">
        <f>IF('My Debts'!$AB$11="",999,'My Debts'!$AB$11)</f>
        <v/>
      </c>
      <c r="H2">
        <f>IF('My Debts'!$AB$12="",999,'My Debts'!$AB$12)</f>
        <v/>
      </c>
      <c r="I2">
        <f>IF('My Debts'!$AB$13="",999,'My Debts'!$AB$13)</f>
        <v/>
      </c>
      <c r="J2">
        <f>IF('My Debts'!$AB$14="",999,'My Debts'!$AB$14)</f>
        <v/>
      </c>
      <c r="K2">
        <f>IF('My Debts'!$AB$15="",999,'My Debts'!$AB$15)</f>
        <v/>
      </c>
      <c r="L2">
        <f>IF('My Debts'!$AB$16="",999,'My Debts'!$AB$16)</f>
        <v/>
      </c>
      <c r="M2">
        <f>IF('My Debts'!$AB$17="",999,'My Debts'!$AB$17)</f>
        <v/>
      </c>
      <c r="N2">
        <f>IF('My Debts'!$AB$18="",999,'My Debts'!$AB$18)</f>
        <v/>
      </c>
    </row>
    <row r="3">
      <c r="A3" t="inlineStr">
        <is>
          <t>extra from</t>
        </is>
      </c>
      <c r="C3">
        <f>IF('My Debts'!$U$7="",DATE(2199,12,1),'My Debts'!$U$7)</f>
        <v/>
      </c>
      <c r="D3">
        <f>IF('My Debts'!$U$8="",DATE(2199,12,1),'My Debts'!$U$8)</f>
        <v/>
      </c>
      <c r="E3">
        <f>IF('My Debts'!$U$9="",DATE(2199,12,1),'My Debts'!$U$9)</f>
        <v/>
      </c>
      <c r="F3">
        <f>IF('My Debts'!$U$10="",DATE(2199,12,1),'My Debts'!$U$10)</f>
        <v/>
      </c>
      <c r="G3">
        <f>IF('My Debts'!$U$11="",DATE(2199,12,1),'My Debts'!$U$11)</f>
        <v/>
      </c>
      <c r="H3">
        <f>IF('My Debts'!$U$12="",DATE(2199,12,1),'My Debts'!$U$12)</f>
        <v/>
      </c>
      <c r="I3">
        <f>IF('My Debts'!$U$13="",DATE(2199,12,1),'My Debts'!$U$13)</f>
        <v/>
      </c>
      <c r="J3">
        <f>IF('My Debts'!$U$14="",DATE(2199,12,1),'My Debts'!$U$14)</f>
        <v/>
      </c>
      <c r="K3">
        <f>IF('My Debts'!$U$15="",DATE(2199,12,1),'My Debts'!$U$15)</f>
        <v/>
      </c>
      <c r="L3">
        <f>IF('My Debts'!$U$16="",DATE(2199,12,1),'My Debts'!$U$16)</f>
        <v/>
      </c>
      <c r="M3">
        <f>IF('My Debts'!$U$17="",DATE(2199,12,1),'My Debts'!$U$17)</f>
        <v/>
      </c>
      <c r="N3">
        <f>IF('My Debts'!$U$18="",DATE(2199,12,1),'My Debts'!$U$18)</f>
        <v/>
      </c>
    </row>
    <row r="4">
      <c r="A4" t="inlineStr">
        <is>
          <t>APR now</t>
        </is>
      </c>
      <c r="C4">
        <f>N(+'My Debts'!$E$7)</f>
        <v/>
      </c>
      <c r="D4">
        <f>N(+'My Debts'!$E$8)</f>
        <v/>
      </c>
      <c r="E4">
        <f>N(+'My Debts'!$E$9)</f>
        <v/>
      </c>
      <c r="F4">
        <f>N(+'My Debts'!$E$10)</f>
        <v/>
      </c>
      <c r="G4">
        <f>N(+'My Debts'!$E$11)</f>
        <v/>
      </c>
      <c r="H4">
        <f>N(+'My Debts'!$E$12)</f>
        <v/>
      </c>
      <c r="I4">
        <f>N(+'My Debts'!$E$13)</f>
        <v/>
      </c>
      <c r="J4">
        <f>N(+'My Debts'!$E$14)</f>
        <v/>
      </c>
      <c r="K4">
        <f>N(+'My Debts'!$E$15)</f>
        <v/>
      </c>
      <c r="L4">
        <f>N(+'My Debts'!$E$16)</f>
        <v/>
      </c>
      <c r="M4">
        <f>N(+'My Debts'!$E$17)</f>
        <v/>
      </c>
      <c r="N4">
        <f>N(+'My Debts'!$E$18)</f>
        <v/>
      </c>
    </row>
    <row r="5">
      <c r="A5" t="inlineStr">
        <is>
          <t>debt-free</t>
        </is>
      </c>
      <c r="B5">
        <f>IFERROR(INDEX($B$12:$B$371,MATCH(1,INDEX(($AD$12:$AD$371&lt;=0.005)*1,0),0)),"-")</f>
        <v/>
      </c>
      <c r="C5">
        <f>IF(N(+'My Debts'!$L$7)&gt;0,'My Debts'!$L$7,C4)</f>
        <v/>
      </c>
      <c r="D5">
        <f>IF(N(+'My Debts'!$L$8)&gt;0,'My Debts'!$L$8,D4)</f>
        <v/>
      </c>
      <c r="E5">
        <f>IF(N(+'My Debts'!$L$9)&gt;0,'My Debts'!$L$9,E4)</f>
        <v/>
      </c>
      <c r="F5">
        <f>IF(N(+'My Debts'!$L$10)&gt;0,'My Debts'!$L$10,F4)</f>
        <v/>
      </c>
      <c r="G5">
        <f>IF(N(+'My Debts'!$L$11)&gt;0,'My Debts'!$L$11,G4)</f>
        <v/>
      </c>
      <c r="H5">
        <f>IF(N(+'My Debts'!$L$12)&gt;0,'My Debts'!$L$12,H4)</f>
        <v/>
      </c>
      <c r="I5">
        <f>IF(N(+'My Debts'!$L$13)&gt;0,'My Debts'!$L$13,I4)</f>
        <v/>
      </c>
      <c r="J5">
        <f>IF(N(+'My Debts'!$L$14)&gt;0,'My Debts'!$L$14,J4)</f>
        <v/>
      </c>
      <c r="K5">
        <f>IF(N(+'My Debts'!$L$15)&gt;0,'My Debts'!$L$15,K4)</f>
        <v/>
      </c>
      <c r="L5">
        <f>IF(N(+'My Debts'!$L$16)&gt;0,'My Debts'!$L$16,L4)</f>
        <v/>
      </c>
      <c r="M5">
        <f>IF(N(+'My Debts'!$L$17)&gt;0,'My Debts'!$L$17,M4)</f>
        <v/>
      </c>
      <c r="N5">
        <f>IF(N(+'My Debts'!$L$18)&gt;0,'My Debts'!$L$18,N4)</f>
        <v/>
      </c>
    </row>
    <row r="6">
      <c r="A6" t="inlineStr">
        <is>
          <t>months</t>
        </is>
      </c>
      <c r="B6">
        <f>IFERROR(MATCH(1,INDEX(($AD$12:$AD$371&lt;=0.005)*1,0),0),"-")</f>
        <v/>
      </c>
      <c r="C6">
        <f>N(+'My Debts'!$K$7)</f>
        <v/>
      </c>
      <c r="D6">
        <f>N(+'My Debts'!$K$8)</f>
        <v/>
      </c>
      <c r="E6">
        <f>N(+'My Debts'!$K$9)</f>
        <v/>
      </c>
      <c r="F6">
        <f>N(+'My Debts'!$K$10)</f>
        <v/>
      </c>
      <c r="G6">
        <f>N(+'My Debts'!$K$11)</f>
        <v/>
      </c>
      <c r="H6">
        <f>N(+'My Debts'!$K$12)</f>
        <v/>
      </c>
      <c r="I6">
        <f>N(+'My Debts'!$K$13)</f>
        <v/>
      </c>
      <c r="J6">
        <f>N(+'My Debts'!$K$14)</f>
        <v/>
      </c>
      <c r="K6">
        <f>N(+'My Debts'!$K$15)</f>
        <v/>
      </c>
      <c r="L6">
        <f>N(+'My Debts'!$K$16)</f>
        <v/>
      </c>
      <c r="M6">
        <f>N(+'My Debts'!$K$17)</f>
        <v/>
      </c>
      <c r="N6">
        <f>N(+'My Debts'!$K$18)</f>
        <v/>
      </c>
    </row>
    <row r="7">
      <c r="A7" t="inlineStr">
        <is>
          <t>interest</t>
        </is>
      </c>
      <c r="B7">
        <f>SUM($O$12:$Z$371)-(SUM($C$8:$N$8)-SUM($C$371:$N$371))</f>
        <v/>
      </c>
      <c r="C7">
        <f>N(+'My Debts'!$F$7)</f>
        <v/>
      </c>
      <c r="D7">
        <f>N(+'My Debts'!$F$8)</f>
        <v/>
      </c>
      <c r="E7">
        <f>N(+'My Debts'!$F$9)</f>
        <v/>
      </c>
      <c r="F7">
        <f>N(+'My Debts'!$F$10)</f>
        <v/>
      </c>
      <c r="G7">
        <f>N(+'My Debts'!$F$11)</f>
        <v/>
      </c>
      <c r="H7">
        <f>N(+'My Debts'!$F$12)</f>
        <v/>
      </c>
      <c r="I7">
        <f>N(+'My Debts'!$F$13)</f>
        <v/>
      </c>
      <c r="J7">
        <f>N(+'My Debts'!$F$14)</f>
        <v/>
      </c>
      <c r="K7">
        <f>N(+'My Debts'!$F$15)</f>
        <v/>
      </c>
      <c r="L7">
        <f>N(+'My Debts'!$F$16)</f>
        <v/>
      </c>
      <c r="M7">
        <f>N(+'My Debts'!$F$17)</f>
        <v/>
      </c>
      <c r="N7">
        <f>N(+'My Debts'!$F$18)</f>
        <v/>
      </c>
    </row>
    <row r="8">
      <c r="A8" t="inlineStr">
        <is>
          <t>fees</t>
        </is>
      </c>
      <c r="B8">
        <f>SUM($C$1:$N$1)</f>
        <v/>
      </c>
      <c r="C8">
        <f>IF(AND(ISNUMBER('My Debts'!$D$7),'My Debts'!$D$7&gt;0),'My Debts'!$D$7,0)</f>
        <v/>
      </c>
      <c r="D8">
        <f>IF(AND(ISNUMBER('My Debts'!$D$8),'My Debts'!$D$8&gt;0),'My Debts'!$D$8,0)</f>
        <v/>
      </c>
      <c r="E8">
        <f>IF(AND(ISNUMBER('My Debts'!$D$9),'My Debts'!$D$9&gt;0),'My Debts'!$D$9,0)</f>
        <v/>
      </c>
      <c r="F8">
        <f>IF(AND(ISNUMBER('My Debts'!$D$10),'My Debts'!$D$10&gt;0),'My Debts'!$D$10,0)</f>
        <v/>
      </c>
      <c r="G8">
        <f>IF(AND(ISNUMBER('My Debts'!$D$11),'My Debts'!$D$11&gt;0),'My Debts'!$D$11,0)</f>
        <v/>
      </c>
      <c r="H8">
        <f>IF(AND(ISNUMBER('My Debts'!$D$12),'My Debts'!$D$12&gt;0),'My Debts'!$D$12,0)</f>
        <v/>
      </c>
      <c r="I8">
        <f>IF(AND(ISNUMBER('My Debts'!$D$13),'My Debts'!$D$13&gt;0),'My Debts'!$D$13,0)</f>
        <v/>
      </c>
      <c r="J8">
        <f>IF(AND(ISNUMBER('My Debts'!$D$14),'My Debts'!$D$14&gt;0),'My Debts'!$D$14,0)</f>
        <v/>
      </c>
      <c r="K8">
        <f>IF(AND(ISNUMBER('My Debts'!$D$15),'My Debts'!$D$15&gt;0),'My Debts'!$D$15,0)</f>
        <v/>
      </c>
      <c r="L8">
        <f>IF(AND(ISNUMBER('My Debts'!$D$16),'My Debts'!$D$16&gt;0),'My Debts'!$D$16,0)</f>
        <v/>
      </c>
      <c r="M8">
        <f>IF(AND(ISNUMBER('My Debts'!$D$17),'My Debts'!$D$17&gt;0),'My Debts'!$D$17,0)</f>
        <v/>
      </c>
      <c r="N8">
        <f>IF(AND(ISNUMBER('My Debts'!$D$18),'My Debts'!$D$18&gt;0),'My Debts'!$D$18,0)</f>
        <v/>
      </c>
    </row>
    <row r="9">
      <c r="A9" t="inlineStr">
        <is>
          <t>first</t>
        </is>
      </c>
      <c r="B9">
        <f>IF(COUNT($C$10:$N$10)=0,"-",MIN($C$10:$N$10))</f>
        <v/>
      </c>
    </row>
    <row r="10">
      <c r="C10">
        <f>IF(C8&lt;=0,"",IFERROR(INDEX($B$12:$B$371,MATCH(1,INDEX((C$12:C$371&lt;=0.005)*1,0),0)),""))</f>
        <v/>
      </c>
      <c r="D10">
        <f>IF(D8&lt;=0,"",IFERROR(INDEX($B$12:$B$371,MATCH(1,INDEX((D$12:D$371&lt;=0.005)*1,0),0)),""))</f>
        <v/>
      </c>
      <c r="E10">
        <f>IF(E8&lt;=0,"",IFERROR(INDEX($B$12:$B$371,MATCH(1,INDEX((E$12:E$371&lt;=0.005)*1,0),0)),""))</f>
        <v/>
      </c>
      <c r="F10">
        <f>IF(F8&lt;=0,"",IFERROR(INDEX($B$12:$B$371,MATCH(1,INDEX((F$12:F$371&lt;=0.005)*1,0),0)),""))</f>
        <v/>
      </c>
      <c r="G10">
        <f>IF(G8&lt;=0,"",IFERROR(INDEX($B$12:$B$371,MATCH(1,INDEX((G$12:G$371&lt;=0.005)*1,0),0)),""))</f>
        <v/>
      </c>
      <c r="H10">
        <f>IF(H8&lt;=0,"",IFERROR(INDEX($B$12:$B$371,MATCH(1,INDEX((H$12:H$371&lt;=0.005)*1,0),0)),""))</f>
        <v/>
      </c>
      <c r="I10">
        <f>IF(I8&lt;=0,"",IFERROR(INDEX($B$12:$B$371,MATCH(1,INDEX((I$12:I$371&lt;=0.005)*1,0),0)),""))</f>
        <v/>
      </c>
      <c r="J10">
        <f>IF(J8&lt;=0,"",IFERROR(INDEX($B$12:$B$371,MATCH(1,INDEX((J$12:J$371&lt;=0.005)*1,0),0)),""))</f>
        <v/>
      </c>
      <c r="K10">
        <f>IF(K8&lt;=0,"",IFERROR(INDEX($B$12:$B$371,MATCH(1,INDEX((K$12:K$371&lt;=0.005)*1,0),0)),""))</f>
        <v/>
      </c>
      <c r="L10">
        <f>IF(L8&lt;=0,"",IFERROR(INDEX($B$12:$B$371,MATCH(1,INDEX((L$12:L$371&lt;=0.005)*1,0),0)),""))</f>
        <v/>
      </c>
      <c r="M10">
        <f>IF(M8&lt;=0,"",IFERROR(INDEX($B$12:$B$371,MATCH(1,INDEX((M$12:M$371&lt;=0.005)*1,0),0)),""))</f>
        <v/>
      </c>
      <c r="N10">
        <f>IF(N8&lt;=0,"",IFERROR(INDEX($B$12:$B$371,MATCH(1,INDEX((N$12:N$371&lt;=0.005)*1,0),0)),""))</f>
        <v/>
      </c>
    </row>
    <row r="11">
      <c r="B11">
        <f>EDATE(Plan!$C$6,-1)</f>
        <v/>
      </c>
      <c r="C11">
        <f>C8</f>
        <v/>
      </c>
      <c r="D11">
        <f>D8</f>
        <v/>
      </c>
      <c r="E11">
        <f>E8</f>
        <v/>
      </c>
      <c r="F11">
        <f>F8</f>
        <v/>
      </c>
      <c r="G11">
        <f>G8</f>
        <v/>
      </c>
      <c r="H11">
        <f>H8</f>
        <v/>
      </c>
      <c r="I11">
        <f>I8</f>
        <v/>
      </c>
      <c r="J11">
        <f>J8</f>
        <v/>
      </c>
      <c r="K11">
        <f>K8</f>
        <v/>
      </c>
      <c r="L11">
        <f>L8</f>
        <v/>
      </c>
      <c r="M11">
        <f>M8</f>
        <v/>
      </c>
      <c r="N11">
        <f>N8</f>
        <v/>
      </c>
      <c r="AD11">
        <f>SUM(C11:N11)</f>
        <v/>
      </c>
    </row>
    <row r="12">
      <c r="A12" t="n">
        <v>1</v>
      </c>
      <c r="B12">
        <f>EDATE(Plan!$C$6,0)</f>
        <v/>
      </c>
      <c r="C12">
        <f>IF(C11&lt;=0,0,MAX(0,AH12-O12))</f>
        <v/>
      </c>
      <c r="D12">
        <f>IF(D11&lt;=0,0,MAX(0,AI12-P12))</f>
        <v/>
      </c>
      <c r="E12">
        <f>IF(E11&lt;=0,0,MAX(0,AJ12-Q12))</f>
        <v/>
      </c>
      <c r="F12">
        <f>IF(F11&lt;=0,0,MAX(0,AK12-R12))</f>
        <v/>
      </c>
      <c r="G12">
        <f>IF(G11&lt;=0,0,MAX(0,AL12-S12))</f>
        <v/>
      </c>
      <c r="H12">
        <f>IF(H11&lt;=0,0,MAX(0,AM12-T12))</f>
        <v/>
      </c>
      <c r="I12">
        <f>IF(I11&lt;=0,0,MAX(0,AN12-U12))</f>
        <v/>
      </c>
      <c r="J12">
        <f>IF(J11&lt;=0,0,MAX(0,AO12-V12))</f>
        <v/>
      </c>
      <c r="K12">
        <f>IF(K11&lt;=0,0,MAX(0,AP12-W12))</f>
        <v/>
      </c>
      <c r="L12">
        <f>IF(L11&lt;=0,0,MAX(0,AQ12-X12))</f>
        <v/>
      </c>
      <c r="M12">
        <f>IF(M11&lt;=0,0,MAX(0,AR12-Y12))</f>
        <v/>
      </c>
      <c r="N12">
        <f>IF(N11&lt;=0,0,MAX(0,AS12-Z12))</f>
        <v/>
      </c>
      <c r="O12">
        <f>IF(C11&lt;=0,0,MIN(AH12,C$7+IF(C$2=$AA12,$AC12,IF(C$2=$AF12,$AG12,0))))</f>
        <v/>
      </c>
      <c r="P12">
        <f>IF(D11&lt;=0,0,MIN(AI12,D$7+IF(D$2=$AA12,$AC12,IF(D$2=$AF12,$AG12,0))))</f>
        <v/>
      </c>
      <c r="Q12">
        <f>IF(E11&lt;=0,0,MIN(AJ12,E$7+IF(E$2=$AA12,$AC12,IF(E$2=$AF12,$AG12,0))))</f>
        <v/>
      </c>
      <c r="R12">
        <f>IF(F11&lt;=0,0,MIN(AK12,F$7+IF(F$2=$AA12,$AC12,IF(F$2=$AF12,$AG12,0))))</f>
        <v/>
      </c>
      <c r="S12">
        <f>IF(G11&lt;=0,0,MIN(AL12,G$7+IF(G$2=$AA12,$AC12,IF(G$2=$AF12,$AG12,0))))</f>
        <v/>
      </c>
      <c r="T12">
        <f>IF(H11&lt;=0,0,MIN(AM12,H$7+IF(H$2=$AA12,$AC12,IF(H$2=$AF12,$AG12,0))))</f>
        <v/>
      </c>
      <c r="U12">
        <f>IF(I11&lt;=0,0,MIN(AN12,I$7+IF(I$2=$AA12,$AC12,IF(I$2=$AF12,$AG12,0))))</f>
        <v/>
      </c>
      <c r="V12">
        <f>IF(J11&lt;=0,0,MIN(AO12,J$7+IF(J$2=$AA12,$AC12,IF(J$2=$AF12,$AG12,0))))</f>
        <v/>
      </c>
      <c r="W12">
        <f>IF(K11&lt;=0,0,MIN(AP12,K$7+IF(K$2=$AA12,$AC12,IF(K$2=$AF12,$AG12,0))))</f>
        <v/>
      </c>
      <c r="X12">
        <f>IF(L11&lt;=0,0,MIN(AQ12,L$7+IF(L$2=$AA12,$AC12,IF(L$2=$AF12,$AG12,0))))</f>
        <v/>
      </c>
      <c r="Y12">
        <f>IF(M11&lt;=0,0,MIN(AR12,M$7+IF(M$2=$AA12,$AC12,IF(M$2=$AF12,$AG12,0))))</f>
        <v/>
      </c>
      <c r="Z12">
        <f>IF(N11&lt;=0,0,MIN(AS12,N$7+IF(N$2=$AA12,$AC12,IF(N$2=$AF12,$AG12,0))))</f>
        <v/>
      </c>
      <c r="AA12">
        <f>IFERROR(ROUND(1/SUMPRODUCT(MAX((C11:N11&gt;0)*($C$3:$N$3&lt;=B12)/$C$2:$N$2)),0),0)</f>
        <v/>
      </c>
      <c r="AB12">
        <f>SUMPRODUCT((C11:N11&gt;0)*$C$7:$N$7)</f>
        <v/>
      </c>
      <c r="AC12">
        <f>MAX(0,Plan!$C$5-AB12)+IF(A12=Plan!$C$8,N(Plan!$C$7),0)</f>
        <v/>
      </c>
      <c r="AD12">
        <f>SUM(C12:N12)</f>
        <v/>
      </c>
      <c r="AE12">
        <f>SUM(O12:Z12)</f>
        <v/>
      </c>
      <c r="AF12">
        <f>IFERROR(ROUND(1/SUMPRODUCT(MAX((C11:N11&gt;0)*($C$3:$N$3&lt;=B12)*($C$2:$N$2&gt;AA12)/$C$2:$N$2)),0),0)</f>
        <v/>
      </c>
      <c r="AG12">
        <f>MAX(0,AC12-MAX(0,SUMPRODUCT(($C$2:$N$2=AA12)*(AH12:AS12-$C$7:$N$7))))</f>
        <v/>
      </c>
      <c r="AH12">
        <f>IF(C11&lt;=0,0,ROUND(C11*(1+IF(AND(C$6&gt;0,$B12&lt;C$6),C$4,C$5)/12),2))</f>
        <v/>
      </c>
      <c r="AI12">
        <f>IF(D11&lt;=0,0,ROUND(D11*(1+IF(AND(D$6&gt;0,$B12&lt;D$6),D$4,D$5)/12),2))</f>
        <v/>
      </c>
      <c r="AJ12">
        <f>IF(E11&lt;=0,0,ROUND(E11*(1+IF(AND(E$6&gt;0,$B12&lt;E$6),E$4,E$5)/12),2))</f>
        <v/>
      </c>
      <c r="AK12">
        <f>IF(F11&lt;=0,0,ROUND(F11*(1+IF(AND(F$6&gt;0,$B12&lt;F$6),F$4,F$5)/12),2))</f>
        <v/>
      </c>
      <c r="AL12">
        <f>IF(G11&lt;=0,0,ROUND(G11*(1+IF(AND(G$6&gt;0,$B12&lt;G$6),G$4,G$5)/12),2))</f>
        <v/>
      </c>
      <c r="AM12">
        <f>IF(H11&lt;=0,0,ROUND(H11*(1+IF(AND(H$6&gt;0,$B12&lt;H$6),H$4,H$5)/12),2))</f>
        <v/>
      </c>
      <c r="AN12">
        <f>IF(I11&lt;=0,0,ROUND(I11*(1+IF(AND(I$6&gt;0,$B12&lt;I$6),I$4,I$5)/12),2))</f>
        <v/>
      </c>
      <c r="AO12">
        <f>IF(J11&lt;=0,0,ROUND(J11*(1+IF(AND(J$6&gt;0,$B12&lt;J$6),J$4,J$5)/12),2))</f>
        <v/>
      </c>
      <c r="AP12">
        <f>IF(K11&lt;=0,0,ROUND(K11*(1+IF(AND(K$6&gt;0,$B12&lt;K$6),K$4,K$5)/12),2))</f>
        <v/>
      </c>
      <c r="AQ12">
        <f>IF(L11&lt;=0,0,ROUND(L11*(1+IF(AND(L$6&gt;0,$B12&lt;L$6),L$4,L$5)/12),2))</f>
        <v/>
      </c>
      <c r="AR12">
        <f>IF(M11&lt;=0,0,ROUND(M11*(1+IF(AND(M$6&gt;0,$B12&lt;M$6),M$4,M$5)/12),2))</f>
        <v/>
      </c>
      <c r="AS12">
        <f>IF(N11&lt;=0,0,ROUND(N11*(1+IF(AND(N$6&gt;0,$B12&lt;N$6),N$4,N$5)/12),2))</f>
        <v/>
      </c>
    </row>
    <row r="13">
      <c r="A13" t="n">
        <v>2</v>
      </c>
      <c r="B13">
        <f>EDATE(Plan!$C$6,1)</f>
        <v/>
      </c>
      <c r="C13">
        <f>IF(C12&lt;=0,0,MAX(0,AH13-O13))</f>
        <v/>
      </c>
      <c r="D13">
        <f>IF(D12&lt;=0,0,MAX(0,AI13-P13))</f>
        <v/>
      </c>
      <c r="E13">
        <f>IF(E12&lt;=0,0,MAX(0,AJ13-Q13))</f>
        <v/>
      </c>
      <c r="F13">
        <f>IF(F12&lt;=0,0,MAX(0,AK13-R13))</f>
        <v/>
      </c>
      <c r="G13">
        <f>IF(G12&lt;=0,0,MAX(0,AL13-S13))</f>
        <v/>
      </c>
      <c r="H13">
        <f>IF(H12&lt;=0,0,MAX(0,AM13-T13))</f>
        <v/>
      </c>
      <c r="I13">
        <f>IF(I12&lt;=0,0,MAX(0,AN13-U13))</f>
        <v/>
      </c>
      <c r="J13">
        <f>IF(J12&lt;=0,0,MAX(0,AO13-V13))</f>
        <v/>
      </c>
      <c r="K13">
        <f>IF(K12&lt;=0,0,MAX(0,AP13-W13))</f>
        <v/>
      </c>
      <c r="L13">
        <f>IF(L12&lt;=0,0,MAX(0,AQ13-X13))</f>
        <v/>
      </c>
      <c r="M13">
        <f>IF(M12&lt;=0,0,MAX(0,AR13-Y13))</f>
        <v/>
      </c>
      <c r="N13">
        <f>IF(N12&lt;=0,0,MAX(0,AS13-Z13))</f>
        <v/>
      </c>
      <c r="O13">
        <f>IF(C12&lt;=0,0,MIN(AH13,C$7+IF(C$2=$AA13,$AC13,IF(C$2=$AF13,$AG13,0))))</f>
        <v/>
      </c>
      <c r="P13">
        <f>IF(D12&lt;=0,0,MIN(AI13,D$7+IF(D$2=$AA13,$AC13,IF(D$2=$AF13,$AG13,0))))</f>
        <v/>
      </c>
      <c r="Q13">
        <f>IF(E12&lt;=0,0,MIN(AJ13,E$7+IF(E$2=$AA13,$AC13,IF(E$2=$AF13,$AG13,0))))</f>
        <v/>
      </c>
      <c r="R13">
        <f>IF(F12&lt;=0,0,MIN(AK13,F$7+IF(F$2=$AA13,$AC13,IF(F$2=$AF13,$AG13,0))))</f>
        <v/>
      </c>
      <c r="S13">
        <f>IF(G12&lt;=0,0,MIN(AL13,G$7+IF(G$2=$AA13,$AC13,IF(G$2=$AF13,$AG13,0))))</f>
        <v/>
      </c>
      <c r="T13">
        <f>IF(H12&lt;=0,0,MIN(AM13,H$7+IF(H$2=$AA13,$AC13,IF(H$2=$AF13,$AG13,0))))</f>
        <v/>
      </c>
      <c r="U13">
        <f>IF(I12&lt;=0,0,MIN(AN13,I$7+IF(I$2=$AA13,$AC13,IF(I$2=$AF13,$AG13,0))))</f>
        <v/>
      </c>
      <c r="V13">
        <f>IF(J12&lt;=0,0,MIN(AO13,J$7+IF(J$2=$AA13,$AC13,IF(J$2=$AF13,$AG13,0))))</f>
        <v/>
      </c>
      <c r="W13">
        <f>IF(K12&lt;=0,0,MIN(AP13,K$7+IF(K$2=$AA13,$AC13,IF(K$2=$AF13,$AG13,0))))</f>
        <v/>
      </c>
      <c r="X13">
        <f>IF(L12&lt;=0,0,MIN(AQ13,L$7+IF(L$2=$AA13,$AC13,IF(L$2=$AF13,$AG13,0))))</f>
        <v/>
      </c>
      <c r="Y13">
        <f>IF(M12&lt;=0,0,MIN(AR13,M$7+IF(M$2=$AA13,$AC13,IF(M$2=$AF13,$AG13,0))))</f>
        <v/>
      </c>
      <c r="Z13">
        <f>IF(N12&lt;=0,0,MIN(AS13,N$7+IF(N$2=$AA13,$AC13,IF(N$2=$AF13,$AG13,0))))</f>
        <v/>
      </c>
      <c r="AA13">
        <f>IFERROR(ROUND(1/SUMPRODUCT(MAX((C12:N12&gt;0)*($C$3:$N$3&lt;=B13)/$C$2:$N$2)),0),0)</f>
        <v/>
      </c>
      <c r="AB13">
        <f>SUMPRODUCT((C12:N12&gt;0)*$C$7:$N$7)</f>
        <v/>
      </c>
      <c r="AC13">
        <f>MAX(0,Plan!$C$5-AB13)+IF(A13=Plan!$C$8,N(Plan!$C$7),0)</f>
        <v/>
      </c>
      <c r="AD13">
        <f>SUM(C13:N13)</f>
        <v/>
      </c>
      <c r="AE13">
        <f>SUM(O13:Z13)</f>
        <v/>
      </c>
      <c r="AF13">
        <f>IFERROR(ROUND(1/SUMPRODUCT(MAX((C12:N12&gt;0)*($C$3:$N$3&lt;=B13)*($C$2:$N$2&gt;AA13)/$C$2:$N$2)),0),0)</f>
        <v/>
      </c>
      <c r="AG13">
        <f>MAX(0,AC13-MAX(0,SUMPRODUCT(($C$2:$N$2=AA13)*(AH13:AS13-$C$7:$N$7))))</f>
        <v/>
      </c>
      <c r="AH13">
        <f>IF(C12&lt;=0,0,ROUND(C12*(1+IF(AND(C$6&gt;0,$B13&lt;C$6),C$4,C$5)/12),2))</f>
        <v/>
      </c>
      <c r="AI13">
        <f>IF(D12&lt;=0,0,ROUND(D12*(1+IF(AND(D$6&gt;0,$B13&lt;D$6),D$4,D$5)/12),2))</f>
        <v/>
      </c>
      <c r="AJ13">
        <f>IF(E12&lt;=0,0,ROUND(E12*(1+IF(AND(E$6&gt;0,$B13&lt;E$6),E$4,E$5)/12),2))</f>
        <v/>
      </c>
      <c r="AK13">
        <f>IF(F12&lt;=0,0,ROUND(F12*(1+IF(AND(F$6&gt;0,$B13&lt;F$6),F$4,F$5)/12),2))</f>
        <v/>
      </c>
      <c r="AL13">
        <f>IF(G12&lt;=0,0,ROUND(G12*(1+IF(AND(G$6&gt;0,$B13&lt;G$6),G$4,G$5)/12),2))</f>
        <v/>
      </c>
      <c r="AM13">
        <f>IF(H12&lt;=0,0,ROUND(H12*(1+IF(AND(H$6&gt;0,$B13&lt;H$6),H$4,H$5)/12),2))</f>
        <v/>
      </c>
      <c r="AN13">
        <f>IF(I12&lt;=0,0,ROUND(I12*(1+IF(AND(I$6&gt;0,$B13&lt;I$6),I$4,I$5)/12),2))</f>
        <v/>
      </c>
      <c r="AO13">
        <f>IF(J12&lt;=0,0,ROUND(J12*(1+IF(AND(J$6&gt;0,$B13&lt;J$6),J$4,J$5)/12),2))</f>
        <v/>
      </c>
      <c r="AP13">
        <f>IF(K12&lt;=0,0,ROUND(K12*(1+IF(AND(K$6&gt;0,$B13&lt;K$6),K$4,K$5)/12),2))</f>
        <v/>
      </c>
      <c r="AQ13">
        <f>IF(L12&lt;=0,0,ROUND(L12*(1+IF(AND(L$6&gt;0,$B13&lt;L$6),L$4,L$5)/12),2))</f>
        <v/>
      </c>
      <c r="AR13">
        <f>IF(M12&lt;=0,0,ROUND(M12*(1+IF(AND(M$6&gt;0,$B13&lt;M$6),M$4,M$5)/12),2))</f>
        <v/>
      </c>
      <c r="AS13">
        <f>IF(N12&lt;=0,0,ROUND(N12*(1+IF(AND(N$6&gt;0,$B13&lt;N$6),N$4,N$5)/12),2))</f>
        <v/>
      </c>
    </row>
    <row r="14">
      <c r="A14" t="n">
        <v>3</v>
      </c>
      <c r="B14">
        <f>EDATE(Plan!$C$6,2)</f>
        <v/>
      </c>
      <c r="C14">
        <f>IF(C13&lt;=0,0,MAX(0,AH14-O14))</f>
        <v/>
      </c>
      <c r="D14">
        <f>IF(D13&lt;=0,0,MAX(0,AI14-P14))</f>
        <v/>
      </c>
      <c r="E14">
        <f>IF(E13&lt;=0,0,MAX(0,AJ14-Q14))</f>
        <v/>
      </c>
      <c r="F14">
        <f>IF(F13&lt;=0,0,MAX(0,AK14-R14))</f>
        <v/>
      </c>
      <c r="G14">
        <f>IF(G13&lt;=0,0,MAX(0,AL14-S14))</f>
        <v/>
      </c>
      <c r="H14">
        <f>IF(H13&lt;=0,0,MAX(0,AM14-T14))</f>
        <v/>
      </c>
      <c r="I14">
        <f>IF(I13&lt;=0,0,MAX(0,AN14-U14))</f>
        <v/>
      </c>
      <c r="J14">
        <f>IF(J13&lt;=0,0,MAX(0,AO14-V14))</f>
        <v/>
      </c>
      <c r="K14">
        <f>IF(K13&lt;=0,0,MAX(0,AP14-W14))</f>
        <v/>
      </c>
      <c r="L14">
        <f>IF(L13&lt;=0,0,MAX(0,AQ14-X14))</f>
        <v/>
      </c>
      <c r="M14">
        <f>IF(M13&lt;=0,0,MAX(0,AR14-Y14))</f>
        <v/>
      </c>
      <c r="N14">
        <f>IF(N13&lt;=0,0,MAX(0,AS14-Z14))</f>
        <v/>
      </c>
      <c r="O14">
        <f>IF(C13&lt;=0,0,MIN(AH14,C$7+IF(C$2=$AA14,$AC14,IF(C$2=$AF14,$AG14,0))))</f>
        <v/>
      </c>
      <c r="P14">
        <f>IF(D13&lt;=0,0,MIN(AI14,D$7+IF(D$2=$AA14,$AC14,IF(D$2=$AF14,$AG14,0))))</f>
        <v/>
      </c>
      <c r="Q14">
        <f>IF(E13&lt;=0,0,MIN(AJ14,E$7+IF(E$2=$AA14,$AC14,IF(E$2=$AF14,$AG14,0))))</f>
        <v/>
      </c>
      <c r="R14">
        <f>IF(F13&lt;=0,0,MIN(AK14,F$7+IF(F$2=$AA14,$AC14,IF(F$2=$AF14,$AG14,0))))</f>
        <v/>
      </c>
      <c r="S14">
        <f>IF(G13&lt;=0,0,MIN(AL14,G$7+IF(G$2=$AA14,$AC14,IF(G$2=$AF14,$AG14,0))))</f>
        <v/>
      </c>
      <c r="T14">
        <f>IF(H13&lt;=0,0,MIN(AM14,H$7+IF(H$2=$AA14,$AC14,IF(H$2=$AF14,$AG14,0))))</f>
        <v/>
      </c>
      <c r="U14">
        <f>IF(I13&lt;=0,0,MIN(AN14,I$7+IF(I$2=$AA14,$AC14,IF(I$2=$AF14,$AG14,0))))</f>
        <v/>
      </c>
      <c r="V14">
        <f>IF(J13&lt;=0,0,MIN(AO14,J$7+IF(J$2=$AA14,$AC14,IF(J$2=$AF14,$AG14,0))))</f>
        <v/>
      </c>
      <c r="W14">
        <f>IF(K13&lt;=0,0,MIN(AP14,K$7+IF(K$2=$AA14,$AC14,IF(K$2=$AF14,$AG14,0))))</f>
        <v/>
      </c>
      <c r="X14">
        <f>IF(L13&lt;=0,0,MIN(AQ14,L$7+IF(L$2=$AA14,$AC14,IF(L$2=$AF14,$AG14,0))))</f>
        <v/>
      </c>
      <c r="Y14">
        <f>IF(M13&lt;=0,0,MIN(AR14,M$7+IF(M$2=$AA14,$AC14,IF(M$2=$AF14,$AG14,0))))</f>
        <v/>
      </c>
      <c r="Z14">
        <f>IF(N13&lt;=0,0,MIN(AS14,N$7+IF(N$2=$AA14,$AC14,IF(N$2=$AF14,$AG14,0))))</f>
        <v/>
      </c>
      <c r="AA14">
        <f>IFERROR(ROUND(1/SUMPRODUCT(MAX((C13:N13&gt;0)*($C$3:$N$3&lt;=B14)/$C$2:$N$2)),0),0)</f>
        <v/>
      </c>
      <c r="AB14">
        <f>SUMPRODUCT((C13:N13&gt;0)*$C$7:$N$7)</f>
        <v/>
      </c>
      <c r="AC14">
        <f>MAX(0,Plan!$C$5-AB14)+IF(A14=Plan!$C$8,N(Plan!$C$7),0)</f>
        <v/>
      </c>
      <c r="AD14">
        <f>SUM(C14:N14)</f>
        <v/>
      </c>
      <c r="AE14">
        <f>SUM(O14:Z14)</f>
        <v/>
      </c>
      <c r="AF14">
        <f>IFERROR(ROUND(1/SUMPRODUCT(MAX((C13:N13&gt;0)*($C$3:$N$3&lt;=B14)*($C$2:$N$2&gt;AA14)/$C$2:$N$2)),0),0)</f>
        <v/>
      </c>
      <c r="AG14">
        <f>MAX(0,AC14-MAX(0,SUMPRODUCT(($C$2:$N$2=AA14)*(AH14:AS14-$C$7:$N$7))))</f>
        <v/>
      </c>
      <c r="AH14">
        <f>IF(C13&lt;=0,0,ROUND(C13*(1+IF(AND(C$6&gt;0,$B14&lt;C$6),C$4,C$5)/12),2))</f>
        <v/>
      </c>
      <c r="AI14">
        <f>IF(D13&lt;=0,0,ROUND(D13*(1+IF(AND(D$6&gt;0,$B14&lt;D$6),D$4,D$5)/12),2))</f>
        <v/>
      </c>
      <c r="AJ14">
        <f>IF(E13&lt;=0,0,ROUND(E13*(1+IF(AND(E$6&gt;0,$B14&lt;E$6),E$4,E$5)/12),2))</f>
        <v/>
      </c>
      <c r="AK14">
        <f>IF(F13&lt;=0,0,ROUND(F13*(1+IF(AND(F$6&gt;0,$B14&lt;F$6),F$4,F$5)/12),2))</f>
        <v/>
      </c>
      <c r="AL14">
        <f>IF(G13&lt;=0,0,ROUND(G13*(1+IF(AND(G$6&gt;0,$B14&lt;G$6),G$4,G$5)/12),2))</f>
        <v/>
      </c>
      <c r="AM14">
        <f>IF(H13&lt;=0,0,ROUND(H13*(1+IF(AND(H$6&gt;0,$B14&lt;H$6),H$4,H$5)/12),2))</f>
        <v/>
      </c>
      <c r="AN14">
        <f>IF(I13&lt;=0,0,ROUND(I13*(1+IF(AND(I$6&gt;0,$B14&lt;I$6),I$4,I$5)/12),2))</f>
        <v/>
      </c>
      <c r="AO14">
        <f>IF(J13&lt;=0,0,ROUND(J13*(1+IF(AND(J$6&gt;0,$B14&lt;J$6),J$4,J$5)/12),2))</f>
        <v/>
      </c>
      <c r="AP14">
        <f>IF(K13&lt;=0,0,ROUND(K13*(1+IF(AND(K$6&gt;0,$B14&lt;K$6),K$4,K$5)/12),2))</f>
        <v/>
      </c>
      <c r="AQ14">
        <f>IF(L13&lt;=0,0,ROUND(L13*(1+IF(AND(L$6&gt;0,$B14&lt;L$6),L$4,L$5)/12),2))</f>
        <v/>
      </c>
      <c r="AR14">
        <f>IF(M13&lt;=0,0,ROUND(M13*(1+IF(AND(M$6&gt;0,$B14&lt;M$6),M$4,M$5)/12),2))</f>
        <v/>
      </c>
      <c r="AS14">
        <f>IF(N13&lt;=0,0,ROUND(N13*(1+IF(AND(N$6&gt;0,$B14&lt;N$6),N$4,N$5)/12),2))</f>
        <v/>
      </c>
    </row>
    <row r="15">
      <c r="A15" t="n">
        <v>4</v>
      </c>
      <c r="B15">
        <f>EDATE(Plan!$C$6,3)</f>
        <v/>
      </c>
      <c r="C15">
        <f>IF(C14&lt;=0,0,MAX(0,AH15-O15))</f>
        <v/>
      </c>
      <c r="D15">
        <f>IF(D14&lt;=0,0,MAX(0,AI15-P15))</f>
        <v/>
      </c>
      <c r="E15">
        <f>IF(E14&lt;=0,0,MAX(0,AJ15-Q15))</f>
        <v/>
      </c>
      <c r="F15">
        <f>IF(F14&lt;=0,0,MAX(0,AK15-R15))</f>
        <v/>
      </c>
      <c r="G15">
        <f>IF(G14&lt;=0,0,MAX(0,AL15-S15))</f>
        <v/>
      </c>
      <c r="H15">
        <f>IF(H14&lt;=0,0,MAX(0,AM15-T15))</f>
        <v/>
      </c>
      <c r="I15">
        <f>IF(I14&lt;=0,0,MAX(0,AN15-U15))</f>
        <v/>
      </c>
      <c r="J15">
        <f>IF(J14&lt;=0,0,MAX(0,AO15-V15))</f>
        <v/>
      </c>
      <c r="K15">
        <f>IF(K14&lt;=0,0,MAX(0,AP15-W15))</f>
        <v/>
      </c>
      <c r="L15">
        <f>IF(L14&lt;=0,0,MAX(0,AQ15-X15))</f>
        <v/>
      </c>
      <c r="M15">
        <f>IF(M14&lt;=0,0,MAX(0,AR15-Y15))</f>
        <v/>
      </c>
      <c r="N15">
        <f>IF(N14&lt;=0,0,MAX(0,AS15-Z15))</f>
        <v/>
      </c>
      <c r="O15">
        <f>IF(C14&lt;=0,0,MIN(AH15,C$7+IF(C$2=$AA15,$AC15,IF(C$2=$AF15,$AG15,0))))</f>
        <v/>
      </c>
      <c r="P15">
        <f>IF(D14&lt;=0,0,MIN(AI15,D$7+IF(D$2=$AA15,$AC15,IF(D$2=$AF15,$AG15,0))))</f>
        <v/>
      </c>
      <c r="Q15">
        <f>IF(E14&lt;=0,0,MIN(AJ15,E$7+IF(E$2=$AA15,$AC15,IF(E$2=$AF15,$AG15,0))))</f>
        <v/>
      </c>
      <c r="R15">
        <f>IF(F14&lt;=0,0,MIN(AK15,F$7+IF(F$2=$AA15,$AC15,IF(F$2=$AF15,$AG15,0))))</f>
        <v/>
      </c>
      <c r="S15">
        <f>IF(G14&lt;=0,0,MIN(AL15,G$7+IF(G$2=$AA15,$AC15,IF(G$2=$AF15,$AG15,0))))</f>
        <v/>
      </c>
      <c r="T15">
        <f>IF(H14&lt;=0,0,MIN(AM15,H$7+IF(H$2=$AA15,$AC15,IF(H$2=$AF15,$AG15,0))))</f>
        <v/>
      </c>
      <c r="U15">
        <f>IF(I14&lt;=0,0,MIN(AN15,I$7+IF(I$2=$AA15,$AC15,IF(I$2=$AF15,$AG15,0))))</f>
        <v/>
      </c>
      <c r="V15">
        <f>IF(J14&lt;=0,0,MIN(AO15,J$7+IF(J$2=$AA15,$AC15,IF(J$2=$AF15,$AG15,0))))</f>
        <v/>
      </c>
      <c r="W15">
        <f>IF(K14&lt;=0,0,MIN(AP15,K$7+IF(K$2=$AA15,$AC15,IF(K$2=$AF15,$AG15,0))))</f>
        <v/>
      </c>
      <c r="X15">
        <f>IF(L14&lt;=0,0,MIN(AQ15,L$7+IF(L$2=$AA15,$AC15,IF(L$2=$AF15,$AG15,0))))</f>
        <v/>
      </c>
      <c r="Y15">
        <f>IF(M14&lt;=0,0,MIN(AR15,M$7+IF(M$2=$AA15,$AC15,IF(M$2=$AF15,$AG15,0))))</f>
        <v/>
      </c>
      <c r="Z15">
        <f>IF(N14&lt;=0,0,MIN(AS15,N$7+IF(N$2=$AA15,$AC15,IF(N$2=$AF15,$AG15,0))))</f>
        <v/>
      </c>
      <c r="AA15">
        <f>IFERROR(ROUND(1/SUMPRODUCT(MAX((C14:N14&gt;0)*($C$3:$N$3&lt;=B15)/$C$2:$N$2)),0),0)</f>
        <v/>
      </c>
      <c r="AB15">
        <f>SUMPRODUCT((C14:N14&gt;0)*$C$7:$N$7)</f>
        <v/>
      </c>
      <c r="AC15">
        <f>MAX(0,Plan!$C$5-AB15)+IF(A15=Plan!$C$8,N(Plan!$C$7),0)</f>
        <v/>
      </c>
      <c r="AD15">
        <f>SUM(C15:N15)</f>
        <v/>
      </c>
      <c r="AE15">
        <f>SUM(O15:Z15)</f>
        <v/>
      </c>
      <c r="AF15">
        <f>IFERROR(ROUND(1/SUMPRODUCT(MAX((C14:N14&gt;0)*($C$3:$N$3&lt;=B15)*($C$2:$N$2&gt;AA15)/$C$2:$N$2)),0),0)</f>
        <v/>
      </c>
      <c r="AG15">
        <f>MAX(0,AC15-MAX(0,SUMPRODUCT(($C$2:$N$2=AA15)*(AH15:AS15-$C$7:$N$7))))</f>
        <v/>
      </c>
      <c r="AH15">
        <f>IF(C14&lt;=0,0,ROUND(C14*(1+IF(AND(C$6&gt;0,$B15&lt;C$6),C$4,C$5)/12),2))</f>
        <v/>
      </c>
      <c r="AI15">
        <f>IF(D14&lt;=0,0,ROUND(D14*(1+IF(AND(D$6&gt;0,$B15&lt;D$6),D$4,D$5)/12),2))</f>
        <v/>
      </c>
      <c r="AJ15">
        <f>IF(E14&lt;=0,0,ROUND(E14*(1+IF(AND(E$6&gt;0,$B15&lt;E$6),E$4,E$5)/12),2))</f>
        <v/>
      </c>
      <c r="AK15">
        <f>IF(F14&lt;=0,0,ROUND(F14*(1+IF(AND(F$6&gt;0,$B15&lt;F$6),F$4,F$5)/12),2))</f>
        <v/>
      </c>
      <c r="AL15">
        <f>IF(G14&lt;=0,0,ROUND(G14*(1+IF(AND(G$6&gt;0,$B15&lt;G$6),G$4,G$5)/12),2))</f>
        <v/>
      </c>
      <c r="AM15">
        <f>IF(H14&lt;=0,0,ROUND(H14*(1+IF(AND(H$6&gt;0,$B15&lt;H$6),H$4,H$5)/12),2))</f>
        <v/>
      </c>
      <c r="AN15">
        <f>IF(I14&lt;=0,0,ROUND(I14*(1+IF(AND(I$6&gt;0,$B15&lt;I$6),I$4,I$5)/12),2))</f>
        <v/>
      </c>
      <c r="AO15">
        <f>IF(J14&lt;=0,0,ROUND(J14*(1+IF(AND(J$6&gt;0,$B15&lt;J$6),J$4,J$5)/12),2))</f>
        <v/>
      </c>
      <c r="AP15">
        <f>IF(K14&lt;=0,0,ROUND(K14*(1+IF(AND(K$6&gt;0,$B15&lt;K$6),K$4,K$5)/12),2))</f>
        <v/>
      </c>
      <c r="AQ15">
        <f>IF(L14&lt;=0,0,ROUND(L14*(1+IF(AND(L$6&gt;0,$B15&lt;L$6),L$4,L$5)/12),2))</f>
        <v/>
      </c>
      <c r="AR15">
        <f>IF(M14&lt;=0,0,ROUND(M14*(1+IF(AND(M$6&gt;0,$B15&lt;M$6),M$4,M$5)/12),2))</f>
        <v/>
      </c>
      <c r="AS15">
        <f>IF(N14&lt;=0,0,ROUND(N14*(1+IF(AND(N$6&gt;0,$B15&lt;N$6),N$4,N$5)/12),2))</f>
        <v/>
      </c>
    </row>
    <row r="16">
      <c r="A16" t="n">
        <v>5</v>
      </c>
      <c r="B16">
        <f>EDATE(Plan!$C$6,4)</f>
        <v/>
      </c>
      <c r="C16">
        <f>IF(C15&lt;=0,0,MAX(0,AH16-O16))</f>
        <v/>
      </c>
      <c r="D16">
        <f>IF(D15&lt;=0,0,MAX(0,AI16-P16))</f>
        <v/>
      </c>
      <c r="E16">
        <f>IF(E15&lt;=0,0,MAX(0,AJ16-Q16))</f>
        <v/>
      </c>
      <c r="F16">
        <f>IF(F15&lt;=0,0,MAX(0,AK16-R16))</f>
        <v/>
      </c>
      <c r="G16">
        <f>IF(G15&lt;=0,0,MAX(0,AL16-S16))</f>
        <v/>
      </c>
      <c r="H16">
        <f>IF(H15&lt;=0,0,MAX(0,AM16-T16))</f>
        <v/>
      </c>
      <c r="I16">
        <f>IF(I15&lt;=0,0,MAX(0,AN16-U16))</f>
        <v/>
      </c>
      <c r="J16">
        <f>IF(J15&lt;=0,0,MAX(0,AO16-V16))</f>
        <v/>
      </c>
      <c r="K16">
        <f>IF(K15&lt;=0,0,MAX(0,AP16-W16))</f>
        <v/>
      </c>
      <c r="L16">
        <f>IF(L15&lt;=0,0,MAX(0,AQ16-X16))</f>
        <v/>
      </c>
      <c r="M16">
        <f>IF(M15&lt;=0,0,MAX(0,AR16-Y16))</f>
        <v/>
      </c>
      <c r="N16">
        <f>IF(N15&lt;=0,0,MAX(0,AS16-Z16))</f>
        <v/>
      </c>
      <c r="O16">
        <f>IF(C15&lt;=0,0,MIN(AH16,C$7+IF(C$2=$AA16,$AC16,IF(C$2=$AF16,$AG16,0))))</f>
        <v/>
      </c>
      <c r="P16">
        <f>IF(D15&lt;=0,0,MIN(AI16,D$7+IF(D$2=$AA16,$AC16,IF(D$2=$AF16,$AG16,0))))</f>
        <v/>
      </c>
      <c r="Q16">
        <f>IF(E15&lt;=0,0,MIN(AJ16,E$7+IF(E$2=$AA16,$AC16,IF(E$2=$AF16,$AG16,0))))</f>
        <v/>
      </c>
      <c r="R16">
        <f>IF(F15&lt;=0,0,MIN(AK16,F$7+IF(F$2=$AA16,$AC16,IF(F$2=$AF16,$AG16,0))))</f>
        <v/>
      </c>
      <c r="S16">
        <f>IF(G15&lt;=0,0,MIN(AL16,G$7+IF(G$2=$AA16,$AC16,IF(G$2=$AF16,$AG16,0))))</f>
        <v/>
      </c>
      <c r="T16">
        <f>IF(H15&lt;=0,0,MIN(AM16,H$7+IF(H$2=$AA16,$AC16,IF(H$2=$AF16,$AG16,0))))</f>
        <v/>
      </c>
      <c r="U16">
        <f>IF(I15&lt;=0,0,MIN(AN16,I$7+IF(I$2=$AA16,$AC16,IF(I$2=$AF16,$AG16,0))))</f>
        <v/>
      </c>
      <c r="V16">
        <f>IF(J15&lt;=0,0,MIN(AO16,J$7+IF(J$2=$AA16,$AC16,IF(J$2=$AF16,$AG16,0))))</f>
        <v/>
      </c>
      <c r="W16">
        <f>IF(K15&lt;=0,0,MIN(AP16,K$7+IF(K$2=$AA16,$AC16,IF(K$2=$AF16,$AG16,0))))</f>
        <v/>
      </c>
      <c r="X16">
        <f>IF(L15&lt;=0,0,MIN(AQ16,L$7+IF(L$2=$AA16,$AC16,IF(L$2=$AF16,$AG16,0))))</f>
        <v/>
      </c>
      <c r="Y16">
        <f>IF(M15&lt;=0,0,MIN(AR16,M$7+IF(M$2=$AA16,$AC16,IF(M$2=$AF16,$AG16,0))))</f>
        <v/>
      </c>
      <c r="Z16">
        <f>IF(N15&lt;=0,0,MIN(AS16,N$7+IF(N$2=$AA16,$AC16,IF(N$2=$AF16,$AG16,0))))</f>
        <v/>
      </c>
      <c r="AA16">
        <f>IFERROR(ROUND(1/SUMPRODUCT(MAX((C15:N15&gt;0)*($C$3:$N$3&lt;=B16)/$C$2:$N$2)),0),0)</f>
        <v/>
      </c>
      <c r="AB16">
        <f>SUMPRODUCT((C15:N15&gt;0)*$C$7:$N$7)</f>
        <v/>
      </c>
      <c r="AC16">
        <f>MAX(0,Plan!$C$5-AB16)+IF(A16=Plan!$C$8,N(Plan!$C$7),0)</f>
        <v/>
      </c>
      <c r="AD16">
        <f>SUM(C16:N16)</f>
        <v/>
      </c>
      <c r="AE16">
        <f>SUM(O16:Z16)</f>
        <v/>
      </c>
      <c r="AF16">
        <f>IFERROR(ROUND(1/SUMPRODUCT(MAX((C15:N15&gt;0)*($C$3:$N$3&lt;=B16)*($C$2:$N$2&gt;AA16)/$C$2:$N$2)),0),0)</f>
        <v/>
      </c>
      <c r="AG16">
        <f>MAX(0,AC16-MAX(0,SUMPRODUCT(($C$2:$N$2=AA16)*(AH16:AS16-$C$7:$N$7))))</f>
        <v/>
      </c>
      <c r="AH16">
        <f>IF(C15&lt;=0,0,ROUND(C15*(1+IF(AND(C$6&gt;0,$B16&lt;C$6),C$4,C$5)/12),2))</f>
        <v/>
      </c>
      <c r="AI16">
        <f>IF(D15&lt;=0,0,ROUND(D15*(1+IF(AND(D$6&gt;0,$B16&lt;D$6),D$4,D$5)/12),2))</f>
        <v/>
      </c>
      <c r="AJ16">
        <f>IF(E15&lt;=0,0,ROUND(E15*(1+IF(AND(E$6&gt;0,$B16&lt;E$6),E$4,E$5)/12),2))</f>
        <v/>
      </c>
      <c r="AK16">
        <f>IF(F15&lt;=0,0,ROUND(F15*(1+IF(AND(F$6&gt;0,$B16&lt;F$6),F$4,F$5)/12),2))</f>
        <v/>
      </c>
      <c r="AL16">
        <f>IF(G15&lt;=0,0,ROUND(G15*(1+IF(AND(G$6&gt;0,$B16&lt;G$6),G$4,G$5)/12),2))</f>
        <v/>
      </c>
      <c r="AM16">
        <f>IF(H15&lt;=0,0,ROUND(H15*(1+IF(AND(H$6&gt;0,$B16&lt;H$6),H$4,H$5)/12),2))</f>
        <v/>
      </c>
      <c r="AN16">
        <f>IF(I15&lt;=0,0,ROUND(I15*(1+IF(AND(I$6&gt;0,$B16&lt;I$6),I$4,I$5)/12),2))</f>
        <v/>
      </c>
      <c r="AO16">
        <f>IF(J15&lt;=0,0,ROUND(J15*(1+IF(AND(J$6&gt;0,$B16&lt;J$6),J$4,J$5)/12),2))</f>
        <v/>
      </c>
      <c r="AP16">
        <f>IF(K15&lt;=0,0,ROUND(K15*(1+IF(AND(K$6&gt;0,$B16&lt;K$6),K$4,K$5)/12),2))</f>
        <v/>
      </c>
      <c r="AQ16">
        <f>IF(L15&lt;=0,0,ROUND(L15*(1+IF(AND(L$6&gt;0,$B16&lt;L$6),L$4,L$5)/12),2))</f>
        <v/>
      </c>
      <c r="AR16">
        <f>IF(M15&lt;=0,0,ROUND(M15*(1+IF(AND(M$6&gt;0,$B16&lt;M$6),M$4,M$5)/12),2))</f>
        <v/>
      </c>
      <c r="AS16">
        <f>IF(N15&lt;=0,0,ROUND(N15*(1+IF(AND(N$6&gt;0,$B16&lt;N$6),N$4,N$5)/12),2))</f>
        <v/>
      </c>
    </row>
    <row r="17">
      <c r="A17" t="n">
        <v>6</v>
      </c>
      <c r="B17">
        <f>EDATE(Plan!$C$6,5)</f>
        <v/>
      </c>
      <c r="C17">
        <f>IF(C16&lt;=0,0,MAX(0,AH17-O17))</f>
        <v/>
      </c>
      <c r="D17">
        <f>IF(D16&lt;=0,0,MAX(0,AI17-P17))</f>
        <v/>
      </c>
      <c r="E17">
        <f>IF(E16&lt;=0,0,MAX(0,AJ17-Q17))</f>
        <v/>
      </c>
      <c r="F17">
        <f>IF(F16&lt;=0,0,MAX(0,AK17-R17))</f>
        <v/>
      </c>
      <c r="G17">
        <f>IF(G16&lt;=0,0,MAX(0,AL17-S17))</f>
        <v/>
      </c>
      <c r="H17">
        <f>IF(H16&lt;=0,0,MAX(0,AM17-T17))</f>
        <v/>
      </c>
      <c r="I17">
        <f>IF(I16&lt;=0,0,MAX(0,AN17-U17))</f>
        <v/>
      </c>
      <c r="J17">
        <f>IF(J16&lt;=0,0,MAX(0,AO17-V17))</f>
        <v/>
      </c>
      <c r="K17">
        <f>IF(K16&lt;=0,0,MAX(0,AP17-W17))</f>
        <v/>
      </c>
      <c r="L17">
        <f>IF(L16&lt;=0,0,MAX(0,AQ17-X17))</f>
        <v/>
      </c>
      <c r="M17">
        <f>IF(M16&lt;=0,0,MAX(0,AR17-Y17))</f>
        <v/>
      </c>
      <c r="N17">
        <f>IF(N16&lt;=0,0,MAX(0,AS17-Z17))</f>
        <v/>
      </c>
      <c r="O17">
        <f>IF(C16&lt;=0,0,MIN(AH17,C$7+IF(C$2=$AA17,$AC17,IF(C$2=$AF17,$AG17,0))))</f>
        <v/>
      </c>
      <c r="P17">
        <f>IF(D16&lt;=0,0,MIN(AI17,D$7+IF(D$2=$AA17,$AC17,IF(D$2=$AF17,$AG17,0))))</f>
        <v/>
      </c>
      <c r="Q17">
        <f>IF(E16&lt;=0,0,MIN(AJ17,E$7+IF(E$2=$AA17,$AC17,IF(E$2=$AF17,$AG17,0))))</f>
        <v/>
      </c>
      <c r="R17">
        <f>IF(F16&lt;=0,0,MIN(AK17,F$7+IF(F$2=$AA17,$AC17,IF(F$2=$AF17,$AG17,0))))</f>
        <v/>
      </c>
      <c r="S17">
        <f>IF(G16&lt;=0,0,MIN(AL17,G$7+IF(G$2=$AA17,$AC17,IF(G$2=$AF17,$AG17,0))))</f>
        <v/>
      </c>
      <c r="T17">
        <f>IF(H16&lt;=0,0,MIN(AM17,H$7+IF(H$2=$AA17,$AC17,IF(H$2=$AF17,$AG17,0))))</f>
        <v/>
      </c>
      <c r="U17">
        <f>IF(I16&lt;=0,0,MIN(AN17,I$7+IF(I$2=$AA17,$AC17,IF(I$2=$AF17,$AG17,0))))</f>
        <v/>
      </c>
      <c r="V17">
        <f>IF(J16&lt;=0,0,MIN(AO17,J$7+IF(J$2=$AA17,$AC17,IF(J$2=$AF17,$AG17,0))))</f>
        <v/>
      </c>
      <c r="W17">
        <f>IF(K16&lt;=0,0,MIN(AP17,K$7+IF(K$2=$AA17,$AC17,IF(K$2=$AF17,$AG17,0))))</f>
        <v/>
      </c>
      <c r="X17">
        <f>IF(L16&lt;=0,0,MIN(AQ17,L$7+IF(L$2=$AA17,$AC17,IF(L$2=$AF17,$AG17,0))))</f>
        <v/>
      </c>
      <c r="Y17">
        <f>IF(M16&lt;=0,0,MIN(AR17,M$7+IF(M$2=$AA17,$AC17,IF(M$2=$AF17,$AG17,0))))</f>
        <v/>
      </c>
      <c r="Z17">
        <f>IF(N16&lt;=0,0,MIN(AS17,N$7+IF(N$2=$AA17,$AC17,IF(N$2=$AF17,$AG17,0))))</f>
        <v/>
      </c>
      <c r="AA17">
        <f>IFERROR(ROUND(1/SUMPRODUCT(MAX((C16:N16&gt;0)*($C$3:$N$3&lt;=B17)/$C$2:$N$2)),0),0)</f>
        <v/>
      </c>
      <c r="AB17">
        <f>SUMPRODUCT((C16:N16&gt;0)*$C$7:$N$7)</f>
        <v/>
      </c>
      <c r="AC17">
        <f>MAX(0,Plan!$C$5-AB17)+IF(A17=Plan!$C$8,N(Plan!$C$7),0)</f>
        <v/>
      </c>
      <c r="AD17">
        <f>SUM(C17:N17)</f>
        <v/>
      </c>
      <c r="AE17">
        <f>SUM(O17:Z17)</f>
        <v/>
      </c>
      <c r="AF17">
        <f>IFERROR(ROUND(1/SUMPRODUCT(MAX((C16:N16&gt;0)*($C$3:$N$3&lt;=B17)*($C$2:$N$2&gt;AA17)/$C$2:$N$2)),0),0)</f>
        <v/>
      </c>
      <c r="AG17">
        <f>MAX(0,AC17-MAX(0,SUMPRODUCT(($C$2:$N$2=AA17)*(AH17:AS17-$C$7:$N$7))))</f>
        <v/>
      </c>
      <c r="AH17">
        <f>IF(C16&lt;=0,0,ROUND(C16*(1+IF(AND(C$6&gt;0,$B17&lt;C$6),C$4,C$5)/12),2))</f>
        <v/>
      </c>
      <c r="AI17">
        <f>IF(D16&lt;=0,0,ROUND(D16*(1+IF(AND(D$6&gt;0,$B17&lt;D$6),D$4,D$5)/12),2))</f>
        <v/>
      </c>
      <c r="AJ17">
        <f>IF(E16&lt;=0,0,ROUND(E16*(1+IF(AND(E$6&gt;0,$B17&lt;E$6),E$4,E$5)/12),2))</f>
        <v/>
      </c>
      <c r="AK17">
        <f>IF(F16&lt;=0,0,ROUND(F16*(1+IF(AND(F$6&gt;0,$B17&lt;F$6),F$4,F$5)/12),2))</f>
        <v/>
      </c>
      <c r="AL17">
        <f>IF(G16&lt;=0,0,ROUND(G16*(1+IF(AND(G$6&gt;0,$B17&lt;G$6),G$4,G$5)/12),2))</f>
        <v/>
      </c>
      <c r="AM17">
        <f>IF(H16&lt;=0,0,ROUND(H16*(1+IF(AND(H$6&gt;0,$B17&lt;H$6),H$4,H$5)/12),2))</f>
        <v/>
      </c>
      <c r="AN17">
        <f>IF(I16&lt;=0,0,ROUND(I16*(1+IF(AND(I$6&gt;0,$B17&lt;I$6),I$4,I$5)/12),2))</f>
        <v/>
      </c>
      <c r="AO17">
        <f>IF(J16&lt;=0,0,ROUND(J16*(1+IF(AND(J$6&gt;0,$B17&lt;J$6),J$4,J$5)/12),2))</f>
        <v/>
      </c>
      <c r="AP17">
        <f>IF(K16&lt;=0,0,ROUND(K16*(1+IF(AND(K$6&gt;0,$B17&lt;K$6),K$4,K$5)/12),2))</f>
        <v/>
      </c>
      <c r="AQ17">
        <f>IF(L16&lt;=0,0,ROUND(L16*(1+IF(AND(L$6&gt;0,$B17&lt;L$6),L$4,L$5)/12),2))</f>
        <v/>
      </c>
      <c r="AR17">
        <f>IF(M16&lt;=0,0,ROUND(M16*(1+IF(AND(M$6&gt;0,$B17&lt;M$6),M$4,M$5)/12),2))</f>
        <v/>
      </c>
      <c r="AS17">
        <f>IF(N16&lt;=0,0,ROUND(N16*(1+IF(AND(N$6&gt;0,$B17&lt;N$6),N$4,N$5)/12),2))</f>
        <v/>
      </c>
    </row>
    <row r="18">
      <c r="A18" t="n">
        <v>7</v>
      </c>
      <c r="B18">
        <f>EDATE(Plan!$C$6,6)</f>
        <v/>
      </c>
      <c r="C18">
        <f>IF(C17&lt;=0,0,MAX(0,AH18-O18))</f>
        <v/>
      </c>
      <c r="D18">
        <f>IF(D17&lt;=0,0,MAX(0,AI18-P18))</f>
        <v/>
      </c>
      <c r="E18">
        <f>IF(E17&lt;=0,0,MAX(0,AJ18-Q18))</f>
        <v/>
      </c>
      <c r="F18">
        <f>IF(F17&lt;=0,0,MAX(0,AK18-R18))</f>
        <v/>
      </c>
      <c r="G18">
        <f>IF(G17&lt;=0,0,MAX(0,AL18-S18))</f>
        <v/>
      </c>
      <c r="H18">
        <f>IF(H17&lt;=0,0,MAX(0,AM18-T18))</f>
        <v/>
      </c>
      <c r="I18">
        <f>IF(I17&lt;=0,0,MAX(0,AN18-U18))</f>
        <v/>
      </c>
      <c r="J18">
        <f>IF(J17&lt;=0,0,MAX(0,AO18-V18))</f>
        <v/>
      </c>
      <c r="K18">
        <f>IF(K17&lt;=0,0,MAX(0,AP18-W18))</f>
        <v/>
      </c>
      <c r="L18">
        <f>IF(L17&lt;=0,0,MAX(0,AQ18-X18))</f>
        <v/>
      </c>
      <c r="M18">
        <f>IF(M17&lt;=0,0,MAX(0,AR18-Y18))</f>
        <v/>
      </c>
      <c r="N18">
        <f>IF(N17&lt;=0,0,MAX(0,AS18-Z18))</f>
        <v/>
      </c>
      <c r="O18">
        <f>IF(C17&lt;=0,0,MIN(AH18,C$7+IF(C$2=$AA18,$AC18,IF(C$2=$AF18,$AG18,0))))</f>
        <v/>
      </c>
      <c r="P18">
        <f>IF(D17&lt;=0,0,MIN(AI18,D$7+IF(D$2=$AA18,$AC18,IF(D$2=$AF18,$AG18,0))))</f>
        <v/>
      </c>
      <c r="Q18">
        <f>IF(E17&lt;=0,0,MIN(AJ18,E$7+IF(E$2=$AA18,$AC18,IF(E$2=$AF18,$AG18,0))))</f>
        <v/>
      </c>
      <c r="R18">
        <f>IF(F17&lt;=0,0,MIN(AK18,F$7+IF(F$2=$AA18,$AC18,IF(F$2=$AF18,$AG18,0))))</f>
        <v/>
      </c>
      <c r="S18">
        <f>IF(G17&lt;=0,0,MIN(AL18,G$7+IF(G$2=$AA18,$AC18,IF(G$2=$AF18,$AG18,0))))</f>
        <v/>
      </c>
      <c r="T18">
        <f>IF(H17&lt;=0,0,MIN(AM18,H$7+IF(H$2=$AA18,$AC18,IF(H$2=$AF18,$AG18,0))))</f>
        <v/>
      </c>
      <c r="U18">
        <f>IF(I17&lt;=0,0,MIN(AN18,I$7+IF(I$2=$AA18,$AC18,IF(I$2=$AF18,$AG18,0))))</f>
        <v/>
      </c>
      <c r="V18">
        <f>IF(J17&lt;=0,0,MIN(AO18,J$7+IF(J$2=$AA18,$AC18,IF(J$2=$AF18,$AG18,0))))</f>
        <v/>
      </c>
      <c r="W18">
        <f>IF(K17&lt;=0,0,MIN(AP18,K$7+IF(K$2=$AA18,$AC18,IF(K$2=$AF18,$AG18,0))))</f>
        <v/>
      </c>
      <c r="X18">
        <f>IF(L17&lt;=0,0,MIN(AQ18,L$7+IF(L$2=$AA18,$AC18,IF(L$2=$AF18,$AG18,0))))</f>
        <v/>
      </c>
      <c r="Y18">
        <f>IF(M17&lt;=0,0,MIN(AR18,M$7+IF(M$2=$AA18,$AC18,IF(M$2=$AF18,$AG18,0))))</f>
        <v/>
      </c>
      <c r="Z18">
        <f>IF(N17&lt;=0,0,MIN(AS18,N$7+IF(N$2=$AA18,$AC18,IF(N$2=$AF18,$AG18,0))))</f>
        <v/>
      </c>
      <c r="AA18">
        <f>IFERROR(ROUND(1/SUMPRODUCT(MAX((C17:N17&gt;0)*($C$3:$N$3&lt;=B18)/$C$2:$N$2)),0),0)</f>
        <v/>
      </c>
      <c r="AB18">
        <f>SUMPRODUCT((C17:N17&gt;0)*$C$7:$N$7)</f>
        <v/>
      </c>
      <c r="AC18">
        <f>MAX(0,Plan!$C$5-AB18)+IF(A18=Plan!$C$8,N(Plan!$C$7),0)</f>
        <v/>
      </c>
      <c r="AD18">
        <f>SUM(C18:N18)</f>
        <v/>
      </c>
      <c r="AE18">
        <f>SUM(O18:Z18)</f>
        <v/>
      </c>
      <c r="AF18">
        <f>IFERROR(ROUND(1/SUMPRODUCT(MAX((C17:N17&gt;0)*($C$3:$N$3&lt;=B18)*($C$2:$N$2&gt;AA18)/$C$2:$N$2)),0),0)</f>
        <v/>
      </c>
      <c r="AG18">
        <f>MAX(0,AC18-MAX(0,SUMPRODUCT(($C$2:$N$2=AA18)*(AH18:AS18-$C$7:$N$7))))</f>
        <v/>
      </c>
      <c r="AH18">
        <f>IF(C17&lt;=0,0,ROUND(C17*(1+IF(AND(C$6&gt;0,$B18&lt;C$6),C$4,C$5)/12),2))</f>
        <v/>
      </c>
      <c r="AI18">
        <f>IF(D17&lt;=0,0,ROUND(D17*(1+IF(AND(D$6&gt;0,$B18&lt;D$6),D$4,D$5)/12),2))</f>
        <v/>
      </c>
      <c r="AJ18">
        <f>IF(E17&lt;=0,0,ROUND(E17*(1+IF(AND(E$6&gt;0,$B18&lt;E$6),E$4,E$5)/12),2))</f>
        <v/>
      </c>
      <c r="AK18">
        <f>IF(F17&lt;=0,0,ROUND(F17*(1+IF(AND(F$6&gt;0,$B18&lt;F$6),F$4,F$5)/12),2))</f>
        <v/>
      </c>
      <c r="AL18">
        <f>IF(G17&lt;=0,0,ROUND(G17*(1+IF(AND(G$6&gt;0,$B18&lt;G$6),G$4,G$5)/12),2))</f>
        <v/>
      </c>
      <c r="AM18">
        <f>IF(H17&lt;=0,0,ROUND(H17*(1+IF(AND(H$6&gt;0,$B18&lt;H$6),H$4,H$5)/12),2))</f>
        <v/>
      </c>
      <c r="AN18">
        <f>IF(I17&lt;=0,0,ROUND(I17*(1+IF(AND(I$6&gt;0,$B18&lt;I$6),I$4,I$5)/12),2))</f>
        <v/>
      </c>
      <c r="AO18">
        <f>IF(J17&lt;=0,0,ROUND(J17*(1+IF(AND(J$6&gt;0,$B18&lt;J$6),J$4,J$5)/12),2))</f>
        <v/>
      </c>
      <c r="AP18">
        <f>IF(K17&lt;=0,0,ROUND(K17*(1+IF(AND(K$6&gt;0,$B18&lt;K$6),K$4,K$5)/12),2))</f>
        <v/>
      </c>
      <c r="AQ18">
        <f>IF(L17&lt;=0,0,ROUND(L17*(1+IF(AND(L$6&gt;0,$B18&lt;L$6),L$4,L$5)/12),2))</f>
        <v/>
      </c>
      <c r="AR18">
        <f>IF(M17&lt;=0,0,ROUND(M17*(1+IF(AND(M$6&gt;0,$B18&lt;M$6),M$4,M$5)/12),2))</f>
        <v/>
      </c>
      <c r="AS18">
        <f>IF(N17&lt;=0,0,ROUND(N17*(1+IF(AND(N$6&gt;0,$B18&lt;N$6),N$4,N$5)/12),2))</f>
        <v/>
      </c>
    </row>
    <row r="19">
      <c r="A19" t="n">
        <v>8</v>
      </c>
      <c r="B19">
        <f>EDATE(Plan!$C$6,7)</f>
        <v/>
      </c>
      <c r="C19">
        <f>IF(C18&lt;=0,0,MAX(0,AH19-O19))</f>
        <v/>
      </c>
      <c r="D19">
        <f>IF(D18&lt;=0,0,MAX(0,AI19-P19))</f>
        <v/>
      </c>
      <c r="E19">
        <f>IF(E18&lt;=0,0,MAX(0,AJ19-Q19))</f>
        <v/>
      </c>
      <c r="F19">
        <f>IF(F18&lt;=0,0,MAX(0,AK19-R19))</f>
        <v/>
      </c>
      <c r="G19">
        <f>IF(G18&lt;=0,0,MAX(0,AL19-S19))</f>
        <v/>
      </c>
      <c r="H19">
        <f>IF(H18&lt;=0,0,MAX(0,AM19-T19))</f>
        <v/>
      </c>
      <c r="I19">
        <f>IF(I18&lt;=0,0,MAX(0,AN19-U19))</f>
        <v/>
      </c>
      <c r="J19">
        <f>IF(J18&lt;=0,0,MAX(0,AO19-V19))</f>
        <v/>
      </c>
      <c r="K19">
        <f>IF(K18&lt;=0,0,MAX(0,AP19-W19))</f>
        <v/>
      </c>
      <c r="L19">
        <f>IF(L18&lt;=0,0,MAX(0,AQ19-X19))</f>
        <v/>
      </c>
      <c r="M19">
        <f>IF(M18&lt;=0,0,MAX(0,AR19-Y19))</f>
        <v/>
      </c>
      <c r="N19">
        <f>IF(N18&lt;=0,0,MAX(0,AS19-Z19))</f>
        <v/>
      </c>
      <c r="O19">
        <f>IF(C18&lt;=0,0,MIN(AH19,C$7+IF(C$2=$AA19,$AC19,IF(C$2=$AF19,$AG19,0))))</f>
        <v/>
      </c>
      <c r="P19">
        <f>IF(D18&lt;=0,0,MIN(AI19,D$7+IF(D$2=$AA19,$AC19,IF(D$2=$AF19,$AG19,0))))</f>
        <v/>
      </c>
      <c r="Q19">
        <f>IF(E18&lt;=0,0,MIN(AJ19,E$7+IF(E$2=$AA19,$AC19,IF(E$2=$AF19,$AG19,0))))</f>
        <v/>
      </c>
      <c r="R19">
        <f>IF(F18&lt;=0,0,MIN(AK19,F$7+IF(F$2=$AA19,$AC19,IF(F$2=$AF19,$AG19,0))))</f>
        <v/>
      </c>
      <c r="S19">
        <f>IF(G18&lt;=0,0,MIN(AL19,G$7+IF(G$2=$AA19,$AC19,IF(G$2=$AF19,$AG19,0))))</f>
        <v/>
      </c>
      <c r="T19">
        <f>IF(H18&lt;=0,0,MIN(AM19,H$7+IF(H$2=$AA19,$AC19,IF(H$2=$AF19,$AG19,0))))</f>
        <v/>
      </c>
      <c r="U19">
        <f>IF(I18&lt;=0,0,MIN(AN19,I$7+IF(I$2=$AA19,$AC19,IF(I$2=$AF19,$AG19,0))))</f>
        <v/>
      </c>
      <c r="V19">
        <f>IF(J18&lt;=0,0,MIN(AO19,J$7+IF(J$2=$AA19,$AC19,IF(J$2=$AF19,$AG19,0))))</f>
        <v/>
      </c>
      <c r="W19">
        <f>IF(K18&lt;=0,0,MIN(AP19,K$7+IF(K$2=$AA19,$AC19,IF(K$2=$AF19,$AG19,0))))</f>
        <v/>
      </c>
      <c r="X19">
        <f>IF(L18&lt;=0,0,MIN(AQ19,L$7+IF(L$2=$AA19,$AC19,IF(L$2=$AF19,$AG19,0))))</f>
        <v/>
      </c>
      <c r="Y19">
        <f>IF(M18&lt;=0,0,MIN(AR19,M$7+IF(M$2=$AA19,$AC19,IF(M$2=$AF19,$AG19,0))))</f>
        <v/>
      </c>
      <c r="Z19">
        <f>IF(N18&lt;=0,0,MIN(AS19,N$7+IF(N$2=$AA19,$AC19,IF(N$2=$AF19,$AG19,0))))</f>
        <v/>
      </c>
      <c r="AA19">
        <f>IFERROR(ROUND(1/SUMPRODUCT(MAX((C18:N18&gt;0)*($C$3:$N$3&lt;=B19)/$C$2:$N$2)),0),0)</f>
        <v/>
      </c>
      <c r="AB19">
        <f>SUMPRODUCT((C18:N18&gt;0)*$C$7:$N$7)</f>
        <v/>
      </c>
      <c r="AC19">
        <f>MAX(0,Plan!$C$5-AB19)+IF(A19=Plan!$C$8,N(Plan!$C$7),0)</f>
        <v/>
      </c>
      <c r="AD19">
        <f>SUM(C19:N19)</f>
        <v/>
      </c>
      <c r="AE19">
        <f>SUM(O19:Z19)</f>
        <v/>
      </c>
      <c r="AF19">
        <f>IFERROR(ROUND(1/SUMPRODUCT(MAX((C18:N18&gt;0)*($C$3:$N$3&lt;=B19)*($C$2:$N$2&gt;AA19)/$C$2:$N$2)),0),0)</f>
        <v/>
      </c>
      <c r="AG19">
        <f>MAX(0,AC19-MAX(0,SUMPRODUCT(($C$2:$N$2=AA19)*(AH19:AS19-$C$7:$N$7))))</f>
        <v/>
      </c>
      <c r="AH19">
        <f>IF(C18&lt;=0,0,ROUND(C18*(1+IF(AND(C$6&gt;0,$B19&lt;C$6),C$4,C$5)/12),2))</f>
        <v/>
      </c>
      <c r="AI19">
        <f>IF(D18&lt;=0,0,ROUND(D18*(1+IF(AND(D$6&gt;0,$B19&lt;D$6),D$4,D$5)/12),2))</f>
        <v/>
      </c>
      <c r="AJ19">
        <f>IF(E18&lt;=0,0,ROUND(E18*(1+IF(AND(E$6&gt;0,$B19&lt;E$6),E$4,E$5)/12),2))</f>
        <v/>
      </c>
      <c r="AK19">
        <f>IF(F18&lt;=0,0,ROUND(F18*(1+IF(AND(F$6&gt;0,$B19&lt;F$6),F$4,F$5)/12),2))</f>
        <v/>
      </c>
      <c r="AL19">
        <f>IF(G18&lt;=0,0,ROUND(G18*(1+IF(AND(G$6&gt;0,$B19&lt;G$6),G$4,G$5)/12),2))</f>
        <v/>
      </c>
      <c r="AM19">
        <f>IF(H18&lt;=0,0,ROUND(H18*(1+IF(AND(H$6&gt;0,$B19&lt;H$6),H$4,H$5)/12),2))</f>
        <v/>
      </c>
      <c r="AN19">
        <f>IF(I18&lt;=0,0,ROUND(I18*(1+IF(AND(I$6&gt;0,$B19&lt;I$6),I$4,I$5)/12),2))</f>
        <v/>
      </c>
      <c r="AO19">
        <f>IF(J18&lt;=0,0,ROUND(J18*(1+IF(AND(J$6&gt;0,$B19&lt;J$6),J$4,J$5)/12),2))</f>
        <v/>
      </c>
      <c r="AP19">
        <f>IF(K18&lt;=0,0,ROUND(K18*(1+IF(AND(K$6&gt;0,$B19&lt;K$6),K$4,K$5)/12),2))</f>
        <v/>
      </c>
      <c r="AQ19">
        <f>IF(L18&lt;=0,0,ROUND(L18*(1+IF(AND(L$6&gt;0,$B19&lt;L$6),L$4,L$5)/12),2))</f>
        <v/>
      </c>
      <c r="AR19">
        <f>IF(M18&lt;=0,0,ROUND(M18*(1+IF(AND(M$6&gt;0,$B19&lt;M$6),M$4,M$5)/12),2))</f>
        <v/>
      </c>
      <c r="AS19">
        <f>IF(N18&lt;=0,0,ROUND(N18*(1+IF(AND(N$6&gt;0,$B19&lt;N$6),N$4,N$5)/12),2))</f>
        <v/>
      </c>
    </row>
    <row r="20">
      <c r="A20" t="n">
        <v>9</v>
      </c>
      <c r="B20">
        <f>EDATE(Plan!$C$6,8)</f>
        <v/>
      </c>
      <c r="C20">
        <f>IF(C19&lt;=0,0,MAX(0,AH20-O20))</f>
        <v/>
      </c>
      <c r="D20">
        <f>IF(D19&lt;=0,0,MAX(0,AI20-P20))</f>
        <v/>
      </c>
      <c r="E20">
        <f>IF(E19&lt;=0,0,MAX(0,AJ20-Q20))</f>
        <v/>
      </c>
      <c r="F20">
        <f>IF(F19&lt;=0,0,MAX(0,AK20-R20))</f>
        <v/>
      </c>
      <c r="G20">
        <f>IF(G19&lt;=0,0,MAX(0,AL20-S20))</f>
        <v/>
      </c>
      <c r="H20">
        <f>IF(H19&lt;=0,0,MAX(0,AM20-T20))</f>
        <v/>
      </c>
      <c r="I20">
        <f>IF(I19&lt;=0,0,MAX(0,AN20-U20))</f>
        <v/>
      </c>
      <c r="J20">
        <f>IF(J19&lt;=0,0,MAX(0,AO20-V20))</f>
        <v/>
      </c>
      <c r="K20">
        <f>IF(K19&lt;=0,0,MAX(0,AP20-W20))</f>
        <v/>
      </c>
      <c r="L20">
        <f>IF(L19&lt;=0,0,MAX(0,AQ20-X20))</f>
        <v/>
      </c>
      <c r="M20">
        <f>IF(M19&lt;=0,0,MAX(0,AR20-Y20))</f>
        <v/>
      </c>
      <c r="N20">
        <f>IF(N19&lt;=0,0,MAX(0,AS20-Z20))</f>
        <v/>
      </c>
      <c r="O20">
        <f>IF(C19&lt;=0,0,MIN(AH20,C$7+IF(C$2=$AA20,$AC20,IF(C$2=$AF20,$AG20,0))))</f>
        <v/>
      </c>
      <c r="P20">
        <f>IF(D19&lt;=0,0,MIN(AI20,D$7+IF(D$2=$AA20,$AC20,IF(D$2=$AF20,$AG20,0))))</f>
        <v/>
      </c>
      <c r="Q20">
        <f>IF(E19&lt;=0,0,MIN(AJ20,E$7+IF(E$2=$AA20,$AC20,IF(E$2=$AF20,$AG20,0))))</f>
        <v/>
      </c>
      <c r="R20">
        <f>IF(F19&lt;=0,0,MIN(AK20,F$7+IF(F$2=$AA20,$AC20,IF(F$2=$AF20,$AG20,0))))</f>
        <v/>
      </c>
      <c r="S20">
        <f>IF(G19&lt;=0,0,MIN(AL20,G$7+IF(G$2=$AA20,$AC20,IF(G$2=$AF20,$AG20,0))))</f>
        <v/>
      </c>
      <c r="T20">
        <f>IF(H19&lt;=0,0,MIN(AM20,H$7+IF(H$2=$AA20,$AC20,IF(H$2=$AF20,$AG20,0))))</f>
        <v/>
      </c>
      <c r="U20">
        <f>IF(I19&lt;=0,0,MIN(AN20,I$7+IF(I$2=$AA20,$AC20,IF(I$2=$AF20,$AG20,0))))</f>
        <v/>
      </c>
      <c r="V20">
        <f>IF(J19&lt;=0,0,MIN(AO20,J$7+IF(J$2=$AA20,$AC20,IF(J$2=$AF20,$AG20,0))))</f>
        <v/>
      </c>
      <c r="W20">
        <f>IF(K19&lt;=0,0,MIN(AP20,K$7+IF(K$2=$AA20,$AC20,IF(K$2=$AF20,$AG20,0))))</f>
        <v/>
      </c>
      <c r="X20">
        <f>IF(L19&lt;=0,0,MIN(AQ20,L$7+IF(L$2=$AA20,$AC20,IF(L$2=$AF20,$AG20,0))))</f>
        <v/>
      </c>
      <c r="Y20">
        <f>IF(M19&lt;=0,0,MIN(AR20,M$7+IF(M$2=$AA20,$AC20,IF(M$2=$AF20,$AG20,0))))</f>
        <v/>
      </c>
      <c r="Z20">
        <f>IF(N19&lt;=0,0,MIN(AS20,N$7+IF(N$2=$AA20,$AC20,IF(N$2=$AF20,$AG20,0))))</f>
        <v/>
      </c>
      <c r="AA20">
        <f>IFERROR(ROUND(1/SUMPRODUCT(MAX((C19:N19&gt;0)*($C$3:$N$3&lt;=B20)/$C$2:$N$2)),0),0)</f>
        <v/>
      </c>
      <c r="AB20">
        <f>SUMPRODUCT((C19:N19&gt;0)*$C$7:$N$7)</f>
        <v/>
      </c>
      <c r="AC20">
        <f>MAX(0,Plan!$C$5-AB20)+IF(A20=Plan!$C$8,N(Plan!$C$7),0)</f>
        <v/>
      </c>
      <c r="AD20">
        <f>SUM(C20:N20)</f>
        <v/>
      </c>
      <c r="AE20">
        <f>SUM(O20:Z20)</f>
        <v/>
      </c>
      <c r="AF20">
        <f>IFERROR(ROUND(1/SUMPRODUCT(MAX((C19:N19&gt;0)*($C$3:$N$3&lt;=B20)*($C$2:$N$2&gt;AA20)/$C$2:$N$2)),0),0)</f>
        <v/>
      </c>
      <c r="AG20">
        <f>MAX(0,AC20-MAX(0,SUMPRODUCT(($C$2:$N$2=AA20)*(AH20:AS20-$C$7:$N$7))))</f>
        <v/>
      </c>
      <c r="AH20">
        <f>IF(C19&lt;=0,0,ROUND(C19*(1+IF(AND(C$6&gt;0,$B20&lt;C$6),C$4,C$5)/12),2))</f>
        <v/>
      </c>
      <c r="AI20">
        <f>IF(D19&lt;=0,0,ROUND(D19*(1+IF(AND(D$6&gt;0,$B20&lt;D$6),D$4,D$5)/12),2))</f>
        <v/>
      </c>
      <c r="AJ20">
        <f>IF(E19&lt;=0,0,ROUND(E19*(1+IF(AND(E$6&gt;0,$B20&lt;E$6),E$4,E$5)/12),2))</f>
        <v/>
      </c>
      <c r="AK20">
        <f>IF(F19&lt;=0,0,ROUND(F19*(1+IF(AND(F$6&gt;0,$B20&lt;F$6),F$4,F$5)/12),2))</f>
        <v/>
      </c>
      <c r="AL20">
        <f>IF(G19&lt;=0,0,ROUND(G19*(1+IF(AND(G$6&gt;0,$B20&lt;G$6),G$4,G$5)/12),2))</f>
        <v/>
      </c>
      <c r="AM20">
        <f>IF(H19&lt;=0,0,ROUND(H19*(1+IF(AND(H$6&gt;0,$B20&lt;H$6),H$4,H$5)/12),2))</f>
        <v/>
      </c>
      <c r="AN20">
        <f>IF(I19&lt;=0,0,ROUND(I19*(1+IF(AND(I$6&gt;0,$B20&lt;I$6),I$4,I$5)/12),2))</f>
        <v/>
      </c>
      <c r="AO20">
        <f>IF(J19&lt;=0,0,ROUND(J19*(1+IF(AND(J$6&gt;0,$B20&lt;J$6),J$4,J$5)/12),2))</f>
        <v/>
      </c>
      <c r="AP20">
        <f>IF(K19&lt;=0,0,ROUND(K19*(1+IF(AND(K$6&gt;0,$B20&lt;K$6),K$4,K$5)/12),2))</f>
        <v/>
      </c>
      <c r="AQ20">
        <f>IF(L19&lt;=0,0,ROUND(L19*(1+IF(AND(L$6&gt;0,$B20&lt;L$6),L$4,L$5)/12),2))</f>
        <v/>
      </c>
      <c r="AR20">
        <f>IF(M19&lt;=0,0,ROUND(M19*(1+IF(AND(M$6&gt;0,$B20&lt;M$6),M$4,M$5)/12),2))</f>
        <v/>
      </c>
      <c r="AS20">
        <f>IF(N19&lt;=0,0,ROUND(N19*(1+IF(AND(N$6&gt;0,$B20&lt;N$6),N$4,N$5)/12),2))</f>
        <v/>
      </c>
    </row>
    <row r="21">
      <c r="A21" t="n">
        <v>10</v>
      </c>
      <c r="B21">
        <f>EDATE(Plan!$C$6,9)</f>
        <v/>
      </c>
      <c r="C21">
        <f>IF(C20&lt;=0,0,MAX(0,AH21-O21))</f>
        <v/>
      </c>
      <c r="D21">
        <f>IF(D20&lt;=0,0,MAX(0,AI21-P21))</f>
        <v/>
      </c>
      <c r="E21">
        <f>IF(E20&lt;=0,0,MAX(0,AJ21-Q21))</f>
        <v/>
      </c>
      <c r="F21">
        <f>IF(F20&lt;=0,0,MAX(0,AK21-R21))</f>
        <v/>
      </c>
      <c r="G21">
        <f>IF(G20&lt;=0,0,MAX(0,AL21-S21))</f>
        <v/>
      </c>
      <c r="H21">
        <f>IF(H20&lt;=0,0,MAX(0,AM21-T21))</f>
        <v/>
      </c>
      <c r="I21">
        <f>IF(I20&lt;=0,0,MAX(0,AN21-U21))</f>
        <v/>
      </c>
      <c r="J21">
        <f>IF(J20&lt;=0,0,MAX(0,AO21-V21))</f>
        <v/>
      </c>
      <c r="K21">
        <f>IF(K20&lt;=0,0,MAX(0,AP21-W21))</f>
        <v/>
      </c>
      <c r="L21">
        <f>IF(L20&lt;=0,0,MAX(0,AQ21-X21))</f>
        <v/>
      </c>
      <c r="M21">
        <f>IF(M20&lt;=0,0,MAX(0,AR21-Y21))</f>
        <v/>
      </c>
      <c r="N21">
        <f>IF(N20&lt;=0,0,MAX(0,AS21-Z21))</f>
        <v/>
      </c>
      <c r="O21">
        <f>IF(C20&lt;=0,0,MIN(AH21,C$7+IF(C$2=$AA21,$AC21,IF(C$2=$AF21,$AG21,0))))</f>
        <v/>
      </c>
      <c r="P21">
        <f>IF(D20&lt;=0,0,MIN(AI21,D$7+IF(D$2=$AA21,$AC21,IF(D$2=$AF21,$AG21,0))))</f>
        <v/>
      </c>
      <c r="Q21">
        <f>IF(E20&lt;=0,0,MIN(AJ21,E$7+IF(E$2=$AA21,$AC21,IF(E$2=$AF21,$AG21,0))))</f>
        <v/>
      </c>
      <c r="R21">
        <f>IF(F20&lt;=0,0,MIN(AK21,F$7+IF(F$2=$AA21,$AC21,IF(F$2=$AF21,$AG21,0))))</f>
        <v/>
      </c>
      <c r="S21">
        <f>IF(G20&lt;=0,0,MIN(AL21,G$7+IF(G$2=$AA21,$AC21,IF(G$2=$AF21,$AG21,0))))</f>
        <v/>
      </c>
      <c r="T21">
        <f>IF(H20&lt;=0,0,MIN(AM21,H$7+IF(H$2=$AA21,$AC21,IF(H$2=$AF21,$AG21,0))))</f>
        <v/>
      </c>
      <c r="U21">
        <f>IF(I20&lt;=0,0,MIN(AN21,I$7+IF(I$2=$AA21,$AC21,IF(I$2=$AF21,$AG21,0))))</f>
        <v/>
      </c>
      <c r="V21">
        <f>IF(J20&lt;=0,0,MIN(AO21,J$7+IF(J$2=$AA21,$AC21,IF(J$2=$AF21,$AG21,0))))</f>
        <v/>
      </c>
      <c r="W21">
        <f>IF(K20&lt;=0,0,MIN(AP21,K$7+IF(K$2=$AA21,$AC21,IF(K$2=$AF21,$AG21,0))))</f>
        <v/>
      </c>
      <c r="X21">
        <f>IF(L20&lt;=0,0,MIN(AQ21,L$7+IF(L$2=$AA21,$AC21,IF(L$2=$AF21,$AG21,0))))</f>
        <v/>
      </c>
      <c r="Y21">
        <f>IF(M20&lt;=0,0,MIN(AR21,M$7+IF(M$2=$AA21,$AC21,IF(M$2=$AF21,$AG21,0))))</f>
        <v/>
      </c>
      <c r="Z21">
        <f>IF(N20&lt;=0,0,MIN(AS21,N$7+IF(N$2=$AA21,$AC21,IF(N$2=$AF21,$AG21,0))))</f>
        <v/>
      </c>
      <c r="AA21">
        <f>IFERROR(ROUND(1/SUMPRODUCT(MAX((C20:N20&gt;0)*($C$3:$N$3&lt;=B21)/$C$2:$N$2)),0),0)</f>
        <v/>
      </c>
      <c r="AB21">
        <f>SUMPRODUCT((C20:N20&gt;0)*$C$7:$N$7)</f>
        <v/>
      </c>
      <c r="AC21">
        <f>MAX(0,Plan!$C$5-AB21)+IF(A21=Plan!$C$8,N(Plan!$C$7),0)</f>
        <v/>
      </c>
      <c r="AD21">
        <f>SUM(C21:N21)</f>
        <v/>
      </c>
      <c r="AE21">
        <f>SUM(O21:Z21)</f>
        <v/>
      </c>
      <c r="AF21">
        <f>IFERROR(ROUND(1/SUMPRODUCT(MAX((C20:N20&gt;0)*($C$3:$N$3&lt;=B21)*($C$2:$N$2&gt;AA21)/$C$2:$N$2)),0),0)</f>
        <v/>
      </c>
      <c r="AG21">
        <f>MAX(0,AC21-MAX(0,SUMPRODUCT(($C$2:$N$2=AA21)*(AH21:AS21-$C$7:$N$7))))</f>
        <v/>
      </c>
      <c r="AH21">
        <f>IF(C20&lt;=0,0,ROUND(C20*(1+IF(AND(C$6&gt;0,$B21&lt;C$6),C$4,C$5)/12),2))</f>
        <v/>
      </c>
      <c r="AI21">
        <f>IF(D20&lt;=0,0,ROUND(D20*(1+IF(AND(D$6&gt;0,$B21&lt;D$6),D$4,D$5)/12),2))</f>
        <v/>
      </c>
      <c r="AJ21">
        <f>IF(E20&lt;=0,0,ROUND(E20*(1+IF(AND(E$6&gt;0,$B21&lt;E$6),E$4,E$5)/12),2))</f>
        <v/>
      </c>
      <c r="AK21">
        <f>IF(F20&lt;=0,0,ROUND(F20*(1+IF(AND(F$6&gt;0,$B21&lt;F$6),F$4,F$5)/12),2))</f>
        <v/>
      </c>
      <c r="AL21">
        <f>IF(G20&lt;=0,0,ROUND(G20*(1+IF(AND(G$6&gt;0,$B21&lt;G$6),G$4,G$5)/12),2))</f>
        <v/>
      </c>
      <c r="AM21">
        <f>IF(H20&lt;=0,0,ROUND(H20*(1+IF(AND(H$6&gt;0,$B21&lt;H$6),H$4,H$5)/12),2))</f>
        <v/>
      </c>
      <c r="AN21">
        <f>IF(I20&lt;=0,0,ROUND(I20*(1+IF(AND(I$6&gt;0,$B21&lt;I$6),I$4,I$5)/12),2))</f>
        <v/>
      </c>
      <c r="AO21">
        <f>IF(J20&lt;=0,0,ROUND(J20*(1+IF(AND(J$6&gt;0,$B21&lt;J$6),J$4,J$5)/12),2))</f>
        <v/>
      </c>
      <c r="AP21">
        <f>IF(K20&lt;=0,0,ROUND(K20*(1+IF(AND(K$6&gt;0,$B21&lt;K$6),K$4,K$5)/12),2))</f>
        <v/>
      </c>
      <c r="AQ21">
        <f>IF(L20&lt;=0,0,ROUND(L20*(1+IF(AND(L$6&gt;0,$B21&lt;L$6),L$4,L$5)/12),2))</f>
        <v/>
      </c>
      <c r="AR21">
        <f>IF(M20&lt;=0,0,ROUND(M20*(1+IF(AND(M$6&gt;0,$B21&lt;M$6),M$4,M$5)/12),2))</f>
        <v/>
      </c>
      <c r="AS21">
        <f>IF(N20&lt;=0,0,ROUND(N20*(1+IF(AND(N$6&gt;0,$B21&lt;N$6),N$4,N$5)/12),2))</f>
        <v/>
      </c>
    </row>
    <row r="22">
      <c r="A22" t="n">
        <v>11</v>
      </c>
      <c r="B22">
        <f>EDATE(Plan!$C$6,10)</f>
        <v/>
      </c>
      <c r="C22">
        <f>IF(C21&lt;=0,0,MAX(0,AH22-O22))</f>
        <v/>
      </c>
      <c r="D22">
        <f>IF(D21&lt;=0,0,MAX(0,AI22-P22))</f>
        <v/>
      </c>
      <c r="E22">
        <f>IF(E21&lt;=0,0,MAX(0,AJ22-Q22))</f>
        <v/>
      </c>
      <c r="F22">
        <f>IF(F21&lt;=0,0,MAX(0,AK22-R22))</f>
        <v/>
      </c>
      <c r="G22">
        <f>IF(G21&lt;=0,0,MAX(0,AL22-S22))</f>
        <v/>
      </c>
      <c r="H22">
        <f>IF(H21&lt;=0,0,MAX(0,AM22-T22))</f>
        <v/>
      </c>
      <c r="I22">
        <f>IF(I21&lt;=0,0,MAX(0,AN22-U22))</f>
        <v/>
      </c>
      <c r="J22">
        <f>IF(J21&lt;=0,0,MAX(0,AO22-V22))</f>
        <v/>
      </c>
      <c r="K22">
        <f>IF(K21&lt;=0,0,MAX(0,AP22-W22))</f>
        <v/>
      </c>
      <c r="L22">
        <f>IF(L21&lt;=0,0,MAX(0,AQ22-X22))</f>
        <v/>
      </c>
      <c r="M22">
        <f>IF(M21&lt;=0,0,MAX(0,AR22-Y22))</f>
        <v/>
      </c>
      <c r="N22">
        <f>IF(N21&lt;=0,0,MAX(0,AS22-Z22))</f>
        <v/>
      </c>
      <c r="O22">
        <f>IF(C21&lt;=0,0,MIN(AH22,C$7+IF(C$2=$AA22,$AC22,IF(C$2=$AF22,$AG22,0))))</f>
        <v/>
      </c>
      <c r="P22">
        <f>IF(D21&lt;=0,0,MIN(AI22,D$7+IF(D$2=$AA22,$AC22,IF(D$2=$AF22,$AG22,0))))</f>
        <v/>
      </c>
      <c r="Q22">
        <f>IF(E21&lt;=0,0,MIN(AJ22,E$7+IF(E$2=$AA22,$AC22,IF(E$2=$AF22,$AG22,0))))</f>
        <v/>
      </c>
      <c r="R22">
        <f>IF(F21&lt;=0,0,MIN(AK22,F$7+IF(F$2=$AA22,$AC22,IF(F$2=$AF22,$AG22,0))))</f>
        <v/>
      </c>
      <c r="S22">
        <f>IF(G21&lt;=0,0,MIN(AL22,G$7+IF(G$2=$AA22,$AC22,IF(G$2=$AF22,$AG22,0))))</f>
        <v/>
      </c>
      <c r="T22">
        <f>IF(H21&lt;=0,0,MIN(AM22,H$7+IF(H$2=$AA22,$AC22,IF(H$2=$AF22,$AG22,0))))</f>
        <v/>
      </c>
      <c r="U22">
        <f>IF(I21&lt;=0,0,MIN(AN22,I$7+IF(I$2=$AA22,$AC22,IF(I$2=$AF22,$AG22,0))))</f>
        <v/>
      </c>
      <c r="V22">
        <f>IF(J21&lt;=0,0,MIN(AO22,J$7+IF(J$2=$AA22,$AC22,IF(J$2=$AF22,$AG22,0))))</f>
        <v/>
      </c>
      <c r="W22">
        <f>IF(K21&lt;=0,0,MIN(AP22,K$7+IF(K$2=$AA22,$AC22,IF(K$2=$AF22,$AG22,0))))</f>
        <v/>
      </c>
      <c r="X22">
        <f>IF(L21&lt;=0,0,MIN(AQ22,L$7+IF(L$2=$AA22,$AC22,IF(L$2=$AF22,$AG22,0))))</f>
        <v/>
      </c>
      <c r="Y22">
        <f>IF(M21&lt;=0,0,MIN(AR22,M$7+IF(M$2=$AA22,$AC22,IF(M$2=$AF22,$AG22,0))))</f>
        <v/>
      </c>
      <c r="Z22">
        <f>IF(N21&lt;=0,0,MIN(AS22,N$7+IF(N$2=$AA22,$AC22,IF(N$2=$AF22,$AG22,0))))</f>
        <v/>
      </c>
      <c r="AA22">
        <f>IFERROR(ROUND(1/SUMPRODUCT(MAX((C21:N21&gt;0)*($C$3:$N$3&lt;=B22)/$C$2:$N$2)),0),0)</f>
        <v/>
      </c>
      <c r="AB22">
        <f>SUMPRODUCT((C21:N21&gt;0)*$C$7:$N$7)</f>
        <v/>
      </c>
      <c r="AC22">
        <f>MAX(0,Plan!$C$5-AB22)+IF(A22=Plan!$C$8,N(Plan!$C$7),0)</f>
        <v/>
      </c>
      <c r="AD22">
        <f>SUM(C22:N22)</f>
        <v/>
      </c>
      <c r="AE22">
        <f>SUM(O22:Z22)</f>
        <v/>
      </c>
      <c r="AF22">
        <f>IFERROR(ROUND(1/SUMPRODUCT(MAX((C21:N21&gt;0)*($C$3:$N$3&lt;=B22)*($C$2:$N$2&gt;AA22)/$C$2:$N$2)),0),0)</f>
        <v/>
      </c>
      <c r="AG22">
        <f>MAX(0,AC22-MAX(0,SUMPRODUCT(($C$2:$N$2=AA22)*(AH22:AS22-$C$7:$N$7))))</f>
        <v/>
      </c>
      <c r="AH22">
        <f>IF(C21&lt;=0,0,ROUND(C21*(1+IF(AND(C$6&gt;0,$B22&lt;C$6),C$4,C$5)/12),2))</f>
        <v/>
      </c>
      <c r="AI22">
        <f>IF(D21&lt;=0,0,ROUND(D21*(1+IF(AND(D$6&gt;0,$B22&lt;D$6),D$4,D$5)/12),2))</f>
        <v/>
      </c>
      <c r="AJ22">
        <f>IF(E21&lt;=0,0,ROUND(E21*(1+IF(AND(E$6&gt;0,$B22&lt;E$6),E$4,E$5)/12),2))</f>
        <v/>
      </c>
      <c r="AK22">
        <f>IF(F21&lt;=0,0,ROUND(F21*(1+IF(AND(F$6&gt;0,$B22&lt;F$6),F$4,F$5)/12),2))</f>
        <v/>
      </c>
      <c r="AL22">
        <f>IF(G21&lt;=0,0,ROUND(G21*(1+IF(AND(G$6&gt;0,$B22&lt;G$6),G$4,G$5)/12),2))</f>
        <v/>
      </c>
      <c r="AM22">
        <f>IF(H21&lt;=0,0,ROUND(H21*(1+IF(AND(H$6&gt;0,$B22&lt;H$6),H$4,H$5)/12),2))</f>
        <v/>
      </c>
      <c r="AN22">
        <f>IF(I21&lt;=0,0,ROUND(I21*(1+IF(AND(I$6&gt;0,$B22&lt;I$6),I$4,I$5)/12),2))</f>
        <v/>
      </c>
      <c r="AO22">
        <f>IF(J21&lt;=0,0,ROUND(J21*(1+IF(AND(J$6&gt;0,$B22&lt;J$6),J$4,J$5)/12),2))</f>
        <v/>
      </c>
      <c r="AP22">
        <f>IF(K21&lt;=0,0,ROUND(K21*(1+IF(AND(K$6&gt;0,$B22&lt;K$6),K$4,K$5)/12),2))</f>
        <v/>
      </c>
      <c r="AQ22">
        <f>IF(L21&lt;=0,0,ROUND(L21*(1+IF(AND(L$6&gt;0,$B22&lt;L$6),L$4,L$5)/12),2))</f>
        <v/>
      </c>
      <c r="AR22">
        <f>IF(M21&lt;=0,0,ROUND(M21*(1+IF(AND(M$6&gt;0,$B22&lt;M$6),M$4,M$5)/12),2))</f>
        <v/>
      </c>
      <c r="AS22">
        <f>IF(N21&lt;=0,0,ROUND(N21*(1+IF(AND(N$6&gt;0,$B22&lt;N$6),N$4,N$5)/12),2))</f>
        <v/>
      </c>
    </row>
    <row r="23">
      <c r="A23" t="n">
        <v>12</v>
      </c>
      <c r="B23">
        <f>EDATE(Plan!$C$6,11)</f>
        <v/>
      </c>
      <c r="C23">
        <f>IF(C22&lt;=0,0,MAX(0,AH23-O23))</f>
        <v/>
      </c>
      <c r="D23">
        <f>IF(D22&lt;=0,0,MAX(0,AI23-P23))</f>
        <v/>
      </c>
      <c r="E23">
        <f>IF(E22&lt;=0,0,MAX(0,AJ23-Q23))</f>
        <v/>
      </c>
      <c r="F23">
        <f>IF(F22&lt;=0,0,MAX(0,AK23-R23))</f>
        <v/>
      </c>
      <c r="G23">
        <f>IF(G22&lt;=0,0,MAX(0,AL23-S23))</f>
        <v/>
      </c>
      <c r="H23">
        <f>IF(H22&lt;=0,0,MAX(0,AM23-T23))</f>
        <v/>
      </c>
      <c r="I23">
        <f>IF(I22&lt;=0,0,MAX(0,AN23-U23))</f>
        <v/>
      </c>
      <c r="J23">
        <f>IF(J22&lt;=0,0,MAX(0,AO23-V23))</f>
        <v/>
      </c>
      <c r="K23">
        <f>IF(K22&lt;=0,0,MAX(0,AP23-W23))</f>
        <v/>
      </c>
      <c r="L23">
        <f>IF(L22&lt;=0,0,MAX(0,AQ23-X23))</f>
        <v/>
      </c>
      <c r="M23">
        <f>IF(M22&lt;=0,0,MAX(0,AR23-Y23))</f>
        <v/>
      </c>
      <c r="N23">
        <f>IF(N22&lt;=0,0,MAX(0,AS23-Z23))</f>
        <v/>
      </c>
      <c r="O23">
        <f>IF(C22&lt;=0,0,MIN(AH23,C$7+IF(C$2=$AA23,$AC23,IF(C$2=$AF23,$AG23,0))))</f>
        <v/>
      </c>
      <c r="P23">
        <f>IF(D22&lt;=0,0,MIN(AI23,D$7+IF(D$2=$AA23,$AC23,IF(D$2=$AF23,$AG23,0))))</f>
        <v/>
      </c>
      <c r="Q23">
        <f>IF(E22&lt;=0,0,MIN(AJ23,E$7+IF(E$2=$AA23,$AC23,IF(E$2=$AF23,$AG23,0))))</f>
        <v/>
      </c>
      <c r="R23">
        <f>IF(F22&lt;=0,0,MIN(AK23,F$7+IF(F$2=$AA23,$AC23,IF(F$2=$AF23,$AG23,0))))</f>
        <v/>
      </c>
      <c r="S23">
        <f>IF(G22&lt;=0,0,MIN(AL23,G$7+IF(G$2=$AA23,$AC23,IF(G$2=$AF23,$AG23,0))))</f>
        <v/>
      </c>
      <c r="T23">
        <f>IF(H22&lt;=0,0,MIN(AM23,H$7+IF(H$2=$AA23,$AC23,IF(H$2=$AF23,$AG23,0))))</f>
        <v/>
      </c>
      <c r="U23">
        <f>IF(I22&lt;=0,0,MIN(AN23,I$7+IF(I$2=$AA23,$AC23,IF(I$2=$AF23,$AG23,0))))</f>
        <v/>
      </c>
      <c r="V23">
        <f>IF(J22&lt;=0,0,MIN(AO23,J$7+IF(J$2=$AA23,$AC23,IF(J$2=$AF23,$AG23,0))))</f>
        <v/>
      </c>
      <c r="W23">
        <f>IF(K22&lt;=0,0,MIN(AP23,K$7+IF(K$2=$AA23,$AC23,IF(K$2=$AF23,$AG23,0))))</f>
        <v/>
      </c>
      <c r="X23">
        <f>IF(L22&lt;=0,0,MIN(AQ23,L$7+IF(L$2=$AA23,$AC23,IF(L$2=$AF23,$AG23,0))))</f>
        <v/>
      </c>
      <c r="Y23">
        <f>IF(M22&lt;=0,0,MIN(AR23,M$7+IF(M$2=$AA23,$AC23,IF(M$2=$AF23,$AG23,0))))</f>
        <v/>
      </c>
      <c r="Z23">
        <f>IF(N22&lt;=0,0,MIN(AS23,N$7+IF(N$2=$AA23,$AC23,IF(N$2=$AF23,$AG23,0))))</f>
        <v/>
      </c>
      <c r="AA23">
        <f>IFERROR(ROUND(1/SUMPRODUCT(MAX((C22:N22&gt;0)*($C$3:$N$3&lt;=B23)/$C$2:$N$2)),0),0)</f>
        <v/>
      </c>
      <c r="AB23">
        <f>SUMPRODUCT((C22:N22&gt;0)*$C$7:$N$7)</f>
        <v/>
      </c>
      <c r="AC23">
        <f>MAX(0,Plan!$C$5-AB23)+IF(A23=Plan!$C$8,N(Plan!$C$7),0)</f>
        <v/>
      </c>
      <c r="AD23">
        <f>SUM(C23:N23)</f>
        <v/>
      </c>
      <c r="AE23">
        <f>SUM(O23:Z23)</f>
        <v/>
      </c>
      <c r="AF23">
        <f>IFERROR(ROUND(1/SUMPRODUCT(MAX((C22:N22&gt;0)*($C$3:$N$3&lt;=B23)*($C$2:$N$2&gt;AA23)/$C$2:$N$2)),0),0)</f>
        <v/>
      </c>
      <c r="AG23">
        <f>MAX(0,AC23-MAX(0,SUMPRODUCT(($C$2:$N$2=AA23)*(AH23:AS23-$C$7:$N$7))))</f>
        <v/>
      </c>
      <c r="AH23">
        <f>IF(C22&lt;=0,0,ROUND(C22*(1+IF(AND(C$6&gt;0,$B23&lt;C$6),C$4,C$5)/12),2))</f>
        <v/>
      </c>
      <c r="AI23">
        <f>IF(D22&lt;=0,0,ROUND(D22*(1+IF(AND(D$6&gt;0,$B23&lt;D$6),D$4,D$5)/12),2))</f>
        <v/>
      </c>
      <c r="AJ23">
        <f>IF(E22&lt;=0,0,ROUND(E22*(1+IF(AND(E$6&gt;0,$B23&lt;E$6),E$4,E$5)/12),2))</f>
        <v/>
      </c>
      <c r="AK23">
        <f>IF(F22&lt;=0,0,ROUND(F22*(1+IF(AND(F$6&gt;0,$B23&lt;F$6),F$4,F$5)/12),2))</f>
        <v/>
      </c>
      <c r="AL23">
        <f>IF(G22&lt;=0,0,ROUND(G22*(1+IF(AND(G$6&gt;0,$B23&lt;G$6),G$4,G$5)/12),2))</f>
        <v/>
      </c>
      <c r="AM23">
        <f>IF(H22&lt;=0,0,ROUND(H22*(1+IF(AND(H$6&gt;0,$B23&lt;H$6),H$4,H$5)/12),2))</f>
        <v/>
      </c>
      <c r="AN23">
        <f>IF(I22&lt;=0,0,ROUND(I22*(1+IF(AND(I$6&gt;0,$B23&lt;I$6),I$4,I$5)/12),2))</f>
        <v/>
      </c>
      <c r="AO23">
        <f>IF(J22&lt;=0,0,ROUND(J22*(1+IF(AND(J$6&gt;0,$B23&lt;J$6),J$4,J$5)/12),2))</f>
        <v/>
      </c>
      <c r="AP23">
        <f>IF(K22&lt;=0,0,ROUND(K22*(1+IF(AND(K$6&gt;0,$B23&lt;K$6),K$4,K$5)/12),2))</f>
        <v/>
      </c>
      <c r="AQ23">
        <f>IF(L22&lt;=0,0,ROUND(L22*(1+IF(AND(L$6&gt;0,$B23&lt;L$6),L$4,L$5)/12),2))</f>
        <v/>
      </c>
      <c r="AR23">
        <f>IF(M22&lt;=0,0,ROUND(M22*(1+IF(AND(M$6&gt;0,$B23&lt;M$6),M$4,M$5)/12),2))</f>
        <v/>
      </c>
      <c r="AS23">
        <f>IF(N22&lt;=0,0,ROUND(N22*(1+IF(AND(N$6&gt;0,$B23&lt;N$6),N$4,N$5)/12),2))</f>
        <v/>
      </c>
    </row>
    <row r="24">
      <c r="A24" t="n">
        <v>13</v>
      </c>
      <c r="B24">
        <f>EDATE(Plan!$C$6,12)</f>
        <v/>
      </c>
      <c r="C24">
        <f>IF(C23&lt;=0,0,MAX(0,AH24-O24))</f>
        <v/>
      </c>
      <c r="D24">
        <f>IF(D23&lt;=0,0,MAX(0,AI24-P24))</f>
        <v/>
      </c>
      <c r="E24">
        <f>IF(E23&lt;=0,0,MAX(0,AJ24-Q24))</f>
        <v/>
      </c>
      <c r="F24">
        <f>IF(F23&lt;=0,0,MAX(0,AK24-R24))</f>
        <v/>
      </c>
      <c r="G24">
        <f>IF(G23&lt;=0,0,MAX(0,AL24-S24))</f>
        <v/>
      </c>
      <c r="H24">
        <f>IF(H23&lt;=0,0,MAX(0,AM24-T24))</f>
        <v/>
      </c>
      <c r="I24">
        <f>IF(I23&lt;=0,0,MAX(0,AN24-U24))</f>
        <v/>
      </c>
      <c r="J24">
        <f>IF(J23&lt;=0,0,MAX(0,AO24-V24))</f>
        <v/>
      </c>
      <c r="K24">
        <f>IF(K23&lt;=0,0,MAX(0,AP24-W24))</f>
        <v/>
      </c>
      <c r="L24">
        <f>IF(L23&lt;=0,0,MAX(0,AQ24-X24))</f>
        <v/>
      </c>
      <c r="M24">
        <f>IF(M23&lt;=0,0,MAX(0,AR24-Y24))</f>
        <v/>
      </c>
      <c r="N24">
        <f>IF(N23&lt;=0,0,MAX(0,AS24-Z24))</f>
        <v/>
      </c>
      <c r="O24">
        <f>IF(C23&lt;=0,0,MIN(AH24,C$7+IF(C$2=$AA24,$AC24,IF(C$2=$AF24,$AG24,0))))</f>
        <v/>
      </c>
      <c r="P24">
        <f>IF(D23&lt;=0,0,MIN(AI24,D$7+IF(D$2=$AA24,$AC24,IF(D$2=$AF24,$AG24,0))))</f>
        <v/>
      </c>
      <c r="Q24">
        <f>IF(E23&lt;=0,0,MIN(AJ24,E$7+IF(E$2=$AA24,$AC24,IF(E$2=$AF24,$AG24,0))))</f>
        <v/>
      </c>
      <c r="R24">
        <f>IF(F23&lt;=0,0,MIN(AK24,F$7+IF(F$2=$AA24,$AC24,IF(F$2=$AF24,$AG24,0))))</f>
        <v/>
      </c>
      <c r="S24">
        <f>IF(G23&lt;=0,0,MIN(AL24,G$7+IF(G$2=$AA24,$AC24,IF(G$2=$AF24,$AG24,0))))</f>
        <v/>
      </c>
      <c r="T24">
        <f>IF(H23&lt;=0,0,MIN(AM24,H$7+IF(H$2=$AA24,$AC24,IF(H$2=$AF24,$AG24,0))))</f>
        <v/>
      </c>
      <c r="U24">
        <f>IF(I23&lt;=0,0,MIN(AN24,I$7+IF(I$2=$AA24,$AC24,IF(I$2=$AF24,$AG24,0))))</f>
        <v/>
      </c>
      <c r="V24">
        <f>IF(J23&lt;=0,0,MIN(AO24,J$7+IF(J$2=$AA24,$AC24,IF(J$2=$AF24,$AG24,0))))</f>
        <v/>
      </c>
      <c r="W24">
        <f>IF(K23&lt;=0,0,MIN(AP24,K$7+IF(K$2=$AA24,$AC24,IF(K$2=$AF24,$AG24,0))))</f>
        <v/>
      </c>
      <c r="X24">
        <f>IF(L23&lt;=0,0,MIN(AQ24,L$7+IF(L$2=$AA24,$AC24,IF(L$2=$AF24,$AG24,0))))</f>
        <v/>
      </c>
      <c r="Y24">
        <f>IF(M23&lt;=0,0,MIN(AR24,M$7+IF(M$2=$AA24,$AC24,IF(M$2=$AF24,$AG24,0))))</f>
        <v/>
      </c>
      <c r="Z24">
        <f>IF(N23&lt;=0,0,MIN(AS24,N$7+IF(N$2=$AA24,$AC24,IF(N$2=$AF24,$AG24,0))))</f>
        <v/>
      </c>
      <c r="AA24">
        <f>IFERROR(ROUND(1/SUMPRODUCT(MAX((C23:N23&gt;0)*($C$3:$N$3&lt;=B24)/$C$2:$N$2)),0),0)</f>
        <v/>
      </c>
      <c r="AB24">
        <f>SUMPRODUCT((C23:N23&gt;0)*$C$7:$N$7)</f>
        <v/>
      </c>
      <c r="AC24">
        <f>MAX(0,Plan!$C$5-AB24)+IF(A24=Plan!$C$8,N(Plan!$C$7),0)</f>
        <v/>
      </c>
      <c r="AD24">
        <f>SUM(C24:N24)</f>
        <v/>
      </c>
      <c r="AE24">
        <f>SUM(O24:Z24)</f>
        <v/>
      </c>
      <c r="AF24">
        <f>IFERROR(ROUND(1/SUMPRODUCT(MAX((C23:N23&gt;0)*($C$3:$N$3&lt;=B24)*($C$2:$N$2&gt;AA24)/$C$2:$N$2)),0),0)</f>
        <v/>
      </c>
      <c r="AG24">
        <f>MAX(0,AC24-MAX(0,SUMPRODUCT(($C$2:$N$2=AA24)*(AH24:AS24-$C$7:$N$7))))</f>
        <v/>
      </c>
      <c r="AH24">
        <f>IF(C23&lt;=0,0,ROUND(C23*(1+IF(AND(C$6&gt;0,$B24&lt;C$6),C$4,C$5)/12),2))</f>
        <v/>
      </c>
      <c r="AI24">
        <f>IF(D23&lt;=0,0,ROUND(D23*(1+IF(AND(D$6&gt;0,$B24&lt;D$6),D$4,D$5)/12),2))</f>
        <v/>
      </c>
      <c r="AJ24">
        <f>IF(E23&lt;=0,0,ROUND(E23*(1+IF(AND(E$6&gt;0,$B24&lt;E$6),E$4,E$5)/12),2))</f>
        <v/>
      </c>
      <c r="AK24">
        <f>IF(F23&lt;=0,0,ROUND(F23*(1+IF(AND(F$6&gt;0,$B24&lt;F$6),F$4,F$5)/12),2))</f>
        <v/>
      </c>
      <c r="AL24">
        <f>IF(G23&lt;=0,0,ROUND(G23*(1+IF(AND(G$6&gt;0,$B24&lt;G$6),G$4,G$5)/12),2))</f>
        <v/>
      </c>
      <c r="AM24">
        <f>IF(H23&lt;=0,0,ROUND(H23*(1+IF(AND(H$6&gt;0,$B24&lt;H$6),H$4,H$5)/12),2))</f>
        <v/>
      </c>
      <c r="AN24">
        <f>IF(I23&lt;=0,0,ROUND(I23*(1+IF(AND(I$6&gt;0,$B24&lt;I$6),I$4,I$5)/12),2))</f>
        <v/>
      </c>
      <c r="AO24">
        <f>IF(J23&lt;=0,0,ROUND(J23*(1+IF(AND(J$6&gt;0,$B24&lt;J$6),J$4,J$5)/12),2))</f>
        <v/>
      </c>
      <c r="AP24">
        <f>IF(K23&lt;=0,0,ROUND(K23*(1+IF(AND(K$6&gt;0,$B24&lt;K$6),K$4,K$5)/12),2))</f>
        <v/>
      </c>
      <c r="AQ24">
        <f>IF(L23&lt;=0,0,ROUND(L23*(1+IF(AND(L$6&gt;0,$B24&lt;L$6),L$4,L$5)/12),2))</f>
        <v/>
      </c>
      <c r="AR24">
        <f>IF(M23&lt;=0,0,ROUND(M23*(1+IF(AND(M$6&gt;0,$B24&lt;M$6),M$4,M$5)/12),2))</f>
        <v/>
      </c>
      <c r="AS24">
        <f>IF(N23&lt;=0,0,ROUND(N23*(1+IF(AND(N$6&gt;0,$B24&lt;N$6),N$4,N$5)/12),2))</f>
        <v/>
      </c>
    </row>
    <row r="25">
      <c r="A25" t="n">
        <v>14</v>
      </c>
      <c r="B25">
        <f>EDATE(Plan!$C$6,13)</f>
        <v/>
      </c>
      <c r="C25">
        <f>IF(C24&lt;=0,0,MAX(0,AH25-O25))</f>
        <v/>
      </c>
      <c r="D25">
        <f>IF(D24&lt;=0,0,MAX(0,AI25-P25))</f>
        <v/>
      </c>
      <c r="E25">
        <f>IF(E24&lt;=0,0,MAX(0,AJ25-Q25))</f>
        <v/>
      </c>
      <c r="F25">
        <f>IF(F24&lt;=0,0,MAX(0,AK25-R25))</f>
        <v/>
      </c>
      <c r="G25">
        <f>IF(G24&lt;=0,0,MAX(0,AL25-S25))</f>
        <v/>
      </c>
      <c r="H25">
        <f>IF(H24&lt;=0,0,MAX(0,AM25-T25))</f>
        <v/>
      </c>
      <c r="I25">
        <f>IF(I24&lt;=0,0,MAX(0,AN25-U25))</f>
        <v/>
      </c>
      <c r="J25">
        <f>IF(J24&lt;=0,0,MAX(0,AO25-V25))</f>
        <v/>
      </c>
      <c r="K25">
        <f>IF(K24&lt;=0,0,MAX(0,AP25-W25))</f>
        <v/>
      </c>
      <c r="L25">
        <f>IF(L24&lt;=0,0,MAX(0,AQ25-X25))</f>
        <v/>
      </c>
      <c r="M25">
        <f>IF(M24&lt;=0,0,MAX(0,AR25-Y25))</f>
        <v/>
      </c>
      <c r="N25">
        <f>IF(N24&lt;=0,0,MAX(0,AS25-Z25))</f>
        <v/>
      </c>
      <c r="O25">
        <f>IF(C24&lt;=0,0,MIN(AH25,C$7+IF(C$2=$AA25,$AC25,IF(C$2=$AF25,$AG25,0))))</f>
        <v/>
      </c>
      <c r="P25">
        <f>IF(D24&lt;=0,0,MIN(AI25,D$7+IF(D$2=$AA25,$AC25,IF(D$2=$AF25,$AG25,0))))</f>
        <v/>
      </c>
      <c r="Q25">
        <f>IF(E24&lt;=0,0,MIN(AJ25,E$7+IF(E$2=$AA25,$AC25,IF(E$2=$AF25,$AG25,0))))</f>
        <v/>
      </c>
      <c r="R25">
        <f>IF(F24&lt;=0,0,MIN(AK25,F$7+IF(F$2=$AA25,$AC25,IF(F$2=$AF25,$AG25,0))))</f>
        <v/>
      </c>
      <c r="S25">
        <f>IF(G24&lt;=0,0,MIN(AL25,G$7+IF(G$2=$AA25,$AC25,IF(G$2=$AF25,$AG25,0))))</f>
        <v/>
      </c>
      <c r="T25">
        <f>IF(H24&lt;=0,0,MIN(AM25,H$7+IF(H$2=$AA25,$AC25,IF(H$2=$AF25,$AG25,0))))</f>
        <v/>
      </c>
      <c r="U25">
        <f>IF(I24&lt;=0,0,MIN(AN25,I$7+IF(I$2=$AA25,$AC25,IF(I$2=$AF25,$AG25,0))))</f>
        <v/>
      </c>
      <c r="V25">
        <f>IF(J24&lt;=0,0,MIN(AO25,J$7+IF(J$2=$AA25,$AC25,IF(J$2=$AF25,$AG25,0))))</f>
        <v/>
      </c>
      <c r="W25">
        <f>IF(K24&lt;=0,0,MIN(AP25,K$7+IF(K$2=$AA25,$AC25,IF(K$2=$AF25,$AG25,0))))</f>
        <v/>
      </c>
      <c r="X25">
        <f>IF(L24&lt;=0,0,MIN(AQ25,L$7+IF(L$2=$AA25,$AC25,IF(L$2=$AF25,$AG25,0))))</f>
        <v/>
      </c>
      <c r="Y25">
        <f>IF(M24&lt;=0,0,MIN(AR25,M$7+IF(M$2=$AA25,$AC25,IF(M$2=$AF25,$AG25,0))))</f>
        <v/>
      </c>
      <c r="Z25">
        <f>IF(N24&lt;=0,0,MIN(AS25,N$7+IF(N$2=$AA25,$AC25,IF(N$2=$AF25,$AG25,0))))</f>
        <v/>
      </c>
      <c r="AA25">
        <f>IFERROR(ROUND(1/SUMPRODUCT(MAX((C24:N24&gt;0)*($C$3:$N$3&lt;=B25)/$C$2:$N$2)),0),0)</f>
        <v/>
      </c>
      <c r="AB25">
        <f>SUMPRODUCT((C24:N24&gt;0)*$C$7:$N$7)</f>
        <v/>
      </c>
      <c r="AC25">
        <f>MAX(0,Plan!$C$5-AB25)+IF(A25=Plan!$C$8,N(Plan!$C$7),0)</f>
        <v/>
      </c>
      <c r="AD25">
        <f>SUM(C25:N25)</f>
        <v/>
      </c>
      <c r="AE25">
        <f>SUM(O25:Z25)</f>
        <v/>
      </c>
      <c r="AF25">
        <f>IFERROR(ROUND(1/SUMPRODUCT(MAX((C24:N24&gt;0)*($C$3:$N$3&lt;=B25)*($C$2:$N$2&gt;AA25)/$C$2:$N$2)),0),0)</f>
        <v/>
      </c>
      <c r="AG25">
        <f>MAX(0,AC25-MAX(0,SUMPRODUCT(($C$2:$N$2=AA25)*(AH25:AS25-$C$7:$N$7))))</f>
        <v/>
      </c>
      <c r="AH25">
        <f>IF(C24&lt;=0,0,ROUND(C24*(1+IF(AND(C$6&gt;0,$B25&lt;C$6),C$4,C$5)/12),2))</f>
        <v/>
      </c>
      <c r="AI25">
        <f>IF(D24&lt;=0,0,ROUND(D24*(1+IF(AND(D$6&gt;0,$B25&lt;D$6),D$4,D$5)/12),2))</f>
        <v/>
      </c>
      <c r="AJ25">
        <f>IF(E24&lt;=0,0,ROUND(E24*(1+IF(AND(E$6&gt;0,$B25&lt;E$6),E$4,E$5)/12),2))</f>
        <v/>
      </c>
      <c r="AK25">
        <f>IF(F24&lt;=0,0,ROUND(F24*(1+IF(AND(F$6&gt;0,$B25&lt;F$6),F$4,F$5)/12),2))</f>
        <v/>
      </c>
      <c r="AL25">
        <f>IF(G24&lt;=0,0,ROUND(G24*(1+IF(AND(G$6&gt;0,$B25&lt;G$6),G$4,G$5)/12),2))</f>
        <v/>
      </c>
      <c r="AM25">
        <f>IF(H24&lt;=0,0,ROUND(H24*(1+IF(AND(H$6&gt;0,$B25&lt;H$6),H$4,H$5)/12),2))</f>
        <v/>
      </c>
      <c r="AN25">
        <f>IF(I24&lt;=0,0,ROUND(I24*(1+IF(AND(I$6&gt;0,$B25&lt;I$6),I$4,I$5)/12),2))</f>
        <v/>
      </c>
      <c r="AO25">
        <f>IF(J24&lt;=0,0,ROUND(J24*(1+IF(AND(J$6&gt;0,$B25&lt;J$6),J$4,J$5)/12),2))</f>
        <v/>
      </c>
      <c r="AP25">
        <f>IF(K24&lt;=0,0,ROUND(K24*(1+IF(AND(K$6&gt;0,$B25&lt;K$6),K$4,K$5)/12),2))</f>
        <v/>
      </c>
      <c r="AQ25">
        <f>IF(L24&lt;=0,0,ROUND(L24*(1+IF(AND(L$6&gt;0,$B25&lt;L$6),L$4,L$5)/12),2))</f>
        <v/>
      </c>
      <c r="AR25">
        <f>IF(M24&lt;=0,0,ROUND(M24*(1+IF(AND(M$6&gt;0,$B25&lt;M$6),M$4,M$5)/12),2))</f>
        <v/>
      </c>
      <c r="AS25">
        <f>IF(N24&lt;=0,0,ROUND(N24*(1+IF(AND(N$6&gt;0,$B25&lt;N$6),N$4,N$5)/12),2))</f>
        <v/>
      </c>
    </row>
    <row r="26">
      <c r="A26" t="n">
        <v>15</v>
      </c>
      <c r="B26">
        <f>EDATE(Plan!$C$6,14)</f>
        <v/>
      </c>
      <c r="C26">
        <f>IF(C25&lt;=0,0,MAX(0,AH26-O26))</f>
        <v/>
      </c>
      <c r="D26">
        <f>IF(D25&lt;=0,0,MAX(0,AI26-P26))</f>
        <v/>
      </c>
      <c r="E26">
        <f>IF(E25&lt;=0,0,MAX(0,AJ26-Q26))</f>
        <v/>
      </c>
      <c r="F26">
        <f>IF(F25&lt;=0,0,MAX(0,AK26-R26))</f>
        <v/>
      </c>
      <c r="G26">
        <f>IF(G25&lt;=0,0,MAX(0,AL26-S26))</f>
        <v/>
      </c>
      <c r="H26">
        <f>IF(H25&lt;=0,0,MAX(0,AM26-T26))</f>
        <v/>
      </c>
      <c r="I26">
        <f>IF(I25&lt;=0,0,MAX(0,AN26-U26))</f>
        <v/>
      </c>
      <c r="J26">
        <f>IF(J25&lt;=0,0,MAX(0,AO26-V26))</f>
        <v/>
      </c>
      <c r="K26">
        <f>IF(K25&lt;=0,0,MAX(0,AP26-W26))</f>
        <v/>
      </c>
      <c r="L26">
        <f>IF(L25&lt;=0,0,MAX(0,AQ26-X26))</f>
        <v/>
      </c>
      <c r="M26">
        <f>IF(M25&lt;=0,0,MAX(0,AR26-Y26))</f>
        <v/>
      </c>
      <c r="N26">
        <f>IF(N25&lt;=0,0,MAX(0,AS26-Z26))</f>
        <v/>
      </c>
      <c r="O26">
        <f>IF(C25&lt;=0,0,MIN(AH26,C$7+IF(C$2=$AA26,$AC26,IF(C$2=$AF26,$AG26,0))))</f>
        <v/>
      </c>
      <c r="P26">
        <f>IF(D25&lt;=0,0,MIN(AI26,D$7+IF(D$2=$AA26,$AC26,IF(D$2=$AF26,$AG26,0))))</f>
        <v/>
      </c>
      <c r="Q26">
        <f>IF(E25&lt;=0,0,MIN(AJ26,E$7+IF(E$2=$AA26,$AC26,IF(E$2=$AF26,$AG26,0))))</f>
        <v/>
      </c>
      <c r="R26">
        <f>IF(F25&lt;=0,0,MIN(AK26,F$7+IF(F$2=$AA26,$AC26,IF(F$2=$AF26,$AG26,0))))</f>
        <v/>
      </c>
      <c r="S26">
        <f>IF(G25&lt;=0,0,MIN(AL26,G$7+IF(G$2=$AA26,$AC26,IF(G$2=$AF26,$AG26,0))))</f>
        <v/>
      </c>
      <c r="T26">
        <f>IF(H25&lt;=0,0,MIN(AM26,H$7+IF(H$2=$AA26,$AC26,IF(H$2=$AF26,$AG26,0))))</f>
        <v/>
      </c>
      <c r="U26">
        <f>IF(I25&lt;=0,0,MIN(AN26,I$7+IF(I$2=$AA26,$AC26,IF(I$2=$AF26,$AG26,0))))</f>
        <v/>
      </c>
      <c r="V26">
        <f>IF(J25&lt;=0,0,MIN(AO26,J$7+IF(J$2=$AA26,$AC26,IF(J$2=$AF26,$AG26,0))))</f>
        <v/>
      </c>
      <c r="W26">
        <f>IF(K25&lt;=0,0,MIN(AP26,K$7+IF(K$2=$AA26,$AC26,IF(K$2=$AF26,$AG26,0))))</f>
        <v/>
      </c>
      <c r="X26">
        <f>IF(L25&lt;=0,0,MIN(AQ26,L$7+IF(L$2=$AA26,$AC26,IF(L$2=$AF26,$AG26,0))))</f>
        <v/>
      </c>
      <c r="Y26">
        <f>IF(M25&lt;=0,0,MIN(AR26,M$7+IF(M$2=$AA26,$AC26,IF(M$2=$AF26,$AG26,0))))</f>
        <v/>
      </c>
      <c r="Z26">
        <f>IF(N25&lt;=0,0,MIN(AS26,N$7+IF(N$2=$AA26,$AC26,IF(N$2=$AF26,$AG26,0))))</f>
        <v/>
      </c>
      <c r="AA26">
        <f>IFERROR(ROUND(1/SUMPRODUCT(MAX((C25:N25&gt;0)*($C$3:$N$3&lt;=B26)/$C$2:$N$2)),0),0)</f>
        <v/>
      </c>
      <c r="AB26">
        <f>SUMPRODUCT((C25:N25&gt;0)*$C$7:$N$7)</f>
        <v/>
      </c>
      <c r="AC26">
        <f>MAX(0,Plan!$C$5-AB26)+IF(A26=Plan!$C$8,N(Plan!$C$7),0)</f>
        <v/>
      </c>
      <c r="AD26">
        <f>SUM(C26:N26)</f>
        <v/>
      </c>
      <c r="AE26">
        <f>SUM(O26:Z26)</f>
        <v/>
      </c>
      <c r="AF26">
        <f>IFERROR(ROUND(1/SUMPRODUCT(MAX((C25:N25&gt;0)*($C$3:$N$3&lt;=B26)*($C$2:$N$2&gt;AA26)/$C$2:$N$2)),0),0)</f>
        <v/>
      </c>
      <c r="AG26">
        <f>MAX(0,AC26-MAX(0,SUMPRODUCT(($C$2:$N$2=AA26)*(AH26:AS26-$C$7:$N$7))))</f>
        <v/>
      </c>
      <c r="AH26">
        <f>IF(C25&lt;=0,0,ROUND(C25*(1+IF(AND(C$6&gt;0,$B26&lt;C$6),C$4,C$5)/12),2))</f>
        <v/>
      </c>
      <c r="AI26">
        <f>IF(D25&lt;=0,0,ROUND(D25*(1+IF(AND(D$6&gt;0,$B26&lt;D$6),D$4,D$5)/12),2))</f>
        <v/>
      </c>
      <c r="AJ26">
        <f>IF(E25&lt;=0,0,ROUND(E25*(1+IF(AND(E$6&gt;0,$B26&lt;E$6),E$4,E$5)/12),2))</f>
        <v/>
      </c>
      <c r="AK26">
        <f>IF(F25&lt;=0,0,ROUND(F25*(1+IF(AND(F$6&gt;0,$B26&lt;F$6),F$4,F$5)/12),2))</f>
        <v/>
      </c>
      <c r="AL26">
        <f>IF(G25&lt;=0,0,ROUND(G25*(1+IF(AND(G$6&gt;0,$B26&lt;G$6),G$4,G$5)/12),2))</f>
        <v/>
      </c>
      <c r="AM26">
        <f>IF(H25&lt;=0,0,ROUND(H25*(1+IF(AND(H$6&gt;0,$B26&lt;H$6),H$4,H$5)/12),2))</f>
        <v/>
      </c>
      <c r="AN26">
        <f>IF(I25&lt;=0,0,ROUND(I25*(1+IF(AND(I$6&gt;0,$B26&lt;I$6),I$4,I$5)/12),2))</f>
        <v/>
      </c>
      <c r="AO26">
        <f>IF(J25&lt;=0,0,ROUND(J25*(1+IF(AND(J$6&gt;0,$B26&lt;J$6),J$4,J$5)/12),2))</f>
        <v/>
      </c>
      <c r="AP26">
        <f>IF(K25&lt;=0,0,ROUND(K25*(1+IF(AND(K$6&gt;0,$B26&lt;K$6),K$4,K$5)/12),2))</f>
        <v/>
      </c>
      <c r="AQ26">
        <f>IF(L25&lt;=0,0,ROUND(L25*(1+IF(AND(L$6&gt;0,$B26&lt;L$6),L$4,L$5)/12),2))</f>
        <v/>
      </c>
      <c r="AR26">
        <f>IF(M25&lt;=0,0,ROUND(M25*(1+IF(AND(M$6&gt;0,$B26&lt;M$6),M$4,M$5)/12),2))</f>
        <v/>
      </c>
      <c r="AS26">
        <f>IF(N25&lt;=0,0,ROUND(N25*(1+IF(AND(N$6&gt;0,$B26&lt;N$6),N$4,N$5)/12),2))</f>
        <v/>
      </c>
    </row>
    <row r="27">
      <c r="A27" t="n">
        <v>16</v>
      </c>
      <c r="B27">
        <f>EDATE(Plan!$C$6,15)</f>
        <v/>
      </c>
      <c r="C27">
        <f>IF(C26&lt;=0,0,MAX(0,AH27-O27))</f>
        <v/>
      </c>
      <c r="D27">
        <f>IF(D26&lt;=0,0,MAX(0,AI27-P27))</f>
        <v/>
      </c>
      <c r="E27">
        <f>IF(E26&lt;=0,0,MAX(0,AJ27-Q27))</f>
        <v/>
      </c>
      <c r="F27">
        <f>IF(F26&lt;=0,0,MAX(0,AK27-R27))</f>
        <v/>
      </c>
      <c r="G27">
        <f>IF(G26&lt;=0,0,MAX(0,AL27-S27))</f>
        <v/>
      </c>
      <c r="H27">
        <f>IF(H26&lt;=0,0,MAX(0,AM27-T27))</f>
        <v/>
      </c>
      <c r="I27">
        <f>IF(I26&lt;=0,0,MAX(0,AN27-U27))</f>
        <v/>
      </c>
      <c r="J27">
        <f>IF(J26&lt;=0,0,MAX(0,AO27-V27))</f>
        <v/>
      </c>
      <c r="K27">
        <f>IF(K26&lt;=0,0,MAX(0,AP27-W27))</f>
        <v/>
      </c>
      <c r="L27">
        <f>IF(L26&lt;=0,0,MAX(0,AQ27-X27))</f>
        <v/>
      </c>
      <c r="M27">
        <f>IF(M26&lt;=0,0,MAX(0,AR27-Y27))</f>
        <v/>
      </c>
      <c r="N27">
        <f>IF(N26&lt;=0,0,MAX(0,AS27-Z27))</f>
        <v/>
      </c>
      <c r="O27">
        <f>IF(C26&lt;=0,0,MIN(AH27,C$7+IF(C$2=$AA27,$AC27,IF(C$2=$AF27,$AG27,0))))</f>
        <v/>
      </c>
      <c r="P27">
        <f>IF(D26&lt;=0,0,MIN(AI27,D$7+IF(D$2=$AA27,$AC27,IF(D$2=$AF27,$AG27,0))))</f>
        <v/>
      </c>
      <c r="Q27">
        <f>IF(E26&lt;=0,0,MIN(AJ27,E$7+IF(E$2=$AA27,$AC27,IF(E$2=$AF27,$AG27,0))))</f>
        <v/>
      </c>
      <c r="R27">
        <f>IF(F26&lt;=0,0,MIN(AK27,F$7+IF(F$2=$AA27,$AC27,IF(F$2=$AF27,$AG27,0))))</f>
        <v/>
      </c>
      <c r="S27">
        <f>IF(G26&lt;=0,0,MIN(AL27,G$7+IF(G$2=$AA27,$AC27,IF(G$2=$AF27,$AG27,0))))</f>
        <v/>
      </c>
      <c r="T27">
        <f>IF(H26&lt;=0,0,MIN(AM27,H$7+IF(H$2=$AA27,$AC27,IF(H$2=$AF27,$AG27,0))))</f>
        <v/>
      </c>
      <c r="U27">
        <f>IF(I26&lt;=0,0,MIN(AN27,I$7+IF(I$2=$AA27,$AC27,IF(I$2=$AF27,$AG27,0))))</f>
        <v/>
      </c>
      <c r="V27">
        <f>IF(J26&lt;=0,0,MIN(AO27,J$7+IF(J$2=$AA27,$AC27,IF(J$2=$AF27,$AG27,0))))</f>
        <v/>
      </c>
      <c r="W27">
        <f>IF(K26&lt;=0,0,MIN(AP27,K$7+IF(K$2=$AA27,$AC27,IF(K$2=$AF27,$AG27,0))))</f>
        <v/>
      </c>
      <c r="X27">
        <f>IF(L26&lt;=0,0,MIN(AQ27,L$7+IF(L$2=$AA27,$AC27,IF(L$2=$AF27,$AG27,0))))</f>
        <v/>
      </c>
      <c r="Y27">
        <f>IF(M26&lt;=0,0,MIN(AR27,M$7+IF(M$2=$AA27,$AC27,IF(M$2=$AF27,$AG27,0))))</f>
        <v/>
      </c>
      <c r="Z27">
        <f>IF(N26&lt;=0,0,MIN(AS27,N$7+IF(N$2=$AA27,$AC27,IF(N$2=$AF27,$AG27,0))))</f>
        <v/>
      </c>
      <c r="AA27">
        <f>IFERROR(ROUND(1/SUMPRODUCT(MAX((C26:N26&gt;0)*($C$3:$N$3&lt;=B27)/$C$2:$N$2)),0),0)</f>
        <v/>
      </c>
      <c r="AB27">
        <f>SUMPRODUCT((C26:N26&gt;0)*$C$7:$N$7)</f>
        <v/>
      </c>
      <c r="AC27">
        <f>MAX(0,Plan!$C$5-AB27)+IF(A27=Plan!$C$8,N(Plan!$C$7),0)</f>
        <v/>
      </c>
      <c r="AD27">
        <f>SUM(C27:N27)</f>
        <v/>
      </c>
      <c r="AE27">
        <f>SUM(O27:Z27)</f>
        <v/>
      </c>
      <c r="AF27">
        <f>IFERROR(ROUND(1/SUMPRODUCT(MAX((C26:N26&gt;0)*($C$3:$N$3&lt;=B27)*($C$2:$N$2&gt;AA27)/$C$2:$N$2)),0),0)</f>
        <v/>
      </c>
      <c r="AG27">
        <f>MAX(0,AC27-MAX(0,SUMPRODUCT(($C$2:$N$2=AA27)*(AH27:AS27-$C$7:$N$7))))</f>
        <v/>
      </c>
      <c r="AH27">
        <f>IF(C26&lt;=0,0,ROUND(C26*(1+IF(AND(C$6&gt;0,$B27&lt;C$6),C$4,C$5)/12),2))</f>
        <v/>
      </c>
      <c r="AI27">
        <f>IF(D26&lt;=0,0,ROUND(D26*(1+IF(AND(D$6&gt;0,$B27&lt;D$6),D$4,D$5)/12),2))</f>
        <v/>
      </c>
      <c r="AJ27">
        <f>IF(E26&lt;=0,0,ROUND(E26*(1+IF(AND(E$6&gt;0,$B27&lt;E$6),E$4,E$5)/12),2))</f>
        <v/>
      </c>
      <c r="AK27">
        <f>IF(F26&lt;=0,0,ROUND(F26*(1+IF(AND(F$6&gt;0,$B27&lt;F$6),F$4,F$5)/12),2))</f>
        <v/>
      </c>
      <c r="AL27">
        <f>IF(G26&lt;=0,0,ROUND(G26*(1+IF(AND(G$6&gt;0,$B27&lt;G$6),G$4,G$5)/12),2))</f>
        <v/>
      </c>
      <c r="AM27">
        <f>IF(H26&lt;=0,0,ROUND(H26*(1+IF(AND(H$6&gt;0,$B27&lt;H$6),H$4,H$5)/12),2))</f>
        <v/>
      </c>
      <c r="AN27">
        <f>IF(I26&lt;=0,0,ROUND(I26*(1+IF(AND(I$6&gt;0,$B27&lt;I$6),I$4,I$5)/12),2))</f>
        <v/>
      </c>
      <c r="AO27">
        <f>IF(J26&lt;=0,0,ROUND(J26*(1+IF(AND(J$6&gt;0,$B27&lt;J$6),J$4,J$5)/12),2))</f>
        <v/>
      </c>
      <c r="AP27">
        <f>IF(K26&lt;=0,0,ROUND(K26*(1+IF(AND(K$6&gt;0,$B27&lt;K$6),K$4,K$5)/12),2))</f>
        <v/>
      </c>
      <c r="AQ27">
        <f>IF(L26&lt;=0,0,ROUND(L26*(1+IF(AND(L$6&gt;0,$B27&lt;L$6),L$4,L$5)/12),2))</f>
        <v/>
      </c>
      <c r="AR27">
        <f>IF(M26&lt;=0,0,ROUND(M26*(1+IF(AND(M$6&gt;0,$B27&lt;M$6),M$4,M$5)/12),2))</f>
        <v/>
      </c>
      <c r="AS27">
        <f>IF(N26&lt;=0,0,ROUND(N26*(1+IF(AND(N$6&gt;0,$B27&lt;N$6),N$4,N$5)/12),2))</f>
        <v/>
      </c>
    </row>
    <row r="28">
      <c r="A28" t="n">
        <v>17</v>
      </c>
      <c r="B28">
        <f>EDATE(Plan!$C$6,16)</f>
        <v/>
      </c>
      <c r="C28">
        <f>IF(C27&lt;=0,0,MAX(0,AH28-O28))</f>
        <v/>
      </c>
      <c r="D28">
        <f>IF(D27&lt;=0,0,MAX(0,AI28-P28))</f>
        <v/>
      </c>
      <c r="E28">
        <f>IF(E27&lt;=0,0,MAX(0,AJ28-Q28))</f>
        <v/>
      </c>
      <c r="F28">
        <f>IF(F27&lt;=0,0,MAX(0,AK28-R28))</f>
        <v/>
      </c>
      <c r="G28">
        <f>IF(G27&lt;=0,0,MAX(0,AL28-S28))</f>
        <v/>
      </c>
      <c r="H28">
        <f>IF(H27&lt;=0,0,MAX(0,AM28-T28))</f>
        <v/>
      </c>
      <c r="I28">
        <f>IF(I27&lt;=0,0,MAX(0,AN28-U28))</f>
        <v/>
      </c>
      <c r="J28">
        <f>IF(J27&lt;=0,0,MAX(0,AO28-V28))</f>
        <v/>
      </c>
      <c r="K28">
        <f>IF(K27&lt;=0,0,MAX(0,AP28-W28))</f>
        <v/>
      </c>
      <c r="L28">
        <f>IF(L27&lt;=0,0,MAX(0,AQ28-X28))</f>
        <v/>
      </c>
      <c r="M28">
        <f>IF(M27&lt;=0,0,MAX(0,AR28-Y28))</f>
        <v/>
      </c>
      <c r="N28">
        <f>IF(N27&lt;=0,0,MAX(0,AS28-Z28))</f>
        <v/>
      </c>
      <c r="O28">
        <f>IF(C27&lt;=0,0,MIN(AH28,C$7+IF(C$2=$AA28,$AC28,IF(C$2=$AF28,$AG28,0))))</f>
        <v/>
      </c>
      <c r="P28">
        <f>IF(D27&lt;=0,0,MIN(AI28,D$7+IF(D$2=$AA28,$AC28,IF(D$2=$AF28,$AG28,0))))</f>
        <v/>
      </c>
      <c r="Q28">
        <f>IF(E27&lt;=0,0,MIN(AJ28,E$7+IF(E$2=$AA28,$AC28,IF(E$2=$AF28,$AG28,0))))</f>
        <v/>
      </c>
      <c r="R28">
        <f>IF(F27&lt;=0,0,MIN(AK28,F$7+IF(F$2=$AA28,$AC28,IF(F$2=$AF28,$AG28,0))))</f>
        <v/>
      </c>
      <c r="S28">
        <f>IF(G27&lt;=0,0,MIN(AL28,G$7+IF(G$2=$AA28,$AC28,IF(G$2=$AF28,$AG28,0))))</f>
        <v/>
      </c>
      <c r="T28">
        <f>IF(H27&lt;=0,0,MIN(AM28,H$7+IF(H$2=$AA28,$AC28,IF(H$2=$AF28,$AG28,0))))</f>
        <v/>
      </c>
      <c r="U28">
        <f>IF(I27&lt;=0,0,MIN(AN28,I$7+IF(I$2=$AA28,$AC28,IF(I$2=$AF28,$AG28,0))))</f>
        <v/>
      </c>
      <c r="V28">
        <f>IF(J27&lt;=0,0,MIN(AO28,J$7+IF(J$2=$AA28,$AC28,IF(J$2=$AF28,$AG28,0))))</f>
        <v/>
      </c>
      <c r="W28">
        <f>IF(K27&lt;=0,0,MIN(AP28,K$7+IF(K$2=$AA28,$AC28,IF(K$2=$AF28,$AG28,0))))</f>
        <v/>
      </c>
      <c r="X28">
        <f>IF(L27&lt;=0,0,MIN(AQ28,L$7+IF(L$2=$AA28,$AC28,IF(L$2=$AF28,$AG28,0))))</f>
        <v/>
      </c>
      <c r="Y28">
        <f>IF(M27&lt;=0,0,MIN(AR28,M$7+IF(M$2=$AA28,$AC28,IF(M$2=$AF28,$AG28,0))))</f>
        <v/>
      </c>
      <c r="Z28">
        <f>IF(N27&lt;=0,0,MIN(AS28,N$7+IF(N$2=$AA28,$AC28,IF(N$2=$AF28,$AG28,0))))</f>
        <v/>
      </c>
      <c r="AA28">
        <f>IFERROR(ROUND(1/SUMPRODUCT(MAX((C27:N27&gt;0)*($C$3:$N$3&lt;=B28)/$C$2:$N$2)),0),0)</f>
        <v/>
      </c>
      <c r="AB28">
        <f>SUMPRODUCT((C27:N27&gt;0)*$C$7:$N$7)</f>
        <v/>
      </c>
      <c r="AC28">
        <f>MAX(0,Plan!$C$5-AB28)+IF(A28=Plan!$C$8,N(Plan!$C$7),0)</f>
        <v/>
      </c>
      <c r="AD28">
        <f>SUM(C28:N28)</f>
        <v/>
      </c>
      <c r="AE28">
        <f>SUM(O28:Z28)</f>
        <v/>
      </c>
      <c r="AF28">
        <f>IFERROR(ROUND(1/SUMPRODUCT(MAX((C27:N27&gt;0)*($C$3:$N$3&lt;=B28)*($C$2:$N$2&gt;AA28)/$C$2:$N$2)),0),0)</f>
        <v/>
      </c>
      <c r="AG28">
        <f>MAX(0,AC28-MAX(0,SUMPRODUCT(($C$2:$N$2=AA28)*(AH28:AS28-$C$7:$N$7))))</f>
        <v/>
      </c>
      <c r="AH28">
        <f>IF(C27&lt;=0,0,ROUND(C27*(1+IF(AND(C$6&gt;0,$B28&lt;C$6),C$4,C$5)/12),2))</f>
        <v/>
      </c>
      <c r="AI28">
        <f>IF(D27&lt;=0,0,ROUND(D27*(1+IF(AND(D$6&gt;0,$B28&lt;D$6),D$4,D$5)/12),2))</f>
        <v/>
      </c>
      <c r="AJ28">
        <f>IF(E27&lt;=0,0,ROUND(E27*(1+IF(AND(E$6&gt;0,$B28&lt;E$6),E$4,E$5)/12),2))</f>
        <v/>
      </c>
      <c r="AK28">
        <f>IF(F27&lt;=0,0,ROUND(F27*(1+IF(AND(F$6&gt;0,$B28&lt;F$6),F$4,F$5)/12),2))</f>
        <v/>
      </c>
      <c r="AL28">
        <f>IF(G27&lt;=0,0,ROUND(G27*(1+IF(AND(G$6&gt;0,$B28&lt;G$6),G$4,G$5)/12),2))</f>
        <v/>
      </c>
      <c r="AM28">
        <f>IF(H27&lt;=0,0,ROUND(H27*(1+IF(AND(H$6&gt;0,$B28&lt;H$6),H$4,H$5)/12),2))</f>
        <v/>
      </c>
      <c r="AN28">
        <f>IF(I27&lt;=0,0,ROUND(I27*(1+IF(AND(I$6&gt;0,$B28&lt;I$6),I$4,I$5)/12),2))</f>
        <v/>
      </c>
      <c r="AO28">
        <f>IF(J27&lt;=0,0,ROUND(J27*(1+IF(AND(J$6&gt;0,$B28&lt;J$6),J$4,J$5)/12),2))</f>
        <v/>
      </c>
      <c r="AP28">
        <f>IF(K27&lt;=0,0,ROUND(K27*(1+IF(AND(K$6&gt;0,$B28&lt;K$6),K$4,K$5)/12),2))</f>
        <v/>
      </c>
      <c r="AQ28">
        <f>IF(L27&lt;=0,0,ROUND(L27*(1+IF(AND(L$6&gt;0,$B28&lt;L$6),L$4,L$5)/12),2))</f>
        <v/>
      </c>
      <c r="AR28">
        <f>IF(M27&lt;=0,0,ROUND(M27*(1+IF(AND(M$6&gt;0,$B28&lt;M$6),M$4,M$5)/12),2))</f>
        <v/>
      </c>
      <c r="AS28">
        <f>IF(N27&lt;=0,0,ROUND(N27*(1+IF(AND(N$6&gt;0,$B28&lt;N$6),N$4,N$5)/12),2))</f>
        <v/>
      </c>
    </row>
    <row r="29">
      <c r="A29" t="n">
        <v>18</v>
      </c>
      <c r="B29">
        <f>EDATE(Plan!$C$6,17)</f>
        <v/>
      </c>
      <c r="C29">
        <f>IF(C28&lt;=0,0,MAX(0,AH29-O29))</f>
        <v/>
      </c>
      <c r="D29">
        <f>IF(D28&lt;=0,0,MAX(0,AI29-P29))</f>
        <v/>
      </c>
      <c r="E29">
        <f>IF(E28&lt;=0,0,MAX(0,AJ29-Q29))</f>
        <v/>
      </c>
      <c r="F29">
        <f>IF(F28&lt;=0,0,MAX(0,AK29-R29))</f>
        <v/>
      </c>
      <c r="G29">
        <f>IF(G28&lt;=0,0,MAX(0,AL29-S29))</f>
        <v/>
      </c>
      <c r="H29">
        <f>IF(H28&lt;=0,0,MAX(0,AM29-T29))</f>
        <v/>
      </c>
      <c r="I29">
        <f>IF(I28&lt;=0,0,MAX(0,AN29-U29))</f>
        <v/>
      </c>
      <c r="J29">
        <f>IF(J28&lt;=0,0,MAX(0,AO29-V29))</f>
        <v/>
      </c>
      <c r="K29">
        <f>IF(K28&lt;=0,0,MAX(0,AP29-W29))</f>
        <v/>
      </c>
      <c r="L29">
        <f>IF(L28&lt;=0,0,MAX(0,AQ29-X29))</f>
        <v/>
      </c>
      <c r="M29">
        <f>IF(M28&lt;=0,0,MAX(0,AR29-Y29))</f>
        <v/>
      </c>
      <c r="N29">
        <f>IF(N28&lt;=0,0,MAX(0,AS29-Z29))</f>
        <v/>
      </c>
      <c r="O29">
        <f>IF(C28&lt;=0,0,MIN(AH29,C$7+IF(C$2=$AA29,$AC29,IF(C$2=$AF29,$AG29,0))))</f>
        <v/>
      </c>
      <c r="P29">
        <f>IF(D28&lt;=0,0,MIN(AI29,D$7+IF(D$2=$AA29,$AC29,IF(D$2=$AF29,$AG29,0))))</f>
        <v/>
      </c>
      <c r="Q29">
        <f>IF(E28&lt;=0,0,MIN(AJ29,E$7+IF(E$2=$AA29,$AC29,IF(E$2=$AF29,$AG29,0))))</f>
        <v/>
      </c>
      <c r="R29">
        <f>IF(F28&lt;=0,0,MIN(AK29,F$7+IF(F$2=$AA29,$AC29,IF(F$2=$AF29,$AG29,0))))</f>
        <v/>
      </c>
      <c r="S29">
        <f>IF(G28&lt;=0,0,MIN(AL29,G$7+IF(G$2=$AA29,$AC29,IF(G$2=$AF29,$AG29,0))))</f>
        <v/>
      </c>
      <c r="T29">
        <f>IF(H28&lt;=0,0,MIN(AM29,H$7+IF(H$2=$AA29,$AC29,IF(H$2=$AF29,$AG29,0))))</f>
        <v/>
      </c>
      <c r="U29">
        <f>IF(I28&lt;=0,0,MIN(AN29,I$7+IF(I$2=$AA29,$AC29,IF(I$2=$AF29,$AG29,0))))</f>
        <v/>
      </c>
      <c r="V29">
        <f>IF(J28&lt;=0,0,MIN(AO29,J$7+IF(J$2=$AA29,$AC29,IF(J$2=$AF29,$AG29,0))))</f>
        <v/>
      </c>
      <c r="W29">
        <f>IF(K28&lt;=0,0,MIN(AP29,K$7+IF(K$2=$AA29,$AC29,IF(K$2=$AF29,$AG29,0))))</f>
        <v/>
      </c>
      <c r="X29">
        <f>IF(L28&lt;=0,0,MIN(AQ29,L$7+IF(L$2=$AA29,$AC29,IF(L$2=$AF29,$AG29,0))))</f>
        <v/>
      </c>
      <c r="Y29">
        <f>IF(M28&lt;=0,0,MIN(AR29,M$7+IF(M$2=$AA29,$AC29,IF(M$2=$AF29,$AG29,0))))</f>
        <v/>
      </c>
      <c r="Z29">
        <f>IF(N28&lt;=0,0,MIN(AS29,N$7+IF(N$2=$AA29,$AC29,IF(N$2=$AF29,$AG29,0))))</f>
        <v/>
      </c>
      <c r="AA29">
        <f>IFERROR(ROUND(1/SUMPRODUCT(MAX((C28:N28&gt;0)*($C$3:$N$3&lt;=B29)/$C$2:$N$2)),0),0)</f>
        <v/>
      </c>
      <c r="AB29">
        <f>SUMPRODUCT((C28:N28&gt;0)*$C$7:$N$7)</f>
        <v/>
      </c>
      <c r="AC29">
        <f>MAX(0,Plan!$C$5-AB29)+IF(A29=Plan!$C$8,N(Plan!$C$7),0)</f>
        <v/>
      </c>
      <c r="AD29">
        <f>SUM(C29:N29)</f>
        <v/>
      </c>
      <c r="AE29">
        <f>SUM(O29:Z29)</f>
        <v/>
      </c>
      <c r="AF29">
        <f>IFERROR(ROUND(1/SUMPRODUCT(MAX((C28:N28&gt;0)*($C$3:$N$3&lt;=B29)*($C$2:$N$2&gt;AA29)/$C$2:$N$2)),0),0)</f>
        <v/>
      </c>
      <c r="AG29">
        <f>MAX(0,AC29-MAX(0,SUMPRODUCT(($C$2:$N$2=AA29)*(AH29:AS29-$C$7:$N$7))))</f>
        <v/>
      </c>
      <c r="AH29">
        <f>IF(C28&lt;=0,0,ROUND(C28*(1+IF(AND(C$6&gt;0,$B29&lt;C$6),C$4,C$5)/12),2))</f>
        <v/>
      </c>
      <c r="AI29">
        <f>IF(D28&lt;=0,0,ROUND(D28*(1+IF(AND(D$6&gt;0,$B29&lt;D$6),D$4,D$5)/12),2))</f>
        <v/>
      </c>
      <c r="AJ29">
        <f>IF(E28&lt;=0,0,ROUND(E28*(1+IF(AND(E$6&gt;0,$B29&lt;E$6),E$4,E$5)/12),2))</f>
        <v/>
      </c>
      <c r="AK29">
        <f>IF(F28&lt;=0,0,ROUND(F28*(1+IF(AND(F$6&gt;0,$B29&lt;F$6),F$4,F$5)/12),2))</f>
        <v/>
      </c>
      <c r="AL29">
        <f>IF(G28&lt;=0,0,ROUND(G28*(1+IF(AND(G$6&gt;0,$B29&lt;G$6),G$4,G$5)/12),2))</f>
        <v/>
      </c>
      <c r="AM29">
        <f>IF(H28&lt;=0,0,ROUND(H28*(1+IF(AND(H$6&gt;0,$B29&lt;H$6),H$4,H$5)/12),2))</f>
        <v/>
      </c>
      <c r="AN29">
        <f>IF(I28&lt;=0,0,ROUND(I28*(1+IF(AND(I$6&gt;0,$B29&lt;I$6),I$4,I$5)/12),2))</f>
        <v/>
      </c>
      <c r="AO29">
        <f>IF(J28&lt;=0,0,ROUND(J28*(1+IF(AND(J$6&gt;0,$B29&lt;J$6),J$4,J$5)/12),2))</f>
        <v/>
      </c>
      <c r="AP29">
        <f>IF(K28&lt;=0,0,ROUND(K28*(1+IF(AND(K$6&gt;0,$B29&lt;K$6),K$4,K$5)/12),2))</f>
        <v/>
      </c>
      <c r="AQ29">
        <f>IF(L28&lt;=0,0,ROUND(L28*(1+IF(AND(L$6&gt;0,$B29&lt;L$6),L$4,L$5)/12),2))</f>
        <v/>
      </c>
      <c r="AR29">
        <f>IF(M28&lt;=0,0,ROUND(M28*(1+IF(AND(M$6&gt;0,$B29&lt;M$6),M$4,M$5)/12),2))</f>
        <v/>
      </c>
      <c r="AS29">
        <f>IF(N28&lt;=0,0,ROUND(N28*(1+IF(AND(N$6&gt;0,$B29&lt;N$6),N$4,N$5)/12),2))</f>
        <v/>
      </c>
    </row>
    <row r="30">
      <c r="A30" t="n">
        <v>19</v>
      </c>
      <c r="B30">
        <f>EDATE(Plan!$C$6,18)</f>
        <v/>
      </c>
      <c r="C30">
        <f>IF(C29&lt;=0,0,MAX(0,AH30-O30))</f>
        <v/>
      </c>
      <c r="D30">
        <f>IF(D29&lt;=0,0,MAX(0,AI30-P30))</f>
        <v/>
      </c>
      <c r="E30">
        <f>IF(E29&lt;=0,0,MAX(0,AJ30-Q30))</f>
        <v/>
      </c>
      <c r="F30">
        <f>IF(F29&lt;=0,0,MAX(0,AK30-R30))</f>
        <v/>
      </c>
      <c r="G30">
        <f>IF(G29&lt;=0,0,MAX(0,AL30-S30))</f>
        <v/>
      </c>
      <c r="H30">
        <f>IF(H29&lt;=0,0,MAX(0,AM30-T30))</f>
        <v/>
      </c>
      <c r="I30">
        <f>IF(I29&lt;=0,0,MAX(0,AN30-U30))</f>
        <v/>
      </c>
      <c r="J30">
        <f>IF(J29&lt;=0,0,MAX(0,AO30-V30))</f>
        <v/>
      </c>
      <c r="K30">
        <f>IF(K29&lt;=0,0,MAX(0,AP30-W30))</f>
        <v/>
      </c>
      <c r="L30">
        <f>IF(L29&lt;=0,0,MAX(0,AQ30-X30))</f>
        <v/>
      </c>
      <c r="M30">
        <f>IF(M29&lt;=0,0,MAX(0,AR30-Y30))</f>
        <v/>
      </c>
      <c r="N30">
        <f>IF(N29&lt;=0,0,MAX(0,AS30-Z30))</f>
        <v/>
      </c>
      <c r="O30">
        <f>IF(C29&lt;=0,0,MIN(AH30,C$7+IF(C$2=$AA30,$AC30,IF(C$2=$AF30,$AG30,0))))</f>
        <v/>
      </c>
      <c r="P30">
        <f>IF(D29&lt;=0,0,MIN(AI30,D$7+IF(D$2=$AA30,$AC30,IF(D$2=$AF30,$AG30,0))))</f>
        <v/>
      </c>
      <c r="Q30">
        <f>IF(E29&lt;=0,0,MIN(AJ30,E$7+IF(E$2=$AA30,$AC30,IF(E$2=$AF30,$AG30,0))))</f>
        <v/>
      </c>
      <c r="R30">
        <f>IF(F29&lt;=0,0,MIN(AK30,F$7+IF(F$2=$AA30,$AC30,IF(F$2=$AF30,$AG30,0))))</f>
        <v/>
      </c>
      <c r="S30">
        <f>IF(G29&lt;=0,0,MIN(AL30,G$7+IF(G$2=$AA30,$AC30,IF(G$2=$AF30,$AG30,0))))</f>
        <v/>
      </c>
      <c r="T30">
        <f>IF(H29&lt;=0,0,MIN(AM30,H$7+IF(H$2=$AA30,$AC30,IF(H$2=$AF30,$AG30,0))))</f>
        <v/>
      </c>
      <c r="U30">
        <f>IF(I29&lt;=0,0,MIN(AN30,I$7+IF(I$2=$AA30,$AC30,IF(I$2=$AF30,$AG30,0))))</f>
        <v/>
      </c>
      <c r="V30">
        <f>IF(J29&lt;=0,0,MIN(AO30,J$7+IF(J$2=$AA30,$AC30,IF(J$2=$AF30,$AG30,0))))</f>
        <v/>
      </c>
      <c r="W30">
        <f>IF(K29&lt;=0,0,MIN(AP30,K$7+IF(K$2=$AA30,$AC30,IF(K$2=$AF30,$AG30,0))))</f>
        <v/>
      </c>
      <c r="X30">
        <f>IF(L29&lt;=0,0,MIN(AQ30,L$7+IF(L$2=$AA30,$AC30,IF(L$2=$AF30,$AG30,0))))</f>
        <v/>
      </c>
      <c r="Y30">
        <f>IF(M29&lt;=0,0,MIN(AR30,M$7+IF(M$2=$AA30,$AC30,IF(M$2=$AF30,$AG30,0))))</f>
        <v/>
      </c>
      <c r="Z30">
        <f>IF(N29&lt;=0,0,MIN(AS30,N$7+IF(N$2=$AA30,$AC30,IF(N$2=$AF30,$AG30,0))))</f>
        <v/>
      </c>
      <c r="AA30">
        <f>IFERROR(ROUND(1/SUMPRODUCT(MAX((C29:N29&gt;0)*($C$3:$N$3&lt;=B30)/$C$2:$N$2)),0),0)</f>
        <v/>
      </c>
      <c r="AB30">
        <f>SUMPRODUCT((C29:N29&gt;0)*$C$7:$N$7)</f>
        <v/>
      </c>
      <c r="AC30">
        <f>MAX(0,Plan!$C$5-AB30)+IF(A30=Plan!$C$8,N(Plan!$C$7),0)</f>
        <v/>
      </c>
      <c r="AD30">
        <f>SUM(C30:N30)</f>
        <v/>
      </c>
      <c r="AE30">
        <f>SUM(O30:Z30)</f>
        <v/>
      </c>
      <c r="AF30">
        <f>IFERROR(ROUND(1/SUMPRODUCT(MAX((C29:N29&gt;0)*($C$3:$N$3&lt;=B30)*($C$2:$N$2&gt;AA30)/$C$2:$N$2)),0),0)</f>
        <v/>
      </c>
      <c r="AG30">
        <f>MAX(0,AC30-MAX(0,SUMPRODUCT(($C$2:$N$2=AA30)*(AH30:AS30-$C$7:$N$7))))</f>
        <v/>
      </c>
      <c r="AH30">
        <f>IF(C29&lt;=0,0,ROUND(C29*(1+IF(AND(C$6&gt;0,$B30&lt;C$6),C$4,C$5)/12),2))</f>
        <v/>
      </c>
      <c r="AI30">
        <f>IF(D29&lt;=0,0,ROUND(D29*(1+IF(AND(D$6&gt;0,$B30&lt;D$6),D$4,D$5)/12),2))</f>
        <v/>
      </c>
      <c r="AJ30">
        <f>IF(E29&lt;=0,0,ROUND(E29*(1+IF(AND(E$6&gt;0,$B30&lt;E$6),E$4,E$5)/12),2))</f>
        <v/>
      </c>
      <c r="AK30">
        <f>IF(F29&lt;=0,0,ROUND(F29*(1+IF(AND(F$6&gt;0,$B30&lt;F$6),F$4,F$5)/12),2))</f>
        <v/>
      </c>
      <c r="AL30">
        <f>IF(G29&lt;=0,0,ROUND(G29*(1+IF(AND(G$6&gt;0,$B30&lt;G$6),G$4,G$5)/12),2))</f>
        <v/>
      </c>
      <c r="AM30">
        <f>IF(H29&lt;=0,0,ROUND(H29*(1+IF(AND(H$6&gt;0,$B30&lt;H$6),H$4,H$5)/12),2))</f>
        <v/>
      </c>
      <c r="AN30">
        <f>IF(I29&lt;=0,0,ROUND(I29*(1+IF(AND(I$6&gt;0,$B30&lt;I$6),I$4,I$5)/12),2))</f>
        <v/>
      </c>
      <c r="AO30">
        <f>IF(J29&lt;=0,0,ROUND(J29*(1+IF(AND(J$6&gt;0,$B30&lt;J$6),J$4,J$5)/12),2))</f>
        <v/>
      </c>
      <c r="AP30">
        <f>IF(K29&lt;=0,0,ROUND(K29*(1+IF(AND(K$6&gt;0,$B30&lt;K$6),K$4,K$5)/12),2))</f>
        <v/>
      </c>
      <c r="AQ30">
        <f>IF(L29&lt;=0,0,ROUND(L29*(1+IF(AND(L$6&gt;0,$B30&lt;L$6),L$4,L$5)/12),2))</f>
        <v/>
      </c>
      <c r="AR30">
        <f>IF(M29&lt;=0,0,ROUND(M29*(1+IF(AND(M$6&gt;0,$B30&lt;M$6),M$4,M$5)/12),2))</f>
        <v/>
      </c>
      <c r="AS30">
        <f>IF(N29&lt;=0,0,ROUND(N29*(1+IF(AND(N$6&gt;0,$B30&lt;N$6),N$4,N$5)/12),2))</f>
        <v/>
      </c>
    </row>
    <row r="31">
      <c r="A31" t="n">
        <v>20</v>
      </c>
      <c r="B31">
        <f>EDATE(Plan!$C$6,19)</f>
        <v/>
      </c>
      <c r="C31">
        <f>IF(C30&lt;=0,0,MAX(0,AH31-O31))</f>
        <v/>
      </c>
      <c r="D31">
        <f>IF(D30&lt;=0,0,MAX(0,AI31-P31))</f>
        <v/>
      </c>
      <c r="E31">
        <f>IF(E30&lt;=0,0,MAX(0,AJ31-Q31))</f>
        <v/>
      </c>
      <c r="F31">
        <f>IF(F30&lt;=0,0,MAX(0,AK31-R31))</f>
        <v/>
      </c>
      <c r="G31">
        <f>IF(G30&lt;=0,0,MAX(0,AL31-S31))</f>
        <v/>
      </c>
      <c r="H31">
        <f>IF(H30&lt;=0,0,MAX(0,AM31-T31))</f>
        <v/>
      </c>
      <c r="I31">
        <f>IF(I30&lt;=0,0,MAX(0,AN31-U31))</f>
        <v/>
      </c>
      <c r="J31">
        <f>IF(J30&lt;=0,0,MAX(0,AO31-V31))</f>
        <v/>
      </c>
      <c r="K31">
        <f>IF(K30&lt;=0,0,MAX(0,AP31-W31))</f>
        <v/>
      </c>
      <c r="L31">
        <f>IF(L30&lt;=0,0,MAX(0,AQ31-X31))</f>
        <v/>
      </c>
      <c r="M31">
        <f>IF(M30&lt;=0,0,MAX(0,AR31-Y31))</f>
        <v/>
      </c>
      <c r="N31">
        <f>IF(N30&lt;=0,0,MAX(0,AS31-Z31))</f>
        <v/>
      </c>
      <c r="O31">
        <f>IF(C30&lt;=0,0,MIN(AH31,C$7+IF(C$2=$AA31,$AC31,IF(C$2=$AF31,$AG31,0))))</f>
        <v/>
      </c>
      <c r="P31">
        <f>IF(D30&lt;=0,0,MIN(AI31,D$7+IF(D$2=$AA31,$AC31,IF(D$2=$AF31,$AG31,0))))</f>
        <v/>
      </c>
      <c r="Q31">
        <f>IF(E30&lt;=0,0,MIN(AJ31,E$7+IF(E$2=$AA31,$AC31,IF(E$2=$AF31,$AG31,0))))</f>
        <v/>
      </c>
      <c r="R31">
        <f>IF(F30&lt;=0,0,MIN(AK31,F$7+IF(F$2=$AA31,$AC31,IF(F$2=$AF31,$AG31,0))))</f>
        <v/>
      </c>
      <c r="S31">
        <f>IF(G30&lt;=0,0,MIN(AL31,G$7+IF(G$2=$AA31,$AC31,IF(G$2=$AF31,$AG31,0))))</f>
        <v/>
      </c>
      <c r="T31">
        <f>IF(H30&lt;=0,0,MIN(AM31,H$7+IF(H$2=$AA31,$AC31,IF(H$2=$AF31,$AG31,0))))</f>
        <v/>
      </c>
      <c r="U31">
        <f>IF(I30&lt;=0,0,MIN(AN31,I$7+IF(I$2=$AA31,$AC31,IF(I$2=$AF31,$AG31,0))))</f>
        <v/>
      </c>
      <c r="V31">
        <f>IF(J30&lt;=0,0,MIN(AO31,J$7+IF(J$2=$AA31,$AC31,IF(J$2=$AF31,$AG31,0))))</f>
        <v/>
      </c>
      <c r="W31">
        <f>IF(K30&lt;=0,0,MIN(AP31,K$7+IF(K$2=$AA31,$AC31,IF(K$2=$AF31,$AG31,0))))</f>
        <v/>
      </c>
      <c r="X31">
        <f>IF(L30&lt;=0,0,MIN(AQ31,L$7+IF(L$2=$AA31,$AC31,IF(L$2=$AF31,$AG31,0))))</f>
        <v/>
      </c>
      <c r="Y31">
        <f>IF(M30&lt;=0,0,MIN(AR31,M$7+IF(M$2=$AA31,$AC31,IF(M$2=$AF31,$AG31,0))))</f>
        <v/>
      </c>
      <c r="Z31">
        <f>IF(N30&lt;=0,0,MIN(AS31,N$7+IF(N$2=$AA31,$AC31,IF(N$2=$AF31,$AG31,0))))</f>
        <v/>
      </c>
      <c r="AA31">
        <f>IFERROR(ROUND(1/SUMPRODUCT(MAX((C30:N30&gt;0)*($C$3:$N$3&lt;=B31)/$C$2:$N$2)),0),0)</f>
        <v/>
      </c>
      <c r="AB31">
        <f>SUMPRODUCT((C30:N30&gt;0)*$C$7:$N$7)</f>
        <v/>
      </c>
      <c r="AC31">
        <f>MAX(0,Plan!$C$5-AB31)+IF(A31=Plan!$C$8,N(Plan!$C$7),0)</f>
        <v/>
      </c>
      <c r="AD31">
        <f>SUM(C31:N31)</f>
        <v/>
      </c>
      <c r="AE31">
        <f>SUM(O31:Z31)</f>
        <v/>
      </c>
      <c r="AF31">
        <f>IFERROR(ROUND(1/SUMPRODUCT(MAX((C30:N30&gt;0)*($C$3:$N$3&lt;=B31)*($C$2:$N$2&gt;AA31)/$C$2:$N$2)),0),0)</f>
        <v/>
      </c>
      <c r="AG31">
        <f>MAX(0,AC31-MAX(0,SUMPRODUCT(($C$2:$N$2=AA31)*(AH31:AS31-$C$7:$N$7))))</f>
        <v/>
      </c>
      <c r="AH31">
        <f>IF(C30&lt;=0,0,ROUND(C30*(1+IF(AND(C$6&gt;0,$B31&lt;C$6),C$4,C$5)/12),2))</f>
        <v/>
      </c>
      <c r="AI31">
        <f>IF(D30&lt;=0,0,ROUND(D30*(1+IF(AND(D$6&gt;0,$B31&lt;D$6),D$4,D$5)/12),2))</f>
        <v/>
      </c>
      <c r="AJ31">
        <f>IF(E30&lt;=0,0,ROUND(E30*(1+IF(AND(E$6&gt;0,$B31&lt;E$6),E$4,E$5)/12),2))</f>
        <v/>
      </c>
      <c r="AK31">
        <f>IF(F30&lt;=0,0,ROUND(F30*(1+IF(AND(F$6&gt;0,$B31&lt;F$6),F$4,F$5)/12),2))</f>
        <v/>
      </c>
      <c r="AL31">
        <f>IF(G30&lt;=0,0,ROUND(G30*(1+IF(AND(G$6&gt;0,$B31&lt;G$6),G$4,G$5)/12),2))</f>
        <v/>
      </c>
      <c r="AM31">
        <f>IF(H30&lt;=0,0,ROUND(H30*(1+IF(AND(H$6&gt;0,$B31&lt;H$6),H$4,H$5)/12),2))</f>
        <v/>
      </c>
      <c r="AN31">
        <f>IF(I30&lt;=0,0,ROUND(I30*(1+IF(AND(I$6&gt;0,$B31&lt;I$6),I$4,I$5)/12),2))</f>
        <v/>
      </c>
      <c r="AO31">
        <f>IF(J30&lt;=0,0,ROUND(J30*(1+IF(AND(J$6&gt;0,$B31&lt;J$6),J$4,J$5)/12),2))</f>
        <v/>
      </c>
      <c r="AP31">
        <f>IF(K30&lt;=0,0,ROUND(K30*(1+IF(AND(K$6&gt;0,$B31&lt;K$6),K$4,K$5)/12),2))</f>
        <v/>
      </c>
      <c r="AQ31">
        <f>IF(L30&lt;=0,0,ROUND(L30*(1+IF(AND(L$6&gt;0,$B31&lt;L$6),L$4,L$5)/12),2))</f>
        <v/>
      </c>
      <c r="AR31">
        <f>IF(M30&lt;=0,0,ROUND(M30*(1+IF(AND(M$6&gt;0,$B31&lt;M$6),M$4,M$5)/12),2))</f>
        <v/>
      </c>
      <c r="AS31">
        <f>IF(N30&lt;=0,0,ROUND(N30*(1+IF(AND(N$6&gt;0,$B31&lt;N$6),N$4,N$5)/12),2))</f>
        <v/>
      </c>
    </row>
    <row r="32">
      <c r="A32" t="n">
        <v>21</v>
      </c>
      <c r="B32">
        <f>EDATE(Plan!$C$6,20)</f>
        <v/>
      </c>
      <c r="C32">
        <f>IF(C31&lt;=0,0,MAX(0,AH32-O32))</f>
        <v/>
      </c>
      <c r="D32">
        <f>IF(D31&lt;=0,0,MAX(0,AI32-P32))</f>
        <v/>
      </c>
      <c r="E32">
        <f>IF(E31&lt;=0,0,MAX(0,AJ32-Q32))</f>
        <v/>
      </c>
      <c r="F32">
        <f>IF(F31&lt;=0,0,MAX(0,AK32-R32))</f>
        <v/>
      </c>
      <c r="G32">
        <f>IF(G31&lt;=0,0,MAX(0,AL32-S32))</f>
        <v/>
      </c>
      <c r="H32">
        <f>IF(H31&lt;=0,0,MAX(0,AM32-T32))</f>
        <v/>
      </c>
      <c r="I32">
        <f>IF(I31&lt;=0,0,MAX(0,AN32-U32))</f>
        <v/>
      </c>
      <c r="J32">
        <f>IF(J31&lt;=0,0,MAX(0,AO32-V32))</f>
        <v/>
      </c>
      <c r="K32">
        <f>IF(K31&lt;=0,0,MAX(0,AP32-W32))</f>
        <v/>
      </c>
      <c r="L32">
        <f>IF(L31&lt;=0,0,MAX(0,AQ32-X32))</f>
        <v/>
      </c>
      <c r="M32">
        <f>IF(M31&lt;=0,0,MAX(0,AR32-Y32))</f>
        <v/>
      </c>
      <c r="N32">
        <f>IF(N31&lt;=0,0,MAX(0,AS32-Z32))</f>
        <v/>
      </c>
      <c r="O32">
        <f>IF(C31&lt;=0,0,MIN(AH32,C$7+IF(C$2=$AA32,$AC32,IF(C$2=$AF32,$AG32,0))))</f>
        <v/>
      </c>
      <c r="P32">
        <f>IF(D31&lt;=0,0,MIN(AI32,D$7+IF(D$2=$AA32,$AC32,IF(D$2=$AF32,$AG32,0))))</f>
        <v/>
      </c>
      <c r="Q32">
        <f>IF(E31&lt;=0,0,MIN(AJ32,E$7+IF(E$2=$AA32,$AC32,IF(E$2=$AF32,$AG32,0))))</f>
        <v/>
      </c>
      <c r="R32">
        <f>IF(F31&lt;=0,0,MIN(AK32,F$7+IF(F$2=$AA32,$AC32,IF(F$2=$AF32,$AG32,0))))</f>
        <v/>
      </c>
      <c r="S32">
        <f>IF(G31&lt;=0,0,MIN(AL32,G$7+IF(G$2=$AA32,$AC32,IF(G$2=$AF32,$AG32,0))))</f>
        <v/>
      </c>
      <c r="T32">
        <f>IF(H31&lt;=0,0,MIN(AM32,H$7+IF(H$2=$AA32,$AC32,IF(H$2=$AF32,$AG32,0))))</f>
        <v/>
      </c>
      <c r="U32">
        <f>IF(I31&lt;=0,0,MIN(AN32,I$7+IF(I$2=$AA32,$AC32,IF(I$2=$AF32,$AG32,0))))</f>
        <v/>
      </c>
      <c r="V32">
        <f>IF(J31&lt;=0,0,MIN(AO32,J$7+IF(J$2=$AA32,$AC32,IF(J$2=$AF32,$AG32,0))))</f>
        <v/>
      </c>
      <c r="W32">
        <f>IF(K31&lt;=0,0,MIN(AP32,K$7+IF(K$2=$AA32,$AC32,IF(K$2=$AF32,$AG32,0))))</f>
        <v/>
      </c>
      <c r="X32">
        <f>IF(L31&lt;=0,0,MIN(AQ32,L$7+IF(L$2=$AA32,$AC32,IF(L$2=$AF32,$AG32,0))))</f>
        <v/>
      </c>
      <c r="Y32">
        <f>IF(M31&lt;=0,0,MIN(AR32,M$7+IF(M$2=$AA32,$AC32,IF(M$2=$AF32,$AG32,0))))</f>
        <v/>
      </c>
      <c r="Z32">
        <f>IF(N31&lt;=0,0,MIN(AS32,N$7+IF(N$2=$AA32,$AC32,IF(N$2=$AF32,$AG32,0))))</f>
        <v/>
      </c>
      <c r="AA32">
        <f>IFERROR(ROUND(1/SUMPRODUCT(MAX((C31:N31&gt;0)*($C$3:$N$3&lt;=B32)/$C$2:$N$2)),0),0)</f>
        <v/>
      </c>
      <c r="AB32">
        <f>SUMPRODUCT((C31:N31&gt;0)*$C$7:$N$7)</f>
        <v/>
      </c>
      <c r="AC32">
        <f>MAX(0,Plan!$C$5-AB32)+IF(A32=Plan!$C$8,N(Plan!$C$7),0)</f>
        <v/>
      </c>
      <c r="AD32">
        <f>SUM(C32:N32)</f>
        <v/>
      </c>
      <c r="AE32">
        <f>SUM(O32:Z32)</f>
        <v/>
      </c>
      <c r="AF32">
        <f>IFERROR(ROUND(1/SUMPRODUCT(MAX((C31:N31&gt;0)*($C$3:$N$3&lt;=B32)*($C$2:$N$2&gt;AA32)/$C$2:$N$2)),0),0)</f>
        <v/>
      </c>
      <c r="AG32">
        <f>MAX(0,AC32-MAX(0,SUMPRODUCT(($C$2:$N$2=AA32)*(AH32:AS32-$C$7:$N$7))))</f>
        <v/>
      </c>
      <c r="AH32">
        <f>IF(C31&lt;=0,0,ROUND(C31*(1+IF(AND(C$6&gt;0,$B32&lt;C$6),C$4,C$5)/12),2))</f>
        <v/>
      </c>
      <c r="AI32">
        <f>IF(D31&lt;=0,0,ROUND(D31*(1+IF(AND(D$6&gt;0,$B32&lt;D$6),D$4,D$5)/12),2))</f>
        <v/>
      </c>
      <c r="AJ32">
        <f>IF(E31&lt;=0,0,ROUND(E31*(1+IF(AND(E$6&gt;0,$B32&lt;E$6),E$4,E$5)/12),2))</f>
        <v/>
      </c>
      <c r="AK32">
        <f>IF(F31&lt;=0,0,ROUND(F31*(1+IF(AND(F$6&gt;0,$B32&lt;F$6),F$4,F$5)/12),2))</f>
        <v/>
      </c>
      <c r="AL32">
        <f>IF(G31&lt;=0,0,ROUND(G31*(1+IF(AND(G$6&gt;0,$B32&lt;G$6),G$4,G$5)/12),2))</f>
        <v/>
      </c>
      <c r="AM32">
        <f>IF(H31&lt;=0,0,ROUND(H31*(1+IF(AND(H$6&gt;0,$B32&lt;H$6),H$4,H$5)/12),2))</f>
        <v/>
      </c>
      <c r="AN32">
        <f>IF(I31&lt;=0,0,ROUND(I31*(1+IF(AND(I$6&gt;0,$B32&lt;I$6),I$4,I$5)/12),2))</f>
        <v/>
      </c>
      <c r="AO32">
        <f>IF(J31&lt;=0,0,ROUND(J31*(1+IF(AND(J$6&gt;0,$B32&lt;J$6),J$4,J$5)/12),2))</f>
        <v/>
      </c>
      <c r="AP32">
        <f>IF(K31&lt;=0,0,ROUND(K31*(1+IF(AND(K$6&gt;0,$B32&lt;K$6),K$4,K$5)/12),2))</f>
        <v/>
      </c>
      <c r="AQ32">
        <f>IF(L31&lt;=0,0,ROUND(L31*(1+IF(AND(L$6&gt;0,$B32&lt;L$6),L$4,L$5)/12),2))</f>
        <v/>
      </c>
      <c r="AR32">
        <f>IF(M31&lt;=0,0,ROUND(M31*(1+IF(AND(M$6&gt;0,$B32&lt;M$6),M$4,M$5)/12),2))</f>
        <v/>
      </c>
      <c r="AS32">
        <f>IF(N31&lt;=0,0,ROUND(N31*(1+IF(AND(N$6&gt;0,$B32&lt;N$6),N$4,N$5)/12),2))</f>
        <v/>
      </c>
    </row>
    <row r="33">
      <c r="A33" t="n">
        <v>22</v>
      </c>
      <c r="B33">
        <f>EDATE(Plan!$C$6,21)</f>
        <v/>
      </c>
      <c r="C33">
        <f>IF(C32&lt;=0,0,MAX(0,AH33-O33))</f>
        <v/>
      </c>
      <c r="D33">
        <f>IF(D32&lt;=0,0,MAX(0,AI33-P33))</f>
        <v/>
      </c>
      <c r="E33">
        <f>IF(E32&lt;=0,0,MAX(0,AJ33-Q33))</f>
        <v/>
      </c>
      <c r="F33">
        <f>IF(F32&lt;=0,0,MAX(0,AK33-R33))</f>
        <v/>
      </c>
      <c r="G33">
        <f>IF(G32&lt;=0,0,MAX(0,AL33-S33))</f>
        <v/>
      </c>
      <c r="H33">
        <f>IF(H32&lt;=0,0,MAX(0,AM33-T33))</f>
        <v/>
      </c>
      <c r="I33">
        <f>IF(I32&lt;=0,0,MAX(0,AN33-U33))</f>
        <v/>
      </c>
      <c r="J33">
        <f>IF(J32&lt;=0,0,MAX(0,AO33-V33))</f>
        <v/>
      </c>
      <c r="K33">
        <f>IF(K32&lt;=0,0,MAX(0,AP33-W33))</f>
        <v/>
      </c>
      <c r="L33">
        <f>IF(L32&lt;=0,0,MAX(0,AQ33-X33))</f>
        <v/>
      </c>
      <c r="M33">
        <f>IF(M32&lt;=0,0,MAX(0,AR33-Y33))</f>
        <v/>
      </c>
      <c r="N33">
        <f>IF(N32&lt;=0,0,MAX(0,AS33-Z33))</f>
        <v/>
      </c>
      <c r="O33">
        <f>IF(C32&lt;=0,0,MIN(AH33,C$7+IF(C$2=$AA33,$AC33,IF(C$2=$AF33,$AG33,0))))</f>
        <v/>
      </c>
      <c r="P33">
        <f>IF(D32&lt;=0,0,MIN(AI33,D$7+IF(D$2=$AA33,$AC33,IF(D$2=$AF33,$AG33,0))))</f>
        <v/>
      </c>
      <c r="Q33">
        <f>IF(E32&lt;=0,0,MIN(AJ33,E$7+IF(E$2=$AA33,$AC33,IF(E$2=$AF33,$AG33,0))))</f>
        <v/>
      </c>
      <c r="R33">
        <f>IF(F32&lt;=0,0,MIN(AK33,F$7+IF(F$2=$AA33,$AC33,IF(F$2=$AF33,$AG33,0))))</f>
        <v/>
      </c>
      <c r="S33">
        <f>IF(G32&lt;=0,0,MIN(AL33,G$7+IF(G$2=$AA33,$AC33,IF(G$2=$AF33,$AG33,0))))</f>
        <v/>
      </c>
      <c r="T33">
        <f>IF(H32&lt;=0,0,MIN(AM33,H$7+IF(H$2=$AA33,$AC33,IF(H$2=$AF33,$AG33,0))))</f>
        <v/>
      </c>
      <c r="U33">
        <f>IF(I32&lt;=0,0,MIN(AN33,I$7+IF(I$2=$AA33,$AC33,IF(I$2=$AF33,$AG33,0))))</f>
        <v/>
      </c>
      <c r="V33">
        <f>IF(J32&lt;=0,0,MIN(AO33,J$7+IF(J$2=$AA33,$AC33,IF(J$2=$AF33,$AG33,0))))</f>
        <v/>
      </c>
      <c r="W33">
        <f>IF(K32&lt;=0,0,MIN(AP33,K$7+IF(K$2=$AA33,$AC33,IF(K$2=$AF33,$AG33,0))))</f>
        <v/>
      </c>
      <c r="X33">
        <f>IF(L32&lt;=0,0,MIN(AQ33,L$7+IF(L$2=$AA33,$AC33,IF(L$2=$AF33,$AG33,0))))</f>
        <v/>
      </c>
      <c r="Y33">
        <f>IF(M32&lt;=0,0,MIN(AR33,M$7+IF(M$2=$AA33,$AC33,IF(M$2=$AF33,$AG33,0))))</f>
        <v/>
      </c>
      <c r="Z33">
        <f>IF(N32&lt;=0,0,MIN(AS33,N$7+IF(N$2=$AA33,$AC33,IF(N$2=$AF33,$AG33,0))))</f>
        <v/>
      </c>
      <c r="AA33">
        <f>IFERROR(ROUND(1/SUMPRODUCT(MAX((C32:N32&gt;0)*($C$3:$N$3&lt;=B33)/$C$2:$N$2)),0),0)</f>
        <v/>
      </c>
      <c r="AB33">
        <f>SUMPRODUCT((C32:N32&gt;0)*$C$7:$N$7)</f>
        <v/>
      </c>
      <c r="AC33">
        <f>MAX(0,Plan!$C$5-AB33)+IF(A33=Plan!$C$8,N(Plan!$C$7),0)</f>
        <v/>
      </c>
      <c r="AD33">
        <f>SUM(C33:N33)</f>
        <v/>
      </c>
      <c r="AE33">
        <f>SUM(O33:Z33)</f>
        <v/>
      </c>
      <c r="AF33">
        <f>IFERROR(ROUND(1/SUMPRODUCT(MAX((C32:N32&gt;0)*($C$3:$N$3&lt;=B33)*($C$2:$N$2&gt;AA33)/$C$2:$N$2)),0),0)</f>
        <v/>
      </c>
      <c r="AG33">
        <f>MAX(0,AC33-MAX(0,SUMPRODUCT(($C$2:$N$2=AA33)*(AH33:AS33-$C$7:$N$7))))</f>
        <v/>
      </c>
      <c r="AH33">
        <f>IF(C32&lt;=0,0,ROUND(C32*(1+IF(AND(C$6&gt;0,$B33&lt;C$6),C$4,C$5)/12),2))</f>
        <v/>
      </c>
      <c r="AI33">
        <f>IF(D32&lt;=0,0,ROUND(D32*(1+IF(AND(D$6&gt;0,$B33&lt;D$6),D$4,D$5)/12),2))</f>
        <v/>
      </c>
      <c r="AJ33">
        <f>IF(E32&lt;=0,0,ROUND(E32*(1+IF(AND(E$6&gt;0,$B33&lt;E$6),E$4,E$5)/12),2))</f>
        <v/>
      </c>
      <c r="AK33">
        <f>IF(F32&lt;=0,0,ROUND(F32*(1+IF(AND(F$6&gt;0,$B33&lt;F$6),F$4,F$5)/12),2))</f>
        <v/>
      </c>
      <c r="AL33">
        <f>IF(G32&lt;=0,0,ROUND(G32*(1+IF(AND(G$6&gt;0,$B33&lt;G$6),G$4,G$5)/12),2))</f>
        <v/>
      </c>
      <c r="AM33">
        <f>IF(H32&lt;=0,0,ROUND(H32*(1+IF(AND(H$6&gt;0,$B33&lt;H$6),H$4,H$5)/12),2))</f>
        <v/>
      </c>
      <c r="AN33">
        <f>IF(I32&lt;=0,0,ROUND(I32*(1+IF(AND(I$6&gt;0,$B33&lt;I$6),I$4,I$5)/12),2))</f>
        <v/>
      </c>
      <c r="AO33">
        <f>IF(J32&lt;=0,0,ROUND(J32*(1+IF(AND(J$6&gt;0,$B33&lt;J$6),J$4,J$5)/12),2))</f>
        <v/>
      </c>
      <c r="AP33">
        <f>IF(K32&lt;=0,0,ROUND(K32*(1+IF(AND(K$6&gt;0,$B33&lt;K$6),K$4,K$5)/12),2))</f>
        <v/>
      </c>
      <c r="AQ33">
        <f>IF(L32&lt;=0,0,ROUND(L32*(1+IF(AND(L$6&gt;0,$B33&lt;L$6),L$4,L$5)/12),2))</f>
        <v/>
      </c>
      <c r="AR33">
        <f>IF(M32&lt;=0,0,ROUND(M32*(1+IF(AND(M$6&gt;0,$B33&lt;M$6),M$4,M$5)/12),2))</f>
        <v/>
      </c>
      <c r="AS33">
        <f>IF(N32&lt;=0,0,ROUND(N32*(1+IF(AND(N$6&gt;0,$B33&lt;N$6),N$4,N$5)/12),2))</f>
        <v/>
      </c>
    </row>
    <row r="34">
      <c r="A34" t="n">
        <v>23</v>
      </c>
      <c r="B34">
        <f>EDATE(Plan!$C$6,22)</f>
        <v/>
      </c>
      <c r="C34">
        <f>IF(C33&lt;=0,0,MAX(0,AH34-O34))</f>
        <v/>
      </c>
      <c r="D34">
        <f>IF(D33&lt;=0,0,MAX(0,AI34-P34))</f>
        <v/>
      </c>
      <c r="E34">
        <f>IF(E33&lt;=0,0,MAX(0,AJ34-Q34))</f>
        <v/>
      </c>
      <c r="F34">
        <f>IF(F33&lt;=0,0,MAX(0,AK34-R34))</f>
        <v/>
      </c>
      <c r="G34">
        <f>IF(G33&lt;=0,0,MAX(0,AL34-S34))</f>
        <v/>
      </c>
      <c r="H34">
        <f>IF(H33&lt;=0,0,MAX(0,AM34-T34))</f>
        <v/>
      </c>
      <c r="I34">
        <f>IF(I33&lt;=0,0,MAX(0,AN34-U34))</f>
        <v/>
      </c>
      <c r="J34">
        <f>IF(J33&lt;=0,0,MAX(0,AO34-V34))</f>
        <v/>
      </c>
      <c r="K34">
        <f>IF(K33&lt;=0,0,MAX(0,AP34-W34))</f>
        <v/>
      </c>
      <c r="L34">
        <f>IF(L33&lt;=0,0,MAX(0,AQ34-X34))</f>
        <v/>
      </c>
      <c r="M34">
        <f>IF(M33&lt;=0,0,MAX(0,AR34-Y34))</f>
        <v/>
      </c>
      <c r="N34">
        <f>IF(N33&lt;=0,0,MAX(0,AS34-Z34))</f>
        <v/>
      </c>
      <c r="O34">
        <f>IF(C33&lt;=0,0,MIN(AH34,C$7+IF(C$2=$AA34,$AC34,IF(C$2=$AF34,$AG34,0))))</f>
        <v/>
      </c>
      <c r="P34">
        <f>IF(D33&lt;=0,0,MIN(AI34,D$7+IF(D$2=$AA34,$AC34,IF(D$2=$AF34,$AG34,0))))</f>
        <v/>
      </c>
      <c r="Q34">
        <f>IF(E33&lt;=0,0,MIN(AJ34,E$7+IF(E$2=$AA34,$AC34,IF(E$2=$AF34,$AG34,0))))</f>
        <v/>
      </c>
      <c r="R34">
        <f>IF(F33&lt;=0,0,MIN(AK34,F$7+IF(F$2=$AA34,$AC34,IF(F$2=$AF34,$AG34,0))))</f>
        <v/>
      </c>
      <c r="S34">
        <f>IF(G33&lt;=0,0,MIN(AL34,G$7+IF(G$2=$AA34,$AC34,IF(G$2=$AF34,$AG34,0))))</f>
        <v/>
      </c>
      <c r="T34">
        <f>IF(H33&lt;=0,0,MIN(AM34,H$7+IF(H$2=$AA34,$AC34,IF(H$2=$AF34,$AG34,0))))</f>
        <v/>
      </c>
      <c r="U34">
        <f>IF(I33&lt;=0,0,MIN(AN34,I$7+IF(I$2=$AA34,$AC34,IF(I$2=$AF34,$AG34,0))))</f>
        <v/>
      </c>
      <c r="V34">
        <f>IF(J33&lt;=0,0,MIN(AO34,J$7+IF(J$2=$AA34,$AC34,IF(J$2=$AF34,$AG34,0))))</f>
        <v/>
      </c>
      <c r="W34">
        <f>IF(K33&lt;=0,0,MIN(AP34,K$7+IF(K$2=$AA34,$AC34,IF(K$2=$AF34,$AG34,0))))</f>
        <v/>
      </c>
      <c r="X34">
        <f>IF(L33&lt;=0,0,MIN(AQ34,L$7+IF(L$2=$AA34,$AC34,IF(L$2=$AF34,$AG34,0))))</f>
        <v/>
      </c>
      <c r="Y34">
        <f>IF(M33&lt;=0,0,MIN(AR34,M$7+IF(M$2=$AA34,$AC34,IF(M$2=$AF34,$AG34,0))))</f>
        <v/>
      </c>
      <c r="Z34">
        <f>IF(N33&lt;=0,0,MIN(AS34,N$7+IF(N$2=$AA34,$AC34,IF(N$2=$AF34,$AG34,0))))</f>
        <v/>
      </c>
      <c r="AA34">
        <f>IFERROR(ROUND(1/SUMPRODUCT(MAX((C33:N33&gt;0)*($C$3:$N$3&lt;=B34)/$C$2:$N$2)),0),0)</f>
        <v/>
      </c>
      <c r="AB34">
        <f>SUMPRODUCT((C33:N33&gt;0)*$C$7:$N$7)</f>
        <v/>
      </c>
      <c r="AC34">
        <f>MAX(0,Plan!$C$5-AB34)+IF(A34=Plan!$C$8,N(Plan!$C$7),0)</f>
        <v/>
      </c>
      <c r="AD34">
        <f>SUM(C34:N34)</f>
        <v/>
      </c>
      <c r="AE34">
        <f>SUM(O34:Z34)</f>
        <v/>
      </c>
      <c r="AF34">
        <f>IFERROR(ROUND(1/SUMPRODUCT(MAX((C33:N33&gt;0)*($C$3:$N$3&lt;=B34)*($C$2:$N$2&gt;AA34)/$C$2:$N$2)),0),0)</f>
        <v/>
      </c>
      <c r="AG34">
        <f>MAX(0,AC34-MAX(0,SUMPRODUCT(($C$2:$N$2=AA34)*(AH34:AS34-$C$7:$N$7))))</f>
        <v/>
      </c>
      <c r="AH34">
        <f>IF(C33&lt;=0,0,ROUND(C33*(1+IF(AND(C$6&gt;0,$B34&lt;C$6),C$4,C$5)/12),2))</f>
        <v/>
      </c>
      <c r="AI34">
        <f>IF(D33&lt;=0,0,ROUND(D33*(1+IF(AND(D$6&gt;0,$B34&lt;D$6),D$4,D$5)/12),2))</f>
        <v/>
      </c>
      <c r="AJ34">
        <f>IF(E33&lt;=0,0,ROUND(E33*(1+IF(AND(E$6&gt;0,$B34&lt;E$6),E$4,E$5)/12),2))</f>
        <v/>
      </c>
      <c r="AK34">
        <f>IF(F33&lt;=0,0,ROUND(F33*(1+IF(AND(F$6&gt;0,$B34&lt;F$6),F$4,F$5)/12),2))</f>
        <v/>
      </c>
      <c r="AL34">
        <f>IF(G33&lt;=0,0,ROUND(G33*(1+IF(AND(G$6&gt;0,$B34&lt;G$6),G$4,G$5)/12),2))</f>
        <v/>
      </c>
      <c r="AM34">
        <f>IF(H33&lt;=0,0,ROUND(H33*(1+IF(AND(H$6&gt;0,$B34&lt;H$6),H$4,H$5)/12),2))</f>
        <v/>
      </c>
      <c r="AN34">
        <f>IF(I33&lt;=0,0,ROUND(I33*(1+IF(AND(I$6&gt;0,$B34&lt;I$6),I$4,I$5)/12),2))</f>
        <v/>
      </c>
      <c r="AO34">
        <f>IF(J33&lt;=0,0,ROUND(J33*(1+IF(AND(J$6&gt;0,$B34&lt;J$6),J$4,J$5)/12),2))</f>
        <v/>
      </c>
      <c r="AP34">
        <f>IF(K33&lt;=0,0,ROUND(K33*(1+IF(AND(K$6&gt;0,$B34&lt;K$6),K$4,K$5)/12),2))</f>
        <v/>
      </c>
      <c r="AQ34">
        <f>IF(L33&lt;=0,0,ROUND(L33*(1+IF(AND(L$6&gt;0,$B34&lt;L$6),L$4,L$5)/12),2))</f>
        <v/>
      </c>
      <c r="AR34">
        <f>IF(M33&lt;=0,0,ROUND(M33*(1+IF(AND(M$6&gt;0,$B34&lt;M$6),M$4,M$5)/12),2))</f>
        <v/>
      </c>
      <c r="AS34">
        <f>IF(N33&lt;=0,0,ROUND(N33*(1+IF(AND(N$6&gt;0,$B34&lt;N$6),N$4,N$5)/12),2))</f>
        <v/>
      </c>
    </row>
    <row r="35">
      <c r="A35" t="n">
        <v>24</v>
      </c>
      <c r="B35">
        <f>EDATE(Plan!$C$6,23)</f>
        <v/>
      </c>
      <c r="C35">
        <f>IF(C34&lt;=0,0,MAX(0,AH35-O35))</f>
        <v/>
      </c>
      <c r="D35">
        <f>IF(D34&lt;=0,0,MAX(0,AI35-P35))</f>
        <v/>
      </c>
      <c r="E35">
        <f>IF(E34&lt;=0,0,MAX(0,AJ35-Q35))</f>
        <v/>
      </c>
      <c r="F35">
        <f>IF(F34&lt;=0,0,MAX(0,AK35-R35))</f>
        <v/>
      </c>
      <c r="G35">
        <f>IF(G34&lt;=0,0,MAX(0,AL35-S35))</f>
        <v/>
      </c>
      <c r="H35">
        <f>IF(H34&lt;=0,0,MAX(0,AM35-T35))</f>
        <v/>
      </c>
      <c r="I35">
        <f>IF(I34&lt;=0,0,MAX(0,AN35-U35))</f>
        <v/>
      </c>
      <c r="J35">
        <f>IF(J34&lt;=0,0,MAX(0,AO35-V35))</f>
        <v/>
      </c>
      <c r="K35">
        <f>IF(K34&lt;=0,0,MAX(0,AP35-W35))</f>
        <v/>
      </c>
      <c r="L35">
        <f>IF(L34&lt;=0,0,MAX(0,AQ35-X35))</f>
        <v/>
      </c>
      <c r="M35">
        <f>IF(M34&lt;=0,0,MAX(0,AR35-Y35))</f>
        <v/>
      </c>
      <c r="N35">
        <f>IF(N34&lt;=0,0,MAX(0,AS35-Z35))</f>
        <v/>
      </c>
      <c r="O35">
        <f>IF(C34&lt;=0,0,MIN(AH35,C$7+IF(C$2=$AA35,$AC35,IF(C$2=$AF35,$AG35,0))))</f>
        <v/>
      </c>
      <c r="P35">
        <f>IF(D34&lt;=0,0,MIN(AI35,D$7+IF(D$2=$AA35,$AC35,IF(D$2=$AF35,$AG35,0))))</f>
        <v/>
      </c>
      <c r="Q35">
        <f>IF(E34&lt;=0,0,MIN(AJ35,E$7+IF(E$2=$AA35,$AC35,IF(E$2=$AF35,$AG35,0))))</f>
        <v/>
      </c>
      <c r="R35">
        <f>IF(F34&lt;=0,0,MIN(AK35,F$7+IF(F$2=$AA35,$AC35,IF(F$2=$AF35,$AG35,0))))</f>
        <v/>
      </c>
      <c r="S35">
        <f>IF(G34&lt;=0,0,MIN(AL35,G$7+IF(G$2=$AA35,$AC35,IF(G$2=$AF35,$AG35,0))))</f>
        <v/>
      </c>
      <c r="T35">
        <f>IF(H34&lt;=0,0,MIN(AM35,H$7+IF(H$2=$AA35,$AC35,IF(H$2=$AF35,$AG35,0))))</f>
        <v/>
      </c>
      <c r="U35">
        <f>IF(I34&lt;=0,0,MIN(AN35,I$7+IF(I$2=$AA35,$AC35,IF(I$2=$AF35,$AG35,0))))</f>
        <v/>
      </c>
      <c r="V35">
        <f>IF(J34&lt;=0,0,MIN(AO35,J$7+IF(J$2=$AA35,$AC35,IF(J$2=$AF35,$AG35,0))))</f>
        <v/>
      </c>
      <c r="W35">
        <f>IF(K34&lt;=0,0,MIN(AP35,K$7+IF(K$2=$AA35,$AC35,IF(K$2=$AF35,$AG35,0))))</f>
        <v/>
      </c>
      <c r="X35">
        <f>IF(L34&lt;=0,0,MIN(AQ35,L$7+IF(L$2=$AA35,$AC35,IF(L$2=$AF35,$AG35,0))))</f>
        <v/>
      </c>
      <c r="Y35">
        <f>IF(M34&lt;=0,0,MIN(AR35,M$7+IF(M$2=$AA35,$AC35,IF(M$2=$AF35,$AG35,0))))</f>
        <v/>
      </c>
      <c r="Z35">
        <f>IF(N34&lt;=0,0,MIN(AS35,N$7+IF(N$2=$AA35,$AC35,IF(N$2=$AF35,$AG35,0))))</f>
        <v/>
      </c>
      <c r="AA35">
        <f>IFERROR(ROUND(1/SUMPRODUCT(MAX((C34:N34&gt;0)*($C$3:$N$3&lt;=B35)/$C$2:$N$2)),0),0)</f>
        <v/>
      </c>
      <c r="AB35">
        <f>SUMPRODUCT((C34:N34&gt;0)*$C$7:$N$7)</f>
        <v/>
      </c>
      <c r="AC35">
        <f>MAX(0,Plan!$C$5-AB35)+IF(A35=Plan!$C$8,N(Plan!$C$7),0)</f>
        <v/>
      </c>
      <c r="AD35">
        <f>SUM(C35:N35)</f>
        <v/>
      </c>
      <c r="AE35">
        <f>SUM(O35:Z35)</f>
        <v/>
      </c>
      <c r="AF35">
        <f>IFERROR(ROUND(1/SUMPRODUCT(MAX((C34:N34&gt;0)*($C$3:$N$3&lt;=B35)*($C$2:$N$2&gt;AA35)/$C$2:$N$2)),0),0)</f>
        <v/>
      </c>
      <c r="AG35">
        <f>MAX(0,AC35-MAX(0,SUMPRODUCT(($C$2:$N$2=AA35)*(AH35:AS35-$C$7:$N$7))))</f>
        <v/>
      </c>
      <c r="AH35">
        <f>IF(C34&lt;=0,0,ROUND(C34*(1+IF(AND(C$6&gt;0,$B35&lt;C$6),C$4,C$5)/12),2))</f>
        <v/>
      </c>
      <c r="AI35">
        <f>IF(D34&lt;=0,0,ROUND(D34*(1+IF(AND(D$6&gt;0,$B35&lt;D$6),D$4,D$5)/12),2))</f>
        <v/>
      </c>
      <c r="AJ35">
        <f>IF(E34&lt;=0,0,ROUND(E34*(1+IF(AND(E$6&gt;0,$B35&lt;E$6),E$4,E$5)/12),2))</f>
        <v/>
      </c>
      <c r="AK35">
        <f>IF(F34&lt;=0,0,ROUND(F34*(1+IF(AND(F$6&gt;0,$B35&lt;F$6),F$4,F$5)/12),2))</f>
        <v/>
      </c>
      <c r="AL35">
        <f>IF(G34&lt;=0,0,ROUND(G34*(1+IF(AND(G$6&gt;0,$B35&lt;G$6),G$4,G$5)/12),2))</f>
        <v/>
      </c>
      <c r="AM35">
        <f>IF(H34&lt;=0,0,ROUND(H34*(1+IF(AND(H$6&gt;0,$B35&lt;H$6),H$4,H$5)/12),2))</f>
        <v/>
      </c>
      <c r="AN35">
        <f>IF(I34&lt;=0,0,ROUND(I34*(1+IF(AND(I$6&gt;0,$B35&lt;I$6),I$4,I$5)/12),2))</f>
        <v/>
      </c>
      <c r="AO35">
        <f>IF(J34&lt;=0,0,ROUND(J34*(1+IF(AND(J$6&gt;0,$B35&lt;J$6),J$4,J$5)/12),2))</f>
        <v/>
      </c>
      <c r="AP35">
        <f>IF(K34&lt;=0,0,ROUND(K34*(1+IF(AND(K$6&gt;0,$B35&lt;K$6),K$4,K$5)/12),2))</f>
        <v/>
      </c>
      <c r="AQ35">
        <f>IF(L34&lt;=0,0,ROUND(L34*(1+IF(AND(L$6&gt;0,$B35&lt;L$6),L$4,L$5)/12),2))</f>
        <v/>
      </c>
      <c r="AR35">
        <f>IF(M34&lt;=0,0,ROUND(M34*(1+IF(AND(M$6&gt;0,$B35&lt;M$6),M$4,M$5)/12),2))</f>
        <v/>
      </c>
      <c r="AS35">
        <f>IF(N34&lt;=0,0,ROUND(N34*(1+IF(AND(N$6&gt;0,$B35&lt;N$6),N$4,N$5)/12),2))</f>
        <v/>
      </c>
    </row>
    <row r="36">
      <c r="A36" t="n">
        <v>25</v>
      </c>
      <c r="B36">
        <f>EDATE(Plan!$C$6,24)</f>
        <v/>
      </c>
      <c r="C36">
        <f>IF(C35&lt;=0,0,MAX(0,AH36-O36))</f>
        <v/>
      </c>
      <c r="D36">
        <f>IF(D35&lt;=0,0,MAX(0,AI36-P36))</f>
        <v/>
      </c>
      <c r="E36">
        <f>IF(E35&lt;=0,0,MAX(0,AJ36-Q36))</f>
        <v/>
      </c>
      <c r="F36">
        <f>IF(F35&lt;=0,0,MAX(0,AK36-R36))</f>
        <v/>
      </c>
      <c r="G36">
        <f>IF(G35&lt;=0,0,MAX(0,AL36-S36))</f>
        <v/>
      </c>
      <c r="H36">
        <f>IF(H35&lt;=0,0,MAX(0,AM36-T36))</f>
        <v/>
      </c>
      <c r="I36">
        <f>IF(I35&lt;=0,0,MAX(0,AN36-U36))</f>
        <v/>
      </c>
      <c r="J36">
        <f>IF(J35&lt;=0,0,MAX(0,AO36-V36))</f>
        <v/>
      </c>
      <c r="K36">
        <f>IF(K35&lt;=0,0,MAX(0,AP36-W36))</f>
        <v/>
      </c>
      <c r="L36">
        <f>IF(L35&lt;=0,0,MAX(0,AQ36-X36))</f>
        <v/>
      </c>
      <c r="M36">
        <f>IF(M35&lt;=0,0,MAX(0,AR36-Y36))</f>
        <v/>
      </c>
      <c r="N36">
        <f>IF(N35&lt;=0,0,MAX(0,AS36-Z36))</f>
        <v/>
      </c>
      <c r="O36">
        <f>IF(C35&lt;=0,0,MIN(AH36,C$7+IF(C$2=$AA36,$AC36,IF(C$2=$AF36,$AG36,0))))</f>
        <v/>
      </c>
      <c r="P36">
        <f>IF(D35&lt;=0,0,MIN(AI36,D$7+IF(D$2=$AA36,$AC36,IF(D$2=$AF36,$AG36,0))))</f>
        <v/>
      </c>
      <c r="Q36">
        <f>IF(E35&lt;=0,0,MIN(AJ36,E$7+IF(E$2=$AA36,$AC36,IF(E$2=$AF36,$AG36,0))))</f>
        <v/>
      </c>
      <c r="R36">
        <f>IF(F35&lt;=0,0,MIN(AK36,F$7+IF(F$2=$AA36,$AC36,IF(F$2=$AF36,$AG36,0))))</f>
        <v/>
      </c>
      <c r="S36">
        <f>IF(G35&lt;=0,0,MIN(AL36,G$7+IF(G$2=$AA36,$AC36,IF(G$2=$AF36,$AG36,0))))</f>
        <v/>
      </c>
      <c r="T36">
        <f>IF(H35&lt;=0,0,MIN(AM36,H$7+IF(H$2=$AA36,$AC36,IF(H$2=$AF36,$AG36,0))))</f>
        <v/>
      </c>
      <c r="U36">
        <f>IF(I35&lt;=0,0,MIN(AN36,I$7+IF(I$2=$AA36,$AC36,IF(I$2=$AF36,$AG36,0))))</f>
        <v/>
      </c>
      <c r="V36">
        <f>IF(J35&lt;=0,0,MIN(AO36,J$7+IF(J$2=$AA36,$AC36,IF(J$2=$AF36,$AG36,0))))</f>
        <v/>
      </c>
      <c r="W36">
        <f>IF(K35&lt;=0,0,MIN(AP36,K$7+IF(K$2=$AA36,$AC36,IF(K$2=$AF36,$AG36,0))))</f>
        <v/>
      </c>
      <c r="X36">
        <f>IF(L35&lt;=0,0,MIN(AQ36,L$7+IF(L$2=$AA36,$AC36,IF(L$2=$AF36,$AG36,0))))</f>
        <v/>
      </c>
      <c r="Y36">
        <f>IF(M35&lt;=0,0,MIN(AR36,M$7+IF(M$2=$AA36,$AC36,IF(M$2=$AF36,$AG36,0))))</f>
        <v/>
      </c>
      <c r="Z36">
        <f>IF(N35&lt;=0,0,MIN(AS36,N$7+IF(N$2=$AA36,$AC36,IF(N$2=$AF36,$AG36,0))))</f>
        <v/>
      </c>
      <c r="AA36">
        <f>IFERROR(ROUND(1/SUMPRODUCT(MAX((C35:N35&gt;0)*($C$3:$N$3&lt;=B36)/$C$2:$N$2)),0),0)</f>
        <v/>
      </c>
      <c r="AB36">
        <f>SUMPRODUCT((C35:N35&gt;0)*$C$7:$N$7)</f>
        <v/>
      </c>
      <c r="AC36">
        <f>MAX(0,Plan!$C$5-AB36)+IF(A36=Plan!$C$8,N(Plan!$C$7),0)</f>
        <v/>
      </c>
      <c r="AD36">
        <f>SUM(C36:N36)</f>
        <v/>
      </c>
      <c r="AE36">
        <f>SUM(O36:Z36)</f>
        <v/>
      </c>
      <c r="AF36">
        <f>IFERROR(ROUND(1/SUMPRODUCT(MAX((C35:N35&gt;0)*($C$3:$N$3&lt;=B36)*($C$2:$N$2&gt;AA36)/$C$2:$N$2)),0),0)</f>
        <v/>
      </c>
      <c r="AG36">
        <f>MAX(0,AC36-MAX(0,SUMPRODUCT(($C$2:$N$2=AA36)*(AH36:AS36-$C$7:$N$7))))</f>
        <v/>
      </c>
      <c r="AH36">
        <f>IF(C35&lt;=0,0,ROUND(C35*(1+IF(AND(C$6&gt;0,$B36&lt;C$6),C$4,C$5)/12),2))</f>
        <v/>
      </c>
      <c r="AI36">
        <f>IF(D35&lt;=0,0,ROUND(D35*(1+IF(AND(D$6&gt;0,$B36&lt;D$6),D$4,D$5)/12),2))</f>
        <v/>
      </c>
      <c r="AJ36">
        <f>IF(E35&lt;=0,0,ROUND(E35*(1+IF(AND(E$6&gt;0,$B36&lt;E$6),E$4,E$5)/12),2))</f>
        <v/>
      </c>
      <c r="AK36">
        <f>IF(F35&lt;=0,0,ROUND(F35*(1+IF(AND(F$6&gt;0,$B36&lt;F$6),F$4,F$5)/12),2))</f>
        <v/>
      </c>
      <c r="AL36">
        <f>IF(G35&lt;=0,0,ROUND(G35*(1+IF(AND(G$6&gt;0,$B36&lt;G$6),G$4,G$5)/12),2))</f>
        <v/>
      </c>
      <c r="AM36">
        <f>IF(H35&lt;=0,0,ROUND(H35*(1+IF(AND(H$6&gt;0,$B36&lt;H$6),H$4,H$5)/12),2))</f>
        <v/>
      </c>
      <c r="AN36">
        <f>IF(I35&lt;=0,0,ROUND(I35*(1+IF(AND(I$6&gt;0,$B36&lt;I$6),I$4,I$5)/12),2))</f>
        <v/>
      </c>
      <c r="AO36">
        <f>IF(J35&lt;=0,0,ROUND(J35*(1+IF(AND(J$6&gt;0,$B36&lt;J$6),J$4,J$5)/12),2))</f>
        <v/>
      </c>
      <c r="AP36">
        <f>IF(K35&lt;=0,0,ROUND(K35*(1+IF(AND(K$6&gt;0,$B36&lt;K$6),K$4,K$5)/12),2))</f>
        <v/>
      </c>
      <c r="AQ36">
        <f>IF(L35&lt;=0,0,ROUND(L35*(1+IF(AND(L$6&gt;0,$B36&lt;L$6),L$4,L$5)/12),2))</f>
        <v/>
      </c>
      <c r="AR36">
        <f>IF(M35&lt;=0,0,ROUND(M35*(1+IF(AND(M$6&gt;0,$B36&lt;M$6),M$4,M$5)/12),2))</f>
        <v/>
      </c>
      <c r="AS36">
        <f>IF(N35&lt;=0,0,ROUND(N35*(1+IF(AND(N$6&gt;0,$B36&lt;N$6),N$4,N$5)/12),2))</f>
        <v/>
      </c>
    </row>
    <row r="37">
      <c r="A37" t="n">
        <v>26</v>
      </c>
      <c r="B37">
        <f>EDATE(Plan!$C$6,25)</f>
        <v/>
      </c>
      <c r="C37">
        <f>IF(C36&lt;=0,0,MAX(0,AH37-O37))</f>
        <v/>
      </c>
      <c r="D37">
        <f>IF(D36&lt;=0,0,MAX(0,AI37-P37))</f>
        <v/>
      </c>
      <c r="E37">
        <f>IF(E36&lt;=0,0,MAX(0,AJ37-Q37))</f>
        <v/>
      </c>
      <c r="F37">
        <f>IF(F36&lt;=0,0,MAX(0,AK37-R37))</f>
        <v/>
      </c>
      <c r="G37">
        <f>IF(G36&lt;=0,0,MAX(0,AL37-S37))</f>
        <v/>
      </c>
      <c r="H37">
        <f>IF(H36&lt;=0,0,MAX(0,AM37-T37))</f>
        <v/>
      </c>
      <c r="I37">
        <f>IF(I36&lt;=0,0,MAX(0,AN37-U37))</f>
        <v/>
      </c>
      <c r="J37">
        <f>IF(J36&lt;=0,0,MAX(0,AO37-V37))</f>
        <v/>
      </c>
      <c r="K37">
        <f>IF(K36&lt;=0,0,MAX(0,AP37-W37))</f>
        <v/>
      </c>
      <c r="L37">
        <f>IF(L36&lt;=0,0,MAX(0,AQ37-X37))</f>
        <v/>
      </c>
      <c r="M37">
        <f>IF(M36&lt;=0,0,MAX(0,AR37-Y37))</f>
        <v/>
      </c>
      <c r="N37">
        <f>IF(N36&lt;=0,0,MAX(0,AS37-Z37))</f>
        <v/>
      </c>
      <c r="O37">
        <f>IF(C36&lt;=0,0,MIN(AH37,C$7+IF(C$2=$AA37,$AC37,IF(C$2=$AF37,$AG37,0))))</f>
        <v/>
      </c>
      <c r="P37">
        <f>IF(D36&lt;=0,0,MIN(AI37,D$7+IF(D$2=$AA37,$AC37,IF(D$2=$AF37,$AG37,0))))</f>
        <v/>
      </c>
      <c r="Q37">
        <f>IF(E36&lt;=0,0,MIN(AJ37,E$7+IF(E$2=$AA37,$AC37,IF(E$2=$AF37,$AG37,0))))</f>
        <v/>
      </c>
      <c r="R37">
        <f>IF(F36&lt;=0,0,MIN(AK37,F$7+IF(F$2=$AA37,$AC37,IF(F$2=$AF37,$AG37,0))))</f>
        <v/>
      </c>
      <c r="S37">
        <f>IF(G36&lt;=0,0,MIN(AL37,G$7+IF(G$2=$AA37,$AC37,IF(G$2=$AF37,$AG37,0))))</f>
        <v/>
      </c>
      <c r="T37">
        <f>IF(H36&lt;=0,0,MIN(AM37,H$7+IF(H$2=$AA37,$AC37,IF(H$2=$AF37,$AG37,0))))</f>
        <v/>
      </c>
      <c r="U37">
        <f>IF(I36&lt;=0,0,MIN(AN37,I$7+IF(I$2=$AA37,$AC37,IF(I$2=$AF37,$AG37,0))))</f>
        <v/>
      </c>
      <c r="V37">
        <f>IF(J36&lt;=0,0,MIN(AO37,J$7+IF(J$2=$AA37,$AC37,IF(J$2=$AF37,$AG37,0))))</f>
        <v/>
      </c>
      <c r="W37">
        <f>IF(K36&lt;=0,0,MIN(AP37,K$7+IF(K$2=$AA37,$AC37,IF(K$2=$AF37,$AG37,0))))</f>
        <v/>
      </c>
      <c r="X37">
        <f>IF(L36&lt;=0,0,MIN(AQ37,L$7+IF(L$2=$AA37,$AC37,IF(L$2=$AF37,$AG37,0))))</f>
        <v/>
      </c>
      <c r="Y37">
        <f>IF(M36&lt;=0,0,MIN(AR37,M$7+IF(M$2=$AA37,$AC37,IF(M$2=$AF37,$AG37,0))))</f>
        <v/>
      </c>
      <c r="Z37">
        <f>IF(N36&lt;=0,0,MIN(AS37,N$7+IF(N$2=$AA37,$AC37,IF(N$2=$AF37,$AG37,0))))</f>
        <v/>
      </c>
      <c r="AA37">
        <f>IFERROR(ROUND(1/SUMPRODUCT(MAX((C36:N36&gt;0)*($C$3:$N$3&lt;=B37)/$C$2:$N$2)),0),0)</f>
        <v/>
      </c>
      <c r="AB37">
        <f>SUMPRODUCT((C36:N36&gt;0)*$C$7:$N$7)</f>
        <v/>
      </c>
      <c r="AC37">
        <f>MAX(0,Plan!$C$5-AB37)+IF(A37=Plan!$C$8,N(Plan!$C$7),0)</f>
        <v/>
      </c>
      <c r="AD37">
        <f>SUM(C37:N37)</f>
        <v/>
      </c>
      <c r="AE37">
        <f>SUM(O37:Z37)</f>
        <v/>
      </c>
      <c r="AF37">
        <f>IFERROR(ROUND(1/SUMPRODUCT(MAX((C36:N36&gt;0)*($C$3:$N$3&lt;=B37)*($C$2:$N$2&gt;AA37)/$C$2:$N$2)),0),0)</f>
        <v/>
      </c>
      <c r="AG37">
        <f>MAX(0,AC37-MAX(0,SUMPRODUCT(($C$2:$N$2=AA37)*(AH37:AS37-$C$7:$N$7))))</f>
        <v/>
      </c>
      <c r="AH37">
        <f>IF(C36&lt;=0,0,ROUND(C36*(1+IF(AND(C$6&gt;0,$B37&lt;C$6),C$4,C$5)/12),2))</f>
        <v/>
      </c>
      <c r="AI37">
        <f>IF(D36&lt;=0,0,ROUND(D36*(1+IF(AND(D$6&gt;0,$B37&lt;D$6),D$4,D$5)/12),2))</f>
        <v/>
      </c>
      <c r="AJ37">
        <f>IF(E36&lt;=0,0,ROUND(E36*(1+IF(AND(E$6&gt;0,$B37&lt;E$6),E$4,E$5)/12),2))</f>
        <v/>
      </c>
      <c r="AK37">
        <f>IF(F36&lt;=0,0,ROUND(F36*(1+IF(AND(F$6&gt;0,$B37&lt;F$6),F$4,F$5)/12),2))</f>
        <v/>
      </c>
      <c r="AL37">
        <f>IF(G36&lt;=0,0,ROUND(G36*(1+IF(AND(G$6&gt;0,$B37&lt;G$6),G$4,G$5)/12),2))</f>
        <v/>
      </c>
      <c r="AM37">
        <f>IF(H36&lt;=0,0,ROUND(H36*(1+IF(AND(H$6&gt;0,$B37&lt;H$6),H$4,H$5)/12),2))</f>
        <v/>
      </c>
      <c r="AN37">
        <f>IF(I36&lt;=0,0,ROUND(I36*(1+IF(AND(I$6&gt;0,$B37&lt;I$6),I$4,I$5)/12),2))</f>
        <v/>
      </c>
      <c r="AO37">
        <f>IF(J36&lt;=0,0,ROUND(J36*(1+IF(AND(J$6&gt;0,$B37&lt;J$6),J$4,J$5)/12),2))</f>
        <v/>
      </c>
      <c r="AP37">
        <f>IF(K36&lt;=0,0,ROUND(K36*(1+IF(AND(K$6&gt;0,$B37&lt;K$6),K$4,K$5)/12),2))</f>
        <v/>
      </c>
      <c r="AQ37">
        <f>IF(L36&lt;=0,0,ROUND(L36*(1+IF(AND(L$6&gt;0,$B37&lt;L$6),L$4,L$5)/12),2))</f>
        <v/>
      </c>
      <c r="AR37">
        <f>IF(M36&lt;=0,0,ROUND(M36*(1+IF(AND(M$6&gt;0,$B37&lt;M$6),M$4,M$5)/12),2))</f>
        <v/>
      </c>
      <c r="AS37">
        <f>IF(N36&lt;=0,0,ROUND(N36*(1+IF(AND(N$6&gt;0,$B37&lt;N$6),N$4,N$5)/12),2))</f>
        <v/>
      </c>
    </row>
    <row r="38">
      <c r="A38" t="n">
        <v>27</v>
      </c>
      <c r="B38">
        <f>EDATE(Plan!$C$6,26)</f>
        <v/>
      </c>
      <c r="C38">
        <f>IF(C37&lt;=0,0,MAX(0,AH38-O38))</f>
        <v/>
      </c>
      <c r="D38">
        <f>IF(D37&lt;=0,0,MAX(0,AI38-P38))</f>
        <v/>
      </c>
      <c r="E38">
        <f>IF(E37&lt;=0,0,MAX(0,AJ38-Q38))</f>
        <v/>
      </c>
      <c r="F38">
        <f>IF(F37&lt;=0,0,MAX(0,AK38-R38))</f>
        <v/>
      </c>
      <c r="G38">
        <f>IF(G37&lt;=0,0,MAX(0,AL38-S38))</f>
        <v/>
      </c>
      <c r="H38">
        <f>IF(H37&lt;=0,0,MAX(0,AM38-T38))</f>
        <v/>
      </c>
      <c r="I38">
        <f>IF(I37&lt;=0,0,MAX(0,AN38-U38))</f>
        <v/>
      </c>
      <c r="J38">
        <f>IF(J37&lt;=0,0,MAX(0,AO38-V38))</f>
        <v/>
      </c>
      <c r="K38">
        <f>IF(K37&lt;=0,0,MAX(0,AP38-W38))</f>
        <v/>
      </c>
      <c r="L38">
        <f>IF(L37&lt;=0,0,MAX(0,AQ38-X38))</f>
        <v/>
      </c>
      <c r="M38">
        <f>IF(M37&lt;=0,0,MAX(0,AR38-Y38))</f>
        <v/>
      </c>
      <c r="N38">
        <f>IF(N37&lt;=0,0,MAX(0,AS38-Z38))</f>
        <v/>
      </c>
      <c r="O38">
        <f>IF(C37&lt;=0,0,MIN(AH38,C$7+IF(C$2=$AA38,$AC38,IF(C$2=$AF38,$AG38,0))))</f>
        <v/>
      </c>
      <c r="P38">
        <f>IF(D37&lt;=0,0,MIN(AI38,D$7+IF(D$2=$AA38,$AC38,IF(D$2=$AF38,$AG38,0))))</f>
        <v/>
      </c>
      <c r="Q38">
        <f>IF(E37&lt;=0,0,MIN(AJ38,E$7+IF(E$2=$AA38,$AC38,IF(E$2=$AF38,$AG38,0))))</f>
        <v/>
      </c>
      <c r="R38">
        <f>IF(F37&lt;=0,0,MIN(AK38,F$7+IF(F$2=$AA38,$AC38,IF(F$2=$AF38,$AG38,0))))</f>
        <v/>
      </c>
      <c r="S38">
        <f>IF(G37&lt;=0,0,MIN(AL38,G$7+IF(G$2=$AA38,$AC38,IF(G$2=$AF38,$AG38,0))))</f>
        <v/>
      </c>
      <c r="T38">
        <f>IF(H37&lt;=0,0,MIN(AM38,H$7+IF(H$2=$AA38,$AC38,IF(H$2=$AF38,$AG38,0))))</f>
        <v/>
      </c>
      <c r="U38">
        <f>IF(I37&lt;=0,0,MIN(AN38,I$7+IF(I$2=$AA38,$AC38,IF(I$2=$AF38,$AG38,0))))</f>
        <v/>
      </c>
      <c r="V38">
        <f>IF(J37&lt;=0,0,MIN(AO38,J$7+IF(J$2=$AA38,$AC38,IF(J$2=$AF38,$AG38,0))))</f>
        <v/>
      </c>
      <c r="W38">
        <f>IF(K37&lt;=0,0,MIN(AP38,K$7+IF(K$2=$AA38,$AC38,IF(K$2=$AF38,$AG38,0))))</f>
        <v/>
      </c>
      <c r="X38">
        <f>IF(L37&lt;=0,0,MIN(AQ38,L$7+IF(L$2=$AA38,$AC38,IF(L$2=$AF38,$AG38,0))))</f>
        <v/>
      </c>
      <c r="Y38">
        <f>IF(M37&lt;=0,0,MIN(AR38,M$7+IF(M$2=$AA38,$AC38,IF(M$2=$AF38,$AG38,0))))</f>
        <v/>
      </c>
      <c r="Z38">
        <f>IF(N37&lt;=0,0,MIN(AS38,N$7+IF(N$2=$AA38,$AC38,IF(N$2=$AF38,$AG38,0))))</f>
        <v/>
      </c>
      <c r="AA38">
        <f>IFERROR(ROUND(1/SUMPRODUCT(MAX((C37:N37&gt;0)*($C$3:$N$3&lt;=B38)/$C$2:$N$2)),0),0)</f>
        <v/>
      </c>
      <c r="AB38">
        <f>SUMPRODUCT((C37:N37&gt;0)*$C$7:$N$7)</f>
        <v/>
      </c>
      <c r="AC38">
        <f>MAX(0,Plan!$C$5-AB38)+IF(A38=Plan!$C$8,N(Plan!$C$7),0)</f>
        <v/>
      </c>
      <c r="AD38">
        <f>SUM(C38:N38)</f>
        <v/>
      </c>
      <c r="AE38">
        <f>SUM(O38:Z38)</f>
        <v/>
      </c>
      <c r="AF38">
        <f>IFERROR(ROUND(1/SUMPRODUCT(MAX((C37:N37&gt;0)*($C$3:$N$3&lt;=B38)*($C$2:$N$2&gt;AA38)/$C$2:$N$2)),0),0)</f>
        <v/>
      </c>
      <c r="AG38">
        <f>MAX(0,AC38-MAX(0,SUMPRODUCT(($C$2:$N$2=AA38)*(AH38:AS38-$C$7:$N$7))))</f>
        <v/>
      </c>
      <c r="AH38">
        <f>IF(C37&lt;=0,0,ROUND(C37*(1+IF(AND(C$6&gt;0,$B38&lt;C$6),C$4,C$5)/12),2))</f>
        <v/>
      </c>
      <c r="AI38">
        <f>IF(D37&lt;=0,0,ROUND(D37*(1+IF(AND(D$6&gt;0,$B38&lt;D$6),D$4,D$5)/12),2))</f>
        <v/>
      </c>
      <c r="AJ38">
        <f>IF(E37&lt;=0,0,ROUND(E37*(1+IF(AND(E$6&gt;0,$B38&lt;E$6),E$4,E$5)/12),2))</f>
        <v/>
      </c>
      <c r="AK38">
        <f>IF(F37&lt;=0,0,ROUND(F37*(1+IF(AND(F$6&gt;0,$B38&lt;F$6),F$4,F$5)/12),2))</f>
        <v/>
      </c>
      <c r="AL38">
        <f>IF(G37&lt;=0,0,ROUND(G37*(1+IF(AND(G$6&gt;0,$B38&lt;G$6),G$4,G$5)/12),2))</f>
        <v/>
      </c>
      <c r="AM38">
        <f>IF(H37&lt;=0,0,ROUND(H37*(1+IF(AND(H$6&gt;0,$B38&lt;H$6),H$4,H$5)/12),2))</f>
        <v/>
      </c>
      <c r="AN38">
        <f>IF(I37&lt;=0,0,ROUND(I37*(1+IF(AND(I$6&gt;0,$B38&lt;I$6),I$4,I$5)/12),2))</f>
        <v/>
      </c>
      <c r="AO38">
        <f>IF(J37&lt;=0,0,ROUND(J37*(1+IF(AND(J$6&gt;0,$B38&lt;J$6),J$4,J$5)/12),2))</f>
        <v/>
      </c>
      <c r="AP38">
        <f>IF(K37&lt;=0,0,ROUND(K37*(1+IF(AND(K$6&gt;0,$B38&lt;K$6),K$4,K$5)/12),2))</f>
        <v/>
      </c>
      <c r="AQ38">
        <f>IF(L37&lt;=0,0,ROUND(L37*(1+IF(AND(L$6&gt;0,$B38&lt;L$6),L$4,L$5)/12),2))</f>
        <v/>
      </c>
      <c r="AR38">
        <f>IF(M37&lt;=0,0,ROUND(M37*(1+IF(AND(M$6&gt;0,$B38&lt;M$6),M$4,M$5)/12),2))</f>
        <v/>
      </c>
      <c r="AS38">
        <f>IF(N37&lt;=0,0,ROUND(N37*(1+IF(AND(N$6&gt;0,$B38&lt;N$6),N$4,N$5)/12),2))</f>
        <v/>
      </c>
    </row>
    <row r="39">
      <c r="A39" t="n">
        <v>28</v>
      </c>
      <c r="B39">
        <f>EDATE(Plan!$C$6,27)</f>
        <v/>
      </c>
      <c r="C39">
        <f>IF(C38&lt;=0,0,MAX(0,AH39-O39))</f>
        <v/>
      </c>
      <c r="D39">
        <f>IF(D38&lt;=0,0,MAX(0,AI39-P39))</f>
        <v/>
      </c>
      <c r="E39">
        <f>IF(E38&lt;=0,0,MAX(0,AJ39-Q39))</f>
        <v/>
      </c>
      <c r="F39">
        <f>IF(F38&lt;=0,0,MAX(0,AK39-R39))</f>
        <v/>
      </c>
      <c r="G39">
        <f>IF(G38&lt;=0,0,MAX(0,AL39-S39))</f>
        <v/>
      </c>
      <c r="H39">
        <f>IF(H38&lt;=0,0,MAX(0,AM39-T39))</f>
        <v/>
      </c>
      <c r="I39">
        <f>IF(I38&lt;=0,0,MAX(0,AN39-U39))</f>
        <v/>
      </c>
      <c r="J39">
        <f>IF(J38&lt;=0,0,MAX(0,AO39-V39))</f>
        <v/>
      </c>
      <c r="K39">
        <f>IF(K38&lt;=0,0,MAX(0,AP39-W39))</f>
        <v/>
      </c>
      <c r="L39">
        <f>IF(L38&lt;=0,0,MAX(0,AQ39-X39))</f>
        <v/>
      </c>
      <c r="M39">
        <f>IF(M38&lt;=0,0,MAX(0,AR39-Y39))</f>
        <v/>
      </c>
      <c r="N39">
        <f>IF(N38&lt;=0,0,MAX(0,AS39-Z39))</f>
        <v/>
      </c>
      <c r="O39">
        <f>IF(C38&lt;=0,0,MIN(AH39,C$7+IF(C$2=$AA39,$AC39,IF(C$2=$AF39,$AG39,0))))</f>
        <v/>
      </c>
      <c r="P39">
        <f>IF(D38&lt;=0,0,MIN(AI39,D$7+IF(D$2=$AA39,$AC39,IF(D$2=$AF39,$AG39,0))))</f>
        <v/>
      </c>
      <c r="Q39">
        <f>IF(E38&lt;=0,0,MIN(AJ39,E$7+IF(E$2=$AA39,$AC39,IF(E$2=$AF39,$AG39,0))))</f>
        <v/>
      </c>
      <c r="R39">
        <f>IF(F38&lt;=0,0,MIN(AK39,F$7+IF(F$2=$AA39,$AC39,IF(F$2=$AF39,$AG39,0))))</f>
        <v/>
      </c>
      <c r="S39">
        <f>IF(G38&lt;=0,0,MIN(AL39,G$7+IF(G$2=$AA39,$AC39,IF(G$2=$AF39,$AG39,0))))</f>
        <v/>
      </c>
      <c r="T39">
        <f>IF(H38&lt;=0,0,MIN(AM39,H$7+IF(H$2=$AA39,$AC39,IF(H$2=$AF39,$AG39,0))))</f>
        <v/>
      </c>
      <c r="U39">
        <f>IF(I38&lt;=0,0,MIN(AN39,I$7+IF(I$2=$AA39,$AC39,IF(I$2=$AF39,$AG39,0))))</f>
        <v/>
      </c>
      <c r="V39">
        <f>IF(J38&lt;=0,0,MIN(AO39,J$7+IF(J$2=$AA39,$AC39,IF(J$2=$AF39,$AG39,0))))</f>
        <v/>
      </c>
      <c r="W39">
        <f>IF(K38&lt;=0,0,MIN(AP39,K$7+IF(K$2=$AA39,$AC39,IF(K$2=$AF39,$AG39,0))))</f>
        <v/>
      </c>
      <c r="X39">
        <f>IF(L38&lt;=0,0,MIN(AQ39,L$7+IF(L$2=$AA39,$AC39,IF(L$2=$AF39,$AG39,0))))</f>
        <v/>
      </c>
      <c r="Y39">
        <f>IF(M38&lt;=0,0,MIN(AR39,M$7+IF(M$2=$AA39,$AC39,IF(M$2=$AF39,$AG39,0))))</f>
        <v/>
      </c>
      <c r="Z39">
        <f>IF(N38&lt;=0,0,MIN(AS39,N$7+IF(N$2=$AA39,$AC39,IF(N$2=$AF39,$AG39,0))))</f>
        <v/>
      </c>
      <c r="AA39">
        <f>IFERROR(ROUND(1/SUMPRODUCT(MAX((C38:N38&gt;0)*($C$3:$N$3&lt;=B39)/$C$2:$N$2)),0),0)</f>
        <v/>
      </c>
      <c r="AB39">
        <f>SUMPRODUCT((C38:N38&gt;0)*$C$7:$N$7)</f>
        <v/>
      </c>
      <c r="AC39">
        <f>MAX(0,Plan!$C$5-AB39)+IF(A39=Plan!$C$8,N(Plan!$C$7),0)</f>
        <v/>
      </c>
      <c r="AD39">
        <f>SUM(C39:N39)</f>
        <v/>
      </c>
      <c r="AE39">
        <f>SUM(O39:Z39)</f>
        <v/>
      </c>
      <c r="AF39">
        <f>IFERROR(ROUND(1/SUMPRODUCT(MAX((C38:N38&gt;0)*($C$3:$N$3&lt;=B39)*($C$2:$N$2&gt;AA39)/$C$2:$N$2)),0),0)</f>
        <v/>
      </c>
      <c r="AG39">
        <f>MAX(0,AC39-MAX(0,SUMPRODUCT(($C$2:$N$2=AA39)*(AH39:AS39-$C$7:$N$7))))</f>
        <v/>
      </c>
      <c r="AH39">
        <f>IF(C38&lt;=0,0,ROUND(C38*(1+IF(AND(C$6&gt;0,$B39&lt;C$6),C$4,C$5)/12),2))</f>
        <v/>
      </c>
      <c r="AI39">
        <f>IF(D38&lt;=0,0,ROUND(D38*(1+IF(AND(D$6&gt;0,$B39&lt;D$6),D$4,D$5)/12),2))</f>
        <v/>
      </c>
      <c r="AJ39">
        <f>IF(E38&lt;=0,0,ROUND(E38*(1+IF(AND(E$6&gt;0,$B39&lt;E$6),E$4,E$5)/12),2))</f>
        <v/>
      </c>
      <c r="AK39">
        <f>IF(F38&lt;=0,0,ROUND(F38*(1+IF(AND(F$6&gt;0,$B39&lt;F$6),F$4,F$5)/12),2))</f>
        <v/>
      </c>
      <c r="AL39">
        <f>IF(G38&lt;=0,0,ROUND(G38*(1+IF(AND(G$6&gt;0,$B39&lt;G$6),G$4,G$5)/12),2))</f>
        <v/>
      </c>
      <c r="AM39">
        <f>IF(H38&lt;=0,0,ROUND(H38*(1+IF(AND(H$6&gt;0,$B39&lt;H$6),H$4,H$5)/12),2))</f>
        <v/>
      </c>
      <c r="AN39">
        <f>IF(I38&lt;=0,0,ROUND(I38*(1+IF(AND(I$6&gt;0,$B39&lt;I$6),I$4,I$5)/12),2))</f>
        <v/>
      </c>
      <c r="AO39">
        <f>IF(J38&lt;=0,0,ROUND(J38*(1+IF(AND(J$6&gt;0,$B39&lt;J$6),J$4,J$5)/12),2))</f>
        <v/>
      </c>
      <c r="AP39">
        <f>IF(K38&lt;=0,0,ROUND(K38*(1+IF(AND(K$6&gt;0,$B39&lt;K$6),K$4,K$5)/12),2))</f>
        <v/>
      </c>
      <c r="AQ39">
        <f>IF(L38&lt;=0,0,ROUND(L38*(1+IF(AND(L$6&gt;0,$B39&lt;L$6),L$4,L$5)/12),2))</f>
        <v/>
      </c>
      <c r="AR39">
        <f>IF(M38&lt;=0,0,ROUND(M38*(1+IF(AND(M$6&gt;0,$B39&lt;M$6),M$4,M$5)/12),2))</f>
        <v/>
      </c>
      <c r="AS39">
        <f>IF(N38&lt;=0,0,ROUND(N38*(1+IF(AND(N$6&gt;0,$B39&lt;N$6),N$4,N$5)/12),2))</f>
        <v/>
      </c>
    </row>
    <row r="40">
      <c r="A40" t="n">
        <v>29</v>
      </c>
      <c r="B40">
        <f>EDATE(Plan!$C$6,28)</f>
        <v/>
      </c>
      <c r="C40">
        <f>IF(C39&lt;=0,0,MAX(0,AH40-O40))</f>
        <v/>
      </c>
      <c r="D40">
        <f>IF(D39&lt;=0,0,MAX(0,AI40-P40))</f>
        <v/>
      </c>
      <c r="E40">
        <f>IF(E39&lt;=0,0,MAX(0,AJ40-Q40))</f>
        <v/>
      </c>
      <c r="F40">
        <f>IF(F39&lt;=0,0,MAX(0,AK40-R40))</f>
        <v/>
      </c>
      <c r="G40">
        <f>IF(G39&lt;=0,0,MAX(0,AL40-S40))</f>
        <v/>
      </c>
      <c r="H40">
        <f>IF(H39&lt;=0,0,MAX(0,AM40-T40))</f>
        <v/>
      </c>
      <c r="I40">
        <f>IF(I39&lt;=0,0,MAX(0,AN40-U40))</f>
        <v/>
      </c>
      <c r="J40">
        <f>IF(J39&lt;=0,0,MAX(0,AO40-V40))</f>
        <v/>
      </c>
      <c r="K40">
        <f>IF(K39&lt;=0,0,MAX(0,AP40-W40))</f>
        <v/>
      </c>
      <c r="L40">
        <f>IF(L39&lt;=0,0,MAX(0,AQ40-X40))</f>
        <v/>
      </c>
      <c r="M40">
        <f>IF(M39&lt;=0,0,MAX(0,AR40-Y40))</f>
        <v/>
      </c>
      <c r="N40">
        <f>IF(N39&lt;=0,0,MAX(0,AS40-Z40))</f>
        <v/>
      </c>
      <c r="O40">
        <f>IF(C39&lt;=0,0,MIN(AH40,C$7+IF(C$2=$AA40,$AC40,IF(C$2=$AF40,$AG40,0))))</f>
        <v/>
      </c>
      <c r="P40">
        <f>IF(D39&lt;=0,0,MIN(AI40,D$7+IF(D$2=$AA40,$AC40,IF(D$2=$AF40,$AG40,0))))</f>
        <v/>
      </c>
      <c r="Q40">
        <f>IF(E39&lt;=0,0,MIN(AJ40,E$7+IF(E$2=$AA40,$AC40,IF(E$2=$AF40,$AG40,0))))</f>
        <v/>
      </c>
      <c r="R40">
        <f>IF(F39&lt;=0,0,MIN(AK40,F$7+IF(F$2=$AA40,$AC40,IF(F$2=$AF40,$AG40,0))))</f>
        <v/>
      </c>
      <c r="S40">
        <f>IF(G39&lt;=0,0,MIN(AL40,G$7+IF(G$2=$AA40,$AC40,IF(G$2=$AF40,$AG40,0))))</f>
        <v/>
      </c>
      <c r="T40">
        <f>IF(H39&lt;=0,0,MIN(AM40,H$7+IF(H$2=$AA40,$AC40,IF(H$2=$AF40,$AG40,0))))</f>
        <v/>
      </c>
      <c r="U40">
        <f>IF(I39&lt;=0,0,MIN(AN40,I$7+IF(I$2=$AA40,$AC40,IF(I$2=$AF40,$AG40,0))))</f>
        <v/>
      </c>
      <c r="V40">
        <f>IF(J39&lt;=0,0,MIN(AO40,J$7+IF(J$2=$AA40,$AC40,IF(J$2=$AF40,$AG40,0))))</f>
        <v/>
      </c>
      <c r="W40">
        <f>IF(K39&lt;=0,0,MIN(AP40,K$7+IF(K$2=$AA40,$AC40,IF(K$2=$AF40,$AG40,0))))</f>
        <v/>
      </c>
      <c r="X40">
        <f>IF(L39&lt;=0,0,MIN(AQ40,L$7+IF(L$2=$AA40,$AC40,IF(L$2=$AF40,$AG40,0))))</f>
        <v/>
      </c>
      <c r="Y40">
        <f>IF(M39&lt;=0,0,MIN(AR40,M$7+IF(M$2=$AA40,$AC40,IF(M$2=$AF40,$AG40,0))))</f>
        <v/>
      </c>
      <c r="Z40">
        <f>IF(N39&lt;=0,0,MIN(AS40,N$7+IF(N$2=$AA40,$AC40,IF(N$2=$AF40,$AG40,0))))</f>
        <v/>
      </c>
      <c r="AA40">
        <f>IFERROR(ROUND(1/SUMPRODUCT(MAX((C39:N39&gt;0)*($C$3:$N$3&lt;=B40)/$C$2:$N$2)),0),0)</f>
        <v/>
      </c>
      <c r="AB40">
        <f>SUMPRODUCT((C39:N39&gt;0)*$C$7:$N$7)</f>
        <v/>
      </c>
      <c r="AC40">
        <f>MAX(0,Plan!$C$5-AB40)+IF(A40=Plan!$C$8,N(Plan!$C$7),0)</f>
        <v/>
      </c>
      <c r="AD40">
        <f>SUM(C40:N40)</f>
        <v/>
      </c>
      <c r="AE40">
        <f>SUM(O40:Z40)</f>
        <v/>
      </c>
      <c r="AF40">
        <f>IFERROR(ROUND(1/SUMPRODUCT(MAX((C39:N39&gt;0)*($C$3:$N$3&lt;=B40)*($C$2:$N$2&gt;AA40)/$C$2:$N$2)),0),0)</f>
        <v/>
      </c>
      <c r="AG40">
        <f>MAX(0,AC40-MAX(0,SUMPRODUCT(($C$2:$N$2=AA40)*(AH40:AS40-$C$7:$N$7))))</f>
        <v/>
      </c>
      <c r="AH40">
        <f>IF(C39&lt;=0,0,ROUND(C39*(1+IF(AND(C$6&gt;0,$B40&lt;C$6),C$4,C$5)/12),2))</f>
        <v/>
      </c>
      <c r="AI40">
        <f>IF(D39&lt;=0,0,ROUND(D39*(1+IF(AND(D$6&gt;0,$B40&lt;D$6),D$4,D$5)/12),2))</f>
        <v/>
      </c>
      <c r="AJ40">
        <f>IF(E39&lt;=0,0,ROUND(E39*(1+IF(AND(E$6&gt;0,$B40&lt;E$6),E$4,E$5)/12),2))</f>
        <v/>
      </c>
      <c r="AK40">
        <f>IF(F39&lt;=0,0,ROUND(F39*(1+IF(AND(F$6&gt;0,$B40&lt;F$6),F$4,F$5)/12),2))</f>
        <v/>
      </c>
      <c r="AL40">
        <f>IF(G39&lt;=0,0,ROUND(G39*(1+IF(AND(G$6&gt;0,$B40&lt;G$6),G$4,G$5)/12),2))</f>
        <v/>
      </c>
      <c r="AM40">
        <f>IF(H39&lt;=0,0,ROUND(H39*(1+IF(AND(H$6&gt;0,$B40&lt;H$6),H$4,H$5)/12),2))</f>
        <v/>
      </c>
      <c r="AN40">
        <f>IF(I39&lt;=0,0,ROUND(I39*(1+IF(AND(I$6&gt;0,$B40&lt;I$6),I$4,I$5)/12),2))</f>
        <v/>
      </c>
      <c r="AO40">
        <f>IF(J39&lt;=0,0,ROUND(J39*(1+IF(AND(J$6&gt;0,$B40&lt;J$6),J$4,J$5)/12),2))</f>
        <v/>
      </c>
      <c r="AP40">
        <f>IF(K39&lt;=0,0,ROUND(K39*(1+IF(AND(K$6&gt;0,$B40&lt;K$6),K$4,K$5)/12),2))</f>
        <v/>
      </c>
      <c r="AQ40">
        <f>IF(L39&lt;=0,0,ROUND(L39*(1+IF(AND(L$6&gt;0,$B40&lt;L$6),L$4,L$5)/12),2))</f>
        <v/>
      </c>
      <c r="AR40">
        <f>IF(M39&lt;=0,0,ROUND(M39*(1+IF(AND(M$6&gt;0,$B40&lt;M$6),M$4,M$5)/12),2))</f>
        <v/>
      </c>
      <c r="AS40">
        <f>IF(N39&lt;=0,0,ROUND(N39*(1+IF(AND(N$6&gt;0,$B40&lt;N$6),N$4,N$5)/12),2))</f>
        <v/>
      </c>
    </row>
    <row r="41">
      <c r="A41" t="n">
        <v>30</v>
      </c>
      <c r="B41">
        <f>EDATE(Plan!$C$6,29)</f>
        <v/>
      </c>
      <c r="C41">
        <f>IF(C40&lt;=0,0,MAX(0,AH41-O41))</f>
        <v/>
      </c>
      <c r="D41">
        <f>IF(D40&lt;=0,0,MAX(0,AI41-P41))</f>
        <v/>
      </c>
      <c r="E41">
        <f>IF(E40&lt;=0,0,MAX(0,AJ41-Q41))</f>
        <v/>
      </c>
      <c r="F41">
        <f>IF(F40&lt;=0,0,MAX(0,AK41-R41))</f>
        <v/>
      </c>
      <c r="G41">
        <f>IF(G40&lt;=0,0,MAX(0,AL41-S41))</f>
        <v/>
      </c>
      <c r="H41">
        <f>IF(H40&lt;=0,0,MAX(0,AM41-T41))</f>
        <v/>
      </c>
      <c r="I41">
        <f>IF(I40&lt;=0,0,MAX(0,AN41-U41))</f>
        <v/>
      </c>
      <c r="J41">
        <f>IF(J40&lt;=0,0,MAX(0,AO41-V41))</f>
        <v/>
      </c>
      <c r="K41">
        <f>IF(K40&lt;=0,0,MAX(0,AP41-W41))</f>
        <v/>
      </c>
      <c r="L41">
        <f>IF(L40&lt;=0,0,MAX(0,AQ41-X41))</f>
        <v/>
      </c>
      <c r="M41">
        <f>IF(M40&lt;=0,0,MAX(0,AR41-Y41))</f>
        <v/>
      </c>
      <c r="N41">
        <f>IF(N40&lt;=0,0,MAX(0,AS41-Z41))</f>
        <v/>
      </c>
      <c r="O41">
        <f>IF(C40&lt;=0,0,MIN(AH41,C$7+IF(C$2=$AA41,$AC41,IF(C$2=$AF41,$AG41,0))))</f>
        <v/>
      </c>
      <c r="P41">
        <f>IF(D40&lt;=0,0,MIN(AI41,D$7+IF(D$2=$AA41,$AC41,IF(D$2=$AF41,$AG41,0))))</f>
        <v/>
      </c>
      <c r="Q41">
        <f>IF(E40&lt;=0,0,MIN(AJ41,E$7+IF(E$2=$AA41,$AC41,IF(E$2=$AF41,$AG41,0))))</f>
        <v/>
      </c>
      <c r="R41">
        <f>IF(F40&lt;=0,0,MIN(AK41,F$7+IF(F$2=$AA41,$AC41,IF(F$2=$AF41,$AG41,0))))</f>
        <v/>
      </c>
      <c r="S41">
        <f>IF(G40&lt;=0,0,MIN(AL41,G$7+IF(G$2=$AA41,$AC41,IF(G$2=$AF41,$AG41,0))))</f>
        <v/>
      </c>
      <c r="T41">
        <f>IF(H40&lt;=0,0,MIN(AM41,H$7+IF(H$2=$AA41,$AC41,IF(H$2=$AF41,$AG41,0))))</f>
        <v/>
      </c>
      <c r="U41">
        <f>IF(I40&lt;=0,0,MIN(AN41,I$7+IF(I$2=$AA41,$AC41,IF(I$2=$AF41,$AG41,0))))</f>
        <v/>
      </c>
      <c r="V41">
        <f>IF(J40&lt;=0,0,MIN(AO41,J$7+IF(J$2=$AA41,$AC41,IF(J$2=$AF41,$AG41,0))))</f>
        <v/>
      </c>
      <c r="W41">
        <f>IF(K40&lt;=0,0,MIN(AP41,K$7+IF(K$2=$AA41,$AC41,IF(K$2=$AF41,$AG41,0))))</f>
        <v/>
      </c>
      <c r="X41">
        <f>IF(L40&lt;=0,0,MIN(AQ41,L$7+IF(L$2=$AA41,$AC41,IF(L$2=$AF41,$AG41,0))))</f>
        <v/>
      </c>
      <c r="Y41">
        <f>IF(M40&lt;=0,0,MIN(AR41,M$7+IF(M$2=$AA41,$AC41,IF(M$2=$AF41,$AG41,0))))</f>
        <v/>
      </c>
      <c r="Z41">
        <f>IF(N40&lt;=0,0,MIN(AS41,N$7+IF(N$2=$AA41,$AC41,IF(N$2=$AF41,$AG41,0))))</f>
        <v/>
      </c>
      <c r="AA41">
        <f>IFERROR(ROUND(1/SUMPRODUCT(MAX((C40:N40&gt;0)*($C$3:$N$3&lt;=B41)/$C$2:$N$2)),0),0)</f>
        <v/>
      </c>
      <c r="AB41">
        <f>SUMPRODUCT((C40:N40&gt;0)*$C$7:$N$7)</f>
        <v/>
      </c>
      <c r="AC41">
        <f>MAX(0,Plan!$C$5-AB41)+IF(A41=Plan!$C$8,N(Plan!$C$7),0)</f>
        <v/>
      </c>
      <c r="AD41">
        <f>SUM(C41:N41)</f>
        <v/>
      </c>
      <c r="AE41">
        <f>SUM(O41:Z41)</f>
        <v/>
      </c>
      <c r="AF41">
        <f>IFERROR(ROUND(1/SUMPRODUCT(MAX((C40:N40&gt;0)*($C$3:$N$3&lt;=B41)*($C$2:$N$2&gt;AA41)/$C$2:$N$2)),0),0)</f>
        <v/>
      </c>
      <c r="AG41">
        <f>MAX(0,AC41-MAX(0,SUMPRODUCT(($C$2:$N$2=AA41)*(AH41:AS41-$C$7:$N$7))))</f>
        <v/>
      </c>
      <c r="AH41">
        <f>IF(C40&lt;=0,0,ROUND(C40*(1+IF(AND(C$6&gt;0,$B41&lt;C$6),C$4,C$5)/12),2))</f>
        <v/>
      </c>
      <c r="AI41">
        <f>IF(D40&lt;=0,0,ROUND(D40*(1+IF(AND(D$6&gt;0,$B41&lt;D$6),D$4,D$5)/12),2))</f>
        <v/>
      </c>
      <c r="AJ41">
        <f>IF(E40&lt;=0,0,ROUND(E40*(1+IF(AND(E$6&gt;0,$B41&lt;E$6),E$4,E$5)/12),2))</f>
        <v/>
      </c>
      <c r="AK41">
        <f>IF(F40&lt;=0,0,ROUND(F40*(1+IF(AND(F$6&gt;0,$B41&lt;F$6),F$4,F$5)/12),2))</f>
        <v/>
      </c>
      <c r="AL41">
        <f>IF(G40&lt;=0,0,ROUND(G40*(1+IF(AND(G$6&gt;0,$B41&lt;G$6),G$4,G$5)/12),2))</f>
        <v/>
      </c>
      <c r="AM41">
        <f>IF(H40&lt;=0,0,ROUND(H40*(1+IF(AND(H$6&gt;0,$B41&lt;H$6),H$4,H$5)/12),2))</f>
        <v/>
      </c>
      <c r="AN41">
        <f>IF(I40&lt;=0,0,ROUND(I40*(1+IF(AND(I$6&gt;0,$B41&lt;I$6),I$4,I$5)/12),2))</f>
        <v/>
      </c>
      <c r="AO41">
        <f>IF(J40&lt;=0,0,ROUND(J40*(1+IF(AND(J$6&gt;0,$B41&lt;J$6),J$4,J$5)/12),2))</f>
        <v/>
      </c>
      <c r="AP41">
        <f>IF(K40&lt;=0,0,ROUND(K40*(1+IF(AND(K$6&gt;0,$B41&lt;K$6),K$4,K$5)/12),2))</f>
        <v/>
      </c>
      <c r="AQ41">
        <f>IF(L40&lt;=0,0,ROUND(L40*(1+IF(AND(L$6&gt;0,$B41&lt;L$6),L$4,L$5)/12),2))</f>
        <v/>
      </c>
      <c r="AR41">
        <f>IF(M40&lt;=0,0,ROUND(M40*(1+IF(AND(M$6&gt;0,$B41&lt;M$6),M$4,M$5)/12),2))</f>
        <v/>
      </c>
      <c r="AS41">
        <f>IF(N40&lt;=0,0,ROUND(N40*(1+IF(AND(N$6&gt;0,$B41&lt;N$6),N$4,N$5)/12),2))</f>
        <v/>
      </c>
    </row>
    <row r="42">
      <c r="A42" t="n">
        <v>31</v>
      </c>
      <c r="B42">
        <f>EDATE(Plan!$C$6,30)</f>
        <v/>
      </c>
      <c r="C42">
        <f>IF(C41&lt;=0,0,MAX(0,AH42-O42))</f>
        <v/>
      </c>
      <c r="D42">
        <f>IF(D41&lt;=0,0,MAX(0,AI42-P42))</f>
        <v/>
      </c>
      <c r="E42">
        <f>IF(E41&lt;=0,0,MAX(0,AJ42-Q42))</f>
        <v/>
      </c>
      <c r="F42">
        <f>IF(F41&lt;=0,0,MAX(0,AK42-R42))</f>
        <v/>
      </c>
      <c r="G42">
        <f>IF(G41&lt;=0,0,MAX(0,AL42-S42))</f>
        <v/>
      </c>
      <c r="H42">
        <f>IF(H41&lt;=0,0,MAX(0,AM42-T42))</f>
        <v/>
      </c>
      <c r="I42">
        <f>IF(I41&lt;=0,0,MAX(0,AN42-U42))</f>
        <v/>
      </c>
      <c r="J42">
        <f>IF(J41&lt;=0,0,MAX(0,AO42-V42))</f>
        <v/>
      </c>
      <c r="K42">
        <f>IF(K41&lt;=0,0,MAX(0,AP42-W42))</f>
        <v/>
      </c>
      <c r="L42">
        <f>IF(L41&lt;=0,0,MAX(0,AQ42-X42))</f>
        <v/>
      </c>
      <c r="M42">
        <f>IF(M41&lt;=0,0,MAX(0,AR42-Y42))</f>
        <v/>
      </c>
      <c r="N42">
        <f>IF(N41&lt;=0,0,MAX(0,AS42-Z42))</f>
        <v/>
      </c>
      <c r="O42">
        <f>IF(C41&lt;=0,0,MIN(AH42,C$7+IF(C$2=$AA42,$AC42,IF(C$2=$AF42,$AG42,0))))</f>
        <v/>
      </c>
      <c r="P42">
        <f>IF(D41&lt;=0,0,MIN(AI42,D$7+IF(D$2=$AA42,$AC42,IF(D$2=$AF42,$AG42,0))))</f>
        <v/>
      </c>
      <c r="Q42">
        <f>IF(E41&lt;=0,0,MIN(AJ42,E$7+IF(E$2=$AA42,$AC42,IF(E$2=$AF42,$AG42,0))))</f>
        <v/>
      </c>
      <c r="R42">
        <f>IF(F41&lt;=0,0,MIN(AK42,F$7+IF(F$2=$AA42,$AC42,IF(F$2=$AF42,$AG42,0))))</f>
        <v/>
      </c>
      <c r="S42">
        <f>IF(G41&lt;=0,0,MIN(AL42,G$7+IF(G$2=$AA42,$AC42,IF(G$2=$AF42,$AG42,0))))</f>
        <v/>
      </c>
      <c r="T42">
        <f>IF(H41&lt;=0,0,MIN(AM42,H$7+IF(H$2=$AA42,$AC42,IF(H$2=$AF42,$AG42,0))))</f>
        <v/>
      </c>
      <c r="U42">
        <f>IF(I41&lt;=0,0,MIN(AN42,I$7+IF(I$2=$AA42,$AC42,IF(I$2=$AF42,$AG42,0))))</f>
        <v/>
      </c>
      <c r="V42">
        <f>IF(J41&lt;=0,0,MIN(AO42,J$7+IF(J$2=$AA42,$AC42,IF(J$2=$AF42,$AG42,0))))</f>
        <v/>
      </c>
      <c r="W42">
        <f>IF(K41&lt;=0,0,MIN(AP42,K$7+IF(K$2=$AA42,$AC42,IF(K$2=$AF42,$AG42,0))))</f>
        <v/>
      </c>
      <c r="X42">
        <f>IF(L41&lt;=0,0,MIN(AQ42,L$7+IF(L$2=$AA42,$AC42,IF(L$2=$AF42,$AG42,0))))</f>
        <v/>
      </c>
      <c r="Y42">
        <f>IF(M41&lt;=0,0,MIN(AR42,M$7+IF(M$2=$AA42,$AC42,IF(M$2=$AF42,$AG42,0))))</f>
        <v/>
      </c>
      <c r="Z42">
        <f>IF(N41&lt;=0,0,MIN(AS42,N$7+IF(N$2=$AA42,$AC42,IF(N$2=$AF42,$AG42,0))))</f>
        <v/>
      </c>
      <c r="AA42">
        <f>IFERROR(ROUND(1/SUMPRODUCT(MAX((C41:N41&gt;0)*($C$3:$N$3&lt;=B42)/$C$2:$N$2)),0),0)</f>
        <v/>
      </c>
      <c r="AB42">
        <f>SUMPRODUCT((C41:N41&gt;0)*$C$7:$N$7)</f>
        <v/>
      </c>
      <c r="AC42">
        <f>MAX(0,Plan!$C$5-AB42)+IF(A42=Plan!$C$8,N(Plan!$C$7),0)</f>
        <v/>
      </c>
      <c r="AD42">
        <f>SUM(C42:N42)</f>
        <v/>
      </c>
      <c r="AE42">
        <f>SUM(O42:Z42)</f>
        <v/>
      </c>
      <c r="AF42">
        <f>IFERROR(ROUND(1/SUMPRODUCT(MAX((C41:N41&gt;0)*($C$3:$N$3&lt;=B42)*($C$2:$N$2&gt;AA42)/$C$2:$N$2)),0),0)</f>
        <v/>
      </c>
      <c r="AG42">
        <f>MAX(0,AC42-MAX(0,SUMPRODUCT(($C$2:$N$2=AA42)*(AH42:AS42-$C$7:$N$7))))</f>
        <v/>
      </c>
      <c r="AH42">
        <f>IF(C41&lt;=0,0,ROUND(C41*(1+IF(AND(C$6&gt;0,$B42&lt;C$6),C$4,C$5)/12),2))</f>
        <v/>
      </c>
      <c r="AI42">
        <f>IF(D41&lt;=0,0,ROUND(D41*(1+IF(AND(D$6&gt;0,$B42&lt;D$6),D$4,D$5)/12),2))</f>
        <v/>
      </c>
      <c r="AJ42">
        <f>IF(E41&lt;=0,0,ROUND(E41*(1+IF(AND(E$6&gt;0,$B42&lt;E$6),E$4,E$5)/12),2))</f>
        <v/>
      </c>
      <c r="AK42">
        <f>IF(F41&lt;=0,0,ROUND(F41*(1+IF(AND(F$6&gt;0,$B42&lt;F$6),F$4,F$5)/12),2))</f>
        <v/>
      </c>
      <c r="AL42">
        <f>IF(G41&lt;=0,0,ROUND(G41*(1+IF(AND(G$6&gt;0,$B42&lt;G$6),G$4,G$5)/12),2))</f>
        <v/>
      </c>
      <c r="AM42">
        <f>IF(H41&lt;=0,0,ROUND(H41*(1+IF(AND(H$6&gt;0,$B42&lt;H$6),H$4,H$5)/12),2))</f>
        <v/>
      </c>
      <c r="AN42">
        <f>IF(I41&lt;=0,0,ROUND(I41*(1+IF(AND(I$6&gt;0,$B42&lt;I$6),I$4,I$5)/12),2))</f>
        <v/>
      </c>
      <c r="AO42">
        <f>IF(J41&lt;=0,0,ROUND(J41*(1+IF(AND(J$6&gt;0,$B42&lt;J$6),J$4,J$5)/12),2))</f>
        <v/>
      </c>
      <c r="AP42">
        <f>IF(K41&lt;=0,0,ROUND(K41*(1+IF(AND(K$6&gt;0,$B42&lt;K$6),K$4,K$5)/12),2))</f>
        <v/>
      </c>
      <c r="AQ42">
        <f>IF(L41&lt;=0,0,ROUND(L41*(1+IF(AND(L$6&gt;0,$B42&lt;L$6),L$4,L$5)/12),2))</f>
        <v/>
      </c>
      <c r="AR42">
        <f>IF(M41&lt;=0,0,ROUND(M41*(1+IF(AND(M$6&gt;0,$B42&lt;M$6),M$4,M$5)/12),2))</f>
        <v/>
      </c>
      <c r="AS42">
        <f>IF(N41&lt;=0,0,ROUND(N41*(1+IF(AND(N$6&gt;0,$B42&lt;N$6),N$4,N$5)/12),2))</f>
        <v/>
      </c>
    </row>
    <row r="43">
      <c r="A43" t="n">
        <v>32</v>
      </c>
      <c r="B43">
        <f>EDATE(Plan!$C$6,31)</f>
        <v/>
      </c>
      <c r="C43">
        <f>IF(C42&lt;=0,0,MAX(0,AH43-O43))</f>
        <v/>
      </c>
      <c r="D43">
        <f>IF(D42&lt;=0,0,MAX(0,AI43-P43))</f>
        <v/>
      </c>
      <c r="E43">
        <f>IF(E42&lt;=0,0,MAX(0,AJ43-Q43))</f>
        <v/>
      </c>
      <c r="F43">
        <f>IF(F42&lt;=0,0,MAX(0,AK43-R43))</f>
        <v/>
      </c>
      <c r="G43">
        <f>IF(G42&lt;=0,0,MAX(0,AL43-S43))</f>
        <v/>
      </c>
      <c r="H43">
        <f>IF(H42&lt;=0,0,MAX(0,AM43-T43))</f>
        <v/>
      </c>
      <c r="I43">
        <f>IF(I42&lt;=0,0,MAX(0,AN43-U43))</f>
        <v/>
      </c>
      <c r="J43">
        <f>IF(J42&lt;=0,0,MAX(0,AO43-V43))</f>
        <v/>
      </c>
      <c r="K43">
        <f>IF(K42&lt;=0,0,MAX(0,AP43-W43))</f>
        <v/>
      </c>
      <c r="L43">
        <f>IF(L42&lt;=0,0,MAX(0,AQ43-X43))</f>
        <v/>
      </c>
      <c r="M43">
        <f>IF(M42&lt;=0,0,MAX(0,AR43-Y43))</f>
        <v/>
      </c>
      <c r="N43">
        <f>IF(N42&lt;=0,0,MAX(0,AS43-Z43))</f>
        <v/>
      </c>
      <c r="O43">
        <f>IF(C42&lt;=0,0,MIN(AH43,C$7+IF(C$2=$AA43,$AC43,IF(C$2=$AF43,$AG43,0))))</f>
        <v/>
      </c>
      <c r="P43">
        <f>IF(D42&lt;=0,0,MIN(AI43,D$7+IF(D$2=$AA43,$AC43,IF(D$2=$AF43,$AG43,0))))</f>
        <v/>
      </c>
      <c r="Q43">
        <f>IF(E42&lt;=0,0,MIN(AJ43,E$7+IF(E$2=$AA43,$AC43,IF(E$2=$AF43,$AG43,0))))</f>
        <v/>
      </c>
      <c r="R43">
        <f>IF(F42&lt;=0,0,MIN(AK43,F$7+IF(F$2=$AA43,$AC43,IF(F$2=$AF43,$AG43,0))))</f>
        <v/>
      </c>
      <c r="S43">
        <f>IF(G42&lt;=0,0,MIN(AL43,G$7+IF(G$2=$AA43,$AC43,IF(G$2=$AF43,$AG43,0))))</f>
        <v/>
      </c>
      <c r="T43">
        <f>IF(H42&lt;=0,0,MIN(AM43,H$7+IF(H$2=$AA43,$AC43,IF(H$2=$AF43,$AG43,0))))</f>
        <v/>
      </c>
      <c r="U43">
        <f>IF(I42&lt;=0,0,MIN(AN43,I$7+IF(I$2=$AA43,$AC43,IF(I$2=$AF43,$AG43,0))))</f>
        <v/>
      </c>
      <c r="V43">
        <f>IF(J42&lt;=0,0,MIN(AO43,J$7+IF(J$2=$AA43,$AC43,IF(J$2=$AF43,$AG43,0))))</f>
        <v/>
      </c>
      <c r="W43">
        <f>IF(K42&lt;=0,0,MIN(AP43,K$7+IF(K$2=$AA43,$AC43,IF(K$2=$AF43,$AG43,0))))</f>
        <v/>
      </c>
      <c r="X43">
        <f>IF(L42&lt;=0,0,MIN(AQ43,L$7+IF(L$2=$AA43,$AC43,IF(L$2=$AF43,$AG43,0))))</f>
        <v/>
      </c>
      <c r="Y43">
        <f>IF(M42&lt;=0,0,MIN(AR43,M$7+IF(M$2=$AA43,$AC43,IF(M$2=$AF43,$AG43,0))))</f>
        <v/>
      </c>
      <c r="Z43">
        <f>IF(N42&lt;=0,0,MIN(AS43,N$7+IF(N$2=$AA43,$AC43,IF(N$2=$AF43,$AG43,0))))</f>
        <v/>
      </c>
      <c r="AA43">
        <f>IFERROR(ROUND(1/SUMPRODUCT(MAX((C42:N42&gt;0)*($C$3:$N$3&lt;=B43)/$C$2:$N$2)),0),0)</f>
        <v/>
      </c>
      <c r="AB43">
        <f>SUMPRODUCT((C42:N42&gt;0)*$C$7:$N$7)</f>
        <v/>
      </c>
      <c r="AC43">
        <f>MAX(0,Plan!$C$5-AB43)+IF(A43=Plan!$C$8,N(Plan!$C$7),0)</f>
        <v/>
      </c>
      <c r="AD43">
        <f>SUM(C43:N43)</f>
        <v/>
      </c>
      <c r="AE43">
        <f>SUM(O43:Z43)</f>
        <v/>
      </c>
      <c r="AF43">
        <f>IFERROR(ROUND(1/SUMPRODUCT(MAX((C42:N42&gt;0)*($C$3:$N$3&lt;=B43)*($C$2:$N$2&gt;AA43)/$C$2:$N$2)),0),0)</f>
        <v/>
      </c>
      <c r="AG43">
        <f>MAX(0,AC43-MAX(0,SUMPRODUCT(($C$2:$N$2=AA43)*(AH43:AS43-$C$7:$N$7))))</f>
        <v/>
      </c>
      <c r="AH43">
        <f>IF(C42&lt;=0,0,ROUND(C42*(1+IF(AND(C$6&gt;0,$B43&lt;C$6),C$4,C$5)/12),2))</f>
        <v/>
      </c>
      <c r="AI43">
        <f>IF(D42&lt;=0,0,ROUND(D42*(1+IF(AND(D$6&gt;0,$B43&lt;D$6),D$4,D$5)/12),2))</f>
        <v/>
      </c>
      <c r="AJ43">
        <f>IF(E42&lt;=0,0,ROUND(E42*(1+IF(AND(E$6&gt;0,$B43&lt;E$6),E$4,E$5)/12),2))</f>
        <v/>
      </c>
      <c r="AK43">
        <f>IF(F42&lt;=0,0,ROUND(F42*(1+IF(AND(F$6&gt;0,$B43&lt;F$6),F$4,F$5)/12),2))</f>
        <v/>
      </c>
      <c r="AL43">
        <f>IF(G42&lt;=0,0,ROUND(G42*(1+IF(AND(G$6&gt;0,$B43&lt;G$6),G$4,G$5)/12),2))</f>
        <v/>
      </c>
      <c r="AM43">
        <f>IF(H42&lt;=0,0,ROUND(H42*(1+IF(AND(H$6&gt;0,$B43&lt;H$6),H$4,H$5)/12),2))</f>
        <v/>
      </c>
      <c r="AN43">
        <f>IF(I42&lt;=0,0,ROUND(I42*(1+IF(AND(I$6&gt;0,$B43&lt;I$6),I$4,I$5)/12),2))</f>
        <v/>
      </c>
      <c r="AO43">
        <f>IF(J42&lt;=0,0,ROUND(J42*(1+IF(AND(J$6&gt;0,$B43&lt;J$6),J$4,J$5)/12),2))</f>
        <v/>
      </c>
      <c r="AP43">
        <f>IF(K42&lt;=0,0,ROUND(K42*(1+IF(AND(K$6&gt;0,$B43&lt;K$6),K$4,K$5)/12),2))</f>
        <v/>
      </c>
      <c r="AQ43">
        <f>IF(L42&lt;=0,0,ROUND(L42*(1+IF(AND(L$6&gt;0,$B43&lt;L$6),L$4,L$5)/12),2))</f>
        <v/>
      </c>
      <c r="AR43">
        <f>IF(M42&lt;=0,0,ROUND(M42*(1+IF(AND(M$6&gt;0,$B43&lt;M$6),M$4,M$5)/12),2))</f>
        <v/>
      </c>
      <c r="AS43">
        <f>IF(N42&lt;=0,0,ROUND(N42*(1+IF(AND(N$6&gt;0,$B43&lt;N$6),N$4,N$5)/12),2))</f>
        <v/>
      </c>
    </row>
    <row r="44">
      <c r="A44" t="n">
        <v>33</v>
      </c>
      <c r="B44">
        <f>EDATE(Plan!$C$6,32)</f>
        <v/>
      </c>
      <c r="C44">
        <f>IF(C43&lt;=0,0,MAX(0,AH44-O44))</f>
        <v/>
      </c>
      <c r="D44">
        <f>IF(D43&lt;=0,0,MAX(0,AI44-P44))</f>
        <v/>
      </c>
      <c r="E44">
        <f>IF(E43&lt;=0,0,MAX(0,AJ44-Q44))</f>
        <v/>
      </c>
      <c r="F44">
        <f>IF(F43&lt;=0,0,MAX(0,AK44-R44))</f>
        <v/>
      </c>
      <c r="G44">
        <f>IF(G43&lt;=0,0,MAX(0,AL44-S44))</f>
        <v/>
      </c>
      <c r="H44">
        <f>IF(H43&lt;=0,0,MAX(0,AM44-T44))</f>
        <v/>
      </c>
      <c r="I44">
        <f>IF(I43&lt;=0,0,MAX(0,AN44-U44))</f>
        <v/>
      </c>
      <c r="J44">
        <f>IF(J43&lt;=0,0,MAX(0,AO44-V44))</f>
        <v/>
      </c>
      <c r="K44">
        <f>IF(K43&lt;=0,0,MAX(0,AP44-W44))</f>
        <v/>
      </c>
      <c r="L44">
        <f>IF(L43&lt;=0,0,MAX(0,AQ44-X44))</f>
        <v/>
      </c>
      <c r="M44">
        <f>IF(M43&lt;=0,0,MAX(0,AR44-Y44))</f>
        <v/>
      </c>
      <c r="N44">
        <f>IF(N43&lt;=0,0,MAX(0,AS44-Z44))</f>
        <v/>
      </c>
      <c r="O44">
        <f>IF(C43&lt;=0,0,MIN(AH44,C$7+IF(C$2=$AA44,$AC44,IF(C$2=$AF44,$AG44,0))))</f>
        <v/>
      </c>
      <c r="P44">
        <f>IF(D43&lt;=0,0,MIN(AI44,D$7+IF(D$2=$AA44,$AC44,IF(D$2=$AF44,$AG44,0))))</f>
        <v/>
      </c>
      <c r="Q44">
        <f>IF(E43&lt;=0,0,MIN(AJ44,E$7+IF(E$2=$AA44,$AC44,IF(E$2=$AF44,$AG44,0))))</f>
        <v/>
      </c>
      <c r="R44">
        <f>IF(F43&lt;=0,0,MIN(AK44,F$7+IF(F$2=$AA44,$AC44,IF(F$2=$AF44,$AG44,0))))</f>
        <v/>
      </c>
      <c r="S44">
        <f>IF(G43&lt;=0,0,MIN(AL44,G$7+IF(G$2=$AA44,$AC44,IF(G$2=$AF44,$AG44,0))))</f>
        <v/>
      </c>
      <c r="T44">
        <f>IF(H43&lt;=0,0,MIN(AM44,H$7+IF(H$2=$AA44,$AC44,IF(H$2=$AF44,$AG44,0))))</f>
        <v/>
      </c>
      <c r="U44">
        <f>IF(I43&lt;=0,0,MIN(AN44,I$7+IF(I$2=$AA44,$AC44,IF(I$2=$AF44,$AG44,0))))</f>
        <v/>
      </c>
      <c r="V44">
        <f>IF(J43&lt;=0,0,MIN(AO44,J$7+IF(J$2=$AA44,$AC44,IF(J$2=$AF44,$AG44,0))))</f>
        <v/>
      </c>
      <c r="W44">
        <f>IF(K43&lt;=0,0,MIN(AP44,K$7+IF(K$2=$AA44,$AC44,IF(K$2=$AF44,$AG44,0))))</f>
        <v/>
      </c>
      <c r="X44">
        <f>IF(L43&lt;=0,0,MIN(AQ44,L$7+IF(L$2=$AA44,$AC44,IF(L$2=$AF44,$AG44,0))))</f>
        <v/>
      </c>
      <c r="Y44">
        <f>IF(M43&lt;=0,0,MIN(AR44,M$7+IF(M$2=$AA44,$AC44,IF(M$2=$AF44,$AG44,0))))</f>
        <v/>
      </c>
      <c r="Z44">
        <f>IF(N43&lt;=0,0,MIN(AS44,N$7+IF(N$2=$AA44,$AC44,IF(N$2=$AF44,$AG44,0))))</f>
        <v/>
      </c>
      <c r="AA44">
        <f>IFERROR(ROUND(1/SUMPRODUCT(MAX((C43:N43&gt;0)*($C$3:$N$3&lt;=B44)/$C$2:$N$2)),0),0)</f>
        <v/>
      </c>
      <c r="AB44">
        <f>SUMPRODUCT((C43:N43&gt;0)*$C$7:$N$7)</f>
        <v/>
      </c>
      <c r="AC44">
        <f>MAX(0,Plan!$C$5-AB44)+IF(A44=Plan!$C$8,N(Plan!$C$7),0)</f>
        <v/>
      </c>
      <c r="AD44">
        <f>SUM(C44:N44)</f>
        <v/>
      </c>
      <c r="AE44">
        <f>SUM(O44:Z44)</f>
        <v/>
      </c>
      <c r="AF44">
        <f>IFERROR(ROUND(1/SUMPRODUCT(MAX((C43:N43&gt;0)*($C$3:$N$3&lt;=B44)*($C$2:$N$2&gt;AA44)/$C$2:$N$2)),0),0)</f>
        <v/>
      </c>
      <c r="AG44">
        <f>MAX(0,AC44-MAX(0,SUMPRODUCT(($C$2:$N$2=AA44)*(AH44:AS44-$C$7:$N$7))))</f>
        <v/>
      </c>
      <c r="AH44">
        <f>IF(C43&lt;=0,0,ROUND(C43*(1+IF(AND(C$6&gt;0,$B44&lt;C$6),C$4,C$5)/12),2))</f>
        <v/>
      </c>
      <c r="AI44">
        <f>IF(D43&lt;=0,0,ROUND(D43*(1+IF(AND(D$6&gt;0,$B44&lt;D$6),D$4,D$5)/12),2))</f>
        <v/>
      </c>
      <c r="AJ44">
        <f>IF(E43&lt;=0,0,ROUND(E43*(1+IF(AND(E$6&gt;0,$B44&lt;E$6),E$4,E$5)/12),2))</f>
        <v/>
      </c>
      <c r="AK44">
        <f>IF(F43&lt;=0,0,ROUND(F43*(1+IF(AND(F$6&gt;0,$B44&lt;F$6),F$4,F$5)/12),2))</f>
        <v/>
      </c>
      <c r="AL44">
        <f>IF(G43&lt;=0,0,ROUND(G43*(1+IF(AND(G$6&gt;0,$B44&lt;G$6),G$4,G$5)/12),2))</f>
        <v/>
      </c>
      <c r="AM44">
        <f>IF(H43&lt;=0,0,ROUND(H43*(1+IF(AND(H$6&gt;0,$B44&lt;H$6),H$4,H$5)/12),2))</f>
        <v/>
      </c>
      <c r="AN44">
        <f>IF(I43&lt;=0,0,ROUND(I43*(1+IF(AND(I$6&gt;0,$B44&lt;I$6),I$4,I$5)/12),2))</f>
        <v/>
      </c>
      <c r="AO44">
        <f>IF(J43&lt;=0,0,ROUND(J43*(1+IF(AND(J$6&gt;0,$B44&lt;J$6),J$4,J$5)/12),2))</f>
        <v/>
      </c>
      <c r="AP44">
        <f>IF(K43&lt;=0,0,ROUND(K43*(1+IF(AND(K$6&gt;0,$B44&lt;K$6),K$4,K$5)/12),2))</f>
        <v/>
      </c>
      <c r="AQ44">
        <f>IF(L43&lt;=0,0,ROUND(L43*(1+IF(AND(L$6&gt;0,$B44&lt;L$6),L$4,L$5)/12),2))</f>
        <v/>
      </c>
      <c r="AR44">
        <f>IF(M43&lt;=0,0,ROUND(M43*(1+IF(AND(M$6&gt;0,$B44&lt;M$6),M$4,M$5)/12),2))</f>
        <v/>
      </c>
      <c r="AS44">
        <f>IF(N43&lt;=0,0,ROUND(N43*(1+IF(AND(N$6&gt;0,$B44&lt;N$6),N$4,N$5)/12),2))</f>
        <v/>
      </c>
    </row>
    <row r="45">
      <c r="A45" t="n">
        <v>34</v>
      </c>
      <c r="B45">
        <f>EDATE(Plan!$C$6,33)</f>
        <v/>
      </c>
      <c r="C45">
        <f>IF(C44&lt;=0,0,MAX(0,AH45-O45))</f>
        <v/>
      </c>
      <c r="D45">
        <f>IF(D44&lt;=0,0,MAX(0,AI45-P45))</f>
        <v/>
      </c>
      <c r="E45">
        <f>IF(E44&lt;=0,0,MAX(0,AJ45-Q45))</f>
        <v/>
      </c>
      <c r="F45">
        <f>IF(F44&lt;=0,0,MAX(0,AK45-R45))</f>
        <v/>
      </c>
      <c r="G45">
        <f>IF(G44&lt;=0,0,MAX(0,AL45-S45))</f>
        <v/>
      </c>
      <c r="H45">
        <f>IF(H44&lt;=0,0,MAX(0,AM45-T45))</f>
        <v/>
      </c>
      <c r="I45">
        <f>IF(I44&lt;=0,0,MAX(0,AN45-U45))</f>
        <v/>
      </c>
      <c r="J45">
        <f>IF(J44&lt;=0,0,MAX(0,AO45-V45))</f>
        <v/>
      </c>
      <c r="K45">
        <f>IF(K44&lt;=0,0,MAX(0,AP45-W45))</f>
        <v/>
      </c>
      <c r="L45">
        <f>IF(L44&lt;=0,0,MAX(0,AQ45-X45))</f>
        <v/>
      </c>
      <c r="M45">
        <f>IF(M44&lt;=0,0,MAX(0,AR45-Y45))</f>
        <v/>
      </c>
      <c r="N45">
        <f>IF(N44&lt;=0,0,MAX(0,AS45-Z45))</f>
        <v/>
      </c>
      <c r="O45">
        <f>IF(C44&lt;=0,0,MIN(AH45,C$7+IF(C$2=$AA45,$AC45,IF(C$2=$AF45,$AG45,0))))</f>
        <v/>
      </c>
      <c r="P45">
        <f>IF(D44&lt;=0,0,MIN(AI45,D$7+IF(D$2=$AA45,$AC45,IF(D$2=$AF45,$AG45,0))))</f>
        <v/>
      </c>
      <c r="Q45">
        <f>IF(E44&lt;=0,0,MIN(AJ45,E$7+IF(E$2=$AA45,$AC45,IF(E$2=$AF45,$AG45,0))))</f>
        <v/>
      </c>
      <c r="R45">
        <f>IF(F44&lt;=0,0,MIN(AK45,F$7+IF(F$2=$AA45,$AC45,IF(F$2=$AF45,$AG45,0))))</f>
        <v/>
      </c>
      <c r="S45">
        <f>IF(G44&lt;=0,0,MIN(AL45,G$7+IF(G$2=$AA45,$AC45,IF(G$2=$AF45,$AG45,0))))</f>
        <v/>
      </c>
      <c r="T45">
        <f>IF(H44&lt;=0,0,MIN(AM45,H$7+IF(H$2=$AA45,$AC45,IF(H$2=$AF45,$AG45,0))))</f>
        <v/>
      </c>
      <c r="U45">
        <f>IF(I44&lt;=0,0,MIN(AN45,I$7+IF(I$2=$AA45,$AC45,IF(I$2=$AF45,$AG45,0))))</f>
        <v/>
      </c>
      <c r="V45">
        <f>IF(J44&lt;=0,0,MIN(AO45,J$7+IF(J$2=$AA45,$AC45,IF(J$2=$AF45,$AG45,0))))</f>
        <v/>
      </c>
      <c r="W45">
        <f>IF(K44&lt;=0,0,MIN(AP45,K$7+IF(K$2=$AA45,$AC45,IF(K$2=$AF45,$AG45,0))))</f>
        <v/>
      </c>
      <c r="X45">
        <f>IF(L44&lt;=0,0,MIN(AQ45,L$7+IF(L$2=$AA45,$AC45,IF(L$2=$AF45,$AG45,0))))</f>
        <v/>
      </c>
      <c r="Y45">
        <f>IF(M44&lt;=0,0,MIN(AR45,M$7+IF(M$2=$AA45,$AC45,IF(M$2=$AF45,$AG45,0))))</f>
        <v/>
      </c>
      <c r="Z45">
        <f>IF(N44&lt;=0,0,MIN(AS45,N$7+IF(N$2=$AA45,$AC45,IF(N$2=$AF45,$AG45,0))))</f>
        <v/>
      </c>
      <c r="AA45">
        <f>IFERROR(ROUND(1/SUMPRODUCT(MAX((C44:N44&gt;0)*($C$3:$N$3&lt;=B45)/$C$2:$N$2)),0),0)</f>
        <v/>
      </c>
      <c r="AB45">
        <f>SUMPRODUCT((C44:N44&gt;0)*$C$7:$N$7)</f>
        <v/>
      </c>
      <c r="AC45">
        <f>MAX(0,Plan!$C$5-AB45)+IF(A45=Plan!$C$8,N(Plan!$C$7),0)</f>
        <v/>
      </c>
      <c r="AD45">
        <f>SUM(C45:N45)</f>
        <v/>
      </c>
      <c r="AE45">
        <f>SUM(O45:Z45)</f>
        <v/>
      </c>
      <c r="AF45">
        <f>IFERROR(ROUND(1/SUMPRODUCT(MAX((C44:N44&gt;0)*($C$3:$N$3&lt;=B45)*($C$2:$N$2&gt;AA45)/$C$2:$N$2)),0),0)</f>
        <v/>
      </c>
      <c r="AG45">
        <f>MAX(0,AC45-MAX(0,SUMPRODUCT(($C$2:$N$2=AA45)*(AH45:AS45-$C$7:$N$7))))</f>
        <v/>
      </c>
      <c r="AH45">
        <f>IF(C44&lt;=0,0,ROUND(C44*(1+IF(AND(C$6&gt;0,$B45&lt;C$6),C$4,C$5)/12),2))</f>
        <v/>
      </c>
      <c r="AI45">
        <f>IF(D44&lt;=0,0,ROUND(D44*(1+IF(AND(D$6&gt;0,$B45&lt;D$6),D$4,D$5)/12),2))</f>
        <v/>
      </c>
      <c r="AJ45">
        <f>IF(E44&lt;=0,0,ROUND(E44*(1+IF(AND(E$6&gt;0,$B45&lt;E$6),E$4,E$5)/12),2))</f>
        <v/>
      </c>
      <c r="AK45">
        <f>IF(F44&lt;=0,0,ROUND(F44*(1+IF(AND(F$6&gt;0,$B45&lt;F$6),F$4,F$5)/12),2))</f>
        <v/>
      </c>
      <c r="AL45">
        <f>IF(G44&lt;=0,0,ROUND(G44*(1+IF(AND(G$6&gt;0,$B45&lt;G$6),G$4,G$5)/12),2))</f>
        <v/>
      </c>
      <c r="AM45">
        <f>IF(H44&lt;=0,0,ROUND(H44*(1+IF(AND(H$6&gt;0,$B45&lt;H$6),H$4,H$5)/12),2))</f>
        <v/>
      </c>
      <c r="AN45">
        <f>IF(I44&lt;=0,0,ROUND(I44*(1+IF(AND(I$6&gt;0,$B45&lt;I$6),I$4,I$5)/12),2))</f>
        <v/>
      </c>
      <c r="AO45">
        <f>IF(J44&lt;=0,0,ROUND(J44*(1+IF(AND(J$6&gt;0,$B45&lt;J$6),J$4,J$5)/12),2))</f>
        <v/>
      </c>
      <c r="AP45">
        <f>IF(K44&lt;=0,0,ROUND(K44*(1+IF(AND(K$6&gt;0,$B45&lt;K$6),K$4,K$5)/12),2))</f>
        <v/>
      </c>
      <c r="AQ45">
        <f>IF(L44&lt;=0,0,ROUND(L44*(1+IF(AND(L$6&gt;0,$B45&lt;L$6),L$4,L$5)/12),2))</f>
        <v/>
      </c>
      <c r="AR45">
        <f>IF(M44&lt;=0,0,ROUND(M44*(1+IF(AND(M$6&gt;0,$B45&lt;M$6),M$4,M$5)/12),2))</f>
        <v/>
      </c>
      <c r="AS45">
        <f>IF(N44&lt;=0,0,ROUND(N44*(1+IF(AND(N$6&gt;0,$B45&lt;N$6),N$4,N$5)/12),2))</f>
        <v/>
      </c>
    </row>
    <row r="46">
      <c r="A46" t="n">
        <v>35</v>
      </c>
      <c r="B46">
        <f>EDATE(Plan!$C$6,34)</f>
        <v/>
      </c>
      <c r="C46">
        <f>IF(C45&lt;=0,0,MAX(0,AH46-O46))</f>
        <v/>
      </c>
      <c r="D46">
        <f>IF(D45&lt;=0,0,MAX(0,AI46-P46))</f>
        <v/>
      </c>
      <c r="E46">
        <f>IF(E45&lt;=0,0,MAX(0,AJ46-Q46))</f>
        <v/>
      </c>
      <c r="F46">
        <f>IF(F45&lt;=0,0,MAX(0,AK46-R46))</f>
        <v/>
      </c>
      <c r="G46">
        <f>IF(G45&lt;=0,0,MAX(0,AL46-S46))</f>
        <v/>
      </c>
      <c r="H46">
        <f>IF(H45&lt;=0,0,MAX(0,AM46-T46))</f>
        <v/>
      </c>
      <c r="I46">
        <f>IF(I45&lt;=0,0,MAX(0,AN46-U46))</f>
        <v/>
      </c>
      <c r="J46">
        <f>IF(J45&lt;=0,0,MAX(0,AO46-V46))</f>
        <v/>
      </c>
      <c r="K46">
        <f>IF(K45&lt;=0,0,MAX(0,AP46-W46))</f>
        <v/>
      </c>
      <c r="L46">
        <f>IF(L45&lt;=0,0,MAX(0,AQ46-X46))</f>
        <v/>
      </c>
      <c r="M46">
        <f>IF(M45&lt;=0,0,MAX(0,AR46-Y46))</f>
        <v/>
      </c>
      <c r="N46">
        <f>IF(N45&lt;=0,0,MAX(0,AS46-Z46))</f>
        <v/>
      </c>
      <c r="O46">
        <f>IF(C45&lt;=0,0,MIN(AH46,C$7+IF(C$2=$AA46,$AC46,IF(C$2=$AF46,$AG46,0))))</f>
        <v/>
      </c>
      <c r="P46">
        <f>IF(D45&lt;=0,0,MIN(AI46,D$7+IF(D$2=$AA46,$AC46,IF(D$2=$AF46,$AG46,0))))</f>
        <v/>
      </c>
      <c r="Q46">
        <f>IF(E45&lt;=0,0,MIN(AJ46,E$7+IF(E$2=$AA46,$AC46,IF(E$2=$AF46,$AG46,0))))</f>
        <v/>
      </c>
      <c r="R46">
        <f>IF(F45&lt;=0,0,MIN(AK46,F$7+IF(F$2=$AA46,$AC46,IF(F$2=$AF46,$AG46,0))))</f>
        <v/>
      </c>
      <c r="S46">
        <f>IF(G45&lt;=0,0,MIN(AL46,G$7+IF(G$2=$AA46,$AC46,IF(G$2=$AF46,$AG46,0))))</f>
        <v/>
      </c>
      <c r="T46">
        <f>IF(H45&lt;=0,0,MIN(AM46,H$7+IF(H$2=$AA46,$AC46,IF(H$2=$AF46,$AG46,0))))</f>
        <v/>
      </c>
      <c r="U46">
        <f>IF(I45&lt;=0,0,MIN(AN46,I$7+IF(I$2=$AA46,$AC46,IF(I$2=$AF46,$AG46,0))))</f>
        <v/>
      </c>
      <c r="V46">
        <f>IF(J45&lt;=0,0,MIN(AO46,J$7+IF(J$2=$AA46,$AC46,IF(J$2=$AF46,$AG46,0))))</f>
        <v/>
      </c>
      <c r="W46">
        <f>IF(K45&lt;=0,0,MIN(AP46,K$7+IF(K$2=$AA46,$AC46,IF(K$2=$AF46,$AG46,0))))</f>
        <v/>
      </c>
      <c r="X46">
        <f>IF(L45&lt;=0,0,MIN(AQ46,L$7+IF(L$2=$AA46,$AC46,IF(L$2=$AF46,$AG46,0))))</f>
        <v/>
      </c>
      <c r="Y46">
        <f>IF(M45&lt;=0,0,MIN(AR46,M$7+IF(M$2=$AA46,$AC46,IF(M$2=$AF46,$AG46,0))))</f>
        <v/>
      </c>
      <c r="Z46">
        <f>IF(N45&lt;=0,0,MIN(AS46,N$7+IF(N$2=$AA46,$AC46,IF(N$2=$AF46,$AG46,0))))</f>
        <v/>
      </c>
      <c r="AA46">
        <f>IFERROR(ROUND(1/SUMPRODUCT(MAX((C45:N45&gt;0)*($C$3:$N$3&lt;=B46)/$C$2:$N$2)),0),0)</f>
        <v/>
      </c>
      <c r="AB46">
        <f>SUMPRODUCT((C45:N45&gt;0)*$C$7:$N$7)</f>
        <v/>
      </c>
      <c r="AC46">
        <f>MAX(0,Plan!$C$5-AB46)+IF(A46=Plan!$C$8,N(Plan!$C$7),0)</f>
        <v/>
      </c>
      <c r="AD46">
        <f>SUM(C46:N46)</f>
        <v/>
      </c>
      <c r="AE46">
        <f>SUM(O46:Z46)</f>
        <v/>
      </c>
      <c r="AF46">
        <f>IFERROR(ROUND(1/SUMPRODUCT(MAX((C45:N45&gt;0)*($C$3:$N$3&lt;=B46)*($C$2:$N$2&gt;AA46)/$C$2:$N$2)),0),0)</f>
        <v/>
      </c>
      <c r="AG46">
        <f>MAX(0,AC46-MAX(0,SUMPRODUCT(($C$2:$N$2=AA46)*(AH46:AS46-$C$7:$N$7))))</f>
        <v/>
      </c>
      <c r="AH46">
        <f>IF(C45&lt;=0,0,ROUND(C45*(1+IF(AND(C$6&gt;0,$B46&lt;C$6),C$4,C$5)/12),2))</f>
        <v/>
      </c>
      <c r="AI46">
        <f>IF(D45&lt;=0,0,ROUND(D45*(1+IF(AND(D$6&gt;0,$B46&lt;D$6),D$4,D$5)/12),2))</f>
        <v/>
      </c>
      <c r="AJ46">
        <f>IF(E45&lt;=0,0,ROUND(E45*(1+IF(AND(E$6&gt;0,$B46&lt;E$6),E$4,E$5)/12),2))</f>
        <v/>
      </c>
      <c r="AK46">
        <f>IF(F45&lt;=0,0,ROUND(F45*(1+IF(AND(F$6&gt;0,$B46&lt;F$6),F$4,F$5)/12),2))</f>
        <v/>
      </c>
      <c r="AL46">
        <f>IF(G45&lt;=0,0,ROUND(G45*(1+IF(AND(G$6&gt;0,$B46&lt;G$6),G$4,G$5)/12),2))</f>
        <v/>
      </c>
      <c r="AM46">
        <f>IF(H45&lt;=0,0,ROUND(H45*(1+IF(AND(H$6&gt;0,$B46&lt;H$6),H$4,H$5)/12),2))</f>
        <v/>
      </c>
      <c r="AN46">
        <f>IF(I45&lt;=0,0,ROUND(I45*(1+IF(AND(I$6&gt;0,$B46&lt;I$6),I$4,I$5)/12),2))</f>
        <v/>
      </c>
      <c r="AO46">
        <f>IF(J45&lt;=0,0,ROUND(J45*(1+IF(AND(J$6&gt;0,$B46&lt;J$6),J$4,J$5)/12),2))</f>
        <v/>
      </c>
      <c r="AP46">
        <f>IF(K45&lt;=0,0,ROUND(K45*(1+IF(AND(K$6&gt;0,$B46&lt;K$6),K$4,K$5)/12),2))</f>
        <v/>
      </c>
      <c r="AQ46">
        <f>IF(L45&lt;=0,0,ROUND(L45*(1+IF(AND(L$6&gt;0,$B46&lt;L$6),L$4,L$5)/12),2))</f>
        <v/>
      </c>
      <c r="AR46">
        <f>IF(M45&lt;=0,0,ROUND(M45*(1+IF(AND(M$6&gt;0,$B46&lt;M$6),M$4,M$5)/12),2))</f>
        <v/>
      </c>
      <c r="AS46">
        <f>IF(N45&lt;=0,0,ROUND(N45*(1+IF(AND(N$6&gt;0,$B46&lt;N$6),N$4,N$5)/12),2))</f>
        <v/>
      </c>
    </row>
    <row r="47">
      <c r="A47" t="n">
        <v>36</v>
      </c>
      <c r="B47">
        <f>EDATE(Plan!$C$6,35)</f>
        <v/>
      </c>
      <c r="C47">
        <f>IF(C46&lt;=0,0,MAX(0,AH47-O47))</f>
        <v/>
      </c>
      <c r="D47">
        <f>IF(D46&lt;=0,0,MAX(0,AI47-P47))</f>
        <v/>
      </c>
      <c r="E47">
        <f>IF(E46&lt;=0,0,MAX(0,AJ47-Q47))</f>
        <v/>
      </c>
      <c r="F47">
        <f>IF(F46&lt;=0,0,MAX(0,AK47-R47))</f>
        <v/>
      </c>
      <c r="G47">
        <f>IF(G46&lt;=0,0,MAX(0,AL47-S47))</f>
        <v/>
      </c>
      <c r="H47">
        <f>IF(H46&lt;=0,0,MAX(0,AM47-T47))</f>
        <v/>
      </c>
      <c r="I47">
        <f>IF(I46&lt;=0,0,MAX(0,AN47-U47))</f>
        <v/>
      </c>
      <c r="J47">
        <f>IF(J46&lt;=0,0,MAX(0,AO47-V47))</f>
        <v/>
      </c>
      <c r="K47">
        <f>IF(K46&lt;=0,0,MAX(0,AP47-W47))</f>
        <v/>
      </c>
      <c r="L47">
        <f>IF(L46&lt;=0,0,MAX(0,AQ47-X47))</f>
        <v/>
      </c>
      <c r="M47">
        <f>IF(M46&lt;=0,0,MAX(0,AR47-Y47))</f>
        <v/>
      </c>
      <c r="N47">
        <f>IF(N46&lt;=0,0,MAX(0,AS47-Z47))</f>
        <v/>
      </c>
      <c r="O47">
        <f>IF(C46&lt;=0,0,MIN(AH47,C$7+IF(C$2=$AA47,$AC47,IF(C$2=$AF47,$AG47,0))))</f>
        <v/>
      </c>
      <c r="P47">
        <f>IF(D46&lt;=0,0,MIN(AI47,D$7+IF(D$2=$AA47,$AC47,IF(D$2=$AF47,$AG47,0))))</f>
        <v/>
      </c>
      <c r="Q47">
        <f>IF(E46&lt;=0,0,MIN(AJ47,E$7+IF(E$2=$AA47,$AC47,IF(E$2=$AF47,$AG47,0))))</f>
        <v/>
      </c>
      <c r="R47">
        <f>IF(F46&lt;=0,0,MIN(AK47,F$7+IF(F$2=$AA47,$AC47,IF(F$2=$AF47,$AG47,0))))</f>
        <v/>
      </c>
      <c r="S47">
        <f>IF(G46&lt;=0,0,MIN(AL47,G$7+IF(G$2=$AA47,$AC47,IF(G$2=$AF47,$AG47,0))))</f>
        <v/>
      </c>
      <c r="T47">
        <f>IF(H46&lt;=0,0,MIN(AM47,H$7+IF(H$2=$AA47,$AC47,IF(H$2=$AF47,$AG47,0))))</f>
        <v/>
      </c>
      <c r="U47">
        <f>IF(I46&lt;=0,0,MIN(AN47,I$7+IF(I$2=$AA47,$AC47,IF(I$2=$AF47,$AG47,0))))</f>
        <v/>
      </c>
      <c r="V47">
        <f>IF(J46&lt;=0,0,MIN(AO47,J$7+IF(J$2=$AA47,$AC47,IF(J$2=$AF47,$AG47,0))))</f>
        <v/>
      </c>
      <c r="W47">
        <f>IF(K46&lt;=0,0,MIN(AP47,K$7+IF(K$2=$AA47,$AC47,IF(K$2=$AF47,$AG47,0))))</f>
        <v/>
      </c>
      <c r="X47">
        <f>IF(L46&lt;=0,0,MIN(AQ47,L$7+IF(L$2=$AA47,$AC47,IF(L$2=$AF47,$AG47,0))))</f>
        <v/>
      </c>
      <c r="Y47">
        <f>IF(M46&lt;=0,0,MIN(AR47,M$7+IF(M$2=$AA47,$AC47,IF(M$2=$AF47,$AG47,0))))</f>
        <v/>
      </c>
      <c r="Z47">
        <f>IF(N46&lt;=0,0,MIN(AS47,N$7+IF(N$2=$AA47,$AC47,IF(N$2=$AF47,$AG47,0))))</f>
        <v/>
      </c>
      <c r="AA47">
        <f>IFERROR(ROUND(1/SUMPRODUCT(MAX((C46:N46&gt;0)*($C$3:$N$3&lt;=B47)/$C$2:$N$2)),0),0)</f>
        <v/>
      </c>
      <c r="AB47">
        <f>SUMPRODUCT((C46:N46&gt;0)*$C$7:$N$7)</f>
        <v/>
      </c>
      <c r="AC47">
        <f>MAX(0,Plan!$C$5-AB47)+IF(A47=Plan!$C$8,N(Plan!$C$7),0)</f>
        <v/>
      </c>
      <c r="AD47">
        <f>SUM(C47:N47)</f>
        <v/>
      </c>
      <c r="AE47">
        <f>SUM(O47:Z47)</f>
        <v/>
      </c>
      <c r="AF47">
        <f>IFERROR(ROUND(1/SUMPRODUCT(MAX((C46:N46&gt;0)*($C$3:$N$3&lt;=B47)*($C$2:$N$2&gt;AA47)/$C$2:$N$2)),0),0)</f>
        <v/>
      </c>
      <c r="AG47">
        <f>MAX(0,AC47-MAX(0,SUMPRODUCT(($C$2:$N$2=AA47)*(AH47:AS47-$C$7:$N$7))))</f>
        <v/>
      </c>
      <c r="AH47">
        <f>IF(C46&lt;=0,0,ROUND(C46*(1+IF(AND(C$6&gt;0,$B47&lt;C$6),C$4,C$5)/12),2))</f>
        <v/>
      </c>
      <c r="AI47">
        <f>IF(D46&lt;=0,0,ROUND(D46*(1+IF(AND(D$6&gt;0,$B47&lt;D$6),D$4,D$5)/12),2))</f>
        <v/>
      </c>
      <c r="AJ47">
        <f>IF(E46&lt;=0,0,ROUND(E46*(1+IF(AND(E$6&gt;0,$B47&lt;E$6),E$4,E$5)/12),2))</f>
        <v/>
      </c>
      <c r="AK47">
        <f>IF(F46&lt;=0,0,ROUND(F46*(1+IF(AND(F$6&gt;0,$B47&lt;F$6),F$4,F$5)/12),2))</f>
        <v/>
      </c>
      <c r="AL47">
        <f>IF(G46&lt;=0,0,ROUND(G46*(1+IF(AND(G$6&gt;0,$B47&lt;G$6),G$4,G$5)/12),2))</f>
        <v/>
      </c>
      <c r="AM47">
        <f>IF(H46&lt;=0,0,ROUND(H46*(1+IF(AND(H$6&gt;0,$B47&lt;H$6),H$4,H$5)/12),2))</f>
        <v/>
      </c>
      <c r="AN47">
        <f>IF(I46&lt;=0,0,ROUND(I46*(1+IF(AND(I$6&gt;0,$B47&lt;I$6),I$4,I$5)/12),2))</f>
        <v/>
      </c>
      <c r="AO47">
        <f>IF(J46&lt;=0,0,ROUND(J46*(1+IF(AND(J$6&gt;0,$B47&lt;J$6),J$4,J$5)/12),2))</f>
        <v/>
      </c>
      <c r="AP47">
        <f>IF(K46&lt;=0,0,ROUND(K46*(1+IF(AND(K$6&gt;0,$B47&lt;K$6),K$4,K$5)/12),2))</f>
        <v/>
      </c>
      <c r="AQ47">
        <f>IF(L46&lt;=0,0,ROUND(L46*(1+IF(AND(L$6&gt;0,$B47&lt;L$6),L$4,L$5)/12),2))</f>
        <v/>
      </c>
      <c r="AR47">
        <f>IF(M46&lt;=0,0,ROUND(M46*(1+IF(AND(M$6&gt;0,$B47&lt;M$6),M$4,M$5)/12),2))</f>
        <v/>
      </c>
      <c r="AS47">
        <f>IF(N46&lt;=0,0,ROUND(N46*(1+IF(AND(N$6&gt;0,$B47&lt;N$6),N$4,N$5)/12),2))</f>
        <v/>
      </c>
    </row>
    <row r="48">
      <c r="A48" t="n">
        <v>37</v>
      </c>
      <c r="B48">
        <f>EDATE(Plan!$C$6,36)</f>
        <v/>
      </c>
      <c r="C48">
        <f>IF(C47&lt;=0,0,MAX(0,AH48-O48))</f>
        <v/>
      </c>
      <c r="D48">
        <f>IF(D47&lt;=0,0,MAX(0,AI48-P48))</f>
        <v/>
      </c>
      <c r="E48">
        <f>IF(E47&lt;=0,0,MAX(0,AJ48-Q48))</f>
        <v/>
      </c>
      <c r="F48">
        <f>IF(F47&lt;=0,0,MAX(0,AK48-R48))</f>
        <v/>
      </c>
      <c r="G48">
        <f>IF(G47&lt;=0,0,MAX(0,AL48-S48))</f>
        <v/>
      </c>
      <c r="H48">
        <f>IF(H47&lt;=0,0,MAX(0,AM48-T48))</f>
        <v/>
      </c>
      <c r="I48">
        <f>IF(I47&lt;=0,0,MAX(0,AN48-U48))</f>
        <v/>
      </c>
      <c r="J48">
        <f>IF(J47&lt;=0,0,MAX(0,AO48-V48))</f>
        <v/>
      </c>
      <c r="K48">
        <f>IF(K47&lt;=0,0,MAX(0,AP48-W48))</f>
        <v/>
      </c>
      <c r="L48">
        <f>IF(L47&lt;=0,0,MAX(0,AQ48-X48))</f>
        <v/>
      </c>
      <c r="M48">
        <f>IF(M47&lt;=0,0,MAX(0,AR48-Y48))</f>
        <v/>
      </c>
      <c r="N48">
        <f>IF(N47&lt;=0,0,MAX(0,AS48-Z48))</f>
        <v/>
      </c>
      <c r="O48">
        <f>IF(C47&lt;=0,0,MIN(AH48,C$7+IF(C$2=$AA48,$AC48,IF(C$2=$AF48,$AG48,0))))</f>
        <v/>
      </c>
      <c r="P48">
        <f>IF(D47&lt;=0,0,MIN(AI48,D$7+IF(D$2=$AA48,$AC48,IF(D$2=$AF48,$AG48,0))))</f>
        <v/>
      </c>
      <c r="Q48">
        <f>IF(E47&lt;=0,0,MIN(AJ48,E$7+IF(E$2=$AA48,$AC48,IF(E$2=$AF48,$AG48,0))))</f>
        <v/>
      </c>
      <c r="R48">
        <f>IF(F47&lt;=0,0,MIN(AK48,F$7+IF(F$2=$AA48,$AC48,IF(F$2=$AF48,$AG48,0))))</f>
        <v/>
      </c>
      <c r="S48">
        <f>IF(G47&lt;=0,0,MIN(AL48,G$7+IF(G$2=$AA48,$AC48,IF(G$2=$AF48,$AG48,0))))</f>
        <v/>
      </c>
      <c r="T48">
        <f>IF(H47&lt;=0,0,MIN(AM48,H$7+IF(H$2=$AA48,$AC48,IF(H$2=$AF48,$AG48,0))))</f>
        <v/>
      </c>
      <c r="U48">
        <f>IF(I47&lt;=0,0,MIN(AN48,I$7+IF(I$2=$AA48,$AC48,IF(I$2=$AF48,$AG48,0))))</f>
        <v/>
      </c>
      <c r="V48">
        <f>IF(J47&lt;=0,0,MIN(AO48,J$7+IF(J$2=$AA48,$AC48,IF(J$2=$AF48,$AG48,0))))</f>
        <v/>
      </c>
      <c r="W48">
        <f>IF(K47&lt;=0,0,MIN(AP48,K$7+IF(K$2=$AA48,$AC48,IF(K$2=$AF48,$AG48,0))))</f>
        <v/>
      </c>
      <c r="X48">
        <f>IF(L47&lt;=0,0,MIN(AQ48,L$7+IF(L$2=$AA48,$AC48,IF(L$2=$AF48,$AG48,0))))</f>
        <v/>
      </c>
      <c r="Y48">
        <f>IF(M47&lt;=0,0,MIN(AR48,M$7+IF(M$2=$AA48,$AC48,IF(M$2=$AF48,$AG48,0))))</f>
        <v/>
      </c>
      <c r="Z48">
        <f>IF(N47&lt;=0,0,MIN(AS48,N$7+IF(N$2=$AA48,$AC48,IF(N$2=$AF48,$AG48,0))))</f>
        <v/>
      </c>
      <c r="AA48">
        <f>IFERROR(ROUND(1/SUMPRODUCT(MAX((C47:N47&gt;0)*($C$3:$N$3&lt;=B48)/$C$2:$N$2)),0),0)</f>
        <v/>
      </c>
      <c r="AB48">
        <f>SUMPRODUCT((C47:N47&gt;0)*$C$7:$N$7)</f>
        <v/>
      </c>
      <c r="AC48">
        <f>MAX(0,Plan!$C$5-AB48)+IF(A48=Plan!$C$8,N(Plan!$C$7),0)</f>
        <v/>
      </c>
      <c r="AD48">
        <f>SUM(C48:N48)</f>
        <v/>
      </c>
      <c r="AE48">
        <f>SUM(O48:Z48)</f>
        <v/>
      </c>
      <c r="AF48">
        <f>IFERROR(ROUND(1/SUMPRODUCT(MAX((C47:N47&gt;0)*($C$3:$N$3&lt;=B48)*($C$2:$N$2&gt;AA48)/$C$2:$N$2)),0),0)</f>
        <v/>
      </c>
      <c r="AG48">
        <f>MAX(0,AC48-MAX(0,SUMPRODUCT(($C$2:$N$2=AA48)*(AH48:AS48-$C$7:$N$7))))</f>
        <v/>
      </c>
      <c r="AH48">
        <f>IF(C47&lt;=0,0,ROUND(C47*(1+IF(AND(C$6&gt;0,$B48&lt;C$6),C$4,C$5)/12),2))</f>
        <v/>
      </c>
      <c r="AI48">
        <f>IF(D47&lt;=0,0,ROUND(D47*(1+IF(AND(D$6&gt;0,$B48&lt;D$6),D$4,D$5)/12),2))</f>
        <v/>
      </c>
      <c r="AJ48">
        <f>IF(E47&lt;=0,0,ROUND(E47*(1+IF(AND(E$6&gt;0,$B48&lt;E$6),E$4,E$5)/12),2))</f>
        <v/>
      </c>
      <c r="AK48">
        <f>IF(F47&lt;=0,0,ROUND(F47*(1+IF(AND(F$6&gt;0,$B48&lt;F$6),F$4,F$5)/12),2))</f>
        <v/>
      </c>
      <c r="AL48">
        <f>IF(G47&lt;=0,0,ROUND(G47*(1+IF(AND(G$6&gt;0,$B48&lt;G$6),G$4,G$5)/12),2))</f>
        <v/>
      </c>
      <c r="AM48">
        <f>IF(H47&lt;=0,0,ROUND(H47*(1+IF(AND(H$6&gt;0,$B48&lt;H$6),H$4,H$5)/12),2))</f>
        <v/>
      </c>
      <c r="AN48">
        <f>IF(I47&lt;=0,0,ROUND(I47*(1+IF(AND(I$6&gt;0,$B48&lt;I$6),I$4,I$5)/12),2))</f>
        <v/>
      </c>
      <c r="AO48">
        <f>IF(J47&lt;=0,0,ROUND(J47*(1+IF(AND(J$6&gt;0,$B48&lt;J$6),J$4,J$5)/12),2))</f>
        <v/>
      </c>
      <c r="AP48">
        <f>IF(K47&lt;=0,0,ROUND(K47*(1+IF(AND(K$6&gt;0,$B48&lt;K$6),K$4,K$5)/12),2))</f>
        <v/>
      </c>
      <c r="AQ48">
        <f>IF(L47&lt;=0,0,ROUND(L47*(1+IF(AND(L$6&gt;0,$B48&lt;L$6),L$4,L$5)/12),2))</f>
        <v/>
      </c>
      <c r="AR48">
        <f>IF(M47&lt;=0,0,ROUND(M47*(1+IF(AND(M$6&gt;0,$B48&lt;M$6),M$4,M$5)/12),2))</f>
        <v/>
      </c>
      <c r="AS48">
        <f>IF(N47&lt;=0,0,ROUND(N47*(1+IF(AND(N$6&gt;0,$B48&lt;N$6),N$4,N$5)/12),2))</f>
        <v/>
      </c>
    </row>
    <row r="49">
      <c r="A49" t="n">
        <v>38</v>
      </c>
      <c r="B49">
        <f>EDATE(Plan!$C$6,37)</f>
        <v/>
      </c>
      <c r="C49">
        <f>IF(C48&lt;=0,0,MAX(0,AH49-O49))</f>
        <v/>
      </c>
      <c r="D49">
        <f>IF(D48&lt;=0,0,MAX(0,AI49-P49))</f>
        <v/>
      </c>
      <c r="E49">
        <f>IF(E48&lt;=0,0,MAX(0,AJ49-Q49))</f>
        <v/>
      </c>
      <c r="F49">
        <f>IF(F48&lt;=0,0,MAX(0,AK49-R49))</f>
        <v/>
      </c>
      <c r="G49">
        <f>IF(G48&lt;=0,0,MAX(0,AL49-S49))</f>
        <v/>
      </c>
      <c r="H49">
        <f>IF(H48&lt;=0,0,MAX(0,AM49-T49))</f>
        <v/>
      </c>
      <c r="I49">
        <f>IF(I48&lt;=0,0,MAX(0,AN49-U49))</f>
        <v/>
      </c>
      <c r="J49">
        <f>IF(J48&lt;=0,0,MAX(0,AO49-V49))</f>
        <v/>
      </c>
      <c r="K49">
        <f>IF(K48&lt;=0,0,MAX(0,AP49-W49))</f>
        <v/>
      </c>
      <c r="L49">
        <f>IF(L48&lt;=0,0,MAX(0,AQ49-X49))</f>
        <v/>
      </c>
      <c r="M49">
        <f>IF(M48&lt;=0,0,MAX(0,AR49-Y49))</f>
        <v/>
      </c>
      <c r="N49">
        <f>IF(N48&lt;=0,0,MAX(0,AS49-Z49))</f>
        <v/>
      </c>
      <c r="O49">
        <f>IF(C48&lt;=0,0,MIN(AH49,C$7+IF(C$2=$AA49,$AC49,IF(C$2=$AF49,$AG49,0))))</f>
        <v/>
      </c>
      <c r="P49">
        <f>IF(D48&lt;=0,0,MIN(AI49,D$7+IF(D$2=$AA49,$AC49,IF(D$2=$AF49,$AG49,0))))</f>
        <v/>
      </c>
      <c r="Q49">
        <f>IF(E48&lt;=0,0,MIN(AJ49,E$7+IF(E$2=$AA49,$AC49,IF(E$2=$AF49,$AG49,0))))</f>
        <v/>
      </c>
      <c r="R49">
        <f>IF(F48&lt;=0,0,MIN(AK49,F$7+IF(F$2=$AA49,$AC49,IF(F$2=$AF49,$AG49,0))))</f>
        <v/>
      </c>
      <c r="S49">
        <f>IF(G48&lt;=0,0,MIN(AL49,G$7+IF(G$2=$AA49,$AC49,IF(G$2=$AF49,$AG49,0))))</f>
        <v/>
      </c>
      <c r="T49">
        <f>IF(H48&lt;=0,0,MIN(AM49,H$7+IF(H$2=$AA49,$AC49,IF(H$2=$AF49,$AG49,0))))</f>
        <v/>
      </c>
      <c r="U49">
        <f>IF(I48&lt;=0,0,MIN(AN49,I$7+IF(I$2=$AA49,$AC49,IF(I$2=$AF49,$AG49,0))))</f>
        <v/>
      </c>
      <c r="V49">
        <f>IF(J48&lt;=0,0,MIN(AO49,J$7+IF(J$2=$AA49,$AC49,IF(J$2=$AF49,$AG49,0))))</f>
        <v/>
      </c>
      <c r="W49">
        <f>IF(K48&lt;=0,0,MIN(AP49,K$7+IF(K$2=$AA49,$AC49,IF(K$2=$AF49,$AG49,0))))</f>
        <v/>
      </c>
      <c r="X49">
        <f>IF(L48&lt;=0,0,MIN(AQ49,L$7+IF(L$2=$AA49,$AC49,IF(L$2=$AF49,$AG49,0))))</f>
        <v/>
      </c>
      <c r="Y49">
        <f>IF(M48&lt;=0,0,MIN(AR49,M$7+IF(M$2=$AA49,$AC49,IF(M$2=$AF49,$AG49,0))))</f>
        <v/>
      </c>
      <c r="Z49">
        <f>IF(N48&lt;=0,0,MIN(AS49,N$7+IF(N$2=$AA49,$AC49,IF(N$2=$AF49,$AG49,0))))</f>
        <v/>
      </c>
      <c r="AA49">
        <f>IFERROR(ROUND(1/SUMPRODUCT(MAX((C48:N48&gt;0)*($C$3:$N$3&lt;=B49)/$C$2:$N$2)),0),0)</f>
        <v/>
      </c>
      <c r="AB49">
        <f>SUMPRODUCT((C48:N48&gt;0)*$C$7:$N$7)</f>
        <v/>
      </c>
      <c r="AC49">
        <f>MAX(0,Plan!$C$5-AB49)+IF(A49=Plan!$C$8,N(Plan!$C$7),0)</f>
        <v/>
      </c>
      <c r="AD49">
        <f>SUM(C49:N49)</f>
        <v/>
      </c>
      <c r="AE49">
        <f>SUM(O49:Z49)</f>
        <v/>
      </c>
      <c r="AF49">
        <f>IFERROR(ROUND(1/SUMPRODUCT(MAX((C48:N48&gt;0)*($C$3:$N$3&lt;=B49)*($C$2:$N$2&gt;AA49)/$C$2:$N$2)),0),0)</f>
        <v/>
      </c>
      <c r="AG49">
        <f>MAX(0,AC49-MAX(0,SUMPRODUCT(($C$2:$N$2=AA49)*(AH49:AS49-$C$7:$N$7))))</f>
        <v/>
      </c>
      <c r="AH49">
        <f>IF(C48&lt;=0,0,ROUND(C48*(1+IF(AND(C$6&gt;0,$B49&lt;C$6),C$4,C$5)/12),2))</f>
        <v/>
      </c>
      <c r="AI49">
        <f>IF(D48&lt;=0,0,ROUND(D48*(1+IF(AND(D$6&gt;0,$B49&lt;D$6),D$4,D$5)/12),2))</f>
        <v/>
      </c>
      <c r="AJ49">
        <f>IF(E48&lt;=0,0,ROUND(E48*(1+IF(AND(E$6&gt;0,$B49&lt;E$6),E$4,E$5)/12),2))</f>
        <v/>
      </c>
      <c r="AK49">
        <f>IF(F48&lt;=0,0,ROUND(F48*(1+IF(AND(F$6&gt;0,$B49&lt;F$6),F$4,F$5)/12),2))</f>
        <v/>
      </c>
      <c r="AL49">
        <f>IF(G48&lt;=0,0,ROUND(G48*(1+IF(AND(G$6&gt;0,$B49&lt;G$6),G$4,G$5)/12),2))</f>
        <v/>
      </c>
      <c r="AM49">
        <f>IF(H48&lt;=0,0,ROUND(H48*(1+IF(AND(H$6&gt;0,$B49&lt;H$6),H$4,H$5)/12),2))</f>
        <v/>
      </c>
      <c r="AN49">
        <f>IF(I48&lt;=0,0,ROUND(I48*(1+IF(AND(I$6&gt;0,$B49&lt;I$6),I$4,I$5)/12),2))</f>
        <v/>
      </c>
      <c r="AO49">
        <f>IF(J48&lt;=0,0,ROUND(J48*(1+IF(AND(J$6&gt;0,$B49&lt;J$6),J$4,J$5)/12),2))</f>
        <v/>
      </c>
      <c r="AP49">
        <f>IF(K48&lt;=0,0,ROUND(K48*(1+IF(AND(K$6&gt;0,$B49&lt;K$6),K$4,K$5)/12),2))</f>
        <v/>
      </c>
      <c r="AQ49">
        <f>IF(L48&lt;=0,0,ROUND(L48*(1+IF(AND(L$6&gt;0,$B49&lt;L$6),L$4,L$5)/12),2))</f>
        <v/>
      </c>
      <c r="AR49">
        <f>IF(M48&lt;=0,0,ROUND(M48*(1+IF(AND(M$6&gt;0,$B49&lt;M$6),M$4,M$5)/12),2))</f>
        <v/>
      </c>
      <c r="AS49">
        <f>IF(N48&lt;=0,0,ROUND(N48*(1+IF(AND(N$6&gt;0,$B49&lt;N$6),N$4,N$5)/12),2))</f>
        <v/>
      </c>
    </row>
    <row r="50">
      <c r="A50" t="n">
        <v>39</v>
      </c>
      <c r="B50">
        <f>EDATE(Plan!$C$6,38)</f>
        <v/>
      </c>
      <c r="C50">
        <f>IF(C49&lt;=0,0,MAX(0,AH50-O50))</f>
        <v/>
      </c>
      <c r="D50">
        <f>IF(D49&lt;=0,0,MAX(0,AI50-P50))</f>
        <v/>
      </c>
      <c r="E50">
        <f>IF(E49&lt;=0,0,MAX(0,AJ50-Q50))</f>
        <v/>
      </c>
      <c r="F50">
        <f>IF(F49&lt;=0,0,MAX(0,AK50-R50))</f>
        <v/>
      </c>
      <c r="G50">
        <f>IF(G49&lt;=0,0,MAX(0,AL50-S50))</f>
        <v/>
      </c>
      <c r="H50">
        <f>IF(H49&lt;=0,0,MAX(0,AM50-T50))</f>
        <v/>
      </c>
      <c r="I50">
        <f>IF(I49&lt;=0,0,MAX(0,AN50-U50))</f>
        <v/>
      </c>
      <c r="J50">
        <f>IF(J49&lt;=0,0,MAX(0,AO50-V50))</f>
        <v/>
      </c>
      <c r="K50">
        <f>IF(K49&lt;=0,0,MAX(0,AP50-W50))</f>
        <v/>
      </c>
      <c r="L50">
        <f>IF(L49&lt;=0,0,MAX(0,AQ50-X50))</f>
        <v/>
      </c>
      <c r="M50">
        <f>IF(M49&lt;=0,0,MAX(0,AR50-Y50))</f>
        <v/>
      </c>
      <c r="N50">
        <f>IF(N49&lt;=0,0,MAX(0,AS50-Z50))</f>
        <v/>
      </c>
      <c r="O50">
        <f>IF(C49&lt;=0,0,MIN(AH50,C$7+IF(C$2=$AA50,$AC50,IF(C$2=$AF50,$AG50,0))))</f>
        <v/>
      </c>
      <c r="P50">
        <f>IF(D49&lt;=0,0,MIN(AI50,D$7+IF(D$2=$AA50,$AC50,IF(D$2=$AF50,$AG50,0))))</f>
        <v/>
      </c>
      <c r="Q50">
        <f>IF(E49&lt;=0,0,MIN(AJ50,E$7+IF(E$2=$AA50,$AC50,IF(E$2=$AF50,$AG50,0))))</f>
        <v/>
      </c>
      <c r="R50">
        <f>IF(F49&lt;=0,0,MIN(AK50,F$7+IF(F$2=$AA50,$AC50,IF(F$2=$AF50,$AG50,0))))</f>
        <v/>
      </c>
      <c r="S50">
        <f>IF(G49&lt;=0,0,MIN(AL50,G$7+IF(G$2=$AA50,$AC50,IF(G$2=$AF50,$AG50,0))))</f>
        <v/>
      </c>
      <c r="T50">
        <f>IF(H49&lt;=0,0,MIN(AM50,H$7+IF(H$2=$AA50,$AC50,IF(H$2=$AF50,$AG50,0))))</f>
        <v/>
      </c>
      <c r="U50">
        <f>IF(I49&lt;=0,0,MIN(AN50,I$7+IF(I$2=$AA50,$AC50,IF(I$2=$AF50,$AG50,0))))</f>
        <v/>
      </c>
      <c r="V50">
        <f>IF(J49&lt;=0,0,MIN(AO50,J$7+IF(J$2=$AA50,$AC50,IF(J$2=$AF50,$AG50,0))))</f>
        <v/>
      </c>
      <c r="W50">
        <f>IF(K49&lt;=0,0,MIN(AP50,K$7+IF(K$2=$AA50,$AC50,IF(K$2=$AF50,$AG50,0))))</f>
        <v/>
      </c>
      <c r="X50">
        <f>IF(L49&lt;=0,0,MIN(AQ50,L$7+IF(L$2=$AA50,$AC50,IF(L$2=$AF50,$AG50,0))))</f>
        <v/>
      </c>
      <c r="Y50">
        <f>IF(M49&lt;=0,0,MIN(AR50,M$7+IF(M$2=$AA50,$AC50,IF(M$2=$AF50,$AG50,0))))</f>
        <v/>
      </c>
      <c r="Z50">
        <f>IF(N49&lt;=0,0,MIN(AS50,N$7+IF(N$2=$AA50,$AC50,IF(N$2=$AF50,$AG50,0))))</f>
        <v/>
      </c>
      <c r="AA50">
        <f>IFERROR(ROUND(1/SUMPRODUCT(MAX((C49:N49&gt;0)*($C$3:$N$3&lt;=B50)/$C$2:$N$2)),0),0)</f>
        <v/>
      </c>
      <c r="AB50">
        <f>SUMPRODUCT((C49:N49&gt;0)*$C$7:$N$7)</f>
        <v/>
      </c>
      <c r="AC50">
        <f>MAX(0,Plan!$C$5-AB50)+IF(A50=Plan!$C$8,N(Plan!$C$7),0)</f>
        <v/>
      </c>
      <c r="AD50">
        <f>SUM(C50:N50)</f>
        <v/>
      </c>
      <c r="AE50">
        <f>SUM(O50:Z50)</f>
        <v/>
      </c>
      <c r="AF50">
        <f>IFERROR(ROUND(1/SUMPRODUCT(MAX((C49:N49&gt;0)*($C$3:$N$3&lt;=B50)*($C$2:$N$2&gt;AA50)/$C$2:$N$2)),0),0)</f>
        <v/>
      </c>
      <c r="AG50">
        <f>MAX(0,AC50-MAX(0,SUMPRODUCT(($C$2:$N$2=AA50)*(AH50:AS50-$C$7:$N$7))))</f>
        <v/>
      </c>
      <c r="AH50">
        <f>IF(C49&lt;=0,0,ROUND(C49*(1+IF(AND(C$6&gt;0,$B50&lt;C$6),C$4,C$5)/12),2))</f>
        <v/>
      </c>
      <c r="AI50">
        <f>IF(D49&lt;=0,0,ROUND(D49*(1+IF(AND(D$6&gt;0,$B50&lt;D$6),D$4,D$5)/12),2))</f>
        <v/>
      </c>
      <c r="AJ50">
        <f>IF(E49&lt;=0,0,ROUND(E49*(1+IF(AND(E$6&gt;0,$B50&lt;E$6),E$4,E$5)/12),2))</f>
        <v/>
      </c>
      <c r="AK50">
        <f>IF(F49&lt;=0,0,ROUND(F49*(1+IF(AND(F$6&gt;0,$B50&lt;F$6),F$4,F$5)/12),2))</f>
        <v/>
      </c>
      <c r="AL50">
        <f>IF(G49&lt;=0,0,ROUND(G49*(1+IF(AND(G$6&gt;0,$B50&lt;G$6),G$4,G$5)/12),2))</f>
        <v/>
      </c>
      <c r="AM50">
        <f>IF(H49&lt;=0,0,ROUND(H49*(1+IF(AND(H$6&gt;0,$B50&lt;H$6),H$4,H$5)/12),2))</f>
        <v/>
      </c>
      <c r="AN50">
        <f>IF(I49&lt;=0,0,ROUND(I49*(1+IF(AND(I$6&gt;0,$B50&lt;I$6),I$4,I$5)/12),2))</f>
        <v/>
      </c>
      <c r="AO50">
        <f>IF(J49&lt;=0,0,ROUND(J49*(1+IF(AND(J$6&gt;0,$B50&lt;J$6),J$4,J$5)/12),2))</f>
        <v/>
      </c>
      <c r="AP50">
        <f>IF(K49&lt;=0,0,ROUND(K49*(1+IF(AND(K$6&gt;0,$B50&lt;K$6),K$4,K$5)/12),2))</f>
        <v/>
      </c>
      <c r="AQ50">
        <f>IF(L49&lt;=0,0,ROUND(L49*(1+IF(AND(L$6&gt;0,$B50&lt;L$6),L$4,L$5)/12),2))</f>
        <v/>
      </c>
      <c r="AR50">
        <f>IF(M49&lt;=0,0,ROUND(M49*(1+IF(AND(M$6&gt;0,$B50&lt;M$6),M$4,M$5)/12),2))</f>
        <v/>
      </c>
      <c r="AS50">
        <f>IF(N49&lt;=0,0,ROUND(N49*(1+IF(AND(N$6&gt;0,$B50&lt;N$6),N$4,N$5)/12),2))</f>
        <v/>
      </c>
    </row>
    <row r="51">
      <c r="A51" t="n">
        <v>40</v>
      </c>
      <c r="B51">
        <f>EDATE(Plan!$C$6,39)</f>
        <v/>
      </c>
      <c r="C51">
        <f>IF(C50&lt;=0,0,MAX(0,AH51-O51))</f>
        <v/>
      </c>
      <c r="D51">
        <f>IF(D50&lt;=0,0,MAX(0,AI51-P51))</f>
        <v/>
      </c>
      <c r="E51">
        <f>IF(E50&lt;=0,0,MAX(0,AJ51-Q51))</f>
        <v/>
      </c>
      <c r="F51">
        <f>IF(F50&lt;=0,0,MAX(0,AK51-R51))</f>
        <v/>
      </c>
      <c r="G51">
        <f>IF(G50&lt;=0,0,MAX(0,AL51-S51))</f>
        <v/>
      </c>
      <c r="H51">
        <f>IF(H50&lt;=0,0,MAX(0,AM51-T51))</f>
        <v/>
      </c>
      <c r="I51">
        <f>IF(I50&lt;=0,0,MAX(0,AN51-U51))</f>
        <v/>
      </c>
      <c r="J51">
        <f>IF(J50&lt;=0,0,MAX(0,AO51-V51))</f>
        <v/>
      </c>
      <c r="K51">
        <f>IF(K50&lt;=0,0,MAX(0,AP51-W51))</f>
        <v/>
      </c>
      <c r="L51">
        <f>IF(L50&lt;=0,0,MAX(0,AQ51-X51))</f>
        <v/>
      </c>
      <c r="M51">
        <f>IF(M50&lt;=0,0,MAX(0,AR51-Y51))</f>
        <v/>
      </c>
      <c r="N51">
        <f>IF(N50&lt;=0,0,MAX(0,AS51-Z51))</f>
        <v/>
      </c>
      <c r="O51">
        <f>IF(C50&lt;=0,0,MIN(AH51,C$7+IF(C$2=$AA51,$AC51,IF(C$2=$AF51,$AG51,0))))</f>
        <v/>
      </c>
      <c r="P51">
        <f>IF(D50&lt;=0,0,MIN(AI51,D$7+IF(D$2=$AA51,$AC51,IF(D$2=$AF51,$AG51,0))))</f>
        <v/>
      </c>
      <c r="Q51">
        <f>IF(E50&lt;=0,0,MIN(AJ51,E$7+IF(E$2=$AA51,$AC51,IF(E$2=$AF51,$AG51,0))))</f>
        <v/>
      </c>
      <c r="R51">
        <f>IF(F50&lt;=0,0,MIN(AK51,F$7+IF(F$2=$AA51,$AC51,IF(F$2=$AF51,$AG51,0))))</f>
        <v/>
      </c>
      <c r="S51">
        <f>IF(G50&lt;=0,0,MIN(AL51,G$7+IF(G$2=$AA51,$AC51,IF(G$2=$AF51,$AG51,0))))</f>
        <v/>
      </c>
      <c r="T51">
        <f>IF(H50&lt;=0,0,MIN(AM51,H$7+IF(H$2=$AA51,$AC51,IF(H$2=$AF51,$AG51,0))))</f>
        <v/>
      </c>
      <c r="U51">
        <f>IF(I50&lt;=0,0,MIN(AN51,I$7+IF(I$2=$AA51,$AC51,IF(I$2=$AF51,$AG51,0))))</f>
        <v/>
      </c>
      <c r="V51">
        <f>IF(J50&lt;=0,0,MIN(AO51,J$7+IF(J$2=$AA51,$AC51,IF(J$2=$AF51,$AG51,0))))</f>
        <v/>
      </c>
      <c r="W51">
        <f>IF(K50&lt;=0,0,MIN(AP51,K$7+IF(K$2=$AA51,$AC51,IF(K$2=$AF51,$AG51,0))))</f>
        <v/>
      </c>
      <c r="X51">
        <f>IF(L50&lt;=0,0,MIN(AQ51,L$7+IF(L$2=$AA51,$AC51,IF(L$2=$AF51,$AG51,0))))</f>
        <v/>
      </c>
      <c r="Y51">
        <f>IF(M50&lt;=0,0,MIN(AR51,M$7+IF(M$2=$AA51,$AC51,IF(M$2=$AF51,$AG51,0))))</f>
        <v/>
      </c>
      <c r="Z51">
        <f>IF(N50&lt;=0,0,MIN(AS51,N$7+IF(N$2=$AA51,$AC51,IF(N$2=$AF51,$AG51,0))))</f>
        <v/>
      </c>
      <c r="AA51">
        <f>IFERROR(ROUND(1/SUMPRODUCT(MAX((C50:N50&gt;0)*($C$3:$N$3&lt;=B51)/$C$2:$N$2)),0),0)</f>
        <v/>
      </c>
      <c r="AB51">
        <f>SUMPRODUCT((C50:N50&gt;0)*$C$7:$N$7)</f>
        <v/>
      </c>
      <c r="AC51">
        <f>MAX(0,Plan!$C$5-AB51)+IF(A51=Plan!$C$8,N(Plan!$C$7),0)</f>
        <v/>
      </c>
      <c r="AD51">
        <f>SUM(C51:N51)</f>
        <v/>
      </c>
      <c r="AE51">
        <f>SUM(O51:Z51)</f>
        <v/>
      </c>
      <c r="AF51">
        <f>IFERROR(ROUND(1/SUMPRODUCT(MAX((C50:N50&gt;0)*($C$3:$N$3&lt;=B51)*($C$2:$N$2&gt;AA51)/$C$2:$N$2)),0),0)</f>
        <v/>
      </c>
      <c r="AG51">
        <f>MAX(0,AC51-MAX(0,SUMPRODUCT(($C$2:$N$2=AA51)*(AH51:AS51-$C$7:$N$7))))</f>
        <v/>
      </c>
      <c r="AH51">
        <f>IF(C50&lt;=0,0,ROUND(C50*(1+IF(AND(C$6&gt;0,$B51&lt;C$6),C$4,C$5)/12),2))</f>
        <v/>
      </c>
      <c r="AI51">
        <f>IF(D50&lt;=0,0,ROUND(D50*(1+IF(AND(D$6&gt;0,$B51&lt;D$6),D$4,D$5)/12),2))</f>
        <v/>
      </c>
      <c r="AJ51">
        <f>IF(E50&lt;=0,0,ROUND(E50*(1+IF(AND(E$6&gt;0,$B51&lt;E$6),E$4,E$5)/12),2))</f>
        <v/>
      </c>
      <c r="AK51">
        <f>IF(F50&lt;=0,0,ROUND(F50*(1+IF(AND(F$6&gt;0,$B51&lt;F$6),F$4,F$5)/12),2))</f>
        <v/>
      </c>
      <c r="AL51">
        <f>IF(G50&lt;=0,0,ROUND(G50*(1+IF(AND(G$6&gt;0,$B51&lt;G$6),G$4,G$5)/12),2))</f>
        <v/>
      </c>
      <c r="AM51">
        <f>IF(H50&lt;=0,0,ROUND(H50*(1+IF(AND(H$6&gt;0,$B51&lt;H$6),H$4,H$5)/12),2))</f>
        <v/>
      </c>
      <c r="AN51">
        <f>IF(I50&lt;=0,0,ROUND(I50*(1+IF(AND(I$6&gt;0,$B51&lt;I$6),I$4,I$5)/12),2))</f>
        <v/>
      </c>
      <c r="AO51">
        <f>IF(J50&lt;=0,0,ROUND(J50*(1+IF(AND(J$6&gt;0,$B51&lt;J$6),J$4,J$5)/12),2))</f>
        <v/>
      </c>
      <c r="AP51">
        <f>IF(K50&lt;=0,0,ROUND(K50*(1+IF(AND(K$6&gt;0,$B51&lt;K$6),K$4,K$5)/12),2))</f>
        <v/>
      </c>
      <c r="AQ51">
        <f>IF(L50&lt;=0,0,ROUND(L50*(1+IF(AND(L$6&gt;0,$B51&lt;L$6),L$4,L$5)/12),2))</f>
        <v/>
      </c>
      <c r="AR51">
        <f>IF(M50&lt;=0,0,ROUND(M50*(1+IF(AND(M$6&gt;0,$B51&lt;M$6),M$4,M$5)/12),2))</f>
        <v/>
      </c>
      <c r="AS51">
        <f>IF(N50&lt;=0,0,ROUND(N50*(1+IF(AND(N$6&gt;0,$B51&lt;N$6),N$4,N$5)/12),2))</f>
        <v/>
      </c>
    </row>
    <row r="52">
      <c r="A52" t="n">
        <v>41</v>
      </c>
      <c r="B52">
        <f>EDATE(Plan!$C$6,40)</f>
        <v/>
      </c>
      <c r="C52">
        <f>IF(C51&lt;=0,0,MAX(0,AH52-O52))</f>
        <v/>
      </c>
      <c r="D52">
        <f>IF(D51&lt;=0,0,MAX(0,AI52-P52))</f>
        <v/>
      </c>
      <c r="E52">
        <f>IF(E51&lt;=0,0,MAX(0,AJ52-Q52))</f>
        <v/>
      </c>
      <c r="F52">
        <f>IF(F51&lt;=0,0,MAX(0,AK52-R52))</f>
        <v/>
      </c>
      <c r="G52">
        <f>IF(G51&lt;=0,0,MAX(0,AL52-S52))</f>
        <v/>
      </c>
      <c r="H52">
        <f>IF(H51&lt;=0,0,MAX(0,AM52-T52))</f>
        <v/>
      </c>
      <c r="I52">
        <f>IF(I51&lt;=0,0,MAX(0,AN52-U52))</f>
        <v/>
      </c>
      <c r="J52">
        <f>IF(J51&lt;=0,0,MAX(0,AO52-V52))</f>
        <v/>
      </c>
      <c r="K52">
        <f>IF(K51&lt;=0,0,MAX(0,AP52-W52))</f>
        <v/>
      </c>
      <c r="L52">
        <f>IF(L51&lt;=0,0,MAX(0,AQ52-X52))</f>
        <v/>
      </c>
      <c r="M52">
        <f>IF(M51&lt;=0,0,MAX(0,AR52-Y52))</f>
        <v/>
      </c>
      <c r="N52">
        <f>IF(N51&lt;=0,0,MAX(0,AS52-Z52))</f>
        <v/>
      </c>
      <c r="O52">
        <f>IF(C51&lt;=0,0,MIN(AH52,C$7+IF(C$2=$AA52,$AC52,IF(C$2=$AF52,$AG52,0))))</f>
        <v/>
      </c>
      <c r="P52">
        <f>IF(D51&lt;=0,0,MIN(AI52,D$7+IF(D$2=$AA52,$AC52,IF(D$2=$AF52,$AG52,0))))</f>
        <v/>
      </c>
      <c r="Q52">
        <f>IF(E51&lt;=0,0,MIN(AJ52,E$7+IF(E$2=$AA52,$AC52,IF(E$2=$AF52,$AG52,0))))</f>
        <v/>
      </c>
      <c r="R52">
        <f>IF(F51&lt;=0,0,MIN(AK52,F$7+IF(F$2=$AA52,$AC52,IF(F$2=$AF52,$AG52,0))))</f>
        <v/>
      </c>
      <c r="S52">
        <f>IF(G51&lt;=0,0,MIN(AL52,G$7+IF(G$2=$AA52,$AC52,IF(G$2=$AF52,$AG52,0))))</f>
        <v/>
      </c>
      <c r="T52">
        <f>IF(H51&lt;=0,0,MIN(AM52,H$7+IF(H$2=$AA52,$AC52,IF(H$2=$AF52,$AG52,0))))</f>
        <v/>
      </c>
      <c r="U52">
        <f>IF(I51&lt;=0,0,MIN(AN52,I$7+IF(I$2=$AA52,$AC52,IF(I$2=$AF52,$AG52,0))))</f>
        <v/>
      </c>
      <c r="V52">
        <f>IF(J51&lt;=0,0,MIN(AO52,J$7+IF(J$2=$AA52,$AC52,IF(J$2=$AF52,$AG52,0))))</f>
        <v/>
      </c>
      <c r="W52">
        <f>IF(K51&lt;=0,0,MIN(AP52,K$7+IF(K$2=$AA52,$AC52,IF(K$2=$AF52,$AG52,0))))</f>
        <v/>
      </c>
      <c r="X52">
        <f>IF(L51&lt;=0,0,MIN(AQ52,L$7+IF(L$2=$AA52,$AC52,IF(L$2=$AF52,$AG52,0))))</f>
        <v/>
      </c>
      <c r="Y52">
        <f>IF(M51&lt;=0,0,MIN(AR52,M$7+IF(M$2=$AA52,$AC52,IF(M$2=$AF52,$AG52,0))))</f>
        <v/>
      </c>
      <c r="Z52">
        <f>IF(N51&lt;=0,0,MIN(AS52,N$7+IF(N$2=$AA52,$AC52,IF(N$2=$AF52,$AG52,0))))</f>
        <v/>
      </c>
      <c r="AA52">
        <f>IFERROR(ROUND(1/SUMPRODUCT(MAX((C51:N51&gt;0)*($C$3:$N$3&lt;=B52)/$C$2:$N$2)),0),0)</f>
        <v/>
      </c>
      <c r="AB52">
        <f>SUMPRODUCT((C51:N51&gt;0)*$C$7:$N$7)</f>
        <v/>
      </c>
      <c r="AC52">
        <f>MAX(0,Plan!$C$5-AB52)+IF(A52=Plan!$C$8,N(Plan!$C$7),0)</f>
        <v/>
      </c>
      <c r="AD52">
        <f>SUM(C52:N52)</f>
        <v/>
      </c>
      <c r="AE52">
        <f>SUM(O52:Z52)</f>
        <v/>
      </c>
      <c r="AF52">
        <f>IFERROR(ROUND(1/SUMPRODUCT(MAX((C51:N51&gt;0)*($C$3:$N$3&lt;=B52)*($C$2:$N$2&gt;AA52)/$C$2:$N$2)),0),0)</f>
        <v/>
      </c>
      <c r="AG52">
        <f>MAX(0,AC52-MAX(0,SUMPRODUCT(($C$2:$N$2=AA52)*(AH52:AS52-$C$7:$N$7))))</f>
        <v/>
      </c>
      <c r="AH52">
        <f>IF(C51&lt;=0,0,ROUND(C51*(1+IF(AND(C$6&gt;0,$B52&lt;C$6),C$4,C$5)/12),2))</f>
        <v/>
      </c>
      <c r="AI52">
        <f>IF(D51&lt;=0,0,ROUND(D51*(1+IF(AND(D$6&gt;0,$B52&lt;D$6),D$4,D$5)/12),2))</f>
        <v/>
      </c>
      <c r="AJ52">
        <f>IF(E51&lt;=0,0,ROUND(E51*(1+IF(AND(E$6&gt;0,$B52&lt;E$6),E$4,E$5)/12),2))</f>
        <v/>
      </c>
      <c r="AK52">
        <f>IF(F51&lt;=0,0,ROUND(F51*(1+IF(AND(F$6&gt;0,$B52&lt;F$6),F$4,F$5)/12),2))</f>
        <v/>
      </c>
      <c r="AL52">
        <f>IF(G51&lt;=0,0,ROUND(G51*(1+IF(AND(G$6&gt;0,$B52&lt;G$6),G$4,G$5)/12),2))</f>
        <v/>
      </c>
      <c r="AM52">
        <f>IF(H51&lt;=0,0,ROUND(H51*(1+IF(AND(H$6&gt;0,$B52&lt;H$6),H$4,H$5)/12),2))</f>
        <v/>
      </c>
      <c r="AN52">
        <f>IF(I51&lt;=0,0,ROUND(I51*(1+IF(AND(I$6&gt;0,$B52&lt;I$6),I$4,I$5)/12),2))</f>
        <v/>
      </c>
      <c r="AO52">
        <f>IF(J51&lt;=0,0,ROUND(J51*(1+IF(AND(J$6&gt;0,$B52&lt;J$6),J$4,J$5)/12),2))</f>
        <v/>
      </c>
      <c r="AP52">
        <f>IF(K51&lt;=0,0,ROUND(K51*(1+IF(AND(K$6&gt;0,$B52&lt;K$6),K$4,K$5)/12),2))</f>
        <v/>
      </c>
      <c r="AQ52">
        <f>IF(L51&lt;=0,0,ROUND(L51*(1+IF(AND(L$6&gt;0,$B52&lt;L$6),L$4,L$5)/12),2))</f>
        <v/>
      </c>
      <c r="AR52">
        <f>IF(M51&lt;=0,0,ROUND(M51*(1+IF(AND(M$6&gt;0,$B52&lt;M$6),M$4,M$5)/12),2))</f>
        <v/>
      </c>
      <c r="AS52">
        <f>IF(N51&lt;=0,0,ROUND(N51*(1+IF(AND(N$6&gt;0,$B52&lt;N$6),N$4,N$5)/12),2))</f>
        <v/>
      </c>
    </row>
    <row r="53">
      <c r="A53" t="n">
        <v>42</v>
      </c>
      <c r="B53">
        <f>EDATE(Plan!$C$6,41)</f>
        <v/>
      </c>
      <c r="C53">
        <f>IF(C52&lt;=0,0,MAX(0,AH53-O53))</f>
        <v/>
      </c>
      <c r="D53">
        <f>IF(D52&lt;=0,0,MAX(0,AI53-P53))</f>
        <v/>
      </c>
      <c r="E53">
        <f>IF(E52&lt;=0,0,MAX(0,AJ53-Q53))</f>
        <v/>
      </c>
      <c r="F53">
        <f>IF(F52&lt;=0,0,MAX(0,AK53-R53))</f>
        <v/>
      </c>
      <c r="G53">
        <f>IF(G52&lt;=0,0,MAX(0,AL53-S53))</f>
        <v/>
      </c>
      <c r="H53">
        <f>IF(H52&lt;=0,0,MAX(0,AM53-T53))</f>
        <v/>
      </c>
      <c r="I53">
        <f>IF(I52&lt;=0,0,MAX(0,AN53-U53))</f>
        <v/>
      </c>
      <c r="J53">
        <f>IF(J52&lt;=0,0,MAX(0,AO53-V53))</f>
        <v/>
      </c>
      <c r="K53">
        <f>IF(K52&lt;=0,0,MAX(0,AP53-W53))</f>
        <v/>
      </c>
      <c r="L53">
        <f>IF(L52&lt;=0,0,MAX(0,AQ53-X53))</f>
        <v/>
      </c>
      <c r="M53">
        <f>IF(M52&lt;=0,0,MAX(0,AR53-Y53))</f>
        <v/>
      </c>
      <c r="N53">
        <f>IF(N52&lt;=0,0,MAX(0,AS53-Z53))</f>
        <v/>
      </c>
      <c r="O53">
        <f>IF(C52&lt;=0,0,MIN(AH53,C$7+IF(C$2=$AA53,$AC53,IF(C$2=$AF53,$AG53,0))))</f>
        <v/>
      </c>
      <c r="P53">
        <f>IF(D52&lt;=0,0,MIN(AI53,D$7+IF(D$2=$AA53,$AC53,IF(D$2=$AF53,$AG53,0))))</f>
        <v/>
      </c>
      <c r="Q53">
        <f>IF(E52&lt;=0,0,MIN(AJ53,E$7+IF(E$2=$AA53,$AC53,IF(E$2=$AF53,$AG53,0))))</f>
        <v/>
      </c>
      <c r="R53">
        <f>IF(F52&lt;=0,0,MIN(AK53,F$7+IF(F$2=$AA53,$AC53,IF(F$2=$AF53,$AG53,0))))</f>
        <v/>
      </c>
      <c r="S53">
        <f>IF(G52&lt;=0,0,MIN(AL53,G$7+IF(G$2=$AA53,$AC53,IF(G$2=$AF53,$AG53,0))))</f>
        <v/>
      </c>
      <c r="T53">
        <f>IF(H52&lt;=0,0,MIN(AM53,H$7+IF(H$2=$AA53,$AC53,IF(H$2=$AF53,$AG53,0))))</f>
        <v/>
      </c>
      <c r="U53">
        <f>IF(I52&lt;=0,0,MIN(AN53,I$7+IF(I$2=$AA53,$AC53,IF(I$2=$AF53,$AG53,0))))</f>
        <v/>
      </c>
      <c r="V53">
        <f>IF(J52&lt;=0,0,MIN(AO53,J$7+IF(J$2=$AA53,$AC53,IF(J$2=$AF53,$AG53,0))))</f>
        <v/>
      </c>
      <c r="W53">
        <f>IF(K52&lt;=0,0,MIN(AP53,K$7+IF(K$2=$AA53,$AC53,IF(K$2=$AF53,$AG53,0))))</f>
        <v/>
      </c>
      <c r="X53">
        <f>IF(L52&lt;=0,0,MIN(AQ53,L$7+IF(L$2=$AA53,$AC53,IF(L$2=$AF53,$AG53,0))))</f>
        <v/>
      </c>
      <c r="Y53">
        <f>IF(M52&lt;=0,0,MIN(AR53,M$7+IF(M$2=$AA53,$AC53,IF(M$2=$AF53,$AG53,0))))</f>
        <v/>
      </c>
      <c r="Z53">
        <f>IF(N52&lt;=0,0,MIN(AS53,N$7+IF(N$2=$AA53,$AC53,IF(N$2=$AF53,$AG53,0))))</f>
        <v/>
      </c>
      <c r="AA53">
        <f>IFERROR(ROUND(1/SUMPRODUCT(MAX((C52:N52&gt;0)*($C$3:$N$3&lt;=B53)/$C$2:$N$2)),0),0)</f>
        <v/>
      </c>
      <c r="AB53">
        <f>SUMPRODUCT((C52:N52&gt;0)*$C$7:$N$7)</f>
        <v/>
      </c>
      <c r="AC53">
        <f>MAX(0,Plan!$C$5-AB53)+IF(A53=Plan!$C$8,N(Plan!$C$7),0)</f>
        <v/>
      </c>
      <c r="AD53">
        <f>SUM(C53:N53)</f>
        <v/>
      </c>
      <c r="AE53">
        <f>SUM(O53:Z53)</f>
        <v/>
      </c>
      <c r="AF53">
        <f>IFERROR(ROUND(1/SUMPRODUCT(MAX((C52:N52&gt;0)*($C$3:$N$3&lt;=B53)*($C$2:$N$2&gt;AA53)/$C$2:$N$2)),0),0)</f>
        <v/>
      </c>
      <c r="AG53">
        <f>MAX(0,AC53-MAX(0,SUMPRODUCT(($C$2:$N$2=AA53)*(AH53:AS53-$C$7:$N$7))))</f>
        <v/>
      </c>
      <c r="AH53">
        <f>IF(C52&lt;=0,0,ROUND(C52*(1+IF(AND(C$6&gt;0,$B53&lt;C$6),C$4,C$5)/12),2))</f>
        <v/>
      </c>
      <c r="AI53">
        <f>IF(D52&lt;=0,0,ROUND(D52*(1+IF(AND(D$6&gt;0,$B53&lt;D$6),D$4,D$5)/12),2))</f>
        <v/>
      </c>
      <c r="AJ53">
        <f>IF(E52&lt;=0,0,ROUND(E52*(1+IF(AND(E$6&gt;0,$B53&lt;E$6),E$4,E$5)/12),2))</f>
        <v/>
      </c>
      <c r="AK53">
        <f>IF(F52&lt;=0,0,ROUND(F52*(1+IF(AND(F$6&gt;0,$B53&lt;F$6),F$4,F$5)/12),2))</f>
        <v/>
      </c>
      <c r="AL53">
        <f>IF(G52&lt;=0,0,ROUND(G52*(1+IF(AND(G$6&gt;0,$B53&lt;G$6),G$4,G$5)/12),2))</f>
        <v/>
      </c>
      <c r="AM53">
        <f>IF(H52&lt;=0,0,ROUND(H52*(1+IF(AND(H$6&gt;0,$B53&lt;H$6),H$4,H$5)/12),2))</f>
        <v/>
      </c>
      <c r="AN53">
        <f>IF(I52&lt;=0,0,ROUND(I52*(1+IF(AND(I$6&gt;0,$B53&lt;I$6),I$4,I$5)/12),2))</f>
        <v/>
      </c>
      <c r="AO53">
        <f>IF(J52&lt;=0,0,ROUND(J52*(1+IF(AND(J$6&gt;0,$B53&lt;J$6),J$4,J$5)/12),2))</f>
        <v/>
      </c>
      <c r="AP53">
        <f>IF(K52&lt;=0,0,ROUND(K52*(1+IF(AND(K$6&gt;0,$B53&lt;K$6),K$4,K$5)/12),2))</f>
        <v/>
      </c>
      <c r="AQ53">
        <f>IF(L52&lt;=0,0,ROUND(L52*(1+IF(AND(L$6&gt;0,$B53&lt;L$6),L$4,L$5)/12),2))</f>
        <v/>
      </c>
      <c r="AR53">
        <f>IF(M52&lt;=0,0,ROUND(M52*(1+IF(AND(M$6&gt;0,$B53&lt;M$6),M$4,M$5)/12),2))</f>
        <v/>
      </c>
      <c r="AS53">
        <f>IF(N52&lt;=0,0,ROUND(N52*(1+IF(AND(N$6&gt;0,$B53&lt;N$6),N$4,N$5)/12),2))</f>
        <v/>
      </c>
    </row>
    <row r="54">
      <c r="A54" t="n">
        <v>43</v>
      </c>
      <c r="B54">
        <f>EDATE(Plan!$C$6,42)</f>
        <v/>
      </c>
      <c r="C54">
        <f>IF(C53&lt;=0,0,MAX(0,AH54-O54))</f>
        <v/>
      </c>
      <c r="D54">
        <f>IF(D53&lt;=0,0,MAX(0,AI54-P54))</f>
        <v/>
      </c>
      <c r="E54">
        <f>IF(E53&lt;=0,0,MAX(0,AJ54-Q54))</f>
        <v/>
      </c>
      <c r="F54">
        <f>IF(F53&lt;=0,0,MAX(0,AK54-R54))</f>
        <v/>
      </c>
      <c r="G54">
        <f>IF(G53&lt;=0,0,MAX(0,AL54-S54))</f>
        <v/>
      </c>
      <c r="H54">
        <f>IF(H53&lt;=0,0,MAX(0,AM54-T54))</f>
        <v/>
      </c>
      <c r="I54">
        <f>IF(I53&lt;=0,0,MAX(0,AN54-U54))</f>
        <v/>
      </c>
      <c r="J54">
        <f>IF(J53&lt;=0,0,MAX(0,AO54-V54))</f>
        <v/>
      </c>
      <c r="K54">
        <f>IF(K53&lt;=0,0,MAX(0,AP54-W54))</f>
        <v/>
      </c>
      <c r="L54">
        <f>IF(L53&lt;=0,0,MAX(0,AQ54-X54))</f>
        <v/>
      </c>
      <c r="M54">
        <f>IF(M53&lt;=0,0,MAX(0,AR54-Y54))</f>
        <v/>
      </c>
      <c r="N54">
        <f>IF(N53&lt;=0,0,MAX(0,AS54-Z54))</f>
        <v/>
      </c>
      <c r="O54">
        <f>IF(C53&lt;=0,0,MIN(AH54,C$7+IF(C$2=$AA54,$AC54,IF(C$2=$AF54,$AG54,0))))</f>
        <v/>
      </c>
      <c r="P54">
        <f>IF(D53&lt;=0,0,MIN(AI54,D$7+IF(D$2=$AA54,$AC54,IF(D$2=$AF54,$AG54,0))))</f>
        <v/>
      </c>
      <c r="Q54">
        <f>IF(E53&lt;=0,0,MIN(AJ54,E$7+IF(E$2=$AA54,$AC54,IF(E$2=$AF54,$AG54,0))))</f>
        <v/>
      </c>
      <c r="R54">
        <f>IF(F53&lt;=0,0,MIN(AK54,F$7+IF(F$2=$AA54,$AC54,IF(F$2=$AF54,$AG54,0))))</f>
        <v/>
      </c>
      <c r="S54">
        <f>IF(G53&lt;=0,0,MIN(AL54,G$7+IF(G$2=$AA54,$AC54,IF(G$2=$AF54,$AG54,0))))</f>
        <v/>
      </c>
      <c r="T54">
        <f>IF(H53&lt;=0,0,MIN(AM54,H$7+IF(H$2=$AA54,$AC54,IF(H$2=$AF54,$AG54,0))))</f>
        <v/>
      </c>
      <c r="U54">
        <f>IF(I53&lt;=0,0,MIN(AN54,I$7+IF(I$2=$AA54,$AC54,IF(I$2=$AF54,$AG54,0))))</f>
        <v/>
      </c>
      <c r="V54">
        <f>IF(J53&lt;=0,0,MIN(AO54,J$7+IF(J$2=$AA54,$AC54,IF(J$2=$AF54,$AG54,0))))</f>
        <v/>
      </c>
      <c r="W54">
        <f>IF(K53&lt;=0,0,MIN(AP54,K$7+IF(K$2=$AA54,$AC54,IF(K$2=$AF54,$AG54,0))))</f>
        <v/>
      </c>
      <c r="X54">
        <f>IF(L53&lt;=0,0,MIN(AQ54,L$7+IF(L$2=$AA54,$AC54,IF(L$2=$AF54,$AG54,0))))</f>
        <v/>
      </c>
      <c r="Y54">
        <f>IF(M53&lt;=0,0,MIN(AR54,M$7+IF(M$2=$AA54,$AC54,IF(M$2=$AF54,$AG54,0))))</f>
        <v/>
      </c>
      <c r="Z54">
        <f>IF(N53&lt;=0,0,MIN(AS54,N$7+IF(N$2=$AA54,$AC54,IF(N$2=$AF54,$AG54,0))))</f>
        <v/>
      </c>
      <c r="AA54">
        <f>IFERROR(ROUND(1/SUMPRODUCT(MAX((C53:N53&gt;0)*($C$3:$N$3&lt;=B54)/$C$2:$N$2)),0),0)</f>
        <v/>
      </c>
      <c r="AB54">
        <f>SUMPRODUCT((C53:N53&gt;0)*$C$7:$N$7)</f>
        <v/>
      </c>
      <c r="AC54">
        <f>MAX(0,Plan!$C$5-AB54)+IF(A54=Plan!$C$8,N(Plan!$C$7),0)</f>
        <v/>
      </c>
      <c r="AD54">
        <f>SUM(C54:N54)</f>
        <v/>
      </c>
      <c r="AE54">
        <f>SUM(O54:Z54)</f>
        <v/>
      </c>
      <c r="AF54">
        <f>IFERROR(ROUND(1/SUMPRODUCT(MAX((C53:N53&gt;0)*($C$3:$N$3&lt;=B54)*($C$2:$N$2&gt;AA54)/$C$2:$N$2)),0),0)</f>
        <v/>
      </c>
      <c r="AG54">
        <f>MAX(0,AC54-MAX(0,SUMPRODUCT(($C$2:$N$2=AA54)*(AH54:AS54-$C$7:$N$7))))</f>
        <v/>
      </c>
      <c r="AH54">
        <f>IF(C53&lt;=0,0,ROUND(C53*(1+IF(AND(C$6&gt;0,$B54&lt;C$6),C$4,C$5)/12),2))</f>
        <v/>
      </c>
      <c r="AI54">
        <f>IF(D53&lt;=0,0,ROUND(D53*(1+IF(AND(D$6&gt;0,$B54&lt;D$6),D$4,D$5)/12),2))</f>
        <v/>
      </c>
      <c r="AJ54">
        <f>IF(E53&lt;=0,0,ROUND(E53*(1+IF(AND(E$6&gt;0,$B54&lt;E$6),E$4,E$5)/12),2))</f>
        <v/>
      </c>
      <c r="AK54">
        <f>IF(F53&lt;=0,0,ROUND(F53*(1+IF(AND(F$6&gt;0,$B54&lt;F$6),F$4,F$5)/12),2))</f>
        <v/>
      </c>
      <c r="AL54">
        <f>IF(G53&lt;=0,0,ROUND(G53*(1+IF(AND(G$6&gt;0,$B54&lt;G$6),G$4,G$5)/12),2))</f>
        <v/>
      </c>
      <c r="AM54">
        <f>IF(H53&lt;=0,0,ROUND(H53*(1+IF(AND(H$6&gt;0,$B54&lt;H$6),H$4,H$5)/12),2))</f>
        <v/>
      </c>
      <c r="AN54">
        <f>IF(I53&lt;=0,0,ROUND(I53*(1+IF(AND(I$6&gt;0,$B54&lt;I$6),I$4,I$5)/12),2))</f>
        <v/>
      </c>
      <c r="AO54">
        <f>IF(J53&lt;=0,0,ROUND(J53*(1+IF(AND(J$6&gt;0,$B54&lt;J$6),J$4,J$5)/12),2))</f>
        <v/>
      </c>
      <c r="AP54">
        <f>IF(K53&lt;=0,0,ROUND(K53*(1+IF(AND(K$6&gt;0,$B54&lt;K$6),K$4,K$5)/12),2))</f>
        <v/>
      </c>
      <c r="AQ54">
        <f>IF(L53&lt;=0,0,ROUND(L53*(1+IF(AND(L$6&gt;0,$B54&lt;L$6),L$4,L$5)/12),2))</f>
        <v/>
      </c>
      <c r="AR54">
        <f>IF(M53&lt;=0,0,ROUND(M53*(1+IF(AND(M$6&gt;0,$B54&lt;M$6),M$4,M$5)/12),2))</f>
        <v/>
      </c>
      <c r="AS54">
        <f>IF(N53&lt;=0,0,ROUND(N53*(1+IF(AND(N$6&gt;0,$B54&lt;N$6),N$4,N$5)/12),2))</f>
        <v/>
      </c>
    </row>
    <row r="55">
      <c r="A55" t="n">
        <v>44</v>
      </c>
      <c r="B55">
        <f>EDATE(Plan!$C$6,43)</f>
        <v/>
      </c>
      <c r="C55">
        <f>IF(C54&lt;=0,0,MAX(0,AH55-O55))</f>
        <v/>
      </c>
      <c r="D55">
        <f>IF(D54&lt;=0,0,MAX(0,AI55-P55))</f>
        <v/>
      </c>
      <c r="E55">
        <f>IF(E54&lt;=0,0,MAX(0,AJ55-Q55))</f>
        <v/>
      </c>
      <c r="F55">
        <f>IF(F54&lt;=0,0,MAX(0,AK55-R55))</f>
        <v/>
      </c>
      <c r="G55">
        <f>IF(G54&lt;=0,0,MAX(0,AL55-S55))</f>
        <v/>
      </c>
      <c r="H55">
        <f>IF(H54&lt;=0,0,MAX(0,AM55-T55))</f>
        <v/>
      </c>
      <c r="I55">
        <f>IF(I54&lt;=0,0,MAX(0,AN55-U55))</f>
        <v/>
      </c>
      <c r="J55">
        <f>IF(J54&lt;=0,0,MAX(0,AO55-V55))</f>
        <v/>
      </c>
      <c r="K55">
        <f>IF(K54&lt;=0,0,MAX(0,AP55-W55))</f>
        <v/>
      </c>
      <c r="L55">
        <f>IF(L54&lt;=0,0,MAX(0,AQ55-X55))</f>
        <v/>
      </c>
      <c r="M55">
        <f>IF(M54&lt;=0,0,MAX(0,AR55-Y55))</f>
        <v/>
      </c>
      <c r="N55">
        <f>IF(N54&lt;=0,0,MAX(0,AS55-Z55))</f>
        <v/>
      </c>
      <c r="O55">
        <f>IF(C54&lt;=0,0,MIN(AH55,C$7+IF(C$2=$AA55,$AC55,IF(C$2=$AF55,$AG55,0))))</f>
        <v/>
      </c>
      <c r="P55">
        <f>IF(D54&lt;=0,0,MIN(AI55,D$7+IF(D$2=$AA55,$AC55,IF(D$2=$AF55,$AG55,0))))</f>
        <v/>
      </c>
      <c r="Q55">
        <f>IF(E54&lt;=0,0,MIN(AJ55,E$7+IF(E$2=$AA55,$AC55,IF(E$2=$AF55,$AG55,0))))</f>
        <v/>
      </c>
      <c r="R55">
        <f>IF(F54&lt;=0,0,MIN(AK55,F$7+IF(F$2=$AA55,$AC55,IF(F$2=$AF55,$AG55,0))))</f>
        <v/>
      </c>
      <c r="S55">
        <f>IF(G54&lt;=0,0,MIN(AL55,G$7+IF(G$2=$AA55,$AC55,IF(G$2=$AF55,$AG55,0))))</f>
        <v/>
      </c>
      <c r="T55">
        <f>IF(H54&lt;=0,0,MIN(AM55,H$7+IF(H$2=$AA55,$AC55,IF(H$2=$AF55,$AG55,0))))</f>
        <v/>
      </c>
      <c r="U55">
        <f>IF(I54&lt;=0,0,MIN(AN55,I$7+IF(I$2=$AA55,$AC55,IF(I$2=$AF55,$AG55,0))))</f>
        <v/>
      </c>
      <c r="V55">
        <f>IF(J54&lt;=0,0,MIN(AO55,J$7+IF(J$2=$AA55,$AC55,IF(J$2=$AF55,$AG55,0))))</f>
        <v/>
      </c>
      <c r="W55">
        <f>IF(K54&lt;=0,0,MIN(AP55,K$7+IF(K$2=$AA55,$AC55,IF(K$2=$AF55,$AG55,0))))</f>
        <v/>
      </c>
      <c r="X55">
        <f>IF(L54&lt;=0,0,MIN(AQ55,L$7+IF(L$2=$AA55,$AC55,IF(L$2=$AF55,$AG55,0))))</f>
        <v/>
      </c>
      <c r="Y55">
        <f>IF(M54&lt;=0,0,MIN(AR55,M$7+IF(M$2=$AA55,$AC55,IF(M$2=$AF55,$AG55,0))))</f>
        <v/>
      </c>
      <c r="Z55">
        <f>IF(N54&lt;=0,0,MIN(AS55,N$7+IF(N$2=$AA55,$AC55,IF(N$2=$AF55,$AG55,0))))</f>
        <v/>
      </c>
      <c r="AA55">
        <f>IFERROR(ROUND(1/SUMPRODUCT(MAX((C54:N54&gt;0)*($C$3:$N$3&lt;=B55)/$C$2:$N$2)),0),0)</f>
        <v/>
      </c>
      <c r="AB55">
        <f>SUMPRODUCT((C54:N54&gt;0)*$C$7:$N$7)</f>
        <v/>
      </c>
      <c r="AC55">
        <f>MAX(0,Plan!$C$5-AB55)+IF(A55=Plan!$C$8,N(Plan!$C$7),0)</f>
        <v/>
      </c>
      <c r="AD55">
        <f>SUM(C55:N55)</f>
        <v/>
      </c>
      <c r="AE55">
        <f>SUM(O55:Z55)</f>
        <v/>
      </c>
      <c r="AF55">
        <f>IFERROR(ROUND(1/SUMPRODUCT(MAX((C54:N54&gt;0)*($C$3:$N$3&lt;=B55)*($C$2:$N$2&gt;AA55)/$C$2:$N$2)),0),0)</f>
        <v/>
      </c>
      <c r="AG55">
        <f>MAX(0,AC55-MAX(0,SUMPRODUCT(($C$2:$N$2=AA55)*(AH55:AS55-$C$7:$N$7))))</f>
        <v/>
      </c>
      <c r="AH55">
        <f>IF(C54&lt;=0,0,ROUND(C54*(1+IF(AND(C$6&gt;0,$B55&lt;C$6),C$4,C$5)/12),2))</f>
        <v/>
      </c>
      <c r="AI55">
        <f>IF(D54&lt;=0,0,ROUND(D54*(1+IF(AND(D$6&gt;0,$B55&lt;D$6),D$4,D$5)/12),2))</f>
        <v/>
      </c>
      <c r="AJ55">
        <f>IF(E54&lt;=0,0,ROUND(E54*(1+IF(AND(E$6&gt;0,$B55&lt;E$6),E$4,E$5)/12),2))</f>
        <v/>
      </c>
      <c r="AK55">
        <f>IF(F54&lt;=0,0,ROUND(F54*(1+IF(AND(F$6&gt;0,$B55&lt;F$6),F$4,F$5)/12),2))</f>
        <v/>
      </c>
      <c r="AL55">
        <f>IF(G54&lt;=0,0,ROUND(G54*(1+IF(AND(G$6&gt;0,$B55&lt;G$6),G$4,G$5)/12),2))</f>
        <v/>
      </c>
      <c r="AM55">
        <f>IF(H54&lt;=0,0,ROUND(H54*(1+IF(AND(H$6&gt;0,$B55&lt;H$6),H$4,H$5)/12),2))</f>
        <v/>
      </c>
      <c r="AN55">
        <f>IF(I54&lt;=0,0,ROUND(I54*(1+IF(AND(I$6&gt;0,$B55&lt;I$6),I$4,I$5)/12),2))</f>
        <v/>
      </c>
      <c r="AO55">
        <f>IF(J54&lt;=0,0,ROUND(J54*(1+IF(AND(J$6&gt;0,$B55&lt;J$6),J$4,J$5)/12),2))</f>
        <v/>
      </c>
      <c r="AP55">
        <f>IF(K54&lt;=0,0,ROUND(K54*(1+IF(AND(K$6&gt;0,$B55&lt;K$6),K$4,K$5)/12),2))</f>
        <v/>
      </c>
      <c r="AQ55">
        <f>IF(L54&lt;=0,0,ROUND(L54*(1+IF(AND(L$6&gt;0,$B55&lt;L$6),L$4,L$5)/12),2))</f>
        <v/>
      </c>
      <c r="AR55">
        <f>IF(M54&lt;=0,0,ROUND(M54*(1+IF(AND(M$6&gt;0,$B55&lt;M$6),M$4,M$5)/12),2))</f>
        <v/>
      </c>
      <c r="AS55">
        <f>IF(N54&lt;=0,0,ROUND(N54*(1+IF(AND(N$6&gt;0,$B55&lt;N$6),N$4,N$5)/12),2))</f>
        <v/>
      </c>
    </row>
    <row r="56">
      <c r="A56" t="n">
        <v>45</v>
      </c>
      <c r="B56">
        <f>EDATE(Plan!$C$6,44)</f>
        <v/>
      </c>
      <c r="C56">
        <f>IF(C55&lt;=0,0,MAX(0,AH56-O56))</f>
        <v/>
      </c>
      <c r="D56">
        <f>IF(D55&lt;=0,0,MAX(0,AI56-P56))</f>
        <v/>
      </c>
      <c r="E56">
        <f>IF(E55&lt;=0,0,MAX(0,AJ56-Q56))</f>
        <v/>
      </c>
      <c r="F56">
        <f>IF(F55&lt;=0,0,MAX(0,AK56-R56))</f>
        <v/>
      </c>
      <c r="G56">
        <f>IF(G55&lt;=0,0,MAX(0,AL56-S56))</f>
        <v/>
      </c>
      <c r="H56">
        <f>IF(H55&lt;=0,0,MAX(0,AM56-T56))</f>
        <v/>
      </c>
      <c r="I56">
        <f>IF(I55&lt;=0,0,MAX(0,AN56-U56))</f>
        <v/>
      </c>
      <c r="J56">
        <f>IF(J55&lt;=0,0,MAX(0,AO56-V56))</f>
        <v/>
      </c>
      <c r="K56">
        <f>IF(K55&lt;=0,0,MAX(0,AP56-W56))</f>
        <v/>
      </c>
      <c r="L56">
        <f>IF(L55&lt;=0,0,MAX(0,AQ56-X56))</f>
        <v/>
      </c>
      <c r="M56">
        <f>IF(M55&lt;=0,0,MAX(0,AR56-Y56))</f>
        <v/>
      </c>
      <c r="N56">
        <f>IF(N55&lt;=0,0,MAX(0,AS56-Z56))</f>
        <v/>
      </c>
      <c r="O56">
        <f>IF(C55&lt;=0,0,MIN(AH56,C$7+IF(C$2=$AA56,$AC56,IF(C$2=$AF56,$AG56,0))))</f>
        <v/>
      </c>
      <c r="P56">
        <f>IF(D55&lt;=0,0,MIN(AI56,D$7+IF(D$2=$AA56,$AC56,IF(D$2=$AF56,$AG56,0))))</f>
        <v/>
      </c>
      <c r="Q56">
        <f>IF(E55&lt;=0,0,MIN(AJ56,E$7+IF(E$2=$AA56,$AC56,IF(E$2=$AF56,$AG56,0))))</f>
        <v/>
      </c>
      <c r="R56">
        <f>IF(F55&lt;=0,0,MIN(AK56,F$7+IF(F$2=$AA56,$AC56,IF(F$2=$AF56,$AG56,0))))</f>
        <v/>
      </c>
      <c r="S56">
        <f>IF(G55&lt;=0,0,MIN(AL56,G$7+IF(G$2=$AA56,$AC56,IF(G$2=$AF56,$AG56,0))))</f>
        <v/>
      </c>
      <c r="T56">
        <f>IF(H55&lt;=0,0,MIN(AM56,H$7+IF(H$2=$AA56,$AC56,IF(H$2=$AF56,$AG56,0))))</f>
        <v/>
      </c>
      <c r="U56">
        <f>IF(I55&lt;=0,0,MIN(AN56,I$7+IF(I$2=$AA56,$AC56,IF(I$2=$AF56,$AG56,0))))</f>
        <v/>
      </c>
      <c r="V56">
        <f>IF(J55&lt;=0,0,MIN(AO56,J$7+IF(J$2=$AA56,$AC56,IF(J$2=$AF56,$AG56,0))))</f>
        <v/>
      </c>
      <c r="W56">
        <f>IF(K55&lt;=0,0,MIN(AP56,K$7+IF(K$2=$AA56,$AC56,IF(K$2=$AF56,$AG56,0))))</f>
        <v/>
      </c>
      <c r="X56">
        <f>IF(L55&lt;=0,0,MIN(AQ56,L$7+IF(L$2=$AA56,$AC56,IF(L$2=$AF56,$AG56,0))))</f>
        <v/>
      </c>
      <c r="Y56">
        <f>IF(M55&lt;=0,0,MIN(AR56,M$7+IF(M$2=$AA56,$AC56,IF(M$2=$AF56,$AG56,0))))</f>
        <v/>
      </c>
      <c r="Z56">
        <f>IF(N55&lt;=0,0,MIN(AS56,N$7+IF(N$2=$AA56,$AC56,IF(N$2=$AF56,$AG56,0))))</f>
        <v/>
      </c>
      <c r="AA56">
        <f>IFERROR(ROUND(1/SUMPRODUCT(MAX((C55:N55&gt;0)*($C$3:$N$3&lt;=B56)/$C$2:$N$2)),0),0)</f>
        <v/>
      </c>
      <c r="AB56">
        <f>SUMPRODUCT((C55:N55&gt;0)*$C$7:$N$7)</f>
        <v/>
      </c>
      <c r="AC56">
        <f>MAX(0,Plan!$C$5-AB56)+IF(A56=Plan!$C$8,N(Plan!$C$7),0)</f>
        <v/>
      </c>
      <c r="AD56">
        <f>SUM(C56:N56)</f>
        <v/>
      </c>
      <c r="AE56">
        <f>SUM(O56:Z56)</f>
        <v/>
      </c>
      <c r="AF56">
        <f>IFERROR(ROUND(1/SUMPRODUCT(MAX((C55:N55&gt;0)*($C$3:$N$3&lt;=B56)*($C$2:$N$2&gt;AA56)/$C$2:$N$2)),0),0)</f>
        <v/>
      </c>
      <c r="AG56">
        <f>MAX(0,AC56-MAX(0,SUMPRODUCT(($C$2:$N$2=AA56)*(AH56:AS56-$C$7:$N$7))))</f>
        <v/>
      </c>
      <c r="AH56">
        <f>IF(C55&lt;=0,0,ROUND(C55*(1+IF(AND(C$6&gt;0,$B56&lt;C$6),C$4,C$5)/12),2))</f>
        <v/>
      </c>
      <c r="AI56">
        <f>IF(D55&lt;=0,0,ROUND(D55*(1+IF(AND(D$6&gt;0,$B56&lt;D$6),D$4,D$5)/12),2))</f>
        <v/>
      </c>
      <c r="AJ56">
        <f>IF(E55&lt;=0,0,ROUND(E55*(1+IF(AND(E$6&gt;0,$B56&lt;E$6),E$4,E$5)/12),2))</f>
        <v/>
      </c>
      <c r="AK56">
        <f>IF(F55&lt;=0,0,ROUND(F55*(1+IF(AND(F$6&gt;0,$B56&lt;F$6),F$4,F$5)/12),2))</f>
        <v/>
      </c>
      <c r="AL56">
        <f>IF(G55&lt;=0,0,ROUND(G55*(1+IF(AND(G$6&gt;0,$B56&lt;G$6),G$4,G$5)/12),2))</f>
        <v/>
      </c>
      <c r="AM56">
        <f>IF(H55&lt;=0,0,ROUND(H55*(1+IF(AND(H$6&gt;0,$B56&lt;H$6),H$4,H$5)/12),2))</f>
        <v/>
      </c>
      <c r="AN56">
        <f>IF(I55&lt;=0,0,ROUND(I55*(1+IF(AND(I$6&gt;0,$B56&lt;I$6),I$4,I$5)/12),2))</f>
        <v/>
      </c>
      <c r="AO56">
        <f>IF(J55&lt;=0,0,ROUND(J55*(1+IF(AND(J$6&gt;0,$B56&lt;J$6),J$4,J$5)/12),2))</f>
        <v/>
      </c>
      <c r="AP56">
        <f>IF(K55&lt;=0,0,ROUND(K55*(1+IF(AND(K$6&gt;0,$B56&lt;K$6),K$4,K$5)/12),2))</f>
        <v/>
      </c>
      <c r="AQ56">
        <f>IF(L55&lt;=0,0,ROUND(L55*(1+IF(AND(L$6&gt;0,$B56&lt;L$6),L$4,L$5)/12),2))</f>
        <v/>
      </c>
      <c r="AR56">
        <f>IF(M55&lt;=0,0,ROUND(M55*(1+IF(AND(M$6&gt;0,$B56&lt;M$6),M$4,M$5)/12),2))</f>
        <v/>
      </c>
      <c r="AS56">
        <f>IF(N55&lt;=0,0,ROUND(N55*(1+IF(AND(N$6&gt;0,$B56&lt;N$6),N$4,N$5)/12),2))</f>
        <v/>
      </c>
    </row>
    <row r="57">
      <c r="A57" t="n">
        <v>46</v>
      </c>
      <c r="B57">
        <f>EDATE(Plan!$C$6,45)</f>
        <v/>
      </c>
      <c r="C57">
        <f>IF(C56&lt;=0,0,MAX(0,AH57-O57))</f>
        <v/>
      </c>
      <c r="D57">
        <f>IF(D56&lt;=0,0,MAX(0,AI57-P57))</f>
        <v/>
      </c>
      <c r="E57">
        <f>IF(E56&lt;=0,0,MAX(0,AJ57-Q57))</f>
        <v/>
      </c>
      <c r="F57">
        <f>IF(F56&lt;=0,0,MAX(0,AK57-R57))</f>
        <v/>
      </c>
      <c r="G57">
        <f>IF(G56&lt;=0,0,MAX(0,AL57-S57))</f>
        <v/>
      </c>
      <c r="H57">
        <f>IF(H56&lt;=0,0,MAX(0,AM57-T57))</f>
        <v/>
      </c>
      <c r="I57">
        <f>IF(I56&lt;=0,0,MAX(0,AN57-U57))</f>
        <v/>
      </c>
      <c r="J57">
        <f>IF(J56&lt;=0,0,MAX(0,AO57-V57))</f>
        <v/>
      </c>
      <c r="K57">
        <f>IF(K56&lt;=0,0,MAX(0,AP57-W57))</f>
        <v/>
      </c>
      <c r="L57">
        <f>IF(L56&lt;=0,0,MAX(0,AQ57-X57))</f>
        <v/>
      </c>
      <c r="M57">
        <f>IF(M56&lt;=0,0,MAX(0,AR57-Y57))</f>
        <v/>
      </c>
      <c r="N57">
        <f>IF(N56&lt;=0,0,MAX(0,AS57-Z57))</f>
        <v/>
      </c>
      <c r="O57">
        <f>IF(C56&lt;=0,0,MIN(AH57,C$7+IF(C$2=$AA57,$AC57,IF(C$2=$AF57,$AG57,0))))</f>
        <v/>
      </c>
      <c r="P57">
        <f>IF(D56&lt;=0,0,MIN(AI57,D$7+IF(D$2=$AA57,$AC57,IF(D$2=$AF57,$AG57,0))))</f>
        <v/>
      </c>
      <c r="Q57">
        <f>IF(E56&lt;=0,0,MIN(AJ57,E$7+IF(E$2=$AA57,$AC57,IF(E$2=$AF57,$AG57,0))))</f>
        <v/>
      </c>
      <c r="R57">
        <f>IF(F56&lt;=0,0,MIN(AK57,F$7+IF(F$2=$AA57,$AC57,IF(F$2=$AF57,$AG57,0))))</f>
        <v/>
      </c>
      <c r="S57">
        <f>IF(G56&lt;=0,0,MIN(AL57,G$7+IF(G$2=$AA57,$AC57,IF(G$2=$AF57,$AG57,0))))</f>
        <v/>
      </c>
      <c r="T57">
        <f>IF(H56&lt;=0,0,MIN(AM57,H$7+IF(H$2=$AA57,$AC57,IF(H$2=$AF57,$AG57,0))))</f>
        <v/>
      </c>
      <c r="U57">
        <f>IF(I56&lt;=0,0,MIN(AN57,I$7+IF(I$2=$AA57,$AC57,IF(I$2=$AF57,$AG57,0))))</f>
        <v/>
      </c>
      <c r="V57">
        <f>IF(J56&lt;=0,0,MIN(AO57,J$7+IF(J$2=$AA57,$AC57,IF(J$2=$AF57,$AG57,0))))</f>
        <v/>
      </c>
      <c r="W57">
        <f>IF(K56&lt;=0,0,MIN(AP57,K$7+IF(K$2=$AA57,$AC57,IF(K$2=$AF57,$AG57,0))))</f>
        <v/>
      </c>
      <c r="X57">
        <f>IF(L56&lt;=0,0,MIN(AQ57,L$7+IF(L$2=$AA57,$AC57,IF(L$2=$AF57,$AG57,0))))</f>
        <v/>
      </c>
      <c r="Y57">
        <f>IF(M56&lt;=0,0,MIN(AR57,M$7+IF(M$2=$AA57,$AC57,IF(M$2=$AF57,$AG57,0))))</f>
        <v/>
      </c>
      <c r="Z57">
        <f>IF(N56&lt;=0,0,MIN(AS57,N$7+IF(N$2=$AA57,$AC57,IF(N$2=$AF57,$AG57,0))))</f>
        <v/>
      </c>
      <c r="AA57">
        <f>IFERROR(ROUND(1/SUMPRODUCT(MAX((C56:N56&gt;0)*($C$3:$N$3&lt;=B57)/$C$2:$N$2)),0),0)</f>
        <v/>
      </c>
      <c r="AB57">
        <f>SUMPRODUCT((C56:N56&gt;0)*$C$7:$N$7)</f>
        <v/>
      </c>
      <c r="AC57">
        <f>MAX(0,Plan!$C$5-AB57)+IF(A57=Plan!$C$8,N(Plan!$C$7),0)</f>
        <v/>
      </c>
      <c r="AD57">
        <f>SUM(C57:N57)</f>
        <v/>
      </c>
      <c r="AE57">
        <f>SUM(O57:Z57)</f>
        <v/>
      </c>
      <c r="AF57">
        <f>IFERROR(ROUND(1/SUMPRODUCT(MAX((C56:N56&gt;0)*($C$3:$N$3&lt;=B57)*($C$2:$N$2&gt;AA57)/$C$2:$N$2)),0),0)</f>
        <v/>
      </c>
      <c r="AG57">
        <f>MAX(0,AC57-MAX(0,SUMPRODUCT(($C$2:$N$2=AA57)*(AH57:AS57-$C$7:$N$7))))</f>
        <v/>
      </c>
      <c r="AH57">
        <f>IF(C56&lt;=0,0,ROUND(C56*(1+IF(AND(C$6&gt;0,$B57&lt;C$6),C$4,C$5)/12),2))</f>
        <v/>
      </c>
      <c r="AI57">
        <f>IF(D56&lt;=0,0,ROUND(D56*(1+IF(AND(D$6&gt;0,$B57&lt;D$6),D$4,D$5)/12),2))</f>
        <v/>
      </c>
      <c r="AJ57">
        <f>IF(E56&lt;=0,0,ROUND(E56*(1+IF(AND(E$6&gt;0,$B57&lt;E$6),E$4,E$5)/12),2))</f>
        <v/>
      </c>
      <c r="AK57">
        <f>IF(F56&lt;=0,0,ROUND(F56*(1+IF(AND(F$6&gt;0,$B57&lt;F$6),F$4,F$5)/12),2))</f>
        <v/>
      </c>
      <c r="AL57">
        <f>IF(G56&lt;=0,0,ROUND(G56*(1+IF(AND(G$6&gt;0,$B57&lt;G$6),G$4,G$5)/12),2))</f>
        <v/>
      </c>
      <c r="AM57">
        <f>IF(H56&lt;=0,0,ROUND(H56*(1+IF(AND(H$6&gt;0,$B57&lt;H$6),H$4,H$5)/12),2))</f>
        <v/>
      </c>
      <c r="AN57">
        <f>IF(I56&lt;=0,0,ROUND(I56*(1+IF(AND(I$6&gt;0,$B57&lt;I$6),I$4,I$5)/12),2))</f>
        <v/>
      </c>
      <c r="AO57">
        <f>IF(J56&lt;=0,0,ROUND(J56*(1+IF(AND(J$6&gt;0,$B57&lt;J$6),J$4,J$5)/12),2))</f>
        <v/>
      </c>
      <c r="AP57">
        <f>IF(K56&lt;=0,0,ROUND(K56*(1+IF(AND(K$6&gt;0,$B57&lt;K$6),K$4,K$5)/12),2))</f>
        <v/>
      </c>
      <c r="AQ57">
        <f>IF(L56&lt;=0,0,ROUND(L56*(1+IF(AND(L$6&gt;0,$B57&lt;L$6),L$4,L$5)/12),2))</f>
        <v/>
      </c>
      <c r="AR57">
        <f>IF(M56&lt;=0,0,ROUND(M56*(1+IF(AND(M$6&gt;0,$B57&lt;M$6),M$4,M$5)/12),2))</f>
        <v/>
      </c>
      <c r="AS57">
        <f>IF(N56&lt;=0,0,ROUND(N56*(1+IF(AND(N$6&gt;0,$B57&lt;N$6),N$4,N$5)/12),2))</f>
        <v/>
      </c>
    </row>
    <row r="58">
      <c r="A58" t="n">
        <v>47</v>
      </c>
      <c r="B58">
        <f>EDATE(Plan!$C$6,46)</f>
        <v/>
      </c>
      <c r="C58">
        <f>IF(C57&lt;=0,0,MAX(0,AH58-O58))</f>
        <v/>
      </c>
      <c r="D58">
        <f>IF(D57&lt;=0,0,MAX(0,AI58-P58))</f>
        <v/>
      </c>
      <c r="E58">
        <f>IF(E57&lt;=0,0,MAX(0,AJ58-Q58))</f>
        <v/>
      </c>
      <c r="F58">
        <f>IF(F57&lt;=0,0,MAX(0,AK58-R58))</f>
        <v/>
      </c>
      <c r="G58">
        <f>IF(G57&lt;=0,0,MAX(0,AL58-S58))</f>
        <v/>
      </c>
      <c r="H58">
        <f>IF(H57&lt;=0,0,MAX(0,AM58-T58))</f>
        <v/>
      </c>
      <c r="I58">
        <f>IF(I57&lt;=0,0,MAX(0,AN58-U58))</f>
        <v/>
      </c>
      <c r="J58">
        <f>IF(J57&lt;=0,0,MAX(0,AO58-V58))</f>
        <v/>
      </c>
      <c r="K58">
        <f>IF(K57&lt;=0,0,MAX(0,AP58-W58))</f>
        <v/>
      </c>
      <c r="L58">
        <f>IF(L57&lt;=0,0,MAX(0,AQ58-X58))</f>
        <v/>
      </c>
      <c r="M58">
        <f>IF(M57&lt;=0,0,MAX(0,AR58-Y58))</f>
        <v/>
      </c>
      <c r="N58">
        <f>IF(N57&lt;=0,0,MAX(0,AS58-Z58))</f>
        <v/>
      </c>
      <c r="O58">
        <f>IF(C57&lt;=0,0,MIN(AH58,C$7+IF(C$2=$AA58,$AC58,IF(C$2=$AF58,$AG58,0))))</f>
        <v/>
      </c>
      <c r="P58">
        <f>IF(D57&lt;=0,0,MIN(AI58,D$7+IF(D$2=$AA58,$AC58,IF(D$2=$AF58,$AG58,0))))</f>
        <v/>
      </c>
      <c r="Q58">
        <f>IF(E57&lt;=0,0,MIN(AJ58,E$7+IF(E$2=$AA58,$AC58,IF(E$2=$AF58,$AG58,0))))</f>
        <v/>
      </c>
      <c r="R58">
        <f>IF(F57&lt;=0,0,MIN(AK58,F$7+IF(F$2=$AA58,$AC58,IF(F$2=$AF58,$AG58,0))))</f>
        <v/>
      </c>
      <c r="S58">
        <f>IF(G57&lt;=0,0,MIN(AL58,G$7+IF(G$2=$AA58,$AC58,IF(G$2=$AF58,$AG58,0))))</f>
        <v/>
      </c>
      <c r="T58">
        <f>IF(H57&lt;=0,0,MIN(AM58,H$7+IF(H$2=$AA58,$AC58,IF(H$2=$AF58,$AG58,0))))</f>
        <v/>
      </c>
      <c r="U58">
        <f>IF(I57&lt;=0,0,MIN(AN58,I$7+IF(I$2=$AA58,$AC58,IF(I$2=$AF58,$AG58,0))))</f>
        <v/>
      </c>
      <c r="V58">
        <f>IF(J57&lt;=0,0,MIN(AO58,J$7+IF(J$2=$AA58,$AC58,IF(J$2=$AF58,$AG58,0))))</f>
        <v/>
      </c>
      <c r="W58">
        <f>IF(K57&lt;=0,0,MIN(AP58,K$7+IF(K$2=$AA58,$AC58,IF(K$2=$AF58,$AG58,0))))</f>
        <v/>
      </c>
      <c r="X58">
        <f>IF(L57&lt;=0,0,MIN(AQ58,L$7+IF(L$2=$AA58,$AC58,IF(L$2=$AF58,$AG58,0))))</f>
        <v/>
      </c>
      <c r="Y58">
        <f>IF(M57&lt;=0,0,MIN(AR58,M$7+IF(M$2=$AA58,$AC58,IF(M$2=$AF58,$AG58,0))))</f>
        <v/>
      </c>
      <c r="Z58">
        <f>IF(N57&lt;=0,0,MIN(AS58,N$7+IF(N$2=$AA58,$AC58,IF(N$2=$AF58,$AG58,0))))</f>
        <v/>
      </c>
      <c r="AA58">
        <f>IFERROR(ROUND(1/SUMPRODUCT(MAX((C57:N57&gt;0)*($C$3:$N$3&lt;=B58)/$C$2:$N$2)),0),0)</f>
        <v/>
      </c>
      <c r="AB58">
        <f>SUMPRODUCT((C57:N57&gt;0)*$C$7:$N$7)</f>
        <v/>
      </c>
      <c r="AC58">
        <f>MAX(0,Plan!$C$5-AB58)+IF(A58=Plan!$C$8,N(Plan!$C$7),0)</f>
        <v/>
      </c>
      <c r="AD58">
        <f>SUM(C58:N58)</f>
        <v/>
      </c>
      <c r="AE58">
        <f>SUM(O58:Z58)</f>
        <v/>
      </c>
      <c r="AF58">
        <f>IFERROR(ROUND(1/SUMPRODUCT(MAX((C57:N57&gt;0)*($C$3:$N$3&lt;=B58)*($C$2:$N$2&gt;AA58)/$C$2:$N$2)),0),0)</f>
        <v/>
      </c>
      <c r="AG58">
        <f>MAX(0,AC58-MAX(0,SUMPRODUCT(($C$2:$N$2=AA58)*(AH58:AS58-$C$7:$N$7))))</f>
        <v/>
      </c>
      <c r="AH58">
        <f>IF(C57&lt;=0,0,ROUND(C57*(1+IF(AND(C$6&gt;0,$B58&lt;C$6),C$4,C$5)/12),2))</f>
        <v/>
      </c>
      <c r="AI58">
        <f>IF(D57&lt;=0,0,ROUND(D57*(1+IF(AND(D$6&gt;0,$B58&lt;D$6),D$4,D$5)/12),2))</f>
        <v/>
      </c>
      <c r="AJ58">
        <f>IF(E57&lt;=0,0,ROUND(E57*(1+IF(AND(E$6&gt;0,$B58&lt;E$6),E$4,E$5)/12),2))</f>
        <v/>
      </c>
      <c r="AK58">
        <f>IF(F57&lt;=0,0,ROUND(F57*(1+IF(AND(F$6&gt;0,$B58&lt;F$6),F$4,F$5)/12),2))</f>
        <v/>
      </c>
      <c r="AL58">
        <f>IF(G57&lt;=0,0,ROUND(G57*(1+IF(AND(G$6&gt;0,$B58&lt;G$6),G$4,G$5)/12),2))</f>
        <v/>
      </c>
      <c r="AM58">
        <f>IF(H57&lt;=0,0,ROUND(H57*(1+IF(AND(H$6&gt;0,$B58&lt;H$6),H$4,H$5)/12),2))</f>
        <v/>
      </c>
      <c r="AN58">
        <f>IF(I57&lt;=0,0,ROUND(I57*(1+IF(AND(I$6&gt;0,$B58&lt;I$6),I$4,I$5)/12),2))</f>
        <v/>
      </c>
      <c r="AO58">
        <f>IF(J57&lt;=0,0,ROUND(J57*(1+IF(AND(J$6&gt;0,$B58&lt;J$6),J$4,J$5)/12),2))</f>
        <v/>
      </c>
      <c r="AP58">
        <f>IF(K57&lt;=0,0,ROUND(K57*(1+IF(AND(K$6&gt;0,$B58&lt;K$6),K$4,K$5)/12),2))</f>
        <v/>
      </c>
      <c r="AQ58">
        <f>IF(L57&lt;=0,0,ROUND(L57*(1+IF(AND(L$6&gt;0,$B58&lt;L$6),L$4,L$5)/12),2))</f>
        <v/>
      </c>
      <c r="AR58">
        <f>IF(M57&lt;=0,0,ROUND(M57*(1+IF(AND(M$6&gt;0,$B58&lt;M$6),M$4,M$5)/12),2))</f>
        <v/>
      </c>
      <c r="AS58">
        <f>IF(N57&lt;=0,0,ROUND(N57*(1+IF(AND(N$6&gt;0,$B58&lt;N$6),N$4,N$5)/12),2))</f>
        <v/>
      </c>
    </row>
    <row r="59">
      <c r="A59" t="n">
        <v>48</v>
      </c>
      <c r="B59">
        <f>EDATE(Plan!$C$6,47)</f>
        <v/>
      </c>
      <c r="C59">
        <f>IF(C58&lt;=0,0,MAX(0,AH59-O59))</f>
        <v/>
      </c>
      <c r="D59">
        <f>IF(D58&lt;=0,0,MAX(0,AI59-P59))</f>
        <v/>
      </c>
      <c r="E59">
        <f>IF(E58&lt;=0,0,MAX(0,AJ59-Q59))</f>
        <v/>
      </c>
      <c r="F59">
        <f>IF(F58&lt;=0,0,MAX(0,AK59-R59))</f>
        <v/>
      </c>
      <c r="G59">
        <f>IF(G58&lt;=0,0,MAX(0,AL59-S59))</f>
        <v/>
      </c>
      <c r="H59">
        <f>IF(H58&lt;=0,0,MAX(0,AM59-T59))</f>
        <v/>
      </c>
      <c r="I59">
        <f>IF(I58&lt;=0,0,MAX(0,AN59-U59))</f>
        <v/>
      </c>
      <c r="J59">
        <f>IF(J58&lt;=0,0,MAX(0,AO59-V59))</f>
        <v/>
      </c>
      <c r="K59">
        <f>IF(K58&lt;=0,0,MAX(0,AP59-W59))</f>
        <v/>
      </c>
      <c r="L59">
        <f>IF(L58&lt;=0,0,MAX(0,AQ59-X59))</f>
        <v/>
      </c>
      <c r="M59">
        <f>IF(M58&lt;=0,0,MAX(0,AR59-Y59))</f>
        <v/>
      </c>
      <c r="N59">
        <f>IF(N58&lt;=0,0,MAX(0,AS59-Z59))</f>
        <v/>
      </c>
      <c r="O59">
        <f>IF(C58&lt;=0,0,MIN(AH59,C$7+IF(C$2=$AA59,$AC59,IF(C$2=$AF59,$AG59,0))))</f>
        <v/>
      </c>
      <c r="P59">
        <f>IF(D58&lt;=0,0,MIN(AI59,D$7+IF(D$2=$AA59,$AC59,IF(D$2=$AF59,$AG59,0))))</f>
        <v/>
      </c>
      <c r="Q59">
        <f>IF(E58&lt;=0,0,MIN(AJ59,E$7+IF(E$2=$AA59,$AC59,IF(E$2=$AF59,$AG59,0))))</f>
        <v/>
      </c>
      <c r="R59">
        <f>IF(F58&lt;=0,0,MIN(AK59,F$7+IF(F$2=$AA59,$AC59,IF(F$2=$AF59,$AG59,0))))</f>
        <v/>
      </c>
      <c r="S59">
        <f>IF(G58&lt;=0,0,MIN(AL59,G$7+IF(G$2=$AA59,$AC59,IF(G$2=$AF59,$AG59,0))))</f>
        <v/>
      </c>
      <c r="T59">
        <f>IF(H58&lt;=0,0,MIN(AM59,H$7+IF(H$2=$AA59,$AC59,IF(H$2=$AF59,$AG59,0))))</f>
        <v/>
      </c>
      <c r="U59">
        <f>IF(I58&lt;=0,0,MIN(AN59,I$7+IF(I$2=$AA59,$AC59,IF(I$2=$AF59,$AG59,0))))</f>
        <v/>
      </c>
      <c r="V59">
        <f>IF(J58&lt;=0,0,MIN(AO59,J$7+IF(J$2=$AA59,$AC59,IF(J$2=$AF59,$AG59,0))))</f>
        <v/>
      </c>
      <c r="W59">
        <f>IF(K58&lt;=0,0,MIN(AP59,K$7+IF(K$2=$AA59,$AC59,IF(K$2=$AF59,$AG59,0))))</f>
        <v/>
      </c>
      <c r="X59">
        <f>IF(L58&lt;=0,0,MIN(AQ59,L$7+IF(L$2=$AA59,$AC59,IF(L$2=$AF59,$AG59,0))))</f>
        <v/>
      </c>
      <c r="Y59">
        <f>IF(M58&lt;=0,0,MIN(AR59,M$7+IF(M$2=$AA59,$AC59,IF(M$2=$AF59,$AG59,0))))</f>
        <v/>
      </c>
      <c r="Z59">
        <f>IF(N58&lt;=0,0,MIN(AS59,N$7+IF(N$2=$AA59,$AC59,IF(N$2=$AF59,$AG59,0))))</f>
        <v/>
      </c>
      <c r="AA59">
        <f>IFERROR(ROUND(1/SUMPRODUCT(MAX((C58:N58&gt;0)*($C$3:$N$3&lt;=B59)/$C$2:$N$2)),0),0)</f>
        <v/>
      </c>
      <c r="AB59">
        <f>SUMPRODUCT((C58:N58&gt;0)*$C$7:$N$7)</f>
        <v/>
      </c>
      <c r="AC59">
        <f>MAX(0,Plan!$C$5-AB59)+IF(A59=Plan!$C$8,N(Plan!$C$7),0)</f>
        <v/>
      </c>
      <c r="AD59">
        <f>SUM(C59:N59)</f>
        <v/>
      </c>
      <c r="AE59">
        <f>SUM(O59:Z59)</f>
        <v/>
      </c>
      <c r="AF59">
        <f>IFERROR(ROUND(1/SUMPRODUCT(MAX((C58:N58&gt;0)*($C$3:$N$3&lt;=B59)*($C$2:$N$2&gt;AA59)/$C$2:$N$2)),0),0)</f>
        <v/>
      </c>
      <c r="AG59">
        <f>MAX(0,AC59-MAX(0,SUMPRODUCT(($C$2:$N$2=AA59)*(AH59:AS59-$C$7:$N$7))))</f>
        <v/>
      </c>
      <c r="AH59">
        <f>IF(C58&lt;=0,0,ROUND(C58*(1+IF(AND(C$6&gt;0,$B59&lt;C$6),C$4,C$5)/12),2))</f>
        <v/>
      </c>
      <c r="AI59">
        <f>IF(D58&lt;=0,0,ROUND(D58*(1+IF(AND(D$6&gt;0,$B59&lt;D$6),D$4,D$5)/12),2))</f>
        <v/>
      </c>
      <c r="AJ59">
        <f>IF(E58&lt;=0,0,ROUND(E58*(1+IF(AND(E$6&gt;0,$B59&lt;E$6),E$4,E$5)/12),2))</f>
        <v/>
      </c>
      <c r="AK59">
        <f>IF(F58&lt;=0,0,ROUND(F58*(1+IF(AND(F$6&gt;0,$B59&lt;F$6),F$4,F$5)/12),2))</f>
        <v/>
      </c>
      <c r="AL59">
        <f>IF(G58&lt;=0,0,ROUND(G58*(1+IF(AND(G$6&gt;0,$B59&lt;G$6),G$4,G$5)/12),2))</f>
        <v/>
      </c>
      <c r="AM59">
        <f>IF(H58&lt;=0,0,ROUND(H58*(1+IF(AND(H$6&gt;0,$B59&lt;H$6),H$4,H$5)/12),2))</f>
        <v/>
      </c>
      <c r="AN59">
        <f>IF(I58&lt;=0,0,ROUND(I58*(1+IF(AND(I$6&gt;0,$B59&lt;I$6),I$4,I$5)/12),2))</f>
        <v/>
      </c>
      <c r="AO59">
        <f>IF(J58&lt;=0,0,ROUND(J58*(1+IF(AND(J$6&gt;0,$B59&lt;J$6),J$4,J$5)/12),2))</f>
        <v/>
      </c>
      <c r="AP59">
        <f>IF(K58&lt;=0,0,ROUND(K58*(1+IF(AND(K$6&gt;0,$B59&lt;K$6),K$4,K$5)/12),2))</f>
        <v/>
      </c>
      <c r="AQ59">
        <f>IF(L58&lt;=0,0,ROUND(L58*(1+IF(AND(L$6&gt;0,$B59&lt;L$6),L$4,L$5)/12),2))</f>
        <v/>
      </c>
      <c r="AR59">
        <f>IF(M58&lt;=0,0,ROUND(M58*(1+IF(AND(M$6&gt;0,$B59&lt;M$6),M$4,M$5)/12),2))</f>
        <v/>
      </c>
      <c r="AS59">
        <f>IF(N58&lt;=0,0,ROUND(N58*(1+IF(AND(N$6&gt;0,$B59&lt;N$6),N$4,N$5)/12),2))</f>
        <v/>
      </c>
    </row>
    <row r="60">
      <c r="A60" t="n">
        <v>49</v>
      </c>
      <c r="B60">
        <f>EDATE(Plan!$C$6,48)</f>
        <v/>
      </c>
      <c r="C60">
        <f>IF(C59&lt;=0,0,MAX(0,AH60-O60))</f>
        <v/>
      </c>
      <c r="D60">
        <f>IF(D59&lt;=0,0,MAX(0,AI60-P60))</f>
        <v/>
      </c>
      <c r="E60">
        <f>IF(E59&lt;=0,0,MAX(0,AJ60-Q60))</f>
        <v/>
      </c>
      <c r="F60">
        <f>IF(F59&lt;=0,0,MAX(0,AK60-R60))</f>
        <v/>
      </c>
      <c r="G60">
        <f>IF(G59&lt;=0,0,MAX(0,AL60-S60))</f>
        <v/>
      </c>
      <c r="H60">
        <f>IF(H59&lt;=0,0,MAX(0,AM60-T60))</f>
        <v/>
      </c>
      <c r="I60">
        <f>IF(I59&lt;=0,0,MAX(0,AN60-U60))</f>
        <v/>
      </c>
      <c r="J60">
        <f>IF(J59&lt;=0,0,MAX(0,AO60-V60))</f>
        <v/>
      </c>
      <c r="K60">
        <f>IF(K59&lt;=0,0,MAX(0,AP60-W60))</f>
        <v/>
      </c>
      <c r="L60">
        <f>IF(L59&lt;=0,0,MAX(0,AQ60-X60))</f>
        <v/>
      </c>
      <c r="M60">
        <f>IF(M59&lt;=0,0,MAX(0,AR60-Y60))</f>
        <v/>
      </c>
      <c r="N60">
        <f>IF(N59&lt;=0,0,MAX(0,AS60-Z60))</f>
        <v/>
      </c>
      <c r="O60">
        <f>IF(C59&lt;=0,0,MIN(AH60,C$7+IF(C$2=$AA60,$AC60,IF(C$2=$AF60,$AG60,0))))</f>
        <v/>
      </c>
      <c r="P60">
        <f>IF(D59&lt;=0,0,MIN(AI60,D$7+IF(D$2=$AA60,$AC60,IF(D$2=$AF60,$AG60,0))))</f>
        <v/>
      </c>
      <c r="Q60">
        <f>IF(E59&lt;=0,0,MIN(AJ60,E$7+IF(E$2=$AA60,$AC60,IF(E$2=$AF60,$AG60,0))))</f>
        <v/>
      </c>
      <c r="R60">
        <f>IF(F59&lt;=0,0,MIN(AK60,F$7+IF(F$2=$AA60,$AC60,IF(F$2=$AF60,$AG60,0))))</f>
        <v/>
      </c>
      <c r="S60">
        <f>IF(G59&lt;=0,0,MIN(AL60,G$7+IF(G$2=$AA60,$AC60,IF(G$2=$AF60,$AG60,0))))</f>
        <v/>
      </c>
      <c r="T60">
        <f>IF(H59&lt;=0,0,MIN(AM60,H$7+IF(H$2=$AA60,$AC60,IF(H$2=$AF60,$AG60,0))))</f>
        <v/>
      </c>
      <c r="U60">
        <f>IF(I59&lt;=0,0,MIN(AN60,I$7+IF(I$2=$AA60,$AC60,IF(I$2=$AF60,$AG60,0))))</f>
        <v/>
      </c>
      <c r="V60">
        <f>IF(J59&lt;=0,0,MIN(AO60,J$7+IF(J$2=$AA60,$AC60,IF(J$2=$AF60,$AG60,0))))</f>
        <v/>
      </c>
      <c r="W60">
        <f>IF(K59&lt;=0,0,MIN(AP60,K$7+IF(K$2=$AA60,$AC60,IF(K$2=$AF60,$AG60,0))))</f>
        <v/>
      </c>
      <c r="X60">
        <f>IF(L59&lt;=0,0,MIN(AQ60,L$7+IF(L$2=$AA60,$AC60,IF(L$2=$AF60,$AG60,0))))</f>
        <v/>
      </c>
      <c r="Y60">
        <f>IF(M59&lt;=0,0,MIN(AR60,M$7+IF(M$2=$AA60,$AC60,IF(M$2=$AF60,$AG60,0))))</f>
        <v/>
      </c>
      <c r="Z60">
        <f>IF(N59&lt;=0,0,MIN(AS60,N$7+IF(N$2=$AA60,$AC60,IF(N$2=$AF60,$AG60,0))))</f>
        <v/>
      </c>
      <c r="AA60">
        <f>IFERROR(ROUND(1/SUMPRODUCT(MAX((C59:N59&gt;0)*($C$3:$N$3&lt;=B60)/$C$2:$N$2)),0),0)</f>
        <v/>
      </c>
      <c r="AB60">
        <f>SUMPRODUCT((C59:N59&gt;0)*$C$7:$N$7)</f>
        <v/>
      </c>
      <c r="AC60">
        <f>MAX(0,Plan!$C$5-AB60)+IF(A60=Plan!$C$8,N(Plan!$C$7),0)</f>
        <v/>
      </c>
      <c r="AD60">
        <f>SUM(C60:N60)</f>
        <v/>
      </c>
      <c r="AE60">
        <f>SUM(O60:Z60)</f>
        <v/>
      </c>
      <c r="AF60">
        <f>IFERROR(ROUND(1/SUMPRODUCT(MAX((C59:N59&gt;0)*($C$3:$N$3&lt;=B60)*($C$2:$N$2&gt;AA60)/$C$2:$N$2)),0),0)</f>
        <v/>
      </c>
      <c r="AG60">
        <f>MAX(0,AC60-MAX(0,SUMPRODUCT(($C$2:$N$2=AA60)*(AH60:AS60-$C$7:$N$7))))</f>
        <v/>
      </c>
      <c r="AH60">
        <f>IF(C59&lt;=0,0,ROUND(C59*(1+IF(AND(C$6&gt;0,$B60&lt;C$6),C$4,C$5)/12),2))</f>
        <v/>
      </c>
      <c r="AI60">
        <f>IF(D59&lt;=0,0,ROUND(D59*(1+IF(AND(D$6&gt;0,$B60&lt;D$6),D$4,D$5)/12),2))</f>
        <v/>
      </c>
      <c r="AJ60">
        <f>IF(E59&lt;=0,0,ROUND(E59*(1+IF(AND(E$6&gt;0,$B60&lt;E$6),E$4,E$5)/12),2))</f>
        <v/>
      </c>
      <c r="AK60">
        <f>IF(F59&lt;=0,0,ROUND(F59*(1+IF(AND(F$6&gt;0,$B60&lt;F$6),F$4,F$5)/12),2))</f>
        <v/>
      </c>
      <c r="AL60">
        <f>IF(G59&lt;=0,0,ROUND(G59*(1+IF(AND(G$6&gt;0,$B60&lt;G$6),G$4,G$5)/12),2))</f>
        <v/>
      </c>
      <c r="AM60">
        <f>IF(H59&lt;=0,0,ROUND(H59*(1+IF(AND(H$6&gt;0,$B60&lt;H$6),H$4,H$5)/12),2))</f>
        <v/>
      </c>
      <c r="AN60">
        <f>IF(I59&lt;=0,0,ROUND(I59*(1+IF(AND(I$6&gt;0,$B60&lt;I$6),I$4,I$5)/12),2))</f>
        <v/>
      </c>
      <c r="AO60">
        <f>IF(J59&lt;=0,0,ROUND(J59*(1+IF(AND(J$6&gt;0,$B60&lt;J$6),J$4,J$5)/12),2))</f>
        <v/>
      </c>
      <c r="AP60">
        <f>IF(K59&lt;=0,0,ROUND(K59*(1+IF(AND(K$6&gt;0,$B60&lt;K$6),K$4,K$5)/12),2))</f>
        <v/>
      </c>
      <c r="AQ60">
        <f>IF(L59&lt;=0,0,ROUND(L59*(1+IF(AND(L$6&gt;0,$B60&lt;L$6),L$4,L$5)/12),2))</f>
        <v/>
      </c>
      <c r="AR60">
        <f>IF(M59&lt;=0,0,ROUND(M59*(1+IF(AND(M$6&gt;0,$B60&lt;M$6),M$4,M$5)/12),2))</f>
        <v/>
      </c>
      <c r="AS60">
        <f>IF(N59&lt;=0,0,ROUND(N59*(1+IF(AND(N$6&gt;0,$B60&lt;N$6),N$4,N$5)/12),2))</f>
        <v/>
      </c>
    </row>
    <row r="61">
      <c r="A61" t="n">
        <v>50</v>
      </c>
      <c r="B61">
        <f>EDATE(Plan!$C$6,49)</f>
        <v/>
      </c>
      <c r="C61">
        <f>IF(C60&lt;=0,0,MAX(0,AH61-O61))</f>
        <v/>
      </c>
      <c r="D61">
        <f>IF(D60&lt;=0,0,MAX(0,AI61-P61))</f>
        <v/>
      </c>
      <c r="E61">
        <f>IF(E60&lt;=0,0,MAX(0,AJ61-Q61))</f>
        <v/>
      </c>
      <c r="F61">
        <f>IF(F60&lt;=0,0,MAX(0,AK61-R61))</f>
        <v/>
      </c>
      <c r="G61">
        <f>IF(G60&lt;=0,0,MAX(0,AL61-S61))</f>
        <v/>
      </c>
      <c r="H61">
        <f>IF(H60&lt;=0,0,MAX(0,AM61-T61))</f>
        <v/>
      </c>
      <c r="I61">
        <f>IF(I60&lt;=0,0,MAX(0,AN61-U61))</f>
        <v/>
      </c>
      <c r="J61">
        <f>IF(J60&lt;=0,0,MAX(0,AO61-V61))</f>
        <v/>
      </c>
      <c r="K61">
        <f>IF(K60&lt;=0,0,MAX(0,AP61-W61))</f>
        <v/>
      </c>
      <c r="L61">
        <f>IF(L60&lt;=0,0,MAX(0,AQ61-X61))</f>
        <v/>
      </c>
      <c r="M61">
        <f>IF(M60&lt;=0,0,MAX(0,AR61-Y61))</f>
        <v/>
      </c>
      <c r="N61">
        <f>IF(N60&lt;=0,0,MAX(0,AS61-Z61))</f>
        <v/>
      </c>
      <c r="O61">
        <f>IF(C60&lt;=0,0,MIN(AH61,C$7+IF(C$2=$AA61,$AC61,IF(C$2=$AF61,$AG61,0))))</f>
        <v/>
      </c>
      <c r="P61">
        <f>IF(D60&lt;=0,0,MIN(AI61,D$7+IF(D$2=$AA61,$AC61,IF(D$2=$AF61,$AG61,0))))</f>
        <v/>
      </c>
      <c r="Q61">
        <f>IF(E60&lt;=0,0,MIN(AJ61,E$7+IF(E$2=$AA61,$AC61,IF(E$2=$AF61,$AG61,0))))</f>
        <v/>
      </c>
      <c r="R61">
        <f>IF(F60&lt;=0,0,MIN(AK61,F$7+IF(F$2=$AA61,$AC61,IF(F$2=$AF61,$AG61,0))))</f>
        <v/>
      </c>
      <c r="S61">
        <f>IF(G60&lt;=0,0,MIN(AL61,G$7+IF(G$2=$AA61,$AC61,IF(G$2=$AF61,$AG61,0))))</f>
        <v/>
      </c>
      <c r="T61">
        <f>IF(H60&lt;=0,0,MIN(AM61,H$7+IF(H$2=$AA61,$AC61,IF(H$2=$AF61,$AG61,0))))</f>
        <v/>
      </c>
      <c r="U61">
        <f>IF(I60&lt;=0,0,MIN(AN61,I$7+IF(I$2=$AA61,$AC61,IF(I$2=$AF61,$AG61,0))))</f>
        <v/>
      </c>
      <c r="V61">
        <f>IF(J60&lt;=0,0,MIN(AO61,J$7+IF(J$2=$AA61,$AC61,IF(J$2=$AF61,$AG61,0))))</f>
        <v/>
      </c>
      <c r="W61">
        <f>IF(K60&lt;=0,0,MIN(AP61,K$7+IF(K$2=$AA61,$AC61,IF(K$2=$AF61,$AG61,0))))</f>
        <v/>
      </c>
      <c r="X61">
        <f>IF(L60&lt;=0,0,MIN(AQ61,L$7+IF(L$2=$AA61,$AC61,IF(L$2=$AF61,$AG61,0))))</f>
        <v/>
      </c>
      <c r="Y61">
        <f>IF(M60&lt;=0,0,MIN(AR61,M$7+IF(M$2=$AA61,$AC61,IF(M$2=$AF61,$AG61,0))))</f>
        <v/>
      </c>
      <c r="Z61">
        <f>IF(N60&lt;=0,0,MIN(AS61,N$7+IF(N$2=$AA61,$AC61,IF(N$2=$AF61,$AG61,0))))</f>
        <v/>
      </c>
      <c r="AA61">
        <f>IFERROR(ROUND(1/SUMPRODUCT(MAX((C60:N60&gt;0)*($C$3:$N$3&lt;=B61)/$C$2:$N$2)),0),0)</f>
        <v/>
      </c>
      <c r="AB61">
        <f>SUMPRODUCT((C60:N60&gt;0)*$C$7:$N$7)</f>
        <v/>
      </c>
      <c r="AC61">
        <f>MAX(0,Plan!$C$5-AB61)+IF(A61=Plan!$C$8,N(Plan!$C$7),0)</f>
        <v/>
      </c>
      <c r="AD61">
        <f>SUM(C61:N61)</f>
        <v/>
      </c>
      <c r="AE61">
        <f>SUM(O61:Z61)</f>
        <v/>
      </c>
      <c r="AF61">
        <f>IFERROR(ROUND(1/SUMPRODUCT(MAX((C60:N60&gt;0)*($C$3:$N$3&lt;=B61)*($C$2:$N$2&gt;AA61)/$C$2:$N$2)),0),0)</f>
        <v/>
      </c>
      <c r="AG61">
        <f>MAX(0,AC61-MAX(0,SUMPRODUCT(($C$2:$N$2=AA61)*(AH61:AS61-$C$7:$N$7))))</f>
        <v/>
      </c>
      <c r="AH61">
        <f>IF(C60&lt;=0,0,ROUND(C60*(1+IF(AND(C$6&gt;0,$B61&lt;C$6),C$4,C$5)/12),2))</f>
        <v/>
      </c>
      <c r="AI61">
        <f>IF(D60&lt;=0,0,ROUND(D60*(1+IF(AND(D$6&gt;0,$B61&lt;D$6),D$4,D$5)/12),2))</f>
        <v/>
      </c>
      <c r="AJ61">
        <f>IF(E60&lt;=0,0,ROUND(E60*(1+IF(AND(E$6&gt;0,$B61&lt;E$6),E$4,E$5)/12),2))</f>
        <v/>
      </c>
      <c r="AK61">
        <f>IF(F60&lt;=0,0,ROUND(F60*(1+IF(AND(F$6&gt;0,$B61&lt;F$6),F$4,F$5)/12),2))</f>
        <v/>
      </c>
      <c r="AL61">
        <f>IF(G60&lt;=0,0,ROUND(G60*(1+IF(AND(G$6&gt;0,$B61&lt;G$6),G$4,G$5)/12),2))</f>
        <v/>
      </c>
      <c r="AM61">
        <f>IF(H60&lt;=0,0,ROUND(H60*(1+IF(AND(H$6&gt;0,$B61&lt;H$6),H$4,H$5)/12),2))</f>
        <v/>
      </c>
      <c r="AN61">
        <f>IF(I60&lt;=0,0,ROUND(I60*(1+IF(AND(I$6&gt;0,$B61&lt;I$6),I$4,I$5)/12),2))</f>
        <v/>
      </c>
      <c r="AO61">
        <f>IF(J60&lt;=0,0,ROUND(J60*(1+IF(AND(J$6&gt;0,$B61&lt;J$6),J$4,J$5)/12),2))</f>
        <v/>
      </c>
      <c r="AP61">
        <f>IF(K60&lt;=0,0,ROUND(K60*(1+IF(AND(K$6&gt;0,$B61&lt;K$6),K$4,K$5)/12),2))</f>
        <v/>
      </c>
      <c r="AQ61">
        <f>IF(L60&lt;=0,0,ROUND(L60*(1+IF(AND(L$6&gt;0,$B61&lt;L$6),L$4,L$5)/12),2))</f>
        <v/>
      </c>
      <c r="AR61">
        <f>IF(M60&lt;=0,0,ROUND(M60*(1+IF(AND(M$6&gt;0,$B61&lt;M$6),M$4,M$5)/12),2))</f>
        <v/>
      </c>
      <c r="AS61">
        <f>IF(N60&lt;=0,0,ROUND(N60*(1+IF(AND(N$6&gt;0,$B61&lt;N$6),N$4,N$5)/12),2))</f>
        <v/>
      </c>
    </row>
    <row r="62">
      <c r="A62" t="n">
        <v>51</v>
      </c>
      <c r="B62">
        <f>EDATE(Plan!$C$6,50)</f>
        <v/>
      </c>
      <c r="C62">
        <f>IF(C61&lt;=0,0,MAX(0,AH62-O62))</f>
        <v/>
      </c>
      <c r="D62">
        <f>IF(D61&lt;=0,0,MAX(0,AI62-P62))</f>
        <v/>
      </c>
      <c r="E62">
        <f>IF(E61&lt;=0,0,MAX(0,AJ62-Q62))</f>
        <v/>
      </c>
      <c r="F62">
        <f>IF(F61&lt;=0,0,MAX(0,AK62-R62))</f>
        <v/>
      </c>
      <c r="G62">
        <f>IF(G61&lt;=0,0,MAX(0,AL62-S62))</f>
        <v/>
      </c>
      <c r="H62">
        <f>IF(H61&lt;=0,0,MAX(0,AM62-T62))</f>
        <v/>
      </c>
      <c r="I62">
        <f>IF(I61&lt;=0,0,MAX(0,AN62-U62))</f>
        <v/>
      </c>
      <c r="J62">
        <f>IF(J61&lt;=0,0,MAX(0,AO62-V62))</f>
        <v/>
      </c>
      <c r="K62">
        <f>IF(K61&lt;=0,0,MAX(0,AP62-W62))</f>
        <v/>
      </c>
      <c r="L62">
        <f>IF(L61&lt;=0,0,MAX(0,AQ62-X62))</f>
        <v/>
      </c>
      <c r="M62">
        <f>IF(M61&lt;=0,0,MAX(0,AR62-Y62))</f>
        <v/>
      </c>
      <c r="N62">
        <f>IF(N61&lt;=0,0,MAX(0,AS62-Z62))</f>
        <v/>
      </c>
      <c r="O62">
        <f>IF(C61&lt;=0,0,MIN(AH62,C$7+IF(C$2=$AA62,$AC62,IF(C$2=$AF62,$AG62,0))))</f>
        <v/>
      </c>
      <c r="P62">
        <f>IF(D61&lt;=0,0,MIN(AI62,D$7+IF(D$2=$AA62,$AC62,IF(D$2=$AF62,$AG62,0))))</f>
        <v/>
      </c>
      <c r="Q62">
        <f>IF(E61&lt;=0,0,MIN(AJ62,E$7+IF(E$2=$AA62,$AC62,IF(E$2=$AF62,$AG62,0))))</f>
        <v/>
      </c>
      <c r="R62">
        <f>IF(F61&lt;=0,0,MIN(AK62,F$7+IF(F$2=$AA62,$AC62,IF(F$2=$AF62,$AG62,0))))</f>
        <v/>
      </c>
      <c r="S62">
        <f>IF(G61&lt;=0,0,MIN(AL62,G$7+IF(G$2=$AA62,$AC62,IF(G$2=$AF62,$AG62,0))))</f>
        <v/>
      </c>
      <c r="T62">
        <f>IF(H61&lt;=0,0,MIN(AM62,H$7+IF(H$2=$AA62,$AC62,IF(H$2=$AF62,$AG62,0))))</f>
        <v/>
      </c>
      <c r="U62">
        <f>IF(I61&lt;=0,0,MIN(AN62,I$7+IF(I$2=$AA62,$AC62,IF(I$2=$AF62,$AG62,0))))</f>
        <v/>
      </c>
      <c r="V62">
        <f>IF(J61&lt;=0,0,MIN(AO62,J$7+IF(J$2=$AA62,$AC62,IF(J$2=$AF62,$AG62,0))))</f>
        <v/>
      </c>
      <c r="W62">
        <f>IF(K61&lt;=0,0,MIN(AP62,K$7+IF(K$2=$AA62,$AC62,IF(K$2=$AF62,$AG62,0))))</f>
        <v/>
      </c>
      <c r="X62">
        <f>IF(L61&lt;=0,0,MIN(AQ62,L$7+IF(L$2=$AA62,$AC62,IF(L$2=$AF62,$AG62,0))))</f>
        <v/>
      </c>
      <c r="Y62">
        <f>IF(M61&lt;=0,0,MIN(AR62,M$7+IF(M$2=$AA62,$AC62,IF(M$2=$AF62,$AG62,0))))</f>
        <v/>
      </c>
      <c r="Z62">
        <f>IF(N61&lt;=0,0,MIN(AS62,N$7+IF(N$2=$AA62,$AC62,IF(N$2=$AF62,$AG62,0))))</f>
        <v/>
      </c>
      <c r="AA62">
        <f>IFERROR(ROUND(1/SUMPRODUCT(MAX((C61:N61&gt;0)*($C$3:$N$3&lt;=B62)/$C$2:$N$2)),0),0)</f>
        <v/>
      </c>
      <c r="AB62">
        <f>SUMPRODUCT((C61:N61&gt;0)*$C$7:$N$7)</f>
        <v/>
      </c>
      <c r="AC62">
        <f>MAX(0,Plan!$C$5-AB62)+IF(A62=Plan!$C$8,N(Plan!$C$7),0)</f>
        <v/>
      </c>
      <c r="AD62">
        <f>SUM(C62:N62)</f>
        <v/>
      </c>
      <c r="AE62">
        <f>SUM(O62:Z62)</f>
        <v/>
      </c>
      <c r="AF62">
        <f>IFERROR(ROUND(1/SUMPRODUCT(MAX((C61:N61&gt;0)*($C$3:$N$3&lt;=B62)*($C$2:$N$2&gt;AA62)/$C$2:$N$2)),0),0)</f>
        <v/>
      </c>
      <c r="AG62">
        <f>MAX(0,AC62-MAX(0,SUMPRODUCT(($C$2:$N$2=AA62)*(AH62:AS62-$C$7:$N$7))))</f>
        <v/>
      </c>
      <c r="AH62">
        <f>IF(C61&lt;=0,0,ROUND(C61*(1+IF(AND(C$6&gt;0,$B62&lt;C$6),C$4,C$5)/12),2))</f>
        <v/>
      </c>
      <c r="AI62">
        <f>IF(D61&lt;=0,0,ROUND(D61*(1+IF(AND(D$6&gt;0,$B62&lt;D$6),D$4,D$5)/12),2))</f>
        <v/>
      </c>
      <c r="AJ62">
        <f>IF(E61&lt;=0,0,ROUND(E61*(1+IF(AND(E$6&gt;0,$B62&lt;E$6),E$4,E$5)/12),2))</f>
        <v/>
      </c>
      <c r="AK62">
        <f>IF(F61&lt;=0,0,ROUND(F61*(1+IF(AND(F$6&gt;0,$B62&lt;F$6),F$4,F$5)/12),2))</f>
        <v/>
      </c>
      <c r="AL62">
        <f>IF(G61&lt;=0,0,ROUND(G61*(1+IF(AND(G$6&gt;0,$B62&lt;G$6),G$4,G$5)/12),2))</f>
        <v/>
      </c>
      <c r="AM62">
        <f>IF(H61&lt;=0,0,ROUND(H61*(1+IF(AND(H$6&gt;0,$B62&lt;H$6),H$4,H$5)/12),2))</f>
        <v/>
      </c>
      <c r="AN62">
        <f>IF(I61&lt;=0,0,ROUND(I61*(1+IF(AND(I$6&gt;0,$B62&lt;I$6),I$4,I$5)/12),2))</f>
        <v/>
      </c>
      <c r="AO62">
        <f>IF(J61&lt;=0,0,ROUND(J61*(1+IF(AND(J$6&gt;0,$B62&lt;J$6),J$4,J$5)/12),2))</f>
        <v/>
      </c>
      <c r="AP62">
        <f>IF(K61&lt;=0,0,ROUND(K61*(1+IF(AND(K$6&gt;0,$B62&lt;K$6),K$4,K$5)/12),2))</f>
        <v/>
      </c>
      <c r="AQ62">
        <f>IF(L61&lt;=0,0,ROUND(L61*(1+IF(AND(L$6&gt;0,$B62&lt;L$6),L$4,L$5)/12),2))</f>
        <v/>
      </c>
      <c r="AR62">
        <f>IF(M61&lt;=0,0,ROUND(M61*(1+IF(AND(M$6&gt;0,$B62&lt;M$6),M$4,M$5)/12),2))</f>
        <v/>
      </c>
      <c r="AS62">
        <f>IF(N61&lt;=0,0,ROUND(N61*(1+IF(AND(N$6&gt;0,$B62&lt;N$6),N$4,N$5)/12),2))</f>
        <v/>
      </c>
    </row>
    <row r="63">
      <c r="A63" t="n">
        <v>52</v>
      </c>
      <c r="B63">
        <f>EDATE(Plan!$C$6,51)</f>
        <v/>
      </c>
      <c r="C63">
        <f>IF(C62&lt;=0,0,MAX(0,AH63-O63))</f>
        <v/>
      </c>
      <c r="D63">
        <f>IF(D62&lt;=0,0,MAX(0,AI63-P63))</f>
        <v/>
      </c>
      <c r="E63">
        <f>IF(E62&lt;=0,0,MAX(0,AJ63-Q63))</f>
        <v/>
      </c>
      <c r="F63">
        <f>IF(F62&lt;=0,0,MAX(0,AK63-R63))</f>
        <v/>
      </c>
      <c r="G63">
        <f>IF(G62&lt;=0,0,MAX(0,AL63-S63))</f>
        <v/>
      </c>
      <c r="H63">
        <f>IF(H62&lt;=0,0,MAX(0,AM63-T63))</f>
        <v/>
      </c>
      <c r="I63">
        <f>IF(I62&lt;=0,0,MAX(0,AN63-U63))</f>
        <v/>
      </c>
      <c r="J63">
        <f>IF(J62&lt;=0,0,MAX(0,AO63-V63))</f>
        <v/>
      </c>
      <c r="K63">
        <f>IF(K62&lt;=0,0,MAX(0,AP63-W63))</f>
        <v/>
      </c>
      <c r="L63">
        <f>IF(L62&lt;=0,0,MAX(0,AQ63-X63))</f>
        <v/>
      </c>
      <c r="M63">
        <f>IF(M62&lt;=0,0,MAX(0,AR63-Y63))</f>
        <v/>
      </c>
      <c r="N63">
        <f>IF(N62&lt;=0,0,MAX(0,AS63-Z63))</f>
        <v/>
      </c>
      <c r="O63">
        <f>IF(C62&lt;=0,0,MIN(AH63,C$7+IF(C$2=$AA63,$AC63,IF(C$2=$AF63,$AG63,0))))</f>
        <v/>
      </c>
      <c r="P63">
        <f>IF(D62&lt;=0,0,MIN(AI63,D$7+IF(D$2=$AA63,$AC63,IF(D$2=$AF63,$AG63,0))))</f>
        <v/>
      </c>
      <c r="Q63">
        <f>IF(E62&lt;=0,0,MIN(AJ63,E$7+IF(E$2=$AA63,$AC63,IF(E$2=$AF63,$AG63,0))))</f>
        <v/>
      </c>
      <c r="R63">
        <f>IF(F62&lt;=0,0,MIN(AK63,F$7+IF(F$2=$AA63,$AC63,IF(F$2=$AF63,$AG63,0))))</f>
        <v/>
      </c>
      <c r="S63">
        <f>IF(G62&lt;=0,0,MIN(AL63,G$7+IF(G$2=$AA63,$AC63,IF(G$2=$AF63,$AG63,0))))</f>
        <v/>
      </c>
      <c r="T63">
        <f>IF(H62&lt;=0,0,MIN(AM63,H$7+IF(H$2=$AA63,$AC63,IF(H$2=$AF63,$AG63,0))))</f>
        <v/>
      </c>
      <c r="U63">
        <f>IF(I62&lt;=0,0,MIN(AN63,I$7+IF(I$2=$AA63,$AC63,IF(I$2=$AF63,$AG63,0))))</f>
        <v/>
      </c>
      <c r="V63">
        <f>IF(J62&lt;=0,0,MIN(AO63,J$7+IF(J$2=$AA63,$AC63,IF(J$2=$AF63,$AG63,0))))</f>
        <v/>
      </c>
      <c r="W63">
        <f>IF(K62&lt;=0,0,MIN(AP63,K$7+IF(K$2=$AA63,$AC63,IF(K$2=$AF63,$AG63,0))))</f>
        <v/>
      </c>
      <c r="X63">
        <f>IF(L62&lt;=0,0,MIN(AQ63,L$7+IF(L$2=$AA63,$AC63,IF(L$2=$AF63,$AG63,0))))</f>
        <v/>
      </c>
      <c r="Y63">
        <f>IF(M62&lt;=0,0,MIN(AR63,M$7+IF(M$2=$AA63,$AC63,IF(M$2=$AF63,$AG63,0))))</f>
        <v/>
      </c>
      <c r="Z63">
        <f>IF(N62&lt;=0,0,MIN(AS63,N$7+IF(N$2=$AA63,$AC63,IF(N$2=$AF63,$AG63,0))))</f>
        <v/>
      </c>
      <c r="AA63">
        <f>IFERROR(ROUND(1/SUMPRODUCT(MAX((C62:N62&gt;0)*($C$3:$N$3&lt;=B63)/$C$2:$N$2)),0),0)</f>
        <v/>
      </c>
      <c r="AB63">
        <f>SUMPRODUCT((C62:N62&gt;0)*$C$7:$N$7)</f>
        <v/>
      </c>
      <c r="AC63">
        <f>MAX(0,Plan!$C$5-AB63)+IF(A63=Plan!$C$8,N(Plan!$C$7),0)</f>
        <v/>
      </c>
      <c r="AD63">
        <f>SUM(C63:N63)</f>
        <v/>
      </c>
      <c r="AE63">
        <f>SUM(O63:Z63)</f>
        <v/>
      </c>
      <c r="AF63">
        <f>IFERROR(ROUND(1/SUMPRODUCT(MAX((C62:N62&gt;0)*($C$3:$N$3&lt;=B63)*($C$2:$N$2&gt;AA63)/$C$2:$N$2)),0),0)</f>
        <v/>
      </c>
      <c r="AG63">
        <f>MAX(0,AC63-MAX(0,SUMPRODUCT(($C$2:$N$2=AA63)*(AH63:AS63-$C$7:$N$7))))</f>
        <v/>
      </c>
      <c r="AH63">
        <f>IF(C62&lt;=0,0,ROUND(C62*(1+IF(AND(C$6&gt;0,$B63&lt;C$6),C$4,C$5)/12),2))</f>
        <v/>
      </c>
      <c r="AI63">
        <f>IF(D62&lt;=0,0,ROUND(D62*(1+IF(AND(D$6&gt;0,$B63&lt;D$6),D$4,D$5)/12),2))</f>
        <v/>
      </c>
      <c r="AJ63">
        <f>IF(E62&lt;=0,0,ROUND(E62*(1+IF(AND(E$6&gt;0,$B63&lt;E$6),E$4,E$5)/12),2))</f>
        <v/>
      </c>
      <c r="AK63">
        <f>IF(F62&lt;=0,0,ROUND(F62*(1+IF(AND(F$6&gt;0,$B63&lt;F$6),F$4,F$5)/12),2))</f>
        <v/>
      </c>
      <c r="AL63">
        <f>IF(G62&lt;=0,0,ROUND(G62*(1+IF(AND(G$6&gt;0,$B63&lt;G$6),G$4,G$5)/12),2))</f>
        <v/>
      </c>
      <c r="AM63">
        <f>IF(H62&lt;=0,0,ROUND(H62*(1+IF(AND(H$6&gt;0,$B63&lt;H$6),H$4,H$5)/12),2))</f>
        <v/>
      </c>
      <c r="AN63">
        <f>IF(I62&lt;=0,0,ROUND(I62*(1+IF(AND(I$6&gt;0,$B63&lt;I$6),I$4,I$5)/12),2))</f>
        <v/>
      </c>
      <c r="AO63">
        <f>IF(J62&lt;=0,0,ROUND(J62*(1+IF(AND(J$6&gt;0,$B63&lt;J$6),J$4,J$5)/12),2))</f>
        <v/>
      </c>
      <c r="AP63">
        <f>IF(K62&lt;=0,0,ROUND(K62*(1+IF(AND(K$6&gt;0,$B63&lt;K$6),K$4,K$5)/12),2))</f>
        <v/>
      </c>
      <c r="AQ63">
        <f>IF(L62&lt;=0,0,ROUND(L62*(1+IF(AND(L$6&gt;0,$B63&lt;L$6),L$4,L$5)/12),2))</f>
        <v/>
      </c>
      <c r="AR63">
        <f>IF(M62&lt;=0,0,ROUND(M62*(1+IF(AND(M$6&gt;0,$B63&lt;M$6),M$4,M$5)/12),2))</f>
        <v/>
      </c>
      <c r="AS63">
        <f>IF(N62&lt;=0,0,ROUND(N62*(1+IF(AND(N$6&gt;0,$B63&lt;N$6),N$4,N$5)/12),2))</f>
        <v/>
      </c>
    </row>
    <row r="64">
      <c r="A64" t="n">
        <v>53</v>
      </c>
      <c r="B64">
        <f>EDATE(Plan!$C$6,52)</f>
        <v/>
      </c>
      <c r="C64">
        <f>IF(C63&lt;=0,0,MAX(0,AH64-O64))</f>
        <v/>
      </c>
      <c r="D64">
        <f>IF(D63&lt;=0,0,MAX(0,AI64-P64))</f>
        <v/>
      </c>
      <c r="E64">
        <f>IF(E63&lt;=0,0,MAX(0,AJ64-Q64))</f>
        <v/>
      </c>
      <c r="F64">
        <f>IF(F63&lt;=0,0,MAX(0,AK64-R64))</f>
        <v/>
      </c>
      <c r="G64">
        <f>IF(G63&lt;=0,0,MAX(0,AL64-S64))</f>
        <v/>
      </c>
      <c r="H64">
        <f>IF(H63&lt;=0,0,MAX(0,AM64-T64))</f>
        <v/>
      </c>
      <c r="I64">
        <f>IF(I63&lt;=0,0,MAX(0,AN64-U64))</f>
        <v/>
      </c>
      <c r="J64">
        <f>IF(J63&lt;=0,0,MAX(0,AO64-V64))</f>
        <v/>
      </c>
      <c r="K64">
        <f>IF(K63&lt;=0,0,MAX(0,AP64-W64))</f>
        <v/>
      </c>
      <c r="L64">
        <f>IF(L63&lt;=0,0,MAX(0,AQ64-X64))</f>
        <v/>
      </c>
      <c r="M64">
        <f>IF(M63&lt;=0,0,MAX(0,AR64-Y64))</f>
        <v/>
      </c>
      <c r="N64">
        <f>IF(N63&lt;=0,0,MAX(0,AS64-Z64))</f>
        <v/>
      </c>
      <c r="O64">
        <f>IF(C63&lt;=0,0,MIN(AH64,C$7+IF(C$2=$AA64,$AC64,IF(C$2=$AF64,$AG64,0))))</f>
        <v/>
      </c>
      <c r="P64">
        <f>IF(D63&lt;=0,0,MIN(AI64,D$7+IF(D$2=$AA64,$AC64,IF(D$2=$AF64,$AG64,0))))</f>
        <v/>
      </c>
      <c r="Q64">
        <f>IF(E63&lt;=0,0,MIN(AJ64,E$7+IF(E$2=$AA64,$AC64,IF(E$2=$AF64,$AG64,0))))</f>
        <v/>
      </c>
      <c r="R64">
        <f>IF(F63&lt;=0,0,MIN(AK64,F$7+IF(F$2=$AA64,$AC64,IF(F$2=$AF64,$AG64,0))))</f>
        <v/>
      </c>
      <c r="S64">
        <f>IF(G63&lt;=0,0,MIN(AL64,G$7+IF(G$2=$AA64,$AC64,IF(G$2=$AF64,$AG64,0))))</f>
        <v/>
      </c>
      <c r="T64">
        <f>IF(H63&lt;=0,0,MIN(AM64,H$7+IF(H$2=$AA64,$AC64,IF(H$2=$AF64,$AG64,0))))</f>
        <v/>
      </c>
      <c r="U64">
        <f>IF(I63&lt;=0,0,MIN(AN64,I$7+IF(I$2=$AA64,$AC64,IF(I$2=$AF64,$AG64,0))))</f>
        <v/>
      </c>
      <c r="V64">
        <f>IF(J63&lt;=0,0,MIN(AO64,J$7+IF(J$2=$AA64,$AC64,IF(J$2=$AF64,$AG64,0))))</f>
        <v/>
      </c>
      <c r="W64">
        <f>IF(K63&lt;=0,0,MIN(AP64,K$7+IF(K$2=$AA64,$AC64,IF(K$2=$AF64,$AG64,0))))</f>
        <v/>
      </c>
      <c r="X64">
        <f>IF(L63&lt;=0,0,MIN(AQ64,L$7+IF(L$2=$AA64,$AC64,IF(L$2=$AF64,$AG64,0))))</f>
        <v/>
      </c>
      <c r="Y64">
        <f>IF(M63&lt;=0,0,MIN(AR64,M$7+IF(M$2=$AA64,$AC64,IF(M$2=$AF64,$AG64,0))))</f>
        <v/>
      </c>
      <c r="Z64">
        <f>IF(N63&lt;=0,0,MIN(AS64,N$7+IF(N$2=$AA64,$AC64,IF(N$2=$AF64,$AG64,0))))</f>
        <v/>
      </c>
      <c r="AA64">
        <f>IFERROR(ROUND(1/SUMPRODUCT(MAX((C63:N63&gt;0)*($C$3:$N$3&lt;=B64)/$C$2:$N$2)),0),0)</f>
        <v/>
      </c>
      <c r="AB64">
        <f>SUMPRODUCT((C63:N63&gt;0)*$C$7:$N$7)</f>
        <v/>
      </c>
      <c r="AC64">
        <f>MAX(0,Plan!$C$5-AB64)+IF(A64=Plan!$C$8,N(Plan!$C$7),0)</f>
        <v/>
      </c>
      <c r="AD64">
        <f>SUM(C64:N64)</f>
        <v/>
      </c>
      <c r="AE64">
        <f>SUM(O64:Z64)</f>
        <v/>
      </c>
      <c r="AF64">
        <f>IFERROR(ROUND(1/SUMPRODUCT(MAX((C63:N63&gt;0)*($C$3:$N$3&lt;=B64)*($C$2:$N$2&gt;AA64)/$C$2:$N$2)),0),0)</f>
        <v/>
      </c>
      <c r="AG64">
        <f>MAX(0,AC64-MAX(0,SUMPRODUCT(($C$2:$N$2=AA64)*(AH64:AS64-$C$7:$N$7))))</f>
        <v/>
      </c>
      <c r="AH64">
        <f>IF(C63&lt;=0,0,ROUND(C63*(1+IF(AND(C$6&gt;0,$B64&lt;C$6),C$4,C$5)/12),2))</f>
        <v/>
      </c>
      <c r="AI64">
        <f>IF(D63&lt;=0,0,ROUND(D63*(1+IF(AND(D$6&gt;0,$B64&lt;D$6),D$4,D$5)/12),2))</f>
        <v/>
      </c>
      <c r="AJ64">
        <f>IF(E63&lt;=0,0,ROUND(E63*(1+IF(AND(E$6&gt;0,$B64&lt;E$6),E$4,E$5)/12),2))</f>
        <v/>
      </c>
      <c r="AK64">
        <f>IF(F63&lt;=0,0,ROUND(F63*(1+IF(AND(F$6&gt;0,$B64&lt;F$6),F$4,F$5)/12),2))</f>
        <v/>
      </c>
      <c r="AL64">
        <f>IF(G63&lt;=0,0,ROUND(G63*(1+IF(AND(G$6&gt;0,$B64&lt;G$6),G$4,G$5)/12),2))</f>
        <v/>
      </c>
      <c r="AM64">
        <f>IF(H63&lt;=0,0,ROUND(H63*(1+IF(AND(H$6&gt;0,$B64&lt;H$6),H$4,H$5)/12),2))</f>
        <v/>
      </c>
      <c r="AN64">
        <f>IF(I63&lt;=0,0,ROUND(I63*(1+IF(AND(I$6&gt;0,$B64&lt;I$6),I$4,I$5)/12),2))</f>
        <v/>
      </c>
      <c r="AO64">
        <f>IF(J63&lt;=0,0,ROUND(J63*(1+IF(AND(J$6&gt;0,$B64&lt;J$6),J$4,J$5)/12),2))</f>
        <v/>
      </c>
      <c r="AP64">
        <f>IF(K63&lt;=0,0,ROUND(K63*(1+IF(AND(K$6&gt;0,$B64&lt;K$6),K$4,K$5)/12),2))</f>
        <v/>
      </c>
      <c r="AQ64">
        <f>IF(L63&lt;=0,0,ROUND(L63*(1+IF(AND(L$6&gt;0,$B64&lt;L$6),L$4,L$5)/12),2))</f>
        <v/>
      </c>
      <c r="AR64">
        <f>IF(M63&lt;=0,0,ROUND(M63*(1+IF(AND(M$6&gt;0,$B64&lt;M$6),M$4,M$5)/12),2))</f>
        <v/>
      </c>
      <c r="AS64">
        <f>IF(N63&lt;=0,0,ROUND(N63*(1+IF(AND(N$6&gt;0,$B64&lt;N$6),N$4,N$5)/12),2))</f>
        <v/>
      </c>
    </row>
    <row r="65">
      <c r="A65" t="n">
        <v>54</v>
      </c>
      <c r="B65">
        <f>EDATE(Plan!$C$6,53)</f>
        <v/>
      </c>
      <c r="C65">
        <f>IF(C64&lt;=0,0,MAX(0,AH65-O65))</f>
        <v/>
      </c>
      <c r="D65">
        <f>IF(D64&lt;=0,0,MAX(0,AI65-P65))</f>
        <v/>
      </c>
      <c r="E65">
        <f>IF(E64&lt;=0,0,MAX(0,AJ65-Q65))</f>
        <v/>
      </c>
      <c r="F65">
        <f>IF(F64&lt;=0,0,MAX(0,AK65-R65))</f>
        <v/>
      </c>
      <c r="G65">
        <f>IF(G64&lt;=0,0,MAX(0,AL65-S65))</f>
        <v/>
      </c>
      <c r="H65">
        <f>IF(H64&lt;=0,0,MAX(0,AM65-T65))</f>
        <v/>
      </c>
      <c r="I65">
        <f>IF(I64&lt;=0,0,MAX(0,AN65-U65))</f>
        <v/>
      </c>
      <c r="J65">
        <f>IF(J64&lt;=0,0,MAX(0,AO65-V65))</f>
        <v/>
      </c>
      <c r="K65">
        <f>IF(K64&lt;=0,0,MAX(0,AP65-W65))</f>
        <v/>
      </c>
      <c r="L65">
        <f>IF(L64&lt;=0,0,MAX(0,AQ65-X65))</f>
        <v/>
      </c>
      <c r="M65">
        <f>IF(M64&lt;=0,0,MAX(0,AR65-Y65))</f>
        <v/>
      </c>
      <c r="N65">
        <f>IF(N64&lt;=0,0,MAX(0,AS65-Z65))</f>
        <v/>
      </c>
      <c r="O65">
        <f>IF(C64&lt;=0,0,MIN(AH65,C$7+IF(C$2=$AA65,$AC65,IF(C$2=$AF65,$AG65,0))))</f>
        <v/>
      </c>
      <c r="P65">
        <f>IF(D64&lt;=0,0,MIN(AI65,D$7+IF(D$2=$AA65,$AC65,IF(D$2=$AF65,$AG65,0))))</f>
        <v/>
      </c>
      <c r="Q65">
        <f>IF(E64&lt;=0,0,MIN(AJ65,E$7+IF(E$2=$AA65,$AC65,IF(E$2=$AF65,$AG65,0))))</f>
        <v/>
      </c>
      <c r="R65">
        <f>IF(F64&lt;=0,0,MIN(AK65,F$7+IF(F$2=$AA65,$AC65,IF(F$2=$AF65,$AG65,0))))</f>
        <v/>
      </c>
      <c r="S65">
        <f>IF(G64&lt;=0,0,MIN(AL65,G$7+IF(G$2=$AA65,$AC65,IF(G$2=$AF65,$AG65,0))))</f>
        <v/>
      </c>
      <c r="T65">
        <f>IF(H64&lt;=0,0,MIN(AM65,H$7+IF(H$2=$AA65,$AC65,IF(H$2=$AF65,$AG65,0))))</f>
        <v/>
      </c>
      <c r="U65">
        <f>IF(I64&lt;=0,0,MIN(AN65,I$7+IF(I$2=$AA65,$AC65,IF(I$2=$AF65,$AG65,0))))</f>
        <v/>
      </c>
      <c r="V65">
        <f>IF(J64&lt;=0,0,MIN(AO65,J$7+IF(J$2=$AA65,$AC65,IF(J$2=$AF65,$AG65,0))))</f>
        <v/>
      </c>
      <c r="W65">
        <f>IF(K64&lt;=0,0,MIN(AP65,K$7+IF(K$2=$AA65,$AC65,IF(K$2=$AF65,$AG65,0))))</f>
        <v/>
      </c>
      <c r="X65">
        <f>IF(L64&lt;=0,0,MIN(AQ65,L$7+IF(L$2=$AA65,$AC65,IF(L$2=$AF65,$AG65,0))))</f>
        <v/>
      </c>
      <c r="Y65">
        <f>IF(M64&lt;=0,0,MIN(AR65,M$7+IF(M$2=$AA65,$AC65,IF(M$2=$AF65,$AG65,0))))</f>
        <v/>
      </c>
      <c r="Z65">
        <f>IF(N64&lt;=0,0,MIN(AS65,N$7+IF(N$2=$AA65,$AC65,IF(N$2=$AF65,$AG65,0))))</f>
        <v/>
      </c>
      <c r="AA65">
        <f>IFERROR(ROUND(1/SUMPRODUCT(MAX((C64:N64&gt;0)*($C$3:$N$3&lt;=B65)/$C$2:$N$2)),0),0)</f>
        <v/>
      </c>
      <c r="AB65">
        <f>SUMPRODUCT((C64:N64&gt;0)*$C$7:$N$7)</f>
        <v/>
      </c>
      <c r="AC65">
        <f>MAX(0,Plan!$C$5-AB65)+IF(A65=Plan!$C$8,N(Plan!$C$7),0)</f>
        <v/>
      </c>
      <c r="AD65">
        <f>SUM(C65:N65)</f>
        <v/>
      </c>
      <c r="AE65">
        <f>SUM(O65:Z65)</f>
        <v/>
      </c>
      <c r="AF65">
        <f>IFERROR(ROUND(1/SUMPRODUCT(MAX((C64:N64&gt;0)*($C$3:$N$3&lt;=B65)*($C$2:$N$2&gt;AA65)/$C$2:$N$2)),0),0)</f>
        <v/>
      </c>
      <c r="AG65">
        <f>MAX(0,AC65-MAX(0,SUMPRODUCT(($C$2:$N$2=AA65)*(AH65:AS65-$C$7:$N$7))))</f>
        <v/>
      </c>
      <c r="AH65">
        <f>IF(C64&lt;=0,0,ROUND(C64*(1+IF(AND(C$6&gt;0,$B65&lt;C$6),C$4,C$5)/12),2))</f>
        <v/>
      </c>
      <c r="AI65">
        <f>IF(D64&lt;=0,0,ROUND(D64*(1+IF(AND(D$6&gt;0,$B65&lt;D$6),D$4,D$5)/12),2))</f>
        <v/>
      </c>
      <c r="AJ65">
        <f>IF(E64&lt;=0,0,ROUND(E64*(1+IF(AND(E$6&gt;0,$B65&lt;E$6),E$4,E$5)/12),2))</f>
        <v/>
      </c>
      <c r="AK65">
        <f>IF(F64&lt;=0,0,ROUND(F64*(1+IF(AND(F$6&gt;0,$B65&lt;F$6),F$4,F$5)/12),2))</f>
        <v/>
      </c>
      <c r="AL65">
        <f>IF(G64&lt;=0,0,ROUND(G64*(1+IF(AND(G$6&gt;0,$B65&lt;G$6),G$4,G$5)/12),2))</f>
        <v/>
      </c>
      <c r="AM65">
        <f>IF(H64&lt;=0,0,ROUND(H64*(1+IF(AND(H$6&gt;0,$B65&lt;H$6),H$4,H$5)/12),2))</f>
        <v/>
      </c>
      <c r="AN65">
        <f>IF(I64&lt;=0,0,ROUND(I64*(1+IF(AND(I$6&gt;0,$B65&lt;I$6),I$4,I$5)/12),2))</f>
        <v/>
      </c>
      <c r="AO65">
        <f>IF(J64&lt;=0,0,ROUND(J64*(1+IF(AND(J$6&gt;0,$B65&lt;J$6),J$4,J$5)/12),2))</f>
        <v/>
      </c>
      <c r="AP65">
        <f>IF(K64&lt;=0,0,ROUND(K64*(1+IF(AND(K$6&gt;0,$B65&lt;K$6),K$4,K$5)/12),2))</f>
        <v/>
      </c>
      <c r="AQ65">
        <f>IF(L64&lt;=0,0,ROUND(L64*(1+IF(AND(L$6&gt;0,$B65&lt;L$6),L$4,L$5)/12),2))</f>
        <v/>
      </c>
      <c r="AR65">
        <f>IF(M64&lt;=0,0,ROUND(M64*(1+IF(AND(M$6&gt;0,$B65&lt;M$6),M$4,M$5)/12),2))</f>
        <v/>
      </c>
      <c r="AS65">
        <f>IF(N64&lt;=0,0,ROUND(N64*(1+IF(AND(N$6&gt;0,$B65&lt;N$6),N$4,N$5)/12),2))</f>
        <v/>
      </c>
    </row>
    <row r="66">
      <c r="A66" t="n">
        <v>55</v>
      </c>
      <c r="B66">
        <f>EDATE(Plan!$C$6,54)</f>
        <v/>
      </c>
      <c r="C66">
        <f>IF(C65&lt;=0,0,MAX(0,AH66-O66))</f>
        <v/>
      </c>
      <c r="D66">
        <f>IF(D65&lt;=0,0,MAX(0,AI66-P66))</f>
        <v/>
      </c>
      <c r="E66">
        <f>IF(E65&lt;=0,0,MAX(0,AJ66-Q66))</f>
        <v/>
      </c>
      <c r="F66">
        <f>IF(F65&lt;=0,0,MAX(0,AK66-R66))</f>
        <v/>
      </c>
      <c r="G66">
        <f>IF(G65&lt;=0,0,MAX(0,AL66-S66))</f>
        <v/>
      </c>
      <c r="H66">
        <f>IF(H65&lt;=0,0,MAX(0,AM66-T66))</f>
        <v/>
      </c>
      <c r="I66">
        <f>IF(I65&lt;=0,0,MAX(0,AN66-U66))</f>
        <v/>
      </c>
      <c r="J66">
        <f>IF(J65&lt;=0,0,MAX(0,AO66-V66))</f>
        <v/>
      </c>
      <c r="K66">
        <f>IF(K65&lt;=0,0,MAX(0,AP66-W66))</f>
        <v/>
      </c>
      <c r="L66">
        <f>IF(L65&lt;=0,0,MAX(0,AQ66-X66))</f>
        <v/>
      </c>
      <c r="M66">
        <f>IF(M65&lt;=0,0,MAX(0,AR66-Y66))</f>
        <v/>
      </c>
      <c r="N66">
        <f>IF(N65&lt;=0,0,MAX(0,AS66-Z66))</f>
        <v/>
      </c>
      <c r="O66">
        <f>IF(C65&lt;=0,0,MIN(AH66,C$7+IF(C$2=$AA66,$AC66,IF(C$2=$AF66,$AG66,0))))</f>
        <v/>
      </c>
      <c r="P66">
        <f>IF(D65&lt;=0,0,MIN(AI66,D$7+IF(D$2=$AA66,$AC66,IF(D$2=$AF66,$AG66,0))))</f>
        <v/>
      </c>
      <c r="Q66">
        <f>IF(E65&lt;=0,0,MIN(AJ66,E$7+IF(E$2=$AA66,$AC66,IF(E$2=$AF66,$AG66,0))))</f>
        <v/>
      </c>
      <c r="R66">
        <f>IF(F65&lt;=0,0,MIN(AK66,F$7+IF(F$2=$AA66,$AC66,IF(F$2=$AF66,$AG66,0))))</f>
        <v/>
      </c>
      <c r="S66">
        <f>IF(G65&lt;=0,0,MIN(AL66,G$7+IF(G$2=$AA66,$AC66,IF(G$2=$AF66,$AG66,0))))</f>
        <v/>
      </c>
      <c r="T66">
        <f>IF(H65&lt;=0,0,MIN(AM66,H$7+IF(H$2=$AA66,$AC66,IF(H$2=$AF66,$AG66,0))))</f>
        <v/>
      </c>
      <c r="U66">
        <f>IF(I65&lt;=0,0,MIN(AN66,I$7+IF(I$2=$AA66,$AC66,IF(I$2=$AF66,$AG66,0))))</f>
        <v/>
      </c>
      <c r="V66">
        <f>IF(J65&lt;=0,0,MIN(AO66,J$7+IF(J$2=$AA66,$AC66,IF(J$2=$AF66,$AG66,0))))</f>
        <v/>
      </c>
      <c r="W66">
        <f>IF(K65&lt;=0,0,MIN(AP66,K$7+IF(K$2=$AA66,$AC66,IF(K$2=$AF66,$AG66,0))))</f>
        <v/>
      </c>
      <c r="X66">
        <f>IF(L65&lt;=0,0,MIN(AQ66,L$7+IF(L$2=$AA66,$AC66,IF(L$2=$AF66,$AG66,0))))</f>
        <v/>
      </c>
      <c r="Y66">
        <f>IF(M65&lt;=0,0,MIN(AR66,M$7+IF(M$2=$AA66,$AC66,IF(M$2=$AF66,$AG66,0))))</f>
        <v/>
      </c>
      <c r="Z66">
        <f>IF(N65&lt;=0,0,MIN(AS66,N$7+IF(N$2=$AA66,$AC66,IF(N$2=$AF66,$AG66,0))))</f>
        <v/>
      </c>
      <c r="AA66">
        <f>IFERROR(ROUND(1/SUMPRODUCT(MAX((C65:N65&gt;0)*($C$3:$N$3&lt;=B66)/$C$2:$N$2)),0),0)</f>
        <v/>
      </c>
      <c r="AB66">
        <f>SUMPRODUCT((C65:N65&gt;0)*$C$7:$N$7)</f>
        <v/>
      </c>
      <c r="AC66">
        <f>MAX(0,Plan!$C$5-AB66)+IF(A66=Plan!$C$8,N(Plan!$C$7),0)</f>
        <v/>
      </c>
      <c r="AD66">
        <f>SUM(C66:N66)</f>
        <v/>
      </c>
      <c r="AE66">
        <f>SUM(O66:Z66)</f>
        <v/>
      </c>
      <c r="AF66">
        <f>IFERROR(ROUND(1/SUMPRODUCT(MAX((C65:N65&gt;0)*($C$3:$N$3&lt;=B66)*($C$2:$N$2&gt;AA66)/$C$2:$N$2)),0),0)</f>
        <v/>
      </c>
      <c r="AG66">
        <f>MAX(0,AC66-MAX(0,SUMPRODUCT(($C$2:$N$2=AA66)*(AH66:AS66-$C$7:$N$7))))</f>
        <v/>
      </c>
      <c r="AH66">
        <f>IF(C65&lt;=0,0,ROUND(C65*(1+IF(AND(C$6&gt;0,$B66&lt;C$6),C$4,C$5)/12),2))</f>
        <v/>
      </c>
      <c r="AI66">
        <f>IF(D65&lt;=0,0,ROUND(D65*(1+IF(AND(D$6&gt;0,$B66&lt;D$6),D$4,D$5)/12),2))</f>
        <v/>
      </c>
      <c r="AJ66">
        <f>IF(E65&lt;=0,0,ROUND(E65*(1+IF(AND(E$6&gt;0,$B66&lt;E$6),E$4,E$5)/12),2))</f>
        <v/>
      </c>
      <c r="AK66">
        <f>IF(F65&lt;=0,0,ROUND(F65*(1+IF(AND(F$6&gt;0,$B66&lt;F$6),F$4,F$5)/12),2))</f>
        <v/>
      </c>
      <c r="AL66">
        <f>IF(G65&lt;=0,0,ROUND(G65*(1+IF(AND(G$6&gt;0,$B66&lt;G$6),G$4,G$5)/12),2))</f>
        <v/>
      </c>
      <c r="AM66">
        <f>IF(H65&lt;=0,0,ROUND(H65*(1+IF(AND(H$6&gt;0,$B66&lt;H$6),H$4,H$5)/12),2))</f>
        <v/>
      </c>
      <c r="AN66">
        <f>IF(I65&lt;=0,0,ROUND(I65*(1+IF(AND(I$6&gt;0,$B66&lt;I$6),I$4,I$5)/12),2))</f>
        <v/>
      </c>
      <c r="AO66">
        <f>IF(J65&lt;=0,0,ROUND(J65*(1+IF(AND(J$6&gt;0,$B66&lt;J$6),J$4,J$5)/12),2))</f>
        <v/>
      </c>
      <c r="AP66">
        <f>IF(K65&lt;=0,0,ROUND(K65*(1+IF(AND(K$6&gt;0,$B66&lt;K$6),K$4,K$5)/12),2))</f>
        <v/>
      </c>
      <c r="AQ66">
        <f>IF(L65&lt;=0,0,ROUND(L65*(1+IF(AND(L$6&gt;0,$B66&lt;L$6),L$4,L$5)/12),2))</f>
        <v/>
      </c>
      <c r="AR66">
        <f>IF(M65&lt;=0,0,ROUND(M65*(1+IF(AND(M$6&gt;0,$B66&lt;M$6),M$4,M$5)/12),2))</f>
        <v/>
      </c>
      <c r="AS66">
        <f>IF(N65&lt;=0,0,ROUND(N65*(1+IF(AND(N$6&gt;0,$B66&lt;N$6),N$4,N$5)/12),2))</f>
        <v/>
      </c>
    </row>
    <row r="67">
      <c r="A67" t="n">
        <v>56</v>
      </c>
      <c r="B67">
        <f>EDATE(Plan!$C$6,55)</f>
        <v/>
      </c>
      <c r="C67">
        <f>IF(C66&lt;=0,0,MAX(0,AH67-O67))</f>
        <v/>
      </c>
      <c r="D67">
        <f>IF(D66&lt;=0,0,MAX(0,AI67-P67))</f>
        <v/>
      </c>
      <c r="E67">
        <f>IF(E66&lt;=0,0,MAX(0,AJ67-Q67))</f>
        <v/>
      </c>
      <c r="F67">
        <f>IF(F66&lt;=0,0,MAX(0,AK67-R67))</f>
        <v/>
      </c>
      <c r="G67">
        <f>IF(G66&lt;=0,0,MAX(0,AL67-S67))</f>
        <v/>
      </c>
      <c r="H67">
        <f>IF(H66&lt;=0,0,MAX(0,AM67-T67))</f>
        <v/>
      </c>
      <c r="I67">
        <f>IF(I66&lt;=0,0,MAX(0,AN67-U67))</f>
        <v/>
      </c>
      <c r="J67">
        <f>IF(J66&lt;=0,0,MAX(0,AO67-V67))</f>
        <v/>
      </c>
      <c r="K67">
        <f>IF(K66&lt;=0,0,MAX(0,AP67-W67))</f>
        <v/>
      </c>
      <c r="L67">
        <f>IF(L66&lt;=0,0,MAX(0,AQ67-X67))</f>
        <v/>
      </c>
      <c r="M67">
        <f>IF(M66&lt;=0,0,MAX(0,AR67-Y67))</f>
        <v/>
      </c>
      <c r="N67">
        <f>IF(N66&lt;=0,0,MAX(0,AS67-Z67))</f>
        <v/>
      </c>
      <c r="O67">
        <f>IF(C66&lt;=0,0,MIN(AH67,C$7+IF(C$2=$AA67,$AC67,IF(C$2=$AF67,$AG67,0))))</f>
        <v/>
      </c>
      <c r="P67">
        <f>IF(D66&lt;=0,0,MIN(AI67,D$7+IF(D$2=$AA67,$AC67,IF(D$2=$AF67,$AG67,0))))</f>
        <v/>
      </c>
      <c r="Q67">
        <f>IF(E66&lt;=0,0,MIN(AJ67,E$7+IF(E$2=$AA67,$AC67,IF(E$2=$AF67,$AG67,0))))</f>
        <v/>
      </c>
      <c r="R67">
        <f>IF(F66&lt;=0,0,MIN(AK67,F$7+IF(F$2=$AA67,$AC67,IF(F$2=$AF67,$AG67,0))))</f>
        <v/>
      </c>
      <c r="S67">
        <f>IF(G66&lt;=0,0,MIN(AL67,G$7+IF(G$2=$AA67,$AC67,IF(G$2=$AF67,$AG67,0))))</f>
        <v/>
      </c>
      <c r="T67">
        <f>IF(H66&lt;=0,0,MIN(AM67,H$7+IF(H$2=$AA67,$AC67,IF(H$2=$AF67,$AG67,0))))</f>
        <v/>
      </c>
      <c r="U67">
        <f>IF(I66&lt;=0,0,MIN(AN67,I$7+IF(I$2=$AA67,$AC67,IF(I$2=$AF67,$AG67,0))))</f>
        <v/>
      </c>
      <c r="V67">
        <f>IF(J66&lt;=0,0,MIN(AO67,J$7+IF(J$2=$AA67,$AC67,IF(J$2=$AF67,$AG67,0))))</f>
        <v/>
      </c>
      <c r="W67">
        <f>IF(K66&lt;=0,0,MIN(AP67,K$7+IF(K$2=$AA67,$AC67,IF(K$2=$AF67,$AG67,0))))</f>
        <v/>
      </c>
      <c r="X67">
        <f>IF(L66&lt;=0,0,MIN(AQ67,L$7+IF(L$2=$AA67,$AC67,IF(L$2=$AF67,$AG67,0))))</f>
        <v/>
      </c>
      <c r="Y67">
        <f>IF(M66&lt;=0,0,MIN(AR67,M$7+IF(M$2=$AA67,$AC67,IF(M$2=$AF67,$AG67,0))))</f>
        <v/>
      </c>
      <c r="Z67">
        <f>IF(N66&lt;=0,0,MIN(AS67,N$7+IF(N$2=$AA67,$AC67,IF(N$2=$AF67,$AG67,0))))</f>
        <v/>
      </c>
      <c r="AA67">
        <f>IFERROR(ROUND(1/SUMPRODUCT(MAX((C66:N66&gt;0)*($C$3:$N$3&lt;=B67)/$C$2:$N$2)),0),0)</f>
        <v/>
      </c>
      <c r="AB67">
        <f>SUMPRODUCT((C66:N66&gt;0)*$C$7:$N$7)</f>
        <v/>
      </c>
      <c r="AC67">
        <f>MAX(0,Plan!$C$5-AB67)+IF(A67=Plan!$C$8,N(Plan!$C$7),0)</f>
        <v/>
      </c>
      <c r="AD67">
        <f>SUM(C67:N67)</f>
        <v/>
      </c>
      <c r="AE67">
        <f>SUM(O67:Z67)</f>
        <v/>
      </c>
      <c r="AF67">
        <f>IFERROR(ROUND(1/SUMPRODUCT(MAX((C66:N66&gt;0)*($C$3:$N$3&lt;=B67)*($C$2:$N$2&gt;AA67)/$C$2:$N$2)),0),0)</f>
        <v/>
      </c>
      <c r="AG67">
        <f>MAX(0,AC67-MAX(0,SUMPRODUCT(($C$2:$N$2=AA67)*(AH67:AS67-$C$7:$N$7))))</f>
        <v/>
      </c>
      <c r="AH67">
        <f>IF(C66&lt;=0,0,ROUND(C66*(1+IF(AND(C$6&gt;0,$B67&lt;C$6),C$4,C$5)/12),2))</f>
        <v/>
      </c>
      <c r="AI67">
        <f>IF(D66&lt;=0,0,ROUND(D66*(1+IF(AND(D$6&gt;0,$B67&lt;D$6),D$4,D$5)/12),2))</f>
        <v/>
      </c>
      <c r="AJ67">
        <f>IF(E66&lt;=0,0,ROUND(E66*(1+IF(AND(E$6&gt;0,$B67&lt;E$6),E$4,E$5)/12),2))</f>
        <v/>
      </c>
      <c r="AK67">
        <f>IF(F66&lt;=0,0,ROUND(F66*(1+IF(AND(F$6&gt;0,$B67&lt;F$6),F$4,F$5)/12),2))</f>
        <v/>
      </c>
      <c r="AL67">
        <f>IF(G66&lt;=0,0,ROUND(G66*(1+IF(AND(G$6&gt;0,$B67&lt;G$6),G$4,G$5)/12),2))</f>
        <v/>
      </c>
      <c r="AM67">
        <f>IF(H66&lt;=0,0,ROUND(H66*(1+IF(AND(H$6&gt;0,$B67&lt;H$6),H$4,H$5)/12),2))</f>
        <v/>
      </c>
      <c r="AN67">
        <f>IF(I66&lt;=0,0,ROUND(I66*(1+IF(AND(I$6&gt;0,$B67&lt;I$6),I$4,I$5)/12),2))</f>
        <v/>
      </c>
      <c r="AO67">
        <f>IF(J66&lt;=0,0,ROUND(J66*(1+IF(AND(J$6&gt;0,$B67&lt;J$6),J$4,J$5)/12),2))</f>
        <v/>
      </c>
      <c r="AP67">
        <f>IF(K66&lt;=0,0,ROUND(K66*(1+IF(AND(K$6&gt;0,$B67&lt;K$6),K$4,K$5)/12),2))</f>
        <v/>
      </c>
      <c r="AQ67">
        <f>IF(L66&lt;=0,0,ROUND(L66*(1+IF(AND(L$6&gt;0,$B67&lt;L$6),L$4,L$5)/12),2))</f>
        <v/>
      </c>
      <c r="AR67">
        <f>IF(M66&lt;=0,0,ROUND(M66*(1+IF(AND(M$6&gt;0,$B67&lt;M$6),M$4,M$5)/12),2))</f>
        <v/>
      </c>
      <c r="AS67">
        <f>IF(N66&lt;=0,0,ROUND(N66*(1+IF(AND(N$6&gt;0,$B67&lt;N$6),N$4,N$5)/12),2))</f>
        <v/>
      </c>
    </row>
    <row r="68">
      <c r="A68" t="n">
        <v>57</v>
      </c>
      <c r="B68">
        <f>EDATE(Plan!$C$6,56)</f>
        <v/>
      </c>
      <c r="C68">
        <f>IF(C67&lt;=0,0,MAX(0,AH68-O68))</f>
        <v/>
      </c>
      <c r="D68">
        <f>IF(D67&lt;=0,0,MAX(0,AI68-P68))</f>
        <v/>
      </c>
      <c r="E68">
        <f>IF(E67&lt;=0,0,MAX(0,AJ68-Q68))</f>
        <v/>
      </c>
      <c r="F68">
        <f>IF(F67&lt;=0,0,MAX(0,AK68-R68))</f>
        <v/>
      </c>
      <c r="G68">
        <f>IF(G67&lt;=0,0,MAX(0,AL68-S68))</f>
        <v/>
      </c>
      <c r="H68">
        <f>IF(H67&lt;=0,0,MAX(0,AM68-T68))</f>
        <v/>
      </c>
      <c r="I68">
        <f>IF(I67&lt;=0,0,MAX(0,AN68-U68))</f>
        <v/>
      </c>
      <c r="J68">
        <f>IF(J67&lt;=0,0,MAX(0,AO68-V68))</f>
        <v/>
      </c>
      <c r="K68">
        <f>IF(K67&lt;=0,0,MAX(0,AP68-W68))</f>
        <v/>
      </c>
      <c r="L68">
        <f>IF(L67&lt;=0,0,MAX(0,AQ68-X68))</f>
        <v/>
      </c>
      <c r="M68">
        <f>IF(M67&lt;=0,0,MAX(0,AR68-Y68))</f>
        <v/>
      </c>
      <c r="N68">
        <f>IF(N67&lt;=0,0,MAX(0,AS68-Z68))</f>
        <v/>
      </c>
      <c r="O68">
        <f>IF(C67&lt;=0,0,MIN(AH68,C$7+IF(C$2=$AA68,$AC68,IF(C$2=$AF68,$AG68,0))))</f>
        <v/>
      </c>
      <c r="P68">
        <f>IF(D67&lt;=0,0,MIN(AI68,D$7+IF(D$2=$AA68,$AC68,IF(D$2=$AF68,$AG68,0))))</f>
        <v/>
      </c>
      <c r="Q68">
        <f>IF(E67&lt;=0,0,MIN(AJ68,E$7+IF(E$2=$AA68,$AC68,IF(E$2=$AF68,$AG68,0))))</f>
        <v/>
      </c>
      <c r="R68">
        <f>IF(F67&lt;=0,0,MIN(AK68,F$7+IF(F$2=$AA68,$AC68,IF(F$2=$AF68,$AG68,0))))</f>
        <v/>
      </c>
      <c r="S68">
        <f>IF(G67&lt;=0,0,MIN(AL68,G$7+IF(G$2=$AA68,$AC68,IF(G$2=$AF68,$AG68,0))))</f>
        <v/>
      </c>
      <c r="T68">
        <f>IF(H67&lt;=0,0,MIN(AM68,H$7+IF(H$2=$AA68,$AC68,IF(H$2=$AF68,$AG68,0))))</f>
        <v/>
      </c>
      <c r="U68">
        <f>IF(I67&lt;=0,0,MIN(AN68,I$7+IF(I$2=$AA68,$AC68,IF(I$2=$AF68,$AG68,0))))</f>
        <v/>
      </c>
      <c r="V68">
        <f>IF(J67&lt;=0,0,MIN(AO68,J$7+IF(J$2=$AA68,$AC68,IF(J$2=$AF68,$AG68,0))))</f>
        <v/>
      </c>
      <c r="W68">
        <f>IF(K67&lt;=0,0,MIN(AP68,K$7+IF(K$2=$AA68,$AC68,IF(K$2=$AF68,$AG68,0))))</f>
        <v/>
      </c>
      <c r="X68">
        <f>IF(L67&lt;=0,0,MIN(AQ68,L$7+IF(L$2=$AA68,$AC68,IF(L$2=$AF68,$AG68,0))))</f>
        <v/>
      </c>
      <c r="Y68">
        <f>IF(M67&lt;=0,0,MIN(AR68,M$7+IF(M$2=$AA68,$AC68,IF(M$2=$AF68,$AG68,0))))</f>
        <v/>
      </c>
      <c r="Z68">
        <f>IF(N67&lt;=0,0,MIN(AS68,N$7+IF(N$2=$AA68,$AC68,IF(N$2=$AF68,$AG68,0))))</f>
        <v/>
      </c>
      <c r="AA68">
        <f>IFERROR(ROUND(1/SUMPRODUCT(MAX((C67:N67&gt;0)*($C$3:$N$3&lt;=B68)/$C$2:$N$2)),0),0)</f>
        <v/>
      </c>
      <c r="AB68">
        <f>SUMPRODUCT((C67:N67&gt;0)*$C$7:$N$7)</f>
        <v/>
      </c>
      <c r="AC68">
        <f>MAX(0,Plan!$C$5-AB68)+IF(A68=Plan!$C$8,N(Plan!$C$7),0)</f>
        <v/>
      </c>
      <c r="AD68">
        <f>SUM(C68:N68)</f>
        <v/>
      </c>
      <c r="AE68">
        <f>SUM(O68:Z68)</f>
        <v/>
      </c>
      <c r="AF68">
        <f>IFERROR(ROUND(1/SUMPRODUCT(MAX((C67:N67&gt;0)*($C$3:$N$3&lt;=B68)*($C$2:$N$2&gt;AA68)/$C$2:$N$2)),0),0)</f>
        <v/>
      </c>
      <c r="AG68">
        <f>MAX(0,AC68-MAX(0,SUMPRODUCT(($C$2:$N$2=AA68)*(AH68:AS68-$C$7:$N$7))))</f>
        <v/>
      </c>
      <c r="AH68">
        <f>IF(C67&lt;=0,0,ROUND(C67*(1+IF(AND(C$6&gt;0,$B68&lt;C$6),C$4,C$5)/12),2))</f>
        <v/>
      </c>
      <c r="AI68">
        <f>IF(D67&lt;=0,0,ROUND(D67*(1+IF(AND(D$6&gt;0,$B68&lt;D$6),D$4,D$5)/12),2))</f>
        <v/>
      </c>
      <c r="AJ68">
        <f>IF(E67&lt;=0,0,ROUND(E67*(1+IF(AND(E$6&gt;0,$B68&lt;E$6),E$4,E$5)/12),2))</f>
        <v/>
      </c>
      <c r="AK68">
        <f>IF(F67&lt;=0,0,ROUND(F67*(1+IF(AND(F$6&gt;0,$B68&lt;F$6),F$4,F$5)/12),2))</f>
        <v/>
      </c>
      <c r="AL68">
        <f>IF(G67&lt;=0,0,ROUND(G67*(1+IF(AND(G$6&gt;0,$B68&lt;G$6),G$4,G$5)/12),2))</f>
        <v/>
      </c>
      <c r="AM68">
        <f>IF(H67&lt;=0,0,ROUND(H67*(1+IF(AND(H$6&gt;0,$B68&lt;H$6),H$4,H$5)/12),2))</f>
        <v/>
      </c>
      <c r="AN68">
        <f>IF(I67&lt;=0,0,ROUND(I67*(1+IF(AND(I$6&gt;0,$B68&lt;I$6),I$4,I$5)/12),2))</f>
        <v/>
      </c>
      <c r="AO68">
        <f>IF(J67&lt;=0,0,ROUND(J67*(1+IF(AND(J$6&gt;0,$B68&lt;J$6),J$4,J$5)/12),2))</f>
        <v/>
      </c>
      <c r="AP68">
        <f>IF(K67&lt;=0,0,ROUND(K67*(1+IF(AND(K$6&gt;0,$B68&lt;K$6),K$4,K$5)/12),2))</f>
        <v/>
      </c>
      <c r="AQ68">
        <f>IF(L67&lt;=0,0,ROUND(L67*(1+IF(AND(L$6&gt;0,$B68&lt;L$6),L$4,L$5)/12),2))</f>
        <v/>
      </c>
      <c r="AR68">
        <f>IF(M67&lt;=0,0,ROUND(M67*(1+IF(AND(M$6&gt;0,$B68&lt;M$6),M$4,M$5)/12),2))</f>
        <v/>
      </c>
      <c r="AS68">
        <f>IF(N67&lt;=0,0,ROUND(N67*(1+IF(AND(N$6&gt;0,$B68&lt;N$6),N$4,N$5)/12),2))</f>
        <v/>
      </c>
    </row>
    <row r="69">
      <c r="A69" t="n">
        <v>58</v>
      </c>
      <c r="B69">
        <f>EDATE(Plan!$C$6,57)</f>
        <v/>
      </c>
      <c r="C69">
        <f>IF(C68&lt;=0,0,MAX(0,AH69-O69))</f>
        <v/>
      </c>
      <c r="D69">
        <f>IF(D68&lt;=0,0,MAX(0,AI69-P69))</f>
        <v/>
      </c>
      <c r="E69">
        <f>IF(E68&lt;=0,0,MAX(0,AJ69-Q69))</f>
        <v/>
      </c>
      <c r="F69">
        <f>IF(F68&lt;=0,0,MAX(0,AK69-R69))</f>
        <v/>
      </c>
      <c r="G69">
        <f>IF(G68&lt;=0,0,MAX(0,AL69-S69))</f>
        <v/>
      </c>
      <c r="H69">
        <f>IF(H68&lt;=0,0,MAX(0,AM69-T69))</f>
        <v/>
      </c>
      <c r="I69">
        <f>IF(I68&lt;=0,0,MAX(0,AN69-U69))</f>
        <v/>
      </c>
      <c r="J69">
        <f>IF(J68&lt;=0,0,MAX(0,AO69-V69))</f>
        <v/>
      </c>
      <c r="K69">
        <f>IF(K68&lt;=0,0,MAX(0,AP69-W69))</f>
        <v/>
      </c>
      <c r="L69">
        <f>IF(L68&lt;=0,0,MAX(0,AQ69-X69))</f>
        <v/>
      </c>
      <c r="M69">
        <f>IF(M68&lt;=0,0,MAX(0,AR69-Y69))</f>
        <v/>
      </c>
      <c r="N69">
        <f>IF(N68&lt;=0,0,MAX(0,AS69-Z69))</f>
        <v/>
      </c>
      <c r="O69">
        <f>IF(C68&lt;=0,0,MIN(AH69,C$7+IF(C$2=$AA69,$AC69,IF(C$2=$AF69,$AG69,0))))</f>
        <v/>
      </c>
      <c r="P69">
        <f>IF(D68&lt;=0,0,MIN(AI69,D$7+IF(D$2=$AA69,$AC69,IF(D$2=$AF69,$AG69,0))))</f>
        <v/>
      </c>
      <c r="Q69">
        <f>IF(E68&lt;=0,0,MIN(AJ69,E$7+IF(E$2=$AA69,$AC69,IF(E$2=$AF69,$AG69,0))))</f>
        <v/>
      </c>
      <c r="R69">
        <f>IF(F68&lt;=0,0,MIN(AK69,F$7+IF(F$2=$AA69,$AC69,IF(F$2=$AF69,$AG69,0))))</f>
        <v/>
      </c>
      <c r="S69">
        <f>IF(G68&lt;=0,0,MIN(AL69,G$7+IF(G$2=$AA69,$AC69,IF(G$2=$AF69,$AG69,0))))</f>
        <v/>
      </c>
      <c r="T69">
        <f>IF(H68&lt;=0,0,MIN(AM69,H$7+IF(H$2=$AA69,$AC69,IF(H$2=$AF69,$AG69,0))))</f>
        <v/>
      </c>
      <c r="U69">
        <f>IF(I68&lt;=0,0,MIN(AN69,I$7+IF(I$2=$AA69,$AC69,IF(I$2=$AF69,$AG69,0))))</f>
        <v/>
      </c>
      <c r="V69">
        <f>IF(J68&lt;=0,0,MIN(AO69,J$7+IF(J$2=$AA69,$AC69,IF(J$2=$AF69,$AG69,0))))</f>
        <v/>
      </c>
      <c r="W69">
        <f>IF(K68&lt;=0,0,MIN(AP69,K$7+IF(K$2=$AA69,$AC69,IF(K$2=$AF69,$AG69,0))))</f>
        <v/>
      </c>
      <c r="X69">
        <f>IF(L68&lt;=0,0,MIN(AQ69,L$7+IF(L$2=$AA69,$AC69,IF(L$2=$AF69,$AG69,0))))</f>
        <v/>
      </c>
      <c r="Y69">
        <f>IF(M68&lt;=0,0,MIN(AR69,M$7+IF(M$2=$AA69,$AC69,IF(M$2=$AF69,$AG69,0))))</f>
        <v/>
      </c>
      <c r="Z69">
        <f>IF(N68&lt;=0,0,MIN(AS69,N$7+IF(N$2=$AA69,$AC69,IF(N$2=$AF69,$AG69,0))))</f>
        <v/>
      </c>
      <c r="AA69">
        <f>IFERROR(ROUND(1/SUMPRODUCT(MAX((C68:N68&gt;0)*($C$3:$N$3&lt;=B69)/$C$2:$N$2)),0),0)</f>
        <v/>
      </c>
      <c r="AB69">
        <f>SUMPRODUCT((C68:N68&gt;0)*$C$7:$N$7)</f>
        <v/>
      </c>
      <c r="AC69">
        <f>MAX(0,Plan!$C$5-AB69)+IF(A69=Plan!$C$8,N(Plan!$C$7),0)</f>
        <v/>
      </c>
      <c r="AD69">
        <f>SUM(C69:N69)</f>
        <v/>
      </c>
      <c r="AE69">
        <f>SUM(O69:Z69)</f>
        <v/>
      </c>
      <c r="AF69">
        <f>IFERROR(ROUND(1/SUMPRODUCT(MAX((C68:N68&gt;0)*($C$3:$N$3&lt;=B69)*($C$2:$N$2&gt;AA69)/$C$2:$N$2)),0),0)</f>
        <v/>
      </c>
      <c r="AG69">
        <f>MAX(0,AC69-MAX(0,SUMPRODUCT(($C$2:$N$2=AA69)*(AH69:AS69-$C$7:$N$7))))</f>
        <v/>
      </c>
      <c r="AH69">
        <f>IF(C68&lt;=0,0,ROUND(C68*(1+IF(AND(C$6&gt;0,$B69&lt;C$6),C$4,C$5)/12),2))</f>
        <v/>
      </c>
      <c r="AI69">
        <f>IF(D68&lt;=0,0,ROUND(D68*(1+IF(AND(D$6&gt;0,$B69&lt;D$6),D$4,D$5)/12),2))</f>
        <v/>
      </c>
      <c r="AJ69">
        <f>IF(E68&lt;=0,0,ROUND(E68*(1+IF(AND(E$6&gt;0,$B69&lt;E$6),E$4,E$5)/12),2))</f>
        <v/>
      </c>
      <c r="AK69">
        <f>IF(F68&lt;=0,0,ROUND(F68*(1+IF(AND(F$6&gt;0,$B69&lt;F$6),F$4,F$5)/12),2))</f>
        <v/>
      </c>
      <c r="AL69">
        <f>IF(G68&lt;=0,0,ROUND(G68*(1+IF(AND(G$6&gt;0,$B69&lt;G$6),G$4,G$5)/12),2))</f>
        <v/>
      </c>
      <c r="AM69">
        <f>IF(H68&lt;=0,0,ROUND(H68*(1+IF(AND(H$6&gt;0,$B69&lt;H$6),H$4,H$5)/12),2))</f>
        <v/>
      </c>
      <c r="AN69">
        <f>IF(I68&lt;=0,0,ROUND(I68*(1+IF(AND(I$6&gt;0,$B69&lt;I$6),I$4,I$5)/12),2))</f>
        <v/>
      </c>
      <c r="AO69">
        <f>IF(J68&lt;=0,0,ROUND(J68*(1+IF(AND(J$6&gt;0,$B69&lt;J$6),J$4,J$5)/12),2))</f>
        <v/>
      </c>
      <c r="AP69">
        <f>IF(K68&lt;=0,0,ROUND(K68*(1+IF(AND(K$6&gt;0,$B69&lt;K$6),K$4,K$5)/12),2))</f>
        <v/>
      </c>
      <c r="AQ69">
        <f>IF(L68&lt;=0,0,ROUND(L68*(1+IF(AND(L$6&gt;0,$B69&lt;L$6),L$4,L$5)/12),2))</f>
        <v/>
      </c>
      <c r="AR69">
        <f>IF(M68&lt;=0,0,ROUND(M68*(1+IF(AND(M$6&gt;0,$B69&lt;M$6),M$4,M$5)/12),2))</f>
        <v/>
      </c>
      <c r="AS69">
        <f>IF(N68&lt;=0,0,ROUND(N68*(1+IF(AND(N$6&gt;0,$B69&lt;N$6),N$4,N$5)/12),2))</f>
        <v/>
      </c>
    </row>
    <row r="70">
      <c r="A70" t="n">
        <v>59</v>
      </c>
      <c r="B70">
        <f>EDATE(Plan!$C$6,58)</f>
        <v/>
      </c>
      <c r="C70">
        <f>IF(C69&lt;=0,0,MAX(0,AH70-O70))</f>
        <v/>
      </c>
      <c r="D70">
        <f>IF(D69&lt;=0,0,MAX(0,AI70-P70))</f>
        <v/>
      </c>
      <c r="E70">
        <f>IF(E69&lt;=0,0,MAX(0,AJ70-Q70))</f>
        <v/>
      </c>
      <c r="F70">
        <f>IF(F69&lt;=0,0,MAX(0,AK70-R70))</f>
        <v/>
      </c>
      <c r="G70">
        <f>IF(G69&lt;=0,0,MAX(0,AL70-S70))</f>
        <v/>
      </c>
      <c r="H70">
        <f>IF(H69&lt;=0,0,MAX(0,AM70-T70))</f>
        <v/>
      </c>
      <c r="I70">
        <f>IF(I69&lt;=0,0,MAX(0,AN70-U70))</f>
        <v/>
      </c>
      <c r="J70">
        <f>IF(J69&lt;=0,0,MAX(0,AO70-V70))</f>
        <v/>
      </c>
      <c r="K70">
        <f>IF(K69&lt;=0,0,MAX(0,AP70-W70))</f>
        <v/>
      </c>
      <c r="L70">
        <f>IF(L69&lt;=0,0,MAX(0,AQ70-X70))</f>
        <v/>
      </c>
      <c r="M70">
        <f>IF(M69&lt;=0,0,MAX(0,AR70-Y70))</f>
        <v/>
      </c>
      <c r="N70">
        <f>IF(N69&lt;=0,0,MAX(0,AS70-Z70))</f>
        <v/>
      </c>
      <c r="O70">
        <f>IF(C69&lt;=0,0,MIN(AH70,C$7+IF(C$2=$AA70,$AC70,IF(C$2=$AF70,$AG70,0))))</f>
        <v/>
      </c>
      <c r="P70">
        <f>IF(D69&lt;=0,0,MIN(AI70,D$7+IF(D$2=$AA70,$AC70,IF(D$2=$AF70,$AG70,0))))</f>
        <v/>
      </c>
      <c r="Q70">
        <f>IF(E69&lt;=0,0,MIN(AJ70,E$7+IF(E$2=$AA70,$AC70,IF(E$2=$AF70,$AG70,0))))</f>
        <v/>
      </c>
      <c r="R70">
        <f>IF(F69&lt;=0,0,MIN(AK70,F$7+IF(F$2=$AA70,$AC70,IF(F$2=$AF70,$AG70,0))))</f>
        <v/>
      </c>
      <c r="S70">
        <f>IF(G69&lt;=0,0,MIN(AL70,G$7+IF(G$2=$AA70,$AC70,IF(G$2=$AF70,$AG70,0))))</f>
        <v/>
      </c>
      <c r="T70">
        <f>IF(H69&lt;=0,0,MIN(AM70,H$7+IF(H$2=$AA70,$AC70,IF(H$2=$AF70,$AG70,0))))</f>
        <v/>
      </c>
      <c r="U70">
        <f>IF(I69&lt;=0,0,MIN(AN70,I$7+IF(I$2=$AA70,$AC70,IF(I$2=$AF70,$AG70,0))))</f>
        <v/>
      </c>
      <c r="V70">
        <f>IF(J69&lt;=0,0,MIN(AO70,J$7+IF(J$2=$AA70,$AC70,IF(J$2=$AF70,$AG70,0))))</f>
        <v/>
      </c>
      <c r="W70">
        <f>IF(K69&lt;=0,0,MIN(AP70,K$7+IF(K$2=$AA70,$AC70,IF(K$2=$AF70,$AG70,0))))</f>
        <v/>
      </c>
      <c r="X70">
        <f>IF(L69&lt;=0,0,MIN(AQ70,L$7+IF(L$2=$AA70,$AC70,IF(L$2=$AF70,$AG70,0))))</f>
        <v/>
      </c>
      <c r="Y70">
        <f>IF(M69&lt;=0,0,MIN(AR70,M$7+IF(M$2=$AA70,$AC70,IF(M$2=$AF70,$AG70,0))))</f>
        <v/>
      </c>
      <c r="Z70">
        <f>IF(N69&lt;=0,0,MIN(AS70,N$7+IF(N$2=$AA70,$AC70,IF(N$2=$AF70,$AG70,0))))</f>
        <v/>
      </c>
      <c r="AA70">
        <f>IFERROR(ROUND(1/SUMPRODUCT(MAX((C69:N69&gt;0)*($C$3:$N$3&lt;=B70)/$C$2:$N$2)),0),0)</f>
        <v/>
      </c>
      <c r="AB70">
        <f>SUMPRODUCT((C69:N69&gt;0)*$C$7:$N$7)</f>
        <v/>
      </c>
      <c r="AC70">
        <f>MAX(0,Plan!$C$5-AB70)+IF(A70=Plan!$C$8,N(Plan!$C$7),0)</f>
        <v/>
      </c>
      <c r="AD70">
        <f>SUM(C70:N70)</f>
        <v/>
      </c>
      <c r="AE70">
        <f>SUM(O70:Z70)</f>
        <v/>
      </c>
      <c r="AF70">
        <f>IFERROR(ROUND(1/SUMPRODUCT(MAX((C69:N69&gt;0)*($C$3:$N$3&lt;=B70)*($C$2:$N$2&gt;AA70)/$C$2:$N$2)),0),0)</f>
        <v/>
      </c>
      <c r="AG70">
        <f>MAX(0,AC70-MAX(0,SUMPRODUCT(($C$2:$N$2=AA70)*(AH70:AS70-$C$7:$N$7))))</f>
        <v/>
      </c>
      <c r="AH70">
        <f>IF(C69&lt;=0,0,ROUND(C69*(1+IF(AND(C$6&gt;0,$B70&lt;C$6),C$4,C$5)/12),2))</f>
        <v/>
      </c>
      <c r="AI70">
        <f>IF(D69&lt;=0,0,ROUND(D69*(1+IF(AND(D$6&gt;0,$B70&lt;D$6),D$4,D$5)/12),2))</f>
        <v/>
      </c>
      <c r="AJ70">
        <f>IF(E69&lt;=0,0,ROUND(E69*(1+IF(AND(E$6&gt;0,$B70&lt;E$6),E$4,E$5)/12),2))</f>
        <v/>
      </c>
      <c r="AK70">
        <f>IF(F69&lt;=0,0,ROUND(F69*(1+IF(AND(F$6&gt;0,$B70&lt;F$6),F$4,F$5)/12),2))</f>
        <v/>
      </c>
      <c r="AL70">
        <f>IF(G69&lt;=0,0,ROUND(G69*(1+IF(AND(G$6&gt;0,$B70&lt;G$6),G$4,G$5)/12),2))</f>
        <v/>
      </c>
      <c r="AM70">
        <f>IF(H69&lt;=0,0,ROUND(H69*(1+IF(AND(H$6&gt;0,$B70&lt;H$6),H$4,H$5)/12),2))</f>
        <v/>
      </c>
      <c r="AN70">
        <f>IF(I69&lt;=0,0,ROUND(I69*(1+IF(AND(I$6&gt;0,$B70&lt;I$6),I$4,I$5)/12),2))</f>
        <v/>
      </c>
      <c r="AO70">
        <f>IF(J69&lt;=0,0,ROUND(J69*(1+IF(AND(J$6&gt;0,$B70&lt;J$6),J$4,J$5)/12),2))</f>
        <v/>
      </c>
      <c r="AP70">
        <f>IF(K69&lt;=0,0,ROUND(K69*(1+IF(AND(K$6&gt;0,$B70&lt;K$6),K$4,K$5)/12),2))</f>
        <v/>
      </c>
      <c r="AQ70">
        <f>IF(L69&lt;=0,0,ROUND(L69*(1+IF(AND(L$6&gt;0,$B70&lt;L$6),L$4,L$5)/12),2))</f>
        <v/>
      </c>
      <c r="AR70">
        <f>IF(M69&lt;=0,0,ROUND(M69*(1+IF(AND(M$6&gt;0,$B70&lt;M$6),M$4,M$5)/12),2))</f>
        <v/>
      </c>
      <c r="AS70">
        <f>IF(N69&lt;=0,0,ROUND(N69*(1+IF(AND(N$6&gt;0,$B70&lt;N$6),N$4,N$5)/12),2))</f>
        <v/>
      </c>
    </row>
    <row r="71">
      <c r="A71" t="n">
        <v>60</v>
      </c>
      <c r="B71">
        <f>EDATE(Plan!$C$6,59)</f>
        <v/>
      </c>
      <c r="C71">
        <f>IF(C70&lt;=0,0,MAX(0,AH71-O71))</f>
        <v/>
      </c>
      <c r="D71">
        <f>IF(D70&lt;=0,0,MAX(0,AI71-P71))</f>
        <v/>
      </c>
      <c r="E71">
        <f>IF(E70&lt;=0,0,MAX(0,AJ71-Q71))</f>
        <v/>
      </c>
      <c r="F71">
        <f>IF(F70&lt;=0,0,MAX(0,AK71-R71))</f>
        <v/>
      </c>
      <c r="G71">
        <f>IF(G70&lt;=0,0,MAX(0,AL71-S71))</f>
        <v/>
      </c>
      <c r="H71">
        <f>IF(H70&lt;=0,0,MAX(0,AM71-T71))</f>
        <v/>
      </c>
      <c r="I71">
        <f>IF(I70&lt;=0,0,MAX(0,AN71-U71))</f>
        <v/>
      </c>
      <c r="J71">
        <f>IF(J70&lt;=0,0,MAX(0,AO71-V71))</f>
        <v/>
      </c>
      <c r="K71">
        <f>IF(K70&lt;=0,0,MAX(0,AP71-W71))</f>
        <v/>
      </c>
      <c r="L71">
        <f>IF(L70&lt;=0,0,MAX(0,AQ71-X71))</f>
        <v/>
      </c>
      <c r="M71">
        <f>IF(M70&lt;=0,0,MAX(0,AR71-Y71))</f>
        <v/>
      </c>
      <c r="N71">
        <f>IF(N70&lt;=0,0,MAX(0,AS71-Z71))</f>
        <v/>
      </c>
      <c r="O71">
        <f>IF(C70&lt;=0,0,MIN(AH71,C$7+IF(C$2=$AA71,$AC71,IF(C$2=$AF71,$AG71,0))))</f>
        <v/>
      </c>
      <c r="P71">
        <f>IF(D70&lt;=0,0,MIN(AI71,D$7+IF(D$2=$AA71,$AC71,IF(D$2=$AF71,$AG71,0))))</f>
        <v/>
      </c>
      <c r="Q71">
        <f>IF(E70&lt;=0,0,MIN(AJ71,E$7+IF(E$2=$AA71,$AC71,IF(E$2=$AF71,$AG71,0))))</f>
        <v/>
      </c>
      <c r="R71">
        <f>IF(F70&lt;=0,0,MIN(AK71,F$7+IF(F$2=$AA71,$AC71,IF(F$2=$AF71,$AG71,0))))</f>
        <v/>
      </c>
      <c r="S71">
        <f>IF(G70&lt;=0,0,MIN(AL71,G$7+IF(G$2=$AA71,$AC71,IF(G$2=$AF71,$AG71,0))))</f>
        <v/>
      </c>
      <c r="T71">
        <f>IF(H70&lt;=0,0,MIN(AM71,H$7+IF(H$2=$AA71,$AC71,IF(H$2=$AF71,$AG71,0))))</f>
        <v/>
      </c>
      <c r="U71">
        <f>IF(I70&lt;=0,0,MIN(AN71,I$7+IF(I$2=$AA71,$AC71,IF(I$2=$AF71,$AG71,0))))</f>
        <v/>
      </c>
      <c r="V71">
        <f>IF(J70&lt;=0,0,MIN(AO71,J$7+IF(J$2=$AA71,$AC71,IF(J$2=$AF71,$AG71,0))))</f>
        <v/>
      </c>
      <c r="W71">
        <f>IF(K70&lt;=0,0,MIN(AP71,K$7+IF(K$2=$AA71,$AC71,IF(K$2=$AF71,$AG71,0))))</f>
        <v/>
      </c>
      <c r="X71">
        <f>IF(L70&lt;=0,0,MIN(AQ71,L$7+IF(L$2=$AA71,$AC71,IF(L$2=$AF71,$AG71,0))))</f>
        <v/>
      </c>
      <c r="Y71">
        <f>IF(M70&lt;=0,0,MIN(AR71,M$7+IF(M$2=$AA71,$AC71,IF(M$2=$AF71,$AG71,0))))</f>
        <v/>
      </c>
      <c r="Z71">
        <f>IF(N70&lt;=0,0,MIN(AS71,N$7+IF(N$2=$AA71,$AC71,IF(N$2=$AF71,$AG71,0))))</f>
        <v/>
      </c>
      <c r="AA71">
        <f>IFERROR(ROUND(1/SUMPRODUCT(MAX((C70:N70&gt;0)*($C$3:$N$3&lt;=B71)/$C$2:$N$2)),0),0)</f>
        <v/>
      </c>
      <c r="AB71">
        <f>SUMPRODUCT((C70:N70&gt;0)*$C$7:$N$7)</f>
        <v/>
      </c>
      <c r="AC71">
        <f>MAX(0,Plan!$C$5-AB71)+IF(A71=Plan!$C$8,N(Plan!$C$7),0)</f>
        <v/>
      </c>
      <c r="AD71">
        <f>SUM(C71:N71)</f>
        <v/>
      </c>
      <c r="AE71">
        <f>SUM(O71:Z71)</f>
        <v/>
      </c>
      <c r="AF71">
        <f>IFERROR(ROUND(1/SUMPRODUCT(MAX((C70:N70&gt;0)*($C$3:$N$3&lt;=B71)*($C$2:$N$2&gt;AA71)/$C$2:$N$2)),0),0)</f>
        <v/>
      </c>
      <c r="AG71">
        <f>MAX(0,AC71-MAX(0,SUMPRODUCT(($C$2:$N$2=AA71)*(AH71:AS71-$C$7:$N$7))))</f>
        <v/>
      </c>
      <c r="AH71">
        <f>IF(C70&lt;=0,0,ROUND(C70*(1+IF(AND(C$6&gt;0,$B71&lt;C$6),C$4,C$5)/12),2))</f>
        <v/>
      </c>
      <c r="AI71">
        <f>IF(D70&lt;=0,0,ROUND(D70*(1+IF(AND(D$6&gt;0,$B71&lt;D$6),D$4,D$5)/12),2))</f>
        <v/>
      </c>
      <c r="AJ71">
        <f>IF(E70&lt;=0,0,ROUND(E70*(1+IF(AND(E$6&gt;0,$B71&lt;E$6),E$4,E$5)/12),2))</f>
        <v/>
      </c>
      <c r="AK71">
        <f>IF(F70&lt;=0,0,ROUND(F70*(1+IF(AND(F$6&gt;0,$B71&lt;F$6),F$4,F$5)/12),2))</f>
        <v/>
      </c>
      <c r="AL71">
        <f>IF(G70&lt;=0,0,ROUND(G70*(1+IF(AND(G$6&gt;0,$B71&lt;G$6),G$4,G$5)/12),2))</f>
        <v/>
      </c>
      <c r="AM71">
        <f>IF(H70&lt;=0,0,ROUND(H70*(1+IF(AND(H$6&gt;0,$B71&lt;H$6),H$4,H$5)/12),2))</f>
        <v/>
      </c>
      <c r="AN71">
        <f>IF(I70&lt;=0,0,ROUND(I70*(1+IF(AND(I$6&gt;0,$B71&lt;I$6),I$4,I$5)/12),2))</f>
        <v/>
      </c>
      <c r="AO71">
        <f>IF(J70&lt;=0,0,ROUND(J70*(1+IF(AND(J$6&gt;0,$B71&lt;J$6),J$4,J$5)/12),2))</f>
        <v/>
      </c>
      <c r="AP71">
        <f>IF(K70&lt;=0,0,ROUND(K70*(1+IF(AND(K$6&gt;0,$B71&lt;K$6),K$4,K$5)/12),2))</f>
        <v/>
      </c>
      <c r="AQ71">
        <f>IF(L70&lt;=0,0,ROUND(L70*(1+IF(AND(L$6&gt;0,$B71&lt;L$6),L$4,L$5)/12),2))</f>
        <v/>
      </c>
      <c r="AR71">
        <f>IF(M70&lt;=0,0,ROUND(M70*(1+IF(AND(M$6&gt;0,$B71&lt;M$6),M$4,M$5)/12),2))</f>
        <v/>
      </c>
      <c r="AS71">
        <f>IF(N70&lt;=0,0,ROUND(N70*(1+IF(AND(N$6&gt;0,$B71&lt;N$6),N$4,N$5)/12),2))</f>
        <v/>
      </c>
    </row>
    <row r="72">
      <c r="A72" t="n">
        <v>61</v>
      </c>
      <c r="B72">
        <f>EDATE(Plan!$C$6,60)</f>
        <v/>
      </c>
      <c r="C72">
        <f>IF(C71&lt;=0,0,MAX(0,AH72-O72))</f>
        <v/>
      </c>
      <c r="D72">
        <f>IF(D71&lt;=0,0,MAX(0,AI72-P72))</f>
        <v/>
      </c>
      <c r="E72">
        <f>IF(E71&lt;=0,0,MAX(0,AJ72-Q72))</f>
        <v/>
      </c>
      <c r="F72">
        <f>IF(F71&lt;=0,0,MAX(0,AK72-R72))</f>
        <v/>
      </c>
      <c r="G72">
        <f>IF(G71&lt;=0,0,MAX(0,AL72-S72))</f>
        <v/>
      </c>
      <c r="H72">
        <f>IF(H71&lt;=0,0,MAX(0,AM72-T72))</f>
        <v/>
      </c>
      <c r="I72">
        <f>IF(I71&lt;=0,0,MAX(0,AN72-U72))</f>
        <v/>
      </c>
      <c r="J72">
        <f>IF(J71&lt;=0,0,MAX(0,AO72-V72))</f>
        <v/>
      </c>
      <c r="K72">
        <f>IF(K71&lt;=0,0,MAX(0,AP72-W72))</f>
        <v/>
      </c>
      <c r="L72">
        <f>IF(L71&lt;=0,0,MAX(0,AQ72-X72))</f>
        <v/>
      </c>
      <c r="M72">
        <f>IF(M71&lt;=0,0,MAX(0,AR72-Y72))</f>
        <v/>
      </c>
      <c r="N72">
        <f>IF(N71&lt;=0,0,MAX(0,AS72-Z72))</f>
        <v/>
      </c>
      <c r="O72">
        <f>IF(C71&lt;=0,0,MIN(AH72,C$7+IF(C$2=$AA72,$AC72,IF(C$2=$AF72,$AG72,0))))</f>
        <v/>
      </c>
      <c r="P72">
        <f>IF(D71&lt;=0,0,MIN(AI72,D$7+IF(D$2=$AA72,$AC72,IF(D$2=$AF72,$AG72,0))))</f>
        <v/>
      </c>
      <c r="Q72">
        <f>IF(E71&lt;=0,0,MIN(AJ72,E$7+IF(E$2=$AA72,$AC72,IF(E$2=$AF72,$AG72,0))))</f>
        <v/>
      </c>
      <c r="R72">
        <f>IF(F71&lt;=0,0,MIN(AK72,F$7+IF(F$2=$AA72,$AC72,IF(F$2=$AF72,$AG72,0))))</f>
        <v/>
      </c>
      <c r="S72">
        <f>IF(G71&lt;=0,0,MIN(AL72,G$7+IF(G$2=$AA72,$AC72,IF(G$2=$AF72,$AG72,0))))</f>
        <v/>
      </c>
      <c r="T72">
        <f>IF(H71&lt;=0,0,MIN(AM72,H$7+IF(H$2=$AA72,$AC72,IF(H$2=$AF72,$AG72,0))))</f>
        <v/>
      </c>
      <c r="U72">
        <f>IF(I71&lt;=0,0,MIN(AN72,I$7+IF(I$2=$AA72,$AC72,IF(I$2=$AF72,$AG72,0))))</f>
        <v/>
      </c>
      <c r="V72">
        <f>IF(J71&lt;=0,0,MIN(AO72,J$7+IF(J$2=$AA72,$AC72,IF(J$2=$AF72,$AG72,0))))</f>
        <v/>
      </c>
      <c r="W72">
        <f>IF(K71&lt;=0,0,MIN(AP72,K$7+IF(K$2=$AA72,$AC72,IF(K$2=$AF72,$AG72,0))))</f>
        <v/>
      </c>
      <c r="X72">
        <f>IF(L71&lt;=0,0,MIN(AQ72,L$7+IF(L$2=$AA72,$AC72,IF(L$2=$AF72,$AG72,0))))</f>
        <v/>
      </c>
      <c r="Y72">
        <f>IF(M71&lt;=0,0,MIN(AR72,M$7+IF(M$2=$AA72,$AC72,IF(M$2=$AF72,$AG72,0))))</f>
        <v/>
      </c>
      <c r="Z72">
        <f>IF(N71&lt;=0,0,MIN(AS72,N$7+IF(N$2=$AA72,$AC72,IF(N$2=$AF72,$AG72,0))))</f>
        <v/>
      </c>
      <c r="AA72">
        <f>IFERROR(ROUND(1/SUMPRODUCT(MAX((C71:N71&gt;0)*($C$3:$N$3&lt;=B72)/$C$2:$N$2)),0),0)</f>
        <v/>
      </c>
      <c r="AB72">
        <f>SUMPRODUCT((C71:N71&gt;0)*$C$7:$N$7)</f>
        <v/>
      </c>
      <c r="AC72">
        <f>MAX(0,Plan!$C$5-AB72)+IF(A72=Plan!$C$8,N(Plan!$C$7),0)</f>
        <v/>
      </c>
      <c r="AD72">
        <f>SUM(C72:N72)</f>
        <v/>
      </c>
      <c r="AE72">
        <f>SUM(O72:Z72)</f>
        <v/>
      </c>
      <c r="AF72">
        <f>IFERROR(ROUND(1/SUMPRODUCT(MAX((C71:N71&gt;0)*($C$3:$N$3&lt;=B72)*($C$2:$N$2&gt;AA72)/$C$2:$N$2)),0),0)</f>
        <v/>
      </c>
      <c r="AG72">
        <f>MAX(0,AC72-MAX(0,SUMPRODUCT(($C$2:$N$2=AA72)*(AH72:AS72-$C$7:$N$7))))</f>
        <v/>
      </c>
      <c r="AH72">
        <f>IF(C71&lt;=0,0,ROUND(C71*(1+IF(AND(C$6&gt;0,$B72&lt;C$6),C$4,C$5)/12),2))</f>
        <v/>
      </c>
      <c r="AI72">
        <f>IF(D71&lt;=0,0,ROUND(D71*(1+IF(AND(D$6&gt;0,$B72&lt;D$6),D$4,D$5)/12),2))</f>
        <v/>
      </c>
      <c r="AJ72">
        <f>IF(E71&lt;=0,0,ROUND(E71*(1+IF(AND(E$6&gt;0,$B72&lt;E$6),E$4,E$5)/12),2))</f>
        <v/>
      </c>
      <c r="AK72">
        <f>IF(F71&lt;=0,0,ROUND(F71*(1+IF(AND(F$6&gt;0,$B72&lt;F$6),F$4,F$5)/12),2))</f>
        <v/>
      </c>
      <c r="AL72">
        <f>IF(G71&lt;=0,0,ROUND(G71*(1+IF(AND(G$6&gt;0,$B72&lt;G$6),G$4,G$5)/12),2))</f>
        <v/>
      </c>
      <c r="AM72">
        <f>IF(H71&lt;=0,0,ROUND(H71*(1+IF(AND(H$6&gt;0,$B72&lt;H$6),H$4,H$5)/12),2))</f>
        <v/>
      </c>
      <c r="AN72">
        <f>IF(I71&lt;=0,0,ROUND(I71*(1+IF(AND(I$6&gt;0,$B72&lt;I$6),I$4,I$5)/12),2))</f>
        <v/>
      </c>
      <c r="AO72">
        <f>IF(J71&lt;=0,0,ROUND(J71*(1+IF(AND(J$6&gt;0,$B72&lt;J$6),J$4,J$5)/12),2))</f>
        <v/>
      </c>
      <c r="AP72">
        <f>IF(K71&lt;=0,0,ROUND(K71*(1+IF(AND(K$6&gt;0,$B72&lt;K$6),K$4,K$5)/12),2))</f>
        <v/>
      </c>
      <c r="AQ72">
        <f>IF(L71&lt;=0,0,ROUND(L71*(1+IF(AND(L$6&gt;0,$B72&lt;L$6),L$4,L$5)/12),2))</f>
        <v/>
      </c>
      <c r="AR72">
        <f>IF(M71&lt;=0,0,ROUND(M71*(1+IF(AND(M$6&gt;0,$B72&lt;M$6),M$4,M$5)/12),2))</f>
        <v/>
      </c>
      <c r="AS72">
        <f>IF(N71&lt;=0,0,ROUND(N71*(1+IF(AND(N$6&gt;0,$B72&lt;N$6),N$4,N$5)/12),2))</f>
        <v/>
      </c>
    </row>
    <row r="73">
      <c r="A73" t="n">
        <v>62</v>
      </c>
      <c r="B73">
        <f>EDATE(Plan!$C$6,61)</f>
        <v/>
      </c>
      <c r="C73">
        <f>IF(C72&lt;=0,0,MAX(0,AH73-O73))</f>
        <v/>
      </c>
      <c r="D73">
        <f>IF(D72&lt;=0,0,MAX(0,AI73-P73))</f>
        <v/>
      </c>
      <c r="E73">
        <f>IF(E72&lt;=0,0,MAX(0,AJ73-Q73))</f>
        <v/>
      </c>
      <c r="F73">
        <f>IF(F72&lt;=0,0,MAX(0,AK73-R73))</f>
        <v/>
      </c>
      <c r="G73">
        <f>IF(G72&lt;=0,0,MAX(0,AL73-S73))</f>
        <v/>
      </c>
      <c r="H73">
        <f>IF(H72&lt;=0,0,MAX(0,AM73-T73))</f>
        <v/>
      </c>
      <c r="I73">
        <f>IF(I72&lt;=0,0,MAX(0,AN73-U73))</f>
        <v/>
      </c>
      <c r="J73">
        <f>IF(J72&lt;=0,0,MAX(0,AO73-V73))</f>
        <v/>
      </c>
      <c r="K73">
        <f>IF(K72&lt;=0,0,MAX(0,AP73-W73))</f>
        <v/>
      </c>
      <c r="L73">
        <f>IF(L72&lt;=0,0,MAX(0,AQ73-X73))</f>
        <v/>
      </c>
      <c r="M73">
        <f>IF(M72&lt;=0,0,MAX(0,AR73-Y73))</f>
        <v/>
      </c>
      <c r="N73">
        <f>IF(N72&lt;=0,0,MAX(0,AS73-Z73))</f>
        <v/>
      </c>
      <c r="O73">
        <f>IF(C72&lt;=0,0,MIN(AH73,C$7+IF(C$2=$AA73,$AC73,IF(C$2=$AF73,$AG73,0))))</f>
        <v/>
      </c>
      <c r="P73">
        <f>IF(D72&lt;=0,0,MIN(AI73,D$7+IF(D$2=$AA73,$AC73,IF(D$2=$AF73,$AG73,0))))</f>
        <v/>
      </c>
      <c r="Q73">
        <f>IF(E72&lt;=0,0,MIN(AJ73,E$7+IF(E$2=$AA73,$AC73,IF(E$2=$AF73,$AG73,0))))</f>
        <v/>
      </c>
      <c r="R73">
        <f>IF(F72&lt;=0,0,MIN(AK73,F$7+IF(F$2=$AA73,$AC73,IF(F$2=$AF73,$AG73,0))))</f>
        <v/>
      </c>
      <c r="S73">
        <f>IF(G72&lt;=0,0,MIN(AL73,G$7+IF(G$2=$AA73,$AC73,IF(G$2=$AF73,$AG73,0))))</f>
        <v/>
      </c>
      <c r="T73">
        <f>IF(H72&lt;=0,0,MIN(AM73,H$7+IF(H$2=$AA73,$AC73,IF(H$2=$AF73,$AG73,0))))</f>
        <v/>
      </c>
      <c r="U73">
        <f>IF(I72&lt;=0,0,MIN(AN73,I$7+IF(I$2=$AA73,$AC73,IF(I$2=$AF73,$AG73,0))))</f>
        <v/>
      </c>
      <c r="V73">
        <f>IF(J72&lt;=0,0,MIN(AO73,J$7+IF(J$2=$AA73,$AC73,IF(J$2=$AF73,$AG73,0))))</f>
        <v/>
      </c>
      <c r="W73">
        <f>IF(K72&lt;=0,0,MIN(AP73,K$7+IF(K$2=$AA73,$AC73,IF(K$2=$AF73,$AG73,0))))</f>
        <v/>
      </c>
      <c r="X73">
        <f>IF(L72&lt;=0,0,MIN(AQ73,L$7+IF(L$2=$AA73,$AC73,IF(L$2=$AF73,$AG73,0))))</f>
        <v/>
      </c>
      <c r="Y73">
        <f>IF(M72&lt;=0,0,MIN(AR73,M$7+IF(M$2=$AA73,$AC73,IF(M$2=$AF73,$AG73,0))))</f>
        <v/>
      </c>
      <c r="Z73">
        <f>IF(N72&lt;=0,0,MIN(AS73,N$7+IF(N$2=$AA73,$AC73,IF(N$2=$AF73,$AG73,0))))</f>
        <v/>
      </c>
      <c r="AA73">
        <f>IFERROR(ROUND(1/SUMPRODUCT(MAX((C72:N72&gt;0)*($C$3:$N$3&lt;=B73)/$C$2:$N$2)),0),0)</f>
        <v/>
      </c>
      <c r="AB73">
        <f>SUMPRODUCT((C72:N72&gt;0)*$C$7:$N$7)</f>
        <v/>
      </c>
      <c r="AC73">
        <f>MAX(0,Plan!$C$5-AB73)+IF(A73=Plan!$C$8,N(Plan!$C$7),0)</f>
        <v/>
      </c>
      <c r="AD73">
        <f>SUM(C73:N73)</f>
        <v/>
      </c>
      <c r="AE73">
        <f>SUM(O73:Z73)</f>
        <v/>
      </c>
      <c r="AF73">
        <f>IFERROR(ROUND(1/SUMPRODUCT(MAX((C72:N72&gt;0)*($C$3:$N$3&lt;=B73)*($C$2:$N$2&gt;AA73)/$C$2:$N$2)),0),0)</f>
        <v/>
      </c>
      <c r="AG73">
        <f>MAX(0,AC73-MAX(0,SUMPRODUCT(($C$2:$N$2=AA73)*(AH73:AS73-$C$7:$N$7))))</f>
        <v/>
      </c>
      <c r="AH73">
        <f>IF(C72&lt;=0,0,ROUND(C72*(1+IF(AND(C$6&gt;0,$B73&lt;C$6),C$4,C$5)/12),2))</f>
        <v/>
      </c>
      <c r="AI73">
        <f>IF(D72&lt;=0,0,ROUND(D72*(1+IF(AND(D$6&gt;0,$B73&lt;D$6),D$4,D$5)/12),2))</f>
        <v/>
      </c>
      <c r="AJ73">
        <f>IF(E72&lt;=0,0,ROUND(E72*(1+IF(AND(E$6&gt;0,$B73&lt;E$6),E$4,E$5)/12),2))</f>
        <v/>
      </c>
      <c r="AK73">
        <f>IF(F72&lt;=0,0,ROUND(F72*(1+IF(AND(F$6&gt;0,$B73&lt;F$6),F$4,F$5)/12),2))</f>
        <v/>
      </c>
      <c r="AL73">
        <f>IF(G72&lt;=0,0,ROUND(G72*(1+IF(AND(G$6&gt;0,$B73&lt;G$6),G$4,G$5)/12),2))</f>
        <v/>
      </c>
      <c r="AM73">
        <f>IF(H72&lt;=0,0,ROUND(H72*(1+IF(AND(H$6&gt;0,$B73&lt;H$6),H$4,H$5)/12),2))</f>
        <v/>
      </c>
      <c r="AN73">
        <f>IF(I72&lt;=0,0,ROUND(I72*(1+IF(AND(I$6&gt;0,$B73&lt;I$6),I$4,I$5)/12),2))</f>
        <v/>
      </c>
      <c r="AO73">
        <f>IF(J72&lt;=0,0,ROUND(J72*(1+IF(AND(J$6&gt;0,$B73&lt;J$6),J$4,J$5)/12),2))</f>
        <v/>
      </c>
      <c r="AP73">
        <f>IF(K72&lt;=0,0,ROUND(K72*(1+IF(AND(K$6&gt;0,$B73&lt;K$6),K$4,K$5)/12),2))</f>
        <v/>
      </c>
      <c r="AQ73">
        <f>IF(L72&lt;=0,0,ROUND(L72*(1+IF(AND(L$6&gt;0,$B73&lt;L$6),L$4,L$5)/12),2))</f>
        <v/>
      </c>
      <c r="AR73">
        <f>IF(M72&lt;=0,0,ROUND(M72*(1+IF(AND(M$6&gt;0,$B73&lt;M$6),M$4,M$5)/12),2))</f>
        <v/>
      </c>
      <c r="AS73">
        <f>IF(N72&lt;=0,0,ROUND(N72*(1+IF(AND(N$6&gt;0,$B73&lt;N$6),N$4,N$5)/12),2))</f>
        <v/>
      </c>
    </row>
    <row r="74">
      <c r="A74" t="n">
        <v>63</v>
      </c>
      <c r="B74">
        <f>EDATE(Plan!$C$6,62)</f>
        <v/>
      </c>
      <c r="C74">
        <f>IF(C73&lt;=0,0,MAX(0,AH74-O74))</f>
        <v/>
      </c>
      <c r="D74">
        <f>IF(D73&lt;=0,0,MAX(0,AI74-P74))</f>
        <v/>
      </c>
      <c r="E74">
        <f>IF(E73&lt;=0,0,MAX(0,AJ74-Q74))</f>
        <v/>
      </c>
      <c r="F74">
        <f>IF(F73&lt;=0,0,MAX(0,AK74-R74))</f>
        <v/>
      </c>
      <c r="G74">
        <f>IF(G73&lt;=0,0,MAX(0,AL74-S74))</f>
        <v/>
      </c>
      <c r="H74">
        <f>IF(H73&lt;=0,0,MAX(0,AM74-T74))</f>
        <v/>
      </c>
      <c r="I74">
        <f>IF(I73&lt;=0,0,MAX(0,AN74-U74))</f>
        <v/>
      </c>
      <c r="J74">
        <f>IF(J73&lt;=0,0,MAX(0,AO74-V74))</f>
        <v/>
      </c>
      <c r="K74">
        <f>IF(K73&lt;=0,0,MAX(0,AP74-W74))</f>
        <v/>
      </c>
      <c r="L74">
        <f>IF(L73&lt;=0,0,MAX(0,AQ74-X74))</f>
        <v/>
      </c>
      <c r="M74">
        <f>IF(M73&lt;=0,0,MAX(0,AR74-Y74))</f>
        <v/>
      </c>
      <c r="N74">
        <f>IF(N73&lt;=0,0,MAX(0,AS74-Z74))</f>
        <v/>
      </c>
      <c r="O74">
        <f>IF(C73&lt;=0,0,MIN(AH74,C$7+IF(C$2=$AA74,$AC74,IF(C$2=$AF74,$AG74,0))))</f>
        <v/>
      </c>
      <c r="P74">
        <f>IF(D73&lt;=0,0,MIN(AI74,D$7+IF(D$2=$AA74,$AC74,IF(D$2=$AF74,$AG74,0))))</f>
        <v/>
      </c>
      <c r="Q74">
        <f>IF(E73&lt;=0,0,MIN(AJ74,E$7+IF(E$2=$AA74,$AC74,IF(E$2=$AF74,$AG74,0))))</f>
        <v/>
      </c>
      <c r="R74">
        <f>IF(F73&lt;=0,0,MIN(AK74,F$7+IF(F$2=$AA74,$AC74,IF(F$2=$AF74,$AG74,0))))</f>
        <v/>
      </c>
      <c r="S74">
        <f>IF(G73&lt;=0,0,MIN(AL74,G$7+IF(G$2=$AA74,$AC74,IF(G$2=$AF74,$AG74,0))))</f>
        <v/>
      </c>
      <c r="T74">
        <f>IF(H73&lt;=0,0,MIN(AM74,H$7+IF(H$2=$AA74,$AC74,IF(H$2=$AF74,$AG74,0))))</f>
        <v/>
      </c>
      <c r="U74">
        <f>IF(I73&lt;=0,0,MIN(AN74,I$7+IF(I$2=$AA74,$AC74,IF(I$2=$AF74,$AG74,0))))</f>
        <v/>
      </c>
      <c r="V74">
        <f>IF(J73&lt;=0,0,MIN(AO74,J$7+IF(J$2=$AA74,$AC74,IF(J$2=$AF74,$AG74,0))))</f>
        <v/>
      </c>
      <c r="W74">
        <f>IF(K73&lt;=0,0,MIN(AP74,K$7+IF(K$2=$AA74,$AC74,IF(K$2=$AF74,$AG74,0))))</f>
        <v/>
      </c>
      <c r="X74">
        <f>IF(L73&lt;=0,0,MIN(AQ74,L$7+IF(L$2=$AA74,$AC74,IF(L$2=$AF74,$AG74,0))))</f>
        <v/>
      </c>
      <c r="Y74">
        <f>IF(M73&lt;=0,0,MIN(AR74,M$7+IF(M$2=$AA74,$AC74,IF(M$2=$AF74,$AG74,0))))</f>
        <v/>
      </c>
      <c r="Z74">
        <f>IF(N73&lt;=0,0,MIN(AS74,N$7+IF(N$2=$AA74,$AC74,IF(N$2=$AF74,$AG74,0))))</f>
        <v/>
      </c>
      <c r="AA74">
        <f>IFERROR(ROUND(1/SUMPRODUCT(MAX((C73:N73&gt;0)*($C$3:$N$3&lt;=B74)/$C$2:$N$2)),0),0)</f>
        <v/>
      </c>
      <c r="AB74">
        <f>SUMPRODUCT((C73:N73&gt;0)*$C$7:$N$7)</f>
        <v/>
      </c>
      <c r="AC74">
        <f>MAX(0,Plan!$C$5-AB74)+IF(A74=Plan!$C$8,N(Plan!$C$7),0)</f>
        <v/>
      </c>
      <c r="AD74">
        <f>SUM(C74:N74)</f>
        <v/>
      </c>
      <c r="AE74">
        <f>SUM(O74:Z74)</f>
        <v/>
      </c>
      <c r="AF74">
        <f>IFERROR(ROUND(1/SUMPRODUCT(MAX((C73:N73&gt;0)*($C$3:$N$3&lt;=B74)*($C$2:$N$2&gt;AA74)/$C$2:$N$2)),0),0)</f>
        <v/>
      </c>
      <c r="AG74">
        <f>MAX(0,AC74-MAX(0,SUMPRODUCT(($C$2:$N$2=AA74)*(AH74:AS74-$C$7:$N$7))))</f>
        <v/>
      </c>
      <c r="AH74">
        <f>IF(C73&lt;=0,0,ROUND(C73*(1+IF(AND(C$6&gt;0,$B74&lt;C$6),C$4,C$5)/12),2))</f>
        <v/>
      </c>
      <c r="AI74">
        <f>IF(D73&lt;=0,0,ROUND(D73*(1+IF(AND(D$6&gt;0,$B74&lt;D$6),D$4,D$5)/12),2))</f>
        <v/>
      </c>
      <c r="AJ74">
        <f>IF(E73&lt;=0,0,ROUND(E73*(1+IF(AND(E$6&gt;0,$B74&lt;E$6),E$4,E$5)/12),2))</f>
        <v/>
      </c>
      <c r="AK74">
        <f>IF(F73&lt;=0,0,ROUND(F73*(1+IF(AND(F$6&gt;0,$B74&lt;F$6),F$4,F$5)/12),2))</f>
        <v/>
      </c>
      <c r="AL74">
        <f>IF(G73&lt;=0,0,ROUND(G73*(1+IF(AND(G$6&gt;0,$B74&lt;G$6),G$4,G$5)/12),2))</f>
        <v/>
      </c>
      <c r="AM74">
        <f>IF(H73&lt;=0,0,ROUND(H73*(1+IF(AND(H$6&gt;0,$B74&lt;H$6),H$4,H$5)/12),2))</f>
        <v/>
      </c>
      <c r="AN74">
        <f>IF(I73&lt;=0,0,ROUND(I73*(1+IF(AND(I$6&gt;0,$B74&lt;I$6),I$4,I$5)/12),2))</f>
        <v/>
      </c>
      <c r="AO74">
        <f>IF(J73&lt;=0,0,ROUND(J73*(1+IF(AND(J$6&gt;0,$B74&lt;J$6),J$4,J$5)/12),2))</f>
        <v/>
      </c>
      <c r="AP74">
        <f>IF(K73&lt;=0,0,ROUND(K73*(1+IF(AND(K$6&gt;0,$B74&lt;K$6),K$4,K$5)/12),2))</f>
        <v/>
      </c>
      <c r="AQ74">
        <f>IF(L73&lt;=0,0,ROUND(L73*(1+IF(AND(L$6&gt;0,$B74&lt;L$6),L$4,L$5)/12),2))</f>
        <v/>
      </c>
      <c r="AR74">
        <f>IF(M73&lt;=0,0,ROUND(M73*(1+IF(AND(M$6&gt;0,$B74&lt;M$6),M$4,M$5)/12),2))</f>
        <v/>
      </c>
      <c r="AS74">
        <f>IF(N73&lt;=0,0,ROUND(N73*(1+IF(AND(N$6&gt;0,$B74&lt;N$6),N$4,N$5)/12),2))</f>
        <v/>
      </c>
    </row>
    <row r="75">
      <c r="A75" t="n">
        <v>64</v>
      </c>
      <c r="B75">
        <f>EDATE(Plan!$C$6,63)</f>
        <v/>
      </c>
      <c r="C75">
        <f>IF(C74&lt;=0,0,MAX(0,AH75-O75))</f>
        <v/>
      </c>
      <c r="D75">
        <f>IF(D74&lt;=0,0,MAX(0,AI75-P75))</f>
        <v/>
      </c>
      <c r="E75">
        <f>IF(E74&lt;=0,0,MAX(0,AJ75-Q75))</f>
        <v/>
      </c>
      <c r="F75">
        <f>IF(F74&lt;=0,0,MAX(0,AK75-R75))</f>
        <v/>
      </c>
      <c r="G75">
        <f>IF(G74&lt;=0,0,MAX(0,AL75-S75))</f>
        <v/>
      </c>
      <c r="H75">
        <f>IF(H74&lt;=0,0,MAX(0,AM75-T75))</f>
        <v/>
      </c>
      <c r="I75">
        <f>IF(I74&lt;=0,0,MAX(0,AN75-U75))</f>
        <v/>
      </c>
      <c r="J75">
        <f>IF(J74&lt;=0,0,MAX(0,AO75-V75))</f>
        <v/>
      </c>
      <c r="K75">
        <f>IF(K74&lt;=0,0,MAX(0,AP75-W75))</f>
        <v/>
      </c>
      <c r="L75">
        <f>IF(L74&lt;=0,0,MAX(0,AQ75-X75))</f>
        <v/>
      </c>
      <c r="M75">
        <f>IF(M74&lt;=0,0,MAX(0,AR75-Y75))</f>
        <v/>
      </c>
      <c r="N75">
        <f>IF(N74&lt;=0,0,MAX(0,AS75-Z75))</f>
        <v/>
      </c>
      <c r="O75">
        <f>IF(C74&lt;=0,0,MIN(AH75,C$7+IF(C$2=$AA75,$AC75,IF(C$2=$AF75,$AG75,0))))</f>
        <v/>
      </c>
      <c r="P75">
        <f>IF(D74&lt;=0,0,MIN(AI75,D$7+IF(D$2=$AA75,$AC75,IF(D$2=$AF75,$AG75,0))))</f>
        <v/>
      </c>
      <c r="Q75">
        <f>IF(E74&lt;=0,0,MIN(AJ75,E$7+IF(E$2=$AA75,$AC75,IF(E$2=$AF75,$AG75,0))))</f>
        <v/>
      </c>
      <c r="R75">
        <f>IF(F74&lt;=0,0,MIN(AK75,F$7+IF(F$2=$AA75,$AC75,IF(F$2=$AF75,$AG75,0))))</f>
        <v/>
      </c>
      <c r="S75">
        <f>IF(G74&lt;=0,0,MIN(AL75,G$7+IF(G$2=$AA75,$AC75,IF(G$2=$AF75,$AG75,0))))</f>
        <v/>
      </c>
      <c r="T75">
        <f>IF(H74&lt;=0,0,MIN(AM75,H$7+IF(H$2=$AA75,$AC75,IF(H$2=$AF75,$AG75,0))))</f>
        <v/>
      </c>
      <c r="U75">
        <f>IF(I74&lt;=0,0,MIN(AN75,I$7+IF(I$2=$AA75,$AC75,IF(I$2=$AF75,$AG75,0))))</f>
        <v/>
      </c>
      <c r="V75">
        <f>IF(J74&lt;=0,0,MIN(AO75,J$7+IF(J$2=$AA75,$AC75,IF(J$2=$AF75,$AG75,0))))</f>
        <v/>
      </c>
      <c r="W75">
        <f>IF(K74&lt;=0,0,MIN(AP75,K$7+IF(K$2=$AA75,$AC75,IF(K$2=$AF75,$AG75,0))))</f>
        <v/>
      </c>
      <c r="X75">
        <f>IF(L74&lt;=0,0,MIN(AQ75,L$7+IF(L$2=$AA75,$AC75,IF(L$2=$AF75,$AG75,0))))</f>
        <v/>
      </c>
      <c r="Y75">
        <f>IF(M74&lt;=0,0,MIN(AR75,M$7+IF(M$2=$AA75,$AC75,IF(M$2=$AF75,$AG75,0))))</f>
        <v/>
      </c>
      <c r="Z75">
        <f>IF(N74&lt;=0,0,MIN(AS75,N$7+IF(N$2=$AA75,$AC75,IF(N$2=$AF75,$AG75,0))))</f>
        <v/>
      </c>
      <c r="AA75">
        <f>IFERROR(ROUND(1/SUMPRODUCT(MAX((C74:N74&gt;0)*($C$3:$N$3&lt;=B75)/$C$2:$N$2)),0),0)</f>
        <v/>
      </c>
      <c r="AB75">
        <f>SUMPRODUCT((C74:N74&gt;0)*$C$7:$N$7)</f>
        <v/>
      </c>
      <c r="AC75">
        <f>MAX(0,Plan!$C$5-AB75)+IF(A75=Plan!$C$8,N(Plan!$C$7),0)</f>
        <v/>
      </c>
      <c r="AD75">
        <f>SUM(C75:N75)</f>
        <v/>
      </c>
      <c r="AE75">
        <f>SUM(O75:Z75)</f>
        <v/>
      </c>
      <c r="AF75">
        <f>IFERROR(ROUND(1/SUMPRODUCT(MAX((C74:N74&gt;0)*($C$3:$N$3&lt;=B75)*($C$2:$N$2&gt;AA75)/$C$2:$N$2)),0),0)</f>
        <v/>
      </c>
      <c r="AG75">
        <f>MAX(0,AC75-MAX(0,SUMPRODUCT(($C$2:$N$2=AA75)*(AH75:AS75-$C$7:$N$7))))</f>
        <v/>
      </c>
      <c r="AH75">
        <f>IF(C74&lt;=0,0,ROUND(C74*(1+IF(AND(C$6&gt;0,$B75&lt;C$6),C$4,C$5)/12),2))</f>
        <v/>
      </c>
      <c r="AI75">
        <f>IF(D74&lt;=0,0,ROUND(D74*(1+IF(AND(D$6&gt;0,$B75&lt;D$6),D$4,D$5)/12),2))</f>
        <v/>
      </c>
      <c r="AJ75">
        <f>IF(E74&lt;=0,0,ROUND(E74*(1+IF(AND(E$6&gt;0,$B75&lt;E$6),E$4,E$5)/12),2))</f>
        <v/>
      </c>
      <c r="AK75">
        <f>IF(F74&lt;=0,0,ROUND(F74*(1+IF(AND(F$6&gt;0,$B75&lt;F$6),F$4,F$5)/12),2))</f>
        <v/>
      </c>
      <c r="AL75">
        <f>IF(G74&lt;=0,0,ROUND(G74*(1+IF(AND(G$6&gt;0,$B75&lt;G$6),G$4,G$5)/12),2))</f>
        <v/>
      </c>
      <c r="AM75">
        <f>IF(H74&lt;=0,0,ROUND(H74*(1+IF(AND(H$6&gt;0,$B75&lt;H$6),H$4,H$5)/12),2))</f>
        <v/>
      </c>
      <c r="AN75">
        <f>IF(I74&lt;=0,0,ROUND(I74*(1+IF(AND(I$6&gt;0,$B75&lt;I$6),I$4,I$5)/12),2))</f>
        <v/>
      </c>
      <c r="AO75">
        <f>IF(J74&lt;=0,0,ROUND(J74*(1+IF(AND(J$6&gt;0,$B75&lt;J$6),J$4,J$5)/12),2))</f>
        <v/>
      </c>
      <c r="AP75">
        <f>IF(K74&lt;=0,0,ROUND(K74*(1+IF(AND(K$6&gt;0,$B75&lt;K$6),K$4,K$5)/12),2))</f>
        <v/>
      </c>
      <c r="AQ75">
        <f>IF(L74&lt;=0,0,ROUND(L74*(1+IF(AND(L$6&gt;0,$B75&lt;L$6),L$4,L$5)/12),2))</f>
        <v/>
      </c>
      <c r="AR75">
        <f>IF(M74&lt;=0,0,ROUND(M74*(1+IF(AND(M$6&gt;0,$B75&lt;M$6),M$4,M$5)/12),2))</f>
        <v/>
      </c>
      <c r="AS75">
        <f>IF(N74&lt;=0,0,ROUND(N74*(1+IF(AND(N$6&gt;0,$B75&lt;N$6),N$4,N$5)/12),2))</f>
        <v/>
      </c>
    </row>
    <row r="76">
      <c r="A76" t="n">
        <v>65</v>
      </c>
      <c r="B76">
        <f>EDATE(Plan!$C$6,64)</f>
        <v/>
      </c>
      <c r="C76">
        <f>IF(C75&lt;=0,0,MAX(0,AH76-O76))</f>
        <v/>
      </c>
      <c r="D76">
        <f>IF(D75&lt;=0,0,MAX(0,AI76-P76))</f>
        <v/>
      </c>
      <c r="E76">
        <f>IF(E75&lt;=0,0,MAX(0,AJ76-Q76))</f>
        <v/>
      </c>
      <c r="F76">
        <f>IF(F75&lt;=0,0,MAX(0,AK76-R76))</f>
        <v/>
      </c>
      <c r="G76">
        <f>IF(G75&lt;=0,0,MAX(0,AL76-S76))</f>
        <v/>
      </c>
      <c r="H76">
        <f>IF(H75&lt;=0,0,MAX(0,AM76-T76))</f>
        <v/>
      </c>
      <c r="I76">
        <f>IF(I75&lt;=0,0,MAX(0,AN76-U76))</f>
        <v/>
      </c>
      <c r="J76">
        <f>IF(J75&lt;=0,0,MAX(0,AO76-V76))</f>
        <v/>
      </c>
      <c r="K76">
        <f>IF(K75&lt;=0,0,MAX(0,AP76-W76))</f>
        <v/>
      </c>
      <c r="L76">
        <f>IF(L75&lt;=0,0,MAX(0,AQ76-X76))</f>
        <v/>
      </c>
      <c r="M76">
        <f>IF(M75&lt;=0,0,MAX(0,AR76-Y76))</f>
        <v/>
      </c>
      <c r="N76">
        <f>IF(N75&lt;=0,0,MAX(0,AS76-Z76))</f>
        <v/>
      </c>
      <c r="O76">
        <f>IF(C75&lt;=0,0,MIN(AH76,C$7+IF(C$2=$AA76,$AC76,IF(C$2=$AF76,$AG76,0))))</f>
        <v/>
      </c>
      <c r="P76">
        <f>IF(D75&lt;=0,0,MIN(AI76,D$7+IF(D$2=$AA76,$AC76,IF(D$2=$AF76,$AG76,0))))</f>
        <v/>
      </c>
      <c r="Q76">
        <f>IF(E75&lt;=0,0,MIN(AJ76,E$7+IF(E$2=$AA76,$AC76,IF(E$2=$AF76,$AG76,0))))</f>
        <v/>
      </c>
      <c r="R76">
        <f>IF(F75&lt;=0,0,MIN(AK76,F$7+IF(F$2=$AA76,$AC76,IF(F$2=$AF76,$AG76,0))))</f>
        <v/>
      </c>
      <c r="S76">
        <f>IF(G75&lt;=0,0,MIN(AL76,G$7+IF(G$2=$AA76,$AC76,IF(G$2=$AF76,$AG76,0))))</f>
        <v/>
      </c>
      <c r="T76">
        <f>IF(H75&lt;=0,0,MIN(AM76,H$7+IF(H$2=$AA76,$AC76,IF(H$2=$AF76,$AG76,0))))</f>
        <v/>
      </c>
      <c r="U76">
        <f>IF(I75&lt;=0,0,MIN(AN76,I$7+IF(I$2=$AA76,$AC76,IF(I$2=$AF76,$AG76,0))))</f>
        <v/>
      </c>
      <c r="V76">
        <f>IF(J75&lt;=0,0,MIN(AO76,J$7+IF(J$2=$AA76,$AC76,IF(J$2=$AF76,$AG76,0))))</f>
        <v/>
      </c>
      <c r="W76">
        <f>IF(K75&lt;=0,0,MIN(AP76,K$7+IF(K$2=$AA76,$AC76,IF(K$2=$AF76,$AG76,0))))</f>
        <v/>
      </c>
      <c r="X76">
        <f>IF(L75&lt;=0,0,MIN(AQ76,L$7+IF(L$2=$AA76,$AC76,IF(L$2=$AF76,$AG76,0))))</f>
        <v/>
      </c>
      <c r="Y76">
        <f>IF(M75&lt;=0,0,MIN(AR76,M$7+IF(M$2=$AA76,$AC76,IF(M$2=$AF76,$AG76,0))))</f>
        <v/>
      </c>
      <c r="Z76">
        <f>IF(N75&lt;=0,0,MIN(AS76,N$7+IF(N$2=$AA76,$AC76,IF(N$2=$AF76,$AG76,0))))</f>
        <v/>
      </c>
      <c r="AA76">
        <f>IFERROR(ROUND(1/SUMPRODUCT(MAX((C75:N75&gt;0)*($C$3:$N$3&lt;=B76)/$C$2:$N$2)),0),0)</f>
        <v/>
      </c>
      <c r="AB76">
        <f>SUMPRODUCT((C75:N75&gt;0)*$C$7:$N$7)</f>
        <v/>
      </c>
      <c r="AC76">
        <f>MAX(0,Plan!$C$5-AB76)+IF(A76=Plan!$C$8,N(Plan!$C$7),0)</f>
        <v/>
      </c>
      <c r="AD76">
        <f>SUM(C76:N76)</f>
        <v/>
      </c>
      <c r="AE76">
        <f>SUM(O76:Z76)</f>
        <v/>
      </c>
      <c r="AF76">
        <f>IFERROR(ROUND(1/SUMPRODUCT(MAX((C75:N75&gt;0)*($C$3:$N$3&lt;=B76)*($C$2:$N$2&gt;AA76)/$C$2:$N$2)),0),0)</f>
        <v/>
      </c>
      <c r="AG76">
        <f>MAX(0,AC76-MAX(0,SUMPRODUCT(($C$2:$N$2=AA76)*(AH76:AS76-$C$7:$N$7))))</f>
        <v/>
      </c>
      <c r="AH76">
        <f>IF(C75&lt;=0,0,ROUND(C75*(1+IF(AND(C$6&gt;0,$B76&lt;C$6),C$4,C$5)/12),2))</f>
        <v/>
      </c>
      <c r="AI76">
        <f>IF(D75&lt;=0,0,ROUND(D75*(1+IF(AND(D$6&gt;0,$B76&lt;D$6),D$4,D$5)/12),2))</f>
        <v/>
      </c>
      <c r="AJ76">
        <f>IF(E75&lt;=0,0,ROUND(E75*(1+IF(AND(E$6&gt;0,$B76&lt;E$6),E$4,E$5)/12),2))</f>
        <v/>
      </c>
      <c r="AK76">
        <f>IF(F75&lt;=0,0,ROUND(F75*(1+IF(AND(F$6&gt;0,$B76&lt;F$6),F$4,F$5)/12),2))</f>
        <v/>
      </c>
      <c r="AL76">
        <f>IF(G75&lt;=0,0,ROUND(G75*(1+IF(AND(G$6&gt;0,$B76&lt;G$6),G$4,G$5)/12),2))</f>
        <v/>
      </c>
      <c r="AM76">
        <f>IF(H75&lt;=0,0,ROUND(H75*(1+IF(AND(H$6&gt;0,$B76&lt;H$6),H$4,H$5)/12),2))</f>
        <v/>
      </c>
      <c r="AN76">
        <f>IF(I75&lt;=0,0,ROUND(I75*(1+IF(AND(I$6&gt;0,$B76&lt;I$6),I$4,I$5)/12),2))</f>
        <v/>
      </c>
      <c r="AO76">
        <f>IF(J75&lt;=0,0,ROUND(J75*(1+IF(AND(J$6&gt;0,$B76&lt;J$6),J$4,J$5)/12),2))</f>
        <v/>
      </c>
      <c r="AP76">
        <f>IF(K75&lt;=0,0,ROUND(K75*(1+IF(AND(K$6&gt;0,$B76&lt;K$6),K$4,K$5)/12),2))</f>
        <v/>
      </c>
      <c r="AQ76">
        <f>IF(L75&lt;=0,0,ROUND(L75*(1+IF(AND(L$6&gt;0,$B76&lt;L$6),L$4,L$5)/12),2))</f>
        <v/>
      </c>
      <c r="AR76">
        <f>IF(M75&lt;=0,0,ROUND(M75*(1+IF(AND(M$6&gt;0,$B76&lt;M$6),M$4,M$5)/12),2))</f>
        <v/>
      </c>
      <c r="AS76">
        <f>IF(N75&lt;=0,0,ROUND(N75*(1+IF(AND(N$6&gt;0,$B76&lt;N$6),N$4,N$5)/12),2))</f>
        <v/>
      </c>
    </row>
    <row r="77">
      <c r="A77" t="n">
        <v>66</v>
      </c>
      <c r="B77">
        <f>EDATE(Plan!$C$6,65)</f>
        <v/>
      </c>
      <c r="C77">
        <f>IF(C76&lt;=0,0,MAX(0,AH77-O77))</f>
        <v/>
      </c>
      <c r="D77">
        <f>IF(D76&lt;=0,0,MAX(0,AI77-P77))</f>
        <v/>
      </c>
      <c r="E77">
        <f>IF(E76&lt;=0,0,MAX(0,AJ77-Q77))</f>
        <v/>
      </c>
      <c r="F77">
        <f>IF(F76&lt;=0,0,MAX(0,AK77-R77))</f>
        <v/>
      </c>
      <c r="G77">
        <f>IF(G76&lt;=0,0,MAX(0,AL77-S77))</f>
        <v/>
      </c>
      <c r="H77">
        <f>IF(H76&lt;=0,0,MAX(0,AM77-T77))</f>
        <v/>
      </c>
      <c r="I77">
        <f>IF(I76&lt;=0,0,MAX(0,AN77-U77))</f>
        <v/>
      </c>
      <c r="J77">
        <f>IF(J76&lt;=0,0,MAX(0,AO77-V77))</f>
        <v/>
      </c>
      <c r="K77">
        <f>IF(K76&lt;=0,0,MAX(0,AP77-W77))</f>
        <v/>
      </c>
      <c r="L77">
        <f>IF(L76&lt;=0,0,MAX(0,AQ77-X77))</f>
        <v/>
      </c>
      <c r="M77">
        <f>IF(M76&lt;=0,0,MAX(0,AR77-Y77))</f>
        <v/>
      </c>
      <c r="N77">
        <f>IF(N76&lt;=0,0,MAX(0,AS77-Z77))</f>
        <v/>
      </c>
      <c r="O77">
        <f>IF(C76&lt;=0,0,MIN(AH77,C$7+IF(C$2=$AA77,$AC77,IF(C$2=$AF77,$AG77,0))))</f>
        <v/>
      </c>
      <c r="P77">
        <f>IF(D76&lt;=0,0,MIN(AI77,D$7+IF(D$2=$AA77,$AC77,IF(D$2=$AF77,$AG77,0))))</f>
        <v/>
      </c>
      <c r="Q77">
        <f>IF(E76&lt;=0,0,MIN(AJ77,E$7+IF(E$2=$AA77,$AC77,IF(E$2=$AF77,$AG77,0))))</f>
        <v/>
      </c>
      <c r="R77">
        <f>IF(F76&lt;=0,0,MIN(AK77,F$7+IF(F$2=$AA77,$AC77,IF(F$2=$AF77,$AG77,0))))</f>
        <v/>
      </c>
      <c r="S77">
        <f>IF(G76&lt;=0,0,MIN(AL77,G$7+IF(G$2=$AA77,$AC77,IF(G$2=$AF77,$AG77,0))))</f>
        <v/>
      </c>
      <c r="T77">
        <f>IF(H76&lt;=0,0,MIN(AM77,H$7+IF(H$2=$AA77,$AC77,IF(H$2=$AF77,$AG77,0))))</f>
        <v/>
      </c>
      <c r="U77">
        <f>IF(I76&lt;=0,0,MIN(AN77,I$7+IF(I$2=$AA77,$AC77,IF(I$2=$AF77,$AG77,0))))</f>
        <v/>
      </c>
      <c r="V77">
        <f>IF(J76&lt;=0,0,MIN(AO77,J$7+IF(J$2=$AA77,$AC77,IF(J$2=$AF77,$AG77,0))))</f>
        <v/>
      </c>
      <c r="W77">
        <f>IF(K76&lt;=0,0,MIN(AP77,K$7+IF(K$2=$AA77,$AC77,IF(K$2=$AF77,$AG77,0))))</f>
        <v/>
      </c>
      <c r="X77">
        <f>IF(L76&lt;=0,0,MIN(AQ77,L$7+IF(L$2=$AA77,$AC77,IF(L$2=$AF77,$AG77,0))))</f>
        <v/>
      </c>
      <c r="Y77">
        <f>IF(M76&lt;=0,0,MIN(AR77,M$7+IF(M$2=$AA77,$AC77,IF(M$2=$AF77,$AG77,0))))</f>
        <v/>
      </c>
      <c r="Z77">
        <f>IF(N76&lt;=0,0,MIN(AS77,N$7+IF(N$2=$AA77,$AC77,IF(N$2=$AF77,$AG77,0))))</f>
        <v/>
      </c>
      <c r="AA77">
        <f>IFERROR(ROUND(1/SUMPRODUCT(MAX((C76:N76&gt;0)*($C$3:$N$3&lt;=B77)/$C$2:$N$2)),0),0)</f>
        <v/>
      </c>
      <c r="AB77">
        <f>SUMPRODUCT((C76:N76&gt;0)*$C$7:$N$7)</f>
        <v/>
      </c>
      <c r="AC77">
        <f>MAX(0,Plan!$C$5-AB77)+IF(A77=Plan!$C$8,N(Plan!$C$7),0)</f>
        <v/>
      </c>
      <c r="AD77">
        <f>SUM(C77:N77)</f>
        <v/>
      </c>
      <c r="AE77">
        <f>SUM(O77:Z77)</f>
        <v/>
      </c>
      <c r="AF77">
        <f>IFERROR(ROUND(1/SUMPRODUCT(MAX((C76:N76&gt;0)*($C$3:$N$3&lt;=B77)*($C$2:$N$2&gt;AA77)/$C$2:$N$2)),0),0)</f>
        <v/>
      </c>
      <c r="AG77">
        <f>MAX(0,AC77-MAX(0,SUMPRODUCT(($C$2:$N$2=AA77)*(AH77:AS77-$C$7:$N$7))))</f>
        <v/>
      </c>
      <c r="AH77">
        <f>IF(C76&lt;=0,0,ROUND(C76*(1+IF(AND(C$6&gt;0,$B77&lt;C$6),C$4,C$5)/12),2))</f>
        <v/>
      </c>
      <c r="AI77">
        <f>IF(D76&lt;=0,0,ROUND(D76*(1+IF(AND(D$6&gt;0,$B77&lt;D$6),D$4,D$5)/12),2))</f>
        <v/>
      </c>
      <c r="AJ77">
        <f>IF(E76&lt;=0,0,ROUND(E76*(1+IF(AND(E$6&gt;0,$B77&lt;E$6),E$4,E$5)/12),2))</f>
        <v/>
      </c>
      <c r="AK77">
        <f>IF(F76&lt;=0,0,ROUND(F76*(1+IF(AND(F$6&gt;0,$B77&lt;F$6),F$4,F$5)/12),2))</f>
        <v/>
      </c>
      <c r="AL77">
        <f>IF(G76&lt;=0,0,ROUND(G76*(1+IF(AND(G$6&gt;0,$B77&lt;G$6),G$4,G$5)/12),2))</f>
        <v/>
      </c>
      <c r="AM77">
        <f>IF(H76&lt;=0,0,ROUND(H76*(1+IF(AND(H$6&gt;0,$B77&lt;H$6),H$4,H$5)/12),2))</f>
        <v/>
      </c>
      <c r="AN77">
        <f>IF(I76&lt;=0,0,ROUND(I76*(1+IF(AND(I$6&gt;0,$B77&lt;I$6),I$4,I$5)/12),2))</f>
        <v/>
      </c>
      <c r="AO77">
        <f>IF(J76&lt;=0,0,ROUND(J76*(1+IF(AND(J$6&gt;0,$B77&lt;J$6),J$4,J$5)/12),2))</f>
        <v/>
      </c>
      <c r="AP77">
        <f>IF(K76&lt;=0,0,ROUND(K76*(1+IF(AND(K$6&gt;0,$B77&lt;K$6),K$4,K$5)/12),2))</f>
        <v/>
      </c>
      <c r="AQ77">
        <f>IF(L76&lt;=0,0,ROUND(L76*(1+IF(AND(L$6&gt;0,$B77&lt;L$6),L$4,L$5)/12),2))</f>
        <v/>
      </c>
      <c r="AR77">
        <f>IF(M76&lt;=0,0,ROUND(M76*(1+IF(AND(M$6&gt;0,$B77&lt;M$6),M$4,M$5)/12),2))</f>
        <v/>
      </c>
      <c r="AS77">
        <f>IF(N76&lt;=0,0,ROUND(N76*(1+IF(AND(N$6&gt;0,$B77&lt;N$6),N$4,N$5)/12),2))</f>
        <v/>
      </c>
    </row>
    <row r="78">
      <c r="A78" t="n">
        <v>67</v>
      </c>
      <c r="B78">
        <f>EDATE(Plan!$C$6,66)</f>
        <v/>
      </c>
      <c r="C78">
        <f>IF(C77&lt;=0,0,MAX(0,AH78-O78))</f>
        <v/>
      </c>
      <c r="D78">
        <f>IF(D77&lt;=0,0,MAX(0,AI78-P78))</f>
        <v/>
      </c>
      <c r="E78">
        <f>IF(E77&lt;=0,0,MAX(0,AJ78-Q78))</f>
        <v/>
      </c>
      <c r="F78">
        <f>IF(F77&lt;=0,0,MAX(0,AK78-R78))</f>
        <v/>
      </c>
      <c r="G78">
        <f>IF(G77&lt;=0,0,MAX(0,AL78-S78))</f>
        <v/>
      </c>
      <c r="H78">
        <f>IF(H77&lt;=0,0,MAX(0,AM78-T78))</f>
        <v/>
      </c>
      <c r="I78">
        <f>IF(I77&lt;=0,0,MAX(0,AN78-U78))</f>
        <v/>
      </c>
      <c r="J78">
        <f>IF(J77&lt;=0,0,MAX(0,AO78-V78))</f>
        <v/>
      </c>
      <c r="K78">
        <f>IF(K77&lt;=0,0,MAX(0,AP78-W78))</f>
        <v/>
      </c>
      <c r="L78">
        <f>IF(L77&lt;=0,0,MAX(0,AQ78-X78))</f>
        <v/>
      </c>
      <c r="M78">
        <f>IF(M77&lt;=0,0,MAX(0,AR78-Y78))</f>
        <v/>
      </c>
      <c r="N78">
        <f>IF(N77&lt;=0,0,MAX(0,AS78-Z78))</f>
        <v/>
      </c>
      <c r="O78">
        <f>IF(C77&lt;=0,0,MIN(AH78,C$7+IF(C$2=$AA78,$AC78,IF(C$2=$AF78,$AG78,0))))</f>
        <v/>
      </c>
      <c r="P78">
        <f>IF(D77&lt;=0,0,MIN(AI78,D$7+IF(D$2=$AA78,$AC78,IF(D$2=$AF78,$AG78,0))))</f>
        <v/>
      </c>
      <c r="Q78">
        <f>IF(E77&lt;=0,0,MIN(AJ78,E$7+IF(E$2=$AA78,$AC78,IF(E$2=$AF78,$AG78,0))))</f>
        <v/>
      </c>
      <c r="R78">
        <f>IF(F77&lt;=0,0,MIN(AK78,F$7+IF(F$2=$AA78,$AC78,IF(F$2=$AF78,$AG78,0))))</f>
        <v/>
      </c>
      <c r="S78">
        <f>IF(G77&lt;=0,0,MIN(AL78,G$7+IF(G$2=$AA78,$AC78,IF(G$2=$AF78,$AG78,0))))</f>
        <v/>
      </c>
      <c r="T78">
        <f>IF(H77&lt;=0,0,MIN(AM78,H$7+IF(H$2=$AA78,$AC78,IF(H$2=$AF78,$AG78,0))))</f>
        <v/>
      </c>
      <c r="U78">
        <f>IF(I77&lt;=0,0,MIN(AN78,I$7+IF(I$2=$AA78,$AC78,IF(I$2=$AF78,$AG78,0))))</f>
        <v/>
      </c>
      <c r="V78">
        <f>IF(J77&lt;=0,0,MIN(AO78,J$7+IF(J$2=$AA78,$AC78,IF(J$2=$AF78,$AG78,0))))</f>
        <v/>
      </c>
      <c r="W78">
        <f>IF(K77&lt;=0,0,MIN(AP78,K$7+IF(K$2=$AA78,$AC78,IF(K$2=$AF78,$AG78,0))))</f>
        <v/>
      </c>
      <c r="X78">
        <f>IF(L77&lt;=0,0,MIN(AQ78,L$7+IF(L$2=$AA78,$AC78,IF(L$2=$AF78,$AG78,0))))</f>
        <v/>
      </c>
      <c r="Y78">
        <f>IF(M77&lt;=0,0,MIN(AR78,M$7+IF(M$2=$AA78,$AC78,IF(M$2=$AF78,$AG78,0))))</f>
        <v/>
      </c>
      <c r="Z78">
        <f>IF(N77&lt;=0,0,MIN(AS78,N$7+IF(N$2=$AA78,$AC78,IF(N$2=$AF78,$AG78,0))))</f>
        <v/>
      </c>
      <c r="AA78">
        <f>IFERROR(ROUND(1/SUMPRODUCT(MAX((C77:N77&gt;0)*($C$3:$N$3&lt;=B78)/$C$2:$N$2)),0),0)</f>
        <v/>
      </c>
      <c r="AB78">
        <f>SUMPRODUCT((C77:N77&gt;0)*$C$7:$N$7)</f>
        <v/>
      </c>
      <c r="AC78">
        <f>MAX(0,Plan!$C$5-AB78)+IF(A78=Plan!$C$8,N(Plan!$C$7),0)</f>
        <v/>
      </c>
      <c r="AD78">
        <f>SUM(C78:N78)</f>
        <v/>
      </c>
      <c r="AE78">
        <f>SUM(O78:Z78)</f>
        <v/>
      </c>
      <c r="AF78">
        <f>IFERROR(ROUND(1/SUMPRODUCT(MAX((C77:N77&gt;0)*($C$3:$N$3&lt;=B78)*($C$2:$N$2&gt;AA78)/$C$2:$N$2)),0),0)</f>
        <v/>
      </c>
      <c r="AG78">
        <f>MAX(0,AC78-MAX(0,SUMPRODUCT(($C$2:$N$2=AA78)*(AH78:AS78-$C$7:$N$7))))</f>
        <v/>
      </c>
      <c r="AH78">
        <f>IF(C77&lt;=0,0,ROUND(C77*(1+IF(AND(C$6&gt;0,$B78&lt;C$6),C$4,C$5)/12),2))</f>
        <v/>
      </c>
      <c r="AI78">
        <f>IF(D77&lt;=0,0,ROUND(D77*(1+IF(AND(D$6&gt;0,$B78&lt;D$6),D$4,D$5)/12),2))</f>
        <v/>
      </c>
      <c r="AJ78">
        <f>IF(E77&lt;=0,0,ROUND(E77*(1+IF(AND(E$6&gt;0,$B78&lt;E$6),E$4,E$5)/12),2))</f>
        <v/>
      </c>
      <c r="AK78">
        <f>IF(F77&lt;=0,0,ROUND(F77*(1+IF(AND(F$6&gt;0,$B78&lt;F$6),F$4,F$5)/12),2))</f>
        <v/>
      </c>
      <c r="AL78">
        <f>IF(G77&lt;=0,0,ROUND(G77*(1+IF(AND(G$6&gt;0,$B78&lt;G$6),G$4,G$5)/12),2))</f>
        <v/>
      </c>
      <c r="AM78">
        <f>IF(H77&lt;=0,0,ROUND(H77*(1+IF(AND(H$6&gt;0,$B78&lt;H$6),H$4,H$5)/12),2))</f>
        <v/>
      </c>
      <c r="AN78">
        <f>IF(I77&lt;=0,0,ROUND(I77*(1+IF(AND(I$6&gt;0,$B78&lt;I$6),I$4,I$5)/12),2))</f>
        <v/>
      </c>
      <c r="AO78">
        <f>IF(J77&lt;=0,0,ROUND(J77*(1+IF(AND(J$6&gt;0,$B78&lt;J$6),J$4,J$5)/12),2))</f>
        <v/>
      </c>
      <c r="AP78">
        <f>IF(K77&lt;=0,0,ROUND(K77*(1+IF(AND(K$6&gt;0,$B78&lt;K$6),K$4,K$5)/12),2))</f>
        <v/>
      </c>
      <c r="AQ78">
        <f>IF(L77&lt;=0,0,ROUND(L77*(1+IF(AND(L$6&gt;0,$B78&lt;L$6),L$4,L$5)/12),2))</f>
        <v/>
      </c>
      <c r="AR78">
        <f>IF(M77&lt;=0,0,ROUND(M77*(1+IF(AND(M$6&gt;0,$B78&lt;M$6),M$4,M$5)/12),2))</f>
        <v/>
      </c>
      <c r="AS78">
        <f>IF(N77&lt;=0,0,ROUND(N77*(1+IF(AND(N$6&gt;0,$B78&lt;N$6),N$4,N$5)/12),2))</f>
        <v/>
      </c>
    </row>
    <row r="79">
      <c r="A79" t="n">
        <v>68</v>
      </c>
      <c r="B79">
        <f>EDATE(Plan!$C$6,67)</f>
        <v/>
      </c>
      <c r="C79">
        <f>IF(C78&lt;=0,0,MAX(0,AH79-O79))</f>
        <v/>
      </c>
      <c r="D79">
        <f>IF(D78&lt;=0,0,MAX(0,AI79-P79))</f>
        <v/>
      </c>
      <c r="E79">
        <f>IF(E78&lt;=0,0,MAX(0,AJ79-Q79))</f>
        <v/>
      </c>
      <c r="F79">
        <f>IF(F78&lt;=0,0,MAX(0,AK79-R79))</f>
        <v/>
      </c>
      <c r="G79">
        <f>IF(G78&lt;=0,0,MAX(0,AL79-S79))</f>
        <v/>
      </c>
      <c r="H79">
        <f>IF(H78&lt;=0,0,MAX(0,AM79-T79))</f>
        <v/>
      </c>
      <c r="I79">
        <f>IF(I78&lt;=0,0,MAX(0,AN79-U79))</f>
        <v/>
      </c>
      <c r="J79">
        <f>IF(J78&lt;=0,0,MAX(0,AO79-V79))</f>
        <v/>
      </c>
      <c r="K79">
        <f>IF(K78&lt;=0,0,MAX(0,AP79-W79))</f>
        <v/>
      </c>
      <c r="L79">
        <f>IF(L78&lt;=0,0,MAX(0,AQ79-X79))</f>
        <v/>
      </c>
      <c r="M79">
        <f>IF(M78&lt;=0,0,MAX(0,AR79-Y79))</f>
        <v/>
      </c>
      <c r="N79">
        <f>IF(N78&lt;=0,0,MAX(0,AS79-Z79))</f>
        <v/>
      </c>
      <c r="O79">
        <f>IF(C78&lt;=0,0,MIN(AH79,C$7+IF(C$2=$AA79,$AC79,IF(C$2=$AF79,$AG79,0))))</f>
        <v/>
      </c>
      <c r="P79">
        <f>IF(D78&lt;=0,0,MIN(AI79,D$7+IF(D$2=$AA79,$AC79,IF(D$2=$AF79,$AG79,0))))</f>
        <v/>
      </c>
      <c r="Q79">
        <f>IF(E78&lt;=0,0,MIN(AJ79,E$7+IF(E$2=$AA79,$AC79,IF(E$2=$AF79,$AG79,0))))</f>
        <v/>
      </c>
      <c r="R79">
        <f>IF(F78&lt;=0,0,MIN(AK79,F$7+IF(F$2=$AA79,$AC79,IF(F$2=$AF79,$AG79,0))))</f>
        <v/>
      </c>
      <c r="S79">
        <f>IF(G78&lt;=0,0,MIN(AL79,G$7+IF(G$2=$AA79,$AC79,IF(G$2=$AF79,$AG79,0))))</f>
        <v/>
      </c>
      <c r="T79">
        <f>IF(H78&lt;=0,0,MIN(AM79,H$7+IF(H$2=$AA79,$AC79,IF(H$2=$AF79,$AG79,0))))</f>
        <v/>
      </c>
      <c r="U79">
        <f>IF(I78&lt;=0,0,MIN(AN79,I$7+IF(I$2=$AA79,$AC79,IF(I$2=$AF79,$AG79,0))))</f>
        <v/>
      </c>
      <c r="V79">
        <f>IF(J78&lt;=0,0,MIN(AO79,J$7+IF(J$2=$AA79,$AC79,IF(J$2=$AF79,$AG79,0))))</f>
        <v/>
      </c>
      <c r="W79">
        <f>IF(K78&lt;=0,0,MIN(AP79,K$7+IF(K$2=$AA79,$AC79,IF(K$2=$AF79,$AG79,0))))</f>
        <v/>
      </c>
      <c r="X79">
        <f>IF(L78&lt;=0,0,MIN(AQ79,L$7+IF(L$2=$AA79,$AC79,IF(L$2=$AF79,$AG79,0))))</f>
        <v/>
      </c>
      <c r="Y79">
        <f>IF(M78&lt;=0,0,MIN(AR79,M$7+IF(M$2=$AA79,$AC79,IF(M$2=$AF79,$AG79,0))))</f>
        <v/>
      </c>
      <c r="Z79">
        <f>IF(N78&lt;=0,0,MIN(AS79,N$7+IF(N$2=$AA79,$AC79,IF(N$2=$AF79,$AG79,0))))</f>
        <v/>
      </c>
      <c r="AA79">
        <f>IFERROR(ROUND(1/SUMPRODUCT(MAX((C78:N78&gt;0)*($C$3:$N$3&lt;=B79)/$C$2:$N$2)),0),0)</f>
        <v/>
      </c>
      <c r="AB79">
        <f>SUMPRODUCT((C78:N78&gt;0)*$C$7:$N$7)</f>
        <v/>
      </c>
      <c r="AC79">
        <f>MAX(0,Plan!$C$5-AB79)+IF(A79=Plan!$C$8,N(Plan!$C$7),0)</f>
        <v/>
      </c>
      <c r="AD79">
        <f>SUM(C79:N79)</f>
        <v/>
      </c>
      <c r="AE79">
        <f>SUM(O79:Z79)</f>
        <v/>
      </c>
      <c r="AF79">
        <f>IFERROR(ROUND(1/SUMPRODUCT(MAX((C78:N78&gt;0)*($C$3:$N$3&lt;=B79)*($C$2:$N$2&gt;AA79)/$C$2:$N$2)),0),0)</f>
        <v/>
      </c>
      <c r="AG79">
        <f>MAX(0,AC79-MAX(0,SUMPRODUCT(($C$2:$N$2=AA79)*(AH79:AS79-$C$7:$N$7))))</f>
        <v/>
      </c>
      <c r="AH79">
        <f>IF(C78&lt;=0,0,ROUND(C78*(1+IF(AND(C$6&gt;0,$B79&lt;C$6),C$4,C$5)/12),2))</f>
        <v/>
      </c>
      <c r="AI79">
        <f>IF(D78&lt;=0,0,ROUND(D78*(1+IF(AND(D$6&gt;0,$B79&lt;D$6),D$4,D$5)/12),2))</f>
        <v/>
      </c>
      <c r="AJ79">
        <f>IF(E78&lt;=0,0,ROUND(E78*(1+IF(AND(E$6&gt;0,$B79&lt;E$6),E$4,E$5)/12),2))</f>
        <v/>
      </c>
      <c r="AK79">
        <f>IF(F78&lt;=0,0,ROUND(F78*(1+IF(AND(F$6&gt;0,$B79&lt;F$6),F$4,F$5)/12),2))</f>
        <v/>
      </c>
      <c r="AL79">
        <f>IF(G78&lt;=0,0,ROUND(G78*(1+IF(AND(G$6&gt;0,$B79&lt;G$6),G$4,G$5)/12),2))</f>
        <v/>
      </c>
      <c r="AM79">
        <f>IF(H78&lt;=0,0,ROUND(H78*(1+IF(AND(H$6&gt;0,$B79&lt;H$6),H$4,H$5)/12),2))</f>
        <v/>
      </c>
      <c r="AN79">
        <f>IF(I78&lt;=0,0,ROUND(I78*(1+IF(AND(I$6&gt;0,$B79&lt;I$6),I$4,I$5)/12),2))</f>
        <v/>
      </c>
      <c r="AO79">
        <f>IF(J78&lt;=0,0,ROUND(J78*(1+IF(AND(J$6&gt;0,$B79&lt;J$6),J$4,J$5)/12),2))</f>
        <v/>
      </c>
      <c r="AP79">
        <f>IF(K78&lt;=0,0,ROUND(K78*(1+IF(AND(K$6&gt;0,$B79&lt;K$6),K$4,K$5)/12),2))</f>
        <v/>
      </c>
      <c r="AQ79">
        <f>IF(L78&lt;=0,0,ROUND(L78*(1+IF(AND(L$6&gt;0,$B79&lt;L$6),L$4,L$5)/12),2))</f>
        <v/>
      </c>
      <c r="AR79">
        <f>IF(M78&lt;=0,0,ROUND(M78*(1+IF(AND(M$6&gt;0,$B79&lt;M$6),M$4,M$5)/12),2))</f>
        <v/>
      </c>
      <c r="AS79">
        <f>IF(N78&lt;=0,0,ROUND(N78*(1+IF(AND(N$6&gt;0,$B79&lt;N$6),N$4,N$5)/12),2))</f>
        <v/>
      </c>
    </row>
    <row r="80">
      <c r="A80" t="n">
        <v>69</v>
      </c>
      <c r="B80">
        <f>EDATE(Plan!$C$6,68)</f>
        <v/>
      </c>
      <c r="C80">
        <f>IF(C79&lt;=0,0,MAX(0,AH80-O80))</f>
        <v/>
      </c>
      <c r="D80">
        <f>IF(D79&lt;=0,0,MAX(0,AI80-P80))</f>
        <v/>
      </c>
      <c r="E80">
        <f>IF(E79&lt;=0,0,MAX(0,AJ80-Q80))</f>
        <v/>
      </c>
      <c r="F80">
        <f>IF(F79&lt;=0,0,MAX(0,AK80-R80))</f>
        <v/>
      </c>
      <c r="G80">
        <f>IF(G79&lt;=0,0,MAX(0,AL80-S80))</f>
        <v/>
      </c>
      <c r="H80">
        <f>IF(H79&lt;=0,0,MAX(0,AM80-T80))</f>
        <v/>
      </c>
      <c r="I80">
        <f>IF(I79&lt;=0,0,MAX(0,AN80-U80))</f>
        <v/>
      </c>
      <c r="J80">
        <f>IF(J79&lt;=0,0,MAX(0,AO80-V80))</f>
        <v/>
      </c>
      <c r="K80">
        <f>IF(K79&lt;=0,0,MAX(0,AP80-W80))</f>
        <v/>
      </c>
      <c r="L80">
        <f>IF(L79&lt;=0,0,MAX(0,AQ80-X80))</f>
        <v/>
      </c>
      <c r="M80">
        <f>IF(M79&lt;=0,0,MAX(0,AR80-Y80))</f>
        <v/>
      </c>
      <c r="N80">
        <f>IF(N79&lt;=0,0,MAX(0,AS80-Z80))</f>
        <v/>
      </c>
      <c r="O80">
        <f>IF(C79&lt;=0,0,MIN(AH80,C$7+IF(C$2=$AA80,$AC80,IF(C$2=$AF80,$AG80,0))))</f>
        <v/>
      </c>
      <c r="P80">
        <f>IF(D79&lt;=0,0,MIN(AI80,D$7+IF(D$2=$AA80,$AC80,IF(D$2=$AF80,$AG80,0))))</f>
        <v/>
      </c>
      <c r="Q80">
        <f>IF(E79&lt;=0,0,MIN(AJ80,E$7+IF(E$2=$AA80,$AC80,IF(E$2=$AF80,$AG80,0))))</f>
        <v/>
      </c>
      <c r="R80">
        <f>IF(F79&lt;=0,0,MIN(AK80,F$7+IF(F$2=$AA80,$AC80,IF(F$2=$AF80,$AG80,0))))</f>
        <v/>
      </c>
      <c r="S80">
        <f>IF(G79&lt;=0,0,MIN(AL80,G$7+IF(G$2=$AA80,$AC80,IF(G$2=$AF80,$AG80,0))))</f>
        <v/>
      </c>
      <c r="T80">
        <f>IF(H79&lt;=0,0,MIN(AM80,H$7+IF(H$2=$AA80,$AC80,IF(H$2=$AF80,$AG80,0))))</f>
        <v/>
      </c>
      <c r="U80">
        <f>IF(I79&lt;=0,0,MIN(AN80,I$7+IF(I$2=$AA80,$AC80,IF(I$2=$AF80,$AG80,0))))</f>
        <v/>
      </c>
      <c r="V80">
        <f>IF(J79&lt;=0,0,MIN(AO80,J$7+IF(J$2=$AA80,$AC80,IF(J$2=$AF80,$AG80,0))))</f>
        <v/>
      </c>
      <c r="W80">
        <f>IF(K79&lt;=0,0,MIN(AP80,K$7+IF(K$2=$AA80,$AC80,IF(K$2=$AF80,$AG80,0))))</f>
        <v/>
      </c>
      <c r="X80">
        <f>IF(L79&lt;=0,0,MIN(AQ80,L$7+IF(L$2=$AA80,$AC80,IF(L$2=$AF80,$AG80,0))))</f>
        <v/>
      </c>
      <c r="Y80">
        <f>IF(M79&lt;=0,0,MIN(AR80,M$7+IF(M$2=$AA80,$AC80,IF(M$2=$AF80,$AG80,0))))</f>
        <v/>
      </c>
      <c r="Z80">
        <f>IF(N79&lt;=0,0,MIN(AS80,N$7+IF(N$2=$AA80,$AC80,IF(N$2=$AF80,$AG80,0))))</f>
        <v/>
      </c>
      <c r="AA80">
        <f>IFERROR(ROUND(1/SUMPRODUCT(MAX((C79:N79&gt;0)*($C$3:$N$3&lt;=B80)/$C$2:$N$2)),0),0)</f>
        <v/>
      </c>
      <c r="AB80">
        <f>SUMPRODUCT((C79:N79&gt;0)*$C$7:$N$7)</f>
        <v/>
      </c>
      <c r="AC80">
        <f>MAX(0,Plan!$C$5-AB80)+IF(A80=Plan!$C$8,N(Plan!$C$7),0)</f>
        <v/>
      </c>
      <c r="AD80">
        <f>SUM(C80:N80)</f>
        <v/>
      </c>
      <c r="AE80">
        <f>SUM(O80:Z80)</f>
        <v/>
      </c>
      <c r="AF80">
        <f>IFERROR(ROUND(1/SUMPRODUCT(MAX((C79:N79&gt;0)*($C$3:$N$3&lt;=B80)*($C$2:$N$2&gt;AA80)/$C$2:$N$2)),0),0)</f>
        <v/>
      </c>
      <c r="AG80">
        <f>MAX(0,AC80-MAX(0,SUMPRODUCT(($C$2:$N$2=AA80)*(AH80:AS80-$C$7:$N$7))))</f>
        <v/>
      </c>
      <c r="AH80">
        <f>IF(C79&lt;=0,0,ROUND(C79*(1+IF(AND(C$6&gt;0,$B80&lt;C$6),C$4,C$5)/12),2))</f>
        <v/>
      </c>
      <c r="AI80">
        <f>IF(D79&lt;=0,0,ROUND(D79*(1+IF(AND(D$6&gt;0,$B80&lt;D$6),D$4,D$5)/12),2))</f>
        <v/>
      </c>
      <c r="AJ80">
        <f>IF(E79&lt;=0,0,ROUND(E79*(1+IF(AND(E$6&gt;0,$B80&lt;E$6),E$4,E$5)/12),2))</f>
        <v/>
      </c>
      <c r="AK80">
        <f>IF(F79&lt;=0,0,ROUND(F79*(1+IF(AND(F$6&gt;0,$B80&lt;F$6),F$4,F$5)/12),2))</f>
        <v/>
      </c>
      <c r="AL80">
        <f>IF(G79&lt;=0,0,ROUND(G79*(1+IF(AND(G$6&gt;0,$B80&lt;G$6),G$4,G$5)/12),2))</f>
        <v/>
      </c>
      <c r="AM80">
        <f>IF(H79&lt;=0,0,ROUND(H79*(1+IF(AND(H$6&gt;0,$B80&lt;H$6),H$4,H$5)/12),2))</f>
        <v/>
      </c>
      <c r="AN80">
        <f>IF(I79&lt;=0,0,ROUND(I79*(1+IF(AND(I$6&gt;0,$B80&lt;I$6),I$4,I$5)/12),2))</f>
        <v/>
      </c>
      <c r="AO80">
        <f>IF(J79&lt;=0,0,ROUND(J79*(1+IF(AND(J$6&gt;0,$B80&lt;J$6),J$4,J$5)/12),2))</f>
        <v/>
      </c>
      <c r="AP80">
        <f>IF(K79&lt;=0,0,ROUND(K79*(1+IF(AND(K$6&gt;0,$B80&lt;K$6),K$4,K$5)/12),2))</f>
        <v/>
      </c>
      <c r="AQ80">
        <f>IF(L79&lt;=0,0,ROUND(L79*(1+IF(AND(L$6&gt;0,$B80&lt;L$6),L$4,L$5)/12),2))</f>
        <v/>
      </c>
      <c r="AR80">
        <f>IF(M79&lt;=0,0,ROUND(M79*(1+IF(AND(M$6&gt;0,$B80&lt;M$6),M$4,M$5)/12),2))</f>
        <v/>
      </c>
      <c r="AS80">
        <f>IF(N79&lt;=0,0,ROUND(N79*(1+IF(AND(N$6&gt;0,$B80&lt;N$6),N$4,N$5)/12),2))</f>
        <v/>
      </c>
    </row>
    <row r="81">
      <c r="A81" t="n">
        <v>70</v>
      </c>
      <c r="B81">
        <f>EDATE(Plan!$C$6,69)</f>
        <v/>
      </c>
      <c r="C81">
        <f>IF(C80&lt;=0,0,MAX(0,AH81-O81))</f>
        <v/>
      </c>
      <c r="D81">
        <f>IF(D80&lt;=0,0,MAX(0,AI81-P81))</f>
        <v/>
      </c>
      <c r="E81">
        <f>IF(E80&lt;=0,0,MAX(0,AJ81-Q81))</f>
        <v/>
      </c>
      <c r="F81">
        <f>IF(F80&lt;=0,0,MAX(0,AK81-R81))</f>
        <v/>
      </c>
      <c r="G81">
        <f>IF(G80&lt;=0,0,MAX(0,AL81-S81))</f>
        <v/>
      </c>
      <c r="H81">
        <f>IF(H80&lt;=0,0,MAX(0,AM81-T81))</f>
        <v/>
      </c>
      <c r="I81">
        <f>IF(I80&lt;=0,0,MAX(0,AN81-U81))</f>
        <v/>
      </c>
      <c r="J81">
        <f>IF(J80&lt;=0,0,MAX(0,AO81-V81))</f>
        <v/>
      </c>
      <c r="K81">
        <f>IF(K80&lt;=0,0,MAX(0,AP81-W81))</f>
        <v/>
      </c>
      <c r="L81">
        <f>IF(L80&lt;=0,0,MAX(0,AQ81-X81))</f>
        <v/>
      </c>
      <c r="M81">
        <f>IF(M80&lt;=0,0,MAX(0,AR81-Y81))</f>
        <v/>
      </c>
      <c r="N81">
        <f>IF(N80&lt;=0,0,MAX(0,AS81-Z81))</f>
        <v/>
      </c>
      <c r="O81">
        <f>IF(C80&lt;=0,0,MIN(AH81,C$7+IF(C$2=$AA81,$AC81,IF(C$2=$AF81,$AG81,0))))</f>
        <v/>
      </c>
      <c r="P81">
        <f>IF(D80&lt;=0,0,MIN(AI81,D$7+IF(D$2=$AA81,$AC81,IF(D$2=$AF81,$AG81,0))))</f>
        <v/>
      </c>
      <c r="Q81">
        <f>IF(E80&lt;=0,0,MIN(AJ81,E$7+IF(E$2=$AA81,$AC81,IF(E$2=$AF81,$AG81,0))))</f>
        <v/>
      </c>
      <c r="R81">
        <f>IF(F80&lt;=0,0,MIN(AK81,F$7+IF(F$2=$AA81,$AC81,IF(F$2=$AF81,$AG81,0))))</f>
        <v/>
      </c>
      <c r="S81">
        <f>IF(G80&lt;=0,0,MIN(AL81,G$7+IF(G$2=$AA81,$AC81,IF(G$2=$AF81,$AG81,0))))</f>
        <v/>
      </c>
      <c r="T81">
        <f>IF(H80&lt;=0,0,MIN(AM81,H$7+IF(H$2=$AA81,$AC81,IF(H$2=$AF81,$AG81,0))))</f>
        <v/>
      </c>
      <c r="U81">
        <f>IF(I80&lt;=0,0,MIN(AN81,I$7+IF(I$2=$AA81,$AC81,IF(I$2=$AF81,$AG81,0))))</f>
        <v/>
      </c>
      <c r="V81">
        <f>IF(J80&lt;=0,0,MIN(AO81,J$7+IF(J$2=$AA81,$AC81,IF(J$2=$AF81,$AG81,0))))</f>
        <v/>
      </c>
      <c r="W81">
        <f>IF(K80&lt;=0,0,MIN(AP81,K$7+IF(K$2=$AA81,$AC81,IF(K$2=$AF81,$AG81,0))))</f>
        <v/>
      </c>
      <c r="X81">
        <f>IF(L80&lt;=0,0,MIN(AQ81,L$7+IF(L$2=$AA81,$AC81,IF(L$2=$AF81,$AG81,0))))</f>
        <v/>
      </c>
      <c r="Y81">
        <f>IF(M80&lt;=0,0,MIN(AR81,M$7+IF(M$2=$AA81,$AC81,IF(M$2=$AF81,$AG81,0))))</f>
        <v/>
      </c>
      <c r="Z81">
        <f>IF(N80&lt;=0,0,MIN(AS81,N$7+IF(N$2=$AA81,$AC81,IF(N$2=$AF81,$AG81,0))))</f>
        <v/>
      </c>
      <c r="AA81">
        <f>IFERROR(ROUND(1/SUMPRODUCT(MAX((C80:N80&gt;0)*($C$3:$N$3&lt;=B81)/$C$2:$N$2)),0),0)</f>
        <v/>
      </c>
      <c r="AB81">
        <f>SUMPRODUCT((C80:N80&gt;0)*$C$7:$N$7)</f>
        <v/>
      </c>
      <c r="AC81">
        <f>MAX(0,Plan!$C$5-AB81)+IF(A81=Plan!$C$8,N(Plan!$C$7),0)</f>
        <v/>
      </c>
      <c r="AD81">
        <f>SUM(C81:N81)</f>
        <v/>
      </c>
      <c r="AE81">
        <f>SUM(O81:Z81)</f>
        <v/>
      </c>
      <c r="AF81">
        <f>IFERROR(ROUND(1/SUMPRODUCT(MAX((C80:N80&gt;0)*($C$3:$N$3&lt;=B81)*($C$2:$N$2&gt;AA81)/$C$2:$N$2)),0),0)</f>
        <v/>
      </c>
      <c r="AG81">
        <f>MAX(0,AC81-MAX(0,SUMPRODUCT(($C$2:$N$2=AA81)*(AH81:AS81-$C$7:$N$7))))</f>
        <v/>
      </c>
      <c r="AH81">
        <f>IF(C80&lt;=0,0,ROUND(C80*(1+IF(AND(C$6&gt;0,$B81&lt;C$6),C$4,C$5)/12),2))</f>
        <v/>
      </c>
      <c r="AI81">
        <f>IF(D80&lt;=0,0,ROUND(D80*(1+IF(AND(D$6&gt;0,$B81&lt;D$6),D$4,D$5)/12),2))</f>
        <v/>
      </c>
      <c r="AJ81">
        <f>IF(E80&lt;=0,0,ROUND(E80*(1+IF(AND(E$6&gt;0,$B81&lt;E$6),E$4,E$5)/12),2))</f>
        <v/>
      </c>
      <c r="AK81">
        <f>IF(F80&lt;=0,0,ROUND(F80*(1+IF(AND(F$6&gt;0,$B81&lt;F$6),F$4,F$5)/12),2))</f>
        <v/>
      </c>
      <c r="AL81">
        <f>IF(G80&lt;=0,0,ROUND(G80*(1+IF(AND(G$6&gt;0,$B81&lt;G$6),G$4,G$5)/12),2))</f>
        <v/>
      </c>
      <c r="AM81">
        <f>IF(H80&lt;=0,0,ROUND(H80*(1+IF(AND(H$6&gt;0,$B81&lt;H$6),H$4,H$5)/12),2))</f>
        <v/>
      </c>
      <c r="AN81">
        <f>IF(I80&lt;=0,0,ROUND(I80*(1+IF(AND(I$6&gt;0,$B81&lt;I$6),I$4,I$5)/12),2))</f>
        <v/>
      </c>
      <c r="AO81">
        <f>IF(J80&lt;=0,0,ROUND(J80*(1+IF(AND(J$6&gt;0,$B81&lt;J$6),J$4,J$5)/12),2))</f>
        <v/>
      </c>
      <c r="AP81">
        <f>IF(K80&lt;=0,0,ROUND(K80*(1+IF(AND(K$6&gt;0,$B81&lt;K$6),K$4,K$5)/12),2))</f>
        <v/>
      </c>
      <c r="AQ81">
        <f>IF(L80&lt;=0,0,ROUND(L80*(1+IF(AND(L$6&gt;0,$B81&lt;L$6),L$4,L$5)/12),2))</f>
        <v/>
      </c>
      <c r="AR81">
        <f>IF(M80&lt;=0,0,ROUND(M80*(1+IF(AND(M$6&gt;0,$B81&lt;M$6),M$4,M$5)/12),2))</f>
        <v/>
      </c>
      <c r="AS81">
        <f>IF(N80&lt;=0,0,ROUND(N80*(1+IF(AND(N$6&gt;0,$B81&lt;N$6),N$4,N$5)/12),2))</f>
        <v/>
      </c>
    </row>
    <row r="82">
      <c r="A82" t="n">
        <v>71</v>
      </c>
      <c r="B82">
        <f>EDATE(Plan!$C$6,70)</f>
        <v/>
      </c>
      <c r="C82">
        <f>IF(C81&lt;=0,0,MAX(0,AH82-O82))</f>
        <v/>
      </c>
      <c r="D82">
        <f>IF(D81&lt;=0,0,MAX(0,AI82-P82))</f>
        <v/>
      </c>
      <c r="E82">
        <f>IF(E81&lt;=0,0,MAX(0,AJ82-Q82))</f>
        <v/>
      </c>
      <c r="F82">
        <f>IF(F81&lt;=0,0,MAX(0,AK82-R82))</f>
        <v/>
      </c>
      <c r="G82">
        <f>IF(G81&lt;=0,0,MAX(0,AL82-S82))</f>
        <v/>
      </c>
      <c r="H82">
        <f>IF(H81&lt;=0,0,MAX(0,AM82-T82))</f>
        <v/>
      </c>
      <c r="I82">
        <f>IF(I81&lt;=0,0,MAX(0,AN82-U82))</f>
        <v/>
      </c>
      <c r="J82">
        <f>IF(J81&lt;=0,0,MAX(0,AO82-V82))</f>
        <v/>
      </c>
      <c r="K82">
        <f>IF(K81&lt;=0,0,MAX(0,AP82-W82))</f>
        <v/>
      </c>
      <c r="L82">
        <f>IF(L81&lt;=0,0,MAX(0,AQ82-X82))</f>
        <v/>
      </c>
      <c r="M82">
        <f>IF(M81&lt;=0,0,MAX(0,AR82-Y82))</f>
        <v/>
      </c>
      <c r="N82">
        <f>IF(N81&lt;=0,0,MAX(0,AS82-Z82))</f>
        <v/>
      </c>
      <c r="O82">
        <f>IF(C81&lt;=0,0,MIN(AH82,C$7+IF(C$2=$AA82,$AC82,IF(C$2=$AF82,$AG82,0))))</f>
        <v/>
      </c>
      <c r="P82">
        <f>IF(D81&lt;=0,0,MIN(AI82,D$7+IF(D$2=$AA82,$AC82,IF(D$2=$AF82,$AG82,0))))</f>
        <v/>
      </c>
      <c r="Q82">
        <f>IF(E81&lt;=0,0,MIN(AJ82,E$7+IF(E$2=$AA82,$AC82,IF(E$2=$AF82,$AG82,0))))</f>
        <v/>
      </c>
      <c r="R82">
        <f>IF(F81&lt;=0,0,MIN(AK82,F$7+IF(F$2=$AA82,$AC82,IF(F$2=$AF82,$AG82,0))))</f>
        <v/>
      </c>
      <c r="S82">
        <f>IF(G81&lt;=0,0,MIN(AL82,G$7+IF(G$2=$AA82,$AC82,IF(G$2=$AF82,$AG82,0))))</f>
        <v/>
      </c>
      <c r="T82">
        <f>IF(H81&lt;=0,0,MIN(AM82,H$7+IF(H$2=$AA82,$AC82,IF(H$2=$AF82,$AG82,0))))</f>
        <v/>
      </c>
      <c r="U82">
        <f>IF(I81&lt;=0,0,MIN(AN82,I$7+IF(I$2=$AA82,$AC82,IF(I$2=$AF82,$AG82,0))))</f>
        <v/>
      </c>
      <c r="V82">
        <f>IF(J81&lt;=0,0,MIN(AO82,J$7+IF(J$2=$AA82,$AC82,IF(J$2=$AF82,$AG82,0))))</f>
        <v/>
      </c>
      <c r="W82">
        <f>IF(K81&lt;=0,0,MIN(AP82,K$7+IF(K$2=$AA82,$AC82,IF(K$2=$AF82,$AG82,0))))</f>
        <v/>
      </c>
      <c r="X82">
        <f>IF(L81&lt;=0,0,MIN(AQ82,L$7+IF(L$2=$AA82,$AC82,IF(L$2=$AF82,$AG82,0))))</f>
        <v/>
      </c>
      <c r="Y82">
        <f>IF(M81&lt;=0,0,MIN(AR82,M$7+IF(M$2=$AA82,$AC82,IF(M$2=$AF82,$AG82,0))))</f>
        <v/>
      </c>
      <c r="Z82">
        <f>IF(N81&lt;=0,0,MIN(AS82,N$7+IF(N$2=$AA82,$AC82,IF(N$2=$AF82,$AG82,0))))</f>
        <v/>
      </c>
      <c r="AA82">
        <f>IFERROR(ROUND(1/SUMPRODUCT(MAX((C81:N81&gt;0)*($C$3:$N$3&lt;=B82)/$C$2:$N$2)),0),0)</f>
        <v/>
      </c>
      <c r="AB82">
        <f>SUMPRODUCT((C81:N81&gt;0)*$C$7:$N$7)</f>
        <v/>
      </c>
      <c r="AC82">
        <f>MAX(0,Plan!$C$5-AB82)+IF(A82=Plan!$C$8,N(Plan!$C$7),0)</f>
        <v/>
      </c>
      <c r="AD82">
        <f>SUM(C82:N82)</f>
        <v/>
      </c>
      <c r="AE82">
        <f>SUM(O82:Z82)</f>
        <v/>
      </c>
      <c r="AF82">
        <f>IFERROR(ROUND(1/SUMPRODUCT(MAX((C81:N81&gt;0)*($C$3:$N$3&lt;=B82)*($C$2:$N$2&gt;AA82)/$C$2:$N$2)),0),0)</f>
        <v/>
      </c>
      <c r="AG82">
        <f>MAX(0,AC82-MAX(0,SUMPRODUCT(($C$2:$N$2=AA82)*(AH82:AS82-$C$7:$N$7))))</f>
        <v/>
      </c>
      <c r="AH82">
        <f>IF(C81&lt;=0,0,ROUND(C81*(1+IF(AND(C$6&gt;0,$B82&lt;C$6),C$4,C$5)/12),2))</f>
        <v/>
      </c>
      <c r="AI82">
        <f>IF(D81&lt;=0,0,ROUND(D81*(1+IF(AND(D$6&gt;0,$B82&lt;D$6),D$4,D$5)/12),2))</f>
        <v/>
      </c>
      <c r="AJ82">
        <f>IF(E81&lt;=0,0,ROUND(E81*(1+IF(AND(E$6&gt;0,$B82&lt;E$6),E$4,E$5)/12),2))</f>
        <v/>
      </c>
      <c r="AK82">
        <f>IF(F81&lt;=0,0,ROUND(F81*(1+IF(AND(F$6&gt;0,$B82&lt;F$6),F$4,F$5)/12),2))</f>
        <v/>
      </c>
      <c r="AL82">
        <f>IF(G81&lt;=0,0,ROUND(G81*(1+IF(AND(G$6&gt;0,$B82&lt;G$6),G$4,G$5)/12),2))</f>
        <v/>
      </c>
      <c r="AM82">
        <f>IF(H81&lt;=0,0,ROUND(H81*(1+IF(AND(H$6&gt;0,$B82&lt;H$6),H$4,H$5)/12),2))</f>
        <v/>
      </c>
      <c r="AN82">
        <f>IF(I81&lt;=0,0,ROUND(I81*(1+IF(AND(I$6&gt;0,$B82&lt;I$6),I$4,I$5)/12),2))</f>
        <v/>
      </c>
      <c r="AO82">
        <f>IF(J81&lt;=0,0,ROUND(J81*(1+IF(AND(J$6&gt;0,$B82&lt;J$6),J$4,J$5)/12),2))</f>
        <v/>
      </c>
      <c r="AP82">
        <f>IF(K81&lt;=0,0,ROUND(K81*(1+IF(AND(K$6&gt;0,$B82&lt;K$6),K$4,K$5)/12),2))</f>
        <v/>
      </c>
      <c r="AQ82">
        <f>IF(L81&lt;=0,0,ROUND(L81*(1+IF(AND(L$6&gt;0,$B82&lt;L$6),L$4,L$5)/12),2))</f>
        <v/>
      </c>
      <c r="AR82">
        <f>IF(M81&lt;=0,0,ROUND(M81*(1+IF(AND(M$6&gt;0,$B82&lt;M$6),M$4,M$5)/12),2))</f>
        <v/>
      </c>
      <c r="AS82">
        <f>IF(N81&lt;=0,0,ROUND(N81*(1+IF(AND(N$6&gt;0,$B82&lt;N$6),N$4,N$5)/12),2))</f>
        <v/>
      </c>
    </row>
    <row r="83">
      <c r="A83" t="n">
        <v>72</v>
      </c>
      <c r="B83">
        <f>EDATE(Plan!$C$6,71)</f>
        <v/>
      </c>
      <c r="C83">
        <f>IF(C82&lt;=0,0,MAX(0,AH83-O83))</f>
        <v/>
      </c>
      <c r="D83">
        <f>IF(D82&lt;=0,0,MAX(0,AI83-P83))</f>
        <v/>
      </c>
      <c r="E83">
        <f>IF(E82&lt;=0,0,MAX(0,AJ83-Q83))</f>
        <v/>
      </c>
      <c r="F83">
        <f>IF(F82&lt;=0,0,MAX(0,AK83-R83))</f>
        <v/>
      </c>
      <c r="G83">
        <f>IF(G82&lt;=0,0,MAX(0,AL83-S83))</f>
        <v/>
      </c>
      <c r="H83">
        <f>IF(H82&lt;=0,0,MAX(0,AM83-T83))</f>
        <v/>
      </c>
      <c r="I83">
        <f>IF(I82&lt;=0,0,MAX(0,AN83-U83))</f>
        <v/>
      </c>
      <c r="J83">
        <f>IF(J82&lt;=0,0,MAX(0,AO83-V83))</f>
        <v/>
      </c>
      <c r="K83">
        <f>IF(K82&lt;=0,0,MAX(0,AP83-W83))</f>
        <v/>
      </c>
      <c r="L83">
        <f>IF(L82&lt;=0,0,MAX(0,AQ83-X83))</f>
        <v/>
      </c>
      <c r="M83">
        <f>IF(M82&lt;=0,0,MAX(0,AR83-Y83))</f>
        <v/>
      </c>
      <c r="N83">
        <f>IF(N82&lt;=0,0,MAX(0,AS83-Z83))</f>
        <v/>
      </c>
      <c r="O83">
        <f>IF(C82&lt;=0,0,MIN(AH83,C$7+IF(C$2=$AA83,$AC83,IF(C$2=$AF83,$AG83,0))))</f>
        <v/>
      </c>
      <c r="P83">
        <f>IF(D82&lt;=0,0,MIN(AI83,D$7+IF(D$2=$AA83,$AC83,IF(D$2=$AF83,$AG83,0))))</f>
        <v/>
      </c>
      <c r="Q83">
        <f>IF(E82&lt;=0,0,MIN(AJ83,E$7+IF(E$2=$AA83,$AC83,IF(E$2=$AF83,$AG83,0))))</f>
        <v/>
      </c>
      <c r="R83">
        <f>IF(F82&lt;=0,0,MIN(AK83,F$7+IF(F$2=$AA83,$AC83,IF(F$2=$AF83,$AG83,0))))</f>
        <v/>
      </c>
      <c r="S83">
        <f>IF(G82&lt;=0,0,MIN(AL83,G$7+IF(G$2=$AA83,$AC83,IF(G$2=$AF83,$AG83,0))))</f>
        <v/>
      </c>
      <c r="T83">
        <f>IF(H82&lt;=0,0,MIN(AM83,H$7+IF(H$2=$AA83,$AC83,IF(H$2=$AF83,$AG83,0))))</f>
        <v/>
      </c>
      <c r="U83">
        <f>IF(I82&lt;=0,0,MIN(AN83,I$7+IF(I$2=$AA83,$AC83,IF(I$2=$AF83,$AG83,0))))</f>
        <v/>
      </c>
      <c r="V83">
        <f>IF(J82&lt;=0,0,MIN(AO83,J$7+IF(J$2=$AA83,$AC83,IF(J$2=$AF83,$AG83,0))))</f>
        <v/>
      </c>
      <c r="W83">
        <f>IF(K82&lt;=0,0,MIN(AP83,K$7+IF(K$2=$AA83,$AC83,IF(K$2=$AF83,$AG83,0))))</f>
        <v/>
      </c>
      <c r="X83">
        <f>IF(L82&lt;=0,0,MIN(AQ83,L$7+IF(L$2=$AA83,$AC83,IF(L$2=$AF83,$AG83,0))))</f>
        <v/>
      </c>
      <c r="Y83">
        <f>IF(M82&lt;=0,0,MIN(AR83,M$7+IF(M$2=$AA83,$AC83,IF(M$2=$AF83,$AG83,0))))</f>
        <v/>
      </c>
      <c r="Z83">
        <f>IF(N82&lt;=0,0,MIN(AS83,N$7+IF(N$2=$AA83,$AC83,IF(N$2=$AF83,$AG83,0))))</f>
        <v/>
      </c>
      <c r="AA83">
        <f>IFERROR(ROUND(1/SUMPRODUCT(MAX((C82:N82&gt;0)*($C$3:$N$3&lt;=B83)/$C$2:$N$2)),0),0)</f>
        <v/>
      </c>
      <c r="AB83">
        <f>SUMPRODUCT((C82:N82&gt;0)*$C$7:$N$7)</f>
        <v/>
      </c>
      <c r="AC83">
        <f>MAX(0,Plan!$C$5-AB83)+IF(A83=Plan!$C$8,N(Plan!$C$7),0)</f>
        <v/>
      </c>
      <c r="AD83">
        <f>SUM(C83:N83)</f>
        <v/>
      </c>
      <c r="AE83">
        <f>SUM(O83:Z83)</f>
        <v/>
      </c>
      <c r="AF83">
        <f>IFERROR(ROUND(1/SUMPRODUCT(MAX((C82:N82&gt;0)*($C$3:$N$3&lt;=B83)*($C$2:$N$2&gt;AA83)/$C$2:$N$2)),0),0)</f>
        <v/>
      </c>
      <c r="AG83">
        <f>MAX(0,AC83-MAX(0,SUMPRODUCT(($C$2:$N$2=AA83)*(AH83:AS83-$C$7:$N$7))))</f>
        <v/>
      </c>
      <c r="AH83">
        <f>IF(C82&lt;=0,0,ROUND(C82*(1+IF(AND(C$6&gt;0,$B83&lt;C$6),C$4,C$5)/12),2))</f>
        <v/>
      </c>
      <c r="AI83">
        <f>IF(D82&lt;=0,0,ROUND(D82*(1+IF(AND(D$6&gt;0,$B83&lt;D$6),D$4,D$5)/12),2))</f>
        <v/>
      </c>
      <c r="AJ83">
        <f>IF(E82&lt;=0,0,ROUND(E82*(1+IF(AND(E$6&gt;0,$B83&lt;E$6),E$4,E$5)/12),2))</f>
        <v/>
      </c>
      <c r="AK83">
        <f>IF(F82&lt;=0,0,ROUND(F82*(1+IF(AND(F$6&gt;0,$B83&lt;F$6),F$4,F$5)/12),2))</f>
        <v/>
      </c>
      <c r="AL83">
        <f>IF(G82&lt;=0,0,ROUND(G82*(1+IF(AND(G$6&gt;0,$B83&lt;G$6),G$4,G$5)/12),2))</f>
        <v/>
      </c>
      <c r="AM83">
        <f>IF(H82&lt;=0,0,ROUND(H82*(1+IF(AND(H$6&gt;0,$B83&lt;H$6),H$4,H$5)/12),2))</f>
        <v/>
      </c>
      <c r="AN83">
        <f>IF(I82&lt;=0,0,ROUND(I82*(1+IF(AND(I$6&gt;0,$B83&lt;I$6),I$4,I$5)/12),2))</f>
        <v/>
      </c>
      <c r="AO83">
        <f>IF(J82&lt;=0,0,ROUND(J82*(1+IF(AND(J$6&gt;0,$B83&lt;J$6),J$4,J$5)/12),2))</f>
        <v/>
      </c>
      <c r="AP83">
        <f>IF(K82&lt;=0,0,ROUND(K82*(1+IF(AND(K$6&gt;0,$B83&lt;K$6),K$4,K$5)/12),2))</f>
        <v/>
      </c>
      <c r="AQ83">
        <f>IF(L82&lt;=0,0,ROUND(L82*(1+IF(AND(L$6&gt;0,$B83&lt;L$6),L$4,L$5)/12),2))</f>
        <v/>
      </c>
      <c r="AR83">
        <f>IF(M82&lt;=0,0,ROUND(M82*(1+IF(AND(M$6&gt;0,$B83&lt;M$6),M$4,M$5)/12),2))</f>
        <v/>
      </c>
      <c r="AS83">
        <f>IF(N82&lt;=0,0,ROUND(N82*(1+IF(AND(N$6&gt;0,$B83&lt;N$6),N$4,N$5)/12),2))</f>
        <v/>
      </c>
    </row>
    <row r="84">
      <c r="A84" t="n">
        <v>73</v>
      </c>
      <c r="B84">
        <f>EDATE(Plan!$C$6,72)</f>
        <v/>
      </c>
      <c r="C84">
        <f>IF(C83&lt;=0,0,MAX(0,AH84-O84))</f>
        <v/>
      </c>
      <c r="D84">
        <f>IF(D83&lt;=0,0,MAX(0,AI84-P84))</f>
        <v/>
      </c>
      <c r="E84">
        <f>IF(E83&lt;=0,0,MAX(0,AJ84-Q84))</f>
        <v/>
      </c>
      <c r="F84">
        <f>IF(F83&lt;=0,0,MAX(0,AK84-R84))</f>
        <v/>
      </c>
      <c r="G84">
        <f>IF(G83&lt;=0,0,MAX(0,AL84-S84))</f>
        <v/>
      </c>
      <c r="H84">
        <f>IF(H83&lt;=0,0,MAX(0,AM84-T84))</f>
        <v/>
      </c>
      <c r="I84">
        <f>IF(I83&lt;=0,0,MAX(0,AN84-U84))</f>
        <v/>
      </c>
      <c r="J84">
        <f>IF(J83&lt;=0,0,MAX(0,AO84-V84))</f>
        <v/>
      </c>
      <c r="K84">
        <f>IF(K83&lt;=0,0,MAX(0,AP84-W84))</f>
        <v/>
      </c>
      <c r="L84">
        <f>IF(L83&lt;=0,0,MAX(0,AQ84-X84))</f>
        <v/>
      </c>
      <c r="M84">
        <f>IF(M83&lt;=0,0,MAX(0,AR84-Y84))</f>
        <v/>
      </c>
      <c r="N84">
        <f>IF(N83&lt;=0,0,MAX(0,AS84-Z84))</f>
        <v/>
      </c>
      <c r="O84">
        <f>IF(C83&lt;=0,0,MIN(AH84,C$7+IF(C$2=$AA84,$AC84,IF(C$2=$AF84,$AG84,0))))</f>
        <v/>
      </c>
      <c r="P84">
        <f>IF(D83&lt;=0,0,MIN(AI84,D$7+IF(D$2=$AA84,$AC84,IF(D$2=$AF84,$AG84,0))))</f>
        <v/>
      </c>
      <c r="Q84">
        <f>IF(E83&lt;=0,0,MIN(AJ84,E$7+IF(E$2=$AA84,$AC84,IF(E$2=$AF84,$AG84,0))))</f>
        <v/>
      </c>
      <c r="R84">
        <f>IF(F83&lt;=0,0,MIN(AK84,F$7+IF(F$2=$AA84,$AC84,IF(F$2=$AF84,$AG84,0))))</f>
        <v/>
      </c>
      <c r="S84">
        <f>IF(G83&lt;=0,0,MIN(AL84,G$7+IF(G$2=$AA84,$AC84,IF(G$2=$AF84,$AG84,0))))</f>
        <v/>
      </c>
      <c r="T84">
        <f>IF(H83&lt;=0,0,MIN(AM84,H$7+IF(H$2=$AA84,$AC84,IF(H$2=$AF84,$AG84,0))))</f>
        <v/>
      </c>
      <c r="U84">
        <f>IF(I83&lt;=0,0,MIN(AN84,I$7+IF(I$2=$AA84,$AC84,IF(I$2=$AF84,$AG84,0))))</f>
        <v/>
      </c>
      <c r="V84">
        <f>IF(J83&lt;=0,0,MIN(AO84,J$7+IF(J$2=$AA84,$AC84,IF(J$2=$AF84,$AG84,0))))</f>
        <v/>
      </c>
      <c r="W84">
        <f>IF(K83&lt;=0,0,MIN(AP84,K$7+IF(K$2=$AA84,$AC84,IF(K$2=$AF84,$AG84,0))))</f>
        <v/>
      </c>
      <c r="X84">
        <f>IF(L83&lt;=0,0,MIN(AQ84,L$7+IF(L$2=$AA84,$AC84,IF(L$2=$AF84,$AG84,0))))</f>
        <v/>
      </c>
      <c r="Y84">
        <f>IF(M83&lt;=0,0,MIN(AR84,M$7+IF(M$2=$AA84,$AC84,IF(M$2=$AF84,$AG84,0))))</f>
        <v/>
      </c>
      <c r="Z84">
        <f>IF(N83&lt;=0,0,MIN(AS84,N$7+IF(N$2=$AA84,$AC84,IF(N$2=$AF84,$AG84,0))))</f>
        <v/>
      </c>
      <c r="AA84">
        <f>IFERROR(ROUND(1/SUMPRODUCT(MAX((C83:N83&gt;0)*($C$3:$N$3&lt;=B84)/$C$2:$N$2)),0),0)</f>
        <v/>
      </c>
      <c r="AB84">
        <f>SUMPRODUCT((C83:N83&gt;0)*$C$7:$N$7)</f>
        <v/>
      </c>
      <c r="AC84">
        <f>MAX(0,Plan!$C$5-AB84)+IF(A84=Plan!$C$8,N(Plan!$C$7),0)</f>
        <v/>
      </c>
      <c r="AD84">
        <f>SUM(C84:N84)</f>
        <v/>
      </c>
      <c r="AE84">
        <f>SUM(O84:Z84)</f>
        <v/>
      </c>
      <c r="AF84">
        <f>IFERROR(ROUND(1/SUMPRODUCT(MAX((C83:N83&gt;0)*($C$3:$N$3&lt;=B84)*($C$2:$N$2&gt;AA84)/$C$2:$N$2)),0),0)</f>
        <v/>
      </c>
      <c r="AG84">
        <f>MAX(0,AC84-MAX(0,SUMPRODUCT(($C$2:$N$2=AA84)*(AH84:AS84-$C$7:$N$7))))</f>
        <v/>
      </c>
      <c r="AH84">
        <f>IF(C83&lt;=0,0,ROUND(C83*(1+IF(AND(C$6&gt;0,$B84&lt;C$6),C$4,C$5)/12),2))</f>
        <v/>
      </c>
      <c r="AI84">
        <f>IF(D83&lt;=0,0,ROUND(D83*(1+IF(AND(D$6&gt;0,$B84&lt;D$6),D$4,D$5)/12),2))</f>
        <v/>
      </c>
      <c r="AJ84">
        <f>IF(E83&lt;=0,0,ROUND(E83*(1+IF(AND(E$6&gt;0,$B84&lt;E$6),E$4,E$5)/12),2))</f>
        <v/>
      </c>
      <c r="AK84">
        <f>IF(F83&lt;=0,0,ROUND(F83*(1+IF(AND(F$6&gt;0,$B84&lt;F$6),F$4,F$5)/12),2))</f>
        <v/>
      </c>
      <c r="AL84">
        <f>IF(G83&lt;=0,0,ROUND(G83*(1+IF(AND(G$6&gt;0,$B84&lt;G$6),G$4,G$5)/12),2))</f>
        <v/>
      </c>
      <c r="AM84">
        <f>IF(H83&lt;=0,0,ROUND(H83*(1+IF(AND(H$6&gt;0,$B84&lt;H$6),H$4,H$5)/12),2))</f>
        <v/>
      </c>
      <c r="AN84">
        <f>IF(I83&lt;=0,0,ROUND(I83*(1+IF(AND(I$6&gt;0,$B84&lt;I$6),I$4,I$5)/12),2))</f>
        <v/>
      </c>
      <c r="AO84">
        <f>IF(J83&lt;=0,0,ROUND(J83*(1+IF(AND(J$6&gt;0,$B84&lt;J$6),J$4,J$5)/12),2))</f>
        <v/>
      </c>
      <c r="AP84">
        <f>IF(K83&lt;=0,0,ROUND(K83*(1+IF(AND(K$6&gt;0,$B84&lt;K$6),K$4,K$5)/12),2))</f>
        <v/>
      </c>
      <c r="AQ84">
        <f>IF(L83&lt;=0,0,ROUND(L83*(1+IF(AND(L$6&gt;0,$B84&lt;L$6),L$4,L$5)/12),2))</f>
        <v/>
      </c>
      <c r="AR84">
        <f>IF(M83&lt;=0,0,ROUND(M83*(1+IF(AND(M$6&gt;0,$B84&lt;M$6),M$4,M$5)/12),2))</f>
        <v/>
      </c>
      <c r="AS84">
        <f>IF(N83&lt;=0,0,ROUND(N83*(1+IF(AND(N$6&gt;0,$B84&lt;N$6),N$4,N$5)/12),2))</f>
        <v/>
      </c>
    </row>
    <row r="85">
      <c r="A85" t="n">
        <v>74</v>
      </c>
      <c r="B85">
        <f>EDATE(Plan!$C$6,73)</f>
        <v/>
      </c>
      <c r="C85">
        <f>IF(C84&lt;=0,0,MAX(0,AH85-O85))</f>
        <v/>
      </c>
      <c r="D85">
        <f>IF(D84&lt;=0,0,MAX(0,AI85-P85))</f>
        <v/>
      </c>
      <c r="E85">
        <f>IF(E84&lt;=0,0,MAX(0,AJ85-Q85))</f>
        <v/>
      </c>
      <c r="F85">
        <f>IF(F84&lt;=0,0,MAX(0,AK85-R85))</f>
        <v/>
      </c>
      <c r="G85">
        <f>IF(G84&lt;=0,0,MAX(0,AL85-S85))</f>
        <v/>
      </c>
      <c r="H85">
        <f>IF(H84&lt;=0,0,MAX(0,AM85-T85))</f>
        <v/>
      </c>
      <c r="I85">
        <f>IF(I84&lt;=0,0,MAX(0,AN85-U85))</f>
        <v/>
      </c>
      <c r="J85">
        <f>IF(J84&lt;=0,0,MAX(0,AO85-V85))</f>
        <v/>
      </c>
      <c r="K85">
        <f>IF(K84&lt;=0,0,MAX(0,AP85-W85))</f>
        <v/>
      </c>
      <c r="L85">
        <f>IF(L84&lt;=0,0,MAX(0,AQ85-X85))</f>
        <v/>
      </c>
      <c r="M85">
        <f>IF(M84&lt;=0,0,MAX(0,AR85-Y85))</f>
        <v/>
      </c>
      <c r="N85">
        <f>IF(N84&lt;=0,0,MAX(0,AS85-Z85))</f>
        <v/>
      </c>
      <c r="O85">
        <f>IF(C84&lt;=0,0,MIN(AH85,C$7+IF(C$2=$AA85,$AC85,IF(C$2=$AF85,$AG85,0))))</f>
        <v/>
      </c>
      <c r="P85">
        <f>IF(D84&lt;=0,0,MIN(AI85,D$7+IF(D$2=$AA85,$AC85,IF(D$2=$AF85,$AG85,0))))</f>
        <v/>
      </c>
      <c r="Q85">
        <f>IF(E84&lt;=0,0,MIN(AJ85,E$7+IF(E$2=$AA85,$AC85,IF(E$2=$AF85,$AG85,0))))</f>
        <v/>
      </c>
      <c r="R85">
        <f>IF(F84&lt;=0,0,MIN(AK85,F$7+IF(F$2=$AA85,$AC85,IF(F$2=$AF85,$AG85,0))))</f>
        <v/>
      </c>
      <c r="S85">
        <f>IF(G84&lt;=0,0,MIN(AL85,G$7+IF(G$2=$AA85,$AC85,IF(G$2=$AF85,$AG85,0))))</f>
        <v/>
      </c>
      <c r="T85">
        <f>IF(H84&lt;=0,0,MIN(AM85,H$7+IF(H$2=$AA85,$AC85,IF(H$2=$AF85,$AG85,0))))</f>
        <v/>
      </c>
      <c r="U85">
        <f>IF(I84&lt;=0,0,MIN(AN85,I$7+IF(I$2=$AA85,$AC85,IF(I$2=$AF85,$AG85,0))))</f>
        <v/>
      </c>
      <c r="V85">
        <f>IF(J84&lt;=0,0,MIN(AO85,J$7+IF(J$2=$AA85,$AC85,IF(J$2=$AF85,$AG85,0))))</f>
        <v/>
      </c>
      <c r="W85">
        <f>IF(K84&lt;=0,0,MIN(AP85,K$7+IF(K$2=$AA85,$AC85,IF(K$2=$AF85,$AG85,0))))</f>
        <v/>
      </c>
      <c r="X85">
        <f>IF(L84&lt;=0,0,MIN(AQ85,L$7+IF(L$2=$AA85,$AC85,IF(L$2=$AF85,$AG85,0))))</f>
        <v/>
      </c>
      <c r="Y85">
        <f>IF(M84&lt;=0,0,MIN(AR85,M$7+IF(M$2=$AA85,$AC85,IF(M$2=$AF85,$AG85,0))))</f>
        <v/>
      </c>
      <c r="Z85">
        <f>IF(N84&lt;=0,0,MIN(AS85,N$7+IF(N$2=$AA85,$AC85,IF(N$2=$AF85,$AG85,0))))</f>
        <v/>
      </c>
      <c r="AA85">
        <f>IFERROR(ROUND(1/SUMPRODUCT(MAX((C84:N84&gt;0)*($C$3:$N$3&lt;=B85)/$C$2:$N$2)),0),0)</f>
        <v/>
      </c>
      <c r="AB85">
        <f>SUMPRODUCT((C84:N84&gt;0)*$C$7:$N$7)</f>
        <v/>
      </c>
      <c r="AC85">
        <f>MAX(0,Plan!$C$5-AB85)+IF(A85=Plan!$C$8,N(Plan!$C$7),0)</f>
        <v/>
      </c>
      <c r="AD85">
        <f>SUM(C85:N85)</f>
        <v/>
      </c>
      <c r="AE85">
        <f>SUM(O85:Z85)</f>
        <v/>
      </c>
      <c r="AF85">
        <f>IFERROR(ROUND(1/SUMPRODUCT(MAX((C84:N84&gt;0)*($C$3:$N$3&lt;=B85)*($C$2:$N$2&gt;AA85)/$C$2:$N$2)),0),0)</f>
        <v/>
      </c>
      <c r="AG85">
        <f>MAX(0,AC85-MAX(0,SUMPRODUCT(($C$2:$N$2=AA85)*(AH85:AS85-$C$7:$N$7))))</f>
        <v/>
      </c>
      <c r="AH85">
        <f>IF(C84&lt;=0,0,ROUND(C84*(1+IF(AND(C$6&gt;0,$B85&lt;C$6),C$4,C$5)/12),2))</f>
        <v/>
      </c>
      <c r="AI85">
        <f>IF(D84&lt;=0,0,ROUND(D84*(1+IF(AND(D$6&gt;0,$B85&lt;D$6),D$4,D$5)/12),2))</f>
        <v/>
      </c>
      <c r="AJ85">
        <f>IF(E84&lt;=0,0,ROUND(E84*(1+IF(AND(E$6&gt;0,$B85&lt;E$6),E$4,E$5)/12),2))</f>
        <v/>
      </c>
      <c r="AK85">
        <f>IF(F84&lt;=0,0,ROUND(F84*(1+IF(AND(F$6&gt;0,$B85&lt;F$6),F$4,F$5)/12),2))</f>
        <v/>
      </c>
      <c r="AL85">
        <f>IF(G84&lt;=0,0,ROUND(G84*(1+IF(AND(G$6&gt;0,$B85&lt;G$6),G$4,G$5)/12),2))</f>
        <v/>
      </c>
      <c r="AM85">
        <f>IF(H84&lt;=0,0,ROUND(H84*(1+IF(AND(H$6&gt;0,$B85&lt;H$6),H$4,H$5)/12),2))</f>
        <v/>
      </c>
      <c r="AN85">
        <f>IF(I84&lt;=0,0,ROUND(I84*(1+IF(AND(I$6&gt;0,$B85&lt;I$6),I$4,I$5)/12),2))</f>
        <v/>
      </c>
      <c r="AO85">
        <f>IF(J84&lt;=0,0,ROUND(J84*(1+IF(AND(J$6&gt;0,$B85&lt;J$6),J$4,J$5)/12),2))</f>
        <v/>
      </c>
      <c r="AP85">
        <f>IF(K84&lt;=0,0,ROUND(K84*(1+IF(AND(K$6&gt;0,$B85&lt;K$6),K$4,K$5)/12),2))</f>
        <v/>
      </c>
      <c r="AQ85">
        <f>IF(L84&lt;=0,0,ROUND(L84*(1+IF(AND(L$6&gt;0,$B85&lt;L$6),L$4,L$5)/12),2))</f>
        <v/>
      </c>
      <c r="AR85">
        <f>IF(M84&lt;=0,0,ROUND(M84*(1+IF(AND(M$6&gt;0,$B85&lt;M$6),M$4,M$5)/12),2))</f>
        <v/>
      </c>
      <c r="AS85">
        <f>IF(N84&lt;=0,0,ROUND(N84*(1+IF(AND(N$6&gt;0,$B85&lt;N$6),N$4,N$5)/12),2))</f>
        <v/>
      </c>
    </row>
    <row r="86">
      <c r="A86" t="n">
        <v>75</v>
      </c>
      <c r="B86">
        <f>EDATE(Plan!$C$6,74)</f>
        <v/>
      </c>
      <c r="C86">
        <f>IF(C85&lt;=0,0,MAX(0,AH86-O86))</f>
        <v/>
      </c>
      <c r="D86">
        <f>IF(D85&lt;=0,0,MAX(0,AI86-P86))</f>
        <v/>
      </c>
      <c r="E86">
        <f>IF(E85&lt;=0,0,MAX(0,AJ86-Q86))</f>
        <v/>
      </c>
      <c r="F86">
        <f>IF(F85&lt;=0,0,MAX(0,AK86-R86))</f>
        <v/>
      </c>
      <c r="G86">
        <f>IF(G85&lt;=0,0,MAX(0,AL86-S86))</f>
        <v/>
      </c>
      <c r="H86">
        <f>IF(H85&lt;=0,0,MAX(0,AM86-T86))</f>
        <v/>
      </c>
      <c r="I86">
        <f>IF(I85&lt;=0,0,MAX(0,AN86-U86))</f>
        <v/>
      </c>
      <c r="J86">
        <f>IF(J85&lt;=0,0,MAX(0,AO86-V86))</f>
        <v/>
      </c>
      <c r="K86">
        <f>IF(K85&lt;=0,0,MAX(0,AP86-W86))</f>
        <v/>
      </c>
      <c r="L86">
        <f>IF(L85&lt;=0,0,MAX(0,AQ86-X86))</f>
        <v/>
      </c>
      <c r="M86">
        <f>IF(M85&lt;=0,0,MAX(0,AR86-Y86))</f>
        <v/>
      </c>
      <c r="N86">
        <f>IF(N85&lt;=0,0,MAX(0,AS86-Z86))</f>
        <v/>
      </c>
      <c r="O86">
        <f>IF(C85&lt;=0,0,MIN(AH86,C$7+IF(C$2=$AA86,$AC86,IF(C$2=$AF86,$AG86,0))))</f>
        <v/>
      </c>
      <c r="P86">
        <f>IF(D85&lt;=0,0,MIN(AI86,D$7+IF(D$2=$AA86,$AC86,IF(D$2=$AF86,$AG86,0))))</f>
        <v/>
      </c>
      <c r="Q86">
        <f>IF(E85&lt;=0,0,MIN(AJ86,E$7+IF(E$2=$AA86,$AC86,IF(E$2=$AF86,$AG86,0))))</f>
        <v/>
      </c>
      <c r="R86">
        <f>IF(F85&lt;=0,0,MIN(AK86,F$7+IF(F$2=$AA86,$AC86,IF(F$2=$AF86,$AG86,0))))</f>
        <v/>
      </c>
      <c r="S86">
        <f>IF(G85&lt;=0,0,MIN(AL86,G$7+IF(G$2=$AA86,$AC86,IF(G$2=$AF86,$AG86,0))))</f>
        <v/>
      </c>
      <c r="T86">
        <f>IF(H85&lt;=0,0,MIN(AM86,H$7+IF(H$2=$AA86,$AC86,IF(H$2=$AF86,$AG86,0))))</f>
        <v/>
      </c>
      <c r="U86">
        <f>IF(I85&lt;=0,0,MIN(AN86,I$7+IF(I$2=$AA86,$AC86,IF(I$2=$AF86,$AG86,0))))</f>
        <v/>
      </c>
      <c r="V86">
        <f>IF(J85&lt;=0,0,MIN(AO86,J$7+IF(J$2=$AA86,$AC86,IF(J$2=$AF86,$AG86,0))))</f>
        <v/>
      </c>
      <c r="W86">
        <f>IF(K85&lt;=0,0,MIN(AP86,K$7+IF(K$2=$AA86,$AC86,IF(K$2=$AF86,$AG86,0))))</f>
        <v/>
      </c>
      <c r="X86">
        <f>IF(L85&lt;=0,0,MIN(AQ86,L$7+IF(L$2=$AA86,$AC86,IF(L$2=$AF86,$AG86,0))))</f>
        <v/>
      </c>
      <c r="Y86">
        <f>IF(M85&lt;=0,0,MIN(AR86,M$7+IF(M$2=$AA86,$AC86,IF(M$2=$AF86,$AG86,0))))</f>
        <v/>
      </c>
      <c r="Z86">
        <f>IF(N85&lt;=0,0,MIN(AS86,N$7+IF(N$2=$AA86,$AC86,IF(N$2=$AF86,$AG86,0))))</f>
        <v/>
      </c>
      <c r="AA86">
        <f>IFERROR(ROUND(1/SUMPRODUCT(MAX((C85:N85&gt;0)*($C$3:$N$3&lt;=B86)/$C$2:$N$2)),0),0)</f>
        <v/>
      </c>
      <c r="AB86">
        <f>SUMPRODUCT((C85:N85&gt;0)*$C$7:$N$7)</f>
        <v/>
      </c>
      <c r="AC86">
        <f>MAX(0,Plan!$C$5-AB86)+IF(A86=Plan!$C$8,N(Plan!$C$7),0)</f>
        <v/>
      </c>
      <c r="AD86">
        <f>SUM(C86:N86)</f>
        <v/>
      </c>
      <c r="AE86">
        <f>SUM(O86:Z86)</f>
        <v/>
      </c>
      <c r="AF86">
        <f>IFERROR(ROUND(1/SUMPRODUCT(MAX((C85:N85&gt;0)*($C$3:$N$3&lt;=B86)*($C$2:$N$2&gt;AA86)/$C$2:$N$2)),0),0)</f>
        <v/>
      </c>
      <c r="AG86">
        <f>MAX(0,AC86-MAX(0,SUMPRODUCT(($C$2:$N$2=AA86)*(AH86:AS86-$C$7:$N$7))))</f>
        <v/>
      </c>
      <c r="AH86">
        <f>IF(C85&lt;=0,0,ROUND(C85*(1+IF(AND(C$6&gt;0,$B86&lt;C$6),C$4,C$5)/12),2))</f>
        <v/>
      </c>
      <c r="AI86">
        <f>IF(D85&lt;=0,0,ROUND(D85*(1+IF(AND(D$6&gt;0,$B86&lt;D$6),D$4,D$5)/12),2))</f>
        <v/>
      </c>
      <c r="AJ86">
        <f>IF(E85&lt;=0,0,ROUND(E85*(1+IF(AND(E$6&gt;0,$B86&lt;E$6),E$4,E$5)/12),2))</f>
        <v/>
      </c>
      <c r="AK86">
        <f>IF(F85&lt;=0,0,ROUND(F85*(1+IF(AND(F$6&gt;0,$B86&lt;F$6),F$4,F$5)/12),2))</f>
        <v/>
      </c>
      <c r="AL86">
        <f>IF(G85&lt;=0,0,ROUND(G85*(1+IF(AND(G$6&gt;0,$B86&lt;G$6),G$4,G$5)/12),2))</f>
        <v/>
      </c>
      <c r="AM86">
        <f>IF(H85&lt;=0,0,ROUND(H85*(1+IF(AND(H$6&gt;0,$B86&lt;H$6),H$4,H$5)/12),2))</f>
        <v/>
      </c>
      <c r="AN86">
        <f>IF(I85&lt;=0,0,ROUND(I85*(1+IF(AND(I$6&gt;0,$B86&lt;I$6),I$4,I$5)/12),2))</f>
        <v/>
      </c>
      <c r="AO86">
        <f>IF(J85&lt;=0,0,ROUND(J85*(1+IF(AND(J$6&gt;0,$B86&lt;J$6),J$4,J$5)/12),2))</f>
        <v/>
      </c>
      <c r="AP86">
        <f>IF(K85&lt;=0,0,ROUND(K85*(1+IF(AND(K$6&gt;0,$B86&lt;K$6),K$4,K$5)/12),2))</f>
        <v/>
      </c>
      <c r="AQ86">
        <f>IF(L85&lt;=0,0,ROUND(L85*(1+IF(AND(L$6&gt;0,$B86&lt;L$6),L$4,L$5)/12),2))</f>
        <v/>
      </c>
      <c r="AR86">
        <f>IF(M85&lt;=0,0,ROUND(M85*(1+IF(AND(M$6&gt;0,$B86&lt;M$6),M$4,M$5)/12),2))</f>
        <v/>
      </c>
      <c r="AS86">
        <f>IF(N85&lt;=0,0,ROUND(N85*(1+IF(AND(N$6&gt;0,$B86&lt;N$6),N$4,N$5)/12),2))</f>
        <v/>
      </c>
    </row>
    <row r="87">
      <c r="A87" t="n">
        <v>76</v>
      </c>
      <c r="B87">
        <f>EDATE(Plan!$C$6,75)</f>
        <v/>
      </c>
      <c r="C87">
        <f>IF(C86&lt;=0,0,MAX(0,AH87-O87))</f>
        <v/>
      </c>
      <c r="D87">
        <f>IF(D86&lt;=0,0,MAX(0,AI87-P87))</f>
        <v/>
      </c>
      <c r="E87">
        <f>IF(E86&lt;=0,0,MAX(0,AJ87-Q87))</f>
        <v/>
      </c>
      <c r="F87">
        <f>IF(F86&lt;=0,0,MAX(0,AK87-R87))</f>
        <v/>
      </c>
      <c r="G87">
        <f>IF(G86&lt;=0,0,MAX(0,AL87-S87))</f>
        <v/>
      </c>
      <c r="H87">
        <f>IF(H86&lt;=0,0,MAX(0,AM87-T87))</f>
        <v/>
      </c>
      <c r="I87">
        <f>IF(I86&lt;=0,0,MAX(0,AN87-U87))</f>
        <v/>
      </c>
      <c r="J87">
        <f>IF(J86&lt;=0,0,MAX(0,AO87-V87))</f>
        <v/>
      </c>
      <c r="K87">
        <f>IF(K86&lt;=0,0,MAX(0,AP87-W87))</f>
        <v/>
      </c>
      <c r="L87">
        <f>IF(L86&lt;=0,0,MAX(0,AQ87-X87))</f>
        <v/>
      </c>
      <c r="M87">
        <f>IF(M86&lt;=0,0,MAX(0,AR87-Y87))</f>
        <v/>
      </c>
      <c r="N87">
        <f>IF(N86&lt;=0,0,MAX(0,AS87-Z87))</f>
        <v/>
      </c>
      <c r="O87">
        <f>IF(C86&lt;=0,0,MIN(AH87,C$7+IF(C$2=$AA87,$AC87,IF(C$2=$AF87,$AG87,0))))</f>
        <v/>
      </c>
      <c r="P87">
        <f>IF(D86&lt;=0,0,MIN(AI87,D$7+IF(D$2=$AA87,$AC87,IF(D$2=$AF87,$AG87,0))))</f>
        <v/>
      </c>
      <c r="Q87">
        <f>IF(E86&lt;=0,0,MIN(AJ87,E$7+IF(E$2=$AA87,$AC87,IF(E$2=$AF87,$AG87,0))))</f>
        <v/>
      </c>
      <c r="R87">
        <f>IF(F86&lt;=0,0,MIN(AK87,F$7+IF(F$2=$AA87,$AC87,IF(F$2=$AF87,$AG87,0))))</f>
        <v/>
      </c>
      <c r="S87">
        <f>IF(G86&lt;=0,0,MIN(AL87,G$7+IF(G$2=$AA87,$AC87,IF(G$2=$AF87,$AG87,0))))</f>
        <v/>
      </c>
      <c r="T87">
        <f>IF(H86&lt;=0,0,MIN(AM87,H$7+IF(H$2=$AA87,$AC87,IF(H$2=$AF87,$AG87,0))))</f>
        <v/>
      </c>
      <c r="U87">
        <f>IF(I86&lt;=0,0,MIN(AN87,I$7+IF(I$2=$AA87,$AC87,IF(I$2=$AF87,$AG87,0))))</f>
        <v/>
      </c>
      <c r="V87">
        <f>IF(J86&lt;=0,0,MIN(AO87,J$7+IF(J$2=$AA87,$AC87,IF(J$2=$AF87,$AG87,0))))</f>
        <v/>
      </c>
      <c r="W87">
        <f>IF(K86&lt;=0,0,MIN(AP87,K$7+IF(K$2=$AA87,$AC87,IF(K$2=$AF87,$AG87,0))))</f>
        <v/>
      </c>
      <c r="X87">
        <f>IF(L86&lt;=0,0,MIN(AQ87,L$7+IF(L$2=$AA87,$AC87,IF(L$2=$AF87,$AG87,0))))</f>
        <v/>
      </c>
      <c r="Y87">
        <f>IF(M86&lt;=0,0,MIN(AR87,M$7+IF(M$2=$AA87,$AC87,IF(M$2=$AF87,$AG87,0))))</f>
        <v/>
      </c>
      <c r="Z87">
        <f>IF(N86&lt;=0,0,MIN(AS87,N$7+IF(N$2=$AA87,$AC87,IF(N$2=$AF87,$AG87,0))))</f>
        <v/>
      </c>
      <c r="AA87">
        <f>IFERROR(ROUND(1/SUMPRODUCT(MAX((C86:N86&gt;0)*($C$3:$N$3&lt;=B87)/$C$2:$N$2)),0),0)</f>
        <v/>
      </c>
      <c r="AB87">
        <f>SUMPRODUCT((C86:N86&gt;0)*$C$7:$N$7)</f>
        <v/>
      </c>
      <c r="AC87">
        <f>MAX(0,Plan!$C$5-AB87)+IF(A87=Plan!$C$8,N(Plan!$C$7),0)</f>
        <v/>
      </c>
      <c r="AD87">
        <f>SUM(C87:N87)</f>
        <v/>
      </c>
      <c r="AE87">
        <f>SUM(O87:Z87)</f>
        <v/>
      </c>
      <c r="AF87">
        <f>IFERROR(ROUND(1/SUMPRODUCT(MAX((C86:N86&gt;0)*($C$3:$N$3&lt;=B87)*($C$2:$N$2&gt;AA87)/$C$2:$N$2)),0),0)</f>
        <v/>
      </c>
      <c r="AG87">
        <f>MAX(0,AC87-MAX(0,SUMPRODUCT(($C$2:$N$2=AA87)*(AH87:AS87-$C$7:$N$7))))</f>
        <v/>
      </c>
      <c r="AH87">
        <f>IF(C86&lt;=0,0,ROUND(C86*(1+IF(AND(C$6&gt;0,$B87&lt;C$6),C$4,C$5)/12),2))</f>
        <v/>
      </c>
      <c r="AI87">
        <f>IF(D86&lt;=0,0,ROUND(D86*(1+IF(AND(D$6&gt;0,$B87&lt;D$6),D$4,D$5)/12),2))</f>
        <v/>
      </c>
      <c r="AJ87">
        <f>IF(E86&lt;=0,0,ROUND(E86*(1+IF(AND(E$6&gt;0,$B87&lt;E$6),E$4,E$5)/12),2))</f>
        <v/>
      </c>
      <c r="AK87">
        <f>IF(F86&lt;=0,0,ROUND(F86*(1+IF(AND(F$6&gt;0,$B87&lt;F$6),F$4,F$5)/12),2))</f>
        <v/>
      </c>
      <c r="AL87">
        <f>IF(G86&lt;=0,0,ROUND(G86*(1+IF(AND(G$6&gt;0,$B87&lt;G$6),G$4,G$5)/12),2))</f>
        <v/>
      </c>
      <c r="AM87">
        <f>IF(H86&lt;=0,0,ROUND(H86*(1+IF(AND(H$6&gt;0,$B87&lt;H$6),H$4,H$5)/12),2))</f>
        <v/>
      </c>
      <c r="AN87">
        <f>IF(I86&lt;=0,0,ROUND(I86*(1+IF(AND(I$6&gt;0,$B87&lt;I$6),I$4,I$5)/12),2))</f>
        <v/>
      </c>
      <c r="AO87">
        <f>IF(J86&lt;=0,0,ROUND(J86*(1+IF(AND(J$6&gt;0,$B87&lt;J$6),J$4,J$5)/12),2))</f>
        <v/>
      </c>
      <c r="AP87">
        <f>IF(K86&lt;=0,0,ROUND(K86*(1+IF(AND(K$6&gt;0,$B87&lt;K$6),K$4,K$5)/12),2))</f>
        <v/>
      </c>
      <c r="AQ87">
        <f>IF(L86&lt;=0,0,ROUND(L86*(1+IF(AND(L$6&gt;0,$B87&lt;L$6),L$4,L$5)/12),2))</f>
        <v/>
      </c>
      <c r="AR87">
        <f>IF(M86&lt;=0,0,ROUND(M86*(1+IF(AND(M$6&gt;0,$B87&lt;M$6),M$4,M$5)/12),2))</f>
        <v/>
      </c>
      <c r="AS87">
        <f>IF(N86&lt;=0,0,ROUND(N86*(1+IF(AND(N$6&gt;0,$B87&lt;N$6),N$4,N$5)/12),2))</f>
        <v/>
      </c>
    </row>
    <row r="88">
      <c r="A88" t="n">
        <v>77</v>
      </c>
      <c r="B88">
        <f>EDATE(Plan!$C$6,76)</f>
        <v/>
      </c>
      <c r="C88">
        <f>IF(C87&lt;=0,0,MAX(0,AH88-O88))</f>
        <v/>
      </c>
      <c r="D88">
        <f>IF(D87&lt;=0,0,MAX(0,AI88-P88))</f>
        <v/>
      </c>
      <c r="E88">
        <f>IF(E87&lt;=0,0,MAX(0,AJ88-Q88))</f>
        <v/>
      </c>
      <c r="F88">
        <f>IF(F87&lt;=0,0,MAX(0,AK88-R88))</f>
        <v/>
      </c>
      <c r="G88">
        <f>IF(G87&lt;=0,0,MAX(0,AL88-S88))</f>
        <v/>
      </c>
      <c r="H88">
        <f>IF(H87&lt;=0,0,MAX(0,AM88-T88))</f>
        <v/>
      </c>
      <c r="I88">
        <f>IF(I87&lt;=0,0,MAX(0,AN88-U88))</f>
        <v/>
      </c>
      <c r="J88">
        <f>IF(J87&lt;=0,0,MAX(0,AO88-V88))</f>
        <v/>
      </c>
      <c r="K88">
        <f>IF(K87&lt;=0,0,MAX(0,AP88-W88))</f>
        <v/>
      </c>
      <c r="L88">
        <f>IF(L87&lt;=0,0,MAX(0,AQ88-X88))</f>
        <v/>
      </c>
      <c r="M88">
        <f>IF(M87&lt;=0,0,MAX(0,AR88-Y88))</f>
        <v/>
      </c>
      <c r="N88">
        <f>IF(N87&lt;=0,0,MAX(0,AS88-Z88))</f>
        <v/>
      </c>
      <c r="O88">
        <f>IF(C87&lt;=0,0,MIN(AH88,C$7+IF(C$2=$AA88,$AC88,IF(C$2=$AF88,$AG88,0))))</f>
        <v/>
      </c>
      <c r="P88">
        <f>IF(D87&lt;=0,0,MIN(AI88,D$7+IF(D$2=$AA88,$AC88,IF(D$2=$AF88,$AG88,0))))</f>
        <v/>
      </c>
      <c r="Q88">
        <f>IF(E87&lt;=0,0,MIN(AJ88,E$7+IF(E$2=$AA88,$AC88,IF(E$2=$AF88,$AG88,0))))</f>
        <v/>
      </c>
      <c r="R88">
        <f>IF(F87&lt;=0,0,MIN(AK88,F$7+IF(F$2=$AA88,$AC88,IF(F$2=$AF88,$AG88,0))))</f>
        <v/>
      </c>
      <c r="S88">
        <f>IF(G87&lt;=0,0,MIN(AL88,G$7+IF(G$2=$AA88,$AC88,IF(G$2=$AF88,$AG88,0))))</f>
        <v/>
      </c>
      <c r="T88">
        <f>IF(H87&lt;=0,0,MIN(AM88,H$7+IF(H$2=$AA88,$AC88,IF(H$2=$AF88,$AG88,0))))</f>
        <v/>
      </c>
      <c r="U88">
        <f>IF(I87&lt;=0,0,MIN(AN88,I$7+IF(I$2=$AA88,$AC88,IF(I$2=$AF88,$AG88,0))))</f>
        <v/>
      </c>
      <c r="V88">
        <f>IF(J87&lt;=0,0,MIN(AO88,J$7+IF(J$2=$AA88,$AC88,IF(J$2=$AF88,$AG88,0))))</f>
        <v/>
      </c>
      <c r="W88">
        <f>IF(K87&lt;=0,0,MIN(AP88,K$7+IF(K$2=$AA88,$AC88,IF(K$2=$AF88,$AG88,0))))</f>
        <v/>
      </c>
      <c r="X88">
        <f>IF(L87&lt;=0,0,MIN(AQ88,L$7+IF(L$2=$AA88,$AC88,IF(L$2=$AF88,$AG88,0))))</f>
        <v/>
      </c>
      <c r="Y88">
        <f>IF(M87&lt;=0,0,MIN(AR88,M$7+IF(M$2=$AA88,$AC88,IF(M$2=$AF88,$AG88,0))))</f>
        <v/>
      </c>
      <c r="Z88">
        <f>IF(N87&lt;=0,0,MIN(AS88,N$7+IF(N$2=$AA88,$AC88,IF(N$2=$AF88,$AG88,0))))</f>
        <v/>
      </c>
      <c r="AA88">
        <f>IFERROR(ROUND(1/SUMPRODUCT(MAX((C87:N87&gt;0)*($C$3:$N$3&lt;=B88)/$C$2:$N$2)),0),0)</f>
        <v/>
      </c>
      <c r="AB88">
        <f>SUMPRODUCT((C87:N87&gt;0)*$C$7:$N$7)</f>
        <v/>
      </c>
      <c r="AC88">
        <f>MAX(0,Plan!$C$5-AB88)+IF(A88=Plan!$C$8,N(Plan!$C$7),0)</f>
        <v/>
      </c>
      <c r="AD88">
        <f>SUM(C88:N88)</f>
        <v/>
      </c>
      <c r="AE88">
        <f>SUM(O88:Z88)</f>
        <v/>
      </c>
      <c r="AF88">
        <f>IFERROR(ROUND(1/SUMPRODUCT(MAX((C87:N87&gt;0)*($C$3:$N$3&lt;=B88)*($C$2:$N$2&gt;AA88)/$C$2:$N$2)),0),0)</f>
        <v/>
      </c>
      <c r="AG88">
        <f>MAX(0,AC88-MAX(0,SUMPRODUCT(($C$2:$N$2=AA88)*(AH88:AS88-$C$7:$N$7))))</f>
        <v/>
      </c>
      <c r="AH88">
        <f>IF(C87&lt;=0,0,ROUND(C87*(1+IF(AND(C$6&gt;0,$B88&lt;C$6),C$4,C$5)/12),2))</f>
        <v/>
      </c>
      <c r="AI88">
        <f>IF(D87&lt;=0,0,ROUND(D87*(1+IF(AND(D$6&gt;0,$B88&lt;D$6),D$4,D$5)/12),2))</f>
        <v/>
      </c>
      <c r="AJ88">
        <f>IF(E87&lt;=0,0,ROUND(E87*(1+IF(AND(E$6&gt;0,$B88&lt;E$6),E$4,E$5)/12),2))</f>
        <v/>
      </c>
      <c r="AK88">
        <f>IF(F87&lt;=0,0,ROUND(F87*(1+IF(AND(F$6&gt;0,$B88&lt;F$6),F$4,F$5)/12),2))</f>
        <v/>
      </c>
      <c r="AL88">
        <f>IF(G87&lt;=0,0,ROUND(G87*(1+IF(AND(G$6&gt;0,$B88&lt;G$6),G$4,G$5)/12),2))</f>
        <v/>
      </c>
      <c r="AM88">
        <f>IF(H87&lt;=0,0,ROUND(H87*(1+IF(AND(H$6&gt;0,$B88&lt;H$6),H$4,H$5)/12),2))</f>
        <v/>
      </c>
      <c r="AN88">
        <f>IF(I87&lt;=0,0,ROUND(I87*(1+IF(AND(I$6&gt;0,$B88&lt;I$6),I$4,I$5)/12),2))</f>
        <v/>
      </c>
      <c r="AO88">
        <f>IF(J87&lt;=0,0,ROUND(J87*(1+IF(AND(J$6&gt;0,$B88&lt;J$6),J$4,J$5)/12),2))</f>
        <v/>
      </c>
      <c r="AP88">
        <f>IF(K87&lt;=0,0,ROUND(K87*(1+IF(AND(K$6&gt;0,$B88&lt;K$6),K$4,K$5)/12),2))</f>
        <v/>
      </c>
      <c r="AQ88">
        <f>IF(L87&lt;=0,0,ROUND(L87*(1+IF(AND(L$6&gt;0,$B88&lt;L$6),L$4,L$5)/12),2))</f>
        <v/>
      </c>
      <c r="AR88">
        <f>IF(M87&lt;=0,0,ROUND(M87*(1+IF(AND(M$6&gt;0,$B88&lt;M$6),M$4,M$5)/12),2))</f>
        <v/>
      </c>
      <c r="AS88">
        <f>IF(N87&lt;=0,0,ROUND(N87*(1+IF(AND(N$6&gt;0,$B88&lt;N$6),N$4,N$5)/12),2))</f>
        <v/>
      </c>
    </row>
    <row r="89">
      <c r="A89" t="n">
        <v>78</v>
      </c>
      <c r="B89">
        <f>EDATE(Plan!$C$6,77)</f>
        <v/>
      </c>
      <c r="C89">
        <f>IF(C88&lt;=0,0,MAX(0,AH89-O89))</f>
        <v/>
      </c>
      <c r="D89">
        <f>IF(D88&lt;=0,0,MAX(0,AI89-P89))</f>
        <v/>
      </c>
      <c r="E89">
        <f>IF(E88&lt;=0,0,MAX(0,AJ89-Q89))</f>
        <v/>
      </c>
      <c r="F89">
        <f>IF(F88&lt;=0,0,MAX(0,AK89-R89))</f>
        <v/>
      </c>
      <c r="G89">
        <f>IF(G88&lt;=0,0,MAX(0,AL89-S89))</f>
        <v/>
      </c>
      <c r="H89">
        <f>IF(H88&lt;=0,0,MAX(0,AM89-T89))</f>
        <v/>
      </c>
      <c r="I89">
        <f>IF(I88&lt;=0,0,MAX(0,AN89-U89))</f>
        <v/>
      </c>
      <c r="J89">
        <f>IF(J88&lt;=0,0,MAX(0,AO89-V89))</f>
        <v/>
      </c>
      <c r="K89">
        <f>IF(K88&lt;=0,0,MAX(0,AP89-W89))</f>
        <v/>
      </c>
      <c r="L89">
        <f>IF(L88&lt;=0,0,MAX(0,AQ89-X89))</f>
        <v/>
      </c>
      <c r="M89">
        <f>IF(M88&lt;=0,0,MAX(0,AR89-Y89))</f>
        <v/>
      </c>
      <c r="N89">
        <f>IF(N88&lt;=0,0,MAX(0,AS89-Z89))</f>
        <v/>
      </c>
      <c r="O89">
        <f>IF(C88&lt;=0,0,MIN(AH89,C$7+IF(C$2=$AA89,$AC89,IF(C$2=$AF89,$AG89,0))))</f>
        <v/>
      </c>
      <c r="P89">
        <f>IF(D88&lt;=0,0,MIN(AI89,D$7+IF(D$2=$AA89,$AC89,IF(D$2=$AF89,$AG89,0))))</f>
        <v/>
      </c>
      <c r="Q89">
        <f>IF(E88&lt;=0,0,MIN(AJ89,E$7+IF(E$2=$AA89,$AC89,IF(E$2=$AF89,$AG89,0))))</f>
        <v/>
      </c>
      <c r="R89">
        <f>IF(F88&lt;=0,0,MIN(AK89,F$7+IF(F$2=$AA89,$AC89,IF(F$2=$AF89,$AG89,0))))</f>
        <v/>
      </c>
      <c r="S89">
        <f>IF(G88&lt;=0,0,MIN(AL89,G$7+IF(G$2=$AA89,$AC89,IF(G$2=$AF89,$AG89,0))))</f>
        <v/>
      </c>
      <c r="T89">
        <f>IF(H88&lt;=0,0,MIN(AM89,H$7+IF(H$2=$AA89,$AC89,IF(H$2=$AF89,$AG89,0))))</f>
        <v/>
      </c>
      <c r="U89">
        <f>IF(I88&lt;=0,0,MIN(AN89,I$7+IF(I$2=$AA89,$AC89,IF(I$2=$AF89,$AG89,0))))</f>
        <v/>
      </c>
      <c r="V89">
        <f>IF(J88&lt;=0,0,MIN(AO89,J$7+IF(J$2=$AA89,$AC89,IF(J$2=$AF89,$AG89,0))))</f>
        <v/>
      </c>
      <c r="W89">
        <f>IF(K88&lt;=0,0,MIN(AP89,K$7+IF(K$2=$AA89,$AC89,IF(K$2=$AF89,$AG89,0))))</f>
        <v/>
      </c>
      <c r="X89">
        <f>IF(L88&lt;=0,0,MIN(AQ89,L$7+IF(L$2=$AA89,$AC89,IF(L$2=$AF89,$AG89,0))))</f>
        <v/>
      </c>
      <c r="Y89">
        <f>IF(M88&lt;=0,0,MIN(AR89,M$7+IF(M$2=$AA89,$AC89,IF(M$2=$AF89,$AG89,0))))</f>
        <v/>
      </c>
      <c r="Z89">
        <f>IF(N88&lt;=0,0,MIN(AS89,N$7+IF(N$2=$AA89,$AC89,IF(N$2=$AF89,$AG89,0))))</f>
        <v/>
      </c>
      <c r="AA89">
        <f>IFERROR(ROUND(1/SUMPRODUCT(MAX((C88:N88&gt;0)*($C$3:$N$3&lt;=B89)/$C$2:$N$2)),0),0)</f>
        <v/>
      </c>
      <c r="AB89">
        <f>SUMPRODUCT((C88:N88&gt;0)*$C$7:$N$7)</f>
        <v/>
      </c>
      <c r="AC89">
        <f>MAX(0,Plan!$C$5-AB89)+IF(A89=Plan!$C$8,N(Plan!$C$7),0)</f>
        <v/>
      </c>
      <c r="AD89">
        <f>SUM(C89:N89)</f>
        <v/>
      </c>
      <c r="AE89">
        <f>SUM(O89:Z89)</f>
        <v/>
      </c>
      <c r="AF89">
        <f>IFERROR(ROUND(1/SUMPRODUCT(MAX((C88:N88&gt;0)*($C$3:$N$3&lt;=B89)*($C$2:$N$2&gt;AA89)/$C$2:$N$2)),0),0)</f>
        <v/>
      </c>
      <c r="AG89">
        <f>MAX(0,AC89-MAX(0,SUMPRODUCT(($C$2:$N$2=AA89)*(AH89:AS89-$C$7:$N$7))))</f>
        <v/>
      </c>
      <c r="AH89">
        <f>IF(C88&lt;=0,0,ROUND(C88*(1+IF(AND(C$6&gt;0,$B89&lt;C$6),C$4,C$5)/12),2))</f>
        <v/>
      </c>
      <c r="AI89">
        <f>IF(D88&lt;=0,0,ROUND(D88*(1+IF(AND(D$6&gt;0,$B89&lt;D$6),D$4,D$5)/12),2))</f>
        <v/>
      </c>
      <c r="AJ89">
        <f>IF(E88&lt;=0,0,ROUND(E88*(1+IF(AND(E$6&gt;0,$B89&lt;E$6),E$4,E$5)/12),2))</f>
        <v/>
      </c>
      <c r="AK89">
        <f>IF(F88&lt;=0,0,ROUND(F88*(1+IF(AND(F$6&gt;0,$B89&lt;F$6),F$4,F$5)/12),2))</f>
        <v/>
      </c>
      <c r="AL89">
        <f>IF(G88&lt;=0,0,ROUND(G88*(1+IF(AND(G$6&gt;0,$B89&lt;G$6),G$4,G$5)/12),2))</f>
        <v/>
      </c>
      <c r="AM89">
        <f>IF(H88&lt;=0,0,ROUND(H88*(1+IF(AND(H$6&gt;0,$B89&lt;H$6),H$4,H$5)/12),2))</f>
        <v/>
      </c>
      <c r="AN89">
        <f>IF(I88&lt;=0,0,ROUND(I88*(1+IF(AND(I$6&gt;0,$B89&lt;I$6),I$4,I$5)/12),2))</f>
        <v/>
      </c>
      <c r="AO89">
        <f>IF(J88&lt;=0,0,ROUND(J88*(1+IF(AND(J$6&gt;0,$B89&lt;J$6),J$4,J$5)/12),2))</f>
        <v/>
      </c>
      <c r="AP89">
        <f>IF(K88&lt;=0,0,ROUND(K88*(1+IF(AND(K$6&gt;0,$B89&lt;K$6),K$4,K$5)/12),2))</f>
        <v/>
      </c>
      <c r="AQ89">
        <f>IF(L88&lt;=0,0,ROUND(L88*(1+IF(AND(L$6&gt;0,$B89&lt;L$6),L$4,L$5)/12),2))</f>
        <v/>
      </c>
      <c r="AR89">
        <f>IF(M88&lt;=0,0,ROUND(M88*(1+IF(AND(M$6&gt;0,$B89&lt;M$6),M$4,M$5)/12),2))</f>
        <v/>
      </c>
      <c r="AS89">
        <f>IF(N88&lt;=0,0,ROUND(N88*(1+IF(AND(N$6&gt;0,$B89&lt;N$6),N$4,N$5)/12),2))</f>
        <v/>
      </c>
    </row>
    <row r="90">
      <c r="A90" t="n">
        <v>79</v>
      </c>
      <c r="B90">
        <f>EDATE(Plan!$C$6,78)</f>
        <v/>
      </c>
      <c r="C90">
        <f>IF(C89&lt;=0,0,MAX(0,AH90-O90))</f>
        <v/>
      </c>
      <c r="D90">
        <f>IF(D89&lt;=0,0,MAX(0,AI90-P90))</f>
        <v/>
      </c>
      <c r="E90">
        <f>IF(E89&lt;=0,0,MAX(0,AJ90-Q90))</f>
        <v/>
      </c>
      <c r="F90">
        <f>IF(F89&lt;=0,0,MAX(0,AK90-R90))</f>
        <v/>
      </c>
      <c r="G90">
        <f>IF(G89&lt;=0,0,MAX(0,AL90-S90))</f>
        <v/>
      </c>
      <c r="H90">
        <f>IF(H89&lt;=0,0,MAX(0,AM90-T90))</f>
        <v/>
      </c>
      <c r="I90">
        <f>IF(I89&lt;=0,0,MAX(0,AN90-U90))</f>
        <v/>
      </c>
      <c r="J90">
        <f>IF(J89&lt;=0,0,MAX(0,AO90-V90))</f>
        <v/>
      </c>
      <c r="K90">
        <f>IF(K89&lt;=0,0,MAX(0,AP90-W90))</f>
        <v/>
      </c>
      <c r="L90">
        <f>IF(L89&lt;=0,0,MAX(0,AQ90-X90))</f>
        <v/>
      </c>
      <c r="M90">
        <f>IF(M89&lt;=0,0,MAX(0,AR90-Y90))</f>
        <v/>
      </c>
      <c r="N90">
        <f>IF(N89&lt;=0,0,MAX(0,AS90-Z90))</f>
        <v/>
      </c>
      <c r="O90">
        <f>IF(C89&lt;=0,0,MIN(AH90,C$7+IF(C$2=$AA90,$AC90,IF(C$2=$AF90,$AG90,0))))</f>
        <v/>
      </c>
      <c r="P90">
        <f>IF(D89&lt;=0,0,MIN(AI90,D$7+IF(D$2=$AA90,$AC90,IF(D$2=$AF90,$AG90,0))))</f>
        <v/>
      </c>
      <c r="Q90">
        <f>IF(E89&lt;=0,0,MIN(AJ90,E$7+IF(E$2=$AA90,$AC90,IF(E$2=$AF90,$AG90,0))))</f>
        <v/>
      </c>
      <c r="R90">
        <f>IF(F89&lt;=0,0,MIN(AK90,F$7+IF(F$2=$AA90,$AC90,IF(F$2=$AF90,$AG90,0))))</f>
        <v/>
      </c>
      <c r="S90">
        <f>IF(G89&lt;=0,0,MIN(AL90,G$7+IF(G$2=$AA90,$AC90,IF(G$2=$AF90,$AG90,0))))</f>
        <v/>
      </c>
      <c r="T90">
        <f>IF(H89&lt;=0,0,MIN(AM90,H$7+IF(H$2=$AA90,$AC90,IF(H$2=$AF90,$AG90,0))))</f>
        <v/>
      </c>
      <c r="U90">
        <f>IF(I89&lt;=0,0,MIN(AN90,I$7+IF(I$2=$AA90,$AC90,IF(I$2=$AF90,$AG90,0))))</f>
        <v/>
      </c>
      <c r="V90">
        <f>IF(J89&lt;=0,0,MIN(AO90,J$7+IF(J$2=$AA90,$AC90,IF(J$2=$AF90,$AG90,0))))</f>
        <v/>
      </c>
      <c r="W90">
        <f>IF(K89&lt;=0,0,MIN(AP90,K$7+IF(K$2=$AA90,$AC90,IF(K$2=$AF90,$AG90,0))))</f>
        <v/>
      </c>
      <c r="X90">
        <f>IF(L89&lt;=0,0,MIN(AQ90,L$7+IF(L$2=$AA90,$AC90,IF(L$2=$AF90,$AG90,0))))</f>
        <v/>
      </c>
      <c r="Y90">
        <f>IF(M89&lt;=0,0,MIN(AR90,M$7+IF(M$2=$AA90,$AC90,IF(M$2=$AF90,$AG90,0))))</f>
        <v/>
      </c>
      <c r="Z90">
        <f>IF(N89&lt;=0,0,MIN(AS90,N$7+IF(N$2=$AA90,$AC90,IF(N$2=$AF90,$AG90,0))))</f>
        <v/>
      </c>
      <c r="AA90">
        <f>IFERROR(ROUND(1/SUMPRODUCT(MAX((C89:N89&gt;0)*($C$3:$N$3&lt;=B90)/$C$2:$N$2)),0),0)</f>
        <v/>
      </c>
      <c r="AB90">
        <f>SUMPRODUCT((C89:N89&gt;0)*$C$7:$N$7)</f>
        <v/>
      </c>
      <c r="AC90">
        <f>MAX(0,Plan!$C$5-AB90)+IF(A90=Plan!$C$8,N(Plan!$C$7),0)</f>
        <v/>
      </c>
      <c r="AD90">
        <f>SUM(C90:N90)</f>
        <v/>
      </c>
      <c r="AE90">
        <f>SUM(O90:Z90)</f>
        <v/>
      </c>
      <c r="AF90">
        <f>IFERROR(ROUND(1/SUMPRODUCT(MAX((C89:N89&gt;0)*($C$3:$N$3&lt;=B90)*($C$2:$N$2&gt;AA90)/$C$2:$N$2)),0),0)</f>
        <v/>
      </c>
      <c r="AG90">
        <f>MAX(0,AC90-MAX(0,SUMPRODUCT(($C$2:$N$2=AA90)*(AH90:AS90-$C$7:$N$7))))</f>
        <v/>
      </c>
      <c r="AH90">
        <f>IF(C89&lt;=0,0,ROUND(C89*(1+IF(AND(C$6&gt;0,$B90&lt;C$6),C$4,C$5)/12),2))</f>
        <v/>
      </c>
      <c r="AI90">
        <f>IF(D89&lt;=0,0,ROUND(D89*(1+IF(AND(D$6&gt;0,$B90&lt;D$6),D$4,D$5)/12),2))</f>
        <v/>
      </c>
      <c r="AJ90">
        <f>IF(E89&lt;=0,0,ROUND(E89*(1+IF(AND(E$6&gt;0,$B90&lt;E$6),E$4,E$5)/12),2))</f>
        <v/>
      </c>
      <c r="AK90">
        <f>IF(F89&lt;=0,0,ROUND(F89*(1+IF(AND(F$6&gt;0,$B90&lt;F$6),F$4,F$5)/12),2))</f>
        <v/>
      </c>
      <c r="AL90">
        <f>IF(G89&lt;=0,0,ROUND(G89*(1+IF(AND(G$6&gt;0,$B90&lt;G$6),G$4,G$5)/12),2))</f>
        <v/>
      </c>
      <c r="AM90">
        <f>IF(H89&lt;=0,0,ROUND(H89*(1+IF(AND(H$6&gt;0,$B90&lt;H$6),H$4,H$5)/12),2))</f>
        <v/>
      </c>
      <c r="AN90">
        <f>IF(I89&lt;=0,0,ROUND(I89*(1+IF(AND(I$6&gt;0,$B90&lt;I$6),I$4,I$5)/12),2))</f>
        <v/>
      </c>
      <c r="AO90">
        <f>IF(J89&lt;=0,0,ROUND(J89*(1+IF(AND(J$6&gt;0,$B90&lt;J$6),J$4,J$5)/12),2))</f>
        <v/>
      </c>
      <c r="AP90">
        <f>IF(K89&lt;=0,0,ROUND(K89*(1+IF(AND(K$6&gt;0,$B90&lt;K$6),K$4,K$5)/12),2))</f>
        <v/>
      </c>
      <c r="AQ90">
        <f>IF(L89&lt;=0,0,ROUND(L89*(1+IF(AND(L$6&gt;0,$B90&lt;L$6),L$4,L$5)/12),2))</f>
        <v/>
      </c>
      <c r="AR90">
        <f>IF(M89&lt;=0,0,ROUND(M89*(1+IF(AND(M$6&gt;0,$B90&lt;M$6),M$4,M$5)/12),2))</f>
        <v/>
      </c>
      <c r="AS90">
        <f>IF(N89&lt;=0,0,ROUND(N89*(1+IF(AND(N$6&gt;0,$B90&lt;N$6),N$4,N$5)/12),2))</f>
        <v/>
      </c>
    </row>
    <row r="91">
      <c r="A91" t="n">
        <v>80</v>
      </c>
      <c r="B91">
        <f>EDATE(Plan!$C$6,79)</f>
        <v/>
      </c>
      <c r="C91">
        <f>IF(C90&lt;=0,0,MAX(0,AH91-O91))</f>
        <v/>
      </c>
      <c r="D91">
        <f>IF(D90&lt;=0,0,MAX(0,AI91-P91))</f>
        <v/>
      </c>
      <c r="E91">
        <f>IF(E90&lt;=0,0,MAX(0,AJ91-Q91))</f>
        <v/>
      </c>
      <c r="F91">
        <f>IF(F90&lt;=0,0,MAX(0,AK91-R91))</f>
        <v/>
      </c>
      <c r="G91">
        <f>IF(G90&lt;=0,0,MAX(0,AL91-S91))</f>
        <v/>
      </c>
      <c r="H91">
        <f>IF(H90&lt;=0,0,MAX(0,AM91-T91))</f>
        <v/>
      </c>
      <c r="I91">
        <f>IF(I90&lt;=0,0,MAX(0,AN91-U91))</f>
        <v/>
      </c>
      <c r="J91">
        <f>IF(J90&lt;=0,0,MAX(0,AO91-V91))</f>
        <v/>
      </c>
      <c r="K91">
        <f>IF(K90&lt;=0,0,MAX(0,AP91-W91))</f>
        <v/>
      </c>
      <c r="L91">
        <f>IF(L90&lt;=0,0,MAX(0,AQ91-X91))</f>
        <v/>
      </c>
      <c r="M91">
        <f>IF(M90&lt;=0,0,MAX(0,AR91-Y91))</f>
        <v/>
      </c>
      <c r="N91">
        <f>IF(N90&lt;=0,0,MAX(0,AS91-Z91))</f>
        <v/>
      </c>
      <c r="O91">
        <f>IF(C90&lt;=0,0,MIN(AH91,C$7+IF(C$2=$AA91,$AC91,IF(C$2=$AF91,$AG91,0))))</f>
        <v/>
      </c>
      <c r="P91">
        <f>IF(D90&lt;=0,0,MIN(AI91,D$7+IF(D$2=$AA91,$AC91,IF(D$2=$AF91,$AG91,0))))</f>
        <v/>
      </c>
      <c r="Q91">
        <f>IF(E90&lt;=0,0,MIN(AJ91,E$7+IF(E$2=$AA91,$AC91,IF(E$2=$AF91,$AG91,0))))</f>
        <v/>
      </c>
      <c r="R91">
        <f>IF(F90&lt;=0,0,MIN(AK91,F$7+IF(F$2=$AA91,$AC91,IF(F$2=$AF91,$AG91,0))))</f>
        <v/>
      </c>
      <c r="S91">
        <f>IF(G90&lt;=0,0,MIN(AL91,G$7+IF(G$2=$AA91,$AC91,IF(G$2=$AF91,$AG91,0))))</f>
        <v/>
      </c>
      <c r="T91">
        <f>IF(H90&lt;=0,0,MIN(AM91,H$7+IF(H$2=$AA91,$AC91,IF(H$2=$AF91,$AG91,0))))</f>
        <v/>
      </c>
      <c r="U91">
        <f>IF(I90&lt;=0,0,MIN(AN91,I$7+IF(I$2=$AA91,$AC91,IF(I$2=$AF91,$AG91,0))))</f>
        <v/>
      </c>
      <c r="V91">
        <f>IF(J90&lt;=0,0,MIN(AO91,J$7+IF(J$2=$AA91,$AC91,IF(J$2=$AF91,$AG91,0))))</f>
        <v/>
      </c>
      <c r="W91">
        <f>IF(K90&lt;=0,0,MIN(AP91,K$7+IF(K$2=$AA91,$AC91,IF(K$2=$AF91,$AG91,0))))</f>
        <v/>
      </c>
      <c r="X91">
        <f>IF(L90&lt;=0,0,MIN(AQ91,L$7+IF(L$2=$AA91,$AC91,IF(L$2=$AF91,$AG91,0))))</f>
        <v/>
      </c>
      <c r="Y91">
        <f>IF(M90&lt;=0,0,MIN(AR91,M$7+IF(M$2=$AA91,$AC91,IF(M$2=$AF91,$AG91,0))))</f>
        <v/>
      </c>
      <c r="Z91">
        <f>IF(N90&lt;=0,0,MIN(AS91,N$7+IF(N$2=$AA91,$AC91,IF(N$2=$AF91,$AG91,0))))</f>
        <v/>
      </c>
      <c r="AA91">
        <f>IFERROR(ROUND(1/SUMPRODUCT(MAX((C90:N90&gt;0)*($C$3:$N$3&lt;=B91)/$C$2:$N$2)),0),0)</f>
        <v/>
      </c>
      <c r="AB91">
        <f>SUMPRODUCT((C90:N90&gt;0)*$C$7:$N$7)</f>
        <v/>
      </c>
      <c r="AC91">
        <f>MAX(0,Plan!$C$5-AB91)+IF(A91=Plan!$C$8,N(Plan!$C$7),0)</f>
        <v/>
      </c>
      <c r="AD91">
        <f>SUM(C91:N91)</f>
        <v/>
      </c>
      <c r="AE91">
        <f>SUM(O91:Z91)</f>
        <v/>
      </c>
      <c r="AF91">
        <f>IFERROR(ROUND(1/SUMPRODUCT(MAX((C90:N90&gt;0)*($C$3:$N$3&lt;=B91)*($C$2:$N$2&gt;AA91)/$C$2:$N$2)),0),0)</f>
        <v/>
      </c>
      <c r="AG91">
        <f>MAX(0,AC91-MAX(0,SUMPRODUCT(($C$2:$N$2=AA91)*(AH91:AS91-$C$7:$N$7))))</f>
        <v/>
      </c>
      <c r="AH91">
        <f>IF(C90&lt;=0,0,ROUND(C90*(1+IF(AND(C$6&gt;0,$B91&lt;C$6),C$4,C$5)/12),2))</f>
        <v/>
      </c>
      <c r="AI91">
        <f>IF(D90&lt;=0,0,ROUND(D90*(1+IF(AND(D$6&gt;0,$B91&lt;D$6),D$4,D$5)/12),2))</f>
        <v/>
      </c>
      <c r="AJ91">
        <f>IF(E90&lt;=0,0,ROUND(E90*(1+IF(AND(E$6&gt;0,$B91&lt;E$6),E$4,E$5)/12),2))</f>
        <v/>
      </c>
      <c r="AK91">
        <f>IF(F90&lt;=0,0,ROUND(F90*(1+IF(AND(F$6&gt;0,$B91&lt;F$6),F$4,F$5)/12),2))</f>
        <v/>
      </c>
      <c r="AL91">
        <f>IF(G90&lt;=0,0,ROUND(G90*(1+IF(AND(G$6&gt;0,$B91&lt;G$6),G$4,G$5)/12),2))</f>
        <v/>
      </c>
      <c r="AM91">
        <f>IF(H90&lt;=0,0,ROUND(H90*(1+IF(AND(H$6&gt;0,$B91&lt;H$6),H$4,H$5)/12),2))</f>
        <v/>
      </c>
      <c r="AN91">
        <f>IF(I90&lt;=0,0,ROUND(I90*(1+IF(AND(I$6&gt;0,$B91&lt;I$6),I$4,I$5)/12),2))</f>
        <v/>
      </c>
      <c r="AO91">
        <f>IF(J90&lt;=0,0,ROUND(J90*(1+IF(AND(J$6&gt;0,$B91&lt;J$6),J$4,J$5)/12),2))</f>
        <v/>
      </c>
      <c r="AP91">
        <f>IF(K90&lt;=0,0,ROUND(K90*(1+IF(AND(K$6&gt;0,$B91&lt;K$6),K$4,K$5)/12),2))</f>
        <v/>
      </c>
      <c r="AQ91">
        <f>IF(L90&lt;=0,0,ROUND(L90*(1+IF(AND(L$6&gt;0,$B91&lt;L$6),L$4,L$5)/12),2))</f>
        <v/>
      </c>
      <c r="AR91">
        <f>IF(M90&lt;=0,0,ROUND(M90*(1+IF(AND(M$6&gt;0,$B91&lt;M$6),M$4,M$5)/12),2))</f>
        <v/>
      </c>
      <c r="AS91">
        <f>IF(N90&lt;=0,0,ROUND(N90*(1+IF(AND(N$6&gt;0,$B91&lt;N$6),N$4,N$5)/12),2))</f>
        <v/>
      </c>
    </row>
    <row r="92">
      <c r="A92" t="n">
        <v>81</v>
      </c>
      <c r="B92">
        <f>EDATE(Plan!$C$6,80)</f>
        <v/>
      </c>
      <c r="C92">
        <f>IF(C91&lt;=0,0,MAX(0,AH92-O92))</f>
        <v/>
      </c>
      <c r="D92">
        <f>IF(D91&lt;=0,0,MAX(0,AI92-P92))</f>
        <v/>
      </c>
      <c r="E92">
        <f>IF(E91&lt;=0,0,MAX(0,AJ92-Q92))</f>
        <v/>
      </c>
      <c r="F92">
        <f>IF(F91&lt;=0,0,MAX(0,AK92-R92))</f>
        <v/>
      </c>
      <c r="G92">
        <f>IF(G91&lt;=0,0,MAX(0,AL92-S92))</f>
        <v/>
      </c>
      <c r="H92">
        <f>IF(H91&lt;=0,0,MAX(0,AM92-T92))</f>
        <v/>
      </c>
      <c r="I92">
        <f>IF(I91&lt;=0,0,MAX(0,AN92-U92))</f>
        <v/>
      </c>
      <c r="J92">
        <f>IF(J91&lt;=0,0,MAX(0,AO92-V92))</f>
        <v/>
      </c>
      <c r="K92">
        <f>IF(K91&lt;=0,0,MAX(0,AP92-W92))</f>
        <v/>
      </c>
      <c r="L92">
        <f>IF(L91&lt;=0,0,MAX(0,AQ92-X92))</f>
        <v/>
      </c>
      <c r="M92">
        <f>IF(M91&lt;=0,0,MAX(0,AR92-Y92))</f>
        <v/>
      </c>
      <c r="N92">
        <f>IF(N91&lt;=0,0,MAX(0,AS92-Z92))</f>
        <v/>
      </c>
      <c r="O92">
        <f>IF(C91&lt;=0,0,MIN(AH92,C$7+IF(C$2=$AA92,$AC92,IF(C$2=$AF92,$AG92,0))))</f>
        <v/>
      </c>
      <c r="P92">
        <f>IF(D91&lt;=0,0,MIN(AI92,D$7+IF(D$2=$AA92,$AC92,IF(D$2=$AF92,$AG92,0))))</f>
        <v/>
      </c>
      <c r="Q92">
        <f>IF(E91&lt;=0,0,MIN(AJ92,E$7+IF(E$2=$AA92,$AC92,IF(E$2=$AF92,$AG92,0))))</f>
        <v/>
      </c>
      <c r="R92">
        <f>IF(F91&lt;=0,0,MIN(AK92,F$7+IF(F$2=$AA92,$AC92,IF(F$2=$AF92,$AG92,0))))</f>
        <v/>
      </c>
      <c r="S92">
        <f>IF(G91&lt;=0,0,MIN(AL92,G$7+IF(G$2=$AA92,$AC92,IF(G$2=$AF92,$AG92,0))))</f>
        <v/>
      </c>
      <c r="T92">
        <f>IF(H91&lt;=0,0,MIN(AM92,H$7+IF(H$2=$AA92,$AC92,IF(H$2=$AF92,$AG92,0))))</f>
        <v/>
      </c>
      <c r="U92">
        <f>IF(I91&lt;=0,0,MIN(AN92,I$7+IF(I$2=$AA92,$AC92,IF(I$2=$AF92,$AG92,0))))</f>
        <v/>
      </c>
      <c r="V92">
        <f>IF(J91&lt;=0,0,MIN(AO92,J$7+IF(J$2=$AA92,$AC92,IF(J$2=$AF92,$AG92,0))))</f>
        <v/>
      </c>
      <c r="W92">
        <f>IF(K91&lt;=0,0,MIN(AP92,K$7+IF(K$2=$AA92,$AC92,IF(K$2=$AF92,$AG92,0))))</f>
        <v/>
      </c>
      <c r="X92">
        <f>IF(L91&lt;=0,0,MIN(AQ92,L$7+IF(L$2=$AA92,$AC92,IF(L$2=$AF92,$AG92,0))))</f>
        <v/>
      </c>
      <c r="Y92">
        <f>IF(M91&lt;=0,0,MIN(AR92,M$7+IF(M$2=$AA92,$AC92,IF(M$2=$AF92,$AG92,0))))</f>
        <v/>
      </c>
      <c r="Z92">
        <f>IF(N91&lt;=0,0,MIN(AS92,N$7+IF(N$2=$AA92,$AC92,IF(N$2=$AF92,$AG92,0))))</f>
        <v/>
      </c>
      <c r="AA92">
        <f>IFERROR(ROUND(1/SUMPRODUCT(MAX((C91:N91&gt;0)*($C$3:$N$3&lt;=B92)/$C$2:$N$2)),0),0)</f>
        <v/>
      </c>
      <c r="AB92">
        <f>SUMPRODUCT((C91:N91&gt;0)*$C$7:$N$7)</f>
        <v/>
      </c>
      <c r="AC92">
        <f>MAX(0,Plan!$C$5-AB92)+IF(A92=Plan!$C$8,N(Plan!$C$7),0)</f>
        <v/>
      </c>
      <c r="AD92">
        <f>SUM(C92:N92)</f>
        <v/>
      </c>
      <c r="AE92">
        <f>SUM(O92:Z92)</f>
        <v/>
      </c>
      <c r="AF92">
        <f>IFERROR(ROUND(1/SUMPRODUCT(MAX((C91:N91&gt;0)*($C$3:$N$3&lt;=B92)*($C$2:$N$2&gt;AA92)/$C$2:$N$2)),0),0)</f>
        <v/>
      </c>
      <c r="AG92">
        <f>MAX(0,AC92-MAX(0,SUMPRODUCT(($C$2:$N$2=AA92)*(AH92:AS92-$C$7:$N$7))))</f>
        <v/>
      </c>
      <c r="AH92">
        <f>IF(C91&lt;=0,0,ROUND(C91*(1+IF(AND(C$6&gt;0,$B92&lt;C$6),C$4,C$5)/12),2))</f>
        <v/>
      </c>
      <c r="AI92">
        <f>IF(D91&lt;=0,0,ROUND(D91*(1+IF(AND(D$6&gt;0,$B92&lt;D$6),D$4,D$5)/12),2))</f>
        <v/>
      </c>
      <c r="AJ92">
        <f>IF(E91&lt;=0,0,ROUND(E91*(1+IF(AND(E$6&gt;0,$B92&lt;E$6),E$4,E$5)/12),2))</f>
        <v/>
      </c>
      <c r="AK92">
        <f>IF(F91&lt;=0,0,ROUND(F91*(1+IF(AND(F$6&gt;0,$B92&lt;F$6),F$4,F$5)/12),2))</f>
        <v/>
      </c>
      <c r="AL92">
        <f>IF(G91&lt;=0,0,ROUND(G91*(1+IF(AND(G$6&gt;0,$B92&lt;G$6),G$4,G$5)/12),2))</f>
        <v/>
      </c>
      <c r="AM92">
        <f>IF(H91&lt;=0,0,ROUND(H91*(1+IF(AND(H$6&gt;0,$B92&lt;H$6),H$4,H$5)/12),2))</f>
        <v/>
      </c>
      <c r="AN92">
        <f>IF(I91&lt;=0,0,ROUND(I91*(1+IF(AND(I$6&gt;0,$B92&lt;I$6),I$4,I$5)/12),2))</f>
        <v/>
      </c>
      <c r="AO92">
        <f>IF(J91&lt;=0,0,ROUND(J91*(1+IF(AND(J$6&gt;0,$B92&lt;J$6),J$4,J$5)/12),2))</f>
        <v/>
      </c>
      <c r="AP92">
        <f>IF(K91&lt;=0,0,ROUND(K91*(1+IF(AND(K$6&gt;0,$B92&lt;K$6),K$4,K$5)/12),2))</f>
        <v/>
      </c>
      <c r="AQ92">
        <f>IF(L91&lt;=0,0,ROUND(L91*(1+IF(AND(L$6&gt;0,$B92&lt;L$6),L$4,L$5)/12),2))</f>
        <v/>
      </c>
      <c r="AR92">
        <f>IF(M91&lt;=0,0,ROUND(M91*(1+IF(AND(M$6&gt;0,$B92&lt;M$6),M$4,M$5)/12),2))</f>
        <v/>
      </c>
      <c r="AS92">
        <f>IF(N91&lt;=0,0,ROUND(N91*(1+IF(AND(N$6&gt;0,$B92&lt;N$6),N$4,N$5)/12),2))</f>
        <v/>
      </c>
    </row>
    <row r="93">
      <c r="A93" t="n">
        <v>82</v>
      </c>
      <c r="B93">
        <f>EDATE(Plan!$C$6,81)</f>
        <v/>
      </c>
      <c r="C93">
        <f>IF(C92&lt;=0,0,MAX(0,AH93-O93))</f>
        <v/>
      </c>
      <c r="D93">
        <f>IF(D92&lt;=0,0,MAX(0,AI93-P93))</f>
        <v/>
      </c>
      <c r="E93">
        <f>IF(E92&lt;=0,0,MAX(0,AJ93-Q93))</f>
        <v/>
      </c>
      <c r="F93">
        <f>IF(F92&lt;=0,0,MAX(0,AK93-R93))</f>
        <v/>
      </c>
      <c r="G93">
        <f>IF(G92&lt;=0,0,MAX(0,AL93-S93))</f>
        <v/>
      </c>
      <c r="H93">
        <f>IF(H92&lt;=0,0,MAX(0,AM93-T93))</f>
        <v/>
      </c>
      <c r="I93">
        <f>IF(I92&lt;=0,0,MAX(0,AN93-U93))</f>
        <v/>
      </c>
      <c r="J93">
        <f>IF(J92&lt;=0,0,MAX(0,AO93-V93))</f>
        <v/>
      </c>
      <c r="K93">
        <f>IF(K92&lt;=0,0,MAX(0,AP93-W93))</f>
        <v/>
      </c>
      <c r="L93">
        <f>IF(L92&lt;=0,0,MAX(0,AQ93-X93))</f>
        <v/>
      </c>
      <c r="M93">
        <f>IF(M92&lt;=0,0,MAX(0,AR93-Y93))</f>
        <v/>
      </c>
      <c r="N93">
        <f>IF(N92&lt;=0,0,MAX(0,AS93-Z93))</f>
        <v/>
      </c>
      <c r="O93">
        <f>IF(C92&lt;=0,0,MIN(AH93,C$7+IF(C$2=$AA93,$AC93,IF(C$2=$AF93,$AG93,0))))</f>
        <v/>
      </c>
      <c r="P93">
        <f>IF(D92&lt;=0,0,MIN(AI93,D$7+IF(D$2=$AA93,$AC93,IF(D$2=$AF93,$AG93,0))))</f>
        <v/>
      </c>
      <c r="Q93">
        <f>IF(E92&lt;=0,0,MIN(AJ93,E$7+IF(E$2=$AA93,$AC93,IF(E$2=$AF93,$AG93,0))))</f>
        <v/>
      </c>
      <c r="R93">
        <f>IF(F92&lt;=0,0,MIN(AK93,F$7+IF(F$2=$AA93,$AC93,IF(F$2=$AF93,$AG93,0))))</f>
        <v/>
      </c>
      <c r="S93">
        <f>IF(G92&lt;=0,0,MIN(AL93,G$7+IF(G$2=$AA93,$AC93,IF(G$2=$AF93,$AG93,0))))</f>
        <v/>
      </c>
      <c r="T93">
        <f>IF(H92&lt;=0,0,MIN(AM93,H$7+IF(H$2=$AA93,$AC93,IF(H$2=$AF93,$AG93,0))))</f>
        <v/>
      </c>
      <c r="U93">
        <f>IF(I92&lt;=0,0,MIN(AN93,I$7+IF(I$2=$AA93,$AC93,IF(I$2=$AF93,$AG93,0))))</f>
        <v/>
      </c>
      <c r="V93">
        <f>IF(J92&lt;=0,0,MIN(AO93,J$7+IF(J$2=$AA93,$AC93,IF(J$2=$AF93,$AG93,0))))</f>
        <v/>
      </c>
      <c r="W93">
        <f>IF(K92&lt;=0,0,MIN(AP93,K$7+IF(K$2=$AA93,$AC93,IF(K$2=$AF93,$AG93,0))))</f>
        <v/>
      </c>
      <c r="X93">
        <f>IF(L92&lt;=0,0,MIN(AQ93,L$7+IF(L$2=$AA93,$AC93,IF(L$2=$AF93,$AG93,0))))</f>
        <v/>
      </c>
      <c r="Y93">
        <f>IF(M92&lt;=0,0,MIN(AR93,M$7+IF(M$2=$AA93,$AC93,IF(M$2=$AF93,$AG93,0))))</f>
        <v/>
      </c>
      <c r="Z93">
        <f>IF(N92&lt;=0,0,MIN(AS93,N$7+IF(N$2=$AA93,$AC93,IF(N$2=$AF93,$AG93,0))))</f>
        <v/>
      </c>
      <c r="AA93">
        <f>IFERROR(ROUND(1/SUMPRODUCT(MAX((C92:N92&gt;0)*($C$3:$N$3&lt;=B93)/$C$2:$N$2)),0),0)</f>
        <v/>
      </c>
      <c r="AB93">
        <f>SUMPRODUCT((C92:N92&gt;0)*$C$7:$N$7)</f>
        <v/>
      </c>
      <c r="AC93">
        <f>MAX(0,Plan!$C$5-AB93)+IF(A93=Plan!$C$8,N(Plan!$C$7),0)</f>
        <v/>
      </c>
      <c r="AD93">
        <f>SUM(C93:N93)</f>
        <v/>
      </c>
      <c r="AE93">
        <f>SUM(O93:Z93)</f>
        <v/>
      </c>
      <c r="AF93">
        <f>IFERROR(ROUND(1/SUMPRODUCT(MAX((C92:N92&gt;0)*($C$3:$N$3&lt;=B93)*($C$2:$N$2&gt;AA93)/$C$2:$N$2)),0),0)</f>
        <v/>
      </c>
      <c r="AG93">
        <f>MAX(0,AC93-MAX(0,SUMPRODUCT(($C$2:$N$2=AA93)*(AH93:AS93-$C$7:$N$7))))</f>
        <v/>
      </c>
      <c r="AH93">
        <f>IF(C92&lt;=0,0,ROUND(C92*(1+IF(AND(C$6&gt;0,$B93&lt;C$6),C$4,C$5)/12),2))</f>
        <v/>
      </c>
      <c r="AI93">
        <f>IF(D92&lt;=0,0,ROUND(D92*(1+IF(AND(D$6&gt;0,$B93&lt;D$6),D$4,D$5)/12),2))</f>
        <v/>
      </c>
      <c r="AJ93">
        <f>IF(E92&lt;=0,0,ROUND(E92*(1+IF(AND(E$6&gt;0,$B93&lt;E$6),E$4,E$5)/12),2))</f>
        <v/>
      </c>
      <c r="AK93">
        <f>IF(F92&lt;=0,0,ROUND(F92*(1+IF(AND(F$6&gt;0,$B93&lt;F$6),F$4,F$5)/12),2))</f>
        <v/>
      </c>
      <c r="AL93">
        <f>IF(G92&lt;=0,0,ROUND(G92*(1+IF(AND(G$6&gt;0,$B93&lt;G$6),G$4,G$5)/12),2))</f>
        <v/>
      </c>
      <c r="AM93">
        <f>IF(H92&lt;=0,0,ROUND(H92*(1+IF(AND(H$6&gt;0,$B93&lt;H$6),H$4,H$5)/12),2))</f>
        <v/>
      </c>
      <c r="AN93">
        <f>IF(I92&lt;=0,0,ROUND(I92*(1+IF(AND(I$6&gt;0,$B93&lt;I$6),I$4,I$5)/12),2))</f>
        <v/>
      </c>
      <c r="AO93">
        <f>IF(J92&lt;=0,0,ROUND(J92*(1+IF(AND(J$6&gt;0,$B93&lt;J$6),J$4,J$5)/12),2))</f>
        <v/>
      </c>
      <c r="AP93">
        <f>IF(K92&lt;=0,0,ROUND(K92*(1+IF(AND(K$6&gt;0,$B93&lt;K$6),K$4,K$5)/12),2))</f>
        <v/>
      </c>
      <c r="AQ93">
        <f>IF(L92&lt;=0,0,ROUND(L92*(1+IF(AND(L$6&gt;0,$B93&lt;L$6),L$4,L$5)/12),2))</f>
        <v/>
      </c>
      <c r="AR93">
        <f>IF(M92&lt;=0,0,ROUND(M92*(1+IF(AND(M$6&gt;0,$B93&lt;M$6),M$4,M$5)/12),2))</f>
        <v/>
      </c>
      <c r="AS93">
        <f>IF(N92&lt;=0,0,ROUND(N92*(1+IF(AND(N$6&gt;0,$B93&lt;N$6),N$4,N$5)/12),2))</f>
        <v/>
      </c>
    </row>
    <row r="94">
      <c r="A94" t="n">
        <v>83</v>
      </c>
      <c r="B94">
        <f>EDATE(Plan!$C$6,82)</f>
        <v/>
      </c>
      <c r="C94">
        <f>IF(C93&lt;=0,0,MAX(0,AH94-O94))</f>
        <v/>
      </c>
      <c r="D94">
        <f>IF(D93&lt;=0,0,MAX(0,AI94-P94))</f>
        <v/>
      </c>
      <c r="E94">
        <f>IF(E93&lt;=0,0,MAX(0,AJ94-Q94))</f>
        <v/>
      </c>
      <c r="F94">
        <f>IF(F93&lt;=0,0,MAX(0,AK94-R94))</f>
        <v/>
      </c>
      <c r="G94">
        <f>IF(G93&lt;=0,0,MAX(0,AL94-S94))</f>
        <v/>
      </c>
      <c r="H94">
        <f>IF(H93&lt;=0,0,MAX(0,AM94-T94))</f>
        <v/>
      </c>
      <c r="I94">
        <f>IF(I93&lt;=0,0,MAX(0,AN94-U94))</f>
        <v/>
      </c>
      <c r="J94">
        <f>IF(J93&lt;=0,0,MAX(0,AO94-V94))</f>
        <v/>
      </c>
      <c r="K94">
        <f>IF(K93&lt;=0,0,MAX(0,AP94-W94))</f>
        <v/>
      </c>
      <c r="L94">
        <f>IF(L93&lt;=0,0,MAX(0,AQ94-X94))</f>
        <v/>
      </c>
      <c r="M94">
        <f>IF(M93&lt;=0,0,MAX(0,AR94-Y94))</f>
        <v/>
      </c>
      <c r="N94">
        <f>IF(N93&lt;=0,0,MAX(0,AS94-Z94))</f>
        <v/>
      </c>
      <c r="O94">
        <f>IF(C93&lt;=0,0,MIN(AH94,C$7+IF(C$2=$AA94,$AC94,IF(C$2=$AF94,$AG94,0))))</f>
        <v/>
      </c>
      <c r="P94">
        <f>IF(D93&lt;=0,0,MIN(AI94,D$7+IF(D$2=$AA94,$AC94,IF(D$2=$AF94,$AG94,0))))</f>
        <v/>
      </c>
      <c r="Q94">
        <f>IF(E93&lt;=0,0,MIN(AJ94,E$7+IF(E$2=$AA94,$AC94,IF(E$2=$AF94,$AG94,0))))</f>
        <v/>
      </c>
      <c r="R94">
        <f>IF(F93&lt;=0,0,MIN(AK94,F$7+IF(F$2=$AA94,$AC94,IF(F$2=$AF94,$AG94,0))))</f>
        <v/>
      </c>
      <c r="S94">
        <f>IF(G93&lt;=0,0,MIN(AL94,G$7+IF(G$2=$AA94,$AC94,IF(G$2=$AF94,$AG94,0))))</f>
        <v/>
      </c>
      <c r="T94">
        <f>IF(H93&lt;=0,0,MIN(AM94,H$7+IF(H$2=$AA94,$AC94,IF(H$2=$AF94,$AG94,0))))</f>
        <v/>
      </c>
      <c r="U94">
        <f>IF(I93&lt;=0,0,MIN(AN94,I$7+IF(I$2=$AA94,$AC94,IF(I$2=$AF94,$AG94,0))))</f>
        <v/>
      </c>
      <c r="V94">
        <f>IF(J93&lt;=0,0,MIN(AO94,J$7+IF(J$2=$AA94,$AC94,IF(J$2=$AF94,$AG94,0))))</f>
        <v/>
      </c>
      <c r="W94">
        <f>IF(K93&lt;=0,0,MIN(AP94,K$7+IF(K$2=$AA94,$AC94,IF(K$2=$AF94,$AG94,0))))</f>
        <v/>
      </c>
      <c r="X94">
        <f>IF(L93&lt;=0,0,MIN(AQ94,L$7+IF(L$2=$AA94,$AC94,IF(L$2=$AF94,$AG94,0))))</f>
        <v/>
      </c>
      <c r="Y94">
        <f>IF(M93&lt;=0,0,MIN(AR94,M$7+IF(M$2=$AA94,$AC94,IF(M$2=$AF94,$AG94,0))))</f>
        <v/>
      </c>
      <c r="Z94">
        <f>IF(N93&lt;=0,0,MIN(AS94,N$7+IF(N$2=$AA94,$AC94,IF(N$2=$AF94,$AG94,0))))</f>
        <v/>
      </c>
      <c r="AA94">
        <f>IFERROR(ROUND(1/SUMPRODUCT(MAX((C93:N93&gt;0)*($C$3:$N$3&lt;=B94)/$C$2:$N$2)),0),0)</f>
        <v/>
      </c>
      <c r="AB94">
        <f>SUMPRODUCT((C93:N93&gt;0)*$C$7:$N$7)</f>
        <v/>
      </c>
      <c r="AC94">
        <f>MAX(0,Plan!$C$5-AB94)+IF(A94=Plan!$C$8,N(Plan!$C$7),0)</f>
        <v/>
      </c>
      <c r="AD94">
        <f>SUM(C94:N94)</f>
        <v/>
      </c>
      <c r="AE94">
        <f>SUM(O94:Z94)</f>
        <v/>
      </c>
      <c r="AF94">
        <f>IFERROR(ROUND(1/SUMPRODUCT(MAX((C93:N93&gt;0)*($C$3:$N$3&lt;=B94)*($C$2:$N$2&gt;AA94)/$C$2:$N$2)),0),0)</f>
        <v/>
      </c>
      <c r="AG94">
        <f>MAX(0,AC94-MAX(0,SUMPRODUCT(($C$2:$N$2=AA94)*(AH94:AS94-$C$7:$N$7))))</f>
        <v/>
      </c>
      <c r="AH94">
        <f>IF(C93&lt;=0,0,ROUND(C93*(1+IF(AND(C$6&gt;0,$B94&lt;C$6),C$4,C$5)/12),2))</f>
        <v/>
      </c>
      <c r="AI94">
        <f>IF(D93&lt;=0,0,ROUND(D93*(1+IF(AND(D$6&gt;0,$B94&lt;D$6),D$4,D$5)/12),2))</f>
        <v/>
      </c>
      <c r="AJ94">
        <f>IF(E93&lt;=0,0,ROUND(E93*(1+IF(AND(E$6&gt;0,$B94&lt;E$6),E$4,E$5)/12),2))</f>
        <v/>
      </c>
      <c r="AK94">
        <f>IF(F93&lt;=0,0,ROUND(F93*(1+IF(AND(F$6&gt;0,$B94&lt;F$6),F$4,F$5)/12),2))</f>
        <v/>
      </c>
      <c r="AL94">
        <f>IF(G93&lt;=0,0,ROUND(G93*(1+IF(AND(G$6&gt;0,$B94&lt;G$6),G$4,G$5)/12),2))</f>
        <v/>
      </c>
      <c r="AM94">
        <f>IF(H93&lt;=0,0,ROUND(H93*(1+IF(AND(H$6&gt;0,$B94&lt;H$6),H$4,H$5)/12),2))</f>
        <v/>
      </c>
      <c r="AN94">
        <f>IF(I93&lt;=0,0,ROUND(I93*(1+IF(AND(I$6&gt;0,$B94&lt;I$6),I$4,I$5)/12),2))</f>
        <v/>
      </c>
      <c r="AO94">
        <f>IF(J93&lt;=0,0,ROUND(J93*(1+IF(AND(J$6&gt;0,$B94&lt;J$6),J$4,J$5)/12),2))</f>
        <v/>
      </c>
      <c r="AP94">
        <f>IF(K93&lt;=0,0,ROUND(K93*(1+IF(AND(K$6&gt;0,$B94&lt;K$6),K$4,K$5)/12),2))</f>
        <v/>
      </c>
      <c r="AQ94">
        <f>IF(L93&lt;=0,0,ROUND(L93*(1+IF(AND(L$6&gt;0,$B94&lt;L$6),L$4,L$5)/12),2))</f>
        <v/>
      </c>
      <c r="AR94">
        <f>IF(M93&lt;=0,0,ROUND(M93*(1+IF(AND(M$6&gt;0,$B94&lt;M$6),M$4,M$5)/12),2))</f>
        <v/>
      </c>
      <c r="AS94">
        <f>IF(N93&lt;=0,0,ROUND(N93*(1+IF(AND(N$6&gt;0,$B94&lt;N$6),N$4,N$5)/12),2))</f>
        <v/>
      </c>
    </row>
    <row r="95">
      <c r="A95" t="n">
        <v>84</v>
      </c>
      <c r="B95">
        <f>EDATE(Plan!$C$6,83)</f>
        <v/>
      </c>
      <c r="C95">
        <f>IF(C94&lt;=0,0,MAX(0,AH95-O95))</f>
        <v/>
      </c>
      <c r="D95">
        <f>IF(D94&lt;=0,0,MAX(0,AI95-P95))</f>
        <v/>
      </c>
      <c r="E95">
        <f>IF(E94&lt;=0,0,MAX(0,AJ95-Q95))</f>
        <v/>
      </c>
      <c r="F95">
        <f>IF(F94&lt;=0,0,MAX(0,AK95-R95))</f>
        <v/>
      </c>
      <c r="G95">
        <f>IF(G94&lt;=0,0,MAX(0,AL95-S95))</f>
        <v/>
      </c>
      <c r="H95">
        <f>IF(H94&lt;=0,0,MAX(0,AM95-T95))</f>
        <v/>
      </c>
      <c r="I95">
        <f>IF(I94&lt;=0,0,MAX(0,AN95-U95))</f>
        <v/>
      </c>
      <c r="J95">
        <f>IF(J94&lt;=0,0,MAX(0,AO95-V95))</f>
        <v/>
      </c>
      <c r="K95">
        <f>IF(K94&lt;=0,0,MAX(0,AP95-W95))</f>
        <v/>
      </c>
      <c r="L95">
        <f>IF(L94&lt;=0,0,MAX(0,AQ95-X95))</f>
        <v/>
      </c>
      <c r="M95">
        <f>IF(M94&lt;=0,0,MAX(0,AR95-Y95))</f>
        <v/>
      </c>
      <c r="N95">
        <f>IF(N94&lt;=0,0,MAX(0,AS95-Z95))</f>
        <v/>
      </c>
      <c r="O95">
        <f>IF(C94&lt;=0,0,MIN(AH95,C$7+IF(C$2=$AA95,$AC95,IF(C$2=$AF95,$AG95,0))))</f>
        <v/>
      </c>
      <c r="P95">
        <f>IF(D94&lt;=0,0,MIN(AI95,D$7+IF(D$2=$AA95,$AC95,IF(D$2=$AF95,$AG95,0))))</f>
        <v/>
      </c>
      <c r="Q95">
        <f>IF(E94&lt;=0,0,MIN(AJ95,E$7+IF(E$2=$AA95,$AC95,IF(E$2=$AF95,$AG95,0))))</f>
        <v/>
      </c>
      <c r="R95">
        <f>IF(F94&lt;=0,0,MIN(AK95,F$7+IF(F$2=$AA95,$AC95,IF(F$2=$AF95,$AG95,0))))</f>
        <v/>
      </c>
      <c r="S95">
        <f>IF(G94&lt;=0,0,MIN(AL95,G$7+IF(G$2=$AA95,$AC95,IF(G$2=$AF95,$AG95,0))))</f>
        <v/>
      </c>
      <c r="T95">
        <f>IF(H94&lt;=0,0,MIN(AM95,H$7+IF(H$2=$AA95,$AC95,IF(H$2=$AF95,$AG95,0))))</f>
        <v/>
      </c>
      <c r="U95">
        <f>IF(I94&lt;=0,0,MIN(AN95,I$7+IF(I$2=$AA95,$AC95,IF(I$2=$AF95,$AG95,0))))</f>
        <v/>
      </c>
      <c r="V95">
        <f>IF(J94&lt;=0,0,MIN(AO95,J$7+IF(J$2=$AA95,$AC95,IF(J$2=$AF95,$AG95,0))))</f>
        <v/>
      </c>
      <c r="W95">
        <f>IF(K94&lt;=0,0,MIN(AP95,K$7+IF(K$2=$AA95,$AC95,IF(K$2=$AF95,$AG95,0))))</f>
        <v/>
      </c>
      <c r="X95">
        <f>IF(L94&lt;=0,0,MIN(AQ95,L$7+IF(L$2=$AA95,$AC95,IF(L$2=$AF95,$AG95,0))))</f>
        <v/>
      </c>
      <c r="Y95">
        <f>IF(M94&lt;=0,0,MIN(AR95,M$7+IF(M$2=$AA95,$AC95,IF(M$2=$AF95,$AG95,0))))</f>
        <v/>
      </c>
      <c r="Z95">
        <f>IF(N94&lt;=0,0,MIN(AS95,N$7+IF(N$2=$AA95,$AC95,IF(N$2=$AF95,$AG95,0))))</f>
        <v/>
      </c>
      <c r="AA95">
        <f>IFERROR(ROUND(1/SUMPRODUCT(MAX((C94:N94&gt;0)*($C$3:$N$3&lt;=B95)/$C$2:$N$2)),0),0)</f>
        <v/>
      </c>
      <c r="AB95">
        <f>SUMPRODUCT((C94:N94&gt;0)*$C$7:$N$7)</f>
        <v/>
      </c>
      <c r="AC95">
        <f>MAX(0,Plan!$C$5-AB95)+IF(A95=Plan!$C$8,N(Plan!$C$7),0)</f>
        <v/>
      </c>
      <c r="AD95">
        <f>SUM(C95:N95)</f>
        <v/>
      </c>
      <c r="AE95">
        <f>SUM(O95:Z95)</f>
        <v/>
      </c>
      <c r="AF95">
        <f>IFERROR(ROUND(1/SUMPRODUCT(MAX((C94:N94&gt;0)*($C$3:$N$3&lt;=B95)*($C$2:$N$2&gt;AA95)/$C$2:$N$2)),0),0)</f>
        <v/>
      </c>
      <c r="AG95">
        <f>MAX(0,AC95-MAX(0,SUMPRODUCT(($C$2:$N$2=AA95)*(AH95:AS95-$C$7:$N$7))))</f>
        <v/>
      </c>
      <c r="AH95">
        <f>IF(C94&lt;=0,0,ROUND(C94*(1+IF(AND(C$6&gt;0,$B95&lt;C$6),C$4,C$5)/12),2))</f>
        <v/>
      </c>
      <c r="AI95">
        <f>IF(D94&lt;=0,0,ROUND(D94*(1+IF(AND(D$6&gt;0,$B95&lt;D$6),D$4,D$5)/12),2))</f>
        <v/>
      </c>
      <c r="AJ95">
        <f>IF(E94&lt;=0,0,ROUND(E94*(1+IF(AND(E$6&gt;0,$B95&lt;E$6),E$4,E$5)/12),2))</f>
        <v/>
      </c>
      <c r="AK95">
        <f>IF(F94&lt;=0,0,ROUND(F94*(1+IF(AND(F$6&gt;0,$B95&lt;F$6),F$4,F$5)/12),2))</f>
        <v/>
      </c>
      <c r="AL95">
        <f>IF(G94&lt;=0,0,ROUND(G94*(1+IF(AND(G$6&gt;0,$B95&lt;G$6),G$4,G$5)/12),2))</f>
        <v/>
      </c>
      <c r="AM95">
        <f>IF(H94&lt;=0,0,ROUND(H94*(1+IF(AND(H$6&gt;0,$B95&lt;H$6),H$4,H$5)/12),2))</f>
        <v/>
      </c>
      <c r="AN95">
        <f>IF(I94&lt;=0,0,ROUND(I94*(1+IF(AND(I$6&gt;0,$B95&lt;I$6),I$4,I$5)/12),2))</f>
        <v/>
      </c>
      <c r="AO95">
        <f>IF(J94&lt;=0,0,ROUND(J94*(1+IF(AND(J$6&gt;0,$B95&lt;J$6),J$4,J$5)/12),2))</f>
        <v/>
      </c>
      <c r="AP95">
        <f>IF(K94&lt;=0,0,ROUND(K94*(1+IF(AND(K$6&gt;0,$B95&lt;K$6),K$4,K$5)/12),2))</f>
        <v/>
      </c>
      <c r="AQ95">
        <f>IF(L94&lt;=0,0,ROUND(L94*(1+IF(AND(L$6&gt;0,$B95&lt;L$6),L$4,L$5)/12),2))</f>
        <v/>
      </c>
      <c r="AR95">
        <f>IF(M94&lt;=0,0,ROUND(M94*(1+IF(AND(M$6&gt;0,$B95&lt;M$6),M$4,M$5)/12),2))</f>
        <v/>
      </c>
      <c r="AS95">
        <f>IF(N94&lt;=0,0,ROUND(N94*(1+IF(AND(N$6&gt;0,$B95&lt;N$6),N$4,N$5)/12),2))</f>
        <v/>
      </c>
    </row>
    <row r="96">
      <c r="A96" t="n">
        <v>85</v>
      </c>
      <c r="B96">
        <f>EDATE(Plan!$C$6,84)</f>
        <v/>
      </c>
      <c r="C96">
        <f>IF(C95&lt;=0,0,MAX(0,AH96-O96))</f>
        <v/>
      </c>
      <c r="D96">
        <f>IF(D95&lt;=0,0,MAX(0,AI96-P96))</f>
        <v/>
      </c>
      <c r="E96">
        <f>IF(E95&lt;=0,0,MAX(0,AJ96-Q96))</f>
        <v/>
      </c>
      <c r="F96">
        <f>IF(F95&lt;=0,0,MAX(0,AK96-R96))</f>
        <v/>
      </c>
      <c r="G96">
        <f>IF(G95&lt;=0,0,MAX(0,AL96-S96))</f>
        <v/>
      </c>
      <c r="H96">
        <f>IF(H95&lt;=0,0,MAX(0,AM96-T96))</f>
        <v/>
      </c>
      <c r="I96">
        <f>IF(I95&lt;=0,0,MAX(0,AN96-U96))</f>
        <v/>
      </c>
      <c r="J96">
        <f>IF(J95&lt;=0,0,MAX(0,AO96-V96))</f>
        <v/>
      </c>
      <c r="K96">
        <f>IF(K95&lt;=0,0,MAX(0,AP96-W96))</f>
        <v/>
      </c>
      <c r="L96">
        <f>IF(L95&lt;=0,0,MAX(0,AQ96-X96))</f>
        <v/>
      </c>
      <c r="M96">
        <f>IF(M95&lt;=0,0,MAX(0,AR96-Y96))</f>
        <v/>
      </c>
      <c r="N96">
        <f>IF(N95&lt;=0,0,MAX(0,AS96-Z96))</f>
        <v/>
      </c>
      <c r="O96">
        <f>IF(C95&lt;=0,0,MIN(AH96,C$7+IF(C$2=$AA96,$AC96,IF(C$2=$AF96,$AG96,0))))</f>
        <v/>
      </c>
      <c r="P96">
        <f>IF(D95&lt;=0,0,MIN(AI96,D$7+IF(D$2=$AA96,$AC96,IF(D$2=$AF96,$AG96,0))))</f>
        <v/>
      </c>
      <c r="Q96">
        <f>IF(E95&lt;=0,0,MIN(AJ96,E$7+IF(E$2=$AA96,$AC96,IF(E$2=$AF96,$AG96,0))))</f>
        <v/>
      </c>
      <c r="R96">
        <f>IF(F95&lt;=0,0,MIN(AK96,F$7+IF(F$2=$AA96,$AC96,IF(F$2=$AF96,$AG96,0))))</f>
        <v/>
      </c>
      <c r="S96">
        <f>IF(G95&lt;=0,0,MIN(AL96,G$7+IF(G$2=$AA96,$AC96,IF(G$2=$AF96,$AG96,0))))</f>
        <v/>
      </c>
      <c r="T96">
        <f>IF(H95&lt;=0,0,MIN(AM96,H$7+IF(H$2=$AA96,$AC96,IF(H$2=$AF96,$AG96,0))))</f>
        <v/>
      </c>
      <c r="U96">
        <f>IF(I95&lt;=0,0,MIN(AN96,I$7+IF(I$2=$AA96,$AC96,IF(I$2=$AF96,$AG96,0))))</f>
        <v/>
      </c>
      <c r="V96">
        <f>IF(J95&lt;=0,0,MIN(AO96,J$7+IF(J$2=$AA96,$AC96,IF(J$2=$AF96,$AG96,0))))</f>
        <v/>
      </c>
      <c r="W96">
        <f>IF(K95&lt;=0,0,MIN(AP96,K$7+IF(K$2=$AA96,$AC96,IF(K$2=$AF96,$AG96,0))))</f>
        <v/>
      </c>
      <c r="X96">
        <f>IF(L95&lt;=0,0,MIN(AQ96,L$7+IF(L$2=$AA96,$AC96,IF(L$2=$AF96,$AG96,0))))</f>
        <v/>
      </c>
      <c r="Y96">
        <f>IF(M95&lt;=0,0,MIN(AR96,M$7+IF(M$2=$AA96,$AC96,IF(M$2=$AF96,$AG96,0))))</f>
        <v/>
      </c>
      <c r="Z96">
        <f>IF(N95&lt;=0,0,MIN(AS96,N$7+IF(N$2=$AA96,$AC96,IF(N$2=$AF96,$AG96,0))))</f>
        <v/>
      </c>
      <c r="AA96">
        <f>IFERROR(ROUND(1/SUMPRODUCT(MAX((C95:N95&gt;0)*($C$3:$N$3&lt;=B96)/$C$2:$N$2)),0),0)</f>
        <v/>
      </c>
      <c r="AB96">
        <f>SUMPRODUCT((C95:N95&gt;0)*$C$7:$N$7)</f>
        <v/>
      </c>
      <c r="AC96">
        <f>MAX(0,Plan!$C$5-AB96)+IF(A96=Plan!$C$8,N(Plan!$C$7),0)</f>
        <v/>
      </c>
      <c r="AD96">
        <f>SUM(C96:N96)</f>
        <v/>
      </c>
      <c r="AE96">
        <f>SUM(O96:Z96)</f>
        <v/>
      </c>
      <c r="AF96">
        <f>IFERROR(ROUND(1/SUMPRODUCT(MAX((C95:N95&gt;0)*($C$3:$N$3&lt;=B96)*($C$2:$N$2&gt;AA96)/$C$2:$N$2)),0),0)</f>
        <v/>
      </c>
      <c r="AG96">
        <f>MAX(0,AC96-MAX(0,SUMPRODUCT(($C$2:$N$2=AA96)*(AH96:AS96-$C$7:$N$7))))</f>
        <v/>
      </c>
      <c r="AH96">
        <f>IF(C95&lt;=0,0,ROUND(C95*(1+IF(AND(C$6&gt;0,$B96&lt;C$6),C$4,C$5)/12),2))</f>
        <v/>
      </c>
      <c r="AI96">
        <f>IF(D95&lt;=0,0,ROUND(D95*(1+IF(AND(D$6&gt;0,$B96&lt;D$6),D$4,D$5)/12),2))</f>
        <v/>
      </c>
      <c r="AJ96">
        <f>IF(E95&lt;=0,0,ROUND(E95*(1+IF(AND(E$6&gt;0,$B96&lt;E$6),E$4,E$5)/12),2))</f>
        <v/>
      </c>
      <c r="AK96">
        <f>IF(F95&lt;=0,0,ROUND(F95*(1+IF(AND(F$6&gt;0,$B96&lt;F$6),F$4,F$5)/12),2))</f>
        <v/>
      </c>
      <c r="AL96">
        <f>IF(G95&lt;=0,0,ROUND(G95*(1+IF(AND(G$6&gt;0,$B96&lt;G$6),G$4,G$5)/12),2))</f>
        <v/>
      </c>
      <c r="AM96">
        <f>IF(H95&lt;=0,0,ROUND(H95*(1+IF(AND(H$6&gt;0,$B96&lt;H$6),H$4,H$5)/12),2))</f>
        <v/>
      </c>
      <c r="AN96">
        <f>IF(I95&lt;=0,0,ROUND(I95*(1+IF(AND(I$6&gt;0,$B96&lt;I$6),I$4,I$5)/12),2))</f>
        <v/>
      </c>
      <c r="AO96">
        <f>IF(J95&lt;=0,0,ROUND(J95*(1+IF(AND(J$6&gt;0,$B96&lt;J$6),J$4,J$5)/12),2))</f>
        <v/>
      </c>
      <c r="AP96">
        <f>IF(K95&lt;=0,0,ROUND(K95*(1+IF(AND(K$6&gt;0,$B96&lt;K$6),K$4,K$5)/12),2))</f>
        <v/>
      </c>
      <c r="AQ96">
        <f>IF(L95&lt;=0,0,ROUND(L95*(1+IF(AND(L$6&gt;0,$B96&lt;L$6),L$4,L$5)/12),2))</f>
        <v/>
      </c>
      <c r="AR96">
        <f>IF(M95&lt;=0,0,ROUND(M95*(1+IF(AND(M$6&gt;0,$B96&lt;M$6),M$4,M$5)/12),2))</f>
        <v/>
      </c>
      <c r="AS96">
        <f>IF(N95&lt;=0,0,ROUND(N95*(1+IF(AND(N$6&gt;0,$B96&lt;N$6),N$4,N$5)/12),2))</f>
        <v/>
      </c>
    </row>
    <row r="97">
      <c r="A97" t="n">
        <v>86</v>
      </c>
      <c r="B97">
        <f>EDATE(Plan!$C$6,85)</f>
        <v/>
      </c>
      <c r="C97">
        <f>IF(C96&lt;=0,0,MAX(0,AH97-O97))</f>
        <v/>
      </c>
      <c r="D97">
        <f>IF(D96&lt;=0,0,MAX(0,AI97-P97))</f>
        <v/>
      </c>
      <c r="E97">
        <f>IF(E96&lt;=0,0,MAX(0,AJ97-Q97))</f>
        <v/>
      </c>
      <c r="F97">
        <f>IF(F96&lt;=0,0,MAX(0,AK97-R97))</f>
        <v/>
      </c>
      <c r="G97">
        <f>IF(G96&lt;=0,0,MAX(0,AL97-S97))</f>
        <v/>
      </c>
      <c r="H97">
        <f>IF(H96&lt;=0,0,MAX(0,AM97-T97))</f>
        <v/>
      </c>
      <c r="I97">
        <f>IF(I96&lt;=0,0,MAX(0,AN97-U97))</f>
        <v/>
      </c>
      <c r="J97">
        <f>IF(J96&lt;=0,0,MAX(0,AO97-V97))</f>
        <v/>
      </c>
      <c r="K97">
        <f>IF(K96&lt;=0,0,MAX(0,AP97-W97))</f>
        <v/>
      </c>
      <c r="L97">
        <f>IF(L96&lt;=0,0,MAX(0,AQ97-X97))</f>
        <v/>
      </c>
      <c r="M97">
        <f>IF(M96&lt;=0,0,MAX(0,AR97-Y97))</f>
        <v/>
      </c>
      <c r="N97">
        <f>IF(N96&lt;=0,0,MAX(0,AS97-Z97))</f>
        <v/>
      </c>
      <c r="O97">
        <f>IF(C96&lt;=0,0,MIN(AH97,C$7+IF(C$2=$AA97,$AC97,IF(C$2=$AF97,$AG97,0))))</f>
        <v/>
      </c>
      <c r="P97">
        <f>IF(D96&lt;=0,0,MIN(AI97,D$7+IF(D$2=$AA97,$AC97,IF(D$2=$AF97,$AG97,0))))</f>
        <v/>
      </c>
      <c r="Q97">
        <f>IF(E96&lt;=0,0,MIN(AJ97,E$7+IF(E$2=$AA97,$AC97,IF(E$2=$AF97,$AG97,0))))</f>
        <v/>
      </c>
      <c r="R97">
        <f>IF(F96&lt;=0,0,MIN(AK97,F$7+IF(F$2=$AA97,$AC97,IF(F$2=$AF97,$AG97,0))))</f>
        <v/>
      </c>
      <c r="S97">
        <f>IF(G96&lt;=0,0,MIN(AL97,G$7+IF(G$2=$AA97,$AC97,IF(G$2=$AF97,$AG97,0))))</f>
        <v/>
      </c>
      <c r="T97">
        <f>IF(H96&lt;=0,0,MIN(AM97,H$7+IF(H$2=$AA97,$AC97,IF(H$2=$AF97,$AG97,0))))</f>
        <v/>
      </c>
      <c r="U97">
        <f>IF(I96&lt;=0,0,MIN(AN97,I$7+IF(I$2=$AA97,$AC97,IF(I$2=$AF97,$AG97,0))))</f>
        <v/>
      </c>
      <c r="V97">
        <f>IF(J96&lt;=0,0,MIN(AO97,J$7+IF(J$2=$AA97,$AC97,IF(J$2=$AF97,$AG97,0))))</f>
        <v/>
      </c>
      <c r="W97">
        <f>IF(K96&lt;=0,0,MIN(AP97,K$7+IF(K$2=$AA97,$AC97,IF(K$2=$AF97,$AG97,0))))</f>
        <v/>
      </c>
      <c r="X97">
        <f>IF(L96&lt;=0,0,MIN(AQ97,L$7+IF(L$2=$AA97,$AC97,IF(L$2=$AF97,$AG97,0))))</f>
        <v/>
      </c>
      <c r="Y97">
        <f>IF(M96&lt;=0,0,MIN(AR97,M$7+IF(M$2=$AA97,$AC97,IF(M$2=$AF97,$AG97,0))))</f>
        <v/>
      </c>
      <c r="Z97">
        <f>IF(N96&lt;=0,0,MIN(AS97,N$7+IF(N$2=$AA97,$AC97,IF(N$2=$AF97,$AG97,0))))</f>
        <v/>
      </c>
      <c r="AA97">
        <f>IFERROR(ROUND(1/SUMPRODUCT(MAX((C96:N96&gt;0)*($C$3:$N$3&lt;=B97)/$C$2:$N$2)),0),0)</f>
        <v/>
      </c>
      <c r="AB97">
        <f>SUMPRODUCT((C96:N96&gt;0)*$C$7:$N$7)</f>
        <v/>
      </c>
      <c r="AC97">
        <f>MAX(0,Plan!$C$5-AB97)+IF(A97=Plan!$C$8,N(Plan!$C$7),0)</f>
        <v/>
      </c>
      <c r="AD97">
        <f>SUM(C97:N97)</f>
        <v/>
      </c>
      <c r="AE97">
        <f>SUM(O97:Z97)</f>
        <v/>
      </c>
      <c r="AF97">
        <f>IFERROR(ROUND(1/SUMPRODUCT(MAX((C96:N96&gt;0)*($C$3:$N$3&lt;=B97)*($C$2:$N$2&gt;AA97)/$C$2:$N$2)),0),0)</f>
        <v/>
      </c>
      <c r="AG97">
        <f>MAX(0,AC97-MAX(0,SUMPRODUCT(($C$2:$N$2=AA97)*(AH97:AS97-$C$7:$N$7))))</f>
        <v/>
      </c>
      <c r="AH97">
        <f>IF(C96&lt;=0,0,ROUND(C96*(1+IF(AND(C$6&gt;0,$B97&lt;C$6),C$4,C$5)/12),2))</f>
        <v/>
      </c>
      <c r="AI97">
        <f>IF(D96&lt;=0,0,ROUND(D96*(1+IF(AND(D$6&gt;0,$B97&lt;D$6),D$4,D$5)/12),2))</f>
        <v/>
      </c>
      <c r="AJ97">
        <f>IF(E96&lt;=0,0,ROUND(E96*(1+IF(AND(E$6&gt;0,$B97&lt;E$6),E$4,E$5)/12),2))</f>
        <v/>
      </c>
      <c r="AK97">
        <f>IF(F96&lt;=0,0,ROUND(F96*(1+IF(AND(F$6&gt;0,$B97&lt;F$6),F$4,F$5)/12),2))</f>
        <v/>
      </c>
      <c r="AL97">
        <f>IF(G96&lt;=0,0,ROUND(G96*(1+IF(AND(G$6&gt;0,$B97&lt;G$6),G$4,G$5)/12),2))</f>
        <v/>
      </c>
      <c r="AM97">
        <f>IF(H96&lt;=0,0,ROUND(H96*(1+IF(AND(H$6&gt;0,$B97&lt;H$6),H$4,H$5)/12),2))</f>
        <v/>
      </c>
      <c r="AN97">
        <f>IF(I96&lt;=0,0,ROUND(I96*(1+IF(AND(I$6&gt;0,$B97&lt;I$6),I$4,I$5)/12),2))</f>
        <v/>
      </c>
      <c r="AO97">
        <f>IF(J96&lt;=0,0,ROUND(J96*(1+IF(AND(J$6&gt;0,$B97&lt;J$6),J$4,J$5)/12),2))</f>
        <v/>
      </c>
      <c r="AP97">
        <f>IF(K96&lt;=0,0,ROUND(K96*(1+IF(AND(K$6&gt;0,$B97&lt;K$6),K$4,K$5)/12),2))</f>
        <v/>
      </c>
      <c r="AQ97">
        <f>IF(L96&lt;=0,0,ROUND(L96*(1+IF(AND(L$6&gt;0,$B97&lt;L$6),L$4,L$5)/12),2))</f>
        <v/>
      </c>
      <c r="AR97">
        <f>IF(M96&lt;=0,0,ROUND(M96*(1+IF(AND(M$6&gt;0,$B97&lt;M$6),M$4,M$5)/12),2))</f>
        <v/>
      </c>
      <c r="AS97">
        <f>IF(N96&lt;=0,0,ROUND(N96*(1+IF(AND(N$6&gt;0,$B97&lt;N$6),N$4,N$5)/12),2))</f>
        <v/>
      </c>
    </row>
    <row r="98">
      <c r="A98" t="n">
        <v>87</v>
      </c>
      <c r="B98">
        <f>EDATE(Plan!$C$6,86)</f>
        <v/>
      </c>
      <c r="C98">
        <f>IF(C97&lt;=0,0,MAX(0,AH98-O98))</f>
        <v/>
      </c>
      <c r="D98">
        <f>IF(D97&lt;=0,0,MAX(0,AI98-P98))</f>
        <v/>
      </c>
      <c r="E98">
        <f>IF(E97&lt;=0,0,MAX(0,AJ98-Q98))</f>
        <v/>
      </c>
      <c r="F98">
        <f>IF(F97&lt;=0,0,MAX(0,AK98-R98))</f>
        <v/>
      </c>
      <c r="G98">
        <f>IF(G97&lt;=0,0,MAX(0,AL98-S98))</f>
        <v/>
      </c>
      <c r="H98">
        <f>IF(H97&lt;=0,0,MAX(0,AM98-T98))</f>
        <v/>
      </c>
      <c r="I98">
        <f>IF(I97&lt;=0,0,MAX(0,AN98-U98))</f>
        <v/>
      </c>
      <c r="J98">
        <f>IF(J97&lt;=0,0,MAX(0,AO98-V98))</f>
        <v/>
      </c>
      <c r="K98">
        <f>IF(K97&lt;=0,0,MAX(0,AP98-W98))</f>
        <v/>
      </c>
      <c r="L98">
        <f>IF(L97&lt;=0,0,MAX(0,AQ98-X98))</f>
        <v/>
      </c>
      <c r="M98">
        <f>IF(M97&lt;=0,0,MAX(0,AR98-Y98))</f>
        <v/>
      </c>
      <c r="N98">
        <f>IF(N97&lt;=0,0,MAX(0,AS98-Z98))</f>
        <v/>
      </c>
      <c r="O98">
        <f>IF(C97&lt;=0,0,MIN(AH98,C$7+IF(C$2=$AA98,$AC98,IF(C$2=$AF98,$AG98,0))))</f>
        <v/>
      </c>
      <c r="P98">
        <f>IF(D97&lt;=0,0,MIN(AI98,D$7+IF(D$2=$AA98,$AC98,IF(D$2=$AF98,$AG98,0))))</f>
        <v/>
      </c>
      <c r="Q98">
        <f>IF(E97&lt;=0,0,MIN(AJ98,E$7+IF(E$2=$AA98,$AC98,IF(E$2=$AF98,$AG98,0))))</f>
        <v/>
      </c>
      <c r="R98">
        <f>IF(F97&lt;=0,0,MIN(AK98,F$7+IF(F$2=$AA98,$AC98,IF(F$2=$AF98,$AG98,0))))</f>
        <v/>
      </c>
      <c r="S98">
        <f>IF(G97&lt;=0,0,MIN(AL98,G$7+IF(G$2=$AA98,$AC98,IF(G$2=$AF98,$AG98,0))))</f>
        <v/>
      </c>
      <c r="T98">
        <f>IF(H97&lt;=0,0,MIN(AM98,H$7+IF(H$2=$AA98,$AC98,IF(H$2=$AF98,$AG98,0))))</f>
        <v/>
      </c>
      <c r="U98">
        <f>IF(I97&lt;=0,0,MIN(AN98,I$7+IF(I$2=$AA98,$AC98,IF(I$2=$AF98,$AG98,0))))</f>
        <v/>
      </c>
      <c r="V98">
        <f>IF(J97&lt;=0,0,MIN(AO98,J$7+IF(J$2=$AA98,$AC98,IF(J$2=$AF98,$AG98,0))))</f>
        <v/>
      </c>
      <c r="W98">
        <f>IF(K97&lt;=0,0,MIN(AP98,K$7+IF(K$2=$AA98,$AC98,IF(K$2=$AF98,$AG98,0))))</f>
        <v/>
      </c>
      <c r="X98">
        <f>IF(L97&lt;=0,0,MIN(AQ98,L$7+IF(L$2=$AA98,$AC98,IF(L$2=$AF98,$AG98,0))))</f>
        <v/>
      </c>
      <c r="Y98">
        <f>IF(M97&lt;=0,0,MIN(AR98,M$7+IF(M$2=$AA98,$AC98,IF(M$2=$AF98,$AG98,0))))</f>
        <v/>
      </c>
      <c r="Z98">
        <f>IF(N97&lt;=0,0,MIN(AS98,N$7+IF(N$2=$AA98,$AC98,IF(N$2=$AF98,$AG98,0))))</f>
        <v/>
      </c>
      <c r="AA98">
        <f>IFERROR(ROUND(1/SUMPRODUCT(MAX((C97:N97&gt;0)*($C$3:$N$3&lt;=B98)/$C$2:$N$2)),0),0)</f>
        <v/>
      </c>
      <c r="AB98">
        <f>SUMPRODUCT((C97:N97&gt;0)*$C$7:$N$7)</f>
        <v/>
      </c>
      <c r="AC98">
        <f>MAX(0,Plan!$C$5-AB98)+IF(A98=Plan!$C$8,N(Plan!$C$7),0)</f>
        <v/>
      </c>
      <c r="AD98">
        <f>SUM(C98:N98)</f>
        <v/>
      </c>
      <c r="AE98">
        <f>SUM(O98:Z98)</f>
        <v/>
      </c>
      <c r="AF98">
        <f>IFERROR(ROUND(1/SUMPRODUCT(MAX((C97:N97&gt;0)*($C$3:$N$3&lt;=B98)*($C$2:$N$2&gt;AA98)/$C$2:$N$2)),0),0)</f>
        <v/>
      </c>
      <c r="AG98">
        <f>MAX(0,AC98-MAX(0,SUMPRODUCT(($C$2:$N$2=AA98)*(AH98:AS98-$C$7:$N$7))))</f>
        <v/>
      </c>
      <c r="AH98">
        <f>IF(C97&lt;=0,0,ROUND(C97*(1+IF(AND(C$6&gt;0,$B98&lt;C$6),C$4,C$5)/12),2))</f>
        <v/>
      </c>
      <c r="AI98">
        <f>IF(D97&lt;=0,0,ROUND(D97*(1+IF(AND(D$6&gt;0,$B98&lt;D$6),D$4,D$5)/12),2))</f>
        <v/>
      </c>
      <c r="AJ98">
        <f>IF(E97&lt;=0,0,ROUND(E97*(1+IF(AND(E$6&gt;0,$B98&lt;E$6),E$4,E$5)/12),2))</f>
        <v/>
      </c>
      <c r="AK98">
        <f>IF(F97&lt;=0,0,ROUND(F97*(1+IF(AND(F$6&gt;0,$B98&lt;F$6),F$4,F$5)/12),2))</f>
        <v/>
      </c>
      <c r="AL98">
        <f>IF(G97&lt;=0,0,ROUND(G97*(1+IF(AND(G$6&gt;0,$B98&lt;G$6),G$4,G$5)/12),2))</f>
        <v/>
      </c>
      <c r="AM98">
        <f>IF(H97&lt;=0,0,ROUND(H97*(1+IF(AND(H$6&gt;0,$B98&lt;H$6),H$4,H$5)/12),2))</f>
        <v/>
      </c>
      <c r="AN98">
        <f>IF(I97&lt;=0,0,ROUND(I97*(1+IF(AND(I$6&gt;0,$B98&lt;I$6),I$4,I$5)/12),2))</f>
        <v/>
      </c>
      <c r="AO98">
        <f>IF(J97&lt;=0,0,ROUND(J97*(1+IF(AND(J$6&gt;0,$B98&lt;J$6),J$4,J$5)/12),2))</f>
        <v/>
      </c>
      <c r="AP98">
        <f>IF(K97&lt;=0,0,ROUND(K97*(1+IF(AND(K$6&gt;0,$B98&lt;K$6),K$4,K$5)/12),2))</f>
        <v/>
      </c>
      <c r="AQ98">
        <f>IF(L97&lt;=0,0,ROUND(L97*(1+IF(AND(L$6&gt;0,$B98&lt;L$6),L$4,L$5)/12),2))</f>
        <v/>
      </c>
      <c r="AR98">
        <f>IF(M97&lt;=0,0,ROUND(M97*(1+IF(AND(M$6&gt;0,$B98&lt;M$6),M$4,M$5)/12),2))</f>
        <v/>
      </c>
      <c r="AS98">
        <f>IF(N97&lt;=0,0,ROUND(N97*(1+IF(AND(N$6&gt;0,$B98&lt;N$6),N$4,N$5)/12),2))</f>
        <v/>
      </c>
    </row>
    <row r="99">
      <c r="A99" t="n">
        <v>88</v>
      </c>
      <c r="B99">
        <f>EDATE(Plan!$C$6,87)</f>
        <v/>
      </c>
      <c r="C99">
        <f>IF(C98&lt;=0,0,MAX(0,AH99-O99))</f>
        <v/>
      </c>
      <c r="D99">
        <f>IF(D98&lt;=0,0,MAX(0,AI99-P99))</f>
        <v/>
      </c>
      <c r="E99">
        <f>IF(E98&lt;=0,0,MAX(0,AJ99-Q99))</f>
        <v/>
      </c>
      <c r="F99">
        <f>IF(F98&lt;=0,0,MAX(0,AK99-R99))</f>
        <v/>
      </c>
      <c r="G99">
        <f>IF(G98&lt;=0,0,MAX(0,AL99-S99))</f>
        <v/>
      </c>
      <c r="H99">
        <f>IF(H98&lt;=0,0,MAX(0,AM99-T99))</f>
        <v/>
      </c>
      <c r="I99">
        <f>IF(I98&lt;=0,0,MAX(0,AN99-U99))</f>
        <v/>
      </c>
      <c r="J99">
        <f>IF(J98&lt;=0,0,MAX(0,AO99-V99))</f>
        <v/>
      </c>
      <c r="K99">
        <f>IF(K98&lt;=0,0,MAX(0,AP99-W99))</f>
        <v/>
      </c>
      <c r="L99">
        <f>IF(L98&lt;=0,0,MAX(0,AQ99-X99))</f>
        <v/>
      </c>
      <c r="M99">
        <f>IF(M98&lt;=0,0,MAX(0,AR99-Y99))</f>
        <v/>
      </c>
      <c r="N99">
        <f>IF(N98&lt;=0,0,MAX(0,AS99-Z99))</f>
        <v/>
      </c>
      <c r="O99">
        <f>IF(C98&lt;=0,0,MIN(AH99,C$7+IF(C$2=$AA99,$AC99,IF(C$2=$AF99,$AG99,0))))</f>
        <v/>
      </c>
      <c r="P99">
        <f>IF(D98&lt;=0,0,MIN(AI99,D$7+IF(D$2=$AA99,$AC99,IF(D$2=$AF99,$AG99,0))))</f>
        <v/>
      </c>
      <c r="Q99">
        <f>IF(E98&lt;=0,0,MIN(AJ99,E$7+IF(E$2=$AA99,$AC99,IF(E$2=$AF99,$AG99,0))))</f>
        <v/>
      </c>
      <c r="R99">
        <f>IF(F98&lt;=0,0,MIN(AK99,F$7+IF(F$2=$AA99,$AC99,IF(F$2=$AF99,$AG99,0))))</f>
        <v/>
      </c>
      <c r="S99">
        <f>IF(G98&lt;=0,0,MIN(AL99,G$7+IF(G$2=$AA99,$AC99,IF(G$2=$AF99,$AG99,0))))</f>
        <v/>
      </c>
      <c r="T99">
        <f>IF(H98&lt;=0,0,MIN(AM99,H$7+IF(H$2=$AA99,$AC99,IF(H$2=$AF99,$AG99,0))))</f>
        <v/>
      </c>
      <c r="U99">
        <f>IF(I98&lt;=0,0,MIN(AN99,I$7+IF(I$2=$AA99,$AC99,IF(I$2=$AF99,$AG99,0))))</f>
        <v/>
      </c>
      <c r="V99">
        <f>IF(J98&lt;=0,0,MIN(AO99,J$7+IF(J$2=$AA99,$AC99,IF(J$2=$AF99,$AG99,0))))</f>
        <v/>
      </c>
      <c r="W99">
        <f>IF(K98&lt;=0,0,MIN(AP99,K$7+IF(K$2=$AA99,$AC99,IF(K$2=$AF99,$AG99,0))))</f>
        <v/>
      </c>
      <c r="X99">
        <f>IF(L98&lt;=0,0,MIN(AQ99,L$7+IF(L$2=$AA99,$AC99,IF(L$2=$AF99,$AG99,0))))</f>
        <v/>
      </c>
      <c r="Y99">
        <f>IF(M98&lt;=0,0,MIN(AR99,M$7+IF(M$2=$AA99,$AC99,IF(M$2=$AF99,$AG99,0))))</f>
        <v/>
      </c>
      <c r="Z99">
        <f>IF(N98&lt;=0,0,MIN(AS99,N$7+IF(N$2=$AA99,$AC99,IF(N$2=$AF99,$AG99,0))))</f>
        <v/>
      </c>
      <c r="AA99">
        <f>IFERROR(ROUND(1/SUMPRODUCT(MAX((C98:N98&gt;0)*($C$3:$N$3&lt;=B99)/$C$2:$N$2)),0),0)</f>
        <v/>
      </c>
      <c r="AB99">
        <f>SUMPRODUCT((C98:N98&gt;0)*$C$7:$N$7)</f>
        <v/>
      </c>
      <c r="AC99">
        <f>MAX(0,Plan!$C$5-AB99)+IF(A99=Plan!$C$8,N(Plan!$C$7),0)</f>
        <v/>
      </c>
      <c r="AD99">
        <f>SUM(C99:N99)</f>
        <v/>
      </c>
      <c r="AE99">
        <f>SUM(O99:Z99)</f>
        <v/>
      </c>
      <c r="AF99">
        <f>IFERROR(ROUND(1/SUMPRODUCT(MAX((C98:N98&gt;0)*($C$3:$N$3&lt;=B99)*($C$2:$N$2&gt;AA99)/$C$2:$N$2)),0),0)</f>
        <v/>
      </c>
      <c r="AG99">
        <f>MAX(0,AC99-MAX(0,SUMPRODUCT(($C$2:$N$2=AA99)*(AH99:AS99-$C$7:$N$7))))</f>
        <v/>
      </c>
      <c r="AH99">
        <f>IF(C98&lt;=0,0,ROUND(C98*(1+IF(AND(C$6&gt;0,$B99&lt;C$6),C$4,C$5)/12),2))</f>
        <v/>
      </c>
      <c r="AI99">
        <f>IF(D98&lt;=0,0,ROUND(D98*(1+IF(AND(D$6&gt;0,$B99&lt;D$6),D$4,D$5)/12),2))</f>
        <v/>
      </c>
      <c r="AJ99">
        <f>IF(E98&lt;=0,0,ROUND(E98*(1+IF(AND(E$6&gt;0,$B99&lt;E$6),E$4,E$5)/12),2))</f>
        <v/>
      </c>
      <c r="AK99">
        <f>IF(F98&lt;=0,0,ROUND(F98*(1+IF(AND(F$6&gt;0,$B99&lt;F$6),F$4,F$5)/12),2))</f>
        <v/>
      </c>
      <c r="AL99">
        <f>IF(G98&lt;=0,0,ROUND(G98*(1+IF(AND(G$6&gt;0,$B99&lt;G$6),G$4,G$5)/12),2))</f>
        <v/>
      </c>
      <c r="AM99">
        <f>IF(H98&lt;=0,0,ROUND(H98*(1+IF(AND(H$6&gt;0,$B99&lt;H$6),H$4,H$5)/12),2))</f>
        <v/>
      </c>
      <c r="AN99">
        <f>IF(I98&lt;=0,0,ROUND(I98*(1+IF(AND(I$6&gt;0,$B99&lt;I$6),I$4,I$5)/12),2))</f>
        <v/>
      </c>
      <c r="AO99">
        <f>IF(J98&lt;=0,0,ROUND(J98*(1+IF(AND(J$6&gt;0,$B99&lt;J$6),J$4,J$5)/12),2))</f>
        <v/>
      </c>
      <c r="AP99">
        <f>IF(K98&lt;=0,0,ROUND(K98*(1+IF(AND(K$6&gt;0,$B99&lt;K$6),K$4,K$5)/12),2))</f>
        <v/>
      </c>
      <c r="AQ99">
        <f>IF(L98&lt;=0,0,ROUND(L98*(1+IF(AND(L$6&gt;0,$B99&lt;L$6),L$4,L$5)/12),2))</f>
        <v/>
      </c>
      <c r="AR99">
        <f>IF(M98&lt;=0,0,ROUND(M98*(1+IF(AND(M$6&gt;0,$B99&lt;M$6),M$4,M$5)/12),2))</f>
        <v/>
      </c>
      <c r="AS99">
        <f>IF(N98&lt;=0,0,ROUND(N98*(1+IF(AND(N$6&gt;0,$B99&lt;N$6),N$4,N$5)/12),2))</f>
        <v/>
      </c>
    </row>
    <row r="100">
      <c r="A100" t="n">
        <v>89</v>
      </c>
      <c r="B100">
        <f>EDATE(Plan!$C$6,88)</f>
        <v/>
      </c>
      <c r="C100">
        <f>IF(C99&lt;=0,0,MAX(0,AH100-O100))</f>
        <v/>
      </c>
      <c r="D100">
        <f>IF(D99&lt;=0,0,MAX(0,AI100-P100))</f>
        <v/>
      </c>
      <c r="E100">
        <f>IF(E99&lt;=0,0,MAX(0,AJ100-Q100))</f>
        <v/>
      </c>
      <c r="F100">
        <f>IF(F99&lt;=0,0,MAX(0,AK100-R100))</f>
        <v/>
      </c>
      <c r="G100">
        <f>IF(G99&lt;=0,0,MAX(0,AL100-S100))</f>
        <v/>
      </c>
      <c r="H100">
        <f>IF(H99&lt;=0,0,MAX(0,AM100-T100))</f>
        <v/>
      </c>
      <c r="I100">
        <f>IF(I99&lt;=0,0,MAX(0,AN100-U100))</f>
        <v/>
      </c>
      <c r="J100">
        <f>IF(J99&lt;=0,0,MAX(0,AO100-V100))</f>
        <v/>
      </c>
      <c r="K100">
        <f>IF(K99&lt;=0,0,MAX(0,AP100-W100))</f>
        <v/>
      </c>
      <c r="L100">
        <f>IF(L99&lt;=0,0,MAX(0,AQ100-X100))</f>
        <v/>
      </c>
      <c r="M100">
        <f>IF(M99&lt;=0,0,MAX(0,AR100-Y100))</f>
        <v/>
      </c>
      <c r="N100">
        <f>IF(N99&lt;=0,0,MAX(0,AS100-Z100))</f>
        <v/>
      </c>
      <c r="O100">
        <f>IF(C99&lt;=0,0,MIN(AH100,C$7+IF(C$2=$AA100,$AC100,IF(C$2=$AF100,$AG100,0))))</f>
        <v/>
      </c>
      <c r="P100">
        <f>IF(D99&lt;=0,0,MIN(AI100,D$7+IF(D$2=$AA100,$AC100,IF(D$2=$AF100,$AG100,0))))</f>
        <v/>
      </c>
      <c r="Q100">
        <f>IF(E99&lt;=0,0,MIN(AJ100,E$7+IF(E$2=$AA100,$AC100,IF(E$2=$AF100,$AG100,0))))</f>
        <v/>
      </c>
      <c r="R100">
        <f>IF(F99&lt;=0,0,MIN(AK100,F$7+IF(F$2=$AA100,$AC100,IF(F$2=$AF100,$AG100,0))))</f>
        <v/>
      </c>
      <c r="S100">
        <f>IF(G99&lt;=0,0,MIN(AL100,G$7+IF(G$2=$AA100,$AC100,IF(G$2=$AF100,$AG100,0))))</f>
        <v/>
      </c>
      <c r="T100">
        <f>IF(H99&lt;=0,0,MIN(AM100,H$7+IF(H$2=$AA100,$AC100,IF(H$2=$AF100,$AG100,0))))</f>
        <v/>
      </c>
      <c r="U100">
        <f>IF(I99&lt;=0,0,MIN(AN100,I$7+IF(I$2=$AA100,$AC100,IF(I$2=$AF100,$AG100,0))))</f>
        <v/>
      </c>
      <c r="V100">
        <f>IF(J99&lt;=0,0,MIN(AO100,J$7+IF(J$2=$AA100,$AC100,IF(J$2=$AF100,$AG100,0))))</f>
        <v/>
      </c>
      <c r="W100">
        <f>IF(K99&lt;=0,0,MIN(AP100,K$7+IF(K$2=$AA100,$AC100,IF(K$2=$AF100,$AG100,0))))</f>
        <v/>
      </c>
      <c r="X100">
        <f>IF(L99&lt;=0,0,MIN(AQ100,L$7+IF(L$2=$AA100,$AC100,IF(L$2=$AF100,$AG100,0))))</f>
        <v/>
      </c>
      <c r="Y100">
        <f>IF(M99&lt;=0,0,MIN(AR100,M$7+IF(M$2=$AA100,$AC100,IF(M$2=$AF100,$AG100,0))))</f>
        <v/>
      </c>
      <c r="Z100">
        <f>IF(N99&lt;=0,0,MIN(AS100,N$7+IF(N$2=$AA100,$AC100,IF(N$2=$AF100,$AG100,0))))</f>
        <v/>
      </c>
      <c r="AA100">
        <f>IFERROR(ROUND(1/SUMPRODUCT(MAX((C99:N99&gt;0)*($C$3:$N$3&lt;=B100)/$C$2:$N$2)),0),0)</f>
        <v/>
      </c>
      <c r="AB100">
        <f>SUMPRODUCT((C99:N99&gt;0)*$C$7:$N$7)</f>
        <v/>
      </c>
      <c r="AC100">
        <f>MAX(0,Plan!$C$5-AB100)+IF(A100=Plan!$C$8,N(Plan!$C$7),0)</f>
        <v/>
      </c>
      <c r="AD100">
        <f>SUM(C100:N100)</f>
        <v/>
      </c>
      <c r="AE100">
        <f>SUM(O100:Z100)</f>
        <v/>
      </c>
      <c r="AF100">
        <f>IFERROR(ROUND(1/SUMPRODUCT(MAX((C99:N99&gt;0)*($C$3:$N$3&lt;=B100)*($C$2:$N$2&gt;AA100)/$C$2:$N$2)),0),0)</f>
        <v/>
      </c>
      <c r="AG100">
        <f>MAX(0,AC100-MAX(0,SUMPRODUCT(($C$2:$N$2=AA100)*(AH100:AS100-$C$7:$N$7))))</f>
        <v/>
      </c>
      <c r="AH100">
        <f>IF(C99&lt;=0,0,ROUND(C99*(1+IF(AND(C$6&gt;0,$B100&lt;C$6),C$4,C$5)/12),2))</f>
        <v/>
      </c>
      <c r="AI100">
        <f>IF(D99&lt;=0,0,ROUND(D99*(1+IF(AND(D$6&gt;0,$B100&lt;D$6),D$4,D$5)/12),2))</f>
        <v/>
      </c>
      <c r="AJ100">
        <f>IF(E99&lt;=0,0,ROUND(E99*(1+IF(AND(E$6&gt;0,$B100&lt;E$6),E$4,E$5)/12),2))</f>
        <v/>
      </c>
      <c r="AK100">
        <f>IF(F99&lt;=0,0,ROUND(F99*(1+IF(AND(F$6&gt;0,$B100&lt;F$6),F$4,F$5)/12),2))</f>
        <v/>
      </c>
      <c r="AL100">
        <f>IF(G99&lt;=0,0,ROUND(G99*(1+IF(AND(G$6&gt;0,$B100&lt;G$6),G$4,G$5)/12),2))</f>
        <v/>
      </c>
      <c r="AM100">
        <f>IF(H99&lt;=0,0,ROUND(H99*(1+IF(AND(H$6&gt;0,$B100&lt;H$6),H$4,H$5)/12),2))</f>
        <v/>
      </c>
      <c r="AN100">
        <f>IF(I99&lt;=0,0,ROUND(I99*(1+IF(AND(I$6&gt;0,$B100&lt;I$6),I$4,I$5)/12),2))</f>
        <v/>
      </c>
      <c r="AO100">
        <f>IF(J99&lt;=0,0,ROUND(J99*(1+IF(AND(J$6&gt;0,$B100&lt;J$6),J$4,J$5)/12),2))</f>
        <v/>
      </c>
      <c r="AP100">
        <f>IF(K99&lt;=0,0,ROUND(K99*(1+IF(AND(K$6&gt;0,$B100&lt;K$6),K$4,K$5)/12),2))</f>
        <v/>
      </c>
      <c r="AQ100">
        <f>IF(L99&lt;=0,0,ROUND(L99*(1+IF(AND(L$6&gt;0,$B100&lt;L$6),L$4,L$5)/12),2))</f>
        <v/>
      </c>
      <c r="AR100">
        <f>IF(M99&lt;=0,0,ROUND(M99*(1+IF(AND(M$6&gt;0,$B100&lt;M$6),M$4,M$5)/12),2))</f>
        <v/>
      </c>
      <c r="AS100">
        <f>IF(N99&lt;=0,0,ROUND(N99*(1+IF(AND(N$6&gt;0,$B100&lt;N$6),N$4,N$5)/12),2))</f>
        <v/>
      </c>
    </row>
    <row r="101">
      <c r="A101" t="n">
        <v>90</v>
      </c>
      <c r="B101">
        <f>EDATE(Plan!$C$6,89)</f>
        <v/>
      </c>
      <c r="C101">
        <f>IF(C100&lt;=0,0,MAX(0,AH101-O101))</f>
        <v/>
      </c>
      <c r="D101">
        <f>IF(D100&lt;=0,0,MAX(0,AI101-P101))</f>
        <v/>
      </c>
      <c r="E101">
        <f>IF(E100&lt;=0,0,MAX(0,AJ101-Q101))</f>
        <v/>
      </c>
      <c r="F101">
        <f>IF(F100&lt;=0,0,MAX(0,AK101-R101))</f>
        <v/>
      </c>
      <c r="G101">
        <f>IF(G100&lt;=0,0,MAX(0,AL101-S101))</f>
        <v/>
      </c>
      <c r="H101">
        <f>IF(H100&lt;=0,0,MAX(0,AM101-T101))</f>
        <v/>
      </c>
      <c r="I101">
        <f>IF(I100&lt;=0,0,MAX(0,AN101-U101))</f>
        <v/>
      </c>
      <c r="J101">
        <f>IF(J100&lt;=0,0,MAX(0,AO101-V101))</f>
        <v/>
      </c>
      <c r="K101">
        <f>IF(K100&lt;=0,0,MAX(0,AP101-W101))</f>
        <v/>
      </c>
      <c r="L101">
        <f>IF(L100&lt;=0,0,MAX(0,AQ101-X101))</f>
        <v/>
      </c>
      <c r="M101">
        <f>IF(M100&lt;=0,0,MAX(0,AR101-Y101))</f>
        <v/>
      </c>
      <c r="N101">
        <f>IF(N100&lt;=0,0,MAX(0,AS101-Z101))</f>
        <v/>
      </c>
      <c r="O101">
        <f>IF(C100&lt;=0,0,MIN(AH101,C$7+IF(C$2=$AA101,$AC101,IF(C$2=$AF101,$AG101,0))))</f>
        <v/>
      </c>
      <c r="P101">
        <f>IF(D100&lt;=0,0,MIN(AI101,D$7+IF(D$2=$AA101,$AC101,IF(D$2=$AF101,$AG101,0))))</f>
        <v/>
      </c>
      <c r="Q101">
        <f>IF(E100&lt;=0,0,MIN(AJ101,E$7+IF(E$2=$AA101,$AC101,IF(E$2=$AF101,$AG101,0))))</f>
        <v/>
      </c>
      <c r="R101">
        <f>IF(F100&lt;=0,0,MIN(AK101,F$7+IF(F$2=$AA101,$AC101,IF(F$2=$AF101,$AG101,0))))</f>
        <v/>
      </c>
      <c r="S101">
        <f>IF(G100&lt;=0,0,MIN(AL101,G$7+IF(G$2=$AA101,$AC101,IF(G$2=$AF101,$AG101,0))))</f>
        <v/>
      </c>
      <c r="T101">
        <f>IF(H100&lt;=0,0,MIN(AM101,H$7+IF(H$2=$AA101,$AC101,IF(H$2=$AF101,$AG101,0))))</f>
        <v/>
      </c>
      <c r="U101">
        <f>IF(I100&lt;=0,0,MIN(AN101,I$7+IF(I$2=$AA101,$AC101,IF(I$2=$AF101,$AG101,0))))</f>
        <v/>
      </c>
      <c r="V101">
        <f>IF(J100&lt;=0,0,MIN(AO101,J$7+IF(J$2=$AA101,$AC101,IF(J$2=$AF101,$AG101,0))))</f>
        <v/>
      </c>
      <c r="W101">
        <f>IF(K100&lt;=0,0,MIN(AP101,K$7+IF(K$2=$AA101,$AC101,IF(K$2=$AF101,$AG101,0))))</f>
        <v/>
      </c>
      <c r="X101">
        <f>IF(L100&lt;=0,0,MIN(AQ101,L$7+IF(L$2=$AA101,$AC101,IF(L$2=$AF101,$AG101,0))))</f>
        <v/>
      </c>
      <c r="Y101">
        <f>IF(M100&lt;=0,0,MIN(AR101,M$7+IF(M$2=$AA101,$AC101,IF(M$2=$AF101,$AG101,0))))</f>
        <v/>
      </c>
      <c r="Z101">
        <f>IF(N100&lt;=0,0,MIN(AS101,N$7+IF(N$2=$AA101,$AC101,IF(N$2=$AF101,$AG101,0))))</f>
        <v/>
      </c>
      <c r="AA101">
        <f>IFERROR(ROUND(1/SUMPRODUCT(MAX((C100:N100&gt;0)*($C$3:$N$3&lt;=B101)/$C$2:$N$2)),0),0)</f>
        <v/>
      </c>
      <c r="AB101">
        <f>SUMPRODUCT((C100:N100&gt;0)*$C$7:$N$7)</f>
        <v/>
      </c>
      <c r="AC101">
        <f>MAX(0,Plan!$C$5-AB101)+IF(A101=Plan!$C$8,N(Plan!$C$7),0)</f>
        <v/>
      </c>
      <c r="AD101">
        <f>SUM(C101:N101)</f>
        <v/>
      </c>
      <c r="AE101">
        <f>SUM(O101:Z101)</f>
        <v/>
      </c>
      <c r="AF101">
        <f>IFERROR(ROUND(1/SUMPRODUCT(MAX((C100:N100&gt;0)*($C$3:$N$3&lt;=B101)*($C$2:$N$2&gt;AA101)/$C$2:$N$2)),0),0)</f>
        <v/>
      </c>
      <c r="AG101">
        <f>MAX(0,AC101-MAX(0,SUMPRODUCT(($C$2:$N$2=AA101)*(AH101:AS101-$C$7:$N$7))))</f>
        <v/>
      </c>
      <c r="AH101">
        <f>IF(C100&lt;=0,0,ROUND(C100*(1+IF(AND(C$6&gt;0,$B101&lt;C$6),C$4,C$5)/12),2))</f>
        <v/>
      </c>
      <c r="AI101">
        <f>IF(D100&lt;=0,0,ROUND(D100*(1+IF(AND(D$6&gt;0,$B101&lt;D$6),D$4,D$5)/12),2))</f>
        <v/>
      </c>
      <c r="AJ101">
        <f>IF(E100&lt;=0,0,ROUND(E100*(1+IF(AND(E$6&gt;0,$B101&lt;E$6),E$4,E$5)/12),2))</f>
        <v/>
      </c>
      <c r="AK101">
        <f>IF(F100&lt;=0,0,ROUND(F100*(1+IF(AND(F$6&gt;0,$B101&lt;F$6),F$4,F$5)/12),2))</f>
        <v/>
      </c>
      <c r="AL101">
        <f>IF(G100&lt;=0,0,ROUND(G100*(1+IF(AND(G$6&gt;0,$B101&lt;G$6),G$4,G$5)/12),2))</f>
        <v/>
      </c>
      <c r="AM101">
        <f>IF(H100&lt;=0,0,ROUND(H100*(1+IF(AND(H$6&gt;0,$B101&lt;H$6),H$4,H$5)/12),2))</f>
        <v/>
      </c>
      <c r="AN101">
        <f>IF(I100&lt;=0,0,ROUND(I100*(1+IF(AND(I$6&gt;0,$B101&lt;I$6),I$4,I$5)/12),2))</f>
        <v/>
      </c>
      <c r="AO101">
        <f>IF(J100&lt;=0,0,ROUND(J100*(1+IF(AND(J$6&gt;0,$B101&lt;J$6),J$4,J$5)/12),2))</f>
        <v/>
      </c>
      <c r="AP101">
        <f>IF(K100&lt;=0,0,ROUND(K100*(1+IF(AND(K$6&gt;0,$B101&lt;K$6),K$4,K$5)/12),2))</f>
        <v/>
      </c>
      <c r="AQ101">
        <f>IF(L100&lt;=0,0,ROUND(L100*(1+IF(AND(L$6&gt;0,$B101&lt;L$6),L$4,L$5)/12),2))</f>
        <v/>
      </c>
      <c r="AR101">
        <f>IF(M100&lt;=0,0,ROUND(M100*(1+IF(AND(M$6&gt;0,$B101&lt;M$6),M$4,M$5)/12),2))</f>
        <v/>
      </c>
      <c r="AS101">
        <f>IF(N100&lt;=0,0,ROUND(N100*(1+IF(AND(N$6&gt;0,$B101&lt;N$6),N$4,N$5)/12),2))</f>
        <v/>
      </c>
    </row>
    <row r="102">
      <c r="A102" t="n">
        <v>91</v>
      </c>
      <c r="B102">
        <f>EDATE(Plan!$C$6,90)</f>
        <v/>
      </c>
      <c r="C102">
        <f>IF(C101&lt;=0,0,MAX(0,AH102-O102))</f>
        <v/>
      </c>
      <c r="D102">
        <f>IF(D101&lt;=0,0,MAX(0,AI102-P102))</f>
        <v/>
      </c>
      <c r="E102">
        <f>IF(E101&lt;=0,0,MAX(0,AJ102-Q102))</f>
        <v/>
      </c>
      <c r="F102">
        <f>IF(F101&lt;=0,0,MAX(0,AK102-R102))</f>
        <v/>
      </c>
      <c r="G102">
        <f>IF(G101&lt;=0,0,MAX(0,AL102-S102))</f>
        <v/>
      </c>
      <c r="H102">
        <f>IF(H101&lt;=0,0,MAX(0,AM102-T102))</f>
        <v/>
      </c>
      <c r="I102">
        <f>IF(I101&lt;=0,0,MAX(0,AN102-U102))</f>
        <v/>
      </c>
      <c r="J102">
        <f>IF(J101&lt;=0,0,MAX(0,AO102-V102))</f>
        <v/>
      </c>
      <c r="K102">
        <f>IF(K101&lt;=0,0,MAX(0,AP102-W102))</f>
        <v/>
      </c>
      <c r="L102">
        <f>IF(L101&lt;=0,0,MAX(0,AQ102-X102))</f>
        <v/>
      </c>
      <c r="M102">
        <f>IF(M101&lt;=0,0,MAX(0,AR102-Y102))</f>
        <v/>
      </c>
      <c r="N102">
        <f>IF(N101&lt;=0,0,MAX(0,AS102-Z102))</f>
        <v/>
      </c>
      <c r="O102">
        <f>IF(C101&lt;=0,0,MIN(AH102,C$7+IF(C$2=$AA102,$AC102,IF(C$2=$AF102,$AG102,0))))</f>
        <v/>
      </c>
      <c r="P102">
        <f>IF(D101&lt;=0,0,MIN(AI102,D$7+IF(D$2=$AA102,$AC102,IF(D$2=$AF102,$AG102,0))))</f>
        <v/>
      </c>
      <c r="Q102">
        <f>IF(E101&lt;=0,0,MIN(AJ102,E$7+IF(E$2=$AA102,$AC102,IF(E$2=$AF102,$AG102,0))))</f>
        <v/>
      </c>
      <c r="R102">
        <f>IF(F101&lt;=0,0,MIN(AK102,F$7+IF(F$2=$AA102,$AC102,IF(F$2=$AF102,$AG102,0))))</f>
        <v/>
      </c>
      <c r="S102">
        <f>IF(G101&lt;=0,0,MIN(AL102,G$7+IF(G$2=$AA102,$AC102,IF(G$2=$AF102,$AG102,0))))</f>
        <v/>
      </c>
      <c r="T102">
        <f>IF(H101&lt;=0,0,MIN(AM102,H$7+IF(H$2=$AA102,$AC102,IF(H$2=$AF102,$AG102,0))))</f>
        <v/>
      </c>
      <c r="U102">
        <f>IF(I101&lt;=0,0,MIN(AN102,I$7+IF(I$2=$AA102,$AC102,IF(I$2=$AF102,$AG102,0))))</f>
        <v/>
      </c>
      <c r="V102">
        <f>IF(J101&lt;=0,0,MIN(AO102,J$7+IF(J$2=$AA102,$AC102,IF(J$2=$AF102,$AG102,0))))</f>
        <v/>
      </c>
      <c r="W102">
        <f>IF(K101&lt;=0,0,MIN(AP102,K$7+IF(K$2=$AA102,$AC102,IF(K$2=$AF102,$AG102,0))))</f>
        <v/>
      </c>
      <c r="X102">
        <f>IF(L101&lt;=0,0,MIN(AQ102,L$7+IF(L$2=$AA102,$AC102,IF(L$2=$AF102,$AG102,0))))</f>
        <v/>
      </c>
      <c r="Y102">
        <f>IF(M101&lt;=0,0,MIN(AR102,M$7+IF(M$2=$AA102,$AC102,IF(M$2=$AF102,$AG102,0))))</f>
        <v/>
      </c>
      <c r="Z102">
        <f>IF(N101&lt;=0,0,MIN(AS102,N$7+IF(N$2=$AA102,$AC102,IF(N$2=$AF102,$AG102,0))))</f>
        <v/>
      </c>
      <c r="AA102">
        <f>IFERROR(ROUND(1/SUMPRODUCT(MAX((C101:N101&gt;0)*($C$3:$N$3&lt;=B102)/$C$2:$N$2)),0),0)</f>
        <v/>
      </c>
      <c r="AB102">
        <f>SUMPRODUCT((C101:N101&gt;0)*$C$7:$N$7)</f>
        <v/>
      </c>
      <c r="AC102">
        <f>MAX(0,Plan!$C$5-AB102)+IF(A102=Plan!$C$8,N(Plan!$C$7),0)</f>
        <v/>
      </c>
      <c r="AD102">
        <f>SUM(C102:N102)</f>
        <v/>
      </c>
      <c r="AE102">
        <f>SUM(O102:Z102)</f>
        <v/>
      </c>
      <c r="AF102">
        <f>IFERROR(ROUND(1/SUMPRODUCT(MAX((C101:N101&gt;0)*($C$3:$N$3&lt;=B102)*($C$2:$N$2&gt;AA102)/$C$2:$N$2)),0),0)</f>
        <v/>
      </c>
      <c r="AG102">
        <f>MAX(0,AC102-MAX(0,SUMPRODUCT(($C$2:$N$2=AA102)*(AH102:AS102-$C$7:$N$7))))</f>
        <v/>
      </c>
      <c r="AH102">
        <f>IF(C101&lt;=0,0,ROUND(C101*(1+IF(AND(C$6&gt;0,$B102&lt;C$6),C$4,C$5)/12),2))</f>
        <v/>
      </c>
      <c r="AI102">
        <f>IF(D101&lt;=0,0,ROUND(D101*(1+IF(AND(D$6&gt;0,$B102&lt;D$6),D$4,D$5)/12),2))</f>
        <v/>
      </c>
      <c r="AJ102">
        <f>IF(E101&lt;=0,0,ROUND(E101*(1+IF(AND(E$6&gt;0,$B102&lt;E$6),E$4,E$5)/12),2))</f>
        <v/>
      </c>
      <c r="AK102">
        <f>IF(F101&lt;=0,0,ROUND(F101*(1+IF(AND(F$6&gt;0,$B102&lt;F$6),F$4,F$5)/12),2))</f>
        <v/>
      </c>
      <c r="AL102">
        <f>IF(G101&lt;=0,0,ROUND(G101*(1+IF(AND(G$6&gt;0,$B102&lt;G$6),G$4,G$5)/12),2))</f>
        <v/>
      </c>
      <c r="AM102">
        <f>IF(H101&lt;=0,0,ROUND(H101*(1+IF(AND(H$6&gt;0,$B102&lt;H$6),H$4,H$5)/12),2))</f>
        <v/>
      </c>
      <c r="AN102">
        <f>IF(I101&lt;=0,0,ROUND(I101*(1+IF(AND(I$6&gt;0,$B102&lt;I$6),I$4,I$5)/12),2))</f>
        <v/>
      </c>
      <c r="AO102">
        <f>IF(J101&lt;=0,0,ROUND(J101*(1+IF(AND(J$6&gt;0,$B102&lt;J$6),J$4,J$5)/12),2))</f>
        <v/>
      </c>
      <c r="AP102">
        <f>IF(K101&lt;=0,0,ROUND(K101*(1+IF(AND(K$6&gt;0,$B102&lt;K$6),K$4,K$5)/12),2))</f>
        <v/>
      </c>
      <c r="AQ102">
        <f>IF(L101&lt;=0,0,ROUND(L101*(1+IF(AND(L$6&gt;0,$B102&lt;L$6),L$4,L$5)/12),2))</f>
        <v/>
      </c>
      <c r="AR102">
        <f>IF(M101&lt;=0,0,ROUND(M101*(1+IF(AND(M$6&gt;0,$B102&lt;M$6),M$4,M$5)/12),2))</f>
        <v/>
      </c>
      <c r="AS102">
        <f>IF(N101&lt;=0,0,ROUND(N101*(1+IF(AND(N$6&gt;0,$B102&lt;N$6),N$4,N$5)/12),2))</f>
        <v/>
      </c>
    </row>
    <row r="103">
      <c r="A103" t="n">
        <v>92</v>
      </c>
      <c r="B103">
        <f>EDATE(Plan!$C$6,91)</f>
        <v/>
      </c>
      <c r="C103">
        <f>IF(C102&lt;=0,0,MAX(0,AH103-O103))</f>
        <v/>
      </c>
      <c r="D103">
        <f>IF(D102&lt;=0,0,MAX(0,AI103-P103))</f>
        <v/>
      </c>
      <c r="E103">
        <f>IF(E102&lt;=0,0,MAX(0,AJ103-Q103))</f>
        <v/>
      </c>
      <c r="F103">
        <f>IF(F102&lt;=0,0,MAX(0,AK103-R103))</f>
        <v/>
      </c>
      <c r="G103">
        <f>IF(G102&lt;=0,0,MAX(0,AL103-S103))</f>
        <v/>
      </c>
      <c r="H103">
        <f>IF(H102&lt;=0,0,MAX(0,AM103-T103))</f>
        <v/>
      </c>
      <c r="I103">
        <f>IF(I102&lt;=0,0,MAX(0,AN103-U103))</f>
        <v/>
      </c>
      <c r="J103">
        <f>IF(J102&lt;=0,0,MAX(0,AO103-V103))</f>
        <v/>
      </c>
      <c r="K103">
        <f>IF(K102&lt;=0,0,MAX(0,AP103-W103))</f>
        <v/>
      </c>
      <c r="L103">
        <f>IF(L102&lt;=0,0,MAX(0,AQ103-X103))</f>
        <v/>
      </c>
      <c r="M103">
        <f>IF(M102&lt;=0,0,MAX(0,AR103-Y103))</f>
        <v/>
      </c>
      <c r="N103">
        <f>IF(N102&lt;=0,0,MAX(0,AS103-Z103))</f>
        <v/>
      </c>
      <c r="O103">
        <f>IF(C102&lt;=0,0,MIN(AH103,C$7+IF(C$2=$AA103,$AC103,IF(C$2=$AF103,$AG103,0))))</f>
        <v/>
      </c>
      <c r="P103">
        <f>IF(D102&lt;=0,0,MIN(AI103,D$7+IF(D$2=$AA103,$AC103,IF(D$2=$AF103,$AG103,0))))</f>
        <v/>
      </c>
      <c r="Q103">
        <f>IF(E102&lt;=0,0,MIN(AJ103,E$7+IF(E$2=$AA103,$AC103,IF(E$2=$AF103,$AG103,0))))</f>
        <v/>
      </c>
      <c r="R103">
        <f>IF(F102&lt;=0,0,MIN(AK103,F$7+IF(F$2=$AA103,$AC103,IF(F$2=$AF103,$AG103,0))))</f>
        <v/>
      </c>
      <c r="S103">
        <f>IF(G102&lt;=0,0,MIN(AL103,G$7+IF(G$2=$AA103,$AC103,IF(G$2=$AF103,$AG103,0))))</f>
        <v/>
      </c>
      <c r="T103">
        <f>IF(H102&lt;=0,0,MIN(AM103,H$7+IF(H$2=$AA103,$AC103,IF(H$2=$AF103,$AG103,0))))</f>
        <v/>
      </c>
      <c r="U103">
        <f>IF(I102&lt;=0,0,MIN(AN103,I$7+IF(I$2=$AA103,$AC103,IF(I$2=$AF103,$AG103,0))))</f>
        <v/>
      </c>
      <c r="V103">
        <f>IF(J102&lt;=0,0,MIN(AO103,J$7+IF(J$2=$AA103,$AC103,IF(J$2=$AF103,$AG103,0))))</f>
        <v/>
      </c>
      <c r="W103">
        <f>IF(K102&lt;=0,0,MIN(AP103,K$7+IF(K$2=$AA103,$AC103,IF(K$2=$AF103,$AG103,0))))</f>
        <v/>
      </c>
      <c r="X103">
        <f>IF(L102&lt;=0,0,MIN(AQ103,L$7+IF(L$2=$AA103,$AC103,IF(L$2=$AF103,$AG103,0))))</f>
        <v/>
      </c>
      <c r="Y103">
        <f>IF(M102&lt;=0,0,MIN(AR103,M$7+IF(M$2=$AA103,$AC103,IF(M$2=$AF103,$AG103,0))))</f>
        <v/>
      </c>
      <c r="Z103">
        <f>IF(N102&lt;=0,0,MIN(AS103,N$7+IF(N$2=$AA103,$AC103,IF(N$2=$AF103,$AG103,0))))</f>
        <v/>
      </c>
      <c r="AA103">
        <f>IFERROR(ROUND(1/SUMPRODUCT(MAX((C102:N102&gt;0)*($C$3:$N$3&lt;=B103)/$C$2:$N$2)),0),0)</f>
        <v/>
      </c>
      <c r="AB103">
        <f>SUMPRODUCT((C102:N102&gt;0)*$C$7:$N$7)</f>
        <v/>
      </c>
      <c r="AC103">
        <f>MAX(0,Plan!$C$5-AB103)+IF(A103=Plan!$C$8,N(Plan!$C$7),0)</f>
        <v/>
      </c>
      <c r="AD103">
        <f>SUM(C103:N103)</f>
        <v/>
      </c>
      <c r="AE103">
        <f>SUM(O103:Z103)</f>
        <v/>
      </c>
      <c r="AF103">
        <f>IFERROR(ROUND(1/SUMPRODUCT(MAX((C102:N102&gt;0)*($C$3:$N$3&lt;=B103)*($C$2:$N$2&gt;AA103)/$C$2:$N$2)),0),0)</f>
        <v/>
      </c>
      <c r="AG103">
        <f>MAX(0,AC103-MAX(0,SUMPRODUCT(($C$2:$N$2=AA103)*(AH103:AS103-$C$7:$N$7))))</f>
        <v/>
      </c>
      <c r="AH103">
        <f>IF(C102&lt;=0,0,ROUND(C102*(1+IF(AND(C$6&gt;0,$B103&lt;C$6),C$4,C$5)/12),2))</f>
        <v/>
      </c>
      <c r="AI103">
        <f>IF(D102&lt;=0,0,ROUND(D102*(1+IF(AND(D$6&gt;0,$B103&lt;D$6),D$4,D$5)/12),2))</f>
        <v/>
      </c>
      <c r="AJ103">
        <f>IF(E102&lt;=0,0,ROUND(E102*(1+IF(AND(E$6&gt;0,$B103&lt;E$6),E$4,E$5)/12),2))</f>
        <v/>
      </c>
      <c r="AK103">
        <f>IF(F102&lt;=0,0,ROUND(F102*(1+IF(AND(F$6&gt;0,$B103&lt;F$6),F$4,F$5)/12),2))</f>
        <v/>
      </c>
      <c r="AL103">
        <f>IF(G102&lt;=0,0,ROUND(G102*(1+IF(AND(G$6&gt;0,$B103&lt;G$6),G$4,G$5)/12),2))</f>
        <v/>
      </c>
      <c r="AM103">
        <f>IF(H102&lt;=0,0,ROUND(H102*(1+IF(AND(H$6&gt;0,$B103&lt;H$6),H$4,H$5)/12),2))</f>
        <v/>
      </c>
      <c r="AN103">
        <f>IF(I102&lt;=0,0,ROUND(I102*(1+IF(AND(I$6&gt;0,$B103&lt;I$6),I$4,I$5)/12),2))</f>
        <v/>
      </c>
      <c r="AO103">
        <f>IF(J102&lt;=0,0,ROUND(J102*(1+IF(AND(J$6&gt;0,$B103&lt;J$6),J$4,J$5)/12),2))</f>
        <v/>
      </c>
      <c r="AP103">
        <f>IF(K102&lt;=0,0,ROUND(K102*(1+IF(AND(K$6&gt;0,$B103&lt;K$6),K$4,K$5)/12),2))</f>
        <v/>
      </c>
      <c r="AQ103">
        <f>IF(L102&lt;=0,0,ROUND(L102*(1+IF(AND(L$6&gt;0,$B103&lt;L$6),L$4,L$5)/12),2))</f>
        <v/>
      </c>
      <c r="AR103">
        <f>IF(M102&lt;=0,0,ROUND(M102*(1+IF(AND(M$6&gt;0,$B103&lt;M$6),M$4,M$5)/12),2))</f>
        <v/>
      </c>
      <c r="AS103">
        <f>IF(N102&lt;=0,0,ROUND(N102*(1+IF(AND(N$6&gt;0,$B103&lt;N$6),N$4,N$5)/12),2))</f>
        <v/>
      </c>
    </row>
    <row r="104">
      <c r="A104" t="n">
        <v>93</v>
      </c>
      <c r="B104">
        <f>EDATE(Plan!$C$6,92)</f>
        <v/>
      </c>
      <c r="C104">
        <f>IF(C103&lt;=0,0,MAX(0,AH104-O104))</f>
        <v/>
      </c>
      <c r="D104">
        <f>IF(D103&lt;=0,0,MAX(0,AI104-P104))</f>
        <v/>
      </c>
      <c r="E104">
        <f>IF(E103&lt;=0,0,MAX(0,AJ104-Q104))</f>
        <v/>
      </c>
      <c r="F104">
        <f>IF(F103&lt;=0,0,MAX(0,AK104-R104))</f>
        <v/>
      </c>
      <c r="G104">
        <f>IF(G103&lt;=0,0,MAX(0,AL104-S104))</f>
        <v/>
      </c>
      <c r="H104">
        <f>IF(H103&lt;=0,0,MAX(0,AM104-T104))</f>
        <v/>
      </c>
      <c r="I104">
        <f>IF(I103&lt;=0,0,MAX(0,AN104-U104))</f>
        <v/>
      </c>
      <c r="J104">
        <f>IF(J103&lt;=0,0,MAX(0,AO104-V104))</f>
        <v/>
      </c>
      <c r="K104">
        <f>IF(K103&lt;=0,0,MAX(0,AP104-W104))</f>
        <v/>
      </c>
      <c r="L104">
        <f>IF(L103&lt;=0,0,MAX(0,AQ104-X104))</f>
        <v/>
      </c>
      <c r="M104">
        <f>IF(M103&lt;=0,0,MAX(0,AR104-Y104))</f>
        <v/>
      </c>
      <c r="N104">
        <f>IF(N103&lt;=0,0,MAX(0,AS104-Z104))</f>
        <v/>
      </c>
      <c r="O104">
        <f>IF(C103&lt;=0,0,MIN(AH104,C$7+IF(C$2=$AA104,$AC104,IF(C$2=$AF104,$AG104,0))))</f>
        <v/>
      </c>
      <c r="P104">
        <f>IF(D103&lt;=0,0,MIN(AI104,D$7+IF(D$2=$AA104,$AC104,IF(D$2=$AF104,$AG104,0))))</f>
        <v/>
      </c>
      <c r="Q104">
        <f>IF(E103&lt;=0,0,MIN(AJ104,E$7+IF(E$2=$AA104,$AC104,IF(E$2=$AF104,$AG104,0))))</f>
        <v/>
      </c>
      <c r="R104">
        <f>IF(F103&lt;=0,0,MIN(AK104,F$7+IF(F$2=$AA104,$AC104,IF(F$2=$AF104,$AG104,0))))</f>
        <v/>
      </c>
      <c r="S104">
        <f>IF(G103&lt;=0,0,MIN(AL104,G$7+IF(G$2=$AA104,$AC104,IF(G$2=$AF104,$AG104,0))))</f>
        <v/>
      </c>
      <c r="T104">
        <f>IF(H103&lt;=0,0,MIN(AM104,H$7+IF(H$2=$AA104,$AC104,IF(H$2=$AF104,$AG104,0))))</f>
        <v/>
      </c>
      <c r="U104">
        <f>IF(I103&lt;=0,0,MIN(AN104,I$7+IF(I$2=$AA104,$AC104,IF(I$2=$AF104,$AG104,0))))</f>
        <v/>
      </c>
      <c r="V104">
        <f>IF(J103&lt;=0,0,MIN(AO104,J$7+IF(J$2=$AA104,$AC104,IF(J$2=$AF104,$AG104,0))))</f>
        <v/>
      </c>
      <c r="W104">
        <f>IF(K103&lt;=0,0,MIN(AP104,K$7+IF(K$2=$AA104,$AC104,IF(K$2=$AF104,$AG104,0))))</f>
        <v/>
      </c>
      <c r="X104">
        <f>IF(L103&lt;=0,0,MIN(AQ104,L$7+IF(L$2=$AA104,$AC104,IF(L$2=$AF104,$AG104,0))))</f>
        <v/>
      </c>
      <c r="Y104">
        <f>IF(M103&lt;=0,0,MIN(AR104,M$7+IF(M$2=$AA104,$AC104,IF(M$2=$AF104,$AG104,0))))</f>
        <v/>
      </c>
      <c r="Z104">
        <f>IF(N103&lt;=0,0,MIN(AS104,N$7+IF(N$2=$AA104,$AC104,IF(N$2=$AF104,$AG104,0))))</f>
        <v/>
      </c>
      <c r="AA104">
        <f>IFERROR(ROUND(1/SUMPRODUCT(MAX((C103:N103&gt;0)*($C$3:$N$3&lt;=B104)/$C$2:$N$2)),0),0)</f>
        <v/>
      </c>
      <c r="AB104">
        <f>SUMPRODUCT((C103:N103&gt;0)*$C$7:$N$7)</f>
        <v/>
      </c>
      <c r="AC104">
        <f>MAX(0,Plan!$C$5-AB104)+IF(A104=Plan!$C$8,N(Plan!$C$7),0)</f>
        <v/>
      </c>
      <c r="AD104">
        <f>SUM(C104:N104)</f>
        <v/>
      </c>
      <c r="AE104">
        <f>SUM(O104:Z104)</f>
        <v/>
      </c>
      <c r="AF104">
        <f>IFERROR(ROUND(1/SUMPRODUCT(MAX((C103:N103&gt;0)*($C$3:$N$3&lt;=B104)*($C$2:$N$2&gt;AA104)/$C$2:$N$2)),0),0)</f>
        <v/>
      </c>
      <c r="AG104">
        <f>MAX(0,AC104-MAX(0,SUMPRODUCT(($C$2:$N$2=AA104)*(AH104:AS104-$C$7:$N$7))))</f>
        <v/>
      </c>
      <c r="AH104">
        <f>IF(C103&lt;=0,0,ROUND(C103*(1+IF(AND(C$6&gt;0,$B104&lt;C$6),C$4,C$5)/12),2))</f>
        <v/>
      </c>
      <c r="AI104">
        <f>IF(D103&lt;=0,0,ROUND(D103*(1+IF(AND(D$6&gt;0,$B104&lt;D$6),D$4,D$5)/12),2))</f>
        <v/>
      </c>
      <c r="AJ104">
        <f>IF(E103&lt;=0,0,ROUND(E103*(1+IF(AND(E$6&gt;0,$B104&lt;E$6),E$4,E$5)/12),2))</f>
        <v/>
      </c>
      <c r="AK104">
        <f>IF(F103&lt;=0,0,ROUND(F103*(1+IF(AND(F$6&gt;0,$B104&lt;F$6),F$4,F$5)/12),2))</f>
        <v/>
      </c>
      <c r="AL104">
        <f>IF(G103&lt;=0,0,ROUND(G103*(1+IF(AND(G$6&gt;0,$B104&lt;G$6),G$4,G$5)/12),2))</f>
        <v/>
      </c>
      <c r="AM104">
        <f>IF(H103&lt;=0,0,ROUND(H103*(1+IF(AND(H$6&gt;0,$B104&lt;H$6),H$4,H$5)/12),2))</f>
        <v/>
      </c>
      <c r="AN104">
        <f>IF(I103&lt;=0,0,ROUND(I103*(1+IF(AND(I$6&gt;0,$B104&lt;I$6),I$4,I$5)/12),2))</f>
        <v/>
      </c>
      <c r="AO104">
        <f>IF(J103&lt;=0,0,ROUND(J103*(1+IF(AND(J$6&gt;0,$B104&lt;J$6),J$4,J$5)/12),2))</f>
        <v/>
      </c>
      <c r="AP104">
        <f>IF(K103&lt;=0,0,ROUND(K103*(1+IF(AND(K$6&gt;0,$B104&lt;K$6),K$4,K$5)/12),2))</f>
        <v/>
      </c>
      <c r="AQ104">
        <f>IF(L103&lt;=0,0,ROUND(L103*(1+IF(AND(L$6&gt;0,$B104&lt;L$6),L$4,L$5)/12),2))</f>
        <v/>
      </c>
      <c r="AR104">
        <f>IF(M103&lt;=0,0,ROUND(M103*(1+IF(AND(M$6&gt;0,$B104&lt;M$6),M$4,M$5)/12),2))</f>
        <v/>
      </c>
      <c r="AS104">
        <f>IF(N103&lt;=0,0,ROUND(N103*(1+IF(AND(N$6&gt;0,$B104&lt;N$6),N$4,N$5)/12),2))</f>
        <v/>
      </c>
    </row>
    <row r="105">
      <c r="A105" t="n">
        <v>94</v>
      </c>
      <c r="B105">
        <f>EDATE(Plan!$C$6,93)</f>
        <v/>
      </c>
      <c r="C105">
        <f>IF(C104&lt;=0,0,MAX(0,AH105-O105))</f>
        <v/>
      </c>
      <c r="D105">
        <f>IF(D104&lt;=0,0,MAX(0,AI105-P105))</f>
        <v/>
      </c>
      <c r="E105">
        <f>IF(E104&lt;=0,0,MAX(0,AJ105-Q105))</f>
        <v/>
      </c>
      <c r="F105">
        <f>IF(F104&lt;=0,0,MAX(0,AK105-R105))</f>
        <v/>
      </c>
      <c r="G105">
        <f>IF(G104&lt;=0,0,MAX(0,AL105-S105))</f>
        <v/>
      </c>
      <c r="H105">
        <f>IF(H104&lt;=0,0,MAX(0,AM105-T105))</f>
        <v/>
      </c>
      <c r="I105">
        <f>IF(I104&lt;=0,0,MAX(0,AN105-U105))</f>
        <v/>
      </c>
      <c r="J105">
        <f>IF(J104&lt;=0,0,MAX(0,AO105-V105))</f>
        <v/>
      </c>
      <c r="K105">
        <f>IF(K104&lt;=0,0,MAX(0,AP105-W105))</f>
        <v/>
      </c>
      <c r="L105">
        <f>IF(L104&lt;=0,0,MAX(0,AQ105-X105))</f>
        <v/>
      </c>
      <c r="M105">
        <f>IF(M104&lt;=0,0,MAX(0,AR105-Y105))</f>
        <v/>
      </c>
      <c r="N105">
        <f>IF(N104&lt;=0,0,MAX(0,AS105-Z105))</f>
        <v/>
      </c>
      <c r="O105">
        <f>IF(C104&lt;=0,0,MIN(AH105,C$7+IF(C$2=$AA105,$AC105,IF(C$2=$AF105,$AG105,0))))</f>
        <v/>
      </c>
      <c r="P105">
        <f>IF(D104&lt;=0,0,MIN(AI105,D$7+IF(D$2=$AA105,$AC105,IF(D$2=$AF105,$AG105,0))))</f>
        <v/>
      </c>
      <c r="Q105">
        <f>IF(E104&lt;=0,0,MIN(AJ105,E$7+IF(E$2=$AA105,$AC105,IF(E$2=$AF105,$AG105,0))))</f>
        <v/>
      </c>
      <c r="R105">
        <f>IF(F104&lt;=0,0,MIN(AK105,F$7+IF(F$2=$AA105,$AC105,IF(F$2=$AF105,$AG105,0))))</f>
        <v/>
      </c>
      <c r="S105">
        <f>IF(G104&lt;=0,0,MIN(AL105,G$7+IF(G$2=$AA105,$AC105,IF(G$2=$AF105,$AG105,0))))</f>
        <v/>
      </c>
      <c r="T105">
        <f>IF(H104&lt;=0,0,MIN(AM105,H$7+IF(H$2=$AA105,$AC105,IF(H$2=$AF105,$AG105,0))))</f>
        <v/>
      </c>
      <c r="U105">
        <f>IF(I104&lt;=0,0,MIN(AN105,I$7+IF(I$2=$AA105,$AC105,IF(I$2=$AF105,$AG105,0))))</f>
        <v/>
      </c>
      <c r="V105">
        <f>IF(J104&lt;=0,0,MIN(AO105,J$7+IF(J$2=$AA105,$AC105,IF(J$2=$AF105,$AG105,0))))</f>
        <v/>
      </c>
      <c r="W105">
        <f>IF(K104&lt;=0,0,MIN(AP105,K$7+IF(K$2=$AA105,$AC105,IF(K$2=$AF105,$AG105,0))))</f>
        <v/>
      </c>
      <c r="X105">
        <f>IF(L104&lt;=0,0,MIN(AQ105,L$7+IF(L$2=$AA105,$AC105,IF(L$2=$AF105,$AG105,0))))</f>
        <v/>
      </c>
      <c r="Y105">
        <f>IF(M104&lt;=0,0,MIN(AR105,M$7+IF(M$2=$AA105,$AC105,IF(M$2=$AF105,$AG105,0))))</f>
        <v/>
      </c>
      <c r="Z105">
        <f>IF(N104&lt;=0,0,MIN(AS105,N$7+IF(N$2=$AA105,$AC105,IF(N$2=$AF105,$AG105,0))))</f>
        <v/>
      </c>
      <c r="AA105">
        <f>IFERROR(ROUND(1/SUMPRODUCT(MAX((C104:N104&gt;0)*($C$3:$N$3&lt;=B105)/$C$2:$N$2)),0),0)</f>
        <v/>
      </c>
      <c r="AB105">
        <f>SUMPRODUCT((C104:N104&gt;0)*$C$7:$N$7)</f>
        <v/>
      </c>
      <c r="AC105">
        <f>MAX(0,Plan!$C$5-AB105)+IF(A105=Plan!$C$8,N(Plan!$C$7),0)</f>
        <v/>
      </c>
      <c r="AD105">
        <f>SUM(C105:N105)</f>
        <v/>
      </c>
      <c r="AE105">
        <f>SUM(O105:Z105)</f>
        <v/>
      </c>
      <c r="AF105">
        <f>IFERROR(ROUND(1/SUMPRODUCT(MAX((C104:N104&gt;0)*($C$3:$N$3&lt;=B105)*($C$2:$N$2&gt;AA105)/$C$2:$N$2)),0),0)</f>
        <v/>
      </c>
      <c r="AG105">
        <f>MAX(0,AC105-MAX(0,SUMPRODUCT(($C$2:$N$2=AA105)*(AH105:AS105-$C$7:$N$7))))</f>
        <v/>
      </c>
      <c r="AH105">
        <f>IF(C104&lt;=0,0,ROUND(C104*(1+IF(AND(C$6&gt;0,$B105&lt;C$6),C$4,C$5)/12),2))</f>
        <v/>
      </c>
      <c r="AI105">
        <f>IF(D104&lt;=0,0,ROUND(D104*(1+IF(AND(D$6&gt;0,$B105&lt;D$6),D$4,D$5)/12),2))</f>
        <v/>
      </c>
      <c r="AJ105">
        <f>IF(E104&lt;=0,0,ROUND(E104*(1+IF(AND(E$6&gt;0,$B105&lt;E$6),E$4,E$5)/12),2))</f>
        <v/>
      </c>
      <c r="AK105">
        <f>IF(F104&lt;=0,0,ROUND(F104*(1+IF(AND(F$6&gt;0,$B105&lt;F$6),F$4,F$5)/12),2))</f>
        <v/>
      </c>
      <c r="AL105">
        <f>IF(G104&lt;=0,0,ROUND(G104*(1+IF(AND(G$6&gt;0,$B105&lt;G$6),G$4,G$5)/12),2))</f>
        <v/>
      </c>
      <c r="AM105">
        <f>IF(H104&lt;=0,0,ROUND(H104*(1+IF(AND(H$6&gt;0,$B105&lt;H$6),H$4,H$5)/12),2))</f>
        <v/>
      </c>
      <c r="AN105">
        <f>IF(I104&lt;=0,0,ROUND(I104*(1+IF(AND(I$6&gt;0,$B105&lt;I$6),I$4,I$5)/12),2))</f>
        <v/>
      </c>
      <c r="AO105">
        <f>IF(J104&lt;=0,0,ROUND(J104*(1+IF(AND(J$6&gt;0,$B105&lt;J$6),J$4,J$5)/12),2))</f>
        <v/>
      </c>
      <c r="AP105">
        <f>IF(K104&lt;=0,0,ROUND(K104*(1+IF(AND(K$6&gt;0,$B105&lt;K$6),K$4,K$5)/12),2))</f>
        <v/>
      </c>
      <c r="AQ105">
        <f>IF(L104&lt;=0,0,ROUND(L104*(1+IF(AND(L$6&gt;0,$B105&lt;L$6),L$4,L$5)/12),2))</f>
        <v/>
      </c>
      <c r="AR105">
        <f>IF(M104&lt;=0,0,ROUND(M104*(1+IF(AND(M$6&gt;0,$B105&lt;M$6),M$4,M$5)/12),2))</f>
        <v/>
      </c>
      <c r="AS105">
        <f>IF(N104&lt;=0,0,ROUND(N104*(1+IF(AND(N$6&gt;0,$B105&lt;N$6),N$4,N$5)/12),2))</f>
        <v/>
      </c>
    </row>
    <row r="106">
      <c r="A106" t="n">
        <v>95</v>
      </c>
      <c r="B106">
        <f>EDATE(Plan!$C$6,94)</f>
        <v/>
      </c>
      <c r="C106">
        <f>IF(C105&lt;=0,0,MAX(0,AH106-O106))</f>
        <v/>
      </c>
      <c r="D106">
        <f>IF(D105&lt;=0,0,MAX(0,AI106-P106))</f>
        <v/>
      </c>
      <c r="E106">
        <f>IF(E105&lt;=0,0,MAX(0,AJ106-Q106))</f>
        <v/>
      </c>
      <c r="F106">
        <f>IF(F105&lt;=0,0,MAX(0,AK106-R106))</f>
        <v/>
      </c>
      <c r="G106">
        <f>IF(G105&lt;=0,0,MAX(0,AL106-S106))</f>
        <v/>
      </c>
      <c r="H106">
        <f>IF(H105&lt;=0,0,MAX(0,AM106-T106))</f>
        <v/>
      </c>
      <c r="I106">
        <f>IF(I105&lt;=0,0,MAX(0,AN106-U106))</f>
        <v/>
      </c>
      <c r="J106">
        <f>IF(J105&lt;=0,0,MAX(0,AO106-V106))</f>
        <v/>
      </c>
      <c r="K106">
        <f>IF(K105&lt;=0,0,MAX(0,AP106-W106))</f>
        <v/>
      </c>
      <c r="L106">
        <f>IF(L105&lt;=0,0,MAX(0,AQ106-X106))</f>
        <v/>
      </c>
      <c r="M106">
        <f>IF(M105&lt;=0,0,MAX(0,AR106-Y106))</f>
        <v/>
      </c>
      <c r="N106">
        <f>IF(N105&lt;=0,0,MAX(0,AS106-Z106))</f>
        <v/>
      </c>
      <c r="O106">
        <f>IF(C105&lt;=0,0,MIN(AH106,C$7+IF(C$2=$AA106,$AC106,IF(C$2=$AF106,$AG106,0))))</f>
        <v/>
      </c>
      <c r="P106">
        <f>IF(D105&lt;=0,0,MIN(AI106,D$7+IF(D$2=$AA106,$AC106,IF(D$2=$AF106,$AG106,0))))</f>
        <v/>
      </c>
      <c r="Q106">
        <f>IF(E105&lt;=0,0,MIN(AJ106,E$7+IF(E$2=$AA106,$AC106,IF(E$2=$AF106,$AG106,0))))</f>
        <v/>
      </c>
      <c r="R106">
        <f>IF(F105&lt;=0,0,MIN(AK106,F$7+IF(F$2=$AA106,$AC106,IF(F$2=$AF106,$AG106,0))))</f>
        <v/>
      </c>
      <c r="S106">
        <f>IF(G105&lt;=0,0,MIN(AL106,G$7+IF(G$2=$AA106,$AC106,IF(G$2=$AF106,$AG106,0))))</f>
        <v/>
      </c>
      <c r="T106">
        <f>IF(H105&lt;=0,0,MIN(AM106,H$7+IF(H$2=$AA106,$AC106,IF(H$2=$AF106,$AG106,0))))</f>
        <v/>
      </c>
      <c r="U106">
        <f>IF(I105&lt;=0,0,MIN(AN106,I$7+IF(I$2=$AA106,$AC106,IF(I$2=$AF106,$AG106,0))))</f>
        <v/>
      </c>
      <c r="V106">
        <f>IF(J105&lt;=0,0,MIN(AO106,J$7+IF(J$2=$AA106,$AC106,IF(J$2=$AF106,$AG106,0))))</f>
        <v/>
      </c>
      <c r="W106">
        <f>IF(K105&lt;=0,0,MIN(AP106,K$7+IF(K$2=$AA106,$AC106,IF(K$2=$AF106,$AG106,0))))</f>
        <v/>
      </c>
      <c r="X106">
        <f>IF(L105&lt;=0,0,MIN(AQ106,L$7+IF(L$2=$AA106,$AC106,IF(L$2=$AF106,$AG106,0))))</f>
        <v/>
      </c>
      <c r="Y106">
        <f>IF(M105&lt;=0,0,MIN(AR106,M$7+IF(M$2=$AA106,$AC106,IF(M$2=$AF106,$AG106,0))))</f>
        <v/>
      </c>
      <c r="Z106">
        <f>IF(N105&lt;=0,0,MIN(AS106,N$7+IF(N$2=$AA106,$AC106,IF(N$2=$AF106,$AG106,0))))</f>
        <v/>
      </c>
      <c r="AA106">
        <f>IFERROR(ROUND(1/SUMPRODUCT(MAX((C105:N105&gt;0)*($C$3:$N$3&lt;=B106)/$C$2:$N$2)),0),0)</f>
        <v/>
      </c>
      <c r="AB106">
        <f>SUMPRODUCT((C105:N105&gt;0)*$C$7:$N$7)</f>
        <v/>
      </c>
      <c r="AC106">
        <f>MAX(0,Plan!$C$5-AB106)+IF(A106=Plan!$C$8,N(Plan!$C$7),0)</f>
        <v/>
      </c>
      <c r="AD106">
        <f>SUM(C106:N106)</f>
        <v/>
      </c>
      <c r="AE106">
        <f>SUM(O106:Z106)</f>
        <v/>
      </c>
      <c r="AF106">
        <f>IFERROR(ROUND(1/SUMPRODUCT(MAX((C105:N105&gt;0)*($C$3:$N$3&lt;=B106)*($C$2:$N$2&gt;AA106)/$C$2:$N$2)),0),0)</f>
        <v/>
      </c>
      <c r="AG106">
        <f>MAX(0,AC106-MAX(0,SUMPRODUCT(($C$2:$N$2=AA106)*(AH106:AS106-$C$7:$N$7))))</f>
        <v/>
      </c>
      <c r="AH106">
        <f>IF(C105&lt;=0,0,ROUND(C105*(1+IF(AND(C$6&gt;0,$B106&lt;C$6),C$4,C$5)/12),2))</f>
        <v/>
      </c>
      <c r="AI106">
        <f>IF(D105&lt;=0,0,ROUND(D105*(1+IF(AND(D$6&gt;0,$B106&lt;D$6),D$4,D$5)/12),2))</f>
        <v/>
      </c>
      <c r="AJ106">
        <f>IF(E105&lt;=0,0,ROUND(E105*(1+IF(AND(E$6&gt;0,$B106&lt;E$6),E$4,E$5)/12),2))</f>
        <v/>
      </c>
      <c r="AK106">
        <f>IF(F105&lt;=0,0,ROUND(F105*(1+IF(AND(F$6&gt;0,$B106&lt;F$6),F$4,F$5)/12),2))</f>
        <v/>
      </c>
      <c r="AL106">
        <f>IF(G105&lt;=0,0,ROUND(G105*(1+IF(AND(G$6&gt;0,$B106&lt;G$6),G$4,G$5)/12),2))</f>
        <v/>
      </c>
      <c r="AM106">
        <f>IF(H105&lt;=0,0,ROUND(H105*(1+IF(AND(H$6&gt;0,$B106&lt;H$6),H$4,H$5)/12),2))</f>
        <v/>
      </c>
      <c r="AN106">
        <f>IF(I105&lt;=0,0,ROUND(I105*(1+IF(AND(I$6&gt;0,$B106&lt;I$6),I$4,I$5)/12),2))</f>
        <v/>
      </c>
      <c r="AO106">
        <f>IF(J105&lt;=0,0,ROUND(J105*(1+IF(AND(J$6&gt;0,$B106&lt;J$6),J$4,J$5)/12),2))</f>
        <v/>
      </c>
      <c r="AP106">
        <f>IF(K105&lt;=0,0,ROUND(K105*(1+IF(AND(K$6&gt;0,$B106&lt;K$6),K$4,K$5)/12),2))</f>
        <v/>
      </c>
      <c r="AQ106">
        <f>IF(L105&lt;=0,0,ROUND(L105*(1+IF(AND(L$6&gt;0,$B106&lt;L$6),L$4,L$5)/12),2))</f>
        <v/>
      </c>
      <c r="AR106">
        <f>IF(M105&lt;=0,0,ROUND(M105*(1+IF(AND(M$6&gt;0,$B106&lt;M$6),M$4,M$5)/12),2))</f>
        <v/>
      </c>
      <c r="AS106">
        <f>IF(N105&lt;=0,0,ROUND(N105*(1+IF(AND(N$6&gt;0,$B106&lt;N$6),N$4,N$5)/12),2))</f>
        <v/>
      </c>
    </row>
    <row r="107">
      <c r="A107" t="n">
        <v>96</v>
      </c>
      <c r="B107">
        <f>EDATE(Plan!$C$6,95)</f>
        <v/>
      </c>
      <c r="C107">
        <f>IF(C106&lt;=0,0,MAX(0,AH107-O107))</f>
        <v/>
      </c>
      <c r="D107">
        <f>IF(D106&lt;=0,0,MAX(0,AI107-P107))</f>
        <v/>
      </c>
      <c r="E107">
        <f>IF(E106&lt;=0,0,MAX(0,AJ107-Q107))</f>
        <v/>
      </c>
      <c r="F107">
        <f>IF(F106&lt;=0,0,MAX(0,AK107-R107))</f>
        <v/>
      </c>
      <c r="G107">
        <f>IF(G106&lt;=0,0,MAX(0,AL107-S107))</f>
        <v/>
      </c>
      <c r="H107">
        <f>IF(H106&lt;=0,0,MAX(0,AM107-T107))</f>
        <v/>
      </c>
      <c r="I107">
        <f>IF(I106&lt;=0,0,MAX(0,AN107-U107))</f>
        <v/>
      </c>
      <c r="J107">
        <f>IF(J106&lt;=0,0,MAX(0,AO107-V107))</f>
        <v/>
      </c>
      <c r="K107">
        <f>IF(K106&lt;=0,0,MAX(0,AP107-W107))</f>
        <v/>
      </c>
      <c r="L107">
        <f>IF(L106&lt;=0,0,MAX(0,AQ107-X107))</f>
        <v/>
      </c>
      <c r="M107">
        <f>IF(M106&lt;=0,0,MAX(0,AR107-Y107))</f>
        <v/>
      </c>
      <c r="N107">
        <f>IF(N106&lt;=0,0,MAX(0,AS107-Z107))</f>
        <v/>
      </c>
      <c r="O107">
        <f>IF(C106&lt;=0,0,MIN(AH107,C$7+IF(C$2=$AA107,$AC107,IF(C$2=$AF107,$AG107,0))))</f>
        <v/>
      </c>
      <c r="P107">
        <f>IF(D106&lt;=0,0,MIN(AI107,D$7+IF(D$2=$AA107,$AC107,IF(D$2=$AF107,$AG107,0))))</f>
        <v/>
      </c>
      <c r="Q107">
        <f>IF(E106&lt;=0,0,MIN(AJ107,E$7+IF(E$2=$AA107,$AC107,IF(E$2=$AF107,$AG107,0))))</f>
        <v/>
      </c>
      <c r="R107">
        <f>IF(F106&lt;=0,0,MIN(AK107,F$7+IF(F$2=$AA107,$AC107,IF(F$2=$AF107,$AG107,0))))</f>
        <v/>
      </c>
      <c r="S107">
        <f>IF(G106&lt;=0,0,MIN(AL107,G$7+IF(G$2=$AA107,$AC107,IF(G$2=$AF107,$AG107,0))))</f>
        <v/>
      </c>
      <c r="T107">
        <f>IF(H106&lt;=0,0,MIN(AM107,H$7+IF(H$2=$AA107,$AC107,IF(H$2=$AF107,$AG107,0))))</f>
        <v/>
      </c>
      <c r="U107">
        <f>IF(I106&lt;=0,0,MIN(AN107,I$7+IF(I$2=$AA107,$AC107,IF(I$2=$AF107,$AG107,0))))</f>
        <v/>
      </c>
      <c r="V107">
        <f>IF(J106&lt;=0,0,MIN(AO107,J$7+IF(J$2=$AA107,$AC107,IF(J$2=$AF107,$AG107,0))))</f>
        <v/>
      </c>
      <c r="W107">
        <f>IF(K106&lt;=0,0,MIN(AP107,K$7+IF(K$2=$AA107,$AC107,IF(K$2=$AF107,$AG107,0))))</f>
        <v/>
      </c>
      <c r="X107">
        <f>IF(L106&lt;=0,0,MIN(AQ107,L$7+IF(L$2=$AA107,$AC107,IF(L$2=$AF107,$AG107,0))))</f>
        <v/>
      </c>
      <c r="Y107">
        <f>IF(M106&lt;=0,0,MIN(AR107,M$7+IF(M$2=$AA107,$AC107,IF(M$2=$AF107,$AG107,0))))</f>
        <v/>
      </c>
      <c r="Z107">
        <f>IF(N106&lt;=0,0,MIN(AS107,N$7+IF(N$2=$AA107,$AC107,IF(N$2=$AF107,$AG107,0))))</f>
        <v/>
      </c>
      <c r="AA107">
        <f>IFERROR(ROUND(1/SUMPRODUCT(MAX((C106:N106&gt;0)*($C$3:$N$3&lt;=B107)/$C$2:$N$2)),0),0)</f>
        <v/>
      </c>
      <c r="AB107">
        <f>SUMPRODUCT((C106:N106&gt;0)*$C$7:$N$7)</f>
        <v/>
      </c>
      <c r="AC107">
        <f>MAX(0,Plan!$C$5-AB107)+IF(A107=Plan!$C$8,N(Plan!$C$7),0)</f>
        <v/>
      </c>
      <c r="AD107">
        <f>SUM(C107:N107)</f>
        <v/>
      </c>
      <c r="AE107">
        <f>SUM(O107:Z107)</f>
        <v/>
      </c>
      <c r="AF107">
        <f>IFERROR(ROUND(1/SUMPRODUCT(MAX((C106:N106&gt;0)*($C$3:$N$3&lt;=B107)*($C$2:$N$2&gt;AA107)/$C$2:$N$2)),0),0)</f>
        <v/>
      </c>
      <c r="AG107">
        <f>MAX(0,AC107-MAX(0,SUMPRODUCT(($C$2:$N$2=AA107)*(AH107:AS107-$C$7:$N$7))))</f>
        <v/>
      </c>
      <c r="AH107">
        <f>IF(C106&lt;=0,0,ROUND(C106*(1+IF(AND(C$6&gt;0,$B107&lt;C$6),C$4,C$5)/12),2))</f>
        <v/>
      </c>
      <c r="AI107">
        <f>IF(D106&lt;=0,0,ROUND(D106*(1+IF(AND(D$6&gt;0,$B107&lt;D$6),D$4,D$5)/12),2))</f>
        <v/>
      </c>
      <c r="AJ107">
        <f>IF(E106&lt;=0,0,ROUND(E106*(1+IF(AND(E$6&gt;0,$B107&lt;E$6),E$4,E$5)/12),2))</f>
        <v/>
      </c>
      <c r="AK107">
        <f>IF(F106&lt;=0,0,ROUND(F106*(1+IF(AND(F$6&gt;0,$B107&lt;F$6),F$4,F$5)/12),2))</f>
        <v/>
      </c>
      <c r="AL107">
        <f>IF(G106&lt;=0,0,ROUND(G106*(1+IF(AND(G$6&gt;0,$B107&lt;G$6),G$4,G$5)/12),2))</f>
        <v/>
      </c>
      <c r="AM107">
        <f>IF(H106&lt;=0,0,ROUND(H106*(1+IF(AND(H$6&gt;0,$B107&lt;H$6),H$4,H$5)/12),2))</f>
        <v/>
      </c>
      <c r="AN107">
        <f>IF(I106&lt;=0,0,ROUND(I106*(1+IF(AND(I$6&gt;0,$B107&lt;I$6),I$4,I$5)/12),2))</f>
        <v/>
      </c>
      <c r="AO107">
        <f>IF(J106&lt;=0,0,ROUND(J106*(1+IF(AND(J$6&gt;0,$B107&lt;J$6),J$4,J$5)/12),2))</f>
        <v/>
      </c>
      <c r="AP107">
        <f>IF(K106&lt;=0,0,ROUND(K106*(1+IF(AND(K$6&gt;0,$B107&lt;K$6),K$4,K$5)/12),2))</f>
        <v/>
      </c>
      <c r="AQ107">
        <f>IF(L106&lt;=0,0,ROUND(L106*(1+IF(AND(L$6&gt;0,$B107&lt;L$6),L$4,L$5)/12),2))</f>
        <v/>
      </c>
      <c r="AR107">
        <f>IF(M106&lt;=0,0,ROUND(M106*(1+IF(AND(M$6&gt;0,$B107&lt;M$6),M$4,M$5)/12),2))</f>
        <v/>
      </c>
      <c r="AS107">
        <f>IF(N106&lt;=0,0,ROUND(N106*(1+IF(AND(N$6&gt;0,$B107&lt;N$6),N$4,N$5)/12),2))</f>
        <v/>
      </c>
    </row>
    <row r="108">
      <c r="A108" t="n">
        <v>97</v>
      </c>
      <c r="B108">
        <f>EDATE(Plan!$C$6,96)</f>
        <v/>
      </c>
      <c r="C108">
        <f>IF(C107&lt;=0,0,MAX(0,AH108-O108))</f>
        <v/>
      </c>
      <c r="D108">
        <f>IF(D107&lt;=0,0,MAX(0,AI108-P108))</f>
        <v/>
      </c>
      <c r="E108">
        <f>IF(E107&lt;=0,0,MAX(0,AJ108-Q108))</f>
        <v/>
      </c>
      <c r="F108">
        <f>IF(F107&lt;=0,0,MAX(0,AK108-R108))</f>
        <v/>
      </c>
      <c r="G108">
        <f>IF(G107&lt;=0,0,MAX(0,AL108-S108))</f>
        <v/>
      </c>
      <c r="H108">
        <f>IF(H107&lt;=0,0,MAX(0,AM108-T108))</f>
        <v/>
      </c>
      <c r="I108">
        <f>IF(I107&lt;=0,0,MAX(0,AN108-U108))</f>
        <v/>
      </c>
      <c r="J108">
        <f>IF(J107&lt;=0,0,MAX(0,AO108-V108))</f>
        <v/>
      </c>
      <c r="K108">
        <f>IF(K107&lt;=0,0,MAX(0,AP108-W108))</f>
        <v/>
      </c>
      <c r="L108">
        <f>IF(L107&lt;=0,0,MAX(0,AQ108-X108))</f>
        <v/>
      </c>
      <c r="M108">
        <f>IF(M107&lt;=0,0,MAX(0,AR108-Y108))</f>
        <v/>
      </c>
      <c r="N108">
        <f>IF(N107&lt;=0,0,MAX(0,AS108-Z108))</f>
        <v/>
      </c>
      <c r="O108">
        <f>IF(C107&lt;=0,0,MIN(AH108,C$7+IF(C$2=$AA108,$AC108,IF(C$2=$AF108,$AG108,0))))</f>
        <v/>
      </c>
      <c r="P108">
        <f>IF(D107&lt;=0,0,MIN(AI108,D$7+IF(D$2=$AA108,$AC108,IF(D$2=$AF108,$AG108,0))))</f>
        <v/>
      </c>
      <c r="Q108">
        <f>IF(E107&lt;=0,0,MIN(AJ108,E$7+IF(E$2=$AA108,$AC108,IF(E$2=$AF108,$AG108,0))))</f>
        <v/>
      </c>
      <c r="R108">
        <f>IF(F107&lt;=0,0,MIN(AK108,F$7+IF(F$2=$AA108,$AC108,IF(F$2=$AF108,$AG108,0))))</f>
        <v/>
      </c>
      <c r="S108">
        <f>IF(G107&lt;=0,0,MIN(AL108,G$7+IF(G$2=$AA108,$AC108,IF(G$2=$AF108,$AG108,0))))</f>
        <v/>
      </c>
      <c r="T108">
        <f>IF(H107&lt;=0,0,MIN(AM108,H$7+IF(H$2=$AA108,$AC108,IF(H$2=$AF108,$AG108,0))))</f>
        <v/>
      </c>
      <c r="U108">
        <f>IF(I107&lt;=0,0,MIN(AN108,I$7+IF(I$2=$AA108,$AC108,IF(I$2=$AF108,$AG108,0))))</f>
        <v/>
      </c>
      <c r="V108">
        <f>IF(J107&lt;=0,0,MIN(AO108,J$7+IF(J$2=$AA108,$AC108,IF(J$2=$AF108,$AG108,0))))</f>
        <v/>
      </c>
      <c r="W108">
        <f>IF(K107&lt;=0,0,MIN(AP108,K$7+IF(K$2=$AA108,$AC108,IF(K$2=$AF108,$AG108,0))))</f>
        <v/>
      </c>
      <c r="X108">
        <f>IF(L107&lt;=0,0,MIN(AQ108,L$7+IF(L$2=$AA108,$AC108,IF(L$2=$AF108,$AG108,0))))</f>
        <v/>
      </c>
      <c r="Y108">
        <f>IF(M107&lt;=0,0,MIN(AR108,M$7+IF(M$2=$AA108,$AC108,IF(M$2=$AF108,$AG108,0))))</f>
        <v/>
      </c>
      <c r="Z108">
        <f>IF(N107&lt;=0,0,MIN(AS108,N$7+IF(N$2=$AA108,$AC108,IF(N$2=$AF108,$AG108,0))))</f>
        <v/>
      </c>
      <c r="AA108">
        <f>IFERROR(ROUND(1/SUMPRODUCT(MAX((C107:N107&gt;0)*($C$3:$N$3&lt;=B108)/$C$2:$N$2)),0),0)</f>
        <v/>
      </c>
      <c r="AB108">
        <f>SUMPRODUCT((C107:N107&gt;0)*$C$7:$N$7)</f>
        <v/>
      </c>
      <c r="AC108">
        <f>MAX(0,Plan!$C$5-AB108)+IF(A108=Plan!$C$8,N(Plan!$C$7),0)</f>
        <v/>
      </c>
      <c r="AD108">
        <f>SUM(C108:N108)</f>
        <v/>
      </c>
      <c r="AE108">
        <f>SUM(O108:Z108)</f>
        <v/>
      </c>
      <c r="AF108">
        <f>IFERROR(ROUND(1/SUMPRODUCT(MAX((C107:N107&gt;0)*($C$3:$N$3&lt;=B108)*($C$2:$N$2&gt;AA108)/$C$2:$N$2)),0),0)</f>
        <v/>
      </c>
      <c r="AG108">
        <f>MAX(0,AC108-MAX(0,SUMPRODUCT(($C$2:$N$2=AA108)*(AH108:AS108-$C$7:$N$7))))</f>
        <v/>
      </c>
      <c r="AH108">
        <f>IF(C107&lt;=0,0,ROUND(C107*(1+IF(AND(C$6&gt;0,$B108&lt;C$6),C$4,C$5)/12),2))</f>
        <v/>
      </c>
      <c r="AI108">
        <f>IF(D107&lt;=0,0,ROUND(D107*(1+IF(AND(D$6&gt;0,$B108&lt;D$6),D$4,D$5)/12),2))</f>
        <v/>
      </c>
      <c r="AJ108">
        <f>IF(E107&lt;=0,0,ROUND(E107*(1+IF(AND(E$6&gt;0,$B108&lt;E$6),E$4,E$5)/12),2))</f>
        <v/>
      </c>
      <c r="AK108">
        <f>IF(F107&lt;=0,0,ROUND(F107*(1+IF(AND(F$6&gt;0,$B108&lt;F$6),F$4,F$5)/12),2))</f>
        <v/>
      </c>
      <c r="AL108">
        <f>IF(G107&lt;=0,0,ROUND(G107*(1+IF(AND(G$6&gt;0,$B108&lt;G$6),G$4,G$5)/12),2))</f>
        <v/>
      </c>
      <c r="AM108">
        <f>IF(H107&lt;=0,0,ROUND(H107*(1+IF(AND(H$6&gt;0,$B108&lt;H$6),H$4,H$5)/12),2))</f>
        <v/>
      </c>
      <c r="AN108">
        <f>IF(I107&lt;=0,0,ROUND(I107*(1+IF(AND(I$6&gt;0,$B108&lt;I$6),I$4,I$5)/12),2))</f>
        <v/>
      </c>
      <c r="AO108">
        <f>IF(J107&lt;=0,0,ROUND(J107*(1+IF(AND(J$6&gt;0,$B108&lt;J$6),J$4,J$5)/12),2))</f>
        <v/>
      </c>
      <c r="AP108">
        <f>IF(K107&lt;=0,0,ROUND(K107*(1+IF(AND(K$6&gt;0,$B108&lt;K$6),K$4,K$5)/12),2))</f>
        <v/>
      </c>
      <c r="AQ108">
        <f>IF(L107&lt;=0,0,ROUND(L107*(1+IF(AND(L$6&gt;0,$B108&lt;L$6),L$4,L$5)/12),2))</f>
        <v/>
      </c>
      <c r="AR108">
        <f>IF(M107&lt;=0,0,ROUND(M107*(1+IF(AND(M$6&gt;0,$B108&lt;M$6),M$4,M$5)/12),2))</f>
        <v/>
      </c>
      <c r="AS108">
        <f>IF(N107&lt;=0,0,ROUND(N107*(1+IF(AND(N$6&gt;0,$B108&lt;N$6),N$4,N$5)/12),2))</f>
        <v/>
      </c>
    </row>
    <row r="109">
      <c r="A109" t="n">
        <v>98</v>
      </c>
      <c r="B109">
        <f>EDATE(Plan!$C$6,97)</f>
        <v/>
      </c>
      <c r="C109">
        <f>IF(C108&lt;=0,0,MAX(0,AH109-O109))</f>
        <v/>
      </c>
      <c r="D109">
        <f>IF(D108&lt;=0,0,MAX(0,AI109-P109))</f>
        <v/>
      </c>
      <c r="E109">
        <f>IF(E108&lt;=0,0,MAX(0,AJ109-Q109))</f>
        <v/>
      </c>
      <c r="F109">
        <f>IF(F108&lt;=0,0,MAX(0,AK109-R109))</f>
        <v/>
      </c>
      <c r="G109">
        <f>IF(G108&lt;=0,0,MAX(0,AL109-S109))</f>
        <v/>
      </c>
      <c r="H109">
        <f>IF(H108&lt;=0,0,MAX(0,AM109-T109))</f>
        <v/>
      </c>
      <c r="I109">
        <f>IF(I108&lt;=0,0,MAX(0,AN109-U109))</f>
        <v/>
      </c>
      <c r="J109">
        <f>IF(J108&lt;=0,0,MAX(0,AO109-V109))</f>
        <v/>
      </c>
      <c r="K109">
        <f>IF(K108&lt;=0,0,MAX(0,AP109-W109))</f>
        <v/>
      </c>
      <c r="L109">
        <f>IF(L108&lt;=0,0,MAX(0,AQ109-X109))</f>
        <v/>
      </c>
      <c r="M109">
        <f>IF(M108&lt;=0,0,MAX(0,AR109-Y109))</f>
        <v/>
      </c>
      <c r="N109">
        <f>IF(N108&lt;=0,0,MAX(0,AS109-Z109))</f>
        <v/>
      </c>
      <c r="O109">
        <f>IF(C108&lt;=0,0,MIN(AH109,C$7+IF(C$2=$AA109,$AC109,IF(C$2=$AF109,$AG109,0))))</f>
        <v/>
      </c>
      <c r="P109">
        <f>IF(D108&lt;=0,0,MIN(AI109,D$7+IF(D$2=$AA109,$AC109,IF(D$2=$AF109,$AG109,0))))</f>
        <v/>
      </c>
      <c r="Q109">
        <f>IF(E108&lt;=0,0,MIN(AJ109,E$7+IF(E$2=$AA109,$AC109,IF(E$2=$AF109,$AG109,0))))</f>
        <v/>
      </c>
      <c r="R109">
        <f>IF(F108&lt;=0,0,MIN(AK109,F$7+IF(F$2=$AA109,$AC109,IF(F$2=$AF109,$AG109,0))))</f>
        <v/>
      </c>
      <c r="S109">
        <f>IF(G108&lt;=0,0,MIN(AL109,G$7+IF(G$2=$AA109,$AC109,IF(G$2=$AF109,$AG109,0))))</f>
        <v/>
      </c>
      <c r="T109">
        <f>IF(H108&lt;=0,0,MIN(AM109,H$7+IF(H$2=$AA109,$AC109,IF(H$2=$AF109,$AG109,0))))</f>
        <v/>
      </c>
      <c r="U109">
        <f>IF(I108&lt;=0,0,MIN(AN109,I$7+IF(I$2=$AA109,$AC109,IF(I$2=$AF109,$AG109,0))))</f>
        <v/>
      </c>
      <c r="V109">
        <f>IF(J108&lt;=0,0,MIN(AO109,J$7+IF(J$2=$AA109,$AC109,IF(J$2=$AF109,$AG109,0))))</f>
        <v/>
      </c>
      <c r="W109">
        <f>IF(K108&lt;=0,0,MIN(AP109,K$7+IF(K$2=$AA109,$AC109,IF(K$2=$AF109,$AG109,0))))</f>
        <v/>
      </c>
      <c r="X109">
        <f>IF(L108&lt;=0,0,MIN(AQ109,L$7+IF(L$2=$AA109,$AC109,IF(L$2=$AF109,$AG109,0))))</f>
        <v/>
      </c>
      <c r="Y109">
        <f>IF(M108&lt;=0,0,MIN(AR109,M$7+IF(M$2=$AA109,$AC109,IF(M$2=$AF109,$AG109,0))))</f>
        <v/>
      </c>
      <c r="Z109">
        <f>IF(N108&lt;=0,0,MIN(AS109,N$7+IF(N$2=$AA109,$AC109,IF(N$2=$AF109,$AG109,0))))</f>
        <v/>
      </c>
      <c r="AA109">
        <f>IFERROR(ROUND(1/SUMPRODUCT(MAX((C108:N108&gt;0)*($C$3:$N$3&lt;=B109)/$C$2:$N$2)),0),0)</f>
        <v/>
      </c>
      <c r="AB109">
        <f>SUMPRODUCT((C108:N108&gt;0)*$C$7:$N$7)</f>
        <v/>
      </c>
      <c r="AC109">
        <f>MAX(0,Plan!$C$5-AB109)+IF(A109=Plan!$C$8,N(Plan!$C$7),0)</f>
        <v/>
      </c>
      <c r="AD109">
        <f>SUM(C109:N109)</f>
        <v/>
      </c>
      <c r="AE109">
        <f>SUM(O109:Z109)</f>
        <v/>
      </c>
      <c r="AF109">
        <f>IFERROR(ROUND(1/SUMPRODUCT(MAX((C108:N108&gt;0)*($C$3:$N$3&lt;=B109)*($C$2:$N$2&gt;AA109)/$C$2:$N$2)),0),0)</f>
        <v/>
      </c>
      <c r="AG109">
        <f>MAX(0,AC109-MAX(0,SUMPRODUCT(($C$2:$N$2=AA109)*(AH109:AS109-$C$7:$N$7))))</f>
        <v/>
      </c>
      <c r="AH109">
        <f>IF(C108&lt;=0,0,ROUND(C108*(1+IF(AND(C$6&gt;0,$B109&lt;C$6),C$4,C$5)/12),2))</f>
        <v/>
      </c>
      <c r="AI109">
        <f>IF(D108&lt;=0,0,ROUND(D108*(1+IF(AND(D$6&gt;0,$B109&lt;D$6),D$4,D$5)/12),2))</f>
        <v/>
      </c>
      <c r="AJ109">
        <f>IF(E108&lt;=0,0,ROUND(E108*(1+IF(AND(E$6&gt;0,$B109&lt;E$6),E$4,E$5)/12),2))</f>
        <v/>
      </c>
      <c r="AK109">
        <f>IF(F108&lt;=0,0,ROUND(F108*(1+IF(AND(F$6&gt;0,$B109&lt;F$6),F$4,F$5)/12),2))</f>
        <v/>
      </c>
      <c r="AL109">
        <f>IF(G108&lt;=0,0,ROUND(G108*(1+IF(AND(G$6&gt;0,$B109&lt;G$6),G$4,G$5)/12),2))</f>
        <v/>
      </c>
      <c r="AM109">
        <f>IF(H108&lt;=0,0,ROUND(H108*(1+IF(AND(H$6&gt;0,$B109&lt;H$6),H$4,H$5)/12),2))</f>
        <v/>
      </c>
      <c r="AN109">
        <f>IF(I108&lt;=0,0,ROUND(I108*(1+IF(AND(I$6&gt;0,$B109&lt;I$6),I$4,I$5)/12),2))</f>
        <v/>
      </c>
      <c r="AO109">
        <f>IF(J108&lt;=0,0,ROUND(J108*(1+IF(AND(J$6&gt;0,$B109&lt;J$6),J$4,J$5)/12),2))</f>
        <v/>
      </c>
      <c r="AP109">
        <f>IF(K108&lt;=0,0,ROUND(K108*(1+IF(AND(K$6&gt;0,$B109&lt;K$6),K$4,K$5)/12),2))</f>
        <v/>
      </c>
      <c r="AQ109">
        <f>IF(L108&lt;=0,0,ROUND(L108*(1+IF(AND(L$6&gt;0,$B109&lt;L$6),L$4,L$5)/12),2))</f>
        <v/>
      </c>
      <c r="AR109">
        <f>IF(M108&lt;=0,0,ROUND(M108*(1+IF(AND(M$6&gt;0,$B109&lt;M$6),M$4,M$5)/12),2))</f>
        <v/>
      </c>
      <c r="AS109">
        <f>IF(N108&lt;=0,0,ROUND(N108*(1+IF(AND(N$6&gt;0,$B109&lt;N$6),N$4,N$5)/12),2))</f>
        <v/>
      </c>
    </row>
    <row r="110">
      <c r="A110" t="n">
        <v>99</v>
      </c>
      <c r="B110">
        <f>EDATE(Plan!$C$6,98)</f>
        <v/>
      </c>
      <c r="C110">
        <f>IF(C109&lt;=0,0,MAX(0,AH110-O110))</f>
        <v/>
      </c>
      <c r="D110">
        <f>IF(D109&lt;=0,0,MAX(0,AI110-P110))</f>
        <v/>
      </c>
      <c r="E110">
        <f>IF(E109&lt;=0,0,MAX(0,AJ110-Q110))</f>
        <v/>
      </c>
      <c r="F110">
        <f>IF(F109&lt;=0,0,MAX(0,AK110-R110))</f>
        <v/>
      </c>
      <c r="G110">
        <f>IF(G109&lt;=0,0,MAX(0,AL110-S110))</f>
        <v/>
      </c>
      <c r="H110">
        <f>IF(H109&lt;=0,0,MAX(0,AM110-T110))</f>
        <v/>
      </c>
      <c r="I110">
        <f>IF(I109&lt;=0,0,MAX(0,AN110-U110))</f>
        <v/>
      </c>
      <c r="J110">
        <f>IF(J109&lt;=0,0,MAX(0,AO110-V110))</f>
        <v/>
      </c>
      <c r="K110">
        <f>IF(K109&lt;=0,0,MAX(0,AP110-W110))</f>
        <v/>
      </c>
      <c r="L110">
        <f>IF(L109&lt;=0,0,MAX(0,AQ110-X110))</f>
        <v/>
      </c>
      <c r="M110">
        <f>IF(M109&lt;=0,0,MAX(0,AR110-Y110))</f>
        <v/>
      </c>
      <c r="N110">
        <f>IF(N109&lt;=0,0,MAX(0,AS110-Z110))</f>
        <v/>
      </c>
      <c r="O110">
        <f>IF(C109&lt;=0,0,MIN(AH110,C$7+IF(C$2=$AA110,$AC110,IF(C$2=$AF110,$AG110,0))))</f>
        <v/>
      </c>
      <c r="P110">
        <f>IF(D109&lt;=0,0,MIN(AI110,D$7+IF(D$2=$AA110,$AC110,IF(D$2=$AF110,$AG110,0))))</f>
        <v/>
      </c>
      <c r="Q110">
        <f>IF(E109&lt;=0,0,MIN(AJ110,E$7+IF(E$2=$AA110,$AC110,IF(E$2=$AF110,$AG110,0))))</f>
        <v/>
      </c>
      <c r="R110">
        <f>IF(F109&lt;=0,0,MIN(AK110,F$7+IF(F$2=$AA110,$AC110,IF(F$2=$AF110,$AG110,0))))</f>
        <v/>
      </c>
      <c r="S110">
        <f>IF(G109&lt;=0,0,MIN(AL110,G$7+IF(G$2=$AA110,$AC110,IF(G$2=$AF110,$AG110,0))))</f>
        <v/>
      </c>
      <c r="T110">
        <f>IF(H109&lt;=0,0,MIN(AM110,H$7+IF(H$2=$AA110,$AC110,IF(H$2=$AF110,$AG110,0))))</f>
        <v/>
      </c>
      <c r="U110">
        <f>IF(I109&lt;=0,0,MIN(AN110,I$7+IF(I$2=$AA110,$AC110,IF(I$2=$AF110,$AG110,0))))</f>
        <v/>
      </c>
      <c r="V110">
        <f>IF(J109&lt;=0,0,MIN(AO110,J$7+IF(J$2=$AA110,$AC110,IF(J$2=$AF110,$AG110,0))))</f>
        <v/>
      </c>
      <c r="W110">
        <f>IF(K109&lt;=0,0,MIN(AP110,K$7+IF(K$2=$AA110,$AC110,IF(K$2=$AF110,$AG110,0))))</f>
        <v/>
      </c>
      <c r="X110">
        <f>IF(L109&lt;=0,0,MIN(AQ110,L$7+IF(L$2=$AA110,$AC110,IF(L$2=$AF110,$AG110,0))))</f>
        <v/>
      </c>
      <c r="Y110">
        <f>IF(M109&lt;=0,0,MIN(AR110,M$7+IF(M$2=$AA110,$AC110,IF(M$2=$AF110,$AG110,0))))</f>
        <v/>
      </c>
      <c r="Z110">
        <f>IF(N109&lt;=0,0,MIN(AS110,N$7+IF(N$2=$AA110,$AC110,IF(N$2=$AF110,$AG110,0))))</f>
        <v/>
      </c>
      <c r="AA110">
        <f>IFERROR(ROUND(1/SUMPRODUCT(MAX((C109:N109&gt;0)*($C$3:$N$3&lt;=B110)/$C$2:$N$2)),0),0)</f>
        <v/>
      </c>
      <c r="AB110">
        <f>SUMPRODUCT((C109:N109&gt;0)*$C$7:$N$7)</f>
        <v/>
      </c>
      <c r="AC110">
        <f>MAX(0,Plan!$C$5-AB110)+IF(A110=Plan!$C$8,N(Plan!$C$7),0)</f>
        <v/>
      </c>
      <c r="AD110">
        <f>SUM(C110:N110)</f>
        <v/>
      </c>
      <c r="AE110">
        <f>SUM(O110:Z110)</f>
        <v/>
      </c>
      <c r="AF110">
        <f>IFERROR(ROUND(1/SUMPRODUCT(MAX((C109:N109&gt;0)*($C$3:$N$3&lt;=B110)*($C$2:$N$2&gt;AA110)/$C$2:$N$2)),0),0)</f>
        <v/>
      </c>
      <c r="AG110">
        <f>MAX(0,AC110-MAX(0,SUMPRODUCT(($C$2:$N$2=AA110)*(AH110:AS110-$C$7:$N$7))))</f>
        <v/>
      </c>
      <c r="AH110">
        <f>IF(C109&lt;=0,0,ROUND(C109*(1+IF(AND(C$6&gt;0,$B110&lt;C$6),C$4,C$5)/12),2))</f>
        <v/>
      </c>
      <c r="AI110">
        <f>IF(D109&lt;=0,0,ROUND(D109*(1+IF(AND(D$6&gt;0,$B110&lt;D$6),D$4,D$5)/12),2))</f>
        <v/>
      </c>
      <c r="AJ110">
        <f>IF(E109&lt;=0,0,ROUND(E109*(1+IF(AND(E$6&gt;0,$B110&lt;E$6),E$4,E$5)/12),2))</f>
        <v/>
      </c>
      <c r="AK110">
        <f>IF(F109&lt;=0,0,ROUND(F109*(1+IF(AND(F$6&gt;0,$B110&lt;F$6),F$4,F$5)/12),2))</f>
        <v/>
      </c>
      <c r="AL110">
        <f>IF(G109&lt;=0,0,ROUND(G109*(1+IF(AND(G$6&gt;0,$B110&lt;G$6),G$4,G$5)/12),2))</f>
        <v/>
      </c>
      <c r="AM110">
        <f>IF(H109&lt;=0,0,ROUND(H109*(1+IF(AND(H$6&gt;0,$B110&lt;H$6),H$4,H$5)/12),2))</f>
        <v/>
      </c>
      <c r="AN110">
        <f>IF(I109&lt;=0,0,ROUND(I109*(1+IF(AND(I$6&gt;0,$B110&lt;I$6),I$4,I$5)/12),2))</f>
        <v/>
      </c>
      <c r="AO110">
        <f>IF(J109&lt;=0,0,ROUND(J109*(1+IF(AND(J$6&gt;0,$B110&lt;J$6),J$4,J$5)/12),2))</f>
        <v/>
      </c>
      <c r="AP110">
        <f>IF(K109&lt;=0,0,ROUND(K109*(1+IF(AND(K$6&gt;0,$B110&lt;K$6),K$4,K$5)/12),2))</f>
        <v/>
      </c>
      <c r="AQ110">
        <f>IF(L109&lt;=0,0,ROUND(L109*(1+IF(AND(L$6&gt;0,$B110&lt;L$6),L$4,L$5)/12),2))</f>
        <v/>
      </c>
      <c r="AR110">
        <f>IF(M109&lt;=0,0,ROUND(M109*(1+IF(AND(M$6&gt;0,$B110&lt;M$6),M$4,M$5)/12),2))</f>
        <v/>
      </c>
      <c r="AS110">
        <f>IF(N109&lt;=0,0,ROUND(N109*(1+IF(AND(N$6&gt;0,$B110&lt;N$6),N$4,N$5)/12),2))</f>
        <v/>
      </c>
    </row>
    <row r="111">
      <c r="A111" t="n">
        <v>100</v>
      </c>
      <c r="B111">
        <f>EDATE(Plan!$C$6,99)</f>
        <v/>
      </c>
      <c r="C111">
        <f>IF(C110&lt;=0,0,MAX(0,AH111-O111))</f>
        <v/>
      </c>
      <c r="D111">
        <f>IF(D110&lt;=0,0,MAX(0,AI111-P111))</f>
        <v/>
      </c>
      <c r="E111">
        <f>IF(E110&lt;=0,0,MAX(0,AJ111-Q111))</f>
        <v/>
      </c>
      <c r="F111">
        <f>IF(F110&lt;=0,0,MAX(0,AK111-R111))</f>
        <v/>
      </c>
      <c r="G111">
        <f>IF(G110&lt;=0,0,MAX(0,AL111-S111))</f>
        <v/>
      </c>
      <c r="H111">
        <f>IF(H110&lt;=0,0,MAX(0,AM111-T111))</f>
        <v/>
      </c>
      <c r="I111">
        <f>IF(I110&lt;=0,0,MAX(0,AN111-U111))</f>
        <v/>
      </c>
      <c r="J111">
        <f>IF(J110&lt;=0,0,MAX(0,AO111-V111))</f>
        <v/>
      </c>
      <c r="K111">
        <f>IF(K110&lt;=0,0,MAX(0,AP111-W111))</f>
        <v/>
      </c>
      <c r="L111">
        <f>IF(L110&lt;=0,0,MAX(0,AQ111-X111))</f>
        <v/>
      </c>
      <c r="M111">
        <f>IF(M110&lt;=0,0,MAX(0,AR111-Y111))</f>
        <v/>
      </c>
      <c r="N111">
        <f>IF(N110&lt;=0,0,MAX(0,AS111-Z111))</f>
        <v/>
      </c>
      <c r="O111">
        <f>IF(C110&lt;=0,0,MIN(AH111,C$7+IF(C$2=$AA111,$AC111,IF(C$2=$AF111,$AG111,0))))</f>
        <v/>
      </c>
      <c r="P111">
        <f>IF(D110&lt;=0,0,MIN(AI111,D$7+IF(D$2=$AA111,$AC111,IF(D$2=$AF111,$AG111,0))))</f>
        <v/>
      </c>
      <c r="Q111">
        <f>IF(E110&lt;=0,0,MIN(AJ111,E$7+IF(E$2=$AA111,$AC111,IF(E$2=$AF111,$AG111,0))))</f>
        <v/>
      </c>
      <c r="R111">
        <f>IF(F110&lt;=0,0,MIN(AK111,F$7+IF(F$2=$AA111,$AC111,IF(F$2=$AF111,$AG111,0))))</f>
        <v/>
      </c>
      <c r="S111">
        <f>IF(G110&lt;=0,0,MIN(AL111,G$7+IF(G$2=$AA111,$AC111,IF(G$2=$AF111,$AG111,0))))</f>
        <v/>
      </c>
      <c r="T111">
        <f>IF(H110&lt;=0,0,MIN(AM111,H$7+IF(H$2=$AA111,$AC111,IF(H$2=$AF111,$AG111,0))))</f>
        <v/>
      </c>
      <c r="U111">
        <f>IF(I110&lt;=0,0,MIN(AN111,I$7+IF(I$2=$AA111,$AC111,IF(I$2=$AF111,$AG111,0))))</f>
        <v/>
      </c>
      <c r="V111">
        <f>IF(J110&lt;=0,0,MIN(AO111,J$7+IF(J$2=$AA111,$AC111,IF(J$2=$AF111,$AG111,0))))</f>
        <v/>
      </c>
      <c r="W111">
        <f>IF(K110&lt;=0,0,MIN(AP111,K$7+IF(K$2=$AA111,$AC111,IF(K$2=$AF111,$AG111,0))))</f>
        <v/>
      </c>
      <c r="X111">
        <f>IF(L110&lt;=0,0,MIN(AQ111,L$7+IF(L$2=$AA111,$AC111,IF(L$2=$AF111,$AG111,0))))</f>
        <v/>
      </c>
      <c r="Y111">
        <f>IF(M110&lt;=0,0,MIN(AR111,M$7+IF(M$2=$AA111,$AC111,IF(M$2=$AF111,$AG111,0))))</f>
        <v/>
      </c>
      <c r="Z111">
        <f>IF(N110&lt;=0,0,MIN(AS111,N$7+IF(N$2=$AA111,$AC111,IF(N$2=$AF111,$AG111,0))))</f>
        <v/>
      </c>
      <c r="AA111">
        <f>IFERROR(ROUND(1/SUMPRODUCT(MAX((C110:N110&gt;0)*($C$3:$N$3&lt;=B111)/$C$2:$N$2)),0),0)</f>
        <v/>
      </c>
      <c r="AB111">
        <f>SUMPRODUCT((C110:N110&gt;0)*$C$7:$N$7)</f>
        <v/>
      </c>
      <c r="AC111">
        <f>MAX(0,Plan!$C$5-AB111)+IF(A111=Plan!$C$8,N(Plan!$C$7),0)</f>
        <v/>
      </c>
      <c r="AD111">
        <f>SUM(C111:N111)</f>
        <v/>
      </c>
      <c r="AE111">
        <f>SUM(O111:Z111)</f>
        <v/>
      </c>
      <c r="AF111">
        <f>IFERROR(ROUND(1/SUMPRODUCT(MAX((C110:N110&gt;0)*($C$3:$N$3&lt;=B111)*($C$2:$N$2&gt;AA111)/$C$2:$N$2)),0),0)</f>
        <v/>
      </c>
      <c r="AG111">
        <f>MAX(0,AC111-MAX(0,SUMPRODUCT(($C$2:$N$2=AA111)*(AH111:AS111-$C$7:$N$7))))</f>
        <v/>
      </c>
      <c r="AH111">
        <f>IF(C110&lt;=0,0,ROUND(C110*(1+IF(AND(C$6&gt;0,$B111&lt;C$6),C$4,C$5)/12),2))</f>
        <v/>
      </c>
      <c r="AI111">
        <f>IF(D110&lt;=0,0,ROUND(D110*(1+IF(AND(D$6&gt;0,$B111&lt;D$6),D$4,D$5)/12),2))</f>
        <v/>
      </c>
      <c r="AJ111">
        <f>IF(E110&lt;=0,0,ROUND(E110*(1+IF(AND(E$6&gt;0,$B111&lt;E$6),E$4,E$5)/12),2))</f>
        <v/>
      </c>
      <c r="AK111">
        <f>IF(F110&lt;=0,0,ROUND(F110*(1+IF(AND(F$6&gt;0,$B111&lt;F$6),F$4,F$5)/12),2))</f>
        <v/>
      </c>
      <c r="AL111">
        <f>IF(G110&lt;=0,0,ROUND(G110*(1+IF(AND(G$6&gt;0,$B111&lt;G$6),G$4,G$5)/12),2))</f>
        <v/>
      </c>
      <c r="AM111">
        <f>IF(H110&lt;=0,0,ROUND(H110*(1+IF(AND(H$6&gt;0,$B111&lt;H$6),H$4,H$5)/12),2))</f>
        <v/>
      </c>
      <c r="AN111">
        <f>IF(I110&lt;=0,0,ROUND(I110*(1+IF(AND(I$6&gt;0,$B111&lt;I$6),I$4,I$5)/12),2))</f>
        <v/>
      </c>
      <c r="AO111">
        <f>IF(J110&lt;=0,0,ROUND(J110*(1+IF(AND(J$6&gt;0,$B111&lt;J$6),J$4,J$5)/12),2))</f>
        <v/>
      </c>
      <c r="AP111">
        <f>IF(K110&lt;=0,0,ROUND(K110*(1+IF(AND(K$6&gt;0,$B111&lt;K$6),K$4,K$5)/12),2))</f>
        <v/>
      </c>
      <c r="AQ111">
        <f>IF(L110&lt;=0,0,ROUND(L110*(1+IF(AND(L$6&gt;0,$B111&lt;L$6),L$4,L$5)/12),2))</f>
        <v/>
      </c>
      <c r="AR111">
        <f>IF(M110&lt;=0,0,ROUND(M110*(1+IF(AND(M$6&gt;0,$B111&lt;M$6),M$4,M$5)/12),2))</f>
        <v/>
      </c>
      <c r="AS111">
        <f>IF(N110&lt;=0,0,ROUND(N110*(1+IF(AND(N$6&gt;0,$B111&lt;N$6),N$4,N$5)/12),2))</f>
        <v/>
      </c>
    </row>
    <row r="112">
      <c r="A112" t="n">
        <v>101</v>
      </c>
      <c r="B112">
        <f>EDATE(Plan!$C$6,100)</f>
        <v/>
      </c>
      <c r="C112">
        <f>IF(C111&lt;=0,0,MAX(0,AH112-O112))</f>
        <v/>
      </c>
      <c r="D112">
        <f>IF(D111&lt;=0,0,MAX(0,AI112-P112))</f>
        <v/>
      </c>
      <c r="E112">
        <f>IF(E111&lt;=0,0,MAX(0,AJ112-Q112))</f>
        <v/>
      </c>
      <c r="F112">
        <f>IF(F111&lt;=0,0,MAX(0,AK112-R112))</f>
        <v/>
      </c>
      <c r="G112">
        <f>IF(G111&lt;=0,0,MAX(0,AL112-S112))</f>
        <v/>
      </c>
      <c r="H112">
        <f>IF(H111&lt;=0,0,MAX(0,AM112-T112))</f>
        <v/>
      </c>
      <c r="I112">
        <f>IF(I111&lt;=0,0,MAX(0,AN112-U112))</f>
        <v/>
      </c>
      <c r="J112">
        <f>IF(J111&lt;=0,0,MAX(0,AO112-V112))</f>
        <v/>
      </c>
      <c r="K112">
        <f>IF(K111&lt;=0,0,MAX(0,AP112-W112))</f>
        <v/>
      </c>
      <c r="L112">
        <f>IF(L111&lt;=0,0,MAX(0,AQ112-X112))</f>
        <v/>
      </c>
      <c r="M112">
        <f>IF(M111&lt;=0,0,MAX(0,AR112-Y112))</f>
        <v/>
      </c>
      <c r="N112">
        <f>IF(N111&lt;=0,0,MAX(0,AS112-Z112))</f>
        <v/>
      </c>
      <c r="O112">
        <f>IF(C111&lt;=0,0,MIN(AH112,C$7+IF(C$2=$AA112,$AC112,IF(C$2=$AF112,$AG112,0))))</f>
        <v/>
      </c>
      <c r="P112">
        <f>IF(D111&lt;=0,0,MIN(AI112,D$7+IF(D$2=$AA112,$AC112,IF(D$2=$AF112,$AG112,0))))</f>
        <v/>
      </c>
      <c r="Q112">
        <f>IF(E111&lt;=0,0,MIN(AJ112,E$7+IF(E$2=$AA112,$AC112,IF(E$2=$AF112,$AG112,0))))</f>
        <v/>
      </c>
      <c r="R112">
        <f>IF(F111&lt;=0,0,MIN(AK112,F$7+IF(F$2=$AA112,$AC112,IF(F$2=$AF112,$AG112,0))))</f>
        <v/>
      </c>
      <c r="S112">
        <f>IF(G111&lt;=0,0,MIN(AL112,G$7+IF(G$2=$AA112,$AC112,IF(G$2=$AF112,$AG112,0))))</f>
        <v/>
      </c>
      <c r="T112">
        <f>IF(H111&lt;=0,0,MIN(AM112,H$7+IF(H$2=$AA112,$AC112,IF(H$2=$AF112,$AG112,0))))</f>
        <v/>
      </c>
      <c r="U112">
        <f>IF(I111&lt;=0,0,MIN(AN112,I$7+IF(I$2=$AA112,$AC112,IF(I$2=$AF112,$AG112,0))))</f>
        <v/>
      </c>
      <c r="V112">
        <f>IF(J111&lt;=0,0,MIN(AO112,J$7+IF(J$2=$AA112,$AC112,IF(J$2=$AF112,$AG112,0))))</f>
        <v/>
      </c>
      <c r="W112">
        <f>IF(K111&lt;=0,0,MIN(AP112,K$7+IF(K$2=$AA112,$AC112,IF(K$2=$AF112,$AG112,0))))</f>
        <v/>
      </c>
      <c r="X112">
        <f>IF(L111&lt;=0,0,MIN(AQ112,L$7+IF(L$2=$AA112,$AC112,IF(L$2=$AF112,$AG112,0))))</f>
        <v/>
      </c>
      <c r="Y112">
        <f>IF(M111&lt;=0,0,MIN(AR112,M$7+IF(M$2=$AA112,$AC112,IF(M$2=$AF112,$AG112,0))))</f>
        <v/>
      </c>
      <c r="Z112">
        <f>IF(N111&lt;=0,0,MIN(AS112,N$7+IF(N$2=$AA112,$AC112,IF(N$2=$AF112,$AG112,0))))</f>
        <v/>
      </c>
      <c r="AA112">
        <f>IFERROR(ROUND(1/SUMPRODUCT(MAX((C111:N111&gt;0)*($C$3:$N$3&lt;=B112)/$C$2:$N$2)),0),0)</f>
        <v/>
      </c>
      <c r="AB112">
        <f>SUMPRODUCT((C111:N111&gt;0)*$C$7:$N$7)</f>
        <v/>
      </c>
      <c r="AC112">
        <f>MAX(0,Plan!$C$5-AB112)+IF(A112=Plan!$C$8,N(Plan!$C$7),0)</f>
        <v/>
      </c>
      <c r="AD112">
        <f>SUM(C112:N112)</f>
        <v/>
      </c>
      <c r="AE112">
        <f>SUM(O112:Z112)</f>
        <v/>
      </c>
      <c r="AF112">
        <f>IFERROR(ROUND(1/SUMPRODUCT(MAX((C111:N111&gt;0)*($C$3:$N$3&lt;=B112)*($C$2:$N$2&gt;AA112)/$C$2:$N$2)),0),0)</f>
        <v/>
      </c>
      <c r="AG112">
        <f>MAX(0,AC112-MAX(0,SUMPRODUCT(($C$2:$N$2=AA112)*(AH112:AS112-$C$7:$N$7))))</f>
        <v/>
      </c>
      <c r="AH112">
        <f>IF(C111&lt;=0,0,ROUND(C111*(1+IF(AND(C$6&gt;0,$B112&lt;C$6),C$4,C$5)/12),2))</f>
        <v/>
      </c>
      <c r="AI112">
        <f>IF(D111&lt;=0,0,ROUND(D111*(1+IF(AND(D$6&gt;0,$B112&lt;D$6),D$4,D$5)/12),2))</f>
        <v/>
      </c>
      <c r="AJ112">
        <f>IF(E111&lt;=0,0,ROUND(E111*(1+IF(AND(E$6&gt;0,$B112&lt;E$6),E$4,E$5)/12),2))</f>
        <v/>
      </c>
      <c r="AK112">
        <f>IF(F111&lt;=0,0,ROUND(F111*(1+IF(AND(F$6&gt;0,$B112&lt;F$6),F$4,F$5)/12),2))</f>
        <v/>
      </c>
      <c r="AL112">
        <f>IF(G111&lt;=0,0,ROUND(G111*(1+IF(AND(G$6&gt;0,$B112&lt;G$6),G$4,G$5)/12),2))</f>
        <v/>
      </c>
      <c r="AM112">
        <f>IF(H111&lt;=0,0,ROUND(H111*(1+IF(AND(H$6&gt;0,$B112&lt;H$6),H$4,H$5)/12),2))</f>
        <v/>
      </c>
      <c r="AN112">
        <f>IF(I111&lt;=0,0,ROUND(I111*(1+IF(AND(I$6&gt;0,$B112&lt;I$6),I$4,I$5)/12),2))</f>
        <v/>
      </c>
      <c r="AO112">
        <f>IF(J111&lt;=0,0,ROUND(J111*(1+IF(AND(J$6&gt;0,$B112&lt;J$6),J$4,J$5)/12),2))</f>
        <v/>
      </c>
      <c r="AP112">
        <f>IF(K111&lt;=0,0,ROUND(K111*(1+IF(AND(K$6&gt;0,$B112&lt;K$6),K$4,K$5)/12),2))</f>
        <v/>
      </c>
      <c r="AQ112">
        <f>IF(L111&lt;=0,0,ROUND(L111*(1+IF(AND(L$6&gt;0,$B112&lt;L$6),L$4,L$5)/12),2))</f>
        <v/>
      </c>
      <c r="AR112">
        <f>IF(M111&lt;=0,0,ROUND(M111*(1+IF(AND(M$6&gt;0,$B112&lt;M$6),M$4,M$5)/12),2))</f>
        <v/>
      </c>
      <c r="AS112">
        <f>IF(N111&lt;=0,0,ROUND(N111*(1+IF(AND(N$6&gt;0,$B112&lt;N$6),N$4,N$5)/12),2))</f>
        <v/>
      </c>
    </row>
    <row r="113">
      <c r="A113" t="n">
        <v>102</v>
      </c>
      <c r="B113">
        <f>EDATE(Plan!$C$6,101)</f>
        <v/>
      </c>
      <c r="C113">
        <f>IF(C112&lt;=0,0,MAX(0,AH113-O113))</f>
        <v/>
      </c>
      <c r="D113">
        <f>IF(D112&lt;=0,0,MAX(0,AI113-P113))</f>
        <v/>
      </c>
      <c r="E113">
        <f>IF(E112&lt;=0,0,MAX(0,AJ113-Q113))</f>
        <v/>
      </c>
      <c r="F113">
        <f>IF(F112&lt;=0,0,MAX(0,AK113-R113))</f>
        <v/>
      </c>
      <c r="G113">
        <f>IF(G112&lt;=0,0,MAX(0,AL113-S113))</f>
        <v/>
      </c>
      <c r="H113">
        <f>IF(H112&lt;=0,0,MAX(0,AM113-T113))</f>
        <v/>
      </c>
      <c r="I113">
        <f>IF(I112&lt;=0,0,MAX(0,AN113-U113))</f>
        <v/>
      </c>
      <c r="J113">
        <f>IF(J112&lt;=0,0,MAX(0,AO113-V113))</f>
        <v/>
      </c>
      <c r="K113">
        <f>IF(K112&lt;=0,0,MAX(0,AP113-W113))</f>
        <v/>
      </c>
      <c r="L113">
        <f>IF(L112&lt;=0,0,MAX(0,AQ113-X113))</f>
        <v/>
      </c>
      <c r="M113">
        <f>IF(M112&lt;=0,0,MAX(0,AR113-Y113))</f>
        <v/>
      </c>
      <c r="N113">
        <f>IF(N112&lt;=0,0,MAX(0,AS113-Z113))</f>
        <v/>
      </c>
      <c r="O113">
        <f>IF(C112&lt;=0,0,MIN(AH113,C$7+IF(C$2=$AA113,$AC113,IF(C$2=$AF113,$AG113,0))))</f>
        <v/>
      </c>
      <c r="P113">
        <f>IF(D112&lt;=0,0,MIN(AI113,D$7+IF(D$2=$AA113,$AC113,IF(D$2=$AF113,$AG113,0))))</f>
        <v/>
      </c>
      <c r="Q113">
        <f>IF(E112&lt;=0,0,MIN(AJ113,E$7+IF(E$2=$AA113,$AC113,IF(E$2=$AF113,$AG113,0))))</f>
        <v/>
      </c>
      <c r="R113">
        <f>IF(F112&lt;=0,0,MIN(AK113,F$7+IF(F$2=$AA113,$AC113,IF(F$2=$AF113,$AG113,0))))</f>
        <v/>
      </c>
      <c r="S113">
        <f>IF(G112&lt;=0,0,MIN(AL113,G$7+IF(G$2=$AA113,$AC113,IF(G$2=$AF113,$AG113,0))))</f>
        <v/>
      </c>
      <c r="T113">
        <f>IF(H112&lt;=0,0,MIN(AM113,H$7+IF(H$2=$AA113,$AC113,IF(H$2=$AF113,$AG113,0))))</f>
        <v/>
      </c>
      <c r="U113">
        <f>IF(I112&lt;=0,0,MIN(AN113,I$7+IF(I$2=$AA113,$AC113,IF(I$2=$AF113,$AG113,0))))</f>
        <v/>
      </c>
      <c r="V113">
        <f>IF(J112&lt;=0,0,MIN(AO113,J$7+IF(J$2=$AA113,$AC113,IF(J$2=$AF113,$AG113,0))))</f>
        <v/>
      </c>
      <c r="W113">
        <f>IF(K112&lt;=0,0,MIN(AP113,K$7+IF(K$2=$AA113,$AC113,IF(K$2=$AF113,$AG113,0))))</f>
        <v/>
      </c>
      <c r="X113">
        <f>IF(L112&lt;=0,0,MIN(AQ113,L$7+IF(L$2=$AA113,$AC113,IF(L$2=$AF113,$AG113,0))))</f>
        <v/>
      </c>
      <c r="Y113">
        <f>IF(M112&lt;=0,0,MIN(AR113,M$7+IF(M$2=$AA113,$AC113,IF(M$2=$AF113,$AG113,0))))</f>
        <v/>
      </c>
      <c r="Z113">
        <f>IF(N112&lt;=0,0,MIN(AS113,N$7+IF(N$2=$AA113,$AC113,IF(N$2=$AF113,$AG113,0))))</f>
        <v/>
      </c>
      <c r="AA113">
        <f>IFERROR(ROUND(1/SUMPRODUCT(MAX((C112:N112&gt;0)*($C$3:$N$3&lt;=B113)/$C$2:$N$2)),0),0)</f>
        <v/>
      </c>
      <c r="AB113">
        <f>SUMPRODUCT((C112:N112&gt;0)*$C$7:$N$7)</f>
        <v/>
      </c>
      <c r="AC113">
        <f>MAX(0,Plan!$C$5-AB113)+IF(A113=Plan!$C$8,N(Plan!$C$7),0)</f>
        <v/>
      </c>
      <c r="AD113">
        <f>SUM(C113:N113)</f>
        <v/>
      </c>
      <c r="AE113">
        <f>SUM(O113:Z113)</f>
        <v/>
      </c>
      <c r="AF113">
        <f>IFERROR(ROUND(1/SUMPRODUCT(MAX((C112:N112&gt;0)*($C$3:$N$3&lt;=B113)*($C$2:$N$2&gt;AA113)/$C$2:$N$2)),0),0)</f>
        <v/>
      </c>
      <c r="AG113">
        <f>MAX(0,AC113-MAX(0,SUMPRODUCT(($C$2:$N$2=AA113)*(AH113:AS113-$C$7:$N$7))))</f>
        <v/>
      </c>
      <c r="AH113">
        <f>IF(C112&lt;=0,0,ROUND(C112*(1+IF(AND(C$6&gt;0,$B113&lt;C$6),C$4,C$5)/12),2))</f>
        <v/>
      </c>
      <c r="AI113">
        <f>IF(D112&lt;=0,0,ROUND(D112*(1+IF(AND(D$6&gt;0,$B113&lt;D$6),D$4,D$5)/12),2))</f>
        <v/>
      </c>
      <c r="AJ113">
        <f>IF(E112&lt;=0,0,ROUND(E112*(1+IF(AND(E$6&gt;0,$B113&lt;E$6),E$4,E$5)/12),2))</f>
        <v/>
      </c>
      <c r="AK113">
        <f>IF(F112&lt;=0,0,ROUND(F112*(1+IF(AND(F$6&gt;0,$B113&lt;F$6),F$4,F$5)/12),2))</f>
        <v/>
      </c>
      <c r="AL113">
        <f>IF(G112&lt;=0,0,ROUND(G112*(1+IF(AND(G$6&gt;0,$B113&lt;G$6),G$4,G$5)/12),2))</f>
        <v/>
      </c>
      <c r="AM113">
        <f>IF(H112&lt;=0,0,ROUND(H112*(1+IF(AND(H$6&gt;0,$B113&lt;H$6),H$4,H$5)/12),2))</f>
        <v/>
      </c>
      <c r="AN113">
        <f>IF(I112&lt;=0,0,ROUND(I112*(1+IF(AND(I$6&gt;0,$B113&lt;I$6),I$4,I$5)/12),2))</f>
        <v/>
      </c>
      <c r="AO113">
        <f>IF(J112&lt;=0,0,ROUND(J112*(1+IF(AND(J$6&gt;0,$B113&lt;J$6),J$4,J$5)/12),2))</f>
        <v/>
      </c>
      <c r="AP113">
        <f>IF(K112&lt;=0,0,ROUND(K112*(1+IF(AND(K$6&gt;0,$B113&lt;K$6),K$4,K$5)/12),2))</f>
        <v/>
      </c>
      <c r="AQ113">
        <f>IF(L112&lt;=0,0,ROUND(L112*(1+IF(AND(L$6&gt;0,$B113&lt;L$6),L$4,L$5)/12),2))</f>
        <v/>
      </c>
      <c r="AR113">
        <f>IF(M112&lt;=0,0,ROUND(M112*(1+IF(AND(M$6&gt;0,$B113&lt;M$6),M$4,M$5)/12),2))</f>
        <v/>
      </c>
      <c r="AS113">
        <f>IF(N112&lt;=0,0,ROUND(N112*(1+IF(AND(N$6&gt;0,$B113&lt;N$6),N$4,N$5)/12),2))</f>
        <v/>
      </c>
    </row>
    <row r="114">
      <c r="A114" t="n">
        <v>103</v>
      </c>
      <c r="B114">
        <f>EDATE(Plan!$C$6,102)</f>
        <v/>
      </c>
      <c r="C114">
        <f>IF(C113&lt;=0,0,MAX(0,AH114-O114))</f>
        <v/>
      </c>
      <c r="D114">
        <f>IF(D113&lt;=0,0,MAX(0,AI114-P114))</f>
        <v/>
      </c>
      <c r="E114">
        <f>IF(E113&lt;=0,0,MAX(0,AJ114-Q114))</f>
        <v/>
      </c>
      <c r="F114">
        <f>IF(F113&lt;=0,0,MAX(0,AK114-R114))</f>
        <v/>
      </c>
      <c r="G114">
        <f>IF(G113&lt;=0,0,MAX(0,AL114-S114))</f>
        <v/>
      </c>
      <c r="H114">
        <f>IF(H113&lt;=0,0,MAX(0,AM114-T114))</f>
        <v/>
      </c>
      <c r="I114">
        <f>IF(I113&lt;=0,0,MAX(0,AN114-U114))</f>
        <v/>
      </c>
      <c r="J114">
        <f>IF(J113&lt;=0,0,MAX(0,AO114-V114))</f>
        <v/>
      </c>
      <c r="K114">
        <f>IF(K113&lt;=0,0,MAX(0,AP114-W114))</f>
        <v/>
      </c>
      <c r="L114">
        <f>IF(L113&lt;=0,0,MAX(0,AQ114-X114))</f>
        <v/>
      </c>
      <c r="M114">
        <f>IF(M113&lt;=0,0,MAX(0,AR114-Y114))</f>
        <v/>
      </c>
      <c r="N114">
        <f>IF(N113&lt;=0,0,MAX(0,AS114-Z114))</f>
        <v/>
      </c>
      <c r="O114">
        <f>IF(C113&lt;=0,0,MIN(AH114,C$7+IF(C$2=$AA114,$AC114,IF(C$2=$AF114,$AG114,0))))</f>
        <v/>
      </c>
      <c r="P114">
        <f>IF(D113&lt;=0,0,MIN(AI114,D$7+IF(D$2=$AA114,$AC114,IF(D$2=$AF114,$AG114,0))))</f>
        <v/>
      </c>
      <c r="Q114">
        <f>IF(E113&lt;=0,0,MIN(AJ114,E$7+IF(E$2=$AA114,$AC114,IF(E$2=$AF114,$AG114,0))))</f>
        <v/>
      </c>
      <c r="R114">
        <f>IF(F113&lt;=0,0,MIN(AK114,F$7+IF(F$2=$AA114,$AC114,IF(F$2=$AF114,$AG114,0))))</f>
        <v/>
      </c>
      <c r="S114">
        <f>IF(G113&lt;=0,0,MIN(AL114,G$7+IF(G$2=$AA114,$AC114,IF(G$2=$AF114,$AG114,0))))</f>
        <v/>
      </c>
      <c r="T114">
        <f>IF(H113&lt;=0,0,MIN(AM114,H$7+IF(H$2=$AA114,$AC114,IF(H$2=$AF114,$AG114,0))))</f>
        <v/>
      </c>
      <c r="U114">
        <f>IF(I113&lt;=0,0,MIN(AN114,I$7+IF(I$2=$AA114,$AC114,IF(I$2=$AF114,$AG114,0))))</f>
        <v/>
      </c>
      <c r="V114">
        <f>IF(J113&lt;=0,0,MIN(AO114,J$7+IF(J$2=$AA114,$AC114,IF(J$2=$AF114,$AG114,0))))</f>
        <v/>
      </c>
      <c r="W114">
        <f>IF(K113&lt;=0,0,MIN(AP114,K$7+IF(K$2=$AA114,$AC114,IF(K$2=$AF114,$AG114,0))))</f>
        <v/>
      </c>
      <c r="X114">
        <f>IF(L113&lt;=0,0,MIN(AQ114,L$7+IF(L$2=$AA114,$AC114,IF(L$2=$AF114,$AG114,0))))</f>
        <v/>
      </c>
      <c r="Y114">
        <f>IF(M113&lt;=0,0,MIN(AR114,M$7+IF(M$2=$AA114,$AC114,IF(M$2=$AF114,$AG114,0))))</f>
        <v/>
      </c>
      <c r="Z114">
        <f>IF(N113&lt;=0,0,MIN(AS114,N$7+IF(N$2=$AA114,$AC114,IF(N$2=$AF114,$AG114,0))))</f>
        <v/>
      </c>
      <c r="AA114">
        <f>IFERROR(ROUND(1/SUMPRODUCT(MAX((C113:N113&gt;0)*($C$3:$N$3&lt;=B114)/$C$2:$N$2)),0),0)</f>
        <v/>
      </c>
      <c r="AB114">
        <f>SUMPRODUCT((C113:N113&gt;0)*$C$7:$N$7)</f>
        <v/>
      </c>
      <c r="AC114">
        <f>MAX(0,Plan!$C$5-AB114)+IF(A114=Plan!$C$8,N(Plan!$C$7),0)</f>
        <v/>
      </c>
      <c r="AD114">
        <f>SUM(C114:N114)</f>
        <v/>
      </c>
      <c r="AE114">
        <f>SUM(O114:Z114)</f>
        <v/>
      </c>
      <c r="AF114">
        <f>IFERROR(ROUND(1/SUMPRODUCT(MAX((C113:N113&gt;0)*($C$3:$N$3&lt;=B114)*($C$2:$N$2&gt;AA114)/$C$2:$N$2)),0),0)</f>
        <v/>
      </c>
      <c r="AG114">
        <f>MAX(0,AC114-MAX(0,SUMPRODUCT(($C$2:$N$2=AA114)*(AH114:AS114-$C$7:$N$7))))</f>
        <v/>
      </c>
      <c r="AH114">
        <f>IF(C113&lt;=0,0,ROUND(C113*(1+IF(AND(C$6&gt;0,$B114&lt;C$6),C$4,C$5)/12),2))</f>
        <v/>
      </c>
      <c r="AI114">
        <f>IF(D113&lt;=0,0,ROUND(D113*(1+IF(AND(D$6&gt;0,$B114&lt;D$6),D$4,D$5)/12),2))</f>
        <v/>
      </c>
      <c r="AJ114">
        <f>IF(E113&lt;=0,0,ROUND(E113*(1+IF(AND(E$6&gt;0,$B114&lt;E$6),E$4,E$5)/12),2))</f>
        <v/>
      </c>
      <c r="AK114">
        <f>IF(F113&lt;=0,0,ROUND(F113*(1+IF(AND(F$6&gt;0,$B114&lt;F$6),F$4,F$5)/12),2))</f>
        <v/>
      </c>
      <c r="AL114">
        <f>IF(G113&lt;=0,0,ROUND(G113*(1+IF(AND(G$6&gt;0,$B114&lt;G$6),G$4,G$5)/12),2))</f>
        <v/>
      </c>
      <c r="AM114">
        <f>IF(H113&lt;=0,0,ROUND(H113*(1+IF(AND(H$6&gt;0,$B114&lt;H$6),H$4,H$5)/12),2))</f>
        <v/>
      </c>
      <c r="AN114">
        <f>IF(I113&lt;=0,0,ROUND(I113*(1+IF(AND(I$6&gt;0,$B114&lt;I$6),I$4,I$5)/12),2))</f>
        <v/>
      </c>
      <c r="AO114">
        <f>IF(J113&lt;=0,0,ROUND(J113*(1+IF(AND(J$6&gt;0,$B114&lt;J$6),J$4,J$5)/12),2))</f>
        <v/>
      </c>
      <c r="AP114">
        <f>IF(K113&lt;=0,0,ROUND(K113*(1+IF(AND(K$6&gt;0,$B114&lt;K$6),K$4,K$5)/12),2))</f>
        <v/>
      </c>
      <c r="AQ114">
        <f>IF(L113&lt;=0,0,ROUND(L113*(1+IF(AND(L$6&gt;0,$B114&lt;L$6),L$4,L$5)/12),2))</f>
        <v/>
      </c>
      <c r="AR114">
        <f>IF(M113&lt;=0,0,ROUND(M113*(1+IF(AND(M$6&gt;0,$B114&lt;M$6),M$4,M$5)/12),2))</f>
        <v/>
      </c>
      <c r="AS114">
        <f>IF(N113&lt;=0,0,ROUND(N113*(1+IF(AND(N$6&gt;0,$B114&lt;N$6),N$4,N$5)/12),2))</f>
        <v/>
      </c>
    </row>
    <row r="115">
      <c r="A115" t="n">
        <v>104</v>
      </c>
      <c r="B115">
        <f>EDATE(Plan!$C$6,103)</f>
        <v/>
      </c>
      <c r="C115">
        <f>IF(C114&lt;=0,0,MAX(0,AH115-O115))</f>
        <v/>
      </c>
      <c r="D115">
        <f>IF(D114&lt;=0,0,MAX(0,AI115-P115))</f>
        <v/>
      </c>
      <c r="E115">
        <f>IF(E114&lt;=0,0,MAX(0,AJ115-Q115))</f>
        <v/>
      </c>
      <c r="F115">
        <f>IF(F114&lt;=0,0,MAX(0,AK115-R115))</f>
        <v/>
      </c>
      <c r="G115">
        <f>IF(G114&lt;=0,0,MAX(0,AL115-S115))</f>
        <v/>
      </c>
      <c r="H115">
        <f>IF(H114&lt;=0,0,MAX(0,AM115-T115))</f>
        <v/>
      </c>
      <c r="I115">
        <f>IF(I114&lt;=0,0,MAX(0,AN115-U115))</f>
        <v/>
      </c>
      <c r="J115">
        <f>IF(J114&lt;=0,0,MAX(0,AO115-V115))</f>
        <v/>
      </c>
      <c r="K115">
        <f>IF(K114&lt;=0,0,MAX(0,AP115-W115))</f>
        <v/>
      </c>
      <c r="L115">
        <f>IF(L114&lt;=0,0,MAX(0,AQ115-X115))</f>
        <v/>
      </c>
      <c r="M115">
        <f>IF(M114&lt;=0,0,MAX(0,AR115-Y115))</f>
        <v/>
      </c>
      <c r="N115">
        <f>IF(N114&lt;=0,0,MAX(0,AS115-Z115))</f>
        <v/>
      </c>
      <c r="O115">
        <f>IF(C114&lt;=0,0,MIN(AH115,C$7+IF(C$2=$AA115,$AC115,IF(C$2=$AF115,$AG115,0))))</f>
        <v/>
      </c>
      <c r="P115">
        <f>IF(D114&lt;=0,0,MIN(AI115,D$7+IF(D$2=$AA115,$AC115,IF(D$2=$AF115,$AG115,0))))</f>
        <v/>
      </c>
      <c r="Q115">
        <f>IF(E114&lt;=0,0,MIN(AJ115,E$7+IF(E$2=$AA115,$AC115,IF(E$2=$AF115,$AG115,0))))</f>
        <v/>
      </c>
      <c r="R115">
        <f>IF(F114&lt;=0,0,MIN(AK115,F$7+IF(F$2=$AA115,$AC115,IF(F$2=$AF115,$AG115,0))))</f>
        <v/>
      </c>
      <c r="S115">
        <f>IF(G114&lt;=0,0,MIN(AL115,G$7+IF(G$2=$AA115,$AC115,IF(G$2=$AF115,$AG115,0))))</f>
        <v/>
      </c>
      <c r="T115">
        <f>IF(H114&lt;=0,0,MIN(AM115,H$7+IF(H$2=$AA115,$AC115,IF(H$2=$AF115,$AG115,0))))</f>
        <v/>
      </c>
      <c r="U115">
        <f>IF(I114&lt;=0,0,MIN(AN115,I$7+IF(I$2=$AA115,$AC115,IF(I$2=$AF115,$AG115,0))))</f>
        <v/>
      </c>
      <c r="V115">
        <f>IF(J114&lt;=0,0,MIN(AO115,J$7+IF(J$2=$AA115,$AC115,IF(J$2=$AF115,$AG115,0))))</f>
        <v/>
      </c>
      <c r="W115">
        <f>IF(K114&lt;=0,0,MIN(AP115,K$7+IF(K$2=$AA115,$AC115,IF(K$2=$AF115,$AG115,0))))</f>
        <v/>
      </c>
      <c r="X115">
        <f>IF(L114&lt;=0,0,MIN(AQ115,L$7+IF(L$2=$AA115,$AC115,IF(L$2=$AF115,$AG115,0))))</f>
        <v/>
      </c>
      <c r="Y115">
        <f>IF(M114&lt;=0,0,MIN(AR115,M$7+IF(M$2=$AA115,$AC115,IF(M$2=$AF115,$AG115,0))))</f>
        <v/>
      </c>
      <c r="Z115">
        <f>IF(N114&lt;=0,0,MIN(AS115,N$7+IF(N$2=$AA115,$AC115,IF(N$2=$AF115,$AG115,0))))</f>
        <v/>
      </c>
      <c r="AA115">
        <f>IFERROR(ROUND(1/SUMPRODUCT(MAX((C114:N114&gt;0)*($C$3:$N$3&lt;=B115)/$C$2:$N$2)),0),0)</f>
        <v/>
      </c>
      <c r="AB115">
        <f>SUMPRODUCT((C114:N114&gt;0)*$C$7:$N$7)</f>
        <v/>
      </c>
      <c r="AC115">
        <f>MAX(0,Plan!$C$5-AB115)+IF(A115=Plan!$C$8,N(Plan!$C$7),0)</f>
        <v/>
      </c>
      <c r="AD115">
        <f>SUM(C115:N115)</f>
        <v/>
      </c>
      <c r="AE115">
        <f>SUM(O115:Z115)</f>
        <v/>
      </c>
      <c r="AF115">
        <f>IFERROR(ROUND(1/SUMPRODUCT(MAX((C114:N114&gt;0)*($C$3:$N$3&lt;=B115)*($C$2:$N$2&gt;AA115)/$C$2:$N$2)),0),0)</f>
        <v/>
      </c>
      <c r="AG115">
        <f>MAX(0,AC115-MAX(0,SUMPRODUCT(($C$2:$N$2=AA115)*(AH115:AS115-$C$7:$N$7))))</f>
        <v/>
      </c>
      <c r="AH115">
        <f>IF(C114&lt;=0,0,ROUND(C114*(1+IF(AND(C$6&gt;0,$B115&lt;C$6),C$4,C$5)/12),2))</f>
        <v/>
      </c>
      <c r="AI115">
        <f>IF(D114&lt;=0,0,ROUND(D114*(1+IF(AND(D$6&gt;0,$B115&lt;D$6),D$4,D$5)/12),2))</f>
        <v/>
      </c>
      <c r="AJ115">
        <f>IF(E114&lt;=0,0,ROUND(E114*(1+IF(AND(E$6&gt;0,$B115&lt;E$6),E$4,E$5)/12),2))</f>
        <v/>
      </c>
      <c r="AK115">
        <f>IF(F114&lt;=0,0,ROUND(F114*(1+IF(AND(F$6&gt;0,$B115&lt;F$6),F$4,F$5)/12),2))</f>
        <v/>
      </c>
      <c r="AL115">
        <f>IF(G114&lt;=0,0,ROUND(G114*(1+IF(AND(G$6&gt;0,$B115&lt;G$6),G$4,G$5)/12),2))</f>
        <v/>
      </c>
      <c r="AM115">
        <f>IF(H114&lt;=0,0,ROUND(H114*(1+IF(AND(H$6&gt;0,$B115&lt;H$6),H$4,H$5)/12),2))</f>
        <v/>
      </c>
      <c r="AN115">
        <f>IF(I114&lt;=0,0,ROUND(I114*(1+IF(AND(I$6&gt;0,$B115&lt;I$6),I$4,I$5)/12),2))</f>
        <v/>
      </c>
      <c r="AO115">
        <f>IF(J114&lt;=0,0,ROUND(J114*(1+IF(AND(J$6&gt;0,$B115&lt;J$6),J$4,J$5)/12),2))</f>
        <v/>
      </c>
      <c r="AP115">
        <f>IF(K114&lt;=0,0,ROUND(K114*(1+IF(AND(K$6&gt;0,$B115&lt;K$6),K$4,K$5)/12),2))</f>
        <v/>
      </c>
      <c r="AQ115">
        <f>IF(L114&lt;=0,0,ROUND(L114*(1+IF(AND(L$6&gt;0,$B115&lt;L$6),L$4,L$5)/12),2))</f>
        <v/>
      </c>
      <c r="AR115">
        <f>IF(M114&lt;=0,0,ROUND(M114*(1+IF(AND(M$6&gt;0,$B115&lt;M$6),M$4,M$5)/12),2))</f>
        <v/>
      </c>
      <c r="AS115">
        <f>IF(N114&lt;=0,0,ROUND(N114*(1+IF(AND(N$6&gt;0,$B115&lt;N$6),N$4,N$5)/12),2))</f>
        <v/>
      </c>
    </row>
    <row r="116">
      <c r="A116" t="n">
        <v>105</v>
      </c>
      <c r="B116">
        <f>EDATE(Plan!$C$6,104)</f>
        <v/>
      </c>
      <c r="C116">
        <f>IF(C115&lt;=0,0,MAX(0,AH116-O116))</f>
        <v/>
      </c>
      <c r="D116">
        <f>IF(D115&lt;=0,0,MAX(0,AI116-P116))</f>
        <v/>
      </c>
      <c r="E116">
        <f>IF(E115&lt;=0,0,MAX(0,AJ116-Q116))</f>
        <v/>
      </c>
      <c r="F116">
        <f>IF(F115&lt;=0,0,MAX(0,AK116-R116))</f>
        <v/>
      </c>
      <c r="G116">
        <f>IF(G115&lt;=0,0,MAX(0,AL116-S116))</f>
        <v/>
      </c>
      <c r="H116">
        <f>IF(H115&lt;=0,0,MAX(0,AM116-T116))</f>
        <v/>
      </c>
      <c r="I116">
        <f>IF(I115&lt;=0,0,MAX(0,AN116-U116))</f>
        <v/>
      </c>
      <c r="J116">
        <f>IF(J115&lt;=0,0,MAX(0,AO116-V116))</f>
        <v/>
      </c>
      <c r="K116">
        <f>IF(K115&lt;=0,0,MAX(0,AP116-W116))</f>
        <v/>
      </c>
      <c r="L116">
        <f>IF(L115&lt;=0,0,MAX(0,AQ116-X116))</f>
        <v/>
      </c>
      <c r="M116">
        <f>IF(M115&lt;=0,0,MAX(0,AR116-Y116))</f>
        <v/>
      </c>
      <c r="N116">
        <f>IF(N115&lt;=0,0,MAX(0,AS116-Z116))</f>
        <v/>
      </c>
      <c r="O116">
        <f>IF(C115&lt;=0,0,MIN(AH116,C$7+IF(C$2=$AA116,$AC116,IF(C$2=$AF116,$AG116,0))))</f>
        <v/>
      </c>
      <c r="P116">
        <f>IF(D115&lt;=0,0,MIN(AI116,D$7+IF(D$2=$AA116,$AC116,IF(D$2=$AF116,$AG116,0))))</f>
        <v/>
      </c>
      <c r="Q116">
        <f>IF(E115&lt;=0,0,MIN(AJ116,E$7+IF(E$2=$AA116,$AC116,IF(E$2=$AF116,$AG116,0))))</f>
        <v/>
      </c>
      <c r="R116">
        <f>IF(F115&lt;=0,0,MIN(AK116,F$7+IF(F$2=$AA116,$AC116,IF(F$2=$AF116,$AG116,0))))</f>
        <v/>
      </c>
      <c r="S116">
        <f>IF(G115&lt;=0,0,MIN(AL116,G$7+IF(G$2=$AA116,$AC116,IF(G$2=$AF116,$AG116,0))))</f>
        <v/>
      </c>
      <c r="T116">
        <f>IF(H115&lt;=0,0,MIN(AM116,H$7+IF(H$2=$AA116,$AC116,IF(H$2=$AF116,$AG116,0))))</f>
        <v/>
      </c>
      <c r="U116">
        <f>IF(I115&lt;=0,0,MIN(AN116,I$7+IF(I$2=$AA116,$AC116,IF(I$2=$AF116,$AG116,0))))</f>
        <v/>
      </c>
      <c r="V116">
        <f>IF(J115&lt;=0,0,MIN(AO116,J$7+IF(J$2=$AA116,$AC116,IF(J$2=$AF116,$AG116,0))))</f>
        <v/>
      </c>
      <c r="W116">
        <f>IF(K115&lt;=0,0,MIN(AP116,K$7+IF(K$2=$AA116,$AC116,IF(K$2=$AF116,$AG116,0))))</f>
        <v/>
      </c>
      <c r="X116">
        <f>IF(L115&lt;=0,0,MIN(AQ116,L$7+IF(L$2=$AA116,$AC116,IF(L$2=$AF116,$AG116,0))))</f>
        <v/>
      </c>
      <c r="Y116">
        <f>IF(M115&lt;=0,0,MIN(AR116,M$7+IF(M$2=$AA116,$AC116,IF(M$2=$AF116,$AG116,0))))</f>
        <v/>
      </c>
      <c r="Z116">
        <f>IF(N115&lt;=0,0,MIN(AS116,N$7+IF(N$2=$AA116,$AC116,IF(N$2=$AF116,$AG116,0))))</f>
        <v/>
      </c>
      <c r="AA116">
        <f>IFERROR(ROUND(1/SUMPRODUCT(MAX((C115:N115&gt;0)*($C$3:$N$3&lt;=B116)/$C$2:$N$2)),0),0)</f>
        <v/>
      </c>
      <c r="AB116">
        <f>SUMPRODUCT((C115:N115&gt;0)*$C$7:$N$7)</f>
        <v/>
      </c>
      <c r="AC116">
        <f>MAX(0,Plan!$C$5-AB116)+IF(A116=Plan!$C$8,N(Plan!$C$7),0)</f>
        <v/>
      </c>
      <c r="AD116">
        <f>SUM(C116:N116)</f>
        <v/>
      </c>
      <c r="AE116">
        <f>SUM(O116:Z116)</f>
        <v/>
      </c>
      <c r="AF116">
        <f>IFERROR(ROUND(1/SUMPRODUCT(MAX((C115:N115&gt;0)*($C$3:$N$3&lt;=B116)*($C$2:$N$2&gt;AA116)/$C$2:$N$2)),0),0)</f>
        <v/>
      </c>
      <c r="AG116">
        <f>MAX(0,AC116-MAX(0,SUMPRODUCT(($C$2:$N$2=AA116)*(AH116:AS116-$C$7:$N$7))))</f>
        <v/>
      </c>
      <c r="AH116">
        <f>IF(C115&lt;=0,0,ROUND(C115*(1+IF(AND(C$6&gt;0,$B116&lt;C$6),C$4,C$5)/12),2))</f>
        <v/>
      </c>
      <c r="AI116">
        <f>IF(D115&lt;=0,0,ROUND(D115*(1+IF(AND(D$6&gt;0,$B116&lt;D$6),D$4,D$5)/12),2))</f>
        <v/>
      </c>
      <c r="AJ116">
        <f>IF(E115&lt;=0,0,ROUND(E115*(1+IF(AND(E$6&gt;0,$B116&lt;E$6),E$4,E$5)/12),2))</f>
        <v/>
      </c>
      <c r="AK116">
        <f>IF(F115&lt;=0,0,ROUND(F115*(1+IF(AND(F$6&gt;0,$B116&lt;F$6),F$4,F$5)/12),2))</f>
        <v/>
      </c>
      <c r="AL116">
        <f>IF(G115&lt;=0,0,ROUND(G115*(1+IF(AND(G$6&gt;0,$B116&lt;G$6),G$4,G$5)/12),2))</f>
        <v/>
      </c>
      <c r="AM116">
        <f>IF(H115&lt;=0,0,ROUND(H115*(1+IF(AND(H$6&gt;0,$B116&lt;H$6),H$4,H$5)/12),2))</f>
        <v/>
      </c>
      <c r="AN116">
        <f>IF(I115&lt;=0,0,ROUND(I115*(1+IF(AND(I$6&gt;0,$B116&lt;I$6),I$4,I$5)/12),2))</f>
        <v/>
      </c>
      <c r="AO116">
        <f>IF(J115&lt;=0,0,ROUND(J115*(1+IF(AND(J$6&gt;0,$B116&lt;J$6),J$4,J$5)/12),2))</f>
        <v/>
      </c>
      <c r="AP116">
        <f>IF(K115&lt;=0,0,ROUND(K115*(1+IF(AND(K$6&gt;0,$B116&lt;K$6),K$4,K$5)/12),2))</f>
        <v/>
      </c>
      <c r="AQ116">
        <f>IF(L115&lt;=0,0,ROUND(L115*(1+IF(AND(L$6&gt;0,$B116&lt;L$6),L$4,L$5)/12),2))</f>
        <v/>
      </c>
      <c r="AR116">
        <f>IF(M115&lt;=0,0,ROUND(M115*(1+IF(AND(M$6&gt;0,$B116&lt;M$6),M$4,M$5)/12),2))</f>
        <v/>
      </c>
      <c r="AS116">
        <f>IF(N115&lt;=0,0,ROUND(N115*(1+IF(AND(N$6&gt;0,$B116&lt;N$6),N$4,N$5)/12),2))</f>
        <v/>
      </c>
    </row>
    <row r="117">
      <c r="A117" t="n">
        <v>106</v>
      </c>
      <c r="B117">
        <f>EDATE(Plan!$C$6,105)</f>
        <v/>
      </c>
      <c r="C117">
        <f>IF(C116&lt;=0,0,MAX(0,AH117-O117))</f>
        <v/>
      </c>
      <c r="D117">
        <f>IF(D116&lt;=0,0,MAX(0,AI117-P117))</f>
        <v/>
      </c>
      <c r="E117">
        <f>IF(E116&lt;=0,0,MAX(0,AJ117-Q117))</f>
        <v/>
      </c>
      <c r="F117">
        <f>IF(F116&lt;=0,0,MAX(0,AK117-R117))</f>
        <v/>
      </c>
      <c r="G117">
        <f>IF(G116&lt;=0,0,MAX(0,AL117-S117))</f>
        <v/>
      </c>
      <c r="H117">
        <f>IF(H116&lt;=0,0,MAX(0,AM117-T117))</f>
        <v/>
      </c>
      <c r="I117">
        <f>IF(I116&lt;=0,0,MAX(0,AN117-U117))</f>
        <v/>
      </c>
      <c r="J117">
        <f>IF(J116&lt;=0,0,MAX(0,AO117-V117))</f>
        <v/>
      </c>
      <c r="K117">
        <f>IF(K116&lt;=0,0,MAX(0,AP117-W117))</f>
        <v/>
      </c>
      <c r="L117">
        <f>IF(L116&lt;=0,0,MAX(0,AQ117-X117))</f>
        <v/>
      </c>
      <c r="M117">
        <f>IF(M116&lt;=0,0,MAX(0,AR117-Y117))</f>
        <v/>
      </c>
      <c r="N117">
        <f>IF(N116&lt;=0,0,MAX(0,AS117-Z117))</f>
        <v/>
      </c>
      <c r="O117">
        <f>IF(C116&lt;=0,0,MIN(AH117,C$7+IF(C$2=$AA117,$AC117,IF(C$2=$AF117,$AG117,0))))</f>
        <v/>
      </c>
      <c r="P117">
        <f>IF(D116&lt;=0,0,MIN(AI117,D$7+IF(D$2=$AA117,$AC117,IF(D$2=$AF117,$AG117,0))))</f>
        <v/>
      </c>
      <c r="Q117">
        <f>IF(E116&lt;=0,0,MIN(AJ117,E$7+IF(E$2=$AA117,$AC117,IF(E$2=$AF117,$AG117,0))))</f>
        <v/>
      </c>
      <c r="R117">
        <f>IF(F116&lt;=0,0,MIN(AK117,F$7+IF(F$2=$AA117,$AC117,IF(F$2=$AF117,$AG117,0))))</f>
        <v/>
      </c>
      <c r="S117">
        <f>IF(G116&lt;=0,0,MIN(AL117,G$7+IF(G$2=$AA117,$AC117,IF(G$2=$AF117,$AG117,0))))</f>
        <v/>
      </c>
      <c r="T117">
        <f>IF(H116&lt;=0,0,MIN(AM117,H$7+IF(H$2=$AA117,$AC117,IF(H$2=$AF117,$AG117,0))))</f>
        <v/>
      </c>
      <c r="U117">
        <f>IF(I116&lt;=0,0,MIN(AN117,I$7+IF(I$2=$AA117,$AC117,IF(I$2=$AF117,$AG117,0))))</f>
        <v/>
      </c>
      <c r="V117">
        <f>IF(J116&lt;=0,0,MIN(AO117,J$7+IF(J$2=$AA117,$AC117,IF(J$2=$AF117,$AG117,0))))</f>
        <v/>
      </c>
      <c r="W117">
        <f>IF(K116&lt;=0,0,MIN(AP117,K$7+IF(K$2=$AA117,$AC117,IF(K$2=$AF117,$AG117,0))))</f>
        <v/>
      </c>
      <c r="X117">
        <f>IF(L116&lt;=0,0,MIN(AQ117,L$7+IF(L$2=$AA117,$AC117,IF(L$2=$AF117,$AG117,0))))</f>
        <v/>
      </c>
      <c r="Y117">
        <f>IF(M116&lt;=0,0,MIN(AR117,M$7+IF(M$2=$AA117,$AC117,IF(M$2=$AF117,$AG117,0))))</f>
        <v/>
      </c>
      <c r="Z117">
        <f>IF(N116&lt;=0,0,MIN(AS117,N$7+IF(N$2=$AA117,$AC117,IF(N$2=$AF117,$AG117,0))))</f>
        <v/>
      </c>
      <c r="AA117">
        <f>IFERROR(ROUND(1/SUMPRODUCT(MAX((C116:N116&gt;0)*($C$3:$N$3&lt;=B117)/$C$2:$N$2)),0),0)</f>
        <v/>
      </c>
      <c r="AB117">
        <f>SUMPRODUCT((C116:N116&gt;0)*$C$7:$N$7)</f>
        <v/>
      </c>
      <c r="AC117">
        <f>MAX(0,Plan!$C$5-AB117)+IF(A117=Plan!$C$8,N(Plan!$C$7),0)</f>
        <v/>
      </c>
      <c r="AD117">
        <f>SUM(C117:N117)</f>
        <v/>
      </c>
      <c r="AE117">
        <f>SUM(O117:Z117)</f>
        <v/>
      </c>
      <c r="AF117">
        <f>IFERROR(ROUND(1/SUMPRODUCT(MAX((C116:N116&gt;0)*($C$3:$N$3&lt;=B117)*($C$2:$N$2&gt;AA117)/$C$2:$N$2)),0),0)</f>
        <v/>
      </c>
      <c r="AG117">
        <f>MAX(0,AC117-MAX(0,SUMPRODUCT(($C$2:$N$2=AA117)*(AH117:AS117-$C$7:$N$7))))</f>
        <v/>
      </c>
      <c r="AH117">
        <f>IF(C116&lt;=0,0,ROUND(C116*(1+IF(AND(C$6&gt;0,$B117&lt;C$6),C$4,C$5)/12),2))</f>
        <v/>
      </c>
      <c r="AI117">
        <f>IF(D116&lt;=0,0,ROUND(D116*(1+IF(AND(D$6&gt;0,$B117&lt;D$6),D$4,D$5)/12),2))</f>
        <v/>
      </c>
      <c r="AJ117">
        <f>IF(E116&lt;=0,0,ROUND(E116*(1+IF(AND(E$6&gt;0,$B117&lt;E$6),E$4,E$5)/12),2))</f>
        <v/>
      </c>
      <c r="AK117">
        <f>IF(F116&lt;=0,0,ROUND(F116*(1+IF(AND(F$6&gt;0,$B117&lt;F$6),F$4,F$5)/12),2))</f>
        <v/>
      </c>
      <c r="AL117">
        <f>IF(G116&lt;=0,0,ROUND(G116*(1+IF(AND(G$6&gt;0,$B117&lt;G$6),G$4,G$5)/12),2))</f>
        <v/>
      </c>
      <c r="AM117">
        <f>IF(H116&lt;=0,0,ROUND(H116*(1+IF(AND(H$6&gt;0,$B117&lt;H$6),H$4,H$5)/12),2))</f>
        <v/>
      </c>
      <c r="AN117">
        <f>IF(I116&lt;=0,0,ROUND(I116*(1+IF(AND(I$6&gt;0,$B117&lt;I$6),I$4,I$5)/12),2))</f>
        <v/>
      </c>
      <c r="AO117">
        <f>IF(J116&lt;=0,0,ROUND(J116*(1+IF(AND(J$6&gt;0,$B117&lt;J$6),J$4,J$5)/12),2))</f>
        <v/>
      </c>
      <c r="AP117">
        <f>IF(K116&lt;=0,0,ROUND(K116*(1+IF(AND(K$6&gt;0,$B117&lt;K$6),K$4,K$5)/12),2))</f>
        <v/>
      </c>
      <c r="AQ117">
        <f>IF(L116&lt;=0,0,ROUND(L116*(1+IF(AND(L$6&gt;0,$B117&lt;L$6),L$4,L$5)/12),2))</f>
        <v/>
      </c>
      <c r="AR117">
        <f>IF(M116&lt;=0,0,ROUND(M116*(1+IF(AND(M$6&gt;0,$B117&lt;M$6),M$4,M$5)/12),2))</f>
        <v/>
      </c>
      <c r="AS117">
        <f>IF(N116&lt;=0,0,ROUND(N116*(1+IF(AND(N$6&gt;0,$B117&lt;N$6),N$4,N$5)/12),2))</f>
        <v/>
      </c>
    </row>
    <row r="118">
      <c r="A118" t="n">
        <v>107</v>
      </c>
      <c r="B118">
        <f>EDATE(Plan!$C$6,106)</f>
        <v/>
      </c>
      <c r="C118">
        <f>IF(C117&lt;=0,0,MAX(0,AH118-O118))</f>
        <v/>
      </c>
      <c r="D118">
        <f>IF(D117&lt;=0,0,MAX(0,AI118-P118))</f>
        <v/>
      </c>
      <c r="E118">
        <f>IF(E117&lt;=0,0,MAX(0,AJ118-Q118))</f>
        <v/>
      </c>
      <c r="F118">
        <f>IF(F117&lt;=0,0,MAX(0,AK118-R118))</f>
        <v/>
      </c>
      <c r="G118">
        <f>IF(G117&lt;=0,0,MAX(0,AL118-S118))</f>
        <v/>
      </c>
      <c r="H118">
        <f>IF(H117&lt;=0,0,MAX(0,AM118-T118))</f>
        <v/>
      </c>
      <c r="I118">
        <f>IF(I117&lt;=0,0,MAX(0,AN118-U118))</f>
        <v/>
      </c>
      <c r="J118">
        <f>IF(J117&lt;=0,0,MAX(0,AO118-V118))</f>
        <v/>
      </c>
      <c r="K118">
        <f>IF(K117&lt;=0,0,MAX(0,AP118-W118))</f>
        <v/>
      </c>
      <c r="L118">
        <f>IF(L117&lt;=0,0,MAX(0,AQ118-X118))</f>
        <v/>
      </c>
      <c r="M118">
        <f>IF(M117&lt;=0,0,MAX(0,AR118-Y118))</f>
        <v/>
      </c>
      <c r="N118">
        <f>IF(N117&lt;=0,0,MAX(0,AS118-Z118))</f>
        <v/>
      </c>
      <c r="O118">
        <f>IF(C117&lt;=0,0,MIN(AH118,C$7+IF(C$2=$AA118,$AC118,IF(C$2=$AF118,$AG118,0))))</f>
        <v/>
      </c>
      <c r="P118">
        <f>IF(D117&lt;=0,0,MIN(AI118,D$7+IF(D$2=$AA118,$AC118,IF(D$2=$AF118,$AG118,0))))</f>
        <v/>
      </c>
      <c r="Q118">
        <f>IF(E117&lt;=0,0,MIN(AJ118,E$7+IF(E$2=$AA118,$AC118,IF(E$2=$AF118,$AG118,0))))</f>
        <v/>
      </c>
      <c r="R118">
        <f>IF(F117&lt;=0,0,MIN(AK118,F$7+IF(F$2=$AA118,$AC118,IF(F$2=$AF118,$AG118,0))))</f>
        <v/>
      </c>
      <c r="S118">
        <f>IF(G117&lt;=0,0,MIN(AL118,G$7+IF(G$2=$AA118,$AC118,IF(G$2=$AF118,$AG118,0))))</f>
        <v/>
      </c>
      <c r="T118">
        <f>IF(H117&lt;=0,0,MIN(AM118,H$7+IF(H$2=$AA118,$AC118,IF(H$2=$AF118,$AG118,0))))</f>
        <v/>
      </c>
      <c r="U118">
        <f>IF(I117&lt;=0,0,MIN(AN118,I$7+IF(I$2=$AA118,$AC118,IF(I$2=$AF118,$AG118,0))))</f>
        <v/>
      </c>
      <c r="V118">
        <f>IF(J117&lt;=0,0,MIN(AO118,J$7+IF(J$2=$AA118,$AC118,IF(J$2=$AF118,$AG118,0))))</f>
        <v/>
      </c>
      <c r="W118">
        <f>IF(K117&lt;=0,0,MIN(AP118,K$7+IF(K$2=$AA118,$AC118,IF(K$2=$AF118,$AG118,0))))</f>
        <v/>
      </c>
      <c r="X118">
        <f>IF(L117&lt;=0,0,MIN(AQ118,L$7+IF(L$2=$AA118,$AC118,IF(L$2=$AF118,$AG118,0))))</f>
        <v/>
      </c>
      <c r="Y118">
        <f>IF(M117&lt;=0,0,MIN(AR118,M$7+IF(M$2=$AA118,$AC118,IF(M$2=$AF118,$AG118,0))))</f>
        <v/>
      </c>
      <c r="Z118">
        <f>IF(N117&lt;=0,0,MIN(AS118,N$7+IF(N$2=$AA118,$AC118,IF(N$2=$AF118,$AG118,0))))</f>
        <v/>
      </c>
      <c r="AA118">
        <f>IFERROR(ROUND(1/SUMPRODUCT(MAX((C117:N117&gt;0)*($C$3:$N$3&lt;=B118)/$C$2:$N$2)),0),0)</f>
        <v/>
      </c>
      <c r="AB118">
        <f>SUMPRODUCT((C117:N117&gt;0)*$C$7:$N$7)</f>
        <v/>
      </c>
      <c r="AC118">
        <f>MAX(0,Plan!$C$5-AB118)+IF(A118=Plan!$C$8,N(Plan!$C$7),0)</f>
        <v/>
      </c>
      <c r="AD118">
        <f>SUM(C118:N118)</f>
        <v/>
      </c>
      <c r="AE118">
        <f>SUM(O118:Z118)</f>
        <v/>
      </c>
      <c r="AF118">
        <f>IFERROR(ROUND(1/SUMPRODUCT(MAX((C117:N117&gt;0)*($C$3:$N$3&lt;=B118)*($C$2:$N$2&gt;AA118)/$C$2:$N$2)),0),0)</f>
        <v/>
      </c>
      <c r="AG118">
        <f>MAX(0,AC118-MAX(0,SUMPRODUCT(($C$2:$N$2=AA118)*(AH118:AS118-$C$7:$N$7))))</f>
        <v/>
      </c>
      <c r="AH118">
        <f>IF(C117&lt;=0,0,ROUND(C117*(1+IF(AND(C$6&gt;0,$B118&lt;C$6),C$4,C$5)/12),2))</f>
        <v/>
      </c>
      <c r="AI118">
        <f>IF(D117&lt;=0,0,ROUND(D117*(1+IF(AND(D$6&gt;0,$B118&lt;D$6),D$4,D$5)/12),2))</f>
        <v/>
      </c>
      <c r="AJ118">
        <f>IF(E117&lt;=0,0,ROUND(E117*(1+IF(AND(E$6&gt;0,$B118&lt;E$6),E$4,E$5)/12),2))</f>
        <v/>
      </c>
      <c r="AK118">
        <f>IF(F117&lt;=0,0,ROUND(F117*(1+IF(AND(F$6&gt;0,$B118&lt;F$6),F$4,F$5)/12),2))</f>
        <v/>
      </c>
      <c r="AL118">
        <f>IF(G117&lt;=0,0,ROUND(G117*(1+IF(AND(G$6&gt;0,$B118&lt;G$6),G$4,G$5)/12),2))</f>
        <v/>
      </c>
      <c r="AM118">
        <f>IF(H117&lt;=0,0,ROUND(H117*(1+IF(AND(H$6&gt;0,$B118&lt;H$6),H$4,H$5)/12),2))</f>
        <v/>
      </c>
      <c r="AN118">
        <f>IF(I117&lt;=0,0,ROUND(I117*(1+IF(AND(I$6&gt;0,$B118&lt;I$6),I$4,I$5)/12),2))</f>
        <v/>
      </c>
      <c r="AO118">
        <f>IF(J117&lt;=0,0,ROUND(J117*(1+IF(AND(J$6&gt;0,$B118&lt;J$6),J$4,J$5)/12),2))</f>
        <v/>
      </c>
      <c r="AP118">
        <f>IF(K117&lt;=0,0,ROUND(K117*(1+IF(AND(K$6&gt;0,$B118&lt;K$6),K$4,K$5)/12),2))</f>
        <v/>
      </c>
      <c r="AQ118">
        <f>IF(L117&lt;=0,0,ROUND(L117*(1+IF(AND(L$6&gt;0,$B118&lt;L$6),L$4,L$5)/12),2))</f>
        <v/>
      </c>
      <c r="AR118">
        <f>IF(M117&lt;=0,0,ROUND(M117*(1+IF(AND(M$6&gt;0,$B118&lt;M$6),M$4,M$5)/12),2))</f>
        <v/>
      </c>
      <c r="AS118">
        <f>IF(N117&lt;=0,0,ROUND(N117*(1+IF(AND(N$6&gt;0,$B118&lt;N$6),N$4,N$5)/12),2))</f>
        <v/>
      </c>
    </row>
    <row r="119">
      <c r="A119" t="n">
        <v>108</v>
      </c>
      <c r="B119">
        <f>EDATE(Plan!$C$6,107)</f>
        <v/>
      </c>
      <c r="C119">
        <f>IF(C118&lt;=0,0,MAX(0,AH119-O119))</f>
        <v/>
      </c>
      <c r="D119">
        <f>IF(D118&lt;=0,0,MAX(0,AI119-P119))</f>
        <v/>
      </c>
      <c r="E119">
        <f>IF(E118&lt;=0,0,MAX(0,AJ119-Q119))</f>
        <v/>
      </c>
      <c r="F119">
        <f>IF(F118&lt;=0,0,MAX(0,AK119-R119))</f>
        <v/>
      </c>
      <c r="G119">
        <f>IF(G118&lt;=0,0,MAX(0,AL119-S119))</f>
        <v/>
      </c>
      <c r="H119">
        <f>IF(H118&lt;=0,0,MAX(0,AM119-T119))</f>
        <v/>
      </c>
      <c r="I119">
        <f>IF(I118&lt;=0,0,MAX(0,AN119-U119))</f>
        <v/>
      </c>
      <c r="J119">
        <f>IF(J118&lt;=0,0,MAX(0,AO119-V119))</f>
        <v/>
      </c>
      <c r="K119">
        <f>IF(K118&lt;=0,0,MAX(0,AP119-W119))</f>
        <v/>
      </c>
      <c r="L119">
        <f>IF(L118&lt;=0,0,MAX(0,AQ119-X119))</f>
        <v/>
      </c>
      <c r="M119">
        <f>IF(M118&lt;=0,0,MAX(0,AR119-Y119))</f>
        <v/>
      </c>
      <c r="N119">
        <f>IF(N118&lt;=0,0,MAX(0,AS119-Z119))</f>
        <v/>
      </c>
      <c r="O119">
        <f>IF(C118&lt;=0,0,MIN(AH119,C$7+IF(C$2=$AA119,$AC119,IF(C$2=$AF119,$AG119,0))))</f>
        <v/>
      </c>
      <c r="P119">
        <f>IF(D118&lt;=0,0,MIN(AI119,D$7+IF(D$2=$AA119,$AC119,IF(D$2=$AF119,$AG119,0))))</f>
        <v/>
      </c>
      <c r="Q119">
        <f>IF(E118&lt;=0,0,MIN(AJ119,E$7+IF(E$2=$AA119,$AC119,IF(E$2=$AF119,$AG119,0))))</f>
        <v/>
      </c>
      <c r="R119">
        <f>IF(F118&lt;=0,0,MIN(AK119,F$7+IF(F$2=$AA119,$AC119,IF(F$2=$AF119,$AG119,0))))</f>
        <v/>
      </c>
      <c r="S119">
        <f>IF(G118&lt;=0,0,MIN(AL119,G$7+IF(G$2=$AA119,$AC119,IF(G$2=$AF119,$AG119,0))))</f>
        <v/>
      </c>
      <c r="T119">
        <f>IF(H118&lt;=0,0,MIN(AM119,H$7+IF(H$2=$AA119,$AC119,IF(H$2=$AF119,$AG119,0))))</f>
        <v/>
      </c>
      <c r="U119">
        <f>IF(I118&lt;=0,0,MIN(AN119,I$7+IF(I$2=$AA119,$AC119,IF(I$2=$AF119,$AG119,0))))</f>
        <v/>
      </c>
      <c r="V119">
        <f>IF(J118&lt;=0,0,MIN(AO119,J$7+IF(J$2=$AA119,$AC119,IF(J$2=$AF119,$AG119,0))))</f>
        <v/>
      </c>
      <c r="W119">
        <f>IF(K118&lt;=0,0,MIN(AP119,K$7+IF(K$2=$AA119,$AC119,IF(K$2=$AF119,$AG119,0))))</f>
        <v/>
      </c>
      <c r="X119">
        <f>IF(L118&lt;=0,0,MIN(AQ119,L$7+IF(L$2=$AA119,$AC119,IF(L$2=$AF119,$AG119,0))))</f>
        <v/>
      </c>
      <c r="Y119">
        <f>IF(M118&lt;=0,0,MIN(AR119,M$7+IF(M$2=$AA119,$AC119,IF(M$2=$AF119,$AG119,0))))</f>
        <v/>
      </c>
      <c r="Z119">
        <f>IF(N118&lt;=0,0,MIN(AS119,N$7+IF(N$2=$AA119,$AC119,IF(N$2=$AF119,$AG119,0))))</f>
        <v/>
      </c>
      <c r="AA119">
        <f>IFERROR(ROUND(1/SUMPRODUCT(MAX((C118:N118&gt;0)*($C$3:$N$3&lt;=B119)/$C$2:$N$2)),0),0)</f>
        <v/>
      </c>
      <c r="AB119">
        <f>SUMPRODUCT((C118:N118&gt;0)*$C$7:$N$7)</f>
        <v/>
      </c>
      <c r="AC119">
        <f>MAX(0,Plan!$C$5-AB119)+IF(A119=Plan!$C$8,N(Plan!$C$7),0)</f>
        <v/>
      </c>
      <c r="AD119">
        <f>SUM(C119:N119)</f>
        <v/>
      </c>
      <c r="AE119">
        <f>SUM(O119:Z119)</f>
        <v/>
      </c>
      <c r="AF119">
        <f>IFERROR(ROUND(1/SUMPRODUCT(MAX((C118:N118&gt;0)*($C$3:$N$3&lt;=B119)*($C$2:$N$2&gt;AA119)/$C$2:$N$2)),0),0)</f>
        <v/>
      </c>
      <c r="AG119">
        <f>MAX(0,AC119-MAX(0,SUMPRODUCT(($C$2:$N$2=AA119)*(AH119:AS119-$C$7:$N$7))))</f>
        <v/>
      </c>
      <c r="AH119">
        <f>IF(C118&lt;=0,0,ROUND(C118*(1+IF(AND(C$6&gt;0,$B119&lt;C$6),C$4,C$5)/12),2))</f>
        <v/>
      </c>
      <c r="AI119">
        <f>IF(D118&lt;=0,0,ROUND(D118*(1+IF(AND(D$6&gt;0,$B119&lt;D$6),D$4,D$5)/12),2))</f>
        <v/>
      </c>
      <c r="AJ119">
        <f>IF(E118&lt;=0,0,ROUND(E118*(1+IF(AND(E$6&gt;0,$B119&lt;E$6),E$4,E$5)/12),2))</f>
        <v/>
      </c>
      <c r="AK119">
        <f>IF(F118&lt;=0,0,ROUND(F118*(1+IF(AND(F$6&gt;0,$B119&lt;F$6),F$4,F$5)/12),2))</f>
        <v/>
      </c>
      <c r="AL119">
        <f>IF(G118&lt;=0,0,ROUND(G118*(1+IF(AND(G$6&gt;0,$B119&lt;G$6),G$4,G$5)/12),2))</f>
        <v/>
      </c>
      <c r="AM119">
        <f>IF(H118&lt;=0,0,ROUND(H118*(1+IF(AND(H$6&gt;0,$B119&lt;H$6),H$4,H$5)/12),2))</f>
        <v/>
      </c>
      <c r="AN119">
        <f>IF(I118&lt;=0,0,ROUND(I118*(1+IF(AND(I$6&gt;0,$B119&lt;I$6),I$4,I$5)/12),2))</f>
        <v/>
      </c>
      <c r="AO119">
        <f>IF(J118&lt;=0,0,ROUND(J118*(1+IF(AND(J$6&gt;0,$B119&lt;J$6),J$4,J$5)/12),2))</f>
        <v/>
      </c>
      <c r="AP119">
        <f>IF(K118&lt;=0,0,ROUND(K118*(1+IF(AND(K$6&gt;0,$B119&lt;K$6),K$4,K$5)/12),2))</f>
        <v/>
      </c>
      <c r="AQ119">
        <f>IF(L118&lt;=0,0,ROUND(L118*(1+IF(AND(L$6&gt;0,$B119&lt;L$6),L$4,L$5)/12),2))</f>
        <v/>
      </c>
      <c r="AR119">
        <f>IF(M118&lt;=0,0,ROUND(M118*(1+IF(AND(M$6&gt;0,$B119&lt;M$6),M$4,M$5)/12),2))</f>
        <v/>
      </c>
      <c r="AS119">
        <f>IF(N118&lt;=0,0,ROUND(N118*(1+IF(AND(N$6&gt;0,$B119&lt;N$6),N$4,N$5)/12),2))</f>
        <v/>
      </c>
    </row>
    <row r="120">
      <c r="A120" t="n">
        <v>109</v>
      </c>
      <c r="B120">
        <f>EDATE(Plan!$C$6,108)</f>
        <v/>
      </c>
      <c r="C120">
        <f>IF(C119&lt;=0,0,MAX(0,AH120-O120))</f>
        <v/>
      </c>
      <c r="D120">
        <f>IF(D119&lt;=0,0,MAX(0,AI120-P120))</f>
        <v/>
      </c>
      <c r="E120">
        <f>IF(E119&lt;=0,0,MAX(0,AJ120-Q120))</f>
        <v/>
      </c>
      <c r="F120">
        <f>IF(F119&lt;=0,0,MAX(0,AK120-R120))</f>
        <v/>
      </c>
      <c r="G120">
        <f>IF(G119&lt;=0,0,MAX(0,AL120-S120))</f>
        <v/>
      </c>
      <c r="H120">
        <f>IF(H119&lt;=0,0,MAX(0,AM120-T120))</f>
        <v/>
      </c>
      <c r="I120">
        <f>IF(I119&lt;=0,0,MAX(0,AN120-U120))</f>
        <v/>
      </c>
      <c r="J120">
        <f>IF(J119&lt;=0,0,MAX(0,AO120-V120))</f>
        <v/>
      </c>
      <c r="K120">
        <f>IF(K119&lt;=0,0,MAX(0,AP120-W120))</f>
        <v/>
      </c>
      <c r="L120">
        <f>IF(L119&lt;=0,0,MAX(0,AQ120-X120))</f>
        <v/>
      </c>
      <c r="M120">
        <f>IF(M119&lt;=0,0,MAX(0,AR120-Y120))</f>
        <v/>
      </c>
      <c r="N120">
        <f>IF(N119&lt;=0,0,MAX(0,AS120-Z120))</f>
        <v/>
      </c>
      <c r="O120">
        <f>IF(C119&lt;=0,0,MIN(AH120,C$7+IF(C$2=$AA120,$AC120,IF(C$2=$AF120,$AG120,0))))</f>
        <v/>
      </c>
      <c r="P120">
        <f>IF(D119&lt;=0,0,MIN(AI120,D$7+IF(D$2=$AA120,$AC120,IF(D$2=$AF120,$AG120,0))))</f>
        <v/>
      </c>
      <c r="Q120">
        <f>IF(E119&lt;=0,0,MIN(AJ120,E$7+IF(E$2=$AA120,$AC120,IF(E$2=$AF120,$AG120,0))))</f>
        <v/>
      </c>
      <c r="R120">
        <f>IF(F119&lt;=0,0,MIN(AK120,F$7+IF(F$2=$AA120,$AC120,IF(F$2=$AF120,$AG120,0))))</f>
        <v/>
      </c>
      <c r="S120">
        <f>IF(G119&lt;=0,0,MIN(AL120,G$7+IF(G$2=$AA120,$AC120,IF(G$2=$AF120,$AG120,0))))</f>
        <v/>
      </c>
      <c r="T120">
        <f>IF(H119&lt;=0,0,MIN(AM120,H$7+IF(H$2=$AA120,$AC120,IF(H$2=$AF120,$AG120,0))))</f>
        <v/>
      </c>
      <c r="U120">
        <f>IF(I119&lt;=0,0,MIN(AN120,I$7+IF(I$2=$AA120,$AC120,IF(I$2=$AF120,$AG120,0))))</f>
        <v/>
      </c>
      <c r="V120">
        <f>IF(J119&lt;=0,0,MIN(AO120,J$7+IF(J$2=$AA120,$AC120,IF(J$2=$AF120,$AG120,0))))</f>
        <v/>
      </c>
      <c r="W120">
        <f>IF(K119&lt;=0,0,MIN(AP120,K$7+IF(K$2=$AA120,$AC120,IF(K$2=$AF120,$AG120,0))))</f>
        <v/>
      </c>
      <c r="X120">
        <f>IF(L119&lt;=0,0,MIN(AQ120,L$7+IF(L$2=$AA120,$AC120,IF(L$2=$AF120,$AG120,0))))</f>
        <v/>
      </c>
      <c r="Y120">
        <f>IF(M119&lt;=0,0,MIN(AR120,M$7+IF(M$2=$AA120,$AC120,IF(M$2=$AF120,$AG120,0))))</f>
        <v/>
      </c>
      <c r="Z120">
        <f>IF(N119&lt;=0,0,MIN(AS120,N$7+IF(N$2=$AA120,$AC120,IF(N$2=$AF120,$AG120,0))))</f>
        <v/>
      </c>
      <c r="AA120">
        <f>IFERROR(ROUND(1/SUMPRODUCT(MAX((C119:N119&gt;0)*($C$3:$N$3&lt;=B120)/$C$2:$N$2)),0),0)</f>
        <v/>
      </c>
      <c r="AB120">
        <f>SUMPRODUCT((C119:N119&gt;0)*$C$7:$N$7)</f>
        <v/>
      </c>
      <c r="AC120">
        <f>MAX(0,Plan!$C$5-AB120)+IF(A120=Plan!$C$8,N(Plan!$C$7),0)</f>
        <v/>
      </c>
      <c r="AD120">
        <f>SUM(C120:N120)</f>
        <v/>
      </c>
      <c r="AE120">
        <f>SUM(O120:Z120)</f>
        <v/>
      </c>
      <c r="AF120">
        <f>IFERROR(ROUND(1/SUMPRODUCT(MAX((C119:N119&gt;0)*($C$3:$N$3&lt;=B120)*($C$2:$N$2&gt;AA120)/$C$2:$N$2)),0),0)</f>
        <v/>
      </c>
      <c r="AG120">
        <f>MAX(0,AC120-MAX(0,SUMPRODUCT(($C$2:$N$2=AA120)*(AH120:AS120-$C$7:$N$7))))</f>
        <v/>
      </c>
      <c r="AH120">
        <f>IF(C119&lt;=0,0,ROUND(C119*(1+IF(AND(C$6&gt;0,$B120&lt;C$6),C$4,C$5)/12),2))</f>
        <v/>
      </c>
      <c r="AI120">
        <f>IF(D119&lt;=0,0,ROUND(D119*(1+IF(AND(D$6&gt;0,$B120&lt;D$6),D$4,D$5)/12),2))</f>
        <v/>
      </c>
      <c r="AJ120">
        <f>IF(E119&lt;=0,0,ROUND(E119*(1+IF(AND(E$6&gt;0,$B120&lt;E$6),E$4,E$5)/12),2))</f>
        <v/>
      </c>
      <c r="AK120">
        <f>IF(F119&lt;=0,0,ROUND(F119*(1+IF(AND(F$6&gt;0,$B120&lt;F$6),F$4,F$5)/12),2))</f>
        <v/>
      </c>
      <c r="AL120">
        <f>IF(G119&lt;=0,0,ROUND(G119*(1+IF(AND(G$6&gt;0,$B120&lt;G$6),G$4,G$5)/12),2))</f>
        <v/>
      </c>
      <c r="AM120">
        <f>IF(H119&lt;=0,0,ROUND(H119*(1+IF(AND(H$6&gt;0,$B120&lt;H$6),H$4,H$5)/12),2))</f>
        <v/>
      </c>
      <c r="AN120">
        <f>IF(I119&lt;=0,0,ROUND(I119*(1+IF(AND(I$6&gt;0,$B120&lt;I$6),I$4,I$5)/12),2))</f>
        <v/>
      </c>
      <c r="AO120">
        <f>IF(J119&lt;=0,0,ROUND(J119*(1+IF(AND(J$6&gt;0,$B120&lt;J$6),J$4,J$5)/12),2))</f>
        <v/>
      </c>
      <c r="AP120">
        <f>IF(K119&lt;=0,0,ROUND(K119*(1+IF(AND(K$6&gt;0,$B120&lt;K$6),K$4,K$5)/12),2))</f>
        <v/>
      </c>
      <c r="AQ120">
        <f>IF(L119&lt;=0,0,ROUND(L119*(1+IF(AND(L$6&gt;0,$B120&lt;L$6),L$4,L$5)/12),2))</f>
        <v/>
      </c>
      <c r="AR120">
        <f>IF(M119&lt;=0,0,ROUND(M119*(1+IF(AND(M$6&gt;0,$B120&lt;M$6),M$4,M$5)/12),2))</f>
        <v/>
      </c>
      <c r="AS120">
        <f>IF(N119&lt;=0,0,ROUND(N119*(1+IF(AND(N$6&gt;0,$B120&lt;N$6),N$4,N$5)/12),2))</f>
        <v/>
      </c>
    </row>
    <row r="121">
      <c r="A121" t="n">
        <v>110</v>
      </c>
      <c r="B121">
        <f>EDATE(Plan!$C$6,109)</f>
        <v/>
      </c>
      <c r="C121">
        <f>IF(C120&lt;=0,0,MAX(0,AH121-O121))</f>
        <v/>
      </c>
      <c r="D121">
        <f>IF(D120&lt;=0,0,MAX(0,AI121-P121))</f>
        <v/>
      </c>
      <c r="E121">
        <f>IF(E120&lt;=0,0,MAX(0,AJ121-Q121))</f>
        <v/>
      </c>
      <c r="F121">
        <f>IF(F120&lt;=0,0,MAX(0,AK121-R121))</f>
        <v/>
      </c>
      <c r="G121">
        <f>IF(G120&lt;=0,0,MAX(0,AL121-S121))</f>
        <v/>
      </c>
      <c r="H121">
        <f>IF(H120&lt;=0,0,MAX(0,AM121-T121))</f>
        <v/>
      </c>
      <c r="I121">
        <f>IF(I120&lt;=0,0,MAX(0,AN121-U121))</f>
        <v/>
      </c>
      <c r="J121">
        <f>IF(J120&lt;=0,0,MAX(0,AO121-V121))</f>
        <v/>
      </c>
      <c r="K121">
        <f>IF(K120&lt;=0,0,MAX(0,AP121-W121))</f>
        <v/>
      </c>
      <c r="L121">
        <f>IF(L120&lt;=0,0,MAX(0,AQ121-X121))</f>
        <v/>
      </c>
      <c r="M121">
        <f>IF(M120&lt;=0,0,MAX(0,AR121-Y121))</f>
        <v/>
      </c>
      <c r="N121">
        <f>IF(N120&lt;=0,0,MAX(0,AS121-Z121))</f>
        <v/>
      </c>
      <c r="O121">
        <f>IF(C120&lt;=0,0,MIN(AH121,C$7+IF(C$2=$AA121,$AC121,IF(C$2=$AF121,$AG121,0))))</f>
        <v/>
      </c>
      <c r="P121">
        <f>IF(D120&lt;=0,0,MIN(AI121,D$7+IF(D$2=$AA121,$AC121,IF(D$2=$AF121,$AG121,0))))</f>
        <v/>
      </c>
      <c r="Q121">
        <f>IF(E120&lt;=0,0,MIN(AJ121,E$7+IF(E$2=$AA121,$AC121,IF(E$2=$AF121,$AG121,0))))</f>
        <v/>
      </c>
      <c r="R121">
        <f>IF(F120&lt;=0,0,MIN(AK121,F$7+IF(F$2=$AA121,$AC121,IF(F$2=$AF121,$AG121,0))))</f>
        <v/>
      </c>
      <c r="S121">
        <f>IF(G120&lt;=0,0,MIN(AL121,G$7+IF(G$2=$AA121,$AC121,IF(G$2=$AF121,$AG121,0))))</f>
        <v/>
      </c>
      <c r="T121">
        <f>IF(H120&lt;=0,0,MIN(AM121,H$7+IF(H$2=$AA121,$AC121,IF(H$2=$AF121,$AG121,0))))</f>
        <v/>
      </c>
      <c r="U121">
        <f>IF(I120&lt;=0,0,MIN(AN121,I$7+IF(I$2=$AA121,$AC121,IF(I$2=$AF121,$AG121,0))))</f>
        <v/>
      </c>
      <c r="V121">
        <f>IF(J120&lt;=0,0,MIN(AO121,J$7+IF(J$2=$AA121,$AC121,IF(J$2=$AF121,$AG121,0))))</f>
        <v/>
      </c>
      <c r="W121">
        <f>IF(K120&lt;=0,0,MIN(AP121,K$7+IF(K$2=$AA121,$AC121,IF(K$2=$AF121,$AG121,0))))</f>
        <v/>
      </c>
      <c r="X121">
        <f>IF(L120&lt;=0,0,MIN(AQ121,L$7+IF(L$2=$AA121,$AC121,IF(L$2=$AF121,$AG121,0))))</f>
        <v/>
      </c>
      <c r="Y121">
        <f>IF(M120&lt;=0,0,MIN(AR121,M$7+IF(M$2=$AA121,$AC121,IF(M$2=$AF121,$AG121,0))))</f>
        <v/>
      </c>
      <c r="Z121">
        <f>IF(N120&lt;=0,0,MIN(AS121,N$7+IF(N$2=$AA121,$AC121,IF(N$2=$AF121,$AG121,0))))</f>
        <v/>
      </c>
      <c r="AA121">
        <f>IFERROR(ROUND(1/SUMPRODUCT(MAX((C120:N120&gt;0)*($C$3:$N$3&lt;=B121)/$C$2:$N$2)),0),0)</f>
        <v/>
      </c>
      <c r="AB121">
        <f>SUMPRODUCT((C120:N120&gt;0)*$C$7:$N$7)</f>
        <v/>
      </c>
      <c r="AC121">
        <f>MAX(0,Plan!$C$5-AB121)+IF(A121=Plan!$C$8,N(Plan!$C$7),0)</f>
        <v/>
      </c>
      <c r="AD121">
        <f>SUM(C121:N121)</f>
        <v/>
      </c>
      <c r="AE121">
        <f>SUM(O121:Z121)</f>
        <v/>
      </c>
      <c r="AF121">
        <f>IFERROR(ROUND(1/SUMPRODUCT(MAX((C120:N120&gt;0)*($C$3:$N$3&lt;=B121)*($C$2:$N$2&gt;AA121)/$C$2:$N$2)),0),0)</f>
        <v/>
      </c>
      <c r="AG121">
        <f>MAX(0,AC121-MAX(0,SUMPRODUCT(($C$2:$N$2=AA121)*(AH121:AS121-$C$7:$N$7))))</f>
        <v/>
      </c>
      <c r="AH121">
        <f>IF(C120&lt;=0,0,ROUND(C120*(1+IF(AND(C$6&gt;0,$B121&lt;C$6),C$4,C$5)/12),2))</f>
        <v/>
      </c>
      <c r="AI121">
        <f>IF(D120&lt;=0,0,ROUND(D120*(1+IF(AND(D$6&gt;0,$B121&lt;D$6),D$4,D$5)/12),2))</f>
        <v/>
      </c>
      <c r="AJ121">
        <f>IF(E120&lt;=0,0,ROUND(E120*(1+IF(AND(E$6&gt;0,$B121&lt;E$6),E$4,E$5)/12),2))</f>
        <v/>
      </c>
      <c r="AK121">
        <f>IF(F120&lt;=0,0,ROUND(F120*(1+IF(AND(F$6&gt;0,$B121&lt;F$6),F$4,F$5)/12),2))</f>
        <v/>
      </c>
      <c r="AL121">
        <f>IF(G120&lt;=0,0,ROUND(G120*(1+IF(AND(G$6&gt;0,$B121&lt;G$6),G$4,G$5)/12),2))</f>
        <v/>
      </c>
      <c r="AM121">
        <f>IF(H120&lt;=0,0,ROUND(H120*(1+IF(AND(H$6&gt;0,$B121&lt;H$6),H$4,H$5)/12),2))</f>
        <v/>
      </c>
      <c r="AN121">
        <f>IF(I120&lt;=0,0,ROUND(I120*(1+IF(AND(I$6&gt;0,$B121&lt;I$6),I$4,I$5)/12),2))</f>
        <v/>
      </c>
      <c r="AO121">
        <f>IF(J120&lt;=0,0,ROUND(J120*(1+IF(AND(J$6&gt;0,$B121&lt;J$6),J$4,J$5)/12),2))</f>
        <v/>
      </c>
      <c r="AP121">
        <f>IF(K120&lt;=0,0,ROUND(K120*(1+IF(AND(K$6&gt;0,$B121&lt;K$6),K$4,K$5)/12),2))</f>
        <v/>
      </c>
      <c r="AQ121">
        <f>IF(L120&lt;=0,0,ROUND(L120*(1+IF(AND(L$6&gt;0,$B121&lt;L$6),L$4,L$5)/12),2))</f>
        <v/>
      </c>
      <c r="AR121">
        <f>IF(M120&lt;=0,0,ROUND(M120*(1+IF(AND(M$6&gt;0,$B121&lt;M$6),M$4,M$5)/12),2))</f>
        <v/>
      </c>
      <c r="AS121">
        <f>IF(N120&lt;=0,0,ROUND(N120*(1+IF(AND(N$6&gt;0,$B121&lt;N$6),N$4,N$5)/12),2))</f>
        <v/>
      </c>
    </row>
    <row r="122">
      <c r="A122" t="n">
        <v>111</v>
      </c>
      <c r="B122">
        <f>EDATE(Plan!$C$6,110)</f>
        <v/>
      </c>
      <c r="C122">
        <f>IF(C121&lt;=0,0,MAX(0,AH122-O122))</f>
        <v/>
      </c>
      <c r="D122">
        <f>IF(D121&lt;=0,0,MAX(0,AI122-P122))</f>
        <v/>
      </c>
      <c r="E122">
        <f>IF(E121&lt;=0,0,MAX(0,AJ122-Q122))</f>
        <v/>
      </c>
      <c r="F122">
        <f>IF(F121&lt;=0,0,MAX(0,AK122-R122))</f>
        <v/>
      </c>
      <c r="G122">
        <f>IF(G121&lt;=0,0,MAX(0,AL122-S122))</f>
        <v/>
      </c>
      <c r="H122">
        <f>IF(H121&lt;=0,0,MAX(0,AM122-T122))</f>
        <v/>
      </c>
      <c r="I122">
        <f>IF(I121&lt;=0,0,MAX(0,AN122-U122))</f>
        <v/>
      </c>
      <c r="J122">
        <f>IF(J121&lt;=0,0,MAX(0,AO122-V122))</f>
        <v/>
      </c>
      <c r="K122">
        <f>IF(K121&lt;=0,0,MAX(0,AP122-W122))</f>
        <v/>
      </c>
      <c r="L122">
        <f>IF(L121&lt;=0,0,MAX(0,AQ122-X122))</f>
        <v/>
      </c>
      <c r="M122">
        <f>IF(M121&lt;=0,0,MAX(0,AR122-Y122))</f>
        <v/>
      </c>
      <c r="N122">
        <f>IF(N121&lt;=0,0,MAX(0,AS122-Z122))</f>
        <v/>
      </c>
      <c r="O122">
        <f>IF(C121&lt;=0,0,MIN(AH122,C$7+IF(C$2=$AA122,$AC122,IF(C$2=$AF122,$AG122,0))))</f>
        <v/>
      </c>
      <c r="P122">
        <f>IF(D121&lt;=0,0,MIN(AI122,D$7+IF(D$2=$AA122,$AC122,IF(D$2=$AF122,$AG122,0))))</f>
        <v/>
      </c>
      <c r="Q122">
        <f>IF(E121&lt;=0,0,MIN(AJ122,E$7+IF(E$2=$AA122,$AC122,IF(E$2=$AF122,$AG122,0))))</f>
        <v/>
      </c>
      <c r="R122">
        <f>IF(F121&lt;=0,0,MIN(AK122,F$7+IF(F$2=$AA122,$AC122,IF(F$2=$AF122,$AG122,0))))</f>
        <v/>
      </c>
      <c r="S122">
        <f>IF(G121&lt;=0,0,MIN(AL122,G$7+IF(G$2=$AA122,$AC122,IF(G$2=$AF122,$AG122,0))))</f>
        <v/>
      </c>
      <c r="T122">
        <f>IF(H121&lt;=0,0,MIN(AM122,H$7+IF(H$2=$AA122,$AC122,IF(H$2=$AF122,$AG122,0))))</f>
        <v/>
      </c>
      <c r="U122">
        <f>IF(I121&lt;=0,0,MIN(AN122,I$7+IF(I$2=$AA122,$AC122,IF(I$2=$AF122,$AG122,0))))</f>
        <v/>
      </c>
      <c r="V122">
        <f>IF(J121&lt;=0,0,MIN(AO122,J$7+IF(J$2=$AA122,$AC122,IF(J$2=$AF122,$AG122,0))))</f>
        <v/>
      </c>
      <c r="W122">
        <f>IF(K121&lt;=0,0,MIN(AP122,K$7+IF(K$2=$AA122,$AC122,IF(K$2=$AF122,$AG122,0))))</f>
        <v/>
      </c>
      <c r="X122">
        <f>IF(L121&lt;=0,0,MIN(AQ122,L$7+IF(L$2=$AA122,$AC122,IF(L$2=$AF122,$AG122,0))))</f>
        <v/>
      </c>
      <c r="Y122">
        <f>IF(M121&lt;=0,0,MIN(AR122,M$7+IF(M$2=$AA122,$AC122,IF(M$2=$AF122,$AG122,0))))</f>
        <v/>
      </c>
      <c r="Z122">
        <f>IF(N121&lt;=0,0,MIN(AS122,N$7+IF(N$2=$AA122,$AC122,IF(N$2=$AF122,$AG122,0))))</f>
        <v/>
      </c>
      <c r="AA122">
        <f>IFERROR(ROUND(1/SUMPRODUCT(MAX((C121:N121&gt;0)*($C$3:$N$3&lt;=B122)/$C$2:$N$2)),0),0)</f>
        <v/>
      </c>
      <c r="AB122">
        <f>SUMPRODUCT((C121:N121&gt;0)*$C$7:$N$7)</f>
        <v/>
      </c>
      <c r="AC122">
        <f>MAX(0,Plan!$C$5-AB122)+IF(A122=Plan!$C$8,N(Plan!$C$7),0)</f>
        <v/>
      </c>
      <c r="AD122">
        <f>SUM(C122:N122)</f>
        <v/>
      </c>
      <c r="AE122">
        <f>SUM(O122:Z122)</f>
        <v/>
      </c>
      <c r="AF122">
        <f>IFERROR(ROUND(1/SUMPRODUCT(MAX((C121:N121&gt;0)*($C$3:$N$3&lt;=B122)*($C$2:$N$2&gt;AA122)/$C$2:$N$2)),0),0)</f>
        <v/>
      </c>
      <c r="AG122">
        <f>MAX(0,AC122-MAX(0,SUMPRODUCT(($C$2:$N$2=AA122)*(AH122:AS122-$C$7:$N$7))))</f>
        <v/>
      </c>
      <c r="AH122">
        <f>IF(C121&lt;=0,0,ROUND(C121*(1+IF(AND(C$6&gt;0,$B122&lt;C$6),C$4,C$5)/12),2))</f>
        <v/>
      </c>
      <c r="AI122">
        <f>IF(D121&lt;=0,0,ROUND(D121*(1+IF(AND(D$6&gt;0,$B122&lt;D$6),D$4,D$5)/12),2))</f>
        <v/>
      </c>
      <c r="AJ122">
        <f>IF(E121&lt;=0,0,ROUND(E121*(1+IF(AND(E$6&gt;0,$B122&lt;E$6),E$4,E$5)/12),2))</f>
        <v/>
      </c>
      <c r="AK122">
        <f>IF(F121&lt;=0,0,ROUND(F121*(1+IF(AND(F$6&gt;0,$B122&lt;F$6),F$4,F$5)/12),2))</f>
        <v/>
      </c>
      <c r="AL122">
        <f>IF(G121&lt;=0,0,ROUND(G121*(1+IF(AND(G$6&gt;0,$B122&lt;G$6),G$4,G$5)/12),2))</f>
        <v/>
      </c>
      <c r="AM122">
        <f>IF(H121&lt;=0,0,ROUND(H121*(1+IF(AND(H$6&gt;0,$B122&lt;H$6),H$4,H$5)/12),2))</f>
        <v/>
      </c>
      <c r="AN122">
        <f>IF(I121&lt;=0,0,ROUND(I121*(1+IF(AND(I$6&gt;0,$B122&lt;I$6),I$4,I$5)/12),2))</f>
        <v/>
      </c>
      <c r="AO122">
        <f>IF(J121&lt;=0,0,ROUND(J121*(1+IF(AND(J$6&gt;0,$B122&lt;J$6),J$4,J$5)/12),2))</f>
        <v/>
      </c>
      <c r="AP122">
        <f>IF(K121&lt;=0,0,ROUND(K121*(1+IF(AND(K$6&gt;0,$B122&lt;K$6),K$4,K$5)/12),2))</f>
        <v/>
      </c>
      <c r="AQ122">
        <f>IF(L121&lt;=0,0,ROUND(L121*(1+IF(AND(L$6&gt;0,$B122&lt;L$6),L$4,L$5)/12),2))</f>
        <v/>
      </c>
      <c r="AR122">
        <f>IF(M121&lt;=0,0,ROUND(M121*(1+IF(AND(M$6&gt;0,$B122&lt;M$6),M$4,M$5)/12),2))</f>
        <v/>
      </c>
      <c r="AS122">
        <f>IF(N121&lt;=0,0,ROUND(N121*(1+IF(AND(N$6&gt;0,$B122&lt;N$6),N$4,N$5)/12),2))</f>
        <v/>
      </c>
    </row>
    <row r="123">
      <c r="A123" t="n">
        <v>112</v>
      </c>
      <c r="B123">
        <f>EDATE(Plan!$C$6,111)</f>
        <v/>
      </c>
      <c r="C123">
        <f>IF(C122&lt;=0,0,MAX(0,AH123-O123))</f>
        <v/>
      </c>
      <c r="D123">
        <f>IF(D122&lt;=0,0,MAX(0,AI123-P123))</f>
        <v/>
      </c>
      <c r="E123">
        <f>IF(E122&lt;=0,0,MAX(0,AJ123-Q123))</f>
        <v/>
      </c>
      <c r="F123">
        <f>IF(F122&lt;=0,0,MAX(0,AK123-R123))</f>
        <v/>
      </c>
      <c r="G123">
        <f>IF(G122&lt;=0,0,MAX(0,AL123-S123))</f>
        <v/>
      </c>
      <c r="H123">
        <f>IF(H122&lt;=0,0,MAX(0,AM123-T123))</f>
        <v/>
      </c>
      <c r="I123">
        <f>IF(I122&lt;=0,0,MAX(0,AN123-U123))</f>
        <v/>
      </c>
      <c r="J123">
        <f>IF(J122&lt;=0,0,MAX(0,AO123-V123))</f>
        <v/>
      </c>
      <c r="K123">
        <f>IF(K122&lt;=0,0,MAX(0,AP123-W123))</f>
        <v/>
      </c>
      <c r="L123">
        <f>IF(L122&lt;=0,0,MAX(0,AQ123-X123))</f>
        <v/>
      </c>
      <c r="M123">
        <f>IF(M122&lt;=0,0,MAX(0,AR123-Y123))</f>
        <v/>
      </c>
      <c r="N123">
        <f>IF(N122&lt;=0,0,MAX(0,AS123-Z123))</f>
        <v/>
      </c>
      <c r="O123">
        <f>IF(C122&lt;=0,0,MIN(AH123,C$7+IF(C$2=$AA123,$AC123,IF(C$2=$AF123,$AG123,0))))</f>
        <v/>
      </c>
      <c r="P123">
        <f>IF(D122&lt;=0,0,MIN(AI123,D$7+IF(D$2=$AA123,$AC123,IF(D$2=$AF123,$AG123,0))))</f>
        <v/>
      </c>
      <c r="Q123">
        <f>IF(E122&lt;=0,0,MIN(AJ123,E$7+IF(E$2=$AA123,$AC123,IF(E$2=$AF123,$AG123,0))))</f>
        <v/>
      </c>
      <c r="R123">
        <f>IF(F122&lt;=0,0,MIN(AK123,F$7+IF(F$2=$AA123,$AC123,IF(F$2=$AF123,$AG123,0))))</f>
        <v/>
      </c>
      <c r="S123">
        <f>IF(G122&lt;=0,0,MIN(AL123,G$7+IF(G$2=$AA123,$AC123,IF(G$2=$AF123,$AG123,0))))</f>
        <v/>
      </c>
      <c r="T123">
        <f>IF(H122&lt;=0,0,MIN(AM123,H$7+IF(H$2=$AA123,$AC123,IF(H$2=$AF123,$AG123,0))))</f>
        <v/>
      </c>
      <c r="U123">
        <f>IF(I122&lt;=0,0,MIN(AN123,I$7+IF(I$2=$AA123,$AC123,IF(I$2=$AF123,$AG123,0))))</f>
        <v/>
      </c>
      <c r="V123">
        <f>IF(J122&lt;=0,0,MIN(AO123,J$7+IF(J$2=$AA123,$AC123,IF(J$2=$AF123,$AG123,0))))</f>
        <v/>
      </c>
      <c r="W123">
        <f>IF(K122&lt;=0,0,MIN(AP123,K$7+IF(K$2=$AA123,$AC123,IF(K$2=$AF123,$AG123,0))))</f>
        <v/>
      </c>
      <c r="X123">
        <f>IF(L122&lt;=0,0,MIN(AQ123,L$7+IF(L$2=$AA123,$AC123,IF(L$2=$AF123,$AG123,0))))</f>
        <v/>
      </c>
      <c r="Y123">
        <f>IF(M122&lt;=0,0,MIN(AR123,M$7+IF(M$2=$AA123,$AC123,IF(M$2=$AF123,$AG123,0))))</f>
        <v/>
      </c>
      <c r="Z123">
        <f>IF(N122&lt;=0,0,MIN(AS123,N$7+IF(N$2=$AA123,$AC123,IF(N$2=$AF123,$AG123,0))))</f>
        <v/>
      </c>
      <c r="AA123">
        <f>IFERROR(ROUND(1/SUMPRODUCT(MAX((C122:N122&gt;0)*($C$3:$N$3&lt;=B123)/$C$2:$N$2)),0),0)</f>
        <v/>
      </c>
      <c r="AB123">
        <f>SUMPRODUCT((C122:N122&gt;0)*$C$7:$N$7)</f>
        <v/>
      </c>
      <c r="AC123">
        <f>MAX(0,Plan!$C$5-AB123)+IF(A123=Plan!$C$8,N(Plan!$C$7),0)</f>
        <v/>
      </c>
      <c r="AD123">
        <f>SUM(C123:N123)</f>
        <v/>
      </c>
      <c r="AE123">
        <f>SUM(O123:Z123)</f>
        <v/>
      </c>
      <c r="AF123">
        <f>IFERROR(ROUND(1/SUMPRODUCT(MAX((C122:N122&gt;0)*($C$3:$N$3&lt;=B123)*($C$2:$N$2&gt;AA123)/$C$2:$N$2)),0),0)</f>
        <v/>
      </c>
      <c r="AG123">
        <f>MAX(0,AC123-MAX(0,SUMPRODUCT(($C$2:$N$2=AA123)*(AH123:AS123-$C$7:$N$7))))</f>
        <v/>
      </c>
      <c r="AH123">
        <f>IF(C122&lt;=0,0,ROUND(C122*(1+IF(AND(C$6&gt;0,$B123&lt;C$6),C$4,C$5)/12),2))</f>
        <v/>
      </c>
      <c r="AI123">
        <f>IF(D122&lt;=0,0,ROUND(D122*(1+IF(AND(D$6&gt;0,$B123&lt;D$6),D$4,D$5)/12),2))</f>
        <v/>
      </c>
      <c r="AJ123">
        <f>IF(E122&lt;=0,0,ROUND(E122*(1+IF(AND(E$6&gt;0,$B123&lt;E$6),E$4,E$5)/12),2))</f>
        <v/>
      </c>
      <c r="AK123">
        <f>IF(F122&lt;=0,0,ROUND(F122*(1+IF(AND(F$6&gt;0,$B123&lt;F$6),F$4,F$5)/12),2))</f>
        <v/>
      </c>
      <c r="AL123">
        <f>IF(G122&lt;=0,0,ROUND(G122*(1+IF(AND(G$6&gt;0,$B123&lt;G$6),G$4,G$5)/12),2))</f>
        <v/>
      </c>
      <c r="AM123">
        <f>IF(H122&lt;=0,0,ROUND(H122*(1+IF(AND(H$6&gt;0,$B123&lt;H$6),H$4,H$5)/12),2))</f>
        <v/>
      </c>
      <c r="AN123">
        <f>IF(I122&lt;=0,0,ROUND(I122*(1+IF(AND(I$6&gt;0,$B123&lt;I$6),I$4,I$5)/12),2))</f>
        <v/>
      </c>
      <c r="AO123">
        <f>IF(J122&lt;=0,0,ROUND(J122*(1+IF(AND(J$6&gt;0,$B123&lt;J$6),J$4,J$5)/12),2))</f>
        <v/>
      </c>
      <c r="AP123">
        <f>IF(K122&lt;=0,0,ROUND(K122*(1+IF(AND(K$6&gt;0,$B123&lt;K$6),K$4,K$5)/12),2))</f>
        <v/>
      </c>
      <c r="AQ123">
        <f>IF(L122&lt;=0,0,ROUND(L122*(1+IF(AND(L$6&gt;0,$B123&lt;L$6),L$4,L$5)/12),2))</f>
        <v/>
      </c>
      <c r="AR123">
        <f>IF(M122&lt;=0,0,ROUND(M122*(1+IF(AND(M$6&gt;0,$B123&lt;M$6),M$4,M$5)/12),2))</f>
        <v/>
      </c>
      <c r="AS123">
        <f>IF(N122&lt;=0,0,ROUND(N122*(1+IF(AND(N$6&gt;0,$B123&lt;N$6),N$4,N$5)/12),2))</f>
        <v/>
      </c>
    </row>
    <row r="124">
      <c r="A124" t="n">
        <v>113</v>
      </c>
      <c r="B124">
        <f>EDATE(Plan!$C$6,112)</f>
        <v/>
      </c>
      <c r="C124">
        <f>IF(C123&lt;=0,0,MAX(0,AH124-O124))</f>
        <v/>
      </c>
      <c r="D124">
        <f>IF(D123&lt;=0,0,MAX(0,AI124-P124))</f>
        <v/>
      </c>
      <c r="E124">
        <f>IF(E123&lt;=0,0,MAX(0,AJ124-Q124))</f>
        <v/>
      </c>
      <c r="F124">
        <f>IF(F123&lt;=0,0,MAX(0,AK124-R124))</f>
        <v/>
      </c>
      <c r="G124">
        <f>IF(G123&lt;=0,0,MAX(0,AL124-S124))</f>
        <v/>
      </c>
      <c r="H124">
        <f>IF(H123&lt;=0,0,MAX(0,AM124-T124))</f>
        <v/>
      </c>
      <c r="I124">
        <f>IF(I123&lt;=0,0,MAX(0,AN124-U124))</f>
        <v/>
      </c>
      <c r="J124">
        <f>IF(J123&lt;=0,0,MAX(0,AO124-V124))</f>
        <v/>
      </c>
      <c r="K124">
        <f>IF(K123&lt;=0,0,MAX(0,AP124-W124))</f>
        <v/>
      </c>
      <c r="L124">
        <f>IF(L123&lt;=0,0,MAX(0,AQ124-X124))</f>
        <v/>
      </c>
      <c r="M124">
        <f>IF(M123&lt;=0,0,MAX(0,AR124-Y124))</f>
        <v/>
      </c>
      <c r="N124">
        <f>IF(N123&lt;=0,0,MAX(0,AS124-Z124))</f>
        <v/>
      </c>
      <c r="O124">
        <f>IF(C123&lt;=0,0,MIN(AH124,C$7+IF(C$2=$AA124,$AC124,IF(C$2=$AF124,$AG124,0))))</f>
        <v/>
      </c>
      <c r="P124">
        <f>IF(D123&lt;=0,0,MIN(AI124,D$7+IF(D$2=$AA124,$AC124,IF(D$2=$AF124,$AG124,0))))</f>
        <v/>
      </c>
      <c r="Q124">
        <f>IF(E123&lt;=0,0,MIN(AJ124,E$7+IF(E$2=$AA124,$AC124,IF(E$2=$AF124,$AG124,0))))</f>
        <v/>
      </c>
      <c r="R124">
        <f>IF(F123&lt;=0,0,MIN(AK124,F$7+IF(F$2=$AA124,$AC124,IF(F$2=$AF124,$AG124,0))))</f>
        <v/>
      </c>
      <c r="S124">
        <f>IF(G123&lt;=0,0,MIN(AL124,G$7+IF(G$2=$AA124,$AC124,IF(G$2=$AF124,$AG124,0))))</f>
        <v/>
      </c>
      <c r="T124">
        <f>IF(H123&lt;=0,0,MIN(AM124,H$7+IF(H$2=$AA124,$AC124,IF(H$2=$AF124,$AG124,0))))</f>
        <v/>
      </c>
      <c r="U124">
        <f>IF(I123&lt;=0,0,MIN(AN124,I$7+IF(I$2=$AA124,$AC124,IF(I$2=$AF124,$AG124,0))))</f>
        <v/>
      </c>
      <c r="V124">
        <f>IF(J123&lt;=0,0,MIN(AO124,J$7+IF(J$2=$AA124,$AC124,IF(J$2=$AF124,$AG124,0))))</f>
        <v/>
      </c>
      <c r="W124">
        <f>IF(K123&lt;=0,0,MIN(AP124,K$7+IF(K$2=$AA124,$AC124,IF(K$2=$AF124,$AG124,0))))</f>
        <v/>
      </c>
      <c r="X124">
        <f>IF(L123&lt;=0,0,MIN(AQ124,L$7+IF(L$2=$AA124,$AC124,IF(L$2=$AF124,$AG124,0))))</f>
        <v/>
      </c>
      <c r="Y124">
        <f>IF(M123&lt;=0,0,MIN(AR124,M$7+IF(M$2=$AA124,$AC124,IF(M$2=$AF124,$AG124,0))))</f>
        <v/>
      </c>
      <c r="Z124">
        <f>IF(N123&lt;=0,0,MIN(AS124,N$7+IF(N$2=$AA124,$AC124,IF(N$2=$AF124,$AG124,0))))</f>
        <v/>
      </c>
      <c r="AA124">
        <f>IFERROR(ROUND(1/SUMPRODUCT(MAX((C123:N123&gt;0)*($C$3:$N$3&lt;=B124)/$C$2:$N$2)),0),0)</f>
        <v/>
      </c>
      <c r="AB124">
        <f>SUMPRODUCT((C123:N123&gt;0)*$C$7:$N$7)</f>
        <v/>
      </c>
      <c r="AC124">
        <f>MAX(0,Plan!$C$5-AB124)+IF(A124=Plan!$C$8,N(Plan!$C$7),0)</f>
        <v/>
      </c>
      <c r="AD124">
        <f>SUM(C124:N124)</f>
        <v/>
      </c>
      <c r="AE124">
        <f>SUM(O124:Z124)</f>
        <v/>
      </c>
      <c r="AF124">
        <f>IFERROR(ROUND(1/SUMPRODUCT(MAX((C123:N123&gt;0)*($C$3:$N$3&lt;=B124)*($C$2:$N$2&gt;AA124)/$C$2:$N$2)),0),0)</f>
        <v/>
      </c>
      <c r="AG124">
        <f>MAX(0,AC124-MAX(0,SUMPRODUCT(($C$2:$N$2=AA124)*(AH124:AS124-$C$7:$N$7))))</f>
        <v/>
      </c>
      <c r="AH124">
        <f>IF(C123&lt;=0,0,ROUND(C123*(1+IF(AND(C$6&gt;0,$B124&lt;C$6),C$4,C$5)/12),2))</f>
        <v/>
      </c>
      <c r="AI124">
        <f>IF(D123&lt;=0,0,ROUND(D123*(1+IF(AND(D$6&gt;0,$B124&lt;D$6),D$4,D$5)/12),2))</f>
        <v/>
      </c>
      <c r="AJ124">
        <f>IF(E123&lt;=0,0,ROUND(E123*(1+IF(AND(E$6&gt;0,$B124&lt;E$6),E$4,E$5)/12),2))</f>
        <v/>
      </c>
      <c r="AK124">
        <f>IF(F123&lt;=0,0,ROUND(F123*(1+IF(AND(F$6&gt;0,$B124&lt;F$6),F$4,F$5)/12),2))</f>
        <v/>
      </c>
      <c r="AL124">
        <f>IF(G123&lt;=0,0,ROUND(G123*(1+IF(AND(G$6&gt;0,$B124&lt;G$6),G$4,G$5)/12),2))</f>
        <v/>
      </c>
      <c r="AM124">
        <f>IF(H123&lt;=0,0,ROUND(H123*(1+IF(AND(H$6&gt;0,$B124&lt;H$6),H$4,H$5)/12),2))</f>
        <v/>
      </c>
      <c r="AN124">
        <f>IF(I123&lt;=0,0,ROUND(I123*(1+IF(AND(I$6&gt;0,$B124&lt;I$6),I$4,I$5)/12),2))</f>
        <v/>
      </c>
      <c r="AO124">
        <f>IF(J123&lt;=0,0,ROUND(J123*(1+IF(AND(J$6&gt;0,$B124&lt;J$6),J$4,J$5)/12),2))</f>
        <v/>
      </c>
      <c r="AP124">
        <f>IF(K123&lt;=0,0,ROUND(K123*(1+IF(AND(K$6&gt;0,$B124&lt;K$6),K$4,K$5)/12),2))</f>
        <v/>
      </c>
      <c r="AQ124">
        <f>IF(L123&lt;=0,0,ROUND(L123*(1+IF(AND(L$6&gt;0,$B124&lt;L$6),L$4,L$5)/12),2))</f>
        <v/>
      </c>
      <c r="AR124">
        <f>IF(M123&lt;=0,0,ROUND(M123*(1+IF(AND(M$6&gt;0,$B124&lt;M$6),M$4,M$5)/12),2))</f>
        <v/>
      </c>
      <c r="AS124">
        <f>IF(N123&lt;=0,0,ROUND(N123*(1+IF(AND(N$6&gt;0,$B124&lt;N$6),N$4,N$5)/12),2))</f>
        <v/>
      </c>
    </row>
    <row r="125">
      <c r="A125" t="n">
        <v>114</v>
      </c>
      <c r="B125">
        <f>EDATE(Plan!$C$6,113)</f>
        <v/>
      </c>
      <c r="C125">
        <f>IF(C124&lt;=0,0,MAX(0,AH125-O125))</f>
        <v/>
      </c>
      <c r="D125">
        <f>IF(D124&lt;=0,0,MAX(0,AI125-P125))</f>
        <v/>
      </c>
      <c r="E125">
        <f>IF(E124&lt;=0,0,MAX(0,AJ125-Q125))</f>
        <v/>
      </c>
      <c r="F125">
        <f>IF(F124&lt;=0,0,MAX(0,AK125-R125))</f>
        <v/>
      </c>
      <c r="G125">
        <f>IF(G124&lt;=0,0,MAX(0,AL125-S125))</f>
        <v/>
      </c>
      <c r="H125">
        <f>IF(H124&lt;=0,0,MAX(0,AM125-T125))</f>
        <v/>
      </c>
      <c r="I125">
        <f>IF(I124&lt;=0,0,MAX(0,AN125-U125))</f>
        <v/>
      </c>
      <c r="J125">
        <f>IF(J124&lt;=0,0,MAX(0,AO125-V125))</f>
        <v/>
      </c>
      <c r="K125">
        <f>IF(K124&lt;=0,0,MAX(0,AP125-W125))</f>
        <v/>
      </c>
      <c r="L125">
        <f>IF(L124&lt;=0,0,MAX(0,AQ125-X125))</f>
        <v/>
      </c>
      <c r="M125">
        <f>IF(M124&lt;=0,0,MAX(0,AR125-Y125))</f>
        <v/>
      </c>
      <c r="N125">
        <f>IF(N124&lt;=0,0,MAX(0,AS125-Z125))</f>
        <v/>
      </c>
      <c r="O125">
        <f>IF(C124&lt;=0,0,MIN(AH125,C$7+IF(C$2=$AA125,$AC125,IF(C$2=$AF125,$AG125,0))))</f>
        <v/>
      </c>
      <c r="P125">
        <f>IF(D124&lt;=0,0,MIN(AI125,D$7+IF(D$2=$AA125,$AC125,IF(D$2=$AF125,$AG125,0))))</f>
        <v/>
      </c>
      <c r="Q125">
        <f>IF(E124&lt;=0,0,MIN(AJ125,E$7+IF(E$2=$AA125,$AC125,IF(E$2=$AF125,$AG125,0))))</f>
        <v/>
      </c>
      <c r="R125">
        <f>IF(F124&lt;=0,0,MIN(AK125,F$7+IF(F$2=$AA125,$AC125,IF(F$2=$AF125,$AG125,0))))</f>
        <v/>
      </c>
      <c r="S125">
        <f>IF(G124&lt;=0,0,MIN(AL125,G$7+IF(G$2=$AA125,$AC125,IF(G$2=$AF125,$AG125,0))))</f>
        <v/>
      </c>
      <c r="T125">
        <f>IF(H124&lt;=0,0,MIN(AM125,H$7+IF(H$2=$AA125,$AC125,IF(H$2=$AF125,$AG125,0))))</f>
        <v/>
      </c>
      <c r="U125">
        <f>IF(I124&lt;=0,0,MIN(AN125,I$7+IF(I$2=$AA125,$AC125,IF(I$2=$AF125,$AG125,0))))</f>
        <v/>
      </c>
      <c r="V125">
        <f>IF(J124&lt;=0,0,MIN(AO125,J$7+IF(J$2=$AA125,$AC125,IF(J$2=$AF125,$AG125,0))))</f>
        <v/>
      </c>
      <c r="W125">
        <f>IF(K124&lt;=0,0,MIN(AP125,K$7+IF(K$2=$AA125,$AC125,IF(K$2=$AF125,$AG125,0))))</f>
        <v/>
      </c>
      <c r="X125">
        <f>IF(L124&lt;=0,0,MIN(AQ125,L$7+IF(L$2=$AA125,$AC125,IF(L$2=$AF125,$AG125,0))))</f>
        <v/>
      </c>
      <c r="Y125">
        <f>IF(M124&lt;=0,0,MIN(AR125,M$7+IF(M$2=$AA125,$AC125,IF(M$2=$AF125,$AG125,0))))</f>
        <v/>
      </c>
      <c r="Z125">
        <f>IF(N124&lt;=0,0,MIN(AS125,N$7+IF(N$2=$AA125,$AC125,IF(N$2=$AF125,$AG125,0))))</f>
        <v/>
      </c>
      <c r="AA125">
        <f>IFERROR(ROUND(1/SUMPRODUCT(MAX((C124:N124&gt;0)*($C$3:$N$3&lt;=B125)/$C$2:$N$2)),0),0)</f>
        <v/>
      </c>
      <c r="AB125">
        <f>SUMPRODUCT((C124:N124&gt;0)*$C$7:$N$7)</f>
        <v/>
      </c>
      <c r="AC125">
        <f>MAX(0,Plan!$C$5-AB125)+IF(A125=Plan!$C$8,N(Plan!$C$7),0)</f>
        <v/>
      </c>
      <c r="AD125">
        <f>SUM(C125:N125)</f>
        <v/>
      </c>
      <c r="AE125">
        <f>SUM(O125:Z125)</f>
        <v/>
      </c>
      <c r="AF125">
        <f>IFERROR(ROUND(1/SUMPRODUCT(MAX((C124:N124&gt;0)*($C$3:$N$3&lt;=B125)*($C$2:$N$2&gt;AA125)/$C$2:$N$2)),0),0)</f>
        <v/>
      </c>
      <c r="AG125">
        <f>MAX(0,AC125-MAX(0,SUMPRODUCT(($C$2:$N$2=AA125)*(AH125:AS125-$C$7:$N$7))))</f>
        <v/>
      </c>
      <c r="AH125">
        <f>IF(C124&lt;=0,0,ROUND(C124*(1+IF(AND(C$6&gt;0,$B125&lt;C$6),C$4,C$5)/12),2))</f>
        <v/>
      </c>
      <c r="AI125">
        <f>IF(D124&lt;=0,0,ROUND(D124*(1+IF(AND(D$6&gt;0,$B125&lt;D$6),D$4,D$5)/12),2))</f>
        <v/>
      </c>
      <c r="AJ125">
        <f>IF(E124&lt;=0,0,ROUND(E124*(1+IF(AND(E$6&gt;0,$B125&lt;E$6),E$4,E$5)/12),2))</f>
        <v/>
      </c>
      <c r="AK125">
        <f>IF(F124&lt;=0,0,ROUND(F124*(1+IF(AND(F$6&gt;0,$B125&lt;F$6),F$4,F$5)/12),2))</f>
        <v/>
      </c>
      <c r="AL125">
        <f>IF(G124&lt;=0,0,ROUND(G124*(1+IF(AND(G$6&gt;0,$B125&lt;G$6),G$4,G$5)/12),2))</f>
        <v/>
      </c>
      <c r="AM125">
        <f>IF(H124&lt;=0,0,ROUND(H124*(1+IF(AND(H$6&gt;0,$B125&lt;H$6),H$4,H$5)/12),2))</f>
        <v/>
      </c>
      <c r="AN125">
        <f>IF(I124&lt;=0,0,ROUND(I124*(1+IF(AND(I$6&gt;0,$B125&lt;I$6),I$4,I$5)/12),2))</f>
        <v/>
      </c>
      <c r="AO125">
        <f>IF(J124&lt;=0,0,ROUND(J124*(1+IF(AND(J$6&gt;0,$B125&lt;J$6),J$4,J$5)/12),2))</f>
        <v/>
      </c>
      <c r="AP125">
        <f>IF(K124&lt;=0,0,ROUND(K124*(1+IF(AND(K$6&gt;0,$B125&lt;K$6),K$4,K$5)/12),2))</f>
        <v/>
      </c>
      <c r="AQ125">
        <f>IF(L124&lt;=0,0,ROUND(L124*(1+IF(AND(L$6&gt;0,$B125&lt;L$6),L$4,L$5)/12),2))</f>
        <v/>
      </c>
      <c r="AR125">
        <f>IF(M124&lt;=0,0,ROUND(M124*(1+IF(AND(M$6&gt;0,$B125&lt;M$6),M$4,M$5)/12),2))</f>
        <v/>
      </c>
      <c r="AS125">
        <f>IF(N124&lt;=0,0,ROUND(N124*(1+IF(AND(N$6&gt;0,$B125&lt;N$6),N$4,N$5)/12),2))</f>
        <v/>
      </c>
    </row>
    <row r="126">
      <c r="A126" t="n">
        <v>115</v>
      </c>
      <c r="B126">
        <f>EDATE(Plan!$C$6,114)</f>
        <v/>
      </c>
      <c r="C126">
        <f>IF(C125&lt;=0,0,MAX(0,AH126-O126))</f>
        <v/>
      </c>
      <c r="D126">
        <f>IF(D125&lt;=0,0,MAX(0,AI126-P126))</f>
        <v/>
      </c>
      <c r="E126">
        <f>IF(E125&lt;=0,0,MAX(0,AJ126-Q126))</f>
        <v/>
      </c>
      <c r="F126">
        <f>IF(F125&lt;=0,0,MAX(0,AK126-R126))</f>
        <v/>
      </c>
      <c r="G126">
        <f>IF(G125&lt;=0,0,MAX(0,AL126-S126))</f>
        <v/>
      </c>
      <c r="H126">
        <f>IF(H125&lt;=0,0,MAX(0,AM126-T126))</f>
        <v/>
      </c>
      <c r="I126">
        <f>IF(I125&lt;=0,0,MAX(0,AN126-U126))</f>
        <v/>
      </c>
      <c r="J126">
        <f>IF(J125&lt;=0,0,MAX(0,AO126-V126))</f>
        <v/>
      </c>
      <c r="K126">
        <f>IF(K125&lt;=0,0,MAX(0,AP126-W126))</f>
        <v/>
      </c>
      <c r="L126">
        <f>IF(L125&lt;=0,0,MAX(0,AQ126-X126))</f>
        <v/>
      </c>
      <c r="M126">
        <f>IF(M125&lt;=0,0,MAX(0,AR126-Y126))</f>
        <v/>
      </c>
      <c r="N126">
        <f>IF(N125&lt;=0,0,MAX(0,AS126-Z126))</f>
        <v/>
      </c>
      <c r="O126">
        <f>IF(C125&lt;=0,0,MIN(AH126,C$7+IF(C$2=$AA126,$AC126,IF(C$2=$AF126,$AG126,0))))</f>
        <v/>
      </c>
      <c r="P126">
        <f>IF(D125&lt;=0,0,MIN(AI126,D$7+IF(D$2=$AA126,$AC126,IF(D$2=$AF126,$AG126,0))))</f>
        <v/>
      </c>
      <c r="Q126">
        <f>IF(E125&lt;=0,0,MIN(AJ126,E$7+IF(E$2=$AA126,$AC126,IF(E$2=$AF126,$AG126,0))))</f>
        <v/>
      </c>
      <c r="R126">
        <f>IF(F125&lt;=0,0,MIN(AK126,F$7+IF(F$2=$AA126,$AC126,IF(F$2=$AF126,$AG126,0))))</f>
        <v/>
      </c>
      <c r="S126">
        <f>IF(G125&lt;=0,0,MIN(AL126,G$7+IF(G$2=$AA126,$AC126,IF(G$2=$AF126,$AG126,0))))</f>
        <v/>
      </c>
      <c r="T126">
        <f>IF(H125&lt;=0,0,MIN(AM126,H$7+IF(H$2=$AA126,$AC126,IF(H$2=$AF126,$AG126,0))))</f>
        <v/>
      </c>
      <c r="U126">
        <f>IF(I125&lt;=0,0,MIN(AN126,I$7+IF(I$2=$AA126,$AC126,IF(I$2=$AF126,$AG126,0))))</f>
        <v/>
      </c>
      <c r="V126">
        <f>IF(J125&lt;=0,0,MIN(AO126,J$7+IF(J$2=$AA126,$AC126,IF(J$2=$AF126,$AG126,0))))</f>
        <v/>
      </c>
      <c r="W126">
        <f>IF(K125&lt;=0,0,MIN(AP126,K$7+IF(K$2=$AA126,$AC126,IF(K$2=$AF126,$AG126,0))))</f>
        <v/>
      </c>
      <c r="X126">
        <f>IF(L125&lt;=0,0,MIN(AQ126,L$7+IF(L$2=$AA126,$AC126,IF(L$2=$AF126,$AG126,0))))</f>
        <v/>
      </c>
      <c r="Y126">
        <f>IF(M125&lt;=0,0,MIN(AR126,M$7+IF(M$2=$AA126,$AC126,IF(M$2=$AF126,$AG126,0))))</f>
        <v/>
      </c>
      <c r="Z126">
        <f>IF(N125&lt;=0,0,MIN(AS126,N$7+IF(N$2=$AA126,$AC126,IF(N$2=$AF126,$AG126,0))))</f>
        <v/>
      </c>
      <c r="AA126">
        <f>IFERROR(ROUND(1/SUMPRODUCT(MAX((C125:N125&gt;0)*($C$3:$N$3&lt;=B126)/$C$2:$N$2)),0),0)</f>
        <v/>
      </c>
      <c r="AB126">
        <f>SUMPRODUCT((C125:N125&gt;0)*$C$7:$N$7)</f>
        <v/>
      </c>
      <c r="AC126">
        <f>MAX(0,Plan!$C$5-AB126)+IF(A126=Plan!$C$8,N(Plan!$C$7),0)</f>
        <v/>
      </c>
      <c r="AD126">
        <f>SUM(C126:N126)</f>
        <v/>
      </c>
      <c r="AE126">
        <f>SUM(O126:Z126)</f>
        <v/>
      </c>
      <c r="AF126">
        <f>IFERROR(ROUND(1/SUMPRODUCT(MAX((C125:N125&gt;0)*($C$3:$N$3&lt;=B126)*($C$2:$N$2&gt;AA126)/$C$2:$N$2)),0),0)</f>
        <v/>
      </c>
      <c r="AG126">
        <f>MAX(0,AC126-MAX(0,SUMPRODUCT(($C$2:$N$2=AA126)*(AH126:AS126-$C$7:$N$7))))</f>
        <v/>
      </c>
      <c r="AH126">
        <f>IF(C125&lt;=0,0,ROUND(C125*(1+IF(AND(C$6&gt;0,$B126&lt;C$6),C$4,C$5)/12),2))</f>
        <v/>
      </c>
      <c r="AI126">
        <f>IF(D125&lt;=0,0,ROUND(D125*(1+IF(AND(D$6&gt;0,$B126&lt;D$6),D$4,D$5)/12),2))</f>
        <v/>
      </c>
      <c r="AJ126">
        <f>IF(E125&lt;=0,0,ROUND(E125*(1+IF(AND(E$6&gt;0,$B126&lt;E$6),E$4,E$5)/12),2))</f>
        <v/>
      </c>
      <c r="AK126">
        <f>IF(F125&lt;=0,0,ROUND(F125*(1+IF(AND(F$6&gt;0,$B126&lt;F$6),F$4,F$5)/12),2))</f>
        <v/>
      </c>
      <c r="AL126">
        <f>IF(G125&lt;=0,0,ROUND(G125*(1+IF(AND(G$6&gt;0,$B126&lt;G$6),G$4,G$5)/12),2))</f>
        <v/>
      </c>
      <c r="AM126">
        <f>IF(H125&lt;=0,0,ROUND(H125*(1+IF(AND(H$6&gt;0,$B126&lt;H$6),H$4,H$5)/12),2))</f>
        <v/>
      </c>
      <c r="AN126">
        <f>IF(I125&lt;=0,0,ROUND(I125*(1+IF(AND(I$6&gt;0,$B126&lt;I$6),I$4,I$5)/12),2))</f>
        <v/>
      </c>
      <c r="AO126">
        <f>IF(J125&lt;=0,0,ROUND(J125*(1+IF(AND(J$6&gt;0,$B126&lt;J$6),J$4,J$5)/12),2))</f>
        <v/>
      </c>
      <c r="AP126">
        <f>IF(K125&lt;=0,0,ROUND(K125*(1+IF(AND(K$6&gt;0,$B126&lt;K$6),K$4,K$5)/12),2))</f>
        <v/>
      </c>
      <c r="AQ126">
        <f>IF(L125&lt;=0,0,ROUND(L125*(1+IF(AND(L$6&gt;0,$B126&lt;L$6),L$4,L$5)/12),2))</f>
        <v/>
      </c>
      <c r="AR126">
        <f>IF(M125&lt;=0,0,ROUND(M125*(1+IF(AND(M$6&gt;0,$B126&lt;M$6),M$4,M$5)/12),2))</f>
        <v/>
      </c>
      <c r="AS126">
        <f>IF(N125&lt;=0,0,ROUND(N125*(1+IF(AND(N$6&gt;0,$B126&lt;N$6),N$4,N$5)/12),2))</f>
        <v/>
      </c>
    </row>
    <row r="127">
      <c r="A127" t="n">
        <v>116</v>
      </c>
      <c r="B127">
        <f>EDATE(Plan!$C$6,115)</f>
        <v/>
      </c>
      <c r="C127">
        <f>IF(C126&lt;=0,0,MAX(0,AH127-O127))</f>
        <v/>
      </c>
      <c r="D127">
        <f>IF(D126&lt;=0,0,MAX(0,AI127-P127))</f>
        <v/>
      </c>
      <c r="E127">
        <f>IF(E126&lt;=0,0,MAX(0,AJ127-Q127))</f>
        <v/>
      </c>
      <c r="F127">
        <f>IF(F126&lt;=0,0,MAX(0,AK127-R127))</f>
        <v/>
      </c>
      <c r="G127">
        <f>IF(G126&lt;=0,0,MAX(0,AL127-S127))</f>
        <v/>
      </c>
      <c r="H127">
        <f>IF(H126&lt;=0,0,MAX(0,AM127-T127))</f>
        <v/>
      </c>
      <c r="I127">
        <f>IF(I126&lt;=0,0,MAX(0,AN127-U127))</f>
        <v/>
      </c>
      <c r="J127">
        <f>IF(J126&lt;=0,0,MAX(0,AO127-V127))</f>
        <v/>
      </c>
      <c r="K127">
        <f>IF(K126&lt;=0,0,MAX(0,AP127-W127))</f>
        <v/>
      </c>
      <c r="L127">
        <f>IF(L126&lt;=0,0,MAX(0,AQ127-X127))</f>
        <v/>
      </c>
      <c r="M127">
        <f>IF(M126&lt;=0,0,MAX(0,AR127-Y127))</f>
        <v/>
      </c>
      <c r="N127">
        <f>IF(N126&lt;=0,0,MAX(0,AS127-Z127))</f>
        <v/>
      </c>
      <c r="O127">
        <f>IF(C126&lt;=0,0,MIN(AH127,C$7+IF(C$2=$AA127,$AC127,IF(C$2=$AF127,$AG127,0))))</f>
        <v/>
      </c>
      <c r="P127">
        <f>IF(D126&lt;=0,0,MIN(AI127,D$7+IF(D$2=$AA127,$AC127,IF(D$2=$AF127,$AG127,0))))</f>
        <v/>
      </c>
      <c r="Q127">
        <f>IF(E126&lt;=0,0,MIN(AJ127,E$7+IF(E$2=$AA127,$AC127,IF(E$2=$AF127,$AG127,0))))</f>
        <v/>
      </c>
      <c r="R127">
        <f>IF(F126&lt;=0,0,MIN(AK127,F$7+IF(F$2=$AA127,$AC127,IF(F$2=$AF127,$AG127,0))))</f>
        <v/>
      </c>
      <c r="S127">
        <f>IF(G126&lt;=0,0,MIN(AL127,G$7+IF(G$2=$AA127,$AC127,IF(G$2=$AF127,$AG127,0))))</f>
        <v/>
      </c>
      <c r="T127">
        <f>IF(H126&lt;=0,0,MIN(AM127,H$7+IF(H$2=$AA127,$AC127,IF(H$2=$AF127,$AG127,0))))</f>
        <v/>
      </c>
      <c r="U127">
        <f>IF(I126&lt;=0,0,MIN(AN127,I$7+IF(I$2=$AA127,$AC127,IF(I$2=$AF127,$AG127,0))))</f>
        <v/>
      </c>
      <c r="V127">
        <f>IF(J126&lt;=0,0,MIN(AO127,J$7+IF(J$2=$AA127,$AC127,IF(J$2=$AF127,$AG127,0))))</f>
        <v/>
      </c>
      <c r="W127">
        <f>IF(K126&lt;=0,0,MIN(AP127,K$7+IF(K$2=$AA127,$AC127,IF(K$2=$AF127,$AG127,0))))</f>
        <v/>
      </c>
      <c r="X127">
        <f>IF(L126&lt;=0,0,MIN(AQ127,L$7+IF(L$2=$AA127,$AC127,IF(L$2=$AF127,$AG127,0))))</f>
        <v/>
      </c>
      <c r="Y127">
        <f>IF(M126&lt;=0,0,MIN(AR127,M$7+IF(M$2=$AA127,$AC127,IF(M$2=$AF127,$AG127,0))))</f>
        <v/>
      </c>
      <c r="Z127">
        <f>IF(N126&lt;=0,0,MIN(AS127,N$7+IF(N$2=$AA127,$AC127,IF(N$2=$AF127,$AG127,0))))</f>
        <v/>
      </c>
      <c r="AA127">
        <f>IFERROR(ROUND(1/SUMPRODUCT(MAX((C126:N126&gt;0)*($C$3:$N$3&lt;=B127)/$C$2:$N$2)),0),0)</f>
        <v/>
      </c>
      <c r="AB127">
        <f>SUMPRODUCT((C126:N126&gt;0)*$C$7:$N$7)</f>
        <v/>
      </c>
      <c r="AC127">
        <f>MAX(0,Plan!$C$5-AB127)+IF(A127=Plan!$C$8,N(Plan!$C$7),0)</f>
        <v/>
      </c>
      <c r="AD127">
        <f>SUM(C127:N127)</f>
        <v/>
      </c>
      <c r="AE127">
        <f>SUM(O127:Z127)</f>
        <v/>
      </c>
      <c r="AF127">
        <f>IFERROR(ROUND(1/SUMPRODUCT(MAX((C126:N126&gt;0)*($C$3:$N$3&lt;=B127)*($C$2:$N$2&gt;AA127)/$C$2:$N$2)),0),0)</f>
        <v/>
      </c>
      <c r="AG127">
        <f>MAX(0,AC127-MAX(0,SUMPRODUCT(($C$2:$N$2=AA127)*(AH127:AS127-$C$7:$N$7))))</f>
        <v/>
      </c>
      <c r="AH127">
        <f>IF(C126&lt;=0,0,ROUND(C126*(1+IF(AND(C$6&gt;0,$B127&lt;C$6),C$4,C$5)/12),2))</f>
        <v/>
      </c>
      <c r="AI127">
        <f>IF(D126&lt;=0,0,ROUND(D126*(1+IF(AND(D$6&gt;0,$B127&lt;D$6),D$4,D$5)/12),2))</f>
        <v/>
      </c>
      <c r="AJ127">
        <f>IF(E126&lt;=0,0,ROUND(E126*(1+IF(AND(E$6&gt;0,$B127&lt;E$6),E$4,E$5)/12),2))</f>
        <v/>
      </c>
      <c r="AK127">
        <f>IF(F126&lt;=0,0,ROUND(F126*(1+IF(AND(F$6&gt;0,$B127&lt;F$6),F$4,F$5)/12),2))</f>
        <v/>
      </c>
      <c r="AL127">
        <f>IF(G126&lt;=0,0,ROUND(G126*(1+IF(AND(G$6&gt;0,$B127&lt;G$6),G$4,G$5)/12),2))</f>
        <v/>
      </c>
      <c r="AM127">
        <f>IF(H126&lt;=0,0,ROUND(H126*(1+IF(AND(H$6&gt;0,$B127&lt;H$6),H$4,H$5)/12),2))</f>
        <v/>
      </c>
      <c r="AN127">
        <f>IF(I126&lt;=0,0,ROUND(I126*(1+IF(AND(I$6&gt;0,$B127&lt;I$6),I$4,I$5)/12),2))</f>
        <v/>
      </c>
      <c r="AO127">
        <f>IF(J126&lt;=0,0,ROUND(J126*(1+IF(AND(J$6&gt;0,$B127&lt;J$6),J$4,J$5)/12),2))</f>
        <v/>
      </c>
      <c r="AP127">
        <f>IF(K126&lt;=0,0,ROUND(K126*(1+IF(AND(K$6&gt;0,$B127&lt;K$6),K$4,K$5)/12),2))</f>
        <v/>
      </c>
      <c r="AQ127">
        <f>IF(L126&lt;=0,0,ROUND(L126*(1+IF(AND(L$6&gt;0,$B127&lt;L$6),L$4,L$5)/12),2))</f>
        <v/>
      </c>
      <c r="AR127">
        <f>IF(M126&lt;=0,0,ROUND(M126*(1+IF(AND(M$6&gt;0,$B127&lt;M$6),M$4,M$5)/12),2))</f>
        <v/>
      </c>
      <c r="AS127">
        <f>IF(N126&lt;=0,0,ROUND(N126*(1+IF(AND(N$6&gt;0,$B127&lt;N$6),N$4,N$5)/12),2))</f>
        <v/>
      </c>
    </row>
    <row r="128">
      <c r="A128" t="n">
        <v>117</v>
      </c>
      <c r="B128">
        <f>EDATE(Plan!$C$6,116)</f>
        <v/>
      </c>
      <c r="C128">
        <f>IF(C127&lt;=0,0,MAX(0,AH128-O128))</f>
        <v/>
      </c>
      <c r="D128">
        <f>IF(D127&lt;=0,0,MAX(0,AI128-P128))</f>
        <v/>
      </c>
      <c r="E128">
        <f>IF(E127&lt;=0,0,MAX(0,AJ128-Q128))</f>
        <v/>
      </c>
      <c r="F128">
        <f>IF(F127&lt;=0,0,MAX(0,AK128-R128))</f>
        <v/>
      </c>
      <c r="G128">
        <f>IF(G127&lt;=0,0,MAX(0,AL128-S128))</f>
        <v/>
      </c>
      <c r="H128">
        <f>IF(H127&lt;=0,0,MAX(0,AM128-T128))</f>
        <v/>
      </c>
      <c r="I128">
        <f>IF(I127&lt;=0,0,MAX(0,AN128-U128))</f>
        <v/>
      </c>
      <c r="J128">
        <f>IF(J127&lt;=0,0,MAX(0,AO128-V128))</f>
        <v/>
      </c>
      <c r="K128">
        <f>IF(K127&lt;=0,0,MAX(0,AP128-W128))</f>
        <v/>
      </c>
      <c r="L128">
        <f>IF(L127&lt;=0,0,MAX(0,AQ128-X128))</f>
        <v/>
      </c>
      <c r="M128">
        <f>IF(M127&lt;=0,0,MAX(0,AR128-Y128))</f>
        <v/>
      </c>
      <c r="N128">
        <f>IF(N127&lt;=0,0,MAX(0,AS128-Z128))</f>
        <v/>
      </c>
      <c r="O128">
        <f>IF(C127&lt;=0,0,MIN(AH128,C$7+IF(C$2=$AA128,$AC128,IF(C$2=$AF128,$AG128,0))))</f>
        <v/>
      </c>
      <c r="P128">
        <f>IF(D127&lt;=0,0,MIN(AI128,D$7+IF(D$2=$AA128,$AC128,IF(D$2=$AF128,$AG128,0))))</f>
        <v/>
      </c>
      <c r="Q128">
        <f>IF(E127&lt;=0,0,MIN(AJ128,E$7+IF(E$2=$AA128,$AC128,IF(E$2=$AF128,$AG128,0))))</f>
        <v/>
      </c>
      <c r="R128">
        <f>IF(F127&lt;=0,0,MIN(AK128,F$7+IF(F$2=$AA128,$AC128,IF(F$2=$AF128,$AG128,0))))</f>
        <v/>
      </c>
      <c r="S128">
        <f>IF(G127&lt;=0,0,MIN(AL128,G$7+IF(G$2=$AA128,$AC128,IF(G$2=$AF128,$AG128,0))))</f>
        <v/>
      </c>
      <c r="T128">
        <f>IF(H127&lt;=0,0,MIN(AM128,H$7+IF(H$2=$AA128,$AC128,IF(H$2=$AF128,$AG128,0))))</f>
        <v/>
      </c>
      <c r="U128">
        <f>IF(I127&lt;=0,0,MIN(AN128,I$7+IF(I$2=$AA128,$AC128,IF(I$2=$AF128,$AG128,0))))</f>
        <v/>
      </c>
      <c r="V128">
        <f>IF(J127&lt;=0,0,MIN(AO128,J$7+IF(J$2=$AA128,$AC128,IF(J$2=$AF128,$AG128,0))))</f>
        <v/>
      </c>
      <c r="W128">
        <f>IF(K127&lt;=0,0,MIN(AP128,K$7+IF(K$2=$AA128,$AC128,IF(K$2=$AF128,$AG128,0))))</f>
        <v/>
      </c>
      <c r="X128">
        <f>IF(L127&lt;=0,0,MIN(AQ128,L$7+IF(L$2=$AA128,$AC128,IF(L$2=$AF128,$AG128,0))))</f>
        <v/>
      </c>
      <c r="Y128">
        <f>IF(M127&lt;=0,0,MIN(AR128,M$7+IF(M$2=$AA128,$AC128,IF(M$2=$AF128,$AG128,0))))</f>
        <v/>
      </c>
      <c r="Z128">
        <f>IF(N127&lt;=0,0,MIN(AS128,N$7+IF(N$2=$AA128,$AC128,IF(N$2=$AF128,$AG128,0))))</f>
        <v/>
      </c>
      <c r="AA128">
        <f>IFERROR(ROUND(1/SUMPRODUCT(MAX((C127:N127&gt;0)*($C$3:$N$3&lt;=B128)/$C$2:$N$2)),0),0)</f>
        <v/>
      </c>
      <c r="AB128">
        <f>SUMPRODUCT((C127:N127&gt;0)*$C$7:$N$7)</f>
        <v/>
      </c>
      <c r="AC128">
        <f>MAX(0,Plan!$C$5-AB128)+IF(A128=Plan!$C$8,N(Plan!$C$7),0)</f>
        <v/>
      </c>
      <c r="AD128">
        <f>SUM(C128:N128)</f>
        <v/>
      </c>
      <c r="AE128">
        <f>SUM(O128:Z128)</f>
        <v/>
      </c>
      <c r="AF128">
        <f>IFERROR(ROUND(1/SUMPRODUCT(MAX((C127:N127&gt;0)*($C$3:$N$3&lt;=B128)*($C$2:$N$2&gt;AA128)/$C$2:$N$2)),0),0)</f>
        <v/>
      </c>
      <c r="AG128">
        <f>MAX(0,AC128-MAX(0,SUMPRODUCT(($C$2:$N$2=AA128)*(AH128:AS128-$C$7:$N$7))))</f>
        <v/>
      </c>
      <c r="AH128">
        <f>IF(C127&lt;=0,0,ROUND(C127*(1+IF(AND(C$6&gt;0,$B128&lt;C$6),C$4,C$5)/12),2))</f>
        <v/>
      </c>
      <c r="AI128">
        <f>IF(D127&lt;=0,0,ROUND(D127*(1+IF(AND(D$6&gt;0,$B128&lt;D$6),D$4,D$5)/12),2))</f>
        <v/>
      </c>
      <c r="AJ128">
        <f>IF(E127&lt;=0,0,ROUND(E127*(1+IF(AND(E$6&gt;0,$B128&lt;E$6),E$4,E$5)/12),2))</f>
        <v/>
      </c>
      <c r="AK128">
        <f>IF(F127&lt;=0,0,ROUND(F127*(1+IF(AND(F$6&gt;0,$B128&lt;F$6),F$4,F$5)/12),2))</f>
        <v/>
      </c>
      <c r="AL128">
        <f>IF(G127&lt;=0,0,ROUND(G127*(1+IF(AND(G$6&gt;0,$B128&lt;G$6),G$4,G$5)/12),2))</f>
        <v/>
      </c>
      <c r="AM128">
        <f>IF(H127&lt;=0,0,ROUND(H127*(1+IF(AND(H$6&gt;0,$B128&lt;H$6),H$4,H$5)/12),2))</f>
        <v/>
      </c>
      <c r="AN128">
        <f>IF(I127&lt;=0,0,ROUND(I127*(1+IF(AND(I$6&gt;0,$B128&lt;I$6),I$4,I$5)/12),2))</f>
        <v/>
      </c>
      <c r="AO128">
        <f>IF(J127&lt;=0,0,ROUND(J127*(1+IF(AND(J$6&gt;0,$B128&lt;J$6),J$4,J$5)/12),2))</f>
        <v/>
      </c>
      <c r="AP128">
        <f>IF(K127&lt;=0,0,ROUND(K127*(1+IF(AND(K$6&gt;0,$B128&lt;K$6),K$4,K$5)/12),2))</f>
        <v/>
      </c>
      <c r="AQ128">
        <f>IF(L127&lt;=0,0,ROUND(L127*(1+IF(AND(L$6&gt;0,$B128&lt;L$6),L$4,L$5)/12),2))</f>
        <v/>
      </c>
      <c r="AR128">
        <f>IF(M127&lt;=0,0,ROUND(M127*(1+IF(AND(M$6&gt;0,$B128&lt;M$6),M$4,M$5)/12),2))</f>
        <v/>
      </c>
      <c r="AS128">
        <f>IF(N127&lt;=0,0,ROUND(N127*(1+IF(AND(N$6&gt;0,$B128&lt;N$6),N$4,N$5)/12),2))</f>
        <v/>
      </c>
    </row>
    <row r="129">
      <c r="A129" t="n">
        <v>118</v>
      </c>
      <c r="B129">
        <f>EDATE(Plan!$C$6,117)</f>
        <v/>
      </c>
      <c r="C129">
        <f>IF(C128&lt;=0,0,MAX(0,AH129-O129))</f>
        <v/>
      </c>
      <c r="D129">
        <f>IF(D128&lt;=0,0,MAX(0,AI129-P129))</f>
        <v/>
      </c>
      <c r="E129">
        <f>IF(E128&lt;=0,0,MAX(0,AJ129-Q129))</f>
        <v/>
      </c>
      <c r="F129">
        <f>IF(F128&lt;=0,0,MAX(0,AK129-R129))</f>
        <v/>
      </c>
      <c r="G129">
        <f>IF(G128&lt;=0,0,MAX(0,AL129-S129))</f>
        <v/>
      </c>
      <c r="H129">
        <f>IF(H128&lt;=0,0,MAX(0,AM129-T129))</f>
        <v/>
      </c>
      <c r="I129">
        <f>IF(I128&lt;=0,0,MAX(0,AN129-U129))</f>
        <v/>
      </c>
      <c r="J129">
        <f>IF(J128&lt;=0,0,MAX(0,AO129-V129))</f>
        <v/>
      </c>
      <c r="K129">
        <f>IF(K128&lt;=0,0,MAX(0,AP129-W129))</f>
        <v/>
      </c>
      <c r="L129">
        <f>IF(L128&lt;=0,0,MAX(0,AQ129-X129))</f>
        <v/>
      </c>
      <c r="M129">
        <f>IF(M128&lt;=0,0,MAX(0,AR129-Y129))</f>
        <v/>
      </c>
      <c r="N129">
        <f>IF(N128&lt;=0,0,MAX(0,AS129-Z129))</f>
        <v/>
      </c>
      <c r="O129">
        <f>IF(C128&lt;=0,0,MIN(AH129,C$7+IF(C$2=$AA129,$AC129,IF(C$2=$AF129,$AG129,0))))</f>
        <v/>
      </c>
      <c r="P129">
        <f>IF(D128&lt;=0,0,MIN(AI129,D$7+IF(D$2=$AA129,$AC129,IF(D$2=$AF129,$AG129,0))))</f>
        <v/>
      </c>
      <c r="Q129">
        <f>IF(E128&lt;=0,0,MIN(AJ129,E$7+IF(E$2=$AA129,$AC129,IF(E$2=$AF129,$AG129,0))))</f>
        <v/>
      </c>
      <c r="R129">
        <f>IF(F128&lt;=0,0,MIN(AK129,F$7+IF(F$2=$AA129,$AC129,IF(F$2=$AF129,$AG129,0))))</f>
        <v/>
      </c>
      <c r="S129">
        <f>IF(G128&lt;=0,0,MIN(AL129,G$7+IF(G$2=$AA129,$AC129,IF(G$2=$AF129,$AG129,0))))</f>
        <v/>
      </c>
      <c r="T129">
        <f>IF(H128&lt;=0,0,MIN(AM129,H$7+IF(H$2=$AA129,$AC129,IF(H$2=$AF129,$AG129,0))))</f>
        <v/>
      </c>
      <c r="U129">
        <f>IF(I128&lt;=0,0,MIN(AN129,I$7+IF(I$2=$AA129,$AC129,IF(I$2=$AF129,$AG129,0))))</f>
        <v/>
      </c>
      <c r="V129">
        <f>IF(J128&lt;=0,0,MIN(AO129,J$7+IF(J$2=$AA129,$AC129,IF(J$2=$AF129,$AG129,0))))</f>
        <v/>
      </c>
      <c r="W129">
        <f>IF(K128&lt;=0,0,MIN(AP129,K$7+IF(K$2=$AA129,$AC129,IF(K$2=$AF129,$AG129,0))))</f>
        <v/>
      </c>
      <c r="X129">
        <f>IF(L128&lt;=0,0,MIN(AQ129,L$7+IF(L$2=$AA129,$AC129,IF(L$2=$AF129,$AG129,0))))</f>
        <v/>
      </c>
      <c r="Y129">
        <f>IF(M128&lt;=0,0,MIN(AR129,M$7+IF(M$2=$AA129,$AC129,IF(M$2=$AF129,$AG129,0))))</f>
        <v/>
      </c>
      <c r="Z129">
        <f>IF(N128&lt;=0,0,MIN(AS129,N$7+IF(N$2=$AA129,$AC129,IF(N$2=$AF129,$AG129,0))))</f>
        <v/>
      </c>
      <c r="AA129">
        <f>IFERROR(ROUND(1/SUMPRODUCT(MAX((C128:N128&gt;0)*($C$3:$N$3&lt;=B129)/$C$2:$N$2)),0),0)</f>
        <v/>
      </c>
      <c r="AB129">
        <f>SUMPRODUCT((C128:N128&gt;0)*$C$7:$N$7)</f>
        <v/>
      </c>
      <c r="AC129">
        <f>MAX(0,Plan!$C$5-AB129)+IF(A129=Plan!$C$8,N(Plan!$C$7),0)</f>
        <v/>
      </c>
      <c r="AD129">
        <f>SUM(C129:N129)</f>
        <v/>
      </c>
      <c r="AE129">
        <f>SUM(O129:Z129)</f>
        <v/>
      </c>
      <c r="AF129">
        <f>IFERROR(ROUND(1/SUMPRODUCT(MAX((C128:N128&gt;0)*($C$3:$N$3&lt;=B129)*($C$2:$N$2&gt;AA129)/$C$2:$N$2)),0),0)</f>
        <v/>
      </c>
      <c r="AG129">
        <f>MAX(0,AC129-MAX(0,SUMPRODUCT(($C$2:$N$2=AA129)*(AH129:AS129-$C$7:$N$7))))</f>
        <v/>
      </c>
      <c r="AH129">
        <f>IF(C128&lt;=0,0,ROUND(C128*(1+IF(AND(C$6&gt;0,$B129&lt;C$6),C$4,C$5)/12),2))</f>
        <v/>
      </c>
      <c r="AI129">
        <f>IF(D128&lt;=0,0,ROUND(D128*(1+IF(AND(D$6&gt;0,$B129&lt;D$6),D$4,D$5)/12),2))</f>
        <v/>
      </c>
      <c r="AJ129">
        <f>IF(E128&lt;=0,0,ROUND(E128*(1+IF(AND(E$6&gt;0,$B129&lt;E$6),E$4,E$5)/12),2))</f>
        <v/>
      </c>
      <c r="AK129">
        <f>IF(F128&lt;=0,0,ROUND(F128*(1+IF(AND(F$6&gt;0,$B129&lt;F$6),F$4,F$5)/12),2))</f>
        <v/>
      </c>
      <c r="AL129">
        <f>IF(G128&lt;=0,0,ROUND(G128*(1+IF(AND(G$6&gt;0,$B129&lt;G$6),G$4,G$5)/12),2))</f>
        <v/>
      </c>
      <c r="AM129">
        <f>IF(H128&lt;=0,0,ROUND(H128*(1+IF(AND(H$6&gt;0,$B129&lt;H$6),H$4,H$5)/12),2))</f>
        <v/>
      </c>
      <c r="AN129">
        <f>IF(I128&lt;=0,0,ROUND(I128*(1+IF(AND(I$6&gt;0,$B129&lt;I$6),I$4,I$5)/12),2))</f>
        <v/>
      </c>
      <c r="AO129">
        <f>IF(J128&lt;=0,0,ROUND(J128*(1+IF(AND(J$6&gt;0,$B129&lt;J$6),J$4,J$5)/12),2))</f>
        <v/>
      </c>
      <c r="AP129">
        <f>IF(K128&lt;=0,0,ROUND(K128*(1+IF(AND(K$6&gt;0,$B129&lt;K$6),K$4,K$5)/12),2))</f>
        <v/>
      </c>
      <c r="AQ129">
        <f>IF(L128&lt;=0,0,ROUND(L128*(1+IF(AND(L$6&gt;0,$B129&lt;L$6),L$4,L$5)/12),2))</f>
        <v/>
      </c>
      <c r="AR129">
        <f>IF(M128&lt;=0,0,ROUND(M128*(1+IF(AND(M$6&gt;0,$B129&lt;M$6),M$4,M$5)/12),2))</f>
        <v/>
      </c>
      <c r="AS129">
        <f>IF(N128&lt;=0,0,ROUND(N128*(1+IF(AND(N$6&gt;0,$B129&lt;N$6),N$4,N$5)/12),2))</f>
        <v/>
      </c>
    </row>
    <row r="130">
      <c r="A130" t="n">
        <v>119</v>
      </c>
      <c r="B130">
        <f>EDATE(Plan!$C$6,118)</f>
        <v/>
      </c>
      <c r="C130">
        <f>IF(C129&lt;=0,0,MAX(0,AH130-O130))</f>
        <v/>
      </c>
      <c r="D130">
        <f>IF(D129&lt;=0,0,MAX(0,AI130-P130))</f>
        <v/>
      </c>
      <c r="E130">
        <f>IF(E129&lt;=0,0,MAX(0,AJ130-Q130))</f>
        <v/>
      </c>
      <c r="F130">
        <f>IF(F129&lt;=0,0,MAX(0,AK130-R130))</f>
        <v/>
      </c>
      <c r="G130">
        <f>IF(G129&lt;=0,0,MAX(0,AL130-S130))</f>
        <v/>
      </c>
      <c r="H130">
        <f>IF(H129&lt;=0,0,MAX(0,AM130-T130))</f>
        <v/>
      </c>
      <c r="I130">
        <f>IF(I129&lt;=0,0,MAX(0,AN130-U130))</f>
        <v/>
      </c>
      <c r="J130">
        <f>IF(J129&lt;=0,0,MAX(0,AO130-V130))</f>
        <v/>
      </c>
      <c r="K130">
        <f>IF(K129&lt;=0,0,MAX(0,AP130-W130))</f>
        <v/>
      </c>
      <c r="L130">
        <f>IF(L129&lt;=0,0,MAX(0,AQ130-X130))</f>
        <v/>
      </c>
      <c r="M130">
        <f>IF(M129&lt;=0,0,MAX(0,AR130-Y130))</f>
        <v/>
      </c>
      <c r="N130">
        <f>IF(N129&lt;=0,0,MAX(0,AS130-Z130))</f>
        <v/>
      </c>
      <c r="O130">
        <f>IF(C129&lt;=0,0,MIN(AH130,C$7+IF(C$2=$AA130,$AC130,IF(C$2=$AF130,$AG130,0))))</f>
        <v/>
      </c>
      <c r="P130">
        <f>IF(D129&lt;=0,0,MIN(AI130,D$7+IF(D$2=$AA130,$AC130,IF(D$2=$AF130,$AG130,0))))</f>
        <v/>
      </c>
      <c r="Q130">
        <f>IF(E129&lt;=0,0,MIN(AJ130,E$7+IF(E$2=$AA130,$AC130,IF(E$2=$AF130,$AG130,0))))</f>
        <v/>
      </c>
      <c r="R130">
        <f>IF(F129&lt;=0,0,MIN(AK130,F$7+IF(F$2=$AA130,$AC130,IF(F$2=$AF130,$AG130,0))))</f>
        <v/>
      </c>
      <c r="S130">
        <f>IF(G129&lt;=0,0,MIN(AL130,G$7+IF(G$2=$AA130,$AC130,IF(G$2=$AF130,$AG130,0))))</f>
        <v/>
      </c>
      <c r="T130">
        <f>IF(H129&lt;=0,0,MIN(AM130,H$7+IF(H$2=$AA130,$AC130,IF(H$2=$AF130,$AG130,0))))</f>
        <v/>
      </c>
      <c r="U130">
        <f>IF(I129&lt;=0,0,MIN(AN130,I$7+IF(I$2=$AA130,$AC130,IF(I$2=$AF130,$AG130,0))))</f>
        <v/>
      </c>
      <c r="V130">
        <f>IF(J129&lt;=0,0,MIN(AO130,J$7+IF(J$2=$AA130,$AC130,IF(J$2=$AF130,$AG130,0))))</f>
        <v/>
      </c>
      <c r="W130">
        <f>IF(K129&lt;=0,0,MIN(AP130,K$7+IF(K$2=$AA130,$AC130,IF(K$2=$AF130,$AG130,0))))</f>
        <v/>
      </c>
      <c r="X130">
        <f>IF(L129&lt;=0,0,MIN(AQ130,L$7+IF(L$2=$AA130,$AC130,IF(L$2=$AF130,$AG130,0))))</f>
        <v/>
      </c>
      <c r="Y130">
        <f>IF(M129&lt;=0,0,MIN(AR130,M$7+IF(M$2=$AA130,$AC130,IF(M$2=$AF130,$AG130,0))))</f>
        <v/>
      </c>
      <c r="Z130">
        <f>IF(N129&lt;=0,0,MIN(AS130,N$7+IF(N$2=$AA130,$AC130,IF(N$2=$AF130,$AG130,0))))</f>
        <v/>
      </c>
      <c r="AA130">
        <f>IFERROR(ROUND(1/SUMPRODUCT(MAX((C129:N129&gt;0)*($C$3:$N$3&lt;=B130)/$C$2:$N$2)),0),0)</f>
        <v/>
      </c>
      <c r="AB130">
        <f>SUMPRODUCT((C129:N129&gt;0)*$C$7:$N$7)</f>
        <v/>
      </c>
      <c r="AC130">
        <f>MAX(0,Plan!$C$5-AB130)+IF(A130=Plan!$C$8,N(Plan!$C$7),0)</f>
        <v/>
      </c>
      <c r="AD130">
        <f>SUM(C130:N130)</f>
        <v/>
      </c>
      <c r="AE130">
        <f>SUM(O130:Z130)</f>
        <v/>
      </c>
      <c r="AF130">
        <f>IFERROR(ROUND(1/SUMPRODUCT(MAX((C129:N129&gt;0)*($C$3:$N$3&lt;=B130)*($C$2:$N$2&gt;AA130)/$C$2:$N$2)),0),0)</f>
        <v/>
      </c>
      <c r="AG130">
        <f>MAX(0,AC130-MAX(0,SUMPRODUCT(($C$2:$N$2=AA130)*(AH130:AS130-$C$7:$N$7))))</f>
        <v/>
      </c>
      <c r="AH130">
        <f>IF(C129&lt;=0,0,ROUND(C129*(1+IF(AND(C$6&gt;0,$B130&lt;C$6),C$4,C$5)/12),2))</f>
        <v/>
      </c>
      <c r="AI130">
        <f>IF(D129&lt;=0,0,ROUND(D129*(1+IF(AND(D$6&gt;0,$B130&lt;D$6),D$4,D$5)/12),2))</f>
        <v/>
      </c>
      <c r="AJ130">
        <f>IF(E129&lt;=0,0,ROUND(E129*(1+IF(AND(E$6&gt;0,$B130&lt;E$6),E$4,E$5)/12),2))</f>
        <v/>
      </c>
      <c r="AK130">
        <f>IF(F129&lt;=0,0,ROUND(F129*(1+IF(AND(F$6&gt;0,$B130&lt;F$6),F$4,F$5)/12),2))</f>
        <v/>
      </c>
      <c r="AL130">
        <f>IF(G129&lt;=0,0,ROUND(G129*(1+IF(AND(G$6&gt;0,$B130&lt;G$6),G$4,G$5)/12),2))</f>
        <v/>
      </c>
      <c r="AM130">
        <f>IF(H129&lt;=0,0,ROUND(H129*(1+IF(AND(H$6&gt;0,$B130&lt;H$6),H$4,H$5)/12),2))</f>
        <v/>
      </c>
      <c r="AN130">
        <f>IF(I129&lt;=0,0,ROUND(I129*(1+IF(AND(I$6&gt;0,$B130&lt;I$6),I$4,I$5)/12),2))</f>
        <v/>
      </c>
      <c r="AO130">
        <f>IF(J129&lt;=0,0,ROUND(J129*(1+IF(AND(J$6&gt;0,$B130&lt;J$6),J$4,J$5)/12),2))</f>
        <v/>
      </c>
      <c r="AP130">
        <f>IF(K129&lt;=0,0,ROUND(K129*(1+IF(AND(K$6&gt;0,$B130&lt;K$6),K$4,K$5)/12),2))</f>
        <v/>
      </c>
      <c r="AQ130">
        <f>IF(L129&lt;=0,0,ROUND(L129*(1+IF(AND(L$6&gt;0,$B130&lt;L$6),L$4,L$5)/12),2))</f>
        <v/>
      </c>
      <c r="AR130">
        <f>IF(M129&lt;=0,0,ROUND(M129*(1+IF(AND(M$6&gt;0,$B130&lt;M$6),M$4,M$5)/12),2))</f>
        <v/>
      </c>
      <c r="AS130">
        <f>IF(N129&lt;=0,0,ROUND(N129*(1+IF(AND(N$6&gt;0,$B130&lt;N$6),N$4,N$5)/12),2))</f>
        <v/>
      </c>
    </row>
    <row r="131">
      <c r="A131" t="n">
        <v>120</v>
      </c>
      <c r="B131">
        <f>EDATE(Plan!$C$6,119)</f>
        <v/>
      </c>
      <c r="C131">
        <f>IF(C130&lt;=0,0,MAX(0,AH131-O131))</f>
        <v/>
      </c>
      <c r="D131">
        <f>IF(D130&lt;=0,0,MAX(0,AI131-P131))</f>
        <v/>
      </c>
      <c r="E131">
        <f>IF(E130&lt;=0,0,MAX(0,AJ131-Q131))</f>
        <v/>
      </c>
      <c r="F131">
        <f>IF(F130&lt;=0,0,MAX(0,AK131-R131))</f>
        <v/>
      </c>
      <c r="G131">
        <f>IF(G130&lt;=0,0,MAX(0,AL131-S131))</f>
        <v/>
      </c>
      <c r="H131">
        <f>IF(H130&lt;=0,0,MAX(0,AM131-T131))</f>
        <v/>
      </c>
      <c r="I131">
        <f>IF(I130&lt;=0,0,MAX(0,AN131-U131))</f>
        <v/>
      </c>
      <c r="J131">
        <f>IF(J130&lt;=0,0,MAX(0,AO131-V131))</f>
        <v/>
      </c>
      <c r="K131">
        <f>IF(K130&lt;=0,0,MAX(0,AP131-W131))</f>
        <v/>
      </c>
      <c r="L131">
        <f>IF(L130&lt;=0,0,MAX(0,AQ131-X131))</f>
        <v/>
      </c>
      <c r="M131">
        <f>IF(M130&lt;=0,0,MAX(0,AR131-Y131))</f>
        <v/>
      </c>
      <c r="N131">
        <f>IF(N130&lt;=0,0,MAX(0,AS131-Z131))</f>
        <v/>
      </c>
      <c r="O131">
        <f>IF(C130&lt;=0,0,MIN(AH131,C$7+IF(C$2=$AA131,$AC131,IF(C$2=$AF131,$AG131,0))))</f>
        <v/>
      </c>
      <c r="P131">
        <f>IF(D130&lt;=0,0,MIN(AI131,D$7+IF(D$2=$AA131,$AC131,IF(D$2=$AF131,$AG131,0))))</f>
        <v/>
      </c>
      <c r="Q131">
        <f>IF(E130&lt;=0,0,MIN(AJ131,E$7+IF(E$2=$AA131,$AC131,IF(E$2=$AF131,$AG131,0))))</f>
        <v/>
      </c>
      <c r="R131">
        <f>IF(F130&lt;=0,0,MIN(AK131,F$7+IF(F$2=$AA131,$AC131,IF(F$2=$AF131,$AG131,0))))</f>
        <v/>
      </c>
      <c r="S131">
        <f>IF(G130&lt;=0,0,MIN(AL131,G$7+IF(G$2=$AA131,$AC131,IF(G$2=$AF131,$AG131,0))))</f>
        <v/>
      </c>
      <c r="T131">
        <f>IF(H130&lt;=0,0,MIN(AM131,H$7+IF(H$2=$AA131,$AC131,IF(H$2=$AF131,$AG131,0))))</f>
        <v/>
      </c>
      <c r="U131">
        <f>IF(I130&lt;=0,0,MIN(AN131,I$7+IF(I$2=$AA131,$AC131,IF(I$2=$AF131,$AG131,0))))</f>
        <v/>
      </c>
      <c r="V131">
        <f>IF(J130&lt;=0,0,MIN(AO131,J$7+IF(J$2=$AA131,$AC131,IF(J$2=$AF131,$AG131,0))))</f>
        <v/>
      </c>
      <c r="W131">
        <f>IF(K130&lt;=0,0,MIN(AP131,K$7+IF(K$2=$AA131,$AC131,IF(K$2=$AF131,$AG131,0))))</f>
        <v/>
      </c>
      <c r="X131">
        <f>IF(L130&lt;=0,0,MIN(AQ131,L$7+IF(L$2=$AA131,$AC131,IF(L$2=$AF131,$AG131,0))))</f>
        <v/>
      </c>
      <c r="Y131">
        <f>IF(M130&lt;=0,0,MIN(AR131,M$7+IF(M$2=$AA131,$AC131,IF(M$2=$AF131,$AG131,0))))</f>
        <v/>
      </c>
      <c r="Z131">
        <f>IF(N130&lt;=0,0,MIN(AS131,N$7+IF(N$2=$AA131,$AC131,IF(N$2=$AF131,$AG131,0))))</f>
        <v/>
      </c>
      <c r="AA131">
        <f>IFERROR(ROUND(1/SUMPRODUCT(MAX((C130:N130&gt;0)*($C$3:$N$3&lt;=B131)/$C$2:$N$2)),0),0)</f>
        <v/>
      </c>
      <c r="AB131">
        <f>SUMPRODUCT((C130:N130&gt;0)*$C$7:$N$7)</f>
        <v/>
      </c>
      <c r="AC131">
        <f>MAX(0,Plan!$C$5-AB131)+IF(A131=Plan!$C$8,N(Plan!$C$7),0)</f>
        <v/>
      </c>
      <c r="AD131">
        <f>SUM(C131:N131)</f>
        <v/>
      </c>
      <c r="AE131">
        <f>SUM(O131:Z131)</f>
        <v/>
      </c>
      <c r="AF131">
        <f>IFERROR(ROUND(1/SUMPRODUCT(MAX((C130:N130&gt;0)*($C$3:$N$3&lt;=B131)*($C$2:$N$2&gt;AA131)/$C$2:$N$2)),0),0)</f>
        <v/>
      </c>
      <c r="AG131">
        <f>MAX(0,AC131-MAX(0,SUMPRODUCT(($C$2:$N$2=AA131)*(AH131:AS131-$C$7:$N$7))))</f>
        <v/>
      </c>
      <c r="AH131">
        <f>IF(C130&lt;=0,0,ROUND(C130*(1+IF(AND(C$6&gt;0,$B131&lt;C$6),C$4,C$5)/12),2))</f>
        <v/>
      </c>
      <c r="AI131">
        <f>IF(D130&lt;=0,0,ROUND(D130*(1+IF(AND(D$6&gt;0,$B131&lt;D$6),D$4,D$5)/12),2))</f>
        <v/>
      </c>
      <c r="AJ131">
        <f>IF(E130&lt;=0,0,ROUND(E130*(1+IF(AND(E$6&gt;0,$B131&lt;E$6),E$4,E$5)/12),2))</f>
        <v/>
      </c>
      <c r="AK131">
        <f>IF(F130&lt;=0,0,ROUND(F130*(1+IF(AND(F$6&gt;0,$B131&lt;F$6),F$4,F$5)/12),2))</f>
        <v/>
      </c>
      <c r="AL131">
        <f>IF(G130&lt;=0,0,ROUND(G130*(1+IF(AND(G$6&gt;0,$B131&lt;G$6),G$4,G$5)/12),2))</f>
        <v/>
      </c>
      <c r="AM131">
        <f>IF(H130&lt;=0,0,ROUND(H130*(1+IF(AND(H$6&gt;0,$B131&lt;H$6),H$4,H$5)/12),2))</f>
        <v/>
      </c>
      <c r="AN131">
        <f>IF(I130&lt;=0,0,ROUND(I130*(1+IF(AND(I$6&gt;0,$B131&lt;I$6),I$4,I$5)/12),2))</f>
        <v/>
      </c>
      <c r="AO131">
        <f>IF(J130&lt;=0,0,ROUND(J130*(1+IF(AND(J$6&gt;0,$B131&lt;J$6),J$4,J$5)/12),2))</f>
        <v/>
      </c>
      <c r="AP131">
        <f>IF(K130&lt;=0,0,ROUND(K130*(1+IF(AND(K$6&gt;0,$B131&lt;K$6),K$4,K$5)/12),2))</f>
        <v/>
      </c>
      <c r="AQ131">
        <f>IF(L130&lt;=0,0,ROUND(L130*(1+IF(AND(L$6&gt;0,$B131&lt;L$6),L$4,L$5)/12),2))</f>
        <v/>
      </c>
      <c r="AR131">
        <f>IF(M130&lt;=0,0,ROUND(M130*(1+IF(AND(M$6&gt;0,$B131&lt;M$6),M$4,M$5)/12),2))</f>
        <v/>
      </c>
      <c r="AS131">
        <f>IF(N130&lt;=0,0,ROUND(N130*(1+IF(AND(N$6&gt;0,$B131&lt;N$6),N$4,N$5)/12),2))</f>
        <v/>
      </c>
    </row>
    <row r="132">
      <c r="A132" t="n">
        <v>121</v>
      </c>
      <c r="B132">
        <f>EDATE(Plan!$C$6,120)</f>
        <v/>
      </c>
      <c r="C132">
        <f>IF(C131&lt;=0,0,MAX(0,AH132-O132))</f>
        <v/>
      </c>
      <c r="D132">
        <f>IF(D131&lt;=0,0,MAX(0,AI132-P132))</f>
        <v/>
      </c>
      <c r="E132">
        <f>IF(E131&lt;=0,0,MAX(0,AJ132-Q132))</f>
        <v/>
      </c>
      <c r="F132">
        <f>IF(F131&lt;=0,0,MAX(0,AK132-R132))</f>
        <v/>
      </c>
      <c r="G132">
        <f>IF(G131&lt;=0,0,MAX(0,AL132-S132))</f>
        <v/>
      </c>
      <c r="H132">
        <f>IF(H131&lt;=0,0,MAX(0,AM132-T132))</f>
        <v/>
      </c>
      <c r="I132">
        <f>IF(I131&lt;=0,0,MAX(0,AN132-U132))</f>
        <v/>
      </c>
      <c r="J132">
        <f>IF(J131&lt;=0,0,MAX(0,AO132-V132))</f>
        <v/>
      </c>
      <c r="K132">
        <f>IF(K131&lt;=0,0,MAX(0,AP132-W132))</f>
        <v/>
      </c>
      <c r="L132">
        <f>IF(L131&lt;=0,0,MAX(0,AQ132-X132))</f>
        <v/>
      </c>
      <c r="M132">
        <f>IF(M131&lt;=0,0,MAX(0,AR132-Y132))</f>
        <v/>
      </c>
      <c r="N132">
        <f>IF(N131&lt;=0,0,MAX(0,AS132-Z132))</f>
        <v/>
      </c>
      <c r="O132">
        <f>IF(C131&lt;=0,0,MIN(AH132,C$7+IF(C$2=$AA132,$AC132,IF(C$2=$AF132,$AG132,0))))</f>
        <v/>
      </c>
      <c r="P132">
        <f>IF(D131&lt;=0,0,MIN(AI132,D$7+IF(D$2=$AA132,$AC132,IF(D$2=$AF132,$AG132,0))))</f>
        <v/>
      </c>
      <c r="Q132">
        <f>IF(E131&lt;=0,0,MIN(AJ132,E$7+IF(E$2=$AA132,$AC132,IF(E$2=$AF132,$AG132,0))))</f>
        <v/>
      </c>
      <c r="R132">
        <f>IF(F131&lt;=0,0,MIN(AK132,F$7+IF(F$2=$AA132,$AC132,IF(F$2=$AF132,$AG132,0))))</f>
        <v/>
      </c>
      <c r="S132">
        <f>IF(G131&lt;=0,0,MIN(AL132,G$7+IF(G$2=$AA132,$AC132,IF(G$2=$AF132,$AG132,0))))</f>
        <v/>
      </c>
      <c r="T132">
        <f>IF(H131&lt;=0,0,MIN(AM132,H$7+IF(H$2=$AA132,$AC132,IF(H$2=$AF132,$AG132,0))))</f>
        <v/>
      </c>
      <c r="U132">
        <f>IF(I131&lt;=0,0,MIN(AN132,I$7+IF(I$2=$AA132,$AC132,IF(I$2=$AF132,$AG132,0))))</f>
        <v/>
      </c>
      <c r="V132">
        <f>IF(J131&lt;=0,0,MIN(AO132,J$7+IF(J$2=$AA132,$AC132,IF(J$2=$AF132,$AG132,0))))</f>
        <v/>
      </c>
      <c r="W132">
        <f>IF(K131&lt;=0,0,MIN(AP132,K$7+IF(K$2=$AA132,$AC132,IF(K$2=$AF132,$AG132,0))))</f>
        <v/>
      </c>
      <c r="X132">
        <f>IF(L131&lt;=0,0,MIN(AQ132,L$7+IF(L$2=$AA132,$AC132,IF(L$2=$AF132,$AG132,0))))</f>
        <v/>
      </c>
      <c r="Y132">
        <f>IF(M131&lt;=0,0,MIN(AR132,M$7+IF(M$2=$AA132,$AC132,IF(M$2=$AF132,$AG132,0))))</f>
        <v/>
      </c>
      <c r="Z132">
        <f>IF(N131&lt;=0,0,MIN(AS132,N$7+IF(N$2=$AA132,$AC132,IF(N$2=$AF132,$AG132,0))))</f>
        <v/>
      </c>
      <c r="AA132">
        <f>IFERROR(ROUND(1/SUMPRODUCT(MAX((C131:N131&gt;0)*($C$3:$N$3&lt;=B132)/$C$2:$N$2)),0),0)</f>
        <v/>
      </c>
      <c r="AB132">
        <f>SUMPRODUCT((C131:N131&gt;0)*$C$7:$N$7)</f>
        <v/>
      </c>
      <c r="AC132">
        <f>MAX(0,Plan!$C$5-AB132)+IF(A132=Plan!$C$8,N(Plan!$C$7),0)</f>
        <v/>
      </c>
      <c r="AD132">
        <f>SUM(C132:N132)</f>
        <v/>
      </c>
      <c r="AE132">
        <f>SUM(O132:Z132)</f>
        <v/>
      </c>
      <c r="AF132">
        <f>IFERROR(ROUND(1/SUMPRODUCT(MAX((C131:N131&gt;0)*($C$3:$N$3&lt;=B132)*($C$2:$N$2&gt;AA132)/$C$2:$N$2)),0),0)</f>
        <v/>
      </c>
      <c r="AG132">
        <f>MAX(0,AC132-MAX(0,SUMPRODUCT(($C$2:$N$2=AA132)*(AH132:AS132-$C$7:$N$7))))</f>
        <v/>
      </c>
      <c r="AH132">
        <f>IF(C131&lt;=0,0,ROUND(C131*(1+IF(AND(C$6&gt;0,$B132&lt;C$6),C$4,C$5)/12),2))</f>
        <v/>
      </c>
      <c r="AI132">
        <f>IF(D131&lt;=0,0,ROUND(D131*(1+IF(AND(D$6&gt;0,$B132&lt;D$6),D$4,D$5)/12),2))</f>
        <v/>
      </c>
      <c r="AJ132">
        <f>IF(E131&lt;=0,0,ROUND(E131*(1+IF(AND(E$6&gt;0,$B132&lt;E$6),E$4,E$5)/12),2))</f>
        <v/>
      </c>
      <c r="AK132">
        <f>IF(F131&lt;=0,0,ROUND(F131*(1+IF(AND(F$6&gt;0,$B132&lt;F$6),F$4,F$5)/12),2))</f>
        <v/>
      </c>
      <c r="AL132">
        <f>IF(G131&lt;=0,0,ROUND(G131*(1+IF(AND(G$6&gt;0,$B132&lt;G$6),G$4,G$5)/12),2))</f>
        <v/>
      </c>
      <c r="AM132">
        <f>IF(H131&lt;=0,0,ROUND(H131*(1+IF(AND(H$6&gt;0,$B132&lt;H$6),H$4,H$5)/12),2))</f>
        <v/>
      </c>
      <c r="AN132">
        <f>IF(I131&lt;=0,0,ROUND(I131*(1+IF(AND(I$6&gt;0,$B132&lt;I$6),I$4,I$5)/12),2))</f>
        <v/>
      </c>
      <c r="AO132">
        <f>IF(J131&lt;=0,0,ROUND(J131*(1+IF(AND(J$6&gt;0,$B132&lt;J$6),J$4,J$5)/12),2))</f>
        <v/>
      </c>
      <c r="AP132">
        <f>IF(K131&lt;=0,0,ROUND(K131*(1+IF(AND(K$6&gt;0,$B132&lt;K$6),K$4,K$5)/12),2))</f>
        <v/>
      </c>
      <c r="AQ132">
        <f>IF(L131&lt;=0,0,ROUND(L131*(1+IF(AND(L$6&gt;0,$B132&lt;L$6),L$4,L$5)/12),2))</f>
        <v/>
      </c>
      <c r="AR132">
        <f>IF(M131&lt;=0,0,ROUND(M131*(1+IF(AND(M$6&gt;0,$B132&lt;M$6),M$4,M$5)/12),2))</f>
        <v/>
      </c>
      <c r="AS132">
        <f>IF(N131&lt;=0,0,ROUND(N131*(1+IF(AND(N$6&gt;0,$B132&lt;N$6),N$4,N$5)/12),2))</f>
        <v/>
      </c>
    </row>
    <row r="133">
      <c r="A133" t="n">
        <v>122</v>
      </c>
      <c r="B133">
        <f>EDATE(Plan!$C$6,121)</f>
        <v/>
      </c>
      <c r="C133">
        <f>IF(C132&lt;=0,0,MAX(0,AH133-O133))</f>
        <v/>
      </c>
      <c r="D133">
        <f>IF(D132&lt;=0,0,MAX(0,AI133-P133))</f>
        <v/>
      </c>
      <c r="E133">
        <f>IF(E132&lt;=0,0,MAX(0,AJ133-Q133))</f>
        <v/>
      </c>
      <c r="F133">
        <f>IF(F132&lt;=0,0,MAX(0,AK133-R133))</f>
        <v/>
      </c>
      <c r="G133">
        <f>IF(G132&lt;=0,0,MAX(0,AL133-S133))</f>
        <v/>
      </c>
      <c r="H133">
        <f>IF(H132&lt;=0,0,MAX(0,AM133-T133))</f>
        <v/>
      </c>
      <c r="I133">
        <f>IF(I132&lt;=0,0,MAX(0,AN133-U133))</f>
        <v/>
      </c>
      <c r="J133">
        <f>IF(J132&lt;=0,0,MAX(0,AO133-V133))</f>
        <v/>
      </c>
      <c r="K133">
        <f>IF(K132&lt;=0,0,MAX(0,AP133-W133))</f>
        <v/>
      </c>
      <c r="L133">
        <f>IF(L132&lt;=0,0,MAX(0,AQ133-X133))</f>
        <v/>
      </c>
      <c r="M133">
        <f>IF(M132&lt;=0,0,MAX(0,AR133-Y133))</f>
        <v/>
      </c>
      <c r="N133">
        <f>IF(N132&lt;=0,0,MAX(0,AS133-Z133))</f>
        <v/>
      </c>
      <c r="O133">
        <f>IF(C132&lt;=0,0,MIN(AH133,C$7+IF(C$2=$AA133,$AC133,IF(C$2=$AF133,$AG133,0))))</f>
        <v/>
      </c>
      <c r="P133">
        <f>IF(D132&lt;=0,0,MIN(AI133,D$7+IF(D$2=$AA133,$AC133,IF(D$2=$AF133,$AG133,0))))</f>
        <v/>
      </c>
      <c r="Q133">
        <f>IF(E132&lt;=0,0,MIN(AJ133,E$7+IF(E$2=$AA133,$AC133,IF(E$2=$AF133,$AG133,0))))</f>
        <v/>
      </c>
      <c r="R133">
        <f>IF(F132&lt;=0,0,MIN(AK133,F$7+IF(F$2=$AA133,$AC133,IF(F$2=$AF133,$AG133,0))))</f>
        <v/>
      </c>
      <c r="S133">
        <f>IF(G132&lt;=0,0,MIN(AL133,G$7+IF(G$2=$AA133,$AC133,IF(G$2=$AF133,$AG133,0))))</f>
        <v/>
      </c>
      <c r="T133">
        <f>IF(H132&lt;=0,0,MIN(AM133,H$7+IF(H$2=$AA133,$AC133,IF(H$2=$AF133,$AG133,0))))</f>
        <v/>
      </c>
      <c r="U133">
        <f>IF(I132&lt;=0,0,MIN(AN133,I$7+IF(I$2=$AA133,$AC133,IF(I$2=$AF133,$AG133,0))))</f>
        <v/>
      </c>
      <c r="V133">
        <f>IF(J132&lt;=0,0,MIN(AO133,J$7+IF(J$2=$AA133,$AC133,IF(J$2=$AF133,$AG133,0))))</f>
        <v/>
      </c>
      <c r="W133">
        <f>IF(K132&lt;=0,0,MIN(AP133,K$7+IF(K$2=$AA133,$AC133,IF(K$2=$AF133,$AG133,0))))</f>
        <v/>
      </c>
      <c r="X133">
        <f>IF(L132&lt;=0,0,MIN(AQ133,L$7+IF(L$2=$AA133,$AC133,IF(L$2=$AF133,$AG133,0))))</f>
        <v/>
      </c>
      <c r="Y133">
        <f>IF(M132&lt;=0,0,MIN(AR133,M$7+IF(M$2=$AA133,$AC133,IF(M$2=$AF133,$AG133,0))))</f>
        <v/>
      </c>
      <c r="Z133">
        <f>IF(N132&lt;=0,0,MIN(AS133,N$7+IF(N$2=$AA133,$AC133,IF(N$2=$AF133,$AG133,0))))</f>
        <v/>
      </c>
      <c r="AA133">
        <f>IFERROR(ROUND(1/SUMPRODUCT(MAX((C132:N132&gt;0)*($C$3:$N$3&lt;=B133)/$C$2:$N$2)),0),0)</f>
        <v/>
      </c>
      <c r="AB133">
        <f>SUMPRODUCT((C132:N132&gt;0)*$C$7:$N$7)</f>
        <v/>
      </c>
      <c r="AC133">
        <f>MAX(0,Plan!$C$5-AB133)+IF(A133=Plan!$C$8,N(Plan!$C$7),0)</f>
        <v/>
      </c>
      <c r="AD133">
        <f>SUM(C133:N133)</f>
        <v/>
      </c>
      <c r="AE133">
        <f>SUM(O133:Z133)</f>
        <v/>
      </c>
      <c r="AF133">
        <f>IFERROR(ROUND(1/SUMPRODUCT(MAX((C132:N132&gt;0)*($C$3:$N$3&lt;=B133)*($C$2:$N$2&gt;AA133)/$C$2:$N$2)),0),0)</f>
        <v/>
      </c>
      <c r="AG133">
        <f>MAX(0,AC133-MAX(0,SUMPRODUCT(($C$2:$N$2=AA133)*(AH133:AS133-$C$7:$N$7))))</f>
        <v/>
      </c>
      <c r="AH133">
        <f>IF(C132&lt;=0,0,ROUND(C132*(1+IF(AND(C$6&gt;0,$B133&lt;C$6),C$4,C$5)/12),2))</f>
        <v/>
      </c>
      <c r="AI133">
        <f>IF(D132&lt;=0,0,ROUND(D132*(1+IF(AND(D$6&gt;0,$B133&lt;D$6),D$4,D$5)/12),2))</f>
        <v/>
      </c>
      <c r="AJ133">
        <f>IF(E132&lt;=0,0,ROUND(E132*(1+IF(AND(E$6&gt;0,$B133&lt;E$6),E$4,E$5)/12),2))</f>
        <v/>
      </c>
      <c r="AK133">
        <f>IF(F132&lt;=0,0,ROUND(F132*(1+IF(AND(F$6&gt;0,$B133&lt;F$6),F$4,F$5)/12),2))</f>
        <v/>
      </c>
      <c r="AL133">
        <f>IF(G132&lt;=0,0,ROUND(G132*(1+IF(AND(G$6&gt;0,$B133&lt;G$6),G$4,G$5)/12),2))</f>
        <v/>
      </c>
      <c r="AM133">
        <f>IF(H132&lt;=0,0,ROUND(H132*(1+IF(AND(H$6&gt;0,$B133&lt;H$6),H$4,H$5)/12),2))</f>
        <v/>
      </c>
      <c r="AN133">
        <f>IF(I132&lt;=0,0,ROUND(I132*(1+IF(AND(I$6&gt;0,$B133&lt;I$6),I$4,I$5)/12),2))</f>
        <v/>
      </c>
      <c r="AO133">
        <f>IF(J132&lt;=0,0,ROUND(J132*(1+IF(AND(J$6&gt;0,$B133&lt;J$6),J$4,J$5)/12),2))</f>
        <v/>
      </c>
      <c r="AP133">
        <f>IF(K132&lt;=0,0,ROUND(K132*(1+IF(AND(K$6&gt;0,$B133&lt;K$6),K$4,K$5)/12),2))</f>
        <v/>
      </c>
      <c r="AQ133">
        <f>IF(L132&lt;=0,0,ROUND(L132*(1+IF(AND(L$6&gt;0,$B133&lt;L$6),L$4,L$5)/12),2))</f>
        <v/>
      </c>
      <c r="AR133">
        <f>IF(M132&lt;=0,0,ROUND(M132*(1+IF(AND(M$6&gt;0,$B133&lt;M$6),M$4,M$5)/12),2))</f>
        <v/>
      </c>
      <c r="AS133">
        <f>IF(N132&lt;=0,0,ROUND(N132*(1+IF(AND(N$6&gt;0,$B133&lt;N$6),N$4,N$5)/12),2))</f>
        <v/>
      </c>
    </row>
    <row r="134">
      <c r="A134" t="n">
        <v>123</v>
      </c>
      <c r="B134">
        <f>EDATE(Plan!$C$6,122)</f>
        <v/>
      </c>
      <c r="C134">
        <f>IF(C133&lt;=0,0,MAX(0,AH134-O134))</f>
        <v/>
      </c>
      <c r="D134">
        <f>IF(D133&lt;=0,0,MAX(0,AI134-P134))</f>
        <v/>
      </c>
      <c r="E134">
        <f>IF(E133&lt;=0,0,MAX(0,AJ134-Q134))</f>
        <v/>
      </c>
      <c r="F134">
        <f>IF(F133&lt;=0,0,MAX(0,AK134-R134))</f>
        <v/>
      </c>
      <c r="G134">
        <f>IF(G133&lt;=0,0,MAX(0,AL134-S134))</f>
        <v/>
      </c>
      <c r="H134">
        <f>IF(H133&lt;=0,0,MAX(0,AM134-T134))</f>
        <v/>
      </c>
      <c r="I134">
        <f>IF(I133&lt;=0,0,MAX(0,AN134-U134))</f>
        <v/>
      </c>
      <c r="J134">
        <f>IF(J133&lt;=0,0,MAX(0,AO134-V134))</f>
        <v/>
      </c>
      <c r="K134">
        <f>IF(K133&lt;=0,0,MAX(0,AP134-W134))</f>
        <v/>
      </c>
      <c r="L134">
        <f>IF(L133&lt;=0,0,MAX(0,AQ134-X134))</f>
        <v/>
      </c>
      <c r="M134">
        <f>IF(M133&lt;=0,0,MAX(0,AR134-Y134))</f>
        <v/>
      </c>
      <c r="N134">
        <f>IF(N133&lt;=0,0,MAX(0,AS134-Z134))</f>
        <v/>
      </c>
      <c r="O134">
        <f>IF(C133&lt;=0,0,MIN(AH134,C$7+IF(C$2=$AA134,$AC134,IF(C$2=$AF134,$AG134,0))))</f>
        <v/>
      </c>
      <c r="P134">
        <f>IF(D133&lt;=0,0,MIN(AI134,D$7+IF(D$2=$AA134,$AC134,IF(D$2=$AF134,$AG134,0))))</f>
        <v/>
      </c>
      <c r="Q134">
        <f>IF(E133&lt;=0,0,MIN(AJ134,E$7+IF(E$2=$AA134,$AC134,IF(E$2=$AF134,$AG134,0))))</f>
        <v/>
      </c>
      <c r="R134">
        <f>IF(F133&lt;=0,0,MIN(AK134,F$7+IF(F$2=$AA134,$AC134,IF(F$2=$AF134,$AG134,0))))</f>
        <v/>
      </c>
      <c r="S134">
        <f>IF(G133&lt;=0,0,MIN(AL134,G$7+IF(G$2=$AA134,$AC134,IF(G$2=$AF134,$AG134,0))))</f>
        <v/>
      </c>
      <c r="T134">
        <f>IF(H133&lt;=0,0,MIN(AM134,H$7+IF(H$2=$AA134,$AC134,IF(H$2=$AF134,$AG134,0))))</f>
        <v/>
      </c>
      <c r="U134">
        <f>IF(I133&lt;=0,0,MIN(AN134,I$7+IF(I$2=$AA134,$AC134,IF(I$2=$AF134,$AG134,0))))</f>
        <v/>
      </c>
      <c r="V134">
        <f>IF(J133&lt;=0,0,MIN(AO134,J$7+IF(J$2=$AA134,$AC134,IF(J$2=$AF134,$AG134,0))))</f>
        <v/>
      </c>
      <c r="W134">
        <f>IF(K133&lt;=0,0,MIN(AP134,K$7+IF(K$2=$AA134,$AC134,IF(K$2=$AF134,$AG134,0))))</f>
        <v/>
      </c>
      <c r="X134">
        <f>IF(L133&lt;=0,0,MIN(AQ134,L$7+IF(L$2=$AA134,$AC134,IF(L$2=$AF134,$AG134,0))))</f>
        <v/>
      </c>
      <c r="Y134">
        <f>IF(M133&lt;=0,0,MIN(AR134,M$7+IF(M$2=$AA134,$AC134,IF(M$2=$AF134,$AG134,0))))</f>
        <v/>
      </c>
      <c r="Z134">
        <f>IF(N133&lt;=0,0,MIN(AS134,N$7+IF(N$2=$AA134,$AC134,IF(N$2=$AF134,$AG134,0))))</f>
        <v/>
      </c>
      <c r="AA134">
        <f>IFERROR(ROUND(1/SUMPRODUCT(MAX((C133:N133&gt;0)*($C$3:$N$3&lt;=B134)/$C$2:$N$2)),0),0)</f>
        <v/>
      </c>
      <c r="AB134">
        <f>SUMPRODUCT((C133:N133&gt;0)*$C$7:$N$7)</f>
        <v/>
      </c>
      <c r="AC134">
        <f>MAX(0,Plan!$C$5-AB134)+IF(A134=Plan!$C$8,N(Plan!$C$7),0)</f>
        <v/>
      </c>
      <c r="AD134">
        <f>SUM(C134:N134)</f>
        <v/>
      </c>
      <c r="AE134">
        <f>SUM(O134:Z134)</f>
        <v/>
      </c>
      <c r="AF134">
        <f>IFERROR(ROUND(1/SUMPRODUCT(MAX((C133:N133&gt;0)*($C$3:$N$3&lt;=B134)*($C$2:$N$2&gt;AA134)/$C$2:$N$2)),0),0)</f>
        <v/>
      </c>
      <c r="AG134">
        <f>MAX(0,AC134-MAX(0,SUMPRODUCT(($C$2:$N$2=AA134)*(AH134:AS134-$C$7:$N$7))))</f>
        <v/>
      </c>
      <c r="AH134">
        <f>IF(C133&lt;=0,0,ROUND(C133*(1+IF(AND(C$6&gt;0,$B134&lt;C$6),C$4,C$5)/12),2))</f>
        <v/>
      </c>
      <c r="AI134">
        <f>IF(D133&lt;=0,0,ROUND(D133*(1+IF(AND(D$6&gt;0,$B134&lt;D$6),D$4,D$5)/12),2))</f>
        <v/>
      </c>
      <c r="AJ134">
        <f>IF(E133&lt;=0,0,ROUND(E133*(1+IF(AND(E$6&gt;0,$B134&lt;E$6),E$4,E$5)/12),2))</f>
        <v/>
      </c>
      <c r="AK134">
        <f>IF(F133&lt;=0,0,ROUND(F133*(1+IF(AND(F$6&gt;0,$B134&lt;F$6),F$4,F$5)/12),2))</f>
        <v/>
      </c>
      <c r="AL134">
        <f>IF(G133&lt;=0,0,ROUND(G133*(1+IF(AND(G$6&gt;0,$B134&lt;G$6),G$4,G$5)/12),2))</f>
        <v/>
      </c>
      <c r="AM134">
        <f>IF(H133&lt;=0,0,ROUND(H133*(1+IF(AND(H$6&gt;0,$B134&lt;H$6),H$4,H$5)/12),2))</f>
        <v/>
      </c>
      <c r="AN134">
        <f>IF(I133&lt;=0,0,ROUND(I133*(1+IF(AND(I$6&gt;0,$B134&lt;I$6),I$4,I$5)/12),2))</f>
        <v/>
      </c>
      <c r="AO134">
        <f>IF(J133&lt;=0,0,ROUND(J133*(1+IF(AND(J$6&gt;0,$B134&lt;J$6),J$4,J$5)/12),2))</f>
        <v/>
      </c>
      <c r="AP134">
        <f>IF(K133&lt;=0,0,ROUND(K133*(1+IF(AND(K$6&gt;0,$B134&lt;K$6),K$4,K$5)/12),2))</f>
        <v/>
      </c>
      <c r="AQ134">
        <f>IF(L133&lt;=0,0,ROUND(L133*(1+IF(AND(L$6&gt;0,$B134&lt;L$6),L$4,L$5)/12),2))</f>
        <v/>
      </c>
      <c r="AR134">
        <f>IF(M133&lt;=0,0,ROUND(M133*(1+IF(AND(M$6&gt;0,$B134&lt;M$6),M$4,M$5)/12),2))</f>
        <v/>
      </c>
      <c r="AS134">
        <f>IF(N133&lt;=0,0,ROUND(N133*(1+IF(AND(N$6&gt;0,$B134&lt;N$6),N$4,N$5)/12),2))</f>
        <v/>
      </c>
    </row>
    <row r="135">
      <c r="A135" t="n">
        <v>124</v>
      </c>
      <c r="B135">
        <f>EDATE(Plan!$C$6,123)</f>
        <v/>
      </c>
      <c r="C135">
        <f>IF(C134&lt;=0,0,MAX(0,AH135-O135))</f>
        <v/>
      </c>
      <c r="D135">
        <f>IF(D134&lt;=0,0,MAX(0,AI135-P135))</f>
        <v/>
      </c>
      <c r="E135">
        <f>IF(E134&lt;=0,0,MAX(0,AJ135-Q135))</f>
        <v/>
      </c>
      <c r="F135">
        <f>IF(F134&lt;=0,0,MAX(0,AK135-R135))</f>
        <v/>
      </c>
      <c r="G135">
        <f>IF(G134&lt;=0,0,MAX(0,AL135-S135))</f>
        <v/>
      </c>
      <c r="H135">
        <f>IF(H134&lt;=0,0,MAX(0,AM135-T135))</f>
        <v/>
      </c>
      <c r="I135">
        <f>IF(I134&lt;=0,0,MAX(0,AN135-U135))</f>
        <v/>
      </c>
      <c r="J135">
        <f>IF(J134&lt;=0,0,MAX(0,AO135-V135))</f>
        <v/>
      </c>
      <c r="K135">
        <f>IF(K134&lt;=0,0,MAX(0,AP135-W135))</f>
        <v/>
      </c>
      <c r="L135">
        <f>IF(L134&lt;=0,0,MAX(0,AQ135-X135))</f>
        <v/>
      </c>
      <c r="M135">
        <f>IF(M134&lt;=0,0,MAX(0,AR135-Y135))</f>
        <v/>
      </c>
      <c r="N135">
        <f>IF(N134&lt;=0,0,MAX(0,AS135-Z135))</f>
        <v/>
      </c>
      <c r="O135">
        <f>IF(C134&lt;=0,0,MIN(AH135,C$7+IF(C$2=$AA135,$AC135,IF(C$2=$AF135,$AG135,0))))</f>
        <v/>
      </c>
      <c r="P135">
        <f>IF(D134&lt;=0,0,MIN(AI135,D$7+IF(D$2=$AA135,$AC135,IF(D$2=$AF135,$AG135,0))))</f>
        <v/>
      </c>
      <c r="Q135">
        <f>IF(E134&lt;=0,0,MIN(AJ135,E$7+IF(E$2=$AA135,$AC135,IF(E$2=$AF135,$AG135,0))))</f>
        <v/>
      </c>
      <c r="R135">
        <f>IF(F134&lt;=0,0,MIN(AK135,F$7+IF(F$2=$AA135,$AC135,IF(F$2=$AF135,$AG135,0))))</f>
        <v/>
      </c>
      <c r="S135">
        <f>IF(G134&lt;=0,0,MIN(AL135,G$7+IF(G$2=$AA135,$AC135,IF(G$2=$AF135,$AG135,0))))</f>
        <v/>
      </c>
      <c r="T135">
        <f>IF(H134&lt;=0,0,MIN(AM135,H$7+IF(H$2=$AA135,$AC135,IF(H$2=$AF135,$AG135,0))))</f>
        <v/>
      </c>
      <c r="U135">
        <f>IF(I134&lt;=0,0,MIN(AN135,I$7+IF(I$2=$AA135,$AC135,IF(I$2=$AF135,$AG135,0))))</f>
        <v/>
      </c>
      <c r="V135">
        <f>IF(J134&lt;=0,0,MIN(AO135,J$7+IF(J$2=$AA135,$AC135,IF(J$2=$AF135,$AG135,0))))</f>
        <v/>
      </c>
      <c r="W135">
        <f>IF(K134&lt;=0,0,MIN(AP135,K$7+IF(K$2=$AA135,$AC135,IF(K$2=$AF135,$AG135,0))))</f>
        <v/>
      </c>
      <c r="X135">
        <f>IF(L134&lt;=0,0,MIN(AQ135,L$7+IF(L$2=$AA135,$AC135,IF(L$2=$AF135,$AG135,0))))</f>
        <v/>
      </c>
      <c r="Y135">
        <f>IF(M134&lt;=0,0,MIN(AR135,M$7+IF(M$2=$AA135,$AC135,IF(M$2=$AF135,$AG135,0))))</f>
        <v/>
      </c>
      <c r="Z135">
        <f>IF(N134&lt;=0,0,MIN(AS135,N$7+IF(N$2=$AA135,$AC135,IF(N$2=$AF135,$AG135,0))))</f>
        <v/>
      </c>
      <c r="AA135">
        <f>IFERROR(ROUND(1/SUMPRODUCT(MAX((C134:N134&gt;0)*($C$3:$N$3&lt;=B135)/$C$2:$N$2)),0),0)</f>
        <v/>
      </c>
      <c r="AB135">
        <f>SUMPRODUCT((C134:N134&gt;0)*$C$7:$N$7)</f>
        <v/>
      </c>
      <c r="AC135">
        <f>MAX(0,Plan!$C$5-AB135)+IF(A135=Plan!$C$8,N(Plan!$C$7),0)</f>
        <v/>
      </c>
      <c r="AD135">
        <f>SUM(C135:N135)</f>
        <v/>
      </c>
      <c r="AE135">
        <f>SUM(O135:Z135)</f>
        <v/>
      </c>
      <c r="AF135">
        <f>IFERROR(ROUND(1/SUMPRODUCT(MAX((C134:N134&gt;0)*($C$3:$N$3&lt;=B135)*($C$2:$N$2&gt;AA135)/$C$2:$N$2)),0),0)</f>
        <v/>
      </c>
      <c r="AG135">
        <f>MAX(0,AC135-MAX(0,SUMPRODUCT(($C$2:$N$2=AA135)*(AH135:AS135-$C$7:$N$7))))</f>
        <v/>
      </c>
      <c r="AH135">
        <f>IF(C134&lt;=0,0,ROUND(C134*(1+IF(AND(C$6&gt;0,$B135&lt;C$6),C$4,C$5)/12),2))</f>
        <v/>
      </c>
      <c r="AI135">
        <f>IF(D134&lt;=0,0,ROUND(D134*(1+IF(AND(D$6&gt;0,$B135&lt;D$6),D$4,D$5)/12),2))</f>
        <v/>
      </c>
      <c r="AJ135">
        <f>IF(E134&lt;=0,0,ROUND(E134*(1+IF(AND(E$6&gt;0,$B135&lt;E$6),E$4,E$5)/12),2))</f>
        <v/>
      </c>
      <c r="AK135">
        <f>IF(F134&lt;=0,0,ROUND(F134*(1+IF(AND(F$6&gt;0,$B135&lt;F$6),F$4,F$5)/12),2))</f>
        <v/>
      </c>
      <c r="AL135">
        <f>IF(G134&lt;=0,0,ROUND(G134*(1+IF(AND(G$6&gt;0,$B135&lt;G$6),G$4,G$5)/12),2))</f>
        <v/>
      </c>
      <c r="AM135">
        <f>IF(H134&lt;=0,0,ROUND(H134*(1+IF(AND(H$6&gt;0,$B135&lt;H$6),H$4,H$5)/12),2))</f>
        <v/>
      </c>
      <c r="AN135">
        <f>IF(I134&lt;=0,0,ROUND(I134*(1+IF(AND(I$6&gt;0,$B135&lt;I$6),I$4,I$5)/12),2))</f>
        <v/>
      </c>
      <c r="AO135">
        <f>IF(J134&lt;=0,0,ROUND(J134*(1+IF(AND(J$6&gt;0,$B135&lt;J$6),J$4,J$5)/12),2))</f>
        <v/>
      </c>
      <c r="AP135">
        <f>IF(K134&lt;=0,0,ROUND(K134*(1+IF(AND(K$6&gt;0,$B135&lt;K$6),K$4,K$5)/12),2))</f>
        <v/>
      </c>
      <c r="AQ135">
        <f>IF(L134&lt;=0,0,ROUND(L134*(1+IF(AND(L$6&gt;0,$B135&lt;L$6),L$4,L$5)/12),2))</f>
        <v/>
      </c>
      <c r="AR135">
        <f>IF(M134&lt;=0,0,ROUND(M134*(1+IF(AND(M$6&gt;0,$B135&lt;M$6),M$4,M$5)/12),2))</f>
        <v/>
      </c>
      <c r="AS135">
        <f>IF(N134&lt;=0,0,ROUND(N134*(1+IF(AND(N$6&gt;0,$B135&lt;N$6),N$4,N$5)/12),2))</f>
        <v/>
      </c>
    </row>
    <row r="136">
      <c r="A136" t="n">
        <v>125</v>
      </c>
      <c r="B136">
        <f>EDATE(Plan!$C$6,124)</f>
        <v/>
      </c>
      <c r="C136">
        <f>IF(C135&lt;=0,0,MAX(0,AH136-O136))</f>
        <v/>
      </c>
      <c r="D136">
        <f>IF(D135&lt;=0,0,MAX(0,AI136-P136))</f>
        <v/>
      </c>
      <c r="E136">
        <f>IF(E135&lt;=0,0,MAX(0,AJ136-Q136))</f>
        <v/>
      </c>
      <c r="F136">
        <f>IF(F135&lt;=0,0,MAX(0,AK136-R136))</f>
        <v/>
      </c>
      <c r="G136">
        <f>IF(G135&lt;=0,0,MAX(0,AL136-S136))</f>
        <v/>
      </c>
      <c r="H136">
        <f>IF(H135&lt;=0,0,MAX(0,AM136-T136))</f>
        <v/>
      </c>
      <c r="I136">
        <f>IF(I135&lt;=0,0,MAX(0,AN136-U136))</f>
        <v/>
      </c>
      <c r="J136">
        <f>IF(J135&lt;=0,0,MAX(0,AO136-V136))</f>
        <v/>
      </c>
      <c r="K136">
        <f>IF(K135&lt;=0,0,MAX(0,AP136-W136))</f>
        <v/>
      </c>
      <c r="L136">
        <f>IF(L135&lt;=0,0,MAX(0,AQ136-X136))</f>
        <v/>
      </c>
      <c r="M136">
        <f>IF(M135&lt;=0,0,MAX(0,AR136-Y136))</f>
        <v/>
      </c>
      <c r="N136">
        <f>IF(N135&lt;=0,0,MAX(0,AS136-Z136))</f>
        <v/>
      </c>
      <c r="O136">
        <f>IF(C135&lt;=0,0,MIN(AH136,C$7+IF(C$2=$AA136,$AC136,IF(C$2=$AF136,$AG136,0))))</f>
        <v/>
      </c>
      <c r="P136">
        <f>IF(D135&lt;=0,0,MIN(AI136,D$7+IF(D$2=$AA136,$AC136,IF(D$2=$AF136,$AG136,0))))</f>
        <v/>
      </c>
      <c r="Q136">
        <f>IF(E135&lt;=0,0,MIN(AJ136,E$7+IF(E$2=$AA136,$AC136,IF(E$2=$AF136,$AG136,0))))</f>
        <v/>
      </c>
      <c r="R136">
        <f>IF(F135&lt;=0,0,MIN(AK136,F$7+IF(F$2=$AA136,$AC136,IF(F$2=$AF136,$AG136,0))))</f>
        <v/>
      </c>
      <c r="S136">
        <f>IF(G135&lt;=0,0,MIN(AL136,G$7+IF(G$2=$AA136,$AC136,IF(G$2=$AF136,$AG136,0))))</f>
        <v/>
      </c>
      <c r="T136">
        <f>IF(H135&lt;=0,0,MIN(AM136,H$7+IF(H$2=$AA136,$AC136,IF(H$2=$AF136,$AG136,0))))</f>
        <v/>
      </c>
      <c r="U136">
        <f>IF(I135&lt;=0,0,MIN(AN136,I$7+IF(I$2=$AA136,$AC136,IF(I$2=$AF136,$AG136,0))))</f>
        <v/>
      </c>
      <c r="V136">
        <f>IF(J135&lt;=0,0,MIN(AO136,J$7+IF(J$2=$AA136,$AC136,IF(J$2=$AF136,$AG136,0))))</f>
        <v/>
      </c>
      <c r="W136">
        <f>IF(K135&lt;=0,0,MIN(AP136,K$7+IF(K$2=$AA136,$AC136,IF(K$2=$AF136,$AG136,0))))</f>
        <v/>
      </c>
      <c r="X136">
        <f>IF(L135&lt;=0,0,MIN(AQ136,L$7+IF(L$2=$AA136,$AC136,IF(L$2=$AF136,$AG136,0))))</f>
        <v/>
      </c>
      <c r="Y136">
        <f>IF(M135&lt;=0,0,MIN(AR136,M$7+IF(M$2=$AA136,$AC136,IF(M$2=$AF136,$AG136,0))))</f>
        <v/>
      </c>
      <c r="Z136">
        <f>IF(N135&lt;=0,0,MIN(AS136,N$7+IF(N$2=$AA136,$AC136,IF(N$2=$AF136,$AG136,0))))</f>
        <v/>
      </c>
      <c r="AA136">
        <f>IFERROR(ROUND(1/SUMPRODUCT(MAX((C135:N135&gt;0)*($C$3:$N$3&lt;=B136)/$C$2:$N$2)),0),0)</f>
        <v/>
      </c>
      <c r="AB136">
        <f>SUMPRODUCT((C135:N135&gt;0)*$C$7:$N$7)</f>
        <v/>
      </c>
      <c r="AC136">
        <f>MAX(0,Plan!$C$5-AB136)+IF(A136=Plan!$C$8,N(Plan!$C$7),0)</f>
        <v/>
      </c>
      <c r="AD136">
        <f>SUM(C136:N136)</f>
        <v/>
      </c>
      <c r="AE136">
        <f>SUM(O136:Z136)</f>
        <v/>
      </c>
      <c r="AF136">
        <f>IFERROR(ROUND(1/SUMPRODUCT(MAX((C135:N135&gt;0)*($C$3:$N$3&lt;=B136)*($C$2:$N$2&gt;AA136)/$C$2:$N$2)),0),0)</f>
        <v/>
      </c>
      <c r="AG136">
        <f>MAX(0,AC136-MAX(0,SUMPRODUCT(($C$2:$N$2=AA136)*(AH136:AS136-$C$7:$N$7))))</f>
        <v/>
      </c>
      <c r="AH136">
        <f>IF(C135&lt;=0,0,ROUND(C135*(1+IF(AND(C$6&gt;0,$B136&lt;C$6),C$4,C$5)/12),2))</f>
        <v/>
      </c>
      <c r="AI136">
        <f>IF(D135&lt;=0,0,ROUND(D135*(1+IF(AND(D$6&gt;0,$B136&lt;D$6),D$4,D$5)/12),2))</f>
        <v/>
      </c>
      <c r="AJ136">
        <f>IF(E135&lt;=0,0,ROUND(E135*(1+IF(AND(E$6&gt;0,$B136&lt;E$6),E$4,E$5)/12),2))</f>
        <v/>
      </c>
      <c r="AK136">
        <f>IF(F135&lt;=0,0,ROUND(F135*(1+IF(AND(F$6&gt;0,$B136&lt;F$6),F$4,F$5)/12),2))</f>
        <v/>
      </c>
      <c r="AL136">
        <f>IF(G135&lt;=0,0,ROUND(G135*(1+IF(AND(G$6&gt;0,$B136&lt;G$6),G$4,G$5)/12),2))</f>
        <v/>
      </c>
      <c r="AM136">
        <f>IF(H135&lt;=0,0,ROUND(H135*(1+IF(AND(H$6&gt;0,$B136&lt;H$6),H$4,H$5)/12),2))</f>
        <v/>
      </c>
      <c r="AN136">
        <f>IF(I135&lt;=0,0,ROUND(I135*(1+IF(AND(I$6&gt;0,$B136&lt;I$6),I$4,I$5)/12),2))</f>
        <v/>
      </c>
      <c r="AO136">
        <f>IF(J135&lt;=0,0,ROUND(J135*(1+IF(AND(J$6&gt;0,$B136&lt;J$6),J$4,J$5)/12),2))</f>
        <v/>
      </c>
      <c r="AP136">
        <f>IF(K135&lt;=0,0,ROUND(K135*(1+IF(AND(K$6&gt;0,$B136&lt;K$6),K$4,K$5)/12),2))</f>
        <v/>
      </c>
      <c r="AQ136">
        <f>IF(L135&lt;=0,0,ROUND(L135*(1+IF(AND(L$6&gt;0,$B136&lt;L$6),L$4,L$5)/12),2))</f>
        <v/>
      </c>
      <c r="AR136">
        <f>IF(M135&lt;=0,0,ROUND(M135*(1+IF(AND(M$6&gt;0,$B136&lt;M$6),M$4,M$5)/12),2))</f>
        <v/>
      </c>
      <c r="AS136">
        <f>IF(N135&lt;=0,0,ROUND(N135*(1+IF(AND(N$6&gt;0,$B136&lt;N$6),N$4,N$5)/12),2))</f>
        <v/>
      </c>
    </row>
    <row r="137">
      <c r="A137" t="n">
        <v>126</v>
      </c>
      <c r="B137">
        <f>EDATE(Plan!$C$6,125)</f>
        <v/>
      </c>
      <c r="C137">
        <f>IF(C136&lt;=0,0,MAX(0,AH137-O137))</f>
        <v/>
      </c>
      <c r="D137">
        <f>IF(D136&lt;=0,0,MAX(0,AI137-P137))</f>
        <v/>
      </c>
      <c r="E137">
        <f>IF(E136&lt;=0,0,MAX(0,AJ137-Q137))</f>
        <v/>
      </c>
      <c r="F137">
        <f>IF(F136&lt;=0,0,MAX(0,AK137-R137))</f>
        <v/>
      </c>
      <c r="G137">
        <f>IF(G136&lt;=0,0,MAX(0,AL137-S137))</f>
        <v/>
      </c>
      <c r="H137">
        <f>IF(H136&lt;=0,0,MAX(0,AM137-T137))</f>
        <v/>
      </c>
      <c r="I137">
        <f>IF(I136&lt;=0,0,MAX(0,AN137-U137))</f>
        <v/>
      </c>
      <c r="J137">
        <f>IF(J136&lt;=0,0,MAX(0,AO137-V137))</f>
        <v/>
      </c>
      <c r="K137">
        <f>IF(K136&lt;=0,0,MAX(0,AP137-W137))</f>
        <v/>
      </c>
      <c r="L137">
        <f>IF(L136&lt;=0,0,MAX(0,AQ137-X137))</f>
        <v/>
      </c>
      <c r="M137">
        <f>IF(M136&lt;=0,0,MAX(0,AR137-Y137))</f>
        <v/>
      </c>
      <c r="N137">
        <f>IF(N136&lt;=0,0,MAX(0,AS137-Z137))</f>
        <v/>
      </c>
      <c r="O137">
        <f>IF(C136&lt;=0,0,MIN(AH137,C$7+IF(C$2=$AA137,$AC137,IF(C$2=$AF137,$AG137,0))))</f>
        <v/>
      </c>
      <c r="P137">
        <f>IF(D136&lt;=0,0,MIN(AI137,D$7+IF(D$2=$AA137,$AC137,IF(D$2=$AF137,$AG137,0))))</f>
        <v/>
      </c>
      <c r="Q137">
        <f>IF(E136&lt;=0,0,MIN(AJ137,E$7+IF(E$2=$AA137,$AC137,IF(E$2=$AF137,$AG137,0))))</f>
        <v/>
      </c>
      <c r="R137">
        <f>IF(F136&lt;=0,0,MIN(AK137,F$7+IF(F$2=$AA137,$AC137,IF(F$2=$AF137,$AG137,0))))</f>
        <v/>
      </c>
      <c r="S137">
        <f>IF(G136&lt;=0,0,MIN(AL137,G$7+IF(G$2=$AA137,$AC137,IF(G$2=$AF137,$AG137,0))))</f>
        <v/>
      </c>
      <c r="T137">
        <f>IF(H136&lt;=0,0,MIN(AM137,H$7+IF(H$2=$AA137,$AC137,IF(H$2=$AF137,$AG137,0))))</f>
        <v/>
      </c>
      <c r="U137">
        <f>IF(I136&lt;=0,0,MIN(AN137,I$7+IF(I$2=$AA137,$AC137,IF(I$2=$AF137,$AG137,0))))</f>
        <v/>
      </c>
      <c r="V137">
        <f>IF(J136&lt;=0,0,MIN(AO137,J$7+IF(J$2=$AA137,$AC137,IF(J$2=$AF137,$AG137,0))))</f>
        <v/>
      </c>
      <c r="W137">
        <f>IF(K136&lt;=0,0,MIN(AP137,K$7+IF(K$2=$AA137,$AC137,IF(K$2=$AF137,$AG137,0))))</f>
        <v/>
      </c>
      <c r="X137">
        <f>IF(L136&lt;=0,0,MIN(AQ137,L$7+IF(L$2=$AA137,$AC137,IF(L$2=$AF137,$AG137,0))))</f>
        <v/>
      </c>
      <c r="Y137">
        <f>IF(M136&lt;=0,0,MIN(AR137,M$7+IF(M$2=$AA137,$AC137,IF(M$2=$AF137,$AG137,0))))</f>
        <v/>
      </c>
      <c r="Z137">
        <f>IF(N136&lt;=0,0,MIN(AS137,N$7+IF(N$2=$AA137,$AC137,IF(N$2=$AF137,$AG137,0))))</f>
        <v/>
      </c>
      <c r="AA137">
        <f>IFERROR(ROUND(1/SUMPRODUCT(MAX((C136:N136&gt;0)*($C$3:$N$3&lt;=B137)/$C$2:$N$2)),0),0)</f>
        <v/>
      </c>
      <c r="AB137">
        <f>SUMPRODUCT((C136:N136&gt;0)*$C$7:$N$7)</f>
        <v/>
      </c>
      <c r="AC137">
        <f>MAX(0,Plan!$C$5-AB137)+IF(A137=Plan!$C$8,N(Plan!$C$7),0)</f>
        <v/>
      </c>
      <c r="AD137">
        <f>SUM(C137:N137)</f>
        <v/>
      </c>
      <c r="AE137">
        <f>SUM(O137:Z137)</f>
        <v/>
      </c>
      <c r="AF137">
        <f>IFERROR(ROUND(1/SUMPRODUCT(MAX((C136:N136&gt;0)*($C$3:$N$3&lt;=B137)*($C$2:$N$2&gt;AA137)/$C$2:$N$2)),0),0)</f>
        <v/>
      </c>
      <c r="AG137">
        <f>MAX(0,AC137-MAX(0,SUMPRODUCT(($C$2:$N$2=AA137)*(AH137:AS137-$C$7:$N$7))))</f>
        <v/>
      </c>
      <c r="AH137">
        <f>IF(C136&lt;=0,0,ROUND(C136*(1+IF(AND(C$6&gt;0,$B137&lt;C$6),C$4,C$5)/12),2))</f>
        <v/>
      </c>
      <c r="AI137">
        <f>IF(D136&lt;=0,0,ROUND(D136*(1+IF(AND(D$6&gt;0,$B137&lt;D$6),D$4,D$5)/12),2))</f>
        <v/>
      </c>
      <c r="AJ137">
        <f>IF(E136&lt;=0,0,ROUND(E136*(1+IF(AND(E$6&gt;0,$B137&lt;E$6),E$4,E$5)/12),2))</f>
        <v/>
      </c>
      <c r="AK137">
        <f>IF(F136&lt;=0,0,ROUND(F136*(1+IF(AND(F$6&gt;0,$B137&lt;F$6),F$4,F$5)/12),2))</f>
        <v/>
      </c>
      <c r="AL137">
        <f>IF(G136&lt;=0,0,ROUND(G136*(1+IF(AND(G$6&gt;0,$B137&lt;G$6),G$4,G$5)/12),2))</f>
        <v/>
      </c>
      <c r="AM137">
        <f>IF(H136&lt;=0,0,ROUND(H136*(1+IF(AND(H$6&gt;0,$B137&lt;H$6),H$4,H$5)/12),2))</f>
        <v/>
      </c>
      <c r="AN137">
        <f>IF(I136&lt;=0,0,ROUND(I136*(1+IF(AND(I$6&gt;0,$B137&lt;I$6),I$4,I$5)/12),2))</f>
        <v/>
      </c>
      <c r="AO137">
        <f>IF(J136&lt;=0,0,ROUND(J136*(1+IF(AND(J$6&gt;0,$B137&lt;J$6),J$4,J$5)/12),2))</f>
        <v/>
      </c>
      <c r="AP137">
        <f>IF(K136&lt;=0,0,ROUND(K136*(1+IF(AND(K$6&gt;0,$B137&lt;K$6),K$4,K$5)/12),2))</f>
        <v/>
      </c>
      <c r="AQ137">
        <f>IF(L136&lt;=0,0,ROUND(L136*(1+IF(AND(L$6&gt;0,$B137&lt;L$6),L$4,L$5)/12),2))</f>
        <v/>
      </c>
      <c r="AR137">
        <f>IF(M136&lt;=0,0,ROUND(M136*(1+IF(AND(M$6&gt;0,$B137&lt;M$6),M$4,M$5)/12),2))</f>
        <v/>
      </c>
      <c r="AS137">
        <f>IF(N136&lt;=0,0,ROUND(N136*(1+IF(AND(N$6&gt;0,$B137&lt;N$6),N$4,N$5)/12),2))</f>
        <v/>
      </c>
    </row>
    <row r="138">
      <c r="A138" t="n">
        <v>127</v>
      </c>
      <c r="B138">
        <f>EDATE(Plan!$C$6,126)</f>
        <v/>
      </c>
      <c r="C138">
        <f>IF(C137&lt;=0,0,MAX(0,AH138-O138))</f>
        <v/>
      </c>
      <c r="D138">
        <f>IF(D137&lt;=0,0,MAX(0,AI138-P138))</f>
        <v/>
      </c>
      <c r="E138">
        <f>IF(E137&lt;=0,0,MAX(0,AJ138-Q138))</f>
        <v/>
      </c>
      <c r="F138">
        <f>IF(F137&lt;=0,0,MAX(0,AK138-R138))</f>
        <v/>
      </c>
      <c r="G138">
        <f>IF(G137&lt;=0,0,MAX(0,AL138-S138))</f>
        <v/>
      </c>
      <c r="H138">
        <f>IF(H137&lt;=0,0,MAX(0,AM138-T138))</f>
        <v/>
      </c>
      <c r="I138">
        <f>IF(I137&lt;=0,0,MAX(0,AN138-U138))</f>
        <v/>
      </c>
      <c r="J138">
        <f>IF(J137&lt;=0,0,MAX(0,AO138-V138))</f>
        <v/>
      </c>
      <c r="K138">
        <f>IF(K137&lt;=0,0,MAX(0,AP138-W138))</f>
        <v/>
      </c>
      <c r="L138">
        <f>IF(L137&lt;=0,0,MAX(0,AQ138-X138))</f>
        <v/>
      </c>
      <c r="M138">
        <f>IF(M137&lt;=0,0,MAX(0,AR138-Y138))</f>
        <v/>
      </c>
      <c r="N138">
        <f>IF(N137&lt;=0,0,MAX(0,AS138-Z138))</f>
        <v/>
      </c>
      <c r="O138">
        <f>IF(C137&lt;=0,0,MIN(AH138,C$7+IF(C$2=$AA138,$AC138,IF(C$2=$AF138,$AG138,0))))</f>
        <v/>
      </c>
      <c r="P138">
        <f>IF(D137&lt;=0,0,MIN(AI138,D$7+IF(D$2=$AA138,$AC138,IF(D$2=$AF138,$AG138,0))))</f>
        <v/>
      </c>
      <c r="Q138">
        <f>IF(E137&lt;=0,0,MIN(AJ138,E$7+IF(E$2=$AA138,$AC138,IF(E$2=$AF138,$AG138,0))))</f>
        <v/>
      </c>
      <c r="R138">
        <f>IF(F137&lt;=0,0,MIN(AK138,F$7+IF(F$2=$AA138,$AC138,IF(F$2=$AF138,$AG138,0))))</f>
        <v/>
      </c>
      <c r="S138">
        <f>IF(G137&lt;=0,0,MIN(AL138,G$7+IF(G$2=$AA138,$AC138,IF(G$2=$AF138,$AG138,0))))</f>
        <v/>
      </c>
      <c r="T138">
        <f>IF(H137&lt;=0,0,MIN(AM138,H$7+IF(H$2=$AA138,$AC138,IF(H$2=$AF138,$AG138,0))))</f>
        <v/>
      </c>
      <c r="U138">
        <f>IF(I137&lt;=0,0,MIN(AN138,I$7+IF(I$2=$AA138,$AC138,IF(I$2=$AF138,$AG138,0))))</f>
        <v/>
      </c>
      <c r="V138">
        <f>IF(J137&lt;=0,0,MIN(AO138,J$7+IF(J$2=$AA138,$AC138,IF(J$2=$AF138,$AG138,0))))</f>
        <v/>
      </c>
      <c r="W138">
        <f>IF(K137&lt;=0,0,MIN(AP138,K$7+IF(K$2=$AA138,$AC138,IF(K$2=$AF138,$AG138,0))))</f>
        <v/>
      </c>
      <c r="X138">
        <f>IF(L137&lt;=0,0,MIN(AQ138,L$7+IF(L$2=$AA138,$AC138,IF(L$2=$AF138,$AG138,0))))</f>
        <v/>
      </c>
      <c r="Y138">
        <f>IF(M137&lt;=0,0,MIN(AR138,M$7+IF(M$2=$AA138,$AC138,IF(M$2=$AF138,$AG138,0))))</f>
        <v/>
      </c>
      <c r="Z138">
        <f>IF(N137&lt;=0,0,MIN(AS138,N$7+IF(N$2=$AA138,$AC138,IF(N$2=$AF138,$AG138,0))))</f>
        <v/>
      </c>
      <c r="AA138">
        <f>IFERROR(ROUND(1/SUMPRODUCT(MAX((C137:N137&gt;0)*($C$3:$N$3&lt;=B138)/$C$2:$N$2)),0),0)</f>
        <v/>
      </c>
      <c r="AB138">
        <f>SUMPRODUCT((C137:N137&gt;0)*$C$7:$N$7)</f>
        <v/>
      </c>
      <c r="AC138">
        <f>MAX(0,Plan!$C$5-AB138)+IF(A138=Plan!$C$8,N(Plan!$C$7),0)</f>
        <v/>
      </c>
      <c r="AD138">
        <f>SUM(C138:N138)</f>
        <v/>
      </c>
      <c r="AE138">
        <f>SUM(O138:Z138)</f>
        <v/>
      </c>
      <c r="AF138">
        <f>IFERROR(ROUND(1/SUMPRODUCT(MAX((C137:N137&gt;0)*($C$3:$N$3&lt;=B138)*($C$2:$N$2&gt;AA138)/$C$2:$N$2)),0),0)</f>
        <v/>
      </c>
      <c r="AG138">
        <f>MAX(0,AC138-MAX(0,SUMPRODUCT(($C$2:$N$2=AA138)*(AH138:AS138-$C$7:$N$7))))</f>
        <v/>
      </c>
      <c r="AH138">
        <f>IF(C137&lt;=0,0,ROUND(C137*(1+IF(AND(C$6&gt;0,$B138&lt;C$6),C$4,C$5)/12),2))</f>
        <v/>
      </c>
      <c r="AI138">
        <f>IF(D137&lt;=0,0,ROUND(D137*(1+IF(AND(D$6&gt;0,$B138&lt;D$6),D$4,D$5)/12),2))</f>
        <v/>
      </c>
      <c r="AJ138">
        <f>IF(E137&lt;=0,0,ROUND(E137*(1+IF(AND(E$6&gt;0,$B138&lt;E$6),E$4,E$5)/12),2))</f>
        <v/>
      </c>
      <c r="AK138">
        <f>IF(F137&lt;=0,0,ROUND(F137*(1+IF(AND(F$6&gt;0,$B138&lt;F$6),F$4,F$5)/12),2))</f>
        <v/>
      </c>
      <c r="AL138">
        <f>IF(G137&lt;=0,0,ROUND(G137*(1+IF(AND(G$6&gt;0,$B138&lt;G$6),G$4,G$5)/12),2))</f>
        <v/>
      </c>
      <c r="AM138">
        <f>IF(H137&lt;=0,0,ROUND(H137*(1+IF(AND(H$6&gt;0,$B138&lt;H$6),H$4,H$5)/12),2))</f>
        <v/>
      </c>
      <c r="AN138">
        <f>IF(I137&lt;=0,0,ROUND(I137*(1+IF(AND(I$6&gt;0,$B138&lt;I$6),I$4,I$5)/12),2))</f>
        <v/>
      </c>
      <c r="AO138">
        <f>IF(J137&lt;=0,0,ROUND(J137*(1+IF(AND(J$6&gt;0,$B138&lt;J$6),J$4,J$5)/12),2))</f>
        <v/>
      </c>
      <c r="AP138">
        <f>IF(K137&lt;=0,0,ROUND(K137*(1+IF(AND(K$6&gt;0,$B138&lt;K$6),K$4,K$5)/12),2))</f>
        <v/>
      </c>
      <c r="AQ138">
        <f>IF(L137&lt;=0,0,ROUND(L137*(1+IF(AND(L$6&gt;0,$B138&lt;L$6),L$4,L$5)/12),2))</f>
        <v/>
      </c>
      <c r="AR138">
        <f>IF(M137&lt;=0,0,ROUND(M137*(1+IF(AND(M$6&gt;0,$B138&lt;M$6),M$4,M$5)/12),2))</f>
        <v/>
      </c>
      <c r="AS138">
        <f>IF(N137&lt;=0,0,ROUND(N137*(1+IF(AND(N$6&gt;0,$B138&lt;N$6),N$4,N$5)/12),2))</f>
        <v/>
      </c>
    </row>
    <row r="139">
      <c r="A139" t="n">
        <v>128</v>
      </c>
      <c r="B139">
        <f>EDATE(Plan!$C$6,127)</f>
        <v/>
      </c>
      <c r="C139">
        <f>IF(C138&lt;=0,0,MAX(0,AH139-O139))</f>
        <v/>
      </c>
      <c r="D139">
        <f>IF(D138&lt;=0,0,MAX(0,AI139-P139))</f>
        <v/>
      </c>
      <c r="E139">
        <f>IF(E138&lt;=0,0,MAX(0,AJ139-Q139))</f>
        <v/>
      </c>
      <c r="F139">
        <f>IF(F138&lt;=0,0,MAX(0,AK139-R139))</f>
        <v/>
      </c>
      <c r="G139">
        <f>IF(G138&lt;=0,0,MAX(0,AL139-S139))</f>
        <v/>
      </c>
      <c r="H139">
        <f>IF(H138&lt;=0,0,MAX(0,AM139-T139))</f>
        <v/>
      </c>
      <c r="I139">
        <f>IF(I138&lt;=0,0,MAX(0,AN139-U139))</f>
        <v/>
      </c>
      <c r="J139">
        <f>IF(J138&lt;=0,0,MAX(0,AO139-V139))</f>
        <v/>
      </c>
      <c r="K139">
        <f>IF(K138&lt;=0,0,MAX(0,AP139-W139))</f>
        <v/>
      </c>
      <c r="L139">
        <f>IF(L138&lt;=0,0,MAX(0,AQ139-X139))</f>
        <v/>
      </c>
      <c r="M139">
        <f>IF(M138&lt;=0,0,MAX(0,AR139-Y139))</f>
        <v/>
      </c>
      <c r="N139">
        <f>IF(N138&lt;=0,0,MAX(0,AS139-Z139))</f>
        <v/>
      </c>
      <c r="O139">
        <f>IF(C138&lt;=0,0,MIN(AH139,C$7+IF(C$2=$AA139,$AC139,IF(C$2=$AF139,$AG139,0))))</f>
        <v/>
      </c>
      <c r="P139">
        <f>IF(D138&lt;=0,0,MIN(AI139,D$7+IF(D$2=$AA139,$AC139,IF(D$2=$AF139,$AG139,0))))</f>
        <v/>
      </c>
      <c r="Q139">
        <f>IF(E138&lt;=0,0,MIN(AJ139,E$7+IF(E$2=$AA139,$AC139,IF(E$2=$AF139,$AG139,0))))</f>
        <v/>
      </c>
      <c r="R139">
        <f>IF(F138&lt;=0,0,MIN(AK139,F$7+IF(F$2=$AA139,$AC139,IF(F$2=$AF139,$AG139,0))))</f>
        <v/>
      </c>
      <c r="S139">
        <f>IF(G138&lt;=0,0,MIN(AL139,G$7+IF(G$2=$AA139,$AC139,IF(G$2=$AF139,$AG139,0))))</f>
        <v/>
      </c>
      <c r="T139">
        <f>IF(H138&lt;=0,0,MIN(AM139,H$7+IF(H$2=$AA139,$AC139,IF(H$2=$AF139,$AG139,0))))</f>
        <v/>
      </c>
      <c r="U139">
        <f>IF(I138&lt;=0,0,MIN(AN139,I$7+IF(I$2=$AA139,$AC139,IF(I$2=$AF139,$AG139,0))))</f>
        <v/>
      </c>
      <c r="V139">
        <f>IF(J138&lt;=0,0,MIN(AO139,J$7+IF(J$2=$AA139,$AC139,IF(J$2=$AF139,$AG139,0))))</f>
        <v/>
      </c>
      <c r="W139">
        <f>IF(K138&lt;=0,0,MIN(AP139,K$7+IF(K$2=$AA139,$AC139,IF(K$2=$AF139,$AG139,0))))</f>
        <v/>
      </c>
      <c r="X139">
        <f>IF(L138&lt;=0,0,MIN(AQ139,L$7+IF(L$2=$AA139,$AC139,IF(L$2=$AF139,$AG139,0))))</f>
        <v/>
      </c>
      <c r="Y139">
        <f>IF(M138&lt;=0,0,MIN(AR139,M$7+IF(M$2=$AA139,$AC139,IF(M$2=$AF139,$AG139,0))))</f>
        <v/>
      </c>
      <c r="Z139">
        <f>IF(N138&lt;=0,0,MIN(AS139,N$7+IF(N$2=$AA139,$AC139,IF(N$2=$AF139,$AG139,0))))</f>
        <v/>
      </c>
      <c r="AA139">
        <f>IFERROR(ROUND(1/SUMPRODUCT(MAX((C138:N138&gt;0)*($C$3:$N$3&lt;=B139)/$C$2:$N$2)),0),0)</f>
        <v/>
      </c>
      <c r="AB139">
        <f>SUMPRODUCT((C138:N138&gt;0)*$C$7:$N$7)</f>
        <v/>
      </c>
      <c r="AC139">
        <f>MAX(0,Plan!$C$5-AB139)+IF(A139=Plan!$C$8,N(Plan!$C$7),0)</f>
        <v/>
      </c>
      <c r="AD139">
        <f>SUM(C139:N139)</f>
        <v/>
      </c>
      <c r="AE139">
        <f>SUM(O139:Z139)</f>
        <v/>
      </c>
      <c r="AF139">
        <f>IFERROR(ROUND(1/SUMPRODUCT(MAX((C138:N138&gt;0)*($C$3:$N$3&lt;=B139)*($C$2:$N$2&gt;AA139)/$C$2:$N$2)),0),0)</f>
        <v/>
      </c>
      <c r="AG139">
        <f>MAX(0,AC139-MAX(0,SUMPRODUCT(($C$2:$N$2=AA139)*(AH139:AS139-$C$7:$N$7))))</f>
        <v/>
      </c>
      <c r="AH139">
        <f>IF(C138&lt;=0,0,ROUND(C138*(1+IF(AND(C$6&gt;0,$B139&lt;C$6),C$4,C$5)/12),2))</f>
        <v/>
      </c>
      <c r="AI139">
        <f>IF(D138&lt;=0,0,ROUND(D138*(1+IF(AND(D$6&gt;0,$B139&lt;D$6),D$4,D$5)/12),2))</f>
        <v/>
      </c>
      <c r="AJ139">
        <f>IF(E138&lt;=0,0,ROUND(E138*(1+IF(AND(E$6&gt;0,$B139&lt;E$6),E$4,E$5)/12),2))</f>
        <v/>
      </c>
      <c r="AK139">
        <f>IF(F138&lt;=0,0,ROUND(F138*(1+IF(AND(F$6&gt;0,$B139&lt;F$6),F$4,F$5)/12),2))</f>
        <v/>
      </c>
      <c r="AL139">
        <f>IF(G138&lt;=0,0,ROUND(G138*(1+IF(AND(G$6&gt;0,$B139&lt;G$6),G$4,G$5)/12),2))</f>
        <v/>
      </c>
      <c r="AM139">
        <f>IF(H138&lt;=0,0,ROUND(H138*(1+IF(AND(H$6&gt;0,$B139&lt;H$6),H$4,H$5)/12),2))</f>
        <v/>
      </c>
      <c r="AN139">
        <f>IF(I138&lt;=0,0,ROUND(I138*(1+IF(AND(I$6&gt;0,$B139&lt;I$6),I$4,I$5)/12),2))</f>
        <v/>
      </c>
      <c r="AO139">
        <f>IF(J138&lt;=0,0,ROUND(J138*(1+IF(AND(J$6&gt;0,$B139&lt;J$6),J$4,J$5)/12),2))</f>
        <v/>
      </c>
      <c r="AP139">
        <f>IF(K138&lt;=0,0,ROUND(K138*(1+IF(AND(K$6&gt;0,$B139&lt;K$6),K$4,K$5)/12),2))</f>
        <v/>
      </c>
      <c r="AQ139">
        <f>IF(L138&lt;=0,0,ROUND(L138*(1+IF(AND(L$6&gt;0,$B139&lt;L$6),L$4,L$5)/12),2))</f>
        <v/>
      </c>
      <c r="AR139">
        <f>IF(M138&lt;=0,0,ROUND(M138*(1+IF(AND(M$6&gt;0,$B139&lt;M$6),M$4,M$5)/12),2))</f>
        <v/>
      </c>
      <c r="AS139">
        <f>IF(N138&lt;=0,0,ROUND(N138*(1+IF(AND(N$6&gt;0,$B139&lt;N$6),N$4,N$5)/12),2))</f>
        <v/>
      </c>
    </row>
    <row r="140">
      <c r="A140" t="n">
        <v>129</v>
      </c>
      <c r="B140">
        <f>EDATE(Plan!$C$6,128)</f>
        <v/>
      </c>
      <c r="C140">
        <f>IF(C139&lt;=0,0,MAX(0,AH140-O140))</f>
        <v/>
      </c>
      <c r="D140">
        <f>IF(D139&lt;=0,0,MAX(0,AI140-P140))</f>
        <v/>
      </c>
      <c r="E140">
        <f>IF(E139&lt;=0,0,MAX(0,AJ140-Q140))</f>
        <v/>
      </c>
      <c r="F140">
        <f>IF(F139&lt;=0,0,MAX(0,AK140-R140))</f>
        <v/>
      </c>
      <c r="G140">
        <f>IF(G139&lt;=0,0,MAX(0,AL140-S140))</f>
        <v/>
      </c>
      <c r="H140">
        <f>IF(H139&lt;=0,0,MAX(0,AM140-T140))</f>
        <v/>
      </c>
      <c r="I140">
        <f>IF(I139&lt;=0,0,MAX(0,AN140-U140))</f>
        <v/>
      </c>
      <c r="J140">
        <f>IF(J139&lt;=0,0,MAX(0,AO140-V140))</f>
        <v/>
      </c>
      <c r="K140">
        <f>IF(K139&lt;=0,0,MAX(0,AP140-W140))</f>
        <v/>
      </c>
      <c r="L140">
        <f>IF(L139&lt;=0,0,MAX(0,AQ140-X140))</f>
        <v/>
      </c>
      <c r="M140">
        <f>IF(M139&lt;=0,0,MAX(0,AR140-Y140))</f>
        <v/>
      </c>
      <c r="N140">
        <f>IF(N139&lt;=0,0,MAX(0,AS140-Z140))</f>
        <v/>
      </c>
      <c r="O140">
        <f>IF(C139&lt;=0,0,MIN(AH140,C$7+IF(C$2=$AA140,$AC140,IF(C$2=$AF140,$AG140,0))))</f>
        <v/>
      </c>
      <c r="P140">
        <f>IF(D139&lt;=0,0,MIN(AI140,D$7+IF(D$2=$AA140,$AC140,IF(D$2=$AF140,$AG140,0))))</f>
        <v/>
      </c>
      <c r="Q140">
        <f>IF(E139&lt;=0,0,MIN(AJ140,E$7+IF(E$2=$AA140,$AC140,IF(E$2=$AF140,$AG140,0))))</f>
        <v/>
      </c>
      <c r="R140">
        <f>IF(F139&lt;=0,0,MIN(AK140,F$7+IF(F$2=$AA140,$AC140,IF(F$2=$AF140,$AG140,0))))</f>
        <v/>
      </c>
      <c r="S140">
        <f>IF(G139&lt;=0,0,MIN(AL140,G$7+IF(G$2=$AA140,$AC140,IF(G$2=$AF140,$AG140,0))))</f>
        <v/>
      </c>
      <c r="T140">
        <f>IF(H139&lt;=0,0,MIN(AM140,H$7+IF(H$2=$AA140,$AC140,IF(H$2=$AF140,$AG140,0))))</f>
        <v/>
      </c>
      <c r="U140">
        <f>IF(I139&lt;=0,0,MIN(AN140,I$7+IF(I$2=$AA140,$AC140,IF(I$2=$AF140,$AG140,0))))</f>
        <v/>
      </c>
      <c r="V140">
        <f>IF(J139&lt;=0,0,MIN(AO140,J$7+IF(J$2=$AA140,$AC140,IF(J$2=$AF140,$AG140,0))))</f>
        <v/>
      </c>
      <c r="W140">
        <f>IF(K139&lt;=0,0,MIN(AP140,K$7+IF(K$2=$AA140,$AC140,IF(K$2=$AF140,$AG140,0))))</f>
        <v/>
      </c>
      <c r="X140">
        <f>IF(L139&lt;=0,0,MIN(AQ140,L$7+IF(L$2=$AA140,$AC140,IF(L$2=$AF140,$AG140,0))))</f>
        <v/>
      </c>
      <c r="Y140">
        <f>IF(M139&lt;=0,0,MIN(AR140,M$7+IF(M$2=$AA140,$AC140,IF(M$2=$AF140,$AG140,0))))</f>
        <v/>
      </c>
      <c r="Z140">
        <f>IF(N139&lt;=0,0,MIN(AS140,N$7+IF(N$2=$AA140,$AC140,IF(N$2=$AF140,$AG140,0))))</f>
        <v/>
      </c>
      <c r="AA140">
        <f>IFERROR(ROUND(1/SUMPRODUCT(MAX((C139:N139&gt;0)*($C$3:$N$3&lt;=B140)/$C$2:$N$2)),0),0)</f>
        <v/>
      </c>
      <c r="AB140">
        <f>SUMPRODUCT((C139:N139&gt;0)*$C$7:$N$7)</f>
        <v/>
      </c>
      <c r="AC140">
        <f>MAX(0,Plan!$C$5-AB140)+IF(A140=Plan!$C$8,N(Plan!$C$7),0)</f>
        <v/>
      </c>
      <c r="AD140">
        <f>SUM(C140:N140)</f>
        <v/>
      </c>
      <c r="AE140">
        <f>SUM(O140:Z140)</f>
        <v/>
      </c>
      <c r="AF140">
        <f>IFERROR(ROUND(1/SUMPRODUCT(MAX((C139:N139&gt;0)*($C$3:$N$3&lt;=B140)*($C$2:$N$2&gt;AA140)/$C$2:$N$2)),0),0)</f>
        <v/>
      </c>
      <c r="AG140">
        <f>MAX(0,AC140-MAX(0,SUMPRODUCT(($C$2:$N$2=AA140)*(AH140:AS140-$C$7:$N$7))))</f>
        <v/>
      </c>
      <c r="AH140">
        <f>IF(C139&lt;=0,0,ROUND(C139*(1+IF(AND(C$6&gt;0,$B140&lt;C$6),C$4,C$5)/12),2))</f>
        <v/>
      </c>
      <c r="AI140">
        <f>IF(D139&lt;=0,0,ROUND(D139*(1+IF(AND(D$6&gt;0,$B140&lt;D$6),D$4,D$5)/12),2))</f>
        <v/>
      </c>
      <c r="AJ140">
        <f>IF(E139&lt;=0,0,ROUND(E139*(1+IF(AND(E$6&gt;0,$B140&lt;E$6),E$4,E$5)/12),2))</f>
        <v/>
      </c>
      <c r="AK140">
        <f>IF(F139&lt;=0,0,ROUND(F139*(1+IF(AND(F$6&gt;0,$B140&lt;F$6),F$4,F$5)/12),2))</f>
        <v/>
      </c>
      <c r="AL140">
        <f>IF(G139&lt;=0,0,ROUND(G139*(1+IF(AND(G$6&gt;0,$B140&lt;G$6),G$4,G$5)/12),2))</f>
        <v/>
      </c>
      <c r="AM140">
        <f>IF(H139&lt;=0,0,ROUND(H139*(1+IF(AND(H$6&gt;0,$B140&lt;H$6),H$4,H$5)/12),2))</f>
        <v/>
      </c>
      <c r="AN140">
        <f>IF(I139&lt;=0,0,ROUND(I139*(1+IF(AND(I$6&gt;0,$B140&lt;I$6),I$4,I$5)/12),2))</f>
        <v/>
      </c>
      <c r="AO140">
        <f>IF(J139&lt;=0,0,ROUND(J139*(1+IF(AND(J$6&gt;0,$B140&lt;J$6),J$4,J$5)/12),2))</f>
        <v/>
      </c>
      <c r="AP140">
        <f>IF(K139&lt;=0,0,ROUND(K139*(1+IF(AND(K$6&gt;0,$B140&lt;K$6),K$4,K$5)/12),2))</f>
        <v/>
      </c>
      <c r="AQ140">
        <f>IF(L139&lt;=0,0,ROUND(L139*(1+IF(AND(L$6&gt;0,$B140&lt;L$6),L$4,L$5)/12),2))</f>
        <v/>
      </c>
      <c r="AR140">
        <f>IF(M139&lt;=0,0,ROUND(M139*(1+IF(AND(M$6&gt;0,$B140&lt;M$6),M$4,M$5)/12),2))</f>
        <v/>
      </c>
      <c r="AS140">
        <f>IF(N139&lt;=0,0,ROUND(N139*(1+IF(AND(N$6&gt;0,$B140&lt;N$6),N$4,N$5)/12),2))</f>
        <v/>
      </c>
    </row>
    <row r="141">
      <c r="A141" t="n">
        <v>130</v>
      </c>
      <c r="B141">
        <f>EDATE(Plan!$C$6,129)</f>
        <v/>
      </c>
      <c r="C141">
        <f>IF(C140&lt;=0,0,MAX(0,AH141-O141))</f>
        <v/>
      </c>
      <c r="D141">
        <f>IF(D140&lt;=0,0,MAX(0,AI141-P141))</f>
        <v/>
      </c>
      <c r="E141">
        <f>IF(E140&lt;=0,0,MAX(0,AJ141-Q141))</f>
        <v/>
      </c>
      <c r="F141">
        <f>IF(F140&lt;=0,0,MAX(0,AK141-R141))</f>
        <v/>
      </c>
      <c r="G141">
        <f>IF(G140&lt;=0,0,MAX(0,AL141-S141))</f>
        <v/>
      </c>
      <c r="H141">
        <f>IF(H140&lt;=0,0,MAX(0,AM141-T141))</f>
        <v/>
      </c>
      <c r="I141">
        <f>IF(I140&lt;=0,0,MAX(0,AN141-U141))</f>
        <v/>
      </c>
      <c r="J141">
        <f>IF(J140&lt;=0,0,MAX(0,AO141-V141))</f>
        <v/>
      </c>
      <c r="K141">
        <f>IF(K140&lt;=0,0,MAX(0,AP141-W141))</f>
        <v/>
      </c>
      <c r="L141">
        <f>IF(L140&lt;=0,0,MAX(0,AQ141-X141))</f>
        <v/>
      </c>
      <c r="M141">
        <f>IF(M140&lt;=0,0,MAX(0,AR141-Y141))</f>
        <v/>
      </c>
      <c r="N141">
        <f>IF(N140&lt;=0,0,MAX(0,AS141-Z141))</f>
        <v/>
      </c>
      <c r="O141">
        <f>IF(C140&lt;=0,0,MIN(AH141,C$7+IF(C$2=$AA141,$AC141,IF(C$2=$AF141,$AG141,0))))</f>
        <v/>
      </c>
      <c r="P141">
        <f>IF(D140&lt;=0,0,MIN(AI141,D$7+IF(D$2=$AA141,$AC141,IF(D$2=$AF141,$AG141,0))))</f>
        <v/>
      </c>
      <c r="Q141">
        <f>IF(E140&lt;=0,0,MIN(AJ141,E$7+IF(E$2=$AA141,$AC141,IF(E$2=$AF141,$AG141,0))))</f>
        <v/>
      </c>
      <c r="R141">
        <f>IF(F140&lt;=0,0,MIN(AK141,F$7+IF(F$2=$AA141,$AC141,IF(F$2=$AF141,$AG141,0))))</f>
        <v/>
      </c>
      <c r="S141">
        <f>IF(G140&lt;=0,0,MIN(AL141,G$7+IF(G$2=$AA141,$AC141,IF(G$2=$AF141,$AG141,0))))</f>
        <v/>
      </c>
      <c r="T141">
        <f>IF(H140&lt;=0,0,MIN(AM141,H$7+IF(H$2=$AA141,$AC141,IF(H$2=$AF141,$AG141,0))))</f>
        <v/>
      </c>
      <c r="U141">
        <f>IF(I140&lt;=0,0,MIN(AN141,I$7+IF(I$2=$AA141,$AC141,IF(I$2=$AF141,$AG141,0))))</f>
        <v/>
      </c>
      <c r="V141">
        <f>IF(J140&lt;=0,0,MIN(AO141,J$7+IF(J$2=$AA141,$AC141,IF(J$2=$AF141,$AG141,0))))</f>
        <v/>
      </c>
      <c r="W141">
        <f>IF(K140&lt;=0,0,MIN(AP141,K$7+IF(K$2=$AA141,$AC141,IF(K$2=$AF141,$AG141,0))))</f>
        <v/>
      </c>
      <c r="X141">
        <f>IF(L140&lt;=0,0,MIN(AQ141,L$7+IF(L$2=$AA141,$AC141,IF(L$2=$AF141,$AG141,0))))</f>
        <v/>
      </c>
      <c r="Y141">
        <f>IF(M140&lt;=0,0,MIN(AR141,M$7+IF(M$2=$AA141,$AC141,IF(M$2=$AF141,$AG141,0))))</f>
        <v/>
      </c>
      <c r="Z141">
        <f>IF(N140&lt;=0,0,MIN(AS141,N$7+IF(N$2=$AA141,$AC141,IF(N$2=$AF141,$AG141,0))))</f>
        <v/>
      </c>
      <c r="AA141">
        <f>IFERROR(ROUND(1/SUMPRODUCT(MAX((C140:N140&gt;0)*($C$3:$N$3&lt;=B141)/$C$2:$N$2)),0),0)</f>
        <v/>
      </c>
      <c r="AB141">
        <f>SUMPRODUCT((C140:N140&gt;0)*$C$7:$N$7)</f>
        <v/>
      </c>
      <c r="AC141">
        <f>MAX(0,Plan!$C$5-AB141)+IF(A141=Plan!$C$8,N(Plan!$C$7),0)</f>
        <v/>
      </c>
      <c r="AD141">
        <f>SUM(C141:N141)</f>
        <v/>
      </c>
      <c r="AE141">
        <f>SUM(O141:Z141)</f>
        <v/>
      </c>
      <c r="AF141">
        <f>IFERROR(ROUND(1/SUMPRODUCT(MAX((C140:N140&gt;0)*($C$3:$N$3&lt;=B141)*($C$2:$N$2&gt;AA141)/$C$2:$N$2)),0),0)</f>
        <v/>
      </c>
      <c r="AG141">
        <f>MAX(0,AC141-MAX(0,SUMPRODUCT(($C$2:$N$2=AA141)*(AH141:AS141-$C$7:$N$7))))</f>
        <v/>
      </c>
      <c r="AH141">
        <f>IF(C140&lt;=0,0,ROUND(C140*(1+IF(AND(C$6&gt;0,$B141&lt;C$6),C$4,C$5)/12),2))</f>
        <v/>
      </c>
      <c r="AI141">
        <f>IF(D140&lt;=0,0,ROUND(D140*(1+IF(AND(D$6&gt;0,$B141&lt;D$6),D$4,D$5)/12),2))</f>
        <v/>
      </c>
      <c r="AJ141">
        <f>IF(E140&lt;=0,0,ROUND(E140*(1+IF(AND(E$6&gt;0,$B141&lt;E$6),E$4,E$5)/12),2))</f>
        <v/>
      </c>
      <c r="AK141">
        <f>IF(F140&lt;=0,0,ROUND(F140*(1+IF(AND(F$6&gt;0,$B141&lt;F$6),F$4,F$5)/12),2))</f>
        <v/>
      </c>
      <c r="AL141">
        <f>IF(G140&lt;=0,0,ROUND(G140*(1+IF(AND(G$6&gt;0,$B141&lt;G$6),G$4,G$5)/12),2))</f>
        <v/>
      </c>
      <c r="AM141">
        <f>IF(H140&lt;=0,0,ROUND(H140*(1+IF(AND(H$6&gt;0,$B141&lt;H$6),H$4,H$5)/12),2))</f>
        <v/>
      </c>
      <c r="AN141">
        <f>IF(I140&lt;=0,0,ROUND(I140*(1+IF(AND(I$6&gt;0,$B141&lt;I$6),I$4,I$5)/12),2))</f>
        <v/>
      </c>
      <c r="AO141">
        <f>IF(J140&lt;=0,0,ROUND(J140*(1+IF(AND(J$6&gt;0,$B141&lt;J$6),J$4,J$5)/12),2))</f>
        <v/>
      </c>
      <c r="AP141">
        <f>IF(K140&lt;=0,0,ROUND(K140*(1+IF(AND(K$6&gt;0,$B141&lt;K$6),K$4,K$5)/12),2))</f>
        <v/>
      </c>
      <c r="AQ141">
        <f>IF(L140&lt;=0,0,ROUND(L140*(1+IF(AND(L$6&gt;0,$B141&lt;L$6),L$4,L$5)/12),2))</f>
        <v/>
      </c>
      <c r="AR141">
        <f>IF(M140&lt;=0,0,ROUND(M140*(1+IF(AND(M$6&gt;0,$B141&lt;M$6),M$4,M$5)/12),2))</f>
        <v/>
      </c>
      <c r="AS141">
        <f>IF(N140&lt;=0,0,ROUND(N140*(1+IF(AND(N$6&gt;0,$B141&lt;N$6),N$4,N$5)/12),2))</f>
        <v/>
      </c>
    </row>
    <row r="142">
      <c r="A142" t="n">
        <v>131</v>
      </c>
      <c r="B142">
        <f>EDATE(Plan!$C$6,130)</f>
        <v/>
      </c>
      <c r="C142">
        <f>IF(C141&lt;=0,0,MAX(0,AH142-O142))</f>
        <v/>
      </c>
      <c r="D142">
        <f>IF(D141&lt;=0,0,MAX(0,AI142-P142))</f>
        <v/>
      </c>
      <c r="E142">
        <f>IF(E141&lt;=0,0,MAX(0,AJ142-Q142))</f>
        <v/>
      </c>
      <c r="F142">
        <f>IF(F141&lt;=0,0,MAX(0,AK142-R142))</f>
        <v/>
      </c>
      <c r="G142">
        <f>IF(G141&lt;=0,0,MAX(0,AL142-S142))</f>
        <v/>
      </c>
      <c r="H142">
        <f>IF(H141&lt;=0,0,MAX(0,AM142-T142))</f>
        <v/>
      </c>
      <c r="I142">
        <f>IF(I141&lt;=0,0,MAX(0,AN142-U142))</f>
        <v/>
      </c>
      <c r="J142">
        <f>IF(J141&lt;=0,0,MAX(0,AO142-V142))</f>
        <v/>
      </c>
      <c r="K142">
        <f>IF(K141&lt;=0,0,MAX(0,AP142-W142))</f>
        <v/>
      </c>
      <c r="L142">
        <f>IF(L141&lt;=0,0,MAX(0,AQ142-X142))</f>
        <v/>
      </c>
      <c r="M142">
        <f>IF(M141&lt;=0,0,MAX(0,AR142-Y142))</f>
        <v/>
      </c>
      <c r="N142">
        <f>IF(N141&lt;=0,0,MAX(0,AS142-Z142))</f>
        <v/>
      </c>
      <c r="O142">
        <f>IF(C141&lt;=0,0,MIN(AH142,C$7+IF(C$2=$AA142,$AC142,IF(C$2=$AF142,$AG142,0))))</f>
        <v/>
      </c>
      <c r="P142">
        <f>IF(D141&lt;=0,0,MIN(AI142,D$7+IF(D$2=$AA142,$AC142,IF(D$2=$AF142,$AG142,0))))</f>
        <v/>
      </c>
      <c r="Q142">
        <f>IF(E141&lt;=0,0,MIN(AJ142,E$7+IF(E$2=$AA142,$AC142,IF(E$2=$AF142,$AG142,0))))</f>
        <v/>
      </c>
      <c r="R142">
        <f>IF(F141&lt;=0,0,MIN(AK142,F$7+IF(F$2=$AA142,$AC142,IF(F$2=$AF142,$AG142,0))))</f>
        <v/>
      </c>
      <c r="S142">
        <f>IF(G141&lt;=0,0,MIN(AL142,G$7+IF(G$2=$AA142,$AC142,IF(G$2=$AF142,$AG142,0))))</f>
        <v/>
      </c>
      <c r="T142">
        <f>IF(H141&lt;=0,0,MIN(AM142,H$7+IF(H$2=$AA142,$AC142,IF(H$2=$AF142,$AG142,0))))</f>
        <v/>
      </c>
      <c r="U142">
        <f>IF(I141&lt;=0,0,MIN(AN142,I$7+IF(I$2=$AA142,$AC142,IF(I$2=$AF142,$AG142,0))))</f>
        <v/>
      </c>
      <c r="V142">
        <f>IF(J141&lt;=0,0,MIN(AO142,J$7+IF(J$2=$AA142,$AC142,IF(J$2=$AF142,$AG142,0))))</f>
        <v/>
      </c>
      <c r="W142">
        <f>IF(K141&lt;=0,0,MIN(AP142,K$7+IF(K$2=$AA142,$AC142,IF(K$2=$AF142,$AG142,0))))</f>
        <v/>
      </c>
      <c r="X142">
        <f>IF(L141&lt;=0,0,MIN(AQ142,L$7+IF(L$2=$AA142,$AC142,IF(L$2=$AF142,$AG142,0))))</f>
        <v/>
      </c>
      <c r="Y142">
        <f>IF(M141&lt;=0,0,MIN(AR142,M$7+IF(M$2=$AA142,$AC142,IF(M$2=$AF142,$AG142,0))))</f>
        <v/>
      </c>
      <c r="Z142">
        <f>IF(N141&lt;=0,0,MIN(AS142,N$7+IF(N$2=$AA142,$AC142,IF(N$2=$AF142,$AG142,0))))</f>
        <v/>
      </c>
      <c r="AA142">
        <f>IFERROR(ROUND(1/SUMPRODUCT(MAX((C141:N141&gt;0)*($C$3:$N$3&lt;=B142)/$C$2:$N$2)),0),0)</f>
        <v/>
      </c>
      <c r="AB142">
        <f>SUMPRODUCT((C141:N141&gt;0)*$C$7:$N$7)</f>
        <v/>
      </c>
      <c r="AC142">
        <f>MAX(0,Plan!$C$5-AB142)+IF(A142=Plan!$C$8,N(Plan!$C$7),0)</f>
        <v/>
      </c>
      <c r="AD142">
        <f>SUM(C142:N142)</f>
        <v/>
      </c>
      <c r="AE142">
        <f>SUM(O142:Z142)</f>
        <v/>
      </c>
      <c r="AF142">
        <f>IFERROR(ROUND(1/SUMPRODUCT(MAX((C141:N141&gt;0)*($C$3:$N$3&lt;=B142)*($C$2:$N$2&gt;AA142)/$C$2:$N$2)),0),0)</f>
        <v/>
      </c>
      <c r="AG142">
        <f>MAX(0,AC142-MAX(0,SUMPRODUCT(($C$2:$N$2=AA142)*(AH142:AS142-$C$7:$N$7))))</f>
        <v/>
      </c>
      <c r="AH142">
        <f>IF(C141&lt;=0,0,ROUND(C141*(1+IF(AND(C$6&gt;0,$B142&lt;C$6),C$4,C$5)/12),2))</f>
        <v/>
      </c>
      <c r="AI142">
        <f>IF(D141&lt;=0,0,ROUND(D141*(1+IF(AND(D$6&gt;0,$B142&lt;D$6),D$4,D$5)/12),2))</f>
        <v/>
      </c>
      <c r="AJ142">
        <f>IF(E141&lt;=0,0,ROUND(E141*(1+IF(AND(E$6&gt;0,$B142&lt;E$6),E$4,E$5)/12),2))</f>
        <v/>
      </c>
      <c r="AK142">
        <f>IF(F141&lt;=0,0,ROUND(F141*(1+IF(AND(F$6&gt;0,$B142&lt;F$6),F$4,F$5)/12),2))</f>
        <v/>
      </c>
      <c r="AL142">
        <f>IF(G141&lt;=0,0,ROUND(G141*(1+IF(AND(G$6&gt;0,$B142&lt;G$6),G$4,G$5)/12),2))</f>
        <v/>
      </c>
      <c r="AM142">
        <f>IF(H141&lt;=0,0,ROUND(H141*(1+IF(AND(H$6&gt;0,$B142&lt;H$6),H$4,H$5)/12),2))</f>
        <v/>
      </c>
      <c r="AN142">
        <f>IF(I141&lt;=0,0,ROUND(I141*(1+IF(AND(I$6&gt;0,$B142&lt;I$6),I$4,I$5)/12),2))</f>
        <v/>
      </c>
      <c r="AO142">
        <f>IF(J141&lt;=0,0,ROUND(J141*(1+IF(AND(J$6&gt;0,$B142&lt;J$6),J$4,J$5)/12),2))</f>
        <v/>
      </c>
      <c r="AP142">
        <f>IF(K141&lt;=0,0,ROUND(K141*(1+IF(AND(K$6&gt;0,$B142&lt;K$6),K$4,K$5)/12),2))</f>
        <v/>
      </c>
      <c r="AQ142">
        <f>IF(L141&lt;=0,0,ROUND(L141*(1+IF(AND(L$6&gt;0,$B142&lt;L$6),L$4,L$5)/12),2))</f>
        <v/>
      </c>
      <c r="AR142">
        <f>IF(M141&lt;=0,0,ROUND(M141*(1+IF(AND(M$6&gt;0,$B142&lt;M$6),M$4,M$5)/12),2))</f>
        <v/>
      </c>
      <c r="AS142">
        <f>IF(N141&lt;=0,0,ROUND(N141*(1+IF(AND(N$6&gt;0,$B142&lt;N$6),N$4,N$5)/12),2))</f>
        <v/>
      </c>
    </row>
    <row r="143">
      <c r="A143" t="n">
        <v>132</v>
      </c>
      <c r="B143">
        <f>EDATE(Plan!$C$6,131)</f>
        <v/>
      </c>
      <c r="C143">
        <f>IF(C142&lt;=0,0,MAX(0,AH143-O143))</f>
        <v/>
      </c>
      <c r="D143">
        <f>IF(D142&lt;=0,0,MAX(0,AI143-P143))</f>
        <v/>
      </c>
      <c r="E143">
        <f>IF(E142&lt;=0,0,MAX(0,AJ143-Q143))</f>
        <v/>
      </c>
      <c r="F143">
        <f>IF(F142&lt;=0,0,MAX(0,AK143-R143))</f>
        <v/>
      </c>
      <c r="G143">
        <f>IF(G142&lt;=0,0,MAX(0,AL143-S143))</f>
        <v/>
      </c>
      <c r="H143">
        <f>IF(H142&lt;=0,0,MAX(0,AM143-T143))</f>
        <v/>
      </c>
      <c r="I143">
        <f>IF(I142&lt;=0,0,MAX(0,AN143-U143))</f>
        <v/>
      </c>
      <c r="J143">
        <f>IF(J142&lt;=0,0,MAX(0,AO143-V143))</f>
        <v/>
      </c>
      <c r="K143">
        <f>IF(K142&lt;=0,0,MAX(0,AP143-W143))</f>
        <v/>
      </c>
      <c r="L143">
        <f>IF(L142&lt;=0,0,MAX(0,AQ143-X143))</f>
        <v/>
      </c>
      <c r="M143">
        <f>IF(M142&lt;=0,0,MAX(0,AR143-Y143))</f>
        <v/>
      </c>
      <c r="N143">
        <f>IF(N142&lt;=0,0,MAX(0,AS143-Z143))</f>
        <v/>
      </c>
      <c r="O143">
        <f>IF(C142&lt;=0,0,MIN(AH143,C$7+IF(C$2=$AA143,$AC143,IF(C$2=$AF143,$AG143,0))))</f>
        <v/>
      </c>
      <c r="P143">
        <f>IF(D142&lt;=0,0,MIN(AI143,D$7+IF(D$2=$AA143,$AC143,IF(D$2=$AF143,$AG143,0))))</f>
        <v/>
      </c>
      <c r="Q143">
        <f>IF(E142&lt;=0,0,MIN(AJ143,E$7+IF(E$2=$AA143,$AC143,IF(E$2=$AF143,$AG143,0))))</f>
        <v/>
      </c>
      <c r="R143">
        <f>IF(F142&lt;=0,0,MIN(AK143,F$7+IF(F$2=$AA143,$AC143,IF(F$2=$AF143,$AG143,0))))</f>
        <v/>
      </c>
      <c r="S143">
        <f>IF(G142&lt;=0,0,MIN(AL143,G$7+IF(G$2=$AA143,$AC143,IF(G$2=$AF143,$AG143,0))))</f>
        <v/>
      </c>
      <c r="T143">
        <f>IF(H142&lt;=0,0,MIN(AM143,H$7+IF(H$2=$AA143,$AC143,IF(H$2=$AF143,$AG143,0))))</f>
        <v/>
      </c>
      <c r="U143">
        <f>IF(I142&lt;=0,0,MIN(AN143,I$7+IF(I$2=$AA143,$AC143,IF(I$2=$AF143,$AG143,0))))</f>
        <v/>
      </c>
      <c r="V143">
        <f>IF(J142&lt;=0,0,MIN(AO143,J$7+IF(J$2=$AA143,$AC143,IF(J$2=$AF143,$AG143,0))))</f>
        <v/>
      </c>
      <c r="W143">
        <f>IF(K142&lt;=0,0,MIN(AP143,K$7+IF(K$2=$AA143,$AC143,IF(K$2=$AF143,$AG143,0))))</f>
        <v/>
      </c>
      <c r="X143">
        <f>IF(L142&lt;=0,0,MIN(AQ143,L$7+IF(L$2=$AA143,$AC143,IF(L$2=$AF143,$AG143,0))))</f>
        <v/>
      </c>
      <c r="Y143">
        <f>IF(M142&lt;=0,0,MIN(AR143,M$7+IF(M$2=$AA143,$AC143,IF(M$2=$AF143,$AG143,0))))</f>
        <v/>
      </c>
      <c r="Z143">
        <f>IF(N142&lt;=0,0,MIN(AS143,N$7+IF(N$2=$AA143,$AC143,IF(N$2=$AF143,$AG143,0))))</f>
        <v/>
      </c>
      <c r="AA143">
        <f>IFERROR(ROUND(1/SUMPRODUCT(MAX((C142:N142&gt;0)*($C$3:$N$3&lt;=B143)/$C$2:$N$2)),0),0)</f>
        <v/>
      </c>
      <c r="AB143">
        <f>SUMPRODUCT((C142:N142&gt;0)*$C$7:$N$7)</f>
        <v/>
      </c>
      <c r="AC143">
        <f>MAX(0,Plan!$C$5-AB143)+IF(A143=Plan!$C$8,N(Plan!$C$7),0)</f>
        <v/>
      </c>
      <c r="AD143">
        <f>SUM(C143:N143)</f>
        <v/>
      </c>
      <c r="AE143">
        <f>SUM(O143:Z143)</f>
        <v/>
      </c>
      <c r="AF143">
        <f>IFERROR(ROUND(1/SUMPRODUCT(MAX((C142:N142&gt;0)*($C$3:$N$3&lt;=B143)*($C$2:$N$2&gt;AA143)/$C$2:$N$2)),0),0)</f>
        <v/>
      </c>
      <c r="AG143">
        <f>MAX(0,AC143-MAX(0,SUMPRODUCT(($C$2:$N$2=AA143)*(AH143:AS143-$C$7:$N$7))))</f>
        <v/>
      </c>
      <c r="AH143">
        <f>IF(C142&lt;=0,0,ROUND(C142*(1+IF(AND(C$6&gt;0,$B143&lt;C$6),C$4,C$5)/12),2))</f>
        <v/>
      </c>
      <c r="AI143">
        <f>IF(D142&lt;=0,0,ROUND(D142*(1+IF(AND(D$6&gt;0,$B143&lt;D$6),D$4,D$5)/12),2))</f>
        <v/>
      </c>
      <c r="AJ143">
        <f>IF(E142&lt;=0,0,ROUND(E142*(1+IF(AND(E$6&gt;0,$B143&lt;E$6),E$4,E$5)/12),2))</f>
        <v/>
      </c>
      <c r="AK143">
        <f>IF(F142&lt;=0,0,ROUND(F142*(1+IF(AND(F$6&gt;0,$B143&lt;F$6),F$4,F$5)/12),2))</f>
        <v/>
      </c>
      <c r="AL143">
        <f>IF(G142&lt;=0,0,ROUND(G142*(1+IF(AND(G$6&gt;0,$B143&lt;G$6),G$4,G$5)/12),2))</f>
        <v/>
      </c>
      <c r="AM143">
        <f>IF(H142&lt;=0,0,ROUND(H142*(1+IF(AND(H$6&gt;0,$B143&lt;H$6),H$4,H$5)/12),2))</f>
        <v/>
      </c>
      <c r="AN143">
        <f>IF(I142&lt;=0,0,ROUND(I142*(1+IF(AND(I$6&gt;0,$B143&lt;I$6),I$4,I$5)/12),2))</f>
        <v/>
      </c>
      <c r="AO143">
        <f>IF(J142&lt;=0,0,ROUND(J142*(1+IF(AND(J$6&gt;0,$B143&lt;J$6),J$4,J$5)/12),2))</f>
        <v/>
      </c>
      <c r="AP143">
        <f>IF(K142&lt;=0,0,ROUND(K142*(1+IF(AND(K$6&gt;0,$B143&lt;K$6),K$4,K$5)/12),2))</f>
        <v/>
      </c>
      <c r="AQ143">
        <f>IF(L142&lt;=0,0,ROUND(L142*(1+IF(AND(L$6&gt;0,$B143&lt;L$6),L$4,L$5)/12),2))</f>
        <v/>
      </c>
      <c r="AR143">
        <f>IF(M142&lt;=0,0,ROUND(M142*(1+IF(AND(M$6&gt;0,$B143&lt;M$6),M$4,M$5)/12),2))</f>
        <v/>
      </c>
      <c r="AS143">
        <f>IF(N142&lt;=0,0,ROUND(N142*(1+IF(AND(N$6&gt;0,$B143&lt;N$6),N$4,N$5)/12),2))</f>
        <v/>
      </c>
    </row>
    <row r="144">
      <c r="A144" t="n">
        <v>133</v>
      </c>
      <c r="B144">
        <f>EDATE(Plan!$C$6,132)</f>
        <v/>
      </c>
      <c r="C144">
        <f>IF(C143&lt;=0,0,MAX(0,AH144-O144))</f>
        <v/>
      </c>
      <c r="D144">
        <f>IF(D143&lt;=0,0,MAX(0,AI144-P144))</f>
        <v/>
      </c>
      <c r="E144">
        <f>IF(E143&lt;=0,0,MAX(0,AJ144-Q144))</f>
        <v/>
      </c>
      <c r="F144">
        <f>IF(F143&lt;=0,0,MAX(0,AK144-R144))</f>
        <v/>
      </c>
      <c r="G144">
        <f>IF(G143&lt;=0,0,MAX(0,AL144-S144))</f>
        <v/>
      </c>
      <c r="H144">
        <f>IF(H143&lt;=0,0,MAX(0,AM144-T144))</f>
        <v/>
      </c>
      <c r="I144">
        <f>IF(I143&lt;=0,0,MAX(0,AN144-U144))</f>
        <v/>
      </c>
      <c r="J144">
        <f>IF(J143&lt;=0,0,MAX(0,AO144-V144))</f>
        <v/>
      </c>
      <c r="K144">
        <f>IF(K143&lt;=0,0,MAX(0,AP144-W144))</f>
        <v/>
      </c>
      <c r="L144">
        <f>IF(L143&lt;=0,0,MAX(0,AQ144-X144))</f>
        <v/>
      </c>
      <c r="M144">
        <f>IF(M143&lt;=0,0,MAX(0,AR144-Y144))</f>
        <v/>
      </c>
      <c r="N144">
        <f>IF(N143&lt;=0,0,MAX(0,AS144-Z144))</f>
        <v/>
      </c>
      <c r="O144">
        <f>IF(C143&lt;=0,0,MIN(AH144,C$7+IF(C$2=$AA144,$AC144,IF(C$2=$AF144,$AG144,0))))</f>
        <v/>
      </c>
      <c r="P144">
        <f>IF(D143&lt;=0,0,MIN(AI144,D$7+IF(D$2=$AA144,$AC144,IF(D$2=$AF144,$AG144,0))))</f>
        <v/>
      </c>
      <c r="Q144">
        <f>IF(E143&lt;=0,0,MIN(AJ144,E$7+IF(E$2=$AA144,$AC144,IF(E$2=$AF144,$AG144,0))))</f>
        <v/>
      </c>
      <c r="R144">
        <f>IF(F143&lt;=0,0,MIN(AK144,F$7+IF(F$2=$AA144,$AC144,IF(F$2=$AF144,$AG144,0))))</f>
        <v/>
      </c>
      <c r="S144">
        <f>IF(G143&lt;=0,0,MIN(AL144,G$7+IF(G$2=$AA144,$AC144,IF(G$2=$AF144,$AG144,0))))</f>
        <v/>
      </c>
      <c r="T144">
        <f>IF(H143&lt;=0,0,MIN(AM144,H$7+IF(H$2=$AA144,$AC144,IF(H$2=$AF144,$AG144,0))))</f>
        <v/>
      </c>
      <c r="U144">
        <f>IF(I143&lt;=0,0,MIN(AN144,I$7+IF(I$2=$AA144,$AC144,IF(I$2=$AF144,$AG144,0))))</f>
        <v/>
      </c>
      <c r="V144">
        <f>IF(J143&lt;=0,0,MIN(AO144,J$7+IF(J$2=$AA144,$AC144,IF(J$2=$AF144,$AG144,0))))</f>
        <v/>
      </c>
      <c r="W144">
        <f>IF(K143&lt;=0,0,MIN(AP144,K$7+IF(K$2=$AA144,$AC144,IF(K$2=$AF144,$AG144,0))))</f>
        <v/>
      </c>
      <c r="X144">
        <f>IF(L143&lt;=0,0,MIN(AQ144,L$7+IF(L$2=$AA144,$AC144,IF(L$2=$AF144,$AG144,0))))</f>
        <v/>
      </c>
      <c r="Y144">
        <f>IF(M143&lt;=0,0,MIN(AR144,M$7+IF(M$2=$AA144,$AC144,IF(M$2=$AF144,$AG144,0))))</f>
        <v/>
      </c>
      <c r="Z144">
        <f>IF(N143&lt;=0,0,MIN(AS144,N$7+IF(N$2=$AA144,$AC144,IF(N$2=$AF144,$AG144,0))))</f>
        <v/>
      </c>
      <c r="AA144">
        <f>IFERROR(ROUND(1/SUMPRODUCT(MAX((C143:N143&gt;0)*($C$3:$N$3&lt;=B144)/$C$2:$N$2)),0),0)</f>
        <v/>
      </c>
      <c r="AB144">
        <f>SUMPRODUCT((C143:N143&gt;0)*$C$7:$N$7)</f>
        <v/>
      </c>
      <c r="AC144">
        <f>MAX(0,Plan!$C$5-AB144)+IF(A144=Plan!$C$8,N(Plan!$C$7),0)</f>
        <v/>
      </c>
      <c r="AD144">
        <f>SUM(C144:N144)</f>
        <v/>
      </c>
      <c r="AE144">
        <f>SUM(O144:Z144)</f>
        <v/>
      </c>
      <c r="AF144">
        <f>IFERROR(ROUND(1/SUMPRODUCT(MAX((C143:N143&gt;0)*($C$3:$N$3&lt;=B144)*($C$2:$N$2&gt;AA144)/$C$2:$N$2)),0),0)</f>
        <v/>
      </c>
      <c r="AG144">
        <f>MAX(0,AC144-MAX(0,SUMPRODUCT(($C$2:$N$2=AA144)*(AH144:AS144-$C$7:$N$7))))</f>
        <v/>
      </c>
      <c r="AH144">
        <f>IF(C143&lt;=0,0,ROUND(C143*(1+IF(AND(C$6&gt;0,$B144&lt;C$6),C$4,C$5)/12),2))</f>
        <v/>
      </c>
      <c r="AI144">
        <f>IF(D143&lt;=0,0,ROUND(D143*(1+IF(AND(D$6&gt;0,$B144&lt;D$6),D$4,D$5)/12),2))</f>
        <v/>
      </c>
      <c r="AJ144">
        <f>IF(E143&lt;=0,0,ROUND(E143*(1+IF(AND(E$6&gt;0,$B144&lt;E$6),E$4,E$5)/12),2))</f>
        <v/>
      </c>
      <c r="AK144">
        <f>IF(F143&lt;=0,0,ROUND(F143*(1+IF(AND(F$6&gt;0,$B144&lt;F$6),F$4,F$5)/12),2))</f>
        <v/>
      </c>
      <c r="AL144">
        <f>IF(G143&lt;=0,0,ROUND(G143*(1+IF(AND(G$6&gt;0,$B144&lt;G$6),G$4,G$5)/12),2))</f>
        <v/>
      </c>
      <c r="AM144">
        <f>IF(H143&lt;=0,0,ROUND(H143*(1+IF(AND(H$6&gt;0,$B144&lt;H$6),H$4,H$5)/12),2))</f>
        <v/>
      </c>
      <c r="AN144">
        <f>IF(I143&lt;=0,0,ROUND(I143*(1+IF(AND(I$6&gt;0,$B144&lt;I$6),I$4,I$5)/12),2))</f>
        <v/>
      </c>
      <c r="AO144">
        <f>IF(J143&lt;=0,0,ROUND(J143*(1+IF(AND(J$6&gt;0,$B144&lt;J$6),J$4,J$5)/12),2))</f>
        <v/>
      </c>
      <c r="AP144">
        <f>IF(K143&lt;=0,0,ROUND(K143*(1+IF(AND(K$6&gt;0,$B144&lt;K$6),K$4,K$5)/12),2))</f>
        <v/>
      </c>
      <c r="AQ144">
        <f>IF(L143&lt;=0,0,ROUND(L143*(1+IF(AND(L$6&gt;0,$B144&lt;L$6),L$4,L$5)/12),2))</f>
        <v/>
      </c>
      <c r="AR144">
        <f>IF(M143&lt;=0,0,ROUND(M143*(1+IF(AND(M$6&gt;0,$B144&lt;M$6),M$4,M$5)/12),2))</f>
        <v/>
      </c>
      <c r="AS144">
        <f>IF(N143&lt;=0,0,ROUND(N143*(1+IF(AND(N$6&gt;0,$B144&lt;N$6),N$4,N$5)/12),2))</f>
        <v/>
      </c>
    </row>
    <row r="145">
      <c r="A145" t="n">
        <v>134</v>
      </c>
      <c r="B145">
        <f>EDATE(Plan!$C$6,133)</f>
        <v/>
      </c>
      <c r="C145">
        <f>IF(C144&lt;=0,0,MAX(0,AH145-O145))</f>
        <v/>
      </c>
      <c r="D145">
        <f>IF(D144&lt;=0,0,MAX(0,AI145-P145))</f>
        <v/>
      </c>
      <c r="E145">
        <f>IF(E144&lt;=0,0,MAX(0,AJ145-Q145))</f>
        <v/>
      </c>
      <c r="F145">
        <f>IF(F144&lt;=0,0,MAX(0,AK145-R145))</f>
        <v/>
      </c>
      <c r="G145">
        <f>IF(G144&lt;=0,0,MAX(0,AL145-S145))</f>
        <v/>
      </c>
      <c r="H145">
        <f>IF(H144&lt;=0,0,MAX(0,AM145-T145))</f>
        <v/>
      </c>
      <c r="I145">
        <f>IF(I144&lt;=0,0,MAX(0,AN145-U145))</f>
        <v/>
      </c>
      <c r="J145">
        <f>IF(J144&lt;=0,0,MAX(0,AO145-V145))</f>
        <v/>
      </c>
      <c r="K145">
        <f>IF(K144&lt;=0,0,MAX(0,AP145-W145))</f>
        <v/>
      </c>
      <c r="L145">
        <f>IF(L144&lt;=0,0,MAX(0,AQ145-X145))</f>
        <v/>
      </c>
      <c r="M145">
        <f>IF(M144&lt;=0,0,MAX(0,AR145-Y145))</f>
        <v/>
      </c>
      <c r="N145">
        <f>IF(N144&lt;=0,0,MAX(0,AS145-Z145))</f>
        <v/>
      </c>
      <c r="O145">
        <f>IF(C144&lt;=0,0,MIN(AH145,C$7+IF(C$2=$AA145,$AC145,IF(C$2=$AF145,$AG145,0))))</f>
        <v/>
      </c>
      <c r="P145">
        <f>IF(D144&lt;=0,0,MIN(AI145,D$7+IF(D$2=$AA145,$AC145,IF(D$2=$AF145,$AG145,0))))</f>
        <v/>
      </c>
      <c r="Q145">
        <f>IF(E144&lt;=0,0,MIN(AJ145,E$7+IF(E$2=$AA145,$AC145,IF(E$2=$AF145,$AG145,0))))</f>
        <v/>
      </c>
      <c r="R145">
        <f>IF(F144&lt;=0,0,MIN(AK145,F$7+IF(F$2=$AA145,$AC145,IF(F$2=$AF145,$AG145,0))))</f>
        <v/>
      </c>
      <c r="S145">
        <f>IF(G144&lt;=0,0,MIN(AL145,G$7+IF(G$2=$AA145,$AC145,IF(G$2=$AF145,$AG145,0))))</f>
        <v/>
      </c>
      <c r="T145">
        <f>IF(H144&lt;=0,0,MIN(AM145,H$7+IF(H$2=$AA145,$AC145,IF(H$2=$AF145,$AG145,0))))</f>
        <v/>
      </c>
      <c r="U145">
        <f>IF(I144&lt;=0,0,MIN(AN145,I$7+IF(I$2=$AA145,$AC145,IF(I$2=$AF145,$AG145,0))))</f>
        <v/>
      </c>
      <c r="V145">
        <f>IF(J144&lt;=0,0,MIN(AO145,J$7+IF(J$2=$AA145,$AC145,IF(J$2=$AF145,$AG145,0))))</f>
        <v/>
      </c>
      <c r="W145">
        <f>IF(K144&lt;=0,0,MIN(AP145,K$7+IF(K$2=$AA145,$AC145,IF(K$2=$AF145,$AG145,0))))</f>
        <v/>
      </c>
      <c r="X145">
        <f>IF(L144&lt;=0,0,MIN(AQ145,L$7+IF(L$2=$AA145,$AC145,IF(L$2=$AF145,$AG145,0))))</f>
        <v/>
      </c>
      <c r="Y145">
        <f>IF(M144&lt;=0,0,MIN(AR145,M$7+IF(M$2=$AA145,$AC145,IF(M$2=$AF145,$AG145,0))))</f>
        <v/>
      </c>
      <c r="Z145">
        <f>IF(N144&lt;=0,0,MIN(AS145,N$7+IF(N$2=$AA145,$AC145,IF(N$2=$AF145,$AG145,0))))</f>
        <v/>
      </c>
      <c r="AA145">
        <f>IFERROR(ROUND(1/SUMPRODUCT(MAX((C144:N144&gt;0)*($C$3:$N$3&lt;=B145)/$C$2:$N$2)),0),0)</f>
        <v/>
      </c>
      <c r="AB145">
        <f>SUMPRODUCT((C144:N144&gt;0)*$C$7:$N$7)</f>
        <v/>
      </c>
      <c r="AC145">
        <f>MAX(0,Plan!$C$5-AB145)+IF(A145=Plan!$C$8,N(Plan!$C$7),0)</f>
        <v/>
      </c>
      <c r="AD145">
        <f>SUM(C145:N145)</f>
        <v/>
      </c>
      <c r="AE145">
        <f>SUM(O145:Z145)</f>
        <v/>
      </c>
      <c r="AF145">
        <f>IFERROR(ROUND(1/SUMPRODUCT(MAX((C144:N144&gt;0)*($C$3:$N$3&lt;=B145)*($C$2:$N$2&gt;AA145)/$C$2:$N$2)),0),0)</f>
        <v/>
      </c>
      <c r="AG145">
        <f>MAX(0,AC145-MAX(0,SUMPRODUCT(($C$2:$N$2=AA145)*(AH145:AS145-$C$7:$N$7))))</f>
        <v/>
      </c>
      <c r="AH145">
        <f>IF(C144&lt;=0,0,ROUND(C144*(1+IF(AND(C$6&gt;0,$B145&lt;C$6),C$4,C$5)/12),2))</f>
        <v/>
      </c>
      <c r="AI145">
        <f>IF(D144&lt;=0,0,ROUND(D144*(1+IF(AND(D$6&gt;0,$B145&lt;D$6),D$4,D$5)/12),2))</f>
        <v/>
      </c>
      <c r="AJ145">
        <f>IF(E144&lt;=0,0,ROUND(E144*(1+IF(AND(E$6&gt;0,$B145&lt;E$6),E$4,E$5)/12),2))</f>
        <v/>
      </c>
      <c r="AK145">
        <f>IF(F144&lt;=0,0,ROUND(F144*(1+IF(AND(F$6&gt;0,$B145&lt;F$6),F$4,F$5)/12),2))</f>
        <v/>
      </c>
      <c r="AL145">
        <f>IF(G144&lt;=0,0,ROUND(G144*(1+IF(AND(G$6&gt;0,$B145&lt;G$6),G$4,G$5)/12),2))</f>
        <v/>
      </c>
      <c r="AM145">
        <f>IF(H144&lt;=0,0,ROUND(H144*(1+IF(AND(H$6&gt;0,$B145&lt;H$6),H$4,H$5)/12),2))</f>
        <v/>
      </c>
      <c r="AN145">
        <f>IF(I144&lt;=0,0,ROUND(I144*(1+IF(AND(I$6&gt;0,$B145&lt;I$6),I$4,I$5)/12),2))</f>
        <v/>
      </c>
      <c r="AO145">
        <f>IF(J144&lt;=0,0,ROUND(J144*(1+IF(AND(J$6&gt;0,$B145&lt;J$6),J$4,J$5)/12),2))</f>
        <v/>
      </c>
      <c r="AP145">
        <f>IF(K144&lt;=0,0,ROUND(K144*(1+IF(AND(K$6&gt;0,$B145&lt;K$6),K$4,K$5)/12),2))</f>
        <v/>
      </c>
      <c r="AQ145">
        <f>IF(L144&lt;=0,0,ROUND(L144*(1+IF(AND(L$6&gt;0,$B145&lt;L$6),L$4,L$5)/12),2))</f>
        <v/>
      </c>
      <c r="AR145">
        <f>IF(M144&lt;=0,0,ROUND(M144*(1+IF(AND(M$6&gt;0,$B145&lt;M$6),M$4,M$5)/12),2))</f>
        <v/>
      </c>
      <c r="AS145">
        <f>IF(N144&lt;=0,0,ROUND(N144*(1+IF(AND(N$6&gt;0,$B145&lt;N$6),N$4,N$5)/12),2))</f>
        <v/>
      </c>
    </row>
    <row r="146">
      <c r="A146" t="n">
        <v>135</v>
      </c>
      <c r="B146">
        <f>EDATE(Plan!$C$6,134)</f>
        <v/>
      </c>
      <c r="C146">
        <f>IF(C145&lt;=0,0,MAX(0,AH146-O146))</f>
        <v/>
      </c>
      <c r="D146">
        <f>IF(D145&lt;=0,0,MAX(0,AI146-P146))</f>
        <v/>
      </c>
      <c r="E146">
        <f>IF(E145&lt;=0,0,MAX(0,AJ146-Q146))</f>
        <v/>
      </c>
      <c r="F146">
        <f>IF(F145&lt;=0,0,MAX(0,AK146-R146))</f>
        <v/>
      </c>
      <c r="G146">
        <f>IF(G145&lt;=0,0,MAX(0,AL146-S146))</f>
        <v/>
      </c>
      <c r="H146">
        <f>IF(H145&lt;=0,0,MAX(0,AM146-T146))</f>
        <v/>
      </c>
      <c r="I146">
        <f>IF(I145&lt;=0,0,MAX(0,AN146-U146))</f>
        <v/>
      </c>
      <c r="J146">
        <f>IF(J145&lt;=0,0,MAX(0,AO146-V146))</f>
        <v/>
      </c>
      <c r="K146">
        <f>IF(K145&lt;=0,0,MAX(0,AP146-W146))</f>
        <v/>
      </c>
      <c r="L146">
        <f>IF(L145&lt;=0,0,MAX(0,AQ146-X146))</f>
        <v/>
      </c>
      <c r="M146">
        <f>IF(M145&lt;=0,0,MAX(0,AR146-Y146))</f>
        <v/>
      </c>
      <c r="N146">
        <f>IF(N145&lt;=0,0,MAX(0,AS146-Z146))</f>
        <v/>
      </c>
      <c r="O146">
        <f>IF(C145&lt;=0,0,MIN(AH146,C$7+IF(C$2=$AA146,$AC146,IF(C$2=$AF146,$AG146,0))))</f>
        <v/>
      </c>
      <c r="P146">
        <f>IF(D145&lt;=0,0,MIN(AI146,D$7+IF(D$2=$AA146,$AC146,IF(D$2=$AF146,$AG146,0))))</f>
        <v/>
      </c>
      <c r="Q146">
        <f>IF(E145&lt;=0,0,MIN(AJ146,E$7+IF(E$2=$AA146,$AC146,IF(E$2=$AF146,$AG146,0))))</f>
        <v/>
      </c>
      <c r="R146">
        <f>IF(F145&lt;=0,0,MIN(AK146,F$7+IF(F$2=$AA146,$AC146,IF(F$2=$AF146,$AG146,0))))</f>
        <v/>
      </c>
      <c r="S146">
        <f>IF(G145&lt;=0,0,MIN(AL146,G$7+IF(G$2=$AA146,$AC146,IF(G$2=$AF146,$AG146,0))))</f>
        <v/>
      </c>
      <c r="T146">
        <f>IF(H145&lt;=0,0,MIN(AM146,H$7+IF(H$2=$AA146,$AC146,IF(H$2=$AF146,$AG146,0))))</f>
        <v/>
      </c>
      <c r="U146">
        <f>IF(I145&lt;=0,0,MIN(AN146,I$7+IF(I$2=$AA146,$AC146,IF(I$2=$AF146,$AG146,0))))</f>
        <v/>
      </c>
      <c r="V146">
        <f>IF(J145&lt;=0,0,MIN(AO146,J$7+IF(J$2=$AA146,$AC146,IF(J$2=$AF146,$AG146,0))))</f>
        <v/>
      </c>
      <c r="W146">
        <f>IF(K145&lt;=0,0,MIN(AP146,K$7+IF(K$2=$AA146,$AC146,IF(K$2=$AF146,$AG146,0))))</f>
        <v/>
      </c>
      <c r="X146">
        <f>IF(L145&lt;=0,0,MIN(AQ146,L$7+IF(L$2=$AA146,$AC146,IF(L$2=$AF146,$AG146,0))))</f>
        <v/>
      </c>
      <c r="Y146">
        <f>IF(M145&lt;=0,0,MIN(AR146,M$7+IF(M$2=$AA146,$AC146,IF(M$2=$AF146,$AG146,0))))</f>
        <v/>
      </c>
      <c r="Z146">
        <f>IF(N145&lt;=0,0,MIN(AS146,N$7+IF(N$2=$AA146,$AC146,IF(N$2=$AF146,$AG146,0))))</f>
        <v/>
      </c>
      <c r="AA146">
        <f>IFERROR(ROUND(1/SUMPRODUCT(MAX((C145:N145&gt;0)*($C$3:$N$3&lt;=B146)/$C$2:$N$2)),0),0)</f>
        <v/>
      </c>
      <c r="AB146">
        <f>SUMPRODUCT((C145:N145&gt;0)*$C$7:$N$7)</f>
        <v/>
      </c>
      <c r="AC146">
        <f>MAX(0,Plan!$C$5-AB146)+IF(A146=Plan!$C$8,N(Plan!$C$7),0)</f>
        <v/>
      </c>
      <c r="AD146">
        <f>SUM(C146:N146)</f>
        <v/>
      </c>
      <c r="AE146">
        <f>SUM(O146:Z146)</f>
        <v/>
      </c>
      <c r="AF146">
        <f>IFERROR(ROUND(1/SUMPRODUCT(MAX((C145:N145&gt;0)*($C$3:$N$3&lt;=B146)*($C$2:$N$2&gt;AA146)/$C$2:$N$2)),0),0)</f>
        <v/>
      </c>
      <c r="AG146">
        <f>MAX(0,AC146-MAX(0,SUMPRODUCT(($C$2:$N$2=AA146)*(AH146:AS146-$C$7:$N$7))))</f>
        <v/>
      </c>
      <c r="AH146">
        <f>IF(C145&lt;=0,0,ROUND(C145*(1+IF(AND(C$6&gt;0,$B146&lt;C$6),C$4,C$5)/12),2))</f>
        <v/>
      </c>
      <c r="AI146">
        <f>IF(D145&lt;=0,0,ROUND(D145*(1+IF(AND(D$6&gt;0,$B146&lt;D$6),D$4,D$5)/12),2))</f>
        <v/>
      </c>
      <c r="AJ146">
        <f>IF(E145&lt;=0,0,ROUND(E145*(1+IF(AND(E$6&gt;0,$B146&lt;E$6),E$4,E$5)/12),2))</f>
        <v/>
      </c>
      <c r="AK146">
        <f>IF(F145&lt;=0,0,ROUND(F145*(1+IF(AND(F$6&gt;0,$B146&lt;F$6),F$4,F$5)/12),2))</f>
        <v/>
      </c>
      <c r="AL146">
        <f>IF(G145&lt;=0,0,ROUND(G145*(1+IF(AND(G$6&gt;0,$B146&lt;G$6),G$4,G$5)/12),2))</f>
        <v/>
      </c>
      <c r="AM146">
        <f>IF(H145&lt;=0,0,ROUND(H145*(1+IF(AND(H$6&gt;0,$B146&lt;H$6),H$4,H$5)/12),2))</f>
        <v/>
      </c>
      <c r="AN146">
        <f>IF(I145&lt;=0,0,ROUND(I145*(1+IF(AND(I$6&gt;0,$B146&lt;I$6),I$4,I$5)/12),2))</f>
        <v/>
      </c>
      <c r="AO146">
        <f>IF(J145&lt;=0,0,ROUND(J145*(1+IF(AND(J$6&gt;0,$B146&lt;J$6),J$4,J$5)/12),2))</f>
        <v/>
      </c>
      <c r="AP146">
        <f>IF(K145&lt;=0,0,ROUND(K145*(1+IF(AND(K$6&gt;0,$B146&lt;K$6),K$4,K$5)/12),2))</f>
        <v/>
      </c>
      <c r="AQ146">
        <f>IF(L145&lt;=0,0,ROUND(L145*(1+IF(AND(L$6&gt;0,$B146&lt;L$6),L$4,L$5)/12),2))</f>
        <v/>
      </c>
      <c r="AR146">
        <f>IF(M145&lt;=0,0,ROUND(M145*(1+IF(AND(M$6&gt;0,$B146&lt;M$6),M$4,M$5)/12),2))</f>
        <v/>
      </c>
      <c r="AS146">
        <f>IF(N145&lt;=0,0,ROUND(N145*(1+IF(AND(N$6&gt;0,$B146&lt;N$6),N$4,N$5)/12),2))</f>
        <v/>
      </c>
    </row>
    <row r="147">
      <c r="A147" t="n">
        <v>136</v>
      </c>
      <c r="B147">
        <f>EDATE(Plan!$C$6,135)</f>
        <v/>
      </c>
      <c r="C147">
        <f>IF(C146&lt;=0,0,MAX(0,AH147-O147))</f>
        <v/>
      </c>
      <c r="D147">
        <f>IF(D146&lt;=0,0,MAX(0,AI147-P147))</f>
        <v/>
      </c>
      <c r="E147">
        <f>IF(E146&lt;=0,0,MAX(0,AJ147-Q147))</f>
        <v/>
      </c>
      <c r="F147">
        <f>IF(F146&lt;=0,0,MAX(0,AK147-R147))</f>
        <v/>
      </c>
      <c r="G147">
        <f>IF(G146&lt;=0,0,MAX(0,AL147-S147))</f>
        <v/>
      </c>
      <c r="H147">
        <f>IF(H146&lt;=0,0,MAX(0,AM147-T147))</f>
        <v/>
      </c>
      <c r="I147">
        <f>IF(I146&lt;=0,0,MAX(0,AN147-U147))</f>
        <v/>
      </c>
      <c r="J147">
        <f>IF(J146&lt;=0,0,MAX(0,AO147-V147))</f>
        <v/>
      </c>
      <c r="K147">
        <f>IF(K146&lt;=0,0,MAX(0,AP147-W147))</f>
        <v/>
      </c>
      <c r="L147">
        <f>IF(L146&lt;=0,0,MAX(0,AQ147-X147))</f>
        <v/>
      </c>
      <c r="M147">
        <f>IF(M146&lt;=0,0,MAX(0,AR147-Y147))</f>
        <v/>
      </c>
      <c r="N147">
        <f>IF(N146&lt;=0,0,MAX(0,AS147-Z147))</f>
        <v/>
      </c>
      <c r="O147">
        <f>IF(C146&lt;=0,0,MIN(AH147,C$7+IF(C$2=$AA147,$AC147,IF(C$2=$AF147,$AG147,0))))</f>
        <v/>
      </c>
      <c r="P147">
        <f>IF(D146&lt;=0,0,MIN(AI147,D$7+IF(D$2=$AA147,$AC147,IF(D$2=$AF147,$AG147,0))))</f>
        <v/>
      </c>
      <c r="Q147">
        <f>IF(E146&lt;=0,0,MIN(AJ147,E$7+IF(E$2=$AA147,$AC147,IF(E$2=$AF147,$AG147,0))))</f>
        <v/>
      </c>
      <c r="R147">
        <f>IF(F146&lt;=0,0,MIN(AK147,F$7+IF(F$2=$AA147,$AC147,IF(F$2=$AF147,$AG147,0))))</f>
        <v/>
      </c>
      <c r="S147">
        <f>IF(G146&lt;=0,0,MIN(AL147,G$7+IF(G$2=$AA147,$AC147,IF(G$2=$AF147,$AG147,0))))</f>
        <v/>
      </c>
      <c r="T147">
        <f>IF(H146&lt;=0,0,MIN(AM147,H$7+IF(H$2=$AA147,$AC147,IF(H$2=$AF147,$AG147,0))))</f>
        <v/>
      </c>
      <c r="U147">
        <f>IF(I146&lt;=0,0,MIN(AN147,I$7+IF(I$2=$AA147,$AC147,IF(I$2=$AF147,$AG147,0))))</f>
        <v/>
      </c>
      <c r="V147">
        <f>IF(J146&lt;=0,0,MIN(AO147,J$7+IF(J$2=$AA147,$AC147,IF(J$2=$AF147,$AG147,0))))</f>
        <v/>
      </c>
      <c r="W147">
        <f>IF(K146&lt;=0,0,MIN(AP147,K$7+IF(K$2=$AA147,$AC147,IF(K$2=$AF147,$AG147,0))))</f>
        <v/>
      </c>
      <c r="X147">
        <f>IF(L146&lt;=0,0,MIN(AQ147,L$7+IF(L$2=$AA147,$AC147,IF(L$2=$AF147,$AG147,0))))</f>
        <v/>
      </c>
      <c r="Y147">
        <f>IF(M146&lt;=0,0,MIN(AR147,M$7+IF(M$2=$AA147,$AC147,IF(M$2=$AF147,$AG147,0))))</f>
        <v/>
      </c>
      <c r="Z147">
        <f>IF(N146&lt;=0,0,MIN(AS147,N$7+IF(N$2=$AA147,$AC147,IF(N$2=$AF147,$AG147,0))))</f>
        <v/>
      </c>
      <c r="AA147">
        <f>IFERROR(ROUND(1/SUMPRODUCT(MAX((C146:N146&gt;0)*($C$3:$N$3&lt;=B147)/$C$2:$N$2)),0),0)</f>
        <v/>
      </c>
      <c r="AB147">
        <f>SUMPRODUCT((C146:N146&gt;0)*$C$7:$N$7)</f>
        <v/>
      </c>
      <c r="AC147">
        <f>MAX(0,Plan!$C$5-AB147)+IF(A147=Plan!$C$8,N(Plan!$C$7),0)</f>
        <v/>
      </c>
      <c r="AD147">
        <f>SUM(C147:N147)</f>
        <v/>
      </c>
      <c r="AE147">
        <f>SUM(O147:Z147)</f>
        <v/>
      </c>
      <c r="AF147">
        <f>IFERROR(ROUND(1/SUMPRODUCT(MAX((C146:N146&gt;0)*($C$3:$N$3&lt;=B147)*($C$2:$N$2&gt;AA147)/$C$2:$N$2)),0),0)</f>
        <v/>
      </c>
      <c r="AG147">
        <f>MAX(0,AC147-MAX(0,SUMPRODUCT(($C$2:$N$2=AA147)*(AH147:AS147-$C$7:$N$7))))</f>
        <v/>
      </c>
      <c r="AH147">
        <f>IF(C146&lt;=0,0,ROUND(C146*(1+IF(AND(C$6&gt;0,$B147&lt;C$6),C$4,C$5)/12),2))</f>
        <v/>
      </c>
      <c r="AI147">
        <f>IF(D146&lt;=0,0,ROUND(D146*(1+IF(AND(D$6&gt;0,$B147&lt;D$6),D$4,D$5)/12),2))</f>
        <v/>
      </c>
      <c r="AJ147">
        <f>IF(E146&lt;=0,0,ROUND(E146*(1+IF(AND(E$6&gt;0,$B147&lt;E$6),E$4,E$5)/12),2))</f>
        <v/>
      </c>
      <c r="AK147">
        <f>IF(F146&lt;=0,0,ROUND(F146*(1+IF(AND(F$6&gt;0,$B147&lt;F$6),F$4,F$5)/12),2))</f>
        <v/>
      </c>
      <c r="AL147">
        <f>IF(G146&lt;=0,0,ROUND(G146*(1+IF(AND(G$6&gt;0,$B147&lt;G$6),G$4,G$5)/12),2))</f>
        <v/>
      </c>
      <c r="AM147">
        <f>IF(H146&lt;=0,0,ROUND(H146*(1+IF(AND(H$6&gt;0,$B147&lt;H$6),H$4,H$5)/12),2))</f>
        <v/>
      </c>
      <c r="AN147">
        <f>IF(I146&lt;=0,0,ROUND(I146*(1+IF(AND(I$6&gt;0,$B147&lt;I$6),I$4,I$5)/12),2))</f>
        <v/>
      </c>
      <c r="AO147">
        <f>IF(J146&lt;=0,0,ROUND(J146*(1+IF(AND(J$6&gt;0,$B147&lt;J$6),J$4,J$5)/12),2))</f>
        <v/>
      </c>
      <c r="AP147">
        <f>IF(K146&lt;=0,0,ROUND(K146*(1+IF(AND(K$6&gt;0,$B147&lt;K$6),K$4,K$5)/12),2))</f>
        <v/>
      </c>
      <c r="AQ147">
        <f>IF(L146&lt;=0,0,ROUND(L146*(1+IF(AND(L$6&gt;0,$B147&lt;L$6),L$4,L$5)/12),2))</f>
        <v/>
      </c>
      <c r="AR147">
        <f>IF(M146&lt;=0,0,ROUND(M146*(1+IF(AND(M$6&gt;0,$B147&lt;M$6),M$4,M$5)/12),2))</f>
        <v/>
      </c>
      <c r="AS147">
        <f>IF(N146&lt;=0,0,ROUND(N146*(1+IF(AND(N$6&gt;0,$B147&lt;N$6),N$4,N$5)/12),2))</f>
        <v/>
      </c>
    </row>
    <row r="148">
      <c r="A148" t="n">
        <v>137</v>
      </c>
      <c r="B148">
        <f>EDATE(Plan!$C$6,136)</f>
        <v/>
      </c>
      <c r="C148">
        <f>IF(C147&lt;=0,0,MAX(0,AH148-O148))</f>
        <v/>
      </c>
      <c r="D148">
        <f>IF(D147&lt;=0,0,MAX(0,AI148-P148))</f>
        <v/>
      </c>
      <c r="E148">
        <f>IF(E147&lt;=0,0,MAX(0,AJ148-Q148))</f>
        <v/>
      </c>
      <c r="F148">
        <f>IF(F147&lt;=0,0,MAX(0,AK148-R148))</f>
        <v/>
      </c>
      <c r="G148">
        <f>IF(G147&lt;=0,0,MAX(0,AL148-S148))</f>
        <v/>
      </c>
      <c r="H148">
        <f>IF(H147&lt;=0,0,MAX(0,AM148-T148))</f>
        <v/>
      </c>
      <c r="I148">
        <f>IF(I147&lt;=0,0,MAX(0,AN148-U148))</f>
        <v/>
      </c>
      <c r="J148">
        <f>IF(J147&lt;=0,0,MAX(0,AO148-V148))</f>
        <v/>
      </c>
      <c r="K148">
        <f>IF(K147&lt;=0,0,MAX(0,AP148-W148))</f>
        <v/>
      </c>
      <c r="L148">
        <f>IF(L147&lt;=0,0,MAX(0,AQ148-X148))</f>
        <v/>
      </c>
      <c r="M148">
        <f>IF(M147&lt;=0,0,MAX(0,AR148-Y148))</f>
        <v/>
      </c>
      <c r="N148">
        <f>IF(N147&lt;=0,0,MAX(0,AS148-Z148))</f>
        <v/>
      </c>
      <c r="O148">
        <f>IF(C147&lt;=0,0,MIN(AH148,C$7+IF(C$2=$AA148,$AC148,IF(C$2=$AF148,$AG148,0))))</f>
        <v/>
      </c>
      <c r="P148">
        <f>IF(D147&lt;=0,0,MIN(AI148,D$7+IF(D$2=$AA148,$AC148,IF(D$2=$AF148,$AG148,0))))</f>
        <v/>
      </c>
      <c r="Q148">
        <f>IF(E147&lt;=0,0,MIN(AJ148,E$7+IF(E$2=$AA148,$AC148,IF(E$2=$AF148,$AG148,0))))</f>
        <v/>
      </c>
      <c r="R148">
        <f>IF(F147&lt;=0,0,MIN(AK148,F$7+IF(F$2=$AA148,$AC148,IF(F$2=$AF148,$AG148,0))))</f>
        <v/>
      </c>
      <c r="S148">
        <f>IF(G147&lt;=0,0,MIN(AL148,G$7+IF(G$2=$AA148,$AC148,IF(G$2=$AF148,$AG148,0))))</f>
        <v/>
      </c>
      <c r="T148">
        <f>IF(H147&lt;=0,0,MIN(AM148,H$7+IF(H$2=$AA148,$AC148,IF(H$2=$AF148,$AG148,0))))</f>
        <v/>
      </c>
      <c r="U148">
        <f>IF(I147&lt;=0,0,MIN(AN148,I$7+IF(I$2=$AA148,$AC148,IF(I$2=$AF148,$AG148,0))))</f>
        <v/>
      </c>
      <c r="V148">
        <f>IF(J147&lt;=0,0,MIN(AO148,J$7+IF(J$2=$AA148,$AC148,IF(J$2=$AF148,$AG148,0))))</f>
        <v/>
      </c>
      <c r="W148">
        <f>IF(K147&lt;=0,0,MIN(AP148,K$7+IF(K$2=$AA148,$AC148,IF(K$2=$AF148,$AG148,0))))</f>
        <v/>
      </c>
      <c r="X148">
        <f>IF(L147&lt;=0,0,MIN(AQ148,L$7+IF(L$2=$AA148,$AC148,IF(L$2=$AF148,$AG148,0))))</f>
        <v/>
      </c>
      <c r="Y148">
        <f>IF(M147&lt;=0,0,MIN(AR148,M$7+IF(M$2=$AA148,$AC148,IF(M$2=$AF148,$AG148,0))))</f>
        <v/>
      </c>
      <c r="Z148">
        <f>IF(N147&lt;=0,0,MIN(AS148,N$7+IF(N$2=$AA148,$AC148,IF(N$2=$AF148,$AG148,0))))</f>
        <v/>
      </c>
      <c r="AA148">
        <f>IFERROR(ROUND(1/SUMPRODUCT(MAX((C147:N147&gt;0)*($C$3:$N$3&lt;=B148)/$C$2:$N$2)),0),0)</f>
        <v/>
      </c>
      <c r="AB148">
        <f>SUMPRODUCT((C147:N147&gt;0)*$C$7:$N$7)</f>
        <v/>
      </c>
      <c r="AC148">
        <f>MAX(0,Plan!$C$5-AB148)+IF(A148=Plan!$C$8,N(Plan!$C$7),0)</f>
        <v/>
      </c>
      <c r="AD148">
        <f>SUM(C148:N148)</f>
        <v/>
      </c>
      <c r="AE148">
        <f>SUM(O148:Z148)</f>
        <v/>
      </c>
      <c r="AF148">
        <f>IFERROR(ROUND(1/SUMPRODUCT(MAX((C147:N147&gt;0)*($C$3:$N$3&lt;=B148)*($C$2:$N$2&gt;AA148)/$C$2:$N$2)),0),0)</f>
        <v/>
      </c>
      <c r="AG148">
        <f>MAX(0,AC148-MAX(0,SUMPRODUCT(($C$2:$N$2=AA148)*(AH148:AS148-$C$7:$N$7))))</f>
        <v/>
      </c>
      <c r="AH148">
        <f>IF(C147&lt;=0,0,ROUND(C147*(1+IF(AND(C$6&gt;0,$B148&lt;C$6),C$4,C$5)/12),2))</f>
        <v/>
      </c>
      <c r="AI148">
        <f>IF(D147&lt;=0,0,ROUND(D147*(1+IF(AND(D$6&gt;0,$B148&lt;D$6),D$4,D$5)/12),2))</f>
        <v/>
      </c>
      <c r="AJ148">
        <f>IF(E147&lt;=0,0,ROUND(E147*(1+IF(AND(E$6&gt;0,$B148&lt;E$6),E$4,E$5)/12),2))</f>
        <v/>
      </c>
      <c r="AK148">
        <f>IF(F147&lt;=0,0,ROUND(F147*(1+IF(AND(F$6&gt;0,$B148&lt;F$6),F$4,F$5)/12),2))</f>
        <v/>
      </c>
      <c r="AL148">
        <f>IF(G147&lt;=0,0,ROUND(G147*(1+IF(AND(G$6&gt;0,$B148&lt;G$6),G$4,G$5)/12),2))</f>
        <v/>
      </c>
      <c r="AM148">
        <f>IF(H147&lt;=0,0,ROUND(H147*(1+IF(AND(H$6&gt;0,$B148&lt;H$6),H$4,H$5)/12),2))</f>
        <v/>
      </c>
      <c r="AN148">
        <f>IF(I147&lt;=0,0,ROUND(I147*(1+IF(AND(I$6&gt;0,$B148&lt;I$6),I$4,I$5)/12),2))</f>
        <v/>
      </c>
      <c r="AO148">
        <f>IF(J147&lt;=0,0,ROUND(J147*(1+IF(AND(J$6&gt;0,$B148&lt;J$6),J$4,J$5)/12),2))</f>
        <v/>
      </c>
      <c r="AP148">
        <f>IF(K147&lt;=0,0,ROUND(K147*(1+IF(AND(K$6&gt;0,$B148&lt;K$6),K$4,K$5)/12),2))</f>
        <v/>
      </c>
      <c r="AQ148">
        <f>IF(L147&lt;=0,0,ROUND(L147*(1+IF(AND(L$6&gt;0,$B148&lt;L$6),L$4,L$5)/12),2))</f>
        <v/>
      </c>
      <c r="AR148">
        <f>IF(M147&lt;=0,0,ROUND(M147*(1+IF(AND(M$6&gt;0,$B148&lt;M$6),M$4,M$5)/12),2))</f>
        <v/>
      </c>
      <c r="AS148">
        <f>IF(N147&lt;=0,0,ROUND(N147*(1+IF(AND(N$6&gt;0,$B148&lt;N$6),N$4,N$5)/12),2))</f>
        <v/>
      </c>
    </row>
    <row r="149">
      <c r="A149" t="n">
        <v>138</v>
      </c>
      <c r="B149">
        <f>EDATE(Plan!$C$6,137)</f>
        <v/>
      </c>
      <c r="C149">
        <f>IF(C148&lt;=0,0,MAX(0,AH149-O149))</f>
        <v/>
      </c>
      <c r="D149">
        <f>IF(D148&lt;=0,0,MAX(0,AI149-P149))</f>
        <v/>
      </c>
      <c r="E149">
        <f>IF(E148&lt;=0,0,MAX(0,AJ149-Q149))</f>
        <v/>
      </c>
      <c r="F149">
        <f>IF(F148&lt;=0,0,MAX(0,AK149-R149))</f>
        <v/>
      </c>
      <c r="G149">
        <f>IF(G148&lt;=0,0,MAX(0,AL149-S149))</f>
        <v/>
      </c>
      <c r="H149">
        <f>IF(H148&lt;=0,0,MAX(0,AM149-T149))</f>
        <v/>
      </c>
      <c r="I149">
        <f>IF(I148&lt;=0,0,MAX(0,AN149-U149))</f>
        <v/>
      </c>
      <c r="J149">
        <f>IF(J148&lt;=0,0,MAX(0,AO149-V149))</f>
        <v/>
      </c>
      <c r="K149">
        <f>IF(K148&lt;=0,0,MAX(0,AP149-W149))</f>
        <v/>
      </c>
      <c r="L149">
        <f>IF(L148&lt;=0,0,MAX(0,AQ149-X149))</f>
        <v/>
      </c>
      <c r="M149">
        <f>IF(M148&lt;=0,0,MAX(0,AR149-Y149))</f>
        <v/>
      </c>
      <c r="N149">
        <f>IF(N148&lt;=0,0,MAX(0,AS149-Z149))</f>
        <v/>
      </c>
      <c r="O149">
        <f>IF(C148&lt;=0,0,MIN(AH149,C$7+IF(C$2=$AA149,$AC149,IF(C$2=$AF149,$AG149,0))))</f>
        <v/>
      </c>
      <c r="P149">
        <f>IF(D148&lt;=0,0,MIN(AI149,D$7+IF(D$2=$AA149,$AC149,IF(D$2=$AF149,$AG149,0))))</f>
        <v/>
      </c>
      <c r="Q149">
        <f>IF(E148&lt;=0,0,MIN(AJ149,E$7+IF(E$2=$AA149,$AC149,IF(E$2=$AF149,$AG149,0))))</f>
        <v/>
      </c>
      <c r="R149">
        <f>IF(F148&lt;=0,0,MIN(AK149,F$7+IF(F$2=$AA149,$AC149,IF(F$2=$AF149,$AG149,0))))</f>
        <v/>
      </c>
      <c r="S149">
        <f>IF(G148&lt;=0,0,MIN(AL149,G$7+IF(G$2=$AA149,$AC149,IF(G$2=$AF149,$AG149,0))))</f>
        <v/>
      </c>
      <c r="T149">
        <f>IF(H148&lt;=0,0,MIN(AM149,H$7+IF(H$2=$AA149,$AC149,IF(H$2=$AF149,$AG149,0))))</f>
        <v/>
      </c>
      <c r="U149">
        <f>IF(I148&lt;=0,0,MIN(AN149,I$7+IF(I$2=$AA149,$AC149,IF(I$2=$AF149,$AG149,0))))</f>
        <v/>
      </c>
      <c r="V149">
        <f>IF(J148&lt;=0,0,MIN(AO149,J$7+IF(J$2=$AA149,$AC149,IF(J$2=$AF149,$AG149,0))))</f>
        <v/>
      </c>
      <c r="W149">
        <f>IF(K148&lt;=0,0,MIN(AP149,K$7+IF(K$2=$AA149,$AC149,IF(K$2=$AF149,$AG149,0))))</f>
        <v/>
      </c>
      <c r="X149">
        <f>IF(L148&lt;=0,0,MIN(AQ149,L$7+IF(L$2=$AA149,$AC149,IF(L$2=$AF149,$AG149,0))))</f>
        <v/>
      </c>
      <c r="Y149">
        <f>IF(M148&lt;=0,0,MIN(AR149,M$7+IF(M$2=$AA149,$AC149,IF(M$2=$AF149,$AG149,0))))</f>
        <v/>
      </c>
      <c r="Z149">
        <f>IF(N148&lt;=0,0,MIN(AS149,N$7+IF(N$2=$AA149,$AC149,IF(N$2=$AF149,$AG149,0))))</f>
        <v/>
      </c>
      <c r="AA149">
        <f>IFERROR(ROUND(1/SUMPRODUCT(MAX((C148:N148&gt;0)*($C$3:$N$3&lt;=B149)/$C$2:$N$2)),0),0)</f>
        <v/>
      </c>
      <c r="AB149">
        <f>SUMPRODUCT((C148:N148&gt;0)*$C$7:$N$7)</f>
        <v/>
      </c>
      <c r="AC149">
        <f>MAX(0,Plan!$C$5-AB149)+IF(A149=Plan!$C$8,N(Plan!$C$7),0)</f>
        <v/>
      </c>
      <c r="AD149">
        <f>SUM(C149:N149)</f>
        <v/>
      </c>
      <c r="AE149">
        <f>SUM(O149:Z149)</f>
        <v/>
      </c>
      <c r="AF149">
        <f>IFERROR(ROUND(1/SUMPRODUCT(MAX((C148:N148&gt;0)*($C$3:$N$3&lt;=B149)*($C$2:$N$2&gt;AA149)/$C$2:$N$2)),0),0)</f>
        <v/>
      </c>
      <c r="AG149">
        <f>MAX(0,AC149-MAX(0,SUMPRODUCT(($C$2:$N$2=AA149)*(AH149:AS149-$C$7:$N$7))))</f>
        <v/>
      </c>
      <c r="AH149">
        <f>IF(C148&lt;=0,0,ROUND(C148*(1+IF(AND(C$6&gt;0,$B149&lt;C$6),C$4,C$5)/12),2))</f>
        <v/>
      </c>
      <c r="AI149">
        <f>IF(D148&lt;=0,0,ROUND(D148*(1+IF(AND(D$6&gt;0,$B149&lt;D$6),D$4,D$5)/12),2))</f>
        <v/>
      </c>
      <c r="AJ149">
        <f>IF(E148&lt;=0,0,ROUND(E148*(1+IF(AND(E$6&gt;0,$B149&lt;E$6),E$4,E$5)/12),2))</f>
        <v/>
      </c>
      <c r="AK149">
        <f>IF(F148&lt;=0,0,ROUND(F148*(1+IF(AND(F$6&gt;0,$B149&lt;F$6),F$4,F$5)/12),2))</f>
        <v/>
      </c>
      <c r="AL149">
        <f>IF(G148&lt;=0,0,ROUND(G148*(1+IF(AND(G$6&gt;0,$B149&lt;G$6),G$4,G$5)/12),2))</f>
        <v/>
      </c>
      <c r="AM149">
        <f>IF(H148&lt;=0,0,ROUND(H148*(1+IF(AND(H$6&gt;0,$B149&lt;H$6),H$4,H$5)/12),2))</f>
        <v/>
      </c>
      <c r="AN149">
        <f>IF(I148&lt;=0,0,ROUND(I148*(1+IF(AND(I$6&gt;0,$B149&lt;I$6),I$4,I$5)/12),2))</f>
        <v/>
      </c>
      <c r="AO149">
        <f>IF(J148&lt;=0,0,ROUND(J148*(1+IF(AND(J$6&gt;0,$B149&lt;J$6),J$4,J$5)/12),2))</f>
        <v/>
      </c>
      <c r="AP149">
        <f>IF(K148&lt;=0,0,ROUND(K148*(1+IF(AND(K$6&gt;0,$B149&lt;K$6),K$4,K$5)/12),2))</f>
        <v/>
      </c>
      <c r="AQ149">
        <f>IF(L148&lt;=0,0,ROUND(L148*(1+IF(AND(L$6&gt;0,$B149&lt;L$6),L$4,L$5)/12),2))</f>
        <v/>
      </c>
      <c r="AR149">
        <f>IF(M148&lt;=0,0,ROUND(M148*(1+IF(AND(M$6&gt;0,$B149&lt;M$6),M$4,M$5)/12),2))</f>
        <v/>
      </c>
      <c r="AS149">
        <f>IF(N148&lt;=0,0,ROUND(N148*(1+IF(AND(N$6&gt;0,$B149&lt;N$6),N$4,N$5)/12),2))</f>
        <v/>
      </c>
    </row>
    <row r="150">
      <c r="A150" t="n">
        <v>139</v>
      </c>
      <c r="B150">
        <f>EDATE(Plan!$C$6,138)</f>
        <v/>
      </c>
      <c r="C150">
        <f>IF(C149&lt;=0,0,MAX(0,AH150-O150))</f>
        <v/>
      </c>
      <c r="D150">
        <f>IF(D149&lt;=0,0,MAX(0,AI150-P150))</f>
        <v/>
      </c>
      <c r="E150">
        <f>IF(E149&lt;=0,0,MAX(0,AJ150-Q150))</f>
        <v/>
      </c>
      <c r="F150">
        <f>IF(F149&lt;=0,0,MAX(0,AK150-R150))</f>
        <v/>
      </c>
      <c r="G150">
        <f>IF(G149&lt;=0,0,MAX(0,AL150-S150))</f>
        <v/>
      </c>
      <c r="H150">
        <f>IF(H149&lt;=0,0,MAX(0,AM150-T150))</f>
        <v/>
      </c>
      <c r="I150">
        <f>IF(I149&lt;=0,0,MAX(0,AN150-U150))</f>
        <v/>
      </c>
      <c r="J150">
        <f>IF(J149&lt;=0,0,MAX(0,AO150-V150))</f>
        <v/>
      </c>
      <c r="K150">
        <f>IF(K149&lt;=0,0,MAX(0,AP150-W150))</f>
        <v/>
      </c>
      <c r="L150">
        <f>IF(L149&lt;=0,0,MAX(0,AQ150-X150))</f>
        <v/>
      </c>
      <c r="M150">
        <f>IF(M149&lt;=0,0,MAX(0,AR150-Y150))</f>
        <v/>
      </c>
      <c r="N150">
        <f>IF(N149&lt;=0,0,MAX(0,AS150-Z150))</f>
        <v/>
      </c>
      <c r="O150">
        <f>IF(C149&lt;=0,0,MIN(AH150,C$7+IF(C$2=$AA150,$AC150,IF(C$2=$AF150,$AG150,0))))</f>
        <v/>
      </c>
      <c r="P150">
        <f>IF(D149&lt;=0,0,MIN(AI150,D$7+IF(D$2=$AA150,$AC150,IF(D$2=$AF150,$AG150,0))))</f>
        <v/>
      </c>
      <c r="Q150">
        <f>IF(E149&lt;=0,0,MIN(AJ150,E$7+IF(E$2=$AA150,$AC150,IF(E$2=$AF150,$AG150,0))))</f>
        <v/>
      </c>
      <c r="R150">
        <f>IF(F149&lt;=0,0,MIN(AK150,F$7+IF(F$2=$AA150,$AC150,IF(F$2=$AF150,$AG150,0))))</f>
        <v/>
      </c>
      <c r="S150">
        <f>IF(G149&lt;=0,0,MIN(AL150,G$7+IF(G$2=$AA150,$AC150,IF(G$2=$AF150,$AG150,0))))</f>
        <v/>
      </c>
      <c r="T150">
        <f>IF(H149&lt;=0,0,MIN(AM150,H$7+IF(H$2=$AA150,$AC150,IF(H$2=$AF150,$AG150,0))))</f>
        <v/>
      </c>
      <c r="U150">
        <f>IF(I149&lt;=0,0,MIN(AN150,I$7+IF(I$2=$AA150,$AC150,IF(I$2=$AF150,$AG150,0))))</f>
        <v/>
      </c>
      <c r="V150">
        <f>IF(J149&lt;=0,0,MIN(AO150,J$7+IF(J$2=$AA150,$AC150,IF(J$2=$AF150,$AG150,0))))</f>
        <v/>
      </c>
      <c r="W150">
        <f>IF(K149&lt;=0,0,MIN(AP150,K$7+IF(K$2=$AA150,$AC150,IF(K$2=$AF150,$AG150,0))))</f>
        <v/>
      </c>
      <c r="X150">
        <f>IF(L149&lt;=0,0,MIN(AQ150,L$7+IF(L$2=$AA150,$AC150,IF(L$2=$AF150,$AG150,0))))</f>
        <v/>
      </c>
      <c r="Y150">
        <f>IF(M149&lt;=0,0,MIN(AR150,M$7+IF(M$2=$AA150,$AC150,IF(M$2=$AF150,$AG150,0))))</f>
        <v/>
      </c>
      <c r="Z150">
        <f>IF(N149&lt;=0,0,MIN(AS150,N$7+IF(N$2=$AA150,$AC150,IF(N$2=$AF150,$AG150,0))))</f>
        <v/>
      </c>
      <c r="AA150">
        <f>IFERROR(ROUND(1/SUMPRODUCT(MAX((C149:N149&gt;0)*($C$3:$N$3&lt;=B150)/$C$2:$N$2)),0),0)</f>
        <v/>
      </c>
      <c r="AB150">
        <f>SUMPRODUCT((C149:N149&gt;0)*$C$7:$N$7)</f>
        <v/>
      </c>
      <c r="AC150">
        <f>MAX(0,Plan!$C$5-AB150)+IF(A150=Plan!$C$8,N(Plan!$C$7),0)</f>
        <v/>
      </c>
      <c r="AD150">
        <f>SUM(C150:N150)</f>
        <v/>
      </c>
      <c r="AE150">
        <f>SUM(O150:Z150)</f>
        <v/>
      </c>
      <c r="AF150">
        <f>IFERROR(ROUND(1/SUMPRODUCT(MAX((C149:N149&gt;0)*($C$3:$N$3&lt;=B150)*($C$2:$N$2&gt;AA150)/$C$2:$N$2)),0),0)</f>
        <v/>
      </c>
      <c r="AG150">
        <f>MAX(0,AC150-MAX(0,SUMPRODUCT(($C$2:$N$2=AA150)*(AH150:AS150-$C$7:$N$7))))</f>
        <v/>
      </c>
      <c r="AH150">
        <f>IF(C149&lt;=0,0,ROUND(C149*(1+IF(AND(C$6&gt;0,$B150&lt;C$6),C$4,C$5)/12),2))</f>
        <v/>
      </c>
      <c r="AI150">
        <f>IF(D149&lt;=0,0,ROUND(D149*(1+IF(AND(D$6&gt;0,$B150&lt;D$6),D$4,D$5)/12),2))</f>
        <v/>
      </c>
      <c r="AJ150">
        <f>IF(E149&lt;=0,0,ROUND(E149*(1+IF(AND(E$6&gt;0,$B150&lt;E$6),E$4,E$5)/12),2))</f>
        <v/>
      </c>
      <c r="AK150">
        <f>IF(F149&lt;=0,0,ROUND(F149*(1+IF(AND(F$6&gt;0,$B150&lt;F$6),F$4,F$5)/12),2))</f>
        <v/>
      </c>
      <c r="AL150">
        <f>IF(G149&lt;=0,0,ROUND(G149*(1+IF(AND(G$6&gt;0,$B150&lt;G$6),G$4,G$5)/12),2))</f>
        <v/>
      </c>
      <c r="AM150">
        <f>IF(H149&lt;=0,0,ROUND(H149*(1+IF(AND(H$6&gt;0,$B150&lt;H$6),H$4,H$5)/12),2))</f>
        <v/>
      </c>
      <c r="AN150">
        <f>IF(I149&lt;=0,0,ROUND(I149*(1+IF(AND(I$6&gt;0,$B150&lt;I$6),I$4,I$5)/12),2))</f>
        <v/>
      </c>
      <c r="AO150">
        <f>IF(J149&lt;=0,0,ROUND(J149*(1+IF(AND(J$6&gt;0,$B150&lt;J$6),J$4,J$5)/12),2))</f>
        <v/>
      </c>
      <c r="AP150">
        <f>IF(K149&lt;=0,0,ROUND(K149*(1+IF(AND(K$6&gt;0,$B150&lt;K$6),K$4,K$5)/12),2))</f>
        <v/>
      </c>
      <c r="AQ150">
        <f>IF(L149&lt;=0,0,ROUND(L149*(1+IF(AND(L$6&gt;0,$B150&lt;L$6),L$4,L$5)/12),2))</f>
        <v/>
      </c>
      <c r="AR150">
        <f>IF(M149&lt;=0,0,ROUND(M149*(1+IF(AND(M$6&gt;0,$B150&lt;M$6),M$4,M$5)/12),2))</f>
        <v/>
      </c>
      <c r="AS150">
        <f>IF(N149&lt;=0,0,ROUND(N149*(1+IF(AND(N$6&gt;0,$B150&lt;N$6),N$4,N$5)/12),2))</f>
        <v/>
      </c>
    </row>
    <row r="151">
      <c r="A151" t="n">
        <v>140</v>
      </c>
      <c r="B151">
        <f>EDATE(Plan!$C$6,139)</f>
        <v/>
      </c>
      <c r="C151">
        <f>IF(C150&lt;=0,0,MAX(0,AH151-O151))</f>
        <v/>
      </c>
      <c r="D151">
        <f>IF(D150&lt;=0,0,MAX(0,AI151-P151))</f>
        <v/>
      </c>
      <c r="E151">
        <f>IF(E150&lt;=0,0,MAX(0,AJ151-Q151))</f>
        <v/>
      </c>
      <c r="F151">
        <f>IF(F150&lt;=0,0,MAX(0,AK151-R151))</f>
        <v/>
      </c>
      <c r="G151">
        <f>IF(G150&lt;=0,0,MAX(0,AL151-S151))</f>
        <v/>
      </c>
      <c r="H151">
        <f>IF(H150&lt;=0,0,MAX(0,AM151-T151))</f>
        <v/>
      </c>
      <c r="I151">
        <f>IF(I150&lt;=0,0,MAX(0,AN151-U151))</f>
        <v/>
      </c>
      <c r="J151">
        <f>IF(J150&lt;=0,0,MAX(0,AO151-V151))</f>
        <v/>
      </c>
      <c r="K151">
        <f>IF(K150&lt;=0,0,MAX(0,AP151-W151))</f>
        <v/>
      </c>
      <c r="L151">
        <f>IF(L150&lt;=0,0,MAX(0,AQ151-X151))</f>
        <v/>
      </c>
      <c r="M151">
        <f>IF(M150&lt;=0,0,MAX(0,AR151-Y151))</f>
        <v/>
      </c>
      <c r="N151">
        <f>IF(N150&lt;=0,0,MAX(0,AS151-Z151))</f>
        <v/>
      </c>
      <c r="O151">
        <f>IF(C150&lt;=0,0,MIN(AH151,C$7+IF(C$2=$AA151,$AC151,IF(C$2=$AF151,$AG151,0))))</f>
        <v/>
      </c>
      <c r="P151">
        <f>IF(D150&lt;=0,0,MIN(AI151,D$7+IF(D$2=$AA151,$AC151,IF(D$2=$AF151,$AG151,0))))</f>
        <v/>
      </c>
      <c r="Q151">
        <f>IF(E150&lt;=0,0,MIN(AJ151,E$7+IF(E$2=$AA151,$AC151,IF(E$2=$AF151,$AG151,0))))</f>
        <v/>
      </c>
      <c r="R151">
        <f>IF(F150&lt;=0,0,MIN(AK151,F$7+IF(F$2=$AA151,$AC151,IF(F$2=$AF151,$AG151,0))))</f>
        <v/>
      </c>
      <c r="S151">
        <f>IF(G150&lt;=0,0,MIN(AL151,G$7+IF(G$2=$AA151,$AC151,IF(G$2=$AF151,$AG151,0))))</f>
        <v/>
      </c>
      <c r="T151">
        <f>IF(H150&lt;=0,0,MIN(AM151,H$7+IF(H$2=$AA151,$AC151,IF(H$2=$AF151,$AG151,0))))</f>
        <v/>
      </c>
      <c r="U151">
        <f>IF(I150&lt;=0,0,MIN(AN151,I$7+IF(I$2=$AA151,$AC151,IF(I$2=$AF151,$AG151,0))))</f>
        <v/>
      </c>
      <c r="V151">
        <f>IF(J150&lt;=0,0,MIN(AO151,J$7+IF(J$2=$AA151,$AC151,IF(J$2=$AF151,$AG151,0))))</f>
        <v/>
      </c>
      <c r="W151">
        <f>IF(K150&lt;=0,0,MIN(AP151,K$7+IF(K$2=$AA151,$AC151,IF(K$2=$AF151,$AG151,0))))</f>
        <v/>
      </c>
      <c r="X151">
        <f>IF(L150&lt;=0,0,MIN(AQ151,L$7+IF(L$2=$AA151,$AC151,IF(L$2=$AF151,$AG151,0))))</f>
        <v/>
      </c>
      <c r="Y151">
        <f>IF(M150&lt;=0,0,MIN(AR151,M$7+IF(M$2=$AA151,$AC151,IF(M$2=$AF151,$AG151,0))))</f>
        <v/>
      </c>
      <c r="Z151">
        <f>IF(N150&lt;=0,0,MIN(AS151,N$7+IF(N$2=$AA151,$AC151,IF(N$2=$AF151,$AG151,0))))</f>
        <v/>
      </c>
      <c r="AA151">
        <f>IFERROR(ROUND(1/SUMPRODUCT(MAX((C150:N150&gt;0)*($C$3:$N$3&lt;=B151)/$C$2:$N$2)),0),0)</f>
        <v/>
      </c>
      <c r="AB151">
        <f>SUMPRODUCT((C150:N150&gt;0)*$C$7:$N$7)</f>
        <v/>
      </c>
      <c r="AC151">
        <f>MAX(0,Plan!$C$5-AB151)+IF(A151=Plan!$C$8,N(Plan!$C$7),0)</f>
        <v/>
      </c>
      <c r="AD151">
        <f>SUM(C151:N151)</f>
        <v/>
      </c>
      <c r="AE151">
        <f>SUM(O151:Z151)</f>
        <v/>
      </c>
      <c r="AF151">
        <f>IFERROR(ROUND(1/SUMPRODUCT(MAX((C150:N150&gt;0)*($C$3:$N$3&lt;=B151)*($C$2:$N$2&gt;AA151)/$C$2:$N$2)),0),0)</f>
        <v/>
      </c>
      <c r="AG151">
        <f>MAX(0,AC151-MAX(0,SUMPRODUCT(($C$2:$N$2=AA151)*(AH151:AS151-$C$7:$N$7))))</f>
        <v/>
      </c>
      <c r="AH151">
        <f>IF(C150&lt;=0,0,ROUND(C150*(1+IF(AND(C$6&gt;0,$B151&lt;C$6),C$4,C$5)/12),2))</f>
        <v/>
      </c>
      <c r="AI151">
        <f>IF(D150&lt;=0,0,ROUND(D150*(1+IF(AND(D$6&gt;0,$B151&lt;D$6),D$4,D$5)/12),2))</f>
        <v/>
      </c>
      <c r="AJ151">
        <f>IF(E150&lt;=0,0,ROUND(E150*(1+IF(AND(E$6&gt;0,$B151&lt;E$6),E$4,E$5)/12),2))</f>
        <v/>
      </c>
      <c r="AK151">
        <f>IF(F150&lt;=0,0,ROUND(F150*(1+IF(AND(F$6&gt;0,$B151&lt;F$6),F$4,F$5)/12),2))</f>
        <v/>
      </c>
      <c r="AL151">
        <f>IF(G150&lt;=0,0,ROUND(G150*(1+IF(AND(G$6&gt;0,$B151&lt;G$6),G$4,G$5)/12),2))</f>
        <v/>
      </c>
      <c r="AM151">
        <f>IF(H150&lt;=0,0,ROUND(H150*(1+IF(AND(H$6&gt;0,$B151&lt;H$6),H$4,H$5)/12),2))</f>
        <v/>
      </c>
      <c r="AN151">
        <f>IF(I150&lt;=0,0,ROUND(I150*(1+IF(AND(I$6&gt;0,$B151&lt;I$6),I$4,I$5)/12),2))</f>
        <v/>
      </c>
      <c r="AO151">
        <f>IF(J150&lt;=0,0,ROUND(J150*(1+IF(AND(J$6&gt;0,$B151&lt;J$6),J$4,J$5)/12),2))</f>
        <v/>
      </c>
      <c r="AP151">
        <f>IF(K150&lt;=0,0,ROUND(K150*(1+IF(AND(K$6&gt;0,$B151&lt;K$6),K$4,K$5)/12),2))</f>
        <v/>
      </c>
      <c r="AQ151">
        <f>IF(L150&lt;=0,0,ROUND(L150*(1+IF(AND(L$6&gt;0,$B151&lt;L$6),L$4,L$5)/12),2))</f>
        <v/>
      </c>
      <c r="AR151">
        <f>IF(M150&lt;=0,0,ROUND(M150*(1+IF(AND(M$6&gt;0,$B151&lt;M$6),M$4,M$5)/12),2))</f>
        <v/>
      </c>
      <c r="AS151">
        <f>IF(N150&lt;=0,0,ROUND(N150*(1+IF(AND(N$6&gt;0,$B151&lt;N$6),N$4,N$5)/12),2))</f>
        <v/>
      </c>
    </row>
    <row r="152">
      <c r="A152" t="n">
        <v>141</v>
      </c>
      <c r="B152">
        <f>EDATE(Plan!$C$6,140)</f>
        <v/>
      </c>
      <c r="C152">
        <f>IF(C151&lt;=0,0,MAX(0,AH152-O152))</f>
        <v/>
      </c>
      <c r="D152">
        <f>IF(D151&lt;=0,0,MAX(0,AI152-P152))</f>
        <v/>
      </c>
      <c r="E152">
        <f>IF(E151&lt;=0,0,MAX(0,AJ152-Q152))</f>
        <v/>
      </c>
      <c r="F152">
        <f>IF(F151&lt;=0,0,MAX(0,AK152-R152))</f>
        <v/>
      </c>
      <c r="G152">
        <f>IF(G151&lt;=0,0,MAX(0,AL152-S152))</f>
        <v/>
      </c>
      <c r="H152">
        <f>IF(H151&lt;=0,0,MAX(0,AM152-T152))</f>
        <v/>
      </c>
      <c r="I152">
        <f>IF(I151&lt;=0,0,MAX(0,AN152-U152))</f>
        <v/>
      </c>
      <c r="J152">
        <f>IF(J151&lt;=0,0,MAX(0,AO152-V152))</f>
        <v/>
      </c>
      <c r="K152">
        <f>IF(K151&lt;=0,0,MAX(0,AP152-W152))</f>
        <v/>
      </c>
      <c r="L152">
        <f>IF(L151&lt;=0,0,MAX(0,AQ152-X152))</f>
        <v/>
      </c>
      <c r="M152">
        <f>IF(M151&lt;=0,0,MAX(0,AR152-Y152))</f>
        <v/>
      </c>
      <c r="N152">
        <f>IF(N151&lt;=0,0,MAX(0,AS152-Z152))</f>
        <v/>
      </c>
      <c r="O152">
        <f>IF(C151&lt;=0,0,MIN(AH152,C$7+IF(C$2=$AA152,$AC152,IF(C$2=$AF152,$AG152,0))))</f>
        <v/>
      </c>
      <c r="P152">
        <f>IF(D151&lt;=0,0,MIN(AI152,D$7+IF(D$2=$AA152,$AC152,IF(D$2=$AF152,$AG152,0))))</f>
        <v/>
      </c>
      <c r="Q152">
        <f>IF(E151&lt;=0,0,MIN(AJ152,E$7+IF(E$2=$AA152,$AC152,IF(E$2=$AF152,$AG152,0))))</f>
        <v/>
      </c>
      <c r="R152">
        <f>IF(F151&lt;=0,0,MIN(AK152,F$7+IF(F$2=$AA152,$AC152,IF(F$2=$AF152,$AG152,0))))</f>
        <v/>
      </c>
      <c r="S152">
        <f>IF(G151&lt;=0,0,MIN(AL152,G$7+IF(G$2=$AA152,$AC152,IF(G$2=$AF152,$AG152,0))))</f>
        <v/>
      </c>
      <c r="T152">
        <f>IF(H151&lt;=0,0,MIN(AM152,H$7+IF(H$2=$AA152,$AC152,IF(H$2=$AF152,$AG152,0))))</f>
        <v/>
      </c>
      <c r="U152">
        <f>IF(I151&lt;=0,0,MIN(AN152,I$7+IF(I$2=$AA152,$AC152,IF(I$2=$AF152,$AG152,0))))</f>
        <v/>
      </c>
      <c r="V152">
        <f>IF(J151&lt;=0,0,MIN(AO152,J$7+IF(J$2=$AA152,$AC152,IF(J$2=$AF152,$AG152,0))))</f>
        <v/>
      </c>
      <c r="W152">
        <f>IF(K151&lt;=0,0,MIN(AP152,K$7+IF(K$2=$AA152,$AC152,IF(K$2=$AF152,$AG152,0))))</f>
        <v/>
      </c>
      <c r="X152">
        <f>IF(L151&lt;=0,0,MIN(AQ152,L$7+IF(L$2=$AA152,$AC152,IF(L$2=$AF152,$AG152,0))))</f>
        <v/>
      </c>
      <c r="Y152">
        <f>IF(M151&lt;=0,0,MIN(AR152,M$7+IF(M$2=$AA152,$AC152,IF(M$2=$AF152,$AG152,0))))</f>
        <v/>
      </c>
      <c r="Z152">
        <f>IF(N151&lt;=0,0,MIN(AS152,N$7+IF(N$2=$AA152,$AC152,IF(N$2=$AF152,$AG152,0))))</f>
        <v/>
      </c>
      <c r="AA152">
        <f>IFERROR(ROUND(1/SUMPRODUCT(MAX((C151:N151&gt;0)*($C$3:$N$3&lt;=B152)/$C$2:$N$2)),0),0)</f>
        <v/>
      </c>
      <c r="AB152">
        <f>SUMPRODUCT((C151:N151&gt;0)*$C$7:$N$7)</f>
        <v/>
      </c>
      <c r="AC152">
        <f>MAX(0,Plan!$C$5-AB152)+IF(A152=Plan!$C$8,N(Plan!$C$7),0)</f>
        <v/>
      </c>
      <c r="AD152">
        <f>SUM(C152:N152)</f>
        <v/>
      </c>
      <c r="AE152">
        <f>SUM(O152:Z152)</f>
        <v/>
      </c>
      <c r="AF152">
        <f>IFERROR(ROUND(1/SUMPRODUCT(MAX((C151:N151&gt;0)*($C$3:$N$3&lt;=B152)*($C$2:$N$2&gt;AA152)/$C$2:$N$2)),0),0)</f>
        <v/>
      </c>
      <c r="AG152">
        <f>MAX(0,AC152-MAX(0,SUMPRODUCT(($C$2:$N$2=AA152)*(AH152:AS152-$C$7:$N$7))))</f>
        <v/>
      </c>
      <c r="AH152">
        <f>IF(C151&lt;=0,0,ROUND(C151*(1+IF(AND(C$6&gt;0,$B152&lt;C$6),C$4,C$5)/12),2))</f>
        <v/>
      </c>
      <c r="AI152">
        <f>IF(D151&lt;=0,0,ROUND(D151*(1+IF(AND(D$6&gt;0,$B152&lt;D$6),D$4,D$5)/12),2))</f>
        <v/>
      </c>
      <c r="AJ152">
        <f>IF(E151&lt;=0,0,ROUND(E151*(1+IF(AND(E$6&gt;0,$B152&lt;E$6),E$4,E$5)/12),2))</f>
        <v/>
      </c>
      <c r="AK152">
        <f>IF(F151&lt;=0,0,ROUND(F151*(1+IF(AND(F$6&gt;0,$B152&lt;F$6),F$4,F$5)/12),2))</f>
        <v/>
      </c>
      <c r="AL152">
        <f>IF(G151&lt;=0,0,ROUND(G151*(1+IF(AND(G$6&gt;0,$B152&lt;G$6),G$4,G$5)/12),2))</f>
        <v/>
      </c>
      <c r="AM152">
        <f>IF(H151&lt;=0,0,ROUND(H151*(1+IF(AND(H$6&gt;0,$B152&lt;H$6),H$4,H$5)/12),2))</f>
        <v/>
      </c>
      <c r="AN152">
        <f>IF(I151&lt;=0,0,ROUND(I151*(1+IF(AND(I$6&gt;0,$B152&lt;I$6),I$4,I$5)/12),2))</f>
        <v/>
      </c>
      <c r="AO152">
        <f>IF(J151&lt;=0,0,ROUND(J151*(1+IF(AND(J$6&gt;0,$B152&lt;J$6),J$4,J$5)/12),2))</f>
        <v/>
      </c>
      <c r="AP152">
        <f>IF(K151&lt;=0,0,ROUND(K151*(1+IF(AND(K$6&gt;0,$B152&lt;K$6),K$4,K$5)/12),2))</f>
        <v/>
      </c>
      <c r="AQ152">
        <f>IF(L151&lt;=0,0,ROUND(L151*(1+IF(AND(L$6&gt;0,$B152&lt;L$6),L$4,L$5)/12),2))</f>
        <v/>
      </c>
      <c r="AR152">
        <f>IF(M151&lt;=0,0,ROUND(M151*(1+IF(AND(M$6&gt;0,$B152&lt;M$6),M$4,M$5)/12),2))</f>
        <v/>
      </c>
      <c r="AS152">
        <f>IF(N151&lt;=0,0,ROUND(N151*(1+IF(AND(N$6&gt;0,$B152&lt;N$6),N$4,N$5)/12),2))</f>
        <v/>
      </c>
    </row>
    <row r="153">
      <c r="A153" t="n">
        <v>142</v>
      </c>
      <c r="B153">
        <f>EDATE(Plan!$C$6,141)</f>
        <v/>
      </c>
      <c r="C153">
        <f>IF(C152&lt;=0,0,MAX(0,AH153-O153))</f>
        <v/>
      </c>
      <c r="D153">
        <f>IF(D152&lt;=0,0,MAX(0,AI153-P153))</f>
        <v/>
      </c>
      <c r="E153">
        <f>IF(E152&lt;=0,0,MAX(0,AJ153-Q153))</f>
        <v/>
      </c>
      <c r="F153">
        <f>IF(F152&lt;=0,0,MAX(0,AK153-R153))</f>
        <v/>
      </c>
      <c r="G153">
        <f>IF(G152&lt;=0,0,MAX(0,AL153-S153))</f>
        <v/>
      </c>
      <c r="H153">
        <f>IF(H152&lt;=0,0,MAX(0,AM153-T153))</f>
        <v/>
      </c>
      <c r="I153">
        <f>IF(I152&lt;=0,0,MAX(0,AN153-U153))</f>
        <v/>
      </c>
      <c r="J153">
        <f>IF(J152&lt;=0,0,MAX(0,AO153-V153))</f>
        <v/>
      </c>
      <c r="K153">
        <f>IF(K152&lt;=0,0,MAX(0,AP153-W153))</f>
        <v/>
      </c>
      <c r="L153">
        <f>IF(L152&lt;=0,0,MAX(0,AQ153-X153))</f>
        <v/>
      </c>
      <c r="M153">
        <f>IF(M152&lt;=0,0,MAX(0,AR153-Y153))</f>
        <v/>
      </c>
      <c r="N153">
        <f>IF(N152&lt;=0,0,MAX(0,AS153-Z153))</f>
        <v/>
      </c>
      <c r="O153">
        <f>IF(C152&lt;=0,0,MIN(AH153,C$7+IF(C$2=$AA153,$AC153,IF(C$2=$AF153,$AG153,0))))</f>
        <v/>
      </c>
      <c r="P153">
        <f>IF(D152&lt;=0,0,MIN(AI153,D$7+IF(D$2=$AA153,$AC153,IF(D$2=$AF153,$AG153,0))))</f>
        <v/>
      </c>
      <c r="Q153">
        <f>IF(E152&lt;=0,0,MIN(AJ153,E$7+IF(E$2=$AA153,$AC153,IF(E$2=$AF153,$AG153,0))))</f>
        <v/>
      </c>
      <c r="R153">
        <f>IF(F152&lt;=0,0,MIN(AK153,F$7+IF(F$2=$AA153,$AC153,IF(F$2=$AF153,$AG153,0))))</f>
        <v/>
      </c>
      <c r="S153">
        <f>IF(G152&lt;=0,0,MIN(AL153,G$7+IF(G$2=$AA153,$AC153,IF(G$2=$AF153,$AG153,0))))</f>
        <v/>
      </c>
      <c r="T153">
        <f>IF(H152&lt;=0,0,MIN(AM153,H$7+IF(H$2=$AA153,$AC153,IF(H$2=$AF153,$AG153,0))))</f>
        <v/>
      </c>
      <c r="U153">
        <f>IF(I152&lt;=0,0,MIN(AN153,I$7+IF(I$2=$AA153,$AC153,IF(I$2=$AF153,$AG153,0))))</f>
        <v/>
      </c>
      <c r="V153">
        <f>IF(J152&lt;=0,0,MIN(AO153,J$7+IF(J$2=$AA153,$AC153,IF(J$2=$AF153,$AG153,0))))</f>
        <v/>
      </c>
      <c r="W153">
        <f>IF(K152&lt;=0,0,MIN(AP153,K$7+IF(K$2=$AA153,$AC153,IF(K$2=$AF153,$AG153,0))))</f>
        <v/>
      </c>
      <c r="X153">
        <f>IF(L152&lt;=0,0,MIN(AQ153,L$7+IF(L$2=$AA153,$AC153,IF(L$2=$AF153,$AG153,0))))</f>
        <v/>
      </c>
      <c r="Y153">
        <f>IF(M152&lt;=0,0,MIN(AR153,M$7+IF(M$2=$AA153,$AC153,IF(M$2=$AF153,$AG153,0))))</f>
        <v/>
      </c>
      <c r="Z153">
        <f>IF(N152&lt;=0,0,MIN(AS153,N$7+IF(N$2=$AA153,$AC153,IF(N$2=$AF153,$AG153,0))))</f>
        <v/>
      </c>
      <c r="AA153">
        <f>IFERROR(ROUND(1/SUMPRODUCT(MAX((C152:N152&gt;0)*($C$3:$N$3&lt;=B153)/$C$2:$N$2)),0),0)</f>
        <v/>
      </c>
      <c r="AB153">
        <f>SUMPRODUCT((C152:N152&gt;0)*$C$7:$N$7)</f>
        <v/>
      </c>
      <c r="AC153">
        <f>MAX(0,Plan!$C$5-AB153)+IF(A153=Plan!$C$8,N(Plan!$C$7),0)</f>
        <v/>
      </c>
      <c r="AD153">
        <f>SUM(C153:N153)</f>
        <v/>
      </c>
      <c r="AE153">
        <f>SUM(O153:Z153)</f>
        <v/>
      </c>
      <c r="AF153">
        <f>IFERROR(ROUND(1/SUMPRODUCT(MAX((C152:N152&gt;0)*($C$3:$N$3&lt;=B153)*($C$2:$N$2&gt;AA153)/$C$2:$N$2)),0),0)</f>
        <v/>
      </c>
      <c r="AG153">
        <f>MAX(0,AC153-MAX(0,SUMPRODUCT(($C$2:$N$2=AA153)*(AH153:AS153-$C$7:$N$7))))</f>
        <v/>
      </c>
      <c r="AH153">
        <f>IF(C152&lt;=0,0,ROUND(C152*(1+IF(AND(C$6&gt;0,$B153&lt;C$6),C$4,C$5)/12),2))</f>
        <v/>
      </c>
      <c r="AI153">
        <f>IF(D152&lt;=0,0,ROUND(D152*(1+IF(AND(D$6&gt;0,$B153&lt;D$6),D$4,D$5)/12),2))</f>
        <v/>
      </c>
      <c r="AJ153">
        <f>IF(E152&lt;=0,0,ROUND(E152*(1+IF(AND(E$6&gt;0,$B153&lt;E$6),E$4,E$5)/12),2))</f>
        <v/>
      </c>
      <c r="AK153">
        <f>IF(F152&lt;=0,0,ROUND(F152*(1+IF(AND(F$6&gt;0,$B153&lt;F$6),F$4,F$5)/12),2))</f>
        <v/>
      </c>
      <c r="AL153">
        <f>IF(G152&lt;=0,0,ROUND(G152*(1+IF(AND(G$6&gt;0,$B153&lt;G$6),G$4,G$5)/12),2))</f>
        <v/>
      </c>
      <c r="AM153">
        <f>IF(H152&lt;=0,0,ROUND(H152*(1+IF(AND(H$6&gt;0,$B153&lt;H$6),H$4,H$5)/12),2))</f>
        <v/>
      </c>
      <c r="AN153">
        <f>IF(I152&lt;=0,0,ROUND(I152*(1+IF(AND(I$6&gt;0,$B153&lt;I$6),I$4,I$5)/12),2))</f>
        <v/>
      </c>
      <c r="AO153">
        <f>IF(J152&lt;=0,0,ROUND(J152*(1+IF(AND(J$6&gt;0,$B153&lt;J$6),J$4,J$5)/12),2))</f>
        <v/>
      </c>
      <c r="AP153">
        <f>IF(K152&lt;=0,0,ROUND(K152*(1+IF(AND(K$6&gt;0,$B153&lt;K$6),K$4,K$5)/12),2))</f>
        <v/>
      </c>
      <c r="AQ153">
        <f>IF(L152&lt;=0,0,ROUND(L152*(1+IF(AND(L$6&gt;0,$B153&lt;L$6),L$4,L$5)/12),2))</f>
        <v/>
      </c>
      <c r="AR153">
        <f>IF(M152&lt;=0,0,ROUND(M152*(1+IF(AND(M$6&gt;0,$B153&lt;M$6),M$4,M$5)/12),2))</f>
        <v/>
      </c>
      <c r="AS153">
        <f>IF(N152&lt;=0,0,ROUND(N152*(1+IF(AND(N$6&gt;0,$B153&lt;N$6),N$4,N$5)/12),2))</f>
        <v/>
      </c>
    </row>
    <row r="154">
      <c r="A154" t="n">
        <v>143</v>
      </c>
      <c r="B154">
        <f>EDATE(Plan!$C$6,142)</f>
        <v/>
      </c>
      <c r="C154">
        <f>IF(C153&lt;=0,0,MAX(0,AH154-O154))</f>
        <v/>
      </c>
      <c r="D154">
        <f>IF(D153&lt;=0,0,MAX(0,AI154-P154))</f>
        <v/>
      </c>
      <c r="E154">
        <f>IF(E153&lt;=0,0,MAX(0,AJ154-Q154))</f>
        <v/>
      </c>
      <c r="F154">
        <f>IF(F153&lt;=0,0,MAX(0,AK154-R154))</f>
        <v/>
      </c>
      <c r="G154">
        <f>IF(G153&lt;=0,0,MAX(0,AL154-S154))</f>
        <v/>
      </c>
      <c r="H154">
        <f>IF(H153&lt;=0,0,MAX(0,AM154-T154))</f>
        <v/>
      </c>
      <c r="I154">
        <f>IF(I153&lt;=0,0,MAX(0,AN154-U154))</f>
        <v/>
      </c>
      <c r="J154">
        <f>IF(J153&lt;=0,0,MAX(0,AO154-V154))</f>
        <v/>
      </c>
      <c r="K154">
        <f>IF(K153&lt;=0,0,MAX(0,AP154-W154))</f>
        <v/>
      </c>
      <c r="L154">
        <f>IF(L153&lt;=0,0,MAX(0,AQ154-X154))</f>
        <v/>
      </c>
      <c r="M154">
        <f>IF(M153&lt;=0,0,MAX(0,AR154-Y154))</f>
        <v/>
      </c>
      <c r="N154">
        <f>IF(N153&lt;=0,0,MAX(0,AS154-Z154))</f>
        <v/>
      </c>
      <c r="O154">
        <f>IF(C153&lt;=0,0,MIN(AH154,C$7+IF(C$2=$AA154,$AC154,IF(C$2=$AF154,$AG154,0))))</f>
        <v/>
      </c>
      <c r="P154">
        <f>IF(D153&lt;=0,0,MIN(AI154,D$7+IF(D$2=$AA154,$AC154,IF(D$2=$AF154,$AG154,0))))</f>
        <v/>
      </c>
      <c r="Q154">
        <f>IF(E153&lt;=0,0,MIN(AJ154,E$7+IF(E$2=$AA154,$AC154,IF(E$2=$AF154,$AG154,0))))</f>
        <v/>
      </c>
      <c r="R154">
        <f>IF(F153&lt;=0,0,MIN(AK154,F$7+IF(F$2=$AA154,$AC154,IF(F$2=$AF154,$AG154,0))))</f>
        <v/>
      </c>
      <c r="S154">
        <f>IF(G153&lt;=0,0,MIN(AL154,G$7+IF(G$2=$AA154,$AC154,IF(G$2=$AF154,$AG154,0))))</f>
        <v/>
      </c>
      <c r="T154">
        <f>IF(H153&lt;=0,0,MIN(AM154,H$7+IF(H$2=$AA154,$AC154,IF(H$2=$AF154,$AG154,0))))</f>
        <v/>
      </c>
      <c r="U154">
        <f>IF(I153&lt;=0,0,MIN(AN154,I$7+IF(I$2=$AA154,$AC154,IF(I$2=$AF154,$AG154,0))))</f>
        <v/>
      </c>
      <c r="V154">
        <f>IF(J153&lt;=0,0,MIN(AO154,J$7+IF(J$2=$AA154,$AC154,IF(J$2=$AF154,$AG154,0))))</f>
        <v/>
      </c>
      <c r="W154">
        <f>IF(K153&lt;=0,0,MIN(AP154,K$7+IF(K$2=$AA154,$AC154,IF(K$2=$AF154,$AG154,0))))</f>
        <v/>
      </c>
      <c r="X154">
        <f>IF(L153&lt;=0,0,MIN(AQ154,L$7+IF(L$2=$AA154,$AC154,IF(L$2=$AF154,$AG154,0))))</f>
        <v/>
      </c>
      <c r="Y154">
        <f>IF(M153&lt;=0,0,MIN(AR154,M$7+IF(M$2=$AA154,$AC154,IF(M$2=$AF154,$AG154,0))))</f>
        <v/>
      </c>
      <c r="Z154">
        <f>IF(N153&lt;=0,0,MIN(AS154,N$7+IF(N$2=$AA154,$AC154,IF(N$2=$AF154,$AG154,0))))</f>
        <v/>
      </c>
      <c r="AA154">
        <f>IFERROR(ROUND(1/SUMPRODUCT(MAX((C153:N153&gt;0)*($C$3:$N$3&lt;=B154)/$C$2:$N$2)),0),0)</f>
        <v/>
      </c>
      <c r="AB154">
        <f>SUMPRODUCT((C153:N153&gt;0)*$C$7:$N$7)</f>
        <v/>
      </c>
      <c r="AC154">
        <f>MAX(0,Plan!$C$5-AB154)+IF(A154=Plan!$C$8,N(Plan!$C$7),0)</f>
        <v/>
      </c>
      <c r="AD154">
        <f>SUM(C154:N154)</f>
        <v/>
      </c>
      <c r="AE154">
        <f>SUM(O154:Z154)</f>
        <v/>
      </c>
      <c r="AF154">
        <f>IFERROR(ROUND(1/SUMPRODUCT(MAX((C153:N153&gt;0)*($C$3:$N$3&lt;=B154)*($C$2:$N$2&gt;AA154)/$C$2:$N$2)),0),0)</f>
        <v/>
      </c>
      <c r="AG154">
        <f>MAX(0,AC154-MAX(0,SUMPRODUCT(($C$2:$N$2=AA154)*(AH154:AS154-$C$7:$N$7))))</f>
        <v/>
      </c>
      <c r="AH154">
        <f>IF(C153&lt;=0,0,ROUND(C153*(1+IF(AND(C$6&gt;0,$B154&lt;C$6),C$4,C$5)/12),2))</f>
        <v/>
      </c>
      <c r="AI154">
        <f>IF(D153&lt;=0,0,ROUND(D153*(1+IF(AND(D$6&gt;0,$B154&lt;D$6),D$4,D$5)/12),2))</f>
        <v/>
      </c>
      <c r="AJ154">
        <f>IF(E153&lt;=0,0,ROUND(E153*(1+IF(AND(E$6&gt;0,$B154&lt;E$6),E$4,E$5)/12),2))</f>
        <v/>
      </c>
      <c r="AK154">
        <f>IF(F153&lt;=0,0,ROUND(F153*(1+IF(AND(F$6&gt;0,$B154&lt;F$6),F$4,F$5)/12),2))</f>
        <v/>
      </c>
      <c r="AL154">
        <f>IF(G153&lt;=0,0,ROUND(G153*(1+IF(AND(G$6&gt;0,$B154&lt;G$6),G$4,G$5)/12),2))</f>
        <v/>
      </c>
      <c r="AM154">
        <f>IF(H153&lt;=0,0,ROUND(H153*(1+IF(AND(H$6&gt;0,$B154&lt;H$6),H$4,H$5)/12),2))</f>
        <v/>
      </c>
      <c r="AN154">
        <f>IF(I153&lt;=0,0,ROUND(I153*(1+IF(AND(I$6&gt;0,$B154&lt;I$6),I$4,I$5)/12),2))</f>
        <v/>
      </c>
      <c r="AO154">
        <f>IF(J153&lt;=0,0,ROUND(J153*(1+IF(AND(J$6&gt;0,$B154&lt;J$6),J$4,J$5)/12),2))</f>
        <v/>
      </c>
      <c r="AP154">
        <f>IF(K153&lt;=0,0,ROUND(K153*(1+IF(AND(K$6&gt;0,$B154&lt;K$6),K$4,K$5)/12),2))</f>
        <v/>
      </c>
      <c r="AQ154">
        <f>IF(L153&lt;=0,0,ROUND(L153*(1+IF(AND(L$6&gt;0,$B154&lt;L$6),L$4,L$5)/12),2))</f>
        <v/>
      </c>
      <c r="AR154">
        <f>IF(M153&lt;=0,0,ROUND(M153*(1+IF(AND(M$6&gt;0,$B154&lt;M$6),M$4,M$5)/12),2))</f>
        <v/>
      </c>
      <c r="AS154">
        <f>IF(N153&lt;=0,0,ROUND(N153*(1+IF(AND(N$6&gt;0,$B154&lt;N$6),N$4,N$5)/12),2))</f>
        <v/>
      </c>
    </row>
    <row r="155">
      <c r="A155" t="n">
        <v>144</v>
      </c>
      <c r="B155">
        <f>EDATE(Plan!$C$6,143)</f>
        <v/>
      </c>
      <c r="C155">
        <f>IF(C154&lt;=0,0,MAX(0,AH155-O155))</f>
        <v/>
      </c>
      <c r="D155">
        <f>IF(D154&lt;=0,0,MAX(0,AI155-P155))</f>
        <v/>
      </c>
      <c r="E155">
        <f>IF(E154&lt;=0,0,MAX(0,AJ155-Q155))</f>
        <v/>
      </c>
      <c r="F155">
        <f>IF(F154&lt;=0,0,MAX(0,AK155-R155))</f>
        <v/>
      </c>
      <c r="G155">
        <f>IF(G154&lt;=0,0,MAX(0,AL155-S155))</f>
        <v/>
      </c>
      <c r="H155">
        <f>IF(H154&lt;=0,0,MAX(0,AM155-T155))</f>
        <v/>
      </c>
      <c r="I155">
        <f>IF(I154&lt;=0,0,MAX(0,AN155-U155))</f>
        <v/>
      </c>
      <c r="J155">
        <f>IF(J154&lt;=0,0,MAX(0,AO155-V155))</f>
        <v/>
      </c>
      <c r="K155">
        <f>IF(K154&lt;=0,0,MAX(0,AP155-W155))</f>
        <v/>
      </c>
      <c r="L155">
        <f>IF(L154&lt;=0,0,MAX(0,AQ155-X155))</f>
        <v/>
      </c>
      <c r="M155">
        <f>IF(M154&lt;=0,0,MAX(0,AR155-Y155))</f>
        <v/>
      </c>
      <c r="N155">
        <f>IF(N154&lt;=0,0,MAX(0,AS155-Z155))</f>
        <v/>
      </c>
      <c r="O155">
        <f>IF(C154&lt;=0,0,MIN(AH155,C$7+IF(C$2=$AA155,$AC155,IF(C$2=$AF155,$AG155,0))))</f>
        <v/>
      </c>
      <c r="P155">
        <f>IF(D154&lt;=0,0,MIN(AI155,D$7+IF(D$2=$AA155,$AC155,IF(D$2=$AF155,$AG155,0))))</f>
        <v/>
      </c>
      <c r="Q155">
        <f>IF(E154&lt;=0,0,MIN(AJ155,E$7+IF(E$2=$AA155,$AC155,IF(E$2=$AF155,$AG155,0))))</f>
        <v/>
      </c>
      <c r="R155">
        <f>IF(F154&lt;=0,0,MIN(AK155,F$7+IF(F$2=$AA155,$AC155,IF(F$2=$AF155,$AG155,0))))</f>
        <v/>
      </c>
      <c r="S155">
        <f>IF(G154&lt;=0,0,MIN(AL155,G$7+IF(G$2=$AA155,$AC155,IF(G$2=$AF155,$AG155,0))))</f>
        <v/>
      </c>
      <c r="T155">
        <f>IF(H154&lt;=0,0,MIN(AM155,H$7+IF(H$2=$AA155,$AC155,IF(H$2=$AF155,$AG155,0))))</f>
        <v/>
      </c>
      <c r="U155">
        <f>IF(I154&lt;=0,0,MIN(AN155,I$7+IF(I$2=$AA155,$AC155,IF(I$2=$AF155,$AG155,0))))</f>
        <v/>
      </c>
      <c r="V155">
        <f>IF(J154&lt;=0,0,MIN(AO155,J$7+IF(J$2=$AA155,$AC155,IF(J$2=$AF155,$AG155,0))))</f>
        <v/>
      </c>
      <c r="W155">
        <f>IF(K154&lt;=0,0,MIN(AP155,K$7+IF(K$2=$AA155,$AC155,IF(K$2=$AF155,$AG155,0))))</f>
        <v/>
      </c>
      <c r="X155">
        <f>IF(L154&lt;=0,0,MIN(AQ155,L$7+IF(L$2=$AA155,$AC155,IF(L$2=$AF155,$AG155,0))))</f>
        <v/>
      </c>
      <c r="Y155">
        <f>IF(M154&lt;=0,0,MIN(AR155,M$7+IF(M$2=$AA155,$AC155,IF(M$2=$AF155,$AG155,0))))</f>
        <v/>
      </c>
      <c r="Z155">
        <f>IF(N154&lt;=0,0,MIN(AS155,N$7+IF(N$2=$AA155,$AC155,IF(N$2=$AF155,$AG155,0))))</f>
        <v/>
      </c>
      <c r="AA155">
        <f>IFERROR(ROUND(1/SUMPRODUCT(MAX((C154:N154&gt;0)*($C$3:$N$3&lt;=B155)/$C$2:$N$2)),0),0)</f>
        <v/>
      </c>
      <c r="AB155">
        <f>SUMPRODUCT((C154:N154&gt;0)*$C$7:$N$7)</f>
        <v/>
      </c>
      <c r="AC155">
        <f>MAX(0,Plan!$C$5-AB155)+IF(A155=Plan!$C$8,N(Plan!$C$7),0)</f>
        <v/>
      </c>
      <c r="AD155">
        <f>SUM(C155:N155)</f>
        <v/>
      </c>
      <c r="AE155">
        <f>SUM(O155:Z155)</f>
        <v/>
      </c>
      <c r="AF155">
        <f>IFERROR(ROUND(1/SUMPRODUCT(MAX((C154:N154&gt;0)*($C$3:$N$3&lt;=B155)*($C$2:$N$2&gt;AA155)/$C$2:$N$2)),0),0)</f>
        <v/>
      </c>
      <c r="AG155">
        <f>MAX(0,AC155-MAX(0,SUMPRODUCT(($C$2:$N$2=AA155)*(AH155:AS155-$C$7:$N$7))))</f>
        <v/>
      </c>
      <c r="AH155">
        <f>IF(C154&lt;=0,0,ROUND(C154*(1+IF(AND(C$6&gt;0,$B155&lt;C$6),C$4,C$5)/12),2))</f>
        <v/>
      </c>
      <c r="AI155">
        <f>IF(D154&lt;=0,0,ROUND(D154*(1+IF(AND(D$6&gt;0,$B155&lt;D$6),D$4,D$5)/12),2))</f>
        <v/>
      </c>
      <c r="AJ155">
        <f>IF(E154&lt;=0,0,ROUND(E154*(1+IF(AND(E$6&gt;0,$B155&lt;E$6),E$4,E$5)/12),2))</f>
        <v/>
      </c>
      <c r="AK155">
        <f>IF(F154&lt;=0,0,ROUND(F154*(1+IF(AND(F$6&gt;0,$B155&lt;F$6),F$4,F$5)/12),2))</f>
        <v/>
      </c>
      <c r="AL155">
        <f>IF(G154&lt;=0,0,ROUND(G154*(1+IF(AND(G$6&gt;0,$B155&lt;G$6),G$4,G$5)/12),2))</f>
        <v/>
      </c>
      <c r="AM155">
        <f>IF(H154&lt;=0,0,ROUND(H154*(1+IF(AND(H$6&gt;0,$B155&lt;H$6),H$4,H$5)/12),2))</f>
        <v/>
      </c>
      <c r="AN155">
        <f>IF(I154&lt;=0,0,ROUND(I154*(1+IF(AND(I$6&gt;0,$B155&lt;I$6),I$4,I$5)/12),2))</f>
        <v/>
      </c>
      <c r="AO155">
        <f>IF(J154&lt;=0,0,ROUND(J154*(1+IF(AND(J$6&gt;0,$B155&lt;J$6),J$4,J$5)/12),2))</f>
        <v/>
      </c>
      <c r="AP155">
        <f>IF(K154&lt;=0,0,ROUND(K154*(1+IF(AND(K$6&gt;0,$B155&lt;K$6),K$4,K$5)/12),2))</f>
        <v/>
      </c>
      <c r="AQ155">
        <f>IF(L154&lt;=0,0,ROUND(L154*(1+IF(AND(L$6&gt;0,$B155&lt;L$6),L$4,L$5)/12),2))</f>
        <v/>
      </c>
      <c r="AR155">
        <f>IF(M154&lt;=0,0,ROUND(M154*(1+IF(AND(M$6&gt;0,$B155&lt;M$6),M$4,M$5)/12),2))</f>
        <v/>
      </c>
      <c r="AS155">
        <f>IF(N154&lt;=0,0,ROUND(N154*(1+IF(AND(N$6&gt;0,$B155&lt;N$6),N$4,N$5)/12),2))</f>
        <v/>
      </c>
    </row>
    <row r="156">
      <c r="A156" t="n">
        <v>145</v>
      </c>
      <c r="B156">
        <f>EDATE(Plan!$C$6,144)</f>
        <v/>
      </c>
      <c r="C156">
        <f>IF(C155&lt;=0,0,MAX(0,AH156-O156))</f>
        <v/>
      </c>
      <c r="D156">
        <f>IF(D155&lt;=0,0,MAX(0,AI156-P156))</f>
        <v/>
      </c>
      <c r="E156">
        <f>IF(E155&lt;=0,0,MAX(0,AJ156-Q156))</f>
        <v/>
      </c>
      <c r="F156">
        <f>IF(F155&lt;=0,0,MAX(0,AK156-R156))</f>
        <v/>
      </c>
      <c r="G156">
        <f>IF(G155&lt;=0,0,MAX(0,AL156-S156))</f>
        <v/>
      </c>
      <c r="H156">
        <f>IF(H155&lt;=0,0,MAX(0,AM156-T156))</f>
        <v/>
      </c>
      <c r="I156">
        <f>IF(I155&lt;=0,0,MAX(0,AN156-U156))</f>
        <v/>
      </c>
      <c r="J156">
        <f>IF(J155&lt;=0,0,MAX(0,AO156-V156))</f>
        <v/>
      </c>
      <c r="K156">
        <f>IF(K155&lt;=0,0,MAX(0,AP156-W156))</f>
        <v/>
      </c>
      <c r="L156">
        <f>IF(L155&lt;=0,0,MAX(0,AQ156-X156))</f>
        <v/>
      </c>
      <c r="M156">
        <f>IF(M155&lt;=0,0,MAX(0,AR156-Y156))</f>
        <v/>
      </c>
      <c r="N156">
        <f>IF(N155&lt;=0,0,MAX(0,AS156-Z156))</f>
        <v/>
      </c>
      <c r="O156">
        <f>IF(C155&lt;=0,0,MIN(AH156,C$7+IF(C$2=$AA156,$AC156,IF(C$2=$AF156,$AG156,0))))</f>
        <v/>
      </c>
      <c r="P156">
        <f>IF(D155&lt;=0,0,MIN(AI156,D$7+IF(D$2=$AA156,$AC156,IF(D$2=$AF156,$AG156,0))))</f>
        <v/>
      </c>
      <c r="Q156">
        <f>IF(E155&lt;=0,0,MIN(AJ156,E$7+IF(E$2=$AA156,$AC156,IF(E$2=$AF156,$AG156,0))))</f>
        <v/>
      </c>
      <c r="R156">
        <f>IF(F155&lt;=0,0,MIN(AK156,F$7+IF(F$2=$AA156,$AC156,IF(F$2=$AF156,$AG156,0))))</f>
        <v/>
      </c>
      <c r="S156">
        <f>IF(G155&lt;=0,0,MIN(AL156,G$7+IF(G$2=$AA156,$AC156,IF(G$2=$AF156,$AG156,0))))</f>
        <v/>
      </c>
      <c r="T156">
        <f>IF(H155&lt;=0,0,MIN(AM156,H$7+IF(H$2=$AA156,$AC156,IF(H$2=$AF156,$AG156,0))))</f>
        <v/>
      </c>
      <c r="U156">
        <f>IF(I155&lt;=0,0,MIN(AN156,I$7+IF(I$2=$AA156,$AC156,IF(I$2=$AF156,$AG156,0))))</f>
        <v/>
      </c>
      <c r="V156">
        <f>IF(J155&lt;=0,0,MIN(AO156,J$7+IF(J$2=$AA156,$AC156,IF(J$2=$AF156,$AG156,0))))</f>
        <v/>
      </c>
      <c r="W156">
        <f>IF(K155&lt;=0,0,MIN(AP156,K$7+IF(K$2=$AA156,$AC156,IF(K$2=$AF156,$AG156,0))))</f>
        <v/>
      </c>
      <c r="X156">
        <f>IF(L155&lt;=0,0,MIN(AQ156,L$7+IF(L$2=$AA156,$AC156,IF(L$2=$AF156,$AG156,0))))</f>
        <v/>
      </c>
      <c r="Y156">
        <f>IF(M155&lt;=0,0,MIN(AR156,M$7+IF(M$2=$AA156,$AC156,IF(M$2=$AF156,$AG156,0))))</f>
        <v/>
      </c>
      <c r="Z156">
        <f>IF(N155&lt;=0,0,MIN(AS156,N$7+IF(N$2=$AA156,$AC156,IF(N$2=$AF156,$AG156,0))))</f>
        <v/>
      </c>
      <c r="AA156">
        <f>IFERROR(ROUND(1/SUMPRODUCT(MAX((C155:N155&gt;0)*($C$3:$N$3&lt;=B156)/$C$2:$N$2)),0),0)</f>
        <v/>
      </c>
      <c r="AB156">
        <f>SUMPRODUCT((C155:N155&gt;0)*$C$7:$N$7)</f>
        <v/>
      </c>
      <c r="AC156">
        <f>MAX(0,Plan!$C$5-AB156)+IF(A156=Plan!$C$8,N(Plan!$C$7),0)</f>
        <v/>
      </c>
      <c r="AD156">
        <f>SUM(C156:N156)</f>
        <v/>
      </c>
      <c r="AE156">
        <f>SUM(O156:Z156)</f>
        <v/>
      </c>
      <c r="AF156">
        <f>IFERROR(ROUND(1/SUMPRODUCT(MAX((C155:N155&gt;0)*($C$3:$N$3&lt;=B156)*($C$2:$N$2&gt;AA156)/$C$2:$N$2)),0),0)</f>
        <v/>
      </c>
      <c r="AG156">
        <f>MAX(0,AC156-MAX(0,SUMPRODUCT(($C$2:$N$2=AA156)*(AH156:AS156-$C$7:$N$7))))</f>
        <v/>
      </c>
      <c r="AH156">
        <f>IF(C155&lt;=0,0,ROUND(C155*(1+IF(AND(C$6&gt;0,$B156&lt;C$6),C$4,C$5)/12),2))</f>
        <v/>
      </c>
      <c r="AI156">
        <f>IF(D155&lt;=0,0,ROUND(D155*(1+IF(AND(D$6&gt;0,$B156&lt;D$6),D$4,D$5)/12),2))</f>
        <v/>
      </c>
      <c r="AJ156">
        <f>IF(E155&lt;=0,0,ROUND(E155*(1+IF(AND(E$6&gt;0,$B156&lt;E$6),E$4,E$5)/12),2))</f>
        <v/>
      </c>
      <c r="AK156">
        <f>IF(F155&lt;=0,0,ROUND(F155*(1+IF(AND(F$6&gt;0,$B156&lt;F$6),F$4,F$5)/12),2))</f>
        <v/>
      </c>
      <c r="AL156">
        <f>IF(G155&lt;=0,0,ROUND(G155*(1+IF(AND(G$6&gt;0,$B156&lt;G$6),G$4,G$5)/12),2))</f>
        <v/>
      </c>
      <c r="AM156">
        <f>IF(H155&lt;=0,0,ROUND(H155*(1+IF(AND(H$6&gt;0,$B156&lt;H$6),H$4,H$5)/12),2))</f>
        <v/>
      </c>
      <c r="AN156">
        <f>IF(I155&lt;=0,0,ROUND(I155*(1+IF(AND(I$6&gt;0,$B156&lt;I$6),I$4,I$5)/12),2))</f>
        <v/>
      </c>
      <c r="AO156">
        <f>IF(J155&lt;=0,0,ROUND(J155*(1+IF(AND(J$6&gt;0,$B156&lt;J$6),J$4,J$5)/12),2))</f>
        <v/>
      </c>
      <c r="AP156">
        <f>IF(K155&lt;=0,0,ROUND(K155*(1+IF(AND(K$6&gt;0,$B156&lt;K$6),K$4,K$5)/12),2))</f>
        <v/>
      </c>
      <c r="AQ156">
        <f>IF(L155&lt;=0,0,ROUND(L155*(1+IF(AND(L$6&gt;0,$B156&lt;L$6),L$4,L$5)/12),2))</f>
        <v/>
      </c>
      <c r="AR156">
        <f>IF(M155&lt;=0,0,ROUND(M155*(1+IF(AND(M$6&gt;0,$B156&lt;M$6),M$4,M$5)/12),2))</f>
        <v/>
      </c>
      <c r="AS156">
        <f>IF(N155&lt;=0,0,ROUND(N155*(1+IF(AND(N$6&gt;0,$B156&lt;N$6),N$4,N$5)/12),2))</f>
        <v/>
      </c>
    </row>
    <row r="157">
      <c r="A157" t="n">
        <v>146</v>
      </c>
      <c r="B157">
        <f>EDATE(Plan!$C$6,145)</f>
        <v/>
      </c>
      <c r="C157">
        <f>IF(C156&lt;=0,0,MAX(0,AH157-O157))</f>
        <v/>
      </c>
      <c r="D157">
        <f>IF(D156&lt;=0,0,MAX(0,AI157-P157))</f>
        <v/>
      </c>
      <c r="E157">
        <f>IF(E156&lt;=0,0,MAX(0,AJ157-Q157))</f>
        <v/>
      </c>
      <c r="F157">
        <f>IF(F156&lt;=0,0,MAX(0,AK157-R157))</f>
        <v/>
      </c>
      <c r="G157">
        <f>IF(G156&lt;=0,0,MAX(0,AL157-S157))</f>
        <v/>
      </c>
      <c r="H157">
        <f>IF(H156&lt;=0,0,MAX(0,AM157-T157))</f>
        <v/>
      </c>
      <c r="I157">
        <f>IF(I156&lt;=0,0,MAX(0,AN157-U157))</f>
        <v/>
      </c>
      <c r="J157">
        <f>IF(J156&lt;=0,0,MAX(0,AO157-V157))</f>
        <v/>
      </c>
      <c r="K157">
        <f>IF(K156&lt;=0,0,MAX(0,AP157-W157))</f>
        <v/>
      </c>
      <c r="L157">
        <f>IF(L156&lt;=0,0,MAX(0,AQ157-X157))</f>
        <v/>
      </c>
      <c r="M157">
        <f>IF(M156&lt;=0,0,MAX(0,AR157-Y157))</f>
        <v/>
      </c>
      <c r="N157">
        <f>IF(N156&lt;=0,0,MAX(0,AS157-Z157))</f>
        <v/>
      </c>
      <c r="O157">
        <f>IF(C156&lt;=0,0,MIN(AH157,C$7+IF(C$2=$AA157,$AC157,IF(C$2=$AF157,$AG157,0))))</f>
        <v/>
      </c>
      <c r="P157">
        <f>IF(D156&lt;=0,0,MIN(AI157,D$7+IF(D$2=$AA157,$AC157,IF(D$2=$AF157,$AG157,0))))</f>
        <v/>
      </c>
      <c r="Q157">
        <f>IF(E156&lt;=0,0,MIN(AJ157,E$7+IF(E$2=$AA157,$AC157,IF(E$2=$AF157,$AG157,0))))</f>
        <v/>
      </c>
      <c r="R157">
        <f>IF(F156&lt;=0,0,MIN(AK157,F$7+IF(F$2=$AA157,$AC157,IF(F$2=$AF157,$AG157,0))))</f>
        <v/>
      </c>
      <c r="S157">
        <f>IF(G156&lt;=0,0,MIN(AL157,G$7+IF(G$2=$AA157,$AC157,IF(G$2=$AF157,$AG157,0))))</f>
        <v/>
      </c>
      <c r="T157">
        <f>IF(H156&lt;=0,0,MIN(AM157,H$7+IF(H$2=$AA157,$AC157,IF(H$2=$AF157,$AG157,0))))</f>
        <v/>
      </c>
      <c r="U157">
        <f>IF(I156&lt;=0,0,MIN(AN157,I$7+IF(I$2=$AA157,$AC157,IF(I$2=$AF157,$AG157,0))))</f>
        <v/>
      </c>
      <c r="V157">
        <f>IF(J156&lt;=0,0,MIN(AO157,J$7+IF(J$2=$AA157,$AC157,IF(J$2=$AF157,$AG157,0))))</f>
        <v/>
      </c>
      <c r="W157">
        <f>IF(K156&lt;=0,0,MIN(AP157,K$7+IF(K$2=$AA157,$AC157,IF(K$2=$AF157,$AG157,0))))</f>
        <v/>
      </c>
      <c r="X157">
        <f>IF(L156&lt;=0,0,MIN(AQ157,L$7+IF(L$2=$AA157,$AC157,IF(L$2=$AF157,$AG157,0))))</f>
        <v/>
      </c>
      <c r="Y157">
        <f>IF(M156&lt;=0,0,MIN(AR157,M$7+IF(M$2=$AA157,$AC157,IF(M$2=$AF157,$AG157,0))))</f>
        <v/>
      </c>
      <c r="Z157">
        <f>IF(N156&lt;=0,0,MIN(AS157,N$7+IF(N$2=$AA157,$AC157,IF(N$2=$AF157,$AG157,0))))</f>
        <v/>
      </c>
      <c r="AA157">
        <f>IFERROR(ROUND(1/SUMPRODUCT(MAX((C156:N156&gt;0)*($C$3:$N$3&lt;=B157)/$C$2:$N$2)),0),0)</f>
        <v/>
      </c>
      <c r="AB157">
        <f>SUMPRODUCT((C156:N156&gt;0)*$C$7:$N$7)</f>
        <v/>
      </c>
      <c r="AC157">
        <f>MAX(0,Plan!$C$5-AB157)+IF(A157=Plan!$C$8,N(Plan!$C$7),0)</f>
        <v/>
      </c>
      <c r="AD157">
        <f>SUM(C157:N157)</f>
        <v/>
      </c>
      <c r="AE157">
        <f>SUM(O157:Z157)</f>
        <v/>
      </c>
      <c r="AF157">
        <f>IFERROR(ROUND(1/SUMPRODUCT(MAX((C156:N156&gt;0)*($C$3:$N$3&lt;=B157)*($C$2:$N$2&gt;AA157)/$C$2:$N$2)),0),0)</f>
        <v/>
      </c>
      <c r="AG157">
        <f>MAX(0,AC157-MAX(0,SUMPRODUCT(($C$2:$N$2=AA157)*(AH157:AS157-$C$7:$N$7))))</f>
        <v/>
      </c>
      <c r="AH157">
        <f>IF(C156&lt;=0,0,ROUND(C156*(1+IF(AND(C$6&gt;0,$B157&lt;C$6),C$4,C$5)/12),2))</f>
        <v/>
      </c>
      <c r="AI157">
        <f>IF(D156&lt;=0,0,ROUND(D156*(1+IF(AND(D$6&gt;0,$B157&lt;D$6),D$4,D$5)/12),2))</f>
        <v/>
      </c>
      <c r="AJ157">
        <f>IF(E156&lt;=0,0,ROUND(E156*(1+IF(AND(E$6&gt;0,$B157&lt;E$6),E$4,E$5)/12),2))</f>
        <v/>
      </c>
      <c r="AK157">
        <f>IF(F156&lt;=0,0,ROUND(F156*(1+IF(AND(F$6&gt;0,$B157&lt;F$6),F$4,F$5)/12),2))</f>
        <v/>
      </c>
      <c r="AL157">
        <f>IF(G156&lt;=0,0,ROUND(G156*(1+IF(AND(G$6&gt;0,$B157&lt;G$6),G$4,G$5)/12),2))</f>
        <v/>
      </c>
      <c r="AM157">
        <f>IF(H156&lt;=0,0,ROUND(H156*(1+IF(AND(H$6&gt;0,$B157&lt;H$6),H$4,H$5)/12),2))</f>
        <v/>
      </c>
      <c r="AN157">
        <f>IF(I156&lt;=0,0,ROUND(I156*(1+IF(AND(I$6&gt;0,$B157&lt;I$6),I$4,I$5)/12),2))</f>
        <v/>
      </c>
      <c r="AO157">
        <f>IF(J156&lt;=0,0,ROUND(J156*(1+IF(AND(J$6&gt;0,$B157&lt;J$6),J$4,J$5)/12),2))</f>
        <v/>
      </c>
      <c r="AP157">
        <f>IF(K156&lt;=0,0,ROUND(K156*(1+IF(AND(K$6&gt;0,$B157&lt;K$6),K$4,K$5)/12),2))</f>
        <v/>
      </c>
      <c r="AQ157">
        <f>IF(L156&lt;=0,0,ROUND(L156*(1+IF(AND(L$6&gt;0,$B157&lt;L$6),L$4,L$5)/12),2))</f>
        <v/>
      </c>
      <c r="AR157">
        <f>IF(M156&lt;=0,0,ROUND(M156*(1+IF(AND(M$6&gt;0,$B157&lt;M$6),M$4,M$5)/12),2))</f>
        <v/>
      </c>
      <c r="AS157">
        <f>IF(N156&lt;=0,0,ROUND(N156*(1+IF(AND(N$6&gt;0,$B157&lt;N$6),N$4,N$5)/12),2))</f>
        <v/>
      </c>
    </row>
    <row r="158">
      <c r="A158" t="n">
        <v>147</v>
      </c>
      <c r="B158">
        <f>EDATE(Plan!$C$6,146)</f>
        <v/>
      </c>
      <c r="C158">
        <f>IF(C157&lt;=0,0,MAX(0,AH158-O158))</f>
        <v/>
      </c>
      <c r="D158">
        <f>IF(D157&lt;=0,0,MAX(0,AI158-P158))</f>
        <v/>
      </c>
      <c r="E158">
        <f>IF(E157&lt;=0,0,MAX(0,AJ158-Q158))</f>
        <v/>
      </c>
      <c r="F158">
        <f>IF(F157&lt;=0,0,MAX(0,AK158-R158))</f>
        <v/>
      </c>
      <c r="G158">
        <f>IF(G157&lt;=0,0,MAX(0,AL158-S158))</f>
        <v/>
      </c>
      <c r="H158">
        <f>IF(H157&lt;=0,0,MAX(0,AM158-T158))</f>
        <v/>
      </c>
      <c r="I158">
        <f>IF(I157&lt;=0,0,MAX(0,AN158-U158))</f>
        <v/>
      </c>
      <c r="J158">
        <f>IF(J157&lt;=0,0,MAX(0,AO158-V158))</f>
        <v/>
      </c>
      <c r="K158">
        <f>IF(K157&lt;=0,0,MAX(0,AP158-W158))</f>
        <v/>
      </c>
      <c r="L158">
        <f>IF(L157&lt;=0,0,MAX(0,AQ158-X158))</f>
        <v/>
      </c>
      <c r="M158">
        <f>IF(M157&lt;=0,0,MAX(0,AR158-Y158))</f>
        <v/>
      </c>
      <c r="N158">
        <f>IF(N157&lt;=0,0,MAX(0,AS158-Z158))</f>
        <v/>
      </c>
      <c r="O158">
        <f>IF(C157&lt;=0,0,MIN(AH158,C$7+IF(C$2=$AA158,$AC158,IF(C$2=$AF158,$AG158,0))))</f>
        <v/>
      </c>
      <c r="P158">
        <f>IF(D157&lt;=0,0,MIN(AI158,D$7+IF(D$2=$AA158,$AC158,IF(D$2=$AF158,$AG158,0))))</f>
        <v/>
      </c>
      <c r="Q158">
        <f>IF(E157&lt;=0,0,MIN(AJ158,E$7+IF(E$2=$AA158,$AC158,IF(E$2=$AF158,$AG158,0))))</f>
        <v/>
      </c>
      <c r="R158">
        <f>IF(F157&lt;=0,0,MIN(AK158,F$7+IF(F$2=$AA158,$AC158,IF(F$2=$AF158,$AG158,0))))</f>
        <v/>
      </c>
      <c r="S158">
        <f>IF(G157&lt;=0,0,MIN(AL158,G$7+IF(G$2=$AA158,$AC158,IF(G$2=$AF158,$AG158,0))))</f>
        <v/>
      </c>
      <c r="T158">
        <f>IF(H157&lt;=0,0,MIN(AM158,H$7+IF(H$2=$AA158,$AC158,IF(H$2=$AF158,$AG158,0))))</f>
        <v/>
      </c>
      <c r="U158">
        <f>IF(I157&lt;=0,0,MIN(AN158,I$7+IF(I$2=$AA158,$AC158,IF(I$2=$AF158,$AG158,0))))</f>
        <v/>
      </c>
      <c r="V158">
        <f>IF(J157&lt;=0,0,MIN(AO158,J$7+IF(J$2=$AA158,$AC158,IF(J$2=$AF158,$AG158,0))))</f>
        <v/>
      </c>
      <c r="W158">
        <f>IF(K157&lt;=0,0,MIN(AP158,K$7+IF(K$2=$AA158,$AC158,IF(K$2=$AF158,$AG158,0))))</f>
        <v/>
      </c>
      <c r="X158">
        <f>IF(L157&lt;=0,0,MIN(AQ158,L$7+IF(L$2=$AA158,$AC158,IF(L$2=$AF158,$AG158,0))))</f>
        <v/>
      </c>
      <c r="Y158">
        <f>IF(M157&lt;=0,0,MIN(AR158,M$7+IF(M$2=$AA158,$AC158,IF(M$2=$AF158,$AG158,0))))</f>
        <v/>
      </c>
      <c r="Z158">
        <f>IF(N157&lt;=0,0,MIN(AS158,N$7+IF(N$2=$AA158,$AC158,IF(N$2=$AF158,$AG158,0))))</f>
        <v/>
      </c>
      <c r="AA158">
        <f>IFERROR(ROUND(1/SUMPRODUCT(MAX((C157:N157&gt;0)*($C$3:$N$3&lt;=B158)/$C$2:$N$2)),0),0)</f>
        <v/>
      </c>
      <c r="AB158">
        <f>SUMPRODUCT((C157:N157&gt;0)*$C$7:$N$7)</f>
        <v/>
      </c>
      <c r="AC158">
        <f>MAX(0,Plan!$C$5-AB158)+IF(A158=Plan!$C$8,N(Plan!$C$7),0)</f>
        <v/>
      </c>
      <c r="AD158">
        <f>SUM(C158:N158)</f>
        <v/>
      </c>
      <c r="AE158">
        <f>SUM(O158:Z158)</f>
        <v/>
      </c>
      <c r="AF158">
        <f>IFERROR(ROUND(1/SUMPRODUCT(MAX((C157:N157&gt;0)*($C$3:$N$3&lt;=B158)*($C$2:$N$2&gt;AA158)/$C$2:$N$2)),0),0)</f>
        <v/>
      </c>
      <c r="AG158">
        <f>MAX(0,AC158-MAX(0,SUMPRODUCT(($C$2:$N$2=AA158)*(AH158:AS158-$C$7:$N$7))))</f>
        <v/>
      </c>
      <c r="AH158">
        <f>IF(C157&lt;=0,0,ROUND(C157*(1+IF(AND(C$6&gt;0,$B158&lt;C$6),C$4,C$5)/12),2))</f>
        <v/>
      </c>
      <c r="AI158">
        <f>IF(D157&lt;=0,0,ROUND(D157*(1+IF(AND(D$6&gt;0,$B158&lt;D$6),D$4,D$5)/12),2))</f>
        <v/>
      </c>
      <c r="AJ158">
        <f>IF(E157&lt;=0,0,ROUND(E157*(1+IF(AND(E$6&gt;0,$B158&lt;E$6),E$4,E$5)/12),2))</f>
        <v/>
      </c>
      <c r="AK158">
        <f>IF(F157&lt;=0,0,ROUND(F157*(1+IF(AND(F$6&gt;0,$B158&lt;F$6),F$4,F$5)/12),2))</f>
        <v/>
      </c>
      <c r="AL158">
        <f>IF(G157&lt;=0,0,ROUND(G157*(1+IF(AND(G$6&gt;0,$B158&lt;G$6),G$4,G$5)/12),2))</f>
        <v/>
      </c>
      <c r="AM158">
        <f>IF(H157&lt;=0,0,ROUND(H157*(1+IF(AND(H$6&gt;0,$B158&lt;H$6),H$4,H$5)/12),2))</f>
        <v/>
      </c>
      <c r="AN158">
        <f>IF(I157&lt;=0,0,ROUND(I157*(1+IF(AND(I$6&gt;0,$B158&lt;I$6),I$4,I$5)/12),2))</f>
        <v/>
      </c>
      <c r="AO158">
        <f>IF(J157&lt;=0,0,ROUND(J157*(1+IF(AND(J$6&gt;0,$B158&lt;J$6),J$4,J$5)/12),2))</f>
        <v/>
      </c>
      <c r="AP158">
        <f>IF(K157&lt;=0,0,ROUND(K157*(1+IF(AND(K$6&gt;0,$B158&lt;K$6),K$4,K$5)/12),2))</f>
        <v/>
      </c>
      <c r="AQ158">
        <f>IF(L157&lt;=0,0,ROUND(L157*(1+IF(AND(L$6&gt;0,$B158&lt;L$6),L$4,L$5)/12),2))</f>
        <v/>
      </c>
      <c r="AR158">
        <f>IF(M157&lt;=0,0,ROUND(M157*(1+IF(AND(M$6&gt;0,$B158&lt;M$6),M$4,M$5)/12),2))</f>
        <v/>
      </c>
      <c r="AS158">
        <f>IF(N157&lt;=0,0,ROUND(N157*(1+IF(AND(N$6&gt;0,$B158&lt;N$6),N$4,N$5)/12),2))</f>
        <v/>
      </c>
    </row>
    <row r="159">
      <c r="A159" t="n">
        <v>148</v>
      </c>
      <c r="B159">
        <f>EDATE(Plan!$C$6,147)</f>
        <v/>
      </c>
      <c r="C159">
        <f>IF(C158&lt;=0,0,MAX(0,AH159-O159))</f>
        <v/>
      </c>
      <c r="D159">
        <f>IF(D158&lt;=0,0,MAX(0,AI159-P159))</f>
        <v/>
      </c>
      <c r="E159">
        <f>IF(E158&lt;=0,0,MAX(0,AJ159-Q159))</f>
        <v/>
      </c>
      <c r="F159">
        <f>IF(F158&lt;=0,0,MAX(0,AK159-R159))</f>
        <v/>
      </c>
      <c r="G159">
        <f>IF(G158&lt;=0,0,MAX(0,AL159-S159))</f>
        <v/>
      </c>
      <c r="H159">
        <f>IF(H158&lt;=0,0,MAX(0,AM159-T159))</f>
        <v/>
      </c>
      <c r="I159">
        <f>IF(I158&lt;=0,0,MAX(0,AN159-U159))</f>
        <v/>
      </c>
      <c r="J159">
        <f>IF(J158&lt;=0,0,MAX(0,AO159-V159))</f>
        <v/>
      </c>
      <c r="K159">
        <f>IF(K158&lt;=0,0,MAX(0,AP159-W159))</f>
        <v/>
      </c>
      <c r="L159">
        <f>IF(L158&lt;=0,0,MAX(0,AQ159-X159))</f>
        <v/>
      </c>
      <c r="M159">
        <f>IF(M158&lt;=0,0,MAX(0,AR159-Y159))</f>
        <v/>
      </c>
      <c r="N159">
        <f>IF(N158&lt;=0,0,MAX(0,AS159-Z159))</f>
        <v/>
      </c>
      <c r="O159">
        <f>IF(C158&lt;=0,0,MIN(AH159,C$7+IF(C$2=$AA159,$AC159,IF(C$2=$AF159,$AG159,0))))</f>
        <v/>
      </c>
      <c r="P159">
        <f>IF(D158&lt;=0,0,MIN(AI159,D$7+IF(D$2=$AA159,$AC159,IF(D$2=$AF159,$AG159,0))))</f>
        <v/>
      </c>
      <c r="Q159">
        <f>IF(E158&lt;=0,0,MIN(AJ159,E$7+IF(E$2=$AA159,$AC159,IF(E$2=$AF159,$AG159,0))))</f>
        <v/>
      </c>
      <c r="R159">
        <f>IF(F158&lt;=0,0,MIN(AK159,F$7+IF(F$2=$AA159,$AC159,IF(F$2=$AF159,$AG159,0))))</f>
        <v/>
      </c>
      <c r="S159">
        <f>IF(G158&lt;=0,0,MIN(AL159,G$7+IF(G$2=$AA159,$AC159,IF(G$2=$AF159,$AG159,0))))</f>
        <v/>
      </c>
      <c r="T159">
        <f>IF(H158&lt;=0,0,MIN(AM159,H$7+IF(H$2=$AA159,$AC159,IF(H$2=$AF159,$AG159,0))))</f>
        <v/>
      </c>
      <c r="U159">
        <f>IF(I158&lt;=0,0,MIN(AN159,I$7+IF(I$2=$AA159,$AC159,IF(I$2=$AF159,$AG159,0))))</f>
        <v/>
      </c>
      <c r="V159">
        <f>IF(J158&lt;=0,0,MIN(AO159,J$7+IF(J$2=$AA159,$AC159,IF(J$2=$AF159,$AG159,0))))</f>
        <v/>
      </c>
      <c r="W159">
        <f>IF(K158&lt;=0,0,MIN(AP159,K$7+IF(K$2=$AA159,$AC159,IF(K$2=$AF159,$AG159,0))))</f>
        <v/>
      </c>
      <c r="X159">
        <f>IF(L158&lt;=0,0,MIN(AQ159,L$7+IF(L$2=$AA159,$AC159,IF(L$2=$AF159,$AG159,0))))</f>
        <v/>
      </c>
      <c r="Y159">
        <f>IF(M158&lt;=0,0,MIN(AR159,M$7+IF(M$2=$AA159,$AC159,IF(M$2=$AF159,$AG159,0))))</f>
        <v/>
      </c>
      <c r="Z159">
        <f>IF(N158&lt;=0,0,MIN(AS159,N$7+IF(N$2=$AA159,$AC159,IF(N$2=$AF159,$AG159,0))))</f>
        <v/>
      </c>
      <c r="AA159">
        <f>IFERROR(ROUND(1/SUMPRODUCT(MAX((C158:N158&gt;0)*($C$3:$N$3&lt;=B159)/$C$2:$N$2)),0),0)</f>
        <v/>
      </c>
      <c r="AB159">
        <f>SUMPRODUCT((C158:N158&gt;0)*$C$7:$N$7)</f>
        <v/>
      </c>
      <c r="AC159">
        <f>MAX(0,Plan!$C$5-AB159)+IF(A159=Plan!$C$8,N(Plan!$C$7),0)</f>
        <v/>
      </c>
      <c r="AD159">
        <f>SUM(C159:N159)</f>
        <v/>
      </c>
      <c r="AE159">
        <f>SUM(O159:Z159)</f>
        <v/>
      </c>
      <c r="AF159">
        <f>IFERROR(ROUND(1/SUMPRODUCT(MAX((C158:N158&gt;0)*($C$3:$N$3&lt;=B159)*($C$2:$N$2&gt;AA159)/$C$2:$N$2)),0),0)</f>
        <v/>
      </c>
      <c r="AG159">
        <f>MAX(0,AC159-MAX(0,SUMPRODUCT(($C$2:$N$2=AA159)*(AH159:AS159-$C$7:$N$7))))</f>
        <v/>
      </c>
      <c r="AH159">
        <f>IF(C158&lt;=0,0,ROUND(C158*(1+IF(AND(C$6&gt;0,$B159&lt;C$6),C$4,C$5)/12),2))</f>
        <v/>
      </c>
      <c r="AI159">
        <f>IF(D158&lt;=0,0,ROUND(D158*(1+IF(AND(D$6&gt;0,$B159&lt;D$6),D$4,D$5)/12),2))</f>
        <v/>
      </c>
      <c r="AJ159">
        <f>IF(E158&lt;=0,0,ROUND(E158*(1+IF(AND(E$6&gt;0,$B159&lt;E$6),E$4,E$5)/12),2))</f>
        <v/>
      </c>
      <c r="AK159">
        <f>IF(F158&lt;=0,0,ROUND(F158*(1+IF(AND(F$6&gt;0,$B159&lt;F$6),F$4,F$5)/12),2))</f>
        <v/>
      </c>
      <c r="AL159">
        <f>IF(G158&lt;=0,0,ROUND(G158*(1+IF(AND(G$6&gt;0,$B159&lt;G$6),G$4,G$5)/12),2))</f>
        <v/>
      </c>
      <c r="AM159">
        <f>IF(H158&lt;=0,0,ROUND(H158*(1+IF(AND(H$6&gt;0,$B159&lt;H$6),H$4,H$5)/12),2))</f>
        <v/>
      </c>
      <c r="AN159">
        <f>IF(I158&lt;=0,0,ROUND(I158*(1+IF(AND(I$6&gt;0,$B159&lt;I$6),I$4,I$5)/12),2))</f>
        <v/>
      </c>
      <c r="AO159">
        <f>IF(J158&lt;=0,0,ROUND(J158*(1+IF(AND(J$6&gt;0,$B159&lt;J$6),J$4,J$5)/12),2))</f>
        <v/>
      </c>
      <c r="AP159">
        <f>IF(K158&lt;=0,0,ROUND(K158*(1+IF(AND(K$6&gt;0,$B159&lt;K$6),K$4,K$5)/12),2))</f>
        <v/>
      </c>
      <c r="AQ159">
        <f>IF(L158&lt;=0,0,ROUND(L158*(1+IF(AND(L$6&gt;0,$B159&lt;L$6),L$4,L$5)/12),2))</f>
        <v/>
      </c>
      <c r="AR159">
        <f>IF(M158&lt;=0,0,ROUND(M158*(1+IF(AND(M$6&gt;0,$B159&lt;M$6),M$4,M$5)/12),2))</f>
        <v/>
      </c>
      <c r="AS159">
        <f>IF(N158&lt;=0,0,ROUND(N158*(1+IF(AND(N$6&gt;0,$B159&lt;N$6),N$4,N$5)/12),2))</f>
        <v/>
      </c>
    </row>
    <row r="160">
      <c r="A160" t="n">
        <v>149</v>
      </c>
      <c r="B160">
        <f>EDATE(Plan!$C$6,148)</f>
        <v/>
      </c>
      <c r="C160">
        <f>IF(C159&lt;=0,0,MAX(0,AH160-O160))</f>
        <v/>
      </c>
      <c r="D160">
        <f>IF(D159&lt;=0,0,MAX(0,AI160-P160))</f>
        <v/>
      </c>
      <c r="E160">
        <f>IF(E159&lt;=0,0,MAX(0,AJ160-Q160))</f>
        <v/>
      </c>
      <c r="F160">
        <f>IF(F159&lt;=0,0,MAX(0,AK160-R160))</f>
        <v/>
      </c>
      <c r="G160">
        <f>IF(G159&lt;=0,0,MAX(0,AL160-S160))</f>
        <v/>
      </c>
      <c r="H160">
        <f>IF(H159&lt;=0,0,MAX(0,AM160-T160))</f>
        <v/>
      </c>
      <c r="I160">
        <f>IF(I159&lt;=0,0,MAX(0,AN160-U160))</f>
        <v/>
      </c>
      <c r="J160">
        <f>IF(J159&lt;=0,0,MAX(0,AO160-V160))</f>
        <v/>
      </c>
      <c r="K160">
        <f>IF(K159&lt;=0,0,MAX(0,AP160-W160))</f>
        <v/>
      </c>
      <c r="L160">
        <f>IF(L159&lt;=0,0,MAX(0,AQ160-X160))</f>
        <v/>
      </c>
      <c r="M160">
        <f>IF(M159&lt;=0,0,MAX(0,AR160-Y160))</f>
        <v/>
      </c>
      <c r="N160">
        <f>IF(N159&lt;=0,0,MAX(0,AS160-Z160))</f>
        <v/>
      </c>
      <c r="O160">
        <f>IF(C159&lt;=0,0,MIN(AH160,C$7+IF(C$2=$AA160,$AC160,IF(C$2=$AF160,$AG160,0))))</f>
        <v/>
      </c>
      <c r="P160">
        <f>IF(D159&lt;=0,0,MIN(AI160,D$7+IF(D$2=$AA160,$AC160,IF(D$2=$AF160,$AG160,0))))</f>
        <v/>
      </c>
      <c r="Q160">
        <f>IF(E159&lt;=0,0,MIN(AJ160,E$7+IF(E$2=$AA160,$AC160,IF(E$2=$AF160,$AG160,0))))</f>
        <v/>
      </c>
      <c r="R160">
        <f>IF(F159&lt;=0,0,MIN(AK160,F$7+IF(F$2=$AA160,$AC160,IF(F$2=$AF160,$AG160,0))))</f>
        <v/>
      </c>
      <c r="S160">
        <f>IF(G159&lt;=0,0,MIN(AL160,G$7+IF(G$2=$AA160,$AC160,IF(G$2=$AF160,$AG160,0))))</f>
        <v/>
      </c>
      <c r="T160">
        <f>IF(H159&lt;=0,0,MIN(AM160,H$7+IF(H$2=$AA160,$AC160,IF(H$2=$AF160,$AG160,0))))</f>
        <v/>
      </c>
      <c r="U160">
        <f>IF(I159&lt;=0,0,MIN(AN160,I$7+IF(I$2=$AA160,$AC160,IF(I$2=$AF160,$AG160,0))))</f>
        <v/>
      </c>
      <c r="V160">
        <f>IF(J159&lt;=0,0,MIN(AO160,J$7+IF(J$2=$AA160,$AC160,IF(J$2=$AF160,$AG160,0))))</f>
        <v/>
      </c>
      <c r="W160">
        <f>IF(K159&lt;=0,0,MIN(AP160,K$7+IF(K$2=$AA160,$AC160,IF(K$2=$AF160,$AG160,0))))</f>
        <v/>
      </c>
      <c r="X160">
        <f>IF(L159&lt;=0,0,MIN(AQ160,L$7+IF(L$2=$AA160,$AC160,IF(L$2=$AF160,$AG160,0))))</f>
        <v/>
      </c>
      <c r="Y160">
        <f>IF(M159&lt;=0,0,MIN(AR160,M$7+IF(M$2=$AA160,$AC160,IF(M$2=$AF160,$AG160,0))))</f>
        <v/>
      </c>
      <c r="Z160">
        <f>IF(N159&lt;=0,0,MIN(AS160,N$7+IF(N$2=$AA160,$AC160,IF(N$2=$AF160,$AG160,0))))</f>
        <v/>
      </c>
      <c r="AA160">
        <f>IFERROR(ROUND(1/SUMPRODUCT(MAX((C159:N159&gt;0)*($C$3:$N$3&lt;=B160)/$C$2:$N$2)),0),0)</f>
        <v/>
      </c>
      <c r="AB160">
        <f>SUMPRODUCT((C159:N159&gt;0)*$C$7:$N$7)</f>
        <v/>
      </c>
      <c r="AC160">
        <f>MAX(0,Plan!$C$5-AB160)+IF(A160=Plan!$C$8,N(Plan!$C$7),0)</f>
        <v/>
      </c>
      <c r="AD160">
        <f>SUM(C160:N160)</f>
        <v/>
      </c>
      <c r="AE160">
        <f>SUM(O160:Z160)</f>
        <v/>
      </c>
      <c r="AF160">
        <f>IFERROR(ROUND(1/SUMPRODUCT(MAX((C159:N159&gt;0)*($C$3:$N$3&lt;=B160)*($C$2:$N$2&gt;AA160)/$C$2:$N$2)),0),0)</f>
        <v/>
      </c>
      <c r="AG160">
        <f>MAX(0,AC160-MAX(0,SUMPRODUCT(($C$2:$N$2=AA160)*(AH160:AS160-$C$7:$N$7))))</f>
        <v/>
      </c>
      <c r="AH160">
        <f>IF(C159&lt;=0,0,ROUND(C159*(1+IF(AND(C$6&gt;0,$B160&lt;C$6),C$4,C$5)/12),2))</f>
        <v/>
      </c>
      <c r="AI160">
        <f>IF(D159&lt;=0,0,ROUND(D159*(1+IF(AND(D$6&gt;0,$B160&lt;D$6),D$4,D$5)/12),2))</f>
        <v/>
      </c>
      <c r="AJ160">
        <f>IF(E159&lt;=0,0,ROUND(E159*(1+IF(AND(E$6&gt;0,$B160&lt;E$6),E$4,E$5)/12),2))</f>
        <v/>
      </c>
      <c r="AK160">
        <f>IF(F159&lt;=0,0,ROUND(F159*(1+IF(AND(F$6&gt;0,$B160&lt;F$6),F$4,F$5)/12),2))</f>
        <v/>
      </c>
      <c r="AL160">
        <f>IF(G159&lt;=0,0,ROUND(G159*(1+IF(AND(G$6&gt;0,$B160&lt;G$6),G$4,G$5)/12),2))</f>
        <v/>
      </c>
      <c r="AM160">
        <f>IF(H159&lt;=0,0,ROUND(H159*(1+IF(AND(H$6&gt;0,$B160&lt;H$6),H$4,H$5)/12),2))</f>
        <v/>
      </c>
      <c r="AN160">
        <f>IF(I159&lt;=0,0,ROUND(I159*(1+IF(AND(I$6&gt;0,$B160&lt;I$6),I$4,I$5)/12),2))</f>
        <v/>
      </c>
      <c r="AO160">
        <f>IF(J159&lt;=0,0,ROUND(J159*(1+IF(AND(J$6&gt;0,$B160&lt;J$6),J$4,J$5)/12),2))</f>
        <v/>
      </c>
      <c r="AP160">
        <f>IF(K159&lt;=0,0,ROUND(K159*(1+IF(AND(K$6&gt;0,$B160&lt;K$6),K$4,K$5)/12),2))</f>
        <v/>
      </c>
      <c r="AQ160">
        <f>IF(L159&lt;=0,0,ROUND(L159*(1+IF(AND(L$6&gt;0,$B160&lt;L$6),L$4,L$5)/12),2))</f>
        <v/>
      </c>
      <c r="AR160">
        <f>IF(M159&lt;=0,0,ROUND(M159*(1+IF(AND(M$6&gt;0,$B160&lt;M$6),M$4,M$5)/12),2))</f>
        <v/>
      </c>
      <c r="AS160">
        <f>IF(N159&lt;=0,0,ROUND(N159*(1+IF(AND(N$6&gt;0,$B160&lt;N$6),N$4,N$5)/12),2))</f>
        <v/>
      </c>
    </row>
    <row r="161">
      <c r="A161" t="n">
        <v>150</v>
      </c>
      <c r="B161">
        <f>EDATE(Plan!$C$6,149)</f>
        <v/>
      </c>
      <c r="C161">
        <f>IF(C160&lt;=0,0,MAX(0,AH161-O161))</f>
        <v/>
      </c>
      <c r="D161">
        <f>IF(D160&lt;=0,0,MAX(0,AI161-P161))</f>
        <v/>
      </c>
      <c r="E161">
        <f>IF(E160&lt;=0,0,MAX(0,AJ161-Q161))</f>
        <v/>
      </c>
      <c r="F161">
        <f>IF(F160&lt;=0,0,MAX(0,AK161-R161))</f>
        <v/>
      </c>
      <c r="G161">
        <f>IF(G160&lt;=0,0,MAX(0,AL161-S161))</f>
        <v/>
      </c>
      <c r="H161">
        <f>IF(H160&lt;=0,0,MAX(0,AM161-T161))</f>
        <v/>
      </c>
      <c r="I161">
        <f>IF(I160&lt;=0,0,MAX(0,AN161-U161))</f>
        <v/>
      </c>
      <c r="J161">
        <f>IF(J160&lt;=0,0,MAX(0,AO161-V161))</f>
        <v/>
      </c>
      <c r="K161">
        <f>IF(K160&lt;=0,0,MAX(0,AP161-W161))</f>
        <v/>
      </c>
      <c r="L161">
        <f>IF(L160&lt;=0,0,MAX(0,AQ161-X161))</f>
        <v/>
      </c>
      <c r="M161">
        <f>IF(M160&lt;=0,0,MAX(0,AR161-Y161))</f>
        <v/>
      </c>
      <c r="N161">
        <f>IF(N160&lt;=0,0,MAX(0,AS161-Z161))</f>
        <v/>
      </c>
      <c r="O161">
        <f>IF(C160&lt;=0,0,MIN(AH161,C$7+IF(C$2=$AA161,$AC161,IF(C$2=$AF161,$AG161,0))))</f>
        <v/>
      </c>
      <c r="P161">
        <f>IF(D160&lt;=0,0,MIN(AI161,D$7+IF(D$2=$AA161,$AC161,IF(D$2=$AF161,$AG161,0))))</f>
        <v/>
      </c>
      <c r="Q161">
        <f>IF(E160&lt;=0,0,MIN(AJ161,E$7+IF(E$2=$AA161,$AC161,IF(E$2=$AF161,$AG161,0))))</f>
        <v/>
      </c>
      <c r="R161">
        <f>IF(F160&lt;=0,0,MIN(AK161,F$7+IF(F$2=$AA161,$AC161,IF(F$2=$AF161,$AG161,0))))</f>
        <v/>
      </c>
      <c r="S161">
        <f>IF(G160&lt;=0,0,MIN(AL161,G$7+IF(G$2=$AA161,$AC161,IF(G$2=$AF161,$AG161,0))))</f>
        <v/>
      </c>
      <c r="T161">
        <f>IF(H160&lt;=0,0,MIN(AM161,H$7+IF(H$2=$AA161,$AC161,IF(H$2=$AF161,$AG161,0))))</f>
        <v/>
      </c>
      <c r="U161">
        <f>IF(I160&lt;=0,0,MIN(AN161,I$7+IF(I$2=$AA161,$AC161,IF(I$2=$AF161,$AG161,0))))</f>
        <v/>
      </c>
      <c r="V161">
        <f>IF(J160&lt;=0,0,MIN(AO161,J$7+IF(J$2=$AA161,$AC161,IF(J$2=$AF161,$AG161,0))))</f>
        <v/>
      </c>
      <c r="W161">
        <f>IF(K160&lt;=0,0,MIN(AP161,K$7+IF(K$2=$AA161,$AC161,IF(K$2=$AF161,$AG161,0))))</f>
        <v/>
      </c>
      <c r="X161">
        <f>IF(L160&lt;=0,0,MIN(AQ161,L$7+IF(L$2=$AA161,$AC161,IF(L$2=$AF161,$AG161,0))))</f>
        <v/>
      </c>
      <c r="Y161">
        <f>IF(M160&lt;=0,0,MIN(AR161,M$7+IF(M$2=$AA161,$AC161,IF(M$2=$AF161,$AG161,0))))</f>
        <v/>
      </c>
      <c r="Z161">
        <f>IF(N160&lt;=0,0,MIN(AS161,N$7+IF(N$2=$AA161,$AC161,IF(N$2=$AF161,$AG161,0))))</f>
        <v/>
      </c>
      <c r="AA161">
        <f>IFERROR(ROUND(1/SUMPRODUCT(MAX((C160:N160&gt;0)*($C$3:$N$3&lt;=B161)/$C$2:$N$2)),0),0)</f>
        <v/>
      </c>
      <c r="AB161">
        <f>SUMPRODUCT((C160:N160&gt;0)*$C$7:$N$7)</f>
        <v/>
      </c>
      <c r="AC161">
        <f>MAX(0,Plan!$C$5-AB161)+IF(A161=Plan!$C$8,N(Plan!$C$7),0)</f>
        <v/>
      </c>
      <c r="AD161">
        <f>SUM(C161:N161)</f>
        <v/>
      </c>
      <c r="AE161">
        <f>SUM(O161:Z161)</f>
        <v/>
      </c>
      <c r="AF161">
        <f>IFERROR(ROUND(1/SUMPRODUCT(MAX((C160:N160&gt;0)*($C$3:$N$3&lt;=B161)*($C$2:$N$2&gt;AA161)/$C$2:$N$2)),0),0)</f>
        <v/>
      </c>
      <c r="AG161">
        <f>MAX(0,AC161-MAX(0,SUMPRODUCT(($C$2:$N$2=AA161)*(AH161:AS161-$C$7:$N$7))))</f>
        <v/>
      </c>
      <c r="AH161">
        <f>IF(C160&lt;=0,0,ROUND(C160*(1+IF(AND(C$6&gt;0,$B161&lt;C$6),C$4,C$5)/12),2))</f>
        <v/>
      </c>
      <c r="AI161">
        <f>IF(D160&lt;=0,0,ROUND(D160*(1+IF(AND(D$6&gt;0,$B161&lt;D$6),D$4,D$5)/12),2))</f>
        <v/>
      </c>
      <c r="AJ161">
        <f>IF(E160&lt;=0,0,ROUND(E160*(1+IF(AND(E$6&gt;0,$B161&lt;E$6),E$4,E$5)/12),2))</f>
        <v/>
      </c>
      <c r="AK161">
        <f>IF(F160&lt;=0,0,ROUND(F160*(1+IF(AND(F$6&gt;0,$B161&lt;F$6),F$4,F$5)/12),2))</f>
        <v/>
      </c>
      <c r="AL161">
        <f>IF(G160&lt;=0,0,ROUND(G160*(1+IF(AND(G$6&gt;0,$B161&lt;G$6),G$4,G$5)/12),2))</f>
        <v/>
      </c>
      <c r="AM161">
        <f>IF(H160&lt;=0,0,ROUND(H160*(1+IF(AND(H$6&gt;0,$B161&lt;H$6),H$4,H$5)/12),2))</f>
        <v/>
      </c>
      <c r="AN161">
        <f>IF(I160&lt;=0,0,ROUND(I160*(1+IF(AND(I$6&gt;0,$B161&lt;I$6),I$4,I$5)/12),2))</f>
        <v/>
      </c>
      <c r="AO161">
        <f>IF(J160&lt;=0,0,ROUND(J160*(1+IF(AND(J$6&gt;0,$B161&lt;J$6),J$4,J$5)/12),2))</f>
        <v/>
      </c>
      <c r="AP161">
        <f>IF(K160&lt;=0,0,ROUND(K160*(1+IF(AND(K$6&gt;0,$B161&lt;K$6),K$4,K$5)/12),2))</f>
        <v/>
      </c>
      <c r="AQ161">
        <f>IF(L160&lt;=0,0,ROUND(L160*(1+IF(AND(L$6&gt;0,$B161&lt;L$6),L$4,L$5)/12),2))</f>
        <v/>
      </c>
      <c r="AR161">
        <f>IF(M160&lt;=0,0,ROUND(M160*(1+IF(AND(M$6&gt;0,$B161&lt;M$6),M$4,M$5)/12),2))</f>
        <v/>
      </c>
      <c r="AS161">
        <f>IF(N160&lt;=0,0,ROUND(N160*(1+IF(AND(N$6&gt;0,$B161&lt;N$6),N$4,N$5)/12),2))</f>
        <v/>
      </c>
    </row>
    <row r="162">
      <c r="A162" t="n">
        <v>151</v>
      </c>
      <c r="B162">
        <f>EDATE(Plan!$C$6,150)</f>
        <v/>
      </c>
      <c r="C162">
        <f>IF(C161&lt;=0,0,MAX(0,AH162-O162))</f>
        <v/>
      </c>
      <c r="D162">
        <f>IF(D161&lt;=0,0,MAX(0,AI162-P162))</f>
        <v/>
      </c>
      <c r="E162">
        <f>IF(E161&lt;=0,0,MAX(0,AJ162-Q162))</f>
        <v/>
      </c>
      <c r="F162">
        <f>IF(F161&lt;=0,0,MAX(0,AK162-R162))</f>
        <v/>
      </c>
      <c r="G162">
        <f>IF(G161&lt;=0,0,MAX(0,AL162-S162))</f>
        <v/>
      </c>
      <c r="H162">
        <f>IF(H161&lt;=0,0,MAX(0,AM162-T162))</f>
        <v/>
      </c>
      <c r="I162">
        <f>IF(I161&lt;=0,0,MAX(0,AN162-U162))</f>
        <v/>
      </c>
      <c r="J162">
        <f>IF(J161&lt;=0,0,MAX(0,AO162-V162))</f>
        <v/>
      </c>
      <c r="K162">
        <f>IF(K161&lt;=0,0,MAX(0,AP162-W162))</f>
        <v/>
      </c>
      <c r="L162">
        <f>IF(L161&lt;=0,0,MAX(0,AQ162-X162))</f>
        <v/>
      </c>
      <c r="M162">
        <f>IF(M161&lt;=0,0,MAX(0,AR162-Y162))</f>
        <v/>
      </c>
      <c r="N162">
        <f>IF(N161&lt;=0,0,MAX(0,AS162-Z162))</f>
        <v/>
      </c>
      <c r="O162">
        <f>IF(C161&lt;=0,0,MIN(AH162,C$7+IF(C$2=$AA162,$AC162,IF(C$2=$AF162,$AG162,0))))</f>
        <v/>
      </c>
      <c r="P162">
        <f>IF(D161&lt;=0,0,MIN(AI162,D$7+IF(D$2=$AA162,$AC162,IF(D$2=$AF162,$AG162,0))))</f>
        <v/>
      </c>
      <c r="Q162">
        <f>IF(E161&lt;=0,0,MIN(AJ162,E$7+IF(E$2=$AA162,$AC162,IF(E$2=$AF162,$AG162,0))))</f>
        <v/>
      </c>
      <c r="R162">
        <f>IF(F161&lt;=0,0,MIN(AK162,F$7+IF(F$2=$AA162,$AC162,IF(F$2=$AF162,$AG162,0))))</f>
        <v/>
      </c>
      <c r="S162">
        <f>IF(G161&lt;=0,0,MIN(AL162,G$7+IF(G$2=$AA162,$AC162,IF(G$2=$AF162,$AG162,0))))</f>
        <v/>
      </c>
      <c r="T162">
        <f>IF(H161&lt;=0,0,MIN(AM162,H$7+IF(H$2=$AA162,$AC162,IF(H$2=$AF162,$AG162,0))))</f>
        <v/>
      </c>
      <c r="U162">
        <f>IF(I161&lt;=0,0,MIN(AN162,I$7+IF(I$2=$AA162,$AC162,IF(I$2=$AF162,$AG162,0))))</f>
        <v/>
      </c>
      <c r="V162">
        <f>IF(J161&lt;=0,0,MIN(AO162,J$7+IF(J$2=$AA162,$AC162,IF(J$2=$AF162,$AG162,0))))</f>
        <v/>
      </c>
      <c r="W162">
        <f>IF(K161&lt;=0,0,MIN(AP162,K$7+IF(K$2=$AA162,$AC162,IF(K$2=$AF162,$AG162,0))))</f>
        <v/>
      </c>
      <c r="X162">
        <f>IF(L161&lt;=0,0,MIN(AQ162,L$7+IF(L$2=$AA162,$AC162,IF(L$2=$AF162,$AG162,0))))</f>
        <v/>
      </c>
      <c r="Y162">
        <f>IF(M161&lt;=0,0,MIN(AR162,M$7+IF(M$2=$AA162,$AC162,IF(M$2=$AF162,$AG162,0))))</f>
        <v/>
      </c>
      <c r="Z162">
        <f>IF(N161&lt;=0,0,MIN(AS162,N$7+IF(N$2=$AA162,$AC162,IF(N$2=$AF162,$AG162,0))))</f>
        <v/>
      </c>
      <c r="AA162">
        <f>IFERROR(ROUND(1/SUMPRODUCT(MAX((C161:N161&gt;0)*($C$3:$N$3&lt;=B162)/$C$2:$N$2)),0),0)</f>
        <v/>
      </c>
      <c r="AB162">
        <f>SUMPRODUCT((C161:N161&gt;0)*$C$7:$N$7)</f>
        <v/>
      </c>
      <c r="AC162">
        <f>MAX(0,Plan!$C$5-AB162)+IF(A162=Plan!$C$8,N(Plan!$C$7),0)</f>
        <v/>
      </c>
      <c r="AD162">
        <f>SUM(C162:N162)</f>
        <v/>
      </c>
      <c r="AE162">
        <f>SUM(O162:Z162)</f>
        <v/>
      </c>
      <c r="AF162">
        <f>IFERROR(ROUND(1/SUMPRODUCT(MAX((C161:N161&gt;0)*($C$3:$N$3&lt;=B162)*($C$2:$N$2&gt;AA162)/$C$2:$N$2)),0),0)</f>
        <v/>
      </c>
      <c r="AG162">
        <f>MAX(0,AC162-MAX(0,SUMPRODUCT(($C$2:$N$2=AA162)*(AH162:AS162-$C$7:$N$7))))</f>
        <v/>
      </c>
      <c r="AH162">
        <f>IF(C161&lt;=0,0,ROUND(C161*(1+IF(AND(C$6&gt;0,$B162&lt;C$6),C$4,C$5)/12),2))</f>
        <v/>
      </c>
      <c r="AI162">
        <f>IF(D161&lt;=0,0,ROUND(D161*(1+IF(AND(D$6&gt;0,$B162&lt;D$6),D$4,D$5)/12),2))</f>
        <v/>
      </c>
      <c r="AJ162">
        <f>IF(E161&lt;=0,0,ROUND(E161*(1+IF(AND(E$6&gt;0,$B162&lt;E$6),E$4,E$5)/12),2))</f>
        <v/>
      </c>
      <c r="AK162">
        <f>IF(F161&lt;=0,0,ROUND(F161*(1+IF(AND(F$6&gt;0,$B162&lt;F$6),F$4,F$5)/12),2))</f>
        <v/>
      </c>
      <c r="AL162">
        <f>IF(G161&lt;=0,0,ROUND(G161*(1+IF(AND(G$6&gt;0,$B162&lt;G$6),G$4,G$5)/12),2))</f>
        <v/>
      </c>
      <c r="AM162">
        <f>IF(H161&lt;=0,0,ROUND(H161*(1+IF(AND(H$6&gt;0,$B162&lt;H$6),H$4,H$5)/12),2))</f>
        <v/>
      </c>
      <c r="AN162">
        <f>IF(I161&lt;=0,0,ROUND(I161*(1+IF(AND(I$6&gt;0,$B162&lt;I$6),I$4,I$5)/12),2))</f>
        <v/>
      </c>
      <c r="AO162">
        <f>IF(J161&lt;=0,0,ROUND(J161*(1+IF(AND(J$6&gt;0,$B162&lt;J$6),J$4,J$5)/12),2))</f>
        <v/>
      </c>
      <c r="AP162">
        <f>IF(K161&lt;=0,0,ROUND(K161*(1+IF(AND(K$6&gt;0,$B162&lt;K$6),K$4,K$5)/12),2))</f>
        <v/>
      </c>
      <c r="AQ162">
        <f>IF(L161&lt;=0,0,ROUND(L161*(1+IF(AND(L$6&gt;0,$B162&lt;L$6),L$4,L$5)/12),2))</f>
        <v/>
      </c>
      <c r="AR162">
        <f>IF(M161&lt;=0,0,ROUND(M161*(1+IF(AND(M$6&gt;0,$B162&lt;M$6),M$4,M$5)/12),2))</f>
        <v/>
      </c>
      <c r="AS162">
        <f>IF(N161&lt;=0,0,ROUND(N161*(1+IF(AND(N$6&gt;0,$B162&lt;N$6),N$4,N$5)/12),2))</f>
        <v/>
      </c>
    </row>
    <row r="163">
      <c r="A163" t="n">
        <v>152</v>
      </c>
      <c r="B163">
        <f>EDATE(Plan!$C$6,151)</f>
        <v/>
      </c>
      <c r="C163">
        <f>IF(C162&lt;=0,0,MAX(0,AH163-O163))</f>
        <v/>
      </c>
      <c r="D163">
        <f>IF(D162&lt;=0,0,MAX(0,AI163-P163))</f>
        <v/>
      </c>
      <c r="E163">
        <f>IF(E162&lt;=0,0,MAX(0,AJ163-Q163))</f>
        <v/>
      </c>
      <c r="F163">
        <f>IF(F162&lt;=0,0,MAX(0,AK163-R163))</f>
        <v/>
      </c>
      <c r="G163">
        <f>IF(G162&lt;=0,0,MAX(0,AL163-S163))</f>
        <v/>
      </c>
      <c r="H163">
        <f>IF(H162&lt;=0,0,MAX(0,AM163-T163))</f>
        <v/>
      </c>
      <c r="I163">
        <f>IF(I162&lt;=0,0,MAX(0,AN163-U163))</f>
        <v/>
      </c>
      <c r="J163">
        <f>IF(J162&lt;=0,0,MAX(0,AO163-V163))</f>
        <v/>
      </c>
      <c r="K163">
        <f>IF(K162&lt;=0,0,MAX(0,AP163-W163))</f>
        <v/>
      </c>
      <c r="L163">
        <f>IF(L162&lt;=0,0,MAX(0,AQ163-X163))</f>
        <v/>
      </c>
      <c r="M163">
        <f>IF(M162&lt;=0,0,MAX(0,AR163-Y163))</f>
        <v/>
      </c>
      <c r="N163">
        <f>IF(N162&lt;=0,0,MAX(0,AS163-Z163))</f>
        <v/>
      </c>
      <c r="O163">
        <f>IF(C162&lt;=0,0,MIN(AH163,C$7+IF(C$2=$AA163,$AC163,IF(C$2=$AF163,$AG163,0))))</f>
        <v/>
      </c>
      <c r="P163">
        <f>IF(D162&lt;=0,0,MIN(AI163,D$7+IF(D$2=$AA163,$AC163,IF(D$2=$AF163,$AG163,0))))</f>
        <v/>
      </c>
      <c r="Q163">
        <f>IF(E162&lt;=0,0,MIN(AJ163,E$7+IF(E$2=$AA163,$AC163,IF(E$2=$AF163,$AG163,0))))</f>
        <v/>
      </c>
      <c r="R163">
        <f>IF(F162&lt;=0,0,MIN(AK163,F$7+IF(F$2=$AA163,$AC163,IF(F$2=$AF163,$AG163,0))))</f>
        <v/>
      </c>
      <c r="S163">
        <f>IF(G162&lt;=0,0,MIN(AL163,G$7+IF(G$2=$AA163,$AC163,IF(G$2=$AF163,$AG163,0))))</f>
        <v/>
      </c>
      <c r="T163">
        <f>IF(H162&lt;=0,0,MIN(AM163,H$7+IF(H$2=$AA163,$AC163,IF(H$2=$AF163,$AG163,0))))</f>
        <v/>
      </c>
      <c r="U163">
        <f>IF(I162&lt;=0,0,MIN(AN163,I$7+IF(I$2=$AA163,$AC163,IF(I$2=$AF163,$AG163,0))))</f>
        <v/>
      </c>
      <c r="V163">
        <f>IF(J162&lt;=0,0,MIN(AO163,J$7+IF(J$2=$AA163,$AC163,IF(J$2=$AF163,$AG163,0))))</f>
        <v/>
      </c>
      <c r="W163">
        <f>IF(K162&lt;=0,0,MIN(AP163,K$7+IF(K$2=$AA163,$AC163,IF(K$2=$AF163,$AG163,0))))</f>
        <v/>
      </c>
      <c r="X163">
        <f>IF(L162&lt;=0,0,MIN(AQ163,L$7+IF(L$2=$AA163,$AC163,IF(L$2=$AF163,$AG163,0))))</f>
        <v/>
      </c>
      <c r="Y163">
        <f>IF(M162&lt;=0,0,MIN(AR163,M$7+IF(M$2=$AA163,$AC163,IF(M$2=$AF163,$AG163,0))))</f>
        <v/>
      </c>
      <c r="Z163">
        <f>IF(N162&lt;=0,0,MIN(AS163,N$7+IF(N$2=$AA163,$AC163,IF(N$2=$AF163,$AG163,0))))</f>
        <v/>
      </c>
      <c r="AA163">
        <f>IFERROR(ROUND(1/SUMPRODUCT(MAX((C162:N162&gt;0)*($C$3:$N$3&lt;=B163)/$C$2:$N$2)),0),0)</f>
        <v/>
      </c>
      <c r="AB163">
        <f>SUMPRODUCT((C162:N162&gt;0)*$C$7:$N$7)</f>
        <v/>
      </c>
      <c r="AC163">
        <f>MAX(0,Plan!$C$5-AB163)+IF(A163=Plan!$C$8,N(Plan!$C$7),0)</f>
        <v/>
      </c>
      <c r="AD163">
        <f>SUM(C163:N163)</f>
        <v/>
      </c>
      <c r="AE163">
        <f>SUM(O163:Z163)</f>
        <v/>
      </c>
      <c r="AF163">
        <f>IFERROR(ROUND(1/SUMPRODUCT(MAX((C162:N162&gt;0)*($C$3:$N$3&lt;=B163)*($C$2:$N$2&gt;AA163)/$C$2:$N$2)),0),0)</f>
        <v/>
      </c>
      <c r="AG163">
        <f>MAX(0,AC163-MAX(0,SUMPRODUCT(($C$2:$N$2=AA163)*(AH163:AS163-$C$7:$N$7))))</f>
        <v/>
      </c>
      <c r="AH163">
        <f>IF(C162&lt;=0,0,ROUND(C162*(1+IF(AND(C$6&gt;0,$B163&lt;C$6),C$4,C$5)/12),2))</f>
        <v/>
      </c>
      <c r="AI163">
        <f>IF(D162&lt;=0,0,ROUND(D162*(1+IF(AND(D$6&gt;0,$B163&lt;D$6),D$4,D$5)/12),2))</f>
        <v/>
      </c>
      <c r="AJ163">
        <f>IF(E162&lt;=0,0,ROUND(E162*(1+IF(AND(E$6&gt;0,$B163&lt;E$6),E$4,E$5)/12),2))</f>
        <v/>
      </c>
      <c r="AK163">
        <f>IF(F162&lt;=0,0,ROUND(F162*(1+IF(AND(F$6&gt;0,$B163&lt;F$6),F$4,F$5)/12),2))</f>
        <v/>
      </c>
      <c r="AL163">
        <f>IF(G162&lt;=0,0,ROUND(G162*(1+IF(AND(G$6&gt;0,$B163&lt;G$6),G$4,G$5)/12),2))</f>
        <v/>
      </c>
      <c r="AM163">
        <f>IF(H162&lt;=0,0,ROUND(H162*(1+IF(AND(H$6&gt;0,$B163&lt;H$6),H$4,H$5)/12),2))</f>
        <v/>
      </c>
      <c r="AN163">
        <f>IF(I162&lt;=0,0,ROUND(I162*(1+IF(AND(I$6&gt;0,$B163&lt;I$6),I$4,I$5)/12),2))</f>
        <v/>
      </c>
      <c r="AO163">
        <f>IF(J162&lt;=0,0,ROUND(J162*(1+IF(AND(J$6&gt;0,$B163&lt;J$6),J$4,J$5)/12),2))</f>
        <v/>
      </c>
      <c r="AP163">
        <f>IF(K162&lt;=0,0,ROUND(K162*(1+IF(AND(K$6&gt;0,$B163&lt;K$6),K$4,K$5)/12),2))</f>
        <v/>
      </c>
      <c r="AQ163">
        <f>IF(L162&lt;=0,0,ROUND(L162*(1+IF(AND(L$6&gt;0,$B163&lt;L$6),L$4,L$5)/12),2))</f>
        <v/>
      </c>
      <c r="AR163">
        <f>IF(M162&lt;=0,0,ROUND(M162*(1+IF(AND(M$6&gt;0,$B163&lt;M$6),M$4,M$5)/12),2))</f>
        <v/>
      </c>
      <c r="AS163">
        <f>IF(N162&lt;=0,0,ROUND(N162*(1+IF(AND(N$6&gt;0,$B163&lt;N$6),N$4,N$5)/12),2))</f>
        <v/>
      </c>
    </row>
    <row r="164">
      <c r="A164" t="n">
        <v>153</v>
      </c>
      <c r="B164">
        <f>EDATE(Plan!$C$6,152)</f>
        <v/>
      </c>
      <c r="C164">
        <f>IF(C163&lt;=0,0,MAX(0,AH164-O164))</f>
        <v/>
      </c>
      <c r="D164">
        <f>IF(D163&lt;=0,0,MAX(0,AI164-P164))</f>
        <v/>
      </c>
      <c r="E164">
        <f>IF(E163&lt;=0,0,MAX(0,AJ164-Q164))</f>
        <v/>
      </c>
      <c r="F164">
        <f>IF(F163&lt;=0,0,MAX(0,AK164-R164))</f>
        <v/>
      </c>
      <c r="G164">
        <f>IF(G163&lt;=0,0,MAX(0,AL164-S164))</f>
        <v/>
      </c>
      <c r="H164">
        <f>IF(H163&lt;=0,0,MAX(0,AM164-T164))</f>
        <v/>
      </c>
      <c r="I164">
        <f>IF(I163&lt;=0,0,MAX(0,AN164-U164))</f>
        <v/>
      </c>
      <c r="J164">
        <f>IF(J163&lt;=0,0,MAX(0,AO164-V164))</f>
        <v/>
      </c>
      <c r="K164">
        <f>IF(K163&lt;=0,0,MAX(0,AP164-W164))</f>
        <v/>
      </c>
      <c r="L164">
        <f>IF(L163&lt;=0,0,MAX(0,AQ164-X164))</f>
        <v/>
      </c>
      <c r="M164">
        <f>IF(M163&lt;=0,0,MAX(0,AR164-Y164))</f>
        <v/>
      </c>
      <c r="N164">
        <f>IF(N163&lt;=0,0,MAX(0,AS164-Z164))</f>
        <v/>
      </c>
      <c r="O164">
        <f>IF(C163&lt;=0,0,MIN(AH164,C$7+IF(C$2=$AA164,$AC164,IF(C$2=$AF164,$AG164,0))))</f>
        <v/>
      </c>
      <c r="P164">
        <f>IF(D163&lt;=0,0,MIN(AI164,D$7+IF(D$2=$AA164,$AC164,IF(D$2=$AF164,$AG164,0))))</f>
        <v/>
      </c>
      <c r="Q164">
        <f>IF(E163&lt;=0,0,MIN(AJ164,E$7+IF(E$2=$AA164,$AC164,IF(E$2=$AF164,$AG164,0))))</f>
        <v/>
      </c>
      <c r="R164">
        <f>IF(F163&lt;=0,0,MIN(AK164,F$7+IF(F$2=$AA164,$AC164,IF(F$2=$AF164,$AG164,0))))</f>
        <v/>
      </c>
      <c r="S164">
        <f>IF(G163&lt;=0,0,MIN(AL164,G$7+IF(G$2=$AA164,$AC164,IF(G$2=$AF164,$AG164,0))))</f>
        <v/>
      </c>
      <c r="T164">
        <f>IF(H163&lt;=0,0,MIN(AM164,H$7+IF(H$2=$AA164,$AC164,IF(H$2=$AF164,$AG164,0))))</f>
        <v/>
      </c>
      <c r="U164">
        <f>IF(I163&lt;=0,0,MIN(AN164,I$7+IF(I$2=$AA164,$AC164,IF(I$2=$AF164,$AG164,0))))</f>
        <v/>
      </c>
      <c r="V164">
        <f>IF(J163&lt;=0,0,MIN(AO164,J$7+IF(J$2=$AA164,$AC164,IF(J$2=$AF164,$AG164,0))))</f>
        <v/>
      </c>
      <c r="W164">
        <f>IF(K163&lt;=0,0,MIN(AP164,K$7+IF(K$2=$AA164,$AC164,IF(K$2=$AF164,$AG164,0))))</f>
        <v/>
      </c>
      <c r="X164">
        <f>IF(L163&lt;=0,0,MIN(AQ164,L$7+IF(L$2=$AA164,$AC164,IF(L$2=$AF164,$AG164,0))))</f>
        <v/>
      </c>
      <c r="Y164">
        <f>IF(M163&lt;=0,0,MIN(AR164,M$7+IF(M$2=$AA164,$AC164,IF(M$2=$AF164,$AG164,0))))</f>
        <v/>
      </c>
      <c r="Z164">
        <f>IF(N163&lt;=0,0,MIN(AS164,N$7+IF(N$2=$AA164,$AC164,IF(N$2=$AF164,$AG164,0))))</f>
        <v/>
      </c>
      <c r="AA164">
        <f>IFERROR(ROUND(1/SUMPRODUCT(MAX((C163:N163&gt;0)*($C$3:$N$3&lt;=B164)/$C$2:$N$2)),0),0)</f>
        <v/>
      </c>
      <c r="AB164">
        <f>SUMPRODUCT((C163:N163&gt;0)*$C$7:$N$7)</f>
        <v/>
      </c>
      <c r="AC164">
        <f>MAX(0,Plan!$C$5-AB164)+IF(A164=Plan!$C$8,N(Plan!$C$7),0)</f>
        <v/>
      </c>
      <c r="AD164">
        <f>SUM(C164:N164)</f>
        <v/>
      </c>
      <c r="AE164">
        <f>SUM(O164:Z164)</f>
        <v/>
      </c>
      <c r="AF164">
        <f>IFERROR(ROUND(1/SUMPRODUCT(MAX((C163:N163&gt;0)*($C$3:$N$3&lt;=B164)*($C$2:$N$2&gt;AA164)/$C$2:$N$2)),0),0)</f>
        <v/>
      </c>
      <c r="AG164">
        <f>MAX(0,AC164-MAX(0,SUMPRODUCT(($C$2:$N$2=AA164)*(AH164:AS164-$C$7:$N$7))))</f>
        <v/>
      </c>
      <c r="AH164">
        <f>IF(C163&lt;=0,0,ROUND(C163*(1+IF(AND(C$6&gt;0,$B164&lt;C$6),C$4,C$5)/12),2))</f>
        <v/>
      </c>
      <c r="AI164">
        <f>IF(D163&lt;=0,0,ROUND(D163*(1+IF(AND(D$6&gt;0,$B164&lt;D$6),D$4,D$5)/12),2))</f>
        <v/>
      </c>
      <c r="AJ164">
        <f>IF(E163&lt;=0,0,ROUND(E163*(1+IF(AND(E$6&gt;0,$B164&lt;E$6),E$4,E$5)/12),2))</f>
        <v/>
      </c>
      <c r="AK164">
        <f>IF(F163&lt;=0,0,ROUND(F163*(1+IF(AND(F$6&gt;0,$B164&lt;F$6),F$4,F$5)/12),2))</f>
        <v/>
      </c>
      <c r="AL164">
        <f>IF(G163&lt;=0,0,ROUND(G163*(1+IF(AND(G$6&gt;0,$B164&lt;G$6),G$4,G$5)/12),2))</f>
        <v/>
      </c>
      <c r="AM164">
        <f>IF(H163&lt;=0,0,ROUND(H163*(1+IF(AND(H$6&gt;0,$B164&lt;H$6),H$4,H$5)/12),2))</f>
        <v/>
      </c>
      <c r="AN164">
        <f>IF(I163&lt;=0,0,ROUND(I163*(1+IF(AND(I$6&gt;0,$B164&lt;I$6),I$4,I$5)/12),2))</f>
        <v/>
      </c>
      <c r="AO164">
        <f>IF(J163&lt;=0,0,ROUND(J163*(1+IF(AND(J$6&gt;0,$B164&lt;J$6),J$4,J$5)/12),2))</f>
        <v/>
      </c>
      <c r="AP164">
        <f>IF(K163&lt;=0,0,ROUND(K163*(1+IF(AND(K$6&gt;0,$B164&lt;K$6),K$4,K$5)/12),2))</f>
        <v/>
      </c>
      <c r="AQ164">
        <f>IF(L163&lt;=0,0,ROUND(L163*(1+IF(AND(L$6&gt;0,$B164&lt;L$6),L$4,L$5)/12),2))</f>
        <v/>
      </c>
      <c r="AR164">
        <f>IF(M163&lt;=0,0,ROUND(M163*(1+IF(AND(M$6&gt;0,$B164&lt;M$6),M$4,M$5)/12),2))</f>
        <v/>
      </c>
      <c r="AS164">
        <f>IF(N163&lt;=0,0,ROUND(N163*(1+IF(AND(N$6&gt;0,$B164&lt;N$6),N$4,N$5)/12),2))</f>
        <v/>
      </c>
    </row>
    <row r="165">
      <c r="A165" t="n">
        <v>154</v>
      </c>
      <c r="B165">
        <f>EDATE(Plan!$C$6,153)</f>
        <v/>
      </c>
      <c r="C165">
        <f>IF(C164&lt;=0,0,MAX(0,AH165-O165))</f>
        <v/>
      </c>
      <c r="D165">
        <f>IF(D164&lt;=0,0,MAX(0,AI165-P165))</f>
        <v/>
      </c>
      <c r="E165">
        <f>IF(E164&lt;=0,0,MAX(0,AJ165-Q165))</f>
        <v/>
      </c>
      <c r="F165">
        <f>IF(F164&lt;=0,0,MAX(0,AK165-R165))</f>
        <v/>
      </c>
      <c r="G165">
        <f>IF(G164&lt;=0,0,MAX(0,AL165-S165))</f>
        <v/>
      </c>
      <c r="H165">
        <f>IF(H164&lt;=0,0,MAX(0,AM165-T165))</f>
        <v/>
      </c>
      <c r="I165">
        <f>IF(I164&lt;=0,0,MAX(0,AN165-U165))</f>
        <v/>
      </c>
      <c r="J165">
        <f>IF(J164&lt;=0,0,MAX(0,AO165-V165))</f>
        <v/>
      </c>
      <c r="K165">
        <f>IF(K164&lt;=0,0,MAX(0,AP165-W165))</f>
        <v/>
      </c>
      <c r="L165">
        <f>IF(L164&lt;=0,0,MAX(0,AQ165-X165))</f>
        <v/>
      </c>
      <c r="M165">
        <f>IF(M164&lt;=0,0,MAX(0,AR165-Y165))</f>
        <v/>
      </c>
      <c r="N165">
        <f>IF(N164&lt;=0,0,MAX(0,AS165-Z165))</f>
        <v/>
      </c>
      <c r="O165">
        <f>IF(C164&lt;=0,0,MIN(AH165,C$7+IF(C$2=$AA165,$AC165,IF(C$2=$AF165,$AG165,0))))</f>
        <v/>
      </c>
      <c r="P165">
        <f>IF(D164&lt;=0,0,MIN(AI165,D$7+IF(D$2=$AA165,$AC165,IF(D$2=$AF165,$AG165,0))))</f>
        <v/>
      </c>
      <c r="Q165">
        <f>IF(E164&lt;=0,0,MIN(AJ165,E$7+IF(E$2=$AA165,$AC165,IF(E$2=$AF165,$AG165,0))))</f>
        <v/>
      </c>
      <c r="R165">
        <f>IF(F164&lt;=0,0,MIN(AK165,F$7+IF(F$2=$AA165,$AC165,IF(F$2=$AF165,$AG165,0))))</f>
        <v/>
      </c>
      <c r="S165">
        <f>IF(G164&lt;=0,0,MIN(AL165,G$7+IF(G$2=$AA165,$AC165,IF(G$2=$AF165,$AG165,0))))</f>
        <v/>
      </c>
      <c r="T165">
        <f>IF(H164&lt;=0,0,MIN(AM165,H$7+IF(H$2=$AA165,$AC165,IF(H$2=$AF165,$AG165,0))))</f>
        <v/>
      </c>
      <c r="U165">
        <f>IF(I164&lt;=0,0,MIN(AN165,I$7+IF(I$2=$AA165,$AC165,IF(I$2=$AF165,$AG165,0))))</f>
        <v/>
      </c>
      <c r="V165">
        <f>IF(J164&lt;=0,0,MIN(AO165,J$7+IF(J$2=$AA165,$AC165,IF(J$2=$AF165,$AG165,0))))</f>
        <v/>
      </c>
      <c r="W165">
        <f>IF(K164&lt;=0,0,MIN(AP165,K$7+IF(K$2=$AA165,$AC165,IF(K$2=$AF165,$AG165,0))))</f>
        <v/>
      </c>
      <c r="X165">
        <f>IF(L164&lt;=0,0,MIN(AQ165,L$7+IF(L$2=$AA165,$AC165,IF(L$2=$AF165,$AG165,0))))</f>
        <v/>
      </c>
      <c r="Y165">
        <f>IF(M164&lt;=0,0,MIN(AR165,M$7+IF(M$2=$AA165,$AC165,IF(M$2=$AF165,$AG165,0))))</f>
        <v/>
      </c>
      <c r="Z165">
        <f>IF(N164&lt;=0,0,MIN(AS165,N$7+IF(N$2=$AA165,$AC165,IF(N$2=$AF165,$AG165,0))))</f>
        <v/>
      </c>
      <c r="AA165">
        <f>IFERROR(ROUND(1/SUMPRODUCT(MAX((C164:N164&gt;0)*($C$3:$N$3&lt;=B165)/$C$2:$N$2)),0),0)</f>
        <v/>
      </c>
      <c r="AB165">
        <f>SUMPRODUCT((C164:N164&gt;0)*$C$7:$N$7)</f>
        <v/>
      </c>
      <c r="AC165">
        <f>MAX(0,Plan!$C$5-AB165)+IF(A165=Plan!$C$8,N(Plan!$C$7),0)</f>
        <v/>
      </c>
      <c r="AD165">
        <f>SUM(C165:N165)</f>
        <v/>
      </c>
      <c r="AE165">
        <f>SUM(O165:Z165)</f>
        <v/>
      </c>
      <c r="AF165">
        <f>IFERROR(ROUND(1/SUMPRODUCT(MAX((C164:N164&gt;0)*($C$3:$N$3&lt;=B165)*($C$2:$N$2&gt;AA165)/$C$2:$N$2)),0),0)</f>
        <v/>
      </c>
      <c r="AG165">
        <f>MAX(0,AC165-MAX(0,SUMPRODUCT(($C$2:$N$2=AA165)*(AH165:AS165-$C$7:$N$7))))</f>
        <v/>
      </c>
      <c r="AH165">
        <f>IF(C164&lt;=0,0,ROUND(C164*(1+IF(AND(C$6&gt;0,$B165&lt;C$6),C$4,C$5)/12),2))</f>
        <v/>
      </c>
      <c r="AI165">
        <f>IF(D164&lt;=0,0,ROUND(D164*(1+IF(AND(D$6&gt;0,$B165&lt;D$6),D$4,D$5)/12),2))</f>
        <v/>
      </c>
      <c r="AJ165">
        <f>IF(E164&lt;=0,0,ROUND(E164*(1+IF(AND(E$6&gt;0,$B165&lt;E$6),E$4,E$5)/12),2))</f>
        <v/>
      </c>
      <c r="AK165">
        <f>IF(F164&lt;=0,0,ROUND(F164*(1+IF(AND(F$6&gt;0,$B165&lt;F$6),F$4,F$5)/12),2))</f>
        <v/>
      </c>
      <c r="AL165">
        <f>IF(G164&lt;=0,0,ROUND(G164*(1+IF(AND(G$6&gt;0,$B165&lt;G$6),G$4,G$5)/12),2))</f>
        <v/>
      </c>
      <c r="AM165">
        <f>IF(H164&lt;=0,0,ROUND(H164*(1+IF(AND(H$6&gt;0,$B165&lt;H$6),H$4,H$5)/12),2))</f>
        <v/>
      </c>
      <c r="AN165">
        <f>IF(I164&lt;=0,0,ROUND(I164*(1+IF(AND(I$6&gt;0,$B165&lt;I$6),I$4,I$5)/12),2))</f>
        <v/>
      </c>
      <c r="AO165">
        <f>IF(J164&lt;=0,0,ROUND(J164*(1+IF(AND(J$6&gt;0,$B165&lt;J$6),J$4,J$5)/12),2))</f>
        <v/>
      </c>
      <c r="AP165">
        <f>IF(K164&lt;=0,0,ROUND(K164*(1+IF(AND(K$6&gt;0,$B165&lt;K$6),K$4,K$5)/12),2))</f>
        <v/>
      </c>
      <c r="AQ165">
        <f>IF(L164&lt;=0,0,ROUND(L164*(1+IF(AND(L$6&gt;0,$B165&lt;L$6),L$4,L$5)/12),2))</f>
        <v/>
      </c>
      <c r="AR165">
        <f>IF(M164&lt;=0,0,ROUND(M164*(1+IF(AND(M$6&gt;0,$B165&lt;M$6),M$4,M$5)/12),2))</f>
        <v/>
      </c>
      <c r="AS165">
        <f>IF(N164&lt;=0,0,ROUND(N164*(1+IF(AND(N$6&gt;0,$B165&lt;N$6),N$4,N$5)/12),2))</f>
        <v/>
      </c>
    </row>
    <row r="166">
      <c r="A166" t="n">
        <v>155</v>
      </c>
      <c r="B166">
        <f>EDATE(Plan!$C$6,154)</f>
        <v/>
      </c>
      <c r="C166">
        <f>IF(C165&lt;=0,0,MAX(0,AH166-O166))</f>
        <v/>
      </c>
      <c r="D166">
        <f>IF(D165&lt;=0,0,MAX(0,AI166-P166))</f>
        <v/>
      </c>
      <c r="E166">
        <f>IF(E165&lt;=0,0,MAX(0,AJ166-Q166))</f>
        <v/>
      </c>
      <c r="F166">
        <f>IF(F165&lt;=0,0,MAX(0,AK166-R166))</f>
        <v/>
      </c>
      <c r="G166">
        <f>IF(G165&lt;=0,0,MAX(0,AL166-S166))</f>
        <v/>
      </c>
      <c r="H166">
        <f>IF(H165&lt;=0,0,MAX(0,AM166-T166))</f>
        <v/>
      </c>
      <c r="I166">
        <f>IF(I165&lt;=0,0,MAX(0,AN166-U166))</f>
        <v/>
      </c>
      <c r="J166">
        <f>IF(J165&lt;=0,0,MAX(0,AO166-V166))</f>
        <v/>
      </c>
      <c r="K166">
        <f>IF(K165&lt;=0,0,MAX(0,AP166-W166))</f>
        <v/>
      </c>
      <c r="L166">
        <f>IF(L165&lt;=0,0,MAX(0,AQ166-X166))</f>
        <v/>
      </c>
      <c r="M166">
        <f>IF(M165&lt;=0,0,MAX(0,AR166-Y166))</f>
        <v/>
      </c>
      <c r="N166">
        <f>IF(N165&lt;=0,0,MAX(0,AS166-Z166))</f>
        <v/>
      </c>
      <c r="O166">
        <f>IF(C165&lt;=0,0,MIN(AH166,C$7+IF(C$2=$AA166,$AC166,IF(C$2=$AF166,$AG166,0))))</f>
        <v/>
      </c>
      <c r="P166">
        <f>IF(D165&lt;=0,0,MIN(AI166,D$7+IF(D$2=$AA166,$AC166,IF(D$2=$AF166,$AG166,0))))</f>
        <v/>
      </c>
      <c r="Q166">
        <f>IF(E165&lt;=0,0,MIN(AJ166,E$7+IF(E$2=$AA166,$AC166,IF(E$2=$AF166,$AG166,0))))</f>
        <v/>
      </c>
      <c r="R166">
        <f>IF(F165&lt;=0,0,MIN(AK166,F$7+IF(F$2=$AA166,$AC166,IF(F$2=$AF166,$AG166,0))))</f>
        <v/>
      </c>
      <c r="S166">
        <f>IF(G165&lt;=0,0,MIN(AL166,G$7+IF(G$2=$AA166,$AC166,IF(G$2=$AF166,$AG166,0))))</f>
        <v/>
      </c>
      <c r="T166">
        <f>IF(H165&lt;=0,0,MIN(AM166,H$7+IF(H$2=$AA166,$AC166,IF(H$2=$AF166,$AG166,0))))</f>
        <v/>
      </c>
      <c r="U166">
        <f>IF(I165&lt;=0,0,MIN(AN166,I$7+IF(I$2=$AA166,$AC166,IF(I$2=$AF166,$AG166,0))))</f>
        <v/>
      </c>
      <c r="V166">
        <f>IF(J165&lt;=0,0,MIN(AO166,J$7+IF(J$2=$AA166,$AC166,IF(J$2=$AF166,$AG166,0))))</f>
        <v/>
      </c>
      <c r="W166">
        <f>IF(K165&lt;=0,0,MIN(AP166,K$7+IF(K$2=$AA166,$AC166,IF(K$2=$AF166,$AG166,0))))</f>
        <v/>
      </c>
      <c r="X166">
        <f>IF(L165&lt;=0,0,MIN(AQ166,L$7+IF(L$2=$AA166,$AC166,IF(L$2=$AF166,$AG166,0))))</f>
        <v/>
      </c>
      <c r="Y166">
        <f>IF(M165&lt;=0,0,MIN(AR166,M$7+IF(M$2=$AA166,$AC166,IF(M$2=$AF166,$AG166,0))))</f>
        <v/>
      </c>
      <c r="Z166">
        <f>IF(N165&lt;=0,0,MIN(AS166,N$7+IF(N$2=$AA166,$AC166,IF(N$2=$AF166,$AG166,0))))</f>
        <v/>
      </c>
      <c r="AA166">
        <f>IFERROR(ROUND(1/SUMPRODUCT(MAX((C165:N165&gt;0)*($C$3:$N$3&lt;=B166)/$C$2:$N$2)),0),0)</f>
        <v/>
      </c>
      <c r="AB166">
        <f>SUMPRODUCT((C165:N165&gt;0)*$C$7:$N$7)</f>
        <v/>
      </c>
      <c r="AC166">
        <f>MAX(0,Plan!$C$5-AB166)+IF(A166=Plan!$C$8,N(Plan!$C$7),0)</f>
        <v/>
      </c>
      <c r="AD166">
        <f>SUM(C166:N166)</f>
        <v/>
      </c>
      <c r="AE166">
        <f>SUM(O166:Z166)</f>
        <v/>
      </c>
      <c r="AF166">
        <f>IFERROR(ROUND(1/SUMPRODUCT(MAX((C165:N165&gt;0)*($C$3:$N$3&lt;=B166)*($C$2:$N$2&gt;AA166)/$C$2:$N$2)),0),0)</f>
        <v/>
      </c>
      <c r="AG166">
        <f>MAX(0,AC166-MAX(0,SUMPRODUCT(($C$2:$N$2=AA166)*(AH166:AS166-$C$7:$N$7))))</f>
        <v/>
      </c>
      <c r="AH166">
        <f>IF(C165&lt;=0,0,ROUND(C165*(1+IF(AND(C$6&gt;0,$B166&lt;C$6),C$4,C$5)/12),2))</f>
        <v/>
      </c>
      <c r="AI166">
        <f>IF(D165&lt;=0,0,ROUND(D165*(1+IF(AND(D$6&gt;0,$B166&lt;D$6),D$4,D$5)/12),2))</f>
        <v/>
      </c>
      <c r="AJ166">
        <f>IF(E165&lt;=0,0,ROUND(E165*(1+IF(AND(E$6&gt;0,$B166&lt;E$6),E$4,E$5)/12),2))</f>
        <v/>
      </c>
      <c r="AK166">
        <f>IF(F165&lt;=0,0,ROUND(F165*(1+IF(AND(F$6&gt;0,$B166&lt;F$6),F$4,F$5)/12),2))</f>
        <v/>
      </c>
      <c r="AL166">
        <f>IF(G165&lt;=0,0,ROUND(G165*(1+IF(AND(G$6&gt;0,$B166&lt;G$6),G$4,G$5)/12),2))</f>
        <v/>
      </c>
      <c r="AM166">
        <f>IF(H165&lt;=0,0,ROUND(H165*(1+IF(AND(H$6&gt;0,$B166&lt;H$6),H$4,H$5)/12),2))</f>
        <v/>
      </c>
      <c r="AN166">
        <f>IF(I165&lt;=0,0,ROUND(I165*(1+IF(AND(I$6&gt;0,$B166&lt;I$6),I$4,I$5)/12),2))</f>
        <v/>
      </c>
      <c r="AO166">
        <f>IF(J165&lt;=0,0,ROUND(J165*(1+IF(AND(J$6&gt;0,$B166&lt;J$6),J$4,J$5)/12),2))</f>
        <v/>
      </c>
      <c r="AP166">
        <f>IF(K165&lt;=0,0,ROUND(K165*(1+IF(AND(K$6&gt;0,$B166&lt;K$6),K$4,K$5)/12),2))</f>
        <v/>
      </c>
      <c r="AQ166">
        <f>IF(L165&lt;=0,0,ROUND(L165*(1+IF(AND(L$6&gt;0,$B166&lt;L$6),L$4,L$5)/12),2))</f>
        <v/>
      </c>
      <c r="AR166">
        <f>IF(M165&lt;=0,0,ROUND(M165*(1+IF(AND(M$6&gt;0,$B166&lt;M$6),M$4,M$5)/12),2))</f>
        <v/>
      </c>
      <c r="AS166">
        <f>IF(N165&lt;=0,0,ROUND(N165*(1+IF(AND(N$6&gt;0,$B166&lt;N$6),N$4,N$5)/12),2))</f>
        <v/>
      </c>
    </row>
    <row r="167">
      <c r="A167" t="n">
        <v>156</v>
      </c>
      <c r="B167">
        <f>EDATE(Plan!$C$6,155)</f>
        <v/>
      </c>
      <c r="C167">
        <f>IF(C166&lt;=0,0,MAX(0,AH167-O167))</f>
        <v/>
      </c>
      <c r="D167">
        <f>IF(D166&lt;=0,0,MAX(0,AI167-P167))</f>
        <v/>
      </c>
      <c r="E167">
        <f>IF(E166&lt;=0,0,MAX(0,AJ167-Q167))</f>
        <v/>
      </c>
      <c r="F167">
        <f>IF(F166&lt;=0,0,MAX(0,AK167-R167))</f>
        <v/>
      </c>
      <c r="G167">
        <f>IF(G166&lt;=0,0,MAX(0,AL167-S167))</f>
        <v/>
      </c>
      <c r="H167">
        <f>IF(H166&lt;=0,0,MAX(0,AM167-T167))</f>
        <v/>
      </c>
      <c r="I167">
        <f>IF(I166&lt;=0,0,MAX(0,AN167-U167))</f>
        <v/>
      </c>
      <c r="J167">
        <f>IF(J166&lt;=0,0,MAX(0,AO167-V167))</f>
        <v/>
      </c>
      <c r="K167">
        <f>IF(K166&lt;=0,0,MAX(0,AP167-W167))</f>
        <v/>
      </c>
      <c r="L167">
        <f>IF(L166&lt;=0,0,MAX(0,AQ167-X167))</f>
        <v/>
      </c>
      <c r="M167">
        <f>IF(M166&lt;=0,0,MAX(0,AR167-Y167))</f>
        <v/>
      </c>
      <c r="N167">
        <f>IF(N166&lt;=0,0,MAX(0,AS167-Z167))</f>
        <v/>
      </c>
      <c r="O167">
        <f>IF(C166&lt;=0,0,MIN(AH167,C$7+IF(C$2=$AA167,$AC167,IF(C$2=$AF167,$AG167,0))))</f>
        <v/>
      </c>
      <c r="P167">
        <f>IF(D166&lt;=0,0,MIN(AI167,D$7+IF(D$2=$AA167,$AC167,IF(D$2=$AF167,$AG167,0))))</f>
        <v/>
      </c>
      <c r="Q167">
        <f>IF(E166&lt;=0,0,MIN(AJ167,E$7+IF(E$2=$AA167,$AC167,IF(E$2=$AF167,$AG167,0))))</f>
        <v/>
      </c>
      <c r="R167">
        <f>IF(F166&lt;=0,0,MIN(AK167,F$7+IF(F$2=$AA167,$AC167,IF(F$2=$AF167,$AG167,0))))</f>
        <v/>
      </c>
      <c r="S167">
        <f>IF(G166&lt;=0,0,MIN(AL167,G$7+IF(G$2=$AA167,$AC167,IF(G$2=$AF167,$AG167,0))))</f>
        <v/>
      </c>
      <c r="T167">
        <f>IF(H166&lt;=0,0,MIN(AM167,H$7+IF(H$2=$AA167,$AC167,IF(H$2=$AF167,$AG167,0))))</f>
        <v/>
      </c>
      <c r="U167">
        <f>IF(I166&lt;=0,0,MIN(AN167,I$7+IF(I$2=$AA167,$AC167,IF(I$2=$AF167,$AG167,0))))</f>
        <v/>
      </c>
      <c r="V167">
        <f>IF(J166&lt;=0,0,MIN(AO167,J$7+IF(J$2=$AA167,$AC167,IF(J$2=$AF167,$AG167,0))))</f>
        <v/>
      </c>
      <c r="W167">
        <f>IF(K166&lt;=0,0,MIN(AP167,K$7+IF(K$2=$AA167,$AC167,IF(K$2=$AF167,$AG167,0))))</f>
        <v/>
      </c>
      <c r="X167">
        <f>IF(L166&lt;=0,0,MIN(AQ167,L$7+IF(L$2=$AA167,$AC167,IF(L$2=$AF167,$AG167,0))))</f>
        <v/>
      </c>
      <c r="Y167">
        <f>IF(M166&lt;=0,0,MIN(AR167,M$7+IF(M$2=$AA167,$AC167,IF(M$2=$AF167,$AG167,0))))</f>
        <v/>
      </c>
      <c r="Z167">
        <f>IF(N166&lt;=0,0,MIN(AS167,N$7+IF(N$2=$AA167,$AC167,IF(N$2=$AF167,$AG167,0))))</f>
        <v/>
      </c>
      <c r="AA167">
        <f>IFERROR(ROUND(1/SUMPRODUCT(MAX((C166:N166&gt;0)*($C$3:$N$3&lt;=B167)/$C$2:$N$2)),0),0)</f>
        <v/>
      </c>
      <c r="AB167">
        <f>SUMPRODUCT((C166:N166&gt;0)*$C$7:$N$7)</f>
        <v/>
      </c>
      <c r="AC167">
        <f>MAX(0,Plan!$C$5-AB167)+IF(A167=Plan!$C$8,N(Plan!$C$7),0)</f>
        <v/>
      </c>
      <c r="AD167">
        <f>SUM(C167:N167)</f>
        <v/>
      </c>
      <c r="AE167">
        <f>SUM(O167:Z167)</f>
        <v/>
      </c>
      <c r="AF167">
        <f>IFERROR(ROUND(1/SUMPRODUCT(MAX((C166:N166&gt;0)*($C$3:$N$3&lt;=B167)*($C$2:$N$2&gt;AA167)/$C$2:$N$2)),0),0)</f>
        <v/>
      </c>
      <c r="AG167">
        <f>MAX(0,AC167-MAX(0,SUMPRODUCT(($C$2:$N$2=AA167)*(AH167:AS167-$C$7:$N$7))))</f>
        <v/>
      </c>
      <c r="AH167">
        <f>IF(C166&lt;=0,0,ROUND(C166*(1+IF(AND(C$6&gt;0,$B167&lt;C$6),C$4,C$5)/12),2))</f>
        <v/>
      </c>
      <c r="AI167">
        <f>IF(D166&lt;=0,0,ROUND(D166*(1+IF(AND(D$6&gt;0,$B167&lt;D$6),D$4,D$5)/12),2))</f>
        <v/>
      </c>
      <c r="AJ167">
        <f>IF(E166&lt;=0,0,ROUND(E166*(1+IF(AND(E$6&gt;0,$B167&lt;E$6),E$4,E$5)/12),2))</f>
        <v/>
      </c>
      <c r="AK167">
        <f>IF(F166&lt;=0,0,ROUND(F166*(1+IF(AND(F$6&gt;0,$B167&lt;F$6),F$4,F$5)/12),2))</f>
        <v/>
      </c>
      <c r="AL167">
        <f>IF(G166&lt;=0,0,ROUND(G166*(1+IF(AND(G$6&gt;0,$B167&lt;G$6),G$4,G$5)/12),2))</f>
        <v/>
      </c>
      <c r="AM167">
        <f>IF(H166&lt;=0,0,ROUND(H166*(1+IF(AND(H$6&gt;0,$B167&lt;H$6),H$4,H$5)/12),2))</f>
        <v/>
      </c>
      <c r="AN167">
        <f>IF(I166&lt;=0,0,ROUND(I166*(1+IF(AND(I$6&gt;0,$B167&lt;I$6),I$4,I$5)/12),2))</f>
        <v/>
      </c>
      <c r="AO167">
        <f>IF(J166&lt;=0,0,ROUND(J166*(1+IF(AND(J$6&gt;0,$B167&lt;J$6),J$4,J$5)/12),2))</f>
        <v/>
      </c>
      <c r="AP167">
        <f>IF(K166&lt;=0,0,ROUND(K166*(1+IF(AND(K$6&gt;0,$B167&lt;K$6),K$4,K$5)/12),2))</f>
        <v/>
      </c>
      <c r="AQ167">
        <f>IF(L166&lt;=0,0,ROUND(L166*(1+IF(AND(L$6&gt;0,$B167&lt;L$6),L$4,L$5)/12),2))</f>
        <v/>
      </c>
      <c r="AR167">
        <f>IF(M166&lt;=0,0,ROUND(M166*(1+IF(AND(M$6&gt;0,$B167&lt;M$6),M$4,M$5)/12),2))</f>
        <v/>
      </c>
      <c r="AS167">
        <f>IF(N166&lt;=0,0,ROUND(N166*(1+IF(AND(N$6&gt;0,$B167&lt;N$6),N$4,N$5)/12),2))</f>
        <v/>
      </c>
    </row>
    <row r="168">
      <c r="A168" t="n">
        <v>157</v>
      </c>
      <c r="B168">
        <f>EDATE(Plan!$C$6,156)</f>
        <v/>
      </c>
      <c r="C168">
        <f>IF(C167&lt;=0,0,MAX(0,AH168-O168))</f>
        <v/>
      </c>
      <c r="D168">
        <f>IF(D167&lt;=0,0,MAX(0,AI168-P168))</f>
        <v/>
      </c>
      <c r="E168">
        <f>IF(E167&lt;=0,0,MAX(0,AJ168-Q168))</f>
        <v/>
      </c>
      <c r="F168">
        <f>IF(F167&lt;=0,0,MAX(0,AK168-R168))</f>
        <v/>
      </c>
      <c r="G168">
        <f>IF(G167&lt;=0,0,MAX(0,AL168-S168))</f>
        <v/>
      </c>
      <c r="H168">
        <f>IF(H167&lt;=0,0,MAX(0,AM168-T168))</f>
        <v/>
      </c>
      <c r="I168">
        <f>IF(I167&lt;=0,0,MAX(0,AN168-U168))</f>
        <v/>
      </c>
      <c r="J168">
        <f>IF(J167&lt;=0,0,MAX(0,AO168-V168))</f>
        <v/>
      </c>
      <c r="K168">
        <f>IF(K167&lt;=0,0,MAX(0,AP168-W168))</f>
        <v/>
      </c>
      <c r="L168">
        <f>IF(L167&lt;=0,0,MAX(0,AQ168-X168))</f>
        <v/>
      </c>
      <c r="M168">
        <f>IF(M167&lt;=0,0,MAX(0,AR168-Y168))</f>
        <v/>
      </c>
      <c r="N168">
        <f>IF(N167&lt;=0,0,MAX(0,AS168-Z168))</f>
        <v/>
      </c>
      <c r="O168">
        <f>IF(C167&lt;=0,0,MIN(AH168,C$7+IF(C$2=$AA168,$AC168,IF(C$2=$AF168,$AG168,0))))</f>
        <v/>
      </c>
      <c r="P168">
        <f>IF(D167&lt;=0,0,MIN(AI168,D$7+IF(D$2=$AA168,$AC168,IF(D$2=$AF168,$AG168,0))))</f>
        <v/>
      </c>
      <c r="Q168">
        <f>IF(E167&lt;=0,0,MIN(AJ168,E$7+IF(E$2=$AA168,$AC168,IF(E$2=$AF168,$AG168,0))))</f>
        <v/>
      </c>
      <c r="R168">
        <f>IF(F167&lt;=0,0,MIN(AK168,F$7+IF(F$2=$AA168,$AC168,IF(F$2=$AF168,$AG168,0))))</f>
        <v/>
      </c>
      <c r="S168">
        <f>IF(G167&lt;=0,0,MIN(AL168,G$7+IF(G$2=$AA168,$AC168,IF(G$2=$AF168,$AG168,0))))</f>
        <v/>
      </c>
      <c r="T168">
        <f>IF(H167&lt;=0,0,MIN(AM168,H$7+IF(H$2=$AA168,$AC168,IF(H$2=$AF168,$AG168,0))))</f>
        <v/>
      </c>
      <c r="U168">
        <f>IF(I167&lt;=0,0,MIN(AN168,I$7+IF(I$2=$AA168,$AC168,IF(I$2=$AF168,$AG168,0))))</f>
        <v/>
      </c>
      <c r="V168">
        <f>IF(J167&lt;=0,0,MIN(AO168,J$7+IF(J$2=$AA168,$AC168,IF(J$2=$AF168,$AG168,0))))</f>
        <v/>
      </c>
      <c r="W168">
        <f>IF(K167&lt;=0,0,MIN(AP168,K$7+IF(K$2=$AA168,$AC168,IF(K$2=$AF168,$AG168,0))))</f>
        <v/>
      </c>
      <c r="X168">
        <f>IF(L167&lt;=0,0,MIN(AQ168,L$7+IF(L$2=$AA168,$AC168,IF(L$2=$AF168,$AG168,0))))</f>
        <v/>
      </c>
      <c r="Y168">
        <f>IF(M167&lt;=0,0,MIN(AR168,M$7+IF(M$2=$AA168,$AC168,IF(M$2=$AF168,$AG168,0))))</f>
        <v/>
      </c>
      <c r="Z168">
        <f>IF(N167&lt;=0,0,MIN(AS168,N$7+IF(N$2=$AA168,$AC168,IF(N$2=$AF168,$AG168,0))))</f>
        <v/>
      </c>
      <c r="AA168">
        <f>IFERROR(ROUND(1/SUMPRODUCT(MAX((C167:N167&gt;0)*($C$3:$N$3&lt;=B168)/$C$2:$N$2)),0),0)</f>
        <v/>
      </c>
      <c r="AB168">
        <f>SUMPRODUCT((C167:N167&gt;0)*$C$7:$N$7)</f>
        <v/>
      </c>
      <c r="AC168">
        <f>MAX(0,Plan!$C$5-AB168)+IF(A168=Plan!$C$8,N(Plan!$C$7),0)</f>
        <v/>
      </c>
      <c r="AD168">
        <f>SUM(C168:N168)</f>
        <v/>
      </c>
      <c r="AE168">
        <f>SUM(O168:Z168)</f>
        <v/>
      </c>
      <c r="AF168">
        <f>IFERROR(ROUND(1/SUMPRODUCT(MAX((C167:N167&gt;0)*($C$3:$N$3&lt;=B168)*($C$2:$N$2&gt;AA168)/$C$2:$N$2)),0),0)</f>
        <v/>
      </c>
      <c r="AG168">
        <f>MAX(0,AC168-MAX(0,SUMPRODUCT(($C$2:$N$2=AA168)*(AH168:AS168-$C$7:$N$7))))</f>
        <v/>
      </c>
      <c r="AH168">
        <f>IF(C167&lt;=0,0,ROUND(C167*(1+IF(AND(C$6&gt;0,$B168&lt;C$6),C$4,C$5)/12),2))</f>
        <v/>
      </c>
      <c r="AI168">
        <f>IF(D167&lt;=0,0,ROUND(D167*(1+IF(AND(D$6&gt;0,$B168&lt;D$6),D$4,D$5)/12),2))</f>
        <v/>
      </c>
      <c r="AJ168">
        <f>IF(E167&lt;=0,0,ROUND(E167*(1+IF(AND(E$6&gt;0,$B168&lt;E$6),E$4,E$5)/12),2))</f>
        <v/>
      </c>
      <c r="AK168">
        <f>IF(F167&lt;=0,0,ROUND(F167*(1+IF(AND(F$6&gt;0,$B168&lt;F$6),F$4,F$5)/12),2))</f>
        <v/>
      </c>
      <c r="AL168">
        <f>IF(G167&lt;=0,0,ROUND(G167*(1+IF(AND(G$6&gt;0,$B168&lt;G$6),G$4,G$5)/12),2))</f>
        <v/>
      </c>
      <c r="AM168">
        <f>IF(H167&lt;=0,0,ROUND(H167*(1+IF(AND(H$6&gt;0,$B168&lt;H$6),H$4,H$5)/12),2))</f>
        <v/>
      </c>
      <c r="AN168">
        <f>IF(I167&lt;=0,0,ROUND(I167*(1+IF(AND(I$6&gt;0,$B168&lt;I$6),I$4,I$5)/12),2))</f>
        <v/>
      </c>
      <c r="AO168">
        <f>IF(J167&lt;=0,0,ROUND(J167*(1+IF(AND(J$6&gt;0,$B168&lt;J$6),J$4,J$5)/12),2))</f>
        <v/>
      </c>
      <c r="AP168">
        <f>IF(K167&lt;=0,0,ROUND(K167*(1+IF(AND(K$6&gt;0,$B168&lt;K$6),K$4,K$5)/12),2))</f>
        <v/>
      </c>
      <c r="AQ168">
        <f>IF(L167&lt;=0,0,ROUND(L167*(1+IF(AND(L$6&gt;0,$B168&lt;L$6),L$4,L$5)/12),2))</f>
        <v/>
      </c>
      <c r="AR168">
        <f>IF(M167&lt;=0,0,ROUND(M167*(1+IF(AND(M$6&gt;0,$B168&lt;M$6),M$4,M$5)/12),2))</f>
        <v/>
      </c>
      <c r="AS168">
        <f>IF(N167&lt;=0,0,ROUND(N167*(1+IF(AND(N$6&gt;0,$B168&lt;N$6),N$4,N$5)/12),2))</f>
        <v/>
      </c>
    </row>
    <row r="169">
      <c r="A169" t="n">
        <v>158</v>
      </c>
      <c r="B169">
        <f>EDATE(Plan!$C$6,157)</f>
        <v/>
      </c>
      <c r="C169">
        <f>IF(C168&lt;=0,0,MAX(0,AH169-O169))</f>
        <v/>
      </c>
      <c r="D169">
        <f>IF(D168&lt;=0,0,MAX(0,AI169-P169))</f>
        <v/>
      </c>
      <c r="E169">
        <f>IF(E168&lt;=0,0,MAX(0,AJ169-Q169))</f>
        <v/>
      </c>
      <c r="F169">
        <f>IF(F168&lt;=0,0,MAX(0,AK169-R169))</f>
        <v/>
      </c>
      <c r="G169">
        <f>IF(G168&lt;=0,0,MAX(0,AL169-S169))</f>
        <v/>
      </c>
      <c r="H169">
        <f>IF(H168&lt;=0,0,MAX(0,AM169-T169))</f>
        <v/>
      </c>
      <c r="I169">
        <f>IF(I168&lt;=0,0,MAX(0,AN169-U169))</f>
        <v/>
      </c>
      <c r="J169">
        <f>IF(J168&lt;=0,0,MAX(0,AO169-V169))</f>
        <v/>
      </c>
      <c r="K169">
        <f>IF(K168&lt;=0,0,MAX(0,AP169-W169))</f>
        <v/>
      </c>
      <c r="L169">
        <f>IF(L168&lt;=0,0,MAX(0,AQ169-X169))</f>
        <v/>
      </c>
      <c r="M169">
        <f>IF(M168&lt;=0,0,MAX(0,AR169-Y169))</f>
        <v/>
      </c>
      <c r="N169">
        <f>IF(N168&lt;=0,0,MAX(0,AS169-Z169))</f>
        <v/>
      </c>
      <c r="O169">
        <f>IF(C168&lt;=0,0,MIN(AH169,C$7+IF(C$2=$AA169,$AC169,IF(C$2=$AF169,$AG169,0))))</f>
        <v/>
      </c>
      <c r="P169">
        <f>IF(D168&lt;=0,0,MIN(AI169,D$7+IF(D$2=$AA169,$AC169,IF(D$2=$AF169,$AG169,0))))</f>
        <v/>
      </c>
      <c r="Q169">
        <f>IF(E168&lt;=0,0,MIN(AJ169,E$7+IF(E$2=$AA169,$AC169,IF(E$2=$AF169,$AG169,0))))</f>
        <v/>
      </c>
      <c r="R169">
        <f>IF(F168&lt;=0,0,MIN(AK169,F$7+IF(F$2=$AA169,$AC169,IF(F$2=$AF169,$AG169,0))))</f>
        <v/>
      </c>
      <c r="S169">
        <f>IF(G168&lt;=0,0,MIN(AL169,G$7+IF(G$2=$AA169,$AC169,IF(G$2=$AF169,$AG169,0))))</f>
        <v/>
      </c>
      <c r="T169">
        <f>IF(H168&lt;=0,0,MIN(AM169,H$7+IF(H$2=$AA169,$AC169,IF(H$2=$AF169,$AG169,0))))</f>
        <v/>
      </c>
      <c r="U169">
        <f>IF(I168&lt;=0,0,MIN(AN169,I$7+IF(I$2=$AA169,$AC169,IF(I$2=$AF169,$AG169,0))))</f>
        <v/>
      </c>
      <c r="V169">
        <f>IF(J168&lt;=0,0,MIN(AO169,J$7+IF(J$2=$AA169,$AC169,IF(J$2=$AF169,$AG169,0))))</f>
        <v/>
      </c>
      <c r="W169">
        <f>IF(K168&lt;=0,0,MIN(AP169,K$7+IF(K$2=$AA169,$AC169,IF(K$2=$AF169,$AG169,0))))</f>
        <v/>
      </c>
      <c r="X169">
        <f>IF(L168&lt;=0,0,MIN(AQ169,L$7+IF(L$2=$AA169,$AC169,IF(L$2=$AF169,$AG169,0))))</f>
        <v/>
      </c>
      <c r="Y169">
        <f>IF(M168&lt;=0,0,MIN(AR169,M$7+IF(M$2=$AA169,$AC169,IF(M$2=$AF169,$AG169,0))))</f>
        <v/>
      </c>
      <c r="Z169">
        <f>IF(N168&lt;=0,0,MIN(AS169,N$7+IF(N$2=$AA169,$AC169,IF(N$2=$AF169,$AG169,0))))</f>
        <v/>
      </c>
      <c r="AA169">
        <f>IFERROR(ROUND(1/SUMPRODUCT(MAX((C168:N168&gt;0)*($C$3:$N$3&lt;=B169)/$C$2:$N$2)),0),0)</f>
        <v/>
      </c>
      <c r="AB169">
        <f>SUMPRODUCT((C168:N168&gt;0)*$C$7:$N$7)</f>
        <v/>
      </c>
      <c r="AC169">
        <f>MAX(0,Plan!$C$5-AB169)+IF(A169=Plan!$C$8,N(Plan!$C$7),0)</f>
        <v/>
      </c>
      <c r="AD169">
        <f>SUM(C169:N169)</f>
        <v/>
      </c>
      <c r="AE169">
        <f>SUM(O169:Z169)</f>
        <v/>
      </c>
      <c r="AF169">
        <f>IFERROR(ROUND(1/SUMPRODUCT(MAX((C168:N168&gt;0)*($C$3:$N$3&lt;=B169)*($C$2:$N$2&gt;AA169)/$C$2:$N$2)),0),0)</f>
        <v/>
      </c>
      <c r="AG169">
        <f>MAX(0,AC169-MAX(0,SUMPRODUCT(($C$2:$N$2=AA169)*(AH169:AS169-$C$7:$N$7))))</f>
        <v/>
      </c>
      <c r="AH169">
        <f>IF(C168&lt;=0,0,ROUND(C168*(1+IF(AND(C$6&gt;0,$B169&lt;C$6),C$4,C$5)/12),2))</f>
        <v/>
      </c>
      <c r="AI169">
        <f>IF(D168&lt;=0,0,ROUND(D168*(1+IF(AND(D$6&gt;0,$B169&lt;D$6),D$4,D$5)/12),2))</f>
        <v/>
      </c>
      <c r="AJ169">
        <f>IF(E168&lt;=0,0,ROUND(E168*(1+IF(AND(E$6&gt;0,$B169&lt;E$6),E$4,E$5)/12),2))</f>
        <v/>
      </c>
      <c r="AK169">
        <f>IF(F168&lt;=0,0,ROUND(F168*(1+IF(AND(F$6&gt;0,$B169&lt;F$6),F$4,F$5)/12),2))</f>
        <v/>
      </c>
      <c r="AL169">
        <f>IF(G168&lt;=0,0,ROUND(G168*(1+IF(AND(G$6&gt;0,$B169&lt;G$6),G$4,G$5)/12),2))</f>
        <v/>
      </c>
      <c r="AM169">
        <f>IF(H168&lt;=0,0,ROUND(H168*(1+IF(AND(H$6&gt;0,$B169&lt;H$6),H$4,H$5)/12),2))</f>
        <v/>
      </c>
      <c r="AN169">
        <f>IF(I168&lt;=0,0,ROUND(I168*(1+IF(AND(I$6&gt;0,$B169&lt;I$6),I$4,I$5)/12),2))</f>
        <v/>
      </c>
      <c r="AO169">
        <f>IF(J168&lt;=0,0,ROUND(J168*(1+IF(AND(J$6&gt;0,$B169&lt;J$6),J$4,J$5)/12),2))</f>
        <v/>
      </c>
      <c r="AP169">
        <f>IF(K168&lt;=0,0,ROUND(K168*(1+IF(AND(K$6&gt;0,$B169&lt;K$6),K$4,K$5)/12),2))</f>
        <v/>
      </c>
      <c r="AQ169">
        <f>IF(L168&lt;=0,0,ROUND(L168*(1+IF(AND(L$6&gt;0,$B169&lt;L$6),L$4,L$5)/12),2))</f>
        <v/>
      </c>
      <c r="AR169">
        <f>IF(M168&lt;=0,0,ROUND(M168*(1+IF(AND(M$6&gt;0,$B169&lt;M$6),M$4,M$5)/12),2))</f>
        <v/>
      </c>
      <c r="AS169">
        <f>IF(N168&lt;=0,0,ROUND(N168*(1+IF(AND(N$6&gt;0,$B169&lt;N$6),N$4,N$5)/12),2))</f>
        <v/>
      </c>
    </row>
    <row r="170">
      <c r="A170" t="n">
        <v>159</v>
      </c>
      <c r="B170">
        <f>EDATE(Plan!$C$6,158)</f>
        <v/>
      </c>
      <c r="C170">
        <f>IF(C169&lt;=0,0,MAX(0,AH170-O170))</f>
        <v/>
      </c>
      <c r="D170">
        <f>IF(D169&lt;=0,0,MAX(0,AI170-P170))</f>
        <v/>
      </c>
      <c r="E170">
        <f>IF(E169&lt;=0,0,MAX(0,AJ170-Q170))</f>
        <v/>
      </c>
      <c r="F170">
        <f>IF(F169&lt;=0,0,MAX(0,AK170-R170))</f>
        <v/>
      </c>
      <c r="G170">
        <f>IF(G169&lt;=0,0,MAX(0,AL170-S170))</f>
        <v/>
      </c>
      <c r="H170">
        <f>IF(H169&lt;=0,0,MAX(0,AM170-T170))</f>
        <v/>
      </c>
      <c r="I170">
        <f>IF(I169&lt;=0,0,MAX(0,AN170-U170))</f>
        <v/>
      </c>
      <c r="J170">
        <f>IF(J169&lt;=0,0,MAX(0,AO170-V170))</f>
        <v/>
      </c>
      <c r="K170">
        <f>IF(K169&lt;=0,0,MAX(0,AP170-W170))</f>
        <v/>
      </c>
      <c r="L170">
        <f>IF(L169&lt;=0,0,MAX(0,AQ170-X170))</f>
        <v/>
      </c>
      <c r="M170">
        <f>IF(M169&lt;=0,0,MAX(0,AR170-Y170))</f>
        <v/>
      </c>
      <c r="N170">
        <f>IF(N169&lt;=0,0,MAX(0,AS170-Z170))</f>
        <v/>
      </c>
      <c r="O170">
        <f>IF(C169&lt;=0,0,MIN(AH170,C$7+IF(C$2=$AA170,$AC170,IF(C$2=$AF170,$AG170,0))))</f>
        <v/>
      </c>
      <c r="P170">
        <f>IF(D169&lt;=0,0,MIN(AI170,D$7+IF(D$2=$AA170,$AC170,IF(D$2=$AF170,$AG170,0))))</f>
        <v/>
      </c>
      <c r="Q170">
        <f>IF(E169&lt;=0,0,MIN(AJ170,E$7+IF(E$2=$AA170,$AC170,IF(E$2=$AF170,$AG170,0))))</f>
        <v/>
      </c>
      <c r="R170">
        <f>IF(F169&lt;=0,0,MIN(AK170,F$7+IF(F$2=$AA170,$AC170,IF(F$2=$AF170,$AG170,0))))</f>
        <v/>
      </c>
      <c r="S170">
        <f>IF(G169&lt;=0,0,MIN(AL170,G$7+IF(G$2=$AA170,$AC170,IF(G$2=$AF170,$AG170,0))))</f>
        <v/>
      </c>
      <c r="T170">
        <f>IF(H169&lt;=0,0,MIN(AM170,H$7+IF(H$2=$AA170,$AC170,IF(H$2=$AF170,$AG170,0))))</f>
        <v/>
      </c>
      <c r="U170">
        <f>IF(I169&lt;=0,0,MIN(AN170,I$7+IF(I$2=$AA170,$AC170,IF(I$2=$AF170,$AG170,0))))</f>
        <v/>
      </c>
      <c r="V170">
        <f>IF(J169&lt;=0,0,MIN(AO170,J$7+IF(J$2=$AA170,$AC170,IF(J$2=$AF170,$AG170,0))))</f>
        <v/>
      </c>
      <c r="W170">
        <f>IF(K169&lt;=0,0,MIN(AP170,K$7+IF(K$2=$AA170,$AC170,IF(K$2=$AF170,$AG170,0))))</f>
        <v/>
      </c>
      <c r="X170">
        <f>IF(L169&lt;=0,0,MIN(AQ170,L$7+IF(L$2=$AA170,$AC170,IF(L$2=$AF170,$AG170,0))))</f>
        <v/>
      </c>
      <c r="Y170">
        <f>IF(M169&lt;=0,0,MIN(AR170,M$7+IF(M$2=$AA170,$AC170,IF(M$2=$AF170,$AG170,0))))</f>
        <v/>
      </c>
      <c r="Z170">
        <f>IF(N169&lt;=0,0,MIN(AS170,N$7+IF(N$2=$AA170,$AC170,IF(N$2=$AF170,$AG170,0))))</f>
        <v/>
      </c>
      <c r="AA170">
        <f>IFERROR(ROUND(1/SUMPRODUCT(MAX((C169:N169&gt;0)*($C$3:$N$3&lt;=B170)/$C$2:$N$2)),0),0)</f>
        <v/>
      </c>
      <c r="AB170">
        <f>SUMPRODUCT((C169:N169&gt;0)*$C$7:$N$7)</f>
        <v/>
      </c>
      <c r="AC170">
        <f>MAX(0,Plan!$C$5-AB170)+IF(A170=Plan!$C$8,N(Plan!$C$7),0)</f>
        <v/>
      </c>
      <c r="AD170">
        <f>SUM(C170:N170)</f>
        <v/>
      </c>
      <c r="AE170">
        <f>SUM(O170:Z170)</f>
        <v/>
      </c>
      <c r="AF170">
        <f>IFERROR(ROUND(1/SUMPRODUCT(MAX((C169:N169&gt;0)*($C$3:$N$3&lt;=B170)*($C$2:$N$2&gt;AA170)/$C$2:$N$2)),0),0)</f>
        <v/>
      </c>
      <c r="AG170">
        <f>MAX(0,AC170-MAX(0,SUMPRODUCT(($C$2:$N$2=AA170)*(AH170:AS170-$C$7:$N$7))))</f>
        <v/>
      </c>
      <c r="AH170">
        <f>IF(C169&lt;=0,0,ROUND(C169*(1+IF(AND(C$6&gt;0,$B170&lt;C$6),C$4,C$5)/12),2))</f>
        <v/>
      </c>
      <c r="AI170">
        <f>IF(D169&lt;=0,0,ROUND(D169*(1+IF(AND(D$6&gt;0,$B170&lt;D$6),D$4,D$5)/12),2))</f>
        <v/>
      </c>
      <c r="AJ170">
        <f>IF(E169&lt;=0,0,ROUND(E169*(1+IF(AND(E$6&gt;0,$B170&lt;E$6),E$4,E$5)/12),2))</f>
        <v/>
      </c>
      <c r="AK170">
        <f>IF(F169&lt;=0,0,ROUND(F169*(1+IF(AND(F$6&gt;0,$B170&lt;F$6),F$4,F$5)/12),2))</f>
        <v/>
      </c>
      <c r="AL170">
        <f>IF(G169&lt;=0,0,ROUND(G169*(1+IF(AND(G$6&gt;0,$B170&lt;G$6),G$4,G$5)/12),2))</f>
        <v/>
      </c>
      <c r="AM170">
        <f>IF(H169&lt;=0,0,ROUND(H169*(1+IF(AND(H$6&gt;0,$B170&lt;H$6),H$4,H$5)/12),2))</f>
        <v/>
      </c>
      <c r="AN170">
        <f>IF(I169&lt;=0,0,ROUND(I169*(1+IF(AND(I$6&gt;0,$B170&lt;I$6),I$4,I$5)/12),2))</f>
        <v/>
      </c>
      <c r="AO170">
        <f>IF(J169&lt;=0,0,ROUND(J169*(1+IF(AND(J$6&gt;0,$B170&lt;J$6),J$4,J$5)/12),2))</f>
        <v/>
      </c>
      <c r="AP170">
        <f>IF(K169&lt;=0,0,ROUND(K169*(1+IF(AND(K$6&gt;0,$B170&lt;K$6),K$4,K$5)/12),2))</f>
        <v/>
      </c>
      <c r="AQ170">
        <f>IF(L169&lt;=0,0,ROUND(L169*(1+IF(AND(L$6&gt;0,$B170&lt;L$6),L$4,L$5)/12),2))</f>
        <v/>
      </c>
      <c r="AR170">
        <f>IF(M169&lt;=0,0,ROUND(M169*(1+IF(AND(M$6&gt;0,$B170&lt;M$6),M$4,M$5)/12),2))</f>
        <v/>
      </c>
      <c r="AS170">
        <f>IF(N169&lt;=0,0,ROUND(N169*(1+IF(AND(N$6&gt;0,$B170&lt;N$6),N$4,N$5)/12),2))</f>
        <v/>
      </c>
    </row>
    <row r="171">
      <c r="A171" t="n">
        <v>160</v>
      </c>
      <c r="B171">
        <f>EDATE(Plan!$C$6,159)</f>
        <v/>
      </c>
      <c r="C171">
        <f>IF(C170&lt;=0,0,MAX(0,AH171-O171))</f>
        <v/>
      </c>
      <c r="D171">
        <f>IF(D170&lt;=0,0,MAX(0,AI171-P171))</f>
        <v/>
      </c>
      <c r="E171">
        <f>IF(E170&lt;=0,0,MAX(0,AJ171-Q171))</f>
        <v/>
      </c>
      <c r="F171">
        <f>IF(F170&lt;=0,0,MAX(0,AK171-R171))</f>
        <v/>
      </c>
      <c r="G171">
        <f>IF(G170&lt;=0,0,MAX(0,AL171-S171))</f>
        <v/>
      </c>
      <c r="H171">
        <f>IF(H170&lt;=0,0,MAX(0,AM171-T171))</f>
        <v/>
      </c>
      <c r="I171">
        <f>IF(I170&lt;=0,0,MAX(0,AN171-U171))</f>
        <v/>
      </c>
      <c r="J171">
        <f>IF(J170&lt;=0,0,MAX(0,AO171-V171))</f>
        <v/>
      </c>
      <c r="K171">
        <f>IF(K170&lt;=0,0,MAX(0,AP171-W171))</f>
        <v/>
      </c>
      <c r="L171">
        <f>IF(L170&lt;=0,0,MAX(0,AQ171-X171))</f>
        <v/>
      </c>
      <c r="M171">
        <f>IF(M170&lt;=0,0,MAX(0,AR171-Y171))</f>
        <v/>
      </c>
      <c r="N171">
        <f>IF(N170&lt;=0,0,MAX(0,AS171-Z171))</f>
        <v/>
      </c>
      <c r="O171">
        <f>IF(C170&lt;=0,0,MIN(AH171,C$7+IF(C$2=$AA171,$AC171,IF(C$2=$AF171,$AG171,0))))</f>
        <v/>
      </c>
      <c r="P171">
        <f>IF(D170&lt;=0,0,MIN(AI171,D$7+IF(D$2=$AA171,$AC171,IF(D$2=$AF171,$AG171,0))))</f>
        <v/>
      </c>
      <c r="Q171">
        <f>IF(E170&lt;=0,0,MIN(AJ171,E$7+IF(E$2=$AA171,$AC171,IF(E$2=$AF171,$AG171,0))))</f>
        <v/>
      </c>
      <c r="R171">
        <f>IF(F170&lt;=0,0,MIN(AK171,F$7+IF(F$2=$AA171,$AC171,IF(F$2=$AF171,$AG171,0))))</f>
        <v/>
      </c>
      <c r="S171">
        <f>IF(G170&lt;=0,0,MIN(AL171,G$7+IF(G$2=$AA171,$AC171,IF(G$2=$AF171,$AG171,0))))</f>
        <v/>
      </c>
      <c r="T171">
        <f>IF(H170&lt;=0,0,MIN(AM171,H$7+IF(H$2=$AA171,$AC171,IF(H$2=$AF171,$AG171,0))))</f>
        <v/>
      </c>
      <c r="U171">
        <f>IF(I170&lt;=0,0,MIN(AN171,I$7+IF(I$2=$AA171,$AC171,IF(I$2=$AF171,$AG171,0))))</f>
        <v/>
      </c>
      <c r="V171">
        <f>IF(J170&lt;=0,0,MIN(AO171,J$7+IF(J$2=$AA171,$AC171,IF(J$2=$AF171,$AG171,0))))</f>
        <v/>
      </c>
      <c r="W171">
        <f>IF(K170&lt;=0,0,MIN(AP171,K$7+IF(K$2=$AA171,$AC171,IF(K$2=$AF171,$AG171,0))))</f>
        <v/>
      </c>
      <c r="X171">
        <f>IF(L170&lt;=0,0,MIN(AQ171,L$7+IF(L$2=$AA171,$AC171,IF(L$2=$AF171,$AG171,0))))</f>
        <v/>
      </c>
      <c r="Y171">
        <f>IF(M170&lt;=0,0,MIN(AR171,M$7+IF(M$2=$AA171,$AC171,IF(M$2=$AF171,$AG171,0))))</f>
        <v/>
      </c>
      <c r="Z171">
        <f>IF(N170&lt;=0,0,MIN(AS171,N$7+IF(N$2=$AA171,$AC171,IF(N$2=$AF171,$AG171,0))))</f>
        <v/>
      </c>
      <c r="AA171">
        <f>IFERROR(ROUND(1/SUMPRODUCT(MAX((C170:N170&gt;0)*($C$3:$N$3&lt;=B171)/$C$2:$N$2)),0),0)</f>
        <v/>
      </c>
      <c r="AB171">
        <f>SUMPRODUCT((C170:N170&gt;0)*$C$7:$N$7)</f>
        <v/>
      </c>
      <c r="AC171">
        <f>MAX(0,Plan!$C$5-AB171)+IF(A171=Plan!$C$8,N(Plan!$C$7),0)</f>
        <v/>
      </c>
      <c r="AD171">
        <f>SUM(C171:N171)</f>
        <v/>
      </c>
      <c r="AE171">
        <f>SUM(O171:Z171)</f>
        <v/>
      </c>
      <c r="AF171">
        <f>IFERROR(ROUND(1/SUMPRODUCT(MAX((C170:N170&gt;0)*($C$3:$N$3&lt;=B171)*($C$2:$N$2&gt;AA171)/$C$2:$N$2)),0),0)</f>
        <v/>
      </c>
      <c r="AG171">
        <f>MAX(0,AC171-MAX(0,SUMPRODUCT(($C$2:$N$2=AA171)*(AH171:AS171-$C$7:$N$7))))</f>
        <v/>
      </c>
      <c r="AH171">
        <f>IF(C170&lt;=0,0,ROUND(C170*(1+IF(AND(C$6&gt;0,$B171&lt;C$6),C$4,C$5)/12),2))</f>
        <v/>
      </c>
      <c r="AI171">
        <f>IF(D170&lt;=0,0,ROUND(D170*(1+IF(AND(D$6&gt;0,$B171&lt;D$6),D$4,D$5)/12),2))</f>
        <v/>
      </c>
      <c r="AJ171">
        <f>IF(E170&lt;=0,0,ROUND(E170*(1+IF(AND(E$6&gt;0,$B171&lt;E$6),E$4,E$5)/12),2))</f>
        <v/>
      </c>
      <c r="AK171">
        <f>IF(F170&lt;=0,0,ROUND(F170*(1+IF(AND(F$6&gt;0,$B171&lt;F$6),F$4,F$5)/12),2))</f>
        <v/>
      </c>
      <c r="AL171">
        <f>IF(G170&lt;=0,0,ROUND(G170*(1+IF(AND(G$6&gt;0,$B171&lt;G$6),G$4,G$5)/12),2))</f>
        <v/>
      </c>
      <c r="AM171">
        <f>IF(H170&lt;=0,0,ROUND(H170*(1+IF(AND(H$6&gt;0,$B171&lt;H$6),H$4,H$5)/12),2))</f>
        <v/>
      </c>
      <c r="AN171">
        <f>IF(I170&lt;=0,0,ROUND(I170*(1+IF(AND(I$6&gt;0,$B171&lt;I$6),I$4,I$5)/12),2))</f>
        <v/>
      </c>
      <c r="AO171">
        <f>IF(J170&lt;=0,0,ROUND(J170*(1+IF(AND(J$6&gt;0,$B171&lt;J$6),J$4,J$5)/12),2))</f>
        <v/>
      </c>
      <c r="AP171">
        <f>IF(K170&lt;=0,0,ROUND(K170*(1+IF(AND(K$6&gt;0,$B171&lt;K$6),K$4,K$5)/12),2))</f>
        <v/>
      </c>
      <c r="AQ171">
        <f>IF(L170&lt;=0,0,ROUND(L170*(1+IF(AND(L$6&gt;0,$B171&lt;L$6),L$4,L$5)/12),2))</f>
        <v/>
      </c>
      <c r="AR171">
        <f>IF(M170&lt;=0,0,ROUND(M170*(1+IF(AND(M$6&gt;0,$B171&lt;M$6),M$4,M$5)/12),2))</f>
        <v/>
      </c>
      <c r="AS171">
        <f>IF(N170&lt;=0,0,ROUND(N170*(1+IF(AND(N$6&gt;0,$B171&lt;N$6),N$4,N$5)/12),2))</f>
        <v/>
      </c>
    </row>
    <row r="172">
      <c r="A172" t="n">
        <v>161</v>
      </c>
      <c r="B172">
        <f>EDATE(Plan!$C$6,160)</f>
        <v/>
      </c>
      <c r="C172">
        <f>IF(C171&lt;=0,0,MAX(0,AH172-O172))</f>
        <v/>
      </c>
      <c r="D172">
        <f>IF(D171&lt;=0,0,MAX(0,AI172-P172))</f>
        <v/>
      </c>
      <c r="E172">
        <f>IF(E171&lt;=0,0,MAX(0,AJ172-Q172))</f>
        <v/>
      </c>
      <c r="F172">
        <f>IF(F171&lt;=0,0,MAX(0,AK172-R172))</f>
        <v/>
      </c>
      <c r="G172">
        <f>IF(G171&lt;=0,0,MAX(0,AL172-S172))</f>
        <v/>
      </c>
      <c r="H172">
        <f>IF(H171&lt;=0,0,MAX(0,AM172-T172))</f>
        <v/>
      </c>
      <c r="I172">
        <f>IF(I171&lt;=0,0,MAX(0,AN172-U172))</f>
        <v/>
      </c>
      <c r="J172">
        <f>IF(J171&lt;=0,0,MAX(0,AO172-V172))</f>
        <v/>
      </c>
      <c r="K172">
        <f>IF(K171&lt;=0,0,MAX(0,AP172-W172))</f>
        <v/>
      </c>
      <c r="L172">
        <f>IF(L171&lt;=0,0,MAX(0,AQ172-X172))</f>
        <v/>
      </c>
      <c r="M172">
        <f>IF(M171&lt;=0,0,MAX(0,AR172-Y172))</f>
        <v/>
      </c>
      <c r="N172">
        <f>IF(N171&lt;=0,0,MAX(0,AS172-Z172))</f>
        <v/>
      </c>
      <c r="O172">
        <f>IF(C171&lt;=0,0,MIN(AH172,C$7+IF(C$2=$AA172,$AC172,IF(C$2=$AF172,$AG172,0))))</f>
        <v/>
      </c>
      <c r="P172">
        <f>IF(D171&lt;=0,0,MIN(AI172,D$7+IF(D$2=$AA172,$AC172,IF(D$2=$AF172,$AG172,0))))</f>
        <v/>
      </c>
      <c r="Q172">
        <f>IF(E171&lt;=0,0,MIN(AJ172,E$7+IF(E$2=$AA172,$AC172,IF(E$2=$AF172,$AG172,0))))</f>
        <v/>
      </c>
      <c r="R172">
        <f>IF(F171&lt;=0,0,MIN(AK172,F$7+IF(F$2=$AA172,$AC172,IF(F$2=$AF172,$AG172,0))))</f>
        <v/>
      </c>
      <c r="S172">
        <f>IF(G171&lt;=0,0,MIN(AL172,G$7+IF(G$2=$AA172,$AC172,IF(G$2=$AF172,$AG172,0))))</f>
        <v/>
      </c>
      <c r="T172">
        <f>IF(H171&lt;=0,0,MIN(AM172,H$7+IF(H$2=$AA172,$AC172,IF(H$2=$AF172,$AG172,0))))</f>
        <v/>
      </c>
      <c r="U172">
        <f>IF(I171&lt;=0,0,MIN(AN172,I$7+IF(I$2=$AA172,$AC172,IF(I$2=$AF172,$AG172,0))))</f>
        <v/>
      </c>
      <c r="V172">
        <f>IF(J171&lt;=0,0,MIN(AO172,J$7+IF(J$2=$AA172,$AC172,IF(J$2=$AF172,$AG172,0))))</f>
        <v/>
      </c>
      <c r="W172">
        <f>IF(K171&lt;=0,0,MIN(AP172,K$7+IF(K$2=$AA172,$AC172,IF(K$2=$AF172,$AG172,0))))</f>
        <v/>
      </c>
      <c r="X172">
        <f>IF(L171&lt;=0,0,MIN(AQ172,L$7+IF(L$2=$AA172,$AC172,IF(L$2=$AF172,$AG172,0))))</f>
        <v/>
      </c>
      <c r="Y172">
        <f>IF(M171&lt;=0,0,MIN(AR172,M$7+IF(M$2=$AA172,$AC172,IF(M$2=$AF172,$AG172,0))))</f>
        <v/>
      </c>
      <c r="Z172">
        <f>IF(N171&lt;=0,0,MIN(AS172,N$7+IF(N$2=$AA172,$AC172,IF(N$2=$AF172,$AG172,0))))</f>
        <v/>
      </c>
      <c r="AA172">
        <f>IFERROR(ROUND(1/SUMPRODUCT(MAX((C171:N171&gt;0)*($C$3:$N$3&lt;=B172)/$C$2:$N$2)),0),0)</f>
        <v/>
      </c>
      <c r="AB172">
        <f>SUMPRODUCT((C171:N171&gt;0)*$C$7:$N$7)</f>
        <v/>
      </c>
      <c r="AC172">
        <f>MAX(0,Plan!$C$5-AB172)+IF(A172=Plan!$C$8,N(Plan!$C$7),0)</f>
        <v/>
      </c>
      <c r="AD172">
        <f>SUM(C172:N172)</f>
        <v/>
      </c>
      <c r="AE172">
        <f>SUM(O172:Z172)</f>
        <v/>
      </c>
      <c r="AF172">
        <f>IFERROR(ROUND(1/SUMPRODUCT(MAX((C171:N171&gt;0)*($C$3:$N$3&lt;=B172)*($C$2:$N$2&gt;AA172)/$C$2:$N$2)),0),0)</f>
        <v/>
      </c>
      <c r="AG172">
        <f>MAX(0,AC172-MAX(0,SUMPRODUCT(($C$2:$N$2=AA172)*(AH172:AS172-$C$7:$N$7))))</f>
        <v/>
      </c>
      <c r="AH172">
        <f>IF(C171&lt;=0,0,ROUND(C171*(1+IF(AND(C$6&gt;0,$B172&lt;C$6),C$4,C$5)/12),2))</f>
        <v/>
      </c>
      <c r="AI172">
        <f>IF(D171&lt;=0,0,ROUND(D171*(1+IF(AND(D$6&gt;0,$B172&lt;D$6),D$4,D$5)/12),2))</f>
        <v/>
      </c>
      <c r="AJ172">
        <f>IF(E171&lt;=0,0,ROUND(E171*(1+IF(AND(E$6&gt;0,$B172&lt;E$6),E$4,E$5)/12),2))</f>
        <v/>
      </c>
      <c r="AK172">
        <f>IF(F171&lt;=0,0,ROUND(F171*(1+IF(AND(F$6&gt;0,$B172&lt;F$6),F$4,F$5)/12),2))</f>
        <v/>
      </c>
      <c r="AL172">
        <f>IF(G171&lt;=0,0,ROUND(G171*(1+IF(AND(G$6&gt;0,$B172&lt;G$6),G$4,G$5)/12),2))</f>
        <v/>
      </c>
      <c r="AM172">
        <f>IF(H171&lt;=0,0,ROUND(H171*(1+IF(AND(H$6&gt;0,$B172&lt;H$6),H$4,H$5)/12),2))</f>
        <v/>
      </c>
      <c r="AN172">
        <f>IF(I171&lt;=0,0,ROUND(I171*(1+IF(AND(I$6&gt;0,$B172&lt;I$6),I$4,I$5)/12),2))</f>
        <v/>
      </c>
      <c r="AO172">
        <f>IF(J171&lt;=0,0,ROUND(J171*(1+IF(AND(J$6&gt;0,$B172&lt;J$6),J$4,J$5)/12),2))</f>
        <v/>
      </c>
      <c r="AP172">
        <f>IF(K171&lt;=0,0,ROUND(K171*(1+IF(AND(K$6&gt;0,$B172&lt;K$6),K$4,K$5)/12),2))</f>
        <v/>
      </c>
      <c r="AQ172">
        <f>IF(L171&lt;=0,0,ROUND(L171*(1+IF(AND(L$6&gt;0,$B172&lt;L$6),L$4,L$5)/12),2))</f>
        <v/>
      </c>
      <c r="AR172">
        <f>IF(M171&lt;=0,0,ROUND(M171*(1+IF(AND(M$6&gt;0,$B172&lt;M$6),M$4,M$5)/12),2))</f>
        <v/>
      </c>
      <c r="AS172">
        <f>IF(N171&lt;=0,0,ROUND(N171*(1+IF(AND(N$6&gt;0,$B172&lt;N$6),N$4,N$5)/12),2))</f>
        <v/>
      </c>
    </row>
    <row r="173">
      <c r="A173" t="n">
        <v>162</v>
      </c>
      <c r="B173">
        <f>EDATE(Plan!$C$6,161)</f>
        <v/>
      </c>
      <c r="C173">
        <f>IF(C172&lt;=0,0,MAX(0,AH173-O173))</f>
        <v/>
      </c>
      <c r="D173">
        <f>IF(D172&lt;=0,0,MAX(0,AI173-P173))</f>
        <v/>
      </c>
      <c r="E173">
        <f>IF(E172&lt;=0,0,MAX(0,AJ173-Q173))</f>
        <v/>
      </c>
      <c r="F173">
        <f>IF(F172&lt;=0,0,MAX(0,AK173-R173))</f>
        <v/>
      </c>
      <c r="G173">
        <f>IF(G172&lt;=0,0,MAX(0,AL173-S173))</f>
        <v/>
      </c>
      <c r="H173">
        <f>IF(H172&lt;=0,0,MAX(0,AM173-T173))</f>
        <v/>
      </c>
      <c r="I173">
        <f>IF(I172&lt;=0,0,MAX(0,AN173-U173))</f>
        <v/>
      </c>
      <c r="J173">
        <f>IF(J172&lt;=0,0,MAX(0,AO173-V173))</f>
        <v/>
      </c>
      <c r="K173">
        <f>IF(K172&lt;=0,0,MAX(0,AP173-W173))</f>
        <v/>
      </c>
      <c r="L173">
        <f>IF(L172&lt;=0,0,MAX(0,AQ173-X173))</f>
        <v/>
      </c>
      <c r="M173">
        <f>IF(M172&lt;=0,0,MAX(0,AR173-Y173))</f>
        <v/>
      </c>
      <c r="N173">
        <f>IF(N172&lt;=0,0,MAX(0,AS173-Z173))</f>
        <v/>
      </c>
      <c r="O173">
        <f>IF(C172&lt;=0,0,MIN(AH173,C$7+IF(C$2=$AA173,$AC173,IF(C$2=$AF173,$AG173,0))))</f>
        <v/>
      </c>
      <c r="P173">
        <f>IF(D172&lt;=0,0,MIN(AI173,D$7+IF(D$2=$AA173,$AC173,IF(D$2=$AF173,$AG173,0))))</f>
        <v/>
      </c>
      <c r="Q173">
        <f>IF(E172&lt;=0,0,MIN(AJ173,E$7+IF(E$2=$AA173,$AC173,IF(E$2=$AF173,$AG173,0))))</f>
        <v/>
      </c>
      <c r="R173">
        <f>IF(F172&lt;=0,0,MIN(AK173,F$7+IF(F$2=$AA173,$AC173,IF(F$2=$AF173,$AG173,0))))</f>
        <v/>
      </c>
      <c r="S173">
        <f>IF(G172&lt;=0,0,MIN(AL173,G$7+IF(G$2=$AA173,$AC173,IF(G$2=$AF173,$AG173,0))))</f>
        <v/>
      </c>
      <c r="T173">
        <f>IF(H172&lt;=0,0,MIN(AM173,H$7+IF(H$2=$AA173,$AC173,IF(H$2=$AF173,$AG173,0))))</f>
        <v/>
      </c>
      <c r="U173">
        <f>IF(I172&lt;=0,0,MIN(AN173,I$7+IF(I$2=$AA173,$AC173,IF(I$2=$AF173,$AG173,0))))</f>
        <v/>
      </c>
      <c r="V173">
        <f>IF(J172&lt;=0,0,MIN(AO173,J$7+IF(J$2=$AA173,$AC173,IF(J$2=$AF173,$AG173,0))))</f>
        <v/>
      </c>
      <c r="W173">
        <f>IF(K172&lt;=0,0,MIN(AP173,K$7+IF(K$2=$AA173,$AC173,IF(K$2=$AF173,$AG173,0))))</f>
        <v/>
      </c>
      <c r="X173">
        <f>IF(L172&lt;=0,0,MIN(AQ173,L$7+IF(L$2=$AA173,$AC173,IF(L$2=$AF173,$AG173,0))))</f>
        <v/>
      </c>
      <c r="Y173">
        <f>IF(M172&lt;=0,0,MIN(AR173,M$7+IF(M$2=$AA173,$AC173,IF(M$2=$AF173,$AG173,0))))</f>
        <v/>
      </c>
      <c r="Z173">
        <f>IF(N172&lt;=0,0,MIN(AS173,N$7+IF(N$2=$AA173,$AC173,IF(N$2=$AF173,$AG173,0))))</f>
        <v/>
      </c>
      <c r="AA173">
        <f>IFERROR(ROUND(1/SUMPRODUCT(MAX((C172:N172&gt;0)*($C$3:$N$3&lt;=B173)/$C$2:$N$2)),0),0)</f>
        <v/>
      </c>
      <c r="AB173">
        <f>SUMPRODUCT((C172:N172&gt;0)*$C$7:$N$7)</f>
        <v/>
      </c>
      <c r="AC173">
        <f>MAX(0,Plan!$C$5-AB173)+IF(A173=Plan!$C$8,N(Plan!$C$7),0)</f>
        <v/>
      </c>
      <c r="AD173">
        <f>SUM(C173:N173)</f>
        <v/>
      </c>
      <c r="AE173">
        <f>SUM(O173:Z173)</f>
        <v/>
      </c>
      <c r="AF173">
        <f>IFERROR(ROUND(1/SUMPRODUCT(MAX((C172:N172&gt;0)*($C$3:$N$3&lt;=B173)*($C$2:$N$2&gt;AA173)/$C$2:$N$2)),0),0)</f>
        <v/>
      </c>
      <c r="AG173">
        <f>MAX(0,AC173-MAX(0,SUMPRODUCT(($C$2:$N$2=AA173)*(AH173:AS173-$C$7:$N$7))))</f>
        <v/>
      </c>
      <c r="AH173">
        <f>IF(C172&lt;=0,0,ROUND(C172*(1+IF(AND(C$6&gt;0,$B173&lt;C$6),C$4,C$5)/12),2))</f>
        <v/>
      </c>
      <c r="AI173">
        <f>IF(D172&lt;=0,0,ROUND(D172*(1+IF(AND(D$6&gt;0,$B173&lt;D$6),D$4,D$5)/12),2))</f>
        <v/>
      </c>
      <c r="AJ173">
        <f>IF(E172&lt;=0,0,ROUND(E172*(1+IF(AND(E$6&gt;0,$B173&lt;E$6),E$4,E$5)/12),2))</f>
        <v/>
      </c>
      <c r="AK173">
        <f>IF(F172&lt;=0,0,ROUND(F172*(1+IF(AND(F$6&gt;0,$B173&lt;F$6),F$4,F$5)/12),2))</f>
        <v/>
      </c>
      <c r="AL173">
        <f>IF(G172&lt;=0,0,ROUND(G172*(1+IF(AND(G$6&gt;0,$B173&lt;G$6),G$4,G$5)/12),2))</f>
        <v/>
      </c>
      <c r="AM173">
        <f>IF(H172&lt;=0,0,ROUND(H172*(1+IF(AND(H$6&gt;0,$B173&lt;H$6),H$4,H$5)/12),2))</f>
        <v/>
      </c>
      <c r="AN173">
        <f>IF(I172&lt;=0,0,ROUND(I172*(1+IF(AND(I$6&gt;0,$B173&lt;I$6),I$4,I$5)/12),2))</f>
        <v/>
      </c>
      <c r="AO173">
        <f>IF(J172&lt;=0,0,ROUND(J172*(1+IF(AND(J$6&gt;0,$B173&lt;J$6),J$4,J$5)/12),2))</f>
        <v/>
      </c>
      <c r="AP173">
        <f>IF(K172&lt;=0,0,ROUND(K172*(1+IF(AND(K$6&gt;0,$B173&lt;K$6),K$4,K$5)/12),2))</f>
        <v/>
      </c>
      <c r="AQ173">
        <f>IF(L172&lt;=0,0,ROUND(L172*(1+IF(AND(L$6&gt;0,$B173&lt;L$6),L$4,L$5)/12),2))</f>
        <v/>
      </c>
      <c r="AR173">
        <f>IF(M172&lt;=0,0,ROUND(M172*(1+IF(AND(M$6&gt;0,$B173&lt;M$6),M$4,M$5)/12),2))</f>
        <v/>
      </c>
      <c r="AS173">
        <f>IF(N172&lt;=0,0,ROUND(N172*(1+IF(AND(N$6&gt;0,$B173&lt;N$6),N$4,N$5)/12),2))</f>
        <v/>
      </c>
    </row>
    <row r="174">
      <c r="A174" t="n">
        <v>163</v>
      </c>
      <c r="B174">
        <f>EDATE(Plan!$C$6,162)</f>
        <v/>
      </c>
      <c r="C174">
        <f>IF(C173&lt;=0,0,MAX(0,AH174-O174))</f>
        <v/>
      </c>
      <c r="D174">
        <f>IF(D173&lt;=0,0,MAX(0,AI174-P174))</f>
        <v/>
      </c>
      <c r="E174">
        <f>IF(E173&lt;=0,0,MAX(0,AJ174-Q174))</f>
        <v/>
      </c>
      <c r="F174">
        <f>IF(F173&lt;=0,0,MAX(0,AK174-R174))</f>
        <v/>
      </c>
      <c r="G174">
        <f>IF(G173&lt;=0,0,MAX(0,AL174-S174))</f>
        <v/>
      </c>
      <c r="H174">
        <f>IF(H173&lt;=0,0,MAX(0,AM174-T174))</f>
        <v/>
      </c>
      <c r="I174">
        <f>IF(I173&lt;=0,0,MAX(0,AN174-U174))</f>
        <v/>
      </c>
      <c r="J174">
        <f>IF(J173&lt;=0,0,MAX(0,AO174-V174))</f>
        <v/>
      </c>
      <c r="K174">
        <f>IF(K173&lt;=0,0,MAX(0,AP174-W174))</f>
        <v/>
      </c>
      <c r="L174">
        <f>IF(L173&lt;=0,0,MAX(0,AQ174-X174))</f>
        <v/>
      </c>
      <c r="M174">
        <f>IF(M173&lt;=0,0,MAX(0,AR174-Y174))</f>
        <v/>
      </c>
      <c r="N174">
        <f>IF(N173&lt;=0,0,MAX(0,AS174-Z174))</f>
        <v/>
      </c>
      <c r="O174">
        <f>IF(C173&lt;=0,0,MIN(AH174,C$7+IF(C$2=$AA174,$AC174,IF(C$2=$AF174,$AG174,0))))</f>
        <v/>
      </c>
      <c r="P174">
        <f>IF(D173&lt;=0,0,MIN(AI174,D$7+IF(D$2=$AA174,$AC174,IF(D$2=$AF174,$AG174,0))))</f>
        <v/>
      </c>
      <c r="Q174">
        <f>IF(E173&lt;=0,0,MIN(AJ174,E$7+IF(E$2=$AA174,$AC174,IF(E$2=$AF174,$AG174,0))))</f>
        <v/>
      </c>
      <c r="R174">
        <f>IF(F173&lt;=0,0,MIN(AK174,F$7+IF(F$2=$AA174,$AC174,IF(F$2=$AF174,$AG174,0))))</f>
        <v/>
      </c>
      <c r="S174">
        <f>IF(G173&lt;=0,0,MIN(AL174,G$7+IF(G$2=$AA174,$AC174,IF(G$2=$AF174,$AG174,0))))</f>
        <v/>
      </c>
      <c r="T174">
        <f>IF(H173&lt;=0,0,MIN(AM174,H$7+IF(H$2=$AA174,$AC174,IF(H$2=$AF174,$AG174,0))))</f>
        <v/>
      </c>
      <c r="U174">
        <f>IF(I173&lt;=0,0,MIN(AN174,I$7+IF(I$2=$AA174,$AC174,IF(I$2=$AF174,$AG174,0))))</f>
        <v/>
      </c>
      <c r="V174">
        <f>IF(J173&lt;=0,0,MIN(AO174,J$7+IF(J$2=$AA174,$AC174,IF(J$2=$AF174,$AG174,0))))</f>
        <v/>
      </c>
      <c r="W174">
        <f>IF(K173&lt;=0,0,MIN(AP174,K$7+IF(K$2=$AA174,$AC174,IF(K$2=$AF174,$AG174,0))))</f>
        <v/>
      </c>
      <c r="X174">
        <f>IF(L173&lt;=0,0,MIN(AQ174,L$7+IF(L$2=$AA174,$AC174,IF(L$2=$AF174,$AG174,0))))</f>
        <v/>
      </c>
      <c r="Y174">
        <f>IF(M173&lt;=0,0,MIN(AR174,M$7+IF(M$2=$AA174,$AC174,IF(M$2=$AF174,$AG174,0))))</f>
        <v/>
      </c>
      <c r="Z174">
        <f>IF(N173&lt;=0,0,MIN(AS174,N$7+IF(N$2=$AA174,$AC174,IF(N$2=$AF174,$AG174,0))))</f>
        <v/>
      </c>
      <c r="AA174">
        <f>IFERROR(ROUND(1/SUMPRODUCT(MAX((C173:N173&gt;0)*($C$3:$N$3&lt;=B174)/$C$2:$N$2)),0),0)</f>
        <v/>
      </c>
      <c r="AB174">
        <f>SUMPRODUCT((C173:N173&gt;0)*$C$7:$N$7)</f>
        <v/>
      </c>
      <c r="AC174">
        <f>MAX(0,Plan!$C$5-AB174)+IF(A174=Plan!$C$8,N(Plan!$C$7),0)</f>
        <v/>
      </c>
      <c r="AD174">
        <f>SUM(C174:N174)</f>
        <v/>
      </c>
      <c r="AE174">
        <f>SUM(O174:Z174)</f>
        <v/>
      </c>
      <c r="AF174">
        <f>IFERROR(ROUND(1/SUMPRODUCT(MAX((C173:N173&gt;0)*($C$3:$N$3&lt;=B174)*($C$2:$N$2&gt;AA174)/$C$2:$N$2)),0),0)</f>
        <v/>
      </c>
      <c r="AG174">
        <f>MAX(0,AC174-MAX(0,SUMPRODUCT(($C$2:$N$2=AA174)*(AH174:AS174-$C$7:$N$7))))</f>
        <v/>
      </c>
      <c r="AH174">
        <f>IF(C173&lt;=0,0,ROUND(C173*(1+IF(AND(C$6&gt;0,$B174&lt;C$6),C$4,C$5)/12),2))</f>
        <v/>
      </c>
      <c r="AI174">
        <f>IF(D173&lt;=0,0,ROUND(D173*(1+IF(AND(D$6&gt;0,$B174&lt;D$6),D$4,D$5)/12),2))</f>
        <v/>
      </c>
      <c r="AJ174">
        <f>IF(E173&lt;=0,0,ROUND(E173*(1+IF(AND(E$6&gt;0,$B174&lt;E$6),E$4,E$5)/12),2))</f>
        <v/>
      </c>
      <c r="AK174">
        <f>IF(F173&lt;=0,0,ROUND(F173*(1+IF(AND(F$6&gt;0,$B174&lt;F$6),F$4,F$5)/12),2))</f>
        <v/>
      </c>
      <c r="AL174">
        <f>IF(G173&lt;=0,0,ROUND(G173*(1+IF(AND(G$6&gt;0,$B174&lt;G$6),G$4,G$5)/12),2))</f>
        <v/>
      </c>
      <c r="AM174">
        <f>IF(H173&lt;=0,0,ROUND(H173*(1+IF(AND(H$6&gt;0,$B174&lt;H$6),H$4,H$5)/12),2))</f>
        <v/>
      </c>
      <c r="AN174">
        <f>IF(I173&lt;=0,0,ROUND(I173*(1+IF(AND(I$6&gt;0,$B174&lt;I$6),I$4,I$5)/12),2))</f>
        <v/>
      </c>
      <c r="AO174">
        <f>IF(J173&lt;=0,0,ROUND(J173*(1+IF(AND(J$6&gt;0,$B174&lt;J$6),J$4,J$5)/12),2))</f>
        <v/>
      </c>
      <c r="AP174">
        <f>IF(K173&lt;=0,0,ROUND(K173*(1+IF(AND(K$6&gt;0,$B174&lt;K$6),K$4,K$5)/12),2))</f>
        <v/>
      </c>
      <c r="AQ174">
        <f>IF(L173&lt;=0,0,ROUND(L173*(1+IF(AND(L$6&gt;0,$B174&lt;L$6),L$4,L$5)/12),2))</f>
        <v/>
      </c>
      <c r="AR174">
        <f>IF(M173&lt;=0,0,ROUND(M173*(1+IF(AND(M$6&gt;0,$B174&lt;M$6),M$4,M$5)/12),2))</f>
        <v/>
      </c>
      <c r="AS174">
        <f>IF(N173&lt;=0,0,ROUND(N173*(1+IF(AND(N$6&gt;0,$B174&lt;N$6),N$4,N$5)/12),2))</f>
        <v/>
      </c>
    </row>
    <row r="175">
      <c r="A175" t="n">
        <v>164</v>
      </c>
      <c r="B175">
        <f>EDATE(Plan!$C$6,163)</f>
        <v/>
      </c>
      <c r="C175">
        <f>IF(C174&lt;=0,0,MAX(0,AH175-O175))</f>
        <v/>
      </c>
      <c r="D175">
        <f>IF(D174&lt;=0,0,MAX(0,AI175-P175))</f>
        <v/>
      </c>
      <c r="E175">
        <f>IF(E174&lt;=0,0,MAX(0,AJ175-Q175))</f>
        <v/>
      </c>
      <c r="F175">
        <f>IF(F174&lt;=0,0,MAX(0,AK175-R175))</f>
        <v/>
      </c>
      <c r="G175">
        <f>IF(G174&lt;=0,0,MAX(0,AL175-S175))</f>
        <v/>
      </c>
      <c r="H175">
        <f>IF(H174&lt;=0,0,MAX(0,AM175-T175))</f>
        <v/>
      </c>
      <c r="I175">
        <f>IF(I174&lt;=0,0,MAX(0,AN175-U175))</f>
        <v/>
      </c>
      <c r="J175">
        <f>IF(J174&lt;=0,0,MAX(0,AO175-V175))</f>
        <v/>
      </c>
      <c r="K175">
        <f>IF(K174&lt;=0,0,MAX(0,AP175-W175))</f>
        <v/>
      </c>
      <c r="L175">
        <f>IF(L174&lt;=0,0,MAX(0,AQ175-X175))</f>
        <v/>
      </c>
      <c r="M175">
        <f>IF(M174&lt;=0,0,MAX(0,AR175-Y175))</f>
        <v/>
      </c>
      <c r="N175">
        <f>IF(N174&lt;=0,0,MAX(0,AS175-Z175))</f>
        <v/>
      </c>
      <c r="O175">
        <f>IF(C174&lt;=0,0,MIN(AH175,C$7+IF(C$2=$AA175,$AC175,IF(C$2=$AF175,$AG175,0))))</f>
        <v/>
      </c>
      <c r="P175">
        <f>IF(D174&lt;=0,0,MIN(AI175,D$7+IF(D$2=$AA175,$AC175,IF(D$2=$AF175,$AG175,0))))</f>
        <v/>
      </c>
      <c r="Q175">
        <f>IF(E174&lt;=0,0,MIN(AJ175,E$7+IF(E$2=$AA175,$AC175,IF(E$2=$AF175,$AG175,0))))</f>
        <v/>
      </c>
      <c r="R175">
        <f>IF(F174&lt;=0,0,MIN(AK175,F$7+IF(F$2=$AA175,$AC175,IF(F$2=$AF175,$AG175,0))))</f>
        <v/>
      </c>
      <c r="S175">
        <f>IF(G174&lt;=0,0,MIN(AL175,G$7+IF(G$2=$AA175,$AC175,IF(G$2=$AF175,$AG175,0))))</f>
        <v/>
      </c>
      <c r="T175">
        <f>IF(H174&lt;=0,0,MIN(AM175,H$7+IF(H$2=$AA175,$AC175,IF(H$2=$AF175,$AG175,0))))</f>
        <v/>
      </c>
      <c r="U175">
        <f>IF(I174&lt;=0,0,MIN(AN175,I$7+IF(I$2=$AA175,$AC175,IF(I$2=$AF175,$AG175,0))))</f>
        <v/>
      </c>
      <c r="V175">
        <f>IF(J174&lt;=0,0,MIN(AO175,J$7+IF(J$2=$AA175,$AC175,IF(J$2=$AF175,$AG175,0))))</f>
        <v/>
      </c>
      <c r="W175">
        <f>IF(K174&lt;=0,0,MIN(AP175,K$7+IF(K$2=$AA175,$AC175,IF(K$2=$AF175,$AG175,0))))</f>
        <v/>
      </c>
      <c r="X175">
        <f>IF(L174&lt;=0,0,MIN(AQ175,L$7+IF(L$2=$AA175,$AC175,IF(L$2=$AF175,$AG175,0))))</f>
        <v/>
      </c>
      <c r="Y175">
        <f>IF(M174&lt;=0,0,MIN(AR175,M$7+IF(M$2=$AA175,$AC175,IF(M$2=$AF175,$AG175,0))))</f>
        <v/>
      </c>
      <c r="Z175">
        <f>IF(N174&lt;=0,0,MIN(AS175,N$7+IF(N$2=$AA175,$AC175,IF(N$2=$AF175,$AG175,0))))</f>
        <v/>
      </c>
      <c r="AA175">
        <f>IFERROR(ROUND(1/SUMPRODUCT(MAX((C174:N174&gt;0)*($C$3:$N$3&lt;=B175)/$C$2:$N$2)),0),0)</f>
        <v/>
      </c>
      <c r="AB175">
        <f>SUMPRODUCT((C174:N174&gt;0)*$C$7:$N$7)</f>
        <v/>
      </c>
      <c r="AC175">
        <f>MAX(0,Plan!$C$5-AB175)+IF(A175=Plan!$C$8,N(Plan!$C$7),0)</f>
        <v/>
      </c>
      <c r="AD175">
        <f>SUM(C175:N175)</f>
        <v/>
      </c>
      <c r="AE175">
        <f>SUM(O175:Z175)</f>
        <v/>
      </c>
      <c r="AF175">
        <f>IFERROR(ROUND(1/SUMPRODUCT(MAX((C174:N174&gt;0)*($C$3:$N$3&lt;=B175)*($C$2:$N$2&gt;AA175)/$C$2:$N$2)),0),0)</f>
        <v/>
      </c>
      <c r="AG175">
        <f>MAX(0,AC175-MAX(0,SUMPRODUCT(($C$2:$N$2=AA175)*(AH175:AS175-$C$7:$N$7))))</f>
        <v/>
      </c>
      <c r="AH175">
        <f>IF(C174&lt;=0,0,ROUND(C174*(1+IF(AND(C$6&gt;0,$B175&lt;C$6),C$4,C$5)/12),2))</f>
        <v/>
      </c>
      <c r="AI175">
        <f>IF(D174&lt;=0,0,ROUND(D174*(1+IF(AND(D$6&gt;0,$B175&lt;D$6),D$4,D$5)/12),2))</f>
        <v/>
      </c>
      <c r="AJ175">
        <f>IF(E174&lt;=0,0,ROUND(E174*(1+IF(AND(E$6&gt;0,$B175&lt;E$6),E$4,E$5)/12),2))</f>
        <v/>
      </c>
      <c r="AK175">
        <f>IF(F174&lt;=0,0,ROUND(F174*(1+IF(AND(F$6&gt;0,$B175&lt;F$6),F$4,F$5)/12),2))</f>
        <v/>
      </c>
      <c r="AL175">
        <f>IF(G174&lt;=0,0,ROUND(G174*(1+IF(AND(G$6&gt;0,$B175&lt;G$6),G$4,G$5)/12),2))</f>
        <v/>
      </c>
      <c r="AM175">
        <f>IF(H174&lt;=0,0,ROUND(H174*(1+IF(AND(H$6&gt;0,$B175&lt;H$6),H$4,H$5)/12),2))</f>
        <v/>
      </c>
      <c r="AN175">
        <f>IF(I174&lt;=0,0,ROUND(I174*(1+IF(AND(I$6&gt;0,$B175&lt;I$6),I$4,I$5)/12),2))</f>
        <v/>
      </c>
      <c r="AO175">
        <f>IF(J174&lt;=0,0,ROUND(J174*(1+IF(AND(J$6&gt;0,$B175&lt;J$6),J$4,J$5)/12),2))</f>
        <v/>
      </c>
      <c r="AP175">
        <f>IF(K174&lt;=0,0,ROUND(K174*(1+IF(AND(K$6&gt;0,$B175&lt;K$6),K$4,K$5)/12),2))</f>
        <v/>
      </c>
      <c r="AQ175">
        <f>IF(L174&lt;=0,0,ROUND(L174*(1+IF(AND(L$6&gt;0,$B175&lt;L$6),L$4,L$5)/12),2))</f>
        <v/>
      </c>
      <c r="AR175">
        <f>IF(M174&lt;=0,0,ROUND(M174*(1+IF(AND(M$6&gt;0,$B175&lt;M$6),M$4,M$5)/12),2))</f>
        <v/>
      </c>
      <c r="AS175">
        <f>IF(N174&lt;=0,0,ROUND(N174*(1+IF(AND(N$6&gt;0,$B175&lt;N$6),N$4,N$5)/12),2))</f>
        <v/>
      </c>
    </row>
    <row r="176">
      <c r="A176" t="n">
        <v>165</v>
      </c>
      <c r="B176">
        <f>EDATE(Plan!$C$6,164)</f>
        <v/>
      </c>
      <c r="C176">
        <f>IF(C175&lt;=0,0,MAX(0,AH176-O176))</f>
        <v/>
      </c>
      <c r="D176">
        <f>IF(D175&lt;=0,0,MAX(0,AI176-P176))</f>
        <v/>
      </c>
      <c r="E176">
        <f>IF(E175&lt;=0,0,MAX(0,AJ176-Q176))</f>
        <v/>
      </c>
      <c r="F176">
        <f>IF(F175&lt;=0,0,MAX(0,AK176-R176))</f>
        <v/>
      </c>
      <c r="G176">
        <f>IF(G175&lt;=0,0,MAX(0,AL176-S176))</f>
        <v/>
      </c>
      <c r="H176">
        <f>IF(H175&lt;=0,0,MAX(0,AM176-T176))</f>
        <v/>
      </c>
      <c r="I176">
        <f>IF(I175&lt;=0,0,MAX(0,AN176-U176))</f>
        <v/>
      </c>
      <c r="J176">
        <f>IF(J175&lt;=0,0,MAX(0,AO176-V176))</f>
        <v/>
      </c>
      <c r="K176">
        <f>IF(K175&lt;=0,0,MAX(0,AP176-W176))</f>
        <v/>
      </c>
      <c r="L176">
        <f>IF(L175&lt;=0,0,MAX(0,AQ176-X176))</f>
        <v/>
      </c>
      <c r="M176">
        <f>IF(M175&lt;=0,0,MAX(0,AR176-Y176))</f>
        <v/>
      </c>
      <c r="N176">
        <f>IF(N175&lt;=0,0,MAX(0,AS176-Z176))</f>
        <v/>
      </c>
      <c r="O176">
        <f>IF(C175&lt;=0,0,MIN(AH176,C$7+IF(C$2=$AA176,$AC176,IF(C$2=$AF176,$AG176,0))))</f>
        <v/>
      </c>
      <c r="P176">
        <f>IF(D175&lt;=0,0,MIN(AI176,D$7+IF(D$2=$AA176,$AC176,IF(D$2=$AF176,$AG176,0))))</f>
        <v/>
      </c>
      <c r="Q176">
        <f>IF(E175&lt;=0,0,MIN(AJ176,E$7+IF(E$2=$AA176,$AC176,IF(E$2=$AF176,$AG176,0))))</f>
        <v/>
      </c>
      <c r="R176">
        <f>IF(F175&lt;=0,0,MIN(AK176,F$7+IF(F$2=$AA176,$AC176,IF(F$2=$AF176,$AG176,0))))</f>
        <v/>
      </c>
      <c r="S176">
        <f>IF(G175&lt;=0,0,MIN(AL176,G$7+IF(G$2=$AA176,$AC176,IF(G$2=$AF176,$AG176,0))))</f>
        <v/>
      </c>
      <c r="T176">
        <f>IF(H175&lt;=0,0,MIN(AM176,H$7+IF(H$2=$AA176,$AC176,IF(H$2=$AF176,$AG176,0))))</f>
        <v/>
      </c>
      <c r="U176">
        <f>IF(I175&lt;=0,0,MIN(AN176,I$7+IF(I$2=$AA176,$AC176,IF(I$2=$AF176,$AG176,0))))</f>
        <v/>
      </c>
      <c r="V176">
        <f>IF(J175&lt;=0,0,MIN(AO176,J$7+IF(J$2=$AA176,$AC176,IF(J$2=$AF176,$AG176,0))))</f>
        <v/>
      </c>
      <c r="W176">
        <f>IF(K175&lt;=0,0,MIN(AP176,K$7+IF(K$2=$AA176,$AC176,IF(K$2=$AF176,$AG176,0))))</f>
        <v/>
      </c>
      <c r="X176">
        <f>IF(L175&lt;=0,0,MIN(AQ176,L$7+IF(L$2=$AA176,$AC176,IF(L$2=$AF176,$AG176,0))))</f>
        <v/>
      </c>
      <c r="Y176">
        <f>IF(M175&lt;=0,0,MIN(AR176,M$7+IF(M$2=$AA176,$AC176,IF(M$2=$AF176,$AG176,0))))</f>
        <v/>
      </c>
      <c r="Z176">
        <f>IF(N175&lt;=0,0,MIN(AS176,N$7+IF(N$2=$AA176,$AC176,IF(N$2=$AF176,$AG176,0))))</f>
        <v/>
      </c>
      <c r="AA176">
        <f>IFERROR(ROUND(1/SUMPRODUCT(MAX((C175:N175&gt;0)*($C$3:$N$3&lt;=B176)/$C$2:$N$2)),0),0)</f>
        <v/>
      </c>
      <c r="AB176">
        <f>SUMPRODUCT((C175:N175&gt;0)*$C$7:$N$7)</f>
        <v/>
      </c>
      <c r="AC176">
        <f>MAX(0,Plan!$C$5-AB176)+IF(A176=Plan!$C$8,N(Plan!$C$7),0)</f>
        <v/>
      </c>
      <c r="AD176">
        <f>SUM(C176:N176)</f>
        <v/>
      </c>
      <c r="AE176">
        <f>SUM(O176:Z176)</f>
        <v/>
      </c>
      <c r="AF176">
        <f>IFERROR(ROUND(1/SUMPRODUCT(MAX((C175:N175&gt;0)*($C$3:$N$3&lt;=B176)*($C$2:$N$2&gt;AA176)/$C$2:$N$2)),0),0)</f>
        <v/>
      </c>
      <c r="AG176">
        <f>MAX(0,AC176-MAX(0,SUMPRODUCT(($C$2:$N$2=AA176)*(AH176:AS176-$C$7:$N$7))))</f>
        <v/>
      </c>
      <c r="AH176">
        <f>IF(C175&lt;=0,0,ROUND(C175*(1+IF(AND(C$6&gt;0,$B176&lt;C$6),C$4,C$5)/12),2))</f>
        <v/>
      </c>
      <c r="AI176">
        <f>IF(D175&lt;=0,0,ROUND(D175*(1+IF(AND(D$6&gt;0,$B176&lt;D$6),D$4,D$5)/12),2))</f>
        <v/>
      </c>
      <c r="AJ176">
        <f>IF(E175&lt;=0,0,ROUND(E175*(1+IF(AND(E$6&gt;0,$B176&lt;E$6),E$4,E$5)/12),2))</f>
        <v/>
      </c>
      <c r="AK176">
        <f>IF(F175&lt;=0,0,ROUND(F175*(1+IF(AND(F$6&gt;0,$B176&lt;F$6),F$4,F$5)/12),2))</f>
        <v/>
      </c>
      <c r="AL176">
        <f>IF(G175&lt;=0,0,ROUND(G175*(1+IF(AND(G$6&gt;0,$B176&lt;G$6),G$4,G$5)/12),2))</f>
        <v/>
      </c>
      <c r="AM176">
        <f>IF(H175&lt;=0,0,ROUND(H175*(1+IF(AND(H$6&gt;0,$B176&lt;H$6),H$4,H$5)/12),2))</f>
        <v/>
      </c>
      <c r="AN176">
        <f>IF(I175&lt;=0,0,ROUND(I175*(1+IF(AND(I$6&gt;0,$B176&lt;I$6),I$4,I$5)/12),2))</f>
        <v/>
      </c>
      <c r="AO176">
        <f>IF(J175&lt;=0,0,ROUND(J175*(1+IF(AND(J$6&gt;0,$B176&lt;J$6),J$4,J$5)/12),2))</f>
        <v/>
      </c>
      <c r="AP176">
        <f>IF(K175&lt;=0,0,ROUND(K175*(1+IF(AND(K$6&gt;0,$B176&lt;K$6),K$4,K$5)/12),2))</f>
        <v/>
      </c>
      <c r="AQ176">
        <f>IF(L175&lt;=0,0,ROUND(L175*(1+IF(AND(L$6&gt;0,$B176&lt;L$6),L$4,L$5)/12),2))</f>
        <v/>
      </c>
      <c r="AR176">
        <f>IF(M175&lt;=0,0,ROUND(M175*(1+IF(AND(M$6&gt;0,$B176&lt;M$6),M$4,M$5)/12),2))</f>
        <v/>
      </c>
      <c r="AS176">
        <f>IF(N175&lt;=0,0,ROUND(N175*(1+IF(AND(N$6&gt;0,$B176&lt;N$6),N$4,N$5)/12),2))</f>
        <v/>
      </c>
    </row>
    <row r="177">
      <c r="A177" t="n">
        <v>166</v>
      </c>
      <c r="B177">
        <f>EDATE(Plan!$C$6,165)</f>
        <v/>
      </c>
      <c r="C177">
        <f>IF(C176&lt;=0,0,MAX(0,AH177-O177))</f>
        <v/>
      </c>
      <c r="D177">
        <f>IF(D176&lt;=0,0,MAX(0,AI177-P177))</f>
        <v/>
      </c>
      <c r="E177">
        <f>IF(E176&lt;=0,0,MAX(0,AJ177-Q177))</f>
        <v/>
      </c>
      <c r="F177">
        <f>IF(F176&lt;=0,0,MAX(0,AK177-R177))</f>
        <v/>
      </c>
      <c r="G177">
        <f>IF(G176&lt;=0,0,MAX(0,AL177-S177))</f>
        <v/>
      </c>
      <c r="H177">
        <f>IF(H176&lt;=0,0,MAX(0,AM177-T177))</f>
        <v/>
      </c>
      <c r="I177">
        <f>IF(I176&lt;=0,0,MAX(0,AN177-U177))</f>
        <v/>
      </c>
      <c r="J177">
        <f>IF(J176&lt;=0,0,MAX(0,AO177-V177))</f>
        <v/>
      </c>
      <c r="K177">
        <f>IF(K176&lt;=0,0,MAX(0,AP177-W177))</f>
        <v/>
      </c>
      <c r="L177">
        <f>IF(L176&lt;=0,0,MAX(0,AQ177-X177))</f>
        <v/>
      </c>
      <c r="M177">
        <f>IF(M176&lt;=0,0,MAX(0,AR177-Y177))</f>
        <v/>
      </c>
      <c r="N177">
        <f>IF(N176&lt;=0,0,MAX(0,AS177-Z177))</f>
        <v/>
      </c>
      <c r="O177">
        <f>IF(C176&lt;=0,0,MIN(AH177,C$7+IF(C$2=$AA177,$AC177,IF(C$2=$AF177,$AG177,0))))</f>
        <v/>
      </c>
      <c r="P177">
        <f>IF(D176&lt;=0,0,MIN(AI177,D$7+IF(D$2=$AA177,$AC177,IF(D$2=$AF177,$AG177,0))))</f>
        <v/>
      </c>
      <c r="Q177">
        <f>IF(E176&lt;=0,0,MIN(AJ177,E$7+IF(E$2=$AA177,$AC177,IF(E$2=$AF177,$AG177,0))))</f>
        <v/>
      </c>
      <c r="R177">
        <f>IF(F176&lt;=0,0,MIN(AK177,F$7+IF(F$2=$AA177,$AC177,IF(F$2=$AF177,$AG177,0))))</f>
        <v/>
      </c>
      <c r="S177">
        <f>IF(G176&lt;=0,0,MIN(AL177,G$7+IF(G$2=$AA177,$AC177,IF(G$2=$AF177,$AG177,0))))</f>
        <v/>
      </c>
      <c r="T177">
        <f>IF(H176&lt;=0,0,MIN(AM177,H$7+IF(H$2=$AA177,$AC177,IF(H$2=$AF177,$AG177,0))))</f>
        <v/>
      </c>
      <c r="U177">
        <f>IF(I176&lt;=0,0,MIN(AN177,I$7+IF(I$2=$AA177,$AC177,IF(I$2=$AF177,$AG177,0))))</f>
        <v/>
      </c>
      <c r="V177">
        <f>IF(J176&lt;=0,0,MIN(AO177,J$7+IF(J$2=$AA177,$AC177,IF(J$2=$AF177,$AG177,0))))</f>
        <v/>
      </c>
      <c r="W177">
        <f>IF(K176&lt;=0,0,MIN(AP177,K$7+IF(K$2=$AA177,$AC177,IF(K$2=$AF177,$AG177,0))))</f>
        <v/>
      </c>
      <c r="X177">
        <f>IF(L176&lt;=0,0,MIN(AQ177,L$7+IF(L$2=$AA177,$AC177,IF(L$2=$AF177,$AG177,0))))</f>
        <v/>
      </c>
      <c r="Y177">
        <f>IF(M176&lt;=0,0,MIN(AR177,M$7+IF(M$2=$AA177,$AC177,IF(M$2=$AF177,$AG177,0))))</f>
        <v/>
      </c>
      <c r="Z177">
        <f>IF(N176&lt;=0,0,MIN(AS177,N$7+IF(N$2=$AA177,$AC177,IF(N$2=$AF177,$AG177,0))))</f>
        <v/>
      </c>
      <c r="AA177">
        <f>IFERROR(ROUND(1/SUMPRODUCT(MAX((C176:N176&gt;0)*($C$3:$N$3&lt;=B177)/$C$2:$N$2)),0),0)</f>
        <v/>
      </c>
      <c r="AB177">
        <f>SUMPRODUCT((C176:N176&gt;0)*$C$7:$N$7)</f>
        <v/>
      </c>
      <c r="AC177">
        <f>MAX(0,Plan!$C$5-AB177)+IF(A177=Plan!$C$8,N(Plan!$C$7),0)</f>
        <v/>
      </c>
      <c r="AD177">
        <f>SUM(C177:N177)</f>
        <v/>
      </c>
      <c r="AE177">
        <f>SUM(O177:Z177)</f>
        <v/>
      </c>
      <c r="AF177">
        <f>IFERROR(ROUND(1/SUMPRODUCT(MAX((C176:N176&gt;0)*($C$3:$N$3&lt;=B177)*($C$2:$N$2&gt;AA177)/$C$2:$N$2)),0),0)</f>
        <v/>
      </c>
      <c r="AG177">
        <f>MAX(0,AC177-MAX(0,SUMPRODUCT(($C$2:$N$2=AA177)*(AH177:AS177-$C$7:$N$7))))</f>
        <v/>
      </c>
      <c r="AH177">
        <f>IF(C176&lt;=0,0,ROUND(C176*(1+IF(AND(C$6&gt;0,$B177&lt;C$6),C$4,C$5)/12),2))</f>
        <v/>
      </c>
      <c r="AI177">
        <f>IF(D176&lt;=0,0,ROUND(D176*(1+IF(AND(D$6&gt;0,$B177&lt;D$6),D$4,D$5)/12),2))</f>
        <v/>
      </c>
      <c r="AJ177">
        <f>IF(E176&lt;=0,0,ROUND(E176*(1+IF(AND(E$6&gt;0,$B177&lt;E$6),E$4,E$5)/12),2))</f>
        <v/>
      </c>
      <c r="AK177">
        <f>IF(F176&lt;=0,0,ROUND(F176*(1+IF(AND(F$6&gt;0,$B177&lt;F$6),F$4,F$5)/12),2))</f>
        <v/>
      </c>
      <c r="AL177">
        <f>IF(G176&lt;=0,0,ROUND(G176*(1+IF(AND(G$6&gt;0,$B177&lt;G$6),G$4,G$5)/12),2))</f>
        <v/>
      </c>
      <c r="AM177">
        <f>IF(H176&lt;=0,0,ROUND(H176*(1+IF(AND(H$6&gt;0,$B177&lt;H$6),H$4,H$5)/12),2))</f>
        <v/>
      </c>
      <c r="AN177">
        <f>IF(I176&lt;=0,0,ROUND(I176*(1+IF(AND(I$6&gt;0,$B177&lt;I$6),I$4,I$5)/12),2))</f>
        <v/>
      </c>
      <c r="AO177">
        <f>IF(J176&lt;=0,0,ROUND(J176*(1+IF(AND(J$6&gt;0,$B177&lt;J$6),J$4,J$5)/12),2))</f>
        <v/>
      </c>
      <c r="AP177">
        <f>IF(K176&lt;=0,0,ROUND(K176*(1+IF(AND(K$6&gt;0,$B177&lt;K$6),K$4,K$5)/12),2))</f>
        <v/>
      </c>
      <c r="AQ177">
        <f>IF(L176&lt;=0,0,ROUND(L176*(1+IF(AND(L$6&gt;0,$B177&lt;L$6),L$4,L$5)/12),2))</f>
        <v/>
      </c>
      <c r="AR177">
        <f>IF(M176&lt;=0,0,ROUND(M176*(1+IF(AND(M$6&gt;0,$B177&lt;M$6),M$4,M$5)/12),2))</f>
        <v/>
      </c>
      <c r="AS177">
        <f>IF(N176&lt;=0,0,ROUND(N176*(1+IF(AND(N$6&gt;0,$B177&lt;N$6),N$4,N$5)/12),2))</f>
        <v/>
      </c>
    </row>
    <row r="178">
      <c r="A178" t="n">
        <v>167</v>
      </c>
      <c r="B178">
        <f>EDATE(Plan!$C$6,166)</f>
        <v/>
      </c>
      <c r="C178">
        <f>IF(C177&lt;=0,0,MAX(0,AH178-O178))</f>
        <v/>
      </c>
      <c r="D178">
        <f>IF(D177&lt;=0,0,MAX(0,AI178-P178))</f>
        <v/>
      </c>
      <c r="E178">
        <f>IF(E177&lt;=0,0,MAX(0,AJ178-Q178))</f>
        <v/>
      </c>
      <c r="F178">
        <f>IF(F177&lt;=0,0,MAX(0,AK178-R178))</f>
        <v/>
      </c>
      <c r="G178">
        <f>IF(G177&lt;=0,0,MAX(0,AL178-S178))</f>
        <v/>
      </c>
      <c r="H178">
        <f>IF(H177&lt;=0,0,MAX(0,AM178-T178))</f>
        <v/>
      </c>
      <c r="I178">
        <f>IF(I177&lt;=0,0,MAX(0,AN178-U178))</f>
        <v/>
      </c>
      <c r="J178">
        <f>IF(J177&lt;=0,0,MAX(0,AO178-V178))</f>
        <v/>
      </c>
      <c r="K178">
        <f>IF(K177&lt;=0,0,MAX(0,AP178-W178))</f>
        <v/>
      </c>
      <c r="L178">
        <f>IF(L177&lt;=0,0,MAX(0,AQ178-X178))</f>
        <v/>
      </c>
      <c r="M178">
        <f>IF(M177&lt;=0,0,MAX(0,AR178-Y178))</f>
        <v/>
      </c>
      <c r="N178">
        <f>IF(N177&lt;=0,0,MAX(0,AS178-Z178))</f>
        <v/>
      </c>
      <c r="O178">
        <f>IF(C177&lt;=0,0,MIN(AH178,C$7+IF(C$2=$AA178,$AC178,IF(C$2=$AF178,$AG178,0))))</f>
        <v/>
      </c>
      <c r="P178">
        <f>IF(D177&lt;=0,0,MIN(AI178,D$7+IF(D$2=$AA178,$AC178,IF(D$2=$AF178,$AG178,0))))</f>
        <v/>
      </c>
      <c r="Q178">
        <f>IF(E177&lt;=0,0,MIN(AJ178,E$7+IF(E$2=$AA178,$AC178,IF(E$2=$AF178,$AG178,0))))</f>
        <v/>
      </c>
      <c r="R178">
        <f>IF(F177&lt;=0,0,MIN(AK178,F$7+IF(F$2=$AA178,$AC178,IF(F$2=$AF178,$AG178,0))))</f>
        <v/>
      </c>
      <c r="S178">
        <f>IF(G177&lt;=0,0,MIN(AL178,G$7+IF(G$2=$AA178,$AC178,IF(G$2=$AF178,$AG178,0))))</f>
        <v/>
      </c>
      <c r="T178">
        <f>IF(H177&lt;=0,0,MIN(AM178,H$7+IF(H$2=$AA178,$AC178,IF(H$2=$AF178,$AG178,0))))</f>
        <v/>
      </c>
      <c r="U178">
        <f>IF(I177&lt;=0,0,MIN(AN178,I$7+IF(I$2=$AA178,$AC178,IF(I$2=$AF178,$AG178,0))))</f>
        <v/>
      </c>
      <c r="V178">
        <f>IF(J177&lt;=0,0,MIN(AO178,J$7+IF(J$2=$AA178,$AC178,IF(J$2=$AF178,$AG178,0))))</f>
        <v/>
      </c>
      <c r="W178">
        <f>IF(K177&lt;=0,0,MIN(AP178,K$7+IF(K$2=$AA178,$AC178,IF(K$2=$AF178,$AG178,0))))</f>
        <v/>
      </c>
      <c r="X178">
        <f>IF(L177&lt;=0,0,MIN(AQ178,L$7+IF(L$2=$AA178,$AC178,IF(L$2=$AF178,$AG178,0))))</f>
        <v/>
      </c>
      <c r="Y178">
        <f>IF(M177&lt;=0,0,MIN(AR178,M$7+IF(M$2=$AA178,$AC178,IF(M$2=$AF178,$AG178,0))))</f>
        <v/>
      </c>
      <c r="Z178">
        <f>IF(N177&lt;=0,0,MIN(AS178,N$7+IF(N$2=$AA178,$AC178,IF(N$2=$AF178,$AG178,0))))</f>
        <v/>
      </c>
      <c r="AA178">
        <f>IFERROR(ROUND(1/SUMPRODUCT(MAX((C177:N177&gt;0)*($C$3:$N$3&lt;=B178)/$C$2:$N$2)),0),0)</f>
        <v/>
      </c>
      <c r="AB178">
        <f>SUMPRODUCT((C177:N177&gt;0)*$C$7:$N$7)</f>
        <v/>
      </c>
      <c r="AC178">
        <f>MAX(0,Plan!$C$5-AB178)+IF(A178=Plan!$C$8,N(Plan!$C$7),0)</f>
        <v/>
      </c>
      <c r="AD178">
        <f>SUM(C178:N178)</f>
        <v/>
      </c>
      <c r="AE178">
        <f>SUM(O178:Z178)</f>
        <v/>
      </c>
      <c r="AF178">
        <f>IFERROR(ROUND(1/SUMPRODUCT(MAX((C177:N177&gt;0)*($C$3:$N$3&lt;=B178)*($C$2:$N$2&gt;AA178)/$C$2:$N$2)),0),0)</f>
        <v/>
      </c>
      <c r="AG178">
        <f>MAX(0,AC178-MAX(0,SUMPRODUCT(($C$2:$N$2=AA178)*(AH178:AS178-$C$7:$N$7))))</f>
        <v/>
      </c>
      <c r="AH178">
        <f>IF(C177&lt;=0,0,ROUND(C177*(1+IF(AND(C$6&gt;0,$B178&lt;C$6),C$4,C$5)/12),2))</f>
        <v/>
      </c>
      <c r="AI178">
        <f>IF(D177&lt;=0,0,ROUND(D177*(1+IF(AND(D$6&gt;0,$B178&lt;D$6),D$4,D$5)/12),2))</f>
        <v/>
      </c>
      <c r="AJ178">
        <f>IF(E177&lt;=0,0,ROUND(E177*(1+IF(AND(E$6&gt;0,$B178&lt;E$6),E$4,E$5)/12),2))</f>
        <v/>
      </c>
      <c r="AK178">
        <f>IF(F177&lt;=0,0,ROUND(F177*(1+IF(AND(F$6&gt;0,$B178&lt;F$6),F$4,F$5)/12),2))</f>
        <v/>
      </c>
      <c r="AL178">
        <f>IF(G177&lt;=0,0,ROUND(G177*(1+IF(AND(G$6&gt;0,$B178&lt;G$6),G$4,G$5)/12),2))</f>
        <v/>
      </c>
      <c r="AM178">
        <f>IF(H177&lt;=0,0,ROUND(H177*(1+IF(AND(H$6&gt;0,$B178&lt;H$6),H$4,H$5)/12),2))</f>
        <v/>
      </c>
      <c r="AN178">
        <f>IF(I177&lt;=0,0,ROUND(I177*(1+IF(AND(I$6&gt;0,$B178&lt;I$6),I$4,I$5)/12),2))</f>
        <v/>
      </c>
      <c r="AO178">
        <f>IF(J177&lt;=0,0,ROUND(J177*(1+IF(AND(J$6&gt;0,$B178&lt;J$6),J$4,J$5)/12),2))</f>
        <v/>
      </c>
      <c r="AP178">
        <f>IF(K177&lt;=0,0,ROUND(K177*(1+IF(AND(K$6&gt;0,$B178&lt;K$6),K$4,K$5)/12),2))</f>
        <v/>
      </c>
      <c r="AQ178">
        <f>IF(L177&lt;=0,0,ROUND(L177*(1+IF(AND(L$6&gt;0,$B178&lt;L$6),L$4,L$5)/12),2))</f>
        <v/>
      </c>
      <c r="AR178">
        <f>IF(M177&lt;=0,0,ROUND(M177*(1+IF(AND(M$6&gt;0,$B178&lt;M$6),M$4,M$5)/12),2))</f>
        <v/>
      </c>
      <c r="AS178">
        <f>IF(N177&lt;=0,0,ROUND(N177*(1+IF(AND(N$6&gt;0,$B178&lt;N$6),N$4,N$5)/12),2))</f>
        <v/>
      </c>
    </row>
    <row r="179">
      <c r="A179" t="n">
        <v>168</v>
      </c>
      <c r="B179">
        <f>EDATE(Plan!$C$6,167)</f>
        <v/>
      </c>
      <c r="C179">
        <f>IF(C178&lt;=0,0,MAX(0,AH179-O179))</f>
        <v/>
      </c>
      <c r="D179">
        <f>IF(D178&lt;=0,0,MAX(0,AI179-P179))</f>
        <v/>
      </c>
      <c r="E179">
        <f>IF(E178&lt;=0,0,MAX(0,AJ179-Q179))</f>
        <v/>
      </c>
      <c r="F179">
        <f>IF(F178&lt;=0,0,MAX(0,AK179-R179))</f>
        <v/>
      </c>
      <c r="G179">
        <f>IF(G178&lt;=0,0,MAX(0,AL179-S179))</f>
        <v/>
      </c>
      <c r="H179">
        <f>IF(H178&lt;=0,0,MAX(0,AM179-T179))</f>
        <v/>
      </c>
      <c r="I179">
        <f>IF(I178&lt;=0,0,MAX(0,AN179-U179))</f>
        <v/>
      </c>
      <c r="J179">
        <f>IF(J178&lt;=0,0,MAX(0,AO179-V179))</f>
        <v/>
      </c>
      <c r="K179">
        <f>IF(K178&lt;=0,0,MAX(0,AP179-W179))</f>
        <v/>
      </c>
      <c r="L179">
        <f>IF(L178&lt;=0,0,MAX(0,AQ179-X179))</f>
        <v/>
      </c>
      <c r="M179">
        <f>IF(M178&lt;=0,0,MAX(0,AR179-Y179))</f>
        <v/>
      </c>
      <c r="N179">
        <f>IF(N178&lt;=0,0,MAX(0,AS179-Z179))</f>
        <v/>
      </c>
      <c r="O179">
        <f>IF(C178&lt;=0,0,MIN(AH179,C$7+IF(C$2=$AA179,$AC179,IF(C$2=$AF179,$AG179,0))))</f>
        <v/>
      </c>
      <c r="P179">
        <f>IF(D178&lt;=0,0,MIN(AI179,D$7+IF(D$2=$AA179,$AC179,IF(D$2=$AF179,$AG179,0))))</f>
        <v/>
      </c>
      <c r="Q179">
        <f>IF(E178&lt;=0,0,MIN(AJ179,E$7+IF(E$2=$AA179,$AC179,IF(E$2=$AF179,$AG179,0))))</f>
        <v/>
      </c>
      <c r="R179">
        <f>IF(F178&lt;=0,0,MIN(AK179,F$7+IF(F$2=$AA179,$AC179,IF(F$2=$AF179,$AG179,0))))</f>
        <v/>
      </c>
      <c r="S179">
        <f>IF(G178&lt;=0,0,MIN(AL179,G$7+IF(G$2=$AA179,$AC179,IF(G$2=$AF179,$AG179,0))))</f>
        <v/>
      </c>
      <c r="T179">
        <f>IF(H178&lt;=0,0,MIN(AM179,H$7+IF(H$2=$AA179,$AC179,IF(H$2=$AF179,$AG179,0))))</f>
        <v/>
      </c>
      <c r="U179">
        <f>IF(I178&lt;=0,0,MIN(AN179,I$7+IF(I$2=$AA179,$AC179,IF(I$2=$AF179,$AG179,0))))</f>
        <v/>
      </c>
      <c r="V179">
        <f>IF(J178&lt;=0,0,MIN(AO179,J$7+IF(J$2=$AA179,$AC179,IF(J$2=$AF179,$AG179,0))))</f>
        <v/>
      </c>
      <c r="W179">
        <f>IF(K178&lt;=0,0,MIN(AP179,K$7+IF(K$2=$AA179,$AC179,IF(K$2=$AF179,$AG179,0))))</f>
        <v/>
      </c>
      <c r="X179">
        <f>IF(L178&lt;=0,0,MIN(AQ179,L$7+IF(L$2=$AA179,$AC179,IF(L$2=$AF179,$AG179,0))))</f>
        <v/>
      </c>
      <c r="Y179">
        <f>IF(M178&lt;=0,0,MIN(AR179,M$7+IF(M$2=$AA179,$AC179,IF(M$2=$AF179,$AG179,0))))</f>
        <v/>
      </c>
      <c r="Z179">
        <f>IF(N178&lt;=0,0,MIN(AS179,N$7+IF(N$2=$AA179,$AC179,IF(N$2=$AF179,$AG179,0))))</f>
        <v/>
      </c>
      <c r="AA179">
        <f>IFERROR(ROUND(1/SUMPRODUCT(MAX((C178:N178&gt;0)*($C$3:$N$3&lt;=B179)/$C$2:$N$2)),0),0)</f>
        <v/>
      </c>
      <c r="AB179">
        <f>SUMPRODUCT((C178:N178&gt;0)*$C$7:$N$7)</f>
        <v/>
      </c>
      <c r="AC179">
        <f>MAX(0,Plan!$C$5-AB179)+IF(A179=Plan!$C$8,N(Plan!$C$7),0)</f>
        <v/>
      </c>
      <c r="AD179">
        <f>SUM(C179:N179)</f>
        <v/>
      </c>
      <c r="AE179">
        <f>SUM(O179:Z179)</f>
        <v/>
      </c>
      <c r="AF179">
        <f>IFERROR(ROUND(1/SUMPRODUCT(MAX((C178:N178&gt;0)*($C$3:$N$3&lt;=B179)*($C$2:$N$2&gt;AA179)/$C$2:$N$2)),0),0)</f>
        <v/>
      </c>
      <c r="AG179">
        <f>MAX(0,AC179-MAX(0,SUMPRODUCT(($C$2:$N$2=AA179)*(AH179:AS179-$C$7:$N$7))))</f>
        <v/>
      </c>
      <c r="AH179">
        <f>IF(C178&lt;=0,0,ROUND(C178*(1+IF(AND(C$6&gt;0,$B179&lt;C$6),C$4,C$5)/12),2))</f>
        <v/>
      </c>
      <c r="AI179">
        <f>IF(D178&lt;=0,0,ROUND(D178*(1+IF(AND(D$6&gt;0,$B179&lt;D$6),D$4,D$5)/12),2))</f>
        <v/>
      </c>
      <c r="AJ179">
        <f>IF(E178&lt;=0,0,ROUND(E178*(1+IF(AND(E$6&gt;0,$B179&lt;E$6),E$4,E$5)/12),2))</f>
        <v/>
      </c>
      <c r="AK179">
        <f>IF(F178&lt;=0,0,ROUND(F178*(1+IF(AND(F$6&gt;0,$B179&lt;F$6),F$4,F$5)/12),2))</f>
        <v/>
      </c>
      <c r="AL179">
        <f>IF(G178&lt;=0,0,ROUND(G178*(1+IF(AND(G$6&gt;0,$B179&lt;G$6),G$4,G$5)/12),2))</f>
        <v/>
      </c>
      <c r="AM179">
        <f>IF(H178&lt;=0,0,ROUND(H178*(1+IF(AND(H$6&gt;0,$B179&lt;H$6),H$4,H$5)/12),2))</f>
        <v/>
      </c>
      <c r="AN179">
        <f>IF(I178&lt;=0,0,ROUND(I178*(1+IF(AND(I$6&gt;0,$B179&lt;I$6),I$4,I$5)/12),2))</f>
        <v/>
      </c>
      <c r="AO179">
        <f>IF(J178&lt;=0,0,ROUND(J178*(1+IF(AND(J$6&gt;0,$B179&lt;J$6),J$4,J$5)/12),2))</f>
        <v/>
      </c>
      <c r="AP179">
        <f>IF(K178&lt;=0,0,ROUND(K178*(1+IF(AND(K$6&gt;0,$B179&lt;K$6),K$4,K$5)/12),2))</f>
        <v/>
      </c>
      <c r="AQ179">
        <f>IF(L178&lt;=0,0,ROUND(L178*(1+IF(AND(L$6&gt;0,$B179&lt;L$6),L$4,L$5)/12),2))</f>
        <v/>
      </c>
      <c r="AR179">
        <f>IF(M178&lt;=0,0,ROUND(M178*(1+IF(AND(M$6&gt;0,$B179&lt;M$6),M$4,M$5)/12),2))</f>
        <v/>
      </c>
      <c r="AS179">
        <f>IF(N178&lt;=0,0,ROUND(N178*(1+IF(AND(N$6&gt;0,$B179&lt;N$6),N$4,N$5)/12),2))</f>
        <v/>
      </c>
    </row>
    <row r="180">
      <c r="A180" t="n">
        <v>169</v>
      </c>
      <c r="B180">
        <f>EDATE(Plan!$C$6,168)</f>
        <v/>
      </c>
      <c r="C180">
        <f>IF(C179&lt;=0,0,MAX(0,AH180-O180))</f>
        <v/>
      </c>
      <c r="D180">
        <f>IF(D179&lt;=0,0,MAX(0,AI180-P180))</f>
        <v/>
      </c>
      <c r="E180">
        <f>IF(E179&lt;=0,0,MAX(0,AJ180-Q180))</f>
        <v/>
      </c>
      <c r="F180">
        <f>IF(F179&lt;=0,0,MAX(0,AK180-R180))</f>
        <v/>
      </c>
      <c r="G180">
        <f>IF(G179&lt;=0,0,MAX(0,AL180-S180))</f>
        <v/>
      </c>
      <c r="H180">
        <f>IF(H179&lt;=0,0,MAX(0,AM180-T180))</f>
        <v/>
      </c>
      <c r="I180">
        <f>IF(I179&lt;=0,0,MAX(0,AN180-U180))</f>
        <v/>
      </c>
      <c r="J180">
        <f>IF(J179&lt;=0,0,MAX(0,AO180-V180))</f>
        <v/>
      </c>
      <c r="K180">
        <f>IF(K179&lt;=0,0,MAX(0,AP180-W180))</f>
        <v/>
      </c>
      <c r="L180">
        <f>IF(L179&lt;=0,0,MAX(0,AQ180-X180))</f>
        <v/>
      </c>
      <c r="M180">
        <f>IF(M179&lt;=0,0,MAX(0,AR180-Y180))</f>
        <v/>
      </c>
      <c r="N180">
        <f>IF(N179&lt;=0,0,MAX(0,AS180-Z180))</f>
        <v/>
      </c>
      <c r="O180">
        <f>IF(C179&lt;=0,0,MIN(AH180,C$7+IF(C$2=$AA180,$AC180,IF(C$2=$AF180,$AG180,0))))</f>
        <v/>
      </c>
      <c r="P180">
        <f>IF(D179&lt;=0,0,MIN(AI180,D$7+IF(D$2=$AA180,$AC180,IF(D$2=$AF180,$AG180,0))))</f>
        <v/>
      </c>
      <c r="Q180">
        <f>IF(E179&lt;=0,0,MIN(AJ180,E$7+IF(E$2=$AA180,$AC180,IF(E$2=$AF180,$AG180,0))))</f>
        <v/>
      </c>
      <c r="R180">
        <f>IF(F179&lt;=0,0,MIN(AK180,F$7+IF(F$2=$AA180,$AC180,IF(F$2=$AF180,$AG180,0))))</f>
        <v/>
      </c>
      <c r="S180">
        <f>IF(G179&lt;=0,0,MIN(AL180,G$7+IF(G$2=$AA180,$AC180,IF(G$2=$AF180,$AG180,0))))</f>
        <v/>
      </c>
      <c r="T180">
        <f>IF(H179&lt;=0,0,MIN(AM180,H$7+IF(H$2=$AA180,$AC180,IF(H$2=$AF180,$AG180,0))))</f>
        <v/>
      </c>
      <c r="U180">
        <f>IF(I179&lt;=0,0,MIN(AN180,I$7+IF(I$2=$AA180,$AC180,IF(I$2=$AF180,$AG180,0))))</f>
        <v/>
      </c>
      <c r="V180">
        <f>IF(J179&lt;=0,0,MIN(AO180,J$7+IF(J$2=$AA180,$AC180,IF(J$2=$AF180,$AG180,0))))</f>
        <v/>
      </c>
      <c r="W180">
        <f>IF(K179&lt;=0,0,MIN(AP180,K$7+IF(K$2=$AA180,$AC180,IF(K$2=$AF180,$AG180,0))))</f>
        <v/>
      </c>
      <c r="X180">
        <f>IF(L179&lt;=0,0,MIN(AQ180,L$7+IF(L$2=$AA180,$AC180,IF(L$2=$AF180,$AG180,0))))</f>
        <v/>
      </c>
      <c r="Y180">
        <f>IF(M179&lt;=0,0,MIN(AR180,M$7+IF(M$2=$AA180,$AC180,IF(M$2=$AF180,$AG180,0))))</f>
        <v/>
      </c>
      <c r="Z180">
        <f>IF(N179&lt;=0,0,MIN(AS180,N$7+IF(N$2=$AA180,$AC180,IF(N$2=$AF180,$AG180,0))))</f>
        <v/>
      </c>
      <c r="AA180">
        <f>IFERROR(ROUND(1/SUMPRODUCT(MAX((C179:N179&gt;0)*($C$3:$N$3&lt;=B180)/$C$2:$N$2)),0),0)</f>
        <v/>
      </c>
      <c r="AB180">
        <f>SUMPRODUCT((C179:N179&gt;0)*$C$7:$N$7)</f>
        <v/>
      </c>
      <c r="AC180">
        <f>MAX(0,Plan!$C$5-AB180)+IF(A180=Plan!$C$8,N(Plan!$C$7),0)</f>
        <v/>
      </c>
      <c r="AD180">
        <f>SUM(C180:N180)</f>
        <v/>
      </c>
      <c r="AE180">
        <f>SUM(O180:Z180)</f>
        <v/>
      </c>
      <c r="AF180">
        <f>IFERROR(ROUND(1/SUMPRODUCT(MAX((C179:N179&gt;0)*($C$3:$N$3&lt;=B180)*($C$2:$N$2&gt;AA180)/$C$2:$N$2)),0),0)</f>
        <v/>
      </c>
      <c r="AG180">
        <f>MAX(0,AC180-MAX(0,SUMPRODUCT(($C$2:$N$2=AA180)*(AH180:AS180-$C$7:$N$7))))</f>
        <v/>
      </c>
      <c r="AH180">
        <f>IF(C179&lt;=0,0,ROUND(C179*(1+IF(AND(C$6&gt;0,$B180&lt;C$6),C$4,C$5)/12),2))</f>
        <v/>
      </c>
      <c r="AI180">
        <f>IF(D179&lt;=0,0,ROUND(D179*(1+IF(AND(D$6&gt;0,$B180&lt;D$6),D$4,D$5)/12),2))</f>
        <v/>
      </c>
      <c r="AJ180">
        <f>IF(E179&lt;=0,0,ROUND(E179*(1+IF(AND(E$6&gt;0,$B180&lt;E$6),E$4,E$5)/12),2))</f>
        <v/>
      </c>
      <c r="AK180">
        <f>IF(F179&lt;=0,0,ROUND(F179*(1+IF(AND(F$6&gt;0,$B180&lt;F$6),F$4,F$5)/12),2))</f>
        <v/>
      </c>
      <c r="AL180">
        <f>IF(G179&lt;=0,0,ROUND(G179*(1+IF(AND(G$6&gt;0,$B180&lt;G$6),G$4,G$5)/12),2))</f>
        <v/>
      </c>
      <c r="AM180">
        <f>IF(H179&lt;=0,0,ROUND(H179*(1+IF(AND(H$6&gt;0,$B180&lt;H$6),H$4,H$5)/12),2))</f>
        <v/>
      </c>
      <c r="AN180">
        <f>IF(I179&lt;=0,0,ROUND(I179*(1+IF(AND(I$6&gt;0,$B180&lt;I$6),I$4,I$5)/12),2))</f>
        <v/>
      </c>
      <c r="AO180">
        <f>IF(J179&lt;=0,0,ROUND(J179*(1+IF(AND(J$6&gt;0,$B180&lt;J$6),J$4,J$5)/12),2))</f>
        <v/>
      </c>
      <c r="AP180">
        <f>IF(K179&lt;=0,0,ROUND(K179*(1+IF(AND(K$6&gt;0,$B180&lt;K$6),K$4,K$5)/12),2))</f>
        <v/>
      </c>
      <c r="AQ180">
        <f>IF(L179&lt;=0,0,ROUND(L179*(1+IF(AND(L$6&gt;0,$B180&lt;L$6),L$4,L$5)/12),2))</f>
        <v/>
      </c>
      <c r="AR180">
        <f>IF(M179&lt;=0,0,ROUND(M179*(1+IF(AND(M$6&gt;0,$B180&lt;M$6),M$4,M$5)/12),2))</f>
        <v/>
      </c>
      <c r="AS180">
        <f>IF(N179&lt;=0,0,ROUND(N179*(1+IF(AND(N$6&gt;0,$B180&lt;N$6),N$4,N$5)/12),2))</f>
        <v/>
      </c>
    </row>
    <row r="181">
      <c r="A181" t="n">
        <v>170</v>
      </c>
      <c r="B181">
        <f>EDATE(Plan!$C$6,169)</f>
        <v/>
      </c>
      <c r="C181">
        <f>IF(C180&lt;=0,0,MAX(0,AH181-O181))</f>
        <v/>
      </c>
      <c r="D181">
        <f>IF(D180&lt;=0,0,MAX(0,AI181-P181))</f>
        <v/>
      </c>
      <c r="E181">
        <f>IF(E180&lt;=0,0,MAX(0,AJ181-Q181))</f>
        <v/>
      </c>
      <c r="F181">
        <f>IF(F180&lt;=0,0,MAX(0,AK181-R181))</f>
        <v/>
      </c>
      <c r="G181">
        <f>IF(G180&lt;=0,0,MAX(0,AL181-S181))</f>
        <v/>
      </c>
      <c r="H181">
        <f>IF(H180&lt;=0,0,MAX(0,AM181-T181))</f>
        <v/>
      </c>
      <c r="I181">
        <f>IF(I180&lt;=0,0,MAX(0,AN181-U181))</f>
        <v/>
      </c>
      <c r="J181">
        <f>IF(J180&lt;=0,0,MAX(0,AO181-V181))</f>
        <v/>
      </c>
      <c r="K181">
        <f>IF(K180&lt;=0,0,MAX(0,AP181-W181))</f>
        <v/>
      </c>
      <c r="L181">
        <f>IF(L180&lt;=0,0,MAX(0,AQ181-X181))</f>
        <v/>
      </c>
      <c r="M181">
        <f>IF(M180&lt;=0,0,MAX(0,AR181-Y181))</f>
        <v/>
      </c>
      <c r="N181">
        <f>IF(N180&lt;=0,0,MAX(0,AS181-Z181))</f>
        <v/>
      </c>
      <c r="O181">
        <f>IF(C180&lt;=0,0,MIN(AH181,C$7+IF(C$2=$AA181,$AC181,IF(C$2=$AF181,$AG181,0))))</f>
        <v/>
      </c>
      <c r="P181">
        <f>IF(D180&lt;=0,0,MIN(AI181,D$7+IF(D$2=$AA181,$AC181,IF(D$2=$AF181,$AG181,0))))</f>
        <v/>
      </c>
      <c r="Q181">
        <f>IF(E180&lt;=0,0,MIN(AJ181,E$7+IF(E$2=$AA181,$AC181,IF(E$2=$AF181,$AG181,0))))</f>
        <v/>
      </c>
      <c r="R181">
        <f>IF(F180&lt;=0,0,MIN(AK181,F$7+IF(F$2=$AA181,$AC181,IF(F$2=$AF181,$AG181,0))))</f>
        <v/>
      </c>
      <c r="S181">
        <f>IF(G180&lt;=0,0,MIN(AL181,G$7+IF(G$2=$AA181,$AC181,IF(G$2=$AF181,$AG181,0))))</f>
        <v/>
      </c>
      <c r="T181">
        <f>IF(H180&lt;=0,0,MIN(AM181,H$7+IF(H$2=$AA181,$AC181,IF(H$2=$AF181,$AG181,0))))</f>
        <v/>
      </c>
      <c r="U181">
        <f>IF(I180&lt;=0,0,MIN(AN181,I$7+IF(I$2=$AA181,$AC181,IF(I$2=$AF181,$AG181,0))))</f>
        <v/>
      </c>
      <c r="V181">
        <f>IF(J180&lt;=0,0,MIN(AO181,J$7+IF(J$2=$AA181,$AC181,IF(J$2=$AF181,$AG181,0))))</f>
        <v/>
      </c>
      <c r="W181">
        <f>IF(K180&lt;=0,0,MIN(AP181,K$7+IF(K$2=$AA181,$AC181,IF(K$2=$AF181,$AG181,0))))</f>
        <v/>
      </c>
      <c r="X181">
        <f>IF(L180&lt;=0,0,MIN(AQ181,L$7+IF(L$2=$AA181,$AC181,IF(L$2=$AF181,$AG181,0))))</f>
        <v/>
      </c>
      <c r="Y181">
        <f>IF(M180&lt;=0,0,MIN(AR181,M$7+IF(M$2=$AA181,$AC181,IF(M$2=$AF181,$AG181,0))))</f>
        <v/>
      </c>
      <c r="Z181">
        <f>IF(N180&lt;=0,0,MIN(AS181,N$7+IF(N$2=$AA181,$AC181,IF(N$2=$AF181,$AG181,0))))</f>
        <v/>
      </c>
      <c r="AA181">
        <f>IFERROR(ROUND(1/SUMPRODUCT(MAX((C180:N180&gt;0)*($C$3:$N$3&lt;=B181)/$C$2:$N$2)),0),0)</f>
        <v/>
      </c>
      <c r="AB181">
        <f>SUMPRODUCT((C180:N180&gt;0)*$C$7:$N$7)</f>
        <v/>
      </c>
      <c r="AC181">
        <f>MAX(0,Plan!$C$5-AB181)+IF(A181=Plan!$C$8,N(Plan!$C$7),0)</f>
        <v/>
      </c>
      <c r="AD181">
        <f>SUM(C181:N181)</f>
        <v/>
      </c>
      <c r="AE181">
        <f>SUM(O181:Z181)</f>
        <v/>
      </c>
      <c r="AF181">
        <f>IFERROR(ROUND(1/SUMPRODUCT(MAX((C180:N180&gt;0)*($C$3:$N$3&lt;=B181)*($C$2:$N$2&gt;AA181)/$C$2:$N$2)),0),0)</f>
        <v/>
      </c>
      <c r="AG181">
        <f>MAX(0,AC181-MAX(0,SUMPRODUCT(($C$2:$N$2=AA181)*(AH181:AS181-$C$7:$N$7))))</f>
        <v/>
      </c>
      <c r="AH181">
        <f>IF(C180&lt;=0,0,ROUND(C180*(1+IF(AND(C$6&gt;0,$B181&lt;C$6),C$4,C$5)/12),2))</f>
        <v/>
      </c>
      <c r="AI181">
        <f>IF(D180&lt;=0,0,ROUND(D180*(1+IF(AND(D$6&gt;0,$B181&lt;D$6),D$4,D$5)/12),2))</f>
        <v/>
      </c>
      <c r="AJ181">
        <f>IF(E180&lt;=0,0,ROUND(E180*(1+IF(AND(E$6&gt;0,$B181&lt;E$6),E$4,E$5)/12),2))</f>
        <v/>
      </c>
      <c r="AK181">
        <f>IF(F180&lt;=0,0,ROUND(F180*(1+IF(AND(F$6&gt;0,$B181&lt;F$6),F$4,F$5)/12),2))</f>
        <v/>
      </c>
      <c r="AL181">
        <f>IF(G180&lt;=0,0,ROUND(G180*(1+IF(AND(G$6&gt;0,$B181&lt;G$6),G$4,G$5)/12),2))</f>
        <v/>
      </c>
      <c r="AM181">
        <f>IF(H180&lt;=0,0,ROUND(H180*(1+IF(AND(H$6&gt;0,$B181&lt;H$6),H$4,H$5)/12),2))</f>
        <v/>
      </c>
      <c r="AN181">
        <f>IF(I180&lt;=0,0,ROUND(I180*(1+IF(AND(I$6&gt;0,$B181&lt;I$6),I$4,I$5)/12),2))</f>
        <v/>
      </c>
      <c r="AO181">
        <f>IF(J180&lt;=0,0,ROUND(J180*(1+IF(AND(J$6&gt;0,$B181&lt;J$6),J$4,J$5)/12),2))</f>
        <v/>
      </c>
      <c r="AP181">
        <f>IF(K180&lt;=0,0,ROUND(K180*(1+IF(AND(K$6&gt;0,$B181&lt;K$6),K$4,K$5)/12),2))</f>
        <v/>
      </c>
      <c r="AQ181">
        <f>IF(L180&lt;=0,0,ROUND(L180*(1+IF(AND(L$6&gt;0,$B181&lt;L$6),L$4,L$5)/12),2))</f>
        <v/>
      </c>
      <c r="AR181">
        <f>IF(M180&lt;=0,0,ROUND(M180*(1+IF(AND(M$6&gt;0,$B181&lt;M$6),M$4,M$5)/12),2))</f>
        <v/>
      </c>
      <c r="AS181">
        <f>IF(N180&lt;=0,0,ROUND(N180*(1+IF(AND(N$6&gt;0,$B181&lt;N$6),N$4,N$5)/12),2))</f>
        <v/>
      </c>
    </row>
    <row r="182">
      <c r="A182" t="n">
        <v>171</v>
      </c>
      <c r="B182">
        <f>EDATE(Plan!$C$6,170)</f>
        <v/>
      </c>
      <c r="C182">
        <f>IF(C181&lt;=0,0,MAX(0,AH182-O182))</f>
        <v/>
      </c>
      <c r="D182">
        <f>IF(D181&lt;=0,0,MAX(0,AI182-P182))</f>
        <v/>
      </c>
      <c r="E182">
        <f>IF(E181&lt;=0,0,MAX(0,AJ182-Q182))</f>
        <v/>
      </c>
      <c r="F182">
        <f>IF(F181&lt;=0,0,MAX(0,AK182-R182))</f>
        <v/>
      </c>
      <c r="G182">
        <f>IF(G181&lt;=0,0,MAX(0,AL182-S182))</f>
        <v/>
      </c>
      <c r="H182">
        <f>IF(H181&lt;=0,0,MAX(0,AM182-T182))</f>
        <v/>
      </c>
      <c r="I182">
        <f>IF(I181&lt;=0,0,MAX(0,AN182-U182))</f>
        <v/>
      </c>
      <c r="J182">
        <f>IF(J181&lt;=0,0,MAX(0,AO182-V182))</f>
        <v/>
      </c>
      <c r="K182">
        <f>IF(K181&lt;=0,0,MAX(0,AP182-W182))</f>
        <v/>
      </c>
      <c r="L182">
        <f>IF(L181&lt;=0,0,MAX(0,AQ182-X182))</f>
        <v/>
      </c>
      <c r="M182">
        <f>IF(M181&lt;=0,0,MAX(0,AR182-Y182))</f>
        <v/>
      </c>
      <c r="N182">
        <f>IF(N181&lt;=0,0,MAX(0,AS182-Z182))</f>
        <v/>
      </c>
      <c r="O182">
        <f>IF(C181&lt;=0,0,MIN(AH182,C$7+IF(C$2=$AA182,$AC182,IF(C$2=$AF182,$AG182,0))))</f>
        <v/>
      </c>
      <c r="P182">
        <f>IF(D181&lt;=0,0,MIN(AI182,D$7+IF(D$2=$AA182,$AC182,IF(D$2=$AF182,$AG182,0))))</f>
        <v/>
      </c>
      <c r="Q182">
        <f>IF(E181&lt;=0,0,MIN(AJ182,E$7+IF(E$2=$AA182,$AC182,IF(E$2=$AF182,$AG182,0))))</f>
        <v/>
      </c>
      <c r="R182">
        <f>IF(F181&lt;=0,0,MIN(AK182,F$7+IF(F$2=$AA182,$AC182,IF(F$2=$AF182,$AG182,0))))</f>
        <v/>
      </c>
      <c r="S182">
        <f>IF(G181&lt;=0,0,MIN(AL182,G$7+IF(G$2=$AA182,$AC182,IF(G$2=$AF182,$AG182,0))))</f>
        <v/>
      </c>
      <c r="T182">
        <f>IF(H181&lt;=0,0,MIN(AM182,H$7+IF(H$2=$AA182,$AC182,IF(H$2=$AF182,$AG182,0))))</f>
        <v/>
      </c>
      <c r="U182">
        <f>IF(I181&lt;=0,0,MIN(AN182,I$7+IF(I$2=$AA182,$AC182,IF(I$2=$AF182,$AG182,0))))</f>
        <v/>
      </c>
      <c r="V182">
        <f>IF(J181&lt;=0,0,MIN(AO182,J$7+IF(J$2=$AA182,$AC182,IF(J$2=$AF182,$AG182,0))))</f>
        <v/>
      </c>
      <c r="W182">
        <f>IF(K181&lt;=0,0,MIN(AP182,K$7+IF(K$2=$AA182,$AC182,IF(K$2=$AF182,$AG182,0))))</f>
        <v/>
      </c>
      <c r="X182">
        <f>IF(L181&lt;=0,0,MIN(AQ182,L$7+IF(L$2=$AA182,$AC182,IF(L$2=$AF182,$AG182,0))))</f>
        <v/>
      </c>
      <c r="Y182">
        <f>IF(M181&lt;=0,0,MIN(AR182,M$7+IF(M$2=$AA182,$AC182,IF(M$2=$AF182,$AG182,0))))</f>
        <v/>
      </c>
      <c r="Z182">
        <f>IF(N181&lt;=0,0,MIN(AS182,N$7+IF(N$2=$AA182,$AC182,IF(N$2=$AF182,$AG182,0))))</f>
        <v/>
      </c>
      <c r="AA182">
        <f>IFERROR(ROUND(1/SUMPRODUCT(MAX((C181:N181&gt;0)*($C$3:$N$3&lt;=B182)/$C$2:$N$2)),0),0)</f>
        <v/>
      </c>
      <c r="AB182">
        <f>SUMPRODUCT((C181:N181&gt;0)*$C$7:$N$7)</f>
        <v/>
      </c>
      <c r="AC182">
        <f>MAX(0,Plan!$C$5-AB182)+IF(A182=Plan!$C$8,N(Plan!$C$7),0)</f>
        <v/>
      </c>
      <c r="AD182">
        <f>SUM(C182:N182)</f>
        <v/>
      </c>
      <c r="AE182">
        <f>SUM(O182:Z182)</f>
        <v/>
      </c>
      <c r="AF182">
        <f>IFERROR(ROUND(1/SUMPRODUCT(MAX((C181:N181&gt;0)*($C$3:$N$3&lt;=B182)*($C$2:$N$2&gt;AA182)/$C$2:$N$2)),0),0)</f>
        <v/>
      </c>
      <c r="AG182">
        <f>MAX(0,AC182-MAX(0,SUMPRODUCT(($C$2:$N$2=AA182)*(AH182:AS182-$C$7:$N$7))))</f>
        <v/>
      </c>
      <c r="AH182">
        <f>IF(C181&lt;=0,0,ROUND(C181*(1+IF(AND(C$6&gt;0,$B182&lt;C$6),C$4,C$5)/12),2))</f>
        <v/>
      </c>
      <c r="AI182">
        <f>IF(D181&lt;=0,0,ROUND(D181*(1+IF(AND(D$6&gt;0,$B182&lt;D$6),D$4,D$5)/12),2))</f>
        <v/>
      </c>
      <c r="AJ182">
        <f>IF(E181&lt;=0,0,ROUND(E181*(1+IF(AND(E$6&gt;0,$B182&lt;E$6),E$4,E$5)/12),2))</f>
        <v/>
      </c>
      <c r="AK182">
        <f>IF(F181&lt;=0,0,ROUND(F181*(1+IF(AND(F$6&gt;0,$B182&lt;F$6),F$4,F$5)/12),2))</f>
        <v/>
      </c>
      <c r="AL182">
        <f>IF(G181&lt;=0,0,ROUND(G181*(1+IF(AND(G$6&gt;0,$B182&lt;G$6),G$4,G$5)/12),2))</f>
        <v/>
      </c>
      <c r="AM182">
        <f>IF(H181&lt;=0,0,ROUND(H181*(1+IF(AND(H$6&gt;0,$B182&lt;H$6),H$4,H$5)/12),2))</f>
        <v/>
      </c>
      <c r="AN182">
        <f>IF(I181&lt;=0,0,ROUND(I181*(1+IF(AND(I$6&gt;0,$B182&lt;I$6),I$4,I$5)/12),2))</f>
        <v/>
      </c>
      <c r="AO182">
        <f>IF(J181&lt;=0,0,ROUND(J181*(1+IF(AND(J$6&gt;0,$B182&lt;J$6),J$4,J$5)/12),2))</f>
        <v/>
      </c>
      <c r="AP182">
        <f>IF(K181&lt;=0,0,ROUND(K181*(1+IF(AND(K$6&gt;0,$B182&lt;K$6),K$4,K$5)/12),2))</f>
        <v/>
      </c>
      <c r="AQ182">
        <f>IF(L181&lt;=0,0,ROUND(L181*(1+IF(AND(L$6&gt;0,$B182&lt;L$6),L$4,L$5)/12),2))</f>
        <v/>
      </c>
      <c r="AR182">
        <f>IF(M181&lt;=0,0,ROUND(M181*(1+IF(AND(M$6&gt;0,$B182&lt;M$6),M$4,M$5)/12),2))</f>
        <v/>
      </c>
      <c r="AS182">
        <f>IF(N181&lt;=0,0,ROUND(N181*(1+IF(AND(N$6&gt;0,$B182&lt;N$6),N$4,N$5)/12),2))</f>
        <v/>
      </c>
    </row>
    <row r="183">
      <c r="A183" t="n">
        <v>172</v>
      </c>
      <c r="B183">
        <f>EDATE(Plan!$C$6,171)</f>
        <v/>
      </c>
      <c r="C183">
        <f>IF(C182&lt;=0,0,MAX(0,AH183-O183))</f>
        <v/>
      </c>
      <c r="D183">
        <f>IF(D182&lt;=0,0,MAX(0,AI183-P183))</f>
        <v/>
      </c>
      <c r="E183">
        <f>IF(E182&lt;=0,0,MAX(0,AJ183-Q183))</f>
        <v/>
      </c>
      <c r="F183">
        <f>IF(F182&lt;=0,0,MAX(0,AK183-R183))</f>
        <v/>
      </c>
      <c r="G183">
        <f>IF(G182&lt;=0,0,MAX(0,AL183-S183))</f>
        <v/>
      </c>
      <c r="H183">
        <f>IF(H182&lt;=0,0,MAX(0,AM183-T183))</f>
        <v/>
      </c>
      <c r="I183">
        <f>IF(I182&lt;=0,0,MAX(0,AN183-U183))</f>
        <v/>
      </c>
      <c r="J183">
        <f>IF(J182&lt;=0,0,MAX(0,AO183-V183))</f>
        <v/>
      </c>
      <c r="K183">
        <f>IF(K182&lt;=0,0,MAX(0,AP183-W183))</f>
        <v/>
      </c>
      <c r="L183">
        <f>IF(L182&lt;=0,0,MAX(0,AQ183-X183))</f>
        <v/>
      </c>
      <c r="M183">
        <f>IF(M182&lt;=0,0,MAX(0,AR183-Y183))</f>
        <v/>
      </c>
      <c r="N183">
        <f>IF(N182&lt;=0,0,MAX(0,AS183-Z183))</f>
        <v/>
      </c>
      <c r="O183">
        <f>IF(C182&lt;=0,0,MIN(AH183,C$7+IF(C$2=$AA183,$AC183,IF(C$2=$AF183,$AG183,0))))</f>
        <v/>
      </c>
      <c r="P183">
        <f>IF(D182&lt;=0,0,MIN(AI183,D$7+IF(D$2=$AA183,$AC183,IF(D$2=$AF183,$AG183,0))))</f>
        <v/>
      </c>
      <c r="Q183">
        <f>IF(E182&lt;=0,0,MIN(AJ183,E$7+IF(E$2=$AA183,$AC183,IF(E$2=$AF183,$AG183,0))))</f>
        <v/>
      </c>
      <c r="R183">
        <f>IF(F182&lt;=0,0,MIN(AK183,F$7+IF(F$2=$AA183,$AC183,IF(F$2=$AF183,$AG183,0))))</f>
        <v/>
      </c>
      <c r="S183">
        <f>IF(G182&lt;=0,0,MIN(AL183,G$7+IF(G$2=$AA183,$AC183,IF(G$2=$AF183,$AG183,0))))</f>
        <v/>
      </c>
      <c r="T183">
        <f>IF(H182&lt;=0,0,MIN(AM183,H$7+IF(H$2=$AA183,$AC183,IF(H$2=$AF183,$AG183,0))))</f>
        <v/>
      </c>
      <c r="U183">
        <f>IF(I182&lt;=0,0,MIN(AN183,I$7+IF(I$2=$AA183,$AC183,IF(I$2=$AF183,$AG183,0))))</f>
        <v/>
      </c>
      <c r="V183">
        <f>IF(J182&lt;=0,0,MIN(AO183,J$7+IF(J$2=$AA183,$AC183,IF(J$2=$AF183,$AG183,0))))</f>
        <v/>
      </c>
      <c r="W183">
        <f>IF(K182&lt;=0,0,MIN(AP183,K$7+IF(K$2=$AA183,$AC183,IF(K$2=$AF183,$AG183,0))))</f>
        <v/>
      </c>
      <c r="X183">
        <f>IF(L182&lt;=0,0,MIN(AQ183,L$7+IF(L$2=$AA183,$AC183,IF(L$2=$AF183,$AG183,0))))</f>
        <v/>
      </c>
      <c r="Y183">
        <f>IF(M182&lt;=0,0,MIN(AR183,M$7+IF(M$2=$AA183,$AC183,IF(M$2=$AF183,$AG183,0))))</f>
        <v/>
      </c>
      <c r="Z183">
        <f>IF(N182&lt;=0,0,MIN(AS183,N$7+IF(N$2=$AA183,$AC183,IF(N$2=$AF183,$AG183,0))))</f>
        <v/>
      </c>
      <c r="AA183">
        <f>IFERROR(ROUND(1/SUMPRODUCT(MAX((C182:N182&gt;0)*($C$3:$N$3&lt;=B183)/$C$2:$N$2)),0),0)</f>
        <v/>
      </c>
      <c r="AB183">
        <f>SUMPRODUCT((C182:N182&gt;0)*$C$7:$N$7)</f>
        <v/>
      </c>
      <c r="AC183">
        <f>MAX(0,Plan!$C$5-AB183)+IF(A183=Plan!$C$8,N(Plan!$C$7),0)</f>
        <v/>
      </c>
      <c r="AD183">
        <f>SUM(C183:N183)</f>
        <v/>
      </c>
      <c r="AE183">
        <f>SUM(O183:Z183)</f>
        <v/>
      </c>
      <c r="AF183">
        <f>IFERROR(ROUND(1/SUMPRODUCT(MAX((C182:N182&gt;0)*($C$3:$N$3&lt;=B183)*($C$2:$N$2&gt;AA183)/$C$2:$N$2)),0),0)</f>
        <v/>
      </c>
      <c r="AG183">
        <f>MAX(0,AC183-MAX(0,SUMPRODUCT(($C$2:$N$2=AA183)*(AH183:AS183-$C$7:$N$7))))</f>
        <v/>
      </c>
      <c r="AH183">
        <f>IF(C182&lt;=0,0,ROUND(C182*(1+IF(AND(C$6&gt;0,$B183&lt;C$6),C$4,C$5)/12),2))</f>
        <v/>
      </c>
      <c r="AI183">
        <f>IF(D182&lt;=0,0,ROUND(D182*(1+IF(AND(D$6&gt;0,$B183&lt;D$6),D$4,D$5)/12),2))</f>
        <v/>
      </c>
      <c r="AJ183">
        <f>IF(E182&lt;=0,0,ROUND(E182*(1+IF(AND(E$6&gt;0,$B183&lt;E$6),E$4,E$5)/12),2))</f>
        <v/>
      </c>
      <c r="AK183">
        <f>IF(F182&lt;=0,0,ROUND(F182*(1+IF(AND(F$6&gt;0,$B183&lt;F$6),F$4,F$5)/12),2))</f>
        <v/>
      </c>
      <c r="AL183">
        <f>IF(G182&lt;=0,0,ROUND(G182*(1+IF(AND(G$6&gt;0,$B183&lt;G$6),G$4,G$5)/12),2))</f>
        <v/>
      </c>
      <c r="AM183">
        <f>IF(H182&lt;=0,0,ROUND(H182*(1+IF(AND(H$6&gt;0,$B183&lt;H$6),H$4,H$5)/12),2))</f>
        <v/>
      </c>
      <c r="AN183">
        <f>IF(I182&lt;=0,0,ROUND(I182*(1+IF(AND(I$6&gt;0,$B183&lt;I$6),I$4,I$5)/12),2))</f>
        <v/>
      </c>
      <c r="AO183">
        <f>IF(J182&lt;=0,0,ROUND(J182*(1+IF(AND(J$6&gt;0,$B183&lt;J$6),J$4,J$5)/12),2))</f>
        <v/>
      </c>
      <c r="AP183">
        <f>IF(K182&lt;=0,0,ROUND(K182*(1+IF(AND(K$6&gt;0,$B183&lt;K$6),K$4,K$5)/12),2))</f>
        <v/>
      </c>
      <c r="AQ183">
        <f>IF(L182&lt;=0,0,ROUND(L182*(1+IF(AND(L$6&gt;0,$B183&lt;L$6),L$4,L$5)/12),2))</f>
        <v/>
      </c>
      <c r="AR183">
        <f>IF(M182&lt;=0,0,ROUND(M182*(1+IF(AND(M$6&gt;0,$B183&lt;M$6),M$4,M$5)/12),2))</f>
        <v/>
      </c>
      <c r="AS183">
        <f>IF(N182&lt;=0,0,ROUND(N182*(1+IF(AND(N$6&gt;0,$B183&lt;N$6),N$4,N$5)/12),2))</f>
        <v/>
      </c>
    </row>
    <row r="184">
      <c r="A184" t="n">
        <v>173</v>
      </c>
      <c r="B184">
        <f>EDATE(Plan!$C$6,172)</f>
        <v/>
      </c>
      <c r="C184">
        <f>IF(C183&lt;=0,0,MAX(0,AH184-O184))</f>
        <v/>
      </c>
      <c r="D184">
        <f>IF(D183&lt;=0,0,MAX(0,AI184-P184))</f>
        <v/>
      </c>
      <c r="E184">
        <f>IF(E183&lt;=0,0,MAX(0,AJ184-Q184))</f>
        <v/>
      </c>
      <c r="F184">
        <f>IF(F183&lt;=0,0,MAX(0,AK184-R184))</f>
        <v/>
      </c>
      <c r="G184">
        <f>IF(G183&lt;=0,0,MAX(0,AL184-S184))</f>
        <v/>
      </c>
      <c r="H184">
        <f>IF(H183&lt;=0,0,MAX(0,AM184-T184))</f>
        <v/>
      </c>
      <c r="I184">
        <f>IF(I183&lt;=0,0,MAX(0,AN184-U184))</f>
        <v/>
      </c>
      <c r="J184">
        <f>IF(J183&lt;=0,0,MAX(0,AO184-V184))</f>
        <v/>
      </c>
      <c r="K184">
        <f>IF(K183&lt;=0,0,MAX(0,AP184-W184))</f>
        <v/>
      </c>
      <c r="L184">
        <f>IF(L183&lt;=0,0,MAX(0,AQ184-X184))</f>
        <v/>
      </c>
      <c r="M184">
        <f>IF(M183&lt;=0,0,MAX(0,AR184-Y184))</f>
        <v/>
      </c>
      <c r="N184">
        <f>IF(N183&lt;=0,0,MAX(0,AS184-Z184))</f>
        <v/>
      </c>
      <c r="O184">
        <f>IF(C183&lt;=0,0,MIN(AH184,C$7+IF(C$2=$AA184,$AC184,IF(C$2=$AF184,$AG184,0))))</f>
        <v/>
      </c>
      <c r="P184">
        <f>IF(D183&lt;=0,0,MIN(AI184,D$7+IF(D$2=$AA184,$AC184,IF(D$2=$AF184,$AG184,0))))</f>
        <v/>
      </c>
      <c r="Q184">
        <f>IF(E183&lt;=0,0,MIN(AJ184,E$7+IF(E$2=$AA184,$AC184,IF(E$2=$AF184,$AG184,0))))</f>
        <v/>
      </c>
      <c r="R184">
        <f>IF(F183&lt;=0,0,MIN(AK184,F$7+IF(F$2=$AA184,$AC184,IF(F$2=$AF184,$AG184,0))))</f>
        <v/>
      </c>
      <c r="S184">
        <f>IF(G183&lt;=0,0,MIN(AL184,G$7+IF(G$2=$AA184,$AC184,IF(G$2=$AF184,$AG184,0))))</f>
        <v/>
      </c>
      <c r="T184">
        <f>IF(H183&lt;=0,0,MIN(AM184,H$7+IF(H$2=$AA184,$AC184,IF(H$2=$AF184,$AG184,0))))</f>
        <v/>
      </c>
      <c r="U184">
        <f>IF(I183&lt;=0,0,MIN(AN184,I$7+IF(I$2=$AA184,$AC184,IF(I$2=$AF184,$AG184,0))))</f>
        <v/>
      </c>
      <c r="V184">
        <f>IF(J183&lt;=0,0,MIN(AO184,J$7+IF(J$2=$AA184,$AC184,IF(J$2=$AF184,$AG184,0))))</f>
        <v/>
      </c>
      <c r="W184">
        <f>IF(K183&lt;=0,0,MIN(AP184,K$7+IF(K$2=$AA184,$AC184,IF(K$2=$AF184,$AG184,0))))</f>
        <v/>
      </c>
      <c r="X184">
        <f>IF(L183&lt;=0,0,MIN(AQ184,L$7+IF(L$2=$AA184,$AC184,IF(L$2=$AF184,$AG184,0))))</f>
        <v/>
      </c>
      <c r="Y184">
        <f>IF(M183&lt;=0,0,MIN(AR184,M$7+IF(M$2=$AA184,$AC184,IF(M$2=$AF184,$AG184,0))))</f>
        <v/>
      </c>
      <c r="Z184">
        <f>IF(N183&lt;=0,0,MIN(AS184,N$7+IF(N$2=$AA184,$AC184,IF(N$2=$AF184,$AG184,0))))</f>
        <v/>
      </c>
      <c r="AA184">
        <f>IFERROR(ROUND(1/SUMPRODUCT(MAX((C183:N183&gt;0)*($C$3:$N$3&lt;=B184)/$C$2:$N$2)),0),0)</f>
        <v/>
      </c>
      <c r="AB184">
        <f>SUMPRODUCT((C183:N183&gt;0)*$C$7:$N$7)</f>
        <v/>
      </c>
      <c r="AC184">
        <f>MAX(0,Plan!$C$5-AB184)+IF(A184=Plan!$C$8,N(Plan!$C$7),0)</f>
        <v/>
      </c>
      <c r="AD184">
        <f>SUM(C184:N184)</f>
        <v/>
      </c>
      <c r="AE184">
        <f>SUM(O184:Z184)</f>
        <v/>
      </c>
      <c r="AF184">
        <f>IFERROR(ROUND(1/SUMPRODUCT(MAX((C183:N183&gt;0)*($C$3:$N$3&lt;=B184)*($C$2:$N$2&gt;AA184)/$C$2:$N$2)),0),0)</f>
        <v/>
      </c>
      <c r="AG184">
        <f>MAX(0,AC184-MAX(0,SUMPRODUCT(($C$2:$N$2=AA184)*(AH184:AS184-$C$7:$N$7))))</f>
        <v/>
      </c>
      <c r="AH184">
        <f>IF(C183&lt;=0,0,ROUND(C183*(1+IF(AND(C$6&gt;0,$B184&lt;C$6),C$4,C$5)/12),2))</f>
        <v/>
      </c>
      <c r="AI184">
        <f>IF(D183&lt;=0,0,ROUND(D183*(1+IF(AND(D$6&gt;0,$B184&lt;D$6),D$4,D$5)/12),2))</f>
        <v/>
      </c>
      <c r="AJ184">
        <f>IF(E183&lt;=0,0,ROUND(E183*(1+IF(AND(E$6&gt;0,$B184&lt;E$6),E$4,E$5)/12),2))</f>
        <v/>
      </c>
      <c r="AK184">
        <f>IF(F183&lt;=0,0,ROUND(F183*(1+IF(AND(F$6&gt;0,$B184&lt;F$6),F$4,F$5)/12),2))</f>
        <v/>
      </c>
      <c r="AL184">
        <f>IF(G183&lt;=0,0,ROUND(G183*(1+IF(AND(G$6&gt;0,$B184&lt;G$6),G$4,G$5)/12),2))</f>
        <v/>
      </c>
      <c r="AM184">
        <f>IF(H183&lt;=0,0,ROUND(H183*(1+IF(AND(H$6&gt;0,$B184&lt;H$6),H$4,H$5)/12),2))</f>
        <v/>
      </c>
      <c r="AN184">
        <f>IF(I183&lt;=0,0,ROUND(I183*(1+IF(AND(I$6&gt;0,$B184&lt;I$6),I$4,I$5)/12),2))</f>
        <v/>
      </c>
      <c r="AO184">
        <f>IF(J183&lt;=0,0,ROUND(J183*(1+IF(AND(J$6&gt;0,$B184&lt;J$6),J$4,J$5)/12),2))</f>
        <v/>
      </c>
      <c r="AP184">
        <f>IF(K183&lt;=0,0,ROUND(K183*(1+IF(AND(K$6&gt;0,$B184&lt;K$6),K$4,K$5)/12),2))</f>
        <v/>
      </c>
      <c r="AQ184">
        <f>IF(L183&lt;=0,0,ROUND(L183*(1+IF(AND(L$6&gt;0,$B184&lt;L$6),L$4,L$5)/12),2))</f>
        <v/>
      </c>
      <c r="AR184">
        <f>IF(M183&lt;=0,0,ROUND(M183*(1+IF(AND(M$6&gt;0,$B184&lt;M$6),M$4,M$5)/12),2))</f>
        <v/>
      </c>
      <c r="AS184">
        <f>IF(N183&lt;=0,0,ROUND(N183*(1+IF(AND(N$6&gt;0,$B184&lt;N$6),N$4,N$5)/12),2))</f>
        <v/>
      </c>
    </row>
    <row r="185">
      <c r="A185" t="n">
        <v>174</v>
      </c>
      <c r="B185">
        <f>EDATE(Plan!$C$6,173)</f>
        <v/>
      </c>
      <c r="C185">
        <f>IF(C184&lt;=0,0,MAX(0,AH185-O185))</f>
        <v/>
      </c>
      <c r="D185">
        <f>IF(D184&lt;=0,0,MAX(0,AI185-P185))</f>
        <v/>
      </c>
      <c r="E185">
        <f>IF(E184&lt;=0,0,MAX(0,AJ185-Q185))</f>
        <v/>
      </c>
      <c r="F185">
        <f>IF(F184&lt;=0,0,MAX(0,AK185-R185))</f>
        <v/>
      </c>
      <c r="G185">
        <f>IF(G184&lt;=0,0,MAX(0,AL185-S185))</f>
        <v/>
      </c>
      <c r="H185">
        <f>IF(H184&lt;=0,0,MAX(0,AM185-T185))</f>
        <v/>
      </c>
      <c r="I185">
        <f>IF(I184&lt;=0,0,MAX(0,AN185-U185))</f>
        <v/>
      </c>
      <c r="J185">
        <f>IF(J184&lt;=0,0,MAX(0,AO185-V185))</f>
        <v/>
      </c>
      <c r="K185">
        <f>IF(K184&lt;=0,0,MAX(0,AP185-W185))</f>
        <v/>
      </c>
      <c r="L185">
        <f>IF(L184&lt;=0,0,MAX(0,AQ185-X185))</f>
        <v/>
      </c>
      <c r="M185">
        <f>IF(M184&lt;=0,0,MAX(0,AR185-Y185))</f>
        <v/>
      </c>
      <c r="N185">
        <f>IF(N184&lt;=0,0,MAX(0,AS185-Z185))</f>
        <v/>
      </c>
      <c r="O185">
        <f>IF(C184&lt;=0,0,MIN(AH185,C$7+IF(C$2=$AA185,$AC185,IF(C$2=$AF185,$AG185,0))))</f>
        <v/>
      </c>
      <c r="P185">
        <f>IF(D184&lt;=0,0,MIN(AI185,D$7+IF(D$2=$AA185,$AC185,IF(D$2=$AF185,$AG185,0))))</f>
        <v/>
      </c>
      <c r="Q185">
        <f>IF(E184&lt;=0,0,MIN(AJ185,E$7+IF(E$2=$AA185,$AC185,IF(E$2=$AF185,$AG185,0))))</f>
        <v/>
      </c>
      <c r="R185">
        <f>IF(F184&lt;=0,0,MIN(AK185,F$7+IF(F$2=$AA185,$AC185,IF(F$2=$AF185,$AG185,0))))</f>
        <v/>
      </c>
      <c r="S185">
        <f>IF(G184&lt;=0,0,MIN(AL185,G$7+IF(G$2=$AA185,$AC185,IF(G$2=$AF185,$AG185,0))))</f>
        <v/>
      </c>
      <c r="T185">
        <f>IF(H184&lt;=0,0,MIN(AM185,H$7+IF(H$2=$AA185,$AC185,IF(H$2=$AF185,$AG185,0))))</f>
        <v/>
      </c>
      <c r="U185">
        <f>IF(I184&lt;=0,0,MIN(AN185,I$7+IF(I$2=$AA185,$AC185,IF(I$2=$AF185,$AG185,0))))</f>
        <v/>
      </c>
      <c r="V185">
        <f>IF(J184&lt;=0,0,MIN(AO185,J$7+IF(J$2=$AA185,$AC185,IF(J$2=$AF185,$AG185,0))))</f>
        <v/>
      </c>
      <c r="W185">
        <f>IF(K184&lt;=0,0,MIN(AP185,K$7+IF(K$2=$AA185,$AC185,IF(K$2=$AF185,$AG185,0))))</f>
        <v/>
      </c>
      <c r="X185">
        <f>IF(L184&lt;=0,0,MIN(AQ185,L$7+IF(L$2=$AA185,$AC185,IF(L$2=$AF185,$AG185,0))))</f>
        <v/>
      </c>
      <c r="Y185">
        <f>IF(M184&lt;=0,0,MIN(AR185,M$7+IF(M$2=$AA185,$AC185,IF(M$2=$AF185,$AG185,0))))</f>
        <v/>
      </c>
      <c r="Z185">
        <f>IF(N184&lt;=0,0,MIN(AS185,N$7+IF(N$2=$AA185,$AC185,IF(N$2=$AF185,$AG185,0))))</f>
        <v/>
      </c>
      <c r="AA185">
        <f>IFERROR(ROUND(1/SUMPRODUCT(MAX((C184:N184&gt;0)*($C$3:$N$3&lt;=B185)/$C$2:$N$2)),0),0)</f>
        <v/>
      </c>
      <c r="AB185">
        <f>SUMPRODUCT((C184:N184&gt;0)*$C$7:$N$7)</f>
        <v/>
      </c>
      <c r="AC185">
        <f>MAX(0,Plan!$C$5-AB185)+IF(A185=Plan!$C$8,N(Plan!$C$7),0)</f>
        <v/>
      </c>
      <c r="AD185">
        <f>SUM(C185:N185)</f>
        <v/>
      </c>
      <c r="AE185">
        <f>SUM(O185:Z185)</f>
        <v/>
      </c>
      <c r="AF185">
        <f>IFERROR(ROUND(1/SUMPRODUCT(MAX((C184:N184&gt;0)*($C$3:$N$3&lt;=B185)*($C$2:$N$2&gt;AA185)/$C$2:$N$2)),0),0)</f>
        <v/>
      </c>
      <c r="AG185">
        <f>MAX(0,AC185-MAX(0,SUMPRODUCT(($C$2:$N$2=AA185)*(AH185:AS185-$C$7:$N$7))))</f>
        <v/>
      </c>
      <c r="AH185">
        <f>IF(C184&lt;=0,0,ROUND(C184*(1+IF(AND(C$6&gt;0,$B185&lt;C$6),C$4,C$5)/12),2))</f>
        <v/>
      </c>
      <c r="AI185">
        <f>IF(D184&lt;=0,0,ROUND(D184*(1+IF(AND(D$6&gt;0,$B185&lt;D$6),D$4,D$5)/12),2))</f>
        <v/>
      </c>
      <c r="AJ185">
        <f>IF(E184&lt;=0,0,ROUND(E184*(1+IF(AND(E$6&gt;0,$B185&lt;E$6),E$4,E$5)/12),2))</f>
        <v/>
      </c>
      <c r="AK185">
        <f>IF(F184&lt;=0,0,ROUND(F184*(1+IF(AND(F$6&gt;0,$B185&lt;F$6),F$4,F$5)/12),2))</f>
        <v/>
      </c>
      <c r="AL185">
        <f>IF(G184&lt;=0,0,ROUND(G184*(1+IF(AND(G$6&gt;0,$B185&lt;G$6),G$4,G$5)/12),2))</f>
        <v/>
      </c>
      <c r="AM185">
        <f>IF(H184&lt;=0,0,ROUND(H184*(1+IF(AND(H$6&gt;0,$B185&lt;H$6),H$4,H$5)/12),2))</f>
        <v/>
      </c>
      <c r="AN185">
        <f>IF(I184&lt;=0,0,ROUND(I184*(1+IF(AND(I$6&gt;0,$B185&lt;I$6),I$4,I$5)/12),2))</f>
        <v/>
      </c>
      <c r="AO185">
        <f>IF(J184&lt;=0,0,ROUND(J184*(1+IF(AND(J$6&gt;0,$B185&lt;J$6),J$4,J$5)/12),2))</f>
        <v/>
      </c>
      <c r="AP185">
        <f>IF(K184&lt;=0,0,ROUND(K184*(1+IF(AND(K$6&gt;0,$B185&lt;K$6),K$4,K$5)/12),2))</f>
        <v/>
      </c>
      <c r="AQ185">
        <f>IF(L184&lt;=0,0,ROUND(L184*(1+IF(AND(L$6&gt;0,$B185&lt;L$6),L$4,L$5)/12),2))</f>
        <v/>
      </c>
      <c r="AR185">
        <f>IF(M184&lt;=0,0,ROUND(M184*(1+IF(AND(M$6&gt;0,$B185&lt;M$6),M$4,M$5)/12),2))</f>
        <v/>
      </c>
      <c r="AS185">
        <f>IF(N184&lt;=0,0,ROUND(N184*(1+IF(AND(N$6&gt;0,$B185&lt;N$6),N$4,N$5)/12),2))</f>
        <v/>
      </c>
    </row>
    <row r="186">
      <c r="A186" t="n">
        <v>175</v>
      </c>
      <c r="B186">
        <f>EDATE(Plan!$C$6,174)</f>
        <v/>
      </c>
      <c r="C186">
        <f>IF(C185&lt;=0,0,MAX(0,AH186-O186))</f>
        <v/>
      </c>
      <c r="D186">
        <f>IF(D185&lt;=0,0,MAX(0,AI186-P186))</f>
        <v/>
      </c>
      <c r="E186">
        <f>IF(E185&lt;=0,0,MAX(0,AJ186-Q186))</f>
        <v/>
      </c>
      <c r="F186">
        <f>IF(F185&lt;=0,0,MAX(0,AK186-R186))</f>
        <v/>
      </c>
      <c r="G186">
        <f>IF(G185&lt;=0,0,MAX(0,AL186-S186))</f>
        <v/>
      </c>
      <c r="H186">
        <f>IF(H185&lt;=0,0,MAX(0,AM186-T186))</f>
        <v/>
      </c>
      <c r="I186">
        <f>IF(I185&lt;=0,0,MAX(0,AN186-U186))</f>
        <v/>
      </c>
      <c r="J186">
        <f>IF(J185&lt;=0,0,MAX(0,AO186-V186))</f>
        <v/>
      </c>
      <c r="K186">
        <f>IF(K185&lt;=0,0,MAX(0,AP186-W186))</f>
        <v/>
      </c>
      <c r="L186">
        <f>IF(L185&lt;=0,0,MAX(0,AQ186-X186))</f>
        <v/>
      </c>
      <c r="M186">
        <f>IF(M185&lt;=0,0,MAX(0,AR186-Y186))</f>
        <v/>
      </c>
      <c r="N186">
        <f>IF(N185&lt;=0,0,MAX(0,AS186-Z186))</f>
        <v/>
      </c>
      <c r="O186">
        <f>IF(C185&lt;=0,0,MIN(AH186,C$7+IF(C$2=$AA186,$AC186,IF(C$2=$AF186,$AG186,0))))</f>
        <v/>
      </c>
      <c r="P186">
        <f>IF(D185&lt;=0,0,MIN(AI186,D$7+IF(D$2=$AA186,$AC186,IF(D$2=$AF186,$AG186,0))))</f>
        <v/>
      </c>
      <c r="Q186">
        <f>IF(E185&lt;=0,0,MIN(AJ186,E$7+IF(E$2=$AA186,$AC186,IF(E$2=$AF186,$AG186,0))))</f>
        <v/>
      </c>
      <c r="R186">
        <f>IF(F185&lt;=0,0,MIN(AK186,F$7+IF(F$2=$AA186,$AC186,IF(F$2=$AF186,$AG186,0))))</f>
        <v/>
      </c>
      <c r="S186">
        <f>IF(G185&lt;=0,0,MIN(AL186,G$7+IF(G$2=$AA186,$AC186,IF(G$2=$AF186,$AG186,0))))</f>
        <v/>
      </c>
      <c r="T186">
        <f>IF(H185&lt;=0,0,MIN(AM186,H$7+IF(H$2=$AA186,$AC186,IF(H$2=$AF186,$AG186,0))))</f>
        <v/>
      </c>
      <c r="U186">
        <f>IF(I185&lt;=0,0,MIN(AN186,I$7+IF(I$2=$AA186,$AC186,IF(I$2=$AF186,$AG186,0))))</f>
        <v/>
      </c>
      <c r="V186">
        <f>IF(J185&lt;=0,0,MIN(AO186,J$7+IF(J$2=$AA186,$AC186,IF(J$2=$AF186,$AG186,0))))</f>
        <v/>
      </c>
      <c r="W186">
        <f>IF(K185&lt;=0,0,MIN(AP186,K$7+IF(K$2=$AA186,$AC186,IF(K$2=$AF186,$AG186,0))))</f>
        <v/>
      </c>
      <c r="X186">
        <f>IF(L185&lt;=0,0,MIN(AQ186,L$7+IF(L$2=$AA186,$AC186,IF(L$2=$AF186,$AG186,0))))</f>
        <v/>
      </c>
      <c r="Y186">
        <f>IF(M185&lt;=0,0,MIN(AR186,M$7+IF(M$2=$AA186,$AC186,IF(M$2=$AF186,$AG186,0))))</f>
        <v/>
      </c>
      <c r="Z186">
        <f>IF(N185&lt;=0,0,MIN(AS186,N$7+IF(N$2=$AA186,$AC186,IF(N$2=$AF186,$AG186,0))))</f>
        <v/>
      </c>
      <c r="AA186">
        <f>IFERROR(ROUND(1/SUMPRODUCT(MAX((C185:N185&gt;0)*($C$3:$N$3&lt;=B186)/$C$2:$N$2)),0),0)</f>
        <v/>
      </c>
      <c r="AB186">
        <f>SUMPRODUCT((C185:N185&gt;0)*$C$7:$N$7)</f>
        <v/>
      </c>
      <c r="AC186">
        <f>MAX(0,Plan!$C$5-AB186)+IF(A186=Plan!$C$8,N(Plan!$C$7),0)</f>
        <v/>
      </c>
      <c r="AD186">
        <f>SUM(C186:N186)</f>
        <v/>
      </c>
      <c r="AE186">
        <f>SUM(O186:Z186)</f>
        <v/>
      </c>
      <c r="AF186">
        <f>IFERROR(ROUND(1/SUMPRODUCT(MAX((C185:N185&gt;0)*($C$3:$N$3&lt;=B186)*($C$2:$N$2&gt;AA186)/$C$2:$N$2)),0),0)</f>
        <v/>
      </c>
      <c r="AG186">
        <f>MAX(0,AC186-MAX(0,SUMPRODUCT(($C$2:$N$2=AA186)*(AH186:AS186-$C$7:$N$7))))</f>
        <v/>
      </c>
      <c r="AH186">
        <f>IF(C185&lt;=0,0,ROUND(C185*(1+IF(AND(C$6&gt;0,$B186&lt;C$6),C$4,C$5)/12),2))</f>
        <v/>
      </c>
      <c r="AI186">
        <f>IF(D185&lt;=0,0,ROUND(D185*(1+IF(AND(D$6&gt;0,$B186&lt;D$6),D$4,D$5)/12),2))</f>
        <v/>
      </c>
      <c r="AJ186">
        <f>IF(E185&lt;=0,0,ROUND(E185*(1+IF(AND(E$6&gt;0,$B186&lt;E$6),E$4,E$5)/12),2))</f>
        <v/>
      </c>
      <c r="AK186">
        <f>IF(F185&lt;=0,0,ROUND(F185*(1+IF(AND(F$6&gt;0,$B186&lt;F$6),F$4,F$5)/12),2))</f>
        <v/>
      </c>
      <c r="AL186">
        <f>IF(G185&lt;=0,0,ROUND(G185*(1+IF(AND(G$6&gt;0,$B186&lt;G$6),G$4,G$5)/12),2))</f>
        <v/>
      </c>
      <c r="AM186">
        <f>IF(H185&lt;=0,0,ROUND(H185*(1+IF(AND(H$6&gt;0,$B186&lt;H$6),H$4,H$5)/12),2))</f>
        <v/>
      </c>
      <c r="AN186">
        <f>IF(I185&lt;=0,0,ROUND(I185*(1+IF(AND(I$6&gt;0,$B186&lt;I$6),I$4,I$5)/12),2))</f>
        <v/>
      </c>
      <c r="AO186">
        <f>IF(J185&lt;=0,0,ROUND(J185*(1+IF(AND(J$6&gt;0,$B186&lt;J$6),J$4,J$5)/12),2))</f>
        <v/>
      </c>
      <c r="AP186">
        <f>IF(K185&lt;=0,0,ROUND(K185*(1+IF(AND(K$6&gt;0,$B186&lt;K$6),K$4,K$5)/12),2))</f>
        <v/>
      </c>
      <c r="AQ186">
        <f>IF(L185&lt;=0,0,ROUND(L185*(1+IF(AND(L$6&gt;0,$B186&lt;L$6),L$4,L$5)/12),2))</f>
        <v/>
      </c>
      <c r="AR186">
        <f>IF(M185&lt;=0,0,ROUND(M185*(1+IF(AND(M$6&gt;0,$B186&lt;M$6),M$4,M$5)/12),2))</f>
        <v/>
      </c>
      <c r="AS186">
        <f>IF(N185&lt;=0,0,ROUND(N185*(1+IF(AND(N$6&gt;0,$B186&lt;N$6),N$4,N$5)/12),2))</f>
        <v/>
      </c>
    </row>
    <row r="187">
      <c r="A187" t="n">
        <v>176</v>
      </c>
      <c r="B187">
        <f>EDATE(Plan!$C$6,175)</f>
        <v/>
      </c>
      <c r="C187">
        <f>IF(C186&lt;=0,0,MAX(0,AH187-O187))</f>
        <v/>
      </c>
      <c r="D187">
        <f>IF(D186&lt;=0,0,MAX(0,AI187-P187))</f>
        <v/>
      </c>
      <c r="E187">
        <f>IF(E186&lt;=0,0,MAX(0,AJ187-Q187))</f>
        <v/>
      </c>
      <c r="F187">
        <f>IF(F186&lt;=0,0,MAX(0,AK187-R187))</f>
        <v/>
      </c>
      <c r="G187">
        <f>IF(G186&lt;=0,0,MAX(0,AL187-S187))</f>
        <v/>
      </c>
      <c r="H187">
        <f>IF(H186&lt;=0,0,MAX(0,AM187-T187))</f>
        <v/>
      </c>
      <c r="I187">
        <f>IF(I186&lt;=0,0,MAX(0,AN187-U187))</f>
        <v/>
      </c>
      <c r="J187">
        <f>IF(J186&lt;=0,0,MAX(0,AO187-V187))</f>
        <v/>
      </c>
      <c r="K187">
        <f>IF(K186&lt;=0,0,MAX(0,AP187-W187))</f>
        <v/>
      </c>
      <c r="L187">
        <f>IF(L186&lt;=0,0,MAX(0,AQ187-X187))</f>
        <v/>
      </c>
      <c r="M187">
        <f>IF(M186&lt;=0,0,MAX(0,AR187-Y187))</f>
        <v/>
      </c>
      <c r="N187">
        <f>IF(N186&lt;=0,0,MAX(0,AS187-Z187))</f>
        <v/>
      </c>
      <c r="O187">
        <f>IF(C186&lt;=0,0,MIN(AH187,C$7+IF(C$2=$AA187,$AC187,IF(C$2=$AF187,$AG187,0))))</f>
        <v/>
      </c>
      <c r="P187">
        <f>IF(D186&lt;=0,0,MIN(AI187,D$7+IF(D$2=$AA187,$AC187,IF(D$2=$AF187,$AG187,0))))</f>
        <v/>
      </c>
      <c r="Q187">
        <f>IF(E186&lt;=0,0,MIN(AJ187,E$7+IF(E$2=$AA187,$AC187,IF(E$2=$AF187,$AG187,0))))</f>
        <v/>
      </c>
      <c r="R187">
        <f>IF(F186&lt;=0,0,MIN(AK187,F$7+IF(F$2=$AA187,$AC187,IF(F$2=$AF187,$AG187,0))))</f>
        <v/>
      </c>
      <c r="S187">
        <f>IF(G186&lt;=0,0,MIN(AL187,G$7+IF(G$2=$AA187,$AC187,IF(G$2=$AF187,$AG187,0))))</f>
        <v/>
      </c>
      <c r="T187">
        <f>IF(H186&lt;=0,0,MIN(AM187,H$7+IF(H$2=$AA187,$AC187,IF(H$2=$AF187,$AG187,0))))</f>
        <v/>
      </c>
      <c r="U187">
        <f>IF(I186&lt;=0,0,MIN(AN187,I$7+IF(I$2=$AA187,$AC187,IF(I$2=$AF187,$AG187,0))))</f>
        <v/>
      </c>
      <c r="V187">
        <f>IF(J186&lt;=0,0,MIN(AO187,J$7+IF(J$2=$AA187,$AC187,IF(J$2=$AF187,$AG187,0))))</f>
        <v/>
      </c>
      <c r="W187">
        <f>IF(K186&lt;=0,0,MIN(AP187,K$7+IF(K$2=$AA187,$AC187,IF(K$2=$AF187,$AG187,0))))</f>
        <v/>
      </c>
      <c r="X187">
        <f>IF(L186&lt;=0,0,MIN(AQ187,L$7+IF(L$2=$AA187,$AC187,IF(L$2=$AF187,$AG187,0))))</f>
        <v/>
      </c>
      <c r="Y187">
        <f>IF(M186&lt;=0,0,MIN(AR187,M$7+IF(M$2=$AA187,$AC187,IF(M$2=$AF187,$AG187,0))))</f>
        <v/>
      </c>
      <c r="Z187">
        <f>IF(N186&lt;=0,0,MIN(AS187,N$7+IF(N$2=$AA187,$AC187,IF(N$2=$AF187,$AG187,0))))</f>
        <v/>
      </c>
      <c r="AA187">
        <f>IFERROR(ROUND(1/SUMPRODUCT(MAX((C186:N186&gt;0)*($C$3:$N$3&lt;=B187)/$C$2:$N$2)),0),0)</f>
        <v/>
      </c>
      <c r="AB187">
        <f>SUMPRODUCT((C186:N186&gt;0)*$C$7:$N$7)</f>
        <v/>
      </c>
      <c r="AC187">
        <f>MAX(0,Plan!$C$5-AB187)+IF(A187=Plan!$C$8,N(Plan!$C$7),0)</f>
        <v/>
      </c>
      <c r="AD187">
        <f>SUM(C187:N187)</f>
        <v/>
      </c>
      <c r="AE187">
        <f>SUM(O187:Z187)</f>
        <v/>
      </c>
      <c r="AF187">
        <f>IFERROR(ROUND(1/SUMPRODUCT(MAX((C186:N186&gt;0)*($C$3:$N$3&lt;=B187)*($C$2:$N$2&gt;AA187)/$C$2:$N$2)),0),0)</f>
        <v/>
      </c>
      <c r="AG187">
        <f>MAX(0,AC187-MAX(0,SUMPRODUCT(($C$2:$N$2=AA187)*(AH187:AS187-$C$7:$N$7))))</f>
        <v/>
      </c>
      <c r="AH187">
        <f>IF(C186&lt;=0,0,ROUND(C186*(1+IF(AND(C$6&gt;0,$B187&lt;C$6),C$4,C$5)/12),2))</f>
        <v/>
      </c>
      <c r="AI187">
        <f>IF(D186&lt;=0,0,ROUND(D186*(1+IF(AND(D$6&gt;0,$B187&lt;D$6),D$4,D$5)/12),2))</f>
        <v/>
      </c>
      <c r="AJ187">
        <f>IF(E186&lt;=0,0,ROUND(E186*(1+IF(AND(E$6&gt;0,$B187&lt;E$6),E$4,E$5)/12),2))</f>
        <v/>
      </c>
      <c r="AK187">
        <f>IF(F186&lt;=0,0,ROUND(F186*(1+IF(AND(F$6&gt;0,$B187&lt;F$6),F$4,F$5)/12),2))</f>
        <v/>
      </c>
      <c r="AL187">
        <f>IF(G186&lt;=0,0,ROUND(G186*(1+IF(AND(G$6&gt;0,$B187&lt;G$6),G$4,G$5)/12),2))</f>
        <v/>
      </c>
      <c r="AM187">
        <f>IF(H186&lt;=0,0,ROUND(H186*(1+IF(AND(H$6&gt;0,$B187&lt;H$6),H$4,H$5)/12),2))</f>
        <v/>
      </c>
      <c r="AN187">
        <f>IF(I186&lt;=0,0,ROUND(I186*(1+IF(AND(I$6&gt;0,$B187&lt;I$6),I$4,I$5)/12),2))</f>
        <v/>
      </c>
      <c r="AO187">
        <f>IF(J186&lt;=0,0,ROUND(J186*(1+IF(AND(J$6&gt;0,$B187&lt;J$6),J$4,J$5)/12),2))</f>
        <v/>
      </c>
      <c r="AP187">
        <f>IF(K186&lt;=0,0,ROUND(K186*(1+IF(AND(K$6&gt;0,$B187&lt;K$6),K$4,K$5)/12),2))</f>
        <v/>
      </c>
      <c r="AQ187">
        <f>IF(L186&lt;=0,0,ROUND(L186*(1+IF(AND(L$6&gt;0,$B187&lt;L$6),L$4,L$5)/12),2))</f>
        <v/>
      </c>
      <c r="AR187">
        <f>IF(M186&lt;=0,0,ROUND(M186*(1+IF(AND(M$6&gt;0,$B187&lt;M$6),M$4,M$5)/12),2))</f>
        <v/>
      </c>
      <c r="AS187">
        <f>IF(N186&lt;=0,0,ROUND(N186*(1+IF(AND(N$6&gt;0,$B187&lt;N$6),N$4,N$5)/12),2))</f>
        <v/>
      </c>
    </row>
    <row r="188">
      <c r="A188" t="n">
        <v>177</v>
      </c>
      <c r="B188">
        <f>EDATE(Plan!$C$6,176)</f>
        <v/>
      </c>
      <c r="C188">
        <f>IF(C187&lt;=0,0,MAX(0,AH188-O188))</f>
        <v/>
      </c>
      <c r="D188">
        <f>IF(D187&lt;=0,0,MAX(0,AI188-P188))</f>
        <v/>
      </c>
      <c r="E188">
        <f>IF(E187&lt;=0,0,MAX(0,AJ188-Q188))</f>
        <v/>
      </c>
      <c r="F188">
        <f>IF(F187&lt;=0,0,MAX(0,AK188-R188))</f>
        <v/>
      </c>
      <c r="G188">
        <f>IF(G187&lt;=0,0,MAX(0,AL188-S188))</f>
        <v/>
      </c>
      <c r="H188">
        <f>IF(H187&lt;=0,0,MAX(0,AM188-T188))</f>
        <v/>
      </c>
      <c r="I188">
        <f>IF(I187&lt;=0,0,MAX(0,AN188-U188))</f>
        <v/>
      </c>
      <c r="J188">
        <f>IF(J187&lt;=0,0,MAX(0,AO188-V188))</f>
        <v/>
      </c>
      <c r="K188">
        <f>IF(K187&lt;=0,0,MAX(0,AP188-W188))</f>
        <v/>
      </c>
      <c r="L188">
        <f>IF(L187&lt;=0,0,MAX(0,AQ188-X188))</f>
        <v/>
      </c>
      <c r="M188">
        <f>IF(M187&lt;=0,0,MAX(0,AR188-Y188))</f>
        <v/>
      </c>
      <c r="N188">
        <f>IF(N187&lt;=0,0,MAX(0,AS188-Z188))</f>
        <v/>
      </c>
      <c r="O188">
        <f>IF(C187&lt;=0,0,MIN(AH188,C$7+IF(C$2=$AA188,$AC188,IF(C$2=$AF188,$AG188,0))))</f>
        <v/>
      </c>
      <c r="P188">
        <f>IF(D187&lt;=0,0,MIN(AI188,D$7+IF(D$2=$AA188,$AC188,IF(D$2=$AF188,$AG188,0))))</f>
        <v/>
      </c>
      <c r="Q188">
        <f>IF(E187&lt;=0,0,MIN(AJ188,E$7+IF(E$2=$AA188,$AC188,IF(E$2=$AF188,$AG188,0))))</f>
        <v/>
      </c>
      <c r="R188">
        <f>IF(F187&lt;=0,0,MIN(AK188,F$7+IF(F$2=$AA188,$AC188,IF(F$2=$AF188,$AG188,0))))</f>
        <v/>
      </c>
      <c r="S188">
        <f>IF(G187&lt;=0,0,MIN(AL188,G$7+IF(G$2=$AA188,$AC188,IF(G$2=$AF188,$AG188,0))))</f>
        <v/>
      </c>
      <c r="T188">
        <f>IF(H187&lt;=0,0,MIN(AM188,H$7+IF(H$2=$AA188,$AC188,IF(H$2=$AF188,$AG188,0))))</f>
        <v/>
      </c>
      <c r="U188">
        <f>IF(I187&lt;=0,0,MIN(AN188,I$7+IF(I$2=$AA188,$AC188,IF(I$2=$AF188,$AG188,0))))</f>
        <v/>
      </c>
      <c r="V188">
        <f>IF(J187&lt;=0,0,MIN(AO188,J$7+IF(J$2=$AA188,$AC188,IF(J$2=$AF188,$AG188,0))))</f>
        <v/>
      </c>
      <c r="W188">
        <f>IF(K187&lt;=0,0,MIN(AP188,K$7+IF(K$2=$AA188,$AC188,IF(K$2=$AF188,$AG188,0))))</f>
        <v/>
      </c>
      <c r="X188">
        <f>IF(L187&lt;=0,0,MIN(AQ188,L$7+IF(L$2=$AA188,$AC188,IF(L$2=$AF188,$AG188,0))))</f>
        <v/>
      </c>
      <c r="Y188">
        <f>IF(M187&lt;=0,0,MIN(AR188,M$7+IF(M$2=$AA188,$AC188,IF(M$2=$AF188,$AG188,0))))</f>
        <v/>
      </c>
      <c r="Z188">
        <f>IF(N187&lt;=0,0,MIN(AS188,N$7+IF(N$2=$AA188,$AC188,IF(N$2=$AF188,$AG188,0))))</f>
        <v/>
      </c>
      <c r="AA188">
        <f>IFERROR(ROUND(1/SUMPRODUCT(MAX((C187:N187&gt;0)*($C$3:$N$3&lt;=B188)/$C$2:$N$2)),0),0)</f>
        <v/>
      </c>
      <c r="AB188">
        <f>SUMPRODUCT((C187:N187&gt;0)*$C$7:$N$7)</f>
        <v/>
      </c>
      <c r="AC188">
        <f>MAX(0,Plan!$C$5-AB188)+IF(A188=Plan!$C$8,N(Plan!$C$7),0)</f>
        <v/>
      </c>
      <c r="AD188">
        <f>SUM(C188:N188)</f>
        <v/>
      </c>
      <c r="AE188">
        <f>SUM(O188:Z188)</f>
        <v/>
      </c>
      <c r="AF188">
        <f>IFERROR(ROUND(1/SUMPRODUCT(MAX((C187:N187&gt;0)*($C$3:$N$3&lt;=B188)*($C$2:$N$2&gt;AA188)/$C$2:$N$2)),0),0)</f>
        <v/>
      </c>
      <c r="AG188">
        <f>MAX(0,AC188-MAX(0,SUMPRODUCT(($C$2:$N$2=AA188)*(AH188:AS188-$C$7:$N$7))))</f>
        <v/>
      </c>
      <c r="AH188">
        <f>IF(C187&lt;=0,0,ROUND(C187*(1+IF(AND(C$6&gt;0,$B188&lt;C$6),C$4,C$5)/12),2))</f>
        <v/>
      </c>
      <c r="AI188">
        <f>IF(D187&lt;=0,0,ROUND(D187*(1+IF(AND(D$6&gt;0,$B188&lt;D$6),D$4,D$5)/12),2))</f>
        <v/>
      </c>
      <c r="AJ188">
        <f>IF(E187&lt;=0,0,ROUND(E187*(1+IF(AND(E$6&gt;0,$B188&lt;E$6),E$4,E$5)/12),2))</f>
        <v/>
      </c>
      <c r="AK188">
        <f>IF(F187&lt;=0,0,ROUND(F187*(1+IF(AND(F$6&gt;0,$B188&lt;F$6),F$4,F$5)/12),2))</f>
        <v/>
      </c>
      <c r="AL188">
        <f>IF(G187&lt;=0,0,ROUND(G187*(1+IF(AND(G$6&gt;0,$B188&lt;G$6),G$4,G$5)/12),2))</f>
        <v/>
      </c>
      <c r="AM188">
        <f>IF(H187&lt;=0,0,ROUND(H187*(1+IF(AND(H$6&gt;0,$B188&lt;H$6),H$4,H$5)/12),2))</f>
        <v/>
      </c>
      <c r="AN188">
        <f>IF(I187&lt;=0,0,ROUND(I187*(1+IF(AND(I$6&gt;0,$B188&lt;I$6),I$4,I$5)/12),2))</f>
        <v/>
      </c>
      <c r="AO188">
        <f>IF(J187&lt;=0,0,ROUND(J187*(1+IF(AND(J$6&gt;0,$B188&lt;J$6),J$4,J$5)/12),2))</f>
        <v/>
      </c>
      <c r="AP188">
        <f>IF(K187&lt;=0,0,ROUND(K187*(1+IF(AND(K$6&gt;0,$B188&lt;K$6),K$4,K$5)/12),2))</f>
        <v/>
      </c>
      <c r="AQ188">
        <f>IF(L187&lt;=0,0,ROUND(L187*(1+IF(AND(L$6&gt;0,$B188&lt;L$6),L$4,L$5)/12),2))</f>
        <v/>
      </c>
      <c r="AR188">
        <f>IF(M187&lt;=0,0,ROUND(M187*(1+IF(AND(M$6&gt;0,$B188&lt;M$6),M$4,M$5)/12),2))</f>
        <v/>
      </c>
      <c r="AS188">
        <f>IF(N187&lt;=0,0,ROUND(N187*(1+IF(AND(N$6&gt;0,$B188&lt;N$6),N$4,N$5)/12),2))</f>
        <v/>
      </c>
    </row>
    <row r="189">
      <c r="A189" t="n">
        <v>178</v>
      </c>
      <c r="B189">
        <f>EDATE(Plan!$C$6,177)</f>
        <v/>
      </c>
      <c r="C189">
        <f>IF(C188&lt;=0,0,MAX(0,AH189-O189))</f>
        <v/>
      </c>
      <c r="D189">
        <f>IF(D188&lt;=0,0,MAX(0,AI189-P189))</f>
        <v/>
      </c>
      <c r="E189">
        <f>IF(E188&lt;=0,0,MAX(0,AJ189-Q189))</f>
        <v/>
      </c>
      <c r="F189">
        <f>IF(F188&lt;=0,0,MAX(0,AK189-R189))</f>
        <v/>
      </c>
      <c r="G189">
        <f>IF(G188&lt;=0,0,MAX(0,AL189-S189))</f>
        <v/>
      </c>
      <c r="H189">
        <f>IF(H188&lt;=0,0,MAX(0,AM189-T189))</f>
        <v/>
      </c>
      <c r="I189">
        <f>IF(I188&lt;=0,0,MAX(0,AN189-U189))</f>
        <v/>
      </c>
      <c r="J189">
        <f>IF(J188&lt;=0,0,MAX(0,AO189-V189))</f>
        <v/>
      </c>
      <c r="K189">
        <f>IF(K188&lt;=0,0,MAX(0,AP189-W189))</f>
        <v/>
      </c>
      <c r="L189">
        <f>IF(L188&lt;=0,0,MAX(0,AQ189-X189))</f>
        <v/>
      </c>
      <c r="M189">
        <f>IF(M188&lt;=0,0,MAX(0,AR189-Y189))</f>
        <v/>
      </c>
      <c r="N189">
        <f>IF(N188&lt;=0,0,MAX(0,AS189-Z189))</f>
        <v/>
      </c>
      <c r="O189">
        <f>IF(C188&lt;=0,0,MIN(AH189,C$7+IF(C$2=$AA189,$AC189,IF(C$2=$AF189,$AG189,0))))</f>
        <v/>
      </c>
      <c r="P189">
        <f>IF(D188&lt;=0,0,MIN(AI189,D$7+IF(D$2=$AA189,$AC189,IF(D$2=$AF189,$AG189,0))))</f>
        <v/>
      </c>
      <c r="Q189">
        <f>IF(E188&lt;=0,0,MIN(AJ189,E$7+IF(E$2=$AA189,$AC189,IF(E$2=$AF189,$AG189,0))))</f>
        <v/>
      </c>
      <c r="R189">
        <f>IF(F188&lt;=0,0,MIN(AK189,F$7+IF(F$2=$AA189,$AC189,IF(F$2=$AF189,$AG189,0))))</f>
        <v/>
      </c>
      <c r="S189">
        <f>IF(G188&lt;=0,0,MIN(AL189,G$7+IF(G$2=$AA189,$AC189,IF(G$2=$AF189,$AG189,0))))</f>
        <v/>
      </c>
      <c r="T189">
        <f>IF(H188&lt;=0,0,MIN(AM189,H$7+IF(H$2=$AA189,$AC189,IF(H$2=$AF189,$AG189,0))))</f>
        <v/>
      </c>
      <c r="U189">
        <f>IF(I188&lt;=0,0,MIN(AN189,I$7+IF(I$2=$AA189,$AC189,IF(I$2=$AF189,$AG189,0))))</f>
        <v/>
      </c>
      <c r="V189">
        <f>IF(J188&lt;=0,0,MIN(AO189,J$7+IF(J$2=$AA189,$AC189,IF(J$2=$AF189,$AG189,0))))</f>
        <v/>
      </c>
      <c r="W189">
        <f>IF(K188&lt;=0,0,MIN(AP189,K$7+IF(K$2=$AA189,$AC189,IF(K$2=$AF189,$AG189,0))))</f>
        <v/>
      </c>
      <c r="X189">
        <f>IF(L188&lt;=0,0,MIN(AQ189,L$7+IF(L$2=$AA189,$AC189,IF(L$2=$AF189,$AG189,0))))</f>
        <v/>
      </c>
      <c r="Y189">
        <f>IF(M188&lt;=0,0,MIN(AR189,M$7+IF(M$2=$AA189,$AC189,IF(M$2=$AF189,$AG189,0))))</f>
        <v/>
      </c>
      <c r="Z189">
        <f>IF(N188&lt;=0,0,MIN(AS189,N$7+IF(N$2=$AA189,$AC189,IF(N$2=$AF189,$AG189,0))))</f>
        <v/>
      </c>
      <c r="AA189">
        <f>IFERROR(ROUND(1/SUMPRODUCT(MAX((C188:N188&gt;0)*($C$3:$N$3&lt;=B189)/$C$2:$N$2)),0),0)</f>
        <v/>
      </c>
      <c r="AB189">
        <f>SUMPRODUCT((C188:N188&gt;0)*$C$7:$N$7)</f>
        <v/>
      </c>
      <c r="AC189">
        <f>MAX(0,Plan!$C$5-AB189)+IF(A189=Plan!$C$8,N(Plan!$C$7),0)</f>
        <v/>
      </c>
      <c r="AD189">
        <f>SUM(C189:N189)</f>
        <v/>
      </c>
      <c r="AE189">
        <f>SUM(O189:Z189)</f>
        <v/>
      </c>
      <c r="AF189">
        <f>IFERROR(ROUND(1/SUMPRODUCT(MAX((C188:N188&gt;0)*($C$3:$N$3&lt;=B189)*($C$2:$N$2&gt;AA189)/$C$2:$N$2)),0),0)</f>
        <v/>
      </c>
      <c r="AG189">
        <f>MAX(0,AC189-MAX(0,SUMPRODUCT(($C$2:$N$2=AA189)*(AH189:AS189-$C$7:$N$7))))</f>
        <v/>
      </c>
      <c r="AH189">
        <f>IF(C188&lt;=0,0,ROUND(C188*(1+IF(AND(C$6&gt;0,$B189&lt;C$6),C$4,C$5)/12),2))</f>
        <v/>
      </c>
      <c r="AI189">
        <f>IF(D188&lt;=0,0,ROUND(D188*(1+IF(AND(D$6&gt;0,$B189&lt;D$6),D$4,D$5)/12),2))</f>
        <v/>
      </c>
      <c r="AJ189">
        <f>IF(E188&lt;=0,0,ROUND(E188*(1+IF(AND(E$6&gt;0,$B189&lt;E$6),E$4,E$5)/12),2))</f>
        <v/>
      </c>
      <c r="AK189">
        <f>IF(F188&lt;=0,0,ROUND(F188*(1+IF(AND(F$6&gt;0,$B189&lt;F$6),F$4,F$5)/12),2))</f>
        <v/>
      </c>
      <c r="AL189">
        <f>IF(G188&lt;=0,0,ROUND(G188*(1+IF(AND(G$6&gt;0,$B189&lt;G$6),G$4,G$5)/12),2))</f>
        <v/>
      </c>
      <c r="AM189">
        <f>IF(H188&lt;=0,0,ROUND(H188*(1+IF(AND(H$6&gt;0,$B189&lt;H$6),H$4,H$5)/12),2))</f>
        <v/>
      </c>
      <c r="AN189">
        <f>IF(I188&lt;=0,0,ROUND(I188*(1+IF(AND(I$6&gt;0,$B189&lt;I$6),I$4,I$5)/12),2))</f>
        <v/>
      </c>
      <c r="AO189">
        <f>IF(J188&lt;=0,0,ROUND(J188*(1+IF(AND(J$6&gt;0,$B189&lt;J$6),J$4,J$5)/12),2))</f>
        <v/>
      </c>
      <c r="AP189">
        <f>IF(K188&lt;=0,0,ROUND(K188*(1+IF(AND(K$6&gt;0,$B189&lt;K$6),K$4,K$5)/12),2))</f>
        <v/>
      </c>
      <c r="AQ189">
        <f>IF(L188&lt;=0,0,ROUND(L188*(1+IF(AND(L$6&gt;0,$B189&lt;L$6),L$4,L$5)/12),2))</f>
        <v/>
      </c>
      <c r="AR189">
        <f>IF(M188&lt;=0,0,ROUND(M188*(1+IF(AND(M$6&gt;0,$B189&lt;M$6),M$4,M$5)/12),2))</f>
        <v/>
      </c>
      <c r="AS189">
        <f>IF(N188&lt;=0,0,ROUND(N188*(1+IF(AND(N$6&gt;0,$B189&lt;N$6),N$4,N$5)/12),2))</f>
        <v/>
      </c>
    </row>
    <row r="190">
      <c r="A190" t="n">
        <v>179</v>
      </c>
      <c r="B190">
        <f>EDATE(Plan!$C$6,178)</f>
        <v/>
      </c>
      <c r="C190">
        <f>IF(C189&lt;=0,0,MAX(0,AH190-O190))</f>
        <v/>
      </c>
      <c r="D190">
        <f>IF(D189&lt;=0,0,MAX(0,AI190-P190))</f>
        <v/>
      </c>
      <c r="E190">
        <f>IF(E189&lt;=0,0,MAX(0,AJ190-Q190))</f>
        <v/>
      </c>
      <c r="F190">
        <f>IF(F189&lt;=0,0,MAX(0,AK190-R190))</f>
        <v/>
      </c>
      <c r="G190">
        <f>IF(G189&lt;=0,0,MAX(0,AL190-S190))</f>
        <v/>
      </c>
      <c r="H190">
        <f>IF(H189&lt;=0,0,MAX(0,AM190-T190))</f>
        <v/>
      </c>
      <c r="I190">
        <f>IF(I189&lt;=0,0,MAX(0,AN190-U190))</f>
        <v/>
      </c>
      <c r="J190">
        <f>IF(J189&lt;=0,0,MAX(0,AO190-V190))</f>
        <v/>
      </c>
      <c r="K190">
        <f>IF(K189&lt;=0,0,MAX(0,AP190-W190))</f>
        <v/>
      </c>
      <c r="L190">
        <f>IF(L189&lt;=0,0,MAX(0,AQ190-X190))</f>
        <v/>
      </c>
      <c r="M190">
        <f>IF(M189&lt;=0,0,MAX(0,AR190-Y190))</f>
        <v/>
      </c>
      <c r="N190">
        <f>IF(N189&lt;=0,0,MAX(0,AS190-Z190))</f>
        <v/>
      </c>
      <c r="O190">
        <f>IF(C189&lt;=0,0,MIN(AH190,C$7+IF(C$2=$AA190,$AC190,IF(C$2=$AF190,$AG190,0))))</f>
        <v/>
      </c>
      <c r="P190">
        <f>IF(D189&lt;=0,0,MIN(AI190,D$7+IF(D$2=$AA190,$AC190,IF(D$2=$AF190,$AG190,0))))</f>
        <v/>
      </c>
      <c r="Q190">
        <f>IF(E189&lt;=0,0,MIN(AJ190,E$7+IF(E$2=$AA190,$AC190,IF(E$2=$AF190,$AG190,0))))</f>
        <v/>
      </c>
      <c r="R190">
        <f>IF(F189&lt;=0,0,MIN(AK190,F$7+IF(F$2=$AA190,$AC190,IF(F$2=$AF190,$AG190,0))))</f>
        <v/>
      </c>
      <c r="S190">
        <f>IF(G189&lt;=0,0,MIN(AL190,G$7+IF(G$2=$AA190,$AC190,IF(G$2=$AF190,$AG190,0))))</f>
        <v/>
      </c>
      <c r="T190">
        <f>IF(H189&lt;=0,0,MIN(AM190,H$7+IF(H$2=$AA190,$AC190,IF(H$2=$AF190,$AG190,0))))</f>
        <v/>
      </c>
      <c r="U190">
        <f>IF(I189&lt;=0,0,MIN(AN190,I$7+IF(I$2=$AA190,$AC190,IF(I$2=$AF190,$AG190,0))))</f>
        <v/>
      </c>
      <c r="V190">
        <f>IF(J189&lt;=0,0,MIN(AO190,J$7+IF(J$2=$AA190,$AC190,IF(J$2=$AF190,$AG190,0))))</f>
        <v/>
      </c>
      <c r="W190">
        <f>IF(K189&lt;=0,0,MIN(AP190,K$7+IF(K$2=$AA190,$AC190,IF(K$2=$AF190,$AG190,0))))</f>
        <v/>
      </c>
      <c r="X190">
        <f>IF(L189&lt;=0,0,MIN(AQ190,L$7+IF(L$2=$AA190,$AC190,IF(L$2=$AF190,$AG190,0))))</f>
        <v/>
      </c>
      <c r="Y190">
        <f>IF(M189&lt;=0,0,MIN(AR190,M$7+IF(M$2=$AA190,$AC190,IF(M$2=$AF190,$AG190,0))))</f>
        <v/>
      </c>
      <c r="Z190">
        <f>IF(N189&lt;=0,0,MIN(AS190,N$7+IF(N$2=$AA190,$AC190,IF(N$2=$AF190,$AG190,0))))</f>
        <v/>
      </c>
      <c r="AA190">
        <f>IFERROR(ROUND(1/SUMPRODUCT(MAX((C189:N189&gt;0)*($C$3:$N$3&lt;=B190)/$C$2:$N$2)),0),0)</f>
        <v/>
      </c>
      <c r="AB190">
        <f>SUMPRODUCT((C189:N189&gt;0)*$C$7:$N$7)</f>
        <v/>
      </c>
      <c r="AC190">
        <f>MAX(0,Plan!$C$5-AB190)+IF(A190=Plan!$C$8,N(Plan!$C$7),0)</f>
        <v/>
      </c>
      <c r="AD190">
        <f>SUM(C190:N190)</f>
        <v/>
      </c>
      <c r="AE190">
        <f>SUM(O190:Z190)</f>
        <v/>
      </c>
      <c r="AF190">
        <f>IFERROR(ROUND(1/SUMPRODUCT(MAX((C189:N189&gt;0)*($C$3:$N$3&lt;=B190)*($C$2:$N$2&gt;AA190)/$C$2:$N$2)),0),0)</f>
        <v/>
      </c>
      <c r="AG190">
        <f>MAX(0,AC190-MAX(0,SUMPRODUCT(($C$2:$N$2=AA190)*(AH190:AS190-$C$7:$N$7))))</f>
        <v/>
      </c>
      <c r="AH190">
        <f>IF(C189&lt;=0,0,ROUND(C189*(1+IF(AND(C$6&gt;0,$B190&lt;C$6),C$4,C$5)/12),2))</f>
        <v/>
      </c>
      <c r="AI190">
        <f>IF(D189&lt;=0,0,ROUND(D189*(1+IF(AND(D$6&gt;0,$B190&lt;D$6),D$4,D$5)/12),2))</f>
        <v/>
      </c>
      <c r="AJ190">
        <f>IF(E189&lt;=0,0,ROUND(E189*(1+IF(AND(E$6&gt;0,$B190&lt;E$6),E$4,E$5)/12),2))</f>
        <v/>
      </c>
      <c r="AK190">
        <f>IF(F189&lt;=0,0,ROUND(F189*(1+IF(AND(F$6&gt;0,$B190&lt;F$6),F$4,F$5)/12),2))</f>
        <v/>
      </c>
      <c r="AL190">
        <f>IF(G189&lt;=0,0,ROUND(G189*(1+IF(AND(G$6&gt;0,$B190&lt;G$6),G$4,G$5)/12),2))</f>
        <v/>
      </c>
      <c r="AM190">
        <f>IF(H189&lt;=0,0,ROUND(H189*(1+IF(AND(H$6&gt;0,$B190&lt;H$6),H$4,H$5)/12),2))</f>
        <v/>
      </c>
      <c r="AN190">
        <f>IF(I189&lt;=0,0,ROUND(I189*(1+IF(AND(I$6&gt;0,$B190&lt;I$6),I$4,I$5)/12),2))</f>
        <v/>
      </c>
      <c r="AO190">
        <f>IF(J189&lt;=0,0,ROUND(J189*(1+IF(AND(J$6&gt;0,$B190&lt;J$6),J$4,J$5)/12),2))</f>
        <v/>
      </c>
      <c r="AP190">
        <f>IF(K189&lt;=0,0,ROUND(K189*(1+IF(AND(K$6&gt;0,$B190&lt;K$6),K$4,K$5)/12),2))</f>
        <v/>
      </c>
      <c r="AQ190">
        <f>IF(L189&lt;=0,0,ROUND(L189*(1+IF(AND(L$6&gt;0,$B190&lt;L$6),L$4,L$5)/12),2))</f>
        <v/>
      </c>
      <c r="AR190">
        <f>IF(M189&lt;=0,0,ROUND(M189*(1+IF(AND(M$6&gt;0,$B190&lt;M$6),M$4,M$5)/12),2))</f>
        <v/>
      </c>
      <c r="AS190">
        <f>IF(N189&lt;=0,0,ROUND(N189*(1+IF(AND(N$6&gt;0,$B190&lt;N$6),N$4,N$5)/12),2))</f>
        <v/>
      </c>
    </row>
    <row r="191">
      <c r="A191" t="n">
        <v>180</v>
      </c>
      <c r="B191">
        <f>EDATE(Plan!$C$6,179)</f>
        <v/>
      </c>
      <c r="C191">
        <f>IF(C190&lt;=0,0,MAX(0,AH191-O191))</f>
        <v/>
      </c>
      <c r="D191">
        <f>IF(D190&lt;=0,0,MAX(0,AI191-P191))</f>
        <v/>
      </c>
      <c r="E191">
        <f>IF(E190&lt;=0,0,MAX(0,AJ191-Q191))</f>
        <v/>
      </c>
      <c r="F191">
        <f>IF(F190&lt;=0,0,MAX(0,AK191-R191))</f>
        <v/>
      </c>
      <c r="G191">
        <f>IF(G190&lt;=0,0,MAX(0,AL191-S191))</f>
        <v/>
      </c>
      <c r="H191">
        <f>IF(H190&lt;=0,0,MAX(0,AM191-T191))</f>
        <v/>
      </c>
      <c r="I191">
        <f>IF(I190&lt;=0,0,MAX(0,AN191-U191))</f>
        <v/>
      </c>
      <c r="J191">
        <f>IF(J190&lt;=0,0,MAX(0,AO191-V191))</f>
        <v/>
      </c>
      <c r="K191">
        <f>IF(K190&lt;=0,0,MAX(0,AP191-W191))</f>
        <v/>
      </c>
      <c r="L191">
        <f>IF(L190&lt;=0,0,MAX(0,AQ191-X191))</f>
        <v/>
      </c>
      <c r="M191">
        <f>IF(M190&lt;=0,0,MAX(0,AR191-Y191))</f>
        <v/>
      </c>
      <c r="N191">
        <f>IF(N190&lt;=0,0,MAX(0,AS191-Z191))</f>
        <v/>
      </c>
      <c r="O191">
        <f>IF(C190&lt;=0,0,MIN(AH191,C$7+IF(C$2=$AA191,$AC191,IF(C$2=$AF191,$AG191,0))))</f>
        <v/>
      </c>
      <c r="P191">
        <f>IF(D190&lt;=0,0,MIN(AI191,D$7+IF(D$2=$AA191,$AC191,IF(D$2=$AF191,$AG191,0))))</f>
        <v/>
      </c>
      <c r="Q191">
        <f>IF(E190&lt;=0,0,MIN(AJ191,E$7+IF(E$2=$AA191,$AC191,IF(E$2=$AF191,$AG191,0))))</f>
        <v/>
      </c>
      <c r="R191">
        <f>IF(F190&lt;=0,0,MIN(AK191,F$7+IF(F$2=$AA191,$AC191,IF(F$2=$AF191,$AG191,0))))</f>
        <v/>
      </c>
      <c r="S191">
        <f>IF(G190&lt;=0,0,MIN(AL191,G$7+IF(G$2=$AA191,$AC191,IF(G$2=$AF191,$AG191,0))))</f>
        <v/>
      </c>
      <c r="T191">
        <f>IF(H190&lt;=0,0,MIN(AM191,H$7+IF(H$2=$AA191,$AC191,IF(H$2=$AF191,$AG191,0))))</f>
        <v/>
      </c>
      <c r="U191">
        <f>IF(I190&lt;=0,0,MIN(AN191,I$7+IF(I$2=$AA191,$AC191,IF(I$2=$AF191,$AG191,0))))</f>
        <v/>
      </c>
      <c r="V191">
        <f>IF(J190&lt;=0,0,MIN(AO191,J$7+IF(J$2=$AA191,$AC191,IF(J$2=$AF191,$AG191,0))))</f>
        <v/>
      </c>
      <c r="W191">
        <f>IF(K190&lt;=0,0,MIN(AP191,K$7+IF(K$2=$AA191,$AC191,IF(K$2=$AF191,$AG191,0))))</f>
        <v/>
      </c>
      <c r="X191">
        <f>IF(L190&lt;=0,0,MIN(AQ191,L$7+IF(L$2=$AA191,$AC191,IF(L$2=$AF191,$AG191,0))))</f>
        <v/>
      </c>
      <c r="Y191">
        <f>IF(M190&lt;=0,0,MIN(AR191,M$7+IF(M$2=$AA191,$AC191,IF(M$2=$AF191,$AG191,0))))</f>
        <v/>
      </c>
      <c r="Z191">
        <f>IF(N190&lt;=0,0,MIN(AS191,N$7+IF(N$2=$AA191,$AC191,IF(N$2=$AF191,$AG191,0))))</f>
        <v/>
      </c>
      <c r="AA191">
        <f>IFERROR(ROUND(1/SUMPRODUCT(MAX((C190:N190&gt;0)*($C$3:$N$3&lt;=B191)/$C$2:$N$2)),0),0)</f>
        <v/>
      </c>
      <c r="AB191">
        <f>SUMPRODUCT((C190:N190&gt;0)*$C$7:$N$7)</f>
        <v/>
      </c>
      <c r="AC191">
        <f>MAX(0,Plan!$C$5-AB191)+IF(A191=Plan!$C$8,N(Plan!$C$7),0)</f>
        <v/>
      </c>
      <c r="AD191">
        <f>SUM(C191:N191)</f>
        <v/>
      </c>
      <c r="AE191">
        <f>SUM(O191:Z191)</f>
        <v/>
      </c>
      <c r="AF191">
        <f>IFERROR(ROUND(1/SUMPRODUCT(MAX((C190:N190&gt;0)*($C$3:$N$3&lt;=B191)*($C$2:$N$2&gt;AA191)/$C$2:$N$2)),0),0)</f>
        <v/>
      </c>
      <c r="AG191">
        <f>MAX(0,AC191-MAX(0,SUMPRODUCT(($C$2:$N$2=AA191)*(AH191:AS191-$C$7:$N$7))))</f>
        <v/>
      </c>
      <c r="AH191">
        <f>IF(C190&lt;=0,0,ROUND(C190*(1+IF(AND(C$6&gt;0,$B191&lt;C$6),C$4,C$5)/12),2))</f>
        <v/>
      </c>
      <c r="AI191">
        <f>IF(D190&lt;=0,0,ROUND(D190*(1+IF(AND(D$6&gt;0,$B191&lt;D$6),D$4,D$5)/12),2))</f>
        <v/>
      </c>
      <c r="AJ191">
        <f>IF(E190&lt;=0,0,ROUND(E190*(1+IF(AND(E$6&gt;0,$B191&lt;E$6),E$4,E$5)/12),2))</f>
        <v/>
      </c>
      <c r="AK191">
        <f>IF(F190&lt;=0,0,ROUND(F190*(1+IF(AND(F$6&gt;0,$B191&lt;F$6),F$4,F$5)/12),2))</f>
        <v/>
      </c>
      <c r="AL191">
        <f>IF(G190&lt;=0,0,ROUND(G190*(1+IF(AND(G$6&gt;0,$B191&lt;G$6),G$4,G$5)/12),2))</f>
        <v/>
      </c>
      <c r="AM191">
        <f>IF(H190&lt;=0,0,ROUND(H190*(1+IF(AND(H$6&gt;0,$B191&lt;H$6),H$4,H$5)/12),2))</f>
        <v/>
      </c>
      <c r="AN191">
        <f>IF(I190&lt;=0,0,ROUND(I190*(1+IF(AND(I$6&gt;0,$B191&lt;I$6),I$4,I$5)/12),2))</f>
        <v/>
      </c>
      <c r="AO191">
        <f>IF(J190&lt;=0,0,ROUND(J190*(1+IF(AND(J$6&gt;0,$B191&lt;J$6),J$4,J$5)/12),2))</f>
        <v/>
      </c>
      <c r="AP191">
        <f>IF(K190&lt;=0,0,ROUND(K190*(1+IF(AND(K$6&gt;0,$B191&lt;K$6),K$4,K$5)/12),2))</f>
        <v/>
      </c>
      <c r="AQ191">
        <f>IF(L190&lt;=0,0,ROUND(L190*(1+IF(AND(L$6&gt;0,$B191&lt;L$6),L$4,L$5)/12),2))</f>
        <v/>
      </c>
      <c r="AR191">
        <f>IF(M190&lt;=0,0,ROUND(M190*(1+IF(AND(M$6&gt;0,$B191&lt;M$6),M$4,M$5)/12),2))</f>
        <v/>
      </c>
      <c r="AS191">
        <f>IF(N190&lt;=0,0,ROUND(N190*(1+IF(AND(N$6&gt;0,$B191&lt;N$6),N$4,N$5)/12),2))</f>
        <v/>
      </c>
    </row>
    <row r="192">
      <c r="A192" t="n">
        <v>181</v>
      </c>
      <c r="B192">
        <f>EDATE(Plan!$C$6,180)</f>
        <v/>
      </c>
      <c r="C192">
        <f>IF(C191&lt;=0,0,MAX(0,AH192-O192))</f>
        <v/>
      </c>
      <c r="D192">
        <f>IF(D191&lt;=0,0,MAX(0,AI192-P192))</f>
        <v/>
      </c>
      <c r="E192">
        <f>IF(E191&lt;=0,0,MAX(0,AJ192-Q192))</f>
        <v/>
      </c>
      <c r="F192">
        <f>IF(F191&lt;=0,0,MAX(0,AK192-R192))</f>
        <v/>
      </c>
      <c r="G192">
        <f>IF(G191&lt;=0,0,MAX(0,AL192-S192))</f>
        <v/>
      </c>
      <c r="H192">
        <f>IF(H191&lt;=0,0,MAX(0,AM192-T192))</f>
        <v/>
      </c>
      <c r="I192">
        <f>IF(I191&lt;=0,0,MAX(0,AN192-U192))</f>
        <v/>
      </c>
      <c r="J192">
        <f>IF(J191&lt;=0,0,MAX(0,AO192-V192))</f>
        <v/>
      </c>
      <c r="K192">
        <f>IF(K191&lt;=0,0,MAX(0,AP192-W192))</f>
        <v/>
      </c>
      <c r="L192">
        <f>IF(L191&lt;=0,0,MAX(0,AQ192-X192))</f>
        <v/>
      </c>
      <c r="M192">
        <f>IF(M191&lt;=0,0,MAX(0,AR192-Y192))</f>
        <v/>
      </c>
      <c r="N192">
        <f>IF(N191&lt;=0,0,MAX(0,AS192-Z192))</f>
        <v/>
      </c>
      <c r="O192">
        <f>IF(C191&lt;=0,0,MIN(AH192,C$7+IF(C$2=$AA192,$AC192,IF(C$2=$AF192,$AG192,0))))</f>
        <v/>
      </c>
      <c r="P192">
        <f>IF(D191&lt;=0,0,MIN(AI192,D$7+IF(D$2=$AA192,$AC192,IF(D$2=$AF192,$AG192,0))))</f>
        <v/>
      </c>
      <c r="Q192">
        <f>IF(E191&lt;=0,0,MIN(AJ192,E$7+IF(E$2=$AA192,$AC192,IF(E$2=$AF192,$AG192,0))))</f>
        <v/>
      </c>
      <c r="R192">
        <f>IF(F191&lt;=0,0,MIN(AK192,F$7+IF(F$2=$AA192,$AC192,IF(F$2=$AF192,$AG192,0))))</f>
        <v/>
      </c>
      <c r="S192">
        <f>IF(G191&lt;=0,0,MIN(AL192,G$7+IF(G$2=$AA192,$AC192,IF(G$2=$AF192,$AG192,0))))</f>
        <v/>
      </c>
      <c r="T192">
        <f>IF(H191&lt;=0,0,MIN(AM192,H$7+IF(H$2=$AA192,$AC192,IF(H$2=$AF192,$AG192,0))))</f>
        <v/>
      </c>
      <c r="U192">
        <f>IF(I191&lt;=0,0,MIN(AN192,I$7+IF(I$2=$AA192,$AC192,IF(I$2=$AF192,$AG192,0))))</f>
        <v/>
      </c>
      <c r="V192">
        <f>IF(J191&lt;=0,0,MIN(AO192,J$7+IF(J$2=$AA192,$AC192,IF(J$2=$AF192,$AG192,0))))</f>
        <v/>
      </c>
      <c r="W192">
        <f>IF(K191&lt;=0,0,MIN(AP192,K$7+IF(K$2=$AA192,$AC192,IF(K$2=$AF192,$AG192,0))))</f>
        <v/>
      </c>
      <c r="X192">
        <f>IF(L191&lt;=0,0,MIN(AQ192,L$7+IF(L$2=$AA192,$AC192,IF(L$2=$AF192,$AG192,0))))</f>
        <v/>
      </c>
      <c r="Y192">
        <f>IF(M191&lt;=0,0,MIN(AR192,M$7+IF(M$2=$AA192,$AC192,IF(M$2=$AF192,$AG192,0))))</f>
        <v/>
      </c>
      <c r="Z192">
        <f>IF(N191&lt;=0,0,MIN(AS192,N$7+IF(N$2=$AA192,$AC192,IF(N$2=$AF192,$AG192,0))))</f>
        <v/>
      </c>
      <c r="AA192">
        <f>IFERROR(ROUND(1/SUMPRODUCT(MAX((C191:N191&gt;0)*($C$3:$N$3&lt;=B192)/$C$2:$N$2)),0),0)</f>
        <v/>
      </c>
      <c r="AB192">
        <f>SUMPRODUCT((C191:N191&gt;0)*$C$7:$N$7)</f>
        <v/>
      </c>
      <c r="AC192">
        <f>MAX(0,Plan!$C$5-AB192)+IF(A192=Plan!$C$8,N(Plan!$C$7),0)</f>
        <v/>
      </c>
      <c r="AD192">
        <f>SUM(C192:N192)</f>
        <v/>
      </c>
      <c r="AE192">
        <f>SUM(O192:Z192)</f>
        <v/>
      </c>
      <c r="AF192">
        <f>IFERROR(ROUND(1/SUMPRODUCT(MAX((C191:N191&gt;0)*($C$3:$N$3&lt;=B192)*($C$2:$N$2&gt;AA192)/$C$2:$N$2)),0),0)</f>
        <v/>
      </c>
      <c r="AG192">
        <f>MAX(0,AC192-MAX(0,SUMPRODUCT(($C$2:$N$2=AA192)*(AH192:AS192-$C$7:$N$7))))</f>
        <v/>
      </c>
      <c r="AH192">
        <f>IF(C191&lt;=0,0,ROUND(C191*(1+IF(AND(C$6&gt;0,$B192&lt;C$6),C$4,C$5)/12),2))</f>
        <v/>
      </c>
      <c r="AI192">
        <f>IF(D191&lt;=0,0,ROUND(D191*(1+IF(AND(D$6&gt;0,$B192&lt;D$6),D$4,D$5)/12),2))</f>
        <v/>
      </c>
      <c r="AJ192">
        <f>IF(E191&lt;=0,0,ROUND(E191*(1+IF(AND(E$6&gt;0,$B192&lt;E$6),E$4,E$5)/12),2))</f>
        <v/>
      </c>
      <c r="AK192">
        <f>IF(F191&lt;=0,0,ROUND(F191*(1+IF(AND(F$6&gt;0,$B192&lt;F$6),F$4,F$5)/12),2))</f>
        <v/>
      </c>
      <c r="AL192">
        <f>IF(G191&lt;=0,0,ROUND(G191*(1+IF(AND(G$6&gt;0,$B192&lt;G$6),G$4,G$5)/12),2))</f>
        <v/>
      </c>
      <c r="AM192">
        <f>IF(H191&lt;=0,0,ROUND(H191*(1+IF(AND(H$6&gt;0,$B192&lt;H$6),H$4,H$5)/12),2))</f>
        <v/>
      </c>
      <c r="AN192">
        <f>IF(I191&lt;=0,0,ROUND(I191*(1+IF(AND(I$6&gt;0,$B192&lt;I$6),I$4,I$5)/12),2))</f>
        <v/>
      </c>
      <c r="AO192">
        <f>IF(J191&lt;=0,0,ROUND(J191*(1+IF(AND(J$6&gt;0,$B192&lt;J$6),J$4,J$5)/12),2))</f>
        <v/>
      </c>
      <c r="AP192">
        <f>IF(K191&lt;=0,0,ROUND(K191*(1+IF(AND(K$6&gt;0,$B192&lt;K$6),K$4,K$5)/12),2))</f>
        <v/>
      </c>
      <c r="AQ192">
        <f>IF(L191&lt;=0,0,ROUND(L191*(1+IF(AND(L$6&gt;0,$B192&lt;L$6),L$4,L$5)/12),2))</f>
        <v/>
      </c>
      <c r="AR192">
        <f>IF(M191&lt;=0,0,ROUND(M191*(1+IF(AND(M$6&gt;0,$B192&lt;M$6),M$4,M$5)/12),2))</f>
        <v/>
      </c>
      <c r="AS192">
        <f>IF(N191&lt;=0,0,ROUND(N191*(1+IF(AND(N$6&gt;0,$B192&lt;N$6),N$4,N$5)/12),2))</f>
        <v/>
      </c>
    </row>
    <row r="193">
      <c r="A193" t="n">
        <v>182</v>
      </c>
      <c r="B193">
        <f>EDATE(Plan!$C$6,181)</f>
        <v/>
      </c>
      <c r="C193">
        <f>IF(C192&lt;=0,0,MAX(0,AH193-O193))</f>
        <v/>
      </c>
      <c r="D193">
        <f>IF(D192&lt;=0,0,MAX(0,AI193-P193))</f>
        <v/>
      </c>
      <c r="E193">
        <f>IF(E192&lt;=0,0,MAX(0,AJ193-Q193))</f>
        <v/>
      </c>
      <c r="F193">
        <f>IF(F192&lt;=0,0,MAX(0,AK193-R193))</f>
        <v/>
      </c>
      <c r="G193">
        <f>IF(G192&lt;=0,0,MAX(0,AL193-S193))</f>
        <v/>
      </c>
      <c r="H193">
        <f>IF(H192&lt;=0,0,MAX(0,AM193-T193))</f>
        <v/>
      </c>
      <c r="I193">
        <f>IF(I192&lt;=0,0,MAX(0,AN193-U193))</f>
        <v/>
      </c>
      <c r="J193">
        <f>IF(J192&lt;=0,0,MAX(0,AO193-V193))</f>
        <v/>
      </c>
      <c r="K193">
        <f>IF(K192&lt;=0,0,MAX(0,AP193-W193))</f>
        <v/>
      </c>
      <c r="L193">
        <f>IF(L192&lt;=0,0,MAX(0,AQ193-X193))</f>
        <v/>
      </c>
      <c r="M193">
        <f>IF(M192&lt;=0,0,MAX(0,AR193-Y193))</f>
        <v/>
      </c>
      <c r="N193">
        <f>IF(N192&lt;=0,0,MAX(0,AS193-Z193))</f>
        <v/>
      </c>
      <c r="O193">
        <f>IF(C192&lt;=0,0,MIN(AH193,C$7+IF(C$2=$AA193,$AC193,IF(C$2=$AF193,$AG193,0))))</f>
        <v/>
      </c>
      <c r="P193">
        <f>IF(D192&lt;=0,0,MIN(AI193,D$7+IF(D$2=$AA193,$AC193,IF(D$2=$AF193,$AG193,0))))</f>
        <v/>
      </c>
      <c r="Q193">
        <f>IF(E192&lt;=0,0,MIN(AJ193,E$7+IF(E$2=$AA193,$AC193,IF(E$2=$AF193,$AG193,0))))</f>
        <v/>
      </c>
      <c r="R193">
        <f>IF(F192&lt;=0,0,MIN(AK193,F$7+IF(F$2=$AA193,$AC193,IF(F$2=$AF193,$AG193,0))))</f>
        <v/>
      </c>
      <c r="S193">
        <f>IF(G192&lt;=0,0,MIN(AL193,G$7+IF(G$2=$AA193,$AC193,IF(G$2=$AF193,$AG193,0))))</f>
        <v/>
      </c>
      <c r="T193">
        <f>IF(H192&lt;=0,0,MIN(AM193,H$7+IF(H$2=$AA193,$AC193,IF(H$2=$AF193,$AG193,0))))</f>
        <v/>
      </c>
      <c r="U193">
        <f>IF(I192&lt;=0,0,MIN(AN193,I$7+IF(I$2=$AA193,$AC193,IF(I$2=$AF193,$AG193,0))))</f>
        <v/>
      </c>
      <c r="V193">
        <f>IF(J192&lt;=0,0,MIN(AO193,J$7+IF(J$2=$AA193,$AC193,IF(J$2=$AF193,$AG193,0))))</f>
        <v/>
      </c>
      <c r="W193">
        <f>IF(K192&lt;=0,0,MIN(AP193,K$7+IF(K$2=$AA193,$AC193,IF(K$2=$AF193,$AG193,0))))</f>
        <v/>
      </c>
      <c r="X193">
        <f>IF(L192&lt;=0,0,MIN(AQ193,L$7+IF(L$2=$AA193,$AC193,IF(L$2=$AF193,$AG193,0))))</f>
        <v/>
      </c>
      <c r="Y193">
        <f>IF(M192&lt;=0,0,MIN(AR193,M$7+IF(M$2=$AA193,$AC193,IF(M$2=$AF193,$AG193,0))))</f>
        <v/>
      </c>
      <c r="Z193">
        <f>IF(N192&lt;=0,0,MIN(AS193,N$7+IF(N$2=$AA193,$AC193,IF(N$2=$AF193,$AG193,0))))</f>
        <v/>
      </c>
      <c r="AA193">
        <f>IFERROR(ROUND(1/SUMPRODUCT(MAX((C192:N192&gt;0)*($C$3:$N$3&lt;=B193)/$C$2:$N$2)),0),0)</f>
        <v/>
      </c>
      <c r="AB193">
        <f>SUMPRODUCT((C192:N192&gt;0)*$C$7:$N$7)</f>
        <v/>
      </c>
      <c r="AC193">
        <f>MAX(0,Plan!$C$5-AB193)+IF(A193=Plan!$C$8,N(Plan!$C$7),0)</f>
        <v/>
      </c>
      <c r="AD193">
        <f>SUM(C193:N193)</f>
        <v/>
      </c>
      <c r="AE193">
        <f>SUM(O193:Z193)</f>
        <v/>
      </c>
      <c r="AF193">
        <f>IFERROR(ROUND(1/SUMPRODUCT(MAX((C192:N192&gt;0)*($C$3:$N$3&lt;=B193)*($C$2:$N$2&gt;AA193)/$C$2:$N$2)),0),0)</f>
        <v/>
      </c>
      <c r="AG193">
        <f>MAX(0,AC193-MAX(0,SUMPRODUCT(($C$2:$N$2=AA193)*(AH193:AS193-$C$7:$N$7))))</f>
        <v/>
      </c>
      <c r="AH193">
        <f>IF(C192&lt;=0,0,ROUND(C192*(1+IF(AND(C$6&gt;0,$B193&lt;C$6),C$4,C$5)/12),2))</f>
        <v/>
      </c>
      <c r="AI193">
        <f>IF(D192&lt;=0,0,ROUND(D192*(1+IF(AND(D$6&gt;0,$B193&lt;D$6),D$4,D$5)/12),2))</f>
        <v/>
      </c>
      <c r="AJ193">
        <f>IF(E192&lt;=0,0,ROUND(E192*(1+IF(AND(E$6&gt;0,$B193&lt;E$6),E$4,E$5)/12),2))</f>
        <v/>
      </c>
      <c r="AK193">
        <f>IF(F192&lt;=0,0,ROUND(F192*(1+IF(AND(F$6&gt;0,$B193&lt;F$6),F$4,F$5)/12),2))</f>
        <v/>
      </c>
      <c r="AL193">
        <f>IF(G192&lt;=0,0,ROUND(G192*(1+IF(AND(G$6&gt;0,$B193&lt;G$6),G$4,G$5)/12),2))</f>
        <v/>
      </c>
      <c r="AM193">
        <f>IF(H192&lt;=0,0,ROUND(H192*(1+IF(AND(H$6&gt;0,$B193&lt;H$6),H$4,H$5)/12),2))</f>
        <v/>
      </c>
      <c r="AN193">
        <f>IF(I192&lt;=0,0,ROUND(I192*(1+IF(AND(I$6&gt;0,$B193&lt;I$6),I$4,I$5)/12),2))</f>
        <v/>
      </c>
      <c r="AO193">
        <f>IF(J192&lt;=0,0,ROUND(J192*(1+IF(AND(J$6&gt;0,$B193&lt;J$6),J$4,J$5)/12),2))</f>
        <v/>
      </c>
      <c r="AP193">
        <f>IF(K192&lt;=0,0,ROUND(K192*(1+IF(AND(K$6&gt;0,$B193&lt;K$6),K$4,K$5)/12),2))</f>
        <v/>
      </c>
      <c r="AQ193">
        <f>IF(L192&lt;=0,0,ROUND(L192*(1+IF(AND(L$6&gt;0,$B193&lt;L$6),L$4,L$5)/12),2))</f>
        <v/>
      </c>
      <c r="AR193">
        <f>IF(M192&lt;=0,0,ROUND(M192*(1+IF(AND(M$6&gt;0,$B193&lt;M$6),M$4,M$5)/12),2))</f>
        <v/>
      </c>
      <c r="AS193">
        <f>IF(N192&lt;=0,0,ROUND(N192*(1+IF(AND(N$6&gt;0,$B193&lt;N$6),N$4,N$5)/12),2))</f>
        <v/>
      </c>
    </row>
    <row r="194">
      <c r="A194" t="n">
        <v>183</v>
      </c>
      <c r="B194">
        <f>EDATE(Plan!$C$6,182)</f>
        <v/>
      </c>
      <c r="C194">
        <f>IF(C193&lt;=0,0,MAX(0,AH194-O194))</f>
        <v/>
      </c>
      <c r="D194">
        <f>IF(D193&lt;=0,0,MAX(0,AI194-P194))</f>
        <v/>
      </c>
      <c r="E194">
        <f>IF(E193&lt;=0,0,MAX(0,AJ194-Q194))</f>
        <v/>
      </c>
      <c r="F194">
        <f>IF(F193&lt;=0,0,MAX(0,AK194-R194))</f>
        <v/>
      </c>
      <c r="G194">
        <f>IF(G193&lt;=0,0,MAX(0,AL194-S194))</f>
        <v/>
      </c>
      <c r="H194">
        <f>IF(H193&lt;=0,0,MAX(0,AM194-T194))</f>
        <v/>
      </c>
      <c r="I194">
        <f>IF(I193&lt;=0,0,MAX(0,AN194-U194))</f>
        <v/>
      </c>
      <c r="J194">
        <f>IF(J193&lt;=0,0,MAX(0,AO194-V194))</f>
        <v/>
      </c>
      <c r="K194">
        <f>IF(K193&lt;=0,0,MAX(0,AP194-W194))</f>
        <v/>
      </c>
      <c r="L194">
        <f>IF(L193&lt;=0,0,MAX(0,AQ194-X194))</f>
        <v/>
      </c>
      <c r="M194">
        <f>IF(M193&lt;=0,0,MAX(0,AR194-Y194))</f>
        <v/>
      </c>
      <c r="N194">
        <f>IF(N193&lt;=0,0,MAX(0,AS194-Z194))</f>
        <v/>
      </c>
      <c r="O194">
        <f>IF(C193&lt;=0,0,MIN(AH194,C$7+IF(C$2=$AA194,$AC194,IF(C$2=$AF194,$AG194,0))))</f>
        <v/>
      </c>
      <c r="P194">
        <f>IF(D193&lt;=0,0,MIN(AI194,D$7+IF(D$2=$AA194,$AC194,IF(D$2=$AF194,$AG194,0))))</f>
        <v/>
      </c>
      <c r="Q194">
        <f>IF(E193&lt;=0,0,MIN(AJ194,E$7+IF(E$2=$AA194,$AC194,IF(E$2=$AF194,$AG194,0))))</f>
        <v/>
      </c>
      <c r="R194">
        <f>IF(F193&lt;=0,0,MIN(AK194,F$7+IF(F$2=$AA194,$AC194,IF(F$2=$AF194,$AG194,0))))</f>
        <v/>
      </c>
      <c r="S194">
        <f>IF(G193&lt;=0,0,MIN(AL194,G$7+IF(G$2=$AA194,$AC194,IF(G$2=$AF194,$AG194,0))))</f>
        <v/>
      </c>
      <c r="T194">
        <f>IF(H193&lt;=0,0,MIN(AM194,H$7+IF(H$2=$AA194,$AC194,IF(H$2=$AF194,$AG194,0))))</f>
        <v/>
      </c>
      <c r="U194">
        <f>IF(I193&lt;=0,0,MIN(AN194,I$7+IF(I$2=$AA194,$AC194,IF(I$2=$AF194,$AG194,0))))</f>
        <v/>
      </c>
      <c r="V194">
        <f>IF(J193&lt;=0,0,MIN(AO194,J$7+IF(J$2=$AA194,$AC194,IF(J$2=$AF194,$AG194,0))))</f>
        <v/>
      </c>
      <c r="W194">
        <f>IF(K193&lt;=0,0,MIN(AP194,K$7+IF(K$2=$AA194,$AC194,IF(K$2=$AF194,$AG194,0))))</f>
        <v/>
      </c>
      <c r="X194">
        <f>IF(L193&lt;=0,0,MIN(AQ194,L$7+IF(L$2=$AA194,$AC194,IF(L$2=$AF194,$AG194,0))))</f>
        <v/>
      </c>
      <c r="Y194">
        <f>IF(M193&lt;=0,0,MIN(AR194,M$7+IF(M$2=$AA194,$AC194,IF(M$2=$AF194,$AG194,0))))</f>
        <v/>
      </c>
      <c r="Z194">
        <f>IF(N193&lt;=0,0,MIN(AS194,N$7+IF(N$2=$AA194,$AC194,IF(N$2=$AF194,$AG194,0))))</f>
        <v/>
      </c>
      <c r="AA194">
        <f>IFERROR(ROUND(1/SUMPRODUCT(MAX((C193:N193&gt;0)*($C$3:$N$3&lt;=B194)/$C$2:$N$2)),0),0)</f>
        <v/>
      </c>
      <c r="AB194">
        <f>SUMPRODUCT((C193:N193&gt;0)*$C$7:$N$7)</f>
        <v/>
      </c>
      <c r="AC194">
        <f>MAX(0,Plan!$C$5-AB194)+IF(A194=Plan!$C$8,N(Plan!$C$7),0)</f>
        <v/>
      </c>
      <c r="AD194">
        <f>SUM(C194:N194)</f>
        <v/>
      </c>
      <c r="AE194">
        <f>SUM(O194:Z194)</f>
        <v/>
      </c>
      <c r="AF194">
        <f>IFERROR(ROUND(1/SUMPRODUCT(MAX((C193:N193&gt;0)*($C$3:$N$3&lt;=B194)*($C$2:$N$2&gt;AA194)/$C$2:$N$2)),0),0)</f>
        <v/>
      </c>
      <c r="AG194">
        <f>MAX(0,AC194-MAX(0,SUMPRODUCT(($C$2:$N$2=AA194)*(AH194:AS194-$C$7:$N$7))))</f>
        <v/>
      </c>
      <c r="AH194">
        <f>IF(C193&lt;=0,0,ROUND(C193*(1+IF(AND(C$6&gt;0,$B194&lt;C$6),C$4,C$5)/12),2))</f>
        <v/>
      </c>
      <c r="AI194">
        <f>IF(D193&lt;=0,0,ROUND(D193*(1+IF(AND(D$6&gt;0,$B194&lt;D$6),D$4,D$5)/12),2))</f>
        <v/>
      </c>
      <c r="AJ194">
        <f>IF(E193&lt;=0,0,ROUND(E193*(1+IF(AND(E$6&gt;0,$B194&lt;E$6),E$4,E$5)/12),2))</f>
        <v/>
      </c>
      <c r="AK194">
        <f>IF(F193&lt;=0,0,ROUND(F193*(1+IF(AND(F$6&gt;0,$B194&lt;F$6),F$4,F$5)/12),2))</f>
        <v/>
      </c>
      <c r="AL194">
        <f>IF(G193&lt;=0,0,ROUND(G193*(1+IF(AND(G$6&gt;0,$B194&lt;G$6),G$4,G$5)/12),2))</f>
        <v/>
      </c>
      <c r="AM194">
        <f>IF(H193&lt;=0,0,ROUND(H193*(1+IF(AND(H$6&gt;0,$B194&lt;H$6),H$4,H$5)/12),2))</f>
        <v/>
      </c>
      <c r="AN194">
        <f>IF(I193&lt;=0,0,ROUND(I193*(1+IF(AND(I$6&gt;0,$B194&lt;I$6),I$4,I$5)/12),2))</f>
        <v/>
      </c>
      <c r="AO194">
        <f>IF(J193&lt;=0,0,ROUND(J193*(1+IF(AND(J$6&gt;0,$B194&lt;J$6),J$4,J$5)/12),2))</f>
        <v/>
      </c>
      <c r="AP194">
        <f>IF(K193&lt;=0,0,ROUND(K193*(1+IF(AND(K$6&gt;0,$B194&lt;K$6),K$4,K$5)/12),2))</f>
        <v/>
      </c>
      <c r="AQ194">
        <f>IF(L193&lt;=0,0,ROUND(L193*(1+IF(AND(L$6&gt;0,$B194&lt;L$6),L$4,L$5)/12),2))</f>
        <v/>
      </c>
      <c r="AR194">
        <f>IF(M193&lt;=0,0,ROUND(M193*(1+IF(AND(M$6&gt;0,$B194&lt;M$6),M$4,M$5)/12),2))</f>
        <v/>
      </c>
      <c r="AS194">
        <f>IF(N193&lt;=0,0,ROUND(N193*(1+IF(AND(N$6&gt;0,$B194&lt;N$6),N$4,N$5)/12),2))</f>
        <v/>
      </c>
    </row>
    <row r="195">
      <c r="A195" t="n">
        <v>184</v>
      </c>
      <c r="B195">
        <f>EDATE(Plan!$C$6,183)</f>
        <v/>
      </c>
      <c r="C195">
        <f>IF(C194&lt;=0,0,MAX(0,AH195-O195))</f>
        <v/>
      </c>
      <c r="D195">
        <f>IF(D194&lt;=0,0,MAX(0,AI195-P195))</f>
        <v/>
      </c>
      <c r="E195">
        <f>IF(E194&lt;=0,0,MAX(0,AJ195-Q195))</f>
        <v/>
      </c>
      <c r="F195">
        <f>IF(F194&lt;=0,0,MAX(0,AK195-R195))</f>
        <v/>
      </c>
      <c r="G195">
        <f>IF(G194&lt;=0,0,MAX(0,AL195-S195))</f>
        <v/>
      </c>
      <c r="H195">
        <f>IF(H194&lt;=0,0,MAX(0,AM195-T195))</f>
        <v/>
      </c>
      <c r="I195">
        <f>IF(I194&lt;=0,0,MAX(0,AN195-U195))</f>
        <v/>
      </c>
      <c r="J195">
        <f>IF(J194&lt;=0,0,MAX(0,AO195-V195))</f>
        <v/>
      </c>
      <c r="K195">
        <f>IF(K194&lt;=0,0,MAX(0,AP195-W195))</f>
        <v/>
      </c>
      <c r="L195">
        <f>IF(L194&lt;=0,0,MAX(0,AQ195-X195))</f>
        <v/>
      </c>
      <c r="M195">
        <f>IF(M194&lt;=0,0,MAX(0,AR195-Y195))</f>
        <v/>
      </c>
      <c r="N195">
        <f>IF(N194&lt;=0,0,MAX(0,AS195-Z195))</f>
        <v/>
      </c>
      <c r="O195">
        <f>IF(C194&lt;=0,0,MIN(AH195,C$7+IF(C$2=$AA195,$AC195,IF(C$2=$AF195,$AG195,0))))</f>
        <v/>
      </c>
      <c r="P195">
        <f>IF(D194&lt;=0,0,MIN(AI195,D$7+IF(D$2=$AA195,$AC195,IF(D$2=$AF195,$AG195,0))))</f>
        <v/>
      </c>
      <c r="Q195">
        <f>IF(E194&lt;=0,0,MIN(AJ195,E$7+IF(E$2=$AA195,$AC195,IF(E$2=$AF195,$AG195,0))))</f>
        <v/>
      </c>
      <c r="R195">
        <f>IF(F194&lt;=0,0,MIN(AK195,F$7+IF(F$2=$AA195,$AC195,IF(F$2=$AF195,$AG195,0))))</f>
        <v/>
      </c>
      <c r="S195">
        <f>IF(G194&lt;=0,0,MIN(AL195,G$7+IF(G$2=$AA195,$AC195,IF(G$2=$AF195,$AG195,0))))</f>
        <v/>
      </c>
      <c r="T195">
        <f>IF(H194&lt;=0,0,MIN(AM195,H$7+IF(H$2=$AA195,$AC195,IF(H$2=$AF195,$AG195,0))))</f>
        <v/>
      </c>
      <c r="U195">
        <f>IF(I194&lt;=0,0,MIN(AN195,I$7+IF(I$2=$AA195,$AC195,IF(I$2=$AF195,$AG195,0))))</f>
        <v/>
      </c>
      <c r="V195">
        <f>IF(J194&lt;=0,0,MIN(AO195,J$7+IF(J$2=$AA195,$AC195,IF(J$2=$AF195,$AG195,0))))</f>
        <v/>
      </c>
      <c r="W195">
        <f>IF(K194&lt;=0,0,MIN(AP195,K$7+IF(K$2=$AA195,$AC195,IF(K$2=$AF195,$AG195,0))))</f>
        <v/>
      </c>
      <c r="X195">
        <f>IF(L194&lt;=0,0,MIN(AQ195,L$7+IF(L$2=$AA195,$AC195,IF(L$2=$AF195,$AG195,0))))</f>
        <v/>
      </c>
      <c r="Y195">
        <f>IF(M194&lt;=0,0,MIN(AR195,M$7+IF(M$2=$AA195,$AC195,IF(M$2=$AF195,$AG195,0))))</f>
        <v/>
      </c>
      <c r="Z195">
        <f>IF(N194&lt;=0,0,MIN(AS195,N$7+IF(N$2=$AA195,$AC195,IF(N$2=$AF195,$AG195,0))))</f>
        <v/>
      </c>
      <c r="AA195">
        <f>IFERROR(ROUND(1/SUMPRODUCT(MAX((C194:N194&gt;0)*($C$3:$N$3&lt;=B195)/$C$2:$N$2)),0),0)</f>
        <v/>
      </c>
      <c r="AB195">
        <f>SUMPRODUCT((C194:N194&gt;0)*$C$7:$N$7)</f>
        <v/>
      </c>
      <c r="AC195">
        <f>MAX(0,Plan!$C$5-AB195)+IF(A195=Plan!$C$8,N(Plan!$C$7),0)</f>
        <v/>
      </c>
      <c r="AD195">
        <f>SUM(C195:N195)</f>
        <v/>
      </c>
      <c r="AE195">
        <f>SUM(O195:Z195)</f>
        <v/>
      </c>
      <c r="AF195">
        <f>IFERROR(ROUND(1/SUMPRODUCT(MAX((C194:N194&gt;0)*($C$3:$N$3&lt;=B195)*($C$2:$N$2&gt;AA195)/$C$2:$N$2)),0),0)</f>
        <v/>
      </c>
      <c r="AG195">
        <f>MAX(0,AC195-MAX(0,SUMPRODUCT(($C$2:$N$2=AA195)*(AH195:AS195-$C$7:$N$7))))</f>
        <v/>
      </c>
      <c r="AH195">
        <f>IF(C194&lt;=0,0,ROUND(C194*(1+IF(AND(C$6&gt;0,$B195&lt;C$6),C$4,C$5)/12),2))</f>
        <v/>
      </c>
      <c r="AI195">
        <f>IF(D194&lt;=0,0,ROUND(D194*(1+IF(AND(D$6&gt;0,$B195&lt;D$6),D$4,D$5)/12),2))</f>
        <v/>
      </c>
      <c r="AJ195">
        <f>IF(E194&lt;=0,0,ROUND(E194*(1+IF(AND(E$6&gt;0,$B195&lt;E$6),E$4,E$5)/12),2))</f>
        <v/>
      </c>
      <c r="AK195">
        <f>IF(F194&lt;=0,0,ROUND(F194*(1+IF(AND(F$6&gt;0,$B195&lt;F$6),F$4,F$5)/12),2))</f>
        <v/>
      </c>
      <c r="AL195">
        <f>IF(G194&lt;=0,0,ROUND(G194*(1+IF(AND(G$6&gt;0,$B195&lt;G$6),G$4,G$5)/12),2))</f>
        <v/>
      </c>
      <c r="AM195">
        <f>IF(H194&lt;=0,0,ROUND(H194*(1+IF(AND(H$6&gt;0,$B195&lt;H$6),H$4,H$5)/12),2))</f>
        <v/>
      </c>
      <c r="AN195">
        <f>IF(I194&lt;=0,0,ROUND(I194*(1+IF(AND(I$6&gt;0,$B195&lt;I$6),I$4,I$5)/12),2))</f>
        <v/>
      </c>
      <c r="AO195">
        <f>IF(J194&lt;=0,0,ROUND(J194*(1+IF(AND(J$6&gt;0,$B195&lt;J$6),J$4,J$5)/12),2))</f>
        <v/>
      </c>
      <c r="AP195">
        <f>IF(K194&lt;=0,0,ROUND(K194*(1+IF(AND(K$6&gt;0,$B195&lt;K$6),K$4,K$5)/12),2))</f>
        <v/>
      </c>
      <c r="AQ195">
        <f>IF(L194&lt;=0,0,ROUND(L194*(1+IF(AND(L$6&gt;0,$B195&lt;L$6),L$4,L$5)/12),2))</f>
        <v/>
      </c>
      <c r="AR195">
        <f>IF(M194&lt;=0,0,ROUND(M194*(1+IF(AND(M$6&gt;0,$B195&lt;M$6),M$4,M$5)/12),2))</f>
        <v/>
      </c>
      <c r="AS195">
        <f>IF(N194&lt;=0,0,ROUND(N194*(1+IF(AND(N$6&gt;0,$B195&lt;N$6),N$4,N$5)/12),2))</f>
        <v/>
      </c>
    </row>
    <row r="196">
      <c r="A196" t="n">
        <v>185</v>
      </c>
      <c r="B196">
        <f>EDATE(Plan!$C$6,184)</f>
        <v/>
      </c>
      <c r="C196">
        <f>IF(C195&lt;=0,0,MAX(0,AH196-O196))</f>
        <v/>
      </c>
      <c r="D196">
        <f>IF(D195&lt;=0,0,MAX(0,AI196-P196))</f>
        <v/>
      </c>
      <c r="E196">
        <f>IF(E195&lt;=0,0,MAX(0,AJ196-Q196))</f>
        <v/>
      </c>
      <c r="F196">
        <f>IF(F195&lt;=0,0,MAX(0,AK196-R196))</f>
        <v/>
      </c>
      <c r="G196">
        <f>IF(G195&lt;=0,0,MAX(0,AL196-S196))</f>
        <v/>
      </c>
      <c r="H196">
        <f>IF(H195&lt;=0,0,MAX(0,AM196-T196))</f>
        <v/>
      </c>
      <c r="I196">
        <f>IF(I195&lt;=0,0,MAX(0,AN196-U196))</f>
        <v/>
      </c>
      <c r="J196">
        <f>IF(J195&lt;=0,0,MAX(0,AO196-V196))</f>
        <v/>
      </c>
      <c r="K196">
        <f>IF(K195&lt;=0,0,MAX(0,AP196-W196))</f>
        <v/>
      </c>
      <c r="L196">
        <f>IF(L195&lt;=0,0,MAX(0,AQ196-X196))</f>
        <v/>
      </c>
      <c r="M196">
        <f>IF(M195&lt;=0,0,MAX(0,AR196-Y196))</f>
        <v/>
      </c>
      <c r="N196">
        <f>IF(N195&lt;=0,0,MAX(0,AS196-Z196))</f>
        <v/>
      </c>
      <c r="O196">
        <f>IF(C195&lt;=0,0,MIN(AH196,C$7+IF(C$2=$AA196,$AC196,IF(C$2=$AF196,$AG196,0))))</f>
        <v/>
      </c>
      <c r="P196">
        <f>IF(D195&lt;=0,0,MIN(AI196,D$7+IF(D$2=$AA196,$AC196,IF(D$2=$AF196,$AG196,0))))</f>
        <v/>
      </c>
      <c r="Q196">
        <f>IF(E195&lt;=0,0,MIN(AJ196,E$7+IF(E$2=$AA196,$AC196,IF(E$2=$AF196,$AG196,0))))</f>
        <v/>
      </c>
      <c r="R196">
        <f>IF(F195&lt;=0,0,MIN(AK196,F$7+IF(F$2=$AA196,$AC196,IF(F$2=$AF196,$AG196,0))))</f>
        <v/>
      </c>
      <c r="S196">
        <f>IF(G195&lt;=0,0,MIN(AL196,G$7+IF(G$2=$AA196,$AC196,IF(G$2=$AF196,$AG196,0))))</f>
        <v/>
      </c>
      <c r="T196">
        <f>IF(H195&lt;=0,0,MIN(AM196,H$7+IF(H$2=$AA196,$AC196,IF(H$2=$AF196,$AG196,0))))</f>
        <v/>
      </c>
      <c r="U196">
        <f>IF(I195&lt;=0,0,MIN(AN196,I$7+IF(I$2=$AA196,$AC196,IF(I$2=$AF196,$AG196,0))))</f>
        <v/>
      </c>
      <c r="V196">
        <f>IF(J195&lt;=0,0,MIN(AO196,J$7+IF(J$2=$AA196,$AC196,IF(J$2=$AF196,$AG196,0))))</f>
        <v/>
      </c>
      <c r="W196">
        <f>IF(K195&lt;=0,0,MIN(AP196,K$7+IF(K$2=$AA196,$AC196,IF(K$2=$AF196,$AG196,0))))</f>
        <v/>
      </c>
      <c r="X196">
        <f>IF(L195&lt;=0,0,MIN(AQ196,L$7+IF(L$2=$AA196,$AC196,IF(L$2=$AF196,$AG196,0))))</f>
        <v/>
      </c>
      <c r="Y196">
        <f>IF(M195&lt;=0,0,MIN(AR196,M$7+IF(M$2=$AA196,$AC196,IF(M$2=$AF196,$AG196,0))))</f>
        <v/>
      </c>
      <c r="Z196">
        <f>IF(N195&lt;=0,0,MIN(AS196,N$7+IF(N$2=$AA196,$AC196,IF(N$2=$AF196,$AG196,0))))</f>
        <v/>
      </c>
      <c r="AA196">
        <f>IFERROR(ROUND(1/SUMPRODUCT(MAX((C195:N195&gt;0)*($C$3:$N$3&lt;=B196)/$C$2:$N$2)),0),0)</f>
        <v/>
      </c>
      <c r="AB196">
        <f>SUMPRODUCT((C195:N195&gt;0)*$C$7:$N$7)</f>
        <v/>
      </c>
      <c r="AC196">
        <f>MAX(0,Plan!$C$5-AB196)+IF(A196=Plan!$C$8,N(Plan!$C$7),0)</f>
        <v/>
      </c>
      <c r="AD196">
        <f>SUM(C196:N196)</f>
        <v/>
      </c>
      <c r="AE196">
        <f>SUM(O196:Z196)</f>
        <v/>
      </c>
      <c r="AF196">
        <f>IFERROR(ROUND(1/SUMPRODUCT(MAX((C195:N195&gt;0)*($C$3:$N$3&lt;=B196)*($C$2:$N$2&gt;AA196)/$C$2:$N$2)),0),0)</f>
        <v/>
      </c>
      <c r="AG196">
        <f>MAX(0,AC196-MAX(0,SUMPRODUCT(($C$2:$N$2=AA196)*(AH196:AS196-$C$7:$N$7))))</f>
        <v/>
      </c>
      <c r="AH196">
        <f>IF(C195&lt;=0,0,ROUND(C195*(1+IF(AND(C$6&gt;0,$B196&lt;C$6),C$4,C$5)/12),2))</f>
        <v/>
      </c>
      <c r="AI196">
        <f>IF(D195&lt;=0,0,ROUND(D195*(1+IF(AND(D$6&gt;0,$B196&lt;D$6),D$4,D$5)/12),2))</f>
        <v/>
      </c>
      <c r="AJ196">
        <f>IF(E195&lt;=0,0,ROUND(E195*(1+IF(AND(E$6&gt;0,$B196&lt;E$6),E$4,E$5)/12),2))</f>
        <v/>
      </c>
      <c r="AK196">
        <f>IF(F195&lt;=0,0,ROUND(F195*(1+IF(AND(F$6&gt;0,$B196&lt;F$6),F$4,F$5)/12),2))</f>
        <v/>
      </c>
      <c r="AL196">
        <f>IF(G195&lt;=0,0,ROUND(G195*(1+IF(AND(G$6&gt;0,$B196&lt;G$6),G$4,G$5)/12),2))</f>
        <v/>
      </c>
      <c r="AM196">
        <f>IF(H195&lt;=0,0,ROUND(H195*(1+IF(AND(H$6&gt;0,$B196&lt;H$6),H$4,H$5)/12),2))</f>
        <v/>
      </c>
      <c r="AN196">
        <f>IF(I195&lt;=0,0,ROUND(I195*(1+IF(AND(I$6&gt;0,$B196&lt;I$6),I$4,I$5)/12),2))</f>
        <v/>
      </c>
      <c r="AO196">
        <f>IF(J195&lt;=0,0,ROUND(J195*(1+IF(AND(J$6&gt;0,$B196&lt;J$6),J$4,J$5)/12),2))</f>
        <v/>
      </c>
      <c r="AP196">
        <f>IF(K195&lt;=0,0,ROUND(K195*(1+IF(AND(K$6&gt;0,$B196&lt;K$6),K$4,K$5)/12),2))</f>
        <v/>
      </c>
      <c r="AQ196">
        <f>IF(L195&lt;=0,0,ROUND(L195*(1+IF(AND(L$6&gt;0,$B196&lt;L$6),L$4,L$5)/12),2))</f>
        <v/>
      </c>
      <c r="AR196">
        <f>IF(M195&lt;=0,0,ROUND(M195*(1+IF(AND(M$6&gt;0,$B196&lt;M$6),M$4,M$5)/12),2))</f>
        <v/>
      </c>
      <c r="AS196">
        <f>IF(N195&lt;=0,0,ROUND(N195*(1+IF(AND(N$6&gt;0,$B196&lt;N$6),N$4,N$5)/12),2))</f>
        <v/>
      </c>
    </row>
    <row r="197">
      <c r="A197" t="n">
        <v>186</v>
      </c>
      <c r="B197">
        <f>EDATE(Plan!$C$6,185)</f>
        <v/>
      </c>
      <c r="C197">
        <f>IF(C196&lt;=0,0,MAX(0,AH197-O197))</f>
        <v/>
      </c>
      <c r="D197">
        <f>IF(D196&lt;=0,0,MAX(0,AI197-P197))</f>
        <v/>
      </c>
      <c r="E197">
        <f>IF(E196&lt;=0,0,MAX(0,AJ197-Q197))</f>
        <v/>
      </c>
      <c r="F197">
        <f>IF(F196&lt;=0,0,MAX(0,AK197-R197))</f>
        <v/>
      </c>
      <c r="G197">
        <f>IF(G196&lt;=0,0,MAX(0,AL197-S197))</f>
        <v/>
      </c>
      <c r="H197">
        <f>IF(H196&lt;=0,0,MAX(0,AM197-T197))</f>
        <v/>
      </c>
      <c r="I197">
        <f>IF(I196&lt;=0,0,MAX(0,AN197-U197))</f>
        <v/>
      </c>
      <c r="J197">
        <f>IF(J196&lt;=0,0,MAX(0,AO197-V197))</f>
        <v/>
      </c>
      <c r="K197">
        <f>IF(K196&lt;=0,0,MAX(0,AP197-W197))</f>
        <v/>
      </c>
      <c r="L197">
        <f>IF(L196&lt;=0,0,MAX(0,AQ197-X197))</f>
        <v/>
      </c>
      <c r="M197">
        <f>IF(M196&lt;=0,0,MAX(0,AR197-Y197))</f>
        <v/>
      </c>
      <c r="N197">
        <f>IF(N196&lt;=0,0,MAX(0,AS197-Z197))</f>
        <v/>
      </c>
      <c r="O197">
        <f>IF(C196&lt;=0,0,MIN(AH197,C$7+IF(C$2=$AA197,$AC197,IF(C$2=$AF197,$AG197,0))))</f>
        <v/>
      </c>
      <c r="P197">
        <f>IF(D196&lt;=0,0,MIN(AI197,D$7+IF(D$2=$AA197,$AC197,IF(D$2=$AF197,$AG197,0))))</f>
        <v/>
      </c>
      <c r="Q197">
        <f>IF(E196&lt;=0,0,MIN(AJ197,E$7+IF(E$2=$AA197,$AC197,IF(E$2=$AF197,$AG197,0))))</f>
        <v/>
      </c>
      <c r="R197">
        <f>IF(F196&lt;=0,0,MIN(AK197,F$7+IF(F$2=$AA197,$AC197,IF(F$2=$AF197,$AG197,0))))</f>
        <v/>
      </c>
      <c r="S197">
        <f>IF(G196&lt;=0,0,MIN(AL197,G$7+IF(G$2=$AA197,$AC197,IF(G$2=$AF197,$AG197,0))))</f>
        <v/>
      </c>
      <c r="T197">
        <f>IF(H196&lt;=0,0,MIN(AM197,H$7+IF(H$2=$AA197,$AC197,IF(H$2=$AF197,$AG197,0))))</f>
        <v/>
      </c>
      <c r="U197">
        <f>IF(I196&lt;=0,0,MIN(AN197,I$7+IF(I$2=$AA197,$AC197,IF(I$2=$AF197,$AG197,0))))</f>
        <v/>
      </c>
      <c r="V197">
        <f>IF(J196&lt;=0,0,MIN(AO197,J$7+IF(J$2=$AA197,$AC197,IF(J$2=$AF197,$AG197,0))))</f>
        <v/>
      </c>
      <c r="W197">
        <f>IF(K196&lt;=0,0,MIN(AP197,K$7+IF(K$2=$AA197,$AC197,IF(K$2=$AF197,$AG197,0))))</f>
        <v/>
      </c>
      <c r="X197">
        <f>IF(L196&lt;=0,0,MIN(AQ197,L$7+IF(L$2=$AA197,$AC197,IF(L$2=$AF197,$AG197,0))))</f>
        <v/>
      </c>
      <c r="Y197">
        <f>IF(M196&lt;=0,0,MIN(AR197,M$7+IF(M$2=$AA197,$AC197,IF(M$2=$AF197,$AG197,0))))</f>
        <v/>
      </c>
      <c r="Z197">
        <f>IF(N196&lt;=0,0,MIN(AS197,N$7+IF(N$2=$AA197,$AC197,IF(N$2=$AF197,$AG197,0))))</f>
        <v/>
      </c>
      <c r="AA197">
        <f>IFERROR(ROUND(1/SUMPRODUCT(MAX((C196:N196&gt;0)*($C$3:$N$3&lt;=B197)/$C$2:$N$2)),0),0)</f>
        <v/>
      </c>
      <c r="AB197">
        <f>SUMPRODUCT((C196:N196&gt;0)*$C$7:$N$7)</f>
        <v/>
      </c>
      <c r="AC197">
        <f>MAX(0,Plan!$C$5-AB197)+IF(A197=Plan!$C$8,N(Plan!$C$7),0)</f>
        <v/>
      </c>
      <c r="AD197">
        <f>SUM(C197:N197)</f>
        <v/>
      </c>
      <c r="AE197">
        <f>SUM(O197:Z197)</f>
        <v/>
      </c>
      <c r="AF197">
        <f>IFERROR(ROUND(1/SUMPRODUCT(MAX((C196:N196&gt;0)*($C$3:$N$3&lt;=B197)*($C$2:$N$2&gt;AA197)/$C$2:$N$2)),0),0)</f>
        <v/>
      </c>
      <c r="AG197">
        <f>MAX(0,AC197-MAX(0,SUMPRODUCT(($C$2:$N$2=AA197)*(AH197:AS197-$C$7:$N$7))))</f>
        <v/>
      </c>
      <c r="AH197">
        <f>IF(C196&lt;=0,0,ROUND(C196*(1+IF(AND(C$6&gt;0,$B197&lt;C$6),C$4,C$5)/12),2))</f>
        <v/>
      </c>
      <c r="AI197">
        <f>IF(D196&lt;=0,0,ROUND(D196*(1+IF(AND(D$6&gt;0,$B197&lt;D$6),D$4,D$5)/12),2))</f>
        <v/>
      </c>
      <c r="AJ197">
        <f>IF(E196&lt;=0,0,ROUND(E196*(1+IF(AND(E$6&gt;0,$B197&lt;E$6),E$4,E$5)/12),2))</f>
        <v/>
      </c>
      <c r="AK197">
        <f>IF(F196&lt;=0,0,ROUND(F196*(1+IF(AND(F$6&gt;0,$B197&lt;F$6),F$4,F$5)/12),2))</f>
        <v/>
      </c>
      <c r="AL197">
        <f>IF(G196&lt;=0,0,ROUND(G196*(1+IF(AND(G$6&gt;0,$B197&lt;G$6),G$4,G$5)/12),2))</f>
        <v/>
      </c>
      <c r="AM197">
        <f>IF(H196&lt;=0,0,ROUND(H196*(1+IF(AND(H$6&gt;0,$B197&lt;H$6),H$4,H$5)/12),2))</f>
        <v/>
      </c>
      <c r="AN197">
        <f>IF(I196&lt;=0,0,ROUND(I196*(1+IF(AND(I$6&gt;0,$B197&lt;I$6),I$4,I$5)/12),2))</f>
        <v/>
      </c>
      <c r="AO197">
        <f>IF(J196&lt;=0,0,ROUND(J196*(1+IF(AND(J$6&gt;0,$B197&lt;J$6),J$4,J$5)/12),2))</f>
        <v/>
      </c>
      <c r="AP197">
        <f>IF(K196&lt;=0,0,ROUND(K196*(1+IF(AND(K$6&gt;0,$B197&lt;K$6),K$4,K$5)/12),2))</f>
        <v/>
      </c>
      <c r="AQ197">
        <f>IF(L196&lt;=0,0,ROUND(L196*(1+IF(AND(L$6&gt;0,$B197&lt;L$6),L$4,L$5)/12),2))</f>
        <v/>
      </c>
      <c r="AR197">
        <f>IF(M196&lt;=0,0,ROUND(M196*(1+IF(AND(M$6&gt;0,$B197&lt;M$6),M$4,M$5)/12),2))</f>
        <v/>
      </c>
      <c r="AS197">
        <f>IF(N196&lt;=0,0,ROUND(N196*(1+IF(AND(N$6&gt;0,$B197&lt;N$6),N$4,N$5)/12),2))</f>
        <v/>
      </c>
    </row>
    <row r="198">
      <c r="A198" t="n">
        <v>187</v>
      </c>
      <c r="B198">
        <f>EDATE(Plan!$C$6,186)</f>
        <v/>
      </c>
      <c r="C198">
        <f>IF(C197&lt;=0,0,MAX(0,AH198-O198))</f>
        <v/>
      </c>
      <c r="D198">
        <f>IF(D197&lt;=0,0,MAX(0,AI198-P198))</f>
        <v/>
      </c>
      <c r="E198">
        <f>IF(E197&lt;=0,0,MAX(0,AJ198-Q198))</f>
        <v/>
      </c>
      <c r="F198">
        <f>IF(F197&lt;=0,0,MAX(0,AK198-R198))</f>
        <v/>
      </c>
      <c r="G198">
        <f>IF(G197&lt;=0,0,MAX(0,AL198-S198))</f>
        <v/>
      </c>
      <c r="H198">
        <f>IF(H197&lt;=0,0,MAX(0,AM198-T198))</f>
        <v/>
      </c>
      <c r="I198">
        <f>IF(I197&lt;=0,0,MAX(0,AN198-U198))</f>
        <v/>
      </c>
      <c r="J198">
        <f>IF(J197&lt;=0,0,MAX(0,AO198-V198))</f>
        <v/>
      </c>
      <c r="K198">
        <f>IF(K197&lt;=0,0,MAX(0,AP198-W198))</f>
        <v/>
      </c>
      <c r="L198">
        <f>IF(L197&lt;=0,0,MAX(0,AQ198-X198))</f>
        <v/>
      </c>
      <c r="M198">
        <f>IF(M197&lt;=0,0,MAX(0,AR198-Y198))</f>
        <v/>
      </c>
      <c r="N198">
        <f>IF(N197&lt;=0,0,MAX(0,AS198-Z198))</f>
        <v/>
      </c>
      <c r="O198">
        <f>IF(C197&lt;=0,0,MIN(AH198,C$7+IF(C$2=$AA198,$AC198,IF(C$2=$AF198,$AG198,0))))</f>
        <v/>
      </c>
      <c r="P198">
        <f>IF(D197&lt;=0,0,MIN(AI198,D$7+IF(D$2=$AA198,$AC198,IF(D$2=$AF198,$AG198,0))))</f>
        <v/>
      </c>
      <c r="Q198">
        <f>IF(E197&lt;=0,0,MIN(AJ198,E$7+IF(E$2=$AA198,$AC198,IF(E$2=$AF198,$AG198,0))))</f>
        <v/>
      </c>
      <c r="R198">
        <f>IF(F197&lt;=0,0,MIN(AK198,F$7+IF(F$2=$AA198,$AC198,IF(F$2=$AF198,$AG198,0))))</f>
        <v/>
      </c>
      <c r="S198">
        <f>IF(G197&lt;=0,0,MIN(AL198,G$7+IF(G$2=$AA198,$AC198,IF(G$2=$AF198,$AG198,0))))</f>
        <v/>
      </c>
      <c r="T198">
        <f>IF(H197&lt;=0,0,MIN(AM198,H$7+IF(H$2=$AA198,$AC198,IF(H$2=$AF198,$AG198,0))))</f>
        <v/>
      </c>
      <c r="U198">
        <f>IF(I197&lt;=0,0,MIN(AN198,I$7+IF(I$2=$AA198,$AC198,IF(I$2=$AF198,$AG198,0))))</f>
        <v/>
      </c>
      <c r="V198">
        <f>IF(J197&lt;=0,0,MIN(AO198,J$7+IF(J$2=$AA198,$AC198,IF(J$2=$AF198,$AG198,0))))</f>
        <v/>
      </c>
      <c r="W198">
        <f>IF(K197&lt;=0,0,MIN(AP198,K$7+IF(K$2=$AA198,$AC198,IF(K$2=$AF198,$AG198,0))))</f>
        <v/>
      </c>
      <c r="X198">
        <f>IF(L197&lt;=0,0,MIN(AQ198,L$7+IF(L$2=$AA198,$AC198,IF(L$2=$AF198,$AG198,0))))</f>
        <v/>
      </c>
      <c r="Y198">
        <f>IF(M197&lt;=0,0,MIN(AR198,M$7+IF(M$2=$AA198,$AC198,IF(M$2=$AF198,$AG198,0))))</f>
        <v/>
      </c>
      <c r="Z198">
        <f>IF(N197&lt;=0,0,MIN(AS198,N$7+IF(N$2=$AA198,$AC198,IF(N$2=$AF198,$AG198,0))))</f>
        <v/>
      </c>
      <c r="AA198">
        <f>IFERROR(ROUND(1/SUMPRODUCT(MAX((C197:N197&gt;0)*($C$3:$N$3&lt;=B198)/$C$2:$N$2)),0),0)</f>
        <v/>
      </c>
      <c r="AB198">
        <f>SUMPRODUCT((C197:N197&gt;0)*$C$7:$N$7)</f>
        <v/>
      </c>
      <c r="AC198">
        <f>MAX(0,Plan!$C$5-AB198)+IF(A198=Plan!$C$8,N(Plan!$C$7),0)</f>
        <v/>
      </c>
      <c r="AD198">
        <f>SUM(C198:N198)</f>
        <v/>
      </c>
      <c r="AE198">
        <f>SUM(O198:Z198)</f>
        <v/>
      </c>
      <c r="AF198">
        <f>IFERROR(ROUND(1/SUMPRODUCT(MAX((C197:N197&gt;0)*($C$3:$N$3&lt;=B198)*($C$2:$N$2&gt;AA198)/$C$2:$N$2)),0),0)</f>
        <v/>
      </c>
      <c r="AG198">
        <f>MAX(0,AC198-MAX(0,SUMPRODUCT(($C$2:$N$2=AA198)*(AH198:AS198-$C$7:$N$7))))</f>
        <v/>
      </c>
      <c r="AH198">
        <f>IF(C197&lt;=0,0,ROUND(C197*(1+IF(AND(C$6&gt;0,$B198&lt;C$6),C$4,C$5)/12),2))</f>
        <v/>
      </c>
      <c r="AI198">
        <f>IF(D197&lt;=0,0,ROUND(D197*(1+IF(AND(D$6&gt;0,$B198&lt;D$6),D$4,D$5)/12),2))</f>
        <v/>
      </c>
      <c r="AJ198">
        <f>IF(E197&lt;=0,0,ROUND(E197*(1+IF(AND(E$6&gt;0,$B198&lt;E$6),E$4,E$5)/12),2))</f>
        <v/>
      </c>
      <c r="AK198">
        <f>IF(F197&lt;=0,0,ROUND(F197*(1+IF(AND(F$6&gt;0,$B198&lt;F$6),F$4,F$5)/12),2))</f>
        <v/>
      </c>
      <c r="AL198">
        <f>IF(G197&lt;=0,0,ROUND(G197*(1+IF(AND(G$6&gt;0,$B198&lt;G$6),G$4,G$5)/12),2))</f>
        <v/>
      </c>
      <c r="AM198">
        <f>IF(H197&lt;=0,0,ROUND(H197*(1+IF(AND(H$6&gt;0,$B198&lt;H$6),H$4,H$5)/12),2))</f>
        <v/>
      </c>
      <c r="AN198">
        <f>IF(I197&lt;=0,0,ROUND(I197*(1+IF(AND(I$6&gt;0,$B198&lt;I$6),I$4,I$5)/12),2))</f>
        <v/>
      </c>
      <c r="AO198">
        <f>IF(J197&lt;=0,0,ROUND(J197*(1+IF(AND(J$6&gt;0,$B198&lt;J$6),J$4,J$5)/12),2))</f>
        <v/>
      </c>
      <c r="AP198">
        <f>IF(K197&lt;=0,0,ROUND(K197*(1+IF(AND(K$6&gt;0,$B198&lt;K$6),K$4,K$5)/12),2))</f>
        <v/>
      </c>
      <c r="AQ198">
        <f>IF(L197&lt;=0,0,ROUND(L197*(1+IF(AND(L$6&gt;0,$B198&lt;L$6),L$4,L$5)/12),2))</f>
        <v/>
      </c>
      <c r="AR198">
        <f>IF(M197&lt;=0,0,ROUND(M197*(1+IF(AND(M$6&gt;0,$B198&lt;M$6),M$4,M$5)/12),2))</f>
        <v/>
      </c>
      <c r="AS198">
        <f>IF(N197&lt;=0,0,ROUND(N197*(1+IF(AND(N$6&gt;0,$B198&lt;N$6),N$4,N$5)/12),2))</f>
        <v/>
      </c>
    </row>
    <row r="199">
      <c r="A199" t="n">
        <v>188</v>
      </c>
      <c r="B199">
        <f>EDATE(Plan!$C$6,187)</f>
        <v/>
      </c>
      <c r="C199">
        <f>IF(C198&lt;=0,0,MAX(0,AH199-O199))</f>
        <v/>
      </c>
      <c r="D199">
        <f>IF(D198&lt;=0,0,MAX(0,AI199-P199))</f>
        <v/>
      </c>
      <c r="E199">
        <f>IF(E198&lt;=0,0,MAX(0,AJ199-Q199))</f>
        <v/>
      </c>
      <c r="F199">
        <f>IF(F198&lt;=0,0,MAX(0,AK199-R199))</f>
        <v/>
      </c>
      <c r="G199">
        <f>IF(G198&lt;=0,0,MAX(0,AL199-S199))</f>
        <v/>
      </c>
      <c r="H199">
        <f>IF(H198&lt;=0,0,MAX(0,AM199-T199))</f>
        <v/>
      </c>
      <c r="I199">
        <f>IF(I198&lt;=0,0,MAX(0,AN199-U199))</f>
        <v/>
      </c>
      <c r="J199">
        <f>IF(J198&lt;=0,0,MAX(0,AO199-V199))</f>
        <v/>
      </c>
      <c r="K199">
        <f>IF(K198&lt;=0,0,MAX(0,AP199-W199))</f>
        <v/>
      </c>
      <c r="L199">
        <f>IF(L198&lt;=0,0,MAX(0,AQ199-X199))</f>
        <v/>
      </c>
      <c r="M199">
        <f>IF(M198&lt;=0,0,MAX(0,AR199-Y199))</f>
        <v/>
      </c>
      <c r="N199">
        <f>IF(N198&lt;=0,0,MAX(0,AS199-Z199))</f>
        <v/>
      </c>
      <c r="O199">
        <f>IF(C198&lt;=0,0,MIN(AH199,C$7+IF(C$2=$AA199,$AC199,IF(C$2=$AF199,$AG199,0))))</f>
        <v/>
      </c>
      <c r="P199">
        <f>IF(D198&lt;=0,0,MIN(AI199,D$7+IF(D$2=$AA199,$AC199,IF(D$2=$AF199,$AG199,0))))</f>
        <v/>
      </c>
      <c r="Q199">
        <f>IF(E198&lt;=0,0,MIN(AJ199,E$7+IF(E$2=$AA199,$AC199,IF(E$2=$AF199,$AG199,0))))</f>
        <v/>
      </c>
      <c r="R199">
        <f>IF(F198&lt;=0,0,MIN(AK199,F$7+IF(F$2=$AA199,$AC199,IF(F$2=$AF199,$AG199,0))))</f>
        <v/>
      </c>
      <c r="S199">
        <f>IF(G198&lt;=0,0,MIN(AL199,G$7+IF(G$2=$AA199,$AC199,IF(G$2=$AF199,$AG199,0))))</f>
        <v/>
      </c>
      <c r="T199">
        <f>IF(H198&lt;=0,0,MIN(AM199,H$7+IF(H$2=$AA199,$AC199,IF(H$2=$AF199,$AG199,0))))</f>
        <v/>
      </c>
      <c r="U199">
        <f>IF(I198&lt;=0,0,MIN(AN199,I$7+IF(I$2=$AA199,$AC199,IF(I$2=$AF199,$AG199,0))))</f>
        <v/>
      </c>
      <c r="V199">
        <f>IF(J198&lt;=0,0,MIN(AO199,J$7+IF(J$2=$AA199,$AC199,IF(J$2=$AF199,$AG199,0))))</f>
        <v/>
      </c>
      <c r="W199">
        <f>IF(K198&lt;=0,0,MIN(AP199,K$7+IF(K$2=$AA199,$AC199,IF(K$2=$AF199,$AG199,0))))</f>
        <v/>
      </c>
      <c r="X199">
        <f>IF(L198&lt;=0,0,MIN(AQ199,L$7+IF(L$2=$AA199,$AC199,IF(L$2=$AF199,$AG199,0))))</f>
        <v/>
      </c>
      <c r="Y199">
        <f>IF(M198&lt;=0,0,MIN(AR199,M$7+IF(M$2=$AA199,$AC199,IF(M$2=$AF199,$AG199,0))))</f>
        <v/>
      </c>
      <c r="Z199">
        <f>IF(N198&lt;=0,0,MIN(AS199,N$7+IF(N$2=$AA199,$AC199,IF(N$2=$AF199,$AG199,0))))</f>
        <v/>
      </c>
      <c r="AA199">
        <f>IFERROR(ROUND(1/SUMPRODUCT(MAX((C198:N198&gt;0)*($C$3:$N$3&lt;=B199)/$C$2:$N$2)),0),0)</f>
        <v/>
      </c>
      <c r="AB199">
        <f>SUMPRODUCT((C198:N198&gt;0)*$C$7:$N$7)</f>
        <v/>
      </c>
      <c r="AC199">
        <f>MAX(0,Plan!$C$5-AB199)+IF(A199=Plan!$C$8,N(Plan!$C$7),0)</f>
        <v/>
      </c>
      <c r="AD199">
        <f>SUM(C199:N199)</f>
        <v/>
      </c>
      <c r="AE199">
        <f>SUM(O199:Z199)</f>
        <v/>
      </c>
      <c r="AF199">
        <f>IFERROR(ROUND(1/SUMPRODUCT(MAX((C198:N198&gt;0)*($C$3:$N$3&lt;=B199)*($C$2:$N$2&gt;AA199)/$C$2:$N$2)),0),0)</f>
        <v/>
      </c>
      <c r="AG199">
        <f>MAX(0,AC199-MAX(0,SUMPRODUCT(($C$2:$N$2=AA199)*(AH199:AS199-$C$7:$N$7))))</f>
        <v/>
      </c>
      <c r="AH199">
        <f>IF(C198&lt;=0,0,ROUND(C198*(1+IF(AND(C$6&gt;0,$B199&lt;C$6),C$4,C$5)/12),2))</f>
        <v/>
      </c>
      <c r="AI199">
        <f>IF(D198&lt;=0,0,ROUND(D198*(1+IF(AND(D$6&gt;0,$B199&lt;D$6),D$4,D$5)/12),2))</f>
        <v/>
      </c>
      <c r="AJ199">
        <f>IF(E198&lt;=0,0,ROUND(E198*(1+IF(AND(E$6&gt;0,$B199&lt;E$6),E$4,E$5)/12),2))</f>
        <v/>
      </c>
      <c r="AK199">
        <f>IF(F198&lt;=0,0,ROUND(F198*(1+IF(AND(F$6&gt;0,$B199&lt;F$6),F$4,F$5)/12),2))</f>
        <v/>
      </c>
      <c r="AL199">
        <f>IF(G198&lt;=0,0,ROUND(G198*(1+IF(AND(G$6&gt;0,$B199&lt;G$6),G$4,G$5)/12),2))</f>
        <v/>
      </c>
      <c r="AM199">
        <f>IF(H198&lt;=0,0,ROUND(H198*(1+IF(AND(H$6&gt;0,$B199&lt;H$6),H$4,H$5)/12),2))</f>
        <v/>
      </c>
      <c r="AN199">
        <f>IF(I198&lt;=0,0,ROUND(I198*(1+IF(AND(I$6&gt;0,$B199&lt;I$6),I$4,I$5)/12),2))</f>
        <v/>
      </c>
      <c r="AO199">
        <f>IF(J198&lt;=0,0,ROUND(J198*(1+IF(AND(J$6&gt;0,$B199&lt;J$6),J$4,J$5)/12),2))</f>
        <v/>
      </c>
      <c r="AP199">
        <f>IF(K198&lt;=0,0,ROUND(K198*(1+IF(AND(K$6&gt;0,$B199&lt;K$6),K$4,K$5)/12),2))</f>
        <v/>
      </c>
      <c r="AQ199">
        <f>IF(L198&lt;=0,0,ROUND(L198*(1+IF(AND(L$6&gt;0,$B199&lt;L$6),L$4,L$5)/12),2))</f>
        <v/>
      </c>
      <c r="AR199">
        <f>IF(M198&lt;=0,0,ROUND(M198*(1+IF(AND(M$6&gt;0,$B199&lt;M$6),M$4,M$5)/12),2))</f>
        <v/>
      </c>
      <c r="AS199">
        <f>IF(N198&lt;=0,0,ROUND(N198*(1+IF(AND(N$6&gt;0,$B199&lt;N$6),N$4,N$5)/12),2))</f>
        <v/>
      </c>
    </row>
    <row r="200">
      <c r="A200" t="n">
        <v>189</v>
      </c>
      <c r="B200">
        <f>EDATE(Plan!$C$6,188)</f>
        <v/>
      </c>
      <c r="C200">
        <f>IF(C199&lt;=0,0,MAX(0,AH200-O200))</f>
        <v/>
      </c>
      <c r="D200">
        <f>IF(D199&lt;=0,0,MAX(0,AI200-P200))</f>
        <v/>
      </c>
      <c r="E200">
        <f>IF(E199&lt;=0,0,MAX(0,AJ200-Q200))</f>
        <v/>
      </c>
      <c r="F200">
        <f>IF(F199&lt;=0,0,MAX(0,AK200-R200))</f>
        <v/>
      </c>
      <c r="G200">
        <f>IF(G199&lt;=0,0,MAX(0,AL200-S200))</f>
        <v/>
      </c>
      <c r="H200">
        <f>IF(H199&lt;=0,0,MAX(0,AM200-T200))</f>
        <v/>
      </c>
      <c r="I200">
        <f>IF(I199&lt;=0,0,MAX(0,AN200-U200))</f>
        <v/>
      </c>
      <c r="J200">
        <f>IF(J199&lt;=0,0,MAX(0,AO200-V200))</f>
        <v/>
      </c>
      <c r="K200">
        <f>IF(K199&lt;=0,0,MAX(0,AP200-W200))</f>
        <v/>
      </c>
      <c r="L200">
        <f>IF(L199&lt;=0,0,MAX(0,AQ200-X200))</f>
        <v/>
      </c>
      <c r="M200">
        <f>IF(M199&lt;=0,0,MAX(0,AR200-Y200))</f>
        <v/>
      </c>
      <c r="N200">
        <f>IF(N199&lt;=0,0,MAX(0,AS200-Z200))</f>
        <v/>
      </c>
      <c r="O200">
        <f>IF(C199&lt;=0,0,MIN(AH200,C$7+IF(C$2=$AA200,$AC200,IF(C$2=$AF200,$AG200,0))))</f>
        <v/>
      </c>
      <c r="P200">
        <f>IF(D199&lt;=0,0,MIN(AI200,D$7+IF(D$2=$AA200,$AC200,IF(D$2=$AF200,$AG200,0))))</f>
        <v/>
      </c>
      <c r="Q200">
        <f>IF(E199&lt;=0,0,MIN(AJ200,E$7+IF(E$2=$AA200,$AC200,IF(E$2=$AF200,$AG200,0))))</f>
        <v/>
      </c>
      <c r="R200">
        <f>IF(F199&lt;=0,0,MIN(AK200,F$7+IF(F$2=$AA200,$AC200,IF(F$2=$AF200,$AG200,0))))</f>
        <v/>
      </c>
      <c r="S200">
        <f>IF(G199&lt;=0,0,MIN(AL200,G$7+IF(G$2=$AA200,$AC200,IF(G$2=$AF200,$AG200,0))))</f>
        <v/>
      </c>
      <c r="T200">
        <f>IF(H199&lt;=0,0,MIN(AM200,H$7+IF(H$2=$AA200,$AC200,IF(H$2=$AF200,$AG200,0))))</f>
        <v/>
      </c>
      <c r="U200">
        <f>IF(I199&lt;=0,0,MIN(AN200,I$7+IF(I$2=$AA200,$AC200,IF(I$2=$AF200,$AG200,0))))</f>
        <v/>
      </c>
      <c r="V200">
        <f>IF(J199&lt;=0,0,MIN(AO200,J$7+IF(J$2=$AA200,$AC200,IF(J$2=$AF200,$AG200,0))))</f>
        <v/>
      </c>
      <c r="W200">
        <f>IF(K199&lt;=0,0,MIN(AP200,K$7+IF(K$2=$AA200,$AC200,IF(K$2=$AF200,$AG200,0))))</f>
        <v/>
      </c>
      <c r="X200">
        <f>IF(L199&lt;=0,0,MIN(AQ200,L$7+IF(L$2=$AA200,$AC200,IF(L$2=$AF200,$AG200,0))))</f>
        <v/>
      </c>
      <c r="Y200">
        <f>IF(M199&lt;=0,0,MIN(AR200,M$7+IF(M$2=$AA200,$AC200,IF(M$2=$AF200,$AG200,0))))</f>
        <v/>
      </c>
      <c r="Z200">
        <f>IF(N199&lt;=0,0,MIN(AS200,N$7+IF(N$2=$AA200,$AC200,IF(N$2=$AF200,$AG200,0))))</f>
        <v/>
      </c>
      <c r="AA200">
        <f>IFERROR(ROUND(1/SUMPRODUCT(MAX((C199:N199&gt;0)*($C$3:$N$3&lt;=B200)/$C$2:$N$2)),0),0)</f>
        <v/>
      </c>
      <c r="AB200">
        <f>SUMPRODUCT((C199:N199&gt;0)*$C$7:$N$7)</f>
        <v/>
      </c>
      <c r="AC200">
        <f>MAX(0,Plan!$C$5-AB200)+IF(A200=Plan!$C$8,N(Plan!$C$7),0)</f>
        <v/>
      </c>
      <c r="AD200">
        <f>SUM(C200:N200)</f>
        <v/>
      </c>
      <c r="AE200">
        <f>SUM(O200:Z200)</f>
        <v/>
      </c>
      <c r="AF200">
        <f>IFERROR(ROUND(1/SUMPRODUCT(MAX((C199:N199&gt;0)*($C$3:$N$3&lt;=B200)*($C$2:$N$2&gt;AA200)/$C$2:$N$2)),0),0)</f>
        <v/>
      </c>
      <c r="AG200">
        <f>MAX(0,AC200-MAX(0,SUMPRODUCT(($C$2:$N$2=AA200)*(AH200:AS200-$C$7:$N$7))))</f>
        <v/>
      </c>
      <c r="AH200">
        <f>IF(C199&lt;=0,0,ROUND(C199*(1+IF(AND(C$6&gt;0,$B200&lt;C$6),C$4,C$5)/12),2))</f>
        <v/>
      </c>
      <c r="AI200">
        <f>IF(D199&lt;=0,0,ROUND(D199*(1+IF(AND(D$6&gt;0,$B200&lt;D$6),D$4,D$5)/12),2))</f>
        <v/>
      </c>
      <c r="AJ200">
        <f>IF(E199&lt;=0,0,ROUND(E199*(1+IF(AND(E$6&gt;0,$B200&lt;E$6),E$4,E$5)/12),2))</f>
        <v/>
      </c>
      <c r="AK200">
        <f>IF(F199&lt;=0,0,ROUND(F199*(1+IF(AND(F$6&gt;0,$B200&lt;F$6),F$4,F$5)/12),2))</f>
        <v/>
      </c>
      <c r="AL200">
        <f>IF(G199&lt;=0,0,ROUND(G199*(1+IF(AND(G$6&gt;0,$B200&lt;G$6),G$4,G$5)/12),2))</f>
        <v/>
      </c>
      <c r="AM200">
        <f>IF(H199&lt;=0,0,ROUND(H199*(1+IF(AND(H$6&gt;0,$B200&lt;H$6),H$4,H$5)/12),2))</f>
        <v/>
      </c>
      <c r="AN200">
        <f>IF(I199&lt;=0,0,ROUND(I199*(1+IF(AND(I$6&gt;0,$B200&lt;I$6),I$4,I$5)/12),2))</f>
        <v/>
      </c>
      <c r="AO200">
        <f>IF(J199&lt;=0,0,ROUND(J199*(1+IF(AND(J$6&gt;0,$B200&lt;J$6),J$4,J$5)/12),2))</f>
        <v/>
      </c>
      <c r="AP200">
        <f>IF(K199&lt;=0,0,ROUND(K199*(1+IF(AND(K$6&gt;0,$B200&lt;K$6),K$4,K$5)/12),2))</f>
        <v/>
      </c>
      <c r="AQ200">
        <f>IF(L199&lt;=0,0,ROUND(L199*(1+IF(AND(L$6&gt;0,$B200&lt;L$6),L$4,L$5)/12),2))</f>
        <v/>
      </c>
      <c r="AR200">
        <f>IF(M199&lt;=0,0,ROUND(M199*(1+IF(AND(M$6&gt;0,$B200&lt;M$6),M$4,M$5)/12),2))</f>
        <v/>
      </c>
      <c r="AS200">
        <f>IF(N199&lt;=0,0,ROUND(N199*(1+IF(AND(N$6&gt;0,$B200&lt;N$6),N$4,N$5)/12),2))</f>
        <v/>
      </c>
    </row>
    <row r="201">
      <c r="A201" t="n">
        <v>190</v>
      </c>
      <c r="B201">
        <f>EDATE(Plan!$C$6,189)</f>
        <v/>
      </c>
      <c r="C201">
        <f>IF(C200&lt;=0,0,MAX(0,AH201-O201))</f>
        <v/>
      </c>
      <c r="D201">
        <f>IF(D200&lt;=0,0,MAX(0,AI201-P201))</f>
        <v/>
      </c>
      <c r="E201">
        <f>IF(E200&lt;=0,0,MAX(0,AJ201-Q201))</f>
        <v/>
      </c>
      <c r="F201">
        <f>IF(F200&lt;=0,0,MAX(0,AK201-R201))</f>
        <v/>
      </c>
      <c r="G201">
        <f>IF(G200&lt;=0,0,MAX(0,AL201-S201))</f>
        <v/>
      </c>
      <c r="H201">
        <f>IF(H200&lt;=0,0,MAX(0,AM201-T201))</f>
        <v/>
      </c>
      <c r="I201">
        <f>IF(I200&lt;=0,0,MAX(0,AN201-U201))</f>
        <v/>
      </c>
      <c r="J201">
        <f>IF(J200&lt;=0,0,MAX(0,AO201-V201))</f>
        <v/>
      </c>
      <c r="K201">
        <f>IF(K200&lt;=0,0,MAX(0,AP201-W201))</f>
        <v/>
      </c>
      <c r="L201">
        <f>IF(L200&lt;=0,0,MAX(0,AQ201-X201))</f>
        <v/>
      </c>
      <c r="M201">
        <f>IF(M200&lt;=0,0,MAX(0,AR201-Y201))</f>
        <v/>
      </c>
      <c r="N201">
        <f>IF(N200&lt;=0,0,MAX(0,AS201-Z201))</f>
        <v/>
      </c>
      <c r="O201">
        <f>IF(C200&lt;=0,0,MIN(AH201,C$7+IF(C$2=$AA201,$AC201,IF(C$2=$AF201,$AG201,0))))</f>
        <v/>
      </c>
      <c r="P201">
        <f>IF(D200&lt;=0,0,MIN(AI201,D$7+IF(D$2=$AA201,$AC201,IF(D$2=$AF201,$AG201,0))))</f>
        <v/>
      </c>
      <c r="Q201">
        <f>IF(E200&lt;=0,0,MIN(AJ201,E$7+IF(E$2=$AA201,$AC201,IF(E$2=$AF201,$AG201,0))))</f>
        <v/>
      </c>
      <c r="R201">
        <f>IF(F200&lt;=0,0,MIN(AK201,F$7+IF(F$2=$AA201,$AC201,IF(F$2=$AF201,$AG201,0))))</f>
        <v/>
      </c>
      <c r="S201">
        <f>IF(G200&lt;=0,0,MIN(AL201,G$7+IF(G$2=$AA201,$AC201,IF(G$2=$AF201,$AG201,0))))</f>
        <v/>
      </c>
      <c r="T201">
        <f>IF(H200&lt;=0,0,MIN(AM201,H$7+IF(H$2=$AA201,$AC201,IF(H$2=$AF201,$AG201,0))))</f>
        <v/>
      </c>
      <c r="U201">
        <f>IF(I200&lt;=0,0,MIN(AN201,I$7+IF(I$2=$AA201,$AC201,IF(I$2=$AF201,$AG201,0))))</f>
        <v/>
      </c>
      <c r="V201">
        <f>IF(J200&lt;=0,0,MIN(AO201,J$7+IF(J$2=$AA201,$AC201,IF(J$2=$AF201,$AG201,0))))</f>
        <v/>
      </c>
      <c r="W201">
        <f>IF(K200&lt;=0,0,MIN(AP201,K$7+IF(K$2=$AA201,$AC201,IF(K$2=$AF201,$AG201,0))))</f>
        <v/>
      </c>
      <c r="X201">
        <f>IF(L200&lt;=0,0,MIN(AQ201,L$7+IF(L$2=$AA201,$AC201,IF(L$2=$AF201,$AG201,0))))</f>
        <v/>
      </c>
      <c r="Y201">
        <f>IF(M200&lt;=0,0,MIN(AR201,M$7+IF(M$2=$AA201,$AC201,IF(M$2=$AF201,$AG201,0))))</f>
        <v/>
      </c>
      <c r="Z201">
        <f>IF(N200&lt;=0,0,MIN(AS201,N$7+IF(N$2=$AA201,$AC201,IF(N$2=$AF201,$AG201,0))))</f>
        <v/>
      </c>
      <c r="AA201">
        <f>IFERROR(ROUND(1/SUMPRODUCT(MAX((C200:N200&gt;0)*($C$3:$N$3&lt;=B201)/$C$2:$N$2)),0),0)</f>
        <v/>
      </c>
      <c r="AB201">
        <f>SUMPRODUCT((C200:N200&gt;0)*$C$7:$N$7)</f>
        <v/>
      </c>
      <c r="AC201">
        <f>MAX(0,Plan!$C$5-AB201)+IF(A201=Plan!$C$8,N(Plan!$C$7),0)</f>
        <v/>
      </c>
      <c r="AD201">
        <f>SUM(C201:N201)</f>
        <v/>
      </c>
      <c r="AE201">
        <f>SUM(O201:Z201)</f>
        <v/>
      </c>
      <c r="AF201">
        <f>IFERROR(ROUND(1/SUMPRODUCT(MAX((C200:N200&gt;0)*($C$3:$N$3&lt;=B201)*($C$2:$N$2&gt;AA201)/$C$2:$N$2)),0),0)</f>
        <v/>
      </c>
      <c r="AG201">
        <f>MAX(0,AC201-MAX(0,SUMPRODUCT(($C$2:$N$2=AA201)*(AH201:AS201-$C$7:$N$7))))</f>
        <v/>
      </c>
      <c r="AH201">
        <f>IF(C200&lt;=0,0,ROUND(C200*(1+IF(AND(C$6&gt;0,$B201&lt;C$6),C$4,C$5)/12),2))</f>
        <v/>
      </c>
      <c r="AI201">
        <f>IF(D200&lt;=0,0,ROUND(D200*(1+IF(AND(D$6&gt;0,$B201&lt;D$6),D$4,D$5)/12),2))</f>
        <v/>
      </c>
      <c r="AJ201">
        <f>IF(E200&lt;=0,0,ROUND(E200*(1+IF(AND(E$6&gt;0,$B201&lt;E$6),E$4,E$5)/12),2))</f>
        <v/>
      </c>
      <c r="AK201">
        <f>IF(F200&lt;=0,0,ROUND(F200*(1+IF(AND(F$6&gt;0,$B201&lt;F$6),F$4,F$5)/12),2))</f>
        <v/>
      </c>
      <c r="AL201">
        <f>IF(G200&lt;=0,0,ROUND(G200*(1+IF(AND(G$6&gt;0,$B201&lt;G$6),G$4,G$5)/12),2))</f>
        <v/>
      </c>
      <c r="AM201">
        <f>IF(H200&lt;=0,0,ROUND(H200*(1+IF(AND(H$6&gt;0,$B201&lt;H$6),H$4,H$5)/12),2))</f>
        <v/>
      </c>
      <c r="AN201">
        <f>IF(I200&lt;=0,0,ROUND(I200*(1+IF(AND(I$6&gt;0,$B201&lt;I$6),I$4,I$5)/12),2))</f>
        <v/>
      </c>
      <c r="AO201">
        <f>IF(J200&lt;=0,0,ROUND(J200*(1+IF(AND(J$6&gt;0,$B201&lt;J$6),J$4,J$5)/12),2))</f>
        <v/>
      </c>
      <c r="AP201">
        <f>IF(K200&lt;=0,0,ROUND(K200*(1+IF(AND(K$6&gt;0,$B201&lt;K$6),K$4,K$5)/12),2))</f>
        <v/>
      </c>
      <c r="AQ201">
        <f>IF(L200&lt;=0,0,ROUND(L200*(1+IF(AND(L$6&gt;0,$B201&lt;L$6),L$4,L$5)/12),2))</f>
        <v/>
      </c>
      <c r="AR201">
        <f>IF(M200&lt;=0,0,ROUND(M200*(1+IF(AND(M$6&gt;0,$B201&lt;M$6),M$4,M$5)/12),2))</f>
        <v/>
      </c>
      <c r="AS201">
        <f>IF(N200&lt;=0,0,ROUND(N200*(1+IF(AND(N$6&gt;0,$B201&lt;N$6),N$4,N$5)/12),2))</f>
        <v/>
      </c>
    </row>
    <row r="202">
      <c r="A202" t="n">
        <v>191</v>
      </c>
      <c r="B202">
        <f>EDATE(Plan!$C$6,190)</f>
        <v/>
      </c>
      <c r="C202">
        <f>IF(C201&lt;=0,0,MAX(0,AH202-O202))</f>
        <v/>
      </c>
      <c r="D202">
        <f>IF(D201&lt;=0,0,MAX(0,AI202-P202))</f>
        <v/>
      </c>
      <c r="E202">
        <f>IF(E201&lt;=0,0,MAX(0,AJ202-Q202))</f>
        <v/>
      </c>
      <c r="F202">
        <f>IF(F201&lt;=0,0,MAX(0,AK202-R202))</f>
        <v/>
      </c>
      <c r="G202">
        <f>IF(G201&lt;=0,0,MAX(0,AL202-S202))</f>
        <v/>
      </c>
      <c r="H202">
        <f>IF(H201&lt;=0,0,MAX(0,AM202-T202))</f>
        <v/>
      </c>
      <c r="I202">
        <f>IF(I201&lt;=0,0,MAX(0,AN202-U202))</f>
        <v/>
      </c>
      <c r="J202">
        <f>IF(J201&lt;=0,0,MAX(0,AO202-V202))</f>
        <v/>
      </c>
      <c r="K202">
        <f>IF(K201&lt;=0,0,MAX(0,AP202-W202))</f>
        <v/>
      </c>
      <c r="L202">
        <f>IF(L201&lt;=0,0,MAX(0,AQ202-X202))</f>
        <v/>
      </c>
      <c r="M202">
        <f>IF(M201&lt;=0,0,MAX(0,AR202-Y202))</f>
        <v/>
      </c>
      <c r="N202">
        <f>IF(N201&lt;=0,0,MAX(0,AS202-Z202))</f>
        <v/>
      </c>
      <c r="O202">
        <f>IF(C201&lt;=0,0,MIN(AH202,C$7+IF(C$2=$AA202,$AC202,IF(C$2=$AF202,$AG202,0))))</f>
        <v/>
      </c>
      <c r="P202">
        <f>IF(D201&lt;=0,0,MIN(AI202,D$7+IF(D$2=$AA202,$AC202,IF(D$2=$AF202,$AG202,0))))</f>
        <v/>
      </c>
      <c r="Q202">
        <f>IF(E201&lt;=0,0,MIN(AJ202,E$7+IF(E$2=$AA202,$AC202,IF(E$2=$AF202,$AG202,0))))</f>
        <v/>
      </c>
      <c r="R202">
        <f>IF(F201&lt;=0,0,MIN(AK202,F$7+IF(F$2=$AA202,$AC202,IF(F$2=$AF202,$AG202,0))))</f>
        <v/>
      </c>
      <c r="S202">
        <f>IF(G201&lt;=0,0,MIN(AL202,G$7+IF(G$2=$AA202,$AC202,IF(G$2=$AF202,$AG202,0))))</f>
        <v/>
      </c>
      <c r="T202">
        <f>IF(H201&lt;=0,0,MIN(AM202,H$7+IF(H$2=$AA202,$AC202,IF(H$2=$AF202,$AG202,0))))</f>
        <v/>
      </c>
      <c r="U202">
        <f>IF(I201&lt;=0,0,MIN(AN202,I$7+IF(I$2=$AA202,$AC202,IF(I$2=$AF202,$AG202,0))))</f>
        <v/>
      </c>
      <c r="V202">
        <f>IF(J201&lt;=0,0,MIN(AO202,J$7+IF(J$2=$AA202,$AC202,IF(J$2=$AF202,$AG202,0))))</f>
        <v/>
      </c>
      <c r="W202">
        <f>IF(K201&lt;=0,0,MIN(AP202,K$7+IF(K$2=$AA202,$AC202,IF(K$2=$AF202,$AG202,0))))</f>
        <v/>
      </c>
      <c r="X202">
        <f>IF(L201&lt;=0,0,MIN(AQ202,L$7+IF(L$2=$AA202,$AC202,IF(L$2=$AF202,$AG202,0))))</f>
        <v/>
      </c>
      <c r="Y202">
        <f>IF(M201&lt;=0,0,MIN(AR202,M$7+IF(M$2=$AA202,$AC202,IF(M$2=$AF202,$AG202,0))))</f>
        <v/>
      </c>
      <c r="Z202">
        <f>IF(N201&lt;=0,0,MIN(AS202,N$7+IF(N$2=$AA202,$AC202,IF(N$2=$AF202,$AG202,0))))</f>
        <v/>
      </c>
      <c r="AA202">
        <f>IFERROR(ROUND(1/SUMPRODUCT(MAX((C201:N201&gt;0)*($C$3:$N$3&lt;=B202)/$C$2:$N$2)),0),0)</f>
        <v/>
      </c>
      <c r="AB202">
        <f>SUMPRODUCT((C201:N201&gt;0)*$C$7:$N$7)</f>
        <v/>
      </c>
      <c r="AC202">
        <f>MAX(0,Plan!$C$5-AB202)+IF(A202=Plan!$C$8,N(Plan!$C$7),0)</f>
        <v/>
      </c>
      <c r="AD202">
        <f>SUM(C202:N202)</f>
        <v/>
      </c>
      <c r="AE202">
        <f>SUM(O202:Z202)</f>
        <v/>
      </c>
      <c r="AF202">
        <f>IFERROR(ROUND(1/SUMPRODUCT(MAX((C201:N201&gt;0)*($C$3:$N$3&lt;=B202)*($C$2:$N$2&gt;AA202)/$C$2:$N$2)),0),0)</f>
        <v/>
      </c>
      <c r="AG202">
        <f>MAX(0,AC202-MAX(0,SUMPRODUCT(($C$2:$N$2=AA202)*(AH202:AS202-$C$7:$N$7))))</f>
        <v/>
      </c>
      <c r="AH202">
        <f>IF(C201&lt;=0,0,ROUND(C201*(1+IF(AND(C$6&gt;0,$B202&lt;C$6),C$4,C$5)/12),2))</f>
        <v/>
      </c>
      <c r="AI202">
        <f>IF(D201&lt;=0,0,ROUND(D201*(1+IF(AND(D$6&gt;0,$B202&lt;D$6),D$4,D$5)/12),2))</f>
        <v/>
      </c>
      <c r="AJ202">
        <f>IF(E201&lt;=0,0,ROUND(E201*(1+IF(AND(E$6&gt;0,$B202&lt;E$6),E$4,E$5)/12),2))</f>
        <v/>
      </c>
      <c r="AK202">
        <f>IF(F201&lt;=0,0,ROUND(F201*(1+IF(AND(F$6&gt;0,$B202&lt;F$6),F$4,F$5)/12),2))</f>
        <v/>
      </c>
      <c r="AL202">
        <f>IF(G201&lt;=0,0,ROUND(G201*(1+IF(AND(G$6&gt;0,$B202&lt;G$6),G$4,G$5)/12),2))</f>
        <v/>
      </c>
      <c r="AM202">
        <f>IF(H201&lt;=0,0,ROUND(H201*(1+IF(AND(H$6&gt;0,$B202&lt;H$6),H$4,H$5)/12),2))</f>
        <v/>
      </c>
      <c r="AN202">
        <f>IF(I201&lt;=0,0,ROUND(I201*(1+IF(AND(I$6&gt;0,$B202&lt;I$6),I$4,I$5)/12),2))</f>
        <v/>
      </c>
      <c r="AO202">
        <f>IF(J201&lt;=0,0,ROUND(J201*(1+IF(AND(J$6&gt;0,$B202&lt;J$6),J$4,J$5)/12),2))</f>
        <v/>
      </c>
      <c r="AP202">
        <f>IF(K201&lt;=0,0,ROUND(K201*(1+IF(AND(K$6&gt;0,$B202&lt;K$6),K$4,K$5)/12),2))</f>
        <v/>
      </c>
      <c r="AQ202">
        <f>IF(L201&lt;=0,0,ROUND(L201*(1+IF(AND(L$6&gt;0,$B202&lt;L$6),L$4,L$5)/12),2))</f>
        <v/>
      </c>
      <c r="AR202">
        <f>IF(M201&lt;=0,0,ROUND(M201*(1+IF(AND(M$6&gt;0,$B202&lt;M$6),M$4,M$5)/12),2))</f>
        <v/>
      </c>
      <c r="AS202">
        <f>IF(N201&lt;=0,0,ROUND(N201*(1+IF(AND(N$6&gt;0,$B202&lt;N$6),N$4,N$5)/12),2))</f>
        <v/>
      </c>
    </row>
    <row r="203">
      <c r="A203" t="n">
        <v>192</v>
      </c>
      <c r="B203">
        <f>EDATE(Plan!$C$6,191)</f>
        <v/>
      </c>
      <c r="C203">
        <f>IF(C202&lt;=0,0,MAX(0,AH203-O203))</f>
        <v/>
      </c>
      <c r="D203">
        <f>IF(D202&lt;=0,0,MAX(0,AI203-P203))</f>
        <v/>
      </c>
      <c r="E203">
        <f>IF(E202&lt;=0,0,MAX(0,AJ203-Q203))</f>
        <v/>
      </c>
      <c r="F203">
        <f>IF(F202&lt;=0,0,MAX(0,AK203-R203))</f>
        <v/>
      </c>
      <c r="G203">
        <f>IF(G202&lt;=0,0,MAX(0,AL203-S203))</f>
        <v/>
      </c>
      <c r="H203">
        <f>IF(H202&lt;=0,0,MAX(0,AM203-T203))</f>
        <v/>
      </c>
      <c r="I203">
        <f>IF(I202&lt;=0,0,MAX(0,AN203-U203))</f>
        <v/>
      </c>
      <c r="J203">
        <f>IF(J202&lt;=0,0,MAX(0,AO203-V203))</f>
        <v/>
      </c>
      <c r="K203">
        <f>IF(K202&lt;=0,0,MAX(0,AP203-W203))</f>
        <v/>
      </c>
      <c r="L203">
        <f>IF(L202&lt;=0,0,MAX(0,AQ203-X203))</f>
        <v/>
      </c>
      <c r="M203">
        <f>IF(M202&lt;=0,0,MAX(0,AR203-Y203))</f>
        <v/>
      </c>
      <c r="N203">
        <f>IF(N202&lt;=0,0,MAX(0,AS203-Z203))</f>
        <v/>
      </c>
      <c r="O203">
        <f>IF(C202&lt;=0,0,MIN(AH203,C$7+IF(C$2=$AA203,$AC203,IF(C$2=$AF203,$AG203,0))))</f>
        <v/>
      </c>
      <c r="P203">
        <f>IF(D202&lt;=0,0,MIN(AI203,D$7+IF(D$2=$AA203,$AC203,IF(D$2=$AF203,$AG203,0))))</f>
        <v/>
      </c>
      <c r="Q203">
        <f>IF(E202&lt;=0,0,MIN(AJ203,E$7+IF(E$2=$AA203,$AC203,IF(E$2=$AF203,$AG203,0))))</f>
        <v/>
      </c>
      <c r="R203">
        <f>IF(F202&lt;=0,0,MIN(AK203,F$7+IF(F$2=$AA203,$AC203,IF(F$2=$AF203,$AG203,0))))</f>
        <v/>
      </c>
      <c r="S203">
        <f>IF(G202&lt;=0,0,MIN(AL203,G$7+IF(G$2=$AA203,$AC203,IF(G$2=$AF203,$AG203,0))))</f>
        <v/>
      </c>
      <c r="T203">
        <f>IF(H202&lt;=0,0,MIN(AM203,H$7+IF(H$2=$AA203,$AC203,IF(H$2=$AF203,$AG203,0))))</f>
        <v/>
      </c>
      <c r="U203">
        <f>IF(I202&lt;=0,0,MIN(AN203,I$7+IF(I$2=$AA203,$AC203,IF(I$2=$AF203,$AG203,0))))</f>
        <v/>
      </c>
      <c r="V203">
        <f>IF(J202&lt;=0,0,MIN(AO203,J$7+IF(J$2=$AA203,$AC203,IF(J$2=$AF203,$AG203,0))))</f>
        <v/>
      </c>
      <c r="W203">
        <f>IF(K202&lt;=0,0,MIN(AP203,K$7+IF(K$2=$AA203,$AC203,IF(K$2=$AF203,$AG203,0))))</f>
        <v/>
      </c>
      <c r="X203">
        <f>IF(L202&lt;=0,0,MIN(AQ203,L$7+IF(L$2=$AA203,$AC203,IF(L$2=$AF203,$AG203,0))))</f>
        <v/>
      </c>
      <c r="Y203">
        <f>IF(M202&lt;=0,0,MIN(AR203,M$7+IF(M$2=$AA203,$AC203,IF(M$2=$AF203,$AG203,0))))</f>
        <v/>
      </c>
      <c r="Z203">
        <f>IF(N202&lt;=0,0,MIN(AS203,N$7+IF(N$2=$AA203,$AC203,IF(N$2=$AF203,$AG203,0))))</f>
        <v/>
      </c>
      <c r="AA203">
        <f>IFERROR(ROUND(1/SUMPRODUCT(MAX((C202:N202&gt;0)*($C$3:$N$3&lt;=B203)/$C$2:$N$2)),0),0)</f>
        <v/>
      </c>
      <c r="AB203">
        <f>SUMPRODUCT((C202:N202&gt;0)*$C$7:$N$7)</f>
        <v/>
      </c>
      <c r="AC203">
        <f>MAX(0,Plan!$C$5-AB203)+IF(A203=Plan!$C$8,N(Plan!$C$7),0)</f>
        <v/>
      </c>
      <c r="AD203">
        <f>SUM(C203:N203)</f>
        <v/>
      </c>
      <c r="AE203">
        <f>SUM(O203:Z203)</f>
        <v/>
      </c>
      <c r="AF203">
        <f>IFERROR(ROUND(1/SUMPRODUCT(MAX((C202:N202&gt;0)*($C$3:$N$3&lt;=B203)*($C$2:$N$2&gt;AA203)/$C$2:$N$2)),0),0)</f>
        <v/>
      </c>
      <c r="AG203">
        <f>MAX(0,AC203-MAX(0,SUMPRODUCT(($C$2:$N$2=AA203)*(AH203:AS203-$C$7:$N$7))))</f>
        <v/>
      </c>
      <c r="AH203">
        <f>IF(C202&lt;=0,0,ROUND(C202*(1+IF(AND(C$6&gt;0,$B203&lt;C$6),C$4,C$5)/12),2))</f>
        <v/>
      </c>
      <c r="AI203">
        <f>IF(D202&lt;=0,0,ROUND(D202*(1+IF(AND(D$6&gt;0,$B203&lt;D$6),D$4,D$5)/12),2))</f>
        <v/>
      </c>
      <c r="AJ203">
        <f>IF(E202&lt;=0,0,ROUND(E202*(1+IF(AND(E$6&gt;0,$B203&lt;E$6),E$4,E$5)/12),2))</f>
        <v/>
      </c>
      <c r="AK203">
        <f>IF(F202&lt;=0,0,ROUND(F202*(1+IF(AND(F$6&gt;0,$B203&lt;F$6),F$4,F$5)/12),2))</f>
        <v/>
      </c>
      <c r="AL203">
        <f>IF(G202&lt;=0,0,ROUND(G202*(1+IF(AND(G$6&gt;0,$B203&lt;G$6),G$4,G$5)/12),2))</f>
        <v/>
      </c>
      <c r="AM203">
        <f>IF(H202&lt;=0,0,ROUND(H202*(1+IF(AND(H$6&gt;0,$B203&lt;H$6),H$4,H$5)/12),2))</f>
        <v/>
      </c>
      <c r="AN203">
        <f>IF(I202&lt;=0,0,ROUND(I202*(1+IF(AND(I$6&gt;0,$B203&lt;I$6),I$4,I$5)/12),2))</f>
        <v/>
      </c>
      <c r="AO203">
        <f>IF(J202&lt;=0,0,ROUND(J202*(1+IF(AND(J$6&gt;0,$B203&lt;J$6),J$4,J$5)/12),2))</f>
        <v/>
      </c>
      <c r="AP203">
        <f>IF(K202&lt;=0,0,ROUND(K202*(1+IF(AND(K$6&gt;0,$B203&lt;K$6),K$4,K$5)/12),2))</f>
        <v/>
      </c>
      <c r="AQ203">
        <f>IF(L202&lt;=0,0,ROUND(L202*(1+IF(AND(L$6&gt;0,$B203&lt;L$6),L$4,L$5)/12),2))</f>
        <v/>
      </c>
      <c r="AR203">
        <f>IF(M202&lt;=0,0,ROUND(M202*(1+IF(AND(M$6&gt;0,$B203&lt;M$6),M$4,M$5)/12),2))</f>
        <v/>
      </c>
      <c r="AS203">
        <f>IF(N202&lt;=0,0,ROUND(N202*(1+IF(AND(N$6&gt;0,$B203&lt;N$6),N$4,N$5)/12),2))</f>
        <v/>
      </c>
    </row>
    <row r="204">
      <c r="A204" t="n">
        <v>193</v>
      </c>
      <c r="B204">
        <f>EDATE(Plan!$C$6,192)</f>
        <v/>
      </c>
      <c r="C204">
        <f>IF(C203&lt;=0,0,MAX(0,AH204-O204))</f>
        <v/>
      </c>
      <c r="D204">
        <f>IF(D203&lt;=0,0,MAX(0,AI204-P204))</f>
        <v/>
      </c>
      <c r="E204">
        <f>IF(E203&lt;=0,0,MAX(0,AJ204-Q204))</f>
        <v/>
      </c>
      <c r="F204">
        <f>IF(F203&lt;=0,0,MAX(0,AK204-R204))</f>
        <v/>
      </c>
      <c r="G204">
        <f>IF(G203&lt;=0,0,MAX(0,AL204-S204))</f>
        <v/>
      </c>
      <c r="H204">
        <f>IF(H203&lt;=0,0,MAX(0,AM204-T204))</f>
        <v/>
      </c>
      <c r="I204">
        <f>IF(I203&lt;=0,0,MAX(0,AN204-U204))</f>
        <v/>
      </c>
      <c r="J204">
        <f>IF(J203&lt;=0,0,MAX(0,AO204-V204))</f>
        <v/>
      </c>
      <c r="K204">
        <f>IF(K203&lt;=0,0,MAX(0,AP204-W204))</f>
        <v/>
      </c>
      <c r="L204">
        <f>IF(L203&lt;=0,0,MAX(0,AQ204-X204))</f>
        <v/>
      </c>
      <c r="M204">
        <f>IF(M203&lt;=0,0,MAX(0,AR204-Y204))</f>
        <v/>
      </c>
      <c r="N204">
        <f>IF(N203&lt;=0,0,MAX(0,AS204-Z204))</f>
        <v/>
      </c>
      <c r="O204">
        <f>IF(C203&lt;=0,0,MIN(AH204,C$7+IF(C$2=$AA204,$AC204,IF(C$2=$AF204,$AG204,0))))</f>
        <v/>
      </c>
      <c r="P204">
        <f>IF(D203&lt;=0,0,MIN(AI204,D$7+IF(D$2=$AA204,$AC204,IF(D$2=$AF204,$AG204,0))))</f>
        <v/>
      </c>
      <c r="Q204">
        <f>IF(E203&lt;=0,0,MIN(AJ204,E$7+IF(E$2=$AA204,$AC204,IF(E$2=$AF204,$AG204,0))))</f>
        <v/>
      </c>
      <c r="R204">
        <f>IF(F203&lt;=0,0,MIN(AK204,F$7+IF(F$2=$AA204,$AC204,IF(F$2=$AF204,$AG204,0))))</f>
        <v/>
      </c>
      <c r="S204">
        <f>IF(G203&lt;=0,0,MIN(AL204,G$7+IF(G$2=$AA204,$AC204,IF(G$2=$AF204,$AG204,0))))</f>
        <v/>
      </c>
      <c r="T204">
        <f>IF(H203&lt;=0,0,MIN(AM204,H$7+IF(H$2=$AA204,$AC204,IF(H$2=$AF204,$AG204,0))))</f>
        <v/>
      </c>
      <c r="U204">
        <f>IF(I203&lt;=0,0,MIN(AN204,I$7+IF(I$2=$AA204,$AC204,IF(I$2=$AF204,$AG204,0))))</f>
        <v/>
      </c>
      <c r="V204">
        <f>IF(J203&lt;=0,0,MIN(AO204,J$7+IF(J$2=$AA204,$AC204,IF(J$2=$AF204,$AG204,0))))</f>
        <v/>
      </c>
      <c r="W204">
        <f>IF(K203&lt;=0,0,MIN(AP204,K$7+IF(K$2=$AA204,$AC204,IF(K$2=$AF204,$AG204,0))))</f>
        <v/>
      </c>
      <c r="X204">
        <f>IF(L203&lt;=0,0,MIN(AQ204,L$7+IF(L$2=$AA204,$AC204,IF(L$2=$AF204,$AG204,0))))</f>
        <v/>
      </c>
      <c r="Y204">
        <f>IF(M203&lt;=0,0,MIN(AR204,M$7+IF(M$2=$AA204,$AC204,IF(M$2=$AF204,$AG204,0))))</f>
        <v/>
      </c>
      <c r="Z204">
        <f>IF(N203&lt;=0,0,MIN(AS204,N$7+IF(N$2=$AA204,$AC204,IF(N$2=$AF204,$AG204,0))))</f>
        <v/>
      </c>
      <c r="AA204">
        <f>IFERROR(ROUND(1/SUMPRODUCT(MAX((C203:N203&gt;0)*($C$3:$N$3&lt;=B204)/$C$2:$N$2)),0),0)</f>
        <v/>
      </c>
      <c r="AB204">
        <f>SUMPRODUCT((C203:N203&gt;0)*$C$7:$N$7)</f>
        <v/>
      </c>
      <c r="AC204">
        <f>MAX(0,Plan!$C$5-AB204)+IF(A204=Plan!$C$8,N(Plan!$C$7),0)</f>
        <v/>
      </c>
      <c r="AD204">
        <f>SUM(C204:N204)</f>
        <v/>
      </c>
      <c r="AE204">
        <f>SUM(O204:Z204)</f>
        <v/>
      </c>
      <c r="AF204">
        <f>IFERROR(ROUND(1/SUMPRODUCT(MAX((C203:N203&gt;0)*($C$3:$N$3&lt;=B204)*($C$2:$N$2&gt;AA204)/$C$2:$N$2)),0),0)</f>
        <v/>
      </c>
      <c r="AG204">
        <f>MAX(0,AC204-MAX(0,SUMPRODUCT(($C$2:$N$2=AA204)*(AH204:AS204-$C$7:$N$7))))</f>
        <v/>
      </c>
      <c r="AH204">
        <f>IF(C203&lt;=0,0,ROUND(C203*(1+IF(AND(C$6&gt;0,$B204&lt;C$6),C$4,C$5)/12),2))</f>
        <v/>
      </c>
      <c r="AI204">
        <f>IF(D203&lt;=0,0,ROUND(D203*(1+IF(AND(D$6&gt;0,$B204&lt;D$6),D$4,D$5)/12),2))</f>
        <v/>
      </c>
      <c r="AJ204">
        <f>IF(E203&lt;=0,0,ROUND(E203*(1+IF(AND(E$6&gt;0,$B204&lt;E$6),E$4,E$5)/12),2))</f>
        <v/>
      </c>
      <c r="AK204">
        <f>IF(F203&lt;=0,0,ROUND(F203*(1+IF(AND(F$6&gt;0,$B204&lt;F$6),F$4,F$5)/12),2))</f>
        <v/>
      </c>
      <c r="AL204">
        <f>IF(G203&lt;=0,0,ROUND(G203*(1+IF(AND(G$6&gt;0,$B204&lt;G$6),G$4,G$5)/12),2))</f>
        <v/>
      </c>
      <c r="AM204">
        <f>IF(H203&lt;=0,0,ROUND(H203*(1+IF(AND(H$6&gt;0,$B204&lt;H$6),H$4,H$5)/12),2))</f>
        <v/>
      </c>
      <c r="AN204">
        <f>IF(I203&lt;=0,0,ROUND(I203*(1+IF(AND(I$6&gt;0,$B204&lt;I$6),I$4,I$5)/12),2))</f>
        <v/>
      </c>
      <c r="AO204">
        <f>IF(J203&lt;=0,0,ROUND(J203*(1+IF(AND(J$6&gt;0,$B204&lt;J$6),J$4,J$5)/12),2))</f>
        <v/>
      </c>
      <c r="AP204">
        <f>IF(K203&lt;=0,0,ROUND(K203*(1+IF(AND(K$6&gt;0,$B204&lt;K$6),K$4,K$5)/12),2))</f>
        <v/>
      </c>
      <c r="AQ204">
        <f>IF(L203&lt;=0,0,ROUND(L203*(1+IF(AND(L$6&gt;0,$B204&lt;L$6),L$4,L$5)/12),2))</f>
        <v/>
      </c>
      <c r="AR204">
        <f>IF(M203&lt;=0,0,ROUND(M203*(1+IF(AND(M$6&gt;0,$B204&lt;M$6),M$4,M$5)/12),2))</f>
        <v/>
      </c>
      <c r="AS204">
        <f>IF(N203&lt;=0,0,ROUND(N203*(1+IF(AND(N$6&gt;0,$B204&lt;N$6),N$4,N$5)/12),2))</f>
        <v/>
      </c>
    </row>
    <row r="205">
      <c r="A205" t="n">
        <v>194</v>
      </c>
      <c r="B205">
        <f>EDATE(Plan!$C$6,193)</f>
        <v/>
      </c>
      <c r="C205">
        <f>IF(C204&lt;=0,0,MAX(0,AH205-O205))</f>
        <v/>
      </c>
      <c r="D205">
        <f>IF(D204&lt;=0,0,MAX(0,AI205-P205))</f>
        <v/>
      </c>
      <c r="E205">
        <f>IF(E204&lt;=0,0,MAX(0,AJ205-Q205))</f>
        <v/>
      </c>
      <c r="F205">
        <f>IF(F204&lt;=0,0,MAX(0,AK205-R205))</f>
        <v/>
      </c>
      <c r="G205">
        <f>IF(G204&lt;=0,0,MAX(0,AL205-S205))</f>
        <v/>
      </c>
      <c r="H205">
        <f>IF(H204&lt;=0,0,MAX(0,AM205-T205))</f>
        <v/>
      </c>
      <c r="I205">
        <f>IF(I204&lt;=0,0,MAX(0,AN205-U205))</f>
        <v/>
      </c>
      <c r="J205">
        <f>IF(J204&lt;=0,0,MAX(0,AO205-V205))</f>
        <v/>
      </c>
      <c r="K205">
        <f>IF(K204&lt;=0,0,MAX(0,AP205-W205))</f>
        <v/>
      </c>
      <c r="L205">
        <f>IF(L204&lt;=0,0,MAX(0,AQ205-X205))</f>
        <v/>
      </c>
      <c r="M205">
        <f>IF(M204&lt;=0,0,MAX(0,AR205-Y205))</f>
        <v/>
      </c>
      <c r="N205">
        <f>IF(N204&lt;=0,0,MAX(0,AS205-Z205))</f>
        <v/>
      </c>
      <c r="O205">
        <f>IF(C204&lt;=0,0,MIN(AH205,C$7+IF(C$2=$AA205,$AC205,IF(C$2=$AF205,$AG205,0))))</f>
        <v/>
      </c>
      <c r="P205">
        <f>IF(D204&lt;=0,0,MIN(AI205,D$7+IF(D$2=$AA205,$AC205,IF(D$2=$AF205,$AG205,0))))</f>
        <v/>
      </c>
      <c r="Q205">
        <f>IF(E204&lt;=0,0,MIN(AJ205,E$7+IF(E$2=$AA205,$AC205,IF(E$2=$AF205,$AG205,0))))</f>
        <v/>
      </c>
      <c r="R205">
        <f>IF(F204&lt;=0,0,MIN(AK205,F$7+IF(F$2=$AA205,$AC205,IF(F$2=$AF205,$AG205,0))))</f>
        <v/>
      </c>
      <c r="S205">
        <f>IF(G204&lt;=0,0,MIN(AL205,G$7+IF(G$2=$AA205,$AC205,IF(G$2=$AF205,$AG205,0))))</f>
        <v/>
      </c>
      <c r="T205">
        <f>IF(H204&lt;=0,0,MIN(AM205,H$7+IF(H$2=$AA205,$AC205,IF(H$2=$AF205,$AG205,0))))</f>
        <v/>
      </c>
      <c r="U205">
        <f>IF(I204&lt;=0,0,MIN(AN205,I$7+IF(I$2=$AA205,$AC205,IF(I$2=$AF205,$AG205,0))))</f>
        <v/>
      </c>
      <c r="V205">
        <f>IF(J204&lt;=0,0,MIN(AO205,J$7+IF(J$2=$AA205,$AC205,IF(J$2=$AF205,$AG205,0))))</f>
        <v/>
      </c>
      <c r="W205">
        <f>IF(K204&lt;=0,0,MIN(AP205,K$7+IF(K$2=$AA205,$AC205,IF(K$2=$AF205,$AG205,0))))</f>
        <v/>
      </c>
      <c r="X205">
        <f>IF(L204&lt;=0,0,MIN(AQ205,L$7+IF(L$2=$AA205,$AC205,IF(L$2=$AF205,$AG205,0))))</f>
        <v/>
      </c>
      <c r="Y205">
        <f>IF(M204&lt;=0,0,MIN(AR205,M$7+IF(M$2=$AA205,$AC205,IF(M$2=$AF205,$AG205,0))))</f>
        <v/>
      </c>
      <c r="Z205">
        <f>IF(N204&lt;=0,0,MIN(AS205,N$7+IF(N$2=$AA205,$AC205,IF(N$2=$AF205,$AG205,0))))</f>
        <v/>
      </c>
      <c r="AA205">
        <f>IFERROR(ROUND(1/SUMPRODUCT(MAX((C204:N204&gt;0)*($C$3:$N$3&lt;=B205)/$C$2:$N$2)),0),0)</f>
        <v/>
      </c>
      <c r="AB205">
        <f>SUMPRODUCT((C204:N204&gt;0)*$C$7:$N$7)</f>
        <v/>
      </c>
      <c r="AC205">
        <f>MAX(0,Plan!$C$5-AB205)+IF(A205=Plan!$C$8,N(Plan!$C$7),0)</f>
        <v/>
      </c>
      <c r="AD205">
        <f>SUM(C205:N205)</f>
        <v/>
      </c>
      <c r="AE205">
        <f>SUM(O205:Z205)</f>
        <v/>
      </c>
      <c r="AF205">
        <f>IFERROR(ROUND(1/SUMPRODUCT(MAX((C204:N204&gt;0)*($C$3:$N$3&lt;=B205)*($C$2:$N$2&gt;AA205)/$C$2:$N$2)),0),0)</f>
        <v/>
      </c>
      <c r="AG205">
        <f>MAX(0,AC205-MAX(0,SUMPRODUCT(($C$2:$N$2=AA205)*(AH205:AS205-$C$7:$N$7))))</f>
        <v/>
      </c>
      <c r="AH205">
        <f>IF(C204&lt;=0,0,ROUND(C204*(1+IF(AND(C$6&gt;0,$B205&lt;C$6),C$4,C$5)/12),2))</f>
        <v/>
      </c>
      <c r="AI205">
        <f>IF(D204&lt;=0,0,ROUND(D204*(1+IF(AND(D$6&gt;0,$B205&lt;D$6),D$4,D$5)/12),2))</f>
        <v/>
      </c>
      <c r="AJ205">
        <f>IF(E204&lt;=0,0,ROUND(E204*(1+IF(AND(E$6&gt;0,$B205&lt;E$6),E$4,E$5)/12),2))</f>
        <v/>
      </c>
      <c r="AK205">
        <f>IF(F204&lt;=0,0,ROUND(F204*(1+IF(AND(F$6&gt;0,$B205&lt;F$6),F$4,F$5)/12),2))</f>
        <v/>
      </c>
      <c r="AL205">
        <f>IF(G204&lt;=0,0,ROUND(G204*(1+IF(AND(G$6&gt;0,$B205&lt;G$6),G$4,G$5)/12),2))</f>
        <v/>
      </c>
      <c r="AM205">
        <f>IF(H204&lt;=0,0,ROUND(H204*(1+IF(AND(H$6&gt;0,$B205&lt;H$6),H$4,H$5)/12),2))</f>
        <v/>
      </c>
      <c r="AN205">
        <f>IF(I204&lt;=0,0,ROUND(I204*(1+IF(AND(I$6&gt;0,$B205&lt;I$6),I$4,I$5)/12),2))</f>
        <v/>
      </c>
      <c r="AO205">
        <f>IF(J204&lt;=0,0,ROUND(J204*(1+IF(AND(J$6&gt;0,$B205&lt;J$6),J$4,J$5)/12),2))</f>
        <v/>
      </c>
      <c r="AP205">
        <f>IF(K204&lt;=0,0,ROUND(K204*(1+IF(AND(K$6&gt;0,$B205&lt;K$6),K$4,K$5)/12),2))</f>
        <v/>
      </c>
      <c r="AQ205">
        <f>IF(L204&lt;=0,0,ROUND(L204*(1+IF(AND(L$6&gt;0,$B205&lt;L$6),L$4,L$5)/12),2))</f>
        <v/>
      </c>
      <c r="AR205">
        <f>IF(M204&lt;=0,0,ROUND(M204*(1+IF(AND(M$6&gt;0,$B205&lt;M$6),M$4,M$5)/12),2))</f>
        <v/>
      </c>
      <c r="AS205">
        <f>IF(N204&lt;=0,0,ROUND(N204*(1+IF(AND(N$6&gt;0,$B205&lt;N$6),N$4,N$5)/12),2))</f>
        <v/>
      </c>
    </row>
    <row r="206">
      <c r="A206" t="n">
        <v>195</v>
      </c>
      <c r="B206">
        <f>EDATE(Plan!$C$6,194)</f>
        <v/>
      </c>
      <c r="C206">
        <f>IF(C205&lt;=0,0,MAX(0,AH206-O206))</f>
        <v/>
      </c>
      <c r="D206">
        <f>IF(D205&lt;=0,0,MAX(0,AI206-P206))</f>
        <v/>
      </c>
      <c r="E206">
        <f>IF(E205&lt;=0,0,MAX(0,AJ206-Q206))</f>
        <v/>
      </c>
      <c r="F206">
        <f>IF(F205&lt;=0,0,MAX(0,AK206-R206))</f>
        <v/>
      </c>
      <c r="G206">
        <f>IF(G205&lt;=0,0,MAX(0,AL206-S206))</f>
        <v/>
      </c>
      <c r="H206">
        <f>IF(H205&lt;=0,0,MAX(0,AM206-T206))</f>
        <v/>
      </c>
      <c r="I206">
        <f>IF(I205&lt;=0,0,MAX(0,AN206-U206))</f>
        <v/>
      </c>
      <c r="J206">
        <f>IF(J205&lt;=0,0,MAX(0,AO206-V206))</f>
        <v/>
      </c>
      <c r="K206">
        <f>IF(K205&lt;=0,0,MAX(0,AP206-W206))</f>
        <v/>
      </c>
      <c r="L206">
        <f>IF(L205&lt;=0,0,MAX(0,AQ206-X206))</f>
        <v/>
      </c>
      <c r="M206">
        <f>IF(M205&lt;=0,0,MAX(0,AR206-Y206))</f>
        <v/>
      </c>
      <c r="N206">
        <f>IF(N205&lt;=0,0,MAX(0,AS206-Z206))</f>
        <v/>
      </c>
      <c r="O206">
        <f>IF(C205&lt;=0,0,MIN(AH206,C$7+IF(C$2=$AA206,$AC206,IF(C$2=$AF206,$AG206,0))))</f>
        <v/>
      </c>
      <c r="P206">
        <f>IF(D205&lt;=0,0,MIN(AI206,D$7+IF(D$2=$AA206,$AC206,IF(D$2=$AF206,$AG206,0))))</f>
        <v/>
      </c>
      <c r="Q206">
        <f>IF(E205&lt;=0,0,MIN(AJ206,E$7+IF(E$2=$AA206,$AC206,IF(E$2=$AF206,$AG206,0))))</f>
        <v/>
      </c>
      <c r="R206">
        <f>IF(F205&lt;=0,0,MIN(AK206,F$7+IF(F$2=$AA206,$AC206,IF(F$2=$AF206,$AG206,0))))</f>
        <v/>
      </c>
      <c r="S206">
        <f>IF(G205&lt;=0,0,MIN(AL206,G$7+IF(G$2=$AA206,$AC206,IF(G$2=$AF206,$AG206,0))))</f>
        <v/>
      </c>
      <c r="T206">
        <f>IF(H205&lt;=0,0,MIN(AM206,H$7+IF(H$2=$AA206,$AC206,IF(H$2=$AF206,$AG206,0))))</f>
        <v/>
      </c>
      <c r="U206">
        <f>IF(I205&lt;=0,0,MIN(AN206,I$7+IF(I$2=$AA206,$AC206,IF(I$2=$AF206,$AG206,0))))</f>
        <v/>
      </c>
      <c r="V206">
        <f>IF(J205&lt;=0,0,MIN(AO206,J$7+IF(J$2=$AA206,$AC206,IF(J$2=$AF206,$AG206,0))))</f>
        <v/>
      </c>
      <c r="W206">
        <f>IF(K205&lt;=0,0,MIN(AP206,K$7+IF(K$2=$AA206,$AC206,IF(K$2=$AF206,$AG206,0))))</f>
        <v/>
      </c>
      <c r="X206">
        <f>IF(L205&lt;=0,0,MIN(AQ206,L$7+IF(L$2=$AA206,$AC206,IF(L$2=$AF206,$AG206,0))))</f>
        <v/>
      </c>
      <c r="Y206">
        <f>IF(M205&lt;=0,0,MIN(AR206,M$7+IF(M$2=$AA206,$AC206,IF(M$2=$AF206,$AG206,0))))</f>
        <v/>
      </c>
      <c r="Z206">
        <f>IF(N205&lt;=0,0,MIN(AS206,N$7+IF(N$2=$AA206,$AC206,IF(N$2=$AF206,$AG206,0))))</f>
        <v/>
      </c>
      <c r="AA206">
        <f>IFERROR(ROUND(1/SUMPRODUCT(MAX((C205:N205&gt;0)*($C$3:$N$3&lt;=B206)/$C$2:$N$2)),0),0)</f>
        <v/>
      </c>
      <c r="AB206">
        <f>SUMPRODUCT((C205:N205&gt;0)*$C$7:$N$7)</f>
        <v/>
      </c>
      <c r="AC206">
        <f>MAX(0,Plan!$C$5-AB206)+IF(A206=Plan!$C$8,N(Plan!$C$7),0)</f>
        <v/>
      </c>
      <c r="AD206">
        <f>SUM(C206:N206)</f>
        <v/>
      </c>
      <c r="AE206">
        <f>SUM(O206:Z206)</f>
        <v/>
      </c>
      <c r="AF206">
        <f>IFERROR(ROUND(1/SUMPRODUCT(MAX((C205:N205&gt;0)*($C$3:$N$3&lt;=B206)*($C$2:$N$2&gt;AA206)/$C$2:$N$2)),0),0)</f>
        <v/>
      </c>
      <c r="AG206">
        <f>MAX(0,AC206-MAX(0,SUMPRODUCT(($C$2:$N$2=AA206)*(AH206:AS206-$C$7:$N$7))))</f>
        <v/>
      </c>
      <c r="AH206">
        <f>IF(C205&lt;=0,0,ROUND(C205*(1+IF(AND(C$6&gt;0,$B206&lt;C$6),C$4,C$5)/12),2))</f>
        <v/>
      </c>
      <c r="AI206">
        <f>IF(D205&lt;=0,0,ROUND(D205*(1+IF(AND(D$6&gt;0,$B206&lt;D$6),D$4,D$5)/12),2))</f>
        <v/>
      </c>
      <c r="AJ206">
        <f>IF(E205&lt;=0,0,ROUND(E205*(1+IF(AND(E$6&gt;0,$B206&lt;E$6),E$4,E$5)/12),2))</f>
        <v/>
      </c>
      <c r="AK206">
        <f>IF(F205&lt;=0,0,ROUND(F205*(1+IF(AND(F$6&gt;0,$B206&lt;F$6),F$4,F$5)/12),2))</f>
        <v/>
      </c>
      <c r="AL206">
        <f>IF(G205&lt;=0,0,ROUND(G205*(1+IF(AND(G$6&gt;0,$B206&lt;G$6),G$4,G$5)/12),2))</f>
        <v/>
      </c>
      <c r="AM206">
        <f>IF(H205&lt;=0,0,ROUND(H205*(1+IF(AND(H$6&gt;0,$B206&lt;H$6),H$4,H$5)/12),2))</f>
        <v/>
      </c>
      <c r="AN206">
        <f>IF(I205&lt;=0,0,ROUND(I205*(1+IF(AND(I$6&gt;0,$B206&lt;I$6),I$4,I$5)/12),2))</f>
        <v/>
      </c>
      <c r="AO206">
        <f>IF(J205&lt;=0,0,ROUND(J205*(1+IF(AND(J$6&gt;0,$B206&lt;J$6),J$4,J$5)/12),2))</f>
        <v/>
      </c>
      <c r="AP206">
        <f>IF(K205&lt;=0,0,ROUND(K205*(1+IF(AND(K$6&gt;0,$B206&lt;K$6),K$4,K$5)/12),2))</f>
        <v/>
      </c>
      <c r="AQ206">
        <f>IF(L205&lt;=0,0,ROUND(L205*(1+IF(AND(L$6&gt;0,$B206&lt;L$6),L$4,L$5)/12),2))</f>
        <v/>
      </c>
      <c r="AR206">
        <f>IF(M205&lt;=0,0,ROUND(M205*(1+IF(AND(M$6&gt;0,$B206&lt;M$6),M$4,M$5)/12),2))</f>
        <v/>
      </c>
      <c r="AS206">
        <f>IF(N205&lt;=0,0,ROUND(N205*(1+IF(AND(N$6&gt;0,$B206&lt;N$6),N$4,N$5)/12),2))</f>
        <v/>
      </c>
    </row>
    <row r="207">
      <c r="A207" t="n">
        <v>196</v>
      </c>
      <c r="B207">
        <f>EDATE(Plan!$C$6,195)</f>
        <v/>
      </c>
      <c r="C207">
        <f>IF(C206&lt;=0,0,MAX(0,AH207-O207))</f>
        <v/>
      </c>
      <c r="D207">
        <f>IF(D206&lt;=0,0,MAX(0,AI207-P207))</f>
        <v/>
      </c>
      <c r="E207">
        <f>IF(E206&lt;=0,0,MAX(0,AJ207-Q207))</f>
        <v/>
      </c>
      <c r="F207">
        <f>IF(F206&lt;=0,0,MAX(0,AK207-R207))</f>
        <v/>
      </c>
      <c r="G207">
        <f>IF(G206&lt;=0,0,MAX(0,AL207-S207))</f>
        <v/>
      </c>
      <c r="H207">
        <f>IF(H206&lt;=0,0,MAX(0,AM207-T207))</f>
        <v/>
      </c>
      <c r="I207">
        <f>IF(I206&lt;=0,0,MAX(0,AN207-U207))</f>
        <v/>
      </c>
      <c r="J207">
        <f>IF(J206&lt;=0,0,MAX(0,AO207-V207))</f>
        <v/>
      </c>
      <c r="K207">
        <f>IF(K206&lt;=0,0,MAX(0,AP207-W207))</f>
        <v/>
      </c>
      <c r="L207">
        <f>IF(L206&lt;=0,0,MAX(0,AQ207-X207))</f>
        <v/>
      </c>
      <c r="M207">
        <f>IF(M206&lt;=0,0,MAX(0,AR207-Y207))</f>
        <v/>
      </c>
      <c r="N207">
        <f>IF(N206&lt;=0,0,MAX(0,AS207-Z207))</f>
        <v/>
      </c>
      <c r="O207">
        <f>IF(C206&lt;=0,0,MIN(AH207,C$7+IF(C$2=$AA207,$AC207,IF(C$2=$AF207,$AG207,0))))</f>
        <v/>
      </c>
      <c r="P207">
        <f>IF(D206&lt;=0,0,MIN(AI207,D$7+IF(D$2=$AA207,$AC207,IF(D$2=$AF207,$AG207,0))))</f>
        <v/>
      </c>
      <c r="Q207">
        <f>IF(E206&lt;=0,0,MIN(AJ207,E$7+IF(E$2=$AA207,$AC207,IF(E$2=$AF207,$AG207,0))))</f>
        <v/>
      </c>
      <c r="R207">
        <f>IF(F206&lt;=0,0,MIN(AK207,F$7+IF(F$2=$AA207,$AC207,IF(F$2=$AF207,$AG207,0))))</f>
        <v/>
      </c>
      <c r="S207">
        <f>IF(G206&lt;=0,0,MIN(AL207,G$7+IF(G$2=$AA207,$AC207,IF(G$2=$AF207,$AG207,0))))</f>
        <v/>
      </c>
      <c r="T207">
        <f>IF(H206&lt;=0,0,MIN(AM207,H$7+IF(H$2=$AA207,$AC207,IF(H$2=$AF207,$AG207,0))))</f>
        <v/>
      </c>
      <c r="U207">
        <f>IF(I206&lt;=0,0,MIN(AN207,I$7+IF(I$2=$AA207,$AC207,IF(I$2=$AF207,$AG207,0))))</f>
        <v/>
      </c>
      <c r="V207">
        <f>IF(J206&lt;=0,0,MIN(AO207,J$7+IF(J$2=$AA207,$AC207,IF(J$2=$AF207,$AG207,0))))</f>
        <v/>
      </c>
      <c r="W207">
        <f>IF(K206&lt;=0,0,MIN(AP207,K$7+IF(K$2=$AA207,$AC207,IF(K$2=$AF207,$AG207,0))))</f>
        <v/>
      </c>
      <c r="X207">
        <f>IF(L206&lt;=0,0,MIN(AQ207,L$7+IF(L$2=$AA207,$AC207,IF(L$2=$AF207,$AG207,0))))</f>
        <v/>
      </c>
      <c r="Y207">
        <f>IF(M206&lt;=0,0,MIN(AR207,M$7+IF(M$2=$AA207,$AC207,IF(M$2=$AF207,$AG207,0))))</f>
        <v/>
      </c>
      <c r="Z207">
        <f>IF(N206&lt;=0,0,MIN(AS207,N$7+IF(N$2=$AA207,$AC207,IF(N$2=$AF207,$AG207,0))))</f>
        <v/>
      </c>
      <c r="AA207">
        <f>IFERROR(ROUND(1/SUMPRODUCT(MAX((C206:N206&gt;0)*($C$3:$N$3&lt;=B207)/$C$2:$N$2)),0),0)</f>
        <v/>
      </c>
      <c r="AB207">
        <f>SUMPRODUCT((C206:N206&gt;0)*$C$7:$N$7)</f>
        <v/>
      </c>
      <c r="AC207">
        <f>MAX(0,Plan!$C$5-AB207)+IF(A207=Plan!$C$8,N(Plan!$C$7),0)</f>
        <v/>
      </c>
      <c r="AD207">
        <f>SUM(C207:N207)</f>
        <v/>
      </c>
      <c r="AE207">
        <f>SUM(O207:Z207)</f>
        <v/>
      </c>
      <c r="AF207">
        <f>IFERROR(ROUND(1/SUMPRODUCT(MAX((C206:N206&gt;0)*($C$3:$N$3&lt;=B207)*($C$2:$N$2&gt;AA207)/$C$2:$N$2)),0),0)</f>
        <v/>
      </c>
      <c r="AG207">
        <f>MAX(0,AC207-MAX(0,SUMPRODUCT(($C$2:$N$2=AA207)*(AH207:AS207-$C$7:$N$7))))</f>
        <v/>
      </c>
      <c r="AH207">
        <f>IF(C206&lt;=0,0,ROUND(C206*(1+IF(AND(C$6&gt;0,$B207&lt;C$6),C$4,C$5)/12),2))</f>
        <v/>
      </c>
      <c r="AI207">
        <f>IF(D206&lt;=0,0,ROUND(D206*(1+IF(AND(D$6&gt;0,$B207&lt;D$6),D$4,D$5)/12),2))</f>
        <v/>
      </c>
      <c r="AJ207">
        <f>IF(E206&lt;=0,0,ROUND(E206*(1+IF(AND(E$6&gt;0,$B207&lt;E$6),E$4,E$5)/12),2))</f>
        <v/>
      </c>
      <c r="AK207">
        <f>IF(F206&lt;=0,0,ROUND(F206*(1+IF(AND(F$6&gt;0,$B207&lt;F$6),F$4,F$5)/12),2))</f>
        <v/>
      </c>
      <c r="AL207">
        <f>IF(G206&lt;=0,0,ROUND(G206*(1+IF(AND(G$6&gt;0,$B207&lt;G$6),G$4,G$5)/12),2))</f>
        <v/>
      </c>
      <c r="AM207">
        <f>IF(H206&lt;=0,0,ROUND(H206*(1+IF(AND(H$6&gt;0,$B207&lt;H$6),H$4,H$5)/12),2))</f>
        <v/>
      </c>
      <c r="AN207">
        <f>IF(I206&lt;=0,0,ROUND(I206*(1+IF(AND(I$6&gt;0,$B207&lt;I$6),I$4,I$5)/12),2))</f>
        <v/>
      </c>
      <c r="AO207">
        <f>IF(J206&lt;=0,0,ROUND(J206*(1+IF(AND(J$6&gt;0,$B207&lt;J$6),J$4,J$5)/12),2))</f>
        <v/>
      </c>
      <c r="AP207">
        <f>IF(K206&lt;=0,0,ROUND(K206*(1+IF(AND(K$6&gt;0,$B207&lt;K$6),K$4,K$5)/12),2))</f>
        <v/>
      </c>
      <c r="AQ207">
        <f>IF(L206&lt;=0,0,ROUND(L206*(1+IF(AND(L$6&gt;0,$B207&lt;L$6),L$4,L$5)/12),2))</f>
        <v/>
      </c>
      <c r="AR207">
        <f>IF(M206&lt;=0,0,ROUND(M206*(1+IF(AND(M$6&gt;0,$B207&lt;M$6),M$4,M$5)/12),2))</f>
        <v/>
      </c>
      <c r="AS207">
        <f>IF(N206&lt;=0,0,ROUND(N206*(1+IF(AND(N$6&gt;0,$B207&lt;N$6),N$4,N$5)/12),2))</f>
        <v/>
      </c>
    </row>
    <row r="208">
      <c r="A208" t="n">
        <v>197</v>
      </c>
      <c r="B208">
        <f>EDATE(Plan!$C$6,196)</f>
        <v/>
      </c>
      <c r="C208">
        <f>IF(C207&lt;=0,0,MAX(0,AH208-O208))</f>
        <v/>
      </c>
      <c r="D208">
        <f>IF(D207&lt;=0,0,MAX(0,AI208-P208))</f>
        <v/>
      </c>
      <c r="E208">
        <f>IF(E207&lt;=0,0,MAX(0,AJ208-Q208))</f>
        <v/>
      </c>
      <c r="F208">
        <f>IF(F207&lt;=0,0,MAX(0,AK208-R208))</f>
        <v/>
      </c>
      <c r="G208">
        <f>IF(G207&lt;=0,0,MAX(0,AL208-S208))</f>
        <v/>
      </c>
      <c r="H208">
        <f>IF(H207&lt;=0,0,MAX(0,AM208-T208))</f>
        <v/>
      </c>
      <c r="I208">
        <f>IF(I207&lt;=0,0,MAX(0,AN208-U208))</f>
        <v/>
      </c>
      <c r="J208">
        <f>IF(J207&lt;=0,0,MAX(0,AO208-V208))</f>
        <v/>
      </c>
      <c r="K208">
        <f>IF(K207&lt;=0,0,MAX(0,AP208-W208))</f>
        <v/>
      </c>
      <c r="L208">
        <f>IF(L207&lt;=0,0,MAX(0,AQ208-X208))</f>
        <v/>
      </c>
      <c r="M208">
        <f>IF(M207&lt;=0,0,MAX(0,AR208-Y208))</f>
        <v/>
      </c>
      <c r="N208">
        <f>IF(N207&lt;=0,0,MAX(0,AS208-Z208))</f>
        <v/>
      </c>
      <c r="O208">
        <f>IF(C207&lt;=0,0,MIN(AH208,C$7+IF(C$2=$AA208,$AC208,IF(C$2=$AF208,$AG208,0))))</f>
        <v/>
      </c>
      <c r="P208">
        <f>IF(D207&lt;=0,0,MIN(AI208,D$7+IF(D$2=$AA208,$AC208,IF(D$2=$AF208,$AG208,0))))</f>
        <v/>
      </c>
      <c r="Q208">
        <f>IF(E207&lt;=0,0,MIN(AJ208,E$7+IF(E$2=$AA208,$AC208,IF(E$2=$AF208,$AG208,0))))</f>
        <v/>
      </c>
      <c r="R208">
        <f>IF(F207&lt;=0,0,MIN(AK208,F$7+IF(F$2=$AA208,$AC208,IF(F$2=$AF208,$AG208,0))))</f>
        <v/>
      </c>
      <c r="S208">
        <f>IF(G207&lt;=0,0,MIN(AL208,G$7+IF(G$2=$AA208,$AC208,IF(G$2=$AF208,$AG208,0))))</f>
        <v/>
      </c>
      <c r="T208">
        <f>IF(H207&lt;=0,0,MIN(AM208,H$7+IF(H$2=$AA208,$AC208,IF(H$2=$AF208,$AG208,0))))</f>
        <v/>
      </c>
      <c r="U208">
        <f>IF(I207&lt;=0,0,MIN(AN208,I$7+IF(I$2=$AA208,$AC208,IF(I$2=$AF208,$AG208,0))))</f>
        <v/>
      </c>
      <c r="V208">
        <f>IF(J207&lt;=0,0,MIN(AO208,J$7+IF(J$2=$AA208,$AC208,IF(J$2=$AF208,$AG208,0))))</f>
        <v/>
      </c>
      <c r="W208">
        <f>IF(K207&lt;=0,0,MIN(AP208,K$7+IF(K$2=$AA208,$AC208,IF(K$2=$AF208,$AG208,0))))</f>
        <v/>
      </c>
      <c r="X208">
        <f>IF(L207&lt;=0,0,MIN(AQ208,L$7+IF(L$2=$AA208,$AC208,IF(L$2=$AF208,$AG208,0))))</f>
        <v/>
      </c>
      <c r="Y208">
        <f>IF(M207&lt;=0,0,MIN(AR208,M$7+IF(M$2=$AA208,$AC208,IF(M$2=$AF208,$AG208,0))))</f>
        <v/>
      </c>
      <c r="Z208">
        <f>IF(N207&lt;=0,0,MIN(AS208,N$7+IF(N$2=$AA208,$AC208,IF(N$2=$AF208,$AG208,0))))</f>
        <v/>
      </c>
      <c r="AA208">
        <f>IFERROR(ROUND(1/SUMPRODUCT(MAX((C207:N207&gt;0)*($C$3:$N$3&lt;=B208)/$C$2:$N$2)),0),0)</f>
        <v/>
      </c>
      <c r="AB208">
        <f>SUMPRODUCT((C207:N207&gt;0)*$C$7:$N$7)</f>
        <v/>
      </c>
      <c r="AC208">
        <f>MAX(0,Plan!$C$5-AB208)+IF(A208=Plan!$C$8,N(Plan!$C$7),0)</f>
        <v/>
      </c>
      <c r="AD208">
        <f>SUM(C208:N208)</f>
        <v/>
      </c>
      <c r="AE208">
        <f>SUM(O208:Z208)</f>
        <v/>
      </c>
      <c r="AF208">
        <f>IFERROR(ROUND(1/SUMPRODUCT(MAX((C207:N207&gt;0)*($C$3:$N$3&lt;=B208)*($C$2:$N$2&gt;AA208)/$C$2:$N$2)),0),0)</f>
        <v/>
      </c>
      <c r="AG208">
        <f>MAX(0,AC208-MAX(0,SUMPRODUCT(($C$2:$N$2=AA208)*(AH208:AS208-$C$7:$N$7))))</f>
        <v/>
      </c>
      <c r="AH208">
        <f>IF(C207&lt;=0,0,ROUND(C207*(1+IF(AND(C$6&gt;0,$B208&lt;C$6),C$4,C$5)/12),2))</f>
        <v/>
      </c>
      <c r="AI208">
        <f>IF(D207&lt;=0,0,ROUND(D207*(1+IF(AND(D$6&gt;0,$B208&lt;D$6),D$4,D$5)/12),2))</f>
        <v/>
      </c>
      <c r="AJ208">
        <f>IF(E207&lt;=0,0,ROUND(E207*(1+IF(AND(E$6&gt;0,$B208&lt;E$6),E$4,E$5)/12),2))</f>
        <v/>
      </c>
      <c r="AK208">
        <f>IF(F207&lt;=0,0,ROUND(F207*(1+IF(AND(F$6&gt;0,$B208&lt;F$6),F$4,F$5)/12),2))</f>
        <v/>
      </c>
      <c r="AL208">
        <f>IF(G207&lt;=0,0,ROUND(G207*(1+IF(AND(G$6&gt;0,$B208&lt;G$6),G$4,G$5)/12),2))</f>
        <v/>
      </c>
      <c r="AM208">
        <f>IF(H207&lt;=0,0,ROUND(H207*(1+IF(AND(H$6&gt;0,$B208&lt;H$6),H$4,H$5)/12),2))</f>
        <v/>
      </c>
      <c r="AN208">
        <f>IF(I207&lt;=0,0,ROUND(I207*(1+IF(AND(I$6&gt;0,$B208&lt;I$6),I$4,I$5)/12),2))</f>
        <v/>
      </c>
      <c r="AO208">
        <f>IF(J207&lt;=0,0,ROUND(J207*(1+IF(AND(J$6&gt;0,$B208&lt;J$6),J$4,J$5)/12),2))</f>
        <v/>
      </c>
      <c r="AP208">
        <f>IF(K207&lt;=0,0,ROUND(K207*(1+IF(AND(K$6&gt;0,$B208&lt;K$6),K$4,K$5)/12),2))</f>
        <v/>
      </c>
      <c r="AQ208">
        <f>IF(L207&lt;=0,0,ROUND(L207*(1+IF(AND(L$6&gt;0,$B208&lt;L$6),L$4,L$5)/12),2))</f>
        <v/>
      </c>
      <c r="AR208">
        <f>IF(M207&lt;=0,0,ROUND(M207*(1+IF(AND(M$6&gt;0,$B208&lt;M$6),M$4,M$5)/12),2))</f>
        <v/>
      </c>
      <c r="AS208">
        <f>IF(N207&lt;=0,0,ROUND(N207*(1+IF(AND(N$6&gt;0,$B208&lt;N$6),N$4,N$5)/12),2))</f>
        <v/>
      </c>
    </row>
    <row r="209">
      <c r="A209" t="n">
        <v>198</v>
      </c>
      <c r="B209">
        <f>EDATE(Plan!$C$6,197)</f>
        <v/>
      </c>
      <c r="C209">
        <f>IF(C208&lt;=0,0,MAX(0,AH209-O209))</f>
        <v/>
      </c>
      <c r="D209">
        <f>IF(D208&lt;=0,0,MAX(0,AI209-P209))</f>
        <v/>
      </c>
      <c r="E209">
        <f>IF(E208&lt;=0,0,MAX(0,AJ209-Q209))</f>
        <v/>
      </c>
      <c r="F209">
        <f>IF(F208&lt;=0,0,MAX(0,AK209-R209))</f>
        <v/>
      </c>
      <c r="G209">
        <f>IF(G208&lt;=0,0,MAX(0,AL209-S209))</f>
        <v/>
      </c>
      <c r="H209">
        <f>IF(H208&lt;=0,0,MAX(0,AM209-T209))</f>
        <v/>
      </c>
      <c r="I209">
        <f>IF(I208&lt;=0,0,MAX(0,AN209-U209))</f>
        <v/>
      </c>
      <c r="J209">
        <f>IF(J208&lt;=0,0,MAX(0,AO209-V209))</f>
        <v/>
      </c>
      <c r="K209">
        <f>IF(K208&lt;=0,0,MAX(0,AP209-W209))</f>
        <v/>
      </c>
      <c r="L209">
        <f>IF(L208&lt;=0,0,MAX(0,AQ209-X209))</f>
        <v/>
      </c>
      <c r="M209">
        <f>IF(M208&lt;=0,0,MAX(0,AR209-Y209))</f>
        <v/>
      </c>
      <c r="N209">
        <f>IF(N208&lt;=0,0,MAX(0,AS209-Z209))</f>
        <v/>
      </c>
      <c r="O209">
        <f>IF(C208&lt;=0,0,MIN(AH209,C$7+IF(C$2=$AA209,$AC209,IF(C$2=$AF209,$AG209,0))))</f>
        <v/>
      </c>
      <c r="P209">
        <f>IF(D208&lt;=0,0,MIN(AI209,D$7+IF(D$2=$AA209,$AC209,IF(D$2=$AF209,$AG209,0))))</f>
        <v/>
      </c>
      <c r="Q209">
        <f>IF(E208&lt;=0,0,MIN(AJ209,E$7+IF(E$2=$AA209,$AC209,IF(E$2=$AF209,$AG209,0))))</f>
        <v/>
      </c>
      <c r="R209">
        <f>IF(F208&lt;=0,0,MIN(AK209,F$7+IF(F$2=$AA209,$AC209,IF(F$2=$AF209,$AG209,0))))</f>
        <v/>
      </c>
      <c r="S209">
        <f>IF(G208&lt;=0,0,MIN(AL209,G$7+IF(G$2=$AA209,$AC209,IF(G$2=$AF209,$AG209,0))))</f>
        <v/>
      </c>
      <c r="T209">
        <f>IF(H208&lt;=0,0,MIN(AM209,H$7+IF(H$2=$AA209,$AC209,IF(H$2=$AF209,$AG209,0))))</f>
        <v/>
      </c>
      <c r="U209">
        <f>IF(I208&lt;=0,0,MIN(AN209,I$7+IF(I$2=$AA209,$AC209,IF(I$2=$AF209,$AG209,0))))</f>
        <v/>
      </c>
      <c r="V209">
        <f>IF(J208&lt;=0,0,MIN(AO209,J$7+IF(J$2=$AA209,$AC209,IF(J$2=$AF209,$AG209,0))))</f>
        <v/>
      </c>
      <c r="W209">
        <f>IF(K208&lt;=0,0,MIN(AP209,K$7+IF(K$2=$AA209,$AC209,IF(K$2=$AF209,$AG209,0))))</f>
        <v/>
      </c>
      <c r="X209">
        <f>IF(L208&lt;=0,0,MIN(AQ209,L$7+IF(L$2=$AA209,$AC209,IF(L$2=$AF209,$AG209,0))))</f>
        <v/>
      </c>
      <c r="Y209">
        <f>IF(M208&lt;=0,0,MIN(AR209,M$7+IF(M$2=$AA209,$AC209,IF(M$2=$AF209,$AG209,0))))</f>
        <v/>
      </c>
      <c r="Z209">
        <f>IF(N208&lt;=0,0,MIN(AS209,N$7+IF(N$2=$AA209,$AC209,IF(N$2=$AF209,$AG209,0))))</f>
        <v/>
      </c>
      <c r="AA209">
        <f>IFERROR(ROUND(1/SUMPRODUCT(MAX((C208:N208&gt;0)*($C$3:$N$3&lt;=B209)/$C$2:$N$2)),0),0)</f>
        <v/>
      </c>
      <c r="AB209">
        <f>SUMPRODUCT((C208:N208&gt;0)*$C$7:$N$7)</f>
        <v/>
      </c>
      <c r="AC209">
        <f>MAX(0,Plan!$C$5-AB209)+IF(A209=Plan!$C$8,N(Plan!$C$7),0)</f>
        <v/>
      </c>
      <c r="AD209">
        <f>SUM(C209:N209)</f>
        <v/>
      </c>
      <c r="AE209">
        <f>SUM(O209:Z209)</f>
        <v/>
      </c>
      <c r="AF209">
        <f>IFERROR(ROUND(1/SUMPRODUCT(MAX((C208:N208&gt;0)*($C$3:$N$3&lt;=B209)*($C$2:$N$2&gt;AA209)/$C$2:$N$2)),0),0)</f>
        <v/>
      </c>
      <c r="AG209">
        <f>MAX(0,AC209-MAX(0,SUMPRODUCT(($C$2:$N$2=AA209)*(AH209:AS209-$C$7:$N$7))))</f>
        <v/>
      </c>
      <c r="AH209">
        <f>IF(C208&lt;=0,0,ROUND(C208*(1+IF(AND(C$6&gt;0,$B209&lt;C$6),C$4,C$5)/12),2))</f>
        <v/>
      </c>
      <c r="AI209">
        <f>IF(D208&lt;=0,0,ROUND(D208*(1+IF(AND(D$6&gt;0,$B209&lt;D$6),D$4,D$5)/12),2))</f>
        <v/>
      </c>
      <c r="AJ209">
        <f>IF(E208&lt;=0,0,ROUND(E208*(1+IF(AND(E$6&gt;0,$B209&lt;E$6),E$4,E$5)/12),2))</f>
        <v/>
      </c>
      <c r="AK209">
        <f>IF(F208&lt;=0,0,ROUND(F208*(1+IF(AND(F$6&gt;0,$B209&lt;F$6),F$4,F$5)/12),2))</f>
        <v/>
      </c>
      <c r="AL209">
        <f>IF(G208&lt;=0,0,ROUND(G208*(1+IF(AND(G$6&gt;0,$B209&lt;G$6),G$4,G$5)/12),2))</f>
        <v/>
      </c>
      <c r="AM209">
        <f>IF(H208&lt;=0,0,ROUND(H208*(1+IF(AND(H$6&gt;0,$B209&lt;H$6),H$4,H$5)/12),2))</f>
        <v/>
      </c>
      <c r="AN209">
        <f>IF(I208&lt;=0,0,ROUND(I208*(1+IF(AND(I$6&gt;0,$B209&lt;I$6),I$4,I$5)/12),2))</f>
        <v/>
      </c>
      <c r="AO209">
        <f>IF(J208&lt;=0,0,ROUND(J208*(1+IF(AND(J$6&gt;0,$B209&lt;J$6),J$4,J$5)/12),2))</f>
        <v/>
      </c>
      <c r="AP209">
        <f>IF(K208&lt;=0,0,ROUND(K208*(1+IF(AND(K$6&gt;0,$B209&lt;K$6),K$4,K$5)/12),2))</f>
        <v/>
      </c>
      <c r="AQ209">
        <f>IF(L208&lt;=0,0,ROUND(L208*(1+IF(AND(L$6&gt;0,$B209&lt;L$6),L$4,L$5)/12),2))</f>
        <v/>
      </c>
      <c r="AR209">
        <f>IF(M208&lt;=0,0,ROUND(M208*(1+IF(AND(M$6&gt;0,$B209&lt;M$6),M$4,M$5)/12),2))</f>
        <v/>
      </c>
      <c r="AS209">
        <f>IF(N208&lt;=0,0,ROUND(N208*(1+IF(AND(N$6&gt;0,$B209&lt;N$6),N$4,N$5)/12),2))</f>
        <v/>
      </c>
    </row>
    <row r="210">
      <c r="A210" t="n">
        <v>199</v>
      </c>
      <c r="B210">
        <f>EDATE(Plan!$C$6,198)</f>
        <v/>
      </c>
      <c r="C210">
        <f>IF(C209&lt;=0,0,MAX(0,AH210-O210))</f>
        <v/>
      </c>
      <c r="D210">
        <f>IF(D209&lt;=0,0,MAX(0,AI210-P210))</f>
        <v/>
      </c>
      <c r="E210">
        <f>IF(E209&lt;=0,0,MAX(0,AJ210-Q210))</f>
        <v/>
      </c>
      <c r="F210">
        <f>IF(F209&lt;=0,0,MAX(0,AK210-R210))</f>
        <v/>
      </c>
      <c r="G210">
        <f>IF(G209&lt;=0,0,MAX(0,AL210-S210))</f>
        <v/>
      </c>
      <c r="H210">
        <f>IF(H209&lt;=0,0,MAX(0,AM210-T210))</f>
        <v/>
      </c>
      <c r="I210">
        <f>IF(I209&lt;=0,0,MAX(0,AN210-U210))</f>
        <v/>
      </c>
      <c r="J210">
        <f>IF(J209&lt;=0,0,MAX(0,AO210-V210))</f>
        <v/>
      </c>
      <c r="K210">
        <f>IF(K209&lt;=0,0,MAX(0,AP210-W210))</f>
        <v/>
      </c>
      <c r="L210">
        <f>IF(L209&lt;=0,0,MAX(0,AQ210-X210))</f>
        <v/>
      </c>
      <c r="M210">
        <f>IF(M209&lt;=0,0,MAX(0,AR210-Y210))</f>
        <v/>
      </c>
      <c r="N210">
        <f>IF(N209&lt;=0,0,MAX(0,AS210-Z210))</f>
        <v/>
      </c>
      <c r="O210">
        <f>IF(C209&lt;=0,0,MIN(AH210,C$7+IF(C$2=$AA210,$AC210,IF(C$2=$AF210,$AG210,0))))</f>
        <v/>
      </c>
      <c r="P210">
        <f>IF(D209&lt;=0,0,MIN(AI210,D$7+IF(D$2=$AA210,$AC210,IF(D$2=$AF210,$AG210,0))))</f>
        <v/>
      </c>
      <c r="Q210">
        <f>IF(E209&lt;=0,0,MIN(AJ210,E$7+IF(E$2=$AA210,$AC210,IF(E$2=$AF210,$AG210,0))))</f>
        <v/>
      </c>
      <c r="R210">
        <f>IF(F209&lt;=0,0,MIN(AK210,F$7+IF(F$2=$AA210,$AC210,IF(F$2=$AF210,$AG210,0))))</f>
        <v/>
      </c>
      <c r="S210">
        <f>IF(G209&lt;=0,0,MIN(AL210,G$7+IF(G$2=$AA210,$AC210,IF(G$2=$AF210,$AG210,0))))</f>
        <v/>
      </c>
      <c r="T210">
        <f>IF(H209&lt;=0,0,MIN(AM210,H$7+IF(H$2=$AA210,$AC210,IF(H$2=$AF210,$AG210,0))))</f>
        <v/>
      </c>
      <c r="U210">
        <f>IF(I209&lt;=0,0,MIN(AN210,I$7+IF(I$2=$AA210,$AC210,IF(I$2=$AF210,$AG210,0))))</f>
        <v/>
      </c>
      <c r="V210">
        <f>IF(J209&lt;=0,0,MIN(AO210,J$7+IF(J$2=$AA210,$AC210,IF(J$2=$AF210,$AG210,0))))</f>
        <v/>
      </c>
      <c r="W210">
        <f>IF(K209&lt;=0,0,MIN(AP210,K$7+IF(K$2=$AA210,$AC210,IF(K$2=$AF210,$AG210,0))))</f>
        <v/>
      </c>
      <c r="X210">
        <f>IF(L209&lt;=0,0,MIN(AQ210,L$7+IF(L$2=$AA210,$AC210,IF(L$2=$AF210,$AG210,0))))</f>
        <v/>
      </c>
      <c r="Y210">
        <f>IF(M209&lt;=0,0,MIN(AR210,M$7+IF(M$2=$AA210,$AC210,IF(M$2=$AF210,$AG210,0))))</f>
        <v/>
      </c>
      <c r="Z210">
        <f>IF(N209&lt;=0,0,MIN(AS210,N$7+IF(N$2=$AA210,$AC210,IF(N$2=$AF210,$AG210,0))))</f>
        <v/>
      </c>
      <c r="AA210">
        <f>IFERROR(ROUND(1/SUMPRODUCT(MAX((C209:N209&gt;0)*($C$3:$N$3&lt;=B210)/$C$2:$N$2)),0),0)</f>
        <v/>
      </c>
      <c r="AB210">
        <f>SUMPRODUCT((C209:N209&gt;0)*$C$7:$N$7)</f>
        <v/>
      </c>
      <c r="AC210">
        <f>MAX(0,Plan!$C$5-AB210)+IF(A210=Plan!$C$8,N(Plan!$C$7),0)</f>
        <v/>
      </c>
      <c r="AD210">
        <f>SUM(C210:N210)</f>
        <v/>
      </c>
      <c r="AE210">
        <f>SUM(O210:Z210)</f>
        <v/>
      </c>
      <c r="AF210">
        <f>IFERROR(ROUND(1/SUMPRODUCT(MAX((C209:N209&gt;0)*($C$3:$N$3&lt;=B210)*($C$2:$N$2&gt;AA210)/$C$2:$N$2)),0),0)</f>
        <v/>
      </c>
      <c r="AG210">
        <f>MAX(0,AC210-MAX(0,SUMPRODUCT(($C$2:$N$2=AA210)*(AH210:AS210-$C$7:$N$7))))</f>
        <v/>
      </c>
      <c r="AH210">
        <f>IF(C209&lt;=0,0,ROUND(C209*(1+IF(AND(C$6&gt;0,$B210&lt;C$6),C$4,C$5)/12),2))</f>
        <v/>
      </c>
      <c r="AI210">
        <f>IF(D209&lt;=0,0,ROUND(D209*(1+IF(AND(D$6&gt;0,$B210&lt;D$6),D$4,D$5)/12),2))</f>
        <v/>
      </c>
      <c r="AJ210">
        <f>IF(E209&lt;=0,0,ROUND(E209*(1+IF(AND(E$6&gt;0,$B210&lt;E$6),E$4,E$5)/12),2))</f>
        <v/>
      </c>
      <c r="AK210">
        <f>IF(F209&lt;=0,0,ROUND(F209*(1+IF(AND(F$6&gt;0,$B210&lt;F$6),F$4,F$5)/12),2))</f>
        <v/>
      </c>
      <c r="AL210">
        <f>IF(G209&lt;=0,0,ROUND(G209*(1+IF(AND(G$6&gt;0,$B210&lt;G$6),G$4,G$5)/12),2))</f>
        <v/>
      </c>
      <c r="AM210">
        <f>IF(H209&lt;=0,0,ROUND(H209*(1+IF(AND(H$6&gt;0,$B210&lt;H$6),H$4,H$5)/12),2))</f>
        <v/>
      </c>
      <c r="AN210">
        <f>IF(I209&lt;=0,0,ROUND(I209*(1+IF(AND(I$6&gt;0,$B210&lt;I$6),I$4,I$5)/12),2))</f>
        <v/>
      </c>
      <c r="AO210">
        <f>IF(J209&lt;=0,0,ROUND(J209*(1+IF(AND(J$6&gt;0,$B210&lt;J$6),J$4,J$5)/12),2))</f>
        <v/>
      </c>
      <c r="AP210">
        <f>IF(K209&lt;=0,0,ROUND(K209*(1+IF(AND(K$6&gt;0,$B210&lt;K$6),K$4,K$5)/12),2))</f>
        <v/>
      </c>
      <c r="AQ210">
        <f>IF(L209&lt;=0,0,ROUND(L209*(1+IF(AND(L$6&gt;0,$B210&lt;L$6),L$4,L$5)/12),2))</f>
        <v/>
      </c>
      <c r="AR210">
        <f>IF(M209&lt;=0,0,ROUND(M209*(1+IF(AND(M$6&gt;0,$B210&lt;M$6),M$4,M$5)/12),2))</f>
        <v/>
      </c>
      <c r="AS210">
        <f>IF(N209&lt;=0,0,ROUND(N209*(1+IF(AND(N$6&gt;0,$B210&lt;N$6),N$4,N$5)/12),2))</f>
        <v/>
      </c>
    </row>
    <row r="211">
      <c r="A211" t="n">
        <v>200</v>
      </c>
      <c r="B211">
        <f>EDATE(Plan!$C$6,199)</f>
        <v/>
      </c>
      <c r="C211">
        <f>IF(C210&lt;=0,0,MAX(0,AH211-O211))</f>
        <v/>
      </c>
      <c r="D211">
        <f>IF(D210&lt;=0,0,MAX(0,AI211-P211))</f>
        <v/>
      </c>
      <c r="E211">
        <f>IF(E210&lt;=0,0,MAX(0,AJ211-Q211))</f>
        <v/>
      </c>
      <c r="F211">
        <f>IF(F210&lt;=0,0,MAX(0,AK211-R211))</f>
        <v/>
      </c>
      <c r="G211">
        <f>IF(G210&lt;=0,0,MAX(0,AL211-S211))</f>
        <v/>
      </c>
      <c r="H211">
        <f>IF(H210&lt;=0,0,MAX(0,AM211-T211))</f>
        <v/>
      </c>
      <c r="I211">
        <f>IF(I210&lt;=0,0,MAX(0,AN211-U211))</f>
        <v/>
      </c>
      <c r="J211">
        <f>IF(J210&lt;=0,0,MAX(0,AO211-V211))</f>
        <v/>
      </c>
      <c r="K211">
        <f>IF(K210&lt;=0,0,MAX(0,AP211-W211))</f>
        <v/>
      </c>
      <c r="L211">
        <f>IF(L210&lt;=0,0,MAX(0,AQ211-X211))</f>
        <v/>
      </c>
      <c r="M211">
        <f>IF(M210&lt;=0,0,MAX(0,AR211-Y211))</f>
        <v/>
      </c>
      <c r="N211">
        <f>IF(N210&lt;=0,0,MAX(0,AS211-Z211))</f>
        <v/>
      </c>
      <c r="O211">
        <f>IF(C210&lt;=0,0,MIN(AH211,C$7+IF(C$2=$AA211,$AC211,IF(C$2=$AF211,$AG211,0))))</f>
        <v/>
      </c>
      <c r="P211">
        <f>IF(D210&lt;=0,0,MIN(AI211,D$7+IF(D$2=$AA211,$AC211,IF(D$2=$AF211,$AG211,0))))</f>
        <v/>
      </c>
      <c r="Q211">
        <f>IF(E210&lt;=0,0,MIN(AJ211,E$7+IF(E$2=$AA211,$AC211,IF(E$2=$AF211,$AG211,0))))</f>
        <v/>
      </c>
      <c r="R211">
        <f>IF(F210&lt;=0,0,MIN(AK211,F$7+IF(F$2=$AA211,$AC211,IF(F$2=$AF211,$AG211,0))))</f>
        <v/>
      </c>
      <c r="S211">
        <f>IF(G210&lt;=0,0,MIN(AL211,G$7+IF(G$2=$AA211,$AC211,IF(G$2=$AF211,$AG211,0))))</f>
        <v/>
      </c>
      <c r="T211">
        <f>IF(H210&lt;=0,0,MIN(AM211,H$7+IF(H$2=$AA211,$AC211,IF(H$2=$AF211,$AG211,0))))</f>
        <v/>
      </c>
      <c r="U211">
        <f>IF(I210&lt;=0,0,MIN(AN211,I$7+IF(I$2=$AA211,$AC211,IF(I$2=$AF211,$AG211,0))))</f>
        <v/>
      </c>
      <c r="V211">
        <f>IF(J210&lt;=0,0,MIN(AO211,J$7+IF(J$2=$AA211,$AC211,IF(J$2=$AF211,$AG211,0))))</f>
        <v/>
      </c>
      <c r="W211">
        <f>IF(K210&lt;=0,0,MIN(AP211,K$7+IF(K$2=$AA211,$AC211,IF(K$2=$AF211,$AG211,0))))</f>
        <v/>
      </c>
      <c r="X211">
        <f>IF(L210&lt;=0,0,MIN(AQ211,L$7+IF(L$2=$AA211,$AC211,IF(L$2=$AF211,$AG211,0))))</f>
        <v/>
      </c>
      <c r="Y211">
        <f>IF(M210&lt;=0,0,MIN(AR211,M$7+IF(M$2=$AA211,$AC211,IF(M$2=$AF211,$AG211,0))))</f>
        <v/>
      </c>
      <c r="Z211">
        <f>IF(N210&lt;=0,0,MIN(AS211,N$7+IF(N$2=$AA211,$AC211,IF(N$2=$AF211,$AG211,0))))</f>
        <v/>
      </c>
      <c r="AA211">
        <f>IFERROR(ROUND(1/SUMPRODUCT(MAX((C210:N210&gt;0)*($C$3:$N$3&lt;=B211)/$C$2:$N$2)),0),0)</f>
        <v/>
      </c>
      <c r="AB211">
        <f>SUMPRODUCT((C210:N210&gt;0)*$C$7:$N$7)</f>
        <v/>
      </c>
      <c r="AC211">
        <f>MAX(0,Plan!$C$5-AB211)+IF(A211=Plan!$C$8,N(Plan!$C$7),0)</f>
        <v/>
      </c>
      <c r="AD211">
        <f>SUM(C211:N211)</f>
        <v/>
      </c>
      <c r="AE211">
        <f>SUM(O211:Z211)</f>
        <v/>
      </c>
      <c r="AF211">
        <f>IFERROR(ROUND(1/SUMPRODUCT(MAX((C210:N210&gt;0)*($C$3:$N$3&lt;=B211)*($C$2:$N$2&gt;AA211)/$C$2:$N$2)),0),0)</f>
        <v/>
      </c>
      <c r="AG211">
        <f>MAX(0,AC211-MAX(0,SUMPRODUCT(($C$2:$N$2=AA211)*(AH211:AS211-$C$7:$N$7))))</f>
        <v/>
      </c>
      <c r="AH211">
        <f>IF(C210&lt;=0,0,ROUND(C210*(1+IF(AND(C$6&gt;0,$B211&lt;C$6),C$4,C$5)/12),2))</f>
        <v/>
      </c>
      <c r="AI211">
        <f>IF(D210&lt;=0,0,ROUND(D210*(1+IF(AND(D$6&gt;0,$B211&lt;D$6),D$4,D$5)/12),2))</f>
        <v/>
      </c>
      <c r="AJ211">
        <f>IF(E210&lt;=0,0,ROUND(E210*(1+IF(AND(E$6&gt;0,$B211&lt;E$6),E$4,E$5)/12),2))</f>
        <v/>
      </c>
      <c r="AK211">
        <f>IF(F210&lt;=0,0,ROUND(F210*(1+IF(AND(F$6&gt;0,$B211&lt;F$6),F$4,F$5)/12),2))</f>
        <v/>
      </c>
      <c r="AL211">
        <f>IF(G210&lt;=0,0,ROUND(G210*(1+IF(AND(G$6&gt;0,$B211&lt;G$6),G$4,G$5)/12),2))</f>
        <v/>
      </c>
      <c r="AM211">
        <f>IF(H210&lt;=0,0,ROUND(H210*(1+IF(AND(H$6&gt;0,$B211&lt;H$6),H$4,H$5)/12),2))</f>
        <v/>
      </c>
      <c r="AN211">
        <f>IF(I210&lt;=0,0,ROUND(I210*(1+IF(AND(I$6&gt;0,$B211&lt;I$6),I$4,I$5)/12),2))</f>
        <v/>
      </c>
      <c r="AO211">
        <f>IF(J210&lt;=0,0,ROUND(J210*(1+IF(AND(J$6&gt;0,$B211&lt;J$6),J$4,J$5)/12),2))</f>
        <v/>
      </c>
      <c r="AP211">
        <f>IF(K210&lt;=0,0,ROUND(K210*(1+IF(AND(K$6&gt;0,$B211&lt;K$6),K$4,K$5)/12),2))</f>
        <v/>
      </c>
      <c r="AQ211">
        <f>IF(L210&lt;=0,0,ROUND(L210*(1+IF(AND(L$6&gt;0,$B211&lt;L$6),L$4,L$5)/12),2))</f>
        <v/>
      </c>
      <c r="AR211">
        <f>IF(M210&lt;=0,0,ROUND(M210*(1+IF(AND(M$6&gt;0,$B211&lt;M$6),M$4,M$5)/12),2))</f>
        <v/>
      </c>
      <c r="AS211">
        <f>IF(N210&lt;=0,0,ROUND(N210*(1+IF(AND(N$6&gt;0,$B211&lt;N$6),N$4,N$5)/12),2))</f>
        <v/>
      </c>
    </row>
    <row r="212">
      <c r="A212" t="n">
        <v>201</v>
      </c>
      <c r="B212">
        <f>EDATE(Plan!$C$6,200)</f>
        <v/>
      </c>
      <c r="C212">
        <f>IF(C211&lt;=0,0,MAX(0,AH212-O212))</f>
        <v/>
      </c>
      <c r="D212">
        <f>IF(D211&lt;=0,0,MAX(0,AI212-P212))</f>
        <v/>
      </c>
      <c r="E212">
        <f>IF(E211&lt;=0,0,MAX(0,AJ212-Q212))</f>
        <v/>
      </c>
      <c r="F212">
        <f>IF(F211&lt;=0,0,MAX(0,AK212-R212))</f>
        <v/>
      </c>
      <c r="G212">
        <f>IF(G211&lt;=0,0,MAX(0,AL212-S212))</f>
        <v/>
      </c>
      <c r="H212">
        <f>IF(H211&lt;=0,0,MAX(0,AM212-T212))</f>
        <v/>
      </c>
      <c r="I212">
        <f>IF(I211&lt;=0,0,MAX(0,AN212-U212))</f>
        <v/>
      </c>
      <c r="J212">
        <f>IF(J211&lt;=0,0,MAX(0,AO212-V212))</f>
        <v/>
      </c>
      <c r="K212">
        <f>IF(K211&lt;=0,0,MAX(0,AP212-W212))</f>
        <v/>
      </c>
      <c r="L212">
        <f>IF(L211&lt;=0,0,MAX(0,AQ212-X212))</f>
        <v/>
      </c>
      <c r="M212">
        <f>IF(M211&lt;=0,0,MAX(0,AR212-Y212))</f>
        <v/>
      </c>
      <c r="N212">
        <f>IF(N211&lt;=0,0,MAX(0,AS212-Z212))</f>
        <v/>
      </c>
      <c r="O212">
        <f>IF(C211&lt;=0,0,MIN(AH212,C$7+IF(C$2=$AA212,$AC212,IF(C$2=$AF212,$AG212,0))))</f>
        <v/>
      </c>
      <c r="P212">
        <f>IF(D211&lt;=0,0,MIN(AI212,D$7+IF(D$2=$AA212,$AC212,IF(D$2=$AF212,$AG212,0))))</f>
        <v/>
      </c>
      <c r="Q212">
        <f>IF(E211&lt;=0,0,MIN(AJ212,E$7+IF(E$2=$AA212,$AC212,IF(E$2=$AF212,$AG212,0))))</f>
        <v/>
      </c>
      <c r="R212">
        <f>IF(F211&lt;=0,0,MIN(AK212,F$7+IF(F$2=$AA212,$AC212,IF(F$2=$AF212,$AG212,0))))</f>
        <v/>
      </c>
      <c r="S212">
        <f>IF(G211&lt;=0,0,MIN(AL212,G$7+IF(G$2=$AA212,$AC212,IF(G$2=$AF212,$AG212,0))))</f>
        <v/>
      </c>
      <c r="T212">
        <f>IF(H211&lt;=0,0,MIN(AM212,H$7+IF(H$2=$AA212,$AC212,IF(H$2=$AF212,$AG212,0))))</f>
        <v/>
      </c>
      <c r="U212">
        <f>IF(I211&lt;=0,0,MIN(AN212,I$7+IF(I$2=$AA212,$AC212,IF(I$2=$AF212,$AG212,0))))</f>
        <v/>
      </c>
      <c r="V212">
        <f>IF(J211&lt;=0,0,MIN(AO212,J$7+IF(J$2=$AA212,$AC212,IF(J$2=$AF212,$AG212,0))))</f>
        <v/>
      </c>
      <c r="W212">
        <f>IF(K211&lt;=0,0,MIN(AP212,K$7+IF(K$2=$AA212,$AC212,IF(K$2=$AF212,$AG212,0))))</f>
        <v/>
      </c>
      <c r="X212">
        <f>IF(L211&lt;=0,0,MIN(AQ212,L$7+IF(L$2=$AA212,$AC212,IF(L$2=$AF212,$AG212,0))))</f>
        <v/>
      </c>
      <c r="Y212">
        <f>IF(M211&lt;=0,0,MIN(AR212,M$7+IF(M$2=$AA212,$AC212,IF(M$2=$AF212,$AG212,0))))</f>
        <v/>
      </c>
      <c r="Z212">
        <f>IF(N211&lt;=0,0,MIN(AS212,N$7+IF(N$2=$AA212,$AC212,IF(N$2=$AF212,$AG212,0))))</f>
        <v/>
      </c>
      <c r="AA212">
        <f>IFERROR(ROUND(1/SUMPRODUCT(MAX((C211:N211&gt;0)*($C$3:$N$3&lt;=B212)/$C$2:$N$2)),0),0)</f>
        <v/>
      </c>
      <c r="AB212">
        <f>SUMPRODUCT((C211:N211&gt;0)*$C$7:$N$7)</f>
        <v/>
      </c>
      <c r="AC212">
        <f>MAX(0,Plan!$C$5-AB212)+IF(A212=Plan!$C$8,N(Plan!$C$7),0)</f>
        <v/>
      </c>
      <c r="AD212">
        <f>SUM(C212:N212)</f>
        <v/>
      </c>
      <c r="AE212">
        <f>SUM(O212:Z212)</f>
        <v/>
      </c>
      <c r="AF212">
        <f>IFERROR(ROUND(1/SUMPRODUCT(MAX((C211:N211&gt;0)*($C$3:$N$3&lt;=B212)*($C$2:$N$2&gt;AA212)/$C$2:$N$2)),0),0)</f>
        <v/>
      </c>
      <c r="AG212">
        <f>MAX(0,AC212-MAX(0,SUMPRODUCT(($C$2:$N$2=AA212)*(AH212:AS212-$C$7:$N$7))))</f>
        <v/>
      </c>
      <c r="AH212">
        <f>IF(C211&lt;=0,0,ROUND(C211*(1+IF(AND(C$6&gt;0,$B212&lt;C$6),C$4,C$5)/12),2))</f>
        <v/>
      </c>
      <c r="AI212">
        <f>IF(D211&lt;=0,0,ROUND(D211*(1+IF(AND(D$6&gt;0,$B212&lt;D$6),D$4,D$5)/12),2))</f>
        <v/>
      </c>
      <c r="AJ212">
        <f>IF(E211&lt;=0,0,ROUND(E211*(1+IF(AND(E$6&gt;0,$B212&lt;E$6),E$4,E$5)/12),2))</f>
        <v/>
      </c>
      <c r="AK212">
        <f>IF(F211&lt;=0,0,ROUND(F211*(1+IF(AND(F$6&gt;0,$B212&lt;F$6),F$4,F$5)/12),2))</f>
        <v/>
      </c>
      <c r="AL212">
        <f>IF(G211&lt;=0,0,ROUND(G211*(1+IF(AND(G$6&gt;0,$B212&lt;G$6),G$4,G$5)/12),2))</f>
        <v/>
      </c>
      <c r="AM212">
        <f>IF(H211&lt;=0,0,ROUND(H211*(1+IF(AND(H$6&gt;0,$B212&lt;H$6),H$4,H$5)/12),2))</f>
        <v/>
      </c>
      <c r="AN212">
        <f>IF(I211&lt;=0,0,ROUND(I211*(1+IF(AND(I$6&gt;0,$B212&lt;I$6),I$4,I$5)/12),2))</f>
        <v/>
      </c>
      <c r="AO212">
        <f>IF(J211&lt;=0,0,ROUND(J211*(1+IF(AND(J$6&gt;0,$B212&lt;J$6),J$4,J$5)/12),2))</f>
        <v/>
      </c>
      <c r="AP212">
        <f>IF(K211&lt;=0,0,ROUND(K211*(1+IF(AND(K$6&gt;0,$B212&lt;K$6),K$4,K$5)/12),2))</f>
        <v/>
      </c>
      <c r="AQ212">
        <f>IF(L211&lt;=0,0,ROUND(L211*(1+IF(AND(L$6&gt;0,$B212&lt;L$6),L$4,L$5)/12),2))</f>
        <v/>
      </c>
      <c r="AR212">
        <f>IF(M211&lt;=0,0,ROUND(M211*(1+IF(AND(M$6&gt;0,$B212&lt;M$6),M$4,M$5)/12),2))</f>
        <v/>
      </c>
      <c r="AS212">
        <f>IF(N211&lt;=0,0,ROUND(N211*(1+IF(AND(N$6&gt;0,$B212&lt;N$6),N$4,N$5)/12),2))</f>
        <v/>
      </c>
    </row>
    <row r="213">
      <c r="A213" t="n">
        <v>202</v>
      </c>
      <c r="B213">
        <f>EDATE(Plan!$C$6,201)</f>
        <v/>
      </c>
      <c r="C213">
        <f>IF(C212&lt;=0,0,MAX(0,AH213-O213))</f>
        <v/>
      </c>
      <c r="D213">
        <f>IF(D212&lt;=0,0,MAX(0,AI213-P213))</f>
        <v/>
      </c>
      <c r="E213">
        <f>IF(E212&lt;=0,0,MAX(0,AJ213-Q213))</f>
        <v/>
      </c>
      <c r="F213">
        <f>IF(F212&lt;=0,0,MAX(0,AK213-R213))</f>
        <v/>
      </c>
      <c r="G213">
        <f>IF(G212&lt;=0,0,MAX(0,AL213-S213))</f>
        <v/>
      </c>
      <c r="H213">
        <f>IF(H212&lt;=0,0,MAX(0,AM213-T213))</f>
        <v/>
      </c>
      <c r="I213">
        <f>IF(I212&lt;=0,0,MAX(0,AN213-U213))</f>
        <v/>
      </c>
      <c r="J213">
        <f>IF(J212&lt;=0,0,MAX(0,AO213-V213))</f>
        <v/>
      </c>
      <c r="K213">
        <f>IF(K212&lt;=0,0,MAX(0,AP213-W213))</f>
        <v/>
      </c>
      <c r="L213">
        <f>IF(L212&lt;=0,0,MAX(0,AQ213-X213))</f>
        <v/>
      </c>
      <c r="M213">
        <f>IF(M212&lt;=0,0,MAX(0,AR213-Y213))</f>
        <v/>
      </c>
      <c r="N213">
        <f>IF(N212&lt;=0,0,MAX(0,AS213-Z213))</f>
        <v/>
      </c>
      <c r="O213">
        <f>IF(C212&lt;=0,0,MIN(AH213,C$7+IF(C$2=$AA213,$AC213,IF(C$2=$AF213,$AG213,0))))</f>
        <v/>
      </c>
      <c r="P213">
        <f>IF(D212&lt;=0,0,MIN(AI213,D$7+IF(D$2=$AA213,$AC213,IF(D$2=$AF213,$AG213,0))))</f>
        <v/>
      </c>
      <c r="Q213">
        <f>IF(E212&lt;=0,0,MIN(AJ213,E$7+IF(E$2=$AA213,$AC213,IF(E$2=$AF213,$AG213,0))))</f>
        <v/>
      </c>
      <c r="R213">
        <f>IF(F212&lt;=0,0,MIN(AK213,F$7+IF(F$2=$AA213,$AC213,IF(F$2=$AF213,$AG213,0))))</f>
        <v/>
      </c>
      <c r="S213">
        <f>IF(G212&lt;=0,0,MIN(AL213,G$7+IF(G$2=$AA213,$AC213,IF(G$2=$AF213,$AG213,0))))</f>
        <v/>
      </c>
      <c r="T213">
        <f>IF(H212&lt;=0,0,MIN(AM213,H$7+IF(H$2=$AA213,$AC213,IF(H$2=$AF213,$AG213,0))))</f>
        <v/>
      </c>
      <c r="U213">
        <f>IF(I212&lt;=0,0,MIN(AN213,I$7+IF(I$2=$AA213,$AC213,IF(I$2=$AF213,$AG213,0))))</f>
        <v/>
      </c>
      <c r="V213">
        <f>IF(J212&lt;=0,0,MIN(AO213,J$7+IF(J$2=$AA213,$AC213,IF(J$2=$AF213,$AG213,0))))</f>
        <v/>
      </c>
      <c r="W213">
        <f>IF(K212&lt;=0,0,MIN(AP213,K$7+IF(K$2=$AA213,$AC213,IF(K$2=$AF213,$AG213,0))))</f>
        <v/>
      </c>
      <c r="X213">
        <f>IF(L212&lt;=0,0,MIN(AQ213,L$7+IF(L$2=$AA213,$AC213,IF(L$2=$AF213,$AG213,0))))</f>
        <v/>
      </c>
      <c r="Y213">
        <f>IF(M212&lt;=0,0,MIN(AR213,M$7+IF(M$2=$AA213,$AC213,IF(M$2=$AF213,$AG213,0))))</f>
        <v/>
      </c>
      <c r="Z213">
        <f>IF(N212&lt;=0,0,MIN(AS213,N$7+IF(N$2=$AA213,$AC213,IF(N$2=$AF213,$AG213,0))))</f>
        <v/>
      </c>
      <c r="AA213">
        <f>IFERROR(ROUND(1/SUMPRODUCT(MAX((C212:N212&gt;0)*($C$3:$N$3&lt;=B213)/$C$2:$N$2)),0),0)</f>
        <v/>
      </c>
      <c r="AB213">
        <f>SUMPRODUCT((C212:N212&gt;0)*$C$7:$N$7)</f>
        <v/>
      </c>
      <c r="AC213">
        <f>MAX(0,Plan!$C$5-AB213)+IF(A213=Plan!$C$8,N(Plan!$C$7),0)</f>
        <v/>
      </c>
      <c r="AD213">
        <f>SUM(C213:N213)</f>
        <v/>
      </c>
      <c r="AE213">
        <f>SUM(O213:Z213)</f>
        <v/>
      </c>
      <c r="AF213">
        <f>IFERROR(ROUND(1/SUMPRODUCT(MAX((C212:N212&gt;0)*($C$3:$N$3&lt;=B213)*($C$2:$N$2&gt;AA213)/$C$2:$N$2)),0),0)</f>
        <v/>
      </c>
      <c r="AG213">
        <f>MAX(0,AC213-MAX(0,SUMPRODUCT(($C$2:$N$2=AA213)*(AH213:AS213-$C$7:$N$7))))</f>
        <v/>
      </c>
      <c r="AH213">
        <f>IF(C212&lt;=0,0,ROUND(C212*(1+IF(AND(C$6&gt;0,$B213&lt;C$6),C$4,C$5)/12),2))</f>
        <v/>
      </c>
      <c r="AI213">
        <f>IF(D212&lt;=0,0,ROUND(D212*(1+IF(AND(D$6&gt;0,$B213&lt;D$6),D$4,D$5)/12),2))</f>
        <v/>
      </c>
      <c r="AJ213">
        <f>IF(E212&lt;=0,0,ROUND(E212*(1+IF(AND(E$6&gt;0,$B213&lt;E$6),E$4,E$5)/12),2))</f>
        <v/>
      </c>
      <c r="AK213">
        <f>IF(F212&lt;=0,0,ROUND(F212*(1+IF(AND(F$6&gt;0,$B213&lt;F$6),F$4,F$5)/12),2))</f>
        <v/>
      </c>
      <c r="AL213">
        <f>IF(G212&lt;=0,0,ROUND(G212*(1+IF(AND(G$6&gt;0,$B213&lt;G$6),G$4,G$5)/12),2))</f>
        <v/>
      </c>
      <c r="AM213">
        <f>IF(H212&lt;=0,0,ROUND(H212*(1+IF(AND(H$6&gt;0,$B213&lt;H$6),H$4,H$5)/12),2))</f>
        <v/>
      </c>
      <c r="AN213">
        <f>IF(I212&lt;=0,0,ROUND(I212*(1+IF(AND(I$6&gt;0,$B213&lt;I$6),I$4,I$5)/12),2))</f>
        <v/>
      </c>
      <c r="AO213">
        <f>IF(J212&lt;=0,0,ROUND(J212*(1+IF(AND(J$6&gt;0,$B213&lt;J$6),J$4,J$5)/12),2))</f>
        <v/>
      </c>
      <c r="AP213">
        <f>IF(K212&lt;=0,0,ROUND(K212*(1+IF(AND(K$6&gt;0,$B213&lt;K$6),K$4,K$5)/12),2))</f>
        <v/>
      </c>
      <c r="AQ213">
        <f>IF(L212&lt;=0,0,ROUND(L212*(1+IF(AND(L$6&gt;0,$B213&lt;L$6),L$4,L$5)/12),2))</f>
        <v/>
      </c>
      <c r="AR213">
        <f>IF(M212&lt;=0,0,ROUND(M212*(1+IF(AND(M$6&gt;0,$B213&lt;M$6),M$4,M$5)/12),2))</f>
        <v/>
      </c>
      <c r="AS213">
        <f>IF(N212&lt;=0,0,ROUND(N212*(1+IF(AND(N$6&gt;0,$B213&lt;N$6),N$4,N$5)/12),2))</f>
        <v/>
      </c>
    </row>
    <row r="214">
      <c r="A214" t="n">
        <v>203</v>
      </c>
      <c r="B214">
        <f>EDATE(Plan!$C$6,202)</f>
        <v/>
      </c>
      <c r="C214">
        <f>IF(C213&lt;=0,0,MAX(0,AH214-O214))</f>
        <v/>
      </c>
      <c r="D214">
        <f>IF(D213&lt;=0,0,MAX(0,AI214-P214))</f>
        <v/>
      </c>
      <c r="E214">
        <f>IF(E213&lt;=0,0,MAX(0,AJ214-Q214))</f>
        <v/>
      </c>
      <c r="F214">
        <f>IF(F213&lt;=0,0,MAX(0,AK214-R214))</f>
        <v/>
      </c>
      <c r="G214">
        <f>IF(G213&lt;=0,0,MAX(0,AL214-S214))</f>
        <v/>
      </c>
      <c r="H214">
        <f>IF(H213&lt;=0,0,MAX(0,AM214-T214))</f>
        <v/>
      </c>
      <c r="I214">
        <f>IF(I213&lt;=0,0,MAX(0,AN214-U214))</f>
        <v/>
      </c>
      <c r="J214">
        <f>IF(J213&lt;=0,0,MAX(0,AO214-V214))</f>
        <v/>
      </c>
      <c r="K214">
        <f>IF(K213&lt;=0,0,MAX(0,AP214-W214))</f>
        <v/>
      </c>
      <c r="L214">
        <f>IF(L213&lt;=0,0,MAX(0,AQ214-X214))</f>
        <v/>
      </c>
      <c r="M214">
        <f>IF(M213&lt;=0,0,MAX(0,AR214-Y214))</f>
        <v/>
      </c>
      <c r="N214">
        <f>IF(N213&lt;=0,0,MAX(0,AS214-Z214))</f>
        <v/>
      </c>
      <c r="O214">
        <f>IF(C213&lt;=0,0,MIN(AH214,C$7+IF(C$2=$AA214,$AC214,IF(C$2=$AF214,$AG214,0))))</f>
        <v/>
      </c>
      <c r="P214">
        <f>IF(D213&lt;=0,0,MIN(AI214,D$7+IF(D$2=$AA214,$AC214,IF(D$2=$AF214,$AG214,0))))</f>
        <v/>
      </c>
      <c r="Q214">
        <f>IF(E213&lt;=0,0,MIN(AJ214,E$7+IF(E$2=$AA214,$AC214,IF(E$2=$AF214,$AG214,0))))</f>
        <v/>
      </c>
      <c r="R214">
        <f>IF(F213&lt;=0,0,MIN(AK214,F$7+IF(F$2=$AA214,$AC214,IF(F$2=$AF214,$AG214,0))))</f>
        <v/>
      </c>
      <c r="S214">
        <f>IF(G213&lt;=0,0,MIN(AL214,G$7+IF(G$2=$AA214,$AC214,IF(G$2=$AF214,$AG214,0))))</f>
        <v/>
      </c>
      <c r="T214">
        <f>IF(H213&lt;=0,0,MIN(AM214,H$7+IF(H$2=$AA214,$AC214,IF(H$2=$AF214,$AG214,0))))</f>
        <v/>
      </c>
      <c r="U214">
        <f>IF(I213&lt;=0,0,MIN(AN214,I$7+IF(I$2=$AA214,$AC214,IF(I$2=$AF214,$AG214,0))))</f>
        <v/>
      </c>
      <c r="V214">
        <f>IF(J213&lt;=0,0,MIN(AO214,J$7+IF(J$2=$AA214,$AC214,IF(J$2=$AF214,$AG214,0))))</f>
        <v/>
      </c>
      <c r="W214">
        <f>IF(K213&lt;=0,0,MIN(AP214,K$7+IF(K$2=$AA214,$AC214,IF(K$2=$AF214,$AG214,0))))</f>
        <v/>
      </c>
      <c r="X214">
        <f>IF(L213&lt;=0,0,MIN(AQ214,L$7+IF(L$2=$AA214,$AC214,IF(L$2=$AF214,$AG214,0))))</f>
        <v/>
      </c>
      <c r="Y214">
        <f>IF(M213&lt;=0,0,MIN(AR214,M$7+IF(M$2=$AA214,$AC214,IF(M$2=$AF214,$AG214,0))))</f>
        <v/>
      </c>
      <c r="Z214">
        <f>IF(N213&lt;=0,0,MIN(AS214,N$7+IF(N$2=$AA214,$AC214,IF(N$2=$AF214,$AG214,0))))</f>
        <v/>
      </c>
      <c r="AA214">
        <f>IFERROR(ROUND(1/SUMPRODUCT(MAX((C213:N213&gt;0)*($C$3:$N$3&lt;=B214)/$C$2:$N$2)),0),0)</f>
        <v/>
      </c>
      <c r="AB214">
        <f>SUMPRODUCT((C213:N213&gt;0)*$C$7:$N$7)</f>
        <v/>
      </c>
      <c r="AC214">
        <f>MAX(0,Plan!$C$5-AB214)+IF(A214=Plan!$C$8,N(Plan!$C$7),0)</f>
        <v/>
      </c>
      <c r="AD214">
        <f>SUM(C214:N214)</f>
        <v/>
      </c>
      <c r="AE214">
        <f>SUM(O214:Z214)</f>
        <v/>
      </c>
      <c r="AF214">
        <f>IFERROR(ROUND(1/SUMPRODUCT(MAX((C213:N213&gt;0)*($C$3:$N$3&lt;=B214)*($C$2:$N$2&gt;AA214)/$C$2:$N$2)),0),0)</f>
        <v/>
      </c>
      <c r="AG214">
        <f>MAX(0,AC214-MAX(0,SUMPRODUCT(($C$2:$N$2=AA214)*(AH214:AS214-$C$7:$N$7))))</f>
        <v/>
      </c>
      <c r="AH214">
        <f>IF(C213&lt;=0,0,ROUND(C213*(1+IF(AND(C$6&gt;0,$B214&lt;C$6),C$4,C$5)/12),2))</f>
        <v/>
      </c>
      <c r="AI214">
        <f>IF(D213&lt;=0,0,ROUND(D213*(1+IF(AND(D$6&gt;0,$B214&lt;D$6),D$4,D$5)/12),2))</f>
        <v/>
      </c>
      <c r="AJ214">
        <f>IF(E213&lt;=0,0,ROUND(E213*(1+IF(AND(E$6&gt;0,$B214&lt;E$6),E$4,E$5)/12),2))</f>
        <v/>
      </c>
      <c r="AK214">
        <f>IF(F213&lt;=0,0,ROUND(F213*(1+IF(AND(F$6&gt;0,$B214&lt;F$6),F$4,F$5)/12),2))</f>
        <v/>
      </c>
      <c r="AL214">
        <f>IF(G213&lt;=0,0,ROUND(G213*(1+IF(AND(G$6&gt;0,$B214&lt;G$6),G$4,G$5)/12),2))</f>
        <v/>
      </c>
      <c r="AM214">
        <f>IF(H213&lt;=0,0,ROUND(H213*(1+IF(AND(H$6&gt;0,$B214&lt;H$6),H$4,H$5)/12),2))</f>
        <v/>
      </c>
      <c r="AN214">
        <f>IF(I213&lt;=0,0,ROUND(I213*(1+IF(AND(I$6&gt;0,$B214&lt;I$6),I$4,I$5)/12),2))</f>
        <v/>
      </c>
      <c r="AO214">
        <f>IF(J213&lt;=0,0,ROUND(J213*(1+IF(AND(J$6&gt;0,$B214&lt;J$6),J$4,J$5)/12),2))</f>
        <v/>
      </c>
      <c r="AP214">
        <f>IF(K213&lt;=0,0,ROUND(K213*(1+IF(AND(K$6&gt;0,$B214&lt;K$6),K$4,K$5)/12),2))</f>
        <v/>
      </c>
      <c r="AQ214">
        <f>IF(L213&lt;=0,0,ROUND(L213*(1+IF(AND(L$6&gt;0,$B214&lt;L$6),L$4,L$5)/12),2))</f>
        <v/>
      </c>
      <c r="AR214">
        <f>IF(M213&lt;=0,0,ROUND(M213*(1+IF(AND(M$6&gt;0,$B214&lt;M$6),M$4,M$5)/12),2))</f>
        <v/>
      </c>
      <c r="AS214">
        <f>IF(N213&lt;=0,0,ROUND(N213*(1+IF(AND(N$6&gt;0,$B214&lt;N$6),N$4,N$5)/12),2))</f>
        <v/>
      </c>
    </row>
    <row r="215">
      <c r="A215" t="n">
        <v>204</v>
      </c>
      <c r="B215">
        <f>EDATE(Plan!$C$6,203)</f>
        <v/>
      </c>
      <c r="C215">
        <f>IF(C214&lt;=0,0,MAX(0,AH215-O215))</f>
        <v/>
      </c>
      <c r="D215">
        <f>IF(D214&lt;=0,0,MAX(0,AI215-P215))</f>
        <v/>
      </c>
      <c r="E215">
        <f>IF(E214&lt;=0,0,MAX(0,AJ215-Q215))</f>
        <v/>
      </c>
      <c r="F215">
        <f>IF(F214&lt;=0,0,MAX(0,AK215-R215))</f>
        <v/>
      </c>
      <c r="G215">
        <f>IF(G214&lt;=0,0,MAX(0,AL215-S215))</f>
        <v/>
      </c>
      <c r="H215">
        <f>IF(H214&lt;=0,0,MAX(0,AM215-T215))</f>
        <v/>
      </c>
      <c r="I215">
        <f>IF(I214&lt;=0,0,MAX(0,AN215-U215))</f>
        <v/>
      </c>
      <c r="J215">
        <f>IF(J214&lt;=0,0,MAX(0,AO215-V215))</f>
        <v/>
      </c>
      <c r="K215">
        <f>IF(K214&lt;=0,0,MAX(0,AP215-W215))</f>
        <v/>
      </c>
      <c r="L215">
        <f>IF(L214&lt;=0,0,MAX(0,AQ215-X215))</f>
        <v/>
      </c>
      <c r="M215">
        <f>IF(M214&lt;=0,0,MAX(0,AR215-Y215))</f>
        <v/>
      </c>
      <c r="N215">
        <f>IF(N214&lt;=0,0,MAX(0,AS215-Z215))</f>
        <v/>
      </c>
      <c r="O215">
        <f>IF(C214&lt;=0,0,MIN(AH215,C$7+IF(C$2=$AA215,$AC215,IF(C$2=$AF215,$AG215,0))))</f>
        <v/>
      </c>
      <c r="P215">
        <f>IF(D214&lt;=0,0,MIN(AI215,D$7+IF(D$2=$AA215,$AC215,IF(D$2=$AF215,$AG215,0))))</f>
        <v/>
      </c>
      <c r="Q215">
        <f>IF(E214&lt;=0,0,MIN(AJ215,E$7+IF(E$2=$AA215,$AC215,IF(E$2=$AF215,$AG215,0))))</f>
        <v/>
      </c>
      <c r="R215">
        <f>IF(F214&lt;=0,0,MIN(AK215,F$7+IF(F$2=$AA215,$AC215,IF(F$2=$AF215,$AG215,0))))</f>
        <v/>
      </c>
      <c r="S215">
        <f>IF(G214&lt;=0,0,MIN(AL215,G$7+IF(G$2=$AA215,$AC215,IF(G$2=$AF215,$AG215,0))))</f>
        <v/>
      </c>
      <c r="T215">
        <f>IF(H214&lt;=0,0,MIN(AM215,H$7+IF(H$2=$AA215,$AC215,IF(H$2=$AF215,$AG215,0))))</f>
        <v/>
      </c>
      <c r="U215">
        <f>IF(I214&lt;=0,0,MIN(AN215,I$7+IF(I$2=$AA215,$AC215,IF(I$2=$AF215,$AG215,0))))</f>
        <v/>
      </c>
      <c r="V215">
        <f>IF(J214&lt;=0,0,MIN(AO215,J$7+IF(J$2=$AA215,$AC215,IF(J$2=$AF215,$AG215,0))))</f>
        <v/>
      </c>
      <c r="W215">
        <f>IF(K214&lt;=0,0,MIN(AP215,K$7+IF(K$2=$AA215,$AC215,IF(K$2=$AF215,$AG215,0))))</f>
        <v/>
      </c>
      <c r="X215">
        <f>IF(L214&lt;=0,0,MIN(AQ215,L$7+IF(L$2=$AA215,$AC215,IF(L$2=$AF215,$AG215,0))))</f>
        <v/>
      </c>
      <c r="Y215">
        <f>IF(M214&lt;=0,0,MIN(AR215,M$7+IF(M$2=$AA215,$AC215,IF(M$2=$AF215,$AG215,0))))</f>
        <v/>
      </c>
      <c r="Z215">
        <f>IF(N214&lt;=0,0,MIN(AS215,N$7+IF(N$2=$AA215,$AC215,IF(N$2=$AF215,$AG215,0))))</f>
        <v/>
      </c>
      <c r="AA215">
        <f>IFERROR(ROUND(1/SUMPRODUCT(MAX((C214:N214&gt;0)*($C$3:$N$3&lt;=B215)/$C$2:$N$2)),0),0)</f>
        <v/>
      </c>
      <c r="AB215">
        <f>SUMPRODUCT((C214:N214&gt;0)*$C$7:$N$7)</f>
        <v/>
      </c>
      <c r="AC215">
        <f>MAX(0,Plan!$C$5-AB215)+IF(A215=Plan!$C$8,N(Plan!$C$7),0)</f>
        <v/>
      </c>
      <c r="AD215">
        <f>SUM(C215:N215)</f>
        <v/>
      </c>
      <c r="AE215">
        <f>SUM(O215:Z215)</f>
        <v/>
      </c>
      <c r="AF215">
        <f>IFERROR(ROUND(1/SUMPRODUCT(MAX((C214:N214&gt;0)*($C$3:$N$3&lt;=B215)*($C$2:$N$2&gt;AA215)/$C$2:$N$2)),0),0)</f>
        <v/>
      </c>
      <c r="AG215">
        <f>MAX(0,AC215-MAX(0,SUMPRODUCT(($C$2:$N$2=AA215)*(AH215:AS215-$C$7:$N$7))))</f>
        <v/>
      </c>
      <c r="AH215">
        <f>IF(C214&lt;=0,0,ROUND(C214*(1+IF(AND(C$6&gt;0,$B215&lt;C$6),C$4,C$5)/12),2))</f>
        <v/>
      </c>
      <c r="AI215">
        <f>IF(D214&lt;=0,0,ROUND(D214*(1+IF(AND(D$6&gt;0,$B215&lt;D$6),D$4,D$5)/12),2))</f>
        <v/>
      </c>
      <c r="AJ215">
        <f>IF(E214&lt;=0,0,ROUND(E214*(1+IF(AND(E$6&gt;0,$B215&lt;E$6),E$4,E$5)/12),2))</f>
        <v/>
      </c>
      <c r="AK215">
        <f>IF(F214&lt;=0,0,ROUND(F214*(1+IF(AND(F$6&gt;0,$B215&lt;F$6),F$4,F$5)/12),2))</f>
        <v/>
      </c>
      <c r="AL215">
        <f>IF(G214&lt;=0,0,ROUND(G214*(1+IF(AND(G$6&gt;0,$B215&lt;G$6),G$4,G$5)/12),2))</f>
        <v/>
      </c>
      <c r="AM215">
        <f>IF(H214&lt;=0,0,ROUND(H214*(1+IF(AND(H$6&gt;0,$B215&lt;H$6),H$4,H$5)/12),2))</f>
        <v/>
      </c>
      <c r="AN215">
        <f>IF(I214&lt;=0,0,ROUND(I214*(1+IF(AND(I$6&gt;0,$B215&lt;I$6),I$4,I$5)/12),2))</f>
        <v/>
      </c>
      <c r="AO215">
        <f>IF(J214&lt;=0,0,ROUND(J214*(1+IF(AND(J$6&gt;0,$B215&lt;J$6),J$4,J$5)/12),2))</f>
        <v/>
      </c>
      <c r="AP215">
        <f>IF(K214&lt;=0,0,ROUND(K214*(1+IF(AND(K$6&gt;0,$B215&lt;K$6),K$4,K$5)/12),2))</f>
        <v/>
      </c>
      <c r="AQ215">
        <f>IF(L214&lt;=0,0,ROUND(L214*(1+IF(AND(L$6&gt;0,$B215&lt;L$6),L$4,L$5)/12),2))</f>
        <v/>
      </c>
      <c r="AR215">
        <f>IF(M214&lt;=0,0,ROUND(M214*(1+IF(AND(M$6&gt;0,$B215&lt;M$6),M$4,M$5)/12),2))</f>
        <v/>
      </c>
      <c r="AS215">
        <f>IF(N214&lt;=0,0,ROUND(N214*(1+IF(AND(N$6&gt;0,$B215&lt;N$6),N$4,N$5)/12),2))</f>
        <v/>
      </c>
    </row>
    <row r="216">
      <c r="A216" t="n">
        <v>205</v>
      </c>
      <c r="B216">
        <f>EDATE(Plan!$C$6,204)</f>
        <v/>
      </c>
      <c r="C216">
        <f>IF(C215&lt;=0,0,MAX(0,AH216-O216))</f>
        <v/>
      </c>
      <c r="D216">
        <f>IF(D215&lt;=0,0,MAX(0,AI216-P216))</f>
        <v/>
      </c>
      <c r="E216">
        <f>IF(E215&lt;=0,0,MAX(0,AJ216-Q216))</f>
        <v/>
      </c>
      <c r="F216">
        <f>IF(F215&lt;=0,0,MAX(0,AK216-R216))</f>
        <v/>
      </c>
      <c r="G216">
        <f>IF(G215&lt;=0,0,MAX(0,AL216-S216))</f>
        <v/>
      </c>
      <c r="H216">
        <f>IF(H215&lt;=0,0,MAX(0,AM216-T216))</f>
        <v/>
      </c>
      <c r="I216">
        <f>IF(I215&lt;=0,0,MAX(0,AN216-U216))</f>
        <v/>
      </c>
      <c r="J216">
        <f>IF(J215&lt;=0,0,MAX(0,AO216-V216))</f>
        <v/>
      </c>
      <c r="K216">
        <f>IF(K215&lt;=0,0,MAX(0,AP216-W216))</f>
        <v/>
      </c>
      <c r="L216">
        <f>IF(L215&lt;=0,0,MAX(0,AQ216-X216))</f>
        <v/>
      </c>
      <c r="M216">
        <f>IF(M215&lt;=0,0,MAX(0,AR216-Y216))</f>
        <v/>
      </c>
      <c r="N216">
        <f>IF(N215&lt;=0,0,MAX(0,AS216-Z216))</f>
        <v/>
      </c>
      <c r="O216">
        <f>IF(C215&lt;=0,0,MIN(AH216,C$7+IF(C$2=$AA216,$AC216,IF(C$2=$AF216,$AG216,0))))</f>
        <v/>
      </c>
      <c r="P216">
        <f>IF(D215&lt;=0,0,MIN(AI216,D$7+IF(D$2=$AA216,$AC216,IF(D$2=$AF216,$AG216,0))))</f>
        <v/>
      </c>
      <c r="Q216">
        <f>IF(E215&lt;=0,0,MIN(AJ216,E$7+IF(E$2=$AA216,$AC216,IF(E$2=$AF216,$AG216,0))))</f>
        <v/>
      </c>
      <c r="R216">
        <f>IF(F215&lt;=0,0,MIN(AK216,F$7+IF(F$2=$AA216,$AC216,IF(F$2=$AF216,$AG216,0))))</f>
        <v/>
      </c>
      <c r="S216">
        <f>IF(G215&lt;=0,0,MIN(AL216,G$7+IF(G$2=$AA216,$AC216,IF(G$2=$AF216,$AG216,0))))</f>
        <v/>
      </c>
      <c r="T216">
        <f>IF(H215&lt;=0,0,MIN(AM216,H$7+IF(H$2=$AA216,$AC216,IF(H$2=$AF216,$AG216,0))))</f>
        <v/>
      </c>
      <c r="U216">
        <f>IF(I215&lt;=0,0,MIN(AN216,I$7+IF(I$2=$AA216,$AC216,IF(I$2=$AF216,$AG216,0))))</f>
        <v/>
      </c>
      <c r="V216">
        <f>IF(J215&lt;=0,0,MIN(AO216,J$7+IF(J$2=$AA216,$AC216,IF(J$2=$AF216,$AG216,0))))</f>
        <v/>
      </c>
      <c r="W216">
        <f>IF(K215&lt;=0,0,MIN(AP216,K$7+IF(K$2=$AA216,$AC216,IF(K$2=$AF216,$AG216,0))))</f>
        <v/>
      </c>
      <c r="X216">
        <f>IF(L215&lt;=0,0,MIN(AQ216,L$7+IF(L$2=$AA216,$AC216,IF(L$2=$AF216,$AG216,0))))</f>
        <v/>
      </c>
      <c r="Y216">
        <f>IF(M215&lt;=0,0,MIN(AR216,M$7+IF(M$2=$AA216,$AC216,IF(M$2=$AF216,$AG216,0))))</f>
        <v/>
      </c>
      <c r="Z216">
        <f>IF(N215&lt;=0,0,MIN(AS216,N$7+IF(N$2=$AA216,$AC216,IF(N$2=$AF216,$AG216,0))))</f>
        <v/>
      </c>
      <c r="AA216">
        <f>IFERROR(ROUND(1/SUMPRODUCT(MAX((C215:N215&gt;0)*($C$3:$N$3&lt;=B216)/$C$2:$N$2)),0),0)</f>
        <v/>
      </c>
      <c r="AB216">
        <f>SUMPRODUCT((C215:N215&gt;0)*$C$7:$N$7)</f>
        <v/>
      </c>
      <c r="AC216">
        <f>MAX(0,Plan!$C$5-AB216)+IF(A216=Plan!$C$8,N(Plan!$C$7),0)</f>
        <v/>
      </c>
      <c r="AD216">
        <f>SUM(C216:N216)</f>
        <v/>
      </c>
      <c r="AE216">
        <f>SUM(O216:Z216)</f>
        <v/>
      </c>
      <c r="AF216">
        <f>IFERROR(ROUND(1/SUMPRODUCT(MAX((C215:N215&gt;0)*($C$3:$N$3&lt;=B216)*($C$2:$N$2&gt;AA216)/$C$2:$N$2)),0),0)</f>
        <v/>
      </c>
      <c r="AG216">
        <f>MAX(0,AC216-MAX(0,SUMPRODUCT(($C$2:$N$2=AA216)*(AH216:AS216-$C$7:$N$7))))</f>
        <v/>
      </c>
      <c r="AH216">
        <f>IF(C215&lt;=0,0,ROUND(C215*(1+IF(AND(C$6&gt;0,$B216&lt;C$6),C$4,C$5)/12),2))</f>
        <v/>
      </c>
      <c r="AI216">
        <f>IF(D215&lt;=0,0,ROUND(D215*(1+IF(AND(D$6&gt;0,$B216&lt;D$6),D$4,D$5)/12),2))</f>
        <v/>
      </c>
      <c r="AJ216">
        <f>IF(E215&lt;=0,0,ROUND(E215*(1+IF(AND(E$6&gt;0,$B216&lt;E$6),E$4,E$5)/12),2))</f>
        <v/>
      </c>
      <c r="AK216">
        <f>IF(F215&lt;=0,0,ROUND(F215*(1+IF(AND(F$6&gt;0,$B216&lt;F$6),F$4,F$5)/12),2))</f>
        <v/>
      </c>
      <c r="AL216">
        <f>IF(G215&lt;=0,0,ROUND(G215*(1+IF(AND(G$6&gt;0,$B216&lt;G$6),G$4,G$5)/12),2))</f>
        <v/>
      </c>
      <c r="AM216">
        <f>IF(H215&lt;=0,0,ROUND(H215*(1+IF(AND(H$6&gt;0,$B216&lt;H$6),H$4,H$5)/12),2))</f>
        <v/>
      </c>
      <c r="AN216">
        <f>IF(I215&lt;=0,0,ROUND(I215*(1+IF(AND(I$6&gt;0,$B216&lt;I$6),I$4,I$5)/12),2))</f>
        <v/>
      </c>
      <c r="AO216">
        <f>IF(J215&lt;=0,0,ROUND(J215*(1+IF(AND(J$6&gt;0,$B216&lt;J$6),J$4,J$5)/12),2))</f>
        <v/>
      </c>
      <c r="AP216">
        <f>IF(K215&lt;=0,0,ROUND(K215*(1+IF(AND(K$6&gt;0,$B216&lt;K$6),K$4,K$5)/12),2))</f>
        <v/>
      </c>
      <c r="AQ216">
        <f>IF(L215&lt;=0,0,ROUND(L215*(1+IF(AND(L$6&gt;0,$B216&lt;L$6),L$4,L$5)/12),2))</f>
        <v/>
      </c>
      <c r="AR216">
        <f>IF(M215&lt;=0,0,ROUND(M215*(1+IF(AND(M$6&gt;0,$B216&lt;M$6),M$4,M$5)/12),2))</f>
        <v/>
      </c>
      <c r="AS216">
        <f>IF(N215&lt;=0,0,ROUND(N215*(1+IF(AND(N$6&gt;0,$B216&lt;N$6),N$4,N$5)/12),2))</f>
        <v/>
      </c>
    </row>
    <row r="217">
      <c r="A217" t="n">
        <v>206</v>
      </c>
      <c r="B217">
        <f>EDATE(Plan!$C$6,205)</f>
        <v/>
      </c>
      <c r="C217">
        <f>IF(C216&lt;=0,0,MAX(0,AH217-O217))</f>
        <v/>
      </c>
      <c r="D217">
        <f>IF(D216&lt;=0,0,MAX(0,AI217-P217))</f>
        <v/>
      </c>
      <c r="E217">
        <f>IF(E216&lt;=0,0,MAX(0,AJ217-Q217))</f>
        <v/>
      </c>
      <c r="F217">
        <f>IF(F216&lt;=0,0,MAX(0,AK217-R217))</f>
        <v/>
      </c>
      <c r="G217">
        <f>IF(G216&lt;=0,0,MAX(0,AL217-S217))</f>
        <v/>
      </c>
      <c r="H217">
        <f>IF(H216&lt;=0,0,MAX(0,AM217-T217))</f>
        <v/>
      </c>
      <c r="I217">
        <f>IF(I216&lt;=0,0,MAX(0,AN217-U217))</f>
        <v/>
      </c>
      <c r="J217">
        <f>IF(J216&lt;=0,0,MAX(0,AO217-V217))</f>
        <v/>
      </c>
      <c r="K217">
        <f>IF(K216&lt;=0,0,MAX(0,AP217-W217))</f>
        <v/>
      </c>
      <c r="L217">
        <f>IF(L216&lt;=0,0,MAX(0,AQ217-X217))</f>
        <v/>
      </c>
      <c r="M217">
        <f>IF(M216&lt;=0,0,MAX(0,AR217-Y217))</f>
        <v/>
      </c>
      <c r="N217">
        <f>IF(N216&lt;=0,0,MAX(0,AS217-Z217))</f>
        <v/>
      </c>
      <c r="O217">
        <f>IF(C216&lt;=0,0,MIN(AH217,C$7+IF(C$2=$AA217,$AC217,IF(C$2=$AF217,$AG217,0))))</f>
        <v/>
      </c>
      <c r="P217">
        <f>IF(D216&lt;=0,0,MIN(AI217,D$7+IF(D$2=$AA217,$AC217,IF(D$2=$AF217,$AG217,0))))</f>
        <v/>
      </c>
      <c r="Q217">
        <f>IF(E216&lt;=0,0,MIN(AJ217,E$7+IF(E$2=$AA217,$AC217,IF(E$2=$AF217,$AG217,0))))</f>
        <v/>
      </c>
      <c r="R217">
        <f>IF(F216&lt;=0,0,MIN(AK217,F$7+IF(F$2=$AA217,$AC217,IF(F$2=$AF217,$AG217,0))))</f>
        <v/>
      </c>
      <c r="S217">
        <f>IF(G216&lt;=0,0,MIN(AL217,G$7+IF(G$2=$AA217,$AC217,IF(G$2=$AF217,$AG217,0))))</f>
        <v/>
      </c>
      <c r="T217">
        <f>IF(H216&lt;=0,0,MIN(AM217,H$7+IF(H$2=$AA217,$AC217,IF(H$2=$AF217,$AG217,0))))</f>
        <v/>
      </c>
      <c r="U217">
        <f>IF(I216&lt;=0,0,MIN(AN217,I$7+IF(I$2=$AA217,$AC217,IF(I$2=$AF217,$AG217,0))))</f>
        <v/>
      </c>
      <c r="V217">
        <f>IF(J216&lt;=0,0,MIN(AO217,J$7+IF(J$2=$AA217,$AC217,IF(J$2=$AF217,$AG217,0))))</f>
        <v/>
      </c>
      <c r="W217">
        <f>IF(K216&lt;=0,0,MIN(AP217,K$7+IF(K$2=$AA217,$AC217,IF(K$2=$AF217,$AG217,0))))</f>
        <v/>
      </c>
      <c r="X217">
        <f>IF(L216&lt;=0,0,MIN(AQ217,L$7+IF(L$2=$AA217,$AC217,IF(L$2=$AF217,$AG217,0))))</f>
        <v/>
      </c>
      <c r="Y217">
        <f>IF(M216&lt;=0,0,MIN(AR217,M$7+IF(M$2=$AA217,$AC217,IF(M$2=$AF217,$AG217,0))))</f>
        <v/>
      </c>
      <c r="Z217">
        <f>IF(N216&lt;=0,0,MIN(AS217,N$7+IF(N$2=$AA217,$AC217,IF(N$2=$AF217,$AG217,0))))</f>
        <v/>
      </c>
      <c r="AA217">
        <f>IFERROR(ROUND(1/SUMPRODUCT(MAX((C216:N216&gt;0)*($C$3:$N$3&lt;=B217)/$C$2:$N$2)),0),0)</f>
        <v/>
      </c>
      <c r="AB217">
        <f>SUMPRODUCT((C216:N216&gt;0)*$C$7:$N$7)</f>
        <v/>
      </c>
      <c r="AC217">
        <f>MAX(0,Plan!$C$5-AB217)+IF(A217=Plan!$C$8,N(Plan!$C$7),0)</f>
        <v/>
      </c>
      <c r="AD217">
        <f>SUM(C217:N217)</f>
        <v/>
      </c>
      <c r="AE217">
        <f>SUM(O217:Z217)</f>
        <v/>
      </c>
      <c r="AF217">
        <f>IFERROR(ROUND(1/SUMPRODUCT(MAX((C216:N216&gt;0)*($C$3:$N$3&lt;=B217)*($C$2:$N$2&gt;AA217)/$C$2:$N$2)),0),0)</f>
        <v/>
      </c>
      <c r="AG217">
        <f>MAX(0,AC217-MAX(0,SUMPRODUCT(($C$2:$N$2=AA217)*(AH217:AS217-$C$7:$N$7))))</f>
        <v/>
      </c>
      <c r="AH217">
        <f>IF(C216&lt;=0,0,ROUND(C216*(1+IF(AND(C$6&gt;0,$B217&lt;C$6),C$4,C$5)/12),2))</f>
        <v/>
      </c>
      <c r="AI217">
        <f>IF(D216&lt;=0,0,ROUND(D216*(1+IF(AND(D$6&gt;0,$B217&lt;D$6),D$4,D$5)/12),2))</f>
        <v/>
      </c>
      <c r="AJ217">
        <f>IF(E216&lt;=0,0,ROUND(E216*(1+IF(AND(E$6&gt;0,$B217&lt;E$6),E$4,E$5)/12),2))</f>
        <v/>
      </c>
      <c r="AK217">
        <f>IF(F216&lt;=0,0,ROUND(F216*(1+IF(AND(F$6&gt;0,$B217&lt;F$6),F$4,F$5)/12),2))</f>
        <v/>
      </c>
      <c r="AL217">
        <f>IF(G216&lt;=0,0,ROUND(G216*(1+IF(AND(G$6&gt;0,$B217&lt;G$6),G$4,G$5)/12),2))</f>
        <v/>
      </c>
      <c r="AM217">
        <f>IF(H216&lt;=0,0,ROUND(H216*(1+IF(AND(H$6&gt;0,$B217&lt;H$6),H$4,H$5)/12),2))</f>
        <v/>
      </c>
      <c r="AN217">
        <f>IF(I216&lt;=0,0,ROUND(I216*(1+IF(AND(I$6&gt;0,$B217&lt;I$6),I$4,I$5)/12),2))</f>
        <v/>
      </c>
      <c r="AO217">
        <f>IF(J216&lt;=0,0,ROUND(J216*(1+IF(AND(J$6&gt;0,$B217&lt;J$6),J$4,J$5)/12),2))</f>
        <v/>
      </c>
      <c r="AP217">
        <f>IF(K216&lt;=0,0,ROUND(K216*(1+IF(AND(K$6&gt;0,$B217&lt;K$6),K$4,K$5)/12),2))</f>
        <v/>
      </c>
      <c r="AQ217">
        <f>IF(L216&lt;=0,0,ROUND(L216*(1+IF(AND(L$6&gt;0,$B217&lt;L$6),L$4,L$5)/12),2))</f>
        <v/>
      </c>
      <c r="AR217">
        <f>IF(M216&lt;=0,0,ROUND(M216*(1+IF(AND(M$6&gt;0,$B217&lt;M$6),M$4,M$5)/12),2))</f>
        <v/>
      </c>
      <c r="AS217">
        <f>IF(N216&lt;=0,0,ROUND(N216*(1+IF(AND(N$6&gt;0,$B217&lt;N$6),N$4,N$5)/12),2))</f>
        <v/>
      </c>
    </row>
    <row r="218">
      <c r="A218" t="n">
        <v>207</v>
      </c>
      <c r="B218">
        <f>EDATE(Plan!$C$6,206)</f>
        <v/>
      </c>
      <c r="C218">
        <f>IF(C217&lt;=0,0,MAX(0,AH218-O218))</f>
        <v/>
      </c>
      <c r="D218">
        <f>IF(D217&lt;=0,0,MAX(0,AI218-P218))</f>
        <v/>
      </c>
      <c r="E218">
        <f>IF(E217&lt;=0,0,MAX(0,AJ218-Q218))</f>
        <v/>
      </c>
      <c r="F218">
        <f>IF(F217&lt;=0,0,MAX(0,AK218-R218))</f>
        <v/>
      </c>
      <c r="G218">
        <f>IF(G217&lt;=0,0,MAX(0,AL218-S218))</f>
        <v/>
      </c>
      <c r="H218">
        <f>IF(H217&lt;=0,0,MAX(0,AM218-T218))</f>
        <v/>
      </c>
      <c r="I218">
        <f>IF(I217&lt;=0,0,MAX(0,AN218-U218))</f>
        <v/>
      </c>
      <c r="J218">
        <f>IF(J217&lt;=0,0,MAX(0,AO218-V218))</f>
        <v/>
      </c>
      <c r="K218">
        <f>IF(K217&lt;=0,0,MAX(0,AP218-W218))</f>
        <v/>
      </c>
      <c r="L218">
        <f>IF(L217&lt;=0,0,MAX(0,AQ218-X218))</f>
        <v/>
      </c>
      <c r="M218">
        <f>IF(M217&lt;=0,0,MAX(0,AR218-Y218))</f>
        <v/>
      </c>
      <c r="N218">
        <f>IF(N217&lt;=0,0,MAX(0,AS218-Z218))</f>
        <v/>
      </c>
      <c r="O218">
        <f>IF(C217&lt;=0,0,MIN(AH218,C$7+IF(C$2=$AA218,$AC218,IF(C$2=$AF218,$AG218,0))))</f>
        <v/>
      </c>
      <c r="P218">
        <f>IF(D217&lt;=0,0,MIN(AI218,D$7+IF(D$2=$AA218,$AC218,IF(D$2=$AF218,$AG218,0))))</f>
        <v/>
      </c>
      <c r="Q218">
        <f>IF(E217&lt;=0,0,MIN(AJ218,E$7+IF(E$2=$AA218,$AC218,IF(E$2=$AF218,$AG218,0))))</f>
        <v/>
      </c>
      <c r="R218">
        <f>IF(F217&lt;=0,0,MIN(AK218,F$7+IF(F$2=$AA218,$AC218,IF(F$2=$AF218,$AG218,0))))</f>
        <v/>
      </c>
      <c r="S218">
        <f>IF(G217&lt;=0,0,MIN(AL218,G$7+IF(G$2=$AA218,$AC218,IF(G$2=$AF218,$AG218,0))))</f>
        <v/>
      </c>
      <c r="T218">
        <f>IF(H217&lt;=0,0,MIN(AM218,H$7+IF(H$2=$AA218,$AC218,IF(H$2=$AF218,$AG218,0))))</f>
        <v/>
      </c>
      <c r="U218">
        <f>IF(I217&lt;=0,0,MIN(AN218,I$7+IF(I$2=$AA218,$AC218,IF(I$2=$AF218,$AG218,0))))</f>
        <v/>
      </c>
      <c r="V218">
        <f>IF(J217&lt;=0,0,MIN(AO218,J$7+IF(J$2=$AA218,$AC218,IF(J$2=$AF218,$AG218,0))))</f>
        <v/>
      </c>
      <c r="W218">
        <f>IF(K217&lt;=0,0,MIN(AP218,K$7+IF(K$2=$AA218,$AC218,IF(K$2=$AF218,$AG218,0))))</f>
        <v/>
      </c>
      <c r="X218">
        <f>IF(L217&lt;=0,0,MIN(AQ218,L$7+IF(L$2=$AA218,$AC218,IF(L$2=$AF218,$AG218,0))))</f>
        <v/>
      </c>
      <c r="Y218">
        <f>IF(M217&lt;=0,0,MIN(AR218,M$7+IF(M$2=$AA218,$AC218,IF(M$2=$AF218,$AG218,0))))</f>
        <v/>
      </c>
      <c r="Z218">
        <f>IF(N217&lt;=0,0,MIN(AS218,N$7+IF(N$2=$AA218,$AC218,IF(N$2=$AF218,$AG218,0))))</f>
        <v/>
      </c>
      <c r="AA218">
        <f>IFERROR(ROUND(1/SUMPRODUCT(MAX((C217:N217&gt;0)*($C$3:$N$3&lt;=B218)/$C$2:$N$2)),0),0)</f>
        <v/>
      </c>
      <c r="AB218">
        <f>SUMPRODUCT((C217:N217&gt;0)*$C$7:$N$7)</f>
        <v/>
      </c>
      <c r="AC218">
        <f>MAX(0,Plan!$C$5-AB218)+IF(A218=Plan!$C$8,N(Plan!$C$7),0)</f>
        <v/>
      </c>
      <c r="AD218">
        <f>SUM(C218:N218)</f>
        <v/>
      </c>
      <c r="AE218">
        <f>SUM(O218:Z218)</f>
        <v/>
      </c>
      <c r="AF218">
        <f>IFERROR(ROUND(1/SUMPRODUCT(MAX((C217:N217&gt;0)*($C$3:$N$3&lt;=B218)*($C$2:$N$2&gt;AA218)/$C$2:$N$2)),0),0)</f>
        <v/>
      </c>
      <c r="AG218">
        <f>MAX(0,AC218-MAX(0,SUMPRODUCT(($C$2:$N$2=AA218)*(AH218:AS218-$C$7:$N$7))))</f>
        <v/>
      </c>
      <c r="AH218">
        <f>IF(C217&lt;=0,0,ROUND(C217*(1+IF(AND(C$6&gt;0,$B218&lt;C$6),C$4,C$5)/12),2))</f>
        <v/>
      </c>
      <c r="AI218">
        <f>IF(D217&lt;=0,0,ROUND(D217*(1+IF(AND(D$6&gt;0,$B218&lt;D$6),D$4,D$5)/12),2))</f>
        <v/>
      </c>
      <c r="AJ218">
        <f>IF(E217&lt;=0,0,ROUND(E217*(1+IF(AND(E$6&gt;0,$B218&lt;E$6),E$4,E$5)/12),2))</f>
        <v/>
      </c>
      <c r="AK218">
        <f>IF(F217&lt;=0,0,ROUND(F217*(1+IF(AND(F$6&gt;0,$B218&lt;F$6),F$4,F$5)/12),2))</f>
        <v/>
      </c>
      <c r="AL218">
        <f>IF(G217&lt;=0,0,ROUND(G217*(1+IF(AND(G$6&gt;0,$B218&lt;G$6),G$4,G$5)/12),2))</f>
        <v/>
      </c>
      <c r="AM218">
        <f>IF(H217&lt;=0,0,ROUND(H217*(1+IF(AND(H$6&gt;0,$B218&lt;H$6),H$4,H$5)/12),2))</f>
        <v/>
      </c>
      <c r="AN218">
        <f>IF(I217&lt;=0,0,ROUND(I217*(1+IF(AND(I$6&gt;0,$B218&lt;I$6),I$4,I$5)/12),2))</f>
        <v/>
      </c>
      <c r="AO218">
        <f>IF(J217&lt;=0,0,ROUND(J217*(1+IF(AND(J$6&gt;0,$B218&lt;J$6),J$4,J$5)/12),2))</f>
        <v/>
      </c>
      <c r="AP218">
        <f>IF(K217&lt;=0,0,ROUND(K217*(1+IF(AND(K$6&gt;0,$B218&lt;K$6),K$4,K$5)/12),2))</f>
        <v/>
      </c>
      <c r="AQ218">
        <f>IF(L217&lt;=0,0,ROUND(L217*(1+IF(AND(L$6&gt;0,$B218&lt;L$6),L$4,L$5)/12),2))</f>
        <v/>
      </c>
      <c r="AR218">
        <f>IF(M217&lt;=0,0,ROUND(M217*(1+IF(AND(M$6&gt;0,$B218&lt;M$6),M$4,M$5)/12),2))</f>
        <v/>
      </c>
      <c r="AS218">
        <f>IF(N217&lt;=0,0,ROUND(N217*(1+IF(AND(N$6&gt;0,$B218&lt;N$6),N$4,N$5)/12),2))</f>
        <v/>
      </c>
    </row>
    <row r="219">
      <c r="A219" t="n">
        <v>208</v>
      </c>
      <c r="B219">
        <f>EDATE(Plan!$C$6,207)</f>
        <v/>
      </c>
      <c r="C219">
        <f>IF(C218&lt;=0,0,MAX(0,AH219-O219))</f>
        <v/>
      </c>
      <c r="D219">
        <f>IF(D218&lt;=0,0,MAX(0,AI219-P219))</f>
        <v/>
      </c>
      <c r="E219">
        <f>IF(E218&lt;=0,0,MAX(0,AJ219-Q219))</f>
        <v/>
      </c>
      <c r="F219">
        <f>IF(F218&lt;=0,0,MAX(0,AK219-R219))</f>
        <v/>
      </c>
      <c r="G219">
        <f>IF(G218&lt;=0,0,MAX(0,AL219-S219))</f>
        <v/>
      </c>
      <c r="H219">
        <f>IF(H218&lt;=0,0,MAX(0,AM219-T219))</f>
        <v/>
      </c>
      <c r="I219">
        <f>IF(I218&lt;=0,0,MAX(0,AN219-U219))</f>
        <v/>
      </c>
      <c r="J219">
        <f>IF(J218&lt;=0,0,MAX(0,AO219-V219))</f>
        <v/>
      </c>
      <c r="K219">
        <f>IF(K218&lt;=0,0,MAX(0,AP219-W219))</f>
        <v/>
      </c>
      <c r="L219">
        <f>IF(L218&lt;=0,0,MAX(0,AQ219-X219))</f>
        <v/>
      </c>
      <c r="M219">
        <f>IF(M218&lt;=0,0,MAX(0,AR219-Y219))</f>
        <v/>
      </c>
      <c r="N219">
        <f>IF(N218&lt;=0,0,MAX(0,AS219-Z219))</f>
        <v/>
      </c>
      <c r="O219">
        <f>IF(C218&lt;=0,0,MIN(AH219,C$7+IF(C$2=$AA219,$AC219,IF(C$2=$AF219,$AG219,0))))</f>
        <v/>
      </c>
      <c r="P219">
        <f>IF(D218&lt;=0,0,MIN(AI219,D$7+IF(D$2=$AA219,$AC219,IF(D$2=$AF219,$AG219,0))))</f>
        <v/>
      </c>
      <c r="Q219">
        <f>IF(E218&lt;=0,0,MIN(AJ219,E$7+IF(E$2=$AA219,$AC219,IF(E$2=$AF219,$AG219,0))))</f>
        <v/>
      </c>
      <c r="R219">
        <f>IF(F218&lt;=0,0,MIN(AK219,F$7+IF(F$2=$AA219,$AC219,IF(F$2=$AF219,$AG219,0))))</f>
        <v/>
      </c>
      <c r="S219">
        <f>IF(G218&lt;=0,0,MIN(AL219,G$7+IF(G$2=$AA219,$AC219,IF(G$2=$AF219,$AG219,0))))</f>
        <v/>
      </c>
      <c r="T219">
        <f>IF(H218&lt;=0,0,MIN(AM219,H$7+IF(H$2=$AA219,$AC219,IF(H$2=$AF219,$AG219,0))))</f>
        <v/>
      </c>
      <c r="U219">
        <f>IF(I218&lt;=0,0,MIN(AN219,I$7+IF(I$2=$AA219,$AC219,IF(I$2=$AF219,$AG219,0))))</f>
        <v/>
      </c>
      <c r="V219">
        <f>IF(J218&lt;=0,0,MIN(AO219,J$7+IF(J$2=$AA219,$AC219,IF(J$2=$AF219,$AG219,0))))</f>
        <v/>
      </c>
      <c r="W219">
        <f>IF(K218&lt;=0,0,MIN(AP219,K$7+IF(K$2=$AA219,$AC219,IF(K$2=$AF219,$AG219,0))))</f>
        <v/>
      </c>
      <c r="X219">
        <f>IF(L218&lt;=0,0,MIN(AQ219,L$7+IF(L$2=$AA219,$AC219,IF(L$2=$AF219,$AG219,0))))</f>
        <v/>
      </c>
      <c r="Y219">
        <f>IF(M218&lt;=0,0,MIN(AR219,M$7+IF(M$2=$AA219,$AC219,IF(M$2=$AF219,$AG219,0))))</f>
        <v/>
      </c>
      <c r="Z219">
        <f>IF(N218&lt;=0,0,MIN(AS219,N$7+IF(N$2=$AA219,$AC219,IF(N$2=$AF219,$AG219,0))))</f>
        <v/>
      </c>
      <c r="AA219">
        <f>IFERROR(ROUND(1/SUMPRODUCT(MAX((C218:N218&gt;0)*($C$3:$N$3&lt;=B219)/$C$2:$N$2)),0),0)</f>
        <v/>
      </c>
      <c r="AB219">
        <f>SUMPRODUCT((C218:N218&gt;0)*$C$7:$N$7)</f>
        <v/>
      </c>
      <c r="AC219">
        <f>MAX(0,Plan!$C$5-AB219)+IF(A219=Plan!$C$8,N(Plan!$C$7),0)</f>
        <v/>
      </c>
      <c r="AD219">
        <f>SUM(C219:N219)</f>
        <v/>
      </c>
      <c r="AE219">
        <f>SUM(O219:Z219)</f>
        <v/>
      </c>
      <c r="AF219">
        <f>IFERROR(ROUND(1/SUMPRODUCT(MAX((C218:N218&gt;0)*($C$3:$N$3&lt;=B219)*($C$2:$N$2&gt;AA219)/$C$2:$N$2)),0),0)</f>
        <v/>
      </c>
      <c r="AG219">
        <f>MAX(0,AC219-MAX(0,SUMPRODUCT(($C$2:$N$2=AA219)*(AH219:AS219-$C$7:$N$7))))</f>
        <v/>
      </c>
      <c r="AH219">
        <f>IF(C218&lt;=0,0,ROUND(C218*(1+IF(AND(C$6&gt;0,$B219&lt;C$6),C$4,C$5)/12),2))</f>
        <v/>
      </c>
      <c r="AI219">
        <f>IF(D218&lt;=0,0,ROUND(D218*(1+IF(AND(D$6&gt;0,$B219&lt;D$6),D$4,D$5)/12),2))</f>
        <v/>
      </c>
      <c r="AJ219">
        <f>IF(E218&lt;=0,0,ROUND(E218*(1+IF(AND(E$6&gt;0,$B219&lt;E$6),E$4,E$5)/12),2))</f>
        <v/>
      </c>
      <c r="AK219">
        <f>IF(F218&lt;=0,0,ROUND(F218*(1+IF(AND(F$6&gt;0,$B219&lt;F$6),F$4,F$5)/12),2))</f>
        <v/>
      </c>
      <c r="AL219">
        <f>IF(G218&lt;=0,0,ROUND(G218*(1+IF(AND(G$6&gt;0,$B219&lt;G$6),G$4,G$5)/12),2))</f>
        <v/>
      </c>
      <c r="AM219">
        <f>IF(H218&lt;=0,0,ROUND(H218*(1+IF(AND(H$6&gt;0,$B219&lt;H$6),H$4,H$5)/12),2))</f>
        <v/>
      </c>
      <c r="AN219">
        <f>IF(I218&lt;=0,0,ROUND(I218*(1+IF(AND(I$6&gt;0,$B219&lt;I$6),I$4,I$5)/12),2))</f>
        <v/>
      </c>
      <c r="AO219">
        <f>IF(J218&lt;=0,0,ROUND(J218*(1+IF(AND(J$6&gt;0,$B219&lt;J$6),J$4,J$5)/12),2))</f>
        <v/>
      </c>
      <c r="AP219">
        <f>IF(K218&lt;=0,0,ROUND(K218*(1+IF(AND(K$6&gt;0,$B219&lt;K$6),K$4,K$5)/12),2))</f>
        <v/>
      </c>
      <c r="AQ219">
        <f>IF(L218&lt;=0,0,ROUND(L218*(1+IF(AND(L$6&gt;0,$B219&lt;L$6),L$4,L$5)/12),2))</f>
        <v/>
      </c>
      <c r="AR219">
        <f>IF(M218&lt;=0,0,ROUND(M218*(1+IF(AND(M$6&gt;0,$B219&lt;M$6),M$4,M$5)/12),2))</f>
        <v/>
      </c>
      <c r="AS219">
        <f>IF(N218&lt;=0,0,ROUND(N218*(1+IF(AND(N$6&gt;0,$B219&lt;N$6),N$4,N$5)/12),2))</f>
        <v/>
      </c>
    </row>
    <row r="220">
      <c r="A220" t="n">
        <v>209</v>
      </c>
      <c r="B220">
        <f>EDATE(Plan!$C$6,208)</f>
        <v/>
      </c>
      <c r="C220">
        <f>IF(C219&lt;=0,0,MAX(0,AH220-O220))</f>
        <v/>
      </c>
      <c r="D220">
        <f>IF(D219&lt;=0,0,MAX(0,AI220-P220))</f>
        <v/>
      </c>
      <c r="E220">
        <f>IF(E219&lt;=0,0,MAX(0,AJ220-Q220))</f>
        <v/>
      </c>
      <c r="F220">
        <f>IF(F219&lt;=0,0,MAX(0,AK220-R220))</f>
        <v/>
      </c>
      <c r="G220">
        <f>IF(G219&lt;=0,0,MAX(0,AL220-S220))</f>
        <v/>
      </c>
      <c r="H220">
        <f>IF(H219&lt;=0,0,MAX(0,AM220-T220))</f>
        <v/>
      </c>
      <c r="I220">
        <f>IF(I219&lt;=0,0,MAX(0,AN220-U220))</f>
        <v/>
      </c>
      <c r="J220">
        <f>IF(J219&lt;=0,0,MAX(0,AO220-V220))</f>
        <v/>
      </c>
      <c r="K220">
        <f>IF(K219&lt;=0,0,MAX(0,AP220-W220))</f>
        <v/>
      </c>
      <c r="L220">
        <f>IF(L219&lt;=0,0,MAX(0,AQ220-X220))</f>
        <v/>
      </c>
      <c r="M220">
        <f>IF(M219&lt;=0,0,MAX(0,AR220-Y220))</f>
        <v/>
      </c>
      <c r="N220">
        <f>IF(N219&lt;=0,0,MAX(0,AS220-Z220))</f>
        <v/>
      </c>
      <c r="O220">
        <f>IF(C219&lt;=0,0,MIN(AH220,C$7+IF(C$2=$AA220,$AC220,IF(C$2=$AF220,$AG220,0))))</f>
        <v/>
      </c>
      <c r="P220">
        <f>IF(D219&lt;=0,0,MIN(AI220,D$7+IF(D$2=$AA220,$AC220,IF(D$2=$AF220,$AG220,0))))</f>
        <v/>
      </c>
      <c r="Q220">
        <f>IF(E219&lt;=0,0,MIN(AJ220,E$7+IF(E$2=$AA220,$AC220,IF(E$2=$AF220,$AG220,0))))</f>
        <v/>
      </c>
      <c r="R220">
        <f>IF(F219&lt;=0,0,MIN(AK220,F$7+IF(F$2=$AA220,$AC220,IF(F$2=$AF220,$AG220,0))))</f>
        <v/>
      </c>
      <c r="S220">
        <f>IF(G219&lt;=0,0,MIN(AL220,G$7+IF(G$2=$AA220,$AC220,IF(G$2=$AF220,$AG220,0))))</f>
        <v/>
      </c>
      <c r="T220">
        <f>IF(H219&lt;=0,0,MIN(AM220,H$7+IF(H$2=$AA220,$AC220,IF(H$2=$AF220,$AG220,0))))</f>
        <v/>
      </c>
      <c r="U220">
        <f>IF(I219&lt;=0,0,MIN(AN220,I$7+IF(I$2=$AA220,$AC220,IF(I$2=$AF220,$AG220,0))))</f>
        <v/>
      </c>
      <c r="V220">
        <f>IF(J219&lt;=0,0,MIN(AO220,J$7+IF(J$2=$AA220,$AC220,IF(J$2=$AF220,$AG220,0))))</f>
        <v/>
      </c>
      <c r="W220">
        <f>IF(K219&lt;=0,0,MIN(AP220,K$7+IF(K$2=$AA220,$AC220,IF(K$2=$AF220,$AG220,0))))</f>
        <v/>
      </c>
      <c r="X220">
        <f>IF(L219&lt;=0,0,MIN(AQ220,L$7+IF(L$2=$AA220,$AC220,IF(L$2=$AF220,$AG220,0))))</f>
        <v/>
      </c>
      <c r="Y220">
        <f>IF(M219&lt;=0,0,MIN(AR220,M$7+IF(M$2=$AA220,$AC220,IF(M$2=$AF220,$AG220,0))))</f>
        <v/>
      </c>
      <c r="Z220">
        <f>IF(N219&lt;=0,0,MIN(AS220,N$7+IF(N$2=$AA220,$AC220,IF(N$2=$AF220,$AG220,0))))</f>
        <v/>
      </c>
      <c r="AA220">
        <f>IFERROR(ROUND(1/SUMPRODUCT(MAX((C219:N219&gt;0)*($C$3:$N$3&lt;=B220)/$C$2:$N$2)),0),0)</f>
        <v/>
      </c>
      <c r="AB220">
        <f>SUMPRODUCT((C219:N219&gt;0)*$C$7:$N$7)</f>
        <v/>
      </c>
      <c r="AC220">
        <f>MAX(0,Plan!$C$5-AB220)+IF(A220=Plan!$C$8,N(Plan!$C$7),0)</f>
        <v/>
      </c>
      <c r="AD220">
        <f>SUM(C220:N220)</f>
        <v/>
      </c>
      <c r="AE220">
        <f>SUM(O220:Z220)</f>
        <v/>
      </c>
      <c r="AF220">
        <f>IFERROR(ROUND(1/SUMPRODUCT(MAX((C219:N219&gt;0)*($C$3:$N$3&lt;=B220)*($C$2:$N$2&gt;AA220)/$C$2:$N$2)),0),0)</f>
        <v/>
      </c>
      <c r="AG220">
        <f>MAX(0,AC220-MAX(0,SUMPRODUCT(($C$2:$N$2=AA220)*(AH220:AS220-$C$7:$N$7))))</f>
        <v/>
      </c>
      <c r="AH220">
        <f>IF(C219&lt;=0,0,ROUND(C219*(1+IF(AND(C$6&gt;0,$B220&lt;C$6),C$4,C$5)/12),2))</f>
        <v/>
      </c>
      <c r="AI220">
        <f>IF(D219&lt;=0,0,ROUND(D219*(1+IF(AND(D$6&gt;0,$B220&lt;D$6),D$4,D$5)/12),2))</f>
        <v/>
      </c>
      <c r="AJ220">
        <f>IF(E219&lt;=0,0,ROUND(E219*(1+IF(AND(E$6&gt;0,$B220&lt;E$6),E$4,E$5)/12),2))</f>
        <v/>
      </c>
      <c r="AK220">
        <f>IF(F219&lt;=0,0,ROUND(F219*(1+IF(AND(F$6&gt;0,$B220&lt;F$6),F$4,F$5)/12),2))</f>
        <v/>
      </c>
      <c r="AL220">
        <f>IF(G219&lt;=0,0,ROUND(G219*(1+IF(AND(G$6&gt;0,$B220&lt;G$6),G$4,G$5)/12),2))</f>
        <v/>
      </c>
      <c r="AM220">
        <f>IF(H219&lt;=0,0,ROUND(H219*(1+IF(AND(H$6&gt;0,$B220&lt;H$6),H$4,H$5)/12),2))</f>
        <v/>
      </c>
      <c r="AN220">
        <f>IF(I219&lt;=0,0,ROUND(I219*(1+IF(AND(I$6&gt;0,$B220&lt;I$6),I$4,I$5)/12),2))</f>
        <v/>
      </c>
      <c r="AO220">
        <f>IF(J219&lt;=0,0,ROUND(J219*(1+IF(AND(J$6&gt;0,$B220&lt;J$6),J$4,J$5)/12),2))</f>
        <v/>
      </c>
      <c r="AP220">
        <f>IF(K219&lt;=0,0,ROUND(K219*(1+IF(AND(K$6&gt;0,$B220&lt;K$6),K$4,K$5)/12),2))</f>
        <v/>
      </c>
      <c r="AQ220">
        <f>IF(L219&lt;=0,0,ROUND(L219*(1+IF(AND(L$6&gt;0,$B220&lt;L$6),L$4,L$5)/12),2))</f>
        <v/>
      </c>
      <c r="AR220">
        <f>IF(M219&lt;=0,0,ROUND(M219*(1+IF(AND(M$6&gt;0,$B220&lt;M$6),M$4,M$5)/12),2))</f>
        <v/>
      </c>
      <c r="AS220">
        <f>IF(N219&lt;=0,0,ROUND(N219*(1+IF(AND(N$6&gt;0,$B220&lt;N$6),N$4,N$5)/12),2))</f>
        <v/>
      </c>
    </row>
    <row r="221">
      <c r="A221" t="n">
        <v>210</v>
      </c>
      <c r="B221">
        <f>EDATE(Plan!$C$6,209)</f>
        <v/>
      </c>
      <c r="C221">
        <f>IF(C220&lt;=0,0,MAX(0,AH221-O221))</f>
        <v/>
      </c>
      <c r="D221">
        <f>IF(D220&lt;=0,0,MAX(0,AI221-P221))</f>
        <v/>
      </c>
      <c r="E221">
        <f>IF(E220&lt;=0,0,MAX(0,AJ221-Q221))</f>
        <v/>
      </c>
      <c r="F221">
        <f>IF(F220&lt;=0,0,MAX(0,AK221-R221))</f>
        <v/>
      </c>
      <c r="G221">
        <f>IF(G220&lt;=0,0,MAX(0,AL221-S221))</f>
        <v/>
      </c>
      <c r="H221">
        <f>IF(H220&lt;=0,0,MAX(0,AM221-T221))</f>
        <v/>
      </c>
      <c r="I221">
        <f>IF(I220&lt;=0,0,MAX(0,AN221-U221))</f>
        <v/>
      </c>
      <c r="J221">
        <f>IF(J220&lt;=0,0,MAX(0,AO221-V221))</f>
        <v/>
      </c>
      <c r="K221">
        <f>IF(K220&lt;=0,0,MAX(0,AP221-W221))</f>
        <v/>
      </c>
      <c r="L221">
        <f>IF(L220&lt;=0,0,MAX(0,AQ221-X221))</f>
        <v/>
      </c>
      <c r="M221">
        <f>IF(M220&lt;=0,0,MAX(0,AR221-Y221))</f>
        <v/>
      </c>
      <c r="N221">
        <f>IF(N220&lt;=0,0,MAX(0,AS221-Z221))</f>
        <v/>
      </c>
      <c r="O221">
        <f>IF(C220&lt;=0,0,MIN(AH221,C$7+IF(C$2=$AA221,$AC221,IF(C$2=$AF221,$AG221,0))))</f>
        <v/>
      </c>
      <c r="P221">
        <f>IF(D220&lt;=0,0,MIN(AI221,D$7+IF(D$2=$AA221,$AC221,IF(D$2=$AF221,$AG221,0))))</f>
        <v/>
      </c>
      <c r="Q221">
        <f>IF(E220&lt;=0,0,MIN(AJ221,E$7+IF(E$2=$AA221,$AC221,IF(E$2=$AF221,$AG221,0))))</f>
        <v/>
      </c>
      <c r="R221">
        <f>IF(F220&lt;=0,0,MIN(AK221,F$7+IF(F$2=$AA221,$AC221,IF(F$2=$AF221,$AG221,0))))</f>
        <v/>
      </c>
      <c r="S221">
        <f>IF(G220&lt;=0,0,MIN(AL221,G$7+IF(G$2=$AA221,$AC221,IF(G$2=$AF221,$AG221,0))))</f>
        <v/>
      </c>
      <c r="T221">
        <f>IF(H220&lt;=0,0,MIN(AM221,H$7+IF(H$2=$AA221,$AC221,IF(H$2=$AF221,$AG221,0))))</f>
        <v/>
      </c>
      <c r="U221">
        <f>IF(I220&lt;=0,0,MIN(AN221,I$7+IF(I$2=$AA221,$AC221,IF(I$2=$AF221,$AG221,0))))</f>
        <v/>
      </c>
      <c r="V221">
        <f>IF(J220&lt;=0,0,MIN(AO221,J$7+IF(J$2=$AA221,$AC221,IF(J$2=$AF221,$AG221,0))))</f>
        <v/>
      </c>
      <c r="W221">
        <f>IF(K220&lt;=0,0,MIN(AP221,K$7+IF(K$2=$AA221,$AC221,IF(K$2=$AF221,$AG221,0))))</f>
        <v/>
      </c>
      <c r="X221">
        <f>IF(L220&lt;=0,0,MIN(AQ221,L$7+IF(L$2=$AA221,$AC221,IF(L$2=$AF221,$AG221,0))))</f>
        <v/>
      </c>
      <c r="Y221">
        <f>IF(M220&lt;=0,0,MIN(AR221,M$7+IF(M$2=$AA221,$AC221,IF(M$2=$AF221,$AG221,0))))</f>
        <v/>
      </c>
      <c r="Z221">
        <f>IF(N220&lt;=0,0,MIN(AS221,N$7+IF(N$2=$AA221,$AC221,IF(N$2=$AF221,$AG221,0))))</f>
        <v/>
      </c>
      <c r="AA221">
        <f>IFERROR(ROUND(1/SUMPRODUCT(MAX((C220:N220&gt;0)*($C$3:$N$3&lt;=B221)/$C$2:$N$2)),0),0)</f>
        <v/>
      </c>
      <c r="AB221">
        <f>SUMPRODUCT((C220:N220&gt;0)*$C$7:$N$7)</f>
        <v/>
      </c>
      <c r="AC221">
        <f>MAX(0,Plan!$C$5-AB221)+IF(A221=Plan!$C$8,N(Plan!$C$7),0)</f>
        <v/>
      </c>
      <c r="AD221">
        <f>SUM(C221:N221)</f>
        <v/>
      </c>
      <c r="AE221">
        <f>SUM(O221:Z221)</f>
        <v/>
      </c>
      <c r="AF221">
        <f>IFERROR(ROUND(1/SUMPRODUCT(MAX((C220:N220&gt;0)*($C$3:$N$3&lt;=B221)*($C$2:$N$2&gt;AA221)/$C$2:$N$2)),0),0)</f>
        <v/>
      </c>
      <c r="AG221">
        <f>MAX(0,AC221-MAX(0,SUMPRODUCT(($C$2:$N$2=AA221)*(AH221:AS221-$C$7:$N$7))))</f>
        <v/>
      </c>
      <c r="AH221">
        <f>IF(C220&lt;=0,0,ROUND(C220*(1+IF(AND(C$6&gt;0,$B221&lt;C$6),C$4,C$5)/12),2))</f>
        <v/>
      </c>
      <c r="AI221">
        <f>IF(D220&lt;=0,0,ROUND(D220*(1+IF(AND(D$6&gt;0,$B221&lt;D$6),D$4,D$5)/12),2))</f>
        <v/>
      </c>
      <c r="AJ221">
        <f>IF(E220&lt;=0,0,ROUND(E220*(1+IF(AND(E$6&gt;0,$B221&lt;E$6),E$4,E$5)/12),2))</f>
        <v/>
      </c>
      <c r="AK221">
        <f>IF(F220&lt;=0,0,ROUND(F220*(1+IF(AND(F$6&gt;0,$B221&lt;F$6),F$4,F$5)/12),2))</f>
        <v/>
      </c>
      <c r="AL221">
        <f>IF(G220&lt;=0,0,ROUND(G220*(1+IF(AND(G$6&gt;0,$B221&lt;G$6),G$4,G$5)/12),2))</f>
        <v/>
      </c>
      <c r="AM221">
        <f>IF(H220&lt;=0,0,ROUND(H220*(1+IF(AND(H$6&gt;0,$B221&lt;H$6),H$4,H$5)/12),2))</f>
        <v/>
      </c>
      <c r="AN221">
        <f>IF(I220&lt;=0,0,ROUND(I220*(1+IF(AND(I$6&gt;0,$B221&lt;I$6),I$4,I$5)/12),2))</f>
        <v/>
      </c>
      <c r="AO221">
        <f>IF(J220&lt;=0,0,ROUND(J220*(1+IF(AND(J$6&gt;0,$B221&lt;J$6),J$4,J$5)/12),2))</f>
        <v/>
      </c>
      <c r="AP221">
        <f>IF(K220&lt;=0,0,ROUND(K220*(1+IF(AND(K$6&gt;0,$B221&lt;K$6),K$4,K$5)/12),2))</f>
        <v/>
      </c>
      <c r="AQ221">
        <f>IF(L220&lt;=0,0,ROUND(L220*(1+IF(AND(L$6&gt;0,$B221&lt;L$6),L$4,L$5)/12),2))</f>
        <v/>
      </c>
      <c r="AR221">
        <f>IF(M220&lt;=0,0,ROUND(M220*(1+IF(AND(M$6&gt;0,$B221&lt;M$6),M$4,M$5)/12),2))</f>
        <v/>
      </c>
      <c r="AS221">
        <f>IF(N220&lt;=0,0,ROUND(N220*(1+IF(AND(N$6&gt;0,$B221&lt;N$6),N$4,N$5)/12),2))</f>
        <v/>
      </c>
    </row>
    <row r="222">
      <c r="A222" t="n">
        <v>211</v>
      </c>
      <c r="B222">
        <f>EDATE(Plan!$C$6,210)</f>
        <v/>
      </c>
      <c r="C222">
        <f>IF(C221&lt;=0,0,MAX(0,AH222-O222))</f>
        <v/>
      </c>
      <c r="D222">
        <f>IF(D221&lt;=0,0,MAX(0,AI222-P222))</f>
        <v/>
      </c>
      <c r="E222">
        <f>IF(E221&lt;=0,0,MAX(0,AJ222-Q222))</f>
        <v/>
      </c>
      <c r="F222">
        <f>IF(F221&lt;=0,0,MAX(0,AK222-R222))</f>
        <v/>
      </c>
      <c r="G222">
        <f>IF(G221&lt;=0,0,MAX(0,AL222-S222))</f>
        <v/>
      </c>
      <c r="H222">
        <f>IF(H221&lt;=0,0,MAX(0,AM222-T222))</f>
        <v/>
      </c>
      <c r="I222">
        <f>IF(I221&lt;=0,0,MAX(0,AN222-U222))</f>
        <v/>
      </c>
      <c r="J222">
        <f>IF(J221&lt;=0,0,MAX(0,AO222-V222))</f>
        <v/>
      </c>
      <c r="K222">
        <f>IF(K221&lt;=0,0,MAX(0,AP222-W222))</f>
        <v/>
      </c>
      <c r="L222">
        <f>IF(L221&lt;=0,0,MAX(0,AQ222-X222))</f>
        <v/>
      </c>
      <c r="M222">
        <f>IF(M221&lt;=0,0,MAX(0,AR222-Y222))</f>
        <v/>
      </c>
      <c r="N222">
        <f>IF(N221&lt;=0,0,MAX(0,AS222-Z222))</f>
        <v/>
      </c>
      <c r="O222">
        <f>IF(C221&lt;=0,0,MIN(AH222,C$7+IF(C$2=$AA222,$AC222,IF(C$2=$AF222,$AG222,0))))</f>
        <v/>
      </c>
      <c r="P222">
        <f>IF(D221&lt;=0,0,MIN(AI222,D$7+IF(D$2=$AA222,$AC222,IF(D$2=$AF222,$AG222,0))))</f>
        <v/>
      </c>
      <c r="Q222">
        <f>IF(E221&lt;=0,0,MIN(AJ222,E$7+IF(E$2=$AA222,$AC222,IF(E$2=$AF222,$AG222,0))))</f>
        <v/>
      </c>
      <c r="R222">
        <f>IF(F221&lt;=0,0,MIN(AK222,F$7+IF(F$2=$AA222,$AC222,IF(F$2=$AF222,$AG222,0))))</f>
        <v/>
      </c>
      <c r="S222">
        <f>IF(G221&lt;=0,0,MIN(AL222,G$7+IF(G$2=$AA222,$AC222,IF(G$2=$AF222,$AG222,0))))</f>
        <v/>
      </c>
      <c r="T222">
        <f>IF(H221&lt;=0,0,MIN(AM222,H$7+IF(H$2=$AA222,$AC222,IF(H$2=$AF222,$AG222,0))))</f>
        <v/>
      </c>
      <c r="U222">
        <f>IF(I221&lt;=0,0,MIN(AN222,I$7+IF(I$2=$AA222,$AC222,IF(I$2=$AF222,$AG222,0))))</f>
        <v/>
      </c>
      <c r="V222">
        <f>IF(J221&lt;=0,0,MIN(AO222,J$7+IF(J$2=$AA222,$AC222,IF(J$2=$AF222,$AG222,0))))</f>
        <v/>
      </c>
      <c r="W222">
        <f>IF(K221&lt;=0,0,MIN(AP222,K$7+IF(K$2=$AA222,$AC222,IF(K$2=$AF222,$AG222,0))))</f>
        <v/>
      </c>
      <c r="X222">
        <f>IF(L221&lt;=0,0,MIN(AQ222,L$7+IF(L$2=$AA222,$AC222,IF(L$2=$AF222,$AG222,0))))</f>
        <v/>
      </c>
      <c r="Y222">
        <f>IF(M221&lt;=0,0,MIN(AR222,M$7+IF(M$2=$AA222,$AC222,IF(M$2=$AF222,$AG222,0))))</f>
        <v/>
      </c>
      <c r="Z222">
        <f>IF(N221&lt;=0,0,MIN(AS222,N$7+IF(N$2=$AA222,$AC222,IF(N$2=$AF222,$AG222,0))))</f>
        <v/>
      </c>
      <c r="AA222">
        <f>IFERROR(ROUND(1/SUMPRODUCT(MAX((C221:N221&gt;0)*($C$3:$N$3&lt;=B222)/$C$2:$N$2)),0),0)</f>
        <v/>
      </c>
      <c r="AB222">
        <f>SUMPRODUCT((C221:N221&gt;0)*$C$7:$N$7)</f>
        <v/>
      </c>
      <c r="AC222">
        <f>MAX(0,Plan!$C$5-AB222)+IF(A222=Plan!$C$8,N(Plan!$C$7),0)</f>
        <v/>
      </c>
      <c r="AD222">
        <f>SUM(C222:N222)</f>
        <v/>
      </c>
      <c r="AE222">
        <f>SUM(O222:Z222)</f>
        <v/>
      </c>
      <c r="AF222">
        <f>IFERROR(ROUND(1/SUMPRODUCT(MAX((C221:N221&gt;0)*($C$3:$N$3&lt;=B222)*($C$2:$N$2&gt;AA222)/$C$2:$N$2)),0),0)</f>
        <v/>
      </c>
      <c r="AG222">
        <f>MAX(0,AC222-MAX(0,SUMPRODUCT(($C$2:$N$2=AA222)*(AH222:AS222-$C$7:$N$7))))</f>
        <v/>
      </c>
      <c r="AH222">
        <f>IF(C221&lt;=0,0,ROUND(C221*(1+IF(AND(C$6&gt;0,$B222&lt;C$6),C$4,C$5)/12),2))</f>
        <v/>
      </c>
      <c r="AI222">
        <f>IF(D221&lt;=0,0,ROUND(D221*(1+IF(AND(D$6&gt;0,$B222&lt;D$6),D$4,D$5)/12),2))</f>
        <v/>
      </c>
      <c r="AJ222">
        <f>IF(E221&lt;=0,0,ROUND(E221*(1+IF(AND(E$6&gt;0,$B222&lt;E$6),E$4,E$5)/12),2))</f>
        <v/>
      </c>
      <c r="AK222">
        <f>IF(F221&lt;=0,0,ROUND(F221*(1+IF(AND(F$6&gt;0,$B222&lt;F$6),F$4,F$5)/12),2))</f>
        <v/>
      </c>
      <c r="AL222">
        <f>IF(G221&lt;=0,0,ROUND(G221*(1+IF(AND(G$6&gt;0,$B222&lt;G$6),G$4,G$5)/12),2))</f>
        <v/>
      </c>
      <c r="AM222">
        <f>IF(H221&lt;=0,0,ROUND(H221*(1+IF(AND(H$6&gt;0,$B222&lt;H$6),H$4,H$5)/12),2))</f>
        <v/>
      </c>
      <c r="AN222">
        <f>IF(I221&lt;=0,0,ROUND(I221*(1+IF(AND(I$6&gt;0,$B222&lt;I$6),I$4,I$5)/12),2))</f>
        <v/>
      </c>
      <c r="AO222">
        <f>IF(J221&lt;=0,0,ROUND(J221*(1+IF(AND(J$6&gt;0,$B222&lt;J$6),J$4,J$5)/12),2))</f>
        <v/>
      </c>
      <c r="AP222">
        <f>IF(K221&lt;=0,0,ROUND(K221*(1+IF(AND(K$6&gt;0,$B222&lt;K$6),K$4,K$5)/12),2))</f>
        <v/>
      </c>
      <c r="AQ222">
        <f>IF(L221&lt;=0,0,ROUND(L221*(1+IF(AND(L$6&gt;0,$B222&lt;L$6),L$4,L$5)/12),2))</f>
        <v/>
      </c>
      <c r="AR222">
        <f>IF(M221&lt;=0,0,ROUND(M221*(1+IF(AND(M$6&gt;0,$B222&lt;M$6),M$4,M$5)/12),2))</f>
        <v/>
      </c>
      <c r="AS222">
        <f>IF(N221&lt;=0,0,ROUND(N221*(1+IF(AND(N$6&gt;0,$B222&lt;N$6),N$4,N$5)/12),2))</f>
        <v/>
      </c>
    </row>
    <row r="223">
      <c r="A223" t="n">
        <v>212</v>
      </c>
      <c r="B223">
        <f>EDATE(Plan!$C$6,211)</f>
        <v/>
      </c>
      <c r="C223">
        <f>IF(C222&lt;=0,0,MAX(0,AH223-O223))</f>
        <v/>
      </c>
      <c r="D223">
        <f>IF(D222&lt;=0,0,MAX(0,AI223-P223))</f>
        <v/>
      </c>
      <c r="E223">
        <f>IF(E222&lt;=0,0,MAX(0,AJ223-Q223))</f>
        <v/>
      </c>
      <c r="F223">
        <f>IF(F222&lt;=0,0,MAX(0,AK223-R223))</f>
        <v/>
      </c>
      <c r="G223">
        <f>IF(G222&lt;=0,0,MAX(0,AL223-S223))</f>
        <v/>
      </c>
      <c r="H223">
        <f>IF(H222&lt;=0,0,MAX(0,AM223-T223))</f>
        <v/>
      </c>
      <c r="I223">
        <f>IF(I222&lt;=0,0,MAX(0,AN223-U223))</f>
        <v/>
      </c>
      <c r="J223">
        <f>IF(J222&lt;=0,0,MAX(0,AO223-V223))</f>
        <v/>
      </c>
      <c r="K223">
        <f>IF(K222&lt;=0,0,MAX(0,AP223-W223))</f>
        <v/>
      </c>
      <c r="L223">
        <f>IF(L222&lt;=0,0,MAX(0,AQ223-X223))</f>
        <v/>
      </c>
      <c r="M223">
        <f>IF(M222&lt;=0,0,MAX(0,AR223-Y223))</f>
        <v/>
      </c>
      <c r="N223">
        <f>IF(N222&lt;=0,0,MAX(0,AS223-Z223))</f>
        <v/>
      </c>
      <c r="O223">
        <f>IF(C222&lt;=0,0,MIN(AH223,C$7+IF(C$2=$AA223,$AC223,IF(C$2=$AF223,$AG223,0))))</f>
        <v/>
      </c>
      <c r="P223">
        <f>IF(D222&lt;=0,0,MIN(AI223,D$7+IF(D$2=$AA223,$AC223,IF(D$2=$AF223,$AG223,0))))</f>
        <v/>
      </c>
      <c r="Q223">
        <f>IF(E222&lt;=0,0,MIN(AJ223,E$7+IF(E$2=$AA223,$AC223,IF(E$2=$AF223,$AG223,0))))</f>
        <v/>
      </c>
      <c r="R223">
        <f>IF(F222&lt;=0,0,MIN(AK223,F$7+IF(F$2=$AA223,$AC223,IF(F$2=$AF223,$AG223,0))))</f>
        <v/>
      </c>
      <c r="S223">
        <f>IF(G222&lt;=0,0,MIN(AL223,G$7+IF(G$2=$AA223,$AC223,IF(G$2=$AF223,$AG223,0))))</f>
        <v/>
      </c>
      <c r="T223">
        <f>IF(H222&lt;=0,0,MIN(AM223,H$7+IF(H$2=$AA223,$AC223,IF(H$2=$AF223,$AG223,0))))</f>
        <v/>
      </c>
      <c r="U223">
        <f>IF(I222&lt;=0,0,MIN(AN223,I$7+IF(I$2=$AA223,$AC223,IF(I$2=$AF223,$AG223,0))))</f>
        <v/>
      </c>
      <c r="V223">
        <f>IF(J222&lt;=0,0,MIN(AO223,J$7+IF(J$2=$AA223,$AC223,IF(J$2=$AF223,$AG223,0))))</f>
        <v/>
      </c>
      <c r="W223">
        <f>IF(K222&lt;=0,0,MIN(AP223,K$7+IF(K$2=$AA223,$AC223,IF(K$2=$AF223,$AG223,0))))</f>
        <v/>
      </c>
      <c r="X223">
        <f>IF(L222&lt;=0,0,MIN(AQ223,L$7+IF(L$2=$AA223,$AC223,IF(L$2=$AF223,$AG223,0))))</f>
        <v/>
      </c>
      <c r="Y223">
        <f>IF(M222&lt;=0,0,MIN(AR223,M$7+IF(M$2=$AA223,$AC223,IF(M$2=$AF223,$AG223,0))))</f>
        <v/>
      </c>
      <c r="Z223">
        <f>IF(N222&lt;=0,0,MIN(AS223,N$7+IF(N$2=$AA223,$AC223,IF(N$2=$AF223,$AG223,0))))</f>
        <v/>
      </c>
      <c r="AA223">
        <f>IFERROR(ROUND(1/SUMPRODUCT(MAX((C222:N222&gt;0)*($C$3:$N$3&lt;=B223)/$C$2:$N$2)),0),0)</f>
        <v/>
      </c>
      <c r="AB223">
        <f>SUMPRODUCT((C222:N222&gt;0)*$C$7:$N$7)</f>
        <v/>
      </c>
      <c r="AC223">
        <f>MAX(0,Plan!$C$5-AB223)+IF(A223=Plan!$C$8,N(Plan!$C$7),0)</f>
        <v/>
      </c>
      <c r="AD223">
        <f>SUM(C223:N223)</f>
        <v/>
      </c>
      <c r="AE223">
        <f>SUM(O223:Z223)</f>
        <v/>
      </c>
      <c r="AF223">
        <f>IFERROR(ROUND(1/SUMPRODUCT(MAX((C222:N222&gt;0)*($C$3:$N$3&lt;=B223)*($C$2:$N$2&gt;AA223)/$C$2:$N$2)),0),0)</f>
        <v/>
      </c>
      <c r="AG223">
        <f>MAX(0,AC223-MAX(0,SUMPRODUCT(($C$2:$N$2=AA223)*(AH223:AS223-$C$7:$N$7))))</f>
        <v/>
      </c>
      <c r="AH223">
        <f>IF(C222&lt;=0,0,ROUND(C222*(1+IF(AND(C$6&gt;0,$B223&lt;C$6),C$4,C$5)/12),2))</f>
        <v/>
      </c>
      <c r="AI223">
        <f>IF(D222&lt;=0,0,ROUND(D222*(1+IF(AND(D$6&gt;0,$B223&lt;D$6),D$4,D$5)/12),2))</f>
        <v/>
      </c>
      <c r="AJ223">
        <f>IF(E222&lt;=0,0,ROUND(E222*(1+IF(AND(E$6&gt;0,$B223&lt;E$6),E$4,E$5)/12),2))</f>
        <v/>
      </c>
      <c r="AK223">
        <f>IF(F222&lt;=0,0,ROUND(F222*(1+IF(AND(F$6&gt;0,$B223&lt;F$6),F$4,F$5)/12),2))</f>
        <v/>
      </c>
      <c r="AL223">
        <f>IF(G222&lt;=0,0,ROUND(G222*(1+IF(AND(G$6&gt;0,$B223&lt;G$6),G$4,G$5)/12),2))</f>
        <v/>
      </c>
      <c r="AM223">
        <f>IF(H222&lt;=0,0,ROUND(H222*(1+IF(AND(H$6&gt;0,$B223&lt;H$6),H$4,H$5)/12),2))</f>
        <v/>
      </c>
      <c r="AN223">
        <f>IF(I222&lt;=0,0,ROUND(I222*(1+IF(AND(I$6&gt;0,$B223&lt;I$6),I$4,I$5)/12),2))</f>
        <v/>
      </c>
      <c r="AO223">
        <f>IF(J222&lt;=0,0,ROUND(J222*(1+IF(AND(J$6&gt;0,$B223&lt;J$6),J$4,J$5)/12),2))</f>
        <v/>
      </c>
      <c r="AP223">
        <f>IF(K222&lt;=0,0,ROUND(K222*(1+IF(AND(K$6&gt;0,$B223&lt;K$6),K$4,K$5)/12),2))</f>
        <v/>
      </c>
      <c r="AQ223">
        <f>IF(L222&lt;=0,0,ROUND(L222*(1+IF(AND(L$6&gt;0,$B223&lt;L$6),L$4,L$5)/12),2))</f>
        <v/>
      </c>
      <c r="AR223">
        <f>IF(M222&lt;=0,0,ROUND(M222*(1+IF(AND(M$6&gt;0,$B223&lt;M$6),M$4,M$5)/12),2))</f>
        <v/>
      </c>
      <c r="AS223">
        <f>IF(N222&lt;=0,0,ROUND(N222*(1+IF(AND(N$6&gt;0,$B223&lt;N$6),N$4,N$5)/12),2))</f>
        <v/>
      </c>
    </row>
    <row r="224">
      <c r="A224" t="n">
        <v>213</v>
      </c>
      <c r="B224">
        <f>EDATE(Plan!$C$6,212)</f>
        <v/>
      </c>
      <c r="C224">
        <f>IF(C223&lt;=0,0,MAX(0,AH224-O224))</f>
        <v/>
      </c>
      <c r="D224">
        <f>IF(D223&lt;=0,0,MAX(0,AI224-P224))</f>
        <v/>
      </c>
      <c r="E224">
        <f>IF(E223&lt;=0,0,MAX(0,AJ224-Q224))</f>
        <v/>
      </c>
      <c r="F224">
        <f>IF(F223&lt;=0,0,MAX(0,AK224-R224))</f>
        <v/>
      </c>
      <c r="G224">
        <f>IF(G223&lt;=0,0,MAX(0,AL224-S224))</f>
        <v/>
      </c>
      <c r="H224">
        <f>IF(H223&lt;=0,0,MAX(0,AM224-T224))</f>
        <v/>
      </c>
      <c r="I224">
        <f>IF(I223&lt;=0,0,MAX(0,AN224-U224))</f>
        <v/>
      </c>
      <c r="J224">
        <f>IF(J223&lt;=0,0,MAX(0,AO224-V224))</f>
        <v/>
      </c>
      <c r="K224">
        <f>IF(K223&lt;=0,0,MAX(0,AP224-W224))</f>
        <v/>
      </c>
      <c r="L224">
        <f>IF(L223&lt;=0,0,MAX(0,AQ224-X224))</f>
        <v/>
      </c>
      <c r="M224">
        <f>IF(M223&lt;=0,0,MAX(0,AR224-Y224))</f>
        <v/>
      </c>
      <c r="N224">
        <f>IF(N223&lt;=0,0,MAX(0,AS224-Z224))</f>
        <v/>
      </c>
      <c r="O224">
        <f>IF(C223&lt;=0,0,MIN(AH224,C$7+IF(C$2=$AA224,$AC224,IF(C$2=$AF224,$AG224,0))))</f>
        <v/>
      </c>
      <c r="P224">
        <f>IF(D223&lt;=0,0,MIN(AI224,D$7+IF(D$2=$AA224,$AC224,IF(D$2=$AF224,$AG224,0))))</f>
        <v/>
      </c>
      <c r="Q224">
        <f>IF(E223&lt;=0,0,MIN(AJ224,E$7+IF(E$2=$AA224,$AC224,IF(E$2=$AF224,$AG224,0))))</f>
        <v/>
      </c>
      <c r="R224">
        <f>IF(F223&lt;=0,0,MIN(AK224,F$7+IF(F$2=$AA224,$AC224,IF(F$2=$AF224,$AG224,0))))</f>
        <v/>
      </c>
      <c r="S224">
        <f>IF(G223&lt;=0,0,MIN(AL224,G$7+IF(G$2=$AA224,$AC224,IF(G$2=$AF224,$AG224,0))))</f>
        <v/>
      </c>
      <c r="T224">
        <f>IF(H223&lt;=0,0,MIN(AM224,H$7+IF(H$2=$AA224,$AC224,IF(H$2=$AF224,$AG224,0))))</f>
        <v/>
      </c>
      <c r="U224">
        <f>IF(I223&lt;=0,0,MIN(AN224,I$7+IF(I$2=$AA224,$AC224,IF(I$2=$AF224,$AG224,0))))</f>
        <v/>
      </c>
      <c r="V224">
        <f>IF(J223&lt;=0,0,MIN(AO224,J$7+IF(J$2=$AA224,$AC224,IF(J$2=$AF224,$AG224,0))))</f>
        <v/>
      </c>
      <c r="W224">
        <f>IF(K223&lt;=0,0,MIN(AP224,K$7+IF(K$2=$AA224,$AC224,IF(K$2=$AF224,$AG224,0))))</f>
        <v/>
      </c>
      <c r="X224">
        <f>IF(L223&lt;=0,0,MIN(AQ224,L$7+IF(L$2=$AA224,$AC224,IF(L$2=$AF224,$AG224,0))))</f>
        <v/>
      </c>
      <c r="Y224">
        <f>IF(M223&lt;=0,0,MIN(AR224,M$7+IF(M$2=$AA224,$AC224,IF(M$2=$AF224,$AG224,0))))</f>
        <v/>
      </c>
      <c r="Z224">
        <f>IF(N223&lt;=0,0,MIN(AS224,N$7+IF(N$2=$AA224,$AC224,IF(N$2=$AF224,$AG224,0))))</f>
        <v/>
      </c>
      <c r="AA224">
        <f>IFERROR(ROUND(1/SUMPRODUCT(MAX((C223:N223&gt;0)*($C$3:$N$3&lt;=B224)/$C$2:$N$2)),0),0)</f>
        <v/>
      </c>
      <c r="AB224">
        <f>SUMPRODUCT((C223:N223&gt;0)*$C$7:$N$7)</f>
        <v/>
      </c>
      <c r="AC224">
        <f>MAX(0,Plan!$C$5-AB224)+IF(A224=Plan!$C$8,N(Plan!$C$7),0)</f>
        <v/>
      </c>
      <c r="AD224">
        <f>SUM(C224:N224)</f>
        <v/>
      </c>
      <c r="AE224">
        <f>SUM(O224:Z224)</f>
        <v/>
      </c>
      <c r="AF224">
        <f>IFERROR(ROUND(1/SUMPRODUCT(MAX((C223:N223&gt;0)*($C$3:$N$3&lt;=B224)*($C$2:$N$2&gt;AA224)/$C$2:$N$2)),0),0)</f>
        <v/>
      </c>
      <c r="AG224">
        <f>MAX(0,AC224-MAX(0,SUMPRODUCT(($C$2:$N$2=AA224)*(AH224:AS224-$C$7:$N$7))))</f>
        <v/>
      </c>
      <c r="AH224">
        <f>IF(C223&lt;=0,0,ROUND(C223*(1+IF(AND(C$6&gt;0,$B224&lt;C$6),C$4,C$5)/12),2))</f>
        <v/>
      </c>
      <c r="AI224">
        <f>IF(D223&lt;=0,0,ROUND(D223*(1+IF(AND(D$6&gt;0,$B224&lt;D$6),D$4,D$5)/12),2))</f>
        <v/>
      </c>
      <c r="AJ224">
        <f>IF(E223&lt;=0,0,ROUND(E223*(1+IF(AND(E$6&gt;0,$B224&lt;E$6),E$4,E$5)/12),2))</f>
        <v/>
      </c>
      <c r="AK224">
        <f>IF(F223&lt;=0,0,ROUND(F223*(1+IF(AND(F$6&gt;0,$B224&lt;F$6),F$4,F$5)/12),2))</f>
        <v/>
      </c>
      <c r="AL224">
        <f>IF(G223&lt;=0,0,ROUND(G223*(1+IF(AND(G$6&gt;0,$B224&lt;G$6),G$4,G$5)/12),2))</f>
        <v/>
      </c>
      <c r="AM224">
        <f>IF(H223&lt;=0,0,ROUND(H223*(1+IF(AND(H$6&gt;0,$B224&lt;H$6),H$4,H$5)/12),2))</f>
        <v/>
      </c>
      <c r="AN224">
        <f>IF(I223&lt;=0,0,ROUND(I223*(1+IF(AND(I$6&gt;0,$B224&lt;I$6),I$4,I$5)/12),2))</f>
        <v/>
      </c>
      <c r="AO224">
        <f>IF(J223&lt;=0,0,ROUND(J223*(1+IF(AND(J$6&gt;0,$B224&lt;J$6),J$4,J$5)/12),2))</f>
        <v/>
      </c>
      <c r="AP224">
        <f>IF(K223&lt;=0,0,ROUND(K223*(1+IF(AND(K$6&gt;0,$B224&lt;K$6),K$4,K$5)/12),2))</f>
        <v/>
      </c>
      <c r="AQ224">
        <f>IF(L223&lt;=0,0,ROUND(L223*(1+IF(AND(L$6&gt;0,$B224&lt;L$6),L$4,L$5)/12),2))</f>
        <v/>
      </c>
      <c r="AR224">
        <f>IF(M223&lt;=0,0,ROUND(M223*(1+IF(AND(M$6&gt;0,$B224&lt;M$6),M$4,M$5)/12),2))</f>
        <v/>
      </c>
      <c r="AS224">
        <f>IF(N223&lt;=0,0,ROUND(N223*(1+IF(AND(N$6&gt;0,$B224&lt;N$6),N$4,N$5)/12),2))</f>
        <v/>
      </c>
    </row>
    <row r="225">
      <c r="A225" t="n">
        <v>214</v>
      </c>
      <c r="B225">
        <f>EDATE(Plan!$C$6,213)</f>
        <v/>
      </c>
      <c r="C225">
        <f>IF(C224&lt;=0,0,MAX(0,AH225-O225))</f>
        <v/>
      </c>
      <c r="D225">
        <f>IF(D224&lt;=0,0,MAX(0,AI225-P225))</f>
        <v/>
      </c>
      <c r="E225">
        <f>IF(E224&lt;=0,0,MAX(0,AJ225-Q225))</f>
        <v/>
      </c>
      <c r="F225">
        <f>IF(F224&lt;=0,0,MAX(0,AK225-R225))</f>
        <v/>
      </c>
      <c r="G225">
        <f>IF(G224&lt;=0,0,MAX(0,AL225-S225))</f>
        <v/>
      </c>
      <c r="H225">
        <f>IF(H224&lt;=0,0,MAX(0,AM225-T225))</f>
        <v/>
      </c>
      <c r="I225">
        <f>IF(I224&lt;=0,0,MAX(0,AN225-U225))</f>
        <v/>
      </c>
      <c r="J225">
        <f>IF(J224&lt;=0,0,MAX(0,AO225-V225))</f>
        <v/>
      </c>
      <c r="K225">
        <f>IF(K224&lt;=0,0,MAX(0,AP225-W225))</f>
        <v/>
      </c>
      <c r="L225">
        <f>IF(L224&lt;=0,0,MAX(0,AQ225-X225))</f>
        <v/>
      </c>
      <c r="M225">
        <f>IF(M224&lt;=0,0,MAX(0,AR225-Y225))</f>
        <v/>
      </c>
      <c r="N225">
        <f>IF(N224&lt;=0,0,MAX(0,AS225-Z225))</f>
        <v/>
      </c>
      <c r="O225">
        <f>IF(C224&lt;=0,0,MIN(AH225,C$7+IF(C$2=$AA225,$AC225,IF(C$2=$AF225,$AG225,0))))</f>
        <v/>
      </c>
      <c r="P225">
        <f>IF(D224&lt;=0,0,MIN(AI225,D$7+IF(D$2=$AA225,$AC225,IF(D$2=$AF225,$AG225,0))))</f>
        <v/>
      </c>
      <c r="Q225">
        <f>IF(E224&lt;=0,0,MIN(AJ225,E$7+IF(E$2=$AA225,$AC225,IF(E$2=$AF225,$AG225,0))))</f>
        <v/>
      </c>
      <c r="R225">
        <f>IF(F224&lt;=0,0,MIN(AK225,F$7+IF(F$2=$AA225,$AC225,IF(F$2=$AF225,$AG225,0))))</f>
        <v/>
      </c>
      <c r="S225">
        <f>IF(G224&lt;=0,0,MIN(AL225,G$7+IF(G$2=$AA225,$AC225,IF(G$2=$AF225,$AG225,0))))</f>
        <v/>
      </c>
      <c r="T225">
        <f>IF(H224&lt;=0,0,MIN(AM225,H$7+IF(H$2=$AA225,$AC225,IF(H$2=$AF225,$AG225,0))))</f>
        <v/>
      </c>
      <c r="U225">
        <f>IF(I224&lt;=0,0,MIN(AN225,I$7+IF(I$2=$AA225,$AC225,IF(I$2=$AF225,$AG225,0))))</f>
        <v/>
      </c>
      <c r="V225">
        <f>IF(J224&lt;=0,0,MIN(AO225,J$7+IF(J$2=$AA225,$AC225,IF(J$2=$AF225,$AG225,0))))</f>
        <v/>
      </c>
      <c r="W225">
        <f>IF(K224&lt;=0,0,MIN(AP225,K$7+IF(K$2=$AA225,$AC225,IF(K$2=$AF225,$AG225,0))))</f>
        <v/>
      </c>
      <c r="X225">
        <f>IF(L224&lt;=0,0,MIN(AQ225,L$7+IF(L$2=$AA225,$AC225,IF(L$2=$AF225,$AG225,0))))</f>
        <v/>
      </c>
      <c r="Y225">
        <f>IF(M224&lt;=0,0,MIN(AR225,M$7+IF(M$2=$AA225,$AC225,IF(M$2=$AF225,$AG225,0))))</f>
        <v/>
      </c>
      <c r="Z225">
        <f>IF(N224&lt;=0,0,MIN(AS225,N$7+IF(N$2=$AA225,$AC225,IF(N$2=$AF225,$AG225,0))))</f>
        <v/>
      </c>
      <c r="AA225">
        <f>IFERROR(ROUND(1/SUMPRODUCT(MAX((C224:N224&gt;0)*($C$3:$N$3&lt;=B225)/$C$2:$N$2)),0),0)</f>
        <v/>
      </c>
      <c r="AB225">
        <f>SUMPRODUCT((C224:N224&gt;0)*$C$7:$N$7)</f>
        <v/>
      </c>
      <c r="AC225">
        <f>MAX(0,Plan!$C$5-AB225)+IF(A225=Plan!$C$8,N(Plan!$C$7),0)</f>
        <v/>
      </c>
      <c r="AD225">
        <f>SUM(C225:N225)</f>
        <v/>
      </c>
      <c r="AE225">
        <f>SUM(O225:Z225)</f>
        <v/>
      </c>
      <c r="AF225">
        <f>IFERROR(ROUND(1/SUMPRODUCT(MAX((C224:N224&gt;0)*($C$3:$N$3&lt;=B225)*($C$2:$N$2&gt;AA225)/$C$2:$N$2)),0),0)</f>
        <v/>
      </c>
      <c r="AG225">
        <f>MAX(0,AC225-MAX(0,SUMPRODUCT(($C$2:$N$2=AA225)*(AH225:AS225-$C$7:$N$7))))</f>
        <v/>
      </c>
      <c r="AH225">
        <f>IF(C224&lt;=0,0,ROUND(C224*(1+IF(AND(C$6&gt;0,$B225&lt;C$6),C$4,C$5)/12),2))</f>
        <v/>
      </c>
      <c r="AI225">
        <f>IF(D224&lt;=0,0,ROUND(D224*(1+IF(AND(D$6&gt;0,$B225&lt;D$6),D$4,D$5)/12),2))</f>
        <v/>
      </c>
      <c r="AJ225">
        <f>IF(E224&lt;=0,0,ROUND(E224*(1+IF(AND(E$6&gt;0,$B225&lt;E$6),E$4,E$5)/12),2))</f>
        <v/>
      </c>
      <c r="AK225">
        <f>IF(F224&lt;=0,0,ROUND(F224*(1+IF(AND(F$6&gt;0,$B225&lt;F$6),F$4,F$5)/12),2))</f>
        <v/>
      </c>
      <c r="AL225">
        <f>IF(G224&lt;=0,0,ROUND(G224*(1+IF(AND(G$6&gt;0,$B225&lt;G$6),G$4,G$5)/12),2))</f>
        <v/>
      </c>
      <c r="AM225">
        <f>IF(H224&lt;=0,0,ROUND(H224*(1+IF(AND(H$6&gt;0,$B225&lt;H$6),H$4,H$5)/12),2))</f>
        <v/>
      </c>
      <c r="AN225">
        <f>IF(I224&lt;=0,0,ROUND(I224*(1+IF(AND(I$6&gt;0,$B225&lt;I$6),I$4,I$5)/12),2))</f>
        <v/>
      </c>
      <c r="AO225">
        <f>IF(J224&lt;=0,0,ROUND(J224*(1+IF(AND(J$6&gt;0,$B225&lt;J$6),J$4,J$5)/12),2))</f>
        <v/>
      </c>
      <c r="AP225">
        <f>IF(K224&lt;=0,0,ROUND(K224*(1+IF(AND(K$6&gt;0,$B225&lt;K$6),K$4,K$5)/12),2))</f>
        <v/>
      </c>
      <c r="AQ225">
        <f>IF(L224&lt;=0,0,ROUND(L224*(1+IF(AND(L$6&gt;0,$B225&lt;L$6),L$4,L$5)/12),2))</f>
        <v/>
      </c>
      <c r="AR225">
        <f>IF(M224&lt;=0,0,ROUND(M224*(1+IF(AND(M$6&gt;0,$B225&lt;M$6),M$4,M$5)/12),2))</f>
        <v/>
      </c>
      <c r="AS225">
        <f>IF(N224&lt;=0,0,ROUND(N224*(1+IF(AND(N$6&gt;0,$B225&lt;N$6),N$4,N$5)/12),2))</f>
        <v/>
      </c>
    </row>
    <row r="226">
      <c r="A226" t="n">
        <v>215</v>
      </c>
      <c r="B226">
        <f>EDATE(Plan!$C$6,214)</f>
        <v/>
      </c>
      <c r="C226">
        <f>IF(C225&lt;=0,0,MAX(0,AH226-O226))</f>
        <v/>
      </c>
      <c r="D226">
        <f>IF(D225&lt;=0,0,MAX(0,AI226-P226))</f>
        <v/>
      </c>
      <c r="E226">
        <f>IF(E225&lt;=0,0,MAX(0,AJ226-Q226))</f>
        <v/>
      </c>
      <c r="F226">
        <f>IF(F225&lt;=0,0,MAX(0,AK226-R226))</f>
        <v/>
      </c>
      <c r="G226">
        <f>IF(G225&lt;=0,0,MAX(0,AL226-S226))</f>
        <v/>
      </c>
      <c r="H226">
        <f>IF(H225&lt;=0,0,MAX(0,AM226-T226))</f>
        <v/>
      </c>
      <c r="I226">
        <f>IF(I225&lt;=0,0,MAX(0,AN226-U226))</f>
        <v/>
      </c>
      <c r="J226">
        <f>IF(J225&lt;=0,0,MAX(0,AO226-V226))</f>
        <v/>
      </c>
      <c r="K226">
        <f>IF(K225&lt;=0,0,MAX(0,AP226-W226))</f>
        <v/>
      </c>
      <c r="L226">
        <f>IF(L225&lt;=0,0,MAX(0,AQ226-X226))</f>
        <v/>
      </c>
      <c r="M226">
        <f>IF(M225&lt;=0,0,MAX(0,AR226-Y226))</f>
        <v/>
      </c>
      <c r="N226">
        <f>IF(N225&lt;=0,0,MAX(0,AS226-Z226))</f>
        <v/>
      </c>
      <c r="O226">
        <f>IF(C225&lt;=0,0,MIN(AH226,C$7+IF(C$2=$AA226,$AC226,IF(C$2=$AF226,$AG226,0))))</f>
        <v/>
      </c>
      <c r="P226">
        <f>IF(D225&lt;=0,0,MIN(AI226,D$7+IF(D$2=$AA226,$AC226,IF(D$2=$AF226,$AG226,0))))</f>
        <v/>
      </c>
      <c r="Q226">
        <f>IF(E225&lt;=0,0,MIN(AJ226,E$7+IF(E$2=$AA226,$AC226,IF(E$2=$AF226,$AG226,0))))</f>
        <v/>
      </c>
      <c r="R226">
        <f>IF(F225&lt;=0,0,MIN(AK226,F$7+IF(F$2=$AA226,$AC226,IF(F$2=$AF226,$AG226,0))))</f>
        <v/>
      </c>
      <c r="S226">
        <f>IF(G225&lt;=0,0,MIN(AL226,G$7+IF(G$2=$AA226,$AC226,IF(G$2=$AF226,$AG226,0))))</f>
        <v/>
      </c>
      <c r="T226">
        <f>IF(H225&lt;=0,0,MIN(AM226,H$7+IF(H$2=$AA226,$AC226,IF(H$2=$AF226,$AG226,0))))</f>
        <v/>
      </c>
      <c r="U226">
        <f>IF(I225&lt;=0,0,MIN(AN226,I$7+IF(I$2=$AA226,$AC226,IF(I$2=$AF226,$AG226,0))))</f>
        <v/>
      </c>
      <c r="V226">
        <f>IF(J225&lt;=0,0,MIN(AO226,J$7+IF(J$2=$AA226,$AC226,IF(J$2=$AF226,$AG226,0))))</f>
        <v/>
      </c>
      <c r="W226">
        <f>IF(K225&lt;=0,0,MIN(AP226,K$7+IF(K$2=$AA226,$AC226,IF(K$2=$AF226,$AG226,0))))</f>
        <v/>
      </c>
      <c r="X226">
        <f>IF(L225&lt;=0,0,MIN(AQ226,L$7+IF(L$2=$AA226,$AC226,IF(L$2=$AF226,$AG226,0))))</f>
        <v/>
      </c>
      <c r="Y226">
        <f>IF(M225&lt;=0,0,MIN(AR226,M$7+IF(M$2=$AA226,$AC226,IF(M$2=$AF226,$AG226,0))))</f>
        <v/>
      </c>
      <c r="Z226">
        <f>IF(N225&lt;=0,0,MIN(AS226,N$7+IF(N$2=$AA226,$AC226,IF(N$2=$AF226,$AG226,0))))</f>
        <v/>
      </c>
      <c r="AA226">
        <f>IFERROR(ROUND(1/SUMPRODUCT(MAX((C225:N225&gt;0)*($C$3:$N$3&lt;=B226)/$C$2:$N$2)),0),0)</f>
        <v/>
      </c>
      <c r="AB226">
        <f>SUMPRODUCT((C225:N225&gt;0)*$C$7:$N$7)</f>
        <v/>
      </c>
      <c r="AC226">
        <f>MAX(0,Plan!$C$5-AB226)+IF(A226=Plan!$C$8,N(Plan!$C$7),0)</f>
        <v/>
      </c>
      <c r="AD226">
        <f>SUM(C226:N226)</f>
        <v/>
      </c>
      <c r="AE226">
        <f>SUM(O226:Z226)</f>
        <v/>
      </c>
      <c r="AF226">
        <f>IFERROR(ROUND(1/SUMPRODUCT(MAX((C225:N225&gt;0)*($C$3:$N$3&lt;=B226)*($C$2:$N$2&gt;AA226)/$C$2:$N$2)),0),0)</f>
        <v/>
      </c>
      <c r="AG226">
        <f>MAX(0,AC226-MAX(0,SUMPRODUCT(($C$2:$N$2=AA226)*(AH226:AS226-$C$7:$N$7))))</f>
        <v/>
      </c>
      <c r="AH226">
        <f>IF(C225&lt;=0,0,ROUND(C225*(1+IF(AND(C$6&gt;0,$B226&lt;C$6),C$4,C$5)/12),2))</f>
        <v/>
      </c>
      <c r="AI226">
        <f>IF(D225&lt;=0,0,ROUND(D225*(1+IF(AND(D$6&gt;0,$B226&lt;D$6),D$4,D$5)/12),2))</f>
        <v/>
      </c>
      <c r="AJ226">
        <f>IF(E225&lt;=0,0,ROUND(E225*(1+IF(AND(E$6&gt;0,$B226&lt;E$6),E$4,E$5)/12),2))</f>
        <v/>
      </c>
      <c r="AK226">
        <f>IF(F225&lt;=0,0,ROUND(F225*(1+IF(AND(F$6&gt;0,$B226&lt;F$6),F$4,F$5)/12),2))</f>
        <v/>
      </c>
      <c r="AL226">
        <f>IF(G225&lt;=0,0,ROUND(G225*(1+IF(AND(G$6&gt;0,$B226&lt;G$6),G$4,G$5)/12),2))</f>
        <v/>
      </c>
      <c r="AM226">
        <f>IF(H225&lt;=0,0,ROUND(H225*(1+IF(AND(H$6&gt;0,$B226&lt;H$6),H$4,H$5)/12),2))</f>
        <v/>
      </c>
      <c r="AN226">
        <f>IF(I225&lt;=0,0,ROUND(I225*(1+IF(AND(I$6&gt;0,$B226&lt;I$6),I$4,I$5)/12),2))</f>
        <v/>
      </c>
      <c r="AO226">
        <f>IF(J225&lt;=0,0,ROUND(J225*(1+IF(AND(J$6&gt;0,$B226&lt;J$6),J$4,J$5)/12),2))</f>
        <v/>
      </c>
      <c r="AP226">
        <f>IF(K225&lt;=0,0,ROUND(K225*(1+IF(AND(K$6&gt;0,$B226&lt;K$6),K$4,K$5)/12),2))</f>
        <v/>
      </c>
      <c r="AQ226">
        <f>IF(L225&lt;=0,0,ROUND(L225*(1+IF(AND(L$6&gt;0,$B226&lt;L$6),L$4,L$5)/12),2))</f>
        <v/>
      </c>
      <c r="AR226">
        <f>IF(M225&lt;=0,0,ROUND(M225*(1+IF(AND(M$6&gt;0,$B226&lt;M$6),M$4,M$5)/12),2))</f>
        <v/>
      </c>
      <c r="AS226">
        <f>IF(N225&lt;=0,0,ROUND(N225*(1+IF(AND(N$6&gt;0,$B226&lt;N$6),N$4,N$5)/12),2))</f>
        <v/>
      </c>
    </row>
    <row r="227">
      <c r="A227" t="n">
        <v>216</v>
      </c>
      <c r="B227">
        <f>EDATE(Plan!$C$6,215)</f>
        <v/>
      </c>
      <c r="C227">
        <f>IF(C226&lt;=0,0,MAX(0,AH227-O227))</f>
        <v/>
      </c>
      <c r="D227">
        <f>IF(D226&lt;=0,0,MAX(0,AI227-P227))</f>
        <v/>
      </c>
      <c r="E227">
        <f>IF(E226&lt;=0,0,MAX(0,AJ227-Q227))</f>
        <v/>
      </c>
      <c r="F227">
        <f>IF(F226&lt;=0,0,MAX(0,AK227-R227))</f>
        <v/>
      </c>
      <c r="G227">
        <f>IF(G226&lt;=0,0,MAX(0,AL227-S227))</f>
        <v/>
      </c>
      <c r="H227">
        <f>IF(H226&lt;=0,0,MAX(0,AM227-T227))</f>
        <v/>
      </c>
      <c r="I227">
        <f>IF(I226&lt;=0,0,MAX(0,AN227-U227))</f>
        <v/>
      </c>
      <c r="J227">
        <f>IF(J226&lt;=0,0,MAX(0,AO227-V227))</f>
        <v/>
      </c>
      <c r="K227">
        <f>IF(K226&lt;=0,0,MAX(0,AP227-W227))</f>
        <v/>
      </c>
      <c r="L227">
        <f>IF(L226&lt;=0,0,MAX(0,AQ227-X227))</f>
        <v/>
      </c>
      <c r="M227">
        <f>IF(M226&lt;=0,0,MAX(0,AR227-Y227))</f>
        <v/>
      </c>
      <c r="N227">
        <f>IF(N226&lt;=0,0,MAX(0,AS227-Z227))</f>
        <v/>
      </c>
      <c r="O227">
        <f>IF(C226&lt;=0,0,MIN(AH227,C$7+IF(C$2=$AA227,$AC227,IF(C$2=$AF227,$AG227,0))))</f>
        <v/>
      </c>
      <c r="P227">
        <f>IF(D226&lt;=0,0,MIN(AI227,D$7+IF(D$2=$AA227,$AC227,IF(D$2=$AF227,$AG227,0))))</f>
        <v/>
      </c>
      <c r="Q227">
        <f>IF(E226&lt;=0,0,MIN(AJ227,E$7+IF(E$2=$AA227,$AC227,IF(E$2=$AF227,$AG227,0))))</f>
        <v/>
      </c>
      <c r="R227">
        <f>IF(F226&lt;=0,0,MIN(AK227,F$7+IF(F$2=$AA227,$AC227,IF(F$2=$AF227,$AG227,0))))</f>
        <v/>
      </c>
      <c r="S227">
        <f>IF(G226&lt;=0,0,MIN(AL227,G$7+IF(G$2=$AA227,$AC227,IF(G$2=$AF227,$AG227,0))))</f>
        <v/>
      </c>
      <c r="T227">
        <f>IF(H226&lt;=0,0,MIN(AM227,H$7+IF(H$2=$AA227,$AC227,IF(H$2=$AF227,$AG227,0))))</f>
        <v/>
      </c>
      <c r="U227">
        <f>IF(I226&lt;=0,0,MIN(AN227,I$7+IF(I$2=$AA227,$AC227,IF(I$2=$AF227,$AG227,0))))</f>
        <v/>
      </c>
      <c r="V227">
        <f>IF(J226&lt;=0,0,MIN(AO227,J$7+IF(J$2=$AA227,$AC227,IF(J$2=$AF227,$AG227,0))))</f>
        <v/>
      </c>
      <c r="W227">
        <f>IF(K226&lt;=0,0,MIN(AP227,K$7+IF(K$2=$AA227,$AC227,IF(K$2=$AF227,$AG227,0))))</f>
        <v/>
      </c>
      <c r="X227">
        <f>IF(L226&lt;=0,0,MIN(AQ227,L$7+IF(L$2=$AA227,$AC227,IF(L$2=$AF227,$AG227,0))))</f>
        <v/>
      </c>
      <c r="Y227">
        <f>IF(M226&lt;=0,0,MIN(AR227,M$7+IF(M$2=$AA227,$AC227,IF(M$2=$AF227,$AG227,0))))</f>
        <v/>
      </c>
      <c r="Z227">
        <f>IF(N226&lt;=0,0,MIN(AS227,N$7+IF(N$2=$AA227,$AC227,IF(N$2=$AF227,$AG227,0))))</f>
        <v/>
      </c>
      <c r="AA227">
        <f>IFERROR(ROUND(1/SUMPRODUCT(MAX((C226:N226&gt;0)*($C$3:$N$3&lt;=B227)/$C$2:$N$2)),0),0)</f>
        <v/>
      </c>
      <c r="AB227">
        <f>SUMPRODUCT((C226:N226&gt;0)*$C$7:$N$7)</f>
        <v/>
      </c>
      <c r="AC227">
        <f>MAX(0,Plan!$C$5-AB227)+IF(A227=Plan!$C$8,N(Plan!$C$7),0)</f>
        <v/>
      </c>
      <c r="AD227">
        <f>SUM(C227:N227)</f>
        <v/>
      </c>
      <c r="AE227">
        <f>SUM(O227:Z227)</f>
        <v/>
      </c>
      <c r="AF227">
        <f>IFERROR(ROUND(1/SUMPRODUCT(MAX((C226:N226&gt;0)*($C$3:$N$3&lt;=B227)*($C$2:$N$2&gt;AA227)/$C$2:$N$2)),0),0)</f>
        <v/>
      </c>
      <c r="AG227">
        <f>MAX(0,AC227-MAX(0,SUMPRODUCT(($C$2:$N$2=AA227)*(AH227:AS227-$C$7:$N$7))))</f>
        <v/>
      </c>
      <c r="AH227">
        <f>IF(C226&lt;=0,0,ROUND(C226*(1+IF(AND(C$6&gt;0,$B227&lt;C$6),C$4,C$5)/12),2))</f>
        <v/>
      </c>
      <c r="AI227">
        <f>IF(D226&lt;=0,0,ROUND(D226*(1+IF(AND(D$6&gt;0,$B227&lt;D$6),D$4,D$5)/12),2))</f>
        <v/>
      </c>
      <c r="AJ227">
        <f>IF(E226&lt;=0,0,ROUND(E226*(1+IF(AND(E$6&gt;0,$B227&lt;E$6),E$4,E$5)/12),2))</f>
        <v/>
      </c>
      <c r="AK227">
        <f>IF(F226&lt;=0,0,ROUND(F226*(1+IF(AND(F$6&gt;0,$B227&lt;F$6),F$4,F$5)/12),2))</f>
        <v/>
      </c>
      <c r="AL227">
        <f>IF(G226&lt;=0,0,ROUND(G226*(1+IF(AND(G$6&gt;0,$B227&lt;G$6),G$4,G$5)/12),2))</f>
        <v/>
      </c>
      <c r="AM227">
        <f>IF(H226&lt;=0,0,ROUND(H226*(1+IF(AND(H$6&gt;0,$B227&lt;H$6),H$4,H$5)/12),2))</f>
        <v/>
      </c>
      <c r="AN227">
        <f>IF(I226&lt;=0,0,ROUND(I226*(1+IF(AND(I$6&gt;0,$B227&lt;I$6),I$4,I$5)/12),2))</f>
        <v/>
      </c>
      <c r="AO227">
        <f>IF(J226&lt;=0,0,ROUND(J226*(1+IF(AND(J$6&gt;0,$B227&lt;J$6),J$4,J$5)/12),2))</f>
        <v/>
      </c>
      <c r="AP227">
        <f>IF(K226&lt;=0,0,ROUND(K226*(1+IF(AND(K$6&gt;0,$B227&lt;K$6),K$4,K$5)/12),2))</f>
        <v/>
      </c>
      <c r="AQ227">
        <f>IF(L226&lt;=0,0,ROUND(L226*(1+IF(AND(L$6&gt;0,$B227&lt;L$6),L$4,L$5)/12),2))</f>
        <v/>
      </c>
      <c r="AR227">
        <f>IF(M226&lt;=0,0,ROUND(M226*(1+IF(AND(M$6&gt;0,$B227&lt;M$6),M$4,M$5)/12),2))</f>
        <v/>
      </c>
      <c r="AS227">
        <f>IF(N226&lt;=0,0,ROUND(N226*(1+IF(AND(N$6&gt;0,$B227&lt;N$6),N$4,N$5)/12),2))</f>
        <v/>
      </c>
    </row>
    <row r="228">
      <c r="A228" t="n">
        <v>217</v>
      </c>
      <c r="B228">
        <f>EDATE(Plan!$C$6,216)</f>
        <v/>
      </c>
      <c r="C228">
        <f>IF(C227&lt;=0,0,MAX(0,AH228-O228))</f>
        <v/>
      </c>
      <c r="D228">
        <f>IF(D227&lt;=0,0,MAX(0,AI228-P228))</f>
        <v/>
      </c>
      <c r="E228">
        <f>IF(E227&lt;=0,0,MAX(0,AJ228-Q228))</f>
        <v/>
      </c>
      <c r="F228">
        <f>IF(F227&lt;=0,0,MAX(0,AK228-R228))</f>
        <v/>
      </c>
      <c r="G228">
        <f>IF(G227&lt;=0,0,MAX(0,AL228-S228))</f>
        <v/>
      </c>
      <c r="H228">
        <f>IF(H227&lt;=0,0,MAX(0,AM228-T228))</f>
        <v/>
      </c>
      <c r="I228">
        <f>IF(I227&lt;=0,0,MAX(0,AN228-U228))</f>
        <v/>
      </c>
      <c r="J228">
        <f>IF(J227&lt;=0,0,MAX(0,AO228-V228))</f>
        <v/>
      </c>
      <c r="K228">
        <f>IF(K227&lt;=0,0,MAX(0,AP228-W228))</f>
        <v/>
      </c>
      <c r="L228">
        <f>IF(L227&lt;=0,0,MAX(0,AQ228-X228))</f>
        <v/>
      </c>
      <c r="M228">
        <f>IF(M227&lt;=0,0,MAX(0,AR228-Y228))</f>
        <v/>
      </c>
      <c r="N228">
        <f>IF(N227&lt;=0,0,MAX(0,AS228-Z228))</f>
        <v/>
      </c>
      <c r="O228">
        <f>IF(C227&lt;=0,0,MIN(AH228,C$7+IF(C$2=$AA228,$AC228,IF(C$2=$AF228,$AG228,0))))</f>
        <v/>
      </c>
      <c r="P228">
        <f>IF(D227&lt;=0,0,MIN(AI228,D$7+IF(D$2=$AA228,$AC228,IF(D$2=$AF228,$AG228,0))))</f>
        <v/>
      </c>
      <c r="Q228">
        <f>IF(E227&lt;=0,0,MIN(AJ228,E$7+IF(E$2=$AA228,$AC228,IF(E$2=$AF228,$AG228,0))))</f>
        <v/>
      </c>
      <c r="R228">
        <f>IF(F227&lt;=0,0,MIN(AK228,F$7+IF(F$2=$AA228,$AC228,IF(F$2=$AF228,$AG228,0))))</f>
        <v/>
      </c>
      <c r="S228">
        <f>IF(G227&lt;=0,0,MIN(AL228,G$7+IF(G$2=$AA228,$AC228,IF(G$2=$AF228,$AG228,0))))</f>
        <v/>
      </c>
      <c r="T228">
        <f>IF(H227&lt;=0,0,MIN(AM228,H$7+IF(H$2=$AA228,$AC228,IF(H$2=$AF228,$AG228,0))))</f>
        <v/>
      </c>
      <c r="U228">
        <f>IF(I227&lt;=0,0,MIN(AN228,I$7+IF(I$2=$AA228,$AC228,IF(I$2=$AF228,$AG228,0))))</f>
        <v/>
      </c>
      <c r="V228">
        <f>IF(J227&lt;=0,0,MIN(AO228,J$7+IF(J$2=$AA228,$AC228,IF(J$2=$AF228,$AG228,0))))</f>
        <v/>
      </c>
      <c r="W228">
        <f>IF(K227&lt;=0,0,MIN(AP228,K$7+IF(K$2=$AA228,$AC228,IF(K$2=$AF228,$AG228,0))))</f>
        <v/>
      </c>
      <c r="X228">
        <f>IF(L227&lt;=0,0,MIN(AQ228,L$7+IF(L$2=$AA228,$AC228,IF(L$2=$AF228,$AG228,0))))</f>
        <v/>
      </c>
      <c r="Y228">
        <f>IF(M227&lt;=0,0,MIN(AR228,M$7+IF(M$2=$AA228,$AC228,IF(M$2=$AF228,$AG228,0))))</f>
        <v/>
      </c>
      <c r="Z228">
        <f>IF(N227&lt;=0,0,MIN(AS228,N$7+IF(N$2=$AA228,$AC228,IF(N$2=$AF228,$AG228,0))))</f>
        <v/>
      </c>
      <c r="AA228">
        <f>IFERROR(ROUND(1/SUMPRODUCT(MAX((C227:N227&gt;0)*($C$3:$N$3&lt;=B228)/$C$2:$N$2)),0),0)</f>
        <v/>
      </c>
      <c r="AB228">
        <f>SUMPRODUCT((C227:N227&gt;0)*$C$7:$N$7)</f>
        <v/>
      </c>
      <c r="AC228">
        <f>MAX(0,Plan!$C$5-AB228)+IF(A228=Plan!$C$8,N(Plan!$C$7),0)</f>
        <v/>
      </c>
      <c r="AD228">
        <f>SUM(C228:N228)</f>
        <v/>
      </c>
      <c r="AE228">
        <f>SUM(O228:Z228)</f>
        <v/>
      </c>
      <c r="AF228">
        <f>IFERROR(ROUND(1/SUMPRODUCT(MAX((C227:N227&gt;0)*($C$3:$N$3&lt;=B228)*($C$2:$N$2&gt;AA228)/$C$2:$N$2)),0),0)</f>
        <v/>
      </c>
      <c r="AG228">
        <f>MAX(0,AC228-MAX(0,SUMPRODUCT(($C$2:$N$2=AA228)*(AH228:AS228-$C$7:$N$7))))</f>
        <v/>
      </c>
      <c r="AH228">
        <f>IF(C227&lt;=0,0,ROUND(C227*(1+IF(AND(C$6&gt;0,$B228&lt;C$6),C$4,C$5)/12),2))</f>
        <v/>
      </c>
      <c r="AI228">
        <f>IF(D227&lt;=0,0,ROUND(D227*(1+IF(AND(D$6&gt;0,$B228&lt;D$6),D$4,D$5)/12),2))</f>
        <v/>
      </c>
      <c r="AJ228">
        <f>IF(E227&lt;=0,0,ROUND(E227*(1+IF(AND(E$6&gt;0,$B228&lt;E$6),E$4,E$5)/12),2))</f>
        <v/>
      </c>
      <c r="AK228">
        <f>IF(F227&lt;=0,0,ROUND(F227*(1+IF(AND(F$6&gt;0,$B228&lt;F$6),F$4,F$5)/12),2))</f>
        <v/>
      </c>
      <c r="AL228">
        <f>IF(G227&lt;=0,0,ROUND(G227*(1+IF(AND(G$6&gt;0,$B228&lt;G$6),G$4,G$5)/12),2))</f>
        <v/>
      </c>
      <c r="AM228">
        <f>IF(H227&lt;=0,0,ROUND(H227*(1+IF(AND(H$6&gt;0,$B228&lt;H$6),H$4,H$5)/12),2))</f>
        <v/>
      </c>
      <c r="AN228">
        <f>IF(I227&lt;=0,0,ROUND(I227*(1+IF(AND(I$6&gt;0,$B228&lt;I$6),I$4,I$5)/12),2))</f>
        <v/>
      </c>
      <c r="AO228">
        <f>IF(J227&lt;=0,0,ROUND(J227*(1+IF(AND(J$6&gt;0,$B228&lt;J$6),J$4,J$5)/12),2))</f>
        <v/>
      </c>
      <c r="AP228">
        <f>IF(K227&lt;=0,0,ROUND(K227*(1+IF(AND(K$6&gt;0,$B228&lt;K$6),K$4,K$5)/12),2))</f>
        <v/>
      </c>
      <c r="AQ228">
        <f>IF(L227&lt;=0,0,ROUND(L227*(1+IF(AND(L$6&gt;0,$B228&lt;L$6),L$4,L$5)/12),2))</f>
        <v/>
      </c>
      <c r="AR228">
        <f>IF(M227&lt;=0,0,ROUND(M227*(1+IF(AND(M$6&gt;0,$B228&lt;M$6),M$4,M$5)/12),2))</f>
        <v/>
      </c>
      <c r="AS228">
        <f>IF(N227&lt;=0,0,ROUND(N227*(1+IF(AND(N$6&gt;0,$B228&lt;N$6),N$4,N$5)/12),2))</f>
        <v/>
      </c>
    </row>
    <row r="229">
      <c r="A229" t="n">
        <v>218</v>
      </c>
      <c r="B229">
        <f>EDATE(Plan!$C$6,217)</f>
        <v/>
      </c>
      <c r="C229">
        <f>IF(C228&lt;=0,0,MAX(0,AH229-O229))</f>
        <v/>
      </c>
      <c r="D229">
        <f>IF(D228&lt;=0,0,MAX(0,AI229-P229))</f>
        <v/>
      </c>
      <c r="E229">
        <f>IF(E228&lt;=0,0,MAX(0,AJ229-Q229))</f>
        <v/>
      </c>
      <c r="F229">
        <f>IF(F228&lt;=0,0,MAX(0,AK229-R229))</f>
        <v/>
      </c>
      <c r="G229">
        <f>IF(G228&lt;=0,0,MAX(0,AL229-S229))</f>
        <v/>
      </c>
      <c r="H229">
        <f>IF(H228&lt;=0,0,MAX(0,AM229-T229))</f>
        <v/>
      </c>
      <c r="I229">
        <f>IF(I228&lt;=0,0,MAX(0,AN229-U229))</f>
        <v/>
      </c>
      <c r="J229">
        <f>IF(J228&lt;=0,0,MAX(0,AO229-V229))</f>
        <v/>
      </c>
      <c r="K229">
        <f>IF(K228&lt;=0,0,MAX(0,AP229-W229))</f>
        <v/>
      </c>
      <c r="L229">
        <f>IF(L228&lt;=0,0,MAX(0,AQ229-X229))</f>
        <v/>
      </c>
      <c r="M229">
        <f>IF(M228&lt;=0,0,MAX(0,AR229-Y229))</f>
        <v/>
      </c>
      <c r="N229">
        <f>IF(N228&lt;=0,0,MAX(0,AS229-Z229))</f>
        <v/>
      </c>
      <c r="O229">
        <f>IF(C228&lt;=0,0,MIN(AH229,C$7+IF(C$2=$AA229,$AC229,IF(C$2=$AF229,$AG229,0))))</f>
        <v/>
      </c>
      <c r="P229">
        <f>IF(D228&lt;=0,0,MIN(AI229,D$7+IF(D$2=$AA229,$AC229,IF(D$2=$AF229,$AG229,0))))</f>
        <v/>
      </c>
      <c r="Q229">
        <f>IF(E228&lt;=0,0,MIN(AJ229,E$7+IF(E$2=$AA229,$AC229,IF(E$2=$AF229,$AG229,0))))</f>
        <v/>
      </c>
      <c r="R229">
        <f>IF(F228&lt;=0,0,MIN(AK229,F$7+IF(F$2=$AA229,$AC229,IF(F$2=$AF229,$AG229,0))))</f>
        <v/>
      </c>
      <c r="S229">
        <f>IF(G228&lt;=0,0,MIN(AL229,G$7+IF(G$2=$AA229,$AC229,IF(G$2=$AF229,$AG229,0))))</f>
        <v/>
      </c>
      <c r="T229">
        <f>IF(H228&lt;=0,0,MIN(AM229,H$7+IF(H$2=$AA229,$AC229,IF(H$2=$AF229,$AG229,0))))</f>
        <v/>
      </c>
      <c r="U229">
        <f>IF(I228&lt;=0,0,MIN(AN229,I$7+IF(I$2=$AA229,$AC229,IF(I$2=$AF229,$AG229,0))))</f>
        <v/>
      </c>
      <c r="V229">
        <f>IF(J228&lt;=0,0,MIN(AO229,J$7+IF(J$2=$AA229,$AC229,IF(J$2=$AF229,$AG229,0))))</f>
        <v/>
      </c>
      <c r="W229">
        <f>IF(K228&lt;=0,0,MIN(AP229,K$7+IF(K$2=$AA229,$AC229,IF(K$2=$AF229,$AG229,0))))</f>
        <v/>
      </c>
      <c r="X229">
        <f>IF(L228&lt;=0,0,MIN(AQ229,L$7+IF(L$2=$AA229,$AC229,IF(L$2=$AF229,$AG229,0))))</f>
        <v/>
      </c>
      <c r="Y229">
        <f>IF(M228&lt;=0,0,MIN(AR229,M$7+IF(M$2=$AA229,$AC229,IF(M$2=$AF229,$AG229,0))))</f>
        <v/>
      </c>
      <c r="Z229">
        <f>IF(N228&lt;=0,0,MIN(AS229,N$7+IF(N$2=$AA229,$AC229,IF(N$2=$AF229,$AG229,0))))</f>
        <v/>
      </c>
      <c r="AA229">
        <f>IFERROR(ROUND(1/SUMPRODUCT(MAX((C228:N228&gt;0)*($C$3:$N$3&lt;=B229)/$C$2:$N$2)),0),0)</f>
        <v/>
      </c>
      <c r="AB229">
        <f>SUMPRODUCT((C228:N228&gt;0)*$C$7:$N$7)</f>
        <v/>
      </c>
      <c r="AC229">
        <f>MAX(0,Plan!$C$5-AB229)+IF(A229=Plan!$C$8,N(Plan!$C$7),0)</f>
        <v/>
      </c>
      <c r="AD229">
        <f>SUM(C229:N229)</f>
        <v/>
      </c>
      <c r="AE229">
        <f>SUM(O229:Z229)</f>
        <v/>
      </c>
      <c r="AF229">
        <f>IFERROR(ROUND(1/SUMPRODUCT(MAX((C228:N228&gt;0)*($C$3:$N$3&lt;=B229)*($C$2:$N$2&gt;AA229)/$C$2:$N$2)),0),0)</f>
        <v/>
      </c>
      <c r="AG229">
        <f>MAX(0,AC229-MAX(0,SUMPRODUCT(($C$2:$N$2=AA229)*(AH229:AS229-$C$7:$N$7))))</f>
        <v/>
      </c>
      <c r="AH229">
        <f>IF(C228&lt;=0,0,ROUND(C228*(1+IF(AND(C$6&gt;0,$B229&lt;C$6),C$4,C$5)/12),2))</f>
        <v/>
      </c>
      <c r="AI229">
        <f>IF(D228&lt;=0,0,ROUND(D228*(1+IF(AND(D$6&gt;0,$B229&lt;D$6),D$4,D$5)/12),2))</f>
        <v/>
      </c>
      <c r="AJ229">
        <f>IF(E228&lt;=0,0,ROUND(E228*(1+IF(AND(E$6&gt;0,$B229&lt;E$6),E$4,E$5)/12),2))</f>
        <v/>
      </c>
      <c r="AK229">
        <f>IF(F228&lt;=0,0,ROUND(F228*(1+IF(AND(F$6&gt;0,$B229&lt;F$6),F$4,F$5)/12),2))</f>
        <v/>
      </c>
      <c r="AL229">
        <f>IF(G228&lt;=0,0,ROUND(G228*(1+IF(AND(G$6&gt;0,$B229&lt;G$6),G$4,G$5)/12),2))</f>
        <v/>
      </c>
      <c r="AM229">
        <f>IF(H228&lt;=0,0,ROUND(H228*(1+IF(AND(H$6&gt;0,$B229&lt;H$6),H$4,H$5)/12),2))</f>
        <v/>
      </c>
      <c r="AN229">
        <f>IF(I228&lt;=0,0,ROUND(I228*(1+IF(AND(I$6&gt;0,$B229&lt;I$6),I$4,I$5)/12),2))</f>
        <v/>
      </c>
      <c r="AO229">
        <f>IF(J228&lt;=0,0,ROUND(J228*(1+IF(AND(J$6&gt;0,$B229&lt;J$6),J$4,J$5)/12),2))</f>
        <v/>
      </c>
      <c r="AP229">
        <f>IF(K228&lt;=0,0,ROUND(K228*(1+IF(AND(K$6&gt;0,$B229&lt;K$6),K$4,K$5)/12),2))</f>
        <v/>
      </c>
      <c r="AQ229">
        <f>IF(L228&lt;=0,0,ROUND(L228*(1+IF(AND(L$6&gt;0,$B229&lt;L$6),L$4,L$5)/12),2))</f>
        <v/>
      </c>
      <c r="AR229">
        <f>IF(M228&lt;=0,0,ROUND(M228*(1+IF(AND(M$6&gt;0,$B229&lt;M$6),M$4,M$5)/12),2))</f>
        <v/>
      </c>
      <c r="AS229">
        <f>IF(N228&lt;=0,0,ROUND(N228*(1+IF(AND(N$6&gt;0,$B229&lt;N$6),N$4,N$5)/12),2))</f>
        <v/>
      </c>
    </row>
    <row r="230">
      <c r="A230" t="n">
        <v>219</v>
      </c>
      <c r="B230">
        <f>EDATE(Plan!$C$6,218)</f>
        <v/>
      </c>
      <c r="C230">
        <f>IF(C229&lt;=0,0,MAX(0,AH230-O230))</f>
        <v/>
      </c>
      <c r="D230">
        <f>IF(D229&lt;=0,0,MAX(0,AI230-P230))</f>
        <v/>
      </c>
      <c r="E230">
        <f>IF(E229&lt;=0,0,MAX(0,AJ230-Q230))</f>
        <v/>
      </c>
      <c r="F230">
        <f>IF(F229&lt;=0,0,MAX(0,AK230-R230))</f>
        <v/>
      </c>
      <c r="G230">
        <f>IF(G229&lt;=0,0,MAX(0,AL230-S230))</f>
        <v/>
      </c>
      <c r="H230">
        <f>IF(H229&lt;=0,0,MAX(0,AM230-T230))</f>
        <v/>
      </c>
      <c r="I230">
        <f>IF(I229&lt;=0,0,MAX(0,AN230-U230))</f>
        <v/>
      </c>
      <c r="J230">
        <f>IF(J229&lt;=0,0,MAX(0,AO230-V230))</f>
        <v/>
      </c>
      <c r="K230">
        <f>IF(K229&lt;=0,0,MAX(0,AP230-W230))</f>
        <v/>
      </c>
      <c r="L230">
        <f>IF(L229&lt;=0,0,MAX(0,AQ230-X230))</f>
        <v/>
      </c>
      <c r="M230">
        <f>IF(M229&lt;=0,0,MAX(0,AR230-Y230))</f>
        <v/>
      </c>
      <c r="N230">
        <f>IF(N229&lt;=0,0,MAX(0,AS230-Z230))</f>
        <v/>
      </c>
      <c r="O230">
        <f>IF(C229&lt;=0,0,MIN(AH230,C$7+IF(C$2=$AA230,$AC230,IF(C$2=$AF230,$AG230,0))))</f>
        <v/>
      </c>
      <c r="P230">
        <f>IF(D229&lt;=0,0,MIN(AI230,D$7+IF(D$2=$AA230,$AC230,IF(D$2=$AF230,$AG230,0))))</f>
        <v/>
      </c>
      <c r="Q230">
        <f>IF(E229&lt;=0,0,MIN(AJ230,E$7+IF(E$2=$AA230,$AC230,IF(E$2=$AF230,$AG230,0))))</f>
        <v/>
      </c>
      <c r="R230">
        <f>IF(F229&lt;=0,0,MIN(AK230,F$7+IF(F$2=$AA230,$AC230,IF(F$2=$AF230,$AG230,0))))</f>
        <v/>
      </c>
      <c r="S230">
        <f>IF(G229&lt;=0,0,MIN(AL230,G$7+IF(G$2=$AA230,$AC230,IF(G$2=$AF230,$AG230,0))))</f>
        <v/>
      </c>
      <c r="T230">
        <f>IF(H229&lt;=0,0,MIN(AM230,H$7+IF(H$2=$AA230,$AC230,IF(H$2=$AF230,$AG230,0))))</f>
        <v/>
      </c>
      <c r="U230">
        <f>IF(I229&lt;=0,0,MIN(AN230,I$7+IF(I$2=$AA230,$AC230,IF(I$2=$AF230,$AG230,0))))</f>
        <v/>
      </c>
      <c r="V230">
        <f>IF(J229&lt;=0,0,MIN(AO230,J$7+IF(J$2=$AA230,$AC230,IF(J$2=$AF230,$AG230,0))))</f>
        <v/>
      </c>
      <c r="W230">
        <f>IF(K229&lt;=0,0,MIN(AP230,K$7+IF(K$2=$AA230,$AC230,IF(K$2=$AF230,$AG230,0))))</f>
        <v/>
      </c>
      <c r="X230">
        <f>IF(L229&lt;=0,0,MIN(AQ230,L$7+IF(L$2=$AA230,$AC230,IF(L$2=$AF230,$AG230,0))))</f>
        <v/>
      </c>
      <c r="Y230">
        <f>IF(M229&lt;=0,0,MIN(AR230,M$7+IF(M$2=$AA230,$AC230,IF(M$2=$AF230,$AG230,0))))</f>
        <v/>
      </c>
      <c r="Z230">
        <f>IF(N229&lt;=0,0,MIN(AS230,N$7+IF(N$2=$AA230,$AC230,IF(N$2=$AF230,$AG230,0))))</f>
        <v/>
      </c>
      <c r="AA230">
        <f>IFERROR(ROUND(1/SUMPRODUCT(MAX((C229:N229&gt;0)*($C$3:$N$3&lt;=B230)/$C$2:$N$2)),0),0)</f>
        <v/>
      </c>
      <c r="AB230">
        <f>SUMPRODUCT((C229:N229&gt;0)*$C$7:$N$7)</f>
        <v/>
      </c>
      <c r="AC230">
        <f>MAX(0,Plan!$C$5-AB230)+IF(A230=Plan!$C$8,N(Plan!$C$7),0)</f>
        <v/>
      </c>
      <c r="AD230">
        <f>SUM(C230:N230)</f>
        <v/>
      </c>
      <c r="AE230">
        <f>SUM(O230:Z230)</f>
        <v/>
      </c>
      <c r="AF230">
        <f>IFERROR(ROUND(1/SUMPRODUCT(MAX((C229:N229&gt;0)*($C$3:$N$3&lt;=B230)*($C$2:$N$2&gt;AA230)/$C$2:$N$2)),0),0)</f>
        <v/>
      </c>
      <c r="AG230">
        <f>MAX(0,AC230-MAX(0,SUMPRODUCT(($C$2:$N$2=AA230)*(AH230:AS230-$C$7:$N$7))))</f>
        <v/>
      </c>
      <c r="AH230">
        <f>IF(C229&lt;=0,0,ROUND(C229*(1+IF(AND(C$6&gt;0,$B230&lt;C$6),C$4,C$5)/12),2))</f>
        <v/>
      </c>
      <c r="AI230">
        <f>IF(D229&lt;=0,0,ROUND(D229*(1+IF(AND(D$6&gt;0,$B230&lt;D$6),D$4,D$5)/12),2))</f>
        <v/>
      </c>
      <c r="AJ230">
        <f>IF(E229&lt;=0,0,ROUND(E229*(1+IF(AND(E$6&gt;0,$B230&lt;E$6),E$4,E$5)/12),2))</f>
        <v/>
      </c>
      <c r="AK230">
        <f>IF(F229&lt;=0,0,ROUND(F229*(1+IF(AND(F$6&gt;0,$B230&lt;F$6),F$4,F$5)/12),2))</f>
        <v/>
      </c>
      <c r="AL230">
        <f>IF(G229&lt;=0,0,ROUND(G229*(1+IF(AND(G$6&gt;0,$B230&lt;G$6),G$4,G$5)/12),2))</f>
        <v/>
      </c>
      <c r="AM230">
        <f>IF(H229&lt;=0,0,ROUND(H229*(1+IF(AND(H$6&gt;0,$B230&lt;H$6),H$4,H$5)/12),2))</f>
        <v/>
      </c>
      <c r="AN230">
        <f>IF(I229&lt;=0,0,ROUND(I229*(1+IF(AND(I$6&gt;0,$B230&lt;I$6),I$4,I$5)/12),2))</f>
        <v/>
      </c>
      <c r="AO230">
        <f>IF(J229&lt;=0,0,ROUND(J229*(1+IF(AND(J$6&gt;0,$B230&lt;J$6),J$4,J$5)/12),2))</f>
        <v/>
      </c>
      <c r="AP230">
        <f>IF(K229&lt;=0,0,ROUND(K229*(1+IF(AND(K$6&gt;0,$B230&lt;K$6),K$4,K$5)/12),2))</f>
        <v/>
      </c>
      <c r="AQ230">
        <f>IF(L229&lt;=0,0,ROUND(L229*(1+IF(AND(L$6&gt;0,$B230&lt;L$6),L$4,L$5)/12),2))</f>
        <v/>
      </c>
      <c r="AR230">
        <f>IF(M229&lt;=0,0,ROUND(M229*(1+IF(AND(M$6&gt;0,$B230&lt;M$6),M$4,M$5)/12),2))</f>
        <v/>
      </c>
      <c r="AS230">
        <f>IF(N229&lt;=0,0,ROUND(N229*(1+IF(AND(N$6&gt;0,$B230&lt;N$6),N$4,N$5)/12),2))</f>
        <v/>
      </c>
    </row>
    <row r="231">
      <c r="A231" t="n">
        <v>220</v>
      </c>
      <c r="B231">
        <f>EDATE(Plan!$C$6,219)</f>
        <v/>
      </c>
      <c r="C231">
        <f>IF(C230&lt;=0,0,MAX(0,AH231-O231))</f>
        <v/>
      </c>
      <c r="D231">
        <f>IF(D230&lt;=0,0,MAX(0,AI231-P231))</f>
        <v/>
      </c>
      <c r="E231">
        <f>IF(E230&lt;=0,0,MAX(0,AJ231-Q231))</f>
        <v/>
      </c>
      <c r="F231">
        <f>IF(F230&lt;=0,0,MAX(0,AK231-R231))</f>
        <v/>
      </c>
      <c r="G231">
        <f>IF(G230&lt;=0,0,MAX(0,AL231-S231))</f>
        <v/>
      </c>
      <c r="H231">
        <f>IF(H230&lt;=0,0,MAX(0,AM231-T231))</f>
        <v/>
      </c>
      <c r="I231">
        <f>IF(I230&lt;=0,0,MAX(0,AN231-U231))</f>
        <v/>
      </c>
      <c r="J231">
        <f>IF(J230&lt;=0,0,MAX(0,AO231-V231))</f>
        <v/>
      </c>
      <c r="K231">
        <f>IF(K230&lt;=0,0,MAX(0,AP231-W231))</f>
        <v/>
      </c>
      <c r="L231">
        <f>IF(L230&lt;=0,0,MAX(0,AQ231-X231))</f>
        <v/>
      </c>
      <c r="M231">
        <f>IF(M230&lt;=0,0,MAX(0,AR231-Y231))</f>
        <v/>
      </c>
      <c r="N231">
        <f>IF(N230&lt;=0,0,MAX(0,AS231-Z231))</f>
        <v/>
      </c>
      <c r="O231">
        <f>IF(C230&lt;=0,0,MIN(AH231,C$7+IF(C$2=$AA231,$AC231,IF(C$2=$AF231,$AG231,0))))</f>
        <v/>
      </c>
      <c r="P231">
        <f>IF(D230&lt;=0,0,MIN(AI231,D$7+IF(D$2=$AA231,$AC231,IF(D$2=$AF231,$AG231,0))))</f>
        <v/>
      </c>
      <c r="Q231">
        <f>IF(E230&lt;=0,0,MIN(AJ231,E$7+IF(E$2=$AA231,$AC231,IF(E$2=$AF231,$AG231,0))))</f>
        <v/>
      </c>
      <c r="R231">
        <f>IF(F230&lt;=0,0,MIN(AK231,F$7+IF(F$2=$AA231,$AC231,IF(F$2=$AF231,$AG231,0))))</f>
        <v/>
      </c>
      <c r="S231">
        <f>IF(G230&lt;=0,0,MIN(AL231,G$7+IF(G$2=$AA231,$AC231,IF(G$2=$AF231,$AG231,0))))</f>
        <v/>
      </c>
      <c r="T231">
        <f>IF(H230&lt;=0,0,MIN(AM231,H$7+IF(H$2=$AA231,$AC231,IF(H$2=$AF231,$AG231,0))))</f>
        <v/>
      </c>
      <c r="U231">
        <f>IF(I230&lt;=0,0,MIN(AN231,I$7+IF(I$2=$AA231,$AC231,IF(I$2=$AF231,$AG231,0))))</f>
        <v/>
      </c>
      <c r="V231">
        <f>IF(J230&lt;=0,0,MIN(AO231,J$7+IF(J$2=$AA231,$AC231,IF(J$2=$AF231,$AG231,0))))</f>
        <v/>
      </c>
      <c r="W231">
        <f>IF(K230&lt;=0,0,MIN(AP231,K$7+IF(K$2=$AA231,$AC231,IF(K$2=$AF231,$AG231,0))))</f>
        <v/>
      </c>
      <c r="X231">
        <f>IF(L230&lt;=0,0,MIN(AQ231,L$7+IF(L$2=$AA231,$AC231,IF(L$2=$AF231,$AG231,0))))</f>
        <v/>
      </c>
      <c r="Y231">
        <f>IF(M230&lt;=0,0,MIN(AR231,M$7+IF(M$2=$AA231,$AC231,IF(M$2=$AF231,$AG231,0))))</f>
        <v/>
      </c>
      <c r="Z231">
        <f>IF(N230&lt;=0,0,MIN(AS231,N$7+IF(N$2=$AA231,$AC231,IF(N$2=$AF231,$AG231,0))))</f>
        <v/>
      </c>
      <c r="AA231">
        <f>IFERROR(ROUND(1/SUMPRODUCT(MAX((C230:N230&gt;0)*($C$3:$N$3&lt;=B231)/$C$2:$N$2)),0),0)</f>
        <v/>
      </c>
      <c r="AB231">
        <f>SUMPRODUCT((C230:N230&gt;0)*$C$7:$N$7)</f>
        <v/>
      </c>
      <c r="AC231">
        <f>MAX(0,Plan!$C$5-AB231)+IF(A231=Plan!$C$8,N(Plan!$C$7),0)</f>
        <v/>
      </c>
      <c r="AD231">
        <f>SUM(C231:N231)</f>
        <v/>
      </c>
      <c r="AE231">
        <f>SUM(O231:Z231)</f>
        <v/>
      </c>
      <c r="AF231">
        <f>IFERROR(ROUND(1/SUMPRODUCT(MAX((C230:N230&gt;0)*($C$3:$N$3&lt;=B231)*($C$2:$N$2&gt;AA231)/$C$2:$N$2)),0),0)</f>
        <v/>
      </c>
      <c r="AG231">
        <f>MAX(0,AC231-MAX(0,SUMPRODUCT(($C$2:$N$2=AA231)*(AH231:AS231-$C$7:$N$7))))</f>
        <v/>
      </c>
      <c r="AH231">
        <f>IF(C230&lt;=0,0,ROUND(C230*(1+IF(AND(C$6&gt;0,$B231&lt;C$6),C$4,C$5)/12),2))</f>
        <v/>
      </c>
      <c r="AI231">
        <f>IF(D230&lt;=0,0,ROUND(D230*(1+IF(AND(D$6&gt;0,$B231&lt;D$6),D$4,D$5)/12),2))</f>
        <v/>
      </c>
      <c r="AJ231">
        <f>IF(E230&lt;=0,0,ROUND(E230*(1+IF(AND(E$6&gt;0,$B231&lt;E$6),E$4,E$5)/12),2))</f>
        <v/>
      </c>
      <c r="AK231">
        <f>IF(F230&lt;=0,0,ROUND(F230*(1+IF(AND(F$6&gt;0,$B231&lt;F$6),F$4,F$5)/12),2))</f>
        <v/>
      </c>
      <c r="AL231">
        <f>IF(G230&lt;=0,0,ROUND(G230*(1+IF(AND(G$6&gt;0,$B231&lt;G$6),G$4,G$5)/12),2))</f>
        <v/>
      </c>
      <c r="AM231">
        <f>IF(H230&lt;=0,0,ROUND(H230*(1+IF(AND(H$6&gt;0,$B231&lt;H$6),H$4,H$5)/12),2))</f>
        <v/>
      </c>
      <c r="AN231">
        <f>IF(I230&lt;=0,0,ROUND(I230*(1+IF(AND(I$6&gt;0,$B231&lt;I$6),I$4,I$5)/12),2))</f>
        <v/>
      </c>
      <c r="AO231">
        <f>IF(J230&lt;=0,0,ROUND(J230*(1+IF(AND(J$6&gt;0,$B231&lt;J$6),J$4,J$5)/12),2))</f>
        <v/>
      </c>
      <c r="AP231">
        <f>IF(K230&lt;=0,0,ROUND(K230*(1+IF(AND(K$6&gt;0,$B231&lt;K$6),K$4,K$5)/12),2))</f>
        <v/>
      </c>
      <c r="AQ231">
        <f>IF(L230&lt;=0,0,ROUND(L230*(1+IF(AND(L$6&gt;0,$B231&lt;L$6),L$4,L$5)/12),2))</f>
        <v/>
      </c>
      <c r="AR231">
        <f>IF(M230&lt;=0,0,ROUND(M230*(1+IF(AND(M$6&gt;0,$B231&lt;M$6),M$4,M$5)/12),2))</f>
        <v/>
      </c>
      <c r="AS231">
        <f>IF(N230&lt;=0,0,ROUND(N230*(1+IF(AND(N$6&gt;0,$B231&lt;N$6),N$4,N$5)/12),2))</f>
        <v/>
      </c>
    </row>
    <row r="232">
      <c r="A232" t="n">
        <v>221</v>
      </c>
      <c r="B232">
        <f>EDATE(Plan!$C$6,220)</f>
        <v/>
      </c>
      <c r="C232">
        <f>IF(C231&lt;=0,0,MAX(0,AH232-O232))</f>
        <v/>
      </c>
      <c r="D232">
        <f>IF(D231&lt;=0,0,MAX(0,AI232-P232))</f>
        <v/>
      </c>
      <c r="E232">
        <f>IF(E231&lt;=0,0,MAX(0,AJ232-Q232))</f>
        <v/>
      </c>
      <c r="F232">
        <f>IF(F231&lt;=0,0,MAX(0,AK232-R232))</f>
        <v/>
      </c>
      <c r="G232">
        <f>IF(G231&lt;=0,0,MAX(0,AL232-S232))</f>
        <v/>
      </c>
      <c r="H232">
        <f>IF(H231&lt;=0,0,MAX(0,AM232-T232))</f>
        <v/>
      </c>
      <c r="I232">
        <f>IF(I231&lt;=0,0,MAX(0,AN232-U232))</f>
        <v/>
      </c>
      <c r="J232">
        <f>IF(J231&lt;=0,0,MAX(0,AO232-V232))</f>
        <v/>
      </c>
      <c r="K232">
        <f>IF(K231&lt;=0,0,MAX(0,AP232-W232))</f>
        <v/>
      </c>
      <c r="L232">
        <f>IF(L231&lt;=0,0,MAX(0,AQ232-X232))</f>
        <v/>
      </c>
      <c r="M232">
        <f>IF(M231&lt;=0,0,MAX(0,AR232-Y232))</f>
        <v/>
      </c>
      <c r="N232">
        <f>IF(N231&lt;=0,0,MAX(0,AS232-Z232))</f>
        <v/>
      </c>
      <c r="O232">
        <f>IF(C231&lt;=0,0,MIN(AH232,C$7+IF(C$2=$AA232,$AC232,IF(C$2=$AF232,$AG232,0))))</f>
        <v/>
      </c>
      <c r="P232">
        <f>IF(D231&lt;=0,0,MIN(AI232,D$7+IF(D$2=$AA232,$AC232,IF(D$2=$AF232,$AG232,0))))</f>
        <v/>
      </c>
      <c r="Q232">
        <f>IF(E231&lt;=0,0,MIN(AJ232,E$7+IF(E$2=$AA232,$AC232,IF(E$2=$AF232,$AG232,0))))</f>
        <v/>
      </c>
      <c r="R232">
        <f>IF(F231&lt;=0,0,MIN(AK232,F$7+IF(F$2=$AA232,$AC232,IF(F$2=$AF232,$AG232,0))))</f>
        <v/>
      </c>
      <c r="S232">
        <f>IF(G231&lt;=0,0,MIN(AL232,G$7+IF(G$2=$AA232,$AC232,IF(G$2=$AF232,$AG232,0))))</f>
        <v/>
      </c>
      <c r="T232">
        <f>IF(H231&lt;=0,0,MIN(AM232,H$7+IF(H$2=$AA232,$AC232,IF(H$2=$AF232,$AG232,0))))</f>
        <v/>
      </c>
      <c r="U232">
        <f>IF(I231&lt;=0,0,MIN(AN232,I$7+IF(I$2=$AA232,$AC232,IF(I$2=$AF232,$AG232,0))))</f>
        <v/>
      </c>
      <c r="V232">
        <f>IF(J231&lt;=0,0,MIN(AO232,J$7+IF(J$2=$AA232,$AC232,IF(J$2=$AF232,$AG232,0))))</f>
        <v/>
      </c>
      <c r="W232">
        <f>IF(K231&lt;=0,0,MIN(AP232,K$7+IF(K$2=$AA232,$AC232,IF(K$2=$AF232,$AG232,0))))</f>
        <v/>
      </c>
      <c r="X232">
        <f>IF(L231&lt;=0,0,MIN(AQ232,L$7+IF(L$2=$AA232,$AC232,IF(L$2=$AF232,$AG232,0))))</f>
        <v/>
      </c>
      <c r="Y232">
        <f>IF(M231&lt;=0,0,MIN(AR232,M$7+IF(M$2=$AA232,$AC232,IF(M$2=$AF232,$AG232,0))))</f>
        <v/>
      </c>
      <c r="Z232">
        <f>IF(N231&lt;=0,0,MIN(AS232,N$7+IF(N$2=$AA232,$AC232,IF(N$2=$AF232,$AG232,0))))</f>
        <v/>
      </c>
      <c r="AA232">
        <f>IFERROR(ROUND(1/SUMPRODUCT(MAX((C231:N231&gt;0)*($C$3:$N$3&lt;=B232)/$C$2:$N$2)),0),0)</f>
        <v/>
      </c>
      <c r="AB232">
        <f>SUMPRODUCT((C231:N231&gt;0)*$C$7:$N$7)</f>
        <v/>
      </c>
      <c r="AC232">
        <f>MAX(0,Plan!$C$5-AB232)+IF(A232=Plan!$C$8,N(Plan!$C$7),0)</f>
        <v/>
      </c>
      <c r="AD232">
        <f>SUM(C232:N232)</f>
        <v/>
      </c>
      <c r="AE232">
        <f>SUM(O232:Z232)</f>
        <v/>
      </c>
      <c r="AF232">
        <f>IFERROR(ROUND(1/SUMPRODUCT(MAX((C231:N231&gt;0)*($C$3:$N$3&lt;=B232)*($C$2:$N$2&gt;AA232)/$C$2:$N$2)),0),0)</f>
        <v/>
      </c>
      <c r="AG232">
        <f>MAX(0,AC232-MAX(0,SUMPRODUCT(($C$2:$N$2=AA232)*(AH232:AS232-$C$7:$N$7))))</f>
        <v/>
      </c>
      <c r="AH232">
        <f>IF(C231&lt;=0,0,ROUND(C231*(1+IF(AND(C$6&gt;0,$B232&lt;C$6),C$4,C$5)/12),2))</f>
        <v/>
      </c>
      <c r="AI232">
        <f>IF(D231&lt;=0,0,ROUND(D231*(1+IF(AND(D$6&gt;0,$B232&lt;D$6),D$4,D$5)/12),2))</f>
        <v/>
      </c>
      <c r="AJ232">
        <f>IF(E231&lt;=0,0,ROUND(E231*(1+IF(AND(E$6&gt;0,$B232&lt;E$6),E$4,E$5)/12),2))</f>
        <v/>
      </c>
      <c r="AK232">
        <f>IF(F231&lt;=0,0,ROUND(F231*(1+IF(AND(F$6&gt;0,$B232&lt;F$6),F$4,F$5)/12),2))</f>
        <v/>
      </c>
      <c r="AL232">
        <f>IF(G231&lt;=0,0,ROUND(G231*(1+IF(AND(G$6&gt;0,$B232&lt;G$6),G$4,G$5)/12),2))</f>
        <v/>
      </c>
      <c r="AM232">
        <f>IF(H231&lt;=0,0,ROUND(H231*(1+IF(AND(H$6&gt;0,$B232&lt;H$6),H$4,H$5)/12),2))</f>
        <v/>
      </c>
      <c r="AN232">
        <f>IF(I231&lt;=0,0,ROUND(I231*(1+IF(AND(I$6&gt;0,$B232&lt;I$6),I$4,I$5)/12),2))</f>
        <v/>
      </c>
      <c r="AO232">
        <f>IF(J231&lt;=0,0,ROUND(J231*(1+IF(AND(J$6&gt;0,$B232&lt;J$6),J$4,J$5)/12),2))</f>
        <v/>
      </c>
      <c r="AP232">
        <f>IF(K231&lt;=0,0,ROUND(K231*(1+IF(AND(K$6&gt;0,$B232&lt;K$6),K$4,K$5)/12),2))</f>
        <v/>
      </c>
      <c r="AQ232">
        <f>IF(L231&lt;=0,0,ROUND(L231*(1+IF(AND(L$6&gt;0,$B232&lt;L$6),L$4,L$5)/12),2))</f>
        <v/>
      </c>
      <c r="AR232">
        <f>IF(M231&lt;=0,0,ROUND(M231*(1+IF(AND(M$6&gt;0,$B232&lt;M$6),M$4,M$5)/12),2))</f>
        <v/>
      </c>
      <c r="AS232">
        <f>IF(N231&lt;=0,0,ROUND(N231*(1+IF(AND(N$6&gt;0,$B232&lt;N$6),N$4,N$5)/12),2))</f>
        <v/>
      </c>
    </row>
    <row r="233">
      <c r="A233" t="n">
        <v>222</v>
      </c>
      <c r="B233">
        <f>EDATE(Plan!$C$6,221)</f>
        <v/>
      </c>
      <c r="C233">
        <f>IF(C232&lt;=0,0,MAX(0,AH233-O233))</f>
        <v/>
      </c>
      <c r="D233">
        <f>IF(D232&lt;=0,0,MAX(0,AI233-P233))</f>
        <v/>
      </c>
      <c r="E233">
        <f>IF(E232&lt;=0,0,MAX(0,AJ233-Q233))</f>
        <v/>
      </c>
      <c r="F233">
        <f>IF(F232&lt;=0,0,MAX(0,AK233-R233))</f>
        <v/>
      </c>
      <c r="G233">
        <f>IF(G232&lt;=0,0,MAX(0,AL233-S233))</f>
        <v/>
      </c>
      <c r="H233">
        <f>IF(H232&lt;=0,0,MAX(0,AM233-T233))</f>
        <v/>
      </c>
      <c r="I233">
        <f>IF(I232&lt;=0,0,MAX(0,AN233-U233))</f>
        <v/>
      </c>
      <c r="J233">
        <f>IF(J232&lt;=0,0,MAX(0,AO233-V233))</f>
        <v/>
      </c>
      <c r="K233">
        <f>IF(K232&lt;=0,0,MAX(0,AP233-W233))</f>
        <v/>
      </c>
      <c r="L233">
        <f>IF(L232&lt;=0,0,MAX(0,AQ233-X233))</f>
        <v/>
      </c>
      <c r="M233">
        <f>IF(M232&lt;=0,0,MAX(0,AR233-Y233))</f>
        <v/>
      </c>
      <c r="N233">
        <f>IF(N232&lt;=0,0,MAX(0,AS233-Z233))</f>
        <v/>
      </c>
      <c r="O233">
        <f>IF(C232&lt;=0,0,MIN(AH233,C$7+IF(C$2=$AA233,$AC233,IF(C$2=$AF233,$AG233,0))))</f>
        <v/>
      </c>
      <c r="P233">
        <f>IF(D232&lt;=0,0,MIN(AI233,D$7+IF(D$2=$AA233,$AC233,IF(D$2=$AF233,$AG233,0))))</f>
        <v/>
      </c>
      <c r="Q233">
        <f>IF(E232&lt;=0,0,MIN(AJ233,E$7+IF(E$2=$AA233,$AC233,IF(E$2=$AF233,$AG233,0))))</f>
        <v/>
      </c>
      <c r="R233">
        <f>IF(F232&lt;=0,0,MIN(AK233,F$7+IF(F$2=$AA233,$AC233,IF(F$2=$AF233,$AG233,0))))</f>
        <v/>
      </c>
      <c r="S233">
        <f>IF(G232&lt;=0,0,MIN(AL233,G$7+IF(G$2=$AA233,$AC233,IF(G$2=$AF233,$AG233,0))))</f>
        <v/>
      </c>
      <c r="T233">
        <f>IF(H232&lt;=0,0,MIN(AM233,H$7+IF(H$2=$AA233,$AC233,IF(H$2=$AF233,$AG233,0))))</f>
        <v/>
      </c>
      <c r="U233">
        <f>IF(I232&lt;=0,0,MIN(AN233,I$7+IF(I$2=$AA233,$AC233,IF(I$2=$AF233,$AG233,0))))</f>
        <v/>
      </c>
      <c r="V233">
        <f>IF(J232&lt;=0,0,MIN(AO233,J$7+IF(J$2=$AA233,$AC233,IF(J$2=$AF233,$AG233,0))))</f>
        <v/>
      </c>
      <c r="W233">
        <f>IF(K232&lt;=0,0,MIN(AP233,K$7+IF(K$2=$AA233,$AC233,IF(K$2=$AF233,$AG233,0))))</f>
        <v/>
      </c>
      <c r="X233">
        <f>IF(L232&lt;=0,0,MIN(AQ233,L$7+IF(L$2=$AA233,$AC233,IF(L$2=$AF233,$AG233,0))))</f>
        <v/>
      </c>
      <c r="Y233">
        <f>IF(M232&lt;=0,0,MIN(AR233,M$7+IF(M$2=$AA233,$AC233,IF(M$2=$AF233,$AG233,0))))</f>
        <v/>
      </c>
      <c r="Z233">
        <f>IF(N232&lt;=0,0,MIN(AS233,N$7+IF(N$2=$AA233,$AC233,IF(N$2=$AF233,$AG233,0))))</f>
        <v/>
      </c>
      <c r="AA233">
        <f>IFERROR(ROUND(1/SUMPRODUCT(MAX((C232:N232&gt;0)*($C$3:$N$3&lt;=B233)/$C$2:$N$2)),0),0)</f>
        <v/>
      </c>
      <c r="AB233">
        <f>SUMPRODUCT((C232:N232&gt;0)*$C$7:$N$7)</f>
        <v/>
      </c>
      <c r="AC233">
        <f>MAX(0,Plan!$C$5-AB233)+IF(A233=Plan!$C$8,N(Plan!$C$7),0)</f>
        <v/>
      </c>
      <c r="AD233">
        <f>SUM(C233:N233)</f>
        <v/>
      </c>
      <c r="AE233">
        <f>SUM(O233:Z233)</f>
        <v/>
      </c>
      <c r="AF233">
        <f>IFERROR(ROUND(1/SUMPRODUCT(MAX((C232:N232&gt;0)*($C$3:$N$3&lt;=B233)*($C$2:$N$2&gt;AA233)/$C$2:$N$2)),0),0)</f>
        <v/>
      </c>
      <c r="AG233">
        <f>MAX(0,AC233-MAX(0,SUMPRODUCT(($C$2:$N$2=AA233)*(AH233:AS233-$C$7:$N$7))))</f>
        <v/>
      </c>
      <c r="AH233">
        <f>IF(C232&lt;=0,0,ROUND(C232*(1+IF(AND(C$6&gt;0,$B233&lt;C$6),C$4,C$5)/12),2))</f>
        <v/>
      </c>
      <c r="AI233">
        <f>IF(D232&lt;=0,0,ROUND(D232*(1+IF(AND(D$6&gt;0,$B233&lt;D$6),D$4,D$5)/12),2))</f>
        <v/>
      </c>
      <c r="AJ233">
        <f>IF(E232&lt;=0,0,ROUND(E232*(1+IF(AND(E$6&gt;0,$B233&lt;E$6),E$4,E$5)/12),2))</f>
        <v/>
      </c>
      <c r="AK233">
        <f>IF(F232&lt;=0,0,ROUND(F232*(1+IF(AND(F$6&gt;0,$B233&lt;F$6),F$4,F$5)/12),2))</f>
        <v/>
      </c>
      <c r="AL233">
        <f>IF(G232&lt;=0,0,ROUND(G232*(1+IF(AND(G$6&gt;0,$B233&lt;G$6),G$4,G$5)/12),2))</f>
        <v/>
      </c>
      <c r="AM233">
        <f>IF(H232&lt;=0,0,ROUND(H232*(1+IF(AND(H$6&gt;0,$B233&lt;H$6),H$4,H$5)/12),2))</f>
        <v/>
      </c>
      <c r="AN233">
        <f>IF(I232&lt;=0,0,ROUND(I232*(1+IF(AND(I$6&gt;0,$B233&lt;I$6),I$4,I$5)/12),2))</f>
        <v/>
      </c>
      <c r="AO233">
        <f>IF(J232&lt;=0,0,ROUND(J232*(1+IF(AND(J$6&gt;0,$B233&lt;J$6),J$4,J$5)/12),2))</f>
        <v/>
      </c>
      <c r="AP233">
        <f>IF(K232&lt;=0,0,ROUND(K232*(1+IF(AND(K$6&gt;0,$B233&lt;K$6),K$4,K$5)/12),2))</f>
        <v/>
      </c>
      <c r="AQ233">
        <f>IF(L232&lt;=0,0,ROUND(L232*(1+IF(AND(L$6&gt;0,$B233&lt;L$6),L$4,L$5)/12),2))</f>
        <v/>
      </c>
      <c r="AR233">
        <f>IF(M232&lt;=0,0,ROUND(M232*(1+IF(AND(M$6&gt;0,$B233&lt;M$6),M$4,M$5)/12),2))</f>
        <v/>
      </c>
      <c r="AS233">
        <f>IF(N232&lt;=0,0,ROUND(N232*(1+IF(AND(N$6&gt;0,$B233&lt;N$6),N$4,N$5)/12),2))</f>
        <v/>
      </c>
    </row>
    <row r="234">
      <c r="A234" t="n">
        <v>223</v>
      </c>
      <c r="B234">
        <f>EDATE(Plan!$C$6,222)</f>
        <v/>
      </c>
      <c r="C234">
        <f>IF(C233&lt;=0,0,MAX(0,AH234-O234))</f>
        <v/>
      </c>
      <c r="D234">
        <f>IF(D233&lt;=0,0,MAX(0,AI234-P234))</f>
        <v/>
      </c>
      <c r="E234">
        <f>IF(E233&lt;=0,0,MAX(0,AJ234-Q234))</f>
        <v/>
      </c>
      <c r="F234">
        <f>IF(F233&lt;=0,0,MAX(0,AK234-R234))</f>
        <v/>
      </c>
      <c r="G234">
        <f>IF(G233&lt;=0,0,MAX(0,AL234-S234))</f>
        <v/>
      </c>
      <c r="H234">
        <f>IF(H233&lt;=0,0,MAX(0,AM234-T234))</f>
        <v/>
      </c>
      <c r="I234">
        <f>IF(I233&lt;=0,0,MAX(0,AN234-U234))</f>
        <v/>
      </c>
      <c r="J234">
        <f>IF(J233&lt;=0,0,MAX(0,AO234-V234))</f>
        <v/>
      </c>
      <c r="K234">
        <f>IF(K233&lt;=0,0,MAX(0,AP234-W234))</f>
        <v/>
      </c>
      <c r="L234">
        <f>IF(L233&lt;=0,0,MAX(0,AQ234-X234))</f>
        <v/>
      </c>
      <c r="M234">
        <f>IF(M233&lt;=0,0,MAX(0,AR234-Y234))</f>
        <v/>
      </c>
      <c r="N234">
        <f>IF(N233&lt;=0,0,MAX(0,AS234-Z234))</f>
        <v/>
      </c>
      <c r="O234">
        <f>IF(C233&lt;=0,0,MIN(AH234,C$7+IF(C$2=$AA234,$AC234,IF(C$2=$AF234,$AG234,0))))</f>
        <v/>
      </c>
      <c r="P234">
        <f>IF(D233&lt;=0,0,MIN(AI234,D$7+IF(D$2=$AA234,$AC234,IF(D$2=$AF234,$AG234,0))))</f>
        <v/>
      </c>
      <c r="Q234">
        <f>IF(E233&lt;=0,0,MIN(AJ234,E$7+IF(E$2=$AA234,$AC234,IF(E$2=$AF234,$AG234,0))))</f>
        <v/>
      </c>
      <c r="R234">
        <f>IF(F233&lt;=0,0,MIN(AK234,F$7+IF(F$2=$AA234,$AC234,IF(F$2=$AF234,$AG234,0))))</f>
        <v/>
      </c>
      <c r="S234">
        <f>IF(G233&lt;=0,0,MIN(AL234,G$7+IF(G$2=$AA234,$AC234,IF(G$2=$AF234,$AG234,0))))</f>
        <v/>
      </c>
      <c r="T234">
        <f>IF(H233&lt;=0,0,MIN(AM234,H$7+IF(H$2=$AA234,$AC234,IF(H$2=$AF234,$AG234,0))))</f>
        <v/>
      </c>
      <c r="U234">
        <f>IF(I233&lt;=0,0,MIN(AN234,I$7+IF(I$2=$AA234,$AC234,IF(I$2=$AF234,$AG234,0))))</f>
        <v/>
      </c>
      <c r="V234">
        <f>IF(J233&lt;=0,0,MIN(AO234,J$7+IF(J$2=$AA234,$AC234,IF(J$2=$AF234,$AG234,0))))</f>
        <v/>
      </c>
      <c r="W234">
        <f>IF(K233&lt;=0,0,MIN(AP234,K$7+IF(K$2=$AA234,$AC234,IF(K$2=$AF234,$AG234,0))))</f>
        <v/>
      </c>
      <c r="X234">
        <f>IF(L233&lt;=0,0,MIN(AQ234,L$7+IF(L$2=$AA234,$AC234,IF(L$2=$AF234,$AG234,0))))</f>
        <v/>
      </c>
      <c r="Y234">
        <f>IF(M233&lt;=0,0,MIN(AR234,M$7+IF(M$2=$AA234,$AC234,IF(M$2=$AF234,$AG234,0))))</f>
        <v/>
      </c>
      <c r="Z234">
        <f>IF(N233&lt;=0,0,MIN(AS234,N$7+IF(N$2=$AA234,$AC234,IF(N$2=$AF234,$AG234,0))))</f>
        <v/>
      </c>
      <c r="AA234">
        <f>IFERROR(ROUND(1/SUMPRODUCT(MAX((C233:N233&gt;0)*($C$3:$N$3&lt;=B234)/$C$2:$N$2)),0),0)</f>
        <v/>
      </c>
      <c r="AB234">
        <f>SUMPRODUCT((C233:N233&gt;0)*$C$7:$N$7)</f>
        <v/>
      </c>
      <c r="AC234">
        <f>MAX(0,Plan!$C$5-AB234)+IF(A234=Plan!$C$8,N(Plan!$C$7),0)</f>
        <v/>
      </c>
      <c r="AD234">
        <f>SUM(C234:N234)</f>
        <v/>
      </c>
      <c r="AE234">
        <f>SUM(O234:Z234)</f>
        <v/>
      </c>
      <c r="AF234">
        <f>IFERROR(ROUND(1/SUMPRODUCT(MAX((C233:N233&gt;0)*($C$3:$N$3&lt;=B234)*($C$2:$N$2&gt;AA234)/$C$2:$N$2)),0),0)</f>
        <v/>
      </c>
      <c r="AG234">
        <f>MAX(0,AC234-MAX(0,SUMPRODUCT(($C$2:$N$2=AA234)*(AH234:AS234-$C$7:$N$7))))</f>
        <v/>
      </c>
      <c r="AH234">
        <f>IF(C233&lt;=0,0,ROUND(C233*(1+IF(AND(C$6&gt;0,$B234&lt;C$6),C$4,C$5)/12),2))</f>
        <v/>
      </c>
      <c r="AI234">
        <f>IF(D233&lt;=0,0,ROUND(D233*(1+IF(AND(D$6&gt;0,$B234&lt;D$6),D$4,D$5)/12),2))</f>
        <v/>
      </c>
      <c r="AJ234">
        <f>IF(E233&lt;=0,0,ROUND(E233*(1+IF(AND(E$6&gt;0,$B234&lt;E$6),E$4,E$5)/12),2))</f>
        <v/>
      </c>
      <c r="AK234">
        <f>IF(F233&lt;=0,0,ROUND(F233*(1+IF(AND(F$6&gt;0,$B234&lt;F$6),F$4,F$5)/12),2))</f>
        <v/>
      </c>
      <c r="AL234">
        <f>IF(G233&lt;=0,0,ROUND(G233*(1+IF(AND(G$6&gt;0,$B234&lt;G$6),G$4,G$5)/12),2))</f>
        <v/>
      </c>
      <c r="AM234">
        <f>IF(H233&lt;=0,0,ROUND(H233*(1+IF(AND(H$6&gt;0,$B234&lt;H$6),H$4,H$5)/12),2))</f>
        <v/>
      </c>
      <c r="AN234">
        <f>IF(I233&lt;=0,0,ROUND(I233*(1+IF(AND(I$6&gt;0,$B234&lt;I$6),I$4,I$5)/12),2))</f>
        <v/>
      </c>
      <c r="AO234">
        <f>IF(J233&lt;=0,0,ROUND(J233*(1+IF(AND(J$6&gt;0,$B234&lt;J$6),J$4,J$5)/12),2))</f>
        <v/>
      </c>
      <c r="AP234">
        <f>IF(K233&lt;=0,0,ROUND(K233*(1+IF(AND(K$6&gt;0,$B234&lt;K$6),K$4,K$5)/12),2))</f>
        <v/>
      </c>
      <c r="AQ234">
        <f>IF(L233&lt;=0,0,ROUND(L233*(1+IF(AND(L$6&gt;0,$B234&lt;L$6),L$4,L$5)/12),2))</f>
        <v/>
      </c>
      <c r="AR234">
        <f>IF(M233&lt;=0,0,ROUND(M233*(1+IF(AND(M$6&gt;0,$B234&lt;M$6),M$4,M$5)/12),2))</f>
        <v/>
      </c>
      <c r="AS234">
        <f>IF(N233&lt;=0,0,ROUND(N233*(1+IF(AND(N$6&gt;0,$B234&lt;N$6),N$4,N$5)/12),2))</f>
        <v/>
      </c>
    </row>
    <row r="235">
      <c r="A235" t="n">
        <v>224</v>
      </c>
      <c r="B235">
        <f>EDATE(Plan!$C$6,223)</f>
        <v/>
      </c>
      <c r="C235">
        <f>IF(C234&lt;=0,0,MAX(0,AH235-O235))</f>
        <v/>
      </c>
      <c r="D235">
        <f>IF(D234&lt;=0,0,MAX(0,AI235-P235))</f>
        <v/>
      </c>
      <c r="E235">
        <f>IF(E234&lt;=0,0,MAX(0,AJ235-Q235))</f>
        <v/>
      </c>
      <c r="F235">
        <f>IF(F234&lt;=0,0,MAX(0,AK235-R235))</f>
        <v/>
      </c>
      <c r="G235">
        <f>IF(G234&lt;=0,0,MAX(0,AL235-S235))</f>
        <v/>
      </c>
      <c r="H235">
        <f>IF(H234&lt;=0,0,MAX(0,AM235-T235))</f>
        <v/>
      </c>
      <c r="I235">
        <f>IF(I234&lt;=0,0,MAX(0,AN235-U235))</f>
        <v/>
      </c>
      <c r="J235">
        <f>IF(J234&lt;=0,0,MAX(0,AO235-V235))</f>
        <v/>
      </c>
      <c r="K235">
        <f>IF(K234&lt;=0,0,MAX(0,AP235-W235))</f>
        <v/>
      </c>
      <c r="L235">
        <f>IF(L234&lt;=0,0,MAX(0,AQ235-X235))</f>
        <v/>
      </c>
      <c r="M235">
        <f>IF(M234&lt;=0,0,MAX(0,AR235-Y235))</f>
        <v/>
      </c>
      <c r="N235">
        <f>IF(N234&lt;=0,0,MAX(0,AS235-Z235))</f>
        <v/>
      </c>
      <c r="O235">
        <f>IF(C234&lt;=0,0,MIN(AH235,C$7+IF(C$2=$AA235,$AC235,IF(C$2=$AF235,$AG235,0))))</f>
        <v/>
      </c>
      <c r="P235">
        <f>IF(D234&lt;=0,0,MIN(AI235,D$7+IF(D$2=$AA235,$AC235,IF(D$2=$AF235,$AG235,0))))</f>
        <v/>
      </c>
      <c r="Q235">
        <f>IF(E234&lt;=0,0,MIN(AJ235,E$7+IF(E$2=$AA235,$AC235,IF(E$2=$AF235,$AG235,0))))</f>
        <v/>
      </c>
      <c r="R235">
        <f>IF(F234&lt;=0,0,MIN(AK235,F$7+IF(F$2=$AA235,$AC235,IF(F$2=$AF235,$AG235,0))))</f>
        <v/>
      </c>
      <c r="S235">
        <f>IF(G234&lt;=0,0,MIN(AL235,G$7+IF(G$2=$AA235,$AC235,IF(G$2=$AF235,$AG235,0))))</f>
        <v/>
      </c>
      <c r="T235">
        <f>IF(H234&lt;=0,0,MIN(AM235,H$7+IF(H$2=$AA235,$AC235,IF(H$2=$AF235,$AG235,0))))</f>
        <v/>
      </c>
      <c r="U235">
        <f>IF(I234&lt;=0,0,MIN(AN235,I$7+IF(I$2=$AA235,$AC235,IF(I$2=$AF235,$AG235,0))))</f>
        <v/>
      </c>
      <c r="V235">
        <f>IF(J234&lt;=0,0,MIN(AO235,J$7+IF(J$2=$AA235,$AC235,IF(J$2=$AF235,$AG235,0))))</f>
        <v/>
      </c>
      <c r="W235">
        <f>IF(K234&lt;=0,0,MIN(AP235,K$7+IF(K$2=$AA235,$AC235,IF(K$2=$AF235,$AG235,0))))</f>
        <v/>
      </c>
      <c r="X235">
        <f>IF(L234&lt;=0,0,MIN(AQ235,L$7+IF(L$2=$AA235,$AC235,IF(L$2=$AF235,$AG235,0))))</f>
        <v/>
      </c>
      <c r="Y235">
        <f>IF(M234&lt;=0,0,MIN(AR235,M$7+IF(M$2=$AA235,$AC235,IF(M$2=$AF235,$AG235,0))))</f>
        <v/>
      </c>
      <c r="Z235">
        <f>IF(N234&lt;=0,0,MIN(AS235,N$7+IF(N$2=$AA235,$AC235,IF(N$2=$AF235,$AG235,0))))</f>
        <v/>
      </c>
      <c r="AA235">
        <f>IFERROR(ROUND(1/SUMPRODUCT(MAX((C234:N234&gt;0)*($C$3:$N$3&lt;=B235)/$C$2:$N$2)),0),0)</f>
        <v/>
      </c>
      <c r="AB235">
        <f>SUMPRODUCT((C234:N234&gt;0)*$C$7:$N$7)</f>
        <v/>
      </c>
      <c r="AC235">
        <f>MAX(0,Plan!$C$5-AB235)+IF(A235=Plan!$C$8,N(Plan!$C$7),0)</f>
        <v/>
      </c>
      <c r="AD235">
        <f>SUM(C235:N235)</f>
        <v/>
      </c>
      <c r="AE235">
        <f>SUM(O235:Z235)</f>
        <v/>
      </c>
      <c r="AF235">
        <f>IFERROR(ROUND(1/SUMPRODUCT(MAX((C234:N234&gt;0)*($C$3:$N$3&lt;=B235)*($C$2:$N$2&gt;AA235)/$C$2:$N$2)),0),0)</f>
        <v/>
      </c>
      <c r="AG235">
        <f>MAX(0,AC235-MAX(0,SUMPRODUCT(($C$2:$N$2=AA235)*(AH235:AS235-$C$7:$N$7))))</f>
        <v/>
      </c>
      <c r="AH235">
        <f>IF(C234&lt;=0,0,ROUND(C234*(1+IF(AND(C$6&gt;0,$B235&lt;C$6),C$4,C$5)/12),2))</f>
        <v/>
      </c>
      <c r="AI235">
        <f>IF(D234&lt;=0,0,ROUND(D234*(1+IF(AND(D$6&gt;0,$B235&lt;D$6),D$4,D$5)/12),2))</f>
        <v/>
      </c>
      <c r="AJ235">
        <f>IF(E234&lt;=0,0,ROUND(E234*(1+IF(AND(E$6&gt;0,$B235&lt;E$6),E$4,E$5)/12),2))</f>
        <v/>
      </c>
      <c r="AK235">
        <f>IF(F234&lt;=0,0,ROUND(F234*(1+IF(AND(F$6&gt;0,$B235&lt;F$6),F$4,F$5)/12),2))</f>
        <v/>
      </c>
      <c r="AL235">
        <f>IF(G234&lt;=0,0,ROUND(G234*(1+IF(AND(G$6&gt;0,$B235&lt;G$6),G$4,G$5)/12),2))</f>
        <v/>
      </c>
      <c r="AM235">
        <f>IF(H234&lt;=0,0,ROUND(H234*(1+IF(AND(H$6&gt;0,$B235&lt;H$6),H$4,H$5)/12),2))</f>
        <v/>
      </c>
      <c r="AN235">
        <f>IF(I234&lt;=0,0,ROUND(I234*(1+IF(AND(I$6&gt;0,$B235&lt;I$6),I$4,I$5)/12),2))</f>
        <v/>
      </c>
      <c r="AO235">
        <f>IF(J234&lt;=0,0,ROUND(J234*(1+IF(AND(J$6&gt;0,$B235&lt;J$6),J$4,J$5)/12),2))</f>
        <v/>
      </c>
      <c r="AP235">
        <f>IF(K234&lt;=0,0,ROUND(K234*(1+IF(AND(K$6&gt;0,$B235&lt;K$6),K$4,K$5)/12),2))</f>
        <v/>
      </c>
      <c r="AQ235">
        <f>IF(L234&lt;=0,0,ROUND(L234*(1+IF(AND(L$6&gt;0,$B235&lt;L$6),L$4,L$5)/12),2))</f>
        <v/>
      </c>
      <c r="AR235">
        <f>IF(M234&lt;=0,0,ROUND(M234*(1+IF(AND(M$6&gt;0,$B235&lt;M$6),M$4,M$5)/12),2))</f>
        <v/>
      </c>
      <c r="AS235">
        <f>IF(N234&lt;=0,0,ROUND(N234*(1+IF(AND(N$6&gt;0,$B235&lt;N$6),N$4,N$5)/12),2))</f>
        <v/>
      </c>
    </row>
    <row r="236">
      <c r="A236" t="n">
        <v>225</v>
      </c>
      <c r="B236">
        <f>EDATE(Plan!$C$6,224)</f>
        <v/>
      </c>
      <c r="C236">
        <f>IF(C235&lt;=0,0,MAX(0,AH236-O236))</f>
        <v/>
      </c>
      <c r="D236">
        <f>IF(D235&lt;=0,0,MAX(0,AI236-P236))</f>
        <v/>
      </c>
      <c r="E236">
        <f>IF(E235&lt;=0,0,MAX(0,AJ236-Q236))</f>
        <v/>
      </c>
      <c r="F236">
        <f>IF(F235&lt;=0,0,MAX(0,AK236-R236))</f>
        <v/>
      </c>
      <c r="G236">
        <f>IF(G235&lt;=0,0,MAX(0,AL236-S236))</f>
        <v/>
      </c>
      <c r="H236">
        <f>IF(H235&lt;=0,0,MAX(0,AM236-T236))</f>
        <v/>
      </c>
      <c r="I236">
        <f>IF(I235&lt;=0,0,MAX(0,AN236-U236))</f>
        <v/>
      </c>
      <c r="J236">
        <f>IF(J235&lt;=0,0,MAX(0,AO236-V236))</f>
        <v/>
      </c>
      <c r="K236">
        <f>IF(K235&lt;=0,0,MAX(0,AP236-W236))</f>
        <v/>
      </c>
      <c r="L236">
        <f>IF(L235&lt;=0,0,MAX(0,AQ236-X236))</f>
        <v/>
      </c>
      <c r="M236">
        <f>IF(M235&lt;=0,0,MAX(0,AR236-Y236))</f>
        <v/>
      </c>
      <c r="N236">
        <f>IF(N235&lt;=0,0,MAX(0,AS236-Z236))</f>
        <v/>
      </c>
      <c r="O236">
        <f>IF(C235&lt;=0,0,MIN(AH236,C$7+IF(C$2=$AA236,$AC236,IF(C$2=$AF236,$AG236,0))))</f>
        <v/>
      </c>
      <c r="P236">
        <f>IF(D235&lt;=0,0,MIN(AI236,D$7+IF(D$2=$AA236,$AC236,IF(D$2=$AF236,$AG236,0))))</f>
        <v/>
      </c>
      <c r="Q236">
        <f>IF(E235&lt;=0,0,MIN(AJ236,E$7+IF(E$2=$AA236,$AC236,IF(E$2=$AF236,$AG236,0))))</f>
        <v/>
      </c>
      <c r="R236">
        <f>IF(F235&lt;=0,0,MIN(AK236,F$7+IF(F$2=$AA236,$AC236,IF(F$2=$AF236,$AG236,0))))</f>
        <v/>
      </c>
      <c r="S236">
        <f>IF(G235&lt;=0,0,MIN(AL236,G$7+IF(G$2=$AA236,$AC236,IF(G$2=$AF236,$AG236,0))))</f>
        <v/>
      </c>
      <c r="T236">
        <f>IF(H235&lt;=0,0,MIN(AM236,H$7+IF(H$2=$AA236,$AC236,IF(H$2=$AF236,$AG236,0))))</f>
        <v/>
      </c>
      <c r="U236">
        <f>IF(I235&lt;=0,0,MIN(AN236,I$7+IF(I$2=$AA236,$AC236,IF(I$2=$AF236,$AG236,0))))</f>
        <v/>
      </c>
      <c r="V236">
        <f>IF(J235&lt;=0,0,MIN(AO236,J$7+IF(J$2=$AA236,$AC236,IF(J$2=$AF236,$AG236,0))))</f>
        <v/>
      </c>
      <c r="W236">
        <f>IF(K235&lt;=0,0,MIN(AP236,K$7+IF(K$2=$AA236,$AC236,IF(K$2=$AF236,$AG236,0))))</f>
        <v/>
      </c>
      <c r="X236">
        <f>IF(L235&lt;=0,0,MIN(AQ236,L$7+IF(L$2=$AA236,$AC236,IF(L$2=$AF236,$AG236,0))))</f>
        <v/>
      </c>
      <c r="Y236">
        <f>IF(M235&lt;=0,0,MIN(AR236,M$7+IF(M$2=$AA236,$AC236,IF(M$2=$AF236,$AG236,0))))</f>
        <v/>
      </c>
      <c r="Z236">
        <f>IF(N235&lt;=0,0,MIN(AS236,N$7+IF(N$2=$AA236,$AC236,IF(N$2=$AF236,$AG236,0))))</f>
        <v/>
      </c>
      <c r="AA236">
        <f>IFERROR(ROUND(1/SUMPRODUCT(MAX((C235:N235&gt;0)*($C$3:$N$3&lt;=B236)/$C$2:$N$2)),0),0)</f>
        <v/>
      </c>
      <c r="AB236">
        <f>SUMPRODUCT((C235:N235&gt;0)*$C$7:$N$7)</f>
        <v/>
      </c>
      <c r="AC236">
        <f>MAX(0,Plan!$C$5-AB236)+IF(A236=Plan!$C$8,N(Plan!$C$7),0)</f>
        <v/>
      </c>
      <c r="AD236">
        <f>SUM(C236:N236)</f>
        <v/>
      </c>
      <c r="AE236">
        <f>SUM(O236:Z236)</f>
        <v/>
      </c>
      <c r="AF236">
        <f>IFERROR(ROUND(1/SUMPRODUCT(MAX((C235:N235&gt;0)*($C$3:$N$3&lt;=B236)*($C$2:$N$2&gt;AA236)/$C$2:$N$2)),0),0)</f>
        <v/>
      </c>
      <c r="AG236">
        <f>MAX(0,AC236-MAX(0,SUMPRODUCT(($C$2:$N$2=AA236)*(AH236:AS236-$C$7:$N$7))))</f>
        <v/>
      </c>
      <c r="AH236">
        <f>IF(C235&lt;=0,0,ROUND(C235*(1+IF(AND(C$6&gt;0,$B236&lt;C$6),C$4,C$5)/12),2))</f>
        <v/>
      </c>
      <c r="AI236">
        <f>IF(D235&lt;=0,0,ROUND(D235*(1+IF(AND(D$6&gt;0,$B236&lt;D$6),D$4,D$5)/12),2))</f>
        <v/>
      </c>
      <c r="AJ236">
        <f>IF(E235&lt;=0,0,ROUND(E235*(1+IF(AND(E$6&gt;0,$B236&lt;E$6),E$4,E$5)/12),2))</f>
        <v/>
      </c>
      <c r="AK236">
        <f>IF(F235&lt;=0,0,ROUND(F235*(1+IF(AND(F$6&gt;0,$B236&lt;F$6),F$4,F$5)/12),2))</f>
        <v/>
      </c>
      <c r="AL236">
        <f>IF(G235&lt;=0,0,ROUND(G235*(1+IF(AND(G$6&gt;0,$B236&lt;G$6),G$4,G$5)/12),2))</f>
        <v/>
      </c>
      <c r="AM236">
        <f>IF(H235&lt;=0,0,ROUND(H235*(1+IF(AND(H$6&gt;0,$B236&lt;H$6),H$4,H$5)/12),2))</f>
        <v/>
      </c>
      <c r="AN236">
        <f>IF(I235&lt;=0,0,ROUND(I235*(1+IF(AND(I$6&gt;0,$B236&lt;I$6),I$4,I$5)/12),2))</f>
        <v/>
      </c>
      <c r="AO236">
        <f>IF(J235&lt;=0,0,ROUND(J235*(1+IF(AND(J$6&gt;0,$B236&lt;J$6),J$4,J$5)/12),2))</f>
        <v/>
      </c>
      <c r="AP236">
        <f>IF(K235&lt;=0,0,ROUND(K235*(1+IF(AND(K$6&gt;0,$B236&lt;K$6),K$4,K$5)/12),2))</f>
        <v/>
      </c>
      <c r="AQ236">
        <f>IF(L235&lt;=0,0,ROUND(L235*(1+IF(AND(L$6&gt;0,$B236&lt;L$6),L$4,L$5)/12),2))</f>
        <v/>
      </c>
      <c r="AR236">
        <f>IF(M235&lt;=0,0,ROUND(M235*(1+IF(AND(M$6&gt;0,$B236&lt;M$6),M$4,M$5)/12),2))</f>
        <v/>
      </c>
      <c r="AS236">
        <f>IF(N235&lt;=0,0,ROUND(N235*(1+IF(AND(N$6&gt;0,$B236&lt;N$6),N$4,N$5)/12),2))</f>
        <v/>
      </c>
    </row>
    <row r="237">
      <c r="A237" t="n">
        <v>226</v>
      </c>
      <c r="B237">
        <f>EDATE(Plan!$C$6,225)</f>
        <v/>
      </c>
      <c r="C237">
        <f>IF(C236&lt;=0,0,MAX(0,AH237-O237))</f>
        <v/>
      </c>
      <c r="D237">
        <f>IF(D236&lt;=0,0,MAX(0,AI237-P237))</f>
        <v/>
      </c>
      <c r="E237">
        <f>IF(E236&lt;=0,0,MAX(0,AJ237-Q237))</f>
        <v/>
      </c>
      <c r="F237">
        <f>IF(F236&lt;=0,0,MAX(0,AK237-R237))</f>
        <v/>
      </c>
      <c r="G237">
        <f>IF(G236&lt;=0,0,MAX(0,AL237-S237))</f>
        <v/>
      </c>
      <c r="H237">
        <f>IF(H236&lt;=0,0,MAX(0,AM237-T237))</f>
        <v/>
      </c>
      <c r="I237">
        <f>IF(I236&lt;=0,0,MAX(0,AN237-U237))</f>
        <v/>
      </c>
      <c r="J237">
        <f>IF(J236&lt;=0,0,MAX(0,AO237-V237))</f>
        <v/>
      </c>
      <c r="K237">
        <f>IF(K236&lt;=0,0,MAX(0,AP237-W237))</f>
        <v/>
      </c>
      <c r="L237">
        <f>IF(L236&lt;=0,0,MAX(0,AQ237-X237))</f>
        <v/>
      </c>
      <c r="M237">
        <f>IF(M236&lt;=0,0,MAX(0,AR237-Y237))</f>
        <v/>
      </c>
      <c r="N237">
        <f>IF(N236&lt;=0,0,MAX(0,AS237-Z237))</f>
        <v/>
      </c>
      <c r="O237">
        <f>IF(C236&lt;=0,0,MIN(AH237,C$7+IF(C$2=$AA237,$AC237,IF(C$2=$AF237,$AG237,0))))</f>
        <v/>
      </c>
      <c r="P237">
        <f>IF(D236&lt;=0,0,MIN(AI237,D$7+IF(D$2=$AA237,$AC237,IF(D$2=$AF237,$AG237,0))))</f>
        <v/>
      </c>
      <c r="Q237">
        <f>IF(E236&lt;=0,0,MIN(AJ237,E$7+IF(E$2=$AA237,$AC237,IF(E$2=$AF237,$AG237,0))))</f>
        <v/>
      </c>
      <c r="R237">
        <f>IF(F236&lt;=0,0,MIN(AK237,F$7+IF(F$2=$AA237,$AC237,IF(F$2=$AF237,$AG237,0))))</f>
        <v/>
      </c>
      <c r="S237">
        <f>IF(G236&lt;=0,0,MIN(AL237,G$7+IF(G$2=$AA237,$AC237,IF(G$2=$AF237,$AG237,0))))</f>
        <v/>
      </c>
      <c r="T237">
        <f>IF(H236&lt;=0,0,MIN(AM237,H$7+IF(H$2=$AA237,$AC237,IF(H$2=$AF237,$AG237,0))))</f>
        <v/>
      </c>
      <c r="U237">
        <f>IF(I236&lt;=0,0,MIN(AN237,I$7+IF(I$2=$AA237,$AC237,IF(I$2=$AF237,$AG237,0))))</f>
        <v/>
      </c>
      <c r="V237">
        <f>IF(J236&lt;=0,0,MIN(AO237,J$7+IF(J$2=$AA237,$AC237,IF(J$2=$AF237,$AG237,0))))</f>
        <v/>
      </c>
      <c r="W237">
        <f>IF(K236&lt;=0,0,MIN(AP237,K$7+IF(K$2=$AA237,$AC237,IF(K$2=$AF237,$AG237,0))))</f>
        <v/>
      </c>
      <c r="X237">
        <f>IF(L236&lt;=0,0,MIN(AQ237,L$7+IF(L$2=$AA237,$AC237,IF(L$2=$AF237,$AG237,0))))</f>
        <v/>
      </c>
      <c r="Y237">
        <f>IF(M236&lt;=0,0,MIN(AR237,M$7+IF(M$2=$AA237,$AC237,IF(M$2=$AF237,$AG237,0))))</f>
        <v/>
      </c>
      <c r="Z237">
        <f>IF(N236&lt;=0,0,MIN(AS237,N$7+IF(N$2=$AA237,$AC237,IF(N$2=$AF237,$AG237,0))))</f>
        <v/>
      </c>
      <c r="AA237">
        <f>IFERROR(ROUND(1/SUMPRODUCT(MAX((C236:N236&gt;0)*($C$3:$N$3&lt;=B237)/$C$2:$N$2)),0),0)</f>
        <v/>
      </c>
      <c r="AB237">
        <f>SUMPRODUCT((C236:N236&gt;0)*$C$7:$N$7)</f>
        <v/>
      </c>
      <c r="AC237">
        <f>MAX(0,Plan!$C$5-AB237)+IF(A237=Plan!$C$8,N(Plan!$C$7),0)</f>
        <v/>
      </c>
      <c r="AD237">
        <f>SUM(C237:N237)</f>
        <v/>
      </c>
      <c r="AE237">
        <f>SUM(O237:Z237)</f>
        <v/>
      </c>
      <c r="AF237">
        <f>IFERROR(ROUND(1/SUMPRODUCT(MAX((C236:N236&gt;0)*($C$3:$N$3&lt;=B237)*($C$2:$N$2&gt;AA237)/$C$2:$N$2)),0),0)</f>
        <v/>
      </c>
      <c r="AG237">
        <f>MAX(0,AC237-MAX(0,SUMPRODUCT(($C$2:$N$2=AA237)*(AH237:AS237-$C$7:$N$7))))</f>
        <v/>
      </c>
      <c r="AH237">
        <f>IF(C236&lt;=0,0,ROUND(C236*(1+IF(AND(C$6&gt;0,$B237&lt;C$6),C$4,C$5)/12),2))</f>
        <v/>
      </c>
      <c r="AI237">
        <f>IF(D236&lt;=0,0,ROUND(D236*(1+IF(AND(D$6&gt;0,$B237&lt;D$6),D$4,D$5)/12),2))</f>
        <v/>
      </c>
      <c r="AJ237">
        <f>IF(E236&lt;=0,0,ROUND(E236*(1+IF(AND(E$6&gt;0,$B237&lt;E$6),E$4,E$5)/12),2))</f>
        <v/>
      </c>
      <c r="AK237">
        <f>IF(F236&lt;=0,0,ROUND(F236*(1+IF(AND(F$6&gt;0,$B237&lt;F$6),F$4,F$5)/12),2))</f>
        <v/>
      </c>
      <c r="AL237">
        <f>IF(G236&lt;=0,0,ROUND(G236*(1+IF(AND(G$6&gt;0,$B237&lt;G$6),G$4,G$5)/12),2))</f>
        <v/>
      </c>
      <c r="AM237">
        <f>IF(H236&lt;=0,0,ROUND(H236*(1+IF(AND(H$6&gt;0,$B237&lt;H$6),H$4,H$5)/12),2))</f>
        <v/>
      </c>
      <c r="AN237">
        <f>IF(I236&lt;=0,0,ROUND(I236*(1+IF(AND(I$6&gt;0,$B237&lt;I$6),I$4,I$5)/12),2))</f>
        <v/>
      </c>
      <c r="AO237">
        <f>IF(J236&lt;=0,0,ROUND(J236*(1+IF(AND(J$6&gt;0,$B237&lt;J$6),J$4,J$5)/12),2))</f>
        <v/>
      </c>
      <c r="AP237">
        <f>IF(K236&lt;=0,0,ROUND(K236*(1+IF(AND(K$6&gt;0,$B237&lt;K$6),K$4,K$5)/12),2))</f>
        <v/>
      </c>
      <c r="AQ237">
        <f>IF(L236&lt;=0,0,ROUND(L236*(1+IF(AND(L$6&gt;0,$B237&lt;L$6),L$4,L$5)/12),2))</f>
        <v/>
      </c>
      <c r="AR237">
        <f>IF(M236&lt;=0,0,ROUND(M236*(1+IF(AND(M$6&gt;0,$B237&lt;M$6),M$4,M$5)/12),2))</f>
        <v/>
      </c>
      <c r="AS237">
        <f>IF(N236&lt;=0,0,ROUND(N236*(1+IF(AND(N$6&gt;0,$B237&lt;N$6),N$4,N$5)/12),2))</f>
        <v/>
      </c>
    </row>
    <row r="238">
      <c r="A238" t="n">
        <v>227</v>
      </c>
      <c r="B238">
        <f>EDATE(Plan!$C$6,226)</f>
        <v/>
      </c>
      <c r="C238">
        <f>IF(C237&lt;=0,0,MAX(0,AH238-O238))</f>
        <v/>
      </c>
      <c r="D238">
        <f>IF(D237&lt;=0,0,MAX(0,AI238-P238))</f>
        <v/>
      </c>
      <c r="E238">
        <f>IF(E237&lt;=0,0,MAX(0,AJ238-Q238))</f>
        <v/>
      </c>
      <c r="F238">
        <f>IF(F237&lt;=0,0,MAX(0,AK238-R238))</f>
        <v/>
      </c>
      <c r="G238">
        <f>IF(G237&lt;=0,0,MAX(0,AL238-S238))</f>
        <v/>
      </c>
      <c r="H238">
        <f>IF(H237&lt;=0,0,MAX(0,AM238-T238))</f>
        <v/>
      </c>
      <c r="I238">
        <f>IF(I237&lt;=0,0,MAX(0,AN238-U238))</f>
        <v/>
      </c>
      <c r="J238">
        <f>IF(J237&lt;=0,0,MAX(0,AO238-V238))</f>
        <v/>
      </c>
      <c r="K238">
        <f>IF(K237&lt;=0,0,MAX(0,AP238-W238))</f>
        <v/>
      </c>
      <c r="L238">
        <f>IF(L237&lt;=0,0,MAX(0,AQ238-X238))</f>
        <v/>
      </c>
      <c r="M238">
        <f>IF(M237&lt;=0,0,MAX(0,AR238-Y238))</f>
        <v/>
      </c>
      <c r="N238">
        <f>IF(N237&lt;=0,0,MAX(0,AS238-Z238))</f>
        <v/>
      </c>
      <c r="O238">
        <f>IF(C237&lt;=0,0,MIN(AH238,C$7+IF(C$2=$AA238,$AC238,IF(C$2=$AF238,$AG238,0))))</f>
        <v/>
      </c>
      <c r="P238">
        <f>IF(D237&lt;=0,0,MIN(AI238,D$7+IF(D$2=$AA238,$AC238,IF(D$2=$AF238,$AG238,0))))</f>
        <v/>
      </c>
      <c r="Q238">
        <f>IF(E237&lt;=0,0,MIN(AJ238,E$7+IF(E$2=$AA238,$AC238,IF(E$2=$AF238,$AG238,0))))</f>
        <v/>
      </c>
      <c r="R238">
        <f>IF(F237&lt;=0,0,MIN(AK238,F$7+IF(F$2=$AA238,$AC238,IF(F$2=$AF238,$AG238,0))))</f>
        <v/>
      </c>
      <c r="S238">
        <f>IF(G237&lt;=0,0,MIN(AL238,G$7+IF(G$2=$AA238,$AC238,IF(G$2=$AF238,$AG238,0))))</f>
        <v/>
      </c>
      <c r="T238">
        <f>IF(H237&lt;=0,0,MIN(AM238,H$7+IF(H$2=$AA238,$AC238,IF(H$2=$AF238,$AG238,0))))</f>
        <v/>
      </c>
      <c r="U238">
        <f>IF(I237&lt;=0,0,MIN(AN238,I$7+IF(I$2=$AA238,$AC238,IF(I$2=$AF238,$AG238,0))))</f>
        <v/>
      </c>
      <c r="V238">
        <f>IF(J237&lt;=0,0,MIN(AO238,J$7+IF(J$2=$AA238,$AC238,IF(J$2=$AF238,$AG238,0))))</f>
        <v/>
      </c>
      <c r="W238">
        <f>IF(K237&lt;=0,0,MIN(AP238,K$7+IF(K$2=$AA238,$AC238,IF(K$2=$AF238,$AG238,0))))</f>
        <v/>
      </c>
      <c r="X238">
        <f>IF(L237&lt;=0,0,MIN(AQ238,L$7+IF(L$2=$AA238,$AC238,IF(L$2=$AF238,$AG238,0))))</f>
        <v/>
      </c>
      <c r="Y238">
        <f>IF(M237&lt;=0,0,MIN(AR238,M$7+IF(M$2=$AA238,$AC238,IF(M$2=$AF238,$AG238,0))))</f>
        <v/>
      </c>
      <c r="Z238">
        <f>IF(N237&lt;=0,0,MIN(AS238,N$7+IF(N$2=$AA238,$AC238,IF(N$2=$AF238,$AG238,0))))</f>
        <v/>
      </c>
      <c r="AA238">
        <f>IFERROR(ROUND(1/SUMPRODUCT(MAX((C237:N237&gt;0)*($C$3:$N$3&lt;=B238)/$C$2:$N$2)),0),0)</f>
        <v/>
      </c>
      <c r="AB238">
        <f>SUMPRODUCT((C237:N237&gt;0)*$C$7:$N$7)</f>
        <v/>
      </c>
      <c r="AC238">
        <f>MAX(0,Plan!$C$5-AB238)+IF(A238=Plan!$C$8,N(Plan!$C$7),0)</f>
        <v/>
      </c>
      <c r="AD238">
        <f>SUM(C238:N238)</f>
        <v/>
      </c>
      <c r="AE238">
        <f>SUM(O238:Z238)</f>
        <v/>
      </c>
      <c r="AF238">
        <f>IFERROR(ROUND(1/SUMPRODUCT(MAX((C237:N237&gt;0)*($C$3:$N$3&lt;=B238)*($C$2:$N$2&gt;AA238)/$C$2:$N$2)),0),0)</f>
        <v/>
      </c>
      <c r="AG238">
        <f>MAX(0,AC238-MAX(0,SUMPRODUCT(($C$2:$N$2=AA238)*(AH238:AS238-$C$7:$N$7))))</f>
        <v/>
      </c>
      <c r="AH238">
        <f>IF(C237&lt;=0,0,ROUND(C237*(1+IF(AND(C$6&gt;0,$B238&lt;C$6),C$4,C$5)/12),2))</f>
        <v/>
      </c>
      <c r="AI238">
        <f>IF(D237&lt;=0,0,ROUND(D237*(1+IF(AND(D$6&gt;0,$B238&lt;D$6),D$4,D$5)/12),2))</f>
        <v/>
      </c>
      <c r="AJ238">
        <f>IF(E237&lt;=0,0,ROUND(E237*(1+IF(AND(E$6&gt;0,$B238&lt;E$6),E$4,E$5)/12),2))</f>
        <v/>
      </c>
      <c r="AK238">
        <f>IF(F237&lt;=0,0,ROUND(F237*(1+IF(AND(F$6&gt;0,$B238&lt;F$6),F$4,F$5)/12),2))</f>
        <v/>
      </c>
      <c r="AL238">
        <f>IF(G237&lt;=0,0,ROUND(G237*(1+IF(AND(G$6&gt;0,$B238&lt;G$6),G$4,G$5)/12),2))</f>
        <v/>
      </c>
      <c r="AM238">
        <f>IF(H237&lt;=0,0,ROUND(H237*(1+IF(AND(H$6&gt;0,$B238&lt;H$6),H$4,H$5)/12),2))</f>
        <v/>
      </c>
      <c r="AN238">
        <f>IF(I237&lt;=0,0,ROUND(I237*(1+IF(AND(I$6&gt;0,$B238&lt;I$6),I$4,I$5)/12),2))</f>
        <v/>
      </c>
      <c r="AO238">
        <f>IF(J237&lt;=0,0,ROUND(J237*(1+IF(AND(J$6&gt;0,$B238&lt;J$6),J$4,J$5)/12),2))</f>
        <v/>
      </c>
      <c r="AP238">
        <f>IF(K237&lt;=0,0,ROUND(K237*(1+IF(AND(K$6&gt;0,$B238&lt;K$6),K$4,K$5)/12),2))</f>
        <v/>
      </c>
      <c r="AQ238">
        <f>IF(L237&lt;=0,0,ROUND(L237*(1+IF(AND(L$6&gt;0,$B238&lt;L$6),L$4,L$5)/12),2))</f>
        <v/>
      </c>
      <c r="AR238">
        <f>IF(M237&lt;=0,0,ROUND(M237*(1+IF(AND(M$6&gt;0,$B238&lt;M$6),M$4,M$5)/12),2))</f>
        <v/>
      </c>
      <c r="AS238">
        <f>IF(N237&lt;=0,0,ROUND(N237*(1+IF(AND(N$6&gt;0,$B238&lt;N$6),N$4,N$5)/12),2))</f>
        <v/>
      </c>
    </row>
    <row r="239">
      <c r="A239" t="n">
        <v>228</v>
      </c>
      <c r="B239">
        <f>EDATE(Plan!$C$6,227)</f>
        <v/>
      </c>
      <c r="C239">
        <f>IF(C238&lt;=0,0,MAX(0,AH239-O239))</f>
        <v/>
      </c>
      <c r="D239">
        <f>IF(D238&lt;=0,0,MAX(0,AI239-P239))</f>
        <v/>
      </c>
      <c r="E239">
        <f>IF(E238&lt;=0,0,MAX(0,AJ239-Q239))</f>
        <v/>
      </c>
      <c r="F239">
        <f>IF(F238&lt;=0,0,MAX(0,AK239-R239))</f>
        <v/>
      </c>
      <c r="G239">
        <f>IF(G238&lt;=0,0,MAX(0,AL239-S239))</f>
        <v/>
      </c>
      <c r="H239">
        <f>IF(H238&lt;=0,0,MAX(0,AM239-T239))</f>
        <v/>
      </c>
      <c r="I239">
        <f>IF(I238&lt;=0,0,MAX(0,AN239-U239))</f>
        <v/>
      </c>
      <c r="J239">
        <f>IF(J238&lt;=0,0,MAX(0,AO239-V239))</f>
        <v/>
      </c>
      <c r="K239">
        <f>IF(K238&lt;=0,0,MAX(0,AP239-W239))</f>
        <v/>
      </c>
      <c r="L239">
        <f>IF(L238&lt;=0,0,MAX(0,AQ239-X239))</f>
        <v/>
      </c>
      <c r="M239">
        <f>IF(M238&lt;=0,0,MAX(0,AR239-Y239))</f>
        <v/>
      </c>
      <c r="N239">
        <f>IF(N238&lt;=0,0,MAX(0,AS239-Z239))</f>
        <v/>
      </c>
      <c r="O239">
        <f>IF(C238&lt;=0,0,MIN(AH239,C$7+IF(C$2=$AA239,$AC239,IF(C$2=$AF239,$AG239,0))))</f>
        <v/>
      </c>
      <c r="P239">
        <f>IF(D238&lt;=0,0,MIN(AI239,D$7+IF(D$2=$AA239,$AC239,IF(D$2=$AF239,$AG239,0))))</f>
        <v/>
      </c>
      <c r="Q239">
        <f>IF(E238&lt;=0,0,MIN(AJ239,E$7+IF(E$2=$AA239,$AC239,IF(E$2=$AF239,$AG239,0))))</f>
        <v/>
      </c>
      <c r="R239">
        <f>IF(F238&lt;=0,0,MIN(AK239,F$7+IF(F$2=$AA239,$AC239,IF(F$2=$AF239,$AG239,0))))</f>
        <v/>
      </c>
      <c r="S239">
        <f>IF(G238&lt;=0,0,MIN(AL239,G$7+IF(G$2=$AA239,$AC239,IF(G$2=$AF239,$AG239,0))))</f>
        <v/>
      </c>
      <c r="T239">
        <f>IF(H238&lt;=0,0,MIN(AM239,H$7+IF(H$2=$AA239,$AC239,IF(H$2=$AF239,$AG239,0))))</f>
        <v/>
      </c>
      <c r="U239">
        <f>IF(I238&lt;=0,0,MIN(AN239,I$7+IF(I$2=$AA239,$AC239,IF(I$2=$AF239,$AG239,0))))</f>
        <v/>
      </c>
      <c r="V239">
        <f>IF(J238&lt;=0,0,MIN(AO239,J$7+IF(J$2=$AA239,$AC239,IF(J$2=$AF239,$AG239,0))))</f>
        <v/>
      </c>
      <c r="W239">
        <f>IF(K238&lt;=0,0,MIN(AP239,K$7+IF(K$2=$AA239,$AC239,IF(K$2=$AF239,$AG239,0))))</f>
        <v/>
      </c>
      <c r="X239">
        <f>IF(L238&lt;=0,0,MIN(AQ239,L$7+IF(L$2=$AA239,$AC239,IF(L$2=$AF239,$AG239,0))))</f>
        <v/>
      </c>
      <c r="Y239">
        <f>IF(M238&lt;=0,0,MIN(AR239,M$7+IF(M$2=$AA239,$AC239,IF(M$2=$AF239,$AG239,0))))</f>
        <v/>
      </c>
      <c r="Z239">
        <f>IF(N238&lt;=0,0,MIN(AS239,N$7+IF(N$2=$AA239,$AC239,IF(N$2=$AF239,$AG239,0))))</f>
        <v/>
      </c>
      <c r="AA239">
        <f>IFERROR(ROUND(1/SUMPRODUCT(MAX((C238:N238&gt;0)*($C$3:$N$3&lt;=B239)/$C$2:$N$2)),0),0)</f>
        <v/>
      </c>
      <c r="AB239">
        <f>SUMPRODUCT((C238:N238&gt;0)*$C$7:$N$7)</f>
        <v/>
      </c>
      <c r="AC239">
        <f>MAX(0,Plan!$C$5-AB239)+IF(A239=Plan!$C$8,N(Plan!$C$7),0)</f>
        <v/>
      </c>
      <c r="AD239">
        <f>SUM(C239:N239)</f>
        <v/>
      </c>
      <c r="AE239">
        <f>SUM(O239:Z239)</f>
        <v/>
      </c>
      <c r="AF239">
        <f>IFERROR(ROUND(1/SUMPRODUCT(MAX((C238:N238&gt;0)*($C$3:$N$3&lt;=B239)*($C$2:$N$2&gt;AA239)/$C$2:$N$2)),0),0)</f>
        <v/>
      </c>
      <c r="AG239">
        <f>MAX(0,AC239-MAX(0,SUMPRODUCT(($C$2:$N$2=AA239)*(AH239:AS239-$C$7:$N$7))))</f>
        <v/>
      </c>
      <c r="AH239">
        <f>IF(C238&lt;=0,0,ROUND(C238*(1+IF(AND(C$6&gt;0,$B239&lt;C$6),C$4,C$5)/12),2))</f>
        <v/>
      </c>
      <c r="AI239">
        <f>IF(D238&lt;=0,0,ROUND(D238*(1+IF(AND(D$6&gt;0,$B239&lt;D$6),D$4,D$5)/12),2))</f>
        <v/>
      </c>
      <c r="AJ239">
        <f>IF(E238&lt;=0,0,ROUND(E238*(1+IF(AND(E$6&gt;0,$B239&lt;E$6),E$4,E$5)/12),2))</f>
        <v/>
      </c>
      <c r="AK239">
        <f>IF(F238&lt;=0,0,ROUND(F238*(1+IF(AND(F$6&gt;0,$B239&lt;F$6),F$4,F$5)/12),2))</f>
        <v/>
      </c>
      <c r="AL239">
        <f>IF(G238&lt;=0,0,ROUND(G238*(1+IF(AND(G$6&gt;0,$B239&lt;G$6),G$4,G$5)/12),2))</f>
        <v/>
      </c>
      <c r="AM239">
        <f>IF(H238&lt;=0,0,ROUND(H238*(1+IF(AND(H$6&gt;0,$B239&lt;H$6),H$4,H$5)/12),2))</f>
        <v/>
      </c>
      <c r="AN239">
        <f>IF(I238&lt;=0,0,ROUND(I238*(1+IF(AND(I$6&gt;0,$B239&lt;I$6),I$4,I$5)/12),2))</f>
        <v/>
      </c>
      <c r="AO239">
        <f>IF(J238&lt;=0,0,ROUND(J238*(1+IF(AND(J$6&gt;0,$B239&lt;J$6),J$4,J$5)/12),2))</f>
        <v/>
      </c>
      <c r="AP239">
        <f>IF(K238&lt;=0,0,ROUND(K238*(1+IF(AND(K$6&gt;0,$B239&lt;K$6),K$4,K$5)/12),2))</f>
        <v/>
      </c>
      <c r="AQ239">
        <f>IF(L238&lt;=0,0,ROUND(L238*(1+IF(AND(L$6&gt;0,$B239&lt;L$6),L$4,L$5)/12),2))</f>
        <v/>
      </c>
      <c r="AR239">
        <f>IF(M238&lt;=0,0,ROUND(M238*(1+IF(AND(M$6&gt;0,$B239&lt;M$6),M$4,M$5)/12),2))</f>
        <v/>
      </c>
      <c r="AS239">
        <f>IF(N238&lt;=0,0,ROUND(N238*(1+IF(AND(N$6&gt;0,$B239&lt;N$6),N$4,N$5)/12),2))</f>
        <v/>
      </c>
    </row>
    <row r="240">
      <c r="A240" t="n">
        <v>229</v>
      </c>
      <c r="B240">
        <f>EDATE(Plan!$C$6,228)</f>
        <v/>
      </c>
      <c r="C240">
        <f>IF(C239&lt;=0,0,MAX(0,AH240-O240))</f>
        <v/>
      </c>
      <c r="D240">
        <f>IF(D239&lt;=0,0,MAX(0,AI240-P240))</f>
        <v/>
      </c>
      <c r="E240">
        <f>IF(E239&lt;=0,0,MAX(0,AJ240-Q240))</f>
        <v/>
      </c>
      <c r="F240">
        <f>IF(F239&lt;=0,0,MAX(0,AK240-R240))</f>
        <v/>
      </c>
      <c r="G240">
        <f>IF(G239&lt;=0,0,MAX(0,AL240-S240))</f>
        <v/>
      </c>
      <c r="H240">
        <f>IF(H239&lt;=0,0,MAX(0,AM240-T240))</f>
        <v/>
      </c>
      <c r="I240">
        <f>IF(I239&lt;=0,0,MAX(0,AN240-U240))</f>
        <v/>
      </c>
      <c r="J240">
        <f>IF(J239&lt;=0,0,MAX(0,AO240-V240))</f>
        <v/>
      </c>
      <c r="K240">
        <f>IF(K239&lt;=0,0,MAX(0,AP240-W240))</f>
        <v/>
      </c>
      <c r="L240">
        <f>IF(L239&lt;=0,0,MAX(0,AQ240-X240))</f>
        <v/>
      </c>
      <c r="M240">
        <f>IF(M239&lt;=0,0,MAX(0,AR240-Y240))</f>
        <v/>
      </c>
      <c r="N240">
        <f>IF(N239&lt;=0,0,MAX(0,AS240-Z240))</f>
        <v/>
      </c>
      <c r="O240">
        <f>IF(C239&lt;=0,0,MIN(AH240,C$7+IF(C$2=$AA240,$AC240,IF(C$2=$AF240,$AG240,0))))</f>
        <v/>
      </c>
      <c r="P240">
        <f>IF(D239&lt;=0,0,MIN(AI240,D$7+IF(D$2=$AA240,$AC240,IF(D$2=$AF240,$AG240,0))))</f>
        <v/>
      </c>
      <c r="Q240">
        <f>IF(E239&lt;=0,0,MIN(AJ240,E$7+IF(E$2=$AA240,$AC240,IF(E$2=$AF240,$AG240,0))))</f>
        <v/>
      </c>
      <c r="R240">
        <f>IF(F239&lt;=0,0,MIN(AK240,F$7+IF(F$2=$AA240,$AC240,IF(F$2=$AF240,$AG240,0))))</f>
        <v/>
      </c>
      <c r="S240">
        <f>IF(G239&lt;=0,0,MIN(AL240,G$7+IF(G$2=$AA240,$AC240,IF(G$2=$AF240,$AG240,0))))</f>
        <v/>
      </c>
      <c r="T240">
        <f>IF(H239&lt;=0,0,MIN(AM240,H$7+IF(H$2=$AA240,$AC240,IF(H$2=$AF240,$AG240,0))))</f>
        <v/>
      </c>
      <c r="U240">
        <f>IF(I239&lt;=0,0,MIN(AN240,I$7+IF(I$2=$AA240,$AC240,IF(I$2=$AF240,$AG240,0))))</f>
        <v/>
      </c>
      <c r="V240">
        <f>IF(J239&lt;=0,0,MIN(AO240,J$7+IF(J$2=$AA240,$AC240,IF(J$2=$AF240,$AG240,0))))</f>
        <v/>
      </c>
      <c r="W240">
        <f>IF(K239&lt;=0,0,MIN(AP240,K$7+IF(K$2=$AA240,$AC240,IF(K$2=$AF240,$AG240,0))))</f>
        <v/>
      </c>
      <c r="X240">
        <f>IF(L239&lt;=0,0,MIN(AQ240,L$7+IF(L$2=$AA240,$AC240,IF(L$2=$AF240,$AG240,0))))</f>
        <v/>
      </c>
      <c r="Y240">
        <f>IF(M239&lt;=0,0,MIN(AR240,M$7+IF(M$2=$AA240,$AC240,IF(M$2=$AF240,$AG240,0))))</f>
        <v/>
      </c>
      <c r="Z240">
        <f>IF(N239&lt;=0,0,MIN(AS240,N$7+IF(N$2=$AA240,$AC240,IF(N$2=$AF240,$AG240,0))))</f>
        <v/>
      </c>
      <c r="AA240">
        <f>IFERROR(ROUND(1/SUMPRODUCT(MAX((C239:N239&gt;0)*($C$3:$N$3&lt;=B240)/$C$2:$N$2)),0),0)</f>
        <v/>
      </c>
      <c r="AB240">
        <f>SUMPRODUCT((C239:N239&gt;0)*$C$7:$N$7)</f>
        <v/>
      </c>
      <c r="AC240">
        <f>MAX(0,Plan!$C$5-AB240)+IF(A240=Plan!$C$8,N(Plan!$C$7),0)</f>
        <v/>
      </c>
      <c r="AD240">
        <f>SUM(C240:N240)</f>
        <v/>
      </c>
      <c r="AE240">
        <f>SUM(O240:Z240)</f>
        <v/>
      </c>
      <c r="AF240">
        <f>IFERROR(ROUND(1/SUMPRODUCT(MAX((C239:N239&gt;0)*($C$3:$N$3&lt;=B240)*($C$2:$N$2&gt;AA240)/$C$2:$N$2)),0),0)</f>
        <v/>
      </c>
      <c r="AG240">
        <f>MAX(0,AC240-MAX(0,SUMPRODUCT(($C$2:$N$2=AA240)*(AH240:AS240-$C$7:$N$7))))</f>
        <v/>
      </c>
      <c r="AH240">
        <f>IF(C239&lt;=0,0,ROUND(C239*(1+IF(AND(C$6&gt;0,$B240&lt;C$6),C$4,C$5)/12),2))</f>
        <v/>
      </c>
      <c r="AI240">
        <f>IF(D239&lt;=0,0,ROUND(D239*(1+IF(AND(D$6&gt;0,$B240&lt;D$6),D$4,D$5)/12),2))</f>
        <v/>
      </c>
      <c r="AJ240">
        <f>IF(E239&lt;=0,0,ROUND(E239*(1+IF(AND(E$6&gt;0,$B240&lt;E$6),E$4,E$5)/12),2))</f>
        <v/>
      </c>
      <c r="AK240">
        <f>IF(F239&lt;=0,0,ROUND(F239*(1+IF(AND(F$6&gt;0,$B240&lt;F$6),F$4,F$5)/12),2))</f>
        <v/>
      </c>
      <c r="AL240">
        <f>IF(G239&lt;=0,0,ROUND(G239*(1+IF(AND(G$6&gt;0,$B240&lt;G$6),G$4,G$5)/12),2))</f>
        <v/>
      </c>
      <c r="AM240">
        <f>IF(H239&lt;=0,0,ROUND(H239*(1+IF(AND(H$6&gt;0,$B240&lt;H$6),H$4,H$5)/12),2))</f>
        <v/>
      </c>
      <c r="AN240">
        <f>IF(I239&lt;=0,0,ROUND(I239*(1+IF(AND(I$6&gt;0,$B240&lt;I$6),I$4,I$5)/12),2))</f>
        <v/>
      </c>
      <c r="AO240">
        <f>IF(J239&lt;=0,0,ROUND(J239*(1+IF(AND(J$6&gt;0,$B240&lt;J$6),J$4,J$5)/12),2))</f>
        <v/>
      </c>
      <c r="AP240">
        <f>IF(K239&lt;=0,0,ROUND(K239*(1+IF(AND(K$6&gt;0,$B240&lt;K$6),K$4,K$5)/12),2))</f>
        <v/>
      </c>
      <c r="AQ240">
        <f>IF(L239&lt;=0,0,ROUND(L239*(1+IF(AND(L$6&gt;0,$B240&lt;L$6),L$4,L$5)/12),2))</f>
        <v/>
      </c>
      <c r="AR240">
        <f>IF(M239&lt;=0,0,ROUND(M239*(1+IF(AND(M$6&gt;0,$B240&lt;M$6),M$4,M$5)/12),2))</f>
        <v/>
      </c>
      <c r="AS240">
        <f>IF(N239&lt;=0,0,ROUND(N239*(1+IF(AND(N$6&gt;0,$B240&lt;N$6),N$4,N$5)/12),2))</f>
        <v/>
      </c>
    </row>
    <row r="241">
      <c r="A241" t="n">
        <v>230</v>
      </c>
      <c r="B241">
        <f>EDATE(Plan!$C$6,229)</f>
        <v/>
      </c>
      <c r="C241">
        <f>IF(C240&lt;=0,0,MAX(0,AH241-O241))</f>
        <v/>
      </c>
      <c r="D241">
        <f>IF(D240&lt;=0,0,MAX(0,AI241-P241))</f>
        <v/>
      </c>
      <c r="E241">
        <f>IF(E240&lt;=0,0,MAX(0,AJ241-Q241))</f>
        <v/>
      </c>
      <c r="F241">
        <f>IF(F240&lt;=0,0,MAX(0,AK241-R241))</f>
        <v/>
      </c>
      <c r="G241">
        <f>IF(G240&lt;=0,0,MAX(0,AL241-S241))</f>
        <v/>
      </c>
      <c r="H241">
        <f>IF(H240&lt;=0,0,MAX(0,AM241-T241))</f>
        <v/>
      </c>
      <c r="I241">
        <f>IF(I240&lt;=0,0,MAX(0,AN241-U241))</f>
        <v/>
      </c>
      <c r="J241">
        <f>IF(J240&lt;=0,0,MAX(0,AO241-V241))</f>
        <v/>
      </c>
      <c r="K241">
        <f>IF(K240&lt;=0,0,MAX(0,AP241-W241))</f>
        <v/>
      </c>
      <c r="L241">
        <f>IF(L240&lt;=0,0,MAX(0,AQ241-X241))</f>
        <v/>
      </c>
      <c r="M241">
        <f>IF(M240&lt;=0,0,MAX(0,AR241-Y241))</f>
        <v/>
      </c>
      <c r="N241">
        <f>IF(N240&lt;=0,0,MAX(0,AS241-Z241))</f>
        <v/>
      </c>
      <c r="O241">
        <f>IF(C240&lt;=0,0,MIN(AH241,C$7+IF(C$2=$AA241,$AC241,IF(C$2=$AF241,$AG241,0))))</f>
        <v/>
      </c>
      <c r="P241">
        <f>IF(D240&lt;=0,0,MIN(AI241,D$7+IF(D$2=$AA241,$AC241,IF(D$2=$AF241,$AG241,0))))</f>
        <v/>
      </c>
      <c r="Q241">
        <f>IF(E240&lt;=0,0,MIN(AJ241,E$7+IF(E$2=$AA241,$AC241,IF(E$2=$AF241,$AG241,0))))</f>
        <v/>
      </c>
      <c r="R241">
        <f>IF(F240&lt;=0,0,MIN(AK241,F$7+IF(F$2=$AA241,$AC241,IF(F$2=$AF241,$AG241,0))))</f>
        <v/>
      </c>
      <c r="S241">
        <f>IF(G240&lt;=0,0,MIN(AL241,G$7+IF(G$2=$AA241,$AC241,IF(G$2=$AF241,$AG241,0))))</f>
        <v/>
      </c>
      <c r="T241">
        <f>IF(H240&lt;=0,0,MIN(AM241,H$7+IF(H$2=$AA241,$AC241,IF(H$2=$AF241,$AG241,0))))</f>
        <v/>
      </c>
      <c r="U241">
        <f>IF(I240&lt;=0,0,MIN(AN241,I$7+IF(I$2=$AA241,$AC241,IF(I$2=$AF241,$AG241,0))))</f>
        <v/>
      </c>
      <c r="V241">
        <f>IF(J240&lt;=0,0,MIN(AO241,J$7+IF(J$2=$AA241,$AC241,IF(J$2=$AF241,$AG241,0))))</f>
        <v/>
      </c>
      <c r="W241">
        <f>IF(K240&lt;=0,0,MIN(AP241,K$7+IF(K$2=$AA241,$AC241,IF(K$2=$AF241,$AG241,0))))</f>
        <v/>
      </c>
      <c r="X241">
        <f>IF(L240&lt;=0,0,MIN(AQ241,L$7+IF(L$2=$AA241,$AC241,IF(L$2=$AF241,$AG241,0))))</f>
        <v/>
      </c>
      <c r="Y241">
        <f>IF(M240&lt;=0,0,MIN(AR241,M$7+IF(M$2=$AA241,$AC241,IF(M$2=$AF241,$AG241,0))))</f>
        <v/>
      </c>
      <c r="Z241">
        <f>IF(N240&lt;=0,0,MIN(AS241,N$7+IF(N$2=$AA241,$AC241,IF(N$2=$AF241,$AG241,0))))</f>
        <v/>
      </c>
      <c r="AA241">
        <f>IFERROR(ROUND(1/SUMPRODUCT(MAX((C240:N240&gt;0)*($C$3:$N$3&lt;=B241)/$C$2:$N$2)),0),0)</f>
        <v/>
      </c>
      <c r="AB241">
        <f>SUMPRODUCT((C240:N240&gt;0)*$C$7:$N$7)</f>
        <v/>
      </c>
      <c r="AC241">
        <f>MAX(0,Plan!$C$5-AB241)+IF(A241=Plan!$C$8,N(Plan!$C$7),0)</f>
        <v/>
      </c>
      <c r="AD241">
        <f>SUM(C241:N241)</f>
        <v/>
      </c>
      <c r="AE241">
        <f>SUM(O241:Z241)</f>
        <v/>
      </c>
      <c r="AF241">
        <f>IFERROR(ROUND(1/SUMPRODUCT(MAX((C240:N240&gt;0)*($C$3:$N$3&lt;=B241)*($C$2:$N$2&gt;AA241)/$C$2:$N$2)),0),0)</f>
        <v/>
      </c>
      <c r="AG241">
        <f>MAX(0,AC241-MAX(0,SUMPRODUCT(($C$2:$N$2=AA241)*(AH241:AS241-$C$7:$N$7))))</f>
        <v/>
      </c>
      <c r="AH241">
        <f>IF(C240&lt;=0,0,ROUND(C240*(1+IF(AND(C$6&gt;0,$B241&lt;C$6),C$4,C$5)/12),2))</f>
        <v/>
      </c>
      <c r="AI241">
        <f>IF(D240&lt;=0,0,ROUND(D240*(1+IF(AND(D$6&gt;0,$B241&lt;D$6),D$4,D$5)/12),2))</f>
        <v/>
      </c>
      <c r="AJ241">
        <f>IF(E240&lt;=0,0,ROUND(E240*(1+IF(AND(E$6&gt;0,$B241&lt;E$6),E$4,E$5)/12),2))</f>
        <v/>
      </c>
      <c r="AK241">
        <f>IF(F240&lt;=0,0,ROUND(F240*(1+IF(AND(F$6&gt;0,$B241&lt;F$6),F$4,F$5)/12),2))</f>
        <v/>
      </c>
      <c r="AL241">
        <f>IF(G240&lt;=0,0,ROUND(G240*(1+IF(AND(G$6&gt;0,$B241&lt;G$6),G$4,G$5)/12),2))</f>
        <v/>
      </c>
      <c r="AM241">
        <f>IF(H240&lt;=0,0,ROUND(H240*(1+IF(AND(H$6&gt;0,$B241&lt;H$6),H$4,H$5)/12),2))</f>
        <v/>
      </c>
      <c r="AN241">
        <f>IF(I240&lt;=0,0,ROUND(I240*(1+IF(AND(I$6&gt;0,$B241&lt;I$6),I$4,I$5)/12),2))</f>
        <v/>
      </c>
      <c r="AO241">
        <f>IF(J240&lt;=0,0,ROUND(J240*(1+IF(AND(J$6&gt;0,$B241&lt;J$6),J$4,J$5)/12),2))</f>
        <v/>
      </c>
      <c r="AP241">
        <f>IF(K240&lt;=0,0,ROUND(K240*(1+IF(AND(K$6&gt;0,$B241&lt;K$6),K$4,K$5)/12),2))</f>
        <v/>
      </c>
      <c r="AQ241">
        <f>IF(L240&lt;=0,0,ROUND(L240*(1+IF(AND(L$6&gt;0,$B241&lt;L$6),L$4,L$5)/12),2))</f>
        <v/>
      </c>
      <c r="AR241">
        <f>IF(M240&lt;=0,0,ROUND(M240*(1+IF(AND(M$6&gt;0,$B241&lt;M$6),M$4,M$5)/12),2))</f>
        <v/>
      </c>
      <c r="AS241">
        <f>IF(N240&lt;=0,0,ROUND(N240*(1+IF(AND(N$6&gt;0,$B241&lt;N$6),N$4,N$5)/12),2))</f>
        <v/>
      </c>
    </row>
    <row r="242">
      <c r="A242" t="n">
        <v>231</v>
      </c>
      <c r="B242">
        <f>EDATE(Plan!$C$6,230)</f>
        <v/>
      </c>
      <c r="C242">
        <f>IF(C241&lt;=0,0,MAX(0,AH242-O242))</f>
        <v/>
      </c>
      <c r="D242">
        <f>IF(D241&lt;=0,0,MAX(0,AI242-P242))</f>
        <v/>
      </c>
      <c r="E242">
        <f>IF(E241&lt;=0,0,MAX(0,AJ242-Q242))</f>
        <v/>
      </c>
      <c r="F242">
        <f>IF(F241&lt;=0,0,MAX(0,AK242-R242))</f>
        <v/>
      </c>
      <c r="G242">
        <f>IF(G241&lt;=0,0,MAX(0,AL242-S242))</f>
        <v/>
      </c>
      <c r="H242">
        <f>IF(H241&lt;=0,0,MAX(0,AM242-T242))</f>
        <v/>
      </c>
      <c r="I242">
        <f>IF(I241&lt;=0,0,MAX(0,AN242-U242))</f>
        <v/>
      </c>
      <c r="J242">
        <f>IF(J241&lt;=0,0,MAX(0,AO242-V242))</f>
        <v/>
      </c>
      <c r="K242">
        <f>IF(K241&lt;=0,0,MAX(0,AP242-W242))</f>
        <v/>
      </c>
      <c r="L242">
        <f>IF(L241&lt;=0,0,MAX(0,AQ242-X242))</f>
        <v/>
      </c>
      <c r="M242">
        <f>IF(M241&lt;=0,0,MAX(0,AR242-Y242))</f>
        <v/>
      </c>
      <c r="N242">
        <f>IF(N241&lt;=0,0,MAX(0,AS242-Z242))</f>
        <v/>
      </c>
      <c r="O242">
        <f>IF(C241&lt;=0,0,MIN(AH242,C$7+IF(C$2=$AA242,$AC242,IF(C$2=$AF242,$AG242,0))))</f>
        <v/>
      </c>
      <c r="P242">
        <f>IF(D241&lt;=0,0,MIN(AI242,D$7+IF(D$2=$AA242,$AC242,IF(D$2=$AF242,$AG242,0))))</f>
        <v/>
      </c>
      <c r="Q242">
        <f>IF(E241&lt;=0,0,MIN(AJ242,E$7+IF(E$2=$AA242,$AC242,IF(E$2=$AF242,$AG242,0))))</f>
        <v/>
      </c>
      <c r="R242">
        <f>IF(F241&lt;=0,0,MIN(AK242,F$7+IF(F$2=$AA242,$AC242,IF(F$2=$AF242,$AG242,0))))</f>
        <v/>
      </c>
      <c r="S242">
        <f>IF(G241&lt;=0,0,MIN(AL242,G$7+IF(G$2=$AA242,$AC242,IF(G$2=$AF242,$AG242,0))))</f>
        <v/>
      </c>
      <c r="T242">
        <f>IF(H241&lt;=0,0,MIN(AM242,H$7+IF(H$2=$AA242,$AC242,IF(H$2=$AF242,$AG242,0))))</f>
        <v/>
      </c>
      <c r="U242">
        <f>IF(I241&lt;=0,0,MIN(AN242,I$7+IF(I$2=$AA242,$AC242,IF(I$2=$AF242,$AG242,0))))</f>
        <v/>
      </c>
      <c r="V242">
        <f>IF(J241&lt;=0,0,MIN(AO242,J$7+IF(J$2=$AA242,$AC242,IF(J$2=$AF242,$AG242,0))))</f>
        <v/>
      </c>
      <c r="W242">
        <f>IF(K241&lt;=0,0,MIN(AP242,K$7+IF(K$2=$AA242,$AC242,IF(K$2=$AF242,$AG242,0))))</f>
        <v/>
      </c>
      <c r="X242">
        <f>IF(L241&lt;=0,0,MIN(AQ242,L$7+IF(L$2=$AA242,$AC242,IF(L$2=$AF242,$AG242,0))))</f>
        <v/>
      </c>
      <c r="Y242">
        <f>IF(M241&lt;=0,0,MIN(AR242,M$7+IF(M$2=$AA242,$AC242,IF(M$2=$AF242,$AG242,0))))</f>
        <v/>
      </c>
      <c r="Z242">
        <f>IF(N241&lt;=0,0,MIN(AS242,N$7+IF(N$2=$AA242,$AC242,IF(N$2=$AF242,$AG242,0))))</f>
        <v/>
      </c>
      <c r="AA242">
        <f>IFERROR(ROUND(1/SUMPRODUCT(MAX((C241:N241&gt;0)*($C$3:$N$3&lt;=B242)/$C$2:$N$2)),0),0)</f>
        <v/>
      </c>
      <c r="AB242">
        <f>SUMPRODUCT((C241:N241&gt;0)*$C$7:$N$7)</f>
        <v/>
      </c>
      <c r="AC242">
        <f>MAX(0,Plan!$C$5-AB242)+IF(A242=Plan!$C$8,N(Plan!$C$7),0)</f>
        <v/>
      </c>
      <c r="AD242">
        <f>SUM(C242:N242)</f>
        <v/>
      </c>
      <c r="AE242">
        <f>SUM(O242:Z242)</f>
        <v/>
      </c>
      <c r="AF242">
        <f>IFERROR(ROUND(1/SUMPRODUCT(MAX((C241:N241&gt;0)*($C$3:$N$3&lt;=B242)*($C$2:$N$2&gt;AA242)/$C$2:$N$2)),0),0)</f>
        <v/>
      </c>
      <c r="AG242">
        <f>MAX(0,AC242-MAX(0,SUMPRODUCT(($C$2:$N$2=AA242)*(AH242:AS242-$C$7:$N$7))))</f>
        <v/>
      </c>
      <c r="AH242">
        <f>IF(C241&lt;=0,0,ROUND(C241*(1+IF(AND(C$6&gt;0,$B242&lt;C$6),C$4,C$5)/12),2))</f>
        <v/>
      </c>
      <c r="AI242">
        <f>IF(D241&lt;=0,0,ROUND(D241*(1+IF(AND(D$6&gt;0,$B242&lt;D$6),D$4,D$5)/12),2))</f>
        <v/>
      </c>
      <c r="AJ242">
        <f>IF(E241&lt;=0,0,ROUND(E241*(1+IF(AND(E$6&gt;0,$B242&lt;E$6),E$4,E$5)/12),2))</f>
        <v/>
      </c>
      <c r="AK242">
        <f>IF(F241&lt;=0,0,ROUND(F241*(1+IF(AND(F$6&gt;0,$B242&lt;F$6),F$4,F$5)/12),2))</f>
        <v/>
      </c>
      <c r="AL242">
        <f>IF(G241&lt;=0,0,ROUND(G241*(1+IF(AND(G$6&gt;0,$B242&lt;G$6),G$4,G$5)/12),2))</f>
        <v/>
      </c>
      <c r="AM242">
        <f>IF(H241&lt;=0,0,ROUND(H241*(1+IF(AND(H$6&gt;0,$B242&lt;H$6),H$4,H$5)/12),2))</f>
        <v/>
      </c>
      <c r="AN242">
        <f>IF(I241&lt;=0,0,ROUND(I241*(1+IF(AND(I$6&gt;0,$B242&lt;I$6),I$4,I$5)/12),2))</f>
        <v/>
      </c>
      <c r="AO242">
        <f>IF(J241&lt;=0,0,ROUND(J241*(1+IF(AND(J$6&gt;0,$B242&lt;J$6),J$4,J$5)/12),2))</f>
        <v/>
      </c>
      <c r="AP242">
        <f>IF(K241&lt;=0,0,ROUND(K241*(1+IF(AND(K$6&gt;0,$B242&lt;K$6),K$4,K$5)/12),2))</f>
        <v/>
      </c>
      <c r="AQ242">
        <f>IF(L241&lt;=0,0,ROUND(L241*(1+IF(AND(L$6&gt;0,$B242&lt;L$6),L$4,L$5)/12),2))</f>
        <v/>
      </c>
      <c r="AR242">
        <f>IF(M241&lt;=0,0,ROUND(M241*(1+IF(AND(M$6&gt;0,$B242&lt;M$6),M$4,M$5)/12),2))</f>
        <v/>
      </c>
      <c r="AS242">
        <f>IF(N241&lt;=0,0,ROUND(N241*(1+IF(AND(N$6&gt;0,$B242&lt;N$6),N$4,N$5)/12),2))</f>
        <v/>
      </c>
    </row>
    <row r="243">
      <c r="A243" t="n">
        <v>232</v>
      </c>
      <c r="B243">
        <f>EDATE(Plan!$C$6,231)</f>
        <v/>
      </c>
      <c r="C243">
        <f>IF(C242&lt;=0,0,MAX(0,AH243-O243))</f>
        <v/>
      </c>
      <c r="D243">
        <f>IF(D242&lt;=0,0,MAX(0,AI243-P243))</f>
        <v/>
      </c>
      <c r="E243">
        <f>IF(E242&lt;=0,0,MAX(0,AJ243-Q243))</f>
        <v/>
      </c>
      <c r="F243">
        <f>IF(F242&lt;=0,0,MAX(0,AK243-R243))</f>
        <v/>
      </c>
      <c r="G243">
        <f>IF(G242&lt;=0,0,MAX(0,AL243-S243))</f>
        <v/>
      </c>
      <c r="H243">
        <f>IF(H242&lt;=0,0,MAX(0,AM243-T243))</f>
        <v/>
      </c>
      <c r="I243">
        <f>IF(I242&lt;=0,0,MAX(0,AN243-U243))</f>
        <v/>
      </c>
      <c r="J243">
        <f>IF(J242&lt;=0,0,MAX(0,AO243-V243))</f>
        <v/>
      </c>
      <c r="K243">
        <f>IF(K242&lt;=0,0,MAX(0,AP243-W243))</f>
        <v/>
      </c>
      <c r="L243">
        <f>IF(L242&lt;=0,0,MAX(0,AQ243-X243))</f>
        <v/>
      </c>
      <c r="M243">
        <f>IF(M242&lt;=0,0,MAX(0,AR243-Y243))</f>
        <v/>
      </c>
      <c r="N243">
        <f>IF(N242&lt;=0,0,MAX(0,AS243-Z243))</f>
        <v/>
      </c>
      <c r="O243">
        <f>IF(C242&lt;=0,0,MIN(AH243,C$7+IF(C$2=$AA243,$AC243,IF(C$2=$AF243,$AG243,0))))</f>
        <v/>
      </c>
      <c r="P243">
        <f>IF(D242&lt;=0,0,MIN(AI243,D$7+IF(D$2=$AA243,$AC243,IF(D$2=$AF243,$AG243,0))))</f>
        <v/>
      </c>
      <c r="Q243">
        <f>IF(E242&lt;=0,0,MIN(AJ243,E$7+IF(E$2=$AA243,$AC243,IF(E$2=$AF243,$AG243,0))))</f>
        <v/>
      </c>
      <c r="R243">
        <f>IF(F242&lt;=0,0,MIN(AK243,F$7+IF(F$2=$AA243,$AC243,IF(F$2=$AF243,$AG243,0))))</f>
        <v/>
      </c>
      <c r="S243">
        <f>IF(G242&lt;=0,0,MIN(AL243,G$7+IF(G$2=$AA243,$AC243,IF(G$2=$AF243,$AG243,0))))</f>
        <v/>
      </c>
      <c r="T243">
        <f>IF(H242&lt;=0,0,MIN(AM243,H$7+IF(H$2=$AA243,$AC243,IF(H$2=$AF243,$AG243,0))))</f>
        <v/>
      </c>
      <c r="U243">
        <f>IF(I242&lt;=0,0,MIN(AN243,I$7+IF(I$2=$AA243,$AC243,IF(I$2=$AF243,$AG243,0))))</f>
        <v/>
      </c>
      <c r="V243">
        <f>IF(J242&lt;=0,0,MIN(AO243,J$7+IF(J$2=$AA243,$AC243,IF(J$2=$AF243,$AG243,0))))</f>
        <v/>
      </c>
      <c r="W243">
        <f>IF(K242&lt;=0,0,MIN(AP243,K$7+IF(K$2=$AA243,$AC243,IF(K$2=$AF243,$AG243,0))))</f>
        <v/>
      </c>
      <c r="X243">
        <f>IF(L242&lt;=0,0,MIN(AQ243,L$7+IF(L$2=$AA243,$AC243,IF(L$2=$AF243,$AG243,0))))</f>
        <v/>
      </c>
      <c r="Y243">
        <f>IF(M242&lt;=0,0,MIN(AR243,M$7+IF(M$2=$AA243,$AC243,IF(M$2=$AF243,$AG243,0))))</f>
        <v/>
      </c>
      <c r="Z243">
        <f>IF(N242&lt;=0,0,MIN(AS243,N$7+IF(N$2=$AA243,$AC243,IF(N$2=$AF243,$AG243,0))))</f>
        <v/>
      </c>
      <c r="AA243">
        <f>IFERROR(ROUND(1/SUMPRODUCT(MAX((C242:N242&gt;0)*($C$3:$N$3&lt;=B243)/$C$2:$N$2)),0),0)</f>
        <v/>
      </c>
      <c r="AB243">
        <f>SUMPRODUCT((C242:N242&gt;0)*$C$7:$N$7)</f>
        <v/>
      </c>
      <c r="AC243">
        <f>MAX(0,Plan!$C$5-AB243)+IF(A243=Plan!$C$8,N(Plan!$C$7),0)</f>
        <v/>
      </c>
      <c r="AD243">
        <f>SUM(C243:N243)</f>
        <v/>
      </c>
      <c r="AE243">
        <f>SUM(O243:Z243)</f>
        <v/>
      </c>
      <c r="AF243">
        <f>IFERROR(ROUND(1/SUMPRODUCT(MAX((C242:N242&gt;0)*($C$3:$N$3&lt;=B243)*($C$2:$N$2&gt;AA243)/$C$2:$N$2)),0),0)</f>
        <v/>
      </c>
      <c r="AG243">
        <f>MAX(0,AC243-MAX(0,SUMPRODUCT(($C$2:$N$2=AA243)*(AH243:AS243-$C$7:$N$7))))</f>
        <v/>
      </c>
      <c r="AH243">
        <f>IF(C242&lt;=0,0,ROUND(C242*(1+IF(AND(C$6&gt;0,$B243&lt;C$6),C$4,C$5)/12),2))</f>
        <v/>
      </c>
      <c r="AI243">
        <f>IF(D242&lt;=0,0,ROUND(D242*(1+IF(AND(D$6&gt;0,$B243&lt;D$6),D$4,D$5)/12),2))</f>
        <v/>
      </c>
      <c r="AJ243">
        <f>IF(E242&lt;=0,0,ROUND(E242*(1+IF(AND(E$6&gt;0,$B243&lt;E$6),E$4,E$5)/12),2))</f>
        <v/>
      </c>
      <c r="AK243">
        <f>IF(F242&lt;=0,0,ROUND(F242*(1+IF(AND(F$6&gt;0,$B243&lt;F$6),F$4,F$5)/12),2))</f>
        <v/>
      </c>
      <c r="AL243">
        <f>IF(G242&lt;=0,0,ROUND(G242*(1+IF(AND(G$6&gt;0,$B243&lt;G$6),G$4,G$5)/12),2))</f>
        <v/>
      </c>
      <c r="AM243">
        <f>IF(H242&lt;=0,0,ROUND(H242*(1+IF(AND(H$6&gt;0,$B243&lt;H$6),H$4,H$5)/12),2))</f>
        <v/>
      </c>
      <c r="AN243">
        <f>IF(I242&lt;=0,0,ROUND(I242*(1+IF(AND(I$6&gt;0,$B243&lt;I$6),I$4,I$5)/12),2))</f>
        <v/>
      </c>
      <c r="AO243">
        <f>IF(J242&lt;=0,0,ROUND(J242*(1+IF(AND(J$6&gt;0,$B243&lt;J$6),J$4,J$5)/12),2))</f>
        <v/>
      </c>
      <c r="AP243">
        <f>IF(K242&lt;=0,0,ROUND(K242*(1+IF(AND(K$6&gt;0,$B243&lt;K$6),K$4,K$5)/12),2))</f>
        <v/>
      </c>
      <c r="AQ243">
        <f>IF(L242&lt;=0,0,ROUND(L242*(1+IF(AND(L$6&gt;0,$B243&lt;L$6),L$4,L$5)/12),2))</f>
        <v/>
      </c>
      <c r="AR243">
        <f>IF(M242&lt;=0,0,ROUND(M242*(1+IF(AND(M$6&gt;0,$B243&lt;M$6),M$4,M$5)/12),2))</f>
        <v/>
      </c>
      <c r="AS243">
        <f>IF(N242&lt;=0,0,ROUND(N242*(1+IF(AND(N$6&gt;0,$B243&lt;N$6),N$4,N$5)/12),2))</f>
        <v/>
      </c>
    </row>
    <row r="244">
      <c r="A244" t="n">
        <v>233</v>
      </c>
      <c r="B244">
        <f>EDATE(Plan!$C$6,232)</f>
        <v/>
      </c>
      <c r="C244">
        <f>IF(C243&lt;=0,0,MAX(0,AH244-O244))</f>
        <v/>
      </c>
      <c r="D244">
        <f>IF(D243&lt;=0,0,MAX(0,AI244-P244))</f>
        <v/>
      </c>
      <c r="E244">
        <f>IF(E243&lt;=0,0,MAX(0,AJ244-Q244))</f>
        <v/>
      </c>
      <c r="F244">
        <f>IF(F243&lt;=0,0,MAX(0,AK244-R244))</f>
        <v/>
      </c>
      <c r="G244">
        <f>IF(G243&lt;=0,0,MAX(0,AL244-S244))</f>
        <v/>
      </c>
      <c r="H244">
        <f>IF(H243&lt;=0,0,MAX(0,AM244-T244))</f>
        <v/>
      </c>
      <c r="I244">
        <f>IF(I243&lt;=0,0,MAX(0,AN244-U244))</f>
        <v/>
      </c>
      <c r="J244">
        <f>IF(J243&lt;=0,0,MAX(0,AO244-V244))</f>
        <v/>
      </c>
      <c r="K244">
        <f>IF(K243&lt;=0,0,MAX(0,AP244-W244))</f>
        <v/>
      </c>
      <c r="L244">
        <f>IF(L243&lt;=0,0,MAX(0,AQ244-X244))</f>
        <v/>
      </c>
      <c r="M244">
        <f>IF(M243&lt;=0,0,MAX(0,AR244-Y244))</f>
        <v/>
      </c>
      <c r="N244">
        <f>IF(N243&lt;=0,0,MAX(0,AS244-Z244))</f>
        <v/>
      </c>
      <c r="O244">
        <f>IF(C243&lt;=0,0,MIN(AH244,C$7+IF(C$2=$AA244,$AC244,IF(C$2=$AF244,$AG244,0))))</f>
        <v/>
      </c>
      <c r="P244">
        <f>IF(D243&lt;=0,0,MIN(AI244,D$7+IF(D$2=$AA244,$AC244,IF(D$2=$AF244,$AG244,0))))</f>
        <v/>
      </c>
      <c r="Q244">
        <f>IF(E243&lt;=0,0,MIN(AJ244,E$7+IF(E$2=$AA244,$AC244,IF(E$2=$AF244,$AG244,0))))</f>
        <v/>
      </c>
      <c r="R244">
        <f>IF(F243&lt;=0,0,MIN(AK244,F$7+IF(F$2=$AA244,$AC244,IF(F$2=$AF244,$AG244,0))))</f>
        <v/>
      </c>
      <c r="S244">
        <f>IF(G243&lt;=0,0,MIN(AL244,G$7+IF(G$2=$AA244,$AC244,IF(G$2=$AF244,$AG244,0))))</f>
        <v/>
      </c>
      <c r="T244">
        <f>IF(H243&lt;=0,0,MIN(AM244,H$7+IF(H$2=$AA244,$AC244,IF(H$2=$AF244,$AG244,0))))</f>
        <v/>
      </c>
      <c r="U244">
        <f>IF(I243&lt;=0,0,MIN(AN244,I$7+IF(I$2=$AA244,$AC244,IF(I$2=$AF244,$AG244,0))))</f>
        <v/>
      </c>
      <c r="V244">
        <f>IF(J243&lt;=0,0,MIN(AO244,J$7+IF(J$2=$AA244,$AC244,IF(J$2=$AF244,$AG244,0))))</f>
        <v/>
      </c>
      <c r="W244">
        <f>IF(K243&lt;=0,0,MIN(AP244,K$7+IF(K$2=$AA244,$AC244,IF(K$2=$AF244,$AG244,0))))</f>
        <v/>
      </c>
      <c r="X244">
        <f>IF(L243&lt;=0,0,MIN(AQ244,L$7+IF(L$2=$AA244,$AC244,IF(L$2=$AF244,$AG244,0))))</f>
        <v/>
      </c>
      <c r="Y244">
        <f>IF(M243&lt;=0,0,MIN(AR244,M$7+IF(M$2=$AA244,$AC244,IF(M$2=$AF244,$AG244,0))))</f>
        <v/>
      </c>
      <c r="Z244">
        <f>IF(N243&lt;=0,0,MIN(AS244,N$7+IF(N$2=$AA244,$AC244,IF(N$2=$AF244,$AG244,0))))</f>
        <v/>
      </c>
      <c r="AA244">
        <f>IFERROR(ROUND(1/SUMPRODUCT(MAX((C243:N243&gt;0)*($C$3:$N$3&lt;=B244)/$C$2:$N$2)),0),0)</f>
        <v/>
      </c>
      <c r="AB244">
        <f>SUMPRODUCT((C243:N243&gt;0)*$C$7:$N$7)</f>
        <v/>
      </c>
      <c r="AC244">
        <f>MAX(0,Plan!$C$5-AB244)+IF(A244=Plan!$C$8,N(Plan!$C$7),0)</f>
        <v/>
      </c>
      <c r="AD244">
        <f>SUM(C244:N244)</f>
        <v/>
      </c>
      <c r="AE244">
        <f>SUM(O244:Z244)</f>
        <v/>
      </c>
      <c r="AF244">
        <f>IFERROR(ROUND(1/SUMPRODUCT(MAX((C243:N243&gt;0)*($C$3:$N$3&lt;=B244)*($C$2:$N$2&gt;AA244)/$C$2:$N$2)),0),0)</f>
        <v/>
      </c>
      <c r="AG244">
        <f>MAX(0,AC244-MAX(0,SUMPRODUCT(($C$2:$N$2=AA244)*(AH244:AS244-$C$7:$N$7))))</f>
        <v/>
      </c>
      <c r="AH244">
        <f>IF(C243&lt;=0,0,ROUND(C243*(1+IF(AND(C$6&gt;0,$B244&lt;C$6),C$4,C$5)/12),2))</f>
        <v/>
      </c>
      <c r="AI244">
        <f>IF(D243&lt;=0,0,ROUND(D243*(1+IF(AND(D$6&gt;0,$B244&lt;D$6),D$4,D$5)/12),2))</f>
        <v/>
      </c>
      <c r="AJ244">
        <f>IF(E243&lt;=0,0,ROUND(E243*(1+IF(AND(E$6&gt;0,$B244&lt;E$6),E$4,E$5)/12),2))</f>
        <v/>
      </c>
      <c r="AK244">
        <f>IF(F243&lt;=0,0,ROUND(F243*(1+IF(AND(F$6&gt;0,$B244&lt;F$6),F$4,F$5)/12),2))</f>
        <v/>
      </c>
      <c r="AL244">
        <f>IF(G243&lt;=0,0,ROUND(G243*(1+IF(AND(G$6&gt;0,$B244&lt;G$6),G$4,G$5)/12),2))</f>
        <v/>
      </c>
      <c r="AM244">
        <f>IF(H243&lt;=0,0,ROUND(H243*(1+IF(AND(H$6&gt;0,$B244&lt;H$6),H$4,H$5)/12),2))</f>
        <v/>
      </c>
      <c r="AN244">
        <f>IF(I243&lt;=0,0,ROUND(I243*(1+IF(AND(I$6&gt;0,$B244&lt;I$6),I$4,I$5)/12),2))</f>
        <v/>
      </c>
      <c r="AO244">
        <f>IF(J243&lt;=0,0,ROUND(J243*(1+IF(AND(J$6&gt;0,$B244&lt;J$6),J$4,J$5)/12),2))</f>
        <v/>
      </c>
      <c r="AP244">
        <f>IF(K243&lt;=0,0,ROUND(K243*(1+IF(AND(K$6&gt;0,$B244&lt;K$6),K$4,K$5)/12),2))</f>
        <v/>
      </c>
      <c r="AQ244">
        <f>IF(L243&lt;=0,0,ROUND(L243*(1+IF(AND(L$6&gt;0,$B244&lt;L$6),L$4,L$5)/12),2))</f>
        <v/>
      </c>
      <c r="AR244">
        <f>IF(M243&lt;=0,0,ROUND(M243*(1+IF(AND(M$6&gt;0,$B244&lt;M$6),M$4,M$5)/12),2))</f>
        <v/>
      </c>
      <c r="AS244">
        <f>IF(N243&lt;=0,0,ROUND(N243*(1+IF(AND(N$6&gt;0,$B244&lt;N$6),N$4,N$5)/12),2))</f>
        <v/>
      </c>
    </row>
    <row r="245">
      <c r="A245" t="n">
        <v>234</v>
      </c>
      <c r="B245">
        <f>EDATE(Plan!$C$6,233)</f>
        <v/>
      </c>
      <c r="C245">
        <f>IF(C244&lt;=0,0,MAX(0,AH245-O245))</f>
        <v/>
      </c>
      <c r="D245">
        <f>IF(D244&lt;=0,0,MAX(0,AI245-P245))</f>
        <v/>
      </c>
      <c r="E245">
        <f>IF(E244&lt;=0,0,MAX(0,AJ245-Q245))</f>
        <v/>
      </c>
      <c r="F245">
        <f>IF(F244&lt;=0,0,MAX(0,AK245-R245))</f>
        <v/>
      </c>
      <c r="G245">
        <f>IF(G244&lt;=0,0,MAX(0,AL245-S245))</f>
        <v/>
      </c>
      <c r="H245">
        <f>IF(H244&lt;=0,0,MAX(0,AM245-T245))</f>
        <v/>
      </c>
      <c r="I245">
        <f>IF(I244&lt;=0,0,MAX(0,AN245-U245))</f>
        <v/>
      </c>
      <c r="J245">
        <f>IF(J244&lt;=0,0,MAX(0,AO245-V245))</f>
        <v/>
      </c>
      <c r="K245">
        <f>IF(K244&lt;=0,0,MAX(0,AP245-W245))</f>
        <v/>
      </c>
      <c r="L245">
        <f>IF(L244&lt;=0,0,MAX(0,AQ245-X245))</f>
        <v/>
      </c>
      <c r="M245">
        <f>IF(M244&lt;=0,0,MAX(0,AR245-Y245))</f>
        <v/>
      </c>
      <c r="N245">
        <f>IF(N244&lt;=0,0,MAX(0,AS245-Z245))</f>
        <v/>
      </c>
      <c r="O245">
        <f>IF(C244&lt;=0,0,MIN(AH245,C$7+IF(C$2=$AA245,$AC245,IF(C$2=$AF245,$AG245,0))))</f>
        <v/>
      </c>
      <c r="P245">
        <f>IF(D244&lt;=0,0,MIN(AI245,D$7+IF(D$2=$AA245,$AC245,IF(D$2=$AF245,$AG245,0))))</f>
        <v/>
      </c>
      <c r="Q245">
        <f>IF(E244&lt;=0,0,MIN(AJ245,E$7+IF(E$2=$AA245,$AC245,IF(E$2=$AF245,$AG245,0))))</f>
        <v/>
      </c>
      <c r="R245">
        <f>IF(F244&lt;=0,0,MIN(AK245,F$7+IF(F$2=$AA245,$AC245,IF(F$2=$AF245,$AG245,0))))</f>
        <v/>
      </c>
      <c r="S245">
        <f>IF(G244&lt;=0,0,MIN(AL245,G$7+IF(G$2=$AA245,$AC245,IF(G$2=$AF245,$AG245,0))))</f>
        <v/>
      </c>
      <c r="T245">
        <f>IF(H244&lt;=0,0,MIN(AM245,H$7+IF(H$2=$AA245,$AC245,IF(H$2=$AF245,$AG245,0))))</f>
        <v/>
      </c>
      <c r="U245">
        <f>IF(I244&lt;=0,0,MIN(AN245,I$7+IF(I$2=$AA245,$AC245,IF(I$2=$AF245,$AG245,0))))</f>
        <v/>
      </c>
      <c r="V245">
        <f>IF(J244&lt;=0,0,MIN(AO245,J$7+IF(J$2=$AA245,$AC245,IF(J$2=$AF245,$AG245,0))))</f>
        <v/>
      </c>
      <c r="W245">
        <f>IF(K244&lt;=0,0,MIN(AP245,K$7+IF(K$2=$AA245,$AC245,IF(K$2=$AF245,$AG245,0))))</f>
        <v/>
      </c>
      <c r="X245">
        <f>IF(L244&lt;=0,0,MIN(AQ245,L$7+IF(L$2=$AA245,$AC245,IF(L$2=$AF245,$AG245,0))))</f>
        <v/>
      </c>
      <c r="Y245">
        <f>IF(M244&lt;=0,0,MIN(AR245,M$7+IF(M$2=$AA245,$AC245,IF(M$2=$AF245,$AG245,0))))</f>
        <v/>
      </c>
      <c r="Z245">
        <f>IF(N244&lt;=0,0,MIN(AS245,N$7+IF(N$2=$AA245,$AC245,IF(N$2=$AF245,$AG245,0))))</f>
        <v/>
      </c>
      <c r="AA245">
        <f>IFERROR(ROUND(1/SUMPRODUCT(MAX((C244:N244&gt;0)*($C$3:$N$3&lt;=B245)/$C$2:$N$2)),0),0)</f>
        <v/>
      </c>
      <c r="AB245">
        <f>SUMPRODUCT((C244:N244&gt;0)*$C$7:$N$7)</f>
        <v/>
      </c>
      <c r="AC245">
        <f>MAX(0,Plan!$C$5-AB245)+IF(A245=Plan!$C$8,N(Plan!$C$7),0)</f>
        <v/>
      </c>
      <c r="AD245">
        <f>SUM(C245:N245)</f>
        <v/>
      </c>
      <c r="AE245">
        <f>SUM(O245:Z245)</f>
        <v/>
      </c>
      <c r="AF245">
        <f>IFERROR(ROUND(1/SUMPRODUCT(MAX((C244:N244&gt;0)*($C$3:$N$3&lt;=B245)*($C$2:$N$2&gt;AA245)/$C$2:$N$2)),0),0)</f>
        <v/>
      </c>
      <c r="AG245">
        <f>MAX(0,AC245-MAX(0,SUMPRODUCT(($C$2:$N$2=AA245)*(AH245:AS245-$C$7:$N$7))))</f>
        <v/>
      </c>
      <c r="AH245">
        <f>IF(C244&lt;=0,0,ROUND(C244*(1+IF(AND(C$6&gt;0,$B245&lt;C$6),C$4,C$5)/12),2))</f>
        <v/>
      </c>
      <c r="AI245">
        <f>IF(D244&lt;=0,0,ROUND(D244*(1+IF(AND(D$6&gt;0,$B245&lt;D$6),D$4,D$5)/12),2))</f>
        <v/>
      </c>
      <c r="AJ245">
        <f>IF(E244&lt;=0,0,ROUND(E244*(1+IF(AND(E$6&gt;0,$B245&lt;E$6),E$4,E$5)/12),2))</f>
        <v/>
      </c>
      <c r="AK245">
        <f>IF(F244&lt;=0,0,ROUND(F244*(1+IF(AND(F$6&gt;0,$B245&lt;F$6),F$4,F$5)/12),2))</f>
        <v/>
      </c>
      <c r="AL245">
        <f>IF(G244&lt;=0,0,ROUND(G244*(1+IF(AND(G$6&gt;0,$B245&lt;G$6),G$4,G$5)/12),2))</f>
        <v/>
      </c>
      <c r="AM245">
        <f>IF(H244&lt;=0,0,ROUND(H244*(1+IF(AND(H$6&gt;0,$B245&lt;H$6),H$4,H$5)/12),2))</f>
        <v/>
      </c>
      <c r="AN245">
        <f>IF(I244&lt;=0,0,ROUND(I244*(1+IF(AND(I$6&gt;0,$B245&lt;I$6),I$4,I$5)/12),2))</f>
        <v/>
      </c>
      <c r="AO245">
        <f>IF(J244&lt;=0,0,ROUND(J244*(1+IF(AND(J$6&gt;0,$B245&lt;J$6),J$4,J$5)/12),2))</f>
        <v/>
      </c>
      <c r="AP245">
        <f>IF(K244&lt;=0,0,ROUND(K244*(1+IF(AND(K$6&gt;0,$B245&lt;K$6),K$4,K$5)/12),2))</f>
        <v/>
      </c>
      <c r="AQ245">
        <f>IF(L244&lt;=0,0,ROUND(L244*(1+IF(AND(L$6&gt;0,$B245&lt;L$6),L$4,L$5)/12),2))</f>
        <v/>
      </c>
      <c r="AR245">
        <f>IF(M244&lt;=0,0,ROUND(M244*(1+IF(AND(M$6&gt;0,$B245&lt;M$6),M$4,M$5)/12),2))</f>
        <v/>
      </c>
      <c r="AS245">
        <f>IF(N244&lt;=0,0,ROUND(N244*(1+IF(AND(N$6&gt;0,$B245&lt;N$6),N$4,N$5)/12),2))</f>
        <v/>
      </c>
    </row>
    <row r="246">
      <c r="A246" t="n">
        <v>235</v>
      </c>
      <c r="B246">
        <f>EDATE(Plan!$C$6,234)</f>
        <v/>
      </c>
      <c r="C246">
        <f>IF(C245&lt;=0,0,MAX(0,AH246-O246))</f>
        <v/>
      </c>
      <c r="D246">
        <f>IF(D245&lt;=0,0,MAX(0,AI246-P246))</f>
        <v/>
      </c>
      <c r="E246">
        <f>IF(E245&lt;=0,0,MAX(0,AJ246-Q246))</f>
        <v/>
      </c>
      <c r="F246">
        <f>IF(F245&lt;=0,0,MAX(0,AK246-R246))</f>
        <v/>
      </c>
      <c r="G246">
        <f>IF(G245&lt;=0,0,MAX(0,AL246-S246))</f>
        <v/>
      </c>
      <c r="H246">
        <f>IF(H245&lt;=0,0,MAX(0,AM246-T246))</f>
        <v/>
      </c>
      <c r="I246">
        <f>IF(I245&lt;=0,0,MAX(0,AN246-U246))</f>
        <v/>
      </c>
      <c r="J246">
        <f>IF(J245&lt;=0,0,MAX(0,AO246-V246))</f>
        <v/>
      </c>
      <c r="K246">
        <f>IF(K245&lt;=0,0,MAX(0,AP246-W246))</f>
        <v/>
      </c>
      <c r="L246">
        <f>IF(L245&lt;=0,0,MAX(0,AQ246-X246))</f>
        <v/>
      </c>
      <c r="M246">
        <f>IF(M245&lt;=0,0,MAX(0,AR246-Y246))</f>
        <v/>
      </c>
      <c r="N246">
        <f>IF(N245&lt;=0,0,MAX(0,AS246-Z246))</f>
        <v/>
      </c>
      <c r="O246">
        <f>IF(C245&lt;=0,0,MIN(AH246,C$7+IF(C$2=$AA246,$AC246,IF(C$2=$AF246,$AG246,0))))</f>
        <v/>
      </c>
      <c r="P246">
        <f>IF(D245&lt;=0,0,MIN(AI246,D$7+IF(D$2=$AA246,$AC246,IF(D$2=$AF246,$AG246,0))))</f>
        <v/>
      </c>
      <c r="Q246">
        <f>IF(E245&lt;=0,0,MIN(AJ246,E$7+IF(E$2=$AA246,$AC246,IF(E$2=$AF246,$AG246,0))))</f>
        <v/>
      </c>
      <c r="R246">
        <f>IF(F245&lt;=0,0,MIN(AK246,F$7+IF(F$2=$AA246,$AC246,IF(F$2=$AF246,$AG246,0))))</f>
        <v/>
      </c>
      <c r="S246">
        <f>IF(G245&lt;=0,0,MIN(AL246,G$7+IF(G$2=$AA246,$AC246,IF(G$2=$AF246,$AG246,0))))</f>
        <v/>
      </c>
      <c r="T246">
        <f>IF(H245&lt;=0,0,MIN(AM246,H$7+IF(H$2=$AA246,$AC246,IF(H$2=$AF246,$AG246,0))))</f>
        <v/>
      </c>
      <c r="U246">
        <f>IF(I245&lt;=0,0,MIN(AN246,I$7+IF(I$2=$AA246,$AC246,IF(I$2=$AF246,$AG246,0))))</f>
        <v/>
      </c>
      <c r="V246">
        <f>IF(J245&lt;=0,0,MIN(AO246,J$7+IF(J$2=$AA246,$AC246,IF(J$2=$AF246,$AG246,0))))</f>
        <v/>
      </c>
      <c r="W246">
        <f>IF(K245&lt;=0,0,MIN(AP246,K$7+IF(K$2=$AA246,$AC246,IF(K$2=$AF246,$AG246,0))))</f>
        <v/>
      </c>
      <c r="X246">
        <f>IF(L245&lt;=0,0,MIN(AQ246,L$7+IF(L$2=$AA246,$AC246,IF(L$2=$AF246,$AG246,0))))</f>
        <v/>
      </c>
      <c r="Y246">
        <f>IF(M245&lt;=0,0,MIN(AR246,M$7+IF(M$2=$AA246,$AC246,IF(M$2=$AF246,$AG246,0))))</f>
        <v/>
      </c>
      <c r="Z246">
        <f>IF(N245&lt;=0,0,MIN(AS246,N$7+IF(N$2=$AA246,$AC246,IF(N$2=$AF246,$AG246,0))))</f>
        <v/>
      </c>
      <c r="AA246">
        <f>IFERROR(ROUND(1/SUMPRODUCT(MAX((C245:N245&gt;0)*($C$3:$N$3&lt;=B246)/$C$2:$N$2)),0),0)</f>
        <v/>
      </c>
      <c r="AB246">
        <f>SUMPRODUCT((C245:N245&gt;0)*$C$7:$N$7)</f>
        <v/>
      </c>
      <c r="AC246">
        <f>MAX(0,Plan!$C$5-AB246)+IF(A246=Plan!$C$8,N(Plan!$C$7),0)</f>
        <v/>
      </c>
      <c r="AD246">
        <f>SUM(C246:N246)</f>
        <v/>
      </c>
      <c r="AE246">
        <f>SUM(O246:Z246)</f>
        <v/>
      </c>
      <c r="AF246">
        <f>IFERROR(ROUND(1/SUMPRODUCT(MAX((C245:N245&gt;0)*($C$3:$N$3&lt;=B246)*($C$2:$N$2&gt;AA246)/$C$2:$N$2)),0),0)</f>
        <v/>
      </c>
      <c r="AG246">
        <f>MAX(0,AC246-MAX(0,SUMPRODUCT(($C$2:$N$2=AA246)*(AH246:AS246-$C$7:$N$7))))</f>
        <v/>
      </c>
      <c r="AH246">
        <f>IF(C245&lt;=0,0,ROUND(C245*(1+IF(AND(C$6&gt;0,$B246&lt;C$6),C$4,C$5)/12),2))</f>
        <v/>
      </c>
      <c r="AI246">
        <f>IF(D245&lt;=0,0,ROUND(D245*(1+IF(AND(D$6&gt;0,$B246&lt;D$6),D$4,D$5)/12),2))</f>
        <v/>
      </c>
      <c r="AJ246">
        <f>IF(E245&lt;=0,0,ROUND(E245*(1+IF(AND(E$6&gt;0,$B246&lt;E$6),E$4,E$5)/12),2))</f>
        <v/>
      </c>
      <c r="AK246">
        <f>IF(F245&lt;=0,0,ROUND(F245*(1+IF(AND(F$6&gt;0,$B246&lt;F$6),F$4,F$5)/12),2))</f>
        <v/>
      </c>
      <c r="AL246">
        <f>IF(G245&lt;=0,0,ROUND(G245*(1+IF(AND(G$6&gt;0,$B246&lt;G$6),G$4,G$5)/12),2))</f>
        <v/>
      </c>
      <c r="AM246">
        <f>IF(H245&lt;=0,0,ROUND(H245*(1+IF(AND(H$6&gt;0,$B246&lt;H$6),H$4,H$5)/12),2))</f>
        <v/>
      </c>
      <c r="AN246">
        <f>IF(I245&lt;=0,0,ROUND(I245*(1+IF(AND(I$6&gt;0,$B246&lt;I$6),I$4,I$5)/12),2))</f>
        <v/>
      </c>
      <c r="AO246">
        <f>IF(J245&lt;=0,0,ROUND(J245*(1+IF(AND(J$6&gt;0,$B246&lt;J$6),J$4,J$5)/12),2))</f>
        <v/>
      </c>
      <c r="AP246">
        <f>IF(K245&lt;=0,0,ROUND(K245*(1+IF(AND(K$6&gt;0,$B246&lt;K$6),K$4,K$5)/12),2))</f>
        <v/>
      </c>
      <c r="AQ246">
        <f>IF(L245&lt;=0,0,ROUND(L245*(1+IF(AND(L$6&gt;0,$B246&lt;L$6),L$4,L$5)/12),2))</f>
        <v/>
      </c>
      <c r="AR246">
        <f>IF(M245&lt;=0,0,ROUND(M245*(1+IF(AND(M$6&gt;0,$B246&lt;M$6),M$4,M$5)/12),2))</f>
        <v/>
      </c>
      <c r="AS246">
        <f>IF(N245&lt;=0,0,ROUND(N245*(1+IF(AND(N$6&gt;0,$B246&lt;N$6),N$4,N$5)/12),2))</f>
        <v/>
      </c>
    </row>
    <row r="247">
      <c r="A247" t="n">
        <v>236</v>
      </c>
      <c r="B247">
        <f>EDATE(Plan!$C$6,235)</f>
        <v/>
      </c>
      <c r="C247">
        <f>IF(C246&lt;=0,0,MAX(0,AH247-O247))</f>
        <v/>
      </c>
      <c r="D247">
        <f>IF(D246&lt;=0,0,MAX(0,AI247-P247))</f>
        <v/>
      </c>
      <c r="E247">
        <f>IF(E246&lt;=0,0,MAX(0,AJ247-Q247))</f>
        <v/>
      </c>
      <c r="F247">
        <f>IF(F246&lt;=0,0,MAX(0,AK247-R247))</f>
        <v/>
      </c>
      <c r="G247">
        <f>IF(G246&lt;=0,0,MAX(0,AL247-S247))</f>
        <v/>
      </c>
      <c r="H247">
        <f>IF(H246&lt;=0,0,MAX(0,AM247-T247))</f>
        <v/>
      </c>
      <c r="I247">
        <f>IF(I246&lt;=0,0,MAX(0,AN247-U247))</f>
        <v/>
      </c>
      <c r="J247">
        <f>IF(J246&lt;=0,0,MAX(0,AO247-V247))</f>
        <v/>
      </c>
      <c r="K247">
        <f>IF(K246&lt;=0,0,MAX(0,AP247-W247))</f>
        <v/>
      </c>
      <c r="L247">
        <f>IF(L246&lt;=0,0,MAX(0,AQ247-X247))</f>
        <v/>
      </c>
      <c r="M247">
        <f>IF(M246&lt;=0,0,MAX(0,AR247-Y247))</f>
        <v/>
      </c>
      <c r="N247">
        <f>IF(N246&lt;=0,0,MAX(0,AS247-Z247))</f>
        <v/>
      </c>
      <c r="O247">
        <f>IF(C246&lt;=0,0,MIN(AH247,C$7+IF(C$2=$AA247,$AC247,IF(C$2=$AF247,$AG247,0))))</f>
        <v/>
      </c>
      <c r="P247">
        <f>IF(D246&lt;=0,0,MIN(AI247,D$7+IF(D$2=$AA247,$AC247,IF(D$2=$AF247,$AG247,0))))</f>
        <v/>
      </c>
      <c r="Q247">
        <f>IF(E246&lt;=0,0,MIN(AJ247,E$7+IF(E$2=$AA247,$AC247,IF(E$2=$AF247,$AG247,0))))</f>
        <v/>
      </c>
      <c r="R247">
        <f>IF(F246&lt;=0,0,MIN(AK247,F$7+IF(F$2=$AA247,$AC247,IF(F$2=$AF247,$AG247,0))))</f>
        <v/>
      </c>
      <c r="S247">
        <f>IF(G246&lt;=0,0,MIN(AL247,G$7+IF(G$2=$AA247,$AC247,IF(G$2=$AF247,$AG247,0))))</f>
        <v/>
      </c>
      <c r="T247">
        <f>IF(H246&lt;=0,0,MIN(AM247,H$7+IF(H$2=$AA247,$AC247,IF(H$2=$AF247,$AG247,0))))</f>
        <v/>
      </c>
      <c r="U247">
        <f>IF(I246&lt;=0,0,MIN(AN247,I$7+IF(I$2=$AA247,$AC247,IF(I$2=$AF247,$AG247,0))))</f>
        <v/>
      </c>
      <c r="V247">
        <f>IF(J246&lt;=0,0,MIN(AO247,J$7+IF(J$2=$AA247,$AC247,IF(J$2=$AF247,$AG247,0))))</f>
        <v/>
      </c>
      <c r="W247">
        <f>IF(K246&lt;=0,0,MIN(AP247,K$7+IF(K$2=$AA247,$AC247,IF(K$2=$AF247,$AG247,0))))</f>
        <v/>
      </c>
      <c r="X247">
        <f>IF(L246&lt;=0,0,MIN(AQ247,L$7+IF(L$2=$AA247,$AC247,IF(L$2=$AF247,$AG247,0))))</f>
        <v/>
      </c>
      <c r="Y247">
        <f>IF(M246&lt;=0,0,MIN(AR247,M$7+IF(M$2=$AA247,$AC247,IF(M$2=$AF247,$AG247,0))))</f>
        <v/>
      </c>
      <c r="Z247">
        <f>IF(N246&lt;=0,0,MIN(AS247,N$7+IF(N$2=$AA247,$AC247,IF(N$2=$AF247,$AG247,0))))</f>
        <v/>
      </c>
      <c r="AA247">
        <f>IFERROR(ROUND(1/SUMPRODUCT(MAX((C246:N246&gt;0)*($C$3:$N$3&lt;=B247)/$C$2:$N$2)),0),0)</f>
        <v/>
      </c>
      <c r="AB247">
        <f>SUMPRODUCT((C246:N246&gt;0)*$C$7:$N$7)</f>
        <v/>
      </c>
      <c r="AC247">
        <f>MAX(0,Plan!$C$5-AB247)+IF(A247=Plan!$C$8,N(Plan!$C$7),0)</f>
        <v/>
      </c>
      <c r="AD247">
        <f>SUM(C247:N247)</f>
        <v/>
      </c>
      <c r="AE247">
        <f>SUM(O247:Z247)</f>
        <v/>
      </c>
      <c r="AF247">
        <f>IFERROR(ROUND(1/SUMPRODUCT(MAX((C246:N246&gt;0)*($C$3:$N$3&lt;=B247)*($C$2:$N$2&gt;AA247)/$C$2:$N$2)),0),0)</f>
        <v/>
      </c>
      <c r="AG247">
        <f>MAX(0,AC247-MAX(0,SUMPRODUCT(($C$2:$N$2=AA247)*(AH247:AS247-$C$7:$N$7))))</f>
        <v/>
      </c>
      <c r="AH247">
        <f>IF(C246&lt;=0,0,ROUND(C246*(1+IF(AND(C$6&gt;0,$B247&lt;C$6),C$4,C$5)/12),2))</f>
        <v/>
      </c>
      <c r="AI247">
        <f>IF(D246&lt;=0,0,ROUND(D246*(1+IF(AND(D$6&gt;0,$B247&lt;D$6),D$4,D$5)/12),2))</f>
        <v/>
      </c>
      <c r="AJ247">
        <f>IF(E246&lt;=0,0,ROUND(E246*(1+IF(AND(E$6&gt;0,$B247&lt;E$6),E$4,E$5)/12),2))</f>
        <v/>
      </c>
      <c r="AK247">
        <f>IF(F246&lt;=0,0,ROUND(F246*(1+IF(AND(F$6&gt;0,$B247&lt;F$6),F$4,F$5)/12),2))</f>
        <v/>
      </c>
      <c r="AL247">
        <f>IF(G246&lt;=0,0,ROUND(G246*(1+IF(AND(G$6&gt;0,$B247&lt;G$6),G$4,G$5)/12),2))</f>
        <v/>
      </c>
      <c r="AM247">
        <f>IF(H246&lt;=0,0,ROUND(H246*(1+IF(AND(H$6&gt;0,$B247&lt;H$6),H$4,H$5)/12),2))</f>
        <v/>
      </c>
      <c r="AN247">
        <f>IF(I246&lt;=0,0,ROUND(I246*(1+IF(AND(I$6&gt;0,$B247&lt;I$6),I$4,I$5)/12),2))</f>
        <v/>
      </c>
      <c r="AO247">
        <f>IF(J246&lt;=0,0,ROUND(J246*(1+IF(AND(J$6&gt;0,$B247&lt;J$6),J$4,J$5)/12),2))</f>
        <v/>
      </c>
      <c r="AP247">
        <f>IF(K246&lt;=0,0,ROUND(K246*(1+IF(AND(K$6&gt;0,$B247&lt;K$6),K$4,K$5)/12),2))</f>
        <v/>
      </c>
      <c r="AQ247">
        <f>IF(L246&lt;=0,0,ROUND(L246*(1+IF(AND(L$6&gt;0,$B247&lt;L$6),L$4,L$5)/12),2))</f>
        <v/>
      </c>
      <c r="AR247">
        <f>IF(M246&lt;=0,0,ROUND(M246*(1+IF(AND(M$6&gt;0,$B247&lt;M$6),M$4,M$5)/12),2))</f>
        <v/>
      </c>
      <c r="AS247">
        <f>IF(N246&lt;=0,0,ROUND(N246*(1+IF(AND(N$6&gt;0,$B247&lt;N$6),N$4,N$5)/12),2))</f>
        <v/>
      </c>
    </row>
    <row r="248">
      <c r="A248" t="n">
        <v>237</v>
      </c>
      <c r="B248">
        <f>EDATE(Plan!$C$6,236)</f>
        <v/>
      </c>
      <c r="C248">
        <f>IF(C247&lt;=0,0,MAX(0,AH248-O248))</f>
        <v/>
      </c>
      <c r="D248">
        <f>IF(D247&lt;=0,0,MAX(0,AI248-P248))</f>
        <v/>
      </c>
      <c r="E248">
        <f>IF(E247&lt;=0,0,MAX(0,AJ248-Q248))</f>
        <v/>
      </c>
      <c r="F248">
        <f>IF(F247&lt;=0,0,MAX(0,AK248-R248))</f>
        <v/>
      </c>
      <c r="G248">
        <f>IF(G247&lt;=0,0,MAX(0,AL248-S248))</f>
        <v/>
      </c>
      <c r="H248">
        <f>IF(H247&lt;=0,0,MAX(0,AM248-T248))</f>
        <v/>
      </c>
      <c r="I248">
        <f>IF(I247&lt;=0,0,MAX(0,AN248-U248))</f>
        <v/>
      </c>
      <c r="J248">
        <f>IF(J247&lt;=0,0,MAX(0,AO248-V248))</f>
        <v/>
      </c>
      <c r="K248">
        <f>IF(K247&lt;=0,0,MAX(0,AP248-W248))</f>
        <v/>
      </c>
      <c r="L248">
        <f>IF(L247&lt;=0,0,MAX(0,AQ248-X248))</f>
        <v/>
      </c>
      <c r="M248">
        <f>IF(M247&lt;=0,0,MAX(0,AR248-Y248))</f>
        <v/>
      </c>
      <c r="N248">
        <f>IF(N247&lt;=0,0,MAX(0,AS248-Z248))</f>
        <v/>
      </c>
      <c r="O248">
        <f>IF(C247&lt;=0,0,MIN(AH248,C$7+IF(C$2=$AA248,$AC248,IF(C$2=$AF248,$AG248,0))))</f>
        <v/>
      </c>
      <c r="P248">
        <f>IF(D247&lt;=0,0,MIN(AI248,D$7+IF(D$2=$AA248,$AC248,IF(D$2=$AF248,$AG248,0))))</f>
        <v/>
      </c>
      <c r="Q248">
        <f>IF(E247&lt;=0,0,MIN(AJ248,E$7+IF(E$2=$AA248,$AC248,IF(E$2=$AF248,$AG248,0))))</f>
        <v/>
      </c>
      <c r="R248">
        <f>IF(F247&lt;=0,0,MIN(AK248,F$7+IF(F$2=$AA248,$AC248,IF(F$2=$AF248,$AG248,0))))</f>
        <v/>
      </c>
      <c r="S248">
        <f>IF(G247&lt;=0,0,MIN(AL248,G$7+IF(G$2=$AA248,$AC248,IF(G$2=$AF248,$AG248,0))))</f>
        <v/>
      </c>
      <c r="T248">
        <f>IF(H247&lt;=0,0,MIN(AM248,H$7+IF(H$2=$AA248,$AC248,IF(H$2=$AF248,$AG248,0))))</f>
        <v/>
      </c>
      <c r="U248">
        <f>IF(I247&lt;=0,0,MIN(AN248,I$7+IF(I$2=$AA248,$AC248,IF(I$2=$AF248,$AG248,0))))</f>
        <v/>
      </c>
      <c r="V248">
        <f>IF(J247&lt;=0,0,MIN(AO248,J$7+IF(J$2=$AA248,$AC248,IF(J$2=$AF248,$AG248,0))))</f>
        <v/>
      </c>
      <c r="W248">
        <f>IF(K247&lt;=0,0,MIN(AP248,K$7+IF(K$2=$AA248,$AC248,IF(K$2=$AF248,$AG248,0))))</f>
        <v/>
      </c>
      <c r="X248">
        <f>IF(L247&lt;=0,0,MIN(AQ248,L$7+IF(L$2=$AA248,$AC248,IF(L$2=$AF248,$AG248,0))))</f>
        <v/>
      </c>
      <c r="Y248">
        <f>IF(M247&lt;=0,0,MIN(AR248,M$7+IF(M$2=$AA248,$AC248,IF(M$2=$AF248,$AG248,0))))</f>
        <v/>
      </c>
      <c r="Z248">
        <f>IF(N247&lt;=0,0,MIN(AS248,N$7+IF(N$2=$AA248,$AC248,IF(N$2=$AF248,$AG248,0))))</f>
        <v/>
      </c>
      <c r="AA248">
        <f>IFERROR(ROUND(1/SUMPRODUCT(MAX((C247:N247&gt;0)*($C$3:$N$3&lt;=B248)/$C$2:$N$2)),0),0)</f>
        <v/>
      </c>
      <c r="AB248">
        <f>SUMPRODUCT((C247:N247&gt;0)*$C$7:$N$7)</f>
        <v/>
      </c>
      <c r="AC248">
        <f>MAX(0,Plan!$C$5-AB248)+IF(A248=Plan!$C$8,N(Plan!$C$7),0)</f>
        <v/>
      </c>
      <c r="AD248">
        <f>SUM(C248:N248)</f>
        <v/>
      </c>
      <c r="AE248">
        <f>SUM(O248:Z248)</f>
        <v/>
      </c>
      <c r="AF248">
        <f>IFERROR(ROUND(1/SUMPRODUCT(MAX((C247:N247&gt;0)*($C$3:$N$3&lt;=B248)*($C$2:$N$2&gt;AA248)/$C$2:$N$2)),0),0)</f>
        <v/>
      </c>
      <c r="AG248">
        <f>MAX(0,AC248-MAX(0,SUMPRODUCT(($C$2:$N$2=AA248)*(AH248:AS248-$C$7:$N$7))))</f>
        <v/>
      </c>
      <c r="AH248">
        <f>IF(C247&lt;=0,0,ROUND(C247*(1+IF(AND(C$6&gt;0,$B248&lt;C$6),C$4,C$5)/12),2))</f>
        <v/>
      </c>
      <c r="AI248">
        <f>IF(D247&lt;=0,0,ROUND(D247*(1+IF(AND(D$6&gt;0,$B248&lt;D$6),D$4,D$5)/12),2))</f>
        <v/>
      </c>
      <c r="AJ248">
        <f>IF(E247&lt;=0,0,ROUND(E247*(1+IF(AND(E$6&gt;0,$B248&lt;E$6),E$4,E$5)/12),2))</f>
        <v/>
      </c>
      <c r="AK248">
        <f>IF(F247&lt;=0,0,ROUND(F247*(1+IF(AND(F$6&gt;0,$B248&lt;F$6),F$4,F$5)/12),2))</f>
        <v/>
      </c>
      <c r="AL248">
        <f>IF(G247&lt;=0,0,ROUND(G247*(1+IF(AND(G$6&gt;0,$B248&lt;G$6),G$4,G$5)/12),2))</f>
        <v/>
      </c>
      <c r="AM248">
        <f>IF(H247&lt;=0,0,ROUND(H247*(1+IF(AND(H$6&gt;0,$B248&lt;H$6),H$4,H$5)/12),2))</f>
        <v/>
      </c>
      <c r="AN248">
        <f>IF(I247&lt;=0,0,ROUND(I247*(1+IF(AND(I$6&gt;0,$B248&lt;I$6),I$4,I$5)/12),2))</f>
        <v/>
      </c>
      <c r="AO248">
        <f>IF(J247&lt;=0,0,ROUND(J247*(1+IF(AND(J$6&gt;0,$B248&lt;J$6),J$4,J$5)/12),2))</f>
        <v/>
      </c>
      <c r="AP248">
        <f>IF(K247&lt;=0,0,ROUND(K247*(1+IF(AND(K$6&gt;0,$B248&lt;K$6),K$4,K$5)/12),2))</f>
        <v/>
      </c>
      <c r="AQ248">
        <f>IF(L247&lt;=0,0,ROUND(L247*(1+IF(AND(L$6&gt;0,$B248&lt;L$6),L$4,L$5)/12),2))</f>
        <v/>
      </c>
      <c r="AR248">
        <f>IF(M247&lt;=0,0,ROUND(M247*(1+IF(AND(M$6&gt;0,$B248&lt;M$6),M$4,M$5)/12),2))</f>
        <v/>
      </c>
      <c r="AS248">
        <f>IF(N247&lt;=0,0,ROUND(N247*(1+IF(AND(N$6&gt;0,$B248&lt;N$6),N$4,N$5)/12),2))</f>
        <v/>
      </c>
    </row>
    <row r="249">
      <c r="A249" t="n">
        <v>238</v>
      </c>
      <c r="B249">
        <f>EDATE(Plan!$C$6,237)</f>
        <v/>
      </c>
      <c r="C249">
        <f>IF(C248&lt;=0,0,MAX(0,AH249-O249))</f>
        <v/>
      </c>
      <c r="D249">
        <f>IF(D248&lt;=0,0,MAX(0,AI249-P249))</f>
        <v/>
      </c>
      <c r="E249">
        <f>IF(E248&lt;=0,0,MAX(0,AJ249-Q249))</f>
        <v/>
      </c>
      <c r="F249">
        <f>IF(F248&lt;=0,0,MAX(0,AK249-R249))</f>
        <v/>
      </c>
      <c r="G249">
        <f>IF(G248&lt;=0,0,MAX(0,AL249-S249))</f>
        <v/>
      </c>
      <c r="H249">
        <f>IF(H248&lt;=0,0,MAX(0,AM249-T249))</f>
        <v/>
      </c>
      <c r="I249">
        <f>IF(I248&lt;=0,0,MAX(0,AN249-U249))</f>
        <v/>
      </c>
      <c r="J249">
        <f>IF(J248&lt;=0,0,MAX(0,AO249-V249))</f>
        <v/>
      </c>
      <c r="K249">
        <f>IF(K248&lt;=0,0,MAX(0,AP249-W249))</f>
        <v/>
      </c>
      <c r="L249">
        <f>IF(L248&lt;=0,0,MAX(0,AQ249-X249))</f>
        <v/>
      </c>
      <c r="M249">
        <f>IF(M248&lt;=0,0,MAX(0,AR249-Y249))</f>
        <v/>
      </c>
      <c r="N249">
        <f>IF(N248&lt;=0,0,MAX(0,AS249-Z249))</f>
        <v/>
      </c>
      <c r="O249">
        <f>IF(C248&lt;=0,0,MIN(AH249,C$7+IF(C$2=$AA249,$AC249,IF(C$2=$AF249,$AG249,0))))</f>
        <v/>
      </c>
      <c r="P249">
        <f>IF(D248&lt;=0,0,MIN(AI249,D$7+IF(D$2=$AA249,$AC249,IF(D$2=$AF249,$AG249,0))))</f>
        <v/>
      </c>
      <c r="Q249">
        <f>IF(E248&lt;=0,0,MIN(AJ249,E$7+IF(E$2=$AA249,$AC249,IF(E$2=$AF249,$AG249,0))))</f>
        <v/>
      </c>
      <c r="R249">
        <f>IF(F248&lt;=0,0,MIN(AK249,F$7+IF(F$2=$AA249,$AC249,IF(F$2=$AF249,$AG249,0))))</f>
        <v/>
      </c>
      <c r="S249">
        <f>IF(G248&lt;=0,0,MIN(AL249,G$7+IF(G$2=$AA249,$AC249,IF(G$2=$AF249,$AG249,0))))</f>
        <v/>
      </c>
      <c r="T249">
        <f>IF(H248&lt;=0,0,MIN(AM249,H$7+IF(H$2=$AA249,$AC249,IF(H$2=$AF249,$AG249,0))))</f>
        <v/>
      </c>
      <c r="U249">
        <f>IF(I248&lt;=0,0,MIN(AN249,I$7+IF(I$2=$AA249,$AC249,IF(I$2=$AF249,$AG249,0))))</f>
        <v/>
      </c>
      <c r="V249">
        <f>IF(J248&lt;=0,0,MIN(AO249,J$7+IF(J$2=$AA249,$AC249,IF(J$2=$AF249,$AG249,0))))</f>
        <v/>
      </c>
      <c r="W249">
        <f>IF(K248&lt;=0,0,MIN(AP249,K$7+IF(K$2=$AA249,$AC249,IF(K$2=$AF249,$AG249,0))))</f>
        <v/>
      </c>
      <c r="X249">
        <f>IF(L248&lt;=0,0,MIN(AQ249,L$7+IF(L$2=$AA249,$AC249,IF(L$2=$AF249,$AG249,0))))</f>
        <v/>
      </c>
      <c r="Y249">
        <f>IF(M248&lt;=0,0,MIN(AR249,M$7+IF(M$2=$AA249,$AC249,IF(M$2=$AF249,$AG249,0))))</f>
        <v/>
      </c>
      <c r="Z249">
        <f>IF(N248&lt;=0,0,MIN(AS249,N$7+IF(N$2=$AA249,$AC249,IF(N$2=$AF249,$AG249,0))))</f>
        <v/>
      </c>
      <c r="AA249">
        <f>IFERROR(ROUND(1/SUMPRODUCT(MAX((C248:N248&gt;0)*($C$3:$N$3&lt;=B249)/$C$2:$N$2)),0),0)</f>
        <v/>
      </c>
      <c r="AB249">
        <f>SUMPRODUCT((C248:N248&gt;0)*$C$7:$N$7)</f>
        <v/>
      </c>
      <c r="AC249">
        <f>MAX(0,Plan!$C$5-AB249)+IF(A249=Plan!$C$8,N(Plan!$C$7),0)</f>
        <v/>
      </c>
      <c r="AD249">
        <f>SUM(C249:N249)</f>
        <v/>
      </c>
      <c r="AE249">
        <f>SUM(O249:Z249)</f>
        <v/>
      </c>
      <c r="AF249">
        <f>IFERROR(ROUND(1/SUMPRODUCT(MAX((C248:N248&gt;0)*($C$3:$N$3&lt;=B249)*($C$2:$N$2&gt;AA249)/$C$2:$N$2)),0),0)</f>
        <v/>
      </c>
      <c r="AG249">
        <f>MAX(0,AC249-MAX(0,SUMPRODUCT(($C$2:$N$2=AA249)*(AH249:AS249-$C$7:$N$7))))</f>
        <v/>
      </c>
      <c r="AH249">
        <f>IF(C248&lt;=0,0,ROUND(C248*(1+IF(AND(C$6&gt;0,$B249&lt;C$6),C$4,C$5)/12),2))</f>
        <v/>
      </c>
      <c r="AI249">
        <f>IF(D248&lt;=0,0,ROUND(D248*(1+IF(AND(D$6&gt;0,$B249&lt;D$6),D$4,D$5)/12),2))</f>
        <v/>
      </c>
      <c r="AJ249">
        <f>IF(E248&lt;=0,0,ROUND(E248*(1+IF(AND(E$6&gt;0,$B249&lt;E$6),E$4,E$5)/12),2))</f>
        <v/>
      </c>
      <c r="AK249">
        <f>IF(F248&lt;=0,0,ROUND(F248*(1+IF(AND(F$6&gt;0,$B249&lt;F$6),F$4,F$5)/12),2))</f>
        <v/>
      </c>
      <c r="AL249">
        <f>IF(G248&lt;=0,0,ROUND(G248*(1+IF(AND(G$6&gt;0,$B249&lt;G$6),G$4,G$5)/12),2))</f>
        <v/>
      </c>
      <c r="AM249">
        <f>IF(H248&lt;=0,0,ROUND(H248*(1+IF(AND(H$6&gt;0,$B249&lt;H$6),H$4,H$5)/12),2))</f>
        <v/>
      </c>
      <c r="AN249">
        <f>IF(I248&lt;=0,0,ROUND(I248*(1+IF(AND(I$6&gt;0,$B249&lt;I$6),I$4,I$5)/12),2))</f>
        <v/>
      </c>
      <c r="AO249">
        <f>IF(J248&lt;=0,0,ROUND(J248*(1+IF(AND(J$6&gt;0,$B249&lt;J$6),J$4,J$5)/12),2))</f>
        <v/>
      </c>
      <c r="AP249">
        <f>IF(K248&lt;=0,0,ROUND(K248*(1+IF(AND(K$6&gt;0,$B249&lt;K$6),K$4,K$5)/12),2))</f>
        <v/>
      </c>
      <c r="AQ249">
        <f>IF(L248&lt;=0,0,ROUND(L248*(1+IF(AND(L$6&gt;0,$B249&lt;L$6),L$4,L$5)/12),2))</f>
        <v/>
      </c>
      <c r="AR249">
        <f>IF(M248&lt;=0,0,ROUND(M248*(1+IF(AND(M$6&gt;0,$B249&lt;M$6),M$4,M$5)/12),2))</f>
        <v/>
      </c>
      <c r="AS249">
        <f>IF(N248&lt;=0,0,ROUND(N248*(1+IF(AND(N$6&gt;0,$B249&lt;N$6),N$4,N$5)/12),2))</f>
        <v/>
      </c>
    </row>
    <row r="250">
      <c r="A250" t="n">
        <v>239</v>
      </c>
      <c r="B250">
        <f>EDATE(Plan!$C$6,238)</f>
        <v/>
      </c>
      <c r="C250">
        <f>IF(C249&lt;=0,0,MAX(0,AH250-O250))</f>
        <v/>
      </c>
      <c r="D250">
        <f>IF(D249&lt;=0,0,MAX(0,AI250-P250))</f>
        <v/>
      </c>
      <c r="E250">
        <f>IF(E249&lt;=0,0,MAX(0,AJ250-Q250))</f>
        <v/>
      </c>
      <c r="F250">
        <f>IF(F249&lt;=0,0,MAX(0,AK250-R250))</f>
        <v/>
      </c>
      <c r="G250">
        <f>IF(G249&lt;=0,0,MAX(0,AL250-S250))</f>
        <v/>
      </c>
      <c r="H250">
        <f>IF(H249&lt;=0,0,MAX(0,AM250-T250))</f>
        <v/>
      </c>
      <c r="I250">
        <f>IF(I249&lt;=0,0,MAX(0,AN250-U250))</f>
        <v/>
      </c>
      <c r="J250">
        <f>IF(J249&lt;=0,0,MAX(0,AO250-V250))</f>
        <v/>
      </c>
      <c r="K250">
        <f>IF(K249&lt;=0,0,MAX(0,AP250-W250))</f>
        <v/>
      </c>
      <c r="L250">
        <f>IF(L249&lt;=0,0,MAX(0,AQ250-X250))</f>
        <v/>
      </c>
      <c r="M250">
        <f>IF(M249&lt;=0,0,MAX(0,AR250-Y250))</f>
        <v/>
      </c>
      <c r="N250">
        <f>IF(N249&lt;=0,0,MAX(0,AS250-Z250))</f>
        <v/>
      </c>
      <c r="O250">
        <f>IF(C249&lt;=0,0,MIN(AH250,C$7+IF(C$2=$AA250,$AC250,IF(C$2=$AF250,$AG250,0))))</f>
        <v/>
      </c>
      <c r="P250">
        <f>IF(D249&lt;=0,0,MIN(AI250,D$7+IF(D$2=$AA250,$AC250,IF(D$2=$AF250,$AG250,0))))</f>
        <v/>
      </c>
      <c r="Q250">
        <f>IF(E249&lt;=0,0,MIN(AJ250,E$7+IF(E$2=$AA250,$AC250,IF(E$2=$AF250,$AG250,0))))</f>
        <v/>
      </c>
      <c r="R250">
        <f>IF(F249&lt;=0,0,MIN(AK250,F$7+IF(F$2=$AA250,$AC250,IF(F$2=$AF250,$AG250,0))))</f>
        <v/>
      </c>
      <c r="S250">
        <f>IF(G249&lt;=0,0,MIN(AL250,G$7+IF(G$2=$AA250,$AC250,IF(G$2=$AF250,$AG250,0))))</f>
        <v/>
      </c>
      <c r="T250">
        <f>IF(H249&lt;=0,0,MIN(AM250,H$7+IF(H$2=$AA250,$AC250,IF(H$2=$AF250,$AG250,0))))</f>
        <v/>
      </c>
      <c r="U250">
        <f>IF(I249&lt;=0,0,MIN(AN250,I$7+IF(I$2=$AA250,$AC250,IF(I$2=$AF250,$AG250,0))))</f>
        <v/>
      </c>
      <c r="V250">
        <f>IF(J249&lt;=0,0,MIN(AO250,J$7+IF(J$2=$AA250,$AC250,IF(J$2=$AF250,$AG250,0))))</f>
        <v/>
      </c>
      <c r="W250">
        <f>IF(K249&lt;=0,0,MIN(AP250,K$7+IF(K$2=$AA250,$AC250,IF(K$2=$AF250,$AG250,0))))</f>
        <v/>
      </c>
      <c r="X250">
        <f>IF(L249&lt;=0,0,MIN(AQ250,L$7+IF(L$2=$AA250,$AC250,IF(L$2=$AF250,$AG250,0))))</f>
        <v/>
      </c>
      <c r="Y250">
        <f>IF(M249&lt;=0,0,MIN(AR250,M$7+IF(M$2=$AA250,$AC250,IF(M$2=$AF250,$AG250,0))))</f>
        <v/>
      </c>
      <c r="Z250">
        <f>IF(N249&lt;=0,0,MIN(AS250,N$7+IF(N$2=$AA250,$AC250,IF(N$2=$AF250,$AG250,0))))</f>
        <v/>
      </c>
      <c r="AA250">
        <f>IFERROR(ROUND(1/SUMPRODUCT(MAX((C249:N249&gt;0)*($C$3:$N$3&lt;=B250)/$C$2:$N$2)),0),0)</f>
        <v/>
      </c>
      <c r="AB250">
        <f>SUMPRODUCT((C249:N249&gt;0)*$C$7:$N$7)</f>
        <v/>
      </c>
      <c r="AC250">
        <f>MAX(0,Plan!$C$5-AB250)+IF(A250=Plan!$C$8,N(Plan!$C$7),0)</f>
        <v/>
      </c>
      <c r="AD250">
        <f>SUM(C250:N250)</f>
        <v/>
      </c>
      <c r="AE250">
        <f>SUM(O250:Z250)</f>
        <v/>
      </c>
      <c r="AF250">
        <f>IFERROR(ROUND(1/SUMPRODUCT(MAX((C249:N249&gt;0)*($C$3:$N$3&lt;=B250)*($C$2:$N$2&gt;AA250)/$C$2:$N$2)),0),0)</f>
        <v/>
      </c>
      <c r="AG250">
        <f>MAX(0,AC250-MAX(0,SUMPRODUCT(($C$2:$N$2=AA250)*(AH250:AS250-$C$7:$N$7))))</f>
        <v/>
      </c>
      <c r="AH250">
        <f>IF(C249&lt;=0,0,ROUND(C249*(1+IF(AND(C$6&gt;0,$B250&lt;C$6),C$4,C$5)/12),2))</f>
        <v/>
      </c>
      <c r="AI250">
        <f>IF(D249&lt;=0,0,ROUND(D249*(1+IF(AND(D$6&gt;0,$B250&lt;D$6),D$4,D$5)/12),2))</f>
        <v/>
      </c>
      <c r="AJ250">
        <f>IF(E249&lt;=0,0,ROUND(E249*(1+IF(AND(E$6&gt;0,$B250&lt;E$6),E$4,E$5)/12),2))</f>
        <v/>
      </c>
      <c r="AK250">
        <f>IF(F249&lt;=0,0,ROUND(F249*(1+IF(AND(F$6&gt;0,$B250&lt;F$6),F$4,F$5)/12),2))</f>
        <v/>
      </c>
      <c r="AL250">
        <f>IF(G249&lt;=0,0,ROUND(G249*(1+IF(AND(G$6&gt;0,$B250&lt;G$6),G$4,G$5)/12),2))</f>
        <v/>
      </c>
      <c r="AM250">
        <f>IF(H249&lt;=0,0,ROUND(H249*(1+IF(AND(H$6&gt;0,$B250&lt;H$6),H$4,H$5)/12),2))</f>
        <v/>
      </c>
      <c r="AN250">
        <f>IF(I249&lt;=0,0,ROUND(I249*(1+IF(AND(I$6&gt;0,$B250&lt;I$6),I$4,I$5)/12),2))</f>
        <v/>
      </c>
      <c r="AO250">
        <f>IF(J249&lt;=0,0,ROUND(J249*(1+IF(AND(J$6&gt;0,$B250&lt;J$6),J$4,J$5)/12),2))</f>
        <v/>
      </c>
      <c r="AP250">
        <f>IF(K249&lt;=0,0,ROUND(K249*(1+IF(AND(K$6&gt;0,$B250&lt;K$6),K$4,K$5)/12),2))</f>
        <v/>
      </c>
      <c r="AQ250">
        <f>IF(L249&lt;=0,0,ROUND(L249*(1+IF(AND(L$6&gt;0,$B250&lt;L$6),L$4,L$5)/12),2))</f>
        <v/>
      </c>
      <c r="AR250">
        <f>IF(M249&lt;=0,0,ROUND(M249*(1+IF(AND(M$6&gt;0,$B250&lt;M$6),M$4,M$5)/12),2))</f>
        <v/>
      </c>
      <c r="AS250">
        <f>IF(N249&lt;=0,0,ROUND(N249*(1+IF(AND(N$6&gt;0,$B250&lt;N$6),N$4,N$5)/12),2))</f>
        <v/>
      </c>
    </row>
    <row r="251">
      <c r="A251" t="n">
        <v>240</v>
      </c>
      <c r="B251">
        <f>EDATE(Plan!$C$6,239)</f>
        <v/>
      </c>
      <c r="C251">
        <f>IF(C250&lt;=0,0,MAX(0,AH251-O251))</f>
        <v/>
      </c>
      <c r="D251">
        <f>IF(D250&lt;=0,0,MAX(0,AI251-P251))</f>
        <v/>
      </c>
      <c r="E251">
        <f>IF(E250&lt;=0,0,MAX(0,AJ251-Q251))</f>
        <v/>
      </c>
      <c r="F251">
        <f>IF(F250&lt;=0,0,MAX(0,AK251-R251))</f>
        <v/>
      </c>
      <c r="G251">
        <f>IF(G250&lt;=0,0,MAX(0,AL251-S251))</f>
        <v/>
      </c>
      <c r="H251">
        <f>IF(H250&lt;=0,0,MAX(0,AM251-T251))</f>
        <v/>
      </c>
      <c r="I251">
        <f>IF(I250&lt;=0,0,MAX(0,AN251-U251))</f>
        <v/>
      </c>
      <c r="J251">
        <f>IF(J250&lt;=0,0,MAX(0,AO251-V251))</f>
        <v/>
      </c>
      <c r="K251">
        <f>IF(K250&lt;=0,0,MAX(0,AP251-W251))</f>
        <v/>
      </c>
      <c r="L251">
        <f>IF(L250&lt;=0,0,MAX(0,AQ251-X251))</f>
        <v/>
      </c>
      <c r="M251">
        <f>IF(M250&lt;=0,0,MAX(0,AR251-Y251))</f>
        <v/>
      </c>
      <c r="N251">
        <f>IF(N250&lt;=0,0,MAX(0,AS251-Z251))</f>
        <v/>
      </c>
      <c r="O251">
        <f>IF(C250&lt;=0,0,MIN(AH251,C$7+IF(C$2=$AA251,$AC251,IF(C$2=$AF251,$AG251,0))))</f>
        <v/>
      </c>
      <c r="P251">
        <f>IF(D250&lt;=0,0,MIN(AI251,D$7+IF(D$2=$AA251,$AC251,IF(D$2=$AF251,$AG251,0))))</f>
        <v/>
      </c>
      <c r="Q251">
        <f>IF(E250&lt;=0,0,MIN(AJ251,E$7+IF(E$2=$AA251,$AC251,IF(E$2=$AF251,$AG251,0))))</f>
        <v/>
      </c>
      <c r="R251">
        <f>IF(F250&lt;=0,0,MIN(AK251,F$7+IF(F$2=$AA251,$AC251,IF(F$2=$AF251,$AG251,0))))</f>
        <v/>
      </c>
      <c r="S251">
        <f>IF(G250&lt;=0,0,MIN(AL251,G$7+IF(G$2=$AA251,$AC251,IF(G$2=$AF251,$AG251,0))))</f>
        <v/>
      </c>
      <c r="T251">
        <f>IF(H250&lt;=0,0,MIN(AM251,H$7+IF(H$2=$AA251,$AC251,IF(H$2=$AF251,$AG251,0))))</f>
        <v/>
      </c>
      <c r="U251">
        <f>IF(I250&lt;=0,0,MIN(AN251,I$7+IF(I$2=$AA251,$AC251,IF(I$2=$AF251,$AG251,0))))</f>
        <v/>
      </c>
      <c r="V251">
        <f>IF(J250&lt;=0,0,MIN(AO251,J$7+IF(J$2=$AA251,$AC251,IF(J$2=$AF251,$AG251,0))))</f>
        <v/>
      </c>
      <c r="W251">
        <f>IF(K250&lt;=0,0,MIN(AP251,K$7+IF(K$2=$AA251,$AC251,IF(K$2=$AF251,$AG251,0))))</f>
        <v/>
      </c>
      <c r="X251">
        <f>IF(L250&lt;=0,0,MIN(AQ251,L$7+IF(L$2=$AA251,$AC251,IF(L$2=$AF251,$AG251,0))))</f>
        <v/>
      </c>
      <c r="Y251">
        <f>IF(M250&lt;=0,0,MIN(AR251,M$7+IF(M$2=$AA251,$AC251,IF(M$2=$AF251,$AG251,0))))</f>
        <v/>
      </c>
      <c r="Z251">
        <f>IF(N250&lt;=0,0,MIN(AS251,N$7+IF(N$2=$AA251,$AC251,IF(N$2=$AF251,$AG251,0))))</f>
        <v/>
      </c>
      <c r="AA251">
        <f>IFERROR(ROUND(1/SUMPRODUCT(MAX((C250:N250&gt;0)*($C$3:$N$3&lt;=B251)/$C$2:$N$2)),0),0)</f>
        <v/>
      </c>
      <c r="AB251">
        <f>SUMPRODUCT((C250:N250&gt;0)*$C$7:$N$7)</f>
        <v/>
      </c>
      <c r="AC251">
        <f>MAX(0,Plan!$C$5-AB251)+IF(A251=Plan!$C$8,N(Plan!$C$7),0)</f>
        <v/>
      </c>
      <c r="AD251">
        <f>SUM(C251:N251)</f>
        <v/>
      </c>
      <c r="AE251">
        <f>SUM(O251:Z251)</f>
        <v/>
      </c>
      <c r="AF251">
        <f>IFERROR(ROUND(1/SUMPRODUCT(MAX((C250:N250&gt;0)*($C$3:$N$3&lt;=B251)*($C$2:$N$2&gt;AA251)/$C$2:$N$2)),0),0)</f>
        <v/>
      </c>
      <c r="AG251">
        <f>MAX(0,AC251-MAX(0,SUMPRODUCT(($C$2:$N$2=AA251)*(AH251:AS251-$C$7:$N$7))))</f>
        <v/>
      </c>
      <c r="AH251">
        <f>IF(C250&lt;=0,0,ROUND(C250*(1+IF(AND(C$6&gt;0,$B251&lt;C$6),C$4,C$5)/12),2))</f>
        <v/>
      </c>
      <c r="AI251">
        <f>IF(D250&lt;=0,0,ROUND(D250*(1+IF(AND(D$6&gt;0,$B251&lt;D$6),D$4,D$5)/12),2))</f>
        <v/>
      </c>
      <c r="AJ251">
        <f>IF(E250&lt;=0,0,ROUND(E250*(1+IF(AND(E$6&gt;0,$B251&lt;E$6),E$4,E$5)/12),2))</f>
        <v/>
      </c>
      <c r="AK251">
        <f>IF(F250&lt;=0,0,ROUND(F250*(1+IF(AND(F$6&gt;0,$B251&lt;F$6),F$4,F$5)/12),2))</f>
        <v/>
      </c>
      <c r="AL251">
        <f>IF(G250&lt;=0,0,ROUND(G250*(1+IF(AND(G$6&gt;0,$B251&lt;G$6),G$4,G$5)/12),2))</f>
        <v/>
      </c>
      <c r="AM251">
        <f>IF(H250&lt;=0,0,ROUND(H250*(1+IF(AND(H$6&gt;0,$B251&lt;H$6),H$4,H$5)/12),2))</f>
        <v/>
      </c>
      <c r="AN251">
        <f>IF(I250&lt;=0,0,ROUND(I250*(1+IF(AND(I$6&gt;0,$B251&lt;I$6),I$4,I$5)/12),2))</f>
        <v/>
      </c>
      <c r="AO251">
        <f>IF(J250&lt;=0,0,ROUND(J250*(1+IF(AND(J$6&gt;0,$B251&lt;J$6),J$4,J$5)/12),2))</f>
        <v/>
      </c>
      <c r="AP251">
        <f>IF(K250&lt;=0,0,ROUND(K250*(1+IF(AND(K$6&gt;0,$B251&lt;K$6),K$4,K$5)/12),2))</f>
        <v/>
      </c>
      <c r="AQ251">
        <f>IF(L250&lt;=0,0,ROUND(L250*(1+IF(AND(L$6&gt;0,$B251&lt;L$6),L$4,L$5)/12),2))</f>
        <v/>
      </c>
      <c r="AR251">
        <f>IF(M250&lt;=0,0,ROUND(M250*(1+IF(AND(M$6&gt;0,$B251&lt;M$6),M$4,M$5)/12),2))</f>
        <v/>
      </c>
      <c r="AS251">
        <f>IF(N250&lt;=0,0,ROUND(N250*(1+IF(AND(N$6&gt;0,$B251&lt;N$6),N$4,N$5)/12),2))</f>
        <v/>
      </c>
    </row>
    <row r="252">
      <c r="A252" t="n">
        <v>241</v>
      </c>
      <c r="B252">
        <f>EDATE(Plan!$C$6,240)</f>
        <v/>
      </c>
      <c r="C252">
        <f>IF(C251&lt;=0,0,MAX(0,AH252-O252))</f>
        <v/>
      </c>
      <c r="D252">
        <f>IF(D251&lt;=0,0,MAX(0,AI252-P252))</f>
        <v/>
      </c>
      <c r="E252">
        <f>IF(E251&lt;=0,0,MAX(0,AJ252-Q252))</f>
        <v/>
      </c>
      <c r="F252">
        <f>IF(F251&lt;=0,0,MAX(0,AK252-R252))</f>
        <v/>
      </c>
      <c r="G252">
        <f>IF(G251&lt;=0,0,MAX(0,AL252-S252))</f>
        <v/>
      </c>
      <c r="H252">
        <f>IF(H251&lt;=0,0,MAX(0,AM252-T252))</f>
        <v/>
      </c>
      <c r="I252">
        <f>IF(I251&lt;=0,0,MAX(0,AN252-U252))</f>
        <v/>
      </c>
      <c r="J252">
        <f>IF(J251&lt;=0,0,MAX(0,AO252-V252))</f>
        <v/>
      </c>
      <c r="K252">
        <f>IF(K251&lt;=0,0,MAX(0,AP252-W252))</f>
        <v/>
      </c>
      <c r="L252">
        <f>IF(L251&lt;=0,0,MAX(0,AQ252-X252))</f>
        <v/>
      </c>
      <c r="M252">
        <f>IF(M251&lt;=0,0,MAX(0,AR252-Y252))</f>
        <v/>
      </c>
      <c r="N252">
        <f>IF(N251&lt;=0,0,MAX(0,AS252-Z252))</f>
        <v/>
      </c>
      <c r="O252">
        <f>IF(C251&lt;=0,0,MIN(AH252,C$7+IF(C$2=$AA252,$AC252,IF(C$2=$AF252,$AG252,0))))</f>
        <v/>
      </c>
      <c r="P252">
        <f>IF(D251&lt;=0,0,MIN(AI252,D$7+IF(D$2=$AA252,$AC252,IF(D$2=$AF252,$AG252,0))))</f>
        <v/>
      </c>
      <c r="Q252">
        <f>IF(E251&lt;=0,0,MIN(AJ252,E$7+IF(E$2=$AA252,$AC252,IF(E$2=$AF252,$AG252,0))))</f>
        <v/>
      </c>
      <c r="R252">
        <f>IF(F251&lt;=0,0,MIN(AK252,F$7+IF(F$2=$AA252,$AC252,IF(F$2=$AF252,$AG252,0))))</f>
        <v/>
      </c>
      <c r="S252">
        <f>IF(G251&lt;=0,0,MIN(AL252,G$7+IF(G$2=$AA252,$AC252,IF(G$2=$AF252,$AG252,0))))</f>
        <v/>
      </c>
      <c r="T252">
        <f>IF(H251&lt;=0,0,MIN(AM252,H$7+IF(H$2=$AA252,$AC252,IF(H$2=$AF252,$AG252,0))))</f>
        <v/>
      </c>
      <c r="U252">
        <f>IF(I251&lt;=0,0,MIN(AN252,I$7+IF(I$2=$AA252,$AC252,IF(I$2=$AF252,$AG252,0))))</f>
        <v/>
      </c>
      <c r="V252">
        <f>IF(J251&lt;=0,0,MIN(AO252,J$7+IF(J$2=$AA252,$AC252,IF(J$2=$AF252,$AG252,0))))</f>
        <v/>
      </c>
      <c r="W252">
        <f>IF(K251&lt;=0,0,MIN(AP252,K$7+IF(K$2=$AA252,$AC252,IF(K$2=$AF252,$AG252,0))))</f>
        <v/>
      </c>
      <c r="X252">
        <f>IF(L251&lt;=0,0,MIN(AQ252,L$7+IF(L$2=$AA252,$AC252,IF(L$2=$AF252,$AG252,0))))</f>
        <v/>
      </c>
      <c r="Y252">
        <f>IF(M251&lt;=0,0,MIN(AR252,M$7+IF(M$2=$AA252,$AC252,IF(M$2=$AF252,$AG252,0))))</f>
        <v/>
      </c>
      <c r="Z252">
        <f>IF(N251&lt;=0,0,MIN(AS252,N$7+IF(N$2=$AA252,$AC252,IF(N$2=$AF252,$AG252,0))))</f>
        <v/>
      </c>
      <c r="AA252">
        <f>IFERROR(ROUND(1/SUMPRODUCT(MAX((C251:N251&gt;0)*($C$3:$N$3&lt;=B252)/$C$2:$N$2)),0),0)</f>
        <v/>
      </c>
      <c r="AB252">
        <f>SUMPRODUCT((C251:N251&gt;0)*$C$7:$N$7)</f>
        <v/>
      </c>
      <c r="AC252">
        <f>MAX(0,Plan!$C$5-AB252)+IF(A252=Plan!$C$8,N(Plan!$C$7),0)</f>
        <v/>
      </c>
      <c r="AD252">
        <f>SUM(C252:N252)</f>
        <v/>
      </c>
      <c r="AE252">
        <f>SUM(O252:Z252)</f>
        <v/>
      </c>
      <c r="AF252">
        <f>IFERROR(ROUND(1/SUMPRODUCT(MAX((C251:N251&gt;0)*($C$3:$N$3&lt;=B252)*($C$2:$N$2&gt;AA252)/$C$2:$N$2)),0),0)</f>
        <v/>
      </c>
      <c r="AG252">
        <f>MAX(0,AC252-MAX(0,SUMPRODUCT(($C$2:$N$2=AA252)*(AH252:AS252-$C$7:$N$7))))</f>
        <v/>
      </c>
      <c r="AH252">
        <f>IF(C251&lt;=0,0,ROUND(C251*(1+IF(AND(C$6&gt;0,$B252&lt;C$6),C$4,C$5)/12),2))</f>
        <v/>
      </c>
      <c r="AI252">
        <f>IF(D251&lt;=0,0,ROUND(D251*(1+IF(AND(D$6&gt;0,$B252&lt;D$6),D$4,D$5)/12),2))</f>
        <v/>
      </c>
      <c r="AJ252">
        <f>IF(E251&lt;=0,0,ROUND(E251*(1+IF(AND(E$6&gt;0,$B252&lt;E$6),E$4,E$5)/12),2))</f>
        <v/>
      </c>
      <c r="AK252">
        <f>IF(F251&lt;=0,0,ROUND(F251*(1+IF(AND(F$6&gt;0,$B252&lt;F$6),F$4,F$5)/12),2))</f>
        <v/>
      </c>
      <c r="AL252">
        <f>IF(G251&lt;=0,0,ROUND(G251*(1+IF(AND(G$6&gt;0,$B252&lt;G$6),G$4,G$5)/12),2))</f>
        <v/>
      </c>
      <c r="AM252">
        <f>IF(H251&lt;=0,0,ROUND(H251*(1+IF(AND(H$6&gt;0,$B252&lt;H$6),H$4,H$5)/12),2))</f>
        <v/>
      </c>
      <c r="AN252">
        <f>IF(I251&lt;=0,0,ROUND(I251*(1+IF(AND(I$6&gt;0,$B252&lt;I$6),I$4,I$5)/12),2))</f>
        <v/>
      </c>
      <c r="AO252">
        <f>IF(J251&lt;=0,0,ROUND(J251*(1+IF(AND(J$6&gt;0,$B252&lt;J$6),J$4,J$5)/12),2))</f>
        <v/>
      </c>
      <c r="AP252">
        <f>IF(K251&lt;=0,0,ROUND(K251*(1+IF(AND(K$6&gt;0,$B252&lt;K$6),K$4,K$5)/12),2))</f>
        <v/>
      </c>
      <c r="AQ252">
        <f>IF(L251&lt;=0,0,ROUND(L251*(1+IF(AND(L$6&gt;0,$B252&lt;L$6),L$4,L$5)/12),2))</f>
        <v/>
      </c>
      <c r="AR252">
        <f>IF(M251&lt;=0,0,ROUND(M251*(1+IF(AND(M$6&gt;0,$B252&lt;M$6),M$4,M$5)/12),2))</f>
        <v/>
      </c>
      <c r="AS252">
        <f>IF(N251&lt;=0,0,ROUND(N251*(1+IF(AND(N$6&gt;0,$B252&lt;N$6),N$4,N$5)/12),2))</f>
        <v/>
      </c>
    </row>
    <row r="253">
      <c r="A253" t="n">
        <v>242</v>
      </c>
      <c r="B253">
        <f>EDATE(Plan!$C$6,241)</f>
        <v/>
      </c>
      <c r="C253">
        <f>IF(C252&lt;=0,0,MAX(0,AH253-O253))</f>
        <v/>
      </c>
      <c r="D253">
        <f>IF(D252&lt;=0,0,MAX(0,AI253-P253))</f>
        <v/>
      </c>
      <c r="E253">
        <f>IF(E252&lt;=0,0,MAX(0,AJ253-Q253))</f>
        <v/>
      </c>
      <c r="F253">
        <f>IF(F252&lt;=0,0,MAX(0,AK253-R253))</f>
        <v/>
      </c>
      <c r="G253">
        <f>IF(G252&lt;=0,0,MAX(0,AL253-S253))</f>
        <v/>
      </c>
      <c r="H253">
        <f>IF(H252&lt;=0,0,MAX(0,AM253-T253))</f>
        <v/>
      </c>
      <c r="I253">
        <f>IF(I252&lt;=0,0,MAX(0,AN253-U253))</f>
        <v/>
      </c>
      <c r="J253">
        <f>IF(J252&lt;=0,0,MAX(0,AO253-V253))</f>
        <v/>
      </c>
      <c r="K253">
        <f>IF(K252&lt;=0,0,MAX(0,AP253-W253))</f>
        <v/>
      </c>
      <c r="L253">
        <f>IF(L252&lt;=0,0,MAX(0,AQ253-X253))</f>
        <v/>
      </c>
      <c r="M253">
        <f>IF(M252&lt;=0,0,MAX(0,AR253-Y253))</f>
        <v/>
      </c>
      <c r="N253">
        <f>IF(N252&lt;=0,0,MAX(0,AS253-Z253))</f>
        <v/>
      </c>
      <c r="O253">
        <f>IF(C252&lt;=0,0,MIN(AH253,C$7+IF(C$2=$AA253,$AC253,IF(C$2=$AF253,$AG253,0))))</f>
        <v/>
      </c>
      <c r="P253">
        <f>IF(D252&lt;=0,0,MIN(AI253,D$7+IF(D$2=$AA253,$AC253,IF(D$2=$AF253,$AG253,0))))</f>
        <v/>
      </c>
      <c r="Q253">
        <f>IF(E252&lt;=0,0,MIN(AJ253,E$7+IF(E$2=$AA253,$AC253,IF(E$2=$AF253,$AG253,0))))</f>
        <v/>
      </c>
      <c r="R253">
        <f>IF(F252&lt;=0,0,MIN(AK253,F$7+IF(F$2=$AA253,$AC253,IF(F$2=$AF253,$AG253,0))))</f>
        <v/>
      </c>
      <c r="S253">
        <f>IF(G252&lt;=0,0,MIN(AL253,G$7+IF(G$2=$AA253,$AC253,IF(G$2=$AF253,$AG253,0))))</f>
        <v/>
      </c>
      <c r="T253">
        <f>IF(H252&lt;=0,0,MIN(AM253,H$7+IF(H$2=$AA253,$AC253,IF(H$2=$AF253,$AG253,0))))</f>
        <v/>
      </c>
      <c r="U253">
        <f>IF(I252&lt;=0,0,MIN(AN253,I$7+IF(I$2=$AA253,$AC253,IF(I$2=$AF253,$AG253,0))))</f>
        <v/>
      </c>
      <c r="V253">
        <f>IF(J252&lt;=0,0,MIN(AO253,J$7+IF(J$2=$AA253,$AC253,IF(J$2=$AF253,$AG253,0))))</f>
        <v/>
      </c>
      <c r="W253">
        <f>IF(K252&lt;=0,0,MIN(AP253,K$7+IF(K$2=$AA253,$AC253,IF(K$2=$AF253,$AG253,0))))</f>
        <v/>
      </c>
      <c r="X253">
        <f>IF(L252&lt;=0,0,MIN(AQ253,L$7+IF(L$2=$AA253,$AC253,IF(L$2=$AF253,$AG253,0))))</f>
        <v/>
      </c>
      <c r="Y253">
        <f>IF(M252&lt;=0,0,MIN(AR253,M$7+IF(M$2=$AA253,$AC253,IF(M$2=$AF253,$AG253,0))))</f>
        <v/>
      </c>
      <c r="Z253">
        <f>IF(N252&lt;=0,0,MIN(AS253,N$7+IF(N$2=$AA253,$AC253,IF(N$2=$AF253,$AG253,0))))</f>
        <v/>
      </c>
      <c r="AA253">
        <f>IFERROR(ROUND(1/SUMPRODUCT(MAX((C252:N252&gt;0)*($C$3:$N$3&lt;=B253)/$C$2:$N$2)),0),0)</f>
        <v/>
      </c>
      <c r="AB253">
        <f>SUMPRODUCT((C252:N252&gt;0)*$C$7:$N$7)</f>
        <v/>
      </c>
      <c r="AC253">
        <f>MAX(0,Plan!$C$5-AB253)+IF(A253=Plan!$C$8,N(Plan!$C$7),0)</f>
        <v/>
      </c>
      <c r="AD253">
        <f>SUM(C253:N253)</f>
        <v/>
      </c>
      <c r="AE253">
        <f>SUM(O253:Z253)</f>
        <v/>
      </c>
      <c r="AF253">
        <f>IFERROR(ROUND(1/SUMPRODUCT(MAX((C252:N252&gt;0)*($C$3:$N$3&lt;=B253)*($C$2:$N$2&gt;AA253)/$C$2:$N$2)),0),0)</f>
        <v/>
      </c>
      <c r="AG253">
        <f>MAX(0,AC253-MAX(0,SUMPRODUCT(($C$2:$N$2=AA253)*(AH253:AS253-$C$7:$N$7))))</f>
        <v/>
      </c>
      <c r="AH253">
        <f>IF(C252&lt;=0,0,ROUND(C252*(1+IF(AND(C$6&gt;0,$B253&lt;C$6),C$4,C$5)/12),2))</f>
        <v/>
      </c>
      <c r="AI253">
        <f>IF(D252&lt;=0,0,ROUND(D252*(1+IF(AND(D$6&gt;0,$B253&lt;D$6),D$4,D$5)/12),2))</f>
        <v/>
      </c>
      <c r="AJ253">
        <f>IF(E252&lt;=0,0,ROUND(E252*(1+IF(AND(E$6&gt;0,$B253&lt;E$6),E$4,E$5)/12),2))</f>
        <v/>
      </c>
      <c r="AK253">
        <f>IF(F252&lt;=0,0,ROUND(F252*(1+IF(AND(F$6&gt;0,$B253&lt;F$6),F$4,F$5)/12),2))</f>
        <v/>
      </c>
      <c r="AL253">
        <f>IF(G252&lt;=0,0,ROUND(G252*(1+IF(AND(G$6&gt;0,$B253&lt;G$6),G$4,G$5)/12),2))</f>
        <v/>
      </c>
      <c r="AM253">
        <f>IF(H252&lt;=0,0,ROUND(H252*(1+IF(AND(H$6&gt;0,$B253&lt;H$6),H$4,H$5)/12),2))</f>
        <v/>
      </c>
      <c r="AN253">
        <f>IF(I252&lt;=0,0,ROUND(I252*(1+IF(AND(I$6&gt;0,$B253&lt;I$6),I$4,I$5)/12),2))</f>
        <v/>
      </c>
      <c r="AO253">
        <f>IF(J252&lt;=0,0,ROUND(J252*(1+IF(AND(J$6&gt;0,$B253&lt;J$6),J$4,J$5)/12),2))</f>
        <v/>
      </c>
      <c r="AP253">
        <f>IF(K252&lt;=0,0,ROUND(K252*(1+IF(AND(K$6&gt;0,$B253&lt;K$6),K$4,K$5)/12),2))</f>
        <v/>
      </c>
      <c r="AQ253">
        <f>IF(L252&lt;=0,0,ROUND(L252*(1+IF(AND(L$6&gt;0,$B253&lt;L$6),L$4,L$5)/12),2))</f>
        <v/>
      </c>
      <c r="AR253">
        <f>IF(M252&lt;=0,0,ROUND(M252*(1+IF(AND(M$6&gt;0,$B253&lt;M$6),M$4,M$5)/12),2))</f>
        <v/>
      </c>
      <c r="AS253">
        <f>IF(N252&lt;=0,0,ROUND(N252*(1+IF(AND(N$6&gt;0,$B253&lt;N$6),N$4,N$5)/12),2))</f>
        <v/>
      </c>
    </row>
    <row r="254">
      <c r="A254" t="n">
        <v>243</v>
      </c>
      <c r="B254">
        <f>EDATE(Plan!$C$6,242)</f>
        <v/>
      </c>
      <c r="C254">
        <f>IF(C253&lt;=0,0,MAX(0,AH254-O254))</f>
        <v/>
      </c>
      <c r="D254">
        <f>IF(D253&lt;=0,0,MAX(0,AI254-P254))</f>
        <v/>
      </c>
      <c r="E254">
        <f>IF(E253&lt;=0,0,MAX(0,AJ254-Q254))</f>
        <v/>
      </c>
      <c r="F254">
        <f>IF(F253&lt;=0,0,MAX(0,AK254-R254))</f>
        <v/>
      </c>
      <c r="G254">
        <f>IF(G253&lt;=0,0,MAX(0,AL254-S254))</f>
        <v/>
      </c>
      <c r="H254">
        <f>IF(H253&lt;=0,0,MAX(0,AM254-T254))</f>
        <v/>
      </c>
      <c r="I254">
        <f>IF(I253&lt;=0,0,MAX(0,AN254-U254))</f>
        <v/>
      </c>
      <c r="J254">
        <f>IF(J253&lt;=0,0,MAX(0,AO254-V254))</f>
        <v/>
      </c>
      <c r="K254">
        <f>IF(K253&lt;=0,0,MAX(0,AP254-W254))</f>
        <v/>
      </c>
      <c r="L254">
        <f>IF(L253&lt;=0,0,MAX(0,AQ254-X254))</f>
        <v/>
      </c>
      <c r="M254">
        <f>IF(M253&lt;=0,0,MAX(0,AR254-Y254))</f>
        <v/>
      </c>
      <c r="N254">
        <f>IF(N253&lt;=0,0,MAX(0,AS254-Z254))</f>
        <v/>
      </c>
      <c r="O254">
        <f>IF(C253&lt;=0,0,MIN(AH254,C$7+IF(C$2=$AA254,$AC254,IF(C$2=$AF254,$AG254,0))))</f>
        <v/>
      </c>
      <c r="P254">
        <f>IF(D253&lt;=0,0,MIN(AI254,D$7+IF(D$2=$AA254,$AC254,IF(D$2=$AF254,$AG254,0))))</f>
        <v/>
      </c>
      <c r="Q254">
        <f>IF(E253&lt;=0,0,MIN(AJ254,E$7+IF(E$2=$AA254,$AC254,IF(E$2=$AF254,$AG254,0))))</f>
        <v/>
      </c>
      <c r="R254">
        <f>IF(F253&lt;=0,0,MIN(AK254,F$7+IF(F$2=$AA254,$AC254,IF(F$2=$AF254,$AG254,0))))</f>
        <v/>
      </c>
      <c r="S254">
        <f>IF(G253&lt;=0,0,MIN(AL254,G$7+IF(G$2=$AA254,$AC254,IF(G$2=$AF254,$AG254,0))))</f>
        <v/>
      </c>
      <c r="T254">
        <f>IF(H253&lt;=0,0,MIN(AM254,H$7+IF(H$2=$AA254,$AC254,IF(H$2=$AF254,$AG254,0))))</f>
        <v/>
      </c>
      <c r="U254">
        <f>IF(I253&lt;=0,0,MIN(AN254,I$7+IF(I$2=$AA254,$AC254,IF(I$2=$AF254,$AG254,0))))</f>
        <v/>
      </c>
      <c r="V254">
        <f>IF(J253&lt;=0,0,MIN(AO254,J$7+IF(J$2=$AA254,$AC254,IF(J$2=$AF254,$AG254,0))))</f>
        <v/>
      </c>
      <c r="W254">
        <f>IF(K253&lt;=0,0,MIN(AP254,K$7+IF(K$2=$AA254,$AC254,IF(K$2=$AF254,$AG254,0))))</f>
        <v/>
      </c>
      <c r="X254">
        <f>IF(L253&lt;=0,0,MIN(AQ254,L$7+IF(L$2=$AA254,$AC254,IF(L$2=$AF254,$AG254,0))))</f>
        <v/>
      </c>
      <c r="Y254">
        <f>IF(M253&lt;=0,0,MIN(AR254,M$7+IF(M$2=$AA254,$AC254,IF(M$2=$AF254,$AG254,0))))</f>
        <v/>
      </c>
      <c r="Z254">
        <f>IF(N253&lt;=0,0,MIN(AS254,N$7+IF(N$2=$AA254,$AC254,IF(N$2=$AF254,$AG254,0))))</f>
        <v/>
      </c>
      <c r="AA254">
        <f>IFERROR(ROUND(1/SUMPRODUCT(MAX((C253:N253&gt;0)*($C$3:$N$3&lt;=B254)/$C$2:$N$2)),0),0)</f>
        <v/>
      </c>
      <c r="AB254">
        <f>SUMPRODUCT((C253:N253&gt;0)*$C$7:$N$7)</f>
        <v/>
      </c>
      <c r="AC254">
        <f>MAX(0,Plan!$C$5-AB254)+IF(A254=Plan!$C$8,N(Plan!$C$7),0)</f>
        <v/>
      </c>
      <c r="AD254">
        <f>SUM(C254:N254)</f>
        <v/>
      </c>
      <c r="AE254">
        <f>SUM(O254:Z254)</f>
        <v/>
      </c>
      <c r="AF254">
        <f>IFERROR(ROUND(1/SUMPRODUCT(MAX((C253:N253&gt;0)*($C$3:$N$3&lt;=B254)*($C$2:$N$2&gt;AA254)/$C$2:$N$2)),0),0)</f>
        <v/>
      </c>
      <c r="AG254">
        <f>MAX(0,AC254-MAX(0,SUMPRODUCT(($C$2:$N$2=AA254)*(AH254:AS254-$C$7:$N$7))))</f>
        <v/>
      </c>
      <c r="AH254">
        <f>IF(C253&lt;=0,0,ROUND(C253*(1+IF(AND(C$6&gt;0,$B254&lt;C$6),C$4,C$5)/12),2))</f>
        <v/>
      </c>
      <c r="AI254">
        <f>IF(D253&lt;=0,0,ROUND(D253*(1+IF(AND(D$6&gt;0,$B254&lt;D$6),D$4,D$5)/12),2))</f>
        <v/>
      </c>
      <c r="AJ254">
        <f>IF(E253&lt;=0,0,ROUND(E253*(1+IF(AND(E$6&gt;0,$B254&lt;E$6),E$4,E$5)/12),2))</f>
        <v/>
      </c>
      <c r="AK254">
        <f>IF(F253&lt;=0,0,ROUND(F253*(1+IF(AND(F$6&gt;0,$B254&lt;F$6),F$4,F$5)/12),2))</f>
        <v/>
      </c>
      <c r="AL254">
        <f>IF(G253&lt;=0,0,ROUND(G253*(1+IF(AND(G$6&gt;0,$B254&lt;G$6),G$4,G$5)/12),2))</f>
        <v/>
      </c>
      <c r="AM254">
        <f>IF(H253&lt;=0,0,ROUND(H253*(1+IF(AND(H$6&gt;0,$B254&lt;H$6),H$4,H$5)/12),2))</f>
        <v/>
      </c>
      <c r="AN254">
        <f>IF(I253&lt;=0,0,ROUND(I253*(1+IF(AND(I$6&gt;0,$B254&lt;I$6),I$4,I$5)/12),2))</f>
        <v/>
      </c>
      <c r="AO254">
        <f>IF(J253&lt;=0,0,ROUND(J253*(1+IF(AND(J$6&gt;0,$B254&lt;J$6),J$4,J$5)/12),2))</f>
        <v/>
      </c>
      <c r="AP254">
        <f>IF(K253&lt;=0,0,ROUND(K253*(1+IF(AND(K$6&gt;0,$B254&lt;K$6),K$4,K$5)/12),2))</f>
        <v/>
      </c>
      <c r="AQ254">
        <f>IF(L253&lt;=0,0,ROUND(L253*(1+IF(AND(L$6&gt;0,$B254&lt;L$6),L$4,L$5)/12),2))</f>
        <v/>
      </c>
      <c r="AR254">
        <f>IF(M253&lt;=0,0,ROUND(M253*(1+IF(AND(M$6&gt;0,$B254&lt;M$6),M$4,M$5)/12),2))</f>
        <v/>
      </c>
      <c r="AS254">
        <f>IF(N253&lt;=0,0,ROUND(N253*(1+IF(AND(N$6&gt;0,$B254&lt;N$6),N$4,N$5)/12),2))</f>
        <v/>
      </c>
    </row>
    <row r="255">
      <c r="A255" t="n">
        <v>244</v>
      </c>
      <c r="B255">
        <f>EDATE(Plan!$C$6,243)</f>
        <v/>
      </c>
      <c r="C255">
        <f>IF(C254&lt;=0,0,MAX(0,AH255-O255))</f>
        <v/>
      </c>
      <c r="D255">
        <f>IF(D254&lt;=0,0,MAX(0,AI255-P255))</f>
        <v/>
      </c>
      <c r="E255">
        <f>IF(E254&lt;=0,0,MAX(0,AJ255-Q255))</f>
        <v/>
      </c>
      <c r="F255">
        <f>IF(F254&lt;=0,0,MAX(0,AK255-R255))</f>
        <v/>
      </c>
      <c r="G255">
        <f>IF(G254&lt;=0,0,MAX(0,AL255-S255))</f>
        <v/>
      </c>
      <c r="H255">
        <f>IF(H254&lt;=0,0,MAX(0,AM255-T255))</f>
        <v/>
      </c>
      <c r="I255">
        <f>IF(I254&lt;=0,0,MAX(0,AN255-U255))</f>
        <v/>
      </c>
      <c r="J255">
        <f>IF(J254&lt;=0,0,MAX(0,AO255-V255))</f>
        <v/>
      </c>
      <c r="K255">
        <f>IF(K254&lt;=0,0,MAX(0,AP255-W255))</f>
        <v/>
      </c>
      <c r="L255">
        <f>IF(L254&lt;=0,0,MAX(0,AQ255-X255))</f>
        <v/>
      </c>
      <c r="M255">
        <f>IF(M254&lt;=0,0,MAX(0,AR255-Y255))</f>
        <v/>
      </c>
      <c r="N255">
        <f>IF(N254&lt;=0,0,MAX(0,AS255-Z255))</f>
        <v/>
      </c>
      <c r="O255">
        <f>IF(C254&lt;=0,0,MIN(AH255,C$7+IF(C$2=$AA255,$AC255,IF(C$2=$AF255,$AG255,0))))</f>
        <v/>
      </c>
      <c r="P255">
        <f>IF(D254&lt;=0,0,MIN(AI255,D$7+IF(D$2=$AA255,$AC255,IF(D$2=$AF255,$AG255,0))))</f>
        <v/>
      </c>
      <c r="Q255">
        <f>IF(E254&lt;=0,0,MIN(AJ255,E$7+IF(E$2=$AA255,$AC255,IF(E$2=$AF255,$AG255,0))))</f>
        <v/>
      </c>
      <c r="R255">
        <f>IF(F254&lt;=0,0,MIN(AK255,F$7+IF(F$2=$AA255,$AC255,IF(F$2=$AF255,$AG255,0))))</f>
        <v/>
      </c>
      <c r="S255">
        <f>IF(G254&lt;=0,0,MIN(AL255,G$7+IF(G$2=$AA255,$AC255,IF(G$2=$AF255,$AG255,0))))</f>
        <v/>
      </c>
      <c r="T255">
        <f>IF(H254&lt;=0,0,MIN(AM255,H$7+IF(H$2=$AA255,$AC255,IF(H$2=$AF255,$AG255,0))))</f>
        <v/>
      </c>
      <c r="U255">
        <f>IF(I254&lt;=0,0,MIN(AN255,I$7+IF(I$2=$AA255,$AC255,IF(I$2=$AF255,$AG255,0))))</f>
        <v/>
      </c>
      <c r="V255">
        <f>IF(J254&lt;=0,0,MIN(AO255,J$7+IF(J$2=$AA255,$AC255,IF(J$2=$AF255,$AG255,0))))</f>
        <v/>
      </c>
      <c r="W255">
        <f>IF(K254&lt;=0,0,MIN(AP255,K$7+IF(K$2=$AA255,$AC255,IF(K$2=$AF255,$AG255,0))))</f>
        <v/>
      </c>
      <c r="X255">
        <f>IF(L254&lt;=0,0,MIN(AQ255,L$7+IF(L$2=$AA255,$AC255,IF(L$2=$AF255,$AG255,0))))</f>
        <v/>
      </c>
      <c r="Y255">
        <f>IF(M254&lt;=0,0,MIN(AR255,M$7+IF(M$2=$AA255,$AC255,IF(M$2=$AF255,$AG255,0))))</f>
        <v/>
      </c>
      <c r="Z255">
        <f>IF(N254&lt;=0,0,MIN(AS255,N$7+IF(N$2=$AA255,$AC255,IF(N$2=$AF255,$AG255,0))))</f>
        <v/>
      </c>
      <c r="AA255">
        <f>IFERROR(ROUND(1/SUMPRODUCT(MAX((C254:N254&gt;0)*($C$3:$N$3&lt;=B255)/$C$2:$N$2)),0),0)</f>
        <v/>
      </c>
      <c r="AB255">
        <f>SUMPRODUCT((C254:N254&gt;0)*$C$7:$N$7)</f>
        <v/>
      </c>
      <c r="AC255">
        <f>MAX(0,Plan!$C$5-AB255)+IF(A255=Plan!$C$8,N(Plan!$C$7),0)</f>
        <v/>
      </c>
      <c r="AD255">
        <f>SUM(C255:N255)</f>
        <v/>
      </c>
      <c r="AE255">
        <f>SUM(O255:Z255)</f>
        <v/>
      </c>
      <c r="AF255">
        <f>IFERROR(ROUND(1/SUMPRODUCT(MAX((C254:N254&gt;0)*($C$3:$N$3&lt;=B255)*($C$2:$N$2&gt;AA255)/$C$2:$N$2)),0),0)</f>
        <v/>
      </c>
      <c r="AG255">
        <f>MAX(0,AC255-MAX(0,SUMPRODUCT(($C$2:$N$2=AA255)*(AH255:AS255-$C$7:$N$7))))</f>
        <v/>
      </c>
      <c r="AH255">
        <f>IF(C254&lt;=0,0,ROUND(C254*(1+IF(AND(C$6&gt;0,$B255&lt;C$6),C$4,C$5)/12),2))</f>
        <v/>
      </c>
      <c r="AI255">
        <f>IF(D254&lt;=0,0,ROUND(D254*(1+IF(AND(D$6&gt;0,$B255&lt;D$6),D$4,D$5)/12),2))</f>
        <v/>
      </c>
      <c r="AJ255">
        <f>IF(E254&lt;=0,0,ROUND(E254*(1+IF(AND(E$6&gt;0,$B255&lt;E$6),E$4,E$5)/12),2))</f>
        <v/>
      </c>
      <c r="AK255">
        <f>IF(F254&lt;=0,0,ROUND(F254*(1+IF(AND(F$6&gt;0,$B255&lt;F$6),F$4,F$5)/12),2))</f>
        <v/>
      </c>
      <c r="AL255">
        <f>IF(G254&lt;=0,0,ROUND(G254*(1+IF(AND(G$6&gt;0,$B255&lt;G$6),G$4,G$5)/12),2))</f>
        <v/>
      </c>
      <c r="AM255">
        <f>IF(H254&lt;=0,0,ROUND(H254*(1+IF(AND(H$6&gt;0,$B255&lt;H$6),H$4,H$5)/12),2))</f>
        <v/>
      </c>
      <c r="AN255">
        <f>IF(I254&lt;=0,0,ROUND(I254*(1+IF(AND(I$6&gt;0,$B255&lt;I$6),I$4,I$5)/12),2))</f>
        <v/>
      </c>
      <c r="AO255">
        <f>IF(J254&lt;=0,0,ROUND(J254*(1+IF(AND(J$6&gt;0,$B255&lt;J$6),J$4,J$5)/12),2))</f>
        <v/>
      </c>
      <c r="AP255">
        <f>IF(K254&lt;=0,0,ROUND(K254*(1+IF(AND(K$6&gt;0,$B255&lt;K$6),K$4,K$5)/12),2))</f>
        <v/>
      </c>
      <c r="AQ255">
        <f>IF(L254&lt;=0,0,ROUND(L254*(1+IF(AND(L$6&gt;0,$B255&lt;L$6),L$4,L$5)/12),2))</f>
        <v/>
      </c>
      <c r="AR255">
        <f>IF(M254&lt;=0,0,ROUND(M254*(1+IF(AND(M$6&gt;0,$B255&lt;M$6),M$4,M$5)/12),2))</f>
        <v/>
      </c>
      <c r="AS255">
        <f>IF(N254&lt;=0,0,ROUND(N254*(1+IF(AND(N$6&gt;0,$B255&lt;N$6),N$4,N$5)/12),2))</f>
        <v/>
      </c>
    </row>
    <row r="256">
      <c r="A256" t="n">
        <v>245</v>
      </c>
      <c r="B256">
        <f>EDATE(Plan!$C$6,244)</f>
        <v/>
      </c>
      <c r="C256">
        <f>IF(C255&lt;=0,0,MAX(0,AH256-O256))</f>
        <v/>
      </c>
      <c r="D256">
        <f>IF(D255&lt;=0,0,MAX(0,AI256-P256))</f>
        <v/>
      </c>
      <c r="E256">
        <f>IF(E255&lt;=0,0,MAX(0,AJ256-Q256))</f>
        <v/>
      </c>
      <c r="F256">
        <f>IF(F255&lt;=0,0,MAX(0,AK256-R256))</f>
        <v/>
      </c>
      <c r="G256">
        <f>IF(G255&lt;=0,0,MAX(0,AL256-S256))</f>
        <v/>
      </c>
      <c r="H256">
        <f>IF(H255&lt;=0,0,MAX(0,AM256-T256))</f>
        <v/>
      </c>
      <c r="I256">
        <f>IF(I255&lt;=0,0,MAX(0,AN256-U256))</f>
        <v/>
      </c>
      <c r="J256">
        <f>IF(J255&lt;=0,0,MAX(0,AO256-V256))</f>
        <v/>
      </c>
      <c r="K256">
        <f>IF(K255&lt;=0,0,MAX(0,AP256-W256))</f>
        <v/>
      </c>
      <c r="L256">
        <f>IF(L255&lt;=0,0,MAX(0,AQ256-X256))</f>
        <v/>
      </c>
      <c r="M256">
        <f>IF(M255&lt;=0,0,MAX(0,AR256-Y256))</f>
        <v/>
      </c>
      <c r="N256">
        <f>IF(N255&lt;=0,0,MAX(0,AS256-Z256))</f>
        <v/>
      </c>
      <c r="O256">
        <f>IF(C255&lt;=0,0,MIN(AH256,C$7+IF(C$2=$AA256,$AC256,IF(C$2=$AF256,$AG256,0))))</f>
        <v/>
      </c>
      <c r="P256">
        <f>IF(D255&lt;=0,0,MIN(AI256,D$7+IF(D$2=$AA256,$AC256,IF(D$2=$AF256,$AG256,0))))</f>
        <v/>
      </c>
      <c r="Q256">
        <f>IF(E255&lt;=0,0,MIN(AJ256,E$7+IF(E$2=$AA256,$AC256,IF(E$2=$AF256,$AG256,0))))</f>
        <v/>
      </c>
      <c r="R256">
        <f>IF(F255&lt;=0,0,MIN(AK256,F$7+IF(F$2=$AA256,$AC256,IF(F$2=$AF256,$AG256,0))))</f>
        <v/>
      </c>
      <c r="S256">
        <f>IF(G255&lt;=0,0,MIN(AL256,G$7+IF(G$2=$AA256,$AC256,IF(G$2=$AF256,$AG256,0))))</f>
        <v/>
      </c>
      <c r="T256">
        <f>IF(H255&lt;=0,0,MIN(AM256,H$7+IF(H$2=$AA256,$AC256,IF(H$2=$AF256,$AG256,0))))</f>
        <v/>
      </c>
      <c r="U256">
        <f>IF(I255&lt;=0,0,MIN(AN256,I$7+IF(I$2=$AA256,$AC256,IF(I$2=$AF256,$AG256,0))))</f>
        <v/>
      </c>
      <c r="V256">
        <f>IF(J255&lt;=0,0,MIN(AO256,J$7+IF(J$2=$AA256,$AC256,IF(J$2=$AF256,$AG256,0))))</f>
        <v/>
      </c>
      <c r="W256">
        <f>IF(K255&lt;=0,0,MIN(AP256,K$7+IF(K$2=$AA256,$AC256,IF(K$2=$AF256,$AG256,0))))</f>
        <v/>
      </c>
      <c r="X256">
        <f>IF(L255&lt;=0,0,MIN(AQ256,L$7+IF(L$2=$AA256,$AC256,IF(L$2=$AF256,$AG256,0))))</f>
        <v/>
      </c>
      <c r="Y256">
        <f>IF(M255&lt;=0,0,MIN(AR256,M$7+IF(M$2=$AA256,$AC256,IF(M$2=$AF256,$AG256,0))))</f>
        <v/>
      </c>
      <c r="Z256">
        <f>IF(N255&lt;=0,0,MIN(AS256,N$7+IF(N$2=$AA256,$AC256,IF(N$2=$AF256,$AG256,0))))</f>
        <v/>
      </c>
      <c r="AA256">
        <f>IFERROR(ROUND(1/SUMPRODUCT(MAX((C255:N255&gt;0)*($C$3:$N$3&lt;=B256)/$C$2:$N$2)),0),0)</f>
        <v/>
      </c>
      <c r="AB256">
        <f>SUMPRODUCT((C255:N255&gt;0)*$C$7:$N$7)</f>
        <v/>
      </c>
      <c r="AC256">
        <f>MAX(0,Plan!$C$5-AB256)+IF(A256=Plan!$C$8,N(Plan!$C$7),0)</f>
        <v/>
      </c>
      <c r="AD256">
        <f>SUM(C256:N256)</f>
        <v/>
      </c>
      <c r="AE256">
        <f>SUM(O256:Z256)</f>
        <v/>
      </c>
      <c r="AF256">
        <f>IFERROR(ROUND(1/SUMPRODUCT(MAX((C255:N255&gt;0)*($C$3:$N$3&lt;=B256)*($C$2:$N$2&gt;AA256)/$C$2:$N$2)),0),0)</f>
        <v/>
      </c>
      <c r="AG256">
        <f>MAX(0,AC256-MAX(0,SUMPRODUCT(($C$2:$N$2=AA256)*(AH256:AS256-$C$7:$N$7))))</f>
        <v/>
      </c>
      <c r="AH256">
        <f>IF(C255&lt;=0,0,ROUND(C255*(1+IF(AND(C$6&gt;0,$B256&lt;C$6),C$4,C$5)/12),2))</f>
        <v/>
      </c>
      <c r="AI256">
        <f>IF(D255&lt;=0,0,ROUND(D255*(1+IF(AND(D$6&gt;0,$B256&lt;D$6),D$4,D$5)/12),2))</f>
        <v/>
      </c>
      <c r="AJ256">
        <f>IF(E255&lt;=0,0,ROUND(E255*(1+IF(AND(E$6&gt;0,$B256&lt;E$6),E$4,E$5)/12),2))</f>
        <v/>
      </c>
      <c r="AK256">
        <f>IF(F255&lt;=0,0,ROUND(F255*(1+IF(AND(F$6&gt;0,$B256&lt;F$6),F$4,F$5)/12),2))</f>
        <v/>
      </c>
      <c r="AL256">
        <f>IF(G255&lt;=0,0,ROUND(G255*(1+IF(AND(G$6&gt;0,$B256&lt;G$6),G$4,G$5)/12),2))</f>
        <v/>
      </c>
      <c r="AM256">
        <f>IF(H255&lt;=0,0,ROUND(H255*(1+IF(AND(H$6&gt;0,$B256&lt;H$6),H$4,H$5)/12),2))</f>
        <v/>
      </c>
      <c r="AN256">
        <f>IF(I255&lt;=0,0,ROUND(I255*(1+IF(AND(I$6&gt;0,$B256&lt;I$6),I$4,I$5)/12),2))</f>
        <v/>
      </c>
      <c r="AO256">
        <f>IF(J255&lt;=0,0,ROUND(J255*(1+IF(AND(J$6&gt;0,$B256&lt;J$6),J$4,J$5)/12),2))</f>
        <v/>
      </c>
      <c r="AP256">
        <f>IF(K255&lt;=0,0,ROUND(K255*(1+IF(AND(K$6&gt;0,$B256&lt;K$6),K$4,K$5)/12),2))</f>
        <v/>
      </c>
      <c r="AQ256">
        <f>IF(L255&lt;=0,0,ROUND(L255*(1+IF(AND(L$6&gt;0,$B256&lt;L$6),L$4,L$5)/12),2))</f>
        <v/>
      </c>
      <c r="AR256">
        <f>IF(M255&lt;=0,0,ROUND(M255*(1+IF(AND(M$6&gt;0,$B256&lt;M$6),M$4,M$5)/12),2))</f>
        <v/>
      </c>
      <c r="AS256">
        <f>IF(N255&lt;=0,0,ROUND(N255*(1+IF(AND(N$6&gt;0,$B256&lt;N$6),N$4,N$5)/12),2))</f>
        <v/>
      </c>
    </row>
    <row r="257">
      <c r="A257" t="n">
        <v>246</v>
      </c>
      <c r="B257">
        <f>EDATE(Plan!$C$6,245)</f>
        <v/>
      </c>
      <c r="C257">
        <f>IF(C256&lt;=0,0,MAX(0,AH257-O257))</f>
        <v/>
      </c>
      <c r="D257">
        <f>IF(D256&lt;=0,0,MAX(0,AI257-P257))</f>
        <v/>
      </c>
      <c r="E257">
        <f>IF(E256&lt;=0,0,MAX(0,AJ257-Q257))</f>
        <v/>
      </c>
      <c r="F257">
        <f>IF(F256&lt;=0,0,MAX(0,AK257-R257))</f>
        <v/>
      </c>
      <c r="G257">
        <f>IF(G256&lt;=0,0,MAX(0,AL257-S257))</f>
        <v/>
      </c>
      <c r="H257">
        <f>IF(H256&lt;=0,0,MAX(0,AM257-T257))</f>
        <v/>
      </c>
      <c r="I257">
        <f>IF(I256&lt;=0,0,MAX(0,AN257-U257))</f>
        <v/>
      </c>
      <c r="J257">
        <f>IF(J256&lt;=0,0,MAX(0,AO257-V257))</f>
        <v/>
      </c>
      <c r="K257">
        <f>IF(K256&lt;=0,0,MAX(0,AP257-W257))</f>
        <v/>
      </c>
      <c r="L257">
        <f>IF(L256&lt;=0,0,MAX(0,AQ257-X257))</f>
        <v/>
      </c>
      <c r="M257">
        <f>IF(M256&lt;=0,0,MAX(0,AR257-Y257))</f>
        <v/>
      </c>
      <c r="N257">
        <f>IF(N256&lt;=0,0,MAX(0,AS257-Z257))</f>
        <v/>
      </c>
      <c r="O257">
        <f>IF(C256&lt;=0,0,MIN(AH257,C$7+IF(C$2=$AA257,$AC257,IF(C$2=$AF257,$AG257,0))))</f>
        <v/>
      </c>
      <c r="P257">
        <f>IF(D256&lt;=0,0,MIN(AI257,D$7+IF(D$2=$AA257,$AC257,IF(D$2=$AF257,$AG257,0))))</f>
        <v/>
      </c>
      <c r="Q257">
        <f>IF(E256&lt;=0,0,MIN(AJ257,E$7+IF(E$2=$AA257,$AC257,IF(E$2=$AF257,$AG257,0))))</f>
        <v/>
      </c>
      <c r="R257">
        <f>IF(F256&lt;=0,0,MIN(AK257,F$7+IF(F$2=$AA257,$AC257,IF(F$2=$AF257,$AG257,0))))</f>
        <v/>
      </c>
      <c r="S257">
        <f>IF(G256&lt;=0,0,MIN(AL257,G$7+IF(G$2=$AA257,$AC257,IF(G$2=$AF257,$AG257,0))))</f>
        <v/>
      </c>
      <c r="T257">
        <f>IF(H256&lt;=0,0,MIN(AM257,H$7+IF(H$2=$AA257,$AC257,IF(H$2=$AF257,$AG257,0))))</f>
        <v/>
      </c>
      <c r="U257">
        <f>IF(I256&lt;=0,0,MIN(AN257,I$7+IF(I$2=$AA257,$AC257,IF(I$2=$AF257,$AG257,0))))</f>
        <v/>
      </c>
      <c r="V257">
        <f>IF(J256&lt;=0,0,MIN(AO257,J$7+IF(J$2=$AA257,$AC257,IF(J$2=$AF257,$AG257,0))))</f>
        <v/>
      </c>
      <c r="W257">
        <f>IF(K256&lt;=0,0,MIN(AP257,K$7+IF(K$2=$AA257,$AC257,IF(K$2=$AF257,$AG257,0))))</f>
        <v/>
      </c>
      <c r="X257">
        <f>IF(L256&lt;=0,0,MIN(AQ257,L$7+IF(L$2=$AA257,$AC257,IF(L$2=$AF257,$AG257,0))))</f>
        <v/>
      </c>
      <c r="Y257">
        <f>IF(M256&lt;=0,0,MIN(AR257,M$7+IF(M$2=$AA257,$AC257,IF(M$2=$AF257,$AG257,0))))</f>
        <v/>
      </c>
      <c r="Z257">
        <f>IF(N256&lt;=0,0,MIN(AS257,N$7+IF(N$2=$AA257,$AC257,IF(N$2=$AF257,$AG257,0))))</f>
        <v/>
      </c>
      <c r="AA257">
        <f>IFERROR(ROUND(1/SUMPRODUCT(MAX((C256:N256&gt;0)*($C$3:$N$3&lt;=B257)/$C$2:$N$2)),0),0)</f>
        <v/>
      </c>
      <c r="AB257">
        <f>SUMPRODUCT((C256:N256&gt;0)*$C$7:$N$7)</f>
        <v/>
      </c>
      <c r="AC257">
        <f>MAX(0,Plan!$C$5-AB257)+IF(A257=Plan!$C$8,N(Plan!$C$7),0)</f>
        <v/>
      </c>
      <c r="AD257">
        <f>SUM(C257:N257)</f>
        <v/>
      </c>
      <c r="AE257">
        <f>SUM(O257:Z257)</f>
        <v/>
      </c>
      <c r="AF257">
        <f>IFERROR(ROUND(1/SUMPRODUCT(MAX((C256:N256&gt;0)*($C$3:$N$3&lt;=B257)*($C$2:$N$2&gt;AA257)/$C$2:$N$2)),0),0)</f>
        <v/>
      </c>
      <c r="AG257">
        <f>MAX(0,AC257-MAX(0,SUMPRODUCT(($C$2:$N$2=AA257)*(AH257:AS257-$C$7:$N$7))))</f>
        <v/>
      </c>
      <c r="AH257">
        <f>IF(C256&lt;=0,0,ROUND(C256*(1+IF(AND(C$6&gt;0,$B257&lt;C$6),C$4,C$5)/12),2))</f>
        <v/>
      </c>
      <c r="AI257">
        <f>IF(D256&lt;=0,0,ROUND(D256*(1+IF(AND(D$6&gt;0,$B257&lt;D$6),D$4,D$5)/12),2))</f>
        <v/>
      </c>
      <c r="AJ257">
        <f>IF(E256&lt;=0,0,ROUND(E256*(1+IF(AND(E$6&gt;0,$B257&lt;E$6),E$4,E$5)/12),2))</f>
        <v/>
      </c>
      <c r="AK257">
        <f>IF(F256&lt;=0,0,ROUND(F256*(1+IF(AND(F$6&gt;0,$B257&lt;F$6),F$4,F$5)/12),2))</f>
        <v/>
      </c>
      <c r="AL257">
        <f>IF(G256&lt;=0,0,ROUND(G256*(1+IF(AND(G$6&gt;0,$B257&lt;G$6),G$4,G$5)/12),2))</f>
        <v/>
      </c>
      <c r="AM257">
        <f>IF(H256&lt;=0,0,ROUND(H256*(1+IF(AND(H$6&gt;0,$B257&lt;H$6),H$4,H$5)/12),2))</f>
        <v/>
      </c>
      <c r="AN257">
        <f>IF(I256&lt;=0,0,ROUND(I256*(1+IF(AND(I$6&gt;0,$B257&lt;I$6),I$4,I$5)/12),2))</f>
        <v/>
      </c>
      <c r="AO257">
        <f>IF(J256&lt;=0,0,ROUND(J256*(1+IF(AND(J$6&gt;0,$B257&lt;J$6),J$4,J$5)/12),2))</f>
        <v/>
      </c>
      <c r="AP257">
        <f>IF(K256&lt;=0,0,ROUND(K256*(1+IF(AND(K$6&gt;0,$B257&lt;K$6),K$4,K$5)/12),2))</f>
        <v/>
      </c>
      <c r="AQ257">
        <f>IF(L256&lt;=0,0,ROUND(L256*(1+IF(AND(L$6&gt;0,$B257&lt;L$6),L$4,L$5)/12),2))</f>
        <v/>
      </c>
      <c r="AR257">
        <f>IF(M256&lt;=0,0,ROUND(M256*(1+IF(AND(M$6&gt;0,$B257&lt;M$6),M$4,M$5)/12),2))</f>
        <v/>
      </c>
      <c r="AS257">
        <f>IF(N256&lt;=0,0,ROUND(N256*(1+IF(AND(N$6&gt;0,$B257&lt;N$6),N$4,N$5)/12),2))</f>
        <v/>
      </c>
    </row>
    <row r="258">
      <c r="A258" t="n">
        <v>247</v>
      </c>
      <c r="B258">
        <f>EDATE(Plan!$C$6,246)</f>
        <v/>
      </c>
      <c r="C258">
        <f>IF(C257&lt;=0,0,MAX(0,AH258-O258))</f>
        <v/>
      </c>
      <c r="D258">
        <f>IF(D257&lt;=0,0,MAX(0,AI258-P258))</f>
        <v/>
      </c>
      <c r="E258">
        <f>IF(E257&lt;=0,0,MAX(0,AJ258-Q258))</f>
        <v/>
      </c>
      <c r="F258">
        <f>IF(F257&lt;=0,0,MAX(0,AK258-R258))</f>
        <v/>
      </c>
      <c r="G258">
        <f>IF(G257&lt;=0,0,MAX(0,AL258-S258))</f>
        <v/>
      </c>
      <c r="H258">
        <f>IF(H257&lt;=0,0,MAX(0,AM258-T258))</f>
        <v/>
      </c>
      <c r="I258">
        <f>IF(I257&lt;=0,0,MAX(0,AN258-U258))</f>
        <v/>
      </c>
      <c r="J258">
        <f>IF(J257&lt;=0,0,MAX(0,AO258-V258))</f>
        <v/>
      </c>
      <c r="K258">
        <f>IF(K257&lt;=0,0,MAX(0,AP258-W258))</f>
        <v/>
      </c>
      <c r="L258">
        <f>IF(L257&lt;=0,0,MAX(0,AQ258-X258))</f>
        <v/>
      </c>
      <c r="M258">
        <f>IF(M257&lt;=0,0,MAX(0,AR258-Y258))</f>
        <v/>
      </c>
      <c r="N258">
        <f>IF(N257&lt;=0,0,MAX(0,AS258-Z258))</f>
        <v/>
      </c>
      <c r="O258">
        <f>IF(C257&lt;=0,0,MIN(AH258,C$7+IF(C$2=$AA258,$AC258,IF(C$2=$AF258,$AG258,0))))</f>
        <v/>
      </c>
      <c r="P258">
        <f>IF(D257&lt;=0,0,MIN(AI258,D$7+IF(D$2=$AA258,$AC258,IF(D$2=$AF258,$AG258,0))))</f>
        <v/>
      </c>
      <c r="Q258">
        <f>IF(E257&lt;=0,0,MIN(AJ258,E$7+IF(E$2=$AA258,$AC258,IF(E$2=$AF258,$AG258,0))))</f>
        <v/>
      </c>
      <c r="R258">
        <f>IF(F257&lt;=0,0,MIN(AK258,F$7+IF(F$2=$AA258,$AC258,IF(F$2=$AF258,$AG258,0))))</f>
        <v/>
      </c>
      <c r="S258">
        <f>IF(G257&lt;=0,0,MIN(AL258,G$7+IF(G$2=$AA258,$AC258,IF(G$2=$AF258,$AG258,0))))</f>
        <v/>
      </c>
      <c r="T258">
        <f>IF(H257&lt;=0,0,MIN(AM258,H$7+IF(H$2=$AA258,$AC258,IF(H$2=$AF258,$AG258,0))))</f>
        <v/>
      </c>
      <c r="U258">
        <f>IF(I257&lt;=0,0,MIN(AN258,I$7+IF(I$2=$AA258,$AC258,IF(I$2=$AF258,$AG258,0))))</f>
        <v/>
      </c>
      <c r="V258">
        <f>IF(J257&lt;=0,0,MIN(AO258,J$7+IF(J$2=$AA258,$AC258,IF(J$2=$AF258,$AG258,0))))</f>
        <v/>
      </c>
      <c r="W258">
        <f>IF(K257&lt;=0,0,MIN(AP258,K$7+IF(K$2=$AA258,$AC258,IF(K$2=$AF258,$AG258,0))))</f>
        <v/>
      </c>
      <c r="X258">
        <f>IF(L257&lt;=0,0,MIN(AQ258,L$7+IF(L$2=$AA258,$AC258,IF(L$2=$AF258,$AG258,0))))</f>
        <v/>
      </c>
      <c r="Y258">
        <f>IF(M257&lt;=0,0,MIN(AR258,M$7+IF(M$2=$AA258,$AC258,IF(M$2=$AF258,$AG258,0))))</f>
        <v/>
      </c>
      <c r="Z258">
        <f>IF(N257&lt;=0,0,MIN(AS258,N$7+IF(N$2=$AA258,$AC258,IF(N$2=$AF258,$AG258,0))))</f>
        <v/>
      </c>
      <c r="AA258">
        <f>IFERROR(ROUND(1/SUMPRODUCT(MAX((C257:N257&gt;0)*($C$3:$N$3&lt;=B258)/$C$2:$N$2)),0),0)</f>
        <v/>
      </c>
      <c r="AB258">
        <f>SUMPRODUCT((C257:N257&gt;0)*$C$7:$N$7)</f>
        <v/>
      </c>
      <c r="AC258">
        <f>MAX(0,Plan!$C$5-AB258)+IF(A258=Plan!$C$8,N(Plan!$C$7),0)</f>
        <v/>
      </c>
      <c r="AD258">
        <f>SUM(C258:N258)</f>
        <v/>
      </c>
      <c r="AE258">
        <f>SUM(O258:Z258)</f>
        <v/>
      </c>
      <c r="AF258">
        <f>IFERROR(ROUND(1/SUMPRODUCT(MAX((C257:N257&gt;0)*($C$3:$N$3&lt;=B258)*($C$2:$N$2&gt;AA258)/$C$2:$N$2)),0),0)</f>
        <v/>
      </c>
      <c r="AG258">
        <f>MAX(0,AC258-MAX(0,SUMPRODUCT(($C$2:$N$2=AA258)*(AH258:AS258-$C$7:$N$7))))</f>
        <v/>
      </c>
      <c r="AH258">
        <f>IF(C257&lt;=0,0,ROUND(C257*(1+IF(AND(C$6&gt;0,$B258&lt;C$6),C$4,C$5)/12),2))</f>
        <v/>
      </c>
      <c r="AI258">
        <f>IF(D257&lt;=0,0,ROUND(D257*(1+IF(AND(D$6&gt;0,$B258&lt;D$6),D$4,D$5)/12),2))</f>
        <v/>
      </c>
      <c r="AJ258">
        <f>IF(E257&lt;=0,0,ROUND(E257*(1+IF(AND(E$6&gt;0,$B258&lt;E$6),E$4,E$5)/12),2))</f>
        <v/>
      </c>
      <c r="AK258">
        <f>IF(F257&lt;=0,0,ROUND(F257*(1+IF(AND(F$6&gt;0,$B258&lt;F$6),F$4,F$5)/12),2))</f>
        <v/>
      </c>
      <c r="AL258">
        <f>IF(G257&lt;=0,0,ROUND(G257*(1+IF(AND(G$6&gt;0,$B258&lt;G$6),G$4,G$5)/12),2))</f>
        <v/>
      </c>
      <c r="AM258">
        <f>IF(H257&lt;=0,0,ROUND(H257*(1+IF(AND(H$6&gt;0,$B258&lt;H$6),H$4,H$5)/12),2))</f>
        <v/>
      </c>
      <c r="AN258">
        <f>IF(I257&lt;=0,0,ROUND(I257*(1+IF(AND(I$6&gt;0,$B258&lt;I$6),I$4,I$5)/12),2))</f>
        <v/>
      </c>
      <c r="AO258">
        <f>IF(J257&lt;=0,0,ROUND(J257*(1+IF(AND(J$6&gt;0,$B258&lt;J$6),J$4,J$5)/12),2))</f>
        <v/>
      </c>
      <c r="AP258">
        <f>IF(K257&lt;=0,0,ROUND(K257*(1+IF(AND(K$6&gt;0,$B258&lt;K$6),K$4,K$5)/12),2))</f>
        <v/>
      </c>
      <c r="AQ258">
        <f>IF(L257&lt;=0,0,ROUND(L257*(1+IF(AND(L$6&gt;0,$B258&lt;L$6),L$4,L$5)/12),2))</f>
        <v/>
      </c>
      <c r="AR258">
        <f>IF(M257&lt;=0,0,ROUND(M257*(1+IF(AND(M$6&gt;0,$B258&lt;M$6),M$4,M$5)/12),2))</f>
        <v/>
      </c>
      <c r="AS258">
        <f>IF(N257&lt;=0,0,ROUND(N257*(1+IF(AND(N$6&gt;0,$B258&lt;N$6),N$4,N$5)/12),2))</f>
        <v/>
      </c>
    </row>
    <row r="259">
      <c r="A259" t="n">
        <v>248</v>
      </c>
      <c r="B259">
        <f>EDATE(Plan!$C$6,247)</f>
        <v/>
      </c>
      <c r="C259">
        <f>IF(C258&lt;=0,0,MAX(0,AH259-O259))</f>
        <v/>
      </c>
      <c r="D259">
        <f>IF(D258&lt;=0,0,MAX(0,AI259-P259))</f>
        <v/>
      </c>
      <c r="E259">
        <f>IF(E258&lt;=0,0,MAX(0,AJ259-Q259))</f>
        <v/>
      </c>
      <c r="F259">
        <f>IF(F258&lt;=0,0,MAX(0,AK259-R259))</f>
        <v/>
      </c>
      <c r="G259">
        <f>IF(G258&lt;=0,0,MAX(0,AL259-S259))</f>
        <v/>
      </c>
      <c r="H259">
        <f>IF(H258&lt;=0,0,MAX(0,AM259-T259))</f>
        <v/>
      </c>
      <c r="I259">
        <f>IF(I258&lt;=0,0,MAX(0,AN259-U259))</f>
        <v/>
      </c>
      <c r="J259">
        <f>IF(J258&lt;=0,0,MAX(0,AO259-V259))</f>
        <v/>
      </c>
      <c r="K259">
        <f>IF(K258&lt;=0,0,MAX(0,AP259-W259))</f>
        <v/>
      </c>
      <c r="L259">
        <f>IF(L258&lt;=0,0,MAX(0,AQ259-X259))</f>
        <v/>
      </c>
      <c r="M259">
        <f>IF(M258&lt;=0,0,MAX(0,AR259-Y259))</f>
        <v/>
      </c>
      <c r="N259">
        <f>IF(N258&lt;=0,0,MAX(0,AS259-Z259))</f>
        <v/>
      </c>
      <c r="O259">
        <f>IF(C258&lt;=0,0,MIN(AH259,C$7+IF(C$2=$AA259,$AC259,IF(C$2=$AF259,$AG259,0))))</f>
        <v/>
      </c>
      <c r="P259">
        <f>IF(D258&lt;=0,0,MIN(AI259,D$7+IF(D$2=$AA259,$AC259,IF(D$2=$AF259,$AG259,0))))</f>
        <v/>
      </c>
      <c r="Q259">
        <f>IF(E258&lt;=0,0,MIN(AJ259,E$7+IF(E$2=$AA259,$AC259,IF(E$2=$AF259,$AG259,0))))</f>
        <v/>
      </c>
      <c r="R259">
        <f>IF(F258&lt;=0,0,MIN(AK259,F$7+IF(F$2=$AA259,$AC259,IF(F$2=$AF259,$AG259,0))))</f>
        <v/>
      </c>
      <c r="S259">
        <f>IF(G258&lt;=0,0,MIN(AL259,G$7+IF(G$2=$AA259,$AC259,IF(G$2=$AF259,$AG259,0))))</f>
        <v/>
      </c>
      <c r="T259">
        <f>IF(H258&lt;=0,0,MIN(AM259,H$7+IF(H$2=$AA259,$AC259,IF(H$2=$AF259,$AG259,0))))</f>
        <v/>
      </c>
      <c r="U259">
        <f>IF(I258&lt;=0,0,MIN(AN259,I$7+IF(I$2=$AA259,$AC259,IF(I$2=$AF259,$AG259,0))))</f>
        <v/>
      </c>
      <c r="V259">
        <f>IF(J258&lt;=0,0,MIN(AO259,J$7+IF(J$2=$AA259,$AC259,IF(J$2=$AF259,$AG259,0))))</f>
        <v/>
      </c>
      <c r="W259">
        <f>IF(K258&lt;=0,0,MIN(AP259,K$7+IF(K$2=$AA259,$AC259,IF(K$2=$AF259,$AG259,0))))</f>
        <v/>
      </c>
      <c r="X259">
        <f>IF(L258&lt;=0,0,MIN(AQ259,L$7+IF(L$2=$AA259,$AC259,IF(L$2=$AF259,$AG259,0))))</f>
        <v/>
      </c>
      <c r="Y259">
        <f>IF(M258&lt;=0,0,MIN(AR259,M$7+IF(M$2=$AA259,$AC259,IF(M$2=$AF259,$AG259,0))))</f>
        <v/>
      </c>
      <c r="Z259">
        <f>IF(N258&lt;=0,0,MIN(AS259,N$7+IF(N$2=$AA259,$AC259,IF(N$2=$AF259,$AG259,0))))</f>
        <v/>
      </c>
      <c r="AA259">
        <f>IFERROR(ROUND(1/SUMPRODUCT(MAX((C258:N258&gt;0)*($C$3:$N$3&lt;=B259)/$C$2:$N$2)),0),0)</f>
        <v/>
      </c>
      <c r="AB259">
        <f>SUMPRODUCT((C258:N258&gt;0)*$C$7:$N$7)</f>
        <v/>
      </c>
      <c r="AC259">
        <f>MAX(0,Plan!$C$5-AB259)+IF(A259=Plan!$C$8,N(Plan!$C$7),0)</f>
        <v/>
      </c>
      <c r="AD259">
        <f>SUM(C259:N259)</f>
        <v/>
      </c>
      <c r="AE259">
        <f>SUM(O259:Z259)</f>
        <v/>
      </c>
      <c r="AF259">
        <f>IFERROR(ROUND(1/SUMPRODUCT(MAX((C258:N258&gt;0)*($C$3:$N$3&lt;=B259)*($C$2:$N$2&gt;AA259)/$C$2:$N$2)),0),0)</f>
        <v/>
      </c>
      <c r="AG259">
        <f>MAX(0,AC259-MAX(0,SUMPRODUCT(($C$2:$N$2=AA259)*(AH259:AS259-$C$7:$N$7))))</f>
        <v/>
      </c>
      <c r="AH259">
        <f>IF(C258&lt;=0,0,ROUND(C258*(1+IF(AND(C$6&gt;0,$B259&lt;C$6),C$4,C$5)/12),2))</f>
        <v/>
      </c>
      <c r="AI259">
        <f>IF(D258&lt;=0,0,ROUND(D258*(1+IF(AND(D$6&gt;0,$B259&lt;D$6),D$4,D$5)/12),2))</f>
        <v/>
      </c>
      <c r="AJ259">
        <f>IF(E258&lt;=0,0,ROUND(E258*(1+IF(AND(E$6&gt;0,$B259&lt;E$6),E$4,E$5)/12),2))</f>
        <v/>
      </c>
      <c r="AK259">
        <f>IF(F258&lt;=0,0,ROUND(F258*(1+IF(AND(F$6&gt;0,$B259&lt;F$6),F$4,F$5)/12),2))</f>
        <v/>
      </c>
      <c r="AL259">
        <f>IF(G258&lt;=0,0,ROUND(G258*(1+IF(AND(G$6&gt;0,$B259&lt;G$6),G$4,G$5)/12),2))</f>
        <v/>
      </c>
      <c r="AM259">
        <f>IF(H258&lt;=0,0,ROUND(H258*(1+IF(AND(H$6&gt;0,$B259&lt;H$6),H$4,H$5)/12),2))</f>
        <v/>
      </c>
      <c r="AN259">
        <f>IF(I258&lt;=0,0,ROUND(I258*(1+IF(AND(I$6&gt;0,$B259&lt;I$6),I$4,I$5)/12),2))</f>
        <v/>
      </c>
      <c r="AO259">
        <f>IF(J258&lt;=0,0,ROUND(J258*(1+IF(AND(J$6&gt;0,$B259&lt;J$6),J$4,J$5)/12),2))</f>
        <v/>
      </c>
      <c r="AP259">
        <f>IF(K258&lt;=0,0,ROUND(K258*(1+IF(AND(K$6&gt;0,$B259&lt;K$6),K$4,K$5)/12),2))</f>
        <v/>
      </c>
      <c r="AQ259">
        <f>IF(L258&lt;=0,0,ROUND(L258*(1+IF(AND(L$6&gt;0,$B259&lt;L$6),L$4,L$5)/12),2))</f>
        <v/>
      </c>
      <c r="AR259">
        <f>IF(M258&lt;=0,0,ROUND(M258*(1+IF(AND(M$6&gt;0,$B259&lt;M$6),M$4,M$5)/12),2))</f>
        <v/>
      </c>
      <c r="AS259">
        <f>IF(N258&lt;=0,0,ROUND(N258*(1+IF(AND(N$6&gt;0,$B259&lt;N$6),N$4,N$5)/12),2))</f>
        <v/>
      </c>
    </row>
    <row r="260">
      <c r="A260" t="n">
        <v>249</v>
      </c>
      <c r="B260">
        <f>EDATE(Plan!$C$6,248)</f>
        <v/>
      </c>
      <c r="C260">
        <f>IF(C259&lt;=0,0,MAX(0,AH260-O260))</f>
        <v/>
      </c>
      <c r="D260">
        <f>IF(D259&lt;=0,0,MAX(0,AI260-P260))</f>
        <v/>
      </c>
      <c r="E260">
        <f>IF(E259&lt;=0,0,MAX(0,AJ260-Q260))</f>
        <v/>
      </c>
      <c r="F260">
        <f>IF(F259&lt;=0,0,MAX(0,AK260-R260))</f>
        <v/>
      </c>
      <c r="G260">
        <f>IF(G259&lt;=0,0,MAX(0,AL260-S260))</f>
        <v/>
      </c>
      <c r="H260">
        <f>IF(H259&lt;=0,0,MAX(0,AM260-T260))</f>
        <v/>
      </c>
      <c r="I260">
        <f>IF(I259&lt;=0,0,MAX(0,AN260-U260))</f>
        <v/>
      </c>
      <c r="J260">
        <f>IF(J259&lt;=0,0,MAX(0,AO260-V260))</f>
        <v/>
      </c>
      <c r="K260">
        <f>IF(K259&lt;=0,0,MAX(0,AP260-W260))</f>
        <v/>
      </c>
      <c r="L260">
        <f>IF(L259&lt;=0,0,MAX(0,AQ260-X260))</f>
        <v/>
      </c>
      <c r="M260">
        <f>IF(M259&lt;=0,0,MAX(0,AR260-Y260))</f>
        <v/>
      </c>
      <c r="N260">
        <f>IF(N259&lt;=0,0,MAX(0,AS260-Z260))</f>
        <v/>
      </c>
      <c r="O260">
        <f>IF(C259&lt;=0,0,MIN(AH260,C$7+IF(C$2=$AA260,$AC260,IF(C$2=$AF260,$AG260,0))))</f>
        <v/>
      </c>
      <c r="P260">
        <f>IF(D259&lt;=0,0,MIN(AI260,D$7+IF(D$2=$AA260,$AC260,IF(D$2=$AF260,$AG260,0))))</f>
        <v/>
      </c>
      <c r="Q260">
        <f>IF(E259&lt;=0,0,MIN(AJ260,E$7+IF(E$2=$AA260,$AC260,IF(E$2=$AF260,$AG260,0))))</f>
        <v/>
      </c>
      <c r="R260">
        <f>IF(F259&lt;=0,0,MIN(AK260,F$7+IF(F$2=$AA260,$AC260,IF(F$2=$AF260,$AG260,0))))</f>
        <v/>
      </c>
      <c r="S260">
        <f>IF(G259&lt;=0,0,MIN(AL260,G$7+IF(G$2=$AA260,$AC260,IF(G$2=$AF260,$AG260,0))))</f>
        <v/>
      </c>
      <c r="T260">
        <f>IF(H259&lt;=0,0,MIN(AM260,H$7+IF(H$2=$AA260,$AC260,IF(H$2=$AF260,$AG260,0))))</f>
        <v/>
      </c>
      <c r="U260">
        <f>IF(I259&lt;=0,0,MIN(AN260,I$7+IF(I$2=$AA260,$AC260,IF(I$2=$AF260,$AG260,0))))</f>
        <v/>
      </c>
      <c r="V260">
        <f>IF(J259&lt;=0,0,MIN(AO260,J$7+IF(J$2=$AA260,$AC260,IF(J$2=$AF260,$AG260,0))))</f>
        <v/>
      </c>
      <c r="W260">
        <f>IF(K259&lt;=0,0,MIN(AP260,K$7+IF(K$2=$AA260,$AC260,IF(K$2=$AF260,$AG260,0))))</f>
        <v/>
      </c>
      <c r="X260">
        <f>IF(L259&lt;=0,0,MIN(AQ260,L$7+IF(L$2=$AA260,$AC260,IF(L$2=$AF260,$AG260,0))))</f>
        <v/>
      </c>
      <c r="Y260">
        <f>IF(M259&lt;=0,0,MIN(AR260,M$7+IF(M$2=$AA260,$AC260,IF(M$2=$AF260,$AG260,0))))</f>
        <v/>
      </c>
      <c r="Z260">
        <f>IF(N259&lt;=0,0,MIN(AS260,N$7+IF(N$2=$AA260,$AC260,IF(N$2=$AF260,$AG260,0))))</f>
        <v/>
      </c>
      <c r="AA260">
        <f>IFERROR(ROUND(1/SUMPRODUCT(MAX((C259:N259&gt;0)*($C$3:$N$3&lt;=B260)/$C$2:$N$2)),0),0)</f>
        <v/>
      </c>
      <c r="AB260">
        <f>SUMPRODUCT((C259:N259&gt;0)*$C$7:$N$7)</f>
        <v/>
      </c>
      <c r="AC260">
        <f>MAX(0,Plan!$C$5-AB260)+IF(A260=Plan!$C$8,N(Plan!$C$7),0)</f>
        <v/>
      </c>
      <c r="AD260">
        <f>SUM(C260:N260)</f>
        <v/>
      </c>
      <c r="AE260">
        <f>SUM(O260:Z260)</f>
        <v/>
      </c>
      <c r="AF260">
        <f>IFERROR(ROUND(1/SUMPRODUCT(MAX((C259:N259&gt;0)*($C$3:$N$3&lt;=B260)*($C$2:$N$2&gt;AA260)/$C$2:$N$2)),0),0)</f>
        <v/>
      </c>
      <c r="AG260">
        <f>MAX(0,AC260-MAX(0,SUMPRODUCT(($C$2:$N$2=AA260)*(AH260:AS260-$C$7:$N$7))))</f>
        <v/>
      </c>
      <c r="AH260">
        <f>IF(C259&lt;=0,0,ROUND(C259*(1+IF(AND(C$6&gt;0,$B260&lt;C$6),C$4,C$5)/12),2))</f>
        <v/>
      </c>
      <c r="AI260">
        <f>IF(D259&lt;=0,0,ROUND(D259*(1+IF(AND(D$6&gt;0,$B260&lt;D$6),D$4,D$5)/12),2))</f>
        <v/>
      </c>
      <c r="AJ260">
        <f>IF(E259&lt;=0,0,ROUND(E259*(1+IF(AND(E$6&gt;0,$B260&lt;E$6),E$4,E$5)/12),2))</f>
        <v/>
      </c>
      <c r="AK260">
        <f>IF(F259&lt;=0,0,ROUND(F259*(1+IF(AND(F$6&gt;0,$B260&lt;F$6),F$4,F$5)/12),2))</f>
        <v/>
      </c>
      <c r="AL260">
        <f>IF(G259&lt;=0,0,ROUND(G259*(1+IF(AND(G$6&gt;0,$B260&lt;G$6),G$4,G$5)/12),2))</f>
        <v/>
      </c>
      <c r="AM260">
        <f>IF(H259&lt;=0,0,ROUND(H259*(1+IF(AND(H$6&gt;0,$B260&lt;H$6),H$4,H$5)/12),2))</f>
        <v/>
      </c>
      <c r="AN260">
        <f>IF(I259&lt;=0,0,ROUND(I259*(1+IF(AND(I$6&gt;0,$B260&lt;I$6),I$4,I$5)/12),2))</f>
        <v/>
      </c>
      <c r="AO260">
        <f>IF(J259&lt;=0,0,ROUND(J259*(1+IF(AND(J$6&gt;0,$B260&lt;J$6),J$4,J$5)/12),2))</f>
        <v/>
      </c>
      <c r="AP260">
        <f>IF(K259&lt;=0,0,ROUND(K259*(1+IF(AND(K$6&gt;0,$B260&lt;K$6),K$4,K$5)/12),2))</f>
        <v/>
      </c>
      <c r="AQ260">
        <f>IF(L259&lt;=0,0,ROUND(L259*(1+IF(AND(L$6&gt;0,$B260&lt;L$6),L$4,L$5)/12),2))</f>
        <v/>
      </c>
      <c r="AR260">
        <f>IF(M259&lt;=0,0,ROUND(M259*(1+IF(AND(M$6&gt;0,$B260&lt;M$6),M$4,M$5)/12),2))</f>
        <v/>
      </c>
      <c r="AS260">
        <f>IF(N259&lt;=0,0,ROUND(N259*(1+IF(AND(N$6&gt;0,$B260&lt;N$6),N$4,N$5)/12),2))</f>
        <v/>
      </c>
    </row>
    <row r="261">
      <c r="A261" t="n">
        <v>250</v>
      </c>
      <c r="B261">
        <f>EDATE(Plan!$C$6,249)</f>
        <v/>
      </c>
      <c r="C261">
        <f>IF(C260&lt;=0,0,MAX(0,AH261-O261))</f>
        <v/>
      </c>
      <c r="D261">
        <f>IF(D260&lt;=0,0,MAX(0,AI261-P261))</f>
        <v/>
      </c>
      <c r="E261">
        <f>IF(E260&lt;=0,0,MAX(0,AJ261-Q261))</f>
        <v/>
      </c>
      <c r="F261">
        <f>IF(F260&lt;=0,0,MAX(0,AK261-R261))</f>
        <v/>
      </c>
      <c r="G261">
        <f>IF(G260&lt;=0,0,MAX(0,AL261-S261))</f>
        <v/>
      </c>
      <c r="H261">
        <f>IF(H260&lt;=0,0,MAX(0,AM261-T261))</f>
        <v/>
      </c>
      <c r="I261">
        <f>IF(I260&lt;=0,0,MAX(0,AN261-U261))</f>
        <v/>
      </c>
      <c r="J261">
        <f>IF(J260&lt;=0,0,MAX(0,AO261-V261))</f>
        <v/>
      </c>
      <c r="K261">
        <f>IF(K260&lt;=0,0,MAX(0,AP261-W261))</f>
        <v/>
      </c>
      <c r="L261">
        <f>IF(L260&lt;=0,0,MAX(0,AQ261-X261))</f>
        <v/>
      </c>
      <c r="M261">
        <f>IF(M260&lt;=0,0,MAX(0,AR261-Y261))</f>
        <v/>
      </c>
      <c r="N261">
        <f>IF(N260&lt;=0,0,MAX(0,AS261-Z261))</f>
        <v/>
      </c>
      <c r="O261">
        <f>IF(C260&lt;=0,0,MIN(AH261,C$7+IF(C$2=$AA261,$AC261,IF(C$2=$AF261,$AG261,0))))</f>
        <v/>
      </c>
      <c r="P261">
        <f>IF(D260&lt;=0,0,MIN(AI261,D$7+IF(D$2=$AA261,$AC261,IF(D$2=$AF261,$AG261,0))))</f>
        <v/>
      </c>
      <c r="Q261">
        <f>IF(E260&lt;=0,0,MIN(AJ261,E$7+IF(E$2=$AA261,$AC261,IF(E$2=$AF261,$AG261,0))))</f>
        <v/>
      </c>
      <c r="R261">
        <f>IF(F260&lt;=0,0,MIN(AK261,F$7+IF(F$2=$AA261,$AC261,IF(F$2=$AF261,$AG261,0))))</f>
        <v/>
      </c>
      <c r="S261">
        <f>IF(G260&lt;=0,0,MIN(AL261,G$7+IF(G$2=$AA261,$AC261,IF(G$2=$AF261,$AG261,0))))</f>
        <v/>
      </c>
      <c r="T261">
        <f>IF(H260&lt;=0,0,MIN(AM261,H$7+IF(H$2=$AA261,$AC261,IF(H$2=$AF261,$AG261,0))))</f>
        <v/>
      </c>
      <c r="U261">
        <f>IF(I260&lt;=0,0,MIN(AN261,I$7+IF(I$2=$AA261,$AC261,IF(I$2=$AF261,$AG261,0))))</f>
        <v/>
      </c>
      <c r="V261">
        <f>IF(J260&lt;=0,0,MIN(AO261,J$7+IF(J$2=$AA261,$AC261,IF(J$2=$AF261,$AG261,0))))</f>
        <v/>
      </c>
      <c r="W261">
        <f>IF(K260&lt;=0,0,MIN(AP261,K$7+IF(K$2=$AA261,$AC261,IF(K$2=$AF261,$AG261,0))))</f>
        <v/>
      </c>
      <c r="X261">
        <f>IF(L260&lt;=0,0,MIN(AQ261,L$7+IF(L$2=$AA261,$AC261,IF(L$2=$AF261,$AG261,0))))</f>
        <v/>
      </c>
      <c r="Y261">
        <f>IF(M260&lt;=0,0,MIN(AR261,M$7+IF(M$2=$AA261,$AC261,IF(M$2=$AF261,$AG261,0))))</f>
        <v/>
      </c>
      <c r="Z261">
        <f>IF(N260&lt;=0,0,MIN(AS261,N$7+IF(N$2=$AA261,$AC261,IF(N$2=$AF261,$AG261,0))))</f>
        <v/>
      </c>
      <c r="AA261">
        <f>IFERROR(ROUND(1/SUMPRODUCT(MAX((C260:N260&gt;0)*($C$3:$N$3&lt;=B261)/$C$2:$N$2)),0),0)</f>
        <v/>
      </c>
      <c r="AB261">
        <f>SUMPRODUCT((C260:N260&gt;0)*$C$7:$N$7)</f>
        <v/>
      </c>
      <c r="AC261">
        <f>MAX(0,Plan!$C$5-AB261)+IF(A261=Plan!$C$8,N(Plan!$C$7),0)</f>
        <v/>
      </c>
      <c r="AD261">
        <f>SUM(C261:N261)</f>
        <v/>
      </c>
      <c r="AE261">
        <f>SUM(O261:Z261)</f>
        <v/>
      </c>
      <c r="AF261">
        <f>IFERROR(ROUND(1/SUMPRODUCT(MAX((C260:N260&gt;0)*($C$3:$N$3&lt;=B261)*($C$2:$N$2&gt;AA261)/$C$2:$N$2)),0),0)</f>
        <v/>
      </c>
      <c r="AG261">
        <f>MAX(0,AC261-MAX(0,SUMPRODUCT(($C$2:$N$2=AA261)*(AH261:AS261-$C$7:$N$7))))</f>
        <v/>
      </c>
      <c r="AH261">
        <f>IF(C260&lt;=0,0,ROUND(C260*(1+IF(AND(C$6&gt;0,$B261&lt;C$6),C$4,C$5)/12),2))</f>
        <v/>
      </c>
      <c r="AI261">
        <f>IF(D260&lt;=0,0,ROUND(D260*(1+IF(AND(D$6&gt;0,$B261&lt;D$6),D$4,D$5)/12),2))</f>
        <v/>
      </c>
      <c r="AJ261">
        <f>IF(E260&lt;=0,0,ROUND(E260*(1+IF(AND(E$6&gt;0,$B261&lt;E$6),E$4,E$5)/12),2))</f>
        <v/>
      </c>
      <c r="AK261">
        <f>IF(F260&lt;=0,0,ROUND(F260*(1+IF(AND(F$6&gt;0,$B261&lt;F$6),F$4,F$5)/12),2))</f>
        <v/>
      </c>
      <c r="AL261">
        <f>IF(G260&lt;=0,0,ROUND(G260*(1+IF(AND(G$6&gt;0,$B261&lt;G$6),G$4,G$5)/12),2))</f>
        <v/>
      </c>
      <c r="AM261">
        <f>IF(H260&lt;=0,0,ROUND(H260*(1+IF(AND(H$6&gt;0,$B261&lt;H$6),H$4,H$5)/12),2))</f>
        <v/>
      </c>
      <c r="AN261">
        <f>IF(I260&lt;=0,0,ROUND(I260*(1+IF(AND(I$6&gt;0,$B261&lt;I$6),I$4,I$5)/12),2))</f>
        <v/>
      </c>
      <c r="AO261">
        <f>IF(J260&lt;=0,0,ROUND(J260*(1+IF(AND(J$6&gt;0,$B261&lt;J$6),J$4,J$5)/12),2))</f>
        <v/>
      </c>
      <c r="AP261">
        <f>IF(K260&lt;=0,0,ROUND(K260*(1+IF(AND(K$6&gt;0,$B261&lt;K$6),K$4,K$5)/12),2))</f>
        <v/>
      </c>
      <c r="AQ261">
        <f>IF(L260&lt;=0,0,ROUND(L260*(1+IF(AND(L$6&gt;0,$B261&lt;L$6),L$4,L$5)/12),2))</f>
        <v/>
      </c>
      <c r="AR261">
        <f>IF(M260&lt;=0,0,ROUND(M260*(1+IF(AND(M$6&gt;0,$B261&lt;M$6),M$4,M$5)/12),2))</f>
        <v/>
      </c>
      <c r="AS261">
        <f>IF(N260&lt;=0,0,ROUND(N260*(1+IF(AND(N$6&gt;0,$B261&lt;N$6),N$4,N$5)/12),2))</f>
        <v/>
      </c>
    </row>
    <row r="262">
      <c r="A262" t="n">
        <v>251</v>
      </c>
      <c r="B262">
        <f>EDATE(Plan!$C$6,250)</f>
        <v/>
      </c>
      <c r="C262">
        <f>IF(C261&lt;=0,0,MAX(0,AH262-O262))</f>
        <v/>
      </c>
      <c r="D262">
        <f>IF(D261&lt;=0,0,MAX(0,AI262-P262))</f>
        <v/>
      </c>
      <c r="E262">
        <f>IF(E261&lt;=0,0,MAX(0,AJ262-Q262))</f>
        <v/>
      </c>
      <c r="F262">
        <f>IF(F261&lt;=0,0,MAX(0,AK262-R262))</f>
        <v/>
      </c>
      <c r="G262">
        <f>IF(G261&lt;=0,0,MAX(0,AL262-S262))</f>
        <v/>
      </c>
      <c r="H262">
        <f>IF(H261&lt;=0,0,MAX(0,AM262-T262))</f>
        <v/>
      </c>
      <c r="I262">
        <f>IF(I261&lt;=0,0,MAX(0,AN262-U262))</f>
        <v/>
      </c>
      <c r="J262">
        <f>IF(J261&lt;=0,0,MAX(0,AO262-V262))</f>
        <v/>
      </c>
      <c r="K262">
        <f>IF(K261&lt;=0,0,MAX(0,AP262-W262))</f>
        <v/>
      </c>
      <c r="L262">
        <f>IF(L261&lt;=0,0,MAX(0,AQ262-X262))</f>
        <v/>
      </c>
      <c r="M262">
        <f>IF(M261&lt;=0,0,MAX(0,AR262-Y262))</f>
        <v/>
      </c>
      <c r="N262">
        <f>IF(N261&lt;=0,0,MAX(0,AS262-Z262))</f>
        <v/>
      </c>
      <c r="O262">
        <f>IF(C261&lt;=0,0,MIN(AH262,C$7+IF(C$2=$AA262,$AC262,IF(C$2=$AF262,$AG262,0))))</f>
        <v/>
      </c>
      <c r="P262">
        <f>IF(D261&lt;=0,0,MIN(AI262,D$7+IF(D$2=$AA262,$AC262,IF(D$2=$AF262,$AG262,0))))</f>
        <v/>
      </c>
      <c r="Q262">
        <f>IF(E261&lt;=0,0,MIN(AJ262,E$7+IF(E$2=$AA262,$AC262,IF(E$2=$AF262,$AG262,0))))</f>
        <v/>
      </c>
      <c r="R262">
        <f>IF(F261&lt;=0,0,MIN(AK262,F$7+IF(F$2=$AA262,$AC262,IF(F$2=$AF262,$AG262,0))))</f>
        <v/>
      </c>
      <c r="S262">
        <f>IF(G261&lt;=0,0,MIN(AL262,G$7+IF(G$2=$AA262,$AC262,IF(G$2=$AF262,$AG262,0))))</f>
        <v/>
      </c>
      <c r="T262">
        <f>IF(H261&lt;=0,0,MIN(AM262,H$7+IF(H$2=$AA262,$AC262,IF(H$2=$AF262,$AG262,0))))</f>
        <v/>
      </c>
      <c r="U262">
        <f>IF(I261&lt;=0,0,MIN(AN262,I$7+IF(I$2=$AA262,$AC262,IF(I$2=$AF262,$AG262,0))))</f>
        <v/>
      </c>
      <c r="V262">
        <f>IF(J261&lt;=0,0,MIN(AO262,J$7+IF(J$2=$AA262,$AC262,IF(J$2=$AF262,$AG262,0))))</f>
        <v/>
      </c>
      <c r="W262">
        <f>IF(K261&lt;=0,0,MIN(AP262,K$7+IF(K$2=$AA262,$AC262,IF(K$2=$AF262,$AG262,0))))</f>
        <v/>
      </c>
      <c r="X262">
        <f>IF(L261&lt;=0,0,MIN(AQ262,L$7+IF(L$2=$AA262,$AC262,IF(L$2=$AF262,$AG262,0))))</f>
        <v/>
      </c>
      <c r="Y262">
        <f>IF(M261&lt;=0,0,MIN(AR262,M$7+IF(M$2=$AA262,$AC262,IF(M$2=$AF262,$AG262,0))))</f>
        <v/>
      </c>
      <c r="Z262">
        <f>IF(N261&lt;=0,0,MIN(AS262,N$7+IF(N$2=$AA262,$AC262,IF(N$2=$AF262,$AG262,0))))</f>
        <v/>
      </c>
      <c r="AA262">
        <f>IFERROR(ROUND(1/SUMPRODUCT(MAX((C261:N261&gt;0)*($C$3:$N$3&lt;=B262)/$C$2:$N$2)),0),0)</f>
        <v/>
      </c>
      <c r="AB262">
        <f>SUMPRODUCT((C261:N261&gt;0)*$C$7:$N$7)</f>
        <v/>
      </c>
      <c r="AC262">
        <f>MAX(0,Plan!$C$5-AB262)+IF(A262=Plan!$C$8,N(Plan!$C$7),0)</f>
        <v/>
      </c>
      <c r="AD262">
        <f>SUM(C262:N262)</f>
        <v/>
      </c>
      <c r="AE262">
        <f>SUM(O262:Z262)</f>
        <v/>
      </c>
      <c r="AF262">
        <f>IFERROR(ROUND(1/SUMPRODUCT(MAX((C261:N261&gt;0)*($C$3:$N$3&lt;=B262)*($C$2:$N$2&gt;AA262)/$C$2:$N$2)),0),0)</f>
        <v/>
      </c>
      <c r="AG262">
        <f>MAX(0,AC262-MAX(0,SUMPRODUCT(($C$2:$N$2=AA262)*(AH262:AS262-$C$7:$N$7))))</f>
        <v/>
      </c>
      <c r="AH262">
        <f>IF(C261&lt;=0,0,ROUND(C261*(1+IF(AND(C$6&gt;0,$B262&lt;C$6),C$4,C$5)/12),2))</f>
        <v/>
      </c>
      <c r="AI262">
        <f>IF(D261&lt;=0,0,ROUND(D261*(1+IF(AND(D$6&gt;0,$B262&lt;D$6),D$4,D$5)/12),2))</f>
        <v/>
      </c>
      <c r="AJ262">
        <f>IF(E261&lt;=0,0,ROUND(E261*(1+IF(AND(E$6&gt;0,$B262&lt;E$6),E$4,E$5)/12),2))</f>
        <v/>
      </c>
      <c r="AK262">
        <f>IF(F261&lt;=0,0,ROUND(F261*(1+IF(AND(F$6&gt;0,$B262&lt;F$6),F$4,F$5)/12),2))</f>
        <v/>
      </c>
      <c r="AL262">
        <f>IF(G261&lt;=0,0,ROUND(G261*(1+IF(AND(G$6&gt;0,$B262&lt;G$6),G$4,G$5)/12),2))</f>
        <v/>
      </c>
      <c r="AM262">
        <f>IF(H261&lt;=0,0,ROUND(H261*(1+IF(AND(H$6&gt;0,$B262&lt;H$6),H$4,H$5)/12),2))</f>
        <v/>
      </c>
      <c r="AN262">
        <f>IF(I261&lt;=0,0,ROUND(I261*(1+IF(AND(I$6&gt;0,$B262&lt;I$6),I$4,I$5)/12),2))</f>
        <v/>
      </c>
      <c r="AO262">
        <f>IF(J261&lt;=0,0,ROUND(J261*(1+IF(AND(J$6&gt;0,$B262&lt;J$6),J$4,J$5)/12),2))</f>
        <v/>
      </c>
      <c r="AP262">
        <f>IF(K261&lt;=0,0,ROUND(K261*(1+IF(AND(K$6&gt;0,$B262&lt;K$6),K$4,K$5)/12),2))</f>
        <v/>
      </c>
      <c r="AQ262">
        <f>IF(L261&lt;=0,0,ROUND(L261*(1+IF(AND(L$6&gt;0,$B262&lt;L$6),L$4,L$5)/12),2))</f>
        <v/>
      </c>
      <c r="AR262">
        <f>IF(M261&lt;=0,0,ROUND(M261*(1+IF(AND(M$6&gt;0,$B262&lt;M$6),M$4,M$5)/12),2))</f>
        <v/>
      </c>
      <c r="AS262">
        <f>IF(N261&lt;=0,0,ROUND(N261*(1+IF(AND(N$6&gt;0,$B262&lt;N$6),N$4,N$5)/12),2))</f>
        <v/>
      </c>
    </row>
    <row r="263">
      <c r="A263" t="n">
        <v>252</v>
      </c>
      <c r="B263">
        <f>EDATE(Plan!$C$6,251)</f>
        <v/>
      </c>
      <c r="C263">
        <f>IF(C262&lt;=0,0,MAX(0,AH263-O263))</f>
        <v/>
      </c>
      <c r="D263">
        <f>IF(D262&lt;=0,0,MAX(0,AI263-P263))</f>
        <v/>
      </c>
      <c r="E263">
        <f>IF(E262&lt;=0,0,MAX(0,AJ263-Q263))</f>
        <v/>
      </c>
      <c r="F263">
        <f>IF(F262&lt;=0,0,MAX(0,AK263-R263))</f>
        <v/>
      </c>
      <c r="G263">
        <f>IF(G262&lt;=0,0,MAX(0,AL263-S263))</f>
        <v/>
      </c>
      <c r="H263">
        <f>IF(H262&lt;=0,0,MAX(0,AM263-T263))</f>
        <v/>
      </c>
      <c r="I263">
        <f>IF(I262&lt;=0,0,MAX(0,AN263-U263))</f>
        <v/>
      </c>
      <c r="J263">
        <f>IF(J262&lt;=0,0,MAX(0,AO263-V263))</f>
        <v/>
      </c>
      <c r="K263">
        <f>IF(K262&lt;=0,0,MAX(0,AP263-W263))</f>
        <v/>
      </c>
      <c r="L263">
        <f>IF(L262&lt;=0,0,MAX(0,AQ263-X263))</f>
        <v/>
      </c>
      <c r="M263">
        <f>IF(M262&lt;=0,0,MAX(0,AR263-Y263))</f>
        <v/>
      </c>
      <c r="N263">
        <f>IF(N262&lt;=0,0,MAX(0,AS263-Z263))</f>
        <v/>
      </c>
      <c r="O263">
        <f>IF(C262&lt;=0,0,MIN(AH263,C$7+IF(C$2=$AA263,$AC263,IF(C$2=$AF263,$AG263,0))))</f>
        <v/>
      </c>
      <c r="P263">
        <f>IF(D262&lt;=0,0,MIN(AI263,D$7+IF(D$2=$AA263,$AC263,IF(D$2=$AF263,$AG263,0))))</f>
        <v/>
      </c>
      <c r="Q263">
        <f>IF(E262&lt;=0,0,MIN(AJ263,E$7+IF(E$2=$AA263,$AC263,IF(E$2=$AF263,$AG263,0))))</f>
        <v/>
      </c>
      <c r="R263">
        <f>IF(F262&lt;=0,0,MIN(AK263,F$7+IF(F$2=$AA263,$AC263,IF(F$2=$AF263,$AG263,0))))</f>
        <v/>
      </c>
      <c r="S263">
        <f>IF(G262&lt;=0,0,MIN(AL263,G$7+IF(G$2=$AA263,$AC263,IF(G$2=$AF263,$AG263,0))))</f>
        <v/>
      </c>
      <c r="T263">
        <f>IF(H262&lt;=0,0,MIN(AM263,H$7+IF(H$2=$AA263,$AC263,IF(H$2=$AF263,$AG263,0))))</f>
        <v/>
      </c>
      <c r="U263">
        <f>IF(I262&lt;=0,0,MIN(AN263,I$7+IF(I$2=$AA263,$AC263,IF(I$2=$AF263,$AG263,0))))</f>
        <v/>
      </c>
      <c r="V263">
        <f>IF(J262&lt;=0,0,MIN(AO263,J$7+IF(J$2=$AA263,$AC263,IF(J$2=$AF263,$AG263,0))))</f>
        <v/>
      </c>
      <c r="W263">
        <f>IF(K262&lt;=0,0,MIN(AP263,K$7+IF(K$2=$AA263,$AC263,IF(K$2=$AF263,$AG263,0))))</f>
        <v/>
      </c>
      <c r="X263">
        <f>IF(L262&lt;=0,0,MIN(AQ263,L$7+IF(L$2=$AA263,$AC263,IF(L$2=$AF263,$AG263,0))))</f>
        <v/>
      </c>
      <c r="Y263">
        <f>IF(M262&lt;=0,0,MIN(AR263,M$7+IF(M$2=$AA263,$AC263,IF(M$2=$AF263,$AG263,0))))</f>
        <v/>
      </c>
      <c r="Z263">
        <f>IF(N262&lt;=0,0,MIN(AS263,N$7+IF(N$2=$AA263,$AC263,IF(N$2=$AF263,$AG263,0))))</f>
        <v/>
      </c>
      <c r="AA263">
        <f>IFERROR(ROUND(1/SUMPRODUCT(MAX((C262:N262&gt;0)*($C$3:$N$3&lt;=B263)/$C$2:$N$2)),0),0)</f>
        <v/>
      </c>
      <c r="AB263">
        <f>SUMPRODUCT((C262:N262&gt;0)*$C$7:$N$7)</f>
        <v/>
      </c>
      <c r="AC263">
        <f>MAX(0,Plan!$C$5-AB263)+IF(A263=Plan!$C$8,N(Plan!$C$7),0)</f>
        <v/>
      </c>
      <c r="AD263">
        <f>SUM(C263:N263)</f>
        <v/>
      </c>
      <c r="AE263">
        <f>SUM(O263:Z263)</f>
        <v/>
      </c>
      <c r="AF263">
        <f>IFERROR(ROUND(1/SUMPRODUCT(MAX((C262:N262&gt;0)*($C$3:$N$3&lt;=B263)*($C$2:$N$2&gt;AA263)/$C$2:$N$2)),0),0)</f>
        <v/>
      </c>
      <c r="AG263">
        <f>MAX(0,AC263-MAX(0,SUMPRODUCT(($C$2:$N$2=AA263)*(AH263:AS263-$C$7:$N$7))))</f>
        <v/>
      </c>
      <c r="AH263">
        <f>IF(C262&lt;=0,0,ROUND(C262*(1+IF(AND(C$6&gt;0,$B263&lt;C$6),C$4,C$5)/12),2))</f>
        <v/>
      </c>
      <c r="AI263">
        <f>IF(D262&lt;=0,0,ROUND(D262*(1+IF(AND(D$6&gt;0,$B263&lt;D$6),D$4,D$5)/12),2))</f>
        <v/>
      </c>
      <c r="AJ263">
        <f>IF(E262&lt;=0,0,ROUND(E262*(1+IF(AND(E$6&gt;0,$B263&lt;E$6),E$4,E$5)/12),2))</f>
        <v/>
      </c>
      <c r="AK263">
        <f>IF(F262&lt;=0,0,ROUND(F262*(1+IF(AND(F$6&gt;0,$B263&lt;F$6),F$4,F$5)/12),2))</f>
        <v/>
      </c>
      <c r="AL263">
        <f>IF(G262&lt;=0,0,ROUND(G262*(1+IF(AND(G$6&gt;0,$B263&lt;G$6),G$4,G$5)/12),2))</f>
        <v/>
      </c>
      <c r="AM263">
        <f>IF(H262&lt;=0,0,ROUND(H262*(1+IF(AND(H$6&gt;0,$B263&lt;H$6),H$4,H$5)/12),2))</f>
        <v/>
      </c>
      <c r="AN263">
        <f>IF(I262&lt;=0,0,ROUND(I262*(1+IF(AND(I$6&gt;0,$B263&lt;I$6),I$4,I$5)/12),2))</f>
        <v/>
      </c>
      <c r="AO263">
        <f>IF(J262&lt;=0,0,ROUND(J262*(1+IF(AND(J$6&gt;0,$B263&lt;J$6),J$4,J$5)/12),2))</f>
        <v/>
      </c>
      <c r="AP263">
        <f>IF(K262&lt;=0,0,ROUND(K262*(1+IF(AND(K$6&gt;0,$B263&lt;K$6),K$4,K$5)/12),2))</f>
        <v/>
      </c>
      <c r="AQ263">
        <f>IF(L262&lt;=0,0,ROUND(L262*(1+IF(AND(L$6&gt;0,$B263&lt;L$6),L$4,L$5)/12),2))</f>
        <v/>
      </c>
      <c r="AR263">
        <f>IF(M262&lt;=0,0,ROUND(M262*(1+IF(AND(M$6&gt;0,$B263&lt;M$6),M$4,M$5)/12),2))</f>
        <v/>
      </c>
      <c r="AS263">
        <f>IF(N262&lt;=0,0,ROUND(N262*(1+IF(AND(N$6&gt;0,$B263&lt;N$6),N$4,N$5)/12),2))</f>
        <v/>
      </c>
    </row>
    <row r="264">
      <c r="A264" t="n">
        <v>253</v>
      </c>
      <c r="B264">
        <f>EDATE(Plan!$C$6,252)</f>
        <v/>
      </c>
      <c r="C264">
        <f>IF(C263&lt;=0,0,MAX(0,AH264-O264))</f>
        <v/>
      </c>
      <c r="D264">
        <f>IF(D263&lt;=0,0,MAX(0,AI264-P264))</f>
        <v/>
      </c>
      <c r="E264">
        <f>IF(E263&lt;=0,0,MAX(0,AJ264-Q264))</f>
        <v/>
      </c>
      <c r="F264">
        <f>IF(F263&lt;=0,0,MAX(0,AK264-R264))</f>
        <v/>
      </c>
      <c r="G264">
        <f>IF(G263&lt;=0,0,MAX(0,AL264-S264))</f>
        <v/>
      </c>
      <c r="H264">
        <f>IF(H263&lt;=0,0,MAX(0,AM264-T264))</f>
        <v/>
      </c>
      <c r="I264">
        <f>IF(I263&lt;=0,0,MAX(0,AN264-U264))</f>
        <v/>
      </c>
      <c r="J264">
        <f>IF(J263&lt;=0,0,MAX(0,AO264-V264))</f>
        <v/>
      </c>
      <c r="K264">
        <f>IF(K263&lt;=0,0,MAX(0,AP264-W264))</f>
        <v/>
      </c>
      <c r="L264">
        <f>IF(L263&lt;=0,0,MAX(0,AQ264-X264))</f>
        <v/>
      </c>
      <c r="M264">
        <f>IF(M263&lt;=0,0,MAX(0,AR264-Y264))</f>
        <v/>
      </c>
      <c r="N264">
        <f>IF(N263&lt;=0,0,MAX(0,AS264-Z264))</f>
        <v/>
      </c>
      <c r="O264">
        <f>IF(C263&lt;=0,0,MIN(AH264,C$7+IF(C$2=$AA264,$AC264,IF(C$2=$AF264,$AG264,0))))</f>
        <v/>
      </c>
      <c r="P264">
        <f>IF(D263&lt;=0,0,MIN(AI264,D$7+IF(D$2=$AA264,$AC264,IF(D$2=$AF264,$AG264,0))))</f>
        <v/>
      </c>
      <c r="Q264">
        <f>IF(E263&lt;=0,0,MIN(AJ264,E$7+IF(E$2=$AA264,$AC264,IF(E$2=$AF264,$AG264,0))))</f>
        <v/>
      </c>
      <c r="R264">
        <f>IF(F263&lt;=0,0,MIN(AK264,F$7+IF(F$2=$AA264,$AC264,IF(F$2=$AF264,$AG264,0))))</f>
        <v/>
      </c>
      <c r="S264">
        <f>IF(G263&lt;=0,0,MIN(AL264,G$7+IF(G$2=$AA264,$AC264,IF(G$2=$AF264,$AG264,0))))</f>
        <v/>
      </c>
      <c r="T264">
        <f>IF(H263&lt;=0,0,MIN(AM264,H$7+IF(H$2=$AA264,$AC264,IF(H$2=$AF264,$AG264,0))))</f>
        <v/>
      </c>
      <c r="U264">
        <f>IF(I263&lt;=0,0,MIN(AN264,I$7+IF(I$2=$AA264,$AC264,IF(I$2=$AF264,$AG264,0))))</f>
        <v/>
      </c>
      <c r="V264">
        <f>IF(J263&lt;=0,0,MIN(AO264,J$7+IF(J$2=$AA264,$AC264,IF(J$2=$AF264,$AG264,0))))</f>
        <v/>
      </c>
      <c r="W264">
        <f>IF(K263&lt;=0,0,MIN(AP264,K$7+IF(K$2=$AA264,$AC264,IF(K$2=$AF264,$AG264,0))))</f>
        <v/>
      </c>
      <c r="X264">
        <f>IF(L263&lt;=0,0,MIN(AQ264,L$7+IF(L$2=$AA264,$AC264,IF(L$2=$AF264,$AG264,0))))</f>
        <v/>
      </c>
      <c r="Y264">
        <f>IF(M263&lt;=0,0,MIN(AR264,M$7+IF(M$2=$AA264,$AC264,IF(M$2=$AF264,$AG264,0))))</f>
        <v/>
      </c>
      <c r="Z264">
        <f>IF(N263&lt;=0,0,MIN(AS264,N$7+IF(N$2=$AA264,$AC264,IF(N$2=$AF264,$AG264,0))))</f>
        <v/>
      </c>
      <c r="AA264">
        <f>IFERROR(ROUND(1/SUMPRODUCT(MAX((C263:N263&gt;0)*($C$3:$N$3&lt;=B264)/$C$2:$N$2)),0),0)</f>
        <v/>
      </c>
      <c r="AB264">
        <f>SUMPRODUCT((C263:N263&gt;0)*$C$7:$N$7)</f>
        <v/>
      </c>
      <c r="AC264">
        <f>MAX(0,Plan!$C$5-AB264)+IF(A264=Plan!$C$8,N(Plan!$C$7),0)</f>
        <v/>
      </c>
      <c r="AD264">
        <f>SUM(C264:N264)</f>
        <v/>
      </c>
      <c r="AE264">
        <f>SUM(O264:Z264)</f>
        <v/>
      </c>
      <c r="AF264">
        <f>IFERROR(ROUND(1/SUMPRODUCT(MAX((C263:N263&gt;0)*($C$3:$N$3&lt;=B264)*($C$2:$N$2&gt;AA264)/$C$2:$N$2)),0),0)</f>
        <v/>
      </c>
      <c r="AG264">
        <f>MAX(0,AC264-MAX(0,SUMPRODUCT(($C$2:$N$2=AA264)*(AH264:AS264-$C$7:$N$7))))</f>
        <v/>
      </c>
      <c r="AH264">
        <f>IF(C263&lt;=0,0,ROUND(C263*(1+IF(AND(C$6&gt;0,$B264&lt;C$6),C$4,C$5)/12),2))</f>
        <v/>
      </c>
      <c r="AI264">
        <f>IF(D263&lt;=0,0,ROUND(D263*(1+IF(AND(D$6&gt;0,$B264&lt;D$6),D$4,D$5)/12),2))</f>
        <v/>
      </c>
      <c r="AJ264">
        <f>IF(E263&lt;=0,0,ROUND(E263*(1+IF(AND(E$6&gt;0,$B264&lt;E$6),E$4,E$5)/12),2))</f>
        <v/>
      </c>
      <c r="AK264">
        <f>IF(F263&lt;=0,0,ROUND(F263*(1+IF(AND(F$6&gt;0,$B264&lt;F$6),F$4,F$5)/12),2))</f>
        <v/>
      </c>
      <c r="AL264">
        <f>IF(G263&lt;=0,0,ROUND(G263*(1+IF(AND(G$6&gt;0,$B264&lt;G$6),G$4,G$5)/12),2))</f>
        <v/>
      </c>
      <c r="AM264">
        <f>IF(H263&lt;=0,0,ROUND(H263*(1+IF(AND(H$6&gt;0,$B264&lt;H$6),H$4,H$5)/12),2))</f>
        <v/>
      </c>
      <c r="AN264">
        <f>IF(I263&lt;=0,0,ROUND(I263*(1+IF(AND(I$6&gt;0,$B264&lt;I$6),I$4,I$5)/12),2))</f>
        <v/>
      </c>
      <c r="AO264">
        <f>IF(J263&lt;=0,0,ROUND(J263*(1+IF(AND(J$6&gt;0,$B264&lt;J$6),J$4,J$5)/12),2))</f>
        <v/>
      </c>
      <c r="AP264">
        <f>IF(K263&lt;=0,0,ROUND(K263*(1+IF(AND(K$6&gt;0,$B264&lt;K$6),K$4,K$5)/12),2))</f>
        <v/>
      </c>
      <c r="AQ264">
        <f>IF(L263&lt;=0,0,ROUND(L263*(1+IF(AND(L$6&gt;0,$B264&lt;L$6),L$4,L$5)/12),2))</f>
        <v/>
      </c>
      <c r="AR264">
        <f>IF(M263&lt;=0,0,ROUND(M263*(1+IF(AND(M$6&gt;0,$B264&lt;M$6),M$4,M$5)/12),2))</f>
        <v/>
      </c>
      <c r="AS264">
        <f>IF(N263&lt;=0,0,ROUND(N263*(1+IF(AND(N$6&gt;0,$B264&lt;N$6),N$4,N$5)/12),2))</f>
        <v/>
      </c>
    </row>
    <row r="265">
      <c r="A265" t="n">
        <v>254</v>
      </c>
      <c r="B265">
        <f>EDATE(Plan!$C$6,253)</f>
        <v/>
      </c>
      <c r="C265">
        <f>IF(C264&lt;=0,0,MAX(0,AH265-O265))</f>
        <v/>
      </c>
      <c r="D265">
        <f>IF(D264&lt;=0,0,MAX(0,AI265-P265))</f>
        <v/>
      </c>
      <c r="E265">
        <f>IF(E264&lt;=0,0,MAX(0,AJ265-Q265))</f>
        <v/>
      </c>
      <c r="F265">
        <f>IF(F264&lt;=0,0,MAX(0,AK265-R265))</f>
        <v/>
      </c>
      <c r="G265">
        <f>IF(G264&lt;=0,0,MAX(0,AL265-S265))</f>
        <v/>
      </c>
      <c r="H265">
        <f>IF(H264&lt;=0,0,MAX(0,AM265-T265))</f>
        <v/>
      </c>
      <c r="I265">
        <f>IF(I264&lt;=0,0,MAX(0,AN265-U265))</f>
        <v/>
      </c>
      <c r="J265">
        <f>IF(J264&lt;=0,0,MAX(0,AO265-V265))</f>
        <v/>
      </c>
      <c r="K265">
        <f>IF(K264&lt;=0,0,MAX(0,AP265-W265))</f>
        <v/>
      </c>
      <c r="L265">
        <f>IF(L264&lt;=0,0,MAX(0,AQ265-X265))</f>
        <v/>
      </c>
      <c r="M265">
        <f>IF(M264&lt;=0,0,MAX(0,AR265-Y265))</f>
        <v/>
      </c>
      <c r="N265">
        <f>IF(N264&lt;=0,0,MAX(0,AS265-Z265))</f>
        <v/>
      </c>
      <c r="O265">
        <f>IF(C264&lt;=0,0,MIN(AH265,C$7+IF(C$2=$AA265,$AC265,IF(C$2=$AF265,$AG265,0))))</f>
        <v/>
      </c>
      <c r="P265">
        <f>IF(D264&lt;=0,0,MIN(AI265,D$7+IF(D$2=$AA265,$AC265,IF(D$2=$AF265,$AG265,0))))</f>
        <v/>
      </c>
      <c r="Q265">
        <f>IF(E264&lt;=0,0,MIN(AJ265,E$7+IF(E$2=$AA265,$AC265,IF(E$2=$AF265,$AG265,0))))</f>
        <v/>
      </c>
      <c r="R265">
        <f>IF(F264&lt;=0,0,MIN(AK265,F$7+IF(F$2=$AA265,$AC265,IF(F$2=$AF265,$AG265,0))))</f>
        <v/>
      </c>
      <c r="S265">
        <f>IF(G264&lt;=0,0,MIN(AL265,G$7+IF(G$2=$AA265,$AC265,IF(G$2=$AF265,$AG265,0))))</f>
        <v/>
      </c>
      <c r="T265">
        <f>IF(H264&lt;=0,0,MIN(AM265,H$7+IF(H$2=$AA265,$AC265,IF(H$2=$AF265,$AG265,0))))</f>
        <v/>
      </c>
      <c r="U265">
        <f>IF(I264&lt;=0,0,MIN(AN265,I$7+IF(I$2=$AA265,$AC265,IF(I$2=$AF265,$AG265,0))))</f>
        <v/>
      </c>
      <c r="V265">
        <f>IF(J264&lt;=0,0,MIN(AO265,J$7+IF(J$2=$AA265,$AC265,IF(J$2=$AF265,$AG265,0))))</f>
        <v/>
      </c>
      <c r="W265">
        <f>IF(K264&lt;=0,0,MIN(AP265,K$7+IF(K$2=$AA265,$AC265,IF(K$2=$AF265,$AG265,0))))</f>
        <v/>
      </c>
      <c r="X265">
        <f>IF(L264&lt;=0,0,MIN(AQ265,L$7+IF(L$2=$AA265,$AC265,IF(L$2=$AF265,$AG265,0))))</f>
        <v/>
      </c>
      <c r="Y265">
        <f>IF(M264&lt;=0,0,MIN(AR265,M$7+IF(M$2=$AA265,$AC265,IF(M$2=$AF265,$AG265,0))))</f>
        <v/>
      </c>
      <c r="Z265">
        <f>IF(N264&lt;=0,0,MIN(AS265,N$7+IF(N$2=$AA265,$AC265,IF(N$2=$AF265,$AG265,0))))</f>
        <v/>
      </c>
      <c r="AA265">
        <f>IFERROR(ROUND(1/SUMPRODUCT(MAX((C264:N264&gt;0)*($C$3:$N$3&lt;=B265)/$C$2:$N$2)),0),0)</f>
        <v/>
      </c>
      <c r="AB265">
        <f>SUMPRODUCT((C264:N264&gt;0)*$C$7:$N$7)</f>
        <v/>
      </c>
      <c r="AC265">
        <f>MAX(0,Plan!$C$5-AB265)+IF(A265=Plan!$C$8,N(Plan!$C$7),0)</f>
        <v/>
      </c>
      <c r="AD265">
        <f>SUM(C265:N265)</f>
        <v/>
      </c>
      <c r="AE265">
        <f>SUM(O265:Z265)</f>
        <v/>
      </c>
      <c r="AF265">
        <f>IFERROR(ROUND(1/SUMPRODUCT(MAX((C264:N264&gt;0)*($C$3:$N$3&lt;=B265)*($C$2:$N$2&gt;AA265)/$C$2:$N$2)),0),0)</f>
        <v/>
      </c>
      <c r="AG265">
        <f>MAX(0,AC265-MAX(0,SUMPRODUCT(($C$2:$N$2=AA265)*(AH265:AS265-$C$7:$N$7))))</f>
        <v/>
      </c>
      <c r="AH265">
        <f>IF(C264&lt;=0,0,ROUND(C264*(1+IF(AND(C$6&gt;0,$B265&lt;C$6),C$4,C$5)/12),2))</f>
        <v/>
      </c>
      <c r="AI265">
        <f>IF(D264&lt;=0,0,ROUND(D264*(1+IF(AND(D$6&gt;0,$B265&lt;D$6),D$4,D$5)/12),2))</f>
        <v/>
      </c>
      <c r="AJ265">
        <f>IF(E264&lt;=0,0,ROUND(E264*(1+IF(AND(E$6&gt;0,$B265&lt;E$6),E$4,E$5)/12),2))</f>
        <v/>
      </c>
      <c r="AK265">
        <f>IF(F264&lt;=0,0,ROUND(F264*(1+IF(AND(F$6&gt;0,$B265&lt;F$6),F$4,F$5)/12),2))</f>
        <v/>
      </c>
      <c r="AL265">
        <f>IF(G264&lt;=0,0,ROUND(G264*(1+IF(AND(G$6&gt;0,$B265&lt;G$6),G$4,G$5)/12),2))</f>
        <v/>
      </c>
      <c r="AM265">
        <f>IF(H264&lt;=0,0,ROUND(H264*(1+IF(AND(H$6&gt;0,$B265&lt;H$6),H$4,H$5)/12),2))</f>
        <v/>
      </c>
      <c r="AN265">
        <f>IF(I264&lt;=0,0,ROUND(I264*(1+IF(AND(I$6&gt;0,$B265&lt;I$6),I$4,I$5)/12),2))</f>
        <v/>
      </c>
      <c r="AO265">
        <f>IF(J264&lt;=0,0,ROUND(J264*(1+IF(AND(J$6&gt;0,$B265&lt;J$6),J$4,J$5)/12),2))</f>
        <v/>
      </c>
      <c r="AP265">
        <f>IF(K264&lt;=0,0,ROUND(K264*(1+IF(AND(K$6&gt;0,$B265&lt;K$6),K$4,K$5)/12),2))</f>
        <v/>
      </c>
      <c r="AQ265">
        <f>IF(L264&lt;=0,0,ROUND(L264*(1+IF(AND(L$6&gt;0,$B265&lt;L$6),L$4,L$5)/12),2))</f>
        <v/>
      </c>
      <c r="AR265">
        <f>IF(M264&lt;=0,0,ROUND(M264*(1+IF(AND(M$6&gt;0,$B265&lt;M$6),M$4,M$5)/12),2))</f>
        <v/>
      </c>
      <c r="AS265">
        <f>IF(N264&lt;=0,0,ROUND(N264*(1+IF(AND(N$6&gt;0,$B265&lt;N$6),N$4,N$5)/12),2))</f>
        <v/>
      </c>
    </row>
    <row r="266">
      <c r="A266" t="n">
        <v>255</v>
      </c>
      <c r="B266">
        <f>EDATE(Plan!$C$6,254)</f>
        <v/>
      </c>
      <c r="C266">
        <f>IF(C265&lt;=0,0,MAX(0,AH266-O266))</f>
        <v/>
      </c>
      <c r="D266">
        <f>IF(D265&lt;=0,0,MAX(0,AI266-P266))</f>
        <v/>
      </c>
      <c r="E266">
        <f>IF(E265&lt;=0,0,MAX(0,AJ266-Q266))</f>
        <v/>
      </c>
      <c r="F266">
        <f>IF(F265&lt;=0,0,MAX(0,AK266-R266))</f>
        <v/>
      </c>
      <c r="G266">
        <f>IF(G265&lt;=0,0,MAX(0,AL266-S266))</f>
        <v/>
      </c>
      <c r="H266">
        <f>IF(H265&lt;=0,0,MAX(0,AM266-T266))</f>
        <v/>
      </c>
      <c r="I266">
        <f>IF(I265&lt;=0,0,MAX(0,AN266-U266))</f>
        <v/>
      </c>
      <c r="J266">
        <f>IF(J265&lt;=0,0,MAX(0,AO266-V266))</f>
        <v/>
      </c>
      <c r="K266">
        <f>IF(K265&lt;=0,0,MAX(0,AP266-W266))</f>
        <v/>
      </c>
      <c r="L266">
        <f>IF(L265&lt;=0,0,MAX(0,AQ266-X266))</f>
        <v/>
      </c>
      <c r="M266">
        <f>IF(M265&lt;=0,0,MAX(0,AR266-Y266))</f>
        <v/>
      </c>
      <c r="N266">
        <f>IF(N265&lt;=0,0,MAX(0,AS266-Z266))</f>
        <v/>
      </c>
      <c r="O266">
        <f>IF(C265&lt;=0,0,MIN(AH266,C$7+IF(C$2=$AA266,$AC266,IF(C$2=$AF266,$AG266,0))))</f>
        <v/>
      </c>
      <c r="P266">
        <f>IF(D265&lt;=0,0,MIN(AI266,D$7+IF(D$2=$AA266,$AC266,IF(D$2=$AF266,$AG266,0))))</f>
        <v/>
      </c>
      <c r="Q266">
        <f>IF(E265&lt;=0,0,MIN(AJ266,E$7+IF(E$2=$AA266,$AC266,IF(E$2=$AF266,$AG266,0))))</f>
        <v/>
      </c>
      <c r="R266">
        <f>IF(F265&lt;=0,0,MIN(AK266,F$7+IF(F$2=$AA266,$AC266,IF(F$2=$AF266,$AG266,0))))</f>
        <v/>
      </c>
      <c r="S266">
        <f>IF(G265&lt;=0,0,MIN(AL266,G$7+IF(G$2=$AA266,$AC266,IF(G$2=$AF266,$AG266,0))))</f>
        <v/>
      </c>
      <c r="T266">
        <f>IF(H265&lt;=0,0,MIN(AM266,H$7+IF(H$2=$AA266,$AC266,IF(H$2=$AF266,$AG266,0))))</f>
        <v/>
      </c>
      <c r="U266">
        <f>IF(I265&lt;=0,0,MIN(AN266,I$7+IF(I$2=$AA266,$AC266,IF(I$2=$AF266,$AG266,0))))</f>
        <v/>
      </c>
      <c r="V266">
        <f>IF(J265&lt;=0,0,MIN(AO266,J$7+IF(J$2=$AA266,$AC266,IF(J$2=$AF266,$AG266,0))))</f>
        <v/>
      </c>
      <c r="W266">
        <f>IF(K265&lt;=0,0,MIN(AP266,K$7+IF(K$2=$AA266,$AC266,IF(K$2=$AF266,$AG266,0))))</f>
        <v/>
      </c>
      <c r="X266">
        <f>IF(L265&lt;=0,0,MIN(AQ266,L$7+IF(L$2=$AA266,$AC266,IF(L$2=$AF266,$AG266,0))))</f>
        <v/>
      </c>
      <c r="Y266">
        <f>IF(M265&lt;=0,0,MIN(AR266,M$7+IF(M$2=$AA266,$AC266,IF(M$2=$AF266,$AG266,0))))</f>
        <v/>
      </c>
      <c r="Z266">
        <f>IF(N265&lt;=0,0,MIN(AS266,N$7+IF(N$2=$AA266,$AC266,IF(N$2=$AF266,$AG266,0))))</f>
        <v/>
      </c>
      <c r="AA266">
        <f>IFERROR(ROUND(1/SUMPRODUCT(MAX((C265:N265&gt;0)*($C$3:$N$3&lt;=B266)/$C$2:$N$2)),0),0)</f>
        <v/>
      </c>
      <c r="AB266">
        <f>SUMPRODUCT((C265:N265&gt;0)*$C$7:$N$7)</f>
        <v/>
      </c>
      <c r="AC266">
        <f>MAX(0,Plan!$C$5-AB266)+IF(A266=Plan!$C$8,N(Plan!$C$7),0)</f>
        <v/>
      </c>
      <c r="AD266">
        <f>SUM(C266:N266)</f>
        <v/>
      </c>
      <c r="AE266">
        <f>SUM(O266:Z266)</f>
        <v/>
      </c>
      <c r="AF266">
        <f>IFERROR(ROUND(1/SUMPRODUCT(MAX((C265:N265&gt;0)*($C$3:$N$3&lt;=B266)*($C$2:$N$2&gt;AA266)/$C$2:$N$2)),0),0)</f>
        <v/>
      </c>
      <c r="AG266">
        <f>MAX(0,AC266-MAX(0,SUMPRODUCT(($C$2:$N$2=AA266)*(AH266:AS266-$C$7:$N$7))))</f>
        <v/>
      </c>
      <c r="AH266">
        <f>IF(C265&lt;=0,0,ROUND(C265*(1+IF(AND(C$6&gt;0,$B266&lt;C$6),C$4,C$5)/12),2))</f>
        <v/>
      </c>
      <c r="AI266">
        <f>IF(D265&lt;=0,0,ROUND(D265*(1+IF(AND(D$6&gt;0,$B266&lt;D$6),D$4,D$5)/12),2))</f>
        <v/>
      </c>
      <c r="AJ266">
        <f>IF(E265&lt;=0,0,ROUND(E265*(1+IF(AND(E$6&gt;0,$B266&lt;E$6),E$4,E$5)/12),2))</f>
        <v/>
      </c>
      <c r="AK266">
        <f>IF(F265&lt;=0,0,ROUND(F265*(1+IF(AND(F$6&gt;0,$B266&lt;F$6),F$4,F$5)/12),2))</f>
        <v/>
      </c>
      <c r="AL266">
        <f>IF(G265&lt;=0,0,ROUND(G265*(1+IF(AND(G$6&gt;0,$B266&lt;G$6),G$4,G$5)/12),2))</f>
        <v/>
      </c>
      <c r="AM266">
        <f>IF(H265&lt;=0,0,ROUND(H265*(1+IF(AND(H$6&gt;0,$B266&lt;H$6),H$4,H$5)/12),2))</f>
        <v/>
      </c>
      <c r="AN266">
        <f>IF(I265&lt;=0,0,ROUND(I265*(1+IF(AND(I$6&gt;0,$B266&lt;I$6),I$4,I$5)/12),2))</f>
        <v/>
      </c>
      <c r="AO266">
        <f>IF(J265&lt;=0,0,ROUND(J265*(1+IF(AND(J$6&gt;0,$B266&lt;J$6),J$4,J$5)/12),2))</f>
        <v/>
      </c>
      <c r="AP266">
        <f>IF(K265&lt;=0,0,ROUND(K265*(1+IF(AND(K$6&gt;0,$B266&lt;K$6),K$4,K$5)/12),2))</f>
        <v/>
      </c>
      <c r="AQ266">
        <f>IF(L265&lt;=0,0,ROUND(L265*(1+IF(AND(L$6&gt;0,$B266&lt;L$6),L$4,L$5)/12),2))</f>
        <v/>
      </c>
      <c r="AR266">
        <f>IF(M265&lt;=0,0,ROUND(M265*(1+IF(AND(M$6&gt;0,$B266&lt;M$6),M$4,M$5)/12),2))</f>
        <v/>
      </c>
      <c r="AS266">
        <f>IF(N265&lt;=0,0,ROUND(N265*(1+IF(AND(N$6&gt;0,$B266&lt;N$6),N$4,N$5)/12),2))</f>
        <v/>
      </c>
    </row>
    <row r="267">
      <c r="A267" t="n">
        <v>256</v>
      </c>
      <c r="B267">
        <f>EDATE(Plan!$C$6,255)</f>
        <v/>
      </c>
      <c r="C267">
        <f>IF(C266&lt;=0,0,MAX(0,AH267-O267))</f>
        <v/>
      </c>
      <c r="D267">
        <f>IF(D266&lt;=0,0,MAX(0,AI267-P267))</f>
        <v/>
      </c>
      <c r="E267">
        <f>IF(E266&lt;=0,0,MAX(0,AJ267-Q267))</f>
        <v/>
      </c>
      <c r="F267">
        <f>IF(F266&lt;=0,0,MAX(0,AK267-R267))</f>
        <v/>
      </c>
      <c r="G267">
        <f>IF(G266&lt;=0,0,MAX(0,AL267-S267))</f>
        <v/>
      </c>
      <c r="H267">
        <f>IF(H266&lt;=0,0,MAX(0,AM267-T267))</f>
        <v/>
      </c>
      <c r="I267">
        <f>IF(I266&lt;=0,0,MAX(0,AN267-U267))</f>
        <v/>
      </c>
      <c r="J267">
        <f>IF(J266&lt;=0,0,MAX(0,AO267-V267))</f>
        <v/>
      </c>
      <c r="K267">
        <f>IF(K266&lt;=0,0,MAX(0,AP267-W267))</f>
        <v/>
      </c>
      <c r="L267">
        <f>IF(L266&lt;=0,0,MAX(0,AQ267-X267))</f>
        <v/>
      </c>
      <c r="M267">
        <f>IF(M266&lt;=0,0,MAX(0,AR267-Y267))</f>
        <v/>
      </c>
      <c r="N267">
        <f>IF(N266&lt;=0,0,MAX(0,AS267-Z267))</f>
        <v/>
      </c>
      <c r="O267">
        <f>IF(C266&lt;=0,0,MIN(AH267,C$7+IF(C$2=$AA267,$AC267,IF(C$2=$AF267,$AG267,0))))</f>
        <v/>
      </c>
      <c r="P267">
        <f>IF(D266&lt;=0,0,MIN(AI267,D$7+IF(D$2=$AA267,$AC267,IF(D$2=$AF267,$AG267,0))))</f>
        <v/>
      </c>
      <c r="Q267">
        <f>IF(E266&lt;=0,0,MIN(AJ267,E$7+IF(E$2=$AA267,$AC267,IF(E$2=$AF267,$AG267,0))))</f>
        <v/>
      </c>
      <c r="R267">
        <f>IF(F266&lt;=0,0,MIN(AK267,F$7+IF(F$2=$AA267,$AC267,IF(F$2=$AF267,$AG267,0))))</f>
        <v/>
      </c>
      <c r="S267">
        <f>IF(G266&lt;=0,0,MIN(AL267,G$7+IF(G$2=$AA267,$AC267,IF(G$2=$AF267,$AG267,0))))</f>
        <v/>
      </c>
      <c r="T267">
        <f>IF(H266&lt;=0,0,MIN(AM267,H$7+IF(H$2=$AA267,$AC267,IF(H$2=$AF267,$AG267,0))))</f>
        <v/>
      </c>
      <c r="U267">
        <f>IF(I266&lt;=0,0,MIN(AN267,I$7+IF(I$2=$AA267,$AC267,IF(I$2=$AF267,$AG267,0))))</f>
        <v/>
      </c>
      <c r="V267">
        <f>IF(J266&lt;=0,0,MIN(AO267,J$7+IF(J$2=$AA267,$AC267,IF(J$2=$AF267,$AG267,0))))</f>
        <v/>
      </c>
      <c r="W267">
        <f>IF(K266&lt;=0,0,MIN(AP267,K$7+IF(K$2=$AA267,$AC267,IF(K$2=$AF267,$AG267,0))))</f>
        <v/>
      </c>
      <c r="X267">
        <f>IF(L266&lt;=0,0,MIN(AQ267,L$7+IF(L$2=$AA267,$AC267,IF(L$2=$AF267,$AG267,0))))</f>
        <v/>
      </c>
      <c r="Y267">
        <f>IF(M266&lt;=0,0,MIN(AR267,M$7+IF(M$2=$AA267,$AC267,IF(M$2=$AF267,$AG267,0))))</f>
        <v/>
      </c>
      <c r="Z267">
        <f>IF(N266&lt;=0,0,MIN(AS267,N$7+IF(N$2=$AA267,$AC267,IF(N$2=$AF267,$AG267,0))))</f>
        <v/>
      </c>
      <c r="AA267">
        <f>IFERROR(ROUND(1/SUMPRODUCT(MAX((C266:N266&gt;0)*($C$3:$N$3&lt;=B267)/$C$2:$N$2)),0),0)</f>
        <v/>
      </c>
      <c r="AB267">
        <f>SUMPRODUCT((C266:N266&gt;0)*$C$7:$N$7)</f>
        <v/>
      </c>
      <c r="AC267">
        <f>MAX(0,Plan!$C$5-AB267)+IF(A267=Plan!$C$8,N(Plan!$C$7),0)</f>
        <v/>
      </c>
      <c r="AD267">
        <f>SUM(C267:N267)</f>
        <v/>
      </c>
      <c r="AE267">
        <f>SUM(O267:Z267)</f>
        <v/>
      </c>
      <c r="AF267">
        <f>IFERROR(ROUND(1/SUMPRODUCT(MAX((C266:N266&gt;0)*($C$3:$N$3&lt;=B267)*($C$2:$N$2&gt;AA267)/$C$2:$N$2)),0),0)</f>
        <v/>
      </c>
      <c r="AG267">
        <f>MAX(0,AC267-MAX(0,SUMPRODUCT(($C$2:$N$2=AA267)*(AH267:AS267-$C$7:$N$7))))</f>
        <v/>
      </c>
      <c r="AH267">
        <f>IF(C266&lt;=0,0,ROUND(C266*(1+IF(AND(C$6&gt;0,$B267&lt;C$6),C$4,C$5)/12),2))</f>
        <v/>
      </c>
      <c r="AI267">
        <f>IF(D266&lt;=0,0,ROUND(D266*(1+IF(AND(D$6&gt;0,$B267&lt;D$6),D$4,D$5)/12),2))</f>
        <v/>
      </c>
      <c r="AJ267">
        <f>IF(E266&lt;=0,0,ROUND(E266*(1+IF(AND(E$6&gt;0,$B267&lt;E$6),E$4,E$5)/12),2))</f>
        <v/>
      </c>
      <c r="AK267">
        <f>IF(F266&lt;=0,0,ROUND(F266*(1+IF(AND(F$6&gt;0,$B267&lt;F$6),F$4,F$5)/12),2))</f>
        <v/>
      </c>
      <c r="AL267">
        <f>IF(G266&lt;=0,0,ROUND(G266*(1+IF(AND(G$6&gt;0,$B267&lt;G$6),G$4,G$5)/12),2))</f>
        <v/>
      </c>
      <c r="AM267">
        <f>IF(H266&lt;=0,0,ROUND(H266*(1+IF(AND(H$6&gt;0,$B267&lt;H$6),H$4,H$5)/12),2))</f>
        <v/>
      </c>
      <c r="AN267">
        <f>IF(I266&lt;=0,0,ROUND(I266*(1+IF(AND(I$6&gt;0,$B267&lt;I$6),I$4,I$5)/12),2))</f>
        <v/>
      </c>
      <c r="AO267">
        <f>IF(J266&lt;=0,0,ROUND(J266*(1+IF(AND(J$6&gt;0,$B267&lt;J$6),J$4,J$5)/12),2))</f>
        <v/>
      </c>
      <c r="AP267">
        <f>IF(K266&lt;=0,0,ROUND(K266*(1+IF(AND(K$6&gt;0,$B267&lt;K$6),K$4,K$5)/12),2))</f>
        <v/>
      </c>
      <c r="AQ267">
        <f>IF(L266&lt;=0,0,ROUND(L266*(1+IF(AND(L$6&gt;0,$B267&lt;L$6),L$4,L$5)/12),2))</f>
        <v/>
      </c>
      <c r="AR267">
        <f>IF(M266&lt;=0,0,ROUND(M266*(1+IF(AND(M$6&gt;0,$B267&lt;M$6),M$4,M$5)/12),2))</f>
        <v/>
      </c>
      <c r="AS267">
        <f>IF(N266&lt;=0,0,ROUND(N266*(1+IF(AND(N$6&gt;0,$B267&lt;N$6),N$4,N$5)/12),2))</f>
        <v/>
      </c>
    </row>
    <row r="268">
      <c r="A268" t="n">
        <v>257</v>
      </c>
      <c r="B268">
        <f>EDATE(Plan!$C$6,256)</f>
        <v/>
      </c>
      <c r="C268">
        <f>IF(C267&lt;=0,0,MAX(0,AH268-O268))</f>
        <v/>
      </c>
      <c r="D268">
        <f>IF(D267&lt;=0,0,MAX(0,AI268-P268))</f>
        <v/>
      </c>
      <c r="E268">
        <f>IF(E267&lt;=0,0,MAX(0,AJ268-Q268))</f>
        <v/>
      </c>
      <c r="F268">
        <f>IF(F267&lt;=0,0,MAX(0,AK268-R268))</f>
        <v/>
      </c>
      <c r="G268">
        <f>IF(G267&lt;=0,0,MAX(0,AL268-S268))</f>
        <v/>
      </c>
      <c r="H268">
        <f>IF(H267&lt;=0,0,MAX(0,AM268-T268))</f>
        <v/>
      </c>
      <c r="I268">
        <f>IF(I267&lt;=0,0,MAX(0,AN268-U268))</f>
        <v/>
      </c>
      <c r="J268">
        <f>IF(J267&lt;=0,0,MAX(0,AO268-V268))</f>
        <v/>
      </c>
      <c r="K268">
        <f>IF(K267&lt;=0,0,MAX(0,AP268-W268))</f>
        <v/>
      </c>
      <c r="L268">
        <f>IF(L267&lt;=0,0,MAX(0,AQ268-X268))</f>
        <v/>
      </c>
      <c r="M268">
        <f>IF(M267&lt;=0,0,MAX(0,AR268-Y268))</f>
        <v/>
      </c>
      <c r="N268">
        <f>IF(N267&lt;=0,0,MAX(0,AS268-Z268))</f>
        <v/>
      </c>
      <c r="O268">
        <f>IF(C267&lt;=0,0,MIN(AH268,C$7+IF(C$2=$AA268,$AC268,IF(C$2=$AF268,$AG268,0))))</f>
        <v/>
      </c>
      <c r="P268">
        <f>IF(D267&lt;=0,0,MIN(AI268,D$7+IF(D$2=$AA268,$AC268,IF(D$2=$AF268,$AG268,0))))</f>
        <v/>
      </c>
      <c r="Q268">
        <f>IF(E267&lt;=0,0,MIN(AJ268,E$7+IF(E$2=$AA268,$AC268,IF(E$2=$AF268,$AG268,0))))</f>
        <v/>
      </c>
      <c r="R268">
        <f>IF(F267&lt;=0,0,MIN(AK268,F$7+IF(F$2=$AA268,$AC268,IF(F$2=$AF268,$AG268,0))))</f>
        <v/>
      </c>
      <c r="S268">
        <f>IF(G267&lt;=0,0,MIN(AL268,G$7+IF(G$2=$AA268,$AC268,IF(G$2=$AF268,$AG268,0))))</f>
        <v/>
      </c>
      <c r="T268">
        <f>IF(H267&lt;=0,0,MIN(AM268,H$7+IF(H$2=$AA268,$AC268,IF(H$2=$AF268,$AG268,0))))</f>
        <v/>
      </c>
      <c r="U268">
        <f>IF(I267&lt;=0,0,MIN(AN268,I$7+IF(I$2=$AA268,$AC268,IF(I$2=$AF268,$AG268,0))))</f>
        <v/>
      </c>
      <c r="V268">
        <f>IF(J267&lt;=0,0,MIN(AO268,J$7+IF(J$2=$AA268,$AC268,IF(J$2=$AF268,$AG268,0))))</f>
        <v/>
      </c>
      <c r="W268">
        <f>IF(K267&lt;=0,0,MIN(AP268,K$7+IF(K$2=$AA268,$AC268,IF(K$2=$AF268,$AG268,0))))</f>
        <v/>
      </c>
      <c r="X268">
        <f>IF(L267&lt;=0,0,MIN(AQ268,L$7+IF(L$2=$AA268,$AC268,IF(L$2=$AF268,$AG268,0))))</f>
        <v/>
      </c>
      <c r="Y268">
        <f>IF(M267&lt;=0,0,MIN(AR268,M$7+IF(M$2=$AA268,$AC268,IF(M$2=$AF268,$AG268,0))))</f>
        <v/>
      </c>
      <c r="Z268">
        <f>IF(N267&lt;=0,0,MIN(AS268,N$7+IF(N$2=$AA268,$AC268,IF(N$2=$AF268,$AG268,0))))</f>
        <v/>
      </c>
      <c r="AA268">
        <f>IFERROR(ROUND(1/SUMPRODUCT(MAX((C267:N267&gt;0)*($C$3:$N$3&lt;=B268)/$C$2:$N$2)),0),0)</f>
        <v/>
      </c>
      <c r="AB268">
        <f>SUMPRODUCT((C267:N267&gt;0)*$C$7:$N$7)</f>
        <v/>
      </c>
      <c r="AC268">
        <f>MAX(0,Plan!$C$5-AB268)+IF(A268=Plan!$C$8,N(Plan!$C$7),0)</f>
        <v/>
      </c>
      <c r="AD268">
        <f>SUM(C268:N268)</f>
        <v/>
      </c>
      <c r="AE268">
        <f>SUM(O268:Z268)</f>
        <v/>
      </c>
      <c r="AF268">
        <f>IFERROR(ROUND(1/SUMPRODUCT(MAX((C267:N267&gt;0)*($C$3:$N$3&lt;=B268)*($C$2:$N$2&gt;AA268)/$C$2:$N$2)),0),0)</f>
        <v/>
      </c>
      <c r="AG268">
        <f>MAX(0,AC268-MAX(0,SUMPRODUCT(($C$2:$N$2=AA268)*(AH268:AS268-$C$7:$N$7))))</f>
        <v/>
      </c>
      <c r="AH268">
        <f>IF(C267&lt;=0,0,ROUND(C267*(1+IF(AND(C$6&gt;0,$B268&lt;C$6),C$4,C$5)/12),2))</f>
        <v/>
      </c>
      <c r="AI268">
        <f>IF(D267&lt;=0,0,ROUND(D267*(1+IF(AND(D$6&gt;0,$B268&lt;D$6),D$4,D$5)/12),2))</f>
        <v/>
      </c>
      <c r="AJ268">
        <f>IF(E267&lt;=0,0,ROUND(E267*(1+IF(AND(E$6&gt;0,$B268&lt;E$6),E$4,E$5)/12),2))</f>
        <v/>
      </c>
      <c r="AK268">
        <f>IF(F267&lt;=0,0,ROUND(F267*(1+IF(AND(F$6&gt;0,$B268&lt;F$6),F$4,F$5)/12),2))</f>
        <v/>
      </c>
      <c r="AL268">
        <f>IF(G267&lt;=0,0,ROUND(G267*(1+IF(AND(G$6&gt;0,$B268&lt;G$6),G$4,G$5)/12),2))</f>
        <v/>
      </c>
      <c r="AM268">
        <f>IF(H267&lt;=0,0,ROUND(H267*(1+IF(AND(H$6&gt;0,$B268&lt;H$6),H$4,H$5)/12),2))</f>
        <v/>
      </c>
      <c r="AN268">
        <f>IF(I267&lt;=0,0,ROUND(I267*(1+IF(AND(I$6&gt;0,$B268&lt;I$6),I$4,I$5)/12),2))</f>
        <v/>
      </c>
      <c r="AO268">
        <f>IF(J267&lt;=0,0,ROUND(J267*(1+IF(AND(J$6&gt;0,$B268&lt;J$6),J$4,J$5)/12),2))</f>
        <v/>
      </c>
      <c r="AP268">
        <f>IF(K267&lt;=0,0,ROUND(K267*(1+IF(AND(K$6&gt;0,$B268&lt;K$6),K$4,K$5)/12),2))</f>
        <v/>
      </c>
      <c r="AQ268">
        <f>IF(L267&lt;=0,0,ROUND(L267*(1+IF(AND(L$6&gt;0,$B268&lt;L$6),L$4,L$5)/12),2))</f>
        <v/>
      </c>
      <c r="AR268">
        <f>IF(M267&lt;=0,0,ROUND(M267*(1+IF(AND(M$6&gt;0,$B268&lt;M$6),M$4,M$5)/12),2))</f>
        <v/>
      </c>
      <c r="AS268">
        <f>IF(N267&lt;=0,0,ROUND(N267*(1+IF(AND(N$6&gt;0,$B268&lt;N$6),N$4,N$5)/12),2))</f>
        <v/>
      </c>
    </row>
    <row r="269">
      <c r="A269" t="n">
        <v>258</v>
      </c>
      <c r="B269">
        <f>EDATE(Plan!$C$6,257)</f>
        <v/>
      </c>
      <c r="C269">
        <f>IF(C268&lt;=0,0,MAX(0,AH269-O269))</f>
        <v/>
      </c>
      <c r="D269">
        <f>IF(D268&lt;=0,0,MAX(0,AI269-P269))</f>
        <v/>
      </c>
      <c r="E269">
        <f>IF(E268&lt;=0,0,MAX(0,AJ269-Q269))</f>
        <v/>
      </c>
      <c r="F269">
        <f>IF(F268&lt;=0,0,MAX(0,AK269-R269))</f>
        <v/>
      </c>
      <c r="G269">
        <f>IF(G268&lt;=0,0,MAX(0,AL269-S269))</f>
        <v/>
      </c>
      <c r="H269">
        <f>IF(H268&lt;=0,0,MAX(0,AM269-T269))</f>
        <v/>
      </c>
      <c r="I269">
        <f>IF(I268&lt;=0,0,MAX(0,AN269-U269))</f>
        <v/>
      </c>
      <c r="J269">
        <f>IF(J268&lt;=0,0,MAX(0,AO269-V269))</f>
        <v/>
      </c>
      <c r="K269">
        <f>IF(K268&lt;=0,0,MAX(0,AP269-W269))</f>
        <v/>
      </c>
      <c r="L269">
        <f>IF(L268&lt;=0,0,MAX(0,AQ269-X269))</f>
        <v/>
      </c>
      <c r="M269">
        <f>IF(M268&lt;=0,0,MAX(0,AR269-Y269))</f>
        <v/>
      </c>
      <c r="N269">
        <f>IF(N268&lt;=0,0,MAX(0,AS269-Z269))</f>
        <v/>
      </c>
      <c r="O269">
        <f>IF(C268&lt;=0,0,MIN(AH269,C$7+IF(C$2=$AA269,$AC269,IF(C$2=$AF269,$AG269,0))))</f>
        <v/>
      </c>
      <c r="P269">
        <f>IF(D268&lt;=0,0,MIN(AI269,D$7+IF(D$2=$AA269,$AC269,IF(D$2=$AF269,$AG269,0))))</f>
        <v/>
      </c>
      <c r="Q269">
        <f>IF(E268&lt;=0,0,MIN(AJ269,E$7+IF(E$2=$AA269,$AC269,IF(E$2=$AF269,$AG269,0))))</f>
        <v/>
      </c>
      <c r="R269">
        <f>IF(F268&lt;=0,0,MIN(AK269,F$7+IF(F$2=$AA269,$AC269,IF(F$2=$AF269,$AG269,0))))</f>
        <v/>
      </c>
      <c r="S269">
        <f>IF(G268&lt;=0,0,MIN(AL269,G$7+IF(G$2=$AA269,$AC269,IF(G$2=$AF269,$AG269,0))))</f>
        <v/>
      </c>
      <c r="T269">
        <f>IF(H268&lt;=0,0,MIN(AM269,H$7+IF(H$2=$AA269,$AC269,IF(H$2=$AF269,$AG269,0))))</f>
        <v/>
      </c>
      <c r="U269">
        <f>IF(I268&lt;=0,0,MIN(AN269,I$7+IF(I$2=$AA269,$AC269,IF(I$2=$AF269,$AG269,0))))</f>
        <v/>
      </c>
      <c r="V269">
        <f>IF(J268&lt;=0,0,MIN(AO269,J$7+IF(J$2=$AA269,$AC269,IF(J$2=$AF269,$AG269,0))))</f>
        <v/>
      </c>
      <c r="W269">
        <f>IF(K268&lt;=0,0,MIN(AP269,K$7+IF(K$2=$AA269,$AC269,IF(K$2=$AF269,$AG269,0))))</f>
        <v/>
      </c>
      <c r="X269">
        <f>IF(L268&lt;=0,0,MIN(AQ269,L$7+IF(L$2=$AA269,$AC269,IF(L$2=$AF269,$AG269,0))))</f>
        <v/>
      </c>
      <c r="Y269">
        <f>IF(M268&lt;=0,0,MIN(AR269,M$7+IF(M$2=$AA269,$AC269,IF(M$2=$AF269,$AG269,0))))</f>
        <v/>
      </c>
      <c r="Z269">
        <f>IF(N268&lt;=0,0,MIN(AS269,N$7+IF(N$2=$AA269,$AC269,IF(N$2=$AF269,$AG269,0))))</f>
        <v/>
      </c>
      <c r="AA269">
        <f>IFERROR(ROUND(1/SUMPRODUCT(MAX((C268:N268&gt;0)*($C$3:$N$3&lt;=B269)/$C$2:$N$2)),0),0)</f>
        <v/>
      </c>
      <c r="AB269">
        <f>SUMPRODUCT((C268:N268&gt;0)*$C$7:$N$7)</f>
        <v/>
      </c>
      <c r="AC269">
        <f>MAX(0,Plan!$C$5-AB269)+IF(A269=Plan!$C$8,N(Plan!$C$7),0)</f>
        <v/>
      </c>
      <c r="AD269">
        <f>SUM(C269:N269)</f>
        <v/>
      </c>
      <c r="AE269">
        <f>SUM(O269:Z269)</f>
        <v/>
      </c>
      <c r="AF269">
        <f>IFERROR(ROUND(1/SUMPRODUCT(MAX((C268:N268&gt;0)*($C$3:$N$3&lt;=B269)*($C$2:$N$2&gt;AA269)/$C$2:$N$2)),0),0)</f>
        <v/>
      </c>
      <c r="AG269">
        <f>MAX(0,AC269-MAX(0,SUMPRODUCT(($C$2:$N$2=AA269)*(AH269:AS269-$C$7:$N$7))))</f>
        <v/>
      </c>
      <c r="AH269">
        <f>IF(C268&lt;=0,0,ROUND(C268*(1+IF(AND(C$6&gt;0,$B269&lt;C$6),C$4,C$5)/12),2))</f>
        <v/>
      </c>
      <c r="AI269">
        <f>IF(D268&lt;=0,0,ROUND(D268*(1+IF(AND(D$6&gt;0,$B269&lt;D$6),D$4,D$5)/12),2))</f>
        <v/>
      </c>
      <c r="AJ269">
        <f>IF(E268&lt;=0,0,ROUND(E268*(1+IF(AND(E$6&gt;0,$B269&lt;E$6),E$4,E$5)/12),2))</f>
        <v/>
      </c>
      <c r="AK269">
        <f>IF(F268&lt;=0,0,ROUND(F268*(1+IF(AND(F$6&gt;0,$B269&lt;F$6),F$4,F$5)/12),2))</f>
        <v/>
      </c>
      <c r="AL269">
        <f>IF(G268&lt;=0,0,ROUND(G268*(1+IF(AND(G$6&gt;0,$B269&lt;G$6),G$4,G$5)/12),2))</f>
        <v/>
      </c>
      <c r="AM269">
        <f>IF(H268&lt;=0,0,ROUND(H268*(1+IF(AND(H$6&gt;0,$B269&lt;H$6),H$4,H$5)/12),2))</f>
        <v/>
      </c>
      <c r="AN269">
        <f>IF(I268&lt;=0,0,ROUND(I268*(1+IF(AND(I$6&gt;0,$B269&lt;I$6),I$4,I$5)/12),2))</f>
        <v/>
      </c>
      <c r="AO269">
        <f>IF(J268&lt;=0,0,ROUND(J268*(1+IF(AND(J$6&gt;0,$B269&lt;J$6),J$4,J$5)/12),2))</f>
        <v/>
      </c>
      <c r="AP269">
        <f>IF(K268&lt;=0,0,ROUND(K268*(1+IF(AND(K$6&gt;0,$B269&lt;K$6),K$4,K$5)/12),2))</f>
        <v/>
      </c>
      <c r="AQ269">
        <f>IF(L268&lt;=0,0,ROUND(L268*(1+IF(AND(L$6&gt;0,$B269&lt;L$6),L$4,L$5)/12),2))</f>
        <v/>
      </c>
      <c r="AR269">
        <f>IF(M268&lt;=0,0,ROUND(M268*(1+IF(AND(M$6&gt;0,$B269&lt;M$6),M$4,M$5)/12),2))</f>
        <v/>
      </c>
      <c r="AS269">
        <f>IF(N268&lt;=0,0,ROUND(N268*(1+IF(AND(N$6&gt;0,$B269&lt;N$6),N$4,N$5)/12),2))</f>
        <v/>
      </c>
    </row>
    <row r="270">
      <c r="A270" t="n">
        <v>259</v>
      </c>
      <c r="B270">
        <f>EDATE(Plan!$C$6,258)</f>
        <v/>
      </c>
      <c r="C270">
        <f>IF(C269&lt;=0,0,MAX(0,AH270-O270))</f>
        <v/>
      </c>
      <c r="D270">
        <f>IF(D269&lt;=0,0,MAX(0,AI270-P270))</f>
        <v/>
      </c>
      <c r="E270">
        <f>IF(E269&lt;=0,0,MAX(0,AJ270-Q270))</f>
        <v/>
      </c>
      <c r="F270">
        <f>IF(F269&lt;=0,0,MAX(0,AK270-R270))</f>
        <v/>
      </c>
      <c r="G270">
        <f>IF(G269&lt;=0,0,MAX(0,AL270-S270))</f>
        <v/>
      </c>
      <c r="H270">
        <f>IF(H269&lt;=0,0,MAX(0,AM270-T270))</f>
        <v/>
      </c>
      <c r="I270">
        <f>IF(I269&lt;=0,0,MAX(0,AN270-U270))</f>
        <v/>
      </c>
      <c r="J270">
        <f>IF(J269&lt;=0,0,MAX(0,AO270-V270))</f>
        <v/>
      </c>
      <c r="K270">
        <f>IF(K269&lt;=0,0,MAX(0,AP270-W270))</f>
        <v/>
      </c>
      <c r="L270">
        <f>IF(L269&lt;=0,0,MAX(0,AQ270-X270))</f>
        <v/>
      </c>
      <c r="M270">
        <f>IF(M269&lt;=0,0,MAX(0,AR270-Y270))</f>
        <v/>
      </c>
      <c r="N270">
        <f>IF(N269&lt;=0,0,MAX(0,AS270-Z270))</f>
        <v/>
      </c>
      <c r="O270">
        <f>IF(C269&lt;=0,0,MIN(AH270,C$7+IF(C$2=$AA270,$AC270,IF(C$2=$AF270,$AG270,0))))</f>
        <v/>
      </c>
      <c r="P270">
        <f>IF(D269&lt;=0,0,MIN(AI270,D$7+IF(D$2=$AA270,$AC270,IF(D$2=$AF270,$AG270,0))))</f>
        <v/>
      </c>
      <c r="Q270">
        <f>IF(E269&lt;=0,0,MIN(AJ270,E$7+IF(E$2=$AA270,$AC270,IF(E$2=$AF270,$AG270,0))))</f>
        <v/>
      </c>
      <c r="R270">
        <f>IF(F269&lt;=0,0,MIN(AK270,F$7+IF(F$2=$AA270,$AC270,IF(F$2=$AF270,$AG270,0))))</f>
        <v/>
      </c>
      <c r="S270">
        <f>IF(G269&lt;=0,0,MIN(AL270,G$7+IF(G$2=$AA270,$AC270,IF(G$2=$AF270,$AG270,0))))</f>
        <v/>
      </c>
      <c r="T270">
        <f>IF(H269&lt;=0,0,MIN(AM270,H$7+IF(H$2=$AA270,$AC270,IF(H$2=$AF270,$AG270,0))))</f>
        <v/>
      </c>
      <c r="U270">
        <f>IF(I269&lt;=0,0,MIN(AN270,I$7+IF(I$2=$AA270,$AC270,IF(I$2=$AF270,$AG270,0))))</f>
        <v/>
      </c>
      <c r="V270">
        <f>IF(J269&lt;=0,0,MIN(AO270,J$7+IF(J$2=$AA270,$AC270,IF(J$2=$AF270,$AG270,0))))</f>
        <v/>
      </c>
      <c r="W270">
        <f>IF(K269&lt;=0,0,MIN(AP270,K$7+IF(K$2=$AA270,$AC270,IF(K$2=$AF270,$AG270,0))))</f>
        <v/>
      </c>
      <c r="X270">
        <f>IF(L269&lt;=0,0,MIN(AQ270,L$7+IF(L$2=$AA270,$AC270,IF(L$2=$AF270,$AG270,0))))</f>
        <v/>
      </c>
      <c r="Y270">
        <f>IF(M269&lt;=0,0,MIN(AR270,M$7+IF(M$2=$AA270,$AC270,IF(M$2=$AF270,$AG270,0))))</f>
        <v/>
      </c>
      <c r="Z270">
        <f>IF(N269&lt;=0,0,MIN(AS270,N$7+IF(N$2=$AA270,$AC270,IF(N$2=$AF270,$AG270,0))))</f>
        <v/>
      </c>
      <c r="AA270">
        <f>IFERROR(ROUND(1/SUMPRODUCT(MAX((C269:N269&gt;0)*($C$3:$N$3&lt;=B270)/$C$2:$N$2)),0),0)</f>
        <v/>
      </c>
      <c r="AB270">
        <f>SUMPRODUCT((C269:N269&gt;0)*$C$7:$N$7)</f>
        <v/>
      </c>
      <c r="AC270">
        <f>MAX(0,Plan!$C$5-AB270)+IF(A270=Plan!$C$8,N(Plan!$C$7),0)</f>
        <v/>
      </c>
      <c r="AD270">
        <f>SUM(C270:N270)</f>
        <v/>
      </c>
      <c r="AE270">
        <f>SUM(O270:Z270)</f>
        <v/>
      </c>
      <c r="AF270">
        <f>IFERROR(ROUND(1/SUMPRODUCT(MAX((C269:N269&gt;0)*($C$3:$N$3&lt;=B270)*($C$2:$N$2&gt;AA270)/$C$2:$N$2)),0),0)</f>
        <v/>
      </c>
      <c r="AG270">
        <f>MAX(0,AC270-MAX(0,SUMPRODUCT(($C$2:$N$2=AA270)*(AH270:AS270-$C$7:$N$7))))</f>
        <v/>
      </c>
      <c r="AH270">
        <f>IF(C269&lt;=0,0,ROUND(C269*(1+IF(AND(C$6&gt;0,$B270&lt;C$6),C$4,C$5)/12),2))</f>
        <v/>
      </c>
      <c r="AI270">
        <f>IF(D269&lt;=0,0,ROUND(D269*(1+IF(AND(D$6&gt;0,$B270&lt;D$6),D$4,D$5)/12),2))</f>
        <v/>
      </c>
      <c r="AJ270">
        <f>IF(E269&lt;=0,0,ROUND(E269*(1+IF(AND(E$6&gt;0,$B270&lt;E$6),E$4,E$5)/12),2))</f>
        <v/>
      </c>
      <c r="AK270">
        <f>IF(F269&lt;=0,0,ROUND(F269*(1+IF(AND(F$6&gt;0,$B270&lt;F$6),F$4,F$5)/12),2))</f>
        <v/>
      </c>
      <c r="AL270">
        <f>IF(G269&lt;=0,0,ROUND(G269*(1+IF(AND(G$6&gt;0,$B270&lt;G$6),G$4,G$5)/12),2))</f>
        <v/>
      </c>
      <c r="AM270">
        <f>IF(H269&lt;=0,0,ROUND(H269*(1+IF(AND(H$6&gt;0,$B270&lt;H$6),H$4,H$5)/12),2))</f>
        <v/>
      </c>
      <c r="AN270">
        <f>IF(I269&lt;=0,0,ROUND(I269*(1+IF(AND(I$6&gt;0,$B270&lt;I$6),I$4,I$5)/12),2))</f>
        <v/>
      </c>
      <c r="AO270">
        <f>IF(J269&lt;=0,0,ROUND(J269*(1+IF(AND(J$6&gt;0,$B270&lt;J$6),J$4,J$5)/12),2))</f>
        <v/>
      </c>
      <c r="AP270">
        <f>IF(K269&lt;=0,0,ROUND(K269*(1+IF(AND(K$6&gt;0,$B270&lt;K$6),K$4,K$5)/12),2))</f>
        <v/>
      </c>
      <c r="AQ270">
        <f>IF(L269&lt;=0,0,ROUND(L269*(1+IF(AND(L$6&gt;0,$B270&lt;L$6),L$4,L$5)/12),2))</f>
        <v/>
      </c>
      <c r="AR270">
        <f>IF(M269&lt;=0,0,ROUND(M269*(1+IF(AND(M$6&gt;0,$B270&lt;M$6),M$4,M$5)/12),2))</f>
        <v/>
      </c>
      <c r="AS270">
        <f>IF(N269&lt;=0,0,ROUND(N269*(1+IF(AND(N$6&gt;0,$B270&lt;N$6),N$4,N$5)/12),2))</f>
        <v/>
      </c>
    </row>
    <row r="271">
      <c r="A271" t="n">
        <v>260</v>
      </c>
      <c r="B271">
        <f>EDATE(Plan!$C$6,259)</f>
        <v/>
      </c>
      <c r="C271">
        <f>IF(C270&lt;=0,0,MAX(0,AH271-O271))</f>
        <v/>
      </c>
      <c r="D271">
        <f>IF(D270&lt;=0,0,MAX(0,AI271-P271))</f>
        <v/>
      </c>
      <c r="E271">
        <f>IF(E270&lt;=0,0,MAX(0,AJ271-Q271))</f>
        <v/>
      </c>
      <c r="F271">
        <f>IF(F270&lt;=0,0,MAX(0,AK271-R271))</f>
        <v/>
      </c>
      <c r="G271">
        <f>IF(G270&lt;=0,0,MAX(0,AL271-S271))</f>
        <v/>
      </c>
      <c r="H271">
        <f>IF(H270&lt;=0,0,MAX(0,AM271-T271))</f>
        <v/>
      </c>
      <c r="I271">
        <f>IF(I270&lt;=0,0,MAX(0,AN271-U271))</f>
        <v/>
      </c>
      <c r="J271">
        <f>IF(J270&lt;=0,0,MAX(0,AO271-V271))</f>
        <v/>
      </c>
      <c r="K271">
        <f>IF(K270&lt;=0,0,MAX(0,AP271-W271))</f>
        <v/>
      </c>
      <c r="L271">
        <f>IF(L270&lt;=0,0,MAX(0,AQ271-X271))</f>
        <v/>
      </c>
      <c r="M271">
        <f>IF(M270&lt;=0,0,MAX(0,AR271-Y271))</f>
        <v/>
      </c>
      <c r="N271">
        <f>IF(N270&lt;=0,0,MAX(0,AS271-Z271))</f>
        <v/>
      </c>
      <c r="O271">
        <f>IF(C270&lt;=0,0,MIN(AH271,C$7+IF(C$2=$AA271,$AC271,IF(C$2=$AF271,$AG271,0))))</f>
        <v/>
      </c>
      <c r="P271">
        <f>IF(D270&lt;=0,0,MIN(AI271,D$7+IF(D$2=$AA271,$AC271,IF(D$2=$AF271,$AG271,0))))</f>
        <v/>
      </c>
      <c r="Q271">
        <f>IF(E270&lt;=0,0,MIN(AJ271,E$7+IF(E$2=$AA271,$AC271,IF(E$2=$AF271,$AG271,0))))</f>
        <v/>
      </c>
      <c r="R271">
        <f>IF(F270&lt;=0,0,MIN(AK271,F$7+IF(F$2=$AA271,$AC271,IF(F$2=$AF271,$AG271,0))))</f>
        <v/>
      </c>
      <c r="S271">
        <f>IF(G270&lt;=0,0,MIN(AL271,G$7+IF(G$2=$AA271,$AC271,IF(G$2=$AF271,$AG271,0))))</f>
        <v/>
      </c>
      <c r="T271">
        <f>IF(H270&lt;=0,0,MIN(AM271,H$7+IF(H$2=$AA271,$AC271,IF(H$2=$AF271,$AG271,0))))</f>
        <v/>
      </c>
      <c r="U271">
        <f>IF(I270&lt;=0,0,MIN(AN271,I$7+IF(I$2=$AA271,$AC271,IF(I$2=$AF271,$AG271,0))))</f>
        <v/>
      </c>
      <c r="V271">
        <f>IF(J270&lt;=0,0,MIN(AO271,J$7+IF(J$2=$AA271,$AC271,IF(J$2=$AF271,$AG271,0))))</f>
        <v/>
      </c>
      <c r="W271">
        <f>IF(K270&lt;=0,0,MIN(AP271,K$7+IF(K$2=$AA271,$AC271,IF(K$2=$AF271,$AG271,0))))</f>
        <v/>
      </c>
      <c r="X271">
        <f>IF(L270&lt;=0,0,MIN(AQ271,L$7+IF(L$2=$AA271,$AC271,IF(L$2=$AF271,$AG271,0))))</f>
        <v/>
      </c>
      <c r="Y271">
        <f>IF(M270&lt;=0,0,MIN(AR271,M$7+IF(M$2=$AA271,$AC271,IF(M$2=$AF271,$AG271,0))))</f>
        <v/>
      </c>
      <c r="Z271">
        <f>IF(N270&lt;=0,0,MIN(AS271,N$7+IF(N$2=$AA271,$AC271,IF(N$2=$AF271,$AG271,0))))</f>
        <v/>
      </c>
      <c r="AA271">
        <f>IFERROR(ROUND(1/SUMPRODUCT(MAX((C270:N270&gt;0)*($C$3:$N$3&lt;=B271)/$C$2:$N$2)),0),0)</f>
        <v/>
      </c>
      <c r="AB271">
        <f>SUMPRODUCT((C270:N270&gt;0)*$C$7:$N$7)</f>
        <v/>
      </c>
      <c r="AC271">
        <f>MAX(0,Plan!$C$5-AB271)+IF(A271=Plan!$C$8,N(Plan!$C$7),0)</f>
        <v/>
      </c>
      <c r="AD271">
        <f>SUM(C271:N271)</f>
        <v/>
      </c>
      <c r="AE271">
        <f>SUM(O271:Z271)</f>
        <v/>
      </c>
      <c r="AF271">
        <f>IFERROR(ROUND(1/SUMPRODUCT(MAX((C270:N270&gt;0)*($C$3:$N$3&lt;=B271)*($C$2:$N$2&gt;AA271)/$C$2:$N$2)),0),0)</f>
        <v/>
      </c>
      <c r="AG271">
        <f>MAX(0,AC271-MAX(0,SUMPRODUCT(($C$2:$N$2=AA271)*(AH271:AS271-$C$7:$N$7))))</f>
        <v/>
      </c>
      <c r="AH271">
        <f>IF(C270&lt;=0,0,ROUND(C270*(1+IF(AND(C$6&gt;0,$B271&lt;C$6),C$4,C$5)/12),2))</f>
        <v/>
      </c>
      <c r="AI271">
        <f>IF(D270&lt;=0,0,ROUND(D270*(1+IF(AND(D$6&gt;0,$B271&lt;D$6),D$4,D$5)/12),2))</f>
        <v/>
      </c>
      <c r="AJ271">
        <f>IF(E270&lt;=0,0,ROUND(E270*(1+IF(AND(E$6&gt;0,$B271&lt;E$6),E$4,E$5)/12),2))</f>
        <v/>
      </c>
      <c r="AK271">
        <f>IF(F270&lt;=0,0,ROUND(F270*(1+IF(AND(F$6&gt;0,$B271&lt;F$6),F$4,F$5)/12),2))</f>
        <v/>
      </c>
      <c r="AL271">
        <f>IF(G270&lt;=0,0,ROUND(G270*(1+IF(AND(G$6&gt;0,$B271&lt;G$6),G$4,G$5)/12),2))</f>
        <v/>
      </c>
      <c r="AM271">
        <f>IF(H270&lt;=0,0,ROUND(H270*(1+IF(AND(H$6&gt;0,$B271&lt;H$6),H$4,H$5)/12),2))</f>
        <v/>
      </c>
      <c r="AN271">
        <f>IF(I270&lt;=0,0,ROUND(I270*(1+IF(AND(I$6&gt;0,$B271&lt;I$6),I$4,I$5)/12),2))</f>
        <v/>
      </c>
      <c r="AO271">
        <f>IF(J270&lt;=0,0,ROUND(J270*(1+IF(AND(J$6&gt;0,$B271&lt;J$6),J$4,J$5)/12),2))</f>
        <v/>
      </c>
      <c r="AP271">
        <f>IF(K270&lt;=0,0,ROUND(K270*(1+IF(AND(K$6&gt;0,$B271&lt;K$6),K$4,K$5)/12),2))</f>
        <v/>
      </c>
      <c r="AQ271">
        <f>IF(L270&lt;=0,0,ROUND(L270*(1+IF(AND(L$6&gt;0,$B271&lt;L$6),L$4,L$5)/12),2))</f>
        <v/>
      </c>
      <c r="AR271">
        <f>IF(M270&lt;=0,0,ROUND(M270*(1+IF(AND(M$6&gt;0,$B271&lt;M$6),M$4,M$5)/12),2))</f>
        <v/>
      </c>
      <c r="AS271">
        <f>IF(N270&lt;=0,0,ROUND(N270*(1+IF(AND(N$6&gt;0,$B271&lt;N$6),N$4,N$5)/12),2))</f>
        <v/>
      </c>
    </row>
    <row r="272">
      <c r="A272" t="n">
        <v>261</v>
      </c>
      <c r="B272">
        <f>EDATE(Plan!$C$6,260)</f>
        <v/>
      </c>
      <c r="C272">
        <f>IF(C271&lt;=0,0,MAX(0,AH272-O272))</f>
        <v/>
      </c>
      <c r="D272">
        <f>IF(D271&lt;=0,0,MAX(0,AI272-P272))</f>
        <v/>
      </c>
      <c r="E272">
        <f>IF(E271&lt;=0,0,MAX(0,AJ272-Q272))</f>
        <v/>
      </c>
      <c r="F272">
        <f>IF(F271&lt;=0,0,MAX(0,AK272-R272))</f>
        <v/>
      </c>
      <c r="G272">
        <f>IF(G271&lt;=0,0,MAX(0,AL272-S272))</f>
        <v/>
      </c>
      <c r="H272">
        <f>IF(H271&lt;=0,0,MAX(0,AM272-T272))</f>
        <v/>
      </c>
      <c r="I272">
        <f>IF(I271&lt;=0,0,MAX(0,AN272-U272))</f>
        <v/>
      </c>
      <c r="J272">
        <f>IF(J271&lt;=0,0,MAX(0,AO272-V272))</f>
        <v/>
      </c>
      <c r="K272">
        <f>IF(K271&lt;=0,0,MAX(0,AP272-W272))</f>
        <v/>
      </c>
      <c r="L272">
        <f>IF(L271&lt;=0,0,MAX(0,AQ272-X272))</f>
        <v/>
      </c>
      <c r="M272">
        <f>IF(M271&lt;=0,0,MAX(0,AR272-Y272))</f>
        <v/>
      </c>
      <c r="N272">
        <f>IF(N271&lt;=0,0,MAX(0,AS272-Z272))</f>
        <v/>
      </c>
      <c r="O272">
        <f>IF(C271&lt;=0,0,MIN(AH272,C$7+IF(C$2=$AA272,$AC272,IF(C$2=$AF272,$AG272,0))))</f>
        <v/>
      </c>
      <c r="P272">
        <f>IF(D271&lt;=0,0,MIN(AI272,D$7+IF(D$2=$AA272,$AC272,IF(D$2=$AF272,$AG272,0))))</f>
        <v/>
      </c>
      <c r="Q272">
        <f>IF(E271&lt;=0,0,MIN(AJ272,E$7+IF(E$2=$AA272,$AC272,IF(E$2=$AF272,$AG272,0))))</f>
        <v/>
      </c>
      <c r="R272">
        <f>IF(F271&lt;=0,0,MIN(AK272,F$7+IF(F$2=$AA272,$AC272,IF(F$2=$AF272,$AG272,0))))</f>
        <v/>
      </c>
      <c r="S272">
        <f>IF(G271&lt;=0,0,MIN(AL272,G$7+IF(G$2=$AA272,$AC272,IF(G$2=$AF272,$AG272,0))))</f>
        <v/>
      </c>
      <c r="T272">
        <f>IF(H271&lt;=0,0,MIN(AM272,H$7+IF(H$2=$AA272,$AC272,IF(H$2=$AF272,$AG272,0))))</f>
        <v/>
      </c>
      <c r="U272">
        <f>IF(I271&lt;=0,0,MIN(AN272,I$7+IF(I$2=$AA272,$AC272,IF(I$2=$AF272,$AG272,0))))</f>
        <v/>
      </c>
      <c r="V272">
        <f>IF(J271&lt;=0,0,MIN(AO272,J$7+IF(J$2=$AA272,$AC272,IF(J$2=$AF272,$AG272,0))))</f>
        <v/>
      </c>
      <c r="W272">
        <f>IF(K271&lt;=0,0,MIN(AP272,K$7+IF(K$2=$AA272,$AC272,IF(K$2=$AF272,$AG272,0))))</f>
        <v/>
      </c>
      <c r="X272">
        <f>IF(L271&lt;=0,0,MIN(AQ272,L$7+IF(L$2=$AA272,$AC272,IF(L$2=$AF272,$AG272,0))))</f>
        <v/>
      </c>
      <c r="Y272">
        <f>IF(M271&lt;=0,0,MIN(AR272,M$7+IF(M$2=$AA272,$AC272,IF(M$2=$AF272,$AG272,0))))</f>
        <v/>
      </c>
      <c r="Z272">
        <f>IF(N271&lt;=0,0,MIN(AS272,N$7+IF(N$2=$AA272,$AC272,IF(N$2=$AF272,$AG272,0))))</f>
        <v/>
      </c>
      <c r="AA272">
        <f>IFERROR(ROUND(1/SUMPRODUCT(MAX((C271:N271&gt;0)*($C$3:$N$3&lt;=B272)/$C$2:$N$2)),0),0)</f>
        <v/>
      </c>
      <c r="AB272">
        <f>SUMPRODUCT((C271:N271&gt;0)*$C$7:$N$7)</f>
        <v/>
      </c>
      <c r="AC272">
        <f>MAX(0,Plan!$C$5-AB272)+IF(A272=Plan!$C$8,N(Plan!$C$7),0)</f>
        <v/>
      </c>
      <c r="AD272">
        <f>SUM(C272:N272)</f>
        <v/>
      </c>
      <c r="AE272">
        <f>SUM(O272:Z272)</f>
        <v/>
      </c>
      <c r="AF272">
        <f>IFERROR(ROUND(1/SUMPRODUCT(MAX((C271:N271&gt;0)*($C$3:$N$3&lt;=B272)*($C$2:$N$2&gt;AA272)/$C$2:$N$2)),0),0)</f>
        <v/>
      </c>
      <c r="AG272">
        <f>MAX(0,AC272-MAX(0,SUMPRODUCT(($C$2:$N$2=AA272)*(AH272:AS272-$C$7:$N$7))))</f>
        <v/>
      </c>
      <c r="AH272">
        <f>IF(C271&lt;=0,0,ROUND(C271*(1+IF(AND(C$6&gt;0,$B272&lt;C$6),C$4,C$5)/12),2))</f>
        <v/>
      </c>
      <c r="AI272">
        <f>IF(D271&lt;=0,0,ROUND(D271*(1+IF(AND(D$6&gt;0,$B272&lt;D$6),D$4,D$5)/12),2))</f>
        <v/>
      </c>
      <c r="AJ272">
        <f>IF(E271&lt;=0,0,ROUND(E271*(1+IF(AND(E$6&gt;0,$B272&lt;E$6),E$4,E$5)/12),2))</f>
        <v/>
      </c>
      <c r="AK272">
        <f>IF(F271&lt;=0,0,ROUND(F271*(1+IF(AND(F$6&gt;0,$B272&lt;F$6),F$4,F$5)/12),2))</f>
        <v/>
      </c>
      <c r="AL272">
        <f>IF(G271&lt;=0,0,ROUND(G271*(1+IF(AND(G$6&gt;0,$B272&lt;G$6),G$4,G$5)/12),2))</f>
        <v/>
      </c>
      <c r="AM272">
        <f>IF(H271&lt;=0,0,ROUND(H271*(1+IF(AND(H$6&gt;0,$B272&lt;H$6),H$4,H$5)/12),2))</f>
        <v/>
      </c>
      <c r="AN272">
        <f>IF(I271&lt;=0,0,ROUND(I271*(1+IF(AND(I$6&gt;0,$B272&lt;I$6),I$4,I$5)/12),2))</f>
        <v/>
      </c>
      <c r="AO272">
        <f>IF(J271&lt;=0,0,ROUND(J271*(1+IF(AND(J$6&gt;0,$B272&lt;J$6),J$4,J$5)/12),2))</f>
        <v/>
      </c>
      <c r="AP272">
        <f>IF(K271&lt;=0,0,ROUND(K271*(1+IF(AND(K$6&gt;0,$B272&lt;K$6),K$4,K$5)/12),2))</f>
        <v/>
      </c>
      <c r="AQ272">
        <f>IF(L271&lt;=0,0,ROUND(L271*(1+IF(AND(L$6&gt;0,$B272&lt;L$6),L$4,L$5)/12),2))</f>
        <v/>
      </c>
      <c r="AR272">
        <f>IF(M271&lt;=0,0,ROUND(M271*(1+IF(AND(M$6&gt;0,$B272&lt;M$6),M$4,M$5)/12),2))</f>
        <v/>
      </c>
      <c r="AS272">
        <f>IF(N271&lt;=0,0,ROUND(N271*(1+IF(AND(N$6&gt;0,$B272&lt;N$6),N$4,N$5)/12),2))</f>
        <v/>
      </c>
    </row>
    <row r="273">
      <c r="A273" t="n">
        <v>262</v>
      </c>
      <c r="B273">
        <f>EDATE(Plan!$C$6,261)</f>
        <v/>
      </c>
      <c r="C273">
        <f>IF(C272&lt;=0,0,MAX(0,AH273-O273))</f>
        <v/>
      </c>
      <c r="D273">
        <f>IF(D272&lt;=0,0,MAX(0,AI273-P273))</f>
        <v/>
      </c>
      <c r="E273">
        <f>IF(E272&lt;=0,0,MAX(0,AJ273-Q273))</f>
        <v/>
      </c>
      <c r="F273">
        <f>IF(F272&lt;=0,0,MAX(0,AK273-R273))</f>
        <v/>
      </c>
      <c r="G273">
        <f>IF(G272&lt;=0,0,MAX(0,AL273-S273))</f>
        <v/>
      </c>
      <c r="H273">
        <f>IF(H272&lt;=0,0,MAX(0,AM273-T273))</f>
        <v/>
      </c>
      <c r="I273">
        <f>IF(I272&lt;=0,0,MAX(0,AN273-U273))</f>
        <v/>
      </c>
      <c r="J273">
        <f>IF(J272&lt;=0,0,MAX(0,AO273-V273))</f>
        <v/>
      </c>
      <c r="K273">
        <f>IF(K272&lt;=0,0,MAX(0,AP273-W273))</f>
        <v/>
      </c>
      <c r="L273">
        <f>IF(L272&lt;=0,0,MAX(0,AQ273-X273))</f>
        <v/>
      </c>
      <c r="M273">
        <f>IF(M272&lt;=0,0,MAX(0,AR273-Y273))</f>
        <v/>
      </c>
      <c r="N273">
        <f>IF(N272&lt;=0,0,MAX(0,AS273-Z273))</f>
        <v/>
      </c>
      <c r="O273">
        <f>IF(C272&lt;=0,0,MIN(AH273,C$7+IF(C$2=$AA273,$AC273,IF(C$2=$AF273,$AG273,0))))</f>
        <v/>
      </c>
      <c r="P273">
        <f>IF(D272&lt;=0,0,MIN(AI273,D$7+IF(D$2=$AA273,$AC273,IF(D$2=$AF273,$AG273,0))))</f>
        <v/>
      </c>
      <c r="Q273">
        <f>IF(E272&lt;=0,0,MIN(AJ273,E$7+IF(E$2=$AA273,$AC273,IF(E$2=$AF273,$AG273,0))))</f>
        <v/>
      </c>
      <c r="R273">
        <f>IF(F272&lt;=0,0,MIN(AK273,F$7+IF(F$2=$AA273,$AC273,IF(F$2=$AF273,$AG273,0))))</f>
        <v/>
      </c>
      <c r="S273">
        <f>IF(G272&lt;=0,0,MIN(AL273,G$7+IF(G$2=$AA273,$AC273,IF(G$2=$AF273,$AG273,0))))</f>
        <v/>
      </c>
      <c r="T273">
        <f>IF(H272&lt;=0,0,MIN(AM273,H$7+IF(H$2=$AA273,$AC273,IF(H$2=$AF273,$AG273,0))))</f>
        <v/>
      </c>
      <c r="U273">
        <f>IF(I272&lt;=0,0,MIN(AN273,I$7+IF(I$2=$AA273,$AC273,IF(I$2=$AF273,$AG273,0))))</f>
        <v/>
      </c>
      <c r="V273">
        <f>IF(J272&lt;=0,0,MIN(AO273,J$7+IF(J$2=$AA273,$AC273,IF(J$2=$AF273,$AG273,0))))</f>
        <v/>
      </c>
      <c r="W273">
        <f>IF(K272&lt;=0,0,MIN(AP273,K$7+IF(K$2=$AA273,$AC273,IF(K$2=$AF273,$AG273,0))))</f>
        <v/>
      </c>
      <c r="X273">
        <f>IF(L272&lt;=0,0,MIN(AQ273,L$7+IF(L$2=$AA273,$AC273,IF(L$2=$AF273,$AG273,0))))</f>
        <v/>
      </c>
      <c r="Y273">
        <f>IF(M272&lt;=0,0,MIN(AR273,M$7+IF(M$2=$AA273,$AC273,IF(M$2=$AF273,$AG273,0))))</f>
        <v/>
      </c>
      <c r="Z273">
        <f>IF(N272&lt;=0,0,MIN(AS273,N$7+IF(N$2=$AA273,$AC273,IF(N$2=$AF273,$AG273,0))))</f>
        <v/>
      </c>
      <c r="AA273">
        <f>IFERROR(ROUND(1/SUMPRODUCT(MAX((C272:N272&gt;0)*($C$3:$N$3&lt;=B273)/$C$2:$N$2)),0),0)</f>
        <v/>
      </c>
      <c r="AB273">
        <f>SUMPRODUCT((C272:N272&gt;0)*$C$7:$N$7)</f>
        <v/>
      </c>
      <c r="AC273">
        <f>MAX(0,Plan!$C$5-AB273)+IF(A273=Plan!$C$8,N(Plan!$C$7),0)</f>
        <v/>
      </c>
      <c r="AD273">
        <f>SUM(C273:N273)</f>
        <v/>
      </c>
      <c r="AE273">
        <f>SUM(O273:Z273)</f>
        <v/>
      </c>
      <c r="AF273">
        <f>IFERROR(ROUND(1/SUMPRODUCT(MAX((C272:N272&gt;0)*($C$3:$N$3&lt;=B273)*($C$2:$N$2&gt;AA273)/$C$2:$N$2)),0),0)</f>
        <v/>
      </c>
      <c r="AG273">
        <f>MAX(0,AC273-MAX(0,SUMPRODUCT(($C$2:$N$2=AA273)*(AH273:AS273-$C$7:$N$7))))</f>
        <v/>
      </c>
      <c r="AH273">
        <f>IF(C272&lt;=0,0,ROUND(C272*(1+IF(AND(C$6&gt;0,$B273&lt;C$6),C$4,C$5)/12),2))</f>
        <v/>
      </c>
      <c r="AI273">
        <f>IF(D272&lt;=0,0,ROUND(D272*(1+IF(AND(D$6&gt;0,$B273&lt;D$6),D$4,D$5)/12),2))</f>
        <v/>
      </c>
      <c r="AJ273">
        <f>IF(E272&lt;=0,0,ROUND(E272*(1+IF(AND(E$6&gt;0,$B273&lt;E$6),E$4,E$5)/12),2))</f>
        <v/>
      </c>
      <c r="AK273">
        <f>IF(F272&lt;=0,0,ROUND(F272*(1+IF(AND(F$6&gt;0,$B273&lt;F$6),F$4,F$5)/12),2))</f>
        <v/>
      </c>
      <c r="AL273">
        <f>IF(G272&lt;=0,0,ROUND(G272*(1+IF(AND(G$6&gt;0,$B273&lt;G$6),G$4,G$5)/12),2))</f>
        <v/>
      </c>
      <c r="AM273">
        <f>IF(H272&lt;=0,0,ROUND(H272*(1+IF(AND(H$6&gt;0,$B273&lt;H$6),H$4,H$5)/12),2))</f>
        <v/>
      </c>
      <c r="AN273">
        <f>IF(I272&lt;=0,0,ROUND(I272*(1+IF(AND(I$6&gt;0,$B273&lt;I$6),I$4,I$5)/12),2))</f>
        <v/>
      </c>
      <c r="AO273">
        <f>IF(J272&lt;=0,0,ROUND(J272*(1+IF(AND(J$6&gt;0,$B273&lt;J$6),J$4,J$5)/12),2))</f>
        <v/>
      </c>
      <c r="AP273">
        <f>IF(K272&lt;=0,0,ROUND(K272*(1+IF(AND(K$6&gt;0,$B273&lt;K$6),K$4,K$5)/12),2))</f>
        <v/>
      </c>
      <c r="AQ273">
        <f>IF(L272&lt;=0,0,ROUND(L272*(1+IF(AND(L$6&gt;0,$B273&lt;L$6),L$4,L$5)/12),2))</f>
        <v/>
      </c>
      <c r="AR273">
        <f>IF(M272&lt;=0,0,ROUND(M272*(1+IF(AND(M$6&gt;0,$B273&lt;M$6),M$4,M$5)/12),2))</f>
        <v/>
      </c>
      <c r="AS273">
        <f>IF(N272&lt;=0,0,ROUND(N272*(1+IF(AND(N$6&gt;0,$B273&lt;N$6),N$4,N$5)/12),2))</f>
        <v/>
      </c>
    </row>
    <row r="274">
      <c r="A274" t="n">
        <v>263</v>
      </c>
      <c r="B274">
        <f>EDATE(Plan!$C$6,262)</f>
        <v/>
      </c>
      <c r="C274">
        <f>IF(C273&lt;=0,0,MAX(0,AH274-O274))</f>
        <v/>
      </c>
      <c r="D274">
        <f>IF(D273&lt;=0,0,MAX(0,AI274-P274))</f>
        <v/>
      </c>
      <c r="E274">
        <f>IF(E273&lt;=0,0,MAX(0,AJ274-Q274))</f>
        <v/>
      </c>
      <c r="F274">
        <f>IF(F273&lt;=0,0,MAX(0,AK274-R274))</f>
        <v/>
      </c>
      <c r="G274">
        <f>IF(G273&lt;=0,0,MAX(0,AL274-S274))</f>
        <v/>
      </c>
      <c r="H274">
        <f>IF(H273&lt;=0,0,MAX(0,AM274-T274))</f>
        <v/>
      </c>
      <c r="I274">
        <f>IF(I273&lt;=0,0,MAX(0,AN274-U274))</f>
        <v/>
      </c>
      <c r="J274">
        <f>IF(J273&lt;=0,0,MAX(0,AO274-V274))</f>
        <v/>
      </c>
      <c r="K274">
        <f>IF(K273&lt;=0,0,MAX(0,AP274-W274))</f>
        <v/>
      </c>
      <c r="L274">
        <f>IF(L273&lt;=0,0,MAX(0,AQ274-X274))</f>
        <v/>
      </c>
      <c r="M274">
        <f>IF(M273&lt;=0,0,MAX(0,AR274-Y274))</f>
        <v/>
      </c>
      <c r="N274">
        <f>IF(N273&lt;=0,0,MAX(0,AS274-Z274))</f>
        <v/>
      </c>
      <c r="O274">
        <f>IF(C273&lt;=0,0,MIN(AH274,C$7+IF(C$2=$AA274,$AC274,IF(C$2=$AF274,$AG274,0))))</f>
        <v/>
      </c>
      <c r="P274">
        <f>IF(D273&lt;=0,0,MIN(AI274,D$7+IF(D$2=$AA274,$AC274,IF(D$2=$AF274,$AG274,0))))</f>
        <v/>
      </c>
      <c r="Q274">
        <f>IF(E273&lt;=0,0,MIN(AJ274,E$7+IF(E$2=$AA274,$AC274,IF(E$2=$AF274,$AG274,0))))</f>
        <v/>
      </c>
      <c r="R274">
        <f>IF(F273&lt;=0,0,MIN(AK274,F$7+IF(F$2=$AA274,$AC274,IF(F$2=$AF274,$AG274,0))))</f>
        <v/>
      </c>
      <c r="S274">
        <f>IF(G273&lt;=0,0,MIN(AL274,G$7+IF(G$2=$AA274,$AC274,IF(G$2=$AF274,$AG274,0))))</f>
        <v/>
      </c>
      <c r="T274">
        <f>IF(H273&lt;=0,0,MIN(AM274,H$7+IF(H$2=$AA274,$AC274,IF(H$2=$AF274,$AG274,0))))</f>
        <v/>
      </c>
      <c r="U274">
        <f>IF(I273&lt;=0,0,MIN(AN274,I$7+IF(I$2=$AA274,$AC274,IF(I$2=$AF274,$AG274,0))))</f>
        <v/>
      </c>
      <c r="V274">
        <f>IF(J273&lt;=0,0,MIN(AO274,J$7+IF(J$2=$AA274,$AC274,IF(J$2=$AF274,$AG274,0))))</f>
        <v/>
      </c>
      <c r="W274">
        <f>IF(K273&lt;=0,0,MIN(AP274,K$7+IF(K$2=$AA274,$AC274,IF(K$2=$AF274,$AG274,0))))</f>
        <v/>
      </c>
      <c r="X274">
        <f>IF(L273&lt;=0,0,MIN(AQ274,L$7+IF(L$2=$AA274,$AC274,IF(L$2=$AF274,$AG274,0))))</f>
        <v/>
      </c>
      <c r="Y274">
        <f>IF(M273&lt;=0,0,MIN(AR274,M$7+IF(M$2=$AA274,$AC274,IF(M$2=$AF274,$AG274,0))))</f>
        <v/>
      </c>
      <c r="Z274">
        <f>IF(N273&lt;=0,0,MIN(AS274,N$7+IF(N$2=$AA274,$AC274,IF(N$2=$AF274,$AG274,0))))</f>
        <v/>
      </c>
      <c r="AA274">
        <f>IFERROR(ROUND(1/SUMPRODUCT(MAX((C273:N273&gt;0)*($C$3:$N$3&lt;=B274)/$C$2:$N$2)),0),0)</f>
        <v/>
      </c>
      <c r="AB274">
        <f>SUMPRODUCT((C273:N273&gt;0)*$C$7:$N$7)</f>
        <v/>
      </c>
      <c r="AC274">
        <f>MAX(0,Plan!$C$5-AB274)+IF(A274=Plan!$C$8,N(Plan!$C$7),0)</f>
        <v/>
      </c>
      <c r="AD274">
        <f>SUM(C274:N274)</f>
        <v/>
      </c>
      <c r="AE274">
        <f>SUM(O274:Z274)</f>
        <v/>
      </c>
      <c r="AF274">
        <f>IFERROR(ROUND(1/SUMPRODUCT(MAX((C273:N273&gt;0)*($C$3:$N$3&lt;=B274)*($C$2:$N$2&gt;AA274)/$C$2:$N$2)),0),0)</f>
        <v/>
      </c>
      <c r="AG274">
        <f>MAX(0,AC274-MAX(0,SUMPRODUCT(($C$2:$N$2=AA274)*(AH274:AS274-$C$7:$N$7))))</f>
        <v/>
      </c>
      <c r="AH274">
        <f>IF(C273&lt;=0,0,ROUND(C273*(1+IF(AND(C$6&gt;0,$B274&lt;C$6),C$4,C$5)/12),2))</f>
        <v/>
      </c>
      <c r="AI274">
        <f>IF(D273&lt;=0,0,ROUND(D273*(1+IF(AND(D$6&gt;0,$B274&lt;D$6),D$4,D$5)/12),2))</f>
        <v/>
      </c>
      <c r="AJ274">
        <f>IF(E273&lt;=0,0,ROUND(E273*(1+IF(AND(E$6&gt;0,$B274&lt;E$6),E$4,E$5)/12),2))</f>
        <v/>
      </c>
      <c r="AK274">
        <f>IF(F273&lt;=0,0,ROUND(F273*(1+IF(AND(F$6&gt;0,$B274&lt;F$6),F$4,F$5)/12),2))</f>
        <v/>
      </c>
      <c r="AL274">
        <f>IF(G273&lt;=0,0,ROUND(G273*(1+IF(AND(G$6&gt;0,$B274&lt;G$6),G$4,G$5)/12),2))</f>
        <v/>
      </c>
      <c r="AM274">
        <f>IF(H273&lt;=0,0,ROUND(H273*(1+IF(AND(H$6&gt;0,$B274&lt;H$6),H$4,H$5)/12),2))</f>
        <v/>
      </c>
      <c r="AN274">
        <f>IF(I273&lt;=0,0,ROUND(I273*(1+IF(AND(I$6&gt;0,$B274&lt;I$6),I$4,I$5)/12),2))</f>
        <v/>
      </c>
      <c r="AO274">
        <f>IF(J273&lt;=0,0,ROUND(J273*(1+IF(AND(J$6&gt;0,$B274&lt;J$6),J$4,J$5)/12),2))</f>
        <v/>
      </c>
      <c r="AP274">
        <f>IF(K273&lt;=0,0,ROUND(K273*(1+IF(AND(K$6&gt;0,$B274&lt;K$6),K$4,K$5)/12),2))</f>
        <v/>
      </c>
      <c r="AQ274">
        <f>IF(L273&lt;=0,0,ROUND(L273*(1+IF(AND(L$6&gt;0,$B274&lt;L$6),L$4,L$5)/12),2))</f>
        <v/>
      </c>
      <c r="AR274">
        <f>IF(M273&lt;=0,0,ROUND(M273*(1+IF(AND(M$6&gt;0,$B274&lt;M$6),M$4,M$5)/12),2))</f>
        <v/>
      </c>
      <c r="AS274">
        <f>IF(N273&lt;=0,0,ROUND(N273*(1+IF(AND(N$6&gt;0,$B274&lt;N$6),N$4,N$5)/12),2))</f>
        <v/>
      </c>
    </row>
    <row r="275">
      <c r="A275" t="n">
        <v>264</v>
      </c>
      <c r="B275">
        <f>EDATE(Plan!$C$6,263)</f>
        <v/>
      </c>
      <c r="C275">
        <f>IF(C274&lt;=0,0,MAX(0,AH275-O275))</f>
        <v/>
      </c>
      <c r="D275">
        <f>IF(D274&lt;=0,0,MAX(0,AI275-P275))</f>
        <v/>
      </c>
      <c r="E275">
        <f>IF(E274&lt;=0,0,MAX(0,AJ275-Q275))</f>
        <v/>
      </c>
      <c r="F275">
        <f>IF(F274&lt;=0,0,MAX(0,AK275-R275))</f>
        <v/>
      </c>
      <c r="G275">
        <f>IF(G274&lt;=0,0,MAX(0,AL275-S275))</f>
        <v/>
      </c>
      <c r="H275">
        <f>IF(H274&lt;=0,0,MAX(0,AM275-T275))</f>
        <v/>
      </c>
      <c r="I275">
        <f>IF(I274&lt;=0,0,MAX(0,AN275-U275))</f>
        <v/>
      </c>
      <c r="J275">
        <f>IF(J274&lt;=0,0,MAX(0,AO275-V275))</f>
        <v/>
      </c>
      <c r="K275">
        <f>IF(K274&lt;=0,0,MAX(0,AP275-W275))</f>
        <v/>
      </c>
      <c r="L275">
        <f>IF(L274&lt;=0,0,MAX(0,AQ275-X275))</f>
        <v/>
      </c>
      <c r="M275">
        <f>IF(M274&lt;=0,0,MAX(0,AR275-Y275))</f>
        <v/>
      </c>
      <c r="N275">
        <f>IF(N274&lt;=0,0,MAX(0,AS275-Z275))</f>
        <v/>
      </c>
      <c r="O275">
        <f>IF(C274&lt;=0,0,MIN(AH275,C$7+IF(C$2=$AA275,$AC275,IF(C$2=$AF275,$AG275,0))))</f>
        <v/>
      </c>
      <c r="P275">
        <f>IF(D274&lt;=0,0,MIN(AI275,D$7+IF(D$2=$AA275,$AC275,IF(D$2=$AF275,$AG275,0))))</f>
        <v/>
      </c>
      <c r="Q275">
        <f>IF(E274&lt;=0,0,MIN(AJ275,E$7+IF(E$2=$AA275,$AC275,IF(E$2=$AF275,$AG275,0))))</f>
        <v/>
      </c>
      <c r="R275">
        <f>IF(F274&lt;=0,0,MIN(AK275,F$7+IF(F$2=$AA275,$AC275,IF(F$2=$AF275,$AG275,0))))</f>
        <v/>
      </c>
      <c r="S275">
        <f>IF(G274&lt;=0,0,MIN(AL275,G$7+IF(G$2=$AA275,$AC275,IF(G$2=$AF275,$AG275,0))))</f>
        <v/>
      </c>
      <c r="T275">
        <f>IF(H274&lt;=0,0,MIN(AM275,H$7+IF(H$2=$AA275,$AC275,IF(H$2=$AF275,$AG275,0))))</f>
        <v/>
      </c>
      <c r="U275">
        <f>IF(I274&lt;=0,0,MIN(AN275,I$7+IF(I$2=$AA275,$AC275,IF(I$2=$AF275,$AG275,0))))</f>
        <v/>
      </c>
      <c r="V275">
        <f>IF(J274&lt;=0,0,MIN(AO275,J$7+IF(J$2=$AA275,$AC275,IF(J$2=$AF275,$AG275,0))))</f>
        <v/>
      </c>
      <c r="W275">
        <f>IF(K274&lt;=0,0,MIN(AP275,K$7+IF(K$2=$AA275,$AC275,IF(K$2=$AF275,$AG275,0))))</f>
        <v/>
      </c>
      <c r="X275">
        <f>IF(L274&lt;=0,0,MIN(AQ275,L$7+IF(L$2=$AA275,$AC275,IF(L$2=$AF275,$AG275,0))))</f>
        <v/>
      </c>
      <c r="Y275">
        <f>IF(M274&lt;=0,0,MIN(AR275,M$7+IF(M$2=$AA275,$AC275,IF(M$2=$AF275,$AG275,0))))</f>
        <v/>
      </c>
      <c r="Z275">
        <f>IF(N274&lt;=0,0,MIN(AS275,N$7+IF(N$2=$AA275,$AC275,IF(N$2=$AF275,$AG275,0))))</f>
        <v/>
      </c>
      <c r="AA275">
        <f>IFERROR(ROUND(1/SUMPRODUCT(MAX((C274:N274&gt;0)*($C$3:$N$3&lt;=B275)/$C$2:$N$2)),0),0)</f>
        <v/>
      </c>
      <c r="AB275">
        <f>SUMPRODUCT((C274:N274&gt;0)*$C$7:$N$7)</f>
        <v/>
      </c>
      <c r="AC275">
        <f>MAX(0,Plan!$C$5-AB275)+IF(A275=Plan!$C$8,N(Plan!$C$7),0)</f>
        <v/>
      </c>
      <c r="AD275">
        <f>SUM(C275:N275)</f>
        <v/>
      </c>
      <c r="AE275">
        <f>SUM(O275:Z275)</f>
        <v/>
      </c>
      <c r="AF275">
        <f>IFERROR(ROUND(1/SUMPRODUCT(MAX((C274:N274&gt;0)*($C$3:$N$3&lt;=B275)*($C$2:$N$2&gt;AA275)/$C$2:$N$2)),0),0)</f>
        <v/>
      </c>
      <c r="AG275">
        <f>MAX(0,AC275-MAX(0,SUMPRODUCT(($C$2:$N$2=AA275)*(AH275:AS275-$C$7:$N$7))))</f>
        <v/>
      </c>
      <c r="AH275">
        <f>IF(C274&lt;=0,0,ROUND(C274*(1+IF(AND(C$6&gt;0,$B275&lt;C$6),C$4,C$5)/12),2))</f>
        <v/>
      </c>
      <c r="AI275">
        <f>IF(D274&lt;=0,0,ROUND(D274*(1+IF(AND(D$6&gt;0,$B275&lt;D$6),D$4,D$5)/12),2))</f>
        <v/>
      </c>
      <c r="AJ275">
        <f>IF(E274&lt;=0,0,ROUND(E274*(1+IF(AND(E$6&gt;0,$B275&lt;E$6),E$4,E$5)/12),2))</f>
        <v/>
      </c>
      <c r="AK275">
        <f>IF(F274&lt;=0,0,ROUND(F274*(1+IF(AND(F$6&gt;0,$B275&lt;F$6),F$4,F$5)/12),2))</f>
        <v/>
      </c>
      <c r="AL275">
        <f>IF(G274&lt;=0,0,ROUND(G274*(1+IF(AND(G$6&gt;0,$B275&lt;G$6),G$4,G$5)/12),2))</f>
        <v/>
      </c>
      <c r="AM275">
        <f>IF(H274&lt;=0,0,ROUND(H274*(1+IF(AND(H$6&gt;0,$B275&lt;H$6),H$4,H$5)/12),2))</f>
        <v/>
      </c>
      <c r="AN275">
        <f>IF(I274&lt;=0,0,ROUND(I274*(1+IF(AND(I$6&gt;0,$B275&lt;I$6),I$4,I$5)/12),2))</f>
        <v/>
      </c>
      <c r="AO275">
        <f>IF(J274&lt;=0,0,ROUND(J274*(1+IF(AND(J$6&gt;0,$B275&lt;J$6),J$4,J$5)/12),2))</f>
        <v/>
      </c>
      <c r="AP275">
        <f>IF(K274&lt;=0,0,ROUND(K274*(1+IF(AND(K$6&gt;0,$B275&lt;K$6),K$4,K$5)/12),2))</f>
        <v/>
      </c>
      <c r="AQ275">
        <f>IF(L274&lt;=0,0,ROUND(L274*(1+IF(AND(L$6&gt;0,$B275&lt;L$6),L$4,L$5)/12),2))</f>
        <v/>
      </c>
      <c r="AR275">
        <f>IF(M274&lt;=0,0,ROUND(M274*(1+IF(AND(M$6&gt;0,$B275&lt;M$6),M$4,M$5)/12),2))</f>
        <v/>
      </c>
      <c r="AS275">
        <f>IF(N274&lt;=0,0,ROUND(N274*(1+IF(AND(N$6&gt;0,$B275&lt;N$6),N$4,N$5)/12),2))</f>
        <v/>
      </c>
    </row>
    <row r="276">
      <c r="A276" t="n">
        <v>265</v>
      </c>
      <c r="B276">
        <f>EDATE(Plan!$C$6,264)</f>
        <v/>
      </c>
      <c r="C276">
        <f>IF(C275&lt;=0,0,MAX(0,AH276-O276))</f>
        <v/>
      </c>
      <c r="D276">
        <f>IF(D275&lt;=0,0,MAX(0,AI276-P276))</f>
        <v/>
      </c>
      <c r="E276">
        <f>IF(E275&lt;=0,0,MAX(0,AJ276-Q276))</f>
        <v/>
      </c>
      <c r="F276">
        <f>IF(F275&lt;=0,0,MAX(0,AK276-R276))</f>
        <v/>
      </c>
      <c r="G276">
        <f>IF(G275&lt;=0,0,MAX(0,AL276-S276))</f>
        <v/>
      </c>
      <c r="H276">
        <f>IF(H275&lt;=0,0,MAX(0,AM276-T276))</f>
        <v/>
      </c>
      <c r="I276">
        <f>IF(I275&lt;=0,0,MAX(0,AN276-U276))</f>
        <v/>
      </c>
      <c r="J276">
        <f>IF(J275&lt;=0,0,MAX(0,AO276-V276))</f>
        <v/>
      </c>
      <c r="K276">
        <f>IF(K275&lt;=0,0,MAX(0,AP276-W276))</f>
        <v/>
      </c>
      <c r="L276">
        <f>IF(L275&lt;=0,0,MAX(0,AQ276-X276))</f>
        <v/>
      </c>
      <c r="M276">
        <f>IF(M275&lt;=0,0,MAX(0,AR276-Y276))</f>
        <v/>
      </c>
      <c r="N276">
        <f>IF(N275&lt;=0,0,MAX(0,AS276-Z276))</f>
        <v/>
      </c>
      <c r="O276">
        <f>IF(C275&lt;=0,0,MIN(AH276,C$7+IF(C$2=$AA276,$AC276,IF(C$2=$AF276,$AG276,0))))</f>
        <v/>
      </c>
      <c r="P276">
        <f>IF(D275&lt;=0,0,MIN(AI276,D$7+IF(D$2=$AA276,$AC276,IF(D$2=$AF276,$AG276,0))))</f>
        <v/>
      </c>
      <c r="Q276">
        <f>IF(E275&lt;=0,0,MIN(AJ276,E$7+IF(E$2=$AA276,$AC276,IF(E$2=$AF276,$AG276,0))))</f>
        <v/>
      </c>
      <c r="R276">
        <f>IF(F275&lt;=0,0,MIN(AK276,F$7+IF(F$2=$AA276,$AC276,IF(F$2=$AF276,$AG276,0))))</f>
        <v/>
      </c>
      <c r="S276">
        <f>IF(G275&lt;=0,0,MIN(AL276,G$7+IF(G$2=$AA276,$AC276,IF(G$2=$AF276,$AG276,0))))</f>
        <v/>
      </c>
      <c r="T276">
        <f>IF(H275&lt;=0,0,MIN(AM276,H$7+IF(H$2=$AA276,$AC276,IF(H$2=$AF276,$AG276,0))))</f>
        <v/>
      </c>
      <c r="U276">
        <f>IF(I275&lt;=0,0,MIN(AN276,I$7+IF(I$2=$AA276,$AC276,IF(I$2=$AF276,$AG276,0))))</f>
        <v/>
      </c>
      <c r="V276">
        <f>IF(J275&lt;=0,0,MIN(AO276,J$7+IF(J$2=$AA276,$AC276,IF(J$2=$AF276,$AG276,0))))</f>
        <v/>
      </c>
      <c r="W276">
        <f>IF(K275&lt;=0,0,MIN(AP276,K$7+IF(K$2=$AA276,$AC276,IF(K$2=$AF276,$AG276,0))))</f>
        <v/>
      </c>
      <c r="X276">
        <f>IF(L275&lt;=0,0,MIN(AQ276,L$7+IF(L$2=$AA276,$AC276,IF(L$2=$AF276,$AG276,0))))</f>
        <v/>
      </c>
      <c r="Y276">
        <f>IF(M275&lt;=0,0,MIN(AR276,M$7+IF(M$2=$AA276,$AC276,IF(M$2=$AF276,$AG276,0))))</f>
        <v/>
      </c>
      <c r="Z276">
        <f>IF(N275&lt;=0,0,MIN(AS276,N$7+IF(N$2=$AA276,$AC276,IF(N$2=$AF276,$AG276,0))))</f>
        <v/>
      </c>
      <c r="AA276">
        <f>IFERROR(ROUND(1/SUMPRODUCT(MAX((C275:N275&gt;0)*($C$3:$N$3&lt;=B276)/$C$2:$N$2)),0),0)</f>
        <v/>
      </c>
      <c r="AB276">
        <f>SUMPRODUCT((C275:N275&gt;0)*$C$7:$N$7)</f>
        <v/>
      </c>
      <c r="AC276">
        <f>MAX(0,Plan!$C$5-AB276)+IF(A276=Plan!$C$8,N(Plan!$C$7),0)</f>
        <v/>
      </c>
      <c r="AD276">
        <f>SUM(C276:N276)</f>
        <v/>
      </c>
      <c r="AE276">
        <f>SUM(O276:Z276)</f>
        <v/>
      </c>
      <c r="AF276">
        <f>IFERROR(ROUND(1/SUMPRODUCT(MAX((C275:N275&gt;0)*($C$3:$N$3&lt;=B276)*($C$2:$N$2&gt;AA276)/$C$2:$N$2)),0),0)</f>
        <v/>
      </c>
      <c r="AG276">
        <f>MAX(0,AC276-MAX(0,SUMPRODUCT(($C$2:$N$2=AA276)*(AH276:AS276-$C$7:$N$7))))</f>
        <v/>
      </c>
      <c r="AH276">
        <f>IF(C275&lt;=0,0,ROUND(C275*(1+IF(AND(C$6&gt;0,$B276&lt;C$6),C$4,C$5)/12),2))</f>
        <v/>
      </c>
      <c r="AI276">
        <f>IF(D275&lt;=0,0,ROUND(D275*(1+IF(AND(D$6&gt;0,$B276&lt;D$6),D$4,D$5)/12),2))</f>
        <v/>
      </c>
      <c r="AJ276">
        <f>IF(E275&lt;=0,0,ROUND(E275*(1+IF(AND(E$6&gt;0,$B276&lt;E$6),E$4,E$5)/12),2))</f>
        <v/>
      </c>
      <c r="AK276">
        <f>IF(F275&lt;=0,0,ROUND(F275*(1+IF(AND(F$6&gt;0,$B276&lt;F$6),F$4,F$5)/12),2))</f>
        <v/>
      </c>
      <c r="AL276">
        <f>IF(G275&lt;=0,0,ROUND(G275*(1+IF(AND(G$6&gt;0,$B276&lt;G$6),G$4,G$5)/12),2))</f>
        <v/>
      </c>
      <c r="AM276">
        <f>IF(H275&lt;=0,0,ROUND(H275*(1+IF(AND(H$6&gt;0,$B276&lt;H$6),H$4,H$5)/12),2))</f>
        <v/>
      </c>
      <c r="AN276">
        <f>IF(I275&lt;=0,0,ROUND(I275*(1+IF(AND(I$6&gt;0,$B276&lt;I$6),I$4,I$5)/12),2))</f>
        <v/>
      </c>
      <c r="AO276">
        <f>IF(J275&lt;=0,0,ROUND(J275*(1+IF(AND(J$6&gt;0,$B276&lt;J$6),J$4,J$5)/12),2))</f>
        <v/>
      </c>
      <c r="AP276">
        <f>IF(K275&lt;=0,0,ROUND(K275*(1+IF(AND(K$6&gt;0,$B276&lt;K$6),K$4,K$5)/12),2))</f>
        <v/>
      </c>
      <c r="AQ276">
        <f>IF(L275&lt;=0,0,ROUND(L275*(1+IF(AND(L$6&gt;0,$B276&lt;L$6),L$4,L$5)/12),2))</f>
        <v/>
      </c>
      <c r="AR276">
        <f>IF(M275&lt;=0,0,ROUND(M275*(1+IF(AND(M$6&gt;0,$B276&lt;M$6),M$4,M$5)/12),2))</f>
        <v/>
      </c>
      <c r="AS276">
        <f>IF(N275&lt;=0,0,ROUND(N275*(1+IF(AND(N$6&gt;0,$B276&lt;N$6),N$4,N$5)/12),2))</f>
        <v/>
      </c>
    </row>
    <row r="277">
      <c r="A277" t="n">
        <v>266</v>
      </c>
      <c r="B277">
        <f>EDATE(Plan!$C$6,265)</f>
        <v/>
      </c>
      <c r="C277">
        <f>IF(C276&lt;=0,0,MAX(0,AH277-O277))</f>
        <v/>
      </c>
      <c r="D277">
        <f>IF(D276&lt;=0,0,MAX(0,AI277-P277))</f>
        <v/>
      </c>
      <c r="E277">
        <f>IF(E276&lt;=0,0,MAX(0,AJ277-Q277))</f>
        <v/>
      </c>
      <c r="F277">
        <f>IF(F276&lt;=0,0,MAX(0,AK277-R277))</f>
        <v/>
      </c>
      <c r="G277">
        <f>IF(G276&lt;=0,0,MAX(0,AL277-S277))</f>
        <v/>
      </c>
      <c r="H277">
        <f>IF(H276&lt;=0,0,MAX(0,AM277-T277))</f>
        <v/>
      </c>
      <c r="I277">
        <f>IF(I276&lt;=0,0,MAX(0,AN277-U277))</f>
        <v/>
      </c>
      <c r="J277">
        <f>IF(J276&lt;=0,0,MAX(0,AO277-V277))</f>
        <v/>
      </c>
      <c r="K277">
        <f>IF(K276&lt;=0,0,MAX(0,AP277-W277))</f>
        <v/>
      </c>
      <c r="L277">
        <f>IF(L276&lt;=0,0,MAX(0,AQ277-X277))</f>
        <v/>
      </c>
      <c r="M277">
        <f>IF(M276&lt;=0,0,MAX(0,AR277-Y277))</f>
        <v/>
      </c>
      <c r="N277">
        <f>IF(N276&lt;=0,0,MAX(0,AS277-Z277))</f>
        <v/>
      </c>
      <c r="O277">
        <f>IF(C276&lt;=0,0,MIN(AH277,C$7+IF(C$2=$AA277,$AC277,IF(C$2=$AF277,$AG277,0))))</f>
        <v/>
      </c>
      <c r="P277">
        <f>IF(D276&lt;=0,0,MIN(AI277,D$7+IF(D$2=$AA277,$AC277,IF(D$2=$AF277,$AG277,0))))</f>
        <v/>
      </c>
      <c r="Q277">
        <f>IF(E276&lt;=0,0,MIN(AJ277,E$7+IF(E$2=$AA277,$AC277,IF(E$2=$AF277,$AG277,0))))</f>
        <v/>
      </c>
      <c r="R277">
        <f>IF(F276&lt;=0,0,MIN(AK277,F$7+IF(F$2=$AA277,$AC277,IF(F$2=$AF277,$AG277,0))))</f>
        <v/>
      </c>
      <c r="S277">
        <f>IF(G276&lt;=0,0,MIN(AL277,G$7+IF(G$2=$AA277,$AC277,IF(G$2=$AF277,$AG277,0))))</f>
        <v/>
      </c>
      <c r="T277">
        <f>IF(H276&lt;=0,0,MIN(AM277,H$7+IF(H$2=$AA277,$AC277,IF(H$2=$AF277,$AG277,0))))</f>
        <v/>
      </c>
      <c r="U277">
        <f>IF(I276&lt;=0,0,MIN(AN277,I$7+IF(I$2=$AA277,$AC277,IF(I$2=$AF277,$AG277,0))))</f>
        <v/>
      </c>
      <c r="V277">
        <f>IF(J276&lt;=0,0,MIN(AO277,J$7+IF(J$2=$AA277,$AC277,IF(J$2=$AF277,$AG277,0))))</f>
        <v/>
      </c>
      <c r="W277">
        <f>IF(K276&lt;=0,0,MIN(AP277,K$7+IF(K$2=$AA277,$AC277,IF(K$2=$AF277,$AG277,0))))</f>
        <v/>
      </c>
      <c r="X277">
        <f>IF(L276&lt;=0,0,MIN(AQ277,L$7+IF(L$2=$AA277,$AC277,IF(L$2=$AF277,$AG277,0))))</f>
        <v/>
      </c>
      <c r="Y277">
        <f>IF(M276&lt;=0,0,MIN(AR277,M$7+IF(M$2=$AA277,$AC277,IF(M$2=$AF277,$AG277,0))))</f>
        <v/>
      </c>
      <c r="Z277">
        <f>IF(N276&lt;=0,0,MIN(AS277,N$7+IF(N$2=$AA277,$AC277,IF(N$2=$AF277,$AG277,0))))</f>
        <v/>
      </c>
      <c r="AA277">
        <f>IFERROR(ROUND(1/SUMPRODUCT(MAX((C276:N276&gt;0)*($C$3:$N$3&lt;=B277)/$C$2:$N$2)),0),0)</f>
        <v/>
      </c>
      <c r="AB277">
        <f>SUMPRODUCT((C276:N276&gt;0)*$C$7:$N$7)</f>
        <v/>
      </c>
      <c r="AC277">
        <f>MAX(0,Plan!$C$5-AB277)+IF(A277=Plan!$C$8,N(Plan!$C$7),0)</f>
        <v/>
      </c>
      <c r="AD277">
        <f>SUM(C277:N277)</f>
        <v/>
      </c>
      <c r="AE277">
        <f>SUM(O277:Z277)</f>
        <v/>
      </c>
      <c r="AF277">
        <f>IFERROR(ROUND(1/SUMPRODUCT(MAX((C276:N276&gt;0)*($C$3:$N$3&lt;=B277)*($C$2:$N$2&gt;AA277)/$C$2:$N$2)),0),0)</f>
        <v/>
      </c>
      <c r="AG277">
        <f>MAX(0,AC277-MAX(0,SUMPRODUCT(($C$2:$N$2=AA277)*(AH277:AS277-$C$7:$N$7))))</f>
        <v/>
      </c>
      <c r="AH277">
        <f>IF(C276&lt;=0,0,ROUND(C276*(1+IF(AND(C$6&gt;0,$B277&lt;C$6),C$4,C$5)/12),2))</f>
        <v/>
      </c>
      <c r="AI277">
        <f>IF(D276&lt;=0,0,ROUND(D276*(1+IF(AND(D$6&gt;0,$B277&lt;D$6),D$4,D$5)/12),2))</f>
        <v/>
      </c>
      <c r="AJ277">
        <f>IF(E276&lt;=0,0,ROUND(E276*(1+IF(AND(E$6&gt;0,$B277&lt;E$6),E$4,E$5)/12),2))</f>
        <v/>
      </c>
      <c r="AK277">
        <f>IF(F276&lt;=0,0,ROUND(F276*(1+IF(AND(F$6&gt;0,$B277&lt;F$6),F$4,F$5)/12),2))</f>
        <v/>
      </c>
      <c r="AL277">
        <f>IF(G276&lt;=0,0,ROUND(G276*(1+IF(AND(G$6&gt;0,$B277&lt;G$6),G$4,G$5)/12),2))</f>
        <v/>
      </c>
      <c r="AM277">
        <f>IF(H276&lt;=0,0,ROUND(H276*(1+IF(AND(H$6&gt;0,$B277&lt;H$6),H$4,H$5)/12),2))</f>
        <v/>
      </c>
      <c r="AN277">
        <f>IF(I276&lt;=0,0,ROUND(I276*(1+IF(AND(I$6&gt;0,$B277&lt;I$6),I$4,I$5)/12),2))</f>
        <v/>
      </c>
      <c r="AO277">
        <f>IF(J276&lt;=0,0,ROUND(J276*(1+IF(AND(J$6&gt;0,$B277&lt;J$6),J$4,J$5)/12),2))</f>
        <v/>
      </c>
      <c r="AP277">
        <f>IF(K276&lt;=0,0,ROUND(K276*(1+IF(AND(K$6&gt;0,$B277&lt;K$6),K$4,K$5)/12),2))</f>
        <v/>
      </c>
      <c r="AQ277">
        <f>IF(L276&lt;=0,0,ROUND(L276*(1+IF(AND(L$6&gt;0,$B277&lt;L$6),L$4,L$5)/12),2))</f>
        <v/>
      </c>
      <c r="AR277">
        <f>IF(M276&lt;=0,0,ROUND(M276*(1+IF(AND(M$6&gt;0,$B277&lt;M$6),M$4,M$5)/12),2))</f>
        <v/>
      </c>
      <c r="AS277">
        <f>IF(N276&lt;=0,0,ROUND(N276*(1+IF(AND(N$6&gt;0,$B277&lt;N$6),N$4,N$5)/12),2))</f>
        <v/>
      </c>
    </row>
    <row r="278">
      <c r="A278" t="n">
        <v>267</v>
      </c>
      <c r="B278">
        <f>EDATE(Plan!$C$6,266)</f>
        <v/>
      </c>
      <c r="C278">
        <f>IF(C277&lt;=0,0,MAX(0,AH278-O278))</f>
        <v/>
      </c>
      <c r="D278">
        <f>IF(D277&lt;=0,0,MAX(0,AI278-P278))</f>
        <v/>
      </c>
      <c r="E278">
        <f>IF(E277&lt;=0,0,MAX(0,AJ278-Q278))</f>
        <v/>
      </c>
      <c r="F278">
        <f>IF(F277&lt;=0,0,MAX(0,AK278-R278))</f>
        <v/>
      </c>
      <c r="G278">
        <f>IF(G277&lt;=0,0,MAX(0,AL278-S278))</f>
        <v/>
      </c>
      <c r="H278">
        <f>IF(H277&lt;=0,0,MAX(0,AM278-T278))</f>
        <v/>
      </c>
      <c r="I278">
        <f>IF(I277&lt;=0,0,MAX(0,AN278-U278))</f>
        <v/>
      </c>
      <c r="J278">
        <f>IF(J277&lt;=0,0,MAX(0,AO278-V278))</f>
        <v/>
      </c>
      <c r="K278">
        <f>IF(K277&lt;=0,0,MAX(0,AP278-W278))</f>
        <v/>
      </c>
      <c r="L278">
        <f>IF(L277&lt;=0,0,MAX(0,AQ278-X278))</f>
        <v/>
      </c>
      <c r="M278">
        <f>IF(M277&lt;=0,0,MAX(0,AR278-Y278))</f>
        <v/>
      </c>
      <c r="N278">
        <f>IF(N277&lt;=0,0,MAX(0,AS278-Z278))</f>
        <v/>
      </c>
      <c r="O278">
        <f>IF(C277&lt;=0,0,MIN(AH278,C$7+IF(C$2=$AA278,$AC278,IF(C$2=$AF278,$AG278,0))))</f>
        <v/>
      </c>
      <c r="P278">
        <f>IF(D277&lt;=0,0,MIN(AI278,D$7+IF(D$2=$AA278,$AC278,IF(D$2=$AF278,$AG278,0))))</f>
        <v/>
      </c>
      <c r="Q278">
        <f>IF(E277&lt;=0,0,MIN(AJ278,E$7+IF(E$2=$AA278,$AC278,IF(E$2=$AF278,$AG278,0))))</f>
        <v/>
      </c>
      <c r="R278">
        <f>IF(F277&lt;=0,0,MIN(AK278,F$7+IF(F$2=$AA278,$AC278,IF(F$2=$AF278,$AG278,0))))</f>
        <v/>
      </c>
      <c r="S278">
        <f>IF(G277&lt;=0,0,MIN(AL278,G$7+IF(G$2=$AA278,$AC278,IF(G$2=$AF278,$AG278,0))))</f>
        <v/>
      </c>
      <c r="T278">
        <f>IF(H277&lt;=0,0,MIN(AM278,H$7+IF(H$2=$AA278,$AC278,IF(H$2=$AF278,$AG278,0))))</f>
        <v/>
      </c>
      <c r="U278">
        <f>IF(I277&lt;=0,0,MIN(AN278,I$7+IF(I$2=$AA278,$AC278,IF(I$2=$AF278,$AG278,0))))</f>
        <v/>
      </c>
      <c r="V278">
        <f>IF(J277&lt;=0,0,MIN(AO278,J$7+IF(J$2=$AA278,$AC278,IF(J$2=$AF278,$AG278,0))))</f>
        <v/>
      </c>
      <c r="W278">
        <f>IF(K277&lt;=0,0,MIN(AP278,K$7+IF(K$2=$AA278,$AC278,IF(K$2=$AF278,$AG278,0))))</f>
        <v/>
      </c>
      <c r="X278">
        <f>IF(L277&lt;=0,0,MIN(AQ278,L$7+IF(L$2=$AA278,$AC278,IF(L$2=$AF278,$AG278,0))))</f>
        <v/>
      </c>
      <c r="Y278">
        <f>IF(M277&lt;=0,0,MIN(AR278,M$7+IF(M$2=$AA278,$AC278,IF(M$2=$AF278,$AG278,0))))</f>
        <v/>
      </c>
      <c r="Z278">
        <f>IF(N277&lt;=0,0,MIN(AS278,N$7+IF(N$2=$AA278,$AC278,IF(N$2=$AF278,$AG278,0))))</f>
        <v/>
      </c>
      <c r="AA278">
        <f>IFERROR(ROUND(1/SUMPRODUCT(MAX((C277:N277&gt;0)*($C$3:$N$3&lt;=B278)/$C$2:$N$2)),0),0)</f>
        <v/>
      </c>
      <c r="AB278">
        <f>SUMPRODUCT((C277:N277&gt;0)*$C$7:$N$7)</f>
        <v/>
      </c>
      <c r="AC278">
        <f>MAX(0,Plan!$C$5-AB278)+IF(A278=Plan!$C$8,N(Plan!$C$7),0)</f>
        <v/>
      </c>
      <c r="AD278">
        <f>SUM(C278:N278)</f>
        <v/>
      </c>
      <c r="AE278">
        <f>SUM(O278:Z278)</f>
        <v/>
      </c>
      <c r="AF278">
        <f>IFERROR(ROUND(1/SUMPRODUCT(MAX((C277:N277&gt;0)*($C$3:$N$3&lt;=B278)*($C$2:$N$2&gt;AA278)/$C$2:$N$2)),0),0)</f>
        <v/>
      </c>
      <c r="AG278">
        <f>MAX(0,AC278-MAX(0,SUMPRODUCT(($C$2:$N$2=AA278)*(AH278:AS278-$C$7:$N$7))))</f>
        <v/>
      </c>
      <c r="AH278">
        <f>IF(C277&lt;=0,0,ROUND(C277*(1+IF(AND(C$6&gt;0,$B278&lt;C$6),C$4,C$5)/12),2))</f>
        <v/>
      </c>
      <c r="AI278">
        <f>IF(D277&lt;=0,0,ROUND(D277*(1+IF(AND(D$6&gt;0,$B278&lt;D$6),D$4,D$5)/12),2))</f>
        <v/>
      </c>
      <c r="AJ278">
        <f>IF(E277&lt;=0,0,ROUND(E277*(1+IF(AND(E$6&gt;0,$B278&lt;E$6),E$4,E$5)/12),2))</f>
        <v/>
      </c>
      <c r="AK278">
        <f>IF(F277&lt;=0,0,ROUND(F277*(1+IF(AND(F$6&gt;0,$B278&lt;F$6),F$4,F$5)/12),2))</f>
        <v/>
      </c>
      <c r="AL278">
        <f>IF(G277&lt;=0,0,ROUND(G277*(1+IF(AND(G$6&gt;0,$B278&lt;G$6),G$4,G$5)/12),2))</f>
        <v/>
      </c>
      <c r="AM278">
        <f>IF(H277&lt;=0,0,ROUND(H277*(1+IF(AND(H$6&gt;0,$B278&lt;H$6),H$4,H$5)/12),2))</f>
        <v/>
      </c>
      <c r="AN278">
        <f>IF(I277&lt;=0,0,ROUND(I277*(1+IF(AND(I$6&gt;0,$B278&lt;I$6),I$4,I$5)/12),2))</f>
        <v/>
      </c>
      <c r="AO278">
        <f>IF(J277&lt;=0,0,ROUND(J277*(1+IF(AND(J$6&gt;0,$B278&lt;J$6),J$4,J$5)/12),2))</f>
        <v/>
      </c>
      <c r="AP278">
        <f>IF(K277&lt;=0,0,ROUND(K277*(1+IF(AND(K$6&gt;0,$B278&lt;K$6),K$4,K$5)/12),2))</f>
        <v/>
      </c>
      <c r="AQ278">
        <f>IF(L277&lt;=0,0,ROUND(L277*(1+IF(AND(L$6&gt;0,$B278&lt;L$6),L$4,L$5)/12),2))</f>
        <v/>
      </c>
      <c r="AR278">
        <f>IF(M277&lt;=0,0,ROUND(M277*(1+IF(AND(M$6&gt;0,$B278&lt;M$6),M$4,M$5)/12),2))</f>
        <v/>
      </c>
      <c r="AS278">
        <f>IF(N277&lt;=0,0,ROUND(N277*(1+IF(AND(N$6&gt;0,$B278&lt;N$6),N$4,N$5)/12),2))</f>
        <v/>
      </c>
    </row>
    <row r="279">
      <c r="A279" t="n">
        <v>268</v>
      </c>
      <c r="B279">
        <f>EDATE(Plan!$C$6,267)</f>
        <v/>
      </c>
      <c r="C279">
        <f>IF(C278&lt;=0,0,MAX(0,AH279-O279))</f>
        <v/>
      </c>
      <c r="D279">
        <f>IF(D278&lt;=0,0,MAX(0,AI279-P279))</f>
        <v/>
      </c>
      <c r="E279">
        <f>IF(E278&lt;=0,0,MAX(0,AJ279-Q279))</f>
        <v/>
      </c>
      <c r="F279">
        <f>IF(F278&lt;=0,0,MAX(0,AK279-R279))</f>
        <v/>
      </c>
      <c r="G279">
        <f>IF(G278&lt;=0,0,MAX(0,AL279-S279))</f>
        <v/>
      </c>
      <c r="H279">
        <f>IF(H278&lt;=0,0,MAX(0,AM279-T279))</f>
        <v/>
      </c>
      <c r="I279">
        <f>IF(I278&lt;=0,0,MAX(0,AN279-U279))</f>
        <v/>
      </c>
      <c r="J279">
        <f>IF(J278&lt;=0,0,MAX(0,AO279-V279))</f>
        <v/>
      </c>
      <c r="K279">
        <f>IF(K278&lt;=0,0,MAX(0,AP279-W279))</f>
        <v/>
      </c>
      <c r="L279">
        <f>IF(L278&lt;=0,0,MAX(0,AQ279-X279))</f>
        <v/>
      </c>
      <c r="M279">
        <f>IF(M278&lt;=0,0,MAX(0,AR279-Y279))</f>
        <v/>
      </c>
      <c r="N279">
        <f>IF(N278&lt;=0,0,MAX(0,AS279-Z279))</f>
        <v/>
      </c>
      <c r="O279">
        <f>IF(C278&lt;=0,0,MIN(AH279,C$7+IF(C$2=$AA279,$AC279,IF(C$2=$AF279,$AG279,0))))</f>
        <v/>
      </c>
      <c r="P279">
        <f>IF(D278&lt;=0,0,MIN(AI279,D$7+IF(D$2=$AA279,$AC279,IF(D$2=$AF279,$AG279,0))))</f>
        <v/>
      </c>
      <c r="Q279">
        <f>IF(E278&lt;=0,0,MIN(AJ279,E$7+IF(E$2=$AA279,$AC279,IF(E$2=$AF279,$AG279,0))))</f>
        <v/>
      </c>
      <c r="R279">
        <f>IF(F278&lt;=0,0,MIN(AK279,F$7+IF(F$2=$AA279,$AC279,IF(F$2=$AF279,$AG279,0))))</f>
        <v/>
      </c>
      <c r="S279">
        <f>IF(G278&lt;=0,0,MIN(AL279,G$7+IF(G$2=$AA279,$AC279,IF(G$2=$AF279,$AG279,0))))</f>
        <v/>
      </c>
      <c r="T279">
        <f>IF(H278&lt;=0,0,MIN(AM279,H$7+IF(H$2=$AA279,$AC279,IF(H$2=$AF279,$AG279,0))))</f>
        <v/>
      </c>
      <c r="U279">
        <f>IF(I278&lt;=0,0,MIN(AN279,I$7+IF(I$2=$AA279,$AC279,IF(I$2=$AF279,$AG279,0))))</f>
        <v/>
      </c>
      <c r="V279">
        <f>IF(J278&lt;=0,0,MIN(AO279,J$7+IF(J$2=$AA279,$AC279,IF(J$2=$AF279,$AG279,0))))</f>
        <v/>
      </c>
      <c r="W279">
        <f>IF(K278&lt;=0,0,MIN(AP279,K$7+IF(K$2=$AA279,$AC279,IF(K$2=$AF279,$AG279,0))))</f>
        <v/>
      </c>
      <c r="X279">
        <f>IF(L278&lt;=0,0,MIN(AQ279,L$7+IF(L$2=$AA279,$AC279,IF(L$2=$AF279,$AG279,0))))</f>
        <v/>
      </c>
      <c r="Y279">
        <f>IF(M278&lt;=0,0,MIN(AR279,M$7+IF(M$2=$AA279,$AC279,IF(M$2=$AF279,$AG279,0))))</f>
        <v/>
      </c>
      <c r="Z279">
        <f>IF(N278&lt;=0,0,MIN(AS279,N$7+IF(N$2=$AA279,$AC279,IF(N$2=$AF279,$AG279,0))))</f>
        <v/>
      </c>
      <c r="AA279">
        <f>IFERROR(ROUND(1/SUMPRODUCT(MAX((C278:N278&gt;0)*($C$3:$N$3&lt;=B279)/$C$2:$N$2)),0),0)</f>
        <v/>
      </c>
      <c r="AB279">
        <f>SUMPRODUCT((C278:N278&gt;0)*$C$7:$N$7)</f>
        <v/>
      </c>
      <c r="AC279">
        <f>MAX(0,Plan!$C$5-AB279)+IF(A279=Plan!$C$8,N(Plan!$C$7),0)</f>
        <v/>
      </c>
      <c r="AD279">
        <f>SUM(C279:N279)</f>
        <v/>
      </c>
      <c r="AE279">
        <f>SUM(O279:Z279)</f>
        <v/>
      </c>
      <c r="AF279">
        <f>IFERROR(ROUND(1/SUMPRODUCT(MAX((C278:N278&gt;0)*($C$3:$N$3&lt;=B279)*($C$2:$N$2&gt;AA279)/$C$2:$N$2)),0),0)</f>
        <v/>
      </c>
      <c r="AG279">
        <f>MAX(0,AC279-MAX(0,SUMPRODUCT(($C$2:$N$2=AA279)*(AH279:AS279-$C$7:$N$7))))</f>
        <v/>
      </c>
      <c r="AH279">
        <f>IF(C278&lt;=0,0,ROUND(C278*(1+IF(AND(C$6&gt;0,$B279&lt;C$6),C$4,C$5)/12),2))</f>
        <v/>
      </c>
      <c r="AI279">
        <f>IF(D278&lt;=0,0,ROUND(D278*(1+IF(AND(D$6&gt;0,$B279&lt;D$6),D$4,D$5)/12),2))</f>
        <v/>
      </c>
      <c r="AJ279">
        <f>IF(E278&lt;=0,0,ROUND(E278*(1+IF(AND(E$6&gt;0,$B279&lt;E$6),E$4,E$5)/12),2))</f>
        <v/>
      </c>
      <c r="AK279">
        <f>IF(F278&lt;=0,0,ROUND(F278*(1+IF(AND(F$6&gt;0,$B279&lt;F$6),F$4,F$5)/12),2))</f>
        <v/>
      </c>
      <c r="AL279">
        <f>IF(G278&lt;=0,0,ROUND(G278*(1+IF(AND(G$6&gt;0,$B279&lt;G$6),G$4,G$5)/12),2))</f>
        <v/>
      </c>
      <c r="AM279">
        <f>IF(H278&lt;=0,0,ROUND(H278*(1+IF(AND(H$6&gt;0,$B279&lt;H$6),H$4,H$5)/12),2))</f>
        <v/>
      </c>
      <c r="AN279">
        <f>IF(I278&lt;=0,0,ROUND(I278*(1+IF(AND(I$6&gt;0,$B279&lt;I$6),I$4,I$5)/12),2))</f>
        <v/>
      </c>
      <c r="AO279">
        <f>IF(J278&lt;=0,0,ROUND(J278*(1+IF(AND(J$6&gt;0,$B279&lt;J$6),J$4,J$5)/12),2))</f>
        <v/>
      </c>
      <c r="AP279">
        <f>IF(K278&lt;=0,0,ROUND(K278*(1+IF(AND(K$6&gt;0,$B279&lt;K$6),K$4,K$5)/12),2))</f>
        <v/>
      </c>
      <c r="AQ279">
        <f>IF(L278&lt;=0,0,ROUND(L278*(1+IF(AND(L$6&gt;0,$B279&lt;L$6),L$4,L$5)/12),2))</f>
        <v/>
      </c>
      <c r="AR279">
        <f>IF(M278&lt;=0,0,ROUND(M278*(1+IF(AND(M$6&gt;0,$B279&lt;M$6),M$4,M$5)/12),2))</f>
        <v/>
      </c>
      <c r="AS279">
        <f>IF(N278&lt;=0,0,ROUND(N278*(1+IF(AND(N$6&gt;0,$B279&lt;N$6),N$4,N$5)/12),2))</f>
        <v/>
      </c>
    </row>
    <row r="280">
      <c r="A280" t="n">
        <v>269</v>
      </c>
      <c r="B280">
        <f>EDATE(Plan!$C$6,268)</f>
        <v/>
      </c>
      <c r="C280">
        <f>IF(C279&lt;=0,0,MAX(0,AH280-O280))</f>
        <v/>
      </c>
      <c r="D280">
        <f>IF(D279&lt;=0,0,MAX(0,AI280-P280))</f>
        <v/>
      </c>
      <c r="E280">
        <f>IF(E279&lt;=0,0,MAX(0,AJ280-Q280))</f>
        <v/>
      </c>
      <c r="F280">
        <f>IF(F279&lt;=0,0,MAX(0,AK280-R280))</f>
        <v/>
      </c>
      <c r="G280">
        <f>IF(G279&lt;=0,0,MAX(0,AL280-S280))</f>
        <v/>
      </c>
      <c r="H280">
        <f>IF(H279&lt;=0,0,MAX(0,AM280-T280))</f>
        <v/>
      </c>
      <c r="I280">
        <f>IF(I279&lt;=0,0,MAX(0,AN280-U280))</f>
        <v/>
      </c>
      <c r="J280">
        <f>IF(J279&lt;=0,0,MAX(0,AO280-V280))</f>
        <v/>
      </c>
      <c r="K280">
        <f>IF(K279&lt;=0,0,MAX(0,AP280-W280))</f>
        <v/>
      </c>
      <c r="L280">
        <f>IF(L279&lt;=0,0,MAX(0,AQ280-X280))</f>
        <v/>
      </c>
      <c r="M280">
        <f>IF(M279&lt;=0,0,MAX(0,AR280-Y280))</f>
        <v/>
      </c>
      <c r="N280">
        <f>IF(N279&lt;=0,0,MAX(0,AS280-Z280))</f>
        <v/>
      </c>
      <c r="O280">
        <f>IF(C279&lt;=0,0,MIN(AH280,C$7+IF(C$2=$AA280,$AC280,IF(C$2=$AF280,$AG280,0))))</f>
        <v/>
      </c>
      <c r="P280">
        <f>IF(D279&lt;=0,0,MIN(AI280,D$7+IF(D$2=$AA280,$AC280,IF(D$2=$AF280,$AG280,0))))</f>
        <v/>
      </c>
      <c r="Q280">
        <f>IF(E279&lt;=0,0,MIN(AJ280,E$7+IF(E$2=$AA280,$AC280,IF(E$2=$AF280,$AG280,0))))</f>
        <v/>
      </c>
      <c r="R280">
        <f>IF(F279&lt;=0,0,MIN(AK280,F$7+IF(F$2=$AA280,$AC280,IF(F$2=$AF280,$AG280,0))))</f>
        <v/>
      </c>
      <c r="S280">
        <f>IF(G279&lt;=0,0,MIN(AL280,G$7+IF(G$2=$AA280,$AC280,IF(G$2=$AF280,$AG280,0))))</f>
        <v/>
      </c>
      <c r="T280">
        <f>IF(H279&lt;=0,0,MIN(AM280,H$7+IF(H$2=$AA280,$AC280,IF(H$2=$AF280,$AG280,0))))</f>
        <v/>
      </c>
      <c r="U280">
        <f>IF(I279&lt;=0,0,MIN(AN280,I$7+IF(I$2=$AA280,$AC280,IF(I$2=$AF280,$AG280,0))))</f>
        <v/>
      </c>
      <c r="V280">
        <f>IF(J279&lt;=0,0,MIN(AO280,J$7+IF(J$2=$AA280,$AC280,IF(J$2=$AF280,$AG280,0))))</f>
        <v/>
      </c>
      <c r="W280">
        <f>IF(K279&lt;=0,0,MIN(AP280,K$7+IF(K$2=$AA280,$AC280,IF(K$2=$AF280,$AG280,0))))</f>
        <v/>
      </c>
      <c r="X280">
        <f>IF(L279&lt;=0,0,MIN(AQ280,L$7+IF(L$2=$AA280,$AC280,IF(L$2=$AF280,$AG280,0))))</f>
        <v/>
      </c>
      <c r="Y280">
        <f>IF(M279&lt;=0,0,MIN(AR280,M$7+IF(M$2=$AA280,$AC280,IF(M$2=$AF280,$AG280,0))))</f>
        <v/>
      </c>
      <c r="Z280">
        <f>IF(N279&lt;=0,0,MIN(AS280,N$7+IF(N$2=$AA280,$AC280,IF(N$2=$AF280,$AG280,0))))</f>
        <v/>
      </c>
      <c r="AA280">
        <f>IFERROR(ROUND(1/SUMPRODUCT(MAX((C279:N279&gt;0)*($C$3:$N$3&lt;=B280)/$C$2:$N$2)),0),0)</f>
        <v/>
      </c>
      <c r="AB280">
        <f>SUMPRODUCT((C279:N279&gt;0)*$C$7:$N$7)</f>
        <v/>
      </c>
      <c r="AC280">
        <f>MAX(0,Plan!$C$5-AB280)+IF(A280=Plan!$C$8,N(Plan!$C$7),0)</f>
        <v/>
      </c>
      <c r="AD280">
        <f>SUM(C280:N280)</f>
        <v/>
      </c>
      <c r="AE280">
        <f>SUM(O280:Z280)</f>
        <v/>
      </c>
      <c r="AF280">
        <f>IFERROR(ROUND(1/SUMPRODUCT(MAX((C279:N279&gt;0)*($C$3:$N$3&lt;=B280)*($C$2:$N$2&gt;AA280)/$C$2:$N$2)),0),0)</f>
        <v/>
      </c>
      <c r="AG280">
        <f>MAX(0,AC280-MAX(0,SUMPRODUCT(($C$2:$N$2=AA280)*(AH280:AS280-$C$7:$N$7))))</f>
        <v/>
      </c>
      <c r="AH280">
        <f>IF(C279&lt;=0,0,ROUND(C279*(1+IF(AND(C$6&gt;0,$B280&lt;C$6),C$4,C$5)/12),2))</f>
        <v/>
      </c>
      <c r="AI280">
        <f>IF(D279&lt;=0,0,ROUND(D279*(1+IF(AND(D$6&gt;0,$B280&lt;D$6),D$4,D$5)/12),2))</f>
        <v/>
      </c>
      <c r="AJ280">
        <f>IF(E279&lt;=0,0,ROUND(E279*(1+IF(AND(E$6&gt;0,$B280&lt;E$6),E$4,E$5)/12),2))</f>
        <v/>
      </c>
      <c r="AK280">
        <f>IF(F279&lt;=0,0,ROUND(F279*(1+IF(AND(F$6&gt;0,$B280&lt;F$6),F$4,F$5)/12),2))</f>
        <v/>
      </c>
      <c r="AL280">
        <f>IF(G279&lt;=0,0,ROUND(G279*(1+IF(AND(G$6&gt;0,$B280&lt;G$6),G$4,G$5)/12),2))</f>
        <v/>
      </c>
      <c r="AM280">
        <f>IF(H279&lt;=0,0,ROUND(H279*(1+IF(AND(H$6&gt;0,$B280&lt;H$6),H$4,H$5)/12),2))</f>
        <v/>
      </c>
      <c r="AN280">
        <f>IF(I279&lt;=0,0,ROUND(I279*(1+IF(AND(I$6&gt;0,$B280&lt;I$6),I$4,I$5)/12),2))</f>
        <v/>
      </c>
      <c r="AO280">
        <f>IF(J279&lt;=0,0,ROUND(J279*(1+IF(AND(J$6&gt;0,$B280&lt;J$6),J$4,J$5)/12),2))</f>
        <v/>
      </c>
      <c r="AP280">
        <f>IF(K279&lt;=0,0,ROUND(K279*(1+IF(AND(K$6&gt;0,$B280&lt;K$6),K$4,K$5)/12),2))</f>
        <v/>
      </c>
      <c r="AQ280">
        <f>IF(L279&lt;=0,0,ROUND(L279*(1+IF(AND(L$6&gt;0,$B280&lt;L$6),L$4,L$5)/12),2))</f>
        <v/>
      </c>
      <c r="AR280">
        <f>IF(M279&lt;=0,0,ROUND(M279*(1+IF(AND(M$6&gt;0,$B280&lt;M$6),M$4,M$5)/12),2))</f>
        <v/>
      </c>
      <c r="AS280">
        <f>IF(N279&lt;=0,0,ROUND(N279*(1+IF(AND(N$6&gt;0,$B280&lt;N$6),N$4,N$5)/12),2))</f>
        <v/>
      </c>
    </row>
    <row r="281">
      <c r="A281" t="n">
        <v>270</v>
      </c>
      <c r="B281">
        <f>EDATE(Plan!$C$6,269)</f>
        <v/>
      </c>
      <c r="C281">
        <f>IF(C280&lt;=0,0,MAX(0,AH281-O281))</f>
        <v/>
      </c>
      <c r="D281">
        <f>IF(D280&lt;=0,0,MAX(0,AI281-P281))</f>
        <v/>
      </c>
      <c r="E281">
        <f>IF(E280&lt;=0,0,MAX(0,AJ281-Q281))</f>
        <v/>
      </c>
      <c r="F281">
        <f>IF(F280&lt;=0,0,MAX(0,AK281-R281))</f>
        <v/>
      </c>
      <c r="G281">
        <f>IF(G280&lt;=0,0,MAX(0,AL281-S281))</f>
        <v/>
      </c>
      <c r="H281">
        <f>IF(H280&lt;=0,0,MAX(0,AM281-T281))</f>
        <v/>
      </c>
      <c r="I281">
        <f>IF(I280&lt;=0,0,MAX(0,AN281-U281))</f>
        <v/>
      </c>
      <c r="J281">
        <f>IF(J280&lt;=0,0,MAX(0,AO281-V281))</f>
        <v/>
      </c>
      <c r="K281">
        <f>IF(K280&lt;=0,0,MAX(0,AP281-W281))</f>
        <v/>
      </c>
      <c r="L281">
        <f>IF(L280&lt;=0,0,MAX(0,AQ281-X281))</f>
        <v/>
      </c>
      <c r="M281">
        <f>IF(M280&lt;=0,0,MAX(0,AR281-Y281))</f>
        <v/>
      </c>
      <c r="N281">
        <f>IF(N280&lt;=0,0,MAX(0,AS281-Z281))</f>
        <v/>
      </c>
      <c r="O281">
        <f>IF(C280&lt;=0,0,MIN(AH281,C$7+IF(C$2=$AA281,$AC281,IF(C$2=$AF281,$AG281,0))))</f>
        <v/>
      </c>
      <c r="P281">
        <f>IF(D280&lt;=0,0,MIN(AI281,D$7+IF(D$2=$AA281,$AC281,IF(D$2=$AF281,$AG281,0))))</f>
        <v/>
      </c>
      <c r="Q281">
        <f>IF(E280&lt;=0,0,MIN(AJ281,E$7+IF(E$2=$AA281,$AC281,IF(E$2=$AF281,$AG281,0))))</f>
        <v/>
      </c>
      <c r="R281">
        <f>IF(F280&lt;=0,0,MIN(AK281,F$7+IF(F$2=$AA281,$AC281,IF(F$2=$AF281,$AG281,0))))</f>
        <v/>
      </c>
      <c r="S281">
        <f>IF(G280&lt;=0,0,MIN(AL281,G$7+IF(G$2=$AA281,$AC281,IF(G$2=$AF281,$AG281,0))))</f>
        <v/>
      </c>
      <c r="T281">
        <f>IF(H280&lt;=0,0,MIN(AM281,H$7+IF(H$2=$AA281,$AC281,IF(H$2=$AF281,$AG281,0))))</f>
        <v/>
      </c>
      <c r="U281">
        <f>IF(I280&lt;=0,0,MIN(AN281,I$7+IF(I$2=$AA281,$AC281,IF(I$2=$AF281,$AG281,0))))</f>
        <v/>
      </c>
      <c r="V281">
        <f>IF(J280&lt;=0,0,MIN(AO281,J$7+IF(J$2=$AA281,$AC281,IF(J$2=$AF281,$AG281,0))))</f>
        <v/>
      </c>
      <c r="W281">
        <f>IF(K280&lt;=0,0,MIN(AP281,K$7+IF(K$2=$AA281,$AC281,IF(K$2=$AF281,$AG281,0))))</f>
        <v/>
      </c>
      <c r="X281">
        <f>IF(L280&lt;=0,0,MIN(AQ281,L$7+IF(L$2=$AA281,$AC281,IF(L$2=$AF281,$AG281,0))))</f>
        <v/>
      </c>
      <c r="Y281">
        <f>IF(M280&lt;=0,0,MIN(AR281,M$7+IF(M$2=$AA281,$AC281,IF(M$2=$AF281,$AG281,0))))</f>
        <v/>
      </c>
      <c r="Z281">
        <f>IF(N280&lt;=0,0,MIN(AS281,N$7+IF(N$2=$AA281,$AC281,IF(N$2=$AF281,$AG281,0))))</f>
        <v/>
      </c>
      <c r="AA281">
        <f>IFERROR(ROUND(1/SUMPRODUCT(MAX((C280:N280&gt;0)*($C$3:$N$3&lt;=B281)/$C$2:$N$2)),0),0)</f>
        <v/>
      </c>
      <c r="AB281">
        <f>SUMPRODUCT((C280:N280&gt;0)*$C$7:$N$7)</f>
        <v/>
      </c>
      <c r="AC281">
        <f>MAX(0,Plan!$C$5-AB281)+IF(A281=Plan!$C$8,N(Plan!$C$7),0)</f>
        <v/>
      </c>
      <c r="AD281">
        <f>SUM(C281:N281)</f>
        <v/>
      </c>
      <c r="AE281">
        <f>SUM(O281:Z281)</f>
        <v/>
      </c>
      <c r="AF281">
        <f>IFERROR(ROUND(1/SUMPRODUCT(MAX((C280:N280&gt;0)*($C$3:$N$3&lt;=B281)*($C$2:$N$2&gt;AA281)/$C$2:$N$2)),0),0)</f>
        <v/>
      </c>
      <c r="AG281">
        <f>MAX(0,AC281-MAX(0,SUMPRODUCT(($C$2:$N$2=AA281)*(AH281:AS281-$C$7:$N$7))))</f>
        <v/>
      </c>
      <c r="AH281">
        <f>IF(C280&lt;=0,0,ROUND(C280*(1+IF(AND(C$6&gt;0,$B281&lt;C$6),C$4,C$5)/12),2))</f>
        <v/>
      </c>
      <c r="AI281">
        <f>IF(D280&lt;=0,0,ROUND(D280*(1+IF(AND(D$6&gt;0,$B281&lt;D$6),D$4,D$5)/12),2))</f>
        <v/>
      </c>
      <c r="AJ281">
        <f>IF(E280&lt;=0,0,ROUND(E280*(1+IF(AND(E$6&gt;0,$B281&lt;E$6),E$4,E$5)/12),2))</f>
        <v/>
      </c>
      <c r="AK281">
        <f>IF(F280&lt;=0,0,ROUND(F280*(1+IF(AND(F$6&gt;0,$B281&lt;F$6),F$4,F$5)/12),2))</f>
        <v/>
      </c>
      <c r="AL281">
        <f>IF(G280&lt;=0,0,ROUND(G280*(1+IF(AND(G$6&gt;0,$B281&lt;G$6),G$4,G$5)/12),2))</f>
        <v/>
      </c>
      <c r="AM281">
        <f>IF(H280&lt;=0,0,ROUND(H280*(1+IF(AND(H$6&gt;0,$B281&lt;H$6),H$4,H$5)/12),2))</f>
        <v/>
      </c>
      <c r="AN281">
        <f>IF(I280&lt;=0,0,ROUND(I280*(1+IF(AND(I$6&gt;0,$B281&lt;I$6),I$4,I$5)/12),2))</f>
        <v/>
      </c>
      <c r="AO281">
        <f>IF(J280&lt;=0,0,ROUND(J280*(1+IF(AND(J$6&gt;0,$B281&lt;J$6),J$4,J$5)/12),2))</f>
        <v/>
      </c>
      <c r="AP281">
        <f>IF(K280&lt;=0,0,ROUND(K280*(1+IF(AND(K$6&gt;0,$B281&lt;K$6),K$4,K$5)/12),2))</f>
        <v/>
      </c>
      <c r="AQ281">
        <f>IF(L280&lt;=0,0,ROUND(L280*(1+IF(AND(L$6&gt;0,$B281&lt;L$6),L$4,L$5)/12),2))</f>
        <v/>
      </c>
      <c r="AR281">
        <f>IF(M280&lt;=0,0,ROUND(M280*(1+IF(AND(M$6&gt;0,$B281&lt;M$6),M$4,M$5)/12),2))</f>
        <v/>
      </c>
      <c r="AS281">
        <f>IF(N280&lt;=0,0,ROUND(N280*(1+IF(AND(N$6&gt;0,$B281&lt;N$6),N$4,N$5)/12),2))</f>
        <v/>
      </c>
    </row>
    <row r="282">
      <c r="A282" t="n">
        <v>271</v>
      </c>
      <c r="B282">
        <f>EDATE(Plan!$C$6,270)</f>
        <v/>
      </c>
      <c r="C282">
        <f>IF(C281&lt;=0,0,MAX(0,AH282-O282))</f>
        <v/>
      </c>
      <c r="D282">
        <f>IF(D281&lt;=0,0,MAX(0,AI282-P282))</f>
        <v/>
      </c>
      <c r="E282">
        <f>IF(E281&lt;=0,0,MAX(0,AJ282-Q282))</f>
        <v/>
      </c>
      <c r="F282">
        <f>IF(F281&lt;=0,0,MAX(0,AK282-R282))</f>
        <v/>
      </c>
      <c r="G282">
        <f>IF(G281&lt;=0,0,MAX(0,AL282-S282))</f>
        <v/>
      </c>
      <c r="H282">
        <f>IF(H281&lt;=0,0,MAX(0,AM282-T282))</f>
        <v/>
      </c>
      <c r="I282">
        <f>IF(I281&lt;=0,0,MAX(0,AN282-U282))</f>
        <v/>
      </c>
      <c r="J282">
        <f>IF(J281&lt;=0,0,MAX(0,AO282-V282))</f>
        <v/>
      </c>
      <c r="K282">
        <f>IF(K281&lt;=0,0,MAX(0,AP282-W282))</f>
        <v/>
      </c>
      <c r="L282">
        <f>IF(L281&lt;=0,0,MAX(0,AQ282-X282))</f>
        <v/>
      </c>
      <c r="M282">
        <f>IF(M281&lt;=0,0,MAX(0,AR282-Y282))</f>
        <v/>
      </c>
      <c r="N282">
        <f>IF(N281&lt;=0,0,MAX(0,AS282-Z282))</f>
        <v/>
      </c>
      <c r="O282">
        <f>IF(C281&lt;=0,0,MIN(AH282,C$7+IF(C$2=$AA282,$AC282,IF(C$2=$AF282,$AG282,0))))</f>
        <v/>
      </c>
      <c r="P282">
        <f>IF(D281&lt;=0,0,MIN(AI282,D$7+IF(D$2=$AA282,$AC282,IF(D$2=$AF282,$AG282,0))))</f>
        <v/>
      </c>
      <c r="Q282">
        <f>IF(E281&lt;=0,0,MIN(AJ282,E$7+IF(E$2=$AA282,$AC282,IF(E$2=$AF282,$AG282,0))))</f>
        <v/>
      </c>
      <c r="R282">
        <f>IF(F281&lt;=0,0,MIN(AK282,F$7+IF(F$2=$AA282,$AC282,IF(F$2=$AF282,$AG282,0))))</f>
        <v/>
      </c>
      <c r="S282">
        <f>IF(G281&lt;=0,0,MIN(AL282,G$7+IF(G$2=$AA282,$AC282,IF(G$2=$AF282,$AG282,0))))</f>
        <v/>
      </c>
      <c r="T282">
        <f>IF(H281&lt;=0,0,MIN(AM282,H$7+IF(H$2=$AA282,$AC282,IF(H$2=$AF282,$AG282,0))))</f>
        <v/>
      </c>
      <c r="U282">
        <f>IF(I281&lt;=0,0,MIN(AN282,I$7+IF(I$2=$AA282,$AC282,IF(I$2=$AF282,$AG282,0))))</f>
        <v/>
      </c>
      <c r="V282">
        <f>IF(J281&lt;=0,0,MIN(AO282,J$7+IF(J$2=$AA282,$AC282,IF(J$2=$AF282,$AG282,0))))</f>
        <v/>
      </c>
      <c r="W282">
        <f>IF(K281&lt;=0,0,MIN(AP282,K$7+IF(K$2=$AA282,$AC282,IF(K$2=$AF282,$AG282,0))))</f>
        <v/>
      </c>
      <c r="X282">
        <f>IF(L281&lt;=0,0,MIN(AQ282,L$7+IF(L$2=$AA282,$AC282,IF(L$2=$AF282,$AG282,0))))</f>
        <v/>
      </c>
      <c r="Y282">
        <f>IF(M281&lt;=0,0,MIN(AR282,M$7+IF(M$2=$AA282,$AC282,IF(M$2=$AF282,$AG282,0))))</f>
        <v/>
      </c>
      <c r="Z282">
        <f>IF(N281&lt;=0,0,MIN(AS282,N$7+IF(N$2=$AA282,$AC282,IF(N$2=$AF282,$AG282,0))))</f>
        <v/>
      </c>
      <c r="AA282">
        <f>IFERROR(ROUND(1/SUMPRODUCT(MAX((C281:N281&gt;0)*($C$3:$N$3&lt;=B282)/$C$2:$N$2)),0),0)</f>
        <v/>
      </c>
      <c r="AB282">
        <f>SUMPRODUCT((C281:N281&gt;0)*$C$7:$N$7)</f>
        <v/>
      </c>
      <c r="AC282">
        <f>MAX(0,Plan!$C$5-AB282)+IF(A282=Plan!$C$8,N(Plan!$C$7),0)</f>
        <v/>
      </c>
      <c r="AD282">
        <f>SUM(C282:N282)</f>
        <v/>
      </c>
      <c r="AE282">
        <f>SUM(O282:Z282)</f>
        <v/>
      </c>
      <c r="AF282">
        <f>IFERROR(ROUND(1/SUMPRODUCT(MAX((C281:N281&gt;0)*($C$3:$N$3&lt;=B282)*($C$2:$N$2&gt;AA282)/$C$2:$N$2)),0),0)</f>
        <v/>
      </c>
      <c r="AG282">
        <f>MAX(0,AC282-MAX(0,SUMPRODUCT(($C$2:$N$2=AA282)*(AH282:AS282-$C$7:$N$7))))</f>
        <v/>
      </c>
      <c r="AH282">
        <f>IF(C281&lt;=0,0,ROUND(C281*(1+IF(AND(C$6&gt;0,$B282&lt;C$6),C$4,C$5)/12),2))</f>
        <v/>
      </c>
      <c r="AI282">
        <f>IF(D281&lt;=0,0,ROUND(D281*(1+IF(AND(D$6&gt;0,$B282&lt;D$6),D$4,D$5)/12),2))</f>
        <v/>
      </c>
      <c r="AJ282">
        <f>IF(E281&lt;=0,0,ROUND(E281*(1+IF(AND(E$6&gt;0,$B282&lt;E$6),E$4,E$5)/12),2))</f>
        <v/>
      </c>
      <c r="AK282">
        <f>IF(F281&lt;=0,0,ROUND(F281*(1+IF(AND(F$6&gt;0,$B282&lt;F$6),F$4,F$5)/12),2))</f>
        <v/>
      </c>
      <c r="AL282">
        <f>IF(G281&lt;=0,0,ROUND(G281*(1+IF(AND(G$6&gt;0,$B282&lt;G$6),G$4,G$5)/12),2))</f>
        <v/>
      </c>
      <c r="AM282">
        <f>IF(H281&lt;=0,0,ROUND(H281*(1+IF(AND(H$6&gt;0,$B282&lt;H$6),H$4,H$5)/12),2))</f>
        <v/>
      </c>
      <c r="AN282">
        <f>IF(I281&lt;=0,0,ROUND(I281*(1+IF(AND(I$6&gt;0,$B282&lt;I$6),I$4,I$5)/12),2))</f>
        <v/>
      </c>
      <c r="AO282">
        <f>IF(J281&lt;=0,0,ROUND(J281*(1+IF(AND(J$6&gt;0,$B282&lt;J$6),J$4,J$5)/12),2))</f>
        <v/>
      </c>
      <c r="AP282">
        <f>IF(K281&lt;=0,0,ROUND(K281*(1+IF(AND(K$6&gt;0,$B282&lt;K$6),K$4,K$5)/12),2))</f>
        <v/>
      </c>
      <c r="AQ282">
        <f>IF(L281&lt;=0,0,ROUND(L281*(1+IF(AND(L$6&gt;0,$B282&lt;L$6),L$4,L$5)/12),2))</f>
        <v/>
      </c>
      <c r="AR282">
        <f>IF(M281&lt;=0,0,ROUND(M281*(1+IF(AND(M$6&gt;0,$B282&lt;M$6),M$4,M$5)/12),2))</f>
        <v/>
      </c>
      <c r="AS282">
        <f>IF(N281&lt;=0,0,ROUND(N281*(1+IF(AND(N$6&gt;0,$B282&lt;N$6),N$4,N$5)/12),2))</f>
        <v/>
      </c>
    </row>
    <row r="283">
      <c r="A283" t="n">
        <v>272</v>
      </c>
      <c r="B283">
        <f>EDATE(Plan!$C$6,271)</f>
        <v/>
      </c>
      <c r="C283">
        <f>IF(C282&lt;=0,0,MAX(0,AH283-O283))</f>
        <v/>
      </c>
      <c r="D283">
        <f>IF(D282&lt;=0,0,MAX(0,AI283-P283))</f>
        <v/>
      </c>
      <c r="E283">
        <f>IF(E282&lt;=0,0,MAX(0,AJ283-Q283))</f>
        <v/>
      </c>
      <c r="F283">
        <f>IF(F282&lt;=0,0,MAX(0,AK283-R283))</f>
        <v/>
      </c>
      <c r="G283">
        <f>IF(G282&lt;=0,0,MAX(0,AL283-S283))</f>
        <v/>
      </c>
      <c r="H283">
        <f>IF(H282&lt;=0,0,MAX(0,AM283-T283))</f>
        <v/>
      </c>
      <c r="I283">
        <f>IF(I282&lt;=0,0,MAX(0,AN283-U283))</f>
        <v/>
      </c>
      <c r="J283">
        <f>IF(J282&lt;=0,0,MAX(0,AO283-V283))</f>
        <v/>
      </c>
      <c r="K283">
        <f>IF(K282&lt;=0,0,MAX(0,AP283-W283))</f>
        <v/>
      </c>
      <c r="L283">
        <f>IF(L282&lt;=0,0,MAX(0,AQ283-X283))</f>
        <v/>
      </c>
      <c r="M283">
        <f>IF(M282&lt;=0,0,MAX(0,AR283-Y283))</f>
        <v/>
      </c>
      <c r="N283">
        <f>IF(N282&lt;=0,0,MAX(0,AS283-Z283))</f>
        <v/>
      </c>
      <c r="O283">
        <f>IF(C282&lt;=0,0,MIN(AH283,C$7+IF(C$2=$AA283,$AC283,IF(C$2=$AF283,$AG283,0))))</f>
        <v/>
      </c>
      <c r="P283">
        <f>IF(D282&lt;=0,0,MIN(AI283,D$7+IF(D$2=$AA283,$AC283,IF(D$2=$AF283,$AG283,0))))</f>
        <v/>
      </c>
      <c r="Q283">
        <f>IF(E282&lt;=0,0,MIN(AJ283,E$7+IF(E$2=$AA283,$AC283,IF(E$2=$AF283,$AG283,0))))</f>
        <v/>
      </c>
      <c r="R283">
        <f>IF(F282&lt;=0,0,MIN(AK283,F$7+IF(F$2=$AA283,$AC283,IF(F$2=$AF283,$AG283,0))))</f>
        <v/>
      </c>
      <c r="S283">
        <f>IF(G282&lt;=0,0,MIN(AL283,G$7+IF(G$2=$AA283,$AC283,IF(G$2=$AF283,$AG283,0))))</f>
        <v/>
      </c>
      <c r="T283">
        <f>IF(H282&lt;=0,0,MIN(AM283,H$7+IF(H$2=$AA283,$AC283,IF(H$2=$AF283,$AG283,0))))</f>
        <v/>
      </c>
      <c r="U283">
        <f>IF(I282&lt;=0,0,MIN(AN283,I$7+IF(I$2=$AA283,$AC283,IF(I$2=$AF283,$AG283,0))))</f>
        <v/>
      </c>
      <c r="V283">
        <f>IF(J282&lt;=0,0,MIN(AO283,J$7+IF(J$2=$AA283,$AC283,IF(J$2=$AF283,$AG283,0))))</f>
        <v/>
      </c>
      <c r="W283">
        <f>IF(K282&lt;=0,0,MIN(AP283,K$7+IF(K$2=$AA283,$AC283,IF(K$2=$AF283,$AG283,0))))</f>
        <v/>
      </c>
      <c r="X283">
        <f>IF(L282&lt;=0,0,MIN(AQ283,L$7+IF(L$2=$AA283,$AC283,IF(L$2=$AF283,$AG283,0))))</f>
        <v/>
      </c>
      <c r="Y283">
        <f>IF(M282&lt;=0,0,MIN(AR283,M$7+IF(M$2=$AA283,$AC283,IF(M$2=$AF283,$AG283,0))))</f>
        <v/>
      </c>
      <c r="Z283">
        <f>IF(N282&lt;=0,0,MIN(AS283,N$7+IF(N$2=$AA283,$AC283,IF(N$2=$AF283,$AG283,0))))</f>
        <v/>
      </c>
      <c r="AA283">
        <f>IFERROR(ROUND(1/SUMPRODUCT(MAX((C282:N282&gt;0)*($C$3:$N$3&lt;=B283)/$C$2:$N$2)),0),0)</f>
        <v/>
      </c>
      <c r="AB283">
        <f>SUMPRODUCT((C282:N282&gt;0)*$C$7:$N$7)</f>
        <v/>
      </c>
      <c r="AC283">
        <f>MAX(0,Plan!$C$5-AB283)+IF(A283=Plan!$C$8,N(Plan!$C$7),0)</f>
        <v/>
      </c>
      <c r="AD283">
        <f>SUM(C283:N283)</f>
        <v/>
      </c>
      <c r="AE283">
        <f>SUM(O283:Z283)</f>
        <v/>
      </c>
      <c r="AF283">
        <f>IFERROR(ROUND(1/SUMPRODUCT(MAX((C282:N282&gt;0)*($C$3:$N$3&lt;=B283)*($C$2:$N$2&gt;AA283)/$C$2:$N$2)),0),0)</f>
        <v/>
      </c>
      <c r="AG283">
        <f>MAX(0,AC283-MAX(0,SUMPRODUCT(($C$2:$N$2=AA283)*(AH283:AS283-$C$7:$N$7))))</f>
        <v/>
      </c>
      <c r="AH283">
        <f>IF(C282&lt;=0,0,ROUND(C282*(1+IF(AND(C$6&gt;0,$B283&lt;C$6),C$4,C$5)/12),2))</f>
        <v/>
      </c>
      <c r="AI283">
        <f>IF(D282&lt;=0,0,ROUND(D282*(1+IF(AND(D$6&gt;0,$B283&lt;D$6),D$4,D$5)/12),2))</f>
        <v/>
      </c>
      <c r="AJ283">
        <f>IF(E282&lt;=0,0,ROUND(E282*(1+IF(AND(E$6&gt;0,$B283&lt;E$6),E$4,E$5)/12),2))</f>
        <v/>
      </c>
      <c r="AK283">
        <f>IF(F282&lt;=0,0,ROUND(F282*(1+IF(AND(F$6&gt;0,$B283&lt;F$6),F$4,F$5)/12),2))</f>
        <v/>
      </c>
      <c r="AL283">
        <f>IF(G282&lt;=0,0,ROUND(G282*(1+IF(AND(G$6&gt;0,$B283&lt;G$6),G$4,G$5)/12),2))</f>
        <v/>
      </c>
      <c r="AM283">
        <f>IF(H282&lt;=0,0,ROUND(H282*(1+IF(AND(H$6&gt;0,$B283&lt;H$6),H$4,H$5)/12),2))</f>
        <v/>
      </c>
      <c r="AN283">
        <f>IF(I282&lt;=0,0,ROUND(I282*(1+IF(AND(I$6&gt;0,$B283&lt;I$6),I$4,I$5)/12),2))</f>
        <v/>
      </c>
      <c r="AO283">
        <f>IF(J282&lt;=0,0,ROUND(J282*(1+IF(AND(J$6&gt;0,$B283&lt;J$6),J$4,J$5)/12),2))</f>
        <v/>
      </c>
      <c r="AP283">
        <f>IF(K282&lt;=0,0,ROUND(K282*(1+IF(AND(K$6&gt;0,$B283&lt;K$6),K$4,K$5)/12),2))</f>
        <v/>
      </c>
      <c r="AQ283">
        <f>IF(L282&lt;=0,0,ROUND(L282*(1+IF(AND(L$6&gt;0,$B283&lt;L$6),L$4,L$5)/12),2))</f>
        <v/>
      </c>
      <c r="AR283">
        <f>IF(M282&lt;=0,0,ROUND(M282*(1+IF(AND(M$6&gt;0,$B283&lt;M$6),M$4,M$5)/12),2))</f>
        <v/>
      </c>
      <c r="AS283">
        <f>IF(N282&lt;=0,0,ROUND(N282*(1+IF(AND(N$6&gt;0,$B283&lt;N$6),N$4,N$5)/12),2))</f>
        <v/>
      </c>
    </row>
    <row r="284">
      <c r="A284" t="n">
        <v>273</v>
      </c>
      <c r="B284">
        <f>EDATE(Plan!$C$6,272)</f>
        <v/>
      </c>
      <c r="C284">
        <f>IF(C283&lt;=0,0,MAX(0,AH284-O284))</f>
        <v/>
      </c>
      <c r="D284">
        <f>IF(D283&lt;=0,0,MAX(0,AI284-P284))</f>
        <v/>
      </c>
      <c r="E284">
        <f>IF(E283&lt;=0,0,MAX(0,AJ284-Q284))</f>
        <v/>
      </c>
      <c r="F284">
        <f>IF(F283&lt;=0,0,MAX(0,AK284-R284))</f>
        <v/>
      </c>
      <c r="G284">
        <f>IF(G283&lt;=0,0,MAX(0,AL284-S284))</f>
        <v/>
      </c>
      <c r="H284">
        <f>IF(H283&lt;=0,0,MAX(0,AM284-T284))</f>
        <v/>
      </c>
      <c r="I284">
        <f>IF(I283&lt;=0,0,MAX(0,AN284-U284))</f>
        <v/>
      </c>
      <c r="J284">
        <f>IF(J283&lt;=0,0,MAX(0,AO284-V284))</f>
        <v/>
      </c>
      <c r="K284">
        <f>IF(K283&lt;=0,0,MAX(0,AP284-W284))</f>
        <v/>
      </c>
      <c r="L284">
        <f>IF(L283&lt;=0,0,MAX(0,AQ284-X284))</f>
        <v/>
      </c>
      <c r="M284">
        <f>IF(M283&lt;=0,0,MAX(0,AR284-Y284))</f>
        <v/>
      </c>
      <c r="N284">
        <f>IF(N283&lt;=0,0,MAX(0,AS284-Z284))</f>
        <v/>
      </c>
      <c r="O284">
        <f>IF(C283&lt;=0,0,MIN(AH284,C$7+IF(C$2=$AA284,$AC284,IF(C$2=$AF284,$AG284,0))))</f>
        <v/>
      </c>
      <c r="P284">
        <f>IF(D283&lt;=0,0,MIN(AI284,D$7+IF(D$2=$AA284,$AC284,IF(D$2=$AF284,$AG284,0))))</f>
        <v/>
      </c>
      <c r="Q284">
        <f>IF(E283&lt;=0,0,MIN(AJ284,E$7+IF(E$2=$AA284,$AC284,IF(E$2=$AF284,$AG284,0))))</f>
        <v/>
      </c>
      <c r="R284">
        <f>IF(F283&lt;=0,0,MIN(AK284,F$7+IF(F$2=$AA284,$AC284,IF(F$2=$AF284,$AG284,0))))</f>
        <v/>
      </c>
      <c r="S284">
        <f>IF(G283&lt;=0,0,MIN(AL284,G$7+IF(G$2=$AA284,$AC284,IF(G$2=$AF284,$AG284,0))))</f>
        <v/>
      </c>
      <c r="T284">
        <f>IF(H283&lt;=0,0,MIN(AM284,H$7+IF(H$2=$AA284,$AC284,IF(H$2=$AF284,$AG284,0))))</f>
        <v/>
      </c>
      <c r="U284">
        <f>IF(I283&lt;=0,0,MIN(AN284,I$7+IF(I$2=$AA284,$AC284,IF(I$2=$AF284,$AG284,0))))</f>
        <v/>
      </c>
      <c r="V284">
        <f>IF(J283&lt;=0,0,MIN(AO284,J$7+IF(J$2=$AA284,$AC284,IF(J$2=$AF284,$AG284,0))))</f>
        <v/>
      </c>
      <c r="W284">
        <f>IF(K283&lt;=0,0,MIN(AP284,K$7+IF(K$2=$AA284,$AC284,IF(K$2=$AF284,$AG284,0))))</f>
        <v/>
      </c>
      <c r="X284">
        <f>IF(L283&lt;=0,0,MIN(AQ284,L$7+IF(L$2=$AA284,$AC284,IF(L$2=$AF284,$AG284,0))))</f>
        <v/>
      </c>
      <c r="Y284">
        <f>IF(M283&lt;=0,0,MIN(AR284,M$7+IF(M$2=$AA284,$AC284,IF(M$2=$AF284,$AG284,0))))</f>
        <v/>
      </c>
      <c r="Z284">
        <f>IF(N283&lt;=0,0,MIN(AS284,N$7+IF(N$2=$AA284,$AC284,IF(N$2=$AF284,$AG284,0))))</f>
        <v/>
      </c>
      <c r="AA284">
        <f>IFERROR(ROUND(1/SUMPRODUCT(MAX((C283:N283&gt;0)*($C$3:$N$3&lt;=B284)/$C$2:$N$2)),0),0)</f>
        <v/>
      </c>
      <c r="AB284">
        <f>SUMPRODUCT((C283:N283&gt;0)*$C$7:$N$7)</f>
        <v/>
      </c>
      <c r="AC284">
        <f>MAX(0,Plan!$C$5-AB284)+IF(A284=Plan!$C$8,N(Plan!$C$7),0)</f>
        <v/>
      </c>
      <c r="AD284">
        <f>SUM(C284:N284)</f>
        <v/>
      </c>
      <c r="AE284">
        <f>SUM(O284:Z284)</f>
        <v/>
      </c>
      <c r="AF284">
        <f>IFERROR(ROUND(1/SUMPRODUCT(MAX((C283:N283&gt;0)*($C$3:$N$3&lt;=B284)*($C$2:$N$2&gt;AA284)/$C$2:$N$2)),0),0)</f>
        <v/>
      </c>
      <c r="AG284">
        <f>MAX(0,AC284-MAX(0,SUMPRODUCT(($C$2:$N$2=AA284)*(AH284:AS284-$C$7:$N$7))))</f>
        <v/>
      </c>
      <c r="AH284">
        <f>IF(C283&lt;=0,0,ROUND(C283*(1+IF(AND(C$6&gt;0,$B284&lt;C$6),C$4,C$5)/12),2))</f>
        <v/>
      </c>
      <c r="AI284">
        <f>IF(D283&lt;=0,0,ROUND(D283*(1+IF(AND(D$6&gt;0,$B284&lt;D$6),D$4,D$5)/12),2))</f>
        <v/>
      </c>
      <c r="AJ284">
        <f>IF(E283&lt;=0,0,ROUND(E283*(1+IF(AND(E$6&gt;0,$B284&lt;E$6),E$4,E$5)/12),2))</f>
        <v/>
      </c>
      <c r="AK284">
        <f>IF(F283&lt;=0,0,ROUND(F283*(1+IF(AND(F$6&gt;0,$B284&lt;F$6),F$4,F$5)/12),2))</f>
        <v/>
      </c>
      <c r="AL284">
        <f>IF(G283&lt;=0,0,ROUND(G283*(1+IF(AND(G$6&gt;0,$B284&lt;G$6),G$4,G$5)/12),2))</f>
        <v/>
      </c>
      <c r="AM284">
        <f>IF(H283&lt;=0,0,ROUND(H283*(1+IF(AND(H$6&gt;0,$B284&lt;H$6),H$4,H$5)/12),2))</f>
        <v/>
      </c>
      <c r="AN284">
        <f>IF(I283&lt;=0,0,ROUND(I283*(1+IF(AND(I$6&gt;0,$B284&lt;I$6),I$4,I$5)/12),2))</f>
        <v/>
      </c>
      <c r="AO284">
        <f>IF(J283&lt;=0,0,ROUND(J283*(1+IF(AND(J$6&gt;0,$B284&lt;J$6),J$4,J$5)/12),2))</f>
        <v/>
      </c>
      <c r="AP284">
        <f>IF(K283&lt;=0,0,ROUND(K283*(1+IF(AND(K$6&gt;0,$B284&lt;K$6),K$4,K$5)/12),2))</f>
        <v/>
      </c>
      <c r="AQ284">
        <f>IF(L283&lt;=0,0,ROUND(L283*(1+IF(AND(L$6&gt;0,$B284&lt;L$6),L$4,L$5)/12),2))</f>
        <v/>
      </c>
      <c r="AR284">
        <f>IF(M283&lt;=0,0,ROUND(M283*(1+IF(AND(M$6&gt;0,$B284&lt;M$6),M$4,M$5)/12),2))</f>
        <v/>
      </c>
      <c r="AS284">
        <f>IF(N283&lt;=0,0,ROUND(N283*(1+IF(AND(N$6&gt;0,$B284&lt;N$6),N$4,N$5)/12),2))</f>
        <v/>
      </c>
    </row>
    <row r="285">
      <c r="A285" t="n">
        <v>274</v>
      </c>
      <c r="B285">
        <f>EDATE(Plan!$C$6,273)</f>
        <v/>
      </c>
      <c r="C285">
        <f>IF(C284&lt;=0,0,MAX(0,AH285-O285))</f>
        <v/>
      </c>
      <c r="D285">
        <f>IF(D284&lt;=0,0,MAX(0,AI285-P285))</f>
        <v/>
      </c>
      <c r="E285">
        <f>IF(E284&lt;=0,0,MAX(0,AJ285-Q285))</f>
        <v/>
      </c>
      <c r="F285">
        <f>IF(F284&lt;=0,0,MAX(0,AK285-R285))</f>
        <v/>
      </c>
      <c r="G285">
        <f>IF(G284&lt;=0,0,MAX(0,AL285-S285))</f>
        <v/>
      </c>
      <c r="H285">
        <f>IF(H284&lt;=0,0,MAX(0,AM285-T285))</f>
        <v/>
      </c>
      <c r="I285">
        <f>IF(I284&lt;=0,0,MAX(0,AN285-U285))</f>
        <v/>
      </c>
      <c r="J285">
        <f>IF(J284&lt;=0,0,MAX(0,AO285-V285))</f>
        <v/>
      </c>
      <c r="K285">
        <f>IF(K284&lt;=0,0,MAX(0,AP285-W285))</f>
        <v/>
      </c>
      <c r="L285">
        <f>IF(L284&lt;=0,0,MAX(0,AQ285-X285))</f>
        <v/>
      </c>
      <c r="M285">
        <f>IF(M284&lt;=0,0,MAX(0,AR285-Y285))</f>
        <v/>
      </c>
      <c r="N285">
        <f>IF(N284&lt;=0,0,MAX(0,AS285-Z285))</f>
        <v/>
      </c>
      <c r="O285">
        <f>IF(C284&lt;=0,0,MIN(AH285,C$7+IF(C$2=$AA285,$AC285,IF(C$2=$AF285,$AG285,0))))</f>
        <v/>
      </c>
      <c r="P285">
        <f>IF(D284&lt;=0,0,MIN(AI285,D$7+IF(D$2=$AA285,$AC285,IF(D$2=$AF285,$AG285,0))))</f>
        <v/>
      </c>
      <c r="Q285">
        <f>IF(E284&lt;=0,0,MIN(AJ285,E$7+IF(E$2=$AA285,$AC285,IF(E$2=$AF285,$AG285,0))))</f>
        <v/>
      </c>
      <c r="R285">
        <f>IF(F284&lt;=0,0,MIN(AK285,F$7+IF(F$2=$AA285,$AC285,IF(F$2=$AF285,$AG285,0))))</f>
        <v/>
      </c>
      <c r="S285">
        <f>IF(G284&lt;=0,0,MIN(AL285,G$7+IF(G$2=$AA285,$AC285,IF(G$2=$AF285,$AG285,0))))</f>
        <v/>
      </c>
      <c r="T285">
        <f>IF(H284&lt;=0,0,MIN(AM285,H$7+IF(H$2=$AA285,$AC285,IF(H$2=$AF285,$AG285,0))))</f>
        <v/>
      </c>
      <c r="U285">
        <f>IF(I284&lt;=0,0,MIN(AN285,I$7+IF(I$2=$AA285,$AC285,IF(I$2=$AF285,$AG285,0))))</f>
        <v/>
      </c>
      <c r="V285">
        <f>IF(J284&lt;=0,0,MIN(AO285,J$7+IF(J$2=$AA285,$AC285,IF(J$2=$AF285,$AG285,0))))</f>
        <v/>
      </c>
      <c r="W285">
        <f>IF(K284&lt;=0,0,MIN(AP285,K$7+IF(K$2=$AA285,$AC285,IF(K$2=$AF285,$AG285,0))))</f>
        <v/>
      </c>
      <c r="X285">
        <f>IF(L284&lt;=0,0,MIN(AQ285,L$7+IF(L$2=$AA285,$AC285,IF(L$2=$AF285,$AG285,0))))</f>
        <v/>
      </c>
      <c r="Y285">
        <f>IF(M284&lt;=0,0,MIN(AR285,M$7+IF(M$2=$AA285,$AC285,IF(M$2=$AF285,$AG285,0))))</f>
        <v/>
      </c>
      <c r="Z285">
        <f>IF(N284&lt;=0,0,MIN(AS285,N$7+IF(N$2=$AA285,$AC285,IF(N$2=$AF285,$AG285,0))))</f>
        <v/>
      </c>
      <c r="AA285">
        <f>IFERROR(ROUND(1/SUMPRODUCT(MAX((C284:N284&gt;0)*($C$3:$N$3&lt;=B285)/$C$2:$N$2)),0),0)</f>
        <v/>
      </c>
      <c r="AB285">
        <f>SUMPRODUCT((C284:N284&gt;0)*$C$7:$N$7)</f>
        <v/>
      </c>
      <c r="AC285">
        <f>MAX(0,Plan!$C$5-AB285)+IF(A285=Plan!$C$8,N(Plan!$C$7),0)</f>
        <v/>
      </c>
      <c r="AD285">
        <f>SUM(C285:N285)</f>
        <v/>
      </c>
      <c r="AE285">
        <f>SUM(O285:Z285)</f>
        <v/>
      </c>
      <c r="AF285">
        <f>IFERROR(ROUND(1/SUMPRODUCT(MAX((C284:N284&gt;0)*($C$3:$N$3&lt;=B285)*($C$2:$N$2&gt;AA285)/$C$2:$N$2)),0),0)</f>
        <v/>
      </c>
      <c r="AG285">
        <f>MAX(0,AC285-MAX(0,SUMPRODUCT(($C$2:$N$2=AA285)*(AH285:AS285-$C$7:$N$7))))</f>
        <v/>
      </c>
      <c r="AH285">
        <f>IF(C284&lt;=0,0,ROUND(C284*(1+IF(AND(C$6&gt;0,$B285&lt;C$6),C$4,C$5)/12),2))</f>
        <v/>
      </c>
      <c r="AI285">
        <f>IF(D284&lt;=0,0,ROUND(D284*(1+IF(AND(D$6&gt;0,$B285&lt;D$6),D$4,D$5)/12),2))</f>
        <v/>
      </c>
      <c r="AJ285">
        <f>IF(E284&lt;=0,0,ROUND(E284*(1+IF(AND(E$6&gt;0,$B285&lt;E$6),E$4,E$5)/12),2))</f>
        <v/>
      </c>
      <c r="AK285">
        <f>IF(F284&lt;=0,0,ROUND(F284*(1+IF(AND(F$6&gt;0,$B285&lt;F$6),F$4,F$5)/12),2))</f>
        <v/>
      </c>
      <c r="AL285">
        <f>IF(G284&lt;=0,0,ROUND(G284*(1+IF(AND(G$6&gt;0,$B285&lt;G$6),G$4,G$5)/12),2))</f>
        <v/>
      </c>
      <c r="AM285">
        <f>IF(H284&lt;=0,0,ROUND(H284*(1+IF(AND(H$6&gt;0,$B285&lt;H$6),H$4,H$5)/12),2))</f>
        <v/>
      </c>
      <c r="AN285">
        <f>IF(I284&lt;=0,0,ROUND(I284*(1+IF(AND(I$6&gt;0,$B285&lt;I$6),I$4,I$5)/12),2))</f>
        <v/>
      </c>
      <c r="AO285">
        <f>IF(J284&lt;=0,0,ROUND(J284*(1+IF(AND(J$6&gt;0,$B285&lt;J$6),J$4,J$5)/12),2))</f>
        <v/>
      </c>
      <c r="AP285">
        <f>IF(K284&lt;=0,0,ROUND(K284*(1+IF(AND(K$6&gt;0,$B285&lt;K$6),K$4,K$5)/12),2))</f>
        <v/>
      </c>
      <c r="AQ285">
        <f>IF(L284&lt;=0,0,ROUND(L284*(1+IF(AND(L$6&gt;0,$B285&lt;L$6),L$4,L$5)/12),2))</f>
        <v/>
      </c>
      <c r="AR285">
        <f>IF(M284&lt;=0,0,ROUND(M284*(1+IF(AND(M$6&gt;0,$B285&lt;M$6),M$4,M$5)/12),2))</f>
        <v/>
      </c>
      <c r="AS285">
        <f>IF(N284&lt;=0,0,ROUND(N284*(1+IF(AND(N$6&gt;0,$B285&lt;N$6),N$4,N$5)/12),2))</f>
        <v/>
      </c>
    </row>
    <row r="286">
      <c r="A286" t="n">
        <v>275</v>
      </c>
      <c r="B286">
        <f>EDATE(Plan!$C$6,274)</f>
        <v/>
      </c>
      <c r="C286">
        <f>IF(C285&lt;=0,0,MAX(0,AH286-O286))</f>
        <v/>
      </c>
      <c r="D286">
        <f>IF(D285&lt;=0,0,MAX(0,AI286-P286))</f>
        <v/>
      </c>
      <c r="E286">
        <f>IF(E285&lt;=0,0,MAX(0,AJ286-Q286))</f>
        <v/>
      </c>
      <c r="F286">
        <f>IF(F285&lt;=0,0,MAX(0,AK286-R286))</f>
        <v/>
      </c>
      <c r="G286">
        <f>IF(G285&lt;=0,0,MAX(0,AL286-S286))</f>
        <v/>
      </c>
      <c r="H286">
        <f>IF(H285&lt;=0,0,MAX(0,AM286-T286))</f>
        <v/>
      </c>
      <c r="I286">
        <f>IF(I285&lt;=0,0,MAX(0,AN286-U286))</f>
        <v/>
      </c>
      <c r="J286">
        <f>IF(J285&lt;=0,0,MAX(0,AO286-V286))</f>
        <v/>
      </c>
      <c r="K286">
        <f>IF(K285&lt;=0,0,MAX(0,AP286-W286))</f>
        <v/>
      </c>
      <c r="L286">
        <f>IF(L285&lt;=0,0,MAX(0,AQ286-X286))</f>
        <v/>
      </c>
      <c r="M286">
        <f>IF(M285&lt;=0,0,MAX(0,AR286-Y286))</f>
        <v/>
      </c>
      <c r="N286">
        <f>IF(N285&lt;=0,0,MAX(0,AS286-Z286))</f>
        <v/>
      </c>
      <c r="O286">
        <f>IF(C285&lt;=0,0,MIN(AH286,C$7+IF(C$2=$AA286,$AC286,IF(C$2=$AF286,$AG286,0))))</f>
        <v/>
      </c>
      <c r="P286">
        <f>IF(D285&lt;=0,0,MIN(AI286,D$7+IF(D$2=$AA286,$AC286,IF(D$2=$AF286,$AG286,0))))</f>
        <v/>
      </c>
      <c r="Q286">
        <f>IF(E285&lt;=0,0,MIN(AJ286,E$7+IF(E$2=$AA286,$AC286,IF(E$2=$AF286,$AG286,0))))</f>
        <v/>
      </c>
      <c r="R286">
        <f>IF(F285&lt;=0,0,MIN(AK286,F$7+IF(F$2=$AA286,$AC286,IF(F$2=$AF286,$AG286,0))))</f>
        <v/>
      </c>
      <c r="S286">
        <f>IF(G285&lt;=0,0,MIN(AL286,G$7+IF(G$2=$AA286,$AC286,IF(G$2=$AF286,$AG286,0))))</f>
        <v/>
      </c>
      <c r="T286">
        <f>IF(H285&lt;=0,0,MIN(AM286,H$7+IF(H$2=$AA286,$AC286,IF(H$2=$AF286,$AG286,0))))</f>
        <v/>
      </c>
      <c r="U286">
        <f>IF(I285&lt;=0,0,MIN(AN286,I$7+IF(I$2=$AA286,$AC286,IF(I$2=$AF286,$AG286,0))))</f>
        <v/>
      </c>
      <c r="V286">
        <f>IF(J285&lt;=0,0,MIN(AO286,J$7+IF(J$2=$AA286,$AC286,IF(J$2=$AF286,$AG286,0))))</f>
        <v/>
      </c>
      <c r="W286">
        <f>IF(K285&lt;=0,0,MIN(AP286,K$7+IF(K$2=$AA286,$AC286,IF(K$2=$AF286,$AG286,0))))</f>
        <v/>
      </c>
      <c r="X286">
        <f>IF(L285&lt;=0,0,MIN(AQ286,L$7+IF(L$2=$AA286,$AC286,IF(L$2=$AF286,$AG286,0))))</f>
        <v/>
      </c>
      <c r="Y286">
        <f>IF(M285&lt;=0,0,MIN(AR286,M$7+IF(M$2=$AA286,$AC286,IF(M$2=$AF286,$AG286,0))))</f>
        <v/>
      </c>
      <c r="Z286">
        <f>IF(N285&lt;=0,0,MIN(AS286,N$7+IF(N$2=$AA286,$AC286,IF(N$2=$AF286,$AG286,0))))</f>
        <v/>
      </c>
      <c r="AA286">
        <f>IFERROR(ROUND(1/SUMPRODUCT(MAX((C285:N285&gt;0)*($C$3:$N$3&lt;=B286)/$C$2:$N$2)),0),0)</f>
        <v/>
      </c>
      <c r="AB286">
        <f>SUMPRODUCT((C285:N285&gt;0)*$C$7:$N$7)</f>
        <v/>
      </c>
      <c r="AC286">
        <f>MAX(0,Plan!$C$5-AB286)+IF(A286=Plan!$C$8,N(Plan!$C$7),0)</f>
        <v/>
      </c>
      <c r="AD286">
        <f>SUM(C286:N286)</f>
        <v/>
      </c>
      <c r="AE286">
        <f>SUM(O286:Z286)</f>
        <v/>
      </c>
      <c r="AF286">
        <f>IFERROR(ROUND(1/SUMPRODUCT(MAX((C285:N285&gt;0)*($C$3:$N$3&lt;=B286)*($C$2:$N$2&gt;AA286)/$C$2:$N$2)),0),0)</f>
        <v/>
      </c>
      <c r="AG286">
        <f>MAX(0,AC286-MAX(0,SUMPRODUCT(($C$2:$N$2=AA286)*(AH286:AS286-$C$7:$N$7))))</f>
        <v/>
      </c>
      <c r="AH286">
        <f>IF(C285&lt;=0,0,ROUND(C285*(1+IF(AND(C$6&gt;0,$B286&lt;C$6),C$4,C$5)/12),2))</f>
        <v/>
      </c>
      <c r="AI286">
        <f>IF(D285&lt;=0,0,ROUND(D285*(1+IF(AND(D$6&gt;0,$B286&lt;D$6),D$4,D$5)/12),2))</f>
        <v/>
      </c>
      <c r="AJ286">
        <f>IF(E285&lt;=0,0,ROUND(E285*(1+IF(AND(E$6&gt;0,$B286&lt;E$6),E$4,E$5)/12),2))</f>
        <v/>
      </c>
      <c r="AK286">
        <f>IF(F285&lt;=0,0,ROUND(F285*(1+IF(AND(F$6&gt;0,$B286&lt;F$6),F$4,F$5)/12),2))</f>
        <v/>
      </c>
      <c r="AL286">
        <f>IF(G285&lt;=0,0,ROUND(G285*(1+IF(AND(G$6&gt;0,$B286&lt;G$6),G$4,G$5)/12),2))</f>
        <v/>
      </c>
      <c r="AM286">
        <f>IF(H285&lt;=0,0,ROUND(H285*(1+IF(AND(H$6&gt;0,$B286&lt;H$6),H$4,H$5)/12),2))</f>
        <v/>
      </c>
      <c r="AN286">
        <f>IF(I285&lt;=0,0,ROUND(I285*(1+IF(AND(I$6&gt;0,$B286&lt;I$6),I$4,I$5)/12),2))</f>
        <v/>
      </c>
      <c r="AO286">
        <f>IF(J285&lt;=0,0,ROUND(J285*(1+IF(AND(J$6&gt;0,$B286&lt;J$6),J$4,J$5)/12),2))</f>
        <v/>
      </c>
      <c r="AP286">
        <f>IF(K285&lt;=0,0,ROUND(K285*(1+IF(AND(K$6&gt;0,$B286&lt;K$6),K$4,K$5)/12),2))</f>
        <v/>
      </c>
      <c r="AQ286">
        <f>IF(L285&lt;=0,0,ROUND(L285*(1+IF(AND(L$6&gt;0,$B286&lt;L$6),L$4,L$5)/12),2))</f>
        <v/>
      </c>
      <c r="AR286">
        <f>IF(M285&lt;=0,0,ROUND(M285*(1+IF(AND(M$6&gt;0,$B286&lt;M$6),M$4,M$5)/12),2))</f>
        <v/>
      </c>
      <c r="AS286">
        <f>IF(N285&lt;=0,0,ROUND(N285*(1+IF(AND(N$6&gt;0,$B286&lt;N$6),N$4,N$5)/12),2))</f>
        <v/>
      </c>
    </row>
    <row r="287">
      <c r="A287" t="n">
        <v>276</v>
      </c>
      <c r="B287">
        <f>EDATE(Plan!$C$6,275)</f>
        <v/>
      </c>
      <c r="C287">
        <f>IF(C286&lt;=0,0,MAX(0,AH287-O287))</f>
        <v/>
      </c>
      <c r="D287">
        <f>IF(D286&lt;=0,0,MAX(0,AI287-P287))</f>
        <v/>
      </c>
      <c r="E287">
        <f>IF(E286&lt;=0,0,MAX(0,AJ287-Q287))</f>
        <v/>
      </c>
      <c r="F287">
        <f>IF(F286&lt;=0,0,MAX(0,AK287-R287))</f>
        <v/>
      </c>
      <c r="G287">
        <f>IF(G286&lt;=0,0,MAX(0,AL287-S287))</f>
        <v/>
      </c>
      <c r="H287">
        <f>IF(H286&lt;=0,0,MAX(0,AM287-T287))</f>
        <v/>
      </c>
      <c r="I287">
        <f>IF(I286&lt;=0,0,MAX(0,AN287-U287))</f>
        <v/>
      </c>
      <c r="J287">
        <f>IF(J286&lt;=0,0,MAX(0,AO287-V287))</f>
        <v/>
      </c>
      <c r="K287">
        <f>IF(K286&lt;=0,0,MAX(0,AP287-W287))</f>
        <v/>
      </c>
      <c r="L287">
        <f>IF(L286&lt;=0,0,MAX(0,AQ287-X287))</f>
        <v/>
      </c>
      <c r="M287">
        <f>IF(M286&lt;=0,0,MAX(0,AR287-Y287))</f>
        <v/>
      </c>
      <c r="N287">
        <f>IF(N286&lt;=0,0,MAX(0,AS287-Z287))</f>
        <v/>
      </c>
      <c r="O287">
        <f>IF(C286&lt;=0,0,MIN(AH287,C$7+IF(C$2=$AA287,$AC287,IF(C$2=$AF287,$AG287,0))))</f>
        <v/>
      </c>
      <c r="P287">
        <f>IF(D286&lt;=0,0,MIN(AI287,D$7+IF(D$2=$AA287,$AC287,IF(D$2=$AF287,$AG287,0))))</f>
        <v/>
      </c>
      <c r="Q287">
        <f>IF(E286&lt;=0,0,MIN(AJ287,E$7+IF(E$2=$AA287,$AC287,IF(E$2=$AF287,$AG287,0))))</f>
        <v/>
      </c>
      <c r="R287">
        <f>IF(F286&lt;=0,0,MIN(AK287,F$7+IF(F$2=$AA287,$AC287,IF(F$2=$AF287,$AG287,0))))</f>
        <v/>
      </c>
      <c r="S287">
        <f>IF(G286&lt;=0,0,MIN(AL287,G$7+IF(G$2=$AA287,$AC287,IF(G$2=$AF287,$AG287,0))))</f>
        <v/>
      </c>
      <c r="T287">
        <f>IF(H286&lt;=0,0,MIN(AM287,H$7+IF(H$2=$AA287,$AC287,IF(H$2=$AF287,$AG287,0))))</f>
        <v/>
      </c>
      <c r="U287">
        <f>IF(I286&lt;=0,0,MIN(AN287,I$7+IF(I$2=$AA287,$AC287,IF(I$2=$AF287,$AG287,0))))</f>
        <v/>
      </c>
      <c r="V287">
        <f>IF(J286&lt;=0,0,MIN(AO287,J$7+IF(J$2=$AA287,$AC287,IF(J$2=$AF287,$AG287,0))))</f>
        <v/>
      </c>
      <c r="W287">
        <f>IF(K286&lt;=0,0,MIN(AP287,K$7+IF(K$2=$AA287,$AC287,IF(K$2=$AF287,$AG287,0))))</f>
        <v/>
      </c>
      <c r="X287">
        <f>IF(L286&lt;=0,0,MIN(AQ287,L$7+IF(L$2=$AA287,$AC287,IF(L$2=$AF287,$AG287,0))))</f>
        <v/>
      </c>
      <c r="Y287">
        <f>IF(M286&lt;=0,0,MIN(AR287,M$7+IF(M$2=$AA287,$AC287,IF(M$2=$AF287,$AG287,0))))</f>
        <v/>
      </c>
      <c r="Z287">
        <f>IF(N286&lt;=0,0,MIN(AS287,N$7+IF(N$2=$AA287,$AC287,IF(N$2=$AF287,$AG287,0))))</f>
        <v/>
      </c>
      <c r="AA287">
        <f>IFERROR(ROUND(1/SUMPRODUCT(MAX((C286:N286&gt;0)*($C$3:$N$3&lt;=B287)/$C$2:$N$2)),0),0)</f>
        <v/>
      </c>
      <c r="AB287">
        <f>SUMPRODUCT((C286:N286&gt;0)*$C$7:$N$7)</f>
        <v/>
      </c>
      <c r="AC287">
        <f>MAX(0,Plan!$C$5-AB287)+IF(A287=Plan!$C$8,N(Plan!$C$7),0)</f>
        <v/>
      </c>
      <c r="AD287">
        <f>SUM(C287:N287)</f>
        <v/>
      </c>
      <c r="AE287">
        <f>SUM(O287:Z287)</f>
        <v/>
      </c>
      <c r="AF287">
        <f>IFERROR(ROUND(1/SUMPRODUCT(MAX((C286:N286&gt;0)*($C$3:$N$3&lt;=B287)*($C$2:$N$2&gt;AA287)/$C$2:$N$2)),0),0)</f>
        <v/>
      </c>
      <c r="AG287">
        <f>MAX(0,AC287-MAX(0,SUMPRODUCT(($C$2:$N$2=AA287)*(AH287:AS287-$C$7:$N$7))))</f>
        <v/>
      </c>
      <c r="AH287">
        <f>IF(C286&lt;=0,0,ROUND(C286*(1+IF(AND(C$6&gt;0,$B287&lt;C$6),C$4,C$5)/12),2))</f>
        <v/>
      </c>
      <c r="AI287">
        <f>IF(D286&lt;=0,0,ROUND(D286*(1+IF(AND(D$6&gt;0,$B287&lt;D$6),D$4,D$5)/12),2))</f>
        <v/>
      </c>
      <c r="AJ287">
        <f>IF(E286&lt;=0,0,ROUND(E286*(1+IF(AND(E$6&gt;0,$B287&lt;E$6),E$4,E$5)/12),2))</f>
        <v/>
      </c>
      <c r="AK287">
        <f>IF(F286&lt;=0,0,ROUND(F286*(1+IF(AND(F$6&gt;0,$B287&lt;F$6),F$4,F$5)/12),2))</f>
        <v/>
      </c>
      <c r="AL287">
        <f>IF(G286&lt;=0,0,ROUND(G286*(1+IF(AND(G$6&gt;0,$B287&lt;G$6),G$4,G$5)/12),2))</f>
        <v/>
      </c>
      <c r="AM287">
        <f>IF(H286&lt;=0,0,ROUND(H286*(1+IF(AND(H$6&gt;0,$B287&lt;H$6),H$4,H$5)/12),2))</f>
        <v/>
      </c>
      <c r="AN287">
        <f>IF(I286&lt;=0,0,ROUND(I286*(1+IF(AND(I$6&gt;0,$B287&lt;I$6),I$4,I$5)/12),2))</f>
        <v/>
      </c>
      <c r="AO287">
        <f>IF(J286&lt;=0,0,ROUND(J286*(1+IF(AND(J$6&gt;0,$B287&lt;J$6),J$4,J$5)/12),2))</f>
        <v/>
      </c>
      <c r="AP287">
        <f>IF(K286&lt;=0,0,ROUND(K286*(1+IF(AND(K$6&gt;0,$B287&lt;K$6),K$4,K$5)/12),2))</f>
        <v/>
      </c>
      <c r="AQ287">
        <f>IF(L286&lt;=0,0,ROUND(L286*(1+IF(AND(L$6&gt;0,$B287&lt;L$6),L$4,L$5)/12),2))</f>
        <v/>
      </c>
      <c r="AR287">
        <f>IF(M286&lt;=0,0,ROUND(M286*(1+IF(AND(M$6&gt;0,$B287&lt;M$6),M$4,M$5)/12),2))</f>
        <v/>
      </c>
      <c r="AS287">
        <f>IF(N286&lt;=0,0,ROUND(N286*(1+IF(AND(N$6&gt;0,$B287&lt;N$6),N$4,N$5)/12),2))</f>
        <v/>
      </c>
    </row>
    <row r="288">
      <c r="A288" t="n">
        <v>277</v>
      </c>
      <c r="B288">
        <f>EDATE(Plan!$C$6,276)</f>
        <v/>
      </c>
      <c r="C288">
        <f>IF(C287&lt;=0,0,MAX(0,AH288-O288))</f>
        <v/>
      </c>
      <c r="D288">
        <f>IF(D287&lt;=0,0,MAX(0,AI288-P288))</f>
        <v/>
      </c>
      <c r="E288">
        <f>IF(E287&lt;=0,0,MAX(0,AJ288-Q288))</f>
        <v/>
      </c>
      <c r="F288">
        <f>IF(F287&lt;=0,0,MAX(0,AK288-R288))</f>
        <v/>
      </c>
      <c r="G288">
        <f>IF(G287&lt;=0,0,MAX(0,AL288-S288))</f>
        <v/>
      </c>
      <c r="H288">
        <f>IF(H287&lt;=0,0,MAX(0,AM288-T288))</f>
        <v/>
      </c>
      <c r="I288">
        <f>IF(I287&lt;=0,0,MAX(0,AN288-U288))</f>
        <v/>
      </c>
      <c r="J288">
        <f>IF(J287&lt;=0,0,MAX(0,AO288-V288))</f>
        <v/>
      </c>
      <c r="K288">
        <f>IF(K287&lt;=0,0,MAX(0,AP288-W288))</f>
        <v/>
      </c>
      <c r="L288">
        <f>IF(L287&lt;=0,0,MAX(0,AQ288-X288))</f>
        <v/>
      </c>
      <c r="M288">
        <f>IF(M287&lt;=0,0,MAX(0,AR288-Y288))</f>
        <v/>
      </c>
      <c r="N288">
        <f>IF(N287&lt;=0,0,MAX(0,AS288-Z288))</f>
        <v/>
      </c>
      <c r="O288">
        <f>IF(C287&lt;=0,0,MIN(AH288,C$7+IF(C$2=$AA288,$AC288,IF(C$2=$AF288,$AG288,0))))</f>
        <v/>
      </c>
      <c r="P288">
        <f>IF(D287&lt;=0,0,MIN(AI288,D$7+IF(D$2=$AA288,$AC288,IF(D$2=$AF288,$AG288,0))))</f>
        <v/>
      </c>
      <c r="Q288">
        <f>IF(E287&lt;=0,0,MIN(AJ288,E$7+IF(E$2=$AA288,$AC288,IF(E$2=$AF288,$AG288,0))))</f>
        <v/>
      </c>
      <c r="R288">
        <f>IF(F287&lt;=0,0,MIN(AK288,F$7+IF(F$2=$AA288,$AC288,IF(F$2=$AF288,$AG288,0))))</f>
        <v/>
      </c>
      <c r="S288">
        <f>IF(G287&lt;=0,0,MIN(AL288,G$7+IF(G$2=$AA288,$AC288,IF(G$2=$AF288,$AG288,0))))</f>
        <v/>
      </c>
      <c r="T288">
        <f>IF(H287&lt;=0,0,MIN(AM288,H$7+IF(H$2=$AA288,$AC288,IF(H$2=$AF288,$AG288,0))))</f>
        <v/>
      </c>
      <c r="U288">
        <f>IF(I287&lt;=0,0,MIN(AN288,I$7+IF(I$2=$AA288,$AC288,IF(I$2=$AF288,$AG288,0))))</f>
        <v/>
      </c>
      <c r="V288">
        <f>IF(J287&lt;=0,0,MIN(AO288,J$7+IF(J$2=$AA288,$AC288,IF(J$2=$AF288,$AG288,0))))</f>
        <v/>
      </c>
      <c r="W288">
        <f>IF(K287&lt;=0,0,MIN(AP288,K$7+IF(K$2=$AA288,$AC288,IF(K$2=$AF288,$AG288,0))))</f>
        <v/>
      </c>
      <c r="X288">
        <f>IF(L287&lt;=0,0,MIN(AQ288,L$7+IF(L$2=$AA288,$AC288,IF(L$2=$AF288,$AG288,0))))</f>
        <v/>
      </c>
      <c r="Y288">
        <f>IF(M287&lt;=0,0,MIN(AR288,M$7+IF(M$2=$AA288,$AC288,IF(M$2=$AF288,$AG288,0))))</f>
        <v/>
      </c>
      <c r="Z288">
        <f>IF(N287&lt;=0,0,MIN(AS288,N$7+IF(N$2=$AA288,$AC288,IF(N$2=$AF288,$AG288,0))))</f>
        <v/>
      </c>
      <c r="AA288">
        <f>IFERROR(ROUND(1/SUMPRODUCT(MAX((C287:N287&gt;0)*($C$3:$N$3&lt;=B288)/$C$2:$N$2)),0),0)</f>
        <v/>
      </c>
      <c r="AB288">
        <f>SUMPRODUCT((C287:N287&gt;0)*$C$7:$N$7)</f>
        <v/>
      </c>
      <c r="AC288">
        <f>MAX(0,Plan!$C$5-AB288)+IF(A288=Plan!$C$8,N(Plan!$C$7),0)</f>
        <v/>
      </c>
      <c r="AD288">
        <f>SUM(C288:N288)</f>
        <v/>
      </c>
      <c r="AE288">
        <f>SUM(O288:Z288)</f>
        <v/>
      </c>
      <c r="AF288">
        <f>IFERROR(ROUND(1/SUMPRODUCT(MAX((C287:N287&gt;0)*($C$3:$N$3&lt;=B288)*($C$2:$N$2&gt;AA288)/$C$2:$N$2)),0),0)</f>
        <v/>
      </c>
      <c r="AG288">
        <f>MAX(0,AC288-MAX(0,SUMPRODUCT(($C$2:$N$2=AA288)*(AH288:AS288-$C$7:$N$7))))</f>
        <v/>
      </c>
      <c r="AH288">
        <f>IF(C287&lt;=0,0,ROUND(C287*(1+IF(AND(C$6&gt;0,$B288&lt;C$6),C$4,C$5)/12),2))</f>
        <v/>
      </c>
      <c r="AI288">
        <f>IF(D287&lt;=0,0,ROUND(D287*(1+IF(AND(D$6&gt;0,$B288&lt;D$6),D$4,D$5)/12),2))</f>
        <v/>
      </c>
      <c r="AJ288">
        <f>IF(E287&lt;=0,0,ROUND(E287*(1+IF(AND(E$6&gt;0,$B288&lt;E$6),E$4,E$5)/12),2))</f>
        <v/>
      </c>
      <c r="AK288">
        <f>IF(F287&lt;=0,0,ROUND(F287*(1+IF(AND(F$6&gt;0,$B288&lt;F$6),F$4,F$5)/12),2))</f>
        <v/>
      </c>
      <c r="AL288">
        <f>IF(G287&lt;=0,0,ROUND(G287*(1+IF(AND(G$6&gt;0,$B288&lt;G$6),G$4,G$5)/12),2))</f>
        <v/>
      </c>
      <c r="AM288">
        <f>IF(H287&lt;=0,0,ROUND(H287*(1+IF(AND(H$6&gt;0,$B288&lt;H$6),H$4,H$5)/12),2))</f>
        <v/>
      </c>
      <c r="AN288">
        <f>IF(I287&lt;=0,0,ROUND(I287*(1+IF(AND(I$6&gt;0,$B288&lt;I$6),I$4,I$5)/12),2))</f>
        <v/>
      </c>
      <c r="AO288">
        <f>IF(J287&lt;=0,0,ROUND(J287*(1+IF(AND(J$6&gt;0,$B288&lt;J$6),J$4,J$5)/12),2))</f>
        <v/>
      </c>
      <c r="AP288">
        <f>IF(K287&lt;=0,0,ROUND(K287*(1+IF(AND(K$6&gt;0,$B288&lt;K$6),K$4,K$5)/12),2))</f>
        <v/>
      </c>
      <c r="AQ288">
        <f>IF(L287&lt;=0,0,ROUND(L287*(1+IF(AND(L$6&gt;0,$B288&lt;L$6),L$4,L$5)/12),2))</f>
        <v/>
      </c>
      <c r="AR288">
        <f>IF(M287&lt;=0,0,ROUND(M287*(1+IF(AND(M$6&gt;0,$B288&lt;M$6),M$4,M$5)/12),2))</f>
        <v/>
      </c>
      <c r="AS288">
        <f>IF(N287&lt;=0,0,ROUND(N287*(1+IF(AND(N$6&gt;0,$B288&lt;N$6),N$4,N$5)/12),2))</f>
        <v/>
      </c>
    </row>
    <row r="289">
      <c r="A289" t="n">
        <v>278</v>
      </c>
      <c r="B289">
        <f>EDATE(Plan!$C$6,277)</f>
        <v/>
      </c>
      <c r="C289">
        <f>IF(C288&lt;=0,0,MAX(0,AH289-O289))</f>
        <v/>
      </c>
      <c r="D289">
        <f>IF(D288&lt;=0,0,MAX(0,AI289-P289))</f>
        <v/>
      </c>
      <c r="E289">
        <f>IF(E288&lt;=0,0,MAX(0,AJ289-Q289))</f>
        <v/>
      </c>
      <c r="F289">
        <f>IF(F288&lt;=0,0,MAX(0,AK289-R289))</f>
        <v/>
      </c>
      <c r="G289">
        <f>IF(G288&lt;=0,0,MAX(0,AL289-S289))</f>
        <v/>
      </c>
      <c r="H289">
        <f>IF(H288&lt;=0,0,MAX(0,AM289-T289))</f>
        <v/>
      </c>
      <c r="I289">
        <f>IF(I288&lt;=0,0,MAX(0,AN289-U289))</f>
        <v/>
      </c>
      <c r="J289">
        <f>IF(J288&lt;=0,0,MAX(0,AO289-V289))</f>
        <v/>
      </c>
      <c r="K289">
        <f>IF(K288&lt;=0,0,MAX(0,AP289-W289))</f>
        <v/>
      </c>
      <c r="L289">
        <f>IF(L288&lt;=0,0,MAX(0,AQ289-X289))</f>
        <v/>
      </c>
      <c r="M289">
        <f>IF(M288&lt;=0,0,MAX(0,AR289-Y289))</f>
        <v/>
      </c>
      <c r="N289">
        <f>IF(N288&lt;=0,0,MAX(0,AS289-Z289))</f>
        <v/>
      </c>
      <c r="O289">
        <f>IF(C288&lt;=0,0,MIN(AH289,C$7+IF(C$2=$AA289,$AC289,IF(C$2=$AF289,$AG289,0))))</f>
        <v/>
      </c>
      <c r="P289">
        <f>IF(D288&lt;=0,0,MIN(AI289,D$7+IF(D$2=$AA289,$AC289,IF(D$2=$AF289,$AG289,0))))</f>
        <v/>
      </c>
      <c r="Q289">
        <f>IF(E288&lt;=0,0,MIN(AJ289,E$7+IF(E$2=$AA289,$AC289,IF(E$2=$AF289,$AG289,0))))</f>
        <v/>
      </c>
      <c r="R289">
        <f>IF(F288&lt;=0,0,MIN(AK289,F$7+IF(F$2=$AA289,$AC289,IF(F$2=$AF289,$AG289,0))))</f>
        <v/>
      </c>
      <c r="S289">
        <f>IF(G288&lt;=0,0,MIN(AL289,G$7+IF(G$2=$AA289,$AC289,IF(G$2=$AF289,$AG289,0))))</f>
        <v/>
      </c>
      <c r="T289">
        <f>IF(H288&lt;=0,0,MIN(AM289,H$7+IF(H$2=$AA289,$AC289,IF(H$2=$AF289,$AG289,0))))</f>
        <v/>
      </c>
      <c r="U289">
        <f>IF(I288&lt;=0,0,MIN(AN289,I$7+IF(I$2=$AA289,$AC289,IF(I$2=$AF289,$AG289,0))))</f>
        <v/>
      </c>
      <c r="V289">
        <f>IF(J288&lt;=0,0,MIN(AO289,J$7+IF(J$2=$AA289,$AC289,IF(J$2=$AF289,$AG289,0))))</f>
        <v/>
      </c>
      <c r="W289">
        <f>IF(K288&lt;=0,0,MIN(AP289,K$7+IF(K$2=$AA289,$AC289,IF(K$2=$AF289,$AG289,0))))</f>
        <v/>
      </c>
      <c r="X289">
        <f>IF(L288&lt;=0,0,MIN(AQ289,L$7+IF(L$2=$AA289,$AC289,IF(L$2=$AF289,$AG289,0))))</f>
        <v/>
      </c>
      <c r="Y289">
        <f>IF(M288&lt;=0,0,MIN(AR289,M$7+IF(M$2=$AA289,$AC289,IF(M$2=$AF289,$AG289,0))))</f>
        <v/>
      </c>
      <c r="Z289">
        <f>IF(N288&lt;=0,0,MIN(AS289,N$7+IF(N$2=$AA289,$AC289,IF(N$2=$AF289,$AG289,0))))</f>
        <v/>
      </c>
      <c r="AA289">
        <f>IFERROR(ROUND(1/SUMPRODUCT(MAX((C288:N288&gt;0)*($C$3:$N$3&lt;=B289)/$C$2:$N$2)),0),0)</f>
        <v/>
      </c>
      <c r="AB289">
        <f>SUMPRODUCT((C288:N288&gt;0)*$C$7:$N$7)</f>
        <v/>
      </c>
      <c r="AC289">
        <f>MAX(0,Plan!$C$5-AB289)+IF(A289=Plan!$C$8,N(Plan!$C$7),0)</f>
        <v/>
      </c>
      <c r="AD289">
        <f>SUM(C289:N289)</f>
        <v/>
      </c>
      <c r="AE289">
        <f>SUM(O289:Z289)</f>
        <v/>
      </c>
      <c r="AF289">
        <f>IFERROR(ROUND(1/SUMPRODUCT(MAX((C288:N288&gt;0)*($C$3:$N$3&lt;=B289)*($C$2:$N$2&gt;AA289)/$C$2:$N$2)),0),0)</f>
        <v/>
      </c>
      <c r="AG289">
        <f>MAX(0,AC289-MAX(0,SUMPRODUCT(($C$2:$N$2=AA289)*(AH289:AS289-$C$7:$N$7))))</f>
        <v/>
      </c>
      <c r="AH289">
        <f>IF(C288&lt;=0,0,ROUND(C288*(1+IF(AND(C$6&gt;0,$B289&lt;C$6),C$4,C$5)/12),2))</f>
        <v/>
      </c>
      <c r="AI289">
        <f>IF(D288&lt;=0,0,ROUND(D288*(1+IF(AND(D$6&gt;0,$B289&lt;D$6),D$4,D$5)/12),2))</f>
        <v/>
      </c>
      <c r="AJ289">
        <f>IF(E288&lt;=0,0,ROUND(E288*(1+IF(AND(E$6&gt;0,$B289&lt;E$6),E$4,E$5)/12),2))</f>
        <v/>
      </c>
      <c r="AK289">
        <f>IF(F288&lt;=0,0,ROUND(F288*(1+IF(AND(F$6&gt;0,$B289&lt;F$6),F$4,F$5)/12),2))</f>
        <v/>
      </c>
      <c r="AL289">
        <f>IF(G288&lt;=0,0,ROUND(G288*(1+IF(AND(G$6&gt;0,$B289&lt;G$6),G$4,G$5)/12),2))</f>
        <v/>
      </c>
      <c r="AM289">
        <f>IF(H288&lt;=0,0,ROUND(H288*(1+IF(AND(H$6&gt;0,$B289&lt;H$6),H$4,H$5)/12),2))</f>
        <v/>
      </c>
      <c r="AN289">
        <f>IF(I288&lt;=0,0,ROUND(I288*(1+IF(AND(I$6&gt;0,$B289&lt;I$6),I$4,I$5)/12),2))</f>
        <v/>
      </c>
      <c r="AO289">
        <f>IF(J288&lt;=0,0,ROUND(J288*(1+IF(AND(J$6&gt;0,$B289&lt;J$6),J$4,J$5)/12),2))</f>
        <v/>
      </c>
      <c r="AP289">
        <f>IF(K288&lt;=0,0,ROUND(K288*(1+IF(AND(K$6&gt;0,$B289&lt;K$6),K$4,K$5)/12),2))</f>
        <v/>
      </c>
      <c r="AQ289">
        <f>IF(L288&lt;=0,0,ROUND(L288*(1+IF(AND(L$6&gt;0,$B289&lt;L$6),L$4,L$5)/12),2))</f>
        <v/>
      </c>
      <c r="AR289">
        <f>IF(M288&lt;=0,0,ROUND(M288*(1+IF(AND(M$6&gt;0,$B289&lt;M$6),M$4,M$5)/12),2))</f>
        <v/>
      </c>
      <c r="AS289">
        <f>IF(N288&lt;=0,0,ROUND(N288*(1+IF(AND(N$6&gt;0,$B289&lt;N$6),N$4,N$5)/12),2))</f>
        <v/>
      </c>
    </row>
    <row r="290">
      <c r="A290" t="n">
        <v>279</v>
      </c>
      <c r="B290">
        <f>EDATE(Plan!$C$6,278)</f>
        <v/>
      </c>
      <c r="C290">
        <f>IF(C289&lt;=0,0,MAX(0,AH290-O290))</f>
        <v/>
      </c>
      <c r="D290">
        <f>IF(D289&lt;=0,0,MAX(0,AI290-P290))</f>
        <v/>
      </c>
      <c r="E290">
        <f>IF(E289&lt;=0,0,MAX(0,AJ290-Q290))</f>
        <v/>
      </c>
      <c r="F290">
        <f>IF(F289&lt;=0,0,MAX(0,AK290-R290))</f>
        <v/>
      </c>
      <c r="G290">
        <f>IF(G289&lt;=0,0,MAX(0,AL290-S290))</f>
        <v/>
      </c>
      <c r="H290">
        <f>IF(H289&lt;=0,0,MAX(0,AM290-T290))</f>
        <v/>
      </c>
      <c r="I290">
        <f>IF(I289&lt;=0,0,MAX(0,AN290-U290))</f>
        <v/>
      </c>
      <c r="J290">
        <f>IF(J289&lt;=0,0,MAX(0,AO290-V290))</f>
        <v/>
      </c>
      <c r="K290">
        <f>IF(K289&lt;=0,0,MAX(0,AP290-W290))</f>
        <v/>
      </c>
      <c r="L290">
        <f>IF(L289&lt;=0,0,MAX(0,AQ290-X290))</f>
        <v/>
      </c>
      <c r="M290">
        <f>IF(M289&lt;=0,0,MAX(0,AR290-Y290))</f>
        <v/>
      </c>
      <c r="N290">
        <f>IF(N289&lt;=0,0,MAX(0,AS290-Z290))</f>
        <v/>
      </c>
      <c r="O290">
        <f>IF(C289&lt;=0,0,MIN(AH290,C$7+IF(C$2=$AA290,$AC290,IF(C$2=$AF290,$AG290,0))))</f>
        <v/>
      </c>
      <c r="P290">
        <f>IF(D289&lt;=0,0,MIN(AI290,D$7+IF(D$2=$AA290,$AC290,IF(D$2=$AF290,$AG290,0))))</f>
        <v/>
      </c>
      <c r="Q290">
        <f>IF(E289&lt;=0,0,MIN(AJ290,E$7+IF(E$2=$AA290,$AC290,IF(E$2=$AF290,$AG290,0))))</f>
        <v/>
      </c>
      <c r="R290">
        <f>IF(F289&lt;=0,0,MIN(AK290,F$7+IF(F$2=$AA290,$AC290,IF(F$2=$AF290,$AG290,0))))</f>
        <v/>
      </c>
      <c r="S290">
        <f>IF(G289&lt;=0,0,MIN(AL290,G$7+IF(G$2=$AA290,$AC290,IF(G$2=$AF290,$AG290,0))))</f>
        <v/>
      </c>
      <c r="T290">
        <f>IF(H289&lt;=0,0,MIN(AM290,H$7+IF(H$2=$AA290,$AC290,IF(H$2=$AF290,$AG290,0))))</f>
        <v/>
      </c>
      <c r="U290">
        <f>IF(I289&lt;=0,0,MIN(AN290,I$7+IF(I$2=$AA290,$AC290,IF(I$2=$AF290,$AG290,0))))</f>
        <v/>
      </c>
      <c r="V290">
        <f>IF(J289&lt;=0,0,MIN(AO290,J$7+IF(J$2=$AA290,$AC290,IF(J$2=$AF290,$AG290,0))))</f>
        <v/>
      </c>
      <c r="W290">
        <f>IF(K289&lt;=0,0,MIN(AP290,K$7+IF(K$2=$AA290,$AC290,IF(K$2=$AF290,$AG290,0))))</f>
        <v/>
      </c>
      <c r="X290">
        <f>IF(L289&lt;=0,0,MIN(AQ290,L$7+IF(L$2=$AA290,$AC290,IF(L$2=$AF290,$AG290,0))))</f>
        <v/>
      </c>
      <c r="Y290">
        <f>IF(M289&lt;=0,0,MIN(AR290,M$7+IF(M$2=$AA290,$AC290,IF(M$2=$AF290,$AG290,0))))</f>
        <v/>
      </c>
      <c r="Z290">
        <f>IF(N289&lt;=0,0,MIN(AS290,N$7+IF(N$2=$AA290,$AC290,IF(N$2=$AF290,$AG290,0))))</f>
        <v/>
      </c>
      <c r="AA290">
        <f>IFERROR(ROUND(1/SUMPRODUCT(MAX((C289:N289&gt;0)*($C$3:$N$3&lt;=B290)/$C$2:$N$2)),0),0)</f>
        <v/>
      </c>
      <c r="AB290">
        <f>SUMPRODUCT((C289:N289&gt;0)*$C$7:$N$7)</f>
        <v/>
      </c>
      <c r="AC290">
        <f>MAX(0,Plan!$C$5-AB290)+IF(A290=Plan!$C$8,N(Plan!$C$7),0)</f>
        <v/>
      </c>
      <c r="AD290">
        <f>SUM(C290:N290)</f>
        <v/>
      </c>
      <c r="AE290">
        <f>SUM(O290:Z290)</f>
        <v/>
      </c>
      <c r="AF290">
        <f>IFERROR(ROUND(1/SUMPRODUCT(MAX((C289:N289&gt;0)*($C$3:$N$3&lt;=B290)*($C$2:$N$2&gt;AA290)/$C$2:$N$2)),0),0)</f>
        <v/>
      </c>
      <c r="AG290">
        <f>MAX(0,AC290-MAX(0,SUMPRODUCT(($C$2:$N$2=AA290)*(AH290:AS290-$C$7:$N$7))))</f>
        <v/>
      </c>
      <c r="AH290">
        <f>IF(C289&lt;=0,0,ROUND(C289*(1+IF(AND(C$6&gt;0,$B290&lt;C$6),C$4,C$5)/12),2))</f>
        <v/>
      </c>
      <c r="AI290">
        <f>IF(D289&lt;=0,0,ROUND(D289*(1+IF(AND(D$6&gt;0,$B290&lt;D$6),D$4,D$5)/12),2))</f>
        <v/>
      </c>
      <c r="AJ290">
        <f>IF(E289&lt;=0,0,ROUND(E289*(1+IF(AND(E$6&gt;0,$B290&lt;E$6),E$4,E$5)/12),2))</f>
        <v/>
      </c>
      <c r="AK290">
        <f>IF(F289&lt;=0,0,ROUND(F289*(1+IF(AND(F$6&gt;0,$B290&lt;F$6),F$4,F$5)/12),2))</f>
        <v/>
      </c>
      <c r="AL290">
        <f>IF(G289&lt;=0,0,ROUND(G289*(1+IF(AND(G$6&gt;0,$B290&lt;G$6),G$4,G$5)/12),2))</f>
        <v/>
      </c>
      <c r="AM290">
        <f>IF(H289&lt;=0,0,ROUND(H289*(1+IF(AND(H$6&gt;0,$B290&lt;H$6),H$4,H$5)/12),2))</f>
        <v/>
      </c>
      <c r="AN290">
        <f>IF(I289&lt;=0,0,ROUND(I289*(1+IF(AND(I$6&gt;0,$B290&lt;I$6),I$4,I$5)/12),2))</f>
        <v/>
      </c>
      <c r="AO290">
        <f>IF(J289&lt;=0,0,ROUND(J289*(1+IF(AND(J$6&gt;0,$B290&lt;J$6),J$4,J$5)/12),2))</f>
        <v/>
      </c>
      <c r="AP290">
        <f>IF(K289&lt;=0,0,ROUND(K289*(1+IF(AND(K$6&gt;0,$B290&lt;K$6),K$4,K$5)/12),2))</f>
        <v/>
      </c>
      <c r="AQ290">
        <f>IF(L289&lt;=0,0,ROUND(L289*(1+IF(AND(L$6&gt;0,$B290&lt;L$6),L$4,L$5)/12),2))</f>
        <v/>
      </c>
      <c r="AR290">
        <f>IF(M289&lt;=0,0,ROUND(M289*(1+IF(AND(M$6&gt;0,$B290&lt;M$6),M$4,M$5)/12),2))</f>
        <v/>
      </c>
      <c r="AS290">
        <f>IF(N289&lt;=0,0,ROUND(N289*(1+IF(AND(N$6&gt;0,$B290&lt;N$6),N$4,N$5)/12),2))</f>
        <v/>
      </c>
    </row>
    <row r="291">
      <c r="A291" t="n">
        <v>280</v>
      </c>
      <c r="B291">
        <f>EDATE(Plan!$C$6,279)</f>
        <v/>
      </c>
      <c r="C291">
        <f>IF(C290&lt;=0,0,MAX(0,AH291-O291))</f>
        <v/>
      </c>
      <c r="D291">
        <f>IF(D290&lt;=0,0,MAX(0,AI291-P291))</f>
        <v/>
      </c>
      <c r="E291">
        <f>IF(E290&lt;=0,0,MAX(0,AJ291-Q291))</f>
        <v/>
      </c>
      <c r="F291">
        <f>IF(F290&lt;=0,0,MAX(0,AK291-R291))</f>
        <v/>
      </c>
      <c r="G291">
        <f>IF(G290&lt;=0,0,MAX(0,AL291-S291))</f>
        <v/>
      </c>
      <c r="H291">
        <f>IF(H290&lt;=0,0,MAX(0,AM291-T291))</f>
        <v/>
      </c>
      <c r="I291">
        <f>IF(I290&lt;=0,0,MAX(0,AN291-U291))</f>
        <v/>
      </c>
      <c r="J291">
        <f>IF(J290&lt;=0,0,MAX(0,AO291-V291))</f>
        <v/>
      </c>
      <c r="K291">
        <f>IF(K290&lt;=0,0,MAX(0,AP291-W291))</f>
        <v/>
      </c>
      <c r="L291">
        <f>IF(L290&lt;=0,0,MAX(0,AQ291-X291))</f>
        <v/>
      </c>
      <c r="M291">
        <f>IF(M290&lt;=0,0,MAX(0,AR291-Y291))</f>
        <v/>
      </c>
      <c r="N291">
        <f>IF(N290&lt;=0,0,MAX(0,AS291-Z291))</f>
        <v/>
      </c>
      <c r="O291">
        <f>IF(C290&lt;=0,0,MIN(AH291,C$7+IF(C$2=$AA291,$AC291,IF(C$2=$AF291,$AG291,0))))</f>
        <v/>
      </c>
      <c r="P291">
        <f>IF(D290&lt;=0,0,MIN(AI291,D$7+IF(D$2=$AA291,$AC291,IF(D$2=$AF291,$AG291,0))))</f>
        <v/>
      </c>
      <c r="Q291">
        <f>IF(E290&lt;=0,0,MIN(AJ291,E$7+IF(E$2=$AA291,$AC291,IF(E$2=$AF291,$AG291,0))))</f>
        <v/>
      </c>
      <c r="R291">
        <f>IF(F290&lt;=0,0,MIN(AK291,F$7+IF(F$2=$AA291,$AC291,IF(F$2=$AF291,$AG291,0))))</f>
        <v/>
      </c>
      <c r="S291">
        <f>IF(G290&lt;=0,0,MIN(AL291,G$7+IF(G$2=$AA291,$AC291,IF(G$2=$AF291,$AG291,0))))</f>
        <v/>
      </c>
      <c r="T291">
        <f>IF(H290&lt;=0,0,MIN(AM291,H$7+IF(H$2=$AA291,$AC291,IF(H$2=$AF291,$AG291,0))))</f>
        <v/>
      </c>
      <c r="U291">
        <f>IF(I290&lt;=0,0,MIN(AN291,I$7+IF(I$2=$AA291,$AC291,IF(I$2=$AF291,$AG291,0))))</f>
        <v/>
      </c>
      <c r="V291">
        <f>IF(J290&lt;=0,0,MIN(AO291,J$7+IF(J$2=$AA291,$AC291,IF(J$2=$AF291,$AG291,0))))</f>
        <v/>
      </c>
      <c r="W291">
        <f>IF(K290&lt;=0,0,MIN(AP291,K$7+IF(K$2=$AA291,$AC291,IF(K$2=$AF291,$AG291,0))))</f>
        <v/>
      </c>
      <c r="X291">
        <f>IF(L290&lt;=0,0,MIN(AQ291,L$7+IF(L$2=$AA291,$AC291,IF(L$2=$AF291,$AG291,0))))</f>
        <v/>
      </c>
      <c r="Y291">
        <f>IF(M290&lt;=0,0,MIN(AR291,M$7+IF(M$2=$AA291,$AC291,IF(M$2=$AF291,$AG291,0))))</f>
        <v/>
      </c>
      <c r="Z291">
        <f>IF(N290&lt;=0,0,MIN(AS291,N$7+IF(N$2=$AA291,$AC291,IF(N$2=$AF291,$AG291,0))))</f>
        <v/>
      </c>
      <c r="AA291">
        <f>IFERROR(ROUND(1/SUMPRODUCT(MAX((C290:N290&gt;0)*($C$3:$N$3&lt;=B291)/$C$2:$N$2)),0),0)</f>
        <v/>
      </c>
      <c r="AB291">
        <f>SUMPRODUCT((C290:N290&gt;0)*$C$7:$N$7)</f>
        <v/>
      </c>
      <c r="AC291">
        <f>MAX(0,Plan!$C$5-AB291)+IF(A291=Plan!$C$8,N(Plan!$C$7),0)</f>
        <v/>
      </c>
      <c r="AD291">
        <f>SUM(C291:N291)</f>
        <v/>
      </c>
      <c r="AE291">
        <f>SUM(O291:Z291)</f>
        <v/>
      </c>
      <c r="AF291">
        <f>IFERROR(ROUND(1/SUMPRODUCT(MAX((C290:N290&gt;0)*($C$3:$N$3&lt;=B291)*($C$2:$N$2&gt;AA291)/$C$2:$N$2)),0),0)</f>
        <v/>
      </c>
      <c r="AG291">
        <f>MAX(0,AC291-MAX(0,SUMPRODUCT(($C$2:$N$2=AA291)*(AH291:AS291-$C$7:$N$7))))</f>
        <v/>
      </c>
      <c r="AH291">
        <f>IF(C290&lt;=0,0,ROUND(C290*(1+IF(AND(C$6&gt;0,$B291&lt;C$6),C$4,C$5)/12),2))</f>
        <v/>
      </c>
      <c r="AI291">
        <f>IF(D290&lt;=0,0,ROUND(D290*(1+IF(AND(D$6&gt;0,$B291&lt;D$6),D$4,D$5)/12),2))</f>
        <v/>
      </c>
      <c r="AJ291">
        <f>IF(E290&lt;=0,0,ROUND(E290*(1+IF(AND(E$6&gt;0,$B291&lt;E$6),E$4,E$5)/12),2))</f>
        <v/>
      </c>
      <c r="AK291">
        <f>IF(F290&lt;=0,0,ROUND(F290*(1+IF(AND(F$6&gt;0,$B291&lt;F$6),F$4,F$5)/12),2))</f>
        <v/>
      </c>
      <c r="AL291">
        <f>IF(G290&lt;=0,0,ROUND(G290*(1+IF(AND(G$6&gt;0,$B291&lt;G$6),G$4,G$5)/12),2))</f>
        <v/>
      </c>
      <c r="AM291">
        <f>IF(H290&lt;=0,0,ROUND(H290*(1+IF(AND(H$6&gt;0,$B291&lt;H$6),H$4,H$5)/12),2))</f>
        <v/>
      </c>
      <c r="AN291">
        <f>IF(I290&lt;=0,0,ROUND(I290*(1+IF(AND(I$6&gt;0,$B291&lt;I$6),I$4,I$5)/12),2))</f>
        <v/>
      </c>
      <c r="AO291">
        <f>IF(J290&lt;=0,0,ROUND(J290*(1+IF(AND(J$6&gt;0,$B291&lt;J$6),J$4,J$5)/12),2))</f>
        <v/>
      </c>
      <c r="AP291">
        <f>IF(K290&lt;=0,0,ROUND(K290*(1+IF(AND(K$6&gt;0,$B291&lt;K$6),K$4,K$5)/12),2))</f>
        <v/>
      </c>
      <c r="AQ291">
        <f>IF(L290&lt;=0,0,ROUND(L290*(1+IF(AND(L$6&gt;0,$B291&lt;L$6),L$4,L$5)/12),2))</f>
        <v/>
      </c>
      <c r="AR291">
        <f>IF(M290&lt;=0,0,ROUND(M290*(1+IF(AND(M$6&gt;0,$B291&lt;M$6),M$4,M$5)/12),2))</f>
        <v/>
      </c>
      <c r="AS291">
        <f>IF(N290&lt;=0,0,ROUND(N290*(1+IF(AND(N$6&gt;0,$B291&lt;N$6),N$4,N$5)/12),2))</f>
        <v/>
      </c>
    </row>
    <row r="292">
      <c r="A292" t="n">
        <v>281</v>
      </c>
      <c r="B292">
        <f>EDATE(Plan!$C$6,280)</f>
        <v/>
      </c>
      <c r="C292">
        <f>IF(C291&lt;=0,0,MAX(0,AH292-O292))</f>
        <v/>
      </c>
      <c r="D292">
        <f>IF(D291&lt;=0,0,MAX(0,AI292-P292))</f>
        <v/>
      </c>
      <c r="E292">
        <f>IF(E291&lt;=0,0,MAX(0,AJ292-Q292))</f>
        <v/>
      </c>
      <c r="F292">
        <f>IF(F291&lt;=0,0,MAX(0,AK292-R292))</f>
        <v/>
      </c>
      <c r="G292">
        <f>IF(G291&lt;=0,0,MAX(0,AL292-S292))</f>
        <v/>
      </c>
      <c r="H292">
        <f>IF(H291&lt;=0,0,MAX(0,AM292-T292))</f>
        <v/>
      </c>
      <c r="I292">
        <f>IF(I291&lt;=0,0,MAX(0,AN292-U292))</f>
        <v/>
      </c>
      <c r="J292">
        <f>IF(J291&lt;=0,0,MAX(0,AO292-V292))</f>
        <v/>
      </c>
      <c r="K292">
        <f>IF(K291&lt;=0,0,MAX(0,AP292-W292))</f>
        <v/>
      </c>
      <c r="L292">
        <f>IF(L291&lt;=0,0,MAX(0,AQ292-X292))</f>
        <v/>
      </c>
      <c r="M292">
        <f>IF(M291&lt;=0,0,MAX(0,AR292-Y292))</f>
        <v/>
      </c>
      <c r="N292">
        <f>IF(N291&lt;=0,0,MAX(0,AS292-Z292))</f>
        <v/>
      </c>
      <c r="O292">
        <f>IF(C291&lt;=0,0,MIN(AH292,C$7+IF(C$2=$AA292,$AC292,IF(C$2=$AF292,$AG292,0))))</f>
        <v/>
      </c>
      <c r="P292">
        <f>IF(D291&lt;=0,0,MIN(AI292,D$7+IF(D$2=$AA292,$AC292,IF(D$2=$AF292,$AG292,0))))</f>
        <v/>
      </c>
      <c r="Q292">
        <f>IF(E291&lt;=0,0,MIN(AJ292,E$7+IF(E$2=$AA292,$AC292,IF(E$2=$AF292,$AG292,0))))</f>
        <v/>
      </c>
      <c r="R292">
        <f>IF(F291&lt;=0,0,MIN(AK292,F$7+IF(F$2=$AA292,$AC292,IF(F$2=$AF292,$AG292,0))))</f>
        <v/>
      </c>
      <c r="S292">
        <f>IF(G291&lt;=0,0,MIN(AL292,G$7+IF(G$2=$AA292,$AC292,IF(G$2=$AF292,$AG292,0))))</f>
        <v/>
      </c>
      <c r="T292">
        <f>IF(H291&lt;=0,0,MIN(AM292,H$7+IF(H$2=$AA292,$AC292,IF(H$2=$AF292,$AG292,0))))</f>
        <v/>
      </c>
      <c r="U292">
        <f>IF(I291&lt;=0,0,MIN(AN292,I$7+IF(I$2=$AA292,$AC292,IF(I$2=$AF292,$AG292,0))))</f>
        <v/>
      </c>
      <c r="V292">
        <f>IF(J291&lt;=0,0,MIN(AO292,J$7+IF(J$2=$AA292,$AC292,IF(J$2=$AF292,$AG292,0))))</f>
        <v/>
      </c>
      <c r="W292">
        <f>IF(K291&lt;=0,0,MIN(AP292,K$7+IF(K$2=$AA292,$AC292,IF(K$2=$AF292,$AG292,0))))</f>
        <v/>
      </c>
      <c r="X292">
        <f>IF(L291&lt;=0,0,MIN(AQ292,L$7+IF(L$2=$AA292,$AC292,IF(L$2=$AF292,$AG292,0))))</f>
        <v/>
      </c>
      <c r="Y292">
        <f>IF(M291&lt;=0,0,MIN(AR292,M$7+IF(M$2=$AA292,$AC292,IF(M$2=$AF292,$AG292,0))))</f>
        <v/>
      </c>
      <c r="Z292">
        <f>IF(N291&lt;=0,0,MIN(AS292,N$7+IF(N$2=$AA292,$AC292,IF(N$2=$AF292,$AG292,0))))</f>
        <v/>
      </c>
      <c r="AA292">
        <f>IFERROR(ROUND(1/SUMPRODUCT(MAX((C291:N291&gt;0)*($C$3:$N$3&lt;=B292)/$C$2:$N$2)),0),0)</f>
        <v/>
      </c>
      <c r="AB292">
        <f>SUMPRODUCT((C291:N291&gt;0)*$C$7:$N$7)</f>
        <v/>
      </c>
      <c r="AC292">
        <f>MAX(0,Plan!$C$5-AB292)+IF(A292=Plan!$C$8,N(Plan!$C$7),0)</f>
        <v/>
      </c>
      <c r="AD292">
        <f>SUM(C292:N292)</f>
        <v/>
      </c>
      <c r="AE292">
        <f>SUM(O292:Z292)</f>
        <v/>
      </c>
      <c r="AF292">
        <f>IFERROR(ROUND(1/SUMPRODUCT(MAX((C291:N291&gt;0)*($C$3:$N$3&lt;=B292)*($C$2:$N$2&gt;AA292)/$C$2:$N$2)),0),0)</f>
        <v/>
      </c>
      <c r="AG292">
        <f>MAX(0,AC292-MAX(0,SUMPRODUCT(($C$2:$N$2=AA292)*(AH292:AS292-$C$7:$N$7))))</f>
        <v/>
      </c>
      <c r="AH292">
        <f>IF(C291&lt;=0,0,ROUND(C291*(1+IF(AND(C$6&gt;0,$B292&lt;C$6),C$4,C$5)/12),2))</f>
        <v/>
      </c>
      <c r="AI292">
        <f>IF(D291&lt;=0,0,ROUND(D291*(1+IF(AND(D$6&gt;0,$B292&lt;D$6),D$4,D$5)/12),2))</f>
        <v/>
      </c>
      <c r="AJ292">
        <f>IF(E291&lt;=0,0,ROUND(E291*(1+IF(AND(E$6&gt;0,$B292&lt;E$6),E$4,E$5)/12),2))</f>
        <v/>
      </c>
      <c r="AK292">
        <f>IF(F291&lt;=0,0,ROUND(F291*(1+IF(AND(F$6&gt;0,$B292&lt;F$6),F$4,F$5)/12),2))</f>
        <v/>
      </c>
      <c r="AL292">
        <f>IF(G291&lt;=0,0,ROUND(G291*(1+IF(AND(G$6&gt;0,$B292&lt;G$6),G$4,G$5)/12),2))</f>
        <v/>
      </c>
      <c r="AM292">
        <f>IF(H291&lt;=0,0,ROUND(H291*(1+IF(AND(H$6&gt;0,$B292&lt;H$6),H$4,H$5)/12),2))</f>
        <v/>
      </c>
      <c r="AN292">
        <f>IF(I291&lt;=0,0,ROUND(I291*(1+IF(AND(I$6&gt;0,$B292&lt;I$6),I$4,I$5)/12),2))</f>
        <v/>
      </c>
      <c r="AO292">
        <f>IF(J291&lt;=0,0,ROUND(J291*(1+IF(AND(J$6&gt;0,$B292&lt;J$6),J$4,J$5)/12),2))</f>
        <v/>
      </c>
      <c r="AP292">
        <f>IF(K291&lt;=0,0,ROUND(K291*(1+IF(AND(K$6&gt;0,$B292&lt;K$6),K$4,K$5)/12),2))</f>
        <v/>
      </c>
      <c r="AQ292">
        <f>IF(L291&lt;=0,0,ROUND(L291*(1+IF(AND(L$6&gt;0,$B292&lt;L$6),L$4,L$5)/12),2))</f>
        <v/>
      </c>
      <c r="AR292">
        <f>IF(M291&lt;=0,0,ROUND(M291*(1+IF(AND(M$6&gt;0,$B292&lt;M$6),M$4,M$5)/12),2))</f>
        <v/>
      </c>
      <c r="AS292">
        <f>IF(N291&lt;=0,0,ROUND(N291*(1+IF(AND(N$6&gt;0,$B292&lt;N$6),N$4,N$5)/12),2))</f>
        <v/>
      </c>
    </row>
    <row r="293">
      <c r="A293" t="n">
        <v>282</v>
      </c>
      <c r="B293">
        <f>EDATE(Plan!$C$6,281)</f>
        <v/>
      </c>
      <c r="C293">
        <f>IF(C292&lt;=0,0,MAX(0,AH293-O293))</f>
        <v/>
      </c>
      <c r="D293">
        <f>IF(D292&lt;=0,0,MAX(0,AI293-P293))</f>
        <v/>
      </c>
      <c r="E293">
        <f>IF(E292&lt;=0,0,MAX(0,AJ293-Q293))</f>
        <v/>
      </c>
      <c r="F293">
        <f>IF(F292&lt;=0,0,MAX(0,AK293-R293))</f>
        <v/>
      </c>
      <c r="G293">
        <f>IF(G292&lt;=0,0,MAX(0,AL293-S293))</f>
        <v/>
      </c>
      <c r="H293">
        <f>IF(H292&lt;=0,0,MAX(0,AM293-T293))</f>
        <v/>
      </c>
      <c r="I293">
        <f>IF(I292&lt;=0,0,MAX(0,AN293-U293))</f>
        <v/>
      </c>
      <c r="J293">
        <f>IF(J292&lt;=0,0,MAX(0,AO293-V293))</f>
        <v/>
      </c>
      <c r="K293">
        <f>IF(K292&lt;=0,0,MAX(0,AP293-W293))</f>
        <v/>
      </c>
      <c r="L293">
        <f>IF(L292&lt;=0,0,MAX(0,AQ293-X293))</f>
        <v/>
      </c>
      <c r="M293">
        <f>IF(M292&lt;=0,0,MAX(0,AR293-Y293))</f>
        <v/>
      </c>
      <c r="N293">
        <f>IF(N292&lt;=0,0,MAX(0,AS293-Z293))</f>
        <v/>
      </c>
      <c r="O293">
        <f>IF(C292&lt;=0,0,MIN(AH293,C$7+IF(C$2=$AA293,$AC293,IF(C$2=$AF293,$AG293,0))))</f>
        <v/>
      </c>
      <c r="P293">
        <f>IF(D292&lt;=0,0,MIN(AI293,D$7+IF(D$2=$AA293,$AC293,IF(D$2=$AF293,$AG293,0))))</f>
        <v/>
      </c>
      <c r="Q293">
        <f>IF(E292&lt;=0,0,MIN(AJ293,E$7+IF(E$2=$AA293,$AC293,IF(E$2=$AF293,$AG293,0))))</f>
        <v/>
      </c>
      <c r="R293">
        <f>IF(F292&lt;=0,0,MIN(AK293,F$7+IF(F$2=$AA293,$AC293,IF(F$2=$AF293,$AG293,0))))</f>
        <v/>
      </c>
      <c r="S293">
        <f>IF(G292&lt;=0,0,MIN(AL293,G$7+IF(G$2=$AA293,$AC293,IF(G$2=$AF293,$AG293,0))))</f>
        <v/>
      </c>
      <c r="T293">
        <f>IF(H292&lt;=0,0,MIN(AM293,H$7+IF(H$2=$AA293,$AC293,IF(H$2=$AF293,$AG293,0))))</f>
        <v/>
      </c>
      <c r="U293">
        <f>IF(I292&lt;=0,0,MIN(AN293,I$7+IF(I$2=$AA293,$AC293,IF(I$2=$AF293,$AG293,0))))</f>
        <v/>
      </c>
      <c r="V293">
        <f>IF(J292&lt;=0,0,MIN(AO293,J$7+IF(J$2=$AA293,$AC293,IF(J$2=$AF293,$AG293,0))))</f>
        <v/>
      </c>
      <c r="W293">
        <f>IF(K292&lt;=0,0,MIN(AP293,K$7+IF(K$2=$AA293,$AC293,IF(K$2=$AF293,$AG293,0))))</f>
        <v/>
      </c>
      <c r="X293">
        <f>IF(L292&lt;=0,0,MIN(AQ293,L$7+IF(L$2=$AA293,$AC293,IF(L$2=$AF293,$AG293,0))))</f>
        <v/>
      </c>
      <c r="Y293">
        <f>IF(M292&lt;=0,0,MIN(AR293,M$7+IF(M$2=$AA293,$AC293,IF(M$2=$AF293,$AG293,0))))</f>
        <v/>
      </c>
      <c r="Z293">
        <f>IF(N292&lt;=0,0,MIN(AS293,N$7+IF(N$2=$AA293,$AC293,IF(N$2=$AF293,$AG293,0))))</f>
        <v/>
      </c>
      <c r="AA293">
        <f>IFERROR(ROUND(1/SUMPRODUCT(MAX((C292:N292&gt;0)*($C$3:$N$3&lt;=B293)/$C$2:$N$2)),0),0)</f>
        <v/>
      </c>
      <c r="AB293">
        <f>SUMPRODUCT((C292:N292&gt;0)*$C$7:$N$7)</f>
        <v/>
      </c>
      <c r="AC293">
        <f>MAX(0,Plan!$C$5-AB293)+IF(A293=Plan!$C$8,N(Plan!$C$7),0)</f>
        <v/>
      </c>
      <c r="AD293">
        <f>SUM(C293:N293)</f>
        <v/>
      </c>
      <c r="AE293">
        <f>SUM(O293:Z293)</f>
        <v/>
      </c>
      <c r="AF293">
        <f>IFERROR(ROUND(1/SUMPRODUCT(MAX((C292:N292&gt;0)*($C$3:$N$3&lt;=B293)*($C$2:$N$2&gt;AA293)/$C$2:$N$2)),0),0)</f>
        <v/>
      </c>
      <c r="AG293">
        <f>MAX(0,AC293-MAX(0,SUMPRODUCT(($C$2:$N$2=AA293)*(AH293:AS293-$C$7:$N$7))))</f>
        <v/>
      </c>
      <c r="AH293">
        <f>IF(C292&lt;=0,0,ROUND(C292*(1+IF(AND(C$6&gt;0,$B293&lt;C$6),C$4,C$5)/12),2))</f>
        <v/>
      </c>
      <c r="AI293">
        <f>IF(D292&lt;=0,0,ROUND(D292*(1+IF(AND(D$6&gt;0,$B293&lt;D$6),D$4,D$5)/12),2))</f>
        <v/>
      </c>
      <c r="AJ293">
        <f>IF(E292&lt;=0,0,ROUND(E292*(1+IF(AND(E$6&gt;0,$B293&lt;E$6),E$4,E$5)/12),2))</f>
        <v/>
      </c>
      <c r="AK293">
        <f>IF(F292&lt;=0,0,ROUND(F292*(1+IF(AND(F$6&gt;0,$B293&lt;F$6),F$4,F$5)/12),2))</f>
        <v/>
      </c>
      <c r="AL293">
        <f>IF(G292&lt;=0,0,ROUND(G292*(1+IF(AND(G$6&gt;0,$B293&lt;G$6),G$4,G$5)/12),2))</f>
        <v/>
      </c>
      <c r="AM293">
        <f>IF(H292&lt;=0,0,ROUND(H292*(1+IF(AND(H$6&gt;0,$B293&lt;H$6),H$4,H$5)/12),2))</f>
        <v/>
      </c>
      <c r="AN293">
        <f>IF(I292&lt;=0,0,ROUND(I292*(1+IF(AND(I$6&gt;0,$B293&lt;I$6),I$4,I$5)/12),2))</f>
        <v/>
      </c>
      <c r="AO293">
        <f>IF(J292&lt;=0,0,ROUND(J292*(1+IF(AND(J$6&gt;0,$B293&lt;J$6),J$4,J$5)/12),2))</f>
        <v/>
      </c>
      <c r="AP293">
        <f>IF(K292&lt;=0,0,ROUND(K292*(1+IF(AND(K$6&gt;0,$B293&lt;K$6),K$4,K$5)/12),2))</f>
        <v/>
      </c>
      <c r="AQ293">
        <f>IF(L292&lt;=0,0,ROUND(L292*(1+IF(AND(L$6&gt;0,$B293&lt;L$6),L$4,L$5)/12),2))</f>
        <v/>
      </c>
      <c r="AR293">
        <f>IF(M292&lt;=0,0,ROUND(M292*(1+IF(AND(M$6&gt;0,$B293&lt;M$6),M$4,M$5)/12),2))</f>
        <v/>
      </c>
      <c r="AS293">
        <f>IF(N292&lt;=0,0,ROUND(N292*(1+IF(AND(N$6&gt;0,$B293&lt;N$6),N$4,N$5)/12),2))</f>
        <v/>
      </c>
    </row>
    <row r="294">
      <c r="A294" t="n">
        <v>283</v>
      </c>
      <c r="B294">
        <f>EDATE(Plan!$C$6,282)</f>
        <v/>
      </c>
      <c r="C294">
        <f>IF(C293&lt;=0,0,MAX(0,AH294-O294))</f>
        <v/>
      </c>
      <c r="D294">
        <f>IF(D293&lt;=0,0,MAX(0,AI294-P294))</f>
        <v/>
      </c>
      <c r="E294">
        <f>IF(E293&lt;=0,0,MAX(0,AJ294-Q294))</f>
        <v/>
      </c>
      <c r="F294">
        <f>IF(F293&lt;=0,0,MAX(0,AK294-R294))</f>
        <v/>
      </c>
      <c r="G294">
        <f>IF(G293&lt;=0,0,MAX(0,AL294-S294))</f>
        <v/>
      </c>
      <c r="H294">
        <f>IF(H293&lt;=0,0,MAX(0,AM294-T294))</f>
        <v/>
      </c>
      <c r="I294">
        <f>IF(I293&lt;=0,0,MAX(0,AN294-U294))</f>
        <v/>
      </c>
      <c r="J294">
        <f>IF(J293&lt;=0,0,MAX(0,AO294-V294))</f>
        <v/>
      </c>
      <c r="K294">
        <f>IF(K293&lt;=0,0,MAX(0,AP294-W294))</f>
        <v/>
      </c>
      <c r="L294">
        <f>IF(L293&lt;=0,0,MAX(0,AQ294-X294))</f>
        <v/>
      </c>
      <c r="M294">
        <f>IF(M293&lt;=0,0,MAX(0,AR294-Y294))</f>
        <v/>
      </c>
      <c r="N294">
        <f>IF(N293&lt;=0,0,MAX(0,AS294-Z294))</f>
        <v/>
      </c>
      <c r="O294">
        <f>IF(C293&lt;=0,0,MIN(AH294,C$7+IF(C$2=$AA294,$AC294,IF(C$2=$AF294,$AG294,0))))</f>
        <v/>
      </c>
      <c r="P294">
        <f>IF(D293&lt;=0,0,MIN(AI294,D$7+IF(D$2=$AA294,$AC294,IF(D$2=$AF294,$AG294,0))))</f>
        <v/>
      </c>
      <c r="Q294">
        <f>IF(E293&lt;=0,0,MIN(AJ294,E$7+IF(E$2=$AA294,$AC294,IF(E$2=$AF294,$AG294,0))))</f>
        <v/>
      </c>
      <c r="R294">
        <f>IF(F293&lt;=0,0,MIN(AK294,F$7+IF(F$2=$AA294,$AC294,IF(F$2=$AF294,$AG294,0))))</f>
        <v/>
      </c>
      <c r="S294">
        <f>IF(G293&lt;=0,0,MIN(AL294,G$7+IF(G$2=$AA294,$AC294,IF(G$2=$AF294,$AG294,0))))</f>
        <v/>
      </c>
      <c r="T294">
        <f>IF(H293&lt;=0,0,MIN(AM294,H$7+IF(H$2=$AA294,$AC294,IF(H$2=$AF294,$AG294,0))))</f>
        <v/>
      </c>
      <c r="U294">
        <f>IF(I293&lt;=0,0,MIN(AN294,I$7+IF(I$2=$AA294,$AC294,IF(I$2=$AF294,$AG294,0))))</f>
        <v/>
      </c>
      <c r="V294">
        <f>IF(J293&lt;=0,0,MIN(AO294,J$7+IF(J$2=$AA294,$AC294,IF(J$2=$AF294,$AG294,0))))</f>
        <v/>
      </c>
      <c r="W294">
        <f>IF(K293&lt;=0,0,MIN(AP294,K$7+IF(K$2=$AA294,$AC294,IF(K$2=$AF294,$AG294,0))))</f>
        <v/>
      </c>
      <c r="X294">
        <f>IF(L293&lt;=0,0,MIN(AQ294,L$7+IF(L$2=$AA294,$AC294,IF(L$2=$AF294,$AG294,0))))</f>
        <v/>
      </c>
      <c r="Y294">
        <f>IF(M293&lt;=0,0,MIN(AR294,M$7+IF(M$2=$AA294,$AC294,IF(M$2=$AF294,$AG294,0))))</f>
        <v/>
      </c>
      <c r="Z294">
        <f>IF(N293&lt;=0,0,MIN(AS294,N$7+IF(N$2=$AA294,$AC294,IF(N$2=$AF294,$AG294,0))))</f>
        <v/>
      </c>
      <c r="AA294">
        <f>IFERROR(ROUND(1/SUMPRODUCT(MAX((C293:N293&gt;0)*($C$3:$N$3&lt;=B294)/$C$2:$N$2)),0),0)</f>
        <v/>
      </c>
      <c r="AB294">
        <f>SUMPRODUCT((C293:N293&gt;0)*$C$7:$N$7)</f>
        <v/>
      </c>
      <c r="AC294">
        <f>MAX(0,Plan!$C$5-AB294)+IF(A294=Plan!$C$8,N(Plan!$C$7),0)</f>
        <v/>
      </c>
      <c r="AD294">
        <f>SUM(C294:N294)</f>
        <v/>
      </c>
      <c r="AE294">
        <f>SUM(O294:Z294)</f>
        <v/>
      </c>
      <c r="AF294">
        <f>IFERROR(ROUND(1/SUMPRODUCT(MAX((C293:N293&gt;0)*($C$3:$N$3&lt;=B294)*($C$2:$N$2&gt;AA294)/$C$2:$N$2)),0),0)</f>
        <v/>
      </c>
      <c r="AG294">
        <f>MAX(0,AC294-MAX(0,SUMPRODUCT(($C$2:$N$2=AA294)*(AH294:AS294-$C$7:$N$7))))</f>
        <v/>
      </c>
      <c r="AH294">
        <f>IF(C293&lt;=0,0,ROUND(C293*(1+IF(AND(C$6&gt;0,$B294&lt;C$6),C$4,C$5)/12),2))</f>
        <v/>
      </c>
      <c r="AI294">
        <f>IF(D293&lt;=0,0,ROUND(D293*(1+IF(AND(D$6&gt;0,$B294&lt;D$6),D$4,D$5)/12),2))</f>
        <v/>
      </c>
      <c r="AJ294">
        <f>IF(E293&lt;=0,0,ROUND(E293*(1+IF(AND(E$6&gt;0,$B294&lt;E$6),E$4,E$5)/12),2))</f>
        <v/>
      </c>
      <c r="AK294">
        <f>IF(F293&lt;=0,0,ROUND(F293*(1+IF(AND(F$6&gt;0,$B294&lt;F$6),F$4,F$5)/12),2))</f>
        <v/>
      </c>
      <c r="AL294">
        <f>IF(G293&lt;=0,0,ROUND(G293*(1+IF(AND(G$6&gt;0,$B294&lt;G$6),G$4,G$5)/12),2))</f>
        <v/>
      </c>
      <c r="AM294">
        <f>IF(H293&lt;=0,0,ROUND(H293*(1+IF(AND(H$6&gt;0,$B294&lt;H$6),H$4,H$5)/12),2))</f>
        <v/>
      </c>
      <c r="AN294">
        <f>IF(I293&lt;=0,0,ROUND(I293*(1+IF(AND(I$6&gt;0,$B294&lt;I$6),I$4,I$5)/12),2))</f>
        <v/>
      </c>
      <c r="AO294">
        <f>IF(J293&lt;=0,0,ROUND(J293*(1+IF(AND(J$6&gt;0,$B294&lt;J$6),J$4,J$5)/12),2))</f>
        <v/>
      </c>
      <c r="AP294">
        <f>IF(K293&lt;=0,0,ROUND(K293*(1+IF(AND(K$6&gt;0,$B294&lt;K$6),K$4,K$5)/12),2))</f>
        <v/>
      </c>
      <c r="AQ294">
        <f>IF(L293&lt;=0,0,ROUND(L293*(1+IF(AND(L$6&gt;0,$B294&lt;L$6),L$4,L$5)/12),2))</f>
        <v/>
      </c>
      <c r="AR294">
        <f>IF(M293&lt;=0,0,ROUND(M293*(1+IF(AND(M$6&gt;0,$B294&lt;M$6),M$4,M$5)/12),2))</f>
        <v/>
      </c>
      <c r="AS294">
        <f>IF(N293&lt;=0,0,ROUND(N293*(1+IF(AND(N$6&gt;0,$B294&lt;N$6),N$4,N$5)/12),2))</f>
        <v/>
      </c>
    </row>
    <row r="295">
      <c r="A295" t="n">
        <v>284</v>
      </c>
      <c r="B295">
        <f>EDATE(Plan!$C$6,283)</f>
        <v/>
      </c>
      <c r="C295">
        <f>IF(C294&lt;=0,0,MAX(0,AH295-O295))</f>
        <v/>
      </c>
      <c r="D295">
        <f>IF(D294&lt;=0,0,MAX(0,AI295-P295))</f>
        <v/>
      </c>
      <c r="E295">
        <f>IF(E294&lt;=0,0,MAX(0,AJ295-Q295))</f>
        <v/>
      </c>
      <c r="F295">
        <f>IF(F294&lt;=0,0,MAX(0,AK295-R295))</f>
        <v/>
      </c>
      <c r="G295">
        <f>IF(G294&lt;=0,0,MAX(0,AL295-S295))</f>
        <v/>
      </c>
      <c r="H295">
        <f>IF(H294&lt;=0,0,MAX(0,AM295-T295))</f>
        <v/>
      </c>
      <c r="I295">
        <f>IF(I294&lt;=0,0,MAX(0,AN295-U295))</f>
        <v/>
      </c>
      <c r="J295">
        <f>IF(J294&lt;=0,0,MAX(0,AO295-V295))</f>
        <v/>
      </c>
      <c r="K295">
        <f>IF(K294&lt;=0,0,MAX(0,AP295-W295))</f>
        <v/>
      </c>
      <c r="L295">
        <f>IF(L294&lt;=0,0,MAX(0,AQ295-X295))</f>
        <v/>
      </c>
      <c r="M295">
        <f>IF(M294&lt;=0,0,MAX(0,AR295-Y295))</f>
        <v/>
      </c>
      <c r="N295">
        <f>IF(N294&lt;=0,0,MAX(0,AS295-Z295))</f>
        <v/>
      </c>
      <c r="O295">
        <f>IF(C294&lt;=0,0,MIN(AH295,C$7+IF(C$2=$AA295,$AC295,IF(C$2=$AF295,$AG295,0))))</f>
        <v/>
      </c>
      <c r="P295">
        <f>IF(D294&lt;=0,0,MIN(AI295,D$7+IF(D$2=$AA295,$AC295,IF(D$2=$AF295,$AG295,0))))</f>
        <v/>
      </c>
      <c r="Q295">
        <f>IF(E294&lt;=0,0,MIN(AJ295,E$7+IF(E$2=$AA295,$AC295,IF(E$2=$AF295,$AG295,0))))</f>
        <v/>
      </c>
      <c r="R295">
        <f>IF(F294&lt;=0,0,MIN(AK295,F$7+IF(F$2=$AA295,$AC295,IF(F$2=$AF295,$AG295,0))))</f>
        <v/>
      </c>
      <c r="S295">
        <f>IF(G294&lt;=0,0,MIN(AL295,G$7+IF(G$2=$AA295,$AC295,IF(G$2=$AF295,$AG295,0))))</f>
        <v/>
      </c>
      <c r="T295">
        <f>IF(H294&lt;=0,0,MIN(AM295,H$7+IF(H$2=$AA295,$AC295,IF(H$2=$AF295,$AG295,0))))</f>
        <v/>
      </c>
      <c r="U295">
        <f>IF(I294&lt;=0,0,MIN(AN295,I$7+IF(I$2=$AA295,$AC295,IF(I$2=$AF295,$AG295,0))))</f>
        <v/>
      </c>
      <c r="V295">
        <f>IF(J294&lt;=0,0,MIN(AO295,J$7+IF(J$2=$AA295,$AC295,IF(J$2=$AF295,$AG295,0))))</f>
        <v/>
      </c>
      <c r="W295">
        <f>IF(K294&lt;=0,0,MIN(AP295,K$7+IF(K$2=$AA295,$AC295,IF(K$2=$AF295,$AG295,0))))</f>
        <v/>
      </c>
      <c r="X295">
        <f>IF(L294&lt;=0,0,MIN(AQ295,L$7+IF(L$2=$AA295,$AC295,IF(L$2=$AF295,$AG295,0))))</f>
        <v/>
      </c>
      <c r="Y295">
        <f>IF(M294&lt;=0,0,MIN(AR295,M$7+IF(M$2=$AA295,$AC295,IF(M$2=$AF295,$AG295,0))))</f>
        <v/>
      </c>
      <c r="Z295">
        <f>IF(N294&lt;=0,0,MIN(AS295,N$7+IF(N$2=$AA295,$AC295,IF(N$2=$AF295,$AG295,0))))</f>
        <v/>
      </c>
      <c r="AA295">
        <f>IFERROR(ROUND(1/SUMPRODUCT(MAX((C294:N294&gt;0)*($C$3:$N$3&lt;=B295)/$C$2:$N$2)),0),0)</f>
        <v/>
      </c>
      <c r="AB295">
        <f>SUMPRODUCT((C294:N294&gt;0)*$C$7:$N$7)</f>
        <v/>
      </c>
      <c r="AC295">
        <f>MAX(0,Plan!$C$5-AB295)+IF(A295=Plan!$C$8,N(Plan!$C$7),0)</f>
        <v/>
      </c>
      <c r="AD295">
        <f>SUM(C295:N295)</f>
        <v/>
      </c>
      <c r="AE295">
        <f>SUM(O295:Z295)</f>
        <v/>
      </c>
      <c r="AF295">
        <f>IFERROR(ROUND(1/SUMPRODUCT(MAX((C294:N294&gt;0)*($C$3:$N$3&lt;=B295)*($C$2:$N$2&gt;AA295)/$C$2:$N$2)),0),0)</f>
        <v/>
      </c>
      <c r="AG295">
        <f>MAX(0,AC295-MAX(0,SUMPRODUCT(($C$2:$N$2=AA295)*(AH295:AS295-$C$7:$N$7))))</f>
        <v/>
      </c>
      <c r="AH295">
        <f>IF(C294&lt;=0,0,ROUND(C294*(1+IF(AND(C$6&gt;0,$B295&lt;C$6),C$4,C$5)/12),2))</f>
        <v/>
      </c>
      <c r="AI295">
        <f>IF(D294&lt;=0,0,ROUND(D294*(1+IF(AND(D$6&gt;0,$B295&lt;D$6),D$4,D$5)/12),2))</f>
        <v/>
      </c>
      <c r="AJ295">
        <f>IF(E294&lt;=0,0,ROUND(E294*(1+IF(AND(E$6&gt;0,$B295&lt;E$6),E$4,E$5)/12),2))</f>
        <v/>
      </c>
      <c r="AK295">
        <f>IF(F294&lt;=0,0,ROUND(F294*(1+IF(AND(F$6&gt;0,$B295&lt;F$6),F$4,F$5)/12),2))</f>
        <v/>
      </c>
      <c r="AL295">
        <f>IF(G294&lt;=0,0,ROUND(G294*(1+IF(AND(G$6&gt;0,$B295&lt;G$6),G$4,G$5)/12),2))</f>
        <v/>
      </c>
      <c r="AM295">
        <f>IF(H294&lt;=0,0,ROUND(H294*(1+IF(AND(H$6&gt;0,$B295&lt;H$6),H$4,H$5)/12),2))</f>
        <v/>
      </c>
      <c r="AN295">
        <f>IF(I294&lt;=0,0,ROUND(I294*(1+IF(AND(I$6&gt;0,$B295&lt;I$6),I$4,I$5)/12),2))</f>
        <v/>
      </c>
      <c r="AO295">
        <f>IF(J294&lt;=0,0,ROUND(J294*(1+IF(AND(J$6&gt;0,$B295&lt;J$6),J$4,J$5)/12),2))</f>
        <v/>
      </c>
      <c r="AP295">
        <f>IF(K294&lt;=0,0,ROUND(K294*(1+IF(AND(K$6&gt;0,$B295&lt;K$6),K$4,K$5)/12),2))</f>
        <v/>
      </c>
      <c r="AQ295">
        <f>IF(L294&lt;=0,0,ROUND(L294*(1+IF(AND(L$6&gt;0,$B295&lt;L$6),L$4,L$5)/12),2))</f>
        <v/>
      </c>
      <c r="AR295">
        <f>IF(M294&lt;=0,0,ROUND(M294*(1+IF(AND(M$6&gt;0,$B295&lt;M$6),M$4,M$5)/12),2))</f>
        <v/>
      </c>
      <c r="AS295">
        <f>IF(N294&lt;=0,0,ROUND(N294*(1+IF(AND(N$6&gt;0,$B295&lt;N$6),N$4,N$5)/12),2))</f>
        <v/>
      </c>
    </row>
    <row r="296">
      <c r="A296" t="n">
        <v>285</v>
      </c>
      <c r="B296">
        <f>EDATE(Plan!$C$6,284)</f>
        <v/>
      </c>
      <c r="C296">
        <f>IF(C295&lt;=0,0,MAX(0,AH296-O296))</f>
        <v/>
      </c>
      <c r="D296">
        <f>IF(D295&lt;=0,0,MAX(0,AI296-P296))</f>
        <v/>
      </c>
      <c r="E296">
        <f>IF(E295&lt;=0,0,MAX(0,AJ296-Q296))</f>
        <v/>
      </c>
      <c r="F296">
        <f>IF(F295&lt;=0,0,MAX(0,AK296-R296))</f>
        <v/>
      </c>
      <c r="G296">
        <f>IF(G295&lt;=0,0,MAX(0,AL296-S296))</f>
        <v/>
      </c>
      <c r="H296">
        <f>IF(H295&lt;=0,0,MAX(0,AM296-T296))</f>
        <v/>
      </c>
      <c r="I296">
        <f>IF(I295&lt;=0,0,MAX(0,AN296-U296))</f>
        <v/>
      </c>
      <c r="J296">
        <f>IF(J295&lt;=0,0,MAX(0,AO296-V296))</f>
        <v/>
      </c>
      <c r="K296">
        <f>IF(K295&lt;=0,0,MAX(0,AP296-W296))</f>
        <v/>
      </c>
      <c r="L296">
        <f>IF(L295&lt;=0,0,MAX(0,AQ296-X296))</f>
        <v/>
      </c>
      <c r="M296">
        <f>IF(M295&lt;=0,0,MAX(0,AR296-Y296))</f>
        <v/>
      </c>
      <c r="N296">
        <f>IF(N295&lt;=0,0,MAX(0,AS296-Z296))</f>
        <v/>
      </c>
      <c r="O296">
        <f>IF(C295&lt;=0,0,MIN(AH296,C$7+IF(C$2=$AA296,$AC296,IF(C$2=$AF296,$AG296,0))))</f>
        <v/>
      </c>
      <c r="P296">
        <f>IF(D295&lt;=0,0,MIN(AI296,D$7+IF(D$2=$AA296,$AC296,IF(D$2=$AF296,$AG296,0))))</f>
        <v/>
      </c>
      <c r="Q296">
        <f>IF(E295&lt;=0,0,MIN(AJ296,E$7+IF(E$2=$AA296,$AC296,IF(E$2=$AF296,$AG296,0))))</f>
        <v/>
      </c>
      <c r="R296">
        <f>IF(F295&lt;=0,0,MIN(AK296,F$7+IF(F$2=$AA296,$AC296,IF(F$2=$AF296,$AG296,0))))</f>
        <v/>
      </c>
      <c r="S296">
        <f>IF(G295&lt;=0,0,MIN(AL296,G$7+IF(G$2=$AA296,$AC296,IF(G$2=$AF296,$AG296,0))))</f>
        <v/>
      </c>
      <c r="T296">
        <f>IF(H295&lt;=0,0,MIN(AM296,H$7+IF(H$2=$AA296,$AC296,IF(H$2=$AF296,$AG296,0))))</f>
        <v/>
      </c>
      <c r="U296">
        <f>IF(I295&lt;=0,0,MIN(AN296,I$7+IF(I$2=$AA296,$AC296,IF(I$2=$AF296,$AG296,0))))</f>
        <v/>
      </c>
      <c r="V296">
        <f>IF(J295&lt;=0,0,MIN(AO296,J$7+IF(J$2=$AA296,$AC296,IF(J$2=$AF296,$AG296,0))))</f>
        <v/>
      </c>
      <c r="W296">
        <f>IF(K295&lt;=0,0,MIN(AP296,K$7+IF(K$2=$AA296,$AC296,IF(K$2=$AF296,$AG296,0))))</f>
        <v/>
      </c>
      <c r="X296">
        <f>IF(L295&lt;=0,0,MIN(AQ296,L$7+IF(L$2=$AA296,$AC296,IF(L$2=$AF296,$AG296,0))))</f>
        <v/>
      </c>
      <c r="Y296">
        <f>IF(M295&lt;=0,0,MIN(AR296,M$7+IF(M$2=$AA296,$AC296,IF(M$2=$AF296,$AG296,0))))</f>
        <v/>
      </c>
      <c r="Z296">
        <f>IF(N295&lt;=0,0,MIN(AS296,N$7+IF(N$2=$AA296,$AC296,IF(N$2=$AF296,$AG296,0))))</f>
        <v/>
      </c>
      <c r="AA296">
        <f>IFERROR(ROUND(1/SUMPRODUCT(MAX((C295:N295&gt;0)*($C$3:$N$3&lt;=B296)/$C$2:$N$2)),0),0)</f>
        <v/>
      </c>
      <c r="AB296">
        <f>SUMPRODUCT((C295:N295&gt;0)*$C$7:$N$7)</f>
        <v/>
      </c>
      <c r="AC296">
        <f>MAX(0,Plan!$C$5-AB296)+IF(A296=Plan!$C$8,N(Plan!$C$7),0)</f>
        <v/>
      </c>
      <c r="AD296">
        <f>SUM(C296:N296)</f>
        <v/>
      </c>
      <c r="AE296">
        <f>SUM(O296:Z296)</f>
        <v/>
      </c>
      <c r="AF296">
        <f>IFERROR(ROUND(1/SUMPRODUCT(MAX((C295:N295&gt;0)*($C$3:$N$3&lt;=B296)*($C$2:$N$2&gt;AA296)/$C$2:$N$2)),0),0)</f>
        <v/>
      </c>
      <c r="AG296">
        <f>MAX(0,AC296-MAX(0,SUMPRODUCT(($C$2:$N$2=AA296)*(AH296:AS296-$C$7:$N$7))))</f>
        <v/>
      </c>
      <c r="AH296">
        <f>IF(C295&lt;=0,0,ROUND(C295*(1+IF(AND(C$6&gt;0,$B296&lt;C$6),C$4,C$5)/12),2))</f>
        <v/>
      </c>
      <c r="AI296">
        <f>IF(D295&lt;=0,0,ROUND(D295*(1+IF(AND(D$6&gt;0,$B296&lt;D$6),D$4,D$5)/12),2))</f>
        <v/>
      </c>
      <c r="AJ296">
        <f>IF(E295&lt;=0,0,ROUND(E295*(1+IF(AND(E$6&gt;0,$B296&lt;E$6),E$4,E$5)/12),2))</f>
        <v/>
      </c>
      <c r="AK296">
        <f>IF(F295&lt;=0,0,ROUND(F295*(1+IF(AND(F$6&gt;0,$B296&lt;F$6),F$4,F$5)/12),2))</f>
        <v/>
      </c>
      <c r="AL296">
        <f>IF(G295&lt;=0,0,ROUND(G295*(1+IF(AND(G$6&gt;0,$B296&lt;G$6),G$4,G$5)/12),2))</f>
        <v/>
      </c>
      <c r="AM296">
        <f>IF(H295&lt;=0,0,ROUND(H295*(1+IF(AND(H$6&gt;0,$B296&lt;H$6),H$4,H$5)/12),2))</f>
        <v/>
      </c>
      <c r="AN296">
        <f>IF(I295&lt;=0,0,ROUND(I295*(1+IF(AND(I$6&gt;0,$B296&lt;I$6),I$4,I$5)/12),2))</f>
        <v/>
      </c>
      <c r="AO296">
        <f>IF(J295&lt;=0,0,ROUND(J295*(1+IF(AND(J$6&gt;0,$B296&lt;J$6),J$4,J$5)/12),2))</f>
        <v/>
      </c>
      <c r="AP296">
        <f>IF(K295&lt;=0,0,ROUND(K295*(1+IF(AND(K$6&gt;0,$B296&lt;K$6),K$4,K$5)/12),2))</f>
        <v/>
      </c>
      <c r="AQ296">
        <f>IF(L295&lt;=0,0,ROUND(L295*(1+IF(AND(L$6&gt;0,$B296&lt;L$6),L$4,L$5)/12),2))</f>
        <v/>
      </c>
      <c r="AR296">
        <f>IF(M295&lt;=0,0,ROUND(M295*(1+IF(AND(M$6&gt;0,$B296&lt;M$6),M$4,M$5)/12),2))</f>
        <v/>
      </c>
      <c r="AS296">
        <f>IF(N295&lt;=0,0,ROUND(N295*(1+IF(AND(N$6&gt;0,$B296&lt;N$6),N$4,N$5)/12),2))</f>
        <v/>
      </c>
    </row>
    <row r="297">
      <c r="A297" t="n">
        <v>286</v>
      </c>
      <c r="B297">
        <f>EDATE(Plan!$C$6,285)</f>
        <v/>
      </c>
      <c r="C297">
        <f>IF(C296&lt;=0,0,MAX(0,AH297-O297))</f>
        <v/>
      </c>
      <c r="D297">
        <f>IF(D296&lt;=0,0,MAX(0,AI297-P297))</f>
        <v/>
      </c>
      <c r="E297">
        <f>IF(E296&lt;=0,0,MAX(0,AJ297-Q297))</f>
        <v/>
      </c>
      <c r="F297">
        <f>IF(F296&lt;=0,0,MAX(0,AK297-R297))</f>
        <v/>
      </c>
      <c r="G297">
        <f>IF(G296&lt;=0,0,MAX(0,AL297-S297))</f>
        <v/>
      </c>
      <c r="H297">
        <f>IF(H296&lt;=0,0,MAX(0,AM297-T297))</f>
        <v/>
      </c>
      <c r="I297">
        <f>IF(I296&lt;=0,0,MAX(0,AN297-U297))</f>
        <v/>
      </c>
      <c r="J297">
        <f>IF(J296&lt;=0,0,MAX(0,AO297-V297))</f>
        <v/>
      </c>
      <c r="K297">
        <f>IF(K296&lt;=0,0,MAX(0,AP297-W297))</f>
        <v/>
      </c>
      <c r="L297">
        <f>IF(L296&lt;=0,0,MAX(0,AQ297-X297))</f>
        <v/>
      </c>
      <c r="M297">
        <f>IF(M296&lt;=0,0,MAX(0,AR297-Y297))</f>
        <v/>
      </c>
      <c r="N297">
        <f>IF(N296&lt;=0,0,MAX(0,AS297-Z297))</f>
        <v/>
      </c>
      <c r="O297">
        <f>IF(C296&lt;=0,0,MIN(AH297,C$7+IF(C$2=$AA297,$AC297,IF(C$2=$AF297,$AG297,0))))</f>
        <v/>
      </c>
      <c r="P297">
        <f>IF(D296&lt;=0,0,MIN(AI297,D$7+IF(D$2=$AA297,$AC297,IF(D$2=$AF297,$AG297,0))))</f>
        <v/>
      </c>
      <c r="Q297">
        <f>IF(E296&lt;=0,0,MIN(AJ297,E$7+IF(E$2=$AA297,$AC297,IF(E$2=$AF297,$AG297,0))))</f>
        <v/>
      </c>
      <c r="R297">
        <f>IF(F296&lt;=0,0,MIN(AK297,F$7+IF(F$2=$AA297,$AC297,IF(F$2=$AF297,$AG297,0))))</f>
        <v/>
      </c>
      <c r="S297">
        <f>IF(G296&lt;=0,0,MIN(AL297,G$7+IF(G$2=$AA297,$AC297,IF(G$2=$AF297,$AG297,0))))</f>
        <v/>
      </c>
      <c r="T297">
        <f>IF(H296&lt;=0,0,MIN(AM297,H$7+IF(H$2=$AA297,$AC297,IF(H$2=$AF297,$AG297,0))))</f>
        <v/>
      </c>
      <c r="U297">
        <f>IF(I296&lt;=0,0,MIN(AN297,I$7+IF(I$2=$AA297,$AC297,IF(I$2=$AF297,$AG297,0))))</f>
        <v/>
      </c>
      <c r="V297">
        <f>IF(J296&lt;=0,0,MIN(AO297,J$7+IF(J$2=$AA297,$AC297,IF(J$2=$AF297,$AG297,0))))</f>
        <v/>
      </c>
      <c r="W297">
        <f>IF(K296&lt;=0,0,MIN(AP297,K$7+IF(K$2=$AA297,$AC297,IF(K$2=$AF297,$AG297,0))))</f>
        <v/>
      </c>
      <c r="X297">
        <f>IF(L296&lt;=0,0,MIN(AQ297,L$7+IF(L$2=$AA297,$AC297,IF(L$2=$AF297,$AG297,0))))</f>
        <v/>
      </c>
      <c r="Y297">
        <f>IF(M296&lt;=0,0,MIN(AR297,M$7+IF(M$2=$AA297,$AC297,IF(M$2=$AF297,$AG297,0))))</f>
        <v/>
      </c>
      <c r="Z297">
        <f>IF(N296&lt;=0,0,MIN(AS297,N$7+IF(N$2=$AA297,$AC297,IF(N$2=$AF297,$AG297,0))))</f>
        <v/>
      </c>
      <c r="AA297">
        <f>IFERROR(ROUND(1/SUMPRODUCT(MAX((C296:N296&gt;0)*($C$3:$N$3&lt;=B297)/$C$2:$N$2)),0),0)</f>
        <v/>
      </c>
      <c r="AB297">
        <f>SUMPRODUCT((C296:N296&gt;0)*$C$7:$N$7)</f>
        <v/>
      </c>
      <c r="AC297">
        <f>MAX(0,Plan!$C$5-AB297)+IF(A297=Plan!$C$8,N(Plan!$C$7),0)</f>
        <v/>
      </c>
      <c r="AD297">
        <f>SUM(C297:N297)</f>
        <v/>
      </c>
      <c r="AE297">
        <f>SUM(O297:Z297)</f>
        <v/>
      </c>
      <c r="AF297">
        <f>IFERROR(ROUND(1/SUMPRODUCT(MAX((C296:N296&gt;0)*($C$3:$N$3&lt;=B297)*($C$2:$N$2&gt;AA297)/$C$2:$N$2)),0),0)</f>
        <v/>
      </c>
      <c r="AG297">
        <f>MAX(0,AC297-MAX(0,SUMPRODUCT(($C$2:$N$2=AA297)*(AH297:AS297-$C$7:$N$7))))</f>
        <v/>
      </c>
      <c r="AH297">
        <f>IF(C296&lt;=0,0,ROUND(C296*(1+IF(AND(C$6&gt;0,$B297&lt;C$6),C$4,C$5)/12),2))</f>
        <v/>
      </c>
      <c r="AI297">
        <f>IF(D296&lt;=0,0,ROUND(D296*(1+IF(AND(D$6&gt;0,$B297&lt;D$6),D$4,D$5)/12),2))</f>
        <v/>
      </c>
      <c r="AJ297">
        <f>IF(E296&lt;=0,0,ROUND(E296*(1+IF(AND(E$6&gt;0,$B297&lt;E$6),E$4,E$5)/12),2))</f>
        <v/>
      </c>
      <c r="AK297">
        <f>IF(F296&lt;=0,0,ROUND(F296*(1+IF(AND(F$6&gt;0,$B297&lt;F$6),F$4,F$5)/12),2))</f>
        <v/>
      </c>
      <c r="AL297">
        <f>IF(G296&lt;=0,0,ROUND(G296*(1+IF(AND(G$6&gt;0,$B297&lt;G$6),G$4,G$5)/12),2))</f>
        <v/>
      </c>
      <c r="AM297">
        <f>IF(H296&lt;=0,0,ROUND(H296*(1+IF(AND(H$6&gt;0,$B297&lt;H$6),H$4,H$5)/12),2))</f>
        <v/>
      </c>
      <c r="AN297">
        <f>IF(I296&lt;=0,0,ROUND(I296*(1+IF(AND(I$6&gt;0,$B297&lt;I$6),I$4,I$5)/12),2))</f>
        <v/>
      </c>
      <c r="AO297">
        <f>IF(J296&lt;=0,0,ROUND(J296*(1+IF(AND(J$6&gt;0,$B297&lt;J$6),J$4,J$5)/12),2))</f>
        <v/>
      </c>
      <c r="AP297">
        <f>IF(K296&lt;=0,0,ROUND(K296*(1+IF(AND(K$6&gt;0,$B297&lt;K$6),K$4,K$5)/12),2))</f>
        <v/>
      </c>
      <c r="AQ297">
        <f>IF(L296&lt;=0,0,ROUND(L296*(1+IF(AND(L$6&gt;0,$B297&lt;L$6),L$4,L$5)/12),2))</f>
        <v/>
      </c>
      <c r="AR297">
        <f>IF(M296&lt;=0,0,ROUND(M296*(1+IF(AND(M$6&gt;0,$B297&lt;M$6),M$4,M$5)/12),2))</f>
        <v/>
      </c>
      <c r="AS297">
        <f>IF(N296&lt;=0,0,ROUND(N296*(1+IF(AND(N$6&gt;0,$B297&lt;N$6),N$4,N$5)/12),2))</f>
        <v/>
      </c>
    </row>
    <row r="298">
      <c r="A298" t="n">
        <v>287</v>
      </c>
      <c r="B298">
        <f>EDATE(Plan!$C$6,286)</f>
        <v/>
      </c>
      <c r="C298">
        <f>IF(C297&lt;=0,0,MAX(0,AH298-O298))</f>
        <v/>
      </c>
      <c r="D298">
        <f>IF(D297&lt;=0,0,MAX(0,AI298-P298))</f>
        <v/>
      </c>
      <c r="E298">
        <f>IF(E297&lt;=0,0,MAX(0,AJ298-Q298))</f>
        <v/>
      </c>
      <c r="F298">
        <f>IF(F297&lt;=0,0,MAX(0,AK298-R298))</f>
        <v/>
      </c>
      <c r="G298">
        <f>IF(G297&lt;=0,0,MAX(0,AL298-S298))</f>
        <v/>
      </c>
      <c r="H298">
        <f>IF(H297&lt;=0,0,MAX(0,AM298-T298))</f>
        <v/>
      </c>
      <c r="I298">
        <f>IF(I297&lt;=0,0,MAX(0,AN298-U298))</f>
        <v/>
      </c>
      <c r="J298">
        <f>IF(J297&lt;=0,0,MAX(0,AO298-V298))</f>
        <v/>
      </c>
      <c r="K298">
        <f>IF(K297&lt;=0,0,MAX(0,AP298-W298))</f>
        <v/>
      </c>
      <c r="L298">
        <f>IF(L297&lt;=0,0,MAX(0,AQ298-X298))</f>
        <v/>
      </c>
      <c r="M298">
        <f>IF(M297&lt;=0,0,MAX(0,AR298-Y298))</f>
        <v/>
      </c>
      <c r="N298">
        <f>IF(N297&lt;=0,0,MAX(0,AS298-Z298))</f>
        <v/>
      </c>
      <c r="O298">
        <f>IF(C297&lt;=0,0,MIN(AH298,C$7+IF(C$2=$AA298,$AC298,IF(C$2=$AF298,$AG298,0))))</f>
        <v/>
      </c>
      <c r="P298">
        <f>IF(D297&lt;=0,0,MIN(AI298,D$7+IF(D$2=$AA298,$AC298,IF(D$2=$AF298,$AG298,0))))</f>
        <v/>
      </c>
      <c r="Q298">
        <f>IF(E297&lt;=0,0,MIN(AJ298,E$7+IF(E$2=$AA298,$AC298,IF(E$2=$AF298,$AG298,0))))</f>
        <v/>
      </c>
      <c r="R298">
        <f>IF(F297&lt;=0,0,MIN(AK298,F$7+IF(F$2=$AA298,$AC298,IF(F$2=$AF298,$AG298,0))))</f>
        <v/>
      </c>
      <c r="S298">
        <f>IF(G297&lt;=0,0,MIN(AL298,G$7+IF(G$2=$AA298,$AC298,IF(G$2=$AF298,$AG298,0))))</f>
        <v/>
      </c>
      <c r="T298">
        <f>IF(H297&lt;=0,0,MIN(AM298,H$7+IF(H$2=$AA298,$AC298,IF(H$2=$AF298,$AG298,0))))</f>
        <v/>
      </c>
      <c r="U298">
        <f>IF(I297&lt;=0,0,MIN(AN298,I$7+IF(I$2=$AA298,$AC298,IF(I$2=$AF298,$AG298,0))))</f>
        <v/>
      </c>
      <c r="V298">
        <f>IF(J297&lt;=0,0,MIN(AO298,J$7+IF(J$2=$AA298,$AC298,IF(J$2=$AF298,$AG298,0))))</f>
        <v/>
      </c>
      <c r="W298">
        <f>IF(K297&lt;=0,0,MIN(AP298,K$7+IF(K$2=$AA298,$AC298,IF(K$2=$AF298,$AG298,0))))</f>
        <v/>
      </c>
      <c r="X298">
        <f>IF(L297&lt;=0,0,MIN(AQ298,L$7+IF(L$2=$AA298,$AC298,IF(L$2=$AF298,$AG298,0))))</f>
        <v/>
      </c>
      <c r="Y298">
        <f>IF(M297&lt;=0,0,MIN(AR298,M$7+IF(M$2=$AA298,$AC298,IF(M$2=$AF298,$AG298,0))))</f>
        <v/>
      </c>
      <c r="Z298">
        <f>IF(N297&lt;=0,0,MIN(AS298,N$7+IF(N$2=$AA298,$AC298,IF(N$2=$AF298,$AG298,0))))</f>
        <v/>
      </c>
      <c r="AA298">
        <f>IFERROR(ROUND(1/SUMPRODUCT(MAX((C297:N297&gt;0)*($C$3:$N$3&lt;=B298)/$C$2:$N$2)),0),0)</f>
        <v/>
      </c>
      <c r="AB298">
        <f>SUMPRODUCT((C297:N297&gt;0)*$C$7:$N$7)</f>
        <v/>
      </c>
      <c r="AC298">
        <f>MAX(0,Plan!$C$5-AB298)+IF(A298=Plan!$C$8,N(Plan!$C$7),0)</f>
        <v/>
      </c>
      <c r="AD298">
        <f>SUM(C298:N298)</f>
        <v/>
      </c>
      <c r="AE298">
        <f>SUM(O298:Z298)</f>
        <v/>
      </c>
      <c r="AF298">
        <f>IFERROR(ROUND(1/SUMPRODUCT(MAX((C297:N297&gt;0)*($C$3:$N$3&lt;=B298)*($C$2:$N$2&gt;AA298)/$C$2:$N$2)),0),0)</f>
        <v/>
      </c>
      <c r="AG298">
        <f>MAX(0,AC298-MAX(0,SUMPRODUCT(($C$2:$N$2=AA298)*(AH298:AS298-$C$7:$N$7))))</f>
        <v/>
      </c>
      <c r="AH298">
        <f>IF(C297&lt;=0,0,ROUND(C297*(1+IF(AND(C$6&gt;0,$B298&lt;C$6),C$4,C$5)/12),2))</f>
        <v/>
      </c>
      <c r="AI298">
        <f>IF(D297&lt;=0,0,ROUND(D297*(1+IF(AND(D$6&gt;0,$B298&lt;D$6),D$4,D$5)/12),2))</f>
        <v/>
      </c>
      <c r="AJ298">
        <f>IF(E297&lt;=0,0,ROUND(E297*(1+IF(AND(E$6&gt;0,$B298&lt;E$6),E$4,E$5)/12),2))</f>
        <v/>
      </c>
      <c r="AK298">
        <f>IF(F297&lt;=0,0,ROUND(F297*(1+IF(AND(F$6&gt;0,$B298&lt;F$6),F$4,F$5)/12),2))</f>
        <v/>
      </c>
      <c r="AL298">
        <f>IF(G297&lt;=0,0,ROUND(G297*(1+IF(AND(G$6&gt;0,$B298&lt;G$6),G$4,G$5)/12),2))</f>
        <v/>
      </c>
      <c r="AM298">
        <f>IF(H297&lt;=0,0,ROUND(H297*(1+IF(AND(H$6&gt;0,$B298&lt;H$6),H$4,H$5)/12),2))</f>
        <v/>
      </c>
      <c r="AN298">
        <f>IF(I297&lt;=0,0,ROUND(I297*(1+IF(AND(I$6&gt;0,$B298&lt;I$6),I$4,I$5)/12),2))</f>
        <v/>
      </c>
      <c r="AO298">
        <f>IF(J297&lt;=0,0,ROUND(J297*(1+IF(AND(J$6&gt;0,$B298&lt;J$6),J$4,J$5)/12),2))</f>
        <v/>
      </c>
      <c r="AP298">
        <f>IF(K297&lt;=0,0,ROUND(K297*(1+IF(AND(K$6&gt;0,$B298&lt;K$6),K$4,K$5)/12),2))</f>
        <v/>
      </c>
      <c r="AQ298">
        <f>IF(L297&lt;=0,0,ROUND(L297*(1+IF(AND(L$6&gt;0,$B298&lt;L$6),L$4,L$5)/12),2))</f>
        <v/>
      </c>
      <c r="AR298">
        <f>IF(M297&lt;=0,0,ROUND(M297*(1+IF(AND(M$6&gt;0,$B298&lt;M$6),M$4,M$5)/12),2))</f>
        <v/>
      </c>
      <c r="AS298">
        <f>IF(N297&lt;=0,0,ROUND(N297*(1+IF(AND(N$6&gt;0,$B298&lt;N$6),N$4,N$5)/12),2))</f>
        <v/>
      </c>
    </row>
    <row r="299">
      <c r="A299" t="n">
        <v>288</v>
      </c>
      <c r="B299">
        <f>EDATE(Plan!$C$6,287)</f>
        <v/>
      </c>
      <c r="C299">
        <f>IF(C298&lt;=0,0,MAX(0,AH299-O299))</f>
        <v/>
      </c>
      <c r="D299">
        <f>IF(D298&lt;=0,0,MAX(0,AI299-P299))</f>
        <v/>
      </c>
      <c r="E299">
        <f>IF(E298&lt;=0,0,MAX(0,AJ299-Q299))</f>
        <v/>
      </c>
      <c r="F299">
        <f>IF(F298&lt;=0,0,MAX(0,AK299-R299))</f>
        <v/>
      </c>
      <c r="G299">
        <f>IF(G298&lt;=0,0,MAX(0,AL299-S299))</f>
        <v/>
      </c>
      <c r="H299">
        <f>IF(H298&lt;=0,0,MAX(0,AM299-T299))</f>
        <v/>
      </c>
      <c r="I299">
        <f>IF(I298&lt;=0,0,MAX(0,AN299-U299))</f>
        <v/>
      </c>
      <c r="J299">
        <f>IF(J298&lt;=0,0,MAX(0,AO299-V299))</f>
        <v/>
      </c>
      <c r="K299">
        <f>IF(K298&lt;=0,0,MAX(0,AP299-W299))</f>
        <v/>
      </c>
      <c r="L299">
        <f>IF(L298&lt;=0,0,MAX(0,AQ299-X299))</f>
        <v/>
      </c>
      <c r="M299">
        <f>IF(M298&lt;=0,0,MAX(0,AR299-Y299))</f>
        <v/>
      </c>
      <c r="N299">
        <f>IF(N298&lt;=0,0,MAX(0,AS299-Z299))</f>
        <v/>
      </c>
      <c r="O299">
        <f>IF(C298&lt;=0,0,MIN(AH299,C$7+IF(C$2=$AA299,$AC299,IF(C$2=$AF299,$AG299,0))))</f>
        <v/>
      </c>
      <c r="P299">
        <f>IF(D298&lt;=0,0,MIN(AI299,D$7+IF(D$2=$AA299,$AC299,IF(D$2=$AF299,$AG299,0))))</f>
        <v/>
      </c>
      <c r="Q299">
        <f>IF(E298&lt;=0,0,MIN(AJ299,E$7+IF(E$2=$AA299,$AC299,IF(E$2=$AF299,$AG299,0))))</f>
        <v/>
      </c>
      <c r="R299">
        <f>IF(F298&lt;=0,0,MIN(AK299,F$7+IF(F$2=$AA299,$AC299,IF(F$2=$AF299,$AG299,0))))</f>
        <v/>
      </c>
      <c r="S299">
        <f>IF(G298&lt;=0,0,MIN(AL299,G$7+IF(G$2=$AA299,$AC299,IF(G$2=$AF299,$AG299,0))))</f>
        <v/>
      </c>
      <c r="T299">
        <f>IF(H298&lt;=0,0,MIN(AM299,H$7+IF(H$2=$AA299,$AC299,IF(H$2=$AF299,$AG299,0))))</f>
        <v/>
      </c>
      <c r="U299">
        <f>IF(I298&lt;=0,0,MIN(AN299,I$7+IF(I$2=$AA299,$AC299,IF(I$2=$AF299,$AG299,0))))</f>
        <v/>
      </c>
      <c r="V299">
        <f>IF(J298&lt;=0,0,MIN(AO299,J$7+IF(J$2=$AA299,$AC299,IF(J$2=$AF299,$AG299,0))))</f>
        <v/>
      </c>
      <c r="W299">
        <f>IF(K298&lt;=0,0,MIN(AP299,K$7+IF(K$2=$AA299,$AC299,IF(K$2=$AF299,$AG299,0))))</f>
        <v/>
      </c>
      <c r="X299">
        <f>IF(L298&lt;=0,0,MIN(AQ299,L$7+IF(L$2=$AA299,$AC299,IF(L$2=$AF299,$AG299,0))))</f>
        <v/>
      </c>
      <c r="Y299">
        <f>IF(M298&lt;=0,0,MIN(AR299,M$7+IF(M$2=$AA299,$AC299,IF(M$2=$AF299,$AG299,0))))</f>
        <v/>
      </c>
      <c r="Z299">
        <f>IF(N298&lt;=0,0,MIN(AS299,N$7+IF(N$2=$AA299,$AC299,IF(N$2=$AF299,$AG299,0))))</f>
        <v/>
      </c>
      <c r="AA299">
        <f>IFERROR(ROUND(1/SUMPRODUCT(MAX((C298:N298&gt;0)*($C$3:$N$3&lt;=B299)/$C$2:$N$2)),0),0)</f>
        <v/>
      </c>
      <c r="AB299">
        <f>SUMPRODUCT((C298:N298&gt;0)*$C$7:$N$7)</f>
        <v/>
      </c>
      <c r="AC299">
        <f>MAX(0,Plan!$C$5-AB299)+IF(A299=Plan!$C$8,N(Plan!$C$7),0)</f>
        <v/>
      </c>
      <c r="AD299">
        <f>SUM(C299:N299)</f>
        <v/>
      </c>
      <c r="AE299">
        <f>SUM(O299:Z299)</f>
        <v/>
      </c>
      <c r="AF299">
        <f>IFERROR(ROUND(1/SUMPRODUCT(MAX((C298:N298&gt;0)*($C$3:$N$3&lt;=B299)*($C$2:$N$2&gt;AA299)/$C$2:$N$2)),0),0)</f>
        <v/>
      </c>
      <c r="AG299">
        <f>MAX(0,AC299-MAX(0,SUMPRODUCT(($C$2:$N$2=AA299)*(AH299:AS299-$C$7:$N$7))))</f>
        <v/>
      </c>
      <c r="AH299">
        <f>IF(C298&lt;=0,0,ROUND(C298*(1+IF(AND(C$6&gt;0,$B299&lt;C$6),C$4,C$5)/12),2))</f>
        <v/>
      </c>
      <c r="AI299">
        <f>IF(D298&lt;=0,0,ROUND(D298*(1+IF(AND(D$6&gt;0,$B299&lt;D$6),D$4,D$5)/12),2))</f>
        <v/>
      </c>
      <c r="AJ299">
        <f>IF(E298&lt;=0,0,ROUND(E298*(1+IF(AND(E$6&gt;0,$B299&lt;E$6),E$4,E$5)/12),2))</f>
        <v/>
      </c>
      <c r="AK299">
        <f>IF(F298&lt;=0,0,ROUND(F298*(1+IF(AND(F$6&gt;0,$B299&lt;F$6),F$4,F$5)/12),2))</f>
        <v/>
      </c>
      <c r="AL299">
        <f>IF(G298&lt;=0,0,ROUND(G298*(1+IF(AND(G$6&gt;0,$B299&lt;G$6),G$4,G$5)/12),2))</f>
        <v/>
      </c>
      <c r="AM299">
        <f>IF(H298&lt;=0,0,ROUND(H298*(1+IF(AND(H$6&gt;0,$B299&lt;H$6),H$4,H$5)/12),2))</f>
        <v/>
      </c>
      <c r="AN299">
        <f>IF(I298&lt;=0,0,ROUND(I298*(1+IF(AND(I$6&gt;0,$B299&lt;I$6),I$4,I$5)/12),2))</f>
        <v/>
      </c>
      <c r="AO299">
        <f>IF(J298&lt;=0,0,ROUND(J298*(1+IF(AND(J$6&gt;0,$B299&lt;J$6),J$4,J$5)/12),2))</f>
        <v/>
      </c>
      <c r="AP299">
        <f>IF(K298&lt;=0,0,ROUND(K298*(1+IF(AND(K$6&gt;0,$B299&lt;K$6),K$4,K$5)/12),2))</f>
        <v/>
      </c>
      <c r="AQ299">
        <f>IF(L298&lt;=0,0,ROUND(L298*(1+IF(AND(L$6&gt;0,$B299&lt;L$6),L$4,L$5)/12),2))</f>
        <v/>
      </c>
      <c r="AR299">
        <f>IF(M298&lt;=0,0,ROUND(M298*(1+IF(AND(M$6&gt;0,$B299&lt;M$6),M$4,M$5)/12),2))</f>
        <v/>
      </c>
      <c r="AS299">
        <f>IF(N298&lt;=0,0,ROUND(N298*(1+IF(AND(N$6&gt;0,$B299&lt;N$6),N$4,N$5)/12),2))</f>
        <v/>
      </c>
    </row>
    <row r="300">
      <c r="A300" t="n">
        <v>289</v>
      </c>
      <c r="B300">
        <f>EDATE(Plan!$C$6,288)</f>
        <v/>
      </c>
      <c r="C300">
        <f>IF(C299&lt;=0,0,MAX(0,AH300-O300))</f>
        <v/>
      </c>
      <c r="D300">
        <f>IF(D299&lt;=0,0,MAX(0,AI300-P300))</f>
        <v/>
      </c>
      <c r="E300">
        <f>IF(E299&lt;=0,0,MAX(0,AJ300-Q300))</f>
        <v/>
      </c>
      <c r="F300">
        <f>IF(F299&lt;=0,0,MAX(0,AK300-R300))</f>
        <v/>
      </c>
      <c r="G300">
        <f>IF(G299&lt;=0,0,MAX(0,AL300-S300))</f>
        <v/>
      </c>
      <c r="H300">
        <f>IF(H299&lt;=0,0,MAX(0,AM300-T300))</f>
        <v/>
      </c>
      <c r="I300">
        <f>IF(I299&lt;=0,0,MAX(0,AN300-U300))</f>
        <v/>
      </c>
      <c r="J300">
        <f>IF(J299&lt;=0,0,MAX(0,AO300-V300))</f>
        <v/>
      </c>
      <c r="K300">
        <f>IF(K299&lt;=0,0,MAX(0,AP300-W300))</f>
        <v/>
      </c>
      <c r="L300">
        <f>IF(L299&lt;=0,0,MAX(0,AQ300-X300))</f>
        <v/>
      </c>
      <c r="M300">
        <f>IF(M299&lt;=0,0,MAX(0,AR300-Y300))</f>
        <v/>
      </c>
      <c r="N300">
        <f>IF(N299&lt;=0,0,MAX(0,AS300-Z300))</f>
        <v/>
      </c>
      <c r="O300">
        <f>IF(C299&lt;=0,0,MIN(AH300,C$7+IF(C$2=$AA300,$AC300,IF(C$2=$AF300,$AG300,0))))</f>
        <v/>
      </c>
      <c r="P300">
        <f>IF(D299&lt;=0,0,MIN(AI300,D$7+IF(D$2=$AA300,$AC300,IF(D$2=$AF300,$AG300,0))))</f>
        <v/>
      </c>
      <c r="Q300">
        <f>IF(E299&lt;=0,0,MIN(AJ300,E$7+IF(E$2=$AA300,$AC300,IF(E$2=$AF300,$AG300,0))))</f>
        <v/>
      </c>
      <c r="R300">
        <f>IF(F299&lt;=0,0,MIN(AK300,F$7+IF(F$2=$AA300,$AC300,IF(F$2=$AF300,$AG300,0))))</f>
        <v/>
      </c>
      <c r="S300">
        <f>IF(G299&lt;=0,0,MIN(AL300,G$7+IF(G$2=$AA300,$AC300,IF(G$2=$AF300,$AG300,0))))</f>
        <v/>
      </c>
      <c r="T300">
        <f>IF(H299&lt;=0,0,MIN(AM300,H$7+IF(H$2=$AA300,$AC300,IF(H$2=$AF300,$AG300,0))))</f>
        <v/>
      </c>
      <c r="U300">
        <f>IF(I299&lt;=0,0,MIN(AN300,I$7+IF(I$2=$AA300,$AC300,IF(I$2=$AF300,$AG300,0))))</f>
        <v/>
      </c>
      <c r="V300">
        <f>IF(J299&lt;=0,0,MIN(AO300,J$7+IF(J$2=$AA300,$AC300,IF(J$2=$AF300,$AG300,0))))</f>
        <v/>
      </c>
      <c r="W300">
        <f>IF(K299&lt;=0,0,MIN(AP300,K$7+IF(K$2=$AA300,$AC300,IF(K$2=$AF300,$AG300,0))))</f>
        <v/>
      </c>
      <c r="X300">
        <f>IF(L299&lt;=0,0,MIN(AQ300,L$7+IF(L$2=$AA300,$AC300,IF(L$2=$AF300,$AG300,0))))</f>
        <v/>
      </c>
      <c r="Y300">
        <f>IF(M299&lt;=0,0,MIN(AR300,M$7+IF(M$2=$AA300,$AC300,IF(M$2=$AF300,$AG300,0))))</f>
        <v/>
      </c>
      <c r="Z300">
        <f>IF(N299&lt;=0,0,MIN(AS300,N$7+IF(N$2=$AA300,$AC300,IF(N$2=$AF300,$AG300,0))))</f>
        <v/>
      </c>
      <c r="AA300">
        <f>IFERROR(ROUND(1/SUMPRODUCT(MAX((C299:N299&gt;0)*($C$3:$N$3&lt;=B300)/$C$2:$N$2)),0),0)</f>
        <v/>
      </c>
      <c r="AB300">
        <f>SUMPRODUCT((C299:N299&gt;0)*$C$7:$N$7)</f>
        <v/>
      </c>
      <c r="AC300">
        <f>MAX(0,Plan!$C$5-AB300)+IF(A300=Plan!$C$8,N(Plan!$C$7),0)</f>
        <v/>
      </c>
      <c r="AD300">
        <f>SUM(C300:N300)</f>
        <v/>
      </c>
      <c r="AE300">
        <f>SUM(O300:Z300)</f>
        <v/>
      </c>
      <c r="AF300">
        <f>IFERROR(ROUND(1/SUMPRODUCT(MAX((C299:N299&gt;0)*($C$3:$N$3&lt;=B300)*($C$2:$N$2&gt;AA300)/$C$2:$N$2)),0),0)</f>
        <v/>
      </c>
      <c r="AG300">
        <f>MAX(0,AC300-MAX(0,SUMPRODUCT(($C$2:$N$2=AA300)*(AH300:AS300-$C$7:$N$7))))</f>
        <v/>
      </c>
      <c r="AH300">
        <f>IF(C299&lt;=0,0,ROUND(C299*(1+IF(AND(C$6&gt;0,$B300&lt;C$6),C$4,C$5)/12),2))</f>
        <v/>
      </c>
      <c r="AI300">
        <f>IF(D299&lt;=0,0,ROUND(D299*(1+IF(AND(D$6&gt;0,$B300&lt;D$6),D$4,D$5)/12),2))</f>
        <v/>
      </c>
      <c r="AJ300">
        <f>IF(E299&lt;=0,0,ROUND(E299*(1+IF(AND(E$6&gt;0,$B300&lt;E$6),E$4,E$5)/12),2))</f>
        <v/>
      </c>
      <c r="AK300">
        <f>IF(F299&lt;=0,0,ROUND(F299*(1+IF(AND(F$6&gt;0,$B300&lt;F$6),F$4,F$5)/12),2))</f>
        <v/>
      </c>
      <c r="AL300">
        <f>IF(G299&lt;=0,0,ROUND(G299*(1+IF(AND(G$6&gt;0,$B300&lt;G$6),G$4,G$5)/12),2))</f>
        <v/>
      </c>
      <c r="AM300">
        <f>IF(H299&lt;=0,0,ROUND(H299*(1+IF(AND(H$6&gt;0,$B300&lt;H$6),H$4,H$5)/12),2))</f>
        <v/>
      </c>
      <c r="AN300">
        <f>IF(I299&lt;=0,0,ROUND(I299*(1+IF(AND(I$6&gt;0,$B300&lt;I$6),I$4,I$5)/12),2))</f>
        <v/>
      </c>
      <c r="AO300">
        <f>IF(J299&lt;=0,0,ROUND(J299*(1+IF(AND(J$6&gt;0,$B300&lt;J$6),J$4,J$5)/12),2))</f>
        <v/>
      </c>
      <c r="AP300">
        <f>IF(K299&lt;=0,0,ROUND(K299*(1+IF(AND(K$6&gt;0,$B300&lt;K$6),K$4,K$5)/12),2))</f>
        <v/>
      </c>
      <c r="AQ300">
        <f>IF(L299&lt;=0,0,ROUND(L299*(1+IF(AND(L$6&gt;0,$B300&lt;L$6),L$4,L$5)/12),2))</f>
        <v/>
      </c>
      <c r="AR300">
        <f>IF(M299&lt;=0,0,ROUND(M299*(1+IF(AND(M$6&gt;0,$B300&lt;M$6),M$4,M$5)/12),2))</f>
        <v/>
      </c>
      <c r="AS300">
        <f>IF(N299&lt;=0,0,ROUND(N299*(1+IF(AND(N$6&gt;0,$B300&lt;N$6),N$4,N$5)/12),2))</f>
        <v/>
      </c>
    </row>
    <row r="301">
      <c r="A301" t="n">
        <v>290</v>
      </c>
      <c r="B301">
        <f>EDATE(Plan!$C$6,289)</f>
        <v/>
      </c>
      <c r="C301">
        <f>IF(C300&lt;=0,0,MAX(0,AH301-O301))</f>
        <v/>
      </c>
      <c r="D301">
        <f>IF(D300&lt;=0,0,MAX(0,AI301-P301))</f>
        <v/>
      </c>
      <c r="E301">
        <f>IF(E300&lt;=0,0,MAX(0,AJ301-Q301))</f>
        <v/>
      </c>
      <c r="F301">
        <f>IF(F300&lt;=0,0,MAX(0,AK301-R301))</f>
        <v/>
      </c>
      <c r="G301">
        <f>IF(G300&lt;=0,0,MAX(0,AL301-S301))</f>
        <v/>
      </c>
      <c r="H301">
        <f>IF(H300&lt;=0,0,MAX(0,AM301-T301))</f>
        <v/>
      </c>
      <c r="I301">
        <f>IF(I300&lt;=0,0,MAX(0,AN301-U301))</f>
        <v/>
      </c>
      <c r="J301">
        <f>IF(J300&lt;=0,0,MAX(0,AO301-V301))</f>
        <v/>
      </c>
      <c r="K301">
        <f>IF(K300&lt;=0,0,MAX(0,AP301-W301))</f>
        <v/>
      </c>
      <c r="L301">
        <f>IF(L300&lt;=0,0,MAX(0,AQ301-X301))</f>
        <v/>
      </c>
      <c r="M301">
        <f>IF(M300&lt;=0,0,MAX(0,AR301-Y301))</f>
        <v/>
      </c>
      <c r="N301">
        <f>IF(N300&lt;=0,0,MAX(0,AS301-Z301))</f>
        <v/>
      </c>
      <c r="O301">
        <f>IF(C300&lt;=0,0,MIN(AH301,C$7+IF(C$2=$AA301,$AC301,IF(C$2=$AF301,$AG301,0))))</f>
        <v/>
      </c>
      <c r="P301">
        <f>IF(D300&lt;=0,0,MIN(AI301,D$7+IF(D$2=$AA301,$AC301,IF(D$2=$AF301,$AG301,0))))</f>
        <v/>
      </c>
      <c r="Q301">
        <f>IF(E300&lt;=0,0,MIN(AJ301,E$7+IF(E$2=$AA301,$AC301,IF(E$2=$AF301,$AG301,0))))</f>
        <v/>
      </c>
      <c r="R301">
        <f>IF(F300&lt;=0,0,MIN(AK301,F$7+IF(F$2=$AA301,$AC301,IF(F$2=$AF301,$AG301,0))))</f>
        <v/>
      </c>
      <c r="S301">
        <f>IF(G300&lt;=0,0,MIN(AL301,G$7+IF(G$2=$AA301,$AC301,IF(G$2=$AF301,$AG301,0))))</f>
        <v/>
      </c>
      <c r="T301">
        <f>IF(H300&lt;=0,0,MIN(AM301,H$7+IF(H$2=$AA301,$AC301,IF(H$2=$AF301,$AG301,0))))</f>
        <v/>
      </c>
      <c r="U301">
        <f>IF(I300&lt;=0,0,MIN(AN301,I$7+IF(I$2=$AA301,$AC301,IF(I$2=$AF301,$AG301,0))))</f>
        <v/>
      </c>
      <c r="V301">
        <f>IF(J300&lt;=0,0,MIN(AO301,J$7+IF(J$2=$AA301,$AC301,IF(J$2=$AF301,$AG301,0))))</f>
        <v/>
      </c>
      <c r="W301">
        <f>IF(K300&lt;=0,0,MIN(AP301,K$7+IF(K$2=$AA301,$AC301,IF(K$2=$AF301,$AG301,0))))</f>
        <v/>
      </c>
      <c r="X301">
        <f>IF(L300&lt;=0,0,MIN(AQ301,L$7+IF(L$2=$AA301,$AC301,IF(L$2=$AF301,$AG301,0))))</f>
        <v/>
      </c>
      <c r="Y301">
        <f>IF(M300&lt;=0,0,MIN(AR301,M$7+IF(M$2=$AA301,$AC301,IF(M$2=$AF301,$AG301,0))))</f>
        <v/>
      </c>
      <c r="Z301">
        <f>IF(N300&lt;=0,0,MIN(AS301,N$7+IF(N$2=$AA301,$AC301,IF(N$2=$AF301,$AG301,0))))</f>
        <v/>
      </c>
      <c r="AA301">
        <f>IFERROR(ROUND(1/SUMPRODUCT(MAX((C300:N300&gt;0)*($C$3:$N$3&lt;=B301)/$C$2:$N$2)),0),0)</f>
        <v/>
      </c>
      <c r="AB301">
        <f>SUMPRODUCT((C300:N300&gt;0)*$C$7:$N$7)</f>
        <v/>
      </c>
      <c r="AC301">
        <f>MAX(0,Plan!$C$5-AB301)+IF(A301=Plan!$C$8,N(Plan!$C$7),0)</f>
        <v/>
      </c>
      <c r="AD301">
        <f>SUM(C301:N301)</f>
        <v/>
      </c>
      <c r="AE301">
        <f>SUM(O301:Z301)</f>
        <v/>
      </c>
      <c r="AF301">
        <f>IFERROR(ROUND(1/SUMPRODUCT(MAX((C300:N300&gt;0)*($C$3:$N$3&lt;=B301)*($C$2:$N$2&gt;AA301)/$C$2:$N$2)),0),0)</f>
        <v/>
      </c>
      <c r="AG301">
        <f>MAX(0,AC301-MAX(0,SUMPRODUCT(($C$2:$N$2=AA301)*(AH301:AS301-$C$7:$N$7))))</f>
        <v/>
      </c>
      <c r="AH301">
        <f>IF(C300&lt;=0,0,ROUND(C300*(1+IF(AND(C$6&gt;0,$B301&lt;C$6),C$4,C$5)/12),2))</f>
        <v/>
      </c>
      <c r="AI301">
        <f>IF(D300&lt;=0,0,ROUND(D300*(1+IF(AND(D$6&gt;0,$B301&lt;D$6),D$4,D$5)/12),2))</f>
        <v/>
      </c>
      <c r="AJ301">
        <f>IF(E300&lt;=0,0,ROUND(E300*(1+IF(AND(E$6&gt;0,$B301&lt;E$6),E$4,E$5)/12),2))</f>
        <v/>
      </c>
      <c r="AK301">
        <f>IF(F300&lt;=0,0,ROUND(F300*(1+IF(AND(F$6&gt;0,$B301&lt;F$6),F$4,F$5)/12),2))</f>
        <v/>
      </c>
      <c r="AL301">
        <f>IF(G300&lt;=0,0,ROUND(G300*(1+IF(AND(G$6&gt;0,$B301&lt;G$6),G$4,G$5)/12),2))</f>
        <v/>
      </c>
      <c r="AM301">
        <f>IF(H300&lt;=0,0,ROUND(H300*(1+IF(AND(H$6&gt;0,$B301&lt;H$6),H$4,H$5)/12),2))</f>
        <v/>
      </c>
      <c r="AN301">
        <f>IF(I300&lt;=0,0,ROUND(I300*(1+IF(AND(I$6&gt;0,$B301&lt;I$6),I$4,I$5)/12),2))</f>
        <v/>
      </c>
      <c r="AO301">
        <f>IF(J300&lt;=0,0,ROUND(J300*(1+IF(AND(J$6&gt;0,$B301&lt;J$6),J$4,J$5)/12),2))</f>
        <v/>
      </c>
      <c r="AP301">
        <f>IF(K300&lt;=0,0,ROUND(K300*(1+IF(AND(K$6&gt;0,$B301&lt;K$6),K$4,K$5)/12),2))</f>
        <v/>
      </c>
      <c r="AQ301">
        <f>IF(L300&lt;=0,0,ROUND(L300*(1+IF(AND(L$6&gt;0,$B301&lt;L$6),L$4,L$5)/12),2))</f>
        <v/>
      </c>
      <c r="AR301">
        <f>IF(M300&lt;=0,0,ROUND(M300*(1+IF(AND(M$6&gt;0,$B301&lt;M$6),M$4,M$5)/12),2))</f>
        <v/>
      </c>
      <c r="AS301">
        <f>IF(N300&lt;=0,0,ROUND(N300*(1+IF(AND(N$6&gt;0,$B301&lt;N$6),N$4,N$5)/12),2))</f>
        <v/>
      </c>
    </row>
    <row r="302">
      <c r="A302" t="n">
        <v>291</v>
      </c>
      <c r="B302">
        <f>EDATE(Plan!$C$6,290)</f>
        <v/>
      </c>
      <c r="C302">
        <f>IF(C301&lt;=0,0,MAX(0,AH302-O302))</f>
        <v/>
      </c>
      <c r="D302">
        <f>IF(D301&lt;=0,0,MAX(0,AI302-P302))</f>
        <v/>
      </c>
      <c r="E302">
        <f>IF(E301&lt;=0,0,MAX(0,AJ302-Q302))</f>
        <v/>
      </c>
      <c r="F302">
        <f>IF(F301&lt;=0,0,MAX(0,AK302-R302))</f>
        <v/>
      </c>
      <c r="G302">
        <f>IF(G301&lt;=0,0,MAX(0,AL302-S302))</f>
        <v/>
      </c>
      <c r="H302">
        <f>IF(H301&lt;=0,0,MAX(0,AM302-T302))</f>
        <v/>
      </c>
      <c r="I302">
        <f>IF(I301&lt;=0,0,MAX(0,AN302-U302))</f>
        <v/>
      </c>
      <c r="J302">
        <f>IF(J301&lt;=0,0,MAX(0,AO302-V302))</f>
        <v/>
      </c>
      <c r="K302">
        <f>IF(K301&lt;=0,0,MAX(0,AP302-W302))</f>
        <v/>
      </c>
      <c r="L302">
        <f>IF(L301&lt;=0,0,MAX(0,AQ302-X302))</f>
        <v/>
      </c>
      <c r="M302">
        <f>IF(M301&lt;=0,0,MAX(0,AR302-Y302))</f>
        <v/>
      </c>
      <c r="N302">
        <f>IF(N301&lt;=0,0,MAX(0,AS302-Z302))</f>
        <v/>
      </c>
      <c r="O302">
        <f>IF(C301&lt;=0,0,MIN(AH302,C$7+IF(C$2=$AA302,$AC302,IF(C$2=$AF302,$AG302,0))))</f>
        <v/>
      </c>
      <c r="P302">
        <f>IF(D301&lt;=0,0,MIN(AI302,D$7+IF(D$2=$AA302,$AC302,IF(D$2=$AF302,$AG302,0))))</f>
        <v/>
      </c>
      <c r="Q302">
        <f>IF(E301&lt;=0,0,MIN(AJ302,E$7+IF(E$2=$AA302,$AC302,IF(E$2=$AF302,$AG302,0))))</f>
        <v/>
      </c>
      <c r="R302">
        <f>IF(F301&lt;=0,0,MIN(AK302,F$7+IF(F$2=$AA302,$AC302,IF(F$2=$AF302,$AG302,0))))</f>
        <v/>
      </c>
      <c r="S302">
        <f>IF(G301&lt;=0,0,MIN(AL302,G$7+IF(G$2=$AA302,$AC302,IF(G$2=$AF302,$AG302,0))))</f>
        <v/>
      </c>
      <c r="T302">
        <f>IF(H301&lt;=0,0,MIN(AM302,H$7+IF(H$2=$AA302,$AC302,IF(H$2=$AF302,$AG302,0))))</f>
        <v/>
      </c>
      <c r="U302">
        <f>IF(I301&lt;=0,0,MIN(AN302,I$7+IF(I$2=$AA302,$AC302,IF(I$2=$AF302,$AG302,0))))</f>
        <v/>
      </c>
      <c r="V302">
        <f>IF(J301&lt;=0,0,MIN(AO302,J$7+IF(J$2=$AA302,$AC302,IF(J$2=$AF302,$AG302,0))))</f>
        <v/>
      </c>
      <c r="W302">
        <f>IF(K301&lt;=0,0,MIN(AP302,K$7+IF(K$2=$AA302,$AC302,IF(K$2=$AF302,$AG302,0))))</f>
        <v/>
      </c>
      <c r="X302">
        <f>IF(L301&lt;=0,0,MIN(AQ302,L$7+IF(L$2=$AA302,$AC302,IF(L$2=$AF302,$AG302,0))))</f>
        <v/>
      </c>
      <c r="Y302">
        <f>IF(M301&lt;=0,0,MIN(AR302,M$7+IF(M$2=$AA302,$AC302,IF(M$2=$AF302,$AG302,0))))</f>
        <v/>
      </c>
      <c r="Z302">
        <f>IF(N301&lt;=0,0,MIN(AS302,N$7+IF(N$2=$AA302,$AC302,IF(N$2=$AF302,$AG302,0))))</f>
        <v/>
      </c>
      <c r="AA302">
        <f>IFERROR(ROUND(1/SUMPRODUCT(MAX((C301:N301&gt;0)*($C$3:$N$3&lt;=B302)/$C$2:$N$2)),0),0)</f>
        <v/>
      </c>
      <c r="AB302">
        <f>SUMPRODUCT((C301:N301&gt;0)*$C$7:$N$7)</f>
        <v/>
      </c>
      <c r="AC302">
        <f>MAX(0,Plan!$C$5-AB302)+IF(A302=Plan!$C$8,N(Plan!$C$7),0)</f>
        <v/>
      </c>
      <c r="AD302">
        <f>SUM(C302:N302)</f>
        <v/>
      </c>
      <c r="AE302">
        <f>SUM(O302:Z302)</f>
        <v/>
      </c>
      <c r="AF302">
        <f>IFERROR(ROUND(1/SUMPRODUCT(MAX((C301:N301&gt;0)*($C$3:$N$3&lt;=B302)*($C$2:$N$2&gt;AA302)/$C$2:$N$2)),0),0)</f>
        <v/>
      </c>
      <c r="AG302">
        <f>MAX(0,AC302-MAX(0,SUMPRODUCT(($C$2:$N$2=AA302)*(AH302:AS302-$C$7:$N$7))))</f>
        <v/>
      </c>
      <c r="AH302">
        <f>IF(C301&lt;=0,0,ROUND(C301*(1+IF(AND(C$6&gt;0,$B302&lt;C$6),C$4,C$5)/12),2))</f>
        <v/>
      </c>
      <c r="AI302">
        <f>IF(D301&lt;=0,0,ROUND(D301*(1+IF(AND(D$6&gt;0,$B302&lt;D$6),D$4,D$5)/12),2))</f>
        <v/>
      </c>
      <c r="AJ302">
        <f>IF(E301&lt;=0,0,ROUND(E301*(1+IF(AND(E$6&gt;0,$B302&lt;E$6),E$4,E$5)/12),2))</f>
        <v/>
      </c>
      <c r="AK302">
        <f>IF(F301&lt;=0,0,ROUND(F301*(1+IF(AND(F$6&gt;0,$B302&lt;F$6),F$4,F$5)/12),2))</f>
        <v/>
      </c>
      <c r="AL302">
        <f>IF(G301&lt;=0,0,ROUND(G301*(1+IF(AND(G$6&gt;0,$B302&lt;G$6),G$4,G$5)/12),2))</f>
        <v/>
      </c>
      <c r="AM302">
        <f>IF(H301&lt;=0,0,ROUND(H301*(1+IF(AND(H$6&gt;0,$B302&lt;H$6),H$4,H$5)/12),2))</f>
        <v/>
      </c>
      <c r="AN302">
        <f>IF(I301&lt;=0,0,ROUND(I301*(1+IF(AND(I$6&gt;0,$B302&lt;I$6),I$4,I$5)/12),2))</f>
        <v/>
      </c>
      <c r="AO302">
        <f>IF(J301&lt;=0,0,ROUND(J301*(1+IF(AND(J$6&gt;0,$B302&lt;J$6),J$4,J$5)/12),2))</f>
        <v/>
      </c>
      <c r="AP302">
        <f>IF(K301&lt;=0,0,ROUND(K301*(1+IF(AND(K$6&gt;0,$B302&lt;K$6),K$4,K$5)/12),2))</f>
        <v/>
      </c>
      <c r="AQ302">
        <f>IF(L301&lt;=0,0,ROUND(L301*(1+IF(AND(L$6&gt;0,$B302&lt;L$6),L$4,L$5)/12),2))</f>
        <v/>
      </c>
      <c r="AR302">
        <f>IF(M301&lt;=0,0,ROUND(M301*(1+IF(AND(M$6&gt;0,$B302&lt;M$6),M$4,M$5)/12),2))</f>
        <v/>
      </c>
      <c r="AS302">
        <f>IF(N301&lt;=0,0,ROUND(N301*(1+IF(AND(N$6&gt;0,$B302&lt;N$6),N$4,N$5)/12),2))</f>
        <v/>
      </c>
    </row>
    <row r="303">
      <c r="A303" t="n">
        <v>292</v>
      </c>
      <c r="B303">
        <f>EDATE(Plan!$C$6,291)</f>
        <v/>
      </c>
      <c r="C303">
        <f>IF(C302&lt;=0,0,MAX(0,AH303-O303))</f>
        <v/>
      </c>
      <c r="D303">
        <f>IF(D302&lt;=0,0,MAX(0,AI303-P303))</f>
        <v/>
      </c>
      <c r="E303">
        <f>IF(E302&lt;=0,0,MAX(0,AJ303-Q303))</f>
        <v/>
      </c>
      <c r="F303">
        <f>IF(F302&lt;=0,0,MAX(0,AK303-R303))</f>
        <v/>
      </c>
      <c r="G303">
        <f>IF(G302&lt;=0,0,MAX(0,AL303-S303))</f>
        <v/>
      </c>
      <c r="H303">
        <f>IF(H302&lt;=0,0,MAX(0,AM303-T303))</f>
        <v/>
      </c>
      <c r="I303">
        <f>IF(I302&lt;=0,0,MAX(0,AN303-U303))</f>
        <v/>
      </c>
      <c r="J303">
        <f>IF(J302&lt;=0,0,MAX(0,AO303-V303))</f>
        <v/>
      </c>
      <c r="K303">
        <f>IF(K302&lt;=0,0,MAX(0,AP303-W303))</f>
        <v/>
      </c>
      <c r="L303">
        <f>IF(L302&lt;=0,0,MAX(0,AQ303-X303))</f>
        <v/>
      </c>
      <c r="M303">
        <f>IF(M302&lt;=0,0,MAX(0,AR303-Y303))</f>
        <v/>
      </c>
      <c r="N303">
        <f>IF(N302&lt;=0,0,MAX(0,AS303-Z303))</f>
        <v/>
      </c>
      <c r="O303">
        <f>IF(C302&lt;=0,0,MIN(AH303,C$7+IF(C$2=$AA303,$AC303,IF(C$2=$AF303,$AG303,0))))</f>
        <v/>
      </c>
      <c r="P303">
        <f>IF(D302&lt;=0,0,MIN(AI303,D$7+IF(D$2=$AA303,$AC303,IF(D$2=$AF303,$AG303,0))))</f>
        <v/>
      </c>
      <c r="Q303">
        <f>IF(E302&lt;=0,0,MIN(AJ303,E$7+IF(E$2=$AA303,$AC303,IF(E$2=$AF303,$AG303,0))))</f>
        <v/>
      </c>
      <c r="R303">
        <f>IF(F302&lt;=0,0,MIN(AK303,F$7+IF(F$2=$AA303,$AC303,IF(F$2=$AF303,$AG303,0))))</f>
        <v/>
      </c>
      <c r="S303">
        <f>IF(G302&lt;=0,0,MIN(AL303,G$7+IF(G$2=$AA303,$AC303,IF(G$2=$AF303,$AG303,0))))</f>
        <v/>
      </c>
      <c r="T303">
        <f>IF(H302&lt;=0,0,MIN(AM303,H$7+IF(H$2=$AA303,$AC303,IF(H$2=$AF303,$AG303,0))))</f>
        <v/>
      </c>
      <c r="U303">
        <f>IF(I302&lt;=0,0,MIN(AN303,I$7+IF(I$2=$AA303,$AC303,IF(I$2=$AF303,$AG303,0))))</f>
        <v/>
      </c>
      <c r="V303">
        <f>IF(J302&lt;=0,0,MIN(AO303,J$7+IF(J$2=$AA303,$AC303,IF(J$2=$AF303,$AG303,0))))</f>
        <v/>
      </c>
      <c r="W303">
        <f>IF(K302&lt;=0,0,MIN(AP303,K$7+IF(K$2=$AA303,$AC303,IF(K$2=$AF303,$AG303,0))))</f>
        <v/>
      </c>
      <c r="X303">
        <f>IF(L302&lt;=0,0,MIN(AQ303,L$7+IF(L$2=$AA303,$AC303,IF(L$2=$AF303,$AG303,0))))</f>
        <v/>
      </c>
      <c r="Y303">
        <f>IF(M302&lt;=0,0,MIN(AR303,M$7+IF(M$2=$AA303,$AC303,IF(M$2=$AF303,$AG303,0))))</f>
        <v/>
      </c>
      <c r="Z303">
        <f>IF(N302&lt;=0,0,MIN(AS303,N$7+IF(N$2=$AA303,$AC303,IF(N$2=$AF303,$AG303,0))))</f>
        <v/>
      </c>
      <c r="AA303">
        <f>IFERROR(ROUND(1/SUMPRODUCT(MAX((C302:N302&gt;0)*($C$3:$N$3&lt;=B303)/$C$2:$N$2)),0),0)</f>
        <v/>
      </c>
      <c r="AB303">
        <f>SUMPRODUCT((C302:N302&gt;0)*$C$7:$N$7)</f>
        <v/>
      </c>
      <c r="AC303">
        <f>MAX(0,Plan!$C$5-AB303)+IF(A303=Plan!$C$8,N(Plan!$C$7),0)</f>
        <v/>
      </c>
      <c r="AD303">
        <f>SUM(C303:N303)</f>
        <v/>
      </c>
      <c r="AE303">
        <f>SUM(O303:Z303)</f>
        <v/>
      </c>
      <c r="AF303">
        <f>IFERROR(ROUND(1/SUMPRODUCT(MAX((C302:N302&gt;0)*($C$3:$N$3&lt;=B303)*($C$2:$N$2&gt;AA303)/$C$2:$N$2)),0),0)</f>
        <v/>
      </c>
      <c r="AG303">
        <f>MAX(0,AC303-MAX(0,SUMPRODUCT(($C$2:$N$2=AA303)*(AH303:AS303-$C$7:$N$7))))</f>
        <v/>
      </c>
      <c r="AH303">
        <f>IF(C302&lt;=0,0,ROUND(C302*(1+IF(AND(C$6&gt;0,$B303&lt;C$6),C$4,C$5)/12),2))</f>
        <v/>
      </c>
      <c r="AI303">
        <f>IF(D302&lt;=0,0,ROUND(D302*(1+IF(AND(D$6&gt;0,$B303&lt;D$6),D$4,D$5)/12),2))</f>
        <v/>
      </c>
      <c r="AJ303">
        <f>IF(E302&lt;=0,0,ROUND(E302*(1+IF(AND(E$6&gt;0,$B303&lt;E$6),E$4,E$5)/12),2))</f>
        <v/>
      </c>
      <c r="AK303">
        <f>IF(F302&lt;=0,0,ROUND(F302*(1+IF(AND(F$6&gt;0,$B303&lt;F$6),F$4,F$5)/12),2))</f>
        <v/>
      </c>
      <c r="AL303">
        <f>IF(G302&lt;=0,0,ROUND(G302*(1+IF(AND(G$6&gt;0,$B303&lt;G$6),G$4,G$5)/12),2))</f>
        <v/>
      </c>
      <c r="AM303">
        <f>IF(H302&lt;=0,0,ROUND(H302*(1+IF(AND(H$6&gt;0,$B303&lt;H$6),H$4,H$5)/12),2))</f>
        <v/>
      </c>
      <c r="AN303">
        <f>IF(I302&lt;=0,0,ROUND(I302*(1+IF(AND(I$6&gt;0,$B303&lt;I$6),I$4,I$5)/12),2))</f>
        <v/>
      </c>
      <c r="AO303">
        <f>IF(J302&lt;=0,0,ROUND(J302*(1+IF(AND(J$6&gt;0,$B303&lt;J$6),J$4,J$5)/12),2))</f>
        <v/>
      </c>
      <c r="AP303">
        <f>IF(K302&lt;=0,0,ROUND(K302*(1+IF(AND(K$6&gt;0,$B303&lt;K$6),K$4,K$5)/12),2))</f>
        <v/>
      </c>
      <c r="AQ303">
        <f>IF(L302&lt;=0,0,ROUND(L302*(1+IF(AND(L$6&gt;0,$B303&lt;L$6),L$4,L$5)/12),2))</f>
        <v/>
      </c>
      <c r="AR303">
        <f>IF(M302&lt;=0,0,ROUND(M302*(1+IF(AND(M$6&gt;0,$B303&lt;M$6),M$4,M$5)/12),2))</f>
        <v/>
      </c>
      <c r="AS303">
        <f>IF(N302&lt;=0,0,ROUND(N302*(1+IF(AND(N$6&gt;0,$B303&lt;N$6),N$4,N$5)/12),2))</f>
        <v/>
      </c>
    </row>
    <row r="304">
      <c r="A304" t="n">
        <v>293</v>
      </c>
      <c r="B304">
        <f>EDATE(Plan!$C$6,292)</f>
        <v/>
      </c>
      <c r="C304">
        <f>IF(C303&lt;=0,0,MAX(0,AH304-O304))</f>
        <v/>
      </c>
      <c r="D304">
        <f>IF(D303&lt;=0,0,MAX(0,AI304-P304))</f>
        <v/>
      </c>
      <c r="E304">
        <f>IF(E303&lt;=0,0,MAX(0,AJ304-Q304))</f>
        <v/>
      </c>
      <c r="F304">
        <f>IF(F303&lt;=0,0,MAX(0,AK304-R304))</f>
        <v/>
      </c>
      <c r="G304">
        <f>IF(G303&lt;=0,0,MAX(0,AL304-S304))</f>
        <v/>
      </c>
      <c r="H304">
        <f>IF(H303&lt;=0,0,MAX(0,AM304-T304))</f>
        <v/>
      </c>
      <c r="I304">
        <f>IF(I303&lt;=0,0,MAX(0,AN304-U304))</f>
        <v/>
      </c>
      <c r="J304">
        <f>IF(J303&lt;=0,0,MAX(0,AO304-V304))</f>
        <v/>
      </c>
      <c r="K304">
        <f>IF(K303&lt;=0,0,MAX(0,AP304-W304))</f>
        <v/>
      </c>
      <c r="L304">
        <f>IF(L303&lt;=0,0,MAX(0,AQ304-X304))</f>
        <v/>
      </c>
      <c r="M304">
        <f>IF(M303&lt;=0,0,MAX(0,AR304-Y304))</f>
        <v/>
      </c>
      <c r="N304">
        <f>IF(N303&lt;=0,0,MAX(0,AS304-Z304))</f>
        <v/>
      </c>
      <c r="O304">
        <f>IF(C303&lt;=0,0,MIN(AH304,C$7+IF(C$2=$AA304,$AC304,IF(C$2=$AF304,$AG304,0))))</f>
        <v/>
      </c>
      <c r="P304">
        <f>IF(D303&lt;=0,0,MIN(AI304,D$7+IF(D$2=$AA304,$AC304,IF(D$2=$AF304,$AG304,0))))</f>
        <v/>
      </c>
      <c r="Q304">
        <f>IF(E303&lt;=0,0,MIN(AJ304,E$7+IF(E$2=$AA304,$AC304,IF(E$2=$AF304,$AG304,0))))</f>
        <v/>
      </c>
      <c r="R304">
        <f>IF(F303&lt;=0,0,MIN(AK304,F$7+IF(F$2=$AA304,$AC304,IF(F$2=$AF304,$AG304,0))))</f>
        <v/>
      </c>
      <c r="S304">
        <f>IF(G303&lt;=0,0,MIN(AL304,G$7+IF(G$2=$AA304,$AC304,IF(G$2=$AF304,$AG304,0))))</f>
        <v/>
      </c>
      <c r="T304">
        <f>IF(H303&lt;=0,0,MIN(AM304,H$7+IF(H$2=$AA304,$AC304,IF(H$2=$AF304,$AG304,0))))</f>
        <v/>
      </c>
      <c r="U304">
        <f>IF(I303&lt;=0,0,MIN(AN304,I$7+IF(I$2=$AA304,$AC304,IF(I$2=$AF304,$AG304,0))))</f>
        <v/>
      </c>
      <c r="V304">
        <f>IF(J303&lt;=0,0,MIN(AO304,J$7+IF(J$2=$AA304,$AC304,IF(J$2=$AF304,$AG304,0))))</f>
        <v/>
      </c>
      <c r="W304">
        <f>IF(K303&lt;=0,0,MIN(AP304,K$7+IF(K$2=$AA304,$AC304,IF(K$2=$AF304,$AG304,0))))</f>
        <v/>
      </c>
      <c r="X304">
        <f>IF(L303&lt;=0,0,MIN(AQ304,L$7+IF(L$2=$AA304,$AC304,IF(L$2=$AF304,$AG304,0))))</f>
        <v/>
      </c>
      <c r="Y304">
        <f>IF(M303&lt;=0,0,MIN(AR304,M$7+IF(M$2=$AA304,$AC304,IF(M$2=$AF304,$AG304,0))))</f>
        <v/>
      </c>
      <c r="Z304">
        <f>IF(N303&lt;=0,0,MIN(AS304,N$7+IF(N$2=$AA304,$AC304,IF(N$2=$AF304,$AG304,0))))</f>
        <v/>
      </c>
      <c r="AA304">
        <f>IFERROR(ROUND(1/SUMPRODUCT(MAX((C303:N303&gt;0)*($C$3:$N$3&lt;=B304)/$C$2:$N$2)),0),0)</f>
        <v/>
      </c>
      <c r="AB304">
        <f>SUMPRODUCT((C303:N303&gt;0)*$C$7:$N$7)</f>
        <v/>
      </c>
      <c r="AC304">
        <f>MAX(0,Plan!$C$5-AB304)+IF(A304=Plan!$C$8,N(Plan!$C$7),0)</f>
        <v/>
      </c>
      <c r="AD304">
        <f>SUM(C304:N304)</f>
        <v/>
      </c>
      <c r="AE304">
        <f>SUM(O304:Z304)</f>
        <v/>
      </c>
      <c r="AF304">
        <f>IFERROR(ROUND(1/SUMPRODUCT(MAX((C303:N303&gt;0)*($C$3:$N$3&lt;=B304)*($C$2:$N$2&gt;AA304)/$C$2:$N$2)),0),0)</f>
        <v/>
      </c>
      <c r="AG304">
        <f>MAX(0,AC304-MAX(0,SUMPRODUCT(($C$2:$N$2=AA304)*(AH304:AS304-$C$7:$N$7))))</f>
        <v/>
      </c>
      <c r="AH304">
        <f>IF(C303&lt;=0,0,ROUND(C303*(1+IF(AND(C$6&gt;0,$B304&lt;C$6),C$4,C$5)/12),2))</f>
        <v/>
      </c>
      <c r="AI304">
        <f>IF(D303&lt;=0,0,ROUND(D303*(1+IF(AND(D$6&gt;0,$B304&lt;D$6),D$4,D$5)/12),2))</f>
        <v/>
      </c>
      <c r="AJ304">
        <f>IF(E303&lt;=0,0,ROUND(E303*(1+IF(AND(E$6&gt;0,$B304&lt;E$6),E$4,E$5)/12),2))</f>
        <v/>
      </c>
      <c r="AK304">
        <f>IF(F303&lt;=0,0,ROUND(F303*(1+IF(AND(F$6&gt;0,$B304&lt;F$6),F$4,F$5)/12),2))</f>
        <v/>
      </c>
      <c r="AL304">
        <f>IF(G303&lt;=0,0,ROUND(G303*(1+IF(AND(G$6&gt;0,$B304&lt;G$6),G$4,G$5)/12),2))</f>
        <v/>
      </c>
      <c r="AM304">
        <f>IF(H303&lt;=0,0,ROUND(H303*(1+IF(AND(H$6&gt;0,$B304&lt;H$6),H$4,H$5)/12),2))</f>
        <v/>
      </c>
      <c r="AN304">
        <f>IF(I303&lt;=0,0,ROUND(I303*(1+IF(AND(I$6&gt;0,$B304&lt;I$6),I$4,I$5)/12),2))</f>
        <v/>
      </c>
      <c r="AO304">
        <f>IF(J303&lt;=0,0,ROUND(J303*(1+IF(AND(J$6&gt;0,$B304&lt;J$6),J$4,J$5)/12),2))</f>
        <v/>
      </c>
      <c r="AP304">
        <f>IF(K303&lt;=0,0,ROUND(K303*(1+IF(AND(K$6&gt;0,$B304&lt;K$6),K$4,K$5)/12),2))</f>
        <v/>
      </c>
      <c r="AQ304">
        <f>IF(L303&lt;=0,0,ROUND(L303*(1+IF(AND(L$6&gt;0,$B304&lt;L$6),L$4,L$5)/12),2))</f>
        <v/>
      </c>
      <c r="AR304">
        <f>IF(M303&lt;=0,0,ROUND(M303*(1+IF(AND(M$6&gt;0,$B304&lt;M$6),M$4,M$5)/12),2))</f>
        <v/>
      </c>
      <c r="AS304">
        <f>IF(N303&lt;=0,0,ROUND(N303*(1+IF(AND(N$6&gt;0,$B304&lt;N$6),N$4,N$5)/12),2))</f>
        <v/>
      </c>
    </row>
    <row r="305">
      <c r="A305" t="n">
        <v>294</v>
      </c>
      <c r="B305">
        <f>EDATE(Plan!$C$6,293)</f>
        <v/>
      </c>
      <c r="C305">
        <f>IF(C304&lt;=0,0,MAX(0,AH305-O305))</f>
        <v/>
      </c>
      <c r="D305">
        <f>IF(D304&lt;=0,0,MAX(0,AI305-P305))</f>
        <v/>
      </c>
      <c r="E305">
        <f>IF(E304&lt;=0,0,MAX(0,AJ305-Q305))</f>
        <v/>
      </c>
      <c r="F305">
        <f>IF(F304&lt;=0,0,MAX(0,AK305-R305))</f>
        <v/>
      </c>
      <c r="G305">
        <f>IF(G304&lt;=0,0,MAX(0,AL305-S305))</f>
        <v/>
      </c>
      <c r="H305">
        <f>IF(H304&lt;=0,0,MAX(0,AM305-T305))</f>
        <v/>
      </c>
      <c r="I305">
        <f>IF(I304&lt;=0,0,MAX(0,AN305-U305))</f>
        <v/>
      </c>
      <c r="J305">
        <f>IF(J304&lt;=0,0,MAX(0,AO305-V305))</f>
        <v/>
      </c>
      <c r="K305">
        <f>IF(K304&lt;=0,0,MAX(0,AP305-W305))</f>
        <v/>
      </c>
      <c r="L305">
        <f>IF(L304&lt;=0,0,MAX(0,AQ305-X305))</f>
        <v/>
      </c>
      <c r="M305">
        <f>IF(M304&lt;=0,0,MAX(0,AR305-Y305))</f>
        <v/>
      </c>
      <c r="N305">
        <f>IF(N304&lt;=0,0,MAX(0,AS305-Z305))</f>
        <v/>
      </c>
      <c r="O305">
        <f>IF(C304&lt;=0,0,MIN(AH305,C$7+IF(C$2=$AA305,$AC305,IF(C$2=$AF305,$AG305,0))))</f>
        <v/>
      </c>
      <c r="P305">
        <f>IF(D304&lt;=0,0,MIN(AI305,D$7+IF(D$2=$AA305,$AC305,IF(D$2=$AF305,$AG305,0))))</f>
        <v/>
      </c>
      <c r="Q305">
        <f>IF(E304&lt;=0,0,MIN(AJ305,E$7+IF(E$2=$AA305,$AC305,IF(E$2=$AF305,$AG305,0))))</f>
        <v/>
      </c>
      <c r="R305">
        <f>IF(F304&lt;=0,0,MIN(AK305,F$7+IF(F$2=$AA305,$AC305,IF(F$2=$AF305,$AG305,0))))</f>
        <v/>
      </c>
      <c r="S305">
        <f>IF(G304&lt;=0,0,MIN(AL305,G$7+IF(G$2=$AA305,$AC305,IF(G$2=$AF305,$AG305,0))))</f>
        <v/>
      </c>
      <c r="T305">
        <f>IF(H304&lt;=0,0,MIN(AM305,H$7+IF(H$2=$AA305,$AC305,IF(H$2=$AF305,$AG305,0))))</f>
        <v/>
      </c>
      <c r="U305">
        <f>IF(I304&lt;=0,0,MIN(AN305,I$7+IF(I$2=$AA305,$AC305,IF(I$2=$AF305,$AG305,0))))</f>
        <v/>
      </c>
      <c r="V305">
        <f>IF(J304&lt;=0,0,MIN(AO305,J$7+IF(J$2=$AA305,$AC305,IF(J$2=$AF305,$AG305,0))))</f>
        <v/>
      </c>
      <c r="W305">
        <f>IF(K304&lt;=0,0,MIN(AP305,K$7+IF(K$2=$AA305,$AC305,IF(K$2=$AF305,$AG305,0))))</f>
        <v/>
      </c>
      <c r="X305">
        <f>IF(L304&lt;=0,0,MIN(AQ305,L$7+IF(L$2=$AA305,$AC305,IF(L$2=$AF305,$AG305,0))))</f>
        <v/>
      </c>
      <c r="Y305">
        <f>IF(M304&lt;=0,0,MIN(AR305,M$7+IF(M$2=$AA305,$AC305,IF(M$2=$AF305,$AG305,0))))</f>
        <v/>
      </c>
      <c r="Z305">
        <f>IF(N304&lt;=0,0,MIN(AS305,N$7+IF(N$2=$AA305,$AC305,IF(N$2=$AF305,$AG305,0))))</f>
        <v/>
      </c>
      <c r="AA305">
        <f>IFERROR(ROUND(1/SUMPRODUCT(MAX((C304:N304&gt;0)*($C$3:$N$3&lt;=B305)/$C$2:$N$2)),0),0)</f>
        <v/>
      </c>
      <c r="AB305">
        <f>SUMPRODUCT((C304:N304&gt;0)*$C$7:$N$7)</f>
        <v/>
      </c>
      <c r="AC305">
        <f>MAX(0,Plan!$C$5-AB305)+IF(A305=Plan!$C$8,N(Plan!$C$7),0)</f>
        <v/>
      </c>
      <c r="AD305">
        <f>SUM(C305:N305)</f>
        <v/>
      </c>
      <c r="AE305">
        <f>SUM(O305:Z305)</f>
        <v/>
      </c>
      <c r="AF305">
        <f>IFERROR(ROUND(1/SUMPRODUCT(MAX((C304:N304&gt;0)*($C$3:$N$3&lt;=B305)*($C$2:$N$2&gt;AA305)/$C$2:$N$2)),0),0)</f>
        <v/>
      </c>
      <c r="AG305">
        <f>MAX(0,AC305-MAX(0,SUMPRODUCT(($C$2:$N$2=AA305)*(AH305:AS305-$C$7:$N$7))))</f>
        <v/>
      </c>
      <c r="AH305">
        <f>IF(C304&lt;=0,0,ROUND(C304*(1+IF(AND(C$6&gt;0,$B305&lt;C$6),C$4,C$5)/12),2))</f>
        <v/>
      </c>
      <c r="AI305">
        <f>IF(D304&lt;=0,0,ROUND(D304*(1+IF(AND(D$6&gt;0,$B305&lt;D$6),D$4,D$5)/12),2))</f>
        <v/>
      </c>
      <c r="AJ305">
        <f>IF(E304&lt;=0,0,ROUND(E304*(1+IF(AND(E$6&gt;0,$B305&lt;E$6),E$4,E$5)/12),2))</f>
        <v/>
      </c>
      <c r="AK305">
        <f>IF(F304&lt;=0,0,ROUND(F304*(1+IF(AND(F$6&gt;0,$B305&lt;F$6),F$4,F$5)/12),2))</f>
        <v/>
      </c>
      <c r="AL305">
        <f>IF(G304&lt;=0,0,ROUND(G304*(1+IF(AND(G$6&gt;0,$B305&lt;G$6),G$4,G$5)/12),2))</f>
        <v/>
      </c>
      <c r="AM305">
        <f>IF(H304&lt;=0,0,ROUND(H304*(1+IF(AND(H$6&gt;0,$B305&lt;H$6),H$4,H$5)/12),2))</f>
        <v/>
      </c>
      <c r="AN305">
        <f>IF(I304&lt;=0,0,ROUND(I304*(1+IF(AND(I$6&gt;0,$B305&lt;I$6),I$4,I$5)/12),2))</f>
        <v/>
      </c>
      <c r="AO305">
        <f>IF(J304&lt;=0,0,ROUND(J304*(1+IF(AND(J$6&gt;0,$B305&lt;J$6),J$4,J$5)/12),2))</f>
        <v/>
      </c>
      <c r="AP305">
        <f>IF(K304&lt;=0,0,ROUND(K304*(1+IF(AND(K$6&gt;0,$B305&lt;K$6),K$4,K$5)/12),2))</f>
        <v/>
      </c>
      <c r="AQ305">
        <f>IF(L304&lt;=0,0,ROUND(L304*(1+IF(AND(L$6&gt;0,$B305&lt;L$6),L$4,L$5)/12),2))</f>
        <v/>
      </c>
      <c r="AR305">
        <f>IF(M304&lt;=0,0,ROUND(M304*(1+IF(AND(M$6&gt;0,$B305&lt;M$6),M$4,M$5)/12),2))</f>
        <v/>
      </c>
      <c r="AS305">
        <f>IF(N304&lt;=0,0,ROUND(N304*(1+IF(AND(N$6&gt;0,$B305&lt;N$6),N$4,N$5)/12),2))</f>
        <v/>
      </c>
    </row>
    <row r="306">
      <c r="A306" t="n">
        <v>295</v>
      </c>
      <c r="B306">
        <f>EDATE(Plan!$C$6,294)</f>
        <v/>
      </c>
      <c r="C306">
        <f>IF(C305&lt;=0,0,MAX(0,AH306-O306))</f>
        <v/>
      </c>
      <c r="D306">
        <f>IF(D305&lt;=0,0,MAX(0,AI306-P306))</f>
        <v/>
      </c>
      <c r="E306">
        <f>IF(E305&lt;=0,0,MAX(0,AJ306-Q306))</f>
        <v/>
      </c>
      <c r="F306">
        <f>IF(F305&lt;=0,0,MAX(0,AK306-R306))</f>
        <v/>
      </c>
      <c r="G306">
        <f>IF(G305&lt;=0,0,MAX(0,AL306-S306))</f>
        <v/>
      </c>
      <c r="H306">
        <f>IF(H305&lt;=0,0,MAX(0,AM306-T306))</f>
        <v/>
      </c>
      <c r="I306">
        <f>IF(I305&lt;=0,0,MAX(0,AN306-U306))</f>
        <v/>
      </c>
      <c r="J306">
        <f>IF(J305&lt;=0,0,MAX(0,AO306-V306))</f>
        <v/>
      </c>
      <c r="K306">
        <f>IF(K305&lt;=0,0,MAX(0,AP306-W306))</f>
        <v/>
      </c>
      <c r="L306">
        <f>IF(L305&lt;=0,0,MAX(0,AQ306-X306))</f>
        <v/>
      </c>
      <c r="M306">
        <f>IF(M305&lt;=0,0,MAX(0,AR306-Y306))</f>
        <v/>
      </c>
      <c r="N306">
        <f>IF(N305&lt;=0,0,MAX(0,AS306-Z306))</f>
        <v/>
      </c>
      <c r="O306">
        <f>IF(C305&lt;=0,0,MIN(AH306,C$7+IF(C$2=$AA306,$AC306,IF(C$2=$AF306,$AG306,0))))</f>
        <v/>
      </c>
      <c r="P306">
        <f>IF(D305&lt;=0,0,MIN(AI306,D$7+IF(D$2=$AA306,$AC306,IF(D$2=$AF306,$AG306,0))))</f>
        <v/>
      </c>
      <c r="Q306">
        <f>IF(E305&lt;=0,0,MIN(AJ306,E$7+IF(E$2=$AA306,$AC306,IF(E$2=$AF306,$AG306,0))))</f>
        <v/>
      </c>
      <c r="R306">
        <f>IF(F305&lt;=0,0,MIN(AK306,F$7+IF(F$2=$AA306,$AC306,IF(F$2=$AF306,$AG306,0))))</f>
        <v/>
      </c>
      <c r="S306">
        <f>IF(G305&lt;=0,0,MIN(AL306,G$7+IF(G$2=$AA306,$AC306,IF(G$2=$AF306,$AG306,0))))</f>
        <v/>
      </c>
      <c r="T306">
        <f>IF(H305&lt;=0,0,MIN(AM306,H$7+IF(H$2=$AA306,$AC306,IF(H$2=$AF306,$AG306,0))))</f>
        <v/>
      </c>
      <c r="U306">
        <f>IF(I305&lt;=0,0,MIN(AN306,I$7+IF(I$2=$AA306,$AC306,IF(I$2=$AF306,$AG306,0))))</f>
        <v/>
      </c>
      <c r="V306">
        <f>IF(J305&lt;=0,0,MIN(AO306,J$7+IF(J$2=$AA306,$AC306,IF(J$2=$AF306,$AG306,0))))</f>
        <v/>
      </c>
      <c r="W306">
        <f>IF(K305&lt;=0,0,MIN(AP306,K$7+IF(K$2=$AA306,$AC306,IF(K$2=$AF306,$AG306,0))))</f>
        <v/>
      </c>
      <c r="X306">
        <f>IF(L305&lt;=0,0,MIN(AQ306,L$7+IF(L$2=$AA306,$AC306,IF(L$2=$AF306,$AG306,0))))</f>
        <v/>
      </c>
      <c r="Y306">
        <f>IF(M305&lt;=0,0,MIN(AR306,M$7+IF(M$2=$AA306,$AC306,IF(M$2=$AF306,$AG306,0))))</f>
        <v/>
      </c>
      <c r="Z306">
        <f>IF(N305&lt;=0,0,MIN(AS306,N$7+IF(N$2=$AA306,$AC306,IF(N$2=$AF306,$AG306,0))))</f>
        <v/>
      </c>
      <c r="AA306">
        <f>IFERROR(ROUND(1/SUMPRODUCT(MAX((C305:N305&gt;0)*($C$3:$N$3&lt;=B306)/$C$2:$N$2)),0),0)</f>
        <v/>
      </c>
      <c r="AB306">
        <f>SUMPRODUCT((C305:N305&gt;0)*$C$7:$N$7)</f>
        <v/>
      </c>
      <c r="AC306">
        <f>MAX(0,Plan!$C$5-AB306)+IF(A306=Plan!$C$8,N(Plan!$C$7),0)</f>
        <v/>
      </c>
      <c r="AD306">
        <f>SUM(C306:N306)</f>
        <v/>
      </c>
      <c r="AE306">
        <f>SUM(O306:Z306)</f>
        <v/>
      </c>
      <c r="AF306">
        <f>IFERROR(ROUND(1/SUMPRODUCT(MAX((C305:N305&gt;0)*($C$3:$N$3&lt;=B306)*($C$2:$N$2&gt;AA306)/$C$2:$N$2)),0),0)</f>
        <v/>
      </c>
      <c r="AG306">
        <f>MAX(0,AC306-MAX(0,SUMPRODUCT(($C$2:$N$2=AA306)*(AH306:AS306-$C$7:$N$7))))</f>
        <v/>
      </c>
      <c r="AH306">
        <f>IF(C305&lt;=0,0,ROUND(C305*(1+IF(AND(C$6&gt;0,$B306&lt;C$6),C$4,C$5)/12),2))</f>
        <v/>
      </c>
      <c r="AI306">
        <f>IF(D305&lt;=0,0,ROUND(D305*(1+IF(AND(D$6&gt;0,$B306&lt;D$6),D$4,D$5)/12),2))</f>
        <v/>
      </c>
      <c r="AJ306">
        <f>IF(E305&lt;=0,0,ROUND(E305*(1+IF(AND(E$6&gt;0,$B306&lt;E$6),E$4,E$5)/12),2))</f>
        <v/>
      </c>
      <c r="AK306">
        <f>IF(F305&lt;=0,0,ROUND(F305*(1+IF(AND(F$6&gt;0,$B306&lt;F$6),F$4,F$5)/12),2))</f>
        <v/>
      </c>
      <c r="AL306">
        <f>IF(G305&lt;=0,0,ROUND(G305*(1+IF(AND(G$6&gt;0,$B306&lt;G$6),G$4,G$5)/12),2))</f>
        <v/>
      </c>
      <c r="AM306">
        <f>IF(H305&lt;=0,0,ROUND(H305*(1+IF(AND(H$6&gt;0,$B306&lt;H$6),H$4,H$5)/12),2))</f>
        <v/>
      </c>
      <c r="AN306">
        <f>IF(I305&lt;=0,0,ROUND(I305*(1+IF(AND(I$6&gt;0,$B306&lt;I$6),I$4,I$5)/12),2))</f>
        <v/>
      </c>
      <c r="AO306">
        <f>IF(J305&lt;=0,0,ROUND(J305*(1+IF(AND(J$6&gt;0,$B306&lt;J$6),J$4,J$5)/12),2))</f>
        <v/>
      </c>
      <c r="AP306">
        <f>IF(K305&lt;=0,0,ROUND(K305*(1+IF(AND(K$6&gt;0,$B306&lt;K$6),K$4,K$5)/12),2))</f>
        <v/>
      </c>
      <c r="AQ306">
        <f>IF(L305&lt;=0,0,ROUND(L305*(1+IF(AND(L$6&gt;0,$B306&lt;L$6),L$4,L$5)/12),2))</f>
        <v/>
      </c>
      <c r="AR306">
        <f>IF(M305&lt;=0,0,ROUND(M305*(1+IF(AND(M$6&gt;0,$B306&lt;M$6),M$4,M$5)/12),2))</f>
        <v/>
      </c>
      <c r="AS306">
        <f>IF(N305&lt;=0,0,ROUND(N305*(1+IF(AND(N$6&gt;0,$B306&lt;N$6),N$4,N$5)/12),2))</f>
        <v/>
      </c>
    </row>
    <row r="307">
      <c r="A307" t="n">
        <v>296</v>
      </c>
      <c r="B307">
        <f>EDATE(Plan!$C$6,295)</f>
        <v/>
      </c>
      <c r="C307">
        <f>IF(C306&lt;=0,0,MAX(0,AH307-O307))</f>
        <v/>
      </c>
      <c r="D307">
        <f>IF(D306&lt;=0,0,MAX(0,AI307-P307))</f>
        <v/>
      </c>
      <c r="E307">
        <f>IF(E306&lt;=0,0,MAX(0,AJ307-Q307))</f>
        <v/>
      </c>
      <c r="F307">
        <f>IF(F306&lt;=0,0,MAX(0,AK307-R307))</f>
        <v/>
      </c>
      <c r="G307">
        <f>IF(G306&lt;=0,0,MAX(0,AL307-S307))</f>
        <v/>
      </c>
      <c r="H307">
        <f>IF(H306&lt;=0,0,MAX(0,AM307-T307))</f>
        <v/>
      </c>
      <c r="I307">
        <f>IF(I306&lt;=0,0,MAX(0,AN307-U307))</f>
        <v/>
      </c>
      <c r="J307">
        <f>IF(J306&lt;=0,0,MAX(0,AO307-V307))</f>
        <v/>
      </c>
      <c r="K307">
        <f>IF(K306&lt;=0,0,MAX(0,AP307-W307))</f>
        <v/>
      </c>
      <c r="L307">
        <f>IF(L306&lt;=0,0,MAX(0,AQ307-X307))</f>
        <v/>
      </c>
      <c r="M307">
        <f>IF(M306&lt;=0,0,MAX(0,AR307-Y307))</f>
        <v/>
      </c>
      <c r="N307">
        <f>IF(N306&lt;=0,0,MAX(0,AS307-Z307))</f>
        <v/>
      </c>
      <c r="O307">
        <f>IF(C306&lt;=0,0,MIN(AH307,C$7+IF(C$2=$AA307,$AC307,IF(C$2=$AF307,$AG307,0))))</f>
        <v/>
      </c>
      <c r="P307">
        <f>IF(D306&lt;=0,0,MIN(AI307,D$7+IF(D$2=$AA307,$AC307,IF(D$2=$AF307,$AG307,0))))</f>
        <v/>
      </c>
      <c r="Q307">
        <f>IF(E306&lt;=0,0,MIN(AJ307,E$7+IF(E$2=$AA307,$AC307,IF(E$2=$AF307,$AG307,0))))</f>
        <v/>
      </c>
      <c r="R307">
        <f>IF(F306&lt;=0,0,MIN(AK307,F$7+IF(F$2=$AA307,$AC307,IF(F$2=$AF307,$AG307,0))))</f>
        <v/>
      </c>
      <c r="S307">
        <f>IF(G306&lt;=0,0,MIN(AL307,G$7+IF(G$2=$AA307,$AC307,IF(G$2=$AF307,$AG307,0))))</f>
        <v/>
      </c>
      <c r="T307">
        <f>IF(H306&lt;=0,0,MIN(AM307,H$7+IF(H$2=$AA307,$AC307,IF(H$2=$AF307,$AG307,0))))</f>
        <v/>
      </c>
      <c r="U307">
        <f>IF(I306&lt;=0,0,MIN(AN307,I$7+IF(I$2=$AA307,$AC307,IF(I$2=$AF307,$AG307,0))))</f>
        <v/>
      </c>
      <c r="V307">
        <f>IF(J306&lt;=0,0,MIN(AO307,J$7+IF(J$2=$AA307,$AC307,IF(J$2=$AF307,$AG307,0))))</f>
        <v/>
      </c>
      <c r="W307">
        <f>IF(K306&lt;=0,0,MIN(AP307,K$7+IF(K$2=$AA307,$AC307,IF(K$2=$AF307,$AG307,0))))</f>
        <v/>
      </c>
      <c r="X307">
        <f>IF(L306&lt;=0,0,MIN(AQ307,L$7+IF(L$2=$AA307,$AC307,IF(L$2=$AF307,$AG307,0))))</f>
        <v/>
      </c>
      <c r="Y307">
        <f>IF(M306&lt;=0,0,MIN(AR307,M$7+IF(M$2=$AA307,$AC307,IF(M$2=$AF307,$AG307,0))))</f>
        <v/>
      </c>
      <c r="Z307">
        <f>IF(N306&lt;=0,0,MIN(AS307,N$7+IF(N$2=$AA307,$AC307,IF(N$2=$AF307,$AG307,0))))</f>
        <v/>
      </c>
      <c r="AA307">
        <f>IFERROR(ROUND(1/SUMPRODUCT(MAX((C306:N306&gt;0)*($C$3:$N$3&lt;=B307)/$C$2:$N$2)),0),0)</f>
        <v/>
      </c>
      <c r="AB307">
        <f>SUMPRODUCT((C306:N306&gt;0)*$C$7:$N$7)</f>
        <v/>
      </c>
      <c r="AC307">
        <f>MAX(0,Plan!$C$5-AB307)+IF(A307=Plan!$C$8,N(Plan!$C$7),0)</f>
        <v/>
      </c>
      <c r="AD307">
        <f>SUM(C307:N307)</f>
        <v/>
      </c>
      <c r="AE307">
        <f>SUM(O307:Z307)</f>
        <v/>
      </c>
      <c r="AF307">
        <f>IFERROR(ROUND(1/SUMPRODUCT(MAX((C306:N306&gt;0)*($C$3:$N$3&lt;=B307)*($C$2:$N$2&gt;AA307)/$C$2:$N$2)),0),0)</f>
        <v/>
      </c>
      <c r="AG307">
        <f>MAX(0,AC307-MAX(0,SUMPRODUCT(($C$2:$N$2=AA307)*(AH307:AS307-$C$7:$N$7))))</f>
        <v/>
      </c>
      <c r="AH307">
        <f>IF(C306&lt;=0,0,ROUND(C306*(1+IF(AND(C$6&gt;0,$B307&lt;C$6),C$4,C$5)/12),2))</f>
        <v/>
      </c>
      <c r="AI307">
        <f>IF(D306&lt;=0,0,ROUND(D306*(1+IF(AND(D$6&gt;0,$B307&lt;D$6),D$4,D$5)/12),2))</f>
        <v/>
      </c>
      <c r="AJ307">
        <f>IF(E306&lt;=0,0,ROUND(E306*(1+IF(AND(E$6&gt;0,$B307&lt;E$6),E$4,E$5)/12),2))</f>
        <v/>
      </c>
      <c r="AK307">
        <f>IF(F306&lt;=0,0,ROUND(F306*(1+IF(AND(F$6&gt;0,$B307&lt;F$6),F$4,F$5)/12),2))</f>
        <v/>
      </c>
      <c r="AL307">
        <f>IF(G306&lt;=0,0,ROUND(G306*(1+IF(AND(G$6&gt;0,$B307&lt;G$6),G$4,G$5)/12),2))</f>
        <v/>
      </c>
      <c r="AM307">
        <f>IF(H306&lt;=0,0,ROUND(H306*(1+IF(AND(H$6&gt;0,$B307&lt;H$6),H$4,H$5)/12),2))</f>
        <v/>
      </c>
      <c r="AN307">
        <f>IF(I306&lt;=0,0,ROUND(I306*(1+IF(AND(I$6&gt;0,$B307&lt;I$6),I$4,I$5)/12),2))</f>
        <v/>
      </c>
      <c r="AO307">
        <f>IF(J306&lt;=0,0,ROUND(J306*(1+IF(AND(J$6&gt;0,$B307&lt;J$6),J$4,J$5)/12),2))</f>
        <v/>
      </c>
      <c r="AP307">
        <f>IF(K306&lt;=0,0,ROUND(K306*(1+IF(AND(K$6&gt;0,$B307&lt;K$6),K$4,K$5)/12),2))</f>
        <v/>
      </c>
      <c r="AQ307">
        <f>IF(L306&lt;=0,0,ROUND(L306*(1+IF(AND(L$6&gt;0,$B307&lt;L$6),L$4,L$5)/12),2))</f>
        <v/>
      </c>
      <c r="AR307">
        <f>IF(M306&lt;=0,0,ROUND(M306*(1+IF(AND(M$6&gt;0,$B307&lt;M$6),M$4,M$5)/12),2))</f>
        <v/>
      </c>
      <c r="AS307">
        <f>IF(N306&lt;=0,0,ROUND(N306*(1+IF(AND(N$6&gt;0,$B307&lt;N$6),N$4,N$5)/12),2))</f>
        <v/>
      </c>
    </row>
    <row r="308">
      <c r="A308" t="n">
        <v>297</v>
      </c>
      <c r="B308">
        <f>EDATE(Plan!$C$6,296)</f>
        <v/>
      </c>
      <c r="C308">
        <f>IF(C307&lt;=0,0,MAX(0,AH308-O308))</f>
        <v/>
      </c>
      <c r="D308">
        <f>IF(D307&lt;=0,0,MAX(0,AI308-P308))</f>
        <v/>
      </c>
      <c r="E308">
        <f>IF(E307&lt;=0,0,MAX(0,AJ308-Q308))</f>
        <v/>
      </c>
      <c r="F308">
        <f>IF(F307&lt;=0,0,MAX(0,AK308-R308))</f>
        <v/>
      </c>
      <c r="G308">
        <f>IF(G307&lt;=0,0,MAX(0,AL308-S308))</f>
        <v/>
      </c>
      <c r="H308">
        <f>IF(H307&lt;=0,0,MAX(0,AM308-T308))</f>
        <v/>
      </c>
      <c r="I308">
        <f>IF(I307&lt;=0,0,MAX(0,AN308-U308))</f>
        <v/>
      </c>
      <c r="J308">
        <f>IF(J307&lt;=0,0,MAX(0,AO308-V308))</f>
        <v/>
      </c>
      <c r="K308">
        <f>IF(K307&lt;=0,0,MAX(0,AP308-W308))</f>
        <v/>
      </c>
      <c r="L308">
        <f>IF(L307&lt;=0,0,MAX(0,AQ308-X308))</f>
        <v/>
      </c>
      <c r="M308">
        <f>IF(M307&lt;=0,0,MAX(0,AR308-Y308))</f>
        <v/>
      </c>
      <c r="N308">
        <f>IF(N307&lt;=0,0,MAX(0,AS308-Z308))</f>
        <v/>
      </c>
      <c r="O308">
        <f>IF(C307&lt;=0,0,MIN(AH308,C$7+IF(C$2=$AA308,$AC308,IF(C$2=$AF308,$AG308,0))))</f>
        <v/>
      </c>
      <c r="P308">
        <f>IF(D307&lt;=0,0,MIN(AI308,D$7+IF(D$2=$AA308,$AC308,IF(D$2=$AF308,$AG308,0))))</f>
        <v/>
      </c>
      <c r="Q308">
        <f>IF(E307&lt;=0,0,MIN(AJ308,E$7+IF(E$2=$AA308,$AC308,IF(E$2=$AF308,$AG308,0))))</f>
        <v/>
      </c>
      <c r="R308">
        <f>IF(F307&lt;=0,0,MIN(AK308,F$7+IF(F$2=$AA308,$AC308,IF(F$2=$AF308,$AG308,0))))</f>
        <v/>
      </c>
      <c r="S308">
        <f>IF(G307&lt;=0,0,MIN(AL308,G$7+IF(G$2=$AA308,$AC308,IF(G$2=$AF308,$AG308,0))))</f>
        <v/>
      </c>
      <c r="T308">
        <f>IF(H307&lt;=0,0,MIN(AM308,H$7+IF(H$2=$AA308,$AC308,IF(H$2=$AF308,$AG308,0))))</f>
        <v/>
      </c>
      <c r="U308">
        <f>IF(I307&lt;=0,0,MIN(AN308,I$7+IF(I$2=$AA308,$AC308,IF(I$2=$AF308,$AG308,0))))</f>
        <v/>
      </c>
      <c r="V308">
        <f>IF(J307&lt;=0,0,MIN(AO308,J$7+IF(J$2=$AA308,$AC308,IF(J$2=$AF308,$AG308,0))))</f>
        <v/>
      </c>
      <c r="W308">
        <f>IF(K307&lt;=0,0,MIN(AP308,K$7+IF(K$2=$AA308,$AC308,IF(K$2=$AF308,$AG308,0))))</f>
        <v/>
      </c>
      <c r="X308">
        <f>IF(L307&lt;=0,0,MIN(AQ308,L$7+IF(L$2=$AA308,$AC308,IF(L$2=$AF308,$AG308,0))))</f>
        <v/>
      </c>
      <c r="Y308">
        <f>IF(M307&lt;=0,0,MIN(AR308,M$7+IF(M$2=$AA308,$AC308,IF(M$2=$AF308,$AG308,0))))</f>
        <v/>
      </c>
      <c r="Z308">
        <f>IF(N307&lt;=0,0,MIN(AS308,N$7+IF(N$2=$AA308,$AC308,IF(N$2=$AF308,$AG308,0))))</f>
        <v/>
      </c>
      <c r="AA308">
        <f>IFERROR(ROUND(1/SUMPRODUCT(MAX((C307:N307&gt;0)*($C$3:$N$3&lt;=B308)/$C$2:$N$2)),0),0)</f>
        <v/>
      </c>
      <c r="AB308">
        <f>SUMPRODUCT((C307:N307&gt;0)*$C$7:$N$7)</f>
        <v/>
      </c>
      <c r="AC308">
        <f>MAX(0,Plan!$C$5-AB308)+IF(A308=Plan!$C$8,N(Plan!$C$7),0)</f>
        <v/>
      </c>
      <c r="AD308">
        <f>SUM(C308:N308)</f>
        <v/>
      </c>
      <c r="AE308">
        <f>SUM(O308:Z308)</f>
        <v/>
      </c>
      <c r="AF308">
        <f>IFERROR(ROUND(1/SUMPRODUCT(MAX((C307:N307&gt;0)*($C$3:$N$3&lt;=B308)*($C$2:$N$2&gt;AA308)/$C$2:$N$2)),0),0)</f>
        <v/>
      </c>
      <c r="AG308">
        <f>MAX(0,AC308-MAX(0,SUMPRODUCT(($C$2:$N$2=AA308)*(AH308:AS308-$C$7:$N$7))))</f>
        <v/>
      </c>
      <c r="AH308">
        <f>IF(C307&lt;=0,0,ROUND(C307*(1+IF(AND(C$6&gt;0,$B308&lt;C$6),C$4,C$5)/12),2))</f>
        <v/>
      </c>
      <c r="AI308">
        <f>IF(D307&lt;=0,0,ROUND(D307*(1+IF(AND(D$6&gt;0,$B308&lt;D$6),D$4,D$5)/12),2))</f>
        <v/>
      </c>
      <c r="AJ308">
        <f>IF(E307&lt;=0,0,ROUND(E307*(1+IF(AND(E$6&gt;0,$B308&lt;E$6),E$4,E$5)/12),2))</f>
        <v/>
      </c>
      <c r="AK308">
        <f>IF(F307&lt;=0,0,ROUND(F307*(1+IF(AND(F$6&gt;0,$B308&lt;F$6),F$4,F$5)/12),2))</f>
        <v/>
      </c>
      <c r="AL308">
        <f>IF(G307&lt;=0,0,ROUND(G307*(1+IF(AND(G$6&gt;0,$B308&lt;G$6),G$4,G$5)/12),2))</f>
        <v/>
      </c>
      <c r="AM308">
        <f>IF(H307&lt;=0,0,ROUND(H307*(1+IF(AND(H$6&gt;0,$B308&lt;H$6),H$4,H$5)/12),2))</f>
        <v/>
      </c>
      <c r="AN308">
        <f>IF(I307&lt;=0,0,ROUND(I307*(1+IF(AND(I$6&gt;0,$B308&lt;I$6),I$4,I$5)/12),2))</f>
        <v/>
      </c>
      <c r="AO308">
        <f>IF(J307&lt;=0,0,ROUND(J307*(1+IF(AND(J$6&gt;0,$B308&lt;J$6),J$4,J$5)/12),2))</f>
        <v/>
      </c>
      <c r="AP308">
        <f>IF(K307&lt;=0,0,ROUND(K307*(1+IF(AND(K$6&gt;0,$B308&lt;K$6),K$4,K$5)/12),2))</f>
        <v/>
      </c>
      <c r="AQ308">
        <f>IF(L307&lt;=0,0,ROUND(L307*(1+IF(AND(L$6&gt;0,$B308&lt;L$6),L$4,L$5)/12),2))</f>
        <v/>
      </c>
      <c r="AR308">
        <f>IF(M307&lt;=0,0,ROUND(M307*(1+IF(AND(M$6&gt;0,$B308&lt;M$6),M$4,M$5)/12),2))</f>
        <v/>
      </c>
      <c r="AS308">
        <f>IF(N307&lt;=0,0,ROUND(N307*(1+IF(AND(N$6&gt;0,$B308&lt;N$6),N$4,N$5)/12),2))</f>
        <v/>
      </c>
    </row>
    <row r="309">
      <c r="A309" t="n">
        <v>298</v>
      </c>
      <c r="B309">
        <f>EDATE(Plan!$C$6,297)</f>
        <v/>
      </c>
      <c r="C309">
        <f>IF(C308&lt;=0,0,MAX(0,AH309-O309))</f>
        <v/>
      </c>
      <c r="D309">
        <f>IF(D308&lt;=0,0,MAX(0,AI309-P309))</f>
        <v/>
      </c>
      <c r="E309">
        <f>IF(E308&lt;=0,0,MAX(0,AJ309-Q309))</f>
        <v/>
      </c>
      <c r="F309">
        <f>IF(F308&lt;=0,0,MAX(0,AK309-R309))</f>
        <v/>
      </c>
      <c r="G309">
        <f>IF(G308&lt;=0,0,MAX(0,AL309-S309))</f>
        <v/>
      </c>
      <c r="H309">
        <f>IF(H308&lt;=0,0,MAX(0,AM309-T309))</f>
        <v/>
      </c>
      <c r="I309">
        <f>IF(I308&lt;=0,0,MAX(0,AN309-U309))</f>
        <v/>
      </c>
      <c r="J309">
        <f>IF(J308&lt;=0,0,MAX(0,AO309-V309))</f>
        <v/>
      </c>
      <c r="K309">
        <f>IF(K308&lt;=0,0,MAX(0,AP309-W309))</f>
        <v/>
      </c>
      <c r="L309">
        <f>IF(L308&lt;=0,0,MAX(0,AQ309-X309))</f>
        <v/>
      </c>
      <c r="M309">
        <f>IF(M308&lt;=0,0,MAX(0,AR309-Y309))</f>
        <v/>
      </c>
      <c r="N309">
        <f>IF(N308&lt;=0,0,MAX(0,AS309-Z309))</f>
        <v/>
      </c>
      <c r="O309">
        <f>IF(C308&lt;=0,0,MIN(AH309,C$7+IF(C$2=$AA309,$AC309,IF(C$2=$AF309,$AG309,0))))</f>
        <v/>
      </c>
      <c r="P309">
        <f>IF(D308&lt;=0,0,MIN(AI309,D$7+IF(D$2=$AA309,$AC309,IF(D$2=$AF309,$AG309,0))))</f>
        <v/>
      </c>
      <c r="Q309">
        <f>IF(E308&lt;=0,0,MIN(AJ309,E$7+IF(E$2=$AA309,$AC309,IF(E$2=$AF309,$AG309,0))))</f>
        <v/>
      </c>
      <c r="R309">
        <f>IF(F308&lt;=0,0,MIN(AK309,F$7+IF(F$2=$AA309,$AC309,IF(F$2=$AF309,$AG309,0))))</f>
        <v/>
      </c>
      <c r="S309">
        <f>IF(G308&lt;=0,0,MIN(AL309,G$7+IF(G$2=$AA309,$AC309,IF(G$2=$AF309,$AG309,0))))</f>
        <v/>
      </c>
      <c r="T309">
        <f>IF(H308&lt;=0,0,MIN(AM309,H$7+IF(H$2=$AA309,$AC309,IF(H$2=$AF309,$AG309,0))))</f>
        <v/>
      </c>
      <c r="U309">
        <f>IF(I308&lt;=0,0,MIN(AN309,I$7+IF(I$2=$AA309,$AC309,IF(I$2=$AF309,$AG309,0))))</f>
        <v/>
      </c>
      <c r="V309">
        <f>IF(J308&lt;=0,0,MIN(AO309,J$7+IF(J$2=$AA309,$AC309,IF(J$2=$AF309,$AG309,0))))</f>
        <v/>
      </c>
      <c r="W309">
        <f>IF(K308&lt;=0,0,MIN(AP309,K$7+IF(K$2=$AA309,$AC309,IF(K$2=$AF309,$AG309,0))))</f>
        <v/>
      </c>
      <c r="X309">
        <f>IF(L308&lt;=0,0,MIN(AQ309,L$7+IF(L$2=$AA309,$AC309,IF(L$2=$AF309,$AG309,0))))</f>
        <v/>
      </c>
      <c r="Y309">
        <f>IF(M308&lt;=0,0,MIN(AR309,M$7+IF(M$2=$AA309,$AC309,IF(M$2=$AF309,$AG309,0))))</f>
        <v/>
      </c>
      <c r="Z309">
        <f>IF(N308&lt;=0,0,MIN(AS309,N$7+IF(N$2=$AA309,$AC309,IF(N$2=$AF309,$AG309,0))))</f>
        <v/>
      </c>
      <c r="AA309">
        <f>IFERROR(ROUND(1/SUMPRODUCT(MAX((C308:N308&gt;0)*($C$3:$N$3&lt;=B309)/$C$2:$N$2)),0),0)</f>
        <v/>
      </c>
      <c r="AB309">
        <f>SUMPRODUCT((C308:N308&gt;0)*$C$7:$N$7)</f>
        <v/>
      </c>
      <c r="AC309">
        <f>MAX(0,Plan!$C$5-AB309)+IF(A309=Plan!$C$8,N(Plan!$C$7),0)</f>
        <v/>
      </c>
      <c r="AD309">
        <f>SUM(C309:N309)</f>
        <v/>
      </c>
      <c r="AE309">
        <f>SUM(O309:Z309)</f>
        <v/>
      </c>
      <c r="AF309">
        <f>IFERROR(ROUND(1/SUMPRODUCT(MAX((C308:N308&gt;0)*($C$3:$N$3&lt;=B309)*($C$2:$N$2&gt;AA309)/$C$2:$N$2)),0),0)</f>
        <v/>
      </c>
      <c r="AG309">
        <f>MAX(0,AC309-MAX(0,SUMPRODUCT(($C$2:$N$2=AA309)*(AH309:AS309-$C$7:$N$7))))</f>
        <v/>
      </c>
      <c r="AH309">
        <f>IF(C308&lt;=0,0,ROUND(C308*(1+IF(AND(C$6&gt;0,$B309&lt;C$6),C$4,C$5)/12),2))</f>
        <v/>
      </c>
      <c r="AI309">
        <f>IF(D308&lt;=0,0,ROUND(D308*(1+IF(AND(D$6&gt;0,$B309&lt;D$6),D$4,D$5)/12),2))</f>
        <v/>
      </c>
      <c r="AJ309">
        <f>IF(E308&lt;=0,0,ROUND(E308*(1+IF(AND(E$6&gt;0,$B309&lt;E$6),E$4,E$5)/12),2))</f>
        <v/>
      </c>
      <c r="AK309">
        <f>IF(F308&lt;=0,0,ROUND(F308*(1+IF(AND(F$6&gt;0,$B309&lt;F$6),F$4,F$5)/12),2))</f>
        <v/>
      </c>
      <c r="AL309">
        <f>IF(G308&lt;=0,0,ROUND(G308*(1+IF(AND(G$6&gt;0,$B309&lt;G$6),G$4,G$5)/12),2))</f>
        <v/>
      </c>
      <c r="AM309">
        <f>IF(H308&lt;=0,0,ROUND(H308*(1+IF(AND(H$6&gt;0,$B309&lt;H$6),H$4,H$5)/12),2))</f>
        <v/>
      </c>
      <c r="AN309">
        <f>IF(I308&lt;=0,0,ROUND(I308*(1+IF(AND(I$6&gt;0,$B309&lt;I$6),I$4,I$5)/12),2))</f>
        <v/>
      </c>
      <c r="AO309">
        <f>IF(J308&lt;=0,0,ROUND(J308*(1+IF(AND(J$6&gt;0,$B309&lt;J$6),J$4,J$5)/12),2))</f>
        <v/>
      </c>
      <c r="AP309">
        <f>IF(K308&lt;=0,0,ROUND(K308*(1+IF(AND(K$6&gt;0,$B309&lt;K$6),K$4,K$5)/12),2))</f>
        <v/>
      </c>
      <c r="AQ309">
        <f>IF(L308&lt;=0,0,ROUND(L308*(1+IF(AND(L$6&gt;0,$B309&lt;L$6),L$4,L$5)/12),2))</f>
        <v/>
      </c>
      <c r="AR309">
        <f>IF(M308&lt;=0,0,ROUND(M308*(1+IF(AND(M$6&gt;0,$B309&lt;M$6),M$4,M$5)/12),2))</f>
        <v/>
      </c>
      <c r="AS309">
        <f>IF(N308&lt;=0,0,ROUND(N308*(1+IF(AND(N$6&gt;0,$B309&lt;N$6),N$4,N$5)/12),2))</f>
        <v/>
      </c>
    </row>
    <row r="310">
      <c r="A310" t="n">
        <v>299</v>
      </c>
      <c r="B310">
        <f>EDATE(Plan!$C$6,298)</f>
        <v/>
      </c>
      <c r="C310">
        <f>IF(C309&lt;=0,0,MAX(0,AH310-O310))</f>
        <v/>
      </c>
      <c r="D310">
        <f>IF(D309&lt;=0,0,MAX(0,AI310-P310))</f>
        <v/>
      </c>
      <c r="E310">
        <f>IF(E309&lt;=0,0,MAX(0,AJ310-Q310))</f>
        <v/>
      </c>
      <c r="F310">
        <f>IF(F309&lt;=0,0,MAX(0,AK310-R310))</f>
        <v/>
      </c>
      <c r="G310">
        <f>IF(G309&lt;=0,0,MAX(0,AL310-S310))</f>
        <v/>
      </c>
      <c r="H310">
        <f>IF(H309&lt;=0,0,MAX(0,AM310-T310))</f>
        <v/>
      </c>
      <c r="I310">
        <f>IF(I309&lt;=0,0,MAX(0,AN310-U310))</f>
        <v/>
      </c>
      <c r="J310">
        <f>IF(J309&lt;=0,0,MAX(0,AO310-V310))</f>
        <v/>
      </c>
      <c r="K310">
        <f>IF(K309&lt;=0,0,MAX(0,AP310-W310))</f>
        <v/>
      </c>
      <c r="L310">
        <f>IF(L309&lt;=0,0,MAX(0,AQ310-X310))</f>
        <v/>
      </c>
      <c r="M310">
        <f>IF(M309&lt;=0,0,MAX(0,AR310-Y310))</f>
        <v/>
      </c>
      <c r="N310">
        <f>IF(N309&lt;=0,0,MAX(0,AS310-Z310))</f>
        <v/>
      </c>
      <c r="O310">
        <f>IF(C309&lt;=0,0,MIN(AH310,C$7+IF(C$2=$AA310,$AC310,IF(C$2=$AF310,$AG310,0))))</f>
        <v/>
      </c>
      <c r="P310">
        <f>IF(D309&lt;=0,0,MIN(AI310,D$7+IF(D$2=$AA310,$AC310,IF(D$2=$AF310,$AG310,0))))</f>
        <v/>
      </c>
      <c r="Q310">
        <f>IF(E309&lt;=0,0,MIN(AJ310,E$7+IF(E$2=$AA310,$AC310,IF(E$2=$AF310,$AG310,0))))</f>
        <v/>
      </c>
      <c r="R310">
        <f>IF(F309&lt;=0,0,MIN(AK310,F$7+IF(F$2=$AA310,$AC310,IF(F$2=$AF310,$AG310,0))))</f>
        <v/>
      </c>
      <c r="S310">
        <f>IF(G309&lt;=0,0,MIN(AL310,G$7+IF(G$2=$AA310,$AC310,IF(G$2=$AF310,$AG310,0))))</f>
        <v/>
      </c>
      <c r="T310">
        <f>IF(H309&lt;=0,0,MIN(AM310,H$7+IF(H$2=$AA310,$AC310,IF(H$2=$AF310,$AG310,0))))</f>
        <v/>
      </c>
      <c r="U310">
        <f>IF(I309&lt;=0,0,MIN(AN310,I$7+IF(I$2=$AA310,$AC310,IF(I$2=$AF310,$AG310,0))))</f>
        <v/>
      </c>
      <c r="V310">
        <f>IF(J309&lt;=0,0,MIN(AO310,J$7+IF(J$2=$AA310,$AC310,IF(J$2=$AF310,$AG310,0))))</f>
        <v/>
      </c>
      <c r="W310">
        <f>IF(K309&lt;=0,0,MIN(AP310,K$7+IF(K$2=$AA310,$AC310,IF(K$2=$AF310,$AG310,0))))</f>
        <v/>
      </c>
      <c r="X310">
        <f>IF(L309&lt;=0,0,MIN(AQ310,L$7+IF(L$2=$AA310,$AC310,IF(L$2=$AF310,$AG310,0))))</f>
        <v/>
      </c>
      <c r="Y310">
        <f>IF(M309&lt;=0,0,MIN(AR310,M$7+IF(M$2=$AA310,$AC310,IF(M$2=$AF310,$AG310,0))))</f>
        <v/>
      </c>
      <c r="Z310">
        <f>IF(N309&lt;=0,0,MIN(AS310,N$7+IF(N$2=$AA310,$AC310,IF(N$2=$AF310,$AG310,0))))</f>
        <v/>
      </c>
      <c r="AA310">
        <f>IFERROR(ROUND(1/SUMPRODUCT(MAX((C309:N309&gt;0)*($C$3:$N$3&lt;=B310)/$C$2:$N$2)),0),0)</f>
        <v/>
      </c>
      <c r="AB310">
        <f>SUMPRODUCT((C309:N309&gt;0)*$C$7:$N$7)</f>
        <v/>
      </c>
      <c r="AC310">
        <f>MAX(0,Plan!$C$5-AB310)+IF(A310=Plan!$C$8,N(Plan!$C$7),0)</f>
        <v/>
      </c>
      <c r="AD310">
        <f>SUM(C310:N310)</f>
        <v/>
      </c>
      <c r="AE310">
        <f>SUM(O310:Z310)</f>
        <v/>
      </c>
      <c r="AF310">
        <f>IFERROR(ROUND(1/SUMPRODUCT(MAX((C309:N309&gt;0)*($C$3:$N$3&lt;=B310)*($C$2:$N$2&gt;AA310)/$C$2:$N$2)),0),0)</f>
        <v/>
      </c>
      <c r="AG310">
        <f>MAX(0,AC310-MAX(0,SUMPRODUCT(($C$2:$N$2=AA310)*(AH310:AS310-$C$7:$N$7))))</f>
        <v/>
      </c>
      <c r="AH310">
        <f>IF(C309&lt;=0,0,ROUND(C309*(1+IF(AND(C$6&gt;0,$B310&lt;C$6),C$4,C$5)/12),2))</f>
        <v/>
      </c>
      <c r="AI310">
        <f>IF(D309&lt;=0,0,ROUND(D309*(1+IF(AND(D$6&gt;0,$B310&lt;D$6),D$4,D$5)/12),2))</f>
        <v/>
      </c>
      <c r="AJ310">
        <f>IF(E309&lt;=0,0,ROUND(E309*(1+IF(AND(E$6&gt;0,$B310&lt;E$6),E$4,E$5)/12),2))</f>
        <v/>
      </c>
      <c r="AK310">
        <f>IF(F309&lt;=0,0,ROUND(F309*(1+IF(AND(F$6&gt;0,$B310&lt;F$6),F$4,F$5)/12),2))</f>
        <v/>
      </c>
      <c r="AL310">
        <f>IF(G309&lt;=0,0,ROUND(G309*(1+IF(AND(G$6&gt;0,$B310&lt;G$6),G$4,G$5)/12),2))</f>
        <v/>
      </c>
      <c r="AM310">
        <f>IF(H309&lt;=0,0,ROUND(H309*(1+IF(AND(H$6&gt;0,$B310&lt;H$6),H$4,H$5)/12),2))</f>
        <v/>
      </c>
      <c r="AN310">
        <f>IF(I309&lt;=0,0,ROUND(I309*(1+IF(AND(I$6&gt;0,$B310&lt;I$6),I$4,I$5)/12),2))</f>
        <v/>
      </c>
      <c r="AO310">
        <f>IF(J309&lt;=0,0,ROUND(J309*(1+IF(AND(J$6&gt;0,$B310&lt;J$6),J$4,J$5)/12),2))</f>
        <v/>
      </c>
      <c r="AP310">
        <f>IF(K309&lt;=0,0,ROUND(K309*(1+IF(AND(K$6&gt;0,$B310&lt;K$6),K$4,K$5)/12),2))</f>
        <v/>
      </c>
      <c r="AQ310">
        <f>IF(L309&lt;=0,0,ROUND(L309*(1+IF(AND(L$6&gt;0,$B310&lt;L$6),L$4,L$5)/12),2))</f>
        <v/>
      </c>
      <c r="AR310">
        <f>IF(M309&lt;=0,0,ROUND(M309*(1+IF(AND(M$6&gt;0,$B310&lt;M$6),M$4,M$5)/12),2))</f>
        <v/>
      </c>
      <c r="AS310">
        <f>IF(N309&lt;=0,0,ROUND(N309*(1+IF(AND(N$6&gt;0,$B310&lt;N$6),N$4,N$5)/12),2))</f>
        <v/>
      </c>
    </row>
    <row r="311">
      <c r="A311" t="n">
        <v>300</v>
      </c>
      <c r="B311">
        <f>EDATE(Plan!$C$6,299)</f>
        <v/>
      </c>
      <c r="C311">
        <f>IF(C310&lt;=0,0,MAX(0,AH311-O311))</f>
        <v/>
      </c>
      <c r="D311">
        <f>IF(D310&lt;=0,0,MAX(0,AI311-P311))</f>
        <v/>
      </c>
      <c r="E311">
        <f>IF(E310&lt;=0,0,MAX(0,AJ311-Q311))</f>
        <v/>
      </c>
      <c r="F311">
        <f>IF(F310&lt;=0,0,MAX(0,AK311-R311))</f>
        <v/>
      </c>
      <c r="G311">
        <f>IF(G310&lt;=0,0,MAX(0,AL311-S311))</f>
        <v/>
      </c>
      <c r="H311">
        <f>IF(H310&lt;=0,0,MAX(0,AM311-T311))</f>
        <v/>
      </c>
      <c r="I311">
        <f>IF(I310&lt;=0,0,MAX(0,AN311-U311))</f>
        <v/>
      </c>
      <c r="J311">
        <f>IF(J310&lt;=0,0,MAX(0,AO311-V311))</f>
        <v/>
      </c>
      <c r="K311">
        <f>IF(K310&lt;=0,0,MAX(0,AP311-W311))</f>
        <v/>
      </c>
      <c r="L311">
        <f>IF(L310&lt;=0,0,MAX(0,AQ311-X311))</f>
        <v/>
      </c>
      <c r="M311">
        <f>IF(M310&lt;=0,0,MAX(0,AR311-Y311))</f>
        <v/>
      </c>
      <c r="N311">
        <f>IF(N310&lt;=0,0,MAX(0,AS311-Z311))</f>
        <v/>
      </c>
      <c r="O311">
        <f>IF(C310&lt;=0,0,MIN(AH311,C$7+IF(C$2=$AA311,$AC311,IF(C$2=$AF311,$AG311,0))))</f>
        <v/>
      </c>
      <c r="P311">
        <f>IF(D310&lt;=0,0,MIN(AI311,D$7+IF(D$2=$AA311,$AC311,IF(D$2=$AF311,$AG311,0))))</f>
        <v/>
      </c>
      <c r="Q311">
        <f>IF(E310&lt;=0,0,MIN(AJ311,E$7+IF(E$2=$AA311,$AC311,IF(E$2=$AF311,$AG311,0))))</f>
        <v/>
      </c>
      <c r="R311">
        <f>IF(F310&lt;=0,0,MIN(AK311,F$7+IF(F$2=$AA311,$AC311,IF(F$2=$AF311,$AG311,0))))</f>
        <v/>
      </c>
      <c r="S311">
        <f>IF(G310&lt;=0,0,MIN(AL311,G$7+IF(G$2=$AA311,$AC311,IF(G$2=$AF311,$AG311,0))))</f>
        <v/>
      </c>
      <c r="T311">
        <f>IF(H310&lt;=0,0,MIN(AM311,H$7+IF(H$2=$AA311,$AC311,IF(H$2=$AF311,$AG311,0))))</f>
        <v/>
      </c>
      <c r="U311">
        <f>IF(I310&lt;=0,0,MIN(AN311,I$7+IF(I$2=$AA311,$AC311,IF(I$2=$AF311,$AG311,0))))</f>
        <v/>
      </c>
      <c r="V311">
        <f>IF(J310&lt;=0,0,MIN(AO311,J$7+IF(J$2=$AA311,$AC311,IF(J$2=$AF311,$AG311,0))))</f>
        <v/>
      </c>
      <c r="W311">
        <f>IF(K310&lt;=0,0,MIN(AP311,K$7+IF(K$2=$AA311,$AC311,IF(K$2=$AF311,$AG311,0))))</f>
        <v/>
      </c>
      <c r="X311">
        <f>IF(L310&lt;=0,0,MIN(AQ311,L$7+IF(L$2=$AA311,$AC311,IF(L$2=$AF311,$AG311,0))))</f>
        <v/>
      </c>
      <c r="Y311">
        <f>IF(M310&lt;=0,0,MIN(AR311,M$7+IF(M$2=$AA311,$AC311,IF(M$2=$AF311,$AG311,0))))</f>
        <v/>
      </c>
      <c r="Z311">
        <f>IF(N310&lt;=0,0,MIN(AS311,N$7+IF(N$2=$AA311,$AC311,IF(N$2=$AF311,$AG311,0))))</f>
        <v/>
      </c>
      <c r="AA311">
        <f>IFERROR(ROUND(1/SUMPRODUCT(MAX((C310:N310&gt;0)*($C$3:$N$3&lt;=B311)/$C$2:$N$2)),0),0)</f>
        <v/>
      </c>
      <c r="AB311">
        <f>SUMPRODUCT((C310:N310&gt;0)*$C$7:$N$7)</f>
        <v/>
      </c>
      <c r="AC311">
        <f>MAX(0,Plan!$C$5-AB311)+IF(A311=Plan!$C$8,N(Plan!$C$7),0)</f>
        <v/>
      </c>
      <c r="AD311">
        <f>SUM(C311:N311)</f>
        <v/>
      </c>
      <c r="AE311">
        <f>SUM(O311:Z311)</f>
        <v/>
      </c>
      <c r="AF311">
        <f>IFERROR(ROUND(1/SUMPRODUCT(MAX((C310:N310&gt;0)*($C$3:$N$3&lt;=B311)*($C$2:$N$2&gt;AA311)/$C$2:$N$2)),0),0)</f>
        <v/>
      </c>
      <c r="AG311">
        <f>MAX(0,AC311-MAX(0,SUMPRODUCT(($C$2:$N$2=AA311)*(AH311:AS311-$C$7:$N$7))))</f>
        <v/>
      </c>
      <c r="AH311">
        <f>IF(C310&lt;=0,0,ROUND(C310*(1+IF(AND(C$6&gt;0,$B311&lt;C$6),C$4,C$5)/12),2))</f>
        <v/>
      </c>
      <c r="AI311">
        <f>IF(D310&lt;=0,0,ROUND(D310*(1+IF(AND(D$6&gt;0,$B311&lt;D$6),D$4,D$5)/12),2))</f>
        <v/>
      </c>
      <c r="AJ311">
        <f>IF(E310&lt;=0,0,ROUND(E310*(1+IF(AND(E$6&gt;0,$B311&lt;E$6),E$4,E$5)/12),2))</f>
        <v/>
      </c>
      <c r="AK311">
        <f>IF(F310&lt;=0,0,ROUND(F310*(1+IF(AND(F$6&gt;0,$B311&lt;F$6),F$4,F$5)/12),2))</f>
        <v/>
      </c>
      <c r="AL311">
        <f>IF(G310&lt;=0,0,ROUND(G310*(1+IF(AND(G$6&gt;0,$B311&lt;G$6),G$4,G$5)/12),2))</f>
        <v/>
      </c>
      <c r="AM311">
        <f>IF(H310&lt;=0,0,ROUND(H310*(1+IF(AND(H$6&gt;0,$B311&lt;H$6),H$4,H$5)/12),2))</f>
        <v/>
      </c>
      <c r="AN311">
        <f>IF(I310&lt;=0,0,ROUND(I310*(1+IF(AND(I$6&gt;0,$B311&lt;I$6),I$4,I$5)/12),2))</f>
        <v/>
      </c>
      <c r="AO311">
        <f>IF(J310&lt;=0,0,ROUND(J310*(1+IF(AND(J$6&gt;0,$B311&lt;J$6),J$4,J$5)/12),2))</f>
        <v/>
      </c>
      <c r="AP311">
        <f>IF(K310&lt;=0,0,ROUND(K310*(1+IF(AND(K$6&gt;0,$B311&lt;K$6),K$4,K$5)/12),2))</f>
        <v/>
      </c>
      <c r="AQ311">
        <f>IF(L310&lt;=0,0,ROUND(L310*(1+IF(AND(L$6&gt;0,$B311&lt;L$6),L$4,L$5)/12),2))</f>
        <v/>
      </c>
      <c r="AR311">
        <f>IF(M310&lt;=0,0,ROUND(M310*(1+IF(AND(M$6&gt;0,$B311&lt;M$6),M$4,M$5)/12),2))</f>
        <v/>
      </c>
      <c r="AS311">
        <f>IF(N310&lt;=0,0,ROUND(N310*(1+IF(AND(N$6&gt;0,$B311&lt;N$6),N$4,N$5)/12),2))</f>
        <v/>
      </c>
    </row>
    <row r="312">
      <c r="A312" t="n">
        <v>301</v>
      </c>
      <c r="B312">
        <f>EDATE(Plan!$C$6,300)</f>
        <v/>
      </c>
      <c r="C312">
        <f>IF(C311&lt;=0,0,MAX(0,AH312-O312))</f>
        <v/>
      </c>
      <c r="D312">
        <f>IF(D311&lt;=0,0,MAX(0,AI312-P312))</f>
        <v/>
      </c>
      <c r="E312">
        <f>IF(E311&lt;=0,0,MAX(0,AJ312-Q312))</f>
        <v/>
      </c>
      <c r="F312">
        <f>IF(F311&lt;=0,0,MAX(0,AK312-R312))</f>
        <v/>
      </c>
      <c r="G312">
        <f>IF(G311&lt;=0,0,MAX(0,AL312-S312))</f>
        <v/>
      </c>
      <c r="H312">
        <f>IF(H311&lt;=0,0,MAX(0,AM312-T312))</f>
        <v/>
      </c>
      <c r="I312">
        <f>IF(I311&lt;=0,0,MAX(0,AN312-U312))</f>
        <v/>
      </c>
      <c r="J312">
        <f>IF(J311&lt;=0,0,MAX(0,AO312-V312))</f>
        <v/>
      </c>
      <c r="K312">
        <f>IF(K311&lt;=0,0,MAX(0,AP312-W312))</f>
        <v/>
      </c>
      <c r="L312">
        <f>IF(L311&lt;=0,0,MAX(0,AQ312-X312))</f>
        <v/>
      </c>
      <c r="M312">
        <f>IF(M311&lt;=0,0,MAX(0,AR312-Y312))</f>
        <v/>
      </c>
      <c r="N312">
        <f>IF(N311&lt;=0,0,MAX(0,AS312-Z312))</f>
        <v/>
      </c>
      <c r="O312">
        <f>IF(C311&lt;=0,0,MIN(AH312,C$7+IF(C$2=$AA312,$AC312,IF(C$2=$AF312,$AG312,0))))</f>
        <v/>
      </c>
      <c r="P312">
        <f>IF(D311&lt;=0,0,MIN(AI312,D$7+IF(D$2=$AA312,$AC312,IF(D$2=$AF312,$AG312,0))))</f>
        <v/>
      </c>
      <c r="Q312">
        <f>IF(E311&lt;=0,0,MIN(AJ312,E$7+IF(E$2=$AA312,$AC312,IF(E$2=$AF312,$AG312,0))))</f>
        <v/>
      </c>
      <c r="R312">
        <f>IF(F311&lt;=0,0,MIN(AK312,F$7+IF(F$2=$AA312,$AC312,IF(F$2=$AF312,$AG312,0))))</f>
        <v/>
      </c>
      <c r="S312">
        <f>IF(G311&lt;=0,0,MIN(AL312,G$7+IF(G$2=$AA312,$AC312,IF(G$2=$AF312,$AG312,0))))</f>
        <v/>
      </c>
      <c r="T312">
        <f>IF(H311&lt;=0,0,MIN(AM312,H$7+IF(H$2=$AA312,$AC312,IF(H$2=$AF312,$AG312,0))))</f>
        <v/>
      </c>
      <c r="U312">
        <f>IF(I311&lt;=0,0,MIN(AN312,I$7+IF(I$2=$AA312,$AC312,IF(I$2=$AF312,$AG312,0))))</f>
        <v/>
      </c>
      <c r="V312">
        <f>IF(J311&lt;=0,0,MIN(AO312,J$7+IF(J$2=$AA312,$AC312,IF(J$2=$AF312,$AG312,0))))</f>
        <v/>
      </c>
      <c r="W312">
        <f>IF(K311&lt;=0,0,MIN(AP312,K$7+IF(K$2=$AA312,$AC312,IF(K$2=$AF312,$AG312,0))))</f>
        <v/>
      </c>
      <c r="X312">
        <f>IF(L311&lt;=0,0,MIN(AQ312,L$7+IF(L$2=$AA312,$AC312,IF(L$2=$AF312,$AG312,0))))</f>
        <v/>
      </c>
      <c r="Y312">
        <f>IF(M311&lt;=0,0,MIN(AR312,M$7+IF(M$2=$AA312,$AC312,IF(M$2=$AF312,$AG312,0))))</f>
        <v/>
      </c>
      <c r="Z312">
        <f>IF(N311&lt;=0,0,MIN(AS312,N$7+IF(N$2=$AA312,$AC312,IF(N$2=$AF312,$AG312,0))))</f>
        <v/>
      </c>
      <c r="AA312">
        <f>IFERROR(ROUND(1/SUMPRODUCT(MAX((C311:N311&gt;0)*($C$3:$N$3&lt;=B312)/$C$2:$N$2)),0),0)</f>
        <v/>
      </c>
      <c r="AB312">
        <f>SUMPRODUCT((C311:N311&gt;0)*$C$7:$N$7)</f>
        <v/>
      </c>
      <c r="AC312">
        <f>MAX(0,Plan!$C$5-AB312)+IF(A312=Plan!$C$8,N(Plan!$C$7),0)</f>
        <v/>
      </c>
      <c r="AD312">
        <f>SUM(C312:N312)</f>
        <v/>
      </c>
      <c r="AE312">
        <f>SUM(O312:Z312)</f>
        <v/>
      </c>
      <c r="AF312">
        <f>IFERROR(ROUND(1/SUMPRODUCT(MAX((C311:N311&gt;0)*($C$3:$N$3&lt;=B312)*($C$2:$N$2&gt;AA312)/$C$2:$N$2)),0),0)</f>
        <v/>
      </c>
      <c r="AG312">
        <f>MAX(0,AC312-MAX(0,SUMPRODUCT(($C$2:$N$2=AA312)*(AH312:AS312-$C$7:$N$7))))</f>
        <v/>
      </c>
      <c r="AH312">
        <f>IF(C311&lt;=0,0,ROUND(C311*(1+IF(AND(C$6&gt;0,$B312&lt;C$6),C$4,C$5)/12),2))</f>
        <v/>
      </c>
      <c r="AI312">
        <f>IF(D311&lt;=0,0,ROUND(D311*(1+IF(AND(D$6&gt;0,$B312&lt;D$6),D$4,D$5)/12),2))</f>
        <v/>
      </c>
      <c r="AJ312">
        <f>IF(E311&lt;=0,0,ROUND(E311*(1+IF(AND(E$6&gt;0,$B312&lt;E$6),E$4,E$5)/12),2))</f>
        <v/>
      </c>
      <c r="AK312">
        <f>IF(F311&lt;=0,0,ROUND(F311*(1+IF(AND(F$6&gt;0,$B312&lt;F$6),F$4,F$5)/12),2))</f>
        <v/>
      </c>
      <c r="AL312">
        <f>IF(G311&lt;=0,0,ROUND(G311*(1+IF(AND(G$6&gt;0,$B312&lt;G$6),G$4,G$5)/12),2))</f>
        <v/>
      </c>
      <c r="AM312">
        <f>IF(H311&lt;=0,0,ROUND(H311*(1+IF(AND(H$6&gt;0,$B312&lt;H$6),H$4,H$5)/12),2))</f>
        <v/>
      </c>
      <c r="AN312">
        <f>IF(I311&lt;=0,0,ROUND(I311*(1+IF(AND(I$6&gt;0,$B312&lt;I$6),I$4,I$5)/12),2))</f>
        <v/>
      </c>
      <c r="AO312">
        <f>IF(J311&lt;=0,0,ROUND(J311*(1+IF(AND(J$6&gt;0,$B312&lt;J$6),J$4,J$5)/12),2))</f>
        <v/>
      </c>
      <c r="AP312">
        <f>IF(K311&lt;=0,0,ROUND(K311*(1+IF(AND(K$6&gt;0,$B312&lt;K$6),K$4,K$5)/12),2))</f>
        <v/>
      </c>
      <c r="AQ312">
        <f>IF(L311&lt;=0,0,ROUND(L311*(1+IF(AND(L$6&gt;0,$B312&lt;L$6),L$4,L$5)/12),2))</f>
        <v/>
      </c>
      <c r="AR312">
        <f>IF(M311&lt;=0,0,ROUND(M311*(1+IF(AND(M$6&gt;0,$B312&lt;M$6),M$4,M$5)/12),2))</f>
        <v/>
      </c>
      <c r="AS312">
        <f>IF(N311&lt;=0,0,ROUND(N311*(1+IF(AND(N$6&gt;0,$B312&lt;N$6),N$4,N$5)/12),2))</f>
        <v/>
      </c>
    </row>
    <row r="313">
      <c r="A313" t="n">
        <v>302</v>
      </c>
      <c r="B313">
        <f>EDATE(Plan!$C$6,301)</f>
        <v/>
      </c>
      <c r="C313">
        <f>IF(C312&lt;=0,0,MAX(0,AH313-O313))</f>
        <v/>
      </c>
      <c r="D313">
        <f>IF(D312&lt;=0,0,MAX(0,AI313-P313))</f>
        <v/>
      </c>
      <c r="E313">
        <f>IF(E312&lt;=0,0,MAX(0,AJ313-Q313))</f>
        <v/>
      </c>
      <c r="F313">
        <f>IF(F312&lt;=0,0,MAX(0,AK313-R313))</f>
        <v/>
      </c>
      <c r="G313">
        <f>IF(G312&lt;=0,0,MAX(0,AL313-S313))</f>
        <v/>
      </c>
      <c r="H313">
        <f>IF(H312&lt;=0,0,MAX(0,AM313-T313))</f>
        <v/>
      </c>
      <c r="I313">
        <f>IF(I312&lt;=0,0,MAX(0,AN313-U313))</f>
        <v/>
      </c>
      <c r="J313">
        <f>IF(J312&lt;=0,0,MAX(0,AO313-V313))</f>
        <v/>
      </c>
      <c r="K313">
        <f>IF(K312&lt;=0,0,MAX(0,AP313-W313))</f>
        <v/>
      </c>
      <c r="L313">
        <f>IF(L312&lt;=0,0,MAX(0,AQ313-X313))</f>
        <v/>
      </c>
      <c r="M313">
        <f>IF(M312&lt;=0,0,MAX(0,AR313-Y313))</f>
        <v/>
      </c>
      <c r="N313">
        <f>IF(N312&lt;=0,0,MAX(0,AS313-Z313))</f>
        <v/>
      </c>
      <c r="O313">
        <f>IF(C312&lt;=0,0,MIN(AH313,C$7+IF(C$2=$AA313,$AC313,IF(C$2=$AF313,$AG313,0))))</f>
        <v/>
      </c>
      <c r="P313">
        <f>IF(D312&lt;=0,0,MIN(AI313,D$7+IF(D$2=$AA313,$AC313,IF(D$2=$AF313,$AG313,0))))</f>
        <v/>
      </c>
      <c r="Q313">
        <f>IF(E312&lt;=0,0,MIN(AJ313,E$7+IF(E$2=$AA313,$AC313,IF(E$2=$AF313,$AG313,0))))</f>
        <v/>
      </c>
      <c r="R313">
        <f>IF(F312&lt;=0,0,MIN(AK313,F$7+IF(F$2=$AA313,$AC313,IF(F$2=$AF313,$AG313,0))))</f>
        <v/>
      </c>
      <c r="S313">
        <f>IF(G312&lt;=0,0,MIN(AL313,G$7+IF(G$2=$AA313,$AC313,IF(G$2=$AF313,$AG313,0))))</f>
        <v/>
      </c>
      <c r="T313">
        <f>IF(H312&lt;=0,0,MIN(AM313,H$7+IF(H$2=$AA313,$AC313,IF(H$2=$AF313,$AG313,0))))</f>
        <v/>
      </c>
      <c r="U313">
        <f>IF(I312&lt;=0,0,MIN(AN313,I$7+IF(I$2=$AA313,$AC313,IF(I$2=$AF313,$AG313,0))))</f>
        <v/>
      </c>
      <c r="V313">
        <f>IF(J312&lt;=0,0,MIN(AO313,J$7+IF(J$2=$AA313,$AC313,IF(J$2=$AF313,$AG313,0))))</f>
        <v/>
      </c>
      <c r="W313">
        <f>IF(K312&lt;=0,0,MIN(AP313,K$7+IF(K$2=$AA313,$AC313,IF(K$2=$AF313,$AG313,0))))</f>
        <v/>
      </c>
      <c r="X313">
        <f>IF(L312&lt;=0,0,MIN(AQ313,L$7+IF(L$2=$AA313,$AC313,IF(L$2=$AF313,$AG313,0))))</f>
        <v/>
      </c>
      <c r="Y313">
        <f>IF(M312&lt;=0,0,MIN(AR313,M$7+IF(M$2=$AA313,$AC313,IF(M$2=$AF313,$AG313,0))))</f>
        <v/>
      </c>
      <c r="Z313">
        <f>IF(N312&lt;=0,0,MIN(AS313,N$7+IF(N$2=$AA313,$AC313,IF(N$2=$AF313,$AG313,0))))</f>
        <v/>
      </c>
      <c r="AA313">
        <f>IFERROR(ROUND(1/SUMPRODUCT(MAX((C312:N312&gt;0)*($C$3:$N$3&lt;=B313)/$C$2:$N$2)),0),0)</f>
        <v/>
      </c>
      <c r="AB313">
        <f>SUMPRODUCT((C312:N312&gt;0)*$C$7:$N$7)</f>
        <v/>
      </c>
      <c r="AC313">
        <f>MAX(0,Plan!$C$5-AB313)+IF(A313=Plan!$C$8,N(Plan!$C$7),0)</f>
        <v/>
      </c>
      <c r="AD313">
        <f>SUM(C313:N313)</f>
        <v/>
      </c>
      <c r="AE313">
        <f>SUM(O313:Z313)</f>
        <v/>
      </c>
      <c r="AF313">
        <f>IFERROR(ROUND(1/SUMPRODUCT(MAX((C312:N312&gt;0)*($C$3:$N$3&lt;=B313)*($C$2:$N$2&gt;AA313)/$C$2:$N$2)),0),0)</f>
        <v/>
      </c>
      <c r="AG313">
        <f>MAX(0,AC313-MAX(0,SUMPRODUCT(($C$2:$N$2=AA313)*(AH313:AS313-$C$7:$N$7))))</f>
        <v/>
      </c>
      <c r="AH313">
        <f>IF(C312&lt;=0,0,ROUND(C312*(1+IF(AND(C$6&gt;0,$B313&lt;C$6),C$4,C$5)/12),2))</f>
        <v/>
      </c>
      <c r="AI313">
        <f>IF(D312&lt;=0,0,ROUND(D312*(1+IF(AND(D$6&gt;0,$B313&lt;D$6),D$4,D$5)/12),2))</f>
        <v/>
      </c>
      <c r="AJ313">
        <f>IF(E312&lt;=0,0,ROUND(E312*(1+IF(AND(E$6&gt;0,$B313&lt;E$6),E$4,E$5)/12),2))</f>
        <v/>
      </c>
      <c r="AK313">
        <f>IF(F312&lt;=0,0,ROUND(F312*(1+IF(AND(F$6&gt;0,$B313&lt;F$6),F$4,F$5)/12),2))</f>
        <v/>
      </c>
      <c r="AL313">
        <f>IF(G312&lt;=0,0,ROUND(G312*(1+IF(AND(G$6&gt;0,$B313&lt;G$6),G$4,G$5)/12),2))</f>
        <v/>
      </c>
      <c r="AM313">
        <f>IF(H312&lt;=0,0,ROUND(H312*(1+IF(AND(H$6&gt;0,$B313&lt;H$6),H$4,H$5)/12),2))</f>
        <v/>
      </c>
      <c r="AN313">
        <f>IF(I312&lt;=0,0,ROUND(I312*(1+IF(AND(I$6&gt;0,$B313&lt;I$6),I$4,I$5)/12),2))</f>
        <v/>
      </c>
      <c r="AO313">
        <f>IF(J312&lt;=0,0,ROUND(J312*(1+IF(AND(J$6&gt;0,$B313&lt;J$6),J$4,J$5)/12),2))</f>
        <v/>
      </c>
      <c r="AP313">
        <f>IF(K312&lt;=0,0,ROUND(K312*(1+IF(AND(K$6&gt;0,$B313&lt;K$6),K$4,K$5)/12),2))</f>
        <v/>
      </c>
      <c r="AQ313">
        <f>IF(L312&lt;=0,0,ROUND(L312*(1+IF(AND(L$6&gt;0,$B313&lt;L$6),L$4,L$5)/12),2))</f>
        <v/>
      </c>
      <c r="AR313">
        <f>IF(M312&lt;=0,0,ROUND(M312*(1+IF(AND(M$6&gt;0,$B313&lt;M$6),M$4,M$5)/12),2))</f>
        <v/>
      </c>
      <c r="AS313">
        <f>IF(N312&lt;=0,0,ROUND(N312*(1+IF(AND(N$6&gt;0,$B313&lt;N$6),N$4,N$5)/12),2))</f>
        <v/>
      </c>
    </row>
    <row r="314">
      <c r="A314" t="n">
        <v>303</v>
      </c>
      <c r="B314">
        <f>EDATE(Plan!$C$6,302)</f>
        <v/>
      </c>
      <c r="C314">
        <f>IF(C313&lt;=0,0,MAX(0,AH314-O314))</f>
        <v/>
      </c>
      <c r="D314">
        <f>IF(D313&lt;=0,0,MAX(0,AI314-P314))</f>
        <v/>
      </c>
      <c r="E314">
        <f>IF(E313&lt;=0,0,MAX(0,AJ314-Q314))</f>
        <v/>
      </c>
      <c r="F314">
        <f>IF(F313&lt;=0,0,MAX(0,AK314-R314))</f>
        <v/>
      </c>
      <c r="G314">
        <f>IF(G313&lt;=0,0,MAX(0,AL314-S314))</f>
        <v/>
      </c>
      <c r="H314">
        <f>IF(H313&lt;=0,0,MAX(0,AM314-T314))</f>
        <v/>
      </c>
      <c r="I314">
        <f>IF(I313&lt;=0,0,MAX(0,AN314-U314))</f>
        <v/>
      </c>
      <c r="J314">
        <f>IF(J313&lt;=0,0,MAX(0,AO314-V314))</f>
        <v/>
      </c>
      <c r="K314">
        <f>IF(K313&lt;=0,0,MAX(0,AP314-W314))</f>
        <v/>
      </c>
      <c r="L314">
        <f>IF(L313&lt;=0,0,MAX(0,AQ314-X314))</f>
        <v/>
      </c>
      <c r="M314">
        <f>IF(M313&lt;=0,0,MAX(0,AR314-Y314))</f>
        <v/>
      </c>
      <c r="N314">
        <f>IF(N313&lt;=0,0,MAX(0,AS314-Z314))</f>
        <v/>
      </c>
      <c r="O314">
        <f>IF(C313&lt;=0,0,MIN(AH314,C$7+IF(C$2=$AA314,$AC314,IF(C$2=$AF314,$AG314,0))))</f>
        <v/>
      </c>
      <c r="P314">
        <f>IF(D313&lt;=0,0,MIN(AI314,D$7+IF(D$2=$AA314,$AC314,IF(D$2=$AF314,$AG314,0))))</f>
        <v/>
      </c>
      <c r="Q314">
        <f>IF(E313&lt;=0,0,MIN(AJ314,E$7+IF(E$2=$AA314,$AC314,IF(E$2=$AF314,$AG314,0))))</f>
        <v/>
      </c>
      <c r="R314">
        <f>IF(F313&lt;=0,0,MIN(AK314,F$7+IF(F$2=$AA314,$AC314,IF(F$2=$AF314,$AG314,0))))</f>
        <v/>
      </c>
      <c r="S314">
        <f>IF(G313&lt;=0,0,MIN(AL314,G$7+IF(G$2=$AA314,$AC314,IF(G$2=$AF314,$AG314,0))))</f>
        <v/>
      </c>
      <c r="T314">
        <f>IF(H313&lt;=0,0,MIN(AM314,H$7+IF(H$2=$AA314,$AC314,IF(H$2=$AF314,$AG314,0))))</f>
        <v/>
      </c>
      <c r="U314">
        <f>IF(I313&lt;=0,0,MIN(AN314,I$7+IF(I$2=$AA314,$AC314,IF(I$2=$AF314,$AG314,0))))</f>
        <v/>
      </c>
      <c r="V314">
        <f>IF(J313&lt;=0,0,MIN(AO314,J$7+IF(J$2=$AA314,$AC314,IF(J$2=$AF314,$AG314,0))))</f>
        <v/>
      </c>
      <c r="W314">
        <f>IF(K313&lt;=0,0,MIN(AP314,K$7+IF(K$2=$AA314,$AC314,IF(K$2=$AF314,$AG314,0))))</f>
        <v/>
      </c>
      <c r="X314">
        <f>IF(L313&lt;=0,0,MIN(AQ314,L$7+IF(L$2=$AA314,$AC314,IF(L$2=$AF314,$AG314,0))))</f>
        <v/>
      </c>
      <c r="Y314">
        <f>IF(M313&lt;=0,0,MIN(AR314,M$7+IF(M$2=$AA314,$AC314,IF(M$2=$AF314,$AG314,0))))</f>
        <v/>
      </c>
      <c r="Z314">
        <f>IF(N313&lt;=0,0,MIN(AS314,N$7+IF(N$2=$AA314,$AC314,IF(N$2=$AF314,$AG314,0))))</f>
        <v/>
      </c>
      <c r="AA314">
        <f>IFERROR(ROUND(1/SUMPRODUCT(MAX((C313:N313&gt;0)*($C$3:$N$3&lt;=B314)/$C$2:$N$2)),0),0)</f>
        <v/>
      </c>
      <c r="AB314">
        <f>SUMPRODUCT((C313:N313&gt;0)*$C$7:$N$7)</f>
        <v/>
      </c>
      <c r="AC314">
        <f>MAX(0,Plan!$C$5-AB314)+IF(A314=Plan!$C$8,N(Plan!$C$7),0)</f>
        <v/>
      </c>
      <c r="AD314">
        <f>SUM(C314:N314)</f>
        <v/>
      </c>
      <c r="AE314">
        <f>SUM(O314:Z314)</f>
        <v/>
      </c>
      <c r="AF314">
        <f>IFERROR(ROUND(1/SUMPRODUCT(MAX((C313:N313&gt;0)*($C$3:$N$3&lt;=B314)*($C$2:$N$2&gt;AA314)/$C$2:$N$2)),0),0)</f>
        <v/>
      </c>
      <c r="AG314">
        <f>MAX(0,AC314-MAX(0,SUMPRODUCT(($C$2:$N$2=AA314)*(AH314:AS314-$C$7:$N$7))))</f>
        <v/>
      </c>
      <c r="AH314">
        <f>IF(C313&lt;=0,0,ROUND(C313*(1+IF(AND(C$6&gt;0,$B314&lt;C$6),C$4,C$5)/12),2))</f>
        <v/>
      </c>
      <c r="AI314">
        <f>IF(D313&lt;=0,0,ROUND(D313*(1+IF(AND(D$6&gt;0,$B314&lt;D$6),D$4,D$5)/12),2))</f>
        <v/>
      </c>
      <c r="AJ314">
        <f>IF(E313&lt;=0,0,ROUND(E313*(1+IF(AND(E$6&gt;0,$B314&lt;E$6),E$4,E$5)/12),2))</f>
        <v/>
      </c>
      <c r="AK314">
        <f>IF(F313&lt;=0,0,ROUND(F313*(1+IF(AND(F$6&gt;0,$B314&lt;F$6),F$4,F$5)/12),2))</f>
        <v/>
      </c>
      <c r="AL314">
        <f>IF(G313&lt;=0,0,ROUND(G313*(1+IF(AND(G$6&gt;0,$B314&lt;G$6),G$4,G$5)/12),2))</f>
        <v/>
      </c>
      <c r="AM314">
        <f>IF(H313&lt;=0,0,ROUND(H313*(1+IF(AND(H$6&gt;0,$B314&lt;H$6),H$4,H$5)/12),2))</f>
        <v/>
      </c>
      <c r="AN314">
        <f>IF(I313&lt;=0,0,ROUND(I313*(1+IF(AND(I$6&gt;0,$B314&lt;I$6),I$4,I$5)/12),2))</f>
        <v/>
      </c>
      <c r="AO314">
        <f>IF(J313&lt;=0,0,ROUND(J313*(1+IF(AND(J$6&gt;0,$B314&lt;J$6),J$4,J$5)/12),2))</f>
        <v/>
      </c>
      <c r="AP314">
        <f>IF(K313&lt;=0,0,ROUND(K313*(1+IF(AND(K$6&gt;0,$B314&lt;K$6),K$4,K$5)/12),2))</f>
        <v/>
      </c>
      <c r="AQ314">
        <f>IF(L313&lt;=0,0,ROUND(L313*(1+IF(AND(L$6&gt;0,$B314&lt;L$6),L$4,L$5)/12),2))</f>
        <v/>
      </c>
      <c r="AR314">
        <f>IF(M313&lt;=0,0,ROUND(M313*(1+IF(AND(M$6&gt;0,$B314&lt;M$6),M$4,M$5)/12),2))</f>
        <v/>
      </c>
      <c r="AS314">
        <f>IF(N313&lt;=0,0,ROUND(N313*(1+IF(AND(N$6&gt;0,$B314&lt;N$6),N$4,N$5)/12),2))</f>
        <v/>
      </c>
    </row>
    <row r="315">
      <c r="A315" t="n">
        <v>304</v>
      </c>
      <c r="B315">
        <f>EDATE(Plan!$C$6,303)</f>
        <v/>
      </c>
      <c r="C315">
        <f>IF(C314&lt;=0,0,MAX(0,AH315-O315))</f>
        <v/>
      </c>
      <c r="D315">
        <f>IF(D314&lt;=0,0,MAX(0,AI315-P315))</f>
        <v/>
      </c>
      <c r="E315">
        <f>IF(E314&lt;=0,0,MAX(0,AJ315-Q315))</f>
        <v/>
      </c>
      <c r="F315">
        <f>IF(F314&lt;=0,0,MAX(0,AK315-R315))</f>
        <v/>
      </c>
      <c r="G315">
        <f>IF(G314&lt;=0,0,MAX(0,AL315-S315))</f>
        <v/>
      </c>
      <c r="H315">
        <f>IF(H314&lt;=0,0,MAX(0,AM315-T315))</f>
        <v/>
      </c>
      <c r="I315">
        <f>IF(I314&lt;=0,0,MAX(0,AN315-U315))</f>
        <v/>
      </c>
      <c r="J315">
        <f>IF(J314&lt;=0,0,MAX(0,AO315-V315))</f>
        <v/>
      </c>
      <c r="K315">
        <f>IF(K314&lt;=0,0,MAX(0,AP315-W315))</f>
        <v/>
      </c>
      <c r="L315">
        <f>IF(L314&lt;=0,0,MAX(0,AQ315-X315))</f>
        <v/>
      </c>
      <c r="M315">
        <f>IF(M314&lt;=0,0,MAX(0,AR315-Y315))</f>
        <v/>
      </c>
      <c r="N315">
        <f>IF(N314&lt;=0,0,MAX(0,AS315-Z315))</f>
        <v/>
      </c>
      <c r="O315">
        <f>IF(C314&lt;=0,0,MIN(AH315,C$7+IF(C$2=$AA315,$AC315,IF(C$2=$AF315,$AG315,0))))</f>
        <v/>
      </c>
      <c r="P315">
        <f>IF(D314&lt;=0,0,MIN(AI315,D$7+IF(D$2=$AA315,$AC315,IF(D$2=$AF315,$AG315,0))))</f>
        <v/>
      </c>
      <c r="Q315">
        <f>IF(E314&lt;=0,0,MIN(AJ315,E$7+IF(E$2=$AA315,$AC315,IF(E$2=$AF315,$AG315,0))))</f>
        <v/>
      </c>
      <c r="R315">
        <f>IF(F314&lt;=0,0,MIN(AK315,F$7+IF(F$2=$AA315,$AC315,IF(F$2=$AF315,$AG315,0))))</f>
        <v/>
      </c>
      <c r="S315">
        <f>IF(G314&lt;=0,0,MIN(AL315,G$7+IF(G$2=$AA315,$AC315,IF(G$2=$AF315,$AG315,0))))</f>
        <v/>
      </c>
      <c r="T315">
        <f>IF(H314&lt;=0,0,MIN(AM315,H$7+IF(H$2=$AA315,$AC315,IF(H$2=$AF315,$AG315,0))))</f>
        <v/>
      </c>
      <c r="U315">
        <f>IF(I314&lt;=0,0,MIN(AN315,I$7+IF(I$2=$AA315,$AC315,IF(I$2=$AF315,$AG315,0))))</f>
        <v/>
      </c>
      <c r="V315">
        <f>IF(J314&lt;=0,0,MIN(AO315,J$7+IF(J$2=$AA315,$AC315,IF(J$2=$AF315,$AG315,0))))</f>
        <v/>
      </c>
      <c r="W315">
        <f>IF(K314&lt;=0,0,MIN(AP315,K$7+IF(K$2=$AA315,$AC315,IF(K$2=$AF315,$AG315,0))))</f>
        <v/>
      </c>
      <c r="X315">
        <f>IF(L314&lt;=0,0,MIN(AQ315,L$7+IF(L$2=$AA315,$AC315,IF(L$2=$AF315,$AG315,0))))</f>
        <v/>
      </c>
      <c r="Y315">
        <f>IF(M314&lt;=0,0,MIN(AR315,M$7+IF(M$2=$AA315,$AC315,IF(M$2=$AF315,$AG315,0))))</f>
        <v/>
      </c>
      <c r="Z315">
        <f>IF(N314&lt;=0,0,MIN(AS315,N$7+IF(N$2=$AA315,$AC315,IF(N$2=$AF315,$AG315,0))))</f>
        <v/>
      </c>
      <c r="AA315">
        <f>IFERROR(ROUND(1/SUMPRODUCT(MAX((C314:N314&gt;0)*($C$3:$N$3&lt;=B315)/$C$2:$N$2)),0),0)</f>
        <v/>
      </c>
      <c r="AB315">
        <f>SUMPRODUCT((C314:N314&gt;0)*$C$7:$N$7)</f>
        <v/>
      </c>
      <c r="AC315">
        <f>MAX(0,Plan!$C$5-AB315)+IF(A315=Plan!$C$8,N(Plan!$C$7),0)</f>
        <v/>
      </c>
      <c r="AD315">
        <f>SUM(C315:N315)</f>
        <v/>
      </c>
      <c r="AE315">
        <f>SUM(O315:Z315)</f>
        <v/>
      </c>
      <c r="AF315">
        <f>IFERROR(ROUND(1/SUMPRODUCT(MAX((C314:N314&gt;0)*($C$3:$N$3&lt;=B315)*($C$2:$N$2&gt;AA315)/$C$2:$N$2)),0),0)</f>
        <v/>
      </c>
      <c r="AG315">
        <f>MAX(0,AC315-MAX(0,SUMPRODUCT(($C$2:$N$2=AA315)*(AH315:AS315-$C$7:$N$7))))</f>
        <v/>
      </c>
      <c r="AH315">
        <f>IF(C314&lt;=0,0,ROUND(C314*(1+IF(AND(C$6&gt;0,$B315&lt;C$6),C$4,C$5)/12),2))</f>
        <v/>
      </c>
      <c r="AI315">
        <f>IF(D314&lt;=0,0,ROUND(D314*(1+IF(AND(D$6&gt;0,$B315&lt;D$6),D$4,D$5)/12),2))</f>
        <v/>
      </c>
      <c r="AJ315">
        <f>IF(E314&lt;=0,0,ROUND(E314*(1+IF(AND(E$6&gt;0,$B315&lt;E$6),E$4,E$5)/12),2))</f>
        <v/>
      </c>
      <c r="AK315">
        <f>IF(F314&lt;=0,0,ROUND(F314*(1+IF(AND(F$6&gt;0,$B315&lt;F$6),F$4,F$5)/12),2))</f>
        <v/>
      </c>
      <c r="AL315">
        <f>IF(G314&lt;=0,0,ROUND(G314*(1+IF(AND(G$6&gt;0,$B315&lt;G$6),G$4,G$5)/12),2))</f>
        <v/>
      </c>
      <c r="AM315">
        <f>IF(H314&lt;=0,0,ROUND(H314*(1+IF(AND(H$6&gt;0,$B315&lt;H$6),H$4,H$5)/12),2))</f>
        <v/>
      </c>
      <c r="AN315">
        <f>IF(I314&lt;=0,0,ROUND(I314*(1+IF(AND(I$6&gt;0,$B315&lt;I$6),I$4,I$5)/12),2))</f>
        <v/>
      </c>
      <c r="AO315">
        <f>IF(J314&lt;=0,0,ROUND(J314*(1+IF(AND(J$6&gt;0,$B315&lt;J$6),J$4,J$5)/12),2))</f>
        <v/>
      </c>
      <c r="AP315">
        <f>IF(K314&lt;=0,0,ROUND(K314*(1+IF(AND(K$6&gt;0,$B315&lt;K$6),K$4,K$5)/12),2))</f>
        <v/>
      </c>
      <c r="AQ315">
        <f>IF(L314&lt;=0,0,ROUND(L314*(1+IF(AND(L$6&gt;0,$B315&lt;L$6),L$4,L$5)/12),2))</f>
        <v/>
      </c>
      <c r="AR315">
        <f>IF(M314&lt;=0,0,ROUND(M314*(1+IF(AND(M$6&gt;0,$B315&lt;M$6),M$4,M$5)/12),2))</f>
        <v/>
      </c>
      <c r="AS315">
        <f>IF(N314&lt;=0,0,ROUND(N314*(1+IF(AND(N$6&gt;0,$B315&lt;N$6),N$4,N$5)/12),2))</f>
        <v/>
      </c>
    </row>
    <row r="316">
      <c r="A316" t="n">
        <v>305</v>
      </c>
      <c r="B316">
        <f>EDATE(Plan!$C$6,304)</f>
        <v/>
      </c>
      <c r="C316">
        <f>IF(C315&lt;=0,0,MAX(0,AH316-O316))</f>
        <v/>
      </c>
      <c r="D316">
        <f>IF(D315&lt;=0,0,MAX(0,AI316-P316))</f>
        <v/>
      </c>
      <c r="E316">
        <f>IF(E315&lt;=0,0,MAX(0,AJ316-Q316))</f>
        <v/>
      </c>
      <c r="F316">
        <f>IF(F315&lt;=0,0,MAX(0,AK316-R316))</f>
        <v/>
      </c>
      <c r="G316">
        <f>IF(G315&lt;=0,0,MAX(0,AL316-S316))</f>
        <v/>
      </c>
      <c r="H316">
        <f>IF(H315&lt;=0,0,MAX(0,AM316-T316))</f>
        <v/>
      </c>
      <c r="I316">
        <f>IF(I315&lt;=0,0,MAX(0,AN316-U316))</f>
        <v/>
      </c>
      <c r="J316">
        <f>IF(J315&lt;=0,0,MAX(0,AO316-V316))</f>
        <v/>
      </c>
      <c r="K316">
        <f>IF(K315&lt;=0,0,MAX(0,AP316-W316))</f>
        <v/>
      </c>
      <c r="L316">
        <f>IF(L315&lt;=0,0,MAX(0,AQ316-X316))</f>
        <v/>
      </c>
      <c r="M316">
        <f>IF(M315&lt;=0,0,MAX(0,AR316-Y316))</f>
        <v/>
      </c>
      <c r="N316">
        <f>IF(N315&lt;=0,0,MAX(0,AS316-Z316))</f>
        <v/>
      </c>
      <c r="O316">
        <f>IF(C315&lt;=0,0,MIN(AH316,C$7+IF(C$2=$AA316,$AC316,IF(C$2=$AF316,$AG316,0))))</f>
        <v/>
      </c>
      <c r="P316">
        <f>IF(D315&lt;=0,0,MIN(AI316,D$7+IF(D$2=$AA316,$AC316,IF(D$2=$AF316,$AG316,0))))</f>
        <v/>
      </c>
      <c r="Q316">
        <f>IF(E315&lt;=0,0,MIN(AJ316,E$7+IF(E$2=$AA316,$AC316,IF(E$2=$AF316,$AG316,0))))</f>
        <v/>
      </c>
      <c r="R316">
        <f>IF(F315&lt;=0,0,MIN(AK316,F$7+IF(F$2=$AA316,$AC316,IF(F$2=$AF316,$AG316,0))))</f>
        <v/>
      </c>
      <c r="S316">
        <f>IF(G315&lt;=0,0,MIN(AL316,G$7+IF(G$2=$AA316,$AC316,IF(G$2=$AF316,$AG316,0))))</f>
        <v/>
      </c>
      <c r="T316">
        <f>IF(H315&lt;=0,0,MIN(AM316,H$7+IF(H$2=$AA316,$AC316,IF(H$2=$AF316,$AG316,0))))</f>
        <v/>
      </c>
      <c r="U316">
        <f>IF(I315&lt;=0,0,MIN(AN316,I$7+IF(I$2=$AA316,$AC316,IF(I$2=$AF316,$AG316,0))))</f>
        <v/>
      </c>
      <c r="V316">
        <f>IF(J315&lt;=0,0,MIN(AO316,J$7+IF(J$2=$AA316,$AC316,IF(J$2=$AF316,$AG316,0))))</f>
        <v/>
      </c>
      <c r="W316">
        <f>IF(K315&lt;=0,0,MIN(AP316,K$7+IF(K$2=$AA316,$AC316,IF(K$2=$AF316,$AG316,0))))</f>
        <v/>
      </c>
      <c r="X316">
        <f>IF(L315&lt;=0,0,MIN(AQ316,L$7+IF(L$2=$AA316,$AC316,IF(L$2=$AF316,$AG316,0))))</f>
        <v/>
      </c>
      <c r="Y316">
        <f>IF(M315&lt;=0,0,MIN(AR316,M$7+IF(M$2=$AA316,$AC316,IF(M$2=$AF316,$AG316,0))))</f>
        <v/>
      </c>
      <c r="Z316">
        <f>IF(N315&lt;=0,0,MIN(AS316,N$7+IF(N$2=$AA316,$AC316,IF(N$2=$AF316,$AG316,0))))</f>
        <v/>
      </c>
      <c r="AA316">
        <f>IFERROR(ROUND(1/SUMPRODUCT(MAX((C315:N315&gt;0)*($C$3:$N$3&lt;=B316)/$C$2:$N$2)),0),0)</f>
        <v/>
      </c>
      <c r="AB316">
        <f>SUMPRODUCT((C315:N315&gt;0)*$C$7:$N$7)</f>
        <v/>
      </c>
      <c r="AC316">
        <f>MAX(0,Plan!$C$5-AB316)+IF(A316=Plan!$C$8,N(Plan!$C$7),0)</f>
        <v/>
      </c>
      <c r="AD316">
        <f>SUM(C316:N316)</f>
        <v/>
      </c>
      <c r="AE316">
        <f>SUM(O316:Z316)</f>
        <v/>
      </c>
      <c r="AF316">
        <f>IFERROR(ROUND(1/SUMPRODUCT(MAX((C315:N315&gt;0)*($C$3:$N$3&lt;=B316)*($C$2:$N$2&gt;AA316)/$C$2:$N$2)),0),0)</f>
        <v/>
      </c>
      <c r="AG316">
        <f>MAX(0,AC316-MAX(0,SUMPRODUCT(($C$2:$N$2=AA316)*(AH316:AS316-$C$7:$N$7))))</f>
        <v/>
      </c>
      <c r="AH316">
        <f>IF(C315&lt;=0,0,ROUND(C315*(1+IF(AND(C$6&gt;0,$B316&lt;C$6),C$4,C$5)/12),2))</f>
        <v/>
      </c>
      <c r="AI316">
        <f>IF(D315&lt;=0,0,ROUND(D315*(1+IF(AND(D$6&gt;0,$B316&lt;D$6),D$4,D$5)/12),2))</f>
        <v/>
      </c>
      <c r="AJ316">
        <f>IF(E315&lt;=0,0,ROUND(E315*(1+IF(AND(E$6&gt;0,$B316&lt;E$6),E$4,E$5)/12),2))</f>
        <v/>
      </c>
      <c r="AK316">
        <f>IF(F315&lt;=0,0,ROUND(F315*(1+IF(AND(F$6&gt;0,$B316&lt;F$6),F$4,F$5)/12),2))</f>
        <v/>
      </c>
      <c r="AL316">
        <f>IF(G315&lt;=0,0,ROUND(G315*(1+IF(AND(G$6&gt;0,$B316&lt;G$6),G$4,G$5)/12),2))</f>
        <v/>
      </c>
      <c r="AM316">
        <f>IF(H315&lt;=0,0,ROUND(H315*(1+IF(AND(H$6&gt;0,$B316&lt;H$6),H$4,H$5)/12),2))</f>
        <v/>
      </c>
      <c r="AN316">
        <f>IF(I315&lt;=0,0,ROUND(I315*(1+IF(AND(I$6&gt;0,$B316&lt;I$6),I$4,I$5)/12),2))</f>
        <v/>
      </c>
      <c r="AO316">
        <f>IF(J315&lt;=0,0,ROUND(J315*(1+IF(AND(J$6&gt;0,$B316&lt;J$6),J$4,J$5)/12),2))</f>
        <v/>
      </c>
      <c r="AP316">
        <f>IF(K315&lt;=0,0,ROUND(K315*(1+IF(AND(K$6&gt;0,$B316&lt;K$6),K$4,K$5)/12),2))</f>
        <v/>
      </c>
      <c r="AQ316">
        <f>IF(L315&lt;=0,0,ROUND(L315*(1+IF(AND(L$6&gt;0,$B316&lt;L$6),L$4,L$5)/12),2))</f>
        <v/>
      </c>
      <c r="AR316">
        <f>IF(M315&lt;=0,0,ROUND(M315*(1+IF(AND(M$6&gt;0,$B316&lt;M$6),M$4,M$5)/12),2))</f>
        <v/>
      </c>
      <c r="AS316">
        <f>IF(N315&lt;=0,0,ROUND(N315*(1+IF(AND(N$6&gt;0,$B316&lt;N$6),N$4,N$5)/12),2))</f>
        <v/>
      </c>
    </row>
    <row r="317">
      <c r="A317" t="n">
        <v>306</v>
      </c>
      <c r="B317">
        <f>EDATE(Plan!$C$6,305)</f>
        <v/>
      </c>
      <c r="C317">
        <f>IF(C316&lt;=0,0,MAX(0,AH317-O317))</f>
        <v/>
      </c>
      <c r="D317">
        <f>IF(D316&lt;=0,0,MAX(0,AI317-P317))</f>
        <v/>
      </c>
      <c r="E317">
        <f>IF(E316&lt;=0,0,MAX(0,AJ317-Q317))</f>
        <v/>
      </c>
      <c r="F317">
        <f>IF(F316&lt;=0,0,MAX(0,AK317-R317))</f>
        <v/>
      </c>
      <c r="G317">
        <f>IF(G316&lt;=0,0,MAX(0,AL317-S317))</f>
        <v/>
      </c>
      <c r="H317">
        <f>IF(H316&lt;=0,0,MAX(0,AM317-T317))</f>
        <v/>
      </c>
      <c r="I317">
        <f>IF(I316&lt;=0,0,MAX(0,AN317-U317))</f>
        <v/>
      </c>
      <c r="J317">
        <f>IF(J316&lt;=0,0,MAX(0,AO317-V317))</f>
        <v/>
      </c>
      <c r="K317">
        <f>IF(K316&lt;=0,0,MAX(0,AP317-W317))</f>
        <v/>
      </c>
      <c r="L317">
        <f>IF(L316&lt;=0,0,MAX(0,AQ317-X317))</f>
        <v/>
      </c>
      <c r="M317">
        <f>IF(M316&lt;=0,0,MAX(0,AR317-Y317))</f>
        <v/>
      </c>
      <c r="N317">
        <f>IF(N316&lt;=0,0,MAX(0,AS317-Z317))</f>
        <v/>
      </c>
      <c r="O317">
        <f>IF(C316&lt;=0,0,MIN(AH317,C$7+IF(C$2=$AA317,$AC317,IF(C$2=$AF317,$AG317,0))))</f>
        <v/>
      </c>
      <c r="P317">
        <f>IF(D316&lt;=0,0,MIN(AI317,D$7+IF(D$2=$AA317,$AC317,IF(D$2=$AF317,$AG317,0))))</f>
        <v/>
      </c>
      <c r="Q317">
        <f>IF(E316&lt;=0,0,MIN(AJ317,E$7+IF(E$2=$AA317,$AC317,IF(E$2=$AF317,$AG317,0))))</f>
        <v/>
      </c>
      <c r="R317">
        <f>IF(F316&lt;=0,0,MIN(AK317,F$7+IF(F$2=$AA317,$AC317,IF(F$2=$AF317,$AG317,0))))</f>
        <v/>
      </c>
      <c r="S317">
        <f>IF(G316&lt;=0,0,MIN(AL317,G$7+IF(G$2=$AA317,$AC317,IF(G$2=$AF317,$AG317,0))))</f>
        <v/>
      </c>
      <c r="T317">
        <f>IF(H316&lt;=0,0,MIN(AM317,H$7+IF(H$2=$AA317,$AC317,IF(H$2=$AF317,$AG317,0))))</f>
        <v/>
      </c>
      <c r="U317">
        <f>IF(I316&lt;=0,0,MIN(AN317,I$7+IF(I$2=$AA317,$AC317,IF(I$2=$AF317,$AG317,0))))</f>
        <v/>
      </c>
      <c r="V317">
        <f>IF(J316&lt;=0,0,MIN(AO317,J$7+IF(J$2=$AA317,$AC317,IF(J$2=$AF317,$AG317,0))))</f>
        <v/>
      </c>
      <c r="W317">
        <f>IF(K316&lt;=0,0,MIN(AP317,K$7+IF(K$2=$AA317,$AC317,IF(K$2=$AF317,$AG317,0))))</f>
        <v/>
      </c>
      <c r="X317">
        <f>IF(L316&lt;=0,0,MIN(AQ317,L$7+IF(L$2=$AA317,$AC317,IF(L$2=$AF317,$AG317,0))))</f>
        <v/>
      </c>
      <c r="Y317">
        <f>IF(M316&lt;=0,0,MIN(AR317,M$7+IF(M$2=$AA317,$AC317,IF(M$2=$AF317,$AG317,0))))</f>
        <v/>
      </c>
      <c r="Z317">
        <f>IF(N316&lt;=0,0,MIN(AS317,N$7+IF(N$2=$AA317,$AC317,IF(N$2=$AF317,$AG317,0))))</f>
        <v/>
      </c>
      <c r="AA317">
        <f>IFERROR(ROUND(1/SUMPRODUCT(MAX((C316:N316&gt;0)*($C$3:$N$3&lt;=B317)/$C$2:$N$2)),0),0)</f>
        <v/>
      </c>
      <c r="AB317">
        <f>SUMPRODUCT((C316:N316&gt;0)*$C$7:$N$7)</f>
        <v/>
      </c>
      <c r="AC317">
        <f>MAX(0,Plan!$C$5-AB317)+IF(A317=Plan!$C$8,N(Plan!$C$7),0)</f>
        <v/>
      </c>
      <c r="AD317">
        <f>SUM(C317:N317)</f>
        <v/>
      </c>
      <c r="AE317">
        <f>SUM(O317:Z317)</f>
        <v/>
      </c>
      <c r="AF317">
        <f>IFERROR(ROUND(1/SUMPRODUCT(MAX((C316:N316&gt;0)*($C$3:$N$3&lt;=B317)*($C$2:$N$2&gt;AA317)/$C$2:$N$2)),0),0)</f>
        <v/>
      </c>
      <c r="AG317">
        <f>MAX(0,AC317-MAX(0,SUMPRODUCT(($C$2:$N$2=AA317)*(AH317:AS317-$C$7:$N$7))))</f>
        <v/>
      </c>
      <c r="AH317">
        <f>IF(C316&lt;=0,0,ROUND(C316*(1+IF(AND(C$6&gt;0,$B317&lt;C$6),C$4,C$5)/12),2))</f>
        <v/>
      </c>
      <c r="AI317">
        <f>IF(D316&lt;=0,0,ROUND(D316*(1+IF(AND(D$6&gt;0,$B317&lt;D$6),D$4,D$5)/12),2))</f>
        <v/>
      </c>
      <c r="AJ317">
        <f>IF(E316&lt;=0,0,ROUND(E316*(1+IF(AND(E$6&gt;0,$B317&lt;E$6),E$4,E$5)/12),2))</f>
        <v/>
      </c>
      <c r="AK317">
        <f>IF(F316&lt;=0,0,ROUND(F316*(1+IF(AND(F$6&gt;0,$B317&lt;F$6),F$4,F$5)/12),2))</f>
        <v/>
      </c>
      <c r="AL317">
        <f>IF(G316&lt;=0,0,ROUND(G316*(1+IF(AND(G$6&gt;0,$B317&lt;G$6),G$4,G$5)/12),2))</f>
        <v/>
      </c>
      <c r="AM317">
        <f>IF(H316&lt;=0,0,ROUND(H316*(1+IF(AND(H$6&gt;0,$B317&lt;H$6),H$4,H$5)/12),2))</f>
        <v/>
      </c>
      <c r="AN317">
        <f>IF(I316&lt;=0,0,ROUND(I316*(1+IF(AND(I$6&gt;0,$B317&lt;I$6),I$4,I$5)/12),2))</f>
        <v/>
      </c>
      <c r="AO317">
        <f>IF(J316&lt;=0,0,ROUND(J316*(1+IF(AND(J$6&gt;0,$B317&lt;J$6),J$4,J$5)/12),2))</f>
        <v/>
      </c>
      <c r="AP317">
        <f>IF(K316&lt;=0,0,ROUND(K316*(1+IF(AND(K$6&gt;0,$B317&lt;K$6),K$4,K$5)/12),2))</f>
        <v/>
      </c>
      <c r="AQ317">
        <f>IF(L316&lt;=0,0,ROUND(L316*(1+IF(AND(L$6&gt;0,$B317&lt;L$6),L$4,L$5)/12),2))</f>
        <v/>
      </c>
      <c r="AR317">
        <f>IF(M316&lt;=0,0,ROUND(M316*(1+IF(AND(M$6&gt;0,$B317&lt;M$6),M$4,M$5)/12),2))</f>
        <v/>
      </c>
      <c r="AS317">
        <f>IF(N316&lt;=0,0,ROUND(N316*(1+IF(AND(N$6&gt;0,$B317&lt;N$6),N$4,N$5)/12),2))</f>
        <v/>
      </c>
    </row>
    <row r="318">
      <c r="A318" t="n">
        <v>307</v>
      </c>
      <c r="B318">
        <f>EDATE(Plan!$C$6,306)</f>
        <v/>
      </c>
      <c r="C318">
        <f>IF(C317&lt;=0,0,MAX(0,AH318-O318))</f>
        <v/>
      </c>
      <c r="D318">
        <f>IF(D317&lt;=0,0,MAX(0,AI318-P318))</f>
        <v/>
      </c>
      <c r="E318">
        <f>IF(E317&lt;=0,0,MAX(0,AJ318-Q318))</f>
        <v/>
      </c>
      <c r="F318">
        <f>IF(F317&lt;=0,0,MAX(0,AK318-R318))</f>
        <v/>
      </c>
      <c r="G318">
        <f>IF(G317&lt;=0,0,MAX(0,AL318-S318))</f>
        <v/>
      </c>
      <c r="H318">
        <f>IF(H317&lt;=0,0,MAX(0,AM318-T318))</f>
        <v/>
      </c>
      <c r="I318">
        <f>IF(I317&lt;=0,0,MAX(0,AN318-U318))</f>
        <v/>
      </c>
      <c r="J318">
        <f>IF(J317&lt;=0,0,MAX(0,AO318-V318))</f>
        <v/>
      </c>
      <c r="K318">
        <f>IF(K317&lt;=0,0,MAX(0,AP318-W318))</f>
        <v/>
      </c>
      <c r="L318">
        <f>IF(L317&lt;=0,0,MAX(0,AQ318-X318))</f>
        <v/>
      </c>
      <c r="M318">
        <f>IF(M317&lt;=0,0,MAX(0,AR318-Y318))</f>
        <v/>
      </c>
      <c r="N318">
        <f>IF(N317&lt;=0,0,MAX(0,AS318-Z318))</f>
        <v/>
      </c>
      <c r="O318">
        <f>IF(C317&lt;=0,0,MIN(AH318,C$7+IF(C$2=$AA318,$AC318,IF(C$2=$AF318,$AG318,0))))</f>
        <v/>
      </c>
      <c r="P318">
        <f>IF(D317&lt;=0,0,MIN(AI318,D$7+IF(D$2=$AA318,$AC318,IF(D$2=$AF318,$AG318,0))))</f>
        <v/>
      </c>
      <c r="Q318">
        <f>IF(E317&lt;=0,0,MIN(AJ318,E$7+IF(E$2=$AA318,$AC318,IF(E$2=$AF318,$AG318,0))))</f>
        <v/>
      </c>
      <c r="R318">
        <f>IF(F317&lt;=0,0,MIN(AK318,F$7+IF(F$2=$AA318,$AC318,IF(F$2=$AF318,$AG318,0))))</f>
        <v/>
      </c>
      <c r="S318">
        <f>IF(G317&lt;=0,0,MIN(AL318,G$7+IF(G$2=$AA318,$AC318,IF(G$2=$AF318,$AG318,0))))</f>
        <v/>
      </c>
      <c r="T318">
        <f>IF(H317&lt;=0,0,MIN(AM318,H$7+IF(H$2=$AA318,$AC318,IF(H$2=$AF318,$AG318,0))))</f>
        <v/>
      </c>
      <c r="U318">
        <f>IF(I317&lt;=0,0,MIN(AN318,I$7+IF(I$2=$AA318,$AC318,IF(I$2=$AF318,$AG318,0))))</f>
        <v/>
      </c>
      <c r="V318">
        <f>IF(J317&lt;=0,0,MIN(AO318,J$7+IF(J$2=$AA318,$AC318,IF(J$2=$AF318,$AG318,0))))</f>
        <v/>
      </c>
      <c r="W318">
        <f>IF(K317&lt;=0,0,MIN(AP318,K$7+IF(K$2=$AA318,$AC318,IF(K$2=$AF318,$AG318,0))))</f>
        <v/>
      </c>
      <c r="X318">
        <f>IF(L317&lt;=0,0,MIN(AQ318,L$7+IF(L$2=$AA318,$AC318,IF(L$2=$AF318,$AG318,0))))</f>
        <v/>
      </c>
      <c r="Y318">
        <f>IF(M317&lt;=0,0,MIN(AR318,M$7+IF(M$2=$AA318,$AC318,IF(M$2=$AF318,$AG318,0))))</f>
        <v/>
      </c>
      <c r="Z318">
        <f>IF(N317&lt;=0,0,MIN(AS318,N$7+IF(N$2=$AA318,$AC318,IF(N$2=$AF318,$AG318,0))))</f>
        <v/>
      </c>
      <c r="AA318">
        <f>IFERROR(ROUND(1/SUMPRODUCT(MAX((C317:N317&gt;0)*($C$3:$N$3&lt;=B318)/$C$2:$N$2)),0),0)</f>
        <v/>
      </c>
      <c r="AB318">
        <f>SUMPRODUCT((C317:N317&gt;0)*$C$7:$N$7)</f>
        <v/>
      </c>
      <c r="AC318">
        <f>MAX(0,Plan!$C$5-AB318)+IF(A318=Plan!$C$8,N(Plan!$C$7),0)</f>
        <v/>
      </c>
      <c r="AD318">
        <f>SUM(C318:N318)</f>
        <v/>
      </c>
      <c r="AE318">
        <f>SUM(O318:Z318)</f>
        <v/>
      </c>
      <c r="AF318">
        <f>IFERROR(ROUND(1/SUMPRODUCT(MAX((C317:N317&gt;0)*($C$3:$N$3&lt;=B318)*($C$2:$N$2&gt;AA318)/$C$2:$N$2)),0),0)</f>
        <v/>
      </c>
      <c r="AG318">
        <f>MAX(0,AC318-MAX(0,SUMPRODUCT(($C$2:$N$2=AA318)*(AH318:AS318-$C$7:$N$7))))</f>
        <v/>
      </c>
      <c r="AH318">
        <f>IF(C317&lt;=0,0,ROUND(C317*(1+IF(AND(C$6&gt;0,$B318&lt;C$6),C$4,C$5)/12),2))</f>
        <v/>
      </c>
      <c r="AI318">
        <f>IF(D317&lt;=0,0,ROUND(D317*(1+IF(AND(D$6&gt;0,$B318&lt;D$6),D$4,D$5)/12),2))</f>
        <v/>
      </c>
      <c r="AJ318">
        <f>IF(E317&lt;=0,0,ROUND(E317*(1+IF(AND(E$6&gt;0,$B318&lt;E$6),E$4,E$5)/12),2))</f>
        <v/>
      </c>
      <c r="AK318">
        <f>IF(F317&lt;=0,0,ROUND(F317*(1+IF(AND(F$6&gt;0,$B318&lt;F$6),F$4,F$5)/12),2))</f>
        <v/>
      </c>
      <c r="AL318">
        <f>IF(G317&lt;=0,0,ROUND(G317*(1+IF(AND(G$6&gt;0,$B318&lt;G$6),G$4,G$5)/12),2))</f>
        <v/>
      </c>
      <c r="AM318">
        <f>IF(H317&lt;=0,0,ROUND(H317*(1+IF(AND(H$6&gt;0,$B318&lt;H$6),H$4,H$5)/12),2))</f>
        <v/>
      </c>
      <c r="AN318">
        <f>IF(I317&lt;=0,0,ROUND(I317*(1+IF(AND(I$6&gt;0,$B318&lt;I$6),I$4,I$5)/12),2))</f>
        <v/>
      </c>
      <c r="AO318">
        <f>IF(J317&lt;=0,0,ROUND(J317*(1+IF(AND(J$6&gt;0,$B318&lt;J$6),J$4,J$5)/12),2))</f>
        <v/>
      </c>
      <c r="AP318">
        <f>IF(K317&lt;=0,0,ROUND(K317*(1+IF(AND(K$6&gt;0,$B318&lt;K$6),K$4,K$5)/12),2))</f>
        <v/>
      </c>
      <c r="AQ318">
        <f>IF(L317&lt;=0,0,ROUND(L317*(1+IF(AND(L$6&gt;0,$B318&lt;L$6),L$4,L$5)/12),2))</f>
        <v/>
      </c>
      <c r="AR318">
        <f>IF(M317&lt;=0,0,ROUND(M317*(1+IF(AND(M$6&gt;0,$B318&lt;M$6),M$4,M$5)/12),2))</f>
        <v/>
      </c>
      <c r="AS318">
        <f>IF(N317&lt;=0,0,ROUND(N317*(1+IF(AND(N$6&gt;0,$B318&lt;N$6),N$4,N$5)/12),2))</f>
        <v/>
      </c>
    </row>
    <row r="319">
      <c r="A319" t="n">
        <v>308</v>
      </c>
      <c r="B319">
        <f>EDATE(Plan!$C$6,307)</f>
        <v/>
      </c>
      <c r="C319">
        <f>IF(C318&lt;=0,0,MAX(0,AH319-O319))</f>
        <v/>
      </c>
      <c r="D319">
        <f>IF(D318&lt;=0,0,MAX(0,AI319-P319))</f>
        <v/>
      </c>
      <c r="E319">
        <f>IF(E318&lt;=0,0,MAX(0,AJ319-Q319))</f>
        <v/>
      </c>
      <c r="F319">
        <f>IF(F318&lt;=0,0,MAX(0,AK319-R319))</f>
        <v/>
      </c>
      <c r="G319">
        <f>IF(G318&lt;=0,0,MAX(0,AL319-S319))</f>
        <v/>
      </c>
      <c r="H319">
        <f>IF(H318&lt;=0,0,MAX(0,AM319-T319))</f>
        <v/>
      </c>
      <c r="I319">
        <f>IF(I318&lt;=0,0,MAX(0,AN319-U319))</f>
        <v/>
      </c>
      <c r="J319">
        <f>IF(J318&lt;=0,0,MAX(0,AO319-V319))</f>
        <v/>
      </c>
      <c r="K319">
        <f>IF(K318&lt;=0,0,MAX(0,AP319-W319))</f>
        <v/>
      </c>
      <c r="L319">
        <f>IF(L318&lt;=0,0,MAX(0,AQ319-X319))</f>
        <v/>
      </c>
      <c r="M319">
        <f>IF(M318&lt;=0,0,MAX(0,AR319-Y319))</f>
        <v/>
      </c>
      <c r="N319">
        <f>IF(N318&lt;=0,0,MAX(0,AS319-Z319))</f>
        <v/>
      </c>
      <c r="O319">
        <f>IF(C318&lt;=0,0,MIN(AH319,C$7+IF(C$2=$AA319,$AC319,IF(C$2=$AF319,$AG319,0))))</f>
        <v/>
      </c>
      <c r="P319">
        <f>IF(D318&lt;=0,0,MIN(AI319,D$7+IF(D$2=$AA319,$AC319,IF(D$2=$AF319,$AG319,0))))</f>
        <v/>
      </c>
      <c r="Q319">
        <f>IF(E318&lt;=0,0,MIN(AJ319,E$7+IF(E$2=$AA319,$AC319,IF(E$2=$AF319,$AG319,0))))</f>
        <v/>
      </c>
      <c r="R319">
        <f>IF(F318&lt;=0,0,MIN(AK319,F$7+IF(F$2=$AA319,$AC319,IF(F$2=$AF319,$AG319,0))))</f>
        <v/>
      </c>
      <c r="S319">
        <f>IF(G318&lt;=0,0,MIN(AL319,G$7+IF(G$2=$AA319,$AC319,IF(G$2=$AF319,$AG319,0))))</f>
        <v/>
      </c>
      <c r="T319">
        <f>IF(H318&lt;=0,0,MIN(AM319,H$7+IF(H$2=$AA319,$AC319,IF(H$2=$AF319,$AG319,0))))</f>
        <v/>
      </c>
      <c r="U319">
        <f>IF(I318&lt;=0,0,MIN(AN319,I$7+IF(I$2=$AA319,$AC319,IF(I$2=$AF319,$AG319,0))))</f>
        <v/>
      </c>
      <c r="V319">
        <f>IF(J318&lt;=0,0,MIN(AO319,J$7+IF(J$2=$AA319,$AC319,IF(J$2=$AF319,$AG319,0))))</f>
        <v/>
      </c>
      <c r="W319">
        <f>IF(K318&lt;=0,0,MIN(AP319,K$7+IF(K$2=$AA319,$AC319,IF(K$2=$AF319,$AG319,0))))</f>
        <v/>
      </c>
      <c r="X319">
        <f>IF(L318&lt;=0,0,MIN(AQ319,L$7+IF(L$2=$AA319,$AC319,IF(L$2=$AF319,$AG319,0))))</f>
        <v/>
      </c>
      <c r="Y319">
        <f>IF(M318&lt;=0,0,MIN(AR319,M$7+IF(M$2=$AA319,$AC319,IF(M$2=$AF319,$AG319,0))))</f>
        <v/>
      </c>
      <c r="Z319">
        <f>IF(N318&lt;=0,0,MIN(AS319,N$7+IF(N$2=$AA319,$AC319,IF(N$2=$AF319,$AG319,0))))</f>
        <v/>
      </c>
      <c r="AA319">
        <f>IFERROR(ROUND(1/SUMPRODUCT(MAX((C318:N318&gt;0)*($C$3:$N$3&lt;=B319)/$C$2:$N$2)),0),0)</f>
        <v/>
      </c>
      <c r="AB319">
        <f>SUMPRODUCT((C318:N318&gt;0)*$C$7:$N$7)</f>
        <v/>
      </c>
      <c r="AC319">
        <f>MAX(0,Plan!$C$5-AB319)+IF(A319=Plan!$C$8,N(Plan!$C$7),0)</f>
        <v/>
      </c>
      <c r="AD319">
        <f>SUM(C319:N319)</f>
        <v/>
      </c>
      <c r="AE319">
        <f>SUM(O319:Z319)</f>
        <v/>
      </c>
      <c r="AF319">
        <f>IFERROR(ROUND(1/SUMPRODUCT(MAX((C318:N318&gt;0)*($C$3:$N$3&lt;=B319)*($C$2:$N$2&gt;AA319)/$C$2:$N$2)),0),0)</f>
        <v/>
      </c>
      <c r="AG319">
        <f>MAX(0,AC319-MAX(0,SUMPRODUCT(($C$2:$N$2=AA319)*(AH319:AS319-$C$7:$N$7))))</f>
        <v/>
      </c>
      <c r="AH319">
        <f>IF(C318&lt;=0,0,ROUND(C318*(1+IF(AND(C$6&gt;0,$B319&lt;C$6),C$4,C$5)/12),2))</f>
        <v/>
      </c>
      <c r="AI319">
        <f>IF(D318&lt;=0,0,ROUND(D318*(1+IF(AND(D$6&gt;0,$B319&lt;D$6),D$4,D$5)/12),2))</f>
        <v/>
      </c>
      <c r="AJ319">
        <f>IF(E318&lt;=0,0,ROUND(E318*(1+IF(AND(E$6&gt;0,$B319&lt;E$6),E$4,E$5)/12),2))</f>
        <v/>
      </c>
      <c r="AK319">
        <f>IF(F318&lt;=0,0,ROUND(F318*(1+IF(AND(F$6&gt;0,$B319&lt;F$6),F$4,F$5)/12),2))</f>
        <v/>
      </c>
      <c r="AL319">
        <f>IF(G318&lt;=0,0,ROUND(G318*(1+IF(AND(G$6&gt;0,$B319&lt;G$6),G$4,G$5)/12),2))</f>
        <v/>
      </c>
      <c r="AM319">
        <f>IF(H318&lt;=0,0,ROUND(H318*(1+IF(AND(H$6&gt;0,$B319&lt;H$6),H$4,H$5)/12),2))</f>
        <v/>
      </c>
      <c r="AN319">
        <f>IF(I318&lt;=0,0,ROUND(I318*(1+IF(AND(I$6&gt;0,$B319&lt;I$6),I$4,I$5)/12),2))</f>
        <v/>
      </c>
      <c r="AO319">
        <f>IF(J318&lt;=0,0,ROUND(J318*(1+IF(AND(J$6&gt;0,$B319&lt;J$6),J$4,J$5)/12),2))</f>
        <v/>
      </c>
      <c r="AP319">
        <f>IF(K318&lt;=0,0,ROUND(K318*(1+IF(AND(K$6&gt;0,$B319&lt;K$6),K$4,K$5)/12),2))</f>
        <v/>
      </c>
      <c r="AQ319">
        <f>IF(L318&lt;=0,0,ROUND(L318*(1+IF(AND(L$6&gt;0,$B319&lt;L$6),L$4,L$5)/12),2))</f>
        <v/>
      </c>
      <c r="AR319">
        <f>IF(M318&lt;=0,0,ROUND(M318*(1+IF(AND(M$6&gt;0,$B319&lt;M$6),M$4,M$5)/12),2))</f>
        <v/>
      </c>
      <c r="AS319">
        <f>IF(N318&lt;=0,0,ROUND(N318*(1+IF(AND(N$6&gt;0,$B319&lt;N$6),N$4,N$5)/12),2))</f>
        <v/>
      </c>
    </row>
    <row r="320">
      <c r="A320" t="n">
        <v>309</v>
      </c>
      <c r="B320">
        <f>EDATE(Plan!$C$6,308)</f>
        <v/>
      </c>
      <c r="C320">
        <f>IF(C319&lt;=0,0,MAX(0,AH320-O320))</f>
        <v/>
      </c>
      <c r="D320">
        <f>IF(D319&lt;=0,0,MAX(0,AI320-P320))</f>
        <v/>
      </c>
      <c r="E320">
        <f>IF(E319&lt;=0,0,MAX(0,AJ320-Q320))</f>
        <v/>
      </c>
      <c r="F320">
        <f>IF(F319&lt;=0,0,MAX(0,AK320-R320))</f>
        <v/>
      </c>
      <c r="G320">
        <f>IF(G319&lt;=0,0,MAX(0,AL320-S320))</f>
        <v/>
      </c>
      <c r="H320">
        <f>IF(H319&lt;=0,0,MAX(0,AM320-T320))</f>
        <v/>
      </c>
      <c r="I320">
        <f>IF(I319&lt;=0,0,MAX(0,AN320-U320))</f>
        <v/>
      </c>
      <c r="J320">
        <f>IF(J319&lt;=0,0,MAX(0,AO320-V320))</f>
        <v/>
      </c>
      <c r="K320">
        <f>IF(K319&lt;=0,0,MAX(0,AP320-W320))</f>
        <v/>
      </c>
      <c r="L320">
        <f>IF(L319&lt;=0,0,MAX(0,AQ320-X320))</f>
        <v/>
      </c>
      <c r="M320">
        <f>IF(M319&lt;=0,0,MAX(0,AR320-Y320))</f>
        <v/>
      </c>
      <c r="N320">
        <f>IF(N319&lt;=0,0,MAX(0,AS320-Z320))</f>
        <v/>
      </c>
      <c r="O320">
        <f>IF(C319&lt;=0,0,MIN(AH320,C$7+IF(C$2=$AA320,$AC320,IF(C$2=$AF320,$AG320,0))))</f>
        <v/>
      </c>
      <c r="P320">
        <f>IF(D319&lt;=0,0,MIN(AI320,D$7+IF(D$2=$AA320,$AC320,IF(D$2=$AF320,$AG320,0))))</f>
        <v/>
      </c>
      <c r="Q320">
        <f>IF(E319&lt;=0,0,MIN(AJ320,E$7+IF(E$2=$AA320,$AC320,IF(E$2=$AF320,$AG320,0))))</f>
        <v/>
      </c>
      <c r="R320">
        <f>IF(F319&lt;=0,0,MIN(AK320,F$7+IF(F$2=$AA320,$AC320,IF(F$2=$AF320,$AG320,0))))</f>
        <v/>
      </c>
      <c r="S320">
        <f>IF(G319&lt;=0,0,MIN(AL320,G$7+IF(G$2=$AA320,$AC320,IF(G$2=$AF320,$AG320,0))))</f>
        <v/>
      </c>
      <c r="T320">
        <f>IF(H319&lt;=0,0,MIN(AM320,H$7+IF(H$2=$AA320,$AC320,IF(H$2=$AF320,$AG320,0))))</f>
        <v/>
      </c>
      <c r="U320">
        <f>IF(I319&lt;=0,0,MIN(AN320,I$7+IF(I$2=$AA320,$AC320,IF(I$2=$AF320,$AG320,0))))</f>
        <v/>
      </c>
      <c r="V320">
        <f>IF(J319&lt;=0,0,MIN(AO320,J$7+IF(J$2=$AA320,$AC320,IF(J$2=$AF320,$AG320,0))))</f>
        <v/>
      </c>
      <c r="W320">
        <f>IF(K319&lt;=0,0,MIN(AP320,K$7+IF(K$2=$AA320,$AC320,IF(K$2=$AF320,$AG320,0))))</f>
        <v/>
      </c>
      <c r="X320">
        <f>IF(L319&lt;=0,0,MIN(AQ320,L$7+IF(L$2=$AA320,$AC320,IF(L$2=$AF320,$AG320,0))))</f>
        <v/>
      </c>
      <c r="Y320">
        <f>IF(M319&lt;=0,0,MIN(AR320,M$7+IF(M$2=$AA320,$AC320,IF(M$2=$AF320,$AG320,0))))</f>
        <v/>
      </c>
      <c r="Z320">
        <f>IF(N319&lt;=0,0,MIN(AS320,N$7+IF(N$2=$AA320,$AC320,IF(N$2=$AF320,$AG320,0))))</f>
        <v/>
      </c>
      <c r="AA320">
        <f>IFERROR(ROUND(1/SUMPRODUCT(MAX((C319:N319&gt;0)*($C$3:$N$3&lt;=B320)/$C$2:$N$2)),0),0)</f>
        <v/>
      </c>
      <c r="AB320">
        <f>SUMPRODUCT((C319:N319&gt;0)*$C$7:$N$7)</f>
        <v/>
      </c>
      <c r="AC320">
        <f>MAX(0,Plan!$C$5-AB320)+IF(A320=Plan!$C$8,N(Plan!$C$7),0)</f>
        <v/>
      </c>
      <c r="AD320">
        <f>SUM(C320:N320)</f>
        <v/>
      </c>
      <c r="AE320">
        <f>SUM(O320:Z320)</f>
        <v/>
      </c>
      <c r="AF320">
        <f>IFERROR(ROUND(1/SUMPRODUCT(MAX((C319:N319&gt;0)*($C$3:$N$3&lt;=B320)*($C$2:$N$2&gt;AA320)/$C$2:$N$2)),0),0)</f>
        <v/>
      </c>
      <c r="AG320">
        <f>MAX(0,AC320-MAX(0,SUMPRODUCT(($C$2:$N$2=AA320)*(AH320:AS320-$C$7:$N$7))))</f>
        <v/>
      </c>
      <c r="AH320">
        <f>IF(C319&lt;=0,0,ROUND(C319*(1+IF(AND(C$6&gt;0,$B320&lt;C$6),C$4,C$5)/12),2))</f>
        <v/>
      </c>
      <c r="AI320">
        <f>IF(D319&lt;=0,0,ROUND(D319*(1+IF(AND(D$6&gt;0,$B320&lt;D$6),D$4,D$5)/12),2))</f>
        <v/>
      </c>
      <c r="AJ320">
        <f>IF(E319&lt;=0,0,ROUND(E319*(1+IF(AND(E$6&gt;0,$B320&lt;E$6),E$4,E$5)/12),2))</f>
        <v/>
      </c>
      <c r="AK320">
        <f>IF(F319&lt;=0,0,ROUND(F319*(1+IF(AND(F$6&gt;0,$B320&lt;F$6),F$4,F$5)/12),2))</f>
        <v/>
      </c>
      <c r="AL320">
        <f>IF(G319&lt;=0,0,ROUND(G319*(1+IF(AND(G$6&gt;0,$B320&lt;G$6),G$4,G$5)/12),2))</f>
        <v/>
      </c>
      <c r="AM320">
        <f>IF(H319&lt;=0,0,ROUND(H319*(1+IF(AND(H$6&gt;0,$B320&lt;H$6),H$4,H$5)/12),2))</f>
        <v/>
      </c>
      <c r="AN320">
        <f>IF(I319&lt;=0,0,ROUND(I319*(1+IF(AND(I$6&gt;0,$B320&lt;I$6),I$4,I$5)/12),2))</f>
        <v/>
      </c>
      <c r="AO320">
        <f>IF(J319&lt;=0,0,ROUND(J319*(1+IF(AND(J$6&gt;0,$B320&lt;J$6),J$4,J$5)/12),2))</f>
        <v/>
      </c>
      <c r="AP320">
        <f>IF(K319&lt;=0,0,ROUND(K319*(1+IF(AND(K$6&gt;0,$B320&lt;K$6),K$4,K$5)/12),2))</f>
        <v/>
      </c>
      <c r="AQ320">
        <f>IF(L319&lt;=0,0,ROUND(L319*(1+IF(AND(L$6&gt;0,$B320&lt;L$6),L$4,L$5)/12),2))</f>
        <v/>
      </c>
      <c r="AR320">
        <f>IF(M319&lt;=0,0,ROUND(M319*(1+IF(AND(M$6&gt;0,$B320&lt;M$6),M$4,M$5)/12),2))</f>
        <v/>
      </c>
      <c r="AS320">
        <f>IF(N319&lt;=0,0,ROUND(N319*(1+IF(AND(N$6&gt;0,$B320&lt;N$6),N$4,N$5)/12),2))</f>
        <v/>
      </c>
    </row>
    <row r="321">
      <c r="A321" t="n">
        <v>310</v>
      </c>
      <c r="B321">
        <f>EDATE(Plan!$C$6,309)</f>
        <v/>
      </c>
      <c r="C321">
        <f>IF(C320&lt;=0,0,MAX(0,AH321-O321))</f>
        <v/>
      </c>
      <c r="D321">
        <f>IF(D320&lt;=0,0,MAX(0,AI321-P321))</f>
        <v/>
      </c>
      <c r="E321">
        <f>IF(E320&lt;=0,0,MAX(0,AJ321-Q321))</f>
        <v/>
      </c>
      <c r="F321">
        <f>IF(F320&lt;=0,0,MAX(0,AK321-R321))</f>
        <v/>
      </c>
      <c r="G321">
        <f>IF(G320&lt;=0,0,MAX(0,AL321-S321))</f>
        <v/>
      </c>
      <c r="H321">
        <f>IF(H320&lt;=0,0,MAX(0,AM321-T321))</f>
        <v/>
      </c>
      <c r="I321">
        <f>IF(I320&lt;=0,0,MAX(0,AN321-U321))</f>
        <v/>
      </c>
      <c r="J321">
        <f>IF(J320&lt;=0,0,MAX(0,AO321-V321))</f>
        <v/>
      </c>
      <c r="K321">
        <f>IF(K320&lt;=0,0,MAX(0,AP321-W321))</f>
        <v/>
      </c>
      <c r="L321">
        <f>IF(L320&lt;=0,0,MAX(0,AQ321-X321))</f>
        <v/>
      </c>
      <c r="M321">
        <f>IF(M320&lt;=0,0,MAX(0,AR321-Y321))</f>
        <v/>
      </c>
      <c r="N321">
        <f>IF(N320&lt;=0,0,MAX(0,AS321-Z321))</f>
        <v/>
      </c>
      <c r="O321">
        <f>IF(C320&lt;=0,0,MIN(AH321,C$7+IF(C$2=$AA321,$AC321,IF(C$2=$AF321,$AG321,0))))</f>
        <v/>
      </c>
      <c r="P321">
        <f>IF(D320&lt;=0,0,MIN(AI321,D$7+IF(D$2=$AA321,$AC321,IF(D$2=$AF321,$AG321,0))))</f>
        <v/>
      </c>
      <c r="Q321">
        <f>IF(E320&lt;=0,0,MIN(AJ321,E$7+IF(E$2=$AA321,$AC321,IF(E$2=$AF321,$AG321,0))))</f>
        <v/>
      </c>
      <c r="R321">
        <f>IF(F320&lt;=0,0,MIN(AK321,F$7+IF(F$2=$AA321,$AC321,IF(F$2=$AF321,$AG321,0))))</f>
        <v/>
      </c>
      <c r="S321">
        <f>IF(G320&lt;=0,0,MIN(AL321,G$7+IF(G$2=$AA321,$AC321,IF(G$2=$AF321,$AG321,0))))</f>
        <v/>
      </c>
      <c r="T321">
        <f>IF(H320&lt;=0,0,MIN(AM321,H$7+IF(H$2=$AA321,$AC321,IF(H$2=$AF321,$AG321,0))))</f>
        <v/>
      </c>
      <c r="U321">
        <f>IF(I320&lt;=0,0,MIN(AN321,I$7+IF(I$2=$AA321,$AC321,IF(I$2=$AF321,$AG321,0))))</f>
        <v/>
      </c>
      <c r="V321">
        <f>IF(J320&lt;=0,0,MIN(AO321,J$7+IF(J$2=$AA321,$AC321,IF(J$2=$AF321,$AG321,0))))</f>
        <v/>
      </c>
      <c r="W321">
        <f>IF(K320&lt;=0,0,MIN(AP321,K$7+IF(K$2=$AA321,$AC321,IF(K$2=$AF321,$AG321,0))))</f>
        <v/>
      </c>
      <c r="X321">
        <f>IF(L320&lt;=0,0,MIN(AQ321,L$7+IF(L$2=$AA321,$AC321,IF(L$2=$AF321,$AG321,0))))</f>
        <v/>
      </c>
      <c r="Y321">
        <f>IF(M320&lt;=0,0,MIN(AR321,M$7+IF(M$2=$AA321,$AC321,IF(M$2=$AF321,$AG321,0))))</f>
        <v/>
      </c>
      <c r="Z321">
        <f>IF(N320&lt;=0,0,MIN(AS321,N$7+IF(N$2=$AA321,$AC321,IF(N$2=$AF321,$AG321,0))))</f>
        <v/>
      </c>
      <c r="AA321">
        <f>IFERROR(ROUND(1/SUMPRODUCT(MAX((C320:N320&gt;0)*($C$3:$N$3&lt;=B321)/$C$2:$N$2)),0),0)</f>
        <v/>
      </c>
      <c r="AB321">
        <f>SUMPRODUCT((C320:N320&gt;0)*$C$7:$N$7)</f>
        <v/>
      </c>
      <c r="AC321">
        <f>MAX(0,Plan!$C$5-AB321)+IF(A321=Plan!$C$8,N(Plan!$C$7),0)</f>
        <v/>
      </c>
      <c r="AD321">
        <f>SUM(C321:N321)</f>
        <v/>
      </c>
      <c r="AE321">
        <f>SUM(O321:Z321)</f>
        <v/>
      </c>
      <c r="AF321">
        <f>IFERROR(ROUND(1/SUMPRODUCT(MAX((C320:N320&gt;0)*($C$3:$N$3&lt;=B321)*($C$2:$N$2&gt;AA321)/$C$2:$N$2)),0),0)</f>
        <v/>
      </c>
      <c r="AG321">
        <f>MAX(0,AC321-MAX(0,SUMPRODUCT(($C$2:$N$2=AA321)*(AH321:AS321-$C$7:$N$7))))</f>
        <v/>
      </c>
      <c r="AH321">
        <f>IF(C320&lt;=0,0,ROUND(C320*(1+IF(AND(C$6&gt;0,$B321&lt;C$6),C$4,C$5)/12),2))</f>
        <v/>
      </c>
      <c r="AI321">
        <f>IF(D320&lt;=0,0,ROUND(D320*(1+IF(AND(D$6&gt;0,$B321&lt;D$6),D$4,D$5)/12),2))</f>
        <v/>
      </c>
      <c r="AJ321">
        <f>IF(E320&lt;=0,0,ROUND(E320*(1+IF(AND(E$6&gt;0,$B321&lt;E$6),E$4,E$5)/12),2))</f>
        <v/>
      </c>
      <c r="AK321">
        <f>IF(F320&lt;=0,0,ROUND(F320*(1+IF(AND(F$6&gt;0,$B321&lt;F$6),F$4,F$5)/12),2))</f>
        <v/>
      </c>
      <c r="AL321">
        <f>IF(G320&lt;=0,0,ROUND(G320*(1+IF(AND(G$6&gt;0,$B321&lt;G$6),G$4,G$5)/12),2))</f>
        <v/>
      </c>
      <c r="AM321">
        <f>IF(H320&lt;=0,0,ROUND(H320*(1+IF(AND(H$6&gt;0,$B321&lt;H$6),H$4,H$5)/12),2))</f>
        <v/>
      </c>
      <c r="AN321">
        <f>IF(I320&lt;=0,0,ROUND(I320*(1+IF(AND(I$6&gt;0,$B321&lt;I$6),I$4,I$5)/12),2))</f>
        <v/>
      </c>
      <c r="AO321">
        <f>IF(J320&lt;=0,0,ROUND(J320*(1+IF(AND(J$6&gt;0,$B321&lt;J$6),J$4,J$5)/12),2))</f>
        <v/>
      </c>
      <c r="AP321">
        <f>IF(K320&lt;=0,0,ROUND(K320*(1+IF(AND(K$6&gt;0,$B321&lt;K$6),K$4,K$5)/12),2))</f>
        <v/>
      </c>
      <c r="AQ321">
        <f>IF(L320&lt;=0,0,ROUND(L320*(1+IF(AND(L$6&gt;0,$B321&lt;L$6),L$4,L$5)/12),2))</f>
        <v/>
      </c>
      <c r="AR321">
        <f>IF(M320&lt;=0,0,ROUND(M320*(1+IF(AND(M$6&gt;0,$B321&lt;M$6),M$4,M$5)/12),2))</f>
        <v/>
      </c>
      <c r="AS321">
        <f>IF(N320&lt;=0,0,ROUND(N320*(1+IF(AND(N$6&gt;0,$B321&lt;N$6),N$4,N$5)/12),2))</f>
        <v/>
      </c>
    </row>
    <row r="322">
      <c r="A322" t="n">
        <v>311</v>
      </c>
      <c r="B322">
        <f>EDATE(Plan!$C$6,310)</f>
        <v/>
      </c>
      <c r="C322">
        <f>IF(C321&lt;=0,0,MAX(0,AH322-O322))</f>
        <v/>
      </c>
      <c r="D322">
        <f>IF(D321&lt;=0,0,MAX(0,AI322-P322))</f>
        <v/>
      </c>
      <c r="E322">
        <f>IF(E321&lt;=0,0,MAX(0,AJ322-Q322))</f>
        <v/>
      </c>
      <c r="F322">
        <f>IF(F321&lt;=0,0,MAX(0,AK322-R322))</f>
        <v/>
      </c>
      <c r="G322">
        <f>IF(G321&lt;=0,0,MAX(0,AL322-S322))</f>
        <v/>
      </c>
      <c r="H322">
        <f>IF(H321&lt;=0,0,MAX(0,AM322-T322))</f>
        <v/>
      </c>
      <c r="I322">
        <f>IF(I321&lt;=0,0,MAX(0,AN322-U322))</f>
        <v/>
      </c>
      <c r="J322">
        <f>IF(J321&lt;=0,0,MAX(0,AO322-V322))</f>
        <v/>
      </c>
      <c r="K322">
        <f>IF(K321&lt;=0,0,MAX(0,AP322-W322))</f>
        <v/>
      </c>
      <c r="L322">
        <f>IF(L321&lt;=0,0,MAX(0,AQ322-X322))</f>
        <v/>
      </c>
      <c r="M322">
        <f>IF(M321&lt;=0,0,MAX(0,AR322-Y322))</f>
        <v/>
      </c>
      <c r="N322">
        <f>IF(N321&lt;=0,0,MAX(0,AS322-Z322))</f>
        <v/>
      </c>
      <c r="O322">
        <f>IF(C321&lt;=0,0,MIN(AH322,C$7+IF(C$2=$AA322,$AC322,IF(C$2=$AF322,$AG322,0))))</f>
        <v/>
      </c>
      <c r="P322">
        <f>IF(D321&lt;=0,0,MIN(AI322,D$7+IF(D$2=$AA322,$AC322,IF(D$2=$AF322,$AG322,0))))</f>
        <v/>
      </c>
      <c r="Q322">
        <f>IF(E321&lt;=0,0,MIN(AJ322,E$7+IF(E$2=$AA322,$AC322,IF(E$2=$AF322,$AG322,0))))</f>
        <v/>
      </c>
      <c r="R322">
        <f>IF(F321&lt;=0,0,MIN(AK322,F$7+IF(F$2=$AA322,$AC322,IF(F$2=$AF322,$AG322,0))))</f>
        <v/>
      </c>
      <c r="S322">
        <f>IF(G321&lt;=0,0,MIN(AL322,G$7+IF(G$2=$AA322,$AC322,IF(G$2=$AF322,$AG322,0))))</f>
        <v/>
      </c>
      <c r="T322">
        <f>IF(H321&lt;=0,0,MIN(AM322,H$7+IF(H$2=$AA322,$AC322,IF(H$2=$AF322,$AG322,0))))</f>
        <v/>
      </c>
      <c r="U322">
        <f>IF(I321&lt;=0,0,MIN(AN322,I$7+IF(I$2=$AA322,$AC322,IF(I$2=$AF322,$AG322,0))))</f>
        <v/>
      </c>
      <c r="V322">
        <f>IF(J321&lt;=0,0,MIN(AO322,J$7+IF(J$2=$AA322,$AC322,IF(J$2=$AF322,$AG322,0))))</f>
        <v/>
      </c>
      <c r="W322">
        <f>IF(K321&lt;=0,0,MIN(AP322,K$7+IF(K$2=$AA322,$AC322,IF(K$2=$AF322,$AG322,0))))</f>
        <v/>
      </c>
      <c r="X322">
        <f>IF(L321&lt;=0,0,MIN(AQ322,L$7+IF(L$2=$AA322,$AC322,IF(L$2=$AF322,$AG322,0))))</f>
        <v/>
      </c>
      <c r="Y322">
        <f>IF(M321&lt;=0,0,MIN(AR322,M$7+IF(M$2=$AA322,$AC322,IF(M$2=$AF322,$AG322,0))))</f>
        <v/>
      </c>
      <c r="Z322">
        <f>IF(N321&lt;=0,0,MIN(AS322,N$7+IF(N$2=$AA322,$AC322,IF(N$2=$AF322,$AG322,0))))</f>
        <v/>
      </c>
      <c r="AA322">
        <f>IFERROR(ROUND(1/SUMPRODUCT(MAX((C321:N321&gt;0)*($C$3:$N$3&lt;=B322)/$C$2:$N$2)),0),0)</f>
        <v/>
      </c>
      <c r="AB322">
        <f>SUMPRODUCT((C321:N321&gt;0)*$C$7:$N$7)</f>
        <v/>
      </c>
      <c r="AC322">
        <f>MAX(0,Plan!$C$5-AB322)+IF(A322=Plan!$C$8,N(Plan!$C$7),0)</f>
        <v/>
      </c>
      <c r="AD322">
        <f>SUM(C322:N322)</f>
        <v/>
      </c>
      <c r="AE322">
        <f>SUM(O322:Z322)</f>
        <v/>
      </c>
      <c r="AF322">
        <f>IFERROR(ROUND(1/SUMPRODUCT(MAX((C321:N321&gt;0)*($C$3:$N$3&lt;=B322)*($C$2:$N$2&gt;AA322)/$C$2:$N$2)),0),0)</f>
        <v/>
      </c>
      <c r="AG322">
        <f>MAX(0,AC322-MAX(0,SUMPRODUCT(($C$2:$N$2=AA322)*(AH322:AS322-$C$7:$N$7))))</f>
        <v/>
      </c>
      <c r="AH322">
        <f>IF(C321&lt;=0,0,ROUND(C321*(1+IF(AND(C$6&gt;0,$B322&lt;C$6),C$4,C$5)/12),2))</f>
        <v/>
      </c>
      <c r="AI322">
        <f>IF(D321&lt;=0,0,ROUND(D321*(1+IF(AND(D$6&gt;0,$B322&lt;D$6),D$4,D$5)/12),2))</f>
        <v/>
      </c>
      <c r="AJ322">
        <f>IF(E321&lt;=0,0,ROUND(E321*(1+IF(AND(E$6&gt;0,$B322&lt;E$6),E$4,E$5)/12),2))</f>
        <v/>
      </c>
      <c r="AK322">
        <f>IF(F321&lt;=0,0,ROUND(F321*(1+IF(AND(F$6&gt;0,$B322&lt;F$6),F$4,F$5)/12),2))</f>
        <v/>
      </c>
      <c r="AL322">
        <f>IF(G321&lt;=0,0,ROUND(G321*(1+IF(AND(G$6&gt;0,$B322&lt;G$6),G$4,G$5)/12),2))</f>
        <v/>
      </c>
      <c r="AM322">
        <f>IF(H321&lt;=0,0,ROUND(H321*(1+IF(AND(H$6&gt;0,$B322&lt;H$6),H$4,H$5)/12),2))</f>
        <v/>
      </c>
      <c r="AN322">
        <f>IF(I321&lt;=0,0,ROUND(I321*(1+IF(AND(I$6&gt;0,$B322&lt;I$6),I$4,I$5)/12),2))</f>
        <v/>
      </c>
      <c r="AO322">
        <f>IF(J321&lt;=0,0,ROUND(J321*(1+IF(AND(J$6&gt;0,$B322&lt;J$6),J$4,J$5)/12),2))</f>
        <v/>
      </c>
      <c r="AP322">
        <f>IF(K321&lt;=0,0,ROUND(K321*(1+IF(AND(K$6&gt;0,$B322&lt;K$6),K$4,K$5)/12),2))</f>
        <v/>
      </c>
      <c r="AQ322">
        <f>IF(L321&lt;=0,0,ROUND(L321*(1+IF(AND(L$6&gt;0,$B322&lt;L$6),L$4,L$5)/12),2))</f>
        <v/>
      </c>
      <c r="AR322">
        <f>IF(M321&lt;=0,0,ROUND(M321*(1+IF(AND(M$6&gt;0,$B322&lt;M$6),M$4,M$5)/12),2))</f>
        <v/>
      </c>
      <c r="AS322">
        <f>IF(N321&lt;=0,0,ROUND(N321*(1+IF(AND(N$6&gt;0,$B322&lt;N$6),N$4,N$5)/12),2))</f>
        <v/>
      </c>
    </row>
    <row r="323">
      <c r="A323" t="n">
        <v>312</v>
      </c>
      <c r="B323">
        <f>EDATE(Plan!$C$6,311)</f>
        <v/>
      </c>
      <c r="C323">
        <f>IF(C322&lt;=0,0,MAX(0,AH323-O323))</f>
        <v/>
      </c>
      <c r="D323">
        <f>IF(D322&lt;=0,0,MAX(0,AI323-P323))</f>
        <v/>
      </c>
      <c r="E323">
        <f>IF(E322&lt;=0,0,MAX(0,AJ323-Q323))</f>
        <v/>
      </c>
      <c r="F323">
        <f>IF(F322&lt;=0,0,MAX(0,AK323-R323))</f>
        <v/>
      </c>
      <c r="G323">
        <f>IF(G322&lt;=0,0,MAX(0,AL323-S323))</f>
        <v/>
      </c>
      <c r="H323">
        <f>IF(H322&lt;=0,0,MAX(0,AM323-T323))</f>
        <v/>
      </c>
      <c r="I323">
        <f>IF(I322&lt;=0,0,MAX(0,AN323-U323))</f>
        <v/>
      </c>
      <c r="J323">
        <f>IF(J322&lt;=0,0,MAX(0,AO323-V323))</f>
        <v/>
      </c>
      <c r="K323">
        <f>IF(K322&lt;=0,0,MAX(0,AP323-W323))</f>
        <v/>
      </c>
      <c r="L323">
        <f>IF(L322&lt;=0,0,MAX(0,AQ323-X323))</f>
        <v/>
      </c>
      <c r="M323">
        <f>IF(M322&lt;=0,0,MAX(0,AR323-Y323))</f>
        <v/>
      </c>
      <c r="N323">
        <f>IF(N322&lt;=0,0,MAX(0,AS323-Z323))</f>
        <v/>
      </c>
      <c r="O323">
        <f>IF(C322&lt;=0,0,MIN(AH323,C$7+IF(C$2=$AA323,$AC323,IF(C$2=$AF323,$AG323,0))))</f>
        <v/>
      </c>
      <c r="P323">
        <f>IF(D322&lt;=0,0,MIN(AI323,D$7+IF(D$2=$AA323,$AC323,IF(D$2=$AF323,$AG323,0))))</f>
        <v/>
      </c>
      <c r="Q323">
        <f>IF(E322&lt;=0,0,MIN(AJ323,E$7+IF(E$2=$AA323,$AC323,IF(E$2=$AF323,$AG323,0))))</f>
        <v/>
      </c>
      <c r="R323">
        <f>IF(F322&lt;=0,0,MIN(AK323,F$7+IF(F$2=$AA323,$AC323,IF(F$2=$AF323,$AG323,0))))</f>
        <v/>
      </c>
      <c r="S323">
        <f>IF(G322&lt;=0,0,MIN(AL323,G$7+IF(G$2=$AA323,$AC323,IF(G$2=$AF323,$AG323,0))))</f>
        <v/>
      </c>
      <c r="T323">
        <f>IF(H322&lt;=0,0,MIN(AM323,H$7+IF(H$2=$AA323,$AC323,IF(H$2=$AF323,$AG323,0))))</f>
        <v/>
      </c>
      <c r="U323">
        <f>IF(I322&lt;=0,0,MIN(AN323,I$7+IF(I$2=$AA323,$AC323,IF(I$2=$AF323,$AG323,0))))</f>
        <v/>
      </c>
      <c r="V323">
        <f>IF(J322&lt;=0,0,MIN(AO323,J$7+IF(J$2=$AA323,$AC323,IF(J$2=$AF323,$AG323,0))))</f>
        <v/>
      </c>
      <c r="W323">
        <f>IF(K322&lt;=0,0,MIN(AP323,K$7+IF(K$2=$AA323,$AC323,IF(K$2=$AF323,$AG323,0))))</f>
        <v/>
      </c>
      <c r="X323">
        <f>IF(L322&lt;=0,0,MIN(AQ323,L$7+IF(L$2=$AA323,$AC323,IF(L$2=$AF323,$AG323,0))))</f>
        <v/>
      </c>
      <c r="Y323">
        <f>IF(M322&lt;=0,0,MIN(AR323,M$7+IF(M$2=$AA323,$AC323,IF(M$2=$AF323,$AG323,0))))</f>
        <v/>
      </c>
      <c r="Z323">
        <f>IF(N322&lt;=0,0,MIN(AS323,N$7+IF(N$2=$AA323,$AC323,IF(N$2=$AF323,$AG323,0))))</f>
        <v/>
      </c>
      <c r="AA323">
        <f>IFERROR(ROUND(1/SUMPRODUCT(MAX((C322:N322&gt;0)*($C$3:$N$3&lt;=B323)/$C$2:$N$2)),0),0)</f>
        <v/>
      </c>
      <c r="AB323">
        <f>SUMPRODUCT((C322:N322&gt;0)*$C$7:$N$7)</f>
        <v/>
      </c>
      <c r="AC323">
        <f>MAX(0,Plan!$C$5-AB323)+IF(A323=Plan!$C$8,N(Plan!$C$7),0)</f>
        <v/>
      </c>
      <c r="AD323">
        <f>SUM(C323:N323)</f>
        <v/>
      </c>
      <c r="AE323">
        <f>SUM(O323:Z323)</f>
        <v/>
      </c>
      <c r="AF323">
        <f>IFERROR(ROUND(1/SUMPRODUCT(MAX((C322:N322&gt;0)*($C$3:$N$3&lt;=B323)*($C$2:$N$2&gt;AA323)/$C$2:$N$2)),0),0)</f>
        <v/>
      </c>
      <c r="AG323">
        <f>MAX(0,AC323-MAX(0,SUMPRODUCT(($C$2:$N$2=AA323)*(AH323:AS323-$C$7:$N$7))))</f>
        <v/>
      </c>
      <c r="AH323">
        <f>IF(C322&lt;=0,0,ROUND(C322*(1+IF(AND(C$6&gt;0,$B323&lt;C$6),C$4,C$5)/12),2))</f>
        <v/>
      </c>
      <c r="AI323">
        <f>IF(D322&lt;=0,0,ROUND(D322*(1+IF(AND(D$6&gt;0,$B323&lt;D$6),D$4,D$5)/12),2))</f>
        <v/>
      </c>
      <c r="AJ323">
        <f>IF(E322&lt;=0,0,ROUND(E322*(1+IF(AND(E$6&gt;0,$B323&lt;E$6),E$4,E$5)/12),2))</f>
        <v/>
      </c>
      <c r="AK323">
        <f>IF(F322&lt;=0,0,ROUND(F322*(1+IF(AND(F$6&gt;0,$B323&lt;F$6),F$4,F$5)/12),2))</f>
        <v/>
      </c>
      <c r="AL323">
        <f>IF(G322&lt;=0,0,ROUND(G322*(1+IF(AND(G$6&gt;0,$B323&lt;G$6),G$4,G$5)/12),2))</f>
        <v/>
      </c>
      <c r="AM323">
        <f>IF(H322&lt;=0,0,ROUND(H322*(1+IF(AND(H$6&gt;0,$B323&lt;H$6),H$4,H$5)/12),2))</f>
        <v/>
      </c>
      <c r="AN323">
        <f>IF(I322&lt;=0,0,ROUND(I322*(1+IF(AND(I$6&gt;0,$B323&lt;I$6),I$4,I$5)/12),2))</f>
        <v/>
      </c>
      <c r="AO323">
        <f>IF(J322&lt;=0,0,ROUND(J322*(1+IF(AND(J$6&gt;0,$B323&lt;J$6),J$4,J$5)/12),2))</f>
        <v/>
      </c>
      <c r="AP323">
        <f>IF(K322&lt;=0,0,ROUND(K322*(1+IF(AND(K$6&gt;0,$B323&lt;K$6),K$4,K$5)/12),2))</f>
        <v/>
      </c>
      <c r="AQ323">
        <f>IF(L322&lt;=0,0,ROUND(L322*(1+IF(AND(L$6&gt;0,$B323&lt;L$6),L$4,L$5)/12),2))</f>
        <v/>
      </c>
      <c r="AR323">
        <f>IF(M322&lt;=0,0,ROUND(M322*(1+IF(AND(M$6&gt;0,$B323&lt;M$6),M$4,M$5)/12),2))</f>
        <v/>
      </c>
      <c r="AS323">
        <f>IF(N322&lt;=0,0,ROUND(N322*(1+IF(AND(N$6&gt;0,$B323&lt;N$6),N$4,N$5)/12),2))</f>
        <v/>
      </c>
    </row>
    <row r="324">
      <c r="A324" t="n">
        <v>313</v>
      </c>
      <c r="B324">
        <f>EDATE(Plan!$C$6,312)</f>
        <v/>
      </c>
      <c r="C324">
        <f>IF(C323&lt;=0,0,MAX(0,AH324-O324))</f>
        <v/>
      </c>
      <c r="D324">
        <f>IF(D323&lt;=0,0,MAX(0,AI324-P324))</f>
        <v/>
      </c>
      <c r="E324">
        <f>IF(E323&lt;=0,0,MAX(0,AJ324-Q324))</f>
        <v/>
      </c>
      <c r="F324">
        <f>IF(F323&lt;=0,0,MAX(0,AK324-R324))</f>
        <v/>
      </c>
      <c r="G324">
        <f>IF(G323&lt;=0,0,MAX(0,AL324-S324))</f>
        <v/>
      </c>
      <c r="H324">
        <f>IF(H323&lt;=0,0,MAX(0,AM324-T324))</f>
        <v/>
      </c>
      <c r="I324">
        <f>IF(I323&lt;=0,0,MAX(0,AN324-U324))</f>
        <v/>
      </c>
      <c r="J324">
        <f>IF(J323&lt;=0,0,MAX(0,AO324-V324))</f>
        <v/>
      </c>
      <c r="K324">
        <f>IF(K323&lt;=0,0,MAX(0,AP324-W324))</f>
        <v/>
      </c>
      <c r="L324">
        <f>IF(L323&lt;=0,0,MAX(0,AQ324-X324))</f>
        <v/>
      </c>
      <c r="M324">
        <f>IF(M323&lt;=0,0,MAX(0,AR324-Y324))</f>
        <v/>
      </c>
      <c r="N324">
        <f>IF(N323&lt;=0,0,MAX(0,AS324-Z324))</f>
        <v/>
      </c>
      <c r="O324">
        <f>IF(C323&lt;=0,0,MIN(AH324,C$7+IF(C$2=$AA324,$AC324,IF(C$2=$AF324,$AG324,0))))</f>
        <v/>
      </c>
      <c r="P324">
        <f>IF(D323&lt;=0,0,MIN(AI324,D$7+IF(D$2=$AA324,$AC324,IF(D$2=$AF324,$AG324,0))))</f>
        <v/>
      </c>
      <c r="Q324">
        <f>IF(E323&lt;=0,0,MIN(AJ324,E$7+IF(E$2=$AA324,$AC324,IF(E$2=$AF324,$AG324,0))))</f>
        <v/>
      </c>
      <c r="R324">
        <f>IF(F323&lt;=0,0,MIN(AK324,F$7+IF(F$2=$AA324,$AC324,IF(F$2=$AF324,$AG324,0))))</f>
        <v/>
      </c>
      <c r="S324">
        <f>IF(G323&lt;=0,0,MIN(AL324,G$7+IF(G$2=$AA324,$AC324,IF(G$2=$AF324,$AG324,0))))</f>
        <v/>
      </c>
      <c r="T324">
        <f>IF(H323&lt;=0,0,MIN(AM324,H$7+IF(H$2=$AA324,$AC324,IF(H$2=$AF324,$AG324,0))))</f>
        <v/>
      </c>
      <c r="U324">
        <f>IF(I323&lt;=0,0,MIN(AN324,I$7+IF(I$2=$AA324,$AC324,IF(I$2=$AF324,$AG324,0))))</f>
        <v/>
      </c>
      <c r="V324">
        <f>IF(J323&lt;=0,0,MIN(AO324,J$7+IF(J$2=$AA324,$AC324,IF(J$2=$AF324,$AG324,0))))</f>
        <v/>
      </c>
      <c r="W324">
        <f>IF(K323&lt;=0,0,MIN(AP324,K$7+IF(K$2=$AA324,$AC324,IF(K$2=$AF324,$AG324,0))))</f>
        <v/>
      </c>
      <c r="X324">
        <f>IF(L323&lt;=0,0,MIN(AQ324,L$7+IF(L$2=$AA324,$AC324,IF(L$2=$AF324,$AG324,0))))</f>
        <v/>
      </c>
      <c r="Y324">
        <f>IF(M323&lt;=0,0,MIN(AR324,M$7+IF(M$2=$AA324,$AC324,IF(M$2=$AF324,$AG324,0))))</f>
        <v/>
      </c>
      <c r="Z324">
        <f>IF(N323&lt;=0,0,MIN(AS324,N$7+IF(N$2=$AA324,$AC324,IF(N$2=$AF324,$AG324,0))))</f>
        <v/>
      </c>
      <c r="AA324">
        <f>IFERROR(ROUND(1/SUMPRODUCT(MAX((C323:N323&gt;0)*($C$3:$N$3&lt;=B324)/$C$2:$N$2)),0),0)</f>
        <v/>
      </c>
      <c r="AB324">
        <f>SUMPRODUCT((C323:N323&gt;0)*$C$7:$N$7)</f>
        <v/>
      </c>
      <c r="AC324">
        <f>MAX(0,Plan!$C$5-AB324)+IF(A324=Plan!$C$8,N(Plan!$C$7),0)</f>
        <v/>
      </c>
      <c r="AD324">
        <f>SUM(C324:N324)</f>
        <v/>
      </c>
      <c r="AE324">
        <f>SUM(O324:Z324)</f>
        <v/>
      </c>
      <c r="AF324">
        <f>IFERROR(ROUND(1/SUMPRODUCT(MAX((C323:N323&gt;0)*($C$3:$N$3&lt;=B324)*($C$2:$N$2&gt;AA324)/$C$2:$N$2)),0),0)</f>
        <v/>
      </c>
      <c r="AG324">
        <f>MAX(0,AC324-MAX(0,SUMPRODUCT(($C$2:$N$2=AA324)*(AH324:AS324-$C$7:$N$7))))</f>
        <v/>
      </c>
      <c r="AH324">
        <f>IF(C323&lt;=0,0,ROUND(C323*(1+IF(AND(C$6&gt;0,$B324&lt;C$6),C$4,C$5)/12),2))</f>
        <v/>
      </c>
      <c r="AI324">
        <f>IF(D323&lt;=0,0,ROUND(D323*(1+IF(AND(D$6&gt;0,$B324&lt;D$6),D$4,D$5)/12),2))</f>
        <v/>
      </c>
      <c r="AJ324">
        <f>IF(E323&lt;=0,0,ROUND(E323*(1+IF(AND(E$6&gt;0,$B324&lt;E$6),E$4,E$5)/12),2))</f>
        <v/>
      </c>
      <c r="AK324">
        <f>IF(F323&lt;=0,0,ROUND(F323*(1+IF(AND(F$6&gt;0,$B324&lt;F$6),F$4,F$5)/12),2))</f>
        <v/>
      </c>
      <c r="AL324">
        <f>IF(G323&lt;=0,0,ROUND(G323*(1+IF(AND(G$6&gt;0,$B324&lt;G$6),G$4,G$5)/12),2))</f>
        <v/>
      </c>
      <c r="AM324">
        <f>IF(H323&lt;=0,0,ROUND(H323*(1+IF(AND(H$6&gt;0,$B324&lt;H$6),H$4,H$5)/12),2))</f>
        <v/>
      </c>
      <c r="AN324">
        <f>IF(I323&lt;=0,0,ROUND(I323*(1+IF(AND(I$6&gt;0,$B324&lt;I$6),I$4,I$5)/12),2))</f>
        <v/>
      </c>
      <c r="AO324">
        <f>IF(J323&lt;=0,0,ROUND(J323*(1+IF(AND(J$6&gt;0,$B324&lt;J$6),J$4,J$5)/12),2))</f>
        <v/>
      </c>
      <c r="AP324">
        <f>IF(K323&lt;=0,0,ROUND(K323*(1+IF(AND(K$6&gt;0,$B324&lt;K$6),K$4,K$5)/12),2))</f>
        <v/>
      </c>
      <c r="AQ324">
        <f>IF(L323&lt;=0,0,ROUND(L323*(1+IF(AND(L$6&gt;0,$B324&lt;L$6),L$4,L$5)/12),2))</f>
        <v/>
      </c>
      <c r="AR324">
        <f>IF(M323&lt;=0,0,ROUND(M323*(1+IF(AND(M$6&gt;0,$B324&lt;M$6),M$4,M$5)/12),2))</f>
        <v/>
      </c>
      <c r="AS324">
        <f>IF(N323&lt;=0,0,ROUND(N323*(1+IF(AND(N$6&gt;0,$B324&lt;N$6),N$4,N$5)/12),2))</f>
        <v/>
      </c>
    </row>
    <row r="325">
      <c r="A325" t="n">
        <v>314</v>
      </c>
      <c r="B325">
        <f>EDATE(Plan!$C$6,313)</f>
        <v/>
      </c>
      <c r="C325">
        <f>IF(C324&lt;=0,0,MAX(0,AH325-O325))</f>
        <v/>
      </c>
      <c r="D325">
        <f>IF(D324&lt;=0,0,MAX(0,AI325-P325))</f>
        <v/>
      </c>
      <c r="E325">
        <f>IF(E324&lt;=0,0,MAX(0,AJ325-Q325))</f>
        <v/>
      </c>
      <c r="F325">
        <f>IF(F324&lt;=0,0,MAX(0,AK325-R325))</f>
        <v/>
      </c>
      <c r="G325">
        <f>IF(G324&lt;=0,0,MAX(0,AL325-S325))</f>
        <v/>
      </c>
      <c r="H325">
        <f>IF(H324&lt;=0,0,MAX(0,AM325-T325))</f>
        <v/>
      </c>
      <c r="I325">
        <f>IF(I324&lt;=0,0,MAX(0,AN325-U325))</f>
        <v/>
      </c>
      <c r="J325">
        <f>IF(J324&lt;=0,0,MAX(0,AO325-V325))</f>
        <v/>
      </c>
      <c r="K325">
        <f>IF(K324&lt;=0,0,MAX(0,AP325-W325))</f>
        <v/>
      </c>
      <c r="L325">
        <f>IF(L324&lt;=0,0,MAX(0,AQ325-X325))</f>
        <v/>
      </c>
      <c r="M325">
        <f>IF(M324&lt;=0,0,MAX(0,AR325-Y325))</f>
        <v/>
      </c>
      <c r="N325">
        <f>IF(N324&lt;=0,0,MAX(0,AS325-Z325))</f>
        <v/>
      </c>
      <c r="O325">
        <f>IF(C324&lt;=0,0,MIN(AH325,C$7+IF(C$2=$AA325,$AC325,IF(C$2=$AF325,$AG325,0))))</f>
        <v/>
      </c>
      <c r="P325">
        <f>IF(D324&lt;=0,0,MIN(AI325,D$7+IF(D$2=$AA325,$AC325,IF(D$2=$AF325,$AG325,0))))</f>
        <v/>
      </c>
      <c r="Q325">
        <f>IF(E324&lt;=0,0,MIN(AJ325,E$7+IF(E$2=$AA325,$AC325,IF(E$2=$AF325,$AG325,0))))</f>
        <v/>
      </c>
      <c r="R325">
        <f>IF(F324&lt;=0,0,MIN(AK325,F$7+IF(F$2=$AA325,$AC325,IF(F$2=$AF325,$AG325,0))))</f>
        <v/>
      </c>
      <c r="S325">
        <f>IF(G324&lt;=0,0,MIN(AL325,G$7+IF(G$2=$AA325,$AC325,IF(G$2=$AF325,$AG325,0))))</f>
        <v/>
      </c>
      <c r="T325">
        <f>IF(H324&lt;=0,0,MIN(AM325,H$7+IF(H$2=$AA325,$AC325,IF(H$2=$AF325,$AG325,0))))</f>
        <v/>
      </c>
      <c r="U325">
        <f>IF(I324&lt;=0,0,MIN(AN325,I$7+IF(I$2=$AA325,$AC325,IF(I$2=$AF325,$AG325,0))))</f>
        <v/>
      </c>
      <c r="V325">
        <f>IF(J324&lt;=0,0,MIN(AO325,J$7+IF(J$2=$AA325,$AC325,IF(J$2=$AF325,$AG325,0))))</f>
        <v/>
      </c>
      <c r="W325">
        <f>IF(K324&lt;=0,0,MIN(AP325,K$7+IF(K$2=$AA325,$AC325,IF(K$2=$AF325,$AG325,0))))</f>
        <v/>
      </c>
      <c r="X325">
        <f>IF(L324&lt;=0,0,MIN(AQ325,L$7+IF(L$2=$AA325,$AC325,IF(L$2=$AF325,$AG325,0))))</f>
        <v/>
      </c>
      <c r="Y325">
        <f>IF(M324&lt;=0,0,MIN(AR325,M$7+IF(M$2=$AA325,$AC325,IF(M$2=$AF325,$AG325,0))))</f>
        <v/>
      </c>
      <c r="Z325">
        <f>IF(N324&lt;=0,0,MIN(AS325,N$7+IF(N$2=$AA325,$AC325,IF(N$2=$AF325,$AG325,0))))</f>
        <v/>
      </c>
      <c r="AA325">
        <f>IFERROR(ROUND(1/SUMPRODUCT(MAX((C324:N324&gt;0)*($C$3:$N$3&lt;=B325)/$C$2:$N$2)),0),0)</f>
        <v/>
      </c>
      <c r="AB325">
        <f>SUMPRODUCT((C324:N324&gt;0)*$C$7:$N$7)</f>
        <v/>
      </c>
      <c r="AC325">
        <f>MAX(0,Plan!$C$5-AB325)+IF(A325=Plan!$C$8,N(Plan!$C$7),0)</f>
        <v/>
      </c>
      <c r="AD325">
        <f>SUM(C325:N325)</f>
        <v/>
      </c>
      <c r="AE325">
        <f>SUM(O325:Z325)</f>
        <v/>
      </c>
      <c r="AF325">
        <f>IFERROR(ROUND(1/SUMPRODUCT(MAX((C324:N324&gt;0)*($C$3:$N$3&lt;=B325)*($C$2:$N$2&gt;AA325)/$C$2:$N$2)),0),0)</f>
        <v/>
      </c>
      <c r="AG325">
        <f>MAX(0,AC325-MAX(0,SUMPRODUCT(($C$2:$N$2=AA325)*(AH325:AS325-$C$7:$N$7))))</f>
        <v/>
      </c>
      <c r="AH325">
        <f>IF(C324&lt;=0,0,ROUND(C324*(1+IF(AND(C$6&gt;0,$B325&lt;C$6),C$4,C$5)/12),2))</f>
        <v/>
      </c>
      <c r="AI325">
        <f>IF(D324&lt;=0,0,ROUND(D324*(1+IF(AND(D$6&gt;0,$B325&lt;D$6),D$4,D$5)/12),2))</f>
        <v/>
      </c>
      <c r="AJ325">
        <f>IF(E324&lt;=0,0,ROUND(E324*(1+IF(AND(E$6&gt;0,$B325&lt;E$6),E$4,E$5)/12),2))</f>
        <v/>
      </c>
      <c r="AK325">
        <f>IF(F324&lt;=0,0,ROUND(F324*(1+IF(AND(F$6&gt;0,$B325&lt;F$6),F$4,F$5)/12),2))</f>
        <v/>
      </c>
      <c r="AL325">
        <f>IF(G324&lt;=0,0,ROUND(G324*(1+IF(AND(G$6&gt;0,$B325&lt;G$6),G$4,G$5)/12),2))</f>
        <v/>
      </c>
      <c r="AM325">
        <f>IF(H324&lt;=0,0,ROUND(H324*(1+IF(AND(H$6&gt;0,$B325&lt;H$6),H$4,H$5)/12),2))</f>
        <v/>
      </c>
      <c r="AN325">
        <f>IF(I324&lt;=0,0,ROUND(I324*(1+IF(AND(I$6&gt;0,$B325&lt;I$6),I$4,I$5)/12),2))</f>
        <v/>
      </c>
      <c r="AO325">
        <f>IF(J324&lt;=0,0,ROUND(J324*(1+IF(AND(J$6&gt;0,$B325&lt;J$6),J$4,J$5)/12),2))</f>
        <v/>
      </c>
      <c r="AP325">
        <f>IF(K324&lt;=0,0,ROUND(K324*(1+IF(AND(K$6&gt;0,$B325&lt;K$6),K$4,K$5)/12),2))</f>
        <v/>
      </c>
      <c r="AQ325">
        <f>IF(L324&lt;=0,0,ROUND(L324*(1+IF(AND(L$6&gt;0,$B325&lt;L$6),L$4,L$5)/12),2))</f>
        <v/>
      </c>
      <c r="AR325">
        <f>IF(M324&lt;=0,0,ROUND(M324*(1+IF(AND(M$6&gt;0,$B325&lt;M$6),M$4,M$5)/12),2))</f>
        <v/>
      </c>
      <c r="AS325">
        <f>IF(N324&lt;=0,0,ROUND(N324*(1+IF(AND(N$6&gt;0,$B325&lt;N$6),N$4,N$5)/12),2))</f>
        <v/>
      </c>
    </row>
    <row r="326">
      <c r="A326" t="n">
        <v>315</v>
      </c>
      <c r="B326">
        <f>EDATE(Plan!$C$6,314)</f>
        <v/>
      </c>
      <c r="C326">
        <f>IF(C325&lt;=0,0,MAX(0,AH326-O326))</f>
        <v/>
      </c>
      <c r="D326">
        <f>IF(D325&lt;=0,0,MAX(0,AI326-P326))</f>
        <v/>
      </c>
      <c r="E326">
        <f>IF(E325&lt;=0,0,MAX(0,AJ326-Q326))</f>
        <v/>
      </c>
      <c r="F326">
        <f>IF(F325&lt;=0,0,MAX(0,AK326-R326))</f>
        <v/>
      </c>
      <c r="G326">
        <f>IF(G325&lt;=0,0,MAX(0,AL326-S326))</f>
        <v/>
      </c>
      <c r="H326">
        <f>IF(H325&lt;=0,0,MAX(0,AM326-T326))</f>
        <v/>
      </c>
      <c r="I326">
        <f>IF(I325&lt;=0,0,MAX(0,AN326-U326))</f>
        <v/>
      </c>
      <c r="J326">
        <f>IF(J325&lt;=0,0,MAX(0,AO326-V326))</f>
        <v/>
      </c>
      <c r="K326">
        <f>IF(K325&lt;=0,0,MAX(0,AP326-W326))</f>
        <v/>
      </c>
      <c r="L326">
        <f>IF(L325&lt;=0,0,MAX(0,AQ326-X326))</f>
        <v/>
      </c>
      <c r="M326">
        <f>IF(M325&lt;=0,0,MAX(0,AR326-Y326))</f>
        <v/>
      </c>
      <c r="N326">
        <f>IF(N325&lt;=0,0,MAX(0,AS326-Z326))</f>
        <v/>
      </c>
      <c r="O326">
        <f>IF(C325&lt;=0,0,MIN(AH326,C$7+IF(C$2=$AA326,$AC326,IF(C$2=$AF326,$AG326,0))))</f>
        <v/>
      </c>
      <c r="P326">
        <f>IF(D325&lt;=0,0,MIN(AI326,D$7+IF(D$2=$AA326,$AC326,IF(D$2=$AF326,$AG326,0))))</f>
        <v/>
      </c>
      <c r="Q326">
        <f>IF(E325&lt;=0,0,MIN(AJ326,E$7+IF(E$2=$AA326,$AC326,IF(E$2=$AF326,$AG326,0))))</f>
        <v/>
      </c>
      <c r="R326">
        <f>IF(F325&lt;=0,0,MIN(AK326,F$7+IF(F$2=$AA326,$AC326,IF(F$2=$AF326,$AG326,0))))</f>
        <v/>
      </c>
      <c r="S326">
        <f>IF(G325&lt;=0,0,MIN(AL326,G$7+IF(G$2=$AA326,$AC326,IF(G$2=$AF326,$AG326,0))))</f>
        <v/>
      </c>
      <c r="T326">
        <f>IF(H325&lt;=0,0,MIN(AM326,H$7+IF(H$2=$AA326,$AC326,IF(H$2=$AF326,$AG326,0))))</f>
        <v/>
      </c>
      <c r="U326">
        <f>IF(I325&lt;=0,0,MIN(AN326,I$7+IF(I$2=$AA326,$AC326,IF(I$2=$AF326,$AG326,0))))</f>
        <v/>
      </c>
      <c r="V326">
        <f>IF(J325&lt;=0,0,MIN(AO326,J$7+IF(J$2=$AA326,$AC326,IF(J$2=$AF326,$AG326,0))))</f>
        <v/>
      </c>
      <c r="W326">
        <f>IF(K325&lt;=0,0,MIN(AP326,K$7+IF(K$2=$AA326,$AC326,IF(K$2=$AF326,$AG326,0))))</f>
        <v/>
      </c>
      <c r="X326">
        <f>IF(L325&lt;=0,0,MIN(AQ326,L$7+IF(L$2=$AA326,$AC326,IF(L$2=$AF326,$AG326,0))))</f>
        <v/>
      </c>
      <c r="Y326">
        <f>IF(M325&lt;=0,0,MIN(AR326,M$7+IF(M$2=$AA326,$AC326,IF(M$2=$AF326,$AG326,0))))</f>
        <v/>
      </c>
      <c r="Z326">
        <f>IF(N325&lt;=0,0,MIN(AS326,N$7+IF(N$2=$AA326,$AC326,IF(N$2=$AF326,$AG326,0))))</f>
        <v/>
      </c>
      <c r="AA326">
        <f>IFERROR(ROUND(1/SUMPRODUCT(MAX((C325:N325&gt;0)*($C$3:$N$3&lt;=B326)/$C$2:$N$2)),0),0)</f>
        <v/>
      </c>
      <c r="AB326">
        <f>SUMPRODUCT((C325:N325&gt;0)*$C$7:$N$7)</f>
        <v/>
      </c>
      <c r="AC326">
        <f>MAX(0,Plan!$C$5-AB326)+IF(A326=Plan!$C$8,N(Plan!$C$7),0)</f>
        <v/>
      </c>
      <c r="AD326">
        <f>SUM(C326:N326)</f>
        <v/>
      </c>
      <c r="AE326">
        <f>SUM(O326:Z326)</f>
        <v/>
      </c>
      <c r="AF326">
        <f>IFERROR(ROUND(1/SUMPRODUCT(MAX((C325:N325&gt;0)*($C$3:$N$3&lt;=B326)*($C$2:$N$2&gt;AA326)/$C$2:$N$2)),0),0)</f>
        <v/>
      </c>
      <c r="AG326">
        <f>MAX(0,AC326-MAX(0,SUMPRODUCT(($C$2:$N$2=AA326)*(AH326:AS326-$C$7:$N$7))))</f>
        <v/>
      </c>
      <c r="AH326">
        <f>IF(C325&lt;=0,0,ROUND(C325*(1+IF(AND(C$6&gt;0,$B326&lt;C$6),C$4,C$5)/12),2))</f>
        <v/>
      </c>
      <c r="AI326">
        <f>IF(D325&lt;=0,0,ROUND(D325*(1+IF(AND(D$6&gt;0,$B326&lt;D$6),D$4,D$5)/12),2))</f>
        <v/>
      </c>
      <c r="AJ326">
        <f>IF(E325&lt;=0,0,ROUND(E325*(1+IF(AND(E$6&gt;0,$B326&lt;E$6),E$4,E$5)/12),2))</f>
        <v/>
      </c>
      <c r="AK326">
        <f>IF(F325&lt;=0,0,ROUND(F325*(1+IF(AND(F$6&gt;0,$B326&lt;F$6),F$4,F$5)/12),2))</f>
        <v/>
      </c>
      <c r="AL326">
        <f>IF(G325&lt;=0,0,ROUND(G325*(1+IF(AND(G$6&gt;0,$B326&lt;G$6),G$4,G$5)/12),2))</f>
        <v/>
      </c>
      <c r="AM326">
        <f>IF(H325&lt;=0,0,ROUND(H325*(1+IF(AND(H$6&gt;0,$B326&lt;H$6),H$4,H$5)/12),2))</f>
        <v/>
      </c>
      <c r="AN326">
        <f>IF(I325&lt;=0,0,ROUND(I325*(1+IF(AND(I$6&gt;0,$B326&lt;I$6),I$4,I$5)/12),2))</f>
        <v/>
      </c>
      <c r="AO326">
        <f>IF(J325&lt;=0,0,ROUND(J325*(1+IF(AND(J$6&gt;0,$B326&lt;J$6),J$4,J$5)/12),2))</f>
        <v/>
      </c>
      <c r="AP326">
        <f>IF(K325&lt;=0,0,ROUND(K325*(1+IF(AND(K$6&gt;0,$B326&lt;K$6),K$4,K$5)/12),2))</f>
        <v/>
      </c>
      <c r="AQ326">
        <f>IF(L325&lt;=0,0,ROUND(L325*(1+IF(AND(L$6&gt;0,$B326&lt;L$6),L$4,L$5)/12),2))</f>
        <v/>
      </c>
      <c r="AR326">
        <f>IF(M325&lt;=0,0,ROUND(M325*(1+IF(AND(M$6&gt;0,$B326&lt;M$6),M$4,M$5)/12),2))</f>
        <v/>
      </c>
      <c r="AS326">
        <f>IF(N325&lt;=0,0,ROUND(N325*(1+IF(AND(N$6&gt;0,$B326&lt;N$6),N$4,N$5)/12),2))</f>
        <v/>
      </c>
    </row>
    <row r="327">
      <c r="A327" t="n">
        <v>316</v>
      </c>
      <c r="B327">
        <f>EDATE(Plan!$C$6,315)</f>
        <v/>
      </c>
      <c r="C327">
        <f>IF(C326&lt;=0,0,MAX(0,AH327-O327))</f>
        <v/>
      </c>
      <c r="D327">
        <f>IF(D326&lt;=0,0,MAX(0,AI327-P327))</f>
        <v/>
      </c>
      <c r="E327">
        <f>IF(E326&lt;=0,0,MAX(0,AJ327-Q327))</f>
        <v/>
      </c>
      <c r="F327">
        <f>IF(F326&lt;=0,0,MAX(0,AK327-R327))</f>
        <v/>
      </c>
      <c r="G327">
        <f>IF(G326&lt;=0,0,MAX(0,AL327-S327))</f>
        <v/>
      </c>
      <c r="H327">
        <f>IF(H326&lt;=0,0,MAX(0,AM327-T327))</f>
        <v/>
      </c>
      <c r="I327">
        <f>IF(I326&lt;=0,0,MAX(0,AN327-U327))</f>
        <v/>
      </c>
      <c r="J327">
        <f>IF(J326&lt;=0,0,MAX(0,AO327-V327))</f>
        <v/>
      </c>
      <c r="K327">
        <f>IF(K326&lt;=0,0,MAX(0,AP327-W327))</f>
        <v/>
      </c>
      <c r="L327">
        <f>IF(L326&lt;=0,0,MAX(0,AQ327-X327))</f>
        <v/>
      </c>
      <c r="M327">
        <f>IF(M326&lt;=0,0,MAX(0,AR327-Y327))</f>
        <v/>
      </c>
      <c r="N327">
        <f>IF(N326&lt;=0,0,MAX(0,AS327-Z327))</f>
        <v/>
      </c>
      <c r="O327">
        <f>IF(C326&lt;=0,0,MIN(AH327,C$7+IF(C$2=$AA327,$AC327,IF(C$2=$AF327,$AG327,0))))</f>
        <v/>
      </c>
      <c r="P327">
        <f>IF(D326&lt;=0,0,MIN(AI327,D$7+IF(D$2=$AA327,$AC327,IF(D$2=$AF327,$AG327,0))))</f>
        <v/>
      </c>
      <c r="Q327">
        <f>IF(E326&lt;=0,0,MIN(AJ327,E$7+IF(E$2=$AA327,$AC327,IF(E$2=$AF327,$AG327,0))))</f>
        <v/>
      </c>
      <c r="R327">
        <f>IF(F326&lt;=0,0,MIN(AK327,F$7+IF(F$2=$AA327,$AC327,IF(F$2=$AF327,$AG327,0))))</f>
        <v/>
      </c>
      <c r="S327">
        <f>IF(G326&lt;=0,0,MIN(AL327,G$7+IF(G$2=$AA327,$AC327,IF(G$2=$AF327,$AG327,0))))</f>
        <v/>
      </c>
      <c r="T327">
        <f>IF(H326&lt;=0,0,MIN(AM327,H$7+IF(H$2=$AA327,$AC327,IF(H$2=$AF327,$AG327,0))))</f>
        <v/>
      </c>
      <c r="U327">
        <f>IF(I326&lt;=0,0,MIN(AN327,I$7+IF(I$2=$AA327,$AC327,IF(I$2=$AF327,$AG327,0))))</f>
        <v/>
      </c>
      <c r="V327">
        <f>IF(J326&lt;=0,0,MIN(AO327,J$7+IF(J$2=$AA327,$AC327,IF(J$2=$AF327,$AG327,0))))</f>
        <v/>
      </c>
      <c r="W327">
        <f>IF(K326&lt;=0,0,MIN(AP327,K$7+IF(K$2=$AA327,$AC327,IF(K$2=$AF327,$AG327,0))))</f>
        <v/>
      </c>
      <c r="X327">
        <f>IF(L326&lt;=0,0,MIN(AQ327,L$7+IF(L$2=$AA327,$AC327,IF(L$2=$AF327,$AG327,0))))</f>
        <v/>
      </c>
      <c r="Y327">
        <f>IF(M326&lt;=0,0,MIN(AR327,M$7+IF(M$2=$AA327,$AC327,IF(M$2=$AF327,$AG327,0))))</f>
        <v/>
      </c>
      <c r="Z327">
        <f>IF(N326&lt;=0,0,MIN(AS327,N$7+IF(N$2=$AA327,$AC327,IF(N$2=$AF327,$AG327,0))))</f>
        <v/>
      </c>
      <c r="AA327">
        <f>IFERROR(ROUND(1/SUMPRODUCT(MAX((C326:N326&gt;0)*($C$3:$N$3&lt;=B327)/$C$2:$N$2)),0),0)</f>
        <v/>
      </c>
      <c r="AB327">
        <f>SUMPRODUCT((C326:N326&gt;0)*$C$7:$N$7)</f>
        <v/>
      </c>
      <c r="AC327">
        <f>MAX(0,Plan!$C$5-AB327)+IF(A327=Plan!$C$8,N(Plan!$C$7),0)</f>
        <v/>
      </c>
      <c r="AD327">
        <f>SUM(C327:N327)</f>
        <v/>
      </c>
      <c r="AE327">
        <f>SUM(O327:Z327)</f>
        <v/>
      </c>
      <c r="AF327">
        <f>IFERROR(ROUND(1/SUMPRODUCT(MAX((C326:N326&gt;0)*($C$3:$N$3&lt;=B327)*($C$2:$N$2&gt;AA327)/$C$2:$N$2)),0),0)</f>
        <v/>
      </c>
      <c r="AG327">
        <f>MAX(0,AC327-MAX(0,SUMPRODUCT(($C$2:$N$2=AA327)*(AH327:AS327-$C$7:$N$7))))</f>
        <v/>
      </c>
      <c r="AH327">
        <f>IF(C326&lt;=0,0,ROUND(C326*(1+IF(AND(C$6&gt;0,$B327&lt;C$6),C$4,C$5)/12),2))</f>
        <v/>
      </c>
      <c r="AI327">
        <f>IF(D326&lt;=0,0,ROUND(D326*(1+IF(AND(D$6&gt;0,$B327&lt;D$6),D$4,D$5)/12),2))</f>
        <v/>
      </c>
      <c r="AJ327">
        <f>IF(E326&lt;=0,0,ROUND(E326*(1+IF(AND(E$6&gt;0,$B327&lt;E$6),E$4,E$5)/12),2))</f>
        <v/>
      </c>
      <c r="AK327">
        <f>IF(F326&lt;=0,0,ROUND(F326*(1+IF(AND(F$6&gt;0,$B327&lt;F$6),F$4,F$5)/12),2))</f>
        <v/>
      </c>
      <c r="AL327">
        <f>IF(G326&lt;=0,0,ROUND(G326*(1+IF(AND(G$6&gt;0,$B327&lt;G$6),G$4,G$5)/12),2))</f>
        <v/>
      </c>
      <c r="AM327">
        <f>IF(H326&lt;=0,0,ROUND(H326*(1+IF(AND(H$6&gt;0,$B327&lt;H$6),H$4,H$5)/12),2))</f>
        <v/>
      </c>
      <c r="AN327">
        <f>IF(I326&lt;=0,0,ROUND(I326*(1+IF(AND(I$6&gt;0,$B327&lt;I$6),I$4,I$5)/12),2))</f>
        <v/>
      </c>
      <c r="AO327">
        <f>IF(J326&lt;=0,0,ROUND(J326*(1+IF(AND(J$6&gt;0,$B327&lt;J$6),J$4,J$5)/12),2))</f>
        <v/>
      </c>
      <c r="AP327">
        <f>IF(K326&lt;=0,0,ROUND(K326*(1+IF(AND(K$6&gt;0,$B327&lt;K$6),K$4,K$5)/12),2))</f>
        <v/>
      </c>
      <c r="AQ327">
        <f>IF(L326&lt;=0,0,ROUND(L326*(1+IF(AND(L$6&gt;0,$B327&lt;L$6),L$4,L$5)/12),2))</f>
        <v/>
      </c>
      <c r="AR327">
        <f>IF(M326&lt;=0,0,ROUND(M326*(1+IF(AND(M$6&gt;0,$B327&lt;M$6),M$4,M$5)/12),2))</f>
        <v/>
      </c>
      <c r="AS327">
        <f>IF(N326&lt;=0,0,ROUND(N326*(1+IF(AND(N$6&gt;0,$B327&lt;N$6),N$4,N$5)/12),2))</f>
        <v/>
      </c>
    </row>
    <row r="328">
      <c r="A328" t="n">
        <v>317</v>
      </c>
      <c r="B328">
        <f>EDATE(Plan!$C$6,316)</f>
        <v/>
      </c>
      <c r="C328">
        <f>IF(C327&lt;=0,0,MAX(0,AH328-O328))</f>
        <v/>
      </c>
      <c r="D328">
        <f>IF(D327&lt;=0,0,MAX(0,AI328-P328))</f>
        <v/>
      </c>
      <c r="E328">
        <f>IF(E327&lt;=0,0,MAX(0,AJ328-Q328))</f>
        <v/>
      </c>
      <c r="F328">
        <f>IF(F327&lt;=0,0,MAX(0,AK328-R328))</f>
        <v/>
      </c>
      <c r="G328">
        <f>IF(G327&lt;=0,0,MAX(0,AL328-S328))</f>
        <v/>
      </c>
      <c r="H328">
        <f>IF(H327&lt;=0,0,MAX(0,AM328-T328))</f>
        <v/>
      </c>
      <c r="I328">
        <f>IF(I327&lt;=0,0,MAX(0,AN328-U328))</f>
        <v/>
      </c>
      <c r="J328">
        <f>IF(J327&lt;=0,0,MAX(0,AO328-V328))</f>
        <v/>
      </c>
      <c r="K328">
        <f>IF(K327&lt;=0,0,MAX(0,AP328-W328))</f>
        <v/>
      </c>
      <c r="L328">
        <f>IF(L327&lt;=0,0,MAX(0,AQ328-X328))</f>
        <v/>
      </c>
      <c r="M328">
        <f>IF(M327&lt;=0,0,MAX(0,AR328-Y328))</f>
        <v/>
      </c>
      <c r="N328">
        <f>IF(N327&lt;=0,0,MAX(0,AS328-Z328))</f>
        <v/>
      </c>
      <c r="O328">
        <f>IF(C327&lt;=0,0,MIN(AH328,C$7+IF(C$2=$AA328,$AC328,IF(C$2=$AF328,$AG328,0))))</f>
        <v/>
      </c>
      <c r="P328">
        <f>IF(D327&lt;=0,0,MIN(AI328,D$7+IF(D$2=$AA328,$AC328,IF(D$2=$AF328,$AG328,0))))</f>
        <v/>
      </c>
      <c r="Q328">
        <f>IF(E327&lt;=0,0,MIN(AJ328,E$7+IF(E$2=$AA328,$AC328,IF(E$2=$AF328,$AG328,0))))</f>
        <v/>
      </c>
      <c r="R328">
        <f>IF(F327&lt;=0,0,MIN(AK328,F$7+IF(F$2=$AA328,$AC328,IF(F$2=$AF328,$AG328,0))))</f>
        <v/>
      </c>
      <c r="S328">
        <f>IF(G327&lt;=0,0,MIN(AL328,G$7+IF(G$2=$AA328,$AC328,IF(G$2=$AF328,$AG328,0))))</f>
        <v/>
      </c>
      <c r="T328">
        <f>IF(H327&lt;=0,0,MIN(AM328,H$7+IF(H$2=$AA328,$AC328,IF(H$2=$AF328,$AG328,0))))</f>
        <v/>
      </c>
      <c r="U328">
        <f>IF(I327&lt;=0,0,MIN(AN328,I$7+IF(I$2=$AA328,$AC328,IF(I$2=$AF328,$AG328,0))))</f>
        <v/>
      </c>
      <c r="V328">
        <f>IF(J327&lt;=0,0,MIN(AO328,J$7+IF(J$2=$AA328,$AC328,IF(J$2=$AF328,$AG328,0))))</f>
        <v/>
      </c>
      <c r="W328">
        <f>IF(K327&lt;=0,0,MIN(AP328,K$7+IF(K$2=$AA328,$AC328,IF(K$2=$AF328,$AG328,0))))</f>
        <v/>
      </c>
      <c r="X328">
        <f>IF(L327&lt;=0,0,MIN(AQ328,L$7+IF(L$2=$AA328,$AC328,IF(L$2=$AF328,$AG328,0))))</f>
        <v/>
      </c>
      <c r="Y328">
        <f>IF(M327&lt;=0,0,MIN(AR328,M$7+IF(M$2=$AA328,$AC328,IF(M$2=$AF328,$AG328,0))))</f>
        <v/>
      </c>
      <c r="Z328">
        <f>IF(N327&lt;=0,0,MIN(AS328,N$7+IF(N$2=$AA328,$AC328,IF(N$2=$AF328,$AG328,0))))</f>
        <v/>
      </c>
      <c r="AA328">
        <f>IFERROR(ROUND(1/SUMPRODUCT(MAX((C327:N327&gt;0)*($C$3:$N$3&lt;=B328)/$C$2:$N$2)),0),0)</f>
        <v/>
      </c>
      <c r="AB328">
        <f>SUMPRODUCT((C327:N327&gt;0)*$C$7:$N$7)</f>
        <v/>
      </c>
      <c r="AC328">
        <f>MAX(0,Plan!$C$5-AB328)+IF(A328=Plan!$C$8,N(Plan!$C$7),0)</f>
        <v/>
      </c>
      <c r="AD328">
        <f>SUM(C328:N328)</f>
        <v/>
      </c>
      <c r="AE328">
        <f>SUM(O328:Z328)</f>
        <v/>
      </c>
      <c r="AF328">
        <f>IFERROR(ROUND(1/SUMPRODUCT(MAX((C327:N327&gt;0)*($C$3:$N$3&lt;=B328)*($C$2:$N$2&gt;AA328)/$C$2:$N$2)),0),0)</f>
        <v/>
      </c>
      <c r="AG328">
        <f>MAX(0,AC328-MAX(0,SUMPRODUCT(($C$2:$N$2=AA328)*(AH328:AS328-$C$7:$N$7))))</f>
        <v/>
      </c>
      <c r="AH328">
        <f>IF(C327&lt;=0,0,ROUND(C327*(1+IF(AND(C$6&gt;0,$B328&lt;C$6),C$4,C$5)/12),2))</f>
        <v/>
      </c>
      <c r="AI328">
        <f>IF(D327&lt;=0,0,ROUND(D327*(1+IF(AND(D$6&gt;0,$B328&lt;D$6),D$4,D$5)/12),2))</f>
        <v/>
      </c>
      <c r="AJ328">
        <f>IF(E327&lt;=0,0,ROUND(E327*(1+IF(AND(E$6&gt;0,$B328&lt;E$6),E$4,E$5)/12),2))</f>
        <v/>
      </c>
      <c r="AK328">
        <f>IF(F327&lt;=0,0,ROUND(F327*(1+IF(AND(F$6&gt;0,$B328&lt;F$6),F$4,F$5)/12),2))</f>
        <v/>
      </c>
      <c r="AL328">
        <f>IF(G327&lt;=0,0,ROUND(G327*(1+IF(AND(G$6&gt;0,$B328&lt;G$6),G$4,G$5)/12),2))</f>
        <v/>
      </c>
      <c r="AM328">
        <f>IF(H327&lt;=0,0,ROUND(H327*(1+IF(AND(H$6&gt;0,$B328&lt;H$6),H$4,H$5)/12),2))</f>
        <v/>
      </c>
      <c r="AN328">
        <f>IF(I327&lt;=0,0,ROUND(I327*(1+IF(AND(I$6&gt;0,$B328&lt;I$6),I$4,I$5)/12),2))</f>
        <v/>
      </c>
      <c r="AO328">
        <f>IF(J327&lt;=0,0,ROUND(J327*(1+IF(AND(J$6&gt;0,$B328&lt;J$6),J$4,J$5)/12),2))</f>
        <v/>
      </c>
      <c r="AP328">
        <f>IF(K327&lt;=0,0,ROUND(K327*(1+IF(AND(K$6&gt;0,$B328&lt;K$6),K$4,K$5)/12),2))</f>
        <v/>
      </c>
      <c r="AQ328">
        <f>IF(L327&lt;=0,0,ROUND(L327*(1+IF(AND(L$6&gt;0,$B328&lt;L$6),L$4,L$5)/12),2))</f>
        <v/>
      </c>
      <c r="AR328">
        <f>IF(M327&lt;=0,0,ROUND(M327*(1+IF(AND(M$6&gt;0,$B328&lt;M$6),M$4,M$5)/12),2))</f>
        <v/>
      </c>
      <c r="AS328">
        <f>IF(N327&lt;=0,0,ROUND(N327*(1+IF(AND(N$6&gt;0,$B328&lt;N$6),N$4,N$5)/12),2))</f>
        <v/>
      </c>
    </row>
    <row r="329">
      <c r="A329" t="n">
        <v>318</v>
      </c>
      <c r="B329">
        <f>EDATE(Plan!$C$6,317)</f>
        <v/>
      </c>
      <c r="C329">
        <f>IF(C328&lt;=0,0,MAX(0,AH329-O329))</f>
        <v/>
      </c>
      <c r="D329">
        <f>IF(D328&lt;=0,0,MAX(0,AI329-P329))</f>
        <v/>
      </c>
      <c r="E329">
        <f>IF(E328&lt;=0,0,MAX(0,AJ329-Q329))</f>
        <v/>
      </c>
      <c r="F329">
        <f>IF(F328&lt;=0,0,MAX(0,AK329-R329))</f>
        <v/>
      </c>
      <c r="G329">
        <f>IF(G328&lt;=0,0,MAX(0,AL329-S329))</f>
        <v/>
      </c>
      <c r="H329">
        <f>IF(H328&lt;=0,0,MAX(0,AM329-T329))</f>
        <v/>
      </c>
      <c r="I329">
        <f>IF(I328&lt;=0,0,MAX(0,AN329-U329))</f>
        <v/>
      </c>
      <c r="J329">
        <f>IF(J328&lt;=0,0,MAX(0,AO329-V329))</f>
        <v/>
      </c>
      <c r="K329">
        <f>IF(K328&lt;=0,0,MAX(0,AP329-W329))</f>
        <v/>
      </c>
      <c r="L329">
        <f>IF(L328&lt;=0,0,MAX(0,AQ329-X329))</f>
        <v/>
      </c>
      <c r="M329">
        <f>IF(M328&lt;=0,0,MAX(0,AR329-Y329))</f>
        <v/>
      </c>
      <c r="N329">
        <f>IF(N328&lt;=0,0,MAX(0,AS329-Z329))</f>
        <v/>
      </c>
      <c r="O329">
        <f>IF(C328&lt;=0,0,MIN(AH329,C$7+IF(C$2=$AA329,$AC329,IF(C$2=$AF329,$AG329,0))))</f>
        <v/>
      </c>
      <c r="P329">
        <f>IF(D328&lt;=0,0,MIN(AI329,D$7+IF(D$2=$AA329,$AC329,IF(D$2=$AF329,$AG329,0))))</f>
        <v/>
      </c>
      <c r="Q329">
        <f>IF(E328&lt;=0,0,MIN(AJ329,E$7+IF(E$2=$AA329,$AC329,IF(E$2=$AF329,$AG329,0))))</f>
        <v/>
      </c>
      <c r="R329">
        <f>IF(F328&lt;=0,0,MIN(AK329,F$7+IF(F$2=$AA329,$AC329,IF(F$2=$AF329,$AG329,0))))</f>
        <v/>
      </c>
      <c r="S329">
        <f>IF(G328&lt;=0,0,MIN(AL329,G$7+IF(G$2=$AA329,$AC329,IF(G$2=$AF329,$AG329,0))))</f>
        <v/>
      </c>
      <c r="T329">
        <f>IF(H328&lt;=0,0,MIN(AM329,H$7+IF(H$2=$AA329,$AC329,IF(H$2=$AF329,$AG329,0))))</f>
        <v/>
      </c>
      <c r="U329">
        <f>IF(I328&lt;=0,0,MIN(AN329,I$7+IF(I$2=$AA329,$AC329,IF(I$2=$AF329,$AG329,0))))</f>
        <v/>
      </c>
      <c r="V329">
        <f>IF(J328&lt;=0,0,MIN(AO329,J$7+IF(J$2=$AA329,$AC329,IF(J$2=$AF329,$AG329,0))))</f>
        <v/>
      </c>
      <c r="W329">
        <f>IF(K328&lt;=0,0,MIN(AP329,K$7+IF(K$2=$AA329,$AC329,IF(K$2=$AF329,$AG329,0))))</f>
        <v/>
      </c>
      <c r="X329">
        <f>IF(L328&lt;=0,0,MIN(AQ329,L$7+IF(L$2=$AA329,$AC329,IF(L$2=$AF329,$AG329,0))))</f>
        <v/>
      </c>
      <c r="Y329">
        <f>IF(M328&lt;=0,0,MIN(AR329,M$7+IF(M$2=$AA329,$AC329,IF(M$2=$AF329,$AG329,0))))</f>
        <v/>
      </c>
      <c r="Z329">
        <f>IF(N328&lt;=0,0,MIN(AS329,N$7+IF(N$2=$AA329,$AC329,IF(N$2=$AF329,$AG329,0))))</f>
        <v/>
      </c>
      <c r="AA329">
        <f>IFERROR(ROUND(1/SUMPRODUCT(MAX((C328:N328&gt;0)*($C$3:$N$3&lt;=B329)/$C$2:$N$2)),0),0)</f>
        <v/>
      </c>
      <c r="AB329">
        <f>SUMPRODUCT((C328:N328&gt;0)*$C$7:$N$7)</f>
        <v/>
      </c>
      <c r="AC329">
        <f>MAX(0,Plan!$C$5-AB329)+IF(A329=Plan!$C$8,N(Plan!$C$7),0)</f>
        <v/>
      </c>
      <c r="AD329">
        <f>SUM(C329:N329)</f>
        <v/>
      </c>
      <c r="AE329">
        <f>SUM(O329:Z329)</f>
        <v/>
      </c>
      <c r="AF329">
        <f>IFERROR(ROUND(1/SUMPRODUCT(MAX((C328:N328&gt;0)*($C$3:$N$3&lt;=B329)*($C$2:$N$2&gt;AA329)/$C$2:$N$2)),0),0)</f>
        <v/>
      </c>
      <c r="AG329">
        <f>MAX(0,AC329-MAX(0,SUMPRODUCT(($C$2:$N$2=AA329)*(AH329:AS329-$C$7:$N$7))))</f>
        <v/>
      </c>
      <c r="AH329">
        <f>IF(C328&lt;=0,0,ROUND(C328*(1+IF(AND(C$6&gt;0,$B329&lt;C$6),C$4,C$5)/12),2))</f>
        <v/>
      </c>
      <c r="AI329">
        <f>IF(D328&lt;=0,0,ROUND(D328*(1+IF(AND(D$6&gt;0,$B329&lt;D$6),D$4,D$5)/12),2))</f>
        <v/>
      </c>
      <c r="AJ329">
        <f>IF(E328&lt;=0,0,ROUND(E328*(1+IF(AND(E$6&gt;0,$B329&lt;E$6),E$4,E$5)/12),2))</f>
        <v/>
      </c>
      <c r="AK329">
        <f>IF(F328&lt;=0,0,ROUND(F328*(1+IF(AND(F$6&gt;0,$B329&lt;F$6),F$4,F$5)/12),2))</f>
        <v/>
      </c>
      <c r="AL329">
        <f>IF(G328&lt;=0,0,ROUND(G328*(1+IF(AND(G$6&gt;0,$B329&lt;G$6),G$4,G$5)/12),2))</f>
        <v/>
      </c>
      <c r="AM329">
        <f>IF(H328&lt;=0,0,ROUND(H328*(1+IF(AND(H$6&gt;0,$B329&lt;H$6),H$4,H$5)/12),2))</f>
        <v/>
      </c>
      <c r="AN329">
        <f>IF(I328&lt;=0,0,ROUND(I328*(1+IF(AND(I$6&gt;0,$B329&lt;I$6),I$4,I$5)/12),2))</f>
        <v/>
      </c>
      <c r="AO329">
        <f>IF(J328&lt;=0,0,ROUND(J328*(1+IF(AND(J$6&gt;0,$B329&lt;J$6),J$4,J$5)/12),2))</f>
        <v/>
      </c>
      <c r="AP329">
        <f>IF(K328&lt;=0,0,ROUND(K328*(1+IF(AND(K$6&gt;0,$B329&lt;K$6),K$4,K$5)/12),2))</f>
        <v/>
      </c>
      <c r="AQ329">
        <f>IF(L328&lt;=0,0,ROUND(L328*(1+IF(AND(L$6&gt;0,$B329&lt;L$6),L$4,L$5)/12),2))</f>
        <v/>
      </c>
      <c r="AR329">
        <f>IF(M328&lt;=0,0,ROUND(M328*(1+IF(AND(M$6&gt;0,$B329&lt;M$6),M$4,M$5)/12),2))</f>
        <v/>
      </c>
      <c r="AS329">
        <f>IF(N328&lt;=0,0,ROUND(N328*(1+IF(AND(N$6&gt;0,$B329&lt;N$6),N$4,N$5)/12),2))</f>
        <v/>
      </c>
    </row>
    <row r="330">
      <c r="A330" t="n">
        <v>319</v>
      </c>
      <c r="B330">
        <f>EDATE(Plan!$C$6,318)</f>
        <v/>
      </c>
      <c r="C330">
        <f>IF(C329&lt;=0,0,MAX(0,AH330-O330))</f>
        <v/>
      </c>
      <c r="D330">
        <f>IF(D329&lt;=0,0,MAX(0,AI330-P330))</f>
        <v/>
      </c>
      <c r="E330">
        <f>IF(E329&lt;=0,0,MAX(0,AJ330-Q330))</f>
        <v/>
      </c>
      <c r="F330">
        <f>IF(F329&lt;=0,0,MAX(0,AK330-R330))</f>
        <v/>
      </c>
      <c r="G330">
        <f>IF(G329&lt;=0,0,MAX(0,AL330-S330))</f>
        <v/>
      </c>
      <c r="H330">
        <f>IF(H329&lt;=0,0,MAX(0,AM330-T330))</f>
        <v/>
      </c>
      <c r="I330">
        <f>IF(I329&lt;=0,0,MAX(0,AN330-U330))</f>
        <v/>
      </c>
      <c r="J330">
        <f>IF(J329&lt;=0,0,MAX(0,AO330-V330))</f>
        <v/>
      </c>
      <c r="K330">
        <f>IF(K329&lt;=0,0,MAX(0,AP330-W330))</f>
        <v/>
      </c>
      <c r="L330">
        <f>IF(L329&lt;=0,0,MAX(0,AQ330-X330))</f>
        <v/>
      </c>
      <c r="M330">
        <f>IF(M329&lt;=0,0,MAX(0,AR330-Y330))</f>
        <v/>
      </c>
      <c r="N330">
        <f>IF(N329&lt;=0,0,MAX(0,AS330-Z330))</f>
        <v/>
      </c>
      <c r="O330">
        <f>IF(C329&lt;=0,0,MIN(AH330,C$7+IF(C$2=$AA330,$AC330,IF(C$2=$AF330,$AG330,0))))</f>
        <v/>
      </c>
      <c r="P330">
        <f>IF(D329&lt;=0,0,MIN(AI330,D$7+IF(D$2=$AA330,$AC330,IF(D$2=$AF330,$AG330,0))))</f>
        <v/>
      </c>
      <c r="Q330">
        <f>IF(E329&lt;=0,0,MIN(AJ330,E$7+IF(E$2=$AA330,$AC330,IF(E$2=$AF330,$AG330,0))))</f>
        <v/>
      </c>
      <c r="R330">
        <f>IF(F329&lt;=0,0,MIN(AK330,F$7+IF(F$2=$AA330,$AC330,IF(F$2=$AF330,$AG330,0))))</f>
        <v/>
      </c>
      <c r="S330">
        <f>IF(G329&lt;=0,0,MIN(AL330,G$7+IF(G$2=$AA330,$AC330,IF(G$2=$AF330,$AG330,0))))</f>
        <v/>
      </c>
      <c r="T330">
        <f>IF(H329&lt;=0,0,MIN(AM330,H$7+IF(H$2=$AA330,$AC330,IF(H$2=$AF330,$AG330,0))))</f>
        <v/>
      </c>
      <c r="U330">
        <f>IF(I329&lt;=0,0,MIN(AN330,I$7+IF(I$2=$AA330,$AC330,IF(I$2=$AF330,$AG330,0))))</f>
        <v/>
      </c>
      <c r="V330">
        <f>IF(J329&lt;=0,0,MIN(AO330,J$7+IF(J$2=$AA330,$AC330,IF(J$2=$AF330,$AG330,0))))</f>
        <v/>
      </c>
      <c r="W330">
        <f>IF(K329&lt;=0,0,MIN(AP330,K$7+IF(K$2=$AA330,$AC330,IF(K$2=$AF330,$AG330,0))))</f>
        <v/>
      </c>
      <c r="X330">
        <f>IF(L329&lt;=0,0,MIN(AQ330,L$7+IF(L$2=$AA330,$AC330,IF(L$2=$AF330,$AG330,0))))</f>
        <v/>
      </c>
      <c r="Y330">
        <f>IF(M329&lt;=0,0,MIN(AR330,M$7+IF(M$2=$AA330,$AC330,IF(M$2=$AF330,$AG330,0))))</f>
        <v/>
      </c>
      <c r="Z330">
        <f>IF(N329&lt;=0,0,MIN(AS330,N$7+IF(N$2=$AA330,$AC330,IF(N$2=$AF330,$AG330,0))))</f>
        <v/>
      </c>
      <c r="AA330">
        <f>IFERROR(ROUND(1/SUMPRODUCT(MAX((C329:N329&gt;0)*($C$3:$N$3&lt;=B330)/$C$2:$N$2)),0),0)</f>
        <v/>
      </c>
      <c r="AB330">
        <f>SUMPRODUCT((C329:N329&gt;0)*$C$7:$N$7)</f>
        <v/>
      </c>
      <c r="AC330">
        <f>MAX(0,Plan!$C$5-AB330)+IF(A330=Plan!$C$8,N(Plan!$C$7),0)</f>
        <v/>
      </c>
      <c r="AD330">
        <f>SUM(C330:N330)</f>
        <v/>
      </c>
      <c r="AE330">
        <f>SUM(O330:Z330)</f>
        <v/>
      </c>
      <c r="AF330">
        <f>IFERROR(ROUND(1/SUMPRODUCT(MAX((C329:N329&gt;0)*($C$3:$N$3&lt;=B330)*($C$2:$N$2&gt;AA330)/$C$2:$N$2)),0),0)</f>
        <v/>
      </c>
      <c r="AG330">
        <f>MAX(0,AC330-MAX(0,SUMPRODUCT(($C$2:$N$2=AA330)*(AH330:AS330-$C$7:$N$7))))</f>
        <v/>
      </c>
      <c r="AH330">
        <f>IF(C329&lt;=0,0,ROUND(C329*(1+IF(AND(C$6&gt;0,$B330&lt;C$6),C$4,C$5)/12),2))</f>
        <v/>
      </c>
      <c r="AI330">
        <f>IF(D329&lt;=0,0,ROUND(D329*(1+IF(AND(D$6&gt;0,$B330&lt;D$6),D$4,D$5)/12),2))</f>
        <v/>
      </c>
      <c r="AJ330">
        <f>IF(E329&lt;=0,0,ROUND(E329*(1+IF(AND(E$6&gt;0,$B330&lt;E$6),E$4,E$5)/12),2))</f>
        <v/>
      </c>
      <c r="AK330">
        <f>IF(F329&lt;=0,0,ROUND(F329*(1+IF(AND(F$6&gt;0,$B330&lt;F$6),F$4,F$5)/12),2))</f>
        <v/>
      </c>
      <c r="AL330">
        <f>IF(G329&lt;=0,0,ROUND(G329*(1+IF(AND(G$6&gt;0,$B330&lt;G$6),G$4,G$5)/12),2))</f>
        <v/>
      </c>
      <c r="AM330">
        <f>IF(H329&lt;=0,0,ROUND(H329*(1+IF(AND(H$6&gt;0,$B330&lt;H$6),H$4,H$5)/12),2))</f>
        <v/>
      </c>
      <c r="AN330">
        <f>IF(I329&lt;=0,0,ROUND(I329*(1+IF(AND(I$6&gt;0,$B330&lt;I$6),I$4,I$5)/12),2))</f>
        <v/>
      </c>
      <c r="AO330">
        <f>IF(J329&lt;=0,0,ROUND(J329*(1+IF(AND(J$6&gt;0,$B330&lt;J$6),J$4,J$5)/12),2))</f>
        <v/>
      </c>
      <c r="AP330">
        <f>IF(K329&lt;=0,0,ROUND(K329*(1+IF(AND(K$6&gt;0,$B330&lt;K$6),K$4,K$5)/12),2))</f>
        <v/>
      </c>
      <c r="AQ330">
        <f>IF(L329&lt;=0,0,ROUND(L329*(1+IF(AND(L$6&gt;0,$B330&lt;L$6),L$4,L$5)/12),2))</f>
        <v/>
      </c>
      <c r="AR330">
        <f>IF(M329&lt;=0,0,ROUND(M329*(1+IF(AND(M$6&gt;0,$B330&lt;M$6),M$4,M$5)/12),2))</f>
        <v/>
      </c>
      <c r="AS330">
        <f>IF(N329&lt;=0,0,ROUND(N329*(1+IF(AND(N$6&gt;0,$B330&lt;N$6),N$4,N$5)/12),2))</f>
        <v/>
      </c>
    </row>
    <row r="331">
      <c r="A331" t="n">
        <v>320</v>
      </c>
      <c r="B331">
        <f>EDATE(Plan!$C$6,319)</f>
        <v/>
      </c>
      <c r="C331">
        <f>IF(C330&lt;=0,0,MAX(0,AH331-O331))</f>
        <v/>
      </c>
      <c r="D331">
        <f>IF(D330&lt;=0,0,MAX(0,AI331-P331))</f>
        <v/>
      </c>
      <c r="E331">
        <f>IF(E330&lt;=0,0,MAX(0,AJ331-Q331))</f>
        <v/>
      </c>
      <c r="F331">
        <f>IF(F330&lt;=0,0,MAX(0,AK331-R331))</f>
        <v/>
      </c>
      <c r="G331">
        <f>IF(G330&lt;=0,0,MAX(0,AL331-S331))</f>
        <v/>
      </c>
      <c r="H331">
        <f>IF(H330&lt;=0,0,MAX(0,AM331-T331))</f>
        <v/>
      </c>
      <c r="I331">
        <f>IF(I330&lt;=0,0,MAX(0,AN331-U331))</f>
        <v/>
      </c>
      <c r="J331">
        <f>IF(J330&lt;=0,0,MAX(0,AO331-V331))</f>
        <v/>
      </c>
      <c r="K331">
        <f>IF(K330&lt;=0,0,MAX(0,AP331-W331))</f>
        <v/>
      </c>
      <c r="L331">
        <f>IF(L330&lt;=0,0,MAX(0,AQ331-X331))</f>
        <v/>
      </c>
      <c r="M331">
        <f>IF(M330&lt;=0,0,MAX(0,AR331-Y331))</f>
        <v/>
      </c>
      <c r="N331">
        <f>IF(N330&lt;=0,0,MAX(0,AS331-Z331))</f>
        <v/>
      </c>
      <c r="O331">
        <f>IF(C330&lt;=0,0,MIN(AH331,C$7+IF(C$2=$AA331,$AC331,IF(C$2=$AF331,$AG331,0))))</f>
        <v/>
      </c>
      <c r="P331">
        <f>IF(D330&lt;=0,0,MIN(AI331,D$7+IF(D$2=$AA331,$AC331,IF(D$2=$AF331,$AG331,0))))</f>
        <v/>
      </c>
      <c r="Q331">
        <f>IF(E330&lt;=0,0,MIN(AJ331,E$7+IF(E$2=$AA331,$AC331,IF(E$2=$AF331,$AG331,0))))</f>
        <v/>
      </c>
      <c r="R331">
        <f>IF(F330&lt;=0,0,MIN(AK331,F$7+IF(F$2=$AA331,$AC331,IF(F$2=$AF331,$AG331,0))))</f>
        <v/>
      </c>
      <c r="S331">
        <f>IF(G330&lt;=0,0,MIN(AL331,G$7+IF(G$2=$AA331,$AC331,IF(G$2=$AF331,$AG331,0))))</f>
        <v/>
      </c>
      <c r="T331">
        <f>IF(H330&lt;=0,0,MIN(AM331,H$7+IF(H$2=$AA331,$AC331,IF(H$2=$AF331,$AG331,0))))</f>
        <v/>
      </c>
      <c r="U331">
        <f>IF(I330&lt;=0,0,MIN(AN331,I$7+IF(I$2=$AA331,$AC331,IF(I$2=$AF331,$AG331,0))))</f>
        <v/>
      </c>
      <c r="V331">
        <f>IF(J330&lt;=0,0,MIN(AO331,J$7+IF(J$2=$AA331,$AC331,IF(J$2=$AF331,$AG331,0))))</f>
        <v/>
      </c>
      <c r="W331">
        <f>IF(K330&lt;=0,0,MIN(AP331,K$7+IF(K$2=$AA331,$AC331,IF(K$2=$AF331,$AG331,0))))</f>
        <v/>
      </c>
      <c r="X331">
        <f>IF(L330&lt;=0,0,MIN(AQ331,L$7+IF(L$2=$AA331,$AC331,IF(L$2=$AF331,$AG331,0))))</f>
        <v/>
      </c>
      <c r="Y331">
        <f>IF(M330&lt;=0,0,MIN(AR331,M$7+IF(M$2=$AA331,$AC331,IF(M$2=$AF331,$AG331,0))))</f>
        <v/>
      </c>
      <c r="Z331">
        <f>IF(N330&lt;=0,0,MIN(AS331,N$7+IF(N$2=$AA331,$AC331,IF(N$2=$AF331,$AG331,0))))</f>
        <v/>
      </c>
      <c r="AA331">
        <f>IFERROR(ROUND(1/SUMPRODUCT(MAX((C330:N330&gt;0)*($C$3:$N$3&lt;=B331)/$C$2:$N$2)),0),0)</f>
        <v/>
      </c>
      <c r="AB331">
        <f>SUMPRODUCT((C330:N330&gt;0)*$C$7:$N$7)</f>
        <v/>
      </c>
      <c r="AC331">
        <f>MAX(0,Plan!$C$5-AB331)+IF(A331=Plan!$C$8,N(Plan!$C$7),0)</f>
        <v/>
      </c>
      <c r="AD331">
        <f>SUM(C331:N331)</f>
        <v/>
      </c>
      <c r="AE331">
        <f>SUM(O331:Z331)</f>
        <v/>
      </c>
      <c r="AF331">
        <f>IFERROR(ROUND(1/SUMPRODUCT(MAX((C330:N330&gt;0)*($C$3:$N$3&lt;=B331)*($C$2:$N$2&gt;AA331)/$C$2:$N$2)),0),0)</f>
        <v/>
      </c>
      <c r="AG331">
        <f>MAX(0,AC331-MAX(0,SUMPRODUCT(($C$2:$N$2=AA331)*(AH331:AS331-$C$7:$N$7))))</f>
        <v/>
      </c>
      <c r="AH331">
        <f>IF(C330&lt;=0,0,ROUND(C330*(1+IF(AND(C$6&gt;0,$B331&lt;C$6),C$4,C$5)/12),2))</f>
        <v/>
      </c>
      <c r="AI331">
        <f>IF(D330&lt;=0,0,ROUND(D330*(1+IF(AND(D$6&gt;0,$B331&lt;D$6),D$4,D$5)/12),2))</f>
        <v/>
      </c>
      <c r="AJ331">
        <f>IF(E330&lt;=0,0,ROUND(E330*(1+IF(AND(E$6&gt;0,$B331&lt;E$6),E$4,E$5)/12),2))</f>
        <v/>
      </c>
      <c r="AK331">
        <f>IF(F330&lt;=0,0,ROUND(F330*(1+IF(AND(F$6&gt;0,$B331&lt;F$6),F$4,F$5)/12),2))</f>
        <v/>
      </c>
      <c r="AL331">
        <f>IF(G330&lt;=0,0,ROUND(G330*(1+IF(AND(G$6&gt;0,$B331&lt;G$6),G$4,G$5)/12),2))</f>
        <v/>
      </c>
      <c r="AM331">
        <f>IF(H330&lt;=0,0,ROUND(H330*(1+IF(AND(H$6&gt;0,$B331&lt;H$6),H$4,H$5)/12),2))</f>
        <v/>
      </c>
      <c r="AN331">
        <f>IF(I330&lt;=0,0,ROUND(I330*(1+IF(AND(I$6&gt;0,$B331&lt;I$6),I$4,I$5)/12),2))</f>
        <v/>
      </c>
      <c r="AO331">
        <f>IF(J330&lt;=0,0,ROUND(J330*(1+IF(AND(J$6&gt;0,$B331&lt;J$6),J$4,J$5)/12),2))</f>
        <v/>
      </c>
      <c r="AP331">
        <f>IF(K330&lt;=0,0,ROUND(K330*(1+IF(AND(K$6&gt;0,$B331&lt;K$6),K$4,K$5)/12),2))</f>
        <v/>
      </c>
      <c r="AQ331">
        <f>IF(L330&lt;=0,0,ROUND(L330*(1+IF(AND(L$6&gt;0,$B331&lt;L$6),L$4,L$5)/12),2))</f>
        <v/>
      </c>
      <c r="AR331">
        <f>IF(M330&lt;=0,0,ROUND(M330*(1+IF(AND(M$6&gt;0,$B331&lt;M$6),M$4,M$5)/12),2))</f>
        <v/>
      </c>
      <c r="AS331">
        <f>IF(N330&lt;=0,0,ROUND(N330*(1+IF(AND(N$6&gt;0,$B331&lt;N$6),N$4,N$5)/12),2))</f>
        <v/>
      </c>
    </row>
    <row r="332">
      <c r="A332" t="n">
        <v>321</v>
      </c>
      <c r="B332">
        <f>EDATE(Plan!$C$6,320)</f>
        <v/>
      </c>
      <c r="C332">
        <f>IF(C331&lt;=0,0,MAX(0,AH332-O332))</f>
        <v/>
      </c>
      <c r="D332">
        <f>IF(D331&lt;=0,0,MAX(0,AI332-P332))</f>
        <v/>
      </c>
      <c r="E332">
        <f>IF(E331&lt;=0,0,MAX(0,AJ332-Q332))</f>
        <v/>
      </c>
      <c r="F332">
        <f>IF(F331&lt;=0,0,MAX(0,AK332-R332))</f>
        <v/>
      </c>
      <c r="G332">
        <f>IF(G331&lt;=0,0,MAX(0,AL332-S332))</f>
        <v/>
      </c>
      <c r="H332">
        <f>IF(H331&lt;=0,0,MAX(0,AM332-T332))</f>
        <v/>
      </c>
      <c r="I332">
        <f>IF(I331&lt;=0,0,MAX(0,AN332-U332))</f>
        <v/>
      </c>
      <c r="J332">
        <f>IF(J331&lt;=0,0,MAX(0,AO332-V332))</f>
        <v/>
      </c>
      <c r="K332">
        <f>IF(K331&lt;=0,0,MAX(0,AP332-W332))</f>
        <v/>
      </c>
      <c r="L332">
        <f>IF(L331&lt;=0,0,MAX(0,AQ332-X332))</f>
        <v/>
      </c>
      <c r="M332">
        <f>IF(M331&lt;=0,0,MAX(0,AR332-Y332))</f>
        <v/>
      </c>
      <c r="N332">
        <f>IF(N331&lt;=0,0,MAX(0,AS332-Z332))</f>
        <v/>
      </c>
      <c r="O332">
        <f>IF(C331&lt;=0,0,MIN(AH332,C$7+IF(C$2=$AA332,$AC332,IF(C$2=$AF332,$AG332,0))))</f>
        <v/>
      </c>
      <c r="P332">
        <f>IF(D331&lt;=0,0,MIN(AI332,D$7+IF(D$2=$AA332,$AC332,IF(D$2=$AF332,$AG332,0))))</f>
        <v/>
      </c>
      <c r="Q332">
        <f>IF(E331&lt;=0,0,MIN(AJ332,E$7+IF(E$2=$AA332,$AC332,IF(E$2=$AF332,$AG332,0))))</f>
        <v/>
      </c>
      <c r="R332">
        <f>IF(F331&lt;=0,0,MIN(AK332,F$7+IF(F$2=$AA332,$AC332,IF(F$2=$AF332,$AG332,0))))</f>
        <v/>
      </c>
      <c r="S332">
        <f>IF(G331&lt;=0,0,MIN(AL332,G$7+IF(G$2=$AA332,$AC332,IF(G$2=$AF332,$AG332,0))))</f>
        <v/>
      </c>
      <c r="T332">
        <f>IF(H331&lt;=0,0,MIN(AM332,H$7+IF(H$2=$AA332,$AC332,IF(H$2=$AF332,$AG332,0))))</f>
        <v/>
      </c>
      <c r="U332">
        <f>IF(I331&lt;=0,0,MIN(AN332,I$7+IF(I$2=$AA332,$AC332,IF(I$2=$AF332,$AG332,0))))</f>
        <v/>
      </c>
      <c r="V332">
        <f>IF(J331&lt;=0,0,MIN(AO332,J$7+IF(J$2=$AA332,$AC332,IF(J$2=$AF332,$AG332,0))))</f>
        <v/>
      </c>
      <c r="W332">
        <f>IF(K331&lt;=0,0,MIN(AP332,K$7+IF(K$2=$AA332,$AC332,IF(K$2=$AF332,$AG332,0))))</f>
        <v/>
      </c>
      <c r="X332">
        <f>IF(L331&lt;=0,0,MIN(AQ332,L$7+IF(L$2=$AA332,$AC332,IF(L$2=$AF332,$AG332,0))))</f>
        <v/>
      </c>
      <c r="Y332">
        <f>IF(M331&lt;=0,0,MIN(AR332,M$7+IF(M$2=$AA332,$AC332,IF(M$2=$AF332,$AG332,0))))</f>
        <v/>
      </c>
      <c r="Z332">
        <f>IF(N331&lt;=0,0,MIN(AS332,N$7+IF(N$2=$AA332,$AC332,IF(N$2=$AF332,$AG332,0))))</f>
        <v/>
      </c>
      <c r="AA332">
        <f>IFERROR(ROUND(1/SUMPRODUCT(MAX((C331:N331&gt;0)*($C$3:$N$3&lt;=B332)/$C$2:$N$2)),0),0)</f>
        <v/>
      </c>
      <c r="AB332">
        <f>SUMPRODUCT((C331:N331&gt;0)*$C$7:$N$7)</f>
        <v/>
      </c>
      <c r="AC332">
        <f>MAX(0,Plan!$C$5-AB332)+IF(A332=Plan!$C$8,N(Plan!$C$7),0)</f>
        <v/>
      </c>
      <c r="AD332">
        <f>SUM(C332:N332)</f>
        <v/>
      </c>
      <c r="AE332">
        <f>SUM(O332:Z332)</f>
        <v/>
      </c>
      <c r="AF332">
        <f>IFERROR(ROUND(1/SUMPRODUCT(MAX((C331:N331&gt;0)*($C$3:$N$3&lt;=B332)*($C$2:$N$2&gt;AA332)/$C$2:$N$2)),0),0)</f>
        <v/>
      </c>
      <c r="AG332">
        <f>MAX(0,AC332-MAX(0,SUMPRODUCT(($C$2:$N$2=AA332)*(AH332:AS332-$C$7:$N$7))))</f>
        <v/>
      </c>
      <c r="AH332">
        <f>IF(C331&lt;=0,0,ROUND(C331*(1+IF(AND(C$6&gt;0,$B332&lt;C$6),C$4,C$5)/12),2))</f>
        <v/>
      </c>
      <c r="AI332">
        <f>IF(D331&lt;=0,0,ROUND(D331*(1+IF(AND(D$6&gt;0,$B332&lt;D$6),D$4,D$5)/12),2))</f>
        <v/>
      </c>
      <c r="AJ332">
        <f>IF(E331&lt;=0,0,ROUND(E331*(1+IF(AND(E$6&gt;0,$B332&lt;E$6),E$4,E$5)/12),2))</f>
        <v/>
      </c>
      <c r="AK332">
        <f>IF(F331&lt;=0,0,ROUND(F331*(1+IF(AND(F$6&gt;0,$B332&lt;F$6),F$4,F$5)/12),2))</f>
        <v/>
      </c>
      <c r="AL332">
        <f>IF(G331&lt;=0,0,ROUND(G331*(1+IF(AND(G$6&gt;0,$B332&lt;G$6),G$4,G$5)/12),2))</f>
        <v/>
      </c>
      <c r="AM332">
        <f>IF(H331&lt;=0,0,ROUND(H331*(1+IF(AND(H$6&gt;0,$B332&lt;H$6),H$4,H$5)/12),2))</f>
        <v/>
      </c>
      <c r="AN332">
        <f>IF(I331&lt;=0,0,ROUND(I331*(1+IF(AND(I$6&gt;0,$B332&lt;I$6),I$4,I$5)/12),2))</f>
        <v/>
      </c>
      <c r="AO332">
        <f>IF(J331&lt;=0,0,ROUND(J331*(1+IF(AND(J$6&gt;0,$B332&lt;J$6),J$4,J$5)/12),2))</f>
        <v/>
      </c>
      <c r="AP332">
        <f>IF(K331&lt;=0,0,ROUND(K331*(1+IF(AND(K$6&gt;0,$B332&lt;K$6),K$4,K$5)/12),2))</f>
        <v/>
      </c>
      <c r="AQ332">
        <f>IF(L331&lt;=0,0,ROUND(L331*(1+IF(AND(L$6&gt;0,$B332&lt;L$6),L$4,L$5)/12),2))</f>
        <v/>
      </c>
      <c r="AR332">
        <f>IF(M331&lt;=0,0,ROUND(M331*(1+IF(AND(M$6&gt;0,$B332&lt;M$6),M$4,M$5)/12),2))</f>
        <v/>
      </c>
      <c r="AS332">
        <f>IF(N331&lt;=0,0,ROUND(N331*(1+IF(AND(N$6&gt;0,$B332&lt;N$6),N$4,N$5)/12),2))</f>
        <v/>
      </c>
    </row>
    <row r="333">
      <c r="A333" t="n">
        <v>322</v>
      </c>
      <c r="B333">
        <f>EDATE(Plan!$C$6,321)</f>
        <v/>
      </c>
      <c r="C333">
        <f>IF(C332&lt;=0,0,MAX(0,AH333-O333))</f>
        <v/>
      </c>
      <c r="D333">
        <f>IF(D332&lt;=0,0,MAX(0,AI333-P333))</f>
        <v/>
      </c>
      <c r="E333">
        <f>IF(E332&lt;=0,0,MAX(0,AJ333-Q333))</f>
        <v/>
      </c>
      <c r="F333">
        <f>IF(F332&lt;=0,0,MAX(0,AK333-R333))</f>
        <v/>
      </c>
      <c r="G333">
        <f>IF(G332&lt;=0,0,MAX(0,AL333-S333))</f>
        <v/>
      </c>
      <c r="H333">
        <f>IF(H332&lt;=0,0,MAX(0,AM333-T333))</f>
        <v/>
      </c>
      <c r="I333">
        <f>IF(I332&lt;=0,0,MAX(0,AN333-U333))</f>
        <v/>
      </c>
      <c r="J333">
        <f>IF(J332&lt;=0,0,MAX(0,AO333-V333))</f>
        <v/>
      </c>
      <c r="K333">
        <f>IF(K332&lt;=0,0,MAX(0,AP333-W333))</f>
        <v/>
      </c>
      <c r="L333">
        <f>IF(L332&lt;=0,0,MAX(0,AQ333-X333))</f>
        <v/>
      </c>
      <c r="M333">
        <f>IF(M332&lt;=0,0,MAX(0,AR333-Y333))</f>
        <v/>
      </c>
      <c r="N333">
        <f>IF(N332&lt;=0,0,MAX(0,AS333-Z333))</f>
        <v/>
      </c>
      <c r="O333">
        <f>IF(C332&lt;=0,0,MIN(AH333,C$7+IF(C$2=$AA333,$AC333,IF(C$2=$AF333,$AG333,0))))</f>
        <v/>
      </c>
      <c r="P333">
        <f>IF(D332&lt;=0,0,MIN(AI333,D$7+IF(D$2=$AA333,$AC333,IF(D$2=$AF333,$AG333,0))))</f>
        <v/>
      </c>
      <c r="Q333">
        <f>IF(E332&lt;=0,0,MIN(AJ333,E$7+IF(E$2=$AA333,$AC333,IF(E$2=$AF333,$AG333,0))))</f>
        <v/>
      </c>
      <c r="R333">
        <f>IF(F332&lt;=0,0,MIN(AK333,F$7+IF(F$2=$AA333,$AC333,IF(F$2=$AF333,$AG333,0))))</f>
        <v/>
      </c>
      <c r="S333">
        <f>IF(G332&lt;=0,0,MIN(AL333,G$7+IF(G$2=$AA333,$AC333,IF(G$2=$AF333,$AG333,0))))</f>
        <v/>
      </c>
      <c r="T333">
        <f>IF(H332&lt;=0,0,MIN(AM333,H$7+IF(H$2=$AA333,$AC333,IF(H$2=$AF333,$AG333,0))))</f>
        <v/>
      </c>
      <c r="U333">
        <f>IF(I332&lt;=0,0,MIN(AN333,I$7+IF(I$2=$AA333,$AC333,IF(I$2=$AF333,$AG333,0))))</f>
        <v/>
      </c>
      <c r="V333">
        <f>IF(J332&lt;=0,0,MIN(AO333,J$7+IF(J$2=$AA333,$AC333,IF(J$2=$AF333,$AG333,0))))</f>
        <v/>
      </c>
      <c r="W333">
        <f>IF(K332&lt;=0,0,MIN(AP333,K$7+IF(K$2=$AA333,$AC333,IF(K$2=$AF333,$AG333,0))))</f>
        <v/>
      </c>
      <c r="X333">
        <f>IF(L332&lt;=0,0,MIN(AQ333,L$7+IF(L$2=$AA333,$AC333,IF(L$2=$AF333,$AG333,0))))</f>
        <v/>
      </c>
      <c r="Y333">
        <f>IF(M332&lt;=0,0,MIN(AR333,M$7+IF(M$2=$AA333,$AC333,IF(M$2=$AF333,$AG333,0))))</f>
        <v/>
      </c>
      <c r="Z333">
        <f>IF(N332&lt;=0,0,MIN(AS333,N$7+IF(N$2=$AA333,$AC333,IF(N$2=$AF333,$AG333,0))))</f>
        <v/>
      </c>
      <c r="AA333">
        <f>IFERROR(ROUND(1/SUMPRODUCT(MAX((C332:N332&gt;0)*($C$3:$N$3&lt;=B333)/$C$2:$N$2)),0),0)</f>
        <v/>
      </c>
      <c r="AB333">
        <f>SUMPRODUCT((C332:N332&gt;0)*$C$7:$N$7)</f>
        <v/>
      </c>
      <c r="AC333">
        <f>MAX(0,Plan!$C$5-AB333)+IF(A333=Plan!$C$8,N(Plan!$C$7),0)</f>
        <v/>
      </c>
      <c r="AD333">
        <f>SUM(C333:N333)</f>
        <v/>
      </c>
      <c r="AE333">
        <f>SUM(O333:Z333)</f>
        <v/>
      </c>
      <c r="AF333">
        <f>IFERROR(ROUND(1/SUMPRODUCT(MAX((C332:N332&gt;0)*($C$3:$N$3&lt;=B333)*($C$2:$N$2&gt;AA333)/$C$2:$N$2)),0),0)</f>
        <v/>
      </c>
      <c r="AG333">
        <f>MAX(0,AC333-MAX(0,SUMPRODUCT(($C$2:$N$2=AA333)*(AH333:AS333-$C$7:$N$7))))</f>
        <v/>
      </c>
      <c r="AH333">
        <f>IF(C332&lt;=0,0,ROUND(C332*(1+IF(AND(C$6&gt;0,$B333&lt;C$6),C$4,C$5)/12),2))</f>
        <v/>
      </c>
      <c r="AI333">
        <f>IF(D332&lt;=0,0,ROUND(D332*(1+IF(AND(D$6&gt;0,$B333&lt;D$6),D$4,D$5)/12),2))</f>
        <v/>
      </c>
      <c r="AJ333">
        <f>IF(E332&lt;=0,0,ROUND(E332*(1+IF(AND(E$6&gt;0,$B333&lt;E$6),E$4,E$5)/12),2))</f>
        <v/>
      </c>
      <c r="AK333">
        <f>IF(F332&lt;=0,0,ROUND(F332*(1+IF(AND(F$6&gt;0,$B333&lt;F$6),F$4,F$5)/12),2))</f>
        <v/>
      </c>
      <c r="AL333">
        <f>IF(G332&lt;=0,0,ROUND(G332*(1+IF(AND(G$6&gt;0,$B333&lt;G$6),G$4,G$5)/12),2))</f>
        <v/>
      </c>
      <c r="AM333">
        <f>IF(H332&lt;=0,0,ROUND(H332*(1+IF(AND(H$6&gt;0,$B333&lt;H$6),H$4,H$5)/12),2))</f>
        <v/>
      </c>
      <c r="AN333">
        <f>IF(I332&lt;=0,0,ROUND(I332*(1+IF(AND(I$6&gt;0,$B333&lt;I$6),I$4,I$5)/12),2))</f>
        <v/>
      </c>
      <c r="AO333">
        <f>IF(J332&lt;=0,0,ROUND(J332*(1+IF(AND(J$6&gt;0,$B333&lt;J$6),J$4,J$5)/12),2))</f>
        <v/>
      </c>
      <c r="AP333">
        <f>IF(K332&lt;=0,0,ROUND(K332*(1+IF(AND(K$6&gt;0,$B333&lt;K$6),K$4,K$5)/12),2))</f>
        <v/>
      </c>
      <c r="AQ333">
        <f>IF(L332&lt;=0,0,ROUND(L332*(1+IF(AND(L$6&gt;0,$B333&lt;L$6),L$4,L$5)/12),2))</f>
        <v/>
      </c>
      <c r="AR333">
        <f>IF(M332&lt;=0,0,ROUND(M332*(1+IF(AND(M$6&gt;0,$B333&lt;M$6),M$4,M$5)/12),2))</f>
        <v/>
      </c>
      <c r="AS333">
        <f>IF(N332&lt;=0,0,ROUND(N332*(1+IF(AND(N$6&gt;0,$B333&lt;N$6),N$4,N$5)/12),2))</f>
        <v/>
      </c>
    </row>
    <row r="334">
      <c r="A334" t="n">
        <v>323</v>
      </c>
      <c r="B334">
        <f>EDATE(Plan!$C$6,322)</f>
        <v/>
      </c>
      <c r="C334">
        <f>IF(C333&lt;=0,0,MAX(0,AH334-O334))</f>
        <v/>
      </c>
      <c r="D334">
        <f>IF(D333&lt;=0,0,MAX(0,AI334-P334))</f>
        <v/>
      </c>
      <c r="E334">
        <f>IF(E333&lt;=0,0,MAX(0,AJ334-Q334))</f>
        <v/>
      </c>
      <c r="F334">
        <f>IF(F333&lt;=0,0,MAX(0,AK334-R334))</f>
        <v/>
      </c>
      <c r="G334">
        <f>IF(G333&lt;=0,0,MAX(0,AL334-S334))</f>
        <v/>
      </c>
      <c r="H334">
        <f>IF(H333&lt;=0,0,MAX(0,AM334-T334))</f>
        <v/>
      </c>
      <c r="I334">
        <f>IF(I333&lt;=0,0,MAX(0,AN334-U334))</f>
        <v/>
      </c>
      <c r="J334">
        <f>IF(J333&lt;=0,0,MAX(0,AO334-V334))</f>
        <v/>
      </c>
      <c r="K334">
        <f>IF(K333&lt;=0,0,MAX(0,AP334-W334))</f>
        <v/>
      </c>
      <c r="L334">
        <f>IF(L333&lt;=0,0,MAX(0,AQ334-X334))</f>
        <v/>
      </c>
      <c r="M334">
        <f>IF(M333&lt;=0,0,MAX(0,AR334-Y334))</f>
        <v/>
      </c>
      <c r="N334">
        <f>IF(N333&lt;=0,0,MAX(0,AS334-Z334))</f>
        <v/>
      </c>
      <c r="O334">
        <f>IF(C333&lt;=0,0,MIN(AH334,C$7+IF(C$2=$AA334,$AC334,IF(C$2=$AF334,$AG334,0))))</f>
        <v/>
      </c>
      <c r="P334">
        <f>IF(D333&lt;=0,0,MIN(AI334,D$7+IF(D$2=$AA334,$AC334,IF(D$2=$AF334,$AG334,0))))</f>
        <v/>
      </c>
      <c r="Q334">
        <f>IF(E333&lt;=0,0,MIN(AJ334,E$7+IF(E$2=$AA334,$AC334,IF(E$2=$AF334,$AG334,0))))</f>
        <v/>
      </c>
      <c r="R334">
        <f>IF(F333&lt;=0,0,MIN(AK334,F$7+IF(F$2=$AA334,$AC334,IF(F$2=$AF334,$AG334,0))))</f>
        <v/>
      </c>
      <c r="S334">
        <f>IF(G333&lt;=0,0,MIN(AL334,G$7+IF(G$2=$AA334,$AC334,IF(G$2=$AF334,$AG334,0))))</f>
        <v/>
      </c>
      <c r="T334">
        <f>IF(H333&lt;=0,0,MIN(AM334,H$7+IF(H$2=$AA334,$AC334,IF(H$2=$AF334,$AG334,0))))</f>
        <v/>
      </c>
      <c r="U334">
        <f>IF(I333&lt;=0,0,MIN(AN334,I$7+IF(I$2=$AA334,$AC334,IF(I$2=$AF334,$AG334,0))))</f>
        <v/>
      </c>
      <c r="V334">
        <f>IF(J333&lt;=0,0,MIN(AO334,J$7+IF(J$2=$AA334,$AC334,IF(J$2=$AF334,$AG334,0))))</f>
        <v/>
      </c>
      <c r="W334">
        <f>IF(K333&lt;=0,0,MIN(AP334,K$7+IF(K$2=$AA334,$AC334,IF(K$2=$AF334,$AG334,0))))</f>
        <v/>
      </c>
      <c r="X334">
        <f>IF(L333&lt;=0,0,MIN(AQ334,L$7+IF(L$2=$AA334,$AC334,IF(L$2=$AF334,$AG334,0))))</f>
        <v/>
      </c>
      <c r="Y334">
        <f>IF(M333&lt;=0,0,MIN(AR334,M$7+IF(M$2=$AA334,$AC334,IF(M$2=$AF334,$AG334,0))))</f>
        <v/>
      </c>
      <c r="Z334">
        <f>IF(N333&lt;=0,0,MIN(AS334,N$7+IF(N$2=$AA334,$AC334,IF(N$2=$AF334,$AG334,0))))</f>
        <v/>
      </c>
      <c r="AA334">
        <f>IFERROR(ROUND(1/SUMPRODUCT(MAX((C333:N333&gt;0)*($C$3:$N$3&lt;=B334)/$C$2:$N$2)),0),0)</f>
        <v/>
      </c>
      <c r="AB334">
        <f>SUMPRODUCT((C333:N333&gt;0)*$C$7:$N$7)</f>
        <v/>
      </c>
      <c r="AC334">
        <f>MAX(0,Plan!$C$5-AB334)+IF(A334=Plan!$C$8,N(Plan!$C$7),0)</f>
        <v/>
      </c>
      <c r="AD334">
        <f>SUM(C334:N334)</f>
        <v/>
      </c>
      <c r="AE334">
        <f>SUM(O334:Z334)</f>
        <v/>
      </c>
      <c r="AF334">
        <f>IFERROR(ROUND(1/SUMPRODUCT(MAX((C333:N333&gt;0)*($C$3:$N$3&lt;=B334)*($C$2:$N$2&gt;AA334)/$C$2:$N$2)),0),0)</f>
        <v/>
      </c>
      <c r="AG334">
        <f>MAX(0,AC334-MAX(0,SUMPRODUCT(($C$2:$N$2=AA334)*(AH334:AS334-$C$7:$N$7))))</f>
        <v/>
      </c>
      <c r="AH334">
        <f>IF(C333&lt;=0,0,ROUND(C333*(1+IF(AND(C$6&gt;0,$B334&lt;C$6),C$4,C$5)/12),2))</f>
        <v/>
      </c>
      <c r="AI334">
        <f>IF(D333&lt;=0,0,ROUND(D333*(1+IF(AND(D$6&gt;0,$B334&lt;D$6),D$4,D$5)/12),2))</f>
        <v/>
      </c>
      <c r="AJ334">
        <f>IF(E333&lt;=0,0,ROUND(E333*(1+IF(AND(E$6&gt;0,$B334&lt;E$6),E$4,E$5)/12),2))</f>
        <v/>
      </c>
      <c r="AK334">
        <f>IF(F333&lt;=0,0,ROUND(F333*(1+IF(AND(F$6&gt;0,$B334&lt;F$6),F$4,F$5)/12),2))</f>
        <v/>
      </c>
      <c r="AL334">
        <f>IF(G333&lt;=0,0,ROUND(G333*(1+IF(AND(G$6&gt;0,$B334&lt;G$6),G$4,G$5)/12),2))</f>
        <v/>
      </c>
      <c r="AM334">
        <f>IF(H333&lt;=0,0,ROUND(H333*(1+IF(AND(H$6&gt;0,$B334&lt;H$6),H$4,H$5)/12),2))</f>
        <v/>
      </c>
      <c r="AN334">
        <f>IF(I333&lt;=0,0,ROUND(I333*(1+IF(AND(I$6&gt;0,$B334&lt;I$6),I$4,I$5)/12),2))</f>
        <v/>
      </c>
      <c r="AO334">
        <f>IF(J333&lt;=0,0,ROUND(J333*(1+IF(AND(J$6&gt;0,$B334&lt;J$6),J$4,J$5)/12),2))</f>
        <v/>
      </c>
      <c r="AP334">
        <f>IF(K333&lt;=0,0,ROUND(K333*(1+IF(AND(K$6&gt;0,$B334&lt;K$6),K$4,K$5)/12),2))</f>
        <v/>
      </c>
      <c r="AQ334">
        <f>IF(L333&lt;=0,0,ROUND(L333*(1+IF(AND(L$6&gt;0,$B334&lt;L$6),L$4,L$5)/12),2))</f>
        <v/>
      </c>
      <c r="AR334">
        <f>IF(M333&lt;=0,0,ROUND(M333*(1+IF(AND(M$6&gt;0,$B334&lt;M$6),M$4,M$5)/12),2))</f>
        <v/>
      </c>
      <c r="AS334">
        <f>IF(N333&lt;=0,0,ROUND(N333*(1+IF(AND(N$6&gt;0,$B334&lt;N$6),N$4,N$5)/12),2))</f>
        <v/>
      </c>
    </row>
    <row r="335">
      <c r="A335" t="n">
        <v>324</v>
      </c>
      <c r="B335">
        <f>EDATE(Plan!$C$6,323)</f>
        <v/>
      </c>
      <c r="C335">
        <f>IF(C334&lt;=0,0,MAX(0,AH335-O335))</f>
        <v/>
      </c>
      <c r="D335">
        <f>IF(D334&lt;=0,0,MAX(0,AI335-P335))</f>
        <v/>
      </c>
      <c r="E335">
        <f>IF(E334&lt;=0,0,MAX(0,AJ335-Q335))</f>
        <v/>
      </c>
      <c r="F335">
        <f>IF(F334&lt;=0,0,MAX(0,AK335-R335))</f>
        <v/>
      </c>
      <c r="G335">
        <f>IF(G334&lt;=0,0,MAX(0,AL335-S335))</f>
        <v/>
      </c>
      <c r="H335">
        <f>IF(H334&lt;=0,0,MAX(0,AM335-T335))</f>
        <v/>
      </c>
      <c r="I335">
        <f>IF(I334&lt;=0,0,MAX(0,AN335-U335))</f>
        <v/>
      </c>
      <c r="J335">
        <f>IF(J334&lt;=0,0,MAX(0,AO335-V335))</f>
        <v/>
      </c>
      <c r="K335">
        <f>IF(K334&lt;=0,0,MAX(0,AP335-W335))</f>
        <v/>
      </c>
      <c r="L335">
        <f>IF(L334&lt;=0,0,MAX(0,AQ335-X335))</f>
        <v/>
      </c>
      <c r="M335">
        <f>IF(M334&lt;=0,0,MAX(0,AR335-Y335))</f>
        <v/>
      </c>
      <c r="N335">
        <f>IF(N334&lt;=0,0,MAX(0,AS335-Z335))</f>
        <v/>
      </c>
      <c r="O335">
        <f>IF(C334&lt;=0,0,MIN(AH335,C$7+IF(C$2=$AA335,$AC335,IF(C$2=$AF335,$AG335,0))))</f>
        <v/>
      </c>
      <c r="P335">
        <f>IF(D334&lt;=0,0,MIN(AI335,D$7+IF(D$2=$AA335,$AC335,IF(D$2=$AF335,$AG335,0))))</f>
        <v/>
      </c>
      <c r="Q335">
        <f>IF(E334&lt;=0,0,MIN(AJ335,E$7+IF(E$2=$AA335,$AC335,IF(E$2=$AF335,$AG335,0))))</f>
        <v/>
      </c>
      <c r="R335">
        <f>IF(F334&lt;=0,0,MIN(AK335,F$7+IF(F$2=$AA335,$AC335,IF(F$2=$AF335,$AG335,0))))</f>
        <v/>
      </c>
      <c r="S335">
        <f>IF(G334&lt;=0,0,MIN(AL335,G$7+IF(G$2=$AA335,$AC335,IF(G$2=$AF335,$AG335,0))))</f>
        <v/>
      </c>
      <c r="T335">
        <f>IF(H334&lt;=0,0,MIN(AM335,H$7+IF(H$2=$AA335,$AC335,IF(H$2=$AF335,$AG335,0))))</f>
        <v/>
      </c>
      <c r="U335">
        <f>IF(I334&lt;=0,0,MIN(AN335,I$7+IF(I$2=$AA335,$AC335,IF(I$2=$AF335,$AG335,0))))</f>
        <v/>
      </c>
      <c r="V335">
        <f>IF(J334&lt;=0,0,MIN(AO335,J$7+IF(J$2=$AA335,$AC335,IF(J$2=$AF335,$AG335,0))))</f>
        <v/>
      </c>
      <c r="W335">
        <f>IF(K334&lt;=0,0,MIN(AP335,K$7+IF(K$2=$AA335,$AC335,IF(K$2=$AF335,$AG335,0))))</f>
        <v/>
      </c>
      <c r="X335">
        <f>IF(L334&lt;=0,0,MIN(AQ335,L$7+IF(L$2=$AA335,$AC335,IF(L$2=$AF335,$AG335,0))))</f>
        <v/>
      </c>
      <c r="Y335">
        <f>IF(M334&lt;=0,0,MIN(AR335,M$7+IF(M$2=$AA335,$AC335,IF(M$2=$AF335,$AG335,0))))</f>
        <v/>
      </c>
      <c r="Z335">
        <f>IF(N334&lt;=0,0,MIN(AS335,N$7+IF(N$2=$AA335,$AC335,IF(N$2=$AF335,$AG335,0))))</f>
        <v/>
      </c>
      <c r="AA335">
        <f>IFERROR(ROUND(1/SUMPRODUCT(MAX((C334:N334&gt;0)*($C$3:$N$3&lt;=B335)/$C$2:$N$2)),0),0)</f>
        <v/>
      </c>
      <c r="AB335">
        <f>SUMPRODUCT((C334:N334&gt;0)*$C$7:$N$7)</f>
        <v/>
      </c>
      <c r="AC335">
        <f>MAX(0,Plan!$C$5-AB335)+IF(A335=Plan!$C$8,N(Plan!$C$7),0)</f>
        <v/>
      </c>
      <c r="AD335">
        <f>SUM(C335:N335)</f>
        <v/>
      </c>
      <c r="AE335">
        <f>SUM(O335:Z335)</f>
        <v/>
      </c>
      <c r="AF335">
        <f>IFERROR(ROUND(1/SUMPRODUCT(MAX((C334:N334&gt;0)*($C$3:$N$3&lt;=B335)*($C$2:$N$2&gt;AA335)/$C$2:$N$2)),0),0)</f>
        <v/>
      </c>
      <c r="AG335">
        <f>MAX(0,AC335-MAX(0,SUMPRODUCT(($C$2:$N$2=AA335)*(AH335:AS335-$C$7:$N$7))))</f>
        <v/>
      </c>
      <c r="AH335">
        <f>IF(C334&lt;=0,0,ROUND(C334*(1+IF(AND(C$6&gt;0,$B335&lt;C$6),C$4,C$5)/12),2))</f>
        <v/>
      </c>
      <c r="AI335">
        <f>IF(D334&lt;=0,0,ROUND(D334*(1+IF(AND(D$6&gt;0,$B335&lt;D$6),D$4,D$5)/12),2))</f>
        <v/>
      </c>
      <c r="AJ335">
        <f>IF(E334&lt;=0,0,ROUND(E334*(1+IF(AND(E$6&gt;0,$B335&lt;E$6),E$4,E$5)/12),2))</f>
        <v/>
      </c>
      <c r="AK335">
        <f>IF(F334&lt;=0,0,ROUND(F334*(1+IF(AND(F$6&gt;0,$B335&lt;F$6),F$4,F$5)/12),2))</f>
        <v/>
      </c>
      <c r="AL335">
        <f>IF(G334&lt;=0,0,ROUND(G334*(1+IF(AND(G$6&gt;0,$B335&lt;G$6),G$4,G$5)/12),2))</f>
        <v/>
      </c>
      <c r="AM335">
        <f>IF(H334&lt;=0,0,ROUND(H334*(1+IF(AND(H$6&gt;0,$B335&lt;H$6),H$4,H$5)/12),2))</f>
        <v/>
      </c>
      <c r="AN335">
        <f>IF(I334&lt;=0,0,ROUND(I334*(1+IF(AND(I$6&gt;0,$B335&lt;I$6),I$4,I$5)/12),2))</f>
        <v/>
      </c>
      <c r="AO335">
        <f>IF(J334&lt;=0,0,ROUND(J334*(1+IF(AND(J$6&gt;0,$B335&lt;J$6),J$4,J$5)/12),2))</f>
        <v/>
      </c>
      <c r="AP335">
        <f>IF(K334&lt;=0,0,ROUND(K334*(1+IF(AND(K$6&gt;0,$B335&lt;K$6),K$4,K$5)/12),2))</f>
        <v/>
      </c>
      <c r="AQ335">
        <f>IF(L334&lt;=0,0,ROUND(L334*(1+IF(AND(L$6&gt;0,$B335&lt;L$6),L$4,L$5)/12),2))</f>
        <v/>
      </c>
      <c r="AR335">
        <f>IF(M334&lt;=0,0,ROUND(M334*(1+IF(AND(M$6&gt;0,$B335&lt;M$6),M$4,M$5)/12),2))</f>
        <v/>
      </c>
      <c r="AS335">
        <f>IF(N334&lt;=0,0,ROUND(N334*(1+IF(AND(N$6&gt;0,$B335&lt;N$6),N$4,N$5)/12),2))</f>
        <v/>
      </c>
    </row>
    <row r="336">
      <c r="A336" t="n">
        <v>325</v>
      </c>
      <c r="B336">
        <f>EDATE(Plan!$C$6,324)</f>
        <v/>
      </c>
      <c r="C336">
        <f>IF(C335&lt;=0,0,MAX(0,AH336-O336))</f>
        <v/>
      </c>
      <c r="D336">
        <f>IF(D335&lt;=0,0,MAX(0,AI336-P336))</f>
        <v/>
      </c>
      <c r="E336">
        <f>IF(E335&lt;=0,0,MAX(0,AJ336-Q336))</f>
        <v/>
      </c>
      <c r="F336">
        <f>IF(F335&lt;=0,0,MAX(0,AK336-R336))</f>
        <v/>
      </c>
      <c r="G336">
        <f>IF(G335&lt;=0,0,MAX(0,AL336-S336))</f>
        <v/>
      </c>
      <c r="H336">
        <f>IF(H335&lt;=0,0,MAX(0,AM336-T336))</f>
        <v/>
      </c>
      <c r="I336">
        <f>IF(I335&lt;=0,0,MAX(0,AN336-U336))</f>
        <v/>
      </c>
      <c r="J336">
        <f>IF(J335&lt;=0,0,MAX(0,AO336-V336))</f>
        <v/>
      </c>
      <c r="K336">
        <f>IF(K335&lt;=0,0,MAX(0,AP336-W336))</f>
        <v/>
      </c>
      <c r="L336">
        <f>IF(L335&lt;=0,0,MAX(0,AQ336-X336))</f>
        <v/>
      </c>
      <c r="M336">
        <f>IF(M335&lt;=0,0,MAX(0,AR336-Y336))</f>
        <v/>
      </c>
      <c r="N336">
        <f>IF(N335&lt;=0,0,MAX(0,AS336-Z336))</f>
        <v/>
      </c>
      <c r="O336">
        <f>IF(C335&lt;=0,0,MIN(AH336,C$7+IF(C$2=$AA336,$AC336,IF(C$2=$AF336,$AG336,0))))</f>
        <v/>
      </c>
      <c r="P336">
        <f>IF(D335&lt;=0,0,MIN(AI336,D$7+IF(D$2=$AA336,$AC336,IF(D$2=$AF336,$AG336,0))))</f>
        <v/>
      </c>
      <c r="Q336">
        <f>IF(E335&lt;=0,0,MIN(AJ336,E$7+IF(E$2=$AA336,$AC336,IF(E$2=$AF336,$AG336,0))))</f>
        <v/>
      </c>
      <c r="R336">
        <f>IF(F335&lt;=0,0,MIN(AK336,F$7+IF(F$2=$AA336,$AC336,IF(F$2=$AF336,$AG336,0))))</f>
        <v/>
      </c>
      <c r="S336">
        <f>IF(G335&lt;=0,0,MIN(AL336,G$7+IF(G$2=$AA336,$AC336,IF(G$2=$AF336,$AG336,0))))</f>
        <v/>
      </c>
      <c r="T336">
        <f>IF(H335&lt;=0,0,MIN(AM336,H$7+IF(H$2=$AA336,$AC336,IF(H$2=$AF336,$AG336,0))))</f>
        <v/>
      </c>
      <c r="U336">
        <f>IF(I335&lt;=0,0,MIN(AN336,I$7+IF(I$2=$AA336,$AC336,IF(I$2=$AF336,$AG336,0))))</f>
        <v/>
      </c>
      <c r="V336">
        <f>IF(J335&lt;=0,0,MIN(AO336,J$7+IF(J$2=$AA336,$AC336,IF(J$2=$AF336,$AG336,0))))</f>
        <v/>
      </c>
      <c r="W336">
        <f>IF(K335&lt;=0,0,MIN(AP336,K$7+IF(K$2=$AA336,$AC336,IF(K$2=$AF336,$AG336,0))))</f>
        <v/>
      </c>
      <c r="X336">
        <f>IF(L335&lt;=0,0,MIN(AQ336,L$7+IF(L$2=$AA336,$AC336,IF(L$2=$AF336,$AG336,0))))</f>
        <v/>
      </c>
      <c r="Y336">
        <f>IF(M335&lt;=0,0,MIN(AR336,M$7+IF(M$2=$AA336,$AC336,IF(M$2=$AF336,$AG336,0))))</f>
        <v/>
      </c>
      <c r="Z336">
        <f>IF(N335&lt;=0,0,MIN(AS336,N$7+IF(N$2=$AA336,$AC336,IF(N$2=$AF336,$AG336,0))))</f>
        <v/>
      </c>
      <c r="AA336">
        <f>IFERROR(ROUND(1/SUMPRODUCT(MAX((C335:N335&gt;0)*($C$3:$N$3&lt;=B336)/$C$2:$N$2)),0),0)</f>
        <v/>
      </c>
      <c r="AB336">
        <f>SUMPRODUCT((C335:N335&gt;0)*$C$7:$N$7)</f>
        <v/>
      </c>
      <c r="AC336">
        <f>MAX(0,Plan!$C$5-AB336)+IF(A336=Plan!$C$8,N(Plan!$C$7),0)</f>
        <v/>
      </c>
      <c r="AD336">
        <f>SUM(C336:N336)</f>
        <v/>
      </c>
      <c r="AE336">
        <f>SUM(O336:Z336)</f>
        <v/>
      </c>
      <c r="AF336">
        <f>IFERROR(ROUND(1/SUMPRODUCT(MAX((C335:N335&gt;0)*($C$3:$N$3&lt;=B336)*($C$2:$N$2&gt;AA336)/$C$2:$N$2)),0),0)</f>
        <v/>
      </c>
      <c r="AG336">
        <f>MAX(0,AC336-MAX(0,SUMPRODUCT(($C$2:$N$2=AA336)*(AH336:AS336-$C$7:$N$7))))</f>
        <v/>
      </c>
      <c r="AH336">
        <f>IF(C335&lt;=0,0,ROUND(C335*(1+IF(AND(C$6&gt;0,$B336&lt;C$6),C$4,C$5)/12),2))</f>
        <v/>
      </c>
      <c r="AI336">
        <f>IF(D335&lt;=0,0,ROUND(D335*(1+IF(AND(D$6&gt;0,$B336&lt;D$6),D$4,D$5)/12),2))</f>
        <v/>
      </c>
      <c r="AJ336">
        <f>IF(E335&lt;=0,0,ROUND(E335*(1+IF(AND(E$6&gt;0,$B336&lt;E$6),E$4,E$5)/12),2))</f>
        <v/>
      </c>
      <c r="AK336">
        <f>IF(F335&lt;=0,0,ROUND(F335*(1+IF(AND(F$6&gt;0,$B336&lt;F$6),F$4,F$5)/12),2))</f>
        <v/>
      </c>
      <c r="AL336">
        <f>IF(G335&lt;=0,0,ROUND(G335*(1+IF(AND(G$6&gt;0,$B336&lt;G$6),G$4,G$5)/12),2))</f>
        <v/>
      </c>
      <c r="AM336">
        <f>IF(H335&lt;=0,0,ROUND(H335*(1+IF(AND(H$6&gt;0,$B336&lt;H$6),H$4,H$5)/12),2))</f>
        <v/>
      </c>
      <c r="AN336">
        <f>IF(I335&lt;=0,0,ROUND(I335*(1+IF(AND(I$6&gt;0,$B336&lt;I$6),I$4,I$5)/12),2))</f>
        <v/>
      </c>
      <c r="AO336">
        <f>IF(J335&lt;=0,0,ROUND(J335*(1+IF(AND(J$6&gt;0,$B336&lt;J$6),J$4,J$5)/12),2))</f>
        <v/>
      </c>
      <c r="AP336">
        <f>IF(K335&lt;=0,0,ROUND(K335*(1+IF(AND(K$6&gt;0,$B336&lt;K$6),K$4,K$5)/12),2))</f>
        <v/>
      </c>
      <c r="AQ336">
        <f>IF(L335&lt;=0,0,ROUND(L335*(1+IF(AND(L$6&gt;0,$B336&lt;L$6),L$4,L$5)/12),2))</f>
        <v/>
      </c>
      <c r="AR336">
        <f>IF(M335&lt;=0,0,ROUND(M335*(1+IF(AND(M$6&gt;0,$B336&lt;M$6),M$4,M$5)/12),2))</f>
        <v/>
      </c>
      <c r="AS336">
        <f>IF(N335&lt;=0,0,ROUND(N335*(1+IF(AND(N$6&gt;0,$B336&lt;N$6),N$4,N$5)/12),2))</f>
        <v/>
      </c>
    </row>
    <row r="337">
      <c r="A337" t="n">
        <v>326</v>
      </c>
      <c r="B337">
        <f>EDATE(Plan!$C$6,325)</f>
        <v/>
      </c>
      <c r="C337">
        <f>IF(C336&lt;=0,0,MAX(0,AH337-O337))</f>
        <v/>
      </c>
      <c r="D337">
        <f>IF(D336&lt;=0,0,MAX(0,AI337-P337))</f>
        <v/>
      </c>
      <c r="E337">
        <f>IF(E336&lt;=0,0,MAX(0,AJ337-Q337))</f>
        <v/>
      </c>
      <c r="F337">
        <f>IF(F336&lt;=0,0,MAX(0,AK337-R337))</f>
        <v/>
      </c>
      <c r="G337">
        <f>IF(G336&lt;=0,0,MAX(0,AL337-S337))</f>
        <v/>
      </c>
      <c r="H337">
        <f>IF(H336&lt;=0,0,MAX(0,AM337-T337))</f>
        <v/>
      </c>
      <c r="I337">
        <f>IF(I336&lt;=0,0,MAX(0,AN337-U337))</f>
        <v/>
      </c>
      <c r="J337">
        <f>IF(J336&lt;=0,0,MAX(0,AO337-V337))</f>
        <v/>
      </c>
      <c r="K337">
        <f>IF(K336&lt;=0,0,MAX(0,AP337-W337))</f>
        <v/>
      </c>
      <c r="L337">
        <f>IF(L336&lt;=0,0,MAX(0,AQ337-X337))</f>
        <v/>
      </c>
      <c r="M337">
        <f>IF(M336&lt;=0,0,MAX(0,AR337-Y337))</f>
        <v/>
      </c>
      <c r="N337">
        <f>IF(N336&lt;=0,0,MAX(0,AS337-Z337))</f>
        <v/>
      </c>
      <c r="O337">
        <f>IF(C336&lt;=0,0,MIN(AH337,C$7+IF(C$2=$AA337,$AC337,IF(C$2=$AF337,$AG337,0))))</f>
        <v/>
      </c>
      <c r="P337">
        <f>IF(D336&lt;=0,0,MIN(AI337,D$7+IF(D$2=$AA337,$AC337,IF(D$2=$AF337,$AG337,0))))</f>
        <v/>
      </c>
      <c r="Q337">
        <f>IF(E336&lt;=0,0,MIN(AJ337,E$7+IF(E$2=$AA337,$AC337,IF(E$2=$AF337,$AG337,0))))</f>
        <v/>
      </c>
      <c r="R337">
        <f>IF(F336&lt;=0,0,MIN(AK337,F$7+IF(F$2=$AA337,$AC337,IF(F$2=$AF337,$AG337,0))))</f>
        <v/>
      </c>
      <c r="S337">
        <f>IF(G336&lt;=0,0,MIN(AL337,G$7+IF(G$2=$AA337,$AC337,IF(G$2=$AF337,$AG337,0))))</f>
        <v/>
      </c>
      <c r="T337">
        <f>IF(H336&lt;=0,0,MIN(AM337,H$7+IF(H$2=$AA337,$AC337,IF(H$2=$AF337,$AG337,0))))</f>
        <v/>
      </c>
      <c r="U337">
        <f>IF(I336&lt;=0,0,MIN(AN337,I$7+IF(I$2=$AA337,$AC337,IF(I$2=$AF337,$AG337,0))))</f>
        <v/>
      </c>
      <c r="V337">
        <f>IF(J336&lt;=0,0,MIN(AO337,J$7+IF(J$2=$AA337,$AC337,IF(J$2=$AF337,$AG337,0))))</f>
        <v/>
      </c>
      <c r="W337">
        <f>IF(K336&lt;=0,0,MIN(AP337,K$7+IF(K$2=$AA337,$AC337,IF(K$2=$AF337,$AG337,0))))</f>
        <v/>
      </c>
      <c r="X337">
        <f>IF(L336&lt;=0,0,MIN(AQ337,L$7+IF(L$2=$AA337,$AC337,IF(L$2=$AF337,$AG337,0))))</f>
        <v/>
      </c>
      <c r="Y337">
        <f>IF(M336&lt;=0,0,MIN(AR337,M$7+IF(M$2=$AA337,$AC337,IF(M$2=$AF337,$AG337,0))))</f>
        <v/>
      </c>
      <c r="Z337">
        <f>IF(N336&lt;=0,0,MIN(AS337,N$7+IF(N$2=$AA337,$AC337,IF(N$2=$AF337,$AG337,0))))</f>
        <v/>
      </c>
      <c r="AA337">
        <f>IFERROR(ROUND(1/SUMPRODUCT(MAX((C336:N336&gt;0)*($C$3:$N$3&lt;=B337)/$C$2:$N$2)),0),0)</f>
        <v/>
      </c>
      <c r="AB337">
        <f>SUMPRODUCT((C336:N336&gt;0)*$C$7:$N$7)</f>
        <v/>
      </c>
      <c r="AC337">
        <f>MAX(0,Plan!$C$5-AB337)+IF(A337=Plan!$C$8,N(Plan!$C$7),0)</f>
        <v/>
      </c>
      <c r="AD337">
        <f>SUM(C337:N337)</f>
        <v/>
      </c>
      <c r="AE337">
        <f>SUM(O337:Z337)</f>
        <v/>
      </c>
      <c r="AF337">
        <f>IFERROR(ROUND(1/SUMPRODUCT(MAX((C336:N336&gt;0)*($C$3:$N$3&lt;=B337)*($C$2:$N$2&gt;AA337)/$C$2:$N$2)),0),0)</f>
        <v/>
      </c>
      <c r="AG337">
        <f>MAX(0,AC337-MAX(0,SUMPRODUCT(($C$2:$N$2=AA337)*(AH337:AS337-$C$7:$N$7))))</f>
        <v/>
      </c>
      <c r="AH337">
        <f>IF(C336&lt;=0,0,ROUND(C336*(1+IF(AND(C$6&gt;0,$B337&lt;C$6),C$4,C$5)/12),2))</f>
        <v/>
      </c>
      <c r="AI337">
        <f>IF(D336&lt;=0,0,ROUND(D336*(1+IF(AND(D$6&gt;0,$B337&lt;D$6),D$4,D$5)/12),2))</f>
        <v/>
      </c>
      <c r="AJ337">
        <f>IF(E336&lt;=0,0,ROUND(E336*(1+IF(AND(E$6&gt;0,$B337&lt;E$6),E$4,E$5)/12),2))</f>
        <v/>
      </c>
      <c r="AK337">
        <f>IF(F336&lt;=0,0,ROUND(F336*(1+IF(AND(F$6&gt;0,$B337&lt;F$6),F$4,F$5)/12),2))</f>
        <v/>
      </c>
      <c r="AL337">
        <f>IF(G336&lt;=0,0,ROUND(G336*(1+IF(AND(G$6&gt;0,$B337&lt;G$6),G$4,G$5)/12),2))</f>
        <v/>
      </c>
      <c r="AM337">
        <f>IF(H336&lt;=0,0,ROUND(H336*(1+IF(AND(H$6&gt;0,$B337&lt;H$6),H$4,H$5)/12),2))</f>
        <v/>
      </c>
      <c r="AN337">
        <f>IF(I336&lt;=0,0,ROUND(I336*(1+IF(AND(I$6&gt;0,$B337&lt;I$6),I$4,I$5)/12),2))</f>
        <v/>
      </c>
      <c r="AO337">
        <f>IF(J336&lt;=0,0,ROUND(J336*(1+IF(AND(J$6&gt;0,$B337&lt;J$6),J$4,J$5)/12),2))</f>
        <v/>
      </c>
      <c r="AP337">
        <f>IF(K336&lt;=0,0,ROUND(K336*(1+IF(AND(K$6&gt;0,$B337&lt;K$6),K$4,K$5)/12),2))</f>
        <v/>
      </c>
      <c r="AQ337">
        <f>IF(L336&lt;=0,0,ROUND(L336*(1+IF(AND(L$6&gt;0,$B337&lt;L$6),L$4,L$5)/12),2))</f>
        <v/>
      </c>
      <c r="AR337">
        <f>IF(M336&lt;=0,0,ROUND(M336*(1+IF(AND(M$6&gt;0,$B337&lt;M$6),M$4,M$5)/12),2))</f>
        <v/>
      </c>
      <c r="AS337">
        <f>IF(N336&lt;=0,0,ROUND(N336*(1+IF(AND(N$6&gt;0,$B337&lt;N$6),N$4,N$5)/12),2))</f>
        <v/>
      </c>
    </row>
    <row r="338">
      <c r="A338" t="n">
        <v>327</v>
      </c>
      <c r="B338">
        <f>EDATE(Plan!$C$6,326)</f>
        <v/>
      </c>
      <c r="C338">
        <f>IF(C337&lt;=0,0,MAX(0,AH338-O338))</f>
        <v/>
      </c>
      <c r="D338">
        <f>IF(D337&lt;=0,0,MAX(0,AI338-P338))</f>
        <v/>
      </c>
      <c r="E338">
        <f>IF(E337&lt;=0,0,MAX(0,AJ338-Q338))</f>
        <v/>
      </c>
      <c r="F338">
        <f>IF(F337&lt;=0,0,MAX(0,AK338-R338))</f>
        <v/>
      </c>
      <c r="G338">
        <f>IF(G337&lt;=0,0,MAX(0,AL338-S338))</f>
        <v/>
      </c>
      <c r="H338">
        <f>IF(H337&lt;=0,0,MAX(0,AM338-T338))</f>
        <v/>
      </c>
      <c r="I338">
        <f>IF(I337&lt;=0,0,MAX(0,AN338-U338))</f>
        <v/>
      </c>
      <c r="J338">
        <f>IF(J337&lt;=0,0,MAX(0,AO338-V338))</f>
        <v/>
      </c>
      <c r="K338">
        <f>IF(K337&lt;=0,0,MAX(0,AP338-W338))</f>
        <v/>
      </c>
      <c r="L338">
        <f>IF(L337&lt;=0,0,MAX(0,AQ338-X338))</f>
        <v/>
      </c>
      <c r="M338">
        <f>IF(M337&lt;=0,0,MAX(0,AR338-Y338))</f>
        <v/>
      </c>
      <c r="N338">
        <f>IF(N337&lt;=0,0,MAX(0,AS338-Z338))</f>
        <v/>
      </c>
      <c r="O338">
        <f>IF(C337&lt;=0,0,MIN(AH338,C$7+IF(C$2=$AA338,$AC338,IF(C$2=$AF338,$AG338,0))))</f>
        <v/>
      </c>
      <c r="P338">
        <f>IF(D337&lt;=0,0,MIN(AI338,D$7+IF(D$2=$AA338,$AC338,IF(D$2=$AF338,$AG338,0))))</f>
        <v/>
      </c>
      <c r="Q338">
        <f>IF(E337&lt;=0,0,MIN(AJ338,E$7+IF(E$2=$AA338,$AC338,IF(E$2=$AF338,$AG338,0))))</f>
        <v/>
      </c>
      <c r="R338">
        <f>IF(F337&lt;=0,0,MIN(AK338,F$7+IF(F$2=$AA338,$AC338,IF(F$2=$AF338,$AG338,0))))</f>
        <v/>
      </c>
      <c r="S338">
        <f>IF(G337&lt;=0,0,MIN(AL338,G$7+IF(G$2=$AA338,$AC338,IF(G$2=$AF338,$AG338,0))))</f>
        <v/>
      </c>
      <c r="T338">
        <f>IF(H337&lt;=0,0,MIN(AM338,H$7+IF(H$2=$AA338,$AC338,IF(H$2=$AF338,$AG338,0))))</f>
        <v/>
      </c>
      <c r="U338">
        <f>IF(I337&lt;=0,0,MIN(AN338,I$7+IF(I$2=$AA338,$AC338,IF(I$2=$AF338,$AG338,0))))</f>
        <v/>
      </c>
      <c r="V338">
        <f>IF(J337&lt;=0,0,MIN(AO338,J$7+IF(J$2=$AA338,$AC338,IF(J$2=$AF338,$AG338,0))))</f>
        <v/>
      </c>
      <c r="W338">
        <f>IF(K337&lt;=0,0,MIN(AP338,K$7+IF(K$2=$AA338,$AC338,IF(K$2=$AF338,$AG338,0))))</f>
        <v/>
      </c>
      <c r="X338">
        <f>IF(L337&lt;=0,0,MIN(AQ338,L$7+IF(L$2=$AA338,$AC338,IF(L$2=$AF338,$AG338,0))))</f>
        <v/>
      </c>
      <c r="Y338">
        <f>IF(M337&lt;=0,0,MIN(AR338,M$7+IF(M$2=$AA338,$AC338,IF(M$2=$AF338,$AG338,0))))</f>
        <v/>
      </c>
      <c r="Z338">
        <f>IF(N337&lt;=0,0,MIN(AS338,N$7+IF(N$2=$AA338,$AC338,IF(N$2=$AF338,$AG338,0))))</f>
        <v/>
      </c>
      <c r="AA338">
        <f>IFERROR(ROUND(1/SUMPRODUCT(MAX((C337:N337&gt;0)*($C$3:$N$3&lt;=B338)/$C$2:$N$2)),0),0)</f>
        <v/>
      </c>
      <c r="AB338">
        <f>SUMPRODUCT((C337:N337&gt;0)*$C$7:$N$7)</f>
        <v/>
      </c>
      <c r="AC338">
        <f>MAX(0,Plan!$C$5-AB338)+IF(A338=Plan!$C$8,N(Plan!$C$7),0)</f>
        <v/>
      </c>
      <c r="AD338">
        <f>SUM(C338:N338)</f>
        <v/>
      </c>
      <c r="AE338">
        <f>SUM(O338:Z338)</f>
        <v/>
      </c>
      <c r="AF338">
        <f>IFERROR(ROUND(1/SUMPRODUCT(MAX((C337:N337&gt;0)*($C$3:$N$3&lt;=B338)*($C$2:$N$2&gt;AA338)/$C$2:$N$2)),0),0)</f>
        <v/>
      </c>
      <c r="AG338">
        <f>MAX(0,AC338-MAX(0,SUMPRODUCT(($C$2:$N$2=AA338)*(AH338:AS338-$C$7:$N$7))))</f>
        <v/>
      </c>
      <c r="AH338">
        <f>IF(C337&lt;=0,0,ROUND(C337*(1+IF(AND(C$6&gt;0,$B338&lt;C$6),C$4,C$5)/12),2))</f>
        <v/>
      </c>
      <c r="AI338">
        <f>IF(D337&lt;=0,0,ROUND(D337*(1+IF(AND(D$6&gt;0,$B338&lt;D$6),D$4,D$5)/12),2))</f>
        <v/>
      </c>
      <c r="AJ338">
        <f>IF(E337&lt;=0,0,ROUND(E337*(1+IF(AND(E$6&gt;0,$B338&lt;E$6),E$4,E$5)/12),2))</f>
        <v/>
      </c>
      <c r="AK338">
        <f>IF(F337&lt;=0,0,ROUND(F337*(1+IF(AND(F$6&gt;0,$B338&lt;F$6),F$4,F$5)/12),2))</f>
        <v/>
      </c>
      <c r="AL338">
        <f>IF(G337&lt;=0,0,ROUND(G337*(1+IF(AND(G$6&gt;0,$B338&lt;G$6),G$4,G$5)/12),2))</f>
        <v/>
      </c>
      <c r="AM338">
        <f>IF(H337&lt;=0,0,ROUND(H337*(1+IF(AND(H$6&gt;0,$B338&lt;H$6),H$4,H$5)/12),2))</f>
        <v/>
      </c>
      <c r="AN338">
        <f>IF(I337&lt;=0,0,ROUND(I337*(1+IF(AND(I$6&gt;0,$B338&lt;I$6),I$4,I$5)/12),2))</f>
        <v/>
      </c>
      <c r="AO338">
        <f>IF(J337&lt;=0,0,ROUND(J337*(1+IF(AND(J$6&gt;0,$B338&lt;J$6),J$4,J$5)/12),2))</f>
        <v/>
      </c>
      <c r="AP338">
        <f>IF(K337&lt;=0,0,ROUND(K337*(1+IF(AND(K$6&gt;0,$B338&lt;K$6),K$4,K$5)/12),2))</f>
        <v/>
      </c>
      <c r="AQ338">
        <f>IF(L337&lt;=0,0,ROUND(L337*(1+IF(AND(L$6&gt;0,$B338&lt;L$6),L$4,L$5)/12),2))</f>
        <v/>
      </c>
      <c r="AR338">
        <f>IF(M337&lt;=0,0,ROUND(M337*(1+IF(AND(M$6&gt;0,$B338&lt;M$6),M$4,M$5)/12),2))</f>
        <v/>
      </c>
      <c r="AS338">
        <f>IF(N337&lt;=0,0,ROUND(N337*(1+IF(AND(N$6&gt;0,$B338&lt;N$6),N$4,N$5)/12),2))</f>
        <v/>
      </c>
    </row>
    <row r="339">
      <c r="A339" t="n">
        <v>328</v>
      </c>
      <c r="B339">
        <f>EDATE(Plan!$C$6,327)</f>
        <v/>
      </c>
      <c r="C339">
        <f>IF(C338&lt;=0,0,MAX(0,AH339-O339))</f>
        <v/>
      </c>
      <c r="D339">
        <f>IF(D338&lt;=0,0,MAX(0,AI339-P339))</f>
        <v/>
      </c>
      <c r="E339">
        <f>IF(E338&lt;=0,0,MAX(0,AJ339-Q339))</f>
        <v/>
      </c>
      <c r="F339">
        <f>IF(F338&lt;=0,0,MAX(0,AK339-R339))</f>
        <v/>
      </c>
      <c r="G339">
        <f>IF(G338&lt;=0,0,MAX(0,AL339-S339))</f>
        <v/>
      </c>
      <c r="H339">
        <f>IF(H338&lt;=0,0,MAX(0,AM339-T339))</f>
        <v/>
      </c>
      <c r="I339">
        <f>IF(I338&lt;=0,0,MAX(0,AN339-U339))</f>
        <v/>
      </c>
      <c r="J339">
        <f>IF(J338&lt;=0,0,MAX(0,AO339-V339))</f>
        <v/>
      </c>
      <c r="K339">
        <f>IF(K338&lt;=0,0,MAX(0,AP339-W339))</f>
        <v/>
      </c>
      <c r="L339">
        <f>IF(L338&lt;=0,0,MAX(0,AQ339-X339))</f>
        <v/>
      </c>
      <c r="M339">
        <f>IF(M338&lt;=0,0,MAX(0,AR339-Y339))</f>
        <v/>
      </c>
      <c r="N339">
        <f>IF(N338&lt;=0,0,MAX(0,AS339-Z339))</f>
        <v/>
      </c>
      <c r="O339">
        <f>IF(C338&lt;=0,0,MIN(AH339,C$7+IF(C$2=$AA339,$AC339,IF(C$2=$AF339,$AG339,0))))</f>
        <v/>
      </c>
      <c r="P339">
        <f>IF(D338&lt;=0,0,MIN(AI339,D$7+IF(D$2=$AA339,$AC339,IF(D$2=$AF339,$AG339,0))))</f>
        <v/>
      </c>
      <c r="Q339">
        <f>IF(E338&lt;=0,0,MIN(AJ339,E$7+IF(E$2=$AA339,$AC339,IF(E$2=$AF339,$AG339,0))))</f>
        <v/>
      </c>
      <c r="R339">
        <f>IF(F338&lt;=0,0,MIN(AK339,F$7+IF(F$2=$AA339,$AC339,IF(F$2=$AF339,$AG339,0))))</f>
        <v/>
      </c>
      <c r="S339">
        <f>IF(G338&lt;=0,0,MIN(AL339,G$7+IF(G$2=$AA339,$AC339,IF(G$2=$AF339,$AG339,0))))</f>
        <v/>
      </c>
      <c r="T339">
        <f>IF(H338&lt;=0,0,MIN(AM339,H$7+IF(H$2=$AA339,$AC339,IF(H$2=$AF339,$AG339,0))))</f>
        <v/>
      </c>
      <c r="U339">
        <f>IF(I338&lt;=0,0,MIN(AN339,I$7+IF(I$2=$AA339,$AC339,IF(I$2=$AF339,$AG339,0))))</f>
        <v/>
      </c>
      <c r="V339">
        <f>IF(J338&lt;=0,0,MIN(AO339,J$7+IF(J$2=$AA339,$AC339,IF(J$2=$AF339,$AG339,0))))</f>
        <v/>
      </c>
      <c r="W339">
        <f>IF(K338&lt;=0,0,MIN(AP339,K$7+IF(K$2=$AA339,$AC339,IF(K$2=$AF339,$AG339,0))))</f>
        <v/>
      </c>
      <c r="X339">
        <f>IF(L338&lt;=0,0,MIN(AQ339,L$7+IF(L$2=$AA339,$AC339,IF(L$2=$AF339,$AG339,0))))</f>
        <v/>
      </c>
      <c r="Y339">
        <f>IF(M338&lt;=0,0,MIN(AR339,M$7+IF(M$2=$AA339,$AC339,IF(M$2=$AF339,$AG339,0))))</f>
        <v/>
      </c>
      <c r="Z339">
        <f>IF(N338&lt;=0,0,MIN(AS339,N$7+IF(N$2=$AA339,$AC339,IF(N$2=$AF339,$AG339,0))))</f>
        <v/>
      </c>
      <c r="AA339">
        <f>IFERROR(ROUND(1/SUMPRODUCT(MAX((C338:N338&gt;0)*($C$3:$N$3&lt;=B339)/$C$2:$N$2)),0),0)</f>
        <v/>
      </c>
      <c r="AB339">
        <f>SUMPRODUCT((C338:N338&gt;0)*$C$7:$N$7)</f>
        <v/>
      </c>
      <c r="AC339">
        <f>MAX(0,Plan!$C$5-AB339)+IF(A339=Plan!$C$8,N(Plan!$C$7),0)</f>
        <v/>
      </c>
      <c r="AD339">
        <f>SUM(C339:N339)</f>
        <v/>
      </c>
      <c r="AE339">
        <f>SUM(O339:Z339)</f>
        <v/>
      </c>
      <c r="AF339">
        <f>IFERROR(ROUND(1/SUMPRODUCT(MAX((C338:N338&gt;0)*($C$3:$N$3&lt;=B339)*($C$2:$N$2&gt;AA339)/$C$2:$N$2)),0),0)</f>
        <v/>
      </c>
      <c r="AG339">
        <f>MAX(0,AC339-MAX(0,SUMPRODUCT(($C$2:$N$2=AA339)*(AH339:AS339-$C$7:$N$7))))</f>
        <v/>
      </c>
      <c r="AH339">
        <f>IF(C338&lt;=0,0,ROUND(C338*(1+IF(AND(C$6&gt;0,$B339&lt;C$6),C$4,C$5)/12),2))</f>
        <v/>
      </c>
      <c r="AI339">
        <f>IF(D338&lt;=0,0,ROUND(D338*(1+IF(AND(D$6&gt;0,$B339&lt;D$6),D$4,D$5)/12),2))</f>
        <v/>
      </c>
      <c r="AJ339">
        <f>IF(E338&lt;=0,0,ROUND(E338*(1+IF(AND(E$6&gt;0,$B339&lt;E$6),E$4,E$5)/12),2))</f>
        <v/>
      </c>
      <c r="AK339">
        <f>IF(F338&lt;=0,0,ROUND(F338*(1+IF(AND(F$6&gt;0,$B339&lt;F$6),F$4,F$5)/12),2))</f>
        <v/>
      </c>
      <c r="AL339">
        <f>IF(G338&lt;=0,0,ROUND(G338*(1+IF(AND(G$6&gt;0,$B339&lt;G$6),G$4,G$5)/12),2))</f>
        <v/>
      </c>
      <c r="AM339">
        <f>IF(H338&lt;=0,0,ROUND(H338*(1+IF(AND(H$6&gt;0,$B339&lt;H$6),H$4,H$5)/12),2))</f>
        <v/>
      </c>
      <c r="AN339">
        <f>IF(I338&lt;=0,0,ROUND(I338*(1+IF(AND(I$6&gt;0,$B339&lt;I$6),I$4,I$5)/12),2))</f>
        <v/>
      </c>
      <c r="AO339">
        <f>IF(J338&lt;=0,0,ROUND(J338*(1+IF(AND(J$6&gt;0,$B339&lt;J$6),J$4,J$5)/12),2))</f>
        <v/>
      </c>
      <c r="AP339">
        <f>IF(K338&lt;=0,0,ROUND(K338*(1+IF(AND(K$6&gt;0,$B339&lt;K$6),K$4,K$5)/12),2))</f>
        <v/>
      </c>
      <c r="AQ339">
        <f>IF(L338&lt;=0,0,ROUND(L338*(1+IF(AND(L$6&gt;0,$B339&lt;L$6),L$4,L$5)/12),2))</f>
        <v/>
      </c>
      <c r="AR339">
        <f>IF(M338&lt;=0,0,ROUND(M338*(1+IF(AND(M$6&gt;0,$B339&lt;M$6),M$4,M$5)/12),2))</f>
        <v/>
      </c>
      <c r="AS339">
        <f>IF(N338&lt;=0,0,ROUND(N338*(1+IF(AND(N$6&gt;0,$B339&lt;N$6),N$4,N$5)/12),2))</f>
        <v/>
      </c>
    </row>
    <row r="340">
      <c r="A340" t="n">
        <v>329</v>
      </c>
      <c r="B340">
        <f>EDATE(Plan!$C$6,328)</f>
        <v/>
      </c>
      <c r="C340">
        <f>IF(C339&lt;=0,0,MAX(0,AH340-O340))</f>
        <v/>
      </c>
      <c r="D340">
        <f>IF(D339&lt;=0,0,MAX(0,AI340-P340))</f>
        <v/>
      </c>
      <c r="E340">
        <f>IF(E339&lt;=0,0,MAX(0,AJ340-Q340))</f>
        <v/>
      </c>
      <c r="F340">
        <f>IF(F339&lt;=0,0,MAX(0,AK340-R340))</f>
        <v/>
      </c>
      <c r="G340">
        <f>IF(G339&lt;=0,0,MAX(0,AL340-S340))</f>
        <v/>
      </c>
      <c r="H340">
        <f>IF(H339&lt;=0,0,MAX(0,AM340-T340))</f>
        <v/>
      </c>
      <c r="I340">
        <f>IF(I339&lt;=0,0,MAX(0,AN340-U340))</f>
        <v/>
      </c>
      <c r="J340">
        <f>IF(J339&lt;=0,0,MAX(0,AO340-V340))</f>
        <v/>
      </c>
      <c r="K340">
        <f>IF(K339&lt;=0,0,MAX(0,AP340-W340))</f>
        <v/>
      </c>
      <c r="L340">
        <f>IF(L339&lt;=0,0,MAX(0,AQ340-X340))</f>
        <v/>
      </c>
      <c r="M340">
        <f>IF(M339&lt;=0,0,MAX(0,AR340-Y340))</f>
        <v/>
      </c>
      <c r="N340">
        <f>IF(N339&lt;=0,0,MAX(0,AS340-Z340))</f>
        <v/>
      </c>
      <c r="O340">
        <f>IF(C339&lt;=0,0,MIN(AH340,C$7+IF(C$2=$AA340,$AC340,IF(C$2=$AF340,$AG340,0))))</f>
        <v/>
      </c>
      <c r="P340">
        <f>IF(D339&lt;=0,0,MIN(AI340,D$7+IF(D$2=$AA340,$AC340,IF(D$2=$AF340,$AG340,0))))</f>
        <v/>
      </c>
      <c r="Q340">
        <f>IF(E339&lt;=0,0,MIN(AJ340,E$7+IF(E$2=$AA340,$AC340,IF(E$2=$AF340,$AG340,0))))</f>
        <v/>
      </c>
      <c r="R340">
        <f>IF(F339&lt;=0,0,MIN(AK340,F$7+IF(F$2=$AA340,$AC340,IF(F$2=$AF340,$AG340,0))))</f>
        <v/>
      </c>
      <c r="S340">
        <f>IF(G339&lt;=0,0,MIN(AL340,G$7+IF(G$2=$AA340,$AC340,IF(G$2=$AF340,$AG340,0))))</f>
        <v/>
      </c>
      <c r="T340">
        <f>IF(H339&lt;=0,0,MIN(AM340,H$7+IF(H$2=$AA340,$AC340,IF(H$2=$AF340,$AG340,0))))</f>
        <v/>
      </c>
      <c r="U340">
        <f>IF(I339&lt;=0,0,MIN(AN340,I$7+IF(I$2=$AA340,$AC340,IF(I$2=$AF340,$AG340,0))))</f>
        <v/>
      </c>
      <c r="V340">
        <f>IF(J339&lt;=0,0,MIN(AO340,J$7+IF(J$2=$AA340,$AC340,IF(J$2=$AF340,$AG340,0))))</f>
        <v/>
      </c>
      <c r="W340">
        <f>IF(K339&lt;=0,0,MIN(AP340,K$7+IF(K$2=$AA340,$AC340,IF(K$2=$AF340,$AG340,0))))</f>
        <v/>
      </c>
      <c r="X340">
        <f>IF(L339&lt;=0,0,MIN(AQ340,L$7+IF(L$2=$AA340,$AC340,IF(L$2=$AF340,$AG340,0))))</f>
        <v/>
      </c>
      <c r="Y340">
        <f>IF(M339&lt;=0,0,MIN(AR340,M$7+IF(M$2=$AA340,$AC340,IF(M$2=$AF340,$AG340,0))))</f>
        <v/>
      </c>
      <c r="Z340">
        <f>IF(N339&lt;=0,0,MIN(AS340,N$7+IF(N$2=$AA340,$AC340,IF(N$2=$AF340,$AG340,0))))</f>
        <v/>
      </c>
      <c r="AA340">
        <f>IFERROR(ROUND(1/SUMPRODUCT(MAX((C339:N339&gt;0)*($C$3:$N$3&lt;=B340)/$C$2:$N$2)),0),0)</f>
        <v/>
      </c>
      <c r="AB340">
        <f>SUMPRODUCT((C339:N339&gt;0)*$C$7:$N$7)</f>
        <v/>
      </c>
      <c r="AC340">
        <f>MAX(0,Plan!$C$5-AB340)+IF(A340=Plan!$C$8,N(Plan!$C$7),0)</f>
        <v/>
      </c>
      <c r="AD340">
        <f>SUM(C340:N340)</f>
        <v/>
      </c>
      <c r="AE340">
        <f>SUM(O340:Z340)</f>
        <v/>
      </c>
      <c r="AF340">
        <f>IFERROR(ROUND(1/SUMPRODUCT(MAX((C339:N339&gt;0)*($C$3:$N$3&lt;=B340)*($C$2:$N$2&gt;AA340)/$C$2:$N$2)),0),0)</f>
        <v/>
      </c>
      <c r="AG340">
        <f>MAX(0,AC340-MAX(0,SUMPRODUCT(($C$2:$N$2=AA340)*(AH340:AS340-$C$7:$N$7))))</f>
        <v/>
      </c>
      <c r="AH340">
        <f>IF(C339&lt;=0,0,ROUND(C339*(1+IF(AND(C$6&gt;0,$B340&lt;C$6),C$4,C$5)/12),2))</f>
        <v/>
      </c>
      <c r="AI340">
        <f>IF(D339&lt;=0,0,ROUND(D339*(1+IF(AND(D$6&gt;0,$B340&lt;D$6),D$4,D$5)/12),2))</f>
        <v/>
      </c>
      <c r="AJ340">
        <f>IF(E339&lt;=0,0,ROUND(E339*(1+IF(AND(E$6&gt;0,$B340&lt;E$6),E$4,E$5)/12),2))</f>
        <v/>
      </c>
      <c r="AK340">
        <f>IF(F339&lt;=0,0,ROUND(F339*(1+IF(AND(F$6&gt;0,$B340&lt;F$6),F$4,F$5)/12),2))</f>
        <v/>
      </c>
      <c r="AL340">
        <f>IF(G339&lt;=0,0,ROUND(G339*(1+IF(AND(G$6&gt;0,$B340&lt;G$6),G$4,G$5)/12),2))</f>
        <v/>
      </c>
      <c r="AM340">
        <f>IF(H339&lt;=0,0,ROUND(H339*(1+IF(AND(H$6&gt;0,$B340&lt;H$6),H$4,H$5)/12),2))</f>
        <v/>
      </c>
      <c r="AN340">
        <f>IF(I339&lt;=0,0,ROUND(I339*(1+IF(AND(I$6&gt;0,$B340&lt;I$6),I$4,I$5)/12),2))</f>
        <v/>
      </c>
      <c r="AO340">
        <f>IF(J339&lt;=0,0,ROUND(J339*(1+IF(AND(J$6&gt;0,$B340&lt;J$6),J$4,J$5)/12),2))</f>
        <v/>
      </c>
      <c r="AP340">
        <f>IF(K339&lt;=0,0,ROUND(K339*(1+IF(AND(K$6&gt;0,$B340&lt;K$6),K$4,K$5)/12),2))</f>
        <v/>
      </c>
      <c r="AQ340">
        <f>IF(L339&lt;=0,0,ROUND(L339*(1+IF(AND(L$6&gt;0,$B340&lt;L$6),L$4,L$5)/12),2))</f>
        <v/>
      </c>
      <c r="AR340">
        <f>IF(M339&lt;=0,0,ROUND(M339*(1+IF(AND(M$6&gt;0,$B340&lt;M$6),M$4,M$5)/12),2))</f>
        <v/>
      </c>
      <c r="AS340">
        <f>IF(N339&lt;=0,0,ROUND(N339*(1+IF(AND(N$6&gt;0,$B340&lt;N$6),N$4,N$5)/12),2))</f>
        <v/>
      </c>
    </row>
    <row r="341">
      <c r="A341" t="n">
        <v>330</v>
      </c>
      <c r="B341">
        <f>EDATE(Plan!$C$6,329)</f>
        <v/>
      </c>
      <c r="C341">
        <f>IF(C340&lt;=0,0,MAX(0,AH341-O341))</f>
        <v/>
      </c>
      <c r="D341">
        <f>IF(D340&lt;=0,0,MAX(0,AI341-P341))</f>
        <v/>
      </c>
      <c r="E341">
        <f>IF(E340&lt;=0,0,MAX(0,AJ341-Q341))</f>
        <v/>
      </c>
      <c r="F341">
        <f>IF(F340&lt;=0,0,MAX(0,AK341-R341))</f>
        <v/>
      </c>
      <c r="G341">
        <f>IF(G340&lt;=0,0,MAX(0,AL341-S341))</f>
        <v/>
      </c>
      <c r="H341">
        <f>IF(H340&lt;=0,0,MAX(0,AM341-T341))</f>
        <v/>
      </c>
      <c r="I341">
        <f>IF(I340&lt;=0,0,MAX(0,AN341-U341))</f>
        <v/>
      </c>
      <c r="J341">
        <f>IF(J340&lt;=0,0,MAX(0,AO341-V341))</f>
        <v/>
      </c>
      <c r="K341">
        <f>IF(K340&lt;=0,0,MAX(0,AP341-W341))</f>
        <v/>
      </c>
      <c r="L341">
        <f>IF(L340&lt;=0,0,MAX(0,AQ341-X341))</f>
        <v/>
      </c>
      <c r="M341">
        <f>IF(M340&lt;=0,0,MAX(0,AR341-Y341))</f>
        <v/>
      </c>
      <c r="N341">
        <f>IF(N340&lt;=0,0,MAX(0,AS341-Z341))</f>
        <v/>
      </c>
      <c r="O341">
        <f>IF(C340&lt;=0,0,MIN(AH341,C$7+IF(C$2=$AA341,$AC341,IF(C$2=$AF341,$AG341,0))))</f>
        <v/>
      </c>
      <c r="P341">
        <f>IF(D340&lt;=0,0,MIN(AI341,D$7+IF(D$2=$AA341,$AC341,IF(D$2=$AF341,$AG341,0))))</f>
        <v/>
      </c>
      <c r="Q341">
        <f>IF(E340&lt;=0,0,MIN(AJ341,E$7+IF(E$2=$AA341,$AC341,IF(E$2=$AF341,$AG341,0))))</f>
        <v/>
      </c>
      <c r="R341">
        <f>IF(F340&lt;=0,0,MIN(AK341,F$7+IF(F$2=$AA341,$AC341,IF(F$2=$AF341,$AG341,0))))</f>
        <v/>
      </c>
      <c r="S341">
        <f>IF(G340&lt;=0,0,MIN(AL341,G$7+IF(G$2=$AA341,$AC341,IF(G$2=$AF341,$AG341,0))))</f>
        <v/>
      </c>
      <c r="T341">
        <f>IF(H340&lt;=0,0,MIN(AM341,H$7+IF(H$2=$AA341,$AC341,IF(H$2=$AF341,$AG341,0))))</f>
        <v/>
      </c>
      <c r="U341">
        <f>IF(I340&lt;=0,0,MIN(AN341,I$7+IF(I$2=$AA341,$AC341,IF(I$2=$AF341,$AG341,0))))</f>
        <v/>
      </c>
      <c r="V341">
        <f>IF(J340&lt;=0,0,MIN(AO341,J$7+IF(J$2=$AA341,$AC341,IF(J$2=$AF341,$AG341,0))))</f>
        <v/>
      </c>
      <c r="W341">
        <f>IF(K340&lt;=0,0,MIN(AP341,K$7+IF(K$2=$AA341,$AC341,IF(K$2=$AF341,$AG341,0))))</f>
        <v/>
      </c>
      <c r="X341">
        <f>IF(L340&lt;=0,0,MIN(AQ341,L$7+IF(L$2=$AA341,$AC341,IF(L$2=$AF341,$AG341,0))))</f>
        <v/>
      </c>
      <c r="Y341">
        <f>IF(M340&lt;=0,0,MIN(AR341,M$7+IF(M$2=$AA341,$AC341,IF(M$2=$AF341,$AG341,0))))</f>
        <v/>
      </c>
      <c r="Z341">
        <f>IF(N340&lt;=0,0,MIN(AS341,N$7+IF(N$2=$AA341,$AC341,IF(N$2=$AF341,$AG341,0))))</f>
        <v/>
      </c>
      <c r="AA341">
        <f>IFERROR(ROUND(1/SUMPRODUCT(MAX((C340:N340&gt;0)*($C$3:$N$3&lt;=B341)/$C$2:$N$2)),0),0)</f>
        <v/>
      </c>
      <c r="AB341">
        <f>SUMPRODUCT((C340:N340&gt;0)*$C$7:$N$7)</f>
        <v/>
      </c>
      <c r="AC341">
        <f>MAX(0,Plan!$C$5-AB341)+IF(A341=Plan!$C$8,N(Plan!$C$7),0)</f>
        <v/>
      </c>
      <c r="AD341">
        <f>SUM(C341:N341)</f>
        <v/>
      </c>
      <c r="AE341">
        <f>SUM(O341:Z341)</f>
        <v/>
      </c>
      <c r="AF341">
        <f>IFERROR(ROUND(1/SUMPRODUCT(MAX((C340:N340&gt;0)*($C$3:$N$3&lt;=B341)*($C$2:$N$2&gt;AA341)/$C$2:$N$2)),0),0)</f>
        <v/>
      </c>
      <c r="AG341">
        <f>MAX(0,AC341-MAX(0,SUMPRODUCT(($C$2:$N$2=AA341)*(AH341:AS341-$C$7:$N$7))))</f>
        <v/>
      </c>
      <c r="AH341">
        <f>IF(C340&lt;=0,0,ROUND(C340*(1+IF(AND(C$6&gt;0,$B341&lt;C$6),C$4,C$5)/12),2))</f>
        <v/>
      </c>
      <c r="AI341">
        <f>IF(D340&lt;=0,0,ROUND(D340*(1+IF(AND(D$6&gt;0,$B341&lt;D$6),D$4,D$5)/12),2))</f>
        <v/>
      </c>
      <c r="AJ341">
        <f>IF(E340&lt;=0,0,ROUND(E340*(1+IF(AND(E$6&gt;0,$B341&lt;E$6),E$4,E$5)/12),2))</f>
        <v/>
      </c>
      <c r="AK341">
        <f>IF(F340&lt;=0,0,ROUND(F340*(1+IF(AND(F$6&gt;0,$B341&lt;F$6),F$4,F$5)/12),2))</f>
        <v/>
      </c>
      <c r="AL341">
        <f>IF(G340&lt;=0,0,ROUND(G340*(1+IF(AND(G$6&gt;0,$B341&lt;G$6),G$4,G$5)/12),2))</f>
        <v/>
      </c>
      <c r="AM341">
        <f>IF(H340&lt;=0,0,ROUND(H340*(1+IF(AND(H$6&gt;0,$B341&lt;H$6),H$4,H$5)/12),2))</f>
        <v/>
      </c>
      <c r="AN341">
        <f>IF(I340&lt;=0,0,ROUND(I340*(1+IF(AND(I$6&gt;0,$B341&lt;I$6),I$4,I$5)/12),2))</f>
        <v/>
      </c>
      <c r="AO341">
        <f>IF(J340&lt;=0,0,ROUND(J340*(1+IF(AND(J$6&gt;0,$B341&lt;J$6),J$4,J$5)/12),2))</f>
        <v/>
      </c>
      <c r="AP341">
        <f>IF(K340&lt;=0,0,ROUND(K340*(1+IF(AND(K$6&gt;0,$B341&lt;K$6),K$4,K$5)/12),2))</f>
        <v/>
      </c>
      <c r="AQ341">
        <f>IF(L340&lt;=0,0,ROUND(L340*(1+IF(AND(L$6&gt;0,$B341&lt;L$6),L$4,L$5)/12),2))</f>
        <v/>
      </c>
      <c r="AR341">
        <f>IF(M340&lt;=0,0,ROUND(M340*(1+IF(AND(M$6&gt;0,$B341&lt;M$6),M$4,M$5)/12),2))</f>
        <v/>
      </c>
      <c r="AS341">
        <f>IF(N340&lt;=0,0,ROUND(N340*(1+IF(AND(N$6&gt;0,$B341&lt;N$6),N$4,N$5)/12),2))</f>
        <v/>
      </c>
    </row>
    <row r="342">
      <c r="A342" t="n">
        <v>331</v>
      </c>
      <c r="B342">
        <f>EDATE(Plan!$C$6,330)</f>
        <v/>
      </c>
      <c r="C342">
        <f>IF(C341&lt;=0,0,MAX(0,AH342-O342))</f>
        <v/>
      </c>
      <c r="D342">
        <f>IF(D341&lt;=0,0,MAX(0,AI342-P342))</f>
        <v/>
      </c>
      <c r="E342">
        <f>IF(E341&lt;=0,0,MAX(0,AJ342-Q342))</f>
        <v/>
      </c>
      <c r="F342">
        <f>IF(F341&lt;=0,0,MAX(0,AK342-R342))</f>
        <v/>
      </c>
      <c r="G342">
        <f>IF(G341&lt;=0,0,MAX(0,AL342-S342))</f>
        <v/>
      </c>
      <c r="H342">
        <f>IF(H341&lt;=0,0,MAX(0,AM342-T342))</f>
        <v/>
      </c>
      <c r="I342">
        <f>IF(I341&lt;=0,0,MAX(0,AN342-U342))</f>
        <v/>
      </c>
      <c r="J342">
        <f>IF(J341&lt;=0,0,MAX(0,AO342-V342))</f>
        <v/>
      </c>
      <c r="K342">
        <f>IF(K341&lt;=0,0,MAX(0,AP342-W342))</f>
        <v/>
      </c>
      <c r="L342">
        <f>IF(L341&lt;=0,0,MAX(0,AQ342-X342))</f>
        <v/>
      </c>
      <c r="M342">
        <f>IF(M341&lt;=0,0,MAX(0,AR342-Y342))</f>
        <v/>
      </c>
      <c r="N342">
        <f>IF(N341&lt;=0,0,MAX(0,AS342-Z342))</f>
        <v/>
      </c>
      <c r="O342">
        <f>IF(C341&lt;=0,0,MIN(AH342,C$7+IF(C$2=$AA342,$AC342,IF(C$2=$AF342,$AG342,0))))</f>
        <v/>
      </c>
      <c r="P342">
        <f>IF(D341&lt;=0,0,MIN(AI342,D$7+IF(D$2=$AA342,$AC342,IF(D$2=$AF342,$AG342,0))))</f>
        <v/>
      </c>
      <c r="Q342">
        <f>IF(E341&lt;=0,0,MIN(AJ342,E$7+IF(E$2=$AA342,$AC342,IF(E$2=$AF342,$AG342,0))))</f>
        <v/>
      </c>
      <c r="R342">
        <f>IF(F341&lt;=0,0,MIN(AK342,F$7+IF(F$2=$AA342,$AC342,IF(F$2=$AF342,$AG342,0))))</f>
        <v/>
      </c>
      <c r="S342">
        <f>IF(G341&lt;=0,0,MIN(AL342,G$7+IF(G$2=$AA342,$AC342,IF(G$2=$AF342,$AG342,0))))</f>
        <v/>
      </c>
      <c r="T342">
        <f>IF(H341&lt;=0,0,MIN(AM342,H$7+IF(H$2=$AA342,$AC342,IF(H$2=$AF342,$AG342,0))))</f>
        <v/>
      </c>
      <c r="U342">
        <f>IF(I341&lt;=0,0,MIN(AN342,I$7+IF(I$2=$AA342,$AC342,IF(I$2=$AF342,$AG342,0))))</f>
        <v/>
      </c>
      <c r="V342">
        <f>IF(J341&lt;=0,0,MIN(AO342,J$7+IF(J$2=$AA342,$AC342,IF(J$2=$AF342,$AG342,0))))</f>
        <v/>
      </c>
      <c r="W342">
        <f>IF(K341&lt;=0,0,MIN(AP342,K$7+IF(K$2=$AA342,$AC342,IF(K$2=$AF342,$AG342,0))))</f>
        <v/>
      </c>
      <c r="X342">
        <f>IF(L341&lt;=0,0,MIN(AQ342,L$7+IF(L$2=$AA342,$AC342,IF(L$2=$AF342,$AG342,0))))</f>
        <v/>
      </c>
      <c r="Y342">
        <f>IF(M341&lt;=0,0,MIN(AR342,M$7+IF(M$2=$AA342,$AC342,IF(M$2=$AF342,$AG342,0))))</f>
        <v/>
      </c>
      <c r="Z342">
        <f>IF(N341&lt;=0,0,MIN(AS342,N$7+IF(N$2=$AA342,$AC342,IF(N$2=$AF342,$AG342,0))))</f>
        <v/>
      </c>
      <c r="AA342">
        <f>IFERROR(ROUND(1/SUMPRODUCT(MAX((C341:N341&gt;0)*($C$3:$N$3&lt;=B342)/$C$2:$N$2)),0),0)</f>
        <v/>
      </c>
      <c r="AB342">
        <f>SUMPRODUCT((C341:N341&gt;0)*$C$7:$N$7)</f>
        <v/>
      </c>
      <c r="AC342">
        <f>MAX(0,Plan!$C$5-AB342)+IF(A342=Plan!$C$8,N(Plan!$C$7),0)</f>
        <v/>
      </c>
      <c r="AD342">
        <f>SUM(C342:N342)</f>
        <v/>
      </c>
      <c r="AE342">
        <f>SUM(O342:Z342)</f>
        <v/>
      </c>
      <c r="AF342">
        <f>IFERROR(ROUND(1/SUMPRODUCT(MAX((C341:N341&gt;0)*($C$3:$N$3&lt;=B342)*($C$2:$N$2&gt;AA342)/$C$2:$N$2)),0),0)</f>
        <v/>
      </c>
      <c r="AG342">
        <f>MAX(0,AC342-MAX(0,SUMPRODUCT(($C$2:$N$2=AA342)*(AH342:AS342-$C$7:$N$7))))</f>
        <v/>
      </c>
      <c r="AH342">
        <f>IF(C341&lt;=0,0,ROUND(C341*(1+IF(AND(C$6&gt;0,$B342&lt;C$6),C$4,C$5)/12),2))</f>
        <v/>
      </c>
      <c r="AI342">
        <f>IF(D341&lt;=0,0,ROUND(D341*(1+IF(AND(D$6&gt;0,$B342&lt;D$6),D$4,D$5)/12),2))</f>
        <v/>
      </c>
      <c r="AJ342">
        <f>IF(E341&lt;=0,0,ROUND(E341*(1+IF(AND(E$6&gt;0,$B342&lt;E$6),E$4,E$5)/12),2))</f>
        <v/>
      </c>
      <c r="AK342">
        <f>IF(F341&lt;=0,0,ROUND(F341*(1+IF(AND(F$6&gt;0,$B342&lt;F$6),F$4,F$5)/12),2))</f>
        <v/>
      </c>
      <c r="AL342">
        <f>IF(G341&lt;=0,0,ROUND(G341*(1+IF(AND(G$6&gt;0,$B342&lt;G$6),G$4,G$5)/12),2))</f>
        <v/>
      </c>
      <c r="AM342">
        <f>IF(H341&lt;=0,0,ROUND(H341*(1+IF(AND(H$6&gt;0,$B342&lt;H$6),H$4,H$5)/12),2))</f>
        <v/>
      </c>
      <c r="AN342">
        <f>IF(I341&lt;=0,0,ROUND(I341*(1+IF(AND(I$6&gt;0,$B342&lt;I$6),I$4,I$5)/12),2))</f>
        <v/>
      </c>
      <c r="AO342">
        <f>IF(J341&lt;=0,0,ROUND(J341*(1+IF(AND(J$6&gt;0,$B342&lt;J$6),J$4,J$5)/12),2))</f>
        <v/>
      </c>
      <c r="AP342">
        <f>IF(K341&lt;=0,0,ROUND(K341*(1+IF(AND(K$6&gt;0,$B342&lt;K$6),K$4,K$5)/12),2))</f>
        <v/>
      </c>
      <c r="AQ342">
        <f>IF(L341&lt;=0,0,ROUND(L341*(1+IF(AND(L$6&gt;0,$B342&lt;L$6),L$4,L$5)/12),2))</f>
        <v/>
      </c>
      <c r="AR342">
        <f>IF(M341&lt;=0,0,ROUND(M341*(1+IF(AND(M$6&gt;0,$B342&lt;M$6),M$4,M$5)/12),2))</f>
        <v/>
      </c>
      <c r="AS342">
        <f>IF(N341&lt;=0,0,ROUND(N341*(1+IF(AND(N$6&gt;0,$B342&lt;N$6),N$4,N$5)/12),2))</f>
        <v/>
      </c>
    </row>
    <row r="343">
      <c r="A343" t="n">
        <v>332</v>
      </c>
      <c r="B343">
        <f>EDATE(Plan!$C$6,331)</f>
        <v/>
      </c>
      <c r="C343">
        <f>IF(C342&lt;=0,0,MAX(0,AH343-O343))</f>
        <v/>
      </c>
      <c r="D343">
        <f>IF(D342&lt;=0,0,MAX(0,AI343-P343))</f>
        <v/>
      </c>
      <c r="E343">
        <f>IF(E342&lt;=0,0,MAX(0,AJ343-Q343))</f>
        <v/>
      </c>
      <c r="F343">
        <f>IF(F342&lt;=0,0,MAX(0,AK343-R343))</f>
        <v/>
      </c>
      <c r="G343">
        <f>IF(G342&lt;=0,0,MAX(0,AL343-S343))</f>
        <v/>
      </c>
      <c r="H343">
        <f>IF(H342&lt;=0,0,MAX(0,AM343-T343))</f>
        <v/>
      </c>
      <c r="I343">
        <f>IF(I342&lt;=0,0,MAX(0,AN343-U343))</f>
        <v/>
      </c>
      <c r="J343">
        <f>IF(J342&lt;=0,0,MAX(0,AO343-V343))</f>
        <v/>
      </c>
      <c r="K343">
        <f>IF(K342&lt;=0,0,MAX(0,AP343-W343))</f>
        <v/>
      </c>
      <c r="L343">
        <f>IF(L342&lt;=0,0,MAX(0,AQ343-X343))</f>
        <v/>
      </c>
      <c r="M343">
        <f>IF(M342&lt;=0,0,MAX(0,AR343-Y343))</f>
        <v/>
      </c>
      <c r="N343">
        <f>IF(N342&lt;=0,0,MAX(0,AS343-Z343))</f>
        <v/>
      </c>
      <c r="O343">
        <f>IF(C342&lt;=0,0,MIN(AH343,C$7+IF(C$2=$AA343,$AC343,IF(C$2=$AF343,$AG343,0))))</f>
        <v/>
      </c>
      <c r="P343">
        <f>IF(D342&lt;=0,0,MIN(AI343,D$7+IF(D$2=$AA343,$AC343,IF(D$2=$AF343,$AG343,0))))</f>
        <v/>
      </c>
      <c r="Q343">
        <f>IF(E342&lt;=0,0,MIN(AJ343,E$7+IF(E$2=$AA343,$AC343,IF(E$2=$AF343,$AG343,0))))</f>
        <v/>
      </c>
      <c r="R343">
        <f>IF(F342&lt;=0,0,MIN(AK343,F$7+IF(F$2=$AA343,$AC343,IF(F$2=$AF343,$AG343,0))))</f>
        <v/>
      </c>
      <c r="S343">
        <f>IF(G342&lt;=0,0,MIN(AL343,G$7+IF(G$2=$AA343,$AC343,IF(G$2=$AF343,$AG343,0))))</f>
        <v/>
      </c>
      <c r="T343">
        <f>IF(H342&lt;=0,0,MIN(AM343,H$7+IF(H$2=$AA343,$AC343,IF(H$2=$AF343,$AG343,0))))</f>
        <v/>
      </c>
      <c r="U343">
        <f>IF(I342&lt;=0,0,MIN(AN343,I$7+IF(I$2=$AA343,$AC343,IF(I$2=$AF343,$AG343,0))))</f>
        <v/>
      </c>
      <c r="V343">
        <f>IF(J342&lt;=0,0,MIN(AO343,J$7+IF(J$2=$AA343,$AC343,IF(J$2=$AF343,$AG343,0))))</f>
        <v/>
      </c>
      <c r="W343">
        <f>IF(K342&lt;=0,0,MIN(AP343,K$7+IF(K$2=$AA343,$AC343,IF(K$2=$AF343,$AG343,0))))</f>
        <v/>
      </c>
      <c r="X343">
        <f>IF(L342&lt;=0,0,MIN(AQ343,L$7+IF(L$2=$AA343,$AC343,IF(L$2=$AF343,$AG343,0))))</f>
        <v/>
      </c>
      <c r="Y343">
        <f>IF(M342&lt;=0,0,MIN(AR343,M$7+IF(M$2=$AA343,$AC343,IF(M$2=$AF343,$AG343,0))))</f>
        <v/>
      </c>
      <c r="Z343">
        <f>IF(N342&lt;=0,0,MIN(AS343,N$7+IF(N$2=$AA343,$AC343,IF(N$2=$AF343,$AG343,0))))</f>
        <v/>
      </c>
      <c r="AA343">
        <f>IFERROR(ROUND(1/SUMPRODUCT(MAX((C342:N342&gt;0)*($C$3:$N$3&lt;=B343)/$C$2:$N$2)),0),0)</f>
        <v/>
      </c>
      <c r="AB343">
        <f>SUMPRODUCT((C342:N342&gt;0)*$C$7:$N$7)</f>
        <v/>
      </c>
      <c r="AC343">
        <f>MAX(0,Plan!$C$5-AB343)+IF(A343=Plan!$C$8,N(Plan!$C$7),0)</f>
        <v/>
      </c>
      <c r="AD343">
        <f>SUM(C343:N343)</f>
        <v/>
      </c>
      <c r="AE343">
        <f>SUM(O343:Z343)</f>
        <v/>
      </c>
      <c r="AF343">
        <f>IFERROR(ROUND(1/SUMPRODUCT(MAX((C342:N342&gt;0)*($C$3:$N$3&lt;=B343)*($C$2:$N$2&gt;AA343)/$C$2:$N$2)),0),0)</f>
        <v/>
      </c>
      <c r="AG343">
        <f>MAX(0,AC343-MAX(0,SUMPRODUCT(($C$2:$N$2=AA343)*(AH343:AS343-$C$7:$N$7))))</f>
        <v/>
      </c>
      <c r="AH343">
        <f>IF(C342&lt;=0,0,ROUND(C342*(1+IF(AND(C$6&gt;0,$B343&lt;C$6),C$4,C$5)/12),2))</f>
        <v/>
      </c>
      <c r="AI343">
        <f>IF(D342&lt;=0,0,ROUND(D342*(1+IF(AND(D$6&gt;0,$B343&lt;D$6),D$4,D$5)/12),2))</f>
        <v/>
      </c>
      <c r="AJ343">
        <f>IF(E342&lt;=0,0,ROUND(E342*(1+IF(AND(E$6&gt;0,$B343&lt;E$6),E$4,E$5)/12),2))</f>
        <v/>
      </c>
      <c r="AK343">
        <f>IF(F342&lt;=0,0,ROUND(F342*(1+IF(AND(F$6&gt;0,$B343&lt;F$6),F$4,F$5)/12),2))</f>
        <v/>
      </c>
      <c r="AL343">
        <f>IF(G342&lt;=0,0,ROUND(G342*(1+IF(AND(G$6&gt;0,$B343&lt;G$6),G$4,G$5)/12),2))</f>
        <v/>
      </c>
      <c r="AM343">
        <f>IF(H342&lt;=0,0,ROUND(H342*(1+IF(AND(H$6&gt;0,$B343&lt;H$6),H$4,H$5)/12),2))</f>
        <v/>
      </c>
      <c r="AN343">
        <f>IF(I342&lt;=0,0,ROUND(I342*(1+IF(AND(I$6&gt;0,$B343&lt;I$6),I$4,I$5)/12),2))</f>
        <v/>
      </c>
      <c r="AO343">
        <f>IF(J342&lt;=0,0,ROUND(J342*(1+IF(AND(J$6&gt;0,$B343&lt;J$6),J$4,J$5)/12),2))</f>
        <v/>
      </c>
      <c r="AP343">
        <f>IF(K342&lt;=0,0,ROUND(K342*(1+IF(AND(K$6&gt;0,$B343&lt;K$6),K$4,K$5)/12),2))</f>
        <v/>
      </c>
      <c r="AQ343">
        <f>IF(L342&lt;=0,0,ROUND(L342*(1+IF(AND(L$6&gt;0,$B343&lt;L$6),L$4,L$5)/12),2))</f>
        <v/>
      </c>
      <c r="AR343">
        <f>IF(M342&lt;=0,0,ROUND(M342*(1+IF(AND(M$6&gt;0,$B343&lt;M$6),M$4,M$5)/12),2))</f>
        <v/>
      </c>
      <c r="AS343">
        <f>IF(N342&lt;=0,0,ROUND(N342*(1+IF(AND(N$6&gt;0,$B343&lt;N$6),N$4,N$5)/12),2))</f>
        <v/>
      </c>
    </row>
    <row r="344">
      <c r="A344" t="n">
        <v>333</v>
      </c>
      <c r="B344">
        <f>EDATE(Plan!$C$6,332)</f>
        <v/>
      </c>
      <c r="C344">
        <f>IF(C343&lt;=0,0,MAX(0,AH344-O344))</f>
        <v/>
      </c>
      <c r="D344">
        <f>IF(D343&lt;=0,0,MAX(0,AI344-P344))</f>
        <v/>
      </c>
      <c r="E344">
        <f>IF(E343&lt;=0,0,MAX(0,AJ344-Q344))</f>
        <v/>
      </c>
      <c r="F344">
        <f>IF(F343&lt;=0,0,MAX(0,AK344-R344))</f>
        <v/>
      </c>
      <c r="G344">
        <f>IF(G343&lt;=0,0,MAX(0,AL344-S344))</f>
        <v/>
      </c>
      <c r="H344">
        <f>IF(H343&lt;=0,0,MAX(0,AM344-T344))</f>
        <v/>
      </c>
      <c r="I344">
        <f>IF(I343&lt;=0,0,MAX(0,AN344-U344))</f>
        <v/>
      </c>
      <c r="J344">
        <f>IF(J343&lt;=0,0,MAX(0,AO344-V344))</f>
        <v/>
      </c>
      <c r="K344">
        <f>IF(K343&lt;=0,0,MAX(0,AP344-W344))</f>
        <v/>
      </c>
      <c r="L344">
        <f>IF(L343&lt;=0,0,MAX(0,AQ344-X344))</f>
        <v/>
      </c>
      <c r="M344">
        <f>IF(M343&lt;=0,0,MAX(0,AR344-Y344))</f>
        <v/>
      </c>
      <c r="N344">
        <f>IF(N343&lt;=0,0,MAX(0,AS344-Z344))</f>
        <v/>
      </c>
      <c r="O344">
        <f>IF(C343&lt;=0,0,MIN(AH344,C$7+IF(C$2=$AA344,$AC344,IF(C$2=$AF344,$AG344,0))))</f>
        <v/>
      </c>
      <c r="P344">
        <f>IF(D343&lt;=0,0,MIN(AI344,D$7+IF(D$2=$AA344,$AC344,IF(D$2=$AF344,$AG344,0))))</f>
        <v/>
      </c>
      <c r="Q344">
        <f>IF(E343&lt;=0,0,MIN(AJ344,E$7+IF(E$2=$AA344,$AC344,IF(E$2=$AF344,$AG344,0))))</f>
        <v/>
      </c>
      <c r="R344">
        <f>IF(F343&lt;=0,0,MIN(AK344,F$7+IF(F$2=$AA344,$AC344,IF(F$2=$AF344,$AG344,0))))</f>
        <v/>
      </c>
      <c r="S344">
        <f>IF(G343&lt;=0,0,MIN(AL344,G$7+IF(G$2=$AA344,$AC344,IF(G$2=$AF344,$AG344,0))))</f>
        <v/>
      </c>
      <c r="T344">
        <f>IF(H343&lt;=0,0,MIN(AM344,H$7+IF(H$2=$AA344,$AC344,IF(H$2=$AF344,$AG344,0))))</f>
        <v/>
      </c>
      <c r="U344">
        <f>IF(I343&lt;=0,0,MIN(AN344,I$7+IF(I$2=$AA344,$AC344,IF(I$2=$AF344,$AG344,0))))</f>
        <v/>
      </c>
      <c r="V344">
        <f>IF(J343&lt;=0,0,MIN(AO344,J$7+IF(J$2=$AA344,$AC344,IF(J$2=$AF344,$AG344,0))))</f>
        <v/>
      </c>
      <c r="W344">
        <f>IF(K343&lt;=0,0,MIN(AP344,K$7+IF(K$2=$AA344,$AC344,IF(K$2=$AF344,$AG344,0))))</f>
        <v/>
      </c>
      <c r="X344">
        <f>IF(L343&lt;=0,0,MIN(AQ344,L$7+IF(L$2=$AA344,$AC344,IF(L$2=$AF344,$AG344,0))))</f>
        <v/>
      </c>
      <c r="Y344">
        <f>IF(M343&lt;=0,0,MIN(AR344,M$7+IF(M$2=$AA344,$AC344,IF(M$2=$AF344,$AG344,0))))</f>
        <v/>
      </c>
      <c r="Z344">
        <f>IF(N343&lt;=0,0,MIN(AS344,N$7+IF(N$2=$AA344,$AC344,IF(N$2=$AF344,$AG344,0))))</f>
        <v/>
      </c>
      <c r="AA344">
        <f>IFERROR(ROUND(1/SUMPRODUCT(MAX((C343:N343&gt;0)*($C$3:$N$3&lt;=B344)/$C$2:$N$2)),0),0)</f>
        <v/>
      </c>
      <c r="AB344">
        <f>SUMPRODUCT((C343:N343&gt;0)*$C$7:$N$7)</f>
        <v/>
      </c>
      <c r="AC344">
        <f>MAX(0,Plan!$C$5-AB344)+IF(A344=Plan!$C$8,N(Plan!$C$7),0)</f>
        <v/>
      </c>
      <c r="AD344">
        <f>SUM(C344:N344)</f>
        <v/>
      </c>
      <c r="AE344">
        <f>SUM(O344:Z344)</f>
        <v/>
      </c>
      <c r="AF344">
        <f>IFERROR(ROUND(1/SUMPRODUCT(MAX((C343:N343&gt;0)*($C$3:$N$3&lt;=B344)*($C$2:$N$2&gt;AA344)/$C$2:$N$2)),0),0)</f>
        <v/>
      </c>
      <c r="AG344">
        <f>MAX(0,AC344-MAX(0,SUMPRODUCT(($C$2:$N$2=AA344)*(AH344:AS344-$C$7:$N$7))))</f>
        <v/>
      </c>
      <c r="AH344">
        <f>IF(C343&lt;=0,0,ROUND(C343*(1+IF(AND(C$6&gt;0,$B344&lt;C$6),C$4,C$5)/12),2))</f>
        <v/>
      </c>
      <c r="AI344">
        <f>IF(D343&lt;=0,0,ROUND(D343*(1+IF(AND(D$6&gt;0,$B344&lt;D$6),D$4,D$5)/12),2))</f>
        <v/>
      </c>
      <c r="AJ344">
        <f>IF(E343&lt;=0,0,ROUND(E343*(1+IF(AND(E$6&gt;0,$B344&lt;E$6),E$4,E$5)/12),2))</f>
        <v/>
      </c>
      <c r="AK344">
        <f>IF(F343&lt;=0,0,ROUND(F343*(1+IF(AND(F$6&gt;0,$B344&lt;F$6),F$4,F$5)/12),2))</f>
        <v/>
      </c>
      <c r="AL344">
        <f>IF(G343&lt;=0,0,ROUND(G343*(1+IF(AND(G$6&gt;0,$B344&lt;G$6),G$4,G$5)/12),2))</f>
        <v/>
      </c>
      <c r="AM344">
        <f>IF(H343&lt;=0,0,ROUND(H343*(1+IF(AND(H$6&gt;0,$B344&lt;H$6),H$4,H$5)/12),2))</f>
        <v/>
      </c>
      <c r="AN344">
        <f>IF(I343&lt;=0,0,ROUND(I343*(1+IF(AND(I$6&gt;0,$B344&lt;I$6),I$4,I$5)/12),2))</f>
        <v/>
      </c>
      <c r="AO344">
        <f>IF(J343&lt;=0,0,ROUND(J343*(1+IF(AND(J$6&gt;0,$B344&lt;J$6),J$4,J$5)/12),2))</f>
        <v/>
      </c>
      <c r="AP344">
        <f>IF(K343&lt;=0,0,ROUND(K343*(1+IF(AND(K$6&gt;0,$B344&lt;K$6),K$4,K$5)/12),2))</f>
        <v/>
      </c>
      <c r="AQ344">
        <f>IF(L343&lt;=0,0,ROUND(L343*(1+IF(AND(L$6&gt;0,$B344&lt;L$6),L$4,L$5)/12),2))</f>
        <v/>
      </c>
      <c r="AR344">
        <f>IF(M343&lt;=0,0,ROUND(M343*(1+IF(AND(M$6&gt;0,$B344&lt;M$6),M$4,M$5)/12),2))</f>
        <v/>
      </c>
      <c r="AS344">
        <f>IF(N343&lt;=0,0,ROUND(N343*(1+IF(AND(N$6&gt;0,$B344&lt;N$6),N$4,N$5)/12),2))</f>
        <v/>
      </c>
    </row>
    <row r="345">
      <c r="A345" t="n">
        <v>334</v>
      </c>
      <c r="B345">
        <f>EDATE(Plan!$C$6,333)</f>
        <v/>
      </c>
      <c r="C345">
        <f>IF(C344&lt;=0,0,MAX(0,AH345-O345))</f>
        <v/>
      </c>
      <c r="D345">
        <f>IF(D344&lt;=0,0,MAX(0,AI345-P345))</f>
        <v/>
      </c>
      <c r="E345">
        <f>IF(E344&lt;=0,0,MAX(0,AJ345-Q345))</f>
        <v/>
      </c>
      <c r="F345">
        <f>IF(F344&lt;=0,0,MAX(0,AK345-R345))</f>
        <v/>
      </c>
      <c r="G345">
        <f>IF(G344&lt;=0,0,MAX(0,AL345-S345))</f>
        <v/>
      </c>
      <c r="H345">
        <f>IF(H344&lt;=0,0,MAX(0,AM345-T345))</f>
        <v/>
      </c>
      <c r="I345">
        <f>IF(I344&lt;=0,0,MAX(0,AN345-U345))</f>
        <v/>
      </c>
      <c r="J345">
        <f>IF(J344&lt;=0,0,MAX(0,AO345-V345))</f>
        <v/>
      </c>
      <c r="K345">
        <f>IF(K344&lt;=0,0,MAX(0,AP345-W345))</f>
        <v/>
      </c>
      <c r="L345">
        <f>IF(L344&lt;=0,0,MAX(0,AQ345-X345))</f>
        <v/>
      </c>
      <c r="M345">
        <f>IF(M344&lt;=0,0,MAX(0,AR345-Y345))</f>
        <v/>
      </c>
      <c r="N345">
        <f>IF(N344&lt;=0,0,MAX(0,AS345-Z345))</f>
        <v/>
      </c>
      <c r="O345">
        <f>IF(C344&lt;=0,0,MIN(AH345,C$7+IF(C$2=$AA345,$AC345,IF(C$2=$AF345,$AG345,0))))</f>
        <v/>
      </c>
      <c r="P345">
        <f>IF(D344&lt;=0,0,MIN(AI345,D$7+IF(D$2=$AA345,$AC345,IF(D$2=$AF345,$AG345,0))))</f>
        <v/>
      </c>
      <c r="Q345">
        <f>IF(E344&lt;=0,0,MIN(AJ345,E$7+IF(E$2=$AA345,$AC345,IF(E$2=$AF345,$AG345,0))))</f>
        <v/>
      </c>
      <c r="R345">
        <f>IF(F344&lt;=0,0,MIN(AK345,F$7+IF(F$2=$AA345,$AC345,IF(F$2=$AF345,$AG345,0))))</f>
        <v/>
      </c>
      <c r="S345">
        <f>IF(G344&lt;=0,0,MIN(AL345,G$7+IF(G$2=$AA345,$AC345,IF(G$2=$AF345,$AG345,0))))</f>
        <v/>
      </c>
      <c r="T345">
        <f>IF(H344&lt;=0,0,MIN(AM345,H$7+IF(H$2=$AA345,$AC345,IF(H$2=$AF345,$AG345,0))))</f>
        <v/>
      </c>
      <c r="U345">
        <f>IF(I344&lt;=0,0,MIN(AN345,I$7+IF(I$2=$AA345,$AC345,IF(I$2=$AF345,$AG345,0))))</f>
        <v/>
      </c>
      <c r="V345">
        <f>IF(J344&lt;=0,0,MIN(AO345,J$7+IF(J$2=$AA345,$AC345,IF(J$2=$AF345,$AG345,0))))</f>
        <v/>
      </c>
      <c r="W345">
        <f>IF(K344&lt;=0,0,MIN(AP345,K$7+IF(K$2=$AA345,$AC345,IF(K$2=$AF345,$AG345,0))))</f>
        <v/>
      </c>
      <c r="X345">
        <f>IF(L344&lt;=0,0,MIN(AQ345,L$7+IF(L$2=$AA345,$AC345,IF(L$2=$AF345,$AG345,0))))</f>
        <v/>
      </c>
      <c r="Y345">
        <f>IF(M344&lt;=0,0,MIN(AR345,M$7+IF(M$2=$AA345,$AC345,IF(M$2=$AF345,$AG345,0))))</f>
        <v/>
      </c>
      <c r="Z345">
        <f>IF(N344&lt;=0,0,MIN(AS345,N$7+IF(N$2=$AA345,$AC345,IF(N$2=$AF345,$AG345,0))))</f>
        <v/>
      </c>
      <c r="AA345">
        <f>IFERROR(ROUND(1/SUMPRODUCT(MAX((C344:N344&gt;0)*($C$3:$N$3&lt;=B345)/$C$2:$N$2)),0),0)</f>
        <v/>
      </c>
      <c r="AB345">
        <f>SUMPRODUCT((C344:N344&gt;0)*$C$7:$N$7)</f>
        <v/>
      </c>
      <c r="AC345">
        <f>MAX(0,Plan!$C$5-AB345)+IF(A345=Plan!$C$8,N(Plan!$C$7),0)</f>
        <v/>
      </c>
      <c r="AD345">
        <f>SUM(C345:N345)</f>
        <v/>
      </c>
      <c r="AE345">
        <f>SUM(O345:Z345)</f>
        <v/>
      </c>
      <c r="AF345">
        <f>IFERROR(ROUND(1/SUMPRODUCT(MAX((C344:N344&gt;0)*($C$3:$N$3&lt;=B345)*($C$2:$N$2&gt;AA345)/$C$2:$N$2)),0),0)</f>
        <v/>
      </c>
      <c r="AG345">
        <f>MAX(0,AC345-MAX(0,SUMPRODUCT(($C$2:$N$2=AA345)*(AH345:AS345-$C$7:$N$7))))</f>
        <v/>
      </c>
      <c r="AH345">
        <f>IF(C344&lt;=0,0,ROUND(C344*(1+IF(AND(C$6&gt;0,$B345&lt;C$6),C$4,C$5)/12),2))</f>
        <v/>
      </c>
      <c r="AI345">
        <f>IF(D344&lt;=0,0,ROUND(D344*(1+IF(AND(D$6&gt;0,$B345&lt;D$6),D$4,D$5)/12),2))</f>
        <v/>
      </c>
      <c r="AJ345">
        <f>IF(E344&lt;=0,0,ROUND(E344*(1+IF(AND(E$6&gt;0,$B345&lt;E$6),E$4,E$5)/12),2))</f>
        <v/>
      </c>
      <c r="AK345">
        <f>IF(F344&lt;=0,0,ROUND(F344*(1+IF(AND(F$6&gt;0,$B345&lt;F$6),F$4,F$5)/12),2))</f>
        <v/>
      </c>
      <c r="AL345">
        <f>IF(G344&lt;=0,0,ROUND(G344*(1+IF(AND(G$6&gt;0,$B345&lt;G$6),G$4,G$5)/12),2))</f>
        <v/>
      </c>
      <c r="AM345">
        <f>IF(H344&lt;=0,0,ROUND(H344*(1+IF(AND(H$6&gt;0,$B345&lt;H$6),H$4,H$5)/12),2))</f>
        <v/>
      </c>
      <c r="AN345">
        <f>IF(I344&lt;=0,0,ROUND(I344*(1+IF(AND(I$6&gt;0,$B345&lt;I$6),I$4,I$5)/12),2))</f>
        <v/>
      </c>
      <c r="AO345">
        <f>IF(J344&lt;=0,0,ROUND(J344*(1+IF(AND(J$6&gt;0,$B345&lt;J$6),J$4,J$5)/12),2))</f>
        <v/>
      </c>
      <c r="AP345">
        <f>IF(K344&lt;=0,0,ROUND(K344*(1+IF(AND(K$6&gt;0,$B345&lt;K$6),K$4,K$5)/12),2))</f>
        <v/>
      </c>
      <c r="AQ345">
        <f>IF(L344&lt;=0,0,ROUND(L344*(1+IF(AND(L$6&gt;0,$B345&lt;L$6),L$4,L$5)/12),2))</f>
        <v/>
      </c>
      <c r="AR345">
        <f>IF(M344&lt;=0,0,ROUND(M344*(1+IF(AND(M$6&gt;0,$B345&lt;M$6),M$4,M$5)/12),2))</f>
        <v/>
      </c>
      <c r="AS345">
        <f>IF(N344&lt;=0,0,ROUND(N344*(1+IF(AND(N$6&gt;0,$B345&lt;N$6),N$4,N$5)/12),2))</f>
        <v/>
      </c>
    </row>
    <row r="346">
      <c r="A346" t="n">
        <v>335</v>
      </c>
      <c r="B346">
        <f>EDATE(Plan!$C$6,334)</f>
        <v/>
      </c>
      <c r="C346">
        <f>IF(C345&lt;=0,0,MAX(0,AH346-O346))</f>
        <v/>
      </c>
      <c r="D346">
        <f>IF(D345&lt;=0,0,MAX(0,AI346-P346))</f>
        <v/>
      </c>
      <c r="E346">
        <f>IF(E345&lt;=0,0,MAX(0,AJ346-Q346))</f>
        <v/>
      </c>
      <c r="F346">
        <f>IF(F345&lt;=0,0,MAX(0,AK346-R346))</f>
        <v/>
      </c>
      <c r="G346">
        <f>IF(G345&lt;=0,0,MAX(0,AL346-S346))</f>
        <v/>
      </c>
      <c r="H346">
        <f>IF(H345&lt;=0,0,MAX(0,AM346-T346))</f>
        <v/>
      </c>
      <c r="I346">
        <f>IF(I345&lt;=0,0,MAX(0,AN346-U346))</f>
        <v/>
      </c>
      <c r="J346">
        <f>IF(J345&lt;=0,0,MAX(0,AO346-V346))</f>
        <v/>
      </c>
      <c r="K346">
        <f>IF(K345&lt;=0,0,MAX(0,AP346-W346))</f>
        <v/>
      </c>
      <c r="L346">
        <f>IF(L345&lt;=0,0,MAX(0,AQ346-X346))</f>
        <v/>
      </c>
      <c r="M346">
        <f>IF(M345&lt;=0,0,MAX(0,AR346-Y346))</f>
        <v/>
      </c>
      <c r="N346">
        <f>IF(N345&lt;=0,0,MAX(0,AS346-Z346))</f>
        <v/>
      </c>
      <c r="O346">
        <f>IF(C345&lt;=0,0,MIN(AH346,C$7+IF(C$2=$AA346,$AC346,IF(C$2=$AF346,$AG346,0))))</f>
        <v/>
      </c>
      <c r="P346">
        <f>IF(D345&lt;=0,0,MIN(AI346,D$7+IF(D$2=$AA346,$AC346,IF(D$2=$AF346,$AG346,0))))</f>
        <v/>
      </c>
      <c r="Q346">
        <f>IF(E345&lt;=0,0,MIN(AJ346,E$7+IF(E$2=$AA346,$AC346,IF(E$2=$AF346,$AG346,0))))</f>
        <v/>
      </c>
      <c r="R346">
        <f>IF(F345&lt;=0,0,MIN(AK346,F$7+IF(F$2=$AA346,$AC346,IF(F$2=$AF346,$AG346,0))))</f>
        <v/>
      </c>
      <c r="S346">
        <f>IF(G345&lt;=0,0,MIN(AL346,G$7+IF(G$2=$AA346,$AC346,IF(G$2=$AF346,$AG346,0))))</f>
        <v/>
      </c>
      <c r="T346">
        <f>IF(H345&lt;=0,0,MIN(AM346,H$7+IF(H$2=$AA346,$AC346,IF(H$2=$AF346,$AG346,0))))</f>
        <v/>
      </c>
      <c r="U346">
        <f>IF(I345&lt;=0,0,MIN(AN346,I$7+IF(I$2=$AA346,$AC346,IF(I$2=$AF346,$AG346,0))))</f>
        <v/>
      </c>
      <c r="V346">
        <f>IF(J345&lt;=0,0,MIN(AO346,J$7+IF(J$2=$AA346,$AC346,IF(J$2=$AF346,$AG346,0))))</f>
        <v/>
      </c>
      <c r="W346">
        <f>IF(K345&lt;=0,0,MIN(AP346,K$7+IF(K$2=$AA346,$AC346,IF(K$2=$AF346,$AG346,0))))</f>
        <v/>
      </c>
      <c r="X346">
        <f>IF(L345&lt;=0,0,MIN(AQ346,L$7+IF(L$2=$AA346,$AC346,IF(L$2=$AF346,$AG346,0))))</f>
        <v/>
      </c>
      <c r="Y346">
        <f>IF(M345&lt;=0,0,MIN(AR346,M$7+IF(M$2=$AA346,$AC346,IF(M$2=$AF346,$AG346,0))))</f>
        <v/>
      </c>
      <c r="Z346">
        <f>IF(N345&lt;=0,0,MIN(AS346,N$7+IF(N$2=$AA346,$AC346,IF(N$2=$AF346,$AG346,0))))</f>
        <v/>
      </c>
      <c r="AA346">
        <f>IFERROR(ROUND(1/SUMPRODUCT(MAX((C345:N345&gt;0)*($C$3:$N$3&lt;=B346)/$C$2:$N$2)),0),0)</f>
        <v/>
      </c>
      <c r="AB346">
        <f>SUMPRODUCT((C345:N345&gt;0)*$C$7:$N$7)</f>
        <v/>
      </c>
      <c r="AC346">
        <f>MAX(0,Plan!$C$5-AB346)+IF(A346=Plan!$C$8,N(Plan!$C$7),0)</f>
        <v/>
      </c>
      <c r="AD346">
        <f>SUM(C346:N346)</f>
        <v/>
      </c>
      <c r="AE346">
        <f>SUM(O346:Z346)</f>
        <v/>
      </c>
      <c r="AF346">
        <f>IFERROR(ROUND(1/SUMPRODUCT(MAX((C345:N345&gt;0)*($C$3:$N$3&lt;=B346)*($C$2:$N$2&gt;AA346)/$C$2:$N$2)),0),0)</f>
        <v/>
      </c>
      <c r="AG346">
        <f>MAX(0,AC346-MAX(0,SUMPRODUCT(($C$2:$N$2=AA346)*(AH346:AS346-$C$7:$N$7))))</f>
        <v/>
      </c>
      <c r="AH346">
        <f>IF(C345&lt;=0,0,ROUND(C345*(1+IF(AND(C$6&gt;0,$B346&lt;C$6),C$4,C$5)/12),2))</f>
        <v/>
      </c>
      <c r="AI346">
        <f>IF(D345&lt;=0,0,ROUND(D345*(1+IF(AND(D$6&gt;0,$B346&lt;D$6),D$4,D$5)/12),2))</f>
        <v/>
      </c>
      <c r="AJ346">
        <f>IF(E345&lt;=0,0,ROUND(E345*(1+IF(AND(E$6&gt;0,$B346&lt;E$6),E$4,E$5)/12),2))</f>
        <v/>
      </c>
      <c r="AK346">
        <f>IF(F345&lt;=0,0,ROUND(F345*(1+IF(AND(F$6&gt;0,$B346&lt;F$6),F$4,F$5)/12),2))</f>
        <v/>
      </c>
      <c r="AL346">
        <f>IF(G345&lt;=0,0,ROUND(G345*(1+IF(AND(G$6&gt;0,$B346&lt;G$6),G$4,G$5)/12),2))</f>
        <v/>
      </c>
      <c r="AM346">
        <f>IF(H345&lt;=0,0,ROUND(H345*(1+IF(AND(H$6&gt;0,$B346&lt;H$6),H$4,H$5)/12),2))</f>
        <v/>
      </c>
      <c r="AN346">
        <f>IF(I345&lt;=0,0,ROUND(I345*(1+IF(AND(I$6&gt;0,$B346&lt;I$6),I$4,I$5)/12),2))</f>
        <v/>
      </c>
      <c r="AO346">
        <f>IF(J345&lt;=0,0,ROUND(J345*(1+IF(AND(J$6&gt;0,$B346&lt;J$6),J$4,J$5)/12),2))</f>
        <v/>
      </c>
      <c r="AP346">
        <f>IF(K345&lt;=0,0,ROUND(K345*(1+IF(AND(K$6&gt;0,$B346&lt;K$6),K$4,K$5)/12),2))</f>
        <v/>
      </c>
      <c r="AQ346">
        <f>IF(L345&lt;=0,0,ROUND(L345*(1+IF(AND(L$6&gt;0,$B346&lt;L$6),L$4,L$5)/12),2))</f>
        <v/>
      </c>
      <c r="AR346">
        <f>IF(M345&lt;=0,0,ROUND(M345*(1+IF(AND(M$6&gt;0,$B346&lt;M$6),M$4,M$5)/12),2))</f>
        <v/>
      </c>
      <c r="AS346">
        <f>IF(N345&lt;=0,0,ROUND(N345*(1+IF(AND(N$6&gt;0,$B346&lt;N$6),N$4,N$5)/12),2))</f>
        <v/>
      </c>
    </row>
    <row r="347">
      <c r="A347" t="n">
        <v>336</v>
      </c>
      <c r="B347">
        <f>EDATE(Plan!$C$6,335)</f>
        <v/>
      </c>
      <c r="C347">
        <f>IF(C346&lt;=0,0,MAX(0,AH347-O347))</f>
        <v/>
      </c>
      <c r="D347">
        <f>IF(D346&lt;=0,0,MAX(0,AI347-P347))</f>
        <v/>
      </c>
      <c r="E347">
        <f>IF(E346&lt;=0,0,MAX(0,AJ347-Q347))</f>
        <v/>
      </c>
      <c r="F347">
        <f>IF(F346&lt;=0,0,MAX(0,AK347-R347))</f>
        <v/>
      </c>
      <c r="G347">
        <f>IF(G346&lt;=0,0,MAX(0,AL347-S347))</f>
        <v/>
      </c>
      <c r="H347">
        <f>IF(H346&lt;=0,0,MAX(0,AM347-T347))</f>
        <v/>
      </c>
      <c r="I347">
        <f>IF(I346&lt;=0,0,MAX(0,AN347-U347))</f>
        <v/>
      </c>
      <c r="J347">
        <f>IF(J346&lt;=0,0,MAX(0,AO347-V347))</f>
        <v/>
      </c>
      <c r="K347">
        <f>IF(K346&lt;=0,0,MAX(0,AP347-W347))</f>
        <v/>
      </c>
      <c r="L347">
        <f>IF(L346&lt;=0,0,MAX(0,AQ347-X347))</f>
        <v/>
      </c>
      <c r="M347">
        <f>IF(M346&lt;=0,0,MAX(0,AR347-Y347))</f>
        <v/>
      </c>
      <c r="N347">
        <f>IF(N346&lt;=0,0,MAX(0,AS347-Z347))</f>
        <v/>
      </c>
      <c r="O347">
        <f>IF(C346&lt;=0,0,MIN(AH347,C$7+IF(C$2=$AA347,$AC347,IF(C$2=$AF347,$AG347,0))))</f>
        <v/>
      </c>
      <c r="P347">
        <f>IF(D346&lt;=0,0,MIN(AI347,D$7+IF(D$2=$AA347,$AC347,IF(D$2=$AF347,$AG347,0))))</f>
        <v/>
      </c>
      <c r="Q347">
        <f>IF(E346&lt;=0,0,MIN(AJ347,E$7+IF(E$2=$AA347,$AC347,IF(E$2=$AF347,$AG347,0))))</f>
        <v/>
      </c>
      <c r="R347">
        <f>IF(F346&lt;=0,0,MIN(AK347,F$7+IF(F$2=$AA347,$AC347,IF(F$2=$AF347,$AG347,0))))</f>
        <v/>
      </c>
      <c r="S347">
        <f>IF(G346&lt;=0,0,MIN(AL347,G$7+IF(G$2=$AA347,$AC347,IF(G$2=$AF347,$AG347,0))))</f>
        <v/>
      </c>
      <c r="T347">
        <f>IF(H346&lt;=0,0,MIN(AM347,H$7+IF(H$2=$AA347,$AC347,IF(H$2=$AF347,$AG347,0))))</f>
        <v/>
      </c>
      <c r="U347">
        <f>IF(I346&lt;=0,0,MIN(AN347,I$7+IF(I$2=$AA347,$AC347,IF(I$2=$AF347,$AG347,0))))</f>
        <v/>
      </c>
      <c r="V347">
        <f>IF(J346&lt;=0,0,MIN(AO347,J$7+IF(J$2=$AA347,$AC347,IF(J$2=$AF347,$AG347,0))))</f>
        <v/>
      </c>
      <c r="W347">
        <f>IF(K346&lt;=0,0,MIN(AP347,K$7+IF(K$2=$AA347,$AC347,IF(K$2=$AF347,$AG347,0))))</f>
        <v/>
      </c>
      <c r="X347">
        <f>IF(L346&lt;=0,0,MIN(AQ347,L$7+IF(L$2=$AA347,$AC347,IF(L$2=$AF347,$AG347,0))))</f>
        <v/>
      </c>
      <c r="Y347">
        <f>IF(M346&lt;=0,0,MIN(AR347,M$7+IF(M$2=$AA347,$AC347,IF(M$2=$AF347,$AG347,0))))</f>
        <v/>
      </c>
      <c r="Z347">
        <f>IF(N346&lt;=0,0,MIN(AS347,N$7+IF(N$2=$AA347,$AC347,IF(N$2=$AF347,$AG347,0))))</f>
        <v/>
      </c>
      <c r="AA347">
        <f>IFERROR(ROUND(1/SUMPRODUCT(MAX((C346:N346&gt;0)*($C$3:$N$3&lt;=B347)/$C$2:$N$2)),0),0)</f>
        <v/>
      </c>
      <c r="AB347">
        <f>SUMPRODUCT((C346:N346&gt;0)*$C$7:$N$7)</f>
        <v/>
      </c>
      <c r="AC347">
        <f>MAX(0,Plan!$C$5-AB347)+IF(A347=Plan!$C$8,N(Plan!$C$7),0)</f>
        <v/>
      </c>
      <c r="AD347">
        <f>SUM(C347:N347)</f>
        <v/>
      </c>
      <c r="AE347">
        <f>SUM(O347:Z347)</f>
        <v/>
      </c>
      <c r="AF347">
        <f>IFERROR(ROUND(1/SUMPRODUCT(MAX((C346:N346&gt;0)*($C$3:$N$3&lt;=B347)*($C$2:$N$2&gt;AA347)/$C$2:$N$2)),0),0)</f>
        <v/>
      </c>
      <c r="AG347">
        <f>MAX(0,AC347-MAX(0,SUMPRODUCT(($C$2:$N$2=AA347)*(AH347:AS347-$C$7:$N$7))))</f>
        <v/>
      </c>
      <c r="AH347">
        <f>IF(C346&lt;=0,0,ROUND(C346*(1+IF(AND(C$6&gt;0,$B347&lt;C$6),C$4,C$5)/12),2))</f>
        <v/>
      </c>
      <c r="AI347">
        <f>IF(D346&lt;=0,0,ROUND(D346*(1+IF(AND(D$6&gt;0,$B347&lt;D$6),D$4,D$5)/12),2))</f>
        <v/>
      </c>
      <c r="AJ347">
        <f>IF(E346&lt;=0,0,ROUND(E346*(1+IF(AND(E$6&gt;0,$B347&lt;E$6),E$4,E$5)/12),2))</f>
        <v/>
      </c>
      <c r="AK347">
        <f>IF(F346&lt;=0,0,ROUND(F346*(1+IF(AND(F$6&gt;0,$B347&lt;F$6),F$4,F$5)/12),2))</f>
        <v/>
      </c>
      <c r="AL347">
        <f>IF(G346&lt;=0,0,ROUND(G346*(1+IF(AND(G$6&gt;0,$B347&lt;G$6),G$4,G$5)/12),2))</f>
        <v/>
      </c>
      <c r="AM347">
        <f>IF(H346&lt;=0,0,ROUND(H346*(1+IF(AND(H$6&gt;0,$B347&lt;H$6),H$4,H$5)/12),2))</f>
        <v/>
      </c>
      <c r="AN347">
        <f>IF(I346&lt;=0,0,ROUND(I346*(1+IF(AND(I$6&gt;0,$B347&lt;I$6),I$4,I$5)/12),2))</f>
        <v/>
      </c>
      <c r="AO347">
        <f>IF(J346&lt;=0,0,ROUND(J346*(1+IF(AND(J$6&gt;0,$B347&lt;J$6),J$4,J$5)/12),2))</f>
        <v/>
      </c>
      <c r="AP347">
        <f>IF(K346&lt;=0,0,ROUND(K346*(1+IF(AND(K$6&gt;0,$B347&lt;K$6),K$4,K$5)/12),2))</f>
        <v/>
      </c>
      <c r="AQ347">
        <f>IF(L346&lt;=0,0,ROUND(L346*(1+IF(AND(L$6&gt;0,$B347&lt;L$6),L$4,L$5)/12),2))</f>
        <v/>
      </c>
      <c r="AR347">
        <f>IF(M346&lt;=0,0,ROUND(M346*(1+IF(AND(M$6&gt;0,$B347&lt;M$6),M$4,M$5)/12),2))</f>
        <v/>
      </c>
      <c r="AS347">
        <f>IF(N346&lt;=0,0,ROUND(N346*(1+IF(AND(N$6&gt;0,$B347&lt;N$6),N$4,N$5)/12),2))</f>
        <v/>
      </c>
    </row>
    <row r="348">
      <c r="A348" t="n">
        <v>337</v>
      </c>
      <c r="B348">
        <f>EDATE(Plan!$C$6,336)</f>
        <v/>
      </c>
      <c r="C348">
        <f>IF(C347&lt;=0,0,MAX(0,AH348-O348))</f>
        <v/>
      </c>
      <c r="D348">
        <f>IF(D347&lt;=0,0,MAX(0,AI348-P348))</f>
        <v/>
      </c>
      <c r="E348">
        <f>IF(E347&lt;=0,0,MAX(0,AJ348-Q348))</f>
        <v/>
      </c>
      <c r="F348">
        <f>IF(F347&lt;=0,0,MAX(0,AK348-R348))</f>
        <v/>
      </c>
      <c r="G348">
        <f>IF(G347&lt;=0,0,MAX(0,AL348-S348))</f>
        <v/>
      </c>
      <c r="H348">
        <f>IF(H347&lt;=0,0,MAX(0,AM348-T348))</f>
        <v/>
      </c>
      <c r="I348">
        <f>IF(I347&lt;=0,0,MAX(0,AN348-U348))</f>
        <v/>
      </c>
      <c r="J348">
        <f>IF(J347&lt;=0,0,MAX(0,AO348-V348))</f>
        <v/>
      </c>
      <c r="K348">
        <f>IF(K347&lt;=0,0,MAX(0,AP348-W348))</f>
        <v/>
      </c>
      <c r="L348">
        <f>IF(L347&lt;=0,0,MAX(0,AQ348-X348))</f>
        <v/>
      </c>
      <c r="M348">
        <f>IF(M347&lt;=0,0,MAX(0,AR348-Y348))</f>
        <v/>
      </c>
      <c r="N348">
        <f>IF(N347&lt;=0,0,MAX(0,AS348-Z348))</f>
        <v/>
      </c>
      <c r="O348">
        <f>IF(C347&lt;=0,0,MIN(AH348,C$7+IF(C$2=$AA348,$AC348,IF(C$2=$AF348,$AG348,0))))</f>
        <v/>
      </c>
      <c r="P348">
        <f>IF(D347&lt;=0,0,MIN(AI348,D$7+IF(D$2=$AA348,$AC348,IF(D$2=$AF348,$AG348,0))))</f>
        <v/>
      </c>
      <c r="Q348">
        <f>IF(E347&lt;=0,0,MIN(AJ348,E$7+IF(E$2=$AA348,$AC348,IF(E$2=$AF348,$AG348,0))))</f>
        <v/>
      </c>
      <c r="R348">
        <f>IF(F347&lt;=0,0,MIN(AK348,F$7+IF(F$2=$AA348,$AC348,IF(F$2=$AF348,$AG348,0))))</f>
        <v/>
      </c>
      <c r="S348">
        <f>IF(G347&lt;=0,0,MIN(AL348,G$7+IF(G$2=$AA348,$AC348,IF(G$2=$AF348,$AG348,0))))</f>
        <v/>
      </c>
      <c r="T348">
        <f>IF(H347&lt;=0,0,MIN(AM348,H$7+IF(H$2=$AA348,$AC348,IF(H$2=$AF348,$AG348,0))))</f>
        <v/>
      </c>
      <c r="U348">
        <f>IF(I347&lt;=0,0,MIN(AN348,I$7+IF(I$2=$AA348,$AC348,IF(I$2=$AF348,$AG348,0))))</f>
        <v/>
      </c>
      <c r="V348">
        <f>IF(J347&lt;=0,0,MIN(AO348,J$7+IF(J$2=$AA348,$AC348,IF(J$2=$AF348,$AG348,0))))</f>
        <v/>
      </c>
      <c r="W348">
        <f>IF(K347&lt;=0,0,MIN(AP348,K$7+IF(K$2=$AA348,$AC348,IF(K$2=$AF348,$AG348,0))))</f>
        <v/>
      </c>
      <c r="X348">
        <f>IF(L347&lt;=0,0,MIN(AQ348,L$7+IF(L$2=$AA348,$AC348,IF(L$2=$AF348,$AG348,0))))</f>
        <v/>
      </c>
      <c r="Y348">
        <f>IF(M347&lt;=0,0,MIN(AR348,M$7+IF(M$2=$AA348,$AC348,IF(M$2=$AF348,$AG348,0))))</f>
        <v/>
      </c>
      <c r="Z348">
        <f>IF(N347&lt;=0,0,MIN(AS348,N$7+IF(N$2=$AA348,$AC348,IF(N$2=$AF348,$AG348,0))))</f>
        <v/>
      </c>
      <c r="AA348">
        <f>IFERROR(ROUND(1/SUMPRODUCT(MAX((C347:N347&gt;0)*($C$3:$N$3&lt;=B348)/$C$2:$N$2)),0),0)</f>
        <v/>
      </c>
      <c r="AB348">
        <f>SUMPRODUCT((C347:N347&gt;0)*$C$7:$N$7)</f>
        <v/>
      </c>
      <c r="AC348">
        <f>MAX(0,Plan!$C$5-AB348)+IF(A348=Plan!$C$8,N(Plan!$C$7),0)</f>
        <v/>
      </c>
      <c r="AD348">
        <f>SUM(C348:N348)</f>
        <v/>
      </c>
      <c r="AE348">
        <f>SUM(O348:Z348)</f>
        <v/>
      </c>
      <c r="AF348">
        <f>IFERROR(ROUND(1/SUMPRODUCT(MAX((C347:N347&gt;0)*($C$3:$N$3&lt;=B348)*($C$2:$N$2&gt;AA348)/$C$2:$N$2)),0),0)</f>
        <v/>
      </c>
      <c r="AG348">
        <f>MAX(0,AC348-MAX(0,SUMPRODUCT(($C$2:$N$2=AA348)*(AH348:AS348-$C$7:$N$7))))</f>
        <v/>
      </c>
      <c r="AH348">
        <f>IF(C347&lt;=0,0,ROUND(C347*(1+IF(AND(C$6&gt;0,$B348&lt;C$6),C$4,C$5)/12),2))</f>
        <v/>
      </c>
      <c r="AI348">
        <f>IF(D347&lt;=0,0,ROUND(D347*(1+IF(AND(D$6&gt;0,$B348&lt;D$6),D$4,D$5)/12),2))</f>
        <v/>
      </c>
      <c r="AJ348">
        <f>IF(E347&lt;=0,0,ROUND(E347*(1+IF(AND(E$6&gt;0,$B348&lt;E$6),E$4,E$5)/12),2))</f>
        <v/>
      </c>
      <c r="AK348">
        <f>IF(F347&lt;=0,0,ROUND(F347*(1+IF(AND(F$6&gt;0,$B348&lt;F$6),F$4,F$5)/12),2))</f>
        <v/>
      </c>
      <c r="AL348">
        <f>IF(G347&lt;=0,0,ROUND(G347*(1+IF(AND(G$6&gt;0,$B348&lt;G$6),G$4,G$5)/12),2))</f>
        <v/>
      </c>
      <c r="AM348">
        <f>IF(H347&lt;=0,0,ROUND(H347*(1+IF(AND(H$6&gt;0,$B348&lt;H$6),H$4,H$5)/12),2))</f>
        <v/>
      </c>
      <c r="AN348">
        <f>IF(I347&lt;=0,0,ROUND(I347*(1+IF(AND(I$6&gt;0,$B348&lt;I$6),I$4,I$5)/12),2))</f>
        <v/>
      </c>
      <c r="AO348">
        <f>IF(J347&lt;=0,0,ROUND(J347*(1+IF(AND(J$6&gt;0,$B348&lt;J$6),J$4,J$5)/12),2))</f>
        <v/>
      </c>
      <c r="AP348">
        <f>IF(K347&lt;=0,0,ROUND(K347*(1+IF(AND(K$6&gt;0,$B348&lt;K$6),K$4,K$5)/12),2))</f>
        <v/>
      </c>
      <c r="AQ348">
        <f>IF(L347&lt;=0,0,ROUND(L347*(1+IF(AND(L$6&gt;0,$B348&lt;L$6),L$4,L$5)/12),2))</f>
        <v/>
      </c>
      <c r="AR348">
        <f>IF(M347&lt;=0,0,ROUND(M347*(1+IF(AND(M$6&gt;0,$B348&lt;M$6),M$4,M$5)/12),2))</f>
        <v/>
      </c>
      <c r="AS348">
        <f>IF(N347&lt;=0,0,ROUND(N347*(1+IF(AND(N$6&gt;0,$B348&lt;N$6),N$4,N$5)/12),2))</f>
        <v/>
      </c>
    </row>
    <row r="349">
      <c r="A349" t="n">
        <v>338</v>
      </c>
      <c r="B349">
        <f>EDATE(Plan!$C$6,337)</f>
        <v/>
      </c>
      <c r="C349">
        <f>IF(C348&lt;=0,0,MAX(0,AH349-O349))</f>
        <v/>
      </c>
      <c r="D349">
        <f>IF(D348&lt;=0,0,MAX(0,AI349-P349))</f>
        <v/>
      </c>
      <c r="E349">
        <f>IF(E348&lt;=0,0,MAX(0,AJ349-Q349))</f>
        <v/>
      </c>
      <c r="F349">
        <f>IF(F348&lt;=0,0,MAX(0,AK349-R349))</f>
        <v/>
      </c>
      <c r="G349">
        <f>IF(G348&lt;=0,0,MAX(0,AL349-S349))</f>
        <v/>
      </c>
      <c r="H349">
        <f>IF(H348&lt;=0,0,MAX(0,AM349-T349))</f>
        <v/>
      </c>
      <c r="I349">
        <f>IF(I348&lt;=0,0,MAX(0,AN349-U349))</f>
        <v/>
      </c>
      <c r="J349">
        <f>IF(J348&lt;=0,0,MAX(0,AO349-V349))</f>
        <v/>
      </c>
      <c r="K349">
        <f>IF(K348&lt;=0,0,MAX(0,AP349-W349))</f>
        <v/>
      </c>
      <c r="L349">
        <f>IF(L348&lt;=0,0,MAX(0,AQ349-X349))</f>
        <v/>
      </c>
      <c r="M349">
        <f>IF(M348&lt;=0,0,MAX(0,AR349-Y349))</f>
        <v/>
      </c>
      <c r="N349">
        <f>IF(N348&lt;=0,0,MAX(0,AS349-Z349))</f>
        <v/>
      </c>
      <c r="O349">
        <f>IF(C348&lt;=0,0,MIN(AH349,C$7+IF(C$2=$AA349,$AC349,IF(C$2=$AF349,$AG349,0))))</f>
        <v/>
      </c>
      <c r="P349">
        <f>IF(D348&lt;=0,0,MIN(AI349,D$7+IF(D$2=$AA349,$AC349,IF(D$2=$AF349,$AG349,0))))</f>
        <v/>
      </c>
      <c r="Q349">
        <f>IF(E348&lt;=0,0,MIN(AJ349,E$7+IF(E$2=$AA349,$AC349,IF(E$2=$AF349,$AG349,0))))</f>
        <v/>
      </c>
      <c r="R349">
        <f>IF(F348&lt;=0,0,MIN(AK349,F$7+IF(F$2=$AA349,$AC349,IF(F$2=$AF349,$AG349,0))))</f>
        <v/>
      </c>
      <c r="S349">
        <f>IF(G348&lt;=0,0,MIN(AL349,G$7+IF(G$2=$AA349,$AC349,IF(G$2=$AF349,$AG349,0))))</f>
        <v/>
      </c>
      <c r="T349">
        <f>IF(H348&lt;=0,0,MIN(AM349,H$7+IF(H$2=$AA349,$AC349,IF(H$2=$AF349,$AG349,0))))</f>
        <v/>
      </c>
      <c r="U349">
        <f>IF(I348&lt;=0,0,MIN(AN349,I$7+IF(I$2=$AA349,$AC349,IF(I$2=$AF349,$AG349,0))))</f>
        <v/>
      </c>
      <c r="V349">
        <f>IF(J348&lt;=0,0,MIN(AO349,J$7+IF(J$2=$AA349,$AC349,IF(J$2=$AF349,$AG349,0))))</f>
        <v/>
      </c>
      <c r="W349">
        <f>IF(K348&lt;=0,0,MIN(AP349,K$7+IF(K$2=$AA349,$AC349,IF(K$2=$AF349,$AG349,0))))</f>
        <v/>
      </c>
      <c r="X349">
        <f>IF(L348&lt;=0,0,MIN(AQ349,L$7+IF(L$2=$AA349,$AC349,IF(L$2=$AF349,$AG349,0))))</f>
        <v/>
      </c>
      <c r="Y349">
        <f>IF(M348&lt;=0,0,MIN(AR349,M$7+IF(M$2=$AA349,$AC349,IF(M$2=$AF349,$AG349,0))))</f>
        <v/>
      </c>
      <c r="Z349">
        <f>IF(N348&lt;=0,0,MIN(AS349,N$7+IF(N$2=$AA349,$AC349,IF(N$2=$AF349,$AG349,0))))</f>
        <v/>
      </c>
      <c r="AA349">
        <f>IFERROR(ROUND(1/SUMPRODUCT(MAX((C348:N348&gt;0)*($C$3:$N$3&lt;=B349)/$C$2:$N$2)),0),0)</f>
        <v/>
      </c>
      <c r="AB349">
        <f>SUMPRODUCT((C348:N348&gt;0)*$C$7:$N$7)</f>
        <v/>
      </c>
      <c r="AC349">
        <f>MAX(0,Plan!$C$5-AB349)+IF(A349=Plan!$C$8,N(Plan!$C$7),0)</f>
        <v/>
      </c>
      <c r="AD349">
        <f>SUM(C349:N349)</f>
        <v/>
      </c>
      <c r="AE349">
        <f>SUM(O349:Z349)</f>
        <v/>
      </c>
      <c r="AF349">
        <f>IFERROR(ROUND(1/SUMPRODUCT(MAX((C348:N348&gt;0)*($C$3:$N$3&lt;=B349)*($C$2:$N$2&gt;AA349)/$C$2:$N$2)),0),0)</f>
        <v/>
      </c>
      <c r="AG349">
        <f>MAX(0,AC349-MAX(0,SUMPRODUCT(($C$2:$N$2=AA349)*(AH349:AS349-$C$7:$N$7))))</f>
        <v/>
      </c>
      <c r="AH349">
        <f>IF(C348&lt;=0,0,ROUND(C348*(1+IF(AND(C$6&gt;0,$B349&lt;C$6),C$4,C$5)/12),2))</f>
        <v/>
      </c>
      <c r="AI349">
        <f>IF(D348&lt;=0,0,ROUND(D348*(1+IF(AND(D$6&gt;0,$B349&lt;D$6),D$4,D$5)/12),2))</f>
        <v/>
      </c>
      <c r="AJ349">
        <f>IF(E348&lt;=0,0,ROUND(E348*(1+IF(AND(E$6&gt;0,$B349&lt;E$6),E$4,E$5)/12),2))</f>
        <v/>
      </c>
      <c r="AK349">
        <f>IF(F348&lt;=0,0,ROUND(F348*(1+IF(AND(F$6&gt;0,$B349&lt;F$6),F$4,F$5)/12),2))</f>
        <v/>
      </c>
      <c r="AL349">
        <f>IF(G348&lt;=0,0,ROUND(G348*(1+IF(AND(G$6&gt;0,$B349&lt;G$6),G$4,G$5)/12),2))</f>
        <v/>
      </c>
      <c r="AM349">
        <f>IF(H348&lt;=0,0,ROUND(H348*(1+IF(AND(H$6&gt;0,$B349&lt;H$6),H$4,H$5)/12),2))</f>
        <v/>
      </c>
      <c r="AN349">
        <f>IF(I348&lt;=0,0,ROUND(I348*(1+IF(AND(I$6&gt;0,$B349&lt;I$6),I$4,I$5)/12),2))</f>
        <v/>
      </c>
      <c r="AO349">
        <f>IF(J348&lt;=0,0,ROUND(J348*(1+IF(AND(J$6&gt;0,$B349&lt;J$6),J$4,J$5)/12),2))</f>
        <v/>
      </c>
      <c r="AP349">
        <f>IF(K348&lt;=0,0,ROUND(K348*(1+IF(AND(K$6&gt;0,$B349&lt;K$6),K$4,K$5)/12),2))</f>
        <v/>
      </c>
      <c r="AQ349">
        <f>IF(L348&lt;=0,0,ROUND(L348*(1+IF(AND(L$6&gt;0,$B349&lt;L$6),L$4,L$5)/12),2))</f>
        <v/>
      </c>
      <c r="AR349">
        <f>IF(M348&lt;=0,0,ROUND(M348*(1+IF(AND(M$6&gt;0,$B349&lt;M$6),M$4,M$5)/12),2))</f>
        <v/>
      </c>
      <c r="AS349">
        <f>IF(N348&lt;=0,0,ROUND(N348*(1+IF(AND(N$6&gt;0,$B349&lt;N$6),N$4,N$5)/12),2))</f>
        <v/>
      </c>
    </row>
    <row r="350">
      <c r="A350" t="n">
        <v>339</v>
      </c>
      <c r="B350">
        <f>EDATE(Plan!$C$6,338)</f>
        <v/>
      </c>
      <c r="C350">
        <f>IF(C349&lt;=0,0,MAX(0,AH350-O350))</f>
        <v/>
      </c>
      <c r="D350">
        <f>IF(D349&lt;=0,0,MAX(0,AI350-P350))</f>
        <v/>
      </c>
      <c r="E350">
        <f>IF(E349&lt;=0,0,MAX(0,AJ350-Q350))</f>
        <v/>
      </c>
      <c r="F350">
        <f>IF(F349&lt;=0,0,MAX(0,AK350-R350))</f>
        <v/>
      </c>
      <c r="G350">
        <f>IF(G349&lt;=0,0,MAX(0,AL350-S350))</f>
        <v/>
      </c>
      <c r="H350">
        <f>IF(H349&lt;=0,0,MAX(0,AM350-T350))</f>
        <v/>
      </c>
      <c r="I350">
        <f>IF(I349&lt;=0,0,MAX(0,AN350-U350))</f>
        <v/>
      </c>
      <c r="J350">
        <f>IF(J349&lt;=0,0,MAX(0,AO350-V350))</f>
        <v/>
      </c>
      <c r="K350">
        <f>IF(K349&lt;=0,0,MAX(0,AP350-W350))</f>
        <v/>
      </c>
      <c r="L350">
        <f>IF(L349&lt;=0,0,MAX(0,AQ350-X350))</f>
        <v/>
      </c>
      <c r="M350">
        <f>IF(M349&lt;=0,0,MAX(0,AR350-Y350))</f>
        <v/>
      </c>
      <c r="N350">
        <f>IF(N349&lt;=0,0,MAX(0,AS350-Z350))</f>
        <v/>
      </c>
      <c r="O350">
        <f>IF(C349&lt;=0,0,MIN(AH350,C$7+IF(C$2=$AA350,$AC350,IF(C$2=$AF350,$AG350,0))))</f>
        <v/>
      </c>
      <c r="P350">
        <f>IF(D349&lt;=0,0,MIN(AI350,D$7+IF(D$2=$AA350,$AC350,IF(D$2=$AF350,$AG350,0))))</f>
        <v/>
      </c>
      <c r="Q350">
        <f>IF(E349&lt;=0,0,MIN(AJ350,E$7+IF(E$2=$AA350,$AC350,IF(E$2=$AF350,$AG350,0))))</f>
        <v/>
      </c>
      <c r="R350">
        <f>IF(F349&lt;=0,0,MIN(AK350,F$7+IF(F$2=$AA350,$AC350,IF(F$2=$AF350,$AG350,0))))</f>
        <v/>
      </c>
      <c r="S350">
        <f>IF(G349&lt;=0,0,MIN(AL350,G$7+IF(G$2=$AA350,$AC350,IF(G$2=$AF350,$AG350,0))))</f>
        <v/>
      </c>
      <c r="T350">
        <f>IF(H349&lt;=0,0,MIN(AM350,H$7+IF(H$2=$AA350,$AC350,IF(H$2=$AF350,$AG350,0))))</f>
        <v/>
      </c>
      <c r="U350">
        <f>IF(I349&lt;=0,0,MIN(AN350,I$7+IF(I$2=$AA350,$AC350,IF(I$2=$AF350,$AG350,0))))</f>
        <v/>
      </c>
      <c r="V350">
        <f>IF(J349&lt;=0,0,MIN(AO350,J$7+IF(J$2=$AA350,$AC350,IF(J$2=$AF350,$AG350,0))))</f>
        <v/>
      </c>
      <c r="W350">
        <f>IF(K349&lt;=0,0,MIN(AP350,K$7+IF(K$2=$AA350,$AC350,IF(K$2=$AF350,$AG350,0))))</f>
        <v/>
      </c>
      <c r="X350">
        <f>IF(L349&lt;=0,0,MIN(AQ350,L$7+IF(L$2=$AA350,$AC350,IF(L$2=$AF350,$AG350,0))))</f>
        <v/>
      </c>
      <c r="Y350">
        <f>IF(M349&lt;=0,0,MIN(AR350,M$7+IF(M$2=$AA350,$AC350,IF(M$2=$AF350,$AG350,0))))</f>
        <v/>
      </c>
      <c r="Z350">
        <f>IF(N349&lt;=0,0,MIN(AS350,N$7+IF(N$2=$AA350,$AC350,IF(N$2=$AF350,$AG350,0))))</f>
        <v/>
      </c>
      <c r="AA350">
        <f>IFERROR(ROUND(1/SUMPRODUCT(MAX((C349:N349&gt;0)*($C$3:$N$3&lt;=B350)/$C$2:$N$2)),0),0)</f>
        <v/>
      </c>
      <c r="AB350">
        <f>SUMPRODUCT((C349:N349&gt;0)*$C$7:$N$7)</f>
        <v/>
      </c>
      <c r="AC350">
        <f>MAX(0,Plan!$C$5-AB350)+IF(A350=Plan!$C$8,N(Plan!$C$7),0)</f>
        <v/>
      </c>
      <c r="AD350">
        <f>SUM(C350:N350)</f>
        <v/>
      </c>
      <c r="AE350">
        <f>SUM(O350:Z350)</f>
        <v/>
      </c>
      <c r="AF350">
        <f>IFERROR(ROUND(1/SUMPRODUCT(MAX((C349:N349&gt;0)*($C$3:$N$3&lt;=B350)*($C$2:$N$2&gt;AA350)/$C$2:$N$2)),0),0)</f>
        <v/>
      </c>
      <c r="AG350">
        <f>MAX(0,AC350-MAX(0,SUMPRODUCT(($C$2:$N$2=AA350)*(AH350:AS350-$C$7:$N$7))))</f>
        <v/>
      </c>
      <c r="AH350">
        <f>IF(C349&lt;=0,0,ROUND(C349*(1+IF(AND(C$6&gt;0,$B350&lt;C$6),C$4,C$5)/12),2))</f>
        <v/>
      </c>
      <c r="AI350">
        <f>IF(D349&lt;=0,0,ROUND(D349*(1+IF(AND(D$6&gt;0,$B350&lt;D$6),D$4,D$5)/12),2))</f>
        <v/>
      </c>
      <c r="AJ350">
        <f>IF(E349&lt;=0,0,ROUND(E349*(1+IF(AND(E$6&gt;0,$B350&lt;E$6),E$4,E$5)/12),2))</f>
        <v/>
      </c>
      <c r="AK350">
        <f>IF(F349&lt;=0,0,ROUND(F349*(1+IF(AND(F$6&gt;0,$B350&lt;F$6),F$4,F$5)/12),2))</f>
        <v/>
      </c>
      <c r="AL350">
        <f>IF(G349&lt;=0,0,ROUND(G349*(1+IF(AND(G$6&gt;0,$B350&lt;G$6),G$4,G$5)/12),2))</f>
        <v/>
      </c>
      <c r="AM350">
        <f>IF(H349&lt;=0,0,ROUND(H349*(1+IF(AND(H$6&gt;0,$B350&lt;H$6),H$4,H$5)/12),2))</f>
        <v/>
      </c>
      <c r="AN350">
        <f>IF(I349&lt;=0,0,ROUND(I349*(1+IF(AND(I$6&gt;0,$B350&lt;I$6),I$4,I$5)/12),2))</f>
        <v/>
      </c>
      <c r="AO350">
        <f>IF(J349&lt;=0,0,ROUND(J349*(1+IF(AND(J$6&gt;0,$B350&lt;J$6),J$4,J$5)/12),2))</f>
        <v/>
      </c>
      <c r="AP350">
        <f>IF(K349&lt;=0,0,ROUND(K349*(1+IF(AND(K$6&gt;0,$B350&lt;K$6),K$4,K$5)/12),2))</f>
        <v/>
      </c>
      <c r="AQ350">
        <f>IF(L349&lt;=0,0,ROUND(L349*(1+IF(AND(L$6&gt;0,$B350&lt;L$6),L$4,L$5)/12),2))</f>
        <v/>
      </c>
      <c r="AR350">
        <f>IF(M349&lt;=0,0,ROUND(M349*(1+IF(AND(M$6&gt;0,$B350&lt;M$6),M$4,M$5)/12),2))</f>
        <v/>
      </c>
      <c r="AS350">
        <f>IF(N349&lt;=0,0,ROUND(N349*(1+IF(AND(N$6&gt;0,$B350&lt;N$6),N$4,N$5)/12),2))</f>
        <v/>
      </c>
    </row>
    <row r="351">
      <c r="A351" t="n">
        <v>340</v>
      </c>
      <c r="B351">
        <f>EDATE(Plan!$C$6,339)</f>
        <v/>
      </c>
      <c r="C351">
        <f>IF(C350&lt;=0,0,MAX(0,AH351-O351))</f>
        <v/>
      </c>
      <c r="D351">
        <f>IF(D350&lt;=0,0,MAX(0,AI351-P351))</f>
        <v/>
      </c>
      <c r="E351">
        <f>IF(E350&lt;=0,0,MAX(0,AJ351-Q351))</f>
        <v/>
      </c>
      <c r="F351">
        <f>IF(F350&lt;=0,0,MAX(0,AK351-R351))</f>
        <v/>
      </c>
      <c r="G351">
        <f>IF(G350&lt;=0,0,MAX(0,AL351-S351))</f>
        <v/>
      </c>
      <c r="H351">
        <f>IF(H350&lt;=0,0,MAX(0,AM351-T351))</f>
        <v/>
      </c>
      <c r="I351">
        <f>IF(I350&lt;=0,0,MAX(0,AN351-U351))</f>
        <v/>
      </c>
      <c r="J351">
        <f>IF(J350&lt;=0,0,MAX(0,AO351-V351))</f>
        <v/>
      </c>
      <c r="K351">
        <f>IF(K350&lt;=0,0,MAX(0,AP351-W351))</f>
        <v/>
      </c>
      <c r="L351">
        <f>IF(L350&lt;=0,0,MAX(0,AQ351-X351))</f>
        <v/>
      </c>
      <c r="M351">
        <f>IF(M350&lt;=0,0,MAX(0,AR351-Y351))</f>
        <v/>
      </c>
      <c r="N351">
        <f>IF(N350&lt;=0,0,MAX(0,AS351-Z351))</f>
        <v/>
      </c>
      <c r="O351">
        <f>IF(C350&lt;=0,0,MIN(AH351,C$7+IF(C$2=$AA351,$AC351,IF(C$2=$AF351,$AG351,0))))</f>
        <v/>
      </c>
      <c r="P351">
        <f>IF(D350&lt;=0,0,MIN(AI351,D$7+IF(D$2=$AA351,$AC351,IF(D$2=$AF351,$AG351,0))))</f>
        <v/>
      </c>
      <c r="Q351">
        <f>IF(E350&lt;=0,0,MIN(AJ351,E$7+IF(E$2=$AA351,$AC351,IF(E$2=$AF351,$AG351,0))))</f>
        <v/>
      </c>
      <c r="R351">
        <f>IF(F350&lt;=0,0,MIN(AK351,F$7+IF(F$2=$AA351,$AC351,IF(F$2=$AF351,$AG351,0))))</f>
        <v/>
      </c>
      <c r="S351">
        <f>IF(G350&lt;=0,0,MIN(AL351,G$7+IF(G$2=$AA351,$AC351,IF(G$2=$AF351,$AG351,0))))</f>
        <v/>
      </c>
      <c r="T351">
        <f>IF(H350&lt;=0,0,MIN(AM351,H$7+IF(H$2=$AA351,$AC351,IF(H$2=$AF351,$AG351,0))))</f>
        <v/>
      </c>
      <c r="U351">
        <f>IF(I350&lt;=0,0,MIN(AN351,I$7+IF(I$2=$AA351,$AC351,IF(I$2=$AF351,$AG351,0))))</f>
        <v/>
      </c>
      <c r="V351">
        <f>IF(J350&lt;=0,0,MIN(AO351,J$7+IF(J$2=$AA351,$AC351,IF(J$2=$AF351,$AG351,0))))</f>
        <v/>
      </c>
      <c r="W351">
        <f>IF(K350&lt;=0,0,MIN(AP351,K$7+IF(K$2=$AA351,$AC351,IF(K$2=$AF351,$AG351,0))))</f>
        <v/>
      </c>
      <c r="X351">
        <f>IF(L350&lt;=0,0,MIN(AQ351,L$7+IF(L$2=$AA351,$AC351,IF(L$2=$AF351,$AG351,0))))</f>
        <v/>
      </c>
      <c r="Y351">
        <f>IF(M350&lt;=0,0,MIN(AR351,M$7+IF(M$2=$AA351,$AC351,IF(M$2=$AF351,$AG351,0))))</f>
        <v/>
      </c>
      <c r="Z351">
        <f>IF(N350&lt;=0,0,MIN(AS351,N$7+IF(N$2=$AA351,$AC351,IF(N$2=$AF351,$AG351,0))))</f>
        <v/>
      </c>
      <c r="AA351">
        <f>IFERROR(ROUND(1/SUMPRODUCT(MAX((C350:N350&gt;0)*($C$3:$N$3&lt;=B351)/$C$2:$N$2)),0),0)</f>
        <v/>
      </c>
      <c r="AB351">
        <f>SUMPRODUCT((C350:N350&gt;0)*$C$7:$N$7)</f>
        <v/>
      </c>
      <c r="AC351">
        <f>MAX(0,Plan!$C$5-AB351)+IF(A351=Plan!$C$8,N(Plan!$C$7),0)</f>
        <v/>
      </c>
      <c r="AD351">
        <f>SUM(C351:N351)</f>
        <v/>
      </c>
      <c r="AE351">
        <f>SUM(O351:Z351)</f>
        <v/>
      </c>
      <c r="AF351">
        <f>IFERROR(ROUND(1/SUMPRODUCT(MAX((C350:N350&gt;0)*($C$3:$N$3&lt;=B351)*($C$2:$N$2&gt;AA351)/$C$2:$N$2)),0),0)</f>
        <v/>
      </c>
      <c r="AG351">
        <f>MAX(0,AC351-MAX(0,SUMPRODUCT(($C$2:$N$2=AA351)*(AH351:AS351-$C$7:$N$7))))</f>
        <v/>
      </c>
      <c r="AH351">
        <f>IF(C350&lt;=0,0,ROUND(C350*(1+IF(AND(C$6&gt;0,$B351&lt;C$6),C$4,C$5)/12),2))</f>
        <v/>
      </c>
      <c r="AI351">
        <f>IF(D350&lt;=0,0,ROUND(D350*(1+IF(AND(D$6&gt;0,$B351&lt;D$6),D$4,D$5)/12),2))</f>
        <v/>
      </c>
      <c r="AJ351">
        <f>IF(E350&lt;=0,0,ROUND(E350*(1+IF(AND(E$6&gt;0,$B351&lt;E$6),E$4,E$5)/12),2))</f>
        <v/>
      </c>
      <c r="AK351">
        <f>IF(F350&lt;=0,0,ROUND(F350*(1+IF(AND(F$6&gt;0,$B351&lt;F$6),F$4,F$5)/12),2))</f>
        <v/>
      </c>
      <c r="AL351">
        <f>IF(G350&lt;=0,0,ROUND(G350*(1+IF(AND(G$6&gt;0,$B351&lt;G$6),G$4,G$5)/12),2))</f>
        <v/>
      </c>
      <c r="AM351">
        <f>IF(H350&lt;=0,0,ROUND(H350*(1+IF(AND(H$6&gt;0,$B351&lt;H$6),H$4,H$5)/12),2))</f>
        <v/>
      </c>
      <c r="AN351">
        <f>IF(I350&lt;=0,0,ROUND(I350*(1+IF(AND(I$6&gt;0,$B351&lt;I$6),I$4,I$5)/12),2))</f>
        <v/>
      </c>
      <c r="AO351">
        <f>IF(J350&lt;=0,0,ROUND(J350*(1+IF(AND(J$6&gt;0,$B351&lt;J$6),J$4,J$5)/12),2))</f>
        <v/>
      </c>
      <c r="AP351">
        <f>IF(K350&lt;=0,0,ROUND(K350*(1+IF(AND(K$6&gt;0,$B351&lt;K$6),K$4,K$5)/12),2))</f>
        <v/>
      </c>
      <c r="AQ351">
        <f>IF(L350&lt;=0,0,ROUND(L350*(1+IF(AND(L$6&gt;0,$B351&lt;L$6),L$4,L$5)/12),2))</f>
        <v/>
      </c>
      <c r="AR351">
        <f>IF(M350&lt;=0,0,ROUND(M350*(1+IF(AND(M$6&gt;0,$B351&lt;M$6),M$4,M$5)/12),2))</f>
        <v/>
      </c>
      <c r="AS351">
        <f>IF(N350&lt;=0,0,ROUND(N350*(1+IF(AND(N$6&gt;0,$B351&lt;N$6),N$4,N$5)/12),2))</f>
        <v/>
      </c>
    </row>
    <row r="352">
      <c r="A352" t="n">
        <v>341</v>
      </c>
      <c r="B352">
        <f>EDATE(Plan!$C$6,340)</f>
        <v/>
      </c>
      <c r="C352">
        <f>IF(C351&lt;=0,0,MAX(0,AH352-O352))</f>
        <v/>
      </c>
      <c r="D352">
        <f>IF(D351&lt;=0,0,MAX(0,AI352-P352))</f>
        <v/>
      </c>
      <c r="E352">
        <f>IF(E351&lt;=0,0,MAX(0,AJ352-Q352))</f>
        <v/>
      </c>
      <c r="F352">
        <f>IF(F351&lt;=0,0,MAX(0,AK352-R352))</f>
        <v/>
      </c>
      <c r="G352">
        <f>IF(G351&lt;=0,0,MAX(0,AL352-S352))</f>
        <v/>
      </c>
      <c r="H352">
        <f>IF(H351&lt;=0,0,MAX(0,AM352-T352))</f>
        <v/>
      </c>
      <c r="I352">
        <f>IF(I351&lt;=0,0,MAX(0,AN352-U352))</f>
        <v/>
      </c>
      <c r="J352">
        <f>IF(J351&lt;=0,0,MAX(0,AO352-V352))</f>
        <v/>
      </c>
      <c r="K352">
        <f>IF(K351&lt;=0,0,MAX(0,AP352-W352))</f>
        <v/>
      </c>
      <c r="L352">
        <f>IF(L351&lt;=0,0,MAX(0,AQ352-X352))</f>
        <v/>
      </c>
      <c r="M352">
        <f>IF(M351&lt;=0,0,MAX(0,AR352-Y352))</f>
        <v/>
      </c>
      <c r="N352">
        <f>IF(N351&lt;=0,0,MAX(0,AS352-Z352))</f>
        <v/>
      </c>
      <c r="O352">
        <f>IF(C351&lt;=0,0,MIN(AH352,C$7+IF(C$2=$AA352,$AC352,IF(C$2=$AF352,$AG352,0))))</f>
        <v/>
      </c>
      <c r="P352">
        <f>IF(D351&lt;=0,0,MIN(AI352,D$7+IF(D$2=$AA352,$AC352,IF(D$2=$AF352,$AG352,0))))</f>
        <v/>
      </c>
      <c r="Q352">
        <f>IF(E351&lt;=0,0,MIN(AJ352,E$7+IF(E$2=$AA352,$AC352,IF(E$2=$AF352,$AG352,0))))</f>
        <v/>
      </c>
      <c r="R352">
        <f>IF(F351&lt;=0,0,MIN(AK352,F$7+IF(F$2=$AA352,$AC352,IF(F$2=$AF352,$AG352,0))))</f>
        <v/>
      </c>
      <c r="S352">
        <f>IF(G351&lt;=0,0,MIN(AL352,G$7+IF(G$2=$AA352,$AC352,IF(G$2=$AF352,$AG352,0))))</f>
        <v/>
      </c>
      <c r="T352">
        <f>IF(H351&lt;=0,0,MIN(AM352,H$7+IF(H$2=$AA352,$AC352,IF(H$2=$AF352,$AG352,0))))</f>
        <v/>
      </c>
      <c r="U352">
        <f>IF(I351&lt;=0,0,MIN(AN352,I$7+IF(I$2=$AA352,$AC352,IF(I$2=$AF352,$AG352,0))))</f>
        <v/>
      </c>
      <c r="V352">
        <f>IF(J351&lt;=0,0,MIN(AO352,J$7+IF(J$2=$AA352,$AC352,IF(J$2=$AF352,$AG352,0))))</f>
        <v/>
      </c>
      <c r="W352">
        <f>IF(K351&lt;=0,0,MIN(AP352,K$7+IF(K$2=$AA352,$AC352,IF(K$2=$AF352,$AG352,0))))</f>
        <v/>
      </c>
      <c r="X352">
        <f>IF(L351&lt;=0,0,MIN(AQ352,L$7+IF(L$2=$AA352,$AC352,IF(L$2=$AF352,$AG352,0))))</f>
        <v/>
      </c>
      <c r="Y352">
        <f>IF(M351&lt;=0,0,MIN(AR352,M$7+IF(M$2=$AA352,$AC352,IF(M$2=$AF352,$AG352,0))))</f>
        <v/>
      </c>
      <c r="Z352">
        <f>IF(N351&lt;=0,0,MIN(AS352,N$7+IF(N$2=$AA352,$AC352,IF(N$2=$AF352,$AG352,0))))</f>
        <v/>
      </c>
      <c r="AA352">
        <f>IFERROR(ROUND(1/SUMPRODUCT(MAX((C351:N351&gt;0)*($C$3:$N$3&lt;=B352)/$C$2:$N$2)),0),0)</f>
        <v/>
      </c>
      <c r="AB352">
        <f>SUMPRODUCT((C351:N351&gt;0)*$C$7:$N$7)</f>
        <v/>
      </c>
      <c r="AC352">
        <f>MAX(0,Plan!$C$5-AB352)+IF(A352=Plan!$C$8,N(Plan!$C$7),0)</f>
        <v/>
      </c>
      <c r="AD352">
        <f>SUM(C352:N352)</f>
        <v/>
      </c>
      <c r="AE352">
        <f>SUM(O352:Z352)</f>
        <v/>
      </c>
      <c r="AF352">
        <f>IFERROR(ROUND(1/SUMPRODUCT(MAX((C351:N351&gt;0)*($C$3:$N$3&lt;=B352)*($C$2:$N$2&gt;AA352)/$C$2:$N$2)),0),0)</f>
        <v/>
      </c>
      <c r="AG352">
        <f>MAX(0,AC352-MAX(0,SUMPRODUCT(($C$2:$N$2=AA352)*(AH352:AS352-$C$7:$N$7))))</f>
        <v/>
      </c>
      <c r="AH352">
        <f>IF(C351&lt;=0,0,ROUND(C351*(1+IF(AND(C$6&gt;0,$B352&lt;C$6),C$4,C$5)/12),2))</f>
        <v/>
      </c>
      <c r="AI352">
        <f>IF(D351&lt;=0,0,ROUND(D351*(1+IF(AND(D$6&gt;0,$B352&lt;D$6),D$4,D$5)/12),2))</f>
        <v/>
      </c>
      <c r="AJ352">
        <f>IF(E351&lt;=0,0,ROUND(E351*(1+IF(AND(E$6&gt;0,$B352&lt;E$6),E$4,E$5)/12),2))</f>
        <v/>
      </c>
      <c r="AK352">
        <f>IF(F351&lt;=0,0,ROUND(F351*(1+IF(AND(F$6&gt;0,$B352&lt;F$6),F$4,F$5)/12),2))</f>
        <v/>
      </c>
      <c r="AL352">
        <f>IF(G351&lt;=0,0,ROUND(G351*(1+IF(AND(G$6&gt;0,$B352&lt;G$6),G$4,G$5)/12),2))</f>
        <v/>
      </c>
      <c r="AM352">
        <f>IF(H351&lt;=0,0,ROUND(H351*(1+IF(AND(H$6&gt;0,$B352&lt;H$6),H$4,H$5)/12),2))</f>
        <v/>
      </c>
      <c r="AN352">
        <f>IF(I351&lt;=0,0,ROUND(I351*(1+IF(AND(I$6&gt;0,$B352&lt;I$6),I$4,I$5)/12),2))</f>
        <v/>
      </c>
      <c r="AO352">
        <f>IF(J351&lt;=0,0,ROUND(J351*(1+IF(AND(J$6&gt;0,$B352&lt;J$6),J$4,J$5)/12),2))</f>
        <v/>
      </c>
      <c r="AP352">
        <f>IF(K351&lt;=0,0,ROUND(K351*(1+IF(AND(K$6&gt;0,$B352&lt;K$6),K$4,K$5)/12),2))</f>
        <v/>
      </c>
      <c r="AQ352">
        <f>IF(L351&lt;=0,0,ROUND(L351*(1+IF(AND(L$6&gt;0,$B352&lt;L$6),L$4,L$5)/12),2))</f>
        <v/>
      </c>
      <c r="AR352">
        <f>IF(M351&lt;=0,0,ROUND(M351*(1+IF(AND(M$6&gt;0,$B352&lt;M$6),M$4,M$5)/12),2))</f>
        <v/>
      </c>
      <c r="AS352">
        <f>IF(N351&lt;=0,0,ROUND(N351*(1+IF(AND(N$6&gt;0,$B352&lt;N$6),N$4,N$5)/12),2))</f>
        <v/>
      </c>
    </row>
    <row r="353">
      <c r="A353" t="n">
        <v>342</v>
      </c>
      <c r="B353">
        <f>EDATE(Plan!$C$6,341)</f>
        <v/>
      </c>
      <c r="C353">
        <f>IF(C352&lt;=0,0,MAX(0,AH353-O353))</f>
        <v/>
      </c>
      <c r="D353">
        <f>IF(D352&lt;=0,0,MAX(0,AI353-P353))</f>
        <v/>
      </c>
      <c r="E353">
        <f>IF(E352&lt;=0,0,MAX(0,AJ353-Q353))</f>
        <v/>
      </c>
      <c r="F353">
        <f>IF(F352&lt;=0,0,MAX(0,AK353-R353))</f>
        <v/>
      </c>
      <c r="G353">
        <f>IF(G352&lt;=0,0,MAX(0,AL353-S353))</f>
        <v/>
      </c>
      <c r="H353">
        <f>IF(H352&lt;=0,0,MAX(0,AM353-T353))</f>
        <v/>
      </c>
      <c r="I353">
        <f>IF(I352&lt;=0,0,MAX(0,AN353-U353))</f>
        <v/>
      </c>
      <c r="J353">
        <f>IF(J352&lt;=0,0,MAX(0,AO353-V353))</f>
        <v/>
      </c>
      <c r="K353">
        <f>IF(K352&lt;=0,0,MAX(0,AP353-W353))</f>
        <v/>
      </c>
      <c r="L353">
        <f>IF(L352&lt;=0,0,MAX(0,AQ353-X353))</f>
        <v/>
      </c>
      <c r="M353">
        <f>IF(M352&lt;=0,0,MAX(0,AR353-Y353))</f>
        <v/>
      </c>
      <c r="N353">
        <f>IF(N352&lt;=0,0,MAX(0,AS353-Z353))</f>
        <v/>
      </c>
      <c r="O353">
        <f>IF(C352&lt;=0,0,MIN(AH353,C$7+IF(C$2=$AA353,$AC353,IF(C$2=$AF353,$AG353,0))))</f>
        <v/>
      </c>
      <c r="P353">
        <f>IF(D352&lt;=0,0,MIN(AI353,D$7+IF(D$2=$AA353,$AC353,IF(D$2=$AF353,$AG353,0))))</f>
        <v/>
      </c>
      <c r="Q353">
        <f>IF(E352&lt;=0,0,MIN(AJ353,E$7+IF(E$2=$AA353,$AC353,IF(E$2=$AF353,$AG353,0))))</f>
        <v/>
      </c>
      <c r="R353">
        <f>IF(F352&lt;=0,0,MIN(AK353,F$7+IF(F$2=$AA353,$AC353,IF(F$2=$AF353,$AG353,0))))</f>
        <v/>
      </c>
      <c r="S353">
        <f>IF(G352&lt;=0,0,MIN(AL353,G$7+IF(G$2=$AA353,$AC353,IF(G$2=$AF353,$AG353,0))))</f>
        <v/>
      </c>
      <c r="T353">
        <f>IF(H352&lt;=0,0,MIN(AM353,H$7+IF(H$2=$AA353,$AC353,IF(H$2=$AF353,$AG353,0))))</f>
        <v/>
      </c>
      <c r="U353">
        <f>IF(I352&lt;=0,0,MIN(AN353,I$7+IF(I$2=$AA353,$AC353,IF(I$2=$AF353,$AG353,0))))</f>
        <v/>
      </c>
      <c r="V353">
        <f>IF(J352&lt;=0,0,MIN(AO353,J$7+IF(J$2=$AA353,$AC353,IF(J$2=$AF353,$AG353,0))))</f>
        <v/>
      </c>
      <c r="W353">
        <f>IF(K352&lt;=0,0,MIN(AP353,K$7+IF(K$2=$AA353,$AC353,IF(K$2=$AF353,$AG353,0))))</f>
        <v/>
      </c>
      <c r="X353">
        <f>IF(L352&lt;=0,0,MIN(AQ353,L$7+IF(L$2=$AA353,$AC353,IF(L$2=$AF353,$AG353,0))))</f>
        <v/>
      </c>
      <c r="Y353">
        <f>IF(M352&lt;=0,0,MIN(AR353,M$7+IF(M$2=$AA353,$AC353,IF(M$2=$AF353,$AG353,0))))</f>
        <v/>
      </c>
      <c r="Z353">
        <f>IF(N352&lt;=0,0,MIN(AS353,N$7+IF(N$2=$AA353,$AC353,IF(N$2=$AF353,$AG353,0))))</f>
        <v/>
      </c>
      <c r="AA353">
        <f>IFERROR(ROUND(1/SUMPRODUCT(MAX((C352:N352&gt;0)*($C$3:$N$3&lt;=B353)/$C$2:$N$2)),0),0)</f>
        <v/>
      </c>
      <c r="AB353">
        <f>SUMPRODUCT((C352:N352&gt;0)*$C$7:$N$7)</f>
        <v/>
      </c>
      <c r="AC353">
        <f>MAX(0,Plan!$C$5-AB353)+IF(A353=Plan!$C$8,N(Plan!$C$7),0)</f>
        <v/>
      </c>
      <c r="AD353">
        <f>SUM(C353:N353)</f>
        <v/>
      </c>
      <c r="AE353">
        <f>SUM(O353:Z353)</f>
        <v/>
      </c>
      <c r="AF353">
        <f>IFERROR(ROUND(1/SUMPRODUCT(MAX((C352:N352&gt;0)*($C$3:$N$3&lt;=B353)*($C$2:$N$2&gt;AA353)/$C$2:$N$2)),0),0)</f>
        <v/>
      </c>
      <c r="AG353">
        <f>MAX(0,AC353-MAX(0,SUMPRODUCT(($C$2:$N$2=AA353)*(AH353:AS353-$C$7:$N$7))))</f>
        <v/>
      </c>
      <c r="AH353">
        <f>IF(C352&lt;=0,0,ROUND(C352*(1+IF(AND(C$6&gt;0,$B353&lt;C$6),C$4,C$5)/12),2))</f>
        <v/>
      </c>
      <c r="AI353">
        <f>IF(D352&lt;=0,0,ROUND(D352*(1+IF(AND(D$6&gt;0,$B353&lt;D$6),D$4,D$5)/12),2))</f>
        <v/>
      </c>
      <c r="AJ353">
        <f>IF(E352&lt;=0,0,ROUND(E352*(1+IF(AND(E$6&gt;0,$B353&lt;E$6),E$4,E$5)/12),2))</f>
        <v/>
      </c>
      <c r="AK353">
        <f>IF(F352&lt;=0,0,ROUND(F352*(1+IF(AND(F$6&gt;0,$B353&lt;F$6),F$4,F$5)/12),2))</f>
        <v/>
      </c>
      <c r="AL353">
        <f>IF(G352&lt;=0,0,ROUND(G352*(1+IF(AND(G$6&gt;0,$B353&lt;G$6),G$4,G$5)/12),2))</f>
        <v/>
      </c>
      <c r="AM353">
        <f>IF(H352&lt;=0,0,ROUND(H352*(1+IF(AND(H$6&gt;0,$B353&lt;H$6),H$4,H$5)/12),2))</f>
        <v/>
      </c>
      <c r="AN353">
        <f>IF(I352&lt;=0,0,ROUND(I352*(1+IF(AND(I$6&gt;0,$B353&lt;I$6),I$4,I$5)/12),2))</f>
        <v/>
      </c>
      <c r="AO353">
        <f>IF(J352&lt;=0,0,ROUND(J352*(1+IF(AND(J$6&gt;0,$B353&lt;J$6),J$4,J$5)/12),2))</f>
        <v/>
      </c>
      <c r="AP353">
        <f>IF(K352&lt;=0,0,ROUND(K352*(1+IF(AND(K$6&gt;0,$B353&lt;K$6),K$4,K$5)/12),2))</f>
        <v/>
      </c>
      <c r="AQ353">
        <f>IF(L352&lt;=0,0,ROUND(L352*(1+IF(AND(L$6&gt;0,$B353&lt;L$6),L$4,L$5)/12),2))</f>
        <v/>
      </c>
      <c r="AR353">
        <f>IF(M352&lt;=0,0,ROUND(M352*(1+IF(AND(M$6&gt;0,$B353&lt;M$6),M$4,M$5)/12),2))</f>
        <v/>
      </c>
      <c r="AS353">
        <f>IF(N352&lt;=0,0,ROUND(N352*(1+IF(AND(N$6&gt;0,$B353&lt;N$6),N$4,N$5)/12),2))</f>
        <v/>
      </c>
    </row>
    <row r="354">
      <c r="A354" t="n">
        <v>343</v>
      </c>
      <c r="B354">
        <f>EDATE(Plan!$C$6,342)</f>
        <v/>
      </c>
      <c r="C354">
        <f>IF(C353&lt;=0,0,MAX(0,AH354-O354))</f>
        <v/>
      </c>
      <c r="D354">
        <f>IF(D353&lt;=0,0,MAX(0,AI354-P354))</f>
        <v/>
      </c>
      <c r="E354">
        <f>IF(E353&lt;=0,0,MAX(0,AJ354-Q354))</f>
        <v/>
      </c>
      <c r="F354">
        <f>IF(F353&lt;=0,0,MAX(0,AK354-R354))</f>
        <v/>
      </c>
      <c r="G354">
        <f>IF(G353&lt;=0,0,MAX(0,AL354-S354))</f>
        <v/>
      </c>
      <c r="H354">
        <f>IF(H353&lt;=0,0,MAX(0,AM354-T354))</f>
        <v/>
      </c>
      <c r="I354">
        <f>IF(I353&lt;=0,0,MAX(0,AN354-U354))</f>
        <v/>
      </c>
      <c r="J354">
        <f>IF(J353&lt;=0,0,MAX(0,AO354-V354))</f>
        <v/>
      </c>
      <c r="K354">
        <f>IF(K353&lt;=0,0,MAX(0,AP354-W354))</f>
        <v/>
      </c>
      <c r="L354">
        <f>IF(L353&lt;=0,0,MAX(0,AQ354-X354))</f>
        <v/>
      </c>
      <c r="M354">
        <f>IF(M353&lt;=0,0,MAX(0,AR354-Y354))</f>
        <v/>
      </c>
      <c r="N354">
        <f>IF(N353&lt;=0,0,MAX(0,AS354-Z354))</f>
        <v/>
      </c>
      <c r="O354">
        <f>IF(C353&lt;=0,0,MIN(AH354,C$7+IF(C$2=$AA354,$AC354,IF(C$2=$AF354,$AG354,0))))</f>
        <v/>
      </c>
      <c r="P354">
        <f>IF(D353&lt;=0,0,MIN(AI354,D$7+IF(D$2=$AA354,$AC354,IF(D$2=$AF354,$AG354,0))))</f>
        <v/>
      </c>
      <c r="Q354">
        <f>IF(E353&lt;=0,0,MIN(AJ354,E$7+IF(E$2=$AA354,$AC354,IF(E$2=$AF354,$AG354,0))))</f>
        <v/>
      </c>
      <c r="R354">
        <f>IF(F353&lt;=0,0,MIN(AK354,F$7+IF(F$2=$AA354,$AC354,IF(F$2=$AF354,$AG354,0))))</f>
        <v/>
      </c>
      <c r="S354">
        <f>IF(G353&lt;=0,0,MIN(AL354,G$7+IF(G$2=$AA354,$AC354,IF(G$2=$AF354,$AG354,0))))</f>
        <v/>
      </c>
      <c r="T354">
        <f>IF(H353&lt;=0,0,MIN(AM354,H$7+IF(H$2=$AA354,$AC354,IF(H$2=$AF354,$AG354,0))))</f>
        <v/>
      </c>
      <c r="U354">
        <f>IF(I353&lt;=0,0,MIN(AN354,I$7+IF(I$2=$AA354,$AC354,IF(I$2=$AF354,$AG354,0))))</f>
        <v/>
      </c>
      <c r="V354">
        <f>IF(J353&lt;=0,0,MIN(AO354,J$7+IF(J$2=$AA354,$AC354,IF(J$2=$AF354,$AG354,0))))</f>
        <v/>
      </c>
      <c r="W354">
        <f>IF(K353&lt;=0,0,MIN(AP354,K$7+IF(K$2=$AA354,$AC354,IF(K$2=$AF354,$AG354,0))))</f>
        <v/>
      </c>
      <c r="X354">
        <f>IF(L353&lt;=0,0,MIN(AQ354,L$7+IF(L$2=$AA354,$AC354,IF(L$2=$AF354,$AG354,0))))</f>
        <v/>
      </c>
      <c r="Y354">
        <f>IF(M353&lt;=0,0,MIN(AR354,M$7+IF(M$2=$AA354,$AC354,IF(M$2=$AF354,$AG354,0))))</f>
        <v/>
      </c>
      <c r="Z354">
        <f>IF(N353&lt;=0,0,MIN(AS354,N$7+IF(N$2=$AA354,$AC354,IF(N$2=$AF354,$AG354,0))))</f>
        <v/>
      </c>
      <c r="AA354">
        <f>IFERROR(ROUND(1/SUMPRODUCT(MAX((C353:N353&gt;0)*($C$3:$N$3&lt;=B354)/$C$2:$N$2)),0),0)</f>
        <v/>
      </c>
      <c r="AB354">
        <f>SUMPRODUCT((C353:N353&gt;0)*$C$7:$N$7)</f>
        <v/>
      </c>
      <c r="AC354">
        <f>MAX(0,Plan!$C$5-AB354)+IF(A354=Plan!$C$8,N(Plan!$C$7),0)</f>
        <v/>
      </c>
      <c r="AD354">
        <f>SUM(C354:N354)</f>
        <v/>
      </c>
      <c r="AE354">
        <f>SUM(O354:Z354)</f>
        <v/>
      </c>
      <c r="AF354">
        <f>IFERROR(ROUND(1/SUMPRODUCT(MAX((C353:N353&gt;0)*($C$3:$N$3&lt;=B354)*($C$2:$N$2&gt;AA354)/$C$2:$N$2)),0),0)</f>
        <v/>
      </c>
      <c r="AG354">
        <f>MAX(0,AC354-MAX(0,SUMPRODUCT(($C$2:$N$2=AA354)*(AH354:AS354-$C$7:$N$7))))</f>
        <v/>
      </c>
      <c r="AH354">
        <f>IF(C353&lt;=0,0,ROUND(C353*(1+IF(AND(C$6&gt;0,$B354&lt;C$6),C$4,C$5)/12),2))</f>
        <v/>
      </c>
      <c r="AI354">
        <f>IF(D353&lt;=0,0,ROUND(D353*(1+IF(AND(D$6&gt;0,$B354&lt;D$6),D$4,D$5)/12),2))</f>
        <v/>
      </c>
      <c r="AJ354">
        <f>IF(E353&lt;=0,0,ROUND(E353*(1+IF(AND(E$6&gt;0,$B354&lt;E$6),E$4,E$5)/12),2))</f>
        <v/>
      </c>
      <c r="AK354">
        <f>IF(F353&lt;=0,0,ROUND(F353*(1+IF(AND(F$6&gt;0,$B354&lt;F$6),F$4,F$5)/12),2))</f>
        <v/>
      </c>
      <c r="AL354">
        <f>IF(G353&lt;=0,0,ROUND(G353*(1+IF(AND(G$6&gt;0,$B354&lt;G$6),G$4,G$5)/12),2))</f>
        <v/>
      </c>
      <c r="AM354">
        <f>IF(H353&lt;=0,0,ROUND(H353*(1+IF(AND(H$6&gt;0,$B354&lt;H$6),H$4,H$5)/12),2))</f>
        <v/>
      </c>
      <c r="AN354">
        <f>IF(I353&lt;=0,0,ROUND(I353*(1+IF(AND(I$6&gt;0,$B354&lt;I$6),I$4,I$5)/12),2))</f>
        <v/>
      </c>
      <c r="AO354">
        <f>IF(J353&lt;=0,0,ROUND(J353*(1+IF(AND(J$6&gt;0,$B354&lt;J$6),J$4,J$5)/12),2))</f>
        <v/>
      </c>
      <c r="AP354">
        <f>IF(K353&lt;=0,0,ROUND(K353*(1+IF(AND(K$6&gt;0,$B354&lt;K$6),K$4,K$5)/12),2))</f>
        <v/>
      </c>
      <c r="AQ354">
        <f>IF(L353&lt;=0,0,ROUND(L353*(1+IF(AND(L$6&gt;0,$B354&lt;L$6),L$4,L$5)/12),2))</f>
        <v/>
      </c>
      <c r="AR354">
        <f>IF(M353&lt;=0,0,ROUND(M353*(1+IF(AND(M$6&gt;0,$B354&lt;M$6),M$4,M$5)/12),2))</f>
        <v/>
      </c>
      <c r="AS354">
        <f>IF(N353&lt;=0,0,ROUND(N353*(1+IF(AND(N$6&gt;0,$B354&lt;N$6),N$4,N$5)/12),2))</f>
        <v/>
      </c>
    </row>
    <row r="355">
      <c r="A355" t="n">
        <v>344</v>
      </c>
      <c r="B355">
        <f>EDATE(Plan!$C$6,343)</f>
        <v/>
      </c>
      <c r="C355">
        <f>IF(C354&lt;=0,0,MAX(0,AH355-O355))</f>
        <v/>
      </c>
      <c r="D355">
        <f>IF(D354&lt;=0,0,MAX(0,AI355-P355))</f>
        <v/>
      </c>
      <c r="E355">
        <f>IF(E354&lt;=0,0,MAX(0,AJ355-Q355))</f>
        <v/>
      </c>
      <c r="F355">
        <f>IF(F354&lt;=0,0,MAX(0,AK355-R355))</f>
        <v/>
      </c>
      <c r="G355">
        <f>IF(G354&lt;=0,0,MAX(0,AL355-S355))</f>
        <v/>
      </c>
      <c r="H355">
        <f>IF(H354&lt;=0,0,MAX(0,AM355-T355))</f>
        <v/>
      </c>
      <c r="I355">
        <f>IF(I354&lt;=0,0,MAX(0,AN355-U355))</f>
        <v/>
      </c>
      <c r="J355">
        <f>IF(J354&lt;=0,0,MAX(0,AO355-V355))</f>
        <v/>
      </c>
      <c r="K355">
        <f>IF(K354&lt;=0,0,MAX(0,AP355-W355))</f>
        <v/>
      </c>
      <c r="L355">
        <f>IF(L354&lt;=0,0,MAX(0,AQ355-X355))</f>
        <v/>
      </c>
      <c r="M355">
        <f>IF(M354&lt;=0,0,MAX(0,AR355-Y355))</f>
        <v/>
      </c>
      <c r="N355">
        <f>IF(N354&lt;=0,0,MAX(0,AS355-Z355))</f>
        <v/>
      </c>
      <c r="O355">
        <f>IF(C354&lt;=0,0,MIN(AH355,C$7+IF(C$2=$AA355,$AC355,IF(C$2=$AF355,$AG355,0))))</f>
        <v/>
      </c>
      <c r="P355">
        <f>IF(D354&lt;=0,0,MIN(AI355,D$7+IF(D$2=$AA355,$AC355,IF(D$2=$AF355,$AG355,0))))</f>
        <v/>
      </c>
      <c r="Q355">
        <f>IF(E354&lt;=0,0,MIN(AJ355,E$7+IF(E$2=$AA355,$AC355,IF(E$2=$AF355,$AG355,0))))</f>
        <v/>
      </c>
      <c r="R355">
        <f>IF(F354&lt;=0,0,MIN(AK355,F$7+IF(F$2=$AA355,$AC355,IF(F$2=$AF355,$AG355,0))))</f>
        <v/>
      </c>
      <c r="S355">
        <f>IF(G354&lt;=0,0,MIN(AL355,G$7+IF(G$2=$AA355,$AC355,IF(G$2=$AF355,$AG355,0))))</f>
        <v/>
      </c>
      <c r="T355">
        <f>IF(H354&lt;=0,0,MIN(AM355,H$7+IF(H$2=$AA355,$AC355,IF(H$2=$AF355,$AG355,0))))</f>
        <v/>
      </c>
      <c r="U355">
        <f>IF(I354&lt;=0,0,MIN(AN355,I$7+IF(I$2=$AA355,$AC355,IF(I$2=$AF355,$AG355,0))))</f>
        <v/>
      </c>
      <c r="V355">
        <f>IF(J354&lt;=0,0,MIN(AO355,J$7+IF(J$2=$AA355,$AC355,IF(J$2=$AF355,$AG355,0))))</f>
        <v/>
      </c>
      <c r="W355">
        <f>IF(K354&lt;=0,0,MIN(AP355,K$7+IF(K$2=$AA355,$AC355,IF(K$2=$AF355,$AG355,0))))</f>
        <v/>
      </c>
      <c r="X355">
        <f>IF(L354&lt;=0,0,MIN(AQ355,L$7+IF(L$2=$AA355,$AC355,IF(L$2=$AF355,$AG355,0))))</f>
        <v/>
      </c>
      <c r="Y355">
        <f>IF(M354&lt;=0,0,MIN(AR355,M$7+IF(M$2=$AA355,$AC355,IF(M$2=$AF355,$AG355,0))))</f>
        <v/>
      </c>
      <c r="Z355">
        <f>IF(N354&lt;=0,0,MIN(AS355,N$7+IF(N$2=$AA355,$AC355,IF(N$2=$AF355,$AG355,0))))</f>
        <v/>
      </c>
      <c r="AA355">
        <f>IFERROR(ROUND(1/SUMPRODUCT(MAX((C354:N354&gt;0)*($C$3:$N$3&lt;=B355)/$C$2:$N$2)),0),0)</f>
        <v/>
      </c>
      <c r="AB355">
        <f>SUMPRODUCT((C354:N354&gt;0)*$C$7:$N$7)</f>
        <v/>
      </c>
      <c r="AC355">
        <f>MAX(0,Plan!$C$5-AB355)+IF(A355=Plan!$C$8,N(Plan!$C$7),0)</f>
        <v/>
      </c>
      <c r="AD355">
        <f>SUM(C355:N355)</f>
        <v/>
      </c>
      <c r="AE355">
        <f>SUM(O355:Z355)</f>
        <v/>
      </c>
      <c r="AF355">
        <f>IFERROR(ROUND(1/SUMPRODUCT(MAX((C354:N354&gt;0)*($C$3:$N$3&lt;=B355)*($C$2:$N$2&gt;AA355)/$C$2:$N$2)),0),0)</f>
        <v/>
      </c>
      <c r="AG355">
        <f>MAX(0,AC355-MAX(0,SUMPRODUCT(($C$2:$N$2=AA355)*(AH355:AS355-$C$7:$N$7))))</f>
        <v/>
      </c>
      <c r="AH355">
        <f>IF(C354&lt;=0,0,ROUND(C354*(1+IF(AND(C$6&gt;0,$B355&lt;C$6),C$4,C$5)/12),2))</f>
        <v/>
      </c>
      <c r="AI355">
        <f>IF(D354&lt;=0,0,ROUND(D354*(1+IF(AND(D$6&gt;0,$B355&lt;D$6),D$4,D$5)/12),2))</f>
        <v/>
      </c>
      <c r="AJ355">
        <f>IF(E354&lt;=0,0,ROUND(E354*(1+IF(AND(E$6&gt;0,$B355&lt;E$6),E$4,E$5)/12),2))</f>
        <v/>
      </c>
      <c r="AK355">
        <f>IF(F354&lt;=0,0,ROUND(F354*(1+IF(AND(F$6&gt;0,$B355&lt;F$6),F$4,F$5)/12),2))</f>
        <v/>
      </c>
      <c r="AL355">
        <f>IF(G354&lt;=0,0,ROUND(G354*(1+IF(AND(G$6&gt;0,$B355&lt;G$6),G$4,G$5)/12),2))</f>
        <v/>
      </c>
      <c r="AM355">
        <f>IF(H354&lt;=0,0,ROUND(H354*(1+IF(AND(H$6&gt;0,$B355&lt;H$6),H$4,H$5)/12),2))</f>
        <v/>
      </c>
      <c r="AN355">
        <f>IF(I354&lt;=0,0,ROUND(I354*(1+IF(AND(I$6&gt;0,$B355&lt;I$6),I$4,I$5)/12),2))</f>
        <v/>
      </c>
      <c r="AO355">
        <f>IF(J354&lt;=0,0,ROUND(J354*(1+IF(AND(J$6&gt;0,$B355&lt;J$6),J$4,J$5)/12),2))</f>
        <v/>
      </c>
      <c r="AP355">
        <f>IF(K354&lt;=0,0,ROUND(K354*(1+IF(AND(K$6&gt;0,$B355&lt;K$6),K$4,K$5)/12),2))</f>
        <v/>
      </c>
      <c r="AQ355">
        <f>IF(L354&lt;=0,0,ROUND(L354*(1+IF(AND(L$6&gt;0,$B355&lt;L$6),L$4,L$5)/12),2))</f>
        <v/>
      </c>
      <c r="AR355">
        <f>IF(M354&lt;=0,0,ROUND(M354*(1+IF(AND(M$6&gt;0,$B355&lt;M$6),M$4,M$5)/12),2))</f>
        <v/>
      </c>
      <c r="AS355">
        <f>IF(N354&lt;=0,0,ROUND(N354*(1+IF(AND(N$6&gt;0,$B355&lt;N$6),N$4,N$5)/12),2))</f>
        <v/>
      </c>
    </row>
    <row r="356">
      <c r="A356" t="n">
        <v>345</v>
      </c>
      <c r="B356">
        <f>EDATE(Plan!$C$6,344)</f>
        <v/>
      </c>
      <c r="C356">
        <f>IF(C355&lt;=0,0,MAX(0,AH356-O356))</f>
        <v/>
      </c>
      <c r="D356">
        <f>IF(D355&lt;=0,0,MAX(0,AI356-P356))</f>
        <v/>
      </c>
      <c r="E356">
        <f>IF(E355&lt;=0,0,MAX(0,AJ356-Q356))</f>
        <v/>
      </c>
      <c r="F356">
        <f>IF(F355&lt;=0,0,MAX(0,AK356-R356))</f>
        <v/>
      </c>
      <c r="G356">
        <f>IF(G355&lt;=0,0,MAX(0,AL356-S356))</f>
        <v/>
      </c>
      <c r="H356">
        <f>IF(H355&lt;=0,0,MAX(0,AM356-T356))</f>
        <v/>
      </c>
      <c r="I356">
        <f>IF(I355&lt;=0,0,MAX(0,AN356-U356))</f>
        <v/>
      </c>
      <c r="J356">
        <f>IF(J355&lt;=0,0,MAX(0,AO356-V356))</f>
        <v/>
      </c>
      <c r="K356">
        <f>IF(K355&lt;=0,0,MAX(0,AP356-W356))</f>
        <v/>
      </c>
      <c r="L356">
        <f>IF(L355&lt;=0,0,MAX(0,AQ356-X356))</f>
        <v/>
      </c>
      <c r="M356">
        <f>IF(M355&lt;=0,0,MAX(0,AR356-Y356))</f>
        <v/>
      </c>
      <c r="N356">
        <f>IF(N355&lt;=0,0,MAX(0,AS356-Z356))</f>
        <v/>
      </c>
      <c r="O356">
        <f>IF(C355&lt;=0,0,MIN(AH356,C$7+IF(C$2=$AA356,$AC356,IF(C$2=$AF356,$AG356,0))))</f>
        <v/>
      </c>
      <c r="P356">
        <f>IF(D355&lt;=0,0,MIN(AI356,D$7+IF(D$2=$AA356,$AC356,IF(D$2=$AF356,$AG356,0))))</f>
        <v/>
      </c>
      <c r="Q356">
        <f>IF(E355&lt;=0,0,MIN(AJ356,E$7+IF(E$2=$AA356,$AC356,IF(E$2=$AF356,$AG356,0))))</f>
        <v/>
      </c>
      <c r="R356">
        <f>IF(F355&lt;=0,0,MIN(AK356,F$7+IF(F$2=$AA356,$AC356,IF(F$2=$AF356,$AG356,0))))</f>
        <v/>
      </c>
      <c r="S356">
        <f>IF(G355&lt;=0,0,MIN(AL356,G$7+IF(G$2=$AA356,$AC356,IF(G$2=$AF356,$AG356,0))))</f>
        <v/>
      </c>
      <c r="T356">
        <f>IF(H355&lt;=0,0,MIN(AM356,H$7+IF(H$2=$AA356,$AC356,IF(H$2=$AF356,$AG356,0))))</f>
        <v/>
      </c>
      <c r="U356">
        <f>IF(I355&lt;=0,0,MIN(AN356,I$7+IF(I$2=$AA356,$AC356,IF(I$2=$AF356,$AG356,0))))</f>
        <v/>
      </c>
      <c r="V356">
        <f>IF(J355&lt;=0,0,MIN(AO356,J$7+IF(J$2=$AA356,$AC356,IF(J$2=$AF356,$AG356,0))))</f>
        <v/>
      </c>
      <c r="W356">
        <f>IF(K355&lt;=0,0,MIN(AP356,K$7+IF(K$2=$AA356,$AC356,IF(K$2=$AF356,$AG356,0))))</f>
        <v/>
      </c>
      <c r="X356">
        <f>IF(L355&lt;=0,0,MIN(AQ356,L$7+IF(L$2=$AA356,$AC356,IF(L$2=$AF356,$AG356,0))))</f>
        <v/>
      </c>
      <c r="Y356">
        <f>IF(M355&lt;=0,0,MIN(AR356,M$7+IF(M$2=$AA356,$AC356,IF(M$2=$AF356,$AG356,0))))</f>
        <v/>
      </c>
      <c r="Z356">
        <f>IF(N355&lt;=0,0,MIN(AS356,N$7+IF(N$2=$AA356,$AC356,IF(N$2=$AF356,$AG356,0))))</f>
        <v/>
      </c>
      <c r="AA356">
        <f>IFERROR(ROUND(1/SUMPRODUCT(MAX((C355:N355&gt;0)*($C$3:$N$3&lt;=B356)/$C$2:$N$2)),0),0)</f>
        <v/>
      </c>
      <c r="AB356">
        <f>SUMPRODUCT((C355:N355&gt;0)*$C$7:$N$7)</f>
        <v/>
      </c>
      <c r="AC356">
        <f>MAX(0,Plan!$C$5-AB356)+IF(A356=Plan!$C$8,N(Plan!$C$7),0)</f>
        <v/>
      </c>
      <c r="AD356">
        <f>SUM(C356:N356)</f>
        <v/>
      </c>
      <c r="AE356">
        <f>SUM(O356:Z356)</f>
        <v/>
      </c>
      <c r="AF356">
        <f>IFERROR(ROUND(1/SUMPRODUCT(MAX((C355:N355&gt;0)*($C$3:$N$3&lt;=B356)*($C$2:$N$2&gt;AA356)/$C$2:$N$2)),0),0)</f>
        <v/>
      </c>
      <c r="AG356">
        <f>MAX(0,AC356-MAX(0,SUMPRODUCT(($C$2:$N$2=AA356)*(AH356:AS356-$C$7:$N$7))))</f>
        <v/>
      </c>
      <c r="AH356">
        <f>IF(C355&lt;=0,0,ROUND(C355*(1+IF(AND(C$6&gt;0,$B356&lt;C$6),C$4,C$5)/12),2))</f>
        <v/>
      </c>
      <c r="AI356">
        <f>IF(D355&lt;=0,0,ROUND(D355*(1+IF(AND(D$6&gt;0,$B356&lt;D$6),D$4,D$5)/12),2))</f>
        <v/>
      </c>
      <c r="AJ356">
        <f>IF(E355&lt;=0,0,ROUND(E355*(1+IF(AND(E$6&gt;0,$B356&lt;E$6),E$4,E$5)/12),2))</f>
        <v/>
      </c>
      <c r="AK356">
        <f>IF(F355&lt;=0,0,ROUND(F355*(1+IF(AND(F$6&gt;0,$B356&lt;F$6),F$4,F$5)/12),2))</f>
        <v/>
      </c>
      <c r="AL356">
        <f>IF(G355&lt;=0,0,ROUND(G355*(1+IF(AND(G$6&gt;0,$B356&lt;G$6),G$4,G$5)/12),2))</f>
        <v/>
      </c>
      <c r="AM356">
        <f>IF(H355&lt;=0,0,ROUND(H355*(1+IF(AND(H$6&gt;0,$B356&lt;H$6),H$4,H$5)/12),2))</f>
        <v/>
      </c>
      <c r="AN356">
        <f>IF(I355&lt;=0,0,ROUND(I355*(1+IF(AND(I$6&gt;0,$B356&lt;I$6),I$4,I$5)/12),2))</f>
        <v/>
      </c>
      <c r="AO356">
        <f>IF(J355&lt;=0,0,ROUND(J355*(1+IF(AND(J$6&gt;0,$B356&lt;J$6),J$4,J$5)/12),2))</f>
        <v/>
      </c>
      <c r="AP356">
        <f>IF(K355&lt;=0,0,ROUND(K355*(1+IF(AND(K$6&gt;0,$B356&lt;K$6),K$4,K$5)/12),2))</f>
        <v/>
      </c>
      <c r="AQ356">
        <f>IF(L355&lt;=0,0,ROUND(L355*(1+IF(AND(L$6&gt;0,$B356&lt;L$6),L$4,L$5)/12),2))</f>
        <v/>
      </c>
      <c r="AR356">
        <f>IF(M355&lt;=0,0,ROUND(M355*(1+IF(AND(M$6&gt;0,$B356&lt;M$6),M$4,M$5)/12),2))</f>
        <v/>
      </c>
      <c r="AS356">
        <f>IF(N355&lt;=0,0,ROUND(N355*(1+IF(AND(N$6&gt;0,$B356&lt;N$6),N$4,N$5)/12),2))</f>
        <v/>
      </c>
    </row>
    <row r="357">
      <c r="A357" t="n">
        <v>346</v>
      </c>
      <c r="B357">
        <f>EDATE(Plan!$C$6,345)</f>
        <v/>
      </c>
      <c r="C357">
        <f>IF(C356&lt;=0,0,MAX(0,AH357-O357))</f>
        <v/>
      </c>
      <c r="D357">
        <f>IF(D356&lt;=0,0,MAX(0,AI357-P357))</f>
        <v/>
      </c>
      <c r="E357">
        <f>IF(E356&lt;=0,0,MAX(0,AJ357-Q357))</f>
        <v/>
      </c>
      <c r="F357">
        <f>IF(F356&lt;=0,0,MAX(0,AK357-R357))</f>
        <v/>
      </c>
      <c r="G357">
        <f>IF(G356&lt;=0,0,MAX(0,AL357-S357))</f>
        <v/>
      </c>
      <c r="H357">
        <f>IF(H356&lt;=0,0,MAX(0,AM357-T357))</f>
        <v/>
      </c>
      <c r="I357">
        <f>IF(I356&lt;=0,0,MAX(0,AN357-U357))</f>
        <v/>
      </c>
      <c r="J357">
        <f>IF(J356&lt;=0,0,MAX(0,AO357-V357))</f>
        <v/>
      </c>
      <c r="K357">
        <f>IF(K356&lt;=0,0,MAX(0,AP357-W357))</f>
        <v/>
      </c>
      <c r="L357">
        <f>IF(L356&lt;=0,0,MAX(0,AQ357-X357))</f>
        <v/>
      </c>
      <c r="M357">
        <f>IF(M356&lt;=0,0,MAX(0,AR357-Y357))</f>
        <v/>
      </c>
      <c r="N357">
        <f>IF(N356&lt;=0,0,MAX(0,AS357-Z357))</f>
        <v/>
      </c>
      <c r="O357">
        <f>IF(C356&lt;=0,0,MIN(AH357,C$7+IF(C$2=$AA357,$AC357,IF(C$2=$AF357,$AG357,0))))</f>
        <v/>
      </c>
      <c r="P357">
        <f>IF(D356&lt;=0,0,MIN(AI357,D$7+IF(D$2=$AA357,$AC357,IF(D$2=$AF357,$AG357,0))))</f>
        <v/>
      </c>
      <c r="Q357">
        <f>IF(E356&lt;=0,0,MIN(AJ357,E$7+IF(E$2=$AA357,$AC357,IF(E$2=$AF357,$AG357,0))))</f>
        <v/>
      </c>
      <c r="R357">
        <f>IF(F356&lt;=0,0,MIN(AK357,F$7+IF(F$2=$AA357,$AC357,IF(F$2=$AF357,$AG357,0))))</f>
        <v/>
      </c>
      <c r="S357">
        <f>IF(G356&lt;=0,0,MIN(AL357,G$7+IF(G$2=$AA357,$AC357,IF(G$2=$AF357,$AG357,0))))</f>
        <v/>
      </c>
      <c r="T357">
        <f>IF(H356&lt;=0,0,MIN(AM357,H$7+IF(H$2=$AA357,$AC357,IF(H$2=$AF357,$AG357,0))))</f>
        <v/>
      </c>
      <c r="U357">
        <f>IF(I356&lt;=0,0,MIN(AN357,I$7+IF(I$2=$AA357,$AC357,IF(I$2=$AF357,$AG357,0))))</f>
        <v/>
      </c>
      <c r="V357">
        <f>IF(J356&lt;=0,0,MIN(AO357,J$7+IF(J$2=$AA357,$AC357,IF(J$2=$AF357,$AG357,0))))</f>
        <v/>
      </c>
      <c r="W357">
        <f>IF(K356&lt;=0,0,MIN(AP357,K$7+IF(K$2=$AA357,$AC357,IF(K$2=$AF357,$AG357,0))))</f>
        <v/>
      </c>
      <c r="X357">
        <f>IF(L356&lt;=0,0,MIN(AQ357,L$7+IF(L$2=$AA357,$AC357,IF(L$2=$AF357,$AG357,0))))</f>
        <v/>
      </c>
      <c r="Y357">
        <f>IF(M356&lt;=0,0,MIN(AR357,M$7+IF(M$2=$AA357,$AC357,IF(M$2=$AF357,$AG357,0))))</f>
        <v/>
      </c>
      <c r="Z357">
        <f>IF(N356&lt;=0,0,MIN(AS357,N$7+IF(N$2=$AA357,$AC357,IF(N$2=$AF357,$AG357,0))))</f>
        <v/>
      </c>
      <c r="AA357">
        <f>IFERROR(ROUND(1/SUMPRODUCT(MAX((C356:N356&gt;0)*($C$3:$N$3&lt;=B357)/$C$2:$N$2)),0),0)</f>
        <v/>
      </c>
      <c r="AB357">
        <f>SUMPRODUCT((C356:N356&gt;0)*$C$7:$N$7)</f>
        <v/>
      </c>
      <c r="AC357">
        <f>MAX(0,Plan!$C$5-AB357)+IF(A357=Plan!$C$8,N(Plan!$C$7),0)</f>
        <v/>
      </c>
      <c r="AD357">
        <f>SUM(C357:N357)</f>
        <v/>
      </c>
      <c r="AE357">
        <f>SUM(O357:Z357)</f>
        <v/>
      </c>
      <c r="AF357">
        <f>IFERROR(ROUND(1/SUMPRODUCT(MAX((C356:N356&gt;0)*($C$3:$N$3&lt;=B357)*($C$2:$N$2&gt;AA357)/$C$2:$N$2)),0),0)</f>
        <v/>
      </c>
      <c r="AG357">
        <f>MAX(0,AC357-MAX(0,SUMPRODUCT(($C$2:$N$2=AA357)*(AH357:AS357-$C$7:$N$7))))</f>
        <v/>
      </c>
      <c r="AH357">
        <f>IF(C356&lt;=0,0,ROUND(C356*(1+IF(AND(C$6&gt;0,$B357&lt;C$6),C$4,C$5)/12),2))</f>
        <v/>
      </c>
      <c r="AI357">
        <f>IF(D356&lt;=0,0,ROUND(D356*(1+IF(AND(D$6&gt;0,$B357&lt;D$6),D$4,D$5)/12),2))</f>
        <v/>
      </c>
      <c r="AJ357">
        <f>IF(E356&lt;=0,0,ROUND(E356*(1+IF(AND(E$6&gt;0,$B357&lt;E$6),E$4,E$5)/12),2))</f>
        <v/>
      </c>
      <c r="AK357">
        <f>IF(F356&lt;=0,0,ROUND(F356*(1+IF(AND(F$6&gt;0,$B357&lt;F$6),F$4,F$5)/12),2))</f>
        <v/>
      </c>
      <c r="AL357">
        <f>IF(G356&lt;=0,0,ROUND(G356*(1+IF(AND(G$6&gt;0,$B357&lt;G$6),G$4,G$5)/12),2))</f>
        <v/>
      </c>
      <c r="AM357">
        <f>IF(H356&lt;=0,0,ROUND(H356*(1+IF(AND(H$6&gt;0,$B357&lt;H$6),H$4,H$5)/12),2))</f>
        <v/>
      </c>
      <c r="AN357">
        <f>IF(I356&lt;=0,0,ROUND(I356*(1+IF(AND(I$6&gt;0,$B357&lt;I$6),I$4,I$5)/12),2))</f>
        <v/>
      </c>
      <c r="AO357">
        <f>IF(J356&lt;=0,0,ROUND(J356*(1+IF(AND(J$6&gt;0,$B357&lt;J$6),J$4,J$5)/12),2))</f>
        <v/>
      </c>
      <c r="AP357">
        <f>IF(K356&lt;=0,0,ROUND(K356*(1+IF(AND(K$6&gt;0,$B357&lt;K$6),K$4,K$5)/12),2))</f>
        <v/>
      </c>
      <c r="AQ357">
        <f>IF(L356&lt;=0,0,ROUND(L356*(1+IF(AND(L$6&gt;0,$B357&lt;L$6),L$4,L$5)/12),2))</f>
        <v/>
      </c>
      <c r="AR357">
        <f>IF(M356&lt;=0,0,ROUND(M356*(1+IF(AND(M$6&gt;0,$B357&lt;M$6),M$4,M$5)/12),2))</f>
        <v/>
      </c>
      <c r="AS357">
        <f>IF(N356&lt;=0,0,ROUND(N356*(1+IF(AND(N$6&gt;0,$B357&lt;N$6),N$4,N$5)/12),2))</f>
        <v/>
      </c>
    </row>
    <row r="358">
      <c r="A358" t="n">
        <v>347</v>
      </c>
      <c r="B358">
        <f>EDATE(Plan!$C$6,346)</f>
        <v/>
      </c>
      <c r="C358">
        <f>IF(C357&lt;=0,0,MAX(0,AH358-O358))</f>
        <v/>
      </c>
      <c r="D358">
        <f>IF(D357&lt;=0,0,MAX(0,AI358-P358))</f>
        <v/>
      </c>
      <c r="E358">
        <f>IF(E357&lt;=0,0,MAX(0,AJ358-Q358))</f>
        <v/>
      </c>
      <c r="F358">
        <f>IF(F357&lt;=0,0,MAX(0,AK358-R358))</f>
        <v/>
      </c>
      <c r="G358">
        <f>IF(G357&lt;=0,0,MAX(0,AL358-S358))</f>
        <v/>
      </c>
      <c r="H358">
        <f>IF(H357&lt;=0,0,MAX(0,AM358-T358))</f>
        <v/>
      </c>
      <c r="I358">
        <f>IF(I357&lt;=0,0,MAX(0,AN358-U358))</f>
        <v/>
      </c>
      <c r="J358">
        <f>IF(J357&lt;=0,0,MAX(0,AO358-V358))</f>
        <v/>
      </c>
      <c r="K358">
        <f>IF(K357&lt;=0,0,MAX(0,AP358-W358))</f>
        <v/>
      </c>
      <c r="L358">
        <f>IF(L357&lt;=0,0,MAX(0,AQ358-X358))</f>
        <v/>
      </c>
      <c r="M358">
        <f>IF(M357&lt;=0,0,MAX(0,AR358-Y358))</f>
        <v/>
      </c>
      <c r="N358">
        <f>IF(N357&lt;=0,0,MAX(0,AS358-Z358))</f>
        <v/>
      </c>
      <c r="O358">
        <f>IF(C357&lt;=0,0,MIN(AH358,C$7+IF(C$2=$AA358,$AC358,IF(C$2=$AF358,$AG358,0))))</f>
        <v/>
      </c>
      <c r="P358">
        <f>IF(D357&lt;=0,0,MIN(AI358,D$7+IF(D$2=$AA358,$AC358,IF(D$2=$AF358,$AG358,0))))</f>
        <v/>
      </c>
      <c r="Q358">
        <f>IF(E357&lt;=0,0,MIN(AJ358,E$7+IF(E$2=$AA358,$AC358,IF(E$2=$AF358,$AG358,0))))</f>
        <v/>
      </c>
      <c r="R358">
        <f>IF(F357&lt;=0,0,MIN(AK358,F$7+IF(F$2=$AA358,$AC358,IF(F$2=$AF358,$AG358,0))))</f>
        <v/>
      </c>
      <c r="S358">
        <f>IF(G357&lt;=0,0,MIN(AL358,G$7+IF(G$2=$AA358,$AC358,IF(G$2=$AF358,$AG358,0))))</f>
        <v/>
      </c>
      <c r="T358">
        <f>IF(H357&lt;=0,0,MIN(AM358,H$7+IF(H$2=$AA358,$AC358,IF(H$2=$AF358,$AG358,0))))</f>
        <v/>
      </c>
      <c r="U358">
        <f>IF(I357&lt;=0,0,MIN(AN358,I$7+IF(I$2=$AA358,$AC358,IF(I$2=$AF358,$AG358,0))))</f>
        <v/>
      </c>
      <c r="V358">
        <f>IF(J357&lt;=0,0,MIN(AO358,J$7+IF(J$2=$AA358,$AC358,IF(J$2=$AF358,$AG358,0))))</f>
        <v/>
      </c>
      <c r="W358">
        <f>IF(K357&lt;=0,0,MIN(AP358,K$7+IF(K$2=$AA358,$AC358,IF(K$2=$AF358,$AG358,0))))</f>
        <v/>
      </c>
      <c r="X358">
        <f>IF(L357&lt;=0,0,MIN(AQ358,L$7+IF(L$2=$AA358,$AC358,IF(L$2=$AF358,$AG358,0))))</f>
        <v/>
      </c>
      <c r="Y358">
        <f>IF(M357&lt;=0,0,MIN(AR358,M$7+IF(M$2=$AA358,$AC358,IF(M$2=$AF358,$AG358,0))))</f>
        <v/>
      </c>
      <c r="Z358">
        <f>IF(N357&lt;=0,0,MIN(AS358,N$7+IF(N$2=$AA358,$AC358,IF(N$2=$AF358,$AG358,0))))</f>
        <v/>
      </c>
      <c r="AA358">
        <f>IFERROR(ROUND(1/SUMPRODUCT(MAX((C357:N357&gt;0)*($C$3:$N$3&lt;=B358)/$C$2:$N$2)),0),0)</f>
        <v/>
      </c>
      <c r="AB358">
        <f>SUMPRODUCT((C357:N357&gt;0)*$C$7:$N$7)</f>
        <v/>
      </c>
      <c r="AC358">
        <f>MAX(0,Plan!$C$5-AB358)+IF(A358=Plan!$C$8,N(Plan!$C$7),0)</f>
        <v/>
      </c>
      <c r="AD358">
        <f>SUM(C358:N358)</f>
        <v/>
      </c>
      <c r="AE358">
        <f>SUM(O358:Z358)</f>
        <v/>
      </c>
      <c r="AF358">
        <f>IFERROR(ROUND(1/SUMPRODUCT(MAX((C357:N357&gt;0)*($C$3:$N$3&lt;=B358)*($C$2:$N$2&gt;AA358)/$C$2:$N$2)),0),0)</f>
        <v/>
      </c>
      <c r="AG358">
        <f>MAX(0,AC358-MAX(0,SUMPRODUCT(($C$2:$N$2=AA358)*(AH358:AS358-$C$7:$N$7))))</f>
        <v/>
      </c>
      <c r="AH358">
        <f>IF(C357&lt;=0,0,ROUND(C357*(1+IF(AND(C$6&gt;0,$B358&lt;C$6),C$4,C$5)/12),2))</f>
        <v/>
      </c>
      <c r="AI358">
        <f>IF(D357&lt;=0,0,ROUND(D357*(1+IF(AND(D$6&gt;0,$B358&lt;D$6),D$4,D$5)/12),2))</f>
        <v/>
      </c>
      <c r="AJ358">
        <f>IF(E357&lt;=0,0,ROUND(E357*(1+IF(AND(E$6&gt;0,$B358&lt;E$6),E$4,E$5)/12),2))</f>
        <v/>
      </c>
      <c r="AK358">
        <f>IF(F357&lt;=0,0,ROUND(F357*(1+IF(AND(F$6&gt;0,$B358&lt;F$6),F$4,F$5)/12),2))</f>
        <v/>
      </c>
      <c r="AL358">
        <f>IF(G357&lt;=0,0,ROUND(G357*(1+IF(AND(G$6&gt;0,$B358&lt;G$6),G$4,G$5)/12),2))</f>
        <v/>
      </c>
      <c r="AM358">
        <f>IF(H357&lt;=0,0,ROUND(H357*(1+IF(AND(H$6&gt;0,$B358&lt;H$6),H$4,H$5)/12),2))</f>
        <v/>
      </c>
      <c r="AN358">
        <f>IF(I357&lt;=0,0,ROUND(I357*(1+IF(AND(I$6&gt;0,$B358&lt;I$6),I$4,I$5)/12),2))</f>
        <v/>
      </c>
      <c r="AO358">
        <f>IF(J357&lt;=0,0,ROUND(J357*(1+IF(AND(J$6&gt;0,$B358&lt;J$6),J$4,J$5)/12),2))</f>
        <v/>
      </c>
      <c r="AP358">
        <f>IF(K357&lt;=0,0,ROUND(K357*(1+IF(AND(K$6&gt;0,$B358&lt;K$6),K$4,K$5)/12),2))</f>
        <v/>
      </c>
      <c r="AQ358">
        <f>IF(L357&lt;=0,0,ROUND(L357*(1+IF(AND(L$6&gt;0,$B358&lt;L$6),L$4,L$5)/12),2))</f>
        <v/>
      </c>
      <c r="AR358">
        <f>IF(M357&lt;=0,0,ROUND(M357*(1+IF(AND(M$6&gt;0,$B358&lt;M$6),M$4,M$5)/12),2))</f>
        <v/>
      </c>
      <c r="AS358">
        <f>IF(N357&lt;=0,0,ROUND(N357*(1+IF(AND(N$6&gt;0,$B358&lt;N$6),N$4,N$5)/12),2))</f>
        <v/>
      </c>
    </row>
    <row r="359">
      <c r="A359" t="n">
        <v>348</v>
      </c>
      <c r="B359">
        <f>EDATE(Plan!$C$6,347)</f>
        <v/>
      </c>
      <c r="C359">
        <f>IF(C358&lt;=0,0,MAX(0,AH359-O359))</f>
        <v/>
      </c>
      <c r="D359">
        <f>IF(D358&lt;=0,0,MAX(0,AI359-P359))</f>
        <v/>
      </c>
      <c r="E359">
        <f>IF(E358&lt;=0,0,MAX(0,AJ359-Q359))</f>
        <v/>
      </c>
      <c r="F359">
        <f>IF(F358&lt;=0,0,MAX(0,AK359-R359))</f>
        <v/>
      </c>
      <c r="G359">
        <f>IF(G358&lt;=0,0,MAX(0,AL359-S359))</f>
        <v/>
      </c>
      <c r="H359">
        <f>IF(H358&lt;=0,0,MAX(0,AM359-T359))</f>
        <v/>
      </c>
      <c r="I359">
        <f>IF(I358&lt;=0,0,MAX(0,AN359-U359))</f>
        <v/>
      </c>
      <c r="J359">
        <f>IF(J358&lt;=0,0,MAX(0,AO359-V359))</f>
        <v/>
      </c>
      <c r="K359">
        <f>IF(K358&lt;=0,0,MAX(0,AP359-W359))</f>
        <v/>
      </c>
      <c r="L359">
        <f>IF(L358&lt;=0,0,MAX(0,AQ359-X359))</f>
        <v/>
      </c>
      <c r="M359">
        <f>IF(M358&lt;=0,0,MAX(0,AR359-Y359))</f>
        <v/>
      </c>
      <c r="N359">
        <f>IF(N358&lt;=0,0,MAX(0,AS359-Z359))</f>
        <v/>
      </c>
      <c r="O359">
        <f>IF(C358&lt;=0,0,MIN(AH359,C$7+IF(C$2=$AA359,$AC359,IF(C$2=$AF359,$AG359,0))))</f>
        <v/>
      </c>
      <c r="P359">
        <f>IF(D358&lt;=0,0,MIN(AI359,D$7+IF(D$2=$AA359,$AC359,IF(D$2=$AF359,$AG359,0))))</f>
        <v/>
      </c>
      <c r="Q359">
        <f>IF(E358&lt;=0,0,MIN(AJ359,E$7+IF(E$2=$AA359,$AC359,IF(E$2=$AF359,$AG359,0))))</f>
        <v/>
      </c>
      <c r="R359">
        <f>IF(F358&lt;=0,0,MIN(AK359,F$7+IF(F$2=$AA359,$AC359,IF(F$2=$AF359,$AG359,0))))</f>
        <v/>
      </c>
      <c r="S359">
        <f>IF(G358&lt;=0,0,MIN(AL359,G$7+IF(G$2=$AA359,$AC359,IF(G$2=$AF359,$AG359,0))))</f>
        <v/>
      </c>
      <c r="T359">
        <f>IF(H358&lt;=0,0,MIN(AM359,H$7+IF(H$2=$AA359,$AC359,IF(H$2=$AF359,$AG359,0))))</f>
        <v/>
      </c>
      <c r="U359">
        <f>IF(I358&lt;=0,0,MIN(AN359,I$7+IF(I$2=$AA359,$AC359,IF(I$2=$AF359,$AG359,0))))</f>
        <v/>
      </c>
      <c r="V359">
        <f>IF(J358&lt;=0,0,MIN(AO359,J$7+IF(J$2=$AA359,$AC359,IF(J$2=$AF359,$AG359,0))))</f>
        <v/>
      </c>
      <c r="W359">
        <f>IF(K358&lt;=0,0,MIN(AP359,K$7+IF(K$2=$AA359,$AC359,IF(K$2=$AF359,$AG359,0))))</f>
        <v/>
      </c>
      <c r="X359">
        <f>IF(L358&lt;=0,0,MIN(AQ359,L$7+IF(L$2=$AA359,$AC359,IF(L$2=$AF359,$AG359,0))))</f>
        <v/>
      </c>
      <c r="Y359">
        <f>IF(M358&lt;=0,0,MIN(AR359,M$7+IF(M$2=$AA359,$AC359,IF(M$2=$AF359,$AG359,0))))</f>
        <v/>
      </c>
      <c r="Z359">
        <f>IF(N358&lt;=0,0,MIN(AS359,N$7+IF(N$2=$AA359,$AC359,IF(N$2=$AF359,$AG359,0))))</f>
        <v/>
      </c>
      <c r="AA359">
        <f>IFERROR(ROUND(1/SUMPRODUCT(MAX((C358:N358&gt;0)*($C$3:$N$3&lt;=B359)/$C$2:$N$2)),0),0)</f>
        <v/>
      </c>
      <c r="AB359">
        <f>SUMPRODUCT((C358:N358&gt;0)*$C$7:$N$7)</f>
        <v/>
      </c>
      <c r="AC359">
        <f>MAX(0,Plan!$C$5-AB359)+IF(A359=Plan!$C$8,N(Plan!$C$7),0)</f>
        <v/>
      </c>
      <c r="AD359">
        <f>SUM(C359:N359)</f>
        <v/>
      </c>
      <c r="AE359">
        <f>SUM(O359:Z359)</f>
        <v/>
      </c>
      <c r="AF359">
        <f>IFERROR(ROUND(1/SUMPRODUCT(MAX((C358:N358&gt;0)*($C$3:$N$3&lt;=B359)*($C$2:$N$2&gt;AA359)/$C$2:$N$2)),0),0)</f>
        <v/>
      </c>
      <c r="AG359">
        <f>MAX(0,AC359-MAX(0,SUMPRODUCT(($C$2:$N$2=AA359)*(AH359:AS359-$C$7:$N$7))))</f>
        <v/>
      </c>
      <c r="AH359">
        <f>IF(C358&lt;=0,0,ROUND(C358*(1+IF(AND(C$6&gt;0,$B359&lt;C$6),C$4,C$5)/12),2))</f>
        <v/>
      </c>
      <c r="AI359">
        <f>IF(D358&lt;=0,0,ROUND(D358*(1+IF(AND(D$6&gt;0,$B359&lt;D$6),D$4,D$5)/12),2))</f>
        <v/>
      </c>
      <c r="AJ359">
        <f>IF(E358&lt;=0,0,ROUND(E358*(1+IF(AND(E$6&gt;0,$B359&lt;E$6),E$4,E$5)/12),2))</f>
        <v/>
      </c>
      <c r="AK359">
        <f>IF(F358&lt;=0,0,ROUND(F358*(1+IF(AND(F$6&gt;0,$B359&lt;F$6),F$4,F$5)/12),2))</f>
        <v/>
      </c>
      <c r="AL359">
        <f>IF(G358&lt;=0,0,ROUND(G358*(1+IF(AND(G$6&gt;0,$B359&lt;G$6),G$4,G$5)/12),2))</f>
        <v/>
      </c>
      <c r="AM359">
        <f>IF(H358&lt;=0,0,ROUND(H358*(1+IF(AND(H$6&gt;0,$B359&lt;H$6),H$4,H$5)/12),2))</f>
        <v/>
      </c>
      <c r="AN359">
        <f>IF(I358&lt;=0,0,ROUND(I358*(1+IF(AND(I$6&gt;0,$B359&lt;I$6),I$4,I$5)/12),2))</f>
        <v/>
      </c>
      <c r="AO359">
        <f>IF(J358&lt;=0,0,ROUND(J358*(1+IF(AND(J$6&gt;0,$B359&lt;J$6),J$4,J$5)/12),2))</f>
        <v/>
      </c>
      <c r="AP359">
        <f>IF(K358&lt;=0,0,ROUND(K358*(1+IF(AND(K$6&gt;0,$B359&lt;K$6),K$4,K$5)/12),2))</f>
        <v/>
      </c>
      <c r="AQ359">
        <f>IF(L358&lt;=0,0,ROUND(L358*(1+IF(AND(L$6&gt;0,$B359&lt;L$6),L$4,L$5)/12),2))</f>
        <v/>
      </c>
      <c r="AR359">
        <f>IF(M358&lt;=0,0,ROUND(M358*(1+IF(AND(M$6&gt;0,$B359&lt;M$6),M$4,M$5)/12),2))</f>
        <v/>
      </c>
      <c r="AS359">
        <f>IF(N358&lt;=0,0,ROUND(N358*(1+IF(AND(N$6&gt;0,$B359&lt;N$6),N$4,N$5)/12),2))</f>
        <v/>
      </c>
    </row>
    <row r="360">
      <c r="A360" t="n">
        <v>349</v>
      </c>
      <c r="B360">
        <f>EDATE(Plan!$C$6,348)</f>
        <v/>
      </c>
      <c r="C360">
        <f>IF(C359&lt;=0,0,MAX(0,AH360-O360))</f>
        <v/>
      </c>
      <c r="D360">
        <f>IF(D359&lt;=0,0,MAX(0,AI360-P360))</f>
        <v/>
      </c>
      <c r="E360">
        <f>IF(E359&lt;=0,0,MAX(0,AJ360-Q360))</f>
        <v/>
      </c>
      <c r="F360">
        <f>IF(F359&lt;=0,0,MAX(0,AK360-R360))</f>
        <v/>
      </c>
      <c r="G360">
        <f>IF(G359&lt;=0,0,MAX(0,AL360-S360))</f>
        <v/>
      </c>
      <c r="H360">
        <f>IF(H359&lt;=0,0,MAX(0,AM360-T360))</f>
        <v/>
      </c>
      <c r="I360">
        <f>IF(I359&lt;=0,0,MAX(0,AN360-U360))</f>
        <v/>
      </c>
      <c r="J360">
        <f>IF(J359&lt;=0,0,MAX(0,AO360-V360))</f>
        <v/>
      </c>
      <c r="K360">
        <f>IF(K359&lt;=0,0,MAX(0,AP360-W360))</f>
        <v/>
      </c>
      <c r="L360">
        <f>IF(L359&lt;=0,0,MAX(0,AQ360-X360))</f>
        <v/>
      </c>
      <c r="M360">
        <f>IF(M359&lt;=0,0,MAX(0,AR360-Y360))</f>
        <v/>
      </c>
      <c r="N360">
        <f>IF(N359&lt;=0,0,MAX(0,AS360-Z360))</f>
        <v/>
      </c>
      <c r="O360">
        <f>IF(C359&lt;=0,0,MIN(AH360,C$7+IF(C$2=$AA360,$AC360,IF(C$2=$AF360,$AG360,0))))</f>
        <v/>
      </c>
      <c r="P360">
        <f>IF(D359&lt;=0,0,MIN(AI360,D$7+IF(D$2=$AA360,$AC360,IF(D$2=$AF360,$AG360,0))))</f>
        <v/>
      </c>
      <c r="Q360">
        <f>IF(E359&lt;=0,0,MIN(AJ360,E$7+IF(E$2=$AA360,$AC360,IF(E$2=$AF360,$AG360,0))))</f>
        <v/>
      </c>
      <c r="R360">
        <f>IF(F359&lt;=0,0,MIN(AK360,F$7+IF(F$2=$AA360,$AC360,IF(F$2=$AF360,$AG360,0))))</f>
        <v/>
      </c>
      <c r="S360">
        <f>IF(G359&lt;=0,0,MIN(AL360,G$7+IF(G$2=$AA360,$AC360,IF(G$2=$AF360,$AG360,0))))</f>
        <v/>
      </c>
      <c r="T360">
        <f>IF(H359&lt;=0,0,MIN(AM360,H$7+IF(H$2=$AA360,$AC360,IF(H$2=$AF360,$AG360,0))))</f>
        <v/>
      </c>
      <c r="U360">
        <f>IF(I359&lt;=0,0,MIN(AN360,I$7+IF(I$2=$AA360,$AC360,IF(I$2=$AF360,$AG360,0))))</f>
        <v/>
      </c>
      <c r="V360">
        <f>IF(J359&lt;=0,0,MIN(AO360,J$7+IF(J$2=$AA360,$AC360,IF(J$2=$AF360,$AG360,0))))</f>
        <v/>
      </c>
      <c r="W360">
        <f>IF(K359&lt;=0,0,MIN(AP360,K$7+IF(K$2=$AA360,$AC360,IF(K$2=$AF360,$AG360,0))))</f>
        <v/>
      </c>
      <c r="X360">
        <f>IF(L359&lt;=0,0,MIN(AQ360,L$7+IF(L$2=$AA360,$AC360,IF(L$2=$AF360,$AG360,0))))</f>
        <v/>
      </c>
      <c r="Y360">
        <f>IF(M359&lt;=0,0,MIN(AR360,M$7+IF(M$2=$AA360,$AC360,IF(M$2=$AF360,$AG360,0))))</f>
        <v/>
      </c>
      <c r="Z360">
        <f>IF(N359&lt;=0,0,MIN(AS360,N$7+IF(N$2=$AA360,$AC360,IF(N$2=$AF360,$AG360,0))))</f>
        <v/>
      </c>
      <c r="AA360">
        <f>IFERROR(ROUND(1/SUMPRODUCT(MAX((C359:N359&gt;0)*($C$3:$N$3&lt;=B360)/$C$2:$N$2)),0),0)</f>
        <v/>
      </c>
      <c r="AB360">
        <f>SUMPRODUCT((C359:N359&gt;0)*$C$7:$N$7)</f>
        <v/>
      </c>
      <c r="AC360">
        <f>MAX(0,Plan!$C$5-AB360)+IF(A360=Plan!$C$8,N(Plan!$C$7),0)</f>
        <v/>
      </c>
      <c r="AD360">
        <f>SUM(C360:N360)</f>
        <v/>
      </c>
      <c r="AE360">
        <f>SUM(O360:Z360)</f>
        <v/>
      </c>
      <c r="AF360">
        <f>IFERROR(ROUND(1/SUMPRODUCT(MAX((C359:N359&gt;0)*($C$3:$N$3&lt;=B360)*($C$2:$N$2&gt;AA360)/$C$2:$N$2)),0),0)</f>
        <v/>
      </c>
      <c r="AG360">
        <f>MAX(0,AC360-MAX(0,SUMPRODUCT(($C$2:$N$2=AA360)*(AH360:AS360-$C$7:$N$7))))</f>
        <v/>
      </c>
      <c r="AH360">
        <f>IF(C359&lt;=0,0,ROUND(C359*(1+IF(AND(C$6&gt;0,$B360&lt;C$6),C$4,C$5)/12),2))</f>
        <v/>
      </c>
      <c r="AI360">
        <f>IF(D359&lt;=0,0,ROUND(D359*(1+IF(AND(D$6&gt;0,$B360&lt;D$6),D$4,D$5)/12),2))</f>
        <v/>
      </c>
      <c r="AJ360">
        <f>IF(E359&lt;=0,0,ROUND(E359*(1+IF(AND(E$6&gt;0,$B360&lt;E$6),E$4,E$5)/12),2))</f>
        <v/>
      </c>
      <c r="AK360">
        <f>IF(F359&lt;=0,0,ROUND(F359*(1+IF(AND(F$6&gt;0,$B360&lt;F$6),F$4,F$5)/12),2))</f>
        <v/>
      </c>
      <c r="AL360">
        <f>IF(G359&lt;=0,0,ROUND(G359*(1+IF(AND(G$6&gt;0,$B360&lt;G$6),G$4,G$5)/12),2))</f>
        <v/>
      </c>
      <c r="AM360">
        <f>IF(H359&lt;=0,0,ROUND(H359*(1+IF(AND(H$6&gt;0,$B360&lt;H$6),H$4,H$5)/12),2))</f>
        <v/>
      </c>
      <c r="AN360">
        <f>IF(I359&lt;=0,0,ROUND(I359*(1+IF(AND(I$6&gt;0,$B360&lt;I$6),I$4,I$5)/12),2))</f>
        <v/>
      </c>
      <c r="AO360">
        <f>IF(J359&lt;=0,0,ROUND(J359*(1+IF(AND(J$6&gt;0,$B360&lt;J$6),J$4,J$5)/12),2))</f>
        <v/>
      </c>
      <c r="AP360">
        <f>IF(K359&lt;=0,0,ROUND(K359*(1+IF(AND(K$6&gt;0,$B360&lt;K$6),K$4,K$5)/12),2))</f>
        <v/>
      </c>
      <c r="AQ360">
        <f>IF(L359&lt;=0,0,ROUND(L359*(1+IF(AND(L$6&gt;0,$B360&lt;L$6),L$4,L$5)/12),2))</f>
        <v/>
      </c>
      <c r="AR360">
        <f>IF(M359&lt;=0,0,ROUND(M359*(1+IF(AND(M$6&gt;0,$B360&lt;M$6),M$4,M$5)/12),2))</f>
        <v/>
      </c>
      <c r="AS360">
        <f>IF(N359&lt;=0,0,ROUND(N359*(1+IF(AND(N$6&gt;0,$B360&lt;N$6),N$4,N$5)/12),2))</f>
        <v/>
      </c>
    </row>
    <row r="361">
      <c r="A361" t="n">
        <v>350</v>
      </c>
      <c r="B361">
        <f>EDATE(Plan!$C$6,349)</f>
        <v/>
      </c>
      <c r="C361">
        <f>IF(C360&lt;=0,0,MAX(0,AH361-O361))</f>
        <v/>
      </c>
      <c r="D361">
        <f>IF(D360&lt;=0,0,MAX(0,AI361-P361))</f>
        <v/>
      </c>
      <c r="E361">
        <f>IF(E360&lt;=0,0,MAX(0,AJ361-Q361))</f>
        <v/>
      </c>
      <c r="F361">
        <f>IF(F360&lt;=0,0,MAX(0,AK361-R361))</f>
        <v/>
      </c>
      <c r="G361">
        <f>IF(G360&lt;=0,0,MAX(0,AL361-S361))</f>
        <v/>
      </c>
      <c r="H361">
        <f>IF(H360&lt;=0,0,MAX(0,AM361-T361))</f>
        <v/>
      </c>
      <c r="I361">
        <f>IF(I360&lt;=0,0,MAX(0,AN361-U361))</f>
        <v/>
      </c>
      <c r="J361">
        <f>IF(J360&lt;=0,0,MAX(0,AO361-V361))</f>
        <v/>
      </c>
      <c r="K361">
        <f>IF(K360&lt;=0,0,MAX(0,AP361-W361))</f>
        <v/>
      </c>
      <c r="L361">
        <f>IF(L360&lt;=0,0,MAX(0,AQ361-X361))</f>
        <v/>
      </c>
      <c r="M361">
        <f>IF(M360&lt;=0,0,MAX(0,AR361-Y361))</f>
        <v/>
      </c>
      <c r="N361">
        <f>IF(N360&lt;=0,0,MAX(0,AS361-Z361))</f>
        <v/>
      </c>
      <c r="O361">
        <f>IF(C360&lt;=0,0,MIN(AH361,C$7+IF(C$2=$AA361,$AC361,IF(C$2=$AF361,$AG361,0))))</f>
        <v/>
      </c>
      <c r="P361">
        <f>IF(D360&lt;=0,0,MIN(AI361,D$7+IF(D$2=$AA361,$AC361,IF(D$2=$AF361,$AG361,0))))</f>
        <v/>
      </c>
      <c r="Q361">
        <f>IF(E360&lt;=0,0,MIN(AJ361,E$7+IF(E$2=$AA361,$AC361,IF(E$2=$AF361,$AG361,0))))</f>
        <v/>
      </c>
      <c r="R361">
        <f>IF(F360&lt;=0,0,MIN(AK361,F$7+IF(F$2=$AA361,$AC361,IF(F$2=$AF361,$AG361,0))))</f>
        <v/>
      </c>
      <c r="S361">
        <f>IF(G360&lt;=0,0,MIN(AL361,G$7+IF(G$2=$AA361,$AC361,IF(G$2=$AF361,$AG361,0))))</f>
        <v/>
      </c>
      <c r="T361">
        <f>IF(H360&lt;=0,0,MIN(AM361,H$7+IF(H$2=$AA361,$AC361,IF(H$2=$AF361,$AG361,0))))</f>
        <v/>
      </c>
      <c r="U361">
        <f>IF(I360&lt;=0,0,MIN(AN361,I$7+IF(I$2=$AA361,$AC361,IF(I$2=$AF361,$AG361,0))))</f>
        <v/>
      </c>
      <c r="V361">
        <f>IF(J360&lt;=0,0,MIN(AO361,J$7+IF(J$2=$AA361,$AC361,IF(J$2=$AF361,$AG361,0))))</f>
        <v/>
      </c>
      <c r="W361">
        <f>IF(K360&lt;=0,0,MIN(AP361,K$7+IF(K$2=$AA361,$AC361,IF(K$2=$AF361,$AG361,0))))</f>
        <v/>
      </c>
      <c r="X361">
        <f>IF(L360&lt;=0,0,MIN(AQ361,L$7+IF(L$2=$AA361,$AC361,IF(L$2=$AF361,$AG361,0))))</f>
        <v/>
      </c>
      <c r="Y361">
        <f>IF(M360&lt;=0,0,MIN(AR361,M$7+IF(M$2=$AA361,$AC361,IF(M$2=$AF361,$AG361,0))))</f>
        <v/>
      </c>
      <c r="Z361">
        <f>IF(N360&lt;=0,0,MIN(AS361,N$7+IF(N$2=$AA361,$AC361,IF(N$2=$AF361,$AG361,0))))</f>
        <v/>
      </c>
      <c r="AA361">
        <f>IFERROR(ROUND(1/SUMPRODUCT(MAX((C360:N360&gt;0)*($C$3:$N$3&lt;=B361)/$C$2:$N$2)),0),0)</f>
        <v/>
      </c>
      <c r="AB361">
        <f>SUMPRODUCT((C360:N360&gt;0)*$C$7:$N$7)</f>
        <v/>
      </c>
      <c r="AC361">
        <f>MAX(0,Plan!$C$5-AB361)+IF(A361=Plan!$C$8,N(Plan!$C$7),0)</f>
        <v/>
      </c>
      <c r="AD361">
        <f>SUM(C361:N361)</f>
        <v/>
      </c>
      <c r="AE361">
        <f>SUM(O361:Z361)</f>
        <v/>
      </c>
      <c r="AF361">
        <f>IFERROR(ROUND(1/SUMPRODUCT(MAX((C360:N360&gt;0)*($C$3:$N$3&lt;=B361)*($C$2:$N$2&gt;AA361)/$C$2:$N$2)),0),0)</f>
        <v/>
      </c>
      <c r="AG361">
        <f>MAX(0,AC361-MAX(0,SUMPRODUCT(($C$2:$N$2=AA361)*(AH361:AS361-$C$7:$N$7))))</f>
        <v/>
      </c>
      <c r="AH361">
        <f>IF(C360&lt;=0,0,ROUND(C360*(1+IF(AND(C$6&gt;0,$B361&lt;C$6),C$4,C$5)/12),2))</f>
        <v/>
      </c>
      <c r="AI361">
        <f>IF(D360&lt;=0,0,ROUND(D360*(1+IF(AND(D$6&gt;0,$B361&lt;D$6),D$4,D$5)/12),2))</f>
        <v/>
      </c>
      <c r="AJ361">
        <f>IF(E360&lt;=0,0,ROUND(E360*(1+IF(AND(E$6&gt;0,$B361&lt;E$6),E$4,E$5)/12),2))</f>
        <v/>
      </c>
      <c r="AK361">
        <f>IF(F360&lt;=0,0,ROUND(F360*(1+IF(AND(F$6&gt;0,$B361&lt;F$6),F$4,F$5)/12),2))</f>
        <v/>
      </c>
      <c r="AL361">
        <f>IF(G360&lt;=0,0,ROUND(G360*(1+IF(AND(G$6&gt;0,$B361&lt;G$6),G$4,G$5)/12),2))</f>
        <v/>
      </c>
      <c r="AM361">
        <f>IF(H360&lt;=0,0,ROUND(H360*(1+IF(AND(H$6&gt;0,$B361&lt;H$6),H$4,H$5)/12),2))</f>
        <v/>
      </c>
      <c r="AN361">
        <f>IF(I360&lt;=0,0,ROUND(I360*(1+IF(AND(I$6&gt;0,$B361&lt;I$6),I$4,I$5)/12),2))</f>
        <v/>
      </c>
      <c r="AO361">
        <f>IF(J360&lt;=0,0,ROUND(J360*(1+IF(AND(J$6&gt;0,$B361&lt;J$6),J$4,J$5)/12),2))</f>
        <v/>
      </c>
      <c r="AP361">
        <f>IF(K360&lt;=0,0,ROUND(K360*(1+IF(AND(K$6&gt;0,$B361&lt;K$6),K$4,K$5)/12),2))</f>
        <v/>
      </c>
      <c r="AQ361">
        <f>IF(L360&lt;=0,0,ROUND(L360*(1+IF(AND(L$6&gt;0,$B361&lt;L$6),L$4,L$5)/12),2))</f>
        <v/>
      </c>
      <c r="AR361">
        <f>IF(M360&lt;=0,0,ROUND(M360*(1+IF(AND(M$6&gt;0,$B361&lt;M$6),M$4,M$5)/12),2))</f>
        <v/>
      </c>
      <c r="AS361">
        <f>IF(N360&lt;=0,0,ROUND(N360*(1+IF(AND(N$6&gt;0,$B361&lt;N$6),N$4,N$5)/12),2))</f>
        <v/>
      </c>
    </row>
    <row r="362">
      <c r="A362" t="n">
        <v>351</v>
      </c>
      <c r="B362">
        <f>EDATE(Plan!$C$6,350)</f>
        <v/>
      </c>
      <c r="C362">
        <f>IF(C361&lt;=0,0,MAX(0,AH362-O362))</f>
        <v/>
      </c>
      <c r="D362">
        <f>IF(D361&lt;=0,0,MAX(0,AI362-P362))</f>
        <v/>
      </c>
      <c r="E362">
        <f>IF(E361&lt;=0,0,MAX(0,AJ362-Q362))</f>
        <v/>
      </c>
      <c r="F362">
        <f>IF(F361&lt;=0,0,MAX(0,AK362-R362))</f>
        <v/>
      </c>
      <c r="G362">
        <f>IF(G361&lt;=0,0,MAX(0,AL362-S362))</f>
        <v/>
      </c>
      <c r="H362">
        <f>IF(H361&lt;=0,0,MAX(0,AM362-T362))</f>
        <v/>
      </c>
      <c r="I362">
        <f>IF(I361&lt;=0,0,MAX(0,AN362-U362))</f>
        <v/>
      </c>
      <c r="J362">
        <f>IF(J361&lt;=0,0,MAX(0,AO362-V362))</f>
        <v/>
      </c>
      <c r="K362">
        <f>IF(K361&lt;=0,0,MAX(0,AP362-W362))</f>
        <v/>
      </c>
      <c r="L362">
        <f>IF(L361&lt;=0,0,MAX(0,AQ362-X362))</f>
        <v/>
      </c>
      <c r="M362">
        <f>IF(M361&lt;=0,0,MAX(0,AR362-Y362))</f>
        <v/>
      </c>
      <c r="N362">
        <f>IF(N361&lt;=0,0,MAX(0,AS362-Z362))</f>
        <v/>
      </c>
      <c r="O362">
        <f>IF(C361&lt;=0,0,MIN(AH362,C$7+IF(C$2=$AA362,$AC362,IF(C$2=$AF362,$AG362,0))))</f>
        <v/>
      </c>
      <c r="P362">
        <f>IF(D361&lt;=0,0,MIN(AI362,D$7+IF(D$2=$AA362,$AC362,IF(D$2=$AF362,$AG362,0))))</f>
        <v/>
      </c>
      <c r="Q362">
        <f>IF(E361&lt;=0,0,MIN(AJ362,E$7+IF(E$2=$AA362,$AC362,IF(E$2=$AF362,$AG362,0))))</f>
        <v/>
      </c>
      <c r="R362">
        <f>IF(F361&lt;=0,0,MIN(AK362,F$7+IF(F$2=$AA362,$AC362,IF(F$2=$AF362,$AG362,0))))</f>
        <v/>
      </c>
      <c r="S362">
        <f>IF(G361&lt;=0,0,MIN(AL362,G$7+IF(G$2=$AA362,$AC362,IF(G$2=$AF362,$AG362,0))))</f>
        <v/>
      </c>
      <c r="T362">
        <f>IF(H361&lt;=0,0,MIN(AM362,H$7+IF(H$2=$AA362,$AC362,IF(H$2=$AF362,$AG362,0))))</f>
        <v/>
      </c>
      <c r="U362">
        <f>IF(I361&lt;=0,0,MIN(AN362,I$7+IF(I$2=$AA362,$AC362,IF(I$2=$AF362,$AG362,0))))</f>
        <v/>
      </c>
      <c r="V362">
        <f>IF(J361&lt;=0,0,MIN(AO362,J$7+IF(J$2=$AA362,$AC362,IF(J$2=$AF362,$AG362,0))))</f>
        <v/>
      </c>
      <c r="W362">
        <f>IF(K361&lt;=0,0,MIN(AP362,K$7+IF(K$2=$AA362,$AC362,IF(K$2=$AF362,$AG362,0))))</f>
        <v/>
      </c>
      <c r="X362">
        <f>IF(L361&lt;=0,0,MIN(AQ362,L$7+IF(L$2=$AA362,$AC362,IF(L$2=$AF362,$AG362,0))))</f>
        <v/>
      </c>
      <c r="Y362">
        <f>IF(M361&lt;=0,0,MIN(AR362,M$7+IF(M$2=$AA362,$AC362,IF(M$2=$AF362,$AG362,0))))</f>
        <v/>
      </c>
      <c r="Z362">
        <f>IF(N361&lt;=0,0,MIN(AS362,N$7+IF(N$2=$AA362,$AC362,IF(N$2=$AF362,$AG362,0))))</f>
        <v/>
      </c>
      <c r="AA362">
        <f>IFERROR(ROUND(1/SUMPRODUCT(MAX((C361:N361&gt;0)*($C$3:$N$3&lt;=B362)/$C$2:$N$2)),0),0)</f>
        <v/>
      </c>
      <c r="AB362">
        <f>SUMPRODUCT((C361:N361&gt;0)*$C$7:$N$7)</f>
        <v/>
      </c>
      <c r="AC362">
        <f>MAX(0,Plan!$C$5-AB362)+IF(A362=Plan!$C$8,N(Plan!$C$7),0)</f>
        <v/>
      </c>
      <c r="AD362">
        <f>SUM(C362:N362)</f>
        <v/>
      </c>
      <c r="AE362">
        <f>SUM(O362:Z362)</f>
        <v/>
      </c>
      <c r="AF362">
        <f>IFERROR(ROUND(1/SUMPRODUCT(MAX((C361:N361&gt;0)*($C$3:$N$3&lt;=B362)*($C$2:$N$2&gt;AA362)/$C$2:$N$2)),0),0)</f>
        <v/>
      </c>
      <c r="AG362">
        <f>MAX(0,AC362-MAX(0,SUMPRODUCT(($C$2:$N$2=AA362)*(AH362:AS362-$C$7:$N$7))))</f>
        <v/>
      </c>
      <c r="AH362">
        <f>IF(C361&lt;=0,0,ROUND(C361*(1+IF(AND(C$6&gt;0,$B362&lt;C$6),C$4,C$5)/12),2))</f>
        <v/>
      </c>
      <c r="AI362">
        <f>IF(D361&lt;=0,0,ROUND(D361*(1+IF(AND(D$6&gt;0,$B362&lt;D$6),D$4,D$5)/12),2))</f>
        <v/>
      </c>
      <c r="AJ362">
        <f>IF(E361&lt;=0,0,ROUND(E361*(1+IF(AND(E$6&gt;0,$B362&lt;E$6),E$4,E$5)/12),2))</f>
        <v/>
      </c>
      <c r="AK362">
        <f>IF(F361&lt;=0,0,ROUND(F361*(1+IF(AND(F$6&gt;0,$B362&lt;F$6),F$4,F$5)/12),2))</f>
        <v/>
      </c>
      <c r="AL362">
        <f>IF(G361&lt;=0,0,ROUND(G361*(1+IF(AND(G$6&gt;0,$B362&lt;G$6),G$4,G$5)/12),2))</f>
        <v/>
      </c>
      <c r="AM362">
        <f>IF(H361&lt;=0,0,ROUND(H361*(1+IF(AND(H$6&gt;0,$B362&lt;H$6),H$4,H$5)/12),2))</f>
        <v/>
      </c>
      <c r="AN362">
        <f>IF(I361&lt;=0,0,ROUND(I361*(1+IF(AND(I$6&gt;0,$B362&lt;I$6),I$4,I$5)/12),2))</f>
        <v/>
      </c>
      <c r="AO362">
        <f>IF(J361&lt;=0,0,ROUND(J361*(1+IF(AND(J$6&gt;0,$B362&lt;J$6),J$4,J$5)/12),2))</f>
        <v/>
      </c>
      <c r="AP362">
        <f>IF(K361&lt;=0,0,ROUND(K361*(1+IF(AND(K$6&gt;0,$B362&lt;K$6),K$4,K$5)/12),2))</f>
        <v/>
      </c>
      <c r="AQ362">
        <f>IF(L361&lt;=0,0,ROUND(L361*(1+IF(AND(L$6&gt;0,$B362&lt;L$6),L$4,L$5)/12),2))</f>
        <v/>
      </c>
      <c r="AR362">
        <f>IF(M361&lt;=0,0,ROUND(M361*(1+IF(AND(M$6&gt;0,$B362&lt;M$6),M$4,M$5)/12),2))</f>
        <v/>
      </c>
      <c r="AS362">
        <f>IF(N361&lt;=0,0,ROUND(N361*(1+IF(AND(N$6&gt;0,$B362&lt;N$6),N$4,N$5)/12),2))</f>
        <v/>
      </c>
    </row>
    <row r="363">
      <c r="A363" t="n">
        <v>352</v>
      </c>
      <c r="B363">
        <f>EDATE(Plan!$C$6,351)</f>
        <v/>
      </c>
      <c r="C363">
        <f>IF(C362&lt;=0,0,MAX(0,AH363-O363))</f>
        <v/>
      </c>
      <c r="D363">
        <f>IF(D362&lt;=0,0,MAX(0,AI363-P363))</f>
        <v/>
      </c>
      <c r="E363">
        <f>IF(E362&lt;=0,0,MAX(0,AJ363-Q363))</f>
        <v/>
      </c>
      <c r="F363">
        <f>IF(F362&lt;=0,0,MAX(0,AK363-R363))</f>
        <v/>
      </c>
      <c r="G363">
        <f>IF(G362&lt;=0,0,MAX(0,AL363-S363))</f>
        <v/>
      </c>
      <c r="H363">
        <f>IF(H362&lt;=0,0,MAX(0,AM363-T363))</f>
        <v/>
      </c>
      <c r="I363">
        <f>IF(I362&lt;=0,0,MAX(0,AN363-U363))</f>
        <v/>
      </c>
      <c r="J363">
        <f>IF(J362&lt;=0,0,MAX(0,AO363-V363))</f>
        <v/>
      </c>
      <c r="K363">
        <f>IF(K362&lt;=0,0,MAX(0,AP363-W363))</f>
        <v/>
      </c>
      <c r="L363">
        <f>IF(L362&lt;=0,0,MAX(0,AQ363-X363))</f>
        <v/>
      </c>
      <c r="M363">
        <f>IF(M362&lt;=0,0,MAX(0,AR363-Y363))</f>
        <v/>
      </c>
      <c r="N363">
        <f>IF(N362&lt;=0,0,MAX(0,AS363-Z363))</f>
        <v/>
      </c>
      <c r="O363">
        <f>IF(C362&lt;=0,0,MIN(AH363,C$7+IF(C$2=$AA363,$AC363,IF(C$2=$AF363,$AG363,0))))</f>
        <v/>
      </c>
      <c r="P363">
        <f>IF(D362&lt;=0,0,MIN(AI363,D$7+IF(D$2=$AA363,$AC363,IF(D$2=$AF363,$AG363,0))))</f>
        <v/>
      </c>
      <c r="Q363">
        <f>IF(E362&lt;=0,0,MIN(AJ363,E$7+IF(E$2=$AA363,$AC363,IF(E$2=$AF363,$AG363,0))))</f>
        <v/>
      </c>
      <c r="R363">
        <f>IF(F362&lt;=0,0,MIN(AK363,F$7+IF(F$2=$AA363,$AC363,IF(F$2=$AF363,$AG363,0))))</f>
        <v/>
      </c>
      <c r="S363">
        <f>IF(G362&lt;=0,0,MIN(AL363,G$7+IF(G$2=$AA363,$AC363,IF(G$2=$AF363,$AG363,0))))</f>
        <v/>
      </c>
      <c r="T363">
        <f>IF(H362&lt;=0,0,MIN(AM363,H$7+IF(H$2=$AA363,$AC363,IF(H$2=$AF363,$AG363,0))))</f>
        <v/>
      </c>
      <c r="U363">
        <f>IF(I362&lt;=0,0,MIN(AN363,I$7+IF(I$2=$AA363,$AC363,IF(I$2=$AF363,$AG363,0))))</f>
        <v/>
      </c>
      <c r="V363">
        <f>IF(J362&lt;=0,0,MIN(AO363,J$7+IF(J$2=$AA363,$AC363,IF(J$2=$AF363,$AG363,0))))</f>
        <v/>
      </c>
      <c r="W363">
        <f>IF(K362&lt;=0,0,MIN(AP363,K$7+IF(K$2=$AA363,$AC363,IF(K$2=$AF363,$AG363,0))))</f>
        <v/>
      </c>
      <c r="X363">
        <f>IF(L362&lt;=0,0,MIN(AQ363,L$7+IF(L$2=$AA363,$AC363,IF(L$2=$AF363,$AG363,0))))</f>
        <v/>
      </c>
      <c r="Y363">
        <f>IF(M362&lt;=0,0,MIN(AR363,M$7+IF(M$2=$AA363,$AC363,IF(M$2=$AF363,$AG363,0))))</f>
        <v/>
      </c>
      <c r="Z363">
        <f>IF(N362&lt;=0,0,MIN(AS363,N$7+IF(N$2=$AA363,$AC363,IF(N$2=$AF363,$AG363,0))))</f>
        <v/>
      </c>
      <c r="AA363">
        <f>IFERROR(ROUND(1/SUMPRODUCT(MAX((C362:N362&gt;0)*($C$3:$N$3&lt;=B363)/$C$2:$N$2)),0),0)</f>
        <v/>
      </c>
      <c r="AB363">
        <f>SUMPRODUCT((C362:N362&gt;0)*$C$7:$N$7)</f>
        <v/>
      </c>
      <c r="AC363">
        <f>MAX(0,Plan!$C$5-AB363)+IF(A363=Plan!$C$8,N(Plan!$C$7),0)</f>
        <v/>
      </c>
      <c r="AD363">
        <f>SUM(C363:N363)</f>
        <v/>
      </c>
      <c r="AE363">
        <f>SUM(O363:Z363)</f>
        <v/>
      </c>
      <c r="AF363">
        <f>IFERROR(ROUND(1/SUMPRODUCT(MAX((C362:N362&gt;0)*($C$3:$N$3&lt;=B363)*($C$2:$N$2&gt;AA363)/$C$2:$N$2)),0),0)</f>
        <v/>
      </c>
      <c r="AG363">
        <f>MAX(0,AC363-MAX(0,SUMPRODUCT(($C$2:$N$2=AA363)*(AH363:AS363-$C$7:$N$7))))</f>
        <v/>
      </c>
      <c r="AH363">
        <f>IF(C362&lt;=0,0,ROUND(C362*(1+IF(AND(C$6&gt;0,$B363&lt;C$6),C$4,C$5)/12),2))</f>
        <v/>
      </c>
      <c r="AI363">
        <f>IF(D362&lt;=0,0,ROUND(D362*(1+IF(AND(D$6&gt;0,$B363&lt;D$6),D$4,D$5)/12),2))</f>
        <v/>
      </c>
      <c r="AJ363">
        <f>IF(E362&lt;=0,0,ROUND(E362*(1+IF(AND(E$6&gt;0,$B363&lt;E$6),E$4,E$5)/12),2))</f>
        <v/>
      </c>
      <c r="AK363">
        <f>IF(F362&lt;=0,0,ROUND(F362*(1+IF(AND(F$6&gt;0,$B363&lt;F$6),F$4,F$5)/12),2))</f>
        <v/>
      </c>
      <c r="AL363">
        <f>IF(G362&lt;=0,0,ROUND(G362*(1+IF(AND(G$6&gt;0,$B363&lt;G$6),G$4,G$5)/12),2))</f>
        <v/>
      </c>
      <c r="AM363">
        <f>IF(H362&lt;=0,0,ROUND(H362*(1+IF(AND(H$6&gt;0,$B363&lt;H$6),H$4,H$5)/12),2))</f>
        <v/>
      </c>
      <c r="AN363">
        <f>IF(I362&lt;=0,0,ROUND(I362*(1+IF(AND(I$6&gt;0,$B363&lt;I$6),I$4,I$5)/12),2))</f>
        <v/>
      </c>
      <c r="AO363">
        <f>IF(J362&lt;=0,0,ROUND(J362*(1+IF(AND(J$6&gt;0,$B363&lt;J$6),J$4,J$5)/12),2))</f>
        <v/>
      </c>
      <c r="AP363">
        <f>IF(K362&lt;=0,0,ROUND(K362*(1+IF(AND(K$6&gt;0,$B363&lt;K$6),K$4,K$5)/12),2))</f>
        <v/>
      </c>
      <c r="AQ363">
        <f>IF(L362&lt;=0,0,ROUND(L362*(1+IF(AND(L$6&gt;0,$B363&lt;L$6),L$4,L$5)/12),2))</f>
        <v/>
      </c>
      <c r="AR363">
        <f>IF(M362&lt;=0,0,ROUND(M362*(1+IF(AND(M$6&gt;0,$B363&lt;M$6),M$4,M$5)/12),2))</f>
        <v/>
      </c>
      <c r="AS363">
        <f>IF(N362&lt;=0,0,ROUND(N362*(1+IF(AND(N$6&gt;0,$B363&lt;N$6),N$4,N$5)/12),2))</f>
        <v/>
      </c>
    </row>
    <row r="364">
      <c r="A364" t="n">
        <v>353</v>
      </c>
      <c r="B364">
        <f>EDATE(Plan!$C$6,352)</f>
        <v/>
      </c>
      <c r="C364">
        <f>IF(C363&lt;=0,0,MAX(0,AH364-O364))</f>
        <v/>
      </c>
      <c r="D364">
        <f>IF(D363&lt;=0,0,MAX(0,AI364-P364))</f>
        <v/>
      </c>
      <c r="E364">
        <f>IF(E363&lt;=0,0,MAX(0,AJ364-Q364))</f>
        <v/>
      </c>
      <c r="F364">
        <f>IF(F363&lt;=0,0,MAX(0,AK364-R364))</f>
        <v/>
      </c>
      <c r="G364">
        <f>IF(G363&lt;=0,0,MAX(0,AL364-S364))</f>
        <v/>
      </c>
      <c r="H364">
        <f>IF(H363&lt;=0,0,MAX(0,AM364-T364))</f>
        <v/>
      </c>
      <c r="I364">
        <f>IF(I363&lt;=0,0,MAX(0,AN364-U364))</f>
        <v/>
      </c>
      <c r="J364">
        <f>IF(J363&lt;=0,0,MAX(0,AO364-V364))</f>
        <v/>
      </c>
      <c r="K364">
        <f>IF(K363&lt;=0,0,MAX(0,AP364-W364))</f>
        <v/>
      </c>
      <c r="L364">
        <f>IF(L363&lt;=0,0,MAX(0,AQ364-X364))</f>
        <v/>
      </c>
      <c r="M364">
        <f>IF(M363&lt;=0,0,MAX(0,AR364-Y364))</f>
        <v/>
      </c>
      <c r="N364">
        <f>IF(N363&lt;=0,0,MAX(0,AS364-Z364))</f>
        <v/>
      </c>
      <c r="O364">
        <f>IF(C363&lt;=0,0,MIN(AH364,C$7+IF(C$2=$AA364,$AC364,IF(C$2=$AF364,$AG364,0))))</f>
        <v/>
      </c>
      <c r="P364">
        <f>IF(D363&lt;=0,0,MIN(AI364,D$7+IF(D$2=$AA364,$AC364,IF(D$2=$AF364,$AG364,0))))</f>
        <v/>
      </c>
      <c r="Q364">
        <f>IF(E363&lt;=0,0,MIN(AJ364,E$7+IF(E$2=$AA364,$AC364,IF(E$2=$AF364,$AG364,0))))</f>
        <v/>
      </c>
      <c r="R364">
        <f>IF(F363&lt;=0,0,MIN(AK364,F$7+IF(F$2=$AA364,$AC364,IF(F$2=$AF364,$AG364,0))))</f>
        <v/>
      </c>
      <c r="S364">
        <f>IF(G363&lt;=0,0,MIN(AL364,G$7+IF(G$2=$AA364,$AC364,IF(G$2=$AF364,$AG364,0))))</f>
        <v/>
      </c>
      <c r="T364">
        <f>IF(H363&lt;=0,0,MIN(AM364,H$7+IF(H$2=$AA364,$AC364,IF(H$2=$AF364,$AG364,0))))</f>
        <v/>
      </c>
      <c r="U364">
        <f>IF(I363&lt;=0,0,MIN(AN364,I$7+IF(I$2=$AA364,$AC364,IF(I$2=$AF364,$AG364,0))))</f>
        <v/>
      </c>
      <c r="V364">
        <f>IF(J363&lt;=0,0,MIN(AO364,J$7+IF(J$2=$AA364,$AC364,IF(J$2=$AF364,$AG364,0))))</f>
        <v/>
      </c>
      <c r="W364">
        <f>IF(K363&lt;=0,0,MIN(AP364,K$7+IF(K$2=$AA364,$AC364,IF(K$2=$AF364,$AG364,0))))</f>
        <v/>
      </c>
      <c r="X364">
        <f>IF(L363&lt;=0,0,MIN(AQ364,L$7+IF(L$2=$AA364,$AC364,IF(L$2=$AF364,$AG364,0))))</f>
        <v/>
      </c>
      <c r="Y364">
        <f>IF(M363&lt;=0,0,MIN(AR364,M$7+IF(M$2=$AA364,$AC364,IF(M$2=$AF364,$AG364,0))))</f>
        <v/>
      </c>
      <c r="Z364">
        <f>IF(N363&lt;=0,0,MIN(AS364,N$7+IF(N$2=$AA364,$AC364,IF(N$2=$AF364,$AG364,0))))</f>
        <v/>
      </c>
      <c r="AA364">
        <f>IFERROR(ROUND(1/SUMPRODUCT(MAX((C363:N363&gt;0)*($C$3:$N$3&lt;=B364)/$C$2:$N$2)),0),0)</f>
        <v/>
      </c>
      <c r="AB364">
        <f>SUMPRODUCT((C363:N363&gt;0)*$C$7:$N$7)</f>
        <v/>
      </c>
      <c r="AC364">
        <f>MAX(0,Plan!$C$5-AB364)+IF(A364=Plan!$C$8,N(Plan!$C$7),0)</f>
        <v/>
      </c>
      <c r="AD364">
        <f>SUM(C364:N364)</f>
        <v/>
      </c>
      <c r="AE364">
        <f>SUM(O364:Z364)</f>
        <v/>
      </c>
      <c r="AF364">
        <f>IFERROR(ROUND(1/SUMPRODUCT(MAX((C363:N363&gt;0)*($C$3:$N$3&lt;=B364)*($C$2:$N$2&gt;AA364)/$C$2:$N$2)),0),0)</f>
        <v/>
      </c>
      <c r="AG364">
        <f>MAX(0,AC364-MAX(0,SUMPRODUCT(($C$2:$N$2=AA364)*(AH364:AS364-$C$7:$N$7))))</f>
        <v/>
      </c>
      <c r="AH364">
        <f>IF(C363&lt;=0,0,ROUND(C363*(1+IF(AND(C$6&gt;0,$B364&lt;C$6),C$4,C$5)/12),2))</f>
        <v/>
      </c>
      <c r="AI364">
        <f>IF(D363&lt;=0,0,ROUND(D363*(1+IF(AND(D$6&gt;0,$B364&lt;D$6),D$4,D$5)/12),2))</f>
        <v/>
      </c>
      <c r="AJ364">
        <f>IF(E363&lt;=0,0,ROUND(E363*(1+IF(AND(E$6&gt;0,$B364&lt;E$6),E$4,E$5)/12),2))</f>
        <v/>
      </c>
      <c r="AK364">
        <f>IF(F363&lt;=0,0,ROUND(F363*(1+IF(AND(F$6&gt;0,$B364&lt;F$6),F$4,F$5)/12),2))</f>
        <v/>
      </c>
      <c r="AL364">
        <f>IF(G363&lt;=0,0,ROUND(G363*(1+IF(AND(G$6&gt;0,$B364&lt;G$6),G$4,G$5)/12),2))</f>
        <v/>
      </c>
      <c r="AM364">
        <f>IF(H363&lt;=0,0,ROUND(H363*(1+IF(AND(H$6&gt;0,$B364&lt;H$6),H$4,H$5)/12),2))</f>
        <v/>
      </c>
      <c r="AN364">
        <f>IF(I363&lt;=0,0,ROUND(I363*(1+IF(AND(I$6&gt;0,$B364&lt;I$6),I$4,I$5)/12),2))</f>
        <v/>
      </c>
      <c r="AO364">
        <f>IF(J363&lt;=0,0,ROUND(J363*(1+IF(AND(J$6&gt;0,$B364&lt;J$6),J$4,J$5)/12),2))</f>
        <v/>
      </c>
      <c r="AP364">
        <f>IF(K363&lt;=0,0,ROUND(K363*(1+IF(AND(K$6&gt;0,$B364&lt;K$6),K$4,K$5)/12),2))</f>
        <v/>
      </c>
      <c r="AQ364">
        <f>IF(L363&lt;=0,0,ROUND(L363*(1+IF(AND(L$6&gt;0,$B364&lt;L$6),L$4,L$5)/12),2))</f>
        <v/>
      </c>
      <c r="AR364">
        <f>IF(M363&lt;=0,0,ROUND(M363*(1+IF(AND(M$6&gt;0,$B364&lt;M$6),M$4,M$5)/12),2))</f>
        <v/>
      </c>
      <c r="AS364">
        <f>IF(N363&lt;=0,0,ROUND(N363*(1+IF(AND(N$6&gt;0,$B364&lt;N$6),N$4,N$5)/12),2))</f>
        <v/>
      </c>
    </row>
    <row r="365">
      <c r="A365" t="n">
        <v>354</v>
      </c>
      <c r="B365">
        <f>EDATE(Plan!$C$6,353)</f>
        <v/>
      </c>
      <c r="C365">
        <f>IF(C364&lt;=0,0,MAX(0,AH365-O365))</f>
        <v/>
      </c>
      <c r="D365">
        <f>IF(D364&lt;=0,0,MAX(0,AI365-P365))</f>
        <v/>
      </c>
      <c r="E365">
        <f>IF(E364&lt;=0,0,MAX(0,AJ365-Q365))</f>
        <v/>
      </c>
      <c r="F365">
        <f>IF(F364&lt;=0,0,MAX(0,AK365-R365))</f>
        <v/>
      </c>
      <c r="G365">
        <f>IF(G364&lt;=0,0,MAX(0,AL365-S365))</f>
        <v/>
      </c>
      <c r="H365">
        <f>IF(H364&lt;=0,0,MAX(0,AM365-T365))</f>
        <v/>
      </c>
      <c r="I365">
        <f>IF(I364&lt;=0,0,MAX(0,AN365-U365))</f>
        <v/>
      </c>
      <c r="J365">
        <f>IF(J364&lt;=0,0,MAX(0,AO365-V365))</f>
        <v/>
      </c>
      <c r="K365">
        <f>IF(K364&lt;=0,0,MAX(0,AP365-W365))</f>
        <v/>
      </c>
      <c r="L365">
        <f>IF(L364&lt;=0,0,MAX(0,AQ365-X365))</f>
        <v/>
      </c>
      <c r="M365">
        <f>IF(M364&lt;=0,0,MAX(0,AR365-Y365))</f>
        <v/>
      </c>
      <c r="N365">
        <f>IF(N364&lt;=0,0,MAX(0,AS365-Z365))</f>
        <v/>
      </c>
      <c r="O365">
        <f>IF(C364&lt;=0,0,MIN(AH365,C$7+IF(C$2=$AA365,$AC365,IF(C$2=$AF365,$AG365,0))))</f>
        <v/>
      </c>
      <c r="P365">
        <f>IF(D364&lt;=0,0,MIN(AI365,D$7+IF(D$2=$AA365,$AC365,IF(D$2=$AF365,$AG365,0))))</f>
        <v/>
      </c>
      <c r="Q365">
        <f>IF(E364&lt;=0,0,MIN(AJ365,E$7+IF(E$2=$AA365,$AC365,IF(E$2=$AF365,$AG365,0))))</f>
        <v/>
      </c>
      <c r="R365">
        <f>IF(F364&lt;=0,0,MIN(AK365,F$7+IF(F$2=$AA365,$AC365,IF(F$2=$AF365,$AG365,0))))</f>
        <v/>
      </c>
      <c r="S365">
        <f>IF(G364&lt;=0,0,MIN(AL365,G$7+IF(G$2=$AA365,$AC365,IF(G$2=$AF365,$AG365,0))))</f>
        <v/>
      </c>
      <c r="T365">
        <f>IF(H364&lt;=0,0,MIN(AM365,H$7+IF(H$2=$AA365,$AC365,IF(H$2=$AF365,$AG365,0))))</f>
        <v/>
      </c>
      <c r="U365">
        <f>IF(I364&lt;=0,0,MIN(AN365,I$7+IF(I$2=$AA365,$AC365,IF(I$2=$AF365,$AG365,0))))</f>
        <v/>
      </c>
      <c r="V365">
        <f>IF(J364&lt;=0,0,MIN(AO365,J$7+IF(J$2=$AA365,$AC365,IF(J$2=$AF365,$AG365,0))))</f>
        <v/>
      </c>
      <c r="W365">
        <f>IF(K364&lt;=0,0,MIN(AP365,K$7+IF(K$2=$AA365,$AC365,IF(K$2=$AF365,$AG365,0))))</f>
        <v/>
      </c>
      <c r="X365">
        <f>IF(L364&lt;=0,0,MIN(AQ365,L$7+IF(L$2=$AA365,$AC365,IF(L$2=$AF365,$AG365,0))))</f>
        <v/>
      </c>
      <c r="Y365">
        <f>IF(M364&lt;=0,0,MIN(AR365,M$7+IF(M$2=$AA365,$AC365,IF(M$2=$AF365,$AG365,0))))</f>
        <v/>
      </c>
      <c r="Z365">
        <f>IF(N364&lt;=0,0,MIN(AS365,N$7+IF(N$2=$AA365,$AC365,IF(N$2=$AF365,$AG365,0))))</f>
        <v/>
      </c>
      <c r="AA365">
        <f>IFERROR(ROUND(1/SUMPRODUCT(MAX((C364:N364&gt;0)*($C$3:$N$3&lt;=B365)/$C$2:$N$2)),0),0)</f>
        <v/>
      </c>
      <c r="AB365">
        <f>SUMPRODUCT((C364:N364&gt;0)*$C$7:$N$7)</f>
        <v/>
      </c>
      <c r="AC365">
        <f>MAX(0,Plan!$C$5-AB365)+IF(A365=Plan!$C$8,N(Plan!$C$7),0)</f>
        <v/>
      </c>
      <c r="AD365">
        <f>SUM(C365:N365)</f>
        <v/>
      </c>
      <c r="AE365">
        <f>SUM(O365:Z365)</f>
        <v/>
      </c>
      <c r="AF365">
        <f>IFERROR(ROUND(1/SUMPRODUCT(MAX((C364:N364&gt;0)*($C$3:$N$3&lt;=B365)*($C$2:$N$2&gt;AA365)/$C$2:$N$2)),0),0)</f>
        <v/>
      </c>
      <c r="AG365">
        <f>MAX(0,AC365-MAX(0,SUMPRODUCT(($C$2:$N$2=AA365)*(AH365:AS365-$C$7:$N$7))))</f>
        <v/>
      </c>
      <c r="AH365">
        <f>IF(C364&lt;=0,0,ROUND(C364*(1+IF(AND(C$6&gt;0,$B365&lt;C$6),C$4,C$5)/12),2))</f>
        <v/>
      </c>
      <c r="AI365">
        <f>IF(D364&lt;=0,0,ROUND(D364*(1+IF(AND(D$6&gt;0,$B365&lt;D$6),D$4,D$5)/12),2))</f>
        <v/>
      </c>
      <c r="AJ365">
        <f>IF(E364&lt;=0,0,ROUND(E364*(1+IF(AND(E$6&gt;0,$B365&lt;E$6),E$4,E$5)/12),2))</f>
        <v/>
      </c>
      <c r="AK365">
        <f>IF(F364&lt;=0,0,ROUND(F364*(1+IF(AND(F$6&gt;0,$B365&lt;F$6),F$4,F$5)/12),2))</f>
        <v/>
      </c>
      <c r="AL365">
        <f>IF(G364&lt;=0,0,ROUND(G364*(1+IF(AND(G$6&gt;0,$B365&lt;G$6),G$4,G$5)/12),2))</f>
        <v/>
      </c>
      <c r="AM365">
        <f>IF(H364&lt;=0,0,ROUND(H364*(1+IF(AND(H$6&gt;0,$B365&lt;H$6),H$4,H$5)/12),2))</f>
        <v/>
      </c>
      <c r="AN365">
        <f>IF(I364&lt;=0,0,ROUND(I364*(1+IF(AND(I$6&gt;0,$B365&lt;I$6),I$4,I$5)/12),2))</f>
        <v/>
      </c>
      <c r="AO365">
        <f>IF(J364&lt;=0,0,ROUND(J364*(1+IF(AND(J$6&gt;0,$B365&lt;J$6),J$4,J$5)/12),2))</f>
        <v/>
      </c>
      <c r="AP365">
        <f>IF(K364&lt;=0,0,ROUND(K364*(1+IF(AND(K$6&gt;0,$B365&lt;K$6),K$4,K$5)/12),2))</f>
        <v/>
      </c>
      <c r="AQ365">
        <f>IF(L364&lt;=0,0,ROUND(L364*(1+IF(AND(L$6&gt;0,$B365&lt;L$6),L$4,L$5)/12),2))</f>
        <v/>
      </c>
      <c r="AR365">
        <f>IF(M364&lt;=0,0,ROUND(M364*(1+IF(AND(M$6&gt;0,$B365&lt;M$6),M$4,M$5)/12),2))</f>
        <v/>
      </c>
      <c r="AS365">
        <f>IF(N364&lt;=0,0,ROUND(N364*(1+IF(AND(N$6&gt;0,$B365&lt;N$6),N$4,N$5)/12),2))</f>
        <v/>
      </c>
    </row>
    <row r="366">
      <c r="A366" t="n">
        <v>355</v>
      </c>
      <c r="B366">
        <f>EDATE(Plan!$C$6,354)</f>
        <v/>
      </c>
      <c r="C366">
        <f>IF(C365&lt;=0,0,MAX(0,AH366-O366))</f>
        <v/>
      </c>
      <c r="D366">
        <f>IF(D365&lt;=0,0,MAX(0,AI366-P366))</f>
        <v/>
      </c>
      <c r="E366">
        <f>IF(E365&lt;=0,0,MAX(0,AJ366-Q366))</f>
        <v/>
      </c>
      <c r="F366">
        <f>IF(F365&lt;=0,0,MAX(0,AK366-R366))</f>
        <v/>
      </c>
      <c r="G366">
        <f>IF(G365&lt;=0,0,MAX(0,AL366-S366))</f>
        <v/>
      </c>
      <c r="H366">
        <f>IF(H365&lt;=0,0,MAX(0,AM366-T366))</f>
        <v/>
      </c>
      <c r="I366">
        <f>IF(I365&lt;=0,0,MAX(0,AN366-U366))</f>
        <v/>
      </c>
      <c r="J366">
        <f>IF(J365&lt;=0,0,MAX(0,AO366-V366))</f>
        <v/>
      </c>
      <c r="K366">
        <f>IF(K365&lt;=0,0,MAX(0,AP366-W366))</f>
        <v/>
      </c>
      <c r="L366">
        <f>IF(L365&lt;=0,0,MAX(0,AQ366-X366))</f>
        <v/>
      </c>
      <c r="M366">
        <f>IF(M365&lt;=0,0,MAX(0,AR366-Y366))</f>
        <v/>
      </c>
      <c r="N366">
        <f>IF(N365&lt;=0,0,MAX(0,AS366-Z366))</f>
        <v/>
      </c>
      <c r="O366">
        <f>IF(C365&lt;=0,0,MIN(AH366,C$7+IF(C$2=$AA366,$AC366,IF(C$2=$AF366,$AG366,0))))</f>
        <v/>
      </c>
      <c r="P366">
        <f>IF(D365&lt;=0,0,MIN(AI366,D$7+IF(D$2=$AA366,$AC366,IF(D$2=$AF366,$AG366,0))))</f>
        <v/>
      </c>
      <c r="Q366">
        <f>IF(E365&lt;=0,0,MIN(AJ366,E$7+IF(E$2=$AA366,$AC366,IF(E$2=$AF366,$AG366,0))))</f>
        <v/>
      </c>
      <c r="R366">
        <f>IF(F365&lt;=0,0,MIN(AK366,F$7+IF(F$2=$AA366,$AC366,IF(F$2=$AF366,$AG366,0))))</f>
        <v/>
      </c>
      <c r="S366">
        <f>IF(G365&lt;=0,0,MIN(AL366,G$7+IF(G$2=$AA366,$AC366,IF(G$2=$AF366,$AG366,0))))</f>
        <v/>
      </c>
      <c r="T366">
        <f>IF(H365&lt;=0,0,MIN(AM366,H$7+IF(H$2=$AA366,$AC366,IF(H$2=$AF366,$AG366,0))))</f>
        <v/>
      </c>
      <c r="U366">
        <f>IF(I365&lt;=0,0,MIN(AN366,I$7+IF(I$2=$AA366,$AC366,IF(I$2=$AF366,$AG366,0))))</f>
        <v/>
      </c>
      <c r="V366">
        <f>IF(J365&lt;=0,0,MIN(AO366,J$7+IF(J$2=$AA366,$AC366,IF(J$2=$AF366,$AG366,0))))</f>
        <v/>
      </c>
      <c r="W366">
        <f>IF(K365&lt;=0,0,MIN(AP366,K$7+IF(K$2=$AA366,$AC366,IF(K$2=$AF366,$AG366,0))))</f>
        <v/>
      </c>
      <c r="X366">
        <f>IF(L365&lt;=0,0,MIN(AQ366,L$7+IF(L$2=$AA366,$AC366,IF(L$2=$AF366,$AG366,0))))</f>
        <v/>
      </c>
      <c r="Y366">
        <f>IF(M365&lt;=0,0,MIN(AR366,M$7+IF(M$2=$AA366,$AC366,IF(M$2=$AF366,$AG366,0))))</f>
        <v/>
      </c>
      <c r="Z366">
        <f>IF(N365&lt;=0,0,MIN(AS366,N$7+IF(N$2=$AA366,$AC366,IF(N$2=$AF366,$AG366,0))))</f>
        <v/>
      </c>
      <c r="AA366">
        <f>IFERROR(ROUND(1/SUMPRODUCT(MAX((C365:N365&gt;0)*($C$3:$N$3&lt;=B366)/$C$2:$N$2)),0),0)</f>
        <v/>
      </c>
      <c r="AB366">
        <f>SUMPRODUCT((C365:N365&gt;0)*$C$7:$N$7)</f>
        <v/>
      </c>
      <c r="AC366">
        <f>MAX(0,Plan!$C$5-AB366)+IF(A366=Plan!$C$8,N(Plan!$C$7),0)</f>
        <v/>
      </c>
      <c r="AD366">
        <f>SUM(C366:N366)</f>
        <v/>
      </c>
      <c r="AE366">
        <f>SUM(O366:Z366)</f>
        <v/>
      </c>
      <c r="AF366">
        <f>IFERROR(ROUND(1/SUMPRODUCT(MAX((C365:N365&gt;0)*($C$3:$N$3&lt;=B366)*($C$2:$N$2&gt;AA366)/$C$2:$N$2)),0),0)</f>
        <v/>
      </c>
      <c r="AG366">
        <f>MAX(0,AC366-MAX(0,SUMPRODUCT(($C$2:$N$2=AA366)*(AH366:AS366-$C$7:$N$7))))</f>
        <v/>
      </c>
      <c r="AH366">
        <f>IF(C365&lt;=0,0,ROUND(C365*(1+IF(AND(C$6&gt;0,$B366&lt;C$6),C$4,C$5)/12),2))</f>
        <v/>
      </c>
      <c r="AI366">
        <f>IF(D365&lt;=0,0,ROUND(D365*(1+IF(AND(D$6&gt;0,$B366&lt;D$6),D$4,D$5)/12),2))</f>
        <v/>
      </c>
      <c r="AJ366">
        <f>IF(E365&lt;=0,0,ROUND(E365*(1+IF(AND(E$6&gt;0,$B366&lt;E$6),E$4,E$5)/12),2))</f>
        <v/>
      </c>
      <c r="AK366">
        <f>IF(F365&lt;=0,0,ROUND(F365*(1+IF(AND(F$6&gt;0,$B366&lt;F$6),F$4,F$5)/12),2))</f>
        <v/>
      </c>
      <c r="AL366">
        <f>IF(G365&lt;=0,0,ROUND(G365*(1+IF(AND(G$6&gt;0,$B366&lt;G$6),G$4,G$5)/12),2))</f>
        <v/>
      </c>
      <c r="AM366">
        <f>IF(H365&lt;=0,0,ROUND(H365*(1+IF(AND(H$6&gt;0,$B366&lt;H$6),H$4,H$5)/12),2))</f>
        <v/>
      </c>
      <c r="AN366">
        <f>IF(I365&lt;=0,0,ROUND(I365*(1+IF(AND(I$6&gt;0,$B366&lt;I$6),I$4,I$5)/12),2))</f>
        <v/>
      </c>
      <c r="AO366">
        <f>IF(J365&lt;=0,0,ROUND(J365*(1+IF(AND(J$6&gt;0,$B366&lt;J$6),J$4,J$5)/12),2))</f>
        <v/>
      </c>
      <c r="AP366">
        <f>IF(K365&lt;=0,0,ROUND(K365*(1+IF(AND(K$6&gt;0,$B366&lt;K$6),K$4,K$5)/12),2))</f>
        <v/>
      </c>
      <c r="AQ366">
        <f>IF(L365&lt;=0,0,ROUND(L365*(1+IF(AND(L$6&gt;0,$B366&lt;L$6),L$4,L$5)/12),2))</f>
        <v/>
      </c>
      <c r="AR366">
        <f>IF(M365&lt;=0,0,ROUND(M365*(1+IF(AND(M$6&gt;0,$B366&lt;M$6),M$4,M$5)/12),2))</f>
        <v/>
      </c>
      <c r="AS366">
        <f>IF(N365&lt;=0,0,ROUND(N365*(1+IF(AND(N$6&gt;0,$B366&lt;N$6),N$4,N$5)/12),2))</f>
        <v/>
      </c>
    </row>
    <row r="367">
      <c r="A367" t="n">
        <v>356</v>
      </c>
      <c r="B367">
        <f>EDATE(Plan!$C$6,355)</f>
        <v/>
      </c>
      <c r="C367">
        <f>IF(C366&lt;=0,0,MAX(0,AH367-O367))</f>
        <v/>
      </c>
      <c r="D367">
        <f>IF(D366&lt;=0,0,MAX(0,AI367-P367))</f>
        <v/>
      </c>
      <c r="E367">
        <f>IF(E366&lt;=0,0,MAX(0,AJ367-Q367))</f>
        <v/>
      </c>
      <c r="F367">
        <f>IF(F366&lt;=0,0,MAX(0,AK367-R367))</f>
        <v/>
      </c>
      <c r="G367">
        <f>IF(G366&lt;=0,0,MAX(0,AL367-S367))</f>
        <v/>
      </c>
      <c r="H367">
        <f>IF(H366&lt;=0,0,MAX(0,AM367-T367))</f>
        <v/>
      </c>
      <c r="I367">
        <f>IF(I366&lt;=0,0,MAX(0,AN367-U367))</f>
        <v/>
      </c>
      <c r="J367">
        <f>IF(J366&lt;=0,0,MAX(0,AO367-V367))</f>
        <v/>
      </c>
      <c r="K367">
        <f>IF(K366&lt;=0,0,MAX(0,AP367-W367))</f>
        <v/>
      </c>
      <c r="L367">
        <f>IF(L366&lt;=0,0,MAX(0,AQ367-X367))</f>
        <v/>
      </c>
      <c r="M367">
        <f>IF(M366&lt;=0,0,MAX(0,AR367-Y367))</f>
        <v/>
      </c>
      <c r="N367">
        <f>IF(N366&lt;=0,0,MAX(0,AS367-Z367))</f>
        <v/>
      </c>
      <c r="O367">
        <f>IF(C366&lt;=0,0,MIN(AH367,C$7+IF(C$2=$AA367,$AC367,IF(C$2=$AF367,$AG367,0))))</f>
        <v/>
      </c>
      <c r="P367">
        <f>IF(D366&lt;=0,0,MIN(AI367,D$7+IF(D$2=$AA367,$AC367,IF(D$2=$AF367,$AG367,0))))</f>
        <v/>
      </c>
      <c r="Q367">
        <f>IF(E366&lt;=0,0,MIN(AJ367,E$7+IF(E$2=$AA367,$AC367,IF(E$2=$AF367,$AG367,0))))</f>
        <v/>
      </c>
      <c r="R367">
        <f>IF(F366&lt;=0,0,MIN(AK367,F$7+IF(F$2=$AA367,$AC367,IF(F$2=$AF367,$AG367,0))))</f>
        <v/>
      </c>
      <c r="S367">
        <f>IF(G366&lt;=0,0,MIN(AL367,G$7+IF(G$2=$AA367,$AC367,IF(G$2=$AF367,$AG367,0))))</f>
        <v/>
      </c>
      <c r="T367">
        <f>IF(H366&lt;=0,0,MIN(AM367,H$7+IF(H$2=$AA367,$AC367,IF(H$2=$AF367,$AG367,0))))</f>
        <v/>
      </c>
      <c r="U367">
        <f>IF(I366&lt;=0,0,MIN(AN367,I$7+IF(I$2=$AA367,$AC367,IF(I$2=$AF367,$AG367,0))))</f>
        <v/>
      </c>
      <c r="V367">
        <f>IF(J366&lt;=0,0,MIN(AO367,J$7+IF(J$2=$AA367,$AC367,IF(J$2=$AF367,$AG367,0))))</f>
        <v/>
      </c>
      <c r="W367">
        <f>IF(K366&lt;=0,0,MIN(AP367,K$7+IF(K$2=$AA367,$AC367,IF(K$2=$AF367,$AG367,0))))</f>
        <v/>
      </c>
      <c r="X367">
        <f>IF(L366&lt;=0,0,MIN(AQ367,L$7+IF(L$2=$AA367,$AC367,IF(L$2=$AF367,$AG367,0))))</f>
        <v/>
      </c>
      <c r="Y367">
        <f>IF(M366&lt;=0,0,MIN(AR367,M$7+IF(M$2=$AA367,$AC367,IF(M$2=$AF367,$AG367,0))))</f>
        <v/>
      </c>
      <c r="Z367">
        <f>IF(N366&lt;=0,0,MIN(AS367,N$7+IF(N$2=$AA367,$AC367,IF(N$2=$AF367,$AG367,0))))</f>
        <v/>
      </c>
      <c r="AA367">
        <f>IFERROR(ROUND(1/SUMPRODUCT(MAX((C366:N366&gt;0)*($C$3:$N$3&lt;=B367)/$C$2:$N$2)),0),0)</f>
        <v/>
      </c>
      <c r="AB367">
        <f>SUMPRODUCT((C366:N366&gt;0)*$C$7:$N$7)</f>
        <v/>
      </c>
      <c r="AC367">
        <f>MAX(0,Plan!$C$5-AB367)+IF(A367=Plan!$C$8,N(Plan!$C$7),0)</f>
        <v/>
      </c>
      <c r="AD367">
        <f>SUM(C367:N367)</f>
        <v/>
      </c>
      <c r="AE367">
        <f>SUM(O367:Z367)</f>
        <v/>
      </c>
      <c r="AF367">
        <f>IFERROR(ROUND(1/SUMPRODUCT(MAX((C366:N366&gt;0)*($C$3:$N$3&lt;=B367)*($C$2:$N$2&gt;AA367)/$C$2:$N$2)),0),0)</f>
        <v/>
      </c>
      <c r="AG367">
        <f>MAX(0,AC367-MAX(0,SUMPRODUCT(($C$2:$N$2=AA367)*(AH367:AS367-$C$7:$N$7))))</f>
        <v/>
      </c>
      <c r="AH367">
        <f>IF(C366&lt;=0,0,ROUND(C366*(1+IF(AND(C$6&gt;0,$B367&lt;C$6),C$4,C$5)/12),2))</f>
        <v/>
      </c>
      <c r="AI367">
        <f>IF(D366&lt;=0,0,ROUND(D366*(1+IF(AND(D$6&gt;0,$B367&lt;D$6),D$4,D$5)/12),2))</f>
        <v/>
      </c>
      <c r="AJ367">
        <f>IF(E366&lt;=0,0,ROUND(E366*(1+IF(AND(E$6&gt;0,$B367&lt;E$6),E$4,E$5)/12),2))</f>
        <v/>
      </c>
      <c r="AK367">
        <f>IF(F366&lt;=0,0,ROUND(F366*(1+IF(AND(F$6&gt;0,$B367&lt;F$6),F$4,F$5)/12),2))</f>
        <v/>
      </c>
      <c r="AL367">
        <f>IF(G366&lt;=0,0,ROUND(G366*(1+IF(AND(G$6&gt;0,$B367&lt;G$6),G$4,G$5)/12),2))</f>
        <v/>
      </c>
      <c r="AM367">
        <f>IF(H366&lt;=0,0,ROUND(H366*(1+IF(AND(H$6&gt;0,$B367&lt;H$6),H$4,H$5)/12),2))</f>
        <v/>
      </c>
      <c r="AN367">
        <f>IF(I366&lt;=0,0,ROUND(I366*(1+IF(AND(I$6&gt;0,$B367&lt;I$6),I$4,I$5)/12),2))</f>
        <v/>
      </c>
      <c r="AO367">
        <f>IF(J366&lt;=0,0,ROUND(J366*(1+IF(AND(J$6&gt;0,$B367&lt;J$6),J$4,J$5)/12),2))</f>
        <v/>
      </c>
      <c r="AP367">
        <f>IF(K366&lt;=0,0,ROUND(K366*(1+IF(AND(K$6&gt;0,$B367&lt;K$6),K$4,K$5)/12),2))</f>
        <v/>
      </c>
      <c r="AQ367">
        <f>IF(L366&lt;=0,0,ROUND(L366*(1+IF(AND(L$6&gt;0,$B367&lt;L$6),L$4,L$5)/12),2))</f>
        <v/>
      </c>
      <c r="AR367">
        <f>IF(M366&lt;=0,0,ROUND(M366*(1+IF(AND(M$6&gt;0,$B367&lt;M$6),M$4,M$5)/12),2))</f>
        <v/>
      </c>
      <c r="AS367">
        <f>IF(N366&lt;=0,0,ROUND(N366*(1+IF(AND(N$6&gt;0,$B367&lt;N$6),N$4,N$5)/12),2))</f>
        <v/>
      </c>
    </row>
    <row r="368">
      <c r="A368" t="n">
        <v>357</v>
      </c>
      <c r="B368">
        <f>EDATE(Plan!$C$6,356)</f>
        <v/>
      </c>
      <c r="C368">
        <f>IF(C367&lt;=0,0,MAX(0,AH368-O368))</f>
        <v/>
      </c>
      <c r="D368">
        <f>IF(D367&lt;=0,0,MAX(0,AI368-P368))</f>
        <v/>
      </c>
      <c r="E368">
        <f>IF(E367&lt;=0,0,MAX(0,AJ368-Q368))</f>
        <v/>
      </c>
      <c r="F368">
        <f>IF(F367&lt;=0,0,MAX(0,AK368-R368))</f>
        <v/>
      </c>
      <c r="G368">
        <f>IF(G367&lt;=0,0,MAX(0,AL368-S368))</f>
        <v/>
      </c>
      <c r="H368">
        <f>IF(H367&lt;=0,0,MAX(0,AM368-T368))</f>
        <v/>
      </c>
      <c r="I368">
        <f>IF(I367&lt;=0,0,MAX(0,AN368-U368))</f>
        <v/>
      </c>
      <c r="J368">
        <f>IF(J367&lt;=0,0,MAX(0,AO368-V368))</f>
        <v/>
      </c>
      <c r="K368">
        <f>IF(K367&lt;=0,0,MAX(0,AP368-W368))</f>
        <v/>
      </c>
      <c r="L368">
        <f>IF(L367&lt;=0,0,MAX(0,AQ368-X368))</f>
        <v/>
      </c>
      <c r="M368">
        <f>IF(M367&lt;=0,0,MAX(0,AR368-Y368))</f>
        <v/>
      </c>
      <c r="N368">
        <f>IF(N367&lt;=0,0,MAX(0,AS368-Z368))</f>
        <v/>
      </c>
      <c r="O368">
        <f>IF(C367&lt;=0,0,MIN(AH368,C$7+IF(C$2=$AA368,$AC368,IF(C$2=$AF368,$AG368,0))))</f>
        <v/>
      </c>
      <c r="P368">
        <f>IF(D367&lt;=0,0,MIN(AI368,D$7+IF(D$2=$AA368,$AC368,IF(D$2=$AF368,$AG368,0))))</f>
        <v/>
      </c>
      <c r="Q368">
        <f>IF(E367&lt;=0,0,MIN(AJ368,E$7+IF(E$2=$AA368,$AC368,IF(E$2=$AF368,$AG368,0))))</f>
        <v/>
      </c>
      <c r="R368">
        <f>IF(F367&lt;=0,0,MIN(AK368,F$7+IF(F$2=$AA368,$AC368,IF(F$2=$AF368,$AG368,0))))</f>
        <v/>
      </c>
      <c r="S368">
        <f>IF(G367&lt;=0,0,MIN(AL368,G$7+IF(G$2=$AA368,$AC368,IF(G$2=$AF368,$AG368,0))))</f>
        <v/>
      </c>
      <c r="T368">
        <f>IF(H367&lt;=0,0,MIN(AM368,H$7+IF(H$2=$AA368,$AC368,IF(H$2=$AF368,$AG368,0))))</f>
        <v/>
      </c>
      <c r="U368">
        <f>IF(I367&lt;=0,0,MIN(AN368,I$7+IF(I$2=$AA368,$AC368,IF(I$2=$AF368,$AG368,0))))</f>
        <v/>
      </c>
      <c r="V368">
        <f>IF(J367&lt;=0,0,MIN(AO368,J$7+IF(J$2=$AA368,$AC368,IF(J$2=$AF368,$AG368,0))))</f>
        <v/>
      </c>
      <c r="W368">
        <f>IF(K367&lt;=0,0,MIN(AP368,K$7+IF(K$2=$AA368,$AC368,IF(K$2=$AF368,$AG368,0))))</f>
        <v/>
      </c>
      <c r="X368">
        <f>IF(L367&lt;=0,0,MIN(AQ368,L$7+IF(L$2=$AA368,$AC368,IF(L$2=$AF368,$AG368,0))))</f>
        <v/>
      </c>
      <c r="Y368">
        <f>IF(M367&lt;=0,0,MIN(AR368,M$7+IF(M$2=$AA368,$AC368,IF(M$2=$AF368,$AG368,0))))</f>
        <v/>
      </c>
      <c r="Z368">
        <f>IF(N367&lt;=0,0,MIN(AS368,N$7+IF(N$2=$AA368,$AC368,IF(N$2=$AF368,$AG368,0))))</f>
        <v/>
      </c>
      <c r="AA368">
        <f>IFERROR(ROUND(1/SUMPRODUCT(MAX((C367:N367&gt;0)*($C$3:$N$3&lt;=B368)/$C$2:$N$2)),0),0)</f>
        <v/>
      </c>
      <c r="AB368">
        <f>SUMPRODUCT((C367:N367&gt;0)*$C$7:$N$7)</f>
        <v/>
      </c>
      <c r="AC368">
        <f>MAX(0,Plan!$C$5-AB368)+IF(A368=Plan!$C$8,N(Plan!$C$7),0)</f>
        <v/>
      </c>
      <c r="AD368">
        <f>SUM(C368:N368)</f>
        <v/>
      </c>
      <c r="AE368">
        <f>SUM(O368:Z368)</f>
        <v/>
      </c>
      <c r="AF368">
        <f>IFERROR(ROUND(1/SUMPRODUCT(MAX((C367:N367&gt;0)*($C$3:$N$3&lt;=B368)*($C$2:$N$2&gt;AA368)/$C$2:$N$2)),0),0)</f>
        <v/>
      </c>
      <c r="AG368">
        <f>MAX(0,AC368-MAX(0,SUMPRODUCT(($C$2:$N$2=AA368)*(AH368:AS368-$C$7:$N$7))))</f>
        <v/>
      </c>
      <c r="AH368">
        <f>IF(C367&lt;=0,0,ROUND(C367*(1+IF(AND(C$6&gt;0,$B368&lt;C$6),C$4,C$5)/12),2))</f>
        <v/>
      </c>
      <c r="AI368">
        <f>IF(D367&lt;=0,0,ROUND(D367*(1+IF(AND(D$6&gt;0,$B368&lt;D$6),D$4,D$5)/12),2))</f>
        <v/>
      </c>
      <c r="AJ368">
        <f>IF(E367&lt;=0,0,ROUND(E367*(1+IF(AND(E$6&gt;0,$B368&lt;E$6),E$4,E$5)/12),2))</f>
        <v/>
      </c>
      <c r="AK368">
        <f>IF(F367&lt;=0,0,ROUND(F367*(1+IF(AND(F$6&gt;0,$B368&lt;F$6),F$4,F$5)/12),2))</f>
        <v/>
      </c>
      <c r="AL368">
        <f>IF(G367&lt;=0,0,ROUND(G367*(1+IF(AND(G$6&gt;0,$B368&lt;G$6),G$4,G$5)/12),2))</f>
        <v/>
      </c>
      <c r="AM368">
        <f>IF(H367&lt;=0,0,ROUND(H367*(1+IF(AND(H$6&gt;0,$B368&lt;H$6),H$4,H$5)/12),2))</f>
        <v/>
      </c>
      <c r="AN368">
        <f>IF(I367&lt;=0,0,ROUND(I367*(1+IF(AND(I$6&gt;0,$B368&lt;I$6),I$4,I$5)/12),2))</f>
        <v/>
      </c>
      <c r="AO368">
        <f>IF(J367&lt;=0,0,ROUND(J367*(1+IF(AND(J$6&gt;0,$B368&lt;J$6),J$4,J$5)/12),2))</f>
        <v/>
      </c>
      <c r="AP368">
        <f>IF(K367&lt;=0,0,ROUND(K367*(1+IF(AND(K$6&gt;0,$B368&lt;K$6),K$4,K$5)/12),2))</f>
        <v/>
      </c>
      <c r="AQ368">
        <f>IF(L367&lt;=0,0,ROUND(L367*(1+IF(AND(L$6&gt;0,$B368&lt;L$6),L$4,L$5)/12),2))</f>
        <v/>
      </c>
      <c r="AR368">
        <f>IF(M367&lt;=0,0,ROUND(M367*(1+IF(AND(M$6&gt;0,$B368&lt;M$6),M$4,M$5)/12),2))</f>
        <v/>
      </c>
      <c r="AS368">
        <f>IF(N367&lt;=0,0,ROUND(N367*(1+IF(AND(N$6&gt;0,$B368&lt;N$6),N$4,N$5)/12),2))</f>
        <v/>
      </c>
    </row>
    <row r="369">
      <c r="A369" t="n">
        <v>358</v>
      </c>
      <c r="B369">
        <f>EDATE(Plan!$C$6,357)</f>
        <v/>
      </c>
      <c r="C369">
        <f>IF(C368&lt;=0,0,MAX(0,AH369-O369))</f>
        <v/>
      </c>
      <c r="D369">
        <f>IF(D368&lt;=0,0,MAX(0,AI369-P369))</f>
        <v/>
      </c>
      <c r="E369">
        <f>IF(E368&lt;=0,0,MAX(0,AJ369-Q369))</f>
        <v/>
      </c>
      <c r="F369">
        <f>IF(F368&lt;=0,0,MAX(0,AK369-R369))</f>
        <v/>
      </c>
      <c r="G369">
        <f>IF(G368&lt;=0,0,MAX(0,AL369-S369))</f>
        <v/>
      </c>
      <c r="H369">
        <f>IF(H368&lt;=0,0,MAX(0,AM369-T369))</f>
        <v/>
      </c>
      <c r="I369">
        <f>IF(I368&lt;=0,0,MAX(0,AN369-U369))</f>
        <v/>
      </c>
      <c r="J369">
        <f>IF(J368&lt;=0,0,MAX(0,AO369-V369))</f>
        <v/>
      </c>
      <c r="K369">
        <f>IF(K368&lt;=0,0,MAX(0,AP369-W369))</f>
        <v/>
      </c>
      <c r="L369">
        <f>IF(L368&lt;=0,0,MAX(0,AQ369-X369))</f>
        <v/>
      </c>
      <c r="M369">
        <f>IF(M368&lt;=0,0,MAX(0,AR369-Y369))</f>
        <v/>
      </c>
      <c r="N369">
        <f>IF(N368&lt;=0,0,MAX(0,AS369-Z369))</f>
        <v/>
      </c>
      <c r="O369">
        <f>IF(C368&lt;=0,0,MIN(AH369,C$7+IF(C$2=$AA369,$AC369,IF(C$2=$AF369,$AG369,0))))</f>
        <v/>
      </c>
      <c r="P369">
        <f>IF(D368&lt;=0,0,MIN(AI369,D$7+IF(D$2=$AA369,$AC369,IF(D$2=$AF369,$AG369,0))))</f>
        <v/>
      </c>
      <c r="Q369">
        <f>IF(E368&lt;=0,0,MIN(AJ369,E$7+IF(E$2=$AA369,$AC369,IF(E$2=$AF369,$AG369,0))))</f>
        <v/>
      </c>
      <c r="R369">
        <f>IF(F368&lt;=0,0,MIN(AK369,F$7+IF(F$2=$AA369,$AC369,IF(F$2=$AF369,$AG369,0))))</f>
        <v/>
      </c>
      <c r="S369">
        <f>IF(G368&lt;=0,0,MIN(AL369,G$7+IF(G$2=$AA369,$AC369,IF(G$2=$AF369,$AG369,0))))</f>
        <v/>
      </c>
      <c r="T369">
        <f>IF(H368&lt;=0,0,MIN(AM369,H$7+IF(H$2=$AA369,$AC369,IF(H$2=$AF369,$AG369,0))))</f>
        <v/>
      </c>
      <c r="U369">
        <f>IF(I368&lt;=0,0,MIN(AN369,I$7+IF(I$2=$AA369,$AC369,IF(I$2=$AF369,$AG369,0))))</f>
        <v/>
      </c>
      <c r="V369">
        <f>IF(J368&lt;=0,0,MIN(AO369,J$7+IF(J$2=$AA369,$AC369,IF(J$2=$AF369,$AG369,0))))</f>
        <v/>
      </c>
      <c r="W369">
        <f>IF(K368&lt;=0,0,MIN(AP369,K$7+IF(K$2=$AA369,$AC369,IF(K$2=$AF369,$AG369,0))))</f>
        <v/>
      </c>
      <c r="X369">
        <f>IF(L368&lt;=0,0,MIN(AQ369,L$7+IF(L$2=$AA369,$AC369,IF(L$2=$AF369,$AG369,0))))</f>
        <v/>
      </c>
      <c r="Y369">
        <f>IF(M368&lt;=0,0,MIN(AR369,M$7+IF(M$2=$AA369,$AC369,IF(M$2=$AF369,$AG369,0))))</f>
        <v/>
      </c>
      <c r="Z369">
        <f>IF(N368&lt;=0,0,MIN(AS369,N$7+IF(N$2=$AA369,$AC369,IF(N$2=$AF369,$AG369,0))))</f>
        <v/>
      </c>
      <c r="AA369">
        <f>IFERROR(ROUND(1/SUMPRODUCT(MAX((C368:N368&gt;0)*($C$3:$N$3&lt;=B369)/$C$2:$N$2)),0),0)</f>
        <v/>
      </c>
      <c r="AB369">
        <f>SUMPRODUCT((C368:N368&gt;0)*$C$7:$N$7)</f>
        <v/>
      </c>
      <c r="AC369">
        <f>MAX(0,Plan!$C$5-AB369)+IF(A369=Plan!$C$8,N(Plan!$C$7),0)</f>
        <v/>
      </c>
      <c r="AD369">
        <f>SUM(C369:N369)</f>
        <v/>
      </c>
      <c r="AE369">
        <f>SUM(O369:Z369)</f>
        <v/>
      </c>
      <c r="AF369">
        <f>IFERROR(ROUND(1/SUMPRODUCT(MAX((C368:N368&gt;0)*($C$3:$N$3&lt;=B369)*($C$2:$N$2&gt;AA369)/$C$2:$N$2)),0),0)</f>
        <v/>
      </c>
      <c r="AG369">
        <f>MAX(0,AC369-MAX(0,SUMPRODUCT(($C$2:$N$2=AA369)*(AH369:AS369-$C$7:$N$7))))</f>
        <v/>
      </c>
      <c r="AH369">
        <f>IF(C368&lt;=0,0,ROUND(C368*(1+IF(AND(C$6&gt;0,$B369&lt;C$6),C$4,C$5)/12),2))</f>
        <v/>
      </c>
      <c r="AI369">
        <f>IF(D368&lt;=0,0,ROUND(D368*(1+IF(AND(D$6&gt;0,$B369&lt;D$6),D$4,D$5)/12),2))</f>
        <v/>
      </c>
      <c r="AJ369">
        <f>IF(E368&lt;=0,0,ROUND(E368*(1+IF(AND(E$6&gt;0,$B369&lt;E$6),E$4,E$5)/12),2))</f>
        <v/>
      </c>
      <c r="AK369">
        <f>IF(F368&lt;=0,0,ROUND(F368*(1+IF(AND(F$6&gt;0,$B369&lt;F$6),F$4,F$5)/12),2))</f>
        <v/>
      </c>
      <c r="AL369">
        <f>IF(G368&lt;=0,0,ROUND(G368*(1+IF(AND(G$6&gt;0,$B369&lt;G$6),G$4,G$5)/12),2))</f>
        <v/>
      </c>
      <c r="AM369">
        <f>IF(H368&lt;=0,0,ROUND(H368*(1+IF(AND(H$6&gt;0,$B369&lt;H$6),H$4,H$5)/12),2))</f>
        <v/>
      </c>
      <c r="AN369">
        <f>IF(I368&lt;=0,0,ROUND(I368*(1+IF(AND(I$6&gt;0,$B369&lt;I$6),I$4,I$5)/12),2))</f>
        <v/>
      </c>
      <c r="AO369">
        <f>IF(J368&lt;=0,0,ROUND(J368*(1+IF(AND(J$6&gt;0,$B369&lt;J$6),J$4,J$5)/12),2))</f>
        <v/>
      </c>
      <c r="AP369">
        <f>IF(K368&lt;=0,0,ROUND(K368*(1+IF(AND(K$6&gt;0,$B369&lt;K$6),K$4,K$5)/12),2))</f>
        <v/>
      </c>
      <c r="AQ369">
        <f>IF(L368&lt;=0,0,ROUND(L368*(1+IF(AND(L$6&gt;0,$B369&lt;L$6),L$4,L$5)/12),2))</f>
        <v/>
      </c>
      <c r="AR369">
        <f>IF(M368&lt;=0,0,ROUND(M368*(1+IF(AND(M$6&gt;0,$B369&lt;M$6),M$4,M$5)/12),2))</f>
        <v/>
      </c>
      <c r="AS369">
        <f>IF(N368&lt;=0,0,ROUND(N368*(1+IF(AND(N$6&gt;0,$B369&lt;N$6),N$4,N$5)/12),2))</f>
        <v/>
      </c>
    </row>
    <row r="370">
      <c r="A370" t="n">
        <v>359</v>
      </c>
      <c r="B370">
        <f>EDATE(Plan!$C$6,358)</f>
        <v/>
      </c>
      <c r="C370">
        <f>IF(C369&lt;=0,0,MAX(0,AH370-O370))</f>
        <v/>
      </c>
      <c r="D370">
        <f>IF(D369&lt;=0,0,MAX(0,AI370-P370))</f>
        <v/>
      </c>
      <c r="E370">
        <f>IF(E369&lt;=0,0,MAX(0,AJ370-Q370))</f>
        <v/>
      </c>
      <c r="F370">
        <f>IF(F369&lt;=0,0,MAX(0,AK370-R370))</f>
        <v/>
      </c>
      <c r="G370">
        <f>IF(G369&lt;=0,0,MAX(0,AL370-S370))</f>
        <v/>
      </c>
      <c r="H370">
        <f>IF(H369&lt;=0,0,MAX(0,AM370-T370))</f>
        <v/>
      </c>
      <c r="I370">
        <f>IF(I369&lt;=0,0,MAX(0,AN370-U370))</f>
        <v/>
      </c>
      <c r="J370">
        <f>IF(J369&lt;=0,0,MAX(0,AO370-V370))</f>
        <v/>
      </c>
      <c r="K370">
        <f>IF(K369&lt;=0,0,MAX(0,AP370-W370))</f>
        <v/>
      </c>
      <c r="L370">
        <f>IF(L369&lt;=0,0,MAX(0,AQ370-X370))</f>
        <v/>
      </c>
      <c r="M370">
        <f>IF(M369&lt;=0,0,MAX(0,AR370-Y370))</f>
        <v/>
      </c>
      <c r="N370">
        <f>IF(N369&lt;=0,0,MAX(0,AS370-Z370))</f>
        <v/>
      </c>
      <c r="O370">
        <f>IF(C369&lt;=0,0,MIN(AH370,C$7+IF(C$2=$AA370,$AC370,IF(C$2=$AF370,$AG370,0))))</f>
        <v/>
      </c>
      <c r="P370">
        <f>IF(D369&lt;=0,0,MIN(AI370,D$7+IF(D$2=$AA370,$AC370,IF(D$2=$AF370,$AG370,0))))</f>
        <v/>
      </c>
      <c r="Q370">
        <f>IF(E369&lt;=0,0,MIN(AJ370,E$7+IF(E$2=$AA370,$AC370,IF(E$2=$AF370,$AG370,0))))</f>
        <v/>
      </c>
      <c r="R370">
        <f>IF(F369&lt;=0,0,MIN(AK370,F$7+IF(F$2=$AA370,$AC370,IF(F$2=$AF370,$AG370,0))))</f>
        <v/>
      </c>
      <c r="S370">
        <f>IF(G369&lt;=0,0,MIN(AL370,G$7+IF(G$2=$AA370,$AC370,IF(G$2=$AF370,$AG370,0))))</f>
        <v/>
      </c>
      <c r="T370">
        <f>IF(H369&lt;=0,0,MIN(AM370,H$7+IF(H$2=$AA370,$AC370,IF(H$2=$AF370,$AG370,0))))</f>
        <v/>
      </c>
      <c r="U370">
        <f>IF(I369&lt;=0,0,MIN(AN370,I$7+IF(I$2=$AA370,$AC370,IF(I$2=$AF370,$AG370,0))))</f>
        <v/>
      </c>
      <c r="V370">
        <f>IF(J369&lt;=0,0,MIN(AO370,J$7+IF(J$2=$AA370,$AC370,IF(J$2=$AF370,$AG370,0))))</f>
        <v/>
      </c>
      <c r="W370">
        <f>IF(K369&lt;=0,0,MIN(AP370,K$7+IF(K$2=$AA370,$AC370,IF(K$2=$AF370,$AG370,0))))</f>
        <v/>
      </c>
      <c r="X370">
        <f>IF(L369&lt;=0,0,MIN(AQ370,L$7+IF(L$2=$AA370,$AC370,IF(L$2=$AF370,$AG370,0))))</f>
        <v/>
      </c>
      <c r="Y370">
        <f>IF(M369&lt;=0,0,MIN(AR370,M$7+IF(M$2=$AA370,$AC370,IF(M$2=$AF370,$AG370,0))))</f>
        <v/>
      </c>
      <c r="Z370">
        <f>IF(N369&lt;=0,0,MIN(AS370,N$7+IF(N$2=$AA370,$AC370,IF(N$2=$AF370,$AG370,0))))</f>
        <v/>
      </c>
      <c r="AA370">
        <f>IFERROR(ROUND(1/SUMPRODUCT(MAX((C369:N369&gt;0)*($C$3:$N$3&lt;=B370)/$C$2:$N$2)),0),0)</f>
        <v/>
      </c>
      <c r="AB370">
        <f>SUMPRODUCT((C369:N369&gt;0)*$C$7:$N$7)</f>
        <v/>
      </c>
      <c r="AC370">
        <f>MAX(0,Plan!$C$5-AB370)+IF(A370=Plan!$C$8,N(Plan!$C$7),0)</f>
        <v/>
      </c>
      <c r="AD370">
        <f>SUM(C370:N370)</f>
        <v/>
      </c>
      <c r="AE370">
        <f>SUM(O370:Z370)</f>
        <v/>
      </c>
      <c r="AF370">
        <f>IFERROR(ROUND(1/SUMPRODUCT(MAX((C369:N369&gt;0)*($C$3:$N$3&lt;=B370)*($C$2:$N$2&gt;AA370)/$C$2:$N$2)),0),0)</f>
        <v/>
      </c>
      <c r="AG370">
        <f>MAX(0,AC370-MAX(0,SUMPRODUCT(($C$2:$N$2=AA370)*(AH370:AS370-$C$7:$N$7))))</f>
        <v/>
      </c>
      <c r="AH370">
        <f>IF(C369&lt;=0,0,ROUND(C369*(1+IF(AND(C$6&gt;0,$B370&lt;C$6),C$4,C$5)/12),2))</f>
        <v/>
      </c>
      <c r="AI370">
        <f>IF(D369&lt;=0,0,ROUND(D369*(1+IF(AND(D$6&gt;0,$B370&lt;D$6),D$4,D$5)/12),2))</f>
        <v/>
      </c>
      <c r="AJ370">
        <f>IF(E369&lt;=0,0,ROUND(E369*(1+IF(AND(E$6&gt;0,$B370&lt;E$6),E$4,E$5)/12),2))</f>
        <v/>
      </c>
      <c r="AK370">
        <f>IF(F369&lt;=0,0,ROUND(F369*(1+IF(AND(F$6&gt;0,$B370&lt;F$6),F$4,F$5)/12),2))</f>
        <v/>
      </c>
      <c r="AL370">
        <f>IF(G369&lt;=0,0,ROUND(G369*(1+IF(AND(G$6&gt;0,$B370&lt;G$6),G$4,G$5)/12),2))</f>
        <v/>
      </c>
      <c r="AM370">
        <f>IF(H369&lt;=0,0,ROUND(H369*(1+IF(AND(H$6&gt;0,$B370&lt;H$6),H$4,H$5)/12),2))</f>
        <v/>
      </c>
      <c r="AN370">
        <f>IF(I369&lt;=0,0,ROUND(I369*(1+IF(AND(I$6&gt;0,$B370&lt;I$6),I$4,I$5)/12),2))</f>
        <v/>
      </c>
      <c r="AO370">
        <f>IF(J369&lt;=0,0,ROUND(J369*(1+IF(AND(J$6&gt;0,$B370&lt;J$6),J$4,J$5)/12),2))</f>
        <v/>
      </c>
      <c r="AP370">
        <f>IF(K369&lt;=0,0,ROUND(K369*(1+IF(AND(K$6&gt;0,$B370&lt;K$6),K$4,K$5)/12),2))</f>
        <v/>
      </c>
      <c r="AQ370">
        <f>IF(L369&lt;=0,0,ROUND(L369*(1+IF(AND(L$6&gt;0,$B370&lt;L$6),L$4,L$5)/12),2))</f>
        <v/>
      </c>
      <c r="AR370">
        <f>IF(M369&lt;=0,0,ROUND(M369*(1+IF(AND(M$6&gt;0,$B370&lt;M$6),M$4,M$5)/12),2))</f>
        <v/>
      </c>
      <c r="AS370">
        <f>IF(N369&lt;=0,0,ROUND(N369*(1+IF(AND(N$6&gt;0,$B370&lt;N$6),N$4,N$5)/12),2))</f>
        <v/>
      </c>
    </row>
    <row r="371">
      <c r="A371" t="n">
        <v>360</v>
      </c>
      <c r="B371">
        <f>EDATE(Plan!$C$6,359)</f>
        <v/>
      </c>
      <c r="C371">
        <f>IF(C370&lt;=0,0,MAX(0,AH371-O371))</f>
        <v/>
      </c>
      <c r="D371">
        <f>IF(D370&lt;=0,0,MAX(0,AI371-P371))</f>
        <v/>
      </c>
      <c r="E371">
        <f>IF(E370&lt;=0,0,MAX(0,AJ371-Q371))</f>
        <v/>
      </c>
      <c r="F371">
        <f>IF(F370&lt;=0,0,MAX(0,AK371-R371))</f>
        <v/>
      </c>
      <c r="G371">
        <f>IF(G370&lt;=0,0,MAX(0,AL371-S371))</f>
        <v/>
      </c>
      <c r="H371">
        <f>IF(H370&lt;=0,0,MAX(0,AM371-T371))</f>
        <v/>
      </c>
      <c r="I371">
        <f>IF(I370&lt;=0,0,MAX(0,AN371-U371))</f>
        <v/>
      </c>
      <c r="J371">
        <f>IF(J370&lt;=0,0,MAX(0,AO371-V371))</f>
        <v/>
      </c>
      <c r="K371">
        <f>IF(K370&lt;=0,0,MAX(0,AP371-W371))</f>
        <v/>
      </c>
      <c r="L371">
        <f>IF(L370&lt;=0,0,MAX(0,AQ371-X371))</f>
        <v/>
      </c>
      <c r="M371">
        <f>IF(M370&lt;=0,0,MAX(0,AR371-Y371))</f>
        <v/>
      </c>
      <c r="N371">
        <f>IF(N370&lt;=0,0,MAX(0,AS371-Z371))</f>
        <v/>
      </c>
      <c r="O371">
        <f>IF(C370&lt;=0,0,MIN(AH371,C$7+IF(C$2=$AA371,$AC371,IF(C$2=$AF371,$AG371,0))))</f>
        <v/>
      </c>
      <c r="P371">
        <f>IF(D370&lt;=0,0,MIN(AI371,D$7+IF(D$2=$AA371,$AC371,IF(D$2=$AF371,$AG371,0))))</f>
        <v/>
      </c>
      <c r="Q371">
        <f>IF(E370&lt;=0,0,MIN(AJ371,E$7+IF(E$2=$AA371,$AC371,IF(E$2=$AF371,$AG371,0))))</f>
        <v/>
      </c>
      <c r="R371">
        <f>IF(F370&lt;=0,0,MIN(AK371,F$7+IF(F$2=$AA371,$AC371,IF(F$2=$AF371,$AG371,0))))</f>
        <v/>
      </c>
      <c r="S371">
        <f>IF(G370&lt;=0,0,MIN(AL371,G$7+IF(G$2=$AA371,$AC371,IF(G$2=$AF371,$AG371,0))))</f>
        <v/>
      </c>
      <c r="T371">
        <f>IF(H370&lt;=0,0,MIN(AM371,H$7+IF(H$2=$AA371,$AC371,IF(H$2=$AF371,$AG371,0))))</f>
        <v/>
      </c>
      <c r="U371">
        <f>IF(I370&lt;=0,0,MIN(AN371,I$7+IF(I$2=$AA371,$AC371,IF(I$2=$AF371,$AG371,0))))</f>
        <v/>
      </c>
      <c r="V371">
        <f>IF(J370&lt;=0,0,MIN(AO371,J$7+IF(J$2=$AA371,$AC371,IF(J$2=$AF371,$AG371,0))))</f>
        <v/>
      </c>
      <c r="W371">
        <f>IF(K370&lt;=0,0,MIN(AP371,K$7+IF(K$2=$AA371,$AC371,IF(K$2=$AF371,$AG371,0))))</f>
        <v/>
      </c>
      <c r="X371">
        <f>IF(L370&lt;=0,0,MIN(AQ371,L$7+IF(L$2=$AA371,$AC371,IF(L$2=$AF371,$AG371,0))))</f>
        <v/>
      </c>
      <c r="Y371">
        <f>IF(M370&lt;=0,0,MIN(AR371,M$7+IF(M$2=$AA371,$AC371,IF(M$2=$AF371,$AG371,0))))</f>
        <v/>
      </c>
      <c r="Z371">
        <f>IF(N370&lt;=0,0,MIN(AS371,N$7+IF(N$2=$AA371,$AC371,IF(N$2=$AF371,$AG371,0))))</f>
        <v/>
      </c>
      <c r="AA371">
        <f>IFERROR(ROUND(1/SUMPRODUCT(MAX((C370:N370&gt;0)*($C$3:$N$3&lt;=B371)/$C$2:$N$2)),0),0)</f>
        <v/>
      </c>
      <c r="AB371">
        <f>SUMPRODUCT((C370:N370&gt;0)*$C$7:$N$7)</f>
        <v/>
      </c>
      <c r="AC371">
        <f>MAX(0,Plan!$C$5-AB371)+IF(A371=Plan!$C$8,N(Plan!$C$7),0)</f>
        <v/>
      </c>
      <c r="AD371">
        <f>SUM(C371:N371)</f>
        <v/>
      </c>
      <c r="AE371">
        <f>SUM(O371:Z371)</f>
        <v/>
      </c>
      <c r="AF371">
        <f>IFERROR(ROUND(1/SUMPRODUCT(MAX((C370:N370&gt;0)*($C$3:$N$3&lt;=B371)*($C$2:$N$2&gt;AA371)/$C$2:$N$2)),0),0)</f>
        <v/>
      </c>
      <c r="AG371">
        <f>MAX(0,AC371-MAX(0,SUMPRODUCT(($C$2:$N$2=AA371)*(AH371:AS371-$C$7:$N$7))))</f>
        <v/>
      </c>
      <c r="AH371">
        <f>IF(C370&lt;=0,0,ROUND(C370*(1+IF(AND(C$6&gt;0,$B371&lt;C$6),C$4,C$5)/12),2))</f>
        <v/>
      </c>
      <c r="AI371">
        <f>IF(D370&lt;=0,0,ROUND(D370*(1+IF(AND(D$6&gt;0,$B371&lt;D$6),D$4,D$5)/12),2))</f>
        <v/>
      </c>
      <c r="AJ371">
        <f>IF(E370&lt;=0,0,ROUND(E370*(1+IF(AND(E$6&gt;0,$B371&lt;E$6),E$4,E$5)/12),2))</f>
        <v/>
      </c>
      <c r="AK371">
        <f>IF(F370&lt;=0,0,ROUND(F370*(1+IF(AND(F$6&gt;0,$B371&lt;F$6),F$4,F$5)/12),2))</f>
        <v/>
      </c>
      <c r="AL371">
        <f>IF(G370&lt;=0,0,ROUND(G370*(1+IF(AND(G$6&gt;0,$B371&lt;G$6),G$4,G$5)/12),2))</f>
        <v/>
      </c>
      <c r="AM371">
        <f>IF(H370&lt;=0,0,ROUND(H370*(1+IF(AND(H$6&gt;0,$B371&lt;H$6),H$4,H$5)/12),2))</f>
        <v/>
      </c>
      <c r="AN371">
        <f>IF(I370&lt;=0,0,ROUND(I370*(1+IF(AND(I$6&gt;0,$B371&lt;I$6),I$4,I$5)/12),2))</f>
        <v/>
      </c>
      <c r="AO371">
        <f>IF(J370&lt;=0,0,ROUND(J370*(1+IF(AND(J$6&gt;0,$B371&lt;J$6),J$4,J$5)/12),2))</f>
        <v/>
      </c>
      <c r="AP371">
        <f>IF(K370&lt;=0,0,ROUND(K370*(1+IF(AND(K$6&gt;0,$B371&lt;K$6),K$4,K$5)/12),2))</f>
        <v/>
      </c>
      <c r="AQ371">
        <f>IF(L370&lt;=0,0,ROUND(L370*(1+IF(AND(L$6&gt;0,$B371&lt;L$6),L$4,L$5)/12),2))</f>
        <v/>
      </c>
      <c r="AR371">
        <f>IF(M370&lt;=0,0,ROUND(M370*(1+IF(AND(M$6&gt;0,$B371&lt;M$6),M$4,M$5)/12),2))</f>
        <v/>
      </c>
      <c r="AS371">
        <f>IF(N370&lt;=0,0,ROUND(N370*(1+IF(AND(N$6&gt;0,$B371&lt;N$6),N$4,N$5)/12),2))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A3F58"/>
    <outlinePr summaryBelow="1" summaryRight="1"/>
    <pageSetUpPr/>
  </sheetPr>
  <dimension ref="A1:AS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C1">
        <f>IF(AND('My Debts'!$H$7="Allowed with a fee",N(+'My Debts'!$I$7)&gt;0,ISNUMBER(C10)),IF(OR(N(+'My Debts'!$J$7)=0,C10&lt;'My Debts'!$J$7),'My Debts'!$I$7,0),0)</f>
        <v/>
      </c>
      <c r="D1">
        <f>IF(AND('My Debts'!$H$8="Allowed with a fee",N(+'My Debts'!$I$8)&gt;0,ISNUMBER(D10)),IF(OR(N(+'My Debts'!$J$8)=0,D10&lt;'My Debts'!$J$8),'My Debts'!$I$8,0),0)</f>
        <v/>
      </c>
      <c r="E1">
        <f>IF(AND('My Debts'!$H$9="Allowed with a fee",N(+'My Debts'!$I$9)&gt;0,ISNUMBER(E10)),IF(OR(N(+'My Debts'!$J$9)=0,E10&lt;'My Debts'!$J$9),'My Debts'!$I$9,0),0)</f>
        <v/>
      </c>
      <c r="F1">
        <f>IF(AND('My Debts'!$H$10="Allowed with a fee",N(+'My Debts'!$I$10)&gt;0,ISNUMBER(F10)),IF(OR(N(+'My Debts'!$J$10)=0,F10&lt;'My Debts'!$J$10),'My Debts'!$I$10,0),0)</f>
        <v/>
      </c>
      <c r="G1">
        <f>IF(AND('My Debts'!$H$11="Allowed with a fee",N(+'My Debts'!$I$11)&gt;0,ISNUMBER(G10)),IF(OR(N(+'My Debts'!$J$11)=0,G10&lt;'My Debts'!$J$11),'My Debts'!$I$11,0),0)</f>
        <v/>
      </c>
      <c r="H1">
        <f>IF(AND('My Debts'!$H$12="Allowed with a fee",N(+'My Debts'!$I$12)&gt;0,ISNUMBER(H10)),IF(OR(N(+'My Debts'!$J$12)=0,H10&lt;'My Debts'!$J$12),'My Debts'!$I$12,0),0)</f>
        <v/>
      </c>
      <c r="I1">
        <f>IF(AND('My Debts'!$H$13="Allowed with a fee",N(+'My Debts'!$I$13)&gt;0,ISNUMBER(I10)),IF(OR(N(+'My Debts'!$J$13)=0,I10&lt;'My Debts'!$J$13),'My Debts'!$I$13,0),0)</f>
        <v/>
      </c>
      <c r="J1">
        <f>IF(AND('My Debts'!$H$14="Allowed with a fee",N(+'My Debts'!$I$14)&gt;0,ISNUMBER(J10)),IF(OR(N(+'My Debts'!$J$14)=0,J10&lt;'My Debts'!$J$14),'My Debts'!$I$14,0),0)</f>
        <v/>
      </c>
      <c r="K1">
        <f>IF(AND('My Debts'!$H$15="Allowed with a fee",N(+'My Debts'!$I$15)&gt;0,ISNUMBER(K10)),IF(OR(N(+'My Debts'!$J$15)=0,K10&lt;'My Debts'!$J$15),'My Debts'!$I$15,0),0)</f>
        <v/>
      </c>
      <c r="L1">
        <f>IF(AND('My Debts'!$H$16="Allowed with a fee",N(+'My Debts'!$I$16)&gt;0,ISNUMBER(L10)),IF(OR(N(+'My Debts'!$J$16)=0,L10&lt;'My Debts'!$J$16),'My Debts'!$I$16,0),0)</f>
        <v/>
      </c>
      <c r="M1">
        <f>IF(AND('My Debts'!$H$17="Allowed with a fee",N(+'My Debts'!$I$17)&gt;0,ISNUMBER(M10)),IF(OR(N(+'My Debts'!$J$17)=0,M10&lt;'My Debts'!$J$17),'My Debts'!$I$17,0),0)</f>
        <v/>
      </c>
      <c r="N1">
        <f>IF(AND('My Debts'!$H$18="Allowed with a fee",N(+'My Debts'!$I$18)&gt;0,ISNUMBER(N10)),IF(OR(N(+'My Debts'!$J$18)=0,N10&lt;'My Debts'!$J$18),'My Debts'!$I$18,0),0)</f>
        <v/>
      </c>
    </row>
    <row r="2">
      <c r="A2" t="inlineStr">
        <is>
          <t>rank</t>
        </is>
      </c>
      <c r="C2">
        <f>IF('My Debts'!$AC$7="",999,'My Debts'!$AC$7)</f>
        <v/>
      </c>
      <c r="D2">
        <f>IF('My Debts'!$AC$8="",999,'My Debts'!$AC$8)</f>
        <v/>
      </c>
      <c r="E2">
        <f>IF('My Debts'!$AC$9="",999,'My Debts'!$AC$9)</f>
        <v/>
      </c>
      <c r="F2">
        <f>IF('My Debts'!$AC$10="",999,'My Debts'!$AC$10)</f>
        <v/>
      </c>
      <c r="G2">
        <f>IF('My Debts'!$AC$11="",999,'My Debts'!$AC$11)</f>
        <v/>
      </c>
      <c r="H2">
        <f>IF('My Debts'!$AC$12="",999,'My Debts'!$AC$12)</f>
        <v/>
      </c>
      <c r="I2">
        <f>IF('My Debts'!$AC$13="",999,'My Debts'!$AC$13)</f>
        <v/>
      </c>
      <c r="J2">
        <f>IF('My Debts'!$AC$14="",999,'My Debts'!$AC$14)</f>
        <v/>
      </c>
      <c r="K2">
        <f>IF('My Debts'!$AC$15="",999,'My Debts'!$AC$15)</f>
        <v/>
      </c>
      <c r="L2">
        <f>IF('My Debts'!$AC$16="",999,'My Debts'!$AC$16)</f>
        <v/>
      </c>
      <c r="M2">
        <f>IF('My Debts'!$AC$17="",999,'My Debts'!$AC$17)</f>
        <v/>
      </c>
      <c r="N2">
        <f>IF('My Debts'!$AC$18="",999,'My Debts'!$AC$18)</f>
        <v/>
      </c>
    </row>
    <row r="3">
      <c r="A3" t="inlineStr">
        <is>
          <t>extra from</t>
        </is>
      </c>
      <c r="C3">
        <f>IF('My Debts'!$U$7="",DATE(2199,12,1),'My Debts'!$U$7)</f>
        <v/>
      </c>
      <c r="D3">
        <f>IF('My Debts'!$U$8="",DATE(2199,12,1),'My Debts'!$U$8)</f>
        <v/>
      </c>
      <c r="E3">
        <f>IF('My Debts'!$U$9="",DATE(2199,12,1),'My Debts'!$U$9)</f>
        <v/>
      </c>
      <c r="F3">
        <f>IF('My Debts'!$U$10="",DATE(2199,12,1),'My Debts'!$U$10)</f>
        <v/>
      </c>
      <c r="G3">
        <f>IF('My Debts'!$U$11="",DATE(2199,12,1),'My Debts'!$U$11)</f>
        <v/>
      </c>
      <c r="H3">
        <f>IF('My Debts'!$U$12="",DATE(2199,12,1),'My Debts'!$U$12)</f>
        <v/>
      </c>
      <c r="I3">
        <f>IF('My Debts'!$U$13="",DATE(2199,12,1),'My Debts'!$U$13)</f>
        <v/>
      </c>
      <c r="J3">
        <f>IF('My Debts'!$U$14="",DATE(2199,12,1),'My Debts'!$U$14)</f>
        <v/>
      </c>
      <c r="K3">
        <f>IF('My Debts'!$U$15="",DATE(2199,12,1),'My Debts'!$U$15)</f>
        <v/>
      </c>
      <c r="L3">
        <f>IF('My Debts'!$U$16="",DATE(2199,12,1),'My Debts'!$U$16)</f>
        <v/>
      </c>
      <c r="M3">
        <f>IF('My Debts'!$U$17="",DATE(2199,12,1),'My Debts'!$U$17)</f>
        <v/>
      </c>
      <c r="N3">
        <f>IF('My Debts'!$U$18="",DATE(2199,12,1),'My Debts'!$U$18)</f>
        <v/>
      </c>
    </row>
    <row r="4">
      <c r="A4" t="inlineStr">
        <is>
          <t>APR now</t>
        </is>
      </c>
      <c r="C4">
        <f>N(+'My Debts'!$E$7)</f>
        <v/>
      </c>
      <c r="D4">
        <f>N(+'My Debts'!$E$8)</f>
        <v/>
      </c>
      <c r="E4">
        <f>N(+'My Debts'!$E$9)</f>
        <v/>
      </c>
      <c r="F4">
        <f>N(+'My Debts'!$E$10)</f>
        <v/>
      </c>
      <c r="G4">
        <f>N(+'My Debts'!$E$11)</f>
        <v/>
      </c>
      <c r="H4">
        <f>N(+'My Debts'!$E$12)</f>
        <v/>
      </c>
      <c r="I4">
        <f>N(+'My Debts'!$E$13)</f>
        <v/>
      </c>
      <c r="J4">
        <f>N(+'My Debts'!$E$14)</f>
        <v/>
      </c>
      <c r="K4">
        <f>N(+'My Debts'!$E$15)</f>
        <v/>
      </c>
      <c r="L4">
        <f>N(+'My Debts'!$E$16)</f>
        <v/>
      </c>
      <c r="M4">
        <f>N(+'My Debts'!$E$17)</f>
        <v/>
      </c>
      <c r="N4">
        <f>N(+'My Debts'!$E$18)</f>
        <v/>
      </c>
    </row>
    <row r="5">
      <c r="A5" t="inlineStr">
        <is>
          <t>debt-free</t>
        </is>
      </c>
      <c r="B5">
        <f>IFERROR(INDEX($B$12:$B$371,MATCH(1,INDEX(($AD$12:$AD$371&lt;=0.005)*1,0),0)),"-")</f>
        <v/>
      </c>
      <c r="C5">
        <f>IF(N(+'My Debts'!$L$7)&gt;0,'My Debts'!$L$7,C4)</f>
        <v/>
      </c>
      <c r="D5">
        <f>IF(N(+'My Debts'!$L$8)&gt;0,'My Debts'!$L$8,D4)</f>
        <v/>
      </c>
      <c r="E5">
        <f>IF(N(+'My Debts'!$L$9)&gt;0,'My Debts'!$L$9,E4)</f>
        <v/>
      </c>
      <c r="F5">
        <f>IF(N(+'My Debts'!$L$10)&gt;0,'My Debts'!$L$10,F4)</f>
        <v/>
      </c>
      <c r="G5">
        <f>IF(N(+'My Debts'!$L$11)&gt;0,'My Debts'!$L$11,G4)</f>
        <v/>
      </c>
      <c r="H5">
        <f>IF(N(+'My Debts'!$L$12)&gt;0,'My Debts'!$L$12,H4)</f>
        <v/>
      </c>
      <c r="I5">
        <f>IF(N(+'My Debts'!$L$13)&gt;0,'My Debts'!$L$13,I4)</f>
        <v/>
      </c>
      <c r="J5">
        <f>IF(N(+'My Debts'!$L$14)&gt;0,'My Debts'!$L$14,J4)</f>
        <v/>
      </c>
      <c r="K5">
        <f>IF(N(+'My Debts'!$L$15)&gt;0,'My Debts'!$L$15,K4)</f>
        <v/>
      </c>
      <c r="L5">
        <f>IF(N(+'My Debts'!$L$16)&gt;0,'My Debts'!$L$16,L4)</f>
        <v/>
      </c>
      <c r="M5">
        <f>IF(N(+'My Debts'!$L$17)&gt;0,'My Debts'!$L$17,M4)</f>
        <v/>
      </c>
      <c r="N5">
        <f>IF(N(+'My Debts'!$L$18)&gt;0,'My Debts'!$L$18,N4)</f>
        <v/>
      </c>
    </row>
    <row r="6">
      <c r="A6" t="inlineStr">
        <is>
          <t>months</t>
        </is>
      </c>
      <c r="B6">
        <f>IFERROR(MATCH(1,INDEX(($AD$12:$AD$371&lt;=0.005)*1,0),0),"-")</f>
        <v/>
      </c>
      <c r="C6">
        <f>N(+'My Debts'!$K$7)</f>
        <v/>
      </c>
      <c r="D6">
        <f>N(+'My Debts'!$K$8)</f>
        <v/>
      </c>
      <c r="E6">
        <f>N(+'My Debts'!$K$9)</f>
        <v/>
      </c>
      <c r="F6">
        <f>N(+'My Debts'!$K$10)</f>
        <v/>
      </c>
      <c r="G6">
        <f>N(+'My Debts'!$K$11)</f>
        <v/>
      </c>
      <c r="H6">
        <f>N(+'My Debts'!$K$12)</f>
        <v/>
      </c>
      <c r="I6">
        <f>N(+'My Debts'!$K$13)</f>
        <v/>
      </c>
      <c r="J6">
        <f>N(+'My Debts'!$K$14)</f>
        <v/>
      </c>
      <c r="K6">
        <f>N(+'My Debts'!$K$15)</f>
        <v/>
      </c>
      <c r="L6">
        <f>N(+'My Debts'!$K$16)</f>
        <v/>
      </c>
      <c r="M6">
        <f>N(+'My Debts'!$K$17)</f>
        <v/>
      </c>
      <c r="N6">
        <f>N(+'My Debts'!$K$18)</f>
        <v/>
      </c>
    </row>
    <row r="7">
      <c r="A7" t="inlineStr">
        <is>
          <t>interest</t>
        </is>
      </c>
      <c r="B7">
        <f>SUM($O$12:$Z$371)-(SUM($C$8:$N$8)-SUM($C$371:$N$371))</f>
        <v/>
      </c>
      <c r="C7">
        <f>N(+'My Debts'!$F$7)</f>
        <v/>
      </c>
      <c r="D7">
        <f>N(+'My Debts'!$F$8)</f>
        <v/>
      </c>
      <c r="E7">
        <f>N(+'My Debts'!$F$9)</f>
        <v/>
      </c>
      <c r="F7">
        <f>N(+'My Debts'!$F$10)</f>
        <v/>
      </c>
      <c r="G7">
        <f>N(+'My Debts'!$F$11)</f>
        <v/>
      </c>
      <c r="H7">
        <f>N(+'My Debts'!$F$12)</f>
        <v/>
      </c>
      <c r="I7">
        <f>N(+'My Debts'!$F$13)</f>
        <v/>
      </c>
      <c r="J7">
        <f>N(+'My Debts'!$F$14)</f>
        <v/>
      </c>
      <c r="K7">
        <f>N(+'My Debts'!$F$15)</f>
        <v/>
      </c>
      <c r="L7">
        <f>N(+'My Debts'!$F$16)</f>
        <v/>
      </c>
      <c r="M7">
        <f>N(+'My Debts'!$F$17)</f>
        <v/>
      </c>
      <c r="N7">
        <f>N(+'My Debts'!$F$18)</f>
        <v/>
      </c>
    </row>
    <row r="8">
      <c r="A8" t="inlineStr">
        <is>
          <t>fees</t>
        </is>
      </c>
      <c r="B8">
        <f>SUM($C$1:$N$1)</f>
        <v/>
      </c>
      <c r="C8">
        <f>IF(AND(ISNUMBER('My Debts'!$D$7),'My Debts'!$D$7&gt;0),'My Debts'!$D$7,0)</f>
        <v/>
      </c>
      <c r="D8">
        <f>IF(AND(ISNUMBER('My Debts'!$D$8),'My Debts'!$D$8&gt;0),'My Debts'!$D$8,0)</f>
        <v/>
      </c>
      <c r="E8">
        <f>IF(AND(ISNUMBER('My Debts'!$D$9),'My Debts'!$D$9&gt;0),'My Debts'!$D$9,0)</f>
        <v/>
      </c>
      <c r="F8">
        <f>IF(AND(ISNUMBER('My Debts'!$D$10),'My Debts'!$D$10&gt;0),'My Debts'!$D$10,0)</f>
        <v/>
      </c>
      <c r="G8">
        <f>IF(AND(ISNUMBER('My Debts'!$D$11),'My Debts'!$D$11&gt;0),'My Debts'!$D$11,0)</f>
        <v/>
      </c>
      <c r="H8">
        <f>IF(AND(ISNUMBER('My Debts'!$D$12),'My Debts'!$D$12&gt;0),'My Debts'!$D$12,0)</f>
        <v/>
      </c>
      <c r="I8">
        <f>IF(AND(ISNUMBER('My Debts'!$D$13),'My Debts'!$D$13&gt;0),'My Debts'!$D$13,0)</f>
        <v/>
      </c>
      <c r="J8">
        <f>IF(AND(ISNUMBER('My Debts'!$D$14),'My Debts'!$D$14&gt;0),'My Debts'!$D$14,0)</f>
        <v/>
      </c>
      <c r="K8">
        <f>IF(AND(ISNUMBER('My Debts'!$D$15),'My Debts'!$D$15&gt;0),'My Debts'!$D$15,0)</f>
        <v/>
      </c>
      <c r="L8">
        <f>IF(AND(ISNUMBER('My Debts'!$D$16),'My Debts'!$D$16&gt;0),'My Debts'!$D$16,0)</f>
        <v/>
      </c>
      <c r="M8">
        <f>IF(AND(ISNUMBER('My Debts'!$D$17),'My Debts'!$D$17&gt;0),'My Debts'!$D$17,0)</f>
        <v/>
      </c>
      <c r="N8">
        <f>IF(AND(ISNUMBER('My Debts'!$D$18),'My Debts'!$D$18&gt;0),'My Debts'!$D$18,0)</f>
        <v/>
      </c>
    </row>
    <row r="9">
      <c r="A9" t="inlineStr">
        <is>
          <t>first</t>
        </is>
      </c>
      <c r="B9">
        <f>IF(COUNT($C$10:$N$10)=0,"-",MIN($C$10:$N$10))</f>
        <v/>
      </c>
    </row>
    <row r="10">
      <c r="C10">
        <f>IF(C8&lt;=0,"",IFERROR(INDEX($B$12:$B$371,MATCH(1,INDEX((C$12:C$371&lt;=0.005)*1,0),0)),""))</f>
        <v/>
      </c>
      <c r="D10">
        <f>IF(D8&lt;=0,"",IFERROR(INDEX($B$12:$B$371,MATCH(1,INDEX((D$12:D$371&lt;=0.005)*1,0),0)),""))</f>
        <v/>
      </c>
      <c r="E10">
        <f>IF(E8&lt;=0,"",IFERROR(INDEX($B$12:$B$371,MATCH(1,INDEX((E$12:E$371&lt;=0.005)*1,0),0)),""))</f>
        <v/>
      </c>
      <c r="F10">
        <f>IF(F8&lt;=0,"",IFERROR(INDEX($B$12:$B$371,MATCH(1,INDEX((F$12:F$371&lt;=0.005)*1,0),0)),""))</f>
        <v/>
      </c>
      <c r="G10">
        <f>IF(G8&lt;=0,"",IFERROR(INDEX($B$12:$B$371,MATCH(1,INDEX((G$12:G$371&lt;=0.005)*1,0),0)),""))</f>
        <v/>
      </c>
      <c r="H10">
        <f>IF(H8&lt;=0,"",IFERROR(INDEX($B$12:$B$371,MATCH(1,INDEX((H$12:H$371&lt;=0.005)*1,0),0)),""))</f>
        <v/>
      </c>
      <c r="I10">
        <f>IF(I8&lt;=0,"",IFERROR(INDEX($B$12:$B$371,MATCH(1,INDEX((I$12:I$371&lt;=0.005)*1,0),0)),""))</f>
        <v/>
      </c>
      <c r="J10">
        <f>IF(J8&lt;=0,"",IFERROR(INDEX($B$12:$B$371,MATCH(1,INDEX((J$12:J$371&lt;=0.005)*1,0),0)),""))</f>
        <v/>
      </c>
      <c r="K10">
        <f>IF(K8&lt;=0,"",IFERROR(INDEX($B$12:$B$371,MATCH(1,INDEX((K$12:K$371&lt;=0.005)*1,0),0)),""))</f>
        <v/>
      </c>
      <c r="L10">
        <f>IF(L8&lt;=0,"",IFERROR(INDEX($B$12:$B$371,MATCH(1,INDEX((L$12:L$371&lt;=0.005)*1,0),0)),""))</f>
        <v/>
      </c>
      <c r="M10">
        <f>IF(M8&lt;=0,"",IFERROR(INDEX($B$12:$B$371,MATCH(1,INDEX((M$12:M$371&lt;=0.005)*1,0),0)),""))</f>
        <v/>
      </c>
      <c r="N10">
        <f>IF(N8&lt;=0,"",IFERROR(INDEX($B$12:$B$371,MATCH(1,INDEX((N$12:N$371&lt;=0.005)*1,0),0)),""))</f>
        <v/>
      </c>
    </row>
    <row r="11">
      <c r="B11">
        <f>EDATE(Plan!$C$6,-1)</f>
        <v/>
      </c>
      <c r="C11">
        <f>C8</f>
        <v/>
      </c>
      <c r="D11">
        <f>D8</f>
        <v/>
      </c>
      <c r="E11">
        <f>E8</f>
        <v/>
      </c>
      <c r="F11">
        <f>F8</f>
        <v/>
      </c>
      <c r="G11">
        <f>G8</f>
        <v/>
      </c>
      <c r="H11">
        <f>H8</f>
        <v/>
      </c>
      <c r="I11">
        <f>I8</f>
        <v/>
      </c>
      <c r="J11">
        <f>J8</f>
        <v/>
      </c>
      <c r="K11">
        <f>K8</f>
        <v/>
      </c>
      <c r="L11">
        <f>L8</f>
        <v/>
      </c>
      <c r="M11">
        <f>M8</f>
        <v/>
      </c>
      <c r="N11">
        <f>N8</f>
        <v/>
      </c>
      <c r="AD11">
        <f>SUM(C11:N11)</f>
        <v/>
      </c>
    </row>
    <row r="12">
      <c r="A12" t="n">
        <v>1</v>
      </c>
      <c r="B12">
        <f>EDATE(Plan!$C$6,0)</f>
        <v/>
      </c>
      <c r="C12">
        <f>IF(C11&lt;=0,0,MAX(0,AH12-O12))</f>
        <v/>
      </c>
      <c r="D12">
        <f>IF(D11&lt;=0,0,MAX(0,AI12-P12))</f>
        <v/>
      </c>
      <c r="E12">
        <f>IF(E11&lt;=0,0,MAX(0,AJ12-Q12))</f>
        <v/>
      </c>
      <c r="F12">
        <f>IF(F11&lt;=0,0,MAX(0,AK12-R12))</f>
        <v/>
      </c>
      <c r="G12">
        <f>IF(G11&lt;=0,0,MAX(0,AL12-S12))</f>
        <v/>
      </c>
      <c r="H12">
        <f>IF(H11&lt;=0,0,MAX(0,AM12-T12))</f>
        <v/>
      </c>
      <c r="I12">
        <f>IF(I11&lt;=0,0,MAX(0,AN12-U12))</f>
        <v/>
      </c>
      <c r="J12">
        <f>IF(J11&lt;=0,0,MAX(0,AO12-V12))</f>
        <v/>
      </c>
      <c r="K12">
        <f>IF(K11&lt;=0,0,MAX(0,AP12-W12))</f>
        <v/>
      </c>
      <c r="L12">
        <f>IF(L11&lt;=0,0,MAX(0,AQ12-X12))</f>
        <v/>
      </c>
      <c r="M12">
        <f>IF(M11&lt;=0,0,MAX(0,AR12-Y12))</f>
        <v/>
      </c>
      <c r="N12">
        <f>IF(N11&lt;=0,0,MAX(0,AS12-Z12))</f>
        <v/>
      </c>
      <c r="O12">
        <f>IF(C11&lt;=0,0,MIN(AH12,C$7+IF(C$2=$AA12,$AC12,IF(C$2=$AF12,$AG12,0))))</f>
        <v/>
      </c>
      <c r="P12">
        <f>IF(D11&lt;=0,0,MIN(AI12,D$7+IF(D$2=$AA12,$AC12,IF(D$2=$AF12,$AG12,0))))</f>
        <v/>
      </c>
      <c r="Q12">
        <f>IF(E11&lt;=0,0,MIN(AJ12,E$7+IF(E$2=$AA12,$AC12,IF(E$2=$AF12,$AG12,0))))</f>
        <v/>
      </c>
      <c r="R12">
        <f>IF(F11&lt;=0,0,MIN(AK12,F$7+IF(F$2=$AA12,$AC12,IF(F$2=$AF12,$AG12,0))))</f>
        <v/>
      </c>
      <c r="S12">
        <f>IF(G11&lt;=0,0,MIN(AL12,G$7+IF(G$2=$AA12,$AC12,IF(G$2=$AF12,$AG12,0))))</f>
        <v/>
      </c>
      <c r="T12">
        <f>IF(H11&lt;=0,0,MIN(AM12,H$7+IF(H$2=$AA12,$AC12,IF(H$2=$AF12,$AG12,0))))</f>
        <v/>
      </c>
      <c r="U12">
        <f>IF(I11&lt;=0,0,MIN(AN12,I$7+IF(I$2=$AA12,$AC12,IF(I$2=$AF12,$AG12,0))))</f>
        <v/>
      </c>
      <c r="V12">
        <f>IF(J11&lt;=0,0,MIN(AO12,J$7+IF(J$2=$AA12,$AC12,IF(J$2=$AF12,$AG12,0))))</f>
        <v/>
      </c>
      <c r="W12">
        <f>IF(K11&lt;=0,0,MIN(AP12,K$7+IF(K$2=$AA12,$AC12,IF(K$2=$AF12,$AG12,0))))</f>
        <v/>
      </c>
      <c r="X12">
        <f>IF(L11&lt;=0,0,MIN(AQ12,L$7+IF(L$2=$AA12,$AC12,IF(L$2=$AF12,$AG12,0))))</f>
        <v/>
      </c>
      <c r="Y12">
        <f>IF(M11&lt;=0,0,MIN(AR12,M$7+IF(M$2=$AA12,$AC12,IF(M$2=$AF12,$AG12,0))))</f>
        <v/>
      </c>
      <c r="Z12">
        <f>IF(N11&lt;=0,0,MIN(AS12,N$7+IF(N$2=$AA12,$AC12,IF(N$2=$AF12,$AG12,0))))</f>
        <v/>
      </c>
      <c r="AA12">
        <f>IFERROR(ROUND(1/SUMPRODUCT(MAX((C11:N11&gt;0)*($C$3:$N$3&lt;=B12)/$C$2:$N$2)),0),0)</f>
        <v/>
      </c>
      <c r="AB12">
        <f>SUMPRODUCT((C11:N11&gt;0)*$C$7:$N$7)</f>
        <v/>
      </c>
      <c r="AC12">
        <f>MAX(0,Plan!$C$5-AB12)+IF(A12=Plan!$C$8,N(Plan!$C$7),0)</f>
        <v/>
      </c>
      <c r="AD12">
        <f>SUM(C12:N12)</f>
        <v/>
      </c>
      <c r="AE12">
        <f>SUM(O12:Z12)</f>
        <v/>
      </c>
      <c r="AF12">
        <f>IFERROR(ROUND(1/SUMPRODUCT(MAX((C11:N11&gt;0)*($C$3:$N$3&lt;=B12)*($C$2:$N$2&gt;AA12)/$C$2:$N$2)),0),0)</f>
        <v/>
      </c>
      <c r="AG12">
        <f>MAX(0,AC12-MAX(0,SUMPRODUCT(($C$2:$N$2=AA12)*(AH12:AS12-$C$7:$N$7))))</f>
        <v/>
      </c>
      <c r="AH12">
        <f>IF(C11&lt;=0,0,ROUND(C11*(1+IF(AND(C$6&gt;0,$B12&lt;C$6),C$4,C$5)/12),2))</f>
        <v/>
      </c>
      <c r="AI12">
        <f>IF(D11&lt;=0,0,ROUND(D11*(1+IF(AND(D$6&gt;0,$B12&lt;D$6),D$4,D$5)/12),2))</f>
        <v/>
      </c>
      <c r="AJ12">
        <f>IF(E11&lt;=0,0,ROUND(E11*(1+IF(AND(E$6&gt;0,$B12&lt;E$6),E$4,E$5)/12),2))</f>
        <v/>
      </c>
      <c r="AK12">
        <f>IF(F11&lt;=0,0,ROUND(F11*(1+IF(AND(F$6&gt;0,$B12&lt;F$6),F$4,F$5)/12),2))</f>
        <v/>
      </c>
      <c r="AL12">
        <f>IF(G11&lt;=0,0,ROUND(G11*(1+IF(AND(G$6&gt;0,$B12&lt;G$6),G$4,G$5)/12),2))</f>
        <v/>
      </c>
      <c r="AM12">
        <f>IF(H11&lt;=0,0,ROUND(H11*(1+IF(AND(H$6&gt;0,$B12&lt;H$6),H$4,H$5)/12),2))</f>
        <v/>
      </c>
      <c r="AN12">
        <f>IF(I11&lt;=0,0,ROUND(I11*(1+IF(AND(I$6&gt;0,$B12&lt;I$6),I$4,I$5)/12),2))</f>
        <v/>
      </c>
      <c r="AO12">
        <f>IF(J11&lt;=0,0,ROUND(J11*(1+IF(AND(J$6&gt;0,$B12&lt;J$6),J$4,J$5)/12),2))</f>
        <v/>
      </c>
      <c r="AP12">
        <f>IF(K11&lt;=0,0,ROUND(K11*(1+IF(AND(K$6&gt;0,$B12&lt;K$6),K$4,K$5)/12),2))</f>
        <v/>
      </c>
      <c r="AQ12">
        <f>IF(L11&lt;=0,0,ROUND(L11*(1+IF(AND(L$6&gt;0,$B12&lt;L$6),L$4,L$5)/12),2))</f>
        <v/>
      </c>
      <c r="AR12">
        <f>IF(M11&lt;=0,0,ROUND(M11*(1+IF(AND(M$6&gt;0,$B12&lt;M$6),M$4,M$5)/12),2))</f>
        <v/>
      </c>
      <c r="AS12">
        <f>IF(N11&lt;=0,0,ROUND(N11*(1+IF(AND(N$6&gt;0,$B12&lt;N$6),N$4,N$5)/12),2))</f>
        <v/>
      </c>
    </row>
    <row r="13">
      <c r="A13" t="n">
        <v>2</v>
      </c>
      <c r="B13">
        <f>EDATE(Plan!$C$6,1)</f>
        <v/>
      </c>
      <c r="C13">
        <f>IF(C12&lt;=0,0,MAX(0,AH13-O13))</f>
        <v/>
      </c>
      <c r="D13">
        <f>IF(D12&lt;=0,0,MAX(0,AI13-P13))</f>
        <v/>
      </c>
      <c r="E13">
        <f>IF(E12&lt;=0,0,MAX(0,AJ13-Q13))</f>
        <v/>
      </c>
      <c r="F13">
        <f>IF(F12&lt;=0,0,MAX(0,AK13-R13))</f>
        <v/>
      </c>
      <c r="G13">
        <f>IF(G12&lt;=0,0,MAX(0,AL13-S13))</f>
        <v/>
      </c>
      <c r="H13">
        <f>IF(H12&lt;=0,0,MAX(0,AM13-T13))</f>
        <v/>
      </c>
      <c r="I13">
        <f>IF(I12&lt;=0,0,MAX(0,AN13-U13))</f>
        <v/>
      </c>
      <c r="J13">
        <f>IF(J12&lt;=0,0,MAX(0,AO13-V13))</f>
        <v/>
      </c>
      <c r="K13">
        <f>IF(K12&lt;=0,0,MAX(0,AP13-W13))</f>
        <v/>
      </c>
      <c r="L13">
        <f>IF(L12&lt;=0,0,MAX(0,AQ13-X13))</f>
        <v/>
      </c>
      <c r="M13">
        <f>IF(M12&lt;=0,0,MAX(0,AR13-Y13))</f>
        <v/>
      </c>
      <c r="N13">
        <f>IF(N12&lt;=0,0,MAX(0,AS13-Z13))</f>
        <v/>
      </c>
      <c r="O13">
        <f>IF(C12&lt;=0,0,MIN(AH13,C$7+IF(C$2=$AA13,$AC13,IF(C$2=$AF13,$AG13,0))))</f>
        <v/>
      </c>
      <c r="P13">
        <f>IF(D12&lt;=0,0,MIN(AI13,D$7+IF(D$2=$AA13,$AC13,IF(D$2=$AF13,$AG13,0))))</f>
        <v/>
      </c>
      <c r="Q13">
        <f>IF(E12&lt;=0,0,MIN(AJ13,E$7+IF(E$2=$AA13,$AC13,IF(E$2=$AF13,$AG13,0))))</f>
        <v/>
      </c>
      <c r="R13">
        <f>IF(F12&lt;=0,0,MIN(AK13,F$7+IF(F$2=$AA13,$AC13,IF(F$2=$AF13,$AG13,0))))</f>
        <v/>
      </c>
      <c r="S13">
        <f>IF(G12&lt;=0,0,MIN(AL13,G$7+IF(G$2=$AA13,$AC13,IF(G$2=$AF13,$AG13,0))))</f>
        <v/>
      </c>
      <c r="T13">
        <f>IF(H12&lt;=0,0,MIN(AM13,H$7+IF(H$2=$AA13,$AC13,IF(H$2=$AF13,$AG13,0))))</f>
        <v/>
      </c>
      <c r="U13">
        <f>IF(I12&lt;=0,0,MIN(AN13,I$7+IF(I$2=$AA13,$AC13,IF(I$2=$AF13,$AG13,0))))</f>
        <v/>
      </c>
      <c r="V13">
        <f>IF(J12&lt;=0,0,MIN(AO13,J$7+IF(J$2=$AA13,$AC13,IF(J$2=$AF13,$AG13,0))))</f>
        <v/>
      </c>
      <c r="W13">
        <f>IF(K12&lt;=0,0,MIN(AP13,K$7+IF(K$2=$AA13,$AC13,IF(K$2=$AF13,$AG13,0))))</f>
        <v/>
      </c>
      <c r="X13">
        <f>IF(L12&lt;=0,0,MIN(AQ13,L$7+IF(L$2=$AA13,$AC13,IF(L$2=$AF13,$AG13,0))))</f>
        <v/>
      </c>
      <c r="Y13">
        <f>IF(M12&lt;=0,0,MIN(AR13,M$7+IF(M$2=$AA13,$AC13,IF(M$2=$AF13,$AG13,0))))</f>
        <v/>
      </c>
      <c r="Z13">
        <f>IF(N12&lt;=0,0,MIN(AS13,N$7+IF(N$2=$AA13,$AC13,IF(N$2=$AF13,$AG13,0))))</f>
        <v/>
      </c>
      <c r="AA13">
        <f>IFERROR(ROUND(1/SUMPRODUCT(MAX((C12:N12&gt;0)*($C$3:$N$3&lt;=B13)/$C$2:$N$2)),0),0)</f>
        <v/>
      </c>
      <c r="AB13">
        <f>SUMPRODUCT((C12:N12&gt;0)*$C$7:$N$7)</f>
        <v/>
      </c>
      <c r="AC13">
        <f>MAX(0,Plan!$C$5-AB13)+IF(A13=Plan!$C$8,N(Plan!$C$7),0)</f>
        <v/>
      </c>
      <c r="AD13">
        <f>SUM(C13:N13)</f>
        <v/>
      </c>
      <c r="AE13">
        <f>SUM(O13:Z13)</f>
        <v/>
      </c>
      <c r="AF13">
        <f>IFERROR(ROUND(1/SUMPRODUCT(MAX((C12:N12&gt;0)*($C$3:$N$3&lt;=B13)*($C$2:$N$2&gt;AA13)/$C$2:$N$2)),0),0)</f>
        <v/>
      </c>
      <c r="AG13">
        <f>MAX(0,AC13-MAX(0,SUMPRODUCT(($C$2:$N$2=AA13)*(AH13:AS13-$C$7:$N$7))))</f>
        <v/>
      </c>
      <c r="AH13">
        <f>IF(C12&lt;=0,0,ROUND(C12*(1+IF(AND(C$6&gt;0,$B13&lt;C$6),C$4,C$5)/12),2))</f>
        <v/>
      </c>
      <c r="AI13">
        <f>IF(D12&lt;=0,0,ROUND(D12*(1+IF(AND(D$6&gt;0,$B13&lt;D$6),D$4,D$5)/12),2))</f>
        <v/>
      </c>
      <c r="AJ13">
        <f>IF(E12&lt;=0,0,ROUND(E12*(1+IF(AND(E$6&gt;0,$B13&lt;E$6),E$4,E$5)/12),2))</f>
        <v/>
      </c>
      <c r="AK13">
        <f>IF(F12&lt;=0,0,ROUND(F12*(1+IF(AND(F$6&gt;0,$B13&lt;F$6),F$4,F$5)/12),2))</f>
        <v/>
      </c>
      <c r="AL13">
        <f>IF(G12&lt;=0,0,ROUND(G12*(1+IF(AND(G$6&gt;0,$B13&lt;G$6),G$4,G$5)/12),2))</f>
        <v/>
      </c>
      <c r="AM13">
        <f>IF(H12&lt;=0,0,ROUND(H12*(1+IF(AND(H$6&gt;0,$B13&lt;H$6),H$4,H$5)/12),2))</f>
        <v/>
      </c>
      <c r="AN13">
        <f>IF(I12&lt;=0,0,ROUND(I12*(1+IF(AND(I$6&gt;0,$B13&lt;I$6),I$4,I$5)/12),2))</f>
        <v/>
      </c>
      <c r="AO13">
        <f>IF(J12&lt;=0,0,ROUND(J12*(1+IF(AND(J$6&gt;0,$B13&lt;J$6),J$4,J$5)/12),2))</f>
        <v/>
      </c>
      <c r="AP13">
        <f>IF(K12&lt;=0,0,ROUND(K12*(1+IF(AND(K$6&gt;0,$B13&lt;K$6),K$4,K$5)/12),2))</f>
        <v/>
      </c>
      <c r="AQ13">
        <f>IF(L12&lt;=0,0,ROUND(L12*(1+IF(AND(L$6&gt;0,$B13&lt;L$6),L$4,L$5)/12),2))</f>
        <v/>
      </c>
      <c r="AR13">
        <f>IF(M12&lt;=0,0,ROUND(M12*(1+IF(AND(M$6&gt;0,$B13&lt;M$6),M$4,M$5)/12),2))</f>
        <v/>
      </c>
      <c r="AS13">
        <f>IF(N12&lt;=0,0,ROUND(N12*(1+IF(AND(N$6&gt;0,$B13&lt;N$6),N$4,N$5)/12),2))</f>
        <v/>
      </c>
    </row>
    <row r="14">
      <c r="A14" t="n">
        <v>3</v>
      </c>
      <c r="B14">
        <f>EDATE(Plan!$C$6,2)</f>
        <v/>
      </c>
      <c r="C14">
        <f>IF(C13&lt;=0,0,MAX(0,AH14-O14))</f>
        <v/>
      </c>
      <c r="D14">
        <f>IF(D13&lt;=0,0,MAX(0,AI14-P14))</f>
        <v/>
      </c>
      <c r="E14">
        <f>IF(E13&lt;=0,0,MAX(0,AJ14-Q14))</f>
        <v/>
      </c>
      <c r="F14">
        <f>IF(F13&lt;=0,0,MAX(0,AK14-R14))</f>
        <v/>
      </c>
      <c r="G14">
        <f>IF(G13&lt;=0,0,MAX(0,AL14-S14))</f>
        <v/>
      </c>
      <c r="H14">
        <f>IF(H13&lt;=0,0,MAX(0,AM14-T14))</f>
        <v/>
      </c>
      <c r="I14">
        <f>IF(I13&lt;=0,0,MAX(0,AN14-U14))</f>
        <v/>
      </c>
      <c r="J14">
        <f>IF(J13&lt;=0,0,MAX(0,AO14-V14))</f>
        <v/>
      </c>
      <c r="K14">
        <f>IF(K13&lt;=0,0,MAX(0,AP14-W14))</f>
        <v/>
      </c>
      <c r="L14">
        <f>IF(L13&lt;=0,0,MAX(0,AQ14-X14))</f>
        <v/>
      </c>
      <c r="M14">
        <f>IF(M13&lt;=0,0,MAX(0,AR14-Y14))</f>
        <v/>
      </c>
      <c r="N14">
        <f>IF(N13&lt;=0,0,MAX(0,AS14-Z14))</f>
        <v/>
      </c>
      <c r="O14">
        <f>IF(C13&lt;=0,0,MIN(AH14,C$7+IF(C$2=$AA14,$AC14,IF(C$2=$AF14,$AG14,0))))</f>
        <v/>
      </c>
      <c r="P14">
        <f>IF(D13&lt;=0,0,MIN(AI14,D$7+IF(D$2=$AA14,$AC14,IF(D$2=$AF14,$AG14,0))))</f>
        <v/>
      </c>
      <c r="Q14">
        <f>IF(E13&lt;=0,0,MIN(AJ14,E$7+IF(E$2=$AA14,$AC14,IF(E$2=$AF14,$AG14,0))))</f>
        <v/>
      </c>
      <c r="R14">
        <f>IF(F13&lt;=0,0,MIN(AK14,F$7+IF(F$2=$AA14,$AC14,IF(F$2=$AF14,$AG14,0))))</f>
        <v/>
      </c>
      <c r="S14">
        <f>IF(G13&lt;=0,0,MIN(AL14,G$7+IF(G$2=$AA14,$AC14,IF(G$2=$AF14,$AG14,0))))</f>
        <v/>
      </c>
      <c r="T14">
        <f>IF(H13&lt;=0,0,MIN(AM14,H$7+IF(H$2=$AA14,$AC14,IF(H$2=$AF14,$AG14,0))))</f>
        <v/>
      </c>
      <c r="U14">
        <f>IF(I13&lt;=0,0,MIN(AN14,I$7+IF(I$2=$AA14,$AC14,IF(I$2=$AF14,$AG14,0))))</f>
        <v/>
      </c>
      <c r="V14">
        <f>IF(J13&lt;=0,0,MIN(AO14,J$7+IF(J$2=$AA14,$AC14,IF(J$2=$AF14,$AG14,0))))</f>
        <v/>
      </c>
      <c r="W14">
        <f>IF(K13&lt;=0,0,MIN(AP14,K$7+IF(K$2=$AA14,$AC14,IF(K$2=$AF14,$AG14,0))))</f>
        <v/>
      </c>
      <c r="X14">
        <f>IF(L13&lt;=0,0,MIN(AQ14,L$7+IF(L$2=$AA14,$AC14,IF(L$2=$AF14,$AG14,0))))</f>
        <v/>
      </c>
      <c r="Y14">
        <f>IF(M13&lt;=0,0,MIN(AR14,M$7+IF(M$2=$AA14,$AC14,IF(M$2=$AF14,$AG14,0))))</f>
        <v/>
      </c>
      <c r="Z14">
        <f>IF(N13&lt;=0,0,MIN(AS14,N$7+IF(N$2=$AA14,$AC14,IF(N$2=$AF14,$AG14,0))))</f>
        <v/>
      </c>
      <c r="AA14">
        <f>IFERROR(ROUND(1/SUMPRODUCT(MAX((C13:N13&gt;0)*($C$3:$N$3&lt;=B14)/$C$2:$N$2)),0),0)</f>
        <v/>
      </c>
      <c r="AB14">
        <f>SUMPRODUCT((C13:N13&gt;0)*$C$7:$N$7)</f>
        <v/>
      </c>
      <c r="AC14">
        <f>MAX(0,Plan!$C$5-AB14)+IF(A14=Plan!$C$8,N(Plan!$C$7),0)</f>
        <v/>
      </c>
      <c r="AD14">
        <f>SUM(C14:N14)</f>
        <v/>
      </c>
      <c r="AE14">
        <f>SUM(O14:Z14)</f>
        <v/>
      </c>
      <c r="AF14">
        <f>IFERROR(ROUND(1/SUMPRODUCT(MAX((C13:N13&gt;0)*($C$3:$N$3&lt;=B14)*($C$2:$N$2&gt;AA14)/$C$2:$N$2)),0),0)</f>
        <v/>
      </c>
      <c r="AG14">
        <f>MAX(0,AC14-MAX(0,SUMPRODUCT(($C$2:$N$2=AA14)*(AH14:AS14-$C$7:$N$7))))</f>
        <v/>
      </c>
      <c r="AH14">
        <f>IF(C13&lt;=0,0,ROUND(C13*(1+IF(AND(C$6&gt;0,$B14&lt;C$6),C$4,C$5)/12),2))</f>
        <v/>
      </c>
      <c r="AI14">
        <f>IF(D13&lt;=0,0,ROUND(D13*(1+IF(AND(D$6&gt;0,$B14&lt;D$6),D$4,D$5)/12),2))</f>
        <v/>
      </c>
      <c r="AJ14">
        <f>IF(E13&lt;=0,0,ROUND(E13*(1+IF(AND(E$6&gt;0,$B14&lt;E$6),E$4,E$5)/12),2))</f>
        <v/>
      </c>
      <c r="AK14">
        <f>IF(F13&lt;=0,0,ROUND(F13*(1+IF(AND(F$6&gt;0,$B14&lt;F$6),F$4,F$5)/12),2))</f>
        <v/>
      </c>
      <c r="AL14">
        <f>IF(G13&lt;=0,0,ROUND(G13*(1+IF(AND(G$6&gt;0,$B14&lt;G$6),G$4,G$5)/12),2))</f>
        <v/>
      </c>
      <c r="AM14">
        <f>IF(H13&lt;=0,0,ROUND(H13*(1+IF(AND(H$6&gt;0,$B14&lt;H$6),H$4,H$5)/12),2))</f>
        <v/>
      </c>
      <c r="AN14">
        <f>IF(I13&lt;=0,0,ROUND(I13*(1+IF(AND(I$6&gt;0,$B14&lt;I$6),I$4,I$5)/12),2))</f>
        <v/>
      </c>
      <c r="AO14">
        <f>IF(J13&lt;=0,0,ROUND(J13*(1+IF(AND(J$6&gt;0,$B14&lt;J$6),J$4,J$5)/12),2))</f>
        <v/>
      </c>
      <c r="AP14">
        <f>IF(K13&lt;=0,0,ROUND(K13*(1+IF(AND(K$6&gt;0,$B14&lt;K$6),K$4,K$5)/12),2))</f>
        <v/>
      </c>
      <c r="AQ14">
        <f>IF(L13&lt;=0,0,ROUND(L13*(1+IF(AND(L$6&gt;0,$B14&lt;L$6),L$4,L$5)/12),2))</f>
        <v/>
      </c>
      <c r="AR14">
        <f>IF(M13&lt;=0,0,ROUND(M13*(1+IF(AND(M$6&gt;0,$B14&lt;M$6),M$4,M$5)/12),2))</f>
        <v/>
      </c>
      <c r="AS14">
        <f>IF(N13&lt;=0,0,ROUND(N13*(1+IF(AND(N$6&gt;0,$B14&lt;N$6),N$4,N$5)/12),2))</f>
        <v/>
      </c>
    </row>
    <row r="15">
      <c r="A15" t="n">
        <v>4</v>
      </c>
      <c r="B15">
        <f>EDATE(Plan!$C$6,3)</f>
        <v/>
      </c>
      <c r="C15">
        <f>IF(C14&lt;=0,0,MAX(0,AH15-O15))</f>
        <v/>
      </c>
      <c r="D15">
        <f>IF(D14&lt;=0,0,MAX(0,AI15-P15))</f>
        <v/>
      </c>
      <c r="E15">
        <f>IF(E14&lt;=0,0,MAX(0,AJ15-Q15))</f>
        <v/>
      </c>
      <c r="F15">
        <f>IF(F14&lt;=0,0,MAX(0,AK15-R15))</f>
        <v/>
      </c>
      <c r="G15">
        <f>IF(G14&lt;=0,0,MAX(0,AL15-S15))</f>
        <v/>
      </c>
      <c r="H15">
        <f>IF(H14&lt;=0,0,MAX(0,AM15-T15))</f>
        <v/>
      </c>
      <c r="I15">
        <f>IF(I14&lt;=0,0,MAX(0,AN15-U15))</f>
        <v/>
      </c>
      <c r="J15">
        <f>IF(J14&lt;=0,0,MAX(0,AO15-V15))</f>
        <v/>
      </c>
      <c r="K15">
        <f>IF(K14&lt;=0,0,MAX(0,AP15-W15))</f>
        <v/>
      </c>
      <c r="L15">
        <f>IF(L14&lt;=0,0,MAX(0,AQ15-X15))</f>
        <v/>
      </c>
      <c r="M15">
        <f>IF(M14&lt;=0,0,MAX(0,AR15-Y15))</f>
        <v/>
      </c>
      <c r="N15">
        <f>IF(N14&lt;=0,0,MAX(0,AS15-Z15))</f>
        <v/>
      </c>
      <c r="O15">
        <f>IF(C14&lt;=0,0,MIN(AH15,C$7+IF(C$2=$AA15,$AC15,IF(C$2=$AF15,$AG15,0))))</f>
        <v/>
      </c>
      <c r="P15">
        <f>IF(D14&lt;=0,0,MIN(AI15,D$7+IF(D$2=$AA15,$AC15,IF(D$2=$AF15,$AG15,0))))</f>
        <v/>
      </c>
      <c r="Q15">
        <f>IF(E14&lt;=0,0,MIN(AJ15,E$7+IF(E$2=$AA15,$AC15,IF(E$2=$AF15,$AG15,0))))</f>
        <v/>
      </c>
      <c r="R15">
        <f>IF(F14&lt;=0,0,MIN(AK15,F$7+IF(F$2=$AA15,$AC15,IF(F$2=$AF15,$AG15,0))))</f>
        <v/>
      </c>
      <c r="S15">
        <f>IF(G14&lt;=0,0,MIN(AL15,G$7+IF(G$2=$AA15,$AC15,IF(G$2=$AF15,$AG15,0))))</f>
        <v/>
      </c>
      <c r="T15">
        <f>IF(H14&lt;=0,0,MIN(AM15,H$7+IF(H$2=$AA15,$AC15,IF(H$2=$AF15,$AG15,0))))</f>
        <v/>
      </c>
      <c r="U15">
        <f>IF(I14&lt;=0,0,MIN(AN15,I$7+IF(I$2=$AA15,$AC15,IF(I$2=$AF15,$AG15,0))))</f>
        <v/>
      </c>
      <c r="V15">
        <f>IF(J14&lt;=0,0,MIN(AO15,J$7+IF(J$2=$AA15,$AC15,IF(J$2=$AF15,$AG15,0))))</f>
        <v/>
      </c>
      <c r="W15">
        <f>IF(K14&lt;=0,0,MIN(AP15,K$7+IF(K$2=$AA15,$AC15,IF(K$2=$AF15,$AG15,0))))</f>
        <v/>
      </c>
      <c r="X15">
        <f>IF(L14&lt;=0,0,MIN(AQ15,L$7+IF(L$2=$AA15,$AC15,IF(L$2=$AF15,$AG15,0))))</f>
        <v/>
      </c>
      <c r="Y15">
        <f>IF(M14&lt;=0,0,MIN(AR15,M$7+IF(M$2=$AA15,$AC15,IF(M$2=$AF15,$AG15,0))))</f>
        <v/>
      </c>
      <c r="Z15">
        <f>IF(N14&lt;=0,0,MIN(AS15,N$7+IF(N$2=$AA15,$AC15,IF(N$2=$AF15,$AG15,0))))</f>
        <v/>
      </c>
      <c r="AA15">
        <f>IFERROR(ROUND(1/SUMPRODUCT(MAX((C14:N14&gt;0)*($C$3:$N$3&lt;=B15)/$C$2:$N$2)),0),0)</f>
        <v/>
      </c>
      <c r="AB15">
        <f>SUMPRODUCT((C14:N14&gt;0)*$C$7:$N$7)</f>
        <v/>
      </c>
      <c r="AC15">
        <f>MAX(0,Plan!$C$5-AB15)+IF(A15=Plan!$C$8,N(Plan!$C$7),0)</f>
        <v/>
      </c>
      <c r="AD15">
        <f>SUM(C15:N15)</f>
        <v/>
      </c>
      <c r="AE15">
        <f>SUM(O15:Z15)</f>
        <v/>
      </c>
      <c r="AF15">
        <f>IFERROR(ROUND(1/SUMPRODUCT(MAX((C14:N14&gt;0)*($C$3:$N$3&lt;=B15)*($C$2:$N$2&gt;AA15)/$C$2:$N$2)),0),0)</f>
        <v/>
      </c>
      <c r="AG15">
        <f>MAX(0,AC15-MAX(0,SUMPRODUCT(($C$2:$N$2=AA15)*(AH15:AS15-$C$7:$N$7))))</f>
        <v/>
      </c>
      <c r="AH15">
        <f>IF(C14&lt;=0,0,ROUND(C14*(1+IF(AND(C$6&gt;0,$B15&lt;C$6),C$4,C$5)/12),2))</f>
        <v/>
      </c>
      <c r="AI15">
        <f>IF(D14&lt;=0,0,ROUND(D14*(1+IF(AND(D$6&gt;0,$B15&lt;D$6),D$4,D$5)/12),2))</f>
        <v/>
      </c>
      <c r="AJ15">
        <f>IF(E14&lt;=0,0,ROUND(E14*(1+IF(AND(E$6&gt;0,$B15&lt;E$6),E$4,E$5)/12),2))</f>
        <v/>
      </c>
      <c r="AK15">
        <f>IF(F14&lt;=0,0,ROUND(F14*(1+IF(AND(F$6&gt;0,$B15&lt;F$6),F$4,F$5)/12),2))</f>
        <v/>
      </c>
      <c r="AL15">
        <f>IF(G14&lt;=0,0,ROUND(G14*(1+IF(AND(G$6&gt;0,$B15&lt;G$6),G$4,G$5)/12),2))</f>
        <v/>
      </c>
      <c r="AM15">
        <f>IF(H14&lt;=0,0,ROUND(H14*(1+IF(AND(H$6&gt;0,$B15&lt;H$6),H$4,H$5)/12),2))</f>
        <v/>
      </c>
      <c r="AN15">
        <f>IF(I14&lt;=0,0,ROUND(I14*(1+IF(AND(I$6&gt;0,$B15&lt;I$6),I$4,I$5)/12),2))</f>
        <v/>
      </c>
      <c r="AO15">
        <f>IF(J14&lt;=0,0,ROUND(J14*(1+IF(AND(J$6&gt;0,$B15&lt;J$6),J$4,J$5)/12),2))</f>
        <v/>
      </c>
      <c r="AP15">
        <f>IF(K14&lt;=0,0,ROUND(K14*(1+IF(AND(K$6&gt;0,$B15&lt;K$6),K$4,K$5)/12),2))</f>
        <v/>
      </c>
      <c r="AQ15">
        <f>IF(L14&lt;=0,0,ROUND(L14*(1+IF(AND(L$6&gt;0,$B15&lt;L$6),L$4,L$5)/12),2))</f>
        <v/>
      </c>
      <c r="AR15">
        <f>IF(M14&lt;=0,0,ROUND(M14*(1+IF(AND(M$6&gt;0,$B15&lt;M$6),M$4,M$5)/12),2))</f>
        <v/>
      </c>
      <c r="AS15">
        <f>IF(N14&lt;=0,0,ROUND(N14*(1+IF(AND(N$6&gt;0,$B15&lt;N$6),N$4,N$5)/12),2))</f>
        <v/>
      </c>
    </row>
    <row r="16">
      <c r="A16" t="n">
        <v>5</v>
      </c>
      <c r="B16">
        <f>EDATE(Plan!$C$6,4)</f>
        <v/>
      </c>
      <c r="C16">
        <f>IF(C15&lt;=0,0,MAX(0,AH16-O16))</f>
        <v/>
      </c>
      <c r="D16">
        <f>IF(D15&lt;=0,0,MAX(0,AI16-P16))</f>
        <v/>
      </c>
      <c r="E16">
        <f>IF(E15&lt;=0,0,MAX(0,AJ16-Q16))</f>
        <v/>
      </c>
      <c r="F16">
        <f>IF(F15&lt;=0,0,MAX(0,AK16-R16))</f>
        <v/>
      </c>
      <c r="G16">
        <f>IF(G15&lt;=0,0,MAX(0,AL16-S16))</f>
        <v/>
      </c>
      <c r="H16">
        <f>IF(H15&lt;=0,0,MAX(0,AM16-T16))</f>
        <v/>
      </c>
      <c r="I16">
        <f>IF(I15&lt;=0,0,MAX(0,AN16-U16))</f>
        <v/>
      </c>
      <c r="J16">
        <f>IF(J15&lt;=0,0,MAX(0,AO16-V16))</f>
        <v/>
      </c>
      <c r="K16">
        <f>IF(K15&lt;=0,0,MAX(0,AP16-W16))</f>
        <v/>
      </c>
      <c r="L16">
        <f>IF(L15&lt;=0,0,MAX(0,AQ16-X16))</f>
        <v/>
      </c>
      <c r="M16">
        <f>IF(M15&lt;=0,0,MAX(0,AR16-Y16))</f>
        <v/>
      </c>
      <c r="N16">
        <f>IF(N15&lt;=0,0,MAX(0,AS16-Z16))</f>
        <v/>
      </c>
      <c r="O16">
        <f>IF(C15&lt;=0,0,MIN(AH16,C$7+IF(C$2=$AA16,$AC16,IF(C$2=$AF16,$AG16,0))))</f>
        <v/>
      </c>
      <c r="P16">
        <f>IF(D15&lt;=0,0,MIN(AI16,D$7+IF(D$2=$AA16,$AC16,IF(D$2=$AF16,$AG16,0))))</f>
        <v/>
      </c>
      <c r="Q16">
        <f>IF(E15&lt;=0,0,MIN(AJ16,E$7+IF(E$2=$AA16,$AC16,IF(E$2=$AF16,$AG16,0))))</f>
        <v/>
      </c>
      <c r="R16">
        <f>IF(F15&lt;=0,0,MIN(AK16,F$7+IF(F$2=$AA16,$AC16,IF(F$2=$AF16,$AG16,0))))</f>
        <v/>
      </c>
      <c r="S16">
        <f>IF(G15&lt;=0,0,MIN(AL16,G$7+IF(G$2=$AA16,$AC16,IF(G$2=$AF16,$AG16,0))))</f>
        <v/>
      </c>
      <c r="T16">
        <f>IF(H15&lt;=0,0,MIN(AM16,H$7+IF(H$2=$AA16,$AC16,IF(H$2=$AF16,$AG16,0))))</f>
        <v/>
      </c>
      <c r="U16">
        <f>IF(I15&lt;=0,0,MIN(AN16,I$7+IF(I$2=$AA16,$AC16,IF(I$2=$AF16,$AG16,0))))</f>
        <v/>
      </c>
      <c r="V16">
        <f>IF(J15&lt;=0,0,MIN(AO16,J$7+IF(J$2=$AA16,$AC16,IF(J$2=$AF16,$AG16,0))))</f>
        <v/>
      </c>
      <c r="W16">
        <f>IF(K15&lt;=0,0,MIN(AP16,K$7+IF(K$2=$AA16,$AC16,IF(K$2=$AF16,$AG16,0))))</f>
        <v/>
      </c>
      <c r="X16">
        <f>IF(L15&lt;=0,0,MIN(AQ16,L$7+IF(L$2=$AA16,$AC16,IF(L$2=$AF16,$AG16,0))))</f>
        <v/>
      </c>
      <c r="Y16">
        <f>IF(M15&lt;=0,0,MIN(AR16,M$7+IF(M$2=$AA16,$AC16,IF(M$2=$AF16,$AG16,0))))</f>
        <v/>
      </c>
      <c r="Z16">
        <f>IF(N15&lt;=0,0,MIN(AS16,N$7+IF(N$2=$AA16,$AC16,IF(N$2=$AF16,$AG16,0))))</f>
        <v/>
      </c>
      <c r="AA16">
        <f>IFERROR(ROUND(1/SUMPRODUCT(MAX((C15:N15&gt;0)*($C$3:$N$3&lt;=B16)/$C$2:$N$2)),0),0)</f>
        <v/>
      </c>
      <c r="AB16">
        <f>SUMPRODUCT((C15:N15&gt;0)*$C$7:$N$7)</f>
        <v/>
      </c>
      <c r="AC16">
        <f>MAX(0,Plan!$C$5-AB16)+IF(A16=Plan!$C$8,N(Plan!$C$7),0)</f>
        <v/>
      </c>
      <c r="AD16">
        <f>SUM(C16:N16)</f>
        <v/>
      </c>
      <c r="AE16">
        <f>SUM(O16:Z16)</f>
        <v/>
      </c>
      <c r="AF16">
        <f>IFERROR(ROUND(1/SUMPRODUCT(MAX((C15:N15&gt;0)*($C$3:$N$3&lt;=B16)*($C$2:$N$2&gt;AA16)/$C$2:$N$2)),0),0)</f>
        <v/>
      </c>
      <c r="AG16">
        <f>MAX(0,AC16-MAX(0,SUMPRODUCT(($C$2:$N$2=AA16)*(AH16:AS16-$C$7:$N$7))))</f>
        <v/>
      </c>
      <c r="AH16">
        <f>IF(C15&lt;=0,0,ROUND(C15*(1+IF(AND(C$6&gt;0,$B16&lt;C$6),C$4,C$5)/12),2))</f>
        <v/>
      </c>
      <c r="AI16">
        <f>IF(D15&lt;=0,0,ROUND(D15*(1+IF(AND(D$6&gt;0,$B16&lt;D$6),D$4,D$5)/12),2))</f>
        <v/>
      </c>
      <c r="AJ16">
        <f>IF(E15&lt;=0,0,ROUND(E15*(1+IF(AND(E$6&gt;0,$B16&lt;E$6),E$4,E$5)/12),2))</f>
        <v/>
      </c>
      <c r="AK16">
        <f>IF(F15&lt;=0,0,ROUND(F15*(1+IF(AND(F$6&gt;0,$B16&lt;F$6),F$4,F$5)/12),2))</f>
        <v/>
      </c>
      <c r="AL16">
        <f>IF(G15&lt;=0,0,ROUND(G15*(1+IF(AND(G$6&gt;0,$B16&lt;G$6),G$4,G$5)/12),2))</f>
        <v/>
      </c>
      <c r="AM16">
        <f>IF(H15&lt;=0,0,ROUND(H15*(1+IF(AND(H$6&gt;0,$B16&lt;H$6),H$4,H$5)/12),2))</f>
        <v/>
      </c>
      <c r="AN16">
        <f>IF(I15&lt;=0,0,ROUND(I15*(1+IF(AND(I$6&gt;0,$B16&lt;I$6),I$4,I$5)/12),2))</f>
        <v/>
      </c>
      <c r="AO16">
        <f>IF(J15&lt;=0,0,ROUND(J15*(1+IF(AND(J$6&gt;0,$B16&lt;J$6),J$4,J$5)/12),2))</f>
        <v/>
      </c>
      <c r="AP16">
        <f>IF(K15&lt;=0,0,ROUND(K15*(1+IF(AND(K$6&gt;0,$B16&lt;K$6),K$4,K$5)/12),2))</f>
        <v/>
      </c>
      <c r="AQ16">
        <f>IF(L15&lt;=0,0,ROUND(L15*(1+IF(AND(L$6&gt;0,$B16&lt;L$6),L$4,L$5)/12),2))</f>
        <v/>
      </c>
      <c r="AR16">
        <f>IF(M15&lt;=0,0,ROUND(M15*(1+IF(AND(M$6&gt;0,$B16&lt;M$6),M$4,M$5)/12),2))</f>
        <v/>
      </c>
      <c r="AS16">
        <f>IF(N15&lt;=0,0,ROUND(N15*(1+IF(AND(N$6&gt;0,$B16&lt;N$6),N$4,N$5)/12),2))</f>
        <v/>
      </c>
    </row>
    <row r="17">
      <c r="A17" t="n">
        <v>6</v>
      </c>
      <c r="B17">
        <f>EDATE(Plan!$C$6,5)</f>
        <v/>
      </c>
      <c r="C17">
        <f>IF(C16&lt;=0,0,MAX(0,AH17-O17))</f>
        <v/>
      </c>
      <c r="D17">
        <f>IF(D16&lt;=0,0,MAX(0,AI17-P17))</f>
        <v/>
      </c>
      <c r="E17">
        <f>IF(E16&lt;=0,0,MAX(0,AJ17-Q17))</f>
        <v/>
      </c>
      <c r="F17">
        <f>IF(F16&lt;=0,0,MAX(0,AK17-R17))</f>
        <v/>
      </c>
      <c r="G17">
        <f>IF(G16&lt;=0,0,MAX(0,AL17-S17))</f>
        <v/>
      </c>
      <c r="H17">
        <f>IF(H16&lt;=0,0,MAX(0,AM17-T17))</f>
        <v/>
      </c>
      <c r="I17">
        <f>IF(I16&lt;=0,0,MAX(0,AN17-U17))</f>
        <v/>
      </c>
      <c r="J17">
        <f>IF(J16&lt;=0,0,MAX(0,AO17-V17))</f>
        <v/>
      </c>
      <c r="K17">
        <f>IF(K16&lt;=0,0,MAX(0,AP17-W17))</f>
        <v/>
      </c>
      <c r="L17">
        <f>IF(L16&lt;=0,0,MAX(0,AQ17-X17))</f>
        <v/>
      </c>
      <c r="M17">
        <f>IF(M16&lt;=0,0,MAX(0,AR17-Y17))</f>
        <v/>
      </c>
      <c r="N17">
        <f>IF(N16&lt;=0,0,MAX(0,AS17-Z17))</f>
        <v/>
      </c>
      <c r="O17">
        <f>IF(C16&lt;=0,0,MIN(AH17,C$7+IF(C$2=$AA17,$AC17,IF(C$2=$AF17,$AG17,0))))</f>
        <v/>
      </c>
      <c r="P17">
        <f>IF(D16&lt;=0,0,MIN(AI17,D$7+IF(D$2=$AA17,$AC17,IF(D$2=$AF17,$AG17,0))))</f>
        <v/>
      </c>
      <c r="Q17">
        <f>IF(E16&lt;=0,0,MIN(AJ17,E$7+IF(E$2=$AA17,$AC17,IF(E$2=$AF17,$AG17,0))))</f>
        <v/>
      </c>
      <c r="R17">
        <f>IF(F16&lt;=0,0,MIN(AK17,F$7+IF(F$2=$AA17,$AC17,IF(F$2=$AF17,$AG17,0))))</f>
        <v/>
      </c>
      <c r="S17">
        <f>IF(G16&lt;=0,0,MIN(AL17,G$7+IF(G$2=$AA17,$AC17,IF(G$2=$AF17,$AG17,0))))</f>
        <v/>
      </c>
      <c r="T17">
        <f>IF(H16&lt;=0,0,MIN(AM17,H$7+IF(H$2=$AA17,$AC17,IF(H$2=$AF17,$AG17,0))))</f>
        <v/>
      </c>
      <c r="U17">
        <f>IF(I16&lt;=0,0,MIN(AN17,I$7+IF(I$2=$AA17,$AC17,IF(I$2=$AF17,$AG17,0))))</f>
        <v/>
      </c>
      <c r="V17">
        <f>IF(J16&lt;=0,0,MIN(AO17,J$7+IF(J$2=$AA17,$AC17,IF(J$2=$AF17,$AG17,0))))</f>
        <v/>
      </c>
      <c r="W17">
        <f>IF(K16&lt;=0,0,MIN(AP17,K$7+IF(K$2=$AA17,$AC17,IF(K$2=$AF17,$AG17,0))))</f>
        <v/>
      </c>
      <c r="X17">
        <f>IF(L16&lt;=0,0,MIN(AQ17,L$7+IF(L$2=$AA17,$AC17,IF(L$2=$AF17,$AG17,0))))</f>
        <v/>
      </c>
      <c r="Y17">
        <f>IF(M16&lt;=0,0,MIN(AR17,M$7+IF(M$2=$AA17,$AC17,IF(M$2=$AF17,$AG17,0))))</f>
        <v/>
      </c>
      <c r="Z17">
        <f>IF(N16&lt;=0,0,MIN(AS17,N$7+IF(N$2=$AA17,$AC17,IF(N$2=$AF17,$AG17,0))))</f>
        <v/>
      </c>
      <c r="AA17">
        <f>IFERROR(ROUND(1/SUMPRODUCT(MAX((C16:N16&gt;0)*($C$3:$N$3&lt;=B17)/$C$2:$N$2)),0),0)</f>
        <v/>
      </c>
      <c r="AB17">
        <f>SUMPRODUCT((C16:N16&gt;0)*$C$7:$N$7)</f>
        <v/>
      </c>
      <c r="AC17">
        <f>MAX(0,Plan!$C$5-AB17)+IF(A17=Plan!$C$8,N(Plan!$C$7),0)</f>
        <v/>
      </c>
      <c r="AD17">
        <f>SUM(C17:N17)</f>
        <v/>
      </c>
      <c r="AE17">
        <f>SUM(O17:Z17)</f>
        <v/>
      </c>
      <c r="AF17">
        <f>IFERROR(ROUND(1/SUMPRODUCT(MAX((C16:N16&gt;0)*($C$3:$N$3&lt;=B17)*($C$2:$N$2&gt;AA17)/$C$2:$N$2)),0),0)</f>
        <v/>
      </c>
      <c r="AG17">
        <f>MAX(0,AC17-MAX(0,SUMPRODUCT(($C$2:$N$2=AA17)*(AH17:AS17-$C$7:$N$7))))</f>
        <v/>
      </c>
      <c r="AH17">
        <f>IF(C16&lt;=0,0,ROUND(C16*(1+IF(AND(C$6&gt;0,$B17&lt;C$6),C$4,C$5)/12),2))</f>
        <v/>
      </c>
      <c r="AI17">
        <f>IF(D16&lt;=0,0,ROUND(D16*(1+IF(AND(D$6&gt;0,$B17&lt;D$6),D$4,D$5)/12),2))</f>
        <v/>
      </c>
      <c r="AJ17">
        <f>IF(E16&lt;=0,0,ROUND(E16*(1+IF(AND(E$6&gt;0,$B17&lt;E$6),E$4,E$5)/12),2))</f>
        <v/>
      </c>
      <c r="AK17">
        <f>IF(F16&lt;=0,0,ROUND(F16*(1+IF(AND(F$6&gt;0,$B17&lt;F$6),F$4,F$5)/12),2))</f>
        <v/>
      </c>
      <c r="AL17">
        <f>IF(G16&lt;=0,0,ROUND(G16*(1+IF(AND(G$6&gt;0,$B17&lt;G$6),G$4,G$5)/12),2))</f>
        <v/>
      </c>
      <c r="AM17">
        <f>IF(H16&lt;=0,0,ROUND(H16*(1+IF(AND(H$6&gt;0,$B17&lt;H$6),H$4,H$5)/12),2))</f>
        <v/>
      </c>
      <c r="AN17">
        <f>IF(I16&lt;=0,0,ROUND(I16*(1+IF(AND(I$6&gt;0,$B17&lt;I$6),I$4,I$5)/12),2))</f>
        <v/>
      </c>
      <c r="AO17">
        <f>IF(J16&lt;=0,0,ROUND(J16*(1+IF(AND(J$6&gt;0,$B17&lt;J$6),J$4,J$5)/12),2))</f>
        <v/>
      </c>
      <c r="AP17">
        <f>IF(K16&lt;=0,0,ROUND(K16*(1+IF(AND(K$6&gt;0,$B17&lt;K$6),K$4,K$5)/12),2))</f>
        <v/>
      </c>
      <c r="AQ17">
        <f>IF(L16&lt;=0,0,ROUND(L16*(1+IF(AND(L$6&gt;0,$B17&lt;L$6),L$4,L$5)/12),2))</f>
        <v/>
      </c>
      <c r="AR17">
        <f>IF(M16&lt;=0,0,ROUND(M16*(1+IF(AND(M$6&gt;0,$B17&lt;M$6),M$4,M$5)/12),2))</f>
        <v/>
      </c>
      <c r="AS17">
        <f>IF(N16&lt;=0,0,ROUND(N16*(1+IF(AND(N$6&gt;0,$B17&lt;N$6),N$4,N$5)/12),2))</f>
        <v/>
      </c>
    </row>
    <row r="18">
      <c r="A18" t="n">
        <v>7</v>
      </c>
      <c r="B18">
        <f>EDATE(Plan!$C$6,6)</f>
        <v/>
      </c>
      <c r="C18">
        <f>IF(C17&lt;=0,0,MAX(0,AH18-O18))</f>
        <v/>
      </c>
      <c r="D18">
        <f>IF(D17&lt;=0,0,MAX(0,AI18-P18))</f>
        <v/>
      </c>
      <c r="E18">
        <f>IF(E17&lt;=0,0,MAX(0,AJ18-Q18))</f>
        <v/>
      </c>
      <c r="F18">
        <f>IF(F17&lt;=0,0,MAX(0,AK18-R18))</f>
        <v/>
      </c>
      <c r="G18">
        <f>IF(G17&lt;=0,0,MAX(0,AL18-S18))</f>
        <v/>
      </c>
      <c r="H18">
        <f>IF(H17&lt;=0,0,MAX(0,AM18-T18))</f>
        <v/>
      </c>
      <c r="I18">
        <f>IF(I17&lt;=0,0,MAX(0,AN18-U18))</f>
        <v/>
      </c>
      <c r="J18">
        <f>IF(J17&lt;=0,0,MAX(0,AO18-V18))</f>
        <v/>
      </c>
      <c r="K18">
        <f>IF(K17&lt;=0,0,MAX(0,AP18-W18))</f>
        <v/>
      </c>
      <c r="L18">
        <f>IF(L17&lt;=0,0,MAX(0,AQ18-X18))</f>
        <v/>
      </c>
      <c r="M18">
        <f>IF(M17&lt;=0,0,MAX(0,AR18-Y18))</f>
        <v/>
      </c>
      <c r="N18">
        <f>IF(N17&lt;=0,0,MAX(0,AS18-Z18))</f>
        <v/>
      </c>
      <c r="O18">
        <f>IF(C17&lt;=0,0,MIN(AH18,C$7+IF(C$2=$AA18,$AC18,IF(C$2=$AF18,$AG18,0))))</f>
        <v/>
      </c>
      <c r="P18">
        <f>IF(D17&lt;=0,0,MIN(AI18,D$7+IF(D$2=$AA18,$AC18,IF(D$2=$AF18,$AG18,0))))</f>
        <v/>
      </c>
      <c r="Q18">
        <f>IF(E17&lt;=0,0,MIN(AJ18,E$7+IF(E$2=$AA18,$AC18,IF(E$2=$AF18,$AG18,0))))</f>
        <v/>
      </c>
      <c r="R18">
        <f>IF(F17&lt;=0,0,MIN(AK18,F$7+IF(F$2=$AA18,$AC18,IF(F$2=$AF18,$AG18,0))))</f>
        <v/>
      </c>
      <c r="S18">
        <f>IF(G17&lt;=0,0,MIN(AL18,G$7+IF(G$2=$AA18,$AC18,IF(G$2=$AF18,$AG18,0))))</f>
        <v/>
      </c>
      <c r="T18">
        <f>IF(H17&lt;=0,0,MIN(AM18,H$7+IF(H$2=$AA18,$AC18,IF(H$2=$AF18,$AG18,0))))</f>
        <v/>
      </c>
      <c r="U18">
        <f>IF(I17&lt;=0,0,MIN(AN18,I$7+IF(I$2=$AA18,$AC18,IF(I$2=$AF18,$AG18,0))))</f>
        <v/>
      </c>
      <c r="V18">
        <f>IF(J17&lt;=0,0,MIN(AO18,J$7+IF(J$2=$AA18,$AC18,IF(J$2=$AF18,$AG18,0))))</f>
        <v/>
      </c>
      <c r="W18">
        <f>IF(K17&lt;=0,0,MIN(AP18,K$7+IF(K$2=$AA18,$AC18,IF(K$2=$AF18,$AG18,0))))</f>
        <v/>
      </c>
      <c r="X18">
        <f>IF(L17&lt;=0,0,MIN(AQ18,L$7+IF(L$2=$AA18,$AC18,IF(L$2=$AF18,$AG18,0))))</f>
        <v/>
      </c>
      <c r="Y18">
        <f>IF(M17&lt;=0,0,MIN(AR18,M$7+IF(M$2=$AA18,$AC18,IF(M$2=$AF18,$AG18,0))))</f>
        <v/>
      </c>
      <c r="Z18">
        <f>IF(N17&lt;=0,0,MIN(AS18,N$7+IF(N$2=$AA18,$AC18,IF(N$2=$AF18,$AG18,0))))</f>
        <v/>
      </c>
      <c r="AA18">
        <f>IFERROR(ROUND(1/SUMPRODUCT(MAX((C17:N17&gt;0)*($C$3:$N$3&lt;=B18)/$C$2:$N$2)),0),0)</f>
        <v/>
      </c>
      <c r="AB18">
        <f>SUMPRODUCT((C17:N17&gt;0)*$C$7:$N$7)</f>
        <v/>
      </c>
      <c r="AC18">
        <f>MAX(0,Plan!$C$5-AB18)+IF(A18=Plan!$C$8,N(Plan!$C$7),0)</f>
        <v/>
      </c>
      <c r="AD18">
        <f>SUM(C18:N18)</f>
        <v/>
      </c>
      <c r="AE18">
        <f>SUM(O18:Z18)</f>
        <v/>
      </c>
      <c r="AF18">
        <f>IFERROR(ROUND(1/SUMPRODUCT(MAX((C17:N17&gt;0)*($C$3:$N$3&lt;=B18)*($C$2:$N$2&gt;AA18)/$C$2:$N$2)),0),0)</f>
        <v/>
      </c>
      <c r="AG18">
        <f>MAX(0,AC18-MAX(0,SUMPRODUCT(($C$2:$N$2=AA18)*(AH18:AS18-$C$7:$N$7))))</f>
        <v/>
      </c>
      <c r="AH18">
        <f>IF(C17&lt;=0,0,ROUND(C17*(1+IF(AND(C$6&gt;0,$B18&lt;C$6),C$4,C$5)/12),2))</f>
        <v/>
      </c>
      <c r="AI18">
        <f>IF(D17&lt;=0,0,ROUND(D17*(1+IF(AND(D$6&gt;0,$B18&lt;D$6),D$4,D$5)/12),2))</f>
        <v/>
      </c>
      <c r="AJ18">
        <f>IF(E17&lt;=0,0,ROUND(E17*(1+IF(AND(E$6&gt;0,$B18&lt;E$6),E$4,E$5)/12),2))</f>
        <v/>
      </c>
      <c r="AK18">
        <f>IF(F17&lt;=0,0,ROUND(F17*(1+IF(AND(F$6&gt;0,$B18&lt;F$6),F$4,F$5)/12),2))</f>
        <v/>
      </c>
      <c r="AL18">
        <f>IF(G17&lt;=0,0,ROUND(G17*(1+IF(AND(G$6&gt;0,$B18&lt;G$6),G$4,G$5)/12),2))</f>
        <v/>
      </c>
      <c r="AM18">
        <f>IF(H17&lt;=0,0,ROUND(H17*(1+IF(AND(H$6&gt;0,$B18&lt;H$6),H$4,H$5)/12),2))</f>
        <v/>
      </c>
      <c r="AN18">
        <f>IF(I17&lt;=0,0,ROUND(I17*(1+IF(AND(I$6&gt;0,$B18&lt;I$6),I$4,I$5)/12),2))</f>
        <v/>
      </c>
      <c r="AO18">
        <f>IF(J17&lt;=0,0,ROUND(J17*(1+IF(AND(J$6&gt;0,$B18&lt;J$6),J$4,J$5)/12),2))</f>
        <v/>
      </c>
      <c r="AP18">
        <f>IF(K17&lt;=0,0,ROUND(K17*(1+IF(AND(K$6&gt;0,$B18&lt;K$6),K$4,K$5)/12),2))</f>
        <v/>
      </c>
      <c r="AQ18">
        <f>IF(L17&lt;=0,0,ROUND(L17*(1+IF(AND(L$6&gt;0,$B18&lt;L$6),L$4,L$5)/12),2))</f>
        <v/>
      </c>
      <c r="AR18">
        <f>IF(M17&lt;=0,0,ROUND(M17*(1+IF(AND(M$6&gt;0,$B18&lt;M$6),M$4,M$5)/12),2))</f>
        <v/>
      </c>
      <c r="AS18">
        <f>IF(N17&lt;=0,0,ROUND(N17*(1+IF(AND(N$6&gt;0,$B18&lt;N$6),N$4,N$5)/12),2))</f>
        <v/>
      </c>
    </row>
    <row r="19">
      <c r="A19" t="n">
        <v>8</v>
      </c>
      <c r="B19">
        <f>EDATE(Plan!$C$6,7)</f>
        <v/>
      </c>
      <c r="C19">
        <f>IF(C18&lt;=0,0,MAX(0,AH19-O19))</f>
        <v/>
      </c>
      <c r="D19">
        <f>IF(D18&lt;=0,0,MAX(0,AI19-P19))</f>
        <v/>
      </c>
      <c r="E19">
        <f>IF(E18&lt;=0,0,MAX(0,AJ19-Q19))</f>
        <v/>
      </c>
      <c r="F19">
        <f>IF(F18&lt;=0,0,MAX(0,AK19-R19))</f>
        <v/>
      </c>
      <c r="G19">
        <f>IF(G18&lt;=0,0,MAX(0,AL19-S19))</f>
        <v/>
      </c>
      <c r="H19">
        <f>IF(H18&lt;=0,0,MAX(0,AM19-T19))</f>
        <v/>
      </c>
      <c r="I19">
        <f>IF(I18&lt;=0,0,MAX(0,AN19-U19))</f>
        <v/>
      </c>
      <c r="J19">
        <f>IF(J18&lt;=0,0,MAX(0,AO19-V19))</f>
        <v/>
      </c>
      <c r="K19">
        <f>IF(K18&lt;=0,0,MAX(0,AP19-W19))</f>
        <v/>
      </c>
      <c r="L19">
        <f>IF(L18&lt;=0,0,MAX(0,AQ19-X19))</f>
        <v/>
      </c>
      <c r="M19">
        <f>IF(M18&lt;=0,0,MAX(0,AR19-Y19))</f>
        <v/>
      </c>
      <c r="N19">
        <f>IF(N18&lt;=0,0,MAX(0,AS19-Z19))</f>
        <v/>
      </c>
      <c r="O19">
        <f>IF(C18&lt;=0,0,MIN(AH19,C$7+IF(C$2=$AA19,$AC19,IF(C$2=$AF19,$AG19,0))))</f>
        <v/>
      </c>
      <c r="P19">
        <f>IF(D18&lt;=0,0,MIN(AI19,D$7+IF(D$2=$AA19,$AC19,IF(D$2=$AF19,$AG19,0))))</f>
        <v/>
      </c>
      <c r="Q19">
        <f>IF(E18&lt;=0,0,MIN(AJ19,E$7+IF(E$2=$AA19,$AC19,IF(E$2=$AF19,$AG19,0))))</f>
        <v/>
      </c>
      <c r="R19">
        <f>IF(F18&lt;=0,0,MIN(AK19,F$7+IF(F$2=$AA19,$AC19,IF(F$2=$AF19,$AG19,0))))</f>
        <v/>
      </c>
      <c r="S19">
        <f>IF(G18&lt;=0,0,MIN(AL19,G$7+IF(G$2=$AA19,$AC19,IF(G$2=$AF19,$AG19,0))))</f>
        <v/>
      </c>
      <c r="T19">
        <f>IF(H18&lt;=0,0,MIN(AM19,H$7+IF(H$2=$AA19,$AC19,IF(H$2=$AF19,$AG19,0))))</f>
        <v/>
      </c>
      <c r="U19">
        <f>IF(I18&lt;=0,0,MIN(AN19,I$7+IF(I$2=$AA19,$AC19,IF(I$2=$AF19,$AG19,0))))</f>
        <v/>
      </c>
      <c r="V19">
        <f>IF(J18&lt;=0,0,MIN(AO19,J$7+IF(J$2=$AA19,$AC19,IF(J$2=$AF19,$AG19,0))))</f>
        <v/>
      </c>
      <c r="W19">
        <f>IF(K18&lt;=0,0,MIN(AP19,K$7+IF(K$2=$AA19,$AC19,IF(K$2=$AF19,$AG19,0))))</f>
        <v/>
      </c>
      <c r="X19">
        <f>IF(L18&lt;=0,0,MIN(AQ19,L$7+IF(L$2=$AA19,$AC19,IF(L$2=$AF19,$AG19,0))))</f>
        <v/>
      </c>
      <c r="Y19">
        <f>IF(M18&lt;=0,0,MIN(AR19,M$7+IF(M$2=$AA19,$AC19,IF(M$2=$AF19,$AG19,0))))</f>
        <v/>
      </c>
      <c r="Z19">
        <f>IF(N18&lt;=0,0,MIN(AS19,N$7+IF(N$2=$AA19,$AC19,IF(N$2=$AF19,$AG19,0))))</f>
        <v/>
      </c>
      <c r="AA19">
        <f>IFERROR(ROUND(1/SUMPRODUCT(MAX((C18:N18&gt;0)*($C$3:$N$3&lt;=B19)/$C$2:$N$2)),0),0)</f>
        <v/>
      </c>
      <c r="AB19">
        <f>SUMPRODUCT((C18:N18&gt;0)*$C$7:$N$7)</f>
        <v/>
      </c>
      <c r="AC19">
        <f>MAX(0,Plan!$C$5-AB19)+IF(A19=Plan!$C$8,N(Plan!$C$7),0)</f>
        <v/>
      </c>
      <c r="AD19">
        <f>SUM(C19:N19)</f>
        <v/>
      </c>
      <c r="AE19">
        <f>SUM(O19:Z19)</f>
        <v/>
      </c>
      <c r="AF19">
        <f>IFERROR(ROUND(1/SUMPRODUCT(MAX((C18:N18&gt;0)*($C$3:$N$3&lt;=B19)*($C$2:$N$2&gt;AA19)/$C$2:$N$2)),0),0)</f>
        <v/>
      </c>
      <c r="AG19">
        <f>MAX(0,AC19-MAX(0,SUMPRODUCT(($C$2:$N$2=AA19)*(AH19:AS19-$C$7:$N$7))))</f>
        <v/>
      </c>
      <c r="AH19">
        <f>IF(C18&lt;=0,0,ROUND(C18*(1+IF(AND(C$6&gt;0,$B19&lt;C$6),C$4,C$5)/12),2))</f>
        <v/>
      </c>
      <c r="AI19">
        <f>IF(D18&lt;=0,0,ROUND(D18*(1+IF(AND(D$6&gt;0,$B19&lt;D$6),D$4,D$5)/12),2))</f>
        <v/>
      </c>
      <c r="AJ19">
        <f>IF(E18&lt;=0,0,ROUND(E18*(1+IF(AND(E$6&gt;0,$B19&lt;E$6),E$4,E$5)/12),2))</f>
        <v/>
      </c>
      <c r="AK19">
        <f>IF(F18&lt;=0,0,ROUND(F18*(1+IF(AND(F$6&gt;0,$B19&lt;F$6),F$4,F$5)/12),2))</f>
        <v/>
      </c>
      <c r="AL19">
        <f>IF(G18&lt;=0,0,ROUND(G18*(1+IF(AND(G$6&gt;0,$B19&lt;G$6),G$4,G$5)/12),2))</f>
        <v/>
      </c>
      <c r="AM19">
        <f>IF(H18&lt;=0,0,ROUND(H18*(1+IF(AND(H$6&gt;0,$B19&lt;H$6),H$4,H$5)/12),2))</f>
        <v/>
      </c>
      <c r="AN19">
        <f>IF(I18&lt;=0,0,ROUND(I18*(1+IF(AND(I$6&gt;0,$B19&lt;I$6),I$4,I$5)/12),2))</f>
        <v/>
      </c>
      <c r="AO19">
        <f>IF(J18&lt;=0,0,ROUND(J18*(1+IF(AND(J$6&gt;0,$B19&lt;J$6),J$4,J$5)/12),2))</f>
        <v/>
      </c>
      <c r="AP19">
        <f>IF(K18&lt;=0,0,ROUND(K18*(1+IF(AND(K$6&gt;0,$B19&lt;K$6),K$4,K$5)/12),2))</f>
        <v/>
      </c>
      <c r="AQ19">
        <f>IF(L18&lt;=0,0,ROUND(L18*(1+IF(AND(L$6&gt;0,$B19&lt;L$6),L$4,L$5)/12),2))</f>
        <v/>
      </c>
      <c r="AR19">
        <f>IF(M18&lt;=0,0,ROUND(M18*(1+IF(AND(M$6&gt;0,$B19&lt;M$6),M$4,M$5)/12),2))</f>
        <v/>
      </c>
      <c r="AS19">
        <f>IF(N18&lt;=0,0,ROUND(N18*(1+IF(AND(N$6&gt;0,$B19&lt;N$6),N$4,N$5)/12),2))</f>
        <v/>
      </c>
    </row>
    <row r="20">
      <c r="A20" t="n">
        <v>9</v>
      </c>
      <c r="B20">
        <f>EDATE(Plan!$C$6,8)</f>
        <v/>
      </c>
      <c r="C20">
        <f>IF(C19&lt;=0,0,MAX(0,AH20-O20))</f>
        <v/>
      </c>
      <c r="D20">
        <f>IF(D19&lt;=0,0,MAX(0,AI20-P20))</f>
        <v/>
      </c>
      <c r="E20">
        <f>IF(E19&lt;=0,0,MAX(0,AJ20-Q20))</f>
        <v/>
      </c>
      <c r="F20">
        <f>IF(F19&lt;=0,0,MAX(0,AK20-R20))</f>
        <v/>
      </c>
      <c r="G20">
        <f>IF(G19&lt;=0,0,MAX(0,AL20-S20))</f>
        <v/>
      </c>
      <c r="H20">
        <f>IF(H19&lt;=0,0,MAX(0,AM20-T20))</f>
        <v/>
      </c>
      <c r="I20">
        <f>IF(I19&lt;=0,0,MAX(0,AN20-U20))</f>
        <v/>
      </c>
      <c r="J20">
        <f>IF(J19&lt;=0,0,MAX(0,AO20-V20))</f>
        <v/>
      </c>
      <c r="K20">
        <f>IF(K19&lt;=0,0,MAX(0,AP20-W20))</f>
        <v/>
      </c>
      <c r="L20">
        <f>IF(L19&lt;=0,0,MAX(0,AQ20-X20))</f>
        <v/>
      </c>
      <c r="M20">
        <f>IF(M19&lt;=0,0,MAX(0,AR20-Y20))</f>
        <v/>
      </c>
      <c r="N20">
        <f>IF(N19&lt;=0,0,MAX(0,AS20-Z20))</f>
        <v/>
      </c>
      <c r="O20">
        <f>IF(C19&lt;=0,0,MIN(AH20,C$7+IF(C$2=$AA20,$AC20,IF(C$2=$AF20,$AG20,0))))</f>
        <v/>
      </c>
      <c r="P20">
        <f>IF(D19&lt;=0,0,MIN(AI20,D$7+IF(D$2=$AA20,$AC20,IF(D$2=$AF20,$AG20,0))))</f>
        <v/>
      </c>
      <c r="Q20">
        <f>IF(E19&lt;=0,0,MIN(AJ20,E$7+IF(E$2=$AA20,$AC20,IF(E$2=$AF20,$AG20,0))))</f>
        <v/>
      </c>
      <c r="R20">
        <f>IF(F19&lt;=0,0,MIN(AK20,F$7+IF(F$2=$AA20,$AC20,IF(F$2=$AF20,$AG20,0))))</f>
        <v/>
      </c>
      <c r="S20">
        <f>IF(G19&lt;=0,0,MIN(AL20,G$7+IF(G$2=$AA20,$AC20,IF(G$2=$AF20,$AG20,0))))</f>
        <v/>
      </c>
      <c r="T20">
        <f>IF(H19&lt;=0,0,MIN(AM20,H$7+IF(H$2=$AA20,$AC20,IF(H$2=$AF20,$AG20,0))))</f>
        <v/>
      </c>
      <c r="U20">
        <f>IF(I19&lt;=0,0,MIN(AN20,I$7+IF(I$2=$AA20,$AC20,IF(I$2=$AF20,$AG20,0))))</f>
        <v/>
      </c>
      <c r="V20">
        <f>IF(J19&lt;=0,0,MIN(AO20,J$7+IF(J$2=$AA20,$AC20,IF(J$2=$AF20,$AG20,0))))</f>
        <v/>
      </c>
      <c r="W20">
        <f>IF(K19&lt;=0,0,MIN(AP20,K$7+IF(K$2=$AA20,$AC20,IF(K$2=$AF20,$AG20,0))))</f>
        <v/>
      </c>
      <c r="X20">
        <f>IF(L19&lt;=0,0,MIN(AQ20,L$7+IF(L$2=$AA20,$AC20,IF(L$2=$AF20,$AG20,0))))</f>
        <v/>
      </c>
      <c r="Y20">
        <f>IF(M19&lt;=0,0,MIN(AR20,M$7+IF(M$2=$AA20,$AC20,IF(M$2=$AF20,$AG20,0))))</f>
        <v/>
      </c>
      <c r="Z20">
        <f>IF(N19&lt;=0,0,MIN(AS20,N$7+IF(N$2=$AA20,$AC20,IF(N$2=$AF20,$AG20,0))))</f>
        <v/>
      </c>
      <c r="AA20">
        <f>IFERROR(ROUND(1/SUMPRODUCT(MAX((C19:N19&gt;0)*($C$3:$N$3&lt;=B20)/$C$2:$N$2)),0),0)</f>
        <v/>
      </c>
      <c r="AB20">
        <f>SUMPRODUCT((C19:N19&gt;0)*$C$7:$N$7)</f>
        <v/>
      </c>
      <c r="AC20">
        <f>MAX(0,Plan!$C$5-AB20)+IF(A20=Plan!$C$8,N(Plan!$C$7),0)</f>
        <v/>
      </c>
      <c r="AD20">
        <f>SUM(C20:N20)</f>
        <v/>
      </c>
      <c r="AE20">
        <f>SUM(O20:Z20)</f>
        <v/>
      </c>
      <c r="AF20">
        <f>IFERROR(ROUND(1/SUMPRODUCT(MAX((C19:N19&gt;0)*($C$3:$N$3&lt;=B20)*($C$2:$N$2&gt;AA20)/$C$2:$N$2)),0),0)</f>
        <v/>
      </c>
      <c r="AG20">
        <f>MAX(0,AC20-MAX(0,SUMPRODUCT(($C$2:$N$2=AA20)*(AH20:AS20-$C$7:$N$7))))</f>
        <v/>
      </c>
      <c r="AH20">
        <f>IF(C19&lt;=0,0,ROUND(C19*(1+IF(AND(C$6&gt;0,$B20&lt;C$6),C$4,C$5)/12),2))</f>
        <v/>
      </c>
      <c r="AI20">
        <f>IF(D19&lt;=0,0,ROUND(D19*(1+IF(AND(D$6&gt;0,$B20&lt;D$6),D$4,D$5)/12),2))</f>
        <v/>
      </c>
      <c r="AJ20">
        <f>IF(E19&lt;=0,0,ROUND(E19*(1+IF(AND(E$6&gt;0,$B20&lt;E$6),E$4,E$5)/12),2))</f>
        <v/>
      </c>
      <c r="AK20">
        <f>IF(F19&lt;=0,0,ROUND(F19*(1+IF(AND(F$6&gt;0,$B20&lt;F$6),F$4,F$5)/12),2))</f>
        <v/>
      </c>
      <c r="AL20">
        <f>IF(G19&lt;=0,0,ROUND(G19*(1+IF(AND(G$6&gt;0,$B20&lt;G$6),G$4,G$5)/12),2))</f>
        <v/>
      </c>
      <c r="AM20">
        <f>IF(H19&lt;=0,0,ROUND(H19*(1+IF(AND(H$6&gt;0,$B20&lt;H$6),H$4,H$5)/12),2))</f>
        <v/>
      </c>
      <c r="AN20">
        <f>IF(I19&lt;=0,0,ROUND(I19*(1+IF(AND(I$6&gt;0,$B20&lt;I$6),I$4,I$5)/12),2))</f>
        <v/>
      </c>
      <c r="AO20">
        <f>IF(J19&lt;=0,0,ROUND(J19*(1+IF(AND(J$6&gt;0,$B20&lt;J$6),J$4,J$5)/12),2))</f>
        <v/>
      </c>
      <c r="AP20">
        <f>IF(K19&lt;=0,0,ROUND(K19*(1+IF(AND(K$6&gt;0,$B20&lt;K$6),K$4,K$5)/12),2))</f>
        <v/>
      </c>
      <c r="AQ20">
        <f>IF(L19&lt;=0,0,ROUND(L19*(1+IF(AND(L$6&gt;0,$B20&lt;L$6),L$4,L$5)/12),2))</f>
        <v/>
      </c>
      <c r="AR20">
        <f>IF(M19&lt;=0,0,ROUND(M19*(1+IF(AND(M$6&gt;0,$B20&lt;M$6),M$4,M$5)/12),2))</f>
        <v/>
      </c>
      <c r="AS20">
        <f>IF(N19&lt;=0,0,ROUND(N19*(1+IF(AND(N$6&gt;0,$B20&lt;N$6),N$4,N$5)/12),2))</f>
        <v/>
      </c>
    </row>
    <row r="21">
      <c r="A21" t="n">
        <v>10</v>
      </c>
      <c r="B21">
        <f>EDATE(Plan!$C$6,9)</f>
        <v/>
      </c>
      <c r="C21">
        <f>IF(C20&lt;=0,0,MAX(0,AH21-O21))</f>
        <v/>
      </c>
      <c r="D21">
        <f>IF(D20&lt;=0,0,MAX(0,AI21-P21))</f>
        <v/>
      </c>
      <c r="E21">
        <f>IF(E20&lt;=0,0,MAX(0,AJ21-Q21))</f>
        <v/>
      </c>
      <c r="F21">
        <f>IF(F20&lt;=0,0,MAX(0,AK21-R21))</f>
        <v/>
      </c>
      <c r="G21">
        <f>IF(G20&lt;=0,0,MAX(0,AL21-S21))</f>
        <v/>
      </c>
      <c r="H21">
        <f>IF(H20&lt;=0,0,MAX(0,AM21-T21))</f>
        <v/>
      </c>
      <c r="I21">
        <f>IF(I20&lt;=0,0,MAX(0,AN21-U21))</f>
        <v/>
      </c>
      <c r="J21">
        <f>IF(J20&lt;=0,0,MAX(0,AO21-V21))</f>
        <v/>
      </c>
      <c r="K21">
        <f>IF(K20&lt;=0,0,MAX(0,AP21-W21))</f>
        <v/>
      </c>
      <c r="L21">
        <f>IF(L20&lt;=0,0,MAX(0,AQ21-X21))</f>
        <v/>
      </c>
      <c r="M21">
        <f>IF(M20&lt;=0,0,MAX(0,AR21-Y21))</f>
        <v/>
      </c>
      <c r="N21">
        <f>IF(N20&lt;=0,0,MAX(0,AS21-Z21))</f>
        <v/>
      </c>
      <c r="O21">
        <f>IF(C20&lt;=0,0,MIN(AH21,C$7+IF(C$2=$AA21,$AC21,IF(C$2=$AF21,$AG21,0))))</f>
        <v/>
      </c>
      <c r="P21">
        <f>IF(D20&lt;=0,0,MIN(AI21,D$7+IF(D$2=$AA21,$AC21,IF(D$2=$AF21,$AG21,0))))</f>
        <v/>
      </c>
      <c r="Q21">
        <f>IF(E20&lt;=0,0,MIN(AJ21,E$7+IF(E$2=$AA21,$AC21,IF(E$2=$AF21,$AG21,0))))</f>
        <v/>
      </c>
      <c r="R21">
        <f>IF(F20&lt;=0,0,MIN(AK21,F$7+IF(F$2=$AA21,$AC21,IF(F$2=$AF21,$AG21,0))))</f>
        <v/>
      </c>
      <c r="S21">
        <f>IF(G20&lt;=0,0,MIN(AL21,G$7+IF(G$2=$AA21,$AC21,IF(G$2=$AF21,$AG21,0))))</f>
        <v/>
      </c>
      <c r="T21">
        <f>IF(H20&lt;=0,0,MIN(AM21,H$7+IF(H$2=$AA21,$AC21,IF(H$2=$AF21,$AG21,0))))</f>
        <v/>
      </c>
      <c r="U21">
        <f>IF(I20&lt;=0,0,MIN(AN21,I$7+IF(I$2=$AA21,$AC21,IF(I$2=$AF21,$AG21,0))))</f>
        <v/>
      </c>
      <c r="V21">
        <f>IF(J20&lt;=0,0,MIN(AO21,J$7+IF(J$2=$AA21,$AC21,IF(J$2=$AF21,$AG21,0))))</f>
        <v/>
      </c>
      <c r="W21">
        <f>IF(K20&lt;=0,0,MIN(AP21,K$7+IF(K$2=$AA21,$AC21,IF(K$2=$AF21,$AG21,0))))</f>
        <v/>
      </c>
      <c r="X21">
        <f>IF(L20&lt;=0,0,MIN(AQ21,L$7+IF(L$2=$AA21,$AC21,IF(L$2=$AF21,$AG21,0))))</f>
        <v/>
      </c>
      <c r="Y21">
        <f>IF(M20&lt;=0,0,MIN(AR21,M$7+IF(M$2=$AA21,$AC21,IF(M$2=$AF21,$AG21,0))))</f>
        <v/>
      </c>
      <c r="Z21">
        <f>IF(N20&lt;=0,0,MIN(AS21,N$7+IF(N$2=$AA21,$AC21,IF(N$2=$AF21,$AG21,0))))</f>
        <v/>
      </c>
      <c r="AA21">
        <f>IFERROR(ROUND(1/SUMPRODUCT(MAX((C20:N20&gt;0)*($C$3:$N$3&lt;=B21)/$C$2:$N$2)),0),0)</f>
        <v/>
      </c>
      <c r="AB21">
        <f>SUMPRODUCT((C20:N20&gt;0)*$C$7:$N$7)</f>
        <v/>
      </c>
      <c r="AC21">
        <f>MAX(0,Plan!$C$5-AB21)+IF(A21=Plan!$C$8,N(Plan!$C$7),0)</f>
        <v/>
      </c>
      <c r="AD21">
        <f>SUM(C21:N21)</f>
        <v/>
      </c>
      <c r="AE21">
        <f>SUM(O21:Z21)</f>
        <v/>
      </c>
      <c r="AF21">
        <f>IFERROR(ROUND(1/SUMPRODUCT(MAX((C20:N20&gt;0)*($C$3:$N$3&lt;=B21)*($C$2:$N$2&gt;AA21)/$C$2:$N$2)),0),0)</f>
        <v/>
      </c>
      <c r="AG21">
        <f>MAX(0,AC21-MAX(0,SUMPRODUCT(($C$2:$N$2=AA21)*(AH21:AS21-$C$7:$N$7))))</f>
        <v/>
      </c>
      <c r="AH21">
        <f>IF(C20&lt;=0,0,ROUND(C20*(1+IF(AND(C$6&gt;0,$B21&lt;C$6),C$4,C$5)/12),2))</f>
        <v/>
      </c>
      <c r="AI21">
        <f>IF(D20&lt;=0,0,ROUND(D20*(1+IF(AND(D$6&gt;0,$B21&lt;D$6),D$4,D$5)/12),2))</f>
        <v/>
      </c>
      <c r="AJ21">
        <f>IF(E20&lt;=0,0,ROUND(E20*(1+IF(AND(E$6&gt;0,$B21&lt;E$6),E$4,E$5)/12),2))</f>
        <v/>
      </c>
      <c r="AK21">
        <f>IF(F20&lt;=0,0,ROUND(F20*(1+IF(AND(F$6&gt;0,$B21&lt;F$6),F$4,F$5)/12),2))</f>
        <v/>
      </c>
      <c r="AL21">
        <f>IF(G20&lt;=0,0,ROUND(G20*(1+IF(AND(G$6&gt;0,$B21&lt;G$6),G$4,G$5)/12),2))</f>
        <v/>
      </c>
      <c r="AM21">
        <f>IF(H20&lt;=0,0,ROUND(H20*(1+IF(AND(H$6&gt;0,$B21&lt;H$6),H$4,H$5)/12),2))</f>
        <v/>
      </c>
      <c r="AN21">
        <f>IF(I20&lt;=0,0,ROUND(I20*(1+IF(AND(I$6&gt;0,$B21&lt;I$6),I$4,I$5)/12),2))</f>
        <v/>
      </c>
      <c r="AO21">
        <f>IF(J20&lt;=0,0,ROUND(J20*(1+IF(AND(J$6&gt;0,$B21&lt;J$6),J$4,J$5)/12),2))</f>
        <v/>
      </c>
      <c r="AP21">
        <f>IF(K20&lt;=0,0,ROUND(K20*(1+IF(AND(K$6&gt;0,$B21&lt;K$6),K$4,K$5)/12),2))</f>
        <v/>
      </c>
      <c r="AQ21">
        <f>IF(L20&lt;=0,0,ROUND(L20*(1+IF(AND(L$6&gt;0,$B21&lt;L$6),L$4,L$5)/12),2))</f>
        <v/>
      </c>
      <c r="AR21">
        <f>IF(M20&lt;=0,0,ROUND(M20*(1+IF(AND(M$6&gt;0,$B21&lt;M$6),M$4,M$5)/12),2))</f>
        <v/>
      </c>
      <c r="AS21">
        <f>IF(N20&lt;=0,0,ROUND(N20*(1+IF(AND(N$6&gt;0,$B21&lt;N$6),N$4,N$5)/12),2))</f>
        <v/>
      </c>
    </row>
    <row r="22">
      <c r="A22" t="n">
        <v>11</v>
      </c>
      <c r="B22">
        <f>EDATE(Plan!$C$6,10)</f>
        <v/>
      </c>
      <c r="C22">
        <f>IF(C21&lt;=0,0,MAX(0,AH22-O22))</f>
        <v/>
      </c>
      <c r="D22">
        <f>IF(D21&lt;=0,0,MAX(0,AI22-P22))</f>
        <v/>
      </c>
      <c r="E22">
        <f>IF(E21&lt;=0,0,MAX(0,AJ22-Q22))</f>
        <v/>
      </c>
      <c r="F22">
        <f>IF(F21&lt;=0,0,MAX(0,AK22-R22))</f>
        <v/>
      </c>
      <c r="G22">
        <f>IF(G21&lt;=0,0,MAX(0,AL22-S22))</f>
        <v/>
      </c>
      <c r="H22">
        <f>IF(H21&lt;=0,0,MAX(0,AM22-T22))</f>
        <v/>
      </c>
      <c r="I22">
        <f>IF(I21&lt;=0,0,MAX(0,AN22-U22))</f>
        <v/>
      </c>
      <c r="J22">
        <f>IF(J21&lt;=0,0,MAX(0,AO22-V22))</f>
        <v/>
      </c>
      <c r="K22">
        <f>IF(K21&lt;=0,0,MAX(0,AP22-W22))</f>
        <v/>
      </c>
      <c r="L22">
        <f>IF(L21&lt;=0,0,MAX(0,AQ22-X22))</f>
        <v/>
      </c>
      <c r="M22">
        <f>IF(M21&lt;=0,0,MAX(0,AR22-Y22))</f>
        <v/>
      </c>
      <c r="N22">
        <f>IF(N21&lt;=0,0,MAX(0,AS22-Z22))</f>
        <v/>
      </c>
      <c r="O22">
        <f>IF(C21&lt;=0,0,MIN(AH22,C$7+IF(C$2=$AA22,$AC22,IF(C$2=$AF22,$AG22,0))))</f>
        <v/>
      </c>
      <c r="P22">
        <f>IF(D21&lt;=0,0,MIN(AI22,D$7+IF(D$2=$AA22,$AC22,IF(D$2=$AF22,$AG22,0))))</f>
        <v/>
      </c>
      <c r="Q22">
        <f>IF(E21&lt;=0,0,MIN(AJ22,E$7+IF(E$2=$AA22,$AC22,IF(E$2=$AF22,$AG22,0))))</f>
        <v/>
      </c>
      <c r="R22">
        <f>IF(F21&lt;=0,0,MIN(AK22,F$7+IF(F$2=$AA22,$AC22,IF(F$2=$AF22,$AG22,0))))</f>
        <v/>
      </c>
      <c r="S22">
        <f>IF(G21&lt;=0,0,MIN(AL22,G$7+IF(G$2=$AA22,$AC22,IF(G$2=$AF22,$AG22,0))))</f>
        <v/>
      </c>
      <c r="T22">
        <f>IF(H21&lt;=0,0,MIN(AM22,H$7+IF(H$2=$AA22,$AC22,IF(H$2=$AF22,$AG22,0))))</f>
        <v/>
      </c>
      <c r="U22">
        <f>IF(I21&lt;=0,0,MIN(AN22,I$7+IF(I$2=$AA22,$AC22,IF(I$2=$AF22,$AG22,0))))</f>
        <v/>
      </c>
      <c r="V22">
        <f>IF(J21&lt;=0,0,MIN(AO22,J$7+IF(J$2=$AA22,$AC22,IF(J$2=$AF22,$AG22,0))))</f>
        <v/>
      </c>
      <c r="W22">
        <f>IF(K21&lt;=0,0,MIN(AP22,K$7+IF(K$2=$AA22,$AC22,IF(K$2=$AF22,$AG22,0))))</f>
        <v/>
      </c>
      <c r="X22">
        <f>IF(L21&lt;=0,0,MIN(AQ22,L$7+IF(L$2=$AA22,$AC22,IF(L$2=$AF22,$AG22,0))))</f>
        <v/>
      </c>
      <c r="Y22">
        <f>IF(M21&lt;=0,0,MIN(AR22,M$7+IF(M$2=$AA22,$AC22,IF(M$2=$AF22,$AG22,0))))</f>
        <v/>
      </c>
      <c r="Z22">
        <f>IF(N21&lt;=0,0,MIN(AS22,N$7+IF(N$2=$AA22,$AC22,IF(N$2=$AF22,$AG22,0))))</f>
        <v/>
      </c>
      <c r="AA22">
        <f>IFERROR(ROUND(1/SUMPRODUCT(MAX((C21:N21&gt;0)*($C$3:$N$3&lt;=B22)/$C$2:$N$2)),0),0)</f>
        <v/>
      </c>
      <c r="AB22">
        <f>SUMPRODUCT((C21:N21&gt;0)*$C$7:$N$7)</f>
        <v/>
      </c>
      <c r="AC22">
        <f>MAX(0,Plan!$C$5-AB22)+IF(A22=Plan!$C$8,N(Plan!$C$7),0)</f>
        <v/>
      </c>
      <c r="AD22">
        <f>SUM(C22:N22)</f>
        <v/>
      </c>
      <c r="AE22">
        <f>SUM(O22:Z22)</f>
        <v/>
      </c>
      <c r="AF22">
        <f>IFERROR(ROUND(1/SUMPRODUCT(MAX((C21:N21&gt;0)*($C$3:$N$3&lt;=B22)*($C$2:$N$2&gt;AA22)/$C$2:$N$2)),0),0)</f>
        <v/>
      </c>
      <c r="AG22">
        <f>MAX(0,AC22-MAX(0,SUMPRODUCT(($C$2:$N$2=AA22)*(AH22:AS22-$C$7:$N$7))))</f>
        <v/>
      </c>
      <c r="AH22">
        <f>IF(C21&lt;=0,0,ROUND(C21*(1+IF(AND(C$6&gt;0,$B22&lt;C$6),C$4,C$5)/12),2))</f>
        <v/>
      </c>
      <c r="AI22">
        <f>IF(D21&lt;=0,0,ROUND(D21*(1+IF(AND(D$6&gt;0,$B22&lt;D$6),D$4,D$5)/12),2))</f>
        <v/>
      </c>
      <c r="AJ22">
        <f>IF(E21&lt;=0,0,ROUND(E21*(1+IF(AND(E$6&gt;0,$B22&lt;E$6),E$4,E$5)/12),2))</f>
        <v/>
      </c>
      <c r="AK22">
        <f>IF(F21&lt;=0,0,ROUND(F21*(1+IF(AND(F$6&gt;0,$B22&lt;F$6),F$4,F$5)/12),2))</f>
        <v/>
      </c>
      <c r="AL22">
        <f>IF(G21&lt;=0,0,ROUND(G21*(1+IF(AND(G$6&gt;0,$B22&lt;G$6),G$4,G$5)/12),2))</f>
        <v/>
      </c>
      <c r="AM22">
        <f>IF(H21&lt;=0,0,ROUND(H21*(1+IF(AND(H$6&gt;0,$B22&lt;H$6),H$4,H$5)/12),2))</f>
        <v/>
      </c>
      <c r="AN22">
        <f>IF(I21&lt;=0,0,ROUND(I21*(1+IF(AND(I$6&gt;0,$B22&lt;I$6),I$4,I$5)/12),2))</f>
        <v/>
      </c>
      <c r="AO22">
        <f>IF(J21&lt;=0,0,ROUND(J21*(1+IF(AND(J$6&gt;0,$B22&lt;J$6),J$4,J$5)/12),2))</f>
        <v/>
      </c>
      <c r="AP22">
        <f>IF(K21&lt;=0,0,ROUND(K21*(1+IF(AND(K$6&gt;0,$B22&lt;K$6),K$4,K$5)/12),2))</f>
        <v/>
      </c>
      <c r="AQ22">
        <f>IF(L21&lt;=0,0,ROUND(L21*(1+IF(AND(L$6&gt;0,$B22&lt;L$6),L$4,L$5)/12),2))</f>
        <v/>
      </c>
      <c r="AR22">
        <f>IF(M21&lt;=0,0,ROUND(M21*(1+IF(AND(M$6&gt;0,$B22&lt;M$6),M$4,M$5)/12),2))</f>
        <v/>
      </c>
      <c r="AS22">
        <f>IF(N21&lt;=0,0,ROUND(N21*(1+IF(AND(N$6&gt;0,$B22&lt;N$6),N$4,N$5)/12),2))</f>
        <v/>
      </c>
    </row>
    <row r="23">
      <c r="A23" t="n">
        <v>12</v>
      </c>
      <c r="B23">
        <f>EDATE(Plan!$C$6,11)</f>
        <v/>
      </c>
      <c r="C23">
        <f>IF(C22&lt;=0,0,MAX(0,AH23-O23))</f>
        <v/>
      </c>
      <c r="D23">
        <f>IF(D22&lt;=0,0,MAX(0,AI23-P23))</f>
        <v/>
      </c>
      <c r="E23">
        <f>IF(E22&lt;=0,0,MAX(0,AJ23-Q23))</f>
        <v/>
      </c>
      <c r="F23">
        <f>IF(F22&lt;=0,0,MAX(0,AK23-R23))</f>
        <v/>
      </c>
      <c r="G23">
        <f>IF(G22&lt;=0,0,MAX(0,AL23-S23))</f>
        <v/>
      </c>
      <c r="H23">
        <f>IF(H22&lt;=0,0,MAX(0,AM23-T23))</f>
        <v/>
      </c>
      <c r="I23">
        <f>IF(I22&lt;=0,0,MAX(0,AN23-U23))</f>
        <v/>
      </c>
      <c r="J23">
        <f>IF(J22&lt;=0,0,MAX(0,AO23-V23))</f>
        <v/>
      </c>
      <c r="K23">
        <f>IF(K22&lt;=0,0,MAX(0,AP23-W23))</f>
        <v/>
      </c>
      <c r="L23">
        <f>IF(L22&lt;=0,0,MAX(0,AQ23-X23))</f>
        <v/>
      </c>
      <c r="M23">
        <f>IF(M22&lt;=0,0,MAX(0,AR23-Y23))</f>
        <v/>
      </c>
      <c r="N23">
        <f>IF(N22&lt;=0,0,MAX(0,AS23-Z23))</f>
        <v/>
      </c>
      <c r="O23">
        <f>IF(C22&lt;=0,0,MIN(AH23,C$7+IF(C$2=$AA23,$AC23,IF(C$2=$AF23,$AG23,0))))</f>
        <v/>
      </c>
      <c r="P23">
        <f>IF(D22&lt;=0,0,MIN(AI23,D$7+IF(D$2=$AA23,$AC23,IF(D$2=$AF23,$AG23,0))))</f>
        <v/>
      </c>
      <c r="Q23">
        <f>IF(E22&lt;=0,0,MIN(AJ23,E$7+IF(E$2=$AA23,$AC23,IF(E$2=$AF23,$AG23,0))))</f>
        <v/>
      </c>
      <c r="R23">
        <f>IF(F22&lt;=0,0,MIN(AK23,F$7+IF(F$2=$AA23,$AC23,IF(F$2=$AF23,$AG23,0))))</f>
        <v/>
      </c>
      <c r="S23">
        <f>IF(G22&lt;=0,0,MIN(AL23,G$7+IF(G$2=$AA23,$AC23,IF(G$2=$AF23,$AG23,0))))</f>
        <v/>
      </c>
      <c r="T23">
        <f>IF(H22&lt;=0,0,MIN(AM23,H$7+IF(H$2=$AA23,$AC23,IF(H$2=$AF23,$AG23,0))))</f>
        <v/>
      </c>
      <c r="U23">
        <f>IF(I22&lt;=0,0,MIN(AN23,I$7+IF(I$2=$AA23,$AC23,IF(I$2=$AF23,$AG23,0))))</f>
        <v/>
      </c>
      <c r="V23">
        <f>IF(J22&lt;=0,0,MIN(AO23,J$7+IF(J$2=$AA23,$AC23,IF(J$2=$AF23,$AG23,0))))</f>
        <v/>
      </c>
      <c r="W23">
        <f>IF(K22&lt;=0,0,MIN(AP23,K$7+IF(K$2=$AA23,$AC23,IF(K$2=$AF23,$AG23,0))))</f>
        <v/>
      </c>
      <c r="X23">
        <f>IF(L22&lt;=0,0,MIN(AQ23,L$7+IF(L$2=$AA23,$AC23,IF(L$2=$AF23,$AG23,0))))</f>
        <v/>
      </c>
      <c r="Y23">
        <f>IF(M22&lt;=0,0,MIN(AR23,M$7+IF(M$2=$AA23,$AC23,IF(M$2=$AF23,$AG23,0))))</f>
        <v/>
      </c>
      <c r="Z23">
        <f>IF(N22&lt;=0,0,MIN(AS23,N$7+IF(N$2=$AA23,$AC23,IF(N$2=$AF23,$AG23,0))))</f>
        <v/>
      </c>
      <c r="AA23">
        <f>IFERROR(ROUND(1/SUMPRODUCT(MAX((C22:N22&gt;0)*($C$3:$N$3&lt;=B23)/$C$2:$N$2)),0),0)</f>
        <v/>
      </c>
      <c r="AB23">
        <f>SUMPRODUCT((C22:N22&gt;0)*$C$7:$N$7)</f>
        <v/>
      </c>
      <c r="AC23">
        <f>MAX(0,Plan!$C$5-AB23)+IF(A23=Plan!$C$8,N(Plan!$C$7),0)</f>
        <v/>
      </c>
      <c r="AD23">
        <f>SUM(C23:N23)</f>
        <v/>
      </c>
      <c r="AE23">
        <f>SUM(O23:Z23)</f>
        <v/>
      </c>
      <c r="AF23">
        <f>IFERROR(ROUND(1/SUMPRODUCT(MAX((C22:N22&gt;0)*($C$3:$N$3&lt;=B23)*($C$2:$N$2&gt;AA23)/$C$2:$N$2)),0),0)</f>
        <v/>
      </c>
      <c r="AG23">
        <f>MAX(0,AC23-MAX(0,SUMPRODUCT(($C$2:$N$2=AA23)*(AH23:AS23-$C$7:$N$7))))</f>
        <v/>
      </c>
      <c r="AH23">
        <f>IF(C22&lt;=0,0,ROUND(C22*(1+IF(AND(C$6&gt;0,$B23&lt;C$6),C$4,C$5)/12),2))</f>
        <v/>
      </c>
      <c r="AI23">
        <f>IF(D22&lt;=0,0,ROUND(D22*(1+IF(AND(D$6&gt;0,$B23&lt;D$6),D$4,D$5)/12),2))</f>
        <v/>
      </c>
      <c r="AJ23">
        <f>IF(E22&lt;=0,0,ROUND(E22*(1+IF(AND(E$6&gt;0,$B23&lt;E$6),E$4,E$5)/12),2))</f>
        <v/>
      </c>
      <c r="AK23">
        <f>IF(F22&lt;=0,0,ROUND(F22*(1+IF(AND(F$6&gt;0,$B23&lt;F$6),F$4,F$5)/12),2))</f>
        <v/>
      </c>
      <c r="AL23">
        <f>IF(G22&lt;=0,0,ROUND(G22*(1+IF(AND(G$6&gt;0,$B23&lt;G$6),G$4,G$5)/12),2))</f>
        <v/>
      </c>
      <c r="AM23">
        <f>IF(H22&lt;=0,0,ROUND(H22*(1+IF(AND(H$6&gt;0,$B23&lt;H$6),H$4,H$5)/12),2))</f>
        <v/>
      </c>
      <c r="AN23">
        <f>IF(I22&lt;=0,0,ROUND(I22*(1+IF(AND(I$6&gt;0,$B23&lt;I$6),I$4,I$5)/12),2))</f>
        <v/>
      </c>
      <c r="AO23">
        <f>IF(J22&lt;=0,0,ROUND(J22*(1+IF(AND(J$6&gt;0,$B23&lt;J$6),J$4,J$5)/12),2))</f>
        <v/>
      </c>
      <c r="AP23">
        <f>IF(K22&lt;=0,0,ROUND(K22*(1+IF(AND(K$6&gt;0,$B23&lt;K$6),K$4,K$5)/12),2))</f>
        <v/>
      </c>
      <c r="AQ23">
        <f>IF(L22&lt;=0,0,ROUND(L22*(1+IF(AND(L$6&gt;0,$B23&lt;L$6),L$4,L$5)/12),2))</f>
        <v/>
      </c>
      <c r="AR23">
        <f>IF(M22&lt;=0,0,ROUND(M22*(1+IF(AND(M$6&gt;0,$B23&lt;M$6),M$4,M$5)/12),2))</f>
        <v/>
      </c>
      <c r="AS23">
        <f>IF(N22&lt;=0,0,ROUND(N22*(1+IF(AND(N$6&gt;0,$B23&lt;N$6),N$4,N$5)/12),2))</f>
        <v/>
      </c>
    </row>
    <row r="24">
      <c r="A24" t="n">
        <v>13</v>
      </c>
      <c r="B24">
        <f>EDATE(Plan!$C$6,12)</f>
        <v/>
      </c>
      <c r="C24">
        <f>IF(C23&lt;=0,0,MAX(0,AH24-O24))</f>
        <v/>
      </c>
      <c r="D24">
        <f>IF(D23&lt;=0,0,MAX(0,AI24-P24))</f>
        <v/>
      </c>
      <c r="E24">
        <f>IF(E23&lt;=0,0,MAX(0,AJ24-Q24))</f>
        <v/>
      </c>
      <c r="F24">
        <f>IF(F23&lt;=0,0,MAX(0,AK24-R24))</f>
        <v/>
      </c>
      <c r="G24">
        <f>IF(G23&lt;=0,0,MAX(0,AL24-S24))</f>
        <v/>
      </c>
      <c r="H24">
        <f>IF(H23&lt;=0,0,MAX(0,AM24-T24))</f>
        <v/>
      </c>
      <c r="I24">
        <f>IF(I23&lt;=0,0,MAX(0,AN24-U24))</f>
        <v/>
      </c>
      <c r="J24">
        <f>IF(J23&lt;=0,0,MAX(0,AO24-V24))</f>
        <v/>
      </c>
      <c r="K24">
        <f>IF(K23&lt;=0,0,MAX(0,AP24-W24))</f>
        <v/>
      </c>
      <c r="L24">
        <f>IF(L23&lt;=0,0,MAX(0,AQ24-X24))</f>
        <v/>
      </c>
      <c r="M24">
        <f>IF(M23&lt;=0,0,MAX(0,AR24-Y24))</f>
        <v/>
      </c>
      <c r="N24">
        <f>IF(N23&lt;=0,0,MAX(0,AS24-Z24))</f>
        <v/>
      </c>
      <c r="O24">
        <f>IF(C23&lt;=0,0,MIN(AH24,C$7+IF(C$2=$AA24,$AC24,IF(C$2=$AF24,$AG24,0))))</f>
        <v/>
      </c>
      <c r="P24">
        <f>IF(D23&lt;=0,0,MIN(AI24,D$7+IF(D$2=$AA24,$AC24,IF(D$2=$AF24,$AG24,0))))</f>
        <v/>
      </c>
      <c r="Q24">
        <f>IF(E23&lt;=0,0,MIN(AJ24,E$7+IF(E$2=$AA24,$AC24,IF(E$2=$AF24,$AG24,0))))</f>
        <v/>
      </c>
      <c r="R24">
        <f>IF(F23&lt;=0,0,MIN(AK24,F$7+IF(F$2=$AA24,$AC24,IF(F$2=$AF24,$AG24,0))))</f>
        <v/>
      </c>
      <c r="S24">
        <f>IF(G23&lt;=0,0,MIN(AL24,G$7+IF(G$2=$AA24,$AC24,IF(G$2=$AF24,$AG24,0))))</f>
        <v/>
      </c>
      <c r="T24">
        <f>IF(H23&lt;=0,0,MIN(AM24,H$7+IF(H$2=$AA24,$AC24,IF(H$2=$AF24,$AG24,0))))</f>
        <v/>
      </c>
      <c r="U24">
        <f>IF(I23&lt;=0,0,MIN(AN24,I$7+IF(I$2=$AA24,$AC24,IF(I$2=$AF24,$AG24,0))))</f>
        <v/>
      </c>
      <c r="V24">
        <f>IF(J23&lt;=0,0,MIN(AO24,J$7+IF(J$2=$AA24,$AC24,IF(J$2=$AF24,$AG24,0))))</f>
        <v/>
      </c>
      <c r="W24">
        <f>IF(K23&lt;=0,0,MIN(AP24,K$7+IF(K$2=$AA24,$AC24,IF(K$2=$AF24,$AG24,0))))</f>
        <v/>
      </c>
      <c r="X24">
        <f>IF(L23&lt;=0,0,MIN(AQ24,L$7+IF(L$2=$AA24,$AC24,IF(L$2=$AF24,$AG24,0))))</f>
        <v/>
      </c>
      <c r="Y24">
        <f>IF(M23&lt;=0,0,MIN(AR24,M$7+IF(M$2=$AA24,$AC24,IF(M$2=$AF24,$AG24,0))))</f>
        <v/>
      </c>
      <c r="Z24">
        <f>IF(N23&lt;=0,0,MIN(AS24,N$7+IF(N$2=$AA24,$AC24,IF(N$2=$AF24,$AG24,0))))</f>
        <v/>
      </c>
      <c r="AA24">
        <f>IFERROR(ROUND(1/SUMPRODUCT(MAX((C23:N23&gt;0)*($C$3:$N$3&lt;=B24)/$C$2:$N$2)),0),0)</f>
        <v/>
      </c>
      <c r="AB24">
        <f>SUMPRODUCT((C23:N23&gt;0)*$C$7:$N$7)</f>
        <v/>
      </c>
      <c r="AC24">
        <f>MAX(0,Plan!$C$5-AB24)+IF(A24=Plan!$C$8,N(Plan!$C$7),0)</f>
        <v/>
      </c>
      <c r="AD24">
        <f>SUM(C24:N24)</f>
        <v/>
      </c>
      <c r="AE24">
        <f>SUM(O24:Z24)</f>
        <v/>
      </c>
      <c r="AF24">
        <f>IFERROR(ROUND(1/SUMPRODUCT(MAX((C23:N23&gt;0)*($C$3:$N$3&lt;=B24)*($C$2:$N$2&gt;AA24)/$C$2:$N$2)),0),0)</f>
        <v/>
      </c>
      <c r="AG24">
        <f>MAX(0,AC24-MAX(0,SUMPRODUCT(($C$2:$N$2=AA24)*(AH24:AS24-$C$7:$N$7))))</f>
        <v/>
      </c>
      <c r="AH24">
        <f>IF(C23&lt;=0,0,ROUND(C23*(1+IF(AND(C$6&gt;0,$B24&lt;C$6),C$4,C$5)/12),2))</f>
        <v/>
      </c>
      <c r="AI24">
        <f>IF(D23&lt;=0,0,ROUND(D23*(1+IF(AND(D$6&gt;0,$B24&lt;D$6),D$4,D$5)/12),2))</f>
        <v/>
      </c>
      <c r="AJ24">
        <f>IF(E23&lt;=0,0,ROUND(E23*(1+IF(AND(E$6&gt;0,$B24&lt;E$6),E$4,E$5)/12),2))</f>
        <v/>
      </c>
      <c r="AK24">
        <f>IF(F23&lt;=0,0,ROUND(F23*(1+IF(AND(F$6&gt;0,$B24&lt;F$6),F$4,F$5)/12),2))</f>
        <v/>
      </c>
      <c r="AL24">
        <f>IF(G23&lt;=0,0,ROUND(G23*(1+IF(AND(G$6&gt;0,$B24&lt;G$6),G$4,G$5)/12),2))</f>
        <v/>
      </c>
      <c r="AM24">
        <f>IF(H23&lt;=0,0,ROUND(H23*(1+IF(AND(H$6&gt;0,$B24&lt;H$6),H$4,H$5)/12),2))</f>
        <v/>
      </c>
      <c r="AN24">
        <f>IF(I23&lt;=0,0,ROUND(I23*(1+IF(AND(I$6&gt;0,$B24&lt;I$6),I$4,I$5)/12),2))</f>
        <v/>
      </c>
      <c r="AO24">
        <f>IF(J23&lt;=0,0,ROUND(J23*(1+IF(AND(J$6&gt;0,$B24&lt;J$6),J$4,J$5)/12),2))</f>
        <v/>
      </c>
      <c r="AP24">
        <f>IF(K23&lt;=0,0,ROUND(K23*(1+IF(AND(K$6&gt;0,$B24&lt;K$6),K$4,K$5)/12),2))</f>
        <v/>
      </c>
      <c r="AQ24">
        <f>IF(L23&lt;=0,0,ROUND(L23*(1+IF(AND(L$6&gt;0,$B24&lt;L$6),L$4,L$5)/12),2))</f>
        <v/>
      </c>
      <c r="AR24">
        <f>IF(M23&lt;=0,0,ROUND(M23*(1+IF(AND(M$6&gt;0,$B24&lt;M$6),M$4,M$5)/12),2))</f>
        <v/>
      </c>
      <c r="AS24">
        <f>IF(N23&lt;=0,0,ROUND(N23*(1+IF(AND(N$6&gt;0,$B24&lt;N$6),N$4,N$5)/12),2))</f>
        <v/>
      </c>
    </row>
    <row r="25">
      <c r="A25" t="n">
        <v>14</v>
      </c>
      <c r="B25">
        <f>EDATE(Plan!$C$6,13)</f>
        <v/>
      </c>
      <c r="C25">
        <f>IF(C24&lt;=0,0,MAX(0,AH25-O25))</f>
        <v/>
      </c>
      <c r="D25">
        <f>IF(D24&lt;=0,0,MAX(0,AI25-P25))</f>
        <v/>
      </c>
      <c r="E25">
        <f>IF(E24&lt;=0,0,MAX(0,AJ25-Q25))</f>
        <v/>
      </c>
      <c r="F25">
        <f>IF(F24&lt;=0,0,MAX(0,AK25-R25))</f>
        <v/>
      </c>
      <c r="G25">
        <f>IF(G24&lt;=0,0,MAX(0,AL25-S25))</f>
        <v/>
      </c>
      <c r="H25">
        <f>IF(H24&lt;=0,0,MAX(0,AM25-T25))</f>
        <v/>
      </c>
      <c r="I25">
        <f>IF(I24&lt;=0,0,MAX(0,AN25-U25))</f>
        <v/>
      </c>
      <c r="J25">
        <f>IF(J24&lt;=0,0,MAX(0,AO25-V25))</f>
        <v/>
      </c>
      <c r="K25">
        <f>IF(K24&lt;=0,0,MAX(0,AP25-W25))</f>
        <v/>
      </c>
      <c r="L25">
        <f>IF(L24&lt;=0,0,MAX(0,AQ25-X25))</f>
        <v/>
      </c>
      <c r="M25">
        <f>IF(M24&lt;=0,0,MAX(0,AR25-Y25))</f>
        <v/>
      </c>
      <c r="N25">
        <f>IF(N24&lt;=0,0,MAX(0,AS25-Z25))</f>
        <v/>
      </c>
      <c r="O25">
        <f>IF(C24&lt;=0,0,MIN(AH25,C$7+IF(C$2=$AA25,$AC25,IF(C$2=$AF25,$AG25,0))))</f>
        <v/>
      </c>
      <c r="P25">
        <f>IF(D24&lt;=0,0,MIN(AI25,D$7+IF(D$2=$AA25,$AC25,IF(D$2=$AF25,$AG25,0))))</f>
        <v/>
      </c>
      <c r="Q25">
        <f>IF(E24&lt;=0,0,MIN(AJ25,E$7+IF(E$2=$AA25,$AC25,IF(E$2=$AF25,$AG25,0))))</f>
        <v/>
      </c>
      <c r="R25">
        <f>IF(F24&lt;=0,0,MIN(AK25,F$7+IF(F$2=$AA25,$AC25,IF(F$2=$AF25,$AG25,0))))</f>
        <v/>
      </c>
      <c r="S25">
        <f>IF(G24&lt;=0,0,MIN(AL25,G$7+IF(G$2=$AA25,$AC25,IF(G$2=$AF25,$AG25,0))))</f>
        <v/>
      </c>
      <c r="T25">
        <f>IF(H24&lt;=0,0,MIN(AM25,H$7+IF(H$2=$AA25,$AC25,IF(H$2=$AF25,$AG25,0))))</f>
        <v/>
      </c>
      <c r="U25">
        <f>IF(I24&lt;=0,0,MIN(AN25,I$7+IF(I$2=$AA25,$AC25,IF(I$2=$AF25,$AG25,0))))</f>
        <v/>
      </c>
      <c r="V25">
        <f>IF(J24&lt;=0,0,MIN(AO25,J$7+IF(J$2=$AA25,$AC25,IF(J$2=$AF25,$AG25,0))))</f>
        <v/>
      </c>
      <c r="W25">
        <f>IF(K24&lt;=0,0,MIN(AP25,K$7+IF(K$2=$AA25,$AC25,IF(K$2=$AF25,$AG25,0))))</f>
        <v/>
      </c>
      <c r="X25">
        <f>IF(L24&lt;=0,0,MIN(AQ25,L$7+IF(L$2=$AA25,$AC25,IF(L$2=$AF25,$AG25,0))))</f>
        <v/>
      </c>
      <c r="Y25">
        <f>IF(M24&lt;=0,0,MIN(AR25,M$7+IF(M$2=$AA25,$AC25,IF(M$2=$AF25,$AG25,0))))</f>
        <v/>
      </c>
      <c r="Z25">
        <f>IF(N24&lt;=0,0,MIN(AS25,N$7+IF(N$2=$AA25,$AC25,IF(N$2=$AF25,$AG25,0))))</f>
        <v/>
      </c>
      <c r="AA25">
        <f>IFERROR(ROUND(1/SUMPRODUCT(MAX((C24:N24&gt;0)*($C$3:$N$3&lt;=B25)/$C$2:$N$2)),0),0)</f>
        <v/>
      </c>
      <c r="AB25">
        <f>SUMPRODUCT((C24:N24&gt;0)*$C$7:$N$7)</f>
        <v/>
      </c>
      <c r="AC25">
        <f>MAX(0,Plan!$C$5-AB25)+IF(A25=Plan!$C$8,N(Plan!$C$7),0)</f>
        <v/>
      </c>
      <c r="AD25">
        <f>SUM(C25:N25)</f>
        <v/>
      </c>
      <c r="AE25">
        <f>SUM(O25:Z25)</f>
        <v/>
      </c>
      <c r="AF25">
        <f>IFERROR(ROUND(1/SUMPRODUCT(MAX((C24:N24&gt;0)*($C$3:$N$3&lt;=B25)*($C$2:$N$2&gt;AA25)/$C$2:$N$2)),0),0)</f>
        <v/>
      </c>
      <c r="AG25">
        <f>MAX(0,AC25-MAX(0,SUMPRODUCT(($C$2:$N$2=AA25)*(AH25:AS25-$C$7:$N$7))))</f>
        <v/>
      </c>
      <c r="AH25">
        <f>IF(C24&lt;=0,0,ROUND(C24*(1+IF(AND(C$6&gt;0,$B25&lt;C$6),C$4,C$5)/12),2))</f>
        <v/>
      </c>
      <c r="AI25">
        <f>IF(D24&lt;=0,0,ROUND(D24*(1+IF(AND(D$6&gt;0,$B25&lt;D$6),D$4,D$5)/12),2))</f>
        <v/>
      </c>
      <c r="AJ25">
        <f>IF(E24&lt;=0,0,ROUND(E24*(1+IF(AND(E$6&gt;0,$B25&lt;E$6),E$4,E$5)/12),2))</f>
        <v/>
      </c>
      <c r="AK25">
        <f>IF(F24&lt;=0,0,ROUND(F24*(1+IF(AND(F$6&gt;0,$B25&lt;F$6),F$4,F$5)/12),2))</f>
        <v/>
      </c>
      <c r="AL25">
        <f>IF(G24&lt;=0,0,ROUND(G24*(1+IF(AND(G$6&gt;0,$B25&lt;G$6),G$4,G$5)/12),2))</f>
        <v/>
      </c>
      <c r="AM25">
        <f>IF(H24&lt;=0,0,ROUND(H24*(1+IF(AND(H$6&gt;0,$B25&lt;H$6),H$4,H$5)/12),2))</f>
        <v/>
      </c>
      <c r="AN25">
        <f>IF(I24&lt;=0,0,ROUND(I24*(1+IF(AND(I$6&gt;0,$B25&lt;I$6),I$4,I$5)/12),2))</f>
        <v/>
      </c>
      <c r="AO25">
        <f>IF(J24&lt;=0,0,ROUND(J24*(1+IF(AND(J$6&gt;0,$B25&lt;J$6),J$4,J$5)/12),2))</f>
        <v/>
      </c>
      <c r="AP25">
        <f>IF(K24&lt;=0,0,ROUND(K24*(1+IF(AND(K$6&gt;0,$B25&lt;K$6),K$4,K$5)/12),2))</f>
        <v/>
      </c>
      <c r="AQ25">
        <f>IF(L24&lt;=0,0,ROUND(L24*(1+IF(AND(L$6&gt;0,$B25&lt;L$6),L$4,L$5)/12),2))</f>
        <v/>
      </c>
      <c r="AR25">
        <f>IF(M24&lt;=0,0,ROUND(M24*(1+IF(AND(M$6&gt;0,$B25&lt;M$6),M$4,M$5)/12),2))</f>
        <v/>
      </c>
      <c r="AS25">
        <f>IF(N24&lt;=0,0,ROUND(N24*(1+IF(AND(N$6&gt;0,$B25&lt;N$6),N$4,N$5)/12),2))</f>
        <v/>
      </c>
    </row>
    <row r="26">
      <c r="A26" t="n">
        <v>15</v>
      </c>
      <c r="B26">
        <f>EDATE(Plan!$C$6,14)</f>
        <v/>
      </c>
      <c r="C26">
        <f>IF(C25&lt;=0,0,MAX(0,AH26-O26))</f>
        <v/>
      </c>
      <c r="D26">
        <f>IF(D25&lt;=0,0,MAX(0,AI26-P26))</f>
        <v/>
      </c>
      <c r="E26">
        <f>IF(E25&lt;=0,0,MAX(0,AJ26-Q26))</f>
        <v/>
      </c>
      <c r="F26">
        <f>IF(F25&lt;=0,0,MAX(0,AK26-R26))</f>
        <v/>
      </c>
      <c r="G26">
        <f>IF(G25&lt;=0,0,MAX(0,AL26-S26))</f>
        <v/>
      </c>
      <c r="H26">
        <f>IF(H25&lt;=0,0,MAX(0,AM26-T26))</f>
        <v/>
      </c>
      <c r="I26">
        <f>IF(I25&lt;=0,0,MAX(0,AN26-U26))</f>
        <v/>
      </c>
      <c r="J26">
        <f>IF(J25&lt;=0,0,MAX(0,AO26-V26))</f>
        <v/>
      </c>
      <c r="K26">
        <f>IF(K25&lt;=0,0,MAX(0,AP26-W26))</f>
        <v/>
      </c>
      <c r="L26">
        <f>IF(L25&lt;=0,0,MAX(0,AQ26-X26))</f>
        <v/>
      </c>
      <c r="M26">
        <f>IF(M25&lt;=0,0,MAX(0,AR26-Y26))</f>
        <v/>
      </c>
      <c r="N26">
        <f>IF(N25&lt;=0,0,MAX(0,AS26-Z26))</f>
        <v/>
      </c>
      <c r="O26">
        <f>IF(C25&lt;=0,0,MIN(AH26,C$7+IF(C$2=$AA26,$AC26,IF(C$2=$AF26,$AG26,0))))</f>
        <v/>
      </c>
      <c r="P26">
        <f>IF(D25&lt;=0,0,MIN(AI26,D$7+IF(D$2=$AA26,$AC26,IF(D$2=$AF26,$AG26,0))))</f>
        <v/>
      </c>
      <c r="Q26">
        <f>IF(E25&lt;=0,0,MIN(AJ26,E$7+IF(E$2=$AA26,$AC26,IF(E$2=$AF26,$AG26,0))))</f>
        <v/>
      </c>
      <c r="R26">
        <f>IF(F25&lt;=0,0,MIN(AK26,F$7+IF(F$2=$AA26,$AC26,IF(F$2=$AF26,$AG26,0))))</f>
        <v/>
      </c>
      <c r="S26">
        <f>IF(G25&lt;=0,0,MIN(AL26,G$7+IF(G$2=$AA26,$AC26,IF(G$2=$AF26,$AG26,0))))</f>
        <v/>
      </c>
      <c r="T26">
        <f>IF(H25&lt;=0,0,MIN(AM26,H$7+IF(H$2=$AA26,$AC26,IF(H$2=$AF26,$AG26,0))))</f>
        <v/>
      </c>
      <c r="U26">
        <f>IF(I25&lt;=0,0,MIN(AN26,I$7+IF(I$2=$AA26,$AC26,IF(I$2=$AF26,$AG26,0))))</f>
        <v/>
      </c>
      <c r="V26">
        <f>IF(J25&lt;=0,0,MIN(AO26,J$7+IF(J$2=$AA26,$AC26,IF(J$2=$AF26,$AG26,0))))</f>
        <v/>
      </c>
      <c r="W26">
        <f>IF(K25&lt;=0,0,MIN(AP26,K$7+IF(K$2=$AA26,$AC26,IF(K$2=$AF26,$AG26,0))))</f>
        <v/>
      </c>
      <c r="X26">
        <f>IF(L25&lt;=0,0,MIN(AQ26,L$7+IF(L$2=$AA26,$AC26,IF(L$2=$AF26,$AG26,0))))</f>
        <v/>
      </c>
      <c r="Y26">
        <f>IF(M25&lt;=0,0,MIN(AR26,M$7+IF(M$2=$AA26,$AC26,IF(M$2=$AF26,$AG26,0))))</f>
        <v/>
      </c>
      <c r="Z26">
        <f>IF(N25&lt;=0,0,MIN(AS26,N$7+IF(N$2=$AA26,$AC26,IF(N$2=$AF26,$AG26,0))))</f>
        <v/>
      </c>
      <c r="AA26">
        <f>IFERROR(ROUND(1/SUMPRODUCT(MAX((C25:N25&gt;0)*($C$3:$N$3&lt;=B26)/$C$2:$N$2)),0),0)</f>
        <v/>
      </c>
      <c r="AB26">
        <f>SUMPRODUCT((C25:N25&gt;0)*$C$7:$N$7)</f>
        <v/>
      </c>
      <c r="AC26">
        <f>MAX(0,Plan!$C$5-AB26)+IF(A26=Plan!$C$8,N(Plan!$C$7),0)</f>
        <v/>
      </c>
      <c r="AD26">
        <f>SUM(C26:N26)</f>
        <v/>
      </c>
      <c r="AE26">
        <f>SUM(O26:Z26)</f>
        <v/>
      </c>
      <c r="AF26">
        <f>IFERROR(ROUND(1/SUMPRODUCT(MAX((C25:N25&gt;0)*($C$3:$N$3&lt;=B26)*($C$2:$N$2&gt;AA26)/$C$2:$N$2)),0),0)</f>
        <v/>
      </c>
      <c r="AG26">
        <f>MAX(0,AC26-MAX(0,SUMPRODUCT(($C$2:$N$2=AA26)*(AH26:AS26-$C$7:$N$7))))</f>
        <v/>
      </c>
      <c r="AH26">
        <f>IF(C25&lt;=0,0,ROUND(C25*(1+IF(AND(C$6&gt;0,$B26&lt;C$6),C$4,C$5)/12),2))</f>
        <v/>
      </c>
      <c r="AI26">
        <f>IF(D25&lt;=0,0,ROUND(D25*(1+IF(AND(D$6&gt;0,$B26&lt;D$6),D$4,D$5)/12),2))</f>
        <v/>
      </c>
      <c r="AJ26">
        <f>IF(E25&lt;=0,0,ROUND(E25*(1+IF(AND(E$6&gt;0,$B26&lt;E$6),E$4,E$5)/12),2))</f>
        <v/>
      </c>
      <c r="AK26">
        <f>IF(F25&lt;=0,0,ROUND(F25*(1+IF(AND(F$6&gt;0,$B26&lt;F$6),F$4,F$5)/12),2))</f>
        <v/>
      </c>
      <c r="AL26">
        <f>IF(G25&lt;=0,0,ROUND(G25*(1+IF(AND(G$6&gt;0,$B26&lt;G$6),G$4,G$5)/12),2))</f>
        <v/>
      </c>
      <c r="AM26">
        <f>IF(H25&lt;=0,0,ROUND(H25*(1+IF(AND(H$6&gt;0,$B26&lt;H$6),H$4,H$5)/12),2))</f>
        <v/>
      </c>
      <c r="AN26">
        <f>IF(I25&lt;=0,0,ROUND(I25*(1+IF(AND(I$6&gt;0,$B26&lt;I$6),I$4,I$5)/12),2))</f>
        <v/>
      </c>
      <c r="AO26">
        <f>IF(J25&lt;=0,0,ROUND(J25*(1+IF(AND(J$6&gt;0,$B26&lt;J$6),J$4,J$5)/12),2))</f>
        <v/>
      </c>
      <c r="AP26">
        <f>IF(K25&lt;=0,0,ROUND(K25*(1+IF(AND(K$6&gt;0,$B26&lt;K$6),K$4,K$5)/12),2))</f>
        <v/>
      </c>
      <c r="AQ26">
        <f>IF(L25&lt;=0,0,ROUND(L25*(1+IF(AND(L$6&gt;0,$B26&lt;L$6),L$4,L$5)/12),2))</f>
        <v/>
      </c>
      <c r="AR26">
        <f>IF(M25&lt;=0,0,ROUND(M25*(1+IF(AND(M$6&gt;0,$B26&lt;M$6),M$4,M$5)/12),2))</f>
        <v/>
      </c>
      <c r="AS26">
        <f>IF(N25&lt;=0,0,ROUND(N25*(1+IF(AND(N$6&gt;0,$B26&lt;N$6),N$4,N$5)/12),2))</f>
        <v/>
      </c>
    </row>
    <row r="27">
      <c r="A27" t="n">
        <v>16</v>
      </c>
      <c r="B27">
        <f>EDATE(Plan!$C$6,15)</f>
        <v/>
      </c>
      <c r="C27">
        <f>IF(C26&lt;=0,0,MAX(0,AH27-O27))</f>
        <v/>
      </c>
      <c r="D27">
        <f>IF(D26&lt;=0,0,MAX(0,AI27-P27))</f>
        <v/>
      </c>
      <c r="E27">
        <f>IF(E26&lt;=0,0,MAX(0,AJ27-Q27))</f>
        <v/>
      </c>
      <c r="F27">
        <f>IF(F26&lt;=0,0,MAX(0,AK27-R27))</f>
        <v/>
      </c>
      <c r="G27">
        <f>IF(G26&lt;=0,0,MAX(0,AL27-S27))</f>
        <v/>
      </c>
      <c r="H27">
        <f>IF(H26&lt;=0,0,MAX(0,AM27-T27))</f>
        <v/>
      </c>
      <c r="I27">
        <f>IF(I26&lt;=0,0,MAX(0,AN27-U27))</f>
        <v/>
      </c>
      <c r="J27">
        <f>IF(J26&lt;=0,0,MAX(0,AO27-V27))</f>
        <v/>
      </c>
      <c r="K27">
        <f>IF(K26&lt;=0,0,MAX(0,AP27-W27))</f>
        <v/>
      </c>
      <c r="L27">
        <f>IF(L26&lt;=0,0,MAX(0,AQ27-X27))</f>
        <v/>
      </c>
      <c r="M27">
        <f>IF(M26&lt;=0,0,MAX(0,AR27-Y27))</f>
        <v/>
      </c>
      <c r="N27">
        <f>IF(N26&lt;=0,0,MAX(0,AS27-Z27))</f>
        <v/>
      </c>
      <c r="O27">
        <f>IF(C26&lt;=0,0,MIN(AH27,C$7+IF(C$2=$AA27,$AC27,IF(C$2=$AF27,$AG27,0))))</f>
        <v/>
      </c>
      <c r="P27">
        <f>IF(D26&lt;=0,0,MIN(AI27,D$7+IF(D$2=$AA27,$AC27,IF(D$2=$AF27,$AG27,0))))</f>
        <v/>
      </c>
      <c r="Q27">
        <f>IF(E26&lt;=0,0,MIN(AJ27,E$7+IF(E$2=$AA27,$AC27,IF(E$2=$AF27,$AG27,0))))</f>
        <v/>
      </c>
      <c r="R27">
        <f>IF(F26&lt;=0,0,MIN(AK27,F$7+IF(F$2=$AA27,$AC27,IF(F$2=$AF27,$AG27,0))))</f>
        <v/>
      </c>
      <c r="S27">
        <f>IF(G26&lt;=0,0,MIN(AL27,G$7+IF(G$2=$AA27,$AC27,IF(G$2=$AF27,$AG27,0))))</f>
        <v/>
      </c>
      <c r="T27">
        <f>IF(H26&lt;=0,0,MIN(AM27,H$7+IF(H$2=$AA27,$AC27,IF(H$2=$AF27,$AG27,0))))</f>
        <v/>
      </c>
      <c r="U27">
        <f>IF(I26&lt;=0,0,MIN(AN27,I$7+IF(I$2=$AA27,$AC27,IF(I$2=$AF27,$AG27,0))))</f>
        <v/>
      </c>
      <c r="V27">
        <f>IF(J26&lt;=0,0,MIN(AO27,J$7+IF(J$2=$AA27,$AC27,IF(J$2=$AF27,$AG27,0))))</f>
        <v/>
      </c>
      <c r="W27">
        <f>IF(K26&lt;=0,0,MIN(AP27,K$7+IF(K$2=$AA27,$AC27,IF(K$2=$AF27,$AG27,0))))</f>
        <v/>
      </c>
      <c r="X27">
        <f>IF(L26&lt;=0,0,MIN(AQ27,L$7+IF(L$2=$AA27,$AC27,IF(L$2=$AF27,$AG27,0))))</f>
        <v/>
      </c>
      <c r="Y27">
        <f>IF(M26&lt;=0,0,MIN(AR27,M$7+IF(M$2=$AA27,$AC27,IF(M$2=$AF27,$AG27,0))))</f>
        <v/>
      </c>
      <c r="Z27">
        <f>IF(N26&lt;=0,0,MIN(AS27,N$7+IF(N$2=$AA27,$AC27,IF(N$2=$AF27,$AG27,0))))</f>
        <v/>
      </c>
      <c r="AA27">
        <f>IFERROR(ROUND(1/SUMPRODUCT(MAX((C26:N26&gt;0)*($C$3:$N$3&lt;=B27)/$C$2:$N$2)),0),0)</f>
        <v/>
      </c>
      <c r="AB27">
        <f>SUMPRODUCT((C26:N26&gt;0)*$C$7:$N$7)</f>
        <v/>
      </c>
      <c r="AC27">
        <f>MAX(0,Plan!$C$5-AB27)+IF(A27=Plan!$C$8,N(Plan!$C$7),0)</f>
        <v/>
      </c>
      <c r="AD27">
        <f>SUM(C27:N27)</f>
        <v/>
      </c>
      <c r="AE27">
        <f>SUM(O27:Z27)</f>
        <v/>
      </c>
      <c r="AF27">
        <f>IFERROR(ROUND(1/SUMPRODUCT(MAX((C26:N26&gt;0)*($C$3:$N$3&lt;=B27)*($C$2:$N$2&gt;AA27)/$C$2:$N$2)),0),0)</f>
        <v/>
      </c>
      <c r="AG27">
        <f>MAX(0,AC27-MAX(0,SUMPRODUCT(($C$2:$N$2=AA27)*(AH27:AS27-$C$7:$N$7))))</f>
        <v/>
      </c>
      <c r="AH27">
        <f>IF(C26&lt;=0,0,ROUND(C26*(1+IF(AND(C$6&gt;0,$B27&lt;C$6),C$4,C$5)/12),2))</f>
        <v/>
      </c>
      <c r="AI27">
        <f>IF(D26&lt;=0,0,ROUND(D26*(1+IF(AND(D$6&gt;0,$B27&lt;D$6),D$4,D$5)/12),2))</f>
        <v/>
      </c>
      <c r="AJ27">
        <f>IF(E26&lt;=0,0,ROUND(E26*(1+IF(AND(E$6&gt;0,$B27&lt;E$6),E$4,E$5)/12),2))</f>
        <v/>
      </c>
      <c r="AK27">
        <f>IF(F26&lt;=0,0,ROUND(F26*(1+IF(AND(F$6&gt;0,$B27&lt;F$6),F$4,F$5)/12),2))</f>
        <v/>
      </c>
      <c r="AL27">
        <f>IF(G26&lt;=0,0,ROUND(G26*(1+IF(AND(G$6&gt;0,$B27&lt;G$6),G$4,G$5)/12),2))</f>
        <v/>
      </c>
      <c r="AM27">
        <f>IF(H26&lt;=0,0,ROUND(H26*(1+IF(AND(H$6&gt;0,$B27&lt;H$6),H$4,H$5)/12),2))</f>
        <v/>
      </c>
      <c r="AN27">
        <f>IF(I26&lt;=0,0,ROUND(I26*(1+IF(AND(I$6&gt;0,$B27&lt;I$6),I$4,I$5)/12),2))</f>
        <v/>
      </c>
      <c r="AO27">
        <f>IF(J26&lt;=0,0,ROUND(J26*(1+IF(AND(J$6&gt;0,$B27&lt;J$6),J$4,J$5)/12),2))</f>
        <v/>
      </c>
      <c r="AP27">
        <f>IF(K26&lt;=0,0,ROUND(K26*(1+IF(AND(K$6&gt;0,$B27&lt;K$6),K$4,K$5)/12),2))</f>
        <v/>
      </c>
      <c r="AQ27">
        <f>IF(L26&lt;=0,0,ROUND(L26*(1+IF(AND(L$6&gt;0,$B27&lt;L$6),L$4,L$5)/12),2))</f>
        <v/>
      </c>
      <c r="AR27">
        <f>IF(M26&lt;=0,0,ROUND(M26*(1+IF(AND(M$6&gt;0,$B27&lt;M$6),M$4,M$5)/12),2))</f>
        <v/>
      </c>
      <c r="AS27">
        <f>IF(N26&lt;=0,0,ROUND(N26*(1+IF(AND(N$6&gt;0,$B27&lt;N$6),N$4,N$5)/12),2))</f>
        <v/>
      </c>
    </row>
    <row r="28">
      <c r="A28" t="n">
        <v>17</v>
      </c>
      <c r="B28">
        <f>EDATE(Plan!$C$6,16)</f>
        <v/>
      </c>
      <c r="C28">
        <f>IF(C27&lt;=0,0,MAX(0,AH28-O28))</f>
        <v/>
      </c>
      <c r="D28">
        <f>IF(D27&lt;=0,0,MAX(0,AI28-P28))</f>
        <v/>
      </c>
      <c r="E28">
        <f>IF(E27&lt;=0,0,MAX(0,AJ28-Q28))</f>
        <v/>
      </c>
      <c r="F28">
        <f>IF(F27&lt;=0,0,MAX(0,AK28-R28))</f>
        <v/>
      </c>
      <c r="G28">
        <f>IF(G27&lt;=0,0,MAX(0,AL28-S28))</f>
        <v/>
      </c>
      <c r="H28">
        <f>IF(H27&lt;=0,0,MAX(0,AM28-T28))</f>
        <v/>
      </c>
      <c r="I28">
        <f>IF(I27&lt;=0,0,MAX(0,AN28-U28))</f>
        <v/>
      </c>
      <c r="J28">
        <f>IF(J27&lt;=0,0,MAX(0,AO28-V28))</f>
        <v/>
      </c>
      <c r="K28">
        <f>IF(K27&lt;=0,0,MAX(0,AP28-W28))</f>
        <v/>
      </c>
      <c r="L28">
        <f>IF(L27&lt;=0,0,MAX(0,AQ28-X28))</f>
        <v/>
      </c>
      <c r="M28">
        <f>IF(M27&lt;=0,0,MAX(0,AR28-Y28))</f>
        <v/>
      </c>
      <c r="N28">
        <f>IF(N27&lt;=0,0,MAX(0,AS28-Z28))</f>
        <v/>
      </c>
      <c r="O28">
        <f>IF(C27&lt;=0,0,MIN(AH28,C$7+IF(C$2=$AA28,$AC28,IF(C$2=$AF28,$AG28,0))))</f>
        <v/>
      </c>
      <c r="P28">
        <f>IF(D27&lt;=0,0,MIN(AI28,D$7+IF(D$2=$AA28,$AC28,IF(D$2=$AF28,$AG28,0))))</f>
        <v/>
      </c>
      <c r="Q28">
        <f>IF(E27&lt;=0,0,MIN(AJ28,E$7+IF(E$2=$AA28,$AC28,IF(E$2=$AF28,$AG28,0))))</f>
        <v/>
      </c>
      <c r="R28">
        <f>IF(F27&lt;=0,0,MIN(AK28,F$7+IF(F$2=$AA28,$AC28,IF(F$2=$AF28,$AG28,0))))</f>
        <v/>
      </c>
      <c r="S28">
        <f>IF(G27&lt;=0,0,MIN(AL28,G$7+IF(G$2=$AA28,$AC28,IF(G$2=$AF28,$AG28,0))))</f>
        <v/>
      </c>
      <c r="T28">
        <f>IF(H27&lt;=0,0,MIN(AM28,H$7+IF(H$2=$AA28,$AC28,IF(H$2=$AF28,$AG28,0))))</f>
        <v/>
      </c>
      <c r="U28">
        <f>IF(I27&lt;=0,0,MIN(AN28,I$7+IF(I$2=$AA28,$AC28,IF(I$2=$AF28,$AG28,0))))</f>
        <v/>
      </c>
      <c r="V28">
        <f>IF(J27&lt;=0,0,MIN(AO28,J$7+IF(J$2=$AA28,$AC28,IF(J$2=$AF28,$AG28,0))))</f>
        <v/>
      </c>
      <c r="W28">
        <f>IF(K27&lt;=0,0,MIN(AP28,K$7+IF(K$2=$AA28,$AC28,IF(K$2=$AF28,$AG28,0))))</f>
        <v/>
      </c>
      <c r="X28">
        <f>IF(L27&lt;=0,0,MIN(AQ28,L$7+IF(L$2=$AA28,$AC28,IF(L$2=$AF28,$AG28,0))))</f>
        <v/>
      </c>
      <c r="Y28">
        <f>IF(M27&lt;=0,0,MIN(AR28,M$7+IF(M$2=$AA28,$AC28,IF(M$2=$AF28,$AG28,0))))</f>
        <v/>
      </c>
      <c r="Z28">
        <f>IF(N27&lt;=0,0,MIN(AS28,N$7+IF(N$2=$AA28,$AC28,IF(N$2=$AF28,$AG28,0))))</f>
        <v/>
      </c>
      <c r="AA28">
        <f>IFERROR(ROUND(1/SUMPRODUCT(MAX((C27:N27&gt;0)*($C$3:$N$3&lt;=B28)/$C$2:$N$2)),0),0)</f>
        <v/>
      </c>
      <c r="AB28">
        <f>SUMPRODUCT((C27:N27&gt;0)*$C$7:$N$7)</f>
        <v/>
      </c>
      <c r="AC28">
        <f>MAX(0,Plan!$C$5-AB28)+IF(A28=Plan!$C$8,N(Plan!$C$7),0)</f>
        <v/>
      </c>
      <c r="AD28">
        <f>SUM(C28:N28)</f>
        <v/>
      </c>
      <c r="AE28">
        <f>SUM(O28:Z28)</f>
        <v/>
      </c>
      <c r="AF28">
        <f>IFERROR(ROUND(1/SUMPRODUCT(MAX((C27:N27&gt;0)*($C$3:$N$3&lt;=B28)*($C$2:$N$2&gt;AA28)/$C$2:$N$2)),0),0)</f>
        <v/>
      </c>
      <c r="AG28">
        <f>MAX(0,AC28-MAX(0,SUMPRODUCT(($C$2:$N$2=AA28)*(AH28:AS28-$C$7:$N$7))))</f>
        <v/>
      </c>
      <c r="AH28">
        <f>IF(C27&lt;=0,0,ROUND(C27*(1+IF(AND(C$6&gt;0,$B28&lt;C$6),C$4,C$5)/12),2))</f>
        <v/>
      </c>
      <c r="AI28">
        <f>IF(D27&lt;=0,0,ROUND(D27*(1+IF(AND(D$6&gt;0,$B28&lt;D$6),D$4,D$5)/12),2))</f>
        <v/>
      </c>
      <c r="AJ28">
        <f>IF(E27&lt;=0,0,ROUND(E27*(1+IF(AND(E$6&gt;0,$B28&lt;E$6),E$4,E$5)/12),2))</f>
        <v/>
      </c>
      <c r="AK28">
        <f>IF(F27&lt;=0,0,ROUND(F27*(1+IF(AND(F$6&gt;0,$B28&lt;F$6),F$4,F$5)/12),2))</f>
        <v/>
      </c>
      <c r="AL28">
        <f>IF(G27&lt;=0,0,ROUND(G27*(1+IF(AND(G$6&gt;0,$B28&lt;G$6),G$4,G$5)/12),2))</f>
        <v/>
      </c>
      <c r="AM28">
        <f>IF(H27&lt;=0,0,ROUND(H27*(1+IF(AND(H$6&gt;0,$B28&lt;H$6),H$4,H$5)/12),2))</f>
        <v/>
      </c>
      <c r="AN28">
        <f>IF(I27&lt;=0,0,ROUND(I27*(1+IF(AND(I$6&gt;0,$B28&lt;I$6),I$4,I$5)/12),2))</f>
        <v/>
      </c>
      <c r="AO28">
        <f>IF(J27&lt;=0,0,ROUND(J27*(1+IF(AND(J$6&gt;0,$B28&lt;J$6),J$4,J$5)/12),2))</f>
        <v/>
      </c>
      <c r="AP28">
        <f>IF(K27&lt;=0,0,ROUND(K27*(1+IF(AND(K$6&gt;0,$B28&lt;K$6),K$4,K$5)/12),2))</f>
        <v/>
      </c>
      <c r="AQ28">
        <f>IF(L27&lt;=0,0,ROUND(L27*(1+IF(AND(L$6&gt;0,$B28&lt;L$6),L$4,L$5)/12),2))</f>
        <v/>
      </c>
      <c r="AR28">
        <f>IF(M27&lt;=0,0,ROUND(M27*(1+IF(AND(M$6&gt;0,$B28&lt;M$6),M$4,M$5)/12),2))</f>
        <v/>
      </c>
      <c r="AS28">
        <f>IF(N27&lt;=0,0,ROUND(N27*(1+IF(AND(N$6&gt;0,$B28&lt;N$6),N$4,N$5)/12),2))</f>
        <v/>
      </c>
    </row>
    <row r="29">
      <c r="A29" t="n">
        <v>18</v>
      </c>
      <c r="B29">
        <f>EDATE(Plan!$C$6,17)</f>
        <v/>
      </c>
      <c r="C29">
        <f>IF(C28&lt;=0,0,MAX(0,AH29-O29))</f>
        <v/>
      </c>
      <c r="D29">
        <f>IF(D28&lt;=0,0,MAX(0,AI29-P29))</f>
        <v/>
      </c>
      <c r="E29">
        <f>IF(E28&lt;=0,0,MAX(0,AJ29-Q29))</f>
        <v/>
      </c>
      <c r="F29">
        <f>IF(F28&lt;=0,0,MAX(0,AK29-R29))</f>
        <v/>
      </c>
      <c r="G29">
        <f>IF(G28&lt;=0,0,MAX(0,AL29-S29))</f>
        <v/>
      </c>
      <c r="H29">
        <f>IF(H28&lt;=0,0,MAX(0,AM29-T29))</f>
        <v/>
      </c>
      <c r="I29">
        <f>IF(I28&lt;=0,0,MAX(0,AN29-U29))</f>
        <v/>
      </c>
      <c r="J29">
        <f>IF(J28&lt;=0,0,MAX(0,AO29-V29))</f>
        <v/>
      </c>
      <c r="K29">
        <f>IF(K28&lt;=0,0,MAX(0,AP29-W29))</f>
        <v/>
      </c>
      <c r="L29">
        <f>IF(L28&lt;=0,0,MAX(0,AQ29-X29))</f>
        <v/>
      </c>
      <c r="M29">
        <f>IF(M28&lt;=0,0,MAX(0,AR29-Y29))</f>
        <v/>
      </c>
      <c r="N29">
        <f>IF(N28&lt;=0,0,MAX(0,AS29-Z29))</f>
        <v/>
      </c>
      <c r="O29">
        <f>IF(C28&lt;=0,0,MIN(AH29,C$7+IF(C$2=$AA29,$AC29,IF(C$2=$AF29,$AG29,0))))</f>
        <v/>
      </c>
      <c r="P29">
        <f>IF(D28&lt;=0,0,MIN(AI29,D$7+IF(D$2=$AA29,$AC29,IF(D$2=$AF29,$AG29,0))))</f>
        <v/>
      </c>
      <c r="Q29">
        <f>IF(E28&lt;=0,0,MIN(AJ29,E$7+IF(E$2=$AA29,$AC29,IF(E$2=$AF29,$AG29,0))))</f>
        <v/>
      </c>
      <c r="R29">
        <f>IF(F28&lt;=0,0,MIN(AK29,F$7+IF(F$2=$AA29,$AC29,IF(F$2=$AF29,$AG29,0))))</f>
        <v/>
      </c>
      <c r="S29">
        <f>IF(G28&lt;=0,0,MIN(AL29,G$7+IF(G$2=$AA29,$AC29,IF(G$2=$AF29,$AG29,0))))</f>
        <v/>
      </c>
      <c r="T29">
        <f>IF(H28&lt;=0,0,MIN(AM29,H$7+IF(H$2=$AA29,$AC29,IF(H$2=$AF29,$AG29,0))))</f>
        <v/>
      </c>
      <c r="U29">
        <f>IF(I28&lt;=0,0,MIN(AN29,I$7+IF(I$2=$AA29,$AC29,IF(I$2=$AF29,$AG29,0))))</f>
        <v/>
      </c>
      <c r="V29">
        <f>IF(J28&lt;=0,0,MIN(AO29,J$7+IF(J$2=$AA29,$AC29,IF(J$2=$AF29,$AG29,0))))</f>
        <v/>
      </c>
      <c r="W29">
        <f>IF(K28&lt;=0,0,MIN(AP29,K$7+IF(K$2=$AA29,$AC29,IF(K$2=$AF29,$AG29,0))))</f>
        <v/>
      </c>
      <c r="X29">
        <f>IF(L28&lt;=0,0,MIN(AQ29,L$7+IF(L$2=$AA29,$AC29,IF(L$2=$AF29,$AG29,0))))</f>
        <v/>
      </c>
      <c r="Y29">
        <f>IF(M28&lt;=0,0,MIN(AR29,M$7+IF(M$2=$AA29,$AC29,IF(M$2=$AF29,$AG29,0))))</f>
        <v/>
      </c>
      <c r="Z29">
        <f>IF(N28&lt;=0,0,MIN(AS29,N$7+IF(N$2=$AA29,$AC29,IF(N$2=$AF29,$AG29,0))))</f>
        <v/>
      </c>
      <c r="AA29">
        <f>IFERROR(ROUND(1/SUMPRODUCT(MAX((C28:N28&gt;0)*($C$3:$N$3&lt;=B29)/$C$2:$N$2)),0),0)</f>
        <v/>
      </c>
      <c r="AB29">
        <f>SUMPRODUCT((C28:N28&gt;0)*$C$7:$N$7)</f>
        <v/>
      </c>
      <c r="AC29">
        <f>MAX(0,Plan!$C$5-AB29)+IF(A29=Plan!$C$8,N(Plan!$C$7),0)</f>
        <v/>
      </c>
      <c r="AD29">
        <f>SUM(C29:N29)</f>
        <v/>
      </c>
      <c r="AE29">
        <f>SUM(O29:Z29)</f>
        <v/>
      </c>
      <c r="AF29">
        <f>IFERROR(ROUND(1/SUMPRODUCT(MAX((C28:N28&gt;0)*($C$3:$N$3&lt;=B29)*($C$2:$N$2&gt;AA29)/$C$2:$N$2)),0),0)</f>
        <v/>
      </c>
      <c r="AG29">
        <f>MAX(0,AC29-MAX(0,SUMPRODUCT(($C$2:$N$2=AA29)*(AH29:AS29-$C$7:$N$7))))</f>
        <v/>
      </c>
      <c r="AH29">
        <f>IF(C28&lt;=0,0,ROUND(C28*(1+IF(AND(C$6&gt;0,$B29&lt;C$6),C$4,C$5)/12),2))</f>
        <v/>
      </c>
      <c r="AI29">
        <f>IF(D28&lt;=0,0,ROUND(D28*(1+IF(AND(D$6&gt;0,$B29&lt;D$6),D$4,D$5)/12),2))</f>
        <v/>
      </c>
      <c r="AJ29">
        <f>IF(E28&lt;=0,0,ROUND(E28*(1+IF(AND(E$6&gt;0,$B29&lt;E$6),E$4,E$5)/12),2))</f>
        <v/>
      </c>
      <c r="AK29">
        <f>IF(F28&lt;=0,0,ROUND(F28*(1+IF(AND(F$6&gt;0,$B29&lt;F$6),F$4,F$5)/12),2))</f>
        <v/>
      </c>
      <c r="AL29">
        <f>IF(G28&lt;=0,0,ROUND(G28*(1+IF(AND(G$6&gt;0,$B29&lt;G$6),G$4,G$5)/12),2))</f>
        <v/>
      </c>
      <c r="AM29">
        <f>IF(H28&lt;=0,0,ROUND(H28*(1+IF(AND(H$6&gt;0,$B29&lt;H$6),H$4,H$5)/12),2))</f>
        <v/>
      </c>
      <c r="AN29">
        <f>IF(I28&lt;=0,0,ROUND(I28*(1+IF(AND(I$6&gt;0,$B29&lt;I$6),I$4,I$5)/12),2))</f>
        <v/>
      </c>
      <c r="AO29">
        <f>IF(J28&lt;=0,0,ROUND(J28*(1+IF(AND(J$6&gt;0,$B29&lt;J$6),J$4,J$5)/12),2))</f>
        <v/>
      </c>
      <c r="AP29">
        <f>IF(K28&lt;=0,0,ROUND(K28*(1+IF(AND(K$6&gt;0,$B29&lt;K$6),K$4,K$5)/12),2))</f>
        <v/>
      </c>
      <c r="AQ29">
        <f>IF(L28&lt;=0,0,ROUND(L28*(1+IF(AND(L$6&gt;0,$B29&lt;L$6),L$4,L$5)/12),2))</f>
        <v/>
      </c>
      <c r="AR29">
        <f>IF(M28&lt;=0,0,ROUND(M28*(1+IF(AND(M$6&gt;0,$B29&lt;M$6),M$4,M$5)/12),2))</f>
        <v/>
      </c>
      <c r="AS29">
        <f>IF(N28&lt;=0,0,ROUND(N28*(1+IF(AND(N$6&gt;0,$B29&lt;N$6),N$4,N$5)/12),2))</f>
        <v/>
      </c>
    </row>
    <row r="30">
      <c r="A30" t="n">
        <v>19</v>
      </c>
      <c r="B30">
        <f>EDATE(Plan!$C$6,18)</f>
        <v/>
      </c>
      <c r="C30">
        <f>IF(C29&lt;=0,0,MAX(0,AH30-O30))</f>
        <v/>
      </c>
      <c r="D30">
        <f>IF(D29&lt;=0,0,MAX(0,AI30-P30))</f>
        <v/>
      </c>
      <c r="E30">
        <f>IF(E29&lt;=0,0,MAX(0,AJ30-Q30))</f>
        <v/>
      </c>
      <c r="F30">
        <f>IF(F29&lt;=0,0,MAX(0,AK30-R30))</f>
        <v/>
      </c>
      <c r="G30">
        <f>IF(G29&lt;=0,0,MAX(0,AL30-S30))</f>
        <v/>
      </c>
      <c r="H30">
        <f>IF(H29&lt;=0,0,MAX(0,AM30-T30))</f>
        <v/>
      </c>
      <c r="I30">
        <f>IF(I29&lt;=0,0,MAX(0,AN30-U30))</f>
        <v/>
      </c>
      <c r="J30">
        <f>IF(J29&lt;=0,0,MAX(0,AO30-V30))</f>
        <v/>
      </c>
      <c r="K30">
        <f>IF(K29&lt;=0,0,MAX(0,AP30-W30))</f>
        <v/>
      </c>
      <c r="L30">
        <f>IF(L29&lt;=0,0,MAX(0,AQ30-X30))</f>
        <v/>
      </c>
      <c r="M30">
        <f>IF(M29&lt;=0,0,MAX(0,AR30-Y30))</f>
        <v/>
      </c>
      <c r="N30">
        <f>IF(N29&lt;=0,0,MAX(0,AS30-Z30))</f>
        <v/>
      </c>
      <c r="O30">
        <f>IF(C29&lt;=0,0,MIN(AH30,C$7+IF(C$2=$AA30,$AC30,IF(C$2=$AF30,$AG30,0))))</f>
        <v/>
      </c>
      <c r="P30">
        <f>IF(D29&lt;=0,0,MIN(AI30,D$7+IF(D$2=$AA30,$AC30,IF(D$2=$AF30,$AG30,0))))</f>
        <v/>
      </c>
      <c r="Q30">
        <f>IF(E29&lt;=0,0,MIN(AJ30,E$7+IF(E$2=$AA30,$AC30,IF(E$2=$AF30,$AG30,0))))</f>
        <v/>
      </c>
      <c r="R30">
        <f>IF(F29&lt;=0,0,MIN(AK30,F$7+IF(F$2=$AA30,$AC30,IF(F$2=$AF30,$AG30,0))))</f>
        <v/>
      </c>
      <c r="S30">
        <f>IF(G29&lt;=0,0,MIN(AL30,G$7+IF(G$2=$AA30,$AC30,IF(G$2=$AF30,$AG30,0))))</f>
        <v/>
      </c>
      <c r="T30">
        <f>IF(H29&lt;=0,0,MIN(AM30,H$7+IF(H$2=$AA30,$AC30,IF(H$2=$AF30,$AG30,0))))</f>
        <v/>
      </c>
      <c r="U30">
        <f>IF(I29&lt;=0,0,MIN(AN30,I$7+IF(I$2=$AA30,$AC30,IF(I$2=$AF30,$AG30,0))))</f>
        <v/>
      </c>
      <c r="V30">
        <f>IF(J29&lt;=0,0,MIN(AO30,J$7+IF(J$2=$AA30,$AC30,IF(J$2=$AF30,$AG30,0))))</f>
        <v/>
      </c>
      <c r="W30">
        <f>IF(K29&lt;=0,0,MIN(AP30,K$7+IF(K$2=$AA30,$AC30,IF(K$2=$AF30,$AG30,0))))</f>
        <v/>
      </c>
      <c r="X30">
        <f>IF(L29&lt;=0,0,MIN(AQ30,L$7+IF(L$2=$AA30,$AC30,IF(L$2=$AF30,$AG30,0))))</f>
        <v/>
      </c>
      <c r="Y30">
        <f>IF(M29&lt;=0,0,MIN(AR30,M$7+IF(M$2=$AA30,$AC30,IF(M$2=$AF30,$AG30,0))))</f>
        <v/>
      </c>
      <c r="Z30">
        <f>IF(N29&lt;=0,0,MIN(AS30,N$7+IF(N$2=$AA30,$AC30,IF(N$2=$AF30,$AG30,0))))</f>
        <v/>
      </c>
      <c r="AA30">
        <f>IFERROR(ROUND(1/SUMPRODUCT(MAX((C29:N29&gt;0)*($C$3:$N$3&lt;=B30)/$C$2:$N$2)),0),0)</f>
        <v/>
      </c>
      <c r="AB30">
        <f>SUMPRODUCT((C29:N29&gt;0)*$C$7:$N$7)</f>
        <v/>
      </c>
      <c r="AC30">
        <f>MAX(0,Plan!$C$5-AB30)+IF(A30=Plan!$C$8,N(Plan!$C$7),0)</f>
        <v/>
      </c>
      <c r="AD30">
        <f>SUM(C30:N30)</f>
        <v/>
      </c>
      <c r="AE30">
        <f>SUM(O30:Z30)</f>
        <v/>
      </c>
      <c r="AF30">
        <f>IFERROR(ROUND(1/SUMPRODUCT(MAX((C29:N29&gt;0)*($C$3:$N$3&lt;=B30)*($C$2:$N$2&gt;AA30)/$C$2:$N$2)),0),0)</f>
        <v/>
      </c>
      <c r="AG30">
        <f>MAX(0,AC30-MAX(0,SUMPRODUCT(($C$2:$N$2=AA30)*(AH30:AS30-$C$7:$N$7))))</f>
        <v/>
      </c>
      <c r="AH30">
        <f>IF(C29&lt;=0,0,ROUND(C29*(1+IF(AND(C$6&gt;0,$B30&lt;C$6),C$4,C$5)/12),2))</f>
        <v/>
      </c>
      <c r="AI30">
        <f>IF(D29&lt;=0,0,ROUND(D29*(1+IF(AND(D$6&gt;0,$B30&lt;D$6),D$4,D$5)/12),2))</f>
        <v/>
      </c>
      <c r="AJ30">
        <f>IF(E29&lt;=0,0,ROUND(E29*(1+IF(AND(E$6&gt;0,$B30&lt;E$6),E$4,E$5)/12),2))</f>
        <v/>
      </c>
      <c r="AK30">
        <f>IF(F29&lt;=0,0,ROUND(F29*(1+IF(AND(F$6&gt;0,$B30&lt;F$6),F$4,F$5)/12),2))</f>
        <v/>
      </c>
      <c r="AL30">
        <f>IF(G29&lt;=0,0,ROUND(G29*(1+IF(AND(G$6&gt;0,$B30&lt;G$6),G$4,G$5)/12),2))</f>
        <v/>
      </c>
      <c r="AM30">
        <f>IF(H29&lt;=0,0,ROUND(H29*(1+IF(AND(H$6&gt;0,$B30&lt;H$6),H$4,H$5)/12),2))</f>
        <v/>
      </c>
      <c r="AN30">
        <f>IF(I29&lt;=0,0,ROUND(I29*(1+IF(AND(I$6&gt;0,$B30&lt;I$6),I$4,I$5)/12),2))</f>
        <v/>
      </c>
      <c r="AO30">
        <f>IF(J29&lt;=0,0,ROUND(J29*(1+IF(AND(J$6&gt;0,$B30&lt;J$6),J$4,J$5)/12),2))</f>
        <v/>
      </c>
      <c r="AP30">
        <f>IF(K29&lt;=0,0,ROUND(K29*(1+IF(AND(K$6&gt;0,$B30&lt;K$6),K$4,K$5)/12),2))</f>
        <v/>
      </c>
      <c r="AQ30">
        <f>IF(L29&lt;=0,0,ROUND(L29*(1+IF(AND(L$6&gt;0,$B30&lt;L$6),L$4,L$5)/12),2))</f>
        <v/>
      </c>
      <c r="AR30">
        <f>IF(M29&lt;=0,0,ROUND(M29*(1+IF(AND(M$6&gt;0,$B30&lt;M$6),M$4,M$5)/12),2))</f>
        <v/>
      </c>
      <c r="AS30">
        <f>IF(N29&lt;=0,0,ROUND(N29*(1+IF(AND(N$6&gt;0,$B30&lt;N$6),N$4,N$5)/12),2))</f>
        <v/>
      </c>
    </row>
    <row r="31">
      <c r="A31" t="n">
        <v>20</v>
      </c>
      <c r="B31">
        <f>EDATE(Plan!$C$6,19)</f>
        <v/>
      </c>
      <c r="C31">
        <f>IF(C30&lt;=0,0,MAX(0,AH31-O31))</f>
        <v/>
      </c>
      <c r="D31">
        <f>IF(D30&lt;=0,0,MAX(0,AI31-P31))</f>
        <v/>
      </c>
      <c r="E31">
        <f>IF(E30&lt;=0,0,MAX(0,AJ31-Q31))</f>
        <v/>
      </c>
      <c r="F31">
        <f>IF(F30&lt;=0,0,MAX(0,AK31-R31))</f>
        <v/>
      </c>
      <c r="G31">
        <f>IF(G30&lt;=0,0,MAX(0,AL31-S31))</f>
        <v/>
      </c>
      <c r="H31">
        <f>IF(H30&lt;=0,0,MAX(0,AM31-T31))</f>
        <v/>
      </c>
      <c r="I31">
        <f>IF(I30&lt;=0,0,MAX(0,AN31-U31))</f>
        <v/>
      </c>
      <c r="J31">
        <f>IF(J30&lt;=0,0,MAX(0,AO31-V31))</f>
        <v/>
      </c>
      <c r="K31">
        <f>IF(K30&lt;=0,0,MAX(0,AP31-W31))</f>
        <v/>
      </c>
      <c r="L31">
        <f>IF(L30&lt;=0,0,MAX(0,AQ31-X31))</f>
        <v/>
      </c>
      <c r="M31">
        <f>IF(M30&lt;=0,0,MAX(0,AR31-Y31))</f>
        <v/>
      </c>
      <c r="N31">
        <f>IF(N30&lt;=0,0,MAX(0,AS31-Z31))</f>
        <v/>
      </c>
      <c r="O31">
        <f>IF(C30&lt;=0,0,MIN(AH31,C$7+IF(C$2=$AA31,$AC31,IF(C$2=$AF31,$AG31,0))))</f>
        <v/>
      </c>
      <c r="P31">
        <f>IF(D30&lt;=0,0,MIN(AI31,D$7+IF(D$2=$AA31,$AC31,IF(D$2=$AF31,$AG31,0))))</f>
        <v/>
      </c>
      <c r="Q31">
        <f>IF(E30&lt;=0,0,MIN(AJ31,E$7+IF(E$2=$AA31,$AC31,IF(E$2=$AF31,$AG31,0))))</f>
        <v/>
      </c>
      <c r="R31">
        <f>IF(F30&lt;=0,0,MIN(AK31,F$7+IF(F$2=$AA31,$AC31,IF(F$2=$AF31,$AG31,0))))</f>
        <v/>
      </c>
      <c r="S31">
        <f>IF(G30&lt;=0,0,MIN(AL31,G$7+IF(G$2=$AA31,$AC31,IF(G$2=$AF31,$AG31,0))))</f>
        <v/>
      </c>
      <c r="T31">
        <f>IF(H30&lt;=0,0,MIN(AM31,H$7+IF(H$2=$AA31,$AC31,IF(H$2=$AF31,$AG31,0))))</f>
        <v/>
      </c>
      <c r="U31">
        <f>IF(I30&lt;=0,0,MIN(AN31,I$7+IF(I$2=$AA31,$AC31,IF(I$2=$AF31,$AG31,0))))</f>
        <v/>
      </c>
      <c r="V31">
        <f>IF(J30&lt;=0,0,MIN(AO31,J$7+IF(J$2=$AA31,$AC31,IF(J$2=$AF31,$AG31,0))))</f>
        <v/>
      </c>
      <c r="W31">
        <f>IF(K30&lt;=0,0,MIN(AP31,K$7+IF(K$2=$AA31,$AC31,IF(K$2=$AF31,$AG31,0))))</f>
        <v/>
      </c>
      <c r="X31">
        <f>IF(L30&lt;=0,0,MIN(AQ31,L$7+IF(L$2=$AA31,$AC31,IF(L$2=$AF31,$AG31,0))))</f>
        <v/>
      </c>
      <c r="Y31">
        <f>IF(M30&lt;=0,0,MIN(AR31,M$7+IF(M$2=$AA31,$AC31,IF(M$2=$AF31,$AG31,0))))</f>
        <v/>
      </c>
      <c r="Z31">
        <f>IF(N30&lt;=0,0,MIN(AS31,N$7+IF(N$2=$AA31,$AC31,IF(N$2=$AF31,$AG31,0))))</f>
        <v/>
      </c>
      <c r="AA31">
        <f>IFERROR(ROUND(1/SUMPRODUCT(MAX((C30:N30&gt;0)*($C$3:$N$3&lt;=B31)/$C$2:$N$2)),0),0)</f>
        <v/>
      </c>
      <c r="AB31">
        <f>SUMPRODUCT((C30:N30&gt;0)*$C$7:$N$7)</f>
        <v/>
      </c>
      <c r="AC31">
        <f>MAX(0,Plan!$C$5-AB31)+IF(A31=Plan!$C$8,N(Plan!$C$7),0)</f>
        <v/>
      </c>
      <c r="AD31">
        <f>SUM(C31:N31)</f>
        <v/>
      </c>
      <c r="AE31">
        <f>SUM(O31:Z31)</f>
        <v/>
      </c>
      <c r="AF31">
        <f>IFERROR(ROUND(1/SUMPRODUCT(MAX((C30:N30&gt;0)*($C$3:$N$3&lt;=B31)*($C$2:$N$2&gt;AA31)/$C$2:$N$2)),0),0)</f>
        <v/>
      </c>
      <c r="AG31">
        <f>MAX(0,AC31-MAX(0,SUMPRODUCT(($C$2:$N$2=AA31)*(AH31:AS31-$C$7:$N$7))))</f>
        <v/>
      </c>
      <c r="AH31">
        <f>IF(C30&lt;=0,0,ROUND(C30*(1+IF(AND(C$6&gt;0,$B31&lt;C$6),C$4,C$5)/12),2))</f>
        <v/>
      </c>
      <c r="AI31">
        <f>IF(D30&lt;=0,0,ROUND(D30*(1+IF(AND(D$6&gt;0,$B31&lt;D$6),D$4,D$5)/12),2))</f>
        <v/>
      </c>
      <c r="AJ31">
        <f>IF(E30&lt;=0,0,ROUND(E30*(1+IF(AND(E$6&gt;0,$B31&lt;E$6),E$4,E$5)/12),2))</f>
        <v/>
      </c>
      <c r="AK31">
        <f>IF(F30&lt;=0,0,ROUND(F30*(1+IF(AND(F$6&gt;0,$B31&lt;F$6),F$4,F$5)/12),2))</f>
        <v/>
      </c>
      <c r="AL31">
        <f>IF(G30&lt;=0,0,ROUND(G30*(1+IF(AND(G$6&gt;0,$B31&lt;G$6),G$4,G$5)/12),2))</f>
        <v/>
      </c>
      <c r="AM31">
        <f>IF(H30&lt;=0,0,ROUND(H30*(1+IF(AND(H$6&gt;0,$B31&lt;H$6),H$4,H$5)/12),2))</f>
        <v/>
      </c>
      <c r="AN31">
        <f>IF(I30&lt;=0,0,ROUND(I30*(1+IF(AND(I$6&gt;0,$B31&lt;I$6),I$4,I$5)/12),2))</f>
        <v/>
      </c>
      <c r="AO31">
        <f>IF(J30&lt;=0,0,ROUND(J30*(1+IF(AND(J$6&gt;0,$B31&lt;J$6),J$4,J$5)/12),2))</f>
        <v/>
      </c>
      <c r="AP31">
        <f>IF(K30&lt;=0,0,ROUND(K30*(1+IF(AND(K$6&gt;0,$B31&lt;K$6),K$4,K$5)/12),2))</f>
        <v/>
      </c>
      <c r="AQ31">
        <f>IF(L30&lt;=0,0,ROUND(L30*(1+IF(AND(L$6&gt;0,$B31&lt;L$6),L$4,L$5)/12),2))</f>
        <v/>
      </c>
      <c r="AR31">
        <f>IF(M30&lt;=0,0,ROUND(M30*(1+IF(AND(M$6&gt;0,$B31&lt;M$6),M$4,M$5)/12),2))</f>
        <v/>
      </c>
      <c r="AS31">
        <f>IF(N30&lt;=0,0,ROUND(N30*(1+IF(AND(N$6&gt;0,$B31&lt;N$6),N$4,N$5)/12),2))</f>
        <v/>
      </c>
    </row>
    <row r="32">
      <c r="A32" t="n">
        <v>21</v>
      </c>
      <c r="B32">
        <f>EDATE(Plan!$C$6,20)</f>
        <v/>
      </c>
      <c r="C32">
        <f>IF(C31&lt;=0,0,MAX(0,AH32-O32))</f>
        <v/>
      </c>
      <c r="D32">
        <f>IF(D31&lt;=0,0,MAX(0,AI32-P32))</f>
        <v/>
      </c>
      <c r="E32">
        <f>IF(E31&lt;=0,0,MAX(0,AJ32-Q32))</f>
        <v/>
      </c>
      <c r="F32">
        <f>IF(F31&lt;=0,0,MAX(0,AK32-R32))</f>
        <v/>
      </c>
      <c r="G32">
        <f>IF(G31&lt;=0,0,MAX(0,AL32-S32))</f>
        <v/>
      </c>
      <c r="H32">
        <f>IF(H31&lt;=0,0,MAX(0,AM32-T32))</f>
        <v/>
      </c>
      <c r="I32">
        <f>IF(I31&lt;=0,0,MAX(0,AN32-U32))</f>
        <v/>
      </c>
      <c r="J32">
        <f>IF(J31&lt;=0,0,MAX(0,AO32-V32))</f>
        <v/>
      </c>
      <c r="K32">
        <f>IF(K31&lt;=0,0,MAX(0,AP32-W32))</f>
        <v/>
      </c>
      <c r="L32">
        <f>IF(L31&lt;=0,0,MAX(0,AQ32-X32))</f>
        <v/>
      </c>
      <c r="M32">
        <f>IF(M31&lt;=0,0,MAX(0,AR32-Y32))</f>
        <v/>
      </c>
      <c r="N32">
        <f>IF(N31&lt;=0,0,MAX(0,AS32-Z32))</f>
        <v/>
      </c>
      <c r="O32">
        <f>IF(C31&lt;=0,0,MIN(AH32,C$7+IF(C$2=$AA32,$AC32,IF(C$2=$AF32,$AG32,0))))</f>
        <v/>
      </c>
      <c r="P32">
        <f>IF(D31&lt;=0,0,MIN(AI32,D$7+IF(D$2=$AA32,$AC32,IF(D$2=$AF32,$AG32,0))))</f>
        <v/>
      </c>
      <c r="Q32">
        <f>IF(E31&lt;=0,0,MIN(AJ32,E$7+IF(E$2=$AA32,$AC32,IF(E$2=$AF32,$AG32,0))))</f>
        <v/>
      </c>
      <c r="R32">
        <f>IF(F31&lt;=0,0,MIN(AK32,F$7+IF(F$2=$AA32,$AC32,IF(F$2=$AF32,$AG32,0))))</f>
        <v/>
      </c>
      <c r="S32">
        <f>IF(G31&lt;=0,0,MIN(AL32,G$7+IF(G$2=$AA32,$AC32,IF(G$2=$AF32,$AG32,0))))</f>
        <v/>
      </c>
      <c r="T32">
        <f>IF(H31&lt;=0,0,MIN(AM32,H$7+IF(H$2=$AA32,$AC32,IF(H$2=$AF32,$AG32,0))))</f>
        <v/>
      </c>
      <c r="U32">
        <f>IF(I31&lt;=0,0,MIN(AN32,I$7+IF(I$2=$AA32,$AC32,IF(I$2=$AF32,$AG32,0))))</f>
        <v/>
      </c>
      <c r="V32">
        <f>IF(J31&lt;=0,0,MIN(AO32,J$7+IF(J$2=$AA32,$AC32,IF(J$2=$AF32,$AG32,0))))</f>
        <v/>
      </c>
      <c r="W32">
        <f>IF(K31&lt;=0,0,MIN(AP32,K$7+IF(K$2=$AA32,$AC32,IF(K$2=$AF32,$AG32,0))))</f>
        <v/>
      </c>
      <c r="X32">
        <f>IF(L31&lt;=0,0,MIN(AQ32,L$7+IF(L$2=$AA32,$AC32,IF(L$2=$AF32,$AG32,0))))</f>
        <v/>
      </c>
      <c r="Y32">
        <f>IF(M31&lt;=0,0,MIN(AR32,M$7+IF(M$2=$AA32,$AC32,IF(M$2=$AF32,$AG32,0))))</f>
        <v/>
      </c>
      <c r="Z32">
        <f>IF(N31&lt;=0,0,MIN(AS32,N$7+IF(N$2=$AA32,$AC32,IF(N$2=$AF32,$AG32,0))))</f>
        <v/>
      </c>
      <c r="AA32">
        <f>IFERROR(ROUND(1/SUMPRODUCT(MAX((C31:N31&gt;0)*($C$3:$N$3&lt;=B32)/$C$2:$N$2)),0),0)</f>
        <v/>
      </c>
      <c r="AB32">
        <f>SUMPRODUCT((C31:N31&gt;0)*$C$7:$N$7)</f>
        <v/>
      </c>
      <c r="AC32">
        <f>MAX(0,Plan!$C$5-AB32)+IF(A32=Plan!$C$8,N(Plan!$C$7),0)</f>
        <v/>
      </c>
      <c r="AD32">
        <f>SUM(C32:N32)</f>
        <v/>
      </c>
      <c r="AE32">
        <f>SUM(O32:Z32)</f>
        <v/>
      </c>
      <c r="AF32">
        <f>IFERROR(ROUND(1/SUMPRODUCT(MAX((C31:N31&gt;0)*($C$3:$N$3&lt;=B32)*($C$2:$N$2&gt;AA32)/$C$2:$N$2)),0),0)</f>
        <v/>
      </c>
      <c r="AG32">
        <f>MAX(0,AC32-MAX(0,SUMPRODUCT(($C$2:$N$2=AA32)*(AH32:AS32-$C$7:$N$7))))</f>
        <v/>
      </c>
      <c r="AH32">
        <f>IF(C31&lt;=0,0,ROUND(C31*(1+IF(AND(C$6&gt;0,$B32&lt;C$6),C$4,C$5)/12),2))</f>
        <v/>
      </c>
      <c r="AI32">
        <f>IF(D31&lt;=0,0,ROUND(D31*(1+IF(AND(D$6&gt;0,$B32&lt;D$6),D$4,D$5)/12),2))</f>
        <v/>
      </c>
      <c r="AJ32">
        <f>IF(E31&lt;=0,0,ROUND(E31*(1+IF(AND(E$6&gt;0,$B32&lt;E$6),E$4,E$5)/12),2))</f>
        <v/>
      </c>
      <c r="AK32">
        <f>IF(F31&lt;=0,0,ROUND(F31*(1+IF(AND(F$6&gt;0,$B32&lt;F$6),F$4,F$5)/12),2))</f>
        <v/>
      </c>
      <c r="AL32">
        <f>IF(G31&lt;=0,0,ROUND(G31*(1+IF(AND(G$6&gt;0,$B32&lt;G$6),G$4,G$5)/12),2))</f>
        <v/>
      </c>
      <c r="AM32">
        <f>IF(H31&lt;=0,0,ROUND(H31*(1+IF(AND(H$6&gt;0,$B32&lt;H$6),H$4,H$5)/12),2))</f>
        <v/>
      </c>
      <c r="AN32">
        <f>IF(I31&lt;=0,0,ROUND(I31*(1+IF(AND(I$6&gt;0,$B32&lt;I$6),I$4,I$5)/12),2))</f>
        <v/>
      </c>
      <c r="AO32">
        <f>IF(J31&lt;=0,0,ROUND(J31*(1+IF(AND(J$6&gt;0,$B32&lt;J$6),J$4,J$5)/12),2))</f>
        <v/>
      </c>
      <c r="AP32">
        <f>IF(K31&lt;=0,0,ROUND(K31*(1+IF(AND(K$6&gt;0,$B32&lt;K$6),K$4,K$5)/12),2))</f>
        <v/>
      </c>
      <c r="AQ32">
        <f>IF(L31&lt;=0,0,ROUND(L31*(1+IF(AND(L$6&gt;0,$B32&lt;L$6),L$4,L$5)/12),2))</f>
        <v/>
      </c>
      <c r="AR32">
        <f>IF(M31&lt;=0,0,ROUND(M31*(1+IF(AND(M$6&gt;0,$B32&lt;M$6),M$4,M$5)/12),2))</f>
        <v/>
      </c>
      <c r="AS32">
        <f>IF(N31&lt;=0,0,ROUND(N31*(1+IF(AND(N$6&gt;0,$B32&lt;N$6),N$4,N$5)/12),2))</f>
        <v/>
      </c>
    </row>
    <row r="33">
      <c r="A33" t="n">
        <v>22</v>
      </c>
      <c r="B33">
        <f>EDATE(Plan!$C$6,21)</f>
        <v/>
      </c>
      <c r="C33">
        <f>IF(C32&lt;=0,0,MAX(0,AH33-O33))</f>
        <v/>
      </c>
      <c r="D33">
        <f>IF(D32&lt;=0,0,MAX(0,AI33-P33))</f>
        <v/>
      </c>
      <c r="E33">
        <f>IF(E32&lt;=0,0,MAX(0,AJ33-Q33))</f>
        <v/>
      </c>
      <c r="F33">
        <f>IF(F32&lt;=0,0,MAX(0,AK33-R33))</f>
        <v/>
      </c>
      <c r="G33">
        <f>IF(G32&lt;=0,0,MAX(0,AL33-S33))</f>
        <v/>
      </c>
      <c r="H33">
        <f>IF(H32&lt;=0,0,MAX(0,AM33-T33))</f>
        <v/>
      </c>
      <c r="I33">
        <f>IF(I32&lt;=0,0,MAX(0,AN33-U33))</f>
        <v/>
      </c>
      <c r="J33">
        <f>IF(J32&lt;=0,0,MAX(0,AO33-V33))</f>
        <v/>
      </c>
      <c r="K33">
        <f>IF(K32&lt;=0,0,MAX(0,AP33-W33))</f>
        <v/>
      </c>
      <c r="L33">
        <f>IF(L32&lt;=0,0,MAX(0,AQ33-X33))</f>
        <v/>
      </c>
      <c r="M33">
        <f>IF(M32&lt;=0,0,MAX(0,AR33-Y33))</f>
        <v/>
      </c>
      <c r="N33">
        <f>IF(N32&lt;=0,0,MAX(0,AS33-Z33))</f>
        <v/>
      </c>
      <c r="O33">
        <f>IF(C32&lt;=0,0,MIN(AH33,C$7+IF(C$2=$AA33,$AC33,IF(C$2=$AF33,$AG33,0))))</f>
        <v/>
      </c>
      <c r="P33">
        <f>IF(D32&lt;=0,0,MIN(AI33,D$7+IF(D$2=$AA33,$AC33,IF(D$2=$AF33,$AG33,0))))</f>
        <v/>
      </c>
      <c r="Q33">
        <f>IF(E32&lt;=0,0,MIN(AJ33,E$7+IF(E$2=$AA33,$AC33,IF(E$2=$AF33,$AG33,0))))</f>
        <v/>
      </c>
      <c r="R33">
        <f>IF(F32&lt;=0,0,MIN(AK33,F$7+IF(F$2=$AA33,$AC33,IF(F$2=$AF33,$AG33,0))))</f>
        <v/>
      </c>
      <c r="S33">
        <f>IF(G32&lt;=0,0,MIN(AL33,G$7+IF(G$2=$AA33,$AC33,IF(G$2=$AF33,$AG33,0))))</f>
        <v/>
      </c>
      <c r="T33">
        <f>IF(H32&lt;=0,0,MIN(AM33,H$7+IF(H$2=$AA33,$AC33,IF(H$2=$AF33,$AG33,0))))</f>
        <v/>
      </c>
      <c r="U33">
        <f>IF(I32&lt;=0,0,MIN(AN33,I$7+IF(I$2=$AA33,$AC33,IF(I$2=$AF33,$AG33,0))))</f>
        <v/>
      </c>
      <c r="V33">
        <f>IF(J32&lt;=0,0,MIN(AO33,J$7+IF(J$2=$AA33,$AC33,IF(J$2=$AF33,$AG33,0))))</f>
        <v/>
      </c>
      <c r="W33">
        <f>IF(K32&lt;=0,0,MIN(AP33,K$7+IF(K$2=$AA33,$AC33,IF(K$2=$AF33,$AG33,0))))</f>
        <v/>
      </c>
      <c r="X33">
        <f>IF(L32&lt;=0,0,MIN(AQ33,L$7+IF(L$2=$AA33,$AC33,IF(L$2=$AF33,$AG33,0))))</f>
        <v/>
      </c>
      <c r="Y33">
        <f>IF(M32&lt;=0,0,MIN(AR33,M$7+IF(M$2=$AA33,$AC33,IF(M$2=$AF33,$AG33,0))))</f>
        <v/>
      </c>
      <c r="Z33">
        <f>IF(N32&lt;=0,0,MIN(AS33,N$7+IF(N$2=$AA33,$AC33,IF(N$2=$AF33,$AG33,0))))</f>
        <v/>
      </c>
      <c r="AA33">
        <f>IFERROR(ROUND(1/SUMPRODUCT(MAX((C32:N32&gt;0)*($C$3:$N$3&lt;=B33)/$C$2:$N$2)),0),0)</f>
        <v/>
      </c>
      <c r="AB33">
        <f>SUMPRODUCT((C32:N32&gt;0)*$C$7:$N$7)</f>
        <v/>
      </c>
      <c r="AC33">
        <f>MAX(0,Plan!$C$5-AB33)+IF(A33=Plan!$C$8,N(Plan!$C$7),0)</f>
        <v/>
      </c>
      <c r="AD33">
        <f>SUM(C33:N33)</f>
        <v/>
      </c>
      <c r="AE33">
        <f>SUM(O33:Z33)</f>
        <v/>
      </c>
      <c r="AF33">
        <f>IFERROR(ROUND(1/SUMPRODUCT(MAX((C32:N32&gt;0)*($C$3:$N$3&lt;=B33)*($C$2:$N$2&gt;AA33)/$C$2:$N$2)),0),0)</f>
        <v/>
      </c>
      <c r="AG33">
        <f>MAX(0,AC33-MAX(0,SUMPRODUCT(($C$2:$N$2=AA33)*(AH33:AS33-$C$7:$N$7))))</f>
        <v/>
      </c>
      <c r="AH33">
        <f>IF(C32&lt;=0,0,ROUND(C32*(1+IF(AND(C$6&gt;0,$B33&lt;C$6),C$4,C$5)/12),2))</f>
        <v/>
      </c>
      <c r="AI33">
        <f>IF(D32&lt;=0,0,ROUND(D32*(1+IF(AND(D$6&gt;0,$B33&lt;D$6),D$4,D$5)/12),2))</f>
        <v/>
      </c>
      <c r="AJ33">
        <f>IF(E32&lt;=0,0,ROUND(E32*(1+IF(AND(E$6&gt;0,$B33&lt;E$6),E$4,E$5)/12),2))</f>
        <v/>
      </c>
      <c r="AK33">
        <f>IF(F32&lt;=0,0,ROUND(F32*(1+IF(AND(F$6&gt;0,$B33&lt;F$6),F$4,F$5)/12),2))</f>
        <v/>
      </c>
      <c r="AL33">
        <f>IF(G32&lt;=0,0,ROUND(G32*(1+IF(AND(G$6&gt;0,$B33&lt;G$6),G$4,G$5)/12),2))</f>
        <v/>
      </c>
      <c r="AM33">
        <f>IF(H32&lt;=0,0,ROUND(H32*(1+IF(AND(H$6&gt;0,$B33&lt;H$6),H$4,H$5)/12),2))</f>
        <v/>
      </c>
      <c r="AN33">
        <f>IF(I32&lt;=0,0,ROUND(I32*(1+IF(AND(I$6&gt;0,$B33&lt;I$6),I$4,I$5)/12),2))</f>
        <v/>
      </c>
      <c r="AO33">
        <f>IF(J32&lt;=0,0,ROUND(J32*(1+IF(AND(J$6&gt;0,$B33&lt;J$6),J$4,J$5)/12),2))</f>
        <v/>
      </c>
      <c r="AP33">
        <f>IF(K32&lt;=0,0,ROUND(K32*(1+IF(AND(K$6&gt;0,$B33&lt;K$6),K$4,K$5)/12),2))</f>
        <v/>
      </c>
      <c r="AQ33">
        <f>IF(L32&lt;=0,0,ROUND(L32*(1+IF(AND(L$6&gt;0,$B33&lt;L$6),L$4,L$5)/12),2))</f>
        <v/>
      </c>
      <c r="AR33">
        <f>IF(M32&lt;=0,0,ROUND(M32*(1+IF(AND(M$6&gt;0,$B33&lt;M$6),M$4,M$5)/12),2))</f>
        <v/>
      </c>
      <c r="AS33">
        <f>IF(N32&lt;=0,0,ROUND(N32*(1+IF(AND(N$6&gt;0,$B33&lt;N$6),N$4,N$5)/12),2))</f>
        <v/>
      </c>
    </row>
    <row r="34">
      <c r="A34" t="n">
        <v>23</v>
      </c>
      <c r="B34">
        <f>EDATE(Plan!$C$6,22)</f>
        <v/>
      </c>
      <c r="C34">
        <f>IF(C33&lt;=0,0,MAX(0,AH34-O34))</f>
        <v/>
      </c>
      <c r="D34">
        <f>IF(D33&lt;=0,0,MAX(0,AI34-P34))</f>
        <v/>
      </c>
      <c r="E34">
        <f>IF(E33&lt;=0,0,MAX(0,AJ34-Q34))</f>
        <v/>
      </c>
      <c r="F34">
        <f>IF(F33&lt;=0,0,MAX(0,AK34-R34))</f>
        <v/>
      </c>
      <c r="G34">
        <f>IF(G33&lt;=0,0,MAX(0,AL34-S34))</f>
        <v/>
      </c>
      <c r="H34">
        <f>IF(H33&lt;=0,0,MAX(0,AM34-T34))</f>
        <v/>
      </c>
      <c r="I34">
        <f>IF(I33&lt;=0,0,MAX(0,AN34-U34))</f>
        <v/>
      </c>
      <c r="J34">
        <f>IF(J33&lt;=0,0,MAX(0,AO34-V34))</f>
        <v/>
      </c>
      <c r="K34">
        <f>IF(K33&lt;=0,0,MAX(0,AP34-W34))</f>
        <v/>
      </c>
      <c r="L34">
        <f>IF(L33&lt;=0,0,MAX(0,AQ34-X34))</f>
        <v/>
      </c>
      <c r="M34">
        <f>IF(M33&lt;=0,0,MAX(0,AR34-Y34))</f>
        <v/>
      </c>
      <c r="N34">
        <f>IF(N33&lt;=0,0,MAX(0,AS34-Z34))</f>
        <v/>
      </c>
      <c r="O34">
        <f>IF(C33&lt;=0,0,MIN(AH34,C$7+IF(C$2=$AA34,$AC34,IF(C$2=$AF34,$AG34,0))))</f>
        <v/>
      </c>
      <c r="P34">
        <f>IF(D33&lt;=0,0,MIN(AI34,D$7+IF(D$2=$AA34,$AC34,IF(D$2=$AF34,$AG34,0))))</f>
        <v/>
      </c>
      <c r="Q34">
        <f>IF(E33&lt;=0,0,MIN(AJ34,E$7+IF(E$2=$AA34,$AC34,IF(E$2=$AF34,$AG34,0))))</f>
        <v/>
      </c>
      <c r="R34">
        <f>IF(F33&lt;=0,0,MIN(AK34,F$7+IF(F$2=$AA34,$AC34,IF(F$2=$AF34,$AG34,0))))</f>
        <v/>
      </c>
      <c r="S34">
        <f>IF(G33&lt;=0,0,MIN(AL34,G$7+IF(G$2=$AA34,$AC34,IF(G$2=$AF34,$AG34,0))))</f>
        <v/>
      </c>
      <c r="T34">
        <f>IF(H33&lt;=0,0,MIN(AM34,H$7+IF(H$2=$AA34,$AC34,IF(H$2=$AF34,$AG34,0))))</f>
        <v/>
      </c>
      <c r="U34">
        <f>IF(I33&lt;=0,0,MIN(AN34,I$7+IF(I$2=$AA34,$AC34,IF(I$2=$AF34,$AG34,0))))</f>
        <v/>
      </c>
      <c r="V34">
        <f>IF(J33&lt;=0,0,MIN(AO34,J$7+IF(J$2=$AA34,$AC34,IF(J$2=$AF34,$AG34,0))))</f>
        <v/>
      </c>
      <c r="W34">
        <f>IF(K33&lt;=0,0,MIN(AP34,K$7+IF(K$2=$AA34,$AC34,IF(K$2=$AF34,$AG34,0))))</f>
        <v/>
      </c>
      <c r="X34">
        <f>IF(L33&lt;=0,0,MIN(AQ34,L$7+IF(L$2=$AA34,$AC34,IF(L$2=$AF34,$AG34,0))))</f>
        <v/>
      </c>
      <c r="Y34">
        <f>IF(M33&lt;=0,0,MIN(AR34,M$7+IF(M$2=$AA34,$AC34,IF(M$2=$AF34,$AG34,0))))</f>
        <v/>
      </c>
      <c r="Z34">
        <f>IF(N33&lt;=0,0,MIN(AS34,N$7+IF(N$2=$AA34,$AC34,IF(N$2=$AF34,$AG34,0))))</f>
        <v/>
      </c>
      <c r="AA34">
        <f>IFERROR(ROUND(1/SUMPRODUCT(MAX((C33:N33&gt;0)*($C$3:$N$3&lt;=B34)/$C$2:$N$2)),0),0)</f>
        <v/>
      </c>
      <c r="AB34">
        <f>SUMPRODUCT((C33:N33&gt;0)*$C$7:$N$7)</f>
        <v/>
      </c>
      <c r="AC34">
        <f>MAX(0,Plan!$C$5-AB34)+IF(A34=Plan!$C$8,N(Plan!$C$7),0)</f>
        <v/>
      </c>
      <c r="AD34">
        <f>SUM(C34:N34)</f>
        <v/>
      </c>
      <c r="AE34">
        <f>SUM(O34:Z34)</f>
        <v/>
      </c>
      <c r="AF34">
        <f>IFERROR(ROUND(1/SUMPRODUCT(MAX((C33:N33&gt;0)*($C$3:$N$3&lt;=B34)*($C$2:$N$2&gt;AA34)/$C$2:$N$2)),0),0)</f>
        <v/>
      </c>
      <c r="AG34">
        <f>MAX(0,AC34-MAX(0,SUMPRODUCT(($C$2:$N$2=AA34)*(AH34:AS34-$C$7:$N$7))))</f>
        <v/>
      </c>
      <c r="AH34">
        <f>IF(C33&lt;=0,0,ROUND(C33*(1+IF(AND(C$6&gt;0,$B34&lt;C$6),C$4,C$5)/12),2))</f>
        <v/>
      </c>
      <c r="AI34">
        <f>IF(D33&lt;=0,0,ROUND(D33*(1+IF(AND(D$6&gt;0,$B34&lt;D$6),D$4,D$5)/12),2))</f>
        <v/>
      </c>
      <c r="AJ34">
        <f>IF(E33&lt;=0,0,ROUND(E33*(1+IF(AND(E$6&gt;0,$B34&lt;E$6),E$4,E$5)/12),2))</f>
        <v/>
      </c>
      <c r="AK34">
        <f>IF(F33&lt;=0,0,ROUND(F33*(1+IF(AND(F$6&gt;0,$B34&lt;F$6),F$4,F$5)/12),2))</f>
        <v/>
      </c>
      <c r="AL34">
        <f>IF(G33&lt;=0,0,ROUND(G33*(1+IF(AND(G$6&gt;0,$B34&lt;G$6),G$4,G$5)/12),2))</f>
        <v/>
      </c>
      <c r="AM34">
        <f>IF(H33&lt;=0,0,ROUND(H33*(1+IF(AND(H$6&gt;0,$B34&lt;H$6),H$4,H$5)/12),2))</f>
        <v/>
      </c>
      <c r="AN34">
        <f>IF(I33&lt;=0,0,ROUND(I33*(1+IF(AND(I$6&gt;0,$B34&lt;I$6),I$4,I$5)/12),2))</f>
        <v/>
      </c>
      <c r="AO34">
        <f>IF(J33&lt;=0,0,ROUND(J33*(1+IF(AND(J$6&gt;0,$B34&lt;J$6),J$4,J$5)/12),2))</f>
        <v/>
      </c>
      <c r="AP34">
        <f>IF(K33&lt;=0,0,ROUND(K33*(1+IF(AND(K$6&gt;0,$B34&lt;K$6),K$4,K$5)/12),2))</f>
        <v/>
      </c>
      <c r="AQ34">
        <f>IF(L33&lt;=0,0,ROUND(L33*(1+IF(AND(L$6&gt;0,$B34&lt;L$6),L$4,L$5)/12),2))</f>
        <v/>
      </c>
      <c r="AR34">
        <f>IF(M33&lt;=0,0,ROUND(M33*(1+IF(AND(M$6&gt;0,$B34&lt;M$6),M$4,M$5)/12),2))</f>
        <v/>
      </c>
      <c r="AS34">
        <f>IF(N33&lt;=0,0,ROUND(N33*(1+IF(AND(N$6&gt;0,$B34&lt;N$6),N$4,N$5)/12),2))</f>
        <v/>
      </c>
    </row>
    <row r="35">
      <c r="A35" t="n">
        <v>24</v>
      </c>
      <c r="B35">
        <f>EDATE(Plan!$C$6,23)</f>
        <v/>
      </c>
      <c r="C35">
        <f>IF(C34&lt;=0,0,MAX(0,AH35-O35))</f>
        <v/>
      </c>
      <c r="D35">
        <f>IF(D34&lt;=0,0,MAX(0,AI35-P35))</f>
        <v/>
      </c>
      <c r="E35">
        <f>IF(E34&lt;=0,0,MAX(0,AJ35-Q35))</f>
        <v/>
      </c>
      <c r="F35">
        <f>IF(F34&lt;=0,0,MAX(0,AK35-R35))</f>
        <v/>
      </c>
      <c r="G35">
        <f>IF(G34&lt;=0,0,MAX(0,AL35-S35))</f>
        <v/>
      </c>
      <c r="H35">
        <f>IF(H34&lt;=0,0,MAX(0,AM35-T35))</f>
        <v/>
      </c>
      <c r="I35">
        <f>IF(I34&lt;=0,0,MAX(0,AN35-U35))</f>
        <v/>
      </c>
      <c r="J35">
        <f>IF(J34&lt;=0,0,MAX(0,AO35-V35))</f>
        <v/>
      </c>
      <c r="K35">
        <f>IF(K34&lt;=0,0,MAX(0,AP35-W35))</f>
        <v/>
      </c>
      <c r="L35">
        <f>IF(L34&lt;=0,0,MAX(0,AQ35-X35))</f>
        <v/>
      </c>
      <c r="M35">
        <f>IF(M34&lt;=0,0,MAX(0,AR35-Y35))</f>
        <v/>
      </c>
      <c r="N35">
        <f>IF(N34&lt;=0,0,MAX(0,AS35-Z35))</f>
        <v/>
      </c>
      <c r="O35">
        <f>IF(C34&lt;=0,0,MIN(AH35,C$7+IF(C$2=$AA35,$AC35,IF(C$2=$AF35,$AG35,0))))</f>
        <v/>
      </c>
      <c r="P35">
        <f>IF(D34&lt;=0,0,MIN(AI35,D$7+IF(D$2=$AA35,$AC35,IF(D$2=$AF35,$AG35,0))))</f>
        <v/>
      </c>
      <c r="Q35">
        <f>IF(E34&lt;=0,0,MIN(AJ35,E$7+IF(E$2=$AA35,$AC35,IF(E$2=$AF35,$AG35,0))))</f>
        <v/>
      </c>
      <c r="R35">
        <f>IF(F34&lt;=0,0,MIN(AK35,F$7+IF(F$2=$AA35,$AC35,IF(F$2=$AF35,$AG35,0))))</f>
        <v/>
      </c>
      <c r="S35">
        <f>IF(G34&lt;=0,0,MIN(AL35,G$7+IF(G$2=$AA35,$AC35,IF(G$2=$AF35,$AG35,0))))</f>
        <v/>
      </c>
      <c r="T35">
        <f>IF(H34&lt;=0,0,MIN(AM35,H$7+IF(H$2=$AA35,$AC35,IF(H$2=$AF35,$AG35,0))))</f>
        <v/>
      </c>
      <c r="U35">
        <f>IF(I34&lt;=0,0,MIN(AN35,I$7+IF(I$2=$AA35,$AC35,IF(I$2=$AF35,$AG35,0))))</f>
        <v/>
      </c>
      <c r="V35">
        <f>IF(J34&lt;=0,0,MIN(AO35,J$7+IF(J$2=$AA35,$AC35,IF(J$2=$AF35,$AG35,0))))</f>
        <v/>
      </c>
      <c r="W35">
        <f>IF(K34&lt;=0,0,MIN(AP35,K$7+IF(K$2=$AA35,$AC35,IF(K$2=$AF35,$AG35,0))))</f>
        <v/>
      </c>
      <c r="X35">
        <f>IF(L34&lt;=0,0,MIN(AQ35,L$7+IF(L$2=$AA35,$AC35,IF(L$2=$AF35,$AG35,0))))</f>
        <v/>
      </c>
      <c r="Y35">
        <f>IF(M34&lt;=0,0,MIN(AR35,M$7+IF(M$2=$AA35,$AC35,IF(M$2=$AF35,$AG35,0))))</f>
        <v/>
      </c>
      <c r="Z35">
        <f>IF(N34&lt;=0,0,MIN(AS35,N$7+IF(N$2=$AA35,$AC35,IF(N$2=$AF35,$AG35,0))))</f>
        <v/>
      </c>
      <c r="AA35">
        <f>IFERROR(ROUND(1/SUMPRODUCT(MAX((C34:N34&gt;0)*($C$3:$N$3&lt;=B35)/$C$2:$N$2)),0),0)</f>
        <v/>
      </c>
      <c r="AB35">
        <f>SUMPRODUCT((C34:N34&gt;0)*$C$7:$N$7)</f>
        <v/>
      </c>
      <c r="AC35">
        <f>MAX(0,Plan!$C$5-AB35)+IF(A35=Plan!$C$8,N(Plan!$C$7),0)</f>
        <v/>
      </c>
      <c r="AD35">
        <f>SUM(C35:N35)</f>
        <v/>
      </c>
      <c r="AE35">
        <f>SUM(O35:Z35)</f>
        <v/>
      </c>
      <c r="AF35">
        <f>IFERROR(ROUND(1/SUMPRODUCT(MAX((C34:N34&gt;0)*($C$3:$N$3&lt;=B35)*($C$2:$N$2&gt;AA35)/$C$2:$N$2)),0),0)</f>
        <v/>
      </c>
      <c r="AG35">
        <f>MAX(0,AC35-MAX(0,SUMPRODUCT(($C$2:$N$2=AA35)*(AH35:AS35-$C$7:$N$7))))</f>
        <v/>
      </c>
      <c r="AH35">
        <f>IF(C34&lt;=0,0,ROUND(C34*(1+IF(AND(C$6&gt;0,$B35&lt;C$6),C$4,C$5)/12),2))</f>
        <v/>
      </c>
      <c r="AI35">
        <f>IF(D34&lt;=0,0,ROUND(D34*(1+IF(AND(D$6&gt;0,$B35&lt;D$6),D$4,D$5)/12),2))</f>
        <v/>
      </c>
      <c r="AJ35">
        <f>IF(E34&lt;=0,0,ROUND(E34*(1+IF(AND(E$6&gt;0,$B35&lt;E$6),E$4,E$5)/12),2))</f>
        <v/>
      </c>
      <c r="AK35">
        <f>IF(F34&lt;=0,0,ROUND(F34*(1+IF(AND(F$6&gt;0,$B35&lt;F$6),F$4,F$5)/12),2))</f>
        <v/>
      </c>
      <c r="AL35">
        <f>IF(G34&lt;=0,0,ROUND(G34*(1+IF(AND(G$6&gt;0,$B35&lt;G$6),G$4,G$5)/12),2))</f>
        <v/>
      </c>
      <c r="AM35">
        <f>IF(H34&lt;=0,0,ROUND(H34*(1+IF(AND(H$6&gt;0,$B35&lt;H$6),H$4,H$5)/12),2))</f>
        <v/>
      </c>
      <c r="AN35">
        <f>IF(I34&lt;=0,0,ROUND(I34*(1+IF(AND(I$6&gt;0,$B35&lt;I$6),I$4,I$5)/12),2))</f>
        <v/>
      </c>
      <c r="AO35">
        <f>IF(J34&lt;=0,0,ROUND(J34*(1+IF(AND(J$6&gt;0,$B35&lt;J$6),J$4,J$5)/12),2))</f>
        <v/>
      </c>
      <c r="AP35">
        <f>IF(K34&lt;=0,0,ROUND(K34*(1+IF(AND(K$6&gt;0,$B35&lt;K$6),K$4,K$5)/12),2))</f>
        <v/>
      </c>
      <c r="AQ35">
        <f>IF(L34&lt;=0,0,ROUND(L34*(1+IF(AND(L$6&gt;0,$B35&lt;L$6),L$4,L$5)/12),2))</f>
        <v/>
      </c>
      <c r="AR35">
        <f>IF(M34&lt;=0,0,ROUND(M34*(1+IF(AND(M$6&gt;0,$B35&lt;M$6),M$4,M$5)/12),2))</f>
        <v/>
      </c>
      <c r="AS35">
        <f>IF(N34&lt;=0,0,ROUND(N34*(1+IF(AND(N$6&gt;0,$B35&lt;N$6),N$4,N$5)/12),2))</f>
        <v/>
      </c>
    </row>
    <row r="36">
      <c r="A36" t="n">
        <v>25</v>
      </c>
      <c r="B36">
        <f>EDATE(Plan!$C$6,24)</f>
        <v/>
      </c>
      <c r="C36">
        <f>IF(C35&lt;=0,0,MAX(0,AH36-O36))</f>
        <v/>
      </c>
      <c r="D36">
        <f>IF(D35&lt;=0,0,MAX(0,AI36-P36))</f>
        <v/>
      </c>
      <c r="E36">
        <f>IF(E35&lt;=0,0,MAX(0,AJ36-Q36))</f>
        <v/>
      </c>
      <c r="F36">
        <f>IF(F35&lt;=0,0,MAX(0,AK36-R36))</f>
        <v/>
      </c>
      <c r="G36">
        <f>IF(G35&lt;=0,0,MAX(0,AL36-S36))</f>
        <v/>
      </c>
      <c r="H36">
        <f>IF(H35&lt;=0,0,MAX(0,AM36-T36))</f>
        <v/>
      </c>
      <c r="I36">
        <f>IF(I35&lt;=0,0,MAX(0,AN36-U36))</f>
        <v/>
      </c>
      <c r="J36">
        <f>IF(J35&lt;=0,0,MAX(0,AO36-V36))</f>
        <v/>
      </c>
      <c r="K36">
        <f>IF(K35&lt;=0,0,MAX(0,AP36-W36))</f>
        <v/>
      </c>
      <c r="L36">
        <f>IF(L35&lt;=0,0,MAX(0,AQ36-X36))</f>
        <v/>
      </c>
      <c r="M36">
        <f>IF(M35&lt;=0,0,MAX(0,AR36-Y36))</f>
        <v/>
      </c>
      <c r="N36">
        <f>IF(N35&lt;=0,0,MAX(0,AS36-Z36))</f>
        <v/>
      </c>
      <c r="O36">
        <f>IF(C35&lt;=0,0,MIN(AH36,C$7+IF(C$2=$AA36,$AC36,IF(C$2=$AF36,$AG36,0))))</f>
        <v/>
      </c>
      <c r="P36">
        <f>IF(D35&lt;=0,0,MIN(AI36,D$7+IF(D$2=$AA36,$AC36,IF(D$2=$AF36,$AG36,0))))</f>
        <v/>
      </c>
      <c r="Q36">
        <f>IF(E35&lt;=0,0,MIN(AJ36,E$7+IF(E$2=$AA36,$AC36,IF(E$2=$AF36,$AG36,0))))</f>
        <v/>
      </c>
      <c r="R36">
        <f>IF(F35&lt;=0,0,MIN(AK36,F$7+IF(F$2=$AA36,$AC36,IF(F$2=$AF36,$AG36,0))))</f>
        <v/>
      </c>
      <c r="S36">
        <f>IF(G35&lt;=0,0,MIN(AL36,G$7+IF(G$2=$AA36,$AC36,IF(G$2=$AF36,$AG36,0))))</f>
        <v/>
      </c>
      <c r="T36">
        <f>IF(H35&lt;=0,0,MIN(AM36,H$7+IF(H$2=$AA36,$AC36,IF(H$2=$AF36,$AG36,0))))</f>
        <v/>
      </c>
      <c r="U36">
        <f>IF(I35&lt;=0,0,MIN(AN36,I$7+IF(I$2=$AA36,$AC36,IF(I$2=$AF36,$AG36,0))))</f>
        <v/>
      </c>
      <c r="V36">
        <f>IF(J35&lt;=0,0,MIN(AO36,J$7+IF(J$2=$AA36,$AC36,IF(J$2=$AF36,$AG36,0))))</f>
        <v/>
      </c>
      <c r="W36">
        <f>IF(K35&lt;=0,0,MIN(AP36,K$7+IF(K$2=$AA36,$AC36,IF(K$2=$AF36,$AG36,0))))</f>
        <v/>
      </c>
      <c r="X36">
        <f>IF(L35&lt;=0,0,MIN(AQ36,L$7+IF(L$2=$AA36,$AC36,IF(L$2=$AF36,$AG36,0))))</f>
        <v/>
      </c>
      <c r="Y36">
        <f>IF(M35&lt;=0,0,MIN(AR36,M$7+IF(M$2=$AA36,$AC36,IF(M$2=$AF36,$AG36,0))))</f>
        <v/>
      </c>
      <c r="Z36">
        <f>IF(N35&lt;=0,0,MIN(AS36,N$7+IF(N$2=$AA36,$AC36,IF(N$2=$AF36,$AG36,0))))</f>
        <v/>
      </c>
      <c r="AA36">
        <f>IFERROR(ROUND(1/SUMPRODUCT(MAX((C35:N35&gt;0)*($C$3:$N$3&lt;=B36)/$C$2:$N$2)),0),0)</f>
        <v/>
      </c>
      <c r="AB36">
        <f>SUMPRODUCT((C35:N35&gt;0)*$C$7:$N$7)</f>
        <v/>
      </c>
      <c r="AC36">
        <f>MAX(0,Plan!$C$5-AB36)+IF(A36=Plan!$C$8,N(Plan!$C$7),0)</f>
        <v/>
      </c>
      <c r="AD36">
        <f>SUM(C36:N36)</f>
        <v/>
      </c>
      <c r="AE36">
        <f>SUM(O36:Z36)</f>
        <v/>
      </c>
      <c r="AF36">
        <f>IFERROR(ROUND(1/SUMPRODUCT(MAX((C35:N35&gt;0)*($C$3:$N$3&lt;=B36)*($C$2:$N$2&gt;AA36)/$C$2:$N$2)),0),0)</f>
        <v/>
      </c>
      <c r="AG36">
        <f>MAX(0,AC36-MAX(0,SUMPRODUCT(($C$2:$N$2=AA36)*(AH36:AS36-$C$7:$N$7))))</f>
        <v/>
      </c>
      <c r="AH36">
        <f>IF(C35&lt;=0,0,ROUND(C35*(1+IF(AND(C$6&gt;0,$B36&lt;C$6),C$4,C$5)/12),2))</f>
        <v/>
      </c>
      <c r="AI36">
        <f>IF(D35&lt;=0,0,ROUND(D35*(1+IF(AND(D$6&gt;0,$B36&lt;D$6),D$4,D$5)/12),2))</f>
        <v/>
      </c>
      <c r="AJ36">
        <f>IF(E35&lt;=0,0,ROUND(E35*(1+IF(AND(E$6&gt;0,$B36&lt;E$6),E$4,E$5)/12),2))</f>
        <v/>
      </c>
      <c r="AK36">
        <f>IF(F35&lt;=0,0,ROUND(F35*(1+IF(AND(F$6&gt;0,$B36&lt;F$6),F$4,F$5)/12),2))</f>
        <v/>
      </c>
      <c r="AL36">
        <f>IF(G35&lt;=0,0,ROUND(G35*(1+IF(AND(G$6&gt;0,$B36&lt;G$6),G$4,G$5)/12),2))</f>
        <v/>
      </c>
      <c r="AM36">
        <f>IF(H35&lt;=0,0,ROUND(H35*(1+IF(AND(H$6&gt;0,$B36&lt;H$6),H$4,H$5)/12),2))</f>
        <v/>
      </c>
      <c r="AN36">
        <f>IF(I35&lt;=0,0,ROUND(I35*(1+IF(AND(I$6&gt;0,$B36&lt;I$6),I$4,I$5)/12),2))</f>
        <v/>
      </c>
      <c r="AO36">
        <f>IF(J35&lt;=0,0,ROUND(J35*(1+IF(AND(J$6&gt;0,$B36&lt;J$6),J$4,J$5)/12),2))</f>
        <v/>
      </c>
      <c r="AP36">
        <f>IF(K35&lt;=0,0,ROUND(K35*(1+IF(AND(K$6&gt;0,$B36&lt;K$6),K$4,K$5)/12),2))</f>
        <v/>
      </c>
      <c r="AQ36">
        <f>IF(L35&lt;=0,0,ROUND(L35*(1+IF(AND(L$6&gt;0,$B36&lt;L$6),L$4,L$5)/12),2))</f>
        <v/>
      </c>
      <c r="AR36">
        <f>IF(M35&lt;=0,0,ROUND(M35*(1+IF(AND(M$6&gt;0,$B36&lt;M$6),M$4,M$5)/12),2))</f>
        <v/>
      </c>
      <c r="AS36">
        <f>IF(N35&lt;=0,0,ROUND(N35*(1+IF(AND(N$6&gt;0,$B36&lt;N$6),N$4,N$5)/12),2))</f>
        <v/>
      </c>
    </row>
    <row r="37">
      <c r="A37" t="n">
        <v>26</v>
      </c>
      <c r="B37">
        <f>EDATE(Plan!$C$6,25)</f>
        <v/>
      </c>
      <c r="C37">
        <f>IF(C36&lt;=0,0,MAX(0,AH37-O37))</f>
        <v/>
      </c>
      <c r="D37">
        <f>IF(D36&lt;=0,0,MAX(0,AI37-P37))</f>
        <v/>
      </c>
      <c r="E37">
        <f>IF(E36&lt;=0,0,MAX(0,AJ37-Q37))</f>
        <v/>
      </c>
      <c r="F37">
        <f>IF(F36&lt;=0,0,MAX(0,AK37-R37))</f>
        <v/>
      </c>
      <c r="G37">
        <f>IF(G36&lt;=0,0,MAX(0,AL37-S37))</f>
        <v/>
      </c>
      <c r="H37">
        <f>IF(H36&lt;=0,0,MAX(0,AM37-T37))</f>
        <v/>
      </c>
      <c r="I37">
        <f>IF(I36&lt;=0,0,MAX(0,AN37-U37))</f>
        <v/>
      </c>
      <c r="J37">
        <f>IF(J36&lt;=0,0,MAX(0,AO37-V37))</f>
        <v/>
      </c>
      <c r="K37">
        <f>IF(K36&lt;=0,0,MAX(0,AP37-W37))</f>
        <v/>
      </c>
      <c r="L37">
        <f>IF(L36&lt;=0,0,MAX(0,AQ37-X37))</f>
        <v/>
      </c>
      <c r="M37">
        <f>IF(M36&lt;=0,0,MAX(0,AR37-Y37))</f>
        <v/>
      </c>
      <c r="N37">
        <f>IF(N36&lt;=0,0,MAX(0,AS37-Z37))</f>
        <v/>
      </c>
      <c r="O37">
        <f>IF(C36&lt;=0,0,MIN(AH37,C$7+IF(C$2=$AA37,$AC37,IF(C$2=$AF37,$AG37,0))))</f>
        <v/>
      </c>
      <c r="P37">
        <f>IF(D36&lt;=0,0,MIN(AI37,D$7+IF(D$2=$AA37,$AC37,IF(D$2=$AF37,$AG37,0))))</f>
        <v/>
      </c>
      <c r="Q37">
        <f>IF(E36&lt;=0,0,MIN(AJ37,E$7+IF(E$2=$AA37,$AC37,IF(E$2=$AF37,$AG37,0))))</f>
        <v/>
      </c>
      <c r="R37">
        <f>IF(F36&lt;=0,0,MIN(AK37,F$7+IF(F$2=$AA37,$AC37,IF(F$2=$AF37,$AG37,0))))</f>
        <v/>
      </c>
      <c r="S37">
        <f>IF(G36&lt;=0,0,MIN(AL37,G$7+IF(G$2=$AA37,$AC37,IF(G$2=$AF37,$AG37,0))))</f>
        <v/>
      </c>
      <c r="T37">
        <f>IF(H36&lt;=0,0,MIN(AM37,H$7+IF(H$2=$AA37,$AC37,IF(H$2=$AF37,$AG37,0))))</f>
        <v/>
      </c>
      <c r="U37">
        <f>IF(I36&lt;=0,0,MIN(AN37,I$7+IF(I$2=$AA37,$AC37,IF(I$2=$AF37,$AG37,0))))</f>
        <v/>
      </c>
      <c r="V37">
        <f>IF(J36&lt;=0,0,MIN(AO37,J$7+IF(J$2=$AA37,$AC37,IF(J$2=$AF37,$AG37,0))))</f>
        <v/>
      </c>
      <c r="W37">
        <f>IF(K36&lt;=0,0,MIN(AP37,K$7+IF(K$2=$AA37,$AC37,IF(K$2=$AF37,$AG37,0))))</f>
        <v/>
      </c>
      <c r="X37">
        <f>IF(L36&lt;=0,0,MIN(AQ37,L$7+IF(L$2=$AA37,$AC37,IF(L$2=$AF37,$AG37,0))))</f>
        <v/>
      </c>
      <c r="Y37">
        <f>IF(M36&lt;=0,0,MIN(AR37,M$7+IF(M$2=$AA37,$AC37,IF(M$2=$AF37,$AG37,0))))</f>
        <v/>
      </c>
      <c r="Z37">
        <f>IF(N36&lt;=0,0,MIN(AS37,N$7+IF(N$2=$AA37,$AC37,IF(N$2=$AF37,$AG37,0))))</f>
        <v/>
      </c>
      <c r="AA37">
        <f>IFERROR(ROUND(1/SUMPRODUCT(MAX((C36:N36&gt;0)*($C$3:$N$3&lt;=B37)/$C$2:$N$2)),0),0)</f>
        <v/>
      </c>
      <c r="AB37">
        <f>SUMPRODUCT((C36:N36&gt;0)*$C$7:$N$7)</f>
        <v/>
      </c>
      <c r="AC37">
        <f>MAX(0,Plan!$C$5-AB37)+IF(A37=Plan!$C$8,N(Plan!$C$7),0)</f>
        <v/>
      </c>
      <c r="AD37">
        <f>SUM(C37:N37)</f>
        <v/>
      </c>
      <c r="AE37">
        <f>SUM(O37:Z37)</f>
        <v/>
      </c>
      <c r="AF37">
        <f>IFERROR(ROUND(1/SUMPRODUCT(MAX((C36:N36&gt;0)*($C$3:$N$3&lt;=B37)*($C$2:$N$2&gt;AA37)/$C$2:$N$2)),0),0)</f>
        <v/>
      </c>
      <c r="AG37">
        <f>MAX(0,AC37-MAX(0,SUMPRODUCT(($C$2:$N$2=AA37)*(AH37:AS37-$C$7:$N$7))))</f>
        <v/>
      </c>
      <c r="AH37">
        <f>IF(C36&lt;=0,0,ROUND(C36*(1+IF(AND(C$6&gt;0,$B37&lt;C$6),C$4,C$5)/12),2))</f>
        <v/>
      </c>
      <c r="AI37">
        <f>IF(D36&lt;=0,0,ROUND(D36*(1+IF(AND(D$6&gt;0,$B37&lt;D$6),D$4,D$5)/12),2))</f>
        <v/>
      </c>
      <c r="AJ37">
        <f>IF(E36&lt;=0,0,ROUND(E36*(1+IF(AND(E$6&gt;0,$B37&lt;E$6),E$4,E$5)/12),2))</f>
        <v/>
      </c>
      <c r="AK37">
        <f>IF(F36&lt;=0,0,ROUND(F36*(1+IF(AND(F$6&gt;0,$B37&lt;F$6),F$4,F$5)/12),2))</f>
        <v/>
      </c>
      <c r="AL37">
        <f>IF(G36&lt;=0,0,ROUND(G36*(1+IF(AND(G$6&gt;0,$B37&lt;G$6),G$4,G$5)/12),2))</f>
        <v/>
      </c>
      <c r="AM37">
        <f>IF(H36&lt;=0,0,ROUND(H36*(1+IF(AND(H$6&gt;0,$B37&lt;H$6),H$4,H$5)/12),2))</f>
        <v/>
      </c>
      <c r="AN37">
        <f>IF(I36&lt;=0,0,ROUND(I36*(1+IF(AND(I$6&gt;0,$B37&lt;I$6),I$4,I$5)/12),2))</f>
        <v/>
      </c>
      <c r="AO37">
        <f>IF(J36&lt;=0,0,ROUND(J36*(1+IF(AND(J$6&gt;0,$B37&lt;J$6),J$4,J$5)/12),2))</f>
        <v/>
      </c>
      <c r="AP37">
        <f>IF(K36&lt;=0,0,ROUND(K36*(1+IF(AND(K$6&gt;0,$B37&lt;K$6),K$4,K$5)/12),2))</f>
        <v/>
      </c>
      <c r="AQ37">
        <f>IF(L36&lt;=0,0,ROUND(L36*(1+IF(AND(L$6&gt;0,$B37&lt;L$6),L$4,L$5)/12),2))</f>
        <v/>
      </c>
      <c r="AR37">
        <f>IF(M36&lt;=0,0,ROUND(M36*(1+IF(AND(M$6&gt;0,$B37&lt;M$6),M$4,M$5)/12),2))</f>
        <v/>
      </c>
      <c r="AS37">
        <f>IF(N36&lt;=0,0,ROUND(N36*(1+IF(AND(N$6&gt;0,$B37&lt;N$6),N$4,N$5)/12),2))</f>
        <v/>
      </c>
    </row>
    <row r="38">
      <c r="A38" t="n">
        <v>27</v>
      </c>
      <c r="B38">
        <f>EDATE(Plan!$C$6,26)</f>
        <v/>
      </c>
      <c r="C38">
        <f>IF(C37&lt;=0,0,MAX(0,AH38-O38))</f>
        <v/>
      </c>
      <c r="D38">
        <f>IF(D37&lt;=0,0,MAX(0,AI38-P38))</f>
        <v/>
      </c>
      <c r="E38">
        <f>IF(E37&lt;=0,0,MAX(0,AJ38-Q38))</f>
        <v/>
      </c>
      <c r="F38">
        <f>IF(F37&lt;=0,0,MAX(0,AK38-R38))</f>
        <v/>
      </c>
      <c r="G38">
        <f>IF(G37&lt;=0,0,MAX(0,AL38-S38))</f>
        <v/>
      </c>
      <c r="H38">
        <f>IF(H37&lt;=0,0,MAX(0,AM38-T38))</f>
        <v/>
      </c>
      <c r="I38">
        <f>IF(I37&lt;=0,0,MAX(0,AN38-U38))</f>
        <v/>
      </c>
      <c r="J38">
        <f>IF(J37&lt;=0,0,MAX(0,AO38-V38))</f>
        <v/>
      </c>
      <c r="K38">
        <f>IF(K37&lt;=0,0,MAX(0,AP38-W38))</f>
        <v/>
      </c>
      <c r="L38">
        <f>IF(L37&lt;=0,0,MAX(0,AQ38-X38))</f>
        <v/>
      </c>
      <c r="M38">
        <f>IF(M37&lt;=0,0,MAX(0,AR38-Y38))</f>
        <v/>
      </c>
      <c r="N38">
        <f>IF(N37&lt;=0,0,MAX(0,AS38-Z38))</f>
        <v/>
      </c>
      <c r="O38">
        <f>IF(C37&lt;=0,0,MIN(AH38,C$7+IF(C$2=$AA38,$AC38,IF(C$2=$AF38,$AG38,0))))</f>
        <v/>
      </c>
      <c r="P38">
        <f>IF(D37&lt;=0,0,MIN(AI38,D$7+IF(D$2=$AA38,$AC38,IF(D$2=$AF38,$AG38,0))))</f>
        <v/>
      </c>
      <c r="Q38">
        <f>IF(E37&lt;=0,0,MIN(AJ38,E$7+IF(E$2=$AA38,$AC38,IF(E$2=$AF38,$AG38,0))))</f>
        <v/>
      </c>
      <c r="R38">
        <f>IF(F37&lt;=0,0,MIN(AK38,F$7+IF(F$2=$AA38,$AC38,IF(F$2=$AF38,$AG38,0))))</f>
        <v/>
      </c>
      <c r="S38">
        <f>IF(G37&lt;=0,0,MIN(AL38,G$7+IF(G$2=$AA38,$AC38,IF(G$2=$AF38,$AG38,0))))</f>
        <v/>
      </c>
      <c r="T38">
        <f>IF(H37&lt;=0,0,MIN(AM38,H$7+IF(H$2=$AA38,$AC38,IF(H$2=$AF38,$AG38,0))))</f>
        <v/>
      </c>
      <c r="U38">
        <f>IF(I37&lt;=0,0,MIN(AN38,I$7+IF(I$2=$AA38,$AC38,IF(I$2=$AF38,$AG38,0))))</f>
        <v/>
      </c>
      <c r="V38">
        <f>IF(J37&lt;=0,0,MIN(AO38,J$7+IF(J$2=$AA38,$AC38,IF(J$2=$AF38,$AG38,0))))</f>
        <v/>
      </c>
      <c r="W38">
        <f>IF(K37&lt;=0,0,MIN(AP38,K$7+IF(K$2=$AA38,$AC38,IF(K$2=$AF38,$AG38,0))))</f>
        <v/>
      </c>
      <c r="X38">
        <f>IF(L37&lt;=0,0,MIN(AQ38,L$7+IF(L$2=$AA38,$AC38,IF(L$2=$AF38,$AG38,0))))</f>
        <v/>
      </c>
      <c r="Y38">
        <f>IF(M37&lt;=0,0,MIN(AR38,M$7+IF(M$2=$AA38,$AC38,IF(M$2=$AF38,$AG38,0))))</f>
        <v/>
      </c>
      <c r="Z38">
        <f>IF(N37&lt;=0,0,MIN(AS38,N$7+IF(N$2=$AA38,$AC38,IF(N$2=$AF38,$AG38,0))))</f>
        <v/>
      </c>
      <c r="AA38">
        <f>IFERROR(ROUND(1/SUMPRODUCT(MAX((C37:N37&gt;0)*($C$3:$N$3&lt;=B38)/$C$2:$N$2)),0),0)</f>
        <v/>
      </c>
      <c r="AB38">
        <f>SUMPRODUCT((C37:N37&gt;0)*$C$7:$N$7)</f>
        <v/>
      </c>
      <c r="AC38">
        <f>MAX(0,Plan!$C$5-AB38)+IF(A38=Plan!$C$8,N(Plan!$C$7),0)</f>
        <v/>
      </c>
      <c r="AD38">
        <f>SUM(C38:N38)</f>
        <v/>
      </c>
      <c r="AE38">
        <f>SUM(O38:Z38)</f>
        <v/>
      </c>
      <c r="AF38">
        <f>IFERROR(ROUND(1/SUMPRODUCT(MAX((C37:N37&gt;0)*($C$3:$N$3&lt;=B38)*($C$2:$N$2&gt;AA38)/$C$2:$N$2)),0),0)</f>
        <v/>
      </c>
      <c r="AG38">
        <f>MAX(0,AC38-MAX(0,SUMPRODUCT(($C$2:$N$2=AA38)*(AH38:AS38-$C$7:$N$7))))</f>
        <v/>
      </c>
      <c r="AH38">
        <f>IF(C37&lt;=0,0,ROUND(C37*(1+IF(AND(C$6&gt;0,$B38&lt;C$6),C$4,C$5)/12),2))</f>
        <v/>
      </c>
      <c r="AI38">
        <f>IF(D37&lt;=0,0,ROUND(D37*(1+IF(AND(D$6&gt;0,$B38&lt;D$6),D$4,D$5)/12),2))</f>
        <v/>
      </c>
      <c r="AJ38">
        <f>IF(E37&lt;=0,0,ROUND(E37*(1+IF(AND(E$6&gt;0,$B38&lt;E$6),E$4,E$5)/12),2))</f>
        <v/>
      </c>
      <c r="AK38">
        <f>IF(F37&lt;=0,0,ROUND(F37*(1+IF(AND(F$6&gt;0,$B38&lt;F$6),F$4,F$5)/12),2))</f>
        <v/>
      </c>
      <c r="AL38">
        <f>IF(G37&lt;=0,0,ROUND(G37*(1+IF(AND(G$6&gt;0,$B38&lt;G$6),G$4,G$5)/12),2))</f>
        <v/>
      </c>
      <c r="AM38">
        <f>IF(H37&lt;=0,0,ROUND(H37*(1+IF(AND(H$6&gt;0,$B38&lt;H$6),H$4,H$5)/12),2))</f>
        <v/>
      </c>
      <c r="AN38">
        <f>IF(I37&lt;=0,0,ROUND(I37*(1+IF(AND(I$6&gt;0,$B38&lt;I$6),I$4,I$5)/12),2))</f>
        <v/>
      </c>
      <c r="AO38">
        <f>IF(J37&lt;=0,0,ROUND(J37*(1+IF(AND(J$6&gt;0,$B38&lt;J$6),J$4,J$5)/12),2))</f>
        <v/>
      </c>
      <c r="AP38">
        <f>IF(K37&lt;=0,0,ROUND(K37*(1+IF(AND(K$6&gt;0,$B38&lt;K$6),K$4,K$5)/12),2))</f>
        <v/>
      </c>
      <c r="AQ38">
        <f>IF(L37&lt;=0,0,ROUND(L37*(1+IF(AND(L$6&gt;0,$B38&lt;L$6),L$4,L$5)/12),2))</f>
        <v/>
      </c>
      <c r="AR38">
        <f>IF(M37&lt;=0,0,ROUND(M37*(1+IF(AND(M$6&gt;0,$B38&lt;M$6),M$4,M$5)/12),2))</f>
        <v/>
      </c>
      <c r="AS38">
        <f>IF(N37&lt;=0,0,ROUND(N37*(1+IF(AND(N$6&gt;0,$B38&lt;N$6),N$4,N$5)/12),2))</f>
        <v/>
      </c>
    </row>
    <row r="39">
      <c r="A39" t="n">
        <v>28</v>
      </c>
      <c r="B39">
        <f>EDATE(Plan!$C$6,27)</f>
        <v/>
      </c>
      <c r="C39">
        <f>IF(C38&lt;=0,0,MAX(0,AH39-O39))</f>
        <v/>
      </c>
      <c r="D39">
        <f>IF(D38&lt;=0,0,MAX(0,AI39-P39))</f>
        <v/>
      </c>
      <c r="E39">
        <f>IF(E38&lt;=0,0,MAX(0,AJ39-Q39))</f>
        <v/>
      </c>
      <c r="F39">
        <f>IF(F38&lt;=0,0,MAX(0,AK39-R39))</f>
        <v/>
      </c>
      <c r="G39">
        <f>IF(G38&lt;=0,0,MAX(0,AL39-S39))</f>
        <v/>
      </c>
      <c r="H39">
        <f>IF(H38&lt;=0,0,MAX(0,AM39-T39))</f>
        <v/>
      </c>
      <c r="I39">
        <f>IF(I38&lt;=0,0,MAX(0,AN39-U39))</f>
        <v/>
      </c>
      <c r="J39">
        <f>IF(J38&lt;=0,0,MAX(0,AO39-V39))</f>
        <v/>
      </c>
      <c r="K39">
        <f>IF(K38&lt;=0,0,MAX(0,AP39-W39))</f>
        <v/>
      </c>
      <c r="L39">
        <f>IF(L38&lt;=0,0,MAX(0,AQ39-X39))</f>
        <v/>
      </c>
      <c r="M39">
        <f>IF(M38&lt;=0,0,MAX(0,AR39-Y39))</f>
        <v/>
      </c>
      <c r="N39">
        <f>IF(N38&lt;=0,0,MAX(0,AS39-Z39))</f>
        <v/>
      </c>
      <c r="O39">
        <f>IF(C38&lt;=0,0,MIN(AH39,C$7+IF(C$2=$AA39,$AC39,IF(C$2=$AF39,$AG39,0))))</f>
        <v/>
      </c>
      <c r="P39">
        <f>IF(D38&lt;=0,0,MIN(AI39,D$7+IF(D$2=$AA39,$AC39,IF(D$2=$AF39,$AG39,0))))</f>
        <v/>
      </c>
      <c r="Q39">
        <f>IF(E38&lt;=0,0,MIN(AJ39,E$7+IF(E$2=$AA39,$AC39,IF(E$2=$AF39,$AG39,0))))</f>
        <v/>
      </c>
      <c r="R39">
        <f>IF(F38&lt;=0,0,MIN(AK39,F$7+IF(F$2=$AA39,$AC39,IF(F$2=$AF39,$AG39,0))))</f>
        <v/>
      </c>
      <c r="S39">
        <f>IF(G38&lt;=0,0,MIN(AL39,G$7+IF(G$2=$AA39,$AC39,IF(G$2=$AF39,$AG39,0))))</f>
        <v/>
      </c>
      <c r="T39">
        <f>IF(H38&lt;=0,0,MIN(AM39,H$7+IF(H$2=$AA39,$AC39,IF(H$2=$AF39,$AG39,0))))</f>
        <v/>
      </c>
      <c r="U39">
        <f>IF(I38&lt;=0,0,MIN(AN39,I$7+IF(I$2=$AA39,$AC39,IF(I$2=$AF39,$AG39,0))))</f>
        <v/>
      </c>
      <c r="V39">
        <f>IF(J38&lt;=0,0,MIN(AO39,J$7+IF(J$2=$AA39,$AC39,IF(J$2=$AF39,$AG39,0))))</f>
        <v/>
      </c>
      <c r="W39">
        <f>IF(K38&lt;=0,0,MIN(AP39,K$7+IF(K$2=$AA39,$AC39,IF(K$2=$AF39,$AG39,0))))</f>
        <v/>
      </c>
      <c r="X39">
        <f>IF(L38&lt;=0,0,MIN(AQ39,L$7+IF(L$2=$AA39,$AC39,IF(L$2=$AF39,$AG39,0))))</f>
        <v/>
      </c>
      <c r="Y39">
        <f>IF(M38&lt;=0,0,MIN(AR39,M$7+IF(M$2=$AA39,$AC39,IF(M$2=$AF39,$AG39,0))))</f>
        <v/>
      </c>
      <c r="Z39">
        <f>IF(N38&lt;=0,0,MIN(AS39,N$7+IF(N$2=$AA39,$AC39,IF(N$2=$AF39,$AG39,0))))</f>
        <v/>
      </c>
      <c r="AA39">
        <f>IFERROR(ROUND(1/SUMPRODUCT(MAX((C38:N38&gt;0)*($C$3:$N$3&lt;=B39)/$C$2:$N$2)),0),0)</f>
        <v/>
      </c>
      <c r="AB39">
        <f>SUMPRODUCT((C38:N38&gt;0)*$C$7:$N$7)</f>
        <v/>
      </c>
      <c r="AC39">
        <f>MAX(0,Plan!$C$5-AB39)+IF(A39=Plan!$C$8,N(Plan!$C$7),0)</f>
        <v/>
      </c>
      <c r="AD39">
        <f>SUM(C39:N39)</f>
        <v/>
      </c>
      <c r="AE39">
        <f>SUM(O39:Z39)</f>
        <v/>
      </c>
      <c r="AF39">
        <f>IFERROR(ROUND(1/SUMPRODUCT(MAX((C38:N38&gt;0)*($C$3:$N$3&lt;=B39)*($C$2:$N$2&gt;AA39)/$C$2:$N$2)),0),0)</f>
        <v/>
      </c>
      <c r="AG39">
        <f>MAX(0,AC39-MAX(0,SUMPRODUCT(($C$2:$N$2=AA39)*(AH39:AS39-$C$7:$N$7))))</f>
        <v/>
      </c>
      <c r="AH39">
        <f>IF(C38&lt;=0,0,ROUND(C38*(1+IF(AND(C$6&gt;0,$B39&lt;C$6),C$4,C$5)/12),2))</f>
        <v/>
      </c>
      <c r="AI39">
        <f>IF(D38&lt;=0,0,ROUND(D38*(1+IF(AND(D$6&gt;0,$B39&lt;D$6),D$4,D$5)/12),2))</f>
        <v/>
      </c>
      <c r="AJ39">
        <f>IF(E38&lt;=0,0,ROUND(E38*(1+IF(AND(E$6&gt;0,$B39&lt;E$6),E$4,E$5)/12),2))</f>
        <v/>
      </c>
      <c r="AK39">
        <f>IF(F38&lt;=0,0,ROUND(F38*(1+IF(AND(F$6&gt;0,$B39&lt;F$6),F$4,F$5)/12),2))</f>
        <v/>
      </c>
      <c r="AL39">
        <f>IF(G38&lt;=0,0,ROUND(G38*(1+IF(AND(G$6&gt;0,$B39&lt;G$6),G$4,G$5)/12),2))</f>
        <v/>
      </c>
      <c r="AM39">
        <f>IF(H38&lt;=0,0,ROUND(H38*(1+IF(AND(H$6&gt;0,$B39&lt;H$6),H$4,H$5)/12),2))</f>
        <v/>
      </c>
      <c r="AN39">
        <f>IF(I38&lt;=0,0,ROUND(I38*(1+IF(AND(I$6&gt;0,$B39&lt;I$6),I$4,I$5)/12),2))</f>
        <v/>
      </c>
      <c r="AO39">
        <f>IF(J38&lt;=0,0,ROUND(J38*(1+IF(AND(J$6&gt;0,$B39&lt;J$6),J$4,J$5)/12),2))</f>
        <v/>
      </c>
      <c r="AP39">
        <f>IF(K38&lt;=0,0,ROUND(K38*(1+IF(AND(K$6&gt;0,$B39&lt;K$6),K$4,K$5)/12),2))</f>
        <v/>
      </c>
      <c r="AQ39">
        <f>IF(L38&lt;=0,0,ROUND(L38*(1+IF(AND(L$6&gt;0,$B39&lt;L$6),L$4,L$5)/12),2))</f>
        <v/>
      </c>
      <c r="AR39">
        <f>IF(M38&lt;=0,0,ROUND(M38*(1+IF(AND(M$6&gt;0,$B39&lt;M$6),M$4,M$5)/12),2))</f>
        <v/>
      </c>
      <c r="AS39">
        <f>IF(N38&lt;=0,0,ROUND(N38*(1+IF(AND(N$6&gt;0,$B39&lt;N$6),N$4,N$5)/12),2))</f>
        <v/>
      </c>
    </row>
    <row r="40">
      <c r="A40" t="n">
        <v>29</v>
      </c>
      <c r="B40">
        <f>EDATE(Plan!$C$6,28)</f>
        <v/>
      </c>
      <c r="C40">
        <f>IF(C39&lt;=0,0,MAX(0,AH40-O40))</f>
        <v/>
      </c>
      <c r="D40">
        <f>IF(D39&lt;=0,0,MAX(0,AI40-P40))</f>
        <v/>
      </c>
      <c r="E40">
        <f>IF(E39&lt;=0,0,MAX(0,AJ40-Q40))</f>
        <v/>
      </c>
      <c r="F40">
        <f>IF(F39&lt;=0,0,MAX(0,AK40-R40))</f>
        <v/>
      </c>
      <c r="G40">
        <f>IF(G39&lt;=0,0,MAX(0,AL40-S40))</f>
        <v/>
      </c>
      <c r="H40">
        <f>IF(H39&lt;=0,0,MAX(0,AM40-T40))</f>
        <v/>
      </c>
      <c r="I40">
        <f>IF(I39&lt;=0,0,MAX(0,AN40-U40))</f>
        <v/>
      </c>
      <c r="J40">
        <f>IF(J39&lt;=0,0,MAX(0,AO40-V40))</f>
        <v/>
      </c>
      <c r="K40">
        <f>IF(K39&lt;=0,0,MAX(0,AP40-W40))</f>
        <v/>
      </c>
      <c r="L40">
        <f>IF(L39&lt;=0,0,MAX(0,AQ40-X40))</f>
        <v/>
      </c>
      <c r="M40">
        <f>IF(M39&lt;=0,0,MAX(0,AR40-Y40))</f>
        <v/>
      </c>
      <c r="N40">
        <f>IF(N39&lt;=0,0,MAX(0,AS40-Z40))</f>
        <v/>
      </c>
      <c r="O40">
        <f>IF(C39&lt;=0,0,MIN(AH40,C$7+IF(C$2=$AA40,$AC40,IF(C$2=$AF40,$AG40,0))))</f>
        <v/>
      </c>
      <c r="P40">
        <f>IF(D39&lt;=0,0,MIN(AI40,D$7+IF(D$2=$AA40,$AC40,IF(D$2=$AF40,$AG40,0))))</f>
        <v/>
      </c>
      <c r="Q40">
        <f>IF(E39&lt;=0,0,MIN(AJ40,E$7+IF(E$2=$AA40,$AC40,IF(E$2=$AF40,$AG40,0))))</f>
        <v/>
      </c>
      <c r="R40">
        <f>IF(F39&lt;=0,0,MIN(AK40,F$7+IF(F$2=$AA40,$AC40,IF(F$2=$AF40,$AG40,0))))</f>
        <v/>
      </c>
      <c r="S40">
        <f>IF(G39&lt;=0,0,MIN(AL40,G$7+IF(G$2=$AA40,$AC40,IF(G$2=$AF40,$AG40,0))))</f>
        <v/>
      </c>
      <c r="T40">
        <f>IF(H39&lt;=0,0,MIN(AM40,H$7+IF(H$2=$AA40,$AC40,IF(H$2=$AF40,$AG40,0))))</f>
        <v/>
      </c>
      <c r="U40">
        <f>IF(I39&lt;=0,0,MIN(AN40,I$7+IF(I$2=$AA40,$AC40,IF(I$2=$AF40,$AG40,0))))</f>
        <v/>
      </c>
      <c r="V40">
        <f>IF(J39&lt;=0,0,MIN(AO40,J$7+IF(J$2=$AA40,$AC40,IF(J$2=$AF40,$AG40,0))))</f>
        <v/>
      </c>
      <c r="W40">
        <f>IF(K39&lt;=0,0,MIN(AP40,K$7+IF(K$2=$AA40,$AC40,IF(K$2=$AF40,$AG40,0))))</f>
        <v/>
      </c>
      <c r="X40">
        <f>IF(L39&lt;=0,0,MIN(AQ40,L$7+IF(L$2=$AA40,$AC40,IF(L$2=$AF40,$AG40,0))))</f>
        <v/>
      </c>
      <c r="Y40">
        <f>IF(M39&lt;=0,0,MIN(AR40,M$7+IF(M$2=$AA40,$AC40,IF(M$2=$AF40,$AG40,0))))</f>
        <v/>
      </c>
      <c r="Z40">
        <f>IF(N39&lt;=0,0,MIN(AS40,N$7+IF(N$2=$AA40,$AC40,IF(N$2=$AF40,$AG40,0))))</f>
        <v/>
      </c>
      <c r="AA40">
        <f>IFERROR(ROUND(1/SUMPRODUCT(MAX((C39:N39&gt;0)*($C$3:$N$3&lt;=B40)/$C$2:$N$2)),0),0)</f>
        <v/>
      </c>
      <c r="AB40">
        <f>SUMPRODUCT((C39:N39&gt;0)*$C$7:$N$7)</f>
        <v/>
      </c>
      <c r="AC40">
        <f>MAX(0,Plan!$C$5-AB40)+IF(A40=Plan!$C$8,N(Plan!$C$7),0)</f>
        <v/>
      </c>
      <c r="AD40">
        <f>SUM(C40:N40)</f>
        <v/>
      </c>
      <c r="AE40">
        <f>SUM(O40:Z40)</f>
        <v/>
      </c>
      <c r="AF40">
        <f>IFERROR(ROUND(1/SUMPRODUCT(MAX((C39:N39&gt;0)*($C$3:$N$3&lt;=B40)*($C$2:$N$2&gt;AA40)/$C$2:$N$2)),0),0)</f>
        <v/>
      </c>
      <c r="AG40">
        <f>MAX(0,AC40-MAX(0,SUMPRODUCT(($C$2:$N$2=AA40)*(AH40:AS40-$C$7:$N$7))))</f>
        <v/>
      </c>
      <c r="AH40">
        <f>IF(C39&lt;=0,0,ROUND(C39*(1+IF(AND(C$6&gt;0,$B40&lt;C$6),C$4,C$5)/12),2))</f>
        <v/>
      </c>
      <c r="AI40">
        <f>IF(D39&lt;=0,0,ROUND(D39*(1+IF(AND(D$6&gt;0,$B40&lt;D$6),D$4,D$5)/12),2))</f>
        <v/>
      </c>
      <c r="AJ40">
        <f>IF(E39&lt;=0,0,ROUND(E39*(1+IF(AND(E$6&gt;0,$B40&lt;E$6),E$4,E$5)/12),2))</f>
        <v/>
      </c>
      <c r="AK40">
        <f>IF(F39&lt;=0,0,ROUND(F39*(1+IF(AND(F$6&gt;0,$B40&lt;F$6),F$4,F$5)/12),2))</f>
        <v/>
      </c>
      <c r="AL40">
        <f>IF(G39&lt;=0,0,ROUND(G39*(1+IF(AND(G$6&gt;0,$B40&lt;G$6),G$4,G$5)/12),2))</f>
        <v/>
      </c>
      <c r="AM40">
        <f>IF(H39&lt;=0,0,ROUND(H39*(1+IF(AND(H$6&gt;0,$B40&lt;H$6),H$4,H$5)/12),2))</f>
        <v/>
      </c>
      <c r="AN40">
        <f>IF(I39&lt;=0,0,ROUND(I39*(1+IF(AND(I$6&gt;0,$B40&lt;I$6),I$4,I$5)/12),2))</f>
        <v/>
      </c>
      <c r="AO40">
        <f>IF(J39&lt;=0,0,ROUND(J39*(1+IF(AND(J$6&gt;0,$B40&lt;J$6),J$4,J$5)/12),2))</f>
        <v/>
      </c>
      <c r="AP40">
        <f>IF(K39&lt;=0,0,ROUND(K39*(1+IF(AND(K$6&gt;0,$B40&lt;K$6),K$4,K$5)/12),2))</f>
        <v/>
      </c>
      <c r="AQ40">
        <f>IF(L39&lt;=0,0,ROUND(L39*(1+IF(AND(L$6&gt;0,$B40&lt;L$6),L$4,L$5)/12),2))</f>
        <v/>
      </c>
      <c r="AR40">
        <f>IF(M39&lt;=0,0,ROUND(M39*(1+IF(AND(M$6&gt;0,$B40&lt;M$6),M$4,M$5)/12),2))</f>
        <v/>
      </c>
      <c r="AS40">
        <f>IF(N39&lt;=0,0,ROUND(N39*(1+IF(AND(N$6&gt;0,$B40&lt;N$6),N$4,N$5)/12),2))</f>
        <v/>
      </c>
    </row>
    <row r="41">
      <c r="A41" t="n">
        <v>30</v>
      </c>
      <c r="B41">
        <f>EDATE(Plan!$C$6,29)</f>
        <v/>
      </c>
      <c r="C41">
        <f>IF(C40&lt;=0,0,MAX(0,AH41-O41))</f>
        <v/>
      </c>
      <c r="D41">
        <f>IF(D40&lt;=0,0,MAX(0,AI41-P41))</f>
        <v/>
      </c>
      <c r="E41">
        <f>IF(E40&lt;=0,0,MAX(0,AJ41-Q41))</f>
        <v/>
      </c>
      <c r="F41">
        <f>IF(F40&lt;=0,0,MAX(0,AK41-R41))</f>
        <v/>
      </c>
      <c r="G41">
        <f>IF(G40&lt;=0,0,MAX(0,AL41-S41))</f>
        <v/>
      </c>
      <c r="H41">
        <f>IF(H40&lt;=0,0,MAX(0,AM41-T41))</f>
        <v/>
      </c>
      <c r="I41">
        <f>IF(I40&lt;=0,0,MAX(0,AN41-U41))</f>
        <v/>
      </c>
      <c r="J41">
        <f>IF(J40&lt;=0,0,MAX(0,AO41-V41))</f>
        <v/>
      </c>
      <c r="K41">
        <f>IF(K40&lt;=0,0,MAX(0,AP41-W41))</f>
        <v/>
      </c>
      <c r="L41">
        <f>IF(L40&lt;=0,0,MAX(0,AQ41-X41))</f>
        <v/>
      </c>
      <c r="M41">
        <f>IF(M40&lt;=0,0,MAX(0,AR41-Y41))</f>
        <v/>
      </c>
      <c r="N41">
        <f>IF(N40&lt;=0,0,MAX(0,AS41-Z41))</f>
        <v/>
      </c>
      <c r="O41">
        <f>IF(C40&lt;=0,0,MIN(AH41,C$7+IF(C$2=$AA41,$AC41,IF(C$2=$AF41,$AG41,0))))</f>
        <v/>
      </c>
      <c r="P41">
        <f>IF(D40&lt;=0,0,MIN(AI41,D$7+IF(D$2=$AA41,$AC41,IF(D$2=$AF41,$AG41,0))))</f>
        <v/>
      </c>
      <c r="Q41">
        <f>IF(E40&lt;=0,0,MIN(AJ41,E$7+IF(E$2=$AA41,$AC41,IF(E$2=$AF41,$AG41,0))))</f>
        <v/>
      </c>
      <c r="R41">
        <f>IF(F40&lt;=0,0,MIN(AK41,F$7+IF(F$2=$AA41,$AC41,IF(F$2=$AF41,$AG41,0))))</f>
        <v/>
      </c>
      <c r="S41">
        <f>IF(G40&lt;=0,0,MIN(AL41,G$7+IF(G$2=$AA41,$AC41,IF(G$2=$AF41,$AG41,0))))</f>
        <v/>
      </c>
      <c r="T41">
        <f>IF(H40&lt;=0,0,MIN(AM41,H$7+IF(H$2=$AA41,$AC41,IF(H$2=$AF41,$AG41,0))))</f>
        <v/>
      </c>
      <c r="U41">
        <f>IF(I40&lt;=0,0,MIN(AN41,I$7+IF(I$2=$AA41,$AC41,IF(I$2=$AF41,$AG41,0))))</f>
        <v/>
      </c>
      <c r="V41">
        <f>IF(J40&lt;=0,0,MIN(AO41,J$7+IF(J$2=$AA41,$AC41,IF(J$2=$AF41,$AG41,0))))</f>
        <v/>
      </c>
      <c r="W41">
        <f>IF(K40&lt;=0,0,MIN(AP41,K$7+IF(K$2=$AA41,$AC41,IF(K$2=$AF41,$AG41,0))))</f>
        <v/>
      </c>
      <c r="X41">
        <f>IF(L40&lt;=0,0,MIN(AQ41,L$7+IF(L$2=$AA41,$AC41,IF(L$2=$AF41,$AG41,0))))</f>
        <v/>
      </c>
      <c r="Y41">
        <f>IF(M40&lt;=0,0,MIN(AR41,M$7+IF(M$2=$AA41,$AC41,IF(M$2=$AF41,$AG41,0))))</f>
        <v/>
      </c>
      <c r="Z41">
        <f>IF(N40&lt;=0,0,MIN(AS41,N$7+IF(N$2=$AA41,$AC41,IF(N$2=$AF41,$AG41,0))))</f>
        <v/>
      </c>
      <c r="AA41">
        <f>IFERROR(ROUND(1/SUMPRODUCT(MAX((C40:N40&gt;0)*($C$3:$N$3&lt;=B41)/$C$2:$N$2)),0),0)</f>
        <v/>
      </c>
      <c r="AB41">
        <f>SUMPRODUCT((C40:N40&gt;0)*$C$7:$N$7)</f>
        <v/>
      </c>
      <c r="AC41">
        <f>MAX(0,Plan!$C$5-AB41)+IF(A41=Plan!$C$8,N(Plan!$C$7),0)</f>
        <v/>
      </c>
      <c r="AD41">
        <f>SUM(C41:N41)</f>
        <v/>
      </c>
      <c r="AE41">
        <f>SUM(O41:Z41)</f>
        <v/>
      </c>
      <c r="AF41">
        <f>IFERROR(ROUND(1/SUMPRODUCT(MAX((C40:N40&gt;0)*($C$3:$N$3&lt;=B41)*($C$2:$N$2&gt;AA41)/$C$2:$N$2)),0),0)</f>
        <v/>
      </c>
      <c r="AG41">
        <f>MAX(0,AC41-MAX(0,SUMPRODUCT(($C$2:$N$2=AA41)*(AH41:AS41-$C$7:$N$7))))</f>
        <v/>
      </c>
      <c r="AH41">
        <f>IF(C40&lt;=0,0,ROUND(C40*(1+IF(AND(C$6&gt;0,$B41&lt;C$6),C$4,C$5)/12),2))</f>
        <v/>
      </c>
      <c r="AI41">
        <f>IF(D40&lt;=0,0,ROUND(D40*(1+IF(AND(D$6&gt;0,$B41&lt;D$6),D$4,D$5)/12),2))</f>
        <v/>
      </c>
      <c r="AJ41">
        <f>IF(E40&lt;=0,0,ROUND(E40*(1+IF(AND(E$6&gt;0,$B41&lt;E$6),E$4,E$5)/12),2))</f>
        <v/>
      </c>
      <c r="AK41">
        <f>IF(F40&lt;=0,0,ROUND(F40*(1+IF(AND(F$6&gt;0,$B41&lt;F$6),F$4,F$5)/12),2))</f>
        <v/>
      </c>
      <c r="AL41">
        <f>IF(G40&lt;=0,0,ROUND(G40*(1+IF(AND(G$6&gt;0,$B41&lt;G$6),G$4,G$5)/12),2))</f>
        <v/>
      </c>
      <c r="AM41">
        <f>IF(H40&lt;=0,0,ROUND(H40*(1+IF(AND(H$6&gt;0,$B41&lt;H$6),H$4,H$5)/12),2))</f>
        <v/>
      </c>
      <c r="AN41">
        <f>IF(I40&lt;=0,0,ROUND(I40*(1+IF(AND(I$6&gt;0,$B41&lt;I$6),I$4,I$5)/12),2))</f>
        <v/>
      </c>
      <c r="AO41">
        <f>IF(J40&lt;=0,0,ROUND(J40*(1+IF(AND(J$6&gt;0,$B41&lt;J$6),J$4,J$5)/12),2))</f>
        <v/>
      </c>
      <c r="AP41">
        <f>IF(K40&lt;=0,0,ROUND(K40*(1+IF(AND(K$6&gt;0,$B41&lt;K$6),K$4,K$5)/12),2))</f>
        <v/>
      </c>
      <c r="AQ41">
        <f>IF(L40&lt;=0,0,ROUND(L40*(1+IF(AND(L$6&gt;0,$B41&lt;L$6),L$4,L$5)/12),2))</f>
        <v/>
      </c>
      <c r="AR41">
        <f>IF(M40&lt;=0,0,ROUND(M40*(1+IF(AND(M$6&gt;0,$B41&lt;M$6),M$4,M$5)/12),2))</f>
        <v/>
      </c>
      <c r="AS41">
        <f>IF(N40&lt;=0,0,ROUND(N40*(1+IF(AND(N$6&gt;0,$B41&lt;N$6),N$4,N$5)/12),2))</f>
        <v/>
      </c>
    </row>
    <row r="42">
      <c r="A42" t="n">
        <v>31</v>
      </c>
      <c r="B42">
        <f>EDATE(Plan!$C$6,30)</f>
        <v/>
      </c>
      <c r="C42">
        <f>IF(C41&lt;=0,0,MAX(0,AH42-O42))</f>
        <v/>
      </c>
      <c r="D42">
        <f>IF(D41&lt;=0,0,MAX(0,AI42-P42))</f>
        <v/>
      </c>
      <c r="E42">
        <f>IF(E41&lt;=0,0,MAX(0,AJ42-Q42))</f>
        <v/>
      </c>
      <c r="F42">
        <f>IF(F41&lt;=0,0,MAX(0,AK42-R42))</f>
        <v/>
      </c>
      <c r="G42">
        <f>IF(G41&lt;=0,0,MAX(0,AL42-S42))</f>
        <v/>
      </c>
      <c r="H42">
        <f>IF(H41&lt;=0,0,MAX(0,AM42-T42))</f>
        <v/>
      </c>
      <c r="I42">
        <f>IF(I41&lt;=0,0,MAX(0,AN42-U42))</f>
        <v/>
      </c>
      <c r="J42">
        <f>IF(J41&lt;=0,0,MAX(0,AO42-V42))</f>
        <v/>
      </c>
      <c r="K42">
        <f>IF(K41&lt;=0,0,MAX(0,AP42-W42))</f>
        <v/>
      </c>
      <c r="L42">
        <f>IF(L41&lt;=0,0,MAX(0,AQ42-X42))</f>
        <v/>
      </c>
      <c r="M42">
        <f>IF(M41&lt;=0,0,MAX(0,AR42-Y42))</f>
        <v/>
      </c>
      <c r="N42">
        <f>IF(N41&lt;=0,0,MAX(0,AS42-Z42))</f>
        <v/>
      </c>
      <c r="O42">
        <f>IF(C41&lt;=0,0,MIN(AH42,C$7+IF(C$2=$AA42,$AC42,IF(C$2=$AF42,$AG42,0))))</f>
        <v/>
      </c>
      <c r="P42">
        <f>IF(D41&lt;=0,0,MIN(AI42,D$7+IF(D$2=$AA42,$AC42,IF(D$2=$AF42,$AG42,0))))</f>
        <v/>
      </c>
      <c r="Q42">
        <f>IF(E41&lt;=0,0,MIN(AJ42,E$7+IF(E$2=$AA42,$AC42,IF(E$2=$AF42,$AG42,0))))</f>
        <v/>
      </c>
      <c r="R42">
        <f>IF(F41&lt;=0,0,MIN(AK42,F$7+IF(F$2=$AA42,$AC42,IF(F$2=$AF42,$AG42,0))))</f>
        <v/>
      </c>
      <c r="S42">
        <f>IF(G41&lt;=0,0,MIN(AL42,G$7+IF(G$2=$AA42,$AC42,IF(G$2=$AF42,$AG42,0))))</f>
        <v/>
      </c>
      <c r="T42">
        <f>IF(H41&lt;=0,0,MIN(AM42,H$7+IF(H$2=$AA42,$AC42,IF(H$2=$AF42,$AG42,0))))</f>
        <v/>
      </c>
      <c r="U42">
        <f>IF(I41&lt;=0,0,MIN(AN42,I$7+IF(I$2=$AA42,$AC42,IF(I$2=$AF42,$AG42,0))))</f>
        <v/>
      </c>
      <c r="V42">
        <f>IF(J41&lt;=0,0,MIN(AO42,J$7+IF(J$2=$AA42,$AC42,IF(J$2=$AF42,$AG42,0))))</f>
        <v/>
      </c>
      <c r="W42">
        <f>IF(K41&lt;=0,0,MIN(AP42,K$7+IF(K$2=$AA42,$AC42,IF(K$2=$AF42,$AG42,0))))</f>
        <v/>
      </c>
      <c r="X42">
        <f>IF(L41&lt;=0,0,MIN(AQ42,L$7+IF(L$2=$AA42,$AC42,IF(L$2=$AF42,$AG42,0))))</f>
        <v/>
      </c>
      <c r="Y42">
        <f>IF(M41&lt;=0,0,MIN(AR42,M$7+IF(M$2=$AA42,$AC42,IF(M$2=$AF42,$AG42,0))))</f>
        <v/>
      </c>
      <c r="Z42">
        <f>IF(N41&lt;=0,0,MIN(AS42,N$7+IF(N$2=$AA42,$AC42,IF(N$2=$AF42,$AG42,0))))</f>
        <v/>
      </c>
      <c r="AA42">
        <f>IFERROR(ROUND(1/SUMPRODUCT(MAX((C41:N41&gt;0)*($C$3:$N$3&lt;=B42)/$C$2:$N$2)),0),0)</f>
        <v/>
      </c>
      <c r="AB42">
        <f>SUMPRODUCT((C41:N41&gt;0)*$C$7:$N$7)</f>
        <v/>
      </c>
      <c r="AC42">
        <f>MAX(0,Plan!$C$5-AB42)+IF(A42=Plan!$C$8,N(Plan!$C$7),0)</f>
        <v/>
      </c>
      <c r="AD42">
        <f>SUM(C42:N42)</f>
        <v/>
      </c>
      <c r="AE42">
        <f>SUM(O42:Z42)</f>
        <v/>
      </c>
      <c r="AF42">
        <f>IFERROR(ROUND(1/SUMPRODUCT(MAX((C41:N41&gt;0)*($C$3:$N$3&lt;=B42)*($C$2:$N$2&gt;AA42)/$C$2:$N$2)),0),0)</f>
        <v/>
      </c>
      <c r="AG42">
        <f>MAX(0,AC42-MAX(0,SUMPRODUCT(($C$2:$N$2=AA42)*(AH42:AS42-$C$7:$N$7))))</f>
        <v/>
      </c>
      <c r="AH42">
        <f>IF(C41&lt;=0,0,ROUND(C41*(1+IF(AND(C$6&gt;0,$B42&lt;C$6),C$4,C$5)/12),2))</f>
        <v/>
      </c>
      <c r="AI42">
        <f>IF(D41&lt;=0,0,ROUND(D41*(1+IF(AND(D$6&gt;0,$B42&lt;D$6),D$4,D$5)/12),2))</f>
        <v/>
      </c>
      <c r="AJ42">
        <f>IF(E41&lt;=0,0,ROUND(E41*(1+IF(AND(E$6&gt;0,$B42&lt;E$6),E$4,E$5)/12),2))</f>
        <v/>
      </c>
      <c r="AK42">
        <f>IF(F41&lt;=0,0,ROUND(F41*(1+IF(AND(F$6&gt;0,$B42&lt;F$6),F$4,F$5)/12),2))</f>
        <v/>
      </c>
      <c r="AL42">
        <f>IF(G41&lt;=0,0,ROUND(G41*(1+IF(AND(G$6&gt;0,$B42&lt;G$6),G$4,G$5)/12),2))</f>
        <v/>
      </c>
      <c r="AM42">
        <f>IF(H41&lt;=0,0,ROUND(H41*(1+IF(AND(H$6&gt;0,$B42&lt;H$6),H$4,H$5)/12),2))</f>
        <v/>
      </c>
      <c r="AN42">
        <f>IF(I41&lt;=0,0,ROUND(I41*(1+IF(AND(I$6&gt;0,$B42&lt;I$6),I$4,I$5)/12),2))</f>
        <v/>
      </c>
      <c r="AO42">
        <f>IF(J41&lt;=0,0,ROUND(J41*(1+IF(AND(J$6&gt;0,$B42&lt;J$6),J$4,J$5)/12),2))</f>
        <v/>
      </c>
      <c r="AP42">
        <f>IF(K41&lt;=0,0,ROUND(K41*(1+IF(AND(K$6&gt;0,$B42&lt;K$6),K$4,K$5)/12),2))</f>
        <v/>
      </c>
      <c r="AQ42">
        <f>IF(L41&lt;=0,0,ROUND(L41*(1+IF(AND(L$6&gt;0,$B42&lt;L$6),L$4,L$5)/12),2))</f>
        <v/>
      </c>
      <c r="AR42">
        <f>IF(M41&lt;=0,0,ROUND(M41*(1+IF(AND(M$6&gt;0,$B42&lt;M$6),M$4,M$5)/12),2))</f>
        <v/>
      </c>
      <c r="AS42">
        <f>IF(N41&lt;=0,0,ROUND(N41*(1+IF(AND(N$6&gt;0,$B42&lt;N$6),N$4,N$5)/12),2))</f>
        <v/>
      </c>
    </row>
    <row r="43">
      <c r="A43" t="n">
        <v>32</v>
      </c>
      <c r="B43">
        <f>EDATE(Plan!$C$6,31)</f>
        <v/>
      </c>
      <c r="C43">
        <f>IF(C42&lt;=0,0,MAX(0,AH43-O43))</f>
        <v/>
      </c>
      <c r="D43">
        <f>IF(D42&lt;=0,0,MAX(0,AI43-P43))</f>
        <v/>
      </c>
      <c r="E43">
        <f>IF(E42&lt;=0,0,MAX(0,AJ43-Q43))</f>
        <v/>
      </c>
      <c r="F43">
        <f>IF(F42&lt;=0,0,MAX(0,AK43-R43))</f>
        <v/>
      </c>
      <c r="G43">
        <f>IF(G42&lt;=0,0,MAX(0,AL43-S43))</f>
        <v/>
      </c>
      <c r="H43">
        <f>IF(H42&lt;=0,0,MAX(0,AM43-T43))</f>
        <v/>
      </c>
      <c r="I43">
        <f>IF(I42&lt;=0,0,MAX(0,AN43-U43))</f>
        <v/>
      </c>
      <c r="J43">
        <f>IF(J42&lt;=0,0,MAX(0,AO43-V43))</f>
        <v/>
      </c>
      <c r="K43">
        <f>IF(K42&lt;=0,0,MAX(0,AP43-W43))</f>
        <v/>
      </c>
      <c r="L43">
        <f>IF(L42&lt;=0,0,MAX(0,AQ43-X43))</f>
        <v/>
      </c>
      <c r="M43">
        <f>IF(M42&lt;=0,0,MAX(0,AR43-Y43))</f>
        <v/>
      </c>
      <c r="N43">
        <f>IF(N42&lt;=0,0,MAX(0,AS43-Z43))</f>
        <v/>
      </c>
      <c r="O43">
        <f>IF(C42&lt;=0,0,MIN(AH43,C$7+IF(C$2=$AA43,$AC43,IF(C$2=$AF43,$AG43,0))))</f>
        <v/>
      </c>
      <c r="P43">
        <f>IF(D42&lt;=0,0,MIN(AI43,D$7+IF(D$2=$AA43,$AC43,IF(D$2=$AF43,$AG43,0))))</f>
        <v/>
      </c>
      <c r="Q43">
        <f>IF(E42&lt;=0,0,MIN(AJ43,E$7+IF(E$2=$AA43,$AC43,IF(E$2=$AF43,$AG43,0))))</f>
        <v/>
      </c>
      <c r="R43">
        <f>IF(F42&lt;=0,0,MIN(AK43,F$7+IF(F$2=$AA43,$AC43,IF(F$2=$AF43,$AG43,0))))</f>
        <v/>
      </c>
      <c r="S43">
        <f>IF(G42&lt;=0,0,MIN(AL43,G$7+IF(G$2=$AA43,$AC43,IF(G$2=$AF43,$AG43,0))))</f>
        <v/>
      </c>
      <c r="T43">
        <f>IF(H42&lt;=0,0,MIN(AM43,H$7+IF(H$2=$AA43,$AC43,IF(H$2=$AF43,$AG43,0))))</f>
        <v/>
      </c>
      <c r="U43">
        <f>IF(I42&lt;=0,0,MIN(AN43,I$7+IF(I$2=$AA43,$AC43,IF(I$2=$AF43,$AG43,0))))</f>
        <v/>
      </c>
      <c r="V43">
        <f>IF(J42&lt;=0,0,MIN(AO43,J$7+IF(J$2=$AA43,$AC43,IF(J$2=$AF43,$AG43,0))))</f>
        <v/>
      </c>
      <c r="W43">
        <f>IF(K42&lt;=0,0,MIN(AP43,K$7+IF(K$2=$AA43,$AC43,IF(K$2=$AF43,$AG43,0))))</f>
        <v/>
      </c>
      <c r="X43">
        <f>IF(L42&lt;=0,0,MIN(AQ43,L$7+IF(L$2=$AA43,$AC43,IF(L$2=$AF43,$AG43,0))))</f>
        <v/>
      </c>
      <c r="Y43">
        <f>IF(M42&lt;=0,0,MIN(AR43,M$7+IF(M$2=$AA43,$AC43,IF(M$2=$AF43,$AG43,0))))</f>
        <v/>
      </c>
      <c r="Z43">
        <f>IF(N42&lt;=0,0,MIN(AS43,N$7+IF(N$2=$AA43,$AC43,IF(N$2=$AF43,$AG43,0))))</f>
        <v/>
      </c>
      <c r="AA43">
        <f>IFERROR(ROUND(1/SUMPRODUCT(MAX((C42:N42&gt;0)*($C$3:$N$3&lt;=B43)/$C$2:$N$2)),0),0)</f>
        <v/>
      </c>
      <c r="AB43">
        <f>SUMPRODUCT((C42:N42&gt;0)*$C$7:$N$7)</f>
        <v/>
      </c>
      <c r="AC43">
        <f>MAX(0,Plan!$C$5-AB43)+IF(A43=Plan!$C$8,N(Plan!$C$7),0)</f>
        <v/>
      </c>
      <c r="AD43">
        <f>SUM(C43:N43)</f>
        <v/>
      </c>
      <c r="AE43">
        <f>SUM(O43:Z43)</f>
        <v/>
      </c>
      <c r="AF43">
        <f>IFERROR(ROUND(1/SUMPRODUCT(MAX((C42:N42&gt;0)*($C$3:$N$3&lt;=B43)*($C$2:$N$2&gt;AA43)/$C$2:$N$2)),0),0)</f>
        <v/>
      </c>
      <c r="AG43">
        <f>MAX(0,AC43-MAX(0,SUMPRODUCT(($C$2:$N$2=AA43)*(AH43:AS43-$C$7:$N$7))))</f>
        <v/>
      </c>
      <c r="AH43">
        <f>IF(C42&lt;=0,0,ROUND(C42*(1+IF(AND(C$6&gt;0,$B43&lt;C$6),C$4,C$5)/12),2))</f>
        <v/>
      </c>
      <c r="AI43">
        <f>IF(D42&lt;=0,0,ROUND(D42*(1+IF(AND(D$6&gt;0,$B43&lt;D$6),D$4,D$5)/12),2))</f>
        <v/>
      </c>
      <c r="AJ43">
        <f>IF(E42&lt;=0,0,ROUND(E42*(1+IF(AND(E$6&gt;0,$B43&lt;E$6),E$4,E$5)/12),2))</f>
        <v/>
      </c>
      <c r="AK43">
        <f>IF(F42&lt;=0,0,ROUND(F42*(1+IF(AND(F$6&gt;0,$B43&lt;F$6),F$4,F$5)/12),2))</f>
        <v/>
      </c>
      <c r="AL43">
        <f>IF(G42&lt;=0,0,ROUND(G42*(1+IF(AND(G$6&gt;0,$B43&lt;G$6),G$4,G$5)/12),2))</f>
        <v/>
      </c>
      <c r="AM43">
        <f>IF(H42&lt;=0,0,ROUND(H42*(1+IF(AND(H$6&gt;0,$B43&lt;H$6),H$4,H$5)/12),2))</f>
        <v/>
      </c>
      <c r="AN43">
        <f>IF(I42&lt;=0,0,ROUND(I42*(1+IF(AND(I$6&gt;0,$B43&lt;I$6),I$4,I$5)/12),2))</f>
        <v/>
      </c>
      <c r="AO43">
        <f>IF(J42&lt;=0,0,ROUND(J42*(1+IF(AND(J$6&gt;0,$B43&lt;J$6),J$4,J$5)/12),2))</f>
        <v/>
      </c>
      <c r="AP43">
        <f>IF(K42&lt;=0,0,ROUND(K42*(1+IF(AND(K$6&gt;0,$B43&lt;K$6),K$4,K$5)/12),2))</f>
        <v/>
      </c>
      <c r="AQ43">
        <f>IF(L42&lt;=0,0,ROUND(L42*(1+IF(AND(L$6&gt;0,$B43&lt;L$6),L$4,L$5)/12),2))</f>
        <v/>
      </c>
      <c r="AR43">
        <f>IF(M42&lt;=0,0,ROUND(M42*(1+IF(AND(M$6&gt;0,$B43&lt;M$6),M$4,M$5)/12),2))</f>
        <v/>
      </c>
      <c r="AS43">
        <f>IF(N42&lt;=0,0,ROUND(N42*(1+IF(AND(N$6&gt;0,$B43&lt;N$6),N$4,N$5)/12),2))</f>
        <v/>
      </c>
    </row>
    <row r="44">
      <c r="A44" t="n">
        <v>33</v>
      </c>
      <c r="B44">
        <f>EDATE(Plan!$C$6,32)</f>
        <v/>
      </c>
      <c r="C44">
        <f>IF(C43&lt;=0,0,MAX(0,AH44-O44))</f>
        <v/>
      </c>
      <c r="D44">
        <f>IF(D43&lt;=0,0,MAX(0,AI44-P44))</f>
        <v/>
      </c>
      <c r="E44">
        <f>IF(E43&lt;=0,0,MAX(0,AJ44-Q44))</f>
        <v/>
      </c>
      <c r="F44">
        <f>IF(F43&lt;=0,0,MAX(0,AK44-R44))</f>
        <v/>
      </c>
      <c r="G44">
        <f>IF(G43&lt;=0,0,MAX(0,AL44-S44))</f>
        <v/>
      </c>
      <c r="H44">
        <f>IF(H43&lt;=0,0,MAX(0,AM44-T44))</f>
        <v/>
      </c>
      <c r="I44">
        <f>IF(I43&lt;=0,0,MAX(0,AN44-U44))</f>
        <v/>
      </c>
      <c r="J44">
        <f>IF(J43&lt;=0,0,MAX(0,AO44-V44))</f>
        <v/>
      </c>
      <c r="K44">
        <f>IF(K43&lt;=0,0,MAX(0,AP44-W44))</f>
        <v/>
      </c>
      <c r="L44">
        <f>IF(L43&lt;=0,0,MAX(0,AQ44-X44))</f>
        <v/>
      </c>
      <c r="M44">
        <f>IF(M43&lt;=0,0,MAX(0,AR44-Y44))</f>
        <v/>
      </c>
      <c r="N44">
        <f>IF(N43&lt;=0,0,MAX(0,AS44-Z44))</f>
        <v/>
      </c>
      <c r="O44">
        <f>IF(C43&lt;=0,0,MIN(AH44,C$7+IF(C$2=$AA44,$AC44,IF(C$2=$AF44,$AG44,0))))</f>
        <v/>
      </c>
      <c r="P44">
        <f>IF(D43&lt;=0,0,MIN(AI44,D$7+IF(D$2=$AA44,$AC44,IF(D$2=$AF44,$AG44,0))))</f>
        <v/>
      </c>
      <c r="Q44">
        <f>IF(E43&lt;=0,0,MIN(AJ44,E$7+IF(E$2=$AA44,$AC44,IF(E$2=$AF44,$AG44,0))))</f>
        <v/>
      </c>
      <c r="R44">
        <f>IF(F43&lt;=0,0,MIN(AK44,F$7+IF(F$2=$AA44,$AC44,IF(F$2=$AF44,$AG44,0))))</f>
        <v/>
      </c>
      <c r="S44">
        <f>IF(G43&lt;=0,0,MIN(AL44,G$7+IF(G$2=$AA44,$AC44,IF(G$2=$AF44,$AG44,0))))</f>
        <v/>
      </c>
      <c r="T44">
        <f>IF(H43&lt;=0,0,MIN(AM44,H$7+IF(H$2=$AA44,$AC44,IF(H$2=$AF44,$AG44,0))))</f>
        <v/>
      </c>
      <c r="U44">
        <f>IF(I43&lt;=0,0,MIN(AN44,I$7+IF(I$2=$AA44,$AC44,IF(I$2=$AF44,$AG44,0))))</f>
        <v/>
      </c>
      <c r="V44">
        <f>IF(J43&lt;=0,0,MIN(AO44,J$7+IF(J$2=$AA44,$AC44,IF(J$2=$AF44,$AG44,0))))</f>
        <v/>
      </c>
      <c r="W44">
        <f>IF(K43&lt;=0,0,MIN(AP44,K$7+IF(K$2=$AA44,$AC44,IF(K$2=$AF44,$AG44,0))))</f>
        <v/>
      </c>
      <c r="X44">
        <f>IF(L43&lt;=0,0,MIN(AQ44,L$7+IF(L$2=$AA44,$AC44,IF(L$2=$AF44,$AG44,0))))</f>
        <v/>
      </c>
      <c r="Y44">
        <f>IF(M43&lt;=0,0,MIN(AR44,M$7+IF(M$2=$AA44,$AC44,IF(M$2=$AF44,$AG44,0))))</f>
        <v/>
      </c>
      <c r="Z44">
        <f>IF(N43&lt;=0,0,MIN(AS44,N$7+IF(N$2=$AA44,$AC44,IF(N$2=$AF44,$AG44,0))))</f>
        <v/>
      </c>
      <c r="AA44">
        <f>IFERROR(ROUND(1/SUMPRODUCT(MAX((C43:N43&gt;0)*($C$3:$N$3&lt;=B44)/$C$2:$N$2)),0),0)</f>
        <v/>
      </c>
      <c r="AB44">
        <f>SUMPRODUCT((C43:N43&gt;0)*$C$7:$N$7)</f>
        <v/>
      </c>
      <c r="AC44">
        <f>MAX(0,Plan!$C$5-AB44)+IF(A44=Plan!$C$8,N(Plan!$C$7),0)</f>
        <v/>
      </c>
      <c r="AD44">
        <f>SUM(C44:N44)</f>
        <v/>
      </c>
      <c r="AE44">
        <f>SUM(O44:Z44)</f>
        <v/>
      </c>
      <c r="AF44">
        <f>IFERROR(ROUND(1/SUMPRODUCT(MAX((C43:N43&gt;0)*($C$3:$N$3&lt;=B44)*($C$2:$N$2&gt;AA44)/$C$2:$N$2)),0),0)</f>
        <v/>
      </c>
      <c r="AG44">
        <f>MAX(0,AC44-MAX(0,SUMPRODUCT(($C$2:$N$2=AA44)*(AH44:AS44-$C$7:$N$7))))</f>
        <v/>
      </c>
      <c r="AH44">
        <f>IF(C43&lt;=0,0,ROUND(C43*(1+IF(AND(C$6&gt;0,$B44&lt;C$6),C$4,C$5)/12),2))</f>
        <v/>
      </c>
      <c r="AI44">
        <f>IF(D43&lt;=0,0,ROUND(D43*(1+IF(AND(D$6&gt;0,$B44&lt;D$6),D$4,D$5)/12),2))</f>
        <v/>
      </c>
      <c r="AJ44">
        <f>IF(E43&lt;=0,0,ROUND(E43*(1+IF(AND(E$6&gt;0,$B44&lt;E$6),E$4,E$5)/12),2))</f>
        <v/>
      </c>
      <c r="AK44">
        <f>IF(F43&lt;=0,0,ROUND(F43*(1+IF(AND(F$6&gt;0,$B44&lt;F$6),F$4,F$5)/12),2))</f>
        <v/>
      </c>
      <c r="AL44">
        <f>IF(G43&lt;=0,0,ROUND(G43*(1+IF(AND(G$6&gt;0,$B44&lt;G$6),G$4,G$5)/12),2))</f>
        <v/>
      </c>
      <c r="AM44">
        <f>IF(H43&lt;=0,0,ROUND(H43*(1+IF(AND(H$6&gt;0,$B44&lt;H$6),H$4,H$5)/12),2))</f>
        <v/>
      </c>
      <c r="AN44">
        <f>IF(I43&lt;=0,0,ROUND(I43*(1+IF(AND(I$6&gt;0,$B44&lt;I$6),I$4,I$5)/12),2))</f>
        <v/>
      </c>
      <c r="AO44">
        <f>IF(J43&lt;=0,0,ROUND(J43*(1+IF(AND(J$6&gt;0,$B44&lt;J$6),J$4,J$5)/12),2))</f>
        <v/>
      </c>
      <c r="AP44">
        <f>IF(K43&lt;=0,0,ROUND(K43*(1+IF(AND(K$6&gt;0,$B44&lt;K$6),K$4,K$5)/12),2))</f>
        <v/>
      </c>
      <c r="AQ44">
        <f>IF(L43&lt;=0,0,ROUND(L43*(1+IF(AND(L$6&gt;0,$B44&lt;L$6),L$4,L$5)/12),2))</f>
        <v/>
      </c>
      <c r="AR44">
        <f>IF(M43&lt;=0,0,ROUND(M43*(1+IF(AND(M$6&gt;0,$B44&lt;M$6),M$4,M$5)/12),2))</f>
        <v/>
      </c>
      <c r="AS44">
        <f>IF(N43&lt;=0,0,ROUND(N43*(1+IF(AND(N$6&gt;0,$B44&lt;N$6),N$4,N$5)/12),2))</f>
        <v/>
      </c>
    </row>
    <row r="45">
      <c r="A45" t="n">
        <v>34</v>
      </c>
      <c r="B45">
        <f>EDATE(Plan!$C$6,33)</f>
        <v/>
      </c>
      <c r="C45">
        <f>IF(C44&lt;=0,0,MAX(0,AH45-O45))</f>
        <v/>
      </c>
      <c r="D45">
        <f>IF(D44&lt;=0,0,MAX(0,AI45-P45))</f>
        <v/>
      </c>
      <c r="E45">
        <f>IF(E44&lt;=0,0,MAX(0,AJ45-Q45))</f>
        <v/>
      </c>
      <c r="F45">
        <f>IF(F44&lt;=0,0,MAX(0,AK45-R45))</f>
        <v/>
      </c>
      <c r="G45">
        <f>IF(G44&lt;=0,0,MAX(0,AL45-S45))</f>
        <v/>
      </c>
      <c r="H45">
        <f>IF(H44&lt;=0,0,MAX(0,AM45-T45))</f>
        <v/>
      </c>
      <c r="I45">
        <f>IF(I44&lt;=0,0,MAX(0,AN45-U45))</f>
        <v/>
      </c>
      <c r="J45">
        <f>IF(J44&lt;=0,0,MAX(0,AO45-V45))</f>
        <v/>
      </c>
      <c r="K45">
        <f>IF(K44&lt;=0,0,MAX(0,AP45-W45))</f>
        <v/>
      </c>
      <c r="L45">
        <f>IF(L44&lt;=0,0,MAX(0,AQ45-X45))</f>
        <v/>
      </c>
      <c r="M45">
        <f>IF(M44&lt;=0,0,MAX(0,AR45-Y45))</f>
        <v/>
      </c>
      <c r="N45">
        <f>IF(N44&lt;=0,0,MAX(0,AS45-Z45))</f>
        <v/>
      </c>
      <c r="O45">
        <f>IF(C44&lt;=0,0,MIN(AH45,C$7+IF(C$2=$AA45,$AC45,IF(C$2=$AF45,$AG45,0))))</f>
        <v/>
      </c>
      <c r="P45">
        <f>IF(D44&lt;=0,0,MIN(AI45,D$7+IF(D$2=$AA45,$AC45,IF(D$2=$AF45,$AG45,0))))</f>
        <v/>
      </c>
      <c r="Q45">
        <f>IF(E44&lt;=0,0,MIN(AJ45,E$7+IF(E$2=$AA45,$AC45,IF(E$2=$AF45,$AG45,0))))</f>
        <v/>
      </c>
      <c r="R45">
        <f>IF(F44&lt;=0,0,MIN(AK45,F$7+IF(F$2=$AA45,$AC45,IF(F$2=$AF45,$AG45,0))))</f>
        <v/>
      </c>
      <c r="S45">
        <f>IF(G44&lt;=0,0,MIN(AL45,G$7+IF(G$2=$AA45,$AC45,IF(G$2=$AF45,$AG45,0))))</f>
        <v/>
      </c>
      <c r="T45">
        <f>IF(H44&lt;=0,0,MIN(AM45,H$7+IF(H$2=$AA45,$AC45,IF(H$2=$AF45,$AG45,0))))</f>
        <v/>
      </c>
      <c r="U45">
        <f>IF(I44&lt;=0,0,MIN(AN45,I$7+IF(I$2=$AA45,$AC45,IF(I$2=$AF45,$AG45,0))))</f>
        <v/>
      </c>
      <c r="V45">
        <f>IF(J44&lt;=0,0,MIN(AO45,J$7+IF(J$2=$AA45,$AC45,IF(J$2=$AF45,$AG45,0))))</f>
        <v/>
      </c>
      <c r="W45">
        <f>IF(K44&lt;=0,0,MIN(AP45,K$7+IF(K$2=$AA45,$AC45,IF(K$2=$AF45,$AG45,0))))</f>
        <v/>
      </c>
      <c r="X45">
        <f>IF(L44&lt;=0,0,MIN(AQ45,L$7+IF(L$2=$AA45,$AC45,IF(L$2=$AF45,$AG45,0))))</f>
        <v/>
      </c>
      <c r="Y45">
        <f>IF(M44&lt;=0,0,MIN(AR45,M$7+IF(M$2=$AA45,$AC45,IF(M$2=$AF45,$AG45,0))))</f>
        <v/>
      </c>
      <c r="Z45">
        <f>IF(N44&lt;=0,0,MIN(AS45,N$7+IF(N$2=$AA45,$AC45,IF(N$2=$AF45,$AG45,0))))</f>
        <v/>
      </c>
      <c r="AA45">
        <f>IFERROR(ROUND(1/SUMPRODUCT(MAX((C44:N44&gt;0)*($C$3:$N$3&lt;=B45)/$C$2:$N$2)),0),0)</f>
        <v/>
      </c>
      <c r="AB45">
        <f>SUMPRODUCT((C44:N44&gt;0)*$C$7:$N$7)</f>
        <v/>
      </c>
      <c r="AC45">
        <f>MAX(0,Plan!$C$5-AB45)+IF(A45=Plan!$C$8,N(Plan!$C$7),0)</f>
        <v/>
      </c>
      <c r="AD45">
        <f>SUM(C45:N45)</f>
        <v/>
      </c>
      <c r="AE45">
        <f>SUM(O45:Z45)</f>
        <v/>
      </c>
      <c r="AF45">
        <f>IFERROR(ROUND(1/SUMPRODUCT(MAX((C44:N44&gt;0)*($C$3:$N$3&lt;=B45)*($C$2:$N$2&gt;AA45)/$C$2:$N$2)),0),0)</f>
        <v/>
      </c>
      <c r="AG45">
        <f>MAX(0,AC45-MAX(0,SUMPRODUCT(($C$2:$N$2=AA45)*(AH45:AS45-$C$7:$N$7))))</f>
        <v/>
      </c>
      <c r="AH45">
        <f>IF(C44&lt;=0,0,ROUND(C44*(1+IF(AND(C$6&gt;0,$B45&lt;C$6),C$4,C$5)/12),2))</f>
        <v/>
      </c>
      <c r="AI45">
        <f>IF(D44&lt;=0,0,ROUND(D44*(1+IF(AND(D$6&gt;0,$B45&lt;D$6),D$4,D$5)/12),2))</f>
        <v/>
      </c>
      <c r="AJ45">
        <f>IF(E44&lt;=0,0,ROUND(E44*(1+IF(AND(E$6&gt;0,$B45&lt;E$6),E$4,E$5)/12),2))</f>
        <v/>
      </c>
      <c r="AK45">
        <f>IF(F44&lt;=0,0,ROUND(F44*(1+IF(AND(F$6&gt;0,$B45&lt;F$6),F$4,F$5)/12),2))</f>
        <v/>
      </c>
      <c r="AL45">
        <f>IF(G44&lt;=0,0,ROUND(G44*(1+IF(AND(G$6&gt;0,$B45&lt;G$6),G$4,G$5)/12),2))</f>
        <v/>
      </c>
      <c r="AM45">
        <f>IF(H44&lt;=0,0,ROUND(H44*(1+IF(AND(H$6&gt;0,$B45&lt;H$6),H$4,H$5)/12),2))</f>
        <v/>
      </c>
      <c r="AN45">
        <f>IF(I44&lt;=0,0,ROUND(I44*(1+IF(AND(I$6&gt;0,$B45&lt;I$6),I$4,I$5)/12),2))</f>
        <v/>
      </c>
      <c r="AO45">
        <f>IF(J44&lt;=0,0,ROUND(J44*(1+IF(AND(J$6&gt;0,$B45&lt;J$6),J$4,J$5)/12),2))</f>
        <v/>
      </c>
      <c r="AP45">
        <f>IF(K44&lt;=0,0,ROUND(K44*(1+IF(AND(K$6&gt;0,$B45&lt;K$6),K$4,K$5)/12),2))</f>
        <v/>
      </c>
      <c r="AQ45">
        <f>IF(L44&lt;=0,0,ROUND(L44*(1+IF(AND(L$6&gt;0,$B45&lt;L$6),L$4,L$5)/12),2))</f>
        <v/>
      </c>
      <c r="AR45">
        <f>IF(M44&lt;=0,0,ROUND(M44*(1+IF(AND(M$6&gt;0,$B45&lt;M$6),M$4,M$5)/12),2))</f>
        <v/>
      </c>
      <c r="AS45">
        <f>IF(N44&lt;=0,0,ROUND(N44*(1+IF(AND(N$6&gt;0,$B45&lt;N$6),N$4,N$5)/12),2))</f>
        <v/>
      </c>
    </row>
    <row r="46">
      <c r="A46" t="n">
        <v>35</v>
      </c>
      <c r="B46">
        <f>EDATE(Plan!$C$6,34)</f>
        <v/>
      </c>
      <c r="C46">
        <f>IF(C45&lt;=0,0,MAX(0,AH46-O46))</f>
        <v/>
      </c>
      <c r="D46">
        <f>IF(D45&lt;=0,0,MAX(0,AI46-P46))</f>
        <v/>
      </c>
      <c r="E46">
        <f>IF(E45&lt;=0,0,MAX(0,AJ46-Q46))</f>
        <v/>
      </c>
      <c r="F46">
        <f>IF(F45&lt;=0,0,MAX(0,AK46-R46))</f>
        <v/>
      </c>
      <c r="G46">
        <f>IF(G45&lt;=0,0,MAX(0,AL46-S46))</f>
        <v/>
      </c>
      <c r="H46">
        <f>IF(H45&lt;=0,0,MAX(0,AM46-T46))</f>
        <v/>
      </c>
      <c r="I46">
        <f>IF(I45&lt;=0,0,MAX(0,AN46-U46))</f>
        <v/>
      </c>
      <c r="J46">
        <f>IF(J45&lt;=0,0,MAX(0,AO46-V46))</f>
        <v/>
      </c>
      <c r="K46">
        <f>IF(K45&lt;=0,0,MAX(0,AP46-W46))</f>
        <v/>
      </c>
      <c r="L46">
        <f>IF(L45&lt;=0,0,MAX(0,AQ46-X46))</f>
        <v/>
      </c>
      <c r="M46">
        <f>IF(M45&lt;=0,0,MAX(0,AR46-Y46))</f>
        <v/>
      </c>
      <c r="N46">
        <f>IF(N45&lt;=0,0,MAX(0,AS46-Z46))</f>
        <v/>
      </c>
      <c r="O46">
        <f>IF(C45&lt;=0,0,MIN(AH46,C$7+IF(C$2=$AA46,$AC46,IF(C$2=$AF46,$AG46,0))))</f>
        <v/>
      </c>
      <c r="P46">
        <f>IF(D45&lt;=0,0,MIN(AI46,D$7+IF(D$2=$AA46,$AC46,IF(D$2=$AF46,$AG46,0))))</f>
        <v/>
      </c>
      <c r="Q46">
        <f>IF(E45&lt;=0,0,MIN(AJ46,E$7+IF(E$2=$AA46,$AC46,IF(E$2=$AF46,$AG46,0))))</f>
        <v/>
      </c>
      <c r="R46">
        <f>IF(F45&lt;=0,0,MIN(AK46,F$7+IF(F$2=$AA46,$AC46,IF(F$2=$AF46,$AG46,0))))</f>
        <v/>
      </c>
      <c r="S46">
        <f>IF(G45&lt;=0,0,MIN(AL46,G$7+IF(G$2=$AA46,$AC46,IF(G$2=$AF46,$AG46,0))))</f>
        <v/>
      </c>
      <c r="T46">
        <f>IF(H45&lt;=0,0,MIN(AM46,H$7+IF(H$2=$AA46,$AC46,IF(H$2=$AF46,$AG46,0))))</f>
        <v/>
      </c>
      <c r="U46">
        <f>IF(I45&lt;=0,0,MIN(AN46,I$7+IF(I$2=$AA46,$AC46,IF(I$2=$AF46,$AG46,0))))</f>
        <v/>
      </c>
      <c r="V46">
        <f>IF(J45&lt;=0,0,MIN(AO46,J$7+IF(J$2=$AA46,$AC46,IF(J$2=$AF46,$AG46,0))))</f>
        <v/>
      </c>
      <c r="W46">
        <f>IF(K45&lt;=0,0,MIN(AP46,K$7+IF(K$2=$AA46,$AC46,IF(K$2=$AF46,$AG46,0))))</f>
        <v/>
      </c>
      <c r="X46">
        <f>IF(L45&lt;=0,0,MIN(AQ46,L$7+IF(L$2=$AA46,$AC46,IF(L$2=$AF46,$AG46,0))))</f>
        <v/>
      </c>
      <c r="Y46">
        <f>IF(M45&lt;=0,0,MIN(AR46,M$7+IF(M$2=$AA46,$AC46,IF(M$2=$AF46,$AG46,0))))</f>
        <v/>
      </c>
      <c r="Z46">
        <f>IF(N45&lt;=0,0,MIN(AS46,N$7+IF(N$2=$AA46,$AC46,IF(N$2=$AF46,$AG46,0))))</f>
        <v/>
      </c>
      <c r="AA46">
        <f>IFERROR(ROUND(1/SUMPRODUCT(MAX((C45:N45&gt;0)*($C$3:$N$3&lt;=B46)/$C$2:$N$2)),0),0)</f>
        <v/>
      </c>
      <c r="AB46">
        <f>SUMPRODUCT((C45:N45&gt;0)*$C$7:$N$7)</f>
        <v/>
      </c>
      <c r="AC46">
        <f>MAX(0,Plan!$C$5-AB46)+IF(A46=Plan!$C$8,N(Plan!$C$7),0)</f>
        <v/>
      </c>
      <c r="AD46">
        <f>SUM(C46:N46)</f>
        <v/>
      </c>
      <c r="AE46">
        <f>SUM(O46:Z46)</f>
        <v/>
      </c>
      <c r="AF46">
        <f>IFERROR(ROUND(1/SUMPRODUCT(MAX((C45:N45&gt;0)*($C$3:$N$3&lt;=B46)*($C$2:$N$2&gt;AA46)/$C$2:$N$2)),0),0)</f>
        <v/>
      </c>
      <c r="AG46">
        <f>MAX(0,AC46-MAX(0,SUMPRODUCT(($C$2:$N$2=AA46)*(AH46:AS46-$C$7:$N$7))))</f>
        <v/>
      </c>
      <c r="AH46">
        <f>IF(C45&lt;=0,0,ROUND(C45*(1+IF(AND(C$6&gt;0,$B46&lt;C$6),C$4,C$5)/12),2))</f>
        <v/>
      </c>
      <c r="AI46">
        <f>IF(D45&lt;=0,0,ROUND(D45*(1+IF(AND(D$6&gt;0,$B46&lt;D$6),D$4,D$5)/12),2))</f>
        <v/>
      </c>
      <c r="AJ46">
        <f>IF(E45&lt;=0,0,ROUND(E45*(1+IF(AND(E$6&gt;0,$B46&lt;E$6),E$4,E$5)/12),2))</f>
        <v/>
      </c>
      <c r="AK46">
        <f>IF(F45&lt;=0,0,ROUND(F45*(1+IF(AND(F$6&gt;0,$B46&lt;F$6),F$4,F$5)/12),2))</f>
        <v/>
      </c>
      <c r="AL46">
        <f>IF(G45&lt;=0,0,ROUND(G45*(1+IF(AND(G$6&gt;0,$B46&lt;G$6),G$4,G$5)/12),2))</f>
        <v/>
      </c>
      <c r="AM46">
        <f>IF(H45&lt;=0,0,ROUND(H45*(1+IF(AND(H$6&gt;0,$B46&lt;H$6),H$4,H$5)/12),2))</f>
        <v/>
      </c>
      <c r="AN46">
        <f>IF(I45&lt;=0,0,ROUND(I45*(1+IF(AND(I$6&gt;0,$B46&lt;I$6),I$4,I$5)/12),2))</f>
        <v/>
      </c>
      <c r="AO46">
        <f>IF(J45&lt;=0,0,ROUND(J45*(1+IF(AND(J$6&gt;0,$B46&lt;J$6),J$4,J$5)/12),2))</f>
        <v/>
      </c>
      <c r="AP46">
        <f>IF(K45&lt;=0,0,ROUND(K45*(1+IF(AND(K$6&gt;0,$B46&lt;K$6),K$4,K$5)/12),2))</f>
        <v/>
      </c>
      <c r="AQ46">
        <f>IF(L45&lt;=0,0,ROUND(L45*(1+IF(AND(L$6&gt;0,$B46&lt;L$6),L$4,L$5)/12),2))</f>
        <v/>
      </c>
      <c r="AR46">
        <f>IF(M45&lt;=0,0,ROUND(M45*(1+IF(AND(M$6&gt;0,$B46&lt;M$6),M$4,M$5)/12),2))</f>
        <v/>
      </c>
      <c r="AS46">
        <f>IF(N45&lt;=0,0,ROUND(N45*(1+IF(AND(N$6&gt;0,$B46&lt;N$6),N$4,N$5)/12),2))</f>
        <v/>
      </c>
    </row>
    <row r="47">
      <c r="A47" t="n">
        <v>36</v>
      </c>
      <c r="B47">
        <f>EDATE(Plan!$C$6,35)</f>
        <v/>
      </c>
      <c r="C47">
        <f>IF(C46&lt;=0,0,MAX(0,AH47-O47))</f>
        <v/>
      </c>
      <c r="D47">
        <f>IF(D46&lt;=0,0,MAX(0,AI47-P47))</f>
        <v/>
      </c>
      <c r="E47">
        <f>IF(E46&lt;=0,0,MAX(0,AJ47-Q47))</f>
        <v/>
      </c>
      <c r="F47">
        <f>IF(F46&lt;=0,0,MAX(0,AK47-R47))</f>
        <v/>
      </c>
      <c r="G47">
        <f>IF(G46&lt;=0,0,MAX(0,AL47-S47))</f>
        <v/>
      </c>
      <c r="H47">
        <f>IF(H46&lt;=0,0,MAX(0,AM47-T47))</f>
        <v/>
      </c>
      <c r="I47">
        <f>IF(I46&lt;=0,0,MAX(0,AN47-U47))</f>
        <v/>
      </c>
      <c r="J47">
        <f>IF(J46&lt;=0,0,MAX(0,AO47-V47))</f>
        <v/>
      </c>
      <c r="K47">
        <f>IF(K46&lt;=0,0,MAX(0,AP47-W47))</f>
        <v/>
      </c>
      <c r="L47">
        <f>IF(L46&lt;=0,0,MAX(0,AQ47-X47))</f>
        <v/>
      </c>
      <c r="M47">
        <f>IF(M46&lt;=0,0,MAX(0,AR47-Y47))</f>
        <v/>
      </c>
      <c r="N47">
        <f>IF(N46&lt;=0,0,MAX(0,AS47-Z47))</f>
        <v/>
      </c>
      <c r="O47">
        <f>IF(C46&lt;=0,0,MIN(AH47,C$7+IF(C$2=$AA47,$AC47,IF(C$2=$AF47,$AG47,0))))</f>
        <v/>
      </c>
      <c r="P47">
        <f>IF(D46&lt;=0,0,MIN(AI47,D$7+IF(D$2=$AA47,$AC47,IF(D$2=$AF47,$AG47,0))))</f>
        <v/>
      </c>
      <c r="Q47">
        <f>IF(E46&lt;=0,0,MIN(AJ47,E$7+IF(E$2=$AA47,$AC47,IF(E$2=$AF47,$AG47,0))))</f>
        <v/>
      </c>
      <c r="R47">
        <f>IF(F46&lt;=0,0,MIN(AK47,F$7+IF(F$2=$AA47,$AC47,IF(F$2=$AF47,$AG47,0))))</f>
        <v/>
      </c>
      <c r="S47">
        <f>IF(G46&lt;=0,0,MIN(AL47,G$7+IF(G$2=$AA47,$AC47,IF(G$2=$AF47,$AG47,0))))</f>
        <v/>
      </c>
      <c r="T47">
        <f>IF(H46&lt;=0,0,MIN(AM47,H$7+IF(H$2=$AA47,$AC47,IF(H$2=$AF47,$AG47,0))))</f>
        <v/>
      </c>
      <c r="U47">
        <f>IF(I46&lt;=0,0,MIN(AN47,I$7+IF(I$2=$AA47,$AC47,IF(I$2=$AF47,$AG47,0))))</f>
        <v/>
      </c>
      <c r="V47">
        <f>IF(J46&lt;=0,0,MIN(AO47,J$7+IF(J$2=$AA47,$AC47,IF(J$2=$AF47,$AG47,0))))</f>
        <v/>
      </c>
      <c r="W47">
        <f>IF(K46&lt;=0,0,MIN(AP47,K$7+IF(K$2=$AA47,$AC47,IF(K$2=$AF47,$AG47,0))))</f>
        <v/>
      </c>
      <c r="X47">
        <f>IF(L46&lt;=0,0,MIN(AQ47,L$7+IF(L$2=$AA47,$AC47,IF(L$2=$AF47,$AG47,0))))</f>
        <v/>
      </c>
      <c r="Y47">
        <f>IF(M46&lt;=0,0,MIN(AR47,M$7+IF(M$2=$AA47,$AC47,IF(M$2=$AF47,$AG47,0))))</f>
        <v/>
      </c>
      <c r="Z47">
        <f>IF(N46&lt;=0,0,MIN(AS47,N$7+IF(N$2=$AA47,$AC47,IF(N$2=$AF47,$AG47,0))))</f>
        <v/>
      </c>
      <c r="AA47">
        <f>IFERROR(ROUND(1/SUMPRODUCT(MAX((C46:N46&gt;0)*($C$3:$N$3&lt;=B47)/$C$2:$N$2)),0),0)</f>
        <v/>
      </c>
      <c r="AB47">
        <f>SUMPRODUCT((C46:N46&gt;0)*$C$7:$N$7)</f>
        <v/>
      </c>
      <c r="AC47">
        <f>MAX(0,Plan!$C$5-AB47)+IF(A47=Plan!$C$8,N(Plan!$C$7),0)</f>
        <v/>
      </c>
      <c r="AD47">
        <f>SUM(C47:N47)</f>
        <v/>
      </c>
      <c r="AE47">
        <f>SUM(O47:Z47)</f>
        <v/>
      </c>
      <c r="AF47">
        <f>IFERROR(ROUND(1/SUMPRODUCT(MAX((C46:N46&gt;0)*($C$3:$N$3&lt;=B47)*($C$2:$N$2&gt;AA47)/$C$2:$N$2)),0),0)</f>
        <v/>
      </c>
      <c r="AG47">
        <f>MAX(0,AC47-MAX(0,SUMPRODUCT(($C$2:$N$2=AA47)*(AH47:AS47-$C$7:$N$7))))</f>
        <v/>
      </c>
      <c r="AH47">
        <f>IF(C46&lt;=0,0,ROUND(C46*(1+IF(AND(C$6&gt;0,$B47&lt;C$6),C$4,C$5)/12),2))</f>
        <v/>
      </c>
      <c r="AI47">
        <f>IF(D46&lt;=0,0,ROUND(D46*(1+IF(AND(D$6&gt;0,$B47&lt;D$6),D$4,D$5)/12),2))</f>
        <v/>
      </c>
      <c r="AJ47">
        <f>IF(E46&lt;=0,0,ROUND(E46*(1+IF(AND(E$6&gt;0,$B47&lt;E$6),E$4,E$5)/12),2))</f>
        <v/>
      </c>
      <c r="AK47">
        <f>IF(F46&lt;=0,0,ROUND(F46*(1+IF(AND(F$6&gt;0,$B47&lt;F$6),F$4,F$5)/12),2))</f>
        <v/>
      </c>
      <c r="AL47">
        <f>IF(G46&lt;=0,0,ROUND(G46*(1+IF(AND(G$6&gt;0,$B47&lt;G$6),G$4,G$5)/12),2))</f>
        <v/>
      </c>
      <c r="AM47">
        <f>IF(H46&lt;=0,0,ROUND(H46*(1+IF(AND(H$6&gt;0,$B47&lt;H$6),H$4,H$5)/12),2))</f>
        <v/>
      </c>
      <c r="AN47">
        <f>IF(I46&lt;=0,0,ROUND(I46*(1+IF(AND(I$6&gt;0,$B47&lt;I$6),I$4,I$5)/12),2))</f>
        <v/>
      </c>
      <c r="AO47">
        <f>IF(J46&lt;=0,0,ROUND(J46*(1+IF(AND(J$6&gt;0,$B47&lt;J$6),J$4,J$5)/12),2))</f>
        <v/>
      </c>
      <c r="AP47">
        <f>IF(K46&lt;=0,0,ROUND(K46*(1+IF(AND(K$6&gt;0,$B47&lt;K$6),K$4,K$5)/12),2))</f>
        <v/>
      </c>
      <c r="AQ47">
        <f>IF(L46&lt;=0,0,ROUND(L46*(1+IF(AND(L$6&gt;0,$B47&lt;L$6),L$4,L$5)/12),2))</f>
        <v/>
      </c>
      <c r="AR47">
        <f>IF(M46&lt;=0,0,ROUND(M46*(1+IF(AND(M$6&gt;0,$B47&lt;M$6),M$4,M$5)/12),2))</f>
        <v/>
      </c>
      <c r="AS47">
        <f>IF(N46&lt;=0,0,ROUND(N46*(1+IF(AND(N$6&gt;0,$B47&lt;N$6),N$4,N$5)/12),2))</f>
        <v/>
      </c>
    </row>
    <row r="48">
      <c r="A48" t="n">
        <v>37</v>
      </c>
      <c r="B48">
        <f>EDATE(Plan!$C$6,36)</f>
        <v/>
      </c>
      <c r="C48">
        <f>IF(C47&lt;=0,0,MAX(0,AH48-O48))</f>
        <v/>
      </c>
      <c r="D48">
        <f>IF(D47&lt;=0,0,MAX(0,AI48-P48))</f>
        <v/>
      </c>
      <c r="E48">
        <f>IF(E47&lt;=0,0,MAX(0,AJ48-Q48))</f>
        <v/>
      </c>
      <c r="F48">
        <f>IF(F47&lt;=0,0,MAX(0,AK48-R48))</f>
        <v/>
      </c>
      <c r="G48">
        <f>IF(G47&lt;=0,0,MAX(0,AL48-S48))</f>
        <v/>
      </c>
      <c r="H48">
        <f>IF(H47&lt;=0,0,MAX(0,AM48-T48))</f>
        <v/>
      </c>
      <c r="I48">
        <f>IF(I47&lt;=0,0,MAX(0,AN48-U48))</f>
        <v/>
      </c>
      <c r="J48">
        <f>IF(J47&lt;=0,0,MAX(0,AO48-V48))</f>
        <v/>
      </c>
      <c r="K48">
        <f>IF(K47&lt;=0,0,MAX(0,AP48-W48))</f>
        <v/>
      </c>
      <c r="L48">
        <f>IF(L47&lt;=0,0,MAX(0,AQ48-X48))</f>
        <v/>
      </c>
      <c r="M48">
        <f>IF(M47&lt;=0,0,MAX(0,AR48-Y48))</f>
        <v/>
      </c>
      <c r="N48">
        <f>IF(N47&lt;=0,0,MAX(0,AS48-Z48))</f>
        <v/>
      </c>
      <c r="O48">
        <f>IF(C47&lt;=0,0,MIN(AH48,C$7+IF(C$2=$AA48,$AC48,IF(C$2=$AF48,$AG48,0))))</f>
        <v/>
      </c>
      <c r="P48">
        <f>IF(D47&lt;=0,0,MIN(AI48,D$7+IF(D$2=$AA48,$AC48,IF(D$2=$AF48,$AG48,0))))</f>
        <v/>
      </c>
      <c r="Q48">
        <f>IF(E47&lt;=0,0,MIN(AJ48,E$7+IF(E$2=$AA48,$AC48,IF(E$2=$AF48,$AG48,0))))</f>
        <v/>
      </c>
      <c r="R48">
        <f>IF(F47&lt;=0,0,MIN(AK48,F$7+IF(F$2=$AA48,$AC48,IF(F$2=$AF48,$AG48,0))))</f>
        <v/>
      </c>
      <c r="S48">
        <f>IF(G47&lt;=0,0,MIN(AL48,G$7+IF(G$2=$AA48,$AC48,IF(G$2=$AF48,$AG48,0))))</f>
        <v/>
      </c>
      <c r="T48">
        <f>IF(H47&lt;=0,0,MIN(AM48,H$7+IF(H$2=$AA48,$AC48,IF(H$2=$AF48,$AG48,0))))</f>
        <v/>
      </c>
      <c r="U48">
        <f>IF(I47&lt;=0,0,MIN(AN48,I$7+IF(I$2=$AA48,$AC48,IF(I$2=$AF48,$AG48,0))))</f>
        <v/>
      </c>
      <c r="V48">
        <f>IF(J47&lt;=0,0,MIN(AO48,J$7+IF(J$2=$AA48,$AC48,IF(J$2=$AF48,$AG48,0))))</f>
        <v/>
      </c>
      <c r="W48">
        <f>IF(K47&lt;=0,0,MIN(AP48,K$7+IF(K$2=$AA48,$AC48,IF(K$2=$AF48,$AG48,0))))</f>
        <v/>
      </c>
      <c r="X48">
        <f>IF(L47&lt;=0,0,MIN(AQ48,L$7+IF(L$2=$AA48,$AC48,IF(L$2=$AF48,$AG48,0))))</f>
        <v/>
      </c>
      <c r="Y48">
        <f>IF(M47&lt;=0,0,MIN(AR48,M$7+IF(M$2=$AA48,$AC48,IF(M$2=$AF48,$AG48,0))))</f>
        <v/>
      </c>
      <c r="Z48">
        <f>IF(N47&lt;=0,0,MIN(AS48,N$7+IF(N$2=$AA48,$AC48,IF(N$2=$AF48,$AG48,0))))</f>
        <v/>
      </c>
      <c r="AA48">
        <f>IFERROR(ROUND(1/SUMPRODUCT(MAX((C47:N47&gt;0)*($C$3:$N$3&lt;=B48)/$C$2:$N$2)),0),0)</f>
        <v/>
      </c>
      <c r="AB48">
        <f>SUMPRODUCT((C47:N47&gt;0)*$C$7:$N$7)</f>
        <v/>
      </c>
      <c r="AC48">
        <f>MAX(0,Plan!$C$5-AB48)+IF(A48=Plan!$C$8,N(Plan!$C$7),0)</f>
        <v/>
      </c>
      <c r="AD48">
        <f>SUM(C48:N48)</f>
        <v/>
      </c>
      <c r="AE48">
        <f>SUM(O48:Z48)</f>
        <v/>
      </c>
      <c r="AF48">
        <f>IFERROR(ROUND(1/SUMPRODUCT(MAX((C47:N47&gt;0)*($C$3:$N$3&lt;=B48)*($C$2:$N$2&gt;AA48)/$C$2:$N$2)),0),0)</f>
        <v/>
      </c>
      <c r="AG48">
        <f>MAX(0,AC48-MAX(0,SUMPRODUCT(($C$2:$N$2=AA48)*(AH48:AS48-$C$7:$N$7))))</f>
        <v/>
      </c>
      <c r="AH48">
        <f>IF(C47&lt;=0,0,ROUND(C47*(1+IF(AND(C$6&gt;0,$B48&lt;C$6),C$4,C$5)/12),2))</f>
        <v/>
      </c>
      <c r="AI48">
        <f>IF(D47&lt;=0,0,ROUND(D47*(1+IF(AND(D$6&gt;0,$B48&lt;D$6),D$4,D$5)/12),2))</f>
        <v/>
      </c>
      <c r="AJ48">
        <f>IF(E47&lt;=0,0,ROUND(E47*(1+IF(AND(E$6&gt;0,$B48&lt;E$6),E$4,E$5)/12),2))</f>
        <v/>
      </c>
      <c r="AK48">
        <f>IF(F47&lt;=0,0,ROUND(F47*(1+IF(AND(F$6&gt;0,$B48&lt;F$6),F$4,F$5)/12),2))</f>
        <v/>
      </c>
      <c r="AL48">
        <f>IF(G47&lt;=0,0,ROUND(G47*(1+IF(AND(G$6&gt;0,$B48&lt;G$6),G$4,G$5)/12),2))</f>
        <v/>
      </c>
      <c r="AM48">
        <f>IF(H47&lt;=0,0,ROUND(H47*(1+IF(AND(H$6&gt;0,$B48&lt;H$6),H$4,H$5)/12),2))</f>
        <v/>
      </c>
      <c r="AN48">
        <f>IF(I47&lt;=0,0,ROUND(I47*(1+IF(AND(I$6&gt;0,$B48&lt;I$6),I$4,I$5)/12),2))</f>
        <v/>
      </c>
      <c r="AO48">
        <f>IF(J47&lt;=0,0,ROUND(J47*(1+IF(AND(J$6&gt;0,$B48&lt;J$6),J$4,J$5)/12),2))</f>
        <v/>
      </c>
      <c r="AP48">
        <f>IF(K47&lt;=0,0,ROUND(K47*(1+IF(AND(K$6&gt;0,$B48&lt;K$6),K$4,K$5)/12),2))</f>
        <v/>
      </c>
      <c r="AQ48">
        <f>IF(L47&lt;=0,0,ROUND(L47*(1+IF(AND(L$6&gt;0,$B48&lt;L$6),L$4,L$5)/12),2))</f>
        <v/>
      </c>
      <c r="AR48">
        <f>IF(M47&lt;=0,0,ROUND(M47*(1+IF(AND(M$6&gt;0,$B48&lt;M$6),M$4,M$5)/12),2))</f>
        <v/>
      </c>
      <c r="AS48">
        <f>IF(N47&lt;=0,0,ROUND(N47*(1+IF(AND(N$6&gt;0,$B48&lt;N$6),N$4,N$5)/12),2))</f>
        <v/>
      </c>
    </row>
    <row r="49">
      <c r="A49" t="n">
        <v>38</v>
      </c>
      <c r="B49">
        <f>EDATE(Plan!$C$6,37)</f>
        <v/>
      </c>
      <c r="C49">
        <f>IF(C48&lt;=0,0,MAX(0,AH49-O49))</f>
        <v/>
      </c>
      <c r="D49">
        <f>IF(D48&lt;=0,0,MAX(0,AI49-P49))</f>
        <v/>
      </c>
      <c r="E49">
        <f>IF(E48&lt;=0,0,MAX(0,AJ49-Q49))</f>
        <v/>
      </c>
      <c r="F49">
        <f>IF(F48&lt;=0,0,MAX(0,AK49-R49))</f>
        <v/>
      </c>
      <c r="G49">
        <f>IF(G48&lt;=0,0,MAX(0,AL49-S49))</f>
        <v/>
      </c>
      <c r="H49">
        <f>IF(H48&lt;=0,0,MAX(0,AM49-T49))</f>
        <v/>
      </c>
      <c r="I49">
        <f>IF(I48&lt;=0,0,MAX(0,AN49-U49))</f>
        <v/>
      </c>
      <c r="J49">
        <f>IF(J48&lt;=0,0,MAX(0,AO49-V49))</f>
        <v/>
      </c>
      <c r="K49">
        <f>IF(K48&lt;=0,0,MAX(0,AP49-W49))</f>
        <v/>
      </c>
      <c r="L49">
        <f>IF(L48&lt;=0,0,MAX(0,AQ49-X49))</f>
        <v/>
      </c>
      <c r="M49">
        <f>IF(M48&lt;=0,0,MAX(0,AR49-Y49))</f>
        <v/>
      </c>
      <c r="N49">
        <f>IF(N48&lt;=0,0,MAX(0,AS49-Z49))</f>
        <v/>
      </c>
      <c r="O49">
        <f>IF(C48&lt;=0,0,MIN(AH49,C$7+IF(C$2=$AA49,$AC49,IF(C$2=$AF49,$AG49,0))))</f>
        <v/>
      </c>
      <c r="P49">
        <f>IF(D48&lt;=0,0,MIN(AI49,D$7+IF(D$2=$AA49,$AC49,IF(D$2=$AF49,$AG49,0))))</f>
        <v/>
      </c>
      <c r="Q49">
        <f>IF(E48&lt;=0,0,MIN(AJ49,E$7+IF(E$2=$AA49,$AC49,IF(E$2=$AF49,$AG49,0))))</f>
        <v/>
      </c>
      <c r="R49">
        <f>IF(F48&lt;=0,0,MIN(AK49,F$7+IF(F$2=$AA49,$AC49,IF(F$2=$AF49,$AG49,0))))</f>
        <v/>
      </c>
      <c r="S49">
        <f>IF(G48&lt;=0,0,MIN(AL49,G$7+IF(G$2=$AA49,$AC49,IF(G$2=$AF49,$AG49,0))))</f>
        <v/>
      </c>
      <c r="T49">
        <f>IF(H48&lt;=0,0,MIN(AM49,H$7+IF(H$2=$AA49,$AC49,IF(H$2=$AF49,$AG49,0))))</f>
        <v/>
      </c>
      <c r="U49">
        <f>IF(I48&lt;=0,0,MIN(AN49,I$7+IF(I$2=$AA49,$AC49,IF(I$2=$AF49,$AG49,0))))</f>
        <v/>
      </c>
      <c r="V49">
        <f>IF(J48&lt;=0,0,MIN(AO49,J$7+IF(J$2=$AA49,$AC49,IF(J$2=$AF49,$AG49,0))))</f>
        <v/>
      </c>
      <c r="W49">
        <f>IF(K48&lt;=0,0,MIN(AP49,K$7+IF(K$2=$AA49,$AC49,IF(K$2=$AF49,$AG49,0))))</f>
        <v/>
      </c>
      <c r="X49">
        <f>IF(L48&lt;=0,0,MIN(AQ49,L$7+IF(L$2=$AA49,$AC49,IF(L$2=$AF49,$AG49,0))))</f>
        <v/>
      </c>
      <c r="Y49">
        <f>IF(M48&lt;=0,0,MIN(AR49,M$7+IF(M$2=$AA49,$AC49,IF(M$2=$AF49,$AG49,0))))</f>
        <v/>
      </c>
      <c r="Z49">
        <f>IF(N48&lt;=0,0,MIN(AS49,N$7+IF(N$2=$AA49,$AC49,IF(N$2=$AF49,$AG49,0))))</f>
        <v/>
      </c>
      <c r="AA49">
        <f>IFERROR(ROUND(1/SUMPRODUCT(MAX((C48:N48&gt;0)*($C$3:$N$3&lt;=B49)/$C$2:$N$2)),0),0)</f>
        <v/>
      </c>
      <c r="AB49">
        <f>SUMPRODUCT((C48:N48&gt;0)*$C$7:$N$7)</f>
        <v/>
      </c>
      <c r="AC49">
        <f>MAX(0,Plan!$C$5-AB49)+IF(A49=Plan!$C$8,N(Plan!$C$7),0)</f>
        <v/>
      </c>
      <c r="AD49">
        <f>SUM(C49:N49)</f>
        <v/>
      </c>
      <c r="AE49">
        <f>SUM(O49:Z49)</f>
        <v/>
      </c>
      <c r="AF49">
        <f>IFERROR(ROUND(1/SUMPRODUCT(MAX((C48:N48&gt;0)*($C$3:$N$3&lt;=B49)*($C$2:$N$2&gt;AA49)/$C$2:$N$2)),0),0)</f>
        <v/>
      </c>
      <c r="AG49">
        <f>MAX(0,AC49-MAX(0,SUMPRODUCT(($C$2:$N$2=AA49)*(AH49:AS49-$C$7:$N$7))))</f>
        <v/>
      </c>
      <c r="AH49">
        <f>IF(C48&lt;=0,0,ROUND(C48*(1+IF(AND(C$6&gt;0,$B49&lt;C$6),C$4,C$5)/12),2))</f>
        <v/>
      </c>
      <c r="AI49">
        <f>IF(D48&lt;=0,0,ROUND(D48*(1+IF(AND(D$6&gt;0,$B49&lt;D$6),D$4,D$5)/12),2))</f>
        <v/>
      </c>
      <c r="AJ49">
        <f>IF(E48&lt;=0,0,ROUND(E48*(1+IF(AND(E$6&gt;0,$B49&lt;E$6),E$4,E$5)/12),2))</f>
        <v/>
      </c>
      <c r="AK49">
        <f>IF(F48&lt;=0,0,ROUND(F48*(1+IF(AND(F$6&gt;0,$B49&lt;F$6),F$4,F$5)/12),2))</f>
        <v/>
      </c>
      <c r="AL49">
        <f>IF(G48&lt;=0,0,ROUND(G48*(1+IF(AND(G$6&gt;0,$B49&lt;G$6),G$4,G$5)/12),2))</f>
        <v/>
      </c>
      <c r="AM49">
        <f>IF(H48&lt;=0,0,ROUND(H48*(1+IF(AND(H$6&gt;0,$B49&lt;H$6),H$4,H$5)/12),2))</f>
        <v/>
      </c>
      <c r="AN49">
        <f>IF(I48&lt;=0,0,ROUND(I48*(1+IF(AND(I$6&gt;0,$B49&lt;I$6),I$4,I$5)/12),2))</f>
        <v/>
      </c>
      <c r="AO49">
        <f>IF(J48&lt;=0,0,ROUND(J48*(1+IF(AND(J$6&gt;0,$B49&lt;J$6),J$4,J$5)/12),2))</f>
        <v/>
      </c>
      <c r="AP49">
        <f>IF(K48&lt;=0,0,ROUND(K48*(1+IF(AND(K$6&gt;0,$B49&lt;K$6),K$4,K$5)/12),2))</f>
        <v/>
      </c>
      <c r="AQ49">
        <f>IF(L48&lt;=0,0,ROUND(L48*(1+IF(AND(L$6&gt;0,$B49&lt;L$6),L$4,L$5)/12),2))</f>
        <v/>
      </c>
      <c r="AR49">
        <f>IF(M48&lt;=0,0,ROUND(M48*(1+IF(AND(M$6&gt;0,$B49&lt;M$6),M$4,M$5)/12),2))</f>
        <v/>
      </c>
      <c r="AS49">
        <f>IF(N48&lt;=0,0,ROUND(N48*(1+IF(AND(N$6&gt;0,$B49&lt;N$6),N$4,N$5)/12),2))</f>
        <v/>
      </c>
    </row>
    <row r="50">
      <c r="A50" t="n">
        <v>39</v>
      </c>
      <c r="B50">
        <f>EDATE(Plan!$C$6,38)</f>
        <v/>
      </c>
      <c r="C50">
        <f>IF(C49&lt;=0,0,MAX(0,AH50-O50))</f>
        <v/>
      </c>
      <c r="D50">
        <f>IF(D49&lt;=0,0,MAX(0,AI50-P50))</f>
        <v/>
      </c>
      <c r="E50">
        <f>IF(E49&lt;=0,0,MAX(0,AJ50-Q50))</f>
        <v/>
      </c>
      <c r="F50">
        <f>IF(F49&lt;=0,0,MAX(0,AK50-R50))</f>
        <v/>
      </c>
      <c r="G50">
        <f>IF(G49&lt;=0,0,MAX(0,AL50-S50))</f>
        <v/>
      </c>
      <c r="H50">
        <f>IF(H49&lt;=0,0,MAX(0,AM50-T50))</f>
        <v/>
      </c>
      <c r="I50">
        <f>IF(I49&lt;=0,0,MAX(0,AN50-U50))</f>
        <v/>
      </c>
      <c r="J50">
        <f>IF(J49&lt;=0,0,MAX(0,AO50-V50))</f>
        <v/>
      </c>
      <c r="K50">
        <f>IF(K49&lt;=0,0,MAX(0,AP50-W50))</f>
        <v/>
      </c>
      <c r="L50">
        <f>IF(L49&lt;=0,0,MAX(0,AQ50-X50))</f>
        <v/>
      </c>
      <c r="M50">
        <f>IF(M49&lt;=0,0,MAX(0,AR50-Y50))</f>
        <v/>
      </c>
      <c r="N50">
        <f>IF(N49&lt;=0,0,MAX(0,AS50-Z50))</f>
        <v/>
      </c>
      <c r="O50">
        <f>IF(C49&lt;=0,0,MIN(AH50,C$7+IF(C$2=$AA50,$AC50,IF(C$2=$AF50,$AG50,0))))</f>
        <v/>
      </c>
      <c r="P50">
        <f>IF(D49&lt;=0,0,MIN(AI50,D$7+IF(D$2=$AA50,$AC50,IF(D$2=$AF50,$AG50,0))))</f>
        <v/>
      </c>
      <c r="Q50">
        <f>IF(E49&lt;=0,0,MIN(AJ50,E$7+IF(E$2=$AA50,$AC50,IF(E$2=$AF50,$AG50,0))))</f>
        <v/>
      </c>
      <c r="R50">
        <f>IF(F49&lt;=0,0,MIN(AK50,F$7+IF(F$2=$AA50,$AC50,IF(F$2=$AF50,$AG50,0))))</f>
        <v/>
      </c>
      <c r="S50">
        <f>IF(G49&lt;=0,0,MIN(AL50,G$7+IF(G$2=$AA50,$AC50,IF(G$2=$AF50,$AG50,0))))</f>
        <v/>
      </c>
      <c r="T50">
        <f>IF(H49&lt;=0,0,MIN(AM50,H$7+IF(H$2=$AA50,$AC50,IF(H$2=$AF50,$AG50,0))))</f>
        <v/>
      </c>
      <c r="U50">
        <f>IF(I49&lt;=0,0,MIN(AN50,I$7+IF(I$2=$AA50,$AC50,IF(I$2=$AF50,$AG50,0))))</f>
        <v/>
      </c>
      <c r="V50">
        <f>IF(J49&lt;=0,0,MIN(AO50,J$7+IF(J$2=$AA50,$AC50,IF(J$2=$AF50,$AG50,0))))</f>
        <v/>
      </c>
      <c r="W50">
        <f>IF(K49&lt;=0,0,MIN(AP50,K$7+IF(K$2=$AA50,$AC50,IF(K$2=$AF50,$AG50,0))))</f>
        <v/>
      </c>
      <c r="X50">
        <f>IF(L49&lt;=0,0,MIN(AQ50,L$7+IF(L$2=$AA50,$AC50,IF(L$2=$AF50,$AG50,0))))</f>
        <v/>
      </c>
      <c r="Y50">
        <f>IF(M49&lt;=0,0,MIN(AR50,M$7+IF(M$2=$AA50,$AC50,IF(M$2=$AF50,$AG50,0))))</f>
        <v/>
      </c>
      <c r="Z50">
        <f>IF(N49&lt;=0,0,MIN(AS50,N$7+IF(N$2=$AA50,$AC50,IF(N$2=$AF50,$AG50,0))))</f>
        <v/>
      </c>
      <c r="AA50">
        <f>IFERROR(ROUND(1/SUMPRODUCT(MAX((C49:N49&gt;0)*($C$3:$N$3&lt;=B50)/$C$2:$N$2)),0),0)</f>
        <v/>
      </c>
      <c r="AB50">
        <f>SUMPRODUCT((C49:N49&gt;0)*$C$7:$N$7)</f>
        <v/>
      </c>
      <c r="AC50">
        <f>MAX(0,Plan!$C$5-AB50)+IF(A50=Plan!$C$8,N(Plan!$C$7),0)</f>
        <v/>
      </c>
      <c r="AD50">
        <f>SUM(C50:N50)</f>
        <v/>
      </c>
      <c r="AE50">
        <f>SUM(O50:Z50)</f>
        <v/>
      </c>
      <c r="AF50">
        <f>IFERROR(ROUND(1/SUMPRODUCT(MAX((C49:N49&gt;0)*($C$3:$N$3&lt;=B50)*($C$2:$N$2&gt;AA50)/$C$2:$N$2)),0),0)</f>
        <v/>
      </c>
      <c r="AG50">
        <f>MAX(0,AC50-MAX(0,SUMPRODUCT(($C$2:$N$2=AA50)*(AH50:AS50-$C$7:$N$7))))</f>
        <v/>
      </c>
      <c r="AH50">
        <f>IF(C49&lt;=0,0,ROUND(C49*(1+IF(AND(C$6&gt;0,$B50&lt;C$6),C$4,C$5)/12),2))</f>
        <v/>
      </c>
      <c r="AI50">
        <f>IF(D49&lt;=0,0,ROUND(D49*(1+IF(AND(D$6&gt;0,$B50&lt;D$6),D$4,D$5)/12),2))</f>
        <v/>
      </c>
      <c r="AJ50">
        <f>IF(E49&lt;=0,0,ROUND(E49*(1+IF(AND(E$6&gt;0,$B50&lt;E$6),E$4,E$5)/12),2))</f>
        <v/>
      </c>
      <c r="AK50">
        <f>IF(F49&lt;=0,0,ROUND(F49*(1+IF(AND(F$6&gt;0,$B50&lt;F$6),F$4,F$5)/12),2))</f>
        <v/>
      </c>
      <c r="AL50">
        <f>IF(G49&lt;=0,0,ROUND(G49*(1+IF(AND(G$6&gt;0,$B50&lt;G$6),G$4,G$5)/12),2))</f>
        <v/>
      </c>
      <c r="AM50">
        <f>IF(H49&lt;=0,0,ROUND(H49*(1+IF(AND(H$6&gt;0,$B50&lt;H$6),H$4,H$5)/12),2))</f>
        <v/>
      </c>
      <c r="AN50">
        <f>IF(I49&lt;=0,0,ROUND(I49*(1+IF(AND(I$6&gt;0,$B50&lt;I$6),I$4,I$5)/12),2))</f>
        <v/>
      </c>
      <c r="AO50">
        <f>IF(J49&lt;=0,0,ROUND(J49*(1+IF(AND(J$6&gt;0,$B50&lt;J$6),J$4,J$5)/12),2))</f>
        <v/>
      </c>
      <c r="AP50">
        <f>IF(K49&lt;=0,0,ROUND(K49*(1+IF(AND(K$6&gt;0,$B50&lt;K$6),K$4,K$5)/12),2))</f>
        <v/>
      </c>
      <c r="AQ50">
        <f>IF(L49&lt;=0,0,ROUND(L49*(1+IF(AND(L$6&gt;0,$B50&lt;L$6),L$4,L$5)/12),2))</f>
        <v/>
      </c>
      <c r="AR50">
        <f>IF(M49&lt;=0,0,ROUND(M49*(1+IF(AND(M$6&gt;0,$B50&lt;M$6),M$4,M$5)/12),2))</f>
        <v/>
      </c>
      <c r="AS50">
        <f>IF(N49&lt;=0,0,ROUND(N49*(1+IF(AND(N$6&gt;0,$B50&lt;N$6),N$4,N$5)/12),2))</f>
        <v/>
      </c>
    </row>
    <row r="51">
      <c r="A51" t="n">
        <v>40</v>
      </c>
      <c r="B51">
        <f>EDATE(Plan!$C$6,39)</f>
        <v/>
      </c>
      <c r="C51">
        <f>IF(C50&lt;=0,0,MAX(0,AH51-O51))</f>
        <v/>
      </c>
      <c r="D51">
        <f>IF(D50&lt;=0,0,MAX(0,AI51-P51))</f>
        <v/>
      </c>
      <c r="E51">
        <f>IF(E50&lt;=0,0,MAX(0,AJ51-Q51))</f>
        <v/>
      </c>
      <c r="F51">
        <f>IF(F50&lt;=0,0,MAX(0,AK51-R51))</f>
        <v/>
      </c>
      <c r="G51">
        <f>IF(G50&lt;=0,0,MAX(0,AL51-S51))</f>
        <v/>
      </c>
      <c r="H51">
        <f>IF(H50&lt;=0,0,MAX(0,AM51-T51))</f>
        <v/>
      </c>
      <c r="I51">
        <f>IF(I50&lt;=0,0,MAX(0,AN51-U51))</f>
        <v/>
      </c>
      <c r="J51">
        <f>IF(J50&lt;=0,0,MAX(0,AO51-V51))</f>
        <v/>
      </c>
      <c r="K51">
        <f>IF(K50&lt;=0,0,MAX(0,AP51-W51))</f>
        <v/>
      </c>
      <c r="L51">
        <f>IF(L50&lt;=0,0,MAX(0,AQ51-X51))</f>
        <v/>
      </c>
      <c r="M51">
        <f>IF(M50&lt;=0,0,MAX(0,AR51-Y51))</f>
        <v/>
      </c>
      <c r="N51">
        <f>IF(N50&lt;=0,0,MAX(0,AS51-Z51))</f>
        <v/>
      </c>
      <c r="O51">
        <f>IF(C50&lt;=0,0,MIN(AH51,C$7+IF(C$2=$AA51,$AC51,IF(C$2=$AF51,$AG51,0))))</f>
        <v/>
      </c>
      <c r="P51">
        <f>IF(D50&lt;=0,0,MIN(AI51,D$7+IF(D$2=$AA51,$AC51,IF(D$2=$AF51,$AG51,0))))</f>
        <v/>
      </c>
      <c r="Q51">
        <f>IF(E50&lt;=0,0,MIN(AJ51,E$7+IF(E$2=$AA51,$AC51,IF(E$2=$AF51,$AG51,0))))</f>
        <v/>
      </c>
      <c r="R51">
        <f>IF(F50&lt;=0,0,MIN(AK51,F$7+IF(F$2=$AA51,$AC51,IF(F$2=$AF51,$AG51,0))))</f>
        <v/>
      </c>
      <c r="S51">
        <f>IF(G50&lt;=0,0,MIN(AL51,G$7+IF(G$2=$AA51,$AC51,IF(G$2=$AF51,$AG51,0))))</f>
        <v/>
      </c>
      <c r="T51">
        <f>IF(H50&lt;=0,0,MIN(AM51,H$7+IF(H$2=$AA51,$AC51,IF(H$2=$AF51,$AG51,0))))</f>
        <v/>
      </c>
      <c r="U51">
        <f>IF(I50&lt;=0,0,MIN(AN51,I$7+IF(I$2=$AA51,$AC51,IF(I$2=$AF51,$AG51,0))))</f>
        <v/>
      </c>
      <c r="V51">
        <f>IF(J50&lt;=0,0,MIN(AO51,J$7+IF(J$2=$AA51,$AC51,IF(J$2=$AF51,$AG51,0))))</f>
        <v/>
      </c>
      <c r="W51">
        <f>IF(K50&lt;=0,0,MIN(AP51,K$7+IF(K$2=$AA51,$AC51,IF(K$2=$AF51,$AG51,0))))</f>
        <v/>
      </c>
      <c r="X51">
        <f>IF(L50&lt;=0,0,MIN(AQ51,L$7+IF(L$2=$AA51,$AC51,IF(L$2=$AF51,$AG51,0))))</f>
        <v/>
      </c>
      <c r="Y51">
        <f>IF(M50&lt;=0,0,MIN(AR51,M$7+IF(M$2=$AA51,$AC51,IF(M$2=$AF51,$AG51,0))))</f>
        <v/>
      </c>
      <c r="Z51">
        <f>IF(N50&lt;=0,0,MIN(AS51,N$7+IF(N$2=$AA51,$AC51,IF(N$2=$AF51,$AG51,0))))</f>
        <v/>
      </c>
      <c r="AA51">
        <f>IFERROR(ROUND(1/SUMPRODUCT(MAX((C50:N50&gt;0)*($C$3:$N$3&lt;=B51)/$C$2:$N$2)),0),0)</f>
        <v/>
      </c>
      <c r="AB51">
        <f>SUMPRODUCT((C50:N50&gt;0)*$C$7:$N$7)</f>
        <v/>
      </c>
      <c r="AC51">
        <f>MAX(0,Plan!$C$5-AB51)+IF(A51=Plan!$C$8,N(Plan!$C$7),0)</f>
        <v/>
      </c>
      <c r="AD51">
        <f>SUM(C51:N51)</f>
        <v/>
      </c>
      <c r="AE51">
        <f>SUM(O51:Z51)</f>
        <v/>
      </c>
      <c r="AF51">
        <f>IFERROR(ROUND(1/SUMPRODUCT(MAX((C50:N50&gt;0)*($C$3:$N$3&lt;=B51)*($C$2:$N$2&gt;AA51)/$C$2:$N$2)),0),0)</f>
        <v/>
      </c>
      <c r="AG51">
        <f>MAX(0,AC51-MAX(0,SUMPRODUCT(($C$2:$N$2=AA51)*(AH51:AS51-$C$7:$N$7))))</f>
        <v/>
      </c>
      <c r="AH51">
        <f>IF(C50&lt;=0,0,ROUND(C50*(1+IF(AND(C$6&gt;0,$B51&lt;C$6),C$4,C$5)/12),2))</f>
        <v/>
      </c>
      <c r="AI51">
        <f>IF(D50&lt;=0,0,ROUND(D50*(1+IF(AND(D$6&gt;0,$B51&lt;D$6),D$4,D$5)/12),2))</f>
        <v/>
      </c>
      <c r="AJ51">
        <f>IF(E50&lt;=0,0,ROUND(E50*(1+IF(AND(E$6&gt;0,$B51&lt;E$6),E$4,E$5)/12),2))</f>
        <v/>
      </c>
      <c r="AK51">
        <f>IF(F50&lt;=0,0,ROUND(F50*(1+IF(AND(F$6&gt;0,$B51&lt;F$6),F$4,F$5)/12),2))</f>
        <v/>
      </c>
      <c r="AL51">
        <f>IF(G50&lt;=0,0,ROUND(G50*(1+IF(AND(G$6&gt;0,$B51&lt;G$6),G$4,G$5)/12),2))</f>
        <v/>
      </c>
      <c r="AM51">
        <f>IF(H50&lt;=0,0,ROUND(H50*(1+IF(AND(H$6&gt;0,$B51&lt;H$6),H$4,H$5)/12),2))</f>
        <v/>
      </c>
      <c r="AN51">
        <f>IF(I50&lt;=0,0,ROUND(I50*(1+IF(AND(I$6&gt;0,$B51&lt;I$6),I$4,I$5)/12),2))</f>
        <v/>
      </c>
      <c r="AO51">
        <f>IF(J50&lt;=0,0,ROUND(J50*(1+IF(AND(J$6&gt;0,$B51&lt;J$6),J$4,J$5)/12),2))</f>
        <v/>
      </c>
      <c r="AP51">
        <f>IF(K50&lt;=0,0,ROUND(K50*(1+IF(AND(K$6&gt;0,$B51&lt;K$6),K$4,K$5)/12),2))</f>
        <v/>
      </c>
      <c r="AQ51">
        <f>IF(L50&lt;=0,0,ROUND(L50*(1+IF(AND(L$6&gt;0,$B51&lt;L$6),L$4,L$5)/12),2))</f>
        <v/>
      </c>
      <c r="AR51">
        <f>IF(M50&lt;=0,0,ROUND(M50*(1+IF(AND(M$6&gt;0,$B51&lt;M$6),M$4,M$5)/12),2))</f>
        <v/>
      </c>
      <c r="AS51">
        <f>IF(N50&lt;=0,0,ROUND(N50*(1+IF(AND(N$6&gt;0,$B51&lt;N$6),N$4,N$5)/12),2))</f>
        <v/>
      </c>
    </row>
    <row r="52">
      <c r="A52" t="n">
        <v>41</v>
      </c>
      <c r="B52">
        <f>EDATE(Plan!$C$6,40)</f>
        <v/>
      </c>
      <c r="C52">
        <f>IF(C51&lt;=0,0,MAX(0,AH52-O52))</f>
        <v/>
      </c>
      <c r="D52">
        <f>IF(D51&lt;=0,0,MAX(0,AI52-P52))</f>
        <v/>
      </c>
      <c r="E52">
        <f>IF(E51&lt;=0,0,MAX(0,AJ52-Q52))</f>
        <v/>
      </c>
      <c r="F52">
        <f>IF(F51&lt;=0,0,MAX(0,AK52-R52))</f>
        <v/>
      </c>
      <c r="G52">
        <f>IF(G51&lt;=0,0,MAX(0,AL52-S52))</f>
        <v/>
      </c>
      <c r="H52">
        <f>IF(H51&lt;=0,0,MAX(0,AM52-T52))</f>
        <v/>
      </c>
      <c r="I52">
        <f>IF(I51&lt;=0,0,MAX(0,AN52-U52))</f>
        <v/>
      </c>
      <c r="J52">
        <f>IF(J51&lt;=0,0,MAX(0,AO52-V52))</f>
        <v/>
      </c>
      <c r="K52">
        <f>IF(K51&lt;=0,0,MAX(0,AP52-W52))</f>
        <v/>
      </c>
      <c r="L52">
        <f>IF(L51&lt;=0,0,MAX(0,AQ52-X52))</f>
        <v/>
      </c>
      <c r="M52">
        <f>IF(M51&lt;=0,0,MAX(0,AR52-Y52))</f>
        <v/>
      </c>
      <c r="N52">
        <f>IF(N51&lt;=0,0,MAX(0,AS52-Z52))</f>
        <v/>
      </c>
      <c r="O52">
        <f>IF(C51&lt;=0,0,MIN(AH52,C$7+IF(C$2=$AA52,$AC52,IF(C$2=$AF52,$AG52,0))))</f>
        <v/>
      </c>
      <c r="P52">
        <f>IF(D51&lt;=0,0,MIN(AI52,D$7+IF(D$2=$AA52,$AC52,IF(D$2=$AF52,$AG52,0))))</f>
        <v/>
      </c>
      <c r="Q52">
        <f>IF(E51&lt;=0,0,MIN(AJ52,E$7+IF(E$2=$AA52,$AC52,IF(E$2=$AF52,$AG52,0))))</f>
        <v/>
      </c>
      <c r="R52">
        <f>IF(F51&lt;=0,0,MIN(AK52,F$7+IF(F$2=$AA52,$AC52,IF(F$2=$AF52,$AG52,0))))</f>
        <v/>
      </c>
      <c r="S52">
        <f>IF(G51&lt;=0,0,MIN(AL52,G$7+IF(G$2=$AA52,$AC52,IF(G$2=$AF52,$AG52,0))))</f>
        <v/>
      </c>
      <c r="T52">
        <f>IF(H51&lt;=0,0,MIN(AM52,H$7+IF(H$2=$AA52,$AC52,IF(H$2=$AF52,$AG52,0))))</f>
        <v/>
      </c>
      <c r="U52">
        <f>IF(I51&lt;=0,0,MIN(AN52,I$7+IF(I$2=$AA52,$AC52,IF(I$2=$AF52,$AG52,0))))</f>
        <v/>
      </c>
      <c r="V52">
        <f>IF(J51&lt;=0,0,MIN(AO52,J$7+IF(J$2=$AA52,$AC52,IF(J$2=$AF52,$AG52,0))))</f>
        <v/>
      </c>
      <c r="W52">
        <f>IF(K51&lt;=0,0,MIN(AP52,K$7+IF(K$2=$AA52,$AC52,IF(K$2=$AF52,$AG52,0))))</f>
        <v/>
      </c>
      <c r="X52">
        <f>IF(L51&lt;=0,0,MIN(AQ52,L$7+IF(L$2=$AA52,$AC52,IF(L$2=$AF52,$AG52,0))))</f>
        <v/>
      </c>
      <c r="Y52">
        <f>IF(M51&lt;=0,0,MIN(AR52,M$7+IF(M$2=$AA52,$AC52,IF(M$2=$AF52,$AG52,0))))</f>
        <v/>
      </c>
      <c r="Z52">
        <f>IF(N51&lt;=0,0,MIN(AS52,N$7+IF(N$2=$AA52,$AC52,IF(N$2=$AF52,$AG52,0))))</f>
        <v/>
      </c>
      <c r="AA52">
        <f>IFERROR(ROUND(1/SUMPRODUCT(MAX((C51:N51&gt;0)*($C$3:$N$3&lt;=B52)/$C$2:$N$2)),0),0)</f>
        <v/>
      </c>
      <c r="AB52">
        <f>SUMPRODUCT((C51:N51&gt;0)*$C$7:$N$7)</f>
        <v/>
      </c>
      <c r="AC52">
        <f>MAX(0,Plan!$C$5-AB52)+IF(A52=Plan!$C$8,N(Plan!$C$7),0)</f>
        <v/>
      </c>
      <c r="AD52">
        <f>SUM(C52:N52)</f>
        <v/>
      </c>
      <c r="AE52">
        <f>SUM(O52:Z52)</f>
        <v/>
      </c>
      <c r="AF52">
        <f>IFERROR(ROUND(1/SUMPRODUCT(MAX((C51:N51&gt;0)*($C$3:$N$3&lt;=B52)*($C$2:$N$2&gt;AA52)/$C$2:$N$2)),0),0)</f>
        <v/>
      </c>
      <c r="AG52">
        <f>MAX(0,AC52-MAX(0,SUMPRODUCT(($C$2:$N$2=AA52)*(AH52:AS52-$C$7:$N$7))))</f>
        <v/>
      </c>
      <c r="AH52">
        <f>IF(C51&lt;=0,0,ROUND(C51*(1+IF(AND(C$6&gt;0,$B52&lt;C$6),C$4,C$5)/12),2))</f>
        <v/>
      </c>
      <c r="AI52">
        <f>IF(D51&lt;=0,0,ROUND(D51*(1+IF(AND(D$6&gt;0,$B52&lt;D$6),D$4,D$5)/12),2))</f>
        <v/>
      </c>
      <c r="AJ52">
        <f>IF(E51&lt;=0,0,ROUND(E51*(1+IF(AND(E$6&gt;0,$B52&lt;E$6),E$4,E$5)/12),2))</f>
        <v/>
      </c>
      <c r="AK52">
        <f>IF(F51&lt;=0,0,ROUND(F51*(1+IF(AND(F$6&gt;0,$B52&lt;F$6),F$4,F$5)/12),2))</f>
        <v/>
      </c>
      <c r="AL52">
        <f>IF(G51&lt;=0,0,ROUND(G51*(1+IF(AND(G$6&gt;0,$B52&lt;G$6),G$4,G$5)/12),2))</f>
        <v/>
      </c>
      <c r="AM52">
        <f>IF(H51&lt;=0,0,ROUND(H51*(1+IF(AND(H$6&gt;0,$B52&lt;H$6),H$4,H$5)/12),2))</f>
        <v/>
      </c>
      <c r="AN52">
        <f>IF(I51&lt;=0,0,ROUND(I51*(1+IF(AND(I$6&gt;0,$B52&lt;I$6),I$4,I$5)/12),2))</f>
        <v/>
      </c>
      <c r="AO52">
        <f>IF(J51&lt;=0,0,ROUND(J51*(1+IF(AND(J$6&gt;0,$B52&lt;J$6),J$4,J$5)/12),2))</f>
        <v/>
      </c>
      <c r="AP52">
        <f>IF(K51&lt;=0,0,ROUND(K51*(1+IF(AND(K$6&gt;0,$B52&lt;K$6),K$4,K$5)/12),2))</f>
        <v/>
      </c>
      <c r="AQ52">
        <f>IF(L51&lt;=0,0,ROUND(L51*(1+IF(AND(L$6&gt;0,$B52&lt;L$6),L$4,L$5)/12),2))</f>
        <v/>
      </c>
      <c r="AR52">
        <f>IF(M51&lt;=0,0,ROUND(M51*(1+IF(AND(M$6&gt;0,$B52&lt;M$6),M$4,M$5)/12),2))</f>
        <v/>
      </c>
      <c r="AS52">
        <f>IF(N51&lt;=0,0,ROUND(N51*(1+IF(AND(N$6&gt;0,$B52&lt;N$6),N$4,N$5)/12),2))</f>
        <v/>
      </c>
    </row>
    <row r="53">
      <c r="A53" t="n">
        <v>42</v>
      </c>
      <c r="B53">
        <f>EDATE(Plan!$C$6,41)</f>
        <v/>
      </c>
      <c r="C53">
        <f>IF(C52&lt;=0,0,MAX(0,AH53-O53))</f>
        <v/>
      </c>
      <c r="D53">
        <f>IF(D52&lt;=0,0,MAX(0,AI53-P53))</f>
        <v/>
      </c>
      <c r="E53">
        <f>IF(E52&lt;=0,0,MAX(0,AJ53-Q53))</f>
        <v/>
      </c>
      <c r="F53">
        <f>IF(F52&lt;=0,0,MAX(0,AK53-R53))</f>
        <v/>
      </c>
      <c r="G53">
        <f>IF(G52&lt;=0,0,MAX(0,AL53-S53))</f>
        <v/>
      </c>
      <c r="H53">
        <f>IF(H52&lt;=0,0,MAX(0,AM53-T53))</f>
        <v/>
      </c>
      <c r="I53">
        <f>IF(I52&lt;=0,0,MAX(0,AN53-U53))</f>
        <v/>
      </c>
      <c r="J53">
        <f>IF(J52&lt;=0,0,MAX(0,AO53-V53))</f>
        <v/>
      </c>
      <c r="K53">
        <f>IF(K52&lt;=0,0,MAX(0,AP53-W53))</f>
        <v/>
      </c>
      <c r="L53">
        <f>IF(L52&lt;=0,0,MAX(0,AQ53-X53))</f>
        <v/>
      </c>
      <c r="M53">
        <f>IF(M52&lt;=0,0,MAX(0,AR53-Y53))</f>
        <v/>
      </c>
      <c r="N53">
        <f>IF(N52&lt;=0,0,MAX(0,AS53-Z53))</f>
        <v/>
      </c>
      <c r="O53">
        <f>IF(C52&lt;=0,0,MIN(AH53,C$7+IF(C$2=$AA53,$AC53,IF(C$2=$AF53,$AG53,0))))</f>
        <v/>
      </c>
      <c r="P53">
        <f>IF(D52&lt;=0,0,MIN(AI53,D$7+IF(D$2=$AA53,$AC53,IF(D$2=$AF53,$AG53,0))))</f>
        <v/>
      </c>
      <c r="Q53">
        <f>IF(E52&lt;=0,0,MIN(AJ53,E$7+IF(E$2=$AA53,$AC53,IF(E$2=$AF53,$AG53,0))))</f>
        <v/>
      </c>
      <c r="R53">
        <f>IF(F52&lt;=0,0,MIN(AK53,F$7+IF(F$2=$AA53,$AC53,IF(F$2=$AF53,$AG53,0))))</f>
        <v/>
      </c>
      <c r="S53">
        <f>IF(G52&lt;=0,0,MIN(AL53,G$7+IF(G$2=$AA53,$AC53,IF(G$2=$AF53,$AG53,0))))</f>
        <v/>
      </c>
      <c r="T53">
        <f>IF(H52&lt;=0,0,MIN(AM53,H$7+IF(H$2=$AA53,$AC53,IF(H$2=$AF53,$AG53,0))))</f>
        <v/>
      </c>
      <c r="U53">
        <f>IF(I52&lt;=0,0,MIN(AN53,I$7+IF(I$2=$AA53,$AC53,IF(I$2=$AF53,$AG53,0))))</f>
        <v/>
      </c>
      <c r="V53">
        <f>IF(J52&lt;=0,0,MIN(AO53,J$7+IF(J$2=$AA53,$AC53,IF(J$2=$AF53,$AG53,0))))</f>
        <v/>
      </c>
      <c r="W53">
        <f>IF(K52&lt;=0,0,MIN(AP53,K$7+IF(K$2=$AA53,$AC53,IF(K$2=$AF53,$AG53,0))))</f>
        <v/>
      </c>
      <c r="X53">
        <f>IF(L52&lt;=0,0,MIN(AQ53,L$7+IF(L$2=$AA53,$AC53,IF(L$2=$AF53,$AG53,0))))</f>
        <v/>
      </c>
      <c r="Y53">
        <f>IF(M52&lt;=0,0,MIN(AR53,M$7+IF(M$2=$AA53,$AC53,IF(M$2=$AF53,$AG53,0))))</f>
        <v/>
      </c>
      <c r="Z53">
        <f>IF(N52&lt;=0,0,MIN(AS53,N$7+IF(N$2=$AA53,$AC53,IF(N$2=$AF53,$AG53,0))))</f>
        <v/>
      </c>
      <c r="AA53">
        <f>IFERROR(ROUND(1/SUMPRODUCT(MAX((C52:N52&gt;0)*($C$3:$N$3&lt;=B53)/$C$2:$N$2)),0),0)</f>
        <v/>
      </c>
      <c r="AB53">
        <f>SUMPRODUCT((C52:N52&gt;0)*$C$7:$N$7)</f>
        <v/>
      </c>
      <c r="AC53">
        <f>MAX(0,Plan!$C$5-AB53)+IF(A53=Plan!$C$8,N(Plan!$C$7),0)</f>
        <v/>
      </c>
      <c r="AD53">
        <f>SUM(C53:N53)</f>
        <v/>
      </c>
      <c r="AE53">
        <f>SUM(O53:Z53)</f>
        <v/>
      </c>
      <c r="AF53">
        <f>IFERROR(ROUND(1/SUMPRODUCT(MAX((C52:N52&gt;0)*($C$3:$N$3&lt;=B53)*($C$2:$N$2&gt;AA53)/$C$2:$N$2)),0),0)</f>
        <v/>
      </c>
      <c r="AG53">
        <f>MAX(0,AC53-MAX(0,SUMPRODUCT(($C$2:$N$2=AA53)*(AH53:AS53-$C$7:$N$7))))</f>
        <v/>
      </c>
      <c r="AH53">
        <f>IF(C52&lt;=0,0,ROUND(C52*(1+IF(AND(C$6&gt;0,$B53&lt;C$6),C$4,C$5)/12),2))</f>
        <v/>
      </c>
      <c r="AI53">
        <f>IF(D52&lt;=0,0,ROUND(D52*(1+IF(AND(D$6&gt;0,$B53&lt;D$6),D$4,D$5)/12),2))</f>
        <v/>
      </c>
      <c r="AJ53">
        <f>IF(E52&lt;=0,0,ROUND(E52*(1+IF(AND(E$6&gt;0,$B53&lt;E$6),E$4,E$5)/12),2))</f>
        <v/>
      </c>
      <c r="AK53">
        <f>IF(F52&lt;=0,0,ROUND(F52*(1+IF(AND(F$6&gt;0,$B53&lt;F$6),F$4,F$5)/12),2))</f>
        <v/>
      </c>
      <c r="AL53">
        <f>IF(G52&lt;=0,0,ROUND(G52*(1+IF(AND(G$6&gt;0,$B53&lt;G$6),G$4,G$5)/12),2))</f>
        <v/>
      </c>
      <c r="AM53">
        <f>IF(H52&lt;=0,0,ROUND(H52*(1+IF(AND(H$6&gt;0,$B53&lt;H$6),H$4,H$5)/12),2))</f>
        <v/>
      </c>
      <c r="AN53">
        <f>IF(I52&lt;=0,0,ROUND(I52*(1+IF(AND(I$6&gt;0,$B53&lt;I$6),I$4,I$5)/12),2))</f>
        <v/>
      </c>
      <c r="AO53">
        <f>IF(J52&lt;=0,0,ROUND(J52*(1+IF(AND(J$6&gt;0,$B53&lt;J$6),J$4,J$5)/12),2))</f>
        <v/>
      </c>
      <c r="AP53">
        <f>IF(K52&lt;=0,0,ROUND(K52*(1+IF(AND(K$6&gt;0,$B53&lt;K$6),K$4,K$5)/12),2))</f>
        <v/>
      </c>
      <c r="AQ53">
        <f>IF(L52&lt;=0,0,ROUND(L52*(1+IF(AND(L$6&gt;0,$B53&lt;L$6),L$4,L$5)/12),2))</f>
        <v/>
      </c>
      <c r="AR53">
        <f>IF(M52&lt;=0,0,ROUND(M52*(1+IF(AND(M$6&gt;0,$B53&lt;M$6),M$4,M$5)/12),2))</f>
        <v/>
      </c>
      <c r="AS53">
        <f>IF(N52&lt;=0,0,ROUND(N52*(1+IF(AND(N$6&gt;0,$B53&lt;N$6),N$4,N$5)/12),2))</f>
        <v/>
      </c>
    </row>
    <row r="54">
      <c r="A54" t="n">
        <v>43</v>
      </c>
      <c r="B54">
        <f>EDATE(Plan!$C$6,42)</f>
        <v/>
      </c>
      <c r="C54">
        <f>IF(C53&lt;=0,0,MAX(0,AH54-O54))</f>
        <v/>
      </c>
      <c r="D54">
        <f>IF(D53&lt;=0,0,MAX(0,AI54-P54))</f>
        <v/>
      </c>
      <c r="E54">
        <f>IF(E53&lt;=0,0,MAX(0,AJ54-Q54))</f>
        <v/>
      </c>
      <c r="F54">
        <f>IF(F53&lt;=0,0,MAX(0,AK54-R54))</f>
        <v/>
      </c>
      <c r="G54">
        <f>IF(G53&lt;=0,0,MAX(0,AL54-S54))</f>
        <v/>
      </c>
      <c r="H54">
        <f>IF(H53&lt;=0,0,MAX(0,AM54-T54))</f>
        <v/>
      </c>
      <c r="I54">
        <f>IF(I53&lt;=0,0,MAX(0,AN54-U54))</f>
        <v/>
      </c>
      <c r="J54">
        <f>IF(J53&lt;=0,0,MAX(0,AO54-V54))</f>
        <v/>
      </c>
      <c r="K54">
        <f>IF(K53&lt;=0,0,MAX(0,AP54-W54))</f>
        <v/>
      </c>
      <c r="L54">
        <f>IF(L53&lt;=0,0,MAX(0,AQ54-X54))</f>
        <v/>
      </c>
      <c r="M54">
        <f>IF(M53&lt;=0,0,MAX(0,AR54-Y54))</f>
        <v/>
      </c>
      <c r="N54">
        <f>IF(N53&lt;=0,0,MAX(0,AS54-Z54))</f>
        <v/>
      </c>
      <c r="O54">
        <f>IF(C53&lt;=0,0,MIN(AH54,C$7+IF(C$2=$AA54,$AC54,IF(C$2=$AF54,$AG54,0))))</f>
        <v/>
      </c>
      <c r="P54">
        <f>IF(D53&lt;=0,0,MIN(AI54,D$7+IF(D$2=$AA54,$AC54,IF(D$2=$AF54,$AG54,0))))</f>
        <v/>
      </c>
      <c r="Q54">
        <f>IF(E53&lt;=0,0,MIN(AJ54,E$7+IF(E$2=$AA54,$AC54,IF(E$2=$AF54,$AG54,0))))</f>
        <v/>
      </c>
      <c r="R54">
        <f>IF(F53&lt;=0,0,MIN(AK54,F$7+IF(F$2=$AA54,$AC54,IF(F$2=$AF54,$AG54,0))))</f>
        <v/>
      </c>
      <c r="S54">
        <f>IF(G53&lt;=0,0,MIN(AL54,G$7+IF(G$2=$AA54,$AC54,IF(G$2=$AF54,$AG54,0))))</f>
        <v/>
      </c>
      <c r="T54">
        <f>IF(H53&lt;=0,0,MIN(AM54,H$7+IF(H$2=$AA54,$AC54,IF(H$2=$AF54,$AG54,0))))</f>
        <v/>
      </c>
      <c r="U54">
        <f>IF(I53&lt;=0,0,MIN(AN54,I$7+IF(I$2=$AA54,$AC54,IF(I$2=$AF54,$AG54,0))))</f>
        <v/>
      </c>
      <c r="V54">
        <f>IF(J53&lt;=0,0,MIN(AO54,J$7+IF(J$2=$AA54,$AC54,IF(J$2=$AF54,$AG54,0))))</f>
        <v/>
      </c>
      <c r="W54">
        <f>IF(K53&lt;=0,0,MIN(AP54,K$7+IF(K$2=$AA54,$AC54,IF(K$2=$AF54,$AG54,0))))</f>
        <v/>
      </c>
      <c r="X54">
        <f>IF(L53&lt;=0,0,MIN(AQ54,L$7+IF(L$2=$AA54,$AC54,IF(L$2=$AF54,$AG54,0))))</f>
        <v/>
      </c>
      <c r="Y54">
        <f>IF(M53&lt;=0,0,MIN(AR54,M$7+IF(M$2=$AA54,$AC54,IF(M$2=$AF54,$AG54,0))))</f>
        <v/>
      </c>
      <c r="Z54">
        <f>IF(N53&lt;=0,0,MIN(AS54,N$7+IF(N$2=$AA54,$AC54,IF(N$2=$AF54,$AG54,0))))</f>
        <v/>
      </c>
      <c r="AA54">
        <f>IFERROR(ROUND(1/SUMPRODUCT(MAX((C53:N53&gt;0)*($C$3:$N$3&lt;=B54)/$C$2:$N$2)),0),0)</f>
        <v/>
      </c>
      <c r="AB54">
        <f>SUMPRODUCT((C53:N53&gt;0)*$C$7:$N$7)</f>
        <v/>
      </c>
      <c r="AC54">
        <f>MAX(0,Plan!$C$5-AB54)+IF(A54=Plan!$C$8,N(Plan!$C$7),0)</f>
        <v/>
      </c>
      <c r="AD54">
        <f>SUM(C54:N54)</f>
        <v/>
      </c>
      <c r="AE54">
        <f>SUM(O54:Z54)</f>
        <v/>
      </c>
      <c r="AF54">
        <f>IFERROR(ROUND(1/SUMPRODUCT(MAX((C53:N53&gt;0)*($C$3:$N$3&lt;=B54)*($C$2:$N$2&gt;AA54)/$C$2:$N$2)),0),0)</f>
        <v/>
      </c>
      <c r="AG54">
        <f>MAX(0,AC54-MAX(0,SUMPRODUCT(($C$2:$N$2=AA54)*(AH54:AS54-$C$7:$N$7))))</f>
        <v/>
      </c>
      <c r="AH54">
        <f>IF(C53&lt;=0,0,ROUND(C53*(1+IF(AND(C$6&gt;0,$B54&lt;C$6),C$4,C$5)/12),2))</f>
        <v/>
      </c>
      <c r="AI54">
        <f>IF(D53&lt;=0,0,ROUND(D53*(1+IF(AND(D$6&gt;0,$B54&lt;D$6),D$4,D$5)/12),2))</f>
        <v/>
      </c>
      <c r="AJ54">
        <f>IF(E53&lt;=0,0,ROUND(E53*(1+IF(AND(E$6&gt;0,$B54&lt;E$6),E$4,E$5)/12),2))</f>
        <v/>
      </c>
      <c r="AK54">
        <f>IF(F53&lt;=0,0,ROUND(F53*(1+IF(AND(F$6&gt;0,$B54&lt;F$6),F$4,F$5)/12),2))</f>
        <v/>
      </c>
      <c r="AL54">
        <f>IF(G53&lt;=0,0,ROUND(G53*(1+IF(AND(G$6&gt;0,$B54&lt;G$6),G$4,G$5)/12),2))</f>
        <v/>
      </c>
      <c r="AM54">
        <f>IF(H53&lt;=0,0,ROUND(H53*(1+IF(AND(H$6&gt;0,$B54&lt;H$6),H$4,H$5)/12),2))</f>
        <v/>
      </c>
      <c r="AN54">
        <f>IF(I53&lt;=0,0,ROUND(I53*(1+IF(AND(I$6&gt;0,$B54&lt;I$6),I$4,I$5)/12),2))</f>
        <v/>
      </c>
      <c r="AO54">
        <f>IF(J53&lt;=0,0,ROUND(J53*(1+IF(AND(J$6&gt;0,$B54&lt;J$6),J$4,J$5)/12),2))</f>
        <v/>
      </c>
      <c r="AP54">
        <f>IF(K53&lt;=0,0,ROUND(K53*(1+IF(AND(K$6&gt;0,$B54&lt;K$6),K$4,K$5)/12),2))</f>
        <v/>
      </c>
      <c r="AQ54">
        <f>IF(L53&lt;=0,0,ROUND(L53*(1+IF(AND(L$6&gt;0,$B54&lt;L$6),L$4,L$5)/12),2))</f>
        <v/>
      </c>
      <c r="AR54">
        <f>IF(M53&lt;=0,0,ROUND(M53*(1+IF(AND(M$6&gt;0,$B54&lt;M$6),M$4,M$5)/12),2))</f>
        <v/>
      </c>
      <c r="AS54">
        <f>IF(N53&lt;=0,0,ROUND(N53*(1+IF(AND(N$6&gt;0,$B54&lt;N$6),N$4,N$5)/12),2))</f>
        <v/>
      </c>
    </row>
    <row r="55">
      <c r="A55" t="n">
        <v>44</v>
      </c>
      <c r="B55">
        <f>EDATE(Plan!$C$6,43)</f>
        <v/>
      </c>
      <c r="C55">
        <f>IF(C54&lt;=0,0,MAX(0,AH55-O55))</f>
        <v/>
      </c>
      <c r="D55">
        <f>IF(D54&lt;=0,0,MAX(0,AI55-P55))</f>
        <v/>
      </c>
      <c r="E55">
        <f>IF(E54&lt;=0,0,MAX(0,AJ55-Q55))</f>
        <v/>
      </c>
      <c r="F55">
        <f>IF(F54&lt;=0,0,MAX(0,AK55-R55))</f>
        <v/>
      </c>
      <c r="G55">
        <f>IF(G54&lt;=0,0,MAX(0,AL55-S55))</f>
        <v/>
      </c>
      <c r="H55">
        <f>IF(H54&lt;=0,0,MAX(0,AM55-T55))</f>
        <v/>
      </c>
      <c r="I55">
        <f>IF(I54&lt;=0,0,MAX(0,AN55-U55))</f>
        <v/>
      </c>
      <c r="J55">
        <f>IF(J54&lt;=0,0,MAX(0,AO55-V55))</f>
        <v/>
      </c>
      <c r="K55">
        <f>IF(K54&lt;=0,0,MAX(0,AP55-W55))</f>
        <v/>
      </c>
      <c r="L55">
        <f>IF(L54&lt;=0,0,MAX(0,AQ55-X55))</f>
        <v/>
      </c>
      <c r="M55">
        <f>IF(M54&lt;=0,0,MAX(0,AR55-Y55))</f>
        <v/>
      </c>
      <c r="N55">
        <f>IF(N54&lt;=0,0,MAX(0,AS55-Z55))</f>
        <v/>
      </c>
      <c r="O55">
        <f>IF(C54&lt;=0,0,MIN(AH55,C$7+IF(C$2=$AA55,$AC55,IF(C$2=$AF55,$AG55,0))))</f>
        <v/>
      </c>
      <c r="P55">
        <f>IF(D54&lt;=0,0,MIN(AI55,D$7+IF(D$2=$AA55,$AC55,IF(D$2=$AF55,$AG55,0))))</f>
        <v/>
      </c>
      <c r="Q55">
        <f>IF(E54&lt;=0,0,MIN(AJ55,E$7+IF(E$2=$AA55,$AC55,IF(E$2=$AF55,$AG55,0))))</f>
        <v/>
      </c>
      <c r="R55">
        <f>IF(F54&lt;=0,0,MIN(AK55,F$7+IF(F$2=$AA55,$AC55,IF(F$2=$AF55,$AG55,0))))</f>
        <v/>
      </c>
      <c r="S55">
        <f>IF(G54&lt;=0,0,MIN(AL55,G$7+IF(G$2=$AA55,$AC55,IF(G$2=$AF55,$AG55,0))))</f>
        <v/>
      </c>
      <c r="T55">
        <f>IF(H54&lt;=0,0,MIN(AM55,H$7+IF(H$2=$AA55,$AC55,IF(H$2=$AF55,$AG55,0))))</f>
        <v/>
      </c>
      <c r="U55">
        <f>IF(I54&lt;=0,0,MIN(AN55,I$7+IF(I$2=$AA55,$AC55,IF(I$2=$AF55,$AG55,0))))</f>
        <v/>
      </c>
      <c r="V55">
        <f>IF(J54&lt;=0,0,MIN(AO55,J$7+IF(J$2=$AA55,$AC55,IF(J$2=$AF55,$AG55,0))))</f>
        <v/>
      </c>
      <c r="W55">
        <f>IF(K54&lt;=0,0,MIN(AP55,K$7+IF(K$2=$AA55,$AC55,IF(K$2=$AF55,$AG55,0))))</f>
        <v/>
      </c>
      <c r="X55">
        <f>IF(L54&lt;=0,0,MIN(AQ55,L$7+IF(L$2=$AA55,$AC55,IF(L$2=$AF55,$AG55,0))))</f>
        <v/>
      </c>
      <c r="Y55">
        <f>IF(M54&lt;=0,0,MIN(AR55,M$7+IF(M$2=$AA55,$AC55,IF(M$2=$AF55,$AG55,0))))</f>
        <v/>
      </c>
      <c r="Z55">
        <f>IF(N54&lt;=0,0,MIN(AS55,N$7+IF(N$2=$AA55,$AC55,IF(N$2=$AF55,$AG55,0))))</f>
        <v/>
      </c>
      <c r="AA55">
        <f>IFERROR(ROUND(1/SUMPRODUCT(MAX((C54:N54&gt;0)*($C$3:$N$3&lt;=B55)/$C$2:$N$2)),0),0)</f>
        <v/>
      </c>
      <c r="AB55">
        <f>SUMPRODUCT((C54:N54&gt;0)*$C$7:$N$7)</f>
        <v/>
      </c>
      <c r="AC55">
        <f>MAX(0,Plan!$C$5-AB55)+IF(A55=Plan!$C$8,N(Plan!$C$7),0)</f>
        <v/>
      </c>
      <c r="AD55">
        <f>SUM(C55:N55)</f>
        <v/>
      </c>
      <c r="AE55">
        <f>SUM(O55:Z55)</f>
        <v/>
      </c>
      <c r="AF55">
        <f>IFERROR(ROUND(1/SUMPRODUCT(MAX((C54:N54&gt;0)*($C$3:$N$3&lt;=B55)*($C$2:$N$2&gt;AA55)/$C$2:$N$2)),0),0)</f>
        <v/>
      </c>
      <c r="AG55">
        <f>MAX(0,AC55-MAX(0,SUMPRODUCT(($C$2:$N$2=AA55)*(AH55:AS55-$C$7:$N$7))))</f>
        <v/>
      </c>
      <c r="AH55">
        <f>IF(C54&lt;=0,0,ROUND(C54*(1+IF(AND(C$6&gt;0,$B55&lt;C$6),C$4,C$5)/12),2))</f>
        <v/>
      </c>
      <c r="AI55">
        <f>IF(D54&lt;=0,0,ROUND(D54*(1+IF(AND(D$6&gt;0,$B55&lt;D$6),D$4,D$5)/12),2))</f>
        <v/>
      </c>
      <c r="AJ55">
        <f>IF(E54&lt;=0,0,ROUND(E54*(1+IF(AND(E$6&gt;0,$B55&lt;E$6),E$4,E$5)/12),2))</f>
        <v/>
      </c>
      <c r="AK55">
        <f>IF(F54&lt;=0,0,ROUND(F54*(1+IF(AND(F$6&gt;0,$B55&lt;F$6),F$4,F$5)/12),2))</f>
        <v/>
      </c>
      <c r="AL55">
        <f>IF(G54&lt;=0,0,ROUND(G54*(1+IF(AND(G$6&gt;0,$B55&lt;G$6),G$4,G$5)/12),2))</f>
        <v/>
      </c>
      <c r="AM55">
        <f>IF(H54&lt;=0,0,ROUND(H54*(1+IF(AND(H$6&gt;0,$B55&lt;H$6),H$4,H$5)/12),2))</f>
        <v/>
      </c>
      <c r="AN55">
        <f>IF(I54&lt;=0,0,ROUND(I54*(1+IF(AND(I$6&gt;0,$B55&lt;I$6),I$4,I$5)/12),2))</f>
        <v/>
      </c>
      <c r="AO55">
        <f>IF(J54&lt;=0,0,ROUND(J54*(1+IF(AND(J$6&gt;0,$B55&lt;J$6),J$4,J$5)/12),2))</f>
        <v/>
      </c>
      <c r="AP55">
        <f>IF(K54&lt;=0,0,ROUND(K54*(1+IF(AND(K$6&gt;0,$B55&lt;K$6),K$4,K$5)/12),2))</f>
        <v/>
      </c>
      <c r="AQ55">
        <f>IF(L54&lt;=0,0,ROUND(L54*(1+IF(AND(L$6&gt;0,$B55&lt;L$6),L$4,L$5)/12),2))</f>
        <v/>
      </c>
      <c r="AR55">
        <f>IF(M54&lt;=0,0,ROUND(M54*(1+IF(AND(M$6&gt;0,$B55&lt;M$6),M$4,M$5)/12),2))</f>
        <v/>
      </c>
      <c r="AS55">
        <f>IF(N54&lt;=0,0,ROUND(N54*(1+IF(AND(N$6&gt;0,$B55&lt;N$6),N$4,N$5)/12),2))</f>
        <v/>
      </c>
    </row>
    <row r="56">
      <c r="A56" t="n">
        <v>45</v>
      </c>
      <c r="B56">
        <f>EDATE(Plan!$C$6,44)</f>
        <v/>
      </c>
      <c r="C56">
        <f>IF(C55&lt;=0,0,MAX(0,AH56-O56))</f>
        <v/>
      </c>
      <c r="D56">
        <f>IF(D55&lt;=0,0,MAX(0,AI56-P56))</f>
        <v/>
      </c>
      <c r="E56">
        <f>IF(E55&lt;=0,0,MAX(0,AJ56-Q56))</f>
        <v/>
      </c>
      <c r="F56">
        <f>IF(F55&lt;=0,0,MAX(0,AK56-R56))</f>
        <v/>
      </c>
      <c r="G56">
        <f>IF(G55&lt;=0,0,MAX(0,AL56-S56))</f>
        <v/>
      </c>
      <c r="H56">
        <f>IF(H55&lt;=0,0,MAX(0,AM56-T56))</f>
        <v/>
      </c>
      <c r="I56">
        <f>IF(I55&lt;=0,0,MAX(0,AN56-U56))</f>
        <v/>
      </c>
      <c r="J56">
        <f>IF(J55&lt;=0,0,MAX(0,AO56-V56))</f>
        <v/>
      </c>
      <c r="K56">
        <f>IF(K55&lt;=0,0,MAX(0,AP56-W56))</f>
        <v/>
      </c>
      <c r="L56">
        <f>IF(L55&lt;=0,0,MAX(0,AQ56-X56))</f>
        <v/>
      </c>
      <c r="M56">
        <f>IF(M55&lt;=0,0,MAX(0,AR56-Y56))</f>
        <v/>
      </c>
      <c r="N56">
        <f>IF(N55&lt;=0,0,MAX(0,AS56-Z56))</f>
        <v/>
      </c>
      <c r="O56">
        <f>IF(C55&lt;=0,0,MIN(AH56,C$7+IF(C$2=$AA56,$AC56,IF(C$2=$AF56,$AG56,0))))</f>
        <v/>
      </c>
      <c r="P56">
        <f>IF(D55&lt;=0,0,MIN(AI56,D$7+IF(D$2=$AA56,$AC56,IF(D$2=$AF56,$AG56,0))))</f>
        <v/>
      </c>
      <c r="Q56">
        <f>IF(E55&lt;=0,0,MIN(AJ56,E$7+IF(E$2=$AA56,$AC56,IF(E$2=$AF56,$AG56,0))))</f>
        <v/>
      </c>
      <c r="R56">
        <f>IF(F55&lt;=0,0,MIN(AK56,F$7+IF(F$2=$AA56,$AC56,IF(F$2=$AF56,$AG56,0))))</f>
        <v/>
      </c>
      <c r="S56">
        <f>IF(G55&lt;=0,0,MIN(AL56,G$7+IF(G$2=$AA56,$AC56,IF(G$2=$AF56,$AG56,0))))</f>
        <v/>
      </c>
      <c r="T56">
        <f>IF(H55&lt;=0,0,MIN(AM56,H$7+IF(H$2=$AA56,$AC56,IF(H$2=$AF56,$AG56,0))))</f>
        <v/>
      </c>
      <c r="U56">
        <f>IF(I55&lt;=0,0,MIN(AN56,I$7+IF(I$2=$AA56,$AC56,IF(I$2=$AF56,$AG56,0))))</f>
        <v/>
      </c>
      <c r="V56">
        <f>IF(J55&lt;=0,0,MIN(AO56,J$7+IF(J$2=$AA56,$AC56,IF(J$2=$AF56,$AG56,0))))</f>
        <v/>
      </c>
      <c r="W56">
        <f>IF(K55&lt;=0,0,MIN(AP56,K$7+IF(K$2=$AA56,$AC56,IF(K$2=$AF56,$AG56,0))))</f>
        <v/>
      </c>
      <c r="X56">
        <f>IF(L55&lt;=0,0,MIN(AQ56,L$7+IF(L$2=$AA56,$AC56,IF(L$2=$AF56,$AG56,0))))</f>
        <v/>
      </c>
      <c r="Y56">
        <f>IF(M55&lt;=0,0,MIN(AR56,M$7+IF(M$2=$AA56,$AC56,IF(M$2=$AF56,$AG56,0))))</f>
        <v/>
      </c>
      <c r="Z56">
        <f>IF(N55&lt;=0,0,MIN(AS56,N$7+IF(N$2=$AA56,$AC56,IF(N$2=$AF56,$AG56,0))))</f>
        <v/>
      </c>
      <c r="AA56">
        <f>IFERROR(ROUND(1/SUMPRODUCT(MAX((C55:N55&gt;0)*($C$3:$N$3&lt;=B56)/$C$2:$N$2)),0),0)</f>
        <v/>
      </c>
      <c r="AB56">
        <f>SUMPRODUCT((C55:N55&gt;0)*$C$7:$N$7)</f>
        <v/>
      </c>
      <c r="AC56">
        <f>MAX(0,Plan!$C$5-AB56)+IF(A56=Plan!$C$8,N(Plan!$C$7),0)</f>
        <v/>
      </c>
      <c r="AD56">
        <f>SUM(C56:N56)</f>
        <v/>
      </c>
      <c r="AE56">
        <f>SUM(O56:Z56)</f>
        <v/>
      </c>
      <c r="AF56">
        <f>IFERROR(ROUND(1/SUMPRODUCT(MAX((C55:N55&gt;0)*($C$3:$N$3&lt;=B56)*($C$2:$N$2&gt;AA56)/$C$2:$N$2)),0),0)</f>
        <v/>
      </c>
      <c r="AG56">
        <f>MAX(0,AC56-MAX(0,SUMPRODUCT(($C$2:$N$2=AA56)*(AH56:AS56-$C$7:$N$7))))</f>
        <v/>
      </c>
      <c r="AH56">
        <f>IF(C55&lt;=0,0,ROUND(C55*(1+IF(AND(C$6&gt;0,$B56&lt;C$6),C$4,C$5)/12),2))</f>
        <v/>
      </c>
      <c r="AI56">
        <f>IF(D55&lt;=0,0,ROUND(D55*(1+IF(AND(D$6&gt;0,$B56&lt;D$6),D$4,D$5)/12),2))</f>
        <v/>
      </c>
      <c r="AJ56">
        <f>IF(E55&lt;=0,0,ROUND(E55*(1+IF(AND(E$6&gt;0,$B56&lt;E$6),E$4,E$5)/12),2))</f>
        <v/>
      </c>
      <c r="AK56">
        <f>IF(F55&lt;=0,0,ROUND(F55*(1+IF(AND(F$6&gt;0,$B56&lt;F$6),F$4,F$5)/12),2))</f>
        <v/>
      </c>
      <c r="AL56">
        <f>IF(G55&lt;=0,0,ROUND(G55*(1+IF(AND(G$6&gt;0,$B56&lt;G$6),G$4,G$5)/12),2))</f>
        <v/>
      </c>
      <c r="AM56">
        <f>IF(H55&lt;=0,0,ROUND(H55*(1+IF(AND(H$6&gt;0,$B56&lt;H$6),H$4,H$5)/12),2))</f>
        <v/>
      </c>
      <c r="AN56">
        <f>IF(I55&lt;=0,0,ROUND(I55*(1+IF(AND(I$6&gt;0,$B56&lt;I$6),I$4,I$5)/12),2))</f>
        <v/>
      </c>
      <c r="AO56">
        <f>IF(J55&lt;=0,0,ROUND(J55*(1+IF(AND(J$6&gt;0,$B56&lt;J$6),J$4,J$5)/12),2))</f>
        <v/>
      </c>
      <c r="AP56">
        <f>IF(K55&lt;=0,0,ROUND(K55*(1+IF(AND(K$6&gt;0,$B56&lt;K$6),K$4,K$5)/12),2))</f>
        <v/>
      </c>
      <c r="AQ56">
        <f>IF(L55&lt;=0,0,ROUND(L55*(1+IF(AND(L$6&gt;0,$B56&lt;L$6),L$4,L$5)/12),2))</f>
        <v/>
      </c>
      <c r="AR56">
        <f>IF(M55&lt;=0,0,ROUND(M55*(1+IF(AND(M$6&gt;0,$B56&lt;M$6),M$4,M$5)/12),2))</f>
        <v/>
      </c>
      <c r="AS56">
        <f>IF(N55&lt;=0,0,ROUND(N55*(1+IF(AND(N$6&gt;0,$B56&lt;N$6),N$4,N$5)/12),2))</f>
        <v/>
      </c>
    </row>
    <row r="57">
      <c r="A57" t="n">
        <v>46</v>
      </c>
      <c r="B57">
        <f>EDATE(Plan!$C$6,45)</f>
        <v/>
      </c>
      <c r="C57">
        <f>IF(C56&lt;=0,0,MAX(0,AH57-O57))</f>
        <v/>
      </c>
      <c r="D57">
        <f>IF(D56&lt;=0,0,MAX(0,AI57-P57))</f>
        <v/>
      </c>
      <c r="E57">
        <f>IF(E56&lt;=0,0,MAX(0,AJ57-Q57))</f>
        <v/>
      </c>
      <c r="F57">
        <f>IF(F56&lt;=0,0,MAX(0,AK57-R57))</f>
        <v/>
      </c>
      <c r="G57">
        <f>IF(G56&lt;=0,0,MAX(0,AL57-S57))</f>
        <v/>
      </c>
      <c r="H57">
        <f>IF(H56&lt;=0,0,MAX(0,AM57-T57))</f>
        <v/>
      </c>
      <c r="I57">
        <f>IF(I56&lt;=0,0,MAX(0,AN57-U57))</f>
        <v/>
      </c>
      <c r="J57">
        <f>IF(J56&lt;=0,0,MAX(0,AO57-V57))</f>
        <v/>
      </c>
      <c r="K57">
        <f>IF(K56&lt;=0,0,MAX(0,AP57-W57))</f>
        <v/>
      </c>
      <c r="L57">
        <f>IF(L56&lt;=0,0,MAX(0,AQ57-X57))</f>
        <v/>
      </c>
      <c r="M57">
        <f>IF(M56&lt;=0,0,MAX(0,AR57-Y57))</f>
        <v/>
      </c>
      <c r="N57">
        <f>IF(N56&lt;=0,0,MAX(0,AS57-Z57))</f>
        <v/>
      </c>
      <c r="O57">
        <f>IF(C56&lt;=0,0,MIN(AH57,C$7+IF(C$2=$AA57,$AC57,IF(C$2=$AF57,$AG57,0))))</f>
        <v/>
      </c>
      <c r="P57">
        <f>IF(D56&lt;=0,0,MIN(AI57,D$7+IF(D$2=$AA57,$AC57,IF(D$2=$AF57,$AG57,0))))</f>
        <v/>
      </c>
      <c r="Q57">
        <f>IF(E56&lt;=0,0,MIN(AJ57,E$7+IF(E$2=$AA57,$AC57,IF(E$2=$AF57,$AG57,0))))</f>
        <v/>
      </c>
      <c r="R57">
        <f>IF(F56&lt;=0,0,MIN(AK57,F$7+IF(F$2=$AA57,$AC57,IF(F$2=$AF57,$AG57,0))))</f>
        <v/>
      </c>
      <c r="S57">
        <f>IF(G56&lt;=0,0,MIN(AL57,G$7+IF(G$2=$AA57,$AC57,IF(G$2=$AF57,$AG57,0))))</f>
        <v/>
      </c>
      <c r="T57">
        <f>IF(H56&lt;=0,0,MIN(AM57,H$7+IF(H$2=$AA57,$AC57,IF(H$2=$AF57,$AG57,0))))</f>
        <v/>
      </c>
      <c r="U57">
        <f>IF(I56&lt;=0,0,MIN(AN57,I$7+IF(I$2=$AA57,$AC57,IF(I$2=$AF57,$AG57,0))))</f>
        <v/>
      </c>
      <c r="V57">
        <f>IF(J56&lt;=0,0,MIN(AO57,J$7+IF(J$2=$AA57,$AC57,IF(J$2=$AF57,$AG57,0))))</f>
        <v/>
      </c>
      <c r="W57">
        <f>IF(K56&lt;=0,0,MIN(AP57,K$7+IF(K$2=$AA57,$AC57,IF(K$2=$AF57,$AG57,0))))</f>
        <v/>
      </c>
      <c r="X57">
        <f>IF(L56&lt;=0,0,MIN(AQ57,L$7+IF(L$2=$AA57,$AC57,IF(L$2=$AF57,$AG57,0))))</f>
        <v/>
      </c>
      <c r="Y57">
        <f>IF(M56&lt;=0,0,MIN(AR57,M$7+IF(M$2=$AA57,$AC57,IF(M$2=$AF57,$AG57,0))))</f>
        <v/>
      </c>
      <c r="Z57">
        <f>IF(N56&lt;=0,0,MIN(AS57,N$7+IF(N$2=$AA57,$AC57,IF(N$2=$AF57,$AG57,0))))</f>
        <v/>
      </c>
      <c r="AA57">
        <f>IFERROR(ROUND(1/SUMPRODUCT(MAX((C56:N56&gt;0)*($C$3:$N$3&lt;=B57)/$C$2:$N$2)),0),0)</f>
        <v/>
      </c>
      <c r="AB57">
        <f>SUMPRODUCT((C56:N56&gt;0)*$C$7:$N$7)</f>
        <v/>
      </c>
      <c r="AC57">
        <f>MAX(0,Plan!$C$5-AB57)+IF(A57=Plan!$C$8,N(Plan!$C$7),0)</f>
        <v/>
      </c>
      <c r="AD57">
        <f>SUM(C57:N57)</f>
        <v/>
      </c>
      <c r="AE57">
        <f>SUM(O57:Z57)</f>
        <v/>
      </c>
      <c r="AF57">
        <f>IFERROR(ROUND(1/SUMPRODUCT(MAX((C56:N56&gt;0)*($C$3:$N$3&lt;=B57)*($C$2:$N$2&gt;AA57)/$C$2:$N$2)),0),0)</f>
        <v/>
      </c>
      <c r="AG57">
        <f>MAX(0,AC57-MAX(0,SUMPRODUCT(($C$2:$N$2=AA57)*(AH57:AS57-$C$7:$N$7))))</f>
        <v/>
      </c>
      <c r="AH57">
        <f>IF(C56&lt;=0,0,ROUND(C56*(1+IF(AND(C$6&gt;0,$B57&lt;C$6),C$4,C$5)/12),2))</f>
        <v/>
      </c>
      <c r="AI57">
        <f>IF(D56&lt;=0,0,ROUND(D56*(1+IF(AND(D$6&gt;0,$B57&lt;D$6),D$4,D$5)/12),2))</f>
        <v/>
      </c>
      <c r="AJ57">
        <f>IF(E56&lt;=0,0,ROUND(E56*(1+IF(AND(E$6&gt;0,$B57&lt;E$6),E$4,E$5)/12),2))</f>
        <v/>
      </c>
      <c r="AK57">
        <f>IF(F56&lt;=0,0,ROUND(F56*(1+IF(AND(F$6&gt;0,$B57&lt;F$6),F$4,F$5)/12),2))</f>
        <v/>
      </c>
      <c r="AL57">
        <f>IF(G56&lt;=0,0,ROUND(G56*(1+IF(AND(G$6&gt;0,$B57&lt;G$6),G$4,G$5)/12),2))</f>
        <v/>
      </c>
      <c r="AM57">
        <f>IF(H56&lt;=0,0,ROUND(H56*(1+IF(AND(H$6&gt;0,$B57&lt;H$6),H$4,H$5)/12),2))</f>
        <v/>
      </c>
      <c r="AN57">
        <f>IF(I56&lt;=0,0,ROUND(I56*(1+IF(AND(I$6&gt;0,$B57&lt;I$6),I$4,I$5)/12),2))</f>
        <v/>
      </c>
      <c r="AO57">
        <f>IF(J56&lt;=0,0,ROUND(J56*(1+IF(AND(J$6&gt;0,$B57&lt;J$6),J$4,J$5)/12),2))</f>
        <v/>
      </c>
      <c r="AP57">
        <f>IF(K56&lt;=0,0,ROUND(K56*(1+IF(AND(K$6&gt;0,$B57&lt;K$6),K$4,K$5)/12),2))</f>
        <v/>
      </c>
      <c r="AQ57">
        <f>IF(L56&lt;=0,0,ROUND(L56*(1+IF(AND(L$6&gt;0,$B57&lt;L$6),L$4,L$5)/12),2))</f>
        <v/>
      </c>
      <c r="AR57">
        <f>IF(M56&lt;=0,0,ROUND(M56*(1+IF(AND(M$6&gt;0,$B57&lt;M$6),M$4,M$5)/12),2))</f>
        <v/>
      </c>
      <c r="AS57">
        <f>IF(N56&lt;=0,0,ROUND(N56*(1+IF(AND(N$6&gt;0,$B57&lt;N$6),N$4,N$5)/12),2))</f>
        <v/>
      </c>
    </row>
    <row r="58">
      <c r="A58" t="n">
        <v>47</v>
      </c>
      <c r="B58">
        <f>EDATE(Plan!$C$6,46)</f>
        <v/>
      </c>
      <c r="C58">
        <f>IF(C57&lt;=0,0,MAX(0,AH58-O58))</f>
        <v/>
      </c>
      <c r="D58">
        <f>IF(D57&lt;=0,0,MAX(0,AI58-P58))</f>
        <v/>
      </c>
      <c r="E58">
        <f>IF(E57&lt;=0,0,MAX(0,AJ58-Q58))</f>
        <v/>
      </c>
      <c r="F58">
        <f>IF(F57&lt;=0,0,MAX(0,AK58-R58))</f>
        <v/>
      </c>
      <c r="G58">
        <f>IF(G57&lt;=0,0,MAX(0,AL58-S58))</f>
        <v/>
      </c>
      <c r="H58">
        <f>IF(H57&lt;=0,0,MAX(0,AM58-T58))</f>
        <v/>
      </c>
      <c r="I58">
        <f>IF(I57&lt;=0,0,MAX(0,AN58-U58))</f>
        <v/>
      </c>
      <c r="J58">
        <f>IF(J57&lt;=0,0,MAX(0,AO58-V58))</f>
        <v/>
      </c>
      <c r="K58">
        <f>IF(K57&lt;=0,0,MAX(0,AP58-W58))</f>
        <v/>
      </c>
      <c r="L58">
        <f>IF(L57&lt;=0,0,MAX(0,AQ58-X58))</f>
        <v/>
      </c>
      <c r="M58">
        <f>IF(M57&lt;=0,0,MAX(0,AR58-Y58))</f>
        <v/>
      </c>
      <c r="N58">
        <f>IF(N57&lt;=0,0,MAX(0,AS58-Z58))</f>
        <v/>
      </c>
      <c r="O58">
        <f>IF(C57&lt;=0,0,MIN(AH58,C$7+IF(C$2=$AA58,$AC58,IF(C$2=$AF58,$AG58,0))))</f>
        <v/>
      </c>
      <c r="P58">
        <f>IF(D57&lt;=0,0,MIN(AI58,D$7+IF(D$2=$AA58,$AC58,IF(D$2=$AF58,$AG58,0))))</f>
        <v/>
      </c>
      <c r="Q58">
        <f>IF(E57&lt;=0,0,MIN(AJ58,E$7+IF(E$2=$AA58,$AC58,IF(E$2=$AF58,$AG58,0))))</f>
        <v/>
      </c>
      <c r="R58">
        <f>IF(F57&lt;=0,0,MIN(AK58,F$7+IF(F$2=$AA58,$AC58,IF(F$2=$AF58,$AG58,0))))</f>
        <v/>
      </c>
      <c r="S58">
        <f>IF(G57&lt;=0,0,MIN(AL58,G$7+IF(G$2=$AA58,$AC58,IF(G$2=$AF58,$AG58,0))))</f>
        <v/>
      </c>
      <c r="T58">
        <f>IF(H57&lt;=0,0,MIN(AM58,H$7+IF(H$2=$AA58,$AC58,IF(H$2=$AF58,$AG58,0))))</f>
        <v/>
      </c>
      <c r="U58">
        <f>IF(I57&lt;=0,0,MIN(AN58,I$7+IF(I$2=$AA58,$AC58,IF(I$2=$AF58,$AG58,0))))</f>
        <v/>
      </c>
      <c r="V58">
        <f>IF(J57&lt;=0,0,MIN(AO58,J$7+IF(J$2=$AA58,$AC58,IF(J$2=$AF58,$AG58,0))))</f>
        <v/>
      </c>
      <c r="W58">
        <f>IF(K57&lt;=0,0,MIN(AP58,K$7+IF(K$2=$AA58,$AC58,IF(K$2=$AF58,$AG58,0))))</f>
        <v/>
      </c>
      <c r="X58">
        <f>IF(L57&lt;=0,0,MIN(AQ58,L$7+IF(L$2=$AA58,$AC58,IF(L$2=$AF58,$AG58,0))))</f>
        <v/>
      </c>
      <c r="Y58">
        <f>IF(M57&lt;=0,0,MIN(AR58,M$7+IF(M$2=$AA58,$AC58,IF(M$2=$AF58,$AG58,0))))</f>
        <v/>
      </c>
      <c r="Z58">
        <f>IF(N57&lt;=0,0,MIN(AS58,N$7+IF(N$2=$AA58,$AC58,IF(N$2=$AF58,$AG58,0))))</f>
        <v/>
      </c>
      <c r="AA58">
        <f>IFERROR(ROUND(1/SUMPRODUCT(MAX((C57:N57&gt;0)*($C$3:$N$3&lt;=B58)/$C$2:$N$2)),0),0)</f>
        <v/>
      </c>
      <c r="AB58">
        <f>SUMPRODUCT((C57:N57&gt;0)*$C$7:$N$7)</f>
        <v/>
      </c>
      <c r="AC58">
        <f>MAX(0,Plan!$C$5-AB58)+IF(A58=Plan!$C$8,N(Plan!$C$7),0)</f>
        <v/>
      </c>
      <c r="AD58">
        <f>SUM(C58:N58)</f>
        <v/>
      </c>
      <c r="AE58">
        <f>SUM(O58:Z58)</f>
        <v/>
      </c>
      <c r="AF58">
        <f>IFERROR(ROUND(1/SUMPRODUCT(MAX((C57:N57&gt;0)*($C$3:$N$3&lt;=B58)*($C$2:$N$2&gt;AA58)/$C$2:$N$2)),0),0)</f>
        <v/>
      </c>
      <c r="AG58">
        <f>MAX(0,AC58-MAX(0,SUMPRODUCT(($C$2:$N$2=AA58)*(AH58:AS58-$C$7:$N$7))))</f>
        <v/>
      </c>
      <c r="AH58">
        <f>IF(C57&lt;=0,0,ROUND(C57*(1+IF(AND(C$6&gt;0,$B58&lt;C$6),C$4,C$5)/12),2))</f>
        <v/>
      </c>
      <c r="AI58">
        <f>IF(D57&lt;=0,0,ROUND(D57*(1+IF(AND(D$6&gt;0,$B58&lt;D$6),D$4,D$5)/12),2))</f>
        <v/>
      </c>
      <c r="AJ58">
        <f>IF(E57&lt;=0,0,ROUND(E57*(1+IF(AND(E$6&gt;0,$B58&lt;E$6),E$4,E$5)/12),2))</f>
        <v/>
      </c>
      <c r="AK58">
        <f>IF(F57&lt;=0,0,ROUND(F57*(1+IF(AND(F$6&gt;0,$B58&lt;F$6),F$4,F$5)/12),2))</f>
        <v/>
      </c>
      <c r="AL58">
        <f>IF(G57&lt;=0,0,ROUND(G57*(1+IF(AND(G$6&gt;0,$B58&lt;G$6),G$4,G$5)/12),2))</f>
        <v/>
      </c>
      <c r="AM58">
        <f>IF(H57&lt;=0,0,ROUND(H57*(1+IF(AND(H$6&gt;0,$B58&lt;H$6),H$4,H$5)/12),2))</f>
        <v/>
      </c>
      <c r="AN58">
        <f>IF(I57&lt;=0,0,ROUND(I57*(1+IF(AND(I$6&gt;0,$B58&lt;I$6),I$4,I$5)/12),2))</f>
        <v/>
      </c>
      <c r="AO58">
        <f>IF(J57&lt;=0,0,ROUND(J57*(1+IF(AND(J$6&gt;0,$B58&lt;J$6),J$4,J$5)/12),2))</f>
        <v/>
      </c>
      <c r="AP58">
        <f>IF(K57&lt;=0,0,ROUND(K57*(1+IF(AND(K$6&gt;0,$B58&lt;K$6),K$4,K$5)/12),2))</f>
        <v/>
      </c>
      <c r="AQ58">
        <f>IF(L57&lt;=0,0,ROUND(L57*(1+IF(AND(L$6&gt;0,$B58&lt;L$6),L$4,L$5)/12),2))</f>
        <v/>
      </c>
      <c r="AR58">
        <f>IF(M57&lt;=0,0,ROUND(M57*(1+IF(AND(M$6&gt;0,$B58&lt;M$6),M$4,M$5)/12),2))</f>
        <v/>
      </c>
      <c r="AS58">
        <f>IF(N57&lt;=0,0,ROUND(N57*(1+IF(AND(N$6&gt;0,$B58&lt;N$6),N$4,N$5)/12),2))</f>
        <v/>
      </c>
    </row>
    <row r="59">
      <c r="A59" t="n">
        <v>48</v>
      </c>
      <c r="B59">
        <f>EDATE(Plan!$C$6,47)</f>
        <v/>
      </c>
      <c r="C59">
        <f>IF(C58&lt;=0,0,MAX(0,AH59-O59))</f>
        <v/>
      </c>
      <c r="D59">
        <f>IF(D58&lt;=0,0,MAX(0,AI59-P59))</f>
        <v/>
      </c>
      <c r="E59">
        <f>IF(E58&lt;=0,0,MAX(0,AJ59-Q59))</f>
        <v/>
      </c>
      <c r="F59">
        <f>IF(F58&lt;=0,0,MAX(0,AK59-R59))</f>
        <v/>
      </c>
      <c r="G59">
        <f>IF(G58&lt;=0,0,MAX(0,AL59-S59))</f>
        <v/>
      </c>
      <c r="H59">
        <f>IF(H58&lt;=0,0,MAX(0,AM59-T59))</f>
        <v/>
      </c>
      <c r="I59">
        <f>IF(I58&lt;=0,0,MAX(0,AN59-U59))</f>
        <v/>
      </c>
      <c r="J59">
        <f>IF(J58&lt;=0,0,MAX(0,AO59-V59))</f>
        <v/>
      </c>
      <c r="K59">
        <f>IF(K58&lt;=0,0,MAX(0,AP59-W59))</f>
        <v/>
      </c>
      <c r="L59">
        <f>IF(L58&lt;=0,0,MAX(0,AQ59-X59))</f>
        <v/>
      </c>
      <c r="M59">
        <f>IF(M58&lt;=0,0,MAX(0,AR59-Y59))</f>
        <v/>
      </c>
      <c r="N59">
        <f>IF(N58&lt;=0,0,MAX(0,AS59-Z59))</f>
        <v/>
      </c>
      <c r="O59">
        <f>IF(C58&lt;=0,0,MIN(AH59,C$7+IF(C$2=$AA59,$AC59,IF(C$2=$AF59,$AG59,0))))</f>
        <v/>
      </c>
      <c r="P59">
        <f>IF(D58&lt;=0,0,MIN(AI59,D$7+IF(D$2=$AA59,$AC59,IF(D$2=$AF59,$AG59,0))))</f>
        <v/>
      </c>
      <c r="Q59">
        <f>IF(E58&lt;=0,0,MIN(AJ59,E$7+IF(E$2=$AA59,$AC59,IF(E$2=$AF59,$AG59,0))))</f>
        <v/>
      </c>
      <c r="R59">
        <f>IF(F58&lt;=0,0,MIN(AK59,F$7+IF(F$2=$AA59,$AC59,IF(F$2=$AF59,$AG59,0))))</f>
        <v/>
      </c>
      <c r="S59">
        <f>IF(G58&lt;=0,0,MIN(AL59,G$7+IF(G$2=$AA59,$AC59,IF(G$2=$AF59,$AG59,0))))</f>
        <v/>
      </c>
      <c r="T59">
        <f>IF(H58&lt;=0,0,MIN(AM59,H$7+IF(H$2=$AA59,$AC59,IF(H$2=$AF59,$AG59,0))))</f>
        <v/>
      </c>
      <c r="U59">
        <f>IF(I58&lt;=0,0,MIN(AN59,I$7+IF(I$2=$AA59,$AC59,IF(I$2=$AF59,$AG59,0))))</f>
        <v/>
      </c>
      <c r="V59">
        <f>IF(J58&lt;=0,0,MIN(AO59,J$7+IF(J$2=$AA59,$AC59,IF(J$2=$AF59,$AG59,0))))</f>
        <v/>
      </c>
      <c r="W59">
        <f>IF(K58&lt;=0,0,MIN(AP59,K$7+IF(K$2=$AA59,$AC59,IF(K$2=$AF59,$AG59,0))))</f>
        <v/>
      </c>
      <c r="X59">
        <f>IF(L58&lt;=0,0,MIN(AQ59,L$7+IF(L$2=$AA59,$AC59,IF(L$2=$AF59,$AG59,0))))</f>
        <v/>
      </c>
      <c r="Y59">
        <f>IF(M58&lt;=0,0,MIN(AR59,M$7+IF(M$2=$AA59,$AC59,IF(M$2=$AF59,$AG59,0))))</f>
        <v/>
      </c>
      <c r="Z59">
        <f>IF(N58&lt;=0,0,MIN(AS59,N$7+IF(N$2=$AA59,$AC59,IF(N$2=$AF59,$AG59,0))))</f>
        <v/>
      </c>
      <c r="AA59">
        <f>IFERROR(ROUND(1/SUMPRODUCT(MAX((C58:N58&gt;0)*($C$3:$N$3&lt;=B59)/$C$2:$N$2)),0),0)</f>
        <v/>
      </c>
      <c r="AB59">
        <f>SUMPRODUCT((C58:N58&gt;0)*$C$7:$N$7)</f>
        <v/>
      </c>
      <c r="AC59">
        <f>MAX(0,Plan!$C$5-AB59)+IF(A59=Plan!$C$8,N(Plan!$C$7),0)</f>
        <v/>
      </c>
      <c r="AD59">
        <f>SUM(C59:N59)</f>
        <v/>
      </c>
      <c r="AE59">
        <f>SUM(O59:Z59)</f>
        <v/>
      </c>
      <c r="AF59">
        <f>IFERROR(ROUND(1/SUMPRODUCT(MAX((C58:N58&gt;0)*($C$3:$N$3&lt;=B59)*($C$2:$N$2&gt;AA59)/$C$2:$N$2)),0),0)</f>
        <v/>
      </c>
      <c r="AG59">
        <f>MAX(0,AC59-MAX(0,SUMPRODUCT(($C$2:$N$2=AA59)*(AH59:AS59-$C$7:$N$7))))</f>
        <v/>
      </c>
      <c r="AH59">
        <f>IF(C58&lt;=0,0,ROUND(C58*(1+IF(AND(C$6&gt;0,$B59&lt;C$6),C$4,C$5)/12),2))</f>
        <v/>
      </c>
      <c r="AI59">
        <f>IF(D58&lt;=0,0,ROUND(D58*(1+IF(AND(D$6&gt;0,$B59&lt;D$6),D$4,D$5)/12),2))</f>
        <v/>
      </c>
      <c r="AJ59">
        <f>IF(E58&lt;=0,0,ROUND(E58*(1+IF(AND(E$6&gt;0,$B59&lt;E$6),E$4,E$5)/12),2))</f>
        <v/>
      </c>
      <c r="AK59">
        <f>IF(F58&lt;=0,0,ROUND(F58*(1+IF(AND(F$6&gt;0,$B59&lt;F$6),F$4,F$5)/12),2))</f>
        <v/>
      </c>
      <c r="AL59">
        <f>IF(G58&lt;=0,0,ROUND(G58*(1+IF(AND(G$6&gt;0,$B59&lt;G$6),G$4,G$5)/12),2))</f>
        <v/>
      </c>
      <c r="AM59">
        <f>IF(H58&lt;=0,0,ROUND(H58*(1+IF(AND(H$6&gt;0,$B59&lt;H$6),H$4,H$5)/12),2))</f>
        <v/>
      </c>
      <c r="AN59">
        <f>IF(I58&lt;=0,0,ROUND(I58*(1+IF(AND(I$6&gt;0,$B59&lt;I$6),I$4,I$5)/12),2))</f>
        <v/>
      </c>
      <c r="AO59">
        <f>IF(J58&lt;=0,0,ROUND(J58*(1+IF(AND(J$6&gt;0,$B59&lt;J$6),J$4,J$5)/12),2))</f>
        <v/>
      </c>
      <c r="AP59">
        <f>IF(K58&lt;=0,0,ROUND(K58*(1+IF(AND(K$6&gt;0,$B59&lt;K$6),K$4,K$5)/12),2))</f>
        <v/>
      </c>
      <c r="AQ59">
        <f>IF(L58&lt;=0,0,ROUND(L58*(1+IF(AND(L$6&gt;0,$B59&lt;L$6),L$4,L$5)/12),2))</f>
        <v/>
      </c>
      <c r="AR59">
        <f>IF(M58&lt;=0,0,ROUND(M58*(1+IF(AND(M$6&gt;0,$B59&lt;M$6),M$4,M$5)/12),2))</f>
        <v/>
      </c>
      <c r="AS59">
        <f>IF(N58&lt;=0,0,ROUND(N58*(1+IF(AND(N$6&gt;0,$B59&lt;N$6),N$4,N$5)/12),2))</f>
        <v/>
      </c>
    </row>
    <row r="60">
      <c r="A60" t="n">
        <v>49</v>
      </c>
      <c r="B60">
        <f>EDATE(Plan!$C$6,48)</f>
        <v/>
      </c>
      <c r="C60">
        <f>IF(C59&lt;=0,0,MAX(0,AH60-O60))</f>
        <v/>
      </c>
      <c r="D60">
        <f>IF(D59&lt;=0,0,MAX(0,AI60-P60))</f>
        <v/>
      </c>
      <c r="E60">
        <f>IF(E59&lt;=0,0,MAX(0,AJ60-Q60))</f>
        <v/>
      </c>
      <c r="F60">
        <f>IF(F59&lt;=0,0,MAX(0,AK60-R60))</f>
        <v/>
      </c>
      <c r="G60">
        <f>IF(G59&lt;=0,0,MAX(0,AL60-S60))</f>
        <v/>
      </c>
      <c r="H60">
        <f>IF(H59&lt;=0,0,MAX(0,AM60-T60))</f>
        <v/>
      </c>
      <c r="I60">
        <f>IF(I59&lt;=0,0,MAX(0,AN60-U60))</f>
        <v/>
      </c>
      <c r="J60">
        <f>IF(J59&lt;=0,0,MAX(0,AO60-V60))</f>
        <v/>
      </c>
      <c r="K60">
        <f>IF(K59&lt;=0,0,MAX(0,AP60-W60))</f>
        <v/>
      </c>
      <c r="L60">
        <f>IF(L59&lt;=0,0,MAX(0,AQ60-X60))</f>
        <v/>
      </c>
      <c r="M60">
        <f>IF(M59&lt;=0,0,MAX(0,AR60-Y60))</f>
        <v/>
      </c>
      <c r="N60">
        <f>IF(N59&lt;=0,0,MAX(0,AS60-Z60))</f>
        <v/>
      </c>
      <c r="O60">
        <f>IF(C59&lt;=0,0,MIN(AH60,C$7+IF(C$2=$AA60,$AC60,IF(C$2=$AF60,$AG60,0))))</f>
        <v/>
      </c>
      <c r="P60">
        <f>IF(D59&lt;=0,0,MIN(AI60,D$7+IF(D$2=$AA60,$AC60,IF(D$2=$AF60,$AG60,0))))</f>
        <v/>
      </c>
      <c r="Q60">
        <f>IF(E59&lt;=0,0,MIN(AJ60,E$7+IF(E$2=$AA60,$AC60,IF(E$2=$AF60,$AG60,0))))</f>
        <v/>
      </c>
      <c r="R60">
        <f>IF(F59&lt;=0,0,MIN(AK60,F$7+IF(F$2=$AA60,$AC60,IF(F$2=$AF60,$AG60,0))))</f>
        <v/>
      </c>
      <c r="S60">
        <f>IF(G59&lt;=0,0,MIN(AL60,G$7+IF(G$2=$AA60,$AC60,IF(G$2=$AF60,$AG60,0))))</f>
        <v/>
      </c>
      <c r="T60">
        <f>IF(H59&lt;=0,0,MIN(AM60,H$7+IF(H$2=$AA60,$AC60,IF(H$2=$AF60,$AG60,0))))</f>
        <v/>
      </c>
      <c r="U60">
        <f>IF(I59&lt;=0,0,MIN(AN60,I$7+IF(I$2=$AA60,$AC60,IF(I$2=$AF60,$AG60,0))))</f>
        <v/>
      </c>
      <c r="V60">
        <f>IF(J59&lt;=0,0,MIN(AO60,J$7+IF(J$2=$AA60,$AC60,IF(J$2=$AF60,$AG60,0))))</f>
        <v/>
      </c>
      <c r="W60">
        <f>IF(K59&lt;=0,0,MIN(AP60,K$7+IF(K$2=$AA60,$AC60,IF(K$2=$AF60,$AG60,0))))</f>
        <v/>
      </c>
      <c r="X60">
        <f>IF(L59&lt;=0,0,MIN(AQ60,L$7+IF(L$2=$AA60,$AC60,IF(L$2=$AF60,$AG60,0))))</f>
        <v/>
      </c>
      <c r="Y60">
        <f>IF(M59&lt;=0,0,MIN(AR60,M$7+IF(M$2=$AA60,$AC60,IF(M$2=$AF60,$AG60,0))))</f>
        <v/>
      </c>
      <c r="Z60">
        <f>IF(N59&lt;=0,0,MIN(AS60,N$7+IF(N$2=$AA60,$AC60,IF(N$2=$AF60,$AG60,0))))</f>
        <v/>
      </c>
      <c r="AA60">
        <f>IFERROR(ROUND(1/SUMPRODUCT(MAX((C59:N59&gt;0)*($C$3:$N$3&lt;=B60)/$C$2:$N$2)),0),0)</f>
        <v/>
      </c>
      <c r="AB60">
        <f>SUMPRODUCT((C59:N59&gt;0)*$C$7:$N$7)</f>
        <v/>
      </c>
      <c r="AC60">
        <f>MAX(0,Plan!$C$5-AB60)+IF(A60=Plan!$C$8,N(Plan!$C$7),0)</f>
        <v/>
      </c>
      <c r="AD60">
        <f>SUM(C60:N60)</f>
        <v/>
      </c>
      <c r="AE60">
        <f>SUM(O60:Z60)</f>
        <v/>
      </c>
      <c r="AF60">
        <f>IFERROR(ROUND(1/SUMPRODUCT(MAX((C59:N59&gt;0)*($C$3:$N$3&lt;=B60)*($C$2:$N$2&gt;AA60)/$C$2:$N$2)),0),0)</f>
        <v/>
      </c>
      <c r="AG60">
        <f>MAX(0,AC60-MAX(0,SUMPRODUCT(($C$2:$N$2=AA60)*(AH60:AS60-$C$7:$N$7))))</f>
        <v/>
      </c>
      <c r="AH60">
        <f>IF(C59&lt;=0,0,ROUND(C59*(1+IF(AND(C$6&gt;0,$B60&lt;C$6),C$4,C$5)/12),2))</f>
        <v/>
      </c>
      <c r="AI60">
        <f>IF(D59&lt;=0,0,ROUND(D59*(1+IF(AND(D$6&gt;0,$B60&lt;D$6),D$4,D$5)/12),2))</f>
        <v/>
      </c>
      <c r="AJ60">
        <f>IF(E59&lt;=0,0,ROUND(E59*(1+IF(AND(E$6&gt;0,$B60&lt;E$6),E$4,E$5)/12),2))</f>
        <v/>
      </c>
      <c r="AK60">
        <f>IF(F59&lt;=0,0,ROUND(F59*(1+IF(AND(F$6&gt;0,$B60&lt;F$6),F$4,F$5)/12),2))</f>
        <v/>
      </c>
      <c r="AL60">
        <f>IF(G59&lt;=0,0,ROUND(G59*(1+IF(AND(G$6&gt;0,$B60&lt;G$6),G$4,G$5)/12),2))</f>
        <v/>
      </c>
      <c r="AM60">
        <f>IF(H59&lt;=0,0,ROUND(H59*(1+IF(AND(H$6&gt;0,$B60&lt;H$6),H$4,H$5)/12),2))</f>
        <v/>
      </c>
      <c r="AN60">
        <f>IF(I59&lt;=0,0,ROUND(I59*(1+IF(AND(I$6&gt;0,$B60&lt;I$6),I$4,I$5)/12),2))</f>
        <v/>
      </c>
      <c r="AO60">
        <f>IF(J59&lt;=0,0,ROUND(J59*(1+IF(AND(J$6&gt;0,$B60&lt;J$6),J$4,J$5)/12),2))</f>
        <v/>
      </c>
      <c r="AP60">
        <f>IF(K59&lt;=0,0,ROUND(K59*(1+IF(AND(K$6&gt;0,$B60&lt;K$6),K$4,K$5)/12),2))</f>
        <v/>
      </c>
      <c r="AQ60">
        <f>IF(L59&lt;=0,0,ROUND(L59*(1+IF(AND(L$6&gt;0,$B60&lt;L$6),L$4,L$5)/12),2))</f>
        <v/>
      </c>
      <c r="AR60">
        <f>IF(M59&lt;=0,0,ROUND(M59*(1+IF(AND(M$6&gt;0,$B60&lt;M$6),M$4,M$5)/12),2))</f>
        <v/>
      </c>
      <c r="AS60">
        <f>IF(N59&lt;=0,0,ROUND(N59*(1+IF(AND(N$6&gt;0,$B60&lt;N$6),N$4,N$5)/12),2))</f>
        <v/>
      </c>
    </row>
    <row r="61">
      <c r="A61" t="n">
        <v>50</v>
      </c>
      <c r="B61">
        <f>EDATE(Plan!$C$6,49)</f>
        <v/>
      </c>
      <c r="C61">
        <f>IF(C60&lt;=0,0,MAX(0,AH61-O61))</f>
        <v/>
      </c>
      <c r="D61">
        <f>IF(D60&lt;=0,0,MAX(0,AI61-P61))</f>
        <v/>
      </c>
      <c r="E61">
        <f>IF(E60&lt;=0,0,MAX(0,AJ61-Q61))</f>
        <v/>
      </c>
      <c r="F61">
        <f>IF(F60&lt;=0,0,MAX(0,AK61-R61))</f>
        <v/>
      </c>
      <c r="G61">
        <f>IF(G60&lt;=0,0,MAX(0,AL61-S61))</f>
        <v/>
      </c>
      <c r="H61">
        <f>IF(H60&lt;=0,0,MAX(0,AM61-T61))</f>
        <v/>
      </c>
      <c r="I61">
        <f>IF(I60&lt;=0,0,MAX(0,AN61-U61))</f>
        <v/>
      </c>
      <c r="J61">
        <f>IF(J60&lt;=0,0,MAX(0,AO61-V61))</f>
        <v/>
      </c>
      <c r="K61">
        <f>IF(K60&lt;=0,0,MAX(0,AP61-W61))</f>
        <v/>
      </c>
      <c r="L61">
        <f>IF(L60&lt;=0,0,MAX(0,AQ61-X61))</f>
        <v/>
      </c>
      <c r="M61">
        <f>IF(M60&lt;=0,0,MAX(0,AR61-Y61))</f>
        <v/>
      </c>
      <c r="N61">
        <f>IF(N60&lt;=0,0,MAX(0,AS61-Z61))</f>
        <v/>
      </c>
      <c r="O61">
        <f>IF(C60&lt;=0,0,MIN(AH61,C$7+IF(C$2=$AA61,$AC61,IF(C$2=$AF61,$AG61,0))))</f>
        <v/>
      </c>
      <c r="P61">
        <f>IF(D60&lt;=0,0,MIN(AI61,D$7+IF(D$2=$AA61,$AC61,IF(D$2=$AF61,$AG61,0))))</f>
        <v/>
      </c>
      <c r="Q61">
        <f>IF(E60&lt;=0,0,MIN(AJ61,E$7+IF(E$2=$AA61,$AC61,IF(E$2=$AF61,$AG61,0))))</f>
        <v/>
      </c>
      <c r="R61">
        <f>IF(F60&lt;=0,0,MIN(AK61,F$7+IF(F$2=$AA61,$AC61,IF(F$2=$AF61,$AG61,0))))</f>
        <v/>
      </c>
      <c r="S61">
        <f>IF(G60&lt;=0,0,MIN(AL61,G$7+IF(G$2=$AA61,$AC61,IF(G$2=$AF61,$AG61,0))))</f>
        <v/>
      </c>
      <c r="T61">
        <f>IF(H60&lt;=0,0,MIN(AM61,H$7+IF(H$2=$AA61,$AC61,IF(H$2=$AF61,$AG61,0))))</f>
        <v/>
      </c>
      <c r="U61">
        <f>IF(I60&lt;=0,0,MIN(AN61,I$7+IF(I$2=$AA61,$AC61,IF(I$2=$AF61,$AG61,0))))</f>
        <v/>
      </c>
      <c r="V61">
        <f>IF(J60&lt;=0,0,MIN(AO61,J$7+IF(J$2=$AA61,$AC61,IF(J$2=$AF61,$AG61,0))))</f>
        <v/>
      </c>
      <c r="W61">
        <f>IF(K60&lt;=0,0,MIN(AP61,K$7+IF(K$2=$AA61,$AC61,IF(K$2=$AF61,$AG61,0))))</f>
        <v/>
      </c>
      <c r="X61">
        <f>IF(L60&lt;=0,0,MIN(AQ61,L$7+IF(L$2=$AA61,$AC61,IF(L$2=$AF61,$AG61,0))))</f>
        <v/>
      </c>
      <c r="Y61">
        <f>IF(M60&lt;=0,0,MIN(AR61,M$7+IF(M$2=$AA61,$AC61,IF(M$2=$AF61,$AG61,0))))</f>
        <v/>
      </c>
      <c r="Z61">
        <f>IF(N60&lt;=0,0,MIN(AS61,N$7+IF(N$2=$AA61,$AC61,IF(N$2=$AF61,$AG61,0))))</f>
        <v/>
      </c>
      <c r="AA61">
        <f>IFERROR(ROUND(1/SUMPRODUCT(MAX((C60:N60&gt;0)*($C$3:$N$3&lt;=B61)/$C$2:$N$2)),0),0)</f>
        <v/>
      </c>
      <c r="AB61">
        <f>SUMPRODUCT((C60:N60&gt;0)*$C$7:$N$7)</f>
        <v/>
      </c>
      <c r="AC61">
        <f>MAX(0,Plan!$C$5-AB61)+IF(A61=Plan!$C$8,N(Plan!$C$7),0)</f>
        <v/>
      </c>
      <c r="AD61">
        <f>SUM(C61:N61)</f>
        <v/>
      </c>
      <c r="AE61">
        <f>SUM(O61:Z61)</f>
        <v/>
      </c>
      <c r="AF61">
        <f>IFERROR(ROUND(1/SUMPRODUCT(MAX((C60:N60&gt;0)*($C$3:$N$3&lt;=B61)*($C$2:$N$2&gt;AA61)/$C$2:$N$2)),0),0)</f>
        <v/>
      </c>
      <c r="AG61">
        <f>MAX(0,AC61-MAX(0,SUMPRODUCT(($C$2:$N$2=AA61)*(AH61:AS61-$C$7:$N$7))))</f>
        <v/>
      </c>
      <c r="AH61">
        <f>IF(C60&lt;=0,0,ROUND(C60*(1+IF(AND(C$6&gt;0,$B61&lt;C$6),C$4,C$5)/12),2))</f>
        <v/>
      </c>
      <c r="AI61">
        <f>IF(D60&lt;=0,0,ROUND(D60*(1+IF(AND(D$6&gt;0,$B61&lt;D$6),D$4,D$5)/12),2))</f>
        <v/>
      </c>
      <c r="AJ61">
        <f>IF(E60&lt;=0,0,ROUND(E60*(1+IF(AND(E$6&gt;0,$B61&lt;E$6),E$4,E$5)/12),2))</f>
        <v/>
      </c>
      <c r="AK61">
        <f>IF(F60&lt;=0,0,ROUND(F60*(1+IF(AND(F$6&gt;0,$B61&lt;F$6),F$4,F$5)/12),2))</f>
        <v/>
      </c>
      <c r="AL61">
        <f>IF(G60&lt;=0,0,ROUND(G60*(1+IF(AND(G$6&gt;0,$B61&lt;G$6),G$4,G$5)/12),2))</f>
        <v/>
      </c>
      <c r="AM61">
        <f>IF(H60&lt;=0,0,ROUND(H60*(1+IF(AND(H$6&gt;0,$B61&lt;H$6),H$4,H$5)/12),2))</f>
        <v/>
      </c>
      <c r="AN61">
        <f>IF(I60&lt;=0,0,ROUND(I60*(1+IF(AND(I$6&gt;0,$B61&lt;I$6),I$4,I$5)/12),2))</f>
        <v/>
      </c>
      <c r="AO61">
        <f>IF(J60&lt;=0,0,ROUND(J60*(1+IF(AND(J$6&gt;0,$B61&lt;J$6),J$4,J$5)/12),2))</f>
        <v/>
      </c>
      <c r="AP61">
        <f>IF(K60&lt;=0,0,ROUND(K60*(1+IF(AND(K$6&gt;0,$B61&lt;K$6),K$4,K$5)/12),2))</f>
        <v/>
      </c>
      <c r="AQ61">
        <f>IF(L60&lt;=0,0,ROUND(L60*(1+IF(AND(L$6&gt;0,$B61&lt;L$6),L$4,L$5)/12),2))</f>
        <v/>
      </c>
      <c r="AR61">
        <f>IF(M60&lt;=0,0,ROUND(M60*(1+IF(AND(M$6&gt;0,$B61&lt;M$6),M$4,M$5)/12),2))</f>
        <v/>
      </c>
      <c r="AS61">
        <f>IF(N60&lt;=0,0,ROUND(N60*(1+IF(AND(N$6&gt;0,$B61&lt;N$6),N$4,N$5)/12),2))</f>
        <v/>
      </c>
    </row>
    <row r="62">
      <c r="A62" t="n">
        <v>51</v>
      </c>
      <c r="B62">
        <f>EDATE(Plan!$C$6,50)</f>
        <v/>
      </c>
      <c r="C62">
        <f>IF(C61&lt;=0,0,MAX(0,AH62-O62))</f>
        <v/>
      </c>
      <c r="D62">
        <f>IF(D61&lt;=0,0,MAX(0,AI62-P62))</f>
        <v/>
      </c>
      <c r="E62">
        <f>IF(E61&lt;=0,0,MAX(0,AJ62-Q62))</f>
        <v/>
      </c>
      <c r="F62">
        <f>IF(F61&lt;=0,0,MAX(0,AK62-R62))</f>
        <v/>
      </c>
      <c r="G62">
        <f>IF(G61&lt;=0,0,MAX(0,AL62-S62))</f>
        <v/>
      </c>
      <c r="H62">
        <f>IF(H61&lt;=0,0,MAX(0,AM62-T62))</f>
        <v/>
      </c>
      <c r="I62">
        <f>IF(I61&lt;=0,0,MAX(0,AN62-U62))</f>
        <v/>
      </c>
      <c r="J62">
        <f>IF(J61&lt;=0,0,MAX(0,AO62-V62))</f>
        <v/>
      </c>
      <c r="K62">
        <f>IF(K61&lt;=0,0,MAX(0,AP62-W62))</f>
        <v/>
      </c>
      <c r="L62">
        <f>IF(L61&lt;=0,0,MAX(0,AQ62-X62))</f>
        <v/>
      </c>
      <c r="M62">
        <f>IF(M61&lt;=0,0,MAX(0,AR62-Y62))</f>
        <v/>
      </c>
      <c r="N62">
        <f>IF(N61&lt;=0,0,MAX(0,AS62-Z62))</f>
        <v/>
      </c>
      <c r="O62">
        <f>IF(C61&lt;=0,0,MIN(AH62,C$7+IF(C$2=$AA62,$AC62,IF(C$2=$AF62,$AG62,0))))</f>
        <v/>
      </c>
      <c r="P62">
        <f>IF(D61&lt;=0,0,MIN(AI62,D$7+IF(D$2=$AA62,$AC62,IF(D$2=$AF62,$AG62,0))))</f>
        <v/>
      </c>
      <c r="Q62">
        <f>IF(E61&lt;=0,0,MIN(AJ62,E$7+IF(E$2=$AA62,$AC62,IF(E$2=$AF62,$AG62,0))))</f>
        <v/>
      </c>
      <c r="R62">
        <f>IF(F61&lt;=0,0,MIN(AK62,F$7+IF(F$2=$AA62,$AC62,IF(F$2=$AF62,$AG62,0))))</f>
        <v/>
      </c>
      <c r="S62">
        <f>IF(G61&lt;=0,0,MIN(AL62,G$7+IF(G$2=$AA62,$AC62,IF(G$2=$AF62,$AG62,0))))</f>
        <v/>
      </c>
      <c r="T62">
        <f>IF(H61&lt;=0,0,MIN(AM62,H$7+IF(H$2=$AA62,$AC62,IF(H$2=$AF62,$AG62,0))))</f>
        <v/>
      </c>
      <c r="U62">
        <f>IF(I61&lt;=0,0,MIN(AN62,I$7+IF(I$2=$AA62,$AC62,IF(I$2=$AF62,$AG62,0))))</f>
        <v/>
      </c>
      <c r="V62">
        <f>IF(J61&lt;=0,0,MIN(AO62,J$7+IF(J$2=$AA62,$AC62,IF(J$2=$AF62,$AG62,0))))</f>
        <v/>
      </c>
      <c r="W62">
        <f>IF(K61&lt;=0,0,MIN(AP62,K$7+IF(K$2=$AA62,$AC62,IF(K$2=$AF62,$AG62,0))))</f>
        <v/>
      </c>
      <c r="X62">
        <f>IF(L61&lt;=0,0,MIN(AQ62,L$7+IF(L$2=$AA62,$AC62,IF(L$2=$AF62,$AG62,0))))</f>
        <v/>
      </c>
      <c r="Y62">
        <f>IF(M61&lt;=0,0,MIN(AR62,M$7+IF(M$2=$AA62,$AC62,IF(M$2=$AF62,$AG62,0))))</f>
        <v/>
      </c>
      <c r="Z62">
        <f>IF(N61&lt;=0,0,MIN(AS62,N$7+IF(N$2=$AA62,$AC62,IF(N$2=$AF62,$AG62,0))))</f>
        <v/>
      </c>
      <c r="AA62">
        <f>IFERROR(ROUND(1/SUMPRODUCT(MAX((C61:N61&gt;0)*($C$3:$N$3&lt;=B62)/$C$2:$N$2)),0),0)</f>
        <v/>
      </c>
      <c r="AB62">
        <f>SUMPRODUCT((C61:N61&gt;0)*$C$7:$N$7)</f>
        <v/>
      </c>
      <c r="AC62">
        <f>MAX(0,Plan!$C$5-AB62)+IF(A62=Plan!$C$8,N(Plan!$C$7),0)</f>
        <v/>
      </c>
      <c r="AD62">
        <f>SUM(C62:N62)</f>
        <v/>
      </c>
      <c r="AE62">
        <f>SUM(O62:Z62)</f>
        <v/>
      </c>
      <c r="AF62">
        <f>IFERROR(ROUND(1/SUMPRODUCT(MAX((C61:N61&gt;0)*($C$3:$N$3&lt;=B62)*($C$2:$N$2&gt;AA62)/$C$2:$N$2)),0),0)</f>
        <v/>
      </c>
      <c r="AG62">
        <f>MAX(0,AC62-MAX(0,SUMPRODUCT(($C$2:$N$2=AA62)*(AH62:AS62-$C$7:$N$7))))</f>
        <v/>
      </c>
      <c r="AH62">
        <f>IF(C61&lt;=0,0,ROUND(C61*(1+IF(AND(C$6&gt;0,$B62&lt;C$6),C$4,C$5)/12),2))</f>
        <v/>
      </c>
      <c r="AI62">
        <f>IF(D61&lt;=0,0,ROUND(D61*(1+IF(AND(D$6&gt;0,$B62&lt;D$6),D$4,D$5)/12),2))</f>
        <v/>
      </c>
      <c r="AJ62">
        <f>IF(E61&lt;=0,0,ROUND(E61*(1+IF(AND(E$6&gt;0,$B62&lt;E$6),E$4,E$5)/12),2))</f>
        <v/>
      </c>
      <c r="AK62">
        <f>IF(F61&lt;=0,0,ROUND(F61*(1+IF(AND(F$6&gt;0,$B62&lt;F$6),F$4,F$5)/12),2))</f>
        <v/>
      </c>
      <c r="AL62">
        <f>IF(G61&lt;=0,0,ROUND(G61*(1+IF(AND(G$6&gt;0,$B62&lt;G$6),G$4,G$5)/12),2))</f>
        <v/>
      </c>
      <c r="AM62">
        <f>IF(H61&lt;=0,0,ROUND(H61*(1+IF(AND(H$6&gt;0,$B62&lt;H$6),H$4,H$5)/12),2))</f>
        <v/>
      </c>
      <c r="AN62">
        <f>IF(I61&lt;=0,0,ROUND(I61*(1+IF(AND(I$6&gt;0,$B62&lt;I$6),I$4,I$5)/12),2))</f>
        <v/>
      </c>
      <c r="AO62">
        <f>IF(J61&lt;=0,0,ROUND(J61*(1+IF(AND(J$6&gt;0,$B62&lt;J$6),J$4,J$5)/12),2))</f>
        <v/>
      </c>
      <c r="AP62">
        <f>IF(K61&lt;=0,0,ROUND(K61*(1+IF(AND(K$6&gt;0,$B62&lt;K$6),K$4,K$5)/12),2))</f>
        <v/>
      </c>
      <c r="AQ62">
        <f>IF(L61&lt;=0,0,ROUND(L61*(1+IF(AND(L$6&gt;0,$B62&lt;L$6),L$4,L$5)/12),2))</f>
        <v/>
      </c>
      <c r="AR62">
        <f>IF(M61&lt;=0,0,ROUND(M61*(1+IF(AND(M$6&gt;0,$B62&lt;M$6),M$4,M$5)/12),2))</f>
        <v/>
      </c>
      <c r="AS62">
        <f>IF(N61&lt;=0,0,ROUND(N61*(1+IF(AND(N$6&gt;0,$B62&lt;N$6),N$4,N$5)/12),2))</f>
        <v/>
      </c>
    </row>
    <row r="63">
      <c r="A63" t="n">
        <v>52</v>
      </c>
      <c r="B63">
        <f>EDATE(Plan!$C$6,51)</f>
        <v/>
      </c>
      <c r="C63">
        <f>IF(C62&lt;=0,0,MAX(0,AH63-O63))</f>
        <v/>
      </c>
      <c r="D63">
        <f>IF(D62&lt;=0,0,MAX(0,AI63-P63))</f>
        <v/>
      </c>
      <c r="E63">
        <f>IF(E62&lt;=0,0,MAX(0,AJ63-Q63))</f>
        <v/>
      </c>
      <c r="F63">
        <f>IF(F62&lt;=0,0,MAX(0,AK63-R63))</f>
        <v/>
      </c>
      <c r="G63">
        <f>IF(G62&lt;=0,0,MAX(0,AL63-S63))</f>
        <v/>
      </c>
      <c r="H63">
        <f>IF(H62&lt;=0,0,MAX(0,AM63-T63))</f>
        <v/>
      </c>
      <c r="I63">
        <f>IF(I62&lt;=0,0,MAX(0,AN63-U63))</f>
        <v/>
      </c>
      <c r="J63">
        <f>IF(J62&lt;=0,0,MAX(0,AO63-V63))</f>
        <v/>
      </c>
      <c r="K63">
        <f>IF(K62&lt;=0,0,MAX(0,AP63-W63))</f>
        <v/>
      </c>
      <c r="L63">
        <f>IF(L62&lt;=0,0,MAX(0,AQ63-X63))</f>
        <v/>
      </c>
      <c r="M63">
        <f>IF(M62&lt;=0,0,MAX(0,AR63-Y63))</f>
        <v/>
      </c>
      <c r="N63">
        <f>IF(N62&lt;=0,0,MAX(0,AS63-Z63))</f>
        <v/>
      </c>
      <c r="O63">
        <f>IF(C62&lt;=0,0,MIN(AH63,C$7+IF(C$2=$AA63,$AC63,IF(C$2=$AF63,$AG63,0))))</f>
        <v/>
      </c>
      <c r="P63">
        <f>IF(D62&lt;=0,0,MIN(AI63,D$7+IF(D$2=$AA63,$AC63,IF(D$2=$AF63,$AG63,0))))</f>
        <v/>
      </c>
      <c r="Q63">
        <f>IF(E62&lt;=0,0,MIN(AJ63,E$7+IF(E$2=$AA63,$AC63,IF(E$2=$AF63,$AG63,0))))</f>
        <v/>
      </c>
      <c r="R63">
        <f>IF(F62&lt;=0,0,MIN(AK63,F$7+IF(F$2=$AA63,$AC63,IF(F$2=$AF63,$AG63,0))))</f>
        <v/>
      </c>
      <c r="S63">
        <f>IF(G62&lt;=0,0,MIN(AL63,G$7+IF(G$2=$AA63,$AC63,IF(G$2=$AF63,$AG63,0))))</f>
        <v/>
      </c>
      <c r="T63">
        <f>IF(H62&lt;=0,0,MIN(AM63,H$7+IF(H$2=$AA63,$AC63,IF(H$2=$AF63,$AG63,0))))</f>
        <v/>
      </c>
      <c r="U63">
        <f>IF(I62&lt;=0,0,MIN(AN63,I$7+IF(I$2=$AA63,$AC63,IF(I$2=$AF63,$AG63,0))))</f>
        <v/>
      </c>
      <c r="V63">
        <f>IF(J62&lt;=0,0,MIN(AO63,J$7+IF(J$2=$AA63,$AC63,IF(J$2=$AF63,$AG63,0))))</f>
        <v/>
      </c>
      <c r="W63">
        <f>IF(K62&lt;=0,0,MIN(AP63,K$7+IF(K$2=$AA63,$AC63,IF(K$2=$AF63,$AG63,0))))</f>
        <v/>
      </c>
      <c r="X63">
        <f>IF(L62&lt;=0,0,MIN(AQ63,L$7+IF(L$2=$AA63,$AC63,IF(L$2=$AF63,$AG63,0))))</f>
        <v/>
      </c>
      <c r="Y63">
        <f>IF(M62&lt;=0,0,MIN(AR63,M$7+IF(M$2=$AA63,$AC63,IF(M$2=$AF63,$AG63,0))))</f>
        <v/>
      </c>
      <c r="Z63">
        <f>IF(N62&lt;=0,0,MIN(AS63,N$7+IF(N$2=$AA63,$AC63,IF(N$2=$AF63,$AG63,0))))</f>
        <v/>
      </c>
      <c r="AA63">
        <f>IFERROR(ROUND(1/SUMPRODUCT(MAX((C62:N62&gt;0)*($C$3:$N$3&lt;=B63)/$C$2:$N$2)),0),0)</f>
        <v/>
      </c>
      <c r="AB63">
        <f>SUMPRODUCT((C62:N62&gt;0)*$C$7:$N$7)</f>
        <v/>
      </c>
      <c r="AC63">
        <f>MAX(0,Plan!$C$5-AB63)+IF(A63=Plan!$C$8,N(Plan!$C$7),0)</f>
        <v/>
      </c>
      <c r="AD63">
        <f>SUM(C63:N63)</f>
        <v/>
      </c>
      <c r="AE63">
        <f>SUM(O63:Z63)</f>
        <v/>
      </c>
      <c r="AF63">
        <f>IFERROR(ROUND(1/SUMPRODUCT(MAX((C62:N62&gt;0)*($C$3:$N$3&lt;=B63)*($C$2:$N$2&gt;AA63)/$C$2:$N$2)),0),0)</f>
        <v/>
      </c>
      <c r="AG63">
        <f>MAX(0,AC63-MAX(0,SUMPRODUCT(($C$2:$N$2=AA63)*(AH63:AS63-$C$7:$N$7))))</f>
        <v/>
      </c>
      <c r="AH63">
        <f>IF(C62&lt;=0,0,ROUND(C62*(1+IF(AND(C$6&gt;0,$B63&lt;C$6),C$4,C$5)/12),2))</f>
        <v/>
      </c>
      <c r="AI63">
        <f>IF(D62&lt;=0,0,ROUND(D62*(1+IF(AND(D$6&gt;0,$B63&lt;D$6),D$4,D$5)/12),2))</f>
        <v/>
      </c>
      <c r="AJ63">
        <f>IF(E62&lt;=0,0,ROUND(E62*(1+IF(AND(E$6&gt;0,$B63&lt;E$6),E$4,E$5)/12),2))</f>
        <v/>
      </c>
      <c r="AK63">
        <f>IF(F62&lt;=0,0,ROUND(F62*(1+IF(AND(F$6&gt;0,$B63&lt;F$6),F$4,F$5)/12),2))</f>
        <v/>
      </c>
      <c r="AL63">
        <f>IF(G62&lt;=0,0,ROUND(G62*(1+IF(AND(G$6&gt;0,$B63&lt;G$6),G$4,G$5)/12),2))</f>
        <v/>
      </c>
      <c r="AM63">
        <f>IF(H62&lt;=0,0,ROUND(H62*(1+IF(AND(H$6&gt;0,$B63&lt;H$6),H$4,H$5)/12),2))</f>
        <v/>
      </c>
      <c r="AN63">
        <f>IF(I62&lt;=0,0,ROUND(I62*(1+IF(AND(I$6&gt;0,$B63&lt;I$6),I$4,I$5)/12),2))</f>
        <v/>
      </c>
      <c r="AO63">
        <f>IF(J62&lt;=0,0,ROUND(J62*(1+IF(AND(J$6&gt;0,$B63&lt;J$6),J$4,J$5)/12),2))</f>
        <v/>
      </c>
      <c r="AP63">
        <f>IF(K62&lt;=0,0,ROUND(K62*(1+IF(AND(K$6&gt;0,$B63&lt;K$6),K$4,K$5)/12),2))</f>
        <v/>
      </c>
      <c r="AQ63">
        <f>IF(L62&lt;=0,0,ROUND(L62*(1+IF(AND(L$6&gt;0,$B63&lt;L$6),L$4,L$5)/12),2))</f>
        <v/>
      </c>
      <c r="AR63">
        <f>IF(M62&lt;=0,0,ROUND(M62*(1+IF(AND(M$6&gt;0,$B63&lt;M$6),M$4,M$5)/12),2))</f>
        <v/>
      </c>
      <c r="AS63">
        <f>IF(N62&lt;=0,0,ROUND(N62*(1+IF(AND(N$6&gt;0,$B63&lt;N$6),N$4,N$5)/12),2))</f>
        <v/>
      </c>
    </row>
    <row r="64">
      <c r="A64" t="n">
        <v>53</v>
      </c>
      <c r="B64">
        <f>EDATE(Plan!$C$6,52)</f>
        <v/>
      </c>
      <c r="C64">
        <f>IF(C63&lt;=0,0,MAX(0,AH64-O64))</f>
        <v/>
      </c>
      <c r="D64">
        <f>IF(D63&lt;=0,0,MAX(0,AI64-P64))</f>
        <v/>
      </c>
      <c r="E64">
        <f>IF(E63&lt;=0,0,MAX(0,AJ64-Q64))</f>
        <v/>
      </c>
      <c r="F64">
        <f>IF(F63&lt;=0,0,MAX(0,AK64-R64))</f>
        <v/>
      </c>
      <c r="G64">
        <f>IF(G63&lt;=0,0,MAX(0,AL64-S64))</f>
        <v/>
      </c>
      <c r="H64">
        <f>IF(H63&lt;=0,0,MAX(0,AM64-T64))</f>
        <v/>
      </c>
      <c r="I64">
        <f>IF(I63&lt;=0,0,MAX(0,AN64-U64))</f>
        <v/>
      </c>
      <c r="J64">
        <f>IF(J63&lt;=0,0,MAX(0,AO64-V64))</f>
        <v/>
      </c>
      <c r="K64">
        <f>IF(K63&lt;=0,0,MAX(0,AP64-W64))</f>
        <v/>
      </c>
      <c r="L64">
        <f>IF(L63&lt;=0,0,MAX(0,AQ64-X64))</f>
        <v/>
      </c>
      <c r="M64">
        <f>IF(M63&lt;=0,0,MAX(0,AR64-Y64))</f>
        <v/>
      </c>
      <c r="N64">
        <f>IF(N63&lt;=0,0,MAX(0,AS64-Z64))</f>
        <v/>
      </c>
      <c r="O64">
        <f>IF(C63&lt;=0,0,MIN(AH64,C$7+IF(C$2=$AA64,$AC64,IF(C$2=$AF64,$AG64,0))))</f>
        <v/>
      </c>
      <c r="P64">
        <f>IF(D63&lt;=0,0,MIN(AI64,D$7+IF(D$2=$AA64,$AC64,IF(D$2=$AF64,$AG64,0))))</f>
        <v/>
      </c>
      <c r="Q64">
        <f>IF(E63&lt;=0,0,MIN(AJ64,E$7+IF(E$2=$AA64,$AC64,IF(E$2=$AF64,$AG64,0))))</f>
        <v/>
      </c>
      <c r="R64">
        <f>IF(F63&lt;=0,0,MIN(AK64,F$7+IF(F$2=$AA64,$AC64,IF(F$2=$AF64,$AG64,0))))</f>
        <v/>
      </c>
      <c r="S64">
        <f>IF(G63&lt;=0,0,MIN(AL64,G$7+IF(G$2=$AA64,$AC64,IF(G$2=$AF64,$AG64,0))))</f>
        <v/>
      </c>
      <c r="T64">
        <f>IF(H63&lt;=0,0,MIN(AM64,H$7+IF(H$2=$AA64,$AC64,IF(H$2=$AF64,$AG64,0))))</f>
        <v/>
      </c>
      <c r="U64">
        <f>IF(I63&lt;=0,0,MIN(AN64,I$7+IF(I$2=$AA64,$AC64,IF(I$2=$AF64,$AG64,0))))</f>
        <v/>
      </c>
      <c r="V64">
        <f>IF(J63&lt;=0,0,MIN(AO64,J$7+IF(J$2=$AA64,$AC64,IF(J$2=$AF64,$AG64,0))))</f>
        <v/>
      </c>
      <c r="W64">
        <f>IF(K63&lt;=0,0,MIN(AP64,K$7+IF(K$2=$AA64,$AC64,IF(K$2=$AF64,$AG64,0))))</f>
        <v/>
      </c>
      <c r="X64">
        <f>IF(L63&lt;=0,0,MIN(AQ64,L$7+IF(L$2=$AA64,$AC64,IF(L$2=$AF64,$AG64,0))))</f>
        <v/>
      </c>
      <c r="Y64">
        <f>IF(M63&lt;=0,0,MIN(AR64,M$7+IF(M$2=$AA64,$AC64,IF(M$2=$AF64,$AG64,0))))</f>
        <v/>
      </c>
      <c r="Z64">
        <f>IF(N63&lt;=0,0,MIN(AS64,N$7+IF(N$2=$AA64,$AC64,IF(N$2=$AF64,$AG64,0))))</f>
        <v/>
      </c>
      <c r="AA64">
        <f>IFERROR(ROUND(1/SUMPRODUCT(MAX((C63:N63&gt;0)*($C$3:$N$3&lt;=B64)/$C$2:$N$2)),0),0)</f>
        <v/>
      </c>
      <c r="AB64">
        <f>SUMPRODUCT((C63:N63&gt;0)*$C$7:$N$7)</f>
        <v/>
      </c>
      <c r="AC64">
        <f>MAX(0,Plan!$C$5-AB64)+IF(A64=Plan!$C$8,N(Plan!$C$7),0)</f>
        <v/>
      </c>
      <c r="AD64">
        <f>SUM(C64:N64)</f>
        <v/>
      </c>
      <c r="AE64">
        <f>SUM(O64:Z64)</f>
        <v/>
      </c>
      <c r="AF64">
        <f>IFERROR(ROUND(1/SUMPRODUCT(MAX((C63:N63&gt;0)*($C$3:$N$3&lt;=B64)*($C$2:$N$2&gt;AA64)/$C$2:$N$2)),0),0)</f>
        <v/>
      </c>
      <c r="AG64">
        <f>MAX(0,AC64-MAX(0,SUMPRODUCT(($C$2:$N$2=AA64)*(AH64:AS64-$C$7:$N$7))))</f>
        <v/>
      </c>
      <c r="AH64">
        <f>IF(C63&lt;=0,0,ROUND(C63*(1+IF(AND(C$6&gt;0,$B64&lt;C$6),C$4,C$5)/12),2))</f>
        <v/>
      </c>
      <c r="AI64">
        <f>IF(D63&lt;=0,0,ROUND(D63*(1+IF(AND(D$6&gt;0,$B64&lt;D$6),D$4,D$5)/12),2))</f>
        <v/>
      </c>
      <c r="AJ64">
        <f>IF(E63&lt;=0,0,ROUND(E63*(1+IF(AND(E$6&gt;0,$B64&lt;E$6),E$4,E$5)/12),2))</f>
        <v/>
      </c>
      <c r="AK64">
        <f>IF(F63&lt;=0,0,ROUND(F63*(1+IF(AND(F$6&gt;0,$B64&lt;F$6),F$4,F$5)/12),2))</f>
        <v/>
      </c>
      <c r="AL64">
        <f>IF(G63&lt;=0,0,ROUND(G63*(1+IF(AND(G$6&gt;0,$B64&lt;G$6),G$4,G$5)/12),2))</f>
        <v/>
      </c>
      <c r="AM64">
        <f>IF(H63&lt;=0,0,ROUND(H63*(1+IF(AND(H$6&gt;0,$B64&lt;H$6),H$4,H$5)/12),2))</f>
        <v/>
      </c>
      <c r="AN64">
        <f>IF(I63&lt;=0,0,ROUND(I63*(1+IF(AND(I$6&gt;0,$B64&lt;I$6),I$4,I$5)/12),2))</f>
        <v/>
      </c>
      <c r="AO64">
        <f>IF(J63&lt;=0,0,ROUND(J63*(1+IF(AND(J$6&gt;0,$B64&lt;J$6),J$4,J$5)/12),2))</f>
        <v/>
      </c>
      <c r="AP64">
        <f>IF(K63&lt;=0,0,ROUND(K63*(1+IF(AND(K$6&gt;0,$B64&lt;K$6),K$4,K$5)/12),2))</f>
        <v/>
      </c>
      <c r="AQ64">
        <f>IF(L63&lt;=0,0,ROUND(L63*(1+IF(AND(L$6&gt;0,$B64&lt;L$6),L$4,L$5)/12),2))</f>
        <v/>
      </c>
      <c r="AR64">
        <f>IF(M63&lt;=0,0,ROUND(M63*(1+IF(AND(M$6&gt;0,$B64&lt;M$6),M$4,M$5)/12),2))</f>
        <v/>
      </c>
      <c r="AS64">
        <f>IF(N63&lt;=0,0,ROUND(N63*(1+IF(AND(N$6&gt;0,$B64&lt;N$6),N$4,N$5)/12),2))</f>
        <v/>
      </c>
    </row>
    <row r="65">
      <c r="A65" t="n">
        <v>54</v>
      </c>
      <c r="B65">
        <f>EDATE(Plan!$C$6,53)</f>
        <v/>
      </c>
      <c r="C65">
        <f>IF(C64&lt;=0,0,MAX(0,AH65-O65))</f>
        <v/>
      </c>
      <c r="D65">
        <f>IF(D64&lt;=0,0,MAX(0,AI65-P65))</f>
        <v/>
      </c>
      <c r="E65">
        <f>IF(E64&lt;=0,0,MAX(0,AJ65-Q65))</f>
        <v/>
      </c>
      <c r="F65">
        <f>IF(F64&lt;=0,0,MAX(0,AK65-R65))</f>
        <v/>
      </c>
      <c r="G65">
        <f>IF(G64&lt;=0,0,MAX(0,AL65-S65))</f>
        <v/>
      </c>
      <c r="H65">
        <f>IF(H64&lt;=0,0,MAX(0,AM65-T65))</f>
        <v/>
      </c>
      <c r="I65">
        <f>IF(I64&lt;=0,0,MAX(0,AN65-U65))</f>
        <v/>
      </c>
      <c r="J65">
        <f>IF(J64&lt;=0,0,MAX(0,AO65-V65))</f>
        <v/>
      </c>
      <c r="K65">
        <f>IF(K64&lt;=0,0,MAX(0,AP65-W65))</f>
        <v/>
      </c>
      <c r="L65">
        <f>IF(L64&lt;=0,0,MAX(0,AQ65-X65))</f>
        <v/>
      </c>
      <c r="M65">
        <f>IF(M64&lt;=0,0,MAX(0,AR65-Y65))</f>
        <v/>
      </c>
      <c r="N65">
        <f>IF(N64&lt;=0,0,MAX(0,AS65-Z65))</f>
        <v/>
      </c>
      <c r="O65">
        <f>IF(C64&lt;=0,0,MIN(AH65,C$7+IF(C$2=$AA65,$AC65,IF(C$2=$AF65,$AG65,0))))</f>
        <v/>
      </c>
      <c r="P65">
        <f>IF(D64&lt;=0,0,MIN(AI65,D$7+IF(D$2=$AA65,$AC65,IF(D$2=$AF65,$AG65,0))))</f>
        <v/>
      </c>
      <c r="Q65">
        <f>IF(E64&lt;=0,0,MIN(AJ65,E$7+IF(E$2=$AA65,$AC65,IF(E$2=$AF65,$AG65,0))))</f>
        <v/>
      </c>
      <c r="R65">
        <f>IF(F64&lt;=0,0,MIN(AK65,F$7+IF(F$2=$AA65,$AC65,IF(F$2=$AF65,$AG65,0))))</f>
        <v/>
      </c>
      <c r="S65">
        <f>IF(G64&lt;=0,0,MIN(AL65,G$7+IF(G$2=$AA65,$AC65,IF(G$2=$AF65,$AG65,0))))</f>
        <v/>
      </c>
      <c r="T65">
        <f>IF(H64&lt;=0,0,MIN(AM65,H$7+IF(H$2=$AA65,$AC65,IF(H$2=$AF65,$AG65,0))))</f>
        <v/>
      </c>
      <c r="U65">
        <f>IF(I64&lt;=0,0,MIN(AN65,I$7+IF(I$2=$AA65,$AC65,IF(I$2=$AF65,$AG65,0))))</f>
        <v/>
      </c>
      <c r="V65">
        <f>IF(J64&lt;=0,0,MIN(AO65,J$7+IF(J$2=$AA65,$AC65,IF(J$2=$AF65,$AG65,0))))</f>
        <v/>
      </c>
      <c r="W65">
        <f>IF(K64&lt;=0,0,MIN(AP65,K$7+IF(K$2=$AA65,$AC65,IF(K$2=$AF65,$AG65,0))))</f>
        <v/>
      </c>
      <c r="X65">
        <f>IF(L64&lt;=0,0,MIN(AQ65,L$7+IF(L$2=$AA65,$AC65,IF(L$2=$AF65,$AG65,0))))</f>
        <v/>
      </c>
      <c r="Y65">
        <f>IF(M64&lt;=0,0,MIN(AR65,M$7+IF(M$2=$AA65,$AC65,IF(M$2=$AF65,$AG65,0))))</f>
        <v/>
      </c>
      <c r="Z65">
        <f>IF(N64&lt;=0,0,MIN(AS65,N$7+IF(N$2=$AA65,$AC65,IF(N$2=$AF65,$AG65,0))))</f>
        <v/>
      </c>
      <c r="AA65">
        <f>IFERROR(ROUND(1/SUMPRODUCT(MAX((C64:N64&gt;0)*($C$3:$N$3&lt;=B65)/$C$2:$N$2)),0),0)</f>
        <v/>
      </c>
      <c r="AB65">
        <f>SUMPRODUCT((C64:N64&gt;0)*$C$7:$N$7)</f>
        <v/>
      </c>
      <c r="AC65">
        <f>MAX(0,Plan!$C$5-AB65)+IF(A65=Plan!$C$8,N(Plan!$C$7),0)</f>
        <v/>
      </c>
      <c r="AD65">
        <f>SUM(C65:N65)</f>
        <v/>
      </c>
      <c r="AE65">
        <f>SUM(O65:Z65)</f>
        <v/>
      </c>
      <c r="AF65">
        <f>IFERROR(ROUND(1/SUMPRODUCT(MAX((C64:N64&gt;0)*($C$3:$N$3&lt;=B65)*($C$2:$N$2&gt;AA65)/$C$2:$N$2)),0),0)</f>
        <v/>
      </c>
      <c r="AG65">
        <f>MAX(0,AC65-MAX(0,SUMPRODUCT(($C$2:$N$2=AA65)*(AH65:AS65-$C$7:$N$7))))</f>
        <v/>
      </c>
      <c r="AH65">
        <f>IF(C64&lt;=0,0,ROUND(C64*(1+IF(AND(C$6&gt;0,$B65&lt;C$6),C$4,C$5)/12),2))</f>
        <v/>
      </c>
      <c r="AI65">
        <f>IF(D64&lt;=0,0,ROUND(D64*(1+IF(AND(D$6&gt;0,$B65&lt;D$6),D$4,D$5)/12),2))</f>
        <v/>
      </c>
      <c r="AJ65">
        <f>IF(E64&lt;=0,0,ROUND(E64*(1+IF(AND(E$6&gt;0,$B65&lt;E$6),E$4,E$5)/12),2))</f>
        <v/>
      </c>
      <c r="AK65">
        <f>IF(F64&lt;=0,0,ROUND(F64*(1+IF(AND(F$6&gt;0,$B65&lt;F$6),F$4,F$5)/12),2))</f>
        <v/>
      </c>
      <c r="AL65">
        <f>IF(G64&lt;=0,0,ROUND(G64*(1+IF(AND(G$6&gt;0,$B65&lt;G$6),G$4,G$5)/12),2))</f>
        <v/>
      </c>
      <c r="AM65">
        <f>IF(H64&lt;=0,0,ROUND(H64*(1+IF(AND(H$6&gt;0,$B65&lt;H$6),H$4,H$5)/12),2))</f>
        <v/>
      </c>
      <c r="AN65">
        <f>IF(I64&lt;=0,0,ROUND(I64*(1+IF(AND(I$6&gt;0,$B65&lt;I$6),I$4,I$5)/12),2))</f>
        <v/>
      </c>
      <c r="AO65">
        <f>IF(J64&lt;=0,0,ROUND(J64*(1+IF(AND(J$6&gt;0,$B65&lt;J$6),J$4,J$5)/12),2))</f>
        <v/>
      </c>
      <c r="AP65">
        <f>IF(K64&lt;=0,0,ROUND(K64*(1+IF(AND(K$6&gt;0,$B65&lt;K$6),K$4,K$5)/12),2))</f>
        <v/>
      </c>
      <c r="AQ65">
        <f>IF(L64&lt;=0,0,ROUND(L64*(1+IF(AND(L$6&gt;0,$B65&lt;L$6),L$4,L$5)/12),2))</f>
        <v/>
      </c>
      <c r="AR65">
        <f>IF(M64&lt;=0,0,ROUND(M64*(1+IF(AND(M$6&gt;0,$B65&lt;M$6),M$4,M$5)/12),2))</f>
        <v/>
      </c>
      <c r="AS65">
        <f>IF(N64&lt;=0,0,ROUND(N64*(1+IF(AND(N$6&gt;0,$B65&lt;N$6),N$4,N$5)/12),2))</f>
        <v/>
      </c>
    </row>
    <row r="66">
      <c r="A66" t="n">
        <v>55</v>
      </c>
      <c r="B66">
        <f>EDATE(Plan!$C$6,54)</f>
        <v/>
      </c>
      <c r="C66">
        <f>IF(C65&lt;=0,0,MAX(0,AH66-O66))</f>
        <v/>
      </c>
      <c r="D66">
        <f>IF(D65&lt;=0,0,MAX(0,AI66-P66))</f>
        <v/>
      </c>
      <c r="E66">
        <f>IF(E65&lt;=0,0,MAX(0,AJ66-Q66))</f>
        <v/>
      </c>
      <c r="F66">
        <f>IF(F65&lt;=0,0,MAX(0,AK66-R66))</f>
        <v/>
      </c>
      <c r="G66">
        <f>IF(G65&lt;=0,0,MAX(0,AL66-S66))</f>
        <v/>
      </c>
      <c r="H66">
        <f>IF(H65&lt;=0,0,MAX(0,AM66-T66))</f>
        <v/>
      </c>
      <c r="I66">
        <f>IF(I65&lt;=0,0,MAX(0,AN66-U66))</f>
        <v/>
      </c>
      <c r="J66">
        <f>IF(J65&lt;=0,0,MAX(0,AO66-V66))</f>
        <v/>
      </c>
      <c r="K66">
        <f>IF(K65&lt;=0,0,MAX(0,AP66-W66))</f>
        <v/>
      </c>
      <c r="L66">
        <f>IF(L65&lt;=0,0,MAX(0,AQ66-X66))</f>
        <v/>
      </c>
      <c r="M66">
        <f>IF(M65&lt;=0,0,MAX(0,AR66-Y66))</f>
        <v/>
      </c>
      <c r="N66">
        <f>IF(N65&lt;=0,0,MAX(0,AS66-Z66))</f>
        <v/>
      </c>
      <c r="O66">
        <f>IF(C65&lt;=0,0,MIN(AH66,C$7+IF(C$2=$AA66,$AC66,IF(C$2=$AF66,$AG66,0))))</f>
        <v/>
      </c>
      <c r="P66">
        <f>IF(D65&lt;=0,0,MIN(AI66,D$7+IF(D$2=$AA66,$AC66,IF(D$2=$AF66,$AG66,0))))</f>
        <v/>
      </c>
      <c r="Q66">
        <f>IF(E65&lt;=0,0,MIN(AJ66,E$7+IF(E$2=$AA66,$AC66,IF(E$2=$AF66,$AG66,0))))</f>
        <v/>
      </c>
      <c r="R66">
        <f>IF(F65&lt;=0,0,MIN(AK66,F$7+IF(F$2=$AA66,$AC66,IF(F$2=$AF66,$AG66,0))))</f>
        <v/>
      </c>
      <c r="S66">
        <f>IF(G65&lt;=0,0,MIN(AL66,G$7+IF(G$2=$AA66,$AC66,IF(G$2=$AF66,$AG66,0))))</f>
        <v/>
      </c>
      <c r="T66">
        <f>IF(H65&lt;=0,0,MIN(AM66,H$7+IF(H$2=$AA66,$AC66,IF(H$2=$AF66,$AG66,0))))</f>
        <v/>
      </c>
      <c r="U66">
        <f>IF(I65&lt;=0,0,MIN(AN66,I$7+IF(I$2=$AA66,$AC66,IF(I$2=$AF66,$AG66,0))))</f>
        <v/>
      </c>
      <c r="V66">
        <f>IF(J65&lt;=0,0,MIN(AO66,J$7+IF(J$2=$AA66,$AC66,IF(J$2=$AF66,$AG66,0))))</f>
        <v/>
      </c>
      <c r="W66">
        <f>IF(K65&lt;=0,0,MIN(AP66,K$7+IF(K$2=$AA66,$AC66,IF(K$2=$AF66,$AG66,0))))</f>
        <v/>
      </c>
      <c r="X66">
        <f>IF(L65&lt;=0,0,MIN(AQ66,L$7+IF(L$2=$AA66,$AC66,IF(L$2=$AF66,$AG66,0))))</f>
        <v/>
      </c>
      <c r="Y66">
        <f>IF(M65&lt;=0,0,MIN(AR66,M$7+IF(M$2=$AA66,$AC66,IF(M$2=$AF66,$AG66,0))))</f>
        <v/>
      </c>
      <c r="Z66">
        <f>IF(N65&lt;=0,0,MIN(AS66,N$7+IF(N$2=$AA66,$AC66,IF(N$2=$AF66,$AG66,0))))</f>
        <v/>
      </c>
      <c r="AA66">
        <f>IFERROR(ROUND(1/SUMPRODUCT(MAX((C65:N65&gt;0)*($C$3:$N$3&lt;=B66)/$C$2:$N$2)),0),0)</f>
        <v/>
      </c>
      <c r="AB66">
        <f>SUMPRODUCT((C65:N65&gt;0)*$C$7:$N$7)</f>
        <v/>
      </c>
      <c r="AC66">
        <f>MAX(0,Plan!$C$5-AB66)+IF(A66=Plan!$C$8,N(Plan!$C$7),0)</f>
        <v/>
      </c>
      <c r="AD66">
        <f>SUM(C66:N66)</f>
        <v/>
      </c>
      <c r="AE66">
        <f>SUM(O66:Z66)</f>
        <v/>
      </c>
      <c r="AF66">
        <f>IFERROR(ROUND(1/SUMPRODUCT(MAX((C65:N65&gt;0)*($C$3:$N$3&lt;=B66)*($C$2:$N$2&gt;AA66)/$C$2:$N$2)),0),0)</f>
        <v/>
      </c>
      <c r="AG66">
        <f>MAX(0,AC66-MAX(0,SUMPRODUCT(($C$2:$N$2=AA66)*(AH66:AS66-$C$7:$N$7))))</f>
        <v/>
      </c>
      <c r="AH66">
        <f>IF(C65&lt;=0,0,ROUND(C65*(1+IF(AND(C$6&gt;0,$B66&lt;C$6),C$4,C$5)/12),2))</f>
        <v/>
      </c>
      <c r="AI66">
        <f>IF(D65&lt;=0,0,ROUND(D65*(1+IF(AND(D$6&gt;0,$B66&lt;D$6),D$4,D$5)/12),2))</f>
        <v/>
      </c>
      <c r="AJ66">
        <f>IF(E65&lt;=0,0,ROUND(E65*(1+IF(AND(E$6&gt;0,$B66&lt;E$6),E$4,E$5)/12),2))</f>
        <v/>
      </c>
      <c r="AK66">
        <f>IF(F65&lt;=0,0,ROUND(F65*(1+IF(AND(F$6&gt;0,$B66&lt;F$6),F$4,F$5)/12),2))</f>
        <v/>
      </c>
      <c r="AL66">
        <f>IF(G65&lt;=0,0,ROUND(G65*(1+IF(AND(G$6&gt;0,$B66&lt;G$6),G$4,G$5)/12),2))</f>
        <v/>
      </c>
      <c r="AM66">
        <f>IF(H65&lt;=0,0,ROUND(H65*(1+IF(AND(H$6&gt;0,$B66&lt;H$6),H$4,H$5)/12),2))</f>
        <v/>
      </c>
      <c r="AN66">
        <f>IF(I65&lt;=0,0,ROUND(I65*(1+IF(AND(I$6&gt;0,$B66&lt;I$6),I$4,I$5)/12),2))</f>
        <v/>
      </c>
      <c r="AO66">
        <f>IF(J65&lt;=0,0,ROUND(J65*(1+IF(AND(J$6&gt;0,$B66&lt;J$6),J$4,J$5)/12),2))</f>
        <v/>
      </c>
      <c r="AP66">
        <f>IF(K65&lt;=0,0,ROUND(K65*(1+IF(AND(K$6&gt;0,$B66&lt;K$6),K$4,K$5)/12),2))</f>
        <v/>
      </c>
      <c r="AQ66">
        <f>IF(L65&lt;=0,0,ROUND(L65*(1+IF(AND(L$6&gt;0,$B66&lt;L$6),L$4,L$5)/12),2))</f>
        <v/>
      </c>
      <c r="AR66">
        <f>IF(M65&lt;=0,0,ROUND(M65*(1+IF(AND(M$6&gt;0,$B66&lt;M$6),M$4,M$5)/12),2))</f>
        <v/>
      </c>
      <c r="AS66">
        <f>IF(N65&lt;=0,0,ROUND(N65*(1+IF(AND(N$6&gt;0,$B66&lt;N$6),N$4,N$5)/12),2))</f>
        <v/>
      </c>
    </row>
    <row r="67">
      <c r="A67" t="n">
        <v>56</v>
      </c>
      <c r="B67">
        <f>EDATE(Plan!$C$6,55)</f>
        <v/>
      </c>
      <c r="C67">
        <f>IF(C66&lt;=0,0,MAX(0,AH67-O67))</f>
        <v/>
      </c>
      <c r="D67">
        <f>IF(D66&lt;=0,0,MAX(0,AI67-P67))</f>
        <v/>
      </c>
      <c r="E67">
        <f>IF(E66&lt;=0,0,MAX(0,AJ67-Q67))</f>
        <v/>
      </c>
      <c r="F67">
        <f>IF(F66&lt;=0,0,MAX(0,AK67-R67))</f>
        <v/>
      </c>
      <c r="G67">
        <f>IF(G66&lt;=0,0,MAX(0,AL67-S67))</f>
        <v/>
      </c>
      <c r="H67">
        <f>IF(H66&lt;=0,0,MAX(0,AM67-T67))</f>
        <v/>
      </c>
      <c r="I67">
        <f>IF(I66&lt;=0,0,MAX(0,AN67-U67))</f>
        <v/>
      </c>
      <c r="J67">
        <f>IF(J66&lt;=0,0,MAX(0,AO67-V67))</f>
        <v/>
      </c>
      <c r="K67">
        <f>IF(K66&lt;=0,0,MAX(0,AP67-W67))</f>
        <v/>
      </c>
      <c r="L67">
        <f>IF(L66&lt;=0,0,MAX(0,AQ67-X67))</f>
        <v/>
      </c>
      <c r="M67">
        <f>IF(M66&lt;=0,0,MAX(0,AR67-Y67))</f>
        <v/>
      </c>
      <c r="N67">
        <f>IF(N66&lt;=0,0,MAX(0,AS67-Z67))</f>
        <v/>
      </c>
      <c r="O67">
        <f>IF(C66&lt;=0,0,MIN(AH67,C$7+IF(C$2=$AA67,$AC67,IF(C$2=$AF67,$AG67,0))))</f>
        <v/>
      </c>
      <c r="P67">
        <f>IF(D66&lt;=0,0,MIN(AI67,D$7+IF(D$2=$AA67,$AC67,IF(D$2=$AF67,$AG67,0))))</f>
        <v/>
      </c>
      <c r="Q67">
        <f>IF(E66&lt;=0,0,MIN(AJ67,E$7+IF(E$2=$AA67,$AC67,IF(E$2=$AF67,$AG67,0))))</f>
        <v/>
      </c>
      <c r="R67">
        <f>IF(F66&lt;=0,0,MIN(AK67,F$7+IF(F$2=$AA67,$AC67,IF(F$2=$AF67,$AG67,0))))</f>
        <v/>
      </c>
      <c r="S67">
        <f>IF(G66&lt;=0,0,MIN(AL67,G$7+IF(G$2=$AA67,$AC67,IF(G$2=$AF67,$AG67,0))))</f>
        <v/>
      </c>
      <c r="T67">
        <f>IF(H66&lt;=0,0,MIN(AM67,H$7+IF(H$2=$AA67,$AC67,IF(H$2=$AF67,$AG67,0))))</f>
        <v/>
      </c>
      <c r="U67">
        <f>IF(I66&lt;=0,0,MIN(AN67,I$7+IF(I$2=$AA67,$AC67,IF(I$2=$AF67,$AG67,0))))</f>
        <v/>
      </c>
      <c r="V67">
        <f>IF(J66&lt;=0,0,MIN(AO67,J$7+IF(J$2=$AA67,$AC67,IF(J$2=$AF67,$AG67,0))))</f>
        <v/>
      </c>
      <c r="W67">
        <f>IF(K66&lt;=0,0,MIN(AP67,K$7+IF(K$2=$AA67,$AC67,IF(K$2=$AF67,$AG67,0))))</f>
        <v/>
      </c>
      <c r="X67">
        <f>IF(L66&lt;=0,0,MIN(AQ67,L$7+IF(L$2=$AA67,$AC67,IF(L$2=$AF67,$AG67,0))))</f>
        <v/>
      </c>
      <c r="Y67">
        <f>IF(M66&lt;=0,0,MIN(AR67,M$7+IF(M$2=$AA67,$AC67,IF(M$2=$AF67,$AG67,0))))</f>
        <v/>
      </c>
      <c r="Z67">
        <f>IF(N66&lt;=0,0,MIN(AS67,N$7+IF(N$2=$AA67,$AC67,IF(N$2=$AF67,$AG67,0))))</f>
        <v/>
      </c>
      <c r="AA67">
        <f>IFERROR(ROUND(1/SUMPRODUCT(MAX((C66:N66&gt;0)*($C$3:$N$3&lt;=B67)/$C$2:$N$2)),0),0)</f>
        <v/>
      </c>
      <c r="AB67">
        <f>SUMPRODUCT((C66:N66&gt;0)*$C$7:$N$7)</f>
        <v/>
      </c>
      <c r="AC67">
        <f>MAX(0,Plan!$C$5-AB67)+IF(A67=Plan!$C$8,N(Plan!$C$7),0)</f>
        <v/>
      </c>
      <c r="AD67">
        <f>SUM(C67:N67)</f>
        <v/>
      </c>
      <c r="AE67">
        <f>SUM(O67:Z67)</f>
        <v/>
      </c>
      <c r="AF67">
        <f>IFERROR(ROUND(1/SUMPRODUCT(MAX((C66:N66&gt;0)*($C$3:$N$3&lt;=B67)*($C$2:$N$2&gt;AA67)/$C$2:$N$2)),0),0)</f>
        <v/>
      </c>
      <c r="AG67">
        <f>MAX(0,AC67-MAX(0,SUMPRODUCT(($C$2:$N$2=AA67)*(AH67:AS67-$C$7:$N$7))))</f>
        <v/>
      </c>
      <c r="AH67">
        <f>IF(C66&lt;=0,0,ROUND(C66*(1+IF(AND(C$6&gt;0,$B67&lt;C$6),C$4,C$5)/12),2))</f>
        <v/>
      </c>
      <c r="AI67">
        <f>IF(D66&lt;=0,0,ROUND(D66*(1+IF(AND(D$6&gt;0,$B67&lt;D$6),D$4,D$5)/12),2))</f>
        <v/>
      </c>
      <c r="AJ67">
        <f>IF(E66&lt;=0,0,ROUND(E66*(1+IF(AND(E$6&gt;0,$B67&lt;E$6),E$4,E$5)/12),2))</f>
        <v/>
      </c>
      <c r="AK67">
        <f>IF(F66&lt;=0,0,ROUND(F66*(1+IF(AND(F$6&gt;0,$B67&lt;F$6),F$4,F$5)/12),2))</f>
        <v/>
      </c>
      <c r="AL67">
        <f>IF(G66&lt;=0,0,ROUND(G66*(1+IF(AND(G$6&gt;0,$B67&lt;G$6),G$4,G$5)/12),2))</f>
        <v/>
      </c>
      <c r="AM67">
        <f>IF(H66&lt;=0,0,ROUND(H66*(1+IF(AND(H$6&gt;0,$B67&lt;H$6),H$4,H$5)/12),2))</f>
        <v/>
      </c>
      <c r="AN67">
        <f>IF(I66&lt;=0,0,ROUND(I66*(1+IF(AND(I$6&gt;0,$B67&lt;I$6),I$4,I$5)/12),2))</f>
        <v/>
      </c>
      <c r="AO67">
        <f>IF(J66&lt;=0,0,ROUND(J66*(1+IF(AND(J$6&gt;0,$B67&lt;J$6),J$4,J$5)/12),2))</f>
        <v/>
      </c>
      <c r="AP67">
        <f>IF(K66&lt;=0,0,ROUND(K66*(1+IF(AND(K$6&gt;0,$B67&lt;K$6),K$4,K$5)/12),2))</f>
        <v/>
      </c>
      <c r="AQ67">
        <f>IF(L66&lt;=0,0,ROUND(L66*(1+IF(AND(L$6&gt;0,$B67&lt;L$6),L$4,L$5)/12),2))</f>
        <v/>
      </c>
      <c r="AR67">
        <f>IF(M66&lt;=0,0,ROUND(M66*(1+IF(AND(M$6&gt;0,$B67&lt;M$6),M$4,M$5)/12),2))</f>
        <v/>
      </c>
      <c r="AS67">
        <f>IF(N66&lt;=0,0,ROUND(N66*(1+IF(AND(N$6&gt;0,$B67&lt;N$6),N$4,N$5)/12),2))</f>
        <v/>
      </c>
    </row>
    <row r="68">
      <c r="A68" t="n">
        <v>57</v>
      </c>
      <c r="B68">
        <f>EDATE(Plan!$C$6,56)</f>
        <v/>
      </c>
      <c r="C68">
        <f>IF(C67&lt;=0,0,MAX(0,AH68-O68))</f>
        <v/>
      </c>
      <c r="D68">
        <f>IF(D67&lt;=0,0,MAX(0,AI68-P68))</f>
        <v/>
      </c>
      <c r="E68">
        <f>IF(E67&lt;=0,0,MAX(0,AJ68-Q68))</f>
        <v/>
      </c>
      <c r="F68">
        <f>IF(F67&lt;=0,0,MAX(0,AK68-R68))</f>
        <v/>
      </c>
      <c r="G68">
        <f>IF(G67&lt;=0,0,MAX(0,AL68-S68))</f>
        <v/>
      </c>
      <c r="H68">
        <f>IF(H67&lt;=0,0,MAX(0,AM68-T68))</f>
        <v/>
      </c>
      <c r="I68">
        <f>IF(I67&lt;=0,0,MAX(0,AN68-U68))</f>
        <v/>
      </c>
      <c r="J68">
        <f>IF(J67&lt;=0,0,MAX(0,AO68-V68))</f>
        <v/>
      </c>
      <c r="K68">
        <f>IF(K67&lt;=0,0,MAX(0,AP68-W68))</f>
        <v/>
      </c>
      <c r="L68">
        <f>IF(L67&lt;=0,0,MAX(0,AQ68-X68))</f>
        <v/>
      </c>
      <c r="M68">
        <f>IF(M67&lt;=0,0,MAX(0,AR68-Y68))</f>
        <v/>
      </c>
      <c r="N68">
        <f>IF(N67&lt;=0,0,MAX(0,AS68-Z68))</f>
        <v/>
      </c>
      <c r="O68">
        <f>IF(C67&lt;=0,0,MIN(AH68,C$7+IF(C$2=$AA68,$AC68,IF(C$2=$AF68,$AG68,0))))</f>
        <v/>
      </c>
      <c r="P68">
        <f>IF(D67&lt;=0,0,MIN(AI68,D$7+IF(D$2=$AA68,$AC68,IF(D$2=$AF68,$AG68,0))))</f>
        <v/>
      </c>
      <c r="Q68">
        <f>IF(E67&lt;=0,0,MIN(AJ68,E$7+IF(E$2=$AA68,$AC68,IF(E$2=$AF68,$AG68,0))))</f>
        <v/>
      </c>
      <c r="R68">
        <f>IF(F67&lt;=0,0,MIN(AK68,F$7+IF(F$2=$AA68,$AC68,IF(F$2=$AF68,$AG68,0))))</f>
        <v/>
      </c>
      <c r="S68">
        <f>IF(G67&lt;=0,0,MIN(AL68,G$7+IF(G$2=$AA68,$AC68,IF(G$2=$AF68,$AG68,0))))</f>
        <v/>
      </c>
      <c r="T68">
        <f>IF(H67&lt;=0,0,MIN(AM68,H$7+IF(H$2=$AA68,$AC68,IF(H$2=$AF68,$AG68,0))))</f>
        <v/>
      </c>
      <c r="U68">
        <f>IF(I67&lt;=0,0,MIN(AN68,I$7+IF(I$2=$AA68,$AC68,IF(I$2=$AF68,$AG68,0))))</f>
        <v/>
      </c>
      <c r="V68">
        <f>IF(J67&lt;=0,0,MIN(AO68,J$7+IF(J$2=$AA68,$AC68,IF(J$2=$AF68,$AG68,0))))</f>
        <v/>
      </c>
      <c r="W68">
        <f>IF(K67&lt;=0,0,MIN(AP68,K$7+IF(K$2=$AA68,$AC68,IF(K$2=$AF68,$AG68,0))))</f>
        <v/>
      </c>
      <c r="X68">
        <f>IF(L67&lt;=0,0,MIN(AQ68,L$7+IF(L$2=$AA68,$AC68,IF(L$2=$AF68,$AG68,0))))</f>
        <v/>
      </c>
      <c r="Y68">
        <f>IF(M67&lt;=0,0,MIN(AR68,M$7+IF(M$2=$AA68,$AC68,IF(M$2=$AF68,$AG68,0))))</f>
        <v/>
      </c>
      <c r="Z68">
        <f>IF(N67&lt;=0,0,MIN(AS68,N$7+IF(N$2=$AA68,$AC68,IF(N$2=$AF68,$AG68,0))))</f>
        <v/>
      </c>
      <c r="AA68">
        <f>IFERROR(ROUND(1/SUMPRODUCT(MAX((C67:N67&gt;0)*($C$3:$N$3&lt;=B68)/$C$2:$N$2)),0),0)</f>
        <v/>
      </c>
      <c r="AB68">
        <f>SUMPRODUCT((C67:N67&gt;0)*$C$7:$N$7)</f>
        <v/>
      </c>
      <c r="AC68">
        <f>MAX(0,Plan!$C$5-AB68)+IF(A68=Plan!$C$8,N(Plan!$C$7),0)</f>
        <v/>
      </c>
      <c r="AD68">
        <f>SUM(C68:N68)</f>
        <v/>
      </c>
      <c r="AE68">
        <f>SUM(O68:Z68)</f>
        <v/>
      </c>
      <c r="AF68">
        <f>IFERROR(ROUND(1/SUMPRODUCT(MAX((C67:N67&gt;0)*($C$3:$N$3&lt;=B68)*($C$2:$N$2&gt;AA68)/$C$2:$N$2)),0),0)</f>
        <v/>
      </c>
      <c r="AG68">
        <f>MAX(0,AC68-MAX(0,SUMPRODUCT(($C$2:$N$2=AA68)*(AH68:AS68-$C$7:$N$7))))</f>
        <v/>
      </c>
      <c r="AH68">
        <f>IF(C67&lt;=0,0,ROUND(C67*(1+IF(AND(C$6&gt;0,$B68&lt;C$6),C$4,C$5)/12),2))</f>
        <v/>
      </c>
      <c r="AI68">
        <f>IF(D67&lt;=0,0,ROUND(D67*(1+IF(AND(D$6&gt;0,$B68&lt;D$6),D$4,D$5)/12),2))</f>
        <v/>
      </c>
      <c r="AJ68">
        <f>IF(E67&lt;=0,0,ROUND(E67*(1+IF(AND(E$6&gt;0,$B68&lt;E$6),E$4,E$5)/12),2))</f>
        <v/>
      </c>
      <c r="AK68">
        <f>IF(F67&lt;=0,0,ROUND(F67*(1+IF(AND(F$6&gt;0,$B68&lt;F$6),F$4,F$5)/12),2))</f>
        <v/>
      </c>
      <c r="AL68">
        <f>IF(G67&lt;=0,0,ROUND(G67*(1+IF(AND(G$6&gt;0,$B68&lt;G$6),G$4,G$5)/12),2))</f>
        <v/>
      </c>
      <c r="AM68">
        <f>IF(H67&lt;=0,0,ROUND(H67*(1+IF(AND(H$6&gt;0,$B68&lt;H$6),H$4,H$5)/12),2))</f>
        <v/>
      </c>
      <c r="AN68">
        <f>IF(I67&lt;=0,0,ROUND(I67*(1+IF(AND(I$6&gt;0,$B68&lt;I$6),I$4,I$5)/12),2))</f>
        <v/>
      </c>
      <c r="AO68">
        <f>IF(J67&lt;=0,0,ROUND(J67*(1+IF(AND(J$6&gt;0,$B68&lt;J$6),J$4,J$5)/12),2))</f>
        <v/>
      </c>
      <c r="AP68">
        <f>IF(K67&lt;=0,0,ROUND(K67*(1+IF(AND(K$6&gt;0,$B68&lt;K$6),K$4,K$5)/12),2))</f>
        <v/>
      </c>
      <c r="AQ68">
        <f>IF(L67&lt;=0,0,ROUND(L67*(1+IF(AND(L$6&gt;0,$B68&lt;L$6),L$4,L$5)/12),2))</f>
        <v/>
      </c>
      <c r="AR68">
        <f>IF(M67&lt;=0,0,ROUND(M67*(1+IF(AND(M$6&gt;0,$B68&lt;M$6),M$4,M$5)/12),2))</f>
        <v/>
      </c>
      <c r="AS68">
        <f>IF(N67&lt;=0,0,ROUND(N67*(1+IF(AND(N$6&gt;0,$B68&lt;N$6),N$4,N$5)/12),2))</f>
        <v/>
      </c>
    </row>
    <row r="69">
      <c r="A69" t="n">
        <v>58</v>
      </c>
      <c r="B69">
        <f>EDATE(Plan!$C$6,57)</f>
        <v/>
      </c>
      <c r="C69">
        <f>IF(C68&lt;=0,0,MAX(0,AH69-O69))</f>
        <v/>
      </c>
      <c r="D69">
        <f>IF(D68&lt;=0,0,MAX(0,AI69-P69))</f>
        <v/>
      </c>
      <c r="E69">
        <f>IF(E68&lt;=0,0,MAX(0,AJ69-Q69))</f>
        <v/>
      </c>
      <c r="F69">
        <f>IF(F68&lt;=0,0,MAX(0,AK69-R69))</f>
        <v/>
      </c>
      <c r="G69">
        <f>IF(G68&lt;=0,0,MAX(0,AL69-S69))</f>
        <v/>
      </c>
      <c r="H69">
        <f>IF(H68&lt;=0,0,MAX(0,AM69-T69))</f>
        <v/>
      </c>
      <c r="I69">
        <f>IF(I68&lt;=0,0,MAX(0,AN69-U69))</f>
        <v/>
      </c>
      <c r="J69">
        <f>IF(J68&lt;=0,0,MAX(0,AO69-V69))</f>
        <v/>
      </c>
      <c r="K69">
        <f>IF(K68&lt;=0,0,MAX(0,AP69-W69))</f>
        <v/>
      </c>
      <c r="L69">
        <f>IF(L68&lt;=0,0,MAX(0,AQ69-X69))</f>
        <v/>
      </c>
      <c r="M69">
        <f>IF(M68&lt;=0,0,MAX(0,AR69-Y69))</f>
        <v/>
      </c>
      <c r="N69">
        <f>IF(N68&lt;=0,0,MAX(0,AS69-Z69))</f>
        <v/>
      </c>
      <c r="O69">
        <f>IF(C68&lt;=0,0,MIN(AH69,C$7+IF(C$2=$AA69,$AC69,IF(C$2=$AF69,$AG69,0))))</f>
        <v/>
      </c>
      <c r="P69">
        <f>IF(D68&lt;=0,0,MIN(AI69,D$7+IF(D$2=$AA69,$AC69,IF(D$2=$AF69,$AG69,0))))</f>
        <v/>
      </c>
      <c r="Q69">
        <f>IF(E68&lt;=0,0,MIN(AJ69,E$7+IF(E$2=$AA69,$AC69,IF(E$2=$AF69,$AG69,0))))</f>
        <v/>
      </c>
      <c r="R69">
        <f>IF(F68&lt;=0,0,MIN(AK69,F$7+IF(F$2=$AA69,$AC69,IF(F$2=$AF69,$AG69,0))))</f>
        <v/>
      </c>
      <c r="S69">
        <f>IF(G68&lt;=0,0,MIN(AL69,G$7+IF(G$2=$AA69,$AC69,IF(G$2=$AF69,$AG69,0))))</f>
        <v/>
      </c>
      <c r="T69">
        <f>IF(H68&lt;=0,0,MIN(AM69,H$7+IF(H$2=$AA69,$AC69,IF(H$2=$AF69,$AG69,0))))</f>
        <v/>
      </c>
      <c r="U69">
        <f>IF(I68&lt;=0,0,MIN(AN69,I$7+IF(I$2=$AA69,$AC69,IF(I$2=$AF69,$AG69,0))))</f>
        <v/>
      </c>
      <c r="V69">
        <f>IF(J68&lt;=0,0,MIN(AO69,J$7+IF(J$2=$AA69,$AC69,IF(J$2=$AF69,$AG69,0))))</f>
        <v/>
      </c>
      <c r="W69">
        <f>IF(K68&lt;=0,0,MIN(AP69,K$7+IF(K$2=$AA69,$AC69,IF(K$2=$AF69,$AG69,0))))</f>
        <v/>
      </c>
      <c r="X69">
        <f>IF(L68&lt;=0,0,MIN(AQ69,L$7+IF(L$2=$AA69,$AC69,IF(L$2=$AF69,$AG69,0))))</f>
        <v/>
      </c>
      <c r="Y69">
        <f>IF(M68&lt;=0,0,MIN(AR69,M$7+IF(M$2=$AA69,$AC69,IF(M$2=$AF69,$AG69,0))))</f>
        <v/>
      </c>
      <c r="Z69">
        <f>IF(N68&lt;=0,0,MIN(AS69,N$7+IF(N$2=$AA69,$AC69,IF(N$2=$AF69,$AG69,0))))</f>
        <v/>
      </c>
      <c r="AA69">
        <f>IFERROR(ROUND(1/SUMPRODUCT(MAX((C68:N68&gt;0)*($C$3:$N$3&lt;=B69)/$C$2:$N$2)),0),0)</f>
        <v/>
      </c>
      <c r="AB69">
        <f>SUMPRODUCT((C68:N68&gt;0)*$C$7:$N$7)</f>
        <v/>
      </c>
      <c r="AC69">
        <f>MAX(0,Plan!$C$5-AB69)+IF(A69=Plan!$C$8,N(Plan!$C$7),0)</f>
        <v/>
      </c>
      <c r="AD69">
        <f>SUM(C69:N69)</f>
        <v/>
      </c>
      <c r="AE69">
        <f>SUM(O69:Z69)</f>
        <v/>
      </c>
      <c r="AF69">
        <f>IFERROR(ROUND(1/SUMPRODUCT(MAX((C68:N68&gt;0)*($C$3:$N$3&lt;=B69)*($C$2:$N$2&gt;AA69)/$C$2:$N$2)),0),0)</f>
        <v/>
      </c>
      <c r="AG69">
        <f>MAX(0,AC69-MAX(0,SUMPRODUCT(($C$2:$N$2=AA69)*(AH69:AS69-$C$7:$N$7))))</f>
        <v/>
      </c>
      <c r="AH69">
        <f>IF(C68&lt;=0,0,ROUND(C68*(1+IF(AND(C$6&gt;0,$B69&lt;C$6),C$4,C$5)/12),2))</f>
        <v/>
      </c>
      <c r="AI69">
        <f>IF(D68&lt;=0,0,ROUND(D68*(1+IF(AND(D$6&gt;0,$B69&lt;D$6),D$4,D$5)/12),2))</f>
        <v/>
      </c>
      <c r="AJ69">
        <f>IF(E68&lt;=0,0,ROUND(E68*(1+IF(AND(E$6&gt;0,$B69&lt;E$6),E$4,E$5)/12),2))</f>
        <v/>
      </c>
      <c r="AK69">
        <f>IF(F68&lt;=0,0,ROUND(F68*(1+IF(AND(F$6&gt;0,$B69&lt;F$6),F$4,F$5)/12),2))</f>
        <v/>
      </c>
      <c r="AL69">
        <f>IF(G68&lt;=0,0,ROUND(G68*(1+IF(AND(G$6&gt;0,$B69&lt;G$6),G$4,G$5)/12),2))</f>
        <v/>
      </c>
      <c r="AM69">
        <f>IF(H68&lt;=0,0,ROUND(H68*(1+IF(AND(H$6&gt;0,$B69&lt;H$6),H$4,H$5)/12),2))</f>
        <v/>
      </c>
      <c r="AN69">
        <f>IF(I68&lt;=0,0,ROUND(I68*(1+IF(AND(I$6&gt;0,$B69&lt;I$6),I$4,I$5)/12),2))</f>
        <v/>
      </c>
      <c r="AO69">
        <f>IF(J68&lt;=0,0,ROUND(J68*(1+IF(AND(J$6&gt;0,$B69&lt;J$6),J$4,J$5)/12),2))</f>
        <v/>
      </c>
      <c r="AP69">
        <f>IF(K68&lt;=0,0,ROUND(K68*(1+IF(AND(K$6&gt;0,$B69&lt;K$6),K$4,K$5)/12),2))</f>
        <v/>
      </c>
      <c r="AQ69">
        <f>IF(L68&lt;=0,0,ROUND(L68*(1+IF(AND(L$6&gt;0,$B69&lt;L$6),L$4,L$5)/12),2))</f>
        <v/>
      </c>
      <c r="AR69">
        <f>IF(M68&lt;=0,0,ROUND(M68*(1+IF(AND(M$6&gt;0,$B69&lt;M$6),M$4,M$5)/12),2))</f>
        <v/>
      </c>
      <c r="AS69">
        <f>IF(N68&lt;=0,0,ROUND(N68*(1+IF(AND(N$6&gt;0,$B69&lt;N$6),N$4,N$5)/12),2))</f>
        <v/>
      </c>
    </row>
    <row r="70">
      <c r="A70" t="n">
        <v>59</v>
      </c>
      <c r="B70">
        <f>EDATE(Plan!$C$6,58)</f>
        <v/>
      </c>
      <c r="C70">
        <f>IF(C69&lt;=0,0,MAX(0,AH70-O70))</f>
        <v/>
      </c>
      <c r="D70">
        <f>IF(D69&lt;=0,0,MAX(0,AI70-P70))</f>
        <v/>
      </c>
      <c r="E70">
        <f>IF(E69&lt;=0,0,MAX(0,AJ70-Q70))</f>
        <v/>
      </c>
      <c r="F70">
        <f>IF(F69&lt;=0,0,MAX(0,AK70-R70))</f>
        <v/>
      </c>
      <c r="G70">
        <f>IF(G69&lt;=0,0,MAX(0,AL70-S70))</f>
        <v/>
      </c>
      <c r="H70">
        <f>IF(H69&lt;=0,0,MAX(0,AM70-T70))</f>
        <v/>
      </c>
      <c r="I70">
        <f>IF(I69&lt;=0,0,MAX(0,AN70-U70))</f>
        <v/>
      </c>
      <c r="J70">
        <f>IF(J69&lt;=0,0,MAX(0,AO70-V70))</f>
        <v/>
      </c>
      <c r="K70">
        <f>IF(K69&lt;=0,0,MAX(0,AP70-W70))</f>
        <v/>
      </c>
      <c r="L70">
        <f>IF(L69&lt;=0,0,MAX(0,AQ70-X70))</f>
        <v/>
      </c>
      <c r="M70">
        <f>IF(M69&lt;=0,0,MAX(0,AR70-Y70))</f>
        <v/>
      </c>
      <c r="N70">
        <f>IF(N69&lt;=0,0,MAX(0,AS70-Z70))</f>
        <v/>
      </c>
      <c r="O70">
        <f>IF(C69&lt;=0,0,MIN(AH70,C$7+IF(C$2=$AA70,$AC70,IF(C$2=$AF70,$AG70,0))))</f>
        <v/>
      </c>
      <c r="P70">
        <f>IF(D69&lt;=0,0,MIN(AI70,D$7+IF(D$2=$AA70,$AC70,IF(D$2=$AF70,$AG70,0))))</f>
        <v/>
      </c>
      <c r="Q70">
        <f>IF(E69&lt;=0,0,MIN(AJ70,E$7+IF(E$2=$AA70,$AC70,IF(E$2=$AF70,$AG70,0))))</f>
        <v/>
      </c>
      <c r="R70">
        <f>IF(F69&lt;=0,0,MIN(AK70,F$7+IF(F$2=$AA70,$AC70,IF(F$2=$AF70,$AG70,0))))</f>
        <v/>
      </c>
      <c r="S70">
        <f>IF(G69&lt;=0,0,MIN(AL70,G$7+IF(G$2=$AA70,$AC70,IF(G$2=$AF70,$AG70,0))))</f>
        <v/>
      </c>
      <c r="T70">
        <f>IF(H69&lt;=0,0,MIN(AM70,H$7+IF(H$2=$AA70,$AC70,IF(H$2=$AF70,$AG70,0))))</f>
        <v/>
      </c>
      <c r="U70">
        <f>IF(I69&lt;=0,0,MIN(AN70,I$7+IF(I$2=$AA70,$AC70,IF(I$2=$AF70,$AG70,0))))</f>
        <v/>
      </c>
      <c r="V70">
        <f>IF(J69&lt;=0,0,MIN(AO70,J$7+IF(J$2=$AA70,$AC70,IF(J$2=$AF70,$AG70,0))))</f>
        <v/>
      </c>
      <c r="W70">
        <f>IF(K69&lt;=0,0,MIN(AP70,K$7+IF(K$2=$AA70,$AC70,IF(K$2=$AF70,$AG70,0))))</f>
        <v/>
      </c>
      <c r="X70">
        <f>IF(L69&lt;=0,0,MIN(AQ70,L$7+IF(L$2=$AA70,$AC70,IF(L$2=$AF70,$AG70,0))))</f>
        <v/>
      </c>
      <c r="Y70">
        <f>IF(M69&lt;=0,0,MIN(AR70,M$7+IF(M$2=$AA70,$AC70,IF(M$2=$AF70,$AG70,0))))</f>
        <v/>
      </c>
      <c r="Z70">
        <f>IF(N69&lt;=0,0,MIN(AS70,N$7+IF(N$2=$AA70,$AC70,IF(N$2=$AF70,$AG70,0))))</f>
        <v/>
      </c>
      <c r="AA70">
        <f>IFERROR(ROUND(1/SUMPRODUCT(MAX((C69:N69&gt;0)*($C$3:$N$3&lt;=B70)/$C$2:$N$2)),0),0)</f>
        <v/>
      </c>
      <c r="AB70">
        <f>SUMPRODUCT((C69:N69&gt;0)*$C$7:$N$7)</f>
        <v/>
      </c>
      <c r="AC70">
        <f>MAX(0,Plan!$C$5-AB70)+IF(A70=Plan!$C$8,N(Plan!$C$7),0)</f>
        <v/>
      </c>
      <c r="AD70">
        <f>SUM(C70:N70)</f>
        <v/>
      </c>
      <c r="AE70">
        <f>SUM(O70:Z70)</f>
        <v/>
      </c>
      <c r="AF70">
        <f>IFERROR(ROUND(1/SUMPRODUCT(MAX((C69:N69&gt;0)*($C$3:$N$3&lt;=B70)*($C$2:$N$2&gt;AA70)/$C$2:$N$2)),0),0)</f>
        <v/>
      </c>
      <c r="AG70">
        <f>MAX(0,AC70-MAX(0,SUMPRODUCT(($C$2:$N$2=AA70)*(AH70:AS70-$C$7:$N$7))))</f>
        <v/>
      </c>
      <c r="AH70">
        <f>IF(C69&lt;=0,0,ROUND(C69*(1+IF(AND(C$6&gt;0,$B70&lt;C$6),C$4,C$5)/12),2))</f>
        <v/>
      </c>
      <c r="AI70">
        <f>IF(D69&lt;=0,0,ROUND(D69*(1+IF(AND(D$6&gt;0,$B70&lt;D$6),D$4,D$5)/12),2))</f>
        <v/>
      </c>
      <c r="AJ70">
        <f>IF(E69&lt;=0,0,ROUND(E69*(1+IF(AND(E$6&gt;0,$B70&lt;E$6),E$4,E$5)/12),2))</f>
        <v/>
      </c>
      <c r="AK70">
        <f>IF(F69&lt;=0,0,ROUND(F69*(1+IF(AND(F$6&gt;0,$B70&lt;F$6),F$4,F$5)/12),2))</f>
        <v/>
      </c>
      <c r="AL70">
        <f>IF(G69&lt;=0,0,ROUND(G69*(1+IF(AND(G$6&gt;0,$B70&lt;G$6),G$4,G$5)/12),2))</f>
        <v/>
      </c>
      <c r="AM70">
        <f>IF(H69&lt;=0,0,ROUND(H69*(1+IF(AND(H$6&gt;0,$B70&lt;H$6),H$4,H$5)/12),2))</f>
        <v/>
      </c>
      <c r="AN70">
        <f>IF(I69&lt;=0,0,ROUND(I69*(1+IF(AND(I$6&gt;0,$B70&lt;I$6),I$4,I$5)/12),2))</f>
        <v/>
      </c>
      <c r="AO70">
        <f>IF(J69&lt;=0,0,ROUND(J69*(1+IF(AND(J$6&gt;0,$B70&lt;J$6),J$4,J$5)/12),2))</f>
        <v/>
      </c>
      <c r="AP70">
        <f>IF(K69&lt;=0,0,ROUND(K69*(1+IF(AND(K$6&gt;0,$B70&lt;K$6),K$4,K$5)/12),2))</f>
        <v/>
      </c>
      <c r="AQ70">
        <f>IF(L69&lt;=0,0,ROUND(L69*(1+IF(AND(L$6&gt;0,$B70&lt;L$6),L$4,L$5)/12),2))</f>
        <v/>
      </c>
      <c r="AR70">
        <f>IF(M69&lt;=0,0,ROUND(M69*(1+IF(AND(M$6&gt;0,$B70&lt;M$6),M$4,M$5)/12),2))</f>
        <v/>
      </c>
      <c r="AS70">
        <f>IF(N69&lt;=0,0,ROUND(N69*(1+IF(AND(N$6&gt;0,$B70&lt;N$6),N$4,N$5)/12),2))</f>
        <v/>
      </c>
    </row>
    <row r="71">
      <c r="A71" t="n">
        <v>60</v>
      </c>
      <c r="B71">
        <f>EDATE(Plan!$C$6,59)</f>
        <v/>
      </c>
      <c r="C71">
        <f>IF(C70&lt;=0,0,MAX(0,AH71-O71))</f>
        <v/>
      </c>
      <c r="D71">
        <f>IF(D70&lt;=0,0,MAX(0,AI71-P71))</f>
        <v/>
      </c>
      <c r="E71">
        <f>IF(E70&lt;=0,0,MAX(0,AJ71-Q71))</f>
        <v/>
      </c>
      <c r="F71">
        <f>IF(F70&lt;=0,0,MAX(0,AK71-R71))</f>
        <v/>
      </c>
      <c r="G71">
        <f>IF(G70&lt;=0,0,MAX(0,AL71-S71))</f>
        <v/>
      </c>
      <c r="H71">
        <f>IF(H70&lt;=0,0,MAX(0,AM71-T71))</f>
        <v/>
      </c>
      <c r="I71">
        <f>IF(I70&lt;=0,0,MAX(0,AN71-U71))</f>
        <v/>
      </c>
      <c r="J71">
        <f>IF(J70&lt;=0,0,MAX(0,AO71-V71))</f>
        <v/>
      </c>
      <c r="K71">
        <f>IF(K70&lt;=0,0,MAX(0,AP71-W71))</f>
        <v/>
      </c>
      <c r="L71">
        <f>IF(L70&lt;=0,0,MAX(0,AQ71-X71))</f>
        <v/>
      </c>
      <c r="M71">
        <f>IF(M70&lt;=0,0,MAX(0,AR71-Y71))</f>
        <v/>
      </c>
      <c r="N71">
        <f>IF(N70&lt;=0,0,MAX(0,AS71-Z71))</f>
        <v/>
      </c>
      <c r="O71">
        <f>IF(C70&lt;=0,0,MIN(AH71,C$7+IF(C$2=$AA71,$AC71,IF(C$2=$AF71,$AG71,0))))</f>
        <v/>
      </c>
      <c r="P71">
        <f>IF(D70&lt;=0,0,MIN(AI71,D$7+IF(D$2=$AA71,$AC71,IF(D$2=$AF71,$AG71,0))))</f>
        <v/>
      </c>
      <c r="Q71">
        <f>IF(E70&lt;=0,0,MIN(AJ71,E$7+IF(E$2=$AA71,$AC71,IF(E$2=$AF71,$AG71,0))))</f>
        <v/>
      </c>
      <c r="R71">
        <f>IF(F70&lt;=0,0,MIN(AK71,F$7+IF(F$2=$AA71,$AC71,IF(F$2=$AF71,$AG71,0))))</f>
        <v/>
      </c>
      <c r="S71">
        <f>IF(G70&lt;=0,0,MIN(AL71,G$7+IF(G$2=$AA71,$AC71,IF(G$2=$AF71,$AG71,0))))</f>
        <v/>
      </c>
      <c r="T71">
        <f>IF(H70&lt;=0,0,MIN(AM71,H$7+IF(H$2=$AA71,$AC71,IF(H$2=$AF71,$AG71,0))))</f>
        <v/>
      </c>
      <c r="U71">
        <f>IF(I70&lt;=0,0,MIN(AN71,I$7+IF(I$2=$AA71,$AC71,IF(I$2=$AF71,$AG71,0))))</f>
        <v/>
      </c>
      <c r="V71">
        <f>IF(J70&lt;=0,0,MIN(AO71,J$7+IF(J$2=$AA71,$AC71,IF(J$2=$AF71,$AG71,0))))</f>
        <v/>
      </c>
      <c r="W71">
        <f>IF(K70&lt;=0,0,MIN(AP71,K$7+IF(K$2=$AA71,$AC71,IF(K$2=$AF71,$AG71,0))))</f>
        <v/>
      </c>
      <c r="X71">
        <f>IF(L70&lt;=0,0,MIN(AQ71,L$7+IF(L$2=$AA71,$AC71,IF(L$2=$AF71,$AG71,0))))</f>
        <v/>
      </c>
      <c r="Y71">
        <f>IF(M70&lt;=0,0,MIN(AR71,M$7+IF(M$2=$AA71,$AC71,IF(M$2=$AF71,$AG71,0))))</f>
        <v/>
      </c>
      <c r="Z71">
        <f>IF(N70&lt;=0,0,MIN(AS71,N$7+IF(N$2=$AA71,$AC71,IF(N$2=$AF71,$AG71,0))))</f>
        <v/>
      </c>
      <c r="AA71">
        <f>IFERROR(ROUND(1/SUMPRODUCT(MAX((C70:N70&gt;0)*($C$3:$N$3&lt;=B71)/$C$2:$N$2)),0),0)</f>
        <v/>
      </c>
      <c r="AB71">
        <f>SUMPRODUCT((C70:N70&gt;0)*$C$7:$N$7)</f>
        <v/>
      </c>
      <c r="AC71">
        <f>MAX(0,Plan!$C$5-AB71)+IF(A71=Plan!$C$8,N(Plan!$C$7),0)</f>
        <v/>
      </c>
      <c r="AD71">
        <f>SUM(C71:N71)</f>
        <v/>
      </c>
      <c r="AE71">
        <f>SUM(O71:Z71)</f>
        <v/>
      </c>
      <c r="AF71">
        <f>IFERROR(ROUND(1/SUMPRODUCT(MAX((C70:N70&gt;0)*($C$3:$N$3&lt;=B71)*($C$2:$N$2&gt;AA71)/$C$2:$N$2)),0),0)</f>
        <v/>
      </c>
      <c r="AG71">
        <f>MAX(0,AC71-MAX(0,SUMPRODUCT(($C$2:$N$2=AA71)*(AH71:AS71-$C$7:$N$7))))</f>
        <v/>
      </c>
      <c r="AH71">
        <f>IF(C70&lt;=0,0,ROUND(C70*(1+IF(AND(C$6&gt;0,$B71&lt;C$6),C$4,C$5)/12),2))</f>
        <v/>
      </c>
      <c r="AI71">
        <f>IF(D70&lt;=0,0,ROUND(D70*(1+IF(AND(D$6&gt;0,$B71&lt;D$6),D$4,D$5)/12),2))</f>
        <v/>
      </c>
      <c r="AJ71">
        <f>IF(E70&lt;=0,0,ROUND(E70*(1+IF(AND(E$6&gt;0,$B71&lt;E$6),E$4,E$5)/12),2))</f>
        <v/>
      </c>
      <c r="AK71">
        <f>IF(F70&lt;=0,0,ROUND(F70*(1+IF(AND(F$6&gt;0,$B71&lt;F$6),F$4,F$5)/12),2))</f>
        <v/>
      </c>
      <c r="AL71">
        <f>IF(G70&lt;=0,0,ROUND(G70*(1+IF(AND(G$6&gt;0,$B71&lt;G$6),G$4,G$5)/12),2))</f>
        <v/>
      </c>
      <c r="AM71">
        <f>IF(H70&lt;=0,0,ROUND(H70*(1+IF(AND(H$6&gt;0,$B71&lt;H$6),H$4,H$5)/12),2))</f>
        <v/>
      </c>
      <c r="AN71">
        <f>IF(I70&lt;=0,0,ROUND(I70*(1+IF(AND(I$6&gt;0,$B71&lt;I$6),I$4,I$5)/12),2))</f>
        <v/>
      </c>
      <c r="AO71">
        <f>IF(J70&lt;=0,0,ROUND(J70*(1+IF(AND(J$6&gt;0,$B71&lt;J$6),J$4,J$5)/12),2))</f>
        <v/>
      </c>
      <c r="AP71">
        <f>IF(K70&lt;=0,0,ROUND(K70*(1+IF(AND(K$6&gt;0,$B71&lt;K$6),K$4,K$5)/12),2))</f>
        <v/>
      </c>
      <c r="AQ71">
        <f>IF(L70&lt;=0,0,ROUND(L70*(1+IF(AND(L$6&gt;0,$B71&lt;L$6),L$4,L$5)/12),2))</f>
        <v/>
      </c>
      <c r="AR71">
        <f>IF(M70&lt;=0,0,ROUND(M70*(1+IF(AND(M$6&gt;0,$B71&lt;M$6),M$4,M$5)/12),2))</f>
        <v/>
      </c>
      <c r="AS71">
        <f>IF(N70&lt;=0,0,ROUND(N70*(1+IF(AND(N$6&gt;0,$B71&lt;N$6),N$4,N$5)/12),2))</f>
        <v/>
      </c>
    </row>
    <row r="72">
      <c r="A72" t="n">
        <v>61</v>
      </c>
      <c r="B72">
        <f>EDATE(Plan!$C$6,60)</f>
        <v/>
      </c>
      <c r="C72">
        <f>IF(C71&lt;=0,0,MAX(0,AH72-O72))</f>
        <v/>
      </c>
      <c r="D72">
        <f>IF(D71&lt;=0,0,MAX(0,AI72-P72))</f>
        <v/>
      </c>
      <c r="E72">
        <f>IF(E71&lt;=0,0,MAX(0,AJ72-Q72))</f>
        <v/>
      </c>
      <c r="F72">
        <f>IF(F71&lt;=0,0,MAX(0,AK72-R72))</f>
        <v/>
      </c>
      <c r="G72">
        <f>IF(G71&lt;=0,0,MAX(0,AL72-S72))</f>
        <v/>
      </c>
      <c r="H72">
        <f>IF(H71&lt;=0,0,MAX(0,AM72-T72))</f>
        <v/>
      </c>
      <c r="I72">
        <f>IF(I71&lt;=0,0,MAX(0,AN72-U72))</f>
        <v/>
      </c>
      <c r="J72">
        <f>IF(J71&lt;=0,0,MAX(0,AO72-V72))</f>
        <v/>
      </c>
      <c r="K72">
        <f>IF(K71&lt;=0,0,MAX(0,AP72-W72))</f>
        <v/>
      </c>
      <c r="L72">
        <f>IF(L71&lt;=0,0,MAX(0,AQ72-X72))</f>
        <v/>
      </c>
      <c r="M72">
        <f>IF(M71&lt;=0,0,MAX(0,AR72-Y72))</f>
        <v/>
      </c>
      <c r="N72">
        <f>IF(N71&lt;=0,0,MAX(0,AS72-Z72))</f>
        <v/>
      </c>
      <c r="O72">
        <f>IF(C71&lt;=0,0,MIN(AH72,C$7+IF(C$2=$AA72,$AC72,IF(C$2=$AF72,$AG72,0))))</f>
        <v/>
      </c>
      <c r="P72">
        <f>IF(D71&lt;=0,0,MIN(AI72,D$7+IF(D$2=$AA72,$AC72,IF(D$2=$AF72,$AG72,0))))</f>
        <v/>
      </c>
      <c r="Q72">
        <f>IF(E71&lt;=0,0,MIN(AJ72,E$7+IF(E$2=$AA72,$AC72,IF(E$2=$AF72,$AG72,0))))</f>
        <v/>
      </c>
      <c r="R72">
        <f>IF(F71&lt;=0,0,MIN(AK72,F$7+IF(F$2=$AA72,$AC72,IF(F$2=$AF72,$AG72,0))))</f>
        <v/>
      </c>
      <c r="S72">
        <f>IF(G71&lt;=0,0,MIN(AL72,G$7+IF(G$2=$AA72,$AC72,IF(G$2=$AF72,$AG72,0))))</f>
        <v/>
      </c>
      <c r="T72">
        <f>IF(H71&lt;=0,0,MIN(AM72,H$7+IF(H$2=$AA72,$AC72,IF(H$2=$AF72,$AG72,0))))</f>
        <v/>
      </c>
      <c r="U72">
        <f>IF(I71&lt;=0,0,MIN(AN72,I$7+IF(I$2=$AA72,$AC72,IF(I$2=$AF72,$AG72,0))))</f>
        <v/>
      </c>
      <c r="V72">
        <f>IF(J71&lt;=0,0,MIN(AO72,J$7+IF(J$2=$AA72,$AC72,IF(J$2=$AF72,$AG72,0))))</f>
        <v/>
      </c>
      <c r="W72">
        <f>IF(K71&lt;=0,0,MIN(AP72,K$7+IF(K$2=$AA72,$AC72,IF(K$2=$AF72,$AG72,0))))</f>
        <v/>
      </c>
      <c r="X72">
        <f>IF(L71&lt;=0,0,MIN(AQ72,L$7+IF(L$2=$AA72,$AC72,IF(L$2=$AF72,$AG72,0))))</f>
        <v/>
      </c>
      <c r="Y72">
        <f>IF(M71&lt;=0,0,MIN(AR72,M$7+IF(M$2=$AA72,$AC72,IF(M$2=$AF72,$AG72,0))))</f>
        <v/>
      </c>
      <c r="Z72">
        <f>IF(N71&lt;=0,0,MIN(AS72,N$7+IF(N$2=$AA72,$AC72,IF(N$2=$AF72,$AG72,0))))</f>
        <v/>
      </c>
      <c r="AA72">
        <f>IFERROR(ROUND(1/SUMPRODUCT(MAX((C71:N71&gt;0)*($C$3:$N$3&lt;=B72)/$C$2:$N$2)),0),0)</f>
        <v/>
      </c>
      <c r="AB72">
        <f>SUMPRODUCT((C71:N71&gt;0)*$C$7:$N$7)</f>
        <v/>
      </c>
      <c r="AC72">
        <f>MAX(0,Plan!$C$5-AB72)+IF(A72=Plan!$C$8,N(Plan!$C$7),0)</f>
        <v/>
      </c>
      <c r="AD72">
        <f>SUM(C72:N72)</f>
        <v/>
      </c>
      <c r="AE72">
        <f>SUM(O72:Z72)</f>
        <v/>
      </c>
      <c r="AF72">
        <f>IFERROR(ROUND(1/SUMPRODUCT(MAX((C71:N71&gt;0)*($C$3:$N$3&lt;=B72)*($C$2:$N$2&gt;AA72)/$C$2:$N$2)),0),0)</f>
        <v/>
      </c>
      <c r="AG72">
        <f>MAX(0,AC72-MAX(0,SUMPRODUCT(($C$2:$N$2=AA72)*(AH72:AS72-$C$7:$N$7))))</f>
        <v/>
      </c>
      <c r="AH72">
        <f>IF(C71&lt;=0,0,ROUND(C71*(1+IF(AND(C$6&gt;0,$B72&lt;C$6),C$4,C$5)/12),2))</f>
        <v/>
      </c>
      <c r="AI72">
        <f>IF(D71&lt;=0,0,ROUND(D71*(1+IF(AND(D$6&gt;0,$B72&lt;D$6),D$4,D$5)/12),2))</f>
        <v/>
      </c>
      <c r="AJ72">
        <f>IF(E71&lt;=0,0,ROUND(E71*(1+IF(AND(E$6&gt;0,$B72&lt;E$6),E$4,E$5)/12),2))</f>
        <v/>
      </c>
      <c r="AK72">
        <f>IF(F71&lt;=0,0,ROUND(F71*(1+IF(AND(F$6&gt;0,$B72&lt;F$6),F$4,F$5)/12),2))</f>
        <v/>
      </c>
      <c r="AL72">
        <f>IF(G71&lt;=0,0,ROUND(G71*(1+IF(AND(G$6&gt;0,$B72&lt;G$6),G$4,G$5)/12),2))</f>
        <v/>
      </c>
      <c r="AM72">
        <f>IF(H71&lt;=0,0,ROUND(H71*(1+IF(AND(H$6&gt;0,$B72&lt;H$6),H$4,H$5)/12),2))</f>
        <v/>
      </c>
      <c r="AN72">
        <f>IF(I71&lt;=0,0,ROUND(I71*(1+IF(AND(I$6&gt;0,$B72&lt;I$6),I$4,I$5)/12),2))</f>
        <v/>
      </c>
      <c r="AO72">
        <f>IF(J71&lt;=0,0,ROUND(J71*(1+IF(AND(J$6&gt;0,$B72&lt;J$6),J$4,J$5)/12),2))</f>
        <v/>
      </c>
      <c r="AP72">
        <f>IF(K71&lt;=0,0,ROUND(K71*(1+IF(AND(K$6&gt;0,$B72&lt;K$6),K$4,K$5)/12),2))</f>
        <v/>
      </c>
      <c r="AQ72">
        <f>IF(L71&lt;=0,0,ROUND(L71*(1+IF(AND(L$6&gt;0,$B72&lt;L$6),L$4,L$5)/12),2))</f>
        <v/>
      </c>
      <c r="AR72">
        <f>IF(M71&lt;=0,0,ROUND(M71*(1+IF(AND(M$6&gt;0,$B72&lt;M$6),M$4,M$5)/12),2))</f>
        <v/>
      </c>
      <c r="AS72">
        <f>IF(N71&lt;=0,0,ROUND(N71*(1+IF(AND(N$6&gt;0,$B72&lt;N$6),N$4,N$5)/12),2))</f>
        <v/>
      </c>
    </row>
    <row r="73">
      <c r="A73" t="n">
        <v>62</v>
      </c>
      <c r="B73">
        <f>EDATE(Plan!$C$6,61)</f>
        <v/>
      </c>
      <c r="C73">
        <f>IF(C72&lt;=0,0,MAX(0,AH73-O73))</f>
        <v/>
      </c>
      <c r="D73">
        <f>IF(D72&lt;=0,0,MAX(0,AI73-P73))</f>
        <v/>
      </c>
      <c r="E73">
        <f>IF(E72&lt;=0,0,MAX(0,AJ73-Q73))</f>
        <v/>
      </c>
      <c r="F73">
        <f>IF(F72&lt;=0,0,MAX(0,AK73-R73))</f>
        <v/>
      </c>
      <c r="G73">
        <f>IF(G72&lt;=0,0,MAX(0,AL73-S73))</f>
        <v/>
      </c>
      <c r="H73">
        <f>IF(H72&lt;=0,0,MAX(0,AM73-T73))</f>
        <v/>
      </c>
      <c r="I73">
        <f>IF(I72&lt;=0,0,MAX(0,AN73-U73))</f>
        <v/>
      </c>
      <c r="J73">
        <f>IF(J72&lt;=0,0,MAX(0,AO73-V73))</f>
        <v/>
      </c>
      <c r="K73">
        <f>IF(K72&lt;=0,0,MAX(0,AP73-W73))</f>
        <v/>
      </c>
      <c r="L73">
        <f>IF(L72&lt;=0,0,MAX(0,AQ73-X73))</f>
        <v/>
      </c>
      <c r="M73">
        <f>IF(M72&lt;=0,0,MAX(0,AR73-Y73))</f>
        <v/>
      </c>
      <c r="N73">
        <f>IF(N72&lt;=0,0,MAX(0,AS73-Z73))</f>
        <v/>
      </c>
      <c r="O73">
        <f>IF(C72&lt;=0,0,MIN(AH73,C$7+IF(C$2=$AA73,$AC73,IF(C$2=$AF73,$AG73,0))))</f>
        <v/>
      </c>
      <c r="P73">
        <f>IF(D72&lt;=0,0,MIN(AI73,D$7+IF(D$2=$AA73,$AC73,IF(D$2=$AF73,$AG73,0))))</f>
        <v/>
      </c>
      <c r="Q73">
        <f>IF(E72&lt;=0,0,MIN(AJ73,E$7+IF(E$2=$AA73,$AC73,IF(E$2=$AF73,$AG73,0))))</f>
        <v/>
      </c>
      <c r="R73">
        <f>IF(F72&lt;=0,0,MIN(AK73,F$7+IF(F$2=$AA73,$AC73,IF(F$2=$AF73,$AG73,0))))</f>
        <v/>
      </c>
      <c r="S73">
        <f>IF(G72&lt;=0,0,MIN(AL73,G$7+IF(G$2=$AA73,$AC73,IF(G$2=$AF73,$AG73,0))))</f>
        <v/>
      </c>
      <c r="T73">
        <f>IF(H72&lt;=0,0,MIN(AM73,H$7+IF(H$2=$AA73,$AC73,IF(H$2=$AF73,$AG73,0))))</f>
        <v/>
      </c>
      <c r="U73">
        <f>IF(I72&lt;=0,0,MIN(AN73,I$7+IF(I$2=$AA73,$AC73,IF(I$2=$AF73,$AG73,0))))</f>
        <v/>
      </c>
      <c r="V73">
        <f>IF(J72&lt;=0,0,MIN(AO73,J$7+IF(J$2=$AA73,$AC73,IF(J$2=$AF73,$AG73,0))))</f>
        <v/>
      </c>
      <c r="W73">
        <f>IF(K72&lt;=0,0,MIN(AP73,K$7+IF(K$2=$AA73,$AC73,IF(K$2=$AF73,$AG73,0))))</f>
        <v/>
      </c>
      <c r="X73">
        <f>IF(L72&lt;=0,0,MIN(AQ73,L$7+IF(L$2=$AA73,$AC73,IF(L$2=$AF73,$AG73,0))))</f>
        <v/>
      </c>
      <c r="Y73">
        <f>IF(M72&lt;=0,0,MIN(AR73,M$7+IF(M$2=$AA73,$AC73,IF(M$2=$AF73,$AG73,0))))</f>
        <v/>
      </c>
      <c r="Z73">
        <f>IF(N72&lt;=0,0,MIN(AS73,N$7+IF(N$2=$AA73,$AC73,IF(N$2=$AF73,$AG73,0))))</f>
        <v/>
      </c>
      <c r="AA73">
        <f>IFERROR(ROUND(1/SUMPRODUCT(MAX((C72:N72&gt;0)*($C$3:$N$3&lt;=B73)/$C$2:$N$2)),0),0)</f>
        <v/>
      </c>
      <c r="AB73">
        <f>SUMPRODUCT((C72:N72&gt;0)*$C$7:$N$7)</f>
        <v/>
      </c>
      <c r="AC73">
        <f>MAX(0,Plan!$C$5-AB73)+IF(A73=Plan!$C$8,N(Plan!$C$7),0)</f>
        <v/>
      </c>
      <c r="AD73">
        <f>SUM(C73:N73)</f>
        <v/>
      </c>
      <c r="AE73">
        <f>SUM(O73:Z73)</f>
        <v/>
      </c>
      <c r="AF73">
        <f>IFERROR(ROUND(1/SUMPRODUCT(MAX((C72:N72&gt;0)*($C$3:$N$3&lt;=B73)*($C$2:$N$2&gt;AA73)/$C$2:$N$2)),0),0)</f>
        <v/>
      </c>
      <c r="AG73">
        <f>MAX(0,AC73-MAX(0,SUMPRODUCT(($C$2:$N$2=AA73)*(AH73:AS73-$C$7:$N$7))))</f>
        <v/>
      </c>
      <c r="AH73">
        <f>IF(C72&lt;=0,0,ROUND(C72*(1+IF(AND(C$6&gt;0,$B73&lt;C$6),C$4,C$5)/12),2))</f>
        <v/>
      </c>
      <c r="AI73">
        <f>IF(D72&lt;=0,0,ROUND(D72*(1+IF(AND(D$6&gt;0,$B73&lt;D$6),D$4,D$5)/12),2))</f>
        <v/>
      </c>
      <c r="AJ73">
        <f>IF(E72&lt;=0,0,ROUND(E72*(1+IF(AND(E$6&gt;0,$B73&lt;E$6),E$4,E$5)/12),2))</f>
        <v/>
      </c>
      <c r="AK73">
        <f>IF(F72&lt;=0,0,ROUND(F72*(1+IF(AND(F$6&gt;0,$B73&lt;F$6),F$4,F$5)/12),2))</f>
        <v/>
      </c>
      <c r="AL73">
        <f>IF(G72&lt;=0,0,ROUND(G72*(1+IF(AND(G$6&gt;0,$B73&lt;G$6),G$4,G$5)/12),2))</f>
        <v/>
      </c>
      <c r="AM73">
        <f>IF(H72&lt;=0,0,ROUND(H72*(1+IF(AND(H$6&gt;0,$B73&lt;H$6),H$4,H$5)/12),2))</f>
        <v/>
      </c>
      <c r="AN73">
        <f>IF(I72&lt;=0,0,ROUND(I72*(1+IF(AND(I$6&gt;0,$B73&lt;I$6),I$4,I$5)/12),2))</f>
        <v/>
      </c>
      <c r="AO73">
        <f>IF(J72&lt;=0,0,ROUND(J72*(1+IF(AND(J$6&gt;0,$B73&lt;J$6),J$4,J$5)/12),2))</f>
        <v/>
      </c>
      <c r="AP73">
        <f>IF(K72&lt;=0,0,ROUND(K72*(1+IF(AND(K$6&gt;0,$B73&lt;K$6),K$4,K$5)/12),2))</f>
        <v/>
      </c>
      <c r="AQ73">
        <f>IF(L72&lt;=0,0,ROUND(L72*(1+IF(AND(L$6&gt;0,$B73&lt;L$6),L$4,L$5)/12),2))</f>
        <v/>
      </c>
      <c r="AR73">
        <f>IF(M72&lt;=0,0,ROUND(M72*(1+IF(AND(M$6&gt;0,$B73&lt;M$6),M$4,M$5)/12),2))</f>
        <v/>
      </c>
      <c r="AS73">
        <f>IF(N72&lt;=0,0,ROUND(N72*(1+IF(AND(N$6&gt;0,$B73&lt;N$6),N$4,N$5)/12),2))</f>
        <v/>
      </c>
    </row>
    <row r="74">
      <c r="A74" t="n">
        <v>63</v>
      </c>
      <c r="B74">
        <f>EDATE(Plan!$C$6,62)</f>
        <v/>
      </c>
      <c r="C74">
        <f>IF(C73&lt;=0,0,MAX(0,AH74-O74))</f>
        <v/>
      </c>
      <c r="D74">
        <f>IF(D73&lt;=0,0,MAX(0,AI74-P74))</f>
        <v/>
      </c>
      <c r="E74">
        <f>IF(E73&lt;=0,0,MAX(0,AJ74-Q74))</f>
        <v/>
      </c>
      <c r="F74">
        <f>IF(F73&lt;=0,0,MAX(0,AK74-R74))</f>
        <v/>
      </c>
      <c r="G74">
        <f>IF(G73&lt;=0,0,MAX(0,AL74-S74))</f>
        <v/>
      </c>
      <c r="H74">
        <f>IF(H73&lt;=0,0,MAX(0,AM74-T74))</f>
        <v/>
      </c>
      <c r="I74">
        <f>IF(I73&lt;=0,0,MAX(0,AN74-U74))</f>
        <v/>
      </c>
      <c r="J74">
        <f>IF(J73&lt;=0,0,MAX(0,AO74-V74))</f>
        <v/>
      </c>
      <c r="K74">
        <f>IF(K73&lt;=0,0,MAX(0,AP74-W74))</f>
        <v/>
      </c>
      <c r="L74">
        <f>IF(L73&lt;=0,0,MAX(0,AQ74-X74))</f>
        <v/>
      </c>
      <c r="M74">
        <f>IF(M73&lt;=0,0,MAX(0,AR74-Y74))</f>
        <v/>
      </c>
      <c r="N74">
        <f>IF(N73&lt;=0,0,MAX(0,AS74-Z74))</f>
        <v/>
      </c>
      <c r="O74">
        <f>IF(C73&lt;=0,0,MIN(AH74,C$7+IF(C$2=$AA74,$AC74,IF(C$2=$AF74,$AG74,0))))</f>
        <v/>
      </c>
      <c r="P74">
        <f>IF(D73&lt;=0,0,MIN(AI74,D$7+IF(D$2=$AA74,$AC74,IF(D$2=$AF74,$AG74,0))))</f>
        <v/>
      </c>
      <c r="Q74">
        <f>IF(E73&lt;=0,0,MIN(AJ74,E$7+IF(E$2=$AA74,$AC74,IF(E$2=$AF74,$AG74,0))))</f>
        <v/>
      </c>
      <c r="R74">
        <f>IF(F73&lt;=0,0,MIN(AK74,F$7+IF(F$2=$AA74,$AC74,IF(F$2=$AF74,$AG74,0))))</f>
        <v/>
      </c>
      <c r="S74">
        <f>IF(G73&lt;=0,0,MIN(AL74,G$7+IF(G$2=$AA74,$AC74,IF(G$2=$AF74,$AG74,0))))</f>
        <v/>
      </c>
      <c r="T74">
        <f>IF(H73&lt;=0,0,MIN(AM74,H$7+IF(H$2=$AA74,$AC74,IF(H$2=$AF74,$AG74,0))))</f>
        <v/>
      </c>
      <c r="U74">
        <f>IF(I73&lt;=0,0,MIN(AN74,I$7+IF(I$2=$AA74,$AC74,IF(I$2=$AF74,$AG74,0))))</f>
        <v/>
      </c>
      <c r="V74">
        <f>IF(J73&lt;=0,0,MIN(AO74,J$7+IF(J$2=$AA74,$AC74,IF(J$2=$AF74,$AG74,0))))</f>
        <v/>
      </c>
      <c r="W74">
        <f>IF(K73&lt;=0,0,MIN(AP74,K$7+IF(K$2=$AA74,$AC74,IF(K$2=$AF74,$AG74,0))))</f>
        <v/>
      </c>
      <c r="X74">
        <f>IF(L73&lt;=0,0,MIN(AQ74,L$7+IF(L$2=$AA74,$AC74,IF(L$2=$AF74,$AG74,0))))</f>
        <v/>
      </c>
      <c r="Y74">
        <f>IF(M73&lt;=0,0,MIN(AR74,M$7+IF(M$2=$AA74,$AC74,IF(M$2=$AF74,$AG74,0))))</f>
        <v/>
      </c>
      <c r="Z74">
        <f>IF(N73&lt;=0,0,MIN(AS74,N$7+IF(N$2=$AA74,$AC74,IF(N$2=$AF74,$AG74,0))))</f>
        <v/>
      </c>
      <c r="AA74">
        <f>IFERROR(ROUND(1/SUMPRODUCT(MAX((C73:N73&gt;0)*($C$3:$N$3&lt;=B74)/$C$2:$N$2)),0),0)</f>
        <v/>
      </c>
      <c r="AB74">
        <f>SUMPRODUCT((C73:N73&gt;0)*$C$7:$N$7)</f>
        <v/>
      </c>
      <c r="AC74">
        <f>MAX(0,Plan!$C$5-AB74)+IF(A74=Plan!$C$8,N(Plan!$C$7),0)</f>
        <v/>
      </c>
      <c r="AD74">
        <f>SUM(C74:N74)</f>
        <v/>
      </c>
      <c r="AE74">
        <f>SUM(O74:Z74)</f>
        <v/>
      </c>
      <c r="AF74">
        <f>IFERROR(ROUND(1/SUMPRODUCT(MAX((C73:N73&gt;0)*($C$3:$N$3&lt;=B74)*($C$2:$N$2&gt;AA74)/$C$2:$N$2)),0),0)</f>
        <v/>
      </c>
      <c r="AG74">
        <f>MAX(0,AC74-MAX(0,SUMPRODUCT(($C$2:$N$2=AA74)*(AH74:AS74-$C$7:$N$7))))</f>
        <v/>
      </c>
      <c r="AH74">
        <f>IF(C73&lt;=0,0,ROUND(C73*(1+IF(AND(C$6&gt;0,$B74&lt;C$6),C$4,C$5)/12),2))</f>
        <v/>
      </c>
      <c r="AI74">
        <f>IF(D73&lt;=0,0,ROUND(D73*(1+IF(AND(D$6&gt;0,$B74&lt;D$6),D$4,D$5)/12),2))</f>
        <v/>
      </c>
      <c r="AJ74">
        <f>IF(E73&lt;=0,0,ROUND(E73*(1+IF(AND(E$6&gt;0,$B74&lt;E$6),E$4,E$5)/12),2))</f>
        <v/>
      </c>
      <c r="AK74">
        <f>IF(F73&lt;=0,0,ROUND(F73*(1+IF(AND(F$6&gt;0,$B74&lt;F$6),F$4,F$5)/12),2))</f>
        <v/>
      </c>
      <c r="AL74">
        <f>IF(G73&lt;=0,0,ROUND(G73*(1+IF(AND(G$6&gt;0,$B74&lt;G$6),G$4,G$5)/12),2))</f>
        <v/>
      </c>
      <c r="AM74">
        <f>IF(H73&lt;=0,0,ROUND(H73*(1+IF(AND(H$6&gt;0,$B74&lt;H$6),H$4,H$5)/12),2))</f>
        <v/>
      </c>
      <c r="AN74">
        <f>IF(I73&lt;=0,0,ROUND(I73*(1+IF(AND(I$6&gt;0,$B74&lt;I$6),I$4,I$5)/12),2))</f>
        <v/>
      </c>
      <c r="AO74">
        <f>IF(J73&lt;=0,0,ROUND(J73*(1+IF(AND(J$6&gt;0,$B74&lt;J$6),J$4,J$5)/12),2))</f>
        <v/>
      </c>
      <c r="AP74">
        <f>IF(K73&lt;=0,0,ROUND(K73*(1+IF(AND(K$6&gt;0,$B74&lt;K$6),K$4,K$5)/12),2))</f>
        <v/>
      </c>
      <c r="AQ74">
        <f>IF(L73&lt;=0,0,ROUND(L73*(1+IF(AND(L$6&gt;0,$B74&lt;L$6),L$4,L$5)/12),2))</f>
        <v/>
      </c>
      <c r="AR74">
        <f>IF(M73&lt;=0,0,ROUND(M73*(1+IF(AND(M$6&gt;0,$B74&lt;M$6),M$4,M$5)/12),2))</f>
        <v/>
      </c>
      <c r="AS74">
        <f>IF(N73&lt;=0,0,ROUND(N73*(1+IF(AND(N$6&gt;0,$B74&lt;N$6),N$4,N$5)/12),2))</f>
        <v/>
      </c>
    </row>
    <row r="75">
      <c r="A75" t="n">
        <v>64</v>
      </c>
      <c r="B75">
        <f>EDATE(Plan!$C$6,63)</f>
        <v/>
      </c>
      <c r="C75">
        <f>IF(C74&lt;=0,0,MAX(0,AH75-O75))</f>
        <v/>
      </c>
      <c r="D75">
        <f>IF(D74&lt;=0,0,MAX(0,AI75-P75))</f>
        <v/>
      </c>
      <c r="E75">
        <f>IF(E74&lt;=0,0,MAX(0,AJ75-Q75))</f>
        <v/>
      </c>
      <c r="F75">
        <f>IF(F74&lt;=0,0,MAX(0,AK75-R75))</f>
        <v/>
      </c>
      <c r="G75">
        <f>IF(G74&lt;=0,0,MAX(0,AL75-S75))</f>
        <v/>
      </c>
      <c r="H75">
        <f>IF(H74&lt;=0,0,MAX(0,AM75-T75))</f>
        <v/>
      </c>
      <c r="I75">
        <f>IF(I74&lt;=0,0,MAX(0,AN75-U75))</f>
        <v/>
      </c>
      <c r="J75">
        <f>IF(J74&lt;=0,0,MAX(0,AO75-V75))</f>
        <v/>
      </c>
      <c r="K75">
        <f>IF(K74&lt;=0,0,MAX(0,AP75-W75))</f>
        <v/>
      </c>
      <c r="L75">
        <f>IF(L74&lt;=0,0,MAX(0,AQ75-X75))</f>
        <v/>
      </c>
      <c r="M75">
        <f>IF(M74&lt;=0,0,MAX(0,AR75-Y75))</f>
        <v/>
      </c>
      <c r="N75">
        <f>IF(N74&lt;=0,0,MAX(0,AS75-Z75))</f>
        <v/>
      </c>
      <c r="O75">
        <f>IF(C74&lt;=0,0,MIN(AH75,C$7+IF(C$2=$AA75,$AC75,IF(C$2=$AF75,$AG75,0))))</f>
        <v/>
      </c>
      <c r="P75">
        <f>IF(D74&lt;=0,0,MIN(AI75,D$7+IF(D$2=$AA75,$AC75,IF(D$2=$AF75,$AG75,0))))</f>
        <v/>
      </c>
      <c r="Q75">
        <f>IF(E74&lt;=0,0,MIN(AJ75,E$7+IF(E$2=$AA75,$AC75,IF(E$2=$AF75,$AG75,0))))</f>
        <v/>
      </c>
      <c r="R75">
        <f>IF(F74&lt;=0,0,MIN(AK75,F$7+IF(F$2=$AA75,$AC75,IF(F$2=$AF75,$AG75,0))))</f>
        <v/>
      </c>
      <c r="S75">
        <f>IF(G74&lt;=0,0,MIN(AL75,G$7+IF(G$2=$AA75,$AC75,IF(G$2=$AF75,$AG75,0))))</f>
        <v/>
      </c>
      <c r="T75">
        <f>IF(H74&lt;=0,0,MIN(AM75,H$7+IF(H$2=$AA75,$AC75,IF(H$2=$AF75,$AG75,0))))</f>
        <v/>
      </c>
      <c r="U75">
        <f>IF(I74&lt;=0,0,MIN(AN75,I$7+IF(I$2=$AA75,$AC75,IF(I$2=$AF75,$AG75,0))))</f>
        <v/>
      </c>
      <c r="V75">
        <f>IF(J74&lt;=0,0,MIN(AO75,J$7+IF(J$2=$AA75,$AC75,IF(J$2=$AF75,$AG75,0))))</f>
        <v/>
      </c>
      <c r="W75">
        <f>IF(K74&lt;=0,0,MIN(AP75,K$7+IF(K$2=$AA75,$AC75,IF(K$2=$AF75,$AG75,0))))</f>
        <v/>
      </c>
      <c r="X75">
        <f>IF(L74&lt;=0,0,MIN(AQ75,L$7+IF(L$2=$AA75,$AC75,IF(L$2=$AF75,$AG75,0))))</f>
        <v/>
      </c>
      <c r="Y75">
        <f>IF(M74&lt;=0,0,MIN(AR75,M$7+IF(M$2=$AA75,$AC75,IF(M$2=$AF75,$AG75,0))))</f>
        <v/>
      </c>
      <c r="Z75">
        <f>IF(N74&lt;=0,0,MIN(AS75,N$7+IF(N$2=$AA75,$AC75,IF(N$2=$AF75,$AG75,0))))</f>
        <v/>
      </c>
      <c r="AA75">
        <f>IFERROR(ROUND(1/SUMPRODUCT(MAX((C74:N74&gt;0)*($C$3:$N$3&lt;=B75)/$C$2:$N$2)),0),0)</f>
        <v/>
      </c>
      <c r="AB75">
        <f>SUMPRODUCT((C74:N74&gt;0)*$C$7:$N$7)</f>
        <v/>
      </c>
      <c r="AC75">
        <f>MAX(0,Plan!$C$5-AB75)+IF(A75=Plan!$C$8,N(Plan!$C$7),0)</f>
        <v/>
      </c>
      <c r="AD75">
        <f>SUM(C75:N75)</f>
        <v/>
      </c>
      <c r="AE75">
        <f>SUM(O75:Z75)</f>
        <v/>
      </c>
      <c r="AF75">
        <f>IFERROR(ROUND(1/SUMPRODUCT(MAX((C74:N74&gt;0)*($C$3:$N$3&lt;=B75)*($C$2:$N$2&gt;AA75)/$C$2:$N$2)),0),0)</f>
        <v/>
      </c>
      <c r="AG75">
        <f>MAX(0,AC75-MAX(0,SUMPRODUCT(($C$2:$N$2=AA75)*(AH75:AS75-$C$7:$N$7))))</f>
        <v/>
      </c>
      <c r="AH75">
        <f>IF(C74&lt;=0,0,ROUND(C74*(1+IF(AND(C$6&gt;0,$B75&lt;C$6),C$4,C$5)/12),2))</f>
        <v/>
      </c>
      <c r="AI75">
        <f>IF(D74&lt;=0,0,ROUND(D74*(1+IF(AND(D$6&gt;0,$B75&lt;D$6),D$4,D$5)/12),2))</f>
        <v/>
      </c>
      <c r="AJ75">
        <f>IF(E74&lt;=0,0,ROUND(E74*(1+IF(AND(E$6&gt;0,$B75&lt;E$6),E$4,E$5)/12),2))</f>
        <v/>
      </c>
      <c r="AK75">
        <f>IF(F74&lt;=0,0,ROUND(F74*(1+IF(AND(F$6&gt;0,$B75&lt;F$6),F$4,F$5)/12),2))</f>
        <v/>
      </c>
      <c r="AL75">
        <f>IF(G74&lt;=0,0,ROUND(G74*(1+IF(AND(G$6&gt;0,$B75&lt;G$6),G$4,G$5)/12),2))</f>
        <v/>
      </c>
      <c r="AM75">
        <f>IF(H74&lt;=0,0,ROUND(H74*(1+IF(AND(H$6&gt;0,$B75&lt;H$6),H$4,H$5)/12),2))</f>
        <v/>
      </c>
      <c r="AN75">
        <f>IF(I74&lt;=0,0,ROUND(I74*(1+IF(AND(I$6&gt;0,$B75&lt;I$6),I$4,I$5)/12),2))</f>
        <v/>
      </c>
      <c r="AO75">
        <f>IF(J74&lt;=0,0,ROUND(J74*(1+IF(AND(J$6&gt;0,$B75&lt;J$6),J$4,J$5)/12),2))</f>
        <v/>
      </c>
      <c r="AP75">
        <f>IF(K74&lt;=0,0,ROUND(K74*(1+IF(AND(K$6&gt;0,$B75&lt;K$6),K$4,K$5)/12),2))</f>
        <v/>
      </c>
      <c r="AQ75">
        <f>IF(L74&lt;=0,0,ROUND(L74*(1+IF(AND(L$6&gt;0,$B75&lt;L$6),L$4,L$5)/12),2))</f>
        <v/>
      </c>
      <c r="AR75">
        <f>IF(M74&lt;=0,0,ROUND(M74*(1+IF(AND(M$6&gt;0,$B75&lt;M$6),M$4,M$5)/12),2))</f>
        <v/>
      </c>
      <c r="AS75">
        <f>IF(N74&lt;=0,0,ROUND(N74*(1+IF(AND(N$6&gt;0,$B75&lt;N$6),N$4,N$5)/12),2))</f>
        <v/>
      </c>
    </row>
    <row r="76">
      <c r="A76" t="n">
        <v>65</v>
      </c>
      <c r="B76">
        <f>EDATE(Plan!$C$6,64)</f>
        <v/>
      </c>
      <c r="C76">
        <f>IF(C75&lt;=0,0,MAX(0,AH76-O76))</f>
        <v/>
      </c>
      <c r="D76">
        <f>IF(D75&lt;=0,0,MAX(0,AI76-P76))</f>
        <v/>
      </c>
      <c r="E76">
        <f>IF(E75&lt;=0,0,MAX(0,AJ76-Q76))</f>
        <v/>
      </c>
      <c r="F76">
        <f>IF(F75&lt;=0,0,MAX(0,AK76-R76))</f>
        <v/>
      </c>
      <c r="G76">
        <f>IF(G75&lt;=0,0,MAX(0,AL76-S76))</f>
        <v/>
      </c>
      <c r="H76">
        <f>IF(H75&lt;=0,0,MAX(0,AM76-T76))</f>
        <v/>
      </c>
      <c r="I76">
        <f>IF(I75&lt;=0,0,MAX(0,AN76-U76))</f>
        <v/>
      </c>
      <c r="J76">
        <f>IF(J75&lt;=0,0,MAX(0,AO76-V76))</f>
        <v/>
      </c>
      <c r="K76">
        <f>IF(K75&lt;=0,0,MAX(0,AP76-W76))</f>
        <v/>
      </c>
      <c r="L76">
        <f>IF(L75&lt;=0,0,MAX(0,AQ76-X76))</f>
        <v/>
      </c>
      <c r="M76">
        <f>IF(M75&lt;=0,0,MAX(0,AR76-Y76))</f>
        <v/>
      </c>
      <c r="N76">
        <f>IF(N75&lt;=0,0,MAX(0,AS76-Z76))</f>
        <v/>
      </c>
      <c r="O76">
        <f>IF(C75&lt;=0,0,MIN(AH76,C$7+IF(C$2=$AA76,$AC76,IF(C$2=$AF76,$AG76,0))))</f>
        <v/>
      </c>
      <c r="P76">
        <f>IF(D75&lt;=0,0,MIN(AI76,D$7+IF(D$2=$AA76,$AC76,IF(D$2=$AF76,$AG76,0))))</f>
        <v/>
      </c>
      <c r="Q76">
        <f>IF(E75&lt;=0,0,MIN(AJ76,E$7+IF(E$2=$AA76,$AC76,IF(E$2=$AF76,$AG76,0))))</f>
        <v/>
      </c>
      <c r="R76">
        <f>IF(F75&lt;=0,0,MIN(AK76,F$7+IF(F$2=$AA76,$AC76,IF(F$2=$AF76,$AG76,0))))</f>
        <v/>
      </c>
      <c r="S76">
        <f>IF(G75&lt;=0,0,MIN(AL76,G$7+IF(G$2=$AA76,$AC76,IF(G$2=$AF76,$AG76,0))))</f>
        <v/>
      </c>
      <c r="T76">
        <f>IF(H75&lt;=0,0,MIN(AM76,H$7+IF(H$2=$AA76,$AC76,IF(H$2=$AF76,$AG76,0))))</f>
        <v/>
      </c>
      <c r="U76">
        <f>IF(I75&lt;=0,0,MIN(AN76,I$7+IF(I$2=$AA76,$AC76,IF(I$2=$AF76,$AG76,0))))</f>
        <v/>
      </c>
      <c r="V76">
        <f>IF(J75&lt;=0,0,MIN(AO76,J$7+IF(J$2=$AA76,$AC76,IF(J$2=$AF76,$AG76,0))))</f>
        <v/>
      </c>
      <c r="W76">
        <f>IF(K75&lt;=0,0,MIN(AP76,K$7+IF(K$2=$AA76,$AC76,IF(K$2=$AF76,$AG76,0))))</f>
        <v/>
      </c>
      <c r="X76">
        <f>IF(L75&lt;=0,0,MIN(AQ76,L$7+IF(L$2=$AA76,$AC76,IF(L$2=$AF76,$AG76,0))))</f>
        <v/>
      </c>
      <c r="Y76">
        <f>IF(M75&lt;=0,0,MIN(AR76,M$7+IF(M$2=$AA76,$AC76,IF(M$2=$AF76,$AG76,0))))</f>
        <v/>
      </c>
      <c r="Z76">
        <f>IF(N75&lt;=0,0,MIN(AS76,N$7+IF(N$2=$AA76,$AC76,IF(N$2=$AF76,$AG76,0))))</f>
        <v/>
      </c>
      <c r="AA76">
        <f>IFERROR(ROUND(1/SUMPRODUCT(MAX((C75:N75&gt;0)*($C$3:$N$3&lt;=B76)/$C$2:$N$2)),0),0)</f>
        <v/>
      </c>
      <c r="AB76">
        <f>SUMPRODUCT((C75:N75&gt;0)*$C$7:$N$7)</f>
        <v/>
      </c>
      <c r="AC76">
        <f>MAX(0,Plan!$C$5-AB76)+IF(A76=Plan!$C$8,N(Plan!$C$7),0)</f>
        <v/>
      </c>
      <c r="AD76">
        <f>SUM(C76:N76)</f>
        <v/>
      </c>
      <c r="AE76">
        <f>SUM(O76:Z76)</f>
        <v/>
      </c>
      <c r="AF76">
        <f>IFERROR(ROUND(1/SUMPRODUCT(MAX((C75:N75&gt;0)*($C$3:$N$3&lt;=B76)*($C$2:$N$2&gt;AA76)/$C$2:$N$2)),0),0)</f>
        <v/>
      </c>
      <c r="AG76">
        <f>MAX(0,AC76-MAX(0,SUMPRODUCT(($C$2:$N$2=AA76)*(AH76:AS76-$C$7:$N$7))))</f>
        <v/>
      </c>
      <c r="AH76">
        <f>IF(C75&lt;=0,0,ROUND(C75*(1+IF(AND(C$6&gt;0,$B76&lt;C$6),C$4,C$5)/12),2))</f>
        <v/>
      </c>
      <c r="AI76">
        <f>IF(D75&lt;=0,0,ROUND(D75*(1+IF(AND(D$6&gt;0,$B76&lt;D$6),D$4,D$5)/12),2))</f>
        <v/>
      </c>
      <c r="AJ76">
        <f>IF(E75&lt;=0,0,ROUND(E75*(1+IF(AND(E$6&gt;0,$B76&lt;E$6),E$4,E$5)/12),2))</f>
        <v/>
      </c>
      <c r="AK76">
        <f>IF(F75&lt;=0,0,ROUND(F75*(1+IF(AND(F$6&gt;0,$B76&lt;F$6),F$4,F$5)/12),2))</f>
        <v/>
      </c>
      <c r="AL76">
        <f>IF(G75&lt;=0,0,ROUND(G75*(1+IF(AND(G$6&gt;0,$B76&lt;G$6),G$4,G$5)/12),2))</f>
        <v/>
      </c>
      <c r="AM76">
        <f>IF(H75&lt;=0,0,ROUND(H75*(1+IF(AND(H$6&gt;0,$B76&lt;H$6),H$4,H$5)/12),2))</f>
        <v/>
      </c>
      <c r="AN76">
        <f>IF(I75&lt;=0,0,ROUND(I75*(1+IF(AND(I$6&gt;0,$B76&lt;I$6),I$4,I$5)/12),2))</f>
        <v/>
      </c>
      <c r="AO76">
        <f>IF(J75&lt;=0,0,ROUND(J75*(1+IF(AND(J$6&gt;0,$B76&lt;J$6),J$4,J$5)/12),2))</f>
        <v/>
      </c>
      <c r="AP76">
        <f>IF(K75&lt;=0,0,ROUND(K75*(1+IF(AND(K$6&gt;0,$B76&lt;K$6),K$4,K$5)/12),2))</f>
        <v/>
      </c>
      <c r="AQ76">
        <f>IF(L75&lt;=0,0,ROUND(L75*(1+IF(AND(L$6&gt;0,$B76&lt;L$6),L$4,L$5)/12),2))</f>
        <v/>
      </c>
      <c r="AR76">
        <f>IF(M75&lt;=0,0,ROUND(M75*(1+IF(AND(M$6&gt;0,$B76&lt;M$6),M$4,M$5)/12),2))</f>
        <v/>
      </c>
      <c r="AS76">
        <f>IF(N75&lt;=0,0,ROUND(N75*(1+IF(AND(N$6&gt;0,$B76&lt;N$6),N$4,N$5)/12),2))</f>
        <v/>
      </c>
    </row>
    <row r="77">
      <c r="A77" t="n">
        <v>66</v>
      </c>
      <c r="B77">
        <f>EDATE(Plan!$C$6,65)</f>
        <v/>
      </c>
      <c r="C77">
        <f>IF(C76&lt;=0,0,MAX(0,AH77-O77))</f>
        <v/>
      </c>
      <c r="D77">
        <f>IF(D76&lt;=0,0,MAX(0,AI77-P77))</f>
        <v/>
      </c>
      <c r="E77">
        <f>IF(E76&lt;=0,0,MAX(0,AJ77-Q77))</f>
        <v/>
      </c>
      <c r="F77">
        <f>IF(F76&lt;=0,0,MAX(0,AK77-R77))</f>
        <v/>
      </c>
      <c r="G77">
        <f>IF(G76&lt;=0,0,MAX(0,AL77-S77))</f>
        <v/>
      </c>
      <c r="H77">
        <f>IF(H76&lt;=0,0,MAX(0,AM77-T77))</f>
        <v/>
      </c>
      <c r="I77">
        <f>IF(I76&lt;=0,0,MAX(0,AN77-U77))</f>
        <v/>
      </c>
      <c r="J77">
        <f>IF(J76&lt;=0,0,MAX(0,AO77-V77))</f>
        <v/>
      </c>
      <c r="K77">
        <f>IF(K76&lt;=0,0,MAX(0,AP77-W77))</f>
        <v/>
      </c>
      <c r="L77">
        <f>IF(L76&lt;=0,0,MAX(0,AQ77-X77))</f>
        <v/>
      </c>
      <c r="M77">
        <f>IF(M76&lt;=0,0,MAX(0,AR77-Y77))</f>
        <v/>
      </c>
      <c r="N77">
        <f>IF(N76&lt;=0,0,MAX(0,AS77-Z77))</f>
        <v/>
      </c>
      <c r="O77">
        <f>IF(C76&lt;=0,0,MIN(AH77,C$7+IF(C$2=$AA77,$AC77,IF(C$2=$AF77,$AG77,0))))</f>
        <v/>
      </c>
      <c r="P77">
        <f>IF(D76&lt;=0,0,MIN(AI77,D$7+IF(D$2=$AA77,$AC77,IF(D$2=$AF77,$AG77,0))))</f>
        <v/>
      </c>
      <c r="Q77">
        <f>IF(E76&lt;=0,0,MIN(AJ77,E$7+IF(E$2=$AA77,$AC77,IF(E$2=$AF77,$AG77,0))))</f>
        <v/>
      </c>
      <c r="R77">
        <f>IF(F76&lt;=0,0,MIN(AK77,F$7+IF(F$2=$AA77,$AC77,IF(F$2=$AF77,$AG77,0))))</f>
        <v/>
      </c>
      <c r="S77">
        <f>IF(G76&lt;=0,0,MIN(AL77,G$7+IF(G$2=$AA77,$AC77,IF(G$2=$AF77,$AG77,0))))</f>
        <v/>
      </c>
      <c r="T77">
        <f>IF(H76&lt;=0,0,MIN(AM77,H$7+IF(H$2=$AA77,$AC77,IF(H$2=$AF77,$AG77,0))))</f>
        <v/>
      </c>
      <c r="U77">
        <f>IF(I76&lt;=0,0,MIN(AN77,I$7+IF(I$2=$AA77,$AC77,IF(I$2=$AF77,$AG77,0))))</f>
        <v/>
      </c>
      <c r="V77">
        <f>IF(J76&lt;=0,0,MIN(AO77,J$7+IF(J$2=$AA77,$AC77,IF(J$2=$AF77,$AG77,0))))</f>
        <v/>
      </c>
      <c r="W77">
        <f>IF(K76&lt;=0,0,MIN(AP77,K$7+IF(K$2=$AA77,$AC77,IF(K$2=$AF77,$AG77,0))))</f>
        <v/>
      </c>
      <c r="X77">
        <f>IF(L76&lt;=0,0,MIN(AQ77,L$7+IF(L$2=$AA77,$AC77,IF(L$2=$AF77,$AG77,0))))</f>
        <v/>
      </c>
      <c r="Y77">
        <f>IF(M76&lt;=0,0,MIN(AR77,M$7+IF(M$2=$AA77,$AC77,IF(M$2=$AF77,$AG77,0))))</f>
        <v/>
      </c>
      <c r="Z77">
        <f>IF(N76&lt;=0,0,MIN(AS77,N$7+IF(N$2=$AA77,$AC77,IF(N$2=$AF77,$AG77,0))))</f>
        <v/>
      </c>
      <c r="AA77">
        <f>IFERROR(ROUND(1/SUMPRODUCT(MAX((C76:N76&gt;0)*($C$3:$N$3&lt;=B77)/$C$2:$N$2)),0),0)</f>
        <v/>
      </c>
      <c r="AB77">
        <f>SUMPRODUCT((C76:N76&gt;0)*$C$7:$N$7)</f>
        <v/>
      </c>
      <c r="AC77">
        <f>MAX(0,Plan!$C$5-AB77)+IF(A77=Plan!$C$8,N(Plan!$C$7),0)</f>
        <v/>
      </c>
      <c r="AD77">
        <f>SUM(C77:N77)</f>
        <v/>
      </c>
      <c r="AE77">
        <f>SUM(O77:Z77)</f>
        <v/>
      </c>
      <c r="AF77">
        <f>IFERROR(ROUND(1/SUMPRODUCT(MAX((C76:N76&gt;0)*($C$3:$N$3&lt;=B77)*($C$2:$N$2&gt;AA77)/$C$2:$N$2)),0),0)</f>
        <v/>
      </c>
      <c r="AG77">
        <f>MAX(0,AC77-MAX(0,SUMPRODUCT(($C$2:$N$2=AA77)*(AH77:AS77-$C$7:$N$7))))</f>
        <v/>
      </c>
      <c r="AH77">
        <f>IF(C76&lt;=0,0,ROUND(C76*(1+IF(AND(C$6&gt;0,$B77&lt;C$6),C$4,C$5)/12),2))</f>
        <v/>
      </c>
      <c r="AI77">
        <f>IF(D76&lt;=0,0,ROUND(D76*(1+IF(AND(D$6&gt;0,$B77&lt;D$6),D$4,D$5)/12),2))</f>
        <v/>
      </c>
      <c r="AJ77">
        <f>IF(E76&lt;=0,0,ROUND(E76*(1+IF(AND(E$6&gt;0,$B77&lt;E$6),E$4,E$5)/12),2))</f>
        <v/>
      </c>
      <c r="AK77">
        <f>IF(F76&lt;=0,0,ROUND(F76*(1+IF(AND(F$6&gt;0,$B77&lt;F$6),F$4,F$5)/12),2))</f>
        <v/>
      </c>
      <c r="AL77">
        <f>IF(G76&lt;=0,0,ROUND(G76*(1+IF(AND(G$6&gt;0,$B77&lt;G$6),G$4,G$5)/12),2))</f>
        <v/>
      </c>
      <c r="AM77">
        <f>IF(H76&lt;=0,0,ROUND(H76*(1+IF(AND(H$6&gt;0,$B77&lt;H$6),H$4,H$5)/12),2))</f>
        <v/>
      </c>
      <c r="AN77">
        <f>IF(I76&lt;=0,0,ROUND(I76*(1+IF(AND(I$6&gt;0,$B77&lt;I$6),I$4,I$5)/12),2))</f>
        <v/>
      </c>
      <c r="AO77">
        <f>IF(J76&lt;=0,0,ROUND(J76*(1+IF(AND(J$6&gt;0,$B77&lt;J$6),J$4,J$5)/12),2))</f>
        <v/>
      </c>
      <c r="AP77">
        <f>IF(K76&lt;=0,0,ROUND(K76*(1+IF(AND(K$6&gt;0,$B77&lt;K$6),K$4,K$5)/12),2))</f>
        <v/>
      </c>
      <c r="AQ77">
        <f>IF(L76&lt;=0,0,ROUND(L76*(1+IF(AND(L$6&gt;0,$B77&lt;L$6),L$4,L$5)/12),2))</f>
        <v/>
      </c>
      <c r="AR77">
        <f>IF(M76&lt;=0,0,ROUND(M76*(1+IF(AND(M$6&gt;0,$B77&lt;M$6),M$4,M$5)/12),2))</f>
        <v/>
      </c>
      <c r="AS77">
        <f>IF(N76&lt;=0,0,ROUND(N76*(1+IF(AND(N$6&gt;0,$B77&lt;N$6),N$4,N$5)/12),2))</f>
        <v/>
      </c>
    </row>
    <row r="78">
      <c r="A78" t="n">
        <v>67</v>
      </c>
      <c r="B78">
        <f>EDATE(Plan!$C$6,66)</f>
        <v/>
      </c>
      <c r="C78">
        <f>IF(C77&lt;=0,0,MAX(0,AH78-O78))</f>
        <v/>
      </c>
      <c r="D78">
        <f>IF(D77&lt;=0,0,MAX(0,AI78-P78))</f>
        <v/>
      </c>
      <c r="E78">
        <f>IF(E77&lt;=0,0,MAX(0,AJ78-Q78))</f>
        <v/>
      </c>
      <c r="F78">
        <f>IF(F77&lt;=0,0,MAX(0,AK78-R78))</f>
        <v/>
      </c>
      <c r="G78">
        <f>IF(G77&lt;=0,0,MAX(0,AL78-S78))</f>
        <v/>
      </c>
      <c r="H78">
        <f>IF(H77&lt;=0,0,MAX(0,AM78-T78))</f>
        <v/>
      </c>
      <c r="I78">
        <f>IF(I77&lt;=0,0,MAX(0,AN78-U78))</f>
        <v/>
      </c>
      <c r="J78">
        <f>IF(J77&lt;=0,0,MAX(0,AO78-V78))</f>
        <v/>
      </c>
      <c r="K78">
        <f>IF(K77&lt;=0,0,MAX(0,AP78-W78))</f>
        <v/>
      </c>
      <c r="L78">
        <f>IF(L77&lt;=0,0,MAX(0,AQ78-X78))</f>
        <v/>
      </c>
      <c r="M78">
        <f>IF(M77&lt;=0,0,MAX(0,AR78-Y78))</f>
        <v/>
      </c>
      <c r="N78">
        <f>IF(N77&lt;=0,0,MAX(0,AS78-Z78))</f>
        <v/>
      </c>
      <c r="O78">
        <f>IF(C77&lt;=0,0,MIN(AH78,C$7+IF(C$2=$AA78,$AC78,IF(C$2=$AF78,$AG78,0))))</f>
        <v/>
      </c>
      <c r="P78">
        <f>IF(D77&lt;=0,0,MIN(AI78,D$7+IF(D$2=$AA78,$AC78,IF(D$2=$AF78,$AG78,0))))</f>
        <v/>
      </c>
      <c r="Q78">
        <f>IF(E77&lt;=0,0,MIN(AJ78,E$7+IF(E$2=$AA78,$AC78,IF(E$2=$AF78,$AG78,0))))</f>
        <v/>
      </c>
      <c r="R78">
        <f>IF(F77&lt;=0,0,MIN(AK78,F$7+IF(F$2=$AA78,$AC78,IF(F$2=$AF78,$AG78,0))))</f>
        <v/>
      </c>
      <c r="S78">
        <f>IF(G77&lt;=0,0,MIN(AL78,G$7+IF(G$2=$AA78,$AC78,IF(G$2=$AF78,$AG78,0))))</f>
        <v/>
      </c>
      <c r="T78">
        <f>IF(H77&lt;=0,0,MIN(AM78,H$7+IF(H$2=$AA78,$AC78,IF(H$2=$AF78,$AG78,0))))</f>
        <v/>
      </c>
      <c r="U78">
        <f>IF(I77&lt;=0,0,MIN(AN78,I$7+IF(I$2=$AA78,$AC78,IF(I$2=$AF78,$AG78,0))))</f>
        <v/>
      </c>
      <c r="V78">
        <f>IF(J77&lt;=0,0,MIN(AO78,J$7+IF(J$2=$AA78,$AC78,IF(J$2=$AF78,$AG78,0))))</f>
        <v/>
      </c>
      <c r="W78">
        <f>IF(K77&lt;=0,0,MIN(AP78,K$7+IF(K$2=$AA78,$AC78,IF(K$2=$AF78,$AG78,0))))</f>
        <v/>
      </c>
      <c r="X78">
        <f>IF(L77&lt;=0,0,MIN(AQ78,L$7+IF(L$2=$AA78,$AC78,IF(L$2=$AF78,$AG78,0))))</f>
        <v/>
      </c>
      <c r="Y78">
        <f>IF(M77&lt;=0,0,MIN(AR78,M$7+IF(M$2=$AA78,$AC78,IF(M$2=$AF78,$AG78,0))))</f>
        <v/>
      </c>
      <c r="Z78">
        <f>IF(N77&lt;=0,0,MIN(AS78,N$7+IF(N$2=$AA78,$AC78,IF(N$2=$AF78,$AG78,0))))</f>
        <v/>
      </c>
      <c r="AA78">
        <f>IFERROR(ROUND(1/SUMPRODUCT(MAX((C77:N77&gt;0)*($C$3:$N$3&lt;=B78)/$C$2:$N$2)),0),0)</f>
        <v/>
      </c>
      <c r="AB78">
        <f>SUMPRODUCT((C77:N77&gt;0)*$C$7:$N$7)</f>
        <v/>
      </c>
      <c r="AC78">
        <f>MAX(0,Plan!$C$5-AB78)+IF(A78=Plan!$C$8,N(Plan!$C$7),0)</f>
        <v/>
      </c>
      <c r="AD78">
        <f>SUM(C78:N78)</f>
        <v/>
      </c>
      <c r="AE78">
        <f>SUM(O78:Z78)</f>
        <v/>
      </c>
      <c r="AF78">
        <f>IFERROR(ROUND(1/SUMPRODUCT(MAX((C77:N77&gt;0)*($C$3:$N$3&lt;=B78)*($C$2:$N$2&gt;AA78)/$C$2:$N$2)),0),0)</f>
        <v/>
      </c>
      <c r="AG78">
        <f>MAX(0,AC78-MAX(0,SUMPRODUCT(($C$2:$N$2=AA78)*(AH78:AS78-$C$7:$N$7))))</f>
        <v/>
      </c>
      <c r="AH78">
        <f>IF(C77&lt;=0,0,ROUND(C77*(1+IF(AND(C$6&gt;0,$B78&lt;C$6),C$4,C$5)/12),2))</f>
        <v/>
      </c>
      <c r="AI78">
        <f>IF(D77&lt;=0,0,ROUND(D77*(1+IF(AND(D$6&gt;0,$B78&lt;D$6),D$4,D$5)/12),2))</f>
        <v/>
      </c>
      <c r="AJ78">
        <f>IF(E77&lt;=0,0,ROUND(E77*(1+IF(AND(E$6&gt;0,$B78&lt;E$6),E$4,E$5)/12),2))</f>
        <v/>
      </c>
      <c r="AK78">
        <f>IF(F77&lt;=0,0,ROUND(F77*(1+IF(AND(F$6&gt;0,$B78&lt;F$6),F$4,F$5)/12),2))</f>
        <v/>
      </c>
      <c r="AL78">
        <f>IF(G77&lt;=0,0,ROUND(G77*(1+IF(AND(G$6&gt;0,$B78&lt;G$6),G$4,G$5)/12),2))</f>
        <v/>
      </c>
      <c r="AM78">
        <f>IF(H77&lt;=0,0,ROUND(H77*(1+IF(AND(H$6&gt;0,$B78&lt;H$6),H$4,H$5)/12),2))</f>
        <v/>
      </c>
      <c r="AN78">
        <f>IF(I77&lt;=0,0,ROUND(I77*(1+IF(AND(I$6&gt;0,$B78&lt;I$6),I$4,I$5)/12),2))</f>
        <v/>
      </c>
      <c r="AO78">
        <f>IF(J77&lt;=0,0,ROUND(J77*(1+IF(AND(J$6&gt;0,$B78&lt;J$6),J$4,J$5)/12),2))</f>
        <v/>
      </c>
      <c r="AP78">
        <f>IF(K77&lt;=0,0,ROUND(K77*(1+IF(AND(K$6&gt;0,$B78&lt;K$6),K$4,K$5)/12),2))</f>
        <v/>
      </c>
      <c r="AQ78">
        <f>IF(L77&lt;=0,0,ROUND(L77*(1+IF(AND(L$6&gt;0,$B78&lt;L$6),L$4,L$5)/12),2))</f>
        <v/>
      </c>
      <c r="AR78">
        <f>IF(M77&lt;=0,0,ROUND(M77*(1+IF(AND(M$6&gt;0,$B78&lt;M$6),M$4,M$5)/12),2))</f>
        <v/>
      </c>
      <c r="AS78">
        <f>IF(N77&lt;=0,0,ROUND(N77*(1+IF(AND(N$6&gt;0,$B78&lt;N$6),N$4,N$5)/12),2))</f>
        <v/>
      </c>
    </row>
    <row r="79">
      <c r="A79" t="n">
        <v>68</v>
      </c>
      <c r="B79">
        <f>EDATE(Plan!$C$6,67)</f>
        <v/>
      </c>
      <c r="C79">
        <f>IF(C78&lt;=0,0,MAX(0,AH79-O79))</f>
        <v/>
      </c>
      <c r="D79">
        <f>IF(D78&lt;=0,0,MAX(0,AI79-P79))</f>
        <v/>
      </c>
      <c r="E79">
        <f>IF(E78&lt;=0,0,MAX(0,AJ79-Q79))</f>
        <v/>
      </c>
      <c r="F79">
        <f>IF(F78&lt;=0,0,MAX(0,AK79-R79))</f>
        <v/>
      </c>
      <c r="G79">
        <f>IF(G78&lt;=0,0,MAX(0,AL79-S79))</f>
        <v/>
      </c>
      <c r="H79">
        <f>IF(H78&lt;=0,0,MAX(0,AM79-T79))</f>
        <v/>
      </c>
      <c r="I79">
        <f>IF(I78&lt;=0,0,MAX(0,AN79-U79))</f>
        <v/>
      </c>
      <c r="J79">
        <f>IF(J78&lt;=0,0,MAX(0,AO79-V79))</f>
        <v/>
      </c>
      <c r="K79">
        <f>IF(K78&lt;=0,0,MAX(0,AP79-W79))</f>
        <v/>
      </c>
      <c r="L79">
        <f>IF(L78&lt;=0,0,MAX(0,AQ79-X79))</f>
        <v/>
      </c>
      <c r="M79">
        <f>IF(M78&lt;=0,0,MAX(0,AR79-Y79))</f>
        <v/>
      </c>
      <c r="N79">
        <f>IF(N78&lt;=0,0,MAX(0,AS79-Z79))</f>
        <v/>
      </c>
      <c r="O79">
        <f>IF(C78&lt;=0,0,MIN(AH79,C$7+IF(C$2=$AA79,$AC79,IF(C$2=$AF79,$AG79,0))))</f>
        <v/>
      </c>
      <c r="P79">
        <f>IF(D78&lt;=0,0,MIN(AI79,D$7+IF(D$2=$AA79,$AC79,IF(D$2=$AF79,$AG79,0))))</f>
        <v/>
      </c>
      <c r="Q79">
        <f>IF(E78&lt;=0,0,MIN(AJ79,E$7+IF(E$2=$AA79,$AC79,IF(E$2=$AF79,$AG79,0))))</f>
        <v/>
      </c>
      <c r="R79">
        <f>IF(F78&lt;=0,0,MIN(AK79,F$7+IF(F$2=$AA79,$AC79,IF(F$2=$AF79,$AG79,0))))</f>
        <v/>
      </c>
      <c r="S79">
        <f>IF(G78&lt;=0,0,MIN(AL79,G$7+IF(G$2=$AA79,$AC79,IF(G$2=$AF79,$AG79,0))))</f>
        <v/>
      </c>
      <c r="T79">
        <f>IF(H78&lt;=0,0,MIN(AM79,H$7+IF(H$2=$AA79,$AC79,IF(H$2=$AF79,$AG79,0))))</f>
        <v/>
      </c>
      <c r="U79">
        <f>IF(I78&lt;=0,0,MIN(AN79,I$7+IF(I$2=$AA79,$AC79,IF(I$2=$AF79,$AG79,0))))</f>
        <v/>
      </c>
      <c r="V79">
        <f>IF(J78&lt;=0,0,MIN(AO79,J$7+IF(J$2=$AA79,$AC79,IF(J$2=$AF79,$AG79,0))))</f>
        <v/>
      </c>
      <c r="W79">
        <f>IF(K78&lt;=0,0,MIN(AP79,K$7+IF(K$2=$AA79,$AC79,IF(K$2=$AF79,$AG79,0))))</f>
        <v/>
      </c>
      <c r="X79">
        <f>IF(L78&lt;=0,0,MIN(AQ79,L$7+IF(L$2=$AA79,$AC79,IF(L$2=$AF79,$AG79,0))))</f>
        <v/>
      </c>
      <c r="Y79">
        <f>IF(M78&lt;=0,0,MIN(AR79,M$7+IF(M$2=$AA79,$AC79,IF(M$2=$AF79,$AG79,0))))</f>
        <v/>
      </c>
      <c r="Z79">
        <f>IF(N78&lt;=0,0,MIN(AS79,N$7+IF(N$2=$AA79,$AC79,IF(N$2=$AF79,$AG79,0))))</f>
        <v/>
      </c>
      <c r="AA79">
        <f>IFERROR(ROUND(1/SUMPRODUCT(MAX((C78:N78&gt;0)*($C$3:$N$3&lt;=B79)/$C$2:$N$2)),0),0)</f>
        <v/>
      </c>
      <c r="AB79">
        <f>SUMPRODUCT((C78:N78&gt;0)*$C$7:$N$7)</f>
        <v/>
      </c>
      <c r="AC79">
        <f>MAX(0,Plan!$C$5-AB79)+IF(A79=Plan!$C$8,N(Plan!$C$7),0)</f>
        <v/>
      </c>
      <c r="AD79">
        <f>SUM(C79:N79)</f>
        <v/>
      </c>
      <c r="AE79">
        <f>SUM(O79:Z79)</f>
        <v/>
      </c>
      <c r="AF79">
        <f>IFERROR(ROUND(1/SUMPRODUCT(MAX((C78:N78&gt;0)*($C$3:$N$3&lt;=B79)*($C$2:$N$2&gt;AA79)/$C$2:$N$2)),0),0)</f>
        <v/>
      </c>
      <c r="AG79">
        <f>MAX(0,AC79-MAX(0,SUMPRODUCT(($C$2:$N$2=AA79)*(AH79:AS79-$C$7:$N$7))))</f>
        <v/>
      </c>
      <c r="AH79">
        <f>IF(C78&lt;=0,0,ROUND(C78*(1+IF(AND(C$6&gt;0,$B79&lt;C$6),C$4,C$5)/12),2))</f>
        <v/>
      </c>
      <c r="AI79">
        <f>IF(D78&lt;=0,0,ROUND(D78*(1+IF(AND(D$6&gt;0,$B79&lt;D$6),D$4,D$5)/12),2))</f>
        <v/>
      </c>
      <c r="AJ79">
        <f>IF(E78&lt;=0,0,ROUND(E78*(1+IF(AND(E$6&gt;0,$B79&lt;E$6),E$4,E$5)/12),2))</f>
        <v/>
      </c>
      <c r="AK79">
        <f>IF(F78&lt;=0,0,ROUND(F78*(1+IF(AND(F$6&gt;0,$B79&lt;F$6),F$4,F$5)/12),2))</f>
        <v/>
      </c>
      <c r="AL79">
        <f>IF(G78&lt;=0,0,ROUND(G78*(1+IF(AND(G$6&gt;0,$B79&lt;G$6),G$4,G$5)/12),2))</f>
        <v/>
      </c>
      <c r="AM79">
        <f>IF(H78&lt;=0,0,ROUND(H78*(1+IF(AND(H$6&gt;0,$B79&lt;H$6),H$4,H$5)/12),2))</f>
        <v/>
      </c>
      <c r="AN79">
        <f>IF(I78&lt;=0,0,ROUND(I78*(1+IF(AND(I$6&gt;0,$B79&lt;I$6),I$4,I$5)/12),2))</f>
        <v/>
      </c>
      <c r="AO79">
        <f>IF(J78&lt;=0,0,ROUND(J78*(1+IF(AND(J$6&gt;0,$B79&lt;J$6),J$4,J$5)/12),2))</f>
        <v/>
      </c>
      <c r="AP79">
        <f>IF(K78&lt;=0,0,ROUND(K78*(1+IF(AND(K$6&gt;0,$B79&lt;K$6),K$4,K$5)/12),2))</f>
        <v/>
      </c>
      <c r="AQ79">
        <f>IF(L78&lt;=0,0,ROUND(L78*(1+IF(AND(L$6&gt;0,$B79&lt;L$6),L$4,L$5)/12),2))</f>
        <v/>
      </c>
      <c r="AR79">
        <f>IF(M78&lt;=0,0,ROUND(M78*(1+IF(AND(M$6&gt;0,$B79&lt;M$6),M$4,M$5)/12),2))</f>
        <v/>
      </c>
      <c r="AS79">
        <f>IF(N78&lt;=0,0,ROUND(N78*(1+IF(AND(N$6&gt;0,$B79&lt;N$6),N$4,N$5)/12),2))</f>
        <v/>
      </c>
    </row>
    <row r="80">
      <c r="A80" t="n">
        <v>69</v>
      </c>
      <c r="B80">
        <f>EDATE(Plan!$C$6,68)</f>
        <v/>
      </c>
      <c r="C80">
        <f>IF(C79&lt;=0,0,MAX(0,AH80-O80))</f>
        <v/>
      </c>
      <c r="D80">
        <f>IF(D79&lt;=0,0,MAX(0,AI80-P80))</f>
        <v/>
      </c>
      <c r="E80">
        <f>IF(E79&lt;=0,0,MAX(0,AJ80-Q80))</f>
        <v/>
      </c>
      <c r="F80">
        <f>IF(F79&lt;=0,0,MAX(0,AK80-R80))</f>
        <v/>
      </c>
      <c r="G80">
        <f>IF(G79&lt;=0,0,MAX(0,AL80-S80))</f>
        <v/>
      </c>
      <c r="H80">
        <f>IF(H79&lt;=0,0,MAX(0,AM80-T80))</f>
        <v/>
      </c>
      <c r="I80">
        <f>IF(I79&lt;=0,0,MAX(0,AN80-U80))</f>
        <v/>
      </c>
      <c r="J80">
        <f>IF(J79&lt;=0,0,MAX(0,AO80-V80))</f>
        <v/>
      </c>
      <c r="K80">
        <f>IF(K79&lt;=0,0,MAX(0,AP80-W80))</f>
        <v/>
      </c>
      <c r="L80">
        <f>IF(L79&lt;=0,0,MAX(0,AQ80-X80))</f>
        <v/>
      </c>
      <c r="M80">
        <f>IF(M79&lt;=0,0,MAX(0,AR80-Y80))</f>
        <v/>
      </c>
      <c r="N80">
        <f>IF(N79&lt;=0,0,MAX(0,AS80-Z80))</f>
        <v/>
      </c>
      <c r="O80">
        <f>IF(C79&lt;=0,0,MIN(AH80,C$7+IF(C$2=$AA80,$AC80,IF(C$2=$AF80,$AG80,0))))</f>
        <v/>
      </c>
      <c r="P80">
        <f>IF(D79&lt;=0,0,MIN(AI80,D$7+IF(D$2=$AA80,$AC80,IF(D$2=$AF80,$AG80,0))))</f>
        <v/>
      </c>
      <c r="Q80">
        <f>IF(E79&lt;=0,0,MIN(AJ80,E$7+IF(E$2=$AA80,$AC80,IF(E$2=$AF80,$AG80,0))))</f>
        <v/>
      </c>
      <c r="R80">
        <f>IF(F79&lt;=0,0,MIN(AK80,F$7+IF(F$2=$AA80,$AC80,IF(F$2=$AF80,$AG80,0))))</f>
        <v/>
      </c>
      <c r="S80">
        <f>IF(G79&lt;=0,0,MIN(AL80,G$7+IF(G$2=$AA80,$AC80,IF(G$2=$AF80,$AG80,0))))</f>
        <v/>
      </c>
      <c r="T80">
        <f>IF(H79&lt;=0,0,MIN(AM80,H$7+IF(H$2=$AA80,$AC80,IF(H$2=$AF80,$AG80,0))))</f>
        <v/>
      </c>
      <c r="U80">
        <f>IF(I79&lt;=0,0,MIN(AN80,I$7+IF(I$2=$AA80,$AC80,IF(I$2=$AF80,$AG80,0))))</f>
        <v/>
      </c>
      <c r="V80">
        <f>IF(J79&lt;=0,0,MIN(AO80,J$7+IF(J$2=$AA80,$AC80,IF(J$2=$AF80,$AG80,0))))</f>
        <v/>
      </c>
      <c r="W80">
        <f>IF(K79&lt;=0,0,MIN(AP80,K$7+IF(K$2=$AA80,$AC80,IF(K$2=$AF80,$AG80,0))))</f>
        <v/>
      </c>
      <c r="X80">
        <f>IF(L79&lt;=0,0,MIN(AQ80,L$7+IF(L$2=$AA80,$AC80,IF(L$2=$AF80,$AG80,0))))</f>
        <v/>
      </c>
      <c r="Y80">
        <f>IF(M79&lt;=0,0,MIN(AR80,M$7+IF(M$2=$AA80,$AC80,IF(M$2=$AF80,$AG80,0))))</f>
        <v/>
      </c>
      <c r="Z80">
        <f>IF(N79&lt;=0,0,MIN(AS80,N$7+IF(N$2=$AA80,$AC80,IF(N$2=$AF80,$AG80,0))))</f>
        <v/>
      </c>
      <c r="AA80">
        <f>IFERROR(ROUND(1/SUMPRODUCT(MAX((C79:N79&gt;0)*($C$3:$N$3&lt;=B80)/$C$2:$N$2)),0),0)</f>
        <v/>
      </c>
      <c r="AB80">
        <f>SUMPRODUCT((C79:N79&gt;0)*$C$7:$N$7)</f>
        <v/>
      </c>
      <c r="AC80">
        <f>MAX(0,Plan!$C$5-AB80)+IF(A80=Plan!$C$8,N(Plan!$C$7),0)</f>
        <v/>
      </c>
      <c r="AD80">
        <f>SUM(C80:N80)</f>
        <v/>
      </c>
      <c r="AE80">
        <f>SUM(O80:Z80)</f>
        <v/>
      </c>
      <c r="AF80">
        <f>IFERROR(ROUND(1/SUMPRODUCT(MAX((C79:N79&gt;0)*($C$3:$N$3&lt;=B80)*($C$2:$N$2&gt;AA80)/$C$2:$N$2)),0),0)</f>
        <v/>
      </c>
      <c r="AG80">
        <f>MAX(0,AC80-MAX(0,SUMPRODUCT(($C$2:$N$2=AA80)*(AH80:AS80-$C$7:$N$7))))</f>
        <v/>
      </c>
      <c r="AH80">
        <f>IF(C79&lt;=0,0,ROUND(C79*(1+IF(AND(C$6&gt;0,$B80&lt;C$6),C$4,C$5)/12),2))</f>
        <v/>
      </c>
      <c r="AI80">
        <f>IF(D79&lt;=0,0,ROUND(D79*(1+IF(AND(D$6&gt;0,$B80&lt;D$6),D$4,D$5)/12),2))</f>
        <v/>
      </c>
      <c r="AJ80">
        <f>IF(E79&lt;=0,0,ROUND(E79*(1+IF(AND(E$6&gt;0,$B80&lt;E$6),E$4,E$5)/12),2))</f>
        <v/>
      </c>
      <c r="AK80">
        <f>IF(F79&lt;=0,0,ROUND(F79*(1+IF(AND(F$6&gt;0,$B80&lt;F$6),F$4,F$5)/12),2))</f>
        <v/>
      </c>
      <c r="AL80">
        <f>IF(G79&lt;=0,0,ROUND(G79*(1+IF(AND(G$6&gt;0,$B80&lt;G$6),G$4,G$5)/12),2))</f>
        <v/>
      </c>
      <c r="AM80">
        <f>IF(H79&lt;=0,0,ROUND(H79*(1+IF(AND(H$6&gt;0,$B80&lt;H$6),H$4,H$5)/12),2))</f>
        <v/>
      </c>
      <c r="AN80">
        <f>IF(I79&lt;=0,0,ROUND(I79*(1+IF(AND(I$6&gt;0,$B80&lt;I$6),I$4,I$5)/12),2))</f>
        <v/>
      </c>
      <c r="AO80">
        <f>IF(J79&lt;=0,0,ROUND(J79*(1+IF(AND(J$6&gt;0,$B80&lt;J$6),J$4,J$5)/12),2))</f>
        <v/>
      </c>
      <c r="AP80">
        <f>IF(K79&lt;=0,0,ROUND(K79*(1+IF(AND(K$6&gt;0,$B80&lt;K$6),K$4,K$5)/12),2))</f>
        <v/>
      </c>
      <c r="AQ80">
        <f>IF(L79&lt;=0,0,ROUND(L79*(1+IF(AND(L$6&gt;0,$B80&lt;L$6),L$4,L$5)/12),2))</f>
        <v/>
      </c>
      <c r="AR80">
        <f>IF(M79&lt;=0,0,ROUND(M79*(1+IF(AND(M$6&gt;0,$B80&lt;M$6),M$4,M$5)/12),2))</f>
        <v/>
      </c>
      <c r="AS80">
        <f>IF(N79&lt;=0,0,ROUND(N79*(1+IF(AND(N$6&gt;0,$B80&lt;N$6),N$4,N$5)/12),2))</f>
        <v/>
      </c>
    </row>
    <row r="81">
      <c r="A81" t="n">
        <v>70</v>
      </c>
      <c r="B81">
        <f>EDATE(Plan!$C$6,69)</f>
        <v/>
      </c>
      <c r="C81">
        <f>IF(C80&lt;=0,0,MAX(0,AH81-O81))</f>
        <v/>
      </c>
      <c r="D81">
        <f>IF(D80&lt;=0,0,MAX(0,AI81-P81))</f>
        <v/>
      </c>
      <c r="E81">
        <f>IF(E80&lt;=0,0,MAX(0,AJ81-Q81))</f>
        <v/>
      </c>
      <c r="F81">
        <f>IF(F80&lt;=0,0,MAX(0,AK81-R81))</f>
        <v/>
      </c>
      <c r="G81">
        <f>IF(G80&lt;=0,0,MAX(0,AL81-S81))</f>
        <v/>
      </c>
      <c r="H81">
        <f>IF(H80&lt;=0,0,MAX(0,AM81-T81))</f>
        <v/>
      </c>
      <c r="I81">
        <f>IF(I80&lt;=0,0,MAX(0,AN81-U81))</f>
        <v/>
      </c>
      <c r="J81">
        <f>IF(J80&lt;=0,0,MAX(0,AO81-V81))</f>
        <v/>
      </c>
      <c r="K81">
        <f>IF(K80&lt;=0,0,MAX(0,AP81-W81))</f>
        <v/>
      </c>
      <c r="L81">
        <f>IF(L80&lt;=0,0,MAX(0,AQ81-X81))</f>
        <v/>
      </c>
      <c r="M81">
        <f>IF(M80&lt;=0,0,MAX(0,AR81-Y81))</f>
        <v/>
      </c>
      <c r="N81">
        <f>IF(N80&lt;=0,0,MAX(0,AS81-Z81))</f>
        <v/>
      </c>
      <c r="O81">
        <f>IF(C80&lt;=0,0,MIN(AH81,C$7+IF(C$2=$AA81,$AC81,IF(C$2=$AF81,$AG81,0))))</f>
        <v/>
      </c>
      <c r="P81">
        <f>IF(D80&lt;=0,0,MIN(AI81,D$7+IF(D$2=$AA81,$AC81,IF(D$2=$AF81,$AG81,0))))</f>
        <v/>
      </c>
      <c r="Q81">
        <f>IF(E80&lt;=0,0,MIN(AJ81,E$7+IF(E$2=$AA81,$AC81,IF(E$2=$AF81,$AG81,0))))</f>
        <v/>
      </c>
      <c r="R81">
        <f>IF(F80&lt;=0,0,MIN(AK81,F$7+IF(F$2=$AA81,$AC81,IF(F$2=$AF81,$AG81,0))))</f>
        <v/>
      </c>
      <c r="S81">
        <f>IF(G80&lt;=0,0,MIN(AL81,G$7+IF(G$2=$AA81,$AC81,IF(G$2=$AF81,$AG81,0))))</f>
        <v/>
      </c>
      <c r="T81">
        <f>IF(H80&lt;=0,0,MIN(AM81,H$7+IF(H$2=$AA81,$AC81,IF(H$2=$AF81,$AG81,0))))</f>
        <v/>
      </c>
      <c r="U81">
        <f>IF(I80&lt;=0,0,MIN(AN81,I$7+IF(I$2=$AA81,$AC81,IF(I$2=$AF81,$AG81,0))))</f>
        <v/>
      </c>
      <c r="V81">
        <f>IF(J80&lt;=0,0,MIN(AO81,J$7+IF(J$2=$AA81,$AC81,IF(J$2=$AF81,$AG81,0))))</f>
        <v/>
      </c>
      <c r="W81">
        <f>IF(K80&lt;=0,0,MIN(AP81,K$7+IF(K$2=$AA81,$AC81,IF(K$2=$AF81,$AG81,0))))</f>
        <v/>
      </c>
      <c r="X81">
        <f>IF(L80&lt;=0,0,MIN(AQ81,L$7+IF(L$2=$AA81,$AC81,IF(L$2=$AF81,$AG81,0))))</f>
        <v/>
      </c>
      <c r="Y81">
        <f>IF(M80&lt;=0,0,MIN(AR81,M$7+IF(M$2=$AA81,$AC81,IF(M$2=$AF81,$AG81,0))))</f>
        <v/>
      </c>
      <c r="Z81">
        <f>IF(N80&lt;=0,0,MIN(AS81,N$7+IF(N$2=$AA81,$AC81,IF(N$2=$AF81,$AG81,0))))</f>
        <v/>
      </c>
      <c r="AA81">
        <f>IFERROR(ROUND(1/SUMPRODUCT(MAX((C80:N80&gt;0)*($C$3:$N$3&lt;=B81)/$C$2:$N$2)),0),0)</f>
        <v/>
      </c>
      <c r="AB81">
        <f>SUMPRODUCT((C80:N80&gt;0)*$C$7:$N$7)</f>
        <v/>
      </c>
      <c r="AC81">
        <f>MAX(0,Plan!$C$5-AB81)+IF(A81=Plan!$C$8,N(Plan!$C$7),0)</f>
        <v/>
      </c>
      <c r="AD81">
        <f>SUM(C81:N81)</f>
        <v/>
      </c>
      <c r="AE81">
        <f>SUM(O81:Z81)</f>
        <v/>
      </c>
      <c r="AF81">
        <f>IFERROR(ROUND(1/SUMPRODUCT(MAX((C80:N80&gt;0)*($C$3:$N$3&lt;=B81)*($C$2:$N$2&gt;AA81)/$C$2:$N$2)),0),0)</f>
        <v/>
      </c>
      <c r="AG81">
        <f>MAX(0,AC81-MAX(0,SUMPRODUCT(($C$2:$N$2=AA81)*(AH81:AS81-$C$7:$N$7))))</f>
        <v/>
      </c>
      <c r="AH81">
        <f>IF(C80&lt;=0,0,ROUND(C80*(1+IF(AND(C$6&gt;0,$B81&lt;C$6),C$4,C$5)/12),2))</f>
        <v/>
      </c>
      <c r="AI81">
        <f>IF(D80&lt;=0,0,ROUND(D80*(1+IF(AND(D$6&gt;0,$B81&lt;D$6),D$4,D$5)/12),2))</f>
        <v/>
      </c>
      <c r="AJ81">
        <f>IF(E80&lt;=0,0,ROUND(E80*(1+IF(AND(E$6&gt;0,$B81&lt;E$6),E$4,E$5)/12),2))</f>
        <v/>
      </c>
      <c r="AK81">
        <f>IF(F80&lt;=0,0,ROUND(F80*(1+IF(AND(F$6&gt;0,$B81&lt;F$6),F$4,F$5)/12),2))</f>
        <v/>
      </c>
      <c r="AL81">
        <f>IF(G80&lt;=0,0,ROUND(G80*(1+IF(AND(G$6&gt;0,$B81&lt;G$6),G$4,G$5)/12),2))</f>
        <v/>
      </c>
      <c r="AM81">
        <f>IF(H80&lt;=0,0,ROUND(H80*(1+IF(AND(H$6&gt;0,$B81&lt;H$6),H$4,H$5)/12),2))</f>
        <v/>
      </c>
      <c r="AN81">
        <f>IF(I80&lt;=0,0,ROUND(I80*(1+IF(AND(I$6&gt;0,$B81&lt;I$6),I$4,I$5)/12),2))</f>
        <v/>
      </c>
      <c r="AO81">
        <f>IF(J80&lt;=0,0,ROUND(J80*(1+IF(AND(J$6&gt;0,$B81&lt;J$6),J$4,J$5)/12),2))</f>
        <v/>
      </c>
      <c r="AP81">
        <f>IF(K80&lt;=0,0,ROUND(K80*(1+IF(AND(K$6&gt;0,$B81&lt;K$6),K$4,K$5)/12),2))</f>
        <v/>
      </c>
      <c r="AQ81">
        <f>IF(L80&lt;=0,0,ROUND(L80*(1+IF(AND(L$6&gt;0,$B81&lt;L$6),L$4,L$5)/12),2))</f>
        <v/>
      </c>
      <c r="AR81">
        <f>IF(M80&lt;=0,0,ROUND(M80*(1+IF(AND(M$6&gt;0,$B81&lt;M$6),M$4,M$5)/12),2))</f>
        <v/>
      </c>
      <c r="AS81">
        <f>IF(N80&lt;=0,0,ROUND(N80*(1+IF(AND(N$6&gt;0,$B81&lt;N$6),N$4,N$5)/12),2))</f>
        <v/>
      </c>
    </row>
    <row r="82">
      <c r="A82" t="n">
        <v>71</v>
      </c>
      <c r="B82">
        <f>EDATE(Plan!$C$6,70)</f>
        <v/>
      </c>
      <c r="C82">
        <f>IF(C81&lt;=0,0,MAX(0,AH82-O82))</f>
        <v/>
      </c>
      <c r="D82">
        <f>IF(D81&lt;=0,0,MAX(0,AI82-P82))</f>
        <v/>
      </c>
      <c r="E82">
        <f>IF(E81&lt;=0,0,MAX(0,AJ82-Q82))</f>
        <v/>
      </c>
      <c r="F82">
        <f>IF(F81&lt;=0,0,MAX(0,AK82-R82))</f>
        <v/>
      </c>
      <c r="G82">
        <f>IF(G81&lt;=0,0,MAX(0,AL82-S82))</f>
        <v/>
      </c>
      <c r="H82">
        <f>IF(H81&lt;=0,0,MAX(0,AM82-T82))</f>
        <v/>
      </c>
      <c r="I82">
        <f>IF(I81&lt;=0,0,MAX(0,AN82-U82))</f>
        <v/>
      </c>
      <c r="J82">
        <f>IF(J81&lt;=0,0,MAX(0,AO82-V82))</f>
        <v/>
      </c>
      <c r="K82">
        <f>IF(K81&lt;=0,0,MAX(0,AP82-W82))</f>
        <v/>
      </c>
      <c r="L82">
        <f>IF(L81&lt;=0,0,MAX(0,AQ82-X82))</f>
        <v/>
      </c>
      <c r="M82">
        <f>IF(M81&lt;=0,0,MAX(0,AR82-Y82))</f>
        <v/>
      </c>
      <c r="N82">
        <f>IF(N81&lt;=0,0,MAX(0,AS82-Z82))</f>
        <v/>
      </c>
      <c r="O82">
        <f>IF(C81&lt;=0,0,MIN(AH82,C$7+IF(C$2=$AA82,$AC82,IF(C$2=$AF82,$AG82,0))))</f>
        <v/>
      </c>
      <c r="P82">
        <f>IF(D81&lt;=0,0,MIN(AI82,D$7+IF(D$2=$AA82,$AC82,IF(D$2=$AF82,$AG82,0))))</f>
        <v/>
      </c>
      <c r="Q82">
        <f>IF(E81&lt;=0,0,MIN(AJ82,E$7+IF(E$2=$AA82,$AC82,IF(E$2=$AF82,$AG82,0))))</f>
        <v/>
      </c>
      <c r="R82">
        <f>IF(F81&lt;=0,0,MIN(AK82,F$7+IF(F$2=$AA82,$AC82,IF(F$2=$AF82,$AG82,0))))</f>
        <v/>
      </c>
      <c r="S82">
        <f>IF(G81&lt;=0,0,MIN(AL82,G$7+IF(G$2=$AA82,$AC82,IF(G$2=$AF82,$AG82,0))))</f>
        <v/>
      </c>
      <c r="T82">
        <f>IF(H81&lt;=0,0,MIN(AM82,H$7+IF(H$2=$AA82,$AC82,IF(H$2=$AF82,$AG82,0))))</f>
        <v/>
      </c>
      <c r="U82">
        <f>IF(I81&lt;=0,0,MIN(AN82,I$7+IF(I$2=$AA82,$AC82,IF(I$2=$AF82,$AG82,0))))</f>
        <v/>
      </c>
      <c r="V82">
        <f>IF(J81&lt;=0,0,MIN(AO82,J$7+IF(J$2=$AA82,$AC82,IF(J$2=$AF82,$AG82,0))))</f>
        <v/>
      </c>
      <c r="W82">
        <f>IF(K81&lt;=0,0,MIN(AP82,K$7+IF(K$2=$AA82,$AC82,IF(K$2=$AF82,$AG82,0))))</f>
        <v/>
      </c>
      <c r="X82">
        <f>IF(L81&lt;=0,0,MIN(AQ82,L$7+IF(L$2=$AA82,$AC82,IF(L$2=$AF82,$AG82,0))))</f>
        <v/>
      </c>
      <c r="Y82">
        <f>IF(M81&lt;=0,0,MIN(AR82,M$7+IF(M$2=$AA82,$AC82,IF(M$2=$AF82,$AG82,0))))</f>
        <v/>
      </c>
      <c r="Z82">
        <f>IF(N81&lt;=0,0,MIN(AS82,N$7+IF(N$2=$AA82,$AC82,IF(N$2=$AF82,$AG82,0))))</f>
        <v/>
      </c>
      <c r="AA82">
        <f>IFERROR(ROUND(1/SUMPRODUCT(MAX((C81:N81&gt;0)*($C$3:$N$3&lt;=B82)/$C$2:$N$2)),0),0)</f>
        <v/>
      </c>
      <c r="AB82">
        <f>SUMPRODUCT((C81:N81&gt;0)*$C$7:$N$7)</f>
        <v/>
      </c>
      <c r="AC82">
        <f>MAX(0,Plan!$C$5-AB82)+IF(A82=Plan!$C$8,N(Plan!$C$7),0)</f>
        <v/>
      </c>
      <c r="AD82">
        <f>SUM(C82:N82)</f>
        <v/>
      </c>
      <c r="AE82">
        <f>SUM(O82:Z82)</f>
        <v/>
      </c>
      <c r="AF82">
        <f>IFERROR(ROUND(1/SUMPRODUCT(MAX((C81:N81&gt;0)*($C$3:$N$3&lt;=B82)*($C$2:$N$2&gt;AA82)/$C$2:$N$2)),0),0)</f>
        <v/>
      </c>
      <c r="AG82">
        <f>MAX(0,AC82-MAX(0,SUMPRODUCT(($C$2:$N$2=AA82)*(AH82:AS82-$C$7:$N$7))))</f>
        <v/>
      </c>
      <c r="AH82">
        <f>IF(C81&lt;=0,0,ROUND(C81*(1+IF(AND(C$6&gt;0,$B82&lt;C$6),C$4,C$5)/12),2))</f>
        <v/>
      </c>
      <c r="AI82">
        <f>IF(D81&lt;=0,0,ROUND(D81*(1+IF(AND(D$6&gt;0,$B82&lt;D$6),D$4,D$5)/12),2))</f>
        <v/>
      </c>
      <c r="AJ82">
        <f>IF(E81&lt;=0,0,ROUND(E81*(1+IF(AND(E$6&gt;0,$B82&lt;E$6),E$4,E$5)/12),2))</f>
        <v/>
      </c>
      <c r="AK82">
        <f>IF(F81&lt;=0,0,ROUND(F81*(1+IF(AND(F$6&gt;0,$B82&lt;F$6),F$4,F$5)/12),2))</f>
        <v/>
      </c>
      <c r="AL82">
        <f>IF(G81&lt;=0,0,ROUND(G81*(1+IF(AND(G$6&gt;0,$B82&lt;G$6),G$4,G$5)/12),2))</f>
        <v/>
      </c>
      <c r="AM82">
        <f>IF(H81&lt;=0,0,ROUND(H81*(1+IF(AND(H$6&gt;0,$B82&lt;H$6),H$4,H$5)/12),2))</f>
        <v/>
      </c>
      <c r="AN82">
        <f>IF(I81&lt;=0,0,ROUND(I81*(1+IF(AND(I$6&gt;0,$B82&lt;I$6),I$4,I$5)/12),2))</f>
        <v/>
      </c>
      <c r="AO82">
        <f>IF(J81&lt;=0,0,ROUND(J81*(1+IF(AND(J$6&gt;0,$B82&lt;J$6),J$4,J$5)/12),2))</f>
        <v/>
      </c>
      <c r="AP82">
        <f>IF(K81&lt;=0,0,ROUND(K81*(1+IF(AND(K$6&gt;0,$B82&lt;K$6),K$4,K$5)/12),2))</f>
        <v/>
      </c>
      <c r="AQ82">
        <f>IF(L81&lt;=0,0,ROUND(L81*(1+IF(AND(L$6&gt;0,$B82&lt;L$6),L$4,L$5)/12),2))</f>
        <v/>
      </c>
      <c r="AR82">
        <f>IF(M81&lt;=0,0,ROUND(M81*(1+IF(AND(M$6&gt;0,$B82&lt;M$6),M$4,M$5)/12),2))</f>
        <v/>
      </c>
      <c r="AS82">
        <f>IF(N81&lt;=0,0,ROUND(N81*(1+IF(AND(N$6&gt;0,$B82&lt;N$6),N$4,N$5)/12),2))</f>
        <v/>
      </c>
    </row>
    <row r="83">
      <c r="A83" t="n">
        <v>72</v>
      </c>
      <c r="B83">
        <f>EDATE(Plan!$C$6,71)</f>
        <v/>
      </c>
      <c r="C83">
        <f>IF(C82&lt;=0,0,MAX(0,AH83-O83))</f>
        <v/>
      </c>
      <c r="D83">
        <f>IF(D82&lt;=0,0,MAX(0,AI83-P83))</f>
        <v/>
      </c>
      <c r="E83">
        <f>IF(E82&lt;=0,0,MAX(0,AJ83-Q83))</f>
        <v/>
      </c>
      <c r="F83">
        <f>IF(F82&lt;=0,0,MAX(0,AK83-R83))</f>
        <v/>
      </c>
      <c r="G83">
        <f>IF(G82&lt;=0,0,MAX(0,AL83-S83))</f>
        <v/>
      </c>
      <c r="H83">
        <f>IF(H82&lt;=0,0,MAX(0,AM83-T83))</f>
        <v/>
      </c>
      <c r="I83">
        <f>IF(I82&lt;=0,0,MAX(0,AN83-U83))</f>
        <v/>
      </c>
      <c r="J83">
        <f>IF(J82&lt;=0,0,MAX(0,AO83-V83))</f>
        <v/>
      </c>
      <c r="K83">
        <f>IF(K82&lt;=0,0,MAX(0,AP83-W83))</f>
        <v/>
      </c>
      <c r="L83">
        <f>IF(L82&lt;=0,0,MAX(0,AQ83-X83))</f>
        <v/>
      </c>
      <c r="M83">
        <f>IF(M82&lt;=0,0,MAX(0,AR83-Y83))</f>
        <v/>
      </c>
      <c r="N83">
        <f>IF(N82&lt;=0,0,MAX(0,AS83-Z83))</f>
        <v/>
      </c>
      <c r="O83">
        <f>IF(C82&lt;=0,0,MIN(AH83,C$7+IF(C$2=$AA83,$AC83,IF(C$2=$AF83,$AG83,0))))</f>
        <v/>
      </c>
      <c r="P83">
        <f>IF(D82&lt;=0,0,MIN(AI83,D$7+IF(D$2=$AA83,$AC83,IF(D$2=$AF83,$AG83,0))))</f>
        <v/>
      </c>
      <c r="Q83">
        <f>IF(E82&lt;=0,0,MIN(AJ83,E$7+IF(E$2=$AA83,$AC83,IF(E$2=$AF83,$AG83,0))))</f>
        <v/>
      </c>
      <c r="R83">
        <f>IF(F82&lt;=0,0,MIN(AK83,F$7+IF(F$2=$AA83,$AC83,IF(F$2=$AF83,$AG83,0))))</f>
        <v/>
      </c>
      <c r="S83">
        <f>IF(G82&lt;=0,0,MIN(AL83,G$7+IF(G$2=$AA83,$AC83,IF(G$2=$AF83,$AG83,0))))</f>
        <v/>
      </c>
      <c r="T83">
        <f>IF(H82&lt;=0,0,MIN(AM83,H$7+IF(H$2=$AA83,$AC83,IF(H$2=$AF83,$AG83,0))))</f>
        <v/>
      </c>
      <c r="U83">
        <f>IF(I82&lt;=0,0,MIN(AN83,I$7+IF(I$2=$AA83,$AC83,IF(I$2=$AF83,$AG83,0))))</f>
        <v/>
      </c>
      <c r="V83">
        <f>IF(J82&lt;=0,0,MIN(AO83,J$7+IF(J$2=$AA83,$AC83,IF(J$2=$AF83,$AG83,0))))</f>
        <v/>
      </c>
      <c r="W83">
        <f>IF(K82&lt;=0,0,MIN(AP83,K$7+IF(K$2=$AA83,$AC83,IF(K$2=$AF83,$AG83,0))))</f>
        <v/>
      </c>
      <c r="X83">
        <f>IF(L82&lt;=0,0,MIN(AQ83,L$7+IF(L$2=$AA83,$AC83,IF(L$2=$AF83,$AG83,0))))</f>
        <v/>
      </c>
      <c r="Y83">
        <f>IF(M82&lt;=0,0,MIN(AR83,M$7+IF(M$2=$AA83,$AC83,IF(M$2=$AF83,$AG83,0))))</f>
        <v/>
      </c>
      <c r="Z83">
        <f>IF(N82&lt;=0,0,MIN(AS83,N$7+IF(N$2=$AA83,$AC83,IF(N$2=$AF83,$AG83,0))))</f>
        <v/>
      </c>
      <c r="AA83">
        <f>IFERROR(ROUND(1/SUMPRODUCT(MAX((C82:N82&gt;0)*($C$3:$N$3&lt;=B83)/$C$2:$N$2)),0),0)</f>
        <v/>
      </c>
      <c r="AB83">
        <f>SUMPRODUCT((C82:N82&gt;0)*$C$7:$N$7)</f>
        <v/>
      </c>
      <c r="AC83">
        <f>MAX(0,Plan!$C$5-AB83)+IF(A83=Plan!$C$8,N(Plan!$C$7),0)</f>
        <v/>
      </c>
      <c r="AD83">
        <f>SUM(C83:N83)</f>
        <v/>
      </c>
      <c r="AE83">
        <f>SUM(O83:Z83)</f>
        <v/>
      </c>
      <c r="AF83">
        <f>IFERROR(ROUND(1/SUMPRODUCT(MAX((C82:N82&gt;0)*($C$3:$N$3&lt;=B83)*($C$2:$N$2&gt;AA83)/$C$2:$N$2)),0),0)</f>
        <v/>
      </c>
      <c r="AG83">
        <f>MAX(0,AC83-MAX(0,SUMPRODUCT(($C$2:$N$2=AA83)*(AH83:AS83-$C$7:$N$7))))</f>
        <v/>
      </c>
      <c r="AH83">
        <f>IF(C82&lt;=0,0,ROUND(C82*(1+IF(AND(C$6&gt;0,$B83&lt;C$6),C$4,C$5)/12),2))</f>
        <v/>
      </c>
      <c r="AI83">
        <f>IF(D82&lt;=0,0,ROUND(D82*(1+IF(AND(D$6&gt;0,$B83&lt;D$6),D$4,D$5)/12),2))</f>
        <v/>
      </c>
      <c r="AJ83">
        <f>IF(E82&lt;=0,0,ROUND(E82*(1+IF(AND(E$6&gt;0,$B83&lt;E$6),E$4,E$5)/12),2))</f>
        <v/>
      </c>
      <c r="AK83">
        <f>IF(F82&lt;=0,0,ROUND(F82*(1+IF(AND(F$6&gt;0,$B83&lt;F$6),F$4,F$5)/12),2))</f>
        <v/>
      </c>
      <c r="AL83">
        <f>IF(G82&lt;=0,0,ROUND(G82*(1+IF(AND(G$6&gt;0,$B83&lt;G$6),G$4,G$5)/12),2))</f>
        <v/>
      </c>
      <c r="AM83">
        <f>IF(H82&lt;=0,0,ROUND(H82*(1+IF(AND(H$6&gt;0,$B83&lt;H$6),H$4,H$5)/12),2))</f>
        <v/>
      </c>
      <c r="AN83">
        <f>IF(I82&lt;=0,0,ROUND(I82*(1+IF(AND(I$6&gt;0,$B83&lt;I$6),I$4,I$5)/12),2))</f>
        <v/>
      </c>
      <c r="AO83">
        <f>IF(J82&lt;=0,0,ROUND(J82*(1+IF(AND(J$6&gt;0,$B83&lt;J$6),J$4,J$5)/12),2))</f>
        <v/>
      </c>
      <c r="AP83">
        <f>IF(K82&lt;=0,0,ROUND(K82*(1+IF(AND(K$6&gt;0,$B83&lt;K$6),K$4,K$5)/12),2))</f>
        <v/>
      </c>
      <c r="AQ83">
        <f>IF(L82&lt;=0,0,ROUND(L82*(1+IF(AND(L$6&gt;0,$B83&lt;L$6),L$4,L$5)/12),2))</f>
        <v/>
      </c>
      <c r="AR83">
        <f>IF(M82&lt;=0,0,ROUND(M82*(1+IF(AND(M$6&gt;0,$B83&lt;M$6),M$4,M$5)/12),2))</f>
        <v/>
      </c>
      <c r="AS83">
        <f>IF(N82&lt;=0,0,ROUND(N82*(1+IF(AND(N$6&gt;0,$B83&lt;N$6),N$4,N$5)/12),2))</f>
        <v/>
      </c>
    </row>
    <row r="84">
      <c r="A84" t="n">
        <v>73</v>
      </c>
      <c r="B84">
        <f>EDATE(Plan!$C$6,72)</f>
        <v/>
      </c>
      <c r="C84">
        <f>IF(C83&lt;=0,0,MAX(0,AH84-O84))</f>
        <v/>
      </c>
      <c r="D84">
        <f>IF(D83&lt;=0,0,MAX(0,AI84-P84))</f>
        <v/>
      </c>
      <c r="E84">
        <f>IF(E83&lt;=0,0,MAX(0,AJ84-Q84))</f>
        <v/>
      </c>
      <c r="F84">
        <f>IF(F83&lt;=0,0,MAX(0,AK84-R84))</f>
        <v/>
      </c>
      <c r="G84">
        <f>IF(G83&lt;=0,0,MAX(0,AL84-S84))</f>
        <v/>
      </c>
      <c r="H84">
        <f>IF(H83&lt;=0,0,MAX(0,AM84-T84))</f>
        <v/>
      </c>
      <c r="I84">
        <f>IF(I83&lt;=0,0,MAX(0,AN84-U84))</f>
        <v/>
      </c>
      <c r="J84">
        <f>IF(J83&lt;=0,0,MAX(0,AO84-V84))</f>
        <v/>
      </c>
      <c r="K84">
        <f>IF(K83&lt;=0,0,MAX(0,AP84-W84))</f>
        <v/>
      </c>
      <c r="L84">
        <f>IF(L83&lt;=0,0,MAX(0,AQ84-X84))</f>
        <v/>
      </c>
      <c r="M84">
        <f>IF(M83&lt;=0,0,MAX(0,AR84-Y84))</f>
        <v/>
      </c>
      <c r="N84">
        <f>IF(N83&lt;=0,0,MAX(0,AS84-Z84))</f>
        <v/>
      </c>
      <c r="O84">
        <f>IF(C83&lt;=0,0,MIN(AH84,C$7+IF(C$2=$AA84,$AC84,IF(C$2=$AF84,$AG84,0))))</f>
        <v/>
      </c>
      <c r="P84">
        <f>IF(D83&lt;=0,0,MIN(AI84,D$7+IF(D$2=$AA84,$AC84,IF(D$2=$AF84,$AG84,0))))</f>
        <v/>
      </c>
      <c r="Q84">
        <f>IF(E83&lt;=0,0,MIN(AJ84,E$7+IF(E$2=$AA84,$AC84,IF(E$2=$AF84,$AG84,0))))</f>
        <v/>
      </c>
      <c r="R84">
        <f>IF(F83&lt;=0,0,MIN(AK84,F$7+IF(F$2=$AA84,$AC84,IF(F$2=$AF84,$AG84,0))))</f>
        <v/>
      </c>
      <c r="S84">
        <f>IF(G83&lt;=0,0,MIN(AL84,G$7+IF(G$2=$AA84,$AC84,IF(G$2=$AF84,$AG84,0))))</f>
        <v/>
      </c>
      <c r="T84">
        <f>IF(H83&lt;=0,0,MIN(AM84,H$7+IF(H$2=$AA84,$AC84,IF(H$2=$AF84,$AG84,0))))</f>
        <v/>
      </c>
      <c r="U84">
        <f>IF(I83&lt;=0,0,MIN(AN84,I$7+IF(I$2=$AA84,$AC84,IF(I$2=$AF84,$AG84,0))))</f>
        <v/>
      </c>
      <c r="V84">
        <f>IF(J83&lt;=0,0,MIN(AO84,J$7+IF(J$2=$AA84,$AC84,IF(J$2=$AF84,$AG84,0))))</f>
        <v/>
      </c>
      <c r="W84">
        <f>IF(K83&lt;=0,0,MIN(AP84,K$7+IF(K$2=$AA84,$AC84,IF(K$2=$AF84,$AG84,0))))</f>
        <v/>
      </c>
      <c r="X84">
        <f>IF(L83&lt;=0,0,MIN(AQ84,L$7+IF(L$2=$AA84,$AC84,IF(L$2=$AF84,$AG84,0))))</f>
        <v/>
      </c>
      <c r="Y84">
        <f>IF(M83&lt;=0,0,MIN(AR84,M$7+IF(M$2=$AA84,$AC84,IF(M$2=$AF84,$AG84,0))))</f>
        <v/>
      </c>
      <c r="Z84">
        <f>IF(N83&lt;=0,0,MIN(AS84,N$7+IF(N$2=$AA84,$AC84,IF(N$2=$AF84,$AG84,0))))</f>
        <v/>
      </c>
      <c r="AA84">
        <f>IFERROR(ROUND(1/SUMPRODUCT(MAX((C83:N83&gt;0)*($C$3:$N$3&lt;=B84)/$C$2:$N$2)),0),0)</f>
        <v/>
      </c>
      <c r="AB84">
        <f>SUMPRODUCT((C83:N83&gt;0)*$C$7:$N$7)</f>
        <v/>
      </c>
      <c r="AC84">
        <f>MAX(0,Plan!$C$5-AB84)+IF(A84=Plan!$C$8,N(Plan!$C$7),0)</f>
        <v/>
      </c>
      <c r="AD84">
        <f>SUM(C84:N84)</f>
        <v/>
      </c>
      <c r="AE84">
        <f>SUM(O84:Z84)</f>
        <v/>
      </c>
      <c r="AF84">
        <f>IFERROR(ROUND(1/SUMPRODUCT(MAX((C83:N83&gt;0)*($C$3:$N$3&lt;=B84)*($C$2:$N$2&gt;AA84)/$C$2:$N$2)),0),0)</f>
        <v/>
      </c>
      <c r="AG84">
        <f>MAX(0,AC84-MAX(0,SUMPRODUCT(($C$2:$N$2=AA84)*(AH84:AS84-$C$7:$N$7))))</f>
        <v/>
      </c>
      <c r="AH84">
        <f>IF(C83&lt;=0,0,ROUND(C83*(1+IF(AND(C$6&gt;0,$B84&lt;C$6),C$4,C$5)/12),2))</f>
        <v/>
      </c>
      <c r="AI84">
        <f>IF(D83&lt;=0,0,ROUND(D83*(1+IF(AND(D$6&gt;0,$B84&lt;D$6),D$4,D$5)/12),2))</f>
        <v/>
      </c>
      <c r="AJ84">
        <f>IF(E83&lt;=0,0,ROUND(E83*(1+IF(AND(E$6&gt;0,$B84&lt;E$6),E$4,E$5)/12),2))</f>
        <v/>
      </c>
      <c r="AK84">
        <f>IF(F83&lt;=0,0,ROUND(F83*(1+IF(AND(F$6&gt;0,$B84&lt;F$6),F$4,F$5)/12),2))</f>
        <v/>
      </c>
      <c r="AL84">
        <f>IF(G83&lt;=0,0,ROUND(G83*(1+IF(AND(G$6&gt;0,$B84&lt;G$6),G$4,G$5)/12),2))</f>
        <v/>
      </c>
      <c r="AM84">
        <f>IF(H83&lt;=0,0,ROUND(H83*(1+IF(AND(H$6&gt;0,$B84&lt;H$6),H$4,H$5)/12),2))</f>
        <v/>
      </c>
      <c r="AN84">
        <f>IF(I83&lt;=0,0,ROUND(I83*(1+IF(AND(I$6&gt;0,$B84&lt;I$6),I$4,I$5)/12),2))</f>
        <v/>
      </c>
      <c r="AO84">
        <f>IF(J83&lt;=0,0,ROUND(J83*(1+IF(AND(J$6&gt;0,$B84&lt;J$6),J$4,J$5)/12),2))</f>
        <v/>
      </c>
      <c r="AP84">
        <f>IF(K83&lt;=0,0,ROUND(K83*(1+IF(AND(K$6&gt;0,$B84&lt;K$6),K$4,K$5)/12),2))</f>
        <v/>
      </c>
      <c r="AQ84">
        <f>IF(L83&lt;=0,0,ROUND(L83*(1+IF(AND(L$6&gt;0,$B84&lt;L$6),L$4,L$5)/12),2))</f>
        <v/>
      </c>
      <c r="AR84">
        <f>IF(M83&lt;=0,0,ROUND(M83*(1+IF(AND(M$6&gt;0,$B84&lt;M$6),M$4,M$5)/12),2))</f>
        <v/>
      </c>
      <c r="AS84">
        <f>IF(N83&lt;=0,0,ROUND(N83*(1+IF(AND(N$6&gt;0,$B84&lt;N$6),N$4,N$5)/12),2))</f>
        <v/>
      </c>
    </row>
    <row r="85">
      <c r="A85" t="n">
        <v>74</v>
      </c>
      <c r="B85">
        <f>EDATE(Plan!$C$6,73)</f>
        <v/>
      </c>
      <c r="C85">
        <f>IF(C84&lt;=0,0,MAX(0,AH85-O85))</f>
        <v/>
      </c>
      <c r="D85">
        <f>IF(D84&lt;=0,0,MAX(0,AI85-P85))</f>
        <v/>
      </c>
      <c r="E85">
        <f>IF(E84&lt;=0,0,MAX(0,AJ85-Q85))</f>
        <v/>
      </c>
      <c r="F85">
        <f>IF(F84&lt;=0,0,MAX(0,AK85-R85))</f>
        <v/>
      </c>
      <c r="G85">
        <f>IF(G84&lt;=0,0,MAX(0,AL85-S85))</f>
        <v/>
      </c>
      <c r="H85">
        <f>IF(H84&lt;=0,0,MAX(0,AM85-T85))</f>
        <v/>
      </c>
      <c r="I85">
        <f>IF(I84&lt;=0,0,MAX(0,AN85-U85))</f>
        <v/>
      </c>
      <c r="J85">
        <f>IF(J84&lt;=0,0,MAX(0,AO85-V85))</f>
        <v/>
      </c>
      <c r="K85">
        <f>IF(K84&lt;=0,0,MAX(0,AP85-W85))</f>
        <v/>
      </c>
      <c r="L85">
        <f>IF(L84&lt;=0,0,MAX(0,AQ85-X85))</f>
        <v/>
      </c>
      <c r="M85">
        <f>IF(M84&lt;=0,0,MAX(0,AR85-Y85))</f>
        <v/>
      </c>
      <c r="N85">
        <f>IF(N84&lt;=0,0,MAX(0,AS85-Z85))</f>
        <v/>
      </c>
      <c r="O85">
        <f>IF(C84&lt;=0,0,MIN(AH85,C$7+IF(C$2=$AA85,$AC85,IF(C$2=$AF85,$AG85,0))))</f>
        <v/>
      </c>
      <c r="P85">
        <f>IF(D84&lt;=0,0,MIN(AI85,D$7+IF(D$2=$AA85,$AC85,IF(D$2=$AF85,$AG85,0))))</f>
        <v/>
      </c>
      <c r="Q85">
        <f>IF(E84&lt;=0,0,MIN(AJ85,E$7+IF(E$2=$AA85,$AC85,IF(E$2=$AF85,$AG85,0))))</f>
        <v/>
      </c>
      <c r="R85">
        <f>IF(F84&lt;=0,0,MIN(AK85,F$7+IF(F$2=$AA85,$AC85,IF(F$2=$AF85,$AG85,0))))</f>
        <v/>
      </c>
      <c r="S85">
        <f>IF(G84&lt;=0,0,MIN(AL85,G$7+IF(G$2=$AA85,$AC85,IF(G$2=$AF85,$AG85,0))))</f>
        <v/>
      </c>
      <c r="T85">
        <f>IF(H84&lt;=0,0,MIN(AM85,H$7+IF(H$2=$AA85,$AC85,IF(H$2=$AF85,$AG85,0))))</f>
        <v/>
      </c>
      <c r="U85">
        <f>IF(I84&lt;=0,0,MIN(AN85,I$7+IF(I$2=$AA85,$AC85,IF(I$2=$AF85,$AG85,0))))</f>
        <v/>
      </c>
      <c r="V85">
        <f>IF(J84&lt;=0,0,MIN(AO85,J$7+IF(J$2=$AA85,$AC85,IF(J$2=$AF85,$AG85,0))))</f>
        <v/>
      </c>
      <c r="W85">
        <f>IF(K84&lt;=0,0,MIN(AP85,K$7+IF(K$2=$AA85,$AC85,IF(K$2=$AF85,$AG85,0))))</f>
        <v/>
      </c>
      <c r="X85">
        <f>IF(L84&lt;=0,0,MIN(AQ85,L$7+IF(L$2=$AA85,$AC85,IF(L$2=$AF85,$AG85,0))))</f>
        <v/>
      </c>
      <c r="Y85">
        <f>IF(M84&lt;=0,0,MIN(AR85,M$7+IF(M$2=$AA85,$AC85,IF(M$2=$AF85,$AG85,0))))</f>
        <v/>
      </c>
      <c r="Z85">
        <f>IF(N84&lt;=0,0,MIN(AS85,N$7+IF(N$2=$AA85,$AC85,IF(N$2=$AF85,$AG85,0))))</f>
        <v/>
      </c>
      <c r="AA85">
        <f>IFERROR(ROUND(1/SUMPRODUCT(MAX((C84:N84&gt;0)*($C$3:$N$3&lt;=B85)/$C$2:$N$2)),0),0)</f>
        <v/>
      </c>
      <c r="AB85">
        <f>SUMPRODUCT((C84:N84&gt;0)*$C$7:$N$7)</f>
        <v/>
      </c>
      <c r="AC85">
        <f>MAX(0,Plan!$C$5-AB85)+IF(A85=Plan!$C$8,N(Plan!$C$7),0)</f>
        <v/>
      </c>
      <c r="AD85">
        <f>SUM(C85:N85)</f>
        <v/>
      </c>
      <c r="AE85">
        <f>SUM(O85:Z85)</f>
        <v/>
      </c>
      <c r="AF85">
        <f>IFERROR(ROUND(1/SUMPRODUCT(MAX((C84:N84&gt;0)*($C$3:$N$3&lt;=B85)*($C$2:$N$2&gt;AA85)/$C$2:$N$2)),0),0)</f>
        <v/>
      </c>
      <c r="AG85">
        <f>MAX(0,AC85-MAX(0,SUMPRODUCT(($C$2:$N$2=AA85)*(AH85:AS85-$C$7:$N$7))))</f>
        <v/>
      </c>
      <c r="AH85">
        <f>IF(C84&lt;=0,0,ROUND(C84*(1+IF(AND(C$6&gt;0,$B85&lt;C$6),C$4,C$5)/12),2))</f>
        <v/>
      </c>
      <c r="AI85">
        <f>IF(D84&lt;=0,0,ROUND(D84*(1+IF(AND(D$6&gt;0,$B85&lt;D$6),D$4,D$5)/12),2))</f>
        <v/>
      </c>
      <c r="AJ85">
        <f>IF(E84&lt;=0,0,ROUND(E84*(1+IF(AND(E$6&gt;0,$B85&lt;E$6),E$4,E$5)/12),2))</f>
        <v/>
      </c>
      <c r="AK85">
        <f>IF(F84&lt;=0,0,ROUND(F84*(1+IF(AND(F$6&gt;0,$B85&lt;F$6),F$4,F$5)/12),2))</f>
        <v/>
      </c>
      <c r="AL85">
        <f>IF(G84&lt;=0,0,ROUND(G84*(1+IF(AND(G$6&gt;0,$B85&lt;G$6),G$4,G$5)/12),2))</f>
        <v/>
      </c>
      <c r="AM85">
        <f>IF(H84&lt;=0,0,ROUND(H84*(1+IF(AND(H$6&gt;0,$B85&lt;H$6),H$4,H$5)/12),2))</f>
        <v/>
      </c>
      <c r="AN85">
        <f>IF(I84&lt;=0,0,ROUND(I84*(1+IF(AND(I$6&gt;0,$B85&lt;I$6),I$4,I$5)/12),2))</f>
        <v/>
      </c>
      <c r="AO85">
        <f>IF(J84&lt;=0,0,ROUND(J84*(1+IF(AND(J$6&gt;0,$B85&lt;J$6),J$4,J$5)/12),2))</f>
        <v/>
      </c>
      <c r="AP85">
        <f>IF(K84&lt;=0,0,ROUND(K84*(1+IF(AND(K$6&gt;0,$B85&lt;K$6),K$4,K$5)/12),2))</f>
        <v/>
      </c>
      <c r="AQ85">
        <f>IF(L84&lt;=0,0,ROUND(L84*(1+IF(AND(L$6&gt;0,$B85&lt;L$6),L$4,L$5)/12),2))</f>
        <v/>
      </c>
      <c r="AR85">
        <f>IF(M84&lt;=0,0,ROUND(M84*(1+IF(AND(M$6&gt;0,$B85&lt;M$6),M$4,M$5)/12),2))</f>
        <v/>
      </c>
      <c r="AS85">
        <f>IF(N84&lt;=0,0,ROUND(N84*(1+IF(AND(N$6&gt;0,$B85&lt;N$6),N$4,N$5)/12),2))</f>
        <v/>
      </c>
    </row>
    <row r="86">
      <c r="A86" t="n">
        <v>75</v>
      </c>
      <c r="B86">
        <f>EDATE(Plan!$C$6,74)</f>
        <v/>
      </c>
      <c r="C86">
        <f>IF(C85&lt;=0,0,MAX(0,AH86-O86))</f>
        <v/>
      </c>
      <c r="D86">
        <f>IF(D85&lt;=0,0,MAX(0,AI86-P86))</f>
        <v/>
      </c>
      <c r="E86">
        <f>IF(E85&lt;=0,0,MAX(0,AJ86-Q86))</f>
        <v/>
      </c>
      <c r="F86">
        <f>IF(F85&lt;=0,0,MAX(0,AK86-R86))</f>
        <v/>
      </c>
      <c r="G86">
        <f>IF(G85&lt;=0,0,MAX(0,AL86-S86))</f>
        <v/>
      </c>
      <c r="H86">
        <f>IF(H85&lt;=0,0,MAX(0,AM86-T86))</f>
        <v/>
      </c>
      <c r="I86">
        <f>IF(I85&lt;=0,0,MAX(0,AN86-U86))</f>
        <v/>
      </c>
      <c r="J86">
        <f>IF(J85&lt;=0,0,MAX(0,AO86-V86))</f>
        <v/>
      </c>
      <c r="K86">
        <f>IF(K85&lt;=0,0,MAX(0,AP86-W86))</f>
        <v/>
      </c>
      <c r="L86">
        <f>IF(L85&lt;=0,0,MAX(0,AQ86-X86))</f>
        <v/>
      </c>
      <c r="M86">
        <f>IF(M85&lt;=0,0,MAX(0,AR86-Y86))</f>
        <v/>
      </c>
      <c r="N86">
        <f>IF(N85&lt;=0,0,MAX(0,AS86-Z86))</f>
        <v/>
      </c>
      <c r="O86">
        <f>IF(C85&lt;=0,0,MIN(AH86,C$7+IF(C$2=$AA86,$AC86,IF(C$2=$AF86,$AG86,0))))</f>
        <v/>
      </c>
      <c r="P86">
        <f>IF(D85&lt;=0,0,MIN(AI86,D$7+IF(D$2=$AA86,$AC86,IF(D$2=$AF86,$AG86,0))))</f>
        <v/>
      </c>
      <c r="Q86">
        <f>IF(E85&lt;=0,0,MIN(AJ86,E$7+IF(E$2=$AA86,$AC86,IF(E$2=$AF86,$AG86,0))))</f>
        <v/>
      </c>
      <c r="R86">
        <f>IF(F85&lt;=0,0,MIN(AK86,F$7+IF(F$2=$AA86,$AC86,IF(F$2=$AF86,$AG86,0))))</f>
        <v/>
      </c>
      <c r="S86">
        <f>IF(G85&lt;=0,0,MIN(AL86,G$7+IF(G$2=$AA86,$AC86,IF(G$2=$AF86,$AG86,0))))</f>
        <v/>
      </c>
      <c r="T86">
        <f>IF(H85&lt;=0,0,MIN(AM86,H$7+IF(H$2=$AA86,$AC86,IF(H$2=$AF86,$AG86,0))))</f>
        <v/>
      </c>
      <c r="U86">
        <f>IF(I85&lt;=0,0,MIN(AN86,I$7+IF(I$2=$AA86,$AC86,IF(I$2=$AF86,$AG86,0))))</f>
        <v/>
      </c>
      <c r="V86">
        <f>IF(J85&lt;=0,0,MIN(AO86,J$7+IF(J$2=$AA86,$AC86,IF(J$2=$AF86,$AG86,0))))</f>
        <v/>
      </c>
      <c r="W86">
        <f>IF(K85&lt;=0,0,MIN(AP86,K$7+IF(K$2=$AA86,$AC86,IF(K$2=$AF86,$AG86,0))))</f>
        <v/>
      </c>
      <c r="X86">
        <f>IF(L85&lt;=0,0,MIN(AQ86,L$7+IF(L$2=$AA86,$AC86,IF(L$2=$AF86,$AG86,0))))</f>
        <v/>
      </c>
      <c r="Y86">
        <f>IF(M85&lt;=0,0,MIN(AR86,M$7+IF(M$2=$AA86,$AC86,IF(M$2=$AF86,$AG86,0))))</f>
        <v/>
      </c>
      <c r="Z86">
        <f>IF(N85&lt;=0,0,MIN(AS86,N$7+IF(N$2=$AA86,$AC86,IF(N$2=$AF86,$AG86,0))))</f>
        <v/>
      </c>
      <c r="AA86">
        <f>IFERROR(ROUND(1/SUMPRODUCT(MAX((C85:N85&gt;0)*($C$3:$N$3&lt;=B86)/$C$2:$N$2)),0),0)</f>
        <v/>
      </c>
      <c r="AB86">
        <f>SUMPRODUCT((C85:N85&gt;0)*$C$7:$N$7)</f>
        <v/>
      </c>
      <c r="AC86">
        <f>MAX(0,Plan!$C$5-AB86)+IF(A86=Plan!$C$8,N(Plan!$C$7),0)</f>
        <v/>
      </c>
      <c r="AD86">
        <f>SUM(C86:N86)</f>
        <v/>
      </c>
      <c r="AE86">
        <f>SUM(O86:Z86)</f>
        <v/>
      </c>
      <c r="AF86">
        <f>IFERROR(ROUND(1/SUMPRODUCT(MAX((C85:N85&gt;0)*($C$3:$N$3&lt;=B86)*($C$2:$N$2&gt;AA86)/$C$2:$N$2)),0),0)</f>
        <v/>
      </c>
      <c r="AG86">
        <f>MAX(0,AC86-MAX(0,SUMPRODUCT(($C$2:$N$2=AA86)*(AH86:AS86-$C$7:$N$7))))</f>
        <v/>
      </c>
      <c r="AH86">
        <f>IF(C85&lt;=0,0,ROUND(C85*(1+IF(AND(C$6&gt;0,$B86&lt;C$6),C$4,C$5)/12),2))</f>
        <v/>
      </c>
      <c r="AI86">
        <f>IF(D85&lt;=0,0,ROUND(D85*(1+IF(AND(D$6&gt;0,$B86&lt;D$6),D$4,D$5)/12),2))</f>
        <v/>
      </c>
      <c r="AJ86">
        <f>IF(E85&lt;=0,0,ROUND(E85*(1+IF(AND(E$6&gt;0,$B86&lt;E$6),E$4,E$5)/12),2))</f>
        <v/>
      </c>
      <c r="AK86">
        <f>IF(F85&lt;=0,0,ROUND(F85*(1+IF(AND(F$6&gt;0,$B86&lt;F$6),F$4,F$5)/12),2))</f>
        <v/>
      </c>
      <c r="AL86">
        <f>IF(G85&lt;=0,0,ROUND(G85*(1+IF(AND(G$6&gt;0,$B86&lt;G$6),G$4,G$5)/12),2))</f>
        <v/>
      </c>
      <c r="AM86">
        <f>IF(H85&lt;=0,0,ROUND(H85*(1+IF(AND(H$6&gt;0,$B86&lt;H$6),H$4,H$5)/12),2))</f>
        <v/>
      </c>
      <c r="AN86">
        <f>IF(I85&lt;=0,0,ROUND(I85*(1+IF(AND(I$6&gt;0,$B86&lt;I$6),I$4,I$5)/12),2))</f>
        <v/>
      </c>
      <c r="AO86">
        <f>IF(J85&lt;=0,0,ROUND(J85*(1+IF(AND(J$6&gt;0,$B86&lt;J$6),J$4,J$5)/12),2))</f>
        <v/>
      </c>
      <c r="AP86">
        <f>IF(K85&lt;=0,0,ROUND(K85*(1+IF(AND(K$6&gt;0,$B86&lt;K$6),K$4,K$5)/12),2))</f>
        <v/>
      </c>
      <c r="AQ86">
        <f>IF(L85&lt;=0,0,ROUND(L85*(1+IF(AND(L$6&gt;0,$B86&lt;L$6),L$4,L$5)/12),2))</f>
        <v/>
      </c>
      <c r="AR86">
        <f>IF(M85&lt;=0,0,ROUND(M85*(1+IF(AND(M$6&gt;0,$B86&lt;M$6),M$4,M$5)/12),2))</f>
        <v/>
      </c>
      <c r="AS86">
        <f>IF(N85&lt;=0,0,ROUND(N85*(1+IF(AND(N$6&gt;0,$B86&lt;N$6),N$4,N$5)/12),2))</f>
        <v/>
      </c>
    </row>
    <row r="87">
      <c r="A87" t="n">
        <v>76</v>
      </c>
      <c r="B87">
        <f>EDATE(Plan!$C$6,75)</f>
        <v/>
      </c>
      <c r="C87">
        <f>IF(C86&lt;=0,0,MAX(0,AH87-O87))</f>
        <v/>
      </c>
      <c r="D87">
        <f>IF(D86&lt;=0,0,MAX(0,AI87-P87))</f>
        <v/>
      </c>
      <c r="E87">
        <f>IF(E86&lt;=0,0,MAX(0,AJ87-Q87))</f>
        <v/>
      </c>
      <c r="F87">
        <f>IF(F86&lt;=0,0,MAX(0,AK87-R87))</f>
        <v/>
      </c>
      <c r="G87">
        <f>IF(G86&lt;=0,0,MAX(0,AL87-S87))</f>
        <v/>
      </c>
      <c r="H87">
        <f>IF(H86&lt;=0,0,MAX(0,AM87-T87))</f>
        <v/>
      </c>
      <c r="I87">
        <f>IF(I86&lt;=0,0,MAX(0,AN87-U87))</f>
        <v/>
      </c>
      <c r="J87">
        <f>IF(J86&lt;=0,0,MAX(0,AO87-V87))</f>
        <v/>
      </c>
      <c r="K87">
        <f>IF(K86&lt;=0,0,MAX(0,AP87-W87))</f>
        <v/>
      </c>
      <c r="L87">
        <f>IF(L86&lt;=0,0,MAX(0,AQ87-X87))</f>
        <v/>
      </c>
      <c r="M87">
        <f>IF(M86&lt;=0,0,MAX(0,AR87-Y87))</f>
        <v/>
      </c>
      <c r="N87">
        <f>IF(N86&lt;=0,0,MAX(0,AS87-Z87))</f>
        <v/>
      </c>
      <c r="O87">
        <f>IF(C86&lt;=0,0,MIN(AH87,C$7+IF(C$2=$AA87,$AC87,IF(C$2=$AF87,$AG87,0))))</f>
        <v/>
      </c>
      <c r="P87">
        <f>IF(D86&lt;=0,0,MIN(AI87,D$7+IF(D$2=$AA87,$AC87,IF(D$2=$AF87,$AG87,0))))</f>
        <v/>
      </c>
      <c r="Q87">
        <f>IF(E86&lt;=0,0,MIN(AJ87,E$7+IF(E$2=$AA87,$AC87,IF(E$2=$AF87,$AG87,0))))</f>
        <v/>
      </c>
      <c r="R87">
        <f>IF(F86&lt;=0,0,MIN(AK87,F$7+IF(F$2=$AA87,$AC87,IF(F$2=$AF87,$AG87,0))))</f>
        <v/>
      </c>
      <c r="S87">
        <f>IF(G86&lt;=0,0,MIN(AL87,G$7+IF(G$2=$AA87,$AC87,IF(G$2=$AF87,$AG87,0))))</f>
        <v/>
      </c>
      <c r="T87">
        <f>IF(H86&lt;=0,0,MIN(AM87,H$7+IF(H$2=$AA87,$AC87,IF(H$2=$AF87,$AG87,0))))</f>
        <v/>
      </c>
      <c r="U87">
        <f>IF(I86&lt;=0,0,MIN(AN87,I$7+IF(I$2=$AA87,$AC87,IF(I$2=$AF87,$AG87,0))))</f>
        <v/>
      </c>
      <c r="V87">
        <f>IF(J86&lt;=0,0,MIN(AO87,J$7+IF(J$2=$AA87,$AC87,IF(J$2=$AF87,$AG87,0))))</f>
        <v/>
      </c>
      <c r="W87">
        <f>IF(K86&lt;=0,0,MIN(AP87,K$7+IF(K$2=$AA87,$AC87,IF(K$2=$AF87,$AG87,0))))</f>
        <v/>
      </c>
      <c r="X87">
        <f>IF(L86&lt;=0,0,MIN(AQ87,L$7+IF(L$2=$AA87,$AC87,IF(L$2=$AF87,$AG87,0))))</f>
        <v/>
      </c>
      <c r="Y87">
        <f>IF(M86&lt;=0,0,MIN(AR87,M$7+IF(M$2=$AA87,$AC87,IF(M$2=$AF87,$AG87,0))))</f>
        <v/>
      </c>
      <c r="Z87">
        <f>IF(N86&lt;=0,0,MIN(AS87,N$7+IF(N$2=$AA87,$AC87,IF(N$2=$AF87,$AG87,0))))</f>
        <v/>
      </c>
      <c r="AA87">
        <f>IFERROR(ROUND(1/SUMPRODUCT(MAX((C86:N86&gt;0)*($C$3:$N$3&lt;=B87)/$C$2:$N$2)),0),0)</f>
        <v/>
      </c>
      <c r="AB87">
        <f>SUMPRODUCT((C86:N86&gt;0)*$C$7:$N$7)</f>
        <v/>
      </c>
      <c r="AC87">
        <f>MAX(0,Plan!$C$5-AB87)+IF(A87=Plan!$C$8,N(Plan!$C$7),0)</f>
        <v/>
      </c>
      <c r="AD87">
        <f>SUM(C87:N87)</f>
        <v/>
      </c>
      <c r="AE87">
        <f>SUM(O87:Z87)</f>
        <v/>
      </c>
      <c r="AF87">
        <f>IFERROR(ROUND(1/SUMPRODUCT(MAX((C86:N86&gt;0)*($C$3:$N$3&lt;=B87)*($C$2:$N$2&gt;AA87)/$C$2:$N$2)),0),0)</f>
        <v/>
      </c>
      <c r="AG87">
        <f>MAX(0,AC87-MAX(0,SUMPRODUCT(($C$2:$N$2=AA87)*(AH87:AS87-$C$7:$N$7))))</f>
        <v/>
      </c>
      <c r="AH87">
        <f>IF(C86&lt;=0,0,ROUND(C86*(1+IF(AND(C$6&gt;0,$B87&lt;C$6),C$4,C$5)/12),2))</f>
        <v/>
      </c>
      <c r="AI87">
        <f>IF(D86&lt;=0,0,ROUND(D86*(1+IF(AND(D$6&gt;0,$B87&lt;D$6),D$4,D$5)/12),2))</f>
        <v/>
      </c>
      <c r="AJ87">
        <f>IF(E86&lt;=0,0,ROUND(E86*(1+IF(AND(E$6&gt;0,$B87&lt;E$6),E$4,E$5)/12),2))</f>
        <v/>
      </c>
      <c r="AK87">
        <f>IF(F86&lt;=0,0,ROUND(F86*(1+IF(AND(F$6&gt;0,$B87&lt;F$6),F$4,F$5)/12),2))</f>
        <v/>
      </c>
      <c r="AL87">
        <f>IF(G86&lt;=0,0,ROUND(G86*(1+IF(AND(G$6&gt;0,$B87&lt;G$6),G$4,G$5)/12),2))</f>
        <v/>
      </c>
      <c r="AM87">
        <f>IF(H86&lt;=0,0,ROUND(H86*(1+IF(AND(H$6&gt;0,$B87&lt;H$6),H$4,H$5)/12),2))</f>
        <v/>
      </c>
      <c r="AN87">
        <f>IF(I86&lt;=0,0,ROUND(I86*(1+IF(AND(I$6&gt;0,$B87&lt;I$6),I$4,I$5)/12),2))</f>
        <v/>
      </c>
      <c r="AO87">
        <f>IF(J86&lt;=0,0,ROUND(J86*(1+IF(AND(J$6&gt;0,$B87&lt;J$6),J$4,J$5)/12),2))</f>
        <v/>
      </c>
      <c r="AP87">
        <f>IF(K86&lt;=0,0,ROUND(K86*(1+IF(AND(K$6&gt;0,$B87&lt;K$6),K$4,K$5)/12),2))</f>
        <v/>
      </c>
      <c r="AQ87">
        <f>IF(L86&lt;=0,0,ROUND(L86*(1+IF(AND(L$6&gt;0,$B87&lt;L$6),L$4,L$5)/12),2))</f>
        <v/>
      </c>
      <c r="AR87">
        <f>IF(M86&lt;=0,0,ROUND(M86*(1+IF(AND(M$6&gt;0,$B87&lt;M$6),M$4,M$5)/12),2))</f>
        <v/>
      </c>
      <c r="AS87">
        <f>IF(N86&lt;=0,0,ROUND(N86*(1+IF(AND(N$6&gt;0,$B87&lt;N$6),N$4,N$5)/12),2))</f>
        <v/>
      </c>
    </row>
    <row r="88">
      <c r="A88" t="n">
        <v>77</v>
      </c>
      <c r="B88">
        <f>EDATE(Plan!$C$6,76)</f>
        <v/>
      </c>
      <c r="C88">
        <f>IF(C87&lt;=0,0,MAX(0,AH88-O88))</f>
        <v/>
      </c>
      <c r="D88">
        <f>IF(D87&lt;=0,0,MAX(0,AI88-P88))</f>
        <v/>
      </c>
      <c r="E88">
        <f>IF(E87&lt;=0,0,MAX(0,AJ88-Q88))</f>
        <v/>
      </c>
      <c r="F88">
        <f>IF(F87&lt;=0,0,MAX(0,AK88-R88))</f>
        <v/>
      </c>
      <c r="G88">
        <f>IF(G87&lt;=0,0,MAX(0,AL88-S88))</f>
        <v/>
      </c>
      <c r="H88">
        <f>IF(H87&lt;=0,0,MAX(0,AM88-T88))</f>
        <v/>
      </c>
      <c r="I88">
        <f>IF(I87&lt;=0,0,MAX(0,AN88-U88))</f>
        <v/>
      </c>
      <c r="J88">
        <f>IF(J87&lt;=0,0,MAX(0,AO88-V88))</f>
        <v/>
      </c>
      <c r="K88">
        <f>IF(K87&lt;=0,0,MAX(0,AP88-W88))</f>
        <v/>
      </c>
      <c r="L88">
        <f>IF(L87&lt;=0,0,MAX(0,AQ88-X88))</f>
        <v/>
      </c>
      <c r="M88">
        <f>IF(M87&lt;=0,0,MAX(0,AR88-Y88))</f>
        <v/>
      </c>
      <c r="N88">
        <f>IF(N87&lt;=0,0,MAX(0,AS88-Z88))</f>
        <v/>
      </c>
      <c r="O88">
        <f>IF(C87&lt;=0,0,MIN(AH88,C$7+IF(C$2=$AA88,$AC88,IF(C$2=$AF88,$AG88,0))))</f>
        <v/>
      </c>
      <c r="P88">
        <f>IF(D87&lt;=0,0,MIN(AI88,D$7+IF(D$2=$AA88,$AC88,IF(D$2=$AF88,$AG88,0))))</f>
        <v/>
      </c>
      <c r="Q88">
        <f>IF(E87&lt;=0,0,MIN(AJ88,E$7+IF(E$2=$AA88,$AC88,IF(E$2=$AF88,$AG88,0))))</f>
        <v/>
      </c>
      <c r="R88">
        <f>IF(F87&lt;=0,0,MIN(AK88,F$7+IF(F$2=$AA88,$AC88,IF(F$2=$AF88,$AG88,0))))</f>
        <v/>
      </c>
      <c r="S88">
        <f>IF(G87&lt;=0,0,MIN(AL88,G$7+IF(G$2=$AA88,$AC88,IF(G$2=$AF88,$AG88,0))))</f>
        <v/>
      </c>
      <c r="T88">
        <f>IF(H87&lt;=0,0,MIN(AM88,H$7+IF(H$2=$AA88,$AC88,IF(H$2=$AF88,$AG88,0))))</f>
        <v/>
      </c>
      <c r="U88">
        <f>IF(I87&lt;=0,0,MIN(AN88,I$7+IF(I$2=$AA88,$AC88,IF(I$2=$AF88,$AG88,0))))</f>
        <v/>
      </c>
      <c r="V88">
        <f>IF(J87&lt;=0,0,MIN(AO88,J$7+IF(J$2=$AA88,$AC88,IF(J$2=$AF88,$AG88,0))))</f>
        <v/>
      </c>
      <c r="W88">
        <f>IF(K87&lt;=0,0,MIN(AP88,K$7+IF(K$2=$AA88,$AC88,IF(K$2=$AF88,$AG88,0))))</f>
        <v/>
      </c>
      <c r="X88">
        <f>IF(L87&lt;=0,0,MIN(AQ88,L$7+IF(L$2=$AA88,$AC88,IF(L$2=$AF88,$AG88,0))))</f>
        <v/>
      </c>
      <c r="Y88">
        <f>IF(M87&lt;=0,0,MIN(AR88,M$7+IF(M$2=$AA88,$AC88,IF(M$2=$AF88,$AG88,0))))</f>
        <v/>
      </c>
      <c r="Z88">
        <f>IF(N87&lt;=0,0,MIN(AS88,N$7+IF(N$2=$AA88,$AC88,IF(N$2=$AF88,$AG88,0))))</f>
        <v/>
      </c>
      <c r="AA88">
        <f>IFERROR(ROUND(1/SUMPRODUCT(MAX((C87:N87&gt;0)*($C$3:$N$3&lt;=B88)/$C$2:$N$2)),0),0)</f>
        <v/>
      </c>
      <c r="AB88">
        <f>SUMPRODUCT((C87:N87&gt;0)*$C$7:$N$7)</f>
        <v/>
      </c>
      <c r="AC88">
        <f>MAX(0,Plan!$C$5-AB88)+IF(A88=Plan!$C$8,N(Plan!$C$7),0)</f>
        <v/>
      </c>
      <c r="AD88">
        <f>SUM(C88:N88)</f>
        <v/>
      </c>
      <c r="AE88">
        <f>SUM(O88:Z88)</f>
        <v/>
      </c>
      <c r="AF88">
        <f>IFERROR(ROUND(1/SUMPRODUCT(MAX((C87:N87&gt;0)*($C$3:$N$3&lt;=B88)*($C$2:$N$2&gt;AA88)/$C$2:$N$2)),0),0)</f>
        <v/>
      </c>
      <c r="AG88">
        <f>MAX(0,AC88-MAX(0,SUMPRODUCT(($C$2:$N$2=AA88)*(AH88:AS88-$C$7:$N$7))))</f>
        <v/>
      </c>
      <c r="AH88">
        <f>IF(C87&lt;=0,0,ROUND(C87*(1+IF(AND(C$6&gt;0,$B88&lt;C$6),C$4,C$5)/12),2))</f>
        <v/>
      </c>
      <c r="AI88">
        <f>IF(D87&lt;=0,0,ROUND(D87*(1+IF(AND(D$6&gt;0,$B88&lt;D$6),D$4,D$5)/12),2))</f>
        <v/>
      </c>
      <c r="AJ88">
        <f>IF(E87&lt;=0,0,ROUND(E87*(1+IF(AND(E$6&gt;0,$B88&lt;E$6),E$4,E$5)/12),2))</f>
        <v/>
      </c>
      <c r="AK88">
        <f>IF(F87&lt;=0,0,ROUND(F87*(1+IF(AND(F$6&gt;0,$B88&lt;F$6),F$4,F$5)/12),2))</f>
        <v/>
      </c>
      <c r="AL88">
        <f>IF(G87&lt;=0,0,ROUND(G87*(1+IF(AND(G$6&gt;0,$B88&lt;G$6),G$4,G$5)/12),2))</f>
        <v/>
      </c>
      <c r="AM88">
        <f>IF(H87&lt;=0,0,ROUND(H87*(1+IF(AND(H$6&gt;0,$B88&lt;H$6),H$4,H$5)/12),2))</f>
        <v/>
      </c>
      <c r="AN88">
        <f>IF(I87&lt;=0,0,ROUND(I87*(1+IF(AND(I$6&gt;0,$B88&lt;I$6),I$4,I$5)/12),2))</f>
        <v/>
      </c>
      <c r="AO88">
        <f>IF(J87&lt;=0,0,ROUND(J87*(1+IF(AND(J$6&gt;0,$B88&lt;J$6),J$4,J$5)/12),2))</f>
        <v/>
      </c>
      <c r="AP88">
        <f>IF(K87&lt;=0,0,ROUND(K87*(1+IF(AND(K$6&gt;0,$B88&lt;K$6),K$4,K$5)/12),2))</f>
        <v/>
      </c>
      <c r="AQ88">
        <f>IF(L87&lt;=0,0,ROUND(L87*(1+IF(AND(L$6&gt;0,$B88&lt;L$6),L$4,L$5)/12),2))</f>
        <v/>
      </c>
      <c r="AR88">
        <f>IF(M87&lt;=0,0,ROUND(M87*(1+IF(AND(M$6&gt;0,$B88&lt;M$6),M$4,M$5)/12),2))</f>
        <v/>
      </c>
      <c r="AS88">
        <f>IF(N87&lt;=0,0,ROUND(N87*(1+IF(AND(N$6&gt;0,$B88&lt;N$6),N$4,N$5)/12),2))</f>
        <v/>
      </c>
    </row>
    <row r="89">
      <c r="A89" t="n">
        <v>78</v>
      </c>
      <c r="B89">
        <f>EDATE(Plan!$C$6,77)</f>
        <v/>
      </c>
      <c r="C89">
        <f>IF(C88&lt;=0,0,MAX(0,AH89-O89))</f>
        <v/>
      </c>
      <c r="D89">
        <f>IF(D88&lt;=0,0,MAX(0,AI89-P89))</f>
        <v/>
      </c>
      <c r="E89">
        <f>IF(E88&lt;=0,0,MAX(0,AJ89-Q89))</f>
        <v/>
      </c>
      <c r="F89">
        <f>IF(F88&lt;=0,0,MAX(0,AK89-R89))</f>
        <v/>
      </c>
      <c r="G89">
        <f>IF(G88&lt;=0,0,MAX(0,AL89-S89))</f>
        <v/>
      </c>
      <c r="H89">
        <f>IF(H88&lt;=0,0,MAX(0,AM89-T89))</f>
        <v/>
      </c>
      <c r="I89">
        <f>IF(I88&lt;=0,0,MAX(0,AN89-U89))</f>
        <v/>
      </c>
      <c r="J89">
        <f>IF(J88&lt;=0,0,MAX(0,AO89-V89))</f>
        <v/>
      </c>
      <c r="K89">
        <f>IF(K88&lt;=0,0,MAX(0,AP89-W89))</f>
        <v/>
      </c>
      <c r="L89">
        <f>IF(L88&lt;=0,0,MAX(0,AQ89-X89))</f>
        <v/>
      </c>
      <c r="M89">
        <f>IF(M88&lt;=0,0,MAX(0,AR89-Y89))</f>
        <v/>
      </c>
      <c r="N89">
        <f>IF(N88&lt;=0,0,MAX(0,AS89-Z89))</f>
        <v/>
      </c>
      <c r="O89">
        <f>IF(C88&lt;=0,0,MIN(AH89,C$7+IF(C$2=$AA89,$AC89,IF(C$2=$AF89,$AG89,0))))</f>
        <v/>
      </c>
      <c r="P89">
        <f>IF(D88&lt;=0,0,MIN(AI89,D$7+IF(D$2=$AA89,$AC89,IF(D$2=$AF89,$AG89,0))))</f>
        <v/>
      </c>
      <c r="Q89">
        <f>IF(E88&lt;=0,0,MIN(AJ89,E$7+IF(E$2=$AA89,$AC89,IF(E$2=$AF89,$AG89,0))))</f>
        <v/>
      </c>
      <c r="R89">
        <f>IF(F88&lt;=0,0,MIN(AK89,F$7+IF(F$2=$AA89,$AC89,IF(F$2=$AF89,$AG89,0))))</f>
        <v/>
      </c>
      <c r="S89">
        <f>IF(G88&lt;=0,0,MIN(AL89,G$7+IF(G$2=$AA89,$AC89,IF(G$2=$AF89,$AG89,0))))</f>
        <v/>
      </c>
      <c r="T89">
        <f>IF(H88&lt;=0,0,MIN(AM89,H$7+IF(H$2=$AA89,$AC89,IF(H$2=$AF89,$AG89,0))))</f>
        <v/>
      </c>
      <c r="U89">
        <f>IF(I88&lt;=0,0,MIN(AN89,I$7+IF(I$2=$AA89,$AC89,IF(I$2=$AF89,$AG89,0))))</f>
        <v/>
      </c>
      <c r="V89">
        <f>IF(J88&lt;=0,0,MIN(AO89,J$7+IF(J$2=$AA89,$AC89,IF(J$2=$AF89,$AG89,0))))</f>
        <v/>
      </c>
      <c r="W89">
        <f>IF(K88&lt;=0,0,MIN(AP89,K$7+IF(K$2=$AA89,$AC89,IF(K$2=$AF89,$AG89,0))))</f>
        <v/>
      </c>
      <c r="X89">
        <f>IF(L88&lt;=0,0,MIN(AQ89,L$7+IF(L$2=$AA89,$AC89,IF(L$2=$AF89,$AG89,0))))</f>
        <v/>
      </c>
      <c r="Y89">
        <f>IF(M88&lt;=0,0,MIN(AR89,M$7+IF(M$2=$AA89,$AC89,IF(M$2=$AF89,$AG89,0))))</f>
        <v/>
      </c>
      <c r="Z89">
        <f>IF(N88&lt;=0,0,MIN(AS89,N$7+IF(N$2=$AA89,$AC89,IF(N$2=$AF89,$AG89,0))))</f>
        <v/>
      </c>
      <c r="AA89">
        <f>IFERROR(ROUND(1/SUMPRODUCT(MAX((C88:N88&gt;0)*($C$3:$N$3&lt;=B89)/$C$2:$N$2)),0),0)</f>
        <v/>
      </c>
      <c r="AB89">
        <f>SUMPRODUCT((C88:N88&gt;0)*$C$7:$N$7)</f>
        <v/>
      </c>
      <c r="AC89">
        <f>MAX(0,Plan!$C$5-AB89)+IF(A89=Plan!$C$8,N(Plan!$C$7),0)</f>
        <v/>
      </c>
      <c r="AD89">
        <f>SUM(C89:N89)</f>
        <v/>
      </c>
      <c r="AE89">
        <f>SUM(O89:Z89)</f>
        <v/>
      </c>
      <c r="AF89">
        <f>IFERROR(ROUND(1/SUMPRODUCT(MAX((C88:N88&gt;0)*($C$3:$N$3&lt;=B89)*($C$2:$N$2&gt;AA89)/$C$2:$N$2)),0),0)</f>
        <v/>
      </c>
      <c r="AG89">
        <f>MAX(0,AC89-MAX(0,SUMPRODUCT(($C$2:$N$2=AA89)*(AH89:AS89-$C$7:$N$7))))</f>
        <v/>
      </c>
      <c r="AH89">
        <f>IF(C88&lt;=0,0,ROUND(C88*(1+IF(AND(C$6&gt;0,$B89&lt;C$6),C$4,C$5)/12),2))</f>
        <v/>
      </c>
      <c r="AI89">
        <f>IF(D88&lt;=0,0,ROUND(D88*(1+IF(AND(D$6&gt;0,$B89&lt;D$6),D$4,D$5)/12),2))</f>
        <v/>
      </c>
      <c r="AJ89">
        <f>IF(E88&lt;=0,0,ROUND(E88*(1+IF(AND(E$6&gt;0,$B89&lt;E$6),E$4,E$5)/12),2))</f>
        <v/>
      </c>
      <c r="AK89">
        <f>IF(F88&lt;=0,0,ROUND(F88*(1+IF(AND(F$6&gt;0,$B89&lt;F$6),F$4,F$5)/12),2))</f>
        <v/>
      </c>
      <c r="AL89">
        <f>IF(G88&lt;=0,0,ROUND(G88*(1+IF(AND(G$6&gt;0,$B89&lt;G$6),G$4,G$5)/12),2))</f>
        <v/>
      </c>
      <c r="AM89">
        <f>IF(H88&lt;=0,0,ROUND(H88*(1+IF(AND(H$6&gt;0,$B89&lt;H$6),H$4,H$5)/12),2))</f>
        <v/>
      </c>
      <c r="AN89">
        <f>IF(I88&lt;=0,0,ROUND(I88*(1+IF(AND(I$6&gt;0,$B89&lt;I$6),I$4,I$5)/12),2))</f>
        <v/>
      </c>
      <c r="AO89">
        <f>IF(J88&lt;=0,0,ROUND(J88*(1+IF(AND(J$6&gt;0,$B89&lt;J$6),J$4,J$5)/12),2))</f>
        <v/>
      </c>
      <c r="AP89">
        <f>IF(K88&lt;=0,0,ROUND(K88*(1+IF(AND(K$6&gt;0,$B89&lt;K$6),K$4,K$5)/12),2))</f>
        <v/>
      </c>
      <c r="AQ89">
        <f>IF(L88&lt;=0,0,ROUND(L88*(1+IF(AND(L$6&gt;0,$B89&lt;L$6),L$4,L$5)/12),2))</f>
        <v/>
      </c>
      <c r="AR89">
        <f>IF(M88&lt;=0,0,ROUND(M88*(1+IF(AND(M$6&gt;0,$B89&lt;M$6),M$4,M$5)/12),2))</f>
        <v/>
      </c>
      <c r="AS89">
        <f>IF(N88&lt;=0,0,ROUND(N88*(1+IF(AND(N$6&gt;0,$B89&lt;N$6),N$4,N$5)/12),2))</f>
        <v/>
      </c>
    </row>
    <row r="90">
      <c r="A90" t="n">
        <v>79</v>
      </c>
      <c r="B90">
        <f>EDATE(Plan!$C$6,78)</f>
        <v/>
      </c>
      <c r="C90">
        <f>IF(C89&lt;=0,0,MAX(0,AH90-O90))</f>
        <v/>
      </c>
      <c r="D90">
        <f>IF(D89&lt;=0,0,MAX(0,AI90-P90))</f>
        <v/>
      </c>
      <c r="E90">
        <f>IF(E89&lt;=0,0,MAX(0,AJ90-Q90))</f>
        <v/>
      </c>
      <c r="F90">
        <f>IF(F89&lt;=0,0,MAX(0,AK90-R90))</f>
        <v/>
      </c>
      <c r="G90">
        <f>IF(G89&lt;=0,0,MAX(0,AL90-S90))</f>
        <v/>
      </c>
      <c r="H90">
        <f>IF(H89&lt;=0,0,MAX(0,AM90-T90))</f>
        <v/>
      </c>
      <c r="I90">
        <f>IF(I89&lt;=0,0,MAX(0,AN90-U90))</f>
        <v/>
      </c>
      <c r="J90">
        <f>IF(J89&lt;=0,0,MAX(0,AO90-V90))</f>
        <v/>
      </c>
      <c r="K90">
        <f>IF(K89&lt;=0,0,MAX(0,AP90-W90))</f>
        <v/>
      </c>
      <c r="L90">
        <f>IF(L89&lt;=0,0,MAX(0,AQ90-X90))</f>
        <v/>
      </c>
      <c r="M90">
        <f>IF(M89&lt;=0,0,MAX(0,AR90-Y90))</f>
        <v/>
      </c>
      <c r="N90">
        <f>IF(N89&lt;=0,0,MAX(0,AS90-Z90))</f>
        <v/>
      </c>
      <c r="O90">
        <f>IF(C89&lt;=0,0,MIN(AH90,C$7+IF(C$2=$AA90,$AC90,IF(C$2=$AF90,$AG90,0))))</f>
        <v/>
      </c>
      <c r="P90">
        <f>IF(D89&lt;=0,0,MIN(AI90,D$7+IF(D$2=$AA90,$AC90,IF(D$2=$AF90,$AG90,0))))</f>
        <v/>
      </c>
      <c r="Q90">
        <f>IF(E89&lt;=0,0,MIN(AJ90,E$7+IF(E$2=$AA90,$AC90,IF(E$2=$AF90,$AG90,0))))</f>
        <v/>
      </c>
      <c r="R90">
        <f>IF(F89&lt;=0,0,MIN(AK90,F$7+IF(F$2=$AA90,$AC90,IF(F$2=$AF90,$AG90,0))))</f>
        <v/>
      </c>
      <c r="S90">
        <f>IF(G89&lt;=0,0,MIN(AL90,G$7+IF(G$2=$AA90,$AC90,IF(G$2=$AF90,$AG90,0))))</f>
        <v/>
      </c>
      <c r="T90">
        <f>IF(H89&lt;=0,0,MIN(AM90,H$7+IF(H$2=$AA90,$AC90,IF(H$2=$AF90,$AG90,0))))</f>
        <v/>
      </c>
      <c r="U90">
        <f>IF(I89&lt;=0,0,MIN(AN90,I$7+IF(I$2=$AA90,$AC90,IF(I$2=$AF90,$AG90,0))))</f>
        <v/>
      </c>
      <c r="V90">
        <f>IF(J89&lt;=0,0,MIN(AO90,J$7+IF(J$2=$AA90,$AC90,IF(J$2=$AF90,$AG90,0))))</f>
        <v/>
      </c>
      <c r="W90">
        <f>IF(K89&lt;=0,0,MIN(AP90,K$7+IF(K$2=$AA90,$AC90,IF(K$2=$AF90,$AG90,0))))</f>
        <v/>
      </c>
      <c r="X90">
        <f>IF(L89&lt;=0,0,MIN(AQ90,L$7+IF(L$2=$AA90,$AC90,IF(L$2=$AF90,$AG90,0))))</f>
        <v/>
      </c>
      <c r="Y90">
        <f>IF(M89&lt;=0,0,MIN(AR90,M$7+IF(M$2=$AA90,$AC90,IF(M$2=$AF90,$AG90,0))))</f>
        <v/>
      </c>
      <c r="Z90">
        <f>IF(N89&lt;=0,0,MIN(AS90,N$7+IF(N$2=$AA90,$AC90,IF(N$2=$AF90,$AG90,0))))</f>
        <v/>
      </c>
      <c r="AA90">
        <f>IFERROR(ROUND(1/SUMPRODUCT(MAX((C89:N89&gt;0)*($C$3:$N$3&lt;=B90)/$C$2:$N$2)),0),0)</f>
        <v/>
      </c>
      <c r="AB90">
        <f>SUMPRODUCT((C89:N89&gt;0)*$C$7:$N$7)</f>
        <v/>
      </c>
      <c r="AC90">
        <f>MAX(0,Plan!$C$5-AB90)+IF(A90=Plan!$C$8,N(Plan!$C$7),0)</f>
        <v/>
      </c>
      <c r="AD90">
        <f>SUM(C90:N90)</f>
        <v/>
      </c>
      <c r="AE90">
        <f>SUM(O90:Z90)</f>
        <v/>
      </c>
      <c r="AF90">
        <f>IFERROR(ROUND(1/SUMPRODUCT(MAX((C89:N89&gt;0)*($C$3:$N$3&lt;=B90)*($C$2:$N$2&gt;AA90)/$C$2:$N$2)),0),0)</f>
        <v/>
      </c>
      <c r="AG90">
        <f>MAX(0,AC90-MAX(0,SUMPRODUCT(($C$2:$N$2=AA90)*(AH90:AS90-$C$7:$N$7))))</f>
        <v/>
      </c>
      <c r="AH90">
        <f>IF(C89&lt;=0,0,ROUND(C89*(1+IF(AND(C$6&gt;0,$B90&lt;C$6),C$4,C$5)/12),2))</f>
        <v/>
      </c>
      <c r="AI90">
        <f>IF(D89&lt;=0,0,ROUND(D89*(1+IF(AND(D$6&gt;0,$B90&lt;D$6),D$4,D$5)/12),2))</f>
        <v/>
      </c>
      <c r="AJ90">
        <f>IF(E89&lt;=0,0,ROUND(E89*(1+IF(AND(E$6&gt;0,$B90&lt;E$6),E$4,E$5)/12),2))</f>
        <v/>
      </c>
      <c r="AK90">
        <f>IF(F89&lt;=0,0,ROUND(F89*(1+IF(AND(F$6&gt;0,$B90&lt;F$6),F$4,F$5)/12),2))</f>
        <v/>
      </c>
      <c r="AL90">
        <f>IF(G89&lt;=0,0,ROUND(G89*(1+IF(AND(G$6&gt;0,$B90&lt;G$6),G$4,G$5)/12),2))</f>
        <v/>
      </c>
      <c r="AM90">
        <f>IF(H89&lt;=0,0,ROUND(H89*(1+IF(AND(H$6&gt;0,$B90&lt;H$6),H$4,H$5)/12),2))</f>
        <v/>
      </c>
      <c r="AN90">
        <f>IF(I89&lt;=0,0,ROUND(I89*(1+IF(AND(I$6&gt;0,$B90&lt;I$6),I$4,I$5)/12),2))</f>
        <v/>
      </c>
      <c r="AO90">
        <f>IF(J89&lt;=0,0,ROUND(J89*(1+IF(AND(J$6&gt;0,$B90&lt;J$6),J$4,J$5)/12),2))</f>
        <v/>
      </c>
      <c r="AP90">
        <f>IF(K89&lt;=0,0,ROUND(K89*(1+IF(AND(K$6&gt;0,$B90&lt;K$6),K$4,K$5)/12),2))</f>
        <v/>
      </c>
      <c r="AQ90">
        <f>IF(L89&lt;=0,0,ROUND(L89*(1+IF(AND(L$6&gt;0,$B90&lt;L$6),L$4,L$5)/12),2))</f>
        <v/>
      </c>
      <c r="AR90">
        <f>IF(M89&lt;=0,0,ROUND(M89*(1+IF(AND(M$6&gt;0,$B90&lt;M$6),M$4,M$5)/12),2))</f>
        <v/>
      </c>
      <c r="AS90">
        <f>IF(N89&lt;=0,0,ROUND(N89*(1+IF(AND(N$6&gt;0,$B90&lt;N$6),N$4,N$5)/12),2))</f>
        <v/>
      </c>
    </row>
    <row r="91">
      <c r="A91" t="n">
        <v>80</v>
      </c>
      <c r="B91">
        <f>EDATE(Plan!$C$6,79)</f>
        <v/>
      </c>
      <c r="C91">
        <f>IF(C90&lt;=0,0,MAX(0,AH91-O91))</f>
        <v/>
      </c>
      <c r="D91">
        <f>IF(D90&lt;=0,0,MAX(0,AI91-P91))</f>
        <v/>
      </c>
      <c r="E91">
        <f>IF(E90&lt;=0,0,MAX(0,AJ91-Q91))</f>
        <v/>
      </c>
      <c r="F91">
        <f>IF(F90&lt;=0,0,MAX(0,AK91-R91))</f>
        <v/>
      </c>
      <c r="G91">
        <f>IF(G90&lt;=0,0,MAX(0,AL91-S91))</f>
        <v/>
      </c>
      <c r="H91">
        <f>IF(H90&lt;=0,0,MAX(0,AM91-T91))</f>
        <v/>
      </c>
      <c r="I91">
        <f>IF(I90&lt;=0,0,MAX(0,AN91-U91))</f>
        <v/>
      </c>
      <c r="J91">
        <f>IF(J90&lt;=0,0,MAX(0,AO91-V91))</f>
        <v/>
      </c>
      <c r="K91">
        <f>IF(K90&lt;=0,0,MAX(0,AP91-W91))</f>
        <v/>
      </c>
      <c r="L91">
        <f>IF(L90&lt;=0,0,MAX(0,AQ91-X91))</f>
        <v/>
      </c>
      <c r="M91">
        <f>IF(M90&lt;=0,0,MAX(0,AR91-Y91))</f>
        <v/>
      </c>
      <c r="N91">
        <f>IF(N90&lt;=0,0,MAX(0,AS91-Z91))</f>
        <v/>
      </c>
      <c r="O91">
        <f>IF(C90&lt;=0,0,MIN(AH91,C$7+IF(C$2=$AA91,$AC91,IF(C$2=$AF91,$AG91,0))))</f>
        <v/>
      </c>
      <c r="P91">
        <f>IF(D90&lt;=0,0,MIN(AI91,D$7+IF(D$2=$AA91,$AC91,IF(D$2=$AF91,$AG91,0))))</f>
        <v/>
      </c>
      <c r="Q91">
        <f>IF(E90&lt;=0,0,MIN(AJ91,E$7+IF(E$2=$AA91,$AC91,IF(E$2=$AF91,$AG91,0))))</f>
        <v/>
      </c>
      <c r="R91">
        <f>IF(F90&lt;=0,0,MIN(AK91,F$7+IF(F$2=$AA91,$AC91,IF(F$2=$AF91,$AG91,0))))</f>
        <v/>
      </c>
      <c r="S91">
        <f>IF(G90&lt;=0,0,MIN(AL91,G$7+IF(G$2=$AA91,$AC91,IF(G$2=$AF91,$AG91,0))))</f>
        <v/>
      </c>
      <c r="T91">
        <f>IF(H90&lt;=0,0,MIN(AM91,H$7+IF(H$2=$AA91,$AC91,IF(H$2=$AF91,$AG91,0))))</f>
        <v/>
      </c>
      <c r="U91">
        <f>IF(I90&lt;=0,0,MIN(AN91,I$7+IF(I$2=$AA91,$AC91,IF(I$2=$AF91,$AG91,0))))</f>
        <v/>
      </c>
      <c r="V91">
        <f>IF(J90&lt;=0,0,MIN(AO91,J$7+IF(J$2=$AA91,$AC91,IF(J$2=$AF91,$AG91,0))))</f>
        <v/>
      </c>
      <c r="W91">
        <f>IF(K90&lt;=0,0,MIN(AP91,K$7+IF(K$2=$AA91,$AC91,IF(K$2=$AF91,$AG91,0))))</f>
        <v/>
      </c>
      <c r="X91">
        <f>IF(L90&lt;=0,0,MIN(AQ91,L$7+IF(L$2=$AA91,$AC91,IF(L$2=$AF91,$AG91,0))))</f>
        <v/>
      </c>
      <c r="Y91">
        <f>IF(M90&lt;=0,0,MIN(AR91,M$7+IF(M$2=$AA91,$AC91,IF(M$2=$AF91,$AG91,0))))</f>
        <v/>
      </c>
      <c r="Z91">
        <f>IF(N90&lt;=0,0,MIN(AS91,N$7+IF(N$2=$AA91,$AC91,IF(N$2=$AF91,$AG91,0))))</f>
        <v/>
      </c>
      <c r="AA91">
        <f>IFERROR(ROUND(1/SUMPRODUCT(MAX((C90:N90&gt;0)*($C$3:$N$3&lt;=B91)/$C$2:$N$2)),0),0)</f>
        <v/>
      </c>
      <c r="AB91">
        <f>SUMPRODUCT((C90:N90&gt;0)*$C$7:$N$7)</f>
        <v/>
      </c>
      <c r="AC91">
        <f>MAX(0,Plan!$C$5-AB91)+IF(A91=Plan!$C$8,N(Plan!$C$7),0)</f>
        <v/>
      </c>
      <c r="AD91">
        <f>SUM(C91:N91)</f>
        <v/>
      </c>
      <c r="AE91">
        <f>SUM(O91:Z91)</f>
        <v/>
      </c>
      <c r="AF91">
        <f>IFERROR(ROUND(1/SUMPRODUCT(MAX((C90:N90&gt;0)*($C$3:$N$3&lt;=B91)*($C$2:$N$2&gt;AA91)/$C$2:$N$2)),0),0)</f>
        <v/>
      </c>
      <c r="AG91">
        <f>MAX(0,AC91-MAX(0,SUMPRODUCT(($C$2:$N$2=AA91)*(AH91:AS91-$C$7:$N$7))))</f>
        <v/>
      </c>
      <c r="AH91">
        <f>IF(C90&lt;=0,0,ROUND(C90*(1+IF(AND(C$6&gt;0,$B91&lt;C$6),C$4,C$5)/12),2))</f>
        <v/>
      </c>
      <c r="AI91">
        <f>IF(D90&lt;=0,0,ROUND(D90*(1+IF(AND(D$6&gt;0,$B91&lt;D$6),D$4,D$5)/12),2))</f>
        <v/>
      </c>
      <c r="AJ91">
        <f>IF(E90&lt;=0,0,ROUND(E90*(1+IF(AND(E$6&gt;0,$B91&lt;E$6),E$4,E$5)/12),2))</f>
        <v/>
      </c>
      <c r="AK91">
        <f>IF(F90&lt;=0,0,ROUND(F90*(1+IF(AND(F$6&gt;0,$B91&lt;F$6),F$4,F$5)/12),2))</f>
        <v/>
      </c>
      <c r="AL91">
        <f>IF(G90&lt;=0,0,ROUND(G90*(1+IF(AND(G$6&gt;0,$B91&lt;G$6),G$4,G$5)/12),2))</f>
        <v/>
      </c>
      <c r="AM91">
        <f>IF(H90&lt;=0,0,ROUND(H90*(1+IF(AND(H$6&gt;0,$B91&lt;H$6),H$4,H$5)/12),2))</f>
        <v/>
      </c>
      <c r="AN91">
        <f>IF(I90&lt;=0,0,ROUND(I90*(1+IF(AND(I$6&gt;0,$B91&lt;I$6),I$4,I$5)/12),2))</f>
        <v/>
      </c>
      <c r="AO91">
        <f>IF(J90&lt;=0,0,ROUND(J90*(1+IF(AND(J$6&gt;0,$B91&lt;J$6),J$4,J$5)/12),2))</f>
        <v/>
      </c>
      <c r="AP91">
        <f>IF(K90&lt;=0,0,ROUND(K90*(1+IF(AND(K$6&gt;0,$B91&lt;K$6),K$4,K$5)/12),2))</f>
        <v/>
      </c>
      <c r="AQ91">
        <f>IF(L90&lt;=0,0,ROUND(L90*(1+IF(AND(L$6&gt;0,$B91&lt;L$6),L$4,L$5)/12),2))</f>
        <v/>
      </c>
      <c r="AR91">
        <f>IF(M90&lt;=0,0,ROUND(M90*(1+IF(AND(M$6&gt;0,$B91&lt;M$6),M$4,M$5)/12),2))</f>
        <v/>
      </c>
      <c r="AS91">
        <f>IF(N90&lt;=0,0,ROUND(N90*(1+IF(AND(N$6&gt;0,$B91&lt;N$6),N$4,N$5)/12),2))</f>
        <v/>
      </c>
    </row>
    <row r="92">
      <c r="A92" t="n">
        <v>81</v>
      </c>
      <c r="B92">
        <f>EDATE(Plan!$C$6,80)</f>
        <v/>
      </c>
      <c r="C92">
        <f>IF(C91&lt;=0,0,MAX(0,AH92-O92))</f>
        <v/>
      </c>
      <c r="D92">
        <f>IF(D91&lt;=0,0,MAX(0,AI92-P92))</f>
        <v/>
      </c>
      <c r="E92">
        <f>IF(E91&lt;=0,0,MAX(0,AJ92-Q92))</f>
        <v/>
      </c>
      <c r="F92">
        <f>IF(F91&lt;=0,0,MAX(0,AK92-R92))</f>
        <v/>
      </c>
      <c r="G92">
        <f>IF(G91&lt;=0,0,MAX(0,AL92-S92))</f>
        <v/>
      </c>
      <c r="H92">
        <f>IF(H91&lt;=0,0,MAX(0,AM92-T92))</f>
        <v/>
      </c>
      <c r="I92">
        <f>IF(I91&lt;=0,0,MAX(0,AN92-U92))</f>
        <v/>
      </c>
      <c r="J92">
        <f>IF(J91&lt;=0,0,MAX(0,AO92-V92))</f>
        <v/>
      </c>
      <c r="K92">
        <f>IF(K91&lt;=0,0,MAX(0,AP92-W92))</f>
        <v/>
      </c>
      <c r="L92">
        <f>IF(L91&lt;=0,0,MAX(0,AQ92-X92))</f>
        <v/>
      </c>
      <c r="M92">
        <f>IF(M91&lt;=0,0,MAX(0,AR92-Y92))</f>
        <v/>
      </c>
      <c r="N92">
        <f>IF(N91&lt;=0,0,MAX(0,AS92-Z92))</f>
        <v/>
      </c>
      <c r="O92">
        <f>IF(C91&lt;=0,0,MIN(AH92,C$7+IF(C$2=$AA92,$AC92,IF(C$2=$AF92,$AG92,0))))</f>
        <v/>
      </c>
      <c r="P92">
        <f>IF(D91&lt;=0,0,MIN(AI92,D$7+IF(D$2=$AA92,$AC92,IF(D$2=$AF92,$AG92,0))))</f>
        <v/>
      </c>
      <c r="Q92">
        <f>IF(E91&lt;=0,0,MIN(AJ92,E$7+IF(E$2=$AA92,$AC92,IF(E$2=$AF92,$AG92,0))))</f>
        <v/>
      </c>
      <c r="R92">
        <f>IF(F91&lt;=0,0,MIN(AK92,F$7+IF(F$2=$AA92,$AC92,IF(F$2=$AF92,$AG92,0))))</f>
        <v/>
      </c>
      <c r="S92">
        <f>IF(G91&lt;=0,0,MIN(AL92,G$7+IF(G$2=$AA92,$AC92,IF(G$2=$AF92,$AG92,0))))</f>
        <v/>
      </c>
      <c r="T92">
        <f>IF(H91&lt;=0,0,MIN(AM92,H$7+IF(H$2=$AA92,$AC92,IF(H$2=$AF92,$AG92,0))))</f>
        <v/>
      </c>
      <c r="U92">
        <f>IF(I91&lt;=0,0,MIN(AN92,I$7+IF(I$2=$AA92,$AC92,IF(I$2=$AF92,$AG92,0))))</f>
        <v/>
      </c>
      <c r="V92">
        <f>IF(J91&lt;=0,0,MIN(AO92,J$7+IF(J$2=$AA92,$AC92,IF(J$2=$AF92,$AG92,0))))</f>
        <v/>
      </c>
      <c r="W92">
        <f>IF(K91&lt;=0,0,MIN(AP92,K$7+IF(K$2=$AA92,$AC92,IF(K$2=$AF92,$AG92,0))))</f>
        <v/>
      </c>
      <c r="X92">
        <f>IF(L91&lt;=0,0,MIN(AQ92,L$7+IF(L$2=$AA92,$AC92,IF(L$2=$AF92,$AG92,0))))</f>
        <v/>
      </c>
      <c r="Y92">
        <f>IF(M91&lt;=0,0,MIN(AR92,M$7+IF(M$2=$AA92,$AC92,IF(M$2=$AF92,$AG92,0))))</f>
        <v/>
      </c>
      <c r="Z92">
        <f>IF(N91&lt;=0,0,MIN(AS92,N$7+IF(N$2=$AA92,$AC92,IF(N$2=$AF92,$AG92,0))))</f>
        <v/>
      </c>
      <c r="AA92">
        <f>IFERROR(ROUND(1/SUMPRODUCT(MAX((C91:N91&gt;0)*($C$3:$N$3&lt;=B92)/$C$2:$N$2)),0),0)</f>
        <v/>
      </c>
      <c r="AB92">
        <f>SUMPRODUCT((C91:N91&gt;0)*$C$7:$N$7)</f>
        <v/>
      </c>
      <c r="AC92">
        <f>MAX(0,Plan!$C$5-AB92)+IF(A92=Plan!$C$8,N(Plan!$C$7),0)</f>
        <v/>
      </c>
      <c r="AD92">
        <f>SUM(C92:N92)</f>
        <v/>
      </c>
      <c r="AE92">
        <f>SUM(O92:Z92)</f>
        <v/>
      </c>
      <c r="AF92">
        <f>IFERROR(ROUND(1/SUMPRODUCT(MAX((C91:N91&gt;0)*($C$3:$N$3&lt;=B92)*($C$2:$N$2&gt;AA92)/$C$2:$N$2)),0),0)</f>
        <v/>
      </c>
      <c r="AG92">
        <f>MAX(0,AC92-MAX(0,SUMPRODUCT(($C$2:$N$2=AA92)*(AH92:AS92-$C$7:$N$7))))</f>
        <v/>
      </c>
      <c r="AH92">
        <f>IF(C91&lt;=0,0,ROUND(C91*(1+IF(AND(C$6&gt;0,$B92&lt;C$6),C$4,C$5)/12),2))</f>
        <v/>
      </c>
      <c r="AI92">
        <f>IF(D91&lt;=0,0,ROUND(D91*(1+IF(AND(D$6&gt;0,$B92&lt;D$6),D$4,D$5)/12),2))</f>
        <v/>
      </c>
      <c r="AJ92">
        <f>IF(E91&lt;=0,0,ROUND(E91*(1+IF(AND(E$6&gt;0,$B92&lt;E$6),E$4,E$5)/12),2))</f>
        <v/>
      </c>
      <c r="AK92">
        <f>IF(F91&lt;=0,0,ROUND(F91*(1+IF(AND(F$6&gt;0,$B92&lt;F$6),F$4,F$5)/12),2))</f>
        <v/>
      </c>
      <c r="AL92">
        <f>IF(G91&lt;=0,0,ROUND(G91*(1+IF(AND(G$6&gt;0,$B92&lt;G$6),G$4,G$5)/12),2))</f>
        <v/>
      </c>
      <c r="AM92">
        <f>IF(H91&lt;=0,0,ROUND(H91*(1+IF(AND(H$6&gt;0,$B92&lt;H$6),H$4,H$5)/12),2))</f>
        <v/>
      </c>
      <c r="AN92">
        <f>IF(I91&lt;=0,0,ROUND(I91*(1+IF(AND(I$6&gt;0,$B92&lt;I$6),I$4,I$5)/12),2))</f>
        <v/>
      </c>
      <c r="AO92">
        <f>IF(J91&lt;=0,0,ROUND(J91*(1+IF(AND(J$6&gt;0,$B92&lt;J$6),J$4,J$5)/12),2))</f>
        <v/>
      </c>
      <c r="AP92">
        <f>IF(K91&lt;=0,0,ROUND(K91*(1+IF(AND(K$6&gt;0,$B92&lt;K$6),K$4,K$5)/12),2))</f>
        <v/>
      </c>
      <c r="AQ92">
        <f>IF(L91&lt;=0,0,ROUND(L91*(1+IF(AND(L$6&gt;0,$B92&lt;L$6),L$4,L$5)/12),2))</f>
        <v/>
      </c>
      <c r="AR92">
        <f>IF(M91&lt;=0,0,ROUND(M91*(1+IF(AND(M$6&gt;0,$B92&lt;M$6),M$4,M$5)/12),2))</f>
        <v/>
      </c>
      <c r="AS92">
        <f>IF(N91&lt;=0,0,ROUND(N91*(1+IF(AND(N$6&gt;0,$B92&lt;N$6),N$4,N$5)/12),2))</f>
        <v/>
      </c>
    </row>
    <row r="93">
      <c r="A93" t="n">
        <v>82</v>
      </c>
      <c r="B93">
        <f>EDATE(Plan!$C$6,81)</f>
        <v/>
      </c>
      <c r="C93">
        <f>IF(C92&lt;=0,0,MAX(0,AH93-O93))</f>
        <v/>
      </c>
      <c r="D93">
        <f>IF(D92&lt;=0,0,MAX(0,AI93-P93))</f>
        <v/>
      </c>
      <c r="E93">
        <f>IF(E92&lt;=0,0,MAX(0,AJ93-Q93))</f>
        <v/>
      </c>
      <c r="F93">
        <f>IF(F92&lt;=0,0,MAX(0,AK93-R93))</f>
        <v/>
      </c>
      <c r="G93">
        <f>IF(G92&lt;=0,0,MAX(0,AL93-S93))</f>
        <v/>
      </c>
      <c r="H93">
        <f>IF(H92&lt;=0,0,MAX(0,AM93-T93))</f>
        <v/>
      </c>
      <c r="I93">
        <f>IF(I92&lt;=0,0,MAX(0,AN93-U93))</f>
        <v/>
      </c>
      <c r="J93">
        <f>IF(J92&lt;=0,0,MAX(0,AO93-V93))</f>
        <v/>
      </c>
      <c r="K93">
        <f>IF(K92&lt;=0,0,MAX(0,AP93-W93))</f>
        <v/>
      </c>
      <c r="L93">
        <f>IF(L92&lt;=0,0,MAX(0,AQ93-X93))</f>
        <v/>
      </c>
      <c r="M93">
        <f>IF(M92&lt;=0,0,MAX(0,AR93-Y93))</f>
        <v/>
      </c>
      <c r="N93">
        <f>IF(N92&lt;=0,0,MAX(0,AS93-Z93))</f>
        <v/>
      </c>
      <c r="O93">
        <f>IF(C92&lt;=0,0,MIN(AH93,C$7+IF(C$2=$AA93,$AC93,IF(C$2=$AF93,$AG93,0))))</f>
        <v/>
      </c>
      <c r="P93">
        <f>IF(D92&lt;=0,0,MIN(AI93,D$7+IF(D$2=$AA93,$AC93,IF(D$2=$AF93,$AG93,0))))</f>
        <v/>
      </c>
      <c r="Q93">
        <f>IF(E92&lt;=0,0,MIN(AJ93,E$7+IF(E$2=$AA93,$AC93,IF(E$2=$AF93,$AG93,0))))</f>
        <v/>
      </c>
      <c r="R93">
        <f>IF(F92&lt;=0,0,MIN(AK93,F$7+IF(F$2=$AA93,$AC93,IF(F$2=$AF93,$AG93,0))))</f>
        <v/>
      </c>
      <c r="S93">
        <f>IF(G92&lt;=0,0,MIN(AL93,G$7+IF(G$2=$AA93,$AC93,IF(G$2=$AF93,$AG93,0))))</f>
        <v/>
      </c>
      <c r="T93">
        <f>IF(H92&lt;=0,0,MIN(AM93,H$7+IF(H$2=$AA93,$AC93,IF(H$2=$AF93,$AG93,0))))</f>
        <v/>
      </c>
      <c r="U93">
        <f>IF(I92&lt;=0,0,MIN(AN93,I$7+IF(I$2=$AA93,$AC93,IF(I$2=$AF93,$AG93,0))))</f>
        <v/>
      </c>
      <c r="V93">
        <f>IF(J92&lt;=0,0,MIN(AO93,J$7+IF(J$2=$AA93,$AC93,IF(J$2=$AF93,$AG93,0))))</f>
        <v/>
      </c>
      <c r="W93">
        <f>IF(K92&lt;=0,0,MIN(AP93,K$7+IF(K$2=$AA93,$AC93,IF(K$2=$AF93,$AG93,0))))</f>
        <v/>
      </c>
      <c r="X93">
        <f>IF(L92&lt;=0,0,MIN(AQ93,L$7+IF(L$2=$AA93,$AC93,IF(L$2=$AF93,$AG93,0))))</f>
        <v/>
      </c>
      <c r="Y93">
        <f>IF(M92&lt;=0,0,MIN(AR93,M$7+IF(M$2=$AA93,$AC93,IF(M$2=$AF93,$AG93,0))))</f>
        <v/>
      </c>
      <c r="Z93">
        <f>IF(N92&lt;=0,0,MIN(AS93,N$7+IF(N$2=$AA93,$AC93,IF(N$2=$AF93,$AG93,0))))</f>
        <v/>
      </c>
      <c r="AA93">
        <f>IFERROR(ROUND(1/SUMPRODUCT(MAX((C92:N92&gt;0)*($C$3:$N$3&lt;=B93)/$C$2:$N$2)),0),0)</f>
        <v/>
      </c>
      <c r="AB93">
        <f>SUMPRODUCT((C92:N92&gt;0)*$C$7:$N$7)</f>
        <v/>
      </c>
      <c r="AC93">
        <f>MAX(0,Plan!$C$5-AB93)+IF(A93=Plan!$C$8,N(Plan!$C$7),0)</f>
        <v/>
      </c>
      <c r="AD93">
        <f>SUM(C93:N93)</f>
        <v/>
      </c>
      <c r="AE93">
        <f>SUM(O93:Z93)</f>
        <v/>
      </c>
      <c r="AF93">
        <f>IFERROR(ROUND(1/SUMPRODUCT(MAX((C92:N92&gt;0)*($C$3:$N$3&lt;=B93)*($C$2:$N$2&gt;AA93)/$C$2:$N$2)),0),0)</f>
        <v/>
      </c>
      <c r="AG93">
        <f>MAX(0,AC93-MAX(0,SUMPRODUCT(($C$2:$N$2=AA93)*(AH93:AS93-$C$7:$N$7))))</f>
        <v/>
      </c>
      <c r="AH93">
        <f>IF(C92&lt;=0,0,ROUND(C92*(1+IF(AND(C$6&gt;0,$B93&lt;C$6),C$4,C$5)/12),2))</f>
        <v/>
      </c>
      <c r="AI93">
        <f>IF(D92&lt;=0,0,ROUND(D92*(1+IF(AND(D$6&gt;0,$B93&lt;D$6),D$4,D$5)/12),2))</f>
        <v/>
      </c>
      <c r="AJ93">
        <f>IF(E92&lt;=0,0,ROUND(E92*(1+IF(AND(E$6&gt;0,$B93&lt;E$6),E$4,E$5)/12),2))</f>
        <v/>
      </c>
      <c r="AK93">
        <f>IF(F92&lt;=0,0,ROUND(F92*(1+IF(AND(F$6&gt;0,$B93&lt;F$6),F$4,F$5)/12),2))</f>
        <v/>
      </c>
      <c r="AL93">
        <f>IF(G92&lt;=0,0,ROUND(G92*(1+IF(AND(G$6&gt;0,$B93&lt;G$6),G$4,G$5)/12),2))</f>
        <v/>
      </c>
      <c r="AM93">
        <f>IF(H92&lt;=0,0,ROUND(H92*(1+IF(AND(H$6&gt;0,$B93&lt;H$6),H$4,H$5)/12),2))</f>
        <v/>
      </c>
      <c r="AN93">
        <f>IF(I92&lt;=0,0,ROUND(I92*(1+IF(AND(I$6&gt;0,$B93&lt;I$6),I$4,I$5)/12),2))</f>
        <v/>
      </c>
      <c r="AO93">
        <f>IF(J92&lt;=0,0,ROUND(J92*(1+IF(AND(J$6&gt;0,$B93&lt;J$6),J$4,J$5)/12),2))</f>
        <v/>
      </c>
      <c r="AP93">
        <f>IF(K92&lt;=0,0,ROUND(K92*(1+IF(AND(K$6&gt;0,$B93&lt;K$6),K$4,K$5)/12),2))</f>
        <v/>
      </c>
      <c r="AQ93">
        <f>IF(L92&lt;=0,0,ROUND(L92*(1+IF(AND(L$6&gt;0,$B93&lt;L$6),L$4,L$5)/12),2))</f>
        <v/>
      </c>
      <c r="AR93">
        <f>IF(M92&lt;=0,0,ROUND(M92*(1+IF(AND(M$6&gt;0,$B93&lt;M$6),M$4,M$5)/12),2))</f>
        <v/>
      </c>
      <c r="AS93">
        <f>IF(N92&lt;=0,0,ROUND(N92*(1+IF(AND(N$6&gt;0,$B93&lt;N$6),N$4,N$5)/12),2))</f>
        <v/>
      </c>
    </row>
    <row r="94">
      <c r="A94" t="n">
        <v>83</v>
      </c>
      <c r="B94">
        <f>EDATE(Plan!$C$6,82)</f>
        <v/>
      </c>
      <c r="C94">
        <f>IF(C93&lt;=0,0,MAX(0,AH94-O94))</f>
        <v/>
      </c>
      <c r="D94">
        <f>IF(D93&lt;=0,0,MAX(0,AI94-P94))</f>
        <v/>
      </c>
      <c r="E94">
        <f>IF(E93&lt;=0,0,MAX(0,AJ94-Q94))</f>
        <v/>
      </c>
      <c r="F94">
        <f>IF(F93&lt;=0,0,MAX(0,AK94-R94))</f>
        <v/>
      </c>
      <c r="G94">
        <f>IF(G93&lt;=0,0,MAX(0,AL94-S94))</f>
        <v/>
      </c>
      <c r="H94">
        <f>IF(H93&lt;=0,0,MAX(0,AM94-T94))</f>
        <v/>
      </c>
      <c r="I94">
        <f>IF(I93&lt;=0,0,MAX(0,AN94-U94))</f>
        <v/>
      </c>
      <c r="J94">
        <f>IF(J93&lt;=0,0,MAX(0,AO94-V94))</f>
        <v/>
      </c>
      <c r="K94">
        <f>IF(K93&lt;=0,0,MAX(0,AP94-W94))</f>
        <v/>
      </c>
      <c r="L94">
        <f>IF(L93&lt;=0,0,MAX(0,AQ94-X94))</f>
        <v/>
      </c>
      <c r="M94">
        <f>IF(M93&lt;=0,0,MAX(0,AR94-Y94))</f>
        <v/>
      </c>
      <c r="N94">
        <f>IF(N93&lt;=0,0,MAX(0,AS94-Z94))</f>
        <v/>
      </c>
      <c r="O94">
        <f>IF(C93&lt;=0,0,MIN(AH94,C$7+IF(C$2=$AA94,$AC94,IF(C$2=$AF94,$AG94,0))))</f>
        <v/>
      </c>
      <c r="P94">
        <f>IF(D93&lt;=0,0,MIN(AI94,D$7+IF(D$2=$AA94,$AC94,IF(D$2=$AF94,$AG94,0))))</f>
        <v/>
      </c>
      <c r="Q94">
        <f>IF(E93&lt;=0,0,MIN(AJ94,E$7+IF(E$2=$AA94,$AC94,IF(E$2=$AF94,$AG94,0))))</f>
        <v/>
      </c>
      <c r="R94">
        <f>IF(F93&lt;=0,0,MIN(AK94,F$7+IF(F$2=$AA94,$AC94,IF(F$2=$AF94,$AG94,0))))</f>
        <v/>
      </c>
      <c r="S94">
        <f>IF(G93&lt;=0,0,MIN(AL94,G$7+IF(G$2=$AA94,$AC94,IF(G$2=$AF94,$AG94,0))))</f>
        <v/>
      </c>
      <c r="T94">
        <f>IF(H93&lt;=0,0,MIN(AM94,H$7+IF(H$2=$AA94,$AC94,IF(H$2=$AF94,$AG94,0))))</f>
        <v/>
      </c>
      <c r="U94">
        <f>IF(I93&lt;=0,0,MIN(AN94,I$7+IF(I$2=$AA94,$AC94,IF(I$2=$AF94,$AG94,0))))</f>
        <v/>
      </c>
      <c r="V94">
        <f>IF(J93&lt;=0,0,MIN(AO94,J$7+IF(J$2=$AA94,$AC94,IF(J$2=$AF94,$AG94,0))))</f>
        <v/>
      </c>
      <c r="W94">
        <f>IF(K93&lt;=0,0,MIN(AP94,K$7+IF(K$2=$AA94,$AC94,IF(K$2=$AF94,$AG94,0))))</f>
        <v/>
      </c>
      <c r="X94">
        <f>IF(L93&lt;=0,0,MIN(AQ94,L$7+IF(L$2=$AA94,$AC94,IF(L$2=$AF94,$AG94,0))))</f>
        <v/>
      </c>
      <c r="Y94">
        <f>IF(M93&lt;=0,0,MIN(AR94,M$7+IF(M$2=$AA94,$AC94,IF(M$2=$AF94,$AG94,0))))</f>
        <v/>
      </c>
      <c r="Z94">
        <f>IF(N93&lt;=0,0,MIN(AS94,N$7+IF(N$2=$AA94,$AC94,IF(N$2=$AF94,$AG94,0))))</f>
        <v/>
      </c>
      <c r="AA94">
        <f>IFERROR(ROUND(1/SUMPRODUCT(MAX((C93:N93&gt;0)*($C$3:$N$3&lt;=B94)/$C$2:$N$2)),0),0)</f>
        <v/>
      </c>
      <c r="AB94">
        <f>SUMPRODUCT((C93:N93&gt;0)*$C$7:$N$7)</f>
        <v/>
      </c>
      <c r="AC94">
        <f>MAX(0,Plan!$C$5-AB94)+IF(A94=Plan!$C$8,N(Plan!$C$7),0)</f>
        <v/>
      </c>
      <c r="AD94">
        <f>SUM(C94:N94)</f>
        <v/>
      </c>
      <c r="AE94">
        <f>SUM(O94:Z94)</f>
        <v/>
      </c>
      <c r="AF94">
        <f>IFERROR(ROUND(1/SUMPRODUCT(MAX((C93:N93&gt;0)*($C$3:$N$3&lt;=B94)*($C$2:$N$2&gt;AA94)/$C$2:$N$2)),0),0)</f>
        <v/>
      </c>
      <c r="AG94">
        <f>MAX(0,AC94-MAX(0,SUMPRODUCT(($C$2:$N$2=AA94)*(AH94:AS94-$C$7:$N$7))))</f>
        <v/>
      </c>
      <c r="AH94">
        <f>IF(C93&lt;=0,0,ROUND(C93*(1+IF(AND(C$6&gt;0,$B94&lt;C$6),C$4,C$5)/12),2))</f>
        <v/>
      </c>
      <c r="AI94">
        <f>IF(D93&lt;=0,0,ROUND(D93*(1+IF(AND(D$6&gt;0,$B94&lt;D$6),D$4,D$5)/12),2))</f>
        <v/>
      </c>
      <c r="AJ94">
        <f>IF(E93&lt;=0,0,ROUND(E93*(1+IF(AND(E$6&gt;0,$B94&lt;E$6),E$4,E$5)/12),2))</f>
        <v/>
      </c>
      <c r="AK94">
        <f>IF(F93&lt;=0,0,ROUND(F93*(1+IF(AND(F$6&gt;0,$B94&lt;F$6),F$4,F$5)/12),2))</f>
        <v/>
      </c>
      <c r="AL94">
        <f>IF(G93&lt;=0,0,ROUND(G93*(1+IF(AND(G$6&gt;0,$B94&lt;G$6),G$4,G$5)/12),2))</f>
        <v/>
      </c>
      <c r="AM94">
        <f>IF(H93&lt;=0,0,ROUND(H93*(1+IF(AND(H$6&gt;0,$B94&lt;H$6),H$4,H$5)/12),2))</f>
        <v/>
      </c>
      <c r="AN94">
        <f>IF(I93&lt;=0,0,ROUND(I93*(1+IF(AND(I$6&gt;0,$B94&lt;I$6),I$4,I$5)/12),2))</f>
        <v/>
      </c>
      <c r="AO94">
        <f>IF(J93&lt;=0,0,ROUND(J93*(1+IF(AND(J$6&gt;0,$B94&lt;J$6),J$4,J$5)/12),2))</f>
        <v/>
      </c>
      <c r="AP94">
        <f>IF(K93&lt;=0,0,ROUND(K93*(1+IF(AND(K$6&gt;0,$B94&lt;K$6),K$4,K$5)/12),2))</f>
        <v/>
      </c>
      <c r="AQ94">
        <f>IF(L93&lt;=0,0,ROUND(L93*(1+IF(AND(L$6&gt;0,$B94&lt;L$6),L$4,L$5)/12),2))</f>
        <v/>
      </c>
      <c r="AR94">
        <f>IF(M93&lt;=0,0,ROUND(M93*(1+IF(AND(M$6&gt;0,$B94&lt;M$6),M$4,M$5)/12),2))</f>
        <v/>
      </c>
      <c r="AS94">
        <f>IF(N93&lt;=0,0,ROUND(N93*(1+IF(AND(N$6&gt;0,$B94&lt;N$6),N$4,N$5)/12),2))</f>
        <v/>
      </c>
    </row>
    <row r="95">
      <c r="A95" t="n">
        <v>84</v>
      </c>
      <c r="B95">
        <f>EDATE(Plan!$C$6,83)</f>
        <v/>
      </c>
      <c r="C95">
        <f>IF(C94&lt;=0,0,MAX(0,AH95-O95))</f>
        <v/>
      </c>
      <c r="D95">
        <f>IF(D94&lt;=0,0,MAX(0,AI95-P95))</f>
        <v/>
      </c>
      <c r="E95">
        <f>IF(E94&lt;=0,0,MAX(0,AJ95-Q95))</f>
        <v/>
      </c>
      <c r="F95">
        <f>IF(F94&lt;=0,0,MAX(0,AK95-R95))</f>
        <v/>
      </c>
      <c r="G95">
        <f>IF(G94&lt;=0,0,MAX(0,AL95-S95))</f>
        <v/>
      </c>
      <c r="H95">
        <f>IF(H94&lt;=0,0,MAX(0,AM95-T95))</f>
        <v/>
      </c>
      <c r="I95">
        <f>IF(I94&lt;=0,0,MAX(0,AN95-U95))</f>
        <v/>
      </c>
      <c r="J95">
        <f>IF(J94&lt;=0,0,MAX(0,AO95-V95))</f>
        <v/>
      </c>
      <c r="K95">
        <f>IF(K94&lt;=0,0,MAX(0,AP95-W95))</f>
        <v/>
      </c>
      <c r="L95">
        <f>IF(L94&lt;=0,0,MAX(0,AQ95-X95))</f>
        <v/>
      </c>
      <c r="M95">
        <f>IF(M94&lt;=0,0,MAX(0,AR95-Y95))</f>
        <v/>
      </c>
      <c r="N95">
        <f>IF(N94&lt;=0,0,MAX(0,AS95-Z95))</f>
        <v/>
      </c>
      <c r="O95">
        <f>IF(C94&lt;=0,0,MIN(AH95,C$7+IF(C$2=$AA95,$AC95,IF(C$2=$AF95,$AG95,0))))</f>
        <v/>
      </c>
      <c r="P95">
        <f>IF(D94&lt;=0,0,MIN(AI95,D$7+IF(D$2=$AA95,$AC95,IF(D$2=$AF95,$AG95,0))))</f>
        <v/>
      </c>
      <c r="Q95">
        <f>IF(E94&lt;=0,0,MIN(AJ95,E$7+IF(E$2=$AA95,$AC95,IF(E$2=$AF95,$AG95,0))))</f>
        <v/>
      </c>
      <c r="R95">
        <f>IF(F94&lt;=0,0,MIN(AK95,F$7+IF(F$2=$AA95,$AC95,IF(F$2=$AF95,$AG95,0))))</f>
        <v/>
      </c>
      <c r="S95">
        <f>IF(G94&lt;=0,0,MIN(AL95,G$7+IF(G$2=$AA95,$AC95,IF(G$2=$AF95,$AG95,0))))</f>
        <v/>
      </c>
      <c r="T95">
        <f>IF(H94&lt;=0,0,MIN(AM95,H$7+IF(H$2=$AA95,$AC95,IF(H$2=$AF95,$AG95,0))))</f>
        <v/>
      </c>
      <c r="U95">
        <f>IF(I94&lt;=0,0,MIN(AN95,I$7+IF(I$2=$AA95,$AC95,IF(I$2=$AF95,$AG95,0))))</f>
        <v/>
      </c>
      <c r="V95">
        <f>IF(J94&lt;=0,0,MIN(AO95,J$7+IF(J$2=$AA95,$AC95,IF(J$2=$AF95,$AG95,0))))</f>
        <v/>
      </c>
      <c r="W95">
        <f>IF(K94&lt;=0,0,MIN(AP95,K$7+IF(K$2=$AA95,$AC95,IF(K$2=$AF95,$AG95,0))))</f>
        <v/>
      </c>
      <c r="X95">
        <f>IF(L94&lt;=0,0,MIN(AQ95,L$7+IF(L$2=$AA95,$AC95,IF(L$2=$AF95,$AG95,0))))</f>
        <v/>
      </c>
      <c r="Y95">
        <f>IF(M94&lt;=0,0,MIN(AR95,M$7+IF(M$2=$AA95,$AC95,IF(M$2=$AF95,$AG95,0))))</f>
        <v/>
      </c>
      <c r="Z95">
        <f>IF(N94&lt;=0,0,MIN(AS95,N$7+IF(N$2=$AA95,$AC95,IF(N$2=$AF95,$AG95,0))))</f>
        <v/>
      </c>
      <c r="AA95">
        <f>IFERROR(ROUND(1/SUMPRODUCT(MAX((C94:N94&gt;0)*($C$3:$N$3&lt;=B95)/$C$2:$N$2)),0),0)</f>
        <v/>
      </c>
      <c r="AB95">
        <f>SUMPRODUCT((C94:N94&gt;0)*$C$7:$N$7)</f>
        <v/>
      </c>
      <c r="AC95">
        <f>MAX(0,Plan!$C$5-AB95)+IF(A95=Plan!$C$8,N(Plan!$C$7),0)</f>
        <v/>
      </c>
      <c r="AD95">
        <f>SUM(C95:N95)</f>
        <v/>
      </c>
      <c r="AE95">
        <f>SUM(O95:Z95)</f>
        <v/>
      </c>
      <c r="AF95">
        <f>IFERROR(ROUND(1/SUMPRODUCT(MAX((C94:N94&gt;0)*($C$3:$N$3&lt;=B95)*($C$2:$N$2&gt;AA95)/$C$2:$N$2)),0),0)</f>
        <v/>
      </c>
      <c r="AG95">
        <f>MAX(0,AC95-MAX(0,SUMPRODUCT(($C$2:$N$2=AA95)*(AH95:AS95-$C$7:$N$7))))</f>
        <v/>
      </c>
      <c r="AH95">
        <f>IF(C94&lt;=0,0,ROUND(C94*(1+IF(AND(C$6&gt;0,$B95&lt;C$6),C$4,C$5)/12),2))</f>
        <v/>
      </c>
      <c r="AI95">
        <f>IF(D94&lt;=0,0,ROUND(D94*(1+IF(AND(D$6&gt;0,$B95&lt;D$6),D$4,D$5)/12),2))</f>
        <v/>
      </c>
      <c r="AJ95">
        <f>IF(E94&lt;=0,0,ROUND(E94*(1+IF(AND(E$6&gt;0,$B95&lt;E$6),E$4,E$5)/12),2))</f>
        <v/>
      </c>
      <c r="AK95">
        <f>IF(F94&lt;=0,0,ROUND(F94*(1+IF(AND(F$6&gt;0,$B95&lt;F$6),F$4,F$5)/12),2))</f>
        <v/>
      </c>
      <c r="AL95">
        <f>IF(G94&lt;=0,0,ROUND(G94*(1+IF(AND(G$6&gt;0,$B95&lt;G$6),G$4,G$5)/12),2))</f>
        <v/>
      </c>
      <c r="AM95">
        <f>IF(H94&lt;=0,0,ROUND(H94*(1+IF(AND(H$6&gt;0,$B95&lt;H$6),H$4,H$5)/12),2))</f>
        <v/>
      </c>
      <c r="AN95">
        <f>IF(I94&lt;=0,0,ROUND(I94*(1+IF(AND(I$6&gt;0,$B95&lt;I$6),I$4,I$5)/12),2))</f>
        <v/>
      </c>
      <c r="AO95">
        <f>IF(J94&lt;=0,0,ROUND(J94*(1+IF(AND(J$6&gt;0,$B95&lt;J$6),J$4,J$5)/12),2))</f>
        <v/>
      </c>
      <c r="AP95">
        <f>IF(K94&lt;=0,0,ROUND(K94*(1+IF(AND(K$6&gt;0,$B95&lt;K$6),K$4,K$5)/12),2))</f>
        <v/>
      </c>
      <c r="AQ95">
        <f>IF(L94&lt;=0,0,ROUND(L94*(1+IF(AND(L$6&gt;0,$B95&lt;L$6),L$4,L$5)/12),2))</f>
        <v/>
      </c>
      <c r="AR95">
        <f>IF(M94&lt;=0,0,ROUND(M94*(1+IF(AND(M$6&gt;0,$B95&lt;M$6),M$4,M$5)/12),2))</f>
        <v/>
      </c>
      <c r="AS95">
        <f>IF(N94&lt;=0,0,ROUND(N94*(1+IF(AND(N$6&gt;0,$B95&lt;N$6),N$4,N$5)/12),2))</f>
        <v/>
      </c>
    </row>
    <row r="96">
      <c r="A96" t="n">
        <v>85</v>
      </c>
      <c r="B96">
        <f>EDATE(Plan!$C$6,84)</f>
        <v/>
      </c>
      <c r="C96">
        <f>IF(C95&lt;=0,0,MAX(0,AH96-O96))</f>
        <v/>
      </c>
      <c r="D96">
        <f>IF(D95&lt;=0,0,MAX(0,AI96-P96))</f>
        <v/>
      </c>
      <c r="E96">
        <f>IF(E95&lt;=0,0,MAX(0,AJ96-Q96))</f>
        <v/>
      </c>
      <c r="F96">
        <f>IF(F95&lt;=0,0,MAX(0,AK96-R96))</f>
        <v/>
      </c>
      <c r="G96">
        <f>IF(G95&lt;=0,0,MAX(0,AL96-S96))</f>
        <v/>
      </c>
      <c r="H96">
        <f>IF(H95&lt;=0,0,MAX(0,AM96-T96))</f>
        <v/>
      </c>
      <c r="I96">
        <f>IF(I95&lt;=0,0,MAX(0,AN96-U96))</f>
        <v/>
      </c>
      <c r="J96">
        <f>IF(J95&lt;=0,0,MAX(0,AO96-V96))</f>
        <v/>
      </c>
      <c r="K96">
        <f>IF(K95&lt;=0,0,MAX(0,AP96-W96))</f>
        <v/>
      </c>
      <c r="L96">
        <f>IF(L95&lt;=0,0,MAX(0,AQ96-X96))</f>
        <v/>
      </c>
      <c r="M96">
        <f>IF(M95&lt;=0,0,MAX(0,AR96-Y96))</f>
        <v/>
      </c>
      <c r="N96">
        <f>IF(N95&lt;=0,0,MAX(0,AS96-Z96))</f>
        <v/>
      </c>
      <c r="O96">
        <f>IF(C95&lt;=0,0,MIN(AH96,C$7+IF(C$2=$AA96,$AC96,IF(C$2=$AF96,$AG96,0))))</f>
        <v/>
      </c>
      <c r="P96">
        <f>IF(D95&lt;=0,0,MIN(AI96,D$7+IF(D$2=$AA96,$AC96,IF(D$2=$AF96,$AG96,0))))</f>
        <v/>
      </c>
      <c r="Q96">
        <f>IF(E95&lt;=0,0,MIN(AJ96,E$7+IF(E$2=$AA96,$AC96,IF(E$2=$AF96,$AG96,0))))</f>
        <v/>
      </c>
      <c r="R96">
        <f>IF(F95&lt;=0,0,MIN(AK96,F$7+IF(F$2=$AA96,$AC96,IF(F$2=$AF96,$AG96,0))))</f>
        <v/>
      </c>
      <c r="S96">
        <f>IF(G95&lt;=0,0,MIN(AL96,G$7+IF(G$2=$AA96,$AC96,IF(G$2=$AF96,$AG96,0))))</f>
        <v/>
      </c>
      <c r="T96">
        <f>IF(H95&lt;=0,0,MIN(AM96,H$7+IF(H$2=$AA96,$AC96,IF(H$2=$AF96,$AG96,0))))</f>
        <v/>
      </c>
      <c r="U96">
        <f>IF(I95&lt;=0,0,MIN(AN96,I$7+IF(I$2=$AA96,$AC96,IF(I$2=$AF96,$AG96,0))))</f>
        <v/>
      </c>
      <c r="V96">
        <f>IF(J95&lt;=0,0,MIN(AO96,J$7+IF(J$2=$AA96,$AC96,IF(J$2=$AF96,$AG96,0))))</f>
        <v/>
      </c>
      <c r="W96">
        <f>IF(K95&lt;=0,0,MIN(AP96,K$7+IF(K$2=$AA96,$AC96,IF(K$2=$AF96,$AG96,0))))</f>
        <v/>
      </c>
      <c r="X96">
        <f>IF(L95&lt;=0,0,MIN(AQ96,L$7+IF(L$2=$AA96,$AC96,IF(L$2=$AF96,$AG96,0))))</f>
        <v/>
      </c>
      <c r="Y96">
        <f>IF(M95&lt;=0,0,MIN(AR96,M$7+IF(M$2=$AA96,$AC96,IF(M$2=$AF96,$AG96,0))))</f>
        <v/>
      </c>
      <c r="Z96">
        <f>IF(N95&lt;=0,0,MIN(AS96,N$7+IF(N$2=$AA96,$AC96,IF(N$2=$AF96,$AG96,0))))</f>
        <v/>
      </c>
      <c r="AA96">
        <f>IFERROR(ROUND(1/SUMPRODUCT(MAX((C95:N95&gt;0)*($C$3:$N$3&lt;=B96)/$C$2:$N$2)),0),0)</f>
        <v/>
      </c>
      <c r="AB96">
        <f>SUMPRODUCT((C95:N95&gt;0)*$C$7:$N$7)</f>
        <v/>
      </c>
      <c r="AC96">
        <f>MAX(0,Plan!$C$5-AB96)+IF(A96=Plan!$C$8,N(Plan!$C$7),0)</f>
        <v/>
      </c>
      <c r="AD96">
        <f>SUM(C96:N96)</f>
        <v/>
      </c>
      <c r="AE96">
        <f>SUM(O96:Z96)</f>
        <v/>
      </c>
      <c r="AF96">
        <f>IFERROR(ROUND(1/SUMPRODUCT(MAX((C95:N95&gt;0)*($C$3:$N$3&lt;=B96)*($C$2:$N$2&gt;AA96)/$C$2:$N$2)),0),0)</f>
        <v/>
      </c>
      <c r="AG96">
        <f>MAX(0,AC96-MAX(0,SUMPRODUCT(($C$2:$N$2=AA96)*(AH96:AS96-$C$7:$N$7))))</f>
        <v/>
      </c>
      <c r="AH96">
        <f>IF(C95&lt;=0,0,ROUND(C95*(1+IF(AND(C$6&gt;0,$B96&lt;C$6),C$4,C$5)/12),2))</f>
        <v/>
      </c>
      <c r="AI96">
        <f>IF(D95&lt;=0,0,ROUND(D95*(1+IF(AND(D$6&gt;0,$B96&lt;D$6),D$4,D$5)/12),2))</f>
        <v/>
      </c>
      <c r="AJ96">
        <f>IF(E95&lt;=0,0,ROUND(E95*(1+IF(AND(E$6&gt;0,$B96&lt;E$6),E$4,E$5)/12),2))</f>
        <v/>
      </c>
      <c r="AK96">
        <f>IF(F95&lt;=0,0,ROUND(F95*(1+IF(AND(F$6&gt;0,$B96&lt;F$6),F$4,F$5)/12),2))</f>
        <v/>
      </c>
      <c r="AL96">
        <f>IF(G95&lt;=0,0,ROUND(G95*(1+IF(AND(G$6&gt;0,$B96&lt;G$6),G$4,G$5)/12),2))</f>
        <v/>
      </c>
      <c r="AM96">
        <f>IF(H95&lt;=0,0,ROUND(H95*(1+IF(AND(H$6&gt;0,$B96&lt;H$6),H$4,H$5)/12),2))</f>
        <v/>
      </c>
      <c r="AN96">
        <f>IF(I95&lt;=0,0,ROUND(I95*(1+IF(AND(I$6&gt;0,$B96&lt;I$6),I$4,I$5)/12),2))</f>
        <v/>
      </c>
      <c r="AO96">
        <f>IF(J95&lt;=0,0,ROUND(J95*(1+IF(AND(J$6&gt;0,$B96&lt;J$6),J$4,J$5)/12),2))</f>
        <v/>
      </c>
      <c r="AP96">
        <f>IF(K95&lt;=0,0,ROUND(K95*(1+IF(AND(K$6&gt;0,$B96&lt;K$6),K$4,K$5)/12),2))</f>
        <v/>
      </c>
      <c r="AQ96">
        <f>IF(L95&lt;=0,0,ROUND(L95*(1+IF(AND(L$6&gt;0,$B96&lt;L$6),L$4,L$5)/12),2))</f>
        <v/>
      </c>
      <c r="AR96">
        <f>IF(M95&lt;=0,0,ROUND(M95*(1+IF(AND(M$6&gt;0,$B96&lt;M$6),M$4,M$5)/12),2))</f>
        <v/>
      </c>
      <c r="AS96">
        <f>IF(N95&lt;=0,0,ROUND(N95*(1+IF(AND(N$6&gt;0,$B96&lt;N$6),N$4,N$5)/12),2))</f>
        <v/>
      </c>
    </row>
    <row r="97">
      <c r="A97" t="n">
        <v>86</v>
      </c>
      <c r="B97">
        <f>EDATE(Plan!$C$6,85)</f>
        <v/>
      </c>
      <c r="C97">
        <f>IF(C96&lt;=0,0,MAX(0,AH97-O97))</f>
        <v/>
      </c>
      <c r="D97">
        <f>IF(D96&lt;=0,0,MAX(0,AI97-P97))</f>
        <v/>
      </c>
      <c r="E97">
        <f>IF(E96&lt;=0,0,MAX(0,AJ97-Q97))</f>
        <v/>
      </c>
      <c r="F97">
        <f>IF(F96&lt;=0,0,MAX(0,AK97-R97))</f>
        <v/>
      </c>
      <c r="G97">
        <f>IF(G96&lt;=0,0,MAX(0,AL97-S97))</f>
        <v/>
      </c>
      <c r="H97">
        <f>IF(H96&lt;=0,0,MAX(0,AM97-T97))</f>
        <v/>
      </c>
      <c r="I97">
        <f>IF(I96&lt;=0,0,MAX(0,AN97-U97))</f>
        <v/>
      </c>
      <c r="J97">
        <f>IF(J96&lt;=0,0,MAX(0,AO97-V97))</f>
        <v/>
      </c>
      <c r="K97">
        <f>IF(K96&lt;=0,0,MAX(0,AP97-W97))</f>
        <v/>
      </c>
      <c r="L97">
        <f>IF(L96&lt;=0,0,MAX(0,AQ97-X97))</f>
        <v/>
      </c>
      <c r="M97">
        <f>IF(M96&lt;=0,0,MAX(0,AR97-Y97))</f>
        <v/>
      </c>
      <c r="N97">
        <f>IF(N96&lt;=0,0,MAX(0,AS97-Z97))</f>
        <v/>
      </c>
      <c r="O97">
        <f>IF(C96&lt;=0,0,MIN(AH97,C$7+IF(C$2=$AA97,$AC97,IF(C$2=$AF97,$AG97,0))))</f>
        <v/>
      </c>
      <c r="P97">
        <f>IF(D96&lt;=0,0,MIN(AI97,D$7+IF(D$2=$AA97,$AC97,IF(D$2=$AF97,$AG97,0))))</f>
        <v/>
      </c>
      <c r="Q97">
        <f>IF(E96&lt;=0,0,MIN(AJ97,E$7+IF(E$2=$AA97,$AC97,IF(E$2=$AF97,$AG97,0))))</f>
        <v/>
      </c>
      <c r="R97">
        <f>IF(F96&lt;=0,0,MIN(AK97,F$7+IF(F$2=$AA97,$AC97,IF(F$2=$AF97,$AG97,0))))</f>
        <v/>
      </c>
      <c r="S97">
        <f>IF(G96&lt;=0,0,MIN(AL97,G$7+IF(G$2=$AA97,$AC97,IF(G$2=$AF97,$AG97,0))))</f>
        <v/>
      </c>
      <c r="T97">
        <f>IF(H96&lt;=0,0,MIN(AM97,H$7+IF(H$2=$AA97,$AC97,IF(H$2=$AF97,$AG97,0))))</f>
        <v/>
      </c>
      <c r="U97">
        <f>IF(I96&lt;=0,0,MIN(AN97,I$7+IF(I$2=$AA97,$AC97,IF(I$2=$AF97,$AG97,0))))</f>
        <v/>
      </c>
      <c r="V97">
        <f>IF(J96&lt;=0,0,MIN(AO97,J$7+IF(J$2=$AA97,$AC97,IF(J$2=$AF97,$AG97,0))))</f>
        <v/>
      </c>
      <c r="W97">
        <f>IF(K96&lt;=0,0,MIN(AP97,K$7+IF(K$2=$AA97,$AC97,IF(K$2=$AF97,$AG97,0))))</f>
        <v/>
      </c>
      <c r="X97">
        <f>IF(L96&lt;=0,0,MIN(AQ97,L$7+IF(L$2=$AA97,$AC97,IF(L$2=$AF97,$AG97,0))))</f>
        <v/>
      </c>
      <c r="Y97">
        <f>IF(M96&lt;=0,0,MIN(AR97,M$7+IF(M$2=$AA97,$AC97,IF(M$2=$AF97,$AG97,0))))</f>
        <v/>
      </c>
      <c r="Z97">
        <f>IF(N96&lt;=0,0,MIN(AS97,N$7+IF(N$2=$AA97,$AC97,IF(N$2=$AF97,$AG97,0))))</f>
        <v/>
      </c>
      <c r="AA97">
        <f>IFERROR(ROUND(1/SUMPRODUCT(MAX((C96:N96&gt;0)*($C$3:$N$3&lt;=B97)/$C$2:$N$2)),0),0)</f>
        <v/>
      </c>
      <c r="AB97">
        <f>SUMPRODUCT((C96:N96&gt;0)*$C$7:$N$7)</f>
        <v/>
      </c>
      <c r="AC97">
        <f>MAX(0,Plan!$C$5-AB97)+IF(A97=Plan!$C$8,N(Plan!$C$7),0)</f>
        <v/>
      </c>
      <c r="AD97">
        <f>SUM(C97:N97)</f>
        <v/>
      </c>
      <c r="AE97">
        <f>SUM(O97:Z97)</f>
        <v/>
      </c>
      <c r="AF97">
        <f>IFERROR(ROUND(1/SUMPRODUCT(MAX((C96:N96&gt;0)*($C$3:$N$3&lt;=B97)*($C$2:$N$2&gt;AA97)/$C$2:$N$2)),0),0)</f>
        <v/>
      </c>
      <c r="AG97">
        <f>MAX(0,AC97-MAX(0,SUMPRODUCT(($C$2:$N$2=AA97)*(AH97:AS97-$C$7:$N$7))))</f>
        <v/>
      </c>
      <c r="AH97">
        <f>IF(C96&lt;=0,0,ROUND(C96*(1+IF(AND(C$6&gt;0,$B97&lt;C$6),C$4,C$5)/12),2))</f>
        <v/>
      </c>
      <c r="AI97">
        <f>IF(D96&lt;=0,0,ROUND(D96*(1+IF(AND(D$6&gt;0,$B97&lt;D$6),D$4,D$5)/12),2))</f>
        <v/>
      </c>
      <c r="AJ97">
        <f>IF(E96&lt;=0,0,ROUND(E96*(1+IF(AND(E$6&gt;0,$B97&lt;E$6),E$4,E$5)/12),2))</f>
        <v/>
      </c>
      <c r="AK97">
        <f>IF(F96&lt;=0,0,ROUND(F96*(1+IF(AND(F$6&gt;0,$B97&lt;F$6),F$4,F$5)/12),2))</f>
        <v/>
      </c>
      <c r="AL97">
        <f>IF(G96&lt;=0,0,ROUND(G96*(1+IF(AND(G$6&gt;0,$B97&lt;G$6),G$4,G$5)/12),2))</f>
        <v/>
      </c>
      <c r="AM97">
        <f>IF(H96&lt;=0,0,ROUND(H96*(1+IF(AND(H$6&gt;0,$B97&lt;H$6),H$4,H$5)/12),2))</f>
        <v/>
      </c>
      <c r="AN97">
        <f>IF(I96&lt;=0,0,ROUND(I96*(1+IF(AND(I$6&gt;0,$B97&lt;I$6),I$4,I$5)/12),2))</f>
        <v/>
      </c>
      <c r="AO97">
        <f>IF(J96&lt;=0,0,ROUND(J96*(1+IF(AND(J$6&gt;0,$B97&lt;J$6),J$4,J$5)/12),2))</f>
        <v/>
      </c>
      <c r="AP97">
        <f>IF(K96&lt;=0,0,ROUND(K96*(1+IF(AND(K$6&gt;0,$B97&lt;K$6),K$4,K$5)/12),2))</f>
        <v/>
      </c>
      <c r="AQ97">
        <f>IF(L96&lt;=0,0,ROUND(L96*(1+IF(AND(L$6&gt;0,$B97&lt;L$6),L$4,L$5)/12),2))</f>
        <v/>
      </c>
      <c r="AR97">
        <f>IF(M96&lt;=0,0,ROUND(M96*(1+IF(AND(M$6&gt;0,$B97&lt;M$6),M$4,M$5)/12),2))</f>
        <v/>
      </c>
      <c r="AS97">
        <f>IF(N96&lt;=0,0,ROUND(N96*(1+IF(AND(N$6&gt;0,$B97&lt;N$6),N$4,N$5)/12),2))</f>
        <v/>
      </c>
    </row>
    <row r="98">
      <c r="A98" t="n">
        <v>87</v>
      </c>
      <c r="B98">
        <f>EDATE(Plan!$C$6,86)</f>
        <v/>
      </c>
      <c r="C98">
        <f>IF(C97&lt;=0,0,MAX(0,AH98-O98))</f>
        <v/>
      </c>
      <c r="D98">
        <f>IF(D97&lt;=0,0,MAX(0,AI98-P98))</f>
        <v/>
      </c>
      <c r="E98">
        <f>IF(E97&lt;=0,0,MAX(0,AJ98-Q98))</f>
        <v/>
      </c>
      <c r="F98">
        <f>IF(F97&lt;=0,0,MAX(0,AK98-R98))</f>
        <v/>
      </c>
      <c r="G98">
        <f>IF(G97&lt;=0,0,MAX(0,AL98-S98))</f>
        <v/>
      </c>
      <c r="H98">
        <f>IF(H97&lt;=0,0,MAX(0,AM98-T98))</f>
        <v/>
      </c>
      <c r="I98">
        <f>IF(I97&lt;=0,0,MAX(0,AN98-U98))</f>
        <v/>
      </c>
      <c r="J98">
        <f>IF(J97&lt;=0,0,MAX(0,AO98-V98))</f>
        <v/>
      </c>
      <c r="K98">
        <f>IF(K97&lt;=0,0,MAX(0,AP98-W98))</f>
        <v/>
      </c>
      <c r="L98">
        <f>IF(L97&lt;=0,0,MAX(0,AQ98-X98))</f>
        <v/>
      </c>
      <c r="M98">
        <f>IF(M97&lt;=0,0,MAX(0,AR98-Y98))</f>
        <v/>
      </c>
      <c r="N98">
        <f>IF(N97&lt;=0,0,MAX(0,AS98-Z98))</f>
        <v/>
      </c>
      <c r="O98">
        <f>IF(C97&lt;=0,0,MIN(AH98,C$7+IF(C$2=$AA98,$AC98,IF(C$2=$AF98,$AG98,0))))</f>
        <v/>
      </c>
      <c r="P98">
        <f>IF(D97&lt;=0,0,MIN(AI98,D$7+IF(D$2=$AA98,$AC98,IF(D$2=$AF98,$AG98,0))))</f>
        <v/>
      </c>
      <c r="Q98">
        <f>IF(E97&lt;=0,0,MIN(AJ98,E$7+IF(E$2=$AA98,$AC98,IF(E$2=$AF98,$AG98,0))))</f>
        <v/>
      </c>
      <c r="R98">
        <f>IF(F97&lt;=0,0,MIN(AK98,F$7+IF(F$2=$AA98,$AC98,IF(F$2=$AF98,$AG98,0))))</f>
        <v/>
      </c>
      <c r="S98">
        <f>IF(G97&lt;=0,0,MIN(AL98,G$7+IF(G$2=$AA98,$AC98,IF(G$2=$AF98,$AG98,0))))</f>
        <v/>
      </c>
      <c r="T98">
        <f>IF(H97&lt;=0,0,MIN(AM98,H$7+IF(H$2=$AA98,$AC98,IF(H$2=$AF98,$AG98,0))))</f>
        <v/>
      </c>
      <c r="U98">
        <f>IF(I97&lt;=0,0,MIN(AN98,I$7+IF(I$2=$AA98,$AC98,IF(I$2=$AF98,$AG98,0))))</f>
        <v/>
      </c>
      <c r="V98">
        <f>IF(J97&lt;=0,0,MIN(AO98,J$7+IF(J$2=$AA98,$AC98,IF(J$2=$AF98,$AG98,0))))</f>
        <v/>
      </c>
      <c r="W98">
        <f>IF(K97&lt;=0,0,MIN(AP98,K$7+IF(K$2=$AA98,$AC98,IF(K$2=$AF98,$AG98,0))))</f>
        <v/>
      </c>
      <c r="X98">
        <f>IF(L97&lt;=0,0,MIN(AQ98,L$7+IF(L$2=$AA98,$AC98,IF(L$2=$AF98,$AG98,0))))</f>
        <v/>
      </c>
      <c r="Y98">
        <f>IF(M97&lt;=0,0,MIN(AR98,M$7+IF(M$2=$AA98,$AC98,IF(M$2=$AF98,$AG98,0))))</f>
        <v/>
      </c>
      <c r="Z98">
        <f>IF(N97&lt;=0,0,MIN(AS98,N$7+IF(N$2=$AA98,$AC98,IF(N$2=$AF98,$AG98,0))))</f>
        <v/>
      </c>
      <c r="AA98">
        <f>IFERROR(ROUND(1/SUMPRODUCT(MAX((C97:N97&gt;0)*($C$3:$N$3&lt;=B98)/$C$2:$N$2)),0),0)</f>
        <v/>
      </c>
      <c r="AB98">
        <f>SUMPRODUCT((C97:N97&gt;0)*$C$7:$N$7)</f>
        <v/>
      </c>
      <c r="AC98">
        <f>MAX(0,Plan!$C$5-AB98)+IF(A98=Plan!$C$8,N(Plan!$C$7),0)</f>
        <v/>
      </c>
      <c r="AD98">
        <f>SUM(C98:N98)</f>
        <v/>
      </c>
      <c r="AE98">
        <f>SUM(O98:Z98)</f>
        <v/>
      </c>
      <c r="AF98">
        <f>IFERROR(ROUND(1/SUMPRODUCT(MAX((C97:N97&gt;0)*($C$3:$N$3&lt;=B98)*($C$2:$N$2&gt;AA98)/$C$2:$N$2)),0),0)</f>
        <v/>
      </c>
      <c r="AG98">
        <f>MAX(0,AC98-MAX(0,SUMPRODUCT(($C$2:$N$2=AA98)*(AH98:AS98-$C$7:$N$7))))</f>
        <v/>
      </c>
      <c r="AH98">
        <f>IF(C97&lt;=0,0,ROUND(C97*(1+IF(AND(C$6&gt;0,$B98&lt;C$6),C$4,C$5)/12),2))</f>
        <v/>
      </c>
      <c r="AI98">
        <f>IF(D97&lt;=0,0,ROUND(D97*(1+IF(AND(D$6&gt;0,$B98&lt;D$6),D$4,D$5)/12),2))</f>
        <v/>
      </c>
      <c r="AJ98">
        <f>IF(E97&lt;=0,0,ROUND(E97*(1+IF(AND(E$6&gt;0,$B98&lt;E$6),E$4,E$5)/12),2))</f>
        <v/>
      </c>
      <c r="AK98">
        <f>IF(F97&lt;=0,0,ROUND(F97*(1+IF(AND(F$6&gt;0,$B98&lt;F$6),F$4,F$5)/12),2))</f>
        <v/>
      </c>
      <c r="AL98">
        <f>IF(G97&lt;=0,0,ROUND(G97*(1+IF(AND(G$6&gt;0,$B98&lt;G$6),G$4,G$5)/12),2))</f>
        <v/>
      </c>
      <c r="AM98">
        <f>IF(H97&lt;=0,0,ROUND(H97*(1+IF(AND(H$6&gt;0,$B98&lt;H$6),H$4,H$5)/12),2))</f>
        <v/>
      </c>
      <c r="AN98">
        <f>IF(I97&lt;=0,0,ROUND(I97*(1+IF(AND(I$6&gt;0,$B98&lt;I$6),I$4,I$5)/12),2))</f>
        <v/>
      </c>
      <c r="AO98">
        <f>IF(J97&lt;=0,0,ROUND(J97*(1+IF(AND(J$6&gt;0,$B98&lt;J$6),J$4,J$5)/12),2))</f>
        <v/>
      </c>
      <c r="AP98">
        <f>IF(K97&lt;=0,0,ROUND(K97*(1+IF(AND(K$6&gt;0,$B98&lt;K$6),K$4,K$5)/12),2))</f>
        <v/>
      </c>
      <c r="AQ98">
        <f>IF(L97&lt;=0,0,ROUND(L97*(1+IF(AND(L$6&gt;0,$B98&lt;L$6),L$4,L$5)/12),2))</f>
        <v/>
      </c>
      <c r="AR98">
        <f>IF(M97&lt;=0,0,ROUND(M97*(1+IF(AND(M$6&gt;0,$B98&lt;M$6),M$4,M$5)/12),2))</f>
        <v/>
      </c>
      <c r="AS98">
        <f>IF(N97&lt;=0,0,ROUND(N97*(1+IF(AND(N$6&gt;0,$B98&lt;N$6),N$4,N$5)/12),2))</f>
        <v/>
      </c>
    </row>
    <row r="99">
      <c r="A99" t="n">
        <v>88</v>
      </c>
      <c r="B99">
        <f>EDATE(Plan!$C$6,87)</f>
        <v/>
      </c>
      <c r="C99">
        <f>IF(C98&lt;=0,0,MAX(0,AH99-O99))</f>
        <v/>
      </c>
      <c r="D99">
        <f>IF(D98&lt;=0,0,MAX(0,AI99-P99))</f>
        <v/>
      </c>
      <c r="E99">
        <f>IF(E98&lt;=0,0,MAX(0,AJ99-Q99))</f>
        <v/>
      </c>
      <c r="F99">
        <f>IF(F98&lt;=0,0,MAX(0,AK99-R99))</f>
        <v/>
      </c>
      <c r="G99">
        <f>IF(G98&lt;=0,0,MAX(0,AL99-S99))</f>
        <v/>
      </c>
      <c r="H99">
        <f>IF(H98&lt;=0,0,MAX(0,AM99-T99))</f>
        <v/>
      </c>
      <c r="I99">
        <f>IF(I98&lt;=0,0,MAX(0,AN99-U99))</f>
        <v/>
      </c>
      <c r="J99">
        <f>IF(J98&lt;=0,0,MAX(0,AO99-V99))</f>
        <v/>
      </c>
      <c r="K99">
        <f>IF(K98&lt;=0,0,MAX(0,AP99-W99))</f>
        <v/>
      </c>
      <c r="L99">
        <f>IF(L98&lt;=0,0,MAX(0,AQ99-X99))</f>
        <v/>
      </c>
      <c r="M99">
        <f>IF(M98&lt;=0,0,MAX(0,AR99-Y99))</f>
        <v/>
      </c>
      <c r="N99">
        <f>IF(N98&lt;=0,0,MAX(0,AS99-Z99))</f>
        <v/>
      </c>
      <c r="O99">
        <f>IF(C98&lt;=0,0,MIN(AH99,C$7+IF(C$2=$AA99,$AC99,IF(C$2=$AF99,$AG99,0))))</f>
        <v/>
      </c>
      <c r="P99">
        <f>IF(D98&lt;=0,0,MIN(AI99,D$7+IF(D$2=$AA99,$AC99,IF(D$2=$AF99,$AG99,0))))</f>
        <v/>
      </c>
      <c r="Q99">
        <f>IF(E98&lt;=0,0,MIN(AJ99,E$7+IF(E$2=$AA99,$AC99,IF(E$2=$AF99,$AG99,0))))</f>
        <v/>
      </c>
      <c r="R99">
        <f>IF(F98&lt;=0,0,MIN(AK99,F$7+IF(F$2=$AA99,$AC99,IF(F$2=$AF99,$AG99,0))))</f>
        <v/>
      </c>
      <c r="S99">
        <f>IF(G98&lt;=0,0,MIN(AL99,G$7+IF(G$2=$AA99,$AC99,IF(G$2=$AF99,$AG99,0))))</f>
        <v/>
      </c>
      <c r="T99">
        <f>IF(H98&lt;=0,0,MIN(AM99,H$7+IF(H$2=$AA99,$AC99,IF(H$2=$AF99,$AG99,0))))</f>
        <v/>
      </c>
      <c r="U99">
        <f>IF(I98&lt;=0,0,MIN(AN99,I$7+IF(I$2=$AA99,$AC99,IF(I$2=$AF99,$AG99,0))))</f>
        <v/>
      </c>
      <c r="V99">
        <f>IF(J98&lt;=0,0,MIN(AO99,J$7+IF(J$2=$AA99,$AC99,IF(J$2=$AF99,$AG99,0))))</f>
        <v/>
      </c>
      <c r="W99">
        <f>IF(K98&lt;=0,0,MIN(AP99,K$7+IF(K$2=$AA99,$AC99,IF(K$2=$AF99,$AG99,0))))</f>
        <v/>
      </c>
      <c r="X99">
        <f>IF(L98&lt;=0,0,MIN(AQ99,L$7+IF(L$2=$AA99,$AC99,IF(L$2=$AF99,$AG99,0))))</f>
        <v/>
      </c>
      <c r="Y99">
        <f>IF(M98&lt;=0,0,MIN(AR99,M$7+IF(M$2=$AA99,$AC99,IF(M$2=$AF99,$AG99,0))))</f>
        <v/>
      </c>
      <c r="Z99">
        <f>IF(N98&lt;=0,0,MIN(AS99,N$7+IF(N$2=$AA99,$AC99,IF(N$2=$AF99,$AG99,0))))</f>
        <v/>
      </c>
      <c r="AA99">
        <f>IFERROR(ROUND(1/SUMPRODUCT(MAX((C98:N98&gt;0)*($C$3:$N$3&lt;=B99)/$C$2:$N$2)),0),0)</f>
        <v/>
      </c>
      <c r="AB99">
        <f>SUMPRODUCT((C98:N98&gt;0)*$C$7:$N$7)</f>
        <v/>
      </c>
      <c r="AC99">
        <f>MAX(0,Plan!$C$5-AB99)+IF(A99=Plan!$C$8,N(Plan!$C$7),0)</f>
        <v/>
      </c>
      <c r="AD99">
        <f>SUM(C99:N99)</f>
        <v/>
      </c>
      <c r="AE99">
        <f>SUM(O99:Z99)</f>
        <v/>
      </c>
      <c r="AF99">
        <f>IFERROR(ROUND(1/SUMPRODUCT(MAX((C98:N98&gt;0)*($C$3:$N$3&lt;=B99)*($C$2:$N$2&gt;AA99)/$C$2:$N$2)),0),0)</f>
        <v/>
      </c>
      <c r="AG99">
        <f>MAX(0,AC99-MAX(0,SUMPRODUCT(($C$2:$N$2=AA99)*(AH99:AS99-$C$7:$N$7))))</f>
        <v/>
      </c>
      <c r="AH99">
        <f>IF(C98&lt;=0,0,ROUND(C98*(1+IF(AND(C$6&gt;0,$B99&lt;C$6),C$4,C$5)/12),2))</f>
        <v/>
      </c>
      <c r="AI99">
        <f>IF(D98&lt;=0,0,ROUND(D98*(1+IF(AND(D$6&gt;0,$B99&lt;D$6),D$4,D$5)/12),2))</f>
        <v/>
      </c>
      <c r="AJ99">
        <f>IF(E98&lt;=0,0,ROUND(E98*(1+IF(AND(E$6&gt;0,$B99&lt;E$6),E$4,E$5)/12),2))</f>
        <v/>
      </c>
      <c r="AK99">
        <f>IF(F98&lt;=0,0,ROUND(F98*(1+IF(AND(F$6&gt;0,$B99&lt;F$6),F$4,F$5)/12),2))</f>
        <v/>
      </c>
      <c r="AL99">
        <f>IF(G98&lt;=0,0,ROUND(G98*(1+IF(AND(G$6&gt;0,$B99&lt;G$6),G$4,G$5)/12),2))</f>
        <v/>
      </c>
      <c r="AM99">
        <f>IF(H98&lt;=0,0,ROUND(H98*(1+IF(AND(H$6&gt;0,$B99&lt;H$6),H$4,H$5)/12),2))</f>
        <v/>
      </c>
      <c r="AN99">
        <f>IF(I98&lt;=0,0,ROUND(I98*(1+IF(AND(I$6&gt;0,$B99&lt;I$6),I$4,I$5)/12),2))</f>
        <v/>
      </c>
      <c r="AO99">
        <f>IF(J98&lt;=0,0,ROUND(J98*(1+IF(AND(J$6&gt;0,$B99&lt;J$6),J$4,J$5)/12),2))</f>
        <v/>
      </c>
      <c r="AP99">
        <f>IF(K98&lt;=0,0,ROUND(K98*(1+IF(AND(K$6&gt;0,$B99&lt;K$6),K$4,K$5)/12),2))</f>
        <v/>
      </c>
      <c r="AQ99">
        <f>IF(L98&lt;=0,0,ROUND(L98*(1+IF(AND(L$6&gt;0,$B99&lt;L$6),L$4,L$5)/12),2))</f>
        <v/>
      </c>
      <c r="AR99">
        <f>IF(M98&lt;=0,0,ROUND(M98*(1+IF(AND(M$6&gt;0,$B99&lt;M$6),M$4,M$5)/12),2))</f>
        <v/>
      </c>
      <c r="AS99">
        <f>IF(N98&lt;=0,0,ROUND(N98*(1+IF(AND(N$6&gt;0,$B99&lt;N$6),N$4,N$5)/12),2))</f>
        <v/>
      </c>
    </row>
    <row r="100">
      <c r="A100" t="n">
        <v>89</v>
      </c>
      <c r="B100">
        <f>EDATE(Plan!$C$6,88)</f>
        <v/>
      </c>
      <c r="C100">
        <f>IF(C99&lt;=0,0,MAX(0,AH100-O100))</f>
        <v/>
      </c>
      <c r="D100">
        <f>IF(D99&lt;=0,0,MAX(0,AI100-P100))</f>
        <v/>
      </c>
      <c r="E100">
        <f>IF(E99&lt;=0,0,MAX(0,AJ100-Q100))</f>
        <v/>
      </c>
      <c r="F100">
        <f>IF(F99&lt;=0,0,MAX(0,AK100-R100))</f>
        <v/>
      </c>
      <c r="G100">
        <f>IF(G99&lt;=0,0,MAX(0,AL100-S100))</f>
        <v/>
      </c>
      <c r="H100">
        <f>IF(H99&lt;=0,0,MAX(0,AM100-T100))</f>
        <v/>
      </c>
      <c r="I100">
        <f>IF(I99&lt;=0,0,MAX(0,AN100-U100))</f>
        <v/>
      </c>
      <c r="J100">
        <f>IF(J99&lt;=0,0,MAX(0,AO100-V100))</f>
        <v/>
      </c>
      <c r="K100">
        <f>IF(K99&lt;=0,0,MAX(0,AP100-W100))</f>
        <v/>
      </c>
      <c r="L100">
        <f>IF(L99&lt;=0,0,MAX(0,AQ100-X100))</f>
        <v/>
      </c>
      <c r="M100">
        <f>IF(M99&lt;=0,0,MAX(0,AR100-Y100))</f>
        <v/>
      </c>
      <c r="N100">
        <f>IF(N99&lt;=0,0,MAX(0,AS100-Z100))</f>
        <v/>
      </c>
      <c r="O100">
        <f>IF(C99&lt;=0,0,MIN(AH100,C$7+IF(C$2=$AA100,$AC100,IF(C$2=$AF100,$AG100,0))))</f>
        <v/>
      </c>
      <c r="P100">
        <f>IF(D99&lt;=0,0,MIN(AI100,D$7+IF(D$2=$AA100,$AC100,IF(D$2=$AF100,$AG100,0))))</f>
        <v/>
      </c>
      <c r="Q100">
        <f>IF(E99&lt;=0,0,MIN(AJ100,E$7+IF(E$2=$AA100,$AC100,IF(E$2=$AF100,$AG100,0))))</f>
        <v/>
      </c>
      <c r="R100">
        <f>IF(F99&lt;=0,0,MIN(AK100,F$7+IF(F$2=$AA100,$AC100,IF(F$2=$AF100,$AG100,0))))</f>
        <v/>
      </c>
      <c r="S100">
        <f>IF(G99&lt;=0,0,MIN(AL100,G$7+IF(G$2=$AA100,$AC100,IF(G$2=$AF100,$AG100,0))))</f>
        <v/>
      </c>
      <c r="T100">
        <f>IF(H99&lt;=0,0,MIN(AM100,H$7+IF(H$2=$AA100,$AC100,IF(H$2=$AF100,$AG100,0))))</f>
        <v/>
      </c>
      <c r="U100">
        <f>IF(I99&lt;=0,0,MIN(AN100,I$7+IF(I$2=$AA100,$AC100,IF(I$2=$AF100,$AG100,0))))</f>
        <v/>
      </c>
      <c r="V100">
        <f>IF(J99&lt;=0,0,MIN(AO100,J$7+IF(J$2=$AA100,$AC100,IF(J$2=$AF100,$AG100,0))))</f>
        <v/>
      </c>
      <c r="W100">
        <f>IF(K99&lt;=0,0,MIN(AP100,K$7+IF(K$2=$AA100,$AC100,IF(K$2=$AF100,$AG100,0))))</f>
        <v/>
      </c>
      <c r="X100">
        <f>IF(L99&lt;=0,0,MIN(AQ100,L$7+IF(L$2=$AA100,$AC100,IF(L$2=$AF100,$AG100,0))))</f>
        <v/>
      </c>
      <c r="Y100">
        <f>IF(M99&lt;=0,0,MIN(AR100,M$7+IF(M$2=$AA100,$AC100,IF(M$2=$AF100,$AG100,0))))</f>
        <v/>
      </c>
      <c r="Z100">
        <f>IF(N99&lt;=0,0,MIN(AS100,N$7+IF(N$2=$AA100,$AC100,IF(N$2=$AF100,$AG100,0))))</f>
        <v/>
      </c>
      <c r="AA100">
        <f>IFERROR(ROUND(1/SUMPRODUCT(MAX((C99:N99&gt;0)*($C$3:$N$3&lt;=B100)/$C$2:$N$2)),0),0)</f>
        <v/>
      </c>
      <c r="AB100">
        <f>SUMPRODUCT((C99:N99&gt;0)*$C$7:$N$7)</f>
        <v/>
      </c>
      <c r="AC100">
        <f>MAX(0,Plan!$C$5-AB100)+IF(A100=Plan!$C$8,N(Plan!$C$7),0)</f>
        <v/>
      </c>
      <c r="AD100">
        <f>SUM(C100:N100)</f>
        <v/>
      </c>
      <c r="AE100">
        <f>SUM(O100:Z100)</f>
        <v/>
      </c>
      <c r="AF100">
        <f>IFERROR(ROUND(1/SUMPRODUCT(MAX((C99:N99&gt;0)*($C$3:$N$3&lt;=B100)*($C$2:$N$2&gt;AA100)/$C$2:$N$2)),0),0)</f>
        <v/>
      </c>
      <c r="AG100">
        <f>MAX(0,AC100-MAX(0,SUMPRODUCT(($C$2:$N$2=AA100)*(AH100:AS100-$C$7:$N$7))))</f>
        <v/>
      </c>
      <c r="AH100">
        <f>IF(C99&lt;=0,0,ROUND(C99*(1+IF(AND(C$6&gt;0,$B100&lt;C$6),C$4,C$5)/12),2))</f>
        <v/>
      </c>
      <c r="AI100">
        <f>IF(D99&lt;=0,0,ROUND(D99*(1+IF(AND(D$6&gt;0,$B100&lt;D$6),D$4,D$5)/12),2))</f>
        <v/>
      </c>
      <c r="AJ100">
        <f>IF(E99&lt;=0,0,ROUND(E99*(1+IF(AND(E$6&gt;0,$B100&lt;E$6),E$4,E$5)/12),2))</f>
        <v/>
      </c>
      <c r="AK100">
        <f>IF(F99&lt;=0,0,ROUND(F99*(1+IF(AND(F$6&gt;0,$B100&lt;F$6),F$4,F$5)/12),2))</f>
        <v/>
      </c>
      <c r="AL100">
        <f>IF(G99&lt;=0,0,ROUND(G99*(1+IF(AND(G$6&gt;0,$B100&lt;G$6),G$4,G$5)/12),2))</f>
        <v/>
      </c>
      <c r="AM100">
        <f>IF(H99&lt;=0,0,ROUND(H99*(1+IF(AND(H$6&gt;0,$B100&lt;H$6),H$4,H$5)/12),2))</f>
        <v/>
      </c>
      <c r="AN100">
        <f>IF(I99&lt;=0,0,ROUND(I99*(1+IF(AND(I$6&gt;0,$B100&lt;I$6),I$4,I$5)/12),2))</f>
        <v/>
      </c>
      <c r="AO100">
        <f>IF(J99&lt;=0,0,ROUND(J99*(1+IF(AND(J$6&gt;0,$B100&lt;J$6),J$4,J$5)/12),2))</f>
        <v/>
      </c>
      <c r="AP100">
        <f>IF(K99&lt;=0,0,ROUND(K99*(1+IF(AND(K$6&gt;0,$B100&lt;K$6),K$4,K$5)/12),2))</f>
        <v/>
      </c>
      <c r="AQ100">
        <f>IF(L99&lt;=0,0,ROUND(L99*(1+IF(AND(L$6&gt;0,$B100&lt;L$6),L$4,L$5)/12),2))</f>
        <v/>
      </c>
      <c r="AR100">
        <f>IF(M99&lt;=0,0,ROUND(M99*(1+IF(AND(M$6&gt;0,$B100&lt;M$6),M$4,M$5)/12),2))</f>
        <v/>
      </c>
      <c r="AS100">
        <f>IF(N99&lt;=0,0,ROUND(N99*(1+IF(AND(N$6&gt;0,$B100&lt;N$6),N$4,N$5)/12),2))</f>
        <v/>
      </c>
    </row>
    <row r="101">
      <c r="A101" t="n">
        <v>90</v>
      </c>
      <c r="B101">
        <f>EDATE(Plan!$C$6,89)</f>
        <v/>
      </c>
      <c r="C101">
        <f>IF(C100&lt;=0,0,MAX(0,AH101-O101))</f>
        <v/>
      </c>
      <c r="D101">
        <f>IF(D100&lt;=0,0,MAX(0,AI101-P101))</f>
        <v/>
      </c>
      <c r="E101">
        <f>IF(E100&lt;=0,0,MAX(0,AJ101-Q101))</f>
        <v/>
      </c>
      <c r="F101">
        <f>IF(F100&lt;=0,0,MAX(0,AK101-R101))</f>
        <v/>
      </c>
      <c r="G101">
        <f>IF(G100&lt;=0,0,MAX(0,AL101-S101))</f>
        <v/>
      </c>
      <c r="H101">
        <f>IF(H100&lt;=0,0,MAX(0,AM101-T101))</f>
        <v/>
      </c>
      <c r="I101">
        <f>IF(I100&lt;=0,0,MAX(0,AN101-U101))</f>
        <v/>
      </c>
      <c r="J101">
        <f>IF(J100&lt;=0,0,MAX(0,AO101-V101))</f>
        <v/>
      </c>
      <c r="K101">
        <f>IF(K100&lt;=0,0,MAX(0,AP101-W101))</f>
        <v/>
      </c>
      <c r="L101">
        <f>IF(L100&lt;=0,0,MAX(0,AQ101-X101))</f>
        <v/>
      </c>
      <c r="M101">
        <f>IF(M100&lt;=0,0,MAX(0,AR101-Y101))</f>
        <v/>
      </c>
      <c r="N101">
        <f>IF(N100&lt;=0,0,MAX(0,AS101-Z101))</f>
        <v/>
      </c>
      <c r="O101">
        <f>IF(C100&lt;=0,0,MIN(AH101,C$7+IF(C$2=$AA101,$AC101,IF(C$2=$AF101,$AG101,0))))</f>
        <v/>
      </c>
      <c r="P101">
        <f>IF(D100&lt;=0,0,MIN(AI101,D$7+IF(D$2=$AA101,$AC101,IF(D$2=$AF101,$AG101,0))))</f>
        <v/>
      </c>
      <c r="Q101">
        <f>IF(E100&lt;=0,0,MIN(AJ101,E$7+IF(E$2=$AA101,$AC101,IF(E$2=$AF101,$AG101,0))))</f>
        <v/>
      </c>
      <c r="R101">
        <f>IF(F100&lt;=0,0,MIN(AK101,F$7+IF(F$2=$AA101,$AC101,IF(F$2=$AF101,$AG101,0))))</f>
        <v/>
      </c>
      <c r="S101">
        <f>IF(G100&lt;=0,0,MIN(AL101,G$7+IF(G$2=$AA101,$AC101,IF(G$2=$AF101,$AG101,0))))</f>
        <v/>
      </c>
      <c r="T101">
        <f>IF(H100&lt;=0,0,MIN(AM101,H$7+IF(H$2=$AA101,$AC101,IF(H$2=$AF101,$AG101,0))))</f>
        <v/>
      </c>
      <c r="U101">
        <f>IF(I100&lt;=0,0,MIN(AN101,I$7+IF(I$2=$AA101,$AC101,IF(I$2=$AF101,$AG101,0))))</f>
        <v/>
      </c>
      <c r="V101">
        <f>IF(J100&lt;=0,0,MIN(AO101,J$7+IF(J$2=$AA101,$AC101,IF(J$2=$AF101,$AG101,0))))</f>
        <v/>
      </c>
      <c r="W101">
        <f>IF(K100&lt;=0,0,MIN(AP101,K$7+IF(K$2=$AA101,$AC101,IF(K$2=$AF101,$AG101,0))))</f>
        <v/>
      </c>
      <c r="X101">
        <f>IF(L100&lt;=0,0,MIN(AQ101,L$7+IF(L$2=$AA101,$AC101,IF(L$2=$AF101,$AG101,0))))</f>
        <v/>
      </c>
      <c r="Y101">
        <f>IF(M100&lt;=0,0,MIN(AR101,M$7+IF(M$2=$AA101,$AC101,IF(M$2=$AF101,$AG101,0))))</f>
        <v/>
      </c>
      <c r="Z101">
        <f>IF(N100&lt;=0,0,MIN(AS101,N$7+IF(N$2=$AA101,$AC101,IF(N$2=$AF101,$AG101,0))))</f>
        <v/>
      </c>
      <c r="AA101">
        <f>IFERROR(ROUND(1/SUMPRODUCT(MAX((C100:N100&gt;0)*($C$3:$N$3&lt;=B101)/$C$2:$N$2)),0),0)</f>
        <v/>
      </c>
      <c r="AB101">
        <f>SUMPRODUCT((C100:N100&gt;0)*$C$7:$N$7)</f>
        <v/>
      </c>
      <c r="AC101">
        <f>MAX(0,Plan!$C$5-AB101)+IF(A101=Plan!$C$8,N(Plan!$C$7),0)</f>
        <v/>
      </c>
      <c r="AD101">
        <f>SUM(C101:N101)</f>
        <v/>
      </c>
      <c r="AE101">
        <f>SUM(O101:Z101)</f>
        <v/>
      </c>
      <c r="AF101">
        <f>IFERROR(ROUND(1/SUMPRODUCT(MAX((C100:N100&gt;0)*($C$3:$N$3&lt;=B101)*($C$2:$N$2&gt;AA101)/$C$2:$N$2)),0),0)</f>
        <v/>
      </c>
      <c r="AG101">
        <f>MAX(0,AC101-MAX(0,SUMPRODUCT(($C$2:$N$2=AA101)*(AH101:AS101-$C$7:$N$7))))</f>
        <v/>
      </c>
      <c r="AH101">
        <f>IF(C100&lt;=0,0,ROUND(C100*(1+IF(AND(C$6&gt;0,$B101&lt;C$6),C$4,C$5)/12),2))</f>
        <v/>
      </c>
      <c r="AI101">
        <f>IF(D100&lt;=0,0,ROUND(D100*(1+IF(AND(D$6&gt;0,$B101&lt;D$6),D$4,D$5)/12),2))</f>
        <v/>
      </c>
      <c r="AJ101">
        <f>IF(E100&lt;=0,0,ROUND(E100*(1+IF(AND(E$6&gt;0,$B101&lt;E$6),E$4,E$5)/12),2))</f>
        <v/>
      </c>
      <c r="AK101">
        <f>IF(F100&lt;=0,0,ROUND(F100*(1+IF(AND(F$6&gt;0,$B101&lt;F$6),F$4,F$5)/12),2))</f>
        <v/>
      </c>
      <c r="AL101">
        <f>IF(G100&lt;=0,0,ROUND(G100*(1+IF(AND(G$6&gt;0,$B101&lt;G$6),G$4,G$5)/12),2))</f>
        <v/>
      </c>
      <c r="AM101">
        <f>IF(H100&lt;=0,0,ROUND(H100*(1+IF(AND(H$6&gt;0,$B101&lt;H$6),H$4,H$5)/12),2))</f>
        <v/>
      </c>
      <c r="AN101">
        <f>IF(I100&lt;=0,0,ROUND(I100*(1+IF(AND(I$6&gt;0,$B101&lt;I$6),I$4,I$5)/12),2))</f>
        <v/>
      </c>
      <c r="AO101">
        <f>IF(J100&lt;=0,0,ROUND(J100*(1+IF(AND(J$6&gt;0,$B101&lt;J$6),J$4,J$5)/12),2))</f>
        <v/>
      </c>
      <c r="AP101">
        <f>IF(K100&lt;=0,0,ROUND(K100*(1+IF(AND(K$6&gt;0,$B101&lt;K$6),K$4,K$5)/12),2))</f>
        <v/>
      </c>
      <c r="AQ101">
        <f>IF(L100&lt;=0,0,ROUND(L100*(1+IF(AND(L$6&gt;0,$B101&lt;L$6),L$4,L$5)/12),2))</f>
        <v/>
      </c>
      <c r="AR101">
        <f>IF(M100&lt;=0,0,ROUND(M100*(1+IF(AND(M$6&gt;0,$B101&lt;M$6),M$4,M$5)/12),2))</f>
        <v/>
      </c>
      <c r="AS101">
        <f>IF(N100&lt;=0,0,ROUND(N100*(1+IF(AND(N$6&gt;0,$B101&lt;N$6),N$4,N$5)/12),2))</f>
        <v/>
      </c>
    </row>
    <row r="102">
      <c r="A102" t="n">
        <v>91</v>
      </c>
      <c r="B102">
        <f>EDATE(Plan!$C$6,90)</f>
        <v/>
      </c>
      <c r="C102">
        <f>IF(C101&lt;=0,0,MAX(0,AH102-O102))</f>
        <v/>
      </c>
      <c r="D102">
        <f>IF(D101&lt;=0,0,MAX(0,AI102-P102))</f>
        <v/>
      </c>
      <c r="E102">
        <f>IF(E101&lt;=0,0,MAX(0,AJ102-Q102))</f>
        <v/>
      </c>
      <c r="F102">
        <f>IF(F101&lt;=0,0,MAX(0,AK102-R102))</f>
        <v/>
      </c>
      <c r="G102">
        <f>IF(G101&lt;=0,0,MAX(0,AL102-S102))</f>
        <v/>
      </c>
      <c r="H102">
        <f>IF(H101&lt;=0,0,MAX(0,AM102-T102))</f>
        <v/>
      </c>
      <c r="I102">
        <f>IF(I101&lt;=0,0,MAX(0,AN102-U102))</f>
        <v/>
      </c>
      <c r="J102">
        <f>IF(J101&lt;=0,0,MAX(0,AO102-V102))</f>
        <v/>
      </c>
      <c r="K102">
        <f>IF(K101&lt;=0,0,MAX(0,AP102-W102))</f>
        <v/>
      </c>
      <c r="L102">
        <f>IF(L101&lt;=0,0,MAX(0,AQ102-X102))</f>
        <v/>
      </c>
      <c r="M102">
        <f>IF(M101&lt;=0,0,MAX(0,AR102-Y102))</f>
        <v/>
      </c>
      <c r="N102">
        <f>IF(N101&lt;=0,0,MAX(0,AS102-Z102))</f>
        <v/>
      </c>
      <c r="O102">
        <f>IF(C101&lt;=0,0,MIN(AH102,C$7+IF(C$2=$AA102,$AC102,IF(C$2=$AF102,$AG102,0))))</f>
        <v/>
      </c>
      <c r="P102">
        <f>IF(D101&lt;=0,0,MIN(AI102,D$7+IF(D$2=$AA102,$AC102,IF(D$2=$AF102,$AG102,0))))</f>
        <v/>
      </c>
      <c r="Q102">
        <f>IF(E101&lt;=0,0,MIN(AJ102,E$7+IF(E$2=$AA102,$AC102,IF(E$2=$AF102,$AG102,0))))</f>
        <v/>
      </c>
      <c r="R102">
        <f>IF(F101&lt;=0,0,MIN(AK102,F$7+IF(F$2=$AA102,$AC102,IF(F$2=$AF102,$AG102,0))))</f>
        <v/>
      </c>
      <c r="S102">
        <f>IF(G101&lt;=0,0,MIN(AL102,G$7+IF(G$2=$AA102,$AC102,IF(G$2=$AF102,$AG102,0))))</f>
        <v/>
      </c>
      <c r="T102">
        <f>IF(H101&lt;=0,0,MIN(AM102,H$7+IF(H$2=$AA102,$AC102,IF(H$2=$AF102,$AG102,0))))</f>
        <v/>
      </c>
      <c r="U102">
        <f>IF(I101&lt;=0,0,MIN(AN102,I$7+IF(I$2=$AA102,$AC102,IF(I$2=$AF102,$AG102,0))))</f>
        <v/>
      </c>
      <c r="V102">
        <f>IF(J101&lt;=0,0,MIN(AO102,J$7+IF(J$2=$AA102,$AC102,IF(J$2=$AF102,$AG102,0))))</f>
        <v/>
      </c>
      <c r="W102">
        <f>IF(K101&lt;=0,0,MIN(AP102,K$7+IF(K$2=$AA102,$AC102,IF(K$2=$AF102,$AG102,0))))</f>
        <v/>
      </c>
      <c r="X102">
        <f>IF(L101&lt;=0,0,MIN(AQ102,L$7+IF(L$2=$AA102,$AC102,IF(L$2=$AF102,$AG102,0))))</f>
        <v/>
      </c>
      <c r="Y102">
        <f>IF(M101&lt;=0,0,MIN(AR102,M$7+IF(M$2=$AA102,$AC102,IF(M$2=$AF102,$AG102,0))))</f>
        <v/>
      </c>
      <c r="Z102">
        <f>IF(N101&lt;=0,0,MIN(AS102,N$7+IF(N$2=$AA102,$AC102,IF(N$2=$AF102,$AG102,0))))</f>
        <v/>
      </c>
      <c r="AA102">
        <f>IFERROR(ROUND(1/SUMPRODUCT(MAX((C101:N101&gt;0)*($C$3:$N$3&lt;=B102)/$C$2:$N$2)),0),0)</f>
        <v/>
      </c>
      <c r="AB102">
        <f>SUMPRODUCT((C101:N101&gt;0)*$C$7:$N$7)</f>
        <v/>
      </c>
      <c r="AC102">
        <f>MAX(0,Plan!$C$5-AB102)+IF(A102=Plan!$C$8,N(Plan!$C$7),0)</f>
        <v/>
      </c>
      <c r="AD102">
        <f>SUM(C102:N102)</f>
        <v/>
      </c>
      <c r="AE102">
        <f>SUM(O102:Z102)</f>
        <v/>
      </c>
      <c r="AF102">
        <f>IFERROR(ROUND(1/SUMPRODUCT(MAX((C101:N101&gt;0)*($C$3:$N$3&lt;=B102)*($C$2:$N$2&gt;AA102)/$C$2:$N$2)),0),0)</f>
        <v/>
      </c>
      <c r="AG102">
        <f>MAX(0,AC102-MAX(0,SUMPRODUCT(($C$2:$N$2=AA102)*(AH102:AS102-$C$7:$N$7))))</f>
        <v/>
      </c>
      <c r="AH102">
        <f>IF(C101&lt;=0,0,ROUND(C101*(1+IF(AND(C$6&gt;0,$B102&lt;C$6),C$4,C$5)/12),2))</f>
        <v/>
      </c>
      <c r="AI102">
        <f>IF(D101&lt;=0,0,ROUND(D101*(1+IF(AND(D$6&gt;0,$B102&lt;D$6),D$4,D$5)/12),2))</f>
        <v/>
      </c>
      <c r="AJ102">
        <f>IF(E101&lt;=0,0,ROUND(E101*(1+IF(AND(E$6&gt;0,$B102&lt;E$6),E$4,E$5)/12),2))</f>
        <v/>
      </c>
      <c r="AK102">
        <f>IF(F101&lt;=0,0,ROUND(F101*(1+IF(AND(F$6&gt;0,$B102&lt;F$6),F$4,F$5)/12),2))</f>
        <v/>
      </c>
      <c r="AL102">
        <f>IF(G101&lt;=0,0,ROUND(G101*(1+IF(AND(G$6&gt;0,$B102&lt;G$6),G$4,G$5)/12),2))</f>
        <v/>
      </c>
      <c r="AM102">
        <f>IF(H101&lt;=0,0,ROUND(H101*(1+IF(AND(H$6&gt;0,$B102&lt;H$6),H$4,H$5)/12),2))</f>
        <v/>
      </c>
      <c r="AN102">
        <f>IF(I101&lt;=0,0,ROUND(I101*(1+IF(AND(I$6&gt;0,$B102&lt;I$6),I$4,I$5)/12),2))</f>
        <v/>
      </c>
      <c r="AO102">
        <f>IF(J101&lt;=0,0,ROUND(J101*(1+IF(AND(J$6&gt;0,$B102&lt;J$6),J$4,J$5)/12),2))</f>
        <v/>
      </c>
      <c r="AP102">
        <f>IF(K101&lt;=0,0,ROUND(K101*(1+IF(AND(K$6&gt;0,$B102&lt;K$6),K$4,K$5)/12),2))</f>
        <v/>
      </c>
      <c r="AQ102">
        <f>IF(L101&lt;=0,0,ROUND(L101*(1+IF(AND(L$6&gt;0,$B102&lt;L$6),L$4,L$5)/12),2))</f>
        <v/>
      </c>
      <c r="AR102">
        <f>IF(M101&lt;=0,0,ROUND(M101*(1+IF(AND(M$6&gt;0,$B102&lt;M$6),M$4,M$5)/12),2))</f>
        <v/>
      </c>
      <c r="AS102">
        <f>IF(N101&lt;=0,0,ROUND(N101*(1+IF(AND(N$6&gt;0,$B102&lt;N$6),N$4,N$5)/12),2))</f>
        <v/>
      </c>
    </row>
    <row r="103">
      <c r="A103" t="n">
        <v>92</v>
      </c>
      <c r="B103">
        <f>EDATE(Plan!$C$6,91)</f>
        <v/>
      </c>
      <c r="C103">
        <f>IF(C102&lt;=0,0,MAX(0,AH103-O103))</f>
        <v/>
      </c>
      <c r="D103">
        <f>IF(D102&lt;=0,0,MAX(0,AI103-P103))</f>
        <v/>
      </c>
      <c r="E103">
        <f>IF(E102&lt;=0,0,MAX(0,AJ103-Q103))</f>
        <v/>
      </c>
      <c r="F103">
        <f>IF(F102&lt;=0,0,MAX(0,AK103-R103))</f>
        <v/>
      </c>
      <c r="G103">
        <f>IF(G102&lt;=0,0,MAX(0,AL103-S103))</f>
        <v/>
      </c>
      <c r="H103">
        <f>IF(H102&lt;=0,0,MAX(0,AM103-T103))</f>
        <v/>
      </c>
      <c r="I103">
        <f>IF(I102&lt;=0,0,MAX(0,AN103-U103))</f>
        <v/>
      </c>
      <c r="J103">
        <f>IF(J102&lt;=0,0,MAX(0,AO103-V103))</f>
        <v/>
      </c>
      <c r="K103">
        <f>IF(K102&lt;=0,0,MAX(0,AP103-W103))</f>
        <v/>
      </c>
      <c r="L103">
        <f>IF(L102&lt;=0,0,MAX(0,AQ103-X103))</f>
        <v/>
      </c>
      <c r="M103">
        <f>IF(M102&lt;=0,0,MAX(0,AR103-Y103))</f>
        <v/>
      </c>
      <c r="N103">
        <f>IF(N102&lt;=0,0,MAX(0,AS103-Z103))</f>
        <v/>
      </c>
      <c r="O103">
        <f>IF(C102&lt;=0,0,MIN(AH103,C$7+IF(C$2=$AA103,$AC103,IF(C$2=$AF103,$AG103,0))))</f>
        <v/>
      </c>
      <c r="P103">
        <f>IF(D102&lt;=0,0,MIN(AI103,D$7+IF(D$2=$AA103,$AC103,IF(D$2=$AF103,$AG103,0))))</f>
        <v/>
      </c>
      <c r="Q103">
        <f>IF(E102&lt;=0,0,MIN(AJ103,E$7+IF(E$2=$AA103,$AC103,IF(E$2=$AF103,$AG103,0))))</f>
        <v/>
      </c>
      <c r="R103">
        <f>IF(F102&lt;=0,0,MIN(AK103,F$7+IF(F$2=$AA103,$AC103,IF(F$2=$AF103,$AG103,0))))</f>
        <v/>
      </c>
      <c r="S103">
        <f>IF(G102&lt;=0,0,MIN(AL103,G$7+IF(G$2=$AA103,$AC103,IF(G$2=$AF103,$AG103,0))))</f>
        <v/>
      </c>
      <c r="T103">
        <f>IF(H102&lt;=0,0,MIN(AM103,H$7+IF(H$2=$AA103,$AC103,IF(H$2=$AF103,$AG103,0))))</f>
        <v/>
      </c>
      <c r="U103">
        <f>IF(I102&lt;=0,0,MIN(AN103,I$7+IF(I$2=$AA103,$AC103,IF(I$2=$AF103,$AG103,0))))</f>
        <v/>
      </c>
      <c r="V103">
        <f>IF(J102&lt;=0,0,MIN(AO103,J$7+IF(J$2=$AA103,$AC103,IF(J$2=$AF103,$AG103,0))))</f>
        <v/>
      </c>
      <c r="W103">
        <f>IF(K102&lt;=0,0,MIN(AP103,K$7+IF(K$2=$AA103,$AC103,IF(K$2=$AF103,$AG103,0))))</f>
        <v/>
      </c>
      <c r="X103">
        <f>IF(L102&lt;=0,0,MIN(AQ103,L$7+IF(L$2=$AA103,$AC103,IF(L$2=$AF103,$AG103,0))))</f>
        <v/>
      </c>
      <c r="Y103">
        <f>IF(M102&lt;=0,0,MIN(AR103,M$7+IF(M$2=$AA103,$AC103,IF(M$2=$AF103,$AG103,0))))</f>
        <v/>
      </c>
      <c r="Z103">
        <f>IF(N102&lt;=0,0,MIN(AS103,N$7+IF(N$2=$AA103,$AC103,IF(N$2=$AF103,$AG103,0))))</f>
        <v/>
      </c>
      <c r="AA103">
        <f>IFERROR(ROUND(1/SUMPRODUCT(MAX((C102:N102&gt;0)*($C$3:$N$3&lt;=B103)/$C$2:$N$2)),0),0)</f>
        <v/>
      </c>
      <c r="AB103">
        <f>SUMPRODUCT((C102:N102&gt;0)*$C$7:$N$7)</f>
        <v/>
      </c>
      <c r="AC103">
        <f>MAX(0,Plan!$C$5-AB103)+IF(A103=Plan!$C$8,N(Plan!$C$7),0)</f>
        <v/>
      </c>
      <c r="AD103">
        <f>SUM(C103:N103)</f>
        <v/>
      </c>
      <c r="AE103">
        <f>SUM(O103:Z103)</f>
        <v/>
      </c>
      <c r="AF103">
        <f>IFERROR(ROUND(1/SUMPRODUCT(MAX((C102:N102&gt;0)*($C$3:$N$3&lt;=B103)*($C$2:$N$2&gt;AA103)/$C$2:$N$2)),0),0)</f>
        <v/>
      </c>
      <c r="AG103">
        <f>MAX(0,AC103-MAX(0,SUMPRODUCT(($C$2:$N$2=AA103)*(AH103:AS103-$C$7:$N$7))))</f>
        <v/>
      </c>
      <c r="AH103">
        <f>IF(C102&lt;=0,0,ROUND(C102*(1+IF(AND(C$6&gt;0,$B103&lt;C$6),C$4,C$5)/12),2))</f>
        <v/>
      </c>
      <c r="AI103">
        <f>IF(D102&lt;=0,0,ROUND(D102*(1+IF(AND(D$6&gt;0,$B103&lt;D$6),D$4,D$5)/12),2))</f>
        <v/>
      </c>
      <c r="AJ103">
        <f>IF(E102&lt;=0,0,ROUND(E102*(1+IF(AND(E$6&gt;0,$B103&lt;E$6),E$4,E$5)/12),2))</f>
        <v/>
      </c>
      <c r="AK103">
        <f>IF(F102&lt;=0,0,ROUND(F102*(1+IF(AND(F$6&gt;0,$B103&lt;F$6),F$4,F$5)/12),2))</f>
        <v/>
      </c>
      <c r="AL103">
        <f>IF(G102&lt;=0,0,ROUND(G102*(1+IF(AND(G$6&gt;0,$B103&lt;G$6),G$4,G$5)/12),2))</f>
        <v/>
      </c>
      <c r="AM103">
        <f>IF(H102&lt;=0,0,ROUND(H102*(1+IF(AND(H$6&gt;0,$B103&lt;H$6),H$4,H$5)/12),2))</f>
        <v/>
      </c>
      <c r="AN103">
        <f>IF(I102&lt;=0,0,ROUND(I102*(1+IF(AND(I$6&gt;0,$B103&lt;I$6),I$4,I$5)/12),2))</f>
        <v/>
      </c>
      <c r="AO103">
        <f>IF(J102&lt;=0,0,ROUND(J102*(1+IF(AND(J$6&gt;0,$B103&lt;J$6),J$4,J$5)/12),2))</f>
        <v/>
      </c>
      <c r="AP103">
        <f>IF(K102&lt;=0,0,ROUND(K102*(1+IF(AND(K$6&gt;0,$B103&lt;K$6),K$4,K$5)/12),2))</f>
        <v/>
      </c>
      <c r="AQ103">
        <f>IF(L102&lt;=0,0,ROUND(L102*(1+IF(AND(L$6&gt;0,$B103&lt;L$6),L$4,L$5)/12),2))</f>
        <v/>
      </c>
      <c r="AR103">
        <f>IF(M102&lt;=0,0,ROUND(M102*(1+IF(AND(M$6&gt;0,$B103&lt;M$6),M$4,M$5)/12),2))</f>
        <v/>
      </c>
      <c r="AS103">
        <f>IF(N102&lt;=0,0,ROUND(N102*(1+IF(AND(N$6&gt;0,$B103&lt;N$6),N$4,N$5)/12),2))</f>
        <v/>
      </c>
    </row>
    <row r="104">
      <c r="A104" t="n">
        <v>93</v>
      </c>
      <c r="B104">
        <f>EDATE(Plan!$C$6,92)</f>
        <v/>
      </c>
      <c r="C104">
        <f>IF(C103&lt;=0,0,MAX(0,AH104-O104))</f>
        <v/>
      </c>
      <c r="D104">
        <f>IF(D103&lt;=0,0,MAX(0,AI104-P104))</f>
        <v/>
      </c>
      <c r="E104">
        <f>IF(E103&lt;=0,0,MAX(0,AJ104-Q104))</f>
        <v/>
      </c>
      <c r="F104">
        <f>IF(F103&lt;=0,0,MAX(0,AK104-R104))</f>
        <v/>
      </c>
      <c r="G104">
        <f>IF(G103&lt;=0,0,MAX(0,AL104-S104))</f>
        <v/>
      </c>
      <c r="H104">
        <f>IF(H103&lt;=0,0,MAX(0,AM104-T104))</f>
        <v/>
      </c>
      <c r="I104">
        <f>IF(I103&lt;=0,0,MAX(0,AN104-U104))</f>
        <v/>
      </c>
      <c r="J104">
        <f>IF(J103&lt;=0,0,MAX(0,AO104-V104))</f>
        <v/>
      </c>
      <c r="K104">
        <f>IF(K103&lt;=0,0,MAX(0,AP104-W104))</f>
        <v/>
      </c>
      <c r="L104">
        <f>IF(L103&lt;=0,0,MAX(0,AQ104-X104))</f>
        <v/>
      </c>
      <c r="M104">
        <f>IF(M103&lt;=0,0,MAX(0,AR104-Y104))</f>
        <v/>
      </c>
      <c r="N104">
        <f>IF(N103&lt;=0,0,MAX(0,AS104-Z104))</f>
        <v/>
      </c>
      <c r="O104">
        <f>IF(C103&lt;=0,0,MIN(AH104,C$7+IF(C$2=$AA104,$AC104,IF(C$2=$AF104,$AG104,0))))</f>
        <v/>
      </c>
      <c r="P104">
        <f>IF(D103&lt;=0,0,MIN(AI104,D$7+IF(D$2=$AA104,$AC104,IF(D$2=$AF104,$AG104,0))))</f>
        <v/>
      </c>
      <c r="Q104">
        <f>IF(E103&lt;=0,0,MIN(AJ104,E$7+IF(E$2=$AA104,$AC104,IF(E$2=$AF104,$AG104,0))))</f>
        <v/>
      </c>
      <c r="R104">
        <f>IF(F103&lt;=0,0,MIN(AK104,F$7+IF(F$2=$AA104,$AC104,IF(F$2=$AF104,$AG104,0))))</f>
        <v/>
      </c>
      <c r="S104">
        <f>IF(G103&lt;=0,0,MIN(AL104,G$7+IF(G$2=$AA104,$AC104,IF(G$2=$AF104,$AG104,0))))</f>
        <v/>
      </c>
      <c r="T104">
        <f>IF(H103&lt;=0,0,MIN(AM104,H$7+IF(H$2=$AA104,$AC104,IF(H$2=$AF104,$AG104,0))))</f>
        <v/>
      </c>
      <c r="U104">
        <f>IF(I103&lt;=0,0,MIN(AN104,I$7+IF(I$2=$AA104,$AC104,IF(I$2=$AF104,$AG104,0))))</f>
        <v/>
      </c>
      <c r="V104">
        <f>IF(J103&lt;=0,0,MIN(AO104,J$7+IF(J$2=$AA104,$AC104,IF(J$2=$AF104,$AG104,0))))</f>
        <v/>
      </c>
      <c r="W104">
        <f>IF(K103&lt;=0,0,MIN(AP104,K$7+IF(K$2=$AA104,$AC104,IF(K$2=$AF104,$AG104,0))))</f>
        <v/>
      </c>
      <c r="X104">
        <f>IF(L103&lt;=0,0,MIN(AQ104,L$7+IF(L$2=$AA104,$AC104,IF(L$2=$AF104,$AG104,0))))</f>
        <v/>
      </c>
      <c r="Y104">
        <f>IF(M103&lt;=0,0,MIN(AR104,M$7+IF(M$2=$AA104,$AC104,IF(M$2=$AF104,$AG104,0))))</f>
        <v/>
      </c>
      <c r="Z104">
        <f>IF(N103&lt;=0,0,MIN(AS104,N$7+IF(N$2=$AA104,$AC104,IF(N$2=$AF104,$AG104,0))))</f>
        <v/>
      </c>
      <c r="AA104">
        <f>IFERROR(ROUND(1/SUMPRODUCT(MAX((C103:N103&gt;0)*($C$3:$N$3&lt;=B104)/$C$2:$N$2)),0),0)</f>
        <v/>
      </c>
      <c r="AB104">
        <f>SUMPRODUCT((C103:N103&gt;0)*$C$7:$N$7)</f>
        <v/>
      </c>
      <c r="AC104">
        <f>MAX(0,Plan!$C$5-AB104)+IF(A104=Plan!$C$8,N(Plan!$C$7),0)</f>
        <v/>
      </c>
      <c r="AD104">
        <f>SUM(C104:N104)</f>
        <v/>
      </c>
      <c r="AE104">
        <f>SUM(O104:Z104)</f>
        <v/>
      </c>
      <c r="AF104">
        <f>IFERROR(ROUND(1/SUMPRODUCT(MAX((C103:N103&gt;0)*($C$3:$N$3&lt;=B104)*($C$2:$N$2&gt;AA104)/$C$2:$N$2)),0),0)</f>
        <v/>
      </c>
      <c r="AG104">
        <f>MAX(0,AC104-MAX(0,SUMPRODUCT(($C$2:$N$2=AA104)*(AH104:AS104-$C$7:$N$7))))</f>
        <v/>
      </c>
      <c r="AH104">
        <f>IF(C103&lt;=0,0,ROUND(C103*(1+IF(AND(C$6&gt;0,$B104&lt;C$6),C$4,C$5)/12),2))</f>
        <v/>
      </c>
      <c r="AI104">
        <f>IF(D103&lt;=0,0,ROUND(D103*(1+IF(AND(D$6&gt;0,$B104&lt;D$6),D$4,D$5)/12),2))</f>
        <v/>
      </c>
      <c r="AJ104">
        <f>IF(E103&lt;=0,0,ROUND(E103*(1+IF(AND(E$6&gt;0,$B104&lt;E$6),E$4,E$5)/12),2))</f>
        <v/>
      </c>
      <c r="AK104">
        <f>IF(F103&lt;=0,0,ROUND(F103*(1+IF(AND(F$6&gt;0,$B104&lt;F$6),F$4,F$5)/12),2))</f>
        <v/>
      </c>
      <c r="AL104">
        <f>IF(G103&lt;=0,0,ROUND(G103*(1+IF(AND(G$6&gt;0,$B104&lt;G$6),G$4,G$5)/12),2))</f>
        <v/>
      </c>
      <c r="AM104">
        <f>IF(H103&lt;=0,0,ROUND(H103*(1+IF(AND(H$6&gt;0,$B104&lt;H$6),H$4,H$5)/12),2))</f>
        <v/>
      </c>
      <c r="AN104">
        <f>IF(I103&lt;=0,0,ROUND(I103*(1+IF(AND(I$6&gt;0,$B104&lt;I$6),I$4,I$5)/12),2))</f>
        <v/>
      </c>
      <c r="AO104">
        <f>IF(J103&lt;=0,0,ROUND(J103*(1+IF(AND(J$6&gt;0,$B104&lt;J$6),J$4,J$5)/12),2))</f>
        <v/>
      </c>
      <c r="AP104">
        <f>IF(K103&lt;=0,0,ROUND(K103*(1+IF(AND(K$6&gt;0,$B104&lt;K$6),K$4,K$5)/12),2))</f>
        <v/>
      </c>
      <c r="AQ104">
        <f>IF(L103&lt;=0,0,ROUND(L103*(1+IF(AND(L$6&gt;0,$B104&lt;L$6),L$4,L$5)/12),2))</f>
        <v/>
      </c>
      <c r="AR104">
        <f>IF(M103&lt;=0,0,ROUND(M103*(1+IF(AND(M$6&gt;0,$B104&lt;M$6),M$4,M$5)/12),2))</f>
        <v/>
      </c>
      <c r="AS104">
        <f>IF(N103&lt;=0,0,ROUND(N103*(1+IF(AND(N$6&gt;0,$B104&lt;N$6),N$4,N$5)/12),2))</f>
        <v/>
      </c>
    </row>
    <row r="105">
      <c r="A105" t="n">
        <v>94</v>
      </c>
      <c r="B105">
        <f>EDATE(Plan!$C$6,93)</f>
        <v/>
      </c>
      <c r="C105">
        <f>IF(C104&lt;=0,0,MAX(0,AH105-O105))</f>
        <v/>
      </c>
      <c r="D105">
        <f>IF(D104&lt;=0,0,MAX(0,AI105-P105))</f>
        <v/>
      </c>
      <c r="E105">
        <f>IF(E104&lt;=0,0,MAX(0,AJ105-Q105))</f>
        <v/>
      </c>
      <c r="F105">
        <f>IF(F104&lt;=0,0,MAX(0,AK105-R105))</f>
        <v/>
      </c>
      <c r="G105">
        <f>IF(G104&lt;=0,0,MAX(0,AL105-S105))</f>
        <v/>
      </c>
      <c r="H105">
        <f>IF(H104&lt;=0,0,MAX(0,AM105-T105))</f>
        <v/>
      </c>
      <c r="I105">
        <f>IF(I104&lt;=0,0,MAX(0,AN105-U105))</f>
        <v/>
      </c>
      <c r="J105">
        <f>IF(J104&lt;=0,0,MAX(0,AO105-V105))</f>
        <v/>
      </c>
      <c r="K105">
        <f>IF(K104&lt;=0,0,MAX(0,AP105-W105))</f>
        <v/>
      </c>
      <c r="L105">
        <f>IF(L104&lt;=0,0,MAX(0,AQ105-X105))</f>
        <v/>
      </c>
      <c r="M105">
        <f>IF(M104&lt;=0,0,MAX(0,AR105-Y105))</f>
        <v/>
      </c>
      <c r="N105">
        <f>IF(N104&lt;=0,0,MAX(0,AS105-Z105))</f>
        <v/>
      </c>
      <c r="O105">
        <f>IF(C104&lt;=0,0,MIN(AH105,C$7+IF(C$2=$AA105,$AC105,IF(C$2=$AF105,$AG105,0))))</f>
        <v/>
      </c>
      <c r="P105">
        <f>IF(D104&lt;=0,0,MIN(AI105,D$7+IF(D$2=$AA105,$AC105,IF(D$2=$AF105,$AG105,0))))</f>
        <v/>
      </c>
      <c r="Q105">
        <f>IF(E104&lt;=0,0,MIN(AJ105,E$7+IF(E$2=$AA105,$AC105,IF(E$2=$AF105,$AG105,0))))</f>
        <v/>
      </c>
      <c r="R105">
        <f>IF(F104&lt;=0,0,MIN(AK105,F$7+IF(F$2=$AA105,$AC105,IF(F$2=$AF105,$AG105,0))))</f>
        <v/>
      </c>
      <c r="S105">
        <f>IF(G104&lt;=0,0,MIN(AL105,G$7+IF(G$2=$AA105,$AC105,IF(G$2=$AF105,$AG105,0))))</f>
        <v/>
      </c>
      <c r="T105">
        <f>IF(H104&lt;=0,0,MIN(AM105,H$7+IF(H$2=$AA105,$AC105,IF(H$2=$AF105,$AG105,0))))</f>
        <v/>
      </c>
      <c r="U105">
        <f>IF(I104&lt;=0,0,MIN(AN105,I$7+IF(I$2=$AA105,$AC105,IF(I$2=$AF105,$AG105,0))))</f>
        <v/>
      </c>
      <c r="V105">
        <f>IF(J104&lt;=0,0,MIN(AO105,J$7+IF(J$2=$AA105,$AC105,IF(J$2=$AF105,$AG105,0))))</f>
        <v/>
      </c>
      <c r="W105">
        <f>IF(K104&lt;=0,0,MIN(AP105,K$7+IF(K$2=$AA105,$AC105,IF(K$2=$AF105,$AG105,0))))</f>
        <v/>
      </c>
      <c r="X105">
        <f>IF(L104&lt;=0,0,MIN(AQ105,L$7+IF(L$2=$AA105,$AC105,IF(L$2=$AF105,$AG105,0))))</f>
        <v/>
      </c>
      <c r="Y105">
        <f>IF(M104&lt;=0,0,MIN(AR105,M$7+IF(M$2=$AA105,$AC105,IF(M$2=$AF105,$AG105,0))))</f>
        <v/>
      </c>
      <c r="Z105">
        <f>IF(N104&lt;=0,0,MIN(AS105,N$7+IF(N$2=$AA105,$AC105,IF(N$2=$AF105,$AG105,0))))</f>
        <v/>
      </c>
      <c r="AA105">
        <f>IFERROR(ROUND(1/SUMPRODUCT(MAX((C104:N104&gt;0)*($C$3:$N$3&lt;=B105)/$C$2:$N$2)),0),0)</f>
        <v/>
      </c>
      <c r="AB105">
        <f>SUMPRODUCT((C104:N104&gt;0)*$C$7:$N$7)</f>
        <v/>
      </c>
      <c r="AC105">
        <f>MAX(0,Plan!$C$5-AB105)+IF(A105=Plan!$C$8,N(Plan!$C$7),0)</f>
        <v/>
      </c>
      <c r="AD105">
        <f>SUM(C105:N105)</f>
        <v/>
      </c>
      <c r="AE105">
        <f>SUM(O105:Z105)</f>
        <v/>
      </c>
      <c r="AF105">
        <f>IFERROR(ROUND(1/SUMPRODUCT(MAX((C104:N104&gt;0)*($C$3:$N$3&lt;=B105)*($C$2:$N$2&gt;AA105)/$C$2:$N$2)),0),0)</f>
        <v/>
      </c>
      <c r="AG105">
        <f>MAX(0,AC105-MAX(0,SUMPRODUCT(($C$2:$N$2=AA105)*(AH105:AS105-$C$7:$N$7))))</f>
        <v/>
      </c>
      <c r="AH105">
        <f>IF(C104&lt;=0,0,ROUND(C104*(1+IF(AND(C$6&gt;0,$B105&lt;C$6),C$4,C$5)/12),2))</f>
        <v/>
      </c>
      <c r="AI105">
        <f>IF(D104&lt;=0,0,ROUND(D104*(1+IF(AND(D$6&gt;0,$B105&lt;D$6),D$4,D$5)/12),2))</f>
        <v/>
      </c>
      <c r="AJ105">
        <f>IF(E104&lt;=0,0,ROUND(E104*(1+IF(AND(E$6&gt;0,$B105&lt;E$6),E$4,E$5)/12),2))</f>
        <v/>
      </c>
      <c r="AK105">
        <f>IF(F104&lt;=0,0,ROUND(F104*(1+IF(AND(F$6&gt;0,$B105&lt;F$6),F$4,F$5)/12),2))</f>
        <v/>
      </c>
      <c r="AL105">
        <f>IF(G104&lt;=0,0,ROUND(G104*(1+IF(AND(G$6&gt;0,$B105&lt;G$6),G$4,G$5)/12),2))</f>
        <v/>
      </c>
      <c r="AM105">
        <f>IF(H104&lt;=0,0,ROUND(H104*(1+IF(AND(H$6&gt;0,$B105&lt;H$6),H$4,H$5)/12),2))</f>
        <v/>
      </c>
      <c r="AN105">
        <f>IF(I104&lt;=0,0,ROUND(I104*(1+IF(AND(I$6&gt;0,$B105&lt;I$6),I$4,I$5)/12),2))</f>
        <v/>
      </c>
      <c r="AO105">
        <f>IF(J104&lt;=0,0,ROUND(J104*(1+IF(AND(J$6&gt;0,$B105&lt;J$6),J$4,J$5)/12),2))</f>
        <v/>
      </c>
      <c r="AP105">
        <f>IF(K104&lt;=0,0,ROUND(K104*(1+IF(AND(K$6&gt;0,$B105&lt;K$6),K$4,K$5)/12),2))</f>
        <v/>
      </c>
      <c r="AQ105">
        <f>IF(L104&lt;=0,0,ROUND(L104*(1+IF(AND(L$6&gt;0,$B105&lt;L$6),L$4,L$5)/12),2))</f>
        <v/>
      </c>
      <c r="AR105">
        <f>IF(M104&lt;=0,0,ROUND(M104*(1+IF(AND(M$6&gt;0,$B105&lt;M$6),M$4,M$5)/12),2))</f>
        <v/>
      </c>
      <c r="AS105">
        <f>IF(N104&lt;=0,0,ROUND(N104*(1+IF(AND(N$6&gt;0,$B105&lt;N$6),N$4,N$5)/12),2))</f>
        <v/>
      </c>
    </row>
    <row r="106">
      <c r="A106" t="n">
        <v>95</v>
      </c>
      <c r="B106">
        <f>EDATE(Plan!$C$6,94)</f>
        <v/>
      </c>
      <c r="C106">
        <f>IF(C105&lt;=0,0,MAX(0,AH106-O106))</f>
        <v/>
      </c>
      <c r="D106">
        <f>IF(D105&lt;=0,0,MAX(0,AI106-P106))</f>
        <v/>
      </c>
      <c r="E106">
        <f>IF(E105&lt;=0,0,MAX(0,AJ106-Q106))</f>
        <v/>
      </c>
      <c r="F106">
        <f>IF(F105&lt;=0,0,MAX(0,AK106-R106))</f>
        <v/>
      </c>
      <c r="G106">
        <f>IF(G105&lt;=0,0,MAX(0,AL106-S106))</f>
        <v/>
      </c>
      <c r="H106">
        <f>IF(H105&lt;=0,0,MAX(0,AM106-T106))</f>
        <v/>
      </c>
      <c r="I106">
        <f>IF(I105&lt;=0,0,MAX(0,AN106-U106))</f>
        <v/>
      </c>
      <c r="J106">
        <f>IF(J105&lt;=0,0,MAX(0,AO106-V106))</f>
        <v/>
      </c>
      <c r="K106">
        <f>IF(K105&lt;=0,0,MAX(0,AP106-W106))</f>
        <v/>
      </c>
      <c r="L106">
        <f>IF(L105&lt;=0,0,MAX(0,AQ106-X106))</f>
        <v/>
      </c>
      <c r="M106">
        <f>IF(M105&lt;=0,0,MAX(0,AR106-Y106))</f>
        <v/>
      </c>
      <c r="N106">
        <f>IF(N105&lt;=0,0,MAX(0,AS106-Z106))</f>
        <v/>
      </c>
      <c r="O106">
        <f>IF(C105&lt;=0,0,MIN(AH106,C$7+IF(C$2=$AA106,$AC106,IF(C$2=$AF106,$AG106,0))))</f>
        <v/>
      </c>
      <c r="P106">
        <f>IF(D105&lt;=0,0,MIN(AI106,D$7+IF(D$2=$AA106,$AC106,IF(D$2=$AF106,$AG106,0))))</f>
        <v/>
      </c>
      <c r="Q106">
        <f>IF(E105&lt;=0,0,MIN(AJ106,E$7+IF(E$2=$AA106,$AC106,IF(E$2=$AF106,$AG106,0))))</f>
        <v/>
      </c>
      <c r="R106">
        <f>IF(F105&lt;=0,0,MIN(AK106,F$7+IF(F$2=$AA106,$AC106,IF(F$2=$AF106,$AG106,0))))</f>
        <v/>
      </c>
      <c r="S106">
        <f>IF(G105&lt;=0,0,MIN(AL106,G$7+IF(G$2=$AA106,$AC106,IF(G$2=$AF106,$AG106,0))))</f>
        <v/>
      </c>
      <c r="T106">
        <f>IF(H105&lt;=0,0,MIN(AM106,H$7+IF(H$2=$AA106,$AC106,IF(H$2=$AF106,$AG106,0))))</f>
        <v/>
      </c>
      <c r="U106">
        <f>IF(I105&lt;=0,0,MIN(AN106,I$7+IF(I$2=$AA106,$AC106,IF(I$2=$AF106,$AG106,0))))</f>
        <v/>
      </c>
      <c r="V106">
        <f>IF(J105&lt;=0,0,MIN(AO106,J$7+IF(J$2=$AA106,$AC106,IF(J$2=$AF106,$AG106,0))))</f>
        <v/>
      </c>
      <c r="W106">
        <f>IF(K105&lt;=0,0,MIN(AP106,K$7+IF(K$2=$AA106,$AC106,IF(K$2=$AF106,$AG106,0))))</f>
        <v/>
      </c>
      <c r="X106">
        <f>IF(L105&lt;=0,0,MIN(AQ106,L$7+IF(L$2=$AA106,$AC106,IF(L$2=$AF106,$AG106,0))))</f>
        <v/>
      </c>
      <c r="Y106">
        <f>IF(M105&lt;=0,0,MIN(AR106,M$7+IF(M$2=$AA106,$AC106,IF(M$2=$AF106,$AG106,0))))</f>
        <v/>
      </c>
      <c r="Z106">
        <f>IF(N105&lt;=0,0,MIN(AS106,N$7+IF(N$2=$AA106,$AC106,IF(N$2=$AF106,$AG106,0))))</f>
        <v/>
      </c>
      <c r="AA106">
        <f>IFERROR(ROUND(1/SUMPRODUCT(MAX((C105:N105&gt;0)*($C$3:$N$3&lt;=B106)/$C$2:$N$2)),0),0)</f>
        <v/>
      </c>
      <c r="AB106">
        <f>SUMPRODUCT((C105:N105&gt;0)*$C$7:$N$7)</f>
        <v/>
      </c>
      <c r="AC106">
        <f>MAX(0,Plan!$C$5-AB106)+IF(A106=Plan!$C$8,N(Plan!$C$7),0)</f>
        <v/>
      </c>
      <c r="AD106">
        <f>SUM(C106:N106)</f>
        <v/>
      </c>
      <c r="AE106">
        <f>SUM(O106:Z106)</f>
        <v/>
      </c>
      <c r="AF106">
        <f>IFERROR(ROUND(1/SUMPRODUCT(MAX((C105:N105&gt;0)*($C$3:$N$3&lt;=B106)*($C$2:$N$2&gt;AA106)/$C$2:$N$2)),0),0)</f>
        <v/>
      </c>
      <c r="AG106">
        <f>MAX(0,AC106-MAX(0,SUMPRODUCT(($C$2:$N$2=AA106)*(AH106:AS106-$C$7:$N$7))))</f>
        <v/>
      </c>
      <c r="AH106">
        <f>IF(C105&lt;=0,0,ROUND(C105*(1+IF(AND(C$6&gt;0,$B106&lt;C$6),C$4,C$5)/12),2))</f>
        <v/>
      </c>
      <c r="AI106">
        <f>IF(D105&lt;=0,0,ROUND(D105*(1+IF(AND(D$6&gt;0,$B106&lt;D$6),D$4,D$5)/12),2))</f>
        <v/>
      </c>
      <c r="AJ106">
        <f>IF(E105&lt;=0,0,ROUND(E105*(1+IF(AND(E$6&gt;0,$B106&lt;E$6),E$4,E$5)/12),2))</f>
        <v/>
      </c>
      <c r="AK106">
        <f>IF(F105&lt;=0,0,ROUND(F105*(1+IF(AND(F$6&gt;0,$B106&lt;F$6),F$4,F$5)/12),2))</f>
        <v/>
      </c>
      <c r="AL106">
        <f>IF(G105&lt;=0,0,ROUND(G105*(1+IF(AND(G$6&gt;0,$B106&lt;G$6),G$4,G$5)/12),2))</f>
        <v/>
      </c>
      <c r="AM106">
        <f>IF(H105&lt;=0,0,ROUND(H105*(1+IF(AND(H$6&gt;0,$B106&lt;H$6),H$4,H$5)/12),2))</f>
        <v/>
      </c>
      <c r="AN106">
        <f>IF(I105&lt;=0,0,ROUND(I105*(1+IF(AND(I$6&gt;0,$B106&lt;I$6),I$4,I$5)/12),2))</f>
        <v/>
      </c>
      <c r="AO106">
        <f>IF(J105&lt;=0,0,ROUND(J105*(1+IF(AND(J$6&gt;0,$B106&lt;J$6),J$4,J$5)/12),2))</f>
        <v/>
      </c>
      <c r="AP106">
        <f>IF(K105&lt;=0,0,ROUND(K105*(1+IF(AND(K$6&gt;0,$B106&lt;K$6),K$4,K$5)/12),2))</f>
        <v/>
      </c>
      <c r="AQ106">
        <f>IF(L105&lt;=0,0,ROUND(L105*(1+IF(AND(L$6&gt;0,$B106&lt;L$6),L$4,L$5)/12),2))</f>
        <v/>
      </c>
      <c r="AR106">
        <f>IF(M105&lt;=0,0,ROUND(M105*(1+IF(AND(M$6&gt;0,$B106&lt;M$6),M$4,M$5)/12),2))</f>
        <v/>
      </c>
      <c r="AS106">
        <f>IF(N105&lt;=0,0,ROUND(N105*(1+IF(AND(N$6&gt;0,$B106&lt;N$6),N$4,N$5)/12),2))</f>
        <v/>
      </c>
    </row>
    <row r="107">
      <c r="A107" t="n">
        <v>96</v>
      </c>
      <c r="B107">
        <f>EDATE(Plan!$C$6,95)</f>
        <v/>
      </c>
      <c r="C107">
        <f>IF(C106&lt;=0,0,MAX(0,AH107-O107))</f>
        <v/>
      </c>
      <c r="D107">
        <f>IF(D106&lt;=0,0,MAX(0,AI107-P107))</f>
        <v/>
      </c>
      <c r="E107">
        <f>IF(E106&lt;=0,0,MAX(0,AJ107-Q107))</f>
        <v/>
      </c>
      <c r="F107">
        <f>IF(F106&lt;=0,0,MAX(0,AK107-R107))</f>
        <v/>
      </c>
      <c r="G107">
        <f>IF(G106&lt;=0,0,MAX(0,AL107-S107))</f>
        <v/>
      </c>
      <c r="H107">
        <f>IF(H106&lt;=0,0,MAX(0,AM107-T107))</f>
        <v/>
      </c>
      <c r="I107">
        <f>IF(I106&lt;=0,0,MAX(0,AN107-U107))</f>
        <v/>
      </c>
      <c r="J107">
        <f>IF(J106&lt;=0,0,MAX(0,AO107-V107))</f>
        <v/>
      </c>
      <c r="K107">
        <f>IF(K106&lt;=0,0,MAX(0,AP107-W107))</f>
        <v/>
      </c>
      <c r="L107">
        <f>IF(L106&lt;=0,0,MAX(0,AQ107-X107))</f>
        <v/>
      </c>
      <c r="M107">
        <f>IF(M106&lt;=0,0,MAX(0,AR107-Y107))</f>
        <v/>
      </c>
      <c r="N107">
        <f>IF(N106&lt;=0,0,MAX(0,AS107-Z107))</f>
        <v/>
      </c>
      <c r="O107">
        <f>IF(C106&lt;=0,0,MIN(AH107,C$7+IF(C$2=$AA107,$AC107,IF(C$2=$AF107,$AG107,0))))</f>
        <v/>
      </c>
      <c r="P107">
        <f>IF(D106&lt;=0,0,MIN(AI107,D$7+IF(D$2=$AA107,$AC107,IF(D$2=$AF107,$AG107,0))))</f>
        <v/>
      </c>
      <c r="Q107">
        <f>IF(E106&lt;=0,0,MIN(AJ107,E$7+IF(E$2=$AA107,$AC107,IF(E$2=$AF107,$AG107,0))))</f>
        <v/>
      </c>
      <c r="R107">
        <f>IF(F106&lt;=0,0,MIN(AK107,F$7+IF(F$2=$AA107,$AC107,IF(F$2=$AF107,$AG107,0))))</f>
        <v/>
      </c>
      <c r="S107">
        <f>IF(G106&lt;=0,0,MIN(AL107,G$7+IF(G$2=$AA107,$AC107,IF(G$2=$AF107,$AG107,0))))</f>
        <v/>
      </c>
      <c r="T107">
        <f>IF(H106&lt;=0,0,MIN(AM107,H$7+IF(H$2=$AA107,$AC107,IF(H$2=$AF107,$AG107,0))))</f>
        <v/>
      </c>
      <c r="U107">
        <f>IF(I106&lt;=0,0,MIN(AN107,I$7+IF(I$2=$AA107,$AC107,IF(I$2=$AF107,$AG107,0))))</f>
        <v/>
      </c>
      <c r="V107">
        <f>IF(J106&lt;=0,0,MIN(AO107,J$7+IF(J$2=$AA107,$AC107,IF(J$2=$AF107,$AG107,0))))</f>
        <v/>
      </c>
      <c r="W107">
        <f>IF(K106&lt;=0,0,MIN(AP107,K$7+IF(K$2=$AA107,$AC107,IF(K$2=$AF107,$AG107,0))))</f>
        <v/>
      </c>
      <c r="X107">
        <f>IF(L106&lt;=0,0,MIN(AQ107,L$7+IF(L$2=$AA107,$AC107,IF(L$2=$AF107,$AG107,0))))</f>
        <v/>
      </c>
      <c r="Y107">
        <f>IF(M106&lt;=0,0,MIN(AR107,M$7+IF(M$2=$AA107,$AC107,IF(M$2=$AF107,$AG107,0))))</f>
        <v/>
      </c>
      <c r="Z107">
        <f>IF(N106&lt;=0,0,MIN(AS107,N$7+IF(N$2=$AA107,$AC107,IF(N$2=$AF107,$AG107,0))))</f>
        <v/>
      </c>
      <c r="AA107">
        <f>IFERROR(ROUND(1/SUMPRODUCT(MAX((C106:N106&gt;0)*($C$3:$N$3&lt;=B107)/$C$2:$N$2)),0),0)</f>
        <v/>
      </c>
      <c r="AB107">
        <f>SUMPRODUCT((C106:N106&gt;0)*$C$7:$N$7)</f>
        <v/>
      </c>
      <c r="AC107">
        <f>MAX(0,Plan!$C$5-AB107)+IF(A107=Plan!$C$8,N(Plan!$C$7),0)</f>
        <v/>
      </c>
      <c r="AD107">
        <f>SUM(C107:N107)</f>
        <v/>
      </c>
      <c r="AE107">
        <f>SUM(O107:Z107)</f>
        <v/>
      </c>
      <c r="AF107">
        <f>IFERROR(ROUND(1/SUMPRODUCT(MAX((C106:N106&gt;0)*($C$3:$N$3&lt;=B107)*($C$2:$N$2&gt;AA107)/$C$2:$N$2)),0),0)</f>
        <v/>
      </c>
      <c r="AG107">
        <f>MAX(0,AC107-MAX(0,SUMPRODUCT(($C$2:$N$2=AA107)*(AH107:AS107-$C$7:$N$7))))</f>
        <v/>
      </c>
      <c r="AH107">
        <f>IF(C106&lt;=0,0,ROUND(C106*(1+IF(AND(C$6&gt;0,$B107&lt;C$6),C$4,C$5)/12),2))</f>
        <v/>
      </c>
      <c r="AI107">
        <f>IF(D106&lt;=0,0,ROUND(D106*(1+IF(AND(D$6&gt;0,$B107&lt;D$6),D$4,D$5)/12),2))</f>
        <v/>
      </c>
      <c r="AJ107">
        <f>IF(E106&lt;=0,0,ROUND(E106*(1+IF(AND(E$6&gt;0,$B107&lt;E$6),E$4,E$5)/12),2))</f>
        <v/>
      </c>
      <c r="AK107">
        <f>IF(F106&lt;=0,0,ROUND(F106*(1+IF(AND(F$6&gt;0,$B107&lt;F$6),F$4,F$5)/12),2))</f>
        <v/>
      </c>
      <c r="AL107">
        <f>IF(G106&lt;=0,0,ROUND(G106*(1+IF(AND(G$6&gt;0,$B107&lt;G$6),G$4,G$5)/12),2))</f>
        <v/>
      </c>
      <c r="AM107">
        <f>IF(H106&lt;=0,0,ROUND(H106*(1+IF(AND(H$6&gt;0,$B107&lt;H$6),H$4,H$5)/12),2))</f>
        <v/>
      </c>
      <c r="AN107">
        <f>IF(I106&lt;=0,0,ROUND(I106*(1+IF(AND(I$6&gt;0,$B107&lt;I$6),I$4,I$5)/12),2))</f>
        <v/>
      </c>
      <c r="AO107">
        <f>IF(J106&lt;=0,0,ROUND(J106*(1+IF(AND(J$6&gt;0,$B107&lt;J$6),J$4,J$5)/12),2))</f>
        <v/>
      </c>
      <c r="AP107">
        <f>IF(K106&lt;=0,0,ROUND(K106*(1+IF(AND(K$6&gt;0,$B107&lt;K$6),K$4,K$5)/12),2))</f>
        <v/>
      </c>
      <c r="AQ107">
        <f>IF(L106&lt;=0,0,ROUND(L106*(1+IF(AND(L$6&gt;0,$B107&lt;L$6),L$4,L$5)/12),2))</f>
        <v/>
      </c>
      <c r="AR107">
        <f>IF(M106&lt;=0,0,ROUND(M106*(1+IF(AND(M$6&gt;0,$B107&lt;M$6),M$4,M$5)/12),2))</f>
        <v/>
      </c>
      <c r="AS107">
        <f>IF(N106&lt;=0,0,ROUND(N106*(1+IF(AND(N$6&gt;0,$B107&lt;N$6),N$4,N$5)/12),2))</f>
        <v/>
      </c>
    </row>
    <row r="108">
      <c r="A108" t="n">
        <v>97</v>
      </c>
      <c r="B108">
        <f>EDATE(Plan!$C$6,96)</f>
        <v/>
      </c>
      <c r="C108">
        <f>IF(C107&lt;=0,0,MAX(0,AH108-O108))</f>
        <v/>
      </c>
      <c r="D108">
        <f>IF(D107&lt;=0,0,MAX(0,AI108-P108))</f>
        <v/>
      </c>
      <c r="E108">
        <f>IF(E107&lt;=0,0,MAX(0,AJ108-Q108))</f>
        <v/>
      </c>
      <c r="F108">
        <f>IF(F107&lt;=0,0,MAX(0,AK108-R108))</f>
        <v/>
      </c>
      <c r="G108">
        <f>IF(G107&lt;=0,0,MAX(0,AL108-S108))</f>
        <v/>
      </c>
      <c r="H108">
        <f>IF(H107&lt;=0,0,MAX(0,AM108-T108))</f>
        <v/>
      </c>
      <c r="I108">
        <f>IF(I107&lt;=0,0,MAX(0,AN108-U108))</f>
        <v/>
      </c>
      <c r="J108">
        <f>IF(J107&lt;=0,0,MAX(0,AO108-V108))</f>
        <v/>
      </c>
      <c r="K108">
        <f>IF(K107&lt;=0,0,MAX(0,AP108-W108))</f>
        <v/>
      </c>
      <c r="L108">
        <f>IF(L107&lt;=0,0,MAX(0,AQ108-X108))</f>
        <v/>
      </c>
      <c r="M108">
        <f>IF(M107&lt;=0,0,MAX(0,AR108-Y108))</f>
        <v/>
      </c>
      <c r="N108">
        <f>IF(N107&lt;=0,0,MAX(0,AS108-Z108))</f>
        <v/>
      </c>
      <c r="O108">
        <f>IF(C107&lt;=0,0,MIN(AH108,C$7+IF(C$2=$AA108,$AC108,IF(C$2=$AF108,$AG108,0))))</f>
        <v/>
      </c>
      <c r="P108">
        <f>IF(D107&lt;=0,0,MIN(AI108,D$7+IF(D$2=$AA108,$AC108,IF(D$2=$AF108,$AG108,0))))</f>
        <v/>
      </c>
      <c r="Q108">
        <f>IF(E107&lt;=0,0,MIN(AJ108,E$7+IF(E$2=$AA108,$AC108,IF(E$2=$AF108,$AG108,0))))</f>
        <v/>
      </c>
      <c r="R108">
        <f>IF(F107&lt;=0,0,MIN(AK108,F$7+IF(F$2=$AA108,$AC108,IF(F$2=$AF108,$AG108,0))))</f>
        <v/>
      </c>
      <c r="S108">
        <f>IF(G107&lt;=0,0,MIN(AL108,G$7+IF(G$2=$AA108,$AC108,IF(G$2=$AF108,$AG108,0))))</f>
        <v/>
      </c>
      <c r="T108">
        <f>IF(H107&lt;=0,0,MIN(AM108,H$7+IF(H$2=$AA108,$AC108,IF(H$2=$AF108,$AG108,0))))</f>
        <v/>
      </c>
      <c r="U108">
        <f>IF(I107&lt;=0,0,MIN(AN108,I$7+IF(I$2=$AA108,$AC108,IF(I$2=$AF108,$AG108,0))))</f>
        <v/>
      </c>
      <c r="V108">
        <f>IF(J107&lt;=0,0,MIN(AO108,J$7+IF(J$2=$AA108,$AC108,IF(J$2=$AF108,$AG108,0))))</f>
        <v/>
      </c>
      <c r="W108">
        <f>IF(K107&lt;=0,0,MIN(AP108,K$7+IF(K$2=$AA108,$AC108,IF(K$2=$AF108,$AG108,0))))</f>
        <v/>
      </c>
      <c r="X108">
        <f>IF(L107&lt;=0,0,MIN(AQ108,L$7+IF(L$2=$AA108,$AC108,IF(L$2=$AF108,$AG108,0))))</f>
        <v/>
      </c>
      <c r="Y108">
        <f>IF(M107&lt;=0,0,MIN(AR108,M$7+IF(M$2=$AA108,$AC108,IF(M$2=$AF108,$AG108,0))))</f>
        <v/>
      </c>
      <c r="Z108">
        <f>IF(N107&lt;=0,0,MIN(AS108,N$7+IF(N$2=$AA108,$AC108,IF(N$2=$AF108,$AG108,0))))</f>
        <v/>
      </c>
      <c r="AA108">
        <f>IFERROR(ROUND(1/SUMPRODUCT(MAX((C107:N107&gt;0)*($C$3:$N$3&lt;=B108)/$C$2:$N$2)),0),0)</f>
        <v/>
      </c>
      <c r="AB108">
        <f>SUMPRODUCT((C107:N107&gt;0)*$C$7:$N$7)</f>
        <v/>
      </c>
      <c r="AC108">
        <f>MAX(0,Plan!$C$5-AB108)+IF(A108=Plan!$C$8,N(Plan!$C$7),0)</f>
        <v/>
      </c>
      <c r="AD108">
        <f>SUM(C108:N108)</f>
        <v/>
      </c>
      <c r="AE108">
        <f>SUM(O108:Z108)</f>
        <v/>
      </c>
      <c r="AF108">
        <f>IFERROR(ROUND(1/SUMPRODUCT(MAX((C107:N107&gt;0)*($C$3:$N$3&lt;=B108)*($C$2:$N$2&gt;AA108)/$C$2:$N$2)),0),0)</f>
        <v/>
      </c>
      <c r="AG108">
        <f>MAX(0,AC108-MAX(0,SUMPRODUCT(($C$2:$N$2=AA108)*(AH108:AS108-$C$7:$N$7))))</f>
        <v/>
      </c>
      <c r="AH108">
        <f>IF(C107&lt;=0,0,ROUND(C107*(1+IF(AND(C$6&gt;0,$B108&lt;C$6),C$4,C$5)/12),2))</f>
        <v/>
      </c>
      <c r="AI108">
        <f>IF(D107&lt;=0,0,ROUND(D107*(1+IF(AND(D$6&gt;0,$B108&lt;D$6),D$4,D$5)/12),2))</f>
        <v/>
      </c>
      <c r="AJ108">
        <f>IF(E107&lt;=0,0,ROUND(E107*(1+IF(AND(E$6&gt;0,$B108&lt;E$6),E$4,E$5)/12),2))</f>
        <v/>
      </c>
      <c r="AK108">
        <f>IF(F107&lt;=0,0,ROUND(F107*(1+IF(AND(F$6&gt;0,$B108&lt;F$6),F$4,F$5)/12),2))</f>
        <v/>
      </c>
      <c r="AL108">
        <f>IF(G107&lt;=0,0,ROUND(G107*(1+IF(AND(G$6&gt;0,$B108&lt;G$6),G$4,G$5)/12),2))</f>
        <v/>
      </c>
      <c r="AM108">
        <f>IF(H107&lt;=0,0,ROUND(H107*(1+IF(AND(H$6&gt;0,$B108&lt;H$6),H$4,H$5)/12),2))</f>
        <v/>
      </c>
      <c r="AN108">
        <f>IF(I107&lt;=0,0,ROUND(I107*(1+IF(AND(I$6&gt;0,$B108&lt;I$6),I$4,I$5)/12),2))</f>
        <v/>
      </c>
      <c r="AO108">
        <f>IF(J107&lt;=0,0,ROUND(J107*(1+IF(AND(J$6&gt;0,$B108&lt;J$6),J$4,J$5)/12),2))</f>
        <v/>
      </c>
      <c r="AP108">
        <f>IF(K107&lt;=0,0,ROUND(K107*(1+IF(AND(K$6&gt;0,$B108&lt;K$6),K$4,K$5)/12),2))</f>
        <v/>
      </c>
      <c r="AQ108">
        <f>IF(L107&lt;=0,0,ROUND(L107*(1+IF(AND(L$6&gt;0,$B108&lt;L$6),L$4,L$5)/12),2))</f>
        <v/>
      </c>
      <c r="AR108">
        <f>IF(M107&lt;=0,0,ROUND(M107*(1+IF(AND(M$6&gt;0,$B108&lt;M$6),M$4,M$5)/12),2))</f>
        <v/>
      </c>
      <c r="AS108">
        <f>IF(N107&lt;=0,0,ROUND(N107*(1+IF(AND(N$6&gt;0,$B108&lt;N$6),N$4,N$5)/12),2))</f>
        <v/>
      </c>
    </row>
    <row r="109">
      <c r="A109" t="n">
        <v>98</v>
      </c>
      <c r="B109">
        <f>EDATE(Plan!$C$6,97)</f>
        <v/>
      </c>
      <c r="C109">
        <f>IF(C108&lt;=0,0,MAX(0,AH109-O109))</f>
        <v/>
      </c>
      <c r="D109">
        <f>IF(D108&lt;=0,0,MAX(0,AI109-P109))</f>
        <v/>
      </c>
      <c r="E109">
        <f>IF(E108&lt;=0,0,MAX(0,AJ109-Q109))</f>
        <v/>
      </c>
      <c r="F109">
        <f>IF(F108&lt;=0,0,MAX(0,AK109-R109))</f>
        <v/>
      </c>
      <c r="G109">
        <f>IF(G108&lt;=0,0,MAX(0,AL109-S109))</f>
        <v/>
      </c>
      <c r="H109">
        <f>IF(H108&lt;=0,0,MAX(0,AM109-T109))</f>
        <v/>
      </c>
      <c r="I109">
        <f>IF(I108&lt;=0,0,MAX(0,AN109-U109))</f>
        <v/>
      </c>
      <c r="J109">
        <f>IF(J108&lt;=0,0,MAX(0,AO109-V109))</f>
        <v/>
      </c>
      <c r="K109">
        <f>IF(K108&lt;=0,0,MAX(0,AP109-W109))</f>
        <v/>
      </c>
      <c r="L109">
        <f>IF(L108&lt;=0,0,MAX(0,AQ109-X109))</f>
        <v/>
      </c>
      <c r="M109">
        <f>IF(M108&lt;=0,0,MAX(0,AR109-Y109))</f>
        <v/>
      </c>
      <c r="N109">
        <f>IF(N108&lt;=0,0,MAX(0,AS109-Z109))</f>
        <v/>
      </c>
      <c r="O109">
        <f>IF(C108&lt;=0,0,MIN(AH109,C$7+IF(C$2=$AA109,$AC109,IF(C$2=$AF109,$AG109,0))))</f>
        <v/>
      </c>
      <c r="P109">
        <f>IF(D108&lt;=0,0,MIN(AI109,D$7+IF(D$2=$AA109,$AC109,IF(D$2=$AF109,$AG109,0))))</f>
        <v/>
      </c>
      <c r="Q109">
        <f>IF(E108&lt;=0,0,MIN(AJ109,E$7+IF(E$2=$AA109,$AC109,IF(E$2=$AF109,$AG109,0))))</f>
        <v/>
      </c>
      <c r="R109">
        <f>IF(F108&lt;=0,0,MIN(AK109,F$7+IF(F$2=$AA109,$AC109,IF(F$2=$AF109,$AG109,0))))</f>
        <v/>
      </c>
      <c r="S109">
        <f>IF(G108&lt;=0,0,MIN(AL109,G$7+IF(G$2=$AA109,$AC109,IF(G$2=$AF109,$AG109,0))))</f>
        <v/>
      </c>
      <c r="T109">
        <f>IF(H108&lt;=0,0,MIN(AM109,H$7+IF(H$2=$AA109,$AC109,IF(H$2=$AF109,$AG109,0))))</f>
        <v/>
      </c>
      <c r="U109">
        <f>IF(I108&lt;=0,0,MIN(AN109,I$7+IF(I$2=$AA109,$AC109,IF(I$2=$AF109,$AG109,0))))</f>
        <v/>
      </c>
      <c r="V109">
        <f>IF(J108&lt;=0,0,MIN(AO109,J$7+IF(J$2=$AA109,$AC109,IF(J$2=$AF109,$AG109,0))))</f>
        <v/>
      </c>
      <c r="W109">
        <f>IF(K108&lt;=0,0,MIN(AP109,K$7+IF(K$2=$AA109,$AC109,IF(K$2=$AF109,$AG109,0))))</f>
        <v/>
      </c>
      <c r="X109">
        <f>IF(L108&lt;=0,0,MIN(AQ109,L$7+IF(L$2=$AA109,$AC109,IF(L$2=$AF109,$AG109,0))))</f>
        <v/>
      </c>
      <c r="Y109">
        <f>IF(M108&lt;=0,0,MIN(AR109,M$7+IF(M$2=$AA109,$AC109,IF(M$2=$AF109,$AG109,0))))</f>
        <v/>
      </c>
      <c r="Z109">
        <f>IF(N108&lt;=0,0,MIN(AS109,N$7+IF(N$2=$AA109,$AC109,IF(N$2=$AF109,$AG109,0))))</f>
        <v/>
      </c>
      <c r="AA109">
        <f>IFERROR(ROUND(1/SUMPRODUCT(MAX((C108:N108&gt;0)*($C$3:$N$3&lt;=B109)/$C$2:$N$2)),0),0)</f>
        <v/>
      </c>
      <c r="AB109">
        <f>SUMPRODUCT((C108:N108&gt;0)*$C$7:$N$7)</f>
        <v/>
      </c>
      <c r="AC109">
        <f>MAX(0,Plan!$C$5-AB109)+IF(A109=Plan!$C$8,N(Plan!$C$7),0)</f>
        <v/>
      </c>
      <c r="AD109">
        <f>SUM(C109:N109)</f>
        <v/>
      </c>
      <c r="AE109">
        <f>SUM(O109:Z109)</f>
        <v/>
      </c>
      <c r="AF109">
        <f>IFERROR(ROUND(1/SUMPRODUCT(MAX((C108:N108&gt;0)*($C$3:$N$3&lt;=B109)*($C$2:$N$2&gt;AA109)/$C$2:$N$2)),0),0)</f>
        <v/>
      </c>
      <c r="AG109">
        <f>MAX(0,AC109-MAX(0,SUMPRODUCT(($C$2:$N$2=AA109)*(AH109:AS109-$C$7:$N$7))))</f>
        <v/>
      </c>
      <c r="AH109">
        <f>IF(C108&lt;=0,0,ROUND(C108*(1+IF(AND(C$6&gt;0,$B109&lt;C$6),C$4,C$5)/12),2))</f>
        <v/>
      </c>
      <c r="AI109">
        <f>IF(D108&lt;=0,0,ROUND(D108*(1+IF(AND(D$6&gt;0,$B109&lt;D$6),D$4,D$5)/12),2))</f>
        <v/>
      </c>
      <c r="AJ109">
        <f>IF(E108&lt;=0,0,ROUND(E108*(1+IF(AND(E$6&gt;0,$B109&lt;E$6),E$4,E$5)/12),2))</f>
        <v/>
      </c>
      <c r="AK109">
        <f>IF(F108&lt;=0,0,ROUND(F108*(1+IF(AND(F$6&gt;0,$B109&lt;F$6),F$4,F$5)/12),2))</f>
        <v/>
      </c>
      <c r="AL109">
        <f>IF(G108&lt;=0,0,ROUND(G108*(1+IF(AND(G$6&gt;0,$B109&lt;G$6),G$4,G$5)/12),2))</f>
        <v/>
      </c>
      <c r="AM109">
        <f>IF(H108&lt;=0,0,ROUND(H108*(1+IF(AND(H$6&gt;0,$B109&lt;H$6),H$4,H$5)/12),2))</f>
        <v/>
      </c>
      <c r="AN109">
        <f>IF(I108&lt;=0,0,ROUND(I108*(1+IF(AND(I$6&gt;0,$B109&lt;I$6),I$4,I$5)/12),2))</f>
        <v/>
      </c>
      <c r="AO109">
        <f>IF(J108&lt;=0,0,ROUND(J108*(1+IF(AND(J$6&gt;0,$B109&lt;J$6),J$4,J$5)/12),2))</f>
        <v/>
      </c>
      <c r="AP109">
        <f>IF(K108&lt;=0,0,ROUND(K108*(1+IF(AND(K$6&gt;0,$B109&lt;K$6),K$4,K$5)/12),2))</f>
        <v/>
      </c>
      <c r="AQ109">
        <f>IF(L108&lt;=0,0,ROUND(L108*(1+IF(AND(L$6&gt;0,$B109&lt;L$6),L$4,L$5)/12),2))</f>
        <v/>
      </c>
      <c r="AR109">
        <f>IF(M108&lt;=0,0,ROUND(M108*(1+IF(AND(M$6&gt;0,$B109&lt;M$6),M$4,M$5)/12),2))</f>
        <v/>
      </c>
      <c r="AS109">
        <f>IF(N108&lt;=0,0,ROUND(N108*(1+IF(AND(N$6&gt;0,$B109&lt;N$6),N$4,N$5)/12),2))</f>
        <v/>
      </c>
    </row>
    <row r="110">
      <c r="A110" t="n">
        <v>99</v>
      </c>
      <c r="B110">
        <f>EDATE(Plan!$C$6,98)</f>
        <v/>
      </c>
      <c r="C110">
        <f>IF(C109&lt;=0,0,MAX(0,AH110-O110))</f>
        <v/>
      </c>
      <c r="D110">
        <f>IF(D109&lt;=0,0,MAX(0,AI110-P110))</f>
        <v/>
      </c>
      <c r="E110">
        <f>IF(E109&lt;=0,0,MAX(0,AJ110-Q110))</f>
        <v/>
      </c>
      <c r="F110">
        <f>IF(F109&lt;=0,0,MAX(0,AK110-R110))</f>
        <v/>
      </c>
      <c r="G110">
        <f>IF(G109&lt;=0,0,MAX(0,AL110-S110))</f>
        <v/>
      </c>
      <c r="H110">
        <f>IF(H109&lt;=0,0,MAX(0,AM110-T110))</f>
        <v/>
      </c>
      <c r="I110">
        <f>IF(I109&lt;=0,0,MAX(0,AN110-U110))</f>
        <v/>
      </c>
      <c r="J110">
        <f>IF(J109&lt;=0,0,MAX(0,AO110-V110))</f>
        <v/>
      </c>
      <c r="K110">
        <f>IF(K109&lt;=0,0,MAX(0,AP110-W110))</f>
        <v/>
      </c>
      <c r="L110">
        <f>IF(L109&lt;=0,0,MAX(0,AQ110-X110))</f>
        <v/>
      </c>
      <c r="M110">
        <f>IF(M109&lt;=0,0,MAX(0,AR110-Y110))</f>
        <v/>
      </c>
      <c r="N110">
        <f>IF(N109&lt;=0,0,MAX(0,AS110-Z110))</f>
        <v/>
      </c>
      <c r="O110">
        <f>IF(C109&lt;=0,0,MIN(AH110,C$7+IF(C$2=$AA110,$AC110,IF(C$2=$AF110,$AG110,0))))</f>
        <v/>
      </c>
      <c r="P110">
        <f>IF(D109&lt;=0,0,MIN(AI110,D$7+IF(D$2=$AA110,$AC110,IF(D$2=$AF110,$AG110,0))))</f>
        <v/>
      </c>
      <c r="Q110">
        <f>IF(E109&lt;=0,0,MIN(AJ110,E$7+IF(E$2=$AA110,$AC110,IF(E$2=$AF110,$AG110,0))))</f>
        <v/>
      </c>
      <c r="R110">
        <f>IF(F109&lt;=0,0,MIN(AK110,F$7+IF(F$2=$AA110,$AC110,IF(F$2=$AF110,$AG110,0))))</f>
        <v/>
      </c>
      <c r="S110">
        <f>IF(G109&lt;=0,0,MIN(AL110,G$7+IF(G$2=$AA110,$AC110,IF(G$2=$AF110,$AG110,0))))</f>
        <v/>
      </c>
      <c r="T110">
        <f>IF(H109&lt;=0,0,MIN(AM110,H$7+IF(H$2=$AA110,$AC110,IF(H$2=$AF110,$AG110,0))))</f>
        <v/>
      </c>
      <c r="U110">
        <f>IF(I109&lt;=0,0,MIN(AN110,I$7+IF(I$2=$AA110,$AC110,IF(I$2=$AF110,$AG110,0))))</f>
        <v/>
      </c>
      <c r="V110">
        <f>IF(J109&lt;=0,0,MIN(AO110,J$7+IF(J$2=$AA110,$AC110,IF(J$2=$AF110,$AG110,0))))</f>
        <v/>
      </c>
      <c r="W110">
        <f>IF(K109&lt;=0,0,MIN(AP110,K$7+IF(K$2=$AA110,$AC110,IF(K$2=$AF110,$AG110,0))))</f>
        <v/>
      </c>
      <c r="X110">
        <f>IF(L109&lt;=0,0,MIN(AQ110,L$7+IF(L$2=$AA110,$AC110,IF(L$2=$AF110,$AG110,0))))</f>
        <v/>
      </c>
      <c r="Y110">
        <f>IF(M109&lt;=0,0,MIN(AR110,M$7+IF(M$2=$AA110,$AC110,IF(M$2=$AF110,$AG110,0))))</f>
        <v/>
      </c>
      <c r="Z110">
        <f>IF(N109&lt;=0,0,MIN(AS110,N$7+IF(N$2=$AA110,$AC110,IF(N$2=$AF110,$AG110,0))))</f>
        <v/>
      </c>
      <c r="AA110">
        <f>IFERROR(ROUND(1/SUMPRODUCT(MAX((C109:N109&gt;0)*($C$3:$N$3&lt;=B110)/$C$2:$N$2)),0),0)</f>
        <v/>
      </c>
      <c r="AB110">
        <f>SUMPRODUCT((C109:N109&gt;0)*$C$7:$N$7)</f>
        <v/>
      </c>
      <c r="AC110">
        <f>MAX(0,Plan!$C$5-AB110)+IF(A110=Plan!$C$8,N(Plan!$C$7),0)</f>
        <v/>
      </c>
      <c r="AD110">
        <f>SUM(C110:N110)</f>
        <v/>
      </c>
      <c r="AE110">
        <f>SUM(O110:Z110)</f>
        <v/>
      </c>
      <c r="AF110">
        <f>IFERROR(ROUND(1/SUMPRODUCT(MAX((C109:N109&gt;0)*($C$3:$N$3&lt;=B110)*($C$2:$N$2&gt;AA110)/$C$2:$N$2)),0),0)</f>
        <v/>
      </c>
      <c r="AG110">
        <f>MAX(0,AC110-MAX(0,SUMPRODUCT(($C$2:$N$2=AA110)*(AH110:AS110-$C$7:$N$7))))</f>
        <v/>
      </c>
      <c r="AH110">
        <f>IF(C109&lt;=0,0,ROUND(C109*(1+IF(AND(C$6&gt;0,$B110&lt;C$6),C$4,C$5)/12),2))</f>
        <v/>
      </c>
      <c r="AI110">
        <f>IF(D109&lt;=0,0,ROUND(D109*(1+IF(AND(D$6&gt;0,$B110&lt;D$6),D$4,D$5)/12),2))</f>
        <v/>
      </c>
      <c r="AJ110">
        <f>IF(E109&lt;=0,0,ROUND(E109*(1+IF(AND(E$6&gt;0,$B110&lt;E$6),E$4,E$5)/12),2))</f>
        <v/>
      </c>
      <c r="AK110">
        <f>IF(F109&lt;=0,0,ROUND(F109*(1+IF(AND(F$6&gt;0,$B110&lt;F$6),F$4,F$5)/12),2))</f>
        <v/>
      </c>
      <c r="AL110">
        <f>IF(G109&lt;=0,0,ROUND(G109*(1+IF(AND(G$6&gt;0,$B110&lt;G$6),G$4,G$5)/12),2))</f>
        <v/>
      </c>
      <c r="AM110">
        <f>IF(H109&lt;=0,0,ROUND(H109*(1+IF(AND(H$6&gt;0,$B110&lt;H$6),H$4,H$5)/12),2))</f>
        <v/>
      </c>
      <c r="AN110">
        <f>IF(I109&lt;=0,0,ROUND(I109*(1+IF(AND(I$6&gt;0,$B110&lt;I$6),I$4,I$5)/12),2))</f>
        <v/>
      </c>
      <c r="AO110">
        <f>IF(J109&lt;=0,0,ROUND(J109*(1+IF(AND(J$6&gt;0,$B110&lt;J$6),J$4,J$5)/12),2))</f>
        <v/>
      </c>
      <c r="AP110">
        <f>IF(K109&lt;=0,0,ROUND(K109*(1+IF(AND(K$6&gt;0,$B110&lt;K$6),K$4,K$5)/12),2))</f>
        <v/>
      </c>
      <c r="AQ110">
        <f>IF(L109&lt;=0,0,ROUND(L109*(1+IF(AND(L$6&gt;0,$B110&lt;L$6),L$4,L$5)/12),2))</f>
        <v/>
      </c>
      <c r="AR110">
        <f>IF(M109&lt;=0,0,ROUND(M109*(1+IF(AND(M$6&gt;0,$B110&lt;M$6),M$4,M$5)/12),2))</f>
        <v/>
      </c>
      <c r="AS110">
        <f>IF(N109&lt;=0,0,ROUND(N109*(1+IF(AND(N$6&gt;0,$B110&lt;N$6),N$4,N$5)/12),2))</f>
        <v/>
      </c>
    </row>
    <row r="111">
      <c r="A111" t="n">
        <v>100</v>
      </c>
      <c r="B111">
        <f>EDATE(Plan!$C$6,99)</f>
        <v/>
      </c>
      <c r="C111">
        <f>IF(C110&lt;=0,0,MAX(0,AH111-O111))</f>
        <v/>
      </c>
      <c r="D111">
        <f>IF(D110&lt;=0,0,MAX(0,AI111-P111))</f>
        <v/>
      </c>
      <c r="E111">
        <f>IF(E110&lt;=0,0,MAX(0,AJ111-Q111))</f>
        <v/>
      </c>
      <c r="F111">
        <f>IF(F110&lt;=0,0,MAX(0,AK111-R111))</f>
        <v/>
      </c>
      <c r="G111">
        <f>IF(G110&lt;=0,0,MAX(0,AL111-S111))</f>
        <v/>
      </c>
      <c r="H111">
        <f>IF(H110&lt;=0,0,MAX(0,AM111-T111))</f>
        <v/>
      </c>
      <c r="I111">
        <f>IF(I110&lt;=0,0,MAX(0,AN111-U111))</f>
        <v/>
      </c>
      <c r="J111">
        <f>IF(J110&lt;=0,0,MAX(0,AO111-V111))</f>
        <v/>
      </c>
      <c r="K111">
        <f>IF(K110&lt;=0,0,MAX(0,AP111-W111))</f>
        <v/>
      </c>
      <c r="L111">
        <f>IF(L110&lt;=0,0,MAX(0,AQ111-X111))</f>
        <v/>
      </c>
      <c r="M111">
        <f>IF(M110&lt;=0,0,MAX(0,AR111-Y111))</f>
        <v/>
      </c>
      <c r="N111">
        <f>IF(N110&lt;=0,0,MAX(0,AS111-Z111))</f>
        <v/>
      </c>
      <c r="O111">
        <f>IF(C110&lt;=0,0,MIN(AH111,C$7+IF(C$2=$AA111,$AC111,IF(C$2=$AF111,$AG111,0))))</f>
        <v/>
      </c>
      <c r="P111">
        <f>IF(D110&lt;=0,0,MIN(AI111,D$7+IF(D$2=$AA111,$AC111,IF(D$2=$AF111,$AG111,0))))</f>
        <v/>
      </c>
      <c r="Q111">
        <f>IF(E110&lt;=0,0,MIN(AJ111,E$7+IF(E$2=$AA111,$AC111,IF(E$2=$AF111,$AG111,0))))</f>
        <v/>
      </c>
      <c r="R111">
        <f>IF(F110&lt;=0,0,MIN(AK111,F$7+IF(F$2=$AA111,$AC111,IF(F$2=$AF111,$AG111,0))))</f>
        <v/>
      </c>
      <c r="S111">
        <f>IF(G110&lt;=0,0,MIN(AL111,G$7+IF(G$2=$AA111,$AC111,IF(G$2=$AF111,$AG111,0))))</f>
        <v/>
      </c>
      <c r="T111">
        <f>IF(H110&lt;=0,0,MIN(AM111,H$7+IF(H$2=$AA111,$AC111,IF(H$2=$AF111,$AG111,0))))</f>
        <v/>
      </c>
      <c r="U111">
        <f>IF(I110&lt;=0,0,MIN(AN111,I$7+IF(I$2=$AA111,$AC111,IF(I$2=$AF111,$AG111,0))))</f>
        <v/>
      </c>
      <c r="V111">
        <f>IF(J110&lt;=0,0,MIN(AO111,J$7+IF(J$2=$AA111,$AC111,IF(J$2=$AF111,$AG111,0))))</f>
        <v/>
      </c>
      <c r="W111">
        <f>IF(K110&lt;=0,0,MIN(AP111,K$7+IF(K$2=$AA111,$AC111,IF(K$2=$AF111,$AG111,0))))</f>
        <v/>
      </c>
      <c r="X111">
        <f>IF(L110&lt;=0,0,MIN(AQ111,L$7+IF(L$2=$AA111,$AC111,IF(L$2=$AF111,$AG111,0))))</f>
        <v/>
      </c>
      <c r="Y111">
        <f>IF(M110&lt;=0,0,MIN(AR111,M$7+IF(M$2=$AA111,$AC111,IF(M$2=$AF111,$AG111,0))))</f>
        <v/>
      </c>
      <c r="Z111">
        <f>IF(N110&lt;=0,0,MIN(AS111,N$7+IF(N$2=$AA111,$AC111,IF(N$2=$AF111,$AG111,0))))</f>
        <v/>
      </c>
      <c r="AA111">
        <f>IFERROR(ROUND(1/SUMPRODUCT(MAX((C110:N110&gt;0)*($C$3:$N$3&lt;=B111)/$C$2:$N$2)),0),0)</f>
        <v/>
      </c>
      <c r="AB111">
        <f>SUMPRODUCT((C110:N110&gt;0)*$C$7:$N$7)</f>
        <v/>
      </c>
      <c r="AC111">
        <f>MAX(0,Plan!$C$5-AB111)+IF(A111=Plan!$C$8,N(Plan!$C$7),0)</f>
        <v/>
      </c>
      <c r="AD111">
        <f>SUM(C111:N111)</f>
        <v/>
      </c>
      <c r="AE111">
        <f>SUM(O111:Z111)</f>
        <v/>
      </c>
      <c r="AF111">
        <f>IFERROR(ROUND(1/SUMPRODUCT(MAX((C110:N110&gt;0)*($C$3:$N$3&lt;=B111)*($C$2:$N$2&gt;AA111)/$C$2:$N$2)),0),0)</f>
        <v/>
      </c>
      <c r="AG111">
        <f>MAX(0,AC111-MAX(0,SUMPRODUCT(($C$2:$N$2=AA111)*(AH111:AS111-$C$7:$N$7))))</f>
        <v/>
      </c>
      <c r="AH111">
        <f>IF(C110&lt;=0,0,ROUND(C110*(1+IF(AND(C$6&gt;0,$B111&lt;C$6),C$4,C$5)/12),2))</f>
        <v/>
      </c>
      <c r="AI111">
        <f>IF(D110&lt;=0,0,ROUND(D110*(1+IF(AND(D$6&gt;0,$B111&lt;D$6),D$4,D$5)/12),2))</f>
        <v/>
      </c>
      <c r="AJ111">
        <f>IF(E110&lt;=0,0,ROUND(E110*(1+IF(AND(E$6&gt;0,$B111&lt;E$6),E$4,E$5)/12),2))</f>
        <v/>
      </c>
      <c r="AK111">
        <f>IF(F110&lt;=0,0,ROUND(F110*(1+IF(AND(F$6&gt;0,$B111&lt;F$6),F$4,F$5)/12),2))</f>
        <v/>
      </c>
      <c r="AL111">
        <f>IF(G110&lt;=0,0,ROUND(G110*(1+IF(AND(G$6&gt;0,$B111&lt;G$6),G$4,G$5)/12),2))</f>
        <v/>
      </c>
      <c r="AM111">
        <f>IF(H110&lt;=0,0,ROUND(H110*(1+IF(AND(H$6&gt;0,$B111&lt;H$6),H$4,H$5)/12),2))</f>
        <v/>
      </c>
      <c r="AN111">
        <f>IF(I110&lt;=0,0,ROUND(I110*(1+IF(AND(I$6&gt;0,$B111&lt;I$6),I$4,I$5)/12),2))</f>
        <v/>
      </c>
      <c r="AO111">
        <f>IF(J110&lt;=0,0,ROUND(J110*(1+IF(AND(J$6&gt;0,$B111&lt;J$6),J$4,J$5)/12),2))</f>
        <v/>
      </c>
      <c r="AP111">
        <f>IF(K110&lt;=0,0,ROUND(K110*(1+IF(AND(K$6&gt;0,$B111&lt;K$6),K$4,K$5)/12),2))</f>
        <v/>
      </c>
      <c r="AQ111">
        <f>IF(L110&lt;=0,0,ROUND(L110*(1+IF(AND(L$6&gt;0,$B111&lt;L$6),L$4,L$5)/12),2))</f>
        <v/>
      </c>
      <c r="AR111">
        <f>IF(M110&lt;=0,0,ROUND(M110*(1+IF(AND(M$6&gt;0,$B111&lt;M$6),M$4,M$5)/12),2))</f>
        <v/>
      </c>
      <c r="AS111">
        <f>IF(N110&lt;=0,0,ROUND(N110*(1+IF(AND(N$6&gt;0,$B111&lt;N$6),N$4,N$5)/12),2))</f>
        <v/>
      </c>
    </row>
    <row r="112">
      <c r="A112" t="n">
        <v>101</v>
      </c>
      <c r="B112">
        <f>EDATE(Plan!$C$6,100)</f>
        <v/>
      </c>
      <c r="C112">
        <f>IF(C111&lt;=0,0,MAX(0,AH112-O112))</f>
        <v/>
      </c>
      <c r="D112">
        <f>IF(D111&lt;=0,0,MAX(0,AI112-P112))</f>
        <v/>
      </c>
      <c r="E112">
        <f>IF(E111&lt;=0,0,MAX(0,AJ112-Q112))</f>
        <v/>
      </c>
      <c r="F112">
        <f>IF(F111&lt;=0,0,MAX(0,AK112-R112))</f>
        <v/>
      </c>
      <c r="G112">
        <f>IF(G111&lt;=0,0,MAX(0,AL112-S112))</f>
        <v/>
      </c>
      <c r="H112">
        <f>IF(H111&lt;=0,0,MAX(0,AM112-T112))</f>
        <v/>
      </c>
      <c r="I112">
        <f>IF(I111&lt;=0,0,MAX(0,AN112-U112))</f>
        <v/>
      </c>
      <c r="J112">
        <f>IF(J111&lt;=0,0,MAX(0,AO112-V112))</f>
        <v/>
      </c>
      <c r="K112">
        <f>IF(K111&lt;=0,0,MAX(0,AP112-W112))</f>
        <v/>
      </c>
      <c r="L112">
        <f>IF(L111&lt;=0,0,MAX(0,AQ112-X112))</f>
        <v/>
      </c>
      <c r="M112">
        <f>IF(M111&lt;=0,0,MAX(0,AR112-Y112))</f>
        <v/>
      </c>
      <c r="N112">
        <f>IF(N111&lt;=0,0,MAX(0,AS112-Z112))</f>
        <v/>
      </c>
      <c r="O112">
        <f>IF(C111&lt;=0,0,MIN(AH112,C$7+IF(C$2=$AA112,$AC112,IF(C$2=$AF112,$AG112,0))))</f>
        <v/>
      </c>
      <c r="P112">
        <f>IF(D111&lt;=0,0,MIN(AI112,D$7+IF(D$2=$AA112,$AC112,IF(D$2=$AF112,$AG112,0))))</f>
        <v/>
      </c>
      <c r="Q112">
        <f>IF(E111&lt;=0,0,MIN(AJ112,E$7+IF(E$2=$AA112,$AC112,IF(E$2=$AF112,$AG112,0))))</f>
        <v/>
      </c>
      <c r="R112">
        <f>IF(F111&lt;=0,0,MIN(AK112,F$7+IF(F$2=$AA112,$AC112,IF(F$2=$AF112,$AG112,0))))</f>
        <v/>
      </c>
      <c r="S112">
        <f>IF(G111&lt;=0,0,MIN(AL112,G$7+IF(G$2=$AA112,$AC112,IF(G$2=$AF112,$AG112,0))))</f>
        <v/>
      </c>
      <c r="T112">
        <f>IF(H111&lt;=0,0,MIN(AM112,H$7+IF(H$2=$AA112,$AC112,IF(H$2=$AF112,$AG112,0))))</f>
        <v/>
      </c>
      <c r="U112">
        <f>IF(I111&lt;=0,0,MIN(AN112,I$7+IF(I$2=$AA112,$AC112,IF(I$2=$AF112,$AG112,0))))</f>
        <v/>
      </c>
      <c r="V112">
        <f>IF(J111&lt;=0,0,MIN(AO112,J$7+IF(J$2=$AA112,$AC112,IF(J$2=$AF112,$AG112,0))))</f>
        <v/>
      </c>
      <c r="W112">
        <f>IF(K111&lt;=0,0,MIN(AP112,K$7+IF(K$2=$AA112,$AC112,IF(K$2=$AF112,$AG112,0))))</f>
        <v/>
      </c>
      <c r="X112">
        <f>IF(L111&lt;=0,0,MIN(AQ112,L$7+IF(L$2=$AA112,$AC112,IF(L$2=$AF112,$AG112,0))))</f>
        <v/>
      </c>
      <c r="Y112">
        <f>IF(M111&lt;=0,0,MIN(AR112,M$7+IF(M$2=$AA112,$AC112,IF(M$2=$AF112,$AG112,0))))</f>
        <v/>
      </c>
      <c r="Z112">
        <f>IF(N111&lt;=0,0,MIN(AS112,N$7+IF(N$2=$AA112,$AC112,IF(N$2=$AF112,$AG112,0))))</f>
        <v/>
      </c>
      <c r="AA112">
        <f>IFERROR(ROUND(1/SUMPRODUCT(MAX((C111:N111&gt;0)*($C$3:$N$3&lt;=B112)/$C$2:$N$2)),0),0)</f>
        <v/>
      </c>
      <c r="AB112">
        <f>SUMPRODUCT((C111:N111&gt;0)*$C$7:$N$7)</f>
        <v/>
      </c>
      <c r="AC112">
        <f>MAX(0,Plan!$C$5-AB112)+IF(A112=Plan!$C$8,N(Plan!$C$7),0)</f>
        <v/>
      </c>
      <c r="AD112">
        <f>SUM(C112:N112)</f>
        <v/>
      </c>
      <c r="AE112">
        <f>SUM(O112:Z112)</f>
        <v/>
      </c>
      <c r="AF112">
        <f>IFERROR(ROUND(1/SUMPRODUCT(MAX((C111:N111&gt;0)*($C$3:$N$3&lt;=B112)*($C$2:$N$2&gt;AA112)/$C$2:$N$2)),0),0)</f>
        <v/>
      </c>
      <c r="AG112">
        <f>MAX(0,AC112-MAX(0,SUMPRODUCT(($C$2:$N$2=AA112)*(AH112:AS112-$C$7:$N$7))))</f>
        <v/>
      </c>
      <c r="AH112">
        <f>IF(C111&lt;=0,0,ROUND(C111*(1+IF(AND(C$6&gt;0,$B112&lt;C$6),C$4,C$5)/12),2))</f>
        <v/>
      </c>
      <c r="AI112">
        <f>IF(D111&lt;=0,0,ROUND(D111*(1+IF(AND(D$6&gt;0,$B112&lt;D$6),D$4,D$5)/12),2))</f>
        <v/>
      </c>
      <c r="AJ112">
        <f>IF(E111&lt;=0,0,ROUND(E111*(1+IF(AND(E$6&gt;0,$B112&lt;E$6),E$4,E$5)/12),2))</f>
        <v/>
      </c>
      <c r="AK112">
        <f>IF(F111&lt;=0,0,ROUND(F111*(1+IF(AND(F$6&gt;0,$B112&lt;F$6),F$4,F$5)/12),2))</f>
        <v/>
      </c>
      <c r="AL112">
        <f>IF(G111&lt;=0,0,ROUND(G111*(1+IF(AND(G$6&gt;0,$B112&lt;G$6),G$4,G$5)/12),2))</f>
        <v/>
      </c>
      <c r="AM112">
        <f>IF(H111&lt;=0,0,ROUND(H111*(1+IF(AND(H$6&gt;0,$B112&lt;H$6),H$4,H$5)/12),2))</f>
        <v/>
      </c>
      <c r="AN112">
        <f>IF(I111&lt;=0,0,ROUND(I111*(1+IF(AND(I$6&gt;0,$B112&lt;I$6),I$4,I$5)/12),2))</f>
        <v/>
      </c>
      <c r="AO112">
        <f>IF(J111&lt;=0,0,ROUND(J111*(1+IF(AND(J$6&gt;0,$B112&lt;J$6),J$4,J$5)/12),2))</f>
        <v/>
      </c>
      <c r="AP112">
        <f>IF(K111&lt;=0,0,ROUND(K111*(1+IF(AND(K$6&gt;0,$B112&lt;K$6),K$4,K$5)/12),2))</f>
        <v/>
      </c>
      <c r="AQ112">
        <f>IF(L111&lt;=0,0,ROUND(L111*(1+IF(AND(L$6&gt;0,$B112&lt;L$6),L$4,L$5)/12),2))</f>
        <v/>
      </c>
      <c r="AR112">
        <f>IF(M111&lt;=0,0,ROUND(M111*(1+IF(AND(M$6&gt;0,$B112&lt;M$6),M$4,M$5)/12),2))</f>
        <v/>
      </c>
      <c r="AS112">
        <f>IF(N111&lt;=0,0,ROUND(N111*(1+IF(AND(N$6&gt;0,$B112&lt;N$6),N$4,N$5)/12),2))</f>
        <v/>
      </c>
    </row>
    <row r="113">
      <c r="A113" t="n">
        <v>102</v>
      </c>
      <c r="B113">
        <f>EDATE(Plan!$C$6,101)</f>
        <v/>
      </c>
      <c r="C113">
        <f>IF(C112&lt;=0,0,MAX(0,AH113-O113))</f>
        <v/>
      </c>
      <c r="D113">
        <f>IF(D112&lt;=0,0,MAX(0,AI113-P113))</f>
        <v/>
      </c>
      <c r="E113">
        <f>IF(E112&lt;=0,0,MAX(0,AJ113-Q113))</f>
        <v/>
      </c>
      <c r="F113">
        <f>IF(F112&lt;=0,0,MAX(0,AK113-R113))</f>
        <v/>
      </c>
      <c r="G113">
        <f>IF(G112&lt;=0,0,MAX(0,AL113-S113))</f>
        <v/>
      </c>
      <c r="H113">
        <f>IF(H112&lt;=0,0,MAX(0,AM113-T113))</f>
        <v/>
      </c>
      <c r="I113">
        <f>IF(I112&lt;=0,0,MAX(0,AN113-U113))</f>
        <v/>
      </c>
      <c r="J113">
        <f>IF(J112&lt;=0,0,MAX(0,AO113-V113))</f>
        <v/>
      </c>
      <c r="K113">
        <f>IF(K112&lt;=0,0,MAX(0,AP113-W113))</f>
        <v/>
      </c>
      <c r="L113">
        <f>IF(L112&lt;=0,0,MAX(0,AQ113-X113))</f>
        <v/>
      </c>
      <c r="M113">
        <f>IF(M112&lt;=0,0,MAX(0,AR113-Y113))</f>
        <v/>
      </c>
      <c r="N113">
        <f>IF(N112&lt;=0,0,MAX(0,AS113-Z113))</f>
        <v/>
      </c>
      <c r="O113">
        <f>IF(C112&lt;=0,0,MIN(AH113,C$7+IF(C$2=$AA113,$AC113,IF(C$2=$AF113,$AG113,0))))</f>
        <v/>
      </c>
      <c r="P113">
        <f>IF(D112&lt;=0,0,MIN(AI113,D$7+IF(D$2=$AA113,$AC113,IF(D$2=$AF113,$AG113,0))))</f>
        <v/>
      </c>
      <c r="Q113">
        <f>IF(E112&lt;=0,0,MIN(AJ113,E$7+IF(E$2=$AA113,$AC113,IF(E$2=$AF113,$AG113,0))))</f>
        <v/>
      </c>
      <c r="R113">
        <f>IF(F112&lt;=0,0,MIN(AK113,F$7+IF(F$2=$AA113,$AC113,IF(F$2=$AF113,$AG113,0))))</f>
        <v/>
      </c>
      <c r="S113">
        <f>IF(G112&lt;=0,0,MIN(AL113,G$7+IF(G$2=$AA113,$AC113,IF(G$2=$AF113,$AG113,0))))</f>
        <v/>
      </c>
      <c r="T113">
        <f>IF(H112&lt;=0,0,MIN(AM113,H$7+IF(H$2=$AA113,$AC113,IF(H$2=$AF113,$AG113,0))))</f>
        <v/>
      </c>
      <c r="U113">
        <f>IF(I112&lt;=0,0,MIN(AN113,I$7+IF(I$2=$AA113,$AC113,IF(I$2=$AF113,$AG113,0))))</f>
        <v/>
      </c>
      <c r="V113">
        <f>IF(J112&lt;=0,0,MIN(AO113,J$7+IF(J$2=$AA113,$AC113,IF(J$2=$AF113,$AG113,0))))</f>
        <v/>
      </c>
      <c r="W113">
        <f>IF(K112&lt;=0,0,MIN(AP113,K$7+IF(K$2=$AA113,$AC113,IF(K$2=$AF113,$AG113,0))))</f>
        <v/>
      </c>
      <c r="X113">
        <f>IF(L112&lt;=0,0,MIN(AQ113,L$7+IF(L$2=$AA113,$AC113,IF(L$2=$AF113,$AG113,0))))</f>
        <v/>
      </c>
      <c r="Y113">
        <f>IF(M112&lt;=0,0,MIN(AR113,M$7+IF(M$2=$AA113,$AC113,IF(M$2=$AF113,$AG113,0))))</f>
        <v/>
      </c>
      <c r="Z113">
        <f>IF(N112&lt;=0,0,MIN(AS113,N$7+IF(N$2=$AA113,$AC113,IF(N$2=$AF113,$AG113,0))))</f>
        <v/>
      </c>
      <c r="AA113">
        <f>IFERROR(ROUND(1/SUMPRODUCT(MAX((C112:N112&gt;0)*($C$3:$N$3&lt;=B113)/$C$2:$N$2)),0),0)</f>
        <v/>
      </c>
      <c r="AB113">
        <f>SUMPRODUCT((C112:N112&gt;0)*$C$7:$N$7)</f>
        <v/>
      </c>
      <c r="AC113">
        <f>MAX(0,Plan!$C$5-AB113)+IF(A113=Plan!$C$8,N(Plan!$C$7),0)</f>
        <v/>
      </c>
      <c r="AD113">
        <f>SUM(C113:N113)</f>
        <v/>
      </c>
      <c r="AE113">
        <f>SUM(O113:Z113)</f>
        <v/>
      </c>
      <c r="AF113">
        <f>IFERROR(ROUND(1/SUMPRODUCT(MAX((C112:N112&gt;0)*($C$3:$N$3&lt;=B113)*($C$2:$N$2&gt;AA113)/$C$2:$N$2)),0),0)</f>
        <v/>
      </c>
      <c r="AG113">
        <f>MAX(0,AC113-MAX(0,SUMPRODUCT(($C$2:$N$2=AA113)*(AH113:AS113-$C$7:$N$7))))</f>
        <v/>
      </c>
      <c r="AH113">
        <f>IF(C112&lt;=0,0,ROUND(C112*(1+IF(AND(C$6&gt;0,$B113&lt;C$6),C$4,C$5)/12),2))</f>
        <v/>
      </c>
      <c r="AI113">
        <f>IF(D112&lt;=0,0,ROUND(D112*(1+IF(AND(D$6&gt;0,$B113&lt;D$6),D$4,D$5)/12),2))</f>
        <v/>
      </c>
      <c r="AJ113">
        <f>IF(E112&lt;=0,0,ROUND(E112*(1+IF(AND(E$6&gt;0,$B113&lt;E$6),E$4,E$5)/12),2))</f>
        <v/>
      </c>
      <c r="AK113">
        <f>IF(F112&lt;=0,0,ROUND(F112*(1+IF(AND(F$6&gt;0,$B113&lt;F$6),F$4,F$5)/12),2))</f>
        <v/>
      </c>
      <c r="AL113">
        <f>IF(G112&lt;=0,0,ROUND(G112*(1+IF(AND(G$6&gt;0,$B113&lt;G$6),G$4,G$5)/12),2))</f>
        <v/>
      </c>
      <c r="AM113">
        <f>IF(H112&lt;=0,0,ROUND(H112*(1+IF(AND(H$6&gt;0,$B113&lt;H$6),H$4,H$5)/12),2))</f>
        <v/>
      </c>
      <c r="AN113">
        <f>IF(I112&lt;=0,0,ROUND(I112*(1+IF(AND(I$6&gt;0,$B113&lt;I$6),I$4,I$5)/12),2))</f>
        <v/>
      </c>
      <c r="AO113">
        <f>IF(J112&lt;=0,0,ROUND(J112*(1+IF(AND(J$6&gt;0,$B113&lt;J$6),J$4,J$5)/12),2))</f>
        <v/>
      </c>
      <c r="AP113">
        <f>IF(K112&lt;=0,0,ROUND(K112*(1+IF(AND(K$6&gt;0,$B113&lt;K$6),K$4,K$5)/12),2))</f>
        <v/>
      </c>
      <c r="AQ113">
        <f>IF(L112&lt;=0,0,ROUND(L112*(1+IF(AND(L$6&gt;0,$B113&lt;L$6),L$4,L$5)/12),2))</f>
        <v/>
      </c>
      <c r="AR113">
        <f>IF(M112&lt;=0,0,ROUND(M112*(1+IF(AND(M$6&gt;0,$B113&lt;M$6),M$4,M$5)/12),2))</f>
        <v/>
      </c>
      <c r="AS113">
        <f>IF(N112&lt;=0,0,ROUND(N112*(1+IF(AND(N$6&gt;0,$B113&lt;N$6),N$4,N$5)/12),2))</f>
        <v/>
      </c>
    </row>
    <row r="114">
      <c r="A114" t="n">
        <v>103</v>
      </c>
      <c r="B114">
        <f>EDATE(Plan!$C$6,102)</f>
        <v/>
      </c>
      <c r="C114">
        <f>IF(C113&lt;=0,0,MAX(0,AH114-O114))</f>
        <v/>
      </c>
      <c r="D114">
        <f>IF(D113&lt;=0,0,MAX(0,AI114-P114))</f>
        <v/>
      </c>
      <c r="E114">
        <f>IF(E113&lt;=0,0,MAX(0,AJ114-Q114))</f>
        <v/>
      </c>
      <c r="F114">
        <f>IF(F113&lt;=0,0,MAX(0,AK114-R114))</f>
        <v/>
      </c>
      <c r="G114">
        <f>IF(G113&lt;=0,0,MAX(0,AL114-S114))</f>
        <v/>
      </c>
      <c r="H114">
        <f>IF(H113&lt;=0,0,MAX(0,AM114-T114))</f>
        <v/>
      </c>
      <c r="I114">
        <f>IF(I113&lt;=0,0,MAX(0,AN114-U114))</f>
        <v/>
      </c>
      <c r="J114">
        <f>IF(J113&lt;=0,0,MAX(0,AO114-V114))</f>
        <v/>
      </c>
      <c r="K114">
        <f>IF(K113&lt;=0,0,MAX(0,AP114-W114))</f>
        <v/>
      </c>
      <c r="L114">
        <f>IF(L113&lt;=0,0,MAX(0,AQ114-X114))</f>
        <v/>
      </c>
      <c r="M114">
        <f>IF(M113&lt;=0,0,MAX(0,AR114-Y114))</f>
        <v/>
      </c>
      <c r="N114">
        <f>IF(N113&lt;=0,0,MAX(0,AS114-Z114))</f>
        <v/>
      </c>
      <c r="O114">
        <f>IF(C113&lt;=0,0,MIN(AH114,C$7+IF(C$2=$AA114,$AC114,IF(C$2=$AF114,$AG114,0))))</f>
        <v/>
      </c>
      <c r="P114">
        <f>IF(D113&lt;=0,0,MIN(AI114,D$7+IF(D$2=$AA114,$AC114,IF(D$2=$AF114,$AG114,0))))</f>
        <v/>
      </c>
      <c r="Q114">
        <f>IF(E113&lt;=0,0,MIN(AJ114,E$7+IF(E$2=$AA114,$AC114,IF(E$2=$AF114,$AG114,0))))</f>
        <v/>
      </c>
      <c r="R114">
        <f>IF(F113&lt;=0,0,MIN(AK114,F$7+IF(F$2=$AA114,$AC114,IF(F$2=$AF114,$AG114,0))))</f>
        <v/>
      </c>
      <c r="S114">
        <f>IF(G113&lt;=0,0,MIN(AL114,G$7+IF(G$2=$AA114,$AC114,IF(G$2=$AF114,$AG114,0))))</f>
        <v/>
      </c>
      <c r="T114">
        <f>IF(H113&lt;=0,0,MIN(AM114,H$7+IF(H$2=$AA114,$AC114,IF(H$2=$AF114,$AG114,0))))</f>
        <v/>
      </c>
      <c r="U114">
        <f>IF(I113&lt;=0,0,MIN(AN114,I$7+IF(I$2=$AA114,$AC114,IF(I$2=$AF114,$AG114,0))))</f>
        <v/>
      </c>
      <c r="V114">
        <f>IF(J113&lt;=0,0,MIN(AO114,J$7+IF(J$2=$AA114,$AC114,IF(J$2=$AF114,$AG114,0))))</f>
        <v/>
      </c>
      <c r="W114">
        <f>IF(K113&lt;=0,0,MIN(AP114,K$7+IF(K$2=$AA114,$AC114,IF(K$2=$AF114,$AG114,0))))</f>
        <v/>
      </c>
      <c r="X114">
        <f>IF(L113&lt;=0,0,MIN(AQ114,L$7+IF(L$2=$AA114,$AC114,IF(L$2=$AF114,$AG114,0))))</f>
        <v/>
      </c>
      <c r="Y114">
        <f>IF(M113&lt;=0,0,MIN(AR114,M$7+IF(M$2=$AA114,$AC114,IF(M$2=$AF114,$AG114,0))))</f>
        <v/>
      </c>
      <c r="Z114">
        <f>IF(N113&lt;=0,0,MIN(AS114,N$7+IF(N$2=$AA114,$AC114,IF(N$2=$AF114,$AG114,0))))</f>
        <v/>
      </c>
      <c r="AA114">
        <f>IFERROR(ROUND(1/SUMPRODUCT(MAX((C113:N113&gt;0)*($C$3:$N$3&lt;=B114)/$C$2:$N$2)),0),0)</f>
        <v/>
      </c>
      <c r="AB114">
        <f>SUMPRODUCT((C113:N113&gt;0)*$C$7:$N$7)</f>
        <v/>
      </c>
      <c r="AC114">
        <f>MAX(0,Plan!$C$5-AB114)+IF(A114=Plan!$C$8,N(Plan!$C$7),0)</f>
        <v/>
      </c>
      <c r="AD114">
        <f>SUM(C114:N114)</f>
        <v/>
      </c>
      <c r="AE114">
        <f>SUM(O114:Z114)</f>
        <v/>
      </c>
      <c r="AF114">
        <f>IFERROR(ROUND(1/SUMPRODUCT(MAX((C113:N113&gt;0)*($C$3:$N$3&lt;=B114)*($C$2:$N$2&gt;AA114)/$C$2:$N$2)),0),0)</f>
        <v/>
      </c>
      <c r="AG114">
        <f>MAX(0,AC114-MAX(0,SUMPRODUCT(($C$2:$N$2=AA114)*(AH114:AS114-$C$7:$N$7))))</f>
        <v/>
      </c>
      <c r="AH114">
        <f>IF(C113&lt;=0,0,ROUND(C113*(1+IF(AND(C$6&gt;0,$B114&lt;C$6),C$4,C$5)/12),2))</f>
        <v/>
      </c>
      <c r="AI114">
        <f>IF(D113&lt;=0,0,ROUND(D113*(1+IF(AND(D$6&gt;0,$B114&lt;D$6),D$4,D$5)/12),2))</f>
        <v/>
      </c>
      <c r="AJ114">
        <f>IF(E113&lt;=0,0,ROUND(E113*(1+IF(AND(E$6&gt;0,$B114&lt;E$6),E$4,E$5)/12),2))</f>
        <v/>
      </c>
      <c r="AK114">
        <f>IF(F113&lt;=0,0,ROUND(F113*(1+IF(AND(F$6&gt;0,$B114&lt;F$6),F$4,F$5)/12),2))</f>
        <v/>
      </c>
      <c r="AL114">
        <f>IF(G113&lt;=0,0,ROUND(G113*(1+IF(AND(G$6&gt;0,$B114&lt;G$6),G$4,G$5)/12),2))</f>
        <v/>
      </c>
      <c r="AM114">
        <f>IF(H113&lt;=0,0,ROUND(H113*(1+IF(AND(H$6&gt;0,$B114&lt;H$6),H$4,H$5)/12),2))</f>
        <v/>
      </c>
      <c r="AN114">
        <f>IF(I113&lt;=0,0,ROUND(I113*(1+IF(AND(I$6&gt;0,$B114&lt;I$6),I$4,I$5)/12),2))</f>
        <v/>
      </c>
      <c r="AO114">
        <f>IF(J113&lt;=0,0,ROUND(J113*(1+IF(AND(J$6&gt;0,$B114&lt;J$6),J$4,J$5)/12),2))</f>
        <v/>
      </c>
      <c r="AP114">
        <f>IF(K113&lt;=0,0,ROUND(K113*(1+IF(AND(K$6&gt;0,$B114&lt;K$6),K$4,K$5)/12),2))</f>
        <v/>
      </c>
      <c r="AQ114">
        <f>IF(L113&lt;=0,0,ROUND(L113*(1+IF(AND(L$6&gt;0,$B114&lt;L$6),L$4,L$5)/12),2))</f>
        <v/>
      </c>
      <c r="AR114">
        <f>IF(M113&lt;=0,0,ROUND(M113*(1+IF(AND(M$6&gt;0,$B114&lt;M$6),M$4,M$5)/12),2))</f>
        <v/>
      </c>
      <c r="AS114">
        <f>IF(N113&lt;=0,0,ROUND(N113*(1+IF(AND(N$6&gt;0,$B114&lt;N$6),N$4,N$5)/12),2))</f>
        <v/>
      </c>
    </row>
    <row r="115">
      <c r="A115" t="n">
        <v>104</v>
      </c>
      <c r="B115">
        <f>EDATE(Plan!$C$6,103)</f>
        <v/>
      </c>
      <c r="C115">
        <f>IF(C114&lt;=0,0,MAX(0,AH115-O115))</f>
        <v/>
      </c>
      <c r="D115">
        <f>IF(D114&lt;=0,0,MAX(0,AI115-P115))</f>
        <v/>
      </c>
      <c r="E115">
        <f>IF(E114&lt;=0,0,MAX(0,AJ115-Q115))</f>
        <v/>
      </c>
      <c r="F115">
        <f>IF(F114&lt;=0,0,MAX(0,AK115-R115))</f>
        <v/>
      </c>
      <c r="G115">
        <f>IF(G114&lt;=0,0,MAX(0,AL115-S115))</f>
        <v/>
      </c>
      <c r="H115">
        <f>IF(H114&lt;=0,0,MAX(0,AM115-T115))</f>
        <v/>
      </c>
      <c r="I115">
        <f>IF(I114&lt;=0,0,MAX(0,AN115-U115))</f>
        <v/>
      </c>
      <c r="J115">
        <f>IF(J114&lt;=0,0,MAX(0,AO115-V115))</f>
        <v/>
      </c>
      <c r="K115">
        <f>IF(K114&lt;=0,0,MAX(0,AP115-W115))</f>
        <v/>
      </c>
      <c r="L115">
        <f>IF(L114&lt;=0,0,MAX(0,AQ115-X115))</f>
        <v/>
      </c>
      <c r="M115">
        <f>IF(M114&lt;=0,0,MAX(0,AR115-Y115))</f>
        <v/>
      </c>
      <c r="N115">
        <f>IF(N114&lt;=0,0,MAX(0,AS115-Z115))</f>
        <v/>
      </c>
      <c r="O115">
        <f>IF(C114&lt;=0,0,MIN(AH115,C$7+IF(C$2=$AA115,$AC115,IF(C$2=$AF115,$AG115,0))))</f>
        <v/>
      </c>
      <c r="P115">
        <f>IF(D114&lt;=0,0,MIN(AI115,D$7+IF(D$2=$AA115,$AC115,IF(D$2=$AF115,$AG115,0))))</f>
        <v/>
      </c>
      <c r="Q115">
        <f>IF(E114&lt;=0,0,MIN(AJ115,E$7+IF(E$2=$AA115,$AC115,IF(E$2=$AF115,$AG115,0))))</f>
        <v/>
      </c>
      <c r="R115">
        <f>IF(F114&lt;=0,0,MIN(AK115,F$7+IF(F$2=$AA115,$AC115,IF(F$2=$AF115,$AG115,0))))</f>
        <v/>
      </c>
      <c r="S115">
        <f>IF(G114&lt;=0,0,MIN(AL115,G$7+IF(G$2=$AA115,$AC115,IF(G$2=$AF115,$AG115,0))))</f>
        <v/>
      </c>
      <c r="T115">
        <f>IF(H114&lt;=0,0,MIN(AM115,H$7+IF(H$2=$AA115,$AC115,IF(H$2=$AF115,$AG115,0))))</f>
        <v/>
      </c>
      <c r="U115">
        <f>IF(I114&lt;=0,0,MIN(AN115,I$7+IF(I$2=$AA115,$AC115,IF(I$2=$AF115,$AG115,0))))</f>
        <v/>
      </c>
      <c r="V115">
        <f>IF(J114&lt;=0,0,MIN(AO115,J$7+IF(J$2=$AA115,$AC115,IF(J$2=$AF115,$AG115,0))))</f>
        <v/>
      </c>
      <c r="W115">
        <f>IF(K114&lt;=0,0,MIN(AP115,K$7+IF(K$2=$AA115,$AC115,IF(K$2=$AF115,$AG115,0))))</f>
        <v/>
      </c>
      <c r="X115">
        <f>IF(L114&lt;=0,0,MIN(AQ115,L$7+IF(L$2=$AA115,$AC115,IF(L$2=$AF115,$AG115,0))))</f>
        <v/>
      </c>
      <c r="Y115">
        <f>IF(M114&lt;=0,0,MIN(AR115,M$7+IF(M$2=$AA115,$AC115,IF(M$2=$AF115,$AG115,0))))</f>
        <v/>
      </c>
      <c r="Z115">
        <f>IF(N114&lt;=0,0,MIN(AS115,N$7+IF(N$2=$AA115,$AC115,IF(N$2=$AF115,$AG115,0))))</f>
        <v/>
      </c>
      <c r="AA115">
        <f>IFERROR(ROUND(1/SUMPRODUCT(MAX((C114:N114&gt;0)*($C$3:$N$3&lt;=B115)/$C$2:$N$2)),0),0)</f>
        <v/>
      </c>
      <c r="AB115">
        <f>SUMPRODUCT((C114:N114&gt;0)*$C$7:$N$7)</f>
        <v/>
      </c>
      <c r="AC115">
        <f>MAX(0,Plan!$C$5-AB115)+IF(A115=Plan!$C$8,N(Plan!$C$7),0)</f>
        <v/>
      </c>
      <c r="AD115">
        <f>SUM(C115:N115)</f>
        <v/>
      </c>
      <c r="AE115">
        <f>SUM(O115:Z115)</f>
        <v/>
      </c>
      <c r="AF115">
        <f>IFERROR(ROUND(1/SUMPRODUCT(MAX((C114:N114&gt;0)*($C$3:$N$3&lt;=B115)*($C$2:$N$2&gt;AA115)/$C$2:$N$2)),0),0)</f>
        <v/>
      </c>
      <c r="AG115">
        <f>MAX(0,AC115-MAX(0,SUMPRODUCT(($C$2:$N$2=AA115)*(AH115:AS115-$C$7:$N$7))))</f>
        <v/>
      </c>
      <c r="AH115">
        <f>IF(C114&lt;=0,0,ROUND(C114*(1+IF(AND(C$6&gt;0,$B115&lt;C$6),C$4,C$5)/12),2))</f>
        <v/>
      </c>
      <c r="AI115">
        <f>IF(D114&lt;=0,0,ROUND(D114*(1+IF(AND(D$6&gt;0,$B115&lt;D$6),D$4,D$5)/12),2))</f>
        <v/>
      </c>
      <c r="AJ115">
        <f>IF(E114&lt;=0,0,ROUND(E114*(1+IF(AND(E$6&gt;0,$B115&lt;E$6),E$4,E$5)/12),2))</f>
        <v/>
      </c>
      <c r="AK115">
        <f>IF(F114&lt;=0,0,ROUND(F114*(1+IF(AND(F$6&gt;0,$B115&lt;F$6),F$4,F$5)/12),2))</f>
        <v/>
      </c>
      <c r="AL115">
        <f>IF(G114&lt;=0,0,ROUND(G114*(1+IF(AND(G$6&gt;0,$B115&lt;G$6),G$4,G$5)/12),2))</f>
        <v/>
      </c>
      <c r="AM115">
        <f>IF(H114&lt;=0,0,ROUND(H114*(1+IF(AND(H$6&gt;0,$B115&lt;H$6),H$4,H$5)/12),2))</f>
        <v/>
      </c>
      <c r="AN115">
        <f>IF(I114&lt;=0,0,ROUND(I114*(1+IF(AND(I$6&gt;0,$B115&lt;I$6),I$4,I$5)/12),2))</f>
        <v/>
      </c>
      <c r="AO115">
        <f>IF(J114&lt;=0,0,ROUND(J114*(1+IF(AND(J$6&gt;0,$B115&lt;J$6),J$4,J$5)/12),2))</f>
        <v/>
      </c>
      <c r="AP115">
        <f>IF(K114&lt;=0,0,ROUND(K114*(1+IF(AND(K$6&gt;0,$B115&lt;K$6),K$4,K$5)/12),2))</f>
        <v/>
      </c>
      <c r="AQ115">
        <f>IF(L114&lt;=0,0,ROUND(L114*(1+IF(AND(L$6&gt;0,$B115&lt;L$6),L$4,L$5)/12),2))</f>
        <v/>
      </c>
      <c r="AR115">
        <f>IF(M114&lt;=0,0,ROUND(M114*(1+IF(AND(M$6&gt;0,$B115&lt;M$6),M$4,M$5)/12),2))</f>
        <v/>
      </c>
      <c r="AS115">
        <f>IF(N114&lt;=0,0,ROUND(N114*(1+IF(AND(N$6&gt;0,$B115&lt;N$6),N$4,N$5)/12),2))</f>
        <v/>
      </c>
    </row>
    <row r="116">
      <c r="A116" t="n">
        <v>105</v>
      </c>
      <c r="B116">
        <f>EDATE(Plan!$C$6,104)</f>
        <v/>
      </c>
      <c r="C116">
        <f>IF(C115&lt;=0,0,MAX(0,AH116-O116))</f>
        <v/>
      </c>
      <c r="D116">
        <f>IF(D115&lt;=0,0,MAX(0,AI116-P116))</f>
        <v/>
      </c>
      <c r="E116">
        <f>IF(E115&lt;=0,0,MAX(0,AJ116-Q116))</f>
        <v/>
      </c>
      <c r="F116">
        <f>IF(F115&lt;=0,0,MAX(0,AK116-R116))</f>
        <v/>
      </c>
      <c r="G116">
        <f>IF(G115&lt;=0,0,MAX(0,AL116-S116))</f>
        <v/>
      </c>
      <c r="H116">
        <f>IF(H115&lt;=0,0,MAX(0,AM116-T116))</f>
        <v/>
      </c>
      <c r="I116">
        <f>IF(I115&lt;=0,0,MAX(0,AN116-U116))</f>
        <v/>
      </c>
      <c r="J116">
        <f>IF(J115&lt;=0,0,MAX(0,AO116-V116))</f>
        <v/>
      </c>
      <c r="K116">
        <f>IF(K115&lt;=0,0,MAX(0,AP116-W116))</f>
        <v/>
      </c>
      <c r="L116">
        <f>IF(L115&lt;=0,0,MAX(0,AQ116-X116))</f>
        <v/>
      </c>
      <c r="M116">
        <f>IF(M115&lt;=0,0,MAX(0,AR116-Y116))</f>
        <v/>
      </c>
      <c r="N116">
        <f>IF(N115&lt;=0,0,MAX(0,AS116-Z116))</f>
        <v/>
      </c>
      <c r="O116">
        <f>IF(C115&lt;=0,0,MIN(AH116,C$7+IF(C$2=$AA116,$AC116,IF(C$2=$AF116,$AG116,0))))</f>
        <v/>
      </c>
      <c r="P116">
        <f>IF(D115&lt;=0,0,MIN(AI116,D$7+IF(D$2=$AA116,$AC116,IF(D$2=$AF116,$AG116,0))))</f>
        <v/>
      </c>
      <c r="Q116">
        <f>IF(E115&lt;=0,0,MIN(AJ116,E$7+IF(E$2=$AA116,$AC116,IF(E$2=$AF116,$AG116,0))))</f>
        <v/>
      </c>
      <c r="R116">
        <f>IF(F115&lt;=0,0,MIN(AK116,F$7+IF(F$2=$AA116,$AC116,IF(F$2=$AF116,$AG116,0))))</f>
        <v/>
      </c>
      <c r="S116">
        <f>IF(G115&lt;=0,0,MIN(AL116,G$7+IF(G$2=$AA116,$AC116,IF(G$2=$AF116,$AG116,0))))</f>
        <v/>
      </c>
      <c r="T116">
        <f>IF(H115&lt;=0,0,MIN(AM116,H$7+IF(H$2=$AA116,$AC116,IF(H$2=$AF116,$AG116,0))))</f>
        <v/>
      </c>
      <c r="U116">
        <f>IF(I115&lt;=0,0,MIN(AN116,I$7+IF(I$2=$AA116,$AC116,IF(I$2=$AF116,$AG116,0))))</f>
        <v/>
      </c>
      <c r="V116">
        <f>IF(J115&lt;=0,0,MIN(AO116,J$7+IF(J$2=$AA116,$AC116,IF(J$2=$AF116,$AG116,0))))</f>
        <v/>
      </c>
      <c r="W116">
        <f>IF(K115&lt;=0,0,MIN(AP116,K$7+IF(K$2=$AA116,$AC116,IF(K$2=$AF116,$AG116,0))))</f>
        <v/>
      </c>
      <c r="X116">
        <f>IF(L115&lt;=0,0,MIN(AQ116,L$7+IF(L$2=$AA116,$AC116,IF(L$2=$AF116,$AG116,0))))</f>
        <v/>
      </c>
      <c r="Y116">
        <f>IF(M115&lt;=0,0,MIN(AR116,M$7+IF(M$2=$AA116,$AC116,IF(M$2=$AF116,$AG116,0))))</f>
        <v/>
      </c>
      <c r="Z116">
        <f>IF(N115&lt;=0,0,MIN(AS116,N$7+IF(N$2=$AA116,$AC116,IF(N$2=$AF116,$AG116,0))))</f>
        <v/>
      </c>
      <c r="AA116">
        <f>IFERROR(ROUND(1/SUMPRODUCT(MAX((C115:N115&gt;0)*($C$3:$N$3&lt;=B116)/$C$2:$N$2)),0),0)</f>
        <v/>
      </c>
      <c r="AB116">
        <f>SUMPRODUCT((C115:N115&gt;0)*$C$7:$N$7)</f>
        <v/>
      </c>
      <c r="AC116">
        <f>MAX(0,Plan!$C$5-AB116)+IF(A116=Plan!$C$8,N(Plan!$C$7),0)</f>
        <v/>
      </c>
      <c r="AD116">
        <f>SUM(C116:N116)</f>
        <v/>
      </c>
      <c r="AE116">
        <f>SUM(O116:Z116)</f>
        <v/>
      </c>
      <c r="AF116">
        <f>IFERROR(ROUND(1/SUMPRODUCT(MAX((C115:N115&gt;0)*($C$3:$N$3&lt;=B116)*($C$2:$N$2&gt;AA116)/$C$2:$N$2)),0),0)</f>
        <v/>
      </c>
      <c r="AG116">
        <f>MAX(0,AC116-MAX(0,SUMPRODUCT(($C$2:$N$2=AA116)*(AH116:AS116-$C$7:$N$7))))</f>
        <v/>
      </c>
      <c r="AH116">
        <f>IF(C115&lt;=0,0,ROUND(C115*(1+IF(AND(C$6&gt;0,$B116&lt;C$6),C$4,C$5)/12),2))</f>
        <v/>
      </c>
      <c r="AI116">
        <f>IF(D115&lt;=0,0,ROUND(D115*(1+IF(AND(D$6&gt;0,$B116&lt;D$6),D$4,D$5)/12),2))</f>
        <v/>
      </c>
      <c r="AJ116">
        <f>IF(E115&lt;=0,0,ROUND(E115*(1+IF(AND(E$6&gt;0,$B116&lt;E$6),E$4,E$5)/12),2))</f>
        <v/>
      </c>
      <c r="AK116">
        <f>IF(F115&lt;=0,0,ROUND(F115*(1+IF(AND(F$6&gt;0,$B116&lt;F$6),F$4,F$5)/12),2))</f>
        <v/>
      </c>
      <c r="AL116">
        <f>IF(G115&lt;=0,0,ROUND(G115*(1+IF(AND(G$6&gt;0,$B116&lt;G$6),G$4,G$5)/12),2))</f>
        <v/>
      </c>
      <c r="AM116">
        <f>IF(H115&lt;=0,0,ROUND(H115*(1+IF(AND(H$6&gt;0,$B116&lt;H$6),H$4,H$5)/12),2))</f>
        <v/>
      </c>
      <c r="AN116">
        <f>IF(I115&lt;=0,0,ROUND(I115*(1+IF(AND(I$6&gt;0,$B116&lt;I$6),I$4,I$5)/12),2))</f>
        <v/>
      </c>
      <c r="AO116">
        <f>IF(J115&lt;=0,0,ROUND(J115*(1+IF(AND(J$6&gt;0,$B116&lt;J$6),J$4,J$5)/12),2))</f>
        <v/>
      </c>
      <c r="AP116">
        <f>IF(K115&lt;=0,0,ROUND(K115*(1+IF(AND(K$6&gt;0,$B116&lt;K$6),K$4,K$5)/12),2))</f>
        <v/>
      </c>
      <c r="AQ116">
        <f>IF(L115&lt;=0,0,ROUND(L115*(1+IF(AND(L$6&gt;0,$B116&lt;L$6),L$4,L$5)/12),2))</f>
        <v/>
      </c>
      <c r="AR116">
        <f>IF(M115&lt;=0,0,ROUND(M115*(1+IF(AND(M$6&gt;0,$B116&lt;M$6),M$4,M$5)/12),2))</f>
        <v/>
      </c>
      <c r="AS116">
        <f>IF(N115&lt;=0,0,ROUND(N115*(1+IF(AND(N$6&gt;0,$B116&lt;N$6),N$4,N$5)/12),2))</f>
        <v/>
      </c>
    </row>
    <row r="117">
      <c r="A117" t="n">
        <v>106</v>
      </c>
      <c r="B117">
        <f>EDATE(Plan!$C$6,105)</f>
        <v/>
      </c>
      <c r="C117">
        <f>IF(C116&lt;=0,0,MAX(0,AH117-O117))</f>
        <v/>
      </c>
      <c r="D117">
        <f>IF(D116&lt;=0,0,MAX(0,AI117-P117))</f>
        <v/>
      </c>
      <c r="E117">
        <f>IF(E116&lt;=0,0,MAX(0,AJ117-Q117))</f>
        <v/>
      </c>
      <c r="F117">
        <f>IF(F116&lt;=0,0,MAX(0,AK117-R117))</f>
        <v/>
      </c>
      <c r="G117">
        <f>IF(G116&lt;=0,0,MAX(0,AL117-S117))</f>
        <v/>
      </c>
      <c r="H117">
        <f>IF(H116&lt;=0,0,MAX(0,AM117-T117))</f>
        <v/>
      </c>
      <c r="I117">
        <f>IF(I116&lt;=0,0,MAX(0,AN117-U117))</f>
        <v/>
      </c>
      <c r="J117">
        <f>IF(J116&lt;=0,0,MAX(0,AO117-V117))</f>
        <v/>
      </c>
      <c r="K117">
        <f>IF(K116&lt;=0,0,MAX(0,AP117-W117))</f>
        <v/>
      </c>
      <c r="L117">
        <f>IF(L116&lt;=0,0,MAX(0,AQ117-X117))</f>
        <v/>
      </c>
      <c r="M117">
        <f>IF(M116&lt;=0,0,MAX(0,AR117-Y117))</f>
        <v/>
      </c>
      <c r="N117">
        <f>IF(N116&lt;=0,0,MAX(0,AS117-Z117))</f>
        <v/>
      </c>
      <c r="O117">
        <f>IF(C116&lt;=0,0,MIN(AH117,C$7+IF(C$2=$AA117,$AC117,IF(C$2=$AF117,$AG117,0))))</f>
        <v/>
      </c>
      <c r="P117">
        <f>IF(D116&lt;=0,0,MIN(AI117,D$7+IF(D$2=$AA117,$AC117,IF(D$2=$AF117,$AG117,0))))</f>
        <v/>
      </c>
      <c r="Q117">
        <f>IF(E116&lt;=0,0,MIN(AJ117,E$7+IF(E$2=$AA117,$AC117,IF(E$2=$AF117,$AG117,0))))</f>
        <v/>
      </c>
      <c r="R117">
        <f>IF(F116&lt;=0,0,MIN(AK117,F$7+IF(F$2=$AA117,$AC117,IF(F$2=$AF117,$AG117,0))))</f>
        <v/>
      </c>
      <c r="S117">
        <f>IF(G116&lt;=0,0,MIN(AL117,G$7+IF(G$2=$AA117,$AC117,IF(G$2=$AF117,$AG117,0))))</f>
        <v/>
      </c>
      <c r="T117">
        <f>IF(H116&lt;=0,0,MIN(AM117,H$7+IF(H$2=$AA117,$AC117,IF(H$2=$AF117,$AG117,0))))</f>
        <v/>
      </c>
      <c r="U117">
        <f>IF(I116&lt;=0,0,MIN(AN117,I$7+IF(I$2=$AA117,$AC117,IF(I$2=$AF117,$AG117,0))))</f>
        <v/>
      </c>
      <c r="V117">
        <f>IF(J116&lt;=0,0,MIN(AO117,J$7+IF(J$2=$AA117,$AC117,IF(J$2=$AF117,$AG117,0))))</f>
        <v/>
      </c>
      <c r="W117">
        <f>IF(K116&lt;=0,0,MIN(AP117,K$7+IF(K$2=$AA117,$AC117,IF(K$2=$AF117,$AG117,0))))</f>
        <v/>
      </c>
      <c r="X117">
        <f>IF(L116&lt;=0,0,MIN(AQ117,L$7+IF(L$2=$AA117,$AC117,IF(L$2=$AF117,$AG117,0))))</f>
        <v/>
      </c>
      <c r="Y117">
        <f>IF(M116&lt;=0,0,MIN(AR117,M$7+IF(M$2=$AA117,$AC117,IF(M$2=$AF117,$AG117,0))))</f>
        <v/>
      </c>
      <c r="Z117">
        <f>IF(N116&lt;=0,0,MIN(AS117,N$7+IF(N$2=$AA117,$AC117,IF(N$2=$AF117,$AG117,0))))</f>
        <v/>
      </c>
      <c r="AA117">
        <f>IFERROR(ROUND(1/SUMPRODUCT(MAX((C116:N116&gt;0)*($C$3:$N$3&lt;=B117)/$C$2:$N$2)),0),0)</f>
        <v/>
      </c>
      <c r="AB117">
        <f>SUMPRODUCT((C116:N116&gt;0)*$C$7:$N$7)</f>
        <v/>
      </c>
      <c r="AC117">
        <f>MAX(0,Plan!$C$5-AB117)+IF(A117=Plan!$C$8,N(Plan!$C$7),0)</f>
        <v/>
      </c>
      <c r="AD117">
        <f>SUM(C117:N117)</f>
        <v/>
      </c>
      <c r="AE117">
        <f>SUM(O117:Z117)</f>
        <v/>
      </c>
      <c r="AF117">
        <f>IFERROR(ROUND(1/SUMPRODUCT(MAX((C116:N116&gt;0)*($C$3:$N$3&lt;=B117)*($C$2:$N$2&gt;AA117)/$C$2:$N$2)),0),0)</f>
        <v/>
      </c>
      <c r="AG117">
        <f>MAX(0,AC117-MAX(0,SUMPRODUCT(($C$2:$N$2=AA117)*(AH117:AS117-$C$7:$N$7))))</f>
        <v/>
      </c>
      <c r="AH117">
        <f>IF(C116&lt;=0,0,ROUND(C116*(1+IF(AND(C$6&gt;0,$B117&lt;C$6),C$4,C$5)/12),2))</f>
        <v/>
      </c>
      <c r="AI117">
        <f>IF(D116&lt;=0,0,ROUND(D116*(1+IF(AND(D$6&gt;0,$B117&lt;D$6),D$4,D$5)/12),2))</f>
        <v/>
      </c>
      <c r="AJ117">
        <f>IF(E116&lt;=0,0,ROUND(E116*(1+IF(AND(E$6&gt;0,$B117&lt;E$6),E$4,E$5)/12),2))</f>
        <v/>
      </c>
      <c r="AK117">
        <f>IF(F116&lt;=0,0,ROUND(F116*(1+IF(AND(F$6&gt;0,$B117&lt;F$6),F$4,F$5)/12),2))</f>
        <v/>
      </c>
      <c r="AL117">
        <f>IF(G116&lt;=0,0,ROUND(G116*(1+IF(AND(G$6&gt;0,$B117&lt;G$6),G$4,G$5)/12),2))</f>
        <v/>
      </c>
      <c r="AM117">
        <f>IF(H116&lt;=0,0,ROUND(H116*(1+IF(AND(H$6&gt;0,$B117&lt;H$6),H$4,H$5)/12),2))</f>
        <v/>
      </c>
      <c r="AN117">
        <f>IF(I116&lt;=0,0,ROUND(I116*(1+IF(AND(I$6&gt;0,$B117&lt;I$6),I$4,I$5)/12),2))</f>
        <v/>
      </c>
      <c r="AO117">
        <f>IF(J116&lt;=0,0,ROUND(J116*(1+IF(AND(J$6&gt;0,$B117&lt;J$6),J$4,J$5)/12),2))</f>
        <v/>
      </c>
      <c r="AP117">
        <f>IF(K116&lt;=0,0,ROUND(K116*(1+IF(AND(K$6&gt;0,$B117&lt;K$6),K$4,K$5)/12),2))</f>
        <v/>
      </c>
      <c r="AQ117">
        <f>IF(L116&lt;=0,0,ROUND(L116*(1+IF(AND(L$6&gt;0,$B117&lt;L$6),L$4,L$5)/12),2))</f>
        <v/>
      </c>
      <c r="AR117">
        <f>IF(M116&lt;=0,0,ROUND(M116*(1+IF(AND(M$6&gt;0,$B117&lt;M$6),M$4,M$5)/12),2))</f>
        <v/>
      </c>
      <c r="AS117">
        <f>IF(N116&lt;=0,0,ROUND(N116*(1+IF(AND(N$6&gt;0,$B117&lt;N$6),N$4,N$5)/12),2))</f>
        <v/>
      </c>
    </row>
    <row r="118">
      <c r="A118" t="n">
        <v>107</v>
      </c>
      <c r="B118">
        <f>EDATE(Plan!$C$6,106)</f>
        <v/>
      </c>
      <c r="C118">
        <f>IF(C117&lt;=0,0,MAX(0,AH118-O118))</f>
        <v/>
      </c>
      <c r="D118">
        <f>IF(D117&lt;=0,0,MAX(0,AI118-P118))</f>
        <v/>
      </c>
      <c r="E118">
        <f>IF(E117&lt;=0,0,MAX(0,AJ118-Q118))</f>
        <v/>
      </c>
      <c r="F118">
        <f>IF(F117&lt;=0,0,MAX(0,AK118-R118))</f>
        <v/>
      </c>
      <c r="G118">
        <f>IF(G117&lt;=0,0,MAX(0,AL118-S118))</f>
        <v/>
      </c>
      <c r="H118">
        <f>IF(H117&lt;=0,0,MAX(0,AM118-T118))</f>
        <v/>
      </c>
      <c r="I118">
        <f>IF(I117&lt;=0,0,MAX(0,AN118-U118))</f>
        <v/>
      </c>
      <c r="J118">
        <f>IF(J117&lt;=0,0,MAX(0,AO118-V118))</f>
        <v/>
      </c>
      <c r="K118">
        <f>IF(K117&lt;=0,0,MAX(0,AP118-W118))</f>
        <v/>
      </c>
      <c r="L118">
        <f>IF(L117&lt;=0,0,MAX(0,AQ118-X118))</f>
        <v/>
      </c>
      <c r="M118">
        <f>IF(M117&lt;=0,0,MAX(0,AR118-Y118))</f>
        <v/>
      </c>
      <c r="N118">
        <f>IF(N117&lt;=0,0,MAX(0,AS118-Z118))</f>
        <v/>
      </c>
      <c r="O118">
        <f>IF(C117&lt;=0,0,MIN(AH118,C$7+IF(C$2=$AA118,$AC118,IF(C$2=$AF118,$AG118,0))))</f>
        <v/>
      </c>
      <c r="P118">
        <f>IF(D117&lt;=0,0,MIN(AI118,D$7+IF(D$2=$AA118,$AC118,IF(D$2=$AF118,$AG118,0))))</f>
        <v/>
      </c>
      <c r="Q118">
        <f>IF(E117&lt;=0,0,MIN(AJ118,E$7+IF(E$2=$AA118,$AC118,IF(E$2=$AF118,$AG118,0))))</f>
        <v/>
      </c>
      <c r="R118">
        <f>IF(F117&lt;=0,0,MIN(AK118,F$7+IF(F$2=$AA118,$AC118,IF(F$2=$AF118,$AG118,0))))</f>
        <v/>
      </c>
      <c r="S118">
        <f>IF(G117&lt;=0,0,MIN(AL118,G$7+IF(G$2=$AA118,$AC118,IF(G$2=$AF118,$AG118,0))))</f>
        <v/>
      </c>
      <c r="T118">
        <f>IF(H117&lt;=0,0,MIN(AM118,H$7+IF(H$2=$AA118,$AC118,IF(H$2=$AF118,$AG118,0))))</f>
        <v/>
      </c>
      <c r="U118">
        <f>IF(I117&lt;=0,0,MIN(AN118,I$7+IF(I$2=$AA118,$AC118,IF(I$2=$AF118,$AG118,0))))</f>
        <v/>
      </c>
      <c r="V118">
        <f>IF(J117&lt;=0,0,MIN(AO118,J$7+IF(J$2=$AA118,$AC118,IF(J$2=$AF118,$AG118,0))))</f>
        <v/>
      </c>
      <c r="W118">
        <f>IF(K117&lt;=0,0,MIN(AP118,K$7+IF(K$2=$AA118,$AC118,IF(K$2=$AF118,$AG118,0))))</f>
        <v/>
      </c>
      <c r="X118">
        <f>IF(L117&lt;=0,0,MIN(AQ118,L$7+IF(L$2=$AA118,$AC118,IF(L$2=$AF118,$AG118,0))))</f>
        <v/>
      </c>
      <c r="Y118">
        <f>IF(M117&lt;=0,0,MIN(AR118,M$7+IF(M$2=$AA118,$AC118,IF(M$2=$AF118,$AG118,0))))</f>
        <v/>
      </c>
      <c r="Z118">
        <f>IF(N117&lt;=0,0,MIN(AS118,N$7+IF(N$2=$AA118,$AC118,IF(N$2=$AF118,$AG118,0))))</f>
        <v/>
      </c>
      <c r="AA118">
        <f>IFERROR(ROUND(1/SUMPRODUCT(MAX((C117:N117&gt;0)*($C$3:$N$3&lt;=B118)/$C$2:$N$2)),0),0)</f>
        <v/>
      </c>
      <c r="AB118">
        <f>SUMPRODUCT((C117:N117&gt;0)*$C$7:$N$7)</f>
        <v/>
      </c>
      <c r="AC118">
        <f>MAX(0,Plan!$C$5-AB118)+IF(A118=Plan!$C$8,N(Plan!$C$7),0)</f>
        <v/>
      </c>
      <c r="AD118">
        <f>SUM(C118:N118)</f>
        <v/>
      </c>
      <c r="AE118">
        <f>SUM(O118:Z118)</f>
        <v/>
      </c>
      <c r="AF118">
        <f>IFERROR(ROUND(1/SUMPRODUCT(MAX((C117:N117&gt;0)*($C$3:$N$3&lt;=B118)*($C$2:$N$2&gt;AA118)/$C$2:$N$2)),0),0)</f>
        <v/>
      </c>
      <c r="AG118">
        <f>MAX(0,AC118-MAX(0,SUMPRODUCT(($C$2:$N$2=AA118)*(AH118:AS118-$C$7:$N$7))))</f>
        <v/>
      </c>
      <c r="AH118">
        <f>IF(C117&lt;=0,0,ROUND(C117*(1+IF(AND(C$6&gt;0,$B118&lt;C$6),C$4,C$5)/12),2))</f>
        <v/>
      </c>
      <c r="AI118">
        <f>IF(D117&lt;=0,0,ROUND(D117*(1+IF(AND(D$6&gt;0,$B118&lt;D$6),D$4,D$5)/12),2))</f>
        <v/>
      </c>
      <c r="AJ118">
        <f>IF(E117&lt;=0,0,ROUND(E117*(1+IF(AND(E$6&gt;0,$B118&lt;E$6),E$4,E$5)/12),2))</f>
        <v/>
      </c>
      <c r="AK118">
        <f>IF(F117&lt;=0,0,ROUND(F117*(1+IF(AND(F$6&gt;0,$B118&lt;F$6),F$4,F$5)/12),2))</f>
        <v/>
      </c>
      <c r="AL118">
        <f>IF(G117&lt;=0,0,ROUND(G117*(1+IF(AND(G$6&gt;0,$B118&lt;G$6),G$4,G$5)/12),2))</f>
        <v/>
      </c>
      <c r="AM118">
        <f>IF(H117&lt;=0,0,ROUND(H117*(1+IF(AND(H$6&gt;0,$B118&lt;H$6),H$4,H$5)/12),2))</f>
        <v/>
      </c>
      <c r="AN118">
        <f>IF(I117&lt;=0,0,ROUND(I117*(1+IF(AND(I$6&gt;0,$B118&lt;I$6),I$4,I$5)/12),2))</f>
        <v/>
      </c>
      <c r="AO118">
        <f>IF(J117&lt;=0,0,ROUND(J117*(1+IF(AND(J$6&gt;0,$B118&lt;J$6),J$4,J$5)/12),2))</f>
        <v/>
      </c>
      <c r="AP118">
        <f>IF(K117&lt;=0,0,ROUND(K117*(1+IF(AND(K$6&gt;0,$B118&lt;K$6),K$4,K$5)/12),2))</f>
        <v/>
      </c>
      <c r="AQ118">
        <f>IF(L117&lt;=0,0,ROUND(L117*(1+IF(AND(L$6&gt;0,$B118&lt;L$6),L$4,L$5)/12),2))</f>
        <v/>
      </c>
      <c r="AR118">
        <f>IF(M117&lt;=0,0,ROUND(M117*(1+IF(AND(M$6&gt;0,$B118&lt;M$6),M$4,M$5)/12),2))</f>
        <v/>
      </c>
      <c r="AS118">
        <f>IF(N117&lt;=0,0,ROUND(N117*(1+IF(AND(N$6&gt;0,$B118&lt;N$6),N$4,N$5)/12),2))</f>
        <v/>
      </c>
    </row>
    <row r="119">
      <c r="A119" t="n">
        <v>108</v>
      </c>
      <c r="B119">
        <f>EDATE(Plan!$C$6,107)</f>
        <v/>
      </c>
      <c r="C119">
        <f>IF(C118&lt;=0,0,MAX(0,AH119-O119))</f>
        <v/>
      </c>
      <c r="D119">
        <f>IF(D118&lt;=0,0,MAX(0,AI119-P119))</f>
        <v/>
      </c>
      <c r="E119">
        <f>IF(E118&lt;=0,0,MAX(0,AJ119-Q119))</f>
        <v/>
      </c>
      <c r="F119">
        <f>IF(F118&lt;=0,0,MAX(0,AK119-R119))</f>
        <v/>
      </c>
      <c r="G119">
        <f>IF(G118&lt;=0,0,MAX(0,AL119-S119))</f>
        <v/>
      </c>
      <c r="H119">
        <f>IF(H118&lt;=0,0,MAX(0,AM119-T119))</f>
        <v/>
      </c>
      <c r="I119">
        <f>IF(I118&lt;=0,0,MAX(0,AN119-U119))</f>
        <v/>
      </c>
      <c r="J119">
        <f>IF(J118&lt;=0,0,MAX(0,AO119-V119))</f>
        <v/>
      </c>
      <c r="K119">
        <f>IF(K118&lt;=0,0,MAX(0,AP119-W119))</f>
        <v/>
      </c>
      <c r="L119">
        <f>IF(L118&lt;=0,0,MAX(0,AQ119-X119))</f>
        <v/>
      </c>
      <c r="M119">
        <f>IF(M118&lt;=0,0,MAX(0,AR119-Y119))</f>
        <v/>
      </c>
      <c r="N119">
        <f>IF(N118&lt;=0,0,MAX(0,AS119-Z119))</f>
        <v/>
      </c>
      <c r="O119">
        <f>IF(C118&lt;=0,0,MIN(AH119,C$7+IF(C$2=$AA119,$AC119,IF(C$2=$AF119,$AG119,0))))</f>
        <v/>
      </c>
      <c r="P119">
        <f>IF(D118&lt;=0,0,MIN(AI119,D$7+IF(D$2=$AA119,$AC119,IF(D$2=$AF119,$AG119,0))))</f>
        <v/>
      </c>
      <c r="Q119">
        <f>IF(E118&lt;=0,0,MIN(AJ119,E$7+IF(E$2=$AA119,$AC119,IF(E$2=$AF119,$AG119,0))))</f>
        <v/>
      </c>
      <c r="R119">
        <f>IF(F118&lt;=0,0,MIN(AK119,F$7+IF(F$2=$AA119,$AC119,IF(F$2=$AF119,$AG119,0))))</f>
        <v/>
      </c>
      <c r="S119">
        <f>IF(G118&lt;=0,0,MIN(AL119,G$7+IF(G$2=$AA119,$AC119,IF(G$2=$AF119,$AG119,0))))</f>
        <v/>
      </c>
      <c r="T119">
        <f>IF(H118&lt;=0,0,MIN(AM119,H$7+IF(H$2=$AA119,$AC119,IF(H$2=$AF119,$AG119,0))))</f>
        <v/>
      </c>
      <c r="U119">
        <f>IF(I118&lt;=0,0,MIN(AN119,I$7+IF(I$2=$AA119,$AC119,IF(I$2=$AF119,$AG119,0))))</f>
        <v/>
      </c>
      <c r="V119">
        <f>IF(J118&lt;=0,0,MIN(AO119,J$7+IF(J$2=$AA119,$AC119,IF(J$2=$AF119,$AG119,0))))</f>
        <v/>
      </c>
      <c r="W119">
        <f>IF(K118&lt;=0,0,MIN(AP119,K$7+IF(K$2=$AA119,$AC119,IF(K$2=$AF119,$AG119,0))))</f>
        <v/>
      </c>
      <c r="X119">
        <f>IF(L118&lt;=0,0,MIN(AQ119,L$7+IF(L$2=$AA119,$AC119,IF(L$2=$AF119,$AG119,0))))</f>
        <v/>
      </c>
      <c r="Y119">
        <f>IF(M118&lt;=0,0,MIN(AR119,M$7+IF(M$2=$AA119,$AC119,IF(M$2=$AF119,$AG119,0))))</f>
        <v/>
      </c>
      <c r="Z119">
        <f>IF(N118&lt;=0,0,MIN(AS119,N$7+IF(N$2=$AA119,$AC119,IF(N$2=$AF119,$AG119,0))))</f>
        <v/>
      </c>
      <c r="AA119">
        <f>IFERROR(ROUND(1/SUMPRODUCT(MAX((C118:N118&gt;0)*($C$3:$N$3&lt;=B119)/$C$2:$N$2)),0),0)</f>
        <v/>
      </c>
      <c r="AB119">
        <f>SUMPRODUCT((C118:N118&gt;0)*$C$7:$N$7)</f>
        <v/>
      </c>
      <c r="AC119">
        <f>MAX(0,Plan!$C$5-AB119)+IF(A119=Plan!$C$8,N(Plan!$C$7),0)</f>
        <v/>
      </c>
      <c r="AD119">
        <f>SUM(C119:N119)</f>
        <v/>
      </c>
      <c r="AE119">
        <f>SUM(O119:Z119)</f>
        <v/>
      </c>
      <c r="AF119">
        <f>IFERROR(ROUND(1/SUMPRODUCT(MAX((C118:N118&gt;0)*($C$3:$N$3&lt;=B119)*($C$2:$N$2&gt;AA119)/$C$2:$N$2)),0),0)</f>
        <v/>
      </c>
      <c r="AG119">
        <f>MAX(0,AC119-MAX(0,SUMPRODUCT(($C$2:$N$2=AA119)*(AH119:AS119-$C$7:$N$7))))</f>
        <v/>
      </c>
      <c r="AH119">
        <f>IF(C118&lt;=0,0,ROUND(C118*(1+IF(AND(C$6&gt;0,$B119&lt;C$6),C$4,C$5)/12),2))</f>
        <v/>
      </c>
      <c r="AI119">
        <f>IF(D118&lt;=0,0,ROUND(D118*(1+IF(AND(D$6&gt;0,$B119&lt;D$6),D$4,D$5)/12),2))</f>
        <v/>
      </c>
      <c r="AJ119">
        <f>IF(E118&lt;=0,0,ROUND(E118*(1+IF(AND(E$6&gt;0,$B119&lt;E$6),E$4,E$5)/12),2))</f>
        <v/>
      </c>
      <c r="AK119">
        <f>IF(F118&lt;=0,0,ROUND(F118*(1+IF(AND(F$6&gt;0,$B119&lt;F$6),F$4,F$5)/12),2))</f>
        <v/>
      </c>
      <c r="AL119">
        <f>IF(G118&lt;=0,0,ROUND(G118*(1+IF(AND(G$6&gt;0,$B119&lt;G$6),G$4,G$5)/12),2))</f>
        <v/>
      </c>
      <c r="AM119">
        <f>IF(H118&lt;=0,0,ROUND(H118*(1+IF(AND(H$6&gt;0,$B119&lt;H$6),H$4,H$5)/12),2))</f>
        <v/>
      </c>
      <c r="AN119">
        <f>IF(I118&lt;=0,0,ROUND(I118*(1+IF(AND(I$6&gt;0,$B119&lt;I$6),I$4,I$5)/12),2))</f>
        <v/>
      </c>
      <c r="AO119">
        <f>IF(J118&lt;=0,0,ROUND(J118*(1+IF(AND(J$6&gt;0,$B119&lt;J$6),J$4,J$5)/12),2))</f>
        <v/>
      </c>
      <c r="AP119">
        <f>IF(K118&lt;=0,0,ROUND(K118*(1+IF(AND(K$6&gt;0,$B119&lt;K$6),K$4,K$5)/12),2))</f>
        <v/>
      </c>
      <c r="AQ119">
        <f>IF(L118&lt;=0,0,ROUND(L118*(1+IF(AND(L$6&gt;0,$B119&lt;L$6),L$4,L$5)/12),2))</f>
        <v/>
      </c>
      <c r="AR119">
        <f>IF(M118&lt;=0,0,ROUND(M118*(1+IF(AND(M$6&gt;0,$B119&lt;M$6),M$4,M$5)/12),2))</f>
        <v/>
      </c>
      <c r="AS119">
        <f>IF(N118&lt;=0,0,ROUND(N118*(1+IF(AND(N$6&gt;0,$B119&lt;N$6),N$4,N$5)/12),2))</f>
        <v/>
      </c>
    </row>
    <row r="120">
      <c r="A120" t="n">
        <v>109</v>
      </c>
      <c r="B120">
        <f>EDATE(Plan!$C$6,108)</f>
        <v/>
      </c>
      <c r="C120">
        <f>IF(C119&lt;=0,0,MAX(0,AH120-O120))</f>
        <v/>
      </c>
      <c r="D120">
        <f>IF(D119&lt;=0,0,MAX(0,AI120-P120))</f>
        <v/>
      </c>
      <c r="E120">
        <f>IF(E119&lt;=0,0,MAX(0,AJ120-Q120))</f>
        <v/>
      </c>
      <c r="F120">
        <f>IF(F119&lt;=0,0,MAX(0,AK120-R120))</f>
        <v/>
      </c>
      <c r="G120">
        <f>IF(G119&lt;=0,0,MAX(0,AL120-S120))</f>
        <v/>
      </c>
      <c r="H120">
        <f>IF(H119&lt;=0,0,MAX(0,AM120-T120))</f>
        <v/>
      </c>
      <c r="I120">
        <f>IF(I119&lt;=0,0,MAX(0,AN120-U120))</f>
        <v/>
      </c>
      <c r="J120">
        <f>IF(J119&lt;=0,0,MAX(0,AO120-V120))</f>
        <v/>
      </c>
      <c r="K120">
        <f>IF(K119&lt;=0,0,MAX(0,AP120-W120))</f>
        <v/>
      </c>
      <c r="L120">
        <f>IF(L119&lt;=0,0,MAX(0,AQ120-X120))</f>
        <v/>
      </c>
      <c r="M120">
        <f>IF(M119&lt;=0,0,MAX(0,AR120-Y120))</f>
        <v/>
      </c>
      <c r="N120">
        <f>IF(N119&lt;=0,0,MAX(0,AS120-Z120))</f>
        <v/>
      </c>
      <c r="O120">
        <f>IF(C119&lt;=0,0,MIN(AH120,C$7+IF(C$2=$AA120,$AC120,IF(C$2=$AF120,$AG120,0))))</f>
        <v/>
      </c>
      <c r="P120">
        <f>IF(D119&lt;=0,0,MIN(AI120,D$7+IF(D$2=$AA120,$AC120,IF(D$2=$AF120,$AG120,0))))</f>
        <v/>
      </c>
      <c r="Q120">
        <f>IF(E119&lt;=0,0,MIN(AJ120,E$7+IF(E$2=$AA120,$AC120,IF(E$2=$AF120,$AG120,0))))</f>
        <v/>
      </c>
      <c r="R120">
        <f>IF(F119&lt;=0,0,MIN(AK120,F$7+IF(F$2=$AA120,$AC120,IF(F$2=$AF120,$AG120,0))))</f>
        <v/>
      </c>
      <c r="S120">
        <f>IF(G119&lt;=0,0,MIN(AL120,G$7+IF(G$2=$AA120,$AC120,IF(G$2=$AF120,$AG120,0))))</f>
        <v/>
      </c>
      <c r="T120">
        <f>IF(H119&lt;=0,0,MIN(AM120,H$7+IF(H$2=$AA120,$AC120,IF(H$2=$AF120,$AG120,0))))</f>
        <v/>
      </c>
      <c r="U120">
        <f>IF(I119&lt;=0,0,MIN(AN120,I$7+IF(I$2=$AA120,$AC120,IF(I$2=$AF120,$AG120,0))))</f>
        <v/>
      </c>
      <c r="V120">
        <f>IF(J119&lt;=0,0,MIN(AO120,J$7+IF(J$2=$AA120,$AC120,IF(J$2=$AF120,$AG120,0))))</f>
        <v/>
      </c>
      <c r="W120">
        <f>IF(K119&lt;=0,0,MIN(AP120,K$7+IF(K$2=$AA120,$AC120,IF(K$2=$AF120,$AG120,0))))</f>
        <v/>
      </c>
      <c r="X120">
        <f>IF(L119&lt;=0,0,MIN(AQ120,L$7+IF(L$2=$AA120,$AC120,IF(L$2=$AF120,$AG120,0))))</f>
        <v/>
      </c>
      <c r="Y120">
        <f>IF(M119&lt;=0,0,MIN(AR120,M$7+IF(M$2=$AA120,$AC120,IF(M$2=$AF120,$AG120,0))))</f>
        <v/>
      </c>
      <c r="Z120">
        <f>IF(N119&lt;=0,0,MIN(AS120,N$7+IF(N$2=$AA120,$AC120,IF(N$2=$AF120,$AG120,0))))</f>
        <v/>
      </c>
      <c r="AA120">
        <f>IFERROR(ROUND(1/SUMPRODUCT(MAX((C119:N119&gt;0)*($C$3:$N$3&lt;=B120)/$C$2:$N$2)),0),0)</f>
        <v/>
      </c>
      <c r="AB120">
        <f>SUMPRODUCT((C119:N119&gt;0)*$C$7:$N$7)</f>
        <v/>
      </c>
      <c r="AC120">
        <f>MAX(0,Plan!$C$5-AB120)+IF(A120=Plan!$C$8,N(Plan!$C$7),0)</f>
        <v/>
      </c>
      <c r="AD120">
        <f>SUM(C120:N120)</f>
        <v/>
      </c>
      <c r="AE120">
        <f>SUM(O120:Z120)</f>
        <v/>
      </c>
      <c r="AF120">
        <f>IFERROR(ROUND(1/SUMPRODUCT(MAX((C119:N119&gt;0)*($C$3:$N$3&lt;=B120)*($C$2:$N$2&gt;AA120)/$C$2:$N$2)),0),0)</f>
        <v/>
      </c>
      <c r="AG120">
        <f>MAX(0,AC120-MAX(0,SUMPRODUCT(($C$2:$N$2=AA120)*(AH120:AS120-$C$7:$N$7))))</f>
        <v/>
      </c>
      <c r="AH120">
        <f>IF(C119&lt;=0,0,ROUND(C119*(1+IF(AND(C$6&gt;0,$B120&lt;C$6),C$4,C$5)/12),2))</f>
        <v/>
      </c>
      <c r="AI120">
        <f>IF(D119&lt;=0,0,ROUND(D119*(1+IF(AND(D$6&gt;0,$B120&lt;D$6),D$4,D$5)/12),2))</f>
        <v/>
      </c>
      <c r="AJ120">
        <f>IF(E119&lt;=0,0,ROUND(E119*(1+IF(AND(E$6&gt;0,$B120&lt;E$6),E$4,E$5)/12),2))</f>
        <v/>
      </c>
      <c r="AK120">
        <f>IF(F119&lt;=0,0,ROUND(F119*(1+IF(AND(F$6&gt;0,$B120&lt;F$6),F$4,F$5)/12),2))</f>
        <v/>
      </c>
      <c r="AL120">
        <f>IF(G119&lt;=0,0,ROUND(G119*(1+IF(AND(G$6&gt;0,$B120&lt;G$6),G$4,G$5)/12),2))</f>
        <v/>
      </c>
      <c r="AM120">
        <f>IF(H119&lt;=0,0,ROUND(H119*(1+IF(AND(H$6&gt;0,$B120&lt;H$6),H$4,H$5)/12),2))</f>
        <v/>
      </c>
      <c r="AN120">
        <f>IF(I119&lt;=0,0,ROUND(I119*(1+IF(AND(I$6&gt;0,$B120&lt;I$6),I$4,I$5)/12),2))</f>
        <v/>
      </c>
      <c r="AO120">
        <f>IF(J119&lt;=0,0,ROUND(J119*(1+IF(AND(J$6&gt;0,$B120&lt;J$6),J$4,J$5)/12),2))</f>
        <v/>
      </c>
      <c r="AP120">
        <f>IF(K119&lt;=0,0,ROUND(K119*(1+IF(AND(K$6&gt;0,$B120&lt;K$6),K$4,K$5)/12),2))</f>
        <v/>
      </c>
      <c r="AQ120">
        <f>IF(L119&lt;=0,0,ROUND(L119*(1+IF(AND(L$6&gt;0,$B120&lt;L$6),L$4,L$5)/12),2))</f>
        <v/>
      </c>
      <c r="AR120">
        <f>IF(M119&lt;=0,0,ROUND(M119*(1+IF(AND(M$6&gt;0,$B120&lt;M$6),M$4,M$5)/12),2))</f>
        <v/>
      </c>
      <c r="AS120">
        <f>IF(N119&lt;=0,0,ROUND(N119*(1+IF(AND(N$6&gt;0,$B120&lt;N$6),N$4,N$5)/12),2))</f>
        <v/>
      </c>
    </row>
    <row r="121">
      <c r="A121" t="n">
        <v>110</v>
      </c>
      <c r="B121">
        <f>EDATE(Plan!$C$6,109)</f>
        <v/>
      </c>
      <c r="C121">
        <f>IF(C120&lt;=0,0,MAX(0,AH121-O121))</f>
        <v/>
      </c>
      <c r="D121">
        <f>IF(D120&lt;=0,0,MAX(0,AI121-P121))</f>
        <v/>
      </c>
      <c r="E121">
        <f>IF(E120&lt;=0,0,MAX(0,AJ121-Q121))</f>
        <v/>
      </c>
      <c r="F121">
        <f>IF(F120&lt;=0,0,MAX(0,AK121-R121))</f>
        <v/>
      </c>
      <c r="G121">
        <f>IF(G120&lt;=0,0,MAX(0,AL121-S121))</f>
        <v/>
      </c>
      <c r="H121">
        <f>IF(H120&lt;=0,0,MAX(0,AM121-T121))</f>
        <v/>
      </c>
      <c r="I121">
        <f>IF(I120&lt;=0,0,MAX(0,AN121-U121))</f>
        <v/>
      </c>
      <c r="J121">
        <f>IF(J120&lt;=0,0,MAX(0,AO121-V121))</f>
        <v/>
      </c>
      <c r="K121">
        <f>IF(K120&lt;=0,0,MAX(0,AP121-W121))</f>
        <v/>
      </c>
      <c r="L121">
        <f>IF(L120&lt;=0,0,MAX(0,AQ121-X121))</f>
        <v/>
      </c>
      <c r="M121">
        <f>IF(M120&lt;=0,0,MAX(0,AR121-Y121))</f>
        <v/>
      </c>
      <c r="N121">
        <f>IF(N120&lt;=0,0,MAX(0,AS121-Z121))</f>
        <v/>
      </c>
      <c r="O121">
        <f>IF(C120&lt;=0,0,MIN(AH121,C$7+IF(C$2=$AA121,$AC121,IF(C$2=$AF121,$AG121,0))))</f>
        <v/>
      </c>
      <c r="P121">
        <f>IF(D120&lt;=0,0,MIN(AI121,D$7+IF(D$2=$AA121,$AC121,IF(D$2=$AF121,$AG121,0))))</f>
        <v/>
      </c>
      <c r="Q121">
        <f>IF(E120&lt;=0,0,MIN(AJ121,E$7+IF(E$2=$AA121,$AC121,IF(E$2=$AF121,$AG121,0))))</f>
        <v/>
      </c>
      <c r="R121">
        <f>IF(F120&lt;=0,0,MIN(AK121,F$7+IF(F$2=$AA121,$AC121,IF(F$2=$AF121,$AG121,0))))</f>
        <v/>
      </c>
      <c r="S121">
        <f>IF(G120&lt;=0,0,MIN(AL121,G$7+IF(G$2=$AA121,$AC121,IF(G$2=$AF121,$AG121,0))))</f>
        <v/>
      </c>
      <c r="T121">
        <f>IF(H120&lt;=0,0,MIN(AM121,H$7+IF(H$2=$AA121,$AC121,IF(H$2=$AF121,$AG121,0))))</f>
        <v/>
      </c>
      <c r="U121">
        <f>IF(I120&lt;=0,0,MIN(AN121,I$7+IF(I$2=$AA121,$AC121,IF(I$2=$AF121,$AG121,0))))</f>
        <v/>
      </c>
      <c r="V121">
        <f>IF(J120&lt;=0,0,MIN(AO121,J$7+IF(J$2=$AA121,$AC121,IF(J$2=$AF121,$AG121,0))))</f>
        <v/>
      </c>
      <c r="W121">
        <f>IF(K120&lt;=0,0,MIN(AP121,K$7+IF(K$2=$AA121,$AC121,IF(K$2=$AF121,$AG121,0))))</f>
        <v/>
      </c>
      <c r="X121">
        <f>IF(L120&lt;=0,0,MIN(AQ121,L$7+IF(L$2=$AA121,$AC121,IF(L$2=$AF121,$AG121,0))))</f>
        <v/>
      </c>
      <c r="Y121">
        <f>IF(M120&lt;=0,0,MIN(AR121,M$7+IF(M$2=$AA121,$AC121,IF(M$2=$AF121,$AG121,0))))</f>
        <v/>
      </c>
      <c r="Z121">
        <f>IF(N120&lt;=0,0,MIN(AS121,N$7+IF(N$2=$AA121,$AC121,IF(N$2=$AF121,$AG121,0))))</f>
        <v/>
      </c>
      <c r="AA121">
        <f>IFERROR(ROUND(1/SUMPRODUCT(MAX((C120:N120&gt;0)*($C$3:$N$3&lt;=B121)/$C$2:$N$2)),0),0)</f>
        <v/>
      </c>
      <c r="AB121">
        <f>SUMPRODUCT((C120:N120&gt;0)*$C$7:$N$7)</f>
        <v/>
      </c>
      <c r="AC121">
        <f>MAX(0,Plan!$C$5-AB121)+IF(A121=Plan!$C$8,N(Plan!$C$7),0)</f>
        <v/>
      </c>
      <c r="AD121">
        <f>SUM(C121:N121)</f>
        <v/>
      </c>
      <c r="AE121">
        <f>SUM(O121:Z121)</f>
        <v/>
      </c>
      <c r="AF121">
        <f>IFERROR(ROUND(1/SUMPRODUCT(MAX((C120:N120&gt;0)*($C$3:$N$3&lt;=B121)*($C$2:$N$2&gt;AA121)/$C$2:$N$2)),0),0)</f>
        <v/>
      </c>
      <c r="AG121">
        <f>MAX(0,AC121-MAX(0,SUMPRODUCT(($C$2:$N$2=AA121)*(AH121:AS121-$C$7:$N$7))))</f>
        <v/>
      </c>
      <c r="AH121">
        <f>IF(C120&lt;=0,0,ROUND(C120*(1+IF(AND(C$6&gt;0,$B121&lt;C$6),C$4,C$5)/12),2))</f>
        <v/>
      </c>
      <c r="AI121">
        <f>IF(D120&lt;=0,0,ROUND(D120*(1+IF(AND(D$6&gt;0,$B121&lt;D$6),D$4,D$5)/12),2))</f>
        <v/>
      </c>
      <c r="AJ121">
        <f>IF(E120&lt;=0,0,ROUND(E120*(1+IF(AND(E$6&gt;0,$B121&lt;E$6),E$4,E$5)/12),2))</f>
        <v/>
      </c>
      <c r="AK121">
        <f>IF(F120&lt;=0,0,ROUND(F120*(1+IF(AND(F$6&gt;0,$B121&lt;F$6),F$4,F$5)/12),2))</f>
        <v/>
      </c>
      <c r="AL121">
        <f>IF(G120&lt;=0,0,ROUND(G120*(1+IF(AND(G$6&gt;0,$B121&lt;G$6),G$4,G$5)/12),2))</f>
        <v/>
      </c>
      <c r="AM121">
        <f>IF(H120&lt;=0,0,ROUND(H120*(1+IF(AND(H$6&gt;0,$B121&lt;H$6),H$4,H$5)/12),2))</f>
        <v/>
      </c>
      <c r="AN121">
        <f>IF(I120&lt;=0,0,ROUND(I120*(1+IF(AND(I$6&gt;0,$B121&lt;I$6),I$4,I$5)/12),2))</f>
        <v/>
      </c>
      <c r="AO121">
        <f>IF(J120&lt;=0,0,ROUND(J120*(1+IF(AND(J$6&gt;0,$B121&lt;J$6),J$4,J$5)/12),2))</f>
        <v/>
      </c>
      <c r="AP121">
        <f>IF(K120&lt;=0,0,ROUND(K120*(1+IF(AND(K$6&gt;0,$B121&lt;K$6),K$4,K$5)/12),2))</f>
        <v/>
      </c>
      <c r="AQ121">
        <f>IF(L120&lt;=0,0,ROUND(L120*(1+IF(AND(L$6&gt;0,$B121&lt;L$6),L$4,L$5)/12),2))</f>
        <v/>
      </c>
      <c r="AR121">
        <f>IF(M120&lt;=0,0,ROUND(M120*(1+IF(AND(M$6&gt;0,$B121&lt;M$6),M$4,M$5)/12),2))</f>
        <v/>
      </c>
      <c r="AS121">
        <f>IF(N120&lt;=0,0,ROUND(N120*(1+IF(AND(N$6&gt;0,$B121&lt;N$6),N$4,N$5)/12),2))</f>
        <v/>
      </c>
    </row>
    <row r="122">
      <c r="A122" t="n">
        <v>111</v>
      </c>
      <c r="B122">
        <f>EDATE(Plan!$C$6,110)</f>
        <v/>
      </c>
      <c r="C122">
        <f>IF(C121&lt;=0,0,MAX(0,AH122-O122))</f>
        <v/>
      </c>
      <c r="D122">
        <f>IF(D121&lt;=0,0,MAX(0,AI122-P122))</f>
        <v/>
      </c>
      <c r="E122">
        <f>IF(E121&lt;=0,0,MAX(0,AJ122-Q122))</f>
        <v/>
      </c>
      <c r="F122">
        <f>IF(F121&lt;=0,0,MAX(0,AK122-R122))</f>
        <v/>
      </c>
      <c r="G122">
        <f>IF(G121&lt;=0,0,MAX(0,AL122-S122))</f>
        <v/>
      </c>
      <c r="H122">
        <f>IF(H121&lt;=0,0,MAX(0,AM122-T122))</f>
        <v/>
      </c>
      <c r="I122">
        <f>IF(I121&lt;=0,0,MAX(0,AN122-U122))</f>
        <v/>
      </c>
      <c r="J122">
        <f>IF(J121&lt;=0,0,MAX(0,AO122-V122))</f>
        <v/>
      </c>
      <c r="K122">
        <f>IF(K121&lt;=0,0,MAX(0,AP122-W122))</f>
        <v/>
      </c>
      <c r="L122">
        <f>IF(L121&lt;=0,0,MAX(0,AQ122-X122))</f>
        <v/>
      </c>
      <c r="M122">
        <f>IF(M121&lt;=0,0,MAX(0,AR122-Y122))</f>
        <v/>
      </c>
      <c r="N122">
        <f>IF(N121&lt;=0,0,MAX(0,AS122-Z122))</f>
        <v/>
      </c>
      <c r="O122">
        <f>IF(C121&lt;=0,0,MIN(AH122,C$7+IF(C$2=$AA122,$AC122,IF(C$2=$AF122,$AG122,0))))</f>
        <v/>
      </c>
      <c r="P122">
        <f>IF(D121&lt;=0,0,MIN(AI122,D$7+IF(D$2=$AA122,$AC122,IF(D$2=$AF122,$AG122,0))))</f>
        <v/>
      </c>
      <c r="Q122">
        <f>IF(E121&lt;=0,0,MIN(AJ122,E$7+IF(E$2=$AA122,$AC122,IF(E$2=$AF122,$AG122,0))))</f>
        <v/>
      </c>
      <c r="R122">
        <f>IF(F121&lt;=0,0,MIN(AK122,F$7+IF(F$2=$AA122,$AC122,IF(F$2=$AF122,$AG122,0))))</f>
        <v/>
      </c>
      <c r="S122">
        <f>IF(G121&lt;=0,0,MIN(AL122,G$7+IF(G$2=$AA122,$AC122,IF(G$2=$AF122,$AG122,0))))</f>
        <v/>
      </c>
      <c r="T122">
        <f>IF(H121&lt;=0,0,MIN(AM122,H$7+IF(H$2=$AA122,$AC122,IF(H$2=$AF122,$AG122,0))))</f>
        <v/>
      </c>
      <c r="U122">
        <f>IF(I121&lt;=0,0,MIN(AN122,I$7+IF(I$2=$AA122,$AC122,IF(I$2=$AF122,$AG122,0))))</f>
        <v/>
      </c>
      <c r="V122">
        <f>IF(J121&lt;=0,0,MIN(AO122,J$7+IF(J$2=$AA122,$AC122,IF(J$2=$AF122,$AG122,0))))</f>
        <v/>
      </c>
      <c r="W122">
        <f>IF(K121&lt;=0,0,MIN(AP122,K$7+IF(K$2=$AA122,$AC122,IF(K$2=$AF122,$AG122,0))))</f>
        <v/>
      </c>
      <c r="X122">
        <f>IF(L121&lt;=0,0,MIN(AQ122,L$7+IF(L$2=$AA122,$AC122,IF(L$2=$AF122,$AG122,0))))</f>
        <v/>
      </c>
      <c r="Y122">
        <f>IF(M121&lt;=0,0,MIN(AR122,M$7+IF(M$2=$AA122,$AC122,IF(M$2=$AF122,$AG122,0))))</f>
        <v/>
      </c>
      <c r="Z122">
        <f>IF(N121&lt;=0,0,MIN(AS122,N$7+IF(N$2=$AA122,$AC122,IF(N$2=$AF122,$AG122,0))))</f>
        <v/>
      </c>
      <c r="AA122">
        <f>IFERROR(ROUND(1/SUMPRODUCT(MAX((C121:N121&gt;0)*($C$3:$N$3&lt;=B122)/$C$2:$N$2)),0),0)</f>
        <v/>
      </c>
      <c r="AB122">
        <f>SUMPRODUCT((C121:N121&gt;0)*$C$7:$N$7)</f>
        <v/>
      </c>
      <c r="AC122">
        <f>MAX(0,Plan!$C$5-AB122)+IF(A122=Plan!$C$8,N(Plan!$C$7),0)</f>
        <v/>
      </c>
      <c r="AD122">
        <f>SUM(C122:N122)</f>
        <v/>
      </c>
      <c r="AE122">
        <f>SUM(O122:Z122)</f>
        <v/>
      </c>
      <c r="AF122">
        <f>IFERROR(ROUND(1/SUMPRODUCT(MAX((C121:N121&gt;0)*($C$3:$N$3&lt;=B122)*($C$2:$N$2&gt;AA122)/$C$2:$N$2)),0),0)</f>
        <v/>
      </c>
      <c r="AG122">
        <f>MAX(0,AC122-MAX(0,SUMPRODUCT(($C$2:$N$2=AA122)*(AH122:AS122-$C$7:$N$7))))</f>
        <v/>
      </c>
      <c r="AH122">
        <f>IF(C121&lt;=0,0,ROUND(C121*(1+IF(AND(C$6&gt;0,$B122&lt;C$6),C$4,C$5)/12),2))</f>
        <v/>
      </c>
      <c r="AI122">
        <f>IF(D121&lt;=0,0,ROUND(D121*(1+IF(AND(D$6&gt;0,$B122&lt;D$6),D$4,D$5)/12),2))</f>
        <v/>
      </c>
      <c r="AJ122">
        <f>IF(E121&lt;=0,0,ROUND(E121*(1+IF(AND(E$6&gt;0,$B122&lt;E$6),E$4,E$5)/12),2))</f>
        <v/>
      </c>
      <c r="AK122">
        <f>IF(F121&lt;=0,0,ROUND(F121*(1+IF(AND(F$6&gt;0,$B122&lt;F$6),F$4,F$5)/12),2))</f>
        <v/>
      </c>
      <c r="AL122">
        <f>IF(G121&lt;=0,0,ROUND(G121*(1+IF(AND(G$6&gt;0,$B122&lt;G$6),G$4,G$5)/12),2))</f>
        <v/>
      </c>
      <c r="AM122">
        <f>IF(H121&lt;=0,0,ROUND(H121*(1+IF(AND(H$6&gt;0,$B122&lt;H$6),H$4,H$5)/12),2))</f>
        <v/>
      </c>
      <c r="AN122">
        <f>IF(I121&lt;=0,0,ROUND(I121*(1+IF(AND(I$6&gt;0,$B122&lt;I$6),I$4,I$5)/12),2))</f>
        <v/>
      </c>
      <c r="AO122">
        <f>IF(J121&lt;=0,0,ROUND(J121*(1+IF(AND(J$6&gt;0,$B122&lt;J$6),J$4,J$5)/12),2))</f>
        <v/>
      </c>
      <c r="AP122">
        <f>IF(K121&lt;=0,0,ROUND(K121*(1+IF(AND(K$6&gt;0,$B122&lt;K$6),K$4,K$5)/12),2))</f>
        <v/>
      </c>
      <c r="AQ122">
        <f>IF(L121&lt;=0,0,ROUND(L121*(1+IF(AND(L$6&gt;0,$B122&lt;L$6),L$4,L$5)/12),2))</f>
        <v/>
      </c>
      <c r="AR122">
        <f>IF(M121&lt;=0,0,ROUND(M121*(1+IF(AND(M$6&gt;0,$B122&lt;M$6),M$4,M$5)/12),2))</f>
        <v/>
      </c>
      <c r="AS122">
        <f>IF(N121&lt;=0,0,ROUND(N121*(1+IF(AND(N$6&gt;0,$B122&lt;N$6),N$4,N$5)/12),2))</f>
        <v/>
      </c>
    </row>
    <row r="123">
      <c r="A123" t="n">
        <v>112</v>
      </c>
      <c r="B123">
        <f>EDATE(Plan!$C$6,111)</f>
        <v/>
      </c>
      <c r="C123">
        <f>IF(C122&lt;=0,0,MAX(0,AH123-O123))</f>
        <v/>
      </c>
      <c r="D123">
        <f>IF(D122&lt;=0,0,MAX(0,AI123-P123))</f>
        <v/>
      </c>
      <c r="E123">
        <f>IF(E122&lt;=0,0,MAX(0,AJ123-Q123))</f>
        <v/>
      </c>
      <c r="F123">
        <f>IF(F122&lt;=0,0,MAX(0,AK123-R123))</f>
        <v/>
      </c>
      <c r="G123">
        <f>IF(G122&lt;=0,0,MAX(0,AL123-S123))</f>
        <v/>
      </c>
      <c r="H123">
        <f>IF(H122&lt;=0,0,MAX(0,AM123-T123))</f>
        <v/>
      </c>
      <c r="I123">
        <f>IF(I122&lt;=0,0,MAX(0,AN123-U123))</f>
        <v/>
      </c>
      <c r="J123">
        <f>IF(J122&lt;=0,0,MAX(0,AO123-V123))</f>
        <v/>
      </c>
      <c r="K123">
        <f>IF(K122&lt;=0,0,MAX(0,AP123-W123))</f>
        <v/>
      </c>
      <c r="L123">
        <f>IF(L122&lt;=0,0,MAX(0,AQ123-X123))</f>
        <v/>
      </c>
      <c r="M123">
        <f>IF(M122&lt;=0,0,MAX(0,AR123-Y123))</f>
        <v/>
      </c>
      <c r="N123">
        <f>IF(N122&lt;=0,0,MAX(0,AS123-Z123))</f>
        <v/>
      </c>
      <c r="O123">
        <f>IF(C122&lt;=0,0,MIN(AH123,C$7+IF(C$2=$AA123,$AC123,IF(C$2=$AF123,$AG123,0))))</f>
        <v/>
      </c>
      <c r="P123">
        <f>IF(D122&lt;=0,0,MIN(AI123,D$7+IF(D$2=$AA123,$AC123,IF(D$2=$AF123,$AG123,0))))</f>
        <v/>
      </c>
      <c r="Q123">
        <f>IF(E122&lt;=0,0,MIN(AJ123,E$7+IF(E$2=$AA123,$AC123,IF(E$2=$AF123,$AG123,0))))</f>
        <v/>
      </c>
      <c r="R123">
        <f>IF(F122&lt;=0,0,MIN(AK123,F$7+IF(F$2=$AA123,$AC123,IF(F$2=$AF123,$AG123,0))))</f>
        <v/>
      </c>
      <c r="S123">
        <f>IF(G122&lt;=0,0,MIN(AL123,G$7+IF(G$2=$AA123,$AC123,IF(G$2=$AF123,$AG123,0))))</f>
        <v/>
      </c>
      <c r="T123">
        <f>IF(H122&lt;=0,0,MIN(AM123,H$7+IF(H$2=$AA123,$AC123,IF(H$2=$AF123,$AG123,0))))</f>
        <v/>
      </c>
      <c r="U123">
        <f>IF(I122&lt;=0,0,MIN(AN123,I$7+IF(I$2=$AA123,$AC123,IF(I$2=$AF123,$AG123,0))))</f>
        <v/>
      </c>
      <c r="V123">
        <f>IF(J122&lt;=0,0,MIN(AO123,J$7+IF(J$2=$AA123,$AC123,IF(J$2=$AF123,$AG123,0))))</f>
        <v/>
      </c>
      <c r="W123">
        <f>IF(K122&lt;=0,0,MIN(AP123,K$7+IF(K$2=$AA123,$AC123,IF(K$2=$AF123,$AG123,0))))</f>
        <v/>
      </c>
      <c r="X123">
        <f>IF(L122&lt;=0,0,MIN(AQ123,L$7+IF(L$2=$AA123,$AC123,IF(L$2=$AF123,$AG123,0))))</f>
        <v/>
      </c>
      <c r="Y123">
        <f>IF(M122&lt;=0,0,MIN(AR123,M$7+IF(M$2=$AA123,$AC123,IF(M$2=$AF123,$AG123,0))))</f>
        <v/>
      </c>
      <c r="Z123">
        <f>IF(N122&lt;=0,0,MIN(AS123,N$7+IF(N$2=$AA123,$AC123,IF(N$2=$AF123,$AG123,0))))</f>
        <v/>
      </c>
      <c r="AA123">
        <f>IFERROR(ROUND(1/SUMPRODUCT(MAX((C122:N122&gt;0)*($C$3:$N$3&lt;=B123)/$C$2:$N$2)),0),0)</f>
        <v/>
      </c>
      <c r="AB123">
        <f>SUMPRODUCT((C122:N122&gt;0)*$C$7:$N$7)</f>
        <v/>
      </c>
      <c r="AC123">
        <f>MAX(0,Plan!$C$5-AB123)+IF(A123=Plan!$C$8,N(Plan!$C$7),0)</f>
        <v/>
      </c>
      <c r="AD123">
        <f>SUM(C123:N123)</f>
        <v/>
      </c>
      <c r="AE123">
        <f>SUM(O123:Z123)</f>
        <v/>
      </c>
      <c r="AF123">
        <f>IFERROR(ROUND(1/SUMPRODUCT(MAX((C122:N122&gt;0)*($C$3:$N$3&lt;=B123)*($C$2:$N$2&gt;AA123)/$C$2:$N$2)),0),0)</f>
        <v/>
      </c>
      <c r="AG123">
        <f>MAX(0,AC123-MAX(0,SUMPRODUCT(($C$2:$N$2=AA123)*(AH123:AS123-$C$7:$N$7))))</f>
        <v/>
      </c>
      <c r="AH123">
        <f>IF(C122&lt;=0,0,ROUND(C122*(1+IF(AND(C$6&gt;0,$B123&lt;C$6),C$4,C$5)/12),2))</f>
        <v/>
      </c>
      <c r="AI123">
        <f>IF(D122&lt;=0,0,ROUND(D122*(1+IF(AND(D$6&gt;0,$B123&lt;D$6),D$4,D$5)/12),2))</f>
        <v/>
      </c>
      <c r="AJ123">
        <f>IF(E122&lt;=0,0,ROUND(E122*(1+IF(AND(E$6&gt;0,$B123&lt;E$6),E$4,E$5)/12),2))</f>
        <v/>
      </c>
      <c r="AK123">
        <f>IF(F122&lt;=0,0,ROUND(F122*(1+IF(AND(F$6&gt;0,$B123&lt;F$6),F$4,F$5)/12),2))</f>
        <v/>
      </c>
      <c r="AL123">
        <f>IF(G122&lt;=0,0,ROUND(G122*(1+IF(AND(G$6&gt;0,$B123&lt;G$6),G$4,G$5)/12),2))</f>
        <v/>
      </c>
      <c r="AM123">
        <f>IF(H122&lt;=0,0,ROUND(H122*(1+IF(AND(H$6&gt;0,$B123&lt;H$6),H$4,H$5)/12),2))</f>
        <v/>
      </c>
      <c r="AN123">
        <f>IF(I122&lt;=0,0,ROUND(I122*(1+IF(AND(I$6&gt;0,$B123&lt;I$6),I$4,I$5)/12),2))</f>
        <v/>
      </c>
      <c r="AO123">
        <f>IF(J122&lt;=0,0,ROUND(J122*(1+IF(AND(J$6&gt;0,$B123&lt;J$6),J$4,J$5)/12),2))</f>
        <v/>
      </c>
      <c r="AP123">
        <f>IF(K122&lt;=0,0,ROUND(K122*(1+IF(AND(K$6&gt;0,$B123&lt;K$6),K$4,K$5)/12),2))</f>
        <v/>
      </c>
      <c r="AQ123">
        <f>IF(L122&lt;=0,0,ROUND(L122*(1+IF(AND(L$6&gt;0,$B123&lt;L$6),L$4,L$5)/12),2))</f>
        <v/>
      </c>
      <c r="AR123">
        <f>IF(M122&lt;=0,0,ROUND(M122*(1+IF(AND(M$6&gt;0,$B123&lt;M$6),M$4,M$5)/12),2))</f>
        <v/>
      </c>
      <c r="AS123">
        <f>IF(N122&lt;=0,0,ROUND(N122*(1+IF(AND(N$6&gt;0,$B123&lt;N$6),N$4,N$5)/12),2))</f>
        <v/>
      </c>
    </row>
    <row r="124">
      <c r="A124" t="n">
        <v>113</v>
      </c>
      <c r="B124">
        <f>EDATE(Plan!$C$6,112)</f>
        <v/>
      </c>
      <c r="C124">
        <f>IF(C123&lt;=0,0,MAX(0,AH124-O124))</f>
        <v/>
      </c>
      <c r="D124">
        <f>IF(D123&lt;=0,0,MAX(0,AI124-P124))</f>
        <v/>
      </c>
      <c r="E124">
        <f>IF(E123&lt;=0,0,MAX(0,AJ124-Q124))</f>
        <v/>
      </c>
      <c r="F124">
        <f>IF(F123&lt;=0,0,MAX(0,AK124-R124))</f>
        <v/>
      </c>
      <c r="G124">
        <f>IF(G123&lt;=0,0,MAX(0,AL124-S124))</f>
        <v/>
      </c>
      <c r="H124">
        <f>IF(H123&lt;=0,0,MAX(0,AM124-T124))</f>
        <v/>
      </c>
      <c r="I124">
        <f>IF(I123&lt;=0,0,MAX(0,AN124-U124))</f>
        <v/>
      </c>
      <c r="J124">
        <f>IF(J123&lt;=0,0,MAX(0,AO124-V124))</f>
        <v/>
      </c>
      <c r="K124">
        <f>IF(K123&lt;=0,0,MAX(0,AP124-W124))</f>
        <v/>
      </c>
      <c r="L124">
        <f>IF(L123&lt;=0,0,MAX(0,AQ124-X124))</f>
        <v/>
      </c>
      <c r="M124">
        <f>IF(M123&lt;=0,0,MAX(0,AR124-Y124))</f>
        <v/>
      </c>
      <c r="N124">
        <f>IF(N123&lt;=0,0,MAX(0,AS124-Z124))</f>
        <v/>
      </c>
      <c r="O124">
        <f>IF(C123&lt;=0,0,MIN(AH124,C$7+IF(C$2=$AA124,$AC124,IF(C$2=$AF124,$AG124,0))))</f>
        <v/>
      </c>
      <c r="P124">
        <f>IF(D123&lt;=0,0,MIN(AI124,D$7+IF(D$2=$AA124,$AC124,IF(D$2=$AF124,$AG124,0))))</f>
        <v/>
      </c>
      <c r="Q124">
        <f>IF(E123&lt;=0,0,MIN(AJ124,E$7+IF(E$2=$AA124,$AC124,IF(E$2=$AF124,$AG124,0))))</f>
        <v/>
      </c>
      <c r="R124">
        <f>IF(F123&lt;=0,0,MIN(AK124,F$7+IF(F$2=$AA124,$AC124,IF(F$2=$AF124,$AG124,0))))</f>
        <v/>
      </c>
      <c r="S124">
        <f>IF(G123&lt;=0,0,MIN(AL124,G$7+IF(G$2=$AA124,$AC124,IF(G$2=$AF124,$AG124,0))))</f>
        <v/>
      </c>
      <c r="T124">
        <f>IF(H123&lt;=0,0,MIN(AM124,H$7+IF(H$2=$AA124,$AC124,IF(H$2=$AF124,$AG124,0))))</f>
        <v/>
      </c>
      <c r="U124">
        <f>IF(I123&lt;=0,0,MIN(AN124,I$7+IF(I$2=$AA124,$AC124,IF(I$2=$AF124,$AG124,0))))</f>
        <v/>
      </c>
      <c r="V124">
        <f>IF(J123&lt;=0,0,MIN(AO124,J$7+IF(J$2=$AA124,$AC124,IF(J$2=$AF124,$AG124,0))))</f>
        <v/>
      </c>
      <c r="W124">
        <f>IF(K123&lt;=0,0,MIN(AP124,K$7+IF(K$2=$AA124,$AC124,IF(K$2=$AF124,$AG124,0))))</f>
        <v/>
      </c>
      <c r="X124">
        <f>IF(L123&lt;=0,0,MIN(AQ124,L$7+IF(L$2=$AA124,$AC124,IF(L$2=$AF124,$AG124,0))))</f>
        <v/>
      </c>
      <c r="Y124">
        <f>IF(M123&lt;=0,0,MIN(AR124,M$7+IF(M$2=$AA124,$AC124,IF(M$2=$AF124,$AG124,0))))</f>
        <v/>
      </c>
      <c r="Z124">
        <f>IF(N123&lt;=0,0,MIN(AS124,N$7+IF(N$2=$AA124,$AC124,IF(N$2=$AF124,$AG124,0))))</f>
        <v/>
      </c>
      <c r="AA124">
        <f>IFERROR(ROUND(1/SUMPRODUCT(MAX((C123:N123&gt;0)*($C$3:$N$3&lt;=B124)/$C$2:$N$2)),0),0)</f>
        <v/>
      </c>
      <c r="AB124">
        <f>SUMPRODUCT((C123:N123&gt;0)*$C$7:$N$7)</f>
        <v/>
      </c>
      <c r="AC124">
        <f>MAX(0,Plan!$C$5-AB124)+IF(A124=Plan!$C$8,N(Plan!$C$7),0)</f>
        <v/>
      </c>
      <c r="AD124">
        <f>SUM(C124:N124)</f>
        <v/>
      </c>
      <c r="AE124">
        <f>SUM(O124:Z124)</f>
        <v/>
      </c>
      <c r="AF124">
        <f>IFERROR(ROUND(1/SUMPRODUCT(MAX((C123:N123&gt;0)*($C$3:$N$3&lt;=B124)*($C$2:$N$2&gt;AA124)/$C$2:$N$2)),0),0)</f>
        <v/>
      </c>
      <c r="AG124">
        <f>MAX(0,AC124-MAX(0,SUMPRODUCT(($C$2:$N$2=AA124)*(AH124:AS124-$C$7:$N$7))))</f>
        <v/>
      </c>
      <c r="AH124">
        <f>IF(C123&lt;=0,0,ROUND(C123*(1+IF(AND(C$6&gt;0,$B124&lt;C$6),C$4,C$5)/12),2))</f>
        <v/>
      </c>
      <c r="AI124">
        <f>IF(D123&lt;=0,0,ROUND(D123*(1+IF(AND(D$6&gt;0,$B124&lt;D$6),D$4,D$5)/12),2))</f>
        <v/>
      </c>
      <c r="AJ124">
        <f>IF(E123&lt;=0,0,ROUND(E123*(1+IF(AND(E$6&gt;0,$B124&lt;E$6),E$4,E$5)/12),2))</f>
        <v/>
      </c>
      <c r="AK124">
        <f>IF(F123&lt;=0,0,ROUND(F123*(1+IF(AND(F$6&gt;0,$B124&lt;F$6),F$4,F$5)/12),2))</f>
        <v/>
      </c>
      <c r="AL124">
        <f>IF(G123&lt;=0,0,ROUND(G123*(1+IF(AND(G$6&gt;0,$B124&lt;G$6),G$4,G$5)/12),2))</f>
        <v/>
      </c>
      <c r="AM124">
        <f>IF(H123&lt;=0,0,ROUND(H123*(1+IF(AND(H$6&gt;0,$B124&lt;H$6),H$4,H$5)/12),2))</f>
        <v/>
      </c>
      <c r="AN124">
        <f>IF(I123&lt;=0,0,ROUND(I123*(1+IF(AND(I$6&gt;0,$B124&lt;I$6),I$4,I$5)/12),2))</f>
        <v/>
      </c>
      <c r="AO124">
        <f>IF(J123&lt;=0,0,ROUND(J123*(1+IF(AND(J$6&gt;0,$B124&lt;J$6),J$4,J$5)/12),2))</f>
        <v/>
      </c>
      <c r="AP124">
        <f>IF(K123&lt;=0,0,ROUND(K123*(1+IF(AND(K$6&gt;0,$B124&lt;K$6),K$4,K$5)/12),2))</f>
        <v/>
      </c>
      <c r="AQ124">
        <f>IF(L123&lt;=0,0,ROUND(L123*(1+IF(AND(L$6&gt;0,$B124&lt;L$6),L$4,L$5)/12),2))</f>
        <v/>
      </c>
      <c r="AR124">
        <f>IF(M123&lt;=0,0,ROUND(M123*(1+IF(AND(M$6&gt;0,$B124&lt;M$6),M$4,M$5)/12),2))</f>
        <v/>
      </c>
      <c r="AS124">
        <f>IF(N123&lt;=0,0,ROUND(N123*(1+IF(AND(N$6&gt;0,$B124&lt;N$6),N$4,N$5)/12),2))</f>
        <v/>
      </c>
    </row>
    <row r="125">
      <c r="A125" t="n">
        <v>114</v>
      </c>
      <c r="B125">
        <f>EDATE(Plan!$C$6,113)</f>
        <v/>
      </c>
      <c r="C125">
        <f>IF(C124&lt;=0,0,MAX(0,AH125-O125))</f>
        <v/>
      </c>
      <c r="D125">
        <f>IF(D124&lt;=0,0,MAX(0,AI125-P125))</f>
        <v/>
      </c>
      <c r="E125">
        <f>IF(E124&lt;=0,0,MAX(0,AJ125-Q125))</f>
        <v/>
      </c>
      <c r="F125">
        <f>IF(F124&lt;=0,0,MAX(0,AK125-R125))</f>
        <v/>
      </c>
      <c r="G125">
        <f>IF(G124&lt;=0,0,MAX(0,AL125-S125))</f>
        <v/>
      </c>
      <c r="H125">
        <f>IF(H124&lt;=0,0,MAX(0,AM125-T125))</f>
        <v/>
      </c>
      <c r="I125">
        <f>IF(I124&lt;=0,0,MAX(0,AN125-U125))</f>
        <v/>
      </c>
      <c r="J125">
        <f>IF(J124&lt;=0,0,MAX(0,AO125-V125))</f>
        <v/>
      </c>
      <c r="K125">
        <f>IF(K124&lt;=0,0,MAX(0,AP125-W125))</f>
        <v/>
      </c>
      <c r="L125">
        <f>IF(L124&lt;=0,0,MAX(0,AQ125-X125))</f>
        <v/>
      </c>
      <c r="M125">
        <f>IF(M124&lt;=0,0,MAX(0,AR125-Y125))</f>
        <v/>
      </c>
      <c r="N125">
        <f>IF(N124&lt;=0,0,MAX(0,AS125-Z125))</f>
        <v/>
      </c>
      <c r="O125">
        <f>IF(C124&lt;=0,0,MIN(AH125,C$7+IF(C$2=$AA125,$AC125,IF(C$2=$AF125,$AG125,0))))</f>
        <v/>
      </c>
      <c r="P125">
        <f>IF(D124&lt;=0,0,MIN(AI125,D$7+IF(D$2=$AA125,$AC125,IF(D$2=$AF125,$AG125,0))))</f>
        <v/>
      </c>
      <c r="Q125">
        <f>IF(E124&lt;=0,0,MIN(AJ125,E$7+IF(E$2=$AA125,$AC125,IF(E$2=$AF125,$AG125,0))))</f>
        <v/>
      </c>
      <c r="R125">
        <f>IF(F124&lt;=0,0,MIN(AK125,F$7+IF(F$2=$AA125,$AC125,IF(F$2=$AF125,$AG125,0))))</f>
        <v/>
      </c>
      <c r="S125">
        <f>IF(G124&lt;=0,0,MIN(AL125,G$7+IF(G$2=$AA125,$AC125,IF(G$2=$AF125,$AG125,0))))</f>
        <v/>
      </c>
      <c r="T125">
        <f>IF(H124&lt;=0,0,MIN(AM125,H$7+IF(H$2=$AA125,$AC125,IF(H$2=$AF125,$AG125,0))))</f>
        <v/>
      </c>
      <c r="U125">
        <f>IF(I124&lt;=0,0,MIN(AN125,I$7+IF(I$2=$AA125,$AC125,IF(I$2=$AF125,$AG125,0))))</f>
        <v/>
      </c>
      <c r="V125">
        <f>IF(J124&lt;=0,0,MIN(AO125,J$7+IF(J$2=$AA125,$AC125,IF(J$2=$AF125,$AG125,0))))</f>
        <v/>
      </c>
      <c r="W125">
        <f>IF(K124&lt;=0,0,MIN(AP125,K$7+IF(K$2=$AA125,$AC125,IF(K$2=$AF125,$AG125,0))))</f>
        <v/>
      </c>
      <c r="X125">
        <f>IF(L124&lt;=0,0,MIN(AQ125,L$7+IF(L$2=$AA125,$AC125,IF(L$2=$AF125,$AG125,0))))</f>
        <v/>
      </c>
      <c r="Y125">
        <f>IF(M124&lt;=0,0,MIN(AR125,M$7+IF(M$2=$AA125,$AC125,IF(M$2=$AF125,$AG125,0))))</f>
        <v/>
      </c>
      <c r="Z125">
        <f>IF(N124&lt;=0,0,MIN(AS125,N$7+IF(N$2=$AA125,$AC125,IF(N$2=$AF125,$AG125,0))))</f>
        <v/>
      </c>
      <c r="AA125">
        <f>IFERROR(ROUND(1/SUMPRODUCT(MAX((C124:N124&gt;0)*($C$3:$N$3&lt;=B125)/$C$2:$N$2)),0),0)</f>
        <v/>
      </c>
      <c r="AB125">
        <f>SUMPRODUCT((C124:N124&gt;0)*$C$7:$N$7)</f>
        <v/>
      </c>
      <c r="AC125">
        <f>MAX(0,Plan!$C$5-AB125)+IF(A125=Plan!$C$8,N(Plan!$C$7),0)</f>
        <v/>
      </c>
      <c r="AD125">
        <f>SUM(C125:N125)</f>
        <v/>
      </c>
      <c r="AE125">
        <f>SUM(O125:Z125)</f>
        <v/>
      </c>
      <c r="AF125">
        <f>IFERROR(ROUND(1/SUMPRODUCT(MAX((C124:N124&gt;0)*($C$3:$N$3&lt;=B125)*($C$2:$N$2&gt;AA125)/$C$2:$N$2)),0),0)</f>
        <v/>
      </c>
      <c r="AG125">
        <f>MAX(0,AC125-MAX(0,SUMPRODUCT(($C$2:$N$2=AA125)*(AH125:AS125-$C$7:$N$7))))</f>
        <v/>
      </c>
      <c r="AH125">
        <f>IF(C124&lt;=0,0,ROUND(C124*(1+IF(AND(C$6&gt;0,$B125&lt;C$6),C$4,C$5)/12),2))</f>
        <v/>
      </c>
      <c r="AI125">
        <f>IF(D124&lt;=0,0,ROUND(D124*(1+IF(AND(D$6&gt;0,$B125&lt;D$6),D$4,D$5)/12),2))</f>
        <v/>
      </c>
      <c r="AJ125">
        <f>IF(E124&lt;=0,0,ROUND(E124*(1+IF(AND(E$6&gt;0,$B125&lt;E$6),E$4,E$5)/12),2))</f>
        <v/>
      </c>
      <c r="AK125">
        <f>IF(F124&lt;=0,0,ROUND(F124*(1+IF(AND(F$6&gt;0,$B125&lt;F$6),F$4,F$5)/12),2))</f>
        <v/>
      </c>
      <c r="AL125">
        <f>IF(G124&lt;=0,0,ROUND(G124*(1+IF(AND(G$6&gt;0,$B125&lt;G$6),G$4,G$5)/12),2))</f>
        <v/>
      </c>
      <c r="AM125">
        <f>IF(H124&lt;=0,0,ROUND(H124*(1+IF(AND(H$6&gt;0,$B125&lt;H$6),H$4,H$5)/12),2))</f>
        <v/>
      </c>
      <c r="AN125">
        <f>IF(I124&lt;=0,0,ROUND(I124*(1+IF(AND(I$6&gt;0,$B125&lt;I$6),I$4,I$5)/12),2))</f>
        <v/>
      </c>
      <c r="AO125">
        <f>IF(J124&lt;=0,0,ROUND(J124*(1+IF(AND(J$6&gt;0,$B125&lt;J$6),J$4,J$5)/12),2))</f>
        <v/>
      </c>
      <c r="AP125">
        <f>IF(K124&lt;=0,0,ROUND(K124*(1+IF(AND(K$6&gt;0,$B125&lt;K$6),K$4,K$5)/12),2))</f>
        <v/>
      </c>
      <c r="AQ125">
        <f>IF(L124&lt;=0,0,ROUND(L124*(1+IF(AND(L$6&gt;0,$B125&lt;L$6),L$4,L$5)/12),2))</f>
        <v/>
      </c>
      <c r="AR125">
        <f>IF(M124&lt;=0,0,ROUND(M124*(1+IF(AND(M$6&gt;0,$B125&lt;M$6),M$4,M$5)/12),2))</f>
        <v/>
      </c>
      <c r="AS125">
        <f>IF(N124&lt;=0,0,ROUND(N124*(1+IF(AND(N$6&gt;0,$B125&lt;N$6),N$4,N$5)/12),2))</f>
        <v/>
      </c>
    </row>
    <row r="126">
      <c r="A126" t="n">
        <v>115</v>
      </c>
      <c r="B126">
        <f>EDATE(Plan!$C$6,114)</f>
        <v/>
      </c>
      <c r="C126">
        <f>IF(C125&lt;=0,0,MAX(0,AH126-O126))</f>
        <v/>
      </c>
      <c r="D126">
        <f>IF(D125&lt;=0,0,MAX(0,AI126-P126))</f>
        <v/>
      </c>
      <c r="E126">
        <f>IF(E125&lt;=0,0,MAX(0,AJ126-Q126))</f>
        <v/>
      </c>
      <c r="F126">
        <f>IF(F125&lt;=0,0,MAX(0,AK126-R126))</f>
        <v/>
      </c>
      <c r="G126">
        <f>IF(G125&lt;=0,0,MAX(0,AL126-S126))</f>
        <v/>
      </c>
      <c r="H126">
        <f>IF(H125&lt;=0,0,MAX(0,AM126-T126))</f>
        <v/>
      </c>
      <c r="I126">
        <f>IF(I125&lt;=0,0,MAX(0,AN126-U126))</f>
        <v/>
      </c>
      <c r="J126">
        <f>IF(J125&lt;=0,0,MAX(0,AO126-V126))</f>
        <v/>
      </c>
      <c r="K126">
        <f>IF(K125&lt;=0,0,MAX(0,AP126-W126))</f>
        <v/>
      </c>
      <c r="L126">
        <f>IF(L125&lt;=0,0,MAX(0,AQ126-X126))</f>
        <v/>
      </c>
      <c r="M126">
        <f>IF(M125&lt;=0,0,MAX(0,AR126-Y126))</f>
        <v/>
      </c>
      <c r="N126">
        <f>IF(N125&lt;=0,0,MAX(0,AS126-Z126))</f>
        <v/>
      </c>
      <c r="O126">
        <f>IF(C125&lt;=0,0,MIN(AH126,C$7+IF(C$2=$AA126,$AC126,IF(C$2=$AF126,$AG126,0))))</f>
        <v/>
      </c>
      <c r="P126">
        <f>IF(D125&lt;=0,0,MIN(AI126,D$7+IF(D$2=$AA126,$AC126,IF(D$2=$AF126,$AG126,0))))</f>
        <v/>
      </c>
      <c r="Q126">
        <f>IF(E125&lt;=0,0,MIN(AJ126,E$7+IF(E$2=$AA126,$AC126,IF(E$2=$AF126,$AG126,0))))</f>
        <v/>
      </c>
      <c r="R126">
        <f>IF(F125&lt;=0,0,MIN(AK126,F$7+IF(F$2=$AA126,$AC126,IF(F$2=$AF126,$AG126,0))))</f>
        <v/>
      </c>
      <c r="S126">
        <f>IF(G125&lt;=0,0,MIN(AL126,G$7+IF(G$2=$AA126,$AC126,IF(G$2=$AF126,$AG126,0))))</f>
        <v/>
      </c>
      <c r="T126">
        <f>IF(H125&lt;=0,0,MIN(AM126,H$7+IF(H$2=$AA126,$AC126,IF(H$2=$AF126,$AG126,0))))</f>
        <v/>
      </c>
      <c r="U126">
        <f>IF(I125&lt;=0,0,MIN(AN126,I$7+IF(I$2=$AA126,$AC126,IF(I$2=$AF126,$AG126,0))))</f>
        <v/>
      </c>
      <c r="V126">
        <f>IF(J125&lt;=0,0,MIN(AO126,J$7+IF(J$2=$AA126,$AC126,IF(J$2=$AF126,$AG126,0))))</f>
        <v/>
      </c>
      <c r="W126">
        <f>IF(K125&lt;=0,0,MIN(AP126,K$7+IF(K$2=$AA126,$AC126,IF(K$2=$AF126,$AG126,0))))</f>
        <v/>
      </c>
      <c r="X126">
        <f>IF(L125&lt;=0,0,MIN(AQ126,L$7+IF(L$2=$AA126,$AC126,IF(L$2=$AF126,$AG126,0))))</f>
        <v/>
      </c>
      <c r="Y126">
        <f>IF(M125&lt;=0,0,MIN(AR126,M$7+IF(M$2=$AA126,$AC126,IF(M$2=$AF126,$AG126,0))))</f>
        <v/>
      </c>
      <c r="Z126">
        <f>IF(N125&lt;=0,0,MIN(AS126,N$7+IF(N$2=$AA126,$AC126,IF(N$2=$AF126,$AG126,0))))</f>
        <v/>
      </c>
      <c r="AA126">
        <f>IFERROR(ROUND(1/SUMPRODUCT(MAX((C125:N125&gt;0)*($C$3:$N$3&lt;=B126)/$C$2:$N$2)),0),0)</f>
        <v/>
      </c>
      <c r="AB126">
        <f>SUMPRODUCT((C125:N125&gt;0)*$C$7:$N$7)</f>
        <v/>
      </c>
      <c r="AC126">
        <f>MAX(0,Plan!$C$5-AB126)+IF(A126=Plan!$C$8,N(Plan!$C$7),0)</f>
        <v/>
      </c>
      <c r="AD126">
        <f>SUM(C126:N126)</f>
        <v/>
      </c>
      <c r="AE126">
        <f>SUM(O126:Z126)</f>
        <v/>
      </c>
      <c r="AF126">
        <f>IFERROR(ROUND(1/SUMPRODUCT(MAX((C125:N125&gt;0)*($C$3:$N$3&lt;=B126)*($C$2:$N$2&gt;AA126)/$C$2:$N$2)),0),0)</f>
        <v/>
      </c>
      <c r="AG126">
        <f>MAX(0,AC126-MAX(0,SUMPRODUCT(($C$2:$N$2=AA126)*(AH126:AS126-$C$7:$N$7))))</f>
        <v/>
      </c>
      <c r="AH126">
        <f>IF(C125&lt;=0,0,ROUND(C125*(1+IF(AND(C$6&gt;0,$B126&lt;C$6),C$4,C$5)/12),2))</f>
        <v/>
      </c>
      <c r="AI126">
        <f>IF(D125&lt;=0,0,ROUND(D125*(1+IF(AND(D$6&gt;0,$B126&lt;D$6),D$4,D$5)/12),2))</f>
        <v/>
      </c>
      <c r="AJ126">
        <f>IF(E125&lt;=0,0,ROUND(E125*(1+IF(AND(E$6&gt;0,$B126&lt;E$6),E$4,E$5)/12),2))</f>
        <v/>
      </c>
      <c r="AK126">
        <f>IF(F125&lt;=0,0,ROUND(F125*(1+IF(AND(F$6&gt;0,$B126&lt;F$6),F$4,F$5)/12),2))</f>
        <v/>
      </c>
      <c r="AL126">
        <f>IF(G125&lt;=0,0,ROUND(G125*(1+IF(AND(G$6&gt;0,$B126&lt;G$6),G$4,G$5)/12),2))</f>
        <v/>
      </c>
      <c r="AM126">
        <f>IF(H125&lt;=0,0,ROUND(H125*(1+IF(AND(H$6&gt;0,$B126&lt;H$6),H$4,H$5)/12),2))</f>
        <v/>
      </c>
      <c r="AN126">
        <f>IF(I125&lt;=0,0,ROUND(I125*(1+IF(AND(I$6&gt;0,$B126&lt;I$6),I$4,I$5)/12),2))</f>
        <v/>
      </c>
      <c r="AO126">
        <f>IF(J125&lt;=0,0,ROUND(J125*(1+IF(AND(J$6&gt;0,$B126&lt;J$6),J$4,J$5)/12),2))</f>
        <v/>
      </c>
      <c r="AP126">
        <f>IF(K125&lt;=0,0,ROUND(K125*(1+IF(AND(K$6&gt;0,$B126&lt;K$6),K$4,K$5)/12),2))</f>
        <v/>
      </c>
      <c r="AQ126">
        <f>IF(L125&lt;=0,0,ROUND(L125*(1+IF(AND(L$6&gt;0,$B126&lt;L$6),L$4,L$5)/12),2))</f>
        <v/>
      </c>
      <c r="AR126">
        <f>IF(M125&lt;=0,0,ROUND(M125*(1+IF(AND(M$6&gt;0,$B126&lt;M$6),M$4,M$5)/12),2))</f>
        <v/>
      </c>
      <c r="AS126">
        <f>IF(N125&lt;=0,0,ROUND(N125*(1+IF(AND(N$6&gt;0,$B126&lt;N$6),N$4,N$5)/12),2))</f>
        <v/>
      </c>
    </row>
    <row r="127">
      <c r="A127" t="n">
        <v>116</v>
      </c>
      <c r="B127">
        <f>EDATE(Plan!$C$6,115)</f>
        <v/>
      </c>
      <c r="C127">
        <f>IF(C126&lt;=0,0,MAX(0,AH127-O127))</f>
        <v/>
      </c>
      <c r="D127">
        <f>IF(D126&lt;=0,0,MAX(0,AI127-P127))</f>
        <v/>
      </c>
      <c r="E127">
        <f>IF(E126&lt;=0,0,MAX(0,AJ127-Q127))</f>
        <v/>
      </c>
      <c r="F127">
        <f>IF(F126&lt;=0,0,MAX(0,AK127-R127))</f>
        <v/>
      </c>
      <c r="G127">
        <f>IF(G126&lt;=0,0,MAX(0,AL127-S127))</f>
        <v/>
      </c>
      <c r="H127">
        <f>IF(H126&lt;=0,0,MAX(0,AM127-T127))</f>
        <v/>
      </c>
      <c r="I127">
        <f>IF(I126&lt;=0,0,MAX(0,AN127-U127))</f>
        <v/>
      </c>
      <c r="J127">
        <f>IF(J126&lt;=0,0,MAX(0,AO127-V127))</f>
        <v/>
      </c>
      <c r="K127">
        <f>IF(K126&lt;=0,0,MAX(0,AP127-W127))</f>
        <v/>
      </c>
      <c r="L127">
        <f>IF(L126&lt;=0,0,MAX(0,AQ127-X127))</f>
        <v/>
      </c>
      <c r="M127">
        <f>IF(M126&lt;=0,0,MAX(0,AR127-Y127))</f>
        <v/>
      </c>
      <c r="N127">
        <f>IF(N126&lt;=0,0,MAX(0,AS127-Z127))</f>
        <v/>
      </c>
      <c r="O127">
        <f>IF(C126&lt;=0,0,MIN(AH127,C$7+IF(C$2=$AA127,$AC127,IF(C$2=$AF127,$AG127,0))))</f>
        <v/>
      </c>
      <c r="P127">
        <f>IF(D126&lt;=0,0,MIN(AI127,D$7+IF(D$2=$AA127,$AC127,IF(D$2=$AF127,$AG127,0))))</f>
        <v/>
      </c>
      <c r="Q127">
        <f>IF(E126&lt;=0,0,MIN(AJ127,E$7+IF(E$2=$AA127,$AC127,IF(E$2=$AF127,$AG127,0))))</f>
        <v/>
      </c>
      <c r="R127">
        <f>IF(F126&lt;=0,0,MIN(AK127,F$7+IF(F$2=$AA127,$AC127,IF(F$2=$AF127,$AG127,0))))</f>
        <v/>
      </c>
      <c r="S127">
        <f>IF(G126&lt;=0,0,MIN(AL127,G$7+IF(G$2=$AA127,$AC127,IF(G$2=$AF127,$AG127,0))))</f>
        <v/>
      </c>
      <c r="T127">
        <f>IF(H126&lt;=0,0,MIN(AM127,H$7+IF(H$2=$AA127,$AC127,IF(H$2=$AF127,$AG127,0))))</f>
        <v/>
      </c>
      <c r="U127">
        <f>IF(I126&lt;=0,0,MIN(AN127,I$7+IF(I$2=$AA127,$AC127,IF(I$2=$AF127,$AG127,0))))</f>
        <v/>
      </c>
      <c r="V127">
        <f>IF(J126&lt;=0,0,MIN(AO127,J$7+IF(J$2=$AA127,$AC127,IF(J$2=$AF127,$AG127,0))))</f>
        <v/>
      </c>
      <c r="W127">
        <f>IF(K126&lt;=0,0,MIN(AP127,K$7+IF(K$2=$AA127,$AC127,IF(K$2=$AF127,$AG127,0))))</f>
        <v/>
      </c>
      <c r="X127">
        <f>IF(L126&lt;=0,0,MIN(AQ127,L$7+IF(L$2=$AA127,$AC127,IF(L$2=$AF127,$AG127,0))))</f>
        <v/>
      </c>
      <c r="Y127">
        <f>IF(M126&lt;=0,0,MIN(AR127,M$7+IF(M$2=$AA127,$AC127,IF(M$2=$AF127,$AG127,0))))</f>
        <v/>
      </c>
      <c r="Z127">
        <f>IF(N126&lt;=0,0,MIN(AS127,N$7+IF(N$2=$AA127,$AC127,IF(N$2=$AF127,$AG127,0))))</f>
        <v/>
      </c>
      <c r="AA127">
        <f>IFERROR(ROUND(1/SUMPRODUCT(MAX((C126:N126&gt;0)*($C$3:$N$3&lt;=B127)/$C$2:$N$2)),0),0)</f>
        <v/>
      </c>
      <c r="AB127">
        <f>SUMPRODUCT((C126:N126&gt;0)*$C$7:$N$7)</f>
        <v/>
      </c>
      <c r="AC127">
        <f>MAX(0,Plan!$C$5-AB127)+IF(A127=Plan!$C$8,N(Plan!$C$7),0)</f>
        <v/>
      </c>
      <c r="AD127">
        <f>SUM(C127:N127)</f>
        <v/>
      </c>
      <c r="AE127">
        <f>SUM(O127:Z127)</f>
        <v/>
      </c>
      <c r="AF127">
        <f>IFERROR(ROUND(1/SUMPRODUCT(MAX((C126:N126&gt;0)*($C$3:$N$3&lt;=B127)*($C$2:$N$2&gt;AA127)/$C$2:$N$2)),0),0)</f>
        <v/>
      </c>
      <c r="AG127">
        <f>MAX(0,AC127-MAX(0,SUMPRODUCT(($C$2:$N$2=AA127)*(AH127:AS127-$C$7:$N$7))))</f>
        <v/>
      </c>
      <c r="AH127">
        <f>IF(C126&lt;=0,0,ROUND(C126*(1+IF(AND(C$6&gt;0,$B127&lt;C$6),C$4,C$5)/12),2))</f>
        <v/>
      </c>
      <c r="AI127">
        <f>IF(D126&lt;=0,0,ROUND(D126*(1+IF(AND(D$6&gt;0,$B127&lt;D$6),D$4,D$5)/12),2))</f>
        <v/>
      </c>
      <c r="AJ127">
        <f>IF(E126&lt;=0,0,ROUND(E126*(1+IF(AND(E$6&gt;0,$B127&lt;E$6),E$4,E$5)/12),2))</f>
        <v/>
      </c>
      <c r="AK127">
        <f>IF(F126&lt;=0,0,ROUND(F126*(1+IF(AND(F$6&gt;0,$B127&lt;F$6),F$4,F$5)/12),2))</f>
        <v/>
      </c>
      <c r="AL127">
        <f>IF(G126&lt;=0,0,ROUND(G126*(1+IF(AND(G$6&gt;0,$B127&lt;G$6),G$4,G$5)/12),2))</f>
        <v/>
      </c>
      <c r="AM127">
        <f>IF(H126&lt;=0,0,ROUND(H126*(1+IF(AND(H$6&gt;0,$B127&lt;H$6),H$4,H$5)/12),2))</f>
        <v/>
      </c>
      <c r="AN127">
        <f>IF(I126&lt;=0,0,ROUND(I126*(1+IF(AND(I$6&gt;0,$B127&lt;I$6),I$4,I$5)/12),2))</f>
        <v/>
      </c>
      <c r="AO127">
        <f>IF(J126&lt;=0,0,ROUND(J126*(1+IF(AND(J$6&gt;0,$B127&lt;J$6),J$4,J$5)/12),2))</f>
        <v/>
      </c>
      <c r="AP127">
        <f>IF(K126&lt;=0,0,ROUND(K126*(1+IF(AND(K$6&gt;0,$B127&lt;K$6),K$4,K$5)/12),2))</f>
        <v/>
      </c>
      <c r="AQ127">
        <f>IF(L126&lt;=0,0,ROUND(L126*(1+IF(AND(L$6&gt;0,$B127&lt;L$6),L$4,L$5)/12),2))</f>
        <v/>
      </c>
      <c r="AR127">
        <f>IF(M126&lt;=0,0,ROUND(M126*(1+IF(AND(M$6&gt;0,$B127&lt;M$6),M$4,M$5)/12),2))</f>
        <v/>
      </c>
      <c r="AS127">
        <f>IF(N126&lt;=0,0,ROUND(N126*(1+IF(AND(N$6&gt;0,$B127&lt;N$6),N$4,N$5)/12),2))</f>
        <v/>
      </c>
    </row>
    <row r="128">
      <c r="A128" t="n">
        <v>117</v>
      </c>
      <c r="B128">
        <f>EDATE(Plan!$C$6,116)</f>
        <v/>
      </c>
      <c r="C128">
        <f>IF(C127&lt;=0,0,MAX(0,AH128-O128))</f>
        <v/>
      </c>
      <c r="D128">
        <f>IF(D127&lt;=0,0,MAX(0,AI128-P128))</f>
        <v/>
      </c>
      <c r="E128">
        <f>IF(E127&lt;=0,0,MAX(0,AJ128-Q128))</f>
        <v/>
      </c>
      <c r="F128">
        <f>IF(F127&lt;=0,0,MAX(0,AK128-R128))</f>
        <v/>
      </c>
      <c r="G128">
        <f>IF(G127&lt;=0,0,MAX(0,AL128-S128))</f>
        <v/>
      </c>
      <c r="H128">
        <f>IF(H127&lt;=0,0,MAX(0,AM128-T128))</f>
        <v/>
      </c>
      <c r="I128">
        <f>IF(I127&lt;=0,0,MAX(0,AN128-U128))</f>
        <v/>
      </c>
      <c r="J128">
        <f>IF(J127&lt;=0,0,MAX(0,AO128-V128))</f>
        <v/>
      </c>
      <c r="K128">
        <f>IF(K127&lt;=0,0,MAX(0,AP128-W128))</f>
        <v/>
      </c>
      <c r="L128">
        <f>IF(L127&lt;=0,0,MAX(0,AQ128-X128))</f>
        <v/>
      </c>
      <c r="M128">
        <f>IF(M127&lt;=0,0,MAX(0,AR128-Y128))</f>
        <v/>
      </c>
      <c r="N128">
        <f>IF(N127&lt;=0,0,MAX(0,AS128-Z128))</f>
        <v/>
      </c>
      <c r="O128">
        <f>IF(C127&lt;=0,0,MIN(AH128,C$7+IF(C$2=$AA128,$AC128,IF(C$2=$AF128,$AG128,0))))</f>
        <v/>
      </c>
      <c r="P128">
        <f>IF(D127&lt;=0,0,MIN(AI128,D$7+IF(D$2=$AA128,$AC128,IF(D$2=$AF128,$AG128,0))))</f>
        <v/>
      </c>
      <c r="Q128">
        <f>IF(E127&lt;=0,0,MIN(AJ128,E$7+IF(E$2=$AA128,$AC128,IF(E$2=$AF128,$AG128,0))))</f>
        <v/>
      </c>
      <c r="R128">
        <f>IF(F127&lt;=0,0,MIN(AK128,F$7+IF(F$2=$AA128,$AC128,IF(F$2=$AF128,$AG128,0))))</f>
        <v/>
      </c>
      <c r="S128">
        <f>IF(G127&lt;=0,0,MIN(AL128,G$7+IF(G$2=$AA128,$AC128,IF(G$2=$AF128,$AG128,0))))</f>
        <v/>
      </c>
      <c r="T128">
        <f>IF(H127&lt;=0,0,MIN(AM128,H$7+IF(H$2=$AA128,$AC128,IF(H$2=$AF128,$AG128,0))))</f>
        <v/>
      </c>
      <c r="U128">
        <f>IF(I127&lt;=0,0,MIN(AN128,I$7+IF(I$2=$AA128,$AC128,IF(I$2=$AF128,$AG128,0))))</f>
        <v/>
      </c>
      <c r="V128">
        <f>IF(J127&lt;=0,0,MIN(AO128,J$7+IF(J$2=$AA128,$AC128,IF(J$2=$AF128,$AG128,0))))</f>
        <v/>
      </c>
      <c r="W128">
        <f>IF(K127&lt;=0,0,MIN(AP128,K$7+IF(K$2=$AA128,$AC128,IF(K$2=$AF128,$AG128,0))))</f>
        <v/>
      </c>
      <c r="X128">
        <f>IF(L127&lt;=0,0,MIN(AQ128,L$7+IF(L$2=$AA128,$AC128,IF(L$2=$AF128,$AG128,0))))</f>
        <v/>
      </c>
      <c r="Y128">
        <f>IF(M127&lt;=0,0,MIN(AR128,M$7+IF(M$2=$AA128,$AC128,IF(M$2=$AF128,$AG128,0))))</f>
        <v/>
      </c>
      <c r="Z128">
        <f>IF(N127&lt;=0,0,MIN(AS128,N$7+IF(N$2=$AA128,$AC128,IF(N$2=$AF128,$AG128,0))))</f>
        <v/>
      </c>
      <c r="AA128">
        <f>IFERROR(ROUND(1/SUMPRODUCT(MAX((C127:N127&gt;0)*($C$3:$N$3&lt;=B128)/$C$2:$N$2)),0),0)</f>
        <v/>
      </c>
      <c r="AB128">
        <f>SUMPRODUCT((C127:N127&gt;0)*$C$7:$N$7)</f>
        <v/>
      </c>
      <c r="AC128">
        <f>MAX(0,Plan!$C$5-AB128)+IF(A128=Plan!$C$8,N(Plan!$C$7),0)</f>
        <v/>
      </c>
      <c r="AD128">
        <f>SUM(C128:N128)</f>
        <v/>
      </c>
      <c r="AE128">
        <f>SUM(O128:Z128)</f>
        <v/>
      </c>
      <c r="AF128">
        <f>IFERROR(ROUND(1/SUMPRODUCT(MAX((C127:N127&gt;0)*($C$3:$N$3&lt;=B128)*($C$2:$N$2&gt;AA128)/$C$2:$N$2)),0),0)</f>
        <v/>
      </c>
      <c r="AG128">
        <f>MAX(0,AC128-MAX(0,SUMPRODUCT(($C$2:$N$2=AA128)*(AH128:AS128-$C$7:$N$7))))</f>
        <v/>
      </c>
      <c r="AH128">
        <f>IF(C127&lt;=0,0,ROUND(C127*(1+IF(AND(C$6&gt;0,$B128&lt;C$6),C$4,C$5)/12),2))</f>
        <v/>
      </c>
      <c r="AI128">
        <f>IF(D127&lt;=0,0,ROUND(D127*(1+IF(AND(D$6&gt;0,$B128&lt;D$6),D$4,D$5)/12),2))</f>
        <v/>
      </c>
      <c r="AJ128">
        <f>IF(E127&lt;=0,0,ROUND(E127*(1+IF(AND(E$6&gt;0,$B128&lt;E$6),E$4,E$5)/12),2))</f>
        <v/>
      </c>
      <c r="AK128">
        <f>IF(F127&lt;=0,0,ROUND(F127*(1+IF(AND(F$6&gt;0,$B128&lt;F$6),F$4,F$5)/12),2))</f>
        <v/>
      </c>
      <c r="AL128">
        <f>IF(G127&lt;=0,0,ROUND(G127*(1+IF(AND(G$6&gt;0,$B128&lt;G$6),G$4,G$5)/12),2))</f>
        <v/>
      </c>
      <c r="AM128">
        <f>IF(H127&lt;=0,0,ROUND(H127*(1+IF(AND(H$6&gt;0,$B128&lt;H$6),H$4,H$5)/12),2))</f>
        <v/>
      </c>
      <c r="AN128">
        <f>IF(I127&lt;=0,0,ROUND(I127*(1+IF(AND(I$6&gt;0,$B128&lt;I$6),I$4,I$5)/12),2))</f>
        <v/>
      </c>
      <c r="AO128">
        <f>IF(J127&lt;=0,0,ROUND(J127*(1+IF(AND(J$6&gt;0,$B128&lt;J$6),J$4,J$5)/12),2))</f>
        <v/>
      </c>
      <c r="AP128">
        <f>IF(K127&lt;=0,0,ROUND(K127*(1+IF(AND(K$6&gt;0,$B128&lt;K$6),K$4,K$5)/12),2))</f>
        <v/>
      </c>
      <c r="AQ128">
        <f>IF(L127&lt;=0,0,ROUND(L127*(1+IF(AND(L$6&gt;0,$B128&lt;L$6),L$4,L$5)/12),2))</f>
        <v/>
      </c>
      <c r="AR128">
        <f>IF(M127&lt;=0,0,ROUND(M127*(1+IF(AND(M$6&gt;0,$B128&lt;M$6),M$4,M$5)/12),2))</f>
        <v/>
      </c>
      <c r="AS128">
        <f>IF(N127&lt;=0,0,ROUND(N127*(1+IF(AND(N$6&gt;0,$B128&lt;N$6),N$4,N$5)/12),2))</f>
        <v/>
      </c>
    </row>
    <row r="129">
      <c r="A129" t="n">
        <v>118</v>
      </c>
      <c r="B129">
        <f>EDATE(Plan!$C$6,117)</f>
        <v/>
      </c>
      <c r="C129">
        <f>IF(C128&lt;=0,0,MAX(0,AH129-O129))</f>
        <v/>
      </c>
      <c r="D129">
        <f>IF(D128&lt;=0,0,MAX(0,AI129-P129))</f>
        <v/>
      </c>
      <c r="E129">
        <f>IF(E128&lt;=0,0,MAX(0,AJ129-Q129))</f>
        <v/>
      </c>
      <c r="F129">
        <f>IF(F128&lt;=0,0,MAX(0,AK129-R129))</f>
        <v/>
      </c>
      <c r="G129">
        <f>IF(G128&lt;=0,0,MAX(0,AL129-S129))</f>
        <v/>
      </c>
      <c r="H129">
        <f>IF(H128&lt;=0,0,MAX(0,AM129-T129))</f>
        <v/>
      </c>
      <c r="I129">
        <f>IF(I128&lt;=0,0,MAX(0,AN129-U129))</f>
        <v/>
      </c>
      <c r="J129">
        <f>IF(J128&lt;=0,0,MAX(0,AO129-V129))</f>
        <v/>
      </c>
      <c r="K129">
        <f>IF(K128&lt;=0,0,MAX(0,AP129-W129))</f>
        <v/>
      </c>
      <c r="L129">
        <f>IF(L128&lt;=0,0,MAX(0,AQ129-X129))</f>
        <v/>
      </c>
      <c r="M129">
        <f>IF(M128&lt;=0,0,MAX(0,AR129-Y129))</f>
        <v/>
      </c>
      <c r="N129">
        <f>IF(N128&lt;=0,0,MAX(0,AS129-Z129))</f>
        <v/>
      </c>
      <c r="O129">
        <f>IF(C128&lt;=0,0,MIN(AH129,C$7+IF(C$2=$AA129,$AC129,IF(C$2=$AF129,$AG129,0))))</f>
        <v/>
      </c>
      <c r="P129">
        <f>IF(D128&lt;=0,0,MIN(AI129,D$7+IF(D$2=$AA129,$AC129,IF(D$2=$AF129,$AG129,0))))</f>
        <v/>
      </c>
      <c r="Q129">
        <f>IF(E128&lt;=0,0,MIN(AJ129,E$7+IF(E$2=$AA129,$AC129,IF(E$2=$AF129,$AG129,0))))</f>
        <v/>
      </c>
      <c r="R129">
        <f>IF(F128&lt;=0,0,MIN(AK129,F$7+IF(F$2=$AA129,$AC129,IF(F$2=$AF129,$AG129,0))))</f>
        <v/>
      </c>
      <c r="S129">
        <f>IF(G128&lt;=0,0,MIN(AL129,G$7+IF(G$2=$AA129,$AC129,IF(G$2=$AF129,$AG129,0))))</f>
        <v/>
      </c>
      <c r="T129">
        <f>IF(H128&lt;=0,0,MIN(AM129,H$7+IF(H$2=$AA129,$AC129,IF(H$2=$AF129,$AG129,0))))</f>
        <v/>
      </c>
      <c r="U129">
        <f>IF(I128&lt;=0,0,MIN(AN129,I$7+IF(I$2=$AA129,$AC129,IF(I$2=$AF129,$AG129,0))))</f>
        <v/>
      </c>
      <c r="V129">
        <f>IF(J128&lt;=0,0,MIN(AO129,J$7+IF(J$2=$AA129,$AC129,IF(J$2=$AF129,$AG129,0))))</f>
        <v/>
      </c>
      <c r="W129">
        <f>IF(K128&lt;=0,0,MIN(AP129,K$7+IF(K$2=$AA129,$AC129,IF(K$2=$AF129,$AG129,0))))</f>
        <v/>
      </c>
      <c r="X129">
        <f>IF(L128&lt;=0,0,MIN(AQ129,L$7+IF(L$2=$AA129,$AC129,IF(L$2=$AF129,$AG129,0))))</f>
        <v/>
      </c>
      <c r="Y129">
        <f>IF(M128&lt;=0,0,MIN(AR129,M$7+IF(M$2=$AA129,$AC129,IF(M$2=$AF129,$AG129,0))))</f>
        <v/>
      </c>
      <c r="Z129">
        <f>IF(N128&lt;=0,0,MIN(AS129,N$7+IF(N$2=$AA129,$AC129,IF(N$2=$AF129,$AG129,0))))</f>
        <v/>
      </c>
      <c r="AA129">
        <f>IFERROR(ROUND(1/SUMPRODUCT(MAX((C128:N128&gt;0)*($C$3:$N$3&lt;=B129)/$C$2:$N$2)),0),0)</f>
        <v/>
      </c>
      <c r="AB129">
        <f>SUMPRODUCT((C128:N128&gt;0)*$C$7:$N$7)</f>
        <v/>
      </c>
      <c r="AC129">
        <f>MAX(0,Plan!$C$5-AB129)+IF(A129=Plan!$C$8,N(Plan!$C$7),0)</f>
        <v/>
      </c>
      <c r="AD129">
        <f>SUM(C129:N129)</f>
        <v/>
      </c>
      <c r="AE129">
        <f>SUM(O129:Z129)</f>
        <v/>
      </c>
      <c r="AF129">
        <f>IFERROR(ROUND(1/SUMPRODUCT(MAX((C128:N128&gt;0)*($C$3:$N$3&lt;=B129)*($C$2:$N$2&gt;AA129)/$C$2:$N$2)),0),0)</f>
        <v/>
      </c>
      <c r="AG129">
        <f>MAX(0,AC129-MAX(0,SUMPRODUCT(($C$2:$N$2=AA129)*(AH129:AS129-$C$7:$N$7))))</f>
        <v/>
      </c>
      <c r="AH129">
        <f>IF(C128&lt;=0,0,ROUND(C128*(1+IF(AND(C$6&gt;0,$B129&lt;C$6),C$4,C$5)/12),2))</f>
        <v/>
      </c>
      <c r="AI129">
        <f>IF(D128&lt;=0,0,ROUND(D128*(1+IF(AND(D$6&gt;0,$B129&lt;D$6),D$4,D$5)/12),2))</f>
        <v/>
      </c>
      <c r="AJ129">
        <f>IF(E128&lt;=0,0,ROUND(E128*(1+IF(AND(E$6&gt;0,$B129&lt;E$6),E$4,E$5)/12),2))</f>
        <v/>
      </c>
      <c r="AK129">
        <f>IF(F128&lt;=0,0,ROUND(F128*(1+IF(AND(F$6&gt;0,$B129&lt;F$6),F$4,F$5)/12),2))</f>
        <v/>
      </c>
      <c r="AL129">
        <f>IF(G128&lt;=0,0,ROUND(G128*(1+IF(AND(G$6&gt;0,$B129&lt;G$6),G$4,G$5)/12),2))</f>
        <v/>
      </c>
      <c r="AM129">
        <f>IF(H128&lt;=0,0,ROUND(H128*(1+IF(AND(H$6&gt;0,$B129&lt;H$6),H$4,H$5)/12),2))</f>
        <v/>
      </c>
      <c r="AN129">
        <f>IF(I128&lt;=0,0,ROUND(I128*(1+IF(AND(I$6&gt;0,$B129&lt;I$6),I$4,I$5)/12),2))</f>
        <v/>
      </c>
      <c r="AO129">
        <f>IF(J128&lt;=0,0,ROUND(J128*(1+IF(AND(J$6&gt;0,$B129&lt;J$6),J$4,J$5)/12),2))</f>
        <v/>
      </c>
      <c r="AP129">
        <f>IF(K128&lt;=0,0,ROUND(K128*(1+IF(AND(K$6&gt;0,$B129&lt;K$6),K$4,K$5)/12),2))</f>
        <v/>
      </c>
      <c r="AQ129">
        <f>IF(L128&lt;=0,0,ROUND(L128*(1+IF(AND(L$6&gt;0,$B129&lt;L$6),L$4,L$5)/12),2))</f>
        <v/>
      </c>
      <c r="AR129">
        <f>IF(M128&lt;=0,0,ROUND(M128*(1+IF(AND(M$6&gt;0,$B129&lt;M$6),M$4,M$5)/12),2))</f>
        <v/>
      </c>
      <c r="AS129">
        <f>IF(N128&lt;=0,0,ROUND(N128*(1+IF(AND(N$6&gt;0,$B129&lt;N$6),N$4,N$5)/12),2))</f>
        <v/>
      </c>
    </row>
    <row r="130">
      <c r="A130" t="n">
        <v>119</v>
      </c>
      <c r="B130">
        <f>EDATE(Plan!$C$6,118)</f>
        <v/>
      </c>
      <c r="C130">
        <f>IF(C129&lt;=0,0,MAX(0,AH130-O130))</f>
        <v/>
      </c>
      <c r="D130">
        <f>IF(D129&lt;=0,0,MAX(0,AI130-P130))</f>
        <v/>
      </c>
      <c r="E130">
        <f>IF(E129&lt;=0,0,MAX(0,AJ130-Q130))</f>
        <v/>
      </c>
      <c r="F130">
        <f>IF(F129&lt;=0,0,MAX(0,AK130-R130))</f>
        <v/>
      </c>
      <c r="G130">
        <f>IF(G129&lt;=0,0,MAX(0,AL130-S130))</f>
        <v/>
      </c>
      <c r="H130">
        <f>IF(H129&lt;=0,0,MAX(0,AM130-T130))</f>
        <v/>
      </c>
      <c r="I130">
        <f>IF(I129&lt;=0,0,MAX(0,AN130-U130))</f>
        <v/>
      </c>
      <c r="J130">
        <f>IF(J129&lt;=0,0,MAX(0,AO130-V130))</f>
        <v/>
      </c>
      <c r="K130">
        <f>IF(K129&lt;=0,0,MAX(0,AP130-W130))</f>
        <v/>
      </c>
      <c r="L130">
        <f>IF(L129&lt;=0,0,MAX(0,AQ130-X130))</f>
        <v/>
      </c>
      <c r="M130">
        <f>IF(M129&lt;=0,0,MAX(0,AR130-Y130))</f>
        <v/>
      </c>
      <c r="N130">
        <f>IF(N129&lt;=0,0,MAX(0,AS130-Z130))</f>
        <v/>
      </c>
      <c r="O130">
        <f>IF(C129&lt;=0,0,MIN(AH130,C$7+IF(C$2=$AA130,$AC130,IF(C$2=$AF130,$AG130,0))))</f>
        <v/>
      </c>
      <c r="P130">
        <f>IF(D129&lt;=0,0,MIN(AI130,D$7+IF(D$2=$AA130,$AC130,IF(D$2=$AF130,$AG130,0))))</f>
        <v/>
      </c>
      <c r="Q130">
        <f>IF(E129&lt;=0,0,MIN(AJ130,E$7+IF(E$2=$AA130,$AC130,IF(E$2=$AF130,$AG130,0))))</f>
        <v/>
      </c>
      <c r="R130">
        <f>IF(F129&lt;=0,0,MIN(AK130,F$7+IF(F$2=$AA130,$AC130,IF(F$2=$AF130,$AG130,0))))</f>
        <v/>
      </c>
      <c r="S130">
        <f>IF(G129&lt;=0,0,MIN(AL130,G$7+IF(G$2=$AA130,$AC130,IF(G$2=$AF130,$AG130,0))))</f>
        <v/>
      </c>
      <c r="T130">
        <f>IF(H129&lt;=0,0,MIN(AM130,H$7+IF(H$2=$AA130,$AC130,IF(H$2=$AF130,$AG130,0))))</f>
        <v/>
      </c>
      <c r="U130">
        <f>IF(I129&lt;=0,0,MIN(AN130,I$7+IF(I$2=$AA130,$AC130,IF(I$2=$AF130,$AG130,0))))</f>
        <v/>
      </c>
      <c r="V130">
        <f>IF(J129&lt;=0,0,MIN(AO130,J$7+IF(J$2=$AA130,$AC130,IF(J$2=$AF130,$AG130,0))))</f>
        <v/>
      </c>
      <c r="W130">
        <f>IF(K129&lt;=0,0,MIN(AP130,K$7+IF(K$2=$AA130,$AC130,IF(K$2=$AF130,$AG130,0))))</f>
        <v/>
      </c>
      <c r="X130">
        <f>IF(L129&lt;=0,0,MIN(AQ130,L$7+IF(L$2=$AA130,$AC130,IF(L$2=$AF130,$AG130,0))))</f>
        <v/>
      </c>
      <c r="Y130">
        <f>IF(M129&lt;=0,0,MIN(AR130,M$7+IF(M$2=$AA130,$AC130,IF(M$2=$AF130,$AG130,0))))</f>
        <v/>
      </c>
      <c r="Z130">
        <f>IF(N129&lt;=0,0,MIN(AS130,N$7+IF(N$2=$AA130,$AC130,IF(N$2=$AF130,$AG130,0))))</f>
        <v/>
      </c>
      <c r="AA130">
        <f>IFERROR(ROUND(1/SUMPRODUCT(MAX((C129:N129&gt;0)*($C$3:$N$3&lt;=B130)/$C$2:$N$2)),0),0)</f>
        <v/>
      </c>
      <c r="AB130">
        <f>SUMPRODUCT((C129:N129&gt;0)*$C$7:$N$7)</f>
        <v/>
      </c>
      <c r="AC130">
        <f>MAX(0,Plan!$C$5-AB130)+IF(A130=Plan!$C$8,N(Plan!$C$7),0)</f>
        <v/>
      </c>
      <c r="AD130">
        <f>SUM(C130:N130)</f>
        <v/>
      </c>
      <c r="AE130">
        <f>SUM(O130:Z130)</f>
        <v/>
      </c>
      <c r="AF130">
        <f>IFERROR(ROUND(1/SUMPRODUCT(MAX((C129:N129&gt;0)*($C$3:$N$3&lt;=B130)*($C$2:$N$2&gt;AA130)/$C$2:$N$2)),0),0)</f>
        <v/>
      </c>
      <c r="AG130">
        <f>MAX(0,AC130-MAX(0,SUMPRODUCT(($C$2:$N$2=AA130)*(AH130:AS130-$C$7:$N$7))))</f>
        <v/>
      </c>
      <c r="AH130">
        <f>IF(C129&lt;=0,0,ROUND(C129*(1+IF(AND(C$6&gt;0,$B130&lt;C$6),C$4,C$5)/12),2))</f>
        <v/>
      </c>
      <c r="AI130">
        <f>IF(D129&lt;=0,0,ROUND(D129*(1+IF(AND(D$6&gt;0,$B130&lt;D$6),D$4,D$5)/12),2))</f>
        <v/>
      </c>
      <c r="AJ130">
        <f>IF(E129&lt;=0,0,ROUND(E129*(1+IF(AND(E$6&gt;0,$B130&lt;E$6),E$4,E$5)/12),2))</f>
        <v/>
      </c>
      <c r="AK130">
        <f>IF(F129&lt;=0,0,ROUND(F129*(1+IF(AND(F$6&gt;0,$B130&lt;F$6),F$4,F$5)/12),2))</f>
        <v/>
      </c>
      <c r="AL130">
        <f>IF(G129&lt;=0,0,ROUND(G129*(1+IF(AND(G$6&gt;0,$B130&lt;G$6),G$4,G$5)/12),2))</f>
        <v/>
      </c>
      <c r="AM130">
        <f>IF(H129&lt;=0,0,ROUND(H129*(1+IF(AND(H$6&gt;0,$B130&lt;H$6),H$4,H$5)/12),2))</f>
        <v/>
      </c>
      <c r="AN130">
        <f>IF(I129&lt;=0,0,ROUND(I129*(1+IF(AND(I$6&gt;0,$B130&lt;I$6),I$4,I$5)/12),2))</f>
        <v/>
      </c>
      <c r="AO130">
        <f>IF(J129&lt;=0,0,ROUND(J129*(1+IF(AND(J$6&gt;0,$B130&lt;J$6),J$4,J$5)/12),2))</f>
        <v/>
      </c>
      <c r="AP130">
        <f>IF(K129&lt;=0,0,ROUND(K129*(1+IF(AND(K$6&gt;0,$B130&lt;K$6),K$4,K$5)/12),2))</f>
        <v/>
      </c>
      <c r="AQ130">
        <f>IF(L129&lt;=0,0,ROUND(L129*(1+IF(AND(L$6&gt;0,$B130&lt;L$6),L$4,L$5)/12),2))</f>
        <v/>
      </c>
      <c r="AR130">
        <f>IF(M129&lt;=0,0,ROUND(M129*(1+IF(AND(M$6&gt;0,$B130&lt;M$6),M$4,M$5)/12),2))</f>
        <v/>
      </c>
      <c r="AS130">
        <f>IF(N129&lt;=0,0,ROUND(N129*(1+IF(AND(N$6&gt;0,$B130&lt;N$6),N$4,N$5)/12),2))</f>
        <v/>
      </c>
    </row>
    <row r="131">
      <c r="A131" t="n">
        <v>120</v>
      </c>
      <c r="B131">
        <f>EDATE(Plan!$C$6,119)</f>
        <v/>
      </c>
      <c r="C131">
        <f>IF(C130&lt;=0,0,MAX(0,AH131-O131))</f>
        <v/>
      </c>
      <c r="D131">
        <f>IF(D130&lt;=0,0,MAX(0,AI131-P131))</f>
        <v/>
      </c>
      <c r="E131">
        <f>IF(E130&lt;=0,0,MAX(0,AJ131-Q131))</f>
        <v/>
      </c>
      <c r="F131">
        <f>IF(F130&lt;=0,0,MAX(0,AK131-R131))</f>
        <v/>
      </c>
      <c r="G131">
        <f>IF(G130&lt;=0,0,MAX(0,AL131-S131))</f>
        <v/>
      </c>
      <c r="H131">
        <f>IF(H130&lt;=0,0,MAX(0,AM131-T131))</f>
        <v/>
      </c>
      <c r="I131">
        <f>IF(I130&lt;=0,0,MAX(0,AN131-U131))</f>
        <v/>
      </c>
      <c r="J131">
        <f>IF(J130&lt;=0,0,MAX(0,AO131-V131))</f>
        <v/>
      </c>
      <c r="K131">
        <f>IF(K130&lt;=0,0,MAX(0,AP131-W131))</f>
        <v/>
      </c>
      <c r="L131">
        <f>IF(L130&lt;=0,0,MAX(0,AQ131-X131))</f>
        <v/>
      </c>
      <c r="M131">
        <f>IF(M130&lt;=0,0,MAX(0,AR131-Y131))</f>
        <v/>
      </c>
      <c r="N131">
        <f>IF(N130&lt;=0,0,MAX(0,AS131-Z131))</f>
        <v/>
      </c>
      <c r="O131">
        <f>IF(C130&lt;=0,0,MIN(AH131,C$7+IF(C$2=$AA131,$AC131,IF(C$2=$AF131,$AG131,0))))</f>
        <v/>
      </c>
      <c r="P131">
        <f>IF(D130&lt;=0,0,MIN(AI131,D$7+IF(D$2=$AA131,$AC131,IF(D$2=$AF131,$AG131,0))))</f>
        <v/>
      </c>
      <c r="Q131">
        <f>IF(E130&lt;=0,0,MIN(AJ131,E$7+IF(E$2=$AA131,$AC131,IF(E$2=$AF131,$AG131,0))))</f>
        <v/>
      </c>
      <c r="R131">
        <f>IF(F130&lt;=0,0,MIN(AK131,F$7+IF(F$2=$AA131,$AC131,IF(F$2=$AF131,$AG131,0))))</f>
        <v/>
      </c>
      <c r="S131">
        <f>IF(G130&lt;=0,0,MIN(AL131,G$7+IF(G$2=$AA131,$AC131,IF(G$2=$AF131,$AG131,0))))</f>
        <v/>
      </c>
      <c r="T131">
        <f>IF(H130&lt;=0,0,MIN(AM131,H$7+IF(H$2=$AA131,$AC131,IF(H$2=$AF131,$AG131,0))))</f>
        <v/>
      </c>
      <c r="U131">
        <f>IF(I130&lt;=0,0,MIN(AN131,I$7+IF(I$2=$AA131,$AC131,IF(I$2=$AF131,$AG131,0))))</f>
        <v/>
      </c>
      <c r="V131">
        <f>IF(J130&lt;=0,0,MIN(AO131,J$7+IF(J$2=$AA131,$AC131,IF(J$2=$AF131,$AG131,0))))</f>
        <v/>
      </c>
      <c r="W131">
        <f>IF(K130&lt;=0,0,MIN(AP131,K$7+IF(K$2=$AA131,$AC131,IF(K$2=$AF131,$AG131,0))))</f>
        <v/>
      </c>
      <c r="X131">
        <f>IF(L130&lt;=0,0,MIN(AQ131,L$7+IF(L$2=$AA131,$AC131,IF(L$2=$AF131,$AG131,0))))</f>
        <v/>
      </c>
      <c r="Y131">
        <f>IF(M130&lt;=0,0,MIN(AR131,M$7+IF(M$2=$AA131,$AC131,IF(M$2=$AF131,$AG131,0))))</f>
        <v/>
      </c>
      <c r="Z131">
        <f>IF(N130&lt;=0,0,MIN(AS131,N$7+IF(N$2=$AA131,$AC131,IF(N$2=$AF131,$AG131,0))))</f>
        <v/>
      </c>
      <c r="AA131">
        <f>IFERROR(ROUND(1/SUMPRODUCT(MAX((C130:N130&gt;0)*($C$3:$N$3&lt;=B131)/$C$2:$N$2)),0),0)</f>
        <v/>
      </c>
      <c r="AB131">
        <f>SUMPRODUCT((C130:N130&gt;0)*$C$7:$N$7)</f>
        <v/>
      </c>
      <c r="AC131">
        <f>MAX(0,Plan!$C$5-AB131)+IF(A131=Plan!$C$8,N(Plan!$C$7),0)</f>
        <v/>
      </c>
      <c r="AD131">
        <f>SUM(C131:N131)</f>
        <v/>
      </c>
      <c r="AE131">
        <f>SUM(O131:Z131)</f>
        <v/>
      </c>
      <c r="AF131">
        <f>IFERROR(ROUND(1/SUMPRODUCT(MAX((C130:N130&gt;0)*($C$3:$N$3&lt;=B131)*($C$2:$N$2&gt;AA131)/$C$2:$N$2)),0),0)</f>
        <v/>
      </c>
      <c r="AG131">
        <f>MAX(0,AC131-MAX(0,SUMPRODUCT(($C$2:$N$2=AA131)*(AH131:AS131-$C$7:$N$7))))</f>
        <v/>
      </c>
      <c r="AH131">
        <f>IF(C130&lt;=0,0,ROUND(C130*(1+IF(AND(C$6&gt;0,$B131&lt;C$6),C$4,C$5)/12),2))</f>
        <v/>
      </c>
      <c r="AI131">
        <f>IF(D130&lt;=0,0,ROUND(D130*(1+IF(AND(D$6&gt;0,$B131&lt;D$6),D$4,D$5)/12),2))</f>
        <v/>
      </c>
      <c r="AJ131">
        <f>IF(E130&lt;=0,0,ROUND(E130*(1+IF(AND(E$6&gt;0,$B131&lt;E$6),E$4,E$5)/12),2))</f>
        <v/>
      </c>
      <c r="AK131">
        <f>IF(F130&lt;=0,0,ROUND(F130*(1+IF(AND(F$6&gt;0,$B131&lt;F$6),F$4,F$5)/12),2))</f>
        <v/>
      </c>
      <c r="AL131">
        <f>IF(G130&lt;=0,0,ROUND(G130*(1+IF(AND(G$6&gt;0,$B131&lt;G$6),G$4,G$5)/12),2))</f>
        <v/>
      </c>
      <c r="AM131">
        <f>IF(H130&lt;=0,0,ROUND(H130*(1+IF(AND(H$6&gt;0,$B131&lt;H$6),H$4,H$5)/12),2))</f>
        <v/>
      </c>
      <c r="AN131">
        <f>IF(I130&lt;=0,0,ROUND(I130*(1+IF(AND(I$6&gt;0,$B131&lt;I$6),I$4,I$5)/12),2))</f>
        <v/>
      </c>
      <c r="AO131">
        <f>IF(J130&lt;=0,0,ROUND(J130*(1+IF(AND(J$6&gt;0,$B131&lt;J$6),J$4,J$5)/12),2))</f>
        <v/>
      </c>
      <c r="AP131">
        <f>IF(K130&lt;=0,0,ROUND(K130*(1+IF(AND(K$6&gt;0,$B131&lt;K$6),K$4,K$5)/12),2))</f>
        <v/>
      </c>
      <c r="AQ131">
        <f>IF(L130&lt;=0,0,ROUND(L130*(1+IF(AND(L$6&gt;0,$B131&lt;L$6),L$4,L$5)/12),2))</f>
        <v/>
      </c>
      <c r="AR131">
        <f>IF(M130&lt;=0,0,ROUND(M130*(1+IF(AND(M$6&gt;0,$B131&lt;M$6),M$4,M$5)/12),2))</f>
        <v/>
      </c>
      <c r="AS131">
        <f>IF(N130&lt;=0,0,ROUND(N130*(1+IF(AND(N$6&gt;0,$B131&lt;N$6),N$4,N$5)/12),2))</f>
        <v/>
      </c>
    </row>
    <row r="132">
      <c r="A132" t="n">
        <v>121</v>
      </c>
      <c r="B132">
        <f>EDATE(Plan!$C$6,120)</f>
        <v/>
      </c>
      <c r="C132">
        <f>IF(C131&lt;=0,0,MAX(0,AH132-O132))</f>
        <v/>
      </c>
      <c r="D132">
        <f>IF(D131&lt;=0,0,MAX(0,AI132-P132))</f>
        <v/>
      </c>
      <c r="E132">
        <f>IF(E131&lt;=0,0,MAX(0,AJ132-Q132))</f>
        <v/>
      </c>
      <c r="F132">
        <f>IF(F131&lt;=0,0,MAX(0,AK132-R132))</f>
        <v/>
      </c>
      <c r="G132">
        <f>IF(G131&lt;=0,0,MAX(0,AL132-S132))</f>
        <v/>
      </c>
      <c r="H132">
        <f>IF(H131&lt;=0,0,MAX(0,AM132-T132))</f>
        <v/>
      </c>
      <c r="I132">
        <f>IF(I131&lt;=0,0,MAX(0,AN132-U132))</f>
        <v/>
      </c>
      <c r="J132">
        <f>IF(J131&lt;=0,0,MAX(0,AO132-V132))</f>
        <v/>
      </c>
      <c r="K132">
        <f>IF(K131&lt;=0,0,MAX(0,AP132-W132))</f>
        <v/>
      </c>
      <c r="L132">
        <f>IF(L131&lt;=0,0,MAX(0,AQ132-X132))</f>
        <v/>
      </c>
      <c r="M132">
        <f>IF(M131&lt;=0,0,MAX(0,AR132-Y132))</f>
        <v/>
      </c>
      <c r="N132">
        <f>IF(N131&lt;=0,0,MAX(0,AS132-Z132))</f>
        <v/>
      </c>
      <c r="O132">
        <f>IF(C131&lt;=0,0,MIN(AH132,C$7+IF(C$2=$AA132,$AC132,IF(C$2=$AF132,$AG132,0))))</f>
        <v/>
      </c>
      <c r="P132">
        <f>IF(D131&lt;=0,0,MIN(AI132,D$7+IF(D$2=$AA132,$AC132,IF(D$2=$AF132,$AG132,0))))</f>
        <v/>
      </c>
      <c r="Q132">
        <f>IF(E131&lt;=0,0,MIN(AJ132,E$7+IF(E$2=$AA132,$AC132,IF(E$2=$AF132,$AG132,0))))</f>
        <v/>
      </c>
      <c r="R132">
        <f>IF(F131&lt;=0,0,MIN(AK132,F$7+IF(F$2=$AA132,$AC132,IF(F$2=$AF132,$AG132,0))))</f>
        <v/>
      </c>
      <c r="S132">
        <f>IF(G131&lt;=0,0,MIN(AL132,G$7+IF(G$2=$AA132,$AC132,IF(G$2=$AF132,$AG132,0))))</f>
        <v/>
      </c>
      <c r="T132">
        <f>IF(H131&lt;=0,0,MIN(AM132,H$7+IF(H$2=$AA132,$AC132,IF(H$2=$AF132,$AG132,0))))</f>
        <v/>
      </c>
      <c r="U132">
        <f>IF(I131&lt;=0,0,MIN(AN132,I$7+IF(I$2=$AA132,$AC132,IF(I$2=$AF132,$AG132,0))))</f>
        <v/>
      </c>
      <c r="V132">
        <f>IF(J131&lt;=0,0,MIN(AO132,J$7+IF(J$2=$AA132,$AC132,IF(J$2=$AF132,$AG132,0))))</f>
        <v/>
      </c>
      <c r="W132">
        <f>IF(K131&lt;=0,0,MIN(AP132,K$7+IF(K$2=$AA132,$AC132,IF(K$2=$AF132,$AG132,0))))</f>
        <v/>
      </c>
      <c r="X132">
        <f>IF(L131&lt;=0,0,MIN(AQ132,L$7+IF(L$2=$AA132,$AC132,IF(L$2=$AF132,$AG132,0))))</f>
        <v/>
      </c>
      <c r="Y132">
        <f>IF(M131&lt;=0,0,MIN(AR132,M$7+IF(M$2=$AA132,$AC132,IF(M$2=$AF132,$AG132,0))))</f>
        <v/>
      </c>
      <c r="Z132">
        <f>IF(N131&lt;=0,0,MIN(AS132,N$7+IF(N$2=$AA132,$AC132,IF(N$2=$AF132,$AG132,0))))</f>
        <v/>
      </c>
      <c r="AA132">
        <f>IFERROR(ROUND(1/SUMPRODUCT(MAX((C131:N131&gt;0)*($C$3:$N$3&lt;=B132)/$C$2:$N$2)),0),0)</f>
        <v/>
      </c>
      <c r="AB132">
        <f>SUMPRODUCT((C131:N131&gt;0)*$C$7:$N$7)</f>
        <v/>
      </c>
      <c r="AC132">
        <f>MAX(0,Plan!$C$5-AB132)+IF(A132=Plan!$C$8,N(Plan!$C$7),0)</f>
        <v/>
      </c>
      <c r="AD132">
        <f>SUM(C132:N132)</f>
        <v/>
      </c>
      <c r="AE132">
        <f>SUM(O132:Z132)</f>
        <v/>
      </c>
      <c r="AF132">
        <f>IFERROR(ROUND(1/SUMPRODUCT(MAX((C131:N131&gt;0)*($C$3:$N$3&lt;=B132)*($C$2:$N$2&gt;AA132)/$C$2:$N$2)),0),0)</f>
        <v/>
      </c>
      <c r="AG132">
        <f>MAX(0,AC132-MAX(0,SUMPRODUCT(($C$2:$N$2=AA132)*(AH132:AS132-$C$7:$N$7))))</f>
        <v/>
      </c>
      <c r="AH132">
        <f>IF(C131&lt;=0,0,ROUND(C131*(1+IF(AND(C$6&gt;0,$B132&lt;C$6),C$4,C$5)/12),2))</f>
        <v/>
      </c>
      <c r="AI132">
        <f>IF(D131&lt;=0,0,ROUND(D131*(1+IF(AND(D$6&gt;0,$B132&lt;D$6),D$4,D$5)/12),2))</f>
        <v/>
      </c>
      <c r="AJ132">
        <f>IF(E131&lt;=0,0,ROUND(E131*(1+IF(AND(E$6&gt;0,$B132&lt;E$6),E$4,E$5)/12),2))</f>
        <v/>
      </c>
      <c r="AK132">
        <f>IF(F131&lt;=0,0,ROUND(F131*(1+IF(AND(F$6&gt;0,$B132&lt;F$6),F$4,F$5)/12),2))</f>
        <v/>
      </c>
      <c r="AL132">
        <f>IF(G131&lt;=0,0,ROUND(G131*(1+IF(AND(G$6&gt;0,$B132&lt;G$6),G$4,G$5)/12),2))</f>
        <v/>
      </c>
      <c r="AM132">
        <f>IF(H131&lt;=0,0,ROUND(H131*(1+IF(AND(H$6&gt;0,$B132&lt;H$6),H$4,H$5)/12),2))</f>
        <v/>
      </c>
      <c r="AN132">
        <f>IF(I131&lt;=0,0,ROUND(I131*(1+IF(AND(I$6&gt;0,$B132&lt;I$6),I$4,I$5)/12),2))</f>
        <v/>
      </c>
      <c r="AO132">
        <f>IF(J131&lt;=0,0,ROUND(J131*(1+IF(AND(J$6&gt;0,$B132&lt;J$6),J$4,J$5)/12),2))</f>
        <v/>
      </c>
      <c r="AP132">
        <f>IF(K131&lt;=0,0,ROUND(K131*(1+IF(AND(K$6&gt;0,$B132&lt;K$6),K$4,K$5)/12),2))</f>
        <v/>
      </c>
      <c r="AQ132">
        <f>IF(L131&lt;=0,0,ROUND(L131*(1+IF(AND(L$6&gt;0,$B132&lt;L$6),L$4,L$5)/12),2))</f>
        <v/>
      </c>
      <c r="AR132">
        <f>IF(M131&lt;=0,0,ROUND(M131*(1+IF(AND(M$6&gt;0,$B132&lt;M$6),M$4,M$5)/12),2))</f>
        <v/>
      </c>
      <c r="AS132">
        <f>IF(N131&lt;=0,0,ROUND(N131*(1+IF(AND(N$6&gt;0,$B132&lt;N$6),N$4,N$5)/12),2))</f>
        <v/>
      </c>
    </row>
    <row r="133">
      <c r="A133" t="n">
        <v>122</v>
      </c>
      <c r="B133">
        <f>EDATE(Plan!$C$6,121)</f>
        <v/>
      </c>
      <c r="C133">
        <f>IF(C132&lt;=0,0,MAX(0,AH133-O133))</f>
        <v/>
      </c>
      <c r="D133">
        <f>IF(D132&lt;=0,0,MAX(0,AI133-P133))</f>
        <v/>
      </c>
      <c r="E133">
        <f>IF(E132&lt;=0,0,MAX(0,AJ133-Q133))</f>
        <v/>
      </c>
      <c r="F133">
        <f>IF(F132&lt;=0,0,MAX(0,AK133-R133))</f>
        <v/>
      </c>
      <c r="G133">
        <f>IF(G132&lt;=0,0,MAX(0,AL133-S133))</f>
        <v/>
      </c>
      <c r="H133">
        <f>IF(H132&lt;=0,0,MAX(0,AM133-T133))</f>
        <v/>
      </c>
      <c r="I133">
        <f>IF(I132&lt;=0,0,MAX(0,AN133-U133))</f>
        <v/>
      </c>
      <c r="J133">
        <f>IF(J132&lt;=0,0,MAX(0,AO133-V133))</f>
        <v/>
      </c>
      <c r="K133">
        <f>IF(K132&lt;=0,0,MAX(0,AP133-W133))</f>
        <v/>
      </c>
      <c r="L133">
        <f>IF(L132&lt;=0,0,MAX(0,AQ133-X133))</f>
        <v/>
      </c>
      <c r="M133">
        <f>IF(M132&lt;=0,0,MAX(0,AR133-Y133))</f>
        <v/>
      </c>
      <c r="N133">
        <f>IF(N132&lt;=0,0,MAX(0,AS133-Z133))</f>
        <v/>
      </c>
      <c r="O133">
        <f>IF(C132&lt;=0,0,MIN(AH133,C$7+IF(C$2=$AA133,$AC133,IF(C$2=$AF133,$AG133,0))))</f>
        <v/>
      </c>
      <c r="P133">
        <f>IF(D132&lt;=0,0,MIN(AI133,D$7+IF(D$2=$AA133,$AC133,IF(D$2=$AF133,$AG133,0))))</f>
        <v/>
      </c>
      <c r="Q133">
        <f>IF(E132&lt;=0,0,MIN(AJ133,E$7+IF(E$2=$AA133,$AC133,IF(E$2=$AF133,$AG133,0))))</f>
        <v/>
      </c>
      <c r="R133">
        <f>IF(F132&lt;=0,0,MIN(AK133,F$7+IF(F$2=$AA133,$AC133,IF(F$2=$AF133,$AG133,0))))</f>
        <v/>
      </c>
      <c r="S133">
        <f>IF(G132&lt;=0,0,MIN(AL133,G$7+IF(G$2=$AA133,$AC133,IF(G$2=$AF133,$AG133,0))))</f>
        <v/>
      </c>
      <c r="T133">
        <f>IF(H132&lt;=0,0,MIN(AM133,H$7+IF(H$2=$AA133,$AC133,IF(H$2=$AF133,$AG133,0))))</f>
        <v/>
      </c>
      <c r="U133">
        <f>IF(I132&lt;=0,0,MIN(AN133,I$7+IF(I$2=$AA133,$AC133,IF(I$2=$AF133,$AG133,0))))</f>
        <v/>
      </c>
      <c r="V133">
        <f>IF(J132&lt;=0,0,MIN(AO133,J$7+IF(J$2=$AA133,$AC133,IF(J$2=$AF133,$AG133,0))))</f>
        <v/>
      </c>
      <c r="W133">
        <f>IF(K132&lt;=0,0,MIN(AP133,K$7+IF(K$2=$AA133,$AC133,IF(K$2=$AF133,$AG133,0))))</f>
        <v/>
      </c>
      <c r="X133">
        <f>IF(L132&lt;=0,0,MIN(AQ133,L$7+IF(L$2=$AA133,$AC133,IF(L$2=$AF133,$AG133,0))))</f>
        <v/>
      </c>
      <c r="Y133">
        <f>IF(M132&lt;=0,0,MIN(AR133,M$7+IF(M$2=$AA133,$AC133,IF(M$2=$AF133,$AG133,0))))</f>
        <v/>
      </c>
      <c r="Z133">
        <f>IF(N132&lt;=0,0,MIN(AS133,N$7+IF(N$2=$AA133,$AC133,IF(N$2=$AF133,$AG133,0))))</f>
        <v/>
      </c>
      <c r="AA133">
        <f>IFERROR(ROUND(1/SUMPRODUCT(MAX((C132:N132&gt;0)*($C$3:$N$3&lt;=B133)/$C$2:$N$2)),0),0)</f>
        <v/>
      </c>
      <c r="AB133">
        <f>SUMPRODUCT((C132:N132&gt;0)*$C$7:$N$7)</f>
        <v/>
      </c>
      <c r="AC133">
        <f>MAX(0,Plan!$C$5-AB133)+IF(A133=Plan!$C$8,N(Plan!$C$7),0)</f>
        <v/>
      </c>
      <c r="AD133">
        <f>SUM(C133:N133)</f>
        <v/>
      </c>
      <c r="AE133">
        <f>SUM(O133:Z133)</f>
        <v/>
      </c>
      <c r="AF133">
        <f>IFERROR(ROUND(1/SUMPRODUCT(MAX((C132:N132&gt;0)*($C$3:$N$3&lt;=B133)*($C$2:$N$2&gt;AA133)/$C$2:$N$2)),0),0)</f>
        <v/>
      </c>
      <c r="AG133">
        <f>MAX(0,AC133-MAX(0,SUMPRODUCT(($C$2:$N$2=AA133)*(AH133:AS133-$C$7:$N$7))))</f>
        <v/>
      </c>
      <c r="AH133">
        <f>IF(C132&lt;=0,0,ROUND(C132*(1+IF(AND(C$6&gt;0,$B133&lt;C$6),C$4,C$5)/12),2))</f>
        <v/>
      </c>
      <c r="AI133">
        <f>IF(D132&lt;=0,0,ROUND(D132*(1+IF(AND(D$6&gt;0,$B133&lt;D$6),D$4,D$5)/12),2))</f>
        <v/>
      </c>
      <c r="AJ133">
        <f>IF(E132&lt;=0,0,ROUND(E132*(1+IF(AND(E$6&gt;0,$B133&lt;E$6),E$4,E$5)/12),2))</f>
        <v/>
      </c>
      <c r="AK133">
        <f>IF(F132&lt;=0,0,ROUND(F132*(1+IF(AND(F$6&gt;0,$B133&lt;F$6),F$4,F$5)/12),2))</f>
        <v/>
      </c>
      <c r="AL133">
        <f>IF(G132&lt;=0,0,ROUND(G132*(1+IF(AND(G$6&gt;0,$B133&lt;G$6),G$4,G$5)/12),2))</f>
        <v/>
      </c>
      <c r="AM133">
        <f>IF(H132&lt;=0,0,ROUND(H132*(1+IF(AND(H$6&gt;0,$B133&lt;H$6),H$4,H$5)/12),2))</f>
        <v/>
      </c>
      <c r="AN133">
        <f>IF(I132&lt;=0,0,ROUND(I132*(1+IF(AND(I$6&gt;0,$B133&lt;I$6),I$4,I$5)/12),2))</f>
        <v/>
      </c>
      <c r="AO133">
        <f>IF(J132&lt;=0,0,ROUND(J132*(1+IF(AND(J$6&gt;0,$B133&lt;J$6),J$4,J$5)/12),2))</f>
        <v/>
      </c>
      <c r="AP133">
        <f>IF(K132&lt;=0,0,ROUND(K132*(1+IF(AND(K$6&gt;0,$B133&lt;K$6),K$4,K$5)/12),2))</f>
        <v/>
      </c>
      <c r="AQ133">
        <f>IF(L132&lt;=0,0,ROUND(L132*(1+IF(AND(L$6&gt;0,$B133&lt;L$6),L$4,L$5)/12),2))</f>
        <v/>
      </c>
      <c r="AR133">
        <f>IF(M132&lt;=0,0,ROUND(M132*(1+IF(AND(M$6&gt;0,$B133&lt;M$6),M$4,M$5)/12),2))</f>
        <v/>
      </c>
      <c r="AS133">
        <f>IF(N132&lt;=0,0,ROUND(N132*(1+IF(AND(N$6&gt;0,$B133&lt;N$6),N$4,N$5)/12),2))</f>
        <v/>
      </c>
    </row>
    <row r="134">
      <c r="A134" t="n">
        <v>123</v>
      </c>
      <c r="B134">
        <f>EDATE(Plan!$C$6,122)</f>
        <v/>
      </c>
      <c r="C134">
        <f>IF(C133&lt;=0,0,MAX(0,AH134-O134))</f>
        <v/>
      </c>
      <c r="D134">
        <f>IF(D133&lt;=0,0,MAX(0,AI134-P134))</f>
        <v/>
      </c>
      <c r="E134">
        <f>IF(E133&lt;=0,0,MAX(0,AJ134-Q134))</f>
        <v/>
      </c>
      <c r="F134">
        <f>IF(F133&lt;=0,0,MAX(0,AK134-R134))</f>
        <v/>
      </c>
      <c r="G134">
        <f>IF(G133&lt;=0,0,MAX(0,AL134-S134))</f>
        <v/>
      </c>
      <c r="H134">
        <f>IF(H133&lt;=0,0,MAX(0,AM134-T134))</f>
        <v/>
      </c>
      <c r="I134">
        <f>IF(I133&lt;=0,0,MAX(0,AN134-U134))</f>
        <v/>
      </c>
      <c r="J134">
        <f>IF(J133&lt;=0,0,MAX(0,AO134-V134))</f>
        <v/>
      </c>
      <c r="K134">
        <f>IF(K133&lt;=0,0,MAX(0,AP134-W134))</f>
        <v/>
      </c>
      <c r="L134">
        <f>IF(L133&lt;=0,0,MAX(0,AQ134-X134))</f>
        <v/>
      </c>
      <c r="M134">
        <f>IF(M133&lt;=0,0,MAX(0,AR134-Y134))</f>
        <v/>
      </c>
      <c r="N134">
        <f>IF(N133&lt;=0,0,MAX(0,AS134-Z134))</f>
        <v/>
      </c>
      <c r="O134">
        <f>IF(C133&lt;=0,0,MIN(AH134,C$7+IF(C$2=$AA134,$AC134,IF(C$2=$AF134,$AG134,0))))</f>
        <v/>
      </c>
      <c r="P134">
        <f>IF(D133&lt;=0,0,MIN(AI134,D$7+IF(D$2=$AA134,$AC134,IF(D$2=$AF134,$AG134,0))))</f>
        <v/>
      </c>
      <c r="Q134">
        <f>IF(E133&lt;=0,0,MIN(AJ134,E$7+IF(E$2=$AA134,$AC134,IF(E$2=$AF134,$AG134,0))))</f>
        <v/>
      </c>
      <c r="R134">
        <f>IF(F133&lt;=0,0,MIN(AK134,F$7+IF(F$2=$AA134,$AC134,IF(F$2=$AF134,$AG134,0))))</f>
        <v/>
      </c>
      <c r="S134">
        <f>IF(G133&lt;=0,0,MIN(AL134,G$7+IF(G$2=$AA134,$AC134,IF(G$2=$AF134,$AG134,0))))</f>
        <v/>
      </c>
      <c r="T134">
        <f>IF(H133&lt;=0,0,MIN(AM134,H$7+IF(H$2=$AA134,$AC134,IF(H$2=$AF134,$AG134,0))))</f>
        <v/>
      </c>
      <c r="U134">
        <f>IF(I133&lt;=0,0,MIN(AN134,I$7+IF(I$2=$AA134,$AC134,IF(I$2=$AF134,$AG134,0))))</f>
        <v/>
      </c>
      <c r="V134">
        <f>IF(J133&lt;=0,0,MIN(AO134,J$7+IF(J$2=$AA134,$AC134,IF(J$2=$AF134,$AG134,0))))</f>
        <v/>
      </c>
      <c r="W134">
        <f>IF(K133&lt;=0,0,MIN(AP134,K$7+IF(K$2=$AA134,$AC134,IF(K$2=$AF134,$AG134,0))))</f>
        <v/>
      </c>
      <c r="X134">
        <f>IF(L133&lt;=0,0,MIN(AQ134,L$7+IF(L$2=$AA134,$AC134,IF(L$2=$AF134,$AG134,0))))</f>
        <v/>
      </c>
      <c r="Y134">
        <f>IF(M133&lt;=0,0,MIN(AR134,M$7+IF(M$2=$AA134,$AC134,IF(M$2=$AF134,$AG134,0))))</f>
        <v/>
      </c>
      <c r="Z134">
        <f>IF(N133&lt;=0,0,MIN(AS134,N$7+IF(N$2=$AA134,$AC134,IF(N$2=$AF134,$AG134,0))))</f>
        <v/>
      </c>
      <c r="AA134">
        <f>IFERROR(ROUND(1/SUMPRODUCT(MAX((C133:N133&gt;0)*($C$3:$N$3&lt;=B134)/$C$2:$N$2)),0),0)</f>
        <v/>
      </c>
      <c r="AB134">
        <f>SUMPRODUCT((C133:N133&gt;0)*$C$7:$N$7)</f>
        <v/>
      </c>
      <c r="AC134">
        <f>MAX(0,Plan!$C$5-AB134)+IF(A134=Plan!$C$8,N(Plan!$C$7),0)</f>
        <v/>
      </c>
      <c r="AD134">
        <f>SUM(C134:N134)</f>
        <v/>
      </c>
      <c r="AE134">
        <f>SUM(O134:Z134)</f>
        <v/>
      </c>
      <c r="AF134">
        <f>IFERROR(ROUND(1/SUMPRODUCT(MAX((C133:N133&gt;0)*($C$3:$N$3&lt;=B134)*($C$2:$N$2&gt;AA134)/$C$2:$N$2)),0),0)</f>
        <v/>
      </c>
      <c r="AG134">
        <f>MAX(0,AC134-MAX(0,SUMPRODUCT(($C$2:$N$2=AA134)*(AH134:AS134-$C$7:$N$7))))</f>
        <v/>
      </c>
      <c r="AH134">
        <f>IF(C133&lt;=0,0,ROUND(C133*(1+IF(AND(C$6&gt;0,$B134&lt;C$6),C$4,C$5)/12),2))</f>
        <v/>
      </c>
      <c r="AI134">
        <f>IF(D133&lt;=0,0,ROUND(D133*(1+IF(AND(D$6&gt;0,$B134&lt;D$6),D$4,D$5)/12),2))</f>
        <v/>
      </c>
      <c r="AJ134">
        <f>IF(E133&lt;=0,0,ROUND(E133*(1+IF(AND(E$6&gt;0,$B134&lt;E$6),E$4,E$5)/12),2))</f>
        <v/>
      </c>
      <c r="AK134">
        <f>IF(F133&lt;=0,0,ROUND(F133*(1+IF(AND(F$6&gt;0,$B134&lt;F$6),F$4,F$5)/12),2))</f>
        <v/>
      </c>
      <c r="AL134">
        <f>IF(G133&lt;=0,0,ROUND(G133*(1+IF(AND(G$6&gt;0,$B134&lt;G$6),G$4,G$5)/12),2))</f>
        <v/>
      </c>
      <c r="AM134">
        <f>IF(H133&lt;=0,0,ROUND(H133*(1+IF(AND(H$6&gt;0,$B134&lt;H$6),H$4,H$5)/12),2))</f>
        <v/>
      </c>
      <c r="AN134">
        <f>IF(I133&lt;=0,0,ROUND(I133*(1+IF(AND(I$6&gt;0,$B134&lt;I$6),I$4,I$5)/12),2))</f>
        <v/>
      </c>
      <c r="AO134">
        <f>IF(J133&lt;=0,0,ROUND(J133*(1+IF(AND(J$6&gt;0,$B134&lt;J$6),J$4,J$5)/12),2))</f>
        <v/>
      </c>
      <c r="AP134">
        <f>IF(K133&lt;=0,0,ROUND(K133*(1+IF(AND(K$6&gt;0,$B134&lt;K$6),K$4,K$5)/12),2))</f>
        <v/>
      </c>
      <c r="AQ134">
        <f>IF(L133&lt;=0,0,ROUND(L133*(1+IF(AND(L$6&gt;0,$B134&lt;L$6),L$4,L$5)/12),2))</f>
        <v/>
      </c>
      <c r="AR134">
        <f>IF(M133&lt;=0,0,ROUND(M133*(1+IF(AND(M$6&gt;0,$B134&lt;M$6),M$4,M$5)/12),2))</f>
        <v/>
      </c>
      <c r="AS134">
        <f>IF(N133&lt;=0,0,ROUND(N133*(1+IF(AND(N$6&gt;0,$B134&lt;N$6),N$4,N$5)/12),2))</f>
        <v/>
      </c>
    </row>
    <row r="135">
      <c r="A135" t="n">
        <v>124</v>
      </c>
      <c r="B135">
        <f>EDATE(Plan!$C$6,123)</f>
        <v/>
      </c>
      <c r="C135">
        <f>IF(C134&lt;=0,0,MAX(0,AH135-O135))</f>
        <v/>
      </c>
      <c r="D135">
        <f>IF(D134&lt;=0,0,MAX(0,AI135-P135))</f>
        <v/>
      </c>
      <c r="E135">
        <f>IF(E134&lt;=0,0,MAX(0,AJ135-Q135))</f>
        <v/>
      </c>
      <c r="F135">
        <f>IF(F134&lt;=0,0,MAX(0,AK135-R135))</f>
        <v/>
      </c>
      <c r="G135">
        <f>IF(G134&lt;=0,0,MAX(0,AL135-S135))</f>
        <v/>
      </c>
      <c r="H135">
        <f>IF(H134&lt;=0,0,MAX(0,AM135-T135))</f>
        <v/>
      </c>
      <c r="I135">
        <f>IF(I134&lt;=0,0,MAX(0,AN135-U135))</f>
        <v/>
      </c>
      <c r="J135">
        <f>IF(J134&lt;=0,0,MAX(0,AO135-V135))</f>
        <v/>
      </c>
      <c r="K135">
        <f>IF(K134&lt;=0,0,MAX(0,AP135-W135))</f>
        <v/>
      </c>
      <c r="L135">
        <f>IF(L134&lt;=0,0,MAX(0,AQ135-X135))</f>
        <v/>
      </c>
      <c r="M135">
        <f>IF(M134&lt;=0,0,MAX(0,AR135-Y135))</f>
        <v/>
      </c>
      <c r="N135">
        <f>IF(N134&lt;=0,0,MAX(0,AS135-Z135))</f>
        <v/>
      </c>
      <c r="O135">
        <f>IF(C134&lt;=0,0,MIN(AH135,C$7+IF(C$2=$AA135,$AC135,IF(C$2=$AF135,$AG135,0))))</f>
        <v/>
      </c>
      <c r="P135">
        <f>IF(D134&lt;=0,0,MIN(AI135,D$7+IF(D$2=$AA135,$AC135,IF(D$2=$AF135,$AG135,0))))</f>
        <v/>
      </c>
      <c r="Q135">
        <f>IF(E134&lt;=0,0,MIN(AJ135,E$7+IF(E$2=$AA135,$AC135,IF(E$2=$AF135,$AG135,0))))</f>
        <v/>
      </c>
      <c r="R135">
        <f>IF(F134&lt;=0,0,MIN(AK135,F$7+IF(F$2=$AA135,$AC135,IF(F$2=$AF135,$AG135,0))))</f>
        <v/>
      </c>
      <c r="S135">
        <f>IF(G134&lt;=0,0,MIN(AL135,G$7+IF(G$2=$AA135,$AC135,IF(G$2=$AF135,$AG135,0))))</f>
        <v/>
      </c>
      <c r="T135">
        <f>IF(H134&lt;=0,0,MIN(AM135,H$7+IF(H$2=$AA135,$AC135,IF(H$2=$AF135,$AG135,0))))</f>
        <v/>
      </c>
      <c r="U135">
        <f>IF(I134&lt;=0,0,MIN(AN135,I$7+IF(I$2=$AA135,$AC135,IF(I$2=$AF135,$AG135,0))))</f>
        <v/>
      </c>
      <c r="V135">
        <f>IF(J134&lt;=0,0,MIN(AO135,J$7+IF(J$2=$AA135,$AC135,IF(J$2=$AF135,$AG135,0))))</f>
        <v/>
      </c>
      <c r="W135">
        <f>IF(K134&lt;=0,0,MIN(AP135,K$7+IF(K$2=$AA135,$AC135,IF(K$2=$AF135,$AG135,0))))</f>
        <v/>
      </c>
      <c r="X135">
        <f>IF(L134&lt;=0,0,MIN(AQ135,L$7+IF(L$2=$AA135,$AC135,IF(L$2=$AF135,$AG135,0))))</f>
        <v/>
      </c>
      <c r="Y135">
        <f>IF(M134&lt;=0,0,MIN(AR135,M$7+IF(M$2=$AA135,$AC135,IF(M$2=$AF135,$AG135,0))))</f>
        <v/>
      </c>
      <c r="Z135">
        <f>IF(N134&lt;=0,0,MIN(AS135,N$7+IF(N$2=$AA135,$AC135,IF(N$2=$AF135,$AG135,0))))</f>
        <v/>
      </c>
      <c r="AA135">
        <f>IFERROR(ROUND(1/SUMPRODUCT(MAX((C134:N134&gt;0)*($C$3:$N$3&lt;=B135)/$C$2:$N$2)),0),0)</f>
        <v/>
      </c>
      <c r="AB135">
        <f>SUMPRODUCT((C134:N134&gt;0)*$C$7:$N$7)</f>
        <v/>
      </c>
      <c r="AC135">
        <f>MAX(0,Plan!$C$5-AB135)+IF(A135=Plan!$C$8,N(Plan!$C$7),0)</f>
        <v/>
      </c>
      <c r="AD135">
        <f>SUM(C135:N135)</f>
        <v/>
      </c>
      <c r="AE135">
        <f>SUM(O135:Z135)</f>
        <v/>
      </c>
      <c r="AF135">
        <f>IFERROR(ROUND(1/SUMPRODUCT(MAX((C134:N134&gt;0)*($C$3:$N$3&lt;=B135)*($C$2:$N$2&gt;AA135)/$C$2:$N$2)),0),0)</f>
        <v/>
      </c>
      <c r="AG135">
        <f>MAX(0,AC135-MAX(0,SUMPRODUCT(($C$2:$N$2=AA135)*(AH135:AS135-$C$7:$N$7))))</f>
        <v/>
      </c>
      <c r="AH135">
        <f>IF(C134&lt;=0,0,ROUND(C134*(1+IF(AND(C$6&gt;0,$B135&lt;C$6),C$4,C$5)/12),2))</f>
        <v/>
      </c>
      <c r="AI135">
        <f>IF(D134&lt;=0,0,ROUND(D134*(1+IF(AND(D$6&gt;0,$B135&lt;D$6),D$4,D$5)/12),2))</f>
        <v/>
      </c>
      <c r="AJ135">
        <f>IF(E134&lt;=0,0,ROUND(E134*(1+IF(AND(E$6&gt;0,$B135&lt;E$6),E$4,E$5)/12),2))</f>
        <v/>
      </c>
      <c r="AK135">
        <f>IF(F134&lt;=0,0,ROUND(F134*(1+IF(AND(F$6&gt;0,$B135&lt;F$6),F$4,F$5)/12),2))</f>
        <v/>
      </c>
      <c r="AL135">
        <f>IF(G134&lt;=0,0,ROUND(G134*(1+IF(AND(G$6&gt;0,$B135&lt;G$6),G$4,G$5)/12),2))</f>
        <v/>
      </c>
      <c r="AM135">
        <f>IF(H134&lt;=0,0,ROUND(H134*(1+IF(AND(H$6&gt;0,$B135&lt;H$6),H$4,H$5)/12),2))</f>
        <v/>
      </c>
      <c r="AN135">
        <f>IF(I134&lt;=0,0,ROUND(I134*(1+IF(AND(I$6&gt;0,$B135&lt;I$6),I$4,I$5)/12),2))</f>
        <v/>
      </c>
      <c r="AO135">
        <f>IF(J134&lt;=0,0,ROUND(J134*(1+IF(AND(J$6&gt;0,$B135&lt;J$6),J$4,J$5)/12),2))</f>
        <v/>
      </c>
      <c r="AP135">
        <f>IF(K134&lt;=0,0,ROUND(K134*(1+IF(AND(K$6&gt;0,$B135&lt;K$6),K$4,K$5)/12),2))</f>
        <v/>
      </c>
      <c r="AQ135">
        <f>IF(L134&lt;=0,0,ROUND(L134*(1+IF(AND(L$6&gt;0,$B135&lt;L$6),L$4,L$5)/12),2))</f>
        <v/>
      </c>
      <c r="AR135">
        <f>IF(M134&lt;=0,0,ROUND(M134*(1+IF(AND(M$6&gt;0,$B135&lt;M$6),M$4,M$5)/12),2))</f>
        <v/>
      </c>
      <c r="AS135">
        <f>IF(N134&lt;=0,0,ROUND(N134*(1+IF(AND(N$6&gt;0,$B135&lt;N$6),N$4,N$5)/12),2))</f>
        <v/>
      </c>
    </row>
    <row r="136">
      <c r="A136" t="n">
        <v>125</v>
      </c>
      <c r="B136">
        <f>EDATE(Plan!$C$6,124)</f>
        <v/>
      </c>
      <c r="C136">
        <f>IF(C135&lt;=0,0,MAX(0,AH136-O136))</f>
        <v/>
      </c>
      <c r="D136">
        <f>IF(D135&lt;=0,0,MAX(0,AI136-P136))</f>
        <v/>
      </c>
      <c r="E136">
        <f>IF(E135&lt;=0,0,MAX(0,AJ136-Q136))</f>
        <v/>
      </c>
      <c r="F136">
        <f>IF(F135&lt;=0,0,MAX(0,AK136-R136))</f>
        <v/>
      </c>
      <c r="G136">
        <f>IF(G135&lt;=0,0,MAX(0,AL136-S136))</f>
        <v/>
      </c>
      <c r="H136">
        <f>IF(H135&lt;=0,0,MAX(0,AM136-T136))</f>
        <v/>
      </c>
      <c r="I136">
        <f>IF(I135&lt;=0,0,MAX(0,AN136-U136))</f>
        <v/>
      </c>
      <c r="J136">
        <f>IF(J135&lt;=0,0,MAX(0,AO136-V136))</f>
        <v/>
      </c>
      <c r="K136">
        <f>IF(K135&lt;=0,0,MAX(0,AP136-W136))</f>
        <v/>
      </c>
      <c r="L136">
        <f>IF(L135&lt;=0,0,MAX(0,AQ136-X136))</f>
        <v/>
      </c>
      <c r="M136">
        <f>IF(M135&lt;=0,0,MAX(0,AR136-Y136))</f>
        <v/>
      </c>
      <c r="N136">
        <f>IF(N135&lt;=0,0,MAX(0,AS136-Z136))</f>
        <v/>
      </c>
      <c r="O136">
        <f>IF(C135&lt;=0,0,MIN(AH136,C$7+IF(C$2=$AA136,$AC136,IF(C$2=$AF136,$AG136,0))))</f>
        <v/>
      </c>
      <c r="P136">
        <f>IF(D135&lt;=0,0,MIN(AI136,D$7+IF(D$2=$AA136,$AC136,IF(D$2=$AF136,$AG136,0))))</f>
        <v/>
      </c>
      <c r="Q136">
        <f>IF(E135&lt;=0,0,MIN(AJ136,E$7+IF(E$2=$AA136,$AC136,IF(E$2=$AF136,$AG136,0))))</f>
        <v/>
      </c>
      <c r="R136">
        <f>IF(F135&lt;=0,0,MIN(AK136,F$7+IF(F$2=$AA136,$AC136,IF(F$2=$AF136,$AG136,0))))</f>
        <v/>
      </c>
      <c r="S136">
        <f>IF(G135&lt;=0,0,MIN(AL136,G$7+IF(G$2=$AA136,$AC136,IF(G$2=$AF136,$AG136,0))))</f>
        <v/>
      </c>
      <c r="T136">
        <f>IF(H135&lt;=0,0,MIN(AM136,H$7+IF(H$2=$AA136,$AC136,IF(H$2=$AF136,$AG136,0))))</f>
        <v/>
      </c>
      <c r="U136">
        <f>IF(I135&lt;=0,0,MIN(AN136,I$7+IF(I$2=$AA136,$AC136,IF(I$2=$AF136,$AG136,0))))</f>
        <v/>
      </c>
      <c r="V136">
        <f>IF(J135&lt;=0,0,MIN(AO136,J$7+IF(J$2=$AA136,$AC136,IF(J$2=$AF136,$AG136,0))))</f>
        <v/>
      </c>
      <c r="W136">
        <f>IF(K135&lt;=0,0,MIN(AP136,K$7+IF(K$2=$AA136,$AC136,IF(K$2=$AF136,$AG136,0))))</f>
        <v/>
      </c>
      <c r="X136">
        <f>IF(L135&lt;=0,0,MIN(AQ136,L$7+IF(L$2=$AA136,$AC136,IF(L$2=$AF136,$AG136,0))))</f>
        <v/>
      </c>
      <c r="Y136">
        <f>IF(M135&lt;=0,0,MIN(AR136,M$7+IF(M$2=$AA136,$AC136,IF(M$2=$AF136,$AG136,0))))</f>
        <v/>
      </c>
      <c r="Z136">
        <f>IF(N135&lt;=0,0,MIN(AS136,N$7+IF(N$2=$AA136,$AC136,IF(N$2=$AF136,$AG136,0))))</f>
        <v/>
      </c>
      <c r="AA136">
        <f>IFERROR(ROUND(1/SUMPRODUCT(MAX((C135:N135&gt;0)*($C$3:$N$3&lt;=B136)/$C$2:$N$2)),0),0)</f>
        <v/>
      </c>
      <c r="AB136">
        <f>SUMPRODUCT((C135:N135&gt;0)*$C$7:$N$7)</f>
        <v/>
      </c>
      <c r="AC136">
        <f>MAX(0,Plan!$C$5-AB136)+IF(A136=Plan!$C$8,N(Plan!$C$7),0)</f>
        <v/>
      </c>
      <c r="AD136">
        <f>SUM(C136:N136)</f>
        <v/>
      </c>
      <c r="AE136">
        <f>SUM(O136:Z136)</f>
        <v/>
      </c>
      <c r="AF136">
        <f>IFERROR(ROUND(1/SUMPRODUCT(MAX((C135:N135&gt;0)*($C$3:$N$3&lt;=B136)*($C$2:$N$2&gt;AA136)/$C$2:$N$2)),0),0)</f>
        <v/>
      </c>
      <c r="AG136">
        <f>MAX(0,AC136-MAX(0,SUMPRODUCT(($C$2:$N$2=AA136)*(AH136:AS136-$C$7:$N$7))))</f>
        <v/>
      </c>
      <c r="AH136">
        <f>IF(C135&lt;=0,0,ROUND(C135*(1+IF(AND(C$6&gt;0,$B136&lt;C$6),C$4,C$5)/12),2))</f>
        <v/>
      </c>
      <c r="AI136">
        <f>IF(D135&lt;=0,0,ROUND(D135*(1+IF(AND(D$6&gt;0,$B136&lt;D$6),D$4,D$5)/12),2))</f>
        <v/>
      </c>
      <c r="AJ136">
        <f>IF(E135&lt;=0,0,ROUND(E135*(1+IF(AND(E$6&gt;0,$B136&lt;E$6),E$4,E$5)/12),2))</f>
        <v/>
      </c>
      <c r="AK136">
        <f>IF(F135&lt;=0,0,ROUND(F135*(1+IF(AND(F$6&gt;0,$B136&lt;F$6),F$4,F$5)/12),2))</f>
        <v/>
      </c>
      <c r="AL136">
        <f>IF(G135&lt;=0,0,ROUND(G135*(1+IF(AND(G$6&gt;0,$B136&lt;G$6),G$4,G$5)/12),2))</f>
        <v/>
      </c>
      <c r="AM136">
        <f>IF(H135&lt;=0,0,ROUND(H135*(1+IF(AND(H$6&gt;0,$B136&lt;H$6),H$4,H$5)/12),2))</f>
        <v/>
      </c>
      <c r="AN136">
        <f>IF(I135&lt;=0,0,ROUND(I135*(1+IF(AND(I$6&gt;0,$B136&lt;I$6),I$4,I$5)/12),2))</f>
        <v/>
      </c>
      <c r="AO136">
        <f>IF(J135&lt;=0,0,ROUND(J135*(1+IF(AND(J$6&gt;0,$B136&lt;J$6),J$4,J$5)/12),2))</f>
        <v/>
      </c>
      <c r="AP136">
        <f>IF(K135&lt;=0,0,ROUND(K135*(1+IF(AND(K$6&gt;0,$B136&lt;K$6),K$4,K$5)/12),2))</f>
        <v/>
      </c>
      <c r="AQ136">
        <f>IF(L135&lt;=0,0,ROUND(L135*(1+IF(AND(L$6&gt;0,$B136&lt;L$6),L$4,L$5)/12),2))</f>
        <v/>
      </c>
      <c r="AR136">
        <f>IF(M135&lt;=0,0,ROUND(M135*(1+IF(AND(M$6&gt;0,$B136&lt;M$6),M$4,M$5)/12),2))</f>
        <v/>
      </c>
      <c r="AS136">
        <f>IF(N135&lt;=0,0,ROUND(N135*(1+IF(AND(N$6&gt;0,$B136&lt;N$6),N$4,N$5)/12),2))</f>
        <v/>
      </c>
    </row>
    <row r="137">
      <c r="A137" t="n">
        <v>126</v>
      </c>
      <c r="B137">
        <f>EDATE(Plan!$C$6,125)</f>
        <v/>
      </c>
      <c r="C137">
        <f>IF(C136&lt;=0,0,MAX(0,AH137-O137))</f>
        <v/>
      </c>
      <c r="D137">
        <f>IF(D136&lt;=0,0,MAX(0,AI137-P137))</f>
        <v/>
      </c>
      <c r="E137">
        <f>IF(E136&lt;=0,0,MAX(0,AJ137-Q137))</f>
        <v/>
      </c>
      <c r="F137">
        <f>IF(F136&lt;=0,0,MAX(0,AK137-R137))</f>
        <v/>
      </c>
      <c r="G137">
        <f>IF(G136&lt;=0,0,MAX(0,AL137-S137))</f>
        <v/>
      </c>
      <c r="H137">
        <f>IF(H136&lt;=0,0,MAX(0,AM137-T137))</f>
        <v/>
      </c>
      <c r="I137">
        <f>IF(I136&lt;=0,0,MAX(0,AN137-U137))</f>
        <v/>
      </c>
      <c r="J137">
        <f>IF(J136&lt;=0,0,MAX(0,AO137-V137))</f>
        <v/>
      </c>
      <c r="K137">
        <f>IF(K136&lt;=0,0,MAX(0,AP137-W137))</f>
        <v/>
      </c>
      <c r="L137">
        <f>IF(L136&lt;=0,0,MAX(0,AQ137-X137))</f>
        <v/>
      </c>
      <c r="M137">
        <f>IF(M136&lt;=0,0,MAX(0,AR137-Y137))</f>
        <v/>
      </c>
      <c r="N137">
        <f>IF(N136&lt;=0,0,MAX(0,AS137-Z137))</f>
        <v/>
      </c>
      <c r="O137">
        <f>IF(C136&lt;=0,0,MIN(AH137,C$7+IF(C$2=$AA137,$AC137,IF(C$2=$AF137,$AG137,0))))</f>
        <v/>
      </c>
      <c r="P137">
        <f>IF(D136&lt;=0,0,MIN(AI137,D$7+IF(D$2=$AA137,$AC137,IF(D$2=$AF137,$AG137,0))))</f>
        <v/>
      </c>
      <c r="Q137">
        <f>IF(E136&lt;=0,0,MIN(AJ137,E$7+IF(E$2=$AA137,$AC137,IF(E$2=$AF137,$AG137,0))))</f>
        <v/>
      </c>
      <c r="R137">
        <f>IF(F136&lt;=0,0,MIN(AK137,F$7+IF(F$2=$AA137,$AC137,IF(F$2=$AF137,$AG137,0))))</f>
        <v/>
      </c>
      <c r="S137">
        <f>IF(G136&lt;=0,0,MIN(AL137,G$7+IF(G$2=$AA137,$AC137,IF(G$2=$AF137,$AG137,0))))</f>
        <v/>
      </c>
      <c r="T137">
        <f>IF(H136&lt;=0,0,MIN(AM137,H$7+IF(H$2=$AA137,$AC137,IF(H$2=$AF137,$AG137,0))))</f>
        <v/>
      </c>
      <c r="U137">
        <f>IF(I136&lt;=0,0,MIN(AN137,I$7+IF(I$2=$AA137,$AC137,IF(I$2=$AF137,$AG137,0))))</f>
        <v/>
      </c>
      <c r="V137">
        <f>IF(J136&lt;=0,0,MIN(AO137,J$7+IF(J$2=$AA137,$AC137,IF(J$2=$AF137,$AG137,0))))</f>
        <v/>
      </c>
      <c r="W137">
        <f>IF(K136&lt;=0,0,MIN(AP137,K$7+IF(K$2=$AA137,$AC137,IF(K$2=$AF137,$AG137,0))))</f>
        <v/>
      </c>
      <c r="X137">
        <f>IF(L136&lt;=0,0,MIN(AQ137,L$7+IF(L$2=$AA137,$AC137,IF(L$2=$AF137,$AG137,0))))</f>
        <v/>
      </c>
      <c r="Y137">
        <f>IF(M136&lt;=0,0,MIN(AR137,M$7+IF(M$2=$AA137,$AC137,IF(M$2=$AF137,$AG137,0))))</f>
        <v/>
      </c>
      <c r="Z137">
        <f>IF(N136&lt;=0,0,MIN(AS137,N$7+IF(N$2=$AA137,$AC137,IF(N$2=$AF137,$AG137,0))))</f>
        <v/>
      </c>
      <c r="AA137">
        <f>IFERROR(ROUND(1/SUMPRODUCT(MAX((C136:N136&gt;0)*($C$3:$N$3&lt;=B137)/$C$2:$N$2)),0),0)</f>
        <v/>
      </c>
      <c r="AB137">
        <f>SUMPRODUCT((C136:N136&gt;0)*$C$7:$N$7)</f>
        <v/>
      </c>
      <c r="AC137">
        <f>MAX(0,Plan!$C$5-AB137)+IF(A137=Plan!$C$8,N(Plan!$C$7),0)</f>
        <v/>
      </c>
      <c r="AD137">
        <f>SUM(C137:N137)</f>
        <v/>
      </c>
      <c r="AE137">
        <f>SUM(O137:Z137)</f>
        <v/>
      </c>
      <c r="AF137">
        <f>IFERROR(ROUND(1/SUMPRODUCT(MAX((C136:N136&gt;0)*($C$3:$N$3&lt;=B137)*($C$2:$N$2&gt;AA137)/$C$2:$N$2)),0),0)</f>
        <v/>
      </c>
      <c r="AG137">
        <f>MAX(0,AC137-MAX(0,SUMPRODUCT(($C$2:$N$2=AA137)*(AH137:AS137-$C$7:$N$7))))</f>
        <v/>
      </c>
      <c r="AH137">
        <f>IF(C136&lt;=0,0,ROUND(C136*(1+IF(AND(C$6&gt;0,$B137&lt;C$6),C$4,C$5)/12),2))</f>
        <v/>
      </c>
      <c r="AI137">
        <f>IF(D136&lt;=0,0,ROUND(D136*(1+IF(AND(D$6&gt;0,$B137&lt;D$6),D$4,D$5)/12),2))</f>
        <v/>
      </c>
      <c r="AJ137">
        <f>IF(E136&lt;=0,0,ROUND(E136*(1+IF(AND(E$6&gt;0,$B137&lt;E$6),E$4,E$5)/12),2))</f>
        <v/>
      </c>
      <c r="AK137">
        <f>IF(F136&lt;=0,0,ROUND(F136*(1+IF(AND(F$6&gt;0,$B137&lt;F$6),F$4,F$5)/12),2))</f>
        <v/>
      </c>
      <c r="AL137">
        <f>IF(G136&lt;=0,0,ROUND(G136*(1+IF(AND(G$6&gt;0,$B137&lt;G$6),G$4,G$5)/12),2))</f>
        <v/>
      </c>
      <c r="AM137">
        <f>IF(H136&lt;=0,0,ROUND(H136*(1+IF(AND(H$6&gt;0,$B137&lt;H$6),H$4,H$5)/12),2))</f>
        <v/>
      </c>
      <c r="AN137">
        <f>IF(I136&lt;=0,0,ROUND(I136*(1+IF(AND(I$6&gt;0,$B137&lt;I$6),I$4,I$5)/12),2))</f>
        <v/>
      </c>
      <c r="AO137">
        <f>IF(J136&lt;=0,0,ROUND(J136*(1+IF(AND(J$6&gt;0,$B137&lt;J$6),J$4,J$5)/12),2))</f>
        <v/>
      </c>
      <c r="AP137">
        <f>IF(K136&lt;=0,0,ROUND(K136*(1+IF(AND(K$6&gt;0,$B137&lt;K$6),K$4,K$5)/12),2))</f>
        <v/>
      </c>
      <c r="AQ137">
        <f>IF(L136&lt;=0,0,ROUND(L136*(1+IF(AND(L$6&gt;0,$B137&lt;L$6),L$4,L$5)/12),2))</f>
        <v/>
      </c>
      <c r="AR137">
        <f>IF(M136&lt;=0,0,ROUND(M136*(1+IF(AND(M$6&gt;0,$B137&lt;M$6),M$4,M$5)/12),2))</f>
        <v/>
      </c>
      <c r="AS137">
        <f>IF(N136&lt;=0,0,ROUND(N136*(1+IF(AND(N$6&gt;0,$B137&lt;N$6),N$4,N$5)/12),2))</f>
        <v/>
      </c>
    </row>
    <row r="138">
      <c r="A138" t="n">
        <v>127</v>
      </c>
      <c r="B138">
        <f>EDATE(Plan!$C$6,126)</f>
        <v/>
      </c>
      <c r="C138">
        <f>IF(C137&lt;=0,0,MAX(0,AH138-O138))</f>
        <v/>
      </c>
      <c r="D138">
        <f>IF(D137&lt;=0,0,MAX(0,AI138-P138))</f>
        <v/>
      </c>
      <c r="E138">
        <f>IF(E137&lt;=0,0,MAX(0,AJ138-Q138))</f>
        <v/>
      </c>
      <c r="F138">
        <f>IF(F137&lt;=0,0,MAX(0,AK138-R138))</f>
        <v/>
      </c>
      <c r="G138">
        <f>IF(G137&lt;=0,0,MAX(0,AL138-S138))</f>
        <v/>
      </c>
      <c r="H138">
        <f>IF(H137&lt;=0,0,MAX(0,AM138-T138))</f>
        <v/>
      </c>
      <c r="I138">
        <f>IF(I137&lt;=0,0,MAX(0,AN138-U138))</f>
        <v/>
      </c>
      <c r="J138">
        <f>IF(J137&lt;=0,0,MAX(0,AO138-V138))</f>
        <v/>
      </c>
      <c r="K138">
        <f>IF(K137&lt;=0,0,MAX(0,AP138-W138))</f>
        <v/>
      </c>
      <c r="L138">
        <f>IF(L137&lt;=0,0,MAX(0,AQ138-X138))</f>
        <v/>
      </c>
      <c r="M138">
        <f>IF(M137&lt;=0,0,MAX(0,AR138-Y138))</f>
        <v/>
      </c>
      <c r="N138">
        <f>IF(N137&lt;=0,0,MAX(0,AS138-Z138))</f>
        <v/>
      </c>
      <c r="O138">
        <f>IF(C137&lt;=0,0,MIN(AH138,C$7+IF(C$2=$AA138,$AC138,IF(C$2=$AF138,$AG138,0))))</f>
        <v/>
      </c>
      <c r="P138">
        <f>IF(D137&lt;=0,0,MIN(AI138,D$7+IF(D$2=$AA138,$AC138,IF(D$2=$AF138,$AG138,0))))</f>
        <v/>
      </c>
      <c r="Q138">
        <f>IF(E137&lt;=0,0,MIN(AJ138,E$7+IF(E$2=$AA138,$AC138,IF(E$2=$AF138,$AG138,0))))</f>
        <v/>
      </c>
      <c r="R138">
        <f>IF(F137&lt;=0,0,MIN(AK138,F$7+IF(F$2=$AA138,$AC138,IF(F$2=$AF138,$AG138,0))))</f>
        <v/>
      </c>
      <c r="S138">
        <f>IF(G137&lt;=0,0,MIN(AL138,G$7+IF(G$2=$AA138,$AC138,IF(G$2=$AF138,$AG138,0))))</f>
        <v/>
      </c>
      <c r="T138">
        <f>IF(H137&lt;=0,0,MIN(AM138,H$7+IF(H$2=$AA138,$AC138,IF(H$2=$AF138,$AG138,0))))</f>
        <v/>
      </c>
      <c r="U138">
        <f>IF(I137&lt;=0,0,MIN(AN138,I$7+IF(I$2=$AA138,$AC138,IF(I$2=$AF138,$AG138,0))))</f>
        <v/>
      </c>
      <c r="V138">
        <f>IF(J137&lt;=0,0,MIN(AO138,J$7+IF(J$2=$AA138,$AC138,IF(J$2=$AF138,$AG138,0))))</f>
        <v/>
      </c>
      <c r="W138">
        <f>IF(K137&lt;=0,0,MIN(AP138,K$7+IF(K$2=$AA138,$AC138,IF(K$2=$AF138,$AG138,0))))</f>
        <v/>
      </c>
      <c r="X138">
        <f>IF(L137&lt;=0,0,MIN(AQ138,L$7+IF(L$2=$AA138,$AC138,IF(L$2=$AF138,$AG138,0))))</f>
        <v/>
      </c>
      <c r="Y138">
        <f>IF(M137&lt;=0,0,MIN(AR138,M$7+IF(M$2=$AA138,$AC138,IF(M$2=$AF138,$AG138,0))))</f>
        <v/>
      </c>
      <c r="Z138">
        <f>IF(N137&lt;=0,0,MIN(AS138,N$7+IF(N$2=$AA138,$AC138,IF(N$2=$AF138,$AG138,0))))</f>
        <v/>
      </c>
      <c r="AA138">
        <f>IFERROR(ROUND(1/SUMPRODUCT(MAX((C137:N137&gt;0)*($C$3:$N$3&lt;=B138)/$C$2:$N$2)),0),0)</f>
        <v/>
      </c>
      <c r="AB138">
        <f>SUMPRODUCT((C137:N137&gt;0)*$C$7:$N$7)</f>
        <v/>
      </c>
      <c r="AC138">
        <f>MAX(0,Plan!$C$5-AB138)+IF(A138=Plan!$C$8,N(Plan!$C$7),0)</f>
        <v/>
      </c>
      <c r="AD138">
        <f>SUM(C138:N138)</f>
        <v/>
      </c>
      <c r="AE138">
        <f>SUM(O138:Z138)</f>
        <v/>
      </c>
      <c r="AF138">
        <f>IFERROR(ROUND(1/SUMPRODUCT(MAX((C137:N137&gt;0)*($C$3:$N$3&lt;=B138)*($C$2:$N$2&gt;AA138)/$C$2:$N$2)),0),0)</f>
        <v/>
      </c>
      <c r="AG138">
        <f>MAX(0,AC138-MAX(0,SUMPRODUCT(($C$2:$N$2=AA138)*(AH138:AS138-$C$7:$N$7))))</f>
        <v/>
      </c>
      <c r="AH138">
        <f>IF(C137&lt;=0,0,ROUND(C137*(1+IF(AND(C$6&gt;0,$B138&lt;C$6),C$4,C$5)/12),2))</f>
        <v/>
      </c>
      <c r="AI138">
        <f>IF(D137&lt;=0,0,ROUND(D137*(1+IF(AND(D$6&gt;0,$B138&lt;D$6),D$4,D$5)/12),2))</f>
        <v/>
      </c>
      <c r="AJ138">
        <f>IF(E137&lt;=0,0,ROUND(E137*(1+IF(AND(E$6&gt;0,$B138&lt;E$6),E$4,E$5)/12),2))</f>
        <v/>
      </c>
      <c r="AK138">
        <f>IF(F137&lt;=0,0,ROUND(F137*(1+IF(AND(F$6&gt;0,$B138&lt;F$6),F$4,F$5)/12),2))</f>
        <v/>
      </c>
      <c r="AL138">
        <f>IF(G137&lt;=0,0,ROUND(G137*(1+IF(AND(G$6&gt;0,$B138&lt;G$6),G$4,G$5)/12),2))</f>
        <v/>
      </c>
      <c r="AM138">
        <f>IF(H137&lt;=0,0,ROUND(H137*(1+IF(AND(H$6&gt;0,$B138&lt;H$6),H$4,H$5)/12),2))</f>
        <v/>
      </c>
      <c r="AN138">
        <f>IF(I137&lt;=0,0,ROUND(I137*(1+IF(AND(I$6&gt;0,$B138&lt;I$6),I$4,I$5)/12),2))</f>
        <v/>
      </c>
      <c r="AO138">
        <f>IF(J137&lt;=0,0,ROUND(J137*(1+IF(AND(J$6&gt;0,$B138&lt;J$6),J$4,J$5)/12),2))</f>
        <v/>
      </c>
      <c r="AP138">
        <f>IF(K137&lt;=0,0,ROUND(K137*(1+IF(AND(K$6&gt;0,$B138&lt;K$6),K$4,K$5)/12),2))</f>
        <v/>
      </c>
      <c r="AQ138">
        <f>IF(L137&lt;=0,0,ROUND(L137*(1+IF(AND(L$6&gt;0,$B138&lt;L$6),L$4,L$5)/12),2))</f>
        <v/>
      </c>
      <c r="AR138">
        <f>IF(M137&lt;=0,0,ROUND(M137*(1+IF(AND(M$6&gt;0,$B138&lt;M$6),M$4,M$5)/12),2))</f>
        <v/>
      </c>
      <c r="AS138">
        <f>IF(N137&lt;=0,0,ROUND(N137*(1+IF(AND(N$6&gt;0,$B138&lt;N$6),N$4,N$5)/12),2))</f>
        <v/>
      </c>
    </row>
    <row r="139">
      <c r="A139" t="n">
        <v>128</v>
      </c>
      <c r="B139">
        <f>EDATE(Plan!$C$6,127)</f>
        <v/>
      </c>
      <c r="C139">
        <f>IF(C138&lt;=0,0,MAX(0,AH139-O139))</f>
        <v/>
      </c>
      <c r="D139">
        <f>IF(D138&lt;=0,0,MAX(0,AI139-P139))</f>
        <v/>
      </c>
      <c r="E139">
        <f>IF(E138&lt;=0,0,MAX(0,AJ139-Q139))</f>
        <v/>
      </c>
      <c r="F139">
        <f>IF(F138&lt;=0,0,MAX(0,AK139-R139))</f>
        <v/>
      </c>
      <c r="G139">
        <f>IF(G138&lt;=0,0,MAX(0,AL139-S139))</f>
        <v/>
      </c>
      <c r="H139">
        <f>IF(H138&lt;=0,0,MAX(0,AM139-T139))</f>
        <v/>
      </c>
      <c r="I139">
        <f>IF(I138&lt;=0,0,MAX(0,AN139-U139))</f>
        <v/>
      </c>
      <c r="J139">
        <f>IF(J138&lt;=0,0,MAX(0,AO139-V139))</f>
        <v/>
      </c>
      <c r="K139">
        <f>IF(K138&lt;=0,0,MAX(0,AP139-W139))</f>
        <v/>
      </c>
      <c r="L139">
        <f>IF(L138&lt;=0,0,MAX(0,AQ139-X139))</f>
        <v/>
      </c>
      <c r="M139">
        <f>IF(M138&lt;=0,0,MAX(0,AR139-Y139))</f>
        <v/>
      </c>
      <c r="N139">
        <f>IF(N138&lt;=0,0,MAX(0,AS139-Z139))</f>
        <v/>
      </c>
      <c r="O139">
        <f>IF(C138&lt;=0,0,MIN(AH139,C$7+IF(C$2=$AA139,$AC139,IF(C$2=$AF139,$AG139,0))))</f>
        <v/>
      </c>
      <c r="P139">
        <f>IF(D138&lt;=0,0,MIN(AI139,D$7+IF(D$2=$AA139,$AC139,IF(D$2=$AF139,$AG139,0))))</f>
        <v/>
      </c>
      <c r="Q139">
        <f>IF(E138&lt;=0,0,MIN(AJ139,E$7+IF(E$2=$AA139,$AC139,IF(E$2=$AF139,$AG139,0))))</f>
        <v/>
      </c>
      <c r="R139">
        <f>IF(F138&lt;=0,0,MIN(AK139,F$7+IF(F$2=$AA139,$AC139,IF(F$2=$AF139,$AG139,0))))</f>
        <v/>
      </c>
      <c r="S139">
        <f>IF(G138&lt;=0,0,MIN(AL139,G$7+IF(G$2=$AA139,$AC139,IF(G$2=$AF139,$AG139,0))))</f>
        <v/>
      </c>
      <c r="T139">
        <f>IF(H138&lt;=0,0,MIN(AM139,H$7+IF(H$2=$AA139,$AC139,IF(H$2=$AF139,$AG139,0))))</f>
        <v/>
      </c>
      <c r="U139">
        <f>IF(I138&lt;=0,0,MIN(AN139,I$7+IF(I$2=$AA139,$AC139,IF(I$2=$AF139,$AG139,0))))</f>
        <v/>
      </c>
      <c r="V139">
        <f>IF(J138&lt;=0,0,MIN(AO139,J$7+IF(J$2=$AA139,$AC139,IF(J$2=$AF139,$AG139,0))))</f>
        <v/>
      </c>
      <c r="W139">
        <f>IF(K138&lt;=0,0,MIN(AP139,K$7+IF(K$2=$AA139,$AC139,IF(K$2=$AF139,$AG139,0))))</f>
        <v/>
      </c>
      <c r="X139">
        <f>IF(L138&lt;=0,0,MIN(AQ139,L$7+IF(L$2=$AA139,$AC139,IF(L$2=$AF139,$AG139,0))))</f>
        <v/>
      </c>
      <c r="Y139">
        <f>IF(M138&lt;=0,0,MIN(AR139,M$7+IF(M$2=$AA139,$AC139,IF(M$2=$AF139,$AG139,0))))</f>
        <v/>
      </c>
      <c r="Z139">
        <f>IF(N138&lt;=0,0,MIN(AS139,N$7+IF(N$2=$AA139,$AC139,IF(N$2=$AF139,$AG139,0))))</f>
        <v/>
      </c>
      <c r="AA139">
        <f>IFERROR(ROUND(1/SUMPRODUCT(MAX((C138:N138&gt;0)*($C$3:$N$3&lt;=B139)/$C$2:$N$2)),0),0)</f>
        <v/>
      </c>
      <c r="AB139">
        <f>SUMPRODUCT((C138:N138&gt;0)*$C$7:$N$7)</f>
        <v/>
      </c>
      <c r="AC139">
        <f>MAX(0,Plan!$C$5-AB139)+IF(A139=Plan!$C$8,N(Plan!$C$7),0)</f>
        <v/>
      </c>
      <c r="AD139">
        <f>SUM(C139:N139)</f>
        <v/>
      </c>
      <c r="AE139">
        <f>SUM(O139:Z139)</f>
        <v/>
      </c>
      <c r="AF139">
        <f>IFERROR(ROUND(1/SUMPRODUCT(MAX((C138:N138&gt;0)*($C$3:$N$3&lt;=B139)*($C$2:$N$2&gt;AA139)/$C$2:$N$2)),0),0)</f>
        <v/>
      </c>
      <c r="AG139">
        <f>MAX(0,AC139-MAX(0,SUMPRODUCT(($C$2:$N$2=AA139)*(AH139:AS139-$C$7:$N$7))))</f>
        <v/>
      </c>
      <c r="AH139">
        <f>IF(C138&lt;=0,0,ROUND(C138*(1+IF(AND(C$6&gt;0,$B139&lt;C$6),C$4,C$5)/12),2))</f>
        <v/>
      </c>
      <c r="AI139">
        <f>IF(D138&lt;=0,0,ROUND(D138*(1+IF(AND(D$6&gt;0,$B139&lt;D$6),D$4,D$5)/12),2))</f>
        <v/>
      </c>
      <c r="AJ139">
        <f>IF(E138&lt;=0,0,ROUND(E138*(1+IF(AND(E$6&gt;0,$B139&lt;E$6),E$4,E$5)/12),2))</f>
        <v/>
      </c>
      <c r="AK139">
        <f>IF(F138&lt;=0,0,ROUND(F138*(1+IF(AND(F$6&gt;0,$B139&lt;F$6),F$4,F$5)/12),2))</f>
        <v/>
      </c>
      <c r="AL139">
        <f>IF(G138&lt;=0,0,ROUND(G138*(1+IF(AND(G$6&gt;0,$B139&lt;G$6),G$4,G$5)/12),2))</f>
        <v/>
      </c>
      <c r="AM139">
        <f>IF(H138&lt;=0,0,ROUND(H138*(1+IF(AND(H$6&gt;0,$B139&lt;H$6),H$4,H$5)/12),2))</f>
        <v/>
      </c>
      <c r="AN139">
        <f>IF(I138&lt;=0,0,ROUND(I138*(1+IF(AND(I$6&gt;0,$B139&lt;I$6),I$4,I$5)/12),2))</f>
        <v/>
      </c>
      <c r="AO139">
        <f>IF(J138&lt;=0,0,ROUND(J138*(1+IF(AND(J$6&gt;0,$B139&lt;J$6),J$4,J$5)/12),2))</f>
        <v/>
      </c>
      <c r="AP139">
        <f>IF(K138&lt;=0,0,ROUND(K138*(1+IF(AND(K$6&gt;0,$B139&lt;K$6),K$4,K$5)/12),2))</f>
        <v/>
      </c>
      <c r="AQ139">
        <f>IF(L138&lt;=0,0,ROUND(L138*(1+IF(AND(L$6&gt;0,$B139&lt;L$6),L$4,L$5)/12),2))</f>
        <v/>
      </c>
      <c r="AR139">
        <f>IF(M138&lt;=0,0,ROUND(M138*(1+IF(AND(M$6&gt;0,$B139&lt;M$6),M$4,M$5)/12),2))</f>
        <v/>
      </c>
      <c r="AS139">
        <f>IF(N138&lt;=0,0,ROUND(N138*(1+IF(AND(N$6&gt;0,$B139&lt;N$6),N$4,N$5)/12),2))</f>
        <v/>
      </c>
    </row>
    <row r="140">
      <c r="A140" t="n">
        <v>129</v>
      </c>
      <c r="B140">
        <f>EDATE(Plan!$C$6,128)</f>
        <v/>
      </c>
      <c r="C140">
        <f>IF(C139&lt;=0,0,MAX(0,AH140-O140))</f>
        <v/>
      </c>
      <c r="D140">
        <f>IF(D139&lt;=0,0,MAX(0,AI140-P140))</f>
        <v/>
      </c>
      <c r="E140">
        <f>IF(E139&lt;=0,0,MAX(0,AJ140-Q140))</f>
        <v/>
      </c>
      <c r="F140">
        <f>IF(F139&lt;=0,0,MAX(0,AK140-R140))</f>
        <v/>
      </c>
      <c r="G140">
        <f>IF(G139&lt;=0,0,MAX(0,AL140-S140))</f>
        <v/>
      </c>
      <c r="H140">
        <f>IF(H139&lt;=0,0,MAX(0,AM140-T140))</f>
        <v/>
      </c>
      <c r="I140">
        <f>IF(I139&lt;=0,0,MAX(0,AN140-U140))</f>
        <v/>
      </c>
      <c r="J140">
        <f>IF(J139&lt;=0,0,MAX(0,AO140-V140))</f>
        <v/>
      </c>
      <c r="K140">
        <f>IF(K139&lt;=0,0,MAX(0,AP140-W140))</f>
        <v/>
      </c>
      <c r="L140">
        <f>IF(L139&lt;=0,0,MAX(0,AQ140-X140))</f>
        <v/>
      </c>
      <c r="M140">
        <f>IF(M139&lt;=0,0,MAX(0,AR140-Y140))</f>
        <v/>
      </c>
      <c r="N140">
        <f>IF(N139&lt;=0,0,MAX(0,AS140-Z140))</f>
        <v/>
      </c>
      <c r="O140">
        <f>IF(C139&lt;=0,0,MIN(AH140,C$7+IF(C$2=$AA140,$AC140,IF(C$2=$AF140,$AG140,0))))</f>
        <v/>
      </c>
      <c r="P140">
        <f>IF(D139&lt;=0,0,MIN(AI140,D$7+IF(D$2=$AA140,$AC140,IF(D$2=$AF140,$AG140,0))))</f>
        <v/>
      </c>
      <c r="Q140">
        <f>IF(E139&lt;=0,0,MIN(AJ140,E$7+IF(E$2=$AA140,$AC140,IF(E$2=$AF140,$AG140,0))))</f>
        <v/>
      </c>
      <c r="R140">
        <f>IF(F139&lt;=0,0,MIN(AK140,F$7+IF(F$2=$AA140,$AC140,IF(F$2=$AF140,$AG140,0))))</f>
        <v/>
      </c>
      <c r="S140">
        <f>IF(G139&lt;=0,0,MIN(AL140,G$7+IF(G$2=$AA140,$AC140,IF(G$2=$AF140,$AG140,0))))</f>
        <v/>
      </c>
      <c r="T140">
        <f>IF(H139&lt;=0,0,MIN(AM140,H$7+IF(H$2=$AA140,$AC140,IF(H$2=$AF140,$AG140,0))))</f>
        <v/>
      </c>
      <c r="U140">
        <f>IF(I139&lt;=0,0,MIN(AN140,I$7+IF(I$2=$AA140,$AC140,IF(I$2=$AF140,$AG140,0))))</f>
        <v/>
      </c>
      <c r="V140">
        <f>IF(J139&lt;=0,0,MIN(AO140,J$7+IF(J$2=$AA140,$AC140,IF(J$2=$AF140,$AG140,0))))</f>
        <v/>
      </c>
      <c r="W140">
        <f>IF(K139&lt;=0,0,MIN(AP140,K$7+IF(K$2=$AA140,$AC140,IF(K$2=$AF140,$AG140,0))))</f>
        <v/>
      </c>
      <c r="X140">
        <f>IF(L139&lt;=0,0,MIN(AQ140,L$7+IF(L$2=$AA140,$AC140,IF(L$2=$AF140,$AG140,0))))</f>
        <v/>
      </c>
      <c r="Y140">
        <f>IF(M139&lt;=0,0,MIN(AR140,M$7+IF(M$2=$AA140,$AC140,IF(M$2=$AF140,$AG140,0))))</f>
        <v/>
      </c>
      <c r="Z140">
        <f>IF(N139&lt;=0,0,MIN(AS140,N$7+IF(N$2=$AA140,$AC140,IF(N$2=$AF140,$AG140,0))))</f>
        <v/>
      </c>
      <c r="AA140">
        <f>IFERROR(ROUND(1/SUMPRODUCT(MAX((C139:N139&gt;0)*($C$3:$N$3&lt;=B140)/$C$2:$N$2)),0),0)</f>
        <v/>
      </c>
      <c r="AB140">
        <f>SUMPRODUCT((C139:N139&gt;0)*$C$7:$N$7)</f>
        <v/>
      </c>
      <c r="AC140">
        <f>MAX(0,Plan!$C$5-AB140)+IF(A140=Plan!$C$8,N(Plan!$C$7),0)</f>
        <v/>
      </c>
      <c r="AD140">
        <f>SUM(C140:N140)</f>
        <v/>
      </c>
      <c r="AE140">
        <f>SUM(O140:Z140)</f>
        <v/>
      </c>
      <c r="AF140">
        <f>IFERROR(ROUND(1/SUMPRODUCT(MAX((C139:N139&gt;0)*($C$3:$N$3&lt;=B140)*($C$2:$N$2&gt;AA140)/$C$2:$N$2)),0),0)</f>
        <v/>
      </c>
      <c r="AG140">
        <f>MAX(0,AC140-MAX(0,SUMPRODUCT(($C$2:$N$2=AA140)*(AH140:AS140-$C$7:$N$7))))</f>
        <v/>
      </c>
      <c r="AH140">
        <f>IF(C139&lt;=0,0,ROUND(C139*(1+IF(AND(C$6&gt;0,$B140&lt;C$6),C$4,C$5)/12),2))</f>
        <v/>
      </c>
      <c r="AI140">
        <f>IF(D139&lt;=0,0,ROUND(D139*(1+IF(AND(D$6&gt;0,$B140&lt;D$6),D$4,D$5)/12),2))</f>
        <v/>
      </c>
      <c r="AJ140">
        <f>IF(E139&lt;=0,0,ROUND(E139*(1+IF(AND(E$6&gt;0,$B140&lt;E$6),E$4,E$5)/12),2))</f>
        <v/>
      </c>
      <c r="AK140">
        <f>IF(F139&lt;=0,0,ROUND(F139*(1+IF(AND(F$6&gt;0,$B140&lt;F$6),F$4,F$5)/12),2))</f>
        <v/>
      </c>
      <c r="AL140">
        <f>IF(G139&lt;=0,0,ROUND(G139*(1+IF(AND(G$6&gt;0,$B140&lt;G$6),G$4,G$5)/12),2))</f>
        <v/>
      </c>
      <c r="AM140">
        <f>IF(H139&lt;=0,0,ROUND(H139*(1+IF(AND(H$6&gt;0,$B140&lt;H$6),H$4,H$5)/12),2))</f>
        <v/>
      </c>
      <c r="AN140">
        <f>IF(I139&lt;=0,0,ROUND(I139*(1+IF(AND(I$6&gt;0,$B140&lt;I$6),I$4,I$5)/12),2))</f>
        <v/>
      </c>
      <c r="AO140">
        <f>IF(J139&lt;=0,0,ROUND(J139*(1+IF(AND(J$6&gt;0,$B140&lt;J$6),J$4,J$5)/12),2))</f>
        <v/>
      </c>
      <c r="AP140">
        <f>IF(K139&lt;=0,0,ROUND(K139*(1+IF(AND(K$6&gt;0,$B140&lt;K$6),K$4,K$5)/12),2))</f>
        <v/>
      </c>
      <c r="AQ140">
        <f>IF(L139&lt;=0,0,ROUND(L139*(1+IF(AND(L$6&gt;0,$B140&lt;L$6),L$4,L$5)/12),2))</f>
        <v/>
      </c>
      <c r="AR140">
        <f>IF(M139&lt;=0,0,ROUND(M139*(1+IF(AND(M$6&gt;0,$B140&lt;M$6),M$4,M$5)/12),2))</f>
        <v/>
      </c>
      <c r="AS140">
        <f>IF(N139&lt;=0,0,ROUND(N139*(1+IF(AND(N$6&gt;0,$B140&lt;N$6),N$4,N$5)/12),2))</f>
        <v/>
      </c>
    </row>
    <row r="141">
      <c r="A141" t="n">
        <v>130</v>
      </c>
      <c r="B141">
        <f>EDATE(Plan!$C$6,129)</f>
        <v/>
      </c>
      <c r="C141">
        <f>IF(C140&lt;=0,0,MAX(0,AH141-O141))</f>
        <v/>
      </c>
      <c r="D141">
        <f>IF(D140&lt;=0,0,MAX(0,AI141-P141))</f>
        <v/>
      </c>
      <c r="E141">
        <f>IF(E140&lt;=0,0,MAX(0,AJ141-Q141))</f>
        <v/>
      </c>
      <c r="F141">
        <f>IF(F140&lt;=0,0,MAX(0,AK141-R141))</f>
        <v/>
      </c>
      <c r="G141">
        <f>IF(G140&lt;=0,0,MAX(0,AL141-S141))</f>
        <v/>
      </c>
      <c r="H141">
        <f>IF(H140&lt;=0,0,MAX(0,AM141-T141))</f>
        <v/>
      </c>
      <c r="I141">
        <f>IF(I140&lt;=0,0,MAX(0,AN141-U141))</f>
        <v/>
      </c>
      <c r="J141">
        <f>IF(J140&lt;=0,0,MAX(0,AO141-V141))</f>
        <v/>
      </c>
      <c r="K141">
        <f>IF(K140&lt;=0,0,MAX(0,AP141-W141))</f>
        <v/>
      </c>
      <c r="L141">
        <f>IF(L140&lt;=0,0,MAX(0,AQ141-X141))</f>
        <v/>
      </c>
      <c r="M141">
        <f>IF(M140&lt;=0,0,MAX(0,AR141-Y141))</f>
        <v/>
      </c>
      <c r="N141">
        <f>IF(N140&lt;=0,0,MAX(0,AS141-Z141))</f>
        <v/>
      </c>
      <c r="O141">
        <f>IF(C140&lt;=0,0,MIN(AH141,C$7+IF(C$2=$AA141,$AC141,IF(C$2=$AF141,$AG141,0))))</f>
        <v/>
      </c>
      <c r="P141">
        <f>IF(D140&lt;=0,0,MIN(AI141,D$7+IF(D$2=$AA141,$AC141,IF(D$2=$AF141,$AG141,0))))</f>
        <v/>
      </c>
      <c r="Q141">
        <f>IF(E140&lt;=0,0,MIN(AJ141,E$7+IF(E$2=$AA141,$AC141,IF(E$2=$AF141,$AG141,0))))</f>
        <v/>
      </c>
      <c r="R141">
        <f>IF(F140&lt;=0,0,MIN(AK141,F$7+IF(F$2=$AA141,$AC141,IF(F$2=$AF141,$AG141,0))))</f>
        <v/>
      </c>
      <c r="S141">
        <f>IF(G140&lt;=0,0,MIN(AL141,G$7+IF(G$2=$AA141,$AC141,IF(G$2=$AF141,$AG141,0))))</f>
        <v/>
      </c>
      <c r="T141">
        <f>IF(H140&lt;=0,0,MIN(AM141,H$7+IF(H$2=$AA141,$AC141,IF(H$2=$AF141,$AG141,0))))</f>
        <v/>
      </c>
      <c r="U141">
        <f>IF(I140&lt;=0,0,MIN(AN141,I$7+IF(I$2=$AA141,$AC141,IF(I$2=$AF141,$AG141,0))))</f>
        <v/>
      </c>
      <c r="V141">
        <f>IF(J140&lt;=0,0,MIN(AO141,J$7+IF(J$2=$AA141,$AC141,IF(J$2=$AF141,$AG141,0))))</f>
        <v/>
      </c>
      <c r="W141">
        <f>IF(K140&lt;=0,0,MIN(AP141,K$7+IF(K$2=$AA141,$AC141,IF(K$2=$AF141,$AG141,0))))</f>
        <v/>
      </c>
      <c r="X141">
        <f>IF(L140&lt;=0,0,MIN(AQ141,L$7+IF(L$2=$AA141,$AC141,IF(L$2=$AF141,$AG141,0))))</f>
        <v/>
      </c>
      <c r="Y141">
        <f>IF(M140&lt;=0,0,MIN(AR141,M$7+IF(M$2=$AA141,$AC141,IF(M$2=$AF141,$AG141,0))))</f>
        <v/>
      </c>
      <c r="Z141">
        <f>IF(N140&lt;=0,0,MIN(AS141,N$7+IF(N$2=$AA141,$AC141,IF(N$2=$AF141,$AG141,0))))</f>
        <v/>
      </c>
      <c r="AA141">
        <f>IFERROR(ROUND(1/SUMPRODUCT(MAX((C140:N140&gt;0)*($C$3:$N$3&lt;=B141)/$C$2:$N$2)),0),0)</f>
        <v/>
      </c>
      <c r="AB141">
        <f>SUMPRODUCT((C140:N140&gt;0)*$C$7:$N$7)</f>
        <v/>
      </c>
      <c r="AC141">
        <f>MAX(0,Plan!$C$5-AB141)+IF(A141=Plan!$C$8,N(Plan!$C$7),0)</f>
        <v/>
      </c>
      <c r="AD141">
        <f>SUM(C141:N141)</f>
        <v/>
      </c>
      <c r="AE141">
        <f>SUM(O141:Z141)</f>
        <v/>
      </c>
      <c r="AF141">
        <f>IFERROR(ROUND(1/SUMPRODUCT(MAX((C140:N140&gt;0)*($C$3:$N$3&lt;=B141)*($C$2:$N$2&gt;AA141)/$C$2:$N$2)),0),0)</f>
        <v/>
      </c>
      <c r="AG141">
        <f>MAX(0,AC141-MAX(0,SUMPRODUCT(($C$2:$N$2=AA141)*(AH141:AS141-$C$7:$N$7))))</f>
        <v/>
      </c>
      <c r="AH141">
        <f>IF(C140&lt;=0,0,ROUND(C140*(1+IF(AND(C$6&gt;0,$B141&lt;C$6),C$4,C$5)/12),2))</f>
        <v/>
      </c>
      <c r="AI141">
        <f>IF(D140&lt;=0,0,ROUND(D140*(1+IF(AND(D$6&gt;0,$B141&lt;D$6),D$4,D$5)/12),2))</f>
        <v/>
      </c>
      <c r="AJ141">
        <f>IF(E140&lt;=0,0,ROUND(E140*(1+IF(AND(E$6&gt;0,$B141&lt;E$6),E$4,E$5)/12),2))</f>
        <v/>
      </c>
      <c r="AK141">
        <f>IF(F140&lt;=0,0,ROUND(F140*(1+IF(AND(F$6&gt;0,$B141&lt;F$6),F$4,F$5)/12),2))</f>
        <v/>
      </c>
      <c r="AL141">
        <f>IF(G140&lt;=0,0,ROUND(G140*(1+IF(AND(G$6&gt;0,$B141&lt;G$6),G$4,G$5)/12),2))</f>
        <v/>
      </c>
      <c r="AM141">
        <f>IF(H140&lt;=0,0,ROUND(H140*(1+IF(AND(H$6&gt;0,$B141&lt;H$6),H$4,H$5)/12),2))</f>
        <v/>
      </c>
      <c r="AN141">
        <f>IF(I140&lt;=0,0,ROUND(I140*(1+IF(AND(I$6&gt;0,$B141&lt;I$6),I$4,I$5)/12),2))</f>
        <v/>
      </c>
      <c r="AO141">
        <f>IF(J140&lt;=0,0,ROUND(J140*(1+IF(AND(J$6&gt;0,$B141&lt;J$6),J$4,J$5)/12),2))</f>
        <v/>
      </c>
      <c r="AP141">
        <f>IF(K140&lt;=0,0,ROUND(K140*(1+IF(AND(K$6&gt;0,$B141&lt;K$6),K$4,K$5)/12),2))</f>
        <v/>
      </c>
      <c r="AQ141">
        <f>IF(L140&lt;=0,0,ROUND(L140*(1+IF(AND(L$6&gt;0,$B141&lt;L$6),L$4,L$5)/12),2))</f>
        <v/>
      </c>
      <c r="AR141">
        <f>IF(M140&lt;=0,0,ROUND(M140*(1+IF(AND(M$6&gt;0,$B141&lt;M$6),M$4,M$5)/12),2))</f>
        <v/>
      </c>
      <c r="AS141">
        <f>IF(N140&lt;=0,0,ROUND(N140*(1+IF(AND(N$6&gt;0,$B141&lt;N$6),N$4,N$5)/12),2))</f>
        <v/>
      </c>
    </row>
    <row r="142">
      <c r="A142" t="n">
        <v>131</v>
      </c>
      <c r="B142">
        <f>EDATE(Plan!$C$6,130)</f>
        <v/>
      </c>
      <c r="C142">
        <f>IF(C141&lt;=0,0,MAX(0,AH142-O142))</f>
        <v/>
      </c>
      <c r="D142">
        <f>IF(D141&lt;=0,0,MAX(0,AI142-P142))</f>
        <v/>
      </c>
      <c r="E142">
        <f>IF(E141&lt;=0,0,MAX(0,AJ142-Q142))</f>
        <v/>
      </c>
      <c r="F142">
        <f>IF(F141&lt;=0,0,MAX(0,AK142-R142))</f>
        <v/>
      </c>
      <c r="G142">
        <f>IF(G141&lt;=0,0,MAX(0,AL142-S142))</f>
        <v/>
      </c>
      <c r="H142">
        <f>IF(H141&lt;=0,0,MAX(0,AM142-T142))</f>
        <v/>
      </c>
      <c r="I142">
        <f>IF(I141&lt;=0,0,MAX(0,AN142-U142))</f>
        <v/>
      </c>
      <c r="J142">
        <f>IF(J141&lt;=0,0,MAX(0,AO142-V142))</f>
        <v/>
      </c>
      <c r="K142">
        <f>IF(K141&lt;=0,0,MAX(0,AP142-W142))</f>
        <v/>
      </c>
      <c r="L142">
        <f>IF(L141&lt;=0,0,MAX(0,AQ142-X142))</f>
        <v/>
      </c>
      <c r="M142">
        <f>IF(M141&lt;=0,0,MAX(0,AR142-Y142))</f>
        <v/>
      </c>
      <c r="N142">
        <f>IF(N141&lt;=0,0,MAX(0,AS142-Z142))</f>
        <v/>
      </c>
      <c r="O142">
        <f>IF(C141&lt;=0,0,MIN(AH142,C$7+IF(C$2=$AA142,$AC142,IF(C$2=$AF142,$AG142,0))))</f>
        <v/>
      </c>
      <c r="P142">
        <f>IF(D141&lt;=0,0,MIN(AI142,D$7+IF(D$2=$AA142,$AC142,IF(D$2=$AF142,$AG142,0))))</f>
        <v/>
      </c>
      <c r="Q142">
        <f>IF(E141&lt;=0,0,MIN(AJ142,E$7+IF(E$2=$AA142,$AC142,IF(E$2=$AF142,$AG142,0))))</f>
        <v/>
      </c>
      <c r="R142">
        <f>IF(F141&lt;=0,0,MIN(AK142,F$7+IF(F$2=$AA142,$AC142,IF(F$2=$AF142,$AG142,0))))</f>
        <v/>
      </c>
      <c r="S142">
        <f>IF(G141&lt;=0,0,MIN(AL142,G$7+IF(G$2=$AA142,$AC142,IF(G$2=$AF142,$AG142,0))))</f>
        <v/>
      </c>
      <c r="T142">
        <f>IF(H141&lt;=0,0,MIN(AM142,H$7+IF(H$2=$AA142,$AC142,IF(H$2=$AF142,$AG142,0))))</f>
        <v/>
      </c>
      <c r="U142">
        <f>IF(I141&lt;=0,0,MIN(AN142,I$7+IF(I$2=$AA142,$AC142,IF(I$2=$AF142,$AG142,0))))</f>
        <v/>
      </c>
      <c r="V142">
        <f>IF(J141&lt;=0,0,MIN(AO142,J$7+IF(J$2=$AA142,$AC142,IF(J$2=$AF142,$AG142,0))))</f>
        <v/>
      </c>
      <c r="W142">
        <f>IF(K141&lt;=0,0,MIN(AP142,K$7+IF(K$2=$AA142,$AC142,IF(K$2=$AF142,$AG142,0))))</f>
        <v/>
      </c>
      <c r="X142">
        <f>IF(L141&lt;=0,0,MIN(AQ142,L$7+IF(L$2=$AA142,$AC142,IF(L$2=$AF142,$AG142,0))))</f>
        <v/>
      </c>
      <c r="Y142">
        <f>IF(M141&lt;=0,0,MIN(AR142,M$7+IF(M$2=$AA142,$AC142,IF(M$2=$AF142,$AG142,0))))</f>
        <v/>
      </c>
      <c r="Z142">
        <f>IF(N141&lt;=0,0,MIN(AS142,N$7+IF(N$2=$AA142,$AC142,IF(N$2=$AF142,$AG142,0))))</f>
        <v/>
      </c>
      <c r="AA142">
        <f>IFERROR(ROUND(1/SUMPRODUCT(MAX((C141:N141&gt;0)*($C$3:$N$3&lt;=B142)/$C$2:$N$2)),0),0)</f>
        <v/>
      </c>
      <c r="AB142">
        <f>SUMPRODUCT((C141:N141&gt;0)*$C$7:$N$7)</f>
        <v/>
      </c>
      <c r="AC142">
        <f>MAX(0,Plan!$C$5-AB142)+IF(A142=Plan!$C$8,N(Plan!$C$7),0)</f>
        <v/>
      </c>
      <c r="AD142">
        <f>SUM(C142:N142)</f>
        <v/>
      </c>
      <c r="AE142">
        <f>SUM(O142:Z142)</f>
        <v/>
      </c>
      <c r="AF142">
        <f>IFERROR(ROUND(1/SUMPRODUCT(MAX((C141:N141&gt;0)*($C$3:$N$3&lt;=B142)*($C$2:$N$2&gt;AA142)/$C$2:$N$2)),0),0)</f>
        <v/>
      </c>
      <c r="AG142">
        <f>MAX(0,AC142-MAX(0,SUMPRODUCT(($C$2:$N$2=AA142)*(AH142:AS142-$C$7:$N$7))))</f>
        <v/>
      </c>
      <c r="AH142">
        <f>IF(C141&lt;=0,0,ROUND(C141*(1+IF(AND(C$6&gt;0,$B142&lt;C$6),C$4,C$5)/12),2))</f>
        <v/>
      </c>
      <c r="AI142">
        <f>IF(D141&lt;=0,0,ROUND(D141*(1+IF(AND(D$6&gt;0,$B142&lt;D$6),D$4,D$5)/12),2))</f>
        <v/>
      </c>
      <c r="AJ142">
        <f>IF(E141&lt;=0,0,ROUND(E141*(1+IF(AND(E$6&gt;0,$B142&lt;E$6),E$4,E$5)/12),2))</f>
        <v/>
      </c>
      <c r="AK142">
        <f>IF(F141&lt;=0,0,ROUND(F141*(1+IF(AND(F$6&gt;0,$B142&lt;F$6),F$4,F$5)/12),2))</f>
        <v/>
      </c>
      <c r="AL142">
        <f>IF(G141&lt;=0,0,ROUND(G141*(1+IF(AND(G$6&gt;0,$B142&lt;G$6),G$4,G$5)/12),2))</f>
        <v/>
      </c>
      <c r="AM142">
        <f>IF(H141&lt;=0,0,ROUND(H141*(1+IF(AND(H$6&gt;0,$B142&lt;H$6),H$4,H$5)/12),2))</f>
        <v/>
      </c>
      <c r="AN142">
        <f>IF(I141&lt;=0,0,ROUND(I141*(1+IF(AND(I$6&gt;0,$B142&lt;I$6),I$4,I$5)/12),2))</f>
        <v/>
      </c>
      <c r="AO142">
        <f>IF(J141&lt;=0,0,ROUND(J141*(1+IF(AND(J$6&gt;0,$B142&lt;J$6),J$4,J$5)/12),2))</f>
        <v/>
      </c>
      <c r="AP142">
        <f>IF(K141&lt;=0,0,ROUND(K141*(1+IF(AND(K$6&gt;0,$B142&lt;K$6),K$4,K$5)/12),2))</f>
        <v/>
      </c>
      <c r="AQ142">
        <f>IF(L141&lt;=0,0,ROUND(L141*(1+IF(AND(L$6&gt;0,$B142&lt;L$6),L$4,L$5)/12),2))</f>
        <v/>
      </c>
      <c r="AR142">
        <f>IF(M141&lt;=0,0,ROUND(M141*(1+IF(AND(M$6&gt;0,$B142&lt;M$6),M$4,M$5)/12),2))</f>
        <v/>
      </c>
      <c r="AS142">
        <f>IF(N141&lt;=0,0,ROUND(N141*(1+IF(AND(N$6&gt;0,$B142&lt;N$6),N$4,N$5)/12),2))</f>
        <v/>
      </c>
    </row>
    <row r="143">
      <c r="A143" t="n">
        <v>132</v>
      </c>
      <c r="B143">
        <f>EDATE(Plan!$C$6,131)</f>
        <v/>
      </c>
      <c r="C143">
        <f>IF(C142&lt;=0,0,MAX(0,AH143-O143))</f>
        <v/>
      </c>
      <c r="D143">
        <f>IF(D142&lt;=0,0,MAX(0,AI143-P143))</f>
        <v/>
      </c>
      <c r="E143">
        <f>IF(E142&lt;=0,0,MAX(0,AJ143-Q143))</f>
        <v/>
      </c>
      <c r="F143">
        <f>IF(F142&lt;=0,0,MAX(0,AK143-R143))</f>
        <v/>
      </c>
      <c r="G143">
        <f>IF(G142&lt;=0,0,MAX(0,AL143-S143))</f>
        <v/>
      </c>
      <c r="H143">
        <f>IF(H142&lt;=0,0,MAX(0,AM143-T143))</f>
        <v/>
      </c>
      <c r="I143">
        <f>IF(I142&lt;=0,0,MAX(0,AN143-U143))</f>
        <v/>
      </c>
      <c r="J143">
        <f>IF(J142&lt;=0,0,MAX(0,AO143-V143))</f>
        <v/>
      </c>
      <c r="K143">
        <f>IF(K142&lt;=0,0,MAX(0,AP143-W143))</f>
        <v/>
      </c>
      <c r="L143">
        <f>IF(L142&lt;=0,0,MAX(0,AQ143-X143))</f>
        <v/>
      </c>
      <c r="M143">
        <f>IF(M142&lt;=0,0,MAX(0,AR143-Y143))</f>
        <v/>
      </c>
      <c r="N143">
        <f>IF(N142&lt;=0,0,MAX(0,AS143-Z143))</f>
        <v/>
      </c>
      <c r="O143">
        <f>IF(C142&lt;=0,0,MIN(AH143,C$7+IF(C$2=$AA143,$AC143,IF(C$2=$AF143,$AG143,0))))</f>
        <v/>
      </c>
      <c r="P143">
        <f>IF(D142&lt;=0,0,MIN(AI143,D$7+IF(D$2=$AA143,$AC143,IF(D$2=$AF143,$AG143,0))))</f>
        <v/>
      </c>
      <c r="Q143">
        <f>IF(E142&lt;=0,0,MIN(AJ143,E$7+IF(E$2=$AA143,$AC143,IF(E$2=$AF143,$AG143,0))))</f>
        <v/>
      </c>
      <c r="R143">
        <f>IF(F142&lt;=0,0,MIN(AK143,F$7+IF(F$2=$AA143,$AC143,IF(F$2=$AF143,$AG143,0))))</f>
        <v/>
      </c>
      <c r="S143">
        <f>IF(G142&lt;=0,0,MIN(AL143,G$7+IF(G$2=$AA143,$AC143,IF(G$2=$AF143,$AG143,0))))</f>
        <v/>
      </c>
      <c r="T143">
        <f>IF(H142&lt;=0,0,MIN(AM143,H$7+IF(H$2=$AA143,$AC143,IF(H$2=$AF143,$AG143,0))))</f>
        <v/>
      </c>
      <c r="U143">
        <f>IF(I142&lt;=0,0,MIN(AN143,I$7+IF(I$2=$AA143,$AC143,IF(I$2=$AF143,$AG143,0))))</f>
        <v/>
      </c>
      <c r="V143">
        <f>IF(J142&lt;=0,0,MIN(AO143,J$7+IF(J$2=$AA143,$AC143,IF(J$2=$AF143,$AG143,0))))</f>
        <v/>
      </c>
      <c r="W143">
        <f>IF(K142&lt;=0,0,MIN(AP143,K$7+IF(K$2=$AA143,$AC143,IF(K$2=$AF143,$AG143,0))))</f>
        <v/>
      </c>
      <c r="X143">
        <f>IF(L142&lt;=0,0,MIN(AQ143,L$7+IF(L$2=$AA143,$AC143,IF(L$2=$AF143,$AG143,0))))</f>
        <v/>
      </c>
      <c r="Y143">
        <f>IF(M142&lt;=0,0,MIN(AR143,M$7+IF(M$2=$AA143,$AC143,IF(M$2=$AF143,$AG143,0))))</f>
        <v/>
      </c>
      <c r="Z143">
        <f>IF(N142&lt;=0,0,MIN(AS143,N$7+IF(N$2=$AA143,$AC143,IF(N$2=$AF143,$AG143,0))))</f>
        <v/>
      </c>
      <c r="AA143">
        <f>IFERROR(ROUND(1/SUMPRODUCT(MAX((C142:N142&gt;0)*($C$3:$N$3&lt;=B143)/$C$2:$N$2)),0),0)</f>
        <v/>
      </c>
      <c r="AB143">
        <f>SUMPRODUCT((C142:N142&gt;0)*$C$7:$N$7)</f>
        <v/>
      </c>
      <c r="AC143">
        <f>MAX(0,Plan!$C$5-AB143)+IF(A143=Plan!$C$8,N(Plan!$C$7),0)</f>
        <v/>
      </c>
      <c r="AD143">
        <f>SUM(C143:N143)</f>
        <v/>
      </c>
      <c r="AE143">
        <f>SUM(O143:Z143)</f>
        <v/>
      </c>
      <c r="AF143">
        <f>IFERROR(ROUND(1/SUMPRODUCT(MAX((C142:N142&gt;0)*($C$3:$N$3&lt;=B143)*($C$2:$N$2&gt;AA143)/$C$2:$N$2)),0),0)</f>
        <v/>
      </c>
      <c r="AG143">
        <f>MAX(0,AC143-MAX(0,SUMPRODUCT(($C$2:$N$2=AA143)*(AH143:AS143-$C$7:$N$7))))</f>
        <v/>
      </c>
      <c r="AH143">
        <f>IF(C142&lt;=0,0,ROUND(C142*(1+IF(AND(C$6&gt;0,$B143&lt;C$6),C$4,C$5)/12),2))</f>
        <v/>
      </c>
      <c r="AI143">
        <f>IF(D142&lt;=0,0,ROUND(D142*(1+IF(AND(D$6&gt;0,$B143&lt;D$6),D$4,D$5)/12),2))</f>
        <v/>
      </c>
      <c r="AJ143">
        <f>IF(E142&lt;=0,0,ROUND(E142*(1+IF(AND(E$6&gt;0,$B143&lt;E$6),E$4,E$5)/12),2))</f>
        <v/>
      </c>
      <c r="AK143">
        <f>IF(F142&lt;=0,0,ROUND(F142*(1+IF(AND(F$6&gt;0,$B143&lt;F$6),F$4,F$5)/12),2))</f>
        <v/>
      </c>
      <c r="AL143">
        <f>IF(G142&lt;=0,0,ROUND(G142*(1+IF(AND(G$6&gt;0,$B143&lt;G$6),G$4,G$5)/12),2))</f>
        <v/>
      </c>
      <c r="AM143">
        <f>IF(H142&lt;=0,0,ROUND(H142*(1+IF(AND(H$6&gt;0,$B143&lt;H$6),H$4,H$5)/12),2))</f>
        <v/>
      </c>
      <c r="AN143">
        <f>IF(I142&lt;=0,0,ROUND(I142*(1+IF(AND(I$6&gt;0,$B143&lt;I$6),I$4,I$5)/12),2))</f>
        <v/>
      </c>
      <c r="AO143">
        <f>IF(J142&lt;=0,0,ROUND(J142*(1+IF(AND(J$6&gt;0,$B143&lt;J$6),J$4,J$5)/12),2))</f>
        <v/>
      </c>
      <c r="AP143">
        <f>IF(K142&lt;=0,0,ROUND(K142*(1+IF(AND(K$6&gt;0,$B143&lt;K$6),K$4,K$5)/12),2))</f>
        <v/>
      </c>
      <c r="AQ143">
        <f>IF(L142&lt;=0,0,ROUND(L142*(1+IF(AND(L$6&gt;0,$B143&lt;L$6),L$4,L$5)/12),2))</f>
        <v/>
      </c>
      <c r="AR143">
        <f>IF(M142&lt;=0,0,ROUND(M142*(1+IF(AND(M$6&gt;0,$B143&lt;M$6),M$4,M$5)/12),2))</f>
        <v/>
      </c>
      <c r="AS143">
        <f>IF(N142&lt;=0,0,ROUND(N142*(1+IF(AND(N$6&gt;0,$B143&lt;N$6),N$4,N$5)/12),2))</f>
        <v/>
      </c>
    </row>
    <row r="144">
      <c r="A144" t="n">
        <v>133</v>
      </c>
      <c r="B144">
        <f>EDATE(Plan!$C$6,132)</f>
        <v/>
      </c>
      <c r="C144">
        <f>IF(C143&lt;=0,0,MAX(0,AH144-O144))</f>
        <v/>
      </c>
      <c r="D144">
        <f>IF(D143&lt;=0,0,MAX(0,AI144-P144))</f>
        <v/>
      </c>
      <c r="E144">
        <f>IF(E143&lt;=0,0,MAX(0,AJ144-Q144))</f>
        <v/>
      </c>
      <c r="F144">
        <f>IF(F143&lt;=0,0,MAX(0,AK144-R144))</f>
        <v/>
      </c>
      <c r="G144">
        <f>IF(G143&lt;=0,0,MAX(0,AL144-S144))</f>
        <v/>
      </c>
      <c r="H144">
        <f>IF(H143&lt;=0,0,MAX(0,AM144-T144))</f>
        <v/>
      </c>
      <c r="I144">
        <f>IF(I143&lt;=0,0,MAX(0,AN144-U144))</f>
        <v/>
      </c>
      <c r="J144">
        <f>IF(J143&lt;=0,0,MAX(0,AO144-V144))</f>
        <v/>
      </c>
      <c r="K144">
        <f>IF(K143&lt;=0,0,MAX(0,AP144-W144))</f>
        <v/>
      </c>
      <c r="L144">
        <f>IF(L143&lt;=0,0,MAX(0,AQ144-X144))</f>
        <v/>
      </c>
      <c r="M144">
        <f>IF(M143&lt;=0,0,MAX(0,AR144-Y144))</f>
        <v/>
      </c>
      <c r="N144">
        <f>IF(N143&lt;=0,0,MAX(0,AS144-Z144))</f>
        <v/>
      </c>
      <c r="O144">
        <f>IF(C143&lt;=0,0,MIN(AH144,C$7+IF(C$2=$AA144,$AC144,IF(C$2=$AF144,$AG144,0))))</f>
        <v/>
      </c>
      <c r="P144">
        <f>IF(D143&lt;=0,0,MIN(AI144,D$7+IF(D$2=$AA144,$AC144,IF(D$2=$AF144,$AG144,0))))</f>
        <v/>
      </c>
      <c r="Q144">
        <f>IF(E143&lt;=0,0,MIN(AJ144,E$7+IF(E$2=$AA144,$AC144,IF(E$2=$AF144,$AG144,0))))</f>
        <v/>
      </c>
      <c r="R144">
        <f>IF(F143&lt;=0,0,MIN(AK144,F$7+IF(F$2=$AA144,$AC144,IF(F$2=$AF144,$AG144,0))))</f>
        <v/>
      </c>
      <c r="S144">
        <f>IF(G143&lt;=0,0,MIN(AL144,G$7+IF(G$2=$AA144,$AC144,IF(G$2=$AF144,$AG144,0))))</f>
        <v/>
      </c>
      <c r="T144">
        <f>IF(H143&lt;=0,0,MIN(AM144,H$7+IF(H$2=$AA144,$AC144,IF(H$2=$AF144,$AG144,0))))</f>
        <v/>
      </c>
      <c r="U144">
        <f>IF(I143&lt;=0,0,MIN(AN144,I$7+IF(I$2=$AA144,$AC144,IF(I$2=$AF144,$AG144,0))))</f>
        <v/>
      </c>
      <c r="V144">
        <f>IF(J143&lt;=0,0,MIN(AO144,J$7+IF(J$2=$AA144,$AC144,IF(J$2=$AF144,$AG144,0))))</f>
        <v/>
      </c>
      <c r="W144">
        <f>IF(K143&lt;=0,0,MIN(AP144,K$7+IF(K$2=$AA144,$AC144,IF(K$2=$AF144,$AG144,0))))</f>
        <v/>
      </c>
      <c r="X144">
        <f>IF(L143&lt;=0,0,MIN(AQ144,L$7+IF(L$2=$AA144,$AC144,IF(L$2=$AF144,$AG144,0))))</f>
        <v/>
      </c>
      <c r="Y144">
        <f>IF(M143&lt;=0,0,MIN(AR144,M$7+IF(M$2=$AA144,$AC144,IF(M$2=$AF144,$AG144,0))))</f>
        <v/>
      </c>
      <c r="Z144">
        <f>IF(N143&lt;=0,0,MIN(AS144,N$7+IF(N$2=$AA144,$AC144,IF(N$2=$AF144,$AG144,0))))</f>
        <v/>
      </c>
      <c r="AA144">
        <f>IFERROR(ROUND(1/SUMPRODUCT(MAX((C143:N143&gt;0)*($C$3:$N$3&lt;=B144)/$C$2:$N$2)),0),0)</f>
        <v/>
      </c>
      <c r="AB144">
        <f>SUMPRODUCT((C143:N143&gt;0)*$C$7:$N$7)</f>
        <v/>
      </c>
      <c r="AC144">
        <f>MAX(0,Plan!$C$5-AB144)+IF(A144=Plan!$C$8,N(Plan!$C$7),0)</f>
        <v/>
      </c>
      <c r="AD144">
        <f>SUM(C144:N144)</f>
        <v/>
      </c>
      <c r="AE144">
        <f>SUM(O144:Z144)</f>
        <v/>
      </c>
      <c r="AF144">
        <f>IFERROR(ROUND(1/SUMPRODUCT(MAX((C143:N143&gt;0)*($C$3:$N$3&lt;=B144)*($C$2:$N$2&gt;AA144)/$C$2:$N$2)),0),0)</f>
        <v/>
      </c>
      <c r="AG144">
        <f>MAX(0,AC144-MAX(0,SUMPRODUCT(($C$2:$N$2=AA144)*(AH144:AS144-$C$7:$N$7))))</f>
        <v/>
      </c>
      <c r="AH144">
        <f>IF(C143&lt;=0,0,ROUND(C143*(1+IF(AND(C$6&gt;0,$B144&lt;C$6),C$4,C$5)/12),2))</f>
        <v/>
      </c>
      <c r="AI144">
        <f>IF(D143&lt;=0,0,ROUND(D143*(1+IF(AND(D$6&gt;0,$B144&lt;D$6),D$4,D$5)/12),2))</f>
        <v/>
      </c>
      <c r="AJ144">
        <f>IF(E143&lt;=0,0,ROUND(E143*(1+IF(AND(E$6&gt;0,$B144&lt;E$6),E$4,E$5)/12),2))</f>
        <v/>
      </c>
      <c r="AK144">
        <f>IF(F143&lt;=0,0,ROUND(F143*(1+IF(AND(F$6&gt;0,$B144&lt;F$6),F$4,F$5)/12),2))</f>
        <v/>
      </c>
      <c r="AL144">
        <f>IF(G143&lt;=0,0,ROUND(G143*(1+IF(AND(G$6&gt;0,$B144&lt;G$6),G$4,G$5)/12),2))</f>
        <v/>
      </c>
      <c r="AM144">
        <f>IF(H143&lt;=0,0,ROUND(H143*(1+IF(AND(H$6&gt;0,$B144&lt;H$6),H$4,H$5)/12),2))</f>
        <v/>
      </c>
      <c r="AN144">
        <f>IF(I143&lt;=0,0,ROUND(I143*(1+IF(AND(I$6&gt;0,$B144&lt;I$6),I$4,I$5)/12),2))</f>
        <v/>
      </c>
      <c r="AO144">
        <f>IF(J143&lt;=0,0,ROUND(J143*(1+IF(AND(J$6&gt;0,$B144&lt;J$6),J$4,J$5)/12),2))</f>
        <v/>
      </c>
      <c r="AP144">
        <f>IF(K143&lt;=0,0,ROUND(K143*(1+IF(AND(K$6&gt;0,$B144&lt;K$6),K$4,K$5)/12),2))</f>
        <v/>
      </c>
      <c r="AQ144">
        <f>IF(L143&lt;=0,0,ROUND(L143*(1+IF(AND(L$6&gt;0,$B144&lt;L$6),L$4,L$5)/12),2))</f>
        <v/>
      </c>
      <c r="AR144">
        <f>IF(M143&lt;=0,0,ROUND(M143*(1+IF(AND(M$6&gt;0,$B144&lt;M$6),M$4,M$5)/12),2))</f>
        <v/>
      </c>
      <c r="AS144">
        <f>IF(N143&lt;=0,0,ROUND(N143*(1+IF(AND(N$6&gt;0,$B144&lt;N$6),N$4,N$5)/12),2))</f>
        <v/>
      </c>
    </row>
    <row r="145">
      <c r="A145" t="n">
        <v>134</v>
      </c>
      <c r="B145">
        <f>EDATE(Plan!$C$6,133)</f>
        <v/>
      </c>
      <c r="C145">
        <f>IF(C144&lt;=0,0,MAX(0,AH145-O145))</f>
        <v/>
      </c>
      <c r="D145">
        <f>IF(D144&lt;=0,0,MAX(0,AI145-P145))</f>
        <v/>
      </c>
      <c r="E145">
        <f>IF(E144&lt;=0,0,MAX(0,AJ145-Q145))</f>
        <v/>
      </c>
      <c r="F145">
        <f>IF(F144&lt;=0,0,MAX(0,AK145-R145))</f>
        <v/>
      </c>
      <c r="G145">
        <f>IF(G144&lt;=0,0,MAX(0,AL145-S145))</f>
        <v/>
      </c>
      <c r="H145">
        <f>IF(H144&lt;=0,0,MAX(0,AM145-T145))</f>
        <v/>
      </c>
      <c r="I145">
        <f>IF(I144&lt;=0,0,MAX(0,AN145-U145))</f>
        <v/>
      </c>
      <c r="J145">
        <f>IF(J144&lt;=0,0,MAX(0,AO145-V145))</f>
        <v/>
      </c>
      <c r="K145">
        <f>IF(K144&lt;=0,0,MAX(0,AP145-W145))</f>
        <v/>
      </c>
      <c r="L145">
        <f>IF(L144&lt;=0,0,MAX(0,AQ145-X145))</f>
        <v/>
      </c>
      <c r="M145">
        <f>IF(M144&lt;=0,0,MAX(0,AR145-Y145))</f>
        <v/>
      </c>
      <c r="N145">
        <f>IF(N144&lt;=0,0,MAX(0,AS145-Z145))</f>
        <v/>
      </c>
      <c r="O145">
        <f>IF(C144&lt;=0,0,MIN(AH145,C$7+IF(C$2=$AA145,$AC145,IF(C$2=$AF145,$AG145,0))))</f>
        <v/>
      </c>
      <c r="P145">
        <f>IF(D144&lt;=0,0,MIN(AI145,D$7+IF(D$2=$AA145,$AC145,IF(D$2=$AF145,$AG145,0))))</f>
        <v/>
      </c>
      <c r="Q145">
        <f>IF(E144&lt;=0,0,MIN(AJ145,E$7+IF(E$2=$AA145,$AC145,IF(E$2=$AF145,$AG145,0))))</f>
        <v/>
      </c>
      <c r="R145">
        <f>IF(F144&lt;=0,0,MIN(AK145,F$7+IF(F$2=$AA145,$AC145,IF(F$2=$AF145,$AG145,0))))</f>
        <v/>
      </c>
      <c r="S145">
        <f>IF(G144&lt;=0,0,MIN(AL145,G$7+IF(G$2=$AA145,$AC145,IF(G$2=$AF145,$AG145,0))))</f>
        <v/>
      </c>
      <c r="T145">
        <f>IF(H144&lt;=0,0,MIN(AM145,H$7+IF(H$2=$AA145,$AC145,IF(H$2=$AF145,$AG145,0))))</f>
        <v/>
      </c>
      <c r="U145">
        <f>IF(I144&lt;=0,0,MIN(AN145,I$7+IF(I$2=$AA145,$AC145,IF(I$2=$AF145,$AG145,0))))</f>
        <v/>
      </c>
      <c r="V145">
        <f>IF(J144&lt;=0,0,MIN(AO145,J$7+IF(J$2=$AA145,$AC145,IF(J$2=$AF145,$AG145,0))))</f>
        <v/>
      </c>
      <c r="W145">
        <f>IF(K144&lt;=0,0,MIN(AP145,K$7+IF(K$2=$AA145,$AC145,IF(K$2=$AF145,$AG145,0))))</f>
        <v/>
      </c>
      <c r="X145">
        <f>IF(L144&lt;=0,0,MIN(AQ145,L$7+IF(L$2=$AA145,$AC145,IF(L$2=$AF145,$AG145,0))))</f>
        <v/>
      </c>
      <c r="Y145">
        <f>IF(M144&lt;=0,0,MIN(AR145,M$7+IF(M$2=$AA145,$AC145,IF(M$2=$AF145,$AG145,0))))</f>
        <v/>
      </c>
      <c r="Z145">
        <f>IF(N144&lt;=0,0,MIN(AS145,N$7+IF(N$2=$AA145,$AC145,IF(N$2=$AF145,$AG145,0))))</f>
        <v/>
      </c>
      <c r="AA145">
        <f>IFERROR(ROUND(1/SUMPRODUCT(MAX((C144:N144&gt;0)*($C$3:$N$3&lt;=B145)/$C$2:$N$2)),0),0)</f>
        <v/>
      </c>
      <c r="AB145">
        <f>SUMPRODUCT((C144:N144&gt;0)*$C$7:$N$7)</f>
        <v/>
      </c>
      <c r="AC145">
        <f>MAX(0,Plan!$C$5-AB145)+IF(A145=Plan!$C$8,N(Plan!$C$7),0)</f>
        <v/>
      </c>
      <c r="AD145">
        <f>SUM(C145:N145)</f>
        <v/>
      </c>
      <c r="AE145">
        <f>SUM(O145:Z145)</f>
        <v/>
      </c>
      <c r="AF145">
        <f>IFERROR(ROUND(1/SUMPRODUCT(MAX((C144:N144&gt;0)*($C$3:$N$3&lt;=B145)*($C$2:$N$2&gt;AA145)/$C$2:$N$2)),0),0)</f>
        <v/>
      </c>
      <c r="AG145">
        <f>MAX(0,AC145-MAX(0,SUMPRODUCT(($C$2:$N$2=AA145)*(AH145:AS145-$C$7:$N$7))))</f>
        <v/>
      </c>
      <c r="AH145">
        <f>IF(C144&lt;=0,0,ROUND(C144*(1+IF(AND(C$6&gt;0,$B145&lt;C$6),C$4,C$5)/12),2))</f>
        <v/>
      </c>
      <c r="AI145">
        <f>IF(D144&lt;=0,0,ROUND(D144*(1+IF(AND(D$6&gt;0,$B145&lt;D$6),D$4,D$5)/12),2))</f>
        <v/>
      </c>
      <c r="AJ145">
        <f>IF(E144&lt;=0,0,ROUND(E144*(1+IF(AND(E$6&gt;0,$B145&lt;E$6),E$4,E$5)/12),2))</f>
        <v/>
      </c>
      <c r="AK145">
        <f>IF(F144&lt;=0,0,ROUND(F144*(1+IF(AND(F$6&gt;0,$B145&lt;F$6),F$4,F$5)/12),2))</f>
        <v/>
      </c>
      <c r="AL145">
        <f>IF(G144&lt;=0,0,ROUND(G144*(1+IF(AND(G$6&gt;0,$B145&lt;G$6),G$4,G$5)/12),2))</f>
        <v/>
      </c>
      <c r="AM145">
        <f>IF(H144&lt;=0,0,ROUND(H144*(1+IF(AND(H$6&gt;0,$B145&lt;H$6),H$4,H$5)/12),2))</f>
        <v/>
      </c>
      <c r="AN145">
        <f>IF(I144&lt;=0,0,ROUND(I144*(1+IF(AND(I$6&gt;0,$B145&lt;I$6),I$4,I$5)/12),2))</f>
        <v/>
      </c>
      <c r="AO145">
        <f>IF(J144&lt;=0,0,ROUND(J144*(1+IF(AND(J$6&gt;0,$B145&lt;J$6),J$4,J$5)/12),2))</f>
        <v/>
      </c>
      <c r="AP145">
        <f>IF(K144&lt;=0,0,ROUND(K144*(1+IF(AND(K$6&gt;0,$B145&lt;K$6),K$4,K$5)/12),2))</f>
        <v/>
      </c>
      <c r="AQ145">
        <f>IF(L144&lt;=0,0,ROUND(L144*(1+IF(AND(L$6&gt;0,$B145&lt;L$6),L$4,L$5)/12),2))</f>
        <v/>
      </c>
      <c r="AR145">
        <f>IF(M144&lt;=0,0,ROUND(M144*(1+IF(AND(M$6&gt;0,$B145&lt;M$6),M$4,M$5)/12),2))</f>
        <v/>
      </c>
      <c r="AS145">
        <f>IF(N144&lt;=0,0,ROUND(N144*(1+IF(AND(N$6&gt;0,$B145&lt;N$6),N$4,N$5)/12),2))</f>
        <v/>
      </c>
    </row>
    <row r="146">
      <c r="A146" t="n">
        <v>135</v>
      </c>
      <c r="B146">
        <f>EDATE(Plan!$C$6,134)</f>
        <v/>
      </c>
      <c r="C146">
        <f>IF(C145&lt;=0,0,MAX(0,AH146-O146))</f>
        <v/>
      </c>
      <c r="D146">
        <f>IF(D145&lt;=0,0,MAX(0,AI146-P146))</f>
        <v/>
      </c>
      <c r="E146">
        <f>IF(E145&lt;=0,0,MAX(0,AJ146-Q146))</f>
        <v/>
      </c>
      <c r="F146">
        <f>IF(F145&lt;=0,0,MAX(0,AK146-R146))</f>
        <v/>
      </c>
      <c r="G146">
        <f>IF(G145&lt;=0,0,MAX(0,AL146-S146))</f>
        <v/>
      </c>
      <c r="H146">
        <f>IF(H145&lt;=0,0,MAX(0,AM146-T146))</f>
        <v/>
      </c>
      <c r="I146">
        <f>IF(I145&lt;=0,0,MAX(0,AN146-U146))</f>
        <v/>
      </c>
      <c r="J146">
        <f>IF(J145&lt;=0,0,MAX(0,AO146-V146))</f>
        <v/>
      </c>
      <c r="K146">
        <f>IF(K145&lt;=0,0,MAX(0,AP146-W146))</f>
        <v/>
      </c>
      <c r="L146">
        <f>IF(L145&lt;=0,0,MAX(0,AQ146-X146))</f>
        <v/>
      </c>
      <c r="M146">
        <f>IF(M145&lt;=0,0,MAX(0,AR146-Y146))</f>
        <v/>
      </c>
      <c r="N146">
        <f>IF(N145&lt;=0,0,MAX(0,AS146-Z146))</f>
        <v/>
      </c>
      <c r="O146">
        <f>IF(C145&lt;=0,0,MIN(AH146,C$7+IF(C$2=$AA146,$AC146,IF(C$2=$AF146,$AG146,0))))</f>
        <v/>
      </c>
      <c r="P146">
        <f>IF(D145&lt;=0,0,MIN(AI146,D$7+IF(D$2=$AA146,$AC146,IF(D$2=$AF146,$AG146,0))))</f>
        <v/>
      </c>
      <c r="Q146">
        <f>IF(E145&lt;=0,0,MIN(AJ146,E$7+IF(E$2=$AA146,$AC146,IF(E$2=$AF146,$AG146,0))))</f>
        <v/>
      </c>
      <c r="R146">
        <f>IF(F145&lt;=0,0,MIN(AK146,F$7+IF(F$2=$AA146,$AC146,IF(F$2=$AF146,$AG146,0))))</f>
        <v/>
      </c>
      <c r="S146">
        <f>IF(G145&lt;=0,0,MIN(AL146,G$7+IF(G$2=$AA146,$AC146,IF(G$2=$AF146,$AG146,0))))</f>
        <v/>
      </c>
      <c r="T146">
        <f>IF(H145&lt;=0,0,MIN(AM146,H$7+IF(H$2=$AA146,$AC146,IF(H$2=$AF146,$AG146,0))))</f>
        <v/>
      </c>
      <c r="U146">
        <f>IF(I145&lt;=0,0,MIN(AN146,I$7+IF(I$2=$AA146,$AC146,IF(I$2=$AF146,$AG146,0))))</f>
        <v/>
      </c>
      <c r="V146">
        <f>IF(J145&lt;=0,0,MIN(AO146,J$7+IF(J$2=$AA146,$AC146,IF(J$2=$AF146,$AG146,0))))</f>
        <v/>
      </c>
      <c r="W146">
        <f>IF(K145&lt;=0,0,MIN(AP146,K$7+IF(K$2=$AA146,$AC146,IF(K$2=$AF146,$AG146,0))))</f>
        <v/>
      </c>
      <c r="X146">
        <f>IF(L145&lt;=0,0,MIN(AQ146,L$7+IF(L$2=$AA146,$AC146,IF(L$2=$AF146,$AG146,0))))</f>
        <v/>
      </c>
      <c r="Y146">
        <f>IF(M145&lt;=0,0,MIN(AR146,M$7+IF(M$2=$AA146,$AC146,IF(M$2=$AF146,$AG146,0))))</f>
        <v/>
      </c>
      <c r="Z146">
        <f>IF(N145&lt;=0,0,MIN(AS146,N$7+IF(N$2=$AA146,$AC146,IF(N$2=$AF146,$AG146,0))))</f>
        <v/>
      </c>
      <c r="AA146">
        <f>IFERROR(ROUND(1/SUMPRODUCT(MAX((C145:N145&gt;0)*($C$3:$N$3&lt;=B146)/$C$2:$N$2)),0),0)</f>
        <v/>
      </c>
      <c r="AB146">
        <f>SUMPRODUCT((C145:N145&gt;0)*$C$7:$N$7)</f>
        <v/>
      </c>
      <c r="AC146">
        <f>MAX(0,Plan!$C$5-AB146)+IF(A146=Plan!$C$8,N(Plan!$C$7),0)</f>
        <v/>
      </c>
      <c r="AD146">
        <f>SUM(C146:N146)</f>
        <v/>
      </c>
      <c r="AE146">
        <f>SUM(O146:Z146)</f>
        <v/>
      </c>
      <c r="AF146">
        <f>IFERROR(ROUND(1/SUMPRODUCT(MAX((C145:N145&gt;0)*($C$3:$N$3&lt;=B146)*($C$2:$N$2&gt;AA146)/$C$2:$N$2)),0),0)</f>
        <v/>
      </c>
      <c r="AG146">
        <f>MAX(0,AC146-MAX(0,SUMPRODUCT(($C$2:$N$2=AA146)*(AH146:AS146-$C$7:$N$7))))</f>
        <v/>
      </c>
      <c r="AH146">
        <f>IF(C145&lt;=0,0,ROUND(C145*(1+IF(AND(C$6&gt;0,$B146&lt;C$6),C$4,C$5)/12),2))</f>
        <v/>
      </c>
      <c r="AI146">
        <f>IF(D145&lt;=0,0,ROUND(D145*(1+IF(AND(D$6&gt;0,$B146&lt;D$6),D$4,D$5)/12),2))</f>
        <v/>
      </c>
      <c r="AJ146">
        <f>IF(E145&lt;=0,0,ROUND(E145*(1+IF(AND(E$6&gt;0,$B146&lt;E$6),E$4,E$5)/12),2))</f>
        <v/>
      </c>
      <c r="AK146">
        <f>IF(F145&lt;=0,0,ROUND(F145*(1+IF(AND(F$6&gt;0,$B146&lt;F$6),F$4,F$5)/12),2))</f>
        <v/>
      </c>
      <c r="AL146">
        <f>IF(G145&lt;=0,0,ROUND(G145*(1+IF(AND(G$6&gt;0,$B146&lt;G$6),G$4,G$5)/12),2))</f>
        <v/>
      </c>
      <c r="AM146">
        <f>IF(H145&lt;=0,0,ROUND(H145*(1+IF(AND(H$6&gt;0,$B146&lt;H$6),H$4,H$5)/12),2))</f>
        <v/>
      </c>
      <c r="AN146">
        <f>IF(I145&lt;=0,0,ROUND(I145*(1+IF(AND(I$6&gt;0,$B146&lt;I$6),I$4,I$5)/12),2))</f>
        <v/>
      </c>
      <c r="AO146">
        <f>IF(J145&lt;=0,0,ROUND(J145*(1+IF(AND(J$6&gt;0,$B146&lt;J$6),J$4,J$5)/12),2))</f>
        <v/>
      </c>
      <c r="AP146">
        <f>IF(K145&lt;=0,0,ROUND(K145*(1+IF(AND(K$6&gt;0,$B146&lt;K$6),K$4,K$5)/12),2))</f>
        <v/>
      </c>
      <c r="AQ146">
        <f>IF(L145&lt;=0,0,ROUND(L145*(1+IF(AND(L$6&gt;0,$B146&lt;L$6),L$4,L$5)/12),2))</f>
        <v/>
      </c>
      <c r="AR146">
        <f>IF(M145&lt;=0,0,ROUND(M145*(1+IF(AND(M$6&gt;0,$B146&lt;M$6),M$4,M$5)/12),2))</f>
        <v/>
      </c>
      <c r="AS146">
        <f>IF(N145&lt;=0,0,ROUND(N145*(1+IF(AND(N$6&gt;0,$B146&lt;N$6),N$4,N$5)/12),2))</f>
        <v/>
      </c>
    </row>
    <row r="147">
      <c r="A147" t="n">
        <v>136</v>
      </c>
      <c r="B147">
        <f>EDATE(Plan!$C$6,135)</f>
        <v/>
      </c>
      <c r="C147">
        <f>IF(C146&lt;=0,0,MAX(0,AH147-O147))</f>
        <v/>
      </c>
      <c r="D147">
        <f>IF(D146&lt;=0,0,MAX(0,AI147-P147))</f>
        <v/>
      </c>
      <c r="E147">
        <f>IF(E146&lt;=0,0,MAX(0,AJ147-Q147))</f>
        <v/>
      </c>
      <c r="F147">
        <f>IF(F146&lt;=0,0,MAX(0,AK147-R147))</f>
        <v/>
      </c>
      <c r="G147">
        <f>IF(G146&lt;=0,0,MAX(0,AL147-S147))</f>
        <v/>
      </c>
      <c r="H147">
        <f>IF(H146&lt;=0,0,MAX(0,AM147-T147))</f>
        <v/>
      </c>
      <c r="I147">
        <f>IF(I146&lt;=0,0,MAX(0,AN147-U147))</f>
        <v/>
      </c>
      <c r="J147">
        <f>IF(J146&lt;=0,0,MAX(0,AO147-V147))</f>
        <v/>
      </c>
      <c r="K147">
        <f>IF(K146&lt;=0,0,MAX(0,AP147-W147))</f>
        <v/>
      </c>
      <c r="L147">
        <f>IF(L146&lt;=0,0,MAX(0,AQ147-X147))</f>
        <v/>
      </c>
      <c r="M147">
        <f>IF(M146&lt;=0,0,MAX(0,AR147-Y147))</f>
        <v/>
      </c>
      <c r="N147">
        <f>IF(N146&lt;=0,0,MAX(0,AS147-Z147))</f>
        <v/>
      </c>
      <c r="O147">
        <f>IF(C146&lt;=0,0,MIN(AH147,C$7+IF(C$2=$AA147,$AC147,IF(C$2=$AF147,$AG147,0))))</f>
        <v/>
      </c>
      <c r="P147">
        <f>IF(D146&lt;=0,0,MIN(AI147,D$7+IF(D$2=$AA147,$AC147,IF(D$2=$AF147,$AG147,0))))</f>
        <v/>
      </c>
      <c r="Q147">
        <f>IF(E146&lt;=0,0,MIN(AJ147,E$7+IF(E$2=$AA147,$AC147,IF(E$2=$AF147,$AG147,0))))</f>
        <v/>
      </c>
      <c r="R147">
        <f>IF(F146&lt;=0,0,MIN(AK147,F$7+IF(F$2=$AA147,$AC147,IF(F$2=$AF147,$AG147,0))))</f>
        <v/>
      </c>
      <c r="S147">
        <f>IF(G146&lt;=0,0,MIN(AL147,G$7+IF(G$2=$AA147,$AC147,IF(G$2=$AF147,$AG147,0))))</f>
        <v/>
      </c>
      <c r="T147">
        <f>IF(H146&lt;=0,0,MIN(AM147,H$7+IF(H$2=$AA147,$AC147,IF(H$2=$AF147,$AG147,0))))</f>
        <v/>
      </c>
      <c r="U147">
        <f>IF(I146&lt;=0,0,MIN(AN147,I$7+IF(I$2=$AA147,$AC147,IF(I$2=$AF147,$AG147,0))))</f>
        <v/>
      </c>
      <c r="V147">
        <f>IF(J146&lt;=0,0,MIN(AO147,J$7+IF(J$2=$AA147,$AC147,IF(J$2=$AF147,$AG147,0))))</f>
        <v/>
      </c>
      <c r="W147">
        <f>IF(K146&lt;=0,0,MIN(AP147,K$7+IF(K$2=$AA147,$AC147,IF(K$2=$AF147,$AG147,0))))</f>
        <v/>
      </c>
      <c r="X147">
        <f>IF(L146&lt;=0,0,MIN(AQ147,L$7+IF(L$2=$AA147,$AC147,IF(L$2=$AF147,$AG147,0))))</f>
        <v/>
      </c>
      <c r="Y147">
        <f>IF(M146&lt;=0,0,MIN(AR147,M$7+IF(M$2=$AA147,$AC147,IF(M$2=$AF147,$AG147,0))))</f>
        <v/>
      </c>
      <c r="Z147">
        <f>IF(N146&lt;=0,0,MIN(AS147,N$7+IF(N$2=$AA147,$AC147,IF(N$2=$AF147,$AG147,0))))</f>
        <v/>
      </c>
      <c r="AA147">
        <f>IFERROR(ROUND(1/SUMPRODUCT(MAX((C146:N146&gt;0)*($C$3:$N$3&lt;=B147)/$C$2:$N$2)),0),0)</f>
        <v/>
      </c>
      <c r="AB147">
        <f>SUMPRODUCT((C146:N146&gt;0)*$C$7:$N$7)</f>
        <v/>
      </c>
      <c r="AC147">
        <f>MAX(0,Plan!$C$5-AB147)+IF(A147=Plan!$C$8,N(Plan!$C$7),0)</f>
        <v/>
      </c>
      <c r="AD147">
        <f>SUM(C147:N147)</f>
        <v/>
      </c>
      <c r="AE147">
        <f>SUM(O147:Z147)</f>
        <v/>
      </c>
      <c r="AF147">
        <f>IFERROR(ROUND(1/SUMPRODUCT(MAX((C146:N146&gt;0)*($C$3:$N$3&lt;=B147)*($C$2:$N$2&gt;AA147)/$C$2:$N$2)),0),0)</f>
        <v/>
      </c>
      <c r="AG147">
        <f>MAX(0,AC147-MAX(0,SUMPRODUCT(($C$2:$N$2=AA147)*(AH147:AS147-$C$7:$N$7))))</f>
        <v/>
      </c>
      <c r="AH147">
        <f>IF(C146&lt;=0,0,ROUND(C146*(1+IF(AND(C$6&gt;0,$B147&lt;C$6),C$4,C$5)/12),2))</f>
        <v/>
      </c>
      <c r="AI147">
        <f>IF(D146&lt;=0,0,ROUND(D146*(1+IF(AND(D$6&gt;0,$B147&lt;D$6),D$4,D$5)/12),2))</f>
        <v/>
      </c>
      <c r="AJ147">
        <f>IF(E146&lt;=0,0,ROUND(E146*(1+IF(AND(E$6&gt;0,$B147&lt;E$6),E$4,E$5)/12),2))</f>
        <v/>
      </c>
      <c r="AK147">
        <f>IF(F146&lt;=0,0,ROUND(F146*(1+IF(AND(F$6&gt;0,$B147&lt;F$6),F$4,F$5)/12),2))</f>
        <v/>
      </c>
      <c r="AL147">
        <f>IF(G146&lt;=0,0,ROUND(G146*(1+IF(AND(G$6&gt;0,$B147&lt;G$6),G$4,G$5)/12),2))</f>
        <v/>
      </c>
      <c r="AM147">
        <f>IF(H146&lt;=0,0,ROUND(H146*(1+IF(AND(H$6&gt;0,$B147&lt;H$6),H$4,H$5)/12),2))</f>
        <v/>
      </c>
      <c r="AN147">
        <f>IF(I146&lt;=0,0,ROUND(I146*(1+IF(AND(I$6&gt;0,$B147&lt;I$6),I$4,I$5)/12),2))</f>
        <v/>
      </c>
      <c r="AO147">
        <f>IF(J146&lt;=0,0,ROUND(J146*(1+IF(AND(J$6&gt;0,$B147&lt;J$6),J$4,J$5)/12),2))</f>
        <v/>
      </c>
      <c r="AP147">
        <f>IF(K146&lt;=0,0,ROUND(K146*(1+IF(AND(K$6&gt;0,$B147&lt;K$6),K$4,K$5)/12),2))</f>
        <v/>
      </c>
      <c r="AQ147">
        <f>IF(L146&lt;=0,0,ROUND(L146*(1+IF(AND(L$6&gt;0,$B147&lt;L$6),L$4,L$5)/12),2))</f>
        <v/>
      </c>
      <c r="AR147">
        <f>IF(M146&lt;=0,0,ROUND(M146*(1+IF(AND(M$6&gt;0,$B147&lt;M$6),M$4,M$5)/12),2))</f>
        <v/>
      </c>
      <c r="AS147">
        <f>IF(N146&lt;=0,0,ROUND(N146*(1+IF(AND(N$6&gt;0,$B147&lt;N$6),N$4,N$5)/12),2))</f>
        <v/>
      </c>
    </row>
    <row r="148">
      <c r="A148" t="n">
        <v>137</v>
      </c>
      <c r="B148">
        <f>EDATE(Plan!$C$6,136)</f>
        <v/>
      </c>
      <c r="C148">
        <f>IF(C147&lt;=0,0,MAX(0,AH148-O148))</f>
        <v/>
      </c>
      <c r="D148">
        <f>IF(D147&lt;=0,0,MAX(0,AI148-P148))</f>
        <v/>
      </c>
      <c r="E148">
        <f>IF(E147&lt;=0,0,MAX(0,AJ148-Q148))</f>
        <v/>
      </c>
      <c r="F148">
        <f>IF(F147&lt;=0,0,MAX(0,AK148-R148))</f>
        <v/>
      </c>
      <c r="G148">
        <f>IF(G147&lt;=0,0,MAX(0,AL148-S148))</f>
        <v/>
      </c>
      <c r="H148">
        <f>IF(H147&lt;=0,0,MAX(0,AM148-T148))</f>
        <v/>
      </c>
      <c r="I148">
        <f>IF(I147&lt;=0,0,MAX(0,AN148-U148))</f>
        <v/>
      </c>
      <c r="J148">
        <f>IF(J147&lt;=0,0,MAX(0,AO148-V148))</f>
        <v/>
      </c>
      <c r="K148">
        <f>IF(K147&lt;=0,0,MAX(0,AP148-W148))</f>
        <v/>
      </c>
      <c r="L148">
        <f>IF(L147&lt;=0,0,MAX(0,AQ148-X148))</f>
        <v/>
      </c>
      <c r="M148">
        <f>IF(M147&lt;=0,0,MAX(0,AR148-Y148))</f>
        <v/>
      </c>
      <c r="N148">
        <f>IF(N147&lt;=0,0,MAX(0,AS148-Z148))</f>
        <v/>
      </c>
      <c r="O148">
        <f>IF(C147&lt;=0,0,MIN(AH148,C$7+IF(C$2=$AA148,$AC148,IF(C$2=$AF148,$AG148,0))))</f>
        <v/>
      </c>
      <c r="P148">
        <f>IF(D147&lt;=0,0,MIN(AI148,D$7+IF(D$2=$AA148,$AC148,IF(D$2=$AF148,$AG148,0))))</f>
        <v/>
      </c>
      <c r="Q148">
        <f>IF(E147&lt;=0,0,MIN(AJ148,E$7+IF(E$2=$AA148,$AC148,IF(E$2=$AF148,$AG148,0))))</f>
        <v/>
      </c>
      <c r="R148">
        <f>IF(F147&lt;=0,0,MIN(AK148,F$7+IF(F$2=$AA148,$AC148,IF(F$2=$AF148,$AG148,0))))</f>
        <v/>
      </c>
      <c r="S148">
        <f>IF(G147&lt;=0,0,MIN(AL148,G$7+IF(G$2=$AA148,$AC148,IF(G$2=$AF148,$AG148,0))))</f>
        <v/>
      </c>
      <c r="T148">
        <f>IF(H147&lt;=0,0,MIN(AM148,H$7+IF(H$2=$AA148,$AC148,IF(H$2=$AF148,$AG148,0))))</f>
        <v/>
      </c>
      <c r="U148">
        <f>IF(I147&lt;=0,0,MIN(AN148,I$7+IF(I$2=$AA148,$AC148,IF(I$2=$AF148,$AG148,0))))</f>
        <v/>
      </c>
      <c r="V148">
        <f>IF(J147&lt;=0,0,MIN(AO148,J$7+IF(J$2=$AA148,$AC148,IF(J$2=$AF148,$AG148,0))))</f>
        <v/>
      </c>
      <c r="W148">
        <f>IF(K147&lt;=0,0,MIN(AP148,K$7+IF(K$2=$AA148,$AC148,IF(K$2=$AF148,$AG148,0))))</f>
        <v/>
      </c>
      <c r="X148">
        <f>IF(L147&lt;=0,0,MIN(AQ148,L$7+IF(L$2=$AA148,$AC148,IF(L$2=$AF148,$AG148,0))))</f>
        <v/>
      </c>
      <c r="Y148">
        <f>IF(M147&lt;=0,0,MIN(AR148,M$7+IF(M$2=$AA148,$AC148,IF(M$2=$AF148,$AG148,0))))</f>
        <v/>
      </c>
      <c r="Z148">
        <f>IF(N147&lt;=0,0,MIN(AS148,N$7+IF(N$2=$AA148,$AC148,IF(N$2=$AF148,$AG148,0))))</f>
        <v/>
      </c>
      <c r="AA148">
        <f>IFERROR(ROUND(1/SUMPRODUCT(MAX((C147:N147&gt;0)*($C$3:$N$3&lt;=B148)/$C$2:$N$2)),0),0)</f>
        <v/>
      </c>
      <c r="AB148">
        <f>SUMPRODUCT((C147:N147&gt;0)*$C$7:$N$7)</f>
        <v/>
      </c>
      <c r="AC148">
        <f>MAX(0,Plan!$C$5-AB148)+IF(A148=Plan!$C$8,N(Plan!$C$7),0)</f>
        <v/>
      </c>
      <c r="AD148">
        <f>SUM(C148:N148)</f>
        <v/>
      </c>
      <c r="AE148">
        <f>SUM(O148:Z148)</f>
        <v/>
      </c>
      <c r="AF148">
        <f>IFERROR(ROUND(1/SUMPRODUCT(MAX((C147:N147&gt;0)*($C$3:$N$3&lt;=B148)*($C$2:$N$2&gt;AA148)/$C$2:$N$2)),0),0)</f>
        <v/>
      </c>
      <c r="AG148">
        <f>MAX(0,AC148-MAX(0,SUMPRODUCT(($C$2:$N$2=AA148)*(AH148:AS148-$C$7:$N$7))))</f>
        <v/>
      </c>
      <c r="AH148">
        <f>IF(C147&lt;=0,0,ROUND(C147*(1+IF(AND(C$6&gt;0,$B148&lt;C$6),C$4,C$5)/12),2))</f>
        <v/>
      </c>
      <c r="AI148">
        <f>IF(D147&lt;=0,0,ROUND(D147*(1+IF(AND(D$6&gt;0,$B148&lt;D$6),D$4,D$5)/12),2))</f>
        <v/>
      </c>
      <c r="AJ148">
        <f>IF(E147&lt;=0,0,ROUND(E147*(1+IF(AND(E$6&gt;0,$B148&lt;E$6),E$4,E$5)/12),2))</f>
        <v/>
      </c>
      <c r="AK148">
        <f>IF(F147&lt;=0,0,ROUND(F147*(1+IF(AND(F$6&gt;0,$B148&lt;F$6),F$4,F$5)/12),2))</f>
        <v/>
      </c>
      <c r="AL148">
        <f>IF(G147&lt;=0,0,ROUND(G147*(1+IF(AND(G$6&gt;0,$B148&lt;G$6),G$4,G$5)/12),2))</f>
        <v/>
      </c>
      <c r="AM148">
        <f>IF(H147&lt;=0,0,ROUND(H147*(1+IF(AND(H$6&gt;0,$B148&lt;H$6),H$4,H$5)/12),2))</f>
        <v/>
      </c>
      <c r="AN148">
        <f>IF(I147&lt;=0,0,ROUND(I147*(1+IF(AND(I$6&gt;0,$B148&lt;I$6),I$4,I$5)/12),2))</f>
        <v/>
      </c>
      <c r="AO148">
        <f>IF(J147&lt;=0,0,ROUND(J147*(1+IF(AND(J$6&gt;0,$B148&lt;J$6),J$4,J$5)/12),2))</f>
        <v/>
      </c>
      <c r="AP148">
        <f>IF(K147&lt;=0,0,ROUND(K147*(1+IF(AND(K$6&gt;0,$B148&lt;K$6),K$4,K$5)/12),2))</f>
        <v/>
      </c>
      <c r="AQ148">
        <f>IF(L147&lt;=0,0,ROUND(L147*(1+IF(AND(L$6&gt;0,$B148&lt;L$6),L$4,L$5)/12),2))</f>
        <v/>
      </c>
      <c r="AR148">
        <f>IF(M147&lt;=0,0,ROUND(M147*(1+IF(AND(M$6&gt;0,$B148&lt;M$6),M$4,M$5)/12),2))</f>
        <v/>
      </c>
      <c r="AS148">
        <f>IF(N147&lt;=0,0,ROUND(N147*(1+IF(AND(N$6&gt;0,$B148&lt;N$6),N$4,N$5)/12),2))</f>
        <v/>
      </c>
    </row>
    <row r="149">
      <c r="A149" t="n">
        <v>138</v>
      </c>
      <c r="B149">
        <f>EDATE(Plan!$C$6,137)</f>
        <v/>
      </c>
      <c r="C149">
        <f>IF(C148&lt;=0,0,MAX(0,AH149-O149))</f>
        <v/>
      </c>
      <c r="D149">
        <f>IF(D148&lt;=0,0,MAX(0,AI149-P149))</f>
        <v/>
      </c>
      <c r="E149">
        <f>IF(E148&lt;=0,0,MAX(0,AJ149-Q149))</f>
        <v/>
      </c>
      <c r="F149">
        <f>IF(F148&lt;=0,0,MAX(0,AK149-R149))</f>
        <v/>
      </c>
      <c r="G149">
        <f>IF(G148&lt;=0,0,MAX(0,AL149-S149))</f>
        <v/>
      </c>
      <c r="H149">
        <f>IF(H148&lt;=0,0,MAX(0,AM149-T149))</f>
        <v/>
      </c>
      <c r="I149">
        <f>IF(I148&lt;=0,0,MAX(0,AN149-U149))</f>
        <v/>
      </c>
      <c r="J149">
        <f>IF(J148&lt;=0,0,MAX(0,AO149-V149))</f>
        <v/>
      </c>
      <c r="K149">
        <f>IF(K148&lt;=0,0,MAX(0,AP149-W149))</f>
        <v/>
      </c>
      <c r="L149">
        <f>IF(L148&lt;=0,0,MAX(0,AQ149-X149))</f>
        <v/>
      </c>
      <c r="M149">
        <f>IF(M148&lt;=0,0,MAX(0,AR149-Y149))</f>
        <v/>
      </c>
      <c r="N149">
        <f>IF(N148&lt;=0,0,MAX(0,AS149-Z149))</f>
        <v/>
      </c>
      <c r="O149">
        <f>IF(C148&lt;=0,0,MIN(AH149,C$7+IF(C$2=$AA149,$AC149,IF(C$2=$AF149,$AG149,0))))</f>
        <v/>
      </c>
      <c r="P149">
        <f>IF(D148&lt;=0,0,MIN(AI149,D$7+IF(D$2=$AA149,$AC149,IF(D$2=$AF149,$AG149,0))))</f>
        <v/>
      </c>
      <c r="Q149">
        <f>IF(E148&lt;=0,0,MIN(AJ149,E$7+IF(E$2=$AA149,$AC149,IF(E$2=$AF149,$AG149,0))))</f>
        <v/>
      </c>
      <c r="R149">
        <f>IF(F148&lt;=0,0,MIN(AK149,F$7+IF(F$2=$AA149,$AC149,IF(F$2=$AF149,$AG149,0))))</f>
        <v/>
      </c>
      <c r="S149">
        <f>IF(G148&lt;=0,0,MIN(AL149,G$7+IF(G$2=$AA149,$AC149,IF(G$2=$AF149,$AG149,0))))</f>
        <v/>
      </c>
      <c r="T149">
        <f>IF(H148&lt;=0,0,MIN(AM149,H$7+IF(H$2=$AA149,$AC149,IF(H$2=$AF149,$AG149,0))))</f>
        <v/>
      </c>
      <c r="U149">
        <f>IF(I148&lt;=0,0,MIN(AN149,I$7+IF(I$2=$AA149,$AC149,IF(I$2=$AF149,$AG149,0))))</f>
        <v/>
      </c>
      <c r="V149">
        <f>IF(J148&lt;=0,0,MIN(AO149,J$7+IF(J$2=$AA149,$AC149,IF(J$2=$AF149,$AG149,0))))</f>
        <v/>
      </c>
      <c r="W149">
        <f>IF(K148&lt;=0,0,MIN(AP149,K$7+IF(K$2=$AA149,$AC149,IF(K$2=$AF149,$AG149,0))))</f>
        <v/>
      </c>
      <c r="X149">
        <f>IF(L148&lt;=0,0,MIN(AQ149,L$7+IF(L$2=$AA149,$AC149,IF(L$2=$AF149,$AG149,0))))</f>
        <v/>
      </c>
      <c r="Y149">
        <f>IF(M148&lt;=0,0,MIN(AR149,M$7+IF(M$2=$AA149,$AC149,IF(M$2=$AF149,$AG149,0))))</f>
        <v/>
      </c>
      <c r="Z149">
        <f>IF(N148&lt;=0,0,MIN(AS149,N$7+IF(N$2=$AA149,$AC149,IF(N$2=$AF149,$AG149,0))))</f>
        <v/>
      </c>
      <c r="AA149">
        <f>IFERROR(ROUND(1/SUMPRODUCT(MAX((C148:N148&gt;0)*($C$3:$N$3&lt;=B149)/$C$2:$N$2)),0),0)</f>
        <v/>
      </c>
      <c r="AB149">
        <f>SUMPRODUCT((C148:N148&gt;0)*$C$7:$N$7)</f>
        <v/>
      </c>
      <c r="AC149">
        <f>MAX(0,Plan!$C$5-AB149)+IF(A149=Plan!$C$8,N(Plan!$C$7),0)</f>
        <v/>
      </c>
      <c r="AD149">
        <f>SUM(C149:N149)</f>
        <v/>
      </c>
      <c r="AE149">
        <f>SUM(O149:Z149)</f>
        <v/>
      </c>
      <c r="AF149">
        <f>IFERROR(ROUND(1/SUMPRODUCT(MAX((C148:N148&gt;0)*($C$3:$N$3&lt;=B149)*($C$2:$N$2&gt;AA149)/$C$2:$N$2)),0),0)</f>
        <v/>
      </c>
      <c r="AG149">
        <f>MAX(0,AC149-MAX(0,SUMPRODUCT(($C$2:$N$2=AA149)*(AH149:AS149-$C$7:$N$7))))</f>
        <v/>
      </c>
      <c r="AH149">
        <f>IF(C148&lt;=0,0,ROUND(C148*(1+IF(AND(C$6&gt;0,$B149&lt;C$6),C$4,C$5)/12),2))</f>
        <v/>
      </c>
      <c r="AI149">
        <f>IF(D148&lt;=0,0,ROUND(D148*(1+IF(AND(D$6&gt;0,$B149&lt;D$6),D$4,D$5)/12),2))</f>
        <v/>
      </c>
      <c r="AJ149">
        <f>IF(E148&lt;=0,0,ROUND(E148*(1+IF(AND(E$6&gt;0,$B149&lt;E$6),E$4,E$5)/12),2))</f>
        <v/>
      </c>
      <c r="AK149">
        <f>IF(F148&lt;=0,0,ROUND(F148*(1+IF(AND(F$6&gt;0,$B149&lt;F$6),F$4,F$5)/12),2))</f>
        <v/>
      </c>
      <c r="AL149">
        <f>IF(G148&lt;=0,0,ROUND(G148*(1+IF(AND(G$6&gt;0,$B149&lt;G$6),G$4,G$5)/12),2))</f>
        <v/>
      </c>
      <c r="AM149">
        <f>IF(H148&lt;=0,0,ROUND(H148*(1+IF(AND(H$6&gt;0,$B149&lt;H$6),H$4,H$5)/12),2))</f>
        <v/>
      </c>
      <c r="AN149">
        <f>IF(I148&lt;=0,0,ROUND(I148*(1+IF(AND(I$6&gt;0,$B149&lt;I$6),I$4,I$5)/12),2))</f>
        <v/>
      </c>
      <c r="AO149">
        <f>IF(J148&lt;=0,0,ROUND(J148*(1+IF(AND(J$6&gt;0,$B149&lt;J$6),J$4,J$5)/12),2))</f>
        <v/>
      </c>
      <c r="AP149">
        <f>IF(K148&lt;=0,0,ROUND(K148*(1+IF(AND(K$6&gt;0,$B149&lt;K$6),K$4,K$5)/12),2))</f>
        <v/>
      </c>
      <c r="AQ149">
        <f>IF(L148&lt;=0,0,ROUND(L148*(1+IF(AND(L$6&gt;0,$B149&lt;L$6),L$4,L$5)/12),2))</f>
        <v/>
      </c>
      <c r="AR149">
        <f>IF(M148&lt;=0,0,ROUND(M148*(1+IF(AND(M$6&gt;0,$B149&lt;M$6),M$4,M$5)/12),2))</f>
        <v/>
      </c>
      <c r="AS149">
        <f>IF(N148&lt;=0,0,ROUND(N148*(1+IF(AND(N$6&gt;0,$B149&lt;N$6),N$4,N$5)/12),2))</f>
        <v/>
      </c>
    </row>
    <row r="150">
      <c r="A150" t="n">
        <v>139</v>
      </c>
      <c r="B150">
        <f>EDATE(Plan!$C$6,138)</f>
        <v/>
      </c>
      <c r="C150">
        <f>IF(C149&lt;=0,0,MAX(0,AH150-O150))</f>
        <v/>
      </c>
      <c r="D150">
        <f>IF(D149&lt;=0,0,MAX(0,AI150-P150))</f>
        <v/>
      </c>
      <c r="E150">
        <f>IF(E149&lt;=0,0,MAX(0,AJ150-Q150))</f>
        <v/>
      </c>
      <c r="F150">
        <f>IF(F149&lt;=0,0,MAX(0,AK150-R150))</f>
        <v/>
      </c>
      <c r="G150">
        <f>IF(G149&lt;=0,0,MAX(0,AL150-S150))</f>
        <v/>
      </c>
      <c r="H150">
        <f>IF(H149&lt;=0,0,MAX(0,AM150-T150))</f>
        <v/>
      </c>
      <c r="I150">
        <f>IF(I149&lt;=0,0,MAX(0,AN150-U150))</f>
        <v/>
      </c>
      <c r="J150">
        <f>IF(J149&lt;=0,0,MAX(0,AO150-V150))</f>
        <v/>
      </c>
      <c r="K150">
        <f>IF(K149&lt;=0,0,MAX(0,AP150-W150))</f>
        <v/>
      </c>
      <c r="L150">
        <f>IF(L149&lt;=0,0,MAX(0,AQ150-X150))</f>
        <v/>
      </c>
      <c r="M150">
        <f>IF(M149&lt;=0,0,MAX(0,AR150-Y150))</f>
        <v/>
      </c>
      <c r="N150">
        <f>IF(N149&lt;=0,0,MAX(0,AS150-Z150))</f>
        <v/>
      </c>
      <c r="O150">
        <f>IF(C149&lt;=0,0,MIN(AH150,C$7+IF(C$2=$AA150,$AC150,IF(C$2=$AF150,$AG150,0))))</f>
        <v/>
      </c>
      <c r="P150">
        <f>IF(D149&lt;=0,0,MIN(AI150,D$7+IF(D$2=$AA150,$AC150,IF(D$2=$AF150,$AG150,0))))</f>
        <v/>
      </c>
      <c r="Q150">
        <f>IF(E149&lt;=0,0,MIN(AJ150,E$7+IF(E$2=$AA150,$AC150,IF(E$2=$AF150,$AG150,0))))</f>
        <v/>
      </c>
      <c r="R150">
        <f>IF(F149&lt;=0,0,MIN(AK150,F$7+IF(F$2=$AA150,$AC150,IF(F$2=$AF150,$AG150,0))))</f>
        <v/>
      </c>
      <c r="S150">
        <f>IF(G149&lt;=0,0,MIN(AL150,G$7+IF(G$2=$AA150,$AC150,IF(G$2=$AF150,$AG150,0))))</f>
        <v/>
      </c>
      <c r="T150">
        <f>IF(H149&lt;=0,0,MIN(AM150,H$7+IF(H$2=$AA150,$AC150,IF(H$2=$AF150,$AG150,0))))</f>
        <v/>
      </c>
      <c r="U150">
        <f>IF(I149&lt;=0,0,MIN(AN150,I$7+IF(I$2=$AA150,$AC150,IF(I$2=$AF150,$AG150,0))))</f>
        <v/>
      </c>
      <c r="V150">
        <f>IF(J149&lt;=0,0,MIN(AO150,J$7+IF(J$2=$AA150,$AC150,IF(J$2=$AF150,$AG150,0))))</f>
        <v/>
      </c>
      <c r="W150">
        <f>IF(K149&lt;=0,0,MIN(AP150,K$7+IF(K$2=$AA150,$AC150,IF(K$2=$AF150,$AG150,0))))</f>
        <v/>
      </c>
      <c r="X150">
        <f>IF(L149&lt;=0,0,MIN(AQ150,L$7+IF(L$2=$AA150,$AC150,IF(L$2=$AF150,$AG150,0))))</f>
        <v/>
      </c>
      <c r="Y150">
        <f>IF(M149&lt;=0,0,MIN(AR150,M$7+IF(M$2=$AA150,$AC150,IF(M$2=$AF150,$AG150,0))))</f>
        <v/>
      </c>
      <c r="Z150">
        <f>IF(N149&lt;=0,0,MIN(AS150,N$7+IF(N$2=$AA150,$AC150,IF(N$2=$AF150,$AG150,0))))</f>
        <v/>
      </c>
      <c r="AA150">
        <f>IFERROR(ROUND(1/SUMPRODUCT(MAX((C149:N149&gt;0)*($C$3:$N$3&lt;=B150)/$C$2:$N$2)),0),0)</f>
        <v/>
      </c>
      <c r="AB150">
        <f>SUMPRODUCT((C149:N149&gt;0)*$C$7:$N$7)</f>
        <v/>
      </c>
      <c r="AC150">
        <f>MAX(0,Plan!$C$5-AB150)+IF(A150=Plan!$C$8,N(Plan!$C$7),0)</f>
        <v/>
      </c>
      <c r="AD150">
        <f>SUM(C150:N150)</f>
        <v/>
      </c>
      <c r="AE150">
        <f>SUM(O150:Z150)</f>
        <v/>
      </c>
      <c r="AF150">
        <f>IFERROR(ROUND(1/SUMPRODUCT(MAX((C149:N149&gt;0)*($C$3:$N$3&lt;=B150)*($C$2:$N$2&gt;AA150)/$C$2:$N$2)),0),0)</f>
        <v/>
      </c>
      <c r="AG150">
        <f>MAX(0,AC150-MAX(0,SUMPRODUCT(($C$2:$N$2=AA150)*(AH150:AS150-$C$7:$N$7))))</f>
        <v/>
      </c>
      <c r="AH150">
        <f>IF(C149&lt;=0,0,ROUND(C149*(1+IF(AND(C$6&gt;0,$B150&lt;C$6),C$4,C$5)/12),2))</f>
        <v/>
      </c>
      <c r="AI150">
        <f>IF(D149&lt;=0,0,ROUND(D149*(1+IF(AND(D$6&gt;0,$B150&lt;D$6),D$4,D$5)/12),2))</f>
        <v/>
      </c>
      <c r="AJ150">
        <f>IF(E149&lt;=0,0,ROUND(E149*(1+IF(AND(E$6&gt;0,$B150&lt;E$6),E$4,E$5)/12),2))</f>
        <v/>
      </c>
      <c r="AK150">
        <f>IF(F149&lt;=0,0,ROUND(F149*(1+IF(AND(F$6&gt;0,$B150&lt;F$6),F$4,F$5)/12),2))</f>
        <v/>
      </c>
      <c r="AL150">
        <f>IF(G149&lt;=0,0,ROUND(G149*(1+IF(AND(G$6&gt;0,$B150&lt;G$6),G$4,G$5)/12),2))</f>
        <v/>
      </c>
      <c r="AM150">
        <f>IF(H149&lt;=0,0,ROUND(H149*(1+IF(AND(H$6&gt;0,$B150&lt;H$6),H$4,H$5)/12),2))</f>
        <v/>
      </c>
      <c r="AN150">
        <f>IF(I149&lt;=0,0,ROUND(I149*(1+IF(AND(I$6&gt;0,$B150&lt;I$6),I$4,I$5)/12),2))</f>
        <v/>
      </c>
      <c r="AO150">
        <f>IF(J149&lt;=0,0,ROUND(J149*(1+IF(AND(J$6&gt;0,$B150&lt;J$6),J$4,J$5)/12),2))</f>
        <v/>
      </c>
      <c r="AP150">
        <f>IF(K149&lt;=0,0,ROUND(K149*(1+IF(AND(K$6&gt;0,$B150&lt;K$6),K$4,K$5)/12),2))</f>
        <v/>
      </c>
      <c r="AQ150">
        <f>IF(L149&lt;=0,0,ROUND(L149*(1+IF(AND(L$6&gt;0,$B150&lt;L$6),L$4,L$5)/12),2))</f>
        <v/>
      </c>
      <c r="AR150">
        <f>IF(M149&lt;=0,0,ROUND(M149*(1+IF(AND(M$6&gt;0,$B150&lt;M$6),M$4,M$5)/12),2))</f>
        <v/>
      </c>
      <c r="AS150">
        <f>IF(N149&lt;=0,0,ROUND(N149*(1+IF(AND(N$6&gt;0,$B150&lt;N$6),N$4,N$5)/12),2))</f>
        <v/>
      </c>
    </row>
    <row r="151">
      <c r="A151" t="n">
        <v>140</v>
      </c>
      <c r="B151">
        <f>EDATE(Plan!$C$6,139)</f>
        <v/>
      </c>
      <c r="C151">
        <f>IF(C150&lt;=0,0,MAX(0,AH151-O151))</f>
        <v/>
      </c>
      <c r="D151">
        <f>IF(D150&lt;=0,0,MAX(0,AI151-P151))</f>
        <v/>
      </c>
      <c r="E151">
        <f>IF(E150&lt;=0,0,MAX(0,AJ151-Q151))</f>
        <v/>
      </c>
      <c r="F151">
        <f>IF(F150&lt;=0,0,MAX(0,AK151-R151))</f>
        <v/>
      </c>
      <c r="G151">
        <f>IF(G150&lt;=0,0,MAX(0,AL151-S151))</f>
        <v/>
      </c>
      <c r="H151">
        <f>IF(H150&lt;=0,0,MAX(0,AM151-T151))</f>
        <v/>
      </c>
      <c r="I151">
        <f>IF(I150&lt;=0,0,MAX(0,AN151-U151))</f>
        <v/>
      </c>
      <c r="J151">
        <f>IF(J150&lt;=0,0,MAX(0,AO151-V151))</f>
        <v/>
      </c>
      <c r="K151">
        <f>IF(K150&lt;=0,0,MAX(0,AP151-W151))</f>
        <v/>
      </c>
      <c r="L151">
        <f>IF(L150&lt;=0,0,MAX(0,AQ151-X151))</f>
        <v/>
      </c>
      <c r="M151">
        <f>IF(M150&lt;=0,0,MAX(0,AR151-Y151))</f>
        <v/>
      </c>
      <c r="N151">
        <f>IF(N150&lt;=0,0,MAX(0,AS151-Z151))</f>
        <v/>
      </c>
      <c r="O151">
        <f>IF(C150&lt;=0,0,MIN(AH151,C$7+IF(C$2=$AA151,$AC151,IF(C$2=$AF151,$AG151,0))))</f>
        <v/>
      </c>
      <c r="P151">
        <f>IF(D150&lt;=0,0,MIN(AI151,D$7+IF(D$2=$AA151,$AC151,IF(D$2=$AF151,$AG151,0))))</f>
        <v/>
      </c>
      <c r="Q151">
        <f>IF(E150&lt;=0,0,MIN(AJ151,E$7+IF(E$2=$AA151,$AC151,IF(E$2=$AF151,$AG151,0))))</f>
        <v/>
      </c>
      <c r="R151">
        <f>IF(F150&lt;=0,0,MIN(AK151,F$7+IF(F$2=$AA151,$AC151,IF(F$2=$AF151,$AG151,0))))</f>
        <v/>
      </c>
      <c r="S151">
        <f>IF(G150&lt;=0,0,MIN(AL151,G$7+IF(G$2=$AA151,$AC151,IF(G$2=$AF151,$AG151,0))))</f>
        <v/>
      </c>
      <c r="T151">
        <f>IF(H150&lt;=0,0,MIN(AM151,H$7+IF(H$2=$AA151,$AC151,IF(H$2=$AF151,$AG151,0))))</f>
        <v/>
      </c>
      <c r="U151">
        <f>IF(I150&lt;=0,0,MIN(AN151,I$7+IF(I$2=$AA151,$AC151,IF(I$2=$AF151,$AG151,0))))</f>
        <v/>
      </c>
      <c r="V151">
        <f>IF(J150&lt;=0,0,MIN(AO151,J$7+IF(J$2=$AA151,$AC151,IF(J$2=$AF151,$AG151,0))))</f>
        <v/>
      </c>
      <c r="W151">
        <f>IF(K150&lt;=0,0,MIN(AP151,K$7+IF(K$2=$AA151,$AC151,IF(K$2=$AF151,$AG151,0))))</f>
        <v/>
      </c>
      <c r="X151">
        <f>IF(L150&lt;=0,0,MIN(AQ151,L$7+IF(L$2=$AA151,$AC151,IF(L$2=$AF151,$AG151,0))))</f>
        <v/>
      </c>
      <c r="Y151">
        <f>IF(M150&lt;=0,0,MIN(AR151,M$7+IF(M$2=$AA151,$AC151,IF(M$2=$AF151,$AG151,0))))</f>
        <v/>
      </c>
      <c r="Z151">
        <f>IF(N150&lt;=0,0,MIN(AS151,N$7+IF(N$2=$AA151,$AC151,IF(N$2=$AF151,$AG151,0))))</f>
        <v/>
      </c>
      <c r="AA151">
        <f>IFERROR(ROUND(1/SUMPRODUCT(MAX((C150:N150&gt;0)*($C$3:$N$3&lt;=B151)/$C$2:$N$2)),0),0)</f>
        <v/>
      </c>
      <c r="AB151">
        <f>SUMPRODUCT((C150:N150&gt;0)*$C$7:$N$7)</f>
        <v/>
      </c>
      <c r="AC151">
        <f>MAX(0,Plan!$C$5-AB151)+IF(A151=Plan!$C$8,N(Plan!$C$7),0)</f>
        <v/>
      </c>
      <c r="AD151">
        <f>SUM(C151:N151)</f>
        <v/>
      </c>
      <c r="AE151">
        <f>SUM(O151:Z151)</f>
        <v/>
      </c>
      <c r="AF151">
        <f>IFERROR(ROUND(1/SUMPRODUCT(MAX((C150:N150&gt;0)*($C$3:$N$3&lt;=B151)*($C$2:$N$2&gt;AA151)/$C$2:$N$2)),0),0)</f>
        <v/>
      </c>
      <c r="AG151">
        <f>MAX(0,AC151-MAX(0,SUMPRODUCT(($C$2:$N$2=AA151)*(AH151:AS151-$C$7:$N$7))))</f>
        <v/>
      </c>
      <c r="AH151">
        <f>IF(C150&lt;=0,0,ROUND(C150*(1+IF(AND(C$6&gt;0,$B151&lt;C$6),C$4,C$5)/12),2))</f>
        <v/>
      </c>
      <c r="AI151">
        <f>IF(D150&lt;=0,0,ROUND(D150*(1+IF(AND(D$6&gt;0,$B151&lt;D$6),D$4,D$5)/12),2))</f>
        <v/>
      </c>
      <c r="AJ151">
        <f>IF(E150&lt;=0,0,ROUND(E150*(1+IF(AND(E$6&gt;0,$B151&lt;E$6),E$4,E$5)/12),2))</f>
        <v/>
      </c>
      <c r="AK151">
        <f>IF(F150&lt;=0,0,ROUND(F150*(1+IF(AND(F$6&gt;0,$B151&lt;F$6),F$4,F$5)/12),2))</f>
        <v/>
      </c>
      <c r="AL151">
        <f>IF(G150&lt;=0,0,ROUND(G150*(1+IF(AND(G$6&gt;0,$B151&lt;G$6),G$4,G$5)/12),2))</f>
        <v/>
      </c>
      <c r="AM151">
        <f>IF(H150&lt;=0,0,ROUND(H150*(1+IF(AND(H$6&gt;0,$B151&lt;H$6),H$4,H$5)/12),2))</f>
        <v/>
      </c>
      <c r="AN151">
        <f>IF(I150&lt;=0,0,ROUND(I150*(1+IF(AND(I$6&gt;0,$B151&lt;I$6),I$4,I$5)/12),2))</f>
        <v/>
      </c>
      <c r="AO151">
        <f>IF(J150&lt;=0,0,ROUND(J150*(1+IF(AND(J$6&gt;0,$B151&lt;J$6),J$4,J$5)/12),2))</f>
        <v/>
      </c>
      <c r="AP151">
        <f>IF(K150&lt;=0,0,ROUND(K150*(1+IF(AND(K$6&gt;0,$B151&lt;K$6),K$4,K$5)/12),2))</f>
        <v/>
      </c>
      <c r="AQ151">
        <f>IF(L150&lt;=0,0,ROUND(L150*(1+IF(AND(L$6&gt;0,$B151&lt;L$6),L$4,L$5)/12),2))</f>
        <v/>
      </c>
      <c r="AR151">
        <f>IF(M150&lt;=0,0,ROUND(M150*(1+IF(AND(M$6&gt;0,$B151&lt;M$6),M$4,M$5)/12),2))</f>
        <v/>
      </c>
      <c r="AS151">
        <f>IF(N150&lt;=0,0,ROUND(N150*(1+IF(AND(N$6&gt;0,$B151&lt;N$6),N$4,N$5)/12),2))</f>
        <v/>
      </c>
    </row>
    <row r="152">
      <c r="A152" t="n">
        <v>141</v>
      </c>
      <c r="B152">
        <f>EDATE(Plan!$C$6,140)</f>
        <v/>
      </c>
      <c r="C152">
        <f>IF(C151&lt;=0,0,MAX(0,AH152-O152))</f>
        <v/>
      </c>
      <c r="D152">
        <f>IF(D151&lt;=0,0,MAX(0,AI152-P152))</f>
        <v/>
      </c>
      <c r="E152">
        <f>IF(E151&lt;=0,0,MAX(0,AJ152-Q152))</f>
        <v/>
      </c>
      <c r="F152">
        <f>IF(F151&lt;=0,0,MAX(0,AK152-R152))</f>
        <v/>
      </c>
      <c r="G152">
        <f>IF(G151&lt;=0,0,MAX(0,AL152-S152))</f>
        <v/>
      </c>
      <c r="H152">
        <f>IF(H151&lt;=0,0,MAX(0,AM152-T152))</f>
        <v/>
      </c>
      <c r="I152">
        <f>IF(I151&lt;=0,0,MAX(0,AN152-U152))</f>
        <v/>
      </c>
      <c r="J152">
        <f>IF(J151&lt;=0,0,MAX(0,AO152-V152))</f>
        <v/>
      </c>
      <c r="K152">
        <f>IF(K151&lt;=0,0,MAX(0,AP152-W152))</f>
        <v/>
      </c>
      <c r="L152">
        <f>IF(L151&lt;=0,0,MAX(0,AQ152-X152))</f>
        <v/>
      </c>
      <c r="M152">
        <f>IF(M151&lt;=0,0,MAX(0,AR152-Y152))</f>
        <v/>
      </c>
      <c r="N152">
        <f>IF(N151&lt;=0,0,MAX(0,AS152-Z152))</f>
        <v/>
      </c>
      <c r="O152">
        <f>IF(C151&lt;=0,0,MIN(AH152,C$7+IF(C$2=$AA152,$AC152,IF(C$2=$AF152,$AG152,0))))</f>
        <v/>
      </c>
      <c r="P152">
        <f>IF(D151&lt;=0,0,MIN(AI152,D$7+IF(D$2=$AA152,$AC152,IF(D$2=$AF152,$AG152,0))))</f>
        <v/>
      </c>
      <c r="Q152">
        <f>IF(E151&lt;=0,0,MIN(AJ152,E$7+IF(E$2=$AA152,$AC152,IF(E$2=$AF152,$AG152,0))))</f>
        <v/>
      </c>
      <c r="R152">
        <f>IF(F151&lt;=0,0,MIN(AK152,F$7+IF(F$2=$AA152,$AC152,IF(F$2=$AF152,$AG152,0))))</f>
        <v/>
      </c>
      <c r="S152">
        <f>IF(G151&lt;=0,0,MIN(AL152,G$7+IF(G$2=$AA152,$AC152,IF(G$2=$AF152,$AG152,0))))</f>
        <v/>
      </c>
      <c r="T152">
        <f>IF(H151&lt;=0,0,MIN(AM152,H$7+IF(H$2=$AA152,$AC152,IF(H$2=$AF152,$AG152,0))))</f>
        <v/>
      </c>
      <c r="U152">
        <f>IF(I151&lt;=0,0,MIN(AN152,I$7+IF(I$2=$AA152,$AC152,IF(I$2=$AF152,$AG152,0))))</f>
        <v/>
      </c>
      <c r="V152">
        <f>IF(J151&lt;=0,0,MIN(AO152,J$7+IF(J$2=$AA152,$AC152,IF(J$2=$AF152,$AG152,0))))</f>
        <v/>
      </c>
      <c r="W152">
        <f>IF(K151&lt;=0,0,MIN(AP152,K$7+IF(K$2=$AA152,$AC152,IF(K$2=$AF152,$AG152,0))))</f>
        <v/>
      </c>
      <c r="X152">
        <f>IF(L151&lt;=0,0,MIN(AQ152,L$7+IF(L$2=$AA152,$AC152,IF(L$2=$AF152,$AG152,0))))</f>
        <v/>
      </c>
      <c r="Y152">
        <f>IF(M151&lt;=0,0,MIN(AR152,M$7+IF(M$2=$AA152,$AC152,IF(M$2=$AF152,$AG152,0))))</f>
        <v/>
      </c>
      <c r="Z152">
        <f>IF(N151&lt;=0,0,MIN(AS152,N$7+IF(N$2=$AA152,$AC152,IF(N$2=$AF152,$AG152,0))))</f>
        <v/>
      </c>
      <c r="AA152">
        <f>IFERROR(ROUND(1/SUMPRODUCT(MAX((C151:N151&gt;0)*($C$3:$N$3&lt;=B152)/$C$2:$N$2)),0),0)</f>
        <v/>
      </c>
      <c r="AB152">
        <f>SUMPRODUCT((C151:N151&gt;0)*$C$7:$N$7)</f>
        <v/>
      </c>
      <c r="AC152">
        <f>MAX(0,Plan!$C$5-AB152)+IF(A152=Plan!$C$8,N(Plan!$C$7),0)</f>
        <v/>
      </c>
      <c r="AD152">
        <f>SUM(C152:N152)</f>
        <v/>
      </c>
      <c r="AE152">
        <f>SUM(O152:Z152)</f>
        <v/>
      </c>
      <c r="AF152">
        <f>IFERROR(ROUND(1/SUMPRODUCT(MAX((C151:N151&gt;0)*($C$3:$N$3&lt;=B152)*($C$2:$N$2&gt;AA152)/$C$2:$N$2)),0),0)</f>
        <v/>
      </c>
      <c r="AG152">
        <f>MAX(0,AC152-MAX(0,SUMPRODUCT(($C$2:$N$2=AA152)*(AH152:AS152-$C$7:$N$7))))</f>
        <v/>
      </c>
      <c r="AH152">
        <f>IF(C151&lt;=0,0,ROUND(C151*(1+IF(AND(C$6&gt;0,$B152&lt;C$6),C$4,C$5)/12),2))</f>
        <v/>
      </c>
      <c r="AI152">
        <f>IF(D151&lt;=0,0,ROUND(D151*(1+IF(AND(D$6&gt;0,$B152&lt;D$6),D$4,D$5)/12),2))</f>
        <v/>
      </c>
      <c r="AJ152">
        <f>IF(E151&lt;=0,0,ROUND(E151*(1+IF(AND(E$6&gt;0,$B152&lt;E$6),E$4,E$5)/12),2))</f>
        <v/>
      </c>
      <c r="AK152">
        <f>IF(F151&lt;=0,0,ROUND(F151*(1+IF(AND(F$6&gt;0,$B152&lt;F$6),F$4,F$5)/12),2))</f>
        <v/>
      </c>
      <c r="AL152">
        <f>IF(G151&lt;=0,0,ROUND(G151*(1+IF(AND(G$6&gt;0,$B152&lt;G$6),G$4,G$5)/12),2))</f>
        <v/>
      </c>
      <c r="AM152">
        <f>IF(H151&lt;=0,0,ROUND(H151*(1+IF(AND(H$6&gt;0,$B152&lt;H$6),H$4,H$5)/12),2))</f>
        <v/>
      </c>
      <c r="AN152">
        <f>IF(I151&lt;=0,0,ROUND(I151*(1+IF(AND(I$6&gt;0,$B152&lt;I$6),I$4,I$5)/12),2))</f>
        <v/>
      </c>
      <c r="AO152">
        <f>IF(J151&lt;=0,0,ROUND(J151*(1+IF(AND(J$6&gt;0,$B152&lt;J$6),J$4,J$5)/12),2))</f>
        <v/>
      </c>
      <c r="AP152">
        <f>IF(K151&lt;=0,0,ROUND(K151*(1+IF(AND(K$6&gt;0,$B152&lt;K$6),K$4,K$5)/12),2))</f>
        <v/>
      </c>
      <c r="AQ152">
        <f>IF(L151&lt;=0,0,ROUND(L151*(1+IF(AND(L$6&gt;0,$B152&lt;L$6),L$4,L$5)/12),2))</f>
        <v/>
      </c>
      <c r="AR152">
        <f>IF(M151&lt;=0,0,ROUND(M151*(1+IF(AND(M$6&gt;0,$B152&lt;M$6),M$4,M$5)/12),2))</f>
        <v/>
      </c>
      <c r="AS152">
        <f>IF(N151&lt;=0,0,ROUND(N151*(1+IF(AND(N$6&gt;0,$B152&lt;N$6),N$4,N$5)/12),2))</f>
        <v/>
      </c>
    </row>
    <row r="153">
      <c r="A153" t="n">
        <v>142</v>
      </c>
      <c r="B153">
        <f>EDATE(Plan!$C$6,141)</f>
        <v/>
      </c>
      <c r="C153">
        <f>IF(C152&lt;=0,0,MAX(0,AH153-O153))</f>
        <v/>
      </c>
      <c r="D153">
        <f>IF(D152&lt;=0,0,MAX(0,AI153-P153))</f>
        <v/>
      </c>
      <c r="E153">
        <f>IF(E152&lt;=0,0,MAX(0,AJ153-Q153))</f>
        <v/>
      </c>
      <c r="F153">
        <f>IF(F152&lt;=0,0,MAX(0,AK153-R153))</f>
        <v/>
      </c>
      <c r="G153">
        <f>IF(G152&lt;=0,0,MAX(0,AL153-S153))</f>
        <v/>
      </c>
      <c r="H153">
        <f>IF(H152&lt;=0,0,MAX(0,AM153-T153))</f>
        <v/>
      </c>
      <c r="I153">
        <f>IF(I152&lt;=0,0,MAX(0,AN153-U153))</f>
        <v/>
      </c>
      <c r="J153">
        <f>IF(J152&lt;=0,0,MAX(0,AO153-V153))</f>
        <v/>
      </c>
      <c r="K153">
        <f>IF(K152&lt;=0,0,MAX(0,AP153-W153))</f>
        <v/>
      </c>
      <c r="L153">
        <f>IF(L152&lt;=0,0,MAX(0,AQ153-X153))</f>
        <v/>
      </c>
      <c r="M153">
        <f>IF(M152&lt;=0,0,MAX(0,AR153-Y153))</f>
        <v/>
      </c>
      <c r="N153">
        <f>IF(N152&lt;=0,0,MAX(0,AS153-Z153))</f>
        <v/>
      </c>
      <c r="O153">
        <f>IF(C152&lt;=0,0,MIN(AH153,C$7+IF(C$2=$AA153,$AC153,IF(C$2=$AF153,$AG153,0))))</f>
        <v/>
      </c>
      <c r="P153">
        <f>IF(D152&lt;=0,0,MIN(AI153,D$7+IF(D$2=$AA153,$AC153,IF(D$2=$AF153,$AG153,0))))</f>
        <v/>
      </c>
      <c r="Q153">
        <f>IF(E152&lt;=0,0,MIN(AJ153,E$7+IF(E$2=$AA153,$AC153,IF(E$2=$AF153,$AG153,0))))</f>
        <v/>
      </c>
      <c r="R153">
        <f>IF(F152&lt;=0,0,MIN(AK153,F$7+IF(F$2=$AA153,$AC153,IF(F$2=$AF153,$AG153,0))))</f>
        <v/>
      </c>
      <c r="S153">
        <f>IF(G152&lt;=0,0,MIN(AL153,G$7+IF(G$2=$AA153,$AC153,IF(G$2=$AF153,$AG153,0))))</f>
        <v/>
      </c>
      <c r="T153">
        <f>IF(H152&lt;=0,0,MIN(AM153,H$7+IF(H$2=$AA153,$AC153,IF(H$2=$AF153,$AG153,0))))</f>
        <v/>
      </c>
      <c r="U153">
        <f>IF(I152&lt;=0,0,MIN(AN153,I$7+IF(I$2=$AA153,$AC153,IF(I$2=$AF153,$AG153,0))))</f>
        <v/>
      </c>
      <c r="V153">
        <f>IF(J152&lt;=0,0,MIN(AO153,J$7+IF(J$2=$AA153,$AC153,IF(J$2=$AF153,$AG153,0))))</f>
        <v/>
      </c>
      <c r="W153">
        <f>IF(K152&lt;=0,0,MIN(AP153,K$7+IF(K$2=$AA153,$AC153,IF(K$2=$AF153,$AG153,0))))</f>
        <v/>
      </c>
      <c r="X153">
        <f>IF(L152&lt;=0,0,MIN(AQ153,L$7+IF(L$2=$AA153,$AC153,IF(L$2=$AF153,$AG153,0))))</f>
        <v/>
      </c>
      <c r="Y153">
        <f>IF(M152&lt;=0,0,MIN(AR153,M$7+IF(M$2=$AA153,$AC153,IF(M$2=$AF153,$AG153,0))))</f>
        <v/>
      </c>
      <c r="Z153">
        <f>IF(N152&lt;=0,0,MIN(AS153,N$7+IF(N$2=$AA153,$AC153,IF(N$2=$AF153,$AG153,0))))</f>
        <v/>
      </c>
      <c r="AA153">
        <f>IFERROR(ROUND(1/SUMPRODUCT(MAX((C152:N152&gt;0)*($C$3:$N$3&lt;=B153)/$C$2:$N$2)),0),0)</f>
        <v/>
      </c>
      <c r="AB153">
        <f>SUMPRODUCT((C152:N152&gt;0)*$C$7:$N$7)</f>
        <v/>
      </c>
      <c r="AC153">
        <f>MAX(0,Plan!$C$5-AB153)+IF(A153=Plan!$C$8,N(Plan!$C$7),0)</f>
        <v/>
      </c>
      <c r="AD153">
        <f>SUM(C153:N153)</f>
        <v/>
      </c>
      <c r="AE153">
        <f>SUM(O153:Z153)</f>
        <v/>
      </c>
      <c r="AF153">
        <f>IFERROR(ROUND(1/SUMPRODUCT(MAX((C152:N152&gt;0)*($C$3:$N$3&lt;=B153)*($C$2:$N$2&gt;AA153)/$C$2:$N$2)),0),0)</f>
        <v/>
      </c>
      <c r="AG153">
        <f>MAX(0,AC153-MAX(0,SUMPRODUCT(($C$2:$N$2=AA153)*(AH153:AS153-$C$7:$N$7))))</f>
        <v/>
      </c>
      <c r="AH153">
        <f>IF(C152&lt;=0,0,ROUND(C152*(1+IF(AND(C$6&gt;0,$B153&lt;C$6),C$4,C$5)/12),2))</f>
        <v/>
      </c>
      <c r="AI153">
        <f>IF(D152&lt;=0,0,ROUND(D152*(1+IF(AND(D$6&gt;0,$B153&lt;D$6),D$4,D$5)/12),2))</f>
        <v/>
      </c>
      <c r="AJ153">
        <f>IF(E152&lt;=0,0,ROUND(E152*(1+IF(AND(E$6&gt;0,$B153&lt;E$6),E$4,E$5)/12),2))</f>
        <v/>
      </c>
      <c r="AK153">
        <f>IF(F152&lt;=0,0,ROUND(F152*(1+IF(AND(F$6&gt;0,$B153&lt;F$6),F$4,F$5)/12),2))</f>
        <v/>
      </c>
      <c r="AL153">
        <f>IF(G152&lt;=0,0,ROUND(G152*(1+IF(AND(G$6&gt;0,$B153&lt;G$6),G$4,G$5)/12),2))</f>
        <v/>
      </c>
      <c r="AM153">
        <f>IF(H152&lt;=0,0,ROUND(H152*(1+IF(AND(H$6&gt;0,$B153&lt;H$6),H$4,H$5)/12),2))</f>
        <v/>
      </c>
      <c r="AN153">
        <f>IF(I152&lt;=0,0,ROUND(I152*(1+IF(AND(I$6&gt;0,$B153&lt;I$6),I$4,I$5)/12),2))</f>
        <v/>
      </c>
      <c r="AO153">
        <f>IF(J152&lt;=0,0,ROUND(J152*(1+IF(AND(J$6&gt;0,$B153&lt;J$6),J$4,J$5)/12),2))</f>
        <v/>
      </c>
      <c r="AP153">
        <f>IF(K152&lt;=0,0,ROUND(K152*(1+IF(AND(K$6&gt;0,$B153&lt;K$6),K$4,K$5)/12),2))</f>
        <v/>
      </c>
      <c r="AQ153">
        <f>IF(L152&lt;=0,0,ROUND(L152*(1+IF(AND(L$6&gt;0,$B153&lt;L$6),L$4,L$5)/12),2))</f>
        <v/>
      </c>
      <c r="AR153">
        <f>IF(M152&lt;=0,0,ROUND(M152*(1+IF(AND(M$6&gt;0,$B153&lt;M$6),M$4,M$5)/12),2))</f>
        <v/>
      </c>
      <c r="AS153">
        <f>IF(N152&lt;=0,0,ROUND(N152*(1+IF(AND(N$6&gt;0,$B153&lt;N$6),N$4,N$5)/12),2))</f>
        <v/>
      </c>
    </row>
    <row r="154">
      <c r="A154" t="n">
        <v>143</v>
      </c>
      <c r="B154">
        <f>EDATE(Plan!$C$6,142)</f>
        <v/>
      </c>
      <c r="C154">
        <f>IF(C153&lt;=0,0,MAX(0,AH154-O154))</f>
        <v/>
      </c>
      <c r="D154">
        <f>IF(D153&lt;=0,0,MAX(0,AI154-P154))</f>
        <v/>
      </c>
      <c r="E154">
        <f>IF(E153&lt;=0,0,MAX(0,AJ154-Q154))</f>
        <v/>
      </c>
      <c r="F154">
        <f>IF(F153&lt;=0,0,MAX(0,AK154-R154))</f>
        <v/>
      </c>
      <c r="G154">
        <f>IF(G153&lt;=0,0,MAX(0,AL154-S154))</f>
        <v/>
      </c>
      <c r="H154">
        <f>IF(H153&lt;=0,0,MAX(0,AM154-T154))</f>
        <v/>
      </c>
      <c r="I154">
        <f>IF(I153&lt;=0,0,MAX(0,AN154-U154))</f>
        <v/>
      </c>
      <c r="J154">
        <f>IF(J153&lt;=0,0,MAX(0,AO154-V154))</f>
        <v/>
      </c>
      <c r="K154">
        <f>IF(K153&lt;=0,0,MAX(0,AP154-W154))</f>
        <v/>
      </c>
      <c r="L154">
        <f>IF(L153&lt;=0,0,MAX(0,AQ154-X154))</f>
        <v/>
      </c>
      <c r="M154">
        <f>IF(M153&lt;=0,0,MAX(0,AR154-Y154))</f>
        <v/>
      </c>
      <c r="N154">
        <f>IF(N153&lt;=0,0,MAX(0,AS154-Z154))</f>
        <v/>
      </c>
      <c r="O154">
        <f>IF(C153&lt;=0,0,MIN(AH154,C$7+IF(C$2=$AA154,$AC154,IF(C$2=$AF154,$AG154,0))))</f>
        <v/>
      </c>
      <c r="P154">
        <f>IF(D153&lt;=0,0,MIN(AI154,D$7+IF(D$2=$AA154,$AC154,IF(D$2=$AF154,$AG154,0))))</f>
        <v/>
      </c>
      <c r="Q154">
        <f>IF(E153&lt;=0,0,MIN(AJ154,E$7+IF(E$2=$AA154,$AC154,IF(E$2=$AF154,$AG154,0))))</f>
        <v/>
      </c>
      <c r="R154">
        <f>IF(F153&lt;=0,0,MIN(AK154,F$7+IF(F$2=$AA154,$AC154,IF(F$2=$AF154,$AG154,0))))</f>
        <v/>
      </c>
      <c r="S154">
        <f>IF(G153&lt;=0,0,MIN(AL154,G$7+IF(G$2=$AA154,$AC154,IF(G$2=$AF154,$AG154,0))))</f>
        <v/>
      </c>
      <c r="T154">
        <f>IF(H153&lt;=0,0,MIN(AM154,H$7+IF(H$2=$AA154,$AC154,IF(H$2=$AF154,$AG154,0))))</f>
        <v/>
      </c>
      <c r="U154">
        <f>IF(I153&lt;=0,0,MIN(AN154,I$7+IF(I$2=$AA154,$AC154,IF(I$2=$AF154,$AG154,0))))</f>
        <v/>
      </c>
      <c r="V154">
        <f>IF(J153&lt;=0,0,MIN(AO154,J$7+IF(J$2=$AA154,$AC154,IF(J$2=$AF154,$AG154,0))))</f>
        <v/>
      </c>
      <c r="W154">
        <f>IF(K153&lt;=0,0,MIN(AP154,K$7+IF(K$2=$AA154,$AC154,IF(K$2=$AF154,$AG154,0))))</f>
        <v/>
      </c>
      <c r="X154">
        <f>IF(L153&lt;=0,0,MIN(AQ154,L$7+IF(L$2=$AA154,$AC154,IF(L$2=$AF154,$AG154,0))))</f>
        <v/>
      </c>
      <c r="Y154">
        <f>IF(M153&lt;=0,0,MIN(AR154,M$7+IF(M$2=$AA154,$AC154,IF(M$2=$AF154,$AG154,0))))</f>
        <v/>
      </c>
      <c r="Z154">
        <f>IF(N153&lt;=0,0,MIN(AS154,N$7+IF(N$2=$AA154,$AC154,IF(N$2=$AF154,$AG154,0))))</f>
        <v/>
      </c>
      <c r="AA154">
        <f>IFERROR(ROUND(1/SUMPRODUCT(MAX((C153:N153&gt;0)*($C$3:$N$3&lt;=B154)/$C$2:$N$2)),0),0)</f>
        <v/>
      </c>
      <c r="AB154">
        <f>SUMPRODUCT((C153:N153&gt;0)*$C$7:$N$7)</f>
        <v/>
      </c>
      <c r="AC154">
        <f>MAX(0,Plan!$C$5-AB154)+IF(A154=Plan!$C$8,N(Plan!$C$7),0)</f>
        <v/>
      </c>
      <c r="AD154">
        <f>SUM(C154:N154)</f>
        <v/>
      </c>
      <c r="AE154">
        <f>SUM(O154:Z154)</f>
        <v/>
      </c>
      <c r="AF154">
        <f>IFERROR(ROUND(1/SUMPRODUCT(MAX((C153:N153&gt;0)*($C$3:$N$3&lt;=B154)*($C$2:$N$2&gt;AA154)/$C$2:$N$2)),0),0)</f>
        <v/>
      </c>
      <c r="AG154">
        <f>MAX(0,AC154-MAX(0,SUMPRODUCT(($C$2:$N$2=AA154)*(AH154:AS154-$C$7:$N$7))))</f>
        <v/>
      </c>
      <c r="AH154">
        <f>IF(C153&lt;=0,0,ROUND(C153*(1+IF(AND(C$6&gt;0,$B154&lt;C$6),C$4,C$5)/12),2))</f>
        <v/>
      </c>
      <c r="AI154">
        <f>IF(D153&lt;=0,0,ROUND(D153*(1+IF(AND(D$6&gt;0,$B154&lt;D$6),D$4,D$5)/12),2))</f>
        <v/>
      </c>
      <c r="AJ154">
        <f>IF(E153&lt;=0,0,ROUND(E153*(1+IF(AND(E$6&gt;0,$B154&lt;E$6),E$4,E$5)/12),2))</f>
        <v/>
      </c>
      <c r="AK154">
        <f>IF(F153&lt;=0,0,ROUND(F153*(1+IF(AND(F$6&gt;0,$B154&lt;F$6),F$4,F$5)/12),2))</f>
        <v/>
      </c>
      <c r="AL154">
        <f>IF(G153&lt;=0,0,ROUND(G153*(1+IF(AND(G$6&gt;0,$B154&lt;G$6),G$4,G$5)/12),2))</f>
        <v/>
      </c>
      <c r="AM154">
        <f>IF(H153&lt;=0,0,ROUND(H153*(1+IF(AND(H$6&gt;0,$B154&lt;H$6),H$4,H$5)/12),2))</f>
        <v/>
      </c>
      <c r="AN154">
        <f>IF(I153&lt;=0,0,ROUND(I153*(1+IF(AND(I$6&gt;0,$B154&lt;I$6),I$4,I$5)/12),2))</f>
        <v/>
      </c>
      <c r="AO154">
        <f>IF(J153&lt;=0,0,ROUND(J153*(1+IF(AND(J$6&gt;0,$B154&lt;J$6),J$4,J$5)/12),2))</f>
        <v/>
      </c>
      <c r="AP154">
        <f>IF(K153&lt;=0,0,ROUND(K153*(1+IF(AND(K$6&gt;0,$B154&lt;K$6),K$4,K$5)/12),2))</f>
        <v/>
      </c>
      <c r="AQ154">
        <f>IF(L153&lt;=0,0,ROUND(L153*(1+IF(AND(L$6&gt;0,$B154&lt;L$6),L$4,L$5)/12),2))</f>
        <v/>
      </c>
      <c r="AR154">
        <f>IF(M153&lt;=0,0,ROUND(M153*(1+IF(AND(M$6&gt;0,$B154&lt;M$6),M$4,M$5)/12),2))</f>
        <v/>
      </c>
      <c r="AS154">
        <f>IF(N153&lt;=0,0,ROUND(N153*(1+IF(AND(N$6&gt;0,$B154&lt;N$6),N$4,N$5)/12),2))</f>
        <v/>
      </c>
    </row>
    <row r="155">
      <c r="A155" t="n">
        <v>144</v>
      </c>
      <c r="B155">
        <f>EDATE(Plan!$C$6,143)</f>
        <v/>
      </c>
      <c r="C155">
        <f>IF(C154&lt;=0,0,MAX(0,AH155-O155))</f>
        <v/>
      </c>
      <c r="D155">
        <f>IF(D154&lt;=0,0,MAX(0,AI155-P155))</f>
        <v/>
      </c>
      <c r="E155">
        <f>IF(E154&lt;=0,0,MAX(0,AJ155-Q155))</f>
        <v/>
      </c>
      <c r="F155">
        <f>IF(F154&lt;=0,0,MAX(0,AK155-R155))</f>
        <v/>
      </c>
      <c r="G155">
        <f>IF(G154&lt;=0,0,MAX(0,AL155-S155))</f>
        <v/>
      </c>
      <c r="H155">
        <f>IF(H154&lt;=0,0,MAX(0,AM155-T155))</f>
        <v/>
      </c>
      <c r="I155">
        <f>IF(I154&lt;=0,0,MAX(0,AN155-U155))</f>
        <v/>
      </c>
      <c r="J155">
        <f>IF(J154&lt;=0,0,MAX(0,AO155-V155))</f>
        <v/>
      </c>
      <c r="K155">
        <f>IF(K154&lt;=0,0,MAX(0,AP155-W155))</f>
        <v/>
      </c>
      <c r="L155">
        <f>IF(L154&lt;=0,0,MAX(0,AQ155-X155))</f>
        <v/>
      </c>
      <c r="M155">
        <f>IF(M154&lt;=0,0,MAX(0,AR155-Y155))</f>
        <v/>
      </c>
      <c r="N155">
        <f>IF(N154&lt;=0,0,MAX(0,AS155-Z155))</f>
        <v/>
      </c>
      <c r="O155">
        <f>IF(C154&lt;=0,0,MIN(AH155,C$7+IF(C$2=$AA155,$AC155,IF(C$2=$AF155,$AG155,0))))</f>
        <v/>
      </c>
      <c r="P155">
        <f>IF(D154&lt;=0,0,MIN(AI155,D$7+IF(D$2=$AA155,$AC155,IF(D$2=$AF155,$AG155,0))))</f>
        <v/>
      </c>
      <c r="Q155">
        <f>IF(E154&lt;=0,0,MIN(AJ155,E$7+IF(E$2=$AA155,$AC155,IF(E$2=$AF155,$AG155,0))))</f>
        <v/>
      </c>
      <c r="R155">
        <f>IF(F154&lt;=0,0,MIN(AK155,F$7+IF(F$2=$AA155,$AC155,IF(F$2=$AF155,$AG155,0))))</f>
        <v/>
      </c>
      <c r="S155">
        <f>IF(G154&lt;=0,0,MIN(AL155,G$7+IF(G$2=$AA155,$AC155,IF(G$2=$AF155,$AG155,0))))</f>
        <v/>
      </c>
      <c r="T155">
        <f>IF(H154&lt;=0,0,MIN(AM155,H$7+IF(H$2=$AA155,$AC155,IF(H$2=$AF155,$AG155,0))))</f>
        <v/>
      </c>
      <c r="U155">
        <f>IF(I154&lt;=0,0,MIN(AN155,I$7+IF(I$2=$AA155,$AC155,IF(I$2=$AF155,$AG155,0))))</f>
        <v/>
      </c>
      <c r="V155">
        <f>IF(J154&lt;=0,0,MIN(AO155,J$7+IF(J$2=$AA155,$AC155,IF(J$2=$AF155,$AG155,0))))</f>
        <v/>
      </c>
      <c r="W155">
        <f>IF(K154&lt;=0,0,MIN(AP155,K$7+IF(K$2=$AA155,$AC155,IF(K$2=$AF155,$AG155,0))))</f>
        <v/>
      </c>
      <c r="X155">
        <f>IF(L154&lt;=0,0,MIN(AQ155,L$7+IF(L$2=$AA155,$AC155,IF(L$2=$AF155,$AG155,0))))</f>
        <v/>
      </c>
      <c r="Y155">
        <f>IF(M154&lt;=0,0,MIN(AR155,M$7+IF(M$2=$AA155,$AC155,IF(M$2=$AF155,$AG155,0))))</f>
        <v/>
      </c>
      <c r="Z155">
        <f>IF(N154&lt;=0,0,MIN(AS155,N$7+IF(N$2=$AA155,$AC155,IF(N$2=$AF155,$AG155,0))))</f>
        <v/>
      </c>
      <c r="AA155">
        <f>IFERROR(ROUND(1/SUMPRODUCT(MAX((C154:N154&gt;0)*($C$3:$N$3&lt;=B155)/$C$2:$N$2)),0),0)</f>
        <v/>
      </c>
      <c r="AB155">
        <f>SUMPRODUCT((C154:N154&gt;0)*$C$7:$N$7)</f>
        <v/>
      </c>
      <c r="AC155">
        <f>MAX(0,Plan!$C$5-AB155)+IF(A155=Plan!$C$8,N(Plan!$C$7),0)</f>
        <v/>
      </c>
      <c r="AD155">
        <f>SUM(C155:N155)</f>
        <v/>
      </c>
      <c r="AE155">
        <f>SUM(O155:Z155)</f>
        <v/>
      </c>
      <c r="AF155">
        <f>IFERROR(ROUND(1/SUMPRODUCT(MAX((C154:N154&gt;0)*($C$3:$N$3&lt;=B155)*($C$2:$N$2&gt;AA155)/$C$2:$N$2)),0),0)</f>
        <v/>
      </c>
      <c r="AG155">
        <f>MAX(0,AC155-MAX(0,SUMPRODUCT(($C$2:$N$2=AA155)*(AH155:AS155-$C$7:$N$7))))</f>
        <v/>
      </c>
      <c r="AH155">
        <f>IF(C154&lt;=0,0,ROUND(C154*(1+IF(AND(C$6&gt;0,$B155&lt;C$6),C$4,C$5)/12),2))</f>
        <v/>
      </c>
      <c r="AI155">
        <f>IF(D154&lt;=0,0,ROUND(D154*(1+IF(AND(D$6&gt;0,$B155&lt;D$6),D$4,D$5)/12),2))</f>
        <v/>
      </c>
      <c r="AJ155">
        <f>IF(E154&lt;=0,0,ROUND(E154*(1+IF(AND(E$6&gt;0,$B155&lt;E$6),E$4,E$5)/12),2))</f>
        <v/>
      </c>
      <c r="AK155">
        <f>IF(F154&lt;=0,0,ROUND(F154*(1+IF(AND(F$6&gt;0,$B155&lt;F$6),F$4,F$5)/12),2))</f>
        <v/>
      </c>
      <c r="AL155">
        <f>IF(G154&lt;=0,0,ROUND(G154*(1+IF(AND(G$6&gt;0,$B155&lt;G$6),G$4,G$5)/12),2))</f>
        <v/>
      </c>
      <c r="AM155">
        <f>IF(H154&lt;=0,0,ROUND(H154*(1+IF(AND(H$6&gt;0,$B155&lt;H$6),H$4,H$5)/12),2))</f>
        <v/>
      </c>
      <c r="AN155">
        <f>IF(I154&lt;=0,0,ROUND(I154*(1+IF(AND(I$6&gt;0,$B155&lt;I$6),I$4,I$5)/12),2))</f>
        <v/>
      </c>
      <c r="AO155">
        <f>IF(J154&lt;=0,0,ROUND(J154*(1+IF(AND(J$6&gt;0,$B155&lt;J$6),J$4,J$5)/12),2))</f>
        <v/>
      </c>
      <c r="AP155">
        <f>IF(K154&lt;=0,0,ROUND(K154*(1+IF(AND(K$6&gt;0,$B155&lt;K$6),K$4,K$5)/12),2))</f>
        <v/>
      </c>
      <c r="AQ155">
        <f>IF(L154&lt;=0,0,ROUND(L154*(1+IF(AND(L$6&gt;0,$B155&lt;L$6),L$4,L$5)/12),2))</f>
        <v/>
      </c>
      <c r="AR155">
        <f>IF(M154&lt;=0,0,ROUND(M154*(1+IF(AND(M$6&gt;0,$B155&lt;M$6),M$4,M$5)/12),2))</f>
        <v/>
      </c>
      <c r="AS155">
        <f>IF(N154&lt;=0,0,ROUND(N154*(1+IF(AND(N$6&gt;0,$B155&lt;N$6),N$4,N$5)/12),2))</f>
        <v/>
      </c>
    </row>
    <row r="156">
      <c r="A156" t="n">
        <v>145</v>
      </c>
      <c r="B156">
        <f>EDATE(Plan!$C$6,144)</f>
        <v/>
      </c>
      <c r="C156">
        <f>IF(C155&lt;=0,0,MAX(0,AH156-O156))</f>
        <v/>
      </c>
      <c r="D156">
        <f>IF(D155&lt;=0,0,MAX(0,AI156-P156))</f>
        <v/>
      </c>
      <c r="E156">
        <f>IF(E155&lt;=0,0,MAX(0,AJ156-Q156))</f>
        <v/>
      </c>
      <c r="F156">
        <f>IF(F155&lt;=0,0,MAX(0,AK156-R156))</f>
        <v/>
      </c>
      <c r="G156">
        <f>IF(G155&lt;=0,0,MAX(0,AL156-S156))</f>
        <v/>
      </c>
      <c r="H156">
        <f>IF(H155&lt;=0,0,MAX(0,AM156-T156))</f>
        <v/>
      </c>
      <c r="I156">
        <f>IF(I155&lt;=0,0,MAX(0,AN156-U156))</f>
        <v/>
      </c>
      <c r="J156">
        <f>IF(J155&lt;=0,0,MAX(0,AO156-V156))</f>
        <v/>
      </c>
      <c r="K156">
        <f>IF(K155&lt;=0,0,MAX(0,AP156-W156))</f>
        <v/>
      </c>
      <c r="L156">
        <f>IF(L155&lt;=0,0,MAX(0,AQ156-X156))</f>
        <v/>
      </c>
      <c r="M156">
        <f>IF(M155&lt;=0,0,MAX(0,AR156-Y156))</f>
        <v/>
      </c>
      <c r="N156">
        <f>IF(N155&lt;=0,0,MAX(0,AS156-Z156))</f>
        <v/>
      </c>
      <c r="O156">
        <f>IF(C155&lt;=0,0,MIN(AH156,C$7+IF(C$2=$AA156,$AC156,IF(C$2=$AF156,$AG156,0))))</f>
        <v/>
      </c>
      <c r="P156">
        <f>IF(D155&lt;=0,0,MIN(AI156,D$7+IF(D$2=$AA156,$AC156,IF(D$2=$AF156,$AG156,0))))</f>
        <v/>
      </c>
      <c r="Q156">
        <f>IF(E155&lt;=0,0,MIN(AJ156,E$7+IF(E$2=$AA156,$AC156,IF(E$2=$AF156,$AG156,0))))</f>
        <v/>
      </c>
      <c r="R156">
        <f>IF(F155&lt;=0,0,MIN(AK156,F$7+IF(F$2=$AA156,$AC156,IF(F$2=$AF156,$AG156,0))))</f>
        <v/>
      </c>
      <c r="S156">
        <f>IF(G155&lt;=0,0,MIN(AL156,G$7+IF(G$2=$AA156,$AC156,IF(G$2=$AF156,$AG156,0))))</f>
        <v/>
      </c>
      <c r="T156">
        <f>IF(H155&lt;=0,0,MIN(AM156,H$7+IF(H$2=$AA156,$AC156,IF(H$2=$AF156,$AG156,0))))</f>
        <v/>
      </c>
      <c r="U156">
        <f>IF(I155&lt;=0,0,MIN(AN156,I$7+IF(I$2=$AA156,$AC156,IF(I$2=$AF156,$AG156,0))))</f>
        <v/>
      </c>
      <c r="V156">
        <f>IF(J155&lt;=0,0,MIN(AO156,J$7+IF(J$2=$AA156,$AC156,IF(J$2=$AF156,$AG156,0))))</f>
        <v/>
      </c>
      <c r="W156">
        <f>IF(K155&lt;=0,0,MIN(AP156,K$7+IF(K$2=$AA156,$AC156,IF(K$2=$AF156,$AG156,0))))</f>
        <v/>
      </c>
      <c r="X156">
        <f>IF(L155&lt;=0,0,MIN(AQ156,L$7+IF(L$2=$AA156,$AC156,IF(L$2=$AF156,$AG156,0))))</f>
        <v/>
      </c>
      <c r="Y156">
        <f>IF(M155&lt;=0,0,MIN(AR156,M$7+IF(M$2=$AA156,$AC156,IF(M$2=$AF156,$AG156,0))))</f>
        <v/>
      </c>
      <c r="Z156">
        <f>IF(N155&lt;=0,0,MIN(AS156,N$7+IF(N$2=$AA156,$AC156,IF(N$2=$AF156,$AG156,0))))</f>
        <v/>
      </c>
      <c r="AA156">
        <f>IFERROR(ROUND(1/SUMPRODUCT(MAX((C155:N155&gt;0)*($C$3:$N$3&lt;=B156)/$C$2:$N$2)),0),0)</f>
        <v/>
      </c>
      <c r="AB156">
        <f>SUMPRODUCT((C155:N155&gt;0)*$C$7:$N$7)</f>
        <v/>
      </c>
      <c r="AC156">
        <f>MAX(0,Plan!$C$5-AB156)+IF(A156=Plan!$C$8,N(Plan!$C$7),0)</f>
        <v/>
      </c>
      <c r="AD156">
        <f>SUM(C156:N156)</f>
        <v/>
      </c>
      <c r="AE156">
        <f>SUM(O156:Z156)</f>
        <v/>
      </c>
      <c r="AF156">
        <f>IFERROR(ROUND(1/SUMPRODUCT(MAX((C155:N155&gt;0)*($C$3:$N$3&lt;=B156)*($C$2:$N$2&gt;AA156)/$C$2:$N$2)),0),0)</f>
        <v/>
      </c>
      <c r="AG156">
        <f>MAX(0,AC156-MAX(0,SUMPRODUCT(($C$2:$N$2=AA156)*(AH156:AS156-$C$7:$N$7))))</f>
        <v/>
      </c>
      <c r="AH156">
        <f>IF(C155&lt;=0,0,ROUND(C155*(1+IF(AND(C$6&gt;0,$B156&lt;C$6),C$4,C$5)/12),2))</f>
        <v/>
      </c>
      <c r="AI156">
        <f>IF(D155&lt;=0,0,ROUND(D155*(1+IF(AND(D$6&gt;0,$B156&lt;D$6),D$4,D$5)/12),2))</f>
        <v/>
      </c>
      <c r="AJ156">
        <f>IF(E155&lt;=0,0,ROUND(E155*(1+IF(AND(E$6&gt;0,$B156&lt;E$6),E$4,E$5)/12),2))</f>
        <v/>
      </c>
      <c r="AK156">
        <f>IF(F155&lt;=0,0,ROUND(F155*(1+IF(AND(F$6&gt;0,$B156&lt;F$6),F$4,F$5)/12),2))</f>
        <v/>
      </c>
      <c r="AL156">
        <f>IF(G155&lt;=0,0,ROUND(G155*(1+IF(AND(G$6&gt;0,$B156&lt;G$6),G$4,G$5)/12),2))</f>
        <v/>
      </c>
      <c r="AM156">
        <f>IF(H155&lt;=0,0,ROUND(H155*(1+IF(AND(H$6&gt;0,$B156&lt;H$6),H$4,H$5)/12),2))</f>
        <v/>
      </c>
      <c r="AN156">
        <f>IF(I155&lt;=0,0,ROUND(I155*(1+IF(AND(I$6&gt;0,$B156&lt;I$6),I$4,I$5)/12),2))</f>
        <v/>
      </c>
      <c r="AO156">
        <f>IF(J155&lt;=0,0,ROUND(J155*(1+IF(AND(J$6&gt;0,$B156&lt;J$6),J$4,J$5)/12),2))</f>
        <v/>
      </c>
      <c r="AP156">
        <f>IF(K155&lt;=0,0,ROUND(K155*(1+IF(AND(K$6&gt;0,$B156&lt;K$6),K$4,K$5)/12),2))</f>
        <v/>
      </c>
      <c r="AQ156">
        <f>IF(L155&lt;=0,0,ROUND(L155*(1+IF(AND(L$6&gt;0,$B156&lt;L$6),L$4,L$5)/12),2))</f>
        <v/>
      </c>
      <c r="AR156">
        <f>IF(M155&lt;=0,0,ROUND(M155*(1+IF(AND(M$6&gt;0,$B156&lt;M$6),M$4,M$5)/12),2))</f>
        <v/>
      </c>
      <c r="AS156">
        <f>IF(N155&lt;=0,0,ROUND(N155*(1+IF(AND(N$6&gt;0,$B156&lt;N$6),N$4,N$5)/12),2))</f>
        <v/>
      </c>
    </row>
    <row r="157">
      <c r="A157" t="n">
        <v>146</v>
      </c>
      <c r="B157">
        <f>EDATE(Plan!$C$6,145)</f>
        <v/>
      </c>
      <c r="C157">
        <f>IF(C156&lt;=0,0,MAX(0,AH157-O157))</f>
        <v/>
      </c>
      <c r="D157">
        <f>IF(D156&lt;=0,0,MAX(0,AI157-P157))</f>
        <v/>
      </c>
      <c r="E157">
        <f>IF(E156&lt;=0,0,MAX(0,AJ157-Q157))</f>
        <v/>
      </c>
      <c r="F157">
        <f>IF(F156&lt;=0,0,MAX(0,AK157-R157))</f>
        <v/>
      </c>
      <c r="G157">
        <f>IF(G156&lt;=0,0,MAX(0,AL157-S157))</f>
        <v/>
      </c>
      <c r="H157">
        <f>IF(H156&lt;=0,0,MAX(0,AM157-T157))</f>
        <v/>
      </c>
      <c r="I157">
        <f>IF(I156&lt;=0,0,MAX(0,AN157-U157))</f>
        <v/>
      </c>
      <c r="J157">
        <f>IF(J156&lt;=0,0,MAX(0,AO157-V157))</f>
        <v/>
      </c>
      <c r="K157">
        <f>IF(K156&lt;=0,0,MAX(0,AP157-W157))</f>
        <v/>
      </c>
      <c r="L157">
        <f>IF(L156&lt;=0,0,MAX(0,AQ157-X157))</f>
        <v/>
      </c>
      <c r="M157">
        <f>IF(M156&lt;=0,0,MAX(0,AR157-Y157))</f>
        <v/>
      </c>
      <c r="N157">
        <f>IF(N156&lt;=0,0,MAX(0,AS157-Z157))</f>
        <v/>
      </c>
      <c r="O157">
        <f>IF(C156&lt;=0,0,MIN(AH157,C$7+IF(C$2=$AA157,$AC157,IF(C$2=$AF157,$AG157,0))))</f>
        <v/>
      </c>
      <c r="P157">
        <f>IF(D156&lt;=0,0,MIN(AI157,D$7+IF(D$2=$AA157,$AC157,IF(D$2=$AF157,$AG157,0))))</f>
        <v/>
      </c>
      <c r="Q157">
        <f>IF(E156&lt;=0,0,MIN(AJ157,E$7+IF(E$2=$AA157,$AC157,IF(E$2=$AF157,$AG157,0))))</f>
        <v/>
      </c>
      <c r="R157">
        <f>IF(F156&lt;=0,0,MIN(AK157,F$7+IF(F$2=$AA157,$AC157,IF(F$2=$AF157,$AG157,0))))</f>
        <v/>
      </c>
      <c r="S157">
        <f>IF(G156&lt;=0,0,MIN(AL157,G$7+IF(G$2=$AA157,$AC157,IF(G$2=$AF157,$AG157,0))))</f>
        <v/>
      </c>
      <c r="T157">
        <f>IF(H156&lt;=0,0,MIN(AM157,H$7+IF(H$2=$AA157,$AC157,IF(H$2=$AF157,$AG157,0))))</f>
        <v/>
      </c>
      <c r="U157">
        <f>IF(I156&lt;=0,0,MIN(AN157,I$7+IF(I$2=$AA157,$AC157,IF(I$2=$AF157,$AG157,0))))</f>
        <v/>
      </c>
      <c r="V157">
        <f>IF(J156&lt;=0,0,MIN(AO157,J$7+IF(J$2=$AA157,$AC157,IF(J$2=$AF157,$AG157,0))))</f>
        <v/>
      </c>
      <c r="W157">
        <f>IF(K156&lt;=0,0,MIN(AP157,K$7+IF(K$2=$AA157,$AC157,IF(K$2=$AF157,$AG157,0))))</f>
        <v/>
      </c>
      <c r="X157">
        <f>IF(L156&lt;=0,0,MIN(AQ157,L$7+IF(L$2=$AA157,$AC157,IF(L$2=$AF157,$AG157,0))))</f>
        <v/>
      </c>
      <c r="Y157">
        <f>IF(M156&lt;=0,0,MIN(AR157,M$7+IF(M$2=$AA157,$AC157,IF(M$2=$AF157,$AG157,0))))</f>
        <v/>
      </c>
      <c r="Z157">
        <f>IF(N156&lt;=0,0,MIN(AS157,N$7+IF(N$2=$AA157,$AC157,IF(N$2=$AF157,$AG157,0))))</f>
        <v/>
      </c>
      <c r="AA157">
        <f>IFERROR(ROUND(1/SUMPRODUCT(MAX((C156:N156&gt;0)*($C$3:$N$3&lt;=B157)/$C$2:$N$2)),0),0)</f>
        <v/>
      </c>
      <c r="AB157">
        <f>SUMPRODUCT((C156:N156&gt;0)*$C$7:$N$7)</f>
        <v/>
      </c>
      <c r="AC157">
        <f>MAX(0,Plan!$C$5-AB157)+IF(A157=Plan!$C$8,N(Plan!$C$7),0)</f>
        <v/>
      </c>
      <c r="AD157">
        <f>SUM(C157:N157)</f>
        <v/>
      </c>
      <c r="AE157">
        <f>SUM(O157:Z157)</f>
        <v/>
      </c>
      <c r="AF157">
        <f>IFERROR(ROUND(1/SUMPRODUCT(MAX((C156:N156&gt;0)*($C$3:$N$3&lt;=B157)*($C$2:$N$2&gt;AA157)/$C$2:$N$2)),0),0)</f>
        <v/>
      </c>
      <c r="AG157">
        <f>MAX(0,AC157-MAX(0,SUMPRODUCT(($C$2:$N$2=AA157)*(AH157:AS157-$C$7:$N$7))))</f>
        <v/>
      </c>
      <c r="AH157">
        <f>IF(C156&lt;=0,0,ROUND(C156*(1+IF(AND(C$6&gt;0,$B157&lt;C$6),C$4,C$5)/12),2))</f>
        <v/>
      </c>
      <c r="AI157">
        <f>IF(D156&lt;=0,0,ROUND(D156*(1+IF(AND(D$6&gt;0,$B157&lt;D$6),D$4,D$5)/12),2))</f>
        <v/>
      </c>
      <c r="AJ157">
        <f>IF(E156&lt;=0,0,ROUND(E156*(1+IF(AND(E$6&gt;0,$B157&lt;E$6),E$4,E$5)/12),2))</f>
        <v/>
      </c>
      <c r="AK157">
        <f>IF(F156&lt;=0,0,ROUND(F156*(1+IF(AND(F$6&gt;0,$B157&lt;F$6),F$4,F$5)/12),2))</f>
        <v/>
      </c>
      <c r="AL157">
        <f>IF(G156&lt;=0,0,ROUND(G156*(1+IF(AND(G$6&gt;0,$B157&lt;G$6),G$4,G$5)/12),2))</f>
        <v/>
      </c>
      <c r="AM157">
        <f>IF(H156&lt;=0,0,ROUND(H156*(1+IF(AND(H$6&gt;0,$B157&lt;H$6),H$4,H$5)/12),2))</f>
        <v/>
      </c>
      <c r="AN157">
        <f>IF(I156&lt;=0,0,ROUND(I156*(1+IF(AND(I$6&gt;0,$B157&lt;I$6),I$4,I$5)/12),2))</f>
        <v/>
      </c>
      <c r="AO157">
        <f>IF(J156&lt;=0,0,ROUND(J156*(1+IF(AND(J$6&gt;0,$B157&lt;J$6),J$4,J$5)/12),2))</f>
        <v/>
      </c>
      <c r="AP157">
        <f>IF(K156&lt;=0,0,ROUND(K156*(1+IF(AND(K$6&gt;0,$B157&lt;K$6),K$4,K$5)/12),2))</f>
        <v/>
      </c>
      <c r="AQ157">
        <f>IF(L156&lt;=0,0,ROUND(L156*(1+IF(AND(L$6&gt;0,$B157&lt;L$6),L$4,L$5)/12),2))</f>
        <v/>
      </c>
      <c r="AR157">
        <f>IF(M156&lt;=0,0,ROUND(M156*(1+IF(AND(M$6&gt;0,$B157&lt;M$6),M$4,M$5)/12),2))</f>
        <v/>
      </c>
      <c r="AS157">
        <f>IF(N156&lt;=0,0,ROUND(N156*(1+IF(AND(N$6&gt;0,$B157&lt;N$6),N$4,N$5)/12),2))</f>
        <v/>
      </c>
    </row>
    <row r="158">
      <c r="A158" t="n">
        <v>147</v>
      </c>
      <c r="B158">
        <f>EDATE(Plan!$C$6,146)</f>
        <v/>
      </c>
      <c r="C158">
        <f>IF(C157&lt;=0,0,MAX(0,AH158-O158))</f>
        <v/>
      </c>
      <c r="D158">
        <f>IF(D157&lt;=0,0,MAX(0,AI158-P158))</f>
        <v/>
      </c>
      <c r="E158">
        <f>IF(E157&lt;=0,0,MAX(0,AJ158-Q158))</f>
        <v/>
      </c>
      <c r="F158">
        <f>IF(F157&lt;=0,0,MAX(0,AK158-R158))</f>
        <v/>
      </c>
      <c r="G158">
        <f>IF(G157&lt;=0,0,MAX(0,AL158-S158))</f>
        <v/>
      </c>
      <c r="H158">
        <f>IF(H157&lt;=0,0,MAX(0,AM158-T158))</f>
        <v/>
      </c>
      <c r="I158">
        <f>IF(I157&lt;=0,0,MAX(0,AN158-U158))</f>
        <v/>
      </c>
      <c r="J158">
        <f>IF(J157&lt;=0,0,MAX(0,AO158-V158))</f>
        <v/>
      </c>
      <c r="K158">
        <f>IF(K157&lt;=0,0,MAX(0,AP158-W158))</f>
        <v/>
      </c>
      <c r="L158">
        <f>IF(L157&lt;=0,0,MAX(0,AQ158-X158))</f>
        <v/>
      </c>
      <c r="M158">
        <f>IF(M157&lt;=0,0,MAX(0,AR158-Y158))</f>
        <v/>
      </c>
      <c r="N158">
        <f>IF(N157&lt;=0,0,MAX(0,AS158-Z158))</f>
        <v/>
      </c>
      <c r="O158">
        <f>IF(C157&lt;=0,0,MIN(AH158,C$7+IF(C$2=$AA158,$AC158,IF(C$2=$AF158,$AG158,0))))</f>
        <v/>
      </c>
      <c r="P158">
        <f>IF(D157&lt;=0,0,MIN(AI158,D$7+IF(D$2=$AA158,$AC158,IF(D$2=$AF158,$AG158,0))))</f>
        <v/>
      </c>
      <c r="Q158">
        <f>IF(E157&lt;=0,0,MIN(AJ158,E$7+IF(E$2=$AA158,$AC158,IF(E$2=$AF158,$AG158,0))))</f>
        <v/>
      </c>
      <c r="R158">
        <f>IF(F157&lt;=0,0,MIN(AK158,F$7+IF(F$2=$AA158,$AC158,IF(F$2=$AF158,$AG158,0))))</f>
        <v/>
      </c>
      <c r="S158">
        <f>IF(G157&lt;=0,0,MIN(AL158,G$7+IF(G$2=$AA158,$AC158,IF(G$2=$AF158,$AG158,0))))</f>
        <v/>
      </c>
      <c r="T158">
        <f>IF(H157&lt;=0,0,MIN(AM158,H$7+IF(H$2=$AA158,$AC158,IF(H$2=$AF158,$AG158,0))))</f>
        <v/>
      </c>
      <c r="U158">
        <f>IF(I157&lt;=0,0,MIN(AN158,I$7+IF(I$2=$AA158,$AC158,IF(I$2=$AF158,$AG158,0))))</f>
        <v/>
      </c>
      <c r="V158">
        <f>IF(J157&lt;=0,0,MIN(AO158,J$7+IF(J$2=$AA158,$AC158,IF(J$2=$AF158,$AG158,0))))</f>
        <v/>
      </c>
      <c r="W158">
        <f>IF(K157&lt;=0,0,MIN(AP158,K$7+IF(K$2=$AA158,$AC158,IF(K$2=$AF158,$AG158,0))))</f>
        <v/>
      </c>
      <c r="X158">
        <f>IF(L157&lt;=0,0,MIN(AQ158,L$7+IF(L$2=$AA158,$AC158,IF(L$2=$AF158,$AG158,0))))</f>
        <v/>
      </c>
      <c r="Y158">
        <f>IF(M157&lt;=0,0,MIN(AR158,M$7+IF(M$2=$AA158,$AC158,IF(M$2=$AF158,$AG158,0))))</f>
        <v/>
      </c>
      <c r="Z158">
        <f>IF(N157&lt;=0,0,MIN(AS158,N$7+IF(N$2=$AA158,$AC158,IF(N$2=$AF158,$AG158,0))))</f>
        <v/>
      </c>
      <c r="AA158">
        <f>IFERROR(ROUND(1/SUMPRODUCT(MAX((C157:N157&gt;0)*($C$3:$N$3&lt;=B158)/$C$2:$N$2)),0),0)</f>
        <v/>
      </c>
      <c r="AB158">
        <f>SUMPRODUCT((C157:N157&gt;0)*$C$7:$N$7)</f>
        <v/>
      </c>
      <c r="AC158">
        <f>MAX(0,Plan!$C$5-AB158)+IF(A158=Plan!$C$8,N(Plan!$C$7),0)</f>
        <v/>
      </c>
      <c r="AD158">
        <f>SUM(C158:N158)</f>
        <v/>
      </c>
      <c r="AE158">
        <f>SUM(O158:Z158)</f>
        <v/>
      </c>
      <c r="AF158">
        <f>IFERROR(ROUND(1/SUMPRODUCT(MAX((C157:N157&gt;0)*($C$3:$N$3&lt;=B158)*($C$2:$N$2&gt;AA158)/$C$2:$N$2)),0),0)</f>
        <v/>
      </c>
      <c r="AG158">
        <f>MAX(0,AC158-MAX(0,SUMPRODUCT(($C$2:$N$2=AA158)*(AH158:AS158-$C$7:$N$7))))</f>
        <v/>
      </c>
      <c r="AH158">
        <f>IF(C157&lt;=0,0,ROUND(C157*(1+IF(AND(C$6&gt;0,$B158&lt;C$6),C$4,C$5)/12),2))</f>
        <v/>
      </c>
      <c r="AI158">
        <f>IF(D157&lt;=0,0,ROUND(D157*(1+IF(AND(D$6&gt;0,$B158&lt;D$6),D$4,D$5)/12),2))</f>
        <v/>
      </c>
      <c r="AJ158">
        <f>IF(E157&lt;=0,0,ROUND(E157*(1+IF(AND(E$6&gt;0,$B158&lt;E$6),E$4,E$5)/12),2))</f>
        <v/>
      </c>
      <c r="AK158">
        <f>IF(F157&lt;=0,0,ROUND(F157*(1+IF(AND(F$6&gt;0,$B158&lt;F$6),F$4,F$5)/12),2))</f>
        <v/>
      </c>
      <c r="AL158">
        <f>IF(G157&lt;=0,0,ROUND(G157*(1+IF(AND(G$6&gt;0,$B158&lt;G$6),G$4,G$5)/12),2))</f>
        <v/>
      </c>
      <c r="AM158">
        <f>IF(H157&lt;=0,0,ROUND(H157*(1+IF(AND(H$6&gt;0,$B158&lt;H$6),H$4,H$5)/12),2))</f>
        <v/>
      </c>
      <c r="AN158">
        <f>IF(I157&lt;=0,0,ROUND(I157*(1+IF(AND(I$6&gt;0,$B158&lt;I$6),I$4,I$5)/12),2))</f>
        <v/>
      </c>
      <c r="AO158">
        <f>IF(J157&lt;=0,0,ROUND(J157*(1+IF(AND(J$6&gt;0,$B158&lt;J$6),J$4,J$5)/12),2))</f>
        <v/>
      </c>
      <c r="AP158">
        <f>IF(K157&lt;=0,0,ROUND(K157*(1+IF(AND(K$6&gt;0,$B158&lt;K$6),K$4,K$5)/12),2))</f>
        <v/>
      </c>
      <c r="AQ158">
        <f>IF(L157&lt;=0,0,ROUND(L157*(1+IF(AND(L$6&gt;0,$B158&lt;L$6),L$4,L$5)/12),2))</f>
        <v/>
      </c>
      <c r="AR158">
        <f>IF(M157&lt;=0,0,ROUND(M157*(1+IF(AND(M$6&gt;0,$B158&lt;M$6),M$4,M$5)/12),2))</f>
        <v/>
      </c>
      <c r="AS158">
        <f>IF(N157&lt;=0,0,ROUND(N157*(1+IF(AND(N$6&gt;0,$B158&lt;N$6),N$4,N$5)/12),2))</f>
        <v/>
      </c>
    </row>
    <row r="159">
      <c r="A159" t="n">
        <v>148</v>
      </c>
      <c r="B159">
        <f>EDATE(Plan!$C$6,147)</f>
        <v/>
      </c>
      <c r="C159">
        <f>IF(C158&lt;=0,0,MAX(0,AH159-O159))</f>
        <v/>
      </c>
      <c r="D159">
        <f>IF(D158&lt;=0,0,MAX(0,AI159-P159))</f>
        <v/>
      </c>
      <c r="E159">
        <f>IF(E158&lt;=0,0,MAX(0,AJ159-Q159))</f>
        <v/>
      </c>
      <c r="F159">
        <f>IF(F158&lt;=0,0,MAX(0,AK159-R159))</f>
        <v/>
      </c>
      <c r="G159">
        <f>IF(G158&lt;=0,0,MAX(0,AL159-S159))</f>
        <v/>
      </c>
      <c r="H159">
        <f>IF(H158&lt;=0,0,MAX(0,AM159-T159))</f>
        <v/>
      </c>
      <c r="I159">
        <f>IF(I158&lt;=0,0,MAX(0,AN159-U159))</f>
        <v/>
      </c>
      <c r="J159">
        <f>IF(J158&lt;=0,0,MAX(0,AO159-V159))</f>
        <v/>
      </c>
      <c r="K159">
        <f>IF(K158&lt;=0,0,MAX(0,AP159-W159))</f>
        <v/>
      </c>
      <c r="L159">
        <f>IF(L158&lt;=0,0,MAX(0,AQ159-X159))</f>
        <v/>
      </c>
      <c r="M159">
        <f>IF(M158&lt;=0,0,MAX(0,AR159-Y159))</f>
        <v/>
      </c>
      <c r="N159">
        <f>IF(N158&lt;=0,0,MAX(0,AS159-Z159))</f>
        <v/>
      </c>
      <c r="O159">
        <f>IF(C158&lt;=0,0,MIN(AH159,C$7+IF(C$2=$AA159,$AC159,IF(C$2=$AF159,$AG159,0))))</f>
        <v/>
      </c>
      <c r="P159">
        <f>IF(D158&lt;=0,0,MIN(AI159,D$7+IF(D$2=$AA159,$AC159,IF(D$2=$AF159,$AG159,0))))</f>
        <v/>
      </c>
      <c r="Q159">
        <f>IF(E158&lt;=0,0,MIN(AJ159,E$7+IF(E$2=$AA159,$AC159,IF(E$2=$AF159,$AG159,0))))</f>
        <v/>
      </c>
      <c r="R159">
        <f>IF(F158&lt;=0,0,MIN(AK159,F$7+IF(F$2=$AA159,$AC159,IF(F$2=$AF159,$AG159,0))))</f>
        <v/>
      </c>
      <c r="S159">
        <f>IF(G158&lt;=0,0,MIN(AL159,G$7+IF(G$2=$AA159,$AC159,IF(G$2=$AF159,$AG159,0))))</f>
        <v/>
      </c>
      <c r="T159">
        <f>IF(H158&lt;=0,0,MIN(AM159,H$7+IF(H$2=$AA159,$AC159,IF(H$2=$AF159,$AG159,0))))</f>
        <v/>
      </c>
      <c r="U159">
        <f>IF(I158&lt;=0,0,MIN(AN159,I$7+IF(I$2=$AA159,$AC159,IF(I$2=$AF159,$AG159,0))))</f>
        <v/>
      </c>
      <c r="V159">
        <f>IF(J158&lt;=0,0,MIN(AO159,J$7+IF(J$2=$AA159,$AC159,IF(J$2=$AF159,$AG159,0))))</f>
        <v/>
      </c>
      <c r="W159">
        <f>IF(K158&lt;=0,0,MIN(AP159,K$7+IF(K$2=$AA159,$AC159,IF(K$2=$AF159,$AG159,0))))</f>
        <v/>
      </c>
      <c r="X159">
        <f>IF(L158&lt;=0,0,MIN(AQ159,L$7+IF(L$2=$AA159,$AC159,IF(L$2=$AF159,$AG159,0))))</f>
        <v/>
      </c>
      <c r="Y159">
        <f>IF(M158&lt;=0,0,MIN(AR159,M$7+IF(M$2=$AA159,$AC159,IF(M$2=$AF159,$AG159,0))))</f>
        <v/>
      </c>
      <c r="Z159">
        <f>IF(N158&lt;=0,0,MIN(AS159,N$7+IF(N$2=$AA159,$AC159,IF(N$2=$AF159,$AG159,0))))</f>
        <v/>
      </c>
      <c r="AA159">
        <f>IFERROR(ROUND(1/SUMPRODUCT(MAX((C158:N158&gt;0)*($C$3:$N$3&lt;=B159)/$C$2:$N$2)),0),0)</f>
        <v/>
      </c>
      <c r="AB159">
        <f>SUMPRODUCT((C158:N158&gt;0)*$C$7:$N$7)</f>
        <v/>
      </c>
      <c r="AC159">
        <f>MAX(0,Plan!$C$5-AB159)+IF(A159=Plan!$C$8,N(Plan!$C$7),0)</f>
        <v/>
      </c>
      <c r="AD159">
        <f>SUM(C159:N159)</f>
        <v/>
      </c>
      <c r="AE159">
        <f>SUM(O159:Z159)</f>
        <v/>
      </c>
      <c r="AF159">
        <f>IFERROR(ROUND(1/SUMPRODUCT(MAX((C158:N158&gt;0)*($C$3:$N$3&lt;=B159)*($C$2:$N$2&gt;AA159)/$C$2:$N$2)),0),0)</f>
        <v/>
      </c>
      <c r="AG159">
        <f>MAX(0,AC159-MAX(0,SUMPRODUCT(($C$2:$N$2=AA159)*(AH159:AS159-$C$7:$N$7))))</f>
        <v/>
      </c>
      <c r="AH159">
        <f>IF(C158&lt;=0,0,ROUND(C158*(1+IF(AND(C$6&gt;0,$B159&lt;C$6),C$4,C$5)/12),2))</f>
        <v/>
      </c>
      <c r="AI159">
        <f>IF(D158&lt;=0,0,ROUND(D158*(1+IF(AND(D$6&gt;0,$B159&lt;D$6),D$4,D$5)/12),2))</f>
        <v/>
      </c>
      <c r="AJ159">
        <f>IF(E158&lt;=0,0,ROUND(E158*(1+IF(AND(E$6&gt;0,$B159&lt;E$6),E$4,E$5)/12),2))</f>
        <v/>
      </c>
      <c r="AK159">
        <f>IF(F158&lt;=0,0,ROUND(F158*(1+IF(AND(F$6&gt;0,$B159&lt;F$6),F$4,F$5)/12),2))</f>
        <v/>
      </c>
      <c r="AL159">
        <f>IF(G158&lt;=0,0,ROUND(G158*(1+IF(AND(G$6&gt;0,$B159&lt;G$6),G$4,G$5)/12),2))</f>
        <v/>
      </c>
      <c r="AM159">
        <f>IF(H158&lt;=0,0,ROUND(H158*(1+IF(AND(H$6&gt;0,$B159&lt;H$6),H$4,H$5)/12),2))</f>
        <v/>
      </c>
      <c r="AN159">
        <f>IF(I158&lt;=0,0,ROUND(I158*(1+IF(AND(I$6&gt;0,$B159&lt;I$6),I$4,I$5)/12),2))</f>
        <v/>
      </c>
      <c r="AO159">
        <f>IF(J158&lt;=0,0,ROUND(J158*(1+IF(AND(J$6&gt;0,$B159&lt;J$6),J$4,J$5)/12),2))</f>
        <v/>
      </c>
      <c r="AP159">
        <f>IF(K158&lt;=0,0,ROUND(K158*(1+IF(AND(K$6&gt;0,$B159&lt;K$6),K$4,K$5)/12),2))</f>
        <v/>
      </c>
      <c r="AQ159">
        <f>IF(L158&lt;=0,0,ROUND(L158*(1+IF(AND(L$6&gt;0,$B159&lt;L$6),L$4,L$5)/12),2))</f>
        <v/>
      </c>
      <c r="AR159">
        <f>IF(M158&lt;=0,0,ROUND(M158*(1+IF(AND(M$6&gt;0,$B159&lt;M$6),M$4,M$5)/12),2))</f>
        <v/>
      </c>
      <c r="AS159">
        <f>IF(N158&lt;=0,0,ROUND(N158*(1+IF(AND(N$6&gt;0,$B159&lt;N$6),N$4,N$5)/12),2))</f>
        <v/>
      </c>
    </row>
    <row r="160">
      <c r="A160" t="n">
        <v>149</v>
      </c>
      <c r="B160">
        <f>EDATE(Plan!$C$6,148)</f>
        <v/>
      </c>
      <c r="C160">
        <f>IF(C159&lt;=0,0,MAX(0,AH160-O160))</f>
        <v/>
      </c>
      <c r="D160">
        <f>IF(D159&lt;=0,0,MAX(0,AI160-P160))</f>
        <v/>
      </c>
      <c r="E160">
        <f>IF(E159&lt;=0,0,MAX(0,AJ160-Q160))</f>
        <v/>
      </c>
      <c r="F160">
        <f>IF(F159&lt;=0,0,MAX(0,AK160-R160))</f>
        <v/>
      </c>
      <c r="G160">
        <f>IF(G159&lt;=0,0,MAX(0,AL160-S160))</f>
        <v/>
      </c>
      <c r="H160">
        <f>IF(H159&lt;=0,0,MAX(0,AM160-T160))</f>
        <v/>
      </c>
      <c r="I160">
        <f>IF(I159&lt;=0,0,MAX(0,AN160-U160))</f>
        <v/>
      </c>
      <c r="J160">
        <f>IF(J159&lt;=0,0,MAX(0,AO160-V160))</f>
        <v/>
      </c>
      <c r="K160">
        <f>IF(K159&lt;=0,0,MAX(0,AP160-W160))</f>
        <v/>
      </c>
      <c r="L160">
        <f>IF(L159&lt;=0,0,MAX(0,AQ160-X160))</f>
        <v/>
      </c>
      <c r="M160">
        <f>IF(M159&lt;=0,0,MAX(0,AR160-Y160))</f>
        <v/>
      </c>
      <c r="N160">
        <f>IF(N159&lt;=0,0,MAX(0,AS160-Z160))</f>
        <v/>
      </c>
      <c r="O160">
        <f>IF(C159&lt;=0,0,MIN(AH160,C$7+IF(C$2=$AA160,$AC160,IF(C$2=$AF160,$AG160,0))))</f>
        <v/>
      </c>
      <c r="P160">
        <f>IF(D159&lt;=0,0,MIN(AI160,D$7+IF(D$2=$AA160,$AC160,IF(D$2=$AF160,$AG160,0))))</f>
        <v/>
      </c>
      <c r="Q160">
        <f>IF(E159&lt;=0,0,MIN(AJ160,E$7+IF(E$2=$AA160,$AC160,IF(E$2=$AF160,$AG160,0))))</f>
        <v/>
      </c>
      <c r="R160">
        <f>IF(F159&lt;=0,0,MIN(AK160,F$7+IF(F$2=$AA160,$AC160,IF(F$2=$AF160,$AG160,0))))</f>
        <v/>
      </c>
      <c r="S160">
        <f>IF(G159&lt;=0,0,MIN(AL160,G$7+IF(G$2=$AA160,$AC160,IF(G$2=$AF160,$AG160,0))))</f>
        <v/>
      </c>
      <c r="T160">
        <f>IF(H159&lt;=0,0,MIN(AM160,H$7+IF(H$2=$AA160,$AC160,IF(H$2=$AF160,$AG160,0))))</f>
        <v/>
      </c>
      <c r="U160">
        <f>IF(I159&lt;=0,0,MIN(AN160,I$7+IF(I$2=$AA160,$AC160,IF(I$2=$AF160,$AG160,0))))</f>
        <v/>
      </c>
      <c r="V160">
        <f>IF(J159&lt;=0,0,MIN(AO160,J$7+IF(J$2=$AA160,$AC160,IF(J$2=$AF160,$AG160,0))))</f>
        <v/>
      </c>
      <c r="W160">
        <f>IF(K159&lt;=0,0,MIN(AP160,K$7+IF(K$2=$AA160,$AC160,IF(K$2=$AF160,$AG160,0))))</f>
        <v/>
      </c>
      <c r="X160">
        <f>IF(L159&lt;=0,0,MIN(AQ160,L$7+IF(L$2=$AA160,$AC160,IF(L$2=$AF160,$AG160,0))))</f>
        <v/>
      </c>
      <c r="Y160">
        <f>IF(M159&lt;=0,0,MIN(AR160,M$7+IF(M$2=$AA160,$AC160,IF(M$2=$AF160,$AG160,0))))</f>
        <v/>
      </c>
      <c r="Z160">
        <f>IF(N159&lt;=0,0,MIN(AS160,N$7+IF(N$2=$AA160,$AC160,IF(N$2=$AF160,$AG160,0))))</f>
        <v/>
      </c>
      <c r="AA160">
        <f>IFERROR(ROUND(1/SUMPRODUCT(MAX((C159:N159&gt;0)*($C$3:$N$3&lt;=B160)/$C$2:$N$2)),0),0)</f>
        <v/>
      </c>
      <c r="AB160">
        <f>SUMPRODUCT((C159:N159&gt;0)*$C$7:$N$7)</f>
        <v/>
      </c>
      <c r="AC160">
        <f>MAX(0,Plan!$C$5-AB160)+IF(A160=Plan!$C$8,N(Plan!$C$7),0)</f>
        <v/>
      </c>
      <c r="AD160">
        <f>SUM(C160:N160)</f>
        <v/>
      </c>
      <c r="AE160">
        <f>SUM(O160:Z160)</f>
        <v/>
      </c>
      <c r="AF160">
        <f>IFERROR(ROUND(1/SUMPRODUCT(MAX((C159:N159&gt;0)*($C$3:$N$3&lt;=B160)*($C$2:$N$2&gt;AA160)/$C$2:$N$2)),0),0)</f>
        <v/>
      </c>
      <c r="AG160">
        <f>MAX(0,AC160-MAX(0,SUMPRODUCT(($C$2:$N$2=AA160)*(AH160:AS160-$C$7:$N$7))))</f>
        <v/>
      </c>
      <c r="AH160">
        <f>IF(C159&lt;=0,0,ROUND(C159*(1+IF(AND(C$6&gt;0,$B160&lt;C$6),C$4,C$5)/12),2))</f>
        <v/>
      </c>
      <c r="AI160">
        <f>IF(D159&lt;=0,0,ROUND(D159*(1+IF(AND(D$6&gt;0,$B160&lt;D$6),D$4,D$5)/12),2))</f>
        <v/>
      </c>
      <c r="AJ160">
        <f>IF(E159&lt;=0,0,ROUND(E159*(1+IF(AND(E$6&gt;0,$B160&lt;E$6),E$4,E$5)/12),2))</f>
        <v/>
      </c>
      <c r="AK160">
        <f>IF(F159&lt;=0,0,ROUND(F159*(1+IF(AND(F$6&gt;0,$B160&lt;F$6),F$4,F$5)/12),2))</f>
        <v/>
      </c>
      <c r="AL160">
        <f>IF(G159&lt;=0,0,ROUND(G159*(1+IF(AND(G$6&gt;0,$B160&lt;G$6),G$4,G$5)/12),2))</f>
        <v/>
      </c>
      <c r="AM160">
        <f>IF(H159&lt;=0,0,ROUND(H159*(1+IF(AND(H$6&gt;0,$B160&lt;H$6),H$4,H$5)/12),2))</f>
        <v/>
      </c>
      <c r="AN160">
        <f>IF(I159&lt;=0,0,ROUND(I159*(1+IF(AND(I$6&gt;0,$B160&lt;I$6),I$4,I$5)/12),2))</f>
        <v/>
      </c>
      <c r="AO160">
        <f>IF(J159&lt;=0,0,ROUND(J159*(1+IF(AND(J$6&gt;0,$B160&lt;J$6),J$4,J$5)/12),2))</f>
        <v/>
      </c>
      <c r="AP160">
        <f>IF(K159&lt;=0,0,ROUND(K159*(1+IF(AND(K$6&gt;0,$B160&lt;K$6),K$4,K$5)/12),2))</f>
        <v/>
      </c>
      <c r="AQ160">
        <f>IF(L159&lt;=0,0,ROUND(L159*(1+IF(AND(L$6&gt;0,$B160&lt;L$6),L$4,L$5)/12),2))</f>
        <v/>
      </c>
      <c r="AR160">
        <f>IF(M159&lt;=0,0,ROUND(M159*(1+IF(AND(M$6&gt;0,$B160&lt;M$6),M$4,M$5)/12),2))</f>
        <v/>
      </c>
      <c r="AS160">
        <f>IF(N159&lt;=0,0,ROUND(N159*(1+IF(AND(N$6&gt;0,$B160&lt;N$6),N$4,N$5)/12),2))</f>
        <v/>
      </c>
    </row>
    <row r="161">
      <c r="A161" t="n">
        <v>150</v>
      </c>
      <c r="B161">
        <f>EDATE(Plan!$C$6,149)</f>
        <v/>
      </c>
      <c r="C161">
        <f>IF(C160&lt;=0,0,MAX(0,AH161-O161))</f>
        <v/>
      </c>
      <c r="D161">
        <f>IF(D160&lt;=0,0,MAX(0,AI161-P161))</f>
        <v/>
      </c>
      <c r="E161">
        <f>IF(E160&lt;=0,0,MAX(0,AJ161-Q161))</f>
        <v/>
      </c>
      <c r="F161">
        <f>IF(F160&lt;=0,0,MAX(0,AK161-R161))</f>
        <v/>
      </c>
      <c r="G161">
        <f>IF(G160&lt;=0,0,MAX(0,AL161-S161))</f>
        <v/>
      </c>
      <c r="H161">
        <f>IF(H160&lt;=0,0,MAX(0,AM161-T161))</f>
        <v/>
      </c>
      <c r="I161">
        <f>IF(I160&lt;=0,0,MAX(0,AN161-U161))</f>
        <v/>
      </c>
      <c r="J161">
        <f>IF(J160&lt;=0,0,MAX(0,AO161-V161))</f>
        <v/>
      </c>
      <c r="K161">
        <f>IF(K160&lt;=0,0,MAX(0,AP161-W161))</f>
        <v/>
      </c>
      <c r="L161">
        <f>IF(L160&lt;=0,0,MAX(0,AQ161-X161))</f>
        <v/>
      </c>
      <c r="M161">
        <f>IF(M160&lt;=0,0,MAX(0,AR161-Y161))</f>
        <v/>
      </c>
      <c r="N161">
        <f>IF(N160&lt;=0,0,MAX(0,AS161-Z161))</f>
        <v/>
      </c>
      <c r="O161">
        <f>IF(C160&lt;=0,0,MIN(AH161,C$7+IF(C$2=$AA161,$AC161,IF(C$2=$AF161,$AG161,0))))</f>
        <v/>
      </c>
      <c r="P161">
        <f>IF(D160&lt;=0,0,MIN(AI161,D$7+IF(D$2=$AA161,$AC161,IF(D$2=$AF161,$AG161,0))))</f>
        <v/>
      </c>
      <c r="Q161">
        <f>IF(E160&lt;=0,0,MIN(AJ161,E$7+IF(E$2=$AA161,$AC161,IF(E$2=$AF161,$AG161,0))))</f>
        <v/>
      </c>
      <c r="R161">
        <f>IF(F160&lt;=0,0,MIN(AK161,F$7+IF(F$2=$AA161,$AC161,IF(F$2=$AF161,$AG161,0))))</f>
        <v/>
      </c>
      <c r="S161">
        <f>IF(G160&lt;=0,0,MIN(AL161,G$7+IF(G$2=$AA161,$AC161,IF(G$2=$AF161,$AG161,0))))</f>
        <v/>
      </c>
      <c r="T161">
        <f>IF(H160&lt;=0,0,MIN(AM161,H$7+IF(H$2=$AA161,$AC161,IF(H$2=$AF161,$AG161,0))))</f>
        <v/>
      </c>
      <c r="U161">
        <f>IF(I160&lt;=0,0,MIN(AN161,I$7+IF(I$2=$AA161,$AC161,IF(I$2=$AF161,$AG161,0))))</f>
        <v/>
      </c>
      <c r="V161">
        <f>IF(J160&lt;=0,0,MIN(AO161,J$7+IF(J$2=$AA161,$AC161,IF(J$2=$AF161,$AG161,0))))</f>
        <v/>
      </c>
      <c r="W161">
        <f>IF(K160&lt;=0,0,MIN(AP161,K$7+IF(K$2=$AA161,$AC161,IF(K$2=$AF161,$AG161,0))))</f>
        <v/>
      </c>
      <c r="X161">
        <f>IF(L160&lt;=0,0,MIN(AQ161,L$7+IF(L$2=$AA161,$AC161,IF(L$2=$AF161,$AG161,0))))</f>
        <v/>
      </c>
      <c r="Y161">
        <f>IF(M160&lt;=0,0,MIN(AR161,M$7+IF(M$2=$AA161,$AC161,IF(M$2=$AF161,$AG161,0))))</f>
        <v/>
      </c>
      <c r="Z161">
        <f>IF(N160&lt;=0,0,MIN(AS161,N$7+IF(N$2=$AA161,$AC161,IF(N$2=$AF161,$AG161,0))))</f>
        <v/>
      </c>
      <c r="AA161">
        <f>IFERROR(ROUND(1/SUMPRODUCT(MAX((C160:N160&gt;0)*($C$3:$N$3&lt;=B161)/$C$2:$N$2)),0),0)</f>
        <v/>
      </c>
      <c r="AB161">
        <f>SUMPRODUCT((C160:N160&gt;0)*$C$7:$N$7)</f>
        <v/>
      </c>
      <c r="AC161">
        <f>MAX(0,Plan!$C$5-AB161)+IF(A161=Plan!$C$8,N(Plan!$C$7),0)</f>
        <v/>
      </c>
      <c r="AD161">
        <f>SUM(C161:N161)</f>
        <v/>
      </c>
      <c r="AE161">
        <f>SUM(O161:Z161)</f>
        <v/>
      </c>
      <c r="AF161">
        <f>IFERROR(ROUND(1/SUMPRODUCT(MAX((C160:N160&gt;0)*($C$3:$N$3&lt;=B161)*($C$2:$N$2&gt;AA161)/$C$2:$N$2)),0),0)</f>
        <v/>
      </c>
      <c r="AG161">
        <f>MAX(0,AC161-MAX(0,SUMPRODUCT(($C$2:$N$2=AA161)*(AH161:AS161-$C$7:$N$7))))</f>
        <v/>
      </c>
      <c r="AH161">
        <f>IF(C160&lt;=0,0,ROUND(C160*(1+IF(AND(C$6&gt;0,$B161&lt;C$6),C$4,C$5)/12),2))</f>
        <v/>
      </c>
      <c r="AI161">
        <f>IF(D160&lt;=0,0,ROUND(D160*(1+IF(AND(D$6&gt;0,$B161&lt;D$6),D$4,D$5)/12),2))</f>
        <v/>
      </c>
      <c r="AJ161">
        <f>IF(E160&lt;=0,0,ROUND(E160*(1+IF(AND(E$6&gt;0,$B161&lt;E$6),E$4,E$5)/12),2))</f>
        <v/>
      </c>
      <c r="AK161">
        <f>IF(F160&lt;=0,0,ROUND(F160*(1+IF(AND(F$6&gt;0,$B161&lt;F$6),F$4,F$5)/12),2))</f>
        <v/>
      </c>
      <c r="AL161">
        <f>IF(G160&lt;=0,0,ROUND(G160*(1+IF(AND(G$6&gt;0,$B161&lt;G$6),G$4,G$5)/12),2))</f>
        <v/>
      </c>
      <c r="AM161">
        <f>IF(H160&lt;=0,0,ROUND(H160*(1+IF(AND(H$6&gt;0,$B161&lt;H$6),H$4,H$5)/12),2))</f>
        <v/>
      </c>
      <c r="AN161">
        <f>IF(I160&lt;=0,0,ROUND(I160*(1+IF(AND(I$6&gt;0,$B161&lt;I$6),I$4,I$5)/12),2))</f>
        <v/>
      </c>
      <c r="AO161">
        <f>IF(J160&lt;=0,0,ROUND(J160*(1+IF(AND(J$6&gt;0,$B161&lt;J$6),J$4,J$5)/12),2))</f>
        <v/>
      </c>
      <c r="AP161">
        <f>IF(K160&lt;=0,0,ROUND(K160*(1+IF(AND(K$6&gt;0,$B161&lt;K$6),K$4,K$5)/12),2))</f>
        <v/>
      </c>
      <c r="AQ161">
        <f>IF(L160&lt;=0,0,ROUND(L160*(1+IF(AND(L$6&gt;0,$B161&lt;L$6),L$4,L$5)/12),2))</f>
        <v/>
      </c>
      <c r="AR161">
        <f>IF(M160&lt;=0,0,ROUND(M160*(1+IF(AND(M$6&gt;0,$B161&lt;M$6),M$4,M$5)/12),2))</f>
        <v/>
      </c>
      <c r="AS161">
        <f>IF(N160&lt;=0,0,ROUND(N160*(1+IF(AND(N$6&gt;0,$B161&lt;N$6),N$4,N$5)/12),2))</f>
        <v/>
      </c>
    </row>
    <row r="162">
      <c r="A162" t="n">
        <v>151</v>
      </c>
      <c r="B162">
        <f>EDATE(Plan!$C$6,150)</f>
        <v/>
      </c>
      <c r="C162">
        <f>IF(C161&lt;=0,0,MAX(0,AH162-O162))</f>
        <v/>
      </c>
      <c r="D162">
        <f>IF(D161&lt;=0,0,MAX(0,AI162-P162))</f>
        <v/>
      </c>
      <c r="E162">
        <f>IF(E161&lt;=0,0,MAX(0,AJ162-Q162))</f>
        <v/>
      </c>
      <c r="F162">
        <f>IF(F161&lt;=0,0,MAX(0,AK162-R162))</f>
        <v/>
      </c>
      <c r="G162">
        <f>IF(G161&lt;=0,0,MAX(0,AL162-S162))</f>
        <v/>
      </c>
      <c r="H162">
        <f>IF(H161&lt;=0,0,MAX(0,AM162-T162))</f>
        <v/>
      </c>
      <c r="I162">
        <f>IF(I161&lt;=0,0,MAX(0,AN162-U162))</f>
        <v/>
      </c>
      <c r="J162">
        <f>IF(J161&lt;=0,0,MAX(0,AO162-V162))</f>
        <v/>
      </c>
      <c r="K162">
        <f>IF(K161&lt;=0,0,MAX(0,AP162-W162))</f>
        <v/>
      </c>
      <c r="L162">
        <f>IF(L161&lt;=0,0,MAX(0,AQ162-X162))</f>
        <v/>
      </c>
      <c r="M162">
        <f>IF(M161&lt;=0,0,MAX(0,AR162-Y162))</f>
        <v/>
      </c>
      <c r="N162">
        <f>IF(N161&lt;=0,0,MAX(0,AS162-Z162))</f>
        <v/>
      </c>
      <c r="O162">
        <f>IF(C161&lt;=0,0,MIN(AH162,C$7+IF(C$2=$AA162,$AC162,IF(C$2=$AF162,$AG162,0))))</f>
        <v/>
      </c>
      <c r="P162">
        <f>IF(D161&lt;=0,0,MIN(AI162,D$7+IF(D$2=$AA162,$AC162,IF(D$2=$AF162,$AG162,0))))</f>
        <v/>
      </c>
      <c r="Q162">
        <f>IF(E161&lt;=0,0,MIN(AJ162,E$7+IF(E$2=$AA162,$AC162,IF(E$2=$AF162,$AG162,0))))</f>
        <v/>
      </c>
      <c r="R162">
        <f>IF(F161&lt;=0,0,MIN(AK162,F$7+IF(F$2=$AA162,$AC162,IF(F$2=$AF162,$AG162,0))))</f>
        <v/>
      </c>
      <c r="S162">
        <f>IF(G161&lt;=0,0,MIN(AL162,G$7+IF(G$2=$AA162,$AC162,IF(G$2=$AF162,$AG162,0))))</f>
        <v/>
      </c>
      <c r="T162">
        <f>IF(H161&lt;=0,0,MIN(AM162,H$7+IF(H$2=$AA162,$AC162,IF(H$2=$AF162,$AG162,0))))</f>
        <v/>
      </c>
      <c r="U162">
        <f>IF(I161&lt;=0,0,MIN(AN162,I$7+IF(I$2=$AA162,$AC162,IF(I$2=$AF162,$AG162,0))))</f>
        <v/>
      </c>
      <c r="V162">
        <f>IF(J161&lt;=0,0,MIN(AO162,J$7+IF(J$2=$AA162,$AC162,IF(J$2=$AF162,$AG162,0))))</f>
        <v/>
      </c>
      <c r="W162">
        <f>IF(K161&lt;=0,0,MIN(AP162,K$7+IF(K$2=$AA162,$AC162,IF(K$2=$AF162,$AG162,0))))</f>
        <v/>
      </c>
      <c r="X162">
        <f>IF(L161&lt;=0,0,MIN(AQ162,L$7+IF(L$2=$AA162,$AC162,IF(L$2=$AF162,$AG162,0))))</f>
        <v/>
      </c>
      <c r="Y162">
        <f>IF(M161&lt;=0,0,MIN(AR162,M$7+IF(M$2=$AA162,$AC162,IF(M$2=$AF162,$AG162,0))))</f>
        <v/>
      </c>
      <c r="Z162">
        <f>IF(N161&lt;=0,0,MIN(AS162,N$7+IF(N$2=$AA162,$AC162,IF(N$2=$AF162,$AG162,0))))</f>
        <v/>
      </c>
      <c r="AA162">
        <f>IFERROR(ROUND(1/SUMPRODUCT(MAX((C161:N161&gt;0)*($C$3:$N$3&lt;=B162)/$C$2:$N$2)),0),0)</f>
        <v/>
      </c>
      <c r="AB162">
        <f>SUMPRODUCT((C161:N161&gt;0)*$C$7:$N$7)</f>
        <v/>
      </c>
      <c r="AC162">
        <f>MAX(0,Plan!$C$5-AB162)+IF(A162=Plan!$C$8,N(Plan!$C$7),0)</f>
        <v/>
      </c>
      <c r="AD162">
        <f>SUM(C162:N162)</f>
        <v/>
      </c>
      <c r="AE162">
        <f>SUM(O162:Z162)</f>
        <v/>
      </c>
      <c r="AF162">
        <f>IFERROR(ROUND(1/SUMPRODUCT(MAX((C161:N161&gt;0)*($C$3:$N$3&lt;=B162)*($C$2:$N$2&gt;AA162)/$C$2:$N$2)),0),0)</f>
        <v/>
      </c>
      <c r="AG162">
        <f>MAX(0,AC162-MAX(0,SUMPRODUCT(($C$2:$N$2=AA162)*(AH162:AS162-$C$7:$N$7))))</f>
        <v/>
      </c>
      <c r="AH162">
        <f>IF(C161&lt;=0,0,ROUND(C161*(1+IF(AND(C$6&gt;0,$B162&lt;C$6),C$4,C$5)/12),2))</f>
        <v/>
      </c>
      <c r="AI162">
        <f>IF(D161&lt;=0,0,ROUND(D161*(1+IF(AND(D$6&gt;0,$B162&lt;D$6),D$4,D$5)/12),2))</f>
        <v/>
      </c>
      <c r="AJ162">
        <f>IF(E161&lt;=0,0,ROUND(E161*(1+IF(AND(E$6&gt;0,$B162&lt;E$6),E$4,E$5)/12),2))</f>
        <v/>
      </c>
      <c r="AK162">
        <f>IF(F161&lt;=0,0,ROUND(F161*(1+IF(AND(F$6&gt;0,$B162&lt;F$6),F$4,F$5)/12),2))</f>
        <v/>
      </c>
      <c r="AL162">
        <f>IF(G161&lt;=0,0,ROUND(G161*(1+IF(AND(G$6&gt;0,$B162&lt;G$6),G$4,G$5)/12),2))</f>
        <v/>
      </c>
      <c r="AM162">
        <f>IF(H161&lt;=0,0,ROUND(H161*(1+IF(AND(H$6&gt;0,$B162&lt;H$6),H$4,H$5)/12),2))</f>
        <v/>
      </c>
      <c r="AN162">
        <f>IF(I161&lt;=0,0,ROUND(I161*(1+IF(AND(I$6&gt;0,$B162&lt;I$6),I$4,I$5)/12),2))</f>
        <v/>
      </c>
      <c r="AO162">
        <f>IF(J161&lt;=0,0,ROUND(J161*(1+IF(AND(J$6&gt;0,$B162&lt;J$6),J$4,J$5)/12),2))</f>
        <v/>
      </c>
      <c r="AP162">
        <f>IF(K161&lt;=0,0,ROUND(K161*(1+IF(AND(K$6&gt;0,$B162&lt;K$6),K$4,K$5)/12),2))</f>
        <v/>
      </c>
      <c r="AQ162">
        <f>IF(L161&lt;=0,0,ROUND(L161*(1+IF(AND(L$6&gt;0,$B162&lt;L$6),L$4,L$5)/12),2))</f>
        <v/>
      </c>
      <c r="AR162">
        <f>IF(M161&lt;=0,0,ROUND(M161*(1+IF(AND(M$6&gt;0,$B162&lt;M$6),M$4,M$5)/12),2))</f>
        <v/>
      </c>
      <c r="AS162">
        <f>IF(N161&lt;=0,0,ROUND(N161*(1+IF(AND(N$6&gt;0,$B162&lt;N$6),N$4,N$5)/12),2))</f>
        <v/>
      </c>
    </row>
    <row r="163">
      <c r="A163" t="n">
        <v>152</v>
      </c>
      <c r="B163">
        <f>EDATE(Plan!$C$6,151)</f>
        <v/>
      </c>
      <c r="C163">
        <f>IF(C162&lt;=0,0,MAX(0,AH163-O163))</f>
        <v/>
      </c>
      <c r="D163">
        <f>IF(D162&lt;=0,0,MAX(0,AI163-P163))</f>
        <v/>
      </c>
      <c r="E163">
        <f>IF(E162&lt;=0,0,MAX(0,AJ163-Q163))</f>
        <v/>
      </c>
      <c r="F163">
        <f>IF(F162&lt;=0,0,MAX(0,AK163-R163))</f>
        <v/>
      </c>
      <c r="G163">
        <f>IF(G162&lt;=0,0,MAX(0,AL163-S163))</f>
        <v/>
      </c>
      <c r="H163">
        <f>IF(H162&lt;=0,0,MAX(0,AM163-T163))</f>
        <v/>
      </c>
      <c r="I163">
        <f>IF(I162&lt;=0,0,MAX(0,AN163-U163))</f>
        <v/>
      </c>
      <c r="J163">
        <f>IF(J162&lt;=0,0,MAX(0,AO163-V163))</f>
        <v/>
      </c>
      <c r="K163">
        <f>IF(K162&lt;=0,0,MAX(0,AP163-W163))</f>
        <v/>
      </c>
      <c r="L163">
        <f>IF(L162&lt;=0,0,MAX(0,AQ163-X163))</f>
        <v/>
      </c>
      <c r="M163">
        <f>IF(M162&lt;=0,0,MAX(0,AR163-Y163))</f>
        <v/>
      </c>
      <c r="N163">
        <f>IF(N162&lt;=0,0,MAX(0,AS163-Z163))</f>
        <v/>
      </c>
      <c r="O163">
        <f>IF(C162&lt;=0,0,MIN(AH163,C$7+IF(C$2=$AA163,$AC163,IF(C$2=$AF163,$AG163,0))))</f>
        <v/>
      </c>
      <c r="P163">
        <f>IF(D162&lt;=0,0,MIN(AI163,D$7+IF(D$2=$AA163,$AC163,IF(D$2=$AF163,$AG163,0))))</f>
        <v/>
      </c>
      <c r="Q163">
        <f>IF(E162&lt;=0,0,MIN(AJ163,E$7+IF(E$2=$AA163,$AC163,IF(E$2=$AF163,$AG163,0))))</f>
        <v/>
      </c>
      <c r="R163">
        <f>IF(F162&lt;=0,0,MIN(AK163,F$7+IF(F$2=$AA163,$AC163,IF(F$2=$AF163,$AG163,0))))</f>
        <v/>
      </c>
      <c r="S163">
        <f>IF(G162&lt;=0,0,MIN(AL163,G$7+IF(G$2=$AA163,$AC163,IF(G$2=$AF163,$AG163,0))))</f>
        <v/>
      </c>
      <c r="T163">
        <f>IF(H162&lt;=0,0,MIN(AM163,H$7+IF(H$2=$AA163,$AC163,IF(H$2=$AF163,$AG163,0))))</f>
        <v/>
      </c>
      <c r="U163">
        <f>IF(I162&lt;=0,0,MIN(AN163,I$7+IF(I$2=$AA163,$AC163,IF(I$2=$AF163,$AG163,0))))</f>
        <v/>
      </c>
      <c r="V163">
        <f>IF(J162&lt;=0,0,MIN(AO163,J$7+IF(J$2=$AA163,$AC163,IF(J$2=$AF163,$AG163,0))))</f>
        <v/>
      </c>
      <c r="W163">
        <f>IF(K162&lt;=0,0,MIN(AP163,K$7+IF(K$2=$AA163,$AC163,IF(K$2=$AF163,$AG163,0))))</f>
        <v/>
      </c>
      <c r="X163">
        <f>IF(L162&lt;=0,0,MIN(AQ163,L$7+IF(L$2=$AA163,$AC163,IF(L$2=$AF163,$AG163,0))))</f>
        <v/>
      </c>
      <c r="Y163">
        <f>IF(M162&lt;=0,0,MIN(AR163,M$7+IF(M$2=$AA163,$AC163,IF(M$2=$AF163,$AG163,0))))</f>
        <v/>
      </c>
      <c r="Z163">
        <f>IF(N162&lt;=0,0,MIN(AS163,N$7+IF(N$2=$AA163,$AC163,IF(N$2=$AF163,$AG163,0))))</f>
        <v/>
      </c>
      <c r="AA163">
        <f>IFERROR(ROUND(1/SUMPRODUCT(MAX((C162:N162&gt;0)*($C$3:$N$3&lt;=B163)/$C$2:$N$2)),0),0)</f>
        <v/>
      </c>
      <c r="AB163">
        <f>SUMPRODUCT((C162:N162&gt;0)*$C$7:$N$7)</f>
        <v/>
      </c>
      <c r="AC163">
        <f>MAX(0,Plan!$C$5-AB163)+IF(A163=Plan!$C$8,N(Plan!$C$7),0)</f>
        <v/>
      </c>
      <c r="AD163">
        <f>SUM(C163:N163)</f>
        <v/>
      </c>
      <c r="AE163">
        <f>SUM(O163:Z163)</f>
        <v/>
      </c>
      <c r="AF163">
        <f>IFERROR(ROUND(1/SUMPRODUCT(MAX((C162:N162&gt;0)*($C$3:$N$3&lt;=B163)*($C$2:$N$2&gt;AA163)/$C$2:$N$2)),0),0)</f>
        <v/>
      </c>
      <c r="AG163">
        <f>MAX(0,AC163-MAX(0,SUMPRODUCT(($C$2:$N$2=AA163)*(AH163:AS163-$C$7:$N$7))))</f>
        <v/>
      </c>
      <c r="AH163">
        <f>IF(C162&lt;=0,0,ROUND(C162*(1+IF(AND(C$6&gt;0,$B163&lt;C$6),C$4,C$5)/12),2))</f>
        <v/>
      </c>
      <c r="AI163">
        <f>IF(D162&lt;=0,0,ROUND(D162*(1+IF(AND(D$6&gt;0,$B163&lt;D$6),D$4,D$5)/12),2))</f>
        <v/>
      </c>
      <c r="AJ163">
        <f>IF(E162&lt;=0,0,ROUND(E162*(1+IF(AND(E$6&gt;0,$B163&lt;E$6),E$4,E$5)/12),2))</f>
        <v/>
      </c>
      <c r="AK163">
        <f>IF(F162&lt;=0,0,ROUND(F162*(1+IF(AND(F$6&gt;0,$B163&lt;F$6),F$4,F$5)/12),2))</f>
        <v/>
      </c>
      <c r="AL163">
        <f>IF(G162&lt;=0,0,ROUND(G162*(1+IF(AND(G$6&gt;0,$B163&lt;G$6),G$4,G$5)/12),2))</f>
        <v/>
      </c>
      <c r="AM163">
        <f>IF(H162&lt;=0,0,ROUND(H162*(1+IF(AND(H$6&gt;0,$B163&lt;H$6),H$4,H$5)/12),2))</f>
        <v/>
      </c>
      <c r="AN163">
        <f>IF(I162&lt;=0,0,ROUND(I162*(1+IF(AND(I$6&gt;0,$B163&lt;I$6),I$4,I$5)/12),2))</f>
        <v/>
      </c>
      <c r="AO163">
        <f>IF(J162&lt;=0,0,ROUND(J162*(1+IF(AND(J$6&gt;0,$B163&lt;J$6),J$4,J$5)/12),2))</f>
        <v/>
      </c>
      <c r="AP163">
        <f>IF(K162&lt;=0,0,ROUND(K162*(1+IF(AND(K$6&gt;0,$B163&lt;K$6),K$4,K$5)/12),2))</f>
        <v/>
      </c>
      <c r="AQ163">
        <f>IF(L162&lt;=0,0,ROUND(L162*(1+IF(AND(L$6&gt;0,$B163&lt;L$6),L$4,L$5)/12),2))</f>
        <v/>
      </c>
      <c r="AR163">
        <f>IF(M162&lt;=0,0,ROUND(M162*(1+IF(AND(M$6&gt;0,$B163&lt;M$6),M$4,M$5)/12),2))</f>
        <v/>
      </c>
      <c r="AS163">
        <f>IF(N162&lt;=0,0,ROUND(N162*(1+IF(AND(N$6&gt;0,$B163&lt;N$6),N$4,N$5)/12),2))</f>
        <v/>
      </c>
    </row>
    <row r="164">
      <c r="A164" t="n">
        <v>153</v>
      </c>
      <c r="B164">
        <f>EDATE(Plan!$C$6,152)</f>
        <v/>
      </c>
      <c r="C164">
        <f>IF(C163&lt;=0,0,MAX(0,AH164-O164))</f>
        <v/>
      </c>
      <c r="D164">
        <f>IF(D163&lt;=0,0,MAX(0,AI164-P164))</f>
        <v/>
      </c>
      <c r="E164">
        <f>IF(E163&lt;=0,0,MAX(0,AJ164-Q164))</f>
        <v/>
      </c>
      <c r="F164">
        <f>IF(F163&lt;=0,0,MAX(0,AK164-R164))</f>
        <v/>
      </c>
      <c r="G164">
        <f>IF(G163&lt;=0,0,MAX(0,AL164-S164))</f>
        <v/>
      </c>
      <c r="H164">
        <f>IF(H163&lt;=0,0,MAX(0,AM164-T164))</f>
        <v/>
      </c>
      <c r="I164">
        <f>IF(I163&lt;=0,0,MAX(0,AN164-U164))</f>
        <v/>
      </c>
      <c r="J164">
        <f>IF(J163&lt;=0,0,MAX(0,AO164-V164))</f>
        <v/>
      </c>
      <c r="K164">
        <f>IF(K163&lt;=0,0,MAX(0,AP164-W164))</f>
        <v/>
      </c>
      <c r="L164">
        <f>IF(L163&lt;=0,0,MAX(0,AQ164-X164))</f>
        <v/>
      </c>
      <c r="M164">
        <f>IF(M163&lt;=0,0,MAX(0,AR164-Y164))</f>
        <v/>
      </c>
      <c r="N164">
        <f>IF(N163&lt;=0,0,MAX(0,AS164-Z164))</f>
        <v/>
      </c>
      <c r="O164">
        <f>IF(C163&lt;=0,0,MIN(AH164,C$7+IF(C$2=$AA164,$AC164,IF(C$2=$AF164,$AG164,0))))</f>
        <v/>
      </c>
      <c r="P164">
        <f>IF(D163&lt;=0,0,MIN(AI164,D$7+IF(D$2=$AA164,$AC164,IF(D$2=$AF164,$AG164,0))))</f>
        <v/>
      </c>
      <c r="Q164">
        <f>IF(E163&lt;=0,0,MIN(AJ164,E$7+IF(E$2=$AA164,$AC164,IF(E$2=$AF164,$AG164,0))))</f>
        <v/>
      </c>
      <c r="R164">
        <f>IF(F163&lt;=0,0,MIN(AK164,F$7+IF(F$2=$AA164,$AC164,IF(F$2=$AF164,$AG164,0))))</f>
        <v/>
      </c>
      <c r="S164">
        <f>IF(G163&lt;=0,0,MIN(AL164,G$7+IF(G$2=$AA164,$AC164,IF(G$2=$AF164,$AG164,0))))</f>
        <v/>
      </c>
      <c r="T164">
        <f>IF(H163&lt;=0,0,MIN(AM164,H$7+IF(H$2=$AA164,$AC164,IF(H$2=$AF164,$AG164,0))))</f>
        <v/>
      </c>
      <c r="U164">
        <f>IF(I163&lt;=0,0,MIN(AN164,I$7+IF(I$2=$AA164,$AC164,IF(I$2=$AF164,$AG164,0))))</f>
        <v/>
      </c>
      <c r="V164">
        <f>IF(J163&lt;=0,0,MIN(AO164,J$7+IF(J$2=$AA164,$AC164,IF(J$2=$AF164,$AG164,0))))</f>
        <v/>
      </c>
      <c r="W164">
        <f>IF(K163&lt;=0,0,MIN(AP164,K$7+IF(K$2=$AA164,$AC164,IF(K$2=$AF164,$AG164,0))))</f>
        <v/>
      </c>
      <c r="X164">
        <f>IF(L163&lt;=0,0,MIN(AQ164,L$7+IF(L$2=$AA164,$AC164,IF(L$2=$AF164,$AG164,0))))</f>
        <v/>
      </c>
      <c r="Y164">
        <f>IF(M163&lt;=0,0,MIN(AR164,M$7+IF(M$2=$AA164,$AC164,IF(M$2=$AF164,$AG164,0))))</f>
        <v/>
      </c>
      <c r="Z164">
        <f>IF(N163&lt;=0,0,MIN(AS164,N$7+IF(N$2=$AA164,$AC164,IF(N$2=$AF164,$AG164,0))))</f>
        <v/>
      </c>
      <c r="AA164">
        <f>IFERROR(ROUND(1/SUMPRODUCT(MAX((C163:N163&gt;0)*($C$3:$N$3&lt;=B164)/$C$2:$N$2)),0),0)</f>
        <v/>
      </c>
      <c r="AB164">
        <f>SUMPRODUCT((C163:N163&gt;0)*$C$7:$N$7)</f>
        <v/>
      </c>
      <c r="AC164">
        <f>MAX(0,Plan!$C$5-AB164)+IF(A164=Plan!$C$8,N(Plan!$C$7),0)</f>
        <v/>
      </c>
      <c r="AD164">
        <f>SUM(C164:N164)</f>
        <v/>
      </c>
      <c r="AE164">
        <f>SUM(O164:Z164)</f>
        <v/>
      </c>
      <c r="AF164">
        <f>IFERROR(ROUND(1/SUMPRODUCT(MAX((C163:N163&gt;0)*($C$3:$N$3&lt;=B164)*($C$2:$N$2&gt;AA164)/$C$2:$N$2)),0),0)</f>
        <v/>
      </c>
      <c r="AG164">
        <f>MAX(0,AC164-MAX(0,SUMPRODUCT(($C$2:$N$2=AA164)*(AH164:AS164-$C$7:$N$7))))</f>
        <v/>
      </c>
      <c r="AH164">
        <f>IF(C163&lt;=0,0,ROUND(C163*(1+IF(AND(C$6&gt;0,$B164&lt;C$6),C$4,C$5)/12),2))</f>
        <v/>
      </c>
      <c r="AI164">
        <f>IF(D163&lt;=0,0,ROUND(D163*(1+IF(AND(D$6&gt;0,$B164&lt;D$6),D$4,D$5)/12),2))</f>
        <v/>
      </c>
      <c r="AJ164">
        <f>IF(E163&lt;=0,0,ROUND(E163*(1+IF(AND(E$6&gt;0,$B164&lt;E$6),E$4,E$5)/12),2))</f>
        <v/>
      </c>
      <c r="AK164">
        <f>IF(F163&lt;=0,0,ROUND(F163*(1+IF(AND(F$6&gt;0,$B164&lt;F$6),F$4,F$5)/12),2))</f>
        <v/>
      </c>
      <c r="AL164">
        <f>IF(G163&lt;=0,0,ROUND(G163*(1+IF(AND(G$6&gt;0,$B164&lt;G$6),G$4,G$5)/12),2))</f>
        <v/>
      </c>
      <c r="AM164">
        <f>IF(H163&lt;=0,0,ROUND(H163*(1+IF(AND(H$6&gt;0,$B164&lt;H$6),H$4,H$5)/12),2))</f>
        <v/>
      </c>
      <c r="AN164">
        <f>IF(I163&lt;=0,0,ROUND(I163*(1+IF(AND(I$6&gt;0,$B164&lt;I$6),I$4,I$5)/12),2))</f>
        <v/>
      </c>
      <c r="AO164">
        <f>IF(J163&lt;=0,0,ROUND(J163*(1+IF(AND(J$6&gt;0,$B164&lt;J$6),J$4,J$5)/12),2))</f>
        <v/>
      </c>
      <c r="AP164">
        <f>IF(K163&lt;=0,0,ROUND(K163*(1+IF(AND(K$6&gt;0,$B164&lt;K$6),K$4,K$5)/12),2))</f>
        <v/>
      </c>
      <c r="AQ164">
        <f>IF(L163&lt;=0,0,ROUND(L163*(1+IF(AND(L$6&gt;0,$B164&lt;L$6),L$4,L$5)/12),2))</f>
        <v/>
      </c>
      <c r="AR164">
        <f>IF(M163&lt;=0,0,ROUND(M163*(1+IF(AND(M$6&gt;0,$B164&lt;M$6),M$4,M$5)/12),2))</f>
        <v/>
      </c>
      <c r="AS164">
        <f>IF(N163&lt;=0,0,ROUND(N163*(1+IF(AND(N$6&gt;0,$B164&lt;N$6),N$4,N$5)/12),2))</f>
        <v/>
      </c>
    </row>
    <row r="165">
      <c r="A165" t="n">
        <v>154</v>
      </c>
      <c r="B165">
        <f>EDATE(Plan!$C$6,153)</f>
        <v/>
      </c>
      <c r="C165">
        <f>IF(C164&lt;=0,0,MAX(0,AH165-O165))</f>
        <v/>
      </c>
      <c r="D165">
        <f>IF(D164&lt;=0,0,MAX(0,AI165-P165))</f>
        <v/>
      </c>
      <c r="E165">
        <f>IF(E164&lt;=0,0,MAX(0,AJ165-Q165))</f>
        <v/>
      </c>
      <c r="F165">
        <f>IF(F164&lt;=0,0,MAX(0,AK165-R165))</f>
        <v/>
      </c>
      <c r="G165">
        <f>IF(G164&lt;=0,0,MAX(0,AL165-S165))</f>
        <v/>
      </c>
      <c r="H165">
        <f>IF(H164&lt;=0,0,MAX(0,AM165-T165))</f>
        <v/>
      </c>
      <c r="I165">
        <f>IF(I164&lt;=0,0,MAX(0,AN165-U165))</f>
        <v/>
      </c>
      <c r="J165">
        <f>IF(J164&lt;=0,0,MAX(0,AO165-V165))</f>
        <v/>
      </c>
      <c r="K165">
        <f>IF(K164&lt;=0,0,MAX(0,AP165-W165))</f>
        <v/>
      </c>
      <c r="L165">
        <f>IF(L164&lt;=0,0,MAX(0,AQ165-X165))</f>
        <v/>
      </c>
      <c r="M165">
        <f>IF(M164&lt;=0,0,MAX(0,AR165-Y165))</f>
        <v/>
      </c>
      <c r="N165">
        <f>IF(N164&lt;=0,0,MAX(0,AS165-Z165))</f>
        <v/>
      </c>
      <c r="O165">
        <f>IF(C164&lt;=0,0,MIN(AH165,C$7+IF(C$2=$AA165,$AC165,IF(C$2=$AF165,$AG165,0))))</f>
        <v/>
      </c>
      <c r="P165">
        <f>IF(D164&lt;=0,0,MIN(AI165,D$7+IF(D$2=$AA165,$AC165,IF(D$2=$AF165,$AG165,0))))</f>
        <v/>
      </c>
      <c r="Q165">
        <f>IF(E164&lt;=0,0,MIN(AJ165,E$7+IF(E$2=$AA165,$AC165,IF(E$2=$AF165,$AG165,0))))</f>
        <v/>
      </c>
      <c r="R165">
        <f>IF(F164&lt;=0,0,MIN(AK165,F$7+IF(F$2=$AA165,$AC165,IF(F$2=$AF165,$AG165,0))))</f>
        <v/>
      </c>
      <c r="S165">
        <f>IF(G164&lt;=0,0,MIN(AL165,G$7+IF(G$2=$AA165,$AC165,IF(G$2=$AF165,$AG165,0))))</f>
        <v/>
      </c>
      <c r="T165">
        <f>IF(H164&lt;=0,0,MIN(AM165,H$7+IF(H$2=$AA165,$AC165,IF(H$2=$AF165,$AG165,0))))</f>
        <v/>
      </c>
      <c r="U165">
        <f>IF(I164&lt;=0,0,MIN(AN165,I$7+IF(I$2=$AA165,$AC165,IF(I$2=$AF165,$AG165,0))))</f>
        <v/>
      </c>
      <c r="V165">
        <f>IF(J164&lt;=0,0,MIN(AO165,J$7+IF(J$2=$AA165,$AC165,IF(J$2=$AF165,$AG165,0))))</f>
        <v/>
      </c>
      <c r="W165">
        <f>IF(K164&lt;=0,0,MIN(AP165,K$7+IF(K$2=$AA165,$AC165,IF(K$2=$AF165,$AG165,0))))</f>
        <v/>
      </c>
      <c r="X165">
        <f>IF(L164&lt;=0,0,MIN(AQ165,L$7+IF(L$2=$AA165,$AC165,IF(L$2=$AF165,$AG165,0))))</f>
        <v/>
      </c>
      <c r="Y165">
        <f>IF(M164&lt;=0,0,MIN(AR165,M$7+IF(M$2=$AA165,$AC165,IF(M$2=$AF165,$AG165,0))))</f>
        <v/>
      </c>
      <c r="Z165">
        <f>IF(N164&lt;=0,0,MIN(AS165,N$7+IF(N$2=$AA165,$AC165,IF(N$2=$AF165,$AG165,0))))</f>
        <v/>
      </c>
      <c r="AA165">
        <f>IFERROR(ROUND(1/SUMPRODUCT(MAX((C164:N164&gt;0)*($C$3:$N$3&lt;=B165)/$C$2:$N$2)),0),0)</f>
        <v/>
      </c>
      <c r="AB165">
        <f>SUMPRODUCT((C164:N164&gt;0)*$C$7:$N$7)</f>
        <v/>
      </c>
      <c r="AC165">
        <f>MAX(0,Plan!$C$5-AB165)+IF(A165=Plan!$C$8,N(Plan!$C$7),0)</f>
        <v/>
      </c>
      <c r="AD165">
        <f>SUM(C165:N165)</f>
        <v/>
      </c>
      <c r="AE165">
        <f>SUM(O165:Z165)</f>
        <v/>
      </c>
      <c r="AF165">
        <f>IFERROR(ROUND(1/SUMPRODUCT(MAX((C164:N164&gt;0)*($C$3:$N$3&lt;=B165)*($C$2:$N$2&gt;AA165)/$C$2:$N$2)),0),0)</f>
        <v/>
      </c>
      <c r="AG165">
        <f>MAX(0,AC165-MAX(0,SUMPRODUCT(($C$2:$N$2=AA165)*(AH165:AS165-$C$7:$N$7))))</f>
        <v/>
      </c>
      <c r="AH165">
        <f>IF(C164&lt;=0,0,ROUND(C164*(1+IF(AND(C$6&gt;0,$B165&lt;C$6),C$4,C$5)/12),2))</f>
        <v/>
      </c>
      <c r="AI165">
        <f>IF(D164&lt;=0,0,ROUND(D164*(1+IF(AND(D$6&gt;0,$B165&lt;D$6),D$4,D$5)/12),2))</f>
        <v/>
      </c>
      <c r="AJ165">
        <f>IF(E164&lt;=0,0,ROUND(E164*(1+IF(AND(E$6&gt;0,$B165&lt;E$6),E$4,E$5)/12),2))</f>
        <v/>
      </c>
      <c r="AK165">
        <f>IF(F164&lt;=0,0,ROUND(F164*(1+IF(AND(F$6&gt;0,$B165&lt;F$6),F$4,F$5)/12),2))</f>
        <v/>
      </c>
      <c r="AL165">
        <f>IF(G164&lt;=0,0,ROUND(G164*(1+IF(AND(G$6&gt;0,$B165&lt;G$6),G$4,G$5)/12),2))</f>
        <v/>
      </c>
      <c r="AM165">
        <f>IF(H164&lt;=0,0,ROUND(H164*(1+IF(AND(H$6&gt;0,$B165&lt;H$6),H$4,H$5)/12),2))</f>
        <v/>
      </c>
      <c r="AN165">
        <f>IF(I164&lt;=0,0,ROUND(I164*(1+IF(AND(I$6&gt;0,$B165&lt;I$6),I$4,I$5)/12),2))</f>
        <v/>
      </c>
      <c r="AO165">
        <f>IF(J164&lt;=0,0,ROUND(J164*(1+IF(AND(J$6&gt;0,$B165&lt;J$6),J$4,J$5)/12),2))</f>
        <v/>
      </c>
      <c r="AP165">
        <f>IF(K164&lt;=0,0,ROUND(K164*(1+IF(AND(K$6&gt;0,$B165&lt;K$6),K$4,K$5)/12),2))</f>
        <v/>
      </c>
      <c r="AQ165">
        <f>IF(L164&lt;=0,0,ROUND(L164*(1+IF(AND(L$6&gt;0,$B165&lt;L$6),L$4,L$5)/12),2))</f>
        <v/>
      </c>
      <c r="AR165">
        <f>IF(M164&lt;=0,0,ROUND(M164*(1+IF(AND(M$6&gt;0,$B165&lt;M$6),M$4,M$5)/12),2))</f>
        <v/>
      </c>
      <c r="AS165">
        <f>IF(N164&lt;=0,0,ROUND(N164*(1+IF(AND(N$6&gt;0,$B165&lt;N$6),N$4,N$5)/12),2))</f>
        <v/>
      </c>
    </row>
    <row r="166">
      <c r="A166" t="n">
        <v>155</v>
      </c>
      <c r="B166">
        <f>EDATE(Plan!$C$6,154)</f>
        <v/>
      </c>
      <c r="C166">
        <f>IF(C165&lt;=0,0,MAX(0,AH166-O166))</f>
        <v/>
      </c>
      <c r="D166">
        <f>IF(D165&lt;=0,0,MAX(0,AI166-P166))</f>
        <v/>
      </c>
      <c r="E166">
        <f>IF(E165&lt;=0,0,MAX(0,AJ166-Q166))</f>
        <v/>
      </c>
      <c r="F166">
        <f>IF(F165&lt;=0,0,MAX(0,AK166-R166))</f>
        <v/>
      </c>
      <c r="G166">
        <f>IF(G165&lt;=0,0,MAX(0,AL166-S166))</f>
        <v/>
      </c>
      <c r="H166">
        <f>IF(H165&lt;=0,0,MAX(0,AM166-T166))</f>
        <v/>
      </c>
      <c r="I166">
        <f>IF(I165&lt;=0,0,MAX(0,AN166-U166))</f>
        <v/>
      </c>
      <c r="J166">
        <f>IF(J165&lt;=0,0,MAX(0,AO166-V166))</f>
        <v/>
      </c>
      <c r="K166">
        <f>IF(K165&lt;=0,0,MAX(0,AP166-W166))</f>
        <v/>
      </c>
      <c r="L166">
        <f>IF(L165&lt;=0,0,MAX(0,AQ166-X166))</f>
        <v/>
      </c>
      <c r="M166">
        <f>IF(M165&lt;=0,0,MAX(0,AR166-Y166))</f>
        <v/>
      </c>
      <c r="N166">
        <f>IF(N165&lt;=0,0,MAX(0,AS166-Z166))</f>
        <v/>
      </c>
      <c r="O166">
        <f>IF(C165&lt;=0,0,MIN(AH166,C$7+IF(C$2=$AA166,$AC166,IF(C$2=$AF166,$AG166,0))))</f>
        <v/>
      </c>
      <c r="P166">
        <f>IF(D165&lt;=0,0,MIN(AI166,D$7+IF(D$2=$AA166,$AC166,IF(D$2=$AF166,$AG166,0))))</f>
        <v/>
      </c>
      <c r="Q166">
        <f>IF(E165&lt;=0,0,MIN(AJ166,E$7+IF(E$2=$AA166,$AC166,IF(E$2=$AF166,$AG166,0))))</f>
        <v/>
      </c>
      <c r="R166">
        <f>IF(F165&lt;=0,0,MIN(AK166,F$7+IF(F$2=$AA166,$AC166,IF(F$2=$AF166,$AG166,0))))</f>
        <v/>
      </c>
      <c r="S166">
        <f>IF(G165&lt;=0,0,MIN(AL166,G$7+IF(G$2=$AA166,$AC166,IF(G$2=$AF166,$AG166,0))))</f>
        <v/>
      </c>
      <c r="T166">
        <f>IF(H165&lt;=0,0,MIN(AM166,H$7+IF(H$2=$AA166,$AC166,IF(H$2=$AF166,$AG166,0))))</f>
        <v/>
      </c>
      <c r="U166">
        <f>IF(I165&lt;=0,0,MIN(AN166,I$7+IF(I$2=$AA166,$AC166,IF(I$2=$AF166,$AG166,0))))</f>
        <v/>
      </c>
      <c r="V166">
        <f>IF(J165&lt;=0,0,MIN(AO166,J$7+IF(J$2=$AA166,$AC166,IF(J$2=$AF166,$AG166,0))))</f>
        <v/>
      </c>
      <c r="W166">
        <f>IF(K165&lt;=0,0,MIN(AP166,K$7+IF(K$2=$AA166,$AC166,IF(K$2=$AF166,$AG166,0))))</f>
        <v/>
      </c>
      <c r="X166">
        <f>IF(L165&lt;=0,0,MIN(AQ166,L$7+IF(L$2=$AA166,$AC166,IF(L$2=$AF166,$AG166,0))))</f>
        <v/>
      </c>
      <c r="Y166">
        <f>IF(M165&lt;=0,0,MIN(AR166,M$7+IF(M$2=$AA166,$AC166,IF(M$2=$AF166,$AG166,0))))</f>
        <v/>
      </c>
      <c r="Z166">
        <f>IF(N165&lt;=0,0,MIN(AS166,N$7+IF(N$2=$AA166,$AC166,IF(N$2=$AF166,$AG166,0))))</f>
        <v/>
      </c>
      <c r="AA166">
        <f>IFERROR(ROUND(1/SUMPRODUCT(MAX((C165:N165&gt;0)*($C$3:$N$3&lt;=B166)/$C$2:$N$2)),0),0)</f>
        <v/>
      </c>
      <c r="AB166">
        <f>SUMPRODUCT((C165:N165&gt;0)*$C$7:$N$7)</f>
        <v/>
      </c>
      <c r="AC166">
        <f>MAX(0,Plan!$C$5-AB166)+IF(A166=Plan!$C$8,N(Plan!$C$7),0)</f>
        <v/>
      </c>
      <c r="AD166">
        <f>SUM(C166:N166)</f>
        <v/>
      </c>
      <c r="AE166">
        <f>SUM(O166:Z166)</f>
        <v/>
      </c>
      <c r="AF166">
        <f>IFERROR(ROUND(1/SUMPRODUCT(MAX((C165:N165&gt;0)*($C$3:$N$3&lt;=B166)*($C$2:$N$2&gt;AA166)/$C$2:$N$2)),0),0)</f>
        <v/>
      </c>
      <c r="AG166">
        <f>MAX(0,AC166-MAX(0,SUMPRODUCT(($C$2:$N$2=AA166)*(AH166:AS166-$C$7:$N$7))))</f>
        <v/>
      </c>
      <c r="AH166">
        <f>IF(C165&lt;=0,0,ROUND(C165*(1+IF(AND(C$6&gt;0,$B166&lt;C$6),C$4,C$5)/12),2))</f>
        <v/>
      </c>
      <c r="AI166">
        <f>IF(D165&lt;=0,0,ROUND(D165*(1+IF(AND(D$6&gt;0,$B166&lt;D$6),D$4,D$5)/12),2))</f>
        <v/>
      </c>
      <c r="AJ166">
        <f>IF(E165&lt;=0,0,ROUND(E165*(1+IF(AND(E$6&gt;0,$B166&lt;E$6),E$4,E$5)/12),2))</f>
        <v/>
      </c>
      <c r="AK166">
        <f>IF(F165&lt;=0,0,ROUND(F165*(1+IF(AND(F$6&gt;0,$B166&lt;F$6),F$4,F$5)/12),2))</f>
        <v/>
      </c>
      <c r="AL166">
        <f>IF(G165&lt;=0,0,ROUND(G165*(1+IF(AND(G$6&gt;0,$B166&lt;G$6),G$4,G$5)/12),2))</f>
        <v/>
      </c>
      <c r="AM166">
        <f>IF(H165&lt;=0,0,ROUND(H165*(1+IF(AND(H$6&gt;0,$B166&lt;H$6),H$4,H$5)/12),2))</f>
        <v/>
      </c>
      <c r="AN166">
        <f>IF(I165&lt;=0,0,ROUND(I165*(1+IF(AND(I$6&gt;0,$B166&lt;I$6),I$4,I$5)/12),2))</f>
        <v/>
      </c>
      <c r="AO166">
        <f>IF(J165&lt;=0,0,ROUND(J165*(1+IF(AND(J$6&gt;0,$B166&lt;J$6),J$4,J$5)/12),2))</f>
        <v/>
      </c>
      <c r="AP166">
        <f>IF(K165&lt;=0,0,ROUND(K165*(1+IF(AND(K$6&gt;0,$B166&lt;K$6),K$4,K$5)/12),2))</f>
        <v/>
      </c>
      <c r="AQ166">
        <f>IF(L165&lt;=0,0,ROUND(L165*(1+IF(AND(L$6&gt;0,$B166&lt;L$6),L$4,L$5)/12),2))</f>
        <v/>
      </c>
      <c r="AR166">
        <f>IF(M165&lt;=0,0,ROUND(M165*(1+IF(AND(M$6&gt;0,$B166&lt;M$6),M$4,M$5)/12),2))</f>
        <v/>
      </c>
      <c r="AS166">
        <f>IF(N165&lt;=0,0,ROUND(N165*(1+IF(AND(N$6&gt;0,$B166&lt;N$6),N$4,N$5)/12),2))</f>
        <v/>
      </c>
    </row>
    <row r="167">
      <c r="A167" t="n">
        <v>156</v>
      </c>
      <c r="B167">
        <f>EDATE(Plan!$C$6,155)</f>
        <v/>
      </c>
      <c r="C167">
        <f>IF(C166&lt;=0,0,MAX(0,AH167-O167))</f>
        <v/>
      </c>
      <c r="D167">
        <f>IF(D166&lt;=0,0,MAX(0,AI167-P167))</f>
        <v/>
      </c>
      <c r="E167">
        <f>IF(E166&lt;=0,0,MAX(0,AJ167-Q167))</f>
        <v/>
      </c>
      <c r="F167">
        <f>IF(F166&lt;=0,0,MAX(0,AK167-R167))</f>
        <v/>
      </c>
      <c r="G167">
        <f>IF(G166&lt;=0,0,MAX(0,AL167-S167))</f>
        <v/>
      </c>
      <c r="H167">
        <f>IF(H166&lt;=0,0,MAX(0,AM167-T167))</f>
        <v/>
      </c>
      <c r="I167">
        <f>IF(I166&lt;=0,0,MAX(0,AN167-U167))</f>
        <v/>
      </c>
      <c r="J167">
        <f>IF(J166&lt;=0,0,MAX(0,AO167-V167))</f>
        <v/>
      </c>
      <c r="K167">
        <f>IF(K166&lt;=0,0,MAX(0,AP167-W167))</f>
        <v/>
      </c>
      <c r="L167">
        <f>IF(L166&lt;=0,0,MAX(0,AQ167-X167))</f>
        <v/>
      </c>
      <c r="M167">
        <f>IF(M166&lt;=0,0,MAX(0,AR167-Y167))</f>
        <v/>
      </c>
      <c r="N167">
        <f>IF(N166&lt;=0,0,MAX(0,AS167-Z167))</f>
        <v/>
      </c>
      <c r="O167">
        <f>IF(C166&lt;=0,0,MIN(AH167,C$7+IF(C$2=$AA167,$AC167,IF(C$2=$AF167,$AG167,0))))</f>
        <v/>
      </c>
      <c r="P167">
        <f>IF(D166&lt;=0,0,MIN(AI167,D$7+IF(D$2=$AA167,$AC167,IF(D$2=$AF167,$AG167,0))))</f>
        <v/>
      </c>
      <c r="Q167">
        <f>IF(E166&lt;=0,0,MIN(AJ167,E$7+IF(E$2=$AA167,$AC167,IF(E$2=$AF167,$AG167,0))))</f>
        <v/>
      </c>
      <c r="R167">
        <f>IF(F166&lt;=0,0,MIN(AK167,F$7+IF(F$2=$AA167,$AC167,IF(F$2=$AF167,$AG167,0))))</f>
        <v/>
      </c>
      <c r="S167">
        <f>IF(G166&lt;=0,0,MIN(AL167,G$7+IF(G$2=$AA167,$AC167,IF(G$2=$AF167,$AG167,0))))</f>
        <v/>
      </c>
      <c r="T167">
        <f>IF(H166&lt;=0,0,MIN(AM167,H$7+IF(H$2=$AA167,$AC167,IF(H$2=$AF167,$AG167,0))))</f>
        <v/>
      </c>
      <c r="U167">
        <f>IF(I166&lt;=0,0,MIN(AN167,I$7+IF(I$2=$AA167,$AC167,IF(I$2=$AF167,$AG167,0))))</f>
        <v/>
      </c>
      <c r="V167">
        <f>IF(J166&lt;=0,0,MIN(AO167,J$7+IF(J$2=$AA167,$AC167,IF(J$2=$AF167,$AG167,0))))</f>
        <v/>
      </c>
      <c r="W167">
        <f>IF(K166&lt;=0,0,MIN(AP167,K$7+IF(K$2=$AA167,$AC167,IF(K$2=$AF167,$AG167,0))))</f>
        <v/>
      </c>
      <c r="X167">
        <f>IF(L166&lt;=0,0,MIN(AQ167,L$7+IF(L$2=$AA167,$AC167,IF(L$2=$AF167,$AG167,0))))</f>
        <v/>
      </c>
      <c r="Y167">
        <f>IF(M166&lt;=0,0,MIN(AR167,M$7+IF(M$2=$AA167,$AC167,IF(M$2=$AF167,$AG167,0))))</f>
        <v/>
      </c>
      <c r="Z167">
        <f>IF(N166&lt;=0,0,MIN(AS167,N$7+IF(N$2=$AA167,$AC167,IF(N$2=$AF167,$AG167,0))))</f>
        <v/>
      </c>
      <c r="AA167">
        <f>IFERROR(ROUND(1/SUMPRODUCT(MAX((C166:N166&gt;0)*($C$3:$N$3&lt;=B167)/$C$2:$N$2)),0),0)</f>
        <v/>
      </c>
      <c r="AB167">
        <f>SUMPRODUCT((C166:N166&gt;0)*$C$7:$N$7)</f>
        <v/>
      </c>
      <c r="AC167">
        <f>MAX(0,Plan!$C$5-AB167)+IF(A167=Plan!$C$8,N(Plan!$C$7),0)</f>
        <v/>
      </c>
      <c r="AD167">
        <f>SUM(C167:N167)</f>
        <v/>
      </c>
      <c r="AE167">
        <f>SUM(O167:Z167)</f>
        <v/>
      </c>
      <c r="AF167">
        <f>IFERROR(ROUND(1/SUMPRODUCT(MAX((C166:N166&gt;0)*($C$3:$N$3&lt;=B167)*($C$2:$N$2&gt;AA167)/$C$2:$N$2)),0),0)</f>
        <v/>
      </c>
      <c r="AG167">
        <f>MAX(0,AC167-MAX(0,SUMPRODUCT(($C$2:$N$2=AA167)*(AH167:AS167-$C$7:$N$7))))</f>
        <v/>
      </c>
      <c r="AH167">
        <f>IF(C166&lt;=0,0,ROUND(C166*(1+IF(AND(C$6&gt;0,$B167&lt;C$6),C$4,C$5)/12),2))</f>
        <v/>
      </c>
      <c r="AI167">
        <f>IF(D166&lt;=0,0,ROUND(D166*(1+IF(AND(D$6&gt;0,$B167&lt;D$6),D$4,D$5)/12),2))</f>
        <v/>
      </c>
      <c r="AJ167">
        <f>IF(E166&lt;=0,0,ROUND(E166*(1+IF(AND(E$6&gt;0,$B167&lt;E$6),E$4,E$5)/12),2))</f>
        <v/>
      </c>
      <c r="AK167">
        <f>IF(F166&lt;=0,0,ROUND(F166*(1+IF(AND(F$6&gt;0,$B167&lt;F$6),F$4,F$5)/12),2))</f>
        <v/>
      </c>
      <c r="AL167">
        <f>IF(G166&lt;=0,0,ROUND(G166*(1+IF(AND(G$6&gt;0,$B167&lt;G$6),G$4,G$5)/12),2))</f>
        <v/>
      </c>
      <c r="AM167">
        <f>IF(H166&lt;=0,0,ROUND(H166*(1+IF(AND(H$6&gt;0,$B167&lt;H$6),H$4,H$5)/12),2))</f>
        <v/>
      </c>
      <c r="AN167">
        <f>IF(I166&lt;=0,0,ROUND(I166*(1+IF(AND(I$6&gt;0,$B167&lt;I$6),I$4,I$5)/12),2))</f>
        <v/>
      </c>
      <c r="AO167">
        <f>IF(J166&lt;=0,0,ROUND(J166*(1+IF(AND(J$6&gt;0,$B167&lt;J$6),J$4,J$5)/12),2))</f>
        <v/>
      </c>
      <c r="AP167">
        <f>IF(K166&lt;=0,0,ROUND(K166*(1+IF(AND(K$6&gt;0,$B167&lt;K$6),K$4,K$5)/12),2))</f>
        <v/>
      </c>
      <c r="AQ167">
        <f>IF(L166&lt;=0,0,ROUND(L166*(1+IF(AND(L$6&gt;0,$B167&lt;L$6),L$4,L$5)/12),2))</f>
        <v/>
      </c>
      <c r="AR167">
        <f>IF(M166&lt;=0,0,ROUND(M166*(1+IF(AND(M$6&gt;0,$B167&lt;M$6),M$4,M$5)/12),2))</f>
        <v/>
      </c>
      <c r="AS167">
        <f>IF(N166&lt;=0,0,ROUND(N166*(1+IF(AND(N$6&gt;0,$B167&lt;N$6),N$4,N$5)/12),2))</f>
        <v/>
      </c>
    </row>
    <row r="168">
      <c r="A168" t="n">
        <v>157</v>
      </c>
      <c r="B168">
        <f>EDATE(Plan!$C$6,156)</f>
        <v/>
      </c>
      <c r="C168">
        <f>IF(C167&lt;=0,0,MAX(0,AH168-O168))</f>
        <v/>
      </c>
      <c r="D168">
        <f>IF(D167&lt;=0,0,MAX(0,AI168-P168))</f>
        <v/>
      </c>
      <c r="E168">
        <f>IF(E167&lt;=0,0,MAX(0,AJ168-Q168))</f>
        <v/>
      </c>
      <c r="F168">
        <f>IF(F167&lt;=0,0,MAX(0,AK168-R168))</f>
        <v/>
      </c>
      <c r="G168">
        <f>IF(G167&lt;=0,0,MAX(0,AL168-S168))</f>
        <v/>
      </c>
      <c r="H168">
        <f>IF(H167&lt;=0,0,MAX(0,AM168-T168))</f>
        <v/>
      </c>
      <c r="I168">
        <f>IF(I167&lt;=0,0,MAX(0,AN168-U168))</f>
        <v/>
      </c>
      <c r="J168">
        <f>IF(J167&lt;=0,0,MAX(0,AO168-V168))</f>
        <v/>
      </c>
      <c r="K168">
        <f>IF(K167&lt;=0,0,MAX(0,AP168-W168))</f>
        <v/>
      </c>
      <c r="L168">
        <f>IF(L167&lt;=0,0,MAX(0,AQ168-X168))</f>
        <v/>
      </c>
      <c r="M168">
        <f>IF(M167&lt;=0,0,MAX(0,AR168-Y168))</f>
        <v/>
      </c>
      <c r="N168">
        <f>IF(N167&lt;=0,0,MAX(0,AS168-Z168))</f>
        <v/>
      </c>
      <c r="O168">
        <f>IF(C167&lt;=0,0,MIN(AH168,C$7+IF(C$2=$AA168,$AC168,IF(C$2=$AF168,$AG168,0))))</f>
        <v/>
      </c>
      <c r="P168">
        <f>IF(D167&lt;=0,0,MIN(AI168,D$7+IF(D$2=$AA168,$AC168,IF(D$2=$AF168,$AG168,0))))</f>
        <v/>
      </c>
      <c r="Q168">
        <f>IF(E167&lt;=0,0,MIN(AJ168,E$7+IF(E$2=$AA168,$AC168,IF(E$2=$AF168,$AG168,0))))</f>
        <v/>
      </c>
      <c r="R168">
        <f>IF(F167&lt;=0,0,MIN(AK168,F$7+IF(F$2=$AA168,$AC168,IF(F$2=$AF168,$AG168,0))))</f>
        <v/>
      </c>
      <c r="S168">
        <f>IF(G167&lt;=0,0,MIN(AL168,G$7+IF(G$2=$AA168,$AC168,IF(G$2=$AF168,$AG168,0))))</f>
        <v/>
      </c>
      <c r="T168">
        <f>IF(H167&lt;=0,0,MIN(AM168,H$7+IF(H$2=$AA168,$AC168,IF(H$2=$AF168,$AG168,0))))</f>
        <v/>
      </c>
      <c r="U168">
        <f>IF(I167&lt;=0,0,MIN(AN168,I$7+IF(I$2=$AA168,$AC168,IF(I$2=$AF168,$AG168,0))))</f>
        <v/>
      </c>
      <c r="V168">
        <f>IF(J167&lt;=0,0,MIN(AO168,J$7+IF(J$2=$AA168,$AC168,IF(J$2=$AF168,$AG168,0))))</f>
        <v/>
      </c>
      <c r="W168">
        <f>IF(K167&lt;=0,0,MIN(AP168,K$7+IF(K$2=$AA168,$AC168,IF(K$2=$AF168,$AG168,0))))</f>
        <v/>
      </c>
      <c r="X168">
        <f>IF(L167&lt;=0,0,MIN(AQ168,L$7+IF(L$2=$AA168,$AC168,IF(L$2=$AF168,$AG168,0))))</f>
        <v/>
      </c>
      <c r="Y168">
        <f>IF(M167&lt;=0,0,MIN(AR168,M$7+IF(M$2=$AA168,$AC168,IF(M$2=$AF168,$AG168,0))))</f>
        <v/>
      </c>
      <c r="Z168">
        <f>IF(N167&lt;=0,0,MIN(AS168,N$7+IF(N$2=$AA168,$AC168,IF(N$2=$AF168,$AG168,0))))</f>
        <v/>
      </c>
      <c r="AA168">
        <f>IFERROR(ROUND(1/SUMPRODUCT(MAX((C167:N167&gt;0)*($C$3:$N$3&lt;=B168)/$C$2:$N$2)),0),0)</f>
        <v/>
      </c>
      <c r="AB168">
        <f>SUMPRODUCT((C167:N167&gt;0)*$C$7:$N$7)</f>
        <v/>
      </c>
      <c r="AC168">
        <f>MAX(0,Plan!$C$5-AB168)+IF(A168=Plan!$C$8,N(Plan!$C$7),0)</f>
        <v/>
      </c>
      <c r="AD168">
        <f>SUM(C168:N168)</f>
        <v/>
      </c>
      <c r="AE168">
        <f>SUM(O168:Z168)</f>
        <v/>
      </c>
      <c r="AF168">
        <f>IFERROR(ROUND(1/SUMPRODUCT(MAX((C167:N167&gt;0)*($C$3:$N$3&lt;=B168)*($C$2:$N$2&gt;AA168)/$C$2:$N$2)),0),0)</f>
        <v/>
      </c>
      <c r="AG168">
        <f>MAX(0,AC168-MAX(0,SUMPRODUCT(($C$2:$N$2=AA168)*(AH168:AS168-$C$7:$N$7))))</f>
        <v/>
      </c>
      <c r="AH168">
        <f>IF(C167&lt;=0,0,ROUND(C167*(1+IF(AND(C$6&gt;0,$B168&lt;C$6),C$4,C$5)/12),2))</f>
        <v/>
      </c>
      <c r="AI168">
        <f>IF(D167&lt;=0,0,ROUND(D167*(1+IF(AND(D$6&gt;0,$B168&lt;D$6),D$4,D$5)/12),2))</f>
        <v/>
      </c>
      <c r="AJ168">
        <f>IF(E167&lt;=0,0,ROUND(E167*(1+IF(AND(E$6&gt;0,$B168&lt;E$6),E$4,E$5)/12),2))</f>
        <v/>
      </c>
      <c r="AK168">
        <f>IF(F167&lt;=0,0,ROUND(F167*(1+IF(AND(F$6&gt;0,$B168&lt;F$6),F$4,F$5)/12),2))</f>
        <v/>
      </c>
      <c r="AL168">
        <f>IF(G167&lt;=0,0,ROUND(G167*(1+IF(AND(G$6&gt;0,$B168&lt;G$6),G$4,G$5)/12),2))</f>
        <v/>
      </c>
      <c r="AM168">
        <f>IF(H167&lt;=0,0,ROUND(H167*(1+IF(AND(H$6&gt;0,$B168&lt;H$6),H$4,H$5)/12),2))</f>
        <v/>
      </c>
      <c r="AN168">
        <f>IF(I167&lt;=0,0,ROUND(I167*(1+IF(AND(I$6&gt;0,$B168&lt;I$6),I$4,I$5)/12),2))</f>
        <v/>
      </c>
      <c r="AO168">
        <f>IF(J167&lt;=0,0,ROUND(J167*(1+IF(AND(J$6&gt;0,$B168&lt;J$6),J$4,J$5)/12),2))</f>
        <v/>
      </c>
      <c r="AP168">
        <f>IF(K167&lt;=0,0,ROUND(K167*(1+IF(AND(K$6&gt;0,$B168&lt;K$6),K$4,K$5)/12),2))</f>
        <v/>
      </c>
      <c r="AQ168">
        <f>IF(L167&lt;=0,0,ROUND(L167*(1+IF(AND(L$6&gt;0,$B168&lt;L$6),L$4,L$5)/12),2))</f>
        <v/>
      </c>
      <c r="AR168">
        <f>IF(M167&lt;=0,0,ROUND(M167*(1+IF(AND(M$6&gt;0,$B168&lt;M$6),M$4,M$5)/12),2))</f>
        <v/>
      </c>
      <c r="AS168">
        <f>IF(N167&lt;=0,0,ROUND(N167*(1+IF(AND(N$6&gt;0,$B168&lt;N$6),N$4,N$5)/12),2))</f>
        <v/>
      </c>
    </row>
    <row r="169">
      <c r="A169" t="n">
        <v>158</v>
      </c>
      <c r="B169">
        <f>EDATE(Plan!$C$6,157)</f>
        <v/>
      </c>
      <c r="C169">
        <f>IF(C168&lt;=0,0,MAX(0,AH169-O169))</f>
        <v/>
      </c>
      <c r="D169">
        <f>IF(D168&lt;=0,0,MAX(0,AI169-P169))</f>
        <v/>
      </c>
      <c r="E169">
        <f>IF(E168&lt;=0,0,MAX(0,AJ169-Q169))</f>
        <v/>
      </c>
      <c r="F169">
        <f>IF(F168&lt;=0,0,MAX(0,AK169-R169))</f>
        <v/>
      </c>
      <c r="G169">
        <f>IF(G168&lt;=0,0,MAX(0,AL169-S169))</f>
        <v/>
      </c>
      <c r="H169">
        <f>IF(H168&lt;=0,0,MAX(0,AM169-T169))</f>
        <v/>
      </c>
      <c r="I169">
        <f>IF(I168&lt;=0,0,MAX(0,AN169-U169))</f>
        <v/>
      </c>
      <c r="J169">
        <f>IF(J168&lt;=0,0,MAX(0,AO169-V169))</f>
        <v/>
      </c>
      <c r="K169">
        <f>IF(K168&lt;=0,0,MAX(0,AP169-W169))</f>
        <v/>
      </c>
      <c r="L169">
        <f>IF(L168&lt;=0,0,MAX(0,AQ169-X169))</f>
        <v/>
      </c>
      <c r="M169">
        <f>IF(M168&lt;=0,0,MAX(0,AR169-Y169))</f>
        <v/>
      </c>
      <c r="N169">
        <f>IF(N168&lt;=0,0,MAX(0,AS169-Z169))</f>
        <v/>
      </c>
      <c r="O169">
        <f>IF(C168&lt;=0,0,MIN(AH169,C$7+IF(C$2=$AA169,$AC169,IF(C$2=$AF169,$AG169,0))))</f>
        <v/>
      </c>
      <c r="P169">
        <f>IF(D168&lt;=0,0,MIN(AI169,D$7+IF(D$2=$AA169,$AC169,IF(D$2=$AF169,$AG169,0))))</f>
        <v/>
      </c>
      <c r="Q169">
        <f>IF(E168&lt;=0,0,MIN(AJ169,E$7+IF(E$2=$AA169,$AC169,IF(E$2=$AF169,$AG169,0))))</f>
        <v/>
      </c>
      <c r="R169">
        <f>IF(F168&lt;=0,0,MIN(AK169,F$7+IF(F$2=$AA169,$AC169,IF(F$2=$AF169,$AG169,0))))</f>
        <v/>
      </c>
      <c r="S169">
        <f>IF(G168&lt;=0,0,MIN(AL169,G$7+IF(G$2=$AA169,$AC169,IF(G$2=$AF169,$AG169,0))))</f>
        <v/>
      </c>
      <c r="T169">
        <f>IF(H168&lt;=0,0,MIN(AM169,H$7+IF(H$2=$AA169,$AC169,IF(H$2=$AF169,$AG169,0))))</f>
        <v/>
      </c>
      <c r="U169">
        <f>IF(I168&lt;=0,0,MIN(AN169,I$7+IF(I$2=$AA169,$AC169,IF(I$2=$AF169,$AG169,0))))</f>
        <v/>
      </c>
      <c r="V169">
        <f>IF(J168&lt;=0,0,MIN(AO169,J$7+IF(J$2=$AA169,$AC169,IF(J$2=$AF169,$AG169,0))))</f>
        <v/>
      </c>
      <c r="W169">
        <f>IF(K168&lt;=0,0,MIN(AP169,K$7+IF(K$2=$AA169,$AC169,IF(K$2=$AF169,$AG169,0))))</f>
        <v/>
      </c>
      <c r="X169">
        <f>IF(L168&lt;=0,0,MIN(AQ169,L$7+IF(L$2=$AA169,$AC169,IF(L$2=$AF169,$AG169,0))))</f>
        <v/>
      </c>
      <c r="Y169">
        <f>IF(M168&lt;=0,0,MIN(AR169,M$7+IF(M$2=$AA169,$AC169,IF(M$2=$AF169,$AG169,0))))</f>
        <v/>
      </c>
      <c r="Z169">
        <f>IF(N168&lt;=0,0,MIN(AS169,N$7+IF(N$2=$AA169,$AC169,IF(N$2=$AF169,$AG169,0))))</f>
        <v/>
      </c>
      <c r="AA169">
        <f>IFERROR(ROUND(1/SUMPRODUCT(MAX((C168:N168&gt;0)*($C$3:$N$3&lt;=B169)/$C$2:$N$2)),0),0)</f>
        <v/>
      </c>
      <c r="AB169">
        <f>SUMPRODUCT((C168:N168&gt;0)*$C$7:$N$7)</f>
        <v/>
      </c>
      <c r="AC169">
        <f>MAX(0,Plan!$C$5-AB169)+IF(A169=Plan!$C$8,N(Plan!$C$7),0)</f>
        <v/>
      </c>
      <c r="AD169">
        <f>SUM(C169:N169)</f>
        <v/>
      </c>
      <c r="AE169">
        <f>SUM(O169:Z169)</f>
        <v/>
      </c>
      <c r="AF169">
        <f>IFERROR(ROUND(1/SUMPRODUCT(MAX((C168:N168&gt;0)*($C$3:$N$3&lt;=B169)*($C$2:$N$2&gt;AA169)/$C$2:$N$2)),0),0)</f>
        <v/>
      </c>
      <c r="AG169">
        <f>MAX(0,AC169-MAX(0,SUMPRODUCT(($C$2:$N$2=AA169)*(AH169:AS169-$C$7:$N$7))))</f>
        <v/>
      </c>
      <c r="AH169">
        <f>IF(C168&lt;=0,0,ROUND(C168*(1+IF(AND(C$6&gt;0,$B169&lt;C$6),C$4,C$5)/12),2))</f>
        <v/>
      </c>
      <c r="AI169">
        <f>IF(D168&lt;=0,0,ROUND(D168*(1+IF(AND(D$6&gt;0,$B169&lt;D$6),D$4,D$5)/12),2))</f>
        <v/>
      </c>
      <c r="AJ169">
        <f>IF(E168&lt;=0,0,ROUND(E168*(1+IF(AND(E$6&gt;0,$B169&lt;E$6),E$4,E$5)/12),2))</f>
        <v/>
      </c>
      <c r="AK169">
        <f>IF(F168&lt;=0,0,ROUND(F168*(1+IF(AND(F$6&gt;0,$B169&lt;F$6),F$4,F$5)/12),2))</f>
        <v/>
      </c>
      <c r="AL169">
        <f>IF(G168&lt;=0,0,ROUND(G168*(1+IF(AND(G$6&gt;0,$B169&lt;G$6),G$4,G$5)/12),2))</f>
        <v/>
      </c>
      <c r="AM169">
        <f>IF(H168&lt;=0,0,ROUND(H168*(1+IF(AND(H$6&gt;0,$B169&lt;H$6),H$4,H$5)/12),2))</f>
        <v/>
      </c>
      <c r="AN169">
        <f>IF(I168&lt;=0,0,ROUND(I168*(1+IF(AND(I$6&gt;0,$B169&lt;I$6),I$4,I$5)/12),2))</f>
        <v/>
      </c>
      <c r="AO169">
        <f>IF(J168&lt;=0,0,ROUND(J168*(1+IF(AND(J$6&gt;0,$B169&lt;J$6),J$4,J$5)/12),2))</f>
        <v/>
      </c>
      <c r="AP169">
        <f>IF(K168&lt;=0,0,ROUND(K168*(1+IF(AND(K$6&gt;0,$B169&lt;K$6),K$4,K$5)/12),2))</f>
        <v/>
      </c>
      <c r="AQ169">
        <f>IF(L168&lt;=0,0,ROUND(L168*(1+IF(AND(L$6&gt;0,$B169&lt;L$6),L$4,L$5)/12),2))</f>
        <v/>
      </c>
      <c r="AR169">
        <f>IF(M168&lt;=0,0,ROUND(M168*(1+IF(AND(M$6&gt;0,$B169&lt;M$6),M$4,M$5)/12),2))</f>
        <v/>
      </c>
      <c r="AS169">
        <f>IF(N168&lt;=0,0,ROUND(N168*(1+IF(AND(N$6&gt;0,$B169&lt;N$6),N$4,N$5)/12),2))</f>
        <v/>
      </c>
    </row>
    <row r="170">
      <c r="A170" t="n">
        <v>159</v>
      </c>
      <c r="B170">
        <f>EDATE(Plan!$C$6,158)</f>
        <v/>
      </c>
      <c r="C170">
        <f>IF(C169&lt;=0,0,MAX(0,AH170-O170))</f>
        <v/>
      </c>
      <c r="D170">
        <f>IF(D169&lt;=0,0,MAX(0,AI170-P170))</f>
        <v/>
      </c>
      <c r="E170">
        <f>IF(E169&lt;=0,0,MAX(0,AJ170-Q170))</f>
        <v/>
      </c>
      <c r="F170">
        <f>IF(F169&lt;=0,0,MAX(0,AK170-R170))</f>
        <v/>
      </c>
      <c r="G170">
        <f>IF(G169&lt;=0,0,MAX(0,AL170-S170))</f>
        <v/>
      </c>
      <c r="H170">
        <f>IF(H169&lt;=0,0,MAX(0,AM170-T170))</f>
        <v/>
      </c>
      <c r="I170">
        <f>IF(I169&lt;=0,0,MAX(0,AN170-U170))</f>
        <v/>
      </c>
      <c r="J170">
        <f>IF(J169&lt;=0,0,MAX(0,AO170-V170))</f>
        <v/>
      </c>
      <c r="K170">
        <f>IF(K169&lt;=0,0,MAX(0,AP170-W170))</f>
        <v/>
      </c>
      <c r="L170">
        <f>IF(L169&lt;=0,0,MAX(0,AQ170-X170))</f>
        <v/>
      </c>
      <c r="M170">
        <f>IF(M169&lt;=0,0,MAX(0,AR170-Y170))</f>
        <v/>
      </c>
      <c r="N170">
        <f>IF(N169&lt;=0,0,MAX(0,AS170-Z170))</f>
        <v/>
      </c>
      <c r="O170">
        <f>IF(C169&lt;=0,0,MIN(AH170,C$7+IF(C$2=$AA170,$AC170,IF(C$2=$AF170,$AG170,0))))</f>
        <v/>
      </c>
      <c r="P170">
        <f>IF(D169&lt;=0,0,MIN(AI170,D$7+IF(D$2=$AA170,$AC170,IF(D$2=$AF170,$AG170,0))))</f>
        <v/>
      </c>
      <c r="Q170">
        <f>IF(E169&lt;=0,0,MIN(AJ170,E$7+IF(E$2=$AA170,$AC170,IF(E$2=$AF170,$AG170,0))))</f>
        <v/>
      </c>
      <c r="R170">
        <f>IF(F169&lt;=0,0,MIN(AK170,F$7+IF(F$2=$AA170,$AC170,IF(F$2=$AF170,$AG170,0))))</f>
        <v/>
      </c>
      <c r="S170">
        <f>IF(G169&lt;=0,0,MIN(AL170,G$7+IF(G$2=$AA170,$AC170,IF(G$2=$AF170,$AG170,0))))</f>
        <v/>
      </c>
      <c r="T170">
        <f>IF(H169&lt;=0,0,MIN(AM170,H$7+IF(H$2=$AA170,$AC170,IF(H$2=$AF170,$AG170,0))))</f>
        <v/>
      </c>
      <c r="U170">
        <f>IF(I169&lt;=0,0,MIN(AN170,I$7+IF(I$2=$AA170,$AC170,IF(I$2=$AF170,$AG170,0))))</f>
        <v/>
      </c>
      <c r="V170">
        <f>IF(J169&lt;=0,0,MIN(AO170,J$7+IF(J$2=$AA170,$AC170,IF(J$2=$AF170,$AG170,0))))</f>
        <v/>
      </c>
      <c r="W170">
        <f>IF(K169&lt;=0,0,MIN(AP170,K$7+IF(K$2=$AA170,$AC170,IF(K$2=$AF170,$AG170,0))))</f>
        <v/>
      </c>
      <c r="X170">
        <f>IF(L169&lt;=0,0,MIN(AQ170,L$7+IF(L$2=$AA170,$AC170,IF(L$2=$AF170,$AG170,0))))</f>
        <v/>
      </c>
      <c r="Y170">
        <f>IF(M169&lt;=0,0,MIN(AR170,M$7+IF(M$2=$AA170,$AC170,IF(M$2=$AF170,$AG170,0))))</f>
        <v/>
      </c>
      <c r="Z170">
        <f>IF(N169&lt;=0,0,MIN(AS170,N$7+IF(N$2=$AA170,$AC170,IF(N$2=$AF170,$AG170,0))))</f>
        <v/>
      </c>
      <c r="AA170">
        <f>IFERROR(ROUND(1/SUMPRODUCT(MAX((C169:N169&gt;0)*($C$3:$N$3&lt;=B170)/$C$2:$N$2)),0),0)</f>
        <v/>
      </c>
      <c r="AB170">
        <f>SUMPRODUCT((C169:N169&gt;0)*$C$7:$N$7)</f>
        <v/>
      </c>
      <c r="AC170">
        <f>MAX(0,Plan!$C$5-AB170)+IF(A170=Plan!$C$8,N(Plan!$C$7),0)</f>
        <v/>
      </c>
      <c r="AD170">
        <f>SUM(C170:N170)</f>
        <v/>
      </c>
      <c r="AE170">
        <f>SUM(O170:Z170)</f>
        <v/>
      </c>
      <c r="AF170">
        <f>IFERROR(ROUND(1/SUMPRODUCT(MAX((C169:N169&gt;0)*($C$3:$N$3&lt;=B170)*($C$2:$N$2&gt;AA170)/$C$2:$N$2)),0),0)</f>
        <v/>
      </c>
      <c r="AG170">
        <f>MAX(0,AC170-MAX(0,SUMPRODUCT(($C$2:$N$2=AA170)*(AH170:AS170-$C$7:$N$7))))</f>
        <v/>
      </c>
      <c r="AH170">
        <f>IF(C169&lt;=0,0,ROUND(C169*(1+IF(AND(C$6&gt;0,$B170&lt;C$6),C$4,C$5)/12),2))</f>
        <v/>
      </c>
      <c r="AI170">
        <f>IF(D169&lt;=0,0,ROUND(D169*(1+IF(AND(D$6&gt;0,$B170&lt;D$6),D$4,D$5)/12),2))</f>
        <v/>
      </c>
      <c r="AJ170">
        <f>IF(E169&lt;=0,0,ROUND(E169*(1+IF(AND(E$6&gt;0,$B170&lt;E$6),E$4,E$5)/12),2))</f>
        <v/>
      </c>
      <c r="AK170">
        <f>IF(F169&lt;=0,0,ROUND(F169*(1+IF(AND(F$6&gt;0,$B170&lt;F$6),F$4,F$5)/12),2))</f>
        <v/>
      </c>
      <c r="AL170">
        <f>IF(G169&lt;=0,0,ROUND(G169*(1+IF(AND(G$6&gt;0,$B170&lt;G$6),G$4,G$5)/12),2))</f>
        <v/>
      </c>
      <c r="AM170">
        <f>IF(H169&lt;=0,0,ROUND(H169*(1+IF(AND(H$6&gt;0,$B170&lt;H$6),H$4,H$5)/12),2))</f>
        <v/>
      </c>
      <c r="AN170">
        <f>IF(I169&lt;=0,0,ROUND(I169*(1+IF(AND(I$6&gt;0,$B170&lt;I$6),I$4,I$5)/12),2))</f>
        <v/>
      </c>
      <c r="AO170">
        <f>IF(J169&lt;=0,0,ROUND(J169*(1+IF(AND(J$6&gt;0,$B170&lt;J$6),J$4,J$5)/12),2))</f>
        <v/>
      </c>
      <c r="AP170">
        <f>IF(K169&lt;=0,0,ROUND(K169*(1+IF(AND(K$6&gt;0,$B170&lt;K$6),K$4,K$5)/12),2))</f>
        <v/>
      </c>
      <c r="AQ170">
        <f>IF(L169&lt;=0,0,ROUND(L169*(1+IF(AND(L$6&gt;0,$B170&lt;L$6),L$4,L$5)/12),2))</f>
        <v/>
      </c>
      <c r="AR170">
        <f>IF(M169&lt;=0,0,ROUND(M169*(1+IF(AND(M$6&gt;0,$B170&lt;M$6),M$4,M$5)/12),2))</f>
        <v/>
      </c>
      <c r="AS170">
        <f>IF(N169&lt;=0,0,ROUND(N169*(1+IF(AND(N$6&gt;0,$B170&lt;N$6),N$4,N$5)/12),2))</f>
        <v/>
      </c>
    </row>
    <row r="171">
      <c r="A171" t="n">
        <v>160</v>
      </c>
      <c r="B171">
        <f>EDATE(Plan!$C$6,159)</f>
        <v/>
      </c>
      <c r="C171">
        <f>IF(C170&lt;=0,0,MAX(0,AH171-O171))</f>
        <v/>
      </c>
      <c r="D171">
        <f>IF(D170&lt;=0,0,MAX(0,AI171-P171))</f>
        <v/>
      </c>
      <c r="E171">
        <f>IF(E170&lt;=0,0,MAX(0,AJ171-Q171))</f>
        <v/>
      </c>
      <c r="F171">
        <f>IF(F170&lt;=0,0,MAX(0,AK171-R171))</f>
        <v/>
      </c>
      <c r="G171">
        <f>IF(G170&lt;=0,0,MAX(0,AL171-S171))</f>
        <v/>
      </c>
      <c r="H171">
        <f>IF(H170&lt;=0,0,MAX(0,AM171-T171))</f>
        <v/>
      </c>
      <c r="I171">
        <f>IF(I170&lt;=0,0,MAX(0,AN171-U171))</f>
        <v/>
      </c>
      <c r="J171">
        <f>IF(J170&lt;=0,0,MAX(0,AO171-V171))</f>
        <v/>
      </c>
      <c r="K171">
        <f>IF(K170&lt;=0,0,MAX(0,AP171-W171))</f>
        <v/>
      </c>
      <c r="L171">
        <f>IF(L170&lt;=0,0,MAX(0,AQ171-X171))</f>
        <v/>
      </c>
      <c r="M171">
        <f>IF(M170&lt;=0,0,MAX(0,AR171-Y171))</f>
        <v/>
      </c>
      <c r="N171">
        <f>IF(N170&lt;=0,0,MAX(0,AS171-Z171))</f>
        <v/>
      </c>
      <c r="O171">
        <f>IF(C170&lt;=0,0,MIN(AH171,C$7+IF(C$2=$AA171,$AC171,IF(C$2=$AF171,$AG171,0))))</f>
        <v/>
      </c>
      <c r="P171">
        <f>IF(D170&lt;=0,0,MIN(AI171,D$7+IF(D$2=$AA171,$AC171,IF(D$2=$AF171,$AG171,0))))</f>
        <v/>
      </c>
      <c r="Q171">
        <f>IF(E170&lt;=0,0,MIN(AJ171,E$7+IF(E$2=$AA171,$AC171,IF(E$2=$AF171,$AG171,0))))</f>
        <v/>
      </c>
      <c r="R171">
        <f>IF(F170&lt;=0,0,MIN(AK171,F$7+IF(F$2=$AA171,$AC171,IF(F$2=$AF171,$AG171,0))))</f>
        <v/>
      </c>
      <c r="S171">
        <f>IF(G170&lt;=0,0,MIN(AL171,G$7+IF(G$2=$AA171,$AC171,IF(G$2=$AF171,$AG171,0))))</f>
        <v/>
      </c>
      <c r="T171">
        <f>IF(H170&lt;=0,0,MIN(AM171,H$7+IF(H$2=$AA171,$AC171,IF(H$2=$AF171,$AG171,0))))</f>
        <v/>
      </c>
      <c r="U171">
        <f>IF(I170&lt;=0,0,MIN(AN171,I$7+IF(I$2=$AA171,$AC171,IF(I$2=$AF171,$AG171,0))))</f>
        <v/>
      </c>
      <c r="V171">
        <f>IF(J170&lt;=0,0,MIN(AO171,J$7+IF(J$2=$AA171,$AC171,IF(J$2=$AF171,$AG171,0))))</f>
        <v/>
      </c>
      <c r="W171">
        <f>IF(K170&lt;=0,0,MIN(AP171,K$7+IF(K$2=$AA171,$AC171,IF(K$2=$AF171,$AG171,0))))</f>
        <v/>
      </c>
      <c r="X171">
        <f>IF(L170&lt;=0,0,MIN(AQ171,L$7+IF(L$2=$AA171,$AC171,IF(L$2=$AF171,$AG171,0))))</f>
        <v/>
      </c>
      <c r="Y171">
        <f>IF(M170&lt;=0,0,MIN(AR171,M$7+IF(M$2=$AA171,$AC171,IF(M$2=$AF171,$AG171,0))))</f>
        <v/>
      </c>
      <c r="Z171">
        <f>IF(N170&lt;=0,0,MIN(AS171,N$7+IF(N$2=$AA171,$AC171,IF(N$2=$AF171,$AG171,0))))</f>
        <v/>
      </c>
      <c r="AA171">
        <f>IFERROR(ROUND(1/SUMPRODUCT(MAX((C170:N170&gt;0)*($C$3:$N$3&lt;=B171)/$C$2:$N$2)),0),0)</f>
        <v/>
      </c>
      <c r="AB171">
        <f>SUMPRODUCT((C170:N170&gt;0)*$C$7:$N$7)</f>
        <v/>
      </c>
      <c r="AC171">
        <f>MAX(0,Plan!$C$5-AB171)+IF(A171=Plan!$C$8,N(Plan!$C$7),0)</f>
        <v/>
      </c>
      <c r="AD171">
        <f>SUM(C171:N171)</f>
        <v/>
      </c>
      <c r="AE171">
        <f>SUM(O171:Z171)</f>
        <v/>
      </c>
      <c r="AF171">
        <f>IFERROR(ROUND(1/SUMPRODUCT(MAX((C170:N170&gt;0)*($C$3:$N$3&lt;=B171)*($C$2:$N$2&gt;AA171)/$C$2:$N$2)),0),0)</f>
        <v/>
      </c>
      <c r="AG171">
        <f>MAX(0,AC171-MAX(0,SUMPRODUCT(($C$2:$N$2=AA171)*(AH171:AS171-$C$7:$N$7))))</f>
        <v/>
      </c>
      <c r="AH171">
        <f>IF(C170&lt;=0,0,ROUND(C170*(1+IF(AND(C$6&gt;0,$B171&lt;C$6),C$4,C$5)/12),2))</f>
        <v/>
      </c>
      <c r="AI171">
        <f>IF(D170&lt;=0,0,ROUND(D170*(1+IF(AND(D$6&gt;0,$B171&lt;D$6),D$4,D$5)/12),2))</f>
        <v/>
      </c>
      <c r="AJ171">
        <f>IF(E170&lt;=0,0,ROUND(E170*(1+IF(AND(E$6&gt;0,$B171&lt;E$6),E$4,E$5)/12),2))</f>
        <v/>
      </c>
      <c r="AK171">
        <f>IF(F170&lt;=0,0,ROUND(F170*(1+IF(AND(F$6&gt;0,$B171&lt;F$6),F$4,F$5)/12),2))</f>
        <v/>
      </c>
      <c r="AL171">
        <f>IF(G170&lt;=0,0,ROUND(G170*(1+IF(AND(G$6&gt;0,$B171&lt;G$6),G$4,G$5)/12),2))</f>
        <v/>
      </c>
      <c r="AM171">
        <f>IF(H170&lt;=0,0,ROUND(H170*(1+IF(AND(H$6&gt;0,$B171&lt;H$6),H$4,H$5)/12),2))</f>
        <v/>
      </c>
      <c r="AN171">
        <f>IF(I170&lt;=0,0,ROUND(I170*(1+IF(AND(I$6&gt;0,$B171&lt;I$6),I$4,I$5)/12),2))</f>
        <v/>
      </c>
      <c r="AO171">
        <f>IF(J170&lt;=0,0,ROUND(J170*(1+IF(AND(J$6&gt;0,$B171&lt;J$6),J$4,J$5)/12),2))</f>
        <v/>
      </c>
      <c r="AP171">
        <f>IF(K170&lt;=0,0,ROUND(K170*(1+IF(AND(K$6&gt;0,$B171&lt;K$6),K$4,K$5)/12),2))</f>
        <v/>
      </c>
      <c r="AQ171">
        <f>IF(L170&lt;=0,0,ROUND(L170*(1+IF(AND(L$6&gt;0,$B171&lt;L$6),L$4,L$5)/12),2))</f>
        <v/>
      </c>
      <c r="AR171">
        <f>IF(M170&lt;=0,0,ROUND(M170*(1+IF(AND(M$6&gt;0,$B171&lt;M$6),M$4,M$5)/12),2))</f>
        <v/>
      </c>
      <c r="AS171">
        <f>IF(N170&lt;=0,0,ROUND(N170*(1+IF(AND(N$6&gt;0,$B171&lt;N$6),N$4,N$5)/12),2))</f>
        <v/>
      </c>
    </row>
    <row r="172">
      <c r="A172" t="n">
        <v>161</v>
      </c>
      <c r="B172">
        <f>EDATE(Plan!$C$6,160)</f>
        <v/>
      </c>
      <c r="C172">
        <f>IF(C171&lt;=0,0,MAX(0,AH172-O172))</f>
        <v/>
      </c>
      <c r="D172">
        <f>IF(D171&lt;=0,0,MAX(0,AI172-P172))</f>
        <v/>
      </c>
      <c r="E172">
        <f>IF(E171&lt;=0,0,MAX(0,AJ172-Q172))</f>
        <v/>
      </c>
      <c r="F172">
        <f>IF(F171&lt;=0,0,MAX(0,AK172-R172))</f>
        <v/>
      </c>
      <c r="G172">
        <f>IF(G171&lt;=0,0,MAX(0,AL172-S172))</f>
        <v/>
      </c>
      <c r="H172">
        <f>IF(H171&lt;=0,0,MAX(0,AM172-T172))</f>
        <v/>
      </c>
      <c r="I172">
        <f>IF(I171&lt;=0,0,MAX(0,AN172-U172))</f>
        <v/>
      </c>
      <c r="J172">
        <f>IF(J171&lt;=0,0,MAX(0,AO172-V172))</f>
        <v/>
      </c>
      <c r="K172">
        <f>IF(K171&lt;=0,0,MAX(0,AP172-W172))</f>
        <v/>
      </c>
      <c r="L172">
        <f>IF(L171&lt;=0,0,MAX(0,AQ172-X172))</f>
        <v/>
      </c>
      <c r="M172">
        <f>IF(M171&lt;=0,0,MAX(0,AR172-Y172))</f>
        <v/>
      </c>
      <c r="N172">
        <f>IF(N171&lt;=0,0,MAX(0,AS172-Z172))</f>
        <v/>
      </c>
      <c r="O172">
        <f>IF(C171&lt;=0,0,MIN(AH172,C$7+IF(C$2=$AA172,$AC172,IF(C$2=$AF172,$AG172,0))))</f>
        <v/>
      </c>
      <c r="P172">
        <f>IF(D171&lt;=0,0,MIN(AI172,D$7+IF(D$2=$AA172,$AC172,IF(D$2=$AF172,$AG172,0))))</f>
        <v/>
      </c>
      <c r="Q172">
        <f>IF(E171&lt;=0,0,MIN(AJ172,E$7+IF(E$2=$AA172,$AC172,IF(E$2=$AF172,$AG172,0))))</f>
        <v/>
      </c>
      <c r="R172">
        <f>IF(F171&lt;=0,0,MIN(AK172,F$7+IF(F$2=$AA172,$AC172,IF(F$2=$AF172,$AG172,0))))</f>
        <v/>
      </c>
      <c r="S172">
        <f>IF(G171&lt;=0,0,MIN(AL172,G$7+IF(G$2=$AA172,$AC172,IF(G$2=$AF172,$AG172,0))))</f>
        <v/>
      </c>
      <c r="T172">
        <f>IF(H171&lt;=0,0,MIN(AM172,H$7+IF(H$2=$AA172,$AC172,IF(H$2=$AF172,$AG172,0))))</f>
        <v/>
      </c>
      <c r="U172">
        <f>IF(I171&lt;=0,0,MIN(AN172,I$7+IF(I$2=$AA172,$AC172,IF(I$2=$AF172,$AG172,0))))</f>
        <v/>
      </c>
      <c r="V172">
        <f>IF(J171&lt;=0,0,MIN(AO172,J$7+IF(J$2=$AA172,$AC172,IF(J$2=$AF172,$AG172,0))))</f>
        <v/>
      </c>
      <c r="W172">
        <f>IF(K171&lt;=0,0,MIN(AP172,K$7+IF(K$2=$AA172,$AC172,IF(K$2=$AF172,$AG172,0))))</f>
        <v/>
      </c>
      <c r="X172">
        <f>IF(L171&lt;=0,0,MIN(AQ172,L$7+IF(L$2=$AA172,$AC172,IF(L$2=$AF172,$AG172,0))))</f>
        <v/>
      </c>
      <c r="Y172">
        <f>IF(M171&lt;=0,0,MIN(AR172,M$7+IF(M$2=$AA172,$AC172,IF(M$2=$AF172,$AG172,0))))</f>
        <v/>
      </c>
      <c r="Z172">
        <f>IF(N171&lt;=0,0,MIN(AS172,N$7+IF(N$2=$AA172,$AC172,IF(N$2=$AF172,$AG172,0))))</f>
        <v/>
      </c>
      <c r="AA172">
        <f>IFERROR(ROUND(1/SUMPRODUCT(MAX((C171:N171&gt;0)*($C$3:$N$3&lt;=B172)/$C$2:$N$2)),0),0)</f>
        <v/>
      </c>
      <c r="AB172">
        <f>SUMPRODUCT((C171:N171&gt;0)*$C$7:$N$7)</f>
        <v/>
      </c>
      <c r="AC172">
        <f>MAX(0,Plan!$C$5-AB172)+IF(A172=Plan!$C$8,N(Plan!$C$7),0)</f>
        <v/>
      </c>
      <c r="AD172">
        <f>SUM(C172:N172)</f>
        <v/>
      </c>
      <c r="AE172">
        <f>SUM(O172:Z172)</f>
        <v/>
      </c>
      <c r="AF172">
        <f>IFERROR(ROUND(1/SUMPRODUCT(MAX((C171:N171&gt;0)*($C$3:$N$3&lt;=B172)*($C$2:$N$2&gt;AA172)/$C$2:$N$2)),0),0)</f>
        <v/>
      </c>
      <c r="AG172">
        <f>MAX(0,AC172-MAX(0,SUMPRODUCT(($C$2:$N$2=AA172)*(AH172:AS172-$C$7:$N$7))))</f>
        <v/>
      </c>
      <c r="AH172">
        <f>IF(C171&lt;=0,0,ROUND(C171*(1+IF(AND(C$6&gt;0,$B172&lt;C$6),C$4,C$5)/12),2))</f>
        <v/>
      </c>
      <c r="AI172">
        <f>IF(D171&lt;=0,0,ROUND(D171*(1+IF(AND(D$6&gt;0,$B172&lt;D$6),D$4,D$5)/12),2))</f>
        <v/>
      </c>
      <c r="AJ172">
        <f>IF(E171&lt;=0,0,ROUND(E171*(1+IF(AND(E$6&gt;0,$B172&lt;E$6),E$4,E$5)/12),2))</f>
        <v/>
      </c>
      <c r="AK172">
        <f>IF(F171&lt;=0,0,ROUND(F171*(1+IF(AND(F$6&gt;0,$B172&lt;F$6),F$4,F$5)/12),2))</f>
        <v/>
      </c>
      <c r="AL172">
        <f>IF(G171&lt;=0,0,ROUND(G171*(1+IF(AND(G$6&gt;0,$B172&lt;G$6),G$4,G$5)/12),2))</f>
        <v/>
      </c>
      <c r="AM172">
        <f>IF(H171&lt;=0,0,ROUND(H171*(1+IF(AND(H$6&gt;0,$B172&lt;H$6),H$4,H$5)/12),2))</f>
        <v/>
      </c>
      <c r="AN172">
        <f>IF(I171&lt;=0,0,ROUND(I171*(1+IF(AND(I$6&gt;0,$B172&lt;I$6),I$4,I$5)/12),2))</f>
        <v/>
      </c>
      <c r="AO172">
        <f>IF(J171&lt;=0,0,ROUND(J171*(1+IF(AND(J$6&gt;0,$B172&lt;J$6),J$4,J$5)/12),2))</f>
        <v/>
      </c>
      <c r="AP172">
        <f>IF(K171&lt;=0,0,ROUND(K171*(1+IF(AND(K$6&gt;0,$B172&lt;K$6),K$4,K$5)/12),2))</f>
        <v/>
      </c>
      <c r="AQ172">
        <f>IF(L171&lt;=0,0,ROUND(L171*(1+IF(AND(L$6&gt;0,$B172&lt;L$6),L$4,L$5)/12),2))</f>
        <v/>
      </c>
      <c r="AR172">
        <f>IF(M171&lt;=0,0,ROUND(M171*(1+IF(AND(M$6&gt;0,$B172&lt;M$6),M$4,M$5)/12),2))</f>
        <v/>
      </c>
      <c r="AS172">
        <f>IF(N171&lt;=0,0,ROUND(N171*(1+IF(AND(N$6&gt;0,$B172&lt;N$6),N$4,N$5)/12),2))</f>
        <v/>
      </c>
    </row>
    <row r="173">
      <c r="A173" t="n">
        <v>162</v>
      </c>
      <c r="B173">
        <f>EDATE(Plan!$C$6,161)</f>
        <v/>
      </c>
      <c r="C173">
        <f>IF(C172&lt;=0,0,MAX(0,AH173-O173))</f>
        <v/>
      </c>
      <c r="D173">
        <f>IF(D172&lt;=0,0,MAX(0,AI173-P173))</f>
        <v/>
      </c>
      <c r="E173">
        <f>IF(E172&lt;=0,0,MAX(0,AJ173-Q173))</f>
        <v/>
      </c>
      <c r="F173">
        <f>IF(F172&lt;=0,0,MAX(0,AK173-R173))</f>
        <v/>
      </c>
      <c r="G173">
        <f>IF(G172&lt;=0,0,MAX(0,AL173-S173))</f>
        <v/>
      </c>
      <c r="H173">
        <f>IF(H172&lt;=0,0,MAX(0,AM173-T173))</f>
        <v/>
      </c>
      <c r="I173">
        <f>IF(I172&lt;=0,0,MAX(0,AN173-U173))</f>
        <v/>
      </c>
      <c r="J173">
        <f>IF(J172&lt;=0,0,MAX(0,AO173-V173))</f>
        <v/>
      </c>
      <c r="K173">
        <f>IF(K172&lt;=0,0,MAX(0,AP173-W173))</f>
        <v/>
      </c>
      <c r="L173">
        <f>IF(L172&lt;=0,0,MAX(0,AQ173-X173))</f>
        <v/>
      </c>
      <c r="M173">
        <f>IF(M172&lt;=0,0,MAX(0,AR173-Y173))</f>
        <v/>
      </c>
      <c r="N173">
        <f>IF(N172&lt;=0,0,MAX(0,AS173-Z173))</f>
        <v/>
      </c>
      <c r="O173">
        <f>IF(C172&lt;=0,0,MIN(AH173,C$7+IF(C$2=$AA173,$AC173,IF(C$2=$AF173,$AG173,0))))</f>
        <v/>
      </c>
      <c r="P173">
        <f>IF(D172&lt;=0,0,MIN(AI173,D$7+IF(D$2=$AA173,$AC173,IF(D$2=$AF173,$AG173,0))))</f>
        <v/>
      </c>
      <c r="Q173">
        <f>IF(E172&lt;=0,0,MIN(AJ173,E$7+IF(E$2=$AA173,$AC173,IF(E$2=$AF173,$AG173,0))))</f>
        <v/>
      </c>
      <c r="R173">
        <f>IF(F172&lt;=0,0,MIN(AK173,F$7+IF(F$2=$AA173,$AC173,IF(F$2=$AF173,$AG173,0))))</f>
        <v/>
      </c>
      <c r="S173">
        <f>IF(G172&lt;=0,0,MIN(AL173,G$7+IF(G$2=$AA173,$AC173,IF(G$2=$AF173,$AG173,0))))</f>
        <v/>
      </c>
      <c r="T173">
        <f>IF(H172&lt;=0,0,MIN(AM173,H$7+IF(H$2=$AA173,$AC173,IF(H$2=$AF173,$AG173,0))))</f>
        <v/>
      </c>
      <c r="U173">
        <f>IF(I172&lt;=0,0,MIN(AN173,I$7+IF(I$2=$AA173,$AC173,IF(I$2=$AF173,$AG173,0))))</f>
        <v/>
      </c>
      <c r="V173">
        <f>IF(J172&lt;=0,0,MIN(AO173,J$7+IF(J$2=$AA173,$AC173,IF(J$2=$AF173,$AG173,0))))</f>
        <v/>
      </c>
      <c r="W173">
        <f>IF(K172&lt;=0,0,MIN(AP173,K$7+IF(K$2=$AA173,$AC173,IF(K$2=$AF173,$AG173,0))))</f>
        <v/>
      </c>
      <c r="X173">
        <f>IF(L172&lt;=0,0,MIN(AQ173,L$7+IF(L$2=$AA173,$AC173,IF(L$2=$AF173,$AG173,0))))</f>
        <v/>
      </c>
      <c r="Y173">
        <f>IF(M172&lt;=0,0,MIN(AR173,M$7+IF(M$2=$AA173,$AC173,IF(M$2=$AF173,$AG173,0))))</f>
        <v/>
      </c>
      <c r="Z173">
        <f>IF(N172&lt;=0,0,MIN(AS173,N$7+IF(N$2=$AA173,$AC173,IF(N$2=$AF173,$AG173,0))))</f>
        <v/>
      </c>
      <c r="AA173">
        <f>IFERROR(ROUND(1/SUMPRODUCT(MAX((C172:N172&gt;0)*($C$3:$N$3&lt;=B173)/$C$2:$N$2)),0),0)</f>
        <v/>
      </c>
      <c r="AB173">
        <f>SUMPRODUCT((C172:N172&gt;0)*$C$7:$N$7)</f>
        <v/>
      </c>
      <c r="AC173">
        <f>MAX(0,Plan!$C$5-AB173)+IF(A173=Plan!$C$8,N(Plan!$C$7),0)</f>
        <v/>
      </c>
      <c r="AD173">
        <f>SUM(C173:N173)</f>
        <v/>
      </c>
      <c r="AE173">
        <f>SUM(O173:Z173)</f>
        <v/>
      </c>
      <c r="AF173">
        <f>IFERROR(ROUND(1/SUMPRODUCT(MAX((C172:N172&gt;0)*($C$3:$N$3&lt;=B173)*($C$2:$N$2&gt;AA173)/$C$2:$N$2)),0),0)</f>
        <v/>
      </c>
      <c r="AG173">
        <f>MAX(0,AC173-MAX(0,SUMPRODUCT(($C$2:$N$2=AA173)*(AH173:AS173-$C$7:$N$7))))</f>
        <v/>
      </c>
      <c r="AH173">
        <f>IF(C172&lt;=0,0,ROUND(C172*(1+IF(AND(C$6&gt;0,$B173&lt;C$6),C$4,C$5)/12),2))</f>
        <v/>
      </c>
      <c r="AI173">
        <f>IF(D172&lt;=0,0,ROUND(D172*(1+IF(AND(D$6&gt;0,$B173&lt;D$6),D$4,D$5)/12),2))</f>
        <v/>
      </c>
      <c r="AJ173">
        <f>IF(E172&lt;=0,0,ROUND(E172*(1+IF(AND(E$6&gt;0,$B173&lt;E$6),E$4,E$5)/12),2))</f>
        <v/>
      </c>
      <c r="AK173">
        <f>IF(F172&lt;=0,0,ROUND(F172*(1+IF(AND(F$6&gt;0,$B173&lt;F$6),F$4,F$5)/12),2))</f>
        <v/>
      </c>
      <c r="AL173">
        <f>IF(G172&lt;=0,0,ROUND(G172*(1+IF(AND(G$6&gt;0,$B173&lt;G$6),G$4,G$5)/12),2))</f>
        <v/>
      </c>
      <c r="AM173">
        <f>IF(H172&lt;=0,0,ROUND(H172*(1+IF(AND(H$6&gt;0,$B173&lt;H$6),H$4,H$5)/12),2))</f>
        <v/>
      </c>
      <c r="AN173">
        <f>IF(I172&lt;=0,0,ROUND(I172*(1+IF(AND(I$6&gt;0,$B173&lt;I$6),I$4,I$5)/12),2))</f>
        <v/>
      </c>
      <c r="AO173">
        <f>IF(J172&lt;=0,0,ROUND(J172*(1+IF(AND(J$6&gt;0,$B173&lt;J$6),J$4,J$5)/12),2))</f>
        <v/>
      </c>
      <c r="AP173">
        <f>IF(K172&lt;=0,0,ROUND(K172*(1+IF(AND(K$6&gt;0,$B173&lt;K$6),K$4,K$5)/12),2))</f>
        <v/>
      </c>
      <c r="AQ173">
        <f>IF(L172&lt;=0,0,ROUND(L172*(1+IF(AND(L$6&gt;0,$B173&lt;L$6),L$4,L$5)/12),2))</f>
        <v/>
      </c>
      <c r="AR173">
        <f>IF(M172&lt;=0,0,ROUND(M172*(1+IF(AND(M$6&gt;0,$B173&lt;M$6),M$4,M$5)/12),2))</f>
        <v/>
      </c>
      <c r="AS173">
        <f>IF(N172&lt;=0,0,ROUND(N172*(1+IF(AND(N$6&gt;0,$B173&lt;N$6),N$4,N$5)/12),2))</f>
        <v/>
      </c>
    </row>
    <row r="174">
      <c r="A174" t="n">
        <v>163</v>
      </c>
      <c r="B174">
        <f>EDATE(Plan!$C$6,162)</f>
        <v/>
      </c>
      <c r="C174">
        <f>IF(C173&lt;=0,0,MAX(0,AH174-O174))</f>
        <v/>
      </c>
      <c r="D174">
        <f>IF(D173&lt;=0,0,MAX(0,AI174-P174))</f>
        <v/>
      </c>
      <c r="E174">
        <f>IF(E173&lt;=0,0,MAX(0,AJ174-Q174))</f>
        <v/>
      </c>
      <c r="F174">
        <f>IF(F173&lt;=0,0,MAX(0,AK174-R174))</f>
        <v/>
      </c>
      <c r="G174">
        <f>IF(G173&lt;=0,0,MAX(0,AL174-S174))</f>
        <v/>
      </c>
      <c r="H174">
        <f>IF(H173&lt;=0,0,MAX(0,AM174-T174))</f>
        <v/>
      </c>
      <c r="I174">
        <f>IF(I173&lt;=0,0,MAX(0,AN174-U174))</f>
        <v/>
      </c>
      <c r="J174">
        <f>IF(J173&lt;=0,0,MAX(0,AO174-V174))</f>
        <v/>
      </c>
      <c r="K174">
        <f>IF(K173&lt;=0,0,MAX(0,AP174-W174))</f>
        <v/>
      </c>
      <c r="L174">
        <f>IF(L173&lt;=0,0,MAX(0,AQ174-X174))</f>
        <v/>
      </c>
      <c r="M174">
        <f>IF(M173&lt;=0,0,MAX(0,AR174-Y174))</f>
        <v/>
      </c>
      <c r="N174">
        <f>IF(N173&lt;=0,0,MAX(0,AS174-Z174))</f>
        <v/>
      </c>
      <c r="O174">
        <f>IF(C173&lt;=0,0,MIN(AH174,C$7+IF(C$2=$AA174,$AC174,IF(C$2=$AF174,$AG174,0))))</f>
        <v/>
      </c>
      <c r="P174">
        <f>IF(D173&lt;=0,0,MIN(AI174,D$7+IF(D$2=$AA174,$AC174,IF(D$2=$AF174,$AG174,0))))</f>
        <v/>
      </c>
      <c r="Q174">
        <f>IF(E173&lt;=0,0,MIN(AJ174,E$7+IF(E$2=$AA174,$AC174,IF(E$2=$AF174,$AG174,0))))</f>
        <v/>
      </c>
      <c r="R174">
        <f>IF(F173&lt;=0,0,MIN(AK174,F$7+IF(F$2=$AA174,$AC174,IF(F$2=$AF174,$AG174,0))))</f>
        <v/>
      </c>
      <c r="S174">
        <f>IF(G173&lt;=0,0,MIN(AL174,G$7+IF(G$2=$AA174,$AC174,IF(G$2=$AF174,$AG174,0))))</f>
        <v/>
      </c>
      <c r="T174">
        <f>IF(H173&lt;=0,0,MIN(AM174,H$7+IF(H$2=$AA174,$AC174,IF(H$2=$AF174,$AG174,0))))</f>
        <v/>
      </c>
      <c r="U174">
        <f>IF(I173&lt;=0,0,MIN(AN174,I$7+IF(I$2=$AA174,$AC174,IF(I$2=$AF174,$AG174,0))))</f>
        <v/>
      </c>
      <c r="V174">
        <f>IF(J173&lt;=0,0,MIN(AO174,J$7+IF(J$2=$AA174,$AC174,IF(J$2=$AF174,$AG174,0))))</f>
        <v/>
      </c>
      <c r="W174">
        <f>IF(K173&lt;=0,0,MIN(AP174,K$7+IF(K$2=$AA174,$AC174,IF(K$2=$AF174,$AG174,0))))</f>
        <v/>
      </c>
      <c r="X174">
        <f>IF(L173&lt;=0,0,MIN(AQ174,L$7+IF(L$2=$AA174,$AC174,IF(L$2=$AF174,$AG174,0))))</f>
        <v/>
      </c>
      <c r="Y174">
        <f>IF(M173&lt;=0,0,MIN(AR174,M$7+IF(M$2=$AA174,$AC174,IF(M$2=$AF174,$AG174,0))))</f>
        <v/>
      </c>
      <c r="Z174">
        <f>IF(N173&lt;=0,0,MIN(AS174,N$7+IF(N$2=$AA174,$AC174,IF(N$2=$AF174,$AG174,0))))</f>
        <v/>
      </c>
      <c r="AA174">
        <f>IFERROR(ROUND(1/SUMPRODUCT(MAX((C173:N173&gt;0)*($C$3:$N$3&lt;=B174)/$C$2:$N$2)),0),0)</f>
        <v/>
      </c>
      <c r="AB174">
        <f>SUMPRODUCT((C173:N173&gt;0)*$C$7:$N$7)</f>
        <v/>
      </c>
      <c r="AC174">
        <f>MAX(0,Plan!$C$5-AB174)+IF(A174=Plan!$C$8,N(Plan!$C$7),0)</f>
        <v/>
      </c>
      <c r="AD174">
        <f>SUM(C174:N174)</f>
        <v/>
      </c>
      <c r="AE174">
        <f>SUM(O174:Z174)</f>
        <v/>
      </c>
      <c r="AF174">
        <f>IFERROR(ROUND(1/SUMPRODUCT(MAX((C173:N173&gt;0)*($C$3:$N$3&lt;=B174)*($C$2:$N$2&gt;AA174)/$C$2:$N$2)),0),0)</f>
        <v/>
      </c>
      <c r="AG174">
        <f>MAX(0,AC174-MAX(0,SUMPRODUCT(($C$2:$N$2=AA174)*(AH174:AS174-$C$7:$N$7))))</f>
        <v/>
      </c>
      <c r="AH174">
        <f>IF(C173&lt;=0,0,ROUND(C173*(1+IF(AND(C$6&gt;0,$B174&lt;C$6),C$4,C$5)/12),2))</f>
        <v/>
      </c>
      <c r="AI174">
        <f>IF(D173&lt;=0,0,ROUND(D173*(1+IF(AND(D$6&gt;0,$B174&lt;D$6),D$4,D$5)/12),2))</f>
        <v/>
      </c>
      <c r="AJ174">
        <f>IF(E173&lt;=0,0,ROUND(E173*(1+IF(AND(E$6&gt;0,$B174&lt;E$6),E$4,E$5)/12),2))</f>
        <v/>
      </c>
      <c r="AK174">
        <f>IF(F173&lt;=0,0,ROUND(F173*(1+IF(AND(F$6&gt;0,$B174&lt;F$6),F$4,F$5)/12),2))</f>
        <v/>
      </c>
      <c r="AL174">
        <f>IF(G173&lt;=0,0,ROUND(G173*(1+IF(AND(G$6&gt;0,$B174&lt;G$6),G$4,G$5)/12),2))</f>
        <v/>
      </c>
      <c r="AM174">
        <f>IF(H173&lt;=0,0,ROUND(H173*(1+IF(AND(H$6&gt;0,$B174&lt;H$6),H$4,H$5)/12),2))</f>
        <v/>
      </c>
      <c r="AN174">
        <f>IF(I173&lt;=0,0,ROUND(I173*(1+IF(AND(I$6&gt;0,$B174&lt;I$6),I$4,I$5)/12),2))</f>
        <v/>
      </c>
      <c r="AO174">
        <f>IF(J173&lt;=0,0,ROUND(J173*(1+IF(AND(J$6&gt;0,$B174&lt;J$6),J$4,J$5)/12),2))</f>
        <v/>
      </c>
      <c r="AP174">
        <f>IF(K173&lt;=0,0,ROUND(K173*(1+IF(AND(K$6&gt;0,$B174&lt;K$6),K$4,K$5)/12),2))</f>
        <v/>
      </c>
      <c r="AQ174">
        <f>IF(L173&lt;=0,0,ROUND(L173*(1+IF(AND(L$6&gt;0,$B174&lt;L$6),L$4,L$5)/12),2))</f>
        <v/>
      </c>
      <c r="AR174">
        <f>IF(M173&lt;=0,0,ROUND(M173*(1+IF(AND(M$6&gt;0,$B174&lt;M$6),M$4,M$5)/12),2))</f>
        <v/>
      </c>
      <c r="AS174">
        <f>IF(N173&lt;=0,0,ROUND(N173*(1+IF(AND(N$6&gt;0,$B174&lt;N$6),N$4,N$5)/12),2))</f>
        <v/>
      </c>
    </row>
    <row r="175">
      <c r="A175" t="n">
        <v>164</v>
      </c>
      <c r="B175">
        <f>EDATE(Plan!$C$6,163)</f>
        <v/>
      </c>
      <c r="C175">
        <f>IF(C174&lt;=0,0,MAX(0,AH175-O175))</f>
        <v/>
      </c>
      <c r="D175">
        <f>IF(D174&lt;=0,0,MAX(0,AI175-P175))</f>
        <v/>
      </c>
      <c r="E175">
        <f>IF(E174&lt;=0,0,MAX(0,AJ175-Q175))</f>
        <v/>
      </c>
      <c r="F175">
        <f>IF(F174&lt;=0,0,MAX(0,AK175-R175))</f>
        <v/>
      </c>
      <c r="G175">
        <f>IF(G174&lt;=0,0,MAX(0,AL175-S175))</f>
        <v/>
      </c>
      <c r="H175">
        <f>IF(H174&lt;=0,0,MAX(0,AM175-T175))</f>
        <v/>
      </c>
      <c r="I175">
        <f>IF(I174&lt;=0,0,MAX(0,AN175-U175))</f>
        <v/>
      </c>
      <c r="J175">
        <f>IF(J174&lt;=0,0,MAX(0,AO175-V175))</f>
        <v/>
      </c>
      <c r="K175">
        <f>IF(K174&lt;=0,0,MAX(0,AP175-W175))</f>
        <v/>
      </c>
      <c r="L175">
        <f>IF(L174&lt;=0,0,MAX(0,AQ175-X175))</f>
        <v/>
      </c>
      <c r="M175">
        <f>IF(M174&lt;=0,0,MAX(0,AR175-Y175))</f>
        <v/>
      </c>
      <c r="N175">
        <f>IF(N174&lt;=0,0,MAX(0,AS175-Z175))</f>
        <v/>
      </c>
      <c r="O175">
        <f>IF(C174&lt;=0,0,MIN(AH175,C$7+IF(C$2=$AA175,$AC175,IF(C$2=$AF175,$AG175,0))))</f>
        <v/>
      </c>
      <c r="P175">
        <f>IF(D174&lt;=0,0,MIN(AI175,D$7+IF(D$2=$AA175,$AC175,IF(D$2=$AF175,$AG175,0))))</f>
        <v/>
      </c>
      <c r="Q175">
        <f>IF(E174&lt;=0,0,MIN(AJ175,E$7+IF(E$2=$AA175,$AC175,IF(E$2=$AF175,$AG175,0))))</f>
        <v/>
      </c>
      <c r="R175">
        <f>IF(F174&lt;=0,0,MIN(AK175,F$7+IF(F$2=$AA175,$AC175,IF(F$2=$AF175,$AG175,0))))</f>
        <v/>
      </c>
      <c r="S175">
        <f>IF(G174&lt;=0,0,MIN(AL175,G$7+IF(G$2=$AA175,$AC175,IF(G$2=$AF175,$AG175,0))))</f>
        <v/>
      </c>
      <c r="T175">
        <f>IF(H174&lt;=0,0,MIN(AM175,H$7+IF(H$2=$AA175,$AC175,IF(H$2=$AF175,$AG175,0))))</f>
        <v/>
      </c>
      <c r="U175">
        <f>IF(I174&lt;=0,0,MIN(AN175,I$7+IF(I$2=$AA175,$AC175,IF(I$2=$AF175,$AG175,0))))</f>
        <v/>
      </c>
      <c r="V175">
        <f>IF(J174&lt;=0,0,MIN(AO175,J$7+IF(J$2=$AA175,$AC175,IF(J$2=$AF175,$AG175,0))))</f>
        <v/>
      </c>
      <c r="W175">
        <f>IF(K174&lt;=0,0,MIN(AP175,K$7+IF(K$2=$AA175,$AC175,IF(K$2=$AF175,$AG175,0))))</f>
        <v/>
      </c>
      <c r="X175">
        <f>IF(L174&lt;=0,0,MIN(AQ175,L$7+IF(L$2=$AA175,$AC175,IF(L$2=$AF175,$AG175,0))))</f>
        <v/>
      </c>
      <c r="Y175">
        <f>IF(M174&lt;=0,0,MIN(AR175,M$7+IF(M$2=$AA175,$AC175,IF(M$2=$AF175,$AG175,0))))</f>
        <v/>
      </c>
      <c r="Z175">
        <f>IF(N174&lt;=0,0,MIN(AS175,N$7+IF(N$2=$AA175,$AC175,IF(N$2=$AF175,$AG175,0))))</f>
        <v/>
      </c>
      <c r="AA175">
        <f>IFERROR(ROUND(1/SUMPRODUCT(MAX((C174:N174&gt;0)*($C$3:$N$3&lt;=B175)/$C$2:$N$2)),0),0)</f>
        <v/>
      </c>
      <c r="AB175">
        <f>SUMPRODUCT((C174:N174&gt;0)*$C$7:$N$7)</f>
        <v/>
      </c>
      <c r="AC175">
        <f>MAX(0,Plan!$C$5-AB175)+IF(A175=Plan!$C$8,N(Plan!$C$7),0)</f>
        <v/>
      </c>
      <c r="AD175">
        <f>SUM(C175:N175)</f>
        <v/>
      </c>
      <c r="AE175">
        <f>SUM(O175:Z175)</f>
        <v/>
      </c>
      <c r="AF175">
        <f>IFERROR(ROUND(1/SUMPRODUCT(MAX((C174:N174&gt;0)*($C$3:$N$3&lt;=B175)*($C$2:$N$2&gt;AA175)/$C$2:$N$2)),0),0)</f>
        <v/>
      </c>
      <c r="AG175">
        <f>MAX(0,AC175-MAX(0,SUMPRODUCT(($C$2:$N$2=AA175)*(AH175:AS175-$C$7:$N$7))))</f>
        <v/>
      </c>
      <c r="AH175">
        <f>IF(C174&lt;=0,0,ROUND(C174*(1+IF(AND(C$6&gt;0,$B175&lt;C$6),C$4,C$5)/12),2))</f>
        <v/>
      </c>
      <c r="AI175">
        <f>IF(D174&lt;=0,0,ROUND(D174*(1+IF(AND(D$6&gt;0,$B175&lt;D$6),D$4,D$5)/12),2))</f>
        <v/>
      </c>
      <c r="AJ175">
        <f>IF(E174&lt;=0,0,ROUND(E174*(1+IF(AND(E$6&gt;0,$B175&lt;E$6),E$4,E$5)/12),2))</f>
        <v/>
      </c>
      <c r="AK175">
        <f>IF(F174&lt;=0,0,ROUND(F174*(1+IF(AND(F$6&gt;0,$B175&lt;F$6),F$4,F$5)/12),2))</f>
        <v/>
      </c>
      <c r="AL175">
        <f>IF(G174&lt;=0,0,ROUND(G174*(1+IF(AND(G$6&gt;0,$B175&lt;G$6),G$4,G$5)/12),2))</f>
        <v/>
      </c>
      <c r="AM175">
        <f>IF(H174&lt;=0,0,ROUND(H174*(1+IF(AND(H$6&gt;0,$B175&lt;H$6),H$4,H$5)/12),2))</f>
        <v/>
      </c>
      <c r="AN175">
        <f>IF(I174&lt;=0,0,ROUND(I174*(1+IF(AND(I$6&gt;0,$B175&lt;I$6),I$4,I$5)/12),2))</f>
        <v/>
      </c>
      <c r="AO175">
        <f>IF(J174&lt;=0,0,ROUND(J174*(1+IF(AND(J$6&gt;0,$B175&lt;J$6),J$4,J$5)/12),2))</f>
        <v/>
      </c>
      <c r="AP175">
        <f>IF(K174&lt;=0,0,ROUND(K174*(1+IF(AND(K$6&gt;0,$B175&lt;K$6),K$4,K$5)/12),2))</f>
        <v/>
      </c>
      <c r="AQ175">
        <f>IF(L174&lt;=0,0,ROUND(L174*(1+IF(AND(L$6&gt;0,$B175&lt;L$6),L$4,L$5)/12),2))</f>
        <v/>
      </c>
      <c r="AR175">
        <f>IF(M174&lt;=0,0,ROUND(M174*(1+IF(AND(M$6&gt;0,$B175&lt;M$6),M$4,M$5)/12),2))</f>
        <v/>
      </c>
      <c r="AS175">
        <f>IF(N174&lt;=0,0,ROUND(N174*(1+IF(AND(N$6&gt;0,$B175&lt;N$6),N$4,N$5)/12),2))</f>
        <v/>
      </c>
    </row>
    <row r="176">
      <c r="A176" t="n">
        <v>165</v>
      </c>
      <c r="B176">
        <f>EDATE(Plan!$C$6,164)</f>
        <v/>
      </c>
      <c r="C176">
        <f>IF(C175&lt;=0,0,MAX(0,AH176-O176))</f>
        <v/>
      </c>
      <c r="D176">
        <f>IF(D175&lt;=0,0,MAX(0,AI176-P176))</f>
        <v/>
      </c>
      <c r="E176">
        <f>IF(E175&lt;=0,0,MAX(0,AJ176-Q176))</f>
        <v/>
      </c>
      <c r="F176">
        <f>IF(F175&lt;=0,0,MAX(0,AK176-R176))</f>
        <v/>
      </c>
      <c r="G176">
        <f>IF(G175&lt;=0,0,MAX(0,AL176-S176))</f>
        <v/>
      </c>
      <c r="H176">
        <f>IF(H175&lt;=0,0,MAX(0,AM176-T176))</f>
        <v/>
      </c>
      <c r="I176">
        <f>IF(I175&lt;=0,0,MAX(0,AN176-U176))</f>
        <v/>
      </c>
      <c r="J176">
        <f>IF(J175&lt;=0,0,MAX(0,AO176-V176))</f>
        <v/>
      </c>
      <c r="K176">
        <f>IF(K175&lt;=0,0,MAX(0,AP176-W176))</f>
        <v/>
      </c>
      <c r="L176">
        <f>IF(L175&lt;=0,0,MAX(0,AQ176-X176))</f>
        <v/>
      </c>
      <c r="M176">
        <f>IF(M175&lt;=0,0,MAX(0,AR176-Y176))</f>
        <v/>
      </c>
      <c r="N176">
        <f>IF(N175&lt;=0,0,MAX(0,AS176-Z176))</f>
        <v/>
      </c>
      <c r="O176">
        <f>IF(C175&lt;=0,0,MIN(AH176,C$7+IF(C$2=$AA176,$AC176,IF(C$2=$AF176,$AG176,0))))</f>
        <v/>
      </c>
      <c r="P176">
        <f>IF(D175&lt;=0,0,MIN(AI176,D$7+IF(D$2=$AA176,$AC176,IF(D$2=$AF176,$AG176,0))))</f>
        <v/>
      </c>
      <c r="Q176">
        <f>IF(E175&lt;=0,0,MIN(AJ176,E$7+IF(E$2=$AA176,$AC176,IF(E$2=$AF176,$AG176,0))))</f>
        <v/>
      </c>
      <c r="R176">
        <f>IF(F175&lt;=0,0,MIN(AK176,F$7+IF(F$2=$AA176,$AC176,IF(F$2=$AF176,$AG176,0))))</f>
        <v/>
      </c>
      <c r="S176">
        <f>IF(G175&lt;=0,0,MIN(AL176,G$7+IF(G$2=$AA176,$AC176,IF(G$2=$AF176,$AG176,0))))</f>
        <v/>
      </c>
      <c r="T176">
        <f>IF(H175&lt;=0,0,MIN(AM176,H$7+IF(H$2=$AA176,$AC176,IF(H$2=$AF176,$AG176,0))))</f>
        <v/>
      </c>
      <c r="U176">
        <f>IF(I175&lt;=0,0,MIN(AN176,I$7+IF(I$2=$AA176,$AC176,IF(I$2=$AF176,$AG176,0))))</f>
        <v/>
      </c>
      <c r="V176">
        <f>IF(J175&lt;=0,0,MIN(AO176,J$7+IF(J$2=$AA176,$AC176,IF(J$2=$AF176,$AG176,0))))</f>
        <v/>
      </c>
      <c r="W176">
        <f>IF(K175&lt;=0,0,MIN(AP176,K$7+IF(K$2=$AA176,$AC176,IF(K$2=$AF176,$AG176,0))))</f>
        <v/>
      </c>
      <c r="X176">
        <f>IF(L175&lt;=0,0,MIN(AQ176,L$7+IF(L$2=$AA176,$AC176,IF(L$2=$AF176,$AG176,0))))</f>
        <v/>
      </c>
      <c r="Y176">
        <f>IF(M175&lt;=0,0,MIN(AR176,M$7+IF(M$2=$AA176,$AC176,IF(M$2=$AF176,$AG176,0))))</f>
        <v/>
      </c>
      <c r="Z176">
        <f>IF(N175&lt;=0,0,MIN(AS176,N$7+IF(N$2=$AA176,$AC176,IF(N$2=$AF176,$AG176,0))))</f>
        <v/>
      </c>
      <c r="AA176">
        <f>IFERROR(ROUND(1/SUMPRODUCT(MAX((C175:N175&gt;0)*($C$3:$N$3&lt;=B176)/$C$2:$N$2)),0),0)</f>
        <v/>
      </c>
      <c r="AB176">
        <f>SUMPRODUCT((C175:N175&gt;0)*$C$7:$N$7)</f>
        <v/>
      </c>
      <c r="AC176">
        <f>MAX(0,Plan!$C$5-AB176)+IF(A176=Plan!$C$8,N(Plan!$C$7),0)</f>
        <v/>
      </c>
      <c r="AD176">
        <f>SUM(C176:N176)</f>
        <v/>
      </c>
      <c r="AE176">
        <f>SUM(O176:Z176)</f>
        <v/>
      </c>
      <c r="AF176">
        <f>IFERROR(ROUND(1/SUMPRODUCT(MAX((C175:N175&gt;0)*($C$3:$N$3&lt;=B176)*($C$2:$N$2&gt;AA176)/$C$2:$N$2)),0),0)</f>
        <v/>
      </c>
      <c r="AG176">
        <f>MAX(0,AC176-MAX(0,SUMPRODUCT(($C$2:$N$2=AA176)*(AH176:AS176-$C$7:$N$7))))</f>
        <v/>
      </c>
      <c r="AH176">
        <f>IF(C175&lt;=0,0,ROUND(C175*(1+IF(AND(C$6&gt;0,$B176&lt;C$6),C$4,C$5)/12),2))</f>
        <v/>
      </c>
      <c r="AI176">
        <f>IF(D175&lt;=0,0,ROUND(D175*(1+IF(AND(D$6&gt;0,$B176&lt;D$6),D$4,D$5)/12),2))</f>
        <v/>
      </c>
      <c r="AJ176">
        <f>IF(E175&lt;=0,0,ROUND(E175*(1+IF(AND(E$6&gt;0,$B176&lt;E$6),E$4,E$5)/12),2))</f>
        <v/>
      </c>
      <c r="AK176">
        <f>IF(F175&lt;=0,0,ROUND(F175*(1+IF(AND(F$6&gt;0,$B176&lt;F$6),F$4,F$5)/12),2))</f>
        <v/>
      </c>
      <c r="AL176">
        <f>IF(G175&lt;=0,0,ROUND(G175*(1+IF(AND(G$6&gt;0,$B176&lt;G$6),G$4,G$5)/12),2))</f>
        <v/>
      </c>
      <c r="AM176">
        <f>IF(H175&lt;=0,0,ROUND(H175*(1+IF(AND(H$6&gt;0,$B176&lt;H$6),H$4,H$5)/12),2))</f>
        <v/>
      </c>
      <c r="AN176">
        <f>IF(I175&lt;=0,0,ROUND(I175*(1+IF(AND(I$6&gt;0,$B176&lt;I$6),I$4,I$5)/12),2))</f>
        <v/>
      </c>
      <c r="AO176">
        <f>IF(J175&lt;=0,0,ROUND(J175*(1+IF(AND(J$6&gt;0,$B176&lt;J$6),J$4,J$5)/12),2))</f>
        <v/>
      </c>
      <c r="AP176">
        <f>IF(K175&lt;=0,0,ROUND(K175*(1+IF(AND(K$6&gt;0,$B176&lt;K$6),K$4,K$5)/12),2))</f>
        <v/>
      </c>
      <c r="AQ176">
        <f>IF(L175&lt;=0,0,ROUND(L175*(1+IF(AND(L$6&gt;0,$B176&lt;L$6),L$4,L$5)/12),2))</f>
        <v/>
      </c>
      <c r="AR176">
        <f>IF(M175&lt;=0,0,ROUND(M175*(1+IF(AND(M$6&gt;0,$B176&lt;M$6),M$4,M$5)/12),2))</f>
        <v/>
      </c>
      <c r="AS176">
        <f>IF(N175&lt;=0,0,ROUND(N175*(1+IF(AND(N$6&gt;0,$B176&lt;N$6),N$4,N$5)/12),2))</f>
        <v/>
      </c>
    </row>
    <row r="177">
      <c r="A177" t="n">
        <v>166</v>
      </c>
      <c r="B177">
        <f>EDATE(Plan!$C$6,165)</f>
        <v/>
      </c>
      <c r="C177">
        <f>IF(C176&lt;=0,0,MAX(0,AH177-O177))</f>
        <v/>
      </c>
      <c r="D177">
        <f>IF(D176&lt;=0,0,MAX(0,AI177-P177))</f>
        <v/>
      </c>
      <c r="E177">
        <f>IF(E176&lt;=0,0,MAX(0,AJ177-Q177))</f>
        <v/>
      </c>
      <c r="F177">
        <f>IF(F176&lt;=0,0,MAX(0,AK177-R177))</f>
        <v/>
      </c>
      <c r="G177">
        <f>IF(G176&lt;=0,0,MAX(0,AL177-S177))</f>
        <v/>
      </c>
      <c r="H177">
        <f>IF(H176&lt;=0,0,MAX(0,AM177-T177))</f>
        <v/>
      </c>
      <c r="I177">
        <f>IF(I176&lt;=0,0,MAX(0,AN177-U177))</f>
        <v/>
      </c>
      <c r="J177">
        <f>IF(J176&lt;=0,0,MAX(0,AO177-V177))</f>
        <v/>
      </c>
      <c r="K177">
        <f>IF(K176&lt;=0,0,MAX(0,AP177-W177))</f>
        <v/>
      </c>
      <c r="L177">
        <f>IF(L176&lt;=0,0,MAX(0,AQ177-X177))</f>
        <v/>
      </c>
      <c r="M177">
        <f>IF(M176&lt;=0,0,MAX(0,AR177-Y177))</f>
        <v/>
      </c>
      <c r="N177">
        <f>IF(N176&lt;=0,0,MAX(0,AS177-Z177))</f>
        <v/>
      </c>
      <c r="O177">
        <f>IF(C176&lt;=0,0,MIN(AH177,C$7+IF(C$2=$AA177,$AC177,IF(C$2=$AF177,$AG177,0))))</f>
        <v/>
      </c>
      <c r="P177">
        <f>IF(D176&lt;=0,0,MIN(AI177,D$7+IF(D$2=$AA177,$AC177,IF(D$2=$AF177,$AG177,0))))</f>
        <v/>
      </c>
      <c r="Q177">
        <f>IF(E176&lt;=0,0,MIN(AJ177,E$7+IF(E$2=$AA177,$AC177,IF(E$2=$AF177,$AG177,0))))</f>
        <v/>
      </c>
      <c r="R177">
        <f>IF(F176&lt;=0,0,MIN(AK177,F$7+IF(F$2=$AA177,$AC177,IF(F$2=$AF177,$AG177,0))))</f>
        <v/>
      </c>
      <c r="S177">
        <f>IF(G176&lt;=0,0,MIN(AL177,G$7+IF(G$2=$AA177,$AC177,IF(G$2=$AF177,$AG177,0))))</f>
        <v/>
      </c>
      <c r="T177">
        <f>IF(H176&lt;=0,0,MIN(AM177,H$7+IF(H$2=$AA177,$AC177,IF(H$2=$AF177,$AG177,0))))</f>
        <v/>
      </c>
      <c r="U177">
        <f>IF(I176&lt;=0,0,MIN(AN177,I$7+IF(I$2=$AA177,$AC177,IF(I$2=$AF177,$AG177,0))))</f>
        <v/>
      </c>
      <c r="V177">
        <f>IF(J176&lt;=0,0,MIN(AO177,J$7+IF(J$2=$AA177,$AC177,IF(J$2=$AF177,$AG177,0))))</f>
        <v/>
      </c>
      <c r="W177">
        <f>IF(K176&lt;=0,0,MIN(AP177,K$7+IF(K$2=$AA177,$AC177,IF(K$2=$AF177,$AG177,0))))</f>
        <v/>
      </c>
      <c r="X177">
        <f>IF(L176&lt;=0,0,MIN(AQ177,L$7+IF(L$2=$AA177,$AC177,IF(L$2=$AF177,$AG177,0))))</f>
        <v/>
      </c>
      <c r="Y177">
        <f>IF(M176&lt;=0,0,MIN(AR177,M$7+IF(M$2=$AA177,$AC177,IF(M$2=$AF177,$AG177,0))))</f>
        <v/>
      </c>
      <c r="Z177">
        <f>IF(N176&lt;=0,0,MIN(AS177,N$7+IF(N$2=$AA177,$AC177,IF(N$2=$AF177,$AG177,0))))</f>
        <v/>
      </c>
      <c r="AA177">
        <f>IFERROR(ROUND(1/SUMPRODUCT(MAX((C176:N176&gt;0)*($C$3:$N$3&lt;=B177)/$C$2:$N$2)),0),0)</f>
        <v/>
      </c>
      <c r="AB177">
        <f>SUMPRODUCT((C176:N176&gt;0)*$C$7:$N$7)</f>
        <v/>
      </c>
      <c r="AC177">
        <f>MAX(0,Plan!$C$5-AB177)+IF(A177=Plan!$C$8,N(Plan!$C$7),0)</f>
        <v/>
      </c>
      <c r="AD177">
        <f>SUM(C177:N177)</f>
        <v/>
      </c>
      <c r="AE177">
        <f>SUM(O177:Z177)</f>
        <v/>
      </c>
      <c r="AF177">
        <f>IFERROR(ROUND(1/SUMPRODUCT(MAX((C176:N176&gt;0)*($C$3:$N$3&lt;=B177)*($C$2:$N$2&gt;AA177)/$C$2:$N$2)),0),0)</f>
        <v/>
      </c>
      <c r="AG177">
        <f>MAX(0,AC177-MAX(0,SUMPRODUCT(($C$2:$N$2=AA177)*(AH177:AS177-$C$7:$N$7))))</f>
        <v/>
      </c>
      <c r="AH177">
        <f>IF(C176&lt;=0,0,ROUND(C176*(1+IF(AND(C$6&gt;0,$B177&lt;C$6),C$4,C$5)/12),2))</f>
        <v/>
      </c>
      <c r="AI177">
        <f>IF(D176&lt;=0,0,ROUND(D176*(1+IF(AND(D$6&gt;0,$B177&lt;D$6),D$4,D$5)/12),2))</f>
        <v/>
      </c>
      <c r="AJ177">
        <f>IF(E176&lt;=0,0,ROUND(E176*(1+IF(AND(E$6&gt;0,$B177&lt;E$6),E$4,E$5)/12),2))</f>
        <v/>
      </c>
      <c r="AK177">
        <f>IF(F176&lt;=0,0,ROUND(F176*(1+IF(AND(F$6&gt;0,$B177&lt;F$6),F$4,F$5)/12),2))</f>
        <v/>
      </c>
      <c r="AL177">
        <f>IF(G176&lt;=0,0,ROUND(G176*(1+IF(AND(G$6&gt;0,$B177&lt;G$6),G$4,G$5)/12),2))</f>
        <v/>
      </c>
      <c r="AM177">
        <f>IF(H176&lt;=0,0,ROUND(H176*(1+IF(AND(H$6&gt;0,$B177&lt;H$6),H$4,H$5)/12),2))</f>
        <v/>
      </c>
      <c r="AN177">
        <f>IF(I176&lt;=0,0,ROUND(I176*(1+IF(AND(I$6&gt;0,$B177&lt;I$6),I$4,I$5)/12),2))</f>
        <v/>
      </c>
      <c r="AO177">
        <f>IF(J176&lt;=0,0,ROUND(J176*(1+IF(AND(J$6&gt;0,$B177&lt;J$6),J$4,J$5)/12),2))</f>
        <v/>
      </c>
      <c r="AP177">
        <f>IF(K176&lt;=0,0,ROUND(K176*(1+IF(AND(K$6&gt;0,$B177&lt;K$6),K$4,K$5)/12),2))</f>
        <v/>
      </c>
      <c r="AQ177">
        <f>IF(L176&lt;=0,0,ROUND(L176*(1+IF(AND(L$6&gt;0,$B177&lt;L$6),L$4,L$5)/12),2))</f>
        <v/>
      </c>
      <c r="AR177">
        <f>IF(M176&lt;=0,0,ROUND(M176*(1+IF(AND(M$6&gt;0,$B177&lt;M$6),M$4,M$5)/12),2))</f>
        <v/>
      </c>
      <c r="AS177">
        <f>IF(N176&lt;=0,0,ROUND(N176*(1+IF(AND(N$6&gt;0,$B177&lt;N$6),N$4,N$5)/12),2))</f>
        <v/>
      </c>
    </row>
    <row r="178">
      <c r="A178" t="n">
        <v>167</v>
      </c>
      <c r="B178">
        <f>EDATE(Plan!$C$6,166)</f>
        <v/>
      </c>
      <c r="C178">
        <f>IF(C177&lt;=0,0,MAX(0,AH178-O178))</f>
        <v/>
      </c>
      <c r="D178">
        <f>IF(D177&lt;=0,0,MAX(0,AI178-P178))</f>
        <v/>
      </c>
      <c r="E178">
        <f>IF(E177&lt;=0,0,MAX(0,AJ178-Q178))</f>
        <v/>
      </c>
      <c r="F178">
        <f>IF(F177&lt;=0,0,MAX(0,AK178-R178))</f>
        <v/>
      </c>
      <c r="G178">
        <f>IF(G177&lt;=0,0,MAX(0,AL178-S178))</f>
        <v/>
      </c>
      <c r="H178">
        <f>IF(H177&lt;=0,0,MAX(0,AM178-T178))</f>
        <v/>
      </c>
      <c r="I178">
        <f>IF(I177&lt;=0,0,MAX(0,AN178-U178))</f>
        <v/>
      </c>
      <c r="J178">
        <f>IF(J177&lt;=0,0,MAX(0,AO178-V178))</f>
        <v/>
      </c>
      <c r="K178">
        <f>IF(K177&lt;=0,0,MAX(0,AP178-W178))</f>
        <v/>
      </c>
      <c r="L178">
        <f>IF(L177&lt;=0,0,MAX(0,AQ178-X178))</f>
        <v/>
      </c>
      <c r="M178">
        <f>IF(M177&lt;=0,0,MAX(0,AR178-Y178))</f>
        <v/>
      </c>
      <c r="N178">
        <f>IF(N177&lt;=0,0,MAX(0,AS178-Z178))</f>
        <v/>
      </c>
      <c r="O178">
        <f>IF(C177&lt;=0,0,MIN(AH178,C$7+IF(C$2=$AA178,$AC178,IF(C$2=$AF178,$AG178,0))))</f>
        <v/>
      </c>
      <c r="P178">
        <f>IF(D177&lt;=0,0,MIN(AI178,D$7+IF(D$2=$AA178,$AC178,IF(D$2=$AF178,$AG178,0))))</f>
        <v/>
      </c>
      <c r="Q178">
        <f>IF(E177&lt;=0,0,MIN(AJ178,E$7+IF(E$2=$AA178,$AC178,IF(E$2=$AF178,$AG178,0))))</f>
        <v/>
      </c>
      <c r="R178">
        <f>IF(F177&lt;=0,0,MIN(AK178,F$7+IF(F$2=$AA178,$AC178,IF(F$2=$AF178,$AG178,0))))</f>
        <v/>
      </c>
      <c r="S178">
        <f>IF(G177&lt;=0,0,MIN(AL178,G$7+IF(G$2=$AA178,$AC178,IF(G$2=$AF178,$AG178,0))))</f>
        <v/>
      </c>
      <c r="T178">
        <f>IF(H177&lt;=0,0,MIN(AM178,H$7+IF(H$2=$AA178,$AC178,IF(H$2=$AF178,$AG178,0))))</f>
        <v/>
      </c>
      <c r="U178">
        <f>IF(I177&lt;=0,0,MIN(AN178,I$7+IF(I$2=$AA178,$AC178,IF(I$2=$AF178,$AG178,0))))</f>
        <v/>
      </c>
      <c r="V178">
        <f>IF(J177&lt;=0,0,MIN(AO178,J$7+IF(J$2=$AA178,$AC178,IF(J$2=$AF178,$AG178,0))))</f>
        <v/>
      </c>
      <c r="W178">
        <f>IF(K177&lt;=0,0,MIN(AP178,K$7+IF(K$2=$AA178,$AC178,IF(K$2=$AF178,$AG178,0))))</f>
        <v/>
      </c>
      <c r="X178">
        <f>IF(L177&lt;=0,0,MIN(AQ178,L$7+IF(L$2=$AA178,$AC178,IF(L$2=$AF178,$AG178,0))))</f>
        <v/>
      </c>
      <c r="Y178">
        <f>IF(M177&lt;=0,0,MIN(AR178,M$7+IF(M$2=$AA178,$AC178,IF(M$2=$AF178,$AG178,0))))</f>
        <v/>
      </c>
      <c r="Z178">
        <f>IF(N177&lt;=0,0,MIN(AS178,N$7+IF(N$2=$AA178,$AC178,IF(N$2=$AF178,$AG178,0))))</f>
        <v/>
      </c>
      <c r="AA178">
        <f>IFERROR(ROUND(1/SUMPRODUCT(MAX((C177:N177&gt;0)*($C$3:$N$3&lt;=B178)/$C$2:$N$2)),0),0)</f>
        <v/>
      </c>
      <c r="AB178">
        <f>SUMPRODUCT((C177:N177&gt;0)*$C$7:$N$7)</f>
        <v/>
      </c>
      <c r="AC178">
        <f>MAX(0,Plan!$C$5-AB178)+IF(A178=Plan!$C$8,N(Plan!$C$7),0)</f>
        <v/>
      </c>
      <c r="AD178">
        <f>SUM(C178:N178)</f>
        <v/>
      </c>
      <c r="AE178">
        <f>SUM(O178:Z178)</f>
        <v/>
      </c>
      <c r="AF178">
        <f>IFERROR(ROUND(1/SUMPRODUCT(MAX((C177:N177&gt;0)*($C$3:$N$3&lt;=B178)*($C$2:$N$2&gt;AA178)/$C$2:$N$2)),0),0)</f>
        <v/>
      </c>
      <c r="AG178">
        <f>MAX(0,AC178-MAX(0,SUMPRODUCT(($C$2:$N$2=AA178)*(AH178:AS178-$C$7:$N$7))))</f>
        <v/>
      </c>
      <c r="AH178">
        <f>IF(C177&lt;=0,0,ROUND(C177*(1+IF(AND(C$6&gt;0,$B178&lt;C$6),C$4,C$5)/12),2))</f>
        <v/>
      </c>
      <c r="AI178">
        <f>IF(D177&lt;=0,0,ROUND(D177*(1+IF(AND(D$6&gt;0,$B178&lt;D$6),D$4,D$5)/12),2))</f>
        <v/>
      </c>
      <c r="AJ178">
        <f>IF(E177&lt;=0,0,ROUND(E177*(1+IF(AND(E$6&gt;0,$B178&lt;E$6),E$4,E$5)/12),2))</f>
        <v/>
      </c>
      <c r="AK178">
        <f>IF(F177&lt;=0,0,ROUND(F177*(1+IF(AND(F$6&gt;0,$B178&lt;F$6),F$4,F$5)/12),2))</f>
        <v/>
      </c>
      <c r="AL178">
        <f>IF(G177&lt;=0,0,ROUND(G177*(1+IF(AND(G$6&gt;0,$B178&lt;G$6),G$4,G$5)/12),2))</f>
        <v/>
      </c>
      <c r="AM178">
        <f>IF(H177&lt;=0,0,ROUND(H177*(1+IF(AND(H$6&gt;0,$B178&lt;H$6),H$4,H$5)/12),2))</f>
        <v/>
      </c>
      <c r="AN178">
        <f>IF(I177&lt;=0,0,ROUND(I177*(1+IF(AND(I$6&gt;0,$B178&lt;I$6),I$4,I$5)/12),2))</f>
        <v/>
      </c>
      <c r="AO178">
        <f>IF(J177&lt;=0,0,ROUND(J177*(1+IF(AND(J$6&gt;0,$B178&lt;J$6),J$4,J$5)/12),2))</f>
        <v/>
      </c>
      <c r="AP178">
        <f>IF(K177&lt;=0,0,ROUND(K177*(1+IF(AND(K$6&gt;0,$B178&lt;K$6),K$4,K$5)/12),2))</f>
        <v/>
      </c>
      <c r="AQ178">
        <f>IF(L177&lt;=0,0,ROUND(L177*(1+IF(AND(L$6&gt;0,$B178&lt;L$6),L$4,L$5)/12),2))</f>
        <v/>
      </c>
      <c r="AR178">
        <f>IF(M177&lt;=0,0,ROUND(M177*(1+IF(AND(M$6&gt;0,$B178&lt;M$6),M$4,M$5)/12),2))</f>
        <v/>
      </c>
      <c r="AS178">
        <f>IF(N177&lt;=0,0,ROUND(N177*(1+IF(AND(N$6&gt;0,$B178&lt;N$6),N$4,N$5)/12),2))</f>
        <v/>
      </c>
    </row>
    <row r="179">
      <c r="A179" t="n">
        <v>168</v>
      </c>
      <c r="B179">
        <f>EDATE(Plan!$C$6,167)</f>
        <v/>
      </c>
      <c r="C179">
        <f>IF(C178&lt;=0,0,MAX(0,AH179-O179))</f>
        <v/>
      </c>
      <c r="D179">
        <f>IF(D178&lt;=0,0,MAX(0,AI179-P179))</f>
        <v/>
      </c>
      <c r="E179">
        <f>IF(E178&lt;=0,0,MAX(0,AJ179-Q179))</f>
        <v/>
      </c>
      <c r="F179">
        <f>IF(F178&lt;=0,0,MAX(0,AK179-R179))</f>
        <v/>
      </c>
      <c r="G179">
        <f>IF(G178&lt;=0,0,MAX(0,AL179-S179))</f>
        <v/>
      </c>
      <c r="H179">
        <f>IF(H178&lt;=0,0,MAX(0,AM179-T179))</f>
        <v/>
      </c>
      <c r="I179">
        <f>IF(I178&lt;=0,0,MAX(0,AN179-U179))</f>
        <v/>
      </c>
      <c r="J179">
        <f>IF(J178&lt;=0,0,MAX(0,AO179-V179))</f>
        <v/>
      </c>
      <c r="K179">
        <f>IF(K178&lt;=0,0,MAX(0,AP179-W179))</f>
        <v/>
      </c>
      <c r="L179">
        <f>IF(L178&lt;=0,0,MAX(0,AQ179-X179))</f>
        <v/>
      </c>
      <c r="M179">
        <f>IF(M178&lt;=0,0,MAX(0,AR179-Y179))</f>
        <v/>
      </c>
      <c r="N179">
        <f>IF(N178&lt;=0,0,MAX(0,AS179-Z179))</f>
        <v/>
      </c>
      <c r="O179">
        <f>IF(C178&lt;=0,0,MIN(AH179,C$7+IF(C$2=$AA179,$AC179,IF(C$2=$AF179,$AG179,0))))</f>
        <v/>
      </c>
      <c r="P179">
        <f>IF(D178&lt;=0,0,MIN(AI179,D$7+IF(D$2=$AA179,$AC179,IF(D$2=$AF179,$AG179,0))))</f>
        <v/>
      </c>
      <c r="Q179">
        <f>IF(E178&lt;=0,0,MIN(AJ179,E$7+IF(E$2=$AA179,$AC179,IF(E$2=$AF179,$AG179,0))))</f>
        <v/>
      </c>
      <c r="R179">
        <f>IF(F178&lt;=0,0,MIN(AK179,F$7+IF(F$2=$AA179,$AC179,IF(F$2=$AF179,$AG179,0))))</f>
        <v/>
      </c>
      <c r="S179">
        <f>IF(G178&lt;=0,0,MIN(AL179,G$7+IF(G$2=$AA179,$AC179,IF(G$2=$AF179,$AG179,0))))</f>
        <v/>
      </c>
      <c r="T179">
        <f>IF(H178&lt;=0,0,MIN(AM179,H$7+IF(H$2=$AA179,$AC179,IF(H$2=$AF179,$AG179,0))))</f>
        <v/>
      </c>
      <c r="U179">
        <f>IF(I178&lt;=0,0,MIN(AN179,I$7+IF(I$2=$AA179,$AC179,IF(I$2=$AF179,$AG179,0))))</f>
        <v/>
      </c>
      <c r="V179">
        <f>IF(J178&lt;=0,0,MIN(AO179,J$7+IF(J$2=$AA179,$AC179,IF(J$2=$AF179,$AG179,0))))</f>
        <v/>
      </c>
      <c r="W179">
        <f>IF(K178&lt;=0,0,MIN(AP179,K$7+IF(K$2=$AA179,$AC179,IF(K$2=$AF179,$AG179,0))))</f>
        <v/>
      </c>
      <c r="X179">
        <f>IF(L178&lt;=0,0,MIN(AQ179,L$7+IF(L$2=$AA179,$AC179,IF(L$2=$AF179,$AG179,0))))</f>
        <v/>
      </c>
      <c r="Y179">
        <f>IF(M178&lt;=0,0,MIN(AR179,M$7+IF(M$2=$AA179,$AC179,IF(M$2=$AF179,$AG179,0))))</f>
        <v/>
      </c>
      <c r="Z179">
        <f>IF(N178&lt;=0,0,MIN(AS179,N$7+IF(N$2=$AA179,$AC179,IF(N$2=$AF179,$AG179,0))))</f>
        <v/>
      </c>
      <c r="AA179">
        <f>IFERROR(ROUND(1/SUMPRODUCT(MAX((C178:N178&gt;0)*($C$3:$N$3&lt;=B179)/$C$2:$N$2)),0),0)</f>
        <v/>
      </c>
      <c r="AB179">
        <f>SUMPRODUCT((C178:N178&gt;0)*$C$7:$N$7)</f>
        <v/>
      </c>
      <c r="AC179">
        <f>MAX(0,Plan!$C$5-AB179)+IF(A179=Plan!$C$8,N(Plan!$C$7),0)</f>
        <v/>
      </c>
      <c r="AD179">
        <f>SUM(C179:N179)</f>
        <v/>
      </c>
      <c r="AE179">
        <f>SUM(O179:Z179)</f>
        <v/>
      </c>
      <c r="AF179">
        <f>IFERROR(ROUND(1/SUMPRODUCT(MAX((C178:N178&gt;0)*($C$3:$N$3&lt;=B179)*($C$2:$N$2&gt;AA179)/$C$2:$N$2)),0),0)</f>
        <v/>
      </c>
      <c r="AG179">
        <f>MAX(0,AC179-MAX(0,SUMPRODUCT(($C$2:$N$2=AA179)*(AH179:AS179-$C$7:$N$7))))</f>
        <v/>
      </c>
      <c r="AH179">
        <f>IF(C178&lt;=0,0,ROUND(C178*(1+IF(AND(C$6&gt;0,$B179&lt;C$6),C$4,C$5)/12),2))</f>
        <v/>
      </c>
      <c r="AI179">
        <f>IF(D178&lt;=0,0,ROUND(D178*(1+IF(AND(D$6&gt;0,$B179&lt;D$6),D$4,D$5)/12),2))</f>
        <v/>
      </c>
      <c r="AJ179">
        <f>IF(E178&lt;=0,0,ROUND(E178*(1+IF(AND(E$6&gt;0,$B179&lt;E$6),E$4,E$5)/12),2))</f>
        <v/>
      </c>
      <c r="AK179">
        <f>IF(F178&lt;=0,0,ROUND(F178*(1+IF(AND(F$6&gt;0,$B179&lt;F$6),F$4,F$5)/12),2))</f>
        <v/>
      </c>
      <c r="AL179">
        <f>IF(G178&lt;=0,0,ROUND(G178*(1+IF(AND(G$6&gt;0,$B179&lt;G$6),G$4,G$5)/12),2))</f>
        <v/>
      </c>
      <c r="AM179">
        <f>IF(H178&lt;=0,0,ROUND(H178*(1+IF(AND(H$6&gt;0,$B179&lt;H$6),H$4,H$5)/12),2))</f>
        <v/>
      </c>
      <c r="AN179">
        <f>IF(I178&lt;=0,0,ROUND(I178*(1+IF(AND(I$6&gt;0,$B179&lt;I$6),I$4,I$5)/12),2))</f>
        <v/>
      </c>
      <c r="AO179">
        <f>IF(J178&lt;=0,0,ROUND(J178*(1+IF(AND(J$6&gt;0,$B179&lt;J$6),J$4,J$5)/12),2))</f>
        <v/>
      </c>
      <c r="AP179">
        <f>IF(K178&lt;=0,0,ROUND(K178*(1+IF(AND(K$6&gt;0,$B179&lt;K$6),K$4,K$5)/12),2))</f>
        <v/>
      </c>
      <c r="AQ179">
        <f>IF(L178&lt;=0,0,ROUND(L178*(1+IF(AND(L$6&gt;0,$B179&lt;L$6),L$4,L$5)/12),2))</f>
        <v/>
      </c>
      <c r="AR179">
        <f>IF(M178&lt;=0,0,ROUND(M178*(1+IF(AND(M$6&gt;0,$B179&lt;M$6),M$4,M$5)/12),2))</f>
        <v/>
      </c>
      <c r="AS179">
        <f>IF(N178&lt;=0,0,ROUND(N178*(1+IF(AND(N$6&gt;0,$B179&lt;N$6),N$4,N$5)/12),2))</f>
        <v/>
      </c>
    </row>
    <row r="180">
      <c r="A180" t="n">
        <v>169</v>
      </c>
      <c r="B180">
        <f>EDATE(Plan!$C$6,168)</f>
        <v/>
      </c>
      <c r="C180">
        <f>IF(C179&lt;=0,0,MAX(0,AH180-O180))</f>
        <v/>
      </c>
      <c r="D180">
        <f>IF(D179&lt;=0,0,MAX(0,AI180-P180))</f>
        <v/>
      </c>
      <c r="E180">
        <f>IF(E179&lt;=0,0,MAX(0,AJ180-Q180))</f>
        <v/>
      </c>
      <c r="F180">
        <f>IF(F179&lt;=0,0,MAX(0,AK180-R180))</f>
        <v/>
      </c>
      <c r="G180">
        <f>IF(G179&lt;=0,0,MAX(0,AL180-S180))</f>
        <v/>
      </c>
      <c r="H180">
        <f>IF(H179&lt;=0,0,MAX(0,AM180-T180))</f>
        <v/>
      </c>
      <c r="I180">
        <f>IF(I179&lt;=0,0,MAX(0,AN180-U180))</f>
        <v/>
      </c>
      <c r="J180">
        <f>IF(J179&lt;=0,0,MAX(0,AO180-V180))</f>
        <v/>
      </c>
      <c r="K180">
        <f>IF(K179&lt;=0,0,MAX(0,AP180-W180))</f>
        <v/>
      </c>
      <c r="L180">
        <f>IF(L179&lt;=0,0,MAX(0,AQ180-X180))</f>
        <v/>
      </c>
      <c r="M180">
        <f>IF(M179&lt;=0,0,MAX(0,AR180-Y180))</f>
        <v/>
      </c>
      <c r="N180">
        <f>IF(N179&lt;=0,0,MAX(0,AS180-Z180))</f>
        <v/>
      </c>
      <c r="O180">
        <f>IF(C179&lt;=0,0,MIN(AH180,C$7+IF(C$2=$AA180,$AC180,IF(C$2=$AF180,$AG180,0))))</f>
        <v/>
      </c>
      <c r="P180">
        <f>IF(D179&lt;=0,0,MIN(AI180,D$7+IF(D$2=$AA180,$AC180,IF(D$2=$AF180,$AG180,0))))</f>
        <v/>
      </c>
      <c r="Q180">
        <f>IF(E179&lt;=0,0,MIN(AJ180,E$7+IF(E$2=$AA180,$AC180,IF(E$2=$AF180,$AG180,0))))</f>
        <v/>
      </c>
      <c r="R180">
        <f>IF(F179&lt;=0,0,MIN(AK180,F$7+IF(F$2=$AA180,$AC180,IF(F$2=$AF180,$AG180,0))))</f>
        <v/>
      </c>
      <c r="S180">
        <f>IF(G179&lt;=0,0,MIN(AL180,G$7+IF(G$2=$AA180,$AC180,IF(G$2=$AF180,$AG180,0))))</f>
        <v/>
      </c>
      <c r="T180">
        <f>IF(H179&lt;=0,0,MIN(AM180,H$7+IF(H$2=$AA180,$AC180,IF(H$2=$AF180,$AG180,0))))</f>
        <v/>
      </c>
      <c r="U180">
        <f>IF(I179&lt;=0,0,MIN(AN180,I$7+IF(I$2=$AA180,$AC180,IF(I$2=$AF180,$AG180,0))))</f>
        <v/>
      </c>
      <c r="V180">
        <f>IF(J179&lt;=0,0,MIN(AO180,J$7+IF(J$2=$AA180,$AC180,IF(J$2=$AF180,$AG180,0))))</f>
        <v/>
      </c>
      <c r="W180">
        <f>IF(K179&lt;=0,0,MIN(AP180,K$7+IF(K$2=$AA180,$AC180,IF(K$2=$AF180,$AG180,0))))</f>
        <v/>
      </c>
      <c r="X180">
        <f>IF(L179&lt;=0,0,MIN(AQ180,L$7+IF(L$2=$AA180,$AC180,IF(L$2=$AF180,$AG180,0))))</f>
        <v/>
      </c>
      <c r="Y180">
        <f>IF(M179&lt;=0,0,MIN(AR180,M$7+IF(M$2=$AA180,$AC180,IF(M$2=$AF180,$AG180,0))))</f>
        <v/>
      </c>
      <c r="Z180">
        <f>IF(N179&lt;=0,0,MIN(AS180,N$7+IF(N$2=$AA180,$AC180,IF(N$2=$AF180,$AG180,0))))</f>
        <v/>
      </c>
      <c r="AA180">
        <f>IFERROR(ROUND(1/SUMPRODUCT(MAX((C179:N179&gt;0)*($C$3:$N$3&lt;=B180)/$C$2:$N$2)),0),0)</f>
        <v/>
      </c>
      <c r="AB180">
        <f>SUMPRODUCT((C179:N179&gt;0)*$C$7:$N$7)</f>
        <v/>
      </c>
      <c r="AC180">
        <f>MAX(0,Plan!$C$5-AB180)+IF(A180=Plan!$C$8,N(Plan!$C$7),0)</f>
        <v/>
      </c>
      <c r="AD180">
        <f>SUM(C180:N180)</f>
        <v/>
      </c>
      <c r="AE180">
        <f>SUM(O180:Z180)</f>
        <v/>
      </c>
      <c r="AF180">
        <f>IFERROR(ROUND(1/SUMPRODUCT(MAX((C179:N179&gt;0)*($C$3:$N$3&lt;=B180)*($C$2:$N$2&gt;AA180)/$C$2:$N$2)),0),0)</f>
        <v/>
      </c>
      <c r="AG180">
        <f>MAX(0,AC180-MAX(0,SUMPRODUCT(($C$2:$N$2=AA180)*(AH180:AS180-$C$7:$N$7))))</f>
        <v/>
      </c>
      <c r="AH180">
        <f>IF(C179&lt;=0,0,ROUND(C179*(1+IF(AND(C$6&gt;0,$B180&lt;C$6),C$4,C$5)/12),2))</f>
        <v/>
      </c>
      <c r="AI180">
        <f>IF(D179&lt;=0,0,ROUND(D179*(1+IF(AND(D$6&gt;0,$B180&lt;D$6),D$4,D$5)/12),2))</f>
        <v/>
      </c>
      <c r="AJ180">
        <f>IF(E179&lt;=0,0,ROUND(E179*(1+IF(AND(E$6&gt;0,$B180&lt;E$6),E$4,E$5)/12),2))</f>
        <v/>
      </c>
      <c r="AK180">
        <f>IF(F179&lt;=0,0,ROUND(F179*(1+IF(AND(F$6&gt;0,$B180&lt;F$6),F$4,F$5)/12),2))</f>
        <v/>
      </c>
      <c r="AL180">
        <f>IF(G179&lt;=0,0,ROUND(G179*(1+IF(AND(G$6&gt;0,$B180&lt;G$6),G$4,G$5)/12),2))</f>
        <v/>
      </c>
      <c r="AM180">
        <f>IF(H179&lt;=0,0,ROUND(H179*(1+IF(AND(H$6&gt;0,$B180&lt;H$6),H$4,H$5)/12),2))</f>
        <v/>
      </c>
      <c r="AN180">
        <f>IF(I179&lt;=0,0,ROUND(I179*(1+IF(AND(I$6&gt;0,$B180&lt;I$6),I$4,I$5)/12),2))</f>
        <v/>
      </c>
      <c r="AO180">
        <f>IF(J179&lt;=0,0,ROUND(J179*(1+IF(AND(J$6&gt;0,$B180&lt;J$6),J$4,J$5)/12),2))</f>
        <v/>
      </c>
      <c r="AP180">
        <f>IF(K179&lt;=0,0,ROUND(K179*(1+IF(AND(K$6&gt;0,$B180&lt;K$6),K$4,K$5)/12),2))</f>
        <v/>
      </c>
      <c r="AQ180">
        <f>IF(L179&lt;=0,0,ROUND(L179*(1+IF(AND(L$6&gt;0,$B180&lt;L$6),L$4,L$5)/12),2))</f>
        <v/>
      </c>
      <c r="AR180">
        <f>IF(M179&lt;=0,0,ROUND(M179*(1+IF(AND(M$6&gt;0,$B180&lt;M$6),M$4,M$5)/12),2))</f>
        <v/>
      </c>
      <c r="AS180">
        <f>IF(N179&lt;=0,0,ROUND(N179*(1+IF(AND(N$6&gt;0,$B180&lt;N$6),N$4,N$5)/12),2))</f>
        <v/>
      </c>
    </row>
    <row r="181">
      <c r="A181" t="n">
        <v>170</v>
      </c>
      <c r="B181">
        <f>EDATE(Plan!$C$6,169)</f>
        <v/>
      </c>
      <c r="C181">
        <f>IF(C180&lt;=0,0,MAX(0,AH181-O181))</f>
        <v/>
      </c>
      <c r="D181">
        <f>IF(D180&lt;=0,0,MAX(0,AI181-P181))</f>
        <v/>
      </c>
      <c r="E181">
        <f>IF(E180&lt;=0,0,MAX(0,AJ181-Q181))</f>
        <v/>
      </c>
      <c r="F181">
        <f>IF(F180&lt;=0,0,MAX(0,AK181-R181))</f>
        <v/>
      </c>
      <c r="G181">
        <f>IF(G180&lt;=0,0,MAX(0,AL181-S181))</f>
        <v/>
      </c>
      <c r="H181">
        <f>IF(H180&lt;=0,0,MAX(0,AM181-T181))</f>
        <v/>
      </c>
      <c r="I181">
        <f>IF(I180&lt;=0,0,MAX(0,AN181-U181))</f>
        <v/>
      </c>
      <c r="J181">
        <f>IF(J180&lt;=0,0,MAX(0,AO181-V181))</f>
        <v/>
      </c>
      <c r="K181">
        <f>IF(K180&lt;=0,0,MAX(0,AP181-W181))</f>
        <v/>
      </c>
      <c r="L181">
        <f>IF(L180&lt;=0,0,MAX(0,AQ181-X181))</f>
        <v/>
      </c>
      <c r="M181">
        <f>IF(M180&lt;=0,0,MAX(0,AR181-Y181))</f>
        <v/>
      </c>
      <c r="N181">
        <f>IF(N180&lt;=0,0,MAX(0,AS181-Z181))</f>
        <v/>
      </c>
      <c r="O181">
        <f>IF(C180&lt;=0,0,MIN(AH181,C$7+IF(C$2=$AA181,$AC181,IF(C$2=$AF181,$AG181,0))))</f>
        <v/>
      </c>
      <c r="P181">
        <f>IF(D180&lt;=0,0,MIN(AI181,D$7+IF(D$2=$AA181,$AC181,IF(D$2=$AF181,$AG181,0))))</f>
        <v/>
      </c>
      <c r="Q181">
        <f>IF(E180&lt;=0,0,MIN(AJ181,E$7+IF(E$2=$AA181,$AC181,IF(E$2=$AF181,$AG181,0))))</f>
        <v/>
      </c>
      <c r="R181">
        <f>IF(F180&lt;=0,0,MIN(AK181,F$7+IF(F$2=$AA181,$AC181,IF(F$2=$AF181,$AG181,0))))</f>
        <v/>
      </c>
      <c r="S181">
        <f>IF(G180&lt;=0,0,MIN(AL181,G$7+IF(G$2=$AA181,$AC181,IF(G$2=$AF181,$AG181,0))))</f>
        <v/>
      </c>
      <c r="T181">
        <f>IF(H180&lt;=0,0,MIN(AM181,H$7+IF(H$2=$AA181,$AC181,IF(H$2=$AF181,$AG181,0))))</f>
        <v/>
      </c>
      <c r="U181">
        <f>IF(I180&lt;=0,0,MIN(AN181,I$7+IF(I$2=$AA181,$AC181,IF(I$2=$AF181,$AG181,0))))</f>
        <v/>
      </c>
      <c r="V181">
        <f>IF(J180&lt;=0,0,MIN(AO181,J$7+IF(J$2=$AA181,$AC181,IF(J$2=$AF181,$AG181,0))))</f>
        <v/>
      </c>
      <c r="W181">
        <f>IF(K180&lt;=0,0,MIN(AP181,K$7+IF(K$2=$AA181,$AC181,IF(K$2=$AF181,$AG181,0))))</f>
        <v/>
      </c>
      <c r="X181">
        <f>IF(L180&lt;=0,0,MIN(AQ181,L$7+IF(L$2=$AA181,$AC181,IF(L$2=$AF181,$AG181,0))))</f>
        <v/>
      </c>
      <c r="Y181">
        <f>IF(M180&lt;=0,0,MIN(AR181,M$7+IF(M$2=$AA181,$AC181,IF(M$2=$AF181,$AG181,0))))</f>
        <v/>
      </c>
      <c r="Z181">
        <f>IF(N180&lt;=0,0,MIN(AS181,N$7+IF(N$2=$AA181,$AC181,IF(N$2=$AF181,$AG181,0))))</f>
        <v/>
      </c>
      <c r="AA181">
        <f>IFERROR(ROUND(1/SUMPRODUCT(MAX((C180:N180&gt;0)*($C$3:$N$3&lt;=B181)/$C$2:$N$2)),0),0)</f>
        <v/>
      </c>
      <c r="AB181">
        <f>SUMPRODUCT((C180:N180&gt;0)*$C$7:$N$7)</f>
        <v/>
      </c>
      <c r="AC181">
        <f>MAX(0,Plan!$C$5-AB181)+IF(A181=Plan!$C$8,N(Plan!$C$7),0)</f>
        <v/>
      </c>
      <c r="AD181">
        <f>SUM(C181:N181)</f>
        <v/>
      </c>
      <c r="AE181">
        <f>SUM(O181:Z181)</f>
        <v/>
      </c>
      <c r="AF181">
        <f>IFERROR(ROUND(1/SUMPRODUCT(MAX((C180:N180&gt;0)*($C$3:$N$3&lt;=B181)*($C$2:$N$2&gt;AA181)/$C$2:$N$2)),0),0)</f>
        <v/>
      </c>
      <c r="AG181">
        <f>MAX(0,AC181-MAX(0,SUMPRODUCT(($C$2:$N$2=AA181)*(AH181:AS181-$C$7:$N$7))))</f>
        <v/>
      </c>
      <c r="AH181">
        <f>IF(C180&lt;=0,0,ROUND(C180*(1+IF(AND(C$6&gt;0,$B181&lt;C$6),C$4,C$5)/12),2))</f>
        <v/>
      </c>
      <c r="AI181">
        <f>IF(D180&lt;=0,0,ROUND(D180*(1+IF(AND(D$6&gt;0,$B181&lt;D$6),D$4,D$5)/12),2))</f>
        <v/>
      </c>
      <c r="AJ181">
        <f>IF(E180&lt;=0,0,ROUND(E180*(1+IF(AND(E$6&gt;0,$B181&lt;E$6),E$4,E$5)/12),2))</f>
        <v/>
      </c>
      <c r="AK181">
        <f>IF(F180&lt;=0,0,ROUND(F180*(1+IF(AND(F$6&gt;0,$B181&lt;F$6),F$4,F$5)/12),2))</f>
        <v/>
      </c>
      <c r="AL181">
        <f>IF(G180&lt;=0,0,ROUND(G180*(1+IF(AND(G$6&gt;0,$B181&lt;G$6),G$4,G$5)/12),2))</f>
        <v/>
      </c>
      <c r="AM181">
        <f>IF(H180&lt;=0,0,ROUND(H180*(1+IF(AND(H$6&gt;0,$B181&lt;H$6),H$4,H$5)/12),2))</f>
        <v/>
      </c>
      <c r="AN181">
        <f>IF(I180&lt;=0,0,ROUND(I180*(1+IF(AND(I$6&gt;0,$B181&lt;I$6),I$4,I$5)/12),2))</f>
        <v/>
      </c>
      <c r="AO181">
        <f>IF(J180&lt;=0,0,ROUND(J180*(1+IF(AND(J$6&gt;0,$B181&lt;J$6),J$4,J$5)/12),2))</f>
        <v/>
      </c>
      <c r="AP181">
        <f>IF(K180&lt;=0,0,ROUND(K180*(1+IF(AND(K$6&gt;0,$B181&lt;K$6),K$4,K$5)/12),2))</f>
        <v/>
      </c>
      <c r="AQ181">
        <f>IF(L180&lt;=0,0,ROUND(L180*(1+IF(AND(L$6&gt;0,$B181&lt;L$6),L$4,L$5)/12),2))</f>
        <v/>
      </c>
      <c r="AR181">
        <f>IF(M180&lt;=0,0,ROUND(M180*(1+IF(AND(M$6&gt;0,$B181&lt;M$6),M$4,M$5)/12),2))</f>
        <v/>
      </c>
      <c r="AS181">
        <f>IF(N180&lt;=0,0,ROUND(N180*(1+IF(AND(N$6&gt;0,$B181&lt;N$6),N$4,N$5)/12),2))</f>
        <v/>
      </c>
    </row>
    <row r="182">
      <c r="A182" t="n">
        <v>171</v>
      </c>
      <c r="B182">
        <f>EDATE(Plan!$C$6,170)</f>
        <v/>
      </c>
      <c r="C182">
        <f>IF(C181&lt;=0,0,MAX(0,AH182-O182))</f>
        <v/>
      </c>
      <c r="D182">
        <f>IF(D181&lt;=0,0,MAX(0,AI182-P182))</f>
        <v/>
      </c>
      <c r="E182">
        <f>IF(E181&lt;=0,0,MAX(0,AJ182-Q182))</f>
        <v/>
      </c>
      <c r="F182">
        <f>IF(F181&lt;=0,0,MAX(0,AK182-R182))</f>
        <v/>
      </c>
      <c r="G182">
        <f>IF(G181&lt;=0,0,MAX(0,AL182-S182))</f>
        <v/>
      </c>
      <c r="H182">
        <f>IF(H181&lt;=0,0,MAX(0,AM182-T182))</f>
        <v/>
      </c>
      <c r="I182">
        <f>IF(I181&lt;=0,0,MAX(0,AN182-U182))</f>
        <v/>
      </c>
      <c r="J182">
        <f>IF(J181&lt;=0,0,MAX(0,AO182-V182))</f>
        <v/>
      </c>
      <c r="K182">
        <f>IF(K181&lt;=0,0,MAX(0,AP182-W182))</f>
        <v/>
      </c>
      <c r="L182">
        <f>IF(L181&lt;=0,0,MAX(0,AQ182-X182))</f>
        <v/>
      </c>
      <c r="M182">
        <f>IF(M181&lt;=0,0,MAX(0,AR182-Y182))</f>
        <v/>
      </c>
      <c r="N182">
        <f>IF(N181&lt;=0,0,MAX(0,AS182-Z182))</f>
        <v/>
      </c>
      <c r="O182">
        <f>IF(C181&lt;=0,0,MIN(AH182,C$7+IF(C$2=$AA182,$AC182,IF(C$2=$AF182,$AG182,0))))</f>
        <v/>
      </c>
      <c r="P182">
        <f>IF(D181&lt;=0,0,MIN(AI182,D$7+IF(D$2=$AA182,$AC182,IF(D$2=$AF182,$AG182,0))))</f>
        <v/>
      </c>
      <c r="Q182">
        <f>IF(E181&lt;=0,0,MIN(AJ182,E$7+IF(E$2=$AA182,$AC182,IF(E$2=$AF182,$AG182,0))))</f>
        <v/>
      </c>
      <c r="R182">
        <f>IF(F181&lt;=0,0,MIN(AK182,F$7+IF(F$2=$AA182,$AC182,IF(F$2=$AF182,$AG182,0))))</f>
        <v/>
      </c>
      <c r="S182">
        <f>IF(G181&lt;=0,0,MIN(AL182,G$7+IF(G$2=$AA182,$AC182,IF(G$2=$AF182,$AG182,0))))</f>
        <v/>
      </c>
      <c r="T182">
        <f>IF(H181&lt;=0,0,MIN(AM182,H$7+IF(H$2=$AA182,$AC182,IF(H$2=$AF182,$AG182,0))))</f>
        <v/>
      </c>
      <c r="U182">
        <f>IF(I181&lt;=0,0,MIN(AN182,I$7+IF(I$2=$AA182,$AC182,IF(I$2=$AF182,$AG182,0))))</f>
        <v/>
      </c>
      <c r="V182">
        <f>IF(J181&lt;=0,0,MIN(AO182,J$7+IF(J$2=$AA182,$AC182,IF(J$2=$AF182,$AG182,0))))</f>
        <v/>
      </c>
      <c r="W182">
        <f>IF(K181&lt;=0,0,MIN(AP182,K$7+IF(K$2=$AA182,$AC182,IF(K$2=$AF182,$AG182,0))))</f>
        <v/>
      </c>
      <c r="X182">
        <f>IF(L181&lt;=0,0,MIN(AQ182,L$7+IF(L$2=$AA182,$AC182,IF(L$2=$AF182,$AG182,0))))</f>
        <v/>
      </c>
      <c r="Y182">
        <f>IF(M181&lt;=0,0,MIN(AR182,M$7+IF(M$2=$AA182,$AC182,IF(M$2=$AF182,$AG182,0))))</f>
        <v/>
      </c>
      <c r="Z182">
        <f>IF(N181&lt;=0,0,MIN(AS182,N$7+IF(N$2=$AA182,$AC182,IF(N$2=$AF182,$AG182,0))))</f>
        <v/>
      </c>
      <c r="AA182">
        <f>IFERROR(ROUND(1/SUMPRODUCT(MAX((C181:N181&gt;0)*($C$3:$N$3&lt;=B182)/$C$2:$N$2)),0),0)</f>
        <v/>
      </c>
      <c r="AB182">
        <f>SUMPRODUCT((C181:N181&gt;0)*$C$7:$N$7)</f>
        <v/>
      </c>
      <c r="AC182">
        <f>MAX(0,Plan!$C$5-AB182)+IF(A182=Plan!$C$8,N(Plan!$C$7),0)</f>
        <v/>
      </c>
      <c r="AD182">
        <f>SUM(C182:N182)</f>
        <v/>
      </c>
      <c r="AE182">
        <f>SUM(O182:Z182)</f>
        <v/>
      </c>
      <c r="AF182">
        <f>IFERROR(ROUND(1/SUMPRODUCT(MAX((C181:N181&gt;0)*($C$3:$N$3&lt;=B182)*($C$2:$N$2&gt;AA182)/$C$2:$N$2)),0),0)</f>
        <v/>
      </c>
      <c r="AG182">
        <f>MAX(0,AC182-MAX(0,SUMPRODUCT(($C$2:$N$2=AA182)*(AH182:AS182-$C$7:$N$7))))</f>
        <v/>
      </c>
      <c r="AH182">
        <f>IF(C181&lt;=0,0,ROUND(C181*(1+IF(AND(C$6&gt;0,$B182&lt;C$6),C$4,C$5)/12),2))</f>
        <v/>
      </c>
      <c r="AI182">
        <f>IF(D181&lt;=0,0,ROUND(D181*(1+IF(AND(D$6&gt;0,$B182&lt;D$6),D$4,D$5)/12),2))</f>
        <v/>
      </c>
      <c r="AJ182">
        <f>IF(E181&lt;=0,0,ROUND(E181*(1+IF(AND(E$6&gt;0,$B182&lt;E$6),E$4,E$5)/12),2))</f>
        <v/>
      </c>
      <c r="AK182">
        <f>IF(F181&lt;=0,0,ROUND(F181*(1+IF(AND(F$6&gt;0,$B182&lt;F$6),F$4,F$5)/12),2))</f>
        <v/>
      </c>
      <c r="AL182">
        <f>IF(G181&lt;=0,0,ROUND(G181*(1+IF(AND(G$6&gt;0,$B182&lt;G$6),G$4,G$5)/12),2))</f>
        <v/>
      </c>
      <c r="AM182">
        <f>IF(H181&lt;=0,0,ROUND(H181*(1+IF(AND(H$6&gt;0,$B182&lt;H$6),H$4,H$5)/12),2))</f>
        <v/>
      </c>
      <c r="AN182">
        <f>IF(I181&lt;=0,0,ROUND(I181*(1+IF(AND(I$6&gt;0,$B182&lt;I$6),I$4,I$5)/12),2))</f>
        <v/>
      </c>
      <c r="AO182">
        <f>IF(J181&lt;=0,0,ROUND(J181*(1+IF(AND(J$6&gt;0,$B182&lt;J$6),J$4,J$5)/12),2))</f>
        <v/>
      </c>
      <c r="AP182">
        <f>IF(K181&lt;=0,0,ROUND(K181*(1+IF(AND(K$6&gt;0,$B182&lt;K$6),K$4,K$5)/12),2))</f>
        <v/>
      </c>
      <c r="AQ182">
        <f>IF(L181&lt;=0,0,ROUND(L181*(1+IF(AND(L$6&gt;0,$B182&lt;L$6),L$4,L$5)/12),2))</f>
        <v/>
      </c>
      <c r="AR182">
        <f>IF(M181&lt;=0,0,ROUND(M181*(1+IF(AND(M$6&gt;0,$B182&lt;M$6),M$4,M$5)/12),2))</f>
        <v/>
      </c>
      <c r="AS182">
        <f>IF(N181&lt;=0,0,ROUND(N181*(1+IF(AND(N$6&gt;0,$B182&lt;N$6),N$4,N$5)/12),2))</f>
        <v/>
      </c>
    </row>
    <row r="183">
      <c r="A183" t="n">
        <v>172</v>
      </c>
      <c r="B183">
        <f>EDATE(Plan!$C$6,171)</f>
        <v/>
      </c>
      <c r="C183">
        <f>IF(C182&lt;=0,0,MAX(0,AH183-O183))</f>
        <v/>
      </c>
      <c r="D183">
        <f>IF(D182&lt;=0,0,MAX(0,AI183-P183))</f>
        <v/>
      </c>
      <c r="E183">
        <f>IF(E182&lt;=0,0,MAX(0,AJ183-Q183))</f>
        <v/>
      </c>
      <c r="F183">
        <f>IF(F182&lt;=0,0,MAX(0,AK183-R183))</f>
        <v/>
      </c>
      <c r="G183">
        <f>IF(G182&lt;=0,0,MAX(0,AL183-S183))</f>
        <v/>
      </c>
      <c r="H183">
        <f>IF(H182&lt;=0,0,MAX(0,AM183-T183))</f>
        <v/>
      </c>
      <c r="I183">
        <f>IF(I182&lt;=0,0,MAX(0,AN183-U183))</f>
        <v/>
      </c>
      <c r="J183">
        <f>IF(J182&lt;=0,0,MAX(0,AO183-V183))</f>
        <v/>
      </c>
      <c r="K183">
        <f>IF(K182&lt;=0,0,MAX(0,AP183-W183))</f>
        <v/>
      </c>
      <c r="L183">
        <f>IF(L182&lt;=0,0,MAX(0,AQ183-X183))</f>
        <v/>
      </c>
      <c r="M183">
        <f>IF(M182&lt;=0,0,MAX(0,AR183-Y183))</f>
        <v/>
      </c>
      <c r="N183">
        <f>IF(N182&lt;=0,0,MAX(0,AS183-Z183))</f>
        <v/>
      </c>
      <c r="O183">
        <f>IF(C182&lt;=0,0,MIN(AH183,C$7+IF(C$2=$AA183,$AC183,IF(C$2=$AF183,$AG183,0))))</f>
        <v/>
      </c>
      <c r="P183">
        <f>IF(D182&lt;=0,0,MIN(AI183,D$7+IF(D$2=$AA183,$AC183,IF(D$2=$AF183,$AG183,0))))</f>
        <v/>
      </c>
      <c r="Q183">
        <f>IF(E182&lt;=0,0,MIN(AJ183,E$7+IF(E$2=$AA183,$AC183,IF(E$2=$AF183,$AG183,0))))</f>
        <v/>
      </c>
      <c r="R183">
        <f>IF(F182&lt;=0,0,MIN(AK183,F$7+IF(F$2=$AA183,$AC183,IF(F$2=$AF183,$AG183,0))))</f>
        <v/>
      </c>
      <c r="S183">
        <f>IF(G182&lt;=0,0,MIN(AL183,G$7+IF(G$2=$AA183,$AC183,IF(G$2=$AF183,$AG183,0))))</f>
        <v/>
      </c>
      <c r="T183">
        <f>IF(H182&lt;=0,0,MIN(AM183,H$7+IF(H$2=$AA183,$AC183,IF(H$2=$AF183,$AG183,0))))</f>
        <v/>
      </c>
      <c r="U183">
        <f>IF(I182&lt;=0,0,MIN(AN183,I$7+IF(I$2=$AA183,$AC183,IF(I$2=$AF183,$AG183,0))))</f>
        <v/>
      </c>
      <c r="V183">
        <f>IF(J182&lt;=0,0,MIN(AO183,J$7+IF(J$2=$AA183,$AC183,IF(J$2=$AF183,$AG183,0))))</f>
        <v/>
      </c>
      <c r="W183">
        <f>IF(K182&lt;=0,0,MIN(AP183,K$7+IF(K$2=$AA183,$AC183,IF(K$2=$AF183,$AG183,0))))</f>
        <v/>
      </c>
      <c r="X183">
        <f>IF(L182&lt;=0,0,MIN(AQ183,L$7+IF(L$2=$AA183,$AC183,IF(L$2=$AF183,$AG183,0))))</f>
        <v/>
      </c>
      <c r="Y183">
        <f>IF(M182&lt;=0,0,MIN(AR183,M$7+IF(M$2=$AA183,$AC183,IF(M$2=$AF183,$AG183,0))))</f>
        <v/>
      </c>
      <c r="Z183">
        <f>IF(N182&lt;=0,0,MIN(AS183,N$7+IF(N$2=$AA183,$AC183,IF(N$2=$AF183,$AG183,0))))</f>
        <v/>
      </c>
      <c r="AA183">
        <f>IFERROR(ROUND(1/SUMPRODUCT(MAX((C182:N182&gt;0)*($C$3:$N$3&lt;=B183)/$C$2:$N$2)),0),0)</f>
        <v/>
      </c>
      <c r="AB183">
        <f>SUMPRODUCT((C182:N182&gt;0)*$C$7:$N$7)</f>
        <v/>
      </c>
      <c r="AC183">
        <f>MAX(0,Plan!$C$5-AB183)+IF(A183=Plan!$C$8,N(Plan!$C$7),0)</f>
        <v/>
      </c>
      <c r="AD183">
        <f>SUM(C183:N183)</f>
        <v/>
      </c>
      <c r="AE183">
        <f>SUM(O183:Z183)</f>
        <v/>
      </c>
      <c r="AF183">
        <f>IFERROR(ROUND(1/SUMPRODUCT(MAX((C182:N182&gt;0)*($C$3:$N$3&lt;=B183)*($C$2:$N$2&gt;AA183)/$C$2:$N$2)),0),0)</f>
        <v/>
      </c>
      <c r="AG183">
        <f>MAX(0,AC183-MAX(0,SUMPRODUCT(($C$2:$N$2=AA183)*(AH183:AS183-$C$7:$N$7))))</f>
        <v/>
      </c>
      <c r="AH183">
        <f>IF(C182&lt;=0,0,ROUND(C182*(1+IF(AND(C$6&gt;0,$B183&lt;C$6),C$4,C$5)/12),2))</f>
        <v/>
      </c>
      <c r="AI183">
        <f>IF(D182&lt;=0,0,ROUND(D182*(1+IF(AND(D$6&gt;0,$B183&lt;D$6),D$4,D$5)/12),2))</f>
        <v/>
      </c>
      <c r="AJ183">
        <f>IF(E182&lt;=0,0,ROUND(E182*(1+IF(AND(E$6&gt;0,$B183&lt;E$6),E$4,E$5)/12),2))</f>
        <v/>
      </c>
      <c r="AK183">
        <f>IF(F182&lt;=0,0,ROUND(F182*(1+IF(AND(F$6&gt;0,$B183&lt;F$6),F$4,F$5)/12),2))</f>
        <v/>
      </c>
      <c r="AL183">
        <f>IF(G182&lt;=0,0,ROUND(G182*(1+IF(AND(G$6&gt;0,$B183&lt;G$6),G$4,G$5)/12),2))</f>
        <v/>
      </c>
      <c r="AM183">
        <f>IF(H182&lt;=0,0,ROUND(H182*(1+IF(AND(H$6&gt;0,$B183&lt;H$6),H$4,H$5)/12),2))</f>
        <v/>
      </c>
      <c r="AN183">
        <f>IF(I182&lt;=0,0,ROUND(I182*(1+IF(AND(I$6&gt;0,$B183&lt;I$6),I$4,I$5)/12),2))</f>
        <v/>
      </c>
      <c r="AO183">
        <f>IF(J182&lt;=0,0,ROUND(J182*(1+IF(AND(J$6&gt;0,$B183&lt;J$6),J$4,J$5)/12),2))</f>
        <v/>
      </c>
      <c r="AP183">
        <f>IF(K182&lt;=0,0,ROUND(K182*(1+IF(AND(K$6&gt;0,$B183&lt;K$6),K$4,K$5)/12),2))</f>
        <v/>
      </c>
      <c r="AQ183">
        <f>IF(L182&lt;=0,0,ROUND(L182*(1+IF(AND(L$6&gt;0,$B183&lt;L$6),L$4,L$5)/12),2))</f>
        <v/>
      </c>
      <c r="AR183">
        <f>IF(M182&lt;=0,0,ROUND(M182*(1+IF(AND(M$6&gt;0,$B183&lt;M$6),M$4,M$5)/12),2))</f>
        <v/>
      </c>
      <c r="AS183">
        <f>IF(N182&lt;=0,0,ROUND(N182*(1+IF(AND(N$6&gt;0,$B183&lt;N$6),N$4,N$5)/12),2))</f>
        <v/>
      </c>
    </row>
    <row r="184">
      <c r="A184" t="n">
        <v>173</v>
      </c>
      <c r="B184">
        <f>EDATE(Plan!$C$6,172)</f>
        <v/>
      </c>
      <c r="C184">
        <f>IF(C183&lt;=0,0,MAX(0,AH184-O184))</f>
        <v/>
      </c>
      <c r="D184">
        <f>IF(D183&lt;=0,0,MAX(0,AI184-P184))</f>
        <v/>
      </c>
      <c r="E184">
        <f>IF(E183&lt;=0,0,MAX(0,AJ184-Q184))</f>
        <v/>
      </c>
      <c r="F184">
        <f>IF(F183&lt;=0,0,MAX(0,AK184-R184))</f>
        <v/>
      </c>
      <c r="G184">
        <f>IF(G183&lt;=0,0,MAX(0,AL184-S184))</f>
        <v/>
      </c>
      <c r="H184">
        <f>IF(H183&lt;=0,0,MAX(0,AM184-T184))</f>
        <v/>
      </c>
      <c r="I184">
        <f>IF(I183&lt;=0,0,MAX(0,AN184-U184))</f>
        <v/>
      </c>
      <c r="J184">
        <f>IF(J183&lt;=0,0,MAX(0,AO184-V184))</f>
        <v/>
      </c>
      <c r="K184">
        <f>IF(K183&lt;=0,0,MAX(0,AP184-W184))</f>
        <v/>
      </c>
      <c r="L184">
        <f>IF(L183&lt;=0,0,MAX(0,AQ184-X184))</f>
        <v/>
      </c>
      <c r="M184">
        <f>IF(M183&lt;=0,0,MAX(0,AR184-Y184))</f>
        <v/>
      </c>
      <c r="N184">
        <f>IF(N183&lt;=0,0,MAX(0,AS184-Z184))</f>
        <v/>
      </c>
      <c r="O184">
        <f>IF(C183&lt;=0,0,MIN(AH184,C$7+IF(C$2=$AA184,$AC184,IF(C$2=$AF184,$AG184,0))))</f>
        <v/>
      </c>
      <c r="P184">
        <f>IF(D183&lt;=0,0,MIN(AI184,D$7+IF(D$2=$AA184,$AC184,IF(D$2=$AF184,$AG184,0))))</f>
        <v/>
      </c>
      <c r="Q184">
        <f>IF(E183&lt;=0,0,MIN(AJ184,E$7+IF(E$2=$AA184,$AC184,IF(E$2=$AF184,$AG184,0))))</f>
        <v/>
      </c>
      <c r="R184">
        <f>IF(F183&lt;=0,0,MIN(AK184,F$7+IF(F$2=$AA184,$AC184,IF(F$2=$AF184,$AG184,0))))</f>
        <v/>
      </c>
      <c r="S184">
        <f>IF(G183&lt;=0,0,MIN(AL184,G$7+IF(G$2=$AA184,$AC184,IF(G$2=$AF184,$AG184,0))))</f>
        <v/>
      </c>
      <c r="T184">
        <f>IF(H183&lt;=0,0,MIN(AM184,H$7+IF(H$2=$AA184,$AC184,IF(H$2=$AF184,$AG184,0))))</f>
        <v/>
      </c>
      <c r="U184">
        <f>IF(I183&lt;=0,0,MIN(AN184,I$7+IF(I$2=$AA184,$AC184,IF(I$2=$AF184,$AG184,0))))</f>
        <v/>
      </c>
      <c r="V184">
        <f>IF(J183&lt;=0,0,MIN(AO184,J$7+IF(J$2=$AA184,$AC184,IF(J$2=$AF184,$AG184,0))))</f>
        <v/>
      </c>
      <c r="W184">
        <f>IF(K183&lt;=0,0,MIN(AP184,K$7+IF(K$2=$AA184,$AC184,IF(K$2=$AF184,$AG184,0))))</f>
        <v/>
      </c>
      <c r="X184">
        <f>IF(L183&lt;=0,0,MIN(AQ184,L$7+IF(L$2=$AA184,$AC184,IF(L$2=$AF184,$AG184,0))))</f>
        <v/>
      </c>
      <c r="Y184">
        <f>IF(M183&lt;=0,0,MIN(AR184,M$7+IF(M$2=$AA184,$AC184,IF(M$2=$AF184,$AG184,0))))</f>
        <v/>
      </c>
      <c r="Z184">
        <f>IF(N183&lt;=0,0,MIN(AS184,N$7+IF(N$2=$AA184,$AC184,IF(N$2=$AF184,$AG184,0))))</f>
        <v/>
      </c>
      <c r="AA184">
        <f>IFERROR(ROUND(1/SUMPRODUCT(MAX((C183:N183&gt;0)*($C$3:$N$3&lt;=B184)/$C$2:$N$2)),0),0)</f>
        <v/>
      </c>
      <c r="AB184">
        <f>SUMPRODUCT((C183:N183&gt;0)*$C$7:$N$7)</f>
        <v/>
      </c>
      <c r="AC184">
        <f>MAX(0,Plan!$C$5-AB184)+IF(A184=Plan!$C$8,N(Plan!$C$7),0)</f>
        <v/>
      </c>
      <c r="AD184">
        <f>SUM(C184:N184)</f>
        <v/>
      </c>
      <c r="AE184">
        <f>SUM(O184:Z184)</f>
        <v/>
      </c>
      <c r="AF184">
        <f>IFERROR(ROUND(1/SUMPRODUCT(MAX((C183:N183&gt;0)*($C$3:$N$3&lt;=B184)*($C$2:$N$2&gt;AA184)/$C$2:$N$2)),0),0)</f>
        <v/>
      </c>
      <c r="AG184">
        <f>MAX(0,AC184-MAX(0,SUMPRODUCT(($C$2:$N$2=AA184)*(AH184:AS184-$C$7:$N$7))))</f>
        <v/>
      </c>
      <c r="AH184">
        <f>IF(C183&lt;=0,0,ROUND(C183*(1+IF(AND(C$6&gt;0,$B184&lt;C$6),C$4,C$5)/12),2))</f>
        <v/>
      </c>
      <c r="AI184">
        <f>IF(D183&lt;=0,0,ROUND(D183*(1+IF(AND(D$6&gt;0,$B184&lt;D$6),D$4,D$5)/12),2))</f>
        <v/>
      </c>
      <c r="AJ184">
        <f>IF(E183&lt;=0,0,ROUND(E183*(1+IF(AND(E$6&gt;0,$B184&lt;E$6),E$4,E$5)/12),2))</f>
        <v/>
      </c>
      <c r="AK184">
        <f>IF(F183&lt;=0,0,ROUND(F183*(1+IF(AND(F$6&gt;0,$B184&lt;F$6),F$4,F$5)/12),2))</f>
        <v/>
      </c>
      <c r="AL184">
        <f>IF(G183&lt;=0,0,ROUND(G183*(1+IF(AND(G$6&gt;0,$B184&lt;G$6),G$4,G$5)/12),2))</f>
        <v/>
      </c>
      <c r="AM184">
        <f>IF(H183&lt;=0,0,ROUND(H183*(1+IF(AND(H$6&gt;0,$B184&lt;H$6),H$4,H$5)/12),2))</f>
        <v/>
      </c>
      <c r="AN184">
        <f>IF(I183&lt;=0,0,ROUND(I183*(1+IF(AND(I$6&gt;0,$B184&lt;I$6),I$4,I$5)/12),2))</f>
        <v/>
      </c>
      <c r="AO184">
        <f>IF(J183&lt;=0,0,ROUND(J183*(1+IF(AND(J$6&gt;0,$B184&lt;J$6),J$4,J$5)/12),2))</f>
        <v/>
      </c>
      <c r="AP184">
        <f>IF(K183&lt;=0,0,ROUND(K183*(1+IF(AND(K$6&gt;0,$B184&lt;K$6),K$4,K$5)/12),2))</f>
        <v/>
      </c>
      <c r="AQ184">
        <f>IF(L183&lt;=0,0,ROUND(L183*(1+IF(AND(L$6&gt;0,$B184&lt;L$6),L$4,L$5)/12),2))</f>
        <v/>
      </c>
      <c r="AR184">
        <f>IF(M183&lt;=0,0,ROUND(M183*(1+IF(AND(M$6&gt;0,$B184&lt;M$6),M$4,M$5)/12),2))</f>
        <v/>
      </c>
      <c r="AS184">
        <f>IF(N183&lt;=0,0,ROUND(N183*(1+IF(AND(N$6&gt;0,$B184&lt;N$6),N$4,N$5)/12),2))</f>
        <v/>
      </c>
    </row>
    <row r="185">
      <c r="A185" t="n">
        <v>174</v>
      </c>
      <c r="B185">
        <f>EDATE(Plan!$C$6,173)</f>
        <v/>
      </c>
      <c r="C185">
        <f>IF(C184&lt;=0,0,MAX(0,AH185-O185))</f>
        <v/>
      </c>
      <c r="D185">
        <f>IF(D184&lt;=0,0,MAX(0,AI185-P185))</f>
        <v/>
      </c>
      <c r="E185">
        <f>IF(E184&lt;=0,0,MAX(0,AJ185-Q185))</f>
        <v/>
      </c>
      <c r="F185">
        <f>IF(F184&lt;=0,0,MAX(0,AK185-R185))</f>
        <v/>
      </c>
      <c r="G185">
        <f>IF(G184&lt;=0,0,MAX(0,AL185-S185))</f>
        <v/>
      </c>
      <c r="H185">
        <f>IF(H184&lt;=0,0,MAX(0,AM185-T185))</f>
        <v/>
      </c>
      <c r="I185">
        <f>IF(I184&lt;=0,0,MAX(0,AN185-U185))</f>
        <v/>
      </c>
      <c r="J185">
        <f>IF(J184&lt;=0,0,MAX(0,AO185-V185))</f>
        <v/>
      </c>
      <c r="K185">
        <f>IF(K184&lt;=0,0,MAX(0,AP185-W185))</f>
        <v/>
      </c>
      <c r="L185">
        <f>IF(L184&lt;=0,0,MAX(0,AQ185-X185))</f>
        <v/>
      </c>
      <c r="M185">
        <f>IF(M184&lt;=0,0,MAX(0,AR185-Y185))</f>
        <v/>
      </c>
      <c r="N185">
        <f>IF(N184&lt;=0,0,MAX(0,AS185-Z185))</f>
        <v/>
      </c>
      <c r="O185">
        <f>IF(C184&lt;=0,0,MIN(AH185,C$7+IF(C$2=$AA185,$AC185,IF(C$2=$AF185,$AG185,0))))</f>
        <v/>
      </c>
      <c r="P185">
        <f>IF(D184&lt;=0,0,MIN(AI185,D$7+IF(D$2=$AA185,$AC185,IF(D$2=$AF185,$AG185,0))))</f>
        <v/>
      </c>
      <c r="Q185">
        <f>IF(E184&lt;=0,0,MIN(AJ185,E$7+IF(E$2=$AA185,$AC185,IF(E$2=$AF185,$AG185,0))))</f>
        <v/>
      </c>
      <c r="R185">
        <f>IF(F184&lt;=0,0,MIN(AK185,F$7+IF(F$2=$AA185,$AC185,IF(F$2=$AF185,$AG185,0))))</f>
        <v/>
      </c>
      <c r="S185">
        <f>IF(G184&lt;=0,0,MIN(AL185,G$7+IF(G$2=$AA185,$AC185,IF(G$2=$AF185,$AG185,0))))</f>
        <v/>
      </c>
      <c r="T185">
        <f>IF(H184&lt;=0,0,MIN(AM185,H$7+IF(H$2=$AA185,$AC185,IF(H$2=$AF185,$AG185,0))))</f>
        <v/>
      </c>
      <c r="U185">
        <f>IF(I184&lt;=0,0,MIN(AN185,I$7+IF(I$2=$AA185,$AC185,IF(I$2=$AF185,$AG185,0))))</f>
        <v/>
      </c>
      <c r="V185">
        <f>IF(J184&lt;=0,0,MIN(AO185,J$7+IF(J$2=$AA185,$AC185,IF(J$2=$AF185,$AG185,0))))</f>
        <v/>
      </c>
      <c r="W185">
        <f>IF(K184&lt;=0,0,MIN(AP185,K$7+IF(K$2=$AA185,$AC185,IF(K$2=$AF185,$AG185,0))))</f>
        <v/>
      </c>
      <c r="X185">
        <f>IF(L184&lt;=0,0,MIN(AQ185,L$7+IF(L$2=$AA185,$AC185,IF(L$2=$AF185,$AG185,0))))</f>
        <v/>
      </c>
      <c r="Y185">
        <f>IF(M184&lt;=0,0,MIN(AR185,M$7+IF(M$2=$AA185,$AC185,IF(M$2=$AF185,$AG185,0))))</f>
        <v/>
      </c>
      <c r="Z185">
        <f>IF(N184&lt;=0,0,MIN(AS185,N$7+IF(N$2=$AA185,$AC185,IF(N$2=$AF185,$AG185,0))))</f>
        <v/>
      </c>
      <c r="AA185">
        <f>IFERROR(ROUND(1/SUMPRODUCT(MAX((C184:N184&gt;0)*($C$3:$N$3&lt;=B185)/$C$2:$N$2)),0),0)</f>
        <v/>
      </c>
      <c r="AB185">
        <f>SUMPRODUCT((C184:N184&gt;0)*$C$7:$N$7)</f>
        <v/>
      </c>
      <c r="AC185">
        <f>MAX(0,Plan!$C$5-AB185)+IF(A185=Plan!$C$8,N(Plan!$C$7),0)</f>
        <v/>
      </c>
      <c r="AD185">
        <f>SUM(C185:N185)</f>
        <v/>
      </c>
      <c r="AE185">
        <f>SUM(O185:Z185)</f>
        <v/>
      </c>
      <c r="AF185">
        <f>IFERROR(ROUND(1/SUMPRODUCT(MAX((C184:N184&gt;0)*($C$3:$N$3&lt;=B185)*($C$2:$N$2&gt;AA185)/$C$2:$N$2)),0),0)</f>
        <v/>
      </c>
      <c r="AG185">
        <f>MAX(0,AC185-MAX(0,SUMPRODUCT(($C$2:$N$2=AA185)*(AH185:AS185-$C$7:$N$7))))</f>
        <v/>
      </c>
      <c r="AH185">
        <f>IF(C184&lt;=0,0,ROUND(C184*(1+IF(AND(C$6&gt;0,$B185&lt;C$6),C$4,C$5)/12),2))</f>
        <v/>
      </c>
      <c r="AI185">
        <f>IF(D184&lt;=0,0,ROUND(D184*(1+IF(AND(D$6&gt;0,$B185&lt;D$6),D$4,D$5)/12),2))</f>
        <v/>
      </c>
      <c r="AJ185">
        <f>IF(E184&lt;=0,0,ROUND(E184*(1+IF(AND(E$6&gt;0,$B185&lt;E$6),E$4,E$5)/12),2))</f>
        <v/>
      </c>
      <c r="AK185">
        <f>IF(F184&lt;=0,0,ROUND(F184*(1+IF(AND(F$6&gt;0,$B185&lt;F$6),F$4,F$5)/12),2))</f>
        <v/>
      </c>
      <c r="AL185">
        <f>IF(G184&lt;=0,0,ROUND(G184*(1+IF(AND(G$6&gt;0,$B185&lt;G$6),G$4,G$5)/12),2))</f>
        <v/>
      </c>
      <c r="AM185">
        <f>IF(H184&lt;=0,0,ROUND(H184*(1+IF(AND(H$6&gt;0,$B185&lt;H$6),H$4,H$5)/12),2))</f>
        <v/>
      </c>
      <c r="AN185">
        <f>IF(I184&lt;=0,0,ROUND(I184*(1+IF(AND(I$6&gt;0,$B185&lt;I$6),I$4,I$5)/12),2))</f>
        <v/>
      </c>
      <c r="AO185">
        <f>IF(J184&lt;=0,0,ROUND(J184*(1+IF(AND(J$6&gt;0,$B185&lt;J$6),J$4,J$5)/12),2))</f>
        <v/>
      </c>
      <c r="AP185">
        <f>IF(K184&lt;=0,0,ROUND(K184*(1+IF(AND(K$6&gt;0,$B185&lt;K$6),K$4,K$5)/12),2))</f>
        <v/>
      </c>
      <c r="AQ185">
        <f>IF(L184&lt;=0,0,ROUND(L184*(1+IF(AND(L$6&gt;0,$B185&lt;L$6),L$4,L$5)/12),2))</f>
        <v/>
      </c>
      <c r="AR185">
        <f>IF(M184&lt;=0,0,ROUND(M184*(1+IF(AND(M$6&gt;0,$B185&lt;M$6),M$4,M$5)/12),2))</f>
        <v/>
      </c>
      <c r="AS185">
        <f>IF(N184&lt;=0,0,ROUND(N184*(1+IF(AND(N$6&gt;0,$B185&lt;N$6),N$4,N$5)/12),2))</f>
        <v/>
      </c>
    </row>
    <row r="186">
      <c r="A186" t="n">
        <v>175</v>
      </c>
      <c r="B186">
        <f>EDATE(Plan!$C$6,174)</f>
        <v/>
      </c>
      <c r="C186">
        <f>IF(C185&lt;=0,0,MAX(0,AH186-O186))</f>
        <v/>
      </c>
      <c r="D186">
        <f>IF(D185&lt;=0,0,MAX(0,AI186-P186))</f>
        <v/>
      </c>
      <c r="E186">
        <f>IF(E185&lt;=0,0,MAX(0,AJ186-Q186))</f>
        <v/>
      </c>
      <c r="F186">
        <f>IF(F185&lt;=0,0,MAX(0,AK186-R186))</f>
        <v/>
      </c>
      <c r="G186">
        <f>IF(G185&lt;=0,0,MAX(0,AL186-S186))</f>
        <v/>
      </c>
      <c r="H186">
        <f>IF(H185&lt;=0,0,MAX(0,AM186-T186))</f>
        <v/>
      </c>
      <c r="I186">
        <f>IF(I185&lt;=0,0,MAX(0,AN186-U186))</f>
        <v/>
      </c>
      <c r="J186">
        <f>IF(J185&lt;=0,0,MAX(0,AO186-V186))</f>
        <v/>
      </c>
      <c r="K186">
        <f>IF(K185&lt;=0,0,MAX(0,AP186-W186))</f>
        <v/>
      </c>
      <c r="L186">
        <f>IF(L185&lt;=0,0,MAX(0,AQ186-X186))</f>
        <v/>
      </c>
      <c r="M186">
        <f>IF(M185&lt;=0,0,MAX(0,AR186-Y186))</f>
        <v/>
      </c>
      <c r="N186">
        <f>IF(N185&lt;=0,0,MAX(0,AS186-Z186))</f>
        <v/>
      </c>
      <c r="O186">
        <f>IF(C185&lt;=0,0,MIN(AH186,C$7+IF(C$2=$AA186,$AC186,IF(C$2=$AF186,$AG186,0))))</f>
        <v/>
      </c>
      <c r="P186">
        <f>IF(D185&lt;=0,0,MIN(AI186,D$7+IF(D$2=$AA186,$AC186,IF(D$2=$AF186,$AG186,0))))</f>
        <v/>
      </c>
      <c r="Q186">
        <f>IF(E185&lt;=0,0,MIN(AJ186,E$7+IF(E$2=$AA186,$AC186,IF(E$2=$AF186,$AG186,0))))</f>
        <v/>
      </c>
      <c r="R186">
        <f>IF(F185&lt;=0,0,MIN(AK186,F$7+IF(F$2=$AA186,$AC186,IF(F$2=$AF186,$AG186,0))))</f>
        <v/>
      </c>
      <c r="S186">
        <f>IF(G185&lt;=0,0,MIN(AL186,G$7+IF(G$2=$AA186,$AC186,IF(G$2=$AF186,$AG186,0))))</f>
        <v/>
      </c>
      <c r="T186">
        <f>IF(H185&lt;=0,0,MIN(AM186,H$7+IF(H$2=$AA186,$AC186,IF(H$2=$AF186,$AG186,0))))</f>
        <v/>
      </c>
      <c r="U186">
        <f>IF(I185&lt;=0,0,MIN(AN186,I$7+IF(I$2=$AA186,$AC186,IF(I$2=$AF186,$AG186,0))))</f>
        <v/>
      </c>
      <c r="V186">
        <f>IF(J185&lt;=0,0,MIN(AO186,J$7+IF(J$2=$AA186,$AC186,IF(J$2=$AF186,$AG186,0))))</f>
        <v/>
      </c>
      <c r="W186">
        <f>IF(K185&lt;=0,0,MIN(AP186,K$7+IF(K$2=$AA186,$AC186,IF(K$2=$AF186,$AG186,0))))</f>
        <v/>
      </c>
      <c r="X186">
        <f>IF(L185&lt;=0,0,MIN(AQ186,L$7+IF(L$2=$AA186,$AC186,IF(L$2=$AF186,$AG186,0))))</f>
        <v/>
      </c>
      <c r="Y186">
        <f>IF(M185&lt;=0,0,MIN(AR186,M$7+IF(M$2=$AA186,$AC186,IF(M$2=$AF186,$AG186,0))))</f>
        <v/>
      </c>
      <c r="Z186">
        <f>IF(N185&lt;=0,0,MIN(AS186,N$7+IF(N$2=$AA186,$AC186,IF(N$2=$AF186,$AG186,0))))</f>
        <v/>
      </c>
      <c r="AA186">
        <f>IFERROR(ROUND(1/SUMPRODUCT(MAX((C185:N185&gt;0)*($C$3:$N$3&lt;=B186)/$C$2:$N$2)),0),0)</f>
        <v/>
      </c>
      <c r="AB186">
        <f>SUMPRODUCT((C185:N185&gt;0)*$C$7:$N$7)</f>
        <v/>
      </c>
      <c r="AC186">
        <f>MAX(0,Plan!$C$5-AB186)+IF(A186=Plan!$C$8,N(Plan!$C$7),0)</f>
        <v/>
      </c>
      <c r="AD186">
        <f>SUM(C186:N186)</f>
        <v/>
      </c>
      <c r="AE186">
        <f>SUM(O186:Z186)</f>
        <v/>
      </c>
      <c r="AF186">
        <f>IFERROR(ROUND(1/SUMPRODUCT(MAX((C185:N185&gt;0)*($C$3:$N$3&lt;=B186)*($C$2:$N$2&gt;AA186)/$C$2:$N$2)),0),0)</f>
        <v/>
      </c>
      <c r="AG186">
        <f>MAX(0,AC186-MAX(0,SUMPRODUCT(($C$2:$N$2=AA186)*(AH186:AS186-$C$7:$N$7))))</f>
        <v/>
      </c>
      <c r="AH186">
        <f>IF(C185&lt;=0,0,ROUND(C185*(1+IF(AND(C$6&gt;0,$B186&lt;C$6),C$4,C$5)/12),2))</f>
        <v/>
      </c>
      <c r="AI186">
        <f>IF(D185&lt;=0,0,ROUND(D185*(1+IF(AND(D$6&gt;0,$B186&lt;D$6),D$4,D$5)/12),2))</f>
        <v/>
      </c>
      <c r="AJ186">
        <f>IF(E185&lt;=0,0,ROUND(E185*(1+IF(AND(E$6&gt;0,$B186&lt;E$6),E$4,E$5)/12),2))</f>
        <v/>
      </c>
      <c r="AK186">
        <f>IF(F185&lt;=0,0,ROUND(F185*(1+IF(AND(F$6&gt;0,$B186&lt;F$6),F$4,F$5)/12),2))</f>
        <v/>
      </c>
      <c r="AL186">
        <f>IF(G185&lt;=0,0,ROUND(G185*(1+IF(AND(G$6&gt;0,$B186&lt;G$6),G$4,G$5)/12),2))</f>
        <v/>
      </c>
      <c r="AM186">
        <f>IF(H185&lt;=0,0,ROUND(H185*(1+IF(AND(H$6&gt;0,$B186&lt;H$6),H$4,H$5)/12),2))</f>
        <v/>
      </c>
      <c r="AN186">
        <f>IF(I185&lt;=0,0,ROUND(I185*(1+IF(AND(I$6&gt;0,$B186&lt;I$6),I$4,I$5)/12),2))</f>
        <v/>
      </c>
      <c r="AO186">
        <f>IF(J185&lt;=0,0,ROUND(J185*(1+IF(AND(J$6&gt;0,$B186&lt;J$6),J$4,J$5)/12),2))</f>
        <v/>
      </c>
      <c r="AP186">
        <f>IF(K185&lt;=0,0,ROUND(K185*(1+IF(AND(K$6&gt;0,$B186&lt;K$6),K$4,K$5)/12),2))</f>
        <v/>
      </c>
      <c r="AQ186">
        <f>IF(L185&lt;=0,0,ROUND(L185*(1+IF(AND(L$6&gt;0,$B186&lt;L$6),L$4,L$5)/12),2))</f>
        <v/>
      </c>
      <c r="AR186">
        <f>IF(M185&lt;=0,0,ROUND(M185*(1+IF(AND(M$6&gt;0,$B186&lt;M$6),M$4,M$5)/12),2))</f>
        <v/>
      </c>
      <c r="AS186">
        <f>IF(N185&lt;=0,0,ROUND(N185*(1+IF(AND(N$6&gt;0,$B186&lt;N$6),N$4,N$5)/12),2))</f>
        <v/>
      </c>
    </row>
    <row r="187">
      <c r="A187" t="n">
        <v>176</v>
      </c>
      <c r="B187">
        <f>EDATE(Plan!$C$6,175)</f>
        <v/>
      </c>
      <c r="C187">
        <f>IF(C186&lt;=0,0,MAX(0,AH187-O187))</f>
        <v/>
      </c>
      <c r="D187">
        <f>IF(D186&lt;=0,0,MAX(0,AI187-P187))</f>
        <v/>
      </c>
      <c r="E187">
        <f>IF(E186&lt;=0,0,MAX(0,AJ187-Q187))</f>
        <v/>
      </c>
      <c r="F187">
        <f>IF(F186&lt;=0,0,MAX(0,AK187-R187))</f>
        <v/>
      </c>
      <c r="G187">
        <f>IF(G186&lt;=0,0,MAX(0,AL187-S187))</f>
        <v/>
      </c>
      <c r="H187">
        <f>IF(H186&lt;=0,0,MAX(0,AM187-T187))</f>
        <v/>
      </c>
      <c r="I187">
        <f>IF(I186&lt;=0,0,MAX(0,AN187-U187))</f>
        <v/>
      </c>
      <c r="J187">
        <f>IF(J186&lt;=0,0,MAX(0,AO187-V187))</f>
        <v/>
      </c>
      <c r="K187">
        <f>IF(K186&lt;=0,0,MAX(0,AP187-W187))</f>
        <v/>
      </c>
      <c r="L187">
        <f>IF(L186&lt;=0,0,MAX(0,AQ187-X187))</f>
        <v/>
      </c>
      <c r="M187">
        <f>IF(M186&lt;=0,0,MAX(0,AR187-Y187))</f>
        <v/>
      </c>
      <c r="N187">
        <f>IF(N186&lt;=0,0,MAX(0,AS187-Z187))</f>
        <v/>
      </c>
      <c r="O187">
        <f>IF(C186&lt;=0,0,MIN(AH187,C$7+IF(C$2=$AA187,$AC187,IF(C$2=$AF187,$AG187,0))))</f>
        <v/>
      </c>
      <c r="P187">
        <f>IF(D186&lt;=0,0,MIN(AI187,D$7+IF(D$2=$AA187,$AC187,IF(D$2=$AF187,$AG187,0))))</f>
        <v/>
      </c>
      <c r="Q187">
        <f>IF(E186&lt;=0,0,MIN(AJ187,E$7+IF(E$2=$AA187,$AC187,IF(E$2=$AF187,$AG187,0))))</f>
        <v/>
      </c>
      <c r="R187">
        <f>IF(F186&lt;=0,0,MIN(AK187,F$7+IF(F$2=$AA187,$AC187,IF(F$2=$AF187,$AG187,0))))</f>
        <v/>
      </c>
      <c r="S187">
        <f>IF(G186&lt;=0,0,MIN(AL187,G$7+IF(G$2=$AA187,$AC187,IF(G$2=$AF187,$AG187,0))))</f>
        <v/>
      </c>
      <c r="T187">
        <f>IF(H186&lt;=0,0,MIN(AM187,H$7+IF(H$2=$AA187,$AC187,IF(H$2=$AF187,$AG187,0))))</f>
        <v/>
      </c>
      <c r="U187">
        <f>IF(I186&lt;=0,0,MIN(AN187,I$7+IF(I$2=$AA187,$AC187,IF(I$2=$AF187,$AG187,0))))</f>
        <v/>
      </c>
      <c r="V187">
        <f>IF(J186&lt;=0,0,MIN(AO187,J$7+IF(J$2=$AA187,$AC187,IF(J$2=$AF187,$AG187,0))))</f>
        <v/>
      </c>
      <c r="W187">
        <f>IF(K186&lt;=0,0,MIN(AP187,K$7+IF(K$2=$AA187,$AC187,IF(K$2=$AF187,$AG187,0))))</f>
        <v/>
      </c>
      <c r="X187">
        <f>IF(L186&lt;=0,0,MIN(AQ187,L$7+IF(L$2=$AA187,$AC187,IF(L$2=$AF187,$AG187,0))))</f>
        <v/>
      </c>
      <c r="Y187">
        <f>IF(M186&lt;=0,0,MIN(AR187,M$7+IF(M$2=$AA187,$AC187,IF(M$2=$AF187,$AG187,0))))</f>
        <v/>
      </c>
      <c r="Z187">
        <f>IF(N186&lt;=0,0,MIN(AS187,N$7+IF(N$2=$AA187,$AC187,IF(N$2=$AF187,$AG187,0))))</f>
        <v/>
      </c>
      <c r="AA187">
        <f>IFERROR(ROUND(1/SUMPRODUCT(MAX((C186:N186&gt;0)*($C$3:$N$3&lt;=B187)/$C$2:$N$2)),0),0)</f>
        <v/>
      </c>
      <c r="AB187">
        <f>SUMPRODUCT((C186:N186&gt;0)*$C$7:$N$7)</f>
        <v/>
      </c>
      <c r="AC187">
        <f>MAX(0,Plan!$C$5-AB187)+IF(A187=Plan!$C$8,N(Plan!$C$7),0)</f>
        <v/>
      </c>
      <c r="AD187">
        <f>SUM(C187:N187)</f>
        <v/>
      </c>
      <c r="AE187">
        <f>SUM(O187:Z187)</f>
        <v/>
      </c>
      <c r="AF187">
        <f>IFERROR(ROUND(1/SUMPRODUCT(MAX((C186:N186&gt;0)*($C$3:$N$3&lt;=B187)*($C$2:$N$2&gt;AA187)/$C$2:$N$2)),0),0)</f>
        <v/>
      </c>
      <c r="AG187">
        <f>MAX(0,AC187-MAX(0,SUMPRODUCT(($C$2:$N$2=AA187)*(AH187:AS187-$C$7:$N$7))))</f>
        <v/>
      </c>
      <c r="AH187">
        <f>IF(C186&lt;=0,0,ROUND(C186*(1+IF(AND(C$6&gt;0,$B187&lt;C$6),C$4,C$5)/12),2))</f>
        <v/>
      </c>
      <c r="AI187">
        <f>IF(D186&lt;=0,0,ROUND(D186*(1+IF(AND(D$6&gt;0,$B187&lt;D$6),D$4,D$5)/12),2))</f>
        <v/>
      </c>
      <c r="AJ187">
        <f>IF(E186&lt;=0,0,ROUND(E186*(1+IF(AND(E$6&gt;0,$B187&lt;E$6),E$4,E$5)/12),2))</f>
        <v/>
      </c>
      <c r="AK187">
        <f>IF(F186&lt;=0,0,ROUND(F186*(1+IF(AND(F$6&gt;0,$B187&lt;F$6),F$4,F$5)/12),2))</f>
        <v/>
      </c>
      <c r="AL187">
        <f>IF(G186&lt;=0,0,ROUND(G186*(1+IF(AND(G$6&gt;0,$B187&lt;G$6),G$4,G$5)/12),2))</f>
        <v/>
      </c>
      <c r="AM187">
        <f>IF(H186&lt;=0,0,ROUND(H186*(1+IF(AND(H$6&gt;0,$B187&lt;H$6),H$4,H$5)/12),2))</f>
        <v/>
      </c>
      <c r="AN187">
        <f>IF(I186&lt;=0,0,ROUND(I186*(1+IF(AND(I$6&gt;0,$B187&lt;I$6),I$4,I$5)/12),2))</f>
        <v/>
      </c>
      <c r="AO187">
        <f>IF(J186&lt;=0,0,ROUND(J186*(1+IF(AND(J$6&gt;0,$B187&lt;J$6),J$4,J$5)/12),2))</f>
        <v/>
      </c>
      <c r="AP187">
        <f>IF(K186&lt;=0,0,ROUND(K186*(1+IF(AND(K$6&gt;0,$B187&lt;K$6),K$4,K$5)/12),2))</f>
        <v/>
      </c>
      <c r="AQ187">
        <f>IF(L186&lt;=0,0,ROUND(L186*(1+IF(AND(L$6&gt;0,$B187&lt;L$6),L$4,L$5)/12),2))</f>
        <v/>
      </c>
      <c r="AR187">
        <f>IF(M186&lt;=0,0,ROUND(M186*(1+IF(AND(M$6&gt;0,$B187&lt;M$6),M$4,M$5)/12),2))</f>
        <v/>
      </c>
      <c r="AS187">
        <f>IF(N186&lt;=0,0,ROUND(N186*(1+IF(AND(N$6&gt;0,$B187&lt;N$6),N$4,N$5)/12),2))</f>
        <v/>
      </c>
    </row>
    <row r="188">
      <c r="A188" t="n">
        <v>177</v>
      </c>
      <c r="B188">
        <f>EDATE(Plan!$C$6,176)</f>
        <v/>
      </c>
      <c r="C188">
        <f>IF(C187&lt;=0,0,MAX(0,AH188-O188))</f>
        <v/>
      </c>
      <c r="D188">
        <f>IF(D187&lt;=0,0,MAX(0,AI188-P188))</f>
        <v/>
      </c>
      <c r="E188">
        <f>IF(E187&lt;=0,0,MAX(0,AJ188-Q188))</f>
        <v/>
      </c>
      <c r="F188">
        <f>IF(F187&lt;=0,0,MAX(0,AK188-R188))</f>
        <v/>
      </c>
      <c r="G188">
        <f>IF(G187&lt;=0,0,MAX(0,AL188-S188))</f>
        <v/>
      </c>
      <c r="H188">
        <f>IF(H187&lt;=0,0,MAX(0,AM188-T188))</f>
        <v/>
      </c>
      <c r="I188">
        <f>IF(I187&lt;=0,0,MAX(0,AN188-U188))</f>
        <v/>
      </c>
      <c r="J188">
        <f>IF(J187&lt;=0,0,MAX(0,AO188-V188))</f>
        <v/>
      </c>
      <c r="K188">
        <f>IF(K187&lt;=0,0,MAX(0,AP188-W188))</f>
        <v/>
      </c>
      <c r="L188">
        <f>IF(L187&lt;=0,0,MAX(0,AQ188-X188))</f>
        <v/>
      </c>
      <c r="M188">
        <f>IF(M187&lt;=0,0,MAX(0,AR188-Y188))</f>
        <v/>
      </c>
      <c r="N188">
        <f>IF(N187&lt;=0,0,MAX(0,AS188-Z188))</f>
        <v/>
      </c>
      <c r="O188">
        <f>IF(C187&lt;=0,0,MIN(AH188,C$7+IF(C$2=$AA188,$AC188,IF(C$2=$AF188,$AG188,0))))</f>
        <v/>
      </c>
      <c r="P188">
        <f>IF(D187&lt;=0,0,MIN(AI188,D$7+IF(D$2=$AA188,$AC188,IF(D$2=$AF188,$AG188,0))))</f>
        <v/>
      </c>
      <c r="Q188">
        <f>IF(E187&lt;=0,0,MIN(AJ188,E$7+IF(E$2=$AA188,$AC188,IF(E$2=$AF188,$AG188,0))))</f>
        <v/>
      </c>
      <c r="R188">
        <f>IF(F187&lt;=0,0,MIN(AK188,F$7+IF(F$2=$AA188,$AC188,IF(F$2=$AF188,$AG188,0))))</f>
        <v/>
      </c>
      <c r="S188">
        <f>IF(G187&lt;=0,0,MIN(AL188,G$7+IF(G$2=$AA188,$AC188,IF(G$2=$AF188,$AG188,0))))</f>
        <v/>
      </c>
      <c r="T188">
        <f>IF(H187&lt;=0,0,MIN(AM188,H$7+IF(H$2=$AA188,$AC188,IF(H$2=$AF188,$AG188,0))))</f>
        <v/>
      </c>
      <c r="U188">
        <f>IF(I187&lt;=0,0,MIN(AN188,I$7+IF(I$2=$AA188,$AC188,IF(I$2=$AF188,$AG188,0))))</f>
        <v/>
      </c>
      <c r="V188">
        <f>IF(J187&lt;=0,0,MIN(AO188,J$7+IF(J$2=$AA188,$AC188,IF(J$2=$AF188,$AG188,0))))</f>
        <v/>
      </c>
      <c r="W188">
        <f>IF(K187&lt;=0,0,MIN(AP188,K$7+IF(K$2=$AA188,$AC188,IF(K$2=$AF188,$AG188,0))))</f>
        <v/>
      </c>
      <c r="X188">
        <f>IF(L187&lt;=0,0,MIN(AQ188,L$7+IF(L$2=$AA188,$AC188,IF(L$2=$AF188,$AG188,0))))</f>
        <v/>
      </c>
      <c r="Y188">
        <f>IF(M187&lt;=0,0,MIN(AR188,M$7+IF(M$2=$AA188,$AC188,IF(M$2=$AF188,$AG188,0))))</f>
        <v/>
      </c>
      <c r="Z188">
        <f>IF(N187&lt;=0,0,MIN(AS188,N$7+IF(N$2=$AA188,$AC188,IF(N$2=$AF188,$AG188,0))))</f>
        <v/>
      </c>
      <c r="AA188">
        <f>IFERROR(ROUND(1/SUMPRODUCT(MAX((C187:N187&gt;0)*($C$3:$N$3&lt;=B188)/$C$2:$N$2)),0),0)</f>
        <v/>
      </c>
      <c r="AB188">
        <f>SUMPRODUCT((C187:N187&gt;0)*$C$7:$N$7)</f>
        <v/>
      </c>
      <c r="AC188">
        <f>MAX(0,Plan!$C$5-AB188)+IF(A188=Plan!$C$8,N(Plan!$C$7),0)</f>
        <v/>
      </c>
      <c r="AD188">
        <f>SUM(C188:N188)</f>
        <v/>
      </c>
      <c r="AE188">
        <f>SUM(O188:Z188)</f>
        <v/>
      </c>
      <c r="AF188">
        <f>IFERROR(ROUND(1/SUMPRODUCT(MAX((C187:N187&gt;0)*($C$3:$N$3&lt;=B188)*($C$2:$N$2&gt;AA188)/$C$2:$N$2)),0),0)</f>
        <v/>
      </c>
      <c r="AG188">
        <f>MAX(0,AC188-MAX(0,SUMPRODUCT(($C$2:$N$2=AA188)*(AH188:AS188-$C$7:$N$7))))</f>
        <v/>
      </c>
      <c r="AH188">
        <f>IF(C187&lt;=0,0,ROUND(C187*(1+IF(AND(C$6&gt;0,$B188&lt;C$6),C$4,C$5)/12),2))</f>
        <v/>
      </c>
      <c r="AI188">
        <f>IF(D187&lt;=0,0,ROUND(D187*(1+IF(AND(D$6&gt;0,$B188&lt;D$6),D$4,D$5)/12),2))</f>
        <v/>
      </c>
      <c r="AJ188">
        <f>IF(E187&lt;=0,0,ROUND(E187*(1+IF(AND(E$6&gt;0,$B188&lt;E$6),E$4,E$5)/12),2))</f>
        <v/>
      </c>
      <c r="AK188">
        <f>IF(F187&lt;=0,0,ROUND(F187*(1+IF(AND(F$6&gt;0,$B188&lt;F$6),F$4,F$5)/12),2))</f>
        <v/>
      </c>
      <c r="AL188">
        <f>IF(G187&lt;=0,0,ROUND(G187*(1+IF(AND(G$6&gt;0,$B188&lt;G$6),G$4,G$5)/12),2))</f>
        <v/>
      </c>
      <c r="AM188">
        <f>IF(H187&lt;=0,0,ROUND(H187*(1+IF(AND(H$6&gt;0,$B188&lt;H$6),H$4,H$5)/12),2))</f>
        <v/>
      </c>
      <c r="AN188">
        <f>IF(I187&lt;=0,0,ROUND(I187*(1+IF(AND(I$6&gt;0,$B188&lt;I$6),I$4,I$5)/12),2))</f>
        <v/>
      </c>
      <c r="AO188">
        <f>IF(J187&lt;=0,0,ROUND(J187*(1+IF(AND(J$6&gt;0,$B188&lt;J$6),J$4,J$5)/12),2))</f>
        <v/>
      </c>
      <c r="AP188">
        <f>IF(K187&lt;=0,0,ROUND(K187*(1+IF(AND(K$6&gt;0,$B188&lt;K$6),K$4,K$5)/12),2))</f>
        <v/>
      </c>
      <c r="AQ188">
        <f>IF(L187&lt;=0,0,ROUND(L187*(1+IF(AND(L$6&gt;0,$B188&lt;L$6),L$4,L$5)/12),2))</f>
        <v/>
      </c>
      <c r="AR188">
        <f>IF(M187&lt;=0,0,ROUND(M187*(1+IF(AND(M$6&gt;0,$B188&lt;M$6),M$4,M$5)/12),2))</f>
        <v/>
      </c>
      <c r="AS188">
        <f>IF(N187&lt;=0,0,ROUND(N187*(1+IF(AND(N$6&gt;0,$B188&lt;N$6),N$4,N$5)/12),2))</f>
        <v/>
      </c>
    </row>
    <row r="189">
      <c r="A189" t="n">
        <v>178</v>
      </c>
      <c r="B189">
        <f>EDATE(Plan!$C$6,177)</f>
        <v/>
      </c>
      <c r="C189">
        <f>IF(C188&lt;=0,0,MAX(0,AH189-O189))</f>
        <v/>
      </c>
      <c r="D189">
        <f>IF(D188&lt;=0,0,MAX(0,AI189-P189))</f>
        <v/>
      </c>
      <c r="E189">
        <f>IF(E188&lt;=0,0,MAX(0,AJ189-Q189))</f>
        <v/>
      </c>
      <c r="F189">
        <f>IF(F188&lt;=0,0,MAX(0,AK189-R189))</f>
        <v/>
      </c>
      <c r="G189">
        <f>IF(G188&lt;=0,0,MAX(0,AL189-S189))</f>
        <v/>
      </c>
      <c r="H189">
        <f>IF(H188&lt;=0,0,MAX(0,AM189-T189))</f>
        <v/>
      </c>
      <c r="I189">
        <f>IF(I188&lt;=0,0,MAX(0,AN189-U189))</f>
        <v/>
      </c>
      <c r="J189">
        <f>IF(J188&lt;=0,0,MAX(0,AO189-V189))</f>
        <v/>
      </c>
      <c r="K189">
        <f>IF(K188&lt;=0,0,MAX(0,AP189-W189))</f>
        <v/>
      </c>
      <c r="L189">
        <f>IF(L188&lt;=0,0,MAX(0,AQ189-X189))</f>
        <v/>
      </c>
      <c r="M189">
        <f>IF(M188&lt;=0,0,MAX(0,AR189-Y189))</f>
        <v/>
      </c>
      <c r="N189">
        <f>IF(N188&lt;=0,0,MAX(0,AS189-Z189))</f>
        <v/>
      </c>
      <c r="O189">
        <f>IF(C188&lt;=0,0,MIN(AH189,C$7+IF(C$2=$AA189,$AC189,IF(C$2=$AF189,$AG189,0))))</f>
        <v/>
      </c>
      <c r="P189">
        <f>IF(D188&lt;=0,0,MIN(AI189,D$7+IF(D$2=$AA189,$AC189,IF(D$2=$AF189,$AG189,0))))</f>
        <v/>
      </c>
      <c r="Q189">
        <f>IF(E188&lt;=0,0,MIN(AJ189,E$7+IF(E$2=$AA189,$AC189,IF(E$2=$AF189,$AG189,0))))</f>
        <v/>
      </c>
      <c r="R189">
        <f>IF(F188&lt;=0,0,MIN(AK189,F$7+IF(F$2=$AA189,$AC189,IF(F$2=$AF189,$AG189,0))))</f>
        <v/>
      </c>
      <c r="S189">
        <f>IF(G188&lt;=0,0,MIN(AL189,G$7+IF(G$2=$AA189,$AC189,IF(G$2=$AF189,$AG189,0))))</f>
        <v/>
      </c>
      <c r="T189">
        <f>IF(H188&lt;=0,0,MIN(AM189,H$7+IF(H$2=$AA189,$AC189,IF(H$2=$AF189,$AG189,0))))</f>
        <v/>
      </c>
      <c r="U189">
        <f>IF(I188&lt;=0,0,MIN(AN189,I$7+IF(I$2=$AA189,$AC189,IF(I$2=$AF189,$AG189,0))))</f>
        <v/>
      </c>
      <c r="V189">
        <f>IF(J188&lt;=0,0,MIN(AO189,J$7+IF(J$2=$AA189,$AC189,IF(J$2=$AF189,$AG189,0))))</f>
        <v/>
      </c>
      <c r="W189">
        <f>IF(K188&lt;=0,0,MIN(AP189,K$7+IF(K$2=$AA189,$AC189,IF(K$2=$AF189,$AG189,0))))</f>
        <v/>
      </c>
      <c r="X189">
        <f>IF(L188&lt;=0,0,MIN(AQ189,L$7+IF(L$2=$AA189,$AC189,IF(L$2=$AF189,$AG189,0))))</f>
        <v/>
      </c>
      <c r="Y189">
        <f>IF(M188&lt;=0,0,MIN(AR189,M$7+IF(M$2=$AA189,$AC189,IF(M$2=$AF189,$AG189,0))))</f>
        <v/>
      </c>
      <c r="Z189">
        <f>IF(N188&lt;=0,0,MIN(AS189,N$7+IF(N$2=$AA189,$AC189,IF(N$2=$AF189,$AG189,0))))</f>
        <v/>
      </c>
      <c r="AA189">
        <f>IFERROR(ROUND(1/SUMPRODUCT(MAX((C188:N188&gt;0)*($C$3:$N$3&lt;=B189)/$C$2:$N$2)),0),0)</f>
        <v/>
      </c>
      <c r="AB189">
        <f>SUMPRODUCT((C188:N188&gt;0)*$C$7:$N$7)</f>
        <v/>
      </c>
      <c r="AC189">
        <f>MAX(0,Plan!$C$5-AB189)+IF(A189=Plan!$C$8,N(Plan!$C$7),0)</f>
        <v/>
      </c>
      <c r="AD189">
        <f>SUM(C189:N189)</f>
        <v/>
      </c>
      <c r="AE189">
        <f>SUM(O189:Z189)</f>
        <v/>
      </c>
      <c r="AF189">
        <f>IFERROR(ROUND(1/SUMPRODUCT(MAX((C188:N188&gt;0)*($C$3:$N$3&lt;=B189)*($C$2:$N$2&gt;AA189)/$C$2:$N$2)),0),0)</f>
        <v/>
      </c>
      <c r="AG189">
        <f>MAX(0,AC189-MAX(0,SUMPRODUCT(($C$2:$N$2=AA189)*(AH189:AS189-$C$7:$N$7))))</f>
        <v/>
      </c>
      <c r="AH189">
        <f>IF(C188&lt;=0,0,ROUND(C188*(1+IF(AND(C$6&gt;0,$B189&lt;C$6),C$4,C$5)/12),2))</f>
        <v/>
      </c>
      <c r="AI189">
        <f>IF(D188&lt;=0,0,ROUND(D188*(1+IF(AND(D$6&gt;0,$B189&lt;D$6),D$4,D$5)/12),2))</f>
        <v/>
      </c>
      <c r="AJ189">
        <f>IF(E188&lt;=0,0,ROUND(E188*(1+IF(AND(E$6&gt;0,$B189&lt;E$6),E$4,E$5)/12),2))</f>
        <v/>
      </c>
      <c r="AK189">
        <f>IF(F188&lt;=0,0,ROUND(F188*(1+IF(AND(F$6&gt;0,$B189&lt;F$6),F$4,F$5)/12),2))</f>
        <v/>
      </c>
      <c r="AL189">
        <f>IF(G188&lt;=0,0,ROUND(G188*(1+IF(AND(G$6&gt;0,$B189&lt;G$6),G$4,G$5)/12),2))</f>
        <v/>
      </c>
      <c r="AM189">
        <f>IF(H188&lt;=0,0,ROUND(H188*(1+IF(AND(H$6&gt;0,$B189&lt;H$6),H$4,H$5)/12),2))</f>
        <v/>
      </c>
      <c r="AN189">
        <f>IF(I188&lt;=0,0,ROUND(I188*(1+IF(AND(I$6&gt;0,$B189&lt;I$6),I$4,I$5)/12),2))</f>
        <v/>
      </c>
      <c r="AO189">
        <f>IF(J188&lt;=0,0,ROUND(J188*(1+IF(AND(J$6&gt;0,$B189&lt;J$6),J$4,J$5)/12),2))</f>
        <v/>
      </c>
      <c r="AP189">
        <f>IF(K188&lt;=0,0,ROUND(K188*(1+IF(AND(K$6&gt;0,$B189&lt;K$6),K$4,K$5)/12),2))</f>
        <v/>
      </c>
      <c r="AQ189">
        <f>IF(L188&lt;=0,0,ROUND(L188*(1+IF(AND(L$6&gt;0,$B189&lt;L$6),L$4,L$5)/12),2))</f>
        <v/>
      </c>
      <c r="AR189">
        <f>IF(M188&lt;=0,0,ROUND(M188*(1+IF(AND(M$6&gt;0,$B189&lt;M$6),M$4,M$5)/12),2))</f>
        <v/>
      </c>
      <c r="AS189">
        <f>IF(N188&lt;=0,0,ROUND(N188*(1+IF(AND(N$6&gt;0,$B189&lt;N$6),N$4,N$5)/12),2))</f>
        <v/>
      </c>
    </row>
    <row r="190">
      <c r="A190" t="n">
        <v>179</v>
      </c>
      <c r="B190">
        <f>EDATE(Plan!$C$6,178)</f>
        <v/>
      </c>
      <c r="C190">
        <f>IF(C189&lt;=0,0,MAX(0,AH190-O190))</f>
        <v/>
      </c>
      <c r="D190">
        <f>IF(D189&lt;=0,0,MAX(0,AI190-P190))</f>
        <v/>
      </c>
      <c r="E190">
        <f>IF(E189&lt;=0,0,MAX(0,AJ190-Q190))</f>
        <v/>
      </c>
      <c r="F190">
        <f>IF(F189&lt;=0,0,MAX(0,AK190-R190))</f>
        <v/>
      </c>
      <c r="G190">
        <f>IF(G189&lt;=0,0,MAX(0,AL190-S190))</f>
        <v/>
      </c>
      <c r="H190">
        <f>IF(H189&lt;=0,0,MAX(0,AM190-T190))</f>
        <v/>
      </c>
      <c r="I190">
        <f>IF(I189&lt;=0,0,MAX(0,AN190-U190))</f>
        <v/>
      </c>
      <c r="J190">
        <f>IF(J189&lt;=0,0,MAX(0,AO190-V190))</f>
        <v/>
      </c>
      <c r="K190">
        <f>IF(K189&lt;=0,0,MAX(0,AP190-W190))</f>
        <v/>
      </c>
      <c r="L190">
        <f>IF(L189&lt;=0,0,MAX(0,AQ190-X190))</f>
        <v/>
      </c>
      <c r="M190">
        <f>IF(M189&lt;=0,0,MAX(0,AR190-Y190))</f>
        <v/>
      </c>
      <c r="N190">
        <f>IF(N189&lt;=0,0,MAX(0,AS190-Z190))</f>
        <v/>
      </c>
      <c r="O190">
        <f>IF(C189&lt;=0,0,MIN(AH190,C$7+IF(C$2=$AA190,$AC190,IF(C$2=$AF190,$AG190,0))))</f>
        <v/>
      </c>
      <c r="P190">
        <f>IF(D189&lt;=0,0,MIN(AI190,D$7+IF(D$2=$AA190,$AC190,IF(D$2=$AF190,$AG190,0))))</f>
        <v/>
      </c>
      <c r="Q190">
        <f>IF(E189&lt;=0,0,MIN(AJ190,E$7+IF(E$2=$AA190,$AC190,IF(E$2=$AF190,$AG190,0))))</f>
        <v/>
      </c>
      <c r="R190">
        <f>IF(F189&lt;=0,0,MIN(AK190,F$7+IF(F$2=$AA190,$AC190,IF(F$2=$AF190,$AG190,0))))</f>
        <v/>
      </c>
      <c r="S190">
        <f>IF(G189&lt;=0,0,MIN(AL190,G$7+IF(G$2=$AA190,$AC190,IF(G$2=$AF190,$AG190,0))))</f>
        <v/>
      </c>
      <c r="T190">
        <f>IF(H189&lt;=0,0,MIN(AM190,H$7+IF(H$2=$AA190,$AC190,IF(H$2=$AF190,$AG190,0))))</f>
        <v/>
      </c>
      <c r="U190">
        <f>IF(I189&lt;=0,0,MIN(AN190,I$7+IF(I$2=$AA190,$AC190,IF(I$2=$AF190,$AG190,0))))</f>
        <v/>
      </c>
      <c r="V190">
        <f>IF(J189&lt;=0,0,MIN(AO190,J$7+IF(J$2=$AA190,$AC190,IF(J$2=$AF190,$AG190,0))))</f>
        <v/>
      </c>
      <c r="W190">
        <f>IF(K189&lt;=0,0,MIN(AP190,K$7+IF(K$2=$AA190,$AC190,IF(K$2=$AF190,$AG190,0))))</f>
        <v/>
      </c>
      <c r="X190">
        <f>IF(L189&lt;=0,0,MIN(AQ190,L$7+IF(L$2=$AA190,$AC190,IF(L$2=$AF190,$AG190,0))))</f>
        <v/>
      </c>
      <c r="Y190">
        <f>IF(M189&lt;=0,0,MIN(AR190,M$7+IF(M$2=$AA190,$AC190,IF(M$2=$AF190,$AG190,0))))</f>
        <v/>
      </c>
      <c r="Z190">
        <f>IF(N189&lt;=0,0,MIN(AS190,N$7+IF(N$2=$AA190,$AC190,IF(N$2=$AF190,$AG190,0))))</f>
        <v/>
      </c>
      <c r="AA190">
        <f>IFERROR(ROUND(1/SUMPRODUCT(MAX((C189:N189&gt;0)*($C$3:$N$3&lt;=B190)/$C$2:$N$2)),0),0)</f>
        <v/>
      </c>
      <c r="AB190">
        <f>SUMPRODUCT((C189:N189&gt;0)*$C$7:$N$7)</f>
        <v/>
      </c>
      <c r="AC190">
        <f>MAX(0,Plan!$C$5-AB190)+IF(A190=Plan!$C$8,N(Plan!$C$7),0)</f>
        <v/>
      </c>
      <c r="AD190">
        <f>SUM(C190:N190)</f>
        <v/>
      </c>
      <c r="AE190">
        <f>SUM(O190:Z190)</f>
        <v/>
      </c>
      <c r="AF190">
        <f>IFERROR(ROUND(1/SUMPRODUCT(MAX((C189:N189&gt;0)*($C$3:$N$3&lt;=B190)*($C$2:$N$2&gt;AA190)/$C$2:$N$2)),0),0)</f>
        <v/>
      </c>
      <c r="AG190">
        <f>MAX(0,AC190-MAX(0,SUMPRODUCT(($C$2:$N$2=AA190)*(AH190:AS190-$C$7:$N$7))))</f>
        <v/>
      </c>
      <c r="AH190">
        <f>IF(C189&lt;=0,0,ROUND(C189*(1+IF(AND(C$6&gt;0,$B190&lt;C$6),C$4,C$5)/12),2))</f>
        <v/>
      </c>
      <c r="AI190">
        <f>IF(D189&lt;=0,0,ROUND(D189*(1+IF(AND(D$6&gt;0,$B190&lt;D$6),D$4,D$5)/12),2))</f>
        <v/>
      </c>
      <c r="AJ190">
        <f>IF(E189&lt;=0,0,ROUND(E189*(1+IF(AND(E$6&gt;0,$B190&lt;E$6),E$4,E$5)/12),2))</f>
        <v/>
      </c>
      <c r="AK190">
        <f>IF(F189&lt;=0,0,ROUND(F189*(1+IF(AND(F$6&gt;0,$B190&lt;F$6),F$4,F$5)/12),2))</f>
        <v/>
      </c>
      <c r="AL190">
        <f>IF(G189&lt;=0,0,ROUND(G189*(1+IF(AND(G$6&gt;0,$B190&lt;G$6),G$4,G$5)/12),2))</f>
        <v/>
      </c>
      <c r="AM190">
        <f>IF(H189&lt;=0,0,ROUND(H189*(1+IF(AND(H$6&gt;0,$B190&lt;H$6),H$4,H$5)/12),2))</f>
        <v/>
      </c>
      <c r="AN190">
        <f>IF(I189&lt;=0,0,ROUND(I189*(1+IF(AND(I$6&gt;0,$B190&lt;I$6),I$4,I$5)/12),2))</f>
        <v/>
      </c>
      <c r="AO190">
        <f>IF(J189&lt;=0,0,ROUND(J189*(1+IF(AND(J$6&gt;0,$B190&lt;J$6),J$4,J$5)/12),2))</f>
        <v/>
      </c>
      <c r="AP190">
        <f>IF(K189&lt;=0,0,ROUND(K189*(1+IF(AND(K$6&gt;0,$B190&lt;K$6),K$4,K$5)/12),2))</f>
        <v/>
      </c>
      <c r="AQ190">
        <f>IF(L189&lt;=0,0,ROUND(L189*(1+IF(AND(L$6&gt;0,$B190&lt;L$6),L$4,L$5)/12),2))</f>
        <v/>
      </c>
      <c r="AR190">
        <f>IF(M189&lt;=0,0,ROUND(M189*(1+IF(AND(M$6&gt;0,$B190&lt;M$6),M$4,M$5)/12),2))</f>
        <v/>
      </c>
      <c r="AS190">
        <f>IF(N189&lt;=0,0,ROUND(N189*(1+IF(AND(N$6&gt;0,$B190&lt;N$6),N$4,N$5)/12),2))</f>
        <v/>
      </c>
    </row>
    <row r="191">
      <c r="A191" t="n">
        <v>180</v>
      </c>
      <c r="B191">
        <f>EDATE(Plan!$C$6,179)</f>
        <v/>
      </c>
      <c r="C191">
        <f>IF(C190&lt;=0,0,MAX(0,AH191-O191))</f>
        <v/>
      </c>
      <c r="D191">
        <f>IF(D190&lt;=0,0,MAX(0,AI191-P191))</f>
        <v/>
      </c>
      <c r="E191">
        <f>IF(E190&lt;=0,0,MAX(0,AJ191-Q191))</f>
        <v/>
      </c>
      <c r="F191">
        <f>IF(F190&lt;=0,0,MAX(0,AK191-R191))</f>
        <v/>
      </c>
      <c r="G191">
        <f>IF(G190&lt;=0,0,MAX(0,AL191-S191))</f>
        <v/>
      </c>
      <c r="H191">
        <f>IF(H190&lt;=0,0,MAX(0,AM191-T191))</f>
        <v/>
      </c>
      <c r="I191">
        <f>IF(I190&lt;=0,0,MAX(0,AN191-U191))</f>
        <v/>
      </c>
      <c r="J191">
        <f>IF(J190&lt;=0,0,MAX(0,AO191-V191))</f>
        <v/>
      </c>
      <c r="K191">
        <f>IF(K190&lt;=0,0,MAX(0,AP191-W191))</f>
        <v/>
      </c>
      <c r="L191">
        <f>IF(L190&lt;=0,0,MAX(0,AQ191-X191))</f>
        <v/>
      </c>
      <c r="M191">
        <f>IF(M190&lt;=0,0,MAX(0,AR191-Y191))</f>
        <v/>
      </c>
      <c r="N191">
        <f>IF(N190&lt;=0,0,MAX(0,AS191-Z191))</f>
        <v/>
      </c>
      <c r="O191">
        <f>IF(C190&lt;=0,0,MIN(AH191,C$7+IF(C$2=$AA191,$AC191,IF(C$2=$AF191,$AG191,0))))</f>
        <v/>
      </c>
      <c r="P191">
        <f>IF(D190&lt;=0,0,MIN(AI191,D$7+IF(D$2=$AA191,$AC191,IF(D$2=$AF191,$AG191,0))))</f>
        <v/>
      </c>
      <c r="Q191">
        <f>IF(E190&lt;=0,0,MIN(AJ191,E$7+IF(E$2=$AA191,$AC191,IF(E$2=$AF191,$AG191,0))))</f>
        <v/>
      </c>
      <c r="R191">
        <f>IF(F190&lt;=0,0,MIN(AK191,F$7+IF(F$2=$AA191,$AC191,IF(F$2=$AF191,$AG191,0))))</f>
        <v/>
      </c>
      <c r="S191">
        <f>IF(G190&lt;=0,0,MIN(AL191,G$7+IF(G$2=$AA191,$AC191,IF(G$2=$AF191,$AG191,0))))</f>
        <v/>
      </c>
      <c r="T191">
        <f>IF(H190&lt;=0,0,MIN(AM191,H$7+IF(H$2=$AA191,$AC191,IF(H$2=$AF191,$AG191,0))))</f>
        <v/>
      </c>
      <c r="U191">
        <f>IF(I190&lt;=0,0,MIN(AN191,I$7+IF(I$2=$AA191,$AC191,IF(I$2=$AF191,$AG191,0))))</f>
        <v/>
      </c>
      <c r="V191">
        <f>IF(J190&lt;=0,0,MIN(AO191,J$7+IF(J$2=$AA191,$AC191,IF(J$2=$AF191,$AG191,0))))</f>
        <v/>
      </c>
      <c r="W191">
        <f>IF(K190&lt;=0,0,MIN(AP191,K$7+IF(K$2=$AA191,$AC191,IF(K$2=$AF191,$AG191,0))))</f>
        <v/>
      </c>
      <c r="X191">
        <f>IF(L190&lt;=0,0,MIN(AQ191,L$7+IF(L$2=$AA191,$AC191,IF(L$2=$AF191,$AG191,0))))</f>
        <v/>
      </c>
      <c r="Y191">
        <f>IF(M190&lt;=0,0,MIN(AR191,M$7+IF(M$2=$AA191,$AC191,IF(M$2=$AF191,$AG191,0))))</f>
        <v/>
      </c>
      <c r="Z191">
        <f>IF(N190&lt;=0,0,MIN(AS191,N$7+IF(N$2=$AA191,$AC191,IF(N$2=$AF191,$AG191,0))))</f>
        <v/>
      </c>
      <c r="AA191">
        <f>IFERROR(ROUND(1/SUMPRODUCT(MAX((C190:N190&gt;0)*($C$3:$N$3&lt;=B191)/$C$2:$N$2)),0),0)</f>
        <v/>
      </c>
      <c r="AB191">
        <f>SUMPRODUCT((C190:N190&gt;0)*$C$7:$N$7)</f>
        <v/>
      </c>
      <c r="AC191">
        <f>MAX(0,Plan!$C$5-AB191)+IF(A191=Plan!$C$8,N(Plan!$C$7),0)</f>
        <v/>
      </c>
      <c r="AD191">
        <f>SUM(C191:N191)</f>
        <v/>
      </c>
      <c r="AE191">
        <f>SUM(O191:Z191)</f>
        <v/>
      </c>
      <c r="AF191">
        <f>IFERROR(ROUND(1/SUMPRODUCT(MAX((C190:N190&gt;0)*($C$3:$N$3&lt;=B191)*($C$2:$N$2&gt;AA191)/$C$2:$N$2)),0),0)</f>
        <v/>
      </c>
      <c r="AG191">
        <f>MAX(0,AC191-MAX(0,SUMPRODUCT(($C$2:$N$2=AA191)*(AH191:AS191-$C$7:$N$7))))</f>
        <v/>
      </c>
      <c r="AH191">
        <f>IF(C190&lt;=0,0,ROUND(C190*(1+IF(AND(C$6&gt;0,$B191&lt;C$6),C$4,C$5)/12),2))</f>
        <v/>
      </c>
      <c r="AI191">
        <f>IF(D190&lt;=0,0,ROUND(D190*(1+IF(AND(D$6&gt;0,$B191&lt;D$6),D$4,D$5)/12),2))</f>
        <v/>
      </c>
      <c r="AJ191">
        <f>IF(E190&lt;=0,0,ROUND(E190*(1+IF(AND(E$6&gt;0,$B191&lt;E$6),E$4,E$5)/12),2))</f>
        <v/>
      </c>
      <c r="AK191">
        <f>IF(F190&lt;=0,0,ROUND(F190*(1+IF(AND(F$6&gt;0,$B191&lt;F$6),F$4,F$5)/12),2))</f>
        <v/>
      </c>
      <c r="AL191">
        <f>IF(G190&lt;=0,0,ROUND(G190*(1+IF(AND(G$6&gt;0,$B191&lt;G$6),G$4,G$5)/12),2))</f>
        <v/>
      </c>
      <c r="AM191">
        <f>IF(H190&lt;=0,0,ROUND(H190*(1+IF(AND(H$6&gt;0,$B191&lt;H$6),H$4,H$5)/12),2))</f>
        <v/>
      </c>
      <c r="AN191">
        <f>IF(I190&lt;=0,0,ROUND(I190*(1+IF(AND(I$6&gt;0,$B191&lt;I$6),I$4,I$5)/12),2))</f>
        <v/>
      </c>
      <c r="AO191">
        <f>IF(J190&lt;=0,0,ROUND(J190*(1+IF(AND(J$6&gt;0,$B191&lt;J$6),J$4,J$5)/12),2))</f>
        <v/>
      </c>
      <c r="AP191">
        <f>IF(K190&lt;=0,0,ROUND(K190*(1+IF(AND(K$6&gt;0,$B191&lt;K$6),K$4,K$5)/12),2))</f>
        <v/>
      </c>
      <c r="AQ191">
        <f>IF(L190&lt;=0,0,ROUND(L190*(1+IF(AND(L$6&gt;0,$B191&lt;L$6),L$4,L$5)/12),2))</f>
        <v/>
      </c>
      <c r="AR191">
        <f>IF(M190&lt;=0,0,ROUND(M190*(1+IF(AND(M$6&gt;0,$B191&lt;M$6),M$4,M$5)/12),2))</f>
        <v/>
      </c>
      <c r="AS191">
        <f>IF(N190&lt;=0,0,ROUND(N190*(1+IF(AND(N$6&gt;0,$B191&lt;N$6),N$4,N$5)/12),2))</f>
        <v/>
      </c>
    </row>
    <row r="192">
      <c r="A192" t="n">
        <v>181</v>
      </c>
      <c r="B192">
        <f>EDATE(Plan!$C$6,180)</f>
        <v/>
      </c>
      <c r="C192">
        <f>IF(C191&lt;=0,0,MAX(0,AH192-O192))</f>
        <v/>
      </c>
      <c r="D192">
        <f>IF(D191&lt;=0,0,MAX(0,AI192-P192))</f>
        <v/>
      </c>
      <c r="E192">
        <f>IF(E191&lt;=0,0,MAX(0,AJ192-Q192))</f>
        <v/>
      </c>
      <c r="F192">
        <f>IF(F191&lt;=0,0,MAX(0,AK192-R192))</f>
        <v/>
      </c>
      <c r="G192">
        <f>IF(G191&lt;=0,0,MAX(0,AL192-S192))</f>
        <v/>
      </c>
      <c r="H192">
        <f>IF(H191&lt;=0,0,MAX(0,AM192-T192))</f>
        <v/>
      </c>
      <c r="I192">
        <f>IF(I191&lt;=0,0,MAX(0,AN192-U192))</f>
        <v/>
      </c>
      <c r="J192">
        <f>IF(J191&lt;=0,0,MAX(0,AO192-V192))</f>
        <v/>
      </c>
      <c r="K192">
        <f>IF(K191&lt;=0,0,MAX(0,AP192-W192))</f>
        <v/>
      </c>
      <c r="L192">
        <f>IF(L191&lt;=0,0,MAX(0,AQ192-X192))</f>
        <v/>
      </c>
      <c r="M192">
        <f>IF(M191&lt;=0,0,MAX(0,AR192-Y192))</f>
        <v/>
      </c>
      <c r="N192">
        <f>IF(N191&lt;=0,0,MAX(0,AS192-Z192))</f>
        <v/>
      </c>
      <c r="O192">
        <f>IF(C191&lt;=0,0,MIN(AH192,C$7+IF(C$2=$AA192,$AC192,IF(C$2=$AF192,$AG192,0))))</f>
        <v/>
      </c>
      <c r="P192">
        <f>IF(D191&lt;=0,0,MIN(AI192,D$7+IF(D$2=$AA192,$AC192,IF(D$2=$AF192,$AG192,0))))</f>
        <v/>
      </c>
      <c r="Q192">
        <f>IF(E191&lt;=0,0,MIN(AJ192,E$7+IF(E$2=$AA192,$AC192,IF(E$2=$AF192,$AG192,0))))</f>
        <v/>
      </c>
      <c r="R192">
        <f>IF(F191&lt;=0,0,MIN(AK192,F$7+IF(F$2=$AA192,$AC192,IF(F$2=$AF192,$AG192,0))))</f>
        <v/>
      </c>
      <c r="S192">
        <f>IF(G191&lt;=0,0,MIN(AL192,G$7+IF(G$2=$AA192,$AC192,IF(G$2=$AF192,$AG192,0))))</f>
        <v/>
      </c>
      <c r="T192">
        <f>IF(H191&lt;=0,0,MIN(AM192,H$7+IF(H$2=$AA192,$AC192,IF(H$2=$AF192,$AG192,0))))</f>
        <v/>
      </c>
      <c r="U192">
        <f>IF(I191&lt;=0,0,MIN(AN192,I$7+IF(I$2=$AA192,$AC192,IF(I$2=$AF192,$AG192,0))))</f>
        <v/>
      </c>
      <c r="V192">
        <f>IF(J191&lt;=0,0,MIN(AO192,J$7+IF(J$2=$AA192,$AC192,IF(J$2=$AF192,$AG192,0))))</f>
        <v/>
      </c>
      <c r="W192">
        <f>IF(K191&lt;=0,0,MIN(AP192,K$7+IF(K$2=$AA192,$AC192,IF(K$2=$AF192,$AG192,0))))</f>
        <v/>
      </c>
      <c r="X192">
        <f>IF(L191&lt;=0,0,MIN(AQ192,L$7+IF(L$2=$AA192,$AC192,IF(L$2=$AF192,$AG192,0))))</f>
        <v/>
      </c>
      <c r="Y192">
        <f>IF(M191&lt;=0,0,MIN(AR192,M$7+IF(M$2=$AA192,$AC192,IF(M$2=$AF192,$AG192,0))))</f>
        <v/>
      </c>
      <c r="Z192">
        <f>IF(N191&lt;=0,0,MIN(AS192,N$7+IF(N$2=$AA192,$AC192,IF(N$2=$AF192,$AG192,0))))</f>
        <v/>
      </c>
      <c r="AA192">
        <f>IFERROR(ROUND(1/SUMPRODUCT(MAX((C191:N191&gt;0)*($C$3:$N$3&lt;=B192)/$C$2:$N$2)),0),0)</f>
        <v/>
      </c>
      <c r="AB192">
        <f>SUMPRODUCT((C191:N191&gt;0)*$C$7:$N$7)</f>
        <v/>
      </c>
      <c r="AC192">
        <f>MAX(0,Plan!$C$5-AB192)+IF(A192=Plan!$C$8,N(Plan!$C$7),0)</f>
        <v/>
      </c>
      <c r="AD192">
        <f>SUM(C192:N192)</f>
        <v/>
      </c>
      <c r="AE192">
        <f>SUM(O192:Z192)</f>
        <v/>
      </c>
      <c r="AF192">
        <f>IFERROR(ROUND(1/SUMPRODUCT(MAX((C191:N191&gt;0)*($C$3:$N$3&lt;=B192)*($C$2:$N$2&gt;AA192)/$C$2:$N$2)),0),0)</f>
        <v/>
      </c>
      <c r="AG192">
        <f>MAX(0,AC192-MAX(0,SUMPRODUCT(($C$2:$N$2=AA192)*(AH192:AS192-$C$7:$N$7))))</f>
        <v/>
      </c>
      <c r="AH192">
        <f>IF(C191&lt;=0,0,ROUND(C191*(1+IF(AND(C$6&gt;0,$B192&lt;C$6),C$4,C$5)/12),2))</f>
        <v/>
      </c>
      <c r="AI192">
        <f>IF(D191&lt;=0,0,ROUND(D191*(1+IF(AND(D$6&gt;0,$B192&lt;D$6),D$4,D$5)/12),2))</f>
        <v/>
      </c>
      <c r="AJ192">
        <f>IF(E191&lt;=0,0,ROUND(E191*(1+IF(AND(E$6&gt;0,$B192&lt;E$6),E$4,E$5)/12),2))</f>
        <v/>
      </c>
      <c r="AK192">
        <f>IF(F191&lt;=0,0,ROUND(F191*(1+IF(AND(F$6&gt;0,$B192&lt;F$6),F$4,F$5)/12),2))</f>
        <v/>
      </c>
      <c r="AL192">
        <f>IF(G191&lt;=0,0,ROUND(G191*(1+IF(AND(G$6&gt;0,$B192&lt;G$6),G$4,G$5)/12),2))</f>
        <v/>
      </c>
      <c r="AM192">
        <f>IF(H191&lt;=0,0,ROUND(H191*(1+IF(AND(H$6&gt;0,$B192&lt;H$6),H$4,H$5)/12),2))</f>
        <v/>
      </c>
      <c r="AN192">
        <f>IF(I191&lt;=0,0,ROUND(I191*(1+IF(AND(I$6&gt;0,$B192&lt;I$6),I$4,I$5)/12),2))</f>
        <v/>
      </c>
      <c r="AO192">
        <f>IF(J191&lt;=0,0,ROUND(J191*(1+IF(AND(J$6&gt;0,$B192&lt;J$6),J$4,J$5)/12),2))</f>
        <v/>
      </c>
      <c r="AP192">
        <f>IF(K191&lt;=0,0,ROUND(K191*(1+IF(AND(K$6&gt;0,$B192&lt;K$6),K$4,K$5)/12),2))</f>
        <v/>
      </c>
      <c r="AQ192">
        <f>IF(L191&lt;=0,0,ROUND(L191*(1+IF(AND(L$6&gt;0,$B192&lt;L$6),L$4,L$5)/12),2))</f>
        <v/>
      </c>
      <c r="AR192">
        <f>IF(M191&lt;=0,0,ROUND(M191*(1+IF(AND(M$6&gt;0,$B192&lt;M$6),M$4,M$5)/12),2))</f>
        <v/>
      </c>
      <c r="AS192">
        <f>IF(N191&lt;=0,0,ROUND(N191*(1+IF(AND(N$6&gt;0,$B192&lt;N$6),N$4,N$5)/12),2))</f>
        <v/>
      </c>
    </row>
    <row r="193">
      <c r="A193" t="n">
        <v>182</v>
      </c>
      <c r="B193">
        <f>EDATE(Plan!$C$6,181)</f>
        <v/>
      </c>
      <c r="C193">
        <f>IF(C192&lt;=0,0,MAX(0,AH193-O193))</f>
        <v/>
      </c>
      <c r="D193">
        <f>IF(D192&lt;=0,0,MAX(0,AI193-P193))</f>
        <v/>
      </c>
      <c r="E193">
        <f>IF(E192&lt;=0,0,MAX(0,AJ193-Q193))</f>
        <v/>
      </c>
      <c r="F193">
        <f>IF(F192&lt;=0,0,MAX(0,AK193-R193))</f>
        <v/>
      </c>
      <c r="G193">
        <f>IF(G192&lt;=0,0,MAX(0,AL193-S193))</f>
        <v/>
      </c>
      <c r="H193">
        <f>IF(H192&lt;=0,0,MAX(0,AM193-T193))</f>
        <v/>
      </c>
      <c r="I193">
        <f>IF(I192&lt;=0,0,MAX(0,AN193-U193))</f>
        <v/>
      </c>
      <c r="J193">
        <f>IF(J192&lt;=0,0,MAX(0,AO193-V193))</f>
        <v/>
      </c>
      <c r="K193">
        <f>IF(K192&lt;=0,0,MAX(0,AP193-W193))</f>
        <v/>
      </c>
      <c r="L193">
        <f>IF(L192&lt;=0,0,MAX(0,AQ193-X193))</f>
        <v/>
      </c>
      <c r="M193">
        <f>IF(M192&lt;=0,0,MAX(0,AR193-Y193))</f>
        <v/>
      </c>
      <c r="N193">
        <f>IF(N192&lt;=0,0,MAX(0,AS193-Z193))</f>
        <v/>
      </c>
      <c r="O193">
        <f>IF(C192&lt;=0,0,MIN(AH193,C$7+IF(C$2=$AA193,$AC193,IF(C$2=$AF193,$AG193,0))))</f>
        <v/>
      </c>
      <c r="P193">
        <f>IF(D192&lt;=0,0,MIN(AI193,D$7+IF(D$2=$AA193,$AC193,IF(D$2=$AF193,$AG193,0))))</f>
        <v/>
      </c>
      <c r="Q193">
        <f>IF(E192&lt;=0,0,MIN(AJ193,E$7+IF(E$2=$AA193,$AC193,IF(E$2=$AF193,$AG193,0))))</f>
        <v/>
      </c>
      <c r="R193">
        <f>IF(F192&lt;=0,0,MIN(AK193,F$7+IF(F$2=$AA193,$AC193,IF(F$2=$AF193,$AG193,0))))</f>
        <v/>
      </c>
      <c r="S193">
        <f>IF(G192&lt;=0,0,MIN(AL193,G$7+IF(G$2=$AA193,$AC193,IF(G$2=$AF193,$AG193,0))))</f>
        <v/>
      </c>
      <c r="T193">
        <f>IF(H192&lt;=0,0,MIN(AM193,H$7+IF(H$2=$AA193,$AC193,IF(H$2=$AF193,$AG193,0))))</f>
        <v/>
      </c>
      <c r="U193">
        <f>IF(I192&lt;=0,0,MIN(AN193,I$7+IF(I$2=$AA193,$AC193,IF(I$2=$AF193,$AG193,0))))</f>
        <v/>
      </c>
      <c r="V193">
        <f>IF(J192&lt;=0,0,MIN(AO193,J$7+IF(J$2=$AA193,$AC193,IF(J$2=$AF193,$AG193,0))))</f>
        <v/>
      </c>
      <c r="W193">
        <f>IF(K192&lt;=0,0,MIN(AP193,K$7+IF(K$2=$AA193,$AC193,IF(K$2=$AF193,$AG193,0))))</f>
        <v/>
      </c>
      <c r="X193">
        <f>IF(L192&lt;=0,0,MIN(AQ193,L$7+IF(L$2=$AA193,$AC193,IF(L$2=$AF193,$AG193,0))))</f>
        <v/>
      </c>
      <c r="Y193">
        <f>IF(M192&lt;=0,0,MIN(AR193,M$7+IF(M$2=$AA193,$AC193,IF(M$2=$AF193,$AG193,0))))</f>
        <v/>
      </c>
      <c r="Z193">
        <f>IF(N192&lt;=0,0,MIN(AS193,N$7+IF(N$2=$AA193,$AC193,IF(N$2=$AF193,$AG193,0))))</f>
        <v/>
      </c>
      <c r="AA193">
        <f>IFERROR(ROUND(1/SUMPRODUCT(MAX((C192:N192&gt;0)*($C$3:$N$3&lt;=B193)/$C$2:$N$2)),0),0)</f>
        <v/>
      </c>
      <c r="AB193">
        <f>SUMPRODUCT((C192:N192&gt;0)*$C$7:$N$7)</f>
        <v/>
      </c>
      <c r="AC193">
        <f>MAX(0,Plan!$C$5-AB193)+IF(A193=Plan!$C$8,N(Plan!$C$7),0)</f>
        <v/>
      </c>
      <c r="AD193">
        <f>SUM(C193:N193)</f>
        <v/>
      </c>
      <c r="AE193">
        <f>SUM(O193:Z193)</f>
        <v/>
      </c>
      <c r="AF193">
        <f>IFERROR(ROUND(1/SUMPRODUCT(MAX((C192:N192&gt;0)*($C$3:$N$3&lt;=B193)*($C$2:$N$2&gt;AA193)/$C$2:$N$2)),0),0)</f>
        <v/>
      </c>
      <c r="AG193">
        <f>MAX(0,AC193-MAX(0,SUMPRODUCT(($C$2:$N$2=AA193)*(AH193:AS193-$C$7:$N$7))))</f>
        <v/>
      </c>
      <c r="AH193">
        <f>IF(C192&lt;=0,0,ROUND(C192*(1+IF(AND(C$6&gt;0,$B193&lt;C$6),C$4,C$5)/12),2))</f>
        <v/>
      </c>
      <c r="AI193">
        <f>IF(D192&lt;=0,0,ROUND(D192*(1+IF(AND(D$6&gt;0,$B193&lt;D$6),D$4,D$5)/12),2))</f>
        <v/>
      </c>
      <c r="AJ193">
        <f>IF(E192&lt;=0,0,ROUND(E192*(1+IF(AND(E$6&gt;0,$B193&lt;E$6),E$4,E$5)/12),2))</f>
        <v/>
      </c>
      <c r="AK193">
        <f>IF(F192&lt;=0,0,ROUND(F192*(1+IF(AND(F$6&gt;0,$B193&lt;F$6),F$4,F$5)/12),2))</f>
        <v/>
      </c>
      <c r="AL193">
        <f>IF(G192&lt;=0,0,ROUND(G192*(1+IF(AND(G$6&gt;0,$B193&lt;G$6),G$4,G$5)/12),2))</f>
        <v/>
      </c>
      <c r="AM193">
        <f>IF(H192&lt;=0,0,ROUND(H192*(1+IF(AND(H$6&gt;0,$B193&lt;H$6),H$4,H$5)/12),2))</f>
        <v/>
      </c>
      <c r="AN193">
        <f>IF(I192&lt;=0,0,ROUND(I192*(1+IF(AND(I$6&gt;0,$B193&lt;I$6),I$4,I$5)/12),2))</f>
        <v/>
      </c>
      <c r="AO193">
        <f>IF(J192&lt;=0,0,ROUND(J192*(1+IF(AND(J$6&gt;0,$B193&lt;J$6),J$4,J$5)/12),2))</f>
        <v/>
      </c>
      <c r="AP193">
        <f>IF(K192&lt;=0,0,ROUND(K192*(1+IF(AND(K$6&gt;0,$B193&lt;K$6),K$4,K$5)/12),2))</f>
        <v/>
      </c>
      <c r="AQ193">
        <f>IF(L192&lt;=0,0,ROUND(L192*(1+IF(AND(L$6&gt;0,$B193&lt;L$6),L$4,L$5)/12),2))</f>
        <v/>
      </c>
      <c r="AR193">
        <f>IF(M192&lt;=0,0,ROUND(M192*(1+IF(AND(M$6&gt;0,$B193&lt;M$6),M$4,M$5)/12),2))</f>
        <v/>
      </c>
      <c r="AS193">
        <f>IF(N192&lt;=0,0,ROUND(N192*(1+IF(AND(N$6&gt;0,$B193&lt;N$6),N$4,N$5)/12),2))</f>
        <v/>
      </c>
    </row>
    <row r="194">
      <c r="A194" t="n">
        <v>183</v>
      </c>
      <c r="B194">
        <f>EDATE(Plan!$C$6,182)</f>
        <v/>
      </c>
      <c r="C194">
        <f>IF(C193&lt;=0,0,MAX(0,AH194-O194))</f>
        <v/>
      </c>
      <c r="D194">
        <f>IF(D193&lt;=0,0,MAX(0,AI194-P194))</f>
        <v/>
      </c>
      <c r="E194">
        <f>IF(E193&lt;=0,0,MAX(0,AJ194-Q194))</f>
        <v/>
      </c>
      <c r="F194">
        <f>IF(F193&lt;=0,0,MAX(0,AK194-R194))</f>
        <v/>
      </c>
      <c r="G194">
        <f>IF(G193&lt;=0,0,MAX(0,AL194-S194))</f>
        <v/>
      </c>
      <c r="H194">
        <f>IF(H193&lt;=0,0,MAX(0,AM194-T194))</f>
        <v/>
      </c>
      <c r="I194">
        <f>IF(I193&lt;=0,0,MAX(0,AN194-U194))</f>
        <v/>
      </c>
      <c r="J194">
        <f>IF(J193&lt;=0,0,MAX(0,AO194-V194))</f>
        <v/>
      </c>
      <c r="K194">
        <f>IF(K193&lt;=0,0,MAX(0,AP194-W194))</f>
        <v/>
      </c>
      <c r="L194">
        <f>IF(L193&lt;=0,0,MAX(0,AQ194-X194))</f>
        <v/>
      </c>
      <c r="M194">
        <f>IF(M193&lt;=0,0,MAX(0,AR194-Y194))</f>
        <v/>
      </c>
      <c r="N194">
        <f>IF(N193&lt;=0,0,MAX(0,AS194-Z194))</f>
        <v/>
      </c>
      <c r="O194">
        <f>IF(C193&lt;=0,0,MIN(AH194,C$7+IF(C$2=$AA194,$AC194,IF(C$2=$AF194,$AG194,0))))</f>
        <v/>
      </c>
      <c r="P194">
        <f>IF(D193&lt;=0,0,MIN(AI194,D$7+IF(D$2=$AA194,$AC194,IF(D$2=$AF194,$AG194,0))))</f>
        <v/>
      </c>
      <c r="Q194">
        <f>IF(E193&lt;=0,0,MIN(AJ194,E$7+IF(E$2=$AA194,$AC194,IF(E$2=$AF194,$AG194,0))))</f>
        <v/>
      </c>
      <c r="R194">
        <f>IF(F193&lt;=0,0,MIN(AK194,F$7+IF(F$2=$AA194,$AC194,IF(F$2=$AF194,$AG194,0))))</f>
        <v/>
      </c>
      <c r="S194">
        <f>IF(G193&lt;=0,0,MIN(AL194,G$7+IF(G$2=$AA194,$AC194,IF(G$2=$AF194,$AG194,0))))</f>
        <v/>
      </c>
      <c r="T194">
        <f>IF(H193&lt;=0,0,MIN(AM194,H$7+IF(H$2=$AA194,$AC194,IF(H$2=$AF194,$AG194,0))))</f>
        <v/>
      </c>
      <c r="U194">
        <f>IF(I193&lt;=0,0,MIN(AN194,I$7+IF(I$2=$AA194,$AC194,IF(I$2=$AF194,$AG194,0))))</f>
        <v/>
      </c>
      <c r="V194">
        <f>IF(J193&lt;=0,0,MIN(AO194,J$7+IF(J$2=$AA194,$AC194,IF(J$2=$AF194,$AG194,0))))</f>
        <v/>
      </c>
      <c r="W194">
        <f>IF(K193&lt;=0,0,MIN(AP194,K$7+IF(K$2=$AA194,$AC194,IF(K$2=$AF194,$AG194,0))))</f>
        <v/>
      </c>
      <c r="X194">
        <f>IF(L193&lt;=0,0,MIN(AQ194,L$7+IF(L$2=$AA194,$AC194,IF(L$2=$AF194,$AG194,0))))</f>
        <v/>
      </c>
      <c r="Y194">
        <f>IF(M193&lt;=0,0,MIN(AR194,M$7+IF(M$2=$AA194,$AC194,IF(M$2=$AF194,$AG194,0))))</f>
        <v/>
      </c>
      <c r="Z194">
        <f>IF(N193&lt;=0,0,MIN(AS194,N$7+IF(N$2=$AA194,$AC194,IF(N$2=$AF194,$AG194,0))))</f>
        <v/>
      </c>
      <c r="AA194">
        <f>IFERROR(ROUND(1/SUMPRODUCT(MAX((C193:N193&gt;0)*($C$3:$N$3&lt;=B194)/$C$2:$N$2)),0),0)</f>
        <v/>
      </c>
      <c r="AB194">
        <f>SUMPRODUCT((C193:N193&gt;0)*$C$7:$N$7)</f>
        <v/>
      </c>
      <c r="AC194">
        <f>MAX(0,Plan!$C$5-AB194)+IF(A194=Plan!$C$8,N(Plan!$C$7),0)</f>
        <v/>
      </c>
      <c r="AD194">
        <f>SUM(C194:N194)</f>
        <v/>
      </c>
      <c r="AE194">
        <f>SUM(O194:Z194)</f>
        <v/>
      </c>
      <c r="AF194">
        <f>IFERROR(ROUND(1/SUMPRODUCT(MAX((C193:N193&gt;0)*($C$3:$N$3&lt;=B194)*($C$2:$N$2&gt;AA194)/$C$2:$N$2)),0),0)</f>
        <v/>
      </c>
      <c r="AG194">
        <f>MAX(0,AC194-MAX(0,SUMPRODUCT(($C$2:$N$2=AA194)*(AH194:AS194-$C$7:$N$7))))</f>
        <v/>
      </c>
      <c r="AH194">
        <f>IF(C193&lt;=0,0,ROUND(C193*(1+IF(AND(C$6&gt;0,$B194&lt;C$6),C$4,C$5)/12),2))</f>
        <v/>
      </c>
      <c r="AI194">
        <f>IF(D193&lt;=0,0,ROUND(D193*(1+IF(AND(D$6&gt;0,$B194&lt;D$6),D$4,D$5)/12),2))</f>
        <v/>
      </c>
      <c r="AJ194">
        <f>IF(E193&lt;=0,0,ROUND(E193*(1+IF(AND(E$6&gt;0,$B194&lt;E$6),E$4,E$5)/12),2))</f>
        <v/>
      </c>
      <c r="AK194">
        <f>IF(F193&lt;=0,0,ROUND(F193*(1+IF(AND(F$6&gt;0,$B194&lt;F$6),F$4,F$5)/12),2))</f>
        <v/>
      </c>
      <c r="AL194">
        <f>IF(G193&lt;=0,0,ROUND(G193*(1+IF(AND(G$6&gt;0,$B194&lt;G$6),G$4,G$5)/12),2))</f>
        <v/>
      </c>
      <c r="AM194">
        <f>IF(H193&lt;=0,0,ROUND(H193*(1+IF(AND(H$6&gt;0,$B194&lt;H$6),H$4,H$5)/12),2))</f>
        <v/>
      </c>
      <c r="AN194">
        <f>IF(I193&lt;=0,0,ROUND(I193*(1+IF(AND(I$6&gt;0,$B194&lt;I$6),I$4,I$5)/12),2))</f>
        <v/>
      </c>
      <c r="AO194">
        <f>IF(J193&lt;=0,0,ROUND(J193*(1+IF(AND(J$6&gt;0,$B194&lt;J$6),J$4,J$5)/12),2))</f>
        <v/>
      </c>
      <c r="AP194">
        <f>IF(K193&lt;=0,0,ROUND(K193*(1+IF(AND(K$6&gt;0,$B194&lt;K$6),K$4,K$5)/12),2))</f>
        <v/>
      </c>
      <c r="AQ194">
        <f>IF(L193&lt;=0,0,ROUND(L193*(1+IF(AND(L$6&gt;0,$B194&lt;L$6),L$4,L$5)/12),2))</f>
        <v/>
      </c>
      <c r="AR194">
        <f>IF(M193&lt;=0,0,ROUND(M193*(1+IF(AND(M$6&gt;0,$B194&lt;M$6),M$4,M$5)/12),2))</f>
        <v/>
      </c>
      <c r="AS194">
        <f>IF(N193&lt;=0,0,ROUND(N193*(1+IF(AND(N$6&gt;0,$B194&lt;N$6),N$4,N$5)/12),2))</f>
        <v/>
      </c>
    </row>
    <row r="195">
      <c r="A195" t="n">
        <v>184</v>
      </c>
      <c r="B195">
        <f>EDATE(Plan!$C$6,183)</f>
        <v/>
      </c>
      <c r="C195">
        <f>IF(C194&lt;=0,0,MAX(0,AH195-O195))</f>
        <v/>
      </c>
      <c r="D195">
        <f>IF(D194&lt;=0,0,MAX(0,AI195-P195))</f>
        <v/>
      </c>
      <c r="E195">
        <f>IF(E194&lt;=0,0,MAX(0,AJ195-Q195))</f>
        <v/>
      </c>
      <c r="F195">
        <f>IF(F194&lt;=0,0,MAX(0,AK195-R195))</f>
        <v/>
      </c>
      <c r="G195">
        <f>IF(G194&lt;=0,0,MAX(0,AL195-S195))</f>
        <v/>
      </c>
      <c r="H195">
        <f>IF(H194&lt;=0,0,MAX(0,AM195-T195))</f>
        <v/>
      </c>
      <c r="I195">
        <f>IF(I194&lt;=0,0,MAX(0,AN195-U195))</f>
        <v/>
      </c>
      <c r="J195">
        <f>IF(J194&lt;=0,0,MAX(0,AO195-V195))</f>
        <v/>
      </c>
      <c r="K195">
        <f>IF(K194&lt;=0,0,MAX(0,AP195-W195))</f>
        <v/>
      </c>
      <c r="L195">
        <f>IF(L194&lt;=0,0,MAX(0,AQ195-X195))</f>
        <v/>
      </c>
      <c r="M195">
        <f>IF(M194&lt;=0,0,MAX(0,AR195-Y195))</f>
        <v/>
      </c>
      <c r="N195">
        <f>IF(N194&lt;=0,0,MAX(0,AS195-Z195))</f>
        <v/>
      </c>
      <c r="O195">
        <f>IF(C194&lt;=0,0,MIN(AH195,C$7+IF(C$2=$AA195,$AC195,IF(C$2=$AF195,$AG195,0))))</f>
        <v/>
      </c>
      <c r="P195">
        <f>IF(D194&lt;=0,0,MIN(AI195,D$7+IF(D$2=$AA195,$AC195,IF(D$2=$AF195,$AG195,0))))</f>
        <v/>
      </c>
      <c r="Q195">
        <f>IF(E194&lt;=0,0,MIN(AJ195,E$7+IF(E$2=$AA195,$AC195,IF(E$2=$AF195,$AG195,0))))</f>
        <v/>
      </c>
      <c r="R195">
        <f>IF(F194&lt;=0,0,MIN(AK195,F$7+IF(F$2=$AA195,$AC195,IF(F$2=$AF195,$AG195,0))))</f>
        <v/>
      </c>
      <c r="S195">
        <f>IF(G194&lt;=0,0,MIN(AL195,G$7+IF(G$2=$AA195,$AC195,IF(G$2=$AF195,$AG195,0))))</f>
        <v/>
      </c>
      <c r="T195">
        <f>IF(H194&lt;=0,0,MIN(AM195,H$7+IF(H$2=$AA195,$AC195,IF(H$2=$AF195,$AG195,0))))</f>
        <v/>
      </c>
      <c r="U195">
        <f>IF(I194&lt;=0,0,MIN(AN195,I$7+IF(I$2=$AA195,$AC195,IF(I$2=$AF195,$AG195,0))))</f>
        <v/>
      </c>
      <c r="V195">
        <f>IF(J194&lt;=0,0,MIN(AO195,J$7+IF(J$2=$AA195,$AC195,IF(J$2=$AF195,$AG195,0))))</f>
        <v/>
      </c>
      <c r="W195">
        <f>IF(K194&lt;=0,0,MIN(AP195,K$7+IF(K$2=$AA195,$AC195,IF(K$2=$AF195,$AG195,0))))</f>
        <v/>
      </c>
      <c r="X195">
        <f>IF(L194&lt;=0,0,MIN(AQ195,L$7+IF(L$2=$AA195,$AC195,IF(L$2=$AF195,$AG195,0))))</f>
        <v/>
      </c>
      <c r="Y195">
        <f>IF(M194&lt;=0,0,MIN(AR195,M$7+IF(M$2=$AA195,$AC195,IF(M$2=$AF195,$AG195,0))))</f>
        <v/>
      </c>
      <c r="Z195">
        <f>IF(N194&lt;=0,0,MIN(AS195,N$7+IF(N$2=$AA195,$AC195,IF(N$2=$AF195,$AG195,0))))</f>
        <v/>
      </c>
      <c r="AA195">
        <f>IFERROR(ROUND(1/SUMPRODUCT(MAX((C194:N194&gt;0)*($C$3:$N$3&lt;=B195)/$C$2:$N$2)),0),0)</f>
        <v/>
      </c>
      <c r="AB195">
        <f>SUMPRODUCT((C194:N194&gt;0)*$C$7:$N$7)</f>
        <v/>
      </c>
      <c r="AC195">
        <f>MAX(0,Plan!$C$5-AB195)+IF(A195=Plan!$C$8,N(Plan!$C$7),0)</f>
        <v/>
      </c>
      <c r="AD195">
        <f>SUM(C195:N195)</f>
        <v/>
      </c>
      <c r="AE195">
        <f>SUM(O195:Z195)</f>
        <v/>
      </c>
      <c r="AF195">
        <f>IFERROR(ROUND(1/SUMPRODUCT(MAX((C194:N194&gt;0)*($C$3:$N$3&lt;=B195)*($C$2:$N$2&gt;AA195)/$C$2:$N$2)),0),0)</f>
        <v/>
      </c>
      <c r="AG195">
        <f>MAX(0,AC195-MAX(0,SUMPRODUCT(($C$2:$N$2=AA195)*(AH195:AS195-$C$7:$N$7))))</f>
        <v/>
      </c>
      <c r="AH195">
        <f>IF(C194&lt;=0,0,ROUND(C194*(1+IF(AND(C$6&gt;0,$B195&lt;C$6),C$4,C$5)/12),2))</f>
        <v/>
      </c>
      <c r="AI195">
        <f>IF(D194&lt;=0,0,ROUND(D194*(1+IF(AND(D$6&gt;0,$B195&lt;D$6),D$4,D$5)/12),2))</f>
        <v/>
      </c>
      <c r="AJ195">
        <f>IF(E194&lt;=0,0,ROUND(E194*(1+IF(AND(E$6&gt;0,$B195&lt;E$6),E$4,E$5)/12),2))</f>
        <v/>
      </c>
      <c r="AK195">
        <f>IF(F194&lt;=0,0,ROUND(F194*(1+IF(AND(F$6&gt;0,$B195&lt;F$6),F$4,F$5)/12),2))</f>
        <v/>
      </c>
      <c r="AL195">
        <f>IF(G194&lt;=0,0,ROUND(G194*(1+IF(AND(G$6&gt;0,$B195&lt;G$6),G$4,G$5)/12),2))</f>
        <v/>
      </c>
      <c r="AM195">
        <f>IF(H194&lt;=0,0,ROUND(H194*(1+IF(AND(H$6&gt;0,$B195&lt;H$6),H$4,H$5)/12),2))</f>
        <v/>
      </c>
      <c r="AN195">
        <f>IF(I194&lt;=0,0,ROUND(I194*(1+IF(AND(I$6&gt;0,$B195&lt;I$6),I$4,I$5)/12),2))</f>
        <v/>
      </c>
      <c r="AO195">
        <f>IF(J194&lt;=0,0,ROUND(J194*(1+IF(AND(J$6&gt;0,$B195&lt;J$6),J$4,J$5)/12),2))</f>
        <v/>
      </c>
      <c r="AP195">
        <f>IF(K194&lt;=0,0,ROUND(K194*(1+IF(AND(K$6&gt;0,$B195&lt;K$6),K$4,K$5)/12),2))</f>
        <v/>
      </c>
      <c r="AQ195">
        <f>IF(L194&lt;=0,0,ROUND(L194*(1+IF(AND(L$6&gt;0,$B195&lt;L$6),L$4,L$5)/12),2))</f>
        <v/>
      </c>
      <c r="AR195">
        <f>IF(M194&lt;=0,0,ROUND(M194*(1+IF(AND(M$6&gt;0,$B195&lt;M$6),M$4,M$5)/12),2))</f>
        <v/>
      </c>
      <c r="AS195">
        <f>IF(N194&lt;=0,0,ROUND(N194*(1+IF(AND(N$6&gt;0,$B195&lt;N$6),N$4,N$5)/12),2))</f>
        <v/>
      </c>
    </row>
    <row r="196">
      <c r="A196" t="n">
        <v>185</v>
      </c>
      <c r="B196">
        <f>EDATE(Plan!$C$6,184)</f>
        <v/>
      </c>
      <c r="C196">
        <f>IF(C195&lt;=0,0,MAX(0,AH196-O196))</f>
        <v/>
      </c>
      <c r="D196">
        <f>IF(D195&lt;=0,0,MAX(0,AI196-P196))</f>
        <v/>
      </c>
      <c r="E196">
        <f>IF(E195&lt;=0,0,MAX(0,AJ196-Q196))</f>
        <v/>
      </c>
      <c r="F196">
        <f>IF(F195&lt;=0,0,MAX(0,AK196-R196))</f>
        <v/>
      </c>
      <c r="G196">
        <f>IF(G195&lt;=0,0,MAX(0,AL196-S196))</f>
        <v/>
      </c>
      <c r="H196">
        <f>IF(H195&lt;=0,0,MAX(0,AM196-T196))</f>
        <v/>
      </c>
      <c r="I196">
        <f>IF(I195&lt;=0,0,MAX(0,AN196-U196))</f>
        <v/>
      </c>
      <c r="J196">
        <f>IF(J195&lt;=0,0,MAX(0,AO196-V196))</f>
        <v/>
      </c>
      <c r="K196">
        <f>IF(K195&lt;=0,0,MAX(0,AP196-W196))</f>
        <v/>
      </c>
      <c r="L196">
        <f>IF(L195&lt;=0,0,MAX(0,AQ196-X196))</f>
        <v/>
      </c>
      <c r="M196">
        <f>IF(M195&lt;=0,0,MAX(0,AR196-Y196))</f>
        <v/>
      </c>
      <c r="N196">
        <f>IF(N195&lt;=0,0,MAX(0,AS196-Z196))</f>
        <v/>
      </c>
      <c r="O196">
        <f>IF(C195&lt;=0,0,MIN(AH196,C$7+IF(C$2=$AA196,$AC196,IF(C$2=$AF196,$AG196,0))))</f>
        <v/>
      </c>
      <c r="P196">
        <f>IF(D195&lt;=0,0,MIN(AI196,D$7+IF(D$2=$AA196,$AC196,IF(D$2=$AF196,$AG196,0))))</f>
        <v/>
      </c>
      <c r="Q196">
        <f>IF(E195&lt;=0,0,MIN(AJ196,E$7+IF(E$2=$AA196,$AC196,IF(E$2=$AF196,$AG196,0))))</f>
        <v/>
      </c>
      <c r="R196">
        <f>IF(F195&lt;=0,0,MIN(AK196,F$7+IF(F$2=$AA196,$AC196,IF(F$2=$AF196,$AG196,0))))</f>
        <v/>
      </c>
      <c r="S196">
        <f>IF(G195&lt;=0,0,MIN(AL196,G$7+IF(G$2=$AA196,$AC196,IF(G$2=$AF196,$AG196,0))))</f>
        <v/>
      </c>
      <c r="T196">
        <f>IF(H195&lt;=0,0,MIN(AM196,H$7+IF(H$2=$AA196,$AC196,IF(H$2=$AF196,$AG196,0))))</f>
        <v/>
      </c>
      <c r="U196">
        <f>IF(I195&lt;=0,0,MIN(AN196,I$7+IF(I$2=$AA196,$AC196,IF(I$2=$AF196,$AG196,0))))</f>
        <v/>
      </c>
      <c r="V196">
        <f>IF(J195&lt;=0,0,MIN(AO196,J$7+IF(J$2=$AA196,$AC196,IF(J$2=$AF196,$AG196,0))))</f>
        <v/>
      </c>
      <c r="W196">
        <f>IF(K195&lt;=0,0,MIN(AP196,K$7+IF(K$2=$AA196,$AC196,IF(K$2=$AF196,$AG196,0))))</f>
        <v/>
      </c>
      <c r="X196">
        <f>IF(L195&lt;=0,0,MIN(AQ196,L$7+IF(L$2=$AA196,$AC196,IF(L$2=$AF196,$AG196,0))))</f>
        <v/>
      </c>
      <c r="Y196">
        <f>IF(M195&lt;=0,0,MIN(AR196,M$7+IF(M$2=$AA196,$AC196,IF(M$2=$AF196,$AG196,0))))</f>
        <v/>
      </c>
      <c r="Z196">
        <f>IF(N195&lt;=0,0,MIN(AS196,N$7+IF(N$2=$AA196,$AC196,IF(N$2=$AF196,$AG196,0))))</f>
        <v/>
      </c>
      <c r="AA196">
        <f>IFERROR(ROUND(1/SUMPRODUCT(MAX((C195:N195&gt;0)*($C$3:$N$3&lt;=B196)/$C$2:$N$2)),0),0)</f>
        <v/>
      </c>
      <c r="AB196">
        <f>SUMPRODUCT((C195:N195&gt;0)*$C$7:$N$7)</f>
        <v/>
      </c>
      <c r="AC196">
        <f>MAX(0,Plan!$C$5-AB196)+IF(A196=Plan!$C$8,N(Plan!$C$7),0)</f>
        <v/>
      </c>
      <c r="AD196">
        <f>SUM(C196:N196)</f>
        <v/>
      </c>
      <c r="AE196">
        <f>SUM(O196:Z196)</f>
        <v/>
      </c>
      <c r="AF196">
        <f>IFERROR(ROUND(1/SUMPRODUCT(MAX((C195:N195&gt;0)*($C$3:$N$3&lt;=B196)*($C$2:$N$2&gt;AA196)/$C$2:$N$2)),0),0)</f>
        <v/>
      </c>
      <c r="AG196">
        <f>MAX(0,AC196-MAX(0,SUMPRODUCT(($C$2:$N$2=AA196)*(AH196:AS196-$C$7:$N$7))))</f>
        <v/>
      </c>
      <c r="AH196">
        <f>IF(C195&lt;=0,0,ROUND(C195*(1+IF(AND(C$6&gt;0,$B196&lt;C$6),C$4,C$5)/12),2))</f>
        <v/>
      </c>
      <c r="AI196">
        <f>IF(D195&lt;=0,0,ROUND(D195*(1+IF(AND(D$6&gt;0,$B196&lt;D$6),D$4,D$5)/12),2))</f>
        <v/>
      </c>
      <c r="AJ196">
        <f>IF(E195&lt;=0,0,ROUND(E195*(1+IF(AND(E$6&gt;0,$B196&lt;E$6),E$4,E$5)/12),2))</f>
        <v/>
      </c>
      <c r="AK196">
        <f>IF(F195&lt;=0,0,ROUND(F195*(1+IF(AND(F$6&gt;0,$B196&lt;F$6),F$4,F$5)/12),2))</f>
        <v/>
      </c>
      <c r="AL196">
        <f>IF(G195&lt;=0,0,ROUND(G195*(1+IF(AND(G$6&gt;0,$B196&lt;G$6),G$4,G$5)/12),2))</f>
        <v/>
      </c>
      <c r="AM196">
        <f>IF(H195&lt;=0,0,ROUND(H195*(1+IF(AND(H$6&gt;0,$B196&lt;H$6),H$4,H$5)/12),2))</f>
        <v/>
      </c>
      <c r="AN196">
        <f>IF(I195&lt;=0,0,ROUND(I195*(1+IF(AND(I$6&gt;0,$B196&lt;I$6),I$4,I$5)/12),2))</f>
        <v/>
      </c>
      <c r="AO196">
        <f>IF(J195&lt;=0,0,ROUND(J195*(1+IF(AND(J$6&gt;0,$B196&lt;J$6),J$4,J$5)/12),2))</f>
        <v/>
      </c>
      <c r="AP196">
        <f>IF(K195&lt;=0,0,ROUND(K195*(1+IF(AND(K$6&gt;0,$B196&lt;K$6),K$4,K$5)/12),2))</f>
        <v/>
      </c>
      <c r="AQ196">
        <f>IF(L195&lt;=0,0,ROUND(L195*(1+IF(AND(L$6&gt;0,$B196&lt;L$6),L$4,L$5)/12),2))</f>
        <v/>
      </c>
      <c r="AR196">
        <f>IF(M195&lt;=0,0,ROUND(M195*(1+IF(AND(M$6&gt;0,$B196&lt;M$6),M$4,M$5)/12),2))</f>
        <v/>
      </c>
      <c r="AS196">
        <f>IF(N195&lt;=0,0,ROUND(N195*(1+IF(AND(N$6&gt;0,$B196&lt;N$6),N$4,N$5)/12),2))</f>
        <v/>
      </c>
    </row>
    <row r="197">
      <c r="A197" t="n">
        <v>186</v>
      </c>
      <c r="B197">
        <f>EDATE(Plan!$C$6,185)</f>
        <v/>
      </c>
      <c r="C197">
        <f>IF(C196&lt;=0,0,MAX(0,AH197-O197))</f>
        <v/>
      </c>
      <c r="D197">
        <f>IF(D196&lt;=0,0,MAX(0,AI197-P197))</f>
        <v/>
      </c>
      <c r="E197">
        <f>IF(E196&lt;=0,0,MAX(0,AJ197-Q197))</f>
        <v/>
      </c>
      <c r="F197">
        <f>IF(F196&lt;=0,0,MAX(0,AK197-R197))</f>
        <v/>
      </c>
      <c r="G197">
        <f>IF(G196&lt;=0,0,MAX(0,AL197-S197))</f>
        <v/>
      </c>
      <c r="H197">
        <f>IF(H196&lt;=0,0,MAX(0,AM197-T197))</f>
        <v/>
      </c>
      <c r="I197">
        <f>IF(I196&lt;=0,0,MAX(0,AN197-U197))</f>
        <v/>
      </c>
      <c r="J197">
        <f>IF(J196&lt;=0,0,MAX(0,AO197-V197))</f>
        <v/>
      </c>
      <c r="K197">
        <f>IF(K196&lt;=0,0,MAX(0,AP197-W197))</f>
        <v/>
      </c>
      <c r="L197">
        <f>IF(L196&lt;=0,0,MAX(0,AQ197-X197))</f>
        <v/>
      </c>
      <c r="M197">
        <f>IF(M196&lt;=0,0,MAX(0,AR197-Y197))</f>
        <v/>
      </c>
      <c r="N197">
        <f>IF(N196&lt;=0,0,MAX(0,AS197-Z197))</f>
        <v/>
      </c>
      <c r="O197">
        <f>IF(C196&lt;=0,0,MIN(AH197,C$7+IF(C$2=$AA197,$AC197,IF(C$2=$AF197,$AG197,0))))</f>
        <v/>
      </c>
      <c r="P197">
        <f>IF(D196&lt;=0,0,MIN(AI197,D$7+IF(D$2=$AA197,$AC197,IF(D$2=$AF197,$AG197,0))))</f>
        <v/>
      </c>
      <c r="Q197">
        <f>IF(E196&lt;=0,0,MIN(AJ197,E$7+IF(E$2=$AA197,$AC197,IF(E$2=$AF197,$AG197,0))))</f>
        <v/>
      </c>
      <c r="R197">
        <f>IF(F196&lt;=0,0,MIN(AK197,F$7+IF(F$2=$AA197,$AC197,IF(F$2=$AF197,$AG197,0))))</f>
        <v/>
      </c>
      <c r="S197">
        <f>IF(G196&lt;=0,0,MIN(AL197,G$7+IF(G$2=$AA197,$AC197,IF(G$2=$AF197,$AG197,0))))</f>
        <v/>
      </c>
      <c r="T197">
        <f>IF(H196&lt;=0,0,MIN(AM197,H$7+IF(H$2=$AA197,$AC197,IF(H$2=$AF197,$AG197,0))))</f>
        <v/>
      </c>
      <c r="U197">
        <f>IF(I196&lt;=0,0,MIN(AN197,I$7+IF(I$2=$AA197,$AC197,IF(I$2=$AF197,$AG197,0))))</f>
        <v/>
      </c>
      <c r="V197">
        <f>IF(J196&lt;=0,0,MIN(AO197,J$7+IF(J$2=$AA197,$AC197,IF(J$2=$AF197,$AG197,0))))</f>
        <v/>
      </c>
      <c r="W197">
        <f>IF(K196&lt;=0,0,MIN(AP197,K$7+IF(K$2=$AA197,$AC197,IF(K$2=$AF197,$AG197,0))))</f>
        <v/>
      </c>
      <c r="X197">
        <f>IF(L196&lt;=0,0,MIN(AQ197,L$7+IF(L$2=$AA197,$AC197,IF(L$2=$AF197,$AG197,0))))</f>
        <v/>
      </c>
      <c r="Y197">
        <f>IF(M196&lt;=0,0,MIN(AR197,M$7+IF(M$2=$AA197,$AC197,IF(M$2=$AF197,$AG197,0))))</f>
        <v/>
      </c>
      <c r="Z197">
        <f>IF(N196&lt;=0,0,MIN(AS197,N$7+IF(N$2=$AA197,$AC197,IF(N$2=$AF197,$AG197,0))))</f>
        <v/>
      </c>
      <c r="AA197">
        <f>IFERROR(ROUND(1/SUMPRODUCT(MAX((C196:N196&gt;0)*($C$3:$N$3&lt;=B197)/$C$2:$N$2)),0),0)</f>
        <v/>
      </c>
      <c r="AB197">
        <f>SUMPRODUCT((C196:N196&gt;0)*$C$7:$N$7)</f>
        <v/>
      </c>
      <c r="AC197">
        <f>MAX(0,Plan!$C$5-AB197)+IF(A197=Plan!$C$8,N(Plan!$C$7),0)</f>
        <v/>
      </c>
      <c r="AD197">
        <f>SUM(C197:N197)</f>
        <v/>
      </c>
      <c r="AE197">
        <f>SUM(O197:Z197)</f>
        <v/>
      </c>
      <c r="AF197">
        <f>IFERROR(ROUND(1/SUMPRODUCT(MAX((C196:N196&gt;0)*($C$3:$N$3&lt;=B197)*($C$2:$N$2&gt;AA197)/$C$2:$N$2)),0),0)</f>
        <v/>
      </c>
      <c r="AG197">
        <f>MAX(0,AC197-MAX(0,SUMPRODUCT(($C$2:$N$2=AA197)*(AH197:AS197-$C$7:$N$7))))</f>
        <v/>
      </c>
      <c r="AH197">
        <f>IF(C196&lt;=0,0,ROUND(C196*(1+IF(AND(C$6&gt;0,$B197&lt;C$6),C$4,C$5)/12),2))</f>
        <v/>
      </c>
      <c r="AI197">
        <f>IF(D196&lt;=0,0,ROUND(D196*(1+IF(AND(D$6&gt;0,$B197&lt;D$6),D$4,D$5)/12),2))</f>
        <v/>
      </c>
      <c r="AJ197">
        <f>IF(E196&lt;=0,0,ROUND(E196*(1+IF(AND(E$6&gt;0,$B197&lt;E$6),E$4,E$5)/12),2))</f>
        <v/>
      </c>
      <c r="AK197">
        <f>IF(F196&lt;=0,0,ROUND(F196*(1+IF(AND(F$6&gt;0,$B197&lt;F$6),F$4,F$5)/12),2))</f>
        <v/>
      </c>
      <c r="AL197">
        <f>IF(G196&lt;=0,0,ROUND(G196*(1+IF(AND(G$6&gt;0,$B197&lt;G$6),G$4,G$5)/12),2))</f>
        <v/>
      </c>
      <c r="AM197">
        <f>IF(H196&lt;=0,0,ROUND(H196*(1+IF(AND(H$6&gt;0,$B197&lt;H$6),H$4,H$5)/12),2))</f>
        <v/>
      </c>
      <c r="AN197">
        <f>IF(I196&lt;=0,0,ROUND(I196*(1+IF(AND(I$6&gt;0,$B197&lt;I$6),I$4,I$5)/12),2))</f>
        <v/>
      </c>
      <c r="AO197">
        <f>IF(J196&lt;=0,0,ROUND(J196*(1+IF(AND(J$6&gt;0,$B197&lt;J$6),J$4,J$5)/12),2))</f>
        <v/>
      </c>
      <c r="AP197">
        <f>IF(K196&lt;=0,0,ROUND(K196*(1+IF(AND(K$6&gt;0,$B197&lt;K$6),K$4,K$5)/12),2))</f>
        <v/>
      </c>
      <c r="AQ197">
        <f>IF(L196&lt;=0,0,ROUND(L196*(1+IF(AND(L$6&gt;0,$B197&lt;L$6),L$4,L$5)/12),2))</f>
        <v/>
      </c>
      <c r="AR197">
        <f>IF(M196&lt;=0,0,ROUND(M196*(1+IF(AND(M$6&gt;0,$B197&lt;M$6),M$4,M$5)/12),2))</f>
        <v/>
      </c>
      <c r="AS197">
        <f>IF(N196&lt;=0,0,ROUND(N196*(1+IF(AND(N$6&gt;0,$B197&lt;N$6),N$4,N$5)/12),2))</f>
        <v/>
      </c>
    </row>
    <row r="198">
      <c r="A198" t="n">
        <v>187</v>
      </c>
      <c r="B198">
        <f>EDATE(Plan!$C$6,186)</f>
        <v/>
      </c>
      <c r="C198">
        <f>IF(C197&lt;=0,0,MAX(0,AH198-O198))</f>
        <v/>
      </c>
      <c r="D198">
        <f>IF(D197&lt;=0,0,MAX(0,AI198-P198))</f>
        <v/>
      </c>
      <c r="E198">
        <f>IF(E197&lt;=0,0,MAX(0,AJ198-Q198))</f>
        <v/>
      </c>
      <c r="F198">
        <f>IF(F197&lt;=0,0,MAX(0,AK198-R198))</f>
        <v/>
      </c>
      <c r="G198">
        <f>IF(G197&lt;=0,0,MAX(0,AL198-S198))</f>
        <v/>
      </c>
      <c r="H198">
        <f>IF(H197&lt;=0,0,MAX(0,AM198-T198))</f>
        <v/>
      </c>
      <c r="I198">
        <f>IF(I197&lt;=0,0,MAX(0,AN198-U198))</f>
        <v/>
      </c>
      <c r="J198">
        <f>IF(J197&lt;=0,0,MAX(0,AO198-V198))</f>
        <v/>
      </c>
      <c r="K198">
        <f>IF(K197&lt;=0,0,MAX(0,AP198-W198))</f>
        <v/>
      </c>
      <c r="L198">
        <f>IF(L197&lt;=0,0,MAX(0,AQ198-X198))</f>
        <v/>
      </c>
      <c r="M198">
        <f>IF(M197&lt;=0,0,MAX(0,AR198-Y198))</f>
        <v/>
      </c>
      <c r="N198">
        <f>IF(N197&lt;=0,0,MAX(0,AS198-Z198))</f>
        <v/>
      </c>
      <c r="O198">
        <f>IF(C197&lt;=0,0,MIN(AH198,C$7+IF(C$2=$AA198,$AC198,IF(C$2=$AF198,$AG198,0))))</f>
        <v/>
      </c>
      <c r="P198">
        <f>IF(D197&lt;=0,0,MIN(AI198,D$7+IF(D$2=$AA198,$AC198,IF(D$2=$AF198,$AG198,0))))</f>
        <v/>
      </c>
      <c r="Q198">
        <f>IF(E197&lt;=0,0,MIN(AJ198,E$7+IF(E$2=$AA198,$AC198,IF(E$2=$AF198,$AG198,0))))</f>
        <v/>
      </c>
      <c r="R198">
        <f>IF(F197&lt;=0,0,MIN(AK198,F$7+IF(F$2=$AA198,$AC198,IF(F$2=$AF198,$AG198,0))))</f>
        <v/>
      </c>
      <c r="S198">
        <f>IF(G197&lt;=0,0,MIN(AL198,G$7+IF(G$2=$AA198,$AC198,IF(G$2=$AF198,$AG198,0))))</f>
        <v/>
      </c>
      <c r="T198">
        <f>IF(H197&lt;=0,0,MIN(AM198,H$7+IF(H$2=$AA198,$AC198,IF(H$2=$AF198,$AG198,0))))</f>
        <v/>
      </c>
      <c r="U198">
        <f>IF(I197&lt;=0,0,MIN(AN198,I$7+IF(I$2=$AA198,$AC198,IF(I$2=$AF198,$AG198,0))))</f>
        <v/>
      </c>
      <c r="V198">
        <f>IF(J197&lt;=0,0,MIN(AO198,J$7+IF(J$2=$AA198,$AC198,IF(J$2=$AF198,$AG198,0))))</f>
        <v/>
      </c>
      <c r="W198">
        <f>IF(K197&lt;=0,0,MIN(AP198,K$7+IF(K$2=$AA198,$AC198,IF(K$2=$AF198,$AG198,0))))</f>
        <v/>
      </c>
      <c r="X198">
        <f>IF(L197&lt;=0,0,MIN(AQ198,L$7+IF(L$2=$AA198,$AC198,IF(L$2=$AF198,$AG198,0))))</f>
        <v/>
      </c>
      <c r="Y198">
        <f>IF(M197&lt;=0,0,MIN(AR198,M$7+IF(M$2=$AA198,$AC198,IF(M$2=$AF198,$AG198,0))))</f>
        <v/>
      </c>
      <c r="Z198">
        <f>IF(N197&lt;=0,0,MIN(AS198,N$7+IF(N$2=$AA198,$AC198,IF(N$2=$AF198,$AG198,0))))</f>
        <v/>
      </c>
      <c r="AA198">
        <f>IFERROR(ROUND(1/SUMPRODUCT(MAX((C197:N197&gt;0)*($C$3:$N$3&lt;=B198)/$C$2:$N$2)),0),0)</f>
        <v/>
      </c>
      <c r="AB198">
        <f>SUMPRODUCT((C197:N197&gt;0)*$C$7:$N$7)</f>
        <v/>
      </c>
      <c r="AC198">
        <f>MAX(0,Plan!$C$5-AB198)+IF(A198=Plan!$C$8,N(Plan!$C$7),0)</f>
        <v/>
      </c>
      <c r="AD198">
        <f>SUM(C198:N198)</f>
        <v/>
      </c>
      <c r="AE198">
        <f>SUM(O198:Z198)</f>
        <v/>
      </c>
      <c r="AF198">
        <f>IFERROR(ROUND(1/SUMPRODUCT(MAX((C197:N197&gt;0)*($C$3:$N$3&lt;=B198)*($C$2:$N$2&gt;AA198)/$C$2:$N$2)),0),0)</f>
        <v/>
      </c>
      <c r="AG198">
        <f>MAX(0,AC198-MAX(0,SUMPRODUCT(($C$2:$N$2=AA198)*(AH198:AS198-$C$7:$N$7))))</f>
        <v/>
      </c>
      <c r="AH198">
        <f>IF(C197&lt;=0,0,ROUND(C197*(1+IF(AND(C$6&gt;0,$B198&lt;C$6),C$4,C$5)/12),2))</f>
        <v/>
      </c>
      <c r="AI198">
        <f>IF(D197&lt;=0,0,ROUND(D197*(1+IF(AND(D$6&gt;0,$B198&lt;D$6),D$4,D$5)/12),2))</f>
        <v/>
      </c>
      <c r="AJ198">
        <f>IF(E197&lt;=0,0,ROUND(E197*(1+IF(AND(E$6&gt;0,$B198&lt;E$6),E$4,E$5)/12),2))</f>
        <v/>
      </c>
      <c r="AK198">
        <f>IF(F197&lt;=0,0,ROUND(F197*(1+IF(AND(F$6&gt;0,$B198&lt;F$6),F$4,F$5)/12),2))</f>
        <v/>
      </c>
      <c r="AL198">
        <f>IF(G197&lt;=0,0,ROUND(G197*(1+IF(AND(G$6&gt;0,$B198&lt;G$6),G$4,G$5)/12),2))</f>
        <v/>
      </c>
      <c r="AM198">
        <f>IF(H197&lt;=0,0,ROUND(H197*(1+IF(AND(H$6&gt;0,$B198&lt;H$6),H$4,H$5)/12),2))</f>
        <v/>
      </c>
      <c r="AN198">
        <f>IF(I197&lt;=0,0,ROUND(I197*(1+IF(AND(I$6&gt;0,$B198&lt;I$6),I$4,I$5)/12),2))</f>
        <v/>
      </c>
      <c r="AO198">
        <f>IF(J197&lt;=0,0,ROUND(J197*(1+IF(AND(J$6&gt;0,$B198&lt;J$6),J$4,J$5)/12),2))</f>
        <v/>
      </c>
      <c r="AP198">
        <f>IF(K197&lt;=0,0,ROUND(K197*(1+IF(AND(K$6&gt;0,$B198&lt;K$6),K$4,K$5)/12),2))</f>
        <v/>
      </c>
      <c r="AQ198">
        <f>IF(L197&lt;=0,0,ROUND(L197*(1+IF(AND(L$6&gt;0,$B198&lt;L$6),L$4,L$5)/12),2))</f>
        <v/>
      </c>
      <c r="AR198">
        <f>IF(M197&lt;=0,0,ROUND(M197*(1+IF(AND(M$6&gt;0,$B198&lt;M$6),M$4,M$5)/12),2))</f>
        <v/>
      </c>
      <c r="AS198">
        <f>IF(N197&lt;=0,0,ROUND(N197*(1+IF(AND(N$6&gt;0,$B198&lt;N$6),N$4,N$5)/12),2))</f>
        <v/>
      </c>
    </row>
    <row r="199">
      <c r="A199" t="n">
        <v>188</v>
      </c>
      <c r="B199">
        <f>EDATE(Plan!$C$6,187)</f>
        <v/>
      </c>
      <c r="C199">
        <f>IF(C198&lt;=0,0,MAX(0,AH199-O199))</f>
        <v/>
      </c>
      <c r="D199">
        <f>IF(D198&lt;=0,0,MAX(0,AI199-P199))</f>
        <v/>
      </c>
      <c r="E199">
        <f>IF(E198&lt;=0,0,MAX(0,AJ199-Q199))</f>
        <v/>
      </c>
      <c r="F199">
        <f>IF(F198&lt;=0,0,MAX(0,AK199-R199))</f>
        <v/>
      </c>
      <c r="G199">
        <f>IF(G198&lt;=0,0,MAX(0,AL199-S199))</f>
        <v/>
      </c>
      <c r="H199">
        <f>IF(H198&lt;=0,0,MAX(0,AM199-T199))</f>
        <v/>
      </c>
      <c r="I199">
        <f>IF(I198&lt;=0,0,MAX(0,AN199-U199))</f>
        <v/>
      </c>
      <c r="J199">
        <f>IF(J198&lt;=0,0,MAX(0,AO199-V199))</f>
        <v/>
      </c>
      <c r="K199">
        <f>IF(K198&lt;=0,0,MAX(0,AP199-W199))</f>
        <v/>
      </c>
      <c r="L199">
        <f>IF(L198&lt;=0,0,MAX(0,AQ199-X199))</f>
        <v/>
      </c>
      <c r="M199">
        <f>IF(M198&lt;=0,0,MAX(0,AR199-Y199))</f>
        <v/>
      </c>
      <c r="N199">
        <f>IF(N198&lt;=0,0,MAX(0,AS199-Z199))</f>
        <v/>
      </c>
      <c r="O199">
        <f>IF(C198&lt;=0,0,MIN(AH199,C$7+IF(C$2=$AA199,$AC199,IF(C$2=$AF199,$AG199,0))))</f>
        <v/>
      </c>
      <c r="P199">
        <f>IF(D198&lt;=0,0,MIN(AI199,D$7+IF(D$2=$AA199,$AC199,IF(D$2=$AF199,$AG199,0))))</f>
        <v/>
      </c>
      <c r="Q199">
        <f>IF(E198&lt;=0,0,MIN(AJ199,E$7+IF(E$2=$AA199,$AC199,IF(E$2=$AF199,$AG199,0))))</f>
        <v/>
      </c>
      <c r="R199">
        <f>IF(F198&lt;=0,0,MIN(AK199,F$7+IF(F$2=$AA199,$AC199,IF(F$2=$AF199,$AG199,0))))</f>
        <v/>
      </c>
      <c r="S199">
        <f>IF(G198&lt;=0,0,MIN(AL199,G$7+IF(G$2=$AA199,$AC199,IF(G$2=$AF199,$AG199,0))))</f>
        <v/>
      </c>
      <c r="T199">
        <f>IF(H198&lt;=0,0,MIN(AM199,H$7+IF(H$2=$AA199,$AC199,IF(H$2=$AF199,$AG199,0))))</f>
        <v/>
      </c>
      <c r="U199">
        <f>IF(I198&lt;=0,0,MIN(AN199,I$7+IF(I$2=$AA199,$AC199,IF(I$2=$AF199,$AG199,0))))</f>
        <v/>
      </c>
      <c r="V199">
        <f>IF(J198&lt;=0,0,MIN(AO199,J$7+IF(J$2=$AA199,$AC199,IF(J$2=$AF199,$AG199,0))))</f>
        <v/>
      </c>
      <c r="W199">
        <f>IF(K198&lt;=0,0,MIN(AP199,K$7+IF(K$2=$AA199,$AC199,IF(K$2=$AF199,$AG199,0))))</f>
        <v/>
      </c>
      <c r="X199">
        <f>IF(L198&lt;=0,0,MIN(AQ199,L$7+IF(L$2=$AA199,$AC199,IF(L$2=$AF199,$AG199,0))))</f>
        <v/>
      </c>
      <c r="Y199">
        <f>IF(M198&lt;=0,0,MIN(AR199,M$7+IF(M$2=$AA199,$AC199,IF(M$2=$AF199,$AG199,0))))</f>
        <v/>
      </c>
      <c r="Z199">
        <f>IF(N198&lt;=0,0,MIN(AS199,N$7+IF(N$2=$AA199,$AC199,IF(N$2=$AF199,$AG199,0))))</f>
        <v/>
      </c>
      <c r="AA199">
        <f>IFERROR(ROUND(1/SUMPRODUCT(MAX((C198:N198&gt;0)*($C$3:$N$3&lt;=B199)/$C$2:$N$2)),0),0)</f>
        <v/>
      </c>
      <c r="AB199">
        <f>SUMPRODUCT((C198:N198&gt;0)*$C$7:$N$7)</f>
        <v/>
      </c>
      <c r="AC199">
        <f>MAX(0,Plan!$C$5-AB199)+IF(A199=Plan!$C$8,N(Plan!$C$7),0)</f>
        <v/>
      </c>
      <c r="AD199">
        <f>SUM(C199:N199)</f>
        <v/>
      </c>
      <c r="AE199">
        <f>SUM(O199:Z199)</f>
        <v/>
      </c>
      <c r="AF199">
        <f>IFERROR(ROUND(1/SUMPRODUCT(MAX((C198:N198&gt;0)*($C$3:$N$3&lt;=B199)*($C$2:$N$2&gt;AA199)/$C$2:$N$2)),0),0)</f>
        <v/>
      </c>
      <c r="AG199">
        <f>MAX(0,AC199-MAX(0,SUMPRODUCT(($C$2:$N$2=AA199)*(AH199:AS199-$C$7:$N$7))))</f>
        <v/>
      </c>
      <c r="AH199">
        <f>IF(C198&lt;=0,0,ROUND(C198*(1+IF(AND(C$6&gt;0,$B199&lt;C$6),C$4,C$5)/12),2))</f>
        <v/>
      </c>
      <c r="AI199">
        <f>IF(D198&lt;=0,0,ROUND(D198*(1+IF(AND(D$6&gt;0,$B199&lt;D$6),D$4,D$5)/12),2))</f>
        <v/>
      </c>
      <c r="AJ199">
        <f>IF(E198&lt;=0,0,ROUND(E198*(1+IF(AND(E$6&gt;0,$B199&lt;E$6),E$4,E$5)/12),2))</f>
        <v/>
      </c>
      <c r="AK199">
        <f>IF(F198&lt;=0,0,ROUND(F198*(1+IF(AND(F$6&gt;0,$B199&lt;F$6),F$4,F$5)/12),2))</f>
        <v/>
      </c>
      <c r="AL199">
        <f>IF(G198&lt;=0,0,ROUND(G198*(1+IF(AND(G$6&gt;0,$B199&lt;G$6),G$4,G$5)/12),2))</f>
        <v/>
      </c>
      <c r="AM199">
        <f>IF(H198&lt;=0,0,ROUND(H198*(1+IF(AND(H$6&gt;0,$B199&lt;H$6),H$4,H$5)/12),2))</f>
        <v/>
      </c>
      <c r="AN199">
        <f>IF(I198&lt;=0,0,ROUND(I198*(1+IF(AND(I$6&gt;0,$B199&lt;I$6),I$4,I$5)/12),2))</f>
        <v/>
      </c>
      <c r="AO199">
        <f>IF(J198&lt;=0,0,ROUND(J198*(1+IF(AND(J$6&gt;0,$B199&lt;J$6),J$4,J$5)/12),2))</f>
        <v/>
      </c>
      <c r="AP199">
        <f>IF(K198&lt;=0,0,ROUND(K198*(1+IF(AND(K$6&gt;0,$B199&lt;K$6),K$4,K$5)/12),2))</f>
        <v/>
      </c>
      <c r="AQ199">
        <f>IF(L198&lt;=0,0,ROUND(L198*(1+IF(AND(L$6&gt;0,$B199&lt;L$6),L$4,L$5)/12),2))</f>
        <v/>
      </c>
      <c r="AR199">
        <f>IF(M198&lt;=0,0,ROUND(M198*(1+IF(AND(M$6&gt;0,$B199&lt;M$6),M$4,M$5)/12),2))</f>
        <v/>
      </c>
      <c r="AS199">
        <f>IF(N198&lt;=0,0,ROUND(N198*(1+IF(AND(N$6&gt;0,$B199&lt;N$6),N$4,N$5)/12),2))</f>
        <v/>
      </c>
    </row>
    <row r="200">
      <c r="A200" t="n">
        <v>189</v>
      </c>
      <c r="B200">
        <f>EDATE(Plan!$C$6,188)</f>
        <v/>
      </c>
      <c r="C200">
        <f>IF(C199&lt;=0,0,MAX(0,AH200-O200))</f>
        <v/>
      </c>
      <c r="D200">
        <f>IF(D199&lt;=0,0,MAX(0,AI200-P200))</f>
        <v/>
      </c>
      <c r="E200">
        <f>IF(E199&lt;=0,0,MAX(0,AJ200-Q200))</f>
        <v/>
      </c>
      <c r="F200">
        <f>IF(F199&lt;=0,0,MAX(0,AK200-R200))</f>
        <v/>
      </c>
      <c r="G200">
        <f>IF(G199&lt;=0,0,MAX(0,AL200-S200))</f>
        <v/>
      </c>
      <c r="H200">
        <f>IF(H199&lt;=0,0,MAX(0,AM200-T200))</f>
        <v/>
      </c>
      <c r="I200">
        <f>IF(I199&lt;=0,0,MAX(0,AN200-U200))</f>
        <v/>
      </c>
      <c r="J200">
        <f>IF(J199&lt;=0,0,MAX(0,AO200-V200))</f>
        <v/>
      </c>
      <c r="K200">
        <f>IF(K199&lt;=0,0,MAX(0,AP200-W200))</f>
        <v/>
      </c>
      <c r="L200">
        <f>IF(L199&lt;=0,0,MAX(0,AQ200-X200))</f>
        <v/>
      </c>
      <c r="M200">
        <f>IF(M199&lt;=0,0,MAX(0,AR200-Y200))</f>
        <v/>
      </c>
      <c r="N200">
        <f>IF(N199&lt;=0,0,MAX(0,AS200-Z200))</f>
        <v/>
      </c>
      <c r="O200">
        <f>IF(C199&lt;=0,0,MIN(AH200,C$7+IF(C$2=$AA200,$AC200,IF(C$2=$AF200,$AG200,0))))</f>
        <v/>
      </c>
      <c r="P200">
        <f>IF(D199&lt;=0,0,MIN(AI200,D$7+IF(D$2=$AA200,$AC200,IF(D$2=$AF200,$AG200,0))))</f>
        <v/>
      </c>
      <c r="Q200">
        <f>IF(E199&lt;=0,0,MIN(AJ200,E$7+IF(E$2=$AA200,$AC200,IF(E$2=$AF200,$AG200,0))))</f>
        <v/>
      </c>
      <c r="R200">
        <f>IF(F199&lt;=0,0,MIN(AK200,F$7+IF(F$2=$AA200,$AC200,IF(F$2=$AF200,$AG200,0))))</f>
        <v/>
      </c>
      <c r="S200">
        <f>IF(G199&lt;=0,0,MIN(AL200,G$7+IF(G$2=$AA200,$AC200,IF(G$2=$AF200,$AG200,0))))</f>
        <v/>
      </c>
      <c r="T200">
        <f>IF(H199&lt;=0,0,MIN(AM200,H$7+IF(H$2=$AA200,$AC200,IF(H$2=$AF200,$AG200,0))))</f>
        <v/>
      </c>
      <c r="U200">
        <f>IF(I199&lt;=0,0,MIN(AN200,I$7+IF(I$2=$AA200,$AC200,IF(I$2=$AF200,$AG200,0))))</f>
        <v/>
      </c>
      <c r="V200">
        <f>IF(J199&lt;=0,0,MIN(AO200,J$7+IF(J$2=$AA200,$AC200,IF(J$2=$AF200,$AG200,0))))</f>
        <v/>
      </c>
      <c r="W200">
        <f>IF(K199&lt;=0,0,MIN(AP200,K$7+IF(K$2=$AA200,$AC200,IF(K$2=$AF200,$AG200,0))))</f>
        <v/>
      </c>
      <c r="X200">
        <f>IF(L199&lt;=0,0,MIN(AQ200,L$7+IF(L$2=$AA200,$AC200,IF(L$2=$AF200,$AG200,0))))</f>
        <v/>
      </c>
      <c r="Y200">
        <f>IF(M199&lt;=0,0,MIN(AR200,M$7+IF(M$2=$AA200,$AC200,IF(M$2=$AF200,$AG200,0))))</f>
        <v/>
      </c>
      <c r="Z200">
        <f>IF(N199&lt;=0,0,MIN(AS200,N$7+IF(N$2=$AA200,$AC200,IF(N$2=$AF200,$AG200,0))))</f>
        <v/>
      </c>
      <c r="AA200">
        <f>IFERROR(ROUND(1/SUMPRODUCT(MAX((C199:N199&gt;0)*($C$3:$N$3&lt;=B200)/$C$2:$N$2)),0),0)</f>
        <v/>
      </c>
      <c r="AB200">
        <f>SUMPRODUCT((C199:N199&gt;0)*$C$7:$N$7)</f>
        <v/>
      </c>
      <c r="AC200">
        <f>MAX(0,Plan!$C$5-AB200)+IF(A200=Plan!$C$8,N(Plan!$C$7),0)</f>
        <v/>
      </c>
      <c r="AD200">
        <f>SUM(C200:N200)</f>
        <v/>
      </c>
      <c r="AE200">
        <f>SUM(O200:Z200)</f>
        <v/>
      </c>
      <c r="AF200">
        <f>IFERROR(ROUND(1/SUMPRODUCT(MAX((C199:N199&gt;0)*($C$3:$N$3&lt;=B200)*($C$2:$N$2&gt;AA200)/$C$2:$N$2)),0),0)</f>
        <v/>
      </c>
      <c r="AG200">
        <f>MAX(0,AC200-MAX(0,SUMPRODUCT(($C$2:$N$2=AA200)*(AH200:AS200-$C$7:$N$7))))</f>
        <v/>
      </c>
      <c r="AH200">
        <f>IF(C199&lt;=0,0,ROUND(C199*(1+IF(AND(C$6&gt;0,$B200&lt;C$6),C$4,C$5)/12),2))</f>
        <v/>
      </c>
      <c r="AI200">
        <f>IF(D199&lt;=0,0,ROUND(D199*(1+IF(AND(D$6&gt;0,$B200&lt;D$6),D$4,D$5)/12),2))</f>
        <v/>
      </c>
      <c r="AJ200">
        <f>IF(E199&lt;=0,0,ROUND(E199*(1+IF(AND(E$6&gt;0,$B200&lt;E$6),E$4,E$5)/12),2))</f>
        <v/>
      </c>
      <c r="AK200">
        <f>IF(F199&lt;=0,0,ROUND(F199*(1+IF(AND(F$6&gt;0,$B200&lt;F$6),F$4,F$5)/12),2))</f>
        <v/>
      </c>
      <c r="AL200">
        <f>IF(G199&lt;=0,0,ROUND(G199*(1+IF(AND(G$6&gt;0,$B200&lt;G$6),G$4,G$5)/12),2))</f>
        <v/>
      </c>
      <c r="AM200">
        <f>IF(H199&lt;=0,0,ROUND(H199*(1+IF(AND(H$6&gt;0,$B200&lt;H$6),H$4,H$5)/12),2))</f>
        <v/>
      </c>
      <c r="AN200">
        <f>IF(I199&lt;=0,0,ROUND(I199*(1+IF(AND(I$6&gt;0,$B200&lt;I$6),I$4,I$5)/12),2))</f>
        <v/>
      </c>
      <c r="AO200">
        <f>IF(J199&lt;=0,0,ROUND(J199*(1+IF(AND(J$6&gt;0,$B200&lt;J$6),J$4,J$5)/12),2))</f>
        <v/>
      </c>
      <c r="AP200">
        <f>IF(K199&lt;=0,0,ROUND(K199*(1+IF(AND(K$6&gt;0,$B200&lt;K$6),K$4,K$5)/12),2))</f>
        <v/>
      </c>
      <c r="AQ200">
        <f>IF(L199&lt;=0,0,ROUND(L199*(1+IF(AND(L$6&gt;0,$B200&lt;L$6),L$4,L$5)/12),2))</f>
        <v/>
      </c>
      <c r="AR200">
        <f>IF(M199&lt;=0,0,ROUND(M199*(1+IF(AND(M$6&gt;0,$B200&lt;M$6),M$4,M$5)/12),2))</f>
        <v/>
      </c>
      <c r="AS200">
        <f>IF(N199&lt;=0,0,ROUND(N199*(1+IF(AND(N$6&gt;0,$B200&lt;N$6),N$4,N$5)/12),2))</f>
        <v/>
      </c>
    </row>
    <row r="201">
      <c r="A201" t="n">
        <v>190</v>
      </c>
      <c r="B201">
        <f>EDATE(Plan!$C$6,189)</f>
        <v/>
      </c>
      <c r="C201">
        <f>IF(C200&lt;=0,0,MAX(0,AH201-O201))</f>
        <v/>
      </c>
      <c r="D201">
        <f>IF(D200&lt;=0,0,MAX(0,AI201-P201))</f>
        <v/>
      </c>
      <c r="E201">
        <f>IF(E200&lt;=0,0,MAX(0,AJ201-Q201))</f>
        <v/>
      </c>
      <c r="F201">
        <f>IF(F200&lt;=0,0,MAX(0,AK201-R201))</f>
        <v/>
      </c>
      <c r="G201">
        <f>IF(G200&lt;=0,0,MAX(0,AL201-S201))</f>
        <v/>
      </c>
      <c r="H201">
        <f>IF(H200&lt;=0,0,MAX(0,AM201-T201))</f>
        <v/>
      </c>
      <c r="I201">
        <f>IF(I200&lt;=0,0,MAX(0,AN201-U201))</f>
        <v/>
      </c>
      <c r="J201">
        <f>IF(J200&lt;=0,0,MAX(0,AO201-V201))</f>
        <v/>
      </c>
      <c r="K201">
        <f>IF(K200&lt;=0,0,MAX(0,AP201-W201))</f>
        <v/>
      </c>
      <c r="L201">
        <f>IF(L200&lt;=0,0,MAX(0,AQ201-X201))</f>
        <v/>
      </c>
      <c r="M201">
        <f>IF(M200&lt;=0,0,MAX(0,AR201-Y201))</f>
        <v/>
      </c>
      <c r="N201">
        <f>IF(N200&lt;=0,0,MAX(0,AS201-Z201))</f>
        <v/>
      </c>
      <c r="O201">
        <f>IF(C200&lt;=0,0,MIN(AH201,C$7+IF(C$2=$AA201,$AC201,IF(C$2=$AF201,$AG201,0))))</f>
        <v/>
      </c>
      <c r="P201">
        <f>IF(D200&lt;=0,0,MIN(AI201,D$7+IF(D$2=$AA201,$AC201,IF(D$2=$AF201,$AG201,0))))</f>
        <v/>
      </c>
      <c r="Q201">
        <f>IF(E200&lt;=0,0,MIN(AJ201,E$7+IF(E$2=$AA201,$AC201,IF(E$2=$AF201,$AG201,0))))</f>
        <v/>
      </c>
      <c r="R201">
        <f>IF(F200&lt;=0,0,MIN(AK201,F$7+IF(F$2=$AA201,$AC201,IF(F$2=$AF201,$AG201,0))))</f>
        <v/>
      </c>
      <c r="S201">
        <f>IF(G200&lt;=0,0,MIN(AL201,G$7+IF(G$2=$AA201,$AC201,IF(G$2=$AF201,$AG201,0))))</f>
        <v/>
      </c>
      <c r="T201">
        <f>IF(H200&lt;=0,0,MIN(AM201,H$7+IF(H$2=$AA201,$AC201,IF(H$2=$AF201,$AG201,0))))</f>
        <v/>
      </c>
      <c r="U201">
        <f>IF(I200&lt;=0,0,MIN(AN201,I$7+IF(I$2=$AA201,$AC201,IF(I$2=$AF201,$AG201,0))))</f>
        <v/>
      </c>
      <c r="V201">
        <f>IF(J200&lt;=0,0,MIN(AO201,J$7+IF(J$2=$AA201,$AC201,IF(J$2=$AF201,$AG201,0))))</f>
        <v/>
      </c>
      <c r="W201">
        <f>IF(K200&lt;=0,0,MIN(AP201,K$7+IF(K$2=$AA201,$AC201,IF(K$2=$AF201,$AG201,0))))</f>
        <v/>
      </c>
      <c r="X201">
        <f>IF(L200&lt;=0,0,MIN(AQ201,L$7+IF(L$2=$AA201,$AC201,IF(L$2=$AF201,$AG201,0))))</f>
        <v/>
      </c>
      <c r="Y201">
        <f>IF(M200&lt;=0,0,MIN(AR201,M$7+IF(M$2=$AA201,$AC201,IF(M$2=$AF201,$AG201,0))))</f>
        <v/>
      </c>
      <c r="Z201">
        <f>IF(N200&lt;=0,0,MIN(AS201,N$7+IF(N$2=$AA201,$AC201,IF(N$2=$AF201,$AG201,0))))</f>
        <v/>
      </c>
      <c r="AA201">
        <f>IFERROR(ROUND(1/SUMPRODUCT(MAX((C200:N200&gt;0)*($C$3:$N$3&lt;=B201)/$C$2:$N$2)),0),0)</f>
        <v/>
      </c>
      <c r="AB201">
        <f>SUMPRODUCT((C200:N200&gt;0)*$C$7:$N$7)</f>
        <v/>
      </c>
      <c r="AC201">
        <f>MAX(0,Plan!$C$5-AB201)+IF(A201=Plan!$C$8,N(Plan!$C$7),0)</f>
        <v/>
      </c>
      <c r="AD201">
        <f>SUM(C201:N201)</f>
        <v/>
      </c>
      <c r="AE201">
        <f>SUM(O201:Z201)</f>
        <v/>
      </c>
      <c r="AF201">
        <f>IFERROR(ROUND(1/SUMPRODUCT(MAX((C200:N200&gt;0)*($C$3:$N$3&lt;=B201)*($C$2:$N$2&gt;AA201)/$C$2:$N$2)),0),0)</f>
        <v/>
      </c>
      <c r="AG201">
        <f>MAX(0,AC201-MAX(0,SUMPRODUCT(($C$2:$N$2=AA201)*(AH201:AS201-$C$7:$N$7))))</f>
        <v/>
      </c>
      <c r="AH201">
        <f>IF(C200&lt;=0,0,ROUND(C200*(1+IF(AND(C$6&gt;0,$B201&lt;C$6),C$4,C$5)/12),2))</f>
        <v/>
      </c>
      <c r="AI201">
        <f>IF(D200&lt;=0,0,ROUND(D200*(1+IF(AND(D$6&gt;0,$B201&lt;D$6),D$4,D$5)/12),2))</f>
        <v/>
      </c>
      <c r="AJ201">
        <f>IF(E200&lt;=0,0,ROUND(E200*(1+IF(AND(E$6&gt;0,$B201&lt;E$6),E$4,E$5)/12),2))</f>
        <v/>
      </c>
      <c r="AK201">
        <f>IF(F200&lt;=0,0,ROUND(F200*(1+IF(AND(F$6&gt;0,$B201&lt;F$6),F$4,F$5)/12),2))</f>
        <v/>
      </c>
      <c r="AL201">
        <f>IF(G200&lt;=0,0,ROUND(G200*(1+IF(AND(G$6&gt;0,$B201&lt;G$6),G$4,G$5)/12),2))</f>
        <v/>
      </c>
      <c r="AM201">
        <f>IF(H200&lt;=0,0,ROUND(H200*(1+IF(AND(H$6&gt;0,$B201&lt;H$6),H$4,H$5)/12),2))</f>
        <v/>
      </c>
      <c r="AN201">
        <f>IF(I200&lt;=0,0,ROUND(I200*(1+IF(AND(I$6&gt;0,$B201&lt;I$6),I$4,I$5)/12),2))</f>
        <v/>
      </c>
      <c r="AO201">
        <f>IF(J200&lt;=0,0,ROUND(J200*(1+IF(AND(J$6&gt;0,$B201&lt;J$6),J$4,J$5)/12),2))</f>
        <v/>
      </c>
      <c r="AP201">
        <f>IF(K200&lt;=0,0,ROUND(K200*(1+IF(AND(K$6&gt;0,$B201&lt;K$6),K$4,K$5)/12),2))</f>
        <v/>
      </c>
      <c r="AQ201">
        <f>IF(L200&lt;=0,0,ROUND(L200*(1+IF(AND(L$6&gt;0,$B201&lt;L$6),L$4,L$5)/12),2))</f>
        <v/>
      </c>
      <c r="AR201">
        <f>IF(M200&lt;=0,0,ROUND(M200*(1+IF(AND(M$6&gt;0,$B201&lt;M$6),M$4,M$5)/12),2))</f>
        <v/>
      </c>
      <c r="AS201">
        <f>IF(N200&lt;=0,0,ROUND(N200*(1+IF(AND(N$6&gt;0,$B201&lt;N$6),N$4,N$5)/12),2))</f>
        <v/>
      </c>
    </row>
    <row r="202">
      <c r="A202" t="n">
        <v>191</v>
      </c>
      <c r="B202">
        <f>EDATE(Plan!$C$6,190)</f>
        <v/>
      </c>
      <c r="C202">
        <f>IF(C201&lt;=0,0,MAX(0,AH202-O202))</f>
        <v/>
      </c>
      <c r="D202">
        <f>IF(D201&lt;=0,0,MAX(0,AI202-P202))</f>
        <v/>
      </c>
      <c r="E202">
        <f>IF(E201&lt;=0,0,MAX(0,AJ202-Q202))</f>
        <v/>
      </c>
      <c r="F202">
        <f>IF(F201&lt;=0,0,MAX(0,AK202-R202))</f>
        <v/>
      </c>
      <c r="G202">
        <f>IF(G201&lt;=0,0,MAX(0,AL202-S202))</f>
        <v/>
      </c>
      <c r="H202">
        <f>IF(H201&lt;=0,0,MAX(0,AM202-T202))</f>
        <v/>
      </c>
      <c r="I202">
        <f>IF(I201&lt;=0,0,MAX(0,AN202-U202))</f>
        <v/>
      </c>
      <c r="J202">
        <f>IF(J201&lt;=0,0,MAX(0,AO202-V202))</f>
        <v/>
      </c>
      <c r="K202">
        <f>IF(K201&lt;=0,0,MAX(0,AP202-W202))</f>
        <v/>
      </c>
      <c r="L202">
        <f>IF(L201&lt;=0,0,MAX(0,AQ202-X202))</f>
        <v/>
      </c>
      <c r="M202">
        <f>IF(M201&lt;=0,0,MAX(0,AR202-Y202))</f>
        <v/>
      </c>
      <c r="N202">
        <f>IF(N201&lt;=0,0,MAX(0,AS202-Z202))</f>
        <v/>
      </c>
      <c r="O202">
        <f>IF(C201&lt;=0,0,MIN(AH202,C$7+IF(C$2=$AA202,$AC202,IF(C$2=$AF202,$AG202,0))))</f>
        <v/>
      </c>
      <c r="P202">
        <f>IF(D201&lt;=0,0,MIN(AI202,D$7+IF(D$2=$AA202,$AC202,IF(D$2=$AF202,$AG202,0))))</f>
        <v/>
      </c>
      <c r="Q202">
        <f>IF(E201&lt;=0,0,MIN(AJ202,E$7+IF(E$2=$AA202,$AC202,IF(E$2=$AF202,$AG202,0))))</f>
        <v/>
      </c>
      <c r="R202">
        <f>IF(F201&lt;=0,0,MIN(AK202,F$7+IF(F$2=$AA202,$AC202,IF(F$2=$AF202,$AG202,0))))</f>
        <v/>
      </c>
      <c r="S202">
        <f>IF(G201&lt;=0,0,MIN(AL202,G$7+IF(G$2=$AA202,$AC202,IF(G$2=$AF202,$AG202,0))))</f>
        <v/>
      </c>
      <c r="T202">
        <f>IF(H201&lt;=0,0,MIN(AM202,H$7+IF(H$2=$AA202,$AC202,IF(H$2=$AF202,$AG202,0))))</f>
        <v/>
      </c>
      <c r="U202">
        <f>IF(I201&lt;=0,0,MIN(AN202,I$7+IF(I$2=$AA202,$AC202,IF(I$2=$AF202,$AG202,0))))</f>
        <v/>
      </c>
      <c r="V202">
        <f>IF(J201&lt;=0,0,MIN(AO202,J$7+IF(J$2=$AA202,$AC202,IF(J$2=$AF202,$AG202,0))))</f>
        <v/>
      </c>
      <c r="W202">
        <f>IF(K201&lt;=0,0,MIN(AP202,K$7+IF(K$2=$AA202,$AC202,IF(K$2=$AF202,$AG202,0))))</f>
        <v/>
      </c>
      <c r="X202">
        <f>IF(L201&lt;=0,0,MIN(AQ202,L$7+IF(L$2=$AA202,$AC202,IF(L$2=$AF202,$AG202,0))))</f>
        <v/>
      </c>
      <c r="Y202">
        <f>IF(M201&lt;=0,0,MIN(AR202,M$7+IF(M$2=$AA202,$AC202,IF(M$2=$AF202,$AG202,0))))</f>
        <v/>
      </c>
      <c r="Z202">
        <f>IF(N201&lt;=0,0,MIN(AS202,N$7+IF(N$2=$AA202,$AC202,IF(N$2=$AF202,$AG202,0))))</f>
        <v/>
      </c>
      <c r="AA202">
        <f>IFERROR(ROUND(1/SUMPRODUCT(MAX((C201:N201&gt;0)*($C$3:$N$3&lt;=B202)/$C$2:$N$2)),0),0)</f>
        <v/>
      </c>
      <c r="AB202">
        <f>SUMPRODUCT((C201:N201&gt;0)*$C$7:$N$7)</f>
        <v/>
      </c>
      <c r="AC202">
        <f>MAX(0,Plan!$C$5-AB202)+IF(A202=Plan!$C$8,N(Plan!$C$7),0)</f>
        <v/>
      </c>
      <c r="AD202">
        <f>SUM(C202:N202)</f>
        <v/>
      </c>
      <c r="AE202">
        <f>SUM(O202:Z202)</f>
        <v/>
      </c>
      <c r="AF202">
        <f>IFERROR(ROUND(1/SUMPRODUCT(MAX((C201:N201&gt;0)*($C$3:$N$3&lt;=B202)*($C$2:$N$2&gt;AA202)/$C$2:$N$2)),0),0)</f>
        <v/>
      </c>
      <c r="AG202">
        <f>MAX(0,AC202-MAX(0,SUMPRODUCT(($C$2:$N$2=AA202)*(AH202:AS202-$C$7:$N$7))))</f>
        <v/>
      </c>
      <c r="AH202">
        <f>IF(C201&lt;=0,0,ROUND(C201*(1+IF(AND(C$6&gt;0,$B202&lt;C$6),C$4,C$5)/12),2))</f>
        <v/>
      </c>
      <c r="AI202">
        <f>IF(D201&lt;=0,0,ROUND(D201*(1+IF(AND(D$6&gt;0,$B202&lt;D$6),D$4,D$5)/12),2))</f>
        <v/>
      </c>
      <c r="AJ202">
        <f>IF(E201&lt;=0,0,ROUND(E201*(1+IF(AND(E$6&gt;0,$B202&lt;E$6),E$4,E$5)/12),2))</f>
        <v/>
      </c>
      <c r="AK202">
        <f>IF(F201&lt;=0,0,ROUND(F201*(1+IF(AND(F$6&gt;0,$B202&lt;F$6),F$4,F$5)/12),2))</f>
        <v/>
      </c>
      <c r="AL202">
        <f>IF(G201&lt;=0,0,ROUND(G201*(1+IF(AND(G$6&gt;0,$B202&lt;G$6),G$4,G$5)/12),2))</f>
        <v/>
      </c>
      <c r="AM202">
        <f>IF(H201&lt;=0,0,ROUND(H201*(1+IF(AND(H$6&gt;0,$B202&lt;H$6),H$4,H$5)/12),2))</f>
        <v/>
      </c>
      <c r="AN202">
        <f>IF(I201&lt;=0,0,ROUND(I201*(1+IF(AND(I$6&gt;0,$B202&lt;I$6),I$4,I$5)/12),2))</f>
        <v/>
      </c>
      <c r="AO202">
        <f>IF(J201&lt;=0,0,ROUND(J201*(1+IF(AND(J$6&gt;0,$B202&lt;J$6),J$4,J$5)/12),2))</f>
        <v/>
      </c>
      <c r="AP202">
        <f>IF(K201&lt;=0,0,ROUND(K201*(1+IF(AND(K$6&gt;0,$B202&lt;K$6),K$4,K$5)/12),2))</f>
        <v/>
      </c>
      <c r="AQ202">
        <f>IF(L201&lt;=0,0,ROUND(L201*(1+IF(AND(L$6&gt;0,$B202&lt;L$6),L$4,L$5)/12),2))</f>
        <v/>
      </c>
      <c r="AR202">
        <f>IF(M201&lt;=0,0,ROUND(M201*(1+IF(AND(M$6&gt;0,$B202&lt;M$6),M$4,M$5)/12),2))</f>
        <v/>
      </c>
      <c r="AS202">
        <f>IF(N201&lt;=0,0,ROUND(N201*(1+IF(AND(N$6&gt;0,$B202&lt;N$6),N$4,N$5)/12),2))</f>
        <v/>
      </c>
    </row>
    <row r="203">
      <c r="A203" t="n">
        <v>192</v>
      </c>
      <c r="B203">
        <f>EDATE(Plan!$C$6,191)</f>
        <v/>
      </c>
      <c r="C203">
        <f>IF(C202&lt;=0,0,MAX(0,AH203-O203))</f>
        <v/>
      </c>
      <c r="D203">
        <f>IF(D202&lt;=0,0,MAX(0,AI203-P203))</f>
        <v/>
      </c>
      <c r="E203">
        <f>IF(E202&lt;=0,0,MAX(0,AJ203-Q203))</f>
        <v/>
      </c>
      <c r="F203">
        <f>IF(F202&lt;=0,0,MAX(0,AK203-R203))</f>
        <v/>
      </c>
      <c r="G203">
        <f>IF(G202&lt;=0,0,MAX(0,AL203-S203))</f>
        <v/>
      </c>
      <c r="H203">
        <f>IF(H202&lt;=0,0,MAX(0,AM203-T203))</f>
        <v/>
      </c>
      <c r="I203">
        <f>IF(I202&lt;=0,0,MAX(0,AN203-U203))</f>
        <v/>
      </c>
      <c r="J203">
        <f>IF(J202&lt;=0,0,MAX(0,AO203-V203))</f>
        <v/>
      </c>
      <c r="K203">
        <f>IF(K202&lt;=0,0,MAX(0,AP203-W203))</f>
        <v/>
      </c>
      <c r="L203">
        <f>IF(L202&lt;=0,0,MAX(0,AQ203-X203))</f>
        <v/>
      </c>
      <c r="M203">
        <f>IF(M202&lt;=0,0,MAX(0,AR203-Y203))</f>
        <v/>
      </c>
      <c r="N203">
        <f>IF(N202&lt;=0,0,MAX(0,AS203-Z203))</f>
        <v/>
      </c>
      <c r="O203">
        <f>IF(C202&lt;=0,0,MIN(AH203,C$7+IF(C$2=$AA203,$AC203,IF(C$2=$AF203,$AG203,0))))</f>
        <v/>
      </c>
      <c r="P203">
        <f>IF(D202&lt;=0,0,MIN(AI203,D$7+IF(D$2=$AA203,$AC203,IF(D$2=$AF203,$AG203,0))))</f>
        <v/>
      </c>
      <c r="Q203">
        <f>IF(E202&lt;=0,0,MIN(AJ203,E$7+IF(E$2=$AA203,$AC203,IF(E$2=$AF203,$AG203,0))))</f>
        <v/>
      </c>
      <c r="R203">
        <f>IF(F202&lt;=0,0,MIN(AK203,F$7+IF(F$2=$AA203,$AC203,IF(F$2=$AF203,$AG203,0))))</f>
        <v/>
      </c>
      <c r="S203">
        <f>IF(G202&lt;=0,0,MIN(AL203,G$7+IF(G$2=$AA203,$AC203,IF(G$2=$AF203,$AG203,0))))</f>
        <v/>
      </c>
      <c r="T203">
        <f>IF(H202&lt;=0,0,MIN(AM203,H$7+IF(H$2=$AA203,$AC203,IF(H$2=$AF203,$AG203,0))))</f>
        <v/>
      </c>
      <c r="U203">
        <f>IF(I202&lt;=0,0,MIN(AN203,I$7+IF(I$2=$AA203,$AC203,IF(I$2=$AF203,$AG203,0))))</f>
        <v/>
      </c>
      <c r="V203">
        <f>IF(J202&lt;=0,0,MIN(AO203,J$7+IF(J$2=$AA203,$AC203,IF(J$2=$AF203,$AG203,0))))</f>
        <v/>
      </c>
      <c r="W203">
        <f>IF(K202&lt;=0,0,MIN(AP203,K$7+IF(K$2=$AA203,$AC203,IF(K$2=$AF203,$AG203,0))))</f>
        <v/>
      </c>
      <c r="X203">
        <f>IF(L202&lt;=0,0,MIN(AQ203,L$7+IF(L$2=$AA203,$AC203,IF(L$2=$AF203,$AG203,0))))</f>
        <v/>
      </c>
      <c r="Y203">
        <f>IF(M202&lt;=0,0,MIN(AR203,M$7+IF(M$2=$AA203,$AC203,IF(M$2=$AF203,$AG203,0))))</f>
        <v/>
      </c>
      <c r="Z203">
        <f>IF(N202&lt;=0,0,MIN(AS203,N$7+IF(N$2=$AA203,$AC203,IF(N$2=$AF203,$AG203,0))))</f>
        <v/>
      </c>
      <c r="AA203">
        <f>IFERROR(ROUND(1/SUMPRODUCT(MAX((C202:N202&gt;0)*($C$3:$N$3&lt;=B203)/$C$2:$N$2)),0),0)</f>
        <v/>
      </c>
      <c r="AB203">
        <f>SUMPRODUCT((C202:N202&gt;0)*$C$7:$N$7)</f>
        <v/>
      </c>
      <c r="AC203">
        <f>MAX(0,Plan!$C$5-AB203)+IF(A203=Plan!$C$8,N(Plan!$C$7),0)</f>
        <v/>
      </c>
      <c r="AD203">
        <f>SUM(C203:N203)</f>
        <v/>
      </c>
      <c r="AE203">
        <f>SUM(O203:Z203)</f>
        <v/>
      </c>
      <c r="AF203">
        <f>IFERROR(ROUND(1/SUMPRODUCT(MAX((C202:N202&gt;0)*($C$3:$N$3&lt;=B203)*($C$2:$N$2&gt;AA203)/$C$2:$N$2)),0),0)</f>
        <v/>
      </c>
      <c r="AG203">
        <f>MAX(0,AC203-MAX(0,SUMPRODUCT(($C$2:$N$2=AA203)*(AH203:AS203-$C$7:$N$7))))</f>
        <v/>
      </c>
      <c r="AH203">
        <f>IF(C202&lt;=0,0,ROUND(C202*(1+IF(AND(C$6&gt;0,$B203&lt;C$6),C$4,C$5)/12),2))</f>
        <v/>
      </c>
      <c r="AI203">
        <f>IF(D202&lt;=0,0,ROUND(D202*(1+IF(AND(D$6&gt;0,$B203&lt;D$6),D$4,D$5)/12),2))</f>
        <v/>
      </c>
      <c r="AJ203">
        <f>IF(E202&lt;=0,0,ROUND(E202*(1+IF(AND(E$6&gt;0,$B203&lt;E$6),E$4,E$5)/12),2))</f>
        <v/>
      </c>
      <c r="AK203">
        <f>IF(F202&lt;=0,0,ROUND(F202*(1+IF(AND(F$6&gt;0,$B203&lt;F$6),F$4,F$5)/12),2))</f>
        <v/>
      </c>
      <c r="AL203">
        <f>IF(G202&lt;=0,0,ROUND(G202*(1+IF(AND(G$6&gt;0,$B203&lt;G$6),G$4,G$5)/12),2))</f>
        <v/>
      </c>
      <c r="AM203">
        <f>IF(H202&lt;=0,0,ROUND(H202*(1+IF(AND(H$6&gt;0,$B203&lt;H$6),H$4,H$5)/12),2))</f>
        <v/>
      </c>
      <c r="AN203">
        <f>IF(I202&lt;=0,0,ROUND(I202*(1+IF(AND(I$6&gt;0,$B203&lt;I$6),I$4,I$5)/12),2))</f>
        <v/>
      </c>
      <c r="AO203">
        <f>IF(J202&lt;=0,0,ROUND(J202*(1+IF(AND(J$6&gt;0,$B203&lt;J$6),J$4,J$5)/12),2))</f>
        <v/>
      </c>
      <c r="AP203">
        <f>IF(K202&lt;=0,0,ROUND(K202*(1+IF(AND(K$6&gt;0,$B203&lt;K$6),K$4,K$5)/12),2))</f>
        <v/>
      </c>
      <c r="AQ203">
        <f>IF(L202&lt;=0,0,ROUND(L202*(1+IF(AND(L$6&gt;0,$B203&lt;L$6),L$4,L$5)/12),2))</f>
        <v/>
      </c>
      <c r="AR203">
        <f>IF(M202&lt;=0,0,ROUND(M202*(1+IF(AND(M$6&gt;0,$B203&lt;M$6),M$4,M$5)/12),2))</f>
        <v/>
      </c>
      <c r="AS203">
        <f>IF(N202&lt;=0,0,ROUND(N202*(1+IF(AND(N$6&gt;0,$B203&lt;N$6),N$4,N$5)/12),2))</f>
        <v/>
      </c>
    </row>
    <row r="204">
      <c r="A204" t="n">
        <v>193</v>
      </c>
      <c r="B204">
        <f>EDATE(Plan!$C$6,192)</f>
        <v/>
      </c>
      <c r="C204">
        <f>IF(C203&lt;=0,0,MAX(0,AH204-O204))</f>
        <v/>
      </c>
      <c r="D204">
        <f>IF(D203&lt;=0,0,MAX(0,AI204-P204))</f>
        <v/>
      </c>
      <c r="E204">
        <f>IF(E203&lt;=0,0,MAX(0,AJ204-Q204))</f>
        <v/>
      </c>
      <c r="F204">
        <f>IF(F203&lt;=0,0,MAX(0,AK204-R204))</f>
        <v/>
      </c>
      <c r="G204">
        <f>IF(G203&lt;=0,0,MAX(0,AL204-S204))</f>
        <v/>
      </c>
      <c r="H204">
        <f>IF(H203&lt;=0,0,MAX(0,AM204-T204))</f>
        <v/>
      </c>
      <c r="I204">
        <f>IF(I203&lt;=0,0,MAX(0,AN204-U204))</f>
        <v/>
      </c>
      <c r="J204">
        <f>IF(J203&lt;=0,0,MAX(0,AO204-V204))</f>
        <v/>
      </c>
      <c r="K204">
        <f>IF(K203&lt;=0,0,MAX(0,AP204-W204))</f>
        <v/>
      </c>
      <c r="L204">
        <f>IF(L203&lt;=0,0,MAX(0,AQ204-X204))</f>
        <v/>
      </c>
      <c r="M204">
        <f>IF(M203&lt;=0,0,MAX(0,AR204-Y204))</f>
        <v/>
      </c>
      <c r="N204">
        <f>IF(N203&lt;=0,0,MAX(0,AS204-Z204))</f>
        <v/>
      </c>
      <c r="O204">
        <f>IF(C203&lt;=0,0,MIN(AH204,C$7+IF(C$2=$AA204,$AC204,IF(C$2=$AF204,$AG204,0))))</f>
        <v/>
      </c>
      <c r="P204">
        <f>IF(D203&lt;=0,0,MIN(AI204,D$7+IF(D$2=$AA204,$AC204,IF(D$2=$AF204,$AG204,0))))</f>
        <v/>
      </c>
      <c r="Q204">
        <f>IF(E203&lt;=0,0,MIN(AJ204,E$7+IF(E$2=$AA204,$AC204,IF(E$2=$AF204,$AG204,0))))</f>
        <v/>
      </c>
      <c r="R204">
        <f>IF(F203&lt;=0,0,MIN(AK204,F$7+IF(F$2=$AA204,$AC204,IF(F$2=$AF204,$AG204,0))))</f>
        <v/>
      </c>
      <c r="S204">
        <f>IF(G203&lt;=0,0,MIN(AL204,G$7+IF(G$2=$AA204,$AC204,IF(G$2=$AF204,$AG204,0))))</f>
        <v/>
      </c>
      <c r="T204">
        <f>IF(H203&lt;=0,0,MIN(AM204,H$7+IF(H$2=$AA204,$AC204,IF(H$2=$AF204,$AG204,0))))</f>
        <v/>
      </c>
      <c r="U204">
        <f>IF(I203&lt;=0,0,MIN(AN204,I$7+IF(I$2=$AA204,$AC204,IF(I$2=$AF204,$AG204,0))))</f>
        <v/>
      </c>
      <c r="V204">
        <f>IF(J203&lt;=0,0,MIN(AO204,J$7+IF(J$2=$AA204,$AC204,IF(J$2=$AF204,$AG204,0))))</f>
        <v/>
      </c>
      <c r="W204">
        <f>IF(K203&lt;=0,0,MIN(AP204,K$7+IF(K$2=$AA204,$AC204,IF(K$2=$AF204,$AG204,0))))</f>
        <v/>
      </c>
      <c r="X204">
        <f>IF(L203&lt;=0,0,MIN(AQ204,L$7+IF(L$2=$AA204,$AC204,IF(L$2=$AF204,$AG204,0))))</f>
        <v/>
      </c>
      <c r="Y204">
        <f>IF(M203&lt;=0,0,MIN(AR204,M$7+IF(M$2=$AA204,$AC204,IF(M$2=$AF204,$AG204,0))))</f>
        <v/>
      </c>
      <c r="Z204">
        <f>IF(N203&lt;=0,0,MIN(AS204,N$7+IF(N$2=$AA204,$AC204,IF(N$2=$AF204,$AG204,0))))</f>
        <v/>
      </c>
      <c r="AA204">
        <f>IFERROR(ROUND(1/SUMPRODUCT(MAX((C203:N203&gt;0)*($C$3:$N$3&lt;=B204)/$C$2:$N$2)),0),0)</f>
        <v/>
      </c>
      <c r="AB204">
        <f>SUMPRODUCT((C203:N203&gt;0)*$C$7:$N$7)</f>
        <v/>
      </c>
      <c r="AC204">
        <f>MAX(0,Plan!$C$5-AB204)+IF(A204=Plan!$C$8,N(Plan!$C$7),0)</f>
        <v/>
      </c>
      <c r="AD204">
        <f>SUM(C204:N204)</f>
        <v/>
      </c>
      <c r="AE204">
        <f>SUM(O204:Z204)</f>
        <v/>
      </c>
      <c r="AF204">
        <f>IFERROR(ROUND(1/SUMPRODUCT(MAX((C203:N203&gt;0)*($C$3:$N$3&lt;=B204)*($C$2:$N$2&gt;AA204)/$C$2:$N$2)),0),0)</f>
        <v/>
      </c>
      <c r="AG204">
        <f>MAX(0,AC204-MAX(0,SUMPRODUCT(($C$2:$N$2=AA204)*(AH204:AS204-$C$7:$N$7))))</f>
        <v/>
      </c>
      <c r="AH204">
        <f>IF(C203&lt;=0,0,ROUND(C203*(1+IF(AND(C$6&gt;0,$B204&lt;C$6),C$4,C$5)/12),2))</f>
        <v/>
      </c>
      <c r="AI204">
        <f>IF(D203&lt;=0,0,ROUND(D203*(1+IF(AND(D$6&gt;0,$B204&lt;D$6),D$4,D$5)/12),2))</f>
        <v/>
      </c>
      <c r="AJ204">
        <f>IF(E203&lt;=0,0,ROUND(E203*(1+IF(AND(E$6&gt;0,$B204&lt;E$6),E$4,E$5)/12),2))</f>
        <v/>
      </c>
      <c r="AK204">
        <f>IF(F203&lt;=0,0,ROUND(F203*(1+IF(AND(F$6&gt;0,$B204&lt;F$6),F$4,F$5)/12),2))</f>
        <v/>
      </c>
      <c r="AL204">
        <f>IF(G203&lt;=0,0,ROUND(G203*(1+IF(AND(G$6&gt;0,$B204&lt;G$6),G$4,G$5)/12),2))</f>
        <v/>
      </c>
      <c r="AM204">
        <f>IF(H203&lt;=0,0,ROUND(H203*(1+IF(AND(H$6&gt;0,$B204&lt;H$6),H$4,H$5)/12),2))</f>
        <v/>
      </c>
      <c r="AN204">
        <f>IF(I203&lt;=0,0,ROUND(I203*(1+IF(AND(I$6&gt;0,$B204&lt;I$6),I$4,I$5)/12),2))</f>
        <v/>
      </c>
      <c r="AO204">
        <f>IF(J203&lt;=0,0,ROUND(J203*(1+IF(AND(J$6&gt;0,$B204&lt;J$6),J$4,J$5)/12),2))</f>
        <v/>
      </c>
      <c r="AP204">
        <f>IF(K203&lt;=0,0,ROUND(K203*(1+IF(AND(K$6&gt;0,$B204&lt;K$6),K$4,K$5)/12),2))</f>
        <v/>
      </c>
      <c r="AQ204">
        <f>IF(L203&lt;=0,0,ROUND(L203*(1+IF(AND(L$6&gt;0,$B204&lt;L$6),L$4,L$5)/12),2))</f>
        <v/>
      </c>
      <c r="AR204">
        <f>IF(M203&lt;=0,0,ROUND(M203*(1+IF(AND(M$6&gt;0,$B204&lt;M$6),M$4,M$5)/12),2))</f>
        <v/>
      </c>
      <c r="AS204">
        <f>IF(N203&lt;=0,0,ROUND(N203*(1+IF(AND(N$6&gt;0,$B204&lt;N$6),N$4,N$5)/12),2))</f>
        <v/>
      </c>
    </row>
    <row r="205">
      <c r="A205" t="n">
        <v>194</v>
      </c>
      <c r="B205">
        <f>EDATE(Plan!$C$6,193)</f>
        <v/>
      </c>
      <c r="C205">
        <f>IF(C204&lt;=0,0,MAX(0,AH205-O205))</f>
        <v/>
      </c>
      <c r="D205">
        <f>IF(D204&lt;=0,0,MAX(0,AI205-P205))</f>
        <v/>
      </c>
      <c r="E205">
        <f>IF(E204&lt;=0,0,MAX(0,AJ205-Q205))</f>
        <v/>
      </c>
      <c r="F205">
        <f>IF(F204&lt;=0,0,MAX(0,AK205-R205))</f>
        <v/>
      </c>
      <c r="G205">
        <f>IF(G204&lt;=0,0,MAX(0,AL205-S205))</f>
        <v/>
      </c>
      <c r="H205">
        <f>IF(H204&lt;=0,0,MAX(0,AM205-T205))</f>
        <v/>
      </c>
      <c r="I205">
        <f>IF(I204&lt;=0,0,MAX(0,AN205-U205))</f>
        <v/>
      </c>
      <c r="J205">
        <f>IF(J204&lt;=0,0,MAX(0,AO205-V205))</f>
        <v/>
      </c>
      <c r="K205">
        <f>IF(K204&lt;=0,0,MAX(0,AP205-W205))</f>
        <v/>
      </c>
      <c r="L205">
        <f>IF(L204&lt;=0,0,MAX(0,AQ205-X205))</f>
        <v/>
      </c>
      <c r="M205">
        <f>IF(M204&lt;=0,0,MAX(0,AR205-Y205))</f>
        <v/>
      </c>
      <c r="N205">
        <f>IF(N204&lt;=0,0,MAX(0,AS205-Z205))</f>
        <v/>
      </c>
      <c r="O205">
        <f>IF(C204&lt;=0,0,MIN(AH205,C$7+IF(C$2=$AA205,$AC205,IF(C$2=$AF205,$AG205,0))))</f>
        <v/>
      </c>
      <c r="P205">
        <f>IF(D204&lt;=0,0,MIN(AI205,D$7+IF(D$2=$AA205,$AC205,IF(D$2=$AF205,$AG205,0))))</f>
        <v/>
      </c>
      <c r="Q205">
        <f>IF(E204&lt;=0,0,MIN(AJ205,E$7+IF(E$2=$AA205,$AC205,IF(E$2=$AF205,$AG205,0))))</f>
        <v/>
      </c>
      <c r="R205">
        <f>IF(F204&lt;=0,0,MIN(AK205,F$7+IF(F$2=$AA205,$AC205,IF(F$2=$AF205,$AG205,0))))</f>
        <v/>
      </c>
      <c r="S205">
        <f>IF(G204&lt;=0,0,MIN(AL205,G$7+IF(G$2=$AA205,$AC205,IF(G$2=$AF205,$AG205,0))))</f>
        <v/>
      </c>
      <c r="T205">
        <f>IF(H204&lt;=0,0,MIN(AM205,H$7+IF(H$2=$AA205,$AC205,IF(H$2=$AF205,$AG205,0))))</f>
        <v/>
      </c>
      <c r="U205">
        <f>IF(I204&lt;=0,0,MIN(AN205,I$7+IF(I$2=$AA205,$AC205,IF(I$2=$AF205,$AG205,0))))</f>
        <v/>
      </c>
      <c r="V205">
        <f>IF(J204&lt;=0,0,MIN(AO205,J$7+IF(J$2=$AA205,$AC205,IF(J$2=$AF205,$AG205,0))))</f>
        <v/>
      </c>
      <c r="W205">
        <f>IF(K204&lt;=0,0,MIN(AP205,K$7+IF(K$2=$AA205,$AC205,IF(K$2=$AF205,$AG205,0))))</f>
        <v/>
      </c>
      <c r="X205">
        <f>IF(L204&lt;=0,0,MIN(AQ205,L$7+IF(L$2=$AA205,$AC205,IF(L$2=$AF205,$AG205,0))))</f>
        <v/>
      </c>
      <c r="Y205">
        <f>IF(M204&lt;=0,0,MIN(AR205,M$7+IF(M$2=$AA205,$AC205,IF(M$2=$AF205,$AG205,0))))</f>
        <v/>
      </c>
      <c r="Z205">
        <f>IF(N204&lt;=0,0,MIN(AS205,N$7+IF(N$2=$AA205,$AC205,IF(N$2=$AF205,$AG205,0))))</f>
        <v/>
      </c>
      <c r="AA205">
        <f>IFERROR(ROUND(1/SUMPRODUCT(MAX((C204:N204&gt;0)*($C$3:$N$3&lt;=B205)/$C$2:$N$2)),0),0)</f>
        <v/>
      </c>
      <c r="AB205">
        <f>SUMPRODUCT((C204:N204&gt;0)*$C$7:$N$7)</f>
        <v/>
      </c>
      <c r="AC205">
        <f>MAX(0,Plan!$C$5-AB205)+IF(A205=Plan!$C$8,N(Plan!$C$7),0)</f>
        <v/>
      </c>
      <c r="AD205">
        <f>SUM(C205:N205)</f>
        <v/>
      </c>
      <c r="AE205">
        <f>SUM(O205:Z205)</f>
        <v/>
      </c>
      <c r="AF205">
        <f>IFERROR(ROUND(1/SUMPRODUCT(MAX((C204:N204&gt;0)*($C$3:$N$3&lt;=B205)*($C$2:$N$2&gt;AA205)/$C$2:$N$2)),0),0)</f>
        <v/>
      </c>
      <c r="AG205">
        <f>MAX(0,AC205-MAX(0,SUMPRODUCT(($C$2:$N$2=AA205)*(AH205:AS205-$C$7:$N$7))))</f>
        <v/>
      </c>
      <c r="AH205">
        <f>IF(C204&lt;=0,0,ROUND(C204*(1+IF(AND(C$6&gt;0,$B205&lt;C$6),C$4,C$5)/12),2))</f>
        <v/>
      </c>
      <c r="AI205">
        <f>IF(D204&lt;=0,0,ROUND(D204*(1+IF(AND(D$6&gt;0,$B205&lt;D$6),D$4,D$5)/12),2))</f>
        <v/>
      </c>
      <c r="AJ205">
        <f>IF(E204&lt;=0,0,ROUND(E204*(1+IF(AND(E$6&gt;0,$B205&lt;E$6),E$4,E$5)/12),2))</f>
        <v/>
      </c>
      <c r="AK205">
        <f>IF(F204&lt;=0,0,ROUND(F204*(1+IF(AND(F$6&gt;0,$B205&lt;F$6),F$4,F$5)/12),2))</f>
        <v/>
      </c>
      <c r="AL205">
        <f>IF(G204&lt;=0,0,ROUND(G204*(1+IF(AND(G$6&gt;0,$B205&lt;G$6),G$4,G$5)/12),2))</f>
        <v/>
      </c>
      <c r="AM205">
        <f>IF(H204&lt;=0,0,ROUND(H204*(1+IF(AND(H$6&gt;0,$B205&lt;H$6),H$4,H$5)/12),2))</f>
        <v/>
      </c>
      <c r="AN205">
        <f>IF(I204&lt;=0,0,ROUND(I204*(1+IF(AND(I$6&gt;0,$B205&lt;I$6),I$4,I$5)/12),2))</f>
        <v/>
      </c>
      <c r="AO205">
        <f>IF(J204&lt;=0,0,ROUND(J204*(1+IF(AND(J$6&gt;0,$B205&lt;J$6),J$4,J$5)/12),2))</f>
        <v/>
      </c>
      <c r="AP205">
        <f>IF(K204&lt;=0,0,ROUND(K204*(1+IF(AND(K$6&gt;0,$B205&lt;K$6),K$4,K$5)/12),2))</f>
        <v/>
      </c>
      <c r="AQ205">
        <f>IF(L204&lt;=0,0,ROUND(L204*(1+IF(AND(L$6&gt;0,$B205&lt;L$6),L$4,L$5)/12),2))</f>
        <v/>
      </c>
      <c r="AR205">
        <f>IF(M204&lt;=0,0,ROUND(M204*(1+IF(AND(M$6&gt;0,$B205&lt;M$6),M$4,M$5)/12),2))</f>
        <v/>
      </c>
      <c r="AS205">
        <f>IF(N204&lt;=0,0,ROUND(N204*(1+IF(AND(N$6&gt;0,$B205&lt;N$6),N$4,N$5)/12),2))</f>
        <v/>
      </c>
    </row>
    <row r="206">
      <c r="A206" t="n">
        <v>195</v>
      </c>
      <c r="B206">
        <f>EDATE(Plan!$C$6,194)</f>
        <v/>
      </c>
      <c r="C206">
        <f>IF(C205&lt;=0,0,MAX(0,AH206-O206))</f>
        <v/>
      </c>
      <c r="D206">
        <f>IF(D205&lt;=0,0,MAX(0,AI206-P206))</f>
        <v/>
      </c>
      <c r="E206">
        <f>IF(E205&lt;=0,0,MAX(0,AJ206-Q206))</f>
        <v/>
      </c>
      <c r="F206">
        <f>IF(F205&lt;=0,0,MAX(0,AK206-R206))</f>
        <v/>
      </c>
      <c r="G206">
        <f>IF(G205&lt;=0,0,MAX(0,AL206-S206))</f>
        <v/>
      </c>
      <c r="H206">
        <f>IF(H205&lt;=0,0,MAX(0,AM206-T206))</f>
        <v/>
      </c>
      <c r="I206">
        <f>IF(I205&lt;=0,0,MAX(0,AN206-U206))</f>
        <v/>
      </c>
      <c r="J206">
        <f>IF(J205&lt;=0,0,MAX(0,AO206-V206))</f>
        <v/>
      </c>
      <c r="K206">
        <f>IF(K205&lt;=0,0,MAX(0,AP206-W206))</f>
        <v/>
      </c>
      <c r="L206">
        <f>IF(L205&lt;=0,0,MAX(0,AQ206-X206))</f>
        <v/>
      </c>
      <c r="M206">
        <f>IF(M205&lt;=0,0,MAX(0,AR206-Y206))</f>
        <v/>
      </c>
      <c r="N206">
        <f>IF(N205&lt;=0,0,MAX(0,AS206-Z206))</f>
        <v/>
      </c>
      <c r="O206">
        <f>IF(C205&lt;=0,0,MIN(AH206,C$7+IF(C$2=$AA206,$AC206,IF(C$2=$AF206,$AG206,0))))</f>
        <v/>
      </c>
      <c r="P206">
        <f>IF(D205&lt;=0,0,MIN(AI206,D$7+IF(D$2=$AA206,$AC206,IF(D$2=$AF206,$AG206,0))))</f>
        <v/>
      </c>
      <c r="Q206">
        <f>IF(E205&lt;=0,0,MIN(AJ206,E$7+IF(E$2=$AA206,$AC206,IF(E$2=$AF206,$AG206,0))))</f>
        <v/>
      </c>
      <c r="R206">
        <f>IF(F205&lt;=0,0,MIN(AK206,F$7+IF(F$2=$AA206,$AC206,IF(F$2=$AF206,$AG206,0))))</f>
        <v/>
      </c>
      <c r="S206">
        <f>IF(G205&lt;=0,0,MIN(AL206,G$7+IF(G$2=$AA206,$AC206,IF(G$2=$AF206,$AG206,0))))</f>
        <v/>
      </c>
      <c r="T206">
        <f>IF(H205&lt;=0,0,MIN(AM206,H$7+IF(H$2=$AA206,$AC206,IF(H$2=$AF206,$AG206,0))))</f>
        <v/>
      </c>
      <c r="U206">
        <f>IF(I205&lt;=0,0,MIN(AN206,I$7+IF(I$2=$AA206,$AC206,IF(I$2=$AF206,$AG206,0))))</f>
        <v/>
      </c>
      <c r="V206">
        <f>IF(J205&lt;=0,0,MIN(AO206,J$7+IF(J$2=$AA206,$AC206,IF(J$2=$AF206,$AG206,0))))</f>
        <v/>
      </c>
      <c r="W206">
        <f>IF(K205&lt;=0,0,MIN(AP206,K$7+IF(K$2=$AA206,$AC206,IF(K$2=$AF206,$AG206,0))))</f>
        <v/>
      </c>
      <c r="X206">
        <f>IF(L205&lt;=0,0,MIN(AQ206,L$7+IF(L$2=$AA206,$AC206,IF(L$2=$AF206,$AG206,0))))</f>
        <v/>
      </c>
      <c r="Y206">
        <f>IF(M205&lt;=0,0,MIN(AR206,M$7+IF(M$2=$AA206,$AC206,IF(M$2=$AF206,$AG206,0))))</f>
        <v/>
      </c>
      <c r="Z206">
        <f>IF(N205&lt;=0,0,MIN(AS206,N$7+IF(N$2=$AA206,$AC206,IF(N$2=$AF206,$AG206,0))))</f>
        <v/>
      </c>
      <c r="AA206">
        <f>IFERROR(ROUND(1/SUMPRODUCT(MAX((C205:N205&gt;0)*($C$3:$N$3&lt;=B206)/$C$2:$N$2)),0),0)</f>
        <v/>
      </c>
      <c r="AB206">
        <f>SUMPRODUCT((C205:N205&gt;0)*$C$7:$N$7)</f>
        <v/>
      </c>
      <c r="AC206">
        <f>MAX(0,Plan!$C$5-AB206)+IF(A206=Plan!$C$8,N(Plan!$C$7),0)</f>
        <v/>
      </c>
      <c r="AD206">
        <f>SUM(C206:N206)</f>
        <v/>
      </c>
      <c r="AE206">
        <f>SUM(O206:Z206)</f>
        <v/>
      </c>
      <c r="AF206">
        <f>IFERROR(ROUND(1/SUMPRODUCT(MAX((C205:N205&gt;0)*($C$3:$N$3&lt;=B206)*($C$2:$N$2&gt;AA206)/$C$2:$N$2)),0),0)</f>
        <v/>
      </c>
      <c r="AG206">
        <f>MAX(0,AC206-MAX(0,SUMPRODUCT(($C$2:$N$2=AA206)*(AH206:AS206-$C$7:$N$7))))</f>
        <v/>
      </c>
      <c r="AH206">
        <f>IF(C205&lt;=0,0,ROUND(C205*(1+IF(AND(C$6&gt;0,$B206&lt;C$6),C$4,C$5)/12),2))</f>
        <v/>
      </c>
      <c r="AI206">
        <f>IF(D205&lt;=0,0,ROUND(D205*(1+IF(AND(D$6&gt;0,$B206&lt;D$6),D$4,D$5)/12),2))</f>
        <v/>
      </c>
      <c r="AJ206">
        <f>IF(E205&lt;=0,0,ROUND(E205*(1+IF(AND(E$6&gt;0,$B206&lt;E$6),E$4,E$5)/12),2))</f>
        <v/>
      </c>
      <c r="AK206">
        <f>IF(F205&lt;=0,0,ROUND(F205*(1+IF(AND(F$6&gt;0,$B206&lt;F$6),F$4,F$5)/12),2))</f>
        <v/>
      </c>
      <c r="AL206">
        <f>IF(G205&lt;=0,0,ROUND(G205*(1+IF(AND(G$6&gt;0,$B206&lt;G$6),G$4,G$5)/12),2))</f>
        <v/>
      </c>
      <c r="AM206">
        <f>IF(H205&lt;=0,0,ROUND(H205*(1+IF(AND(H$6&gt;0,$B206&lt;H$6),H$4,H$5)/12),2))</f>
        <v/>
      </c>
      <c r="AN206">
        <f>IF(I205&lt;=0,0,ROUND(I205*(1+IF(AND(I$6&gt;0,$B206&lt;I$6),I$4,I$5)/12),2))</f>
        <v/>
      </c>
      <c r="AO206">
        <f>IF(J205&lt;=0,0,ROUND(J205*(1+IF(AND(J$6&gt;0,$B206&lt;J$6),J$4,J$5)/12),2))</f>
        <v/>
      </c>
      <c r="AP206">
        <f>IF(K205&lt;=0,0,ROUND(K205*(1+IF(AND(K$6&gt;0,$B206&lt;K$6),K$4,K$5)/12),2))</f>
        <v/>
      </c>
      <c r="AQ206">
        <f>IF(L205&lt;=0,0,ROUND(L205*(1+IF(AND(L$6&gt;0,$B206&lt;L$6),L$4,L$5)/12),2))</f>
        <v/>
      </c>
      <c r="AR206">
        <f>IF(M205&lt;=0,0,ROUND(M205*(1+IF(AND(M$6&gt;0,$B206&lt;M$6),M$4,M$5)/12),2))</f>
        <v/>
      </c>
      <c r="AS206">
        <f>IF(N205&lt;=0,0,ROUND(N205*(1+IF(AND(N$6&gt;0,$B206&lt;N$6),N$4,N$5)/12),2))</f>
        <v/>
      </c>
    </row>
    <row r="207">
      <c r="A207" t="n">
        <v>196</v>
      </c>
      <c r="B207">
        <f>EDATE(Plan!$C$6,195)</f>
        <v/>
      </c>
      <c r="C207">
        <f>IF(C206&lt;=0,0,MAX(0,AH207-O207))</f>
        <v/>
      </c>
      <c r="D207">
        <f>IF(D206&lt;=0,0,MAX(0,AI207-P207))</f>
        <v/>
      </c>
      <c r="E207">
        <f>IF(E206&lt;=0,0,MAX(0,AJ207-Q207))</f>
        <v/>
      </c>
      <c r="F207">
        <f>IF(F206&lt;=0,0,MAX(0,AK207-R207))</f>
        <v/>
      </c>
      <c r="G207">
        <f>IF(G206&lt;=0,0,MAX(0,AL207-S207))</f>
        <v/>
      </c>
      <c r="H207">
        <f>IF(H206&lt;=0,0,MAX(0,AM207-T207))</f>
        <v/>
      </c>
      <c r="I207">
        <f>IF(I206&lt;=0,0,MAX(0,AN207-U207))</f>
        <v/>
      </c>
      <c r="J207">
        <f>IF(J206&lt;=0,0,MAX(0,AO207-V207))</f>
        <v/>
      </c>
      <c r="K207">
        <f>IF(K206&lt;=0,0,MAX(0,AP207-W207))</f>
        <v/>
      </c>
      <c r="L207">
        <f>IF(L206&lt;=0,0,MAX(0,AQ207-X207))</f>
        <v/>
      </c>
      <c r="M207">
        <f>IF(M206&lt;=0,0,MAX(0,AR207-Y207))</f>
        <v/>
      </c>
      <c r="N207">
        <f>IF(N206&lt;=0,0,MAX(0,AS207-Z207))</f>
        <v/>
      </c>
      <c r="O207">
        <f>IF(C206&lt;=0,0,MIN(AH207,C$7+IF(C$2=$AA207,$AC207,IF(C$2=$AF207,$AG207,0))))</f>
        <v/>
      </c>
      <c r="P207">
        <f>IF(D206&lt;=0,0,MIN(AI207,D$7+IF(D$2=$AA207,$AC207,IF(D$2=$AF207,$AG207,0))))</f>
        <v/>
      </c>
      <c r="Q207">
        <f>IF(E206&lt;=0,0,MIN(AJ207,E$7+IF(E$2=$AA207,$AC207,IF(E$2=$AF207,$AG207,0))))</f>
        <v/>
      </c>
      <c r="R207">
        <f>IF(F206&lt;=0,0,MIN(AK207,F$7+IF(F$2=$AA207,$AC207,IF(F$2=$AF207,$AG207,0))))</f>
        <v/>
      </c>
      <c r="S207">
        <f>IF(G206&lt;=0,0,MIN(AL207,G$7+IF(G$2=$AA207,$AC207,IF(G$2=$AF207,$AG207,0))))</f>
        <v/>
      </c>
      <c r="T207">
        <f>IF(H206&lt;=0,0,MIN(AM207,H$7+IF(H$2=$AA207,$AC207,IF(H$2=$AF207,$AG207,0))))</f>
        <v/>
      </c>
      <c r="U207">
        <f>IF(I206&lt;=0,0,MIN(AN207,I$7+IF(I$2=$AA207,$AC207,IF(I$2=$AF207,$AG207,0))))</f>
        <v/>
      </c>
      <c r="V207">
        <f>IF(J206&lt;=0,0,MIN(AO207,J$7+IF(J$2=$AA207,$AC207,IF(J$2=$AF207,$AG207,0))))</f>
        <v/>
      </c>
      <c r="W207">
        <f>IF(K206&lt;=0,0,MIN(AP207,K$7+IF(K$2=$AA207,$AC207,IF(K$2=$AF207,$AG207,0))))</f>
        <v/>
      </c>
      <c r="X207">
        <f>IF(L206&lt;=0,0,MIN(AQ207,L$7+IF(L$2=$AA207,$AC207,IF(L$2=$AF207,$AG207,0))))</f>
        <v/>
      </c>
      <c r="Y207">
        <f>IF(M206&lt;=0,0,MIN(AR207,M$7+IF(M$2=$AA207,$AC207,IF(M$2=$AF207,$AG207,0))))</f>
        <v/>
      </c>
      <c r="Z207">
        <f>IF(N206&lt;=0,0,MIN(AS207,N$7+IF(N$2=$AA207,$AC207,IF(N$2=$AF207,$AG207,0))))</f>
        <v/>
      </c>
      <c r="AA207">
        <f>IFERROR(ROUND(1/SUMPRODUCT(MAX((C206:N206&gt;0)*($C$3:$N$3&lt;=B207)/$C$2:$N$2)),0),0)</f>
        <v/>
      </c>
      <c r="AB207">
        <f>SUMPRODUCT((C206:N206&gt;0)*$C$7:$N$7)</f>
        <v/>
      </c>
      <c r="AC207">
        <f>MAX(0,Plan!$C$5-AB207)+IF(A207=Plan!$C$8,N(Plan!$C$7),0)</f>
        <v/>
      </c>
      <c r="AD207">
        <f>SUM(C207:N207)</f>
        <v/>
      </c>
      <c r="AE207">
        <f>SUM(O207:Z207)</f>
        <v/>
      </c>
      <c r="AF207">
        <f>IFERROR(ROUND(1/SUMPRODUCT(MAX((C206:N206&gt;0)*($C$3:$N$3&lt;=B207)*($C$2:$N$2&gt;AA207)/$C$2:$N$2)),0),0)</f>
        <v/>
      </c>
      <c r="AG207">
        <f>MAX(0,AC207-MAX(0,SUMPRODUCT(($C$2:$N$2=AA207)*(AH207:AS207-$C$7:$N$7))))</f>
        <v/>
      </c>
      <c r="AH207">
        <f>IF(C206&lt;=0,0,ROUND(C206*(1+IF(AND(C$6&gt;0,$B207&lt;C$6),C$4,C$5)/12),2))</f>
        <v/>
      </c>
      <c r="AI207">
        <f>IF(D206&lt;=0,0,ROUND(D206*(1+IF(AND(D$6&gt;0,$B207&lt;D$6),D$4,D$5)/12),2))</f>
        <v/>
      </c>
      <c r="AJ207">
        <f>IF(E206&lt;=0,0,ROUND(E206*(1+IF(AND(E$6&gt;0,$B207&lt;E$6),E$4,E$5)/12),2))</f>
        <v/>
      </c>
      <c r="AK207">
        <f>IF(F206&lt;=0,0,ROUND(F206*(1+IF(AND(F$6&gt;0,$B207&lt;F$6),F$4,F$5)/12),2))</f>
        <v/>
      </c>
      <c r="AL207">
        <f>IF(G206&lt;=0,0,ROUND(G206*(1+IF(AND(G$6&gt;0,$B207&lt;G$6),G$4,G$5)/12),2))</f>
        <v/>
      </c>
      <c r="AM207">
        <f>IF(H206&lt;=0,0,ROUND(H206*(1+IF(AND(H$6&gt;0,$B207&lt;H$6),H$4,H$5)/12),2))</f>
        <v/>
      </c>
      <c r="AN207">
        <f>IF(I206&lt;=0,0,ROUND(I206*(1+IF(AND(I$6&gt;0,$B207&lt;I$6),I$4,I$5)/12),2))</f>
        <v/>
      </c>
      <c r="AO207">
        <f>IF(J206&lt;=0,0,ROUND(J206*(1+IF(AND(J$6&gt;0,$B207&lt;J$6),J$4,J$5)/12),2))</f>
        <v/>
      </c>
      <c r="AP207">
        <f>IF(K206&lt;=0,0,ROUND(K206*(1+IF(AND(K$6&gt;0,$B207&lt;K$6),K$4,K$5)/12),2))</f>
        <v/>
      </c>
      <c r="AQ207">
        <f>IF(L206&lt;=0,0,ROUND(L206*(1+IF(AND(L$6&gt;0,$B207&lt;L$6),L$4,L$5)/12),2))</f>
        <v/>
      </c>
      <c r="AR207">
        <f>IF(M206&lt;=0,0,ROUND(M206*(1+IF(AND(M$6&gt;0,$B207&lt;M$6),M$4,M$5)/12),2))</f>
        <v/>
      </c>
      <c r="AS207">
        <f>IF(N206&lt;=0,0,ROUND(N206*(1+IF(AND(N$6&gt;0,$B207&lt;N$6),N$4,N$5)/12),2))</f>
        <v/>
      </c>
    </row>
    <row r="208">
      <c r="A208" t="n">
        <v>197</v>
      </c>
      <c r="B208">
        <f>EDATE(Plan!$C$6,196)</f>
        <v/>
      </c>
      <c r="C208">
        <f>IF(C207&lt;=0,0,MAX(0,AH208-O208))</f>
        <v/>
      </c>
      <c r="D208">
        <f>IF(D207&lt;=0,0,MAX(0,AI208-P208))</f>
        <v/>
      </c>
      <c r="E208">
        <f>IF(E207&lt;=0,0,MAX(0,AJ208-Q208))</f>
        <v/>
      </c>
      <c r="F208">
        <f>IF(F207&lt;=0,0,MAX(0,AK208-R208))</f>
        <v/>
      </c>
      <c r="G208">
        <f>IF(G207&lt;=0,0,MAX(0,AL208-S208))</f>
        <v/>
      </c>
      <c r="H208">
        <f>IF(H207&lt;=0,0,MAX(0,AM208-T208))</f>
        <v/>
      </c>
      <c r="I208">
        <f>IF(I207&lt;=0,0,MAX(0,AN208-U208))</f>
        <v/>
      </c>
      <c r="J208">
        <f>IF(J207&lt;=0,0,MAX(0,AO208-V208))</f>
        <v/>
      </c>
      <c r="K208">
        <f>IF(K207&lt;=0,0,MAX(0,AP208-W208))</f>
        <v/>
      </c>
      <c r="L208">
        <f>IF(L207&lt;=0,0,MAX(0,AQ208-X208))</f>
        <v/>
      </c>
      <c r="M208">
        <f>IF(M207&lt;=0,0,MAX(0,AR208-Y208))</f>
        <v/>
      </c>
      <c r="N208">
        <f>IF(N207&lt;=0,0,MAX(0,AS208-Z208))</f>
        <v/>
      </c>
      <c r="O208">
        <f>IF(C207&lt;=0,0,MIN(AH208,C$7+IF(C$2=$AA208,$AC208,IF(C$2=$AF208,$AG208,0))))</f>
        <v/>
      </c>
      <c r="P208">
        <f>IF(D207&lt;=0,0,MIN(AI208,D$7+IF(D$2=$AA208,$AC208,IF(D$2=$AF208,$AG208,0))))</f>
        <v/>
      </c>
      <c r="Q208">
        <f>IF(E207&lt;=0,0,MIN(AJ208,E$7+IF(E$2=$AA208,$AC208,IF(E$2=$AF208,$AG208,0))))</f>
        <v/>
      </c>
      <c r="R208">
        <f>IF(F207&lt;=0,0,MIN(AK208,F$7+IF(F$2=$AA208,$AC208,IF(F$2=$AF208,$AG208,0))))</f>
        <v/>
      </c>
      <c r="S208">
        <f>IF(G207&lt;=0,0,MIN(AL208,G$7+IF(G$2=$AA208,$AC208,IF(G$2=$AF208,$AG208,0))))</f>
        <v/>
      </c>
      <c r="T208">
        <f>IF(H207&lt;=0,0,MIN(AM208,H$7+IF(H$2=$AA208,$AC208,IF(H$2=$AF208,$AG208,0))))</f>
        <v/>
      </c>
      <c r="U208">
        <f>IF(I207&lt;=0,0,MIN(AN208,I$7+IF(I$2=$AA208,$AC208,IF(I$2=$AF208,$AG208,0))))</f>
        <v/>
      </c>
      <c r="V208">
        <f>IF(J207&lt;=0,0,MIN(AO208,J$7+IF(J$2=$AA208,$AC208,IF(J$2=$AF208,$AG208,0))))</f>
        <v/>
      </c>
      <c r="W208">
        <f>IF(K207&lt;=0,0,MIN(AP208,K$7+IF(K$2=$AA208,$AC208,IF(K$2=$AF208,$AG208,0))))</f>
        <v/>
      </c>
      <c r="X208">
        <f>IF(L207&lt;=0,0,MIN(AQ208,L$7+IF(L$2=$AA208,$AC208,IF(L$2=$AF208,$AG208,0))))</f>
        <v/>
      </c>
      <c r="Y208">
        <f>IF(M207&lt;=0,0,MIN(AR208,M$7+IF(M$2=$AA208,$AC208,IF(M$2=$AF208,$AG208,0))))</f>
        <v/>
      </c>
      <c r="Z208">
        <f>IF(N207&lt;=0,0,MIN(AS208,N$7+IF(N$2=$AA208,$AC208,IF(N$2=$AF208,$AG208,0))))</f>
        <v/>
      </c>
      <c r="AA208">
        <f>IFERROR(ROUND(1/SUMPRODUCT(MAX((C207:N207&gt;0)*($C$3:$N$3&lt;=B208)/$C$2:$N$2)),0),0)</f>
        <v/>
      </c>
      <c r="AB208">
        <f>SUMPRODUCT((C207:N207&gt;0)*$C$7:$N$7)</f>
        <v/>
      </c>
      <c r="AC208">
        <f>MAX(0,Plan!$C$5-AB208)+IF(A208=Plan!$C$8,N(Plan!$C$7),0)</f>
        <v/>
      </c>
      <c r="AD208">
        <f>SUM(C208:N208)</f>
        <v/>
      </c>
      <c r="AE208">
        <f>SUM(O208:Z208)</f>
        <v/>
      </c>
      <c r="AF208">
        <f>IFERROR(ROUND(1/SUMPRODUCT(MAX((C207:N207&gt;0)*($C$3:$N$3&lt;=B208)*($C$2:$N$2&gt;AA208)/$C$2:$N$2)),0),0)</f>
        <v/>
      </c>
      <c r="AG208">
        <f>MAX(0,AC208-MAX(0,SUMPRODUCT(($C$2:$N$2=AA208)*(AH208:AS208-$C$7:$N$7))))</f>
        <v/>
      </c>
      <c r="AH208">
        <f>IF(C207&lt;=0,0,ROUND(C207*(1+IF(AND(C$6&gt;0,$B208&lt;C$6),C$4,C$5)/12),2))</f>
        <v/>
      </c>
      <c r="AI208">
        <f>IF(D207&lt;=0,0,ROUND(D207*(1+IF(AND(D$6&gt;0,$B208&lt;D$6),D$4,D$5)/12),2))</f>
        <v/>
      </c>
      <c r="AJ208">
        <f>IF(E207&lt;=0,0,ROUND(E207*(1+IF(AND(E$6&gt;0,$B208&lt;E$6),E$4,E$5)/12),2))</f>
        <v/>
      </c>
      <c r="AK208">
        <f>IF(F207&lt;=0,0,ROUND(F207*(1+IF(AND(F$6&gt;0,$B208&lt;F$6),F$4,F$5)/12),2))</f>
        <v/>
      </c>
      <c r="AL208">
        <f>IF(G207&lt;=0,0,ROUND(G207*(1+IF(AND(G$6&gt;0,$B208&lt;G$6),G$4,G$5)/12),2))</f>
        <v/>
      </c>
      <c r="AM208">
        <f>IF(H207&lt;=0,0,ROUND(H207*(1+IF(AND(H$6&gt;0,$B208&lt;H$6),H$4,H$5)/12),2))</f>
        <v/>
      </c>
      <c r="AN208">
        <f>IF(I207&lt;=0,0,ROUND(I207*(1+IF(AND(I$6&gt;0,$B208&lt;I$6),I$4,I$5)/12),2))</f>
        <v/>
      </c>
      <c r="AO208">
        <f>IF(J207&lt;=0,0,ROUND(J207*(1+IF(AND(J$6&gt;0,$B208&lt;J$6),J$4,J$5)/12),2))</f>
        <v/>
      </c>
      <c r="AP208">
        <f>IF(K207&lt;=0,0,ROUND(K207*(1+IF(AND(K$6&gt;0,$B208&lt;K$6),K$4,K$5)/12),2))</f>
        <v/>
      </c>
      <c r="AQ208">
        <f>IF(L207&lt;=0,0,ROUND(L207*(1+IF(AND(L$6&gt;0,$B208&lt;L$6),L$4,L$5)/12),2))</f>
        <v/>
      </c>
      <c r="AR208">
        <f>IF(M207&lt;=0,0,ROUND(M207*(1+IF(AND(M$6&gt;0,$B208&lt;M$6),M$4,M$5)/12),2))</f>
        <v/>
      </c>
      <c r="AS208">
        <f>IF(N207&lt;=0,0,ROUND(N207*(1+IF(AND(N$6&gt;0,$B208&lt;N$6),N$4,N$5)/12),2))</f>
        <v/>
      </c>
    </row>
    <row r="209">
      <c r="A209" t="n">
        <v>198</v>
      </c>
      <c r="B209">
        <f>EDATE(Plan!$C$6,197)</f>
        <v/>
      </c>
      <c r="C209">
        <f>IF(C208&lt;=0,0,MAX(0,AH209-O209))</f>
        <v/>
      </c>
      <c r="D209">
        <f>IF(D208&lt;=0,0,MAX(0,AI209-P209))</f>
        <v/>
      </c>
      <c r="E209">
        <f>IF(E208&lt;=0,0,MAX(0,AJ209-Q209))</f>
        <v/>
      </c>
      <c r="F209">
        <f>IF(F208&lt;=0,0,MAX(0,AK209-R209))</f>
        <v/>
      </c>
      <c r="G209">
        <f>IF(G208&lt;=0,0,MAX(0,AL209-S209))</f>
        <v/>
      </c>
      <c r="H209">
        <f>IF(H208&lt;=0,0,MAX(0,AM209-T209))</f>
        <v/>
      </c>
      <c r="I209">
        <f>IF(I208&lt;=0,0,MAX(0,AN209-U209))</f>
        <v/>
      </c>
      <c r="J209">
        <f>IF(J208&lt;=0,0,MAX(0,AO209-V209))</f>
        <v/>
      </c>
      <c r="K209">
        <f>IF(K208&lt;=0,0,MAX(0,AP209-W209))</f>
        <v/>
      </c>
      <c r="L209">
        <f>IF(L208&lt;=0,0,MAX(0,AQ209-X209))</f>
        <v/>
      </c>
      <c r="M209">
        <f>IF(M208&lt;=0,0,MAX(0,AR209-Y209))</f>
        <v/>
      </c>
      <c r="N209">
        <f>IF(N208&lt;=0,0,MAX(0,AS209-Z209))</f>
        <v/>
      </c>
      <c r="O209">
        <f>IF(C208&lt;=0,0,MIN(AH209,C$7+IF(C$2=$AA209,$AC209,IF(C$2=$AF209,$AG209,0))))</f>
        <v/>
      </c>
      <c r="P209">
        <f>IF(D208&lt;=0,0,MIN(AI209,D$7+IF(D$2=$AA209,$AC209,IF(D$2=$AF209,$AG209,0))))</f>
        <v/>
      </c>
      <c r="Q209">
        <f>IF(E208&lt;=0,0,MIN(AJ209,E$7+IF(E$2=$AA209,$AC209,IF(E$2=$AF209,$AG209,0))))</f>
        <v/>
      </c>
      <c r="R209">
        <f>IF(F208&lt;=0,0,MIN(AK209,F$7+IF(F$2=$AA209,$AC209,IF(F$2=$AF209,$AG209,0))))</f>
        <v/>
      </c>
      <c r="S209">
        <f>IF(G208&lt;=0,0,MIN(AL209,G$7+IF(G$2=$AA209,$AC209,IF(G$2=$AF209,$AG209,0))))</f>
        <v/>
      </c>
      <c r="T209">
        <f>IF(H208&lt;=0,0,MIN(AM209,H$7+IF(H$2=$AA209,$AC209,IF(H$2=$AF209,$AG209,0))))</f>
        <v/>
      </c>
      <c r="U209">
        <f>IF(I208&lt;=0,0,MIN(AN209,I$7+IF(I$2=$AA209,$AC209,IF(I$2=$AF209,$AG209,0))))</f>
        <v/>
      </c>
      <c r="V209">
        <f>IF(J208&lt;=0,0,MIN(AO209,J$7+IF(J$2=$AA209,$AC209,IF(J$2=$AF209,$AG209,0))))</f>
        <v/>
      </c>
      <c r="W209">
        <f>IF(K208&lt;=0,0,MIN(AP209,K$7+IF(K$2=$AA209,$AC209,IF(K$2=$AF209,$AG209,0))))</f>
        <v/>
      </c>
      <c r="X209">
        <f>IF(L208&lt;=0,0,MIN(AQ209,L$7+IF(L$2=$AA209,$AC209,IF(L$2=$AF209,$AG209,0))))</f>
        <v/>
      </c>
      <c r="Y209">
        <f>IF(M208&lt;=0,0,MIN(AR209,M$7+IF(M$2=$AA209,$AC209,IF(M$2=$AF209,$AG209,0))))</f>
        <v/>
      </c>
      <c r="Z209">
        <f>IF(N208&lt;=0,0,MIN(AS209,N$7+IF(N$2=$AA209,$AC209,IF(N$2=$AF209,$AG209,0))))</f>
        <v/>
      </c>
      <c r="AA209">
        <f>IFERROR(ROUND(1/SUMPRODUCT(MAX((C208:N208&gt;0)*($C$3:$N$3&lt;=B209)/$C$2:$N$2)),0),0)</f>
        <v/>
      </c>
      <c r="AB209">
        <f>SUMPRODUCT((C208:N208&gt;0)*$C$7:$N$7)</f>
        <v/>
      </c>
      <c r="AC209">
        <f>MAX(0,Plan!$C$5-AB209)+IF(A209=Plan!$C$8,N(Plan!$C$7),0)</f>
        <v/>
      </c>
      <c r="AD209">
        <f>SUM(C209:N209)</f>
        <v/>
      </c>
      <c r="AE209">
        <f>SUM(O209:Z209)</f>
        <v/>
      </c>
      <c r="AF209">
        <f>IFERROR(ROUND(1/SUMPRODUCT(MAX((C208:N208&gt;0)*($C$3:$N$3&lt;=B209)*($C$2:$N$2&gt;AA209)/$C$2:$N$2)),0),0)</f>
        <v/>
      </c>
      <c r="AG209">
        <f>MAX(0,AC209-MAX(0,SUMPRODUCT(($C$2:$N$2=AA209)*(AH209:AS209-$C$7:$N$7))))</f>
        <v/>
      </c>
      <c r="AH209">
        <f>IF(C208&lt;=0,0,ROUND(C208*(1+IF(AND(C$6&gt;0,$B209&lt;C$6),C$4,C$5)/12),2))</f>
        <v/>
      </c>
      <c r="AI209">
        <f>IF(D208&lt;=0,0,ROUND(D208*(1+IF(AND(D$6&gt;0,$B209&lt;D$6),D$4,D$5)/12),2))</f>
        <v/>
      </c>
      <c r="AJ209">
        <f>IF(E208&lt;=0,0,ROUND(E208*(1+IF(AND(E$6&gt;0,$B209&lt;E$6),E$4,E$5)/12),2))</f>
        <v/>
      </c>
      <c r="AK209">
        <f>IF(F208&lt;=0,0,ROUND(F208*(1+IF(AND(F$6&gt;0,$B209&lt;F$6),F$4,F$5)/12),2))</f>
        <v/>
      </c>
      <c r="AL209">
        <f>IF(G208&lt;=0,0,ROUND(G208*(1+IF(AND(G$6&gt;0,$B209&lt;G$6),G$4,G$5)/12),2))</f>
        <v/>
      </c>
      <c r="AM209">
        <f>IF(H208&lt;=0,0,ROUND(H208*(1+IF(AND(H$6&gt;0,$B209&lt;H$6),H$4,H$5)/12),2))</f>
        <v/>
      </c>
      <c r="AN209">
        <f>IF(I208&lt;=0,0,ROUND(I208*(1+IF(AND(I$6&gt;0,$B209&lt;I$6),I$4,I$5)/12),2))</f>
        <v/>
      </c>
      <c r="AO209">
        <f>IF(J208&lt;=0,0,ROUND(J208*(1+IF(AND(J$6&gt;0,$B209&lt;J$6),J$4,J$5)/12),2))</f>
        <v/>
      </c>
      <c r="AP209">
        <f>IF(K208&lt;=0,0,ROUND(K208*(1+IF(AND(K$6&gt;0,$B209&lt;K$6),K$4,K$5)/12),2))</f>
        <v/>
      </c>
      <c r="AQ209">
        <f>IF(L208&lt;=0,0,ROUND(L208*(1+IF(AND(L$6&gt;0,$B209&lt;L$6),L$4,L$5)/12),2))</f>
        <v/>
      </c>
      <c r="AR209">
        <f>IF(M208&lt;=0,0,ROUND(M208*(1+IF(AND(M$6&gt;0,$B209&lt;M$6),M$4,M$5)/12),2))</f>
        <v/>
      </c>
      <c r="AS209">
        <f>IF(N208&lt;=0,0,ROUND(N208*(1+IF(AND(N$6&gt;0,$B209&lt;N$6),N$4,N$5)/12),2))</f>
        <v/>
      </c>
    </row>
    <row r="210">
      <c r="A210" t="n">
        <v>199</v>
      </c>
      <c r="B210">
        <f>EDATE(Plan!$C$6,198)</f>
        <v/>
      </c>
      <c r="C210">
        <f>IF(C209&lt;=0,0,MAX(0,AH210-O210))</f>
        <v/>
      </c>
      <c r="D210">
        <f>IF(D209&lt;=0,0,MAX(0,AI210-P210))</f>
        <v/>
      </c>
      <c r="E210">
        <f>IF(E209&lt;=0,0,MAX(0,AJ210-Q210))</f>
        <v/>
      </c>
      <c r="F210">
        <f>IF(F209&lt;=0,0,MAX(0,AK210-R210))</f>
        <v/>
      </c>
      <c r="G210">
        <f>IF(G209&lt;=0,0,MAX(0,AL210-S210))</f>
        <v/>
      </c>
      <c r="H210">
        <f>IF(H209&lt;=0,0,MAX(0,AM210-T210))</f>
        <v/>
      </c>
      <c r="I210">
        <f>IF(I209&lt;=0,0,MAX(0,AN210-U210))</f>
        <v/>
      </c>
      <c r="J210">
        <f>IF(J209&lt;=0,0,MAX(0,AO210-V210))</f>
        <v/>
      </c>
      <c r="K210">
        <f>IF(K209&lt;=0,0,MAX(0,AP210-W210))</f>
        <v/>
      </c>
      <c r="L210">
        <f>IF(L209&lt;=0,0,MAX(0,AQ210-X210))</f>
        <v/>
      </c>
      <c r="M210">
        <f>IF(M209&lt;=0,0,MAX(0,AR210-Y210))</f>
        <v/>
      </c>
      <c r="N210">
        <f>IF(N209&lt;=0,0,MAX(0,AS210-Z210))</f>
        <v/>
      </c>
      <c r="O210">
        <f>IF(C209&lt;=0,0,MIN(AH210,C$7+IF(C$2=$AA210,$AC210,IF(C$2=$AF210,$AG210,0))))</f>
        <v/>
      </c>
      <c r="P210">
        <f>IF(D209&lt;=0,0,MIN(AI210,D$7+IF(D$2=$AA210,$AC210,IF(D$2=$AF210,$AG210,0))))</f>
        <v/>
      </c>
      <c r="Q210">
        <f>IF(E209&lt;=0,0,MIN(AJ210,E$7+IF(E$2=$AA210,$AC210,IF(E$2=$AF210,$AG210,0))))</f>
        <v/>
      </c>
      <c r="R210">
        <f>IF(F209&lt;=0,0,MIN(AK210,F$7+IF(F$2=$AA210,$AC210,IF(F$2=$AF210,$AG210,0))))</f>
        <v/>
      </c>
      <c r="S210">
        <f>IF(G209&lt;=0,0,MIN(AL210,G$7+IF(G$2=$AA210,$AC210,IF(G$2=$AF210,$AG210,0))))</f>
        <v/>
      </c>
      <c r="T210">
        <f>IF(H209&lt;=0,0,MIN(AM210,H$7+IF(H$2=$AA210,$AC210,IF(H$2=$AF210,$AG210,0))))</f>
        <v/>
      </c>
      <c r="U210">
        <f>IF(I209&lt;=0,0,MIN(AN210,I$7+IF(I$2=$AA210,$AC210,IF(I$2=$AF210,$AG210,0))))</f>
        <v/>
      </c>
      <c r="V210">
        <f>IF(J209&lt;=0,0,MIN(AO210,J$7+IF(J$2=$AA210,$AC210,IF(J$2=$AF210,$AG210,0))))</f>
        <v/>
      </c>
      <c r="W210">
        <f>IF(K209&lt;=0,0,MIN(AP210,K$7+IF(K$2=$AA210,$AC210,IF(K$2=$AF210,$AG210,0))))</f>
        <v/>
      </c>
      <c r="X210">
        <f>IF(L209&lt;=0,0,MIN(AQ210,L$7+IF(L$2=$AA210,$AC210,IF(L$2=$AF210,$AG210,0))))</f>
        <v/>
      </c>
      <c r="Y210">
        <f>IF(M209&lt;=0,0,MIN(AR210,M$7+IF(M$2=$AA210,$AC210,IF(M$2=$AF210,$AG210,0))))</f>
        <v/>
      </c>
      <c r="Z210">
        <f>IF(N209&lt;=0,0,MIN(AS210,N$7+IF(N$2=$AA210,$AC210,IF(N$2=$AF210,$AG210,0))))</f>
        <v/>
      </c>
      <c r="AA210">
        <f>IFERROR(ROUND(1/SUMPRODUCT(MAX((C209:N209&gt;0)*($C$3:$N$3&lt;=B210)/$C$2:$N$2)),0),0)</f>
        <v/>
      </c>
      <c r="AB210">
        <f>SUMPRODUCT((C209:N209&gt;0)*$C$7:$N$7)</f>
        <v/>
      </c>
      <c r="AC210">
        <f>MAX(0,Plan!$C$5-AB210)+IF(A210=Plan!$C$8,N(Plan!$C$7),0)</f>
        <v/>
      </c>
      <c r="AD210">
        <f>SUM(C210:N210)</f>
        <v/>
      </c>
      <c r="AE210">
        <f>SUM(O210:Z210)</f>
        <v/>
      </c>
      <c r="AF210">
        <f>IFERROR(ROUND(1/SUMPRODUCT(MAX((C209:N209&gt;0)*($C$3:$N$3&lt;=B210)*($C$2:$N$2&gt;AA210)/$C$2:$N$2)),0),0)</f>
        <v/>
      </c>
      <c r="AG210">
        <f>MAX(0,AC210-MAX(0,SUMPRODUCT(($C$2:$N$2=AA210)*(AH210:AS210-$C$7:$N$7))))</f>
        <v/>
      </c>
      <c r="AH210">
        <f>IF(C209&lt;=0,0,ROUND(C209*(1+IF(AND(C$6&gt;0,$B210&lt;C$6),C$4,C$5)/12),2))</f>
        <v/>
      </c>
      <c r="AI210">
        <f>IF(D209&lt;=0,0,ROUND(D209*(1+IF(AND(D$6&gt;0,$B210&lt;D$6),D$4,D$5)/12),2))</f>
        <v/>
      </c>
      <c r="AJ210">
        <f>IF(E209&lt;=0,0,ROUND(E209*(1+IF(AND(E$6&gt;0,$B210&lt;E$6),E$4,E$5)/12),2))</f>
        <v/>
      </c>
      <c r="AK210">
        <f>IF(F209&lt;=0,0,ROUND(F209*(1+IF(AND(F$6&gt;0,$B210&lt;F$6),F$4,F$5)/12),2))</f>
        <v/>
      </c>
      <c r="AL210">
        <f>IF(G209&lt;=0,0,ROUND(G209*(1+IF(AND(G$6&gt;0,$B210&lt;G$6),G$4,G$5)/12),2))</f>
        <v/>
      </c>
      <c r="AM210">
        <f>IF(H209&lt;=0,0,ROUND(H209*(1+IF(AND(H$6&gt;0,$B210&lt;H$6),H$4,H$5)/12),2))</f>
        <v/>
      </c>
      <c r="AN210">
        <f>IF(I209&lt;=0,0,ROUND(I209*(1+IF(AND(I$6&gt;0,$B210&lt;I$6),I$4,I$5)/12),2))</f>
        <v/>
      </c>
      <c r="AO210">
        <f>IF(J209&lt;=0,0,ROUND(J209*(1+IF(AND(J$6&gt;0,$B210&lt;J$6),J$4,J$5)/12),2))</f>
        <v/>
      </c>
      <c r="AP210">
        <f>IF(K209&lt;=0,0,ROUND(K209*(1+IF(AND(K$6&gt;0,$B210&lt;K$6),K$4,K$5)/12),2))</f>
        <v/>
      </c>
      <c r="AQ210">
        <f>IF(L209&lt;=0,0,ROUND(L209*(1+IF(AND(L$6&gt;0,$B210&lt;L$6),L$4,L$5)/12),2))</f>
        <v/>
      </c>
      <c r="AR210">
        <f>IF(M209&lt;=0,0,ROUND(M209*(1+IF(AND(M$6&gt;0,$B210&lt;M$6),M$4,M$5)/12),2))</f>
        <v/>
      </c>
      <c r="AS210">
        <f>IF(N209&lt;=0,0,ROUND(N209*(1+IF(AND(N$6&gt;0,$B210&lt;N$6),N$4,N$5)/12),2))</f>
        <v/>
      </c>
    </row>
    <row r="211">
      <c r="A211" t="n">
        <v>200</v>
      </c>
      <c r="B211">
        <f>EDATE(Plan!$C$6,199)</f>
        <v/>
      </c>
      <c r="C211">
        <f>IF(C210&lt;=0,0,MAX(0,AH211-O211))</f>
        <v/>
      </c>
      <c r="D211">
        <f>IF(D210&lt;=0,0,MAX(0,AI211-P211))</f>
        <v/>
      </c>
      <c r="E211">
        <f>IF(E210&lt;=0,0,MAX(0,AJ211-Q211))</f>
        <v/>
      </c>
      <c r="F211">
        <f>IF(F210&lt;=0,0,MAX(0,AK211-R211))</f>
        <v/>
      </c>
      <c r="G211">
        <f>IF(G210&lt;=0,0,MAX(0,AL211-S211))</f>
        <v/>
      </c>
      <c r="H211">
        <f>IF(H210&lt;=0,0,MAX(0,AM211-T211))</f>
        <v/>
      </c>
      <c r="I211">
        <f>IF(I210&lt;=0,0,MAX(0,AN211-U211))</f>
        <v/>
      </c>
      <c r="J211">
        <f>IF(J210&lt;=0,0,MAX(0,AO211-V211))</f>
        <v/>
      </c>
      <c r="K211">
        <f>IF(K210&lt;=0,0,MAX(0,AP211-W211))</f>
        <v/>
      </c>
      <c r="L211">
        <f>IF(L210&lt;=0,0,MAX(0,AQ211-X211))</f>
        <v/>
      </c>
      <c r="M211">
        <f>IF(M210&lt;=0,0,MAX(0,AR211-Y211))</f>
        <v/>
      </c>
      <c r="N211">
        <f>IF(N210&lt;=0,0,MAX(0,AS211-Z211))</f>
        <v/>
      </c>
      <c r="O211">
        <f>IF(C210&lt;=0,0,MIN(AH211,C$7+IF(C$2=$AA211,$AC211,IF(C$2=$AF211,$AG211,0))))</f>
        <v/>
      </c>
      <c r="P211">
        <f>IF(D210&lt;=0,0,MIN(AI211,D$7+IF(D$2=$AA211,$AC211,IF(D$2=$AF211,$AG211,0))))</f>
        <v/>
      </c>
      <c r="Q211">
        <f>IF(E210&lt;=0,0,MIN(AJ211,E$7+IF(E$2=$AA211,$AC211,IF(E$2=$AF211,$AG211,0))))</f>
        <v/>
      </c>
      <c r="R211">
        <f>IF(F210&lt;=0,0,MIN(AK211,F$7+IF(F$2=$AA211,$AC211,IF(F$2=$AF211,$AG211,0))))</f>
        <v/>
      </c>
      <c r="S211">
        <f>IF(G210&lt;=0,0,MIN(AL211,G$7+IF(G$2=$AA211,$AC211,IF(G$2=$AF211,$AG211,0))))</f>
        <v/>
      </c>
      <c r="T211">
        <f>IF(H210&lt;=0,0,MIN(AM211,H$7+IF(H$2=$AA211,$AC211,IF(H$2=$AF211,$AG211,0))))</f>
        <v/>
      </c>
      <c r="U211">
        <f>IF(I210&lt;=0,0,MIN(AN211,I$7+IF(I$2=$AA211,$AC211,IF(I$2=$AF211,$AG211,0))))</f>
        <v/>
      </c>
      <c r="V211">
        <f>IF(J210&lt;=0,0,MIN(AO211,J$7+IF(J$2=$AA211,$AC211,IF(J$2=$AF211,$AG211,0))))</f>
        <v/>
      </c>
      <c r="W211">
        <f>IF(K210&lt;=0,0,MIN(AP211,K$7+IF(K$2=$AA211,$AC211,IF(K$2=$AF211,$AG211,0))))</f>
        <v/>
      </c>
      <c r="X211">
        <f>IF(L210&lt;=0,0,MIN(AQ211,L$7+IF(L$2=$AA211,$AC211,IF(L$2=$AF211,$AG211,0))))</f>
        <v/>
      </c>
      <c r="Y211">
        <f>IF(M210&lt;=0,0,MIN(AR211,M$7+IF(M$2=$AA211,$AC211,IF(M$2=$AF211,$AG211,0))))</f>
        <v/>
      </c>
      <c r="Z211">
        <f>IF(N210&lt;=0,0,MIN(AS211,N$7+IF(N$2=$AA211,$AC211,IF(N$2=$AF211,$AG211,0))))</f>
        <v/>
      </c>
      <c r="AA211">
        <f>IFERROR(ROUND(1/SUMPRODUCT(MAX((C210:N210&gt;0)*($C$3:$N$3&lt;=B211)/$C$2:$N$2)),0),0)</f>
        <v/>
      </c>
      <c r="AB211">
        <f>SUMPRODUCT((C210:N210&gt;0)*$C$7:$N$7)</f>
        <v/>
      </c>
      <c r="AC211">
        <f>MAX(0,Plan!$C$5-AB211)+IF(A211=Plan!$C$8,N(Plan!$C$7),0)</f>
        <v/>
      </c>
      <c r="AD211">
        <f>SUM(C211:N211)</f>
        <v/>
      </c>
      <c r="AE211">
        <f>SUM(O211:Z211)</f>
        <v/>
      </c>
      <c r="AF211">
        <f>IFERROR(ROUND(1/SUMPRODUCT(MAX((C210:N210&gt;0)*($C$3:$N$3&lt;=B211)*($C$2:$N$2&gt;AA211)/$C$2:$N$2)),0),0)</f>
        <v/>
      </c>
      <c r="AG211">
        <f>MAX(0,AC211-MAX(0,SUMPRODUCT(($C$2:$N$2=AA211)*(AH211:AS211-$C$7:$N$7))))</f>
        <v/>
      </c>
      <c r="AH211">
        <f>IF(C210&lt;=0,0,ROUND(C210*(1+IF(AND(C$6&gt;0,$B211&lt;C$6),C$4,C$5)/12),2))</f>
        <v/>
      </c>
      <c r="AI211">
        <f>IF(D210&lt;=0,0,ROUND(D210*(1+IF(AND(D$6&gt;0,$B211&lt;D$6),D$4,D$5)/12),2))</f>
        <v/>
      </c>
      <c r="AJ211">
        <f>IF(E210&lt;=0,0,ROUND(E210*(1+IF(AND(E$6&gt;0,$B211&lt;E$6),E$4,E$5)/12),2))</f>
        <v/>
      </c>
      <c r="AK211">
        <f>IF(F210&lt;=0,0,ROUND(F210*(1+IF(AND(F$6&gt;0,$B211&lt;F$6),F$4,F$5)/12),2))</f>
        <v/>
      </c>
      <c r="AL211">
        <f>IF(G210&lt;=0,0,ROUND(G210*(1+IF(AND(G$6&gt;0,$B211&lt;G$6),G$4,G$5)/12),2))</f>
        <v/>
      </c>
      <c r="AM211">
        <f>IF(H210&lt;=0,0,ROUND(H210*(1+IF(AND(H$6&gt;0,$B211&lt;H$6),H$4,H$5)/12),2))</f>
        <v/>
      </c>
      <c r="AN211">
        <f>IF(I210&lt;=0,0,ROUND(I210*(1+IF(AND(I$6&gt;0,$B211&lt;I$6),I$4,I$5)/12),2))</f>
        <v/>
      </c>
      <c r="AO211">
        <f>IF(J210&lt;=0,0,ROUND(J210*(1+IF(AND(J$6&gt;0,$B211&lt;J$6),J$4,J$5)/12),2))</f>
        <v/>
      </c>
      <c r="AP211">
        <f>IF(K210&lt;=0,0,ROUND(K210*(1+IF(AND(K$6&gt;0,$B211&lt;K$6),K$4,K$5)/12),2))</f>
        <v/>
      </c>
      <c r="AQ211">
        <f>IF(L210&lt;=0,0,ROUND(L210*(1+IF(AND(L$6&gt;0,$B211&lt;L$6),L$4,L$5)/12),2))</f>
        <v/>
      </c>
      <c r="AR211">
        <f>IF(M210&lt;=0,0,ROUND(M210*(1+IF(AND(M$6&gt;0,$B211&lt;M$6),M$4,M$5)/12),2))</f>
        <v/>
      </c>
      <c r="AS211">
        <f>IF(N210&lt;=0,0,ROUND(N210*(1+IF(AND(N$6&gt;0,$B211&lt;N$6),N$4,N$5)/12),2))</f>
        <v/>
      </c>
    </row>
    <row r="212">
      <c r="A212" t="n">
        <v>201</v>
      </c>
      <c r="B212">
        <f>EDATE(Plan!$C$6,200)</f>
        <v/>
      </c>
      <c r="C212">
        <f>IF(C211&lt;=0,0,MAX(0,AH212-O212))</f>
        <v/>
      </c>
      <c r="D212">
        <f>IF(D211&lt;=0,0,MAX(0,AI212-P212))</f>
        <v/>
      </c>
      <c r="E212">
        <f>IF(E211&lt;=0,0,MAX(0,AJ212-Q212))</f>
        <v/>
      </c>
      <c r="F212">
        <f>IF(F211&lt;=0,0,MAX(0,AK212-R212))</f>
        <v/>
      </c>
      <c r="G212">
        <f>IF(G211&lt;=0,0,MAX(0,AL212-S212))</f>
        <v/>
      </c>
      <c r="H212">
        <f>IF(H211&lt;=0,0,MAX(0,AM212-T212))</f>
        <v/>
      </c>
      <c r="I212">
        <f>IF(I211&lt;=0,0,MAX(0,AN212-U212))</f>
        <v/>
      </c>
      <c r="J212">
        <f>IF(J211&lt;=0,0,MAX(0,AO212-V212))</f>
        <v/>
      </c>
      <c r="K212">
        <f>IF(K211&lt;=0,0,MAX(0,AP212-W212))</f>
        <v/>
      </c>
      <c r="L212">
        <f>IF(L211&lt;=0,0,MAX(0,AQ212-X212))</f>
        <v/>
      </c>
      <c r="M212">
        <f>IF(M211&lt;=0,0,MAX(0,AR212-Y212))</f>
        <v/>
      </c>
      <c r="N212">
        <f>IF(N211&lt;=0,0,MAX(0,AS212-Z212))</f>
        <v/>
      </c>
      <c r="O212">
        <f>IF(C211&lt;=0,0,MIN(AH212,C$7+IF(C$2=$AA212,$AC212,IF(C$2=$AF212,$AG212,0))))</f>
        <v/>
      </c>
      <c r="P212">
        <f>IF(D211&lt;=0,0,MIN(AI212,D$7+IF(D$2=$AA212,$AC212,IF(D$2=$AF212,$AG212,0))))</f>
        <v/>
      </c>
      <c r="Q212">
        <f>IF(E211&lt;=0,0,MIN(AJ212,E$7+IF(E$2=$AA212,$AC212,IF(E$2=$AF212,$AG212,0))))</f>
        <v/>
      </c>
      <c r="R212">
        <f>IF(F211&lt;=0,0,MIN(AK212,F$7+IF(F$2=$AA212,$AC212,IF(F$2=$AF212,$AG212,0))))</f>
        <v/>
      </c>
      <c r="S212">
        <f>IF(G211&lt;=0,0,MIN(AL212,G$7+IF(G$2=$AA212,$AC212,IF(G$2=$AF212,$AG212,0))))</f>
        <v/>
      </c>
      <c r="T212">
        <f>IF(H211&lt;=0,0,MIN(AM212,H$7+IF(H$2=$AA212,$AC212,IF(H$2=$AF212,$AG212,0))))</f>
        <v/>
      </c>
      <c r="U212">
        <f>IF(I211&lt;=0,0,MIN(AN212,I$7+IF(I$2=$AA212,$AC212,IF(I$2=$AF212,$AG212,0))))</f>
        <v/>
      </c>
      <c r="V212">
        <f>IF(J211&lt;=0,0,MIN(AO212,J$7+IF(J$2=$AA212,$AC212,IF(J$2=$AF212,$AG212,0))))</f>
        <v/>
      </c>
      <c r="W212">
        <f>IF(K211&lt;=0,0,MIN(AP212,K$7+IF(K$2=$AA212,$AC212,IF(K$2=$AF212,$AG212,0))))</f>
        <v/>
      </c>
      <c r="X212">
        <f>IF(L211&lt;=0,0,MIN(AQ212,L$7+IF(L$2=$AA212,$AC212,IF(L$2=$AF212,$AG212,0))))</f>
        <v/>
      </c>
      <c r="Y212">
        <f>IF(M211&lt;=0,0,MIN(AR212,M$7+IF(M$2=$AA212,$AC212,IF(M$2=$AF212,$AG212,0))))</f>
        <v/>
      </c>
      <c r="Z212">
        <f>IF(N211&lt;=0,0,MIN(AS212,N$7+IF(N$2=$AA212,$AC212,IF(N$2=$AF212,$AG212,0))))</f>
        <v/>
      </c>
      <c r="AA212">
        <f>IFERROR(ROUND(1/SUMPRODUCT(MAX((C211:N211&gt;0)*($C$3:$N$3&lt;=B212)/$C$2:$N$2)),0),0)</f>
        <v/>
      </c>
      <c r="AB212">
        <f>SUMPRODUCT((C211:N211&gt;0)*$C$7:$N$7)</f>
        <v/>
      </c>
      <c r="AC212">
        <f>MAX(0,Plan!$C$5-AB212)+IF(A212=Plan!$C$8,N(Plan!$C$7),0)</f>
        <v/>
      </c>
      <c r="AD212">
        <f>SUM(C212:N212)</f>
        <v/>
      </c>
      <c r="AE212">
        <f>SUM(O212:Z212)</f>
        <v/>
      </c>
      <c r="AF212">
        <f>IFERROR(ROUND(1/SUMPRODUCT(MAX((C211:N211&gt;0)*($C$3:$N$3&lt;=B212)*($C$2:$N$2&gt;AA212)/$C$2:$N$2)),0),0)</f>
        <v/>
      </c>
      <c r="AG212">
        <f>MAX(0,AC212-MAX(0,SUMPRODUCT(($C$2:$N$2=AA212)*(AH212:AS212-$C$7:$N$7))))</f>
        <v/>
      </c>
      <c r="AH212">
        <f>IF(C211&lt;=0,0,ROUND(C211*(1+IF(AND(C$6&gt;0,$B212&lt;C$6),C$4,C$5)/12),2))</f>
        <v/>
      </c>
      <c r="AI212">
        <f>IF(D211&lt;=0,0,ROUND(D211*(1+IF(AND(D$6&gt;0,$B212&lt;D$6),D$4,D$5)/12),2))</f>
        <v/>
      </c>
      <c r="AJ212">
        <f>IF(E211&lt;=0,0,ROUND(E211*(1+IF(AND(E$6&gt;0,$B212&lt;E$6),E$4,E$5)/12),2))</f>
        <v/>
      </c>
      <c r="AK212">
        <f>IF(F211&lt;=0,0,ROUND(F211*(1+IF(AND(F$6&gt;0,$B212&lt;F$6),F$4,F$5)/12),2))</f>
        <v/>
      </c>
      <c r="AL212">
        <f>IF(G211&lt;=0,0,ROUND(G211*(1+IF(AND(G$6&gt;0,$B212&lt;G$6),G$4,G$5)/12),2))</f>
        <v/>
      </c>
      <c r="AM212">
        <f>IF(H211&lt;=0,0,ROUND(H211*(1+IF(AND(H$6&gt;0,$B212&lt;H$6),H$4,H$5)/12),2))</f>
        <v/>
      </c>
      <c r="AN212">
        <f>IF(I211&lt;=0,0,ROUND(I211*(1+IF(AND(I$6&gt;0,$B212&lt;I$6),I$4,I$5)/12),2))</f>
        <v/>
      </c>
      <c r="AO212">
        <f>IF(J211&lt;=0,0,ROUND(J211*(1+IF(AND(J$6&gt;0,$B212&lt;J$6),J$4,J$5)/12),2))</f>
        <v/>
      </c>
      <c r="AP212">
        <f>IF(K211&lt;=0,0,ROUND(K211*(1+IF(AND(K$6&gt;0,$B212&lt;K$6),K$4,K$5)/12),2))</f>
        <v/>
      </c>
      <c r="AQ212">
        <f>IF(L211&lt;=0,0,ROUND(L211*(1+IF(AND(L$6&gt;0,$B212&lt;L$6),L$4,L$5)/12),2))</f>
        <v/>
      </c>
      <c r="AR212">
        <f>IF(M211&lt;=0,0,ROUND(M211*(1+IF(AND(M$6&gt;0,$B212&lt;M$6),M$4,M$5)/12),2))</f>
        <v/>
      </c>
      <c r="AS212">
        <f>IF(N211&lt;=0,0,ROUND(N211*(1+IF(AND(N$6&gt;0,$B212&lt;N$6),N$4,N$5)/12),2))</f>
        <v/>
      </c>
    </row>
    <row r="213">
      <c r="A213" t="n">
        <v>202</v>
      </c>
      <c r="B213">
        <f>EDATE(Plan!$C$6,201)</f>
        <v/>
      </c>
      <c r="C213">
        <f>IF(C212&lt;=0,0,MAX(0,AH213-O213))</f>
        <v/>
      </c>
      <c r="D213">
        <f>IF(D212&lt;=0,0,MAX(0,AI213-P213))</f>
        <v/>
      </c>
      <c r="E213">
        <f>IF(E212&lt;=0,0,MAX(0,AJ213-Q213))</f>
        <v/>
      </c>
      <c r="F213">
        <f>IF(F212&lt;=0,0,MAX(0,AK213-R213))</f>
        <v/>
      </c>
      <c r="G213">
        <f>IF(G212&lt;=0,0,MAX(0,AL213-S213))</f>
        <v/>
      </c>
      <c r="H213">
        <f>IF(H212&lt;=0,0,MAX(0,AM213-T213))</f>
        <v/>
      </c>
      <c r="I213">
        <f>IF(I212&lt;=0,0,MAX(0,AN213-U213))</f>
        <v/>
      </c>
      <c r="J213">
        <f>IF(J212&lt;=0,0,MAX(0,AO213-V213))</f>
        <v/>
      </c>
      <c r="K213">
        <f>IF(K212&lt;=0,0,MAX(0,AP213-W213))</f>
        <v/>
      </c>
      <c r="L213">
        <f>IF(L212&lt;=0,0,MAX(0,AQ213-X213))</f>
        <v/>
      </c>
      <c r="M213">
        <f>IF(M212&lt;=0,0,MAX(0,AR213-Y213))</f>
        <v/>
      </c>
      <c r="N213">
        <f>IF(N212&lt;=0,0,MAX(0,AS213-Z213))</f>
        <v/>
      </c>
      <c r="O213">
        <f>IF(C212&lt;=0,0,MIN(AH213,C$7+IF(C$2=$AA213,$AC213,IF(C$2=$AF213,$AG213,0))))</f>
        <v/>
      </c>
      <c r="P213">
        <f>IF(D212&lt;=0,0,MIN(AI213,D$7+IF(D$2=$AA213,$AC213,IF(D$2=$AF213,$AG213,0))))</f>
        <v/>
      </c>
      <c r="Q213">
        <f>IF(E212&lt;=0,0,MIN(AJ213,E$7+IF(E$2=$AA213,$AC213,IF(E$2=$AF213,$AG213,0))))</f>
        <v/>
      </c>
      <c r="R213">
        <f>IF(F212&lt;=0,0,MIN(AK213,F$7+IF(F$2=$AA213,$AC213,IF(F$2=$AF213,$AG213,0))))</f>
        <v/>
      </c>
      <c r="S213">
        <f>IF(G212&lt;=0,0,MIN(AL213,G$7+IF(G$2=$AA213,$AC213,IF(G$2=$AF213,$AG213,0))))</f>
        <v/>
      </c>
      <c r="T213">
        <f>IF(H212&lt;=0,0,MIN(AM213,H$7+IF(H$2=$AA213,$AC213,IF(H$2=$AF213,$AG213,0))))</f>
        <v/>
      </c>
      <c r="U213">
        <f>IF(I212&lt;=0,0,MIN(AN213,I$7+IF(I$2=$AA213,$AC213,IF(I$2=$AF213,$AG213,0))))</f>
        <v/>
      </c>
      <c r="V213">
        <f>IF(J212&lt;=0,0,MIN(AO213,J$7+IF(J$2=$AA213,$AC213,IF(J$2=$AF213,$AG213,0))))</f>
        <v/>
      </c>
      <c r="W213">
        <f>IF(K212&lt;=0,0,MIN(AP213,K$7+IF(K$2=$AA213,$AC213,IF(K$2=$AF213,$AG213,0))))</f>
        <v/>
      </c>
      <c r="X213">
        <f>IF(L212&lt;=0,0,MIN(AQ213,L$7+IF(L$2=$AA213,$AC213,IF(L$2=$AF213,$AG213,0))))</f>
        <v/>
      </c>
      <c r="Y213">
        <f>IF(M212&lt;=0,0,MIN(AR213,M$7+IF(M$2=$AA213,$AC213,IF(M$2=$AF213,$AG213,0))))</f>
        <v/>
      </c>
      <c r="Z213">
        <f>IF(N212&lt;=0,0,MIN(AS213,N$7+IF(N$2=$AA213,$AC213,IF(N$2=$AF213,$AG213,0))))</f>
        <v/>
      </c>
      <c r="AA213">
        <f>IFERROR(ROUND(1/SUMPRODUCT(MAX((C212:N212&gt;0)*($C$3:$N$3&lt;=B213)/$C$2:$N$2)),0),0)</f>
        <v/>
      </c>
      <c r="AB213">
        <f>SUMPRODUCT((C212:N212&gt;0)*$C$7:$N$7)</f>
        <v/>
      </c>
      <c r="AC213">
        <f>MAX(0,Plan!$C$5-AB213)+IF(A213=Plan!$C$8,N(Plan!$C$7),0)</f>
        <v/>
      </c>
      <c r="AD213">
        <f>SUM(C213:N213)</f>
        <v/>
      </c>
      <c r="AE213">
        <f>SUM(O213:Z213)</f>
        <v/>
      </c>
      <c r="AF213">
        <f>IFERROR(ROUND(1/SUMPRODUCT(MAX((C212:N212&gt;0)*($C$3:$N$3&lt;=B213)*($C$2:$N$2&gt;AA213)/$C$2:$N$2)),0),0)</f>
        <v/>
      </c>
      <c r="AG213">
        <f>MAX(0,AC213-MAX(0,SUMPRODUCT(($C$2:$N$2=AA213)*(AH213:AS213-$C$7:$N$7))))</f>
        <v/>
      </c>
      <c r="AH213">
        <f>IF(C212&lt;=0,0,ROUND(C212*(1+IF(AND(C$6&gt;0,$B213&lt;C$6),C$4,C$5)/12),2))</f>
        <v/>
      </c>
      <c r="AI213">
        <f>IF(D212&lt;=0,0,ROUND(D212*(1+IF(AND(D$6&gt;0,$B213&lt;D$6),D$4,D$5)/12),2))</f>
        <v/>
      </c>
      <c r="AJ213">
        <f>IF(E212&lt;=0,0,ROUND(E212*(1+IF(AND(E$6&gt;0,$B213&lt;E$6),E$4,E$5)/12),2))</f>
        <v/>
      </c>
      <c r="AK213">
        <f>IF(F212&lt;=0,0,ROUND(F212*(1+IF(AND(F$6&gt;0,$B213&lt;F$6),F$4,F$5)/12),2))</f>
        <v/>
      </c>
      <c r="AL213">
        <f>IF(G212&lt;=0,0,ROUND(G212*(1+IF(AND(G$6&gt;0,$B213&lt;G$6),G$4,G$5)/12),2))</f>
        <v/>
      </c>
      <c r="AM213">
        <f>IF(H212&lt;=0,0,ROUND(H212*(1+IF(AND(H$6&gt;0,$B213&lt;H$6),H$4,H$5)/12),2))</f>
        <v/>
      </c>
      <c r="AN213">
        <f>IF(I212&lt;=0,0,ROUND(I212*(1+IF(AND(I$6&gt;0,$B213&lt;I$6),I$4,I$5)/12),2))</f>
        <v/>
      </c>
      <c r="AO213">
        <f>IF(J212&lt;=0,0,ROUND(J212*(1+IF(AND(J$6&gt;0,$B213&lt;J$6),J$4,J$5)/12),2))</f>
        <v/>
      </c>
      <c r="AP213">
        <f>IF(K212&lt;=0,0,ROUND(K212*(1+IF(AND(K$6&gt;0,$B213&lt;K$6),K$4,K$5)/12),2))</f>
        <v/>
      </c>
      <c r="AQ213">
        <f>IF(L212&lt;=0,0,ROUND(L212*(1+IF(AND(L$6&gt;0,$B213&lt;L$6),L$4,L$5)/12),2))</f>
        <v/>
      </c>
      <c r="AR213">
        <f>IF(M212&lt;=0,0,ROUND(M212*(1+IF(AND(M$6&gt;0,$B213&lt;M$6),M$4,M$5)/12),2))</f>
        <v/>
      </c>
      <c r="AS213">
        <f>IF(N212&lt;=0,0,ROUND(N212*(1+IF(AND(N$6&gt;0,$B213&lt;N$6),N$4,N$5)/12),2))</f>
        <v/>
      </c>
    </row>
    <row r="214">
      <c r="A214" t="n">
        <v>203</v>
      </c>
      <c r="B214">
        <f>EDATE(Plan!$C$6,202)</f>
        <v/>
      </c>
      <c r="C214">
        <f>IF(C213&lt;=0,0,MAX(0,AH214-O214))</f>
        <v/>
      </c>
      <c r="D214">
        <f>IF(D213&lt;=0,0,MAX(0,AI214-P214))</f>
        <v/>
      </c>
      <c r="E214">
        <f>IF(E213&lt;=0,0,MAX(0,AJ214-Q214))</f>
        <v/>
      </c>
      <c r="F214">
        <f>IF(F213&lt;=0,0,MAX(0,AK214-R214))</f>
        <v/>
      </c>
      <c r="G214">
        <f>IF(G213&lt;=0,0,MAX(0,AL214-S214))</f>
        <v/>
      </c>
      <c r="H214">
        <f>IF(H213&lt;=0,0,MAX(0,AM214-T214))</f>
        <v/>
      </c>
      <c r="I214">
        <f>IF(I213&lt;=0,0,MAX(0,AN214-U214))</f>
        <v/>
      </c>
      <c r="J214">
        <f>IF(J213&lt;=0,0,MAX(0,AO214-V214))</f>
        <v/>
      </c>
      <c r="K214">
        <f>IF(K213&lt;=0,0,MAX(0,AP214-W214))</f>
        <v/>
      </c>
      <c r="L214">
        <f>IF(L213&lt;=0,0,MAX(0,AQ214-X214))</f>
        <v/>
      </c>
      <c r="M214">
        <f>IF(M213&lt;=0,0,MAX(0,AR214-Y214))</f>
        <v/>
      </c>
      <c r="N214">
        <f>IF(N213&lt;=0,0,MAX(0,AS214-Z214))</f>
        <v/>
      </c>
      <c r="O214">
        <f>IF(C213&lt;=0,0,MIN(AH214,C$7+IF(C$2=$AA214,$AC214,IF(C$2=$AF214,$AG214,0))))</f>
        <v/>
      </c>
      <c r="P214">
        <f>IF(D213&lt;=0,0,MIN(AI214,D$7+IF(D$2=$AA214,$AC214,IF(D$2=$AF214,$AG214,0))))</f>
        <v/>
      </c>
      <c r="Q214">
        <f>IF(E213&lt;=0,0,MIN(AJ214,E$7+IF(E$2=$AA214,$AC214,IF(E$2=$AF214,$AG214,0))))</f>
        <v/>
      </c>
      <c r="R214">
        <f>IF(F213&lt;=0,0,MIN(AK214,F$7+IF(F$2=$AA214,$AC214,IF(F$2=$AF214,$AG214,0))))</f>
        <v/>
      </c>
      <c r="S214">
        <f>IF(G213&lt;=0,0,MIN(AL214,G$7+IF(G$2=$AA214,$AC214,IF(G$2=$AF214,$AG214,0))))</f>
        <v/>
      </c>
      <c r="T214">
        <f>IF(H213&lt;=0,0,MIN(AM214,H$7+IF(H$2=$AA214,$AC214,IF(H$2=$AF214,$AG214,0))))</f>
        <v/>
      </c>
      <c r="U214">
        <f>IF(I213&lt;=0,0,MIN(AN214,I$7+IF(I$2=$AA214,$AC214,IF(I$2=$AF214,$AG214,0))))</f>
        <v/>
      </c>
      <c r="V214">
        <f>IF(J213&lt;=0,0,MIN(AO214,J$7+IF(J$2=$AA214,$AC214,IF(J$2=$AF214,$AG214,0))))</f>
        <v/>
      </c>
      <c r="W214">
        <f>IF(K213&lt;=0,0,MIN(AP214,K$7+IF(K$2=$AA214,$AC214,IF(K$2=$AF214,$AG214,0))))</f>
        <v/>
      </c>
      <c r="X214">
        <f>IF(L213&lt;=0,0,MIN(AQ214,L$7+IF(L$2=$AA214,$AC214,IF(L$2=$AF214,$AG214,0))))</f>
        <v/>
      </c>
      <c r="Y214">
        <f>IF(M213&lt;=0,0,MIN(AR214,M$7+IF(M$2=$AA214,$AC214,IF(M$2=$AF214,$AG214,0))))</f>
        <v/>
      </c>
      <c r="Z214">
        <f>IF(N213&lt;=0,0,MIN(AS214,N$7+IF(N$2=$AA214,$AC214,IF(N$2=$AF214,$AG214,0))))</f>
        <v/>
      </c>
      <c r="AA214">
        <f>IFERROR(ROUND(1/SUMPRODUCT(MAX((C213:N213&gt;0)*($C$3:$N$3&lt;=B214)/$C$2:$N$2)),0),0)</f>
        <v/>
      </c>
      <c r="AB214">
        <f>SUMPRODUCT((C213:N213&gt;0)*$C$7:$N$7)</f>
        <v/>
      </c>
      <c r="AC214">
        <f>MAX(0,Plan!$C$5-AB214)+IF(A214=Plan!$C$8,N(Plan!$C$7),0)</f>
        <v/>
      </c>
      <c r="AD214">
        <f>SUM(C214:N214)</f>
        <v/>
      </c>
      <c r="AE214">
        <f>SUM(O214:Z214)</f>
        <v/>
      </c>
      <c r="AF214">
        <f>IFERROR(ROUND(1/SUMPRODUCT(MAX((C213:N213&gt;0)*($C$3:$N$3&lt;=B214)*($C$2:$N$2&gt;AA214)/$C$2:$N$2)),0),0)</f>
        <v/>
      </c>
      <c r="AG214">
        <f>MAX(0,AC214-MAX(0,SUMPRODUCT(($C$2:$N$2=AA214)*(AH214:AS214-$C$7:$N$7))))</f>
        <v/>
      </c>
      <c r="AH214">
        <f>IF(C213&lt;=0,0,ROUND(C213*(1+IF(AND(C$6&gt;0,$B214&lt;C$6),C$4,C$5)/12),2))</f>
        <v/>
      </c>
      <c r="AI214">
        <f>IF(D213&lt;=0,0,ROUND(D213*(1+IF(AND(D$6&gt;0,$B214&lt;D$6),D$4,D$5)/12),2))</f>
        <v/>
      </c>
      <c r="AJ214">
        <f>IF(E213&lt;=0,0,ROUND(E213*(1+IF(AND(E$6&gt;0,$B214&lt;E$6),E$4,E$5)/12),2))</f>
        <v/>
      </c>
      <c r="AK214">
        <f>IF(F213&lt;=0,0,ROUND(F213*(1+IF(AND(F$6&gt;0,$B214&lt;F$6),F$4,F$5)/12),2))</f>
        <v/>
      </c>
      <c r="AL214">
        <f>IF(G213&lt;=0,0,ROUND(G213*(1+IF(AND(G$6&gt;0,$B214&lt;G$6),G$4,G$5)/12),2))</f>
        <v/>
      </c>
      <c r="AM214">
        <f>IF(H213&lt;=0,0,ROUND(H213*(1+IF(AND(H$6&gt;0,$B214&lt;H$6),H$4,H$5)/12),2))</f>
        <v/>
      </c>
      <c r="AN214">
        <f>IF(I213&lt;=0,0,ROUND(I213*(1+IF(AND(I$6&gt;0,$B214&lt;I$6),I$4,I$5)/12),2))</f>
        <v/>
      </c>
      <c r="AO214">
        <f>IF(J213&lt;=0,0,ROUND(J213*(1+IF(AND(J$6&gt;0,$B214&lt;J$6),J$4,J$5)/12),2))</f>
        <v/>
      </c>
      <c r="AP214">
        <f>IF(K213&lt;=0,0,ROUND(K213*(1+IF(AND(K$6&gt;0,$B214&lt;K$6),K$4,K$5)/12),2))</f>
        <v/>
      </c>
      <c r="AQ214">
        <f>IF(L213&lt;=0,0,ROUND(L213*(1+IF(AND(L$6&gt;0,$B214&lt;L$6),L$4,L$5)/12),2))</f>
        <v/>
      </c>
      <c r="AR214">
        <f>IF(M213&lt;=0,0,ROUND(M213*(1+IF(AND(M$6&gt;0,$B214&lt;M$6),M$4,M$5)/12),2))</f>
        <v/>
      </c>
      <c r="AS214">
        <f>IF(N213&lt;=0,0,ROUND(N213*(1+IF(AND(N$6&gt;0,$B214&lt;N$6),N$4,N$5)/12),2))</f>
        <v/>
      </c>
    </row>
    <row r="215">
      <c r="A215" t="n">
        <v>204</v>
      </c>
      <c r="B215">
        <f>EDATE(Plan!$C$6,203)</f>
        <v/>
      </c>
      <c r="C215">
        <f>IF(C214&lt;=0,0,MAX(0,AH215-O215))</f>
        <v/>
      </c>
      <c r="D215">
        <f>IF(D214&lt;=0,0,MAX(0,AI215-P215))</f>
        <v/>
      </c>
      <c r="E215">
        <f>IF(E214&lt;=0,0,MAX(0,AJ215-Q215))</f>
        <v/>
      </c>
      <c r="F215">
        <f>IF(F214&lt;=0,0,MAX(0,AK215-R215))</f>
        <v/>
      </c>
      <c r="G215">
        <f>IF(G214&lt;=0,0,MAX(0,AL215-S215))</f>
        <v/>
      </c>
      <c r="H215">
        <f>IF(H214&lt;=0,0,MAX(0,AM215-T215))</f>
        <v/>
      </c>
      <c r="I215">
        <f>IF(I214&lt;=0,0,MAX(0,AN215-U215))</f>
        <v/>
      </c>
      <c r="J215">
        <f>IF(J214&lt;=0,0,MAX(0,AO215-V215))</f>
        <v/>
      </c>
      <c r="K215">
        <f>IF(K214&lt;=0,0,MAX(0,AP215-W215))</f>
        <v/>
      </c>
      <c r="L215">
        <f>IF(L214&lt;=0,0,MAX(0,AQ215-X215))</f>
        <v/>
      </c>
      <c r="M215">
        <f>IF(M214&lt;=0,0,MAX(0,AR215-Y215))</f>
        <v/>
      </c>
      <c r="N215">
        <f>IF(N214&lt;=0,0,MAX(0,AS215-Z215))</f>
        <v/>
      </c>
      <c r="O215">
        <f>IF(C214&lt;=0,0,MIN(AH215,C$7+IF(C$2=$AA215,$AC215,IF(C$2=$AF215,$AG215,0))))</f>
        <v/>
      </c>
      <c r="P215">
        <f>IF(D214&lt;=0,0,MIN(AI215,D$7+IF(D$2=$AA215,$AC215,IF(D$2=$AF215,$AG215,0))))</f>
        <v/>
      </c>
      <c r="Q215">
        <f>IF(E214&lt;=0,0,MIN(AJ215,E$7+IF(E$2=$AA215,$AC215,IF(E$2=$AF215,$AG215,0))))</f>
        <v/>
      </c>
      <c r="R215">
        <f>IF(F214&lt;=0,0,MIN(AK215,F$7+IF(F$2=$AA215,$AC215,IF(F$2=$AF215,$AG215,0))))</f>
        <v/>
      </c>
      <c r="S215">
        <f>IF(G214&lt;=0,0,MIN(AL215,G$7+IF(G$2=$AA215,$AC215,IF(G$2=$AF215,$AG215,0))))</f>
        <v/>
      </c>
      <c r="T215">
        <f>IF(H214&lt;=0,0,MIN(AM215,H$7+IF(H$2=$AA215,$AC215,IF(H$2=$AF215,$AG215,0))))</f>
        <v/>
      </c>
      <c r="U215">
        <f>IF(I214&lt;=0,0,MIN(AN215,I$7+IF(I$2=$AA215,$AC215,IF(I$2=$AF215,$AG215,0))))</f>
        <v/>
      </c>
      <c r="V215">
        <f>IF(J214&lt;=0,0,MIN(AO215,J$7+IF(J$2=$AA215,$AC215,IF(J$2=$AF215,$AG215,0))))</f>
        <v/>
      </c>
      <c r="W215">
        <f>IF(K214&lt;=0,0,MIN(AP215,K$7+IF(K$2=$AA215,$AC215,IF(K$2=$AF215,$AG215,0))))</f>
        <v/>
      </c>
      <c r="X215">
        <f>IF(L214&lt;=0,0,MIN(AQ215,L$7+IF(L$2=$AA215,$AC215,IF(L$2=$AF215,$AG215,0))))</f>
        <v/>
      </c>
      <c r="Y215">
        <f>IF(M214&lt;=0,0,MIN(AR215,M$7+IF(M$2=$AA215,$AC215,IF(M$2=$AF215,$AG215,0))))</f>
        <v/>
      </c>
      <c r="Z215">
        <f>IF(N214&lt;=0,0,MIN(AS215,N$7+IF(N$2=$AA215,$AC215,IF(N$2=$AF215,$AG215,0))))</f>
        <v/>
      </c>
      <c r="AA215">
        <f>IFERROR(ROUND(1/SUMPRODUCT(MAX((C214:N214&gt;0)*($C$3:$N$3&lt;=B215)/$C$2:$N$2)),0),0)</f>
        <v/>
      </c>
      <c r="AB215">
        <f>SUMPRODUCT((C214:N214&gt;0)*$C$7:$N$7)</f>
        <v/>
      </c>
      <c r="AC215">
        <f>MAX(0,Plan!$C$5-AB215)+IF(A215=Plan!$C$8,N(Plan!$C$7),0)</f>
        <v/>
      </c>
      <c r="AD215">
        <f>SUM(C215:N215)</f>
        <v/>
      </c>
      <c r="AE215">
        <f>SUM(O215:Z215)</f>
        <v/>
      </c>
      <c r="AF215">
        <f>IFERROR(ROUND(1/SUMPRODUCT(MAX((C214:N214&gt;0)*($C$3:$N$3&lt;=B215)*($C$2:$N$2&gt;AA215)/$C$2:$N$2)),0),0)</f>
        <v/>
      </c>
      <c r="AG215">
        <f>MAX(0,AC215-MAX(0,SUMPRODUCT(($C$2:$N$2=AA215)*(AH215:AS215-$C$7:$N$7))))</f>
        <v/>
      </c>
      <c r="AH215">
        <f>IF(C214&lt;=0,0,ROUND(C214*(1+IF(AND(C$6&gt;0,$B215&lt;C$6),C$4,C$5)/12),2))</f>
        <v/>
      </c>
      <c r="AI215">
        <f>IF(D214&lt;=0,0,ROUND(D214*(1+IF(AND(D$6&gt;0,$B215&lt;D$6),D$4,D$5)/12),2))</f>
        <v/>
      </c>
      <c r="AJ215">
        <f>IF(E214&lt;=0,0,ROUND(E214*(1+IF(AND(E$6&gt;0,$B215&lt;E$6),E$4,E$5)/12),2))</f>
        <v/>
      </c>
      <c r="AK215">
        <f>IF(F214&lt;=0,0,ROUND(F214*(1+IF(AND(F$6&gt;0,$B215&lt;F$6),F$4,F$5)/12),2))</f>
        <v/>
      </c>
      <c r="AL215">
        <f>IF(G214&lt;=0,0,ROUND(G214*(1+IF(AND(G$6&gt;0,$B215&lt;G$6),G$4,G$5)/12),2))</f>
        <v/>
      </c>
      <c r="AM215">
        <f>IF(H214&lt;=0,0,ROUND(H214*(1+IF(AND(H$6&gt;0,$B215&lt;H$6),H$4,H$5)/12),2))</f>
        <v/>
      </c>
      <c r="AN215">
        <f>IF(I214&lt;=0,0,ROUND(I214*(1+IF(AND(I$6&gt;0,$B215&lt;I$6),I$4,I$5)/12),2))</f>
        <v/>
      </c>
      <c r="AO215">
        <f>IF(J214&lt;=0,0,ROUND(J214*(1+IF(AND(J$6&gt;0,$B215&lt;J$6),J$4,J$5)/12),2))</f>
        <v/>
      </c>
      <c r="AP215">
        <f>IF(K214&lt;=0,0,ROUND(K214*(1+IF(AND(K$6&gt;0,$B215&lt;K$6),K$4,K$5)/12),2))</f>
        <v/>
      </c>
      <c r="AQ215">
        <f>IF(L214&lt;=0,0,ROUND(L214*(1+IF(AND(L$6&gt;0,$B215&lt;L$6),L$4,L$5)/12),2))</f>
        <v/>
      </c>
      <c r="AR215">
        <f>IF(M214&lt;=0,0,ROUND(M214*(1+IF(AND(M$6&gt;0,$B215&lt;M$6),M$4,M$5)/12),2))</f>
        <v/>
      </c>
      <c r="AS215">
        <f>IF(N214&lt;=0,0,ROUND(N214*(1+IF(AND(N$6&gt;0,$B215&lt;N$6),N$4,N$5)/12),2))</f>
        <v/>
      </c>
    </row>
    <row r="216">
      <c r="A216" t="n">
        <v>205</v>
      </c>
      <c r="B216">
        <f>EDATE(Plan!$C$6,204)</f>
        <v/>
      </c>
      <c r="C216">
        <f>IF(C215&lt;=0,0,MAX(0,AH216-O216))</f>
        <v/>
      </c>
      <c r="D216">
        <f>IF(D215&lt;=0,0,MAX(0,AI216-P216))</f>
        <v/>
      </c>
      <c r="E216">
        <f>IF(E215&lt;=0,0,MAX(0,AJ216-Q216))</f>
        <v/>
      </c>
      <c r="F216">
        <f>IF(F215&lt;=0,0,MAX(0,AK216-R216))</f>
        <v/>
      </c>
      <c r="G216">
        <f>IF(G215&lt;=0,0,MAX(0,AL216-S216))</f>
        <v/>
      </c>
      <c r="H216">
        <f>IF(H215&lt;=0,0,MAX(0,AM216-T216))</f>
        <v/>
      </c>
      <c r="I216">
        <f>IF(I215&lt;=0,0,MAX(0,AN216-U216))</f>
        <v/>
      </c>
      <c r="J216">
        <f>IF(J215&lt;=0,0,MAX(0,AO216-V216))</f>
        <v/>
      </c>
      <c r="K216">
        <f>IF(K215&lt;=0,0,MAX(0,AP216-W216))</f>
        <v/>
      </c>
      <c r="L216">
        <f>IF(L215&lt;=0,0,MAX(0,AQ216-X216))</f>
        <v/>
      </c>
      <c r="M216">
        <f>IF(M215&lt;=0,0,MAX(0,AR216-Y216))</f>
        <v/>
      </c>
      <c r="N216">
        <f>IF(N215&lt;=0,0,MAX(0,AS216-Z216))</f>
        <v/>
      </c>
      <c r="O216">
        <f>IF(C215&lt;=0,0,MIN(AH216,C$7+IF(C$2=$AA216,$AC216,IF(C$2=$AF216,$AG216,0))))</f>
        <v/>
      </c>
      <c r="P216">
        <f>IF(D215&lt;=0,0,MIN(AI216,D$7+IF(D$2=$AA216,$AC216,IF(D$2=$AF216,$AG216,0))))</f>
        <v/>
      </c>
      <c r="Q216">
        <f>IF(E215&lt;=0,0,MIN(AJ216,E$7+IF(E$2=$AA216,$AC216,IF(E$2=$AF216,$AG216,0))))</f>
        <v/>
      </c>
      <c r="R216">
        <f>IF(F215&lt;=0,0,MIN(AK216,F$7+IF(F$2=$AA216,$AC216,IF(F$2=$AF216,$AG216,0))))</f>
        <v/>
      </c>
      <c r="S216">
        <f>IF(G215&lt;=0,0,MIN(AL216,G$7+IF(G$2=$AA216,$AC216,IF(G$2=$AF216,$AG216,0))))</f>
        <v/>
      </c>
      <c r="T216">
        <f>IF(H215&lt;=0,0,MIN(AM216,H$7+IF(H$2=$AA216,$AC216,IF(H$2=$AF216,$AG216,0))))</f>
        <v/>
      </c>
      <c r="U216">
        <f>IF(I215&lt;=0,0,MIN(AN216,I$7+IF(I$2=$AA216,$AC216,IF(I$2=$AF216,$AG216,0))))</f>
        <v/>
      </c>
      <c r="V216">
        <f>IF(J215&lt;=0,0,MIN(AO216,J$7+IF(J$2=$AA216,$AC216,IF(J$2=$AF216,$AG216,0))))</f>
        <v/>
      </c>
      <c r="W216">
        <f>IF(K215&lt;=0,0,MIN(AP216,K$7+IF(K$2=$AA216,$AC216,IF(K$2=$AF216,$AG216,0))))</f>
        <v/>
      </c>
      <c r="X216">
        <f>IF(L215&lt;=0,0,MIN(AQ216,L$7+IF(L$2=$AA216,$AC216,IF(L$2=$AF216,$AG216,0))))</f>
        <v/>
      </c>
      <c r="Y216">
        <f>IF(M215&lt;=0,0,MIN(AR216,M$7+IF(M$2=$AA216,$AC216,IF(M$2=$AF216,$AG216,0))))</f>
        <v/>
      </c>
      <c r="Z216">
        <f>IF(N215&lt;=0,0,MIN(AS216,N$7+IF(N$2=$AA216,$AC216,IF(N$2=$AF216,$AG216,0))))</f>
        <v/>
      </c>
      <c r="AA216">
        <f>IFERROR(ROUND(1/SUMPRODUCT(MAX((C215:N215&gt;0)*($C$3:$N$3&lt;=B216)/$C$2:$N$2)),0),0)</f>
        <v/>
      </c>
      <c r="AB216">
        <f>SUMPRODUCT((C215:N215&gt;0)*$C$7:$N$7)</f>
        <v/>
      </c>
      <c r="AC216">
        <f>MAX(0,Plan!$C$5-AB216)+IF(A216=Plan!$C$8,N(Plan!$C$7),0)</f>
        <v/>
      </c>
      <c r="AD216">
        <f>SUM(C216:N216)</f>
        <v/>
      </c>
      <c r="AE216">
        <f>SUM(O216:Z216)</f>
        <v/>
      </c>
      <c r="AF216">
        <f>IFERROR(ROUND(1/SUMPRODUCT(MAX((C215:N215&gt;0)*($C$3:$N$3&lt;=B216)*($C$2:$N$2&gt;AA216)/$C$2:$N$2)),0),0)</f>
        <v/>
      </c>
      <c r="AG216">
        <f>MAX(0,AC216-MAX(0,SUMPRODUCT(($C$2:$N$2=AA216)*(AH216:AS216-$C$7:$N$7))))</f>
        <v/>
      </c>
      <c r="AH216">
        <f>IF(C215&lt;=0,0,ROUND(C215*(1+IF(AND(C$6&gt;0,$B216&lt;C$6),C$4,C$5)/12),2))</f>
        <v/>
      </c>
      <c r="AI216">
        <f>IF(D215&lt;=0,0,ROUND(D215*(1+IF(AND(D$6&gt;0,$B216&lt;D$6),D$4,D$5)/12),2))</f>
        <v/>
      </c>
      <c r="AJ216">
        <f>IF(E215&lt;=0,0,ROUND(E215*(1+IF(AND(E$6&gt;0,$B216&lt;E$6),E$4,E$5)/12),2))</f>
        <v/>
      </c>
      <c r="AK216">
        <f>IF(F215&lt;=0,0,ROUND(F215*(1+IF(AND(F$6&gt;0,$B216&lt;F$6),F$4,F$5)/12),2))</f>
        <v/>
      </c>
      <c r="AL216">
        <f>IF(G215&lt;=0,0,ROUND(G215*(1+IF(AND(G$6&gt;0,$B216&lt;G$6),G$4,G$5)/12),2))</f>
        <v/>
      </c>
      <c r="AM216">
        <f>IF(H215&lt;=0,0,ROUND(H215*(1+IF(AND(H$6&gt;0,$B216&lt;H$6),H$4,H$5)/12),2))</f>
        <v/>
      </c>
      <c r="AN216">
        <f>IF(I215&lt;=0,0,ROUND(I215*(1+IF(AND(I$6&gt;0,$B216&lt;I$6),I$4,I$5)/12),2))</f>
        <v/>
      </c>
      <c r="AO216">
        <f>IF(J215&lt;=0,0,ROUND(J215*(1+IF(AND(J$6&gt;0,$B216&lt;J$6),J$4,J$5)/12),2))</f>
        <v/>
      </c>
      <c r="AP216">
        <f>IF(K215&lt;=0,0,ROUND(K215*(1+IF(AND(K$6&gt;0,$B216&lt;K$6),K$4,K$5)/12),2))</f>
        <v/>
      </c>
      <c r="AQ216">
        <f>IF(L215&lt;=0,0,ROUND(L215*(1+IF(AND(L$6&gt;0,$B216&lt;L$6),L$4,L$5)/12),2))</f>
        <v/>
      </c>
      <c r="AR216">
        <f>IF(M215&lt;=0,0,ROUND(M215*(1+IF(AND(M$6&gt;0,$B216&lt;M$6),M$4,M$5)/12),2))</f>
        <v/>
      </c>
      <c r="AS216">
        <f>IF(N215&lt;=0,0,ROUND(N215*(1+IF(AND(N$6&gt;0,$B216&lt;N$6),N$4,N$5)/12),2))</f>
        <v/>
      </c>
    </row>
    <row r="217">
      <c r="A217" t="n">
        <v>206</v>
      </c>
      <c r="B217">
        <f>EDATE(Plan!$C$6,205)</f>
        <v/>
      </c>
      <c r="C217">
        <f>IF(C216&lt;=0,0,MAX(0,AH217-O217))</f>
        <v/>
      </c>
      <c r="D217">
        <f>IF(D216&lt;=0,0,MAX(0,AI217-P217))</f>
        <v/>
      </c>
      <c r="E217">
        <f>IF(E216&lt;=0,0,MAX(0,AJ217-Q217))</f>
        <v/>
      </c>
      <c r="F217">
        <f>IF(F216&lt;=0,0,MAX(0,AK217-R217))</f>
        <v/>
      </c>
      <c r="G217">
        <f>IF(G216&lt;=0,0,MAX(0,AL217-S217))</f>
        <v/>
      </c>
      <c r="H217">
        <f>IF(H216&lt;=0,0,MAX(0,AM217-T217))</f>
        <v/>
      </c>
      <c r="I217">
        <f>IF(I216&lt;=0,0,MAX(0,AN217-U217))</f>
        <v/>
      </c>
      <c r="J217">
        <f>IF(J216&lt;=0,0,MAX(0,AO217-V217))</f>
        <v/>
      </c>
      <c r="K217">
        <f>IF(K216&lt;=0,0,MAX(0,AP217-W217))</f>
        <v/>
      </c>
      <c r="L217">
        <f>IF(L216&lt;=0,0,MAX(0,AQ217-X217))</f>
        <v/>
      </c>
      <c r="M217">
        <f>IF(M216&lt;=0,0,MAX(0,AR217-Y217))</f>
        <v/>
      </c>
      <c r="N217">
        <f>IF(N216&lt;=0,0,MAX(0,AS217-Z217))</f>
        <v/>
      </c>
      <c r="O217">
        <f>IF(C216&lt;=0,0,MIN(AH217,C$7+IF(C$2=$AA217,$AC217,IF(C$2=$AF217,$AG217,0))))</f>
        <v/>
      </c>
      <c r="P217">
        <f>IF(D216&lt;=0,0,MIN(AI217,D$7+IF(D$2=$AA217,$AC217,IF(D$2=$AF217,$AG217,0))))</f>
        <v/>
      </c>
      <c r="Q217">
        <f>IF(E216&lt;=0,0,MIN(AJ217,E$7+IF(E$2=$AA217,$AC217,IF(E$2=$AF217,$AG217,0))))</f>
        <v/>
      </c>
      <c r="R217">
        <f>IF(F216&lt;=0,0,MIN(AK217,F$7+IF(F$2=$AA217,$AC217,IF(F$2=$AF217,$AG217,0))))</f>
        <v/>
      </c>
      <c r="S217">
        <f>IF(G216&lt;=0,0,MIN(AL217,G$7+IF(G$2=$AA217,$AC217,IF(G$2=$AF217,$AG217,0))))</f>
        <v/>
      </c>
      <c r="T217">
        <f>IF(H216&lt;=0,0,MIN(AM217,H$7+IF(H$2=$AA217,$AC217,IF(H$2=$AF217,$AG217,0))))</f>
        <v/>
      </c>
      <c r="U217">
        <f>IF(I216&lt;=0,0,MIN(AN217,I$7+IF(I$2=$AA217,$AC217,IF(I$2=$AF217,$AG217,0))))</f>
        <v/>
      </c>
      <c r="V217">
        <f>IF(J216&lt;=0,0,MIN(AO217,J$7+IF(J$2=$AA217,$AC217,IF(J$2=$AF217,$AG217,0))))</f>
        <v/>
      </c>
      <c r="W217">
        <f>IF(K216&lt;=0,0,MIN(AP217,K$7+IF(K$2=$AA217,$AC217,IF(K$2=$AF217,$AG217,0))))</f>
        <v/>
      </c>
      <c r="X217">
        <f>IF(L216&lt;=0,0,MIN(AQ217,L$7+IF(L$2=$AA217,$AC217,IF(L$2=$AF217,$AG217,0))))</f>
        <v/>
      </c>
      <c r="Y217">
        <f>IF(M216&lt;=0,0,MIN(AR217,M$7+IF(M$2=$AA217,$AC217,IF(M$2=$AF217,$AG217,0))))</f>
        <v/>
      </c>
      <c r="Z217">
        <f>IF(N216&lt;=0,0,MIN(AS217,N$7+IF(N$2=$AA217,$AC217,IF(N$2=$AF217,$AG217,0))))</f>
        <v/>
      </c>
      <c r="AA217">
        <f>IFERROR(ROUND(1/SUMPRODUCT(MAX((C216:N216&gt;0)*($C$3:$N$3&lt;=B217)/$C$2:$N$2)),0),0)</f>
        <v/>
      </c>
      <c r="AB217">
        <f>SUMPRODUCT((C216:N216&gt;0)*$C$7:$N$7)</f>
        <v/>
      </c>
      <c r="AC217">
        <f>MAX(0,Plan!$C$5-AB217)+IF(A217=Plan!$C$8,N(Plan!$C$7),0)</f>
        <v/>
      </c>
      <c r="AD217">
        <f>SUM(C217:N217)</f>
        <v/>
      </c>
      <c r="AE217">
        <f>SUM(O217:Z217)</f>
        <v/>
      </c>
      <c r="AF217">
        <f>IFERROR(ROUND(1/SUMPRODUCT(MAX((C216:N216&gt;0)*($C$3:$N$3&lt;=B217)*($C$2:$N$2&gt;AA217)/$C$2:$N$2)),0),0)</f>
        <v/>
      </c>
      <c r="AG217">
        <f>MAX(0,AC217-MAX(0,SUMPRODUCT(($C$2:$N$2=AA217)*(AH217:AS217-$C$7:$N$7))))</f>
        <v/>
      </c>
      <c r="AH217">
        <f>IF(C216&lt;=0,0,ROUND(C216*(1+IF(AND(C$6&gt;0,$B217&lt;C$6),C$4,C$5)/12),2))</f>
        <v/>
      </c>
      <c r="AI217">
        <f>IF(D216&lt;=0,0,ROUND(D216*(1+IF(AND(D$6&gt;0,$B217&lt;D$6),D$4,D$5)/12),2))</f>
        <v/>
      </c>
      <c r="AJ217">
        <f>IF(E216&lt;=0,0,ROUND(E216*(1+IF(AND(E$6&gt;0,$B217&lt;E$6),E$4,E$5)/12),2))</f>
        <v/>
      </c>
      <c r="AK217">
        <f>IF(F216&lt;=0,0,ROUND(F216*(1+IF(AND(F$6&gt;0,$B217&lt;F$6),F$4,F$5)/12),2))</f>
        <v/>
      </c>
      <c r="AL217">
        <f>IF(G216&lt;=0,0,ROUND(G216*(1+IF(AND(G$6&gt;0,$B217&lt;G$6),G$4,G$5)/12),2))</f>
        <v/>
      </c>
      <c r="AM217">
        <f>IF(H216&lt;=0,0,ROUND(H216*(1+IF(AND(H$6&gt;0,$B217&lt;H$6),H$4,H$5)/12),2))</f>
        <v/>
      </c>
      <c r="AN217">
        <f>IF(I216&lt;=0,0,ROUND(I216*(1+IF(AND(I$6&gt;0,$B217&lt;I$6),I$4,I$5)/12),2))</f>
        <v/>
      </c>
      <c r="AO217">
        <f>IF(J216&lt;=0,0,ROUND(J216*(1+IF(AND(J$6&gt;0,$B217&lt;J$6),J$4,J$5)/12),2))</f>
        <v/>
      </c>
      <c r="AP217">
        <f>IF(K216&lt;=0,0,ROUND(K216*(1+IF(AND(K$6&gt;0,$B217&lt;K$6),K$4,K$5)/12),2))</f>
        <v/>
      </c>
      <c r="AQ217">
        <f>IF(L216&lt;=0,0,ROUND(L216*(1+IF(AND(L$6&gt;0,$B217&lt;L$6),L$4,L$5)/12),2))</f>
        <v/>
      </c>
      <c r="AR217">
        <f>IF(M216&lt;=0,0,ROUND(M216*(1+IF(AND(M$6&gt;0,$B217&lt;M$6),M$4,M$5)/12),2))</f>
        <v/>
      </c>
      <c r="AS217">
        <f>IF(N216&lt;=0,0,ROUND(N216*(1+IF(AND(N$6&gt;0,$B217&lt;N$6),N$4,N$5)/12),2))</f>
        <v/>
      </c>
    </row>
    <row r="218">
      <c r="A218" t="n">
        <v>207</v>
      </c>
      <c r="B218">
        <f>EDATE(Plan!$C$6,206)</f>
        <v/>
      </c>
      <c r="C218">
        <f>IF(C217&lt;=0,0,MAX(0,AH218-O218))</f>
        <v/>
      </c>
      <c r="D218">
        <f>IF(D217&lt;=0,0,MAX(0,AI218-P218))</f>
        <v/>
      </c>
      <c r="E218">
        <f>IF(E217&lt;=0,0,MAX(0,AJ218-Q218))</f>
        <v/>
      </c>
      <c r="F218">
        <f>IF(F217&lt;=0,0,MAX(0,AK218-R218))</f>
        <v/>
      </c>
      <c r="G218">
        <f>IF(G217&lt;=0,0,MAX(0,AL218-S218))</f>
        <v/>
      </c>
      <c r="H218">
        <f>IF(H217&lt;=0,0,MAX(0,AM218-T218))</f>
        <v/>
      </c>
      <c r="I218">
        <f>IF(I217&lt;=0,0,MAX(0,AN218-U218))</f>
        <v/>
      </c>
      <c r="J218">
        <f>IF(J217&lt;=0,0,MAX(0,AO218-V218))</f>
        <v/>
      </c>
      <c r="K218">
        <f>IF(K217&lt;=0,0,MAX(0,AP218-W218))</f>
        <v/>
      </c>
      <c r="L218">
        <f>IF(L217&lt;=0,0,MAX(0,AQ218-X218))</f>
        <v/>
      </c>
      <c r="M218">
        <f>IF(M217&lt;=0,0,MAX(0,AR218-Y218))</f>
        <v/>
      </c>
      <c r="N218">
        <f>IF(N217&lt;=0,0,MAX(0,AS218-Z218))</f>
        <v/>
      </c>
      <c r="O218">
        <f>IF(C217&lt;=0,0,MIN(AH218,C$7+IF(C$2=$AA218,$AC218,IF(C$2=$AF218,$AG218,0))))</f>
        <v/>
      </c>
      <c r="P218">
        <f>IF(D217&lt;=0,0,MIN(AI218,D$7+IF(D$2=$AA218,$AC218,IF(D$2=$AF218,$AG218,0))))</f>
        <v/>
      </c>
      <c r="Q218">
        <f>IF(E217&lt;=0,0,MIN(AJ218,E$7+IF(E$2=$AA218,$AC218,IF(E$2=$AF218,$AG218,0))))</f>
        <v/>
      </c>
      <c r="R218">
        <f>IF(F217&lt;=0,0,MIN(AK218,F$7+IF(F$2=$AA218,$AC218,IF(F$2=$AF218,$AG218,0))))</f>
        <v/>
      </c>
      <c r="S218">
        <f>IF(G217&lt;=0,0,MIN(AL218,G$7+IF(G$2=$AA218,$AC218,IF(G$2=$AF218,$AG218,0))))</f>
        <v/>
      </c>
      <c r="T218">
        <f>IF(H217&lt;=0,0,MIN(AM218,H$7+IF(H$2=$AA218,$AC218,IF(H$2=$AF218,$AG218,0))))</f>
        <v/>
      </c>
      <c r="U218">
        <f>IF(I217&lt;=0,0,MIN(AN218,I$7+IF(I$2=$AA218,$AC218,IF(I$2=$AF218,$AG218,0))))</f>
        <v/>
      </c>
      <c r="V218">
        <f>IF(J217&lt;=0,0,MIN(AO218,J$7+IF(J$2=$AA218,$AC218,IF(J$2=$AF218,$AG218,0))))</f>
        <v/>
      </c>
      <c r="W218">
        <f>IF(K217&lt;=0,0,MIN(AP218,K$7+IF(K$2=$AA218,$AC218,IF(K$2=$AF218,$AG218,0))))</f>
        <v/>
      </c>
      <c r="X218">
        <f>IF(L217&lt;=0,0,MIN(AQ218,L$7+IF(L$2=$AA218,$AC218,IF(L$2=$AF218,$AG218,0))))</f>
        <v/>
      </c>
      <c r="Y218">
        <f>IF(M217&lt;=0,0,MIN(AR218,M$7+IF(M$2=$AA218,$AC218,IF(M$2=$AF218,$AG218,0))))</f>
        <v/>
      </c>
      <c r="Z218">
        <f>IF(N217&lt;=0,0,MIN(AS218,N$7+IF(N$2=$AA218,$AC218,IF(N$2=$AF218,$AG218,0))))</f>
        <v/>
      </c>
      <c r="AA218">
        <f>IFERROR(ROUND(1/SUMPRODUCT(MAX((C217:N217&gt;0)*($C$3:$N$3&lt;=B218)/$C$2:$N$2)),0),0)</f>
        <v/>
      </c>
      <c r="AB218">
        <f>SUMPRODUCT((C217:N217&gt;0)*$C$7:$N$7)</f>
        <v/>
      </c>
      <c r="AC218">
        <f>MAX(0,Plan!$C$5-AB218)+IF(A218=Plan!$C$8,N(Plan!$C$7),0)</f>
        <v/>
      </c>
      <c r="AD218">
        <f>SUM(C218:N218)</f>
        <v/>
      </c>
      <c r="AE218">
        <f>SUM(O218:Z218)</f>
        <v/>
      </c>
      <c r="AF218">
        <f>IFERROR(ROUND(1/SUMPRODUCT(MAX((C217:N217&gt;0)*($C$3:$N$3&lt;=B218)*($C$2:$N$2&gt;AA218)/$C$2:$N$2)),0),0)</f>
        <v/>
      </c>
      <c r="AG218">
        <f>MAX(0,AC218-MAX(0,SUMPRODUCT(($C$2:$N$2=AA218)*(AH218:AS218-$C$7:$N$7))))</f>
        <v/>
      </c>
      <c r="AH218">
        <f>IF(C217&lt;=0,0,ROUND(C217*(1+IF(AND(C$6&gt;0,$B218&lt;C$6),C$4,C$5)/12),2))</f>
        <v/>
      </c>
      <c r="AI218">
        <f>IF(D217&lt;=0,0,ROUND(D217*(1+IF(AND(D$6&gt;0,$B218&lt;D$6),D$4,D$5)/12),2))</f>
        <v/>
      </c>
      <c r="AJ218">
        <f>IF(E217&lt;=0,0,ROUND(E217*(1+IF(AND(E$6&gt;0,$B218&lt;E$6),E$4,E$5)/12),2))</f>
        <v/>
      </c>
      <c r="AK218">
        <f>IF(F217&lt;=0,0,ROUND(F217*(1+IF(AND(F$6&gt;0,$B218&lt;F$6),F$4,F$5)/12),2))</f>
        <v/>
      </c>
      <c r="AL218">
        <f>IF(G217&lt;=0,0,ROUND(G217*(1+IF(AND(G$6&gt;0,$B218&lt;G$6),G$4,G$5)/12),2))</f>
        <v/>
      </c>
      <c r="AM218">
        <f>IF(H217&lt;=0,0,ROUND(H217*(1+IF(AND(H$6&gt;0,$B218&lt;H$6),H$4,H$5)/12),2))</f>
        <v/>
      </c>
      <c r="AN218">
        <f>IF(I217&lt;=0,0,ROUND(I217*(1+IF(AND(I$6&gt;0,$B218&lt;I$6),I$4,I$5)/12),2))</f>
        <v/>
      </c>
      <c r="AO218">
        <f>IF(J217&lt;=0,0,ROUND(J217*(1+IF(AND(J$6&gt;0,$B218&lt;J$6),J$4,J$5)/12),2))</f>
        <v/>
      </c>
      <c r="AP218">
        <f>IF(K217&lt;=0,0,ROUND(K217*(1+IF(AND(K$6&gt;0,$B218&lt;K$6),K$4,K$5)/12),2))</f>
        <v/>
      </c>
      <c r="AQ218">
        <f>IF(L217&lt;=0,0,ROUND(L217*(1+IF(AND(L$6&gt;0,$B218&lt;L$6),L$4,L$5)/12),2))</f>
        <v/>
      </c>
      <c r="AR218">
        <f>IF(M217&lt;=0,0,ROUND(M217*(1+IF(AND(M$6&gt;0,$B218&lt;M$6),M$4,M$5)/12),2))</f>
        <v/>
      </c>
      <c r="AS218">
        <f>IF(N217&lt;=0,0,ROUND(N217*(1+IF(AND(N$6&gt;0,$B218&lt;N$6),N$4,N$5)/12),2))</f>
        <v/>
      </c>
    </row>
    <row r="219">
      <c r="A219" t="n">
        <v>208</v>
      </c>
      <c r="B219">
        <f>EDATE(Plan!$C$6,207)</f>
        <v/>
      </c>
      <c r="C219">
        <f>IF(C218&lt;=0,0,MAX(0,AH219-O219))</f>
        <v/>
      </c>
      <c r="D219">
        <f>IF(D218&lt;=0,0,MAX(0,AI219-P219))</f>
        <v/>
      </c>
      <c r="E219">
        <f>IF(E218&lt;=0,0,MAX(0,AJ219-Q219))</f>
        <v/>
      </c>
      <c r="F219">
        <f>IF(F218&lt;=0,0,MAX(0,AK219-R219))</f>
        <v/>
      </c>
      <c r="G219">
        <f>IF(G218&lt;=0,0,MAX(0,AL219-S219))</f>
        <v/>
      </c>
      <c r="H219">
        <f>IF(H218&lt;=0,0,MAX(0,AM219-T219))</f>
        <v/>
      </c>
      <c r="I219">
        <f>IF(I218&lt;=0,0,MAX(0,AN219-U219))</f>
        <v/>
      </c>
      <c r="J219">
        <f>IF(J218&lt;=0,0,MAX(0,AO219-V219))</f>
        <v/>
      </c>
      <c r="K219">
        <f>IF(K218&lt;=0,0,MAX(0,AP219-W219))</f>
        <v/>
      </c>
      <c r="L219">
        <f>IF(L218&lt;=0,0,MAX(0,AQ219-X219))</f>
        <v/>
      </c>
      <c r="M219">
        <f>IF(M218&lt;=0,0,MAX(0,AR219-Y219))</f>
        <v/>
      </c>
      <c r="N219">
        <f>IF(N218&lt;=0,0,MAX(0,AS219-Z219))</f>
        <v/>
      </c>
      <c r="O219">
        <f>IF(C218&lt;=0,0,MIN(AH219,C$7+IF(C$2=$AA219,$AC219,IF(C$2=$AF219,$AG219,0))))</f>
        <v/>
      </c>
      <c r="P219">
        <f>IF(D218&lt;=0,0,MIN(AI219,D$7+IF(D$2=$AA219,$AC219,IF(D$2=$AF219,$AG219,0))))</f>
        <v/>
      </c>
      <c r="Q219">
        <f>IF(E218&lt;=0,0,MIN(AJ219,E$7+IF(E$2=$AA219,$AC219,IF(E$2=$AF219,$AG219,0))))</f>
        <v/>
      </c>
      <c r="R219">
        <f>IF(F218&lt;=0,0,MIN(AK219,F$7+IF(F$2=$AA219,$AC219,IF(F$2=$AF219,$AG219,0))))</f>
        <v/>
      </c>
      <c r="S219">
        <f>IF(G218&lt;=0,0,MIN(AL219,G$7+IF(G$2=$AA219,$AC219,IF(G$2=$AF219,$AG219,0))))</f>
        <v/>
      </c>
      <c r="T219">
        <f>IF(H218&lt;=0,0,MIN(AM219,H$7+IF(H$2=$AA219,$AC219,IF(H$2=$AF219,$AG219,0))))</f>
        <v/>
      </c>
      <c r="U219">
        <f>IF(I218&lt;=0,0,MIN(AN219,I$7+IF(I$2=$AA219,$AC219,IF(I$2=$AF219,$AG219,0))))</f>
        <v/>
      </c>
      <c r="V219">
        <f>IF(J218&lt;=0,0,MIN(AO219,J$7+IF(J$2=$AA219,$AC219,IF(J$2=$AF219,$AG219,0))))</f>
        <v/>
      </c>
      <c r="W219">
        <f>IF(K218&lt;=0,0,MIN(AP219,K$7+IF(K$2=$AA219,$AC219,IF(K$2=$AF219,$AG219,0))))</f>
        <v/>
      </c>
      <c r="X219">
        <f>IF(L218&lt;=0,0,MIN(AQ219,L$7+IF(L$2=$AA219,$AC219,IF(L$2=$AF219,$AG219,0))))</f>
        <v/>
      </c>
      <c r="Y219">
        <f>IF(M218&lt;=0,0,MIN(AR219,M$7+IF(M$2=$AA219,$AC219,IF(M$2=$AF219,$AG219,0))))</f>
        <v/>
      </c>
      <c r="Z219">
        <f>IF(N218&lt;=0,0,MIN(AS219,N$7+IF(N$2=$AA219,$AC219,IF(N$2=$AF219,$AG219,0))))</f>
        <v/>
      </c>
      <c r="AA219">
        <f>IFERROR(ROUND(1/SUMPRODUCT(MAX((C218:N218&gt;0)*($C$3:$N$3&lt;=B219)/$C$2:$N$2)),0),0)</f>
        <v/>
      </c>
      <c r="AB219">
        <f>SUMPRODUCT((C218:N218&gt;0)*$C$7:$N$7)</f>
        <v/>
      </c>
      <c r="AC219">
        <f>MAX(0,Plan!$C$5-AB219)+IF(A219=Plan!$C$8,N(Plan!$C$7),0)</f>
        <v/>
      </c>
      <c r="AD219">
        <f>SUM(C219:N219)</f>
        <v/>
      </c>
      <c r="AE219">
        <f>SUM(O219:Z219)</f>
        <v/>
      </c>
      <c r="AF219">
        <f>IFERROR(ROUND(1/SUMPRODUCT(MAX((C218:N218&gt;0)*($C$3:$N$3&lt;=B219)*($C$2:$N$2&gt;AA219)/$C$2:$N$2)),0),0)</f>
        <v/>
      </c>
      <c r="AG219">
        <f>MAX(0,AC219-MAX(0,SUMPRODUCT(($C$2:$N$2=AA219)*(AH219:AS219-$C$7:$N$7))))</f>
        <v/>
      </c>
      <c r="AH219">
        <f>IF(C218&lt;=0,0,ROUND(C218*(1+IF(AND(C$6&gt;0,$B219&lt;C$6),C$4,C$5)/12),2))</f>
        <v/>
      </c>
      <c r="AI219">
        <f>IF(D218&lt;=0,0,ROUND(D218*(1+IF(AND(D$6&gt;0,$B219&lt;D$6),D$4,D$5)/12),2))</f>
        <v/>
      </c>
      <c r="AJ219">
        <f>IF(E218&lt;=0,0,ROUND(E218*(1+IF(AND(E$6&gt;0,$B219&lt;E$6),E$4,E$5)/12),2))</f>
        <v/>
      </c>
      <c r="AK219">
        <f>IF(F218&lt;=0,0,ROUND(F218*(1+IF(AND(F$6&gt;0,$B219&lt;F$6),F$4,F$5)/12),2))</f>
        <v/>
      </c>
      <c r="AL219">
        <f>IF(G218&lt;=0,0,ROUND(G218*(1+IF(AND(G$6&gt;0,$B219&lt;G$6),G$4,G$5)/12),2))</f>
        <v/>
      </c>
      <c r="AM219">
        <f>IF(H218&lt;=0,0,ROUND(H218*(1+IF(AND(H$6&gt;0,$B219&lt;H$6),H$4,H$5)/12),2))</f>
        <v/>
      </c>
      <c r="AN219">
        <f>IF(I218&lt;=0,0,ROUND(I218*(1+IF(AND(I$6&gt;0,$B219&lt;I$6),I$4,I$5)/12),2))</f>
        <v/>
      </c>
      <c r="AO219">
        <f>IF(J218&lt;=0,0,ROUND(J218*(1+IF(AND(J$6&gt;0,$B219&lt;J$6),J$4,J$5)/12),2))</f>
        <v/>
      </c>
      <c r="AP219">
        <f>IF(K218&lt;=0,0,ROUND(K218*(1+IF(AND(K$6&gt;0,$B219&lt;K$6),K$4,K$5)/12),2))</f>
        <v/>
      </c>
      <c r="AQ219">
        <f>IF(L218&lt;=0,0,ROUND(L218*(1+IF(AND(L$6&gt;0,$B219&lt;L$6),L$4,L$5)/12),2))</f>
        <v/>
      </c>
      <c r="AR219">
        <f>IF(M218&lt;=0,0,ROUND(M218*(1+IF(AND(M$6&gt;0,$B219&lt;M$6),M$4,M$5)/12),2))</f>
        <v/>
      </c>
      <c r="AS219">
        <f>IF(N218&lt;=0,0,ROUND(N218*(1+IF(AND(N$6&gt;0,$B219&lt;N$6),N$4,N$5)/12),2))</f>
        <v/>
      </c>
    </row>
    <row r="220">
      <c r="A220" t="n">
        <v>209</v>
      </c>
      <c r="B220">
        <f>EDATE(Plan!$C$6,208)</f>
        <v/>
      </c>
      <c r="C220">
        <f>IF(C219&lt;=0,0,MAX(0,AH220-O220))</f>
        <v/>
      </c>
      <c r="D220">
        <f>IF(D219&lt;=0,0,MAX(0,AI220-P220))</f>
        <v/>
      </c>
      <c r="E220">
        <f>IF(E219&lt;=0,0,MAX(0,AJ220-Q220))</f>
        <v/>
      </c>
      <c r="F220">
        <f>IF(F219&lt;=0,0,MAX(0,AK220-R220))</f>
        <v/>
      </c>
      <c r="G220">
        <f>IF(G219&lt;=0,0,MAX(0,AL220-S220))</f>
        <v/>
      </c>
      <c r="H220">
        <f>IF(H219&lt;=0,0,MAX(0,AM220-T220))</f>
        <v/>
      </c>
      <c r="I220">
        <f>IF(I219&lt;=0,0,MAX(0,AN220-U220))</f>
        <v/>
      </c>
      <c r="J220">
        <f>IF(J219&lt;=0,0,MAX(0,AO220-V220))</f>
        <v/>
      </c>
      <c r="K220">
        <f>IF(K219&lt;=0,0,MAX(0,AP220-W220))</f>
        <v/>
      </c>
      <c r="L220">
        <f>IF(L219&lt;=0,0,MAX(0,AQ220-X220))</f>
        <v/>
      </c>
      <c r="M220">
        <f>IF(M219&lt;=0,0,MAX(0,AR220-Y220))</f>
        <v/>
      </c>
      <c r="N220">
        <f>IF(N219&lt;=0,0,MAX(0,AS220-Z220))</f>
        <v/>
      </c>
      <c r="O220">
        <f>IF(C219&lt;=0,0,MIN(AH220,C$7+IF(C$2=$AA220,$AC220,IF(C$2=$AF220,$AG220,0))))</f>
        <v/>
      </c>
      <c r="P220">
        <f>IF(D219&lt;=0,0,MIN(AI220,D$7+IF(D$2=$AA220,$AC220,IF(D$2=$AF220,$AG220,0))))</f>
        <v/>
      </c>
      <c r="Q220">
        <f>IF(E219&lt;=0,0,MIN(AJ220,E$7+IF(E$2=$AA220,$AC220,IF(E$2=$AF220,$AG220,0))))</f>
        <v/>
      </c>
      <c r="R220">
        <f>IF(F219&lt;=0,0,MIN(AK220,F$7+IF(F$2=$AA220,$AC220,IF(F$2=$AF220,$AG220,0))))</f>
        <v/>
      </c>
      <c r="S220">
        <f>IF(G219&lt;=0,0,MIN(AL220,G$7+IF(G$2=$AA220,$AC220,IF(G$2=$AF220,$AG220,0))))</f>
        <v/>
      </c>
      <c r="T220">
        <f>IF(H219&lt;=0,0,MIN(AM220,H$7+IF(H$2=$AA220,$AC220,IF(H$2=$AF220,$AG220,0))))</f>
        <v/>
      </c>
      <c r="U220">
        <f>IF(I219&lt;=0,0,MIN(AN220,I$7+IF(I$2=$AA220,$AC220,IF(I$2=$AF220,$AG220,0))))</f>
        <v/>
      </c>
      <c r="V220">
        <f>IF(J219&lt;=0,0,MIN(AO220,J$7+IF(J$2=$AA220,$AC220,IF(J$2=$AF220,$AG220,0))))</f>
        <v/>
      </c>
      <c r="W220">
        <f>IF(K219&lt;=0,0,MIN(AP220,K$7+IF(K$2=$AA220,$AC220,IF(K$2=$AF220,$AG220,0))))</f>
        <v/>
      </c>
      <c r="X220">
        <f>IF(L219&lt;=0,0,MIN(AQ220,L$7+IF(L$2=$AA220,$AC220,IF(L$2=$AF220,$AG220,0))))</f>
        <v/>
      </c>
      <c r="Y220">
        <f>IF(M219&lt;=0,0,MIN(AR220,M$7+IF(M$2=$AA220,$AC220,IF(M$2=$AF220,$AG220,0))))</f>
        <v/>
      </c>
      <c r="Z220">
        <f>IF(N219&lt;=0,0,MIN(AS220,N$7+IF(N$2=$AA220,$AC220,IF(N$2=$AF220,$AG220,0))))</f>
        <v/>
      </c>
      <c r="AA220">
        <f>IFERROR(ROUND(1/SUMPRODUCT(MAX((C219:N219&gt;0)*($C$3:$N$3&lt;=B220)/$C$2:$N$2)),0),0)</f>
        <v/>
      </c>
      <c r="AB220">
        <f>SUMPRODUCT((C219:N219&gt;0)*$C$7:$N$7)</f>
        <v/>
      </c>
      <c r="AC220">
        <f>MAX(0,Plan!$C$5-AB220)+IF(A220=Plan!$C$8,N(Plan!$C$7),0)</f>
        <v/>
      </c>
      <c r="AD220">
        <f>SUM(C220:N220)</f>
        <v/>
      </c>
      <c r="AE220">
        <f>SUM(O220:Z220)</f>
        <v/>
      </c>
      <c r="AF220">
        <f>IFERROR(ROUND(1/SUMPRODUCT(MAX((C219:N219&gt;0)*($C$3:$N$3&lt;=B220)*($C$2:$N$2&gt;AA220)/$C$2:$N$2)),0),0)</f>
        <v/>
      </c>
      <c r="AG220">
        <f>MAX(0,AC220-MAX(0,SUMPRODUCT(($C$2:$N$2=AA220)*(AH220:AS220-$C$7:$N$7))))</f>
        <v/>
      </c>
      <c r="AH220">
        <f>IF(C219&lt;=0,0,ROUND(C219*(1+IF(AND(C$6&gt;0,$B220&lt;C$6),C$4,C$5)/12),2))</f>
        <v/>
      </c>
      <c r="AI220">
        <f>IF(D219&lt;=0,0,ROUND(D219*(1+IF(AND(D$6&gt;0,$B220&lt;D$6),D$4,D$5)/12),2))</f>
        <v/>
      </c>
      <c r="AJ220">
        <f>IF(E219&lt;=0,0,ROUND(E219*(1+IF(AND(E$6&gt;0,$B220&lt;E$6),E$4,E$5)/12),2))</f>
        <v/>
      </c>
      <c r="AK220">
        <f>IF(F219&lt;=0,0,ROUND(F219*(1+IF(AND(F$6&gt;0,$B220&lt;F$6),F$4,F$5)/12),2))</f>
        <v/>
      </c>
      <c r="AL220">
        <f>IF(G219&lt;=0,0,ROUND(G219*(1+IF(AND(G$6&gt;0,$B220&lt;G$6),G$4,G$5)/12),2))</f>
        <v/>
      </c>
      <c r="AM220">
        <f>IF(H219&lt;=0,0,ROUND(H219*(1+IF(AND(H$6&gt;0,$B220&lt;H$6),H$4,H$5)/12),2))</f>
        <v/>
      </c>
      <c r="AN220">
        <f>IF(I219&lt;=0,0,ROUND(I219*(1+IF(AND(I$6&gt;0,$B220&lt;I$6),I$4,I$5)/12),2))</f>
        <v/>
      </c>
      <c r="AO220">
        <f>IF(J219&lt;=0,0,ROUND(J219*(1+IF(AND(J$6&gt;0,$B220&lt;J$6),J$4,J$5)/12),2))</f>
        <v/>
      </c>
      <c r="AP220">
        <f>IF(K219&lt;=0,0,ROUND(K219*(1+IF(AND(K$6&gt;0,$B220&lt;K$6),K$4,K$5)/12),2))</f>
        <v/>
      </c>
      <c r="AQ220">
        <f>IF(L219&lt;=0,0,ROUND(L219*(1+IF(AND(L$6&gt;0,$B220&lt;L$6),L$4,L$5)/12),2))</f>
        <v/>
      </c>
      <c r="AR220">
        <f>IF(M219&lt;=0,0,ROUND(M219*(1+IF(AND(M$6&gt;0,$B220&lt;M$6),M$4,M$5)/12),2))</f>
        <v/>
      </c>
      <c r="AS220">
        <f>IF(N219&lt;=0,0,ROUND(N219*(1+IF(AND(N$6&gt;0,$B220&lt;N$6),N$4,N$5)/12),2))</f>
        <v/>
      </c>
    </row>
    <row r="221">
      <c r="A221" t="n">
        <v>210</v>
      </c>
      <c r="B221">
        <f>EDATE(Plan!$C$6,209)</f>
        <v/>
      </c>
      <c r="C221">
        <f>IF(C220&lt;=0,0,MAX(0,AH221-O221))</f>
        <v/>
      </c>
      <c r="D221">
        <f>IF(D220&lt;=0,0,MAX(0,AI221-P221))</f>
        <v/>
      </c>
      <c r="E221">
        <f>IF(E220&lt;=0,0,MAX(0,AJ221-Q221))</f>
        <v/>
      </c>
      <c r="F221">
        <f>IF(F220&lt;=0,0,MAX(0,AK221-R221))</f>
        <v/>
      </c>
      <c r="G221">
        <f>IF(G220&lt;=0,0,MAX(0,AL221-S221))</f>
        <v/>
      </c>
      <c r="H221">
        <f>IF(H220&lt;=0,0,MAX(0,AM221-T221))</f>
        <v/>
      </c>
      <c r="I221">
        <f>IF(I220&lt;=0,0,MAX(0,AN221-U221))</f>
        <v/>
      </c>
      <c r="J221">
        <f>IF(J220&lt;=0,0,MAX(0,AO221-V221))</f>
        <v/>
      </c>
      <c r="K221">
        <f>IF(K220&lt;=0,0,MAX(0,AP221-W221))</f>
        <v/>
      </c>
      <c r="L221">
        <f>IF(L220&lt;=0,0,MAX(0,AQ221-X221))</f>
        <v/>
      </c>
      <c r="M221">
        <f>IF(M220&lt;=0,0,MAX(0,AR221-Y221))</f>
        <v/>
      </c>
      <c r="N221">
        <f>IF(N220&lt;=0,0,MAX(0,AS221-Z221))</f>
        <v/>
      </c>
      <c r="O221">
        <f>IF(C220&lt;=0,0,MIN(AH221,C$7+IF(C$2=$AA221,$AC221,IF(C$2=$AF221,$AG221,0))))</f>
        <v/>
      </c>
      <c r="P221">
        <f>IF(D220&lt;=0,0,MIN(AI221,D$7+IF(D$2=$AA221,$AC221,IF(D$2=$AF221,$AG221,0))))</f>
        <v/>
      </c>
      <c r="Q221">
        <f>IF(E220&lt;=0,0,MIN(AJ221,E$7+IF(E$2=$AA221,$AC221,IF(E$2=$AF221,$AG221,0))))</f>
        <v/>
      </c>
      <c r="R221">
        <f>IF(F220&lt;=0,0,MIN(AK221,F$7+IF(F$2=$AA221,$AC221,IF(F$2=$AF221,$AG221,0))))</f>
        <v/>
      </c>
      <c r="S221">
        <f>IF(G220&lt;=0,0,MIN(AL221,G$7+IF(G$2=$AA221,$AC221,IF(G$2=$AF221,$AG221,0))))</f>
        <v/>
      </c>
      <c r="T221">
        <f>IF(H220&lt;=0,0,MIN(AM221,H$7+IF(H$2=$AA221,$AC221,IF(H$2=$AF221,$AG221,0))))</f>
        <v/>
      </c>
      <c r="U221">
        <f>IF(I220&lt;=0,0,MIN(AN221,I$7+IF(I$2=$AA221,$AC221,IF(I$2=$AF221,$AG221,0))))</f>
        <v/>
      </c>
      <c r="V221">
        <f>IF(J220&lt;=0,0,MIN(AO221,J$7+IF(J$2=$AA221,$AC221,IF(J$2=$AF221,$AG221,0))))</f>
        <v/>
      </c>
      <c r="W221">
        <f>IF(K220&lt;=0,0,MIN(AP221,K$7+IF(K$2=$AA221,$AC221,IF(K$2=$AF221,$AG221,0))))</f>
        <v/>
      </c>
      <c r="X221">
        <f>IF(L220&lt;=0,0,MIN(AQ221,L$7+IF(L$2=$AA221,$AC221,IF(L$2=$AF221,$AG221,0))))</f>
        <v/>
      </c>
      <c r="Y221">
        <f>IF(M220&lt;=0,0,MIN(AR221,M$7+IF(M$2=$AA221,$AC221,IF(M$2=$AF221,$AG221,0))))</f>
        <v/>
      </c>
      <c r="Z221">
        <f>IF(N220&lt;=0,0,MIN(AS221,N$7+IF(N$2=$AA221,$AC221,IF(N$2=$AF221,$AG221,0))))</f>
        <v/>
      </c>
      <c r="AA221">
        <f>IFERROR(ROUND(1/SUMPRODUCT(MAX((C220:N220&gt;0)*($C$3:$N$3&lt;=B221)/$C$2:$N$2)),0),0)</f>
        <v/>
      </c>
      <c r="AB221">
        <f>SUMPRODUCT((C220:N220&gt;0)*$C$7:$N$7)</f>
        <v/>
      </c>
      <c r="AC221">
        <f>MAX(0,Plan!$C$5-AB221)+IF(A221=Plan!$C$8,N(Plan!$C$7),0)</f>
        <v/>
      </c>
      <c r="AD221">
        <f>SUM(C221:N221)</f>
        <v/>
      </c>
      <c r="AE221">
        <f>SUM(O221:Z221)</f>
        <v/>
      </c>
      <c r="AF221">
        <f>IFERROR(ROUND(1/SUMPRODUCT(MAX((C220:N220&gt;0)*($C$3:$N$3&lt;=B221)*($C$2:$N$2&gt;AA221)/$C$2:$N$2)),0),0)</f>
        <v/>
      </c>
      <c r="AG221">
        <f>MAX(0,AC221-MAX(0,SUMPRODUCT(($C$2:$N$2=AA221)*(AH221:AS221-$C$7:$N$7))))</f>
        <v/>
      </c>
      <c r="AH221">
        <f>IF(C220&lt;=0,0,ROUND(C220*(1+IF(AND(C$6&gt;0,$B221&lt;C$6),C$4,C$5)/12),2))</f>
        <v/>
      </c>
      <c r="AI221">
        <f>IF(D220&lt;=0,0,ROUND(D220*(1+IF(AND(D$6&gt;0,$B221&lt;D$6),D$4,D$5)/12),2))</f>
        <v/>
      </c>
      <c r="AJ221">
        <f>IF(E220&lt;=0,0,ROUND(E220*(1+IF(AND(E$6&gt;0,$B221&lt;E$6),E$4,E$5)/12),2))</f>
        <v/>
      </c>
      <c r="AK221">
        <f>IF(F220&lt;=0,0,ROUND(F220*(1+IF(AND(F$6&gt;0,$B221&lt;F$6),F$4,F$5)/12),2))</f>
        <v/>
      </c>
      <c r="AL221">
        <f>IF(G220&lt;=0,0,ROUND(G220*(1+IF(AND(G$6&gt;0,$B221&lt;G$6),G$4,G$5)/12),2))</f>
        <v/>
      </c>
      <c r="AM221">
        <f>IF(H220&lt;=0,0,ROUND(H220*(1+IF(AND(H$6&gt;0,$B221&lt;H$6),H$4,H$5)/12),2))</f>
        <v/>
      </c>
      <c r="AN221">
        <f>IF(I220&lt;=0,0,ROUND(I220*(1+IF(AND(I$6&gt;0,$B221&lt;I$6),I$4,I$5)/12),2))</f>
        <v/>
      </c>
      <c r="AO221">
        <f>IF(J220&lt;=0,0,ROUND(J220*(1+IF(AND(J$6&gt;0,$B221&lt;J$6),J$4,J$5)/12),2))</f>
        <v/>
      </c>
      <c r="AP221">
        <f>IF(K220&lt;=0,0,ROUND(K220*(1+IF(AND(K$6&gt;0,$B221&lt;K$6),K$4,K$5)/12),2))</f>
        <v/>
      </c>
      <c r="AQ221">
        <f>IF(L220&lt;=0,0,ROUND(L220*(1+IF(AND(L$6&gt;0,$B221&lt;L$6),L$4,L$5)/12),2))</f>
        <v/>
      </c>
      <c r="AR221">
        <f>IF(M220&lt;=0,0,ROUND(M220*(1+IF(AND(M$6&gt;0,$B221&lt;M$6),M$4,M$5)/12),2))</f>
        <v/>
      </c>
      <c r="AS221">
        <f>IF(N220&lt;=0,0,ROUND(N220*(1+IF(AND(N$6&gt;0,$B221&lt;N$6),N$4,N$5)/12),2))</f>
        <v/>
      </c>
    </row>
    <row r="222">
      <c r="A222" t="n">
        <v>211</v>
      </c>
      <c r="B222">
        <f>EDATE(Plan!$C$6,210)</f>
        <v/>
      </c>
      <c r="C222">
        <f>IF(C221&lt;=0,0,MAX(0,AH222-O222))</f>
        <v/>
      </c>
      <c r="D222">
        <f>IF(D221&lt;=0,0,MAX(0,AI222-P222))</f>
        <v/>
      </c>
      <c r="E222">
        <f>IF(E221&lt;=0,0,MAX(0,AJ222-Q222))</f>
        <v/>
      </c>
      <c r="F222">
        <f>IF(F221&lt;=0,0,MAX(0,AK222-R222))</f>
        <v/>
      </c>
      <c r="G222">
        <f>IF(G221&lt;=0,0,MAX(0,AL222-S222))</f>
        <v/>
      </c>
      <c r="H222">
        <f>IF(H221&lt;=0,0,MAX(0,AM222-T222))</f>
        <v/>
      </c>
      <c r="I222">
        <f>IF(I221&lt;=0,0,MAX(0,AN222-U222))</f>
        <v/>
      </c>
      <c r="J222">
        <f>IF(J221&lt;=0,0,MAX(0,AO222-V222))</f>
        <v/>
      </c>
      <c r="K222">
        <f>IF(K221&lt;=0,0,MAX(0,AP222-W222))</f>
        <v/>
      </c>
      <c r="L222">
        <f>IF(L221&lt;=0,0,MAX(0,AQ222-X222))</f>
        <v/>
      </c>
      <c r="M222">
        <f>IF(M221&lt;=0,0,MAX(0,AR222-Y222))</f>
        <v/>
      </c>
      <c r="N222">
        <f>IF(N221&lt;=0,0,MAX(0,AS222-Z222))</f>
        <v/>
      </c>
      <c r="O222">
        <f>IF(C221&lt;=0,0,MIN(AH222,C$7+IF(C$2=$AA222,$AC222,IF(C$2=$AF222,$AG222,0))))</f>
        <v/>
      </c>
      <c r="P222">
        <f>IF(D221&lt;=0,0,MIN(AI222,D$7+IF(D$2=$AA222,$AC222,IF(D$2=$AF222,$AG222,0))))</f>
        <v/>
      </c>
      <c r="Q222">
        <f>IF(E221&lt;=0,0,MIN(AJ222,E$7+IF(E$2=$AA222,$AC222,IF(E$2=$AF222,$AG222,0))))</f>
        <v/>
      </c>
      <c r="R222">
        <f>IF(F221&lt;=0,0,MIN(AK222,F$7+IF(F$2=$AA222,$AC222,IF(F$2=$AF222,$AG222,0))))</f>
        <v/>
      </c>
      <c r="S222">
        <f>IF(G221&lt;=0,0,MIN(AL222,G$7+IF(G$2=$AA222,$AC222,IF(G$2=$AF222,$AG222,0))))</f>
        <v/>
      </c>
      <c r="T222">
        <f>IF(H221&lt;=0,0,MIN(AM222,H$7+IF(H$2=$AA222,$AC222,IF(H$2=$AF222,$AG222,0))))</f>
        <v/>
      </c>
      <c r="U222">
        <f>IF(I221&lt;=0,0,MIN(AN222,I$7+IF(I$2=$AA222,$AC222,IF(I$2=$AF222,$AG222,0))))</f>
        <v/>
      </c>
      <c r="V222">
        <f>IF(J221&lt;=0,0,MIN(AO222,J$7+IF(J$2=$AA222,$AC222,IF(J$2=$AF222,$AG222,0))))</f>
        <v/>
      </c>
      <c r="W222">
        <f>IF(K221&lt;=0,0,MIN(AP222,K$7+IF(K$2=$AA222,$AC222,IF(K$2=$AF222,$AG222,0))))</f>
        <v/>
      </c>
      <c r="X222">
        <f>IF(L221&lt;=0,0,MIN(AQ222,L$7+IF(L$2=$AA222,$AC222,IF(L$2=$AF222,$AG222,0))))</f>
        <v/>
      </c>
      <c r="Y222">
        <f>IF(M221&lt;=0,0,MIN(AR222,M$7+IF(M$2=$AA222,$AC222,IF(M$2=$AF222,$AG222,0))))</f>
        <v/>
      </c>
      <c r="Z222">
        <f>IF(N221&lt;=0,0,MIN(AS222,N$7+IF(N$2=$AA222,$AC222,IF(N$2=$AF222,$AG222,0))))</f>
        <v/>
      </c>
      <c r="AA222">
        <f>IFERROR(ROUND(1/SUMPRODUCT(MAX((C221:N221&gt;0)*($C$3:$N$3&lt;=B222)/$C$2:$N$2)),0),0)</f>
        <v/>
      </c>
      <c r="AB222">
        <f>SUMPRODUCT((C221:N221&gt;0)*$C$7:$N$7)</f>
        <v/>
      </c>
      <c r="AC222">
        <f>MAX(0,Plan!$C$5-AB222)+IF(A222=Plan!$C$8,N(Plan!$C$7),0)</f>
        <v/>
      </c>
      <c r="AD222">
        <f>SUM(C222:N222)</f>
        <v/>
      </c>
      <c r="AE222">
        <f>SUM(O222:Z222)</f>
        <v/>
      </c>
      <c r="AF222">
        <f>IFERROR(ROUND(1/SUMPRODUCT(MAX((C221:N221&gt;0)*($C$3:$N$3&lt;=B222)*($C$2:$N$2&gt;AA222)/$C$2:$N$2)),0),0)</f>
        <v/>
      </c>
      <c r="AG222">
        <f>MAX(0,AC222-MAX(0,SUMPRODUCT(($C$2:$N$2=AA222)*(AH222:AS222-$C$7:$N$7))))</f>
        <v/>
      </c>
      <c r="AH222">
        <f>IF(C221&lt;=0,0,ROUND(C221*(1+IF(AND(C$6&gt;0,$B222&lt;C$6),C$4,C$5)/12),2))</f>
        <v/>
      </c>
      <c r="AI222">
        <f>IF(D221&lt;=0,0,ROUND(D221*(1+IF(AND(D$6&gt;0,$B222&lt;D$6),D$4,D$5)/12),2))</f>
        <v/>
      </c>
      <c r="AJ222">
        <f>IF(E221&lt;=0,0,ROUND(E221*(1+IF(AND(E$6&gt;0,$B222&lt;E$6),E$4,E$5)/12),2))</f>
        <v/>
      </c>
      <c r="AK222">
        <f>IF(F221&lt;=0,0,ROUND(F221*(1+IF(AND(F$6&gt;0,$B222&lt;F$6),F$4,F$5)/12),2))</f>
        <v/>
      </c>
      <c r="AL222">
        <f>IF(G221&lt;=0,0,ROUND(G221*(1+IF(AND(G$6&gt;0,$B222&lt;G$6),G$4,G$5)/12),2))</f>
        <v/>
      </c>
      <c r="AM222">
        <f>IF(H221&lt;=0,0,ROUND(H221*(1+IF(AND(H$6&gt;0,$B222&lt;H$6),H$4,H$5)/12),2))</f>
        <v/>
      </c>
      <c r="AN222">
        <f>IF(I221&lt;=0,0,ROUND(I221*(1+IF(AND(I$6&gt;0,$B222&lt;I$6),I$4,I$5)/12),2))</f>
        <v/>
      </c>
      <c r="AO222">
        <f>IF(J221&lt;=0,0,ROUND(J221*(1+IF(AND(J$6&gt;0,$B222&lt;J$6),J$4,J$5)/12),2))</f>
        <v/>
      </c>
      <c r="AP222">
        <f>IF(K221&lt;=0,0,ROUND(K221*(1+IF(AND(K$6&gt;0,$B222&lt;K$6),K$4,K$5)/12),2))</f>
        <v/>
      </c>
      <c r="AQ222">
        <f>IF(L221&lt;=0,0,ROUND(L221*(1+IF(AND(L$6&gt;0,$B222&lt;L$6),L$4,L$5)/12),2))</f>
        <v/>
      </c>
      <c r="AR222">
        <f>IF(M221&lt;=0,0,ROUND(M221*(1+IF(AND(M$6&gt;0,$B222&lt;M$6),M$4,M$5)/12),2))</f>
        <v/>
      </c>
      <c r="AS222">
        <f>IF(N221&lt;=0,0,ROUND(N221*(1+IF(AND(N$6&gt;0,$B222&lt;N$6),N$4,N$5)/12),2))</f>
        <v/>
      </c>
    </row>
    <row r="223">
      <c r="A223" t="n">
        <v>212</v>
      </c>
      <c r="B223">
        <f>EDATE(Plan!$C$6,211)</f>
        <v/>
      </c>
      <c r="C223">
        <f>IF(C222&lt;=0,0,MAX(0,AH223-O223))</f>
        <v/>
      </c>
      <c r="D223">
        <f>IF(D222&lt;=0,0,MAX(0,AI223-P223))</f>
        <v/>
      </c>
      <c r="E223">
        <f>IF(E222&lt;=0,0,MAX(0,AJ223-Q223))</f>
        <v/>
      </c>
      <c r="F223">
        <f>IF(F222&lt;=0,0,MAX(0,AK223-R223))</f>
        <v/>
      </c>
      <c r="G223">
        <f>IF(G222&lt;=0,0,MAX(0,AL223-S223))</f>
        <v/>
      </c>
      <c r="H223">
        <f>IF(H222&lt;=0,0,MAX(0,AM223-T223))</f>
        <v/>
      </c>
      <c r="I223">
        <f>IF(I222&lt;=0,0,MAX(0,AN223-U223))</f>
        <v/>
      </c>
      <c r="J223">
        <f>IF(J222&lt;=0,0,MAX(0,AO223-V223))</f>
        <v/>
      </c>
      <c r="K223">
        <f>IF(K222&lt;=0,0,MAX(0,AP223-W223))</f>
        <v/>
      </c>
      <c r="L223">
        <f>IF(L222&lt;=0,0,MAX(0,AQ223-X223))</f>
        <v/>
      </c>
      <c r="M223">
        <f>IF(M222&lt;=0,0,MAX(0,AR223-Y223))</f>
        <v/>
      </c>
      <c r="N223">
        <f>IF(N222&lt;=0,0,MAX(0,AS223-Z223))</f>
        <v/>
      </c>
      <c r="O223">
        <f>IF(C222&lt;=0,0,MIN(AH223,C$7+IF(C$2=$AA223,$AC223,IF(C$2=$AF223,$AG223,0))))</f>
        <v/>
      </c>
      <c r="P223">
        <f>IF(D222&lt;=0,0,MIN(AI223,D$7+IF(D$2=$AA223,$AC223,IF(D$2=$AF223,$AG223,0))))</f>
        <v/>
      </c>
      <c r="Q223">
        <f>IF(E222&lt;=0,0,MIN(AJ223,E$7+IF(E$2=$AA223,$AC223,IF(E$2=$AF223,$AG223,0))))</f>
        <v/>
      </c>
      <c r="R223">
        <f>IF(F222&lt;=0,0,MIN(AK223,F$7+IF(F$2=$AA223,$AC223,IF(F$2=$AF223,$AG223,0))))</f>
        <v/>
      </c>
      <c r="S223">
        <f>IF(G222&lt;=0,0,MIN(AL223,G$7+IF(G$2=$AA223,$AC223,IF(G$2=$AF223,$AG223,0))))</f>
        <v/>
      </c>
      <c r="T223">
        <f>IF(H222&lt;=0,0,MIN(AM223,H$7+IF(H$2=$AA223,$AC223,IF(H$2=$AF223,$AG223,0))))</f>
        <v/>
      </c>
      <c r="U223">
        <f>IF(I222&lt;=0,0,MIN(AN223,I$7+IF(I$2=$AA223,$AC223,IF(I$2=$AF223,$AG223,0))))</f>
        <v/>
      </c>
      <c r="V223">
        <f>IF(J222&lt;=0,0,MIN(AO223,J$7+IF(J$2=$AA223,$AC223,IF(J$2=$AF223,$AG223,0))))</f>
        <v/>
      </c>
      <c r="W223">
        <f>IF(K222&lt;=0,0,MIN(AP223,K$7+IF(K$2=$AA223,$AC223,IF(K$2=$AF223,$AG223,0))))</f>
        <v/>
      </c>
      <c r="X223">
        <f>IF(L222&lt;=0,0,MIN(AQ223,L$7+IF(L$2=$AA223,$AC223,IF(L$2=$AF223,$AG223,0))))</f>
        <v/>
      </c>
      <c r="Y223">
        <f>IF(M222&lt;=0,0,MIN(AR223,M$7+IF(M$2=$AA223,$AC223,IF(M$2=$AF223,$AG223,0))))</f>
        <v/>
      </c>
      <c r="Z223">
        <f>IF(N222&lt;=0,0,MIN(AS223,N$7+IF(N$2=$AA223,$AC223,IF(N$2=$AF223,$AG223,0))))</f>
        <v/>
      </c>
      <c r="AA223">
        <f>IFERROR(ROUND(1/SUMPRODUCT(MAX((C222:N222&gt;0)*($C$3:$N$3&lt;=B223)/$C$2:$N$2)),0),0)</f>
        <v/>
      </c>
      <c r="AB223">
        <f>SUMPRODUCT((C222:N222&gt;0)*$C$7:$N$7)</f>
        <v/>
      </c>
      <c r="AC223">
        <f>MAX(0,Plan!$C$5-AB223)+IF(A223=Plan!$C$8,N(Plan!$C$7),0)</f>
        <v/>
      </c>
      <c r="AD223">
        <f>SUM(C223:N223)</f>
        <v/>
      </c>
      <c r="AE223">
        <f>SUM(O223:Z223)</f>
        <v/>
      </c>
      <c r="AF223">
        <f>IFERROR(ROUND(1/SUMPRODUCT(MAX((C222:N222&gt;0)*($C$3:$N$3&lt;=B223)*($C$2:$N$2&gt;AA223)/$C$2:$N$2)),0),0)</f>
        <v/>
      </c>
      <c r="AG223">
        <f>MAX(0,AC223-MAX(0,SUMPRODUCT(($C$2:$N$2=AA223)*(AH223:AS223-$C$7:$N$7))))</f>
        <v/>
      </c>
      <c r="AH223">
        <f>IF(C222&lt;=0,0,ROUND(C222*(1+IF(AND(C$6&gt;0,$B223&lt;C$6),C$4,C$5)/12),2))</f>
        <v/>
      </c>
      <c r="AI223">
        <f>IF(D222&lt;=0,0,ROUND(D222*(1+IF(AND(D$6&gt;0,$B223&lt;D$6),D$4,D$5)/12),2))</f>
        <v/>
      </c>
      <c r="AJ223">
        <f>IF(E222&lt;=0,0,ROUND(E222*(1+IF(AND(E$6&gt;0,$B223&lt;E$6),E$4,E$5)/12),2))</f>
        <v/>
      </c>
      <c r="AK223">
        <f>IF(F222&lt;=0,0,ROUND(F222*(1+IF(AND(F$6&gt;0,$B223&lt;F$6),F$4,F$5)/12),2))</f>
        <v/>
      </c>
      <c r="AL223">
        <f>IF(G222&lt;=0,0,ROUND(G222*(1+IF(AND(G$6&gt;0,$B223&lt;G$6),G$4,G$5)/12),2))</f>
        <v/>
      </c>
      <c r="AM223">
        <f>IF(H222&lt;=0,0,ROUND(H222*(1+IF(AND(H$6&gt;0,$B223&lt;H$6),H$4,H$5)/12),2))</f>
        <v/>
      </c>
      <c r="AN223">
        <f>IF(I222&lt;=0,0,ROUND(I222*(1+IF(AND(I$6&gt;0,$B223&lt;I$6),I$4,I$5)/12),2))</f>
        <v/>
      </c>
      <c r="AO223">
        <f>IF(J222&lt;=0,0,ROUND(J222*(1+IF(AND(J$6&gt;0,$B223&lt;J$6),J$4,J$5)/12),2))</f>
        <v/>
      </c>
      <c r="AP223">
        <f>IF(K222&lt;=0,0,ROUND(K222*(1+IF(AND(K$6&gt;0,$B223&lt;K$6),K$4,K$5)/12),2))</f>
        <v/>
      </c>
      <c r="AQ223">
        <f>IF(L222&lt;=0,0,ROUND(L222*(1+IF(AND(L$6&gt;0,$B223&lt;L$6),L$4,L$5)/12),2))</f>
        <v/>
      </c>
      <c r="AR223">
        <f>IF(M222&lt;=0,0,ROUND(M222*(1+IF(AND(M$6&gt;0,$B223&lt;M$6),M$4,M$5)/12),2))</f>
        <v/>
      </c>
      <c r="AS223">
        <f>IF(N222&lt;=0,0,ROUND(N222*(1+IF(AND(N$6&gt;0,$B223&lt;N$6),N$4,N$5)/12),2))</f>
        <v/>
      </c>
    </row>
    <row r="224">
      <c r="A224" t="n">
        <v>213</v>
      </c>
      <c r="B224">
        <f>EDATE(Plan!$C$6,212)</f>
        <v/>
      </c>
      <c r="C224">
        <f>IF(C223&lt;=0,0,MAX(0,AH224-O224))</f>
        <v/>
      </c>
      <c r="D224">
        <f>IF(D223&lt;=0,0,MAX(0,AI224-P224))</f>
        <v/>
      </c>
      <c r="E224">
        <f>IF(E223&lt;=0,0,MAX(0,AJ224-Q224))</f>
        <v/>
      </c>
      <c r="F224">
        <f>IF(F223&lt;=0,0,MAX(0,AK224-R224))</f>
        <v/>
      </c>
      <c r="G224">
        <f>IF(G223&lt;=0,0,MAX(0,AL224-S224))</f>
        <v/>
      </c>
      <c r="H224">
        <f>IF(H223&lt;=0,0,MAX(0,AM224-T224))</f>
        <v/>
      </c>
      <c r="I224">
        <f>IF(I223&lt;=0,0,MAX(0,AN224-U224))</f>
        <v/>
      </c>
      <c r="J224">
        <f>IF(J223&lt;=0,0,MAX(0,AO224-V224))</f>
        <v/>
      </c>
      <c r="K224">
        <f>IF(K223&lt;=0,0,MAX(0,AP224-W224))</f>
        <v/>
      </c>
      <c r="L224">
        <f>IF(L223&lt;=0,0,MAX(0,AQ224-X224))</f>
        <v/>
      </c>
      <c r="M224">
        <f>IF(M223&lt;=0,0,MAX(0,AR224-Y224))</f>
        <v/>
      </c>
      <c r="N224">
        <f>IF(N223&lt;=0,0,MAX(0,AS224-Z224))</f>
        <v/>
      </c>
      <c r="O224">
        <f>IF(C223&lt;=0,0,MIN(AH224,C$7+IF(C$2=$AA224,$AC224,IF(C$2=$AF224,$AG224,0))))</f>
        <v/>
      </c>
      <c r="P224">
        <f>IF(D223&lt;=0,0,MIN(AI224,D$7+IF(D$2=$AA224,$AC224,IF(D$2=$AF224,$AG224,0))))</f>
        <v/>
      </c>
      <c r="Q224">
        <f>IF(E223&lt;=0,0,MIN(AJ224,E$7+IF(E$2=$AA224,$AC224,IF(E$2=$AF224,$AG224,0))))</f>
        <v/>
      </c>
      <c r="R224">
        <f>IF(F223&lt;=0,0,MIN(AK224,F$7+IF(F$2=$AA224,$AC224,IF(F$2=$AF224,$AG224,0))))</f>
        <v/>
      </c>
      <c r="S224">
        <f>IF(G223&lt;=0,0,MIN(AL224,G$7+IF(G$2=$AA224,$AC224,IF(G$2=$AF224,$AG224,0))))</f>
        <v/>
      </c>
      <c r="T224">
        <f>IF(H223&lt;=0,0,MIN(AM224,H$7+IF(H$2=$AA224,$AC224,IF(H$2=$AF224,$AG224,0))))</f>
        <v/>
      </c>
      <c r="U224">
        <f>IF(I223&lt;=0,0,MIN(AN224,I$7+IF(I$2=$AA224,$AC224,IF(I$2=$AF224,$AG224,0))))</f>
        <v/>
      </c>
      <c r="V224">
        <f>IF(J223&lt;=0,0,MIN(AO224,J$7+IF(J$2=$AA224,$AC224,IF(J$2=$AF224,$AG224,0))))</f>
        <v/>
      </c>
      <c r="W224">
        <f>IF(K223&lt;=0,0,MIN(AP224,K$7+IF(K$2=$AA224,$AC224,IF(K$2=$AF224,$AG224,0))))</f>
        <v/>
      </c>
      <c r="X224">
        <f>IF(L223&lt;=0,0,MIN(AQ224,L$7+IF(L$2=$AA224,$AC224,IF(L$2=$AF224,$AG224,0))))</f>
        <v/>
      </c>
      <c r="Y224">
        <f>IF(M223&lt;=0,0,MIN(AR224,M$7+IF(M$2=$AA224,$AC224,IF(M$2=$AF224,$AG224,0))))</f>
        <v/>
      </c>
      <c r="Z224">
        <f>IF(N223&lt;=0,0,MIN(AS224,N$7+IF(N$2=$AA224,$AC224,IF(N$2=$AF224,$AG224,0))))</f>
        <v/>
      </c>
      <c r="AA224">
        <f>IFERROR(ROUND(1/SUMPRODUCT(MAX((C223:N223&gt;0)*($C$3:$N$3&lt;=B224)/$C$2:$N$2)),0),0)</f>
        <v/>
      </c>
      <c r="AB224">
        <f>SUMPRODUCT((C223:N223&gt;0)*$C$7:$N$7)</f>
        <v/>
      </c>
      <c r="AC224">
        <f>MAX(0,Plan!$C$5-AB224)+IF(A224=Plan!$C$8,N(Plan!$C$7),0)</f>
        <v/>
      </c>
      <c r="AD224">
        <f>SUM(C224:N224)</f>
        <v/>
      </c>
      <c r="AE224">
        <f>SUM(O224:Z224)</f>
        <v/>
      </c>
      <c r="AF224">
        <f>IFERROR(ROUND(1/SUMPRODUCT(MAX((C223:N223&gt;0)*($C$3:$N$3&lt;=B224)*($C$2:$N$2&gt;AA224)/$C$2:$N$2)),0),0)</f>
        <v/>
      </c>
      <c r="AG224">
        <f>MAX(0,AC224-MAX(0,SUMPRODUCT(($C$2:$N$2=AA224)*(AH224:AS224-$C$7:$N$7))))</f>
        <v/>
      </c>
      <c r="AH224">
        <f>IF(C223&lt;=0,0,ROUND(C223*(1+IF(AND(C$6&gt;0,$B224&lt;C$6),C$4,C$5)/12),2))</f>
        <v/>
      </c>
      <c r="AI224">
        <f>IF(D223&lt;=0,0,ROUND(D223*(1+IF(AND(D$6&gt;0,$B224&lt;D$6),D$4,D$5)/12),2))</f>
        <v/>
      </c>
      <c r="AJ224">
        <f>IF(E223&lt;=0,0,ROUND(E223*(1+IF(AND(E$6&gt;0,$B224&lt;E$6),E$4,E$5)/12),2))</f>
        <v/>
      </c>
      <c r="AK224">
        <f>IF(F223&lt;=0,0,ROUND(F223*(1+IF(AND(F$6&gt;0,$B224&lt;F$6),F$4,F$5)/12),2))</f>
        <v/>
      </c>
      <c r="AL224">
        <f>IF(G223&lt;=0,0,ROUND(G223*(1+IF(AND(G$6&gt;0,$B224&lt;G$6),G$4,G$5)/12),2))</f>
        <v/>
      </c>
      <c r="AM224">
        <f>IF(H223&lt;=0,0,ROUND(H223*(1+IF(AND(H$6&gt;0,$B224&lt;H$6),H$4,H$5)/12),2))</f>
        <v/>
      </c>
      <c r="AN224">
        <f>IF(I223&lt;=0,0,ROUND(I223*(1+IF(AND(I$6&gt;0,$B224&lt;I$6),I$4,I$5)/12),2))</f>
        <v/>
      </c>
      <c r="AO224">
        <f>IF(J223&lt;=0,0,ROUND(J223*(1+IF(AND(J$6&gt;0,$B224&lt;J$6),J$4,J$5)/12),2))</f>
        <v/>
      </c>
      <c r="AP224">
        <f>IF(K223&lt;=0,0,ROUND(K223*(1+IF(AND(K$6&gt;0,$B224&lt;K$6),K$4,K$5)/12),2))</f>
        <v/>
      </c>
      <c r="AQ224">
        <f>IF(L223&lt;=0,0,ROUND(L223*(1+IF(AND(L$6&gt;0,$B224&lt;L$6),L$4,L$5)/12),2))</f>
        <v/>
      </c>
      <c r="AR224">
        <f>IF(M223&lt;=0,0,ROUND(M223*(1+IF(AND(M$6&gt;0,$B224&lt;M$6),M$4,M$5)/12),2))</f>
        <v/>
      </c>
      <c r="AS224">
        <f>IF(N223&lt;=0,0,ROUND(N223*(1+IF(AND(N$6&gt;0,$B224&lt;N$6),N$4,N$5)/12),2))</f>
        <v/>
      </c>
    </row>
    <row r="225">
      <c r="A225" t="n">
        <v>214</v>
      </c>
      <c r="B225">
        <f>EDATE(Plan!$C$6,213)</f>
        <v/>
      </c>
      <c r="C225">
        <f>IF(C224&lt;=0,0,MAX(0,AH225-O225))</f>
        <v/>
      </c>
      <c r="D225">
        <f>IF(D224&lt;=0,0,MAX(0,AI225-P225))</f>
        <v/>
      </c>
      <c r="E225">
        <f>IF(E224&lt;=0,0,MAX(0,AJ225-Q225))</f>
        <v/>
      </c>
      <c r="F225">
        <f>IF(F224&lt;=0,0,MAX(0,AK225-R225))</f>
        <v/>
      </c>
      <c r="G225">
        <f>IF(G224&lt;=0,0,MAX(0,AL225-S225))</f>
        <v/>
      </c>
      <c r="H225">
        <f>IF(H224&lt;=0,0,MAX(0,AM225-T225))</f>
        <v/>
      </c>
      <c r="I225">
        <f>IF(I224&lt;=0,0,MAX(0,AN225-U225))</f>
        <v/>
      </c>
      <c r="J225">
        <f>IF(J224&lt;=0,0,MAX(0,AO225-V225))</f>
        <v/>
      </c>
      <c r="K225">
        <f>IF(K224&lt;=0,0,MAX(0,AP225-W225))</f>
        <v/>
      </c>
      <c r="L225">
        <f>IF(L224&lt;=0,0,MAX(0,AQ225-X225))</f>
        <v/>
      </c>
      <c r="M225">
        <f>IF(M224&lt;=0,0,MAX(0,AR225-Y225))</f>
        <v/>
      </c>
      <c r="N225">
        <f>IF(N224&lt;=0,0,MAX(0,AS225-Z225))</f>
        <v/>
      </c>
      <c r="O225">
        <f>IF(C224&lt;=0,0,MIN(AH225,C$7+IF(C$2=$AA225,$AC225,IF(C$2=$AF225,$AG225,0))))</f>
        <v/>
      </c>
      <c r="P225">
        <f>IF(D224&lt;=0,0,MIN(AI225,D$7+IF(D$2=$AA225,$AC225,IF(D$2=$AF225,$AG225,0))))</f>
        <v/>
      </c>
      <c r="Q225">
        <f>IF(E224&lt;=0,0,MIN(AJ225,E$7+IF(E$2=$AA225,$AC225,IF(E$2=$AF225,$AG225,0))))</f>
        <v/>
      </c>
      <c r="R225">
        <f>IF(F224&lt;=0,0,MIN(AK225,F$7+IF(F$2=$AA225,$AC225,IF(F$2=$AF225,$AG225,0))))</f>
        <v/>
      </c>
      <c r="S225">
        <f>IF(G224&lt;=0,0,MIN(AL225,G$7+IF(G$2=$AA225,$AC225,IF(G$2=$AF225,$AG225,0))))</f>
        <v/>
      </c>
      <c r="T225">
        <f>IF(H224&lt;=0,0,MIN(AM225,H$7+IF(H$2=$AA225,$AC225,IF(H$2=$AF225,$AG225,0))))</f>
        <v/>
      </c>
      <c r="U225">
        <f>IF(I224&lt;=0,0,MIN(AN225,I$7+IF(I$2=$AA225,$AC225,IF(I$2=$AF225,$AG225,0))))</f>
        <v/>
      </c>
      <c r="V225">
        <f>IF(J224&lt;=0,0,MIN(AO225,J$7+IF(J$2=$AA225,$AC225,IF(J$2=$AF225,$AG225,0))))</f>
        <v/>
      </c>
      <c r="W225">
        <f>IF(K224&lt;=0,0,MIN(AP225,K$7+IF(K$2=$AA225,$AC225,IF(K$2=$AF225,$AG225,0))))</f>
        <v/>
      </c>
      <c r="X225">
        <f>IF(L224&lt;=0,0,MIN(AQ225,L$7+IF(L$2=$AA225,$AC225,IF(L$2=$AF225,$AG225,0))))</f>
        <v/>
      </c>
      <c r="Y225">
        <f>IF(M224&lt;=0,0,MIN(AR225,M$7+IF(M$2=$AA225,$AC225,IF(M$2=$AF225,$AG225,0))))</f>
        <v/>
      </c>
      <c r="Z225">
        <f>IF(N224&lt;=0,0,MIN(AS225,N$7+IF(N$2=$AA225,$AC225,IF(N$2=$AF225,$AG225,0))))</f>
        <v/>
      </c>
      <c r="AA225">
        <f>IFERROR(ROUND(1/SUMPRODUCT(MAX((C224:N224&gt;0)*($C$3:$N$3&lt;=B225)/$C$2:$N$2)),0),0)</f>
        <v/>
      </c>
      <c r="AB225">
        <f>SUMPRODUCT((C224:N224&gt;0)*$C$7:$N$7)</f>
        <v/>
      </c>
      <c r="AC225">
        <f>MAX(0,Plan!$C$5-AB225)+IF(A225=Plan!$C$8,N(Plan!$C$7),0)</f>
        <v/>
      </c>
      <c r="AD225">
        <f>SUM(C225:N225)</f>
        <v/>
      </c>
      <c r="AE225">
        <f>SUM(O225:Z225)</f>
        <v/>
      </c>
      <c r="AF225">
        <f>IFERROR(ROUND(1/SUMPRODUCT(MAX((C224:N224&gt;0)*($C$3:$N$3&lt;=B225)*($C$2:$N$2&gt;AA225)/$C$2:$N$2)),0),0)</f>
        <v/>
      </c>
      <c r="AG225">
        <f>MAX(0,AC225-MAX(0,SUMPRODUCT(($C$2:$N$2=AA225)*(AH225:AS225-$C$7:$N$7))))</f>
        <v/>
      </c>
      <c r="AH225">
        <f>IF(C224&lt;=0,0,ROUND(C224*(1+IF(AND(C$6&gt;0,$B225&lt;C$6),C$4,C$5)/12),2))</f>
        <v/>
      </c>
      <c r="AI225">
        <f>IF(D224&lt;=0,0,ROUND(D224*(1+IF(AND(D$6&gt;0,$B225&lt;D$6),D$4,D$5)/12),2))</f>
        <v/>
      </c>
      <c r="AJ225">
        <f>IF(E224&lt;=0,0,ROUND(E224*(1+IF(AND(E$6&gt;0,$B225&lt;E$6),E$4,E$5)/12),2))</f>
        <v/>
      </c>
      <c r="AK225">
        <f>IF(F224&lt;=0,0,ROUND(F224*(1+IF(AND(F$6&gt;0,$B225&lt;F$6),F$4,F$5)/12),2))</f>
        <v/>
      </c>
      <c r="AL225">
        <f>IF(G224&lt;=0,0,ROUND(G224*(1+IF(AND(G$6&gt;0,$B225&lt;G$6),G$4,G$5)/12),2))</f>
        <v/>
      </c>
      <c r="AM225">
        <f>IF(H224&lt;=0,0,ROUND(H224*(1+IF(AND(H$6&gt;0,$B225&lt;H$6),H$4,H$5)/12),2))</f>
        <v/>
      </c>
      <c r="AN225">
        <f>IF(I224&lt;=0,0,ROUND(I224*(1+IF(AND(I$6&gt;0,$B225&lt;I$6),I$4,I$5)/12),2))</f>
        <v/>
      </c>
      <c r="AO225">
        <f>IF(J224&lt;=0,0,ROUND(J224*(1+IF(AND(J$6&gt;0,$B225&lt;J$6),J$4,J$5)/12),2))</f>
        <v/>
      </c>
      <c r="AP225">
        <f>IF(K224&lt;=0,0,ROUND(K224*(1+IF(AND(K$6&gt;0,$B225&lt;K$6),K$4,K$5)/12),2))</f>
        <v/>
      </c>
      <c r="AQ225">
        <f>IF(L224&lt;=0,0,ROUND(L224*(1+IF(AND(L$6&gt;0,$B225&lt;L$6),L$4,L$5)/12),2))</f>
        <v/>
      </c>
      <c r="AR225">
        <f>IF(M224&lt;=0,0,ROUND(M224*(1+IF(AND(M$6&gt;0,$B225&lt;M$6),M$4,M$5)/12),2))</f>
        <v/>
      </c>
      <c r="AS225">
        <f>IF(N224&lt;=0,0,ROUND(N224*(1+IF(AND(N$6&gt;0,$B225&lt;N$6),N$4,N$5)/12),2))</f>
        <v/>
      </c>
    </row>
    <row r="226">
      <c r="A226" t="n">
        <v>215</v>
      </c>
      <c r="B226">
        <f>EDATE(Plan!$C$6,214)</f>
        <v/>
      </c>
      <c r="C226">
        <f>IF(C225&lt;=0,0,MAX(0,AH226-O226))</f>
        <v/>
      </c>
      <c r="D226">
        <f>IF(D225&lt;=0,0,MAX(0,AI226-P226))</f>
        <v/>
      </c>
      <c r="E226">
        <f>IF(E225&lt;=0,0,MAX(0,AJ226-Q226))</f>
        <v/>
      </c>
      <c r="F226">
        <f>IF(F225&lt;=0,0,MAX(0,AK226-R226))</f>
        <v/>
      </c>
      <c r="G226">
        <f>IF(G225&lt;=0,0,MAX(0,AL226-S226))</f>
        <v/>
      </c>
      <c r="H226">
        <f>IF(H225&lt;=0,0,MAX(0,AM226-T226))</f>
        <v/>
      </c>
      <c r="I226">
        <f>IF(I225&lt;=0,0,MAX(0,AN226-U226))</f>
        <v/>
      </c>
      <c r="J226">
        <f>IF(J225&lt;=0,0,MAX(0,AO226-V226))</f>
        <v/>
      </c>
      <c r="K226">
        <f>IF(K225&lt;=0,0,MAX(0,AP226-W226))</f>
        <v/>
      </c>
      <c r="L226">
        <f>IF(L225&lt;=0,0,MAX(0,AQ226-X226))</f>
        <v/>
      </c>
      <c r="M226">
        <f>IF(M225&lt;=0,0,MAX(0,AR226-Y226))</f>
        <v/>
      </c>
      <c r="N226">
        <f>IF(N225&lt;=0,0,MAX(0,AS226-Z226))</f>
        <v/>
      </c>
      <c r="O226">
        <f>IF(C225&lt;=0,0,MIN(AH226,C$7+IF(C$2=$AA226,$AC226,IF(C$2=$AF226,$AG226,0))))</f>
        <v/>
      </c>
      <c r="P226">
        <f>IF(D225&lt;=0,0,MIN(AI226,D$7+IF(D$2=$AA226,$AC226,IF(D$2=$AF226,$AG226,0))))</f>
        <v/>
      </c>
      <c r="Q226">
        <f>IF(E225&lt;=0,0,MIN(AJ226,E$7+IF(E$2=$AA226,$AC226,IF(E$2=$AF226,$AG226,0))))</f>
        <v/>
      </c>
      <c r="R226">
        <f>IF(F225&lt;=0,0,MIN(AK226,F$7+IF(F$2=$AA226,$AC226,IF(F$2=$AF226,$AG226,0))))</f>
        <v/>
      </c>
      <c r="S226">
        <f>IF(G225&lt;=0,0,MIN(AL226,G$7+IF(G$2=$AA226,$AC226,IF(G$2=$AF226,$AG226,0))))</f>
        <v/>
      </c>
      <c r="T226">
        <f>IF(H225&lt;=0,0,MIN(AM226,H$7+IF(H$2=$AA226,$AC226,IF(H$2=$AF226,$AG226,0))))</f>
        <v/>
      </c>
      <c r="U226">
        <f>IF(I225&lt;=0,0,MIN(AN226,I$7+IF(I$2=$AA226,$AC226,IF(I$2=$AF226,$AG226,0))))</f>
        <v/>
      </c>
      <c r="V226">
        <f>IF(J225&lt;=0,0,MIN(AO226,J$7+IF(J$2=$AA226,$AC226,IF(J$2=$AF226,$AG226,0))))</f>
        <v/>
      </c>
      <c r="W226">
        <f>IF(K225&lt;=0,0,MIN(AP226,K$7+IF(K$2=$AA226,$AC226,IF(K$2=$AF226,$AG226,0))))</f>
        <v/>
      </c>
      <c r="X226">
        <f>IF(L225&lt;=0,0,MIN(AQ226,L$7+IF(L$2=$AA226,$AC226,IF(L$2=$AF226,$AG226,0))))</f>
        <v/>
      </c>
      <c r="Y226">
        <f>IF(M225&lt;=0,0,MIN(AR226,M$7+IF(M$2=$AA226,$AC226,IF(M$2=$AF226,$AG226,0))))</f>
        <v/>
      </c>
      <c r="Z226">
        <f>IF(N225&lt;=0,0,MIN(AS226,N$7+IF(N$2=$AA226,$AC226,IF(N$2=$AF226,$AG226,0))))</f>
        <v/>
      </c>
      <c r="AA226">
        <f>IFERROR(ROUND(1/SUMPRODUCT(MAX((C225:N225&gt;0)*($C$3:$N$3&lt;=B226)/$C$2:$N$2)),0),0)</f>
        <v/>
      </c>
      <c r="AB226">
        <f>SUMPRODUCT((C225:N225&gt;0)*$C$7:$N$7)</f>
        <v/>
      </c>
      <c r="AC226">
        <f>MAX(0,Plan!$C$5-AB226)+IF(A226=Plan!$C$8,N(Plan!$C$7),0)</f>
        <v/>
      </c>
      <c r="AD226">
        <f>SUM(C226:N226)</f>
        <v/>
      </c>
      <c r="AE226">
        <f>SUM(O226:Z226)</f>
        <v/>
      </c>
      <c r="AF226">
        <f>IFERROR(ROUND(1/SUMPRODUCT(MAX((C225:N225&gt;0)*($C$3:$N$3&lt;=B226)*($C$2:$N$2&gt;AA226)/$C$2:$N$2)),0),0)</f>
        <v/>
      </c>
      <c r="AG226">
        <f>MAX(0,AC226-MAX(0,SUMPRODUCT(($C$2:$N$2=AA226)*(AH226:AS226-$C$7:$N$7))))</f>
        <v/>
      </c>
      <c r="AH226">
        <f>IF(C225&lt;=0,0,ROUND(C225*(1+IF(AND(C$6&gt;0,$B226&lt;C$6),C$4,C$5)/12),2))</f>
        <v/>
      </c>
      <c r="AI226">
        <f>IF(D225&lt;=0,0,ROUND(D225*(1+IF(AND(D$6&gt;0,$B226&lt;D$6),D$4,D$5)/12),2))</f>
        <v/>
      </c>
      <c r="AJ226">
        <f>IF(E225&lt;=0,0,ROUND(E225*(1+IF(AND(E$6&gt;0,$B226&lt;E$6),E$4,E$5)/12),2))</f>
        <v/>
      </c>
      <c r="AK226">
        <f>IF(F225&lt;=0,0,ROUND(F225*(1+IF(AND(F$6&gt;0,$B226&lt;F$6),F$4,F$5)/12),2))</f>
        <v/>
      </c>
      <c r="AL226">
        <f>IF(G225&lt;=0,0,ROUND(G225*(1+IF(AND(G$6&gt;0,$B226&lt;G$6),G$4,G$5)/12),2))</f>
        <v/>
      </c>
      <c r="AM226">
        <f>IF(H225&lt;=0,0,ROUND(H225*(1+IF(AND(H$6&gt;0,$B226&lt;H$6),H$4,H$5)/12),2))</f>
        <v/>
      </c>
      <c r="AN226">
        <f>IF(I225&lt;=0,0,ROUND(I225*(1+IF(AND(I$6&gt;0,$B226&lt;I$6),I$4,I$5)/12),2))</f>
        <v/>
      </c>
      <c r="AO226">
        <f>IF(J225&lt;=0,0,ROUND(J225*(1+IF(AND(J$6&gt;0,$B226&lt;J$6),J$4,J$5)/12),2))</f>
        <v/>
      </c>
      <c r="AP226">
        <f>IF(K225&lt;=0,0,ROUND(K225*(1+IF(AND(K$6&gt;0,$B226&lt;K$6),K$4,K$5)/12),2))</f>
        <v/>
      </c>
      <c r="AQ226">
        <f>IF(L225&lt;=0,0,ROUND(L225*(1+IF(AND(L$6&gt;0,$B226&lt;L$6),L$4,L$5)/12),2))</f>
        <v/>
      </c>
      <c r="AR226">
        <f>IF(M225&lt;=0,0,ROUND(M225*(1+IF(AND(M$6&gt;0,$B226&lt;M$6),M$4,M$5)/12),2))</f>
        <v/>
      </c>
      <c r="AS226">
        <f>IF(N225&lt;=0,0,ROUND(N225*(1+IF(AND(N$6&gt;0,$B226&lt;N$6),N$4,N$5)/12),2))</f>
        <v/>
      </c>
    </row>
    <row r="227">
      <c r="A227" t="n">
        <v>216</v>
      </c>
      <c r="B227">
        <f>EDATE(Plan!$C$6,215)</f>
        <v/>
      </c>
      <c r="C227">
        <f>IF(C226&lt;=0,0,MAX(0,AH227-O227))</f>
        <v/>
      </c>
      <c r="D227">
        <f>IF(D226&lt;=0,0,MAX(0,AI227-P227))</f>
        <v/>
      </c>
      <c r="E227">
        <f>IF(E226&lt;=0,0,MAX(0,AJ227-Q227))</f>
        <v/>
      </c>
      <c r="F227">
        <f>IF(F226&lt;=0,0,MAX(0,AK227-R227))</f>
        <v/>
      </c>
      <c r="G227">
        <f>IF(G226&lt;=0,0,MAX(0,AL227-S227))</f>
        <v/>
      </c>
      <c r="H227">
        <f>IF(H226&lt;=0,0,MAX(0,AM227-T227))</f>
        <v/>
      </c>
      <c r="I227">
        <f>IF(I226&lt;=0,0,MAX(0,AN227-U227))</f>
        <v/>
      </c>
      <c r="J227">
        <f>IF(J226&lt;=0,0,MAX(0,AO227-V227))</f>
        <v/>
      </c>
      <c r="K227">
        <f>IF(K226&lt;=0,0,MAX(0,AP227-W227))</f>
        <v/>
      </c>
      <c r="L227">
        <f>IF(L226&lt;=0,0,MAX(0,AQ227-X227))</f>
        <v/>
      </c>
      <c r="M227">
        <f>IF(M226&lt;=0,0,MAX(0,AR227-Y227))</f>
        <v/>
      </c>
      <c r="N227">
        <f>IF(N226&lt;=0,0,MAX(0,AS227-Z227))</f>
        <v/>
      </c>
      <c r="O227">
        <f>IF(C226&lt;=0,0,MIN(AH227,C$7+IF(C$2=$AA227,$AC227,IF(C$2=$AF227,$AG227,0))))</f>
        <v/>
      </c>
      <c r="P227">
        <f>IF(D226&lt;=0,0,MIN(AI227,D$7+IF(D$2=$AA227,$AC227,IF(D$2=$AF227,$AG227,0))))</f>
        <v/>
      </c>
      <c r="Q227">
        <f>IF(E226&lt;=0,0,MIN(AJ227,E$7+IF(E$2=$AA227,$AC227,IF(E$2=$AF227,$AG227,0))))</f>
        <v/>
      </c>
      <c r="R227">
        <f>IF(F226&lt;=0,0,MIN(AK227,F$7+IF(F$2=$AA227,$AC227,IF(F$2=$AF227,$AG227,0))))</f>
        <v/>
      </c>
      <c r="S227">
        <f>IF(G226&lt;=0,0,MIN(AL227,G$7+IF(G$2=$AA227,$AC227,IF(G$2=$AF227,$AG227,0))))</f>
        <v/>
      </c>
      <c r="T227">
        <f>IF(H226&lt;=0,0,MIN(AM227,H$7+IF(H$2=$AA227,$AC227,IF(H$2=$AF227,$AG227,0))))</f>
        <v/>
      </c>
      <c r="U227">
        <f>IF(I226&lt;=0,0,MIN(AN227,I$7+IF(I$2=$AA227,$AC227,IF(I$2=$AF227,$AG227,0))))</f>
        <v/>
      </c>
      <c r="V227">
        <f>IF(J226&lt;=0,0,MIN(AO227,J$7+IF(J$2=$AA227,$AC227,IF(J$2=$AF227,$AG227,0))))</f>
        <v/>
      </c>
      <c r="W227">
        <f>IF(K226&lt;=0,0,MIN(AP227,K$7+IF(K$2=$AA227,$AC227,IF(K$2=$AF227,$AG227,0))))</f>
        <v/>
      </c>
      <c r="X227">
        <f>IF(L226&lt;=0,0,MIN(AQ227,L$7+IF(L$2=$AA227,$AC227,IF(L$2=$AF227,$AG227,0))))</f>
        <v/>
      </c>
      <c r="Y227">
        <f>IF(M226&lt;=0,0,MIN(AR227,M$7+IF(M$2=$AA227,$AC227,IF(M$2=$AF227,$AG227,0))))</f>
        <v/>
      </c>
      <c r="Z227">
        <f>IF(N226&lt;=0,0,MIN(AS227,N$7+IF(N$2=$AA227,$AC227,IF(N$2=$AF227,$AG227,0))))</f>
        <v/>
      </c>
      <c r="AA227">
        <f>IFERROR(ROUND(1/SUMPRODUCT(MAX((C226:N226&gt;0)*($C$3:$N$3&lt;=B227)/$C$2:$N$2)),0),0)</f>
        <v/>
      </c>
      <c r="AB227">
        <f>SUMPRODUCT((C226:N226&gt;0)*$C$7:$N$7)</f>
        <v/>
      </c>
      <c r="AC227">
        <f>MAX(0,Plan!$C$5-AB227)+IF(A227=Plan!$C$8,N(Plan!$C$7),0)</f>
        <v/>
      </c>
      <c r="AD227">
        <f>SUM(C227:N227)</f>
        <v/>
      </c>
      <c r="AE227">
        <f>SUM(O227:Z227)</f>
        <v/>
      </c>
      <c r="AF227">
        <f>IFERROR(ROUND(1/SUMPRODUCT(MAX((C226:N226&gt;0)*($C$3:$N$3&lt;=B227)*($C$2:$N$2&gt;AA227)/$C$2:$N$2)),0),0)</f>
        <v/>
      </c>
      <c r="AG227">
        <f>MAX(0,AC227-MAX(0,SUMPRODUCT(($C$2:$N$2=AA227)*(AH227:AS227-$C$7:$N$7))))</f>
        <v/>
      </c>
      <c r="AH227">
        <f>IF(C226&lt;=0,0,ROUND(C226*(1+IF(AND(C$6&gt;0,$B227&lt;C$6),C$4,C$5)/12),2))</f>
        <v/>
      </c>
      <c r="AI227">
        <f>IF(D226&lt;=0,0,ROUND(D226*(1+IF(AND(D$6&gt;0,$B227&lt;D$6),D$4,D$5)/12),2))</f>
        <v/>
      </c>
      <c r="AJ227">
        <f>IF(E226&lt;=0,0,ROUND(E226*(1+IF(AND(E$6&gt;0,$B227&lt;E$6),E$4,E$5)/12),2))</f>
        <v/>
      </c>
      <c r="AK227">
        <f>IF(F226&lt;=0,0,ROUND(F226*(1+IF(AND(F$6&gt;0,$B227&lt;F$6),F$4,F$5)/12),2))</f>
        <v/>
      </c>
      <c r="AL227">
        <f>IF(G226&lt;=0,0,ROUND(G226*(1+IF(AND(G$6&gt;0,$B227&lt;G$6),G$4,G$5)/12),2))</f>
        <v/>
      </c>
      <c r="AM227">
        <f>IF(H226&lt;=0,0,ROUND(H226*(1+IF(AND(H$6&gt;0,$B227&lt;H$6),H$4,H$5)/12),2))</f>
        <v/>
      </c>
      <c r="AN227">
        <f>IF(I226&lt;=0,0,ROUND(I226*(1+IF(AND(I$6&gt;0,$B227&lt;I$6),I$4,I$5)/12),2))</f>
        <v/>
      </c>
      <c r="AO227">
        <f>IF(J226&lt;=0,0,ROUND(J226*(1+IF(AND(J$6&gt;0,$B227&lt;J$6),J$4,J$5)/12),2))</f>
        <v/>
      </c>
      <c r="AP227">
        <f>IF(K226&lt;=0,0,ROUND(K226*(1+IF(AND(K$6&gt;0,$B227&lt;K$6),K$4,K$5)/12),2))</f>
        <v/>
      </c>
      <c r="AQ227">
        <f>IF(L226&lt;=0,0,ROUND(L226*(1+IF(AND(L$6&gt;0,$B227&lt;L$6),L$4,L$5)/12),2))</f>
        <v/>
      </c>
      <c r="AR227">
        <f>IF(M226&lt;=0,0,ROUND(M226*(1+IF(AND(M$6&gt;0,$B227&lt;M$6),M$4,M$5)/12),2))</f>
        <v/>
      </c>
      <c r="AS227">
        <f>IF(N226&lt;=0,0,ROUND(N226*(1+IF(AND(N$6&gt;0,$B227&lt;N$6),N$4,N$5)/12),2))</f>
        <v/>
      </c>
    </row>
    <row r="228">
      <c r="A228" t="n">
        <v>217</v>
      </c>
      <c r="B228">
        <f>EDATE(Plan!$C$6,216)</f>
        <v/>
      </c>
      <c r="C228">
        <f>IF(C227&lt;=0,0,MAX(0,AH228-O228))</f>
        <v/>
      </c>
      <c r="D228">
        <f>IF(D227&lt;=0,0,MAX(0,AI228-P228))</f>
        <v/>
      </c>
      <c r="E228">
        <f>IF(E227&lt;=0,0,MAX(0,AJ228-Q228))</f>
        <v/>
      </c>
      <c r="F228">
        <f>IF(F227&lt;=0,0,MAX(0,AK228-R228))</f>
        <v/>
      </c>
      <c r="G228">
        <f>IF(G227&lt;=0,0,MAX(0,AL228-S228))</f>
        <v/>
      </c>
      <c r="H228">
        <f>IF(H227&lt;=0,0,MAX(0,AM228-T228))</f>
        <v/>
      </c>
      <c r="I228">
        <f>IF(I227&lt;=0,0,MAX(0,AN228-U228))</f>
        <v/>
      </c>
      <c r="J228">
        <f>IF(J227&lt;=0,0,MAX(0,AO228-V228))</f>
        <v/>
      </c>
      <c r="K228">
        <f>IF(K227&lt;=0,0,MAX(0,AP228-W228))</f>
        <v/>
      </c>
      <c r="L228">
        <f>IF(L227&lt;=0,0,MAX(0,AQ228-X228))</f>
        <v/>
      </c>
      <c r="M228">
        <f>IF(M227&lt;=0,0,MAX(0,AR228-Y228))</f>
        <v/>
      </c>
      <c r="N228">
        <f>IF(N227&lt;=0,0,MAX(0,AS228-Z228))</f>
        <v/>
      </c>
      <c r="O228">
        <f>IF(C227&lt;=0,0,MIN(AH228,C$7+IF(C$2=$AA228,$AC228,IF(C$2=$AF228,$AG228,0))))</f>
        <v/>
      </c>
      <c r="P228">
        <f>IF(D227&lt;=0,0,MIN(AI228,D$7+IF(D$2=$AA228,$AC228,IF(D$2=$AF228,$AG228,0))))</f>
        <v/>
      </c>
      <c r="Q228">
        <f>IF(E227&lt;=0,0,MIN(AJ228,E$7+IF(E$2=$AA228,$AC228,IF(E$2=$AF228,$AG228,0))))</f>
        <v/>
      </c>
      <c r="R228">
        <f>IF(F227&lt;=0,0,MIN(AK228,F$7+IF(F$2=$AA228,$AC228,IF(F$2=$AF228,$AG228,0))))</f>
        <v/>
      </c>
      <c r="S228">
        <f>IF(G227&lt;=0,0,MIN(AL228,G$7+IF(G$2=$AA228,$AC228,IF(G$2=$AF228,$AG228,0))))</f>
        <v/>
      </c>
      <c r="T228">
        <f>IF(H227&lt;=0,0,MIN(AM228,H$7+IF(H$2=$AA228,$AC228,IF(H$2=$AF228,$AG228,0))))</f>
        <v/>
      </c>
      <c r="U228">
        <f>IF(I227&lt;=0,0,MIN(AN228,I$7+IF(I$2=$AA228,$AC228,IF(I$2=$AF228,$AG228,0))))</f>
        <v/>
      </c>
      <c r="V228">
        <f>IF(J227&lt;=0,0,MIN(AO228,J$7+IF(J$2=$AA228,$AC228,IF(J$2=$AF228,$AG228,0))))</f>
        <v/>
      </c>
      <c r="W228">
        <f>IF(K227&lt;=0,0,MIN(AP228,K$7+IF(K$2=$AA228,$AC228,IF(K$2=$AF228,$AG228,0))))</f>
        <v/>
      </c>
      <c r="X228">
        <f>IF(L227&lt;=0,0,MIN(AQ228,L$7+IF(L$2=$AA228,$AC228,IF(L$2=$AF228,$AG228,0))))</f>
        <v/>
      </c>
      <c r="Y228">
        <f>IF(M227&lt;=0,0,MIN(AR228,M$7+IF(M$2=$AA228,$AC228,IF(M$2=$AF228,$AG228,0))))</f>
        <v/>
      </c>
      <c r="Z228">
        <f>IF(N227&lt;=0,0,MIN(AS228,N$7+IF(N$2=$AA228,$AC228,IF(N$2=$AF228,$AG228,0))))</f>
        <v/>
      </c>
      <c r="AA228">
        <f>IFERROR(ROUND(1/SUMPRODUCT(MAX((C227:N227&gt;0)*($C$3:$N$3&lt;=B228)/$C$2:$N$2)),0),0)</f>
        <v/>
      </c>
      <c r="AB228">
        <f>SUMPRODUCT((C227:N227&gt;0)*$C$7:$N$7)</f>
        <v/>
      </c>
      <c r="AC228">
        <f>MAX(0,Plan!$C$5-AB228)+IF(A228=Plan!$C$8,N(Plan!$C$7),0)</f>
        <v/>
      </c>
      <c r="AD228">
        <f>SUM(C228:N228)</f>
        <v/>
      </c>
      <c r="AE228">
        <f>SUM(O228:Z228)</f>
        <v/>
      </c>
      <c r="AF228">
        <f>IFERROR(ROUND(1/SUMPRODUCT(MAX((C227:N227&gt;0)*($C$3:$N$3&lt;=B228)*($C$2:$N$2&gt;AA228)/$C$2:$N$2)),0),0)</f>
        <v/>
      </c>
      <c r="AG228">
        <f>MAX(0,AC228-MAX(0,SUMPRODUCT(($C$2:$N$2=AA228)*(AH228:AS228-$C$7:$N$7))))</f>
        <v/>
      </c>
      <c r="AH228">
        <f>IF(C227&lt;=0,0,ROUND(C227*(1+IF(AND(C$6&gt;0,$B228&lt;C$6),C$4,C$5)/12),2))</f>
        <v/>
      </c>
      <c r="AI228">
        <f>IF(D227&lt;=0,0,ROUND(D227*(1+IF(AND(D$6&gt;0,$B228&lt;D$6),D$4,D$5)/12),2))</f>
        <v/>
      </c>
      <c r="AJ228">
        <f>IF(E227&lt;=0,0,ROUND(E227*(1+IF(AND(E$6&gt;0,$B228&lt;E$6),E$4,E$5)/12),2))</f>
        <v/>
      </c>
      <c r="AK228">
        <f>IF(F227&lt;=0,0,ROUND(F227*(1+IF(AND(F$6&gt;0,$B228&lt;F$6),F$4,F$5)/12),2))</f>
        <v/>
      </c>
      <c r="AL228">
        <f>IF(G227&lt;=0,0,ROUND(G227*(1+IF(AND(G$6&gt;0,$B228&lt;G$6),G$4,G$5)/12),2))</f>
        <v/>
      </c>
      <c r="AM228">
        <f>IF(H227&lt;=0,0,ROUND(H227*(1+IF(AND(H$6&gt;0,$B228&lt;H$6),H$4,H$5)/12),2))</f>
        <v/>
      </c>
      <c r="AN228">
        <f>IF(I227&lt;=0,0,ROUND(I227*(1+IF(AND(I$6&gt;0,$B228&lt;I$6),I$4,I$5)/12),2))</f>
        <v/>
      </c>
      <c r="AO228">
        <f>IF(J227&lt;=0,0,ROUND(J227*(1+IF(AND(J$6&gt;0,$B228&lt;J$6),J$4,J$5)/12),2))</f>
        <v/>
      </c>
      <c r="AP228">
        <f>IF(K227&lt;=0,0,ROUND(K227*(1+IF(AND(K$6&gt;0,$B228&lt;K$6),K$4,K$5)/12),2))</f>
        <v/>
      </c>
      <c r="AQ228">
        <f>IF(L227&lt;=0,0,ROUND(L227*(1+IF(AND(L$6&gt;0,$B228&lt;L$6),L$4,L$5)/12),2))</f>
        <v/>
      </c>
      <c r="AR228">
        <f>IF(M227&lt;=0,0,ROUND(M227*(1+IF(AND(M$6&gt;0,$B228&lt;M$6),M$4,M$5)/12),2))</f>
        <v/>
      </c>
      <c r="AS228">
        <f>IF(N227&lt;=0,0,ROUND(N227*(1+IF(AND(N$6&gt;0,$B228&lt;N$6),N$4,N$5)/12),2))</f>
        <v/>
      </c>
    </row>
    <row r="229">
      <c r="A229" t="n">
        <v>218</v>
      </c>
      <c r="B229">
        <f>EDATE(Plan!$C$6,217)</f>
        <v/>
      </c>
      <c r="C229">
        <f>IF(C228&lt;=0,0,MAX(0,AH229-O229))</f>
        <v/>
      </c>
      <c r="D229">
        <f>IF(D228&lt;=0,0,MAX(0,AI229-P229))</f>
        <v/>
      </c>
      <c r="E229">
        <f>IF(E228&lt;=0,0,MAX(0,AJ229-Q229))</f>
        <v/>
      </c>
      <c r="F229">
        <f>IF(F228&lt;=0,0,MAX(0,AK229-R229))</f>
        <v/>
      </c>
      <c r="G229">
        <f>IF(G228&lt;=0,0,MAX(0,AL229-S229))</f>
        <v/>
      </c>
      <c r="H229">
        <f>IF(H228&lt;=0,0,MAX(0,AM229-T229))</f>
        <v/>
      </c>
      <c r="I229">
        <f>IF(I228&lt;=0,0,MAX(0,AN229-U229))</f>
        <v/>
      </c>
      <c r="J229">
        <f>IF(J228&lt;=0,0,MAX(0,AO229-V229))</f>
        <v/>
      </c>
      <c r="K229">
        <f>IF(K228&lt;=0,0,MAX(0,AP229-W229))</f>
        <v/>
      </c>
      <c r="L229">
        <f>IF(L228&lt;=0,0,MAX(0,AQ229-X229))</f>
        <v/>
      </c>
      <c r="M229">
        <f>IF(M228&lt;=0,0,MAX(0,AR229-Y229))</f>
        <v/>
      </c>
      <c r="N229">
        <f>IF(N228&lt;=0,0,MAX(0,AS229-Z229))</f>
        <v/>
      </c>
      <c r="O229">
        <f>IF(C228&lt;=0,0,MIN(AH229,C$7+IF(C$2=$AA229,$AC229,IF(C$2=$AF229,$AG229,0))))</f>
        <v/>
      </c>
      <c r="P229">
        <f>IF(D228&lt;=0,0,MIN(AI229,D$7+IF(D$2=$AA229,$AC229,IF(D$2=$AF229,$AG229,0))))</f>
        <v/>
      </c>
      <c r="Q229">
        <f>IF(E228&lt;=0,0,MIN(AJ229,E$7+IF(E$2=$AA229,$AC229,IF(E$2=$AF229,$AG229,0))))</f>
        <v/>
      </c>
      <c r="R229">
        <f>IF(F228&lt;=0,0,MIN(AK229,F$7+IF(F$2=$AA229,$AC229,IF(F$2=$AF229,$AG229,0))))</f>
        <v/>
      </c>
      <c r="S229">
        <f>IF(G228&lt;=0,0,MIN(AL229,G$7+IF(G$2=$AA229,$AC229,IF(G$2=$AF229,$AG229,0))))</f>
        <v/>
      </c>
      <c r="T229">
        <f>IF(H228&lt;=0,0,MIN(AM229,H$7+IF(H$2=$AA229,$AC229,IF(H$2=$AF229,$AG229,0))))</f>
        <v/>
      </c>
      <c r="U229">
        <f>IF(I228&lt;=0,0,MIN(AN229,I$7+IF(I$2=$AA229,$AC229,IF(I$2=$AF229,$AG229,0))))</f>
        <v/>
      </c>
      <c r="V229">
        <f>IF(J228&lt;=0,0,MIN(AO229,J$7+IF(J$2=$AA229,$AC229,IF(J$2=$AF229,$AG229,0))))</f>
        <v/>
      </c>
      <c r="W229">
        <f>IF(K228&lt;=0,0,MIN(AP229,K$7+IF(K$2=$AA229,$AC229,IF(K$2=$AF229,$AG229,0))))</f>
        <v/>
      </c>
      <c r="X229">
        <f>IF(L228&lt;=0,0,MIN(AQ229,L$7+IF(L$2=$AA229,$AC229,IF(L$2=$AF229,$AG229,0))))</f>
        <v/>
      </c>
      <c r="Y229">
        <f>IF(M228&lt;=0,0,MIN(AR229,M$7+IF(M$2=$AA229,$AC229,IF(M$2=$AF229,$AG229,0))))</f>
        <v/>
      </c>
      <c r="Z229">
        <f>IF(N228&lt;=0,0,MIN(AS229,N$7+IF(N$2=$AA229,$AC229,IF(N$2=$AF229,$AG229,0))))</f>
        <v/>
      </c>
      <c r="AA229">
        <f>IFERROR(ROUND(1/SUMPRODUCT(MAX((C228:N228&gt;0)*($C$3:$N$3&lt;=B229)/$C$2:$N$2)),0),0)</f>
        <v/>
      </c>
      <c r="AB229">
        <f>SUMPRODUCT((C228:N228&gt;0)*$C$7:$N$7)</f>
        <v/>
      </c>
      <c r="AC229">
        <f>MAX(0,Plan!$C$5-AB229)+IF(A229=Plan!$C$8,N(Plan!$C$7),0)</f>
        <v/>
      </c>
      <c r="AD229">
        <f>SUM(C229:N229)</f>
        <v/>
      </c>
      <c r="AE229">
        <f>SUM(O229:Z229)</f>
        <v/>
      </c>
      <c r="AF229">
        <f>IFERROR(ROUND(1/SUMPRODUCT(MAX((C228:N228&gt;0)*($C$3:$N$3&lt;=B229)*($C$2:$N$2&gt;AA229)/$C$2:$N$2)),0),0)</f>
        <v/>
      </c>
      <c r="AG229">
        <f>MAX(0,AC229-MAX(0,SUMPRODUCT(($C$2:$N$2=AA229)*(AH229:AS229-$C$7:$N$7))))</f>
        <v/>
      </c>
      <c r="AH229">
        <f>IF(C228&lt;=0,0,ROUND(C228*(1+IF(AND(C$6&gt;0,$B229&lt;C$6),C$4,C$5)/12),2))</f>
        <v/>
      </c>
      <c r="AI229">
        <f>IF(D228&lt;=0,0,ROUND(D228*(1+IF(AND(D$6&gt;0,$B229&lt;D$6),D$4,D$5)/12),2))</f>
        <v/>
      </c>
      <c r="AJ229">
        <f>IF(E228&lt;=0,0,ROUND(E228*(1+IF(AND(E$6&gt;0,$B229&lt;E$6),E$4,E$5)/12),2))</f>
        <v/>
      </c>
      <c r="AK229">
        <f>IF(F228&lt;=0,0,ROUND(F228*(1+IF(AND(F$6&gt;0,$B229&lt;F$6),F$4,F$5)/12),2))</f>
        <v/>
      </c>
      <c r="AL229">
        <f>IF(G228&lt;=0,0,ROUND(G228*(1+IF(AND(G$6&gt;0,$B229&lt;G$6),G$4,G$5)/12),2))</f>
        <v/>
      </c>
      <c r="AM229">
        <f>IF(H228&lt;=0,0,ROUND(H228*(1+IF(AND(H$6&gt;0,$B229&lt;H$6),H$4,H$5)/12),2))</f>
        <v/>
      </c>
      <c r="AN229">
        <f>IF(I228&lt;=0,0,ROUND(I228*(1+IF(AND(I$6&gt;0,$B229&lt;I$6),I$4,I$5)/12),2))</f>
        <v/>
      </c>
      <c r="AO229">
        <f>IF(J228&lt;=0,0,ROUND(J228*(1+IF(AND(J$6&gt;0,$B229&lt;J$6),J$4,J$5)/12),2))</f>
        <v/>
      </c>
      <c r="AP229">
        <f>IF(K228&lt;=0,0,ROUND(K228*(1+IF(AND(K$6&gt;0,$B229&lt;K$6),K$4,K$5)/12),2))</f>
        <v/>
      </c>
      <c r="AQ229">
        <f>IF(L228&lt;=0,0,ROUND(L228*(1+IF(AND(L$6&gt;0,$B229&lt;L$6),L$4,L$5)/12),2))</f>
        <v/>
      </c>
      <c r="AR229">
        <f>IF(M228&lt;=0,0,ROUND(M228*(1+IF(AND(M$6&gt;0,$B229&lt;M$6),M$4,M$5)/12),2))</f>
        <v/>
      </c>
      <c r="AS229">
        <f>IF(N228&lt;=0,0,ROUND(N228*(1+IF(AND(N$6&gt;0,$B229&lt;N$6),N$4,N$5)/12),2))</f>
        <v/>
      </c>
    </row>
    <row r="230">
      <c r="A230" t="n">
        <v>219</v>
      </c>
      <c r="B230">
        <f>EDATE(Plan!$C$6,218)</f>
        <v/>
      </c>
      <c r="C230">
        <f>IF(C229&lt;=0,0,MAX(0,AH230-O230))</f>
        <v/>
      </c>
      <c r="D230">
        <f>IF(D229&lt;=0,0,MAX(0,AI230-P230))</f>
        <v/>
      </c>
      <c r="E230">
        <f>IF(E229&lt;=0,0,MAX(0,AJ230-Q230))</f>
        <v/>
      </c>
      <c r="F230">
        <f>IF(F229&lt;=0,0,MAX(0,AK230-R230))</f>
        <v/>
      </c>
      <c r="G230">
        <f>IF(G229&lt;=0,0,MAX(0,AL230-S230))</f>
        <v/>
      </c>
      <c r="H230">
        <f>IF(H229&lt;=0,0,MAX(0,AM230-T230))</f>
        <v/>
      </c>
      <c r="I230">
        <f>IF(I229&lt;=0,0,MAX(0,AN230-U230))</f>
        <v/>
      </c>
      <c r="J230">
        <f>IF(J229&lt;=0,0,MAX(0,AO230-V230))</f>
        <v/>
      </c>
      <c r="K230">
        <f>IF(K229&lt;=0,0,MAX(0,AP230-W230))</f>
        <v/>
      </c>
      <c r="L230">
        <f>IF(L229&lt;=0,0,MAX(0,AQ230-X230))</f>
        <v/>
      </c>
      <c r="M230">
        <f>IF(M229&lt;=0,0,MAX(0,AR230-Y230))</f>
        <v/>
      </c>
      <c r="N230">
        <f>IF(N229&lt;=0,0,MAX(0,AS230-Z230))</f>
        <v/>
      </c>
      <c r="O230">
        <f>IF(C229&lt;=0,0,MIN(AH230,C$7+IF(C$2=$AA230,$AC230,IF(C$2=$AF230,$AG230,0))))</f>
        <v/>
      </c>
      <c r="P230">
        <f>IF(D229&lt;=0,0,MIN(AI230,D$7+IF(D$2=$AA230,$AC230,IF(D$2=$AF230,$AG230,0))))</f>
        <v/>
      </c>
      <c r="Q230">
        <f>IF(E229&lt;=0,0,MIN(AJ230,E$7+IF(E$2=$AA230,$AC230,IF(E$2=$AF230,$AG230,0))))</f>
        <v/>
      </c>
      <c r="R230">
        <f>IF(F229&lt;=0,0,MIN(AK230,F$7+IF(F$2=$AA230,$AC230,IF(F$2=$AF230,$AG230,0))))</f>
        <v/>
      </c>
      <c r="S230">
        <f>IF(G229&lt;=0,0,MIN(AL230,G$7+IF(G$2=$AA230,$AC230,IF(G$2=$AF230,$AG230,0))))</f>
        <v/>
      </c>
      <c r="T230">
        <f>IF(H229&lt;=0,0,MIN(AM230,H$7+IF(H$2=$AA230,$AC230,IF(H$2=$AF230,$AG230,0))))</f>
        <v/>
      </c>
      <c r="U230">
        <f>IF(I229&lt;=0,0,MIN(AN230,I$7+IF(I$2=$AA230,$AC230,IF(I$2=$AF230,$AG230,0))))</f>
        <v/>
      </c>
      <c r="V230">
        <f>IF(J229&lt;=0,0,MIN(AO230,J$7+IF(J$2=$AA230,$AC230,IF(J$2=$AF230,$AG230,0))))</f>
        <v/>
      </c>
      <c r="W230">
        <f>IF(K229&lt;=0,0,MIN(AP230,K$7+IF(K$2=$AA230,$AC230,IF(K$2=$AF230,$AG230,0))))</f>
        <v/>
      </c>
      <c r="X230">
        <f>IF(L229&lt;=0,0,MIN(AQ230,L$7+IF(L$2=$AA230,$AC230,IF(L$2=$AF230,$AG230,0))))</f>
        <v/>
      </c>
      <c r="Y230">
        <f>IF(M229&lt;=0,0,MIN(AR230,M$7+IF(M$2=$AA230,$AC230,IF(M$2=$AF230,$AG230,0))))</f>
        <v/>
      </c>
      <c r="Z230">
        <f>IF(N229&lt;=0,0,MIN(AS230,N$7+IF(N$2=$AA230,$AC230,IF(N$2=$AF230,$AG230,0))))</f>
        <v/>
      </c>
      <c r="AA230">
        <f>IFERROR(ROUND(1/SUMPRODUCT(MAX((C229:N229&gt;0)*($C$3:$N$3&lt;=B230)/$C$2:$N$2)),0),0)</f>
        <v/>
      </c>
      <c r="AB230">
        <f>SUMPRODUCT((C229:N229&gt;0)*$C$7:$N$7)</f>
        <v/>
      </c>
      <c r="AC230">
        <f>MAX(0,Plan!$C$5-AB230)+IF(A230=Plan!$C$8,N(Plan!$C$7),0)</f>
        <v/>
      </c>
      <c r="AD230">
        <f>SUM(C230:N230)</f>
        <v/>
      </c>
      <c r="AE230">
        <f>SUM(O230:Z230)</f>
        <v/>
      </c>
      <c r="AF230">
        <f>IFERROR(ROUND(1/SUMPRODUCT(MAX((C229:N229&gt;0)*($C$3:$N$3&lt;=B230)*($C$2:$N$2&gt;AA230)/$C$2:$N$2)),0),0)</f>
        <v/>
      </c>
      <c r="AG230">
        <f>MAX(0,AC230-MAX(0,SUMPRODUCT(($C$2:$N$2=AA230)*(AH230:AS230-$C$7:$N$7))))</f>
        <v/>
      </c>
      <c r="AH230">
        <f>IF(C229&lt;=0,0,ROUND(C229*(1+IF(AND(C$6&gt;0,$B230&lt;C$6),C$4,C$5)/12),2))</f>
        <v/>
      </c>
      <c r="AI230">
        <f>IF(D229&lt;=0,0,ROUND(D229*(1+IF(AND(D$6&gt;0,$B230&lt;D$6),D$4,D$5)/12),2))</f>
        <v/>
      </c>
      <c r="AJ230">
        <f>IF(E229&lt;=0,0,ROUND(E229*(1+IF(AND(E$6&gt;0,$B230&lt;E$6),E$4,E$5)/12),2))</f>
        <v/>
      </c>
      <c r="AK230">
        <f>IF(F229&lt;=0,0,ROUND(F229*(1+IF(AND(F$6&gt;0,$B230&lt;F$6),F$4,F$5)/12),2))</f>
        <v/>
      </c>
      <c r="AL230">
        <f>IF(G229&lt;=0,0,ROUND(G229*(1+IF(AND(G$6&gt;0,$B230&lt;G$6),G$4,G$5)/12),2))</f>
        <v/>
      </c>
      <c r="AM230">
        <f>IF(H229&lt;=0,0,ROUND(H229*(1+IF(AND(H$6&gt;0,$B230&lt;H$6),H$4,H$5)/12),2))</f>
        <v/>
      </c>
      <c r="AN230">
        <f>IF(I229&lt;=0,0,ROUND(I229*(1+IF(AND(I$6&gt;0,$B230&lt;I$6),I$4,I$5)/12),2))</f>
        <v/>
      </c>
      <c r="AO230">
        <f>IF(J229&lt;=0,0,ROUND(J229*(1+IF(AND(J$6&gt;0,$B230&lt;J$6),J$4,J$5)/12),2))</f>
        <v/>
      </c>
      <c r="AP230">
        <f>IF(K229&lt;=0,0,ROUND(K229*(1+IF(AND(K$6&gt;0,$B230&lt;K$6),K$4,K$5)/12),2))</f>
        <v/>
      </c>
      <c r="AQ230">
        <f>IF(L229&lt;=0,0,ROUND(L229*(1+IF(AND(L$6&gt;0,$B230&lt;L$6),L$4,L$5)/12),2))</f>
        <v/>
      </c>
      <c r="AR230">
        <f>IF(M229&lt;=0,0,ROUND(M229*(1+IF(AND(M$6&gt;0,$B230&lt;M$6),M$4,M$5)/12),2))</f>
        <v/>
      </c>
      <c r="AS230">
        <f>IF(N229&lt;=0,0,ROUND(N229*(1+IF(AND(N$6&gt;0,$B230&lt;N$6),N$4,N$5)/12),2))</f>
        <v/>
      </c>
    </row>
    <row r="231">
      <c r="A231" t="n">
        <v>220</v>
      </c>
      <c r="B231">
        <f>EDATE(Plan!$C$6,219)</f>
        <v/>
      </c>
      <c r="C231">
        <f>IF(C230&lt;=0,0,MAX(0,AH231-O231))</f>
        <v/>
      </c>
      <c r="D231">
        <f>IF(D230&lt;=0,0,MAX(0,AI231-P231))</f>
        <v/>
      </c>
      <c r="E231">
        <f>IF(E230&lt;=0,0,MAX(0,AJ231-Q231))</f>
        <v/>
      </c>
      <c r="F231">
        <f>IF(F230&lt;=0,0,MAX(0,AK231-R231))</f>
        <v/>
      </c>
      <c r="G231">
        <f>IF(G230&lt;=0,0,MAX(0,AL231-S231))</f>
        <v/>
      </c>
      <c r="H231">
        <f>IF(H230&lt;=0,0,MAX(0,AM231-T231))</f>
        <v/>
      </c>
      <c r="I231">
        <f>IF(I230&lt;=0,0,MAX(0,AN231-U231))</f>
        <v/>
      </c>
      <c r="J231">
        <f>IF(J230&lt;=0,0,MAX(0,AO231-V231))</f>
        <v/>
      </c>
      <c r="K231">
        <f>IF(K230&lt;=0,0,MAX(0,AP231-W231))</f>
        <v/>
      </c>
      <c r="L231">
        <f>IF(L230&lt;=0,0,MAX(0,AQ231-X231))</f>
        <v/>
      </c>
      <c r="M231">
        <f>IF(M230&lt;=0,0,MAX(0,AR231-Y231))</f>
        <v/>
      </c>
      <c r="N231">
        <f>IF(N230&lt;=0,0,MAX(0,AS231-Z231))</f>
        <v/>
      </c>
      <c r="O231">
        <f>IF(C230&lt;=0,0,MIN(AH231,C$7+IF(C$2=$AA231,$AC231,IF(C$2=$AF231,$AG231,0))))</f>
        <v/>
      </c>
      <c r="P231">
        <f>IF(D230&lt;=0,0,MIN(AI231,D$7+IF(D$2=$AA231,$AC231,IF(D$2=$AF231,$AG231,0))))</f>
        <v/>
      </c>
      <c r="Q231">
        <f>IF(E230&lt;=0,0,MIN(AJ231,E$7+IF(E$2=$AA231,$AC231,IF(E$2=$AF231,$AG231,0))))</f>
        <v/>
      </c>
      <c r="R231">
        <f>IF(F230&lt;=0,0,MIN(AK231,F$7+IF(F$2=$AA231,$AC231,IF(F$2=$AF231,$AG231,0))))</f>
        <v/>
      </c>
      <c r="S231">
        <f>IF(G230&lt;=0,0,MIN(AL231,G$7+IF(G$2=$AA231,$AC231,IF(G$2=$AF231,$AG231,0))))</f>
        <v/>
      </c>
      <c r="T231">
        <f>IF(H230&lt;=0,0,MIN(AM231,H$7+IF(H$2=$AA231,$AC231,IF(H$2=$AF231,$AG231,0))))</f>
        <v/>
      </c>
      <c r="U231">
        <f>IF(I230&lt;=0,0,MIN(AN231,I$7+IF(I$2=$AA231,$AC231,IF(I$2=$AF231,$AG231,0))))</f>
        <v/>
      </c>
      <c r="V231">
        <f>IF(J230&lt;=0,0,MIN(AO231,J$7+IF(J$2=$AA231,$AC231,IF(J$2=$AF231,$AG231,0))))</f>
        <v/>
      </c>
      <c r="W231">
        <f>IF(K230&lt;=0,0,MIN(AP231,K$7+IF(K$2=$AA231,$AC231,IF(K$2=$AF231,$AG231,0))))</f>
        <v/>
      </c>
      <c r="X231">
        <f>IF(L230&lt;=0,0,MIN(AQ231,L$7+IF(L$2=$AA231,$AC231,IF(L$2=$AF231,$AG231,0))))</f>
        <v/>
      </c>
      <c r="Y231">
        <f>IF(M230&lt;=0,0,MIN(AR231,M$7+IF(M$2=$AA231,$AC231,IF(M$2=$AF231,$AG231,0))))</f>
        <v/>
      </c>
      <c r="Z231">
        <f>IF(N230&lt;=0,0,MIN(AS231,N$7+IF(N$2=$AA231,$AC231,IF(N$2=$AF231,$AG231,0))))</f>
        <v/>
      </c>
      <c r="AA231">
        <f>IFERROR(ROUND(1/SUMPRODUCT(MAX((C230:N230&gt;0)*($C$3:$N$3&lt;=B231)/$C$2:$N$2)),0),0)</f>
        <v/>
      </c>
      <c r="AB231">
        <f>SUMPRODUCT((C230:N230&gt;0)*$C$7:$N$7)</f>
        <v/>
      </c>
      <c r="AC231">
        <f>MAX(0,Plan!$C$5-AB231)+IF(A231=Plan!$C$8,N(Plan!$C$7),0)</f>
        <v/>
      </c>
      <c r="AD231">
        <f>SUM(C231:N231)</f>
        <v/>
      </c>
      <c r="AE231">
        <f>SUM(O231:Z231)</f>
        <v/>
      </c>
      <c r="AF231">
        <f>IFERROR(ROUND(1/SUMPRODUCT(MAX((C230:N230&gt;0)*($C$3:$N$3&lt;=B231)*($C$2:$N$2&gt;AA231)/$C$2:$N$2)),0),0)</f>
        <v/>
      </c>
      <c r="AG231">
        <f>MAX(0,AC231-MAX(0,SUMPRODUCT(($C$2:$N$2=AA231)*(AH231:AS231-$C$7:$N$7))))</f>
        <v/>
      </c>
      <c r="AH231">
        <f>IF(C230&lt;=0,0,ROUND(C230*(1+IF(AND(C$6&gt;0,$B231&lt;C$6),C$4,C$5)/12),2))</f>
        <v/>
      </c>
      <c r="AI231">
        <f>IF(D230&lt;=0,0,ROUND(D230*(1+IF(AND(D$6&gt;0,$B231&lt;D$6),D$4,D$5)/12),2))</f>
        <v/>
      </c>
      <c r="AJ231">
        <f>IF(E230&lt;=0,0,ROUND(E230*(1+IF(AND(E$6&gt;0,$B231&lt;E$6),E$4,E$5)/12),2))</f>
        <v/>
      </c>
      <c r="AK231">
        <f>IF(F230&lt;=0,0,ROUND(F230*(1+IF(AND(F$6&gt;0,$B231&lt;F$6),F$4,F$5)/12),2))</f>
        <v/>
      </c>
      <c r="AL231">
        <f>IF(G230&lt;=0,0,ROUND(G230*(1+IF(AND(G$6&gt;0,$B231&lt;G$6),G$4,G$5)/12),2))</f>
        <v/>
      </c>
      <c r="AM231">
        <f>IF(H230&lt;=0,0,ROUND(H230*(1+IF(AND(H$6&gt;0,$B231&lt;H$6),H$4,H$5)/12),2))</f>
        <v/>
      </c>
      <c r="AN231">
        <f>IF(I230&lt;=0,0,ROUND(I230*(1+IF(AND(I$6&gt;0,$B231&lt;I$6),I$4,I$5)/12),2))</f>
        <v/>
      </c>
      <c r="AO231">
        <f>IF(J230&lt;=0,0,ROUND(J230*(1+IF(AND(J$6&gt;0,$B231&lt;J$6),J$4,J$5)/12),2))</f>
        <v/>
      </c>
      <c r="AP231">
        <f>IF(K230&lt;=0,0,ROUND(K230*(1+IF(AND(K$6&gt;0,$B231&lt;K$6),K$4,K$5)/12),2))</f>
        <v/>
      </c>
      <c r="AQ231">
        <f>IF(L230&lt;=0,0,ROUND(L230*(1+IF(AND(L$6&gt;0,$B231&lt;L$6),L$4,L$5)/12),2))</f>
        <v/>
      </c>
      <c r="AR231">
        <f>IF(M230&lt;=0,0,ROUND(M230*(1+IF(AND(M$6&gt;0,$B231&lt;M$6),M$4,M$5)/12),2))</f>
        <v/>
      </c>
      <c r="AS231">
        <f>IF(N230&lt;=0,0,ROUND(N230*(1+IF(AND(N$6&gt;0,$B231&lt;N$6),N$4,N$5)/12),2))</f>
        <v/>
      </c>
    </row>
    <row r="232">
      <c r="A232" t="n">
        <v>221</v>
      </c>
      <c r="B232">
        <f>EDATE(Plan!$C$6,220)</f>
        <v/>
      </c>
      <c r="C232">
        <f>IF(C231&lt;=0,0,MAX(0,AH232-O232))</f>
        <v/>
      </c>
      <c r="D232">
        <f>IF(D231&lt;=0,0,MAX(0,AI232-P232))</f>
        <v/>
      </c>
      <c r="E232">
        <f>IF(E231&lt;=0,0,MAX(0,AJ232-Q232))</f>
        <v/>
      </c>
      <c r="F232">
        <f>IF(F231&lt;=0,0,MAX(0,AK232-R232))</f>
        <v/>
      </c>
      <c r="G232">
        <f>IF(G231&lt;=0,0,MAX(0,AL232-S232))</f>
        <v/>
      </c>
      <c r="H232">
        <f>IF(H231&lt;=0,0,MAX(0,AM232-T232))</f>
        <v/>
      </c>
      <c r="I232">
        <f>IF(I231&lt;=0,0,MAX(0,AN232-U232))</f>
        <v/>
      </c>
      <c r="J232">
        <f>IF(J231&lt;=0,0,MAX(0,AO232-V232))</f>
        <v/>
      </c>
      <c r="K232">
        <f>IF(K231&lt;=0,0,MAX(0,AP232-W232))</f>
        <v/>
      </c>
      <c r="L232">
        <f>IF(L231&lt;=0,0,MAX(0,AQ232-X232))</f>
        <v/>
      </c>
      <c r="M232">
        <f>IF(M231&lt;=0,0,MAX(0,AR232-Y232))</f>
        <v/>
      </c>
      <c r="N232">
        <f>IF(N231&lt;=0,0,MAX(0,AS232-Z232))</f>
        <v/>
      </c>
      <c r="O232">
        <f>IF(C231&lt;=0,0,MIN(AH232,C$7+IF(C$2=$AA232,$AC232,IF(C$2=$AF232,$AG232,0))))</f>
        <v/>
      </c>
      <c r="P232">
        <f>IF(D231&lt;=0,0,MIN(AI232,D$7+IF(D$2=$AA232,$AC232,IF(D$2=$AF232,$AG232,0))))</f>
        <v/>
      </c>
      <c r="Q232">
        <f>IF(E231&lt;=0,0,MIN(AJ232,E$7+IF(E$2=$AA232,$AC232,IF(E$2=$AF232,$AG232,0))))</f>
        <v/>
      </c>
      <c r="R232">
        <f>IF(F231&lt;=0,0,MIN(AK232,F$7+IF(F$2=$AA232,$AC232,IF(F$2=$AF232,$AG232,0))))</f>
        <v/>
      </c>
      <c r="S232">
        <f>IF(G231&lt;=0,0,MIN(AL232,G$7+IF(G$2=$AA232,$AC232,IF(G$2=$AF232,$AG232,0))))</f>
        <v/>
      </c>
      <c r="T232">
        <f>IF(H231&lt;=0,0,MIN(AM232,H$7+IF(H$2=$AA232,$AC232,IF(H$2=$AF232,$AG232,0))))</f>
        <v/>
      </c>
      <c r="U232">
        <f>IF(I231&lt;=0,0,MIN(AN232,I$7+IF(I$2=$AA232,$AC232,IF(I$2=$AF232,$AG232,0))))</f>
        <v/>
      </c>
      <c r="V232">
        <f>IF(J231&lt;=0,0,MIN(AO232,J$7+IF(J$2=$AA232,$AC232,IF(J$2=$AF232,$AG232,0))))</f>
        <v/>
      </c>
      <c r="W232">
        <f>IF(K231&lt;=0,0,MIN(AP232,K$7+IF(K$2=$AA232,$AC232,IF(K$2=$AF232,$AG232,0))))</f>
        <v/>
      </c>
      <c r="X232">
        <f>IF(L231&lt;=0,0,MIN(AQ232,L$7+IF(L$2=$AA232,$AC232,IF(L$2=$AF232,$AG232,0))))</f>
        <v/>
      </c>
      <c r="Y232">
        <f>IF(M231&lt;=0,0,MIN(AR232,M$7+IF(M$2=$AA232,$AC232,IF(M$2=$AF232,$AG232,0))))</f>
        <v/>
      </c>
      <c r="Z232">
        <f>IF(N231&lt;=0,0,MIN(AS232,N$7+IF(N$2=$AA232,$AC232,IF(N$2=$AF232,$AG232,0))))</f>
        <v/>
      </c>
      <c r="AA232">
        <f>IFERROR(ROUND(1/SUMPRODUCT(MAX((C231:N231&gt;0)*($C$3:$N$3&lt;=B232)/$C$2:$N$2)),0),0)</f>
        <v/>
      </c>
      <c r="AB232">
        <f>SUMPRODUCT((C231:N231&gt;0)*$C$7:$N$7)</f>
        <v/>
      </c>
      <c r="AC232">
        <f>MAX(0,Plan!$C$5-AB232)+IF(A232=Plan!$C$8,N(Plan!$C$7),0)</f>
        <v/>
      </c>
      <c r="AD232">
        <f>SUM(C232:N232)</f>
        <v/>
      </c>
      <c r="AE232">
        <f>SUM(O232:Z232)</f>
        <v/>
      </c>
      <c r="AF232">
        <f>IFERROR(ROUND(1/SUMPRODUCT(MAX((C231:N231&gt;0)*($C$3:$N$3&lt;=B232)*($C$2:$N$2&gt;AA232)/$C$2:$N$2)),0),0)</f>
        <v/>
      </c>
      <c r="AG232">
        <f>MAX(0,AC232-MAX(0,SUMPRODUCT(($C$2:$N$2=AA232)*(AH232:AS232-$C$7:$N$7))))</f>
        <v/>
      </c>
      <c r="AH232">
        <f>IF(C231&lt;=0,0,ROUND(C231*(1+IF(AND(C$6&gt;0,$B232&lt;C$6),C$4,C$5)/12),2))</f>
        <v/>
      </c>
      <c r="AI232">
        <f>IF(D231&lt;=0,0,ROUND(D231*(1+IF(AND(D$6&gt;0,$B232&lt;D$6),D$4,D$5)/12),2))</f>
        <v/>
      </c>
      <c r="AJ232">
        <f>IF(E231&lt;=0,0,ROUND(E231*(1+IF(AND(E$6&gt;0,$B232&lt;E$6),E$4,E$5)/12),2))</f>
        <v/>
      </c>
      <c r="AK232">
        <f>IF(F231&lt;=0,0,ROUND(F231*(1+IF(AND(F$6&gt;0,$B232&lt;F$6),F$4,F$5)/12),2))</f>
        <v/>
      </c>
      <c r="AL232">
        <f>IF(G231&lt;=0,0,ROUND(G231*(1+IF(AND(G$6&gt;0,$B232&lt;G$6),G$4,G$5)/12),2))</f>
        <v/>
      </c>
      <c r="AM232">
        <f>IF(H231&lt;=0,0,ROUND(H231*(1+IF(AND(H$6&gt;0,$B232&lt;H$6),H$4,H$5)/12),2))</f>
        <v/>
      </c>
      <c r="AN232">
        <f>IF(I231&lt;=0,0,ROUND(I231*(1+IF(AND(I$6&gt;0,$B232&lt;I$6),I$4,I$5)/12),2))</f>
        <v/>
      </c>
      <c r="AO232">
        <f>IF(J231&lt;=0,0,ROUND(J231*(1+IF(AND(J$6&gt;0,$B232&lt;J$6),J$4,J$5)/12),2))</f>
        <v/>
      </c>
      <c r="AP232">
        <f>IF(K231&lt;=0,0,ROUND(K231*(1+IF(AND(K$6&gt;0,$B232&lt;K$6),K$4,K$5)/12),2))</f>
        <v/>
      </c>
      <c r="AQ232">
        <f>IF(L231&lt;=0,0,ROUND(L231*(1+IF(AND(L$6&gt;0,$B232&lt;L$6),L$4,L$5)/12),2))</f>
        <v/>
      </c>
      <c r="AR232">
        <f>IF(M231&lt;=0,0,ROUND(M231*(1+IF(AND(M$6&gt;0,$B232&lt;M$6),M$4,M$5)/12),2))</f>
        <v/>
      </c>
      <c r="AS232">
        <f>IF(N231&lt;=0,0,ROUND(N231*(1+IF(AND(N$6&gt;0,$B232&lt;N$6),N$4,N$5)/12),2))</f>
        <v/>
      </c>
    </row>
    <row r="233">
      <c r="A233" t="n">
        <v>222</v>
      </c>
      <c r="B233">
        <f>EDATE(Plan!$C$6,221)</f>
        <v/>
      </c>
      <c r="C233">
        <f>IF(C232&lt;=0,0,MAX(0,AH233-O233))</f>
        <v/>
      </c>
      <c r="D233">
        <f>IF(D232&lt;=0,0,MAX(0,AI233-P233))</f>
        <v/>
      </c>
      <c r="E233">
        <f>IF(E232&lt;=0,0,MAX(0,AJ233-Q233))</f>
        <v/>
      </c>
      <c r="F233">
        <f>IF(F232&lt;=0,0,MAX(0,AK233-R233))</f>
        <v/>
      </c>
      <c r="G233">
        <f>IF(G232&lt;=0,0,MAX(0,AL233-S233))</f>
        <v/>
      </c>
      <c r="H233">
        <f>IF(H232&lt;=0,0,MAX(0,AM233-T233))</f>
        <v/>
      </c>
      <c r="I233">
        <f>IF(I232&lt;=0,0,MAX(0,AN233-U233))</f>
        <v/>
      </c>
      <c r="J233">
        <f>IF(J232&lt;=0,0,MAX(0,AO233-V233))</f>
        <v/>
      </c>
      <c r="K233">
        <f>IF(K232&lt;=0,0,MAX(0,AP233-W233))</f>
        <v/>
      </c>
      <c r="L233">
        <f>IF(L232&lt;=0,0,MAX(0,AQ233-X233))</f>
        <v/>
      </c>
      <c r="M233">
        <f>IF(M232&lt;=0,0,MAX(0,AR233-Y233))</f>
        <v/>
      </c>
      <c r="N233">
        <f>IF(N232&lt;=0,0,MAX(0,AS233-Z233))</f>
        <v/>
      </c>
      <c r="O233">
        <f>IF(C232&lt;=0,0,MIN(AH233,C$7+IF(C$2=$AA233,$AC233,IF(C$2=$AF233,$AG233,0))))</f>
        <v/>
      </c>
      <c r="P233">
        <f>IF(D232&lt;=0,0,MIN(AI233,D$7+IF(D$2=$AA233,$AC233,IF(D$2=$AF233,$AG233,0))))</f>
        <v/>
      </c>
      <c r="Q233">
        <f>IF(E232&lt;=0,0,MIN(AJ233,E$7+IF(E$2=$AA233,$AC233,IF(E$2=$AF233,$AG233,0))))</f>
        <v/>
      </c>
      <c r="R233">
        <f>IF(F232&lt;=0,0,MIN(AK233,F$7+IF(F$2=$AA233,$AC233,IF(F$2=$AF233,$AG233,0))))</f>
        <v/>
      </c>
      <c r="S233">
        <f>IF(G232&lt;=0,0,MIN(AL233,G$7+IF(G$2=$AA233,$AC233,IF(G$2=$AF233,$AG233,0))))</f>
        <v/>
      </c>
      <c r="T233">
        <f>IF(H232&lt;=0,0,MIN(AM233,H$7+IF(H$2=$AA233,$AC233,IF(H$2=$AF233,$AG233,0))))</f>
        <v/>
      </c>
      <c r="U233">
        <f>IF(I232&lt;=0,0,MIN(AN233,I$7+IF(I$2=$AA233,$AC233,IF(I$2=$AF233,$AG233,0))))</f>
        <v/>
      </c>
      <c r="V233">
        <f>IF(J232&lt;=0,0,MIN(AO233,J$7+IF(J$2=$AA233,$AC233,IF(J$2=$AF233,$AG233,0))))</f>
        <v/>
      </c>
      <c r="W233">
        <f>IF(K232&lt;=0,0,MIN(AP233,K$7+IF(K$2=$AA233,$AC233,IF(K$2=$AF233,$AG233,0))))</f>
        <v/>
      </c>
      <c r="X233">
        <f>IF(L232&lt;=0,0,MIN(AQ233,L$7+IF(L$2=$AA233,$AC233,IF(L$2=$AF233,$AG233,0))))</f>
        <v/>
      </c>
      <c r="Y233">
        <f>IF(M232&lt;=0,0,MIN(AR233,M$7+IF(M$2=$AA233,$AC233,IF(M$2=$AF233,$AG233,0))))</f>
        <v/>
      </c>
      <c r="Z233">
        <f>IF(N232&lt;=0,0,MIN(AS233,N$7+IF(N$2=$AA233,$AC233,IF(N$2=$AF233,$AG233,0))))</f>
        <v/>
      </c>
      <c r="AA233">
        <f>IFERROR(ROUND(1/SUMPRODUCT(MAX((C232:N232&gt;0)*($C$3:$N$3&lt;=B233)/$C$2:$N$2)),0),0)</f>
        <v/>
      </c>
      <c r="AB233">
        <f>SUMPRODUCT((C232:N232&gt;0)*$C$7:$N$7)</f>
        <v/>
      </c>
      <c r="AC233">
        <f>MAX(0,Plan!$C$5-AB233)+IF(A233=Plan!$C$8,N(Plan!$C$7),0)</f>
        <v/>
      </c>
      <c r="AD233">
        <f>SUM(C233:N233)</f>
        <v/>
      </c>
      <c r="AE233">
        <f>SUM(O233:Z233)</f>
        <v/>
      </c>
      <c r="AF233">
        <f>IFERROR(ROUND(1/SUMPRODUCT(MAX((C232:N232&gt;0)*($C$3:$N$3&lt;=B233)*($C$2:$N$2&gt;AA233)/$C$2:$N$2)),0),0)</f>
        <v/>
      </c>
      <c r="AG233">
        <f>MAX(0,AC233-MAX(0,SUMPRODUCT(($C$2:$N$2=AA233)*(AH233:AS233-$C$7:$N$7))))</f>
        <v/>
      </c>
      <c r="AH233">
        <f>IF(C232&lt;=0,0,ROUND(C232*(1+IF(AND(C$6&gt;0,$B233&lt;C$6),C$4,C$5)/12),2))</f>
        <v/>
      </c>
      <c r="AI233">
        <f>IF(D232&lt;=0,0,ROUND(D232*(1+IF(AND(D$6&gt;0,$B233&lt;D$6),D$4,D$5)/12),2))</f>
        <v/>
      </c>
      <c r="AJ233">
        <f>IF(E232&lt;=0,0,ROUND(E232*(1+IF(AND(E$6&gt;0,$B233&lt;E$6),E$4,E$5)/12),2))</f>
        <v/>
      </c>
      <c r="AK233">
        <f>IF(F232&lt;=0,0,ROUND(F232*(1+IF(AND(F$6&gt;0,$B233&lt;F$6),F$4,F$5)/12),2))</f>
        <v/>
      </c>
      <c r="AL233">
        <f>IF(G232&lt;=0,0,ROUND(G232*(1+IF(AND(G$6&gt;0,$B233&lt;G$6),G$4,G$5)/12),2))</f>
        <v/>
      </c>
      <c r="AM233">
        <f>IF(H232&lt;=0,0,ROUND(H232*(1+IF(AND(H$6&gt;0,$B233&lt;H$6),H$4,H$5)/12),2))</f>
        <v/>
      </c>
      <c r="AN233">
        <f>IF(I232&lt;=0,0,ROUND(I232*(1+IF(AND(I$6&gt;0,$B233&lt;I$6),I$4,I$5)/12),2))</f>
        <v/>
      </c>
      <c r="AO233">
        <f>IF(J232&lt;=0,0,ROUND(J232*(1+IF(AND(J$6&gt;0,$B233&lt;J$6),J$4,J$5)/12),2))</f>
        <v/>
      </c>
      <c r="AP233">
        <f>IF(K232&lt;=0,0,ROUND(K232*(1+IF(AND(K$6&gt;0,$B233&lt;K$6),K$4,K$5)/12),2))</f>
        <v/>
      </c>
      <c r="AQ233">
        <f>IF(L232&lt;=0,0,ROUND(L232*(1+IF(AND(L$6&gt;0,$B233&lt;L$6),L$4,L$5)/12),2))</f>
        <v/>
      </c>
      <c r="AR233">
        <f>IF(M232&lt;=0,0,ROUND(M232*(1+IF(AND(M$6&gt;0,$B233&lt;M$6),M$4,M$5)/12),2))</f>
        <v/>
      </c>
      <c r="AS233">
        <f>IF(N232&lt;=0,0,ROUND(N232*(1+IF(AND(N$6&gt;0,$B233&lt;N$6),N$4,N$5)/12),2))</f>
        <v/>
      </c>
    </row>
    <row r="234">
      <c r="A234" t="n">
        <v>223</v>
      </c>
      <c r="B234">
        <f>EDATE(Plan!$C$6,222)</f>
        <v/>
      </c>
      <c r="C234">
        <f>IF(C233&lt;=0,0,MAX(0,AH234-O234))</f>
        <v/>
      </c>
      <c r="D234">
        <f>IF(D233&lt;=0,0,MAX(0,AI234-P234))</f>
        <v/>
      </c>
      <c r="E234">
        <f>IF(E233&lt;=0,0,MAX(0,AJ234-Q234))</f>
        <v/>
      </c>
      <c r="F234">
        <f>IF(F233&lt;=0,0,MAX(0,AK234-R234))</f>
        <v/>
      </c>
      <c r="G234">
        <f>IF(G233&lt;=0,0,MAX(0,AL234-S234))</f>
        <v/>
      </c>
      <c r="H234">
        <f>IF(H233&lt;=0,0,MAX(0,AM234-T234))</f>
        <v/>
      </c>
      <c r="I234">
        <f>IF(I233&lt;=0,0,MAX(0,AN234-U234))</f>
        <v/>
      </c>
      <c r="J234">
        <f>IF(J233&lt;=0,0,MAX(0,AO234-V234))</f>
        <v/>
      </c>
      <c r="K234">
        <f>IF(K233&lt;=0,0,MAX(0,AP234-W234))</f>
        <v/>
      </c>
      <c r="L234">
        <f>IF(L233&lt;=0,0,MAX(0,AQ234-X234))</f>
        <v/>
      </c>
      <c r="M234">
        <f>IF(M233&lt;=0,0,MAX(0,AR234-Y234))</f>
        <v/>
      </c>
      <c r="N234">
        <f>IF(N233&lt;=0,0,MAX(0,AS234-Z234))</f>
        <v/>
      </c>
      <c r="O234">
        <f>IF(C233&lt;=0,0,MIN(AH234,C$7+IF(C$2=$AA234,$AC234,IF(C$2=$AF234,$AG234,0))))</f>
        <v/>
      </c>
      <c r="P234">
        <f>IF(D233&lt;=0,0,MIN(AI234,D$7+IF(D$2=$AA234,$AC234,IF(D$2=$AF234,$AG234,0))))</f>
        <v/>
      </c>
      <c r="Q234">
        <f>IF(E233&lt;=0,0,MIN(AJ234,E$7+IF(E$2=$AA234,$AC234,IF(E$2=$AF234,$AG234,0))))</f>
        <v/>
      </c>
      <c r="R234">
        <f>IF(F233&lt;=0,0,MIN(AK234,F$7+IF(F$2=$AA234,$AC234,IF(F$2=$AF234,$AG234,0))))</f>
        <v/>
      </c>
      <c r="S234">
        <f>IF(G233&lt;=0,0,MIN(AL234,G$7+IF(G$2=$AA234,$AC234,IF(G$2=$AF234,$AG234,0))))</f>
        <v/>
      </c>
      <c r="T234">
        <f>IF(H233&lt;=0,0,MIN(AM234,H$7+IF(H$2=$AA234,$AC234,IF(H$2=$AF234,$AG234,0))))</f>
        <v/>
      </c>
      <c r="U234">
        <f>IF(I233&lt;=0,0,MIN(AN234,I$7+IF(I$2=$AA234,$AC234,IF(I$2=$AF234,$AG234,0))))</f>
        <v/>
      </c>
      <c r="V234">
        <f>IF(J233&lt;=0,0,MIN(AO234,J$7+IF(J$2=$AA234,$AC234,IF(J$2=$AF234,$AG234,0))))</f>
        <v/>
      </c>
      <c r="W234">
        <f>IF(K233&lt;=0,0,MIN(AP234,K$7+IF(K$2=$AA234,$AC234,IF(K$2=$AF234,$AG234,0))))</f>
        <v/>
      </c>
      <c r="X234">
        <f>IF(L233&lt;=0,0,MIN(AQ234,L$7+IF(L$2=$AA234,$AC234,IF(L$2=$AF234,$AG234,0))))</f>
        <v/>
      </c>
      <c r="Y234">
        <f>IF(M233&lt;=0,0,MIN(AR234,M$7+IF(M$2=$AA234,$AC234,IF(M$2=$AF234,$AG234,0))))</f>
        <v/>
      </c>
      <c r="Z234">
        <f>IF(N233&lt;=0,0,MIN(AS234,N$7+IF(N$2=$AA234,$AC234,IF(N$2=$AF234,$AG234,0))))</f>
        <v/>
      </c>
      <c r="AA234">
        <f>IFERROR(ROUND(1/SUMPRODUCT(MAX((C233:N233&gt;0)*($C$3:$N$3&lt;=B234)/$C$2:$N$2)),0),0)</f>
        <v/>
      </c>
      <c r="AB234">
        <f>SUMPRODUCT((C233:N233&gt;0)*$C$7:$N$7)</f>
        <v/>
      </c>
      <c r="AC234">
        <f>MAX(0,Plan!$C$5-AB234)+IF(A234=Plan!$C$8,N(Plan!$C$7),0)</f>
        <v/>
      </c>
      <c r="AD234">
        <f>SUM(C234:N234)</f>
        <v/>
      </c>
      <c r="AE234">
        <f>SUM(O234:Z234)</f>
        <v/>
      </c>
      <c r="AF234">
        <f>IFERROR(ROUND(1/SUMPRODUCT(MAX((C233:N233&gt;0)*($C$3:$N$3&lt;=B234)*($C$2:$N$2&gt;AA234)/$C$2:$N$2)),0),0)</f>
        <v/>
      </c>
      <c r="AG234">
        <f>MAX(0,AC234-MAX(0,SUMPRODUCT(($C$2:$N$2=AA234)*(AH234:AS234-$C$7:$N$7))))</f>
        <v/>
      </c>
      <c r="AH234">
        <f>IF(C233&lt;=0,0,ROUND(C233*(1+IF(AND(C$6&gt;0,$B234&lt;C$6),C$4,C$5)/12),2))</f>
        <v/>
      </c>
      <c r="AI234">
        <f>IF(D233&lt;=0,0,ROUND(D233*(1+IF(AND(D$6&gt;0,$B234&lt;D$6),D$4,D$5)/12),2))</f>
        <v/>
      </c>
      <c r="AJ234">
        <f>IF(E233&lt;=0,0,ROUND(E233*(1+IF(AND(E$6&gt;0,$B234&lt;E$6),E$4,E$5)/12),2))</f>
        <v/>
      </c>
      <c r="AK234">
        <f>IF(F233&lt;=0,0,ROUND(F233*(1+IF(AND(F$6&gt;0,$B234&lt;F$6),F$4,F$5)/12),2))</f>
        <v/>
      </c>
      <c r="AL234">
        <f>IF(G233&lt;=0,0,ROUND(G233*(1+IF(AND(G$6&gt;0,$B234&lt;G$6),G$4,G$5)/12),2))</f>
        <v/>
      </c>
      <c r="AM234">
        <f>IF(H233&lt;=0,0,ROUND(H233*(1+IF(AND(H$6&gt;0,$B234&lt;H$6),H$4,H$5)/12),2))</f>
        <v/>
      </c>
      <c r="AN234">
        <f>IF(I233&lt;=0,0,ROUND(I233*(1+IF(AND(I$6&gt;0,$B234&lt;I$6),I$4,I$5)/12),2))</f>
        <v/>
      </c>
      <c r="AO234">
        <f>IF(J233&lt;=0,0,ROUND(J233*(1+IF(AND(J$6&gt;0,$B234&lt;J$6),J$4,J$5)/12),2))</f>
        <v/>
      </c>
      <c r="AP234">
        <f>IF(K233&lt;=0,0,ROUND(K233*(1+IF(AND(K$6&gt;0,$B234&lt;K$6),K$4,K$5)/12),2))</f>
        <v/>
      </c>
      <c r="AQ234">
        <f>IF(L233&lt;=0,0,ROUND(L233*(1+IF(AND(L$6&gt;0,$B234&lt;L$6),L$4,L$5)/12),2))</f>
        <v/>
      </c>
      <c r="AR234">
        <f>IF(M233&lt;=0,0,ROUND(M233*(1+IF(AND(M$6&gt;0,$B234&lt;M$6),M$4,M$5)/12),2))</f>
        <v/>
      </c>
      <c r="AS234">
        <f>IF(N233&lt;=0,0,ROUND(N233*(1+IF(AND(N$6&gt;0,$B234&lt;N$6),N$4,N$5)/12),2))</f>
        <v/>
      </c>
    </row>
    <row r="235">
      <c r="A235" t="n">
        <v>224</v>
      </c>
      <c r="B235">
        <f>EDATE(Plan!$C$6,223)</f>
        <v/>
      </c>
      <c r="C235">
        <f>IF(C234&lt;=0,0,MAX(0,AH235-O235))</f>
        <v/>
      </c>
      <c r="D235">
        <f>IF(D234&lt;=0,0,MAX(0,AI235-P235))</f>
        <v/>
      </c>
      <c r="E235">
        <f>IF(E234&lt;=0,0,MAX(0,AJ235-Q235))</f>
        <v/>
      </c>
      <c r="F235">
        <f>IF(F234&lt;=0,0,MAX(0,AK235-R235))</f>
        <v/>
      </c>
      <c r="G235">
        <f>IF(G234&lt;=0,0,MAX(0,AL235-S235))</f>
        <v/>
      </c>
      <c r="H235">
        <f>IF(H234&lt;=0,0,MAX(0,AM235-T235))</f>
        <v/>
      </c>
      <c r="I235">
        <f>IF(I234&lt;=0,0,MAX(0,AN235-U235))</f>
        <v/>
      </c>
      <c r="J235">
        <f>IF(J234&lt;=0,0,MAX(0,AO235-V235))</f>
        <v/>
      </c>
      <c r="K235">
        <f>IF(K234&lt;=0,0,MAX(0,AP235-W235))</f>
        <v/>
      </c>
      <c r="L235">
        <f>IF(L234&lt;=0,0,MAX(0,AQ235-X235))</f>
        <v/>
      </c>
      <c r="M235">
        <f>IF(M234&lt;=0,0,MAX(0,AR235-Y235))</f>
        <v/>
      </c>
      <c r="N235">
        <f>IF(N234&lt;=0,0,MAX(0,AS235-Z235))</f>
        <v/>
      </c>
      <c r="O235">
        <f>IF(C234&lt;=0,0,MIN(AH235,C$7+IF(C$2=$AA235,$AC235,IF(C$2=$AF235,$AG235,0))))</f>
        <v/>
      </c>
      <c r="P235">
        <f>IF(D234&lt;=0,0,MIN(AI235,D$7+IF(D$2=$AA235,$AC235,IF(D$2=$AF235,$AG235,0))))</f>
        <v/>
      </c>
      <c r="Q235">
        <f>IF(E234&lt;=0,0,MIN(AJ235,E$7+IF(E$2=$AA235,$AC235,IF(E$2=$AF235,$AG235,0))))</f>
        <v/>
      </c>
      <c r="R235">
        <f>IF(F234&lt;=0,0,MIN(AK235,F$7+IF(F$2=$AA235,$AC235,IF(F$2=$AF235,$AG235,0))))</f>
        <v/>
      </c>
      <c r="S235">
        <f>IF(G234&lt;=0,0,MIN(AL235,G$7+IF(G$2=$AA235,$AC235,IF(G$2=$AF235,$AG235,0))))</f>
        <v/>
      </c>
      <c r="T235">
        <f>IF(H234&lt;=0,0,MIN(AM235,H$7+IF(H$2=$AA235,$AC235,IF(H$2=$AF235,$AG235,0))))</f>
        <v/>
      </c>
      <c r="U235">
        <f>IF(I234&lt;=0,0,MIN(AN235,I$7+IF(I$2=$AA235,$AC235,IF(I$2=$AF235,$AG235,0))))</f>
        <v/>
      </c>
      <c r="V235">
        <f>IF(J234&lt;=0,0,MIN(AO235,J$7+IF(J$2=$AA235,$AC235,IF(J$2=$AF235,$AG235,0))))</f>
        <v/>
      </c>
      <c r="W235">
        <f>IF(K234&lt;=0,0,MIN(AP235,K$7+IF(K$2=$AA235,$AC235,IF(K$2=$AF235,$AG235,0))))</f>
        <v/>
      </c>
      <c r="X235">
        <f>IF(L234&lt;=0,0,MIN(AQ235,L$7+IF(L$2=$AA235,$AC235,IF(L$2=$AF235,$AG235,0))))</f>
        <v/>
      </c>
      <c r="Y235">
        <f>IF(M234&lt;=0,0,MIN(AR235,M$7+IF(M$2=$AA235,$AC235,IF(M$2=$AF235,$AG235,0))))</f>
        <v/>
      </c>
      <c r="Z235">
        <f>IF(N234&lt;=0,0,MIN(AS235,N$7+IF(N$2=$AA235,$AC235,IF(N$2=$AF235,$AG235,0))))</f>
        <v/>
      </c>
      <c r="AA235">
        <f>IFERROR(ROUND(1/SUMPRODUCT(MAX((C234:N234&gt;0)*($C$3:$N$3&lt;=B235)/$C$2:$N$2)),0),0)</f>
        <v/>
      </c>
      <c r="AB235">
        <f>SUMPRODUCT((C234:N234&gt;0)*$C$7:$N$7)</f>
        <v/>
      </c>
      <c r="AC235">
        <f>MAX(0,Plan!$C$5-AB235)+IF(A235=Plan!$C$8,N(Plan!$C$7),0)</f>
        <v/>
      </c>
      <c r="AD235">
        <f>SUM(C235:N235)</f>
        <v/>
      </c>
      <c r="AE235">
        <f>SUM(O235:Z235)</f>
        <v/>
      </c>
      <c r="AF235">
        <f>IFERROR(ROUND(1/SUMPRODUCT(MAX((C234:N234&gt;0)*($C$3:$N$3&lt;=B235)*($C$2:$N$2&gt;AA235)/$C$2:$N$2)),0),0)</f>
        <v/>
      </c>
      <c r="AG235">
        <f>MAX(0,AC235-MAX(0,SUMPRODUCT(($C$2:$N$2=AA235)*(AH235:AS235-$C$7:$N$7))))</f>
        <v/>
      </c>
      <c r="AH235">
        <f>IF(C234&lt;=0,0,ROUND(C234*(1+IF(AND(C$6&gt;0,$B235&lt;C$6),C$4,C$5)/12),2))</f>
        <v/>
      </c>
      <c r="AI235">
        <f>IF(D234&lt;=0,0,ROUND(D234*(1+IF(AND(D$6&gt;0,$B235&lt;D$6),D$4,D$5)/12),2))</f>
        <v/>
      </c>
      <c r="AJ235">
        <f>IF(E234&lt;=0,0,ROUND(E234*(1+IF(AND(E$6&gt;0,$B235&lt;E$6),E$4,E$5)/12),2))</f>
        <v/>
      </c>
      <c r="AK235">
        <f>IF(F234&lt;=0,0,ROUND(F234*(1+IF(AND(F$6&gt;0,$B235&lt;F$6),F$4,F$5)/12),2))</f>
        <v/>
      </c>
      <c r="AL235">
        <f>IF(G234&lt;=0,0,ROUND(G234*(1+IF(AND(G$6&gt;0,$B235&lt;G$6),G$4,G$5)/12),2))</f>
        <v/>
      </c>
      <c r="AM235">
        <f>IF(H234&lt;=0,0,ROUND(H234*(1+IF(AND(H$6&gt;0,$B235&lt;H$6),H$4,H$5)/12),2))</f>
        <v/>
      </c>
      <c r="AN235">
        <f>IF(I234&lt;=0,0,ROUND(I234*(1+IF(AND(I$6&gt;0,$B235&lt;I$6),I$4,I$5)/12),2))</f>
        <v/>
      </c>
      <c r="AO235">
        <f>IF(J234&lt;=0,0,ROUND(J234*(1+IF(AND(J$6&gt;0,$B235&lt;J$6),J$4,J$5)/12),2))</f>
        <v/>
      </c>
      <c r="AP235">
        <f>IF(K234&lt;=0,0,ROUND(K234*(1+IF(AND(K$6&gt;0,$B235&lt;K$6),K$4,K$5)/12),2))</f>
        <v/>
      </c>
      <c r="AQ235">
        <f>IF(L234&lt;=0,0,ROUND(L234*(1+IF(AND(L$6&gt;0,$B235&lt;L$6),L$4,L$5)/12),2))</f>
        <v/>
      </c>
      <c r="AR235">
        <f>IF(M234&lt;=0,0,ROUND(M234*(1+IF(AND(M$6&gt;0,$B235&lt;M$6),M$4,M$5)/12),2))</f>
        <v/>
      </c>
      <c r="AS235">
        <f>IF(N234&lt;=0,0,ROUND(N234*(1+IF(AND(N$6&gt;0,$B235&lt;N$6),N$4,N$5)/12),2))</f>
        <v/>
      </c>
    </row>
    <row r="236">
      <c r="A236" t="n">
        <v>225</v>
      </c>
      <c r="B236">
        <f>EDATE(Plan!$C$6,224)</f>
        <v/>
      </c>
      <c r="C236">
        <f>IF(C235&lt;=0,0,MAX(0,AH236-O236))</f>
        <v/>
      </c>
      <c r="D236">
        <f>IF(D235&lt;=0,0,MAX(0,AI236-P236))</f>
        <v/>
      </c>
      <c r="E236">
        <f>IF(E235&lt;=0,0,MAX(0,AJ236-Q236))</f>
        <v/>
      </c>
      <c r="F236">
        <f>IF(F235&lt;=0,0,MAX(0,AK236-R236))</f>
        <v/>
      </c>
      <c r="G236">
        <f>IF(G235&lt;=0,0,MAX(0,AL236-S236))</f>
        <v/>
      </c>
      <c r="H236">
        <f>IF(H235&lt;=0,0,MAX(0,AM236-T236))</f>
        <v/>
      </c>
      <c r="I236">
        <f>IF(I235&lt;=0,0,MAX(0,AN236-U236))</f>
        <v/>
      </c>
      <c r="J236">
        <f>IF(J235&lt;=0,0,MAX(0,AO236-V236))</f>
        <v/>
      </c>
      <c r="K236">
        <f>IF(K235&lt;=0,0,MAX(0,AP236-W236))</f>
        <v/>
      </c>
      <c r="L236">
        <f>IF(L235&lt;=0,0,MAX(0,AQ236-X236))</f>
        <v/>
      </c>
      <c r="M236">
        <f>IF(M235&lt;=0,0,MAX(0,AR236-Y236))</f>
        <v/>
      </c>
      <c r="N236">
        <f>IF(N235&lt;=0,0,MAX(0,AS236-Z236))</f>
        <v/>
      </c>
      <c r="O236">
        <f>IF(C235&lt;=0,0,MIN(AH236,C$7+IF(C$2=$AA236,$AC236,IF(C$2=$AF236,$AG236,0))))</f>
        <v/>
      </c>
      <c r="P236">
        <f>IF(D235&lt;=0,0,MIN(AI236,D$7+IF(D$2=$AA236,$AC236,IF(D$2=$AF236,$AG236,0))))</f>
        <v/>
      </c>
      <c r="Q236">
        <f>IF(E235&lt;=0,0,MIN(AJ236,E$7+IF(E$2=$AA236,$AC236,IF(E$2=$AF236,$AG236,0))))</f>
        <v/>
      </c>
      <c r="R236">
        <f>IF(F235&lt;=0,0,MIN(AK236,F$7+IF(F$2=$AA236,$AC236,IF(F$2=$AF236,$AG236,0))))</f>
        <v/>
      </c>
      <c r="S236">
        <f>IF(G235&lt;=0,0,MIN(AL236,G$7+IF(G$2=$AA236,$AC236,IF(G$2=$AF236,$AG236,0))))</f>
        <v/>
      </c>
      <c r="T236">
        <f>IF(H235&lt;=0,0,MIN(AM236,H$7+IF(H$2=$AA236,$AC236,IF(H$2=$AF236,$AG236,0))))</f>
        <v/>
      </c>
      <c r="U236">
        <f>IF(I235&lt;=0,0,MIN(AN236,I$7+IF(I$2=$AA236,$AC236,IF(I$2=$AF236,$AG236,0))))</f>
        <v/>
      </c>
      <c r="V236">
        <f>IF(J235&lt;=0,0,MIN(AO236,J$7+IF(J$2=$AA236,$AC236,IF(J$2=$AF236,$AG236,0))))</f>
        <v/>
      </c>
      <c r="W236">
        <f>IF(K235&lt;=0,0,MIN(AP236,K$7+IF(K$2=$AA236,$AC236,IF(K$2=$AF236,$AG236,0))))</f>
        <v/>
      </c>
      <c r="X236">
        <f>IF(L235&lt;=0,0,MIN(AQ236,L$7+IF(L$2=$AA236,$AC236,IF(L$2=$AF236,$AG236,0))))</f>
        <v/>
      </c>
      <c r="Y236">
        <f>IF(M235&lt;=0,0,MIN(AR236,M$7+IF(M$2=$AA236,$AC236,IF(M$2=$AF236,$AG236,0))))</f>
        <v/>
      </c>
      <c r="Z236">
        <f>IF(N235&lt;=0,0,MIN(AS236,N$7+IF(N$2=$AA236,$AC236,IF(N$2=$AF236,$AG236,0))))</f>
        <v/>
      </c>
      <c r="AA236">
        <f>IFERROR(ROUND(1/SUMPRODUCT(MAX((C235:N235&gt;0)*($C$3:$N$3&lt;=B236)/$C$2:$N$2)),0),0)</f>
        <v/>
      </c>
      <c r="AB236">
        <f>SUMPRODUCT((C235:N235&gt;0)*$C$7:$N$7)</f>
        <v/>
      </c>
      <c r="AC236">
        <f>MAX(0,Plan!$C$5-AB236)+IF(A236=Plan!$C$8,N(Plan!$C$7),0)</f>
        <v/>
      </c>
      <c r="AD236">
        <f>SUM(C236:N236)</f>
        <v/>
      </c>
      <c r="AE236">
        <f>SUM(O236:Z236)</f>
        <v/>
      </c>
      <c r="AF236">
        <f>IFERROR(ROUND(1/SUMPRODUCT(MAX((C235:N235&gt;0)*($C$3:$N$3&lt;=B236)*($C$2:$N$2&gt;AA236)/$C$2:$N$2)),0),0)</f>
        <v/>
      </c>
      <c r="AG236">
        <f>MAX(0,AC236-MAX(0,SUMPRODUCT(($C$2:$N$2=AA236)*(AH236:AS236-$C$7:$N$7))))</f>
        <v/>
      </c>
      <c r="AH236">
        <f>IF(C235&lt;=0,0,ROUND(C235*(1+IF(AND(C$6&gt;0,$B236&lt;C$6),C$4,C$5)/12),2))</f>
        <v/>
      </c>
      <c r="AI236">
        <f>IF(D235&lt;=0,0,ROUND(D235*(1+IF(AND(D$6&gt;0,$B236&lt;D$6),D$4,D$5)/12),2))</f>
        <v/>
      </c>
      <c r="AJ236">
        <f>IF(E235&lt;=0,0,ROUND(E235*(1+IF(AND(E$6&gt;0,$B236&lt;E$6),E$4,E$5)/12),2))</f>
        <v/>
      </c>
      <c r="AK236">
        <f>IF(F235&lt;=0,0,ROUND(F235*(1+IF(AND(F$6&gt;0,$B236&lt;F$6),F$4,F$5)/12),2))</f>
        <v/>
      </c>
      <c r="AL236">
        <f>IF(G235&lt;=0,0,ROUND(G235*(1+IF(AND(G$6&gt;0,$B236&lt;G$6),G$4,G$5)/12),2))</f>
        <v/>
      </c>
      <c r="AM236">
        <f>IF(H235&lt;=0,0,ROUND(H235*(1+IF(AND(H$6&gt;0,$B236&lt;H$6),H$4,H$5)/12),2))</f>
        <v/>
      </c>
      <c r="AN236">
        <f>IF(I235&lt;=0,0,ROUND(I235*(1+IF(AND(I$6&gt;0,$B236&lt;I$6),I$4,I$5)/12),2))</f>
        <v/>
      </c>
      <c r="AO236">
        <f>IF(J235&lt;=0,0,ROUND(J235*(1+IF(AND(J$6&gt;0,$B236&lt;J$6),J$4,J$5)/12),2))</f>
        <v/>
      </c>
      <c r="AP236">
        <f>IF(K235&lt;=0,0,ROUND(K235*(1+IF(AND(K$6&gt;0,$B236&lt;K$6),K$4,K$5)/12),2))</f>
        <v/>
      </c>
      <c r="AQ236">
        <f>IF(L235&lt;=0,0,ROUND(L235*(1+IF(AND(L$6&gt;0,$B236&lt;L$6),L$4,L$5)/12),2))</f>
        <v/>
      </c>
      <c r="AR236">
        <f>IF(M235&lt;=0,0,ROUND(M235*(1+IF(AND(M$6&gt;0,$B236&lt;M$6),M$4,M$5)/12),2))</f>
        <v/>
      </c>
      <c r="AS236">
        <f>IF(N235&lt;=0,0,ROUND(N235*(1+IF(AND(N$6&gt;0,$B236&lt;N$6),N$4,N$5)/12),2))</f>
        <v/>
      </c>
    </row>
    <row r="237">
      <c r="A237" t="n">
        <v>226</v>
      </c>
      <c r="B237">
        <f>EDATE(Plan!$C$6,225)</f>
        <v/>
      </c>
      <c r="C237">
        <f>IF(C236&lt;=0,0,MAX(0,AH237-O237))</f>
        <v/>
      </c>
      <c r="D237">
        <f>IF(D236&lt;=0,0,MAX(0,AI237-P237))</f>
        <v/>
      </c>
      <c r="E237">
        <f>IF(E236&lt;=0,0,MAX(0,AJ237-Q237))</f>
        <v/>
      </c>
      <c r="F237">
        <f>IF(F236&lt;=0,0,MAX(0,AK237-R237))</f>
        <v/>
      </c>
      <c r="G237">
        <f>IF(G236&lt;=0,0,MAX(0,AL237-S237))</f>
        <v/>
      </c>
      <c r="H237">
        <f>IF(H236&lt;=0,0,MAX(0,AM237-T237))</f>
        <v/>
      </c>
      <c r="I237">
        <f>IF(I236&lt;=0,0,MAX(0,AN237-U237))</f>
        <v/>
      </c>
      <c r="J237">
        <f>IF(J236&lt;=0,0,MAX(0,AO237-V237))</f>
        <v/>
      </c>
      <c r="K237">
        <f>IF(K236&lt;=0,0,MAX(0,AP237-W237))</f>
        <v/>
      </c>
      <c r="L237">
        <f>IF(L236&lt;=0,0,MAX(0,AQ237-X237))</f>
        <v/>
      </c>
      <c r="M237">
        <f>IF(M236&lt;=0,0,MAX(0,AR237-Y237))</f>
        <v/>
      </c>
      <c r="N237">
        <f>IF(N236&lt;=0,0,MAX(0,AS237-Z237))</f>
        <v/>
      </c>
      <c r="O237">
        <f>IF(C236&lt;=0,0,MIN(AH237,C$7+IF(C$2=$AA237,$AC237,IF(C$2=$AF237,$AG237,0))))</f>
        <v/>
      </c>
      <c r="P237">
        <f>IF(D236&lt;=0,0,MIN(AI237,D$7+IF(D$2=$AA237,$AC237,IF(D$2=$AF237,$AG237,0))))</f>
        <v/>
      </c>
      <c r="Q237">
        <f>IF(E236&lt;=0,0,MIN(AJ237,E$7+IF(E$2=$AA237,$AC237,IF(E$2=$AF237,$AG237,0))))</f>
        <v/>
      </c>
      <c r="R237">
        <f>IF(F236&lt;=0,0,MIN(AK237,F$7+IF(F$2=$AA237,$AC237,IF(F$2=$AF237,$AG237,0))))</f>
        <v/>
      </c>
      <c r="S237">
        <f>IF(G236&lt;=0,0,MIN(AL237,G$7+IF(G$2=$AA237,$AC237,IF(G$2=$AF237,$AG237,0))))</f>
        <v/>
      </c>
      <c r="T237">
        <f>IF(H236&lt;=0,0,MIN(AM237,H$7+IF(H$2=$AA237,$AC237,IF(H$2=$AF237,$AG237,0))))</f>
        <v/>
      </c>
      <c r="U237">
        <f>IF(I236&lt;=0,0,MIN(AN237,I$7+IF(I$2=$AA237,$AC237,IF(I$2=$AF237,$AG237,0))))</f>
        <v/>
      </c>
      <c r="V237">
        <f>IF(J236&lt;=0,0,MIN(AO237,J$7+IF(J$2=$AA237,$AC237,IF(J$2=$AF237,$AG237,0))))</f>
        <v/>
      </c>
      <c r="W237">
        <f>IF(K236&lt;=0,0,MIN(AP237,K$7+IF(K$2=$AA237,$AC237,IF(K$2=$AF237,$AG237,0))))</f>
        <v/>
      </c>
      <c r="X237">
        <f>IF(L236&lt;=0,0,MIN(AQ237,L$7+IF(L$2=$AA237,$AC237,IF(L$2=$AF237,$AG237,0))))</f>
        <v/>
      </c>
      <c r="Y237">
        <f>IF(M236&lt;=0,0,MIN(AR237,M$7+IF(M$2=$AA237,$AC237,IF(M$2=$AF237,$AG237,0))))</f>
        <v/>
      </c>
      <c r="Z237">
        <f>IF(N236&lt;=0,0,MIN(AS237,N$7+IF(N$2=$AA237,$AC237,IF(N$2=$AF237,$AG237,0))))</f>
        <v/>
      </c>
      <c r="AA237">
        <f>IFERROR(ROUND(1/SUMPRODUCT(MAX((C236:N236&gt;0)*($C$3:$N$3&lt;=B237)/$C$2:$N$2)),0),0)</f>
        <v/>
      </c>
      <c r="AB237">
        <f>SUMPRODUCT((C236:N236&gt;0)*$C$7:$N$7)</f>
        <v/>
      </c>
      <c r="AC237">
        <f>MAX(0,Plan!$C$5-AB237)+IF(A237=Plan!$C$8,N(Plan!$C$7),0)</f>
        <v/>
      </c>
      <c r="AD237">
        <f>SUM(C237:N237)</f>
        <v/>
      </c>
      <c r="AE237">
        <f>SUM(O237:Z237)</f>
        <v/>
      </c>
      <c r="AF237">
        <f>IFERROR(ROUND(1/SUMPRODUCT(MAX((C236:N236&gt;0)*($C$3:$N$3&lt;=B237)*($C$2:$N$2&gt;AA237)/$C$2:$N$2)),0),0)</f>
        <v/>
      </c>
      <c r="AG237">
        <f>MAX(0,AC237-MAX(0,SUMPRODUCT(($C$2:$N$2=AA237)*(AH237:AS237-$C$7:$N$7))))</f>
        <v/>
      </c>
      <c r="AH237">
        <f>IF(C236&lt;=0,0,ROUND(C236*(1+IF(AND(C$6&gt;0,$B237&lt;C$6),C$4,C$5)/12),2))</f>
        <v/>
      </c>
      <c r="AI237">
        <f>IF(D236&lt;=0,0,ROUND(D236*(1+IF(AND(D$6&gt;0,$B237&lt;D$6),D$4,D$5)/12),2))</f>
        <v/>
      </c>
      <c r="AJ237">
        <f>IF(E236&lt;=0,0,ROUND(E236*(1+IF(AND(E$6&gt;0,$B237&lt;E$6),E$4,E$5)/12),2))</f>
        <v/>
      </c>
      <c r="AK237">
        <f>IF(F236&lt;=0,0,ROUND(F236*(1+IF(AND(F$6&gt;0,$B237&lt;F$6),F$4,F$5)/12),2))</f>
        <v/>
      </c>
      <c r="AL237">
        <f>IF(G236&lt;=0,0,ROUND(G236*(1+IF(AND(G$6&gt;0,$B237&lt;G$6),G$4,G$5)/12),2))</f>
        <v/>
      </c>
      <c r="AM237">
        <f>IF(H236&lt;=0,0,ROUND(H236*(1+IF(AND(H$6&gt;0,$B237&lt;H$6),H$4,H$5)/12),2))</f>
        <v/>
      </c>
      <c r="AN237">
        <f>IF(I236&lt;=0,0,ROUND(I236*(1+IF(AND(I$6&gt;0,$B237&lt;I$6),I$4,I$5)/12),2))</f>
        <v/>
      </c>
      <c r="AO237">
        <f>IF(J236&lt;=0,0,ROUND(J236*(1+IF(AND(J$6&gt;0,$B237&lt;J$6),J$4,J$5)/12),2))</f>
        <v/>
      </c>
      <c r="AP237">
        <f>IF(K236&lt;=0,0,ROUND(K236*(1+IF(AND(K$6&gt;0,$B237&lt;K$6),K$4,K$5)/12),2))</f>
        <v/>
      </c>
      <c r="AQ237">
        <f>IF(L236&lt;=0,0,ROUND(L236*(1+IF(AND(L$6&gt;0,$B237&lt;L$6),L$4,L$5)/12),2))</f>
        <v/>
      </c>
      <c r="AR237">
        <f>IF(M236&lt;=0,0,ROUND(M236*(1+IF(AND(M$6&gt;0,$B237&lt;M$6),M$4,M$5)/12),2))</f>
        <v/>
      </c>
      <c r="AS237">
        <f>IF(N236&lt;=0,0,ROUND(N236*(1+IF(AND(N$6&gt;0,$B237&lt;N$6),N$4,N$5)/12),2))</f>
        <v/>
      </c>
    </row>
    <row r="238">
      <c r="A238" t="n">
        <v>227</v>
      </c>
      <c r="B238">
        <f>EDATE(Plan!$C$6,226)</f>
        <v/>
      </c>
      <c r="C238">
        <f>IF(C237&lt;=0,0,MAX(0,AH238-O238))</f>
        <v/>
      </c>
      <c r="D238">
        <f>IF(D237&lt;=0,0,MAX(0,AI238-P238))</f>
        <v/>
      </c>
      <c r="E238">
        <f>IF(E237&lt;=0,0,MAX(0,AJ238-Q238))</f>
        <v/>
      </c>
      <c r="F238">
        <f>IF(F237&lt;=0,0,MAX(0,AK238-R238))</f>
        <v/>
      </c>
      <c r="G238">
        <f>IF(G237&lt;=0,0,MAX(0,AL238-S238))</f>
        <v/>
      </c>
      <c r="H238">
        <f>IF(H237&lt;=0,0,MAX(0,AM238-T238))</f>
        <v/>
      </c>
      <c r="I238">
        <f>IF(I237&lt;=0,0,MAX(0,AN238-U238))</f>
        <v/>
      </c>
      <c r="J238">
        <f>IF(J237&lt;=0,0,MAX(0,AO238-V238))</f>
        <v/>
      </c>
      <c r="K238">
        <f>IF(K237&lt;=0,0,MAX(0,AP238-W238))</f>
        <v/>
      </c>
      <c r="L238">
        <f>IF(L237&lt;=0,0,MAX(0,AQ238-X238))</f>
        <v/>
      </c>
      <c r="M238">
        <f>IF(M237&lt;=0,0,MAX(0,AR238-Y238))</f>
        <v/>
      </c>
      <c r="N238">
        <f>IF(N237&lt;=0,0,MAX(0,AS238-Z238))</f>
        <v/>
      </c>
      <c r="O238">
        <f>IF(C237&lt;=0,0,MIN(AH238,C$7+IF(C$2=$AA238,$AC238,IF(C$2=$AF238,$AG238,0))))</f>
        <v/>
      </c>
      <c r="P238">
        <f>IF(D237&lt;=0,0,MIN(AI238,D$7+IF(D$2=$AA238,$AC238,IF(D$2=$AF238,$AG238,0))))</f>
        <v/>
      </c>
      <c r="Q238">
        <f>IF(E237&lt;=0,0,MIN(AJ238,E$7+IF(E$2=$AA238,$AC238,IF(E$2=$AF238,$AG238,0))))</f>
        <v/>
      </c>
      <c r="R238">
        <f>IF(F237&lt;=0,0,MIN(AK238,F$7+IF(F$2=$AA238,$AC238,IF(F$2=$AF238,$AG238,0))))</f>
        <v/>
      </c>
      <c r="S238">
        <f>IF(G237&lt;=0,0,MIN(AL238,G$7+IF(G$2=$AA238,$AC238,IF(G$2=$AF238,$AG238,0))))</f>
        <v/>
      </c>
      <c r="T238">
        <f>IF(H237&lt;=0,0,MIN(AM238,H$7+IF(H$2=$AA238,$AC238,IF(H$2=$AF238,$AG238,0))))</f>
        <v/>
      </c>
      <c r="U238">
        <f>IF(I237&lt;=0,0,MIN(AN238,I$7+IF(I$2=$AA238,$AC238,IF(I$2=$AF238,$AG238,0))))</f>
        <v/>
      </c>
      <c r="V238">
        <f>IF(J237&lt;=0,0,MIN(AO238,J$7+IF(J$2=$AA238,$AC238,IF(J$2=$AF238,$AG238,0))))</f>
        <v/>
      </c>
      <c r="W238">
        <f>IF(K237&lt;=0,0,MIN(AP238,K$7+IF(K$2=$AA238,$AC238,IF(K$2=$AF238,$AG238,0))))</f>
        <v/>
      </c>
      <c r="X238">
        <f>IF(L237&lt;=0,0,MIN(AQ238,L$7+IF(L$2=$AA238,$AC238,IF(L$2=$AF238,$AG238,0))))</f>
        <v/>
      </c>
      <c r="Y238">
        <f>IF(M237&lt;=0,0,MIN(AR238,M$7+IF(M$2=$AA238,$AC238,IF(M$2=$AF238,$AG238,0))))</f>
        <v/>
      </c>
      <c r="Z238">
        <f>IF(N237&lt;=0,0,MIN(AS238,N$7+IF(N$2=$AA238,$AC238,IF(N$2=$AF238,$AG238,0))))</f>
        <v/>
      </c>
      <c r="AA238">
        <f>IFERROR(ROUND(1/SUMPRODUCT(MAX((C237:N237&gt;0)*($C$3:$N$3&lt;=B238)/$C$2:$N$2)),0),0)</f>
        <v/>
      </c>
      <c r="AB238">
        <f>SUMPRODUCT((C237:N237&gt;0)*$C$7:$N$7)</f>
        <v/>
      </c>
      <c r="AC238">
        <f>MAX(0,Plan!$C$5-AB238)+IF(A238=Plan!$C$8,N(Plan!$C$7),0)</f>
        <v/>
      </c>
      <c r="AD238">
        <f>SUM(C238:N238)</f>
        <v/>
      </c>
      <c r="AE238">
        <f>SUM(O238:Z238)</f>
        <v/>
      </c>
      <c r="AF238">
        <f>IFERROR(ROUND(1/SUMPRODUCT(MAX((C237:N237&gt;0)*($C$3:$N$3&lt;=B238)*($C$2:$N$2&gt;AA238)/$C$2:$N$2)),0),0)</f>
        <v/>
      </c>
      <c r="AG238">
        <f>MAX(0,AC238-MAX(0,SUMPRODUCT(($C$2:$N$2=AA238)*(AH238:AS238-$C$7:$N$7))))</f>
        <v/>
      </c>
      <c r="AH238">
        <f>IF(C237&lt;=0,0,ROUND(C237*(1+IF(AND(C$6&gt;0,$B238&lt;C$6),C$4,C$5)/12),2))</f>
        <v/>
      </c>
      <c r="AI238">
        <f>IF(D237&lt;=0,0,ROUND(D237*(1+IF(AND(D$6&gt;0,$B238&lt;D$6),D$4,D$5)/12),2))</f>
        <v/>
      </c>
      <c r="AJ238">
        <f>IF(E237&lt;=0,0,ROUND(E237*(1+IF(AND(E$6&gt;0,$B238&lt;E$6),E$4,E$5)/12),2))</f>
        <v/>
      </c>
      <c r="AK238">
        <f>IF(F237&lt;=0,0,ROUND(F237*(1+IF(AND(F$6&gt;0,$B238&lt;F$6),F$4,F$5)/12),2))</f>
        <v/>
      </c>
      <c r="AL238">
        <f>IF(G237&lt;=0,0,ROUND(G237*(1+IF(AND(G$6&gt;0,$B238&lt;G$6),G$4,G$5)/12),2))</f>
        <v/>
      </c>
      <c r="AM238">
        <f>IF(H237&lt;=0,0,ROUND(H237*(1+IF(AND(H$6&gt;0,$B238&lt;H$6),H$4,H$5)/12),2))</f>
        <v/>
      </c>
      <c r="AN238">
        <f>IF(I237&lt;=0,0,ROUND(I237*(1+IF(AND(I$6&gt;0,$B238&lt;I$6),I$4,I$5)/12),2))</f>
        <v/>
      </c>
      <c r="AO238">
        <f>IF(J237&lt;=0,0,ROUND(J237*(1+IF(AND(J$6&gt;0,$B238&lt;J$6),J$4,J$5)/12),2))</f>
        <v/>
      </c>
      <c r="AP238">
        <f>IF(K237&lt;=0,0,ROUND(K237*(1+IF(AND(K$6&gt;0,$B238&lt;K$6),K$4,K$5)/12),2))</f>
        <v/>
      </c>
      <c r="AQ238">
        <f>IF(L237&lt;=0,0,ROUND(L237*(1+IF(AND(L$6&gt;0,$B238&lt;L$6),L$4,L$5)/12),2))</f>
        <v/>
      </c>
      <c r="AR238">
        <f>IF(M237&lt;=0,0,ROUND(M237*(1+IF(AND(M$6&gt;0,$B238&lt;M$6),M$4,M$5)/12),2))</f>
        <v/>
      </c>
      <c r="AS238">
        <f>IF(N237&lt;=0,0,ROUND(N237*(1+IF(AND(N$6&gt;0,$B238&lt;N$6),N$4,N$5)/12),2))</f>
        <v/>
      </c>
    </row>
    <row r="239">
      <c r="A239" t="n">
        <v>228</v>
      </c>
      <c r="B239">
        <f>EDATE(Plan!$C$6,227)</f>
        <v/>
      </c>
      <c r="C239">
        <f>IF(C238&lt;=0,0,MAX(0,AH239-O239))</f>
        <v/>
      </c>
      <c r="D239">
        <f>IF(D238&lt;=0,0,MAX(0,AI239-P239))</f>
        <v/>
      </c>
      <c r="E239">
        <f>IF(E238&lt;=0,0,MAX(0,AJ239-Q239))</f>
        <v/>
      </c>
      <c r="F239">
        <f>IF(F238&lt;=0,0,MAX(0,AK239-R239))</f>
        <v/>
      </c>
      <c r="G239">
        <f>IF(G238&lt;=0,0,MAX(0,AL239-S239))</f>
        <v/>
      </c>
      <c r="H239">
        <f>IF(H238&lt;=0,0,MAX(0,AM239-T239))</f>
        <v/>
      </c>
      <c r="I239">
        <f>IF(I238&lt;=0,0,MAX(0,AN239-U239))</f>
        <v/>
      </c>
      <c r="J239">
        <f>IF(J238&lt;=0,0,MAX(0,AO239-V239))</f>
        <v/>
      </c>
      <c r="K239">
        <f>IF(K238&lt;=0,0,MAX(0,AP239-W239))</f>
        <v/>
      </c>
      <c r="L239">
        <f>IF(L238&lt;=0,0,MAX(0,AQ239-X239))</f>
        <v/>
      </c>
      <c r="M239">
        <f>IF(M238&lt;=0,0,MAX(0,AR239-Y239))</f>
        <v/>
      </c>
      <c r="N239">
        <f>IF(N238&lt;=0,0,MAX(0,AS239-Z239))</f>
        <v/>
      </c>
      <c r="O239">
        <f>IF(C238&lt;=0,0,MIN(AH239,C$7+IF(C$2=$AA239,$AC239,IF(C$2=$AF239,$AG239,0))))</f>
        <v/>
      </c>
      <c r="P239">
        <f>IF(D238&lt;=0,0,MIN(AI239,D$7+IF(D$2=$AA239,$AC239,IF(D$2=$AF239,$AG239,0))))</f>
        <v/>
      </c>
      <c r="Q239">
        <f>IF(E238&lt;=0,0,MIN(AJ239,E$7+IF(E$2=$AA239,$AC239,IF(E$2=$AF239,$AG239,0))))</f>
        <v/>
      </c>
      <c r="R239">
        <f>IF(F238&lt;=0,0,MIN(AK239,F$7+IF(F$2=$AA239,$AC239,IF(F$2=$AF239,$AG239,0))))</f>
        <v/>
      </c>
      <c r="S239">
        <f>IF(G238&lt;=0,0,MIN(AL239,G$7+IF(G$2=$AA239,$AC239,IF(G$2=$AF239,$AG239,0))))</f>
        <v/>
      </c>
      <c r="T239">
        <f>IF(H238&lt;=0,0,MIN(AM239,H$7+IF(H$2=$AA239,$AC239,IF(H$2=$AF239,$AG239,0))))</f>
        <v/>
      </c>
      <c r="U239">
        <f>IF(I238&lt;=0,0,MIN(AN239,I$7+IF(I$2=$AA239,$AC239,IF(I$2=$AF239,$AG239,0))))</f>
        <v/>
      </c>
      <c r="V239">
        <f>IF(J238&lt;=0,0,MIN(AO239,J$7+IF(J$2=$AA239,$AC239,IF(J$2=$AF239,$AG239,0))))</f>
        <v/>
      </c>
      <c r="W239">
        <f>IF(K238&lt;=0,0,MIN(AP239,K$7+IF(K$2=$AA239,$AC239,IF(K$2=$AF239,$AG239,0))))</f>
        <v/>
      </c>
      <c r="X239">
        <f>IF(L238&lt;=0,0,MIN(AQ239,L$7+IF(L$2=$AA239,$AC239,IF(L$2=$AF239,$AG239,0))))</f>
        <v/>
      </c>
      <c r="Y239">
        <f>IF(M238&lt;=0,0,MIN(AR239,M$7+IF(M$2=$AA239,$AC239,IF(M$2=$AF239,$AG239,0))))</f>
        <v/>
      </c>
      <c r="Z239">
        <f>IF(N238&lt;=0,0,MIN(AS239,N$7+IF(N$2=$AA239,$AC239,IF(N$2=$AF239,$AG239,0))))</f>
        <v/>
      </c>
      <c r="AA239">
        <f>IFERROR(ROUND(1/SUMPRODUCT(MAX((C238:N238&gt;0)*($C$3:$N$3&lt;=B239)/$C$2:$N$2)),0),0)</f>
        <v/>
      </c>
      <c r="AB239">
        <f>SUMPRODUCT((C238:N238&gt;0)*$C$7:$N$7)</f>
        <v/>
      </c>
      <c r="AC239">
        <f>MAX(0,Plan!$C$5-AB239)+IF(A239=Plan!$C$8,N(Plan!$C$7),0)</f>
        <v/>
      </c>
      <c r="AD239">
        <f>SUM(C239:N239)</f>
        <v/>
      </c>
      <c r="AE239">
        <f>SUM(O239:Z239)</f>
        <v/>
      </c>
      <c r="AF239">
        <f>IFERROR(ROUND(1/SUMPRODUCT(MAX((C238:N238&gt;0)*($C$3:$N$3&lt;=B239)*($C$2:$N$2&gt;AA239)/$C$2:$N$2)),0),0)</f>
        <v/>
      </c>
      <c r="AG239">
        <f>MAX(0,AC239-MAX(0,SUMPRODUCT(($C$2:$N$2=AA239)*(AH239:AS239-$C$7:$N$7))))</f>
        <v/>
      </c>
      <c r="AH239">
        <f>IF(C238&lt;=0,0,ROUND(C238*(1+IF(AND(C$6&gt;0,$B239&lt;C$6),C$4,C$5)/12),2))</f>
        <v/>
      </c>
      <c r="AI239">
        <f>IF(D238&lt;=0,0,ROUND(D238*(1+IF(AND(D$6&gt;0,$B239&lt;D$6),D$4,D$5)/12),2))</f>
        <v/>
      </c>
      <c r="AJ239">
        <f>IF(E238&lt;=0,0,ROUND(E238*(1+IF(AND(E$6&gt;0,$B239&lt;E$6),E$4,E$5)/12),2))</f>
        <v/>
      </c>
      <c r="AK239">
        <f>IF(F238&lt;=0,0,ROUND(F238*(1+IF(AND(F$6&gt;0,$B239&lt;F$6),F$4,F$5)/12),2))</f>
        <v/>
      </c>
      <c r="AL239">
        <f>IF(G238&lt;=0,0,ROUND(G238*(1+IF(AND(G$6&gt;0,$B239&lt;G$6),G$4,G$5)/12),2))</f>
        <v/>
      </c>
      <c r="AM239">
        <f>IF(H238&lt;=0,0,ROUND(H238*(1+IF(AND(H$6&gt;0,$B239&lt;H$6),H$4,H$5)/12),2))</f>
        <v/>
      </c>
      <c r="AN239">
        <f>IF(I238&lt;=0,0,ROUND(I238*(1+IF(AND(I$6&gt;0,$B239&lt;I$6),I$4,I$5)/12),2))</f>
        <v/>
      </c>
      <c r="AO239">
        <f>IF(J238&lt;=0,0,ROUND(J238*(1+IF(AND(J$6&gt;0,$B239&lt;J$6),J$4,J$5)/12),2))</f>
        <v/>
      </c>
      <c r="AP239">
        <f>IF(K238&lt;=0,0,ROUND(K238*(1+IF(AND(K$6&gt;0,$B239&lt;K$6),K$4,K$5)/12),2))</f>
        <v/>
      </c>
      <c r="AQ239">
        <f>IF(L238&lt;=0,0,ROUND(L238*(1+IF(AND(L$6&gt;0,$B239&lt;L$6),L$4,L$5)/12),2))</f>
        <v/>
      </c>
      <c r="AR239">
        <f>IF(M238&lt;=0,0,ROUND(M238*(1+IF(AND(M$6&gt;0,$B239&lt;M$6),M$4,M$5)/12),2))</f>
        <v/>
      </c>
      <c r="AS239">
        <f>IF(N238&lt;=0,0,ROUND(N238*(1+IF(AND(N$6&gt;0,$B239&lt;N$6),N$4,N$5)/12),2))</f>
        <v/>
      </c>
    </row>
    <row r="240">
      <c r="A240" t="n">
        <v>229</v>
      </c>
      <c r="B240">
        <f>EDATE(Plan!$C$6,228)</f>
        <v/>
      </c>
      <c r="C240">
        <f>IF(C239&lt;=0,0,MAX(0,AH240-O240))</f>
        <v/>
      </c>
      <c r="D240">
        <f>IF(D239&lt;=0,0,MAX(0,AI240-P240))</f>
        <v/>
      </c>
      <c r="E240">
        <f>IF(E239&lt;=0,0,MAX(0,AJ240-Q240))</f>
        <v/>
      </c>
      <c r="F240">
        <f>IF(F239&lt;=0,0,MAX(0,AK240-R240))</f>
        <v/>
      </c>
      <c r="G240">
        <f>IF(G239&lt;=0,0,MAX(0,AL240-S240))</f>
        <v/>
      </c>
      <c r="H240">
        <f>IF(H239&lt;=0,0,MAX(0,AM240-T240))</f>
        <v/>
      </c>
      <c r="I240">
        <f>IF(I239&lt;=0,0,MAX(0,AN240-U240))</f>
        <v/>
      </c>
      <c r="J240">
        <f>IF(J239&lt;=0,0,MAX(0,AO240-V240))</f>
        <v/>
      </c>
      <c r="K240">
        <f>IF(K239&lt;=0,0,MAX(0,AP240-W240))</f>
        <v/>
      </c>
      <c r="L240">
        <f>IF(L239&lt;=0,0,MAX(0,AQ240-X240))</f>
        <v/>
      </c>
      <c r="M240">
        <f>IF(M239&lt;=0,0,MAX(0,AR240-Y240))</f>
        <v/>
      </c>
      <c r="N240">
        <f>IF(N239&lt;=0,0,MAX(0,AS240-Z240))</f>
        <v/>
      </c>
      <c r="O240">
        <f>IF(C239&lt;=0,0,MIN(AH240,C$7+IF(C$2=$AA240,$AC240,IF(C$2=$AF240,$AG240,0))))</f>
        <v/>
      </c>
      <c r="P240">
        <f>IF(D239&lt;=0,0,MIN(AI240,D$7+IF(D$2=$AA240,$AC240,IF(D$2=$AF240,$AG240,0))))</f>
        <v/>
      </c>
      <c r="Q240">
        <f>IF(E239&lt;=0,0,MIN(AJ240,E$7+IF(E$2=$AA240,$AC240,IF(E$2=$AF240,$AG240,0))))</f>
        <v/>
      </c>
      <c r="R240">
        <f>IF(F239&lt;=0,0,MIN(AK240,F$7+IF(F$2=$AA240,$AC240,IF(F$2=$AF240,$AG240,0))))</f>
        <v/>
      </c>
      <c r="S240">
        <f>IF(G239&lt;=0,0,MIN(AL240,G$7+IF(G$2=$AA240,$AC240,IF(G$2=$AF240,$AG240,0))))</f>
        <v/>
      </c>
      <c r="T240">
        <f>IF(H239&lt;=0,0,MIN(AM240,H$7+IF(H$2=$AA240,$AC240,IF(H$2=$AF240,$AG240,0))))</f>
        <v/>
      </c>
      <c r="U240">
        <f>IF(I239&lt;=0,0,MIN(AN240,I$7+IF(I$2=$AA240,$AC240,IF(I$2=$AF240,$AG240,0))))</f>
        <v/>
      </c>
      <c r="V240">
        <f>IF(J239&lt;=0,0,MIN(AO240,J$7+IF(J$2=$AA240,$AC240,IF(J$2=$AF240,$AG240,0))))</f>
        <v/>
      </c>
      <c r="W240">
        <f>IF(K239&lt;=0,0,MIN(AP240,K$7+IF(K$2=$AA240,$AC240,IF(K$2=$AF240,$AG240,0))))</f>
        <v/>
      </c>
      <c r="X240">
        <f>IF(L239&lt;=0,0,MIN(AQ240,L$7+IF(L$2=$AA240,$AC240,IF(L$2=$AF240,$AG240,0))))</f>
        <v/>
      </c>
      <c r="Y240">
        <f>IF(M239&lt;=0,0,MIN(AR240,M$7+IF(M$2=$AA240,$AC240,IF(M$2=$AF240,$AG240,0))))</f>
        <v/>
      </c>
      <c r="Z240">
        <f>IF(N239&lt;=0,0,MIN(AS240,N$7+IF(N$2=$AA240,$AC240,IF(N$2=$AF240,$AG240,0))))</f>
        <v/>
      </c>
      <c r="AA240">
        <f>IFERROR(ROUND(1/SUMPRODUCT(MAX((C239:N239&gt;0)*($C$3:$N$3&lt;=B240)/$C$2:$N$2)),0),0)</f>
        <v/>
      </c>
      <c r="AB240">
        <f>SUMPRODUCT((C239:N239&gt;0)*$C$7:$N$7)</f>
        <v/>
      </c>
      <c r="AC240">
        <f>MAX(0,Plan!$C$5-AB240)+IF(A240=Plan!$C$8,N(Plan!$C$7),0)</f>
        <v/>
      </c>
      <c r="AD240">
        <f>SUM(C240:N240)</f>
        <v/>
      </c>
      <c r="AE240">
        <f>SUM(O240:Z240)</f>
        <v/>
      </c>
      <c r="AF240">
        <f>IFERROR(ROUND(1/SUMPRODUCT(MAX((C239:N239&gt;0)*($C$3:$N$3&lt;=B240)*($C$2:$N$2&gt;AA240)/$C$2:$N$2)),0),0)</f>
        <v/>
      </c>
      <c r="AG240">
        <f>MAX(0,AC240-MAX(0,SUMPRODUCT(($C$2:$N$2=AA240)*(AH240:AS240-$C$7:$N$7))))</f>
        <v/>
      </c>
      <c r="AH240">
        <f>IF(C239&lt;=0,0,ROUND(C239*(1+IF(AND(C$6&gt;0,$B240&lt;C$6),C$4,C$5)/12),2))</f>
        <v/>
      </c>
      <c r="AI240">
        <f>IF(D239&lt;=0,0,ROUND(D239*(1+IF(AND(D$6&gt;0,$B240&lt;D$6),D$4,D$5)/12),2))</f>
        <v/>
      </c>
      <c r="AJ240">
        <f>IF(E239&lt;=0,0,ROUND(E239*(1+IF(AND(E$6&gt;0,$B240&lt;E$6),E$4,E$5)/12),2))</f>
        <v/>
      </c>
      <c r="AK240">
        <f>IF(F239&lt;=0,0,ROUND(F239*(1+IF(AND(F$6&gt;0,$B240&lt;F$6),F$4,F$5)/12),2))</f>
        <v/>
      </c>
      <c r="AL240">
        <f>IF(G239&lt;=0,0,ROUND(G239*(1+IF(AND(G$6&gt;0,$B240&lt;G$6),G$4,G$5)/12),2))</f>
        <v/>
      </c>
      <c r="AM240">
        <f>IF(H239&lt;=0,0,ROUND(H239*(1+IF(AND(H$6&gt;0,$B240&lt;H$6),H$4,H$5)/12),2))</f>
        <v/>
      </c>
      <c r="AN240">
        <f>IF(I239&lt;=0,0,ROUND(I239*(1+IF(AND(I$6&gt;0,$B240&lt;I$6),I$4,I$5)/12),2))</f>
        <v/>
      </c>
      <c r="AO240">
        <f>IF(J239&lt;=0,0,ROUND(J239*(1+IF(AND(J$6&gt;0,$B240&lt;J$6),J$4,J$5)/12),2))</f>
        <v/>
      </c>
      <c r="AP240">
        <f>IF(K239&lt;=0,0,ROUND(K239*(1+IF(AND(K$6&gt;0,$B240&lt;K$6),K$4,K$5)/12),2))</f>
        <v/>
      </c>
      <c r="AQ240">
        <f>IF(L239&lt;=0,0,ROUND(L239*(1+IF(AND(L$6&gt;0,$B240&lt;L$6),L$4,L$5)/12),2))</f>
        <v/>
      </c>
      <c r="AR240">
        <f>IF(M239&lt;=0,0,ROUND(M239*(1+IF(AND(M$6&gt;0,$B240&lt;M$6),M$4,M$5)/12),2))</f>
        <v/>
      </c>
      <c r="AS240">
        <f>IF(N239&lt;=0,0,ROUND(N239*(1+IF(AND(N$6&gt;0,$B240&lt;N$6),N$4,N$5)/12),2))</f>
        <v/>
      </c>
    </row>
    <row r="241">
      <c r="A241" t="n">
        <v>230</v>
      </c>
      <c r="B241">
        <f>EDATE(Plan!$C$6,229)</f>
        <v/>
      </c>
      <c r="C241">
        <f>IF(C240&lt;=0,0,MAX(0,AH241-O241))</f>
        <v/>
      </c>
      <c r="D241">
        <f>IF(D240&lt;=0,0,MAX(0,AI241-P241))</f>
        <v/>
      </c>
      <c r="E241">
        <f>IF(E240&lt;=0,0,MAX(0,AJ241-Q241))</f>
        <v/>
      </c>
      <c r="F241">
        <f>IF(F240&lt;=0,0,MAX(0,AK241-R241))</f>
        <v/>
      </c>
      <c r="G241">
        <f>IF(G240&lt;=0,0,MAX(0,AL241-S241))</f>
        <v/>
      </c>
      <c r="H241">
        <f>IF(H240&lt;=0,0,MAX(0,AM241-T241))</f>
        <v/>
      </c>
      <c r="I241">
        <f>IF(I240&lt;=0,0,MAX(0,AN241-U241))</f>
        <v/>
      </c>
      <c r="J241">
        <f>IF(J240&lt;=0,0,MAX(0,AO241-V241))</f>
        <v/>
      </c>
      <c r="K241">
        <f>IF(K240&lt;=0,0,MAX(0,AP241-W241))</f>
        <v/>
      </c>
      <c r="L241">
        <f>IF(L240&lt;=0,0,MAX(0,AQ241-X241))</f>
        <v/>
      </c>
      <c r="M241">
        <f>IF(M240&lt;=0,0,MAX(0,AR241-Y241))</f>
        <v/>
      </c>
      <c r="N241">
        <f>IF(N240&lt;=0,0,MAX(0,AS241-Z241))</f>
        <v/>
      </c>
      <c r="O241">
        <f>IF(C240&lt;=0,0,MIN(AH241,C$7+IF(C$2=$AA241,$AC241,IF(C$2=$AF241,$AG241,0))))</f>
        <v/>
      </c>
      <c r="P241">
        <f>IF(D240&lt;=0,0,MIN(AI241,D$7+IF(D$2=$AA241,$AC241,IF(D$2=$AF241,$AG241,0))))</f>
        <v/>
      </c>
      <c r="Q241">
        <f>IF(E240&lt;=0,0,MIN(AJ241,E$7+IF(E$2=$AA241,$AC241,IF(E$2=$AF241,$AG241,0))))</f>
        <v/>
      </c>
      <c r="R241">
        <f>IF(F240&lt;=0,0,MIN(AK241,F$7+IF(F$2=$AA241,$AC241,IF(F$2=$AF241,$AG241,0))))</f>
        <v/>
      </c>
      <c r="S241">
        <f>IF(G240&lt;=0,0,MIN(AL241,G$7+IF(G$2=$AA241,$AC241,IF(G$2=$AF241,$AG241,0))))</f>
        <v/>
      </c>
      <c r="T241">
        <f>IF(H240&lt;=0,0,MIN(AM241,H$7+IF(H$2=$AA241,$AC241,IF(H$2=$AF241,$AG241,0))))</f>
        <v/>
      </c>
      <c r="U241">
        <f>IF(I240&lt;=0,0,MIN(AN241,I$7+IF(I$2=$AA241,$AC241,IF(I$2=$AF241,$AG241,0))))</f>
        <v/>
      </c>
      <c r="V241">
        <f>IF(J240&lt;=0,0,MIN(AO241,J$7+IF(J$2=$AA241,$AC241,IF(J$2=$AF241,$AG241,0))))</f>
        <v/>
      </c>
      <c r="W241">
        <f>IF(K240&lt;=0,0,MIN(AP241,K$7+IF(K$2=$AA241,$AC241,IF(K$2=$AF241,$AG241,0))))</f>
        <v/>
      </c>
      <c r="X241">
        <f>IF(L240&lt;=0,0,MIN(AQ241,L$7+IF(L$2=$AA241,$AC241,IF(L$2=$AF241,$AG241,0))))</f>
        <v/>
      </c>
      <c r="Y241">
        <f>IF(M240&lt;=0,0,MIN(AR241,M$7+IF(M$2=$AA241,$AC241,IF(M$2=$AF241,$AG241,0))))</f>
        <v/>
      </c>
      <c r="Z241">
        <f>IF(N240&lt;=0,0,MIN(AS241,N$7+IF(N$2=$AA241,$AC241,IF(N$2=$AF241,$AG241,0))))</f>
        <v/>
      </c>
      <c r="AA241">
        <f>IFERROR(ROUND(1/SUMPRODUCT(MAX((C240:N240&gt;0)*($C$3:$N$3&lt;=B241)/$C$2:$N$2)),0),0)</f>
        <v/>
      </c>
      <c r="AB241">
        <f>SUMPRODUCT((C240:N240&gt;0)*$C$7:$N$7)</f>
        <v/>
      </c>
      <c r="AC241">
        <f>MAX(0,Plan!$C$5-AB241)+IF(A241=Plan!$C$8,N(Plan!$C$7),0)</f>
        <v/>
      </c>
      <c r="AD241">
        <f>SUM(C241:N241)</f>
        <v/>
      </c>
      <c r="AE241">
        <f>SUM(O241:Z241)</f>
        <v/>
      </c>
      <c r="AF241">
        <f>IFERROR(ROUND(1/SUMPRODUCT(MAX((C240:N240&gt;0)*($C$3:$N$3&lt;=B241)*($C$2:$N$2&gt;AA241)/$C$2:$N$2)),0),0)</f>
        <v/>
      </c>
      <c r="AG241">
        <f>MAX(0,AC241-MAX(0,SUMPRODUCT(($C$2:$N$2=AA241)*(AH241:AS241-$C$7:$N$7))))</f>
        <v/>
      </c>
      <c r="AH241">
        <f>IF(C240&lt;=0,0,ROUND(C240*(1+IF(AND(C$6&gt;0,$B241&lt;C$6),C$4,C$5)/12),2))</f>
        <v/>
      </c>
      <c r="AI241">
        <f>IF(D240&lt;=0,0,ROUND(D240*(1+IF(AND(D$6&gt;0,$B241&lt;D$6),D$4,D$5)/12),2))</f>
        <v/>
      </c>
      <c r="AJ241">
        <f>IF(E240&lt;=0,0,ROUND(E240*(1+IF(AND(E$6&gt;0,$B241&lt;E$6),E$4,E$5)/12),2))</f>
        <v/>
      </c>
      <c r="AK241">
        <f>IF(F240&lt;=0,0,ROUND(F240*(1+IF(AND(F$6&gt;0,$B241&lt;F$6),F$4,F$5)/12),2))</f>
        <v/>
      </c>
      <c r="AL241">
        <f>IF(G240&lt;=0,0,ROUND(G240*(1+IF(AND(G$6&gt;0,$B241&lt;G$6),G$4,G$5)/12),2))</f>
        <v/>
      </c>
      <c r="AM241">
        <f>IF(H240&lt;=0,0,ROUND(H240*(1+IF(AND(H$6&gt;0,$B241&lt;H$6),H$4,H$5)/12),2))</f>
        <v/>
      </c>
      <c r="AN241">
        <f>IF(I240&lt;=0,0,ROUND(I240*(1+IF(AND(I$6&gt;0,$B241&lt;I$6),I$4,I$5)/12),2))</f>
        <v/>
      </c>
      <c r="AO241">
        <f>IF(J240&lt;=0,0,ROUND(J240*(1+IF(AND(J$6&gt;0,$B241&lt;J$6),J$4,J$5)/12),2))</f>
        <v/>
      </c>
      <c r="AP241">
        <f>IF(K240&lt;=0,0,ROUND(K240*(1+IF(AND(K$6&gt;0,$B241&lt;K$6),K$4,K$5)/12),2))</f>
        <v/>
      </c>
      <c r="AQ241">
        <f>IF(L240&lt;=0,0,ROUND(L240*(1+IF(AND(L$6&gt;0,$B241&lt;L$6),L$4,L$5)/12),2))</f>
        <v/>
      </c>
      <c r="AR241">
        <f>IF(M240&lt;=0,0,ROUND(M240*(1+IF(AND(M$6&gt;0,$B241&lt;M$6),M$4,M$5)/12),2))</f>
        <v/>
      </c>
      <c r="AS241">
        <f>IF(N240&lt;=0,0,ROUND(N240*(1+IF(AND(N$6&gt;0,$B241&lt;N$6),N$4,N$5)/12),2))</f>
        <v/>
      </c>
    </row>
    <row r="242">
      <c r="A242" t="n">
        <v>231</v>
      </c>
      <c r="B242">
        <f>EDATE(Plan!$C$6,230)</f>
        <v/>
      </c>
      <c r="C242">
        <f>IF(C241&lt;=0,0,MAX(0,AH242-O242))</f>
        <v/>
      </c>
      <c r="D242">
        <f>IF(D241&lt;=0,0,MAX(0,AI242-P242))</f>
        <v/>
      </c>
      <c r="E242">
        <f>IF(E241&lt;=0,0,MAX(0,AJ242-Q242))</f>
        <v/>
      </c>
      <c r="F242">
        <f>IF(F241&lt;=0,0,MAX(0,AK242-R242))</f>
        <v/>
      </c>
      <c r="G242">
        <f>IF(G241&lt;=0,0,MAX(0,AL242-S242))</f>
        <v/>
      </c>
      <c r="H242">
        <f>IF(H241&lt;=0,0,MAX(0,AM242-T242))</f>
        <v/>
      </c>
      <c r="I242">
        <f>IF(I241&lt;=0,0,MAX(0,AN242-U242))</f>
        <v/>
      </c>
      <c r="J242">
        <f>IF(J241&lt;=0,0,MAX(0,AO242-V242))</f>
        <v/>
      </c>
      <c r="K242">
        <f>IF(K241&lt;=0,0,MAX(0,AP242-W242))</f>
        <v/>
      </c>
      <c r="L242">
        <f>IF(L241&lt;=0,0,MAX(0,AQ242-X242))</f>
        <v/>
      </c>
      <c r="M242">
        <f>IF(M241&lt;=0,0,MAX(0,AR242-Y242))</f>
        <v/>
      </c>
      <c r="N242">
        <f>IF(N241&lt;=0,0,MAX(0,AS242-Z242))</f>
        <v/>
      </c>
      <c r="O242">
        <f>IF(C241&lt;=0,0,MIN(AH242,C$7+IF(C$2=$AA242,$AC242,IF(C$2=$AF242,$AG242,0))))</f>
        <v/>
      </c>
      <c r="P242">
        <f>IF(D241&lt;=0,0,MIN(AI242,D$7+IF(D$2=$AA242,$AC242,IF(D$2=$AF242,$AG242,0))))</f>
        <v/>
      </c>
      <c r="Q242">
        <f>IF(E241&lt;=0,0,MIN(AJ242,E$7+IF(E$2=$AA242,$AC242,IF(E$2=$AF242,$AG242,0))))</f>
        <v/>
      </c>
      <c r="R242">
        <f>IF(F241&lt;=0,0,MIN(AK242,F$7+IF(F$2=$AA242,$AC242,IF(F$2=$AF242,$AG242,0))))</f>
        <v/>
      </c>
      <c r="S242">
        <f>IF(G241&lt;=0,0,MIN(AL242,G$7+IF(G$2=$AA242,$AC242,IF(G$2=$AF242,$AG242,0))))</f>
        <v/>
      </c>
      <c r="T242">
        <f>IF(H241&lt;=0,0,MIN(AM242,H$7+IF(H$2=$AA242,$AC242,IF(H$2=$AF242,$AG242,0))))</f>
        <v/>
      </c>
      <c r="U242">
        <f>IF(I241&lt;=0,0,MIN(AN242,I$7+IF(I$2=$AA242,$AC242,IF(I$2=$AF242,$AG242,0))))</f>
        <v/>
      </c>
      <c r="V242">
        <f>IF(J241&lt;=0,0,MIN(AO242,J$7+IF(J$2=$AA242,$AC242,IF(J$2=$AF242,$AG242,0))))</f>
        <v/>
      </c>
      <c r="W242">
        <f>IF(K241&lt;=0,0,MIN(AP242,K$7+IF(K$2=$AA242,$AC242,IF(K$2=$AF242,$AG242,0))))</f>
        <v/>
      </c>
      <c r="X242">
        <f>IF(L241&lt;=0,0,MIN(AQ242,L$7+IF(L$2=$AA242,$AC242,IF(L$2=$AF242,$AG242,0))))</f>
        <v/>
      </c>
      <c r="Y242">
        <f>IF(M241&lt;=0,0,MIN(AR242,M$7+IF(M$2=$AA242,$AC242,IF(M$2=$AF242,$AG242,0))))</f>
        <v/>
      </c>
      <c r="Z242">
        <f>IF(N241&lt;=0,0,MIN(AS242,N$7+IF(N$2=$AA242,$AC242,IF(N$2=$AF242,$AG242,0))))</f>
        <v/>
      </c>
      <c r="AA242">
        <f>IFERROR(ROUND(1/SUMPRODUCT(MAX((C241:N241&gt;0)*($C$3:$N$3&lt;=B242)/$C$2:$N$2)),0),0)</f>
        <v/>
      </c>
      <c r="AB242">
        <f>SUMPRODUCT((C241:N241&gt;0)*$C$7:$N$7)</f>
        <v/>
      </c>
      <c r="AC242">
        <f>MAX(0,Plan!$C$5-AB242)+IF(A242=Plan!$C$8,N(Plan!$C$7),0)</f>
        <v/>
      </c>
      <c r="AD242">
        <f>SUM(C242:N242)</f>
        <v/>
      </c>
      <c r="AE242">
        <f>SUM(O242:Z242)</f>
        <v/>
      </c>
      <c r="AF242">
        <f>IFERROR(ROUND(1/SUMPRODUCT(MAX((C241:N241&gt;0)*($C$3:$N$3&lt;=B242)*($C$2:$N$2&gt;AA242)/$C$2:$N$2)),0),0)</f>
        <v/>
      </c>
      <c r="AG242">
        <f>MAX(0,AC242-MAX(0,SUMPRODUCT(($C$2:$N$2=AA242)*(AH242:AS242-$C$7:$N$7))))</f>
        <v/>
      </c>
      <c r="AH242">
        <f>IF(C241&lt;=0,0,ROUND(C241*(1+IF(AND(C$6&gt;0,$B242&lt;C$6),C$4,C$5)/12),2))</f>
        <v/>
      </c>
      <c r="AI242">
        <f>IF(D241&lt;=0,0,ROUND(D241*(1+IF(AND(D$6&gt;0,$B242&lt;D$6),D$4,D$5)/12),2))</f>
        <v/>
      </c>
      <c r="AJ242">
        <f>IF(E241&lt;=0,0,ROUND(E241*(1+IF(AND(E$6&gt;0,$B242&lt;E$6),E$4,E$5)/12),2))</f>
        <v/>
      </c>
      <c r="AK242">
        <f>IF(F241&lt;=0,0,ROUND(F241*(1+IF(AND(F$6&gt;0,$B242&lt;F$6),F$4,F$5)/12),2))</f>
        <v/>
      </c>
      <c r="AL242">
        <f>IF(G241&lt;=0,0,ROUND(G241*(1+IF(AND(G$6&gt;0,$B242&lt;G$6),G$4,G$5)/12),2))</f>
        <v/>
      </c>
      <c r="AM242">
        <f>IF(H241&lt;=0,0,ROUND(H241*(1+IF(AND(H$6&gt;0,$B242&lt;H$6),H$4,H$5)/12),2))</f>
        <v/>
      </c>
      <c r="AN242">
        <f>IF(I241&lt;=0,0,ROUND(I241*(1+IF(AND(I$6&gt;0,$B242&lt;I$6),I$4,I$5)/12),2))</f>
        <v/>
      </c>
      <c r="AO242">
        <f>IF(J241&lt;=0,0,ROUND(J241*(1+IF(AND(J$6&gt;0,$B242&lt;J$6),J$4,J$5)/12),2))</f>
        <v/>
      </c>
      <c r="AP242">
        <f>IF(K241&lt;=0,0,ROUND(K241*(1+IF(AND(K$6&gt;0,$B242&lt;K$6),K$4,K$5)/12),2))</f>
        <v/>
      </c>
      <c r="AQ242">
        <f>IF(L241&lt;=0,0,ROUND(L241*(1+IF(AND(L$6&gt;0,$B242&lt;L$6),L$4,L$5)/12),2))</f>
        <v/>
      </c>
      <c r="AR242">
        <f>IF(M241&lt;=0,0,ROUND(M241*(1+IF(AND(M$6&gt;0,$B242&lt;M$6),M$4,M$5)/12),2))</f>
        <v/>
      </c>
      <c r="AS242">
        <f>IF(N241&lt;=0,0,ROUND(N241*(1+IF(AND(N$6&gt;0,$B242&lt;N$6),N$4,N$5)/12),2))</f>
        <v/>
      </c>
    </row>
    <row r="243">
      <c r="A243" t="n">
        <v>232</v>
      </c>
      <c r="B243">
        <f>EDATE(Plan!$C$6,231)</f>
        <v/>
      </c>
      <c r="C243">
        <f>IF(C242&lt;=0,0,MAX(0,AH243-O243))</f>
        <v/>
      </c>
      <c r="D243">
        <f>IF(D242&lt;=0,0,MAX(0,AI243-P243))</f>
        <v/>
      </c>
      <c r="E243">
        <f>IF(E242&lt;=0,0,MAX(0,AJ243-Q243))</f>
        <v/>
      </c>
      <c r="F243">
        <f>IF(F242&lt;=0,0,MAX(0,AK243-R243))</f>
        <v/>
      </c>
      <c r="G243">
        <f>IF(G242&lt;=0,0,MAX(0,AL243-S243))</f>
        <v/>
      </c>
      <c r="H243">
        <f>IF(H242&lt;=0,0,MAX(0,AM243-T243))</f>
        <v/>
      </c>
      <c r="I243">
        <f>IF(I242&lt;=0,0,MAX(0,AN243-U243))</f>
        <v/>
      </c>
      <c r="J243">
        <f>IF(J242&lt;=0,0,MAX(0,AO243-V243))</f>
        <v/>
      </c>
      <c r="K243">
        <f>IF(K242&lt;=0,0,MAX(0,AP243-W243))</f>
        <v/>
      </c>
      <c r="L243">
        <f>IF(L242&lt;=0,0,MAX(0,AQ243-X243))</f>
        <v/>
      </c>
      <c r="M243">
        <f>IF(M242&lt;=0,0,MAX(0,AR243-Y243))</f>
        <v/>
      </c>
      <c r="N243">
        <f>IF(N242&lt;=0,0,MAX(0,AS243-Z243))</f>
        <v/>
      </c>
      <c r="O243">
        <f>IF(C242&lt;=0,0,MIN(AH243,C$7+IF(C$2=$AA243,$AC243,IF(C$2=$AF243,$AG243,0))))</f>
        <v/>
      </c>
      <c r="P243">
        <f>IF(D242&lt;=0,0,MIN(AI243,D$7+IF(D$2=$AA243,$AC243,IF(D$2=$AF243,$AG243,0))))</f>
        <v/>
      </c>
      <c r="Q243">
        <f>IF(E242&lt;=0,0,MIN(AJ243,E$7+IF(E$2=$AA243,$AC243,IF(E$2=$AF243,$AG243,0))))</f>
        <v/>
      </c>
      <c r="R243">
        <f>IF(F242&lt;=0,0,MIN(AK243,F$7+IF(F$2=$AA243,$AC243,IF(F$2=$AF243,$AG243,0))))</f>
        <v/>
      </c>
      <c r="S243">
        <f>IF(G242&lt;=0,0,MIN(AL243,G$7+IF(G$2=$AA243,$AC243,IF(G$2=$AF243,$AG243,0))))</f>
        <v/>
      </c>
      <c r="T243">
        <f>IF(H242&lt;=0,0,MIN(AM243,H$7+IF(H$2=$AA243,$AC243,IF(H$2=$AF243,$AG243,0))))</f>
        <v/>
      </c>
      <c r="U243">
        <f>IF(I242&lt;=0,0,MIN(AN243,I$7+IF(I$2=$AA243,$AC243,IF(I$2=$AF243,$AG243,0))))</f>
        <v/>
      </c>
      <c r="V243">
        <f>IF(J242&lt;=0,0,MIN(AO243,J$7+IF(J$2=$AA243,$AC243,IF(J$2=$AF243,$AG243,0))))</f>
        <v/>
      </c>
      <c r="W243">
        <f>IF(K242&lt;=0,0,MIN(AP243,K$7+IF(K$2=$AA243,$AC243,IF(K$2=$AF243,$AG243,0))))</f>
        <v/>
      </c>
      <c r="X243">
        <f>IF(L242&lt;=0,0,MIN(AQ243,L$7+IF(L$2=$AA243,$AC243,IF(L$2=$AF243,$AG243,0))))</f>
        <v/>
      </c>
      <c r="Y243">
        <f>IF(M242&lt;=0,0,MIN(AR243,M$7+IF(M$2=$AA243,$AC243,IF(M$2=$AF243,$AG243,0))))</f>
        <v/>
      </c>
      <c r="Z243">
        <f>IF(N242&lt;=0,0,MIN(AS243,N$7+IF(N$2=$AA243,$AC243,IF(N$2=$AF243,$AG243,0))))</f>
        <v/>
      </c>
      <c r="AA243">
        <f>IFERROR(ROUND(1/SUMPRODUCT(MAX((C242:N242&gt;0)*($C$3:$N$3&lt;=B243)/$C$2:$N$2)),0),0)</f>
        <v/>
      </c>
      <c r="AB243">
        <f>SUMPRODUCT((C242:N242&gt;0)*$C$7:$N$7)</f>
        <v/>
      </c>
      <c r="AC243">
        <f>MAX(0,Plan!$C$5-AB243)+IF(A243=Plan!$C$8,N(Plan!$C$7),0)</f>
        <v/>
      </c>
      <c r="AD243">
        <f>SUM(C243:N243)</f>
        <v/>
      </c>
      <c r="AE243">
        <f>SUM(O243:Z243)</f>
        <v/>
      </c>
      <c r="AF243">
        <f>IFERROR(ROUND(1/SUMPRODUCT(MAX((C242:N242&gt;0)*($C$3:$N$3&lt;=B243)*($C$2:$N$2&gt;AA243)/$C$2:$N$2)),0),0)</f>
        <v/>
      </c>
      <c r="AG243">
        <f>MAX(0,AC243-MAX(0,SUMPRODUCT(($C$2:$N$2=AA243)*(AH243:AS243-$C$7:$N$7))))</f>
        <v/>
      </c>
      <c r="AH243">
        <f>IF(C242&lt;=0,0,ROUND(C242*(1+IF(AND(C$6&gt;0,$B243&lt;C$6),C$4,C$5)/12),2))</f>
        <v/>
      </c>
      <c r="AI243">
        <f>IF(D242&lt;=0,0,ROUND(D242*(1+IF(AND(D$6&gt;0,$B243&lt;D$6),D$4,D$5)/12),2))</f>
        <v/>
      </c>
      <c r="AJ243">
        <f>IF(E242&lt;=0,0,ROUND(E242*(1+IF(AND(E$6&gt;0,$B243&lt;E$6),E$4,E$5)/12),2))</f>
        <v/>
      </c>
      <c r="AK243">
        <f>IF(F242&lt;=0,0,ROUND(F242*(1+IF(AND(F$6&gt;0,$B243&lt;F$6),F$4,F$5)/12),2))</f>
        <v/>
      </c>
      <c r="AL243">
        <f>IF(G242&lt;=0,0,ROUND(G242*(1+IF(AND(G$6&gt;0,$B243&lt;G$6),G$4,G$5)/12),2))</f>
        <v/>
      </c>
      <c r="AM243">
        <f>IF(H242&lt;=0,0,ROUND(H242*(1+IF(AND(H$6&gt;0,$B243&lt;H$6),H$4,H$5)/12),2))</f>
        <v/>
      </c>
      <c r="AN243">
        <f>IF(I242&lt;=0,0,ROUND(I242*(1+IF(AND(I$6&gt;0,$B243&lt;I$6),I$4,I$5)/12),2))</f>
        <v/>
      </c>
      <c r="AO243">
        <f>IF(J242&lt;=0,0,ROUND(J242*(1+IF(AND(J$6&gt;0,$B243&lt;J$6),J$4,J$5)/12),2))</f>
        <v/>
      </c>
      <c r="AP243">
        <f>IF(K242&lt;=0,0,ROUND(K242*(1+IF(AND(K$6&gt;0,$B243&lt;K$6),K$4,K$5)/12),2))</f>
        <v/>
      </c>
      <c r="AQ243">
        <f>IF(L242&lt;=0,0,ROUND(L242*(1+IF(AND(L$6&gt;0,$B243&lt;L$6),L$4,L$5)/12),2))</f>
        <v/>
      </c>
      <c r="AR243">
        <f>IF(M242&lt;=0,0,ROUND(M242*(1+IF(AND(M$6&gt;0,$B243&lt;M$6),M$4,M$5)/12),2))</f>
        <v/>
      </c>
      <c r="AS243">
        <f>IF(N242&lt;=0,0,ROUND(N242*(1+IF(AND(N$6&gt;0,$B243&lt;N$6),N$4,N$5)/12),2))</f>
        <v/>
      </c>
    </row>
    <row r="244">
      <c r="A244" t="n">
        <v>233</v>
      </c>
      <c r="B244">
        <f>EDATE(Plan!$C$6,232)</f>
        <v/>
      </c>
      <c r="C244">
        <f>IF(C243&lt;=0,0,MAX(0,AH244-O244))</f>
        <v/>
      </c>
      <c r="D244">
        <f>IF(D243&lt;=0,0,MAX(0,AI244-P244))</f>
        <v/>
      </c>
      <c r="E244">
        <f>IF(E243&lt;=0,0,MAX(0,AJ244-Q244))</f>
        <v/>
      </c>
      <c r="F244">
        <f>IF(F243&lt;=0,0,MAX(0,AK244-R244))</f>
        <v/>
      </c>
      <c r="G244">
        <f>IF(G243&lt;=0,0,MAX(0,AL244-S244))</f>
        <v/>
      </c>
      <c r="H244">
        <f>IF(H243&lt;=0,0,MAX(0,AM244-T244))</f>
        <v/>
      </c>
      <c r="I244">
        <f>IF(I243&lt;=0,0,MAX(0,AN244-U244))</f>
        <v/>
      </c>
      <c r="J244">
        <f>IF(J243&lt;=0,0,MAX(0,AO244-V244))</f>
        <v/>
      </c>
      <c r="K244">
        <f>IF(K243&lt;=0,0,MAX(0,AP244-W244))</f>
        <v/>
      </c>
      <c r="L244">
        <f>IF(L243&lt;=0,0,MAX(0,AQ244-X244))</f>
        <v/>
      </c>
      <c r="M244">
        <f>IF(M243&lt;=0,0,MAX(0,AR244-Y244))</f>
        <v/>
      </c>
      <c r="N244">
        <f>IF(N243&lt;=0,0,MAX(0,AS244-Z244))</f>
        <v/>
      </c>
      <c r="O244">
        <f>IF(C243&lt;=0,0,MIN(AH244,C$7+IF(C$2=$AA244,$AC244,IF(C$2=$AF244,$AG244,0))))</f>
        <v/>
      </c>
      <c r="P244">
        <f>IF(D243&lt;=0,0,MIN(AI244,D$7+IF(D$2=$AA244,$AC244,IF(D$2=$AF244,$AG244,0))))</f>
        <v/>
      </c>
      <c r="Q244">
        <f>IF(E243&lt;=0,0,MIN(AJ244,E$7+IF(E$2=$AA244,$AC244,IF(E$2=$AF244,$AG244,0))))</f>
        <v/>
      </c>
      <c r="R244">
        <f>IF(F243&lt;=0,0,MIN(AK244,F$7+IF(F$2=$AA244,$AC244,IF(F$2=$AF244,$AG244,0))))</f>
        <v/>
      </c>
      <c r="S244">
        <f>IF(G243&lt;=0,0,MIN(AL244,G$7+IF(G$2=$AA244,$AC244,IF(G$2=$AF244,$AG244,0))))</f>
        <v/>
      </c>
      <c r="T244">
        <f>IF(H243&lt;=0,0,MIN(AM244,H$7+IF(H$2=$AA244,$AC244,IF(H$2=$AF244,$AG244,0))))</f>
        <v/>
      </c>
      <c r="U244">
        <f>IF(I243&lt;=0,0,MIN(AN244,I$7+IF(I$2=$AA244,$AC244,IF(I$2=$AF244,$AG244,0))))</f>
        <v/>
      </c>
      <c r="V244">
        <f>IF(J243&lt;=0,0,MIN(AO244,J$7+IF(J$2=$AA244,$AC244,IF(J$2=$AF244,$AG244,0))))</f>
        <v/>
      </c>
      <c r="W244">
        <f>IF(K243&lt;=0,0,MIN(AP244,K$7+IF(K$2=$AA244,$AC244,IF(K$2=$AF244,$AG244,0))))</f>
        <v/>
      </c>
      <c r="X244">
        <f>IF(L243&lt;=0,0,MIN(AQ244,L$7+IF(L$2=$AA244,$AC244,IF(L$2=$AF244,$AG244,0))))</f>
        <v/>
      </c>
      <c r="Y244">
        <f>IF(M243&lt;=0,0,MIN(AR244,M$7+IF(M$2=$AA244,$AC244,IF(M$2=$AF244,$AG244,0))))</f>
        <v/>
      </c>
      <c r="Z244">
        <f>IF(N243&lt;=0,0,MIN(AS244,N$7+IF(N$2=$AA244,$AC244,IF(N$2=$AF244,$AG244,0))))</f>
        <v/>
      </c>
      <c r="AA244">
        <f>IFERROR(ROUND(1/SUMPRODUCT(MAX((C243:N243&gt;0)*($C$3:$N$3&lt;=B244)/$C$2:$N$2)),0),0)</f>
        <v/>
      </c>
      <c r="AB244">
        <f>SUMPRODUCT((C243:N243&gt;0)*$C$7:$N$7)</f>
        <v/>
      </c>
      <c r="AC244">
        <f>MAX(0,Plan!$C$5-AB244)+IF(A244=Plan!$C$8,N(Plan!$C$7),0)</f>
        <v/>
      </c>
      <c r="AD244">
        <f>SUM(C244:N244)</f>
        <v/>
      </c>
      <c r="AE244">
        <f>SUM(O244:Z244)</f>
        <v/>
      </c>
      <c r="AF244">
        <f>IFERROR(ROUND(1/SUMPRODUCT(MAX((C243:N243&gt;0)*($C$3:$N$3&lt;=B244)*($C$2:$N$2&gt;AA244)/$C$2:$N$2)),0),0)</f>
        <v/>
      </c>
      <c r="AG244">
        <f>MAX(0,AC244-MAX(0,SUMPRODUCT(($C$2:$N$2=AA244)*(AH244:AS244-$C$7:$N$7))))</f>
        <v/>
      </c>
      <c r="AH244">
        <f>IF(C243&lt;=0,0,ROUND(C243*(1+IF(AND(C$6&gt;0,$B244&lt;C$6),C$4,C$5)/12),2))</f>
        <v/>
      </c>
      <c r="AI244">
        <f>IF(D243&lt;=0,0,ROUND(D243*(1+IF(AND(D$6&gt;0,$B244&lt;D$6),D$4,D$5)/12),2))</f>
        <v/>
      </c>
      <c r="AJ244">
        <f>IF(E243&lt;=0,0,ROUND(E243*(1+IF(AND(E$6&gt;0,$B244&lt;E$6),E$4,E$5)/12),2))</f>
        <v/>
      </c>
      <c r="AK244">
        <f>IF(F243&lt;=0,0,ROUND(F243*(1+IF(AND(F$6&gt;0,$B244&lt;F$6),F$4,F$5)/12),2))</f>
        <v/>
      </c>
      <c r="AL244">
        <f>IF(G243&lt;=0,0,ROUND(G243*(1+IF(AND(G$6&gt;0,$B244&lt;G$6),G$4,G$5)/12),2))</f>
        <v/>
      </c>
      <c r="AM244">
        <f>IF(H243&lt;=0,0,ROUND(H243*(1+IF(AND(H$6&gt;0,$B244&lt;H$6),H$4,H$5)/12),2))</f>
        <v/>
      </c>
      <c r="AN244">
        <f>IF(I243&lt;=0,0,ROUND(I243*(1+IF(AND(I$6&gt;0,$B244&lt;I$6),I$4,I$5)/12),2))</f>
        <v/>
      </c>
      <c r="AO244">
        <f>IF(J243&lt;=0,0,ROUND(J243*(1+IF(AND(J$6&gt;0,$B244&lt;J$6),J$4,J$5)/12),2))</f>
        <v/>
      </c>
      <c r="AP244">
        <f>IF(K243&lt;=0,0,ROUND(K243*(1+IF(AND(K$6&gt;0,$B244&lt;K$6),K$4,K$5)/12),2))</f>
        <v/>
      </c>
      <c r="AQ244">
        <f>IF(L243&lt;=0,0,ROUND(L243*(1+IF(AND(L$6&gt;0,$B244&lt;L$6),L$4,L$5)/12),2))</f>
        <v/>
      </c>
      <c r="AR244">
        <f>IF(M243&lt;=0,0,ROUND(M243*(1+IF(AND(M$6&gt;0,$B244&lt;M$6),M$4,M$5)/12),2))</f>
        <v/>
      </c>
      <c r="AS244">
        <f>IF(N243&lt;=0,0,ROUND(N243*(1+IF(AND(N$6&gt;0,$B244&lt;N$6),N$4,N$5)/12),2))</f>
        <v/>
      </c>
    </row>
    <row r="245">
      <c r="A245" t="n">
        <v>234</v>
      </c>
      <c r="B245">
        <f>EDATE(Plan!$C$6,233)</f>
        <v/>
      </c>
      <c r="C245">
        <f>IF(C244&lt;=0,0,MAX(0,AH245-O245))</f>
        <v/>
      </c>
      <c r="D245">
        <f>IF(D244&lt;=0,0,MAX(0,AI245-P245))</f>
        <v/>
      </c>
      <c r="E245">
        <f>IF(E244&lt;=0,0,MAX(0,AJ245-Q245))</f>
        <v/>
      </c>
      <c r="F245">
        <f>IF(F244&lt;=0,0,MAX(0,AK245-R245))</f>
        <v/>
      </c>
      <c r="G245">
        <f>IF(G244&lt;=0,0,MAX(0,AL245-S245))</f>
        <v/>
      </c>
      <c r="H245">
        <f>IF(H244&lt;=0,0,MAX(0,AM245-T245))</f>
        <v/>
      </c>
      <c r="I245">
        <f>IF(I244&lt;=0,0,MAX(0,AN245-U245))</f>
        <v/>
      </c>
      <c r="J245">
        <f>IF(J244&lt;=0,0,MAX(0,AO245-V245))</f>
        <v/>
      </c>
      <c r="K245">
        <f>IF(K244&lt;=0,0,MAX(0,AP245-W245))</f>
        <v/>
      </c>
      <c r="L245">
        <f>IF(L244&lt;=0,0,MAX(0,AQ245-X245))</f>
        <v/>
      </c>
      <c r="M245">
        <f>IF(M244&lt;=0,0,MAX(0,AR245-Y245))</f>
        <v/>
      </c>
      <c r="N245">
        <f>IF(N244&lt;=0,0,MAX(0,AS245-Z245))</f>
        <v/>
      </c>
      <c r="O245">
        <f>IF(C244&lt;=0,0,MIN(AH245,C$7+IF(C$2=$AA245,$AC245,IF(C$2=$AF245,$AG245,0))))</f>
        <v/>
      </c>
      <c r="P245">
        <f>IF(D244&lt;=0,0,MIN(AI245,D$7+IF(D$2=$AA245,$AC245,IF(D$2=$AF245,$AG245,0))))</f>
        <v/>
      </c>
      <c r="Q245">
        <f>IF(E244&lt;=0,0,MIN(AJ245,E$7+IF(E$2=$AA245,$AC245,IF(E$2=$AF245,$AG245,0))))</f>
        <v/>
      </c>
      <c r="R245">
        <f>IF(F244&lt;=0,0,MIN(AK245,F$7+IF(F$2=$AA245,$AC245,IF(F$2=$AF245,$AG245,0))))</f>
        <v/>
      </c>
      <c r="S245">
        <f>IF(G244&lt;=0,0,MIN(AL245,G$7+IF(G$2=$AA245,$AC245,IF(G$2=$AF245,$AG245,0))))</f>
        <v/>
      </c>
      <c r="T245">
        <f>IF(H244&lt;=0,0,MIN(AM245,H$7+IF(H$2=$AA245,$AC245,IF(H$2=$AF245,$AG245,0))))</f>
        <v/>
      </c>
      <c r="U245">
        <f>IF(I244&lt;=0,0,MIN(AN245,I$7+IF(I$2=$AA245,$AC245,IF(I$2=$AF245,$AG245,0))))</f>
        <v/>
      </c>
      <c r="V245">
        <f>IF(J244&lt;=0,0,MIN(AO245,J$7+IF(J$2=$AA245,$AC245,IF(J$2=$AF245,$AG245,0))))</f>
        <v/>
      </c>
      <c r="W245">
        <f>IF(K244&lt;=0,0,MIN(AP245,K$7+IF(K$2=$AA245,$AC245,IF(K$2=$AF245,$AG245,0))))</f>
        <v/>
      </c>
      <c r="X245">
        <f>IF(L244&lt;=0,0,MIN(AQ245,L$7+IF(L$2=$AA245,$AC245,IF(L$2=$AF245,$AG245,0))))</f>
        <v/>
      </c>
      <c r="Y245">
        <f>IF(M244&lt;=0,0,MIN(AR245,M$7+IF(M$2=$AA245,$AC245,IF(M$2=$AF245,$AG245,0))))</f>
        <v/>
      </c>
      <c r="Z245">
        <f>IF(N244&lt;=0,0,MIN(AS245,N$7+IF(N$2=$AA245,$AC245,IF(N$2=$AF245,$AG245,0))))</f>
        <v/>
      </c>
      <c r="AA245">
        <f>IFERROR(ROUND(1/SUMPRODUCT(MAX((C244:N244&gt;0)*($C$3:$N$3&lt;=B245)/$C$2:$N$2)),0),0)</f>
        <v/>
      </c>
      <c r="AB245">
        <f>SUMPRODUCT((C244:N244&gt;0)*$C$7:$N$7)</f>
        <v/>
      </c>
      <c r="AC245">
        <f>MAX(0,Plan!$C$5-AB245)+IF(A245=Plan!$C$8,N(Plan!$C$7),0)</f>
        <v/>
      </c>
      <c r="AD245">
        <f>SUM(C245:N245)</f>
        <v/>
      </c>
      <c r="AE245">
        <f>SUM(O245:Z245)</f>
        <v/>
      </c>
      <c r="AF245">
        <f>IFERROR(ROUND(1/SUMPRODUCT(MAX((C244:N244&gt;0)*($C$3:$N$3&lt;=B245)*($C$2:$N$2&gt;AA245)/$C$2:$N$2)),0),0)</f>
        <v/>
      </c>
      <c r="AG245">
        <f>MAX(0,AC245-MAX(0,SUMPRODUCT(($C$2:$N$2=AA245)*(AH245:AS245-$C$7:$N$7))))</f>
        <v/>
      </c>
      <c r="AH245">
        <f>IF(C244&lt;=0,0,ROUND(C244*(1+IF(AND(C$6&gt;0,$B245&lt;C$6),C$4,C$5)/12),2))</f>
        <v/>
      </c>
      <c r="AI245">
        <f>IF(D244&lt;=0,0,ROUND(D244*(1+IF(AND(D$6&gt;0,$B245&lt;D$6),D$4,D$5)/12),2))</f>
        <v/>
      </c>
      <c r="AJ245">
        <f>IF(E244&lt;=0,0,ROUND(E244*(1+IF(AND(E$6&gt;0,$B245&lt;E$6),E$4,E$5)/12),2))</f>
        <v/>
      </c>
      <c r="AK245">
        <f>IF(F244&lt;=0,0,ROUND(F244*(1+IF(AND(F$6&gt;0,$B245&lt;F$6),F$4,F$5)/12),2))</f>
        <v/>
      </c>
      <c r="AL245">
        <f>IF(G244&lt;=0,0,ROUND(G244*(1+IF(AND(G$6&gt;0,$B245&lt;G$6),G$4,G$5)/12),2))</f>
        <v/>
      </c>
      <c r="AM245">
        <f>IF(H244&lt;=0,0,ROUND(H244*(1+IF(AND(H$6&gt;0,$B245&lt;H$6),H$4,H$5)/12),2))</f>
        <v/>
      </c>
      <c r="AN245">
        <f>IF(I244&lt;=0,0,ROUND(I244*(1+IF(AND(I$6&gt;0,$B245&lt;I$6),I$4,I$5)/12),2))</f>
        <v/>
      </c>
      <c r="AO245">
        <f>IF(J244&lt;=0,0,ROUND(J244*(1+IF(AND(J$6&gt;0,$B245&lt;J$6),J$4,J$5)/12),2))</f>
        <v/>
      </c>
      <c r="AP245">
        <f>IF(K244&lt;=0,0,ROUND(K244*(1+IF(AND(K$6&gt;0,$B245&lt;K$6),K$4,K$5)/12),2))</f>
        <v/>
      </c>
      <c r="AQ245">
        <f>IF(L244&lt;=0,0,ROUND(L244*(1+IF(AND(L$6&gt;0,$B245&lt;L$6),L$4,L$5)/12),2))</f>
        <v/>
      </c>
      <c r="AR245">
        <f>IF(M244&lt;=0,0,ROUND(M244*(1+IF(AND(M$6&gt;0,$B245&lt;M$6),M$4,M$5)/12),2))</f>
        <v/>
      </c>
      <c r="AS245">
        <f>IF(N244&lt;=0,0,ROUND(N244*(1+IF(AND(N$6&gt;0,$B245&lt;N$6),N$4,N$5)/12),2))</f>
        <v/>
      </c>
    </row>
    <row r="246">
      <c r="A246" t="n">
        <v>235</v>
      </c>
      <c r="B246">
        <f>EDATE(Plan!$C$6,234)</f>
        <v/>
      </c>
      <c r="C246">
        <f>IF(C245&lt;=0,0,MAX(0,AH246-O246))</f>
        <v/>
      </c>
      <c r="D246">
        <f>IF(D245&lt;=0,0,MAX(0,AI246-P246))</f>
        <v/>
      </c>
      <c r="E246">
        <f>IF(E245&lt;=0,0,MAX(0,AJ246-Q246))</f>
        <v/>
      </c>
      <c r="F246">
        <f>IF(F245&lt;=0,0,MAX(0,AK246-R246))</f>
        <v/>
      </c>
      <c r="G246">
        <f>IF(G245&lt;=0,0,MAX(0,AL246-S246))</f>
        <v/>
      </c>
      <c r="H246">
        <f>IF(H245&lt;=0,0,MAX(0,AM246-T246))</f>
        <v/>
      </c>
      <c r="I246">
        <f>IF(I245&lt;=0,0,MAX(0,AN246-U246))</f>
        <v/>
      </c>
      <c r="J246">
        <f>IF(J245&lt;=0,0,MAX(0,AO246-V246))</f>
        <v/>
      </c>
      <c r="K246">
        <f>IF(K245&lt;=0,0,MAX(0,AP246-W246))</f>
        <v/>
      </c>
      <c r="L246">
        <f>IF(L245&lt;=0,0,MAX(0,AQ246-X246))</f>
        <v/>
      </c>
      <c r="M246">
        <f>IF(M245&lt;=0,0,MAX(0,AR246-Y246))</f>
        <v/>
      </c>
      <c r="N246">
        <f>IF(N245&lt;=0,0,MAX(0,AS246-Z246))</f>
        <v/>
      </c>
      <c r="O246">
        <f>IF(C245&lt;=0,0,MIN(AH246,C$7+IF(C$2=$AA246,$AC246,IF(C$2=$AF246,$AG246,0))))</f>
        <v/>
      </c>
      <c r="P246">
        <f>IF(D245&lt;=0,0,MIN(AI246,D$7+IF(D$2=$AA246,$AC246,IF(D$2=$AF246,$AG246,0))))</f>
        <v/>
      </c>
      <c r="Q246">
        <f>IF(E245&lt;=0,0,MIN(AJ246,E$7+IF(E$2=$AA246,$AC246,IF(E$2=$AF246,$AG246,0))))</f>
        <v/>
      </c>
      <c r="R246">
        <f>IF(F245&lt;=0,0,MIN(AK246,F$7+IF(F$2=$AA246,$AC246,IF(F$2=$AF246,$AG246,0))))</f>
        <v/>
      </c>
      <c r="S246">
        <f>IF(G245&lt;=0,0,MIN(AL246,G$7+IF(G$2=$AA246,$AC246,IF(G$2=$AF246,$AG246,0))))</f>
        <v/>
      </c>
      <c r="T246">
        <f>IF(H245&lt;=0,0,MIN(AM246,H$7+IF(H$2=$AA246,$AC246,IF(H$2=$AF246,$AG246,0))))</f>
        <v/>
      </c>
      <c r="U246">
        <f>IF(I245&lt;=0,0,MIN(AN246,I$7+IF(I$2=$AA246,$AC246,IF(I$2=$AF246,$AG246,0))))</f>
        <v/>
      </c>
      <c r="V246">
        <f>IF(J245&lt;=0,0,MIN(AO246,J$7+IF(J$2=$AA246,$AC246,IF(J$2=$AF246,$AG246,0))))</f>
        <v/>
      </c>
      <c r="W246">
        <f>IF(K245&lt;=0,0,MIN(AP246,K$7+IF(K$2=$AA246,$AC246,IF(K$2=$AF246,$AG246,0))))</f>
        <v/>
      </c>
      <c r="X246">
        <f>IF(L245&lt;=0,0,MIN(AQ246,L$7+IF(L$2=$AA246,$AC246,IF(L$2=$AF246,$AG246,0))))</f>
        <v/>
      </c>
      <c r="Y246">
        <f>IF(M245&lt;=0,0,MIN(AR246,M$7+IF(M$2=$AA246,$AC246,IF(M$2=$AF246,$AG246,0))))</f>
        <v/>
      </c>
      <c r="Z246">
        <f>IF(N245&lt;=0,0,MIN(AS246,N$7+IF(N$2=$AA246,$AC246,IF(N$2=$AF246,$AG246,0))))</f>
        <v/>
      </c>
      <c r="AA246">
        <f>IFERROR(ROUND(1/SUMPRODUCT(MAX((C245:N245&gt;0)*($C$3:$N$3&lt;=B246)/$C$2:$N$2)),0),0)</f>
        <v/>
      </c>
      <c r="AB246">
        <f>SUMPRODUCT((C245:N245&gt;0)*$C$7:$N$7)</f>
        <v/>
      </c>
      <c r="AC246">
        <f>MAX(0,Plan!$C$5-AB246)+IF(A246=Plan!$C$8,N(Plan!$C$7),0)</f>
        <v/>
      </c>
      <c r="AD246">
        <f>SUM(C246:N246)</f>
        <v/>
      </c>
      <c r="AE246">
        <f>SUM(O246:Z246)</f>
        <v/>
      </c>
      <c r="AF246">
        <f>IFERROR(ROUND(1/SUMPRODUCT(MAX((C245:N245&gt;0)*($C$3:$N$3&lt;=B246)*($C$2:$N$2&gt;AA246)/$C$2:$N$2)),0),0)</f>
        <v/>
      </c>
      <c r="AG246">
        <f>MAX(0,AC246-MAX(0,SUMPRODUCT(($C$2:$N$2=AA246)*(AH246:AS246-$C$7:$N$7))))</f>
        <v/>
      </c>
      <c r="AH246">
        <f>IF(C245&lt;=0,0,ROUND(C245*(1+IF(AND(C$6&gt;0,$B246&lt;C$6),C$4,C$5)/12),2))</f>
        <v/>
      </c>
      <c r="AI246">
        <f>IF(D245&lt;=0,0,ROUND(D245*(1+IF(AND(D$6&gt;0,$B246&lt;D$6),D$4,D$5)/12),2))</f>
        <v/>
      </c>
      <c r="AJ246">
        <f>IF(E245&lt;=0,0,ROUND(E245*(1+IF(AND(E$6&gt;0,$B246&lt;E$6),E$4,E$5)/12),2))</f>
        <v/>
      </c>
      <c r="AK246">
        <f>IF(F245&lt;=0,0,ROUND(F245*(1+IF(AND(F$6&gt;0,$B246&lt;F$6),F$4,F$5)/12),2))</f>
        <v/>
      </c>
      <c r="AL246">
        <f>IF(G245&lt;=0,0,ROUND(G245*(1+IF(AND(G$6&gt;0,$B246&lt;G$6),G$4,G$5)/12),2))</f>
        <v/>
      </c>
      <c r="AM246">
        <f>IF(H245&lt;=0,0,ROUND(H245*(1+IF(AND(H$6&gt;0,$B246&lt;H$6),H$4,H$5)/12),2))</f>
        <v/>
      </c>
      <c r="AN246">
        <f>IF(I245&lt;=0,0,ROUND(I245*(1+IF(AND(I$6&gt;0,$B246&lt;I$6),I$4,I$5)/12),2))</f>
        <v/>
      </c>
      <c r="AO246">
        <f>IF(J245&lt;=0,0,ROUND(J245*(1+IF(AND(J$6&gt;0,$B246&lt;J$6),J$4,J$5)/12),2))</f>
        <v/>
      </c>
      <c r="AP246">
        <f>IF(K245&lt;=0,0,ROUND(K245*(1+IF(AND(K$6&gt;0,$B246&lt;K$6),K$4,K$5)/12),2))</f>
        <v/>
      </c>
      <c r="AQ246">
        <f>IF(L245&lt;=0,0,ROUND(L245*(1+IF(AND(L$6&gt;0,$B246&lt;L$6),L$4,L$5)/12),2))</f>
        <v/>
      </c>
      <c r="AR246">
        <f>IF(M245&lt;=0,0,ROUND(M245*(1+IF(AND(M$6&gt;0,$B246&lt;M$6),M$4,M$5)/12),2))</f>
        <v/>
      </c>
      <c r="AS246">
        <f>IF(N245&lt;=0,0,ROUND(N245*(1+IF(AND(N$6&gt;0,$B246&lt;N$6),N$4,N$5)/12),2))</f>
        <v/>
      </c>
    </row>
    <row r="247">
      <c r="A247" t="n">
        <v>236</v>
      </c>
      <c r="B247">
        <f>EDATE(Plan!$C$6,235)</f>
        <v/>
      </c>
      <c r="C247">
        <f>IF(C246&lt;=0,0,MAX(0,AH247-O247))</f>
        <v/>
      </c>
      <c r="D247">
        <f>IF(D246&lt;=0,0,MAX(0,AI247-P247))</f>
        <v/>
      </c>
      <c r="E247">
        <f>IF(E246&lt;=0,0,MAX(0,AJ247-Q247))</f>
        <v/>
      </c>
      <c r="F247">
        <f>IF(F246&lt;=0,0,MAX(0,AK247-R247))</f>
        <v/>
      </c>
      <c r="G247">
        <f>IF(G246&lt;=0,0,MAX(0,AL247-S247))</f>
        <v/>
      </c>
      <c r="H247">
        <f>IF(H246&lt;=0,0,MAX(0,AM247-T247))</f>
        <v/>
      </c>
      <c r="I247">
        <f>IF(I246&lt;=0,0,MAX(0,AN247-U247))</f>
        <v/>
      </c>
      <c r="J247">
        <f>IF(J246&lt;=0,0,MAX(0,AO247-V247))</f>
        <v/>
      </c>
      <c r="K247">
        <f>IF(K246&lt;=0,0,MAX(0,AP247-W247))</f>
        <v/>
      </c>
      <c r="L247">
        <f>IF(L246&lt;=0,0,MAX(0,AQ247-X247))</f>
        <v/>
      </c>
      <c r="M247">
        <f>IF(M246&lt;=0,0,MAX(0,AR247-Y247))</f>
        <v/>
      </c>
      <c r="N247">
        <f>IF(N246&lt;=0,0,MAX(0,AS247-Z247))</f>
        <v/>
      </c>
      <c r="O247">
        <f>IF(C246&lt;=0,0,MIN(AH247,C$7+IF(C$2=$AA247,$AC247,IF(C$2=$AF247,$AG247,0))))</f>
        <v/>
      </c>
      <c r="P247">
        <f>IF(D246&lt;=0,0,MIN(AI247,D$7+IF(D$2=$AA247,$AC247,IF(D$2=$AF247,$AG247,0))))</f>
        <v/>
      </c>
      <c r="Q247">
        <f>IF(E246&lt;=0,0,MIN(AJ247,E$7+IF(E$2=$AA247,$AC247,IF(E$2=$AF247,$AG247,0))))</f>
        <v/>
      </c>
      <c r="R247">
        <f>IF(F246&lt;=0,0,MIN(AK247,F$7+IF(F$2=$AA247,$AC247,IF(F$2=$AF247,$AG247,0))))</f>
        <v/>
      </c>
      <c r="S247">
        <f>IF(G246&lt;=0,0,MIN(AL247,G$7+IF(G$2=$AA247,$AC247,IF(G$2=$AF247,$AG247,0))))</f>
        <v/>
      </c>
      <c r="T247">
        <f>IF(H246&lt;=0,0,MIN(AM247,H$7+IF(H$2=$AA247,$AC247,IF(H$2=$AF247,$AG247,0))))</f>
        <v/>
      </c>
      <c r="U247">
        <f>IF(I246&lt;=0,0,MIN(AN247,I$7+IF(I$2=$AA247,$AC247,IF(I$2=$AF247,$AG247,0))))</f>
        <v/>
      </c>
      <c r="V247">
        <f>IF(J246&lt;=0,0,MIN(AO247,J$7+IF(J$2=$AA247,$AC247,IF(J$2=$AF247,$AG247,0))))</f>
        <v/>
      </c>
      <c r="W247">
        <f>IF(K246&lt;=0,0,MIN(AP247,K$7+IF(K$2=$AA247,$AC247,IF(K$2=$AF247,$AG247,0))))</f>
        <v/>
      </c>
      <c r="X247">
        <f>IF(L246&lt;=0,0,MIN(AQ247,L$7+IF(L$2=$AA247,$AC247,IF(L$2=$AF247,$AG247,0))))</f>
        <v/>
      </c>
      <c r="Y247">
        <f>IF(M246&lt;=0,0,MIN(AR247,M$7+IF(M$2=$AA247,$AC247,IF(M$2=$AF247,$AG247,0))))</f>
        <v/>
      </c>
      <c r="Z247">
        <f>IF(N246&lt;=0,0,MIN(AS247,N$7+IF(N$2=$AA247,$AC247,IF(N$2=$AF247,$AG247,0))))</f>
        <v/>
      </c>
      <c r="AA247">
        <f>IFERROR(ROUND(1/SUMPRODUCT(MAX((C246:N246&gt;0)*($C$3:$N$3&lt;=B247)/$C$2:$N$2)),0),0)</f>
        <v/>
      </c>
      <c r="AB247">
        <f>SUMPRODUCT((C246:N246&gt;0)*$C$7:$N$7)</f>
        <v/>
      </c>
      <c r="AC247">
        <f>MAX(0,Plan!$C$5-AB247)+IF(A247=Plan!$C$8,N(Plan!$C$7),0)</f>
        <v/>
      </c>
      <c r="AD247">
        <f>SUM(C247:N247)</f>
        <v/>
      </c>
      <c r="AE247">
        <f>SUM(O247:Z247)</f>
        <v/>
      </c>
      <c r="AF247">
        <f>IFERROR(ROUND(1/SUMPRODUCT(MAX((C246:N246&gt;0)*($C$3:$N$3&lt;=B247)*($C$2:$N$2&gt;AA247)/$C$2:$N$2)),0),0)</f>
        <v/>
      </c>
      <c r="AG247">
        <f>MAX(0,AC247-MAX(0,SUMPRODUCT(($C$2:$N$2=AA247)*(AH247:AS247-$C$7:$N$7))))</f>
        <v/>
      </c>
      <c r="AH247">
        <f>IF(C246&lt;=0,0,ROUND(C246*(1+IF(AND(C$6&gt;0,$B247&lt;C$6),C$4,C$5)/12),2))</f>
        <v/>
      </c>
      <c r="AI247">
        <f>IF(D246&lt;=0,0,ROUND(D246*(1+IF(AND(D$6&gt;0,$B247&lt;D$6),D$4,D$5)/12),2))</f>
        <v/>
      </c>
      <c r="AJ247">
        <f>IF(E246&lt;=0,0,ROUND(E246*(1+IF(AND(E$6&gt;0,$B247&lt;E$6),E$4,E$5)/12),2))</f>
        <v/>
      </c>
      <c r="AK247">
        <f>IF(F246&lt;=0,0,ROUND(F246*(1+IF(AND(F$6&gt;0,$B247&lt;F$6),F$4,F$5)/12),2))</f>
        <v/>
      </c>
      <c r="AL247">
        <f>IF(G246&lt;=0,0,ROUND(G246*(1+IF(AND(G$6&gt;0,$B247&lt;G$6),G$4,G$5)/12),2))</f>
        <v/>
      </c>
      <c r="AM247">
        <f>IF(H246&lt;=0,0,ROUND(H246*(1+IF(AND(H$6&gt;0,$B247&lt;H$6),H$4,H$5)/12),2))</f>
        <v/>
      </c>
      <c r="AN247">
        <f>IF(I246&lt;=0,0,ROUND(I246*(1+IF(AND(I$6&gt;0,$B247&lt;I$6),I$4,I$5)/12),2))</f>
        <v/>
      </c>
      <c r="AO247">
        <f>IF(J246&lt;=0,0,ROUND(J246*(1+IF(AND(J$6&gt;0,$B247&lt;J$6),J$4,J$5)/12),2))</f>
        <v/>
      </c>
      <c r="AP247">
        <f>IF(K246&lt;=0,0,ROUND(K246*(1+IF(AND(K$6&gt;0,$B247&lt;K$6),K$4,K$5)/12),2))</f>
        <v/>
      </c>
      <c r="AQ247">
        <f>IF(L246&lt;=0,0,ROUND(L246*(1+IF(AND(L$6&gt;0,$B247&lt;L$6),L$4,L$5)/12),2))</f>
        <v/>
      </c>
      <c r="AR247">
        <f>IF(M246&lt;=0,0,ROUND(M246*(1+IF(AND(M$6&gt;0,$B247&lt;M$6),M$4,M$5)/12),2))</f>
        <v/>
      </c>
      <c r="AS247">
        <f>IF(N246&lt;=0,0,ROUND(N246*(1+IF(AND(N$6&gt;0,$B247&lt;N$6),N$4,N$5)/12),2))</f>
        <v/>
      </c>
    </row>
    <row r="248">
      <c r="A248" t="n">
        <v>237</v>
      </c>
      <c r="B248">
        <f>EDATE(Plan!$C$6,236)</f>
        <v/>
      </c>
      <c r="C248">
        <f>IF(C247&lt;=0,0,MAX(0,AH248-O248))</f>
        <v/>
      </c>
      <c r="D248">
        <f>IF(D247&lt;=0,0,MAX(0,AI248-P248))</f>
        <v/>
      </c>
      <c r="E248">
        <f>IF(E247&lt;=0,0,MAX(0,AJ248-Q248))</f>
        <v/>
      </c>
      <c r="F248">
        <f>IF(F247&lt;=0,0,MAX(0,AK248-R248))</f>
        <v/>
      </c>
      <c r="G248">
        <f>IF(G247&lt;=0,0,MAX(0,AL248-S248))</f>
        <v/>
      </c>
      <c r="H248">
        <f>IF(H247&lt;=0,0,MAX(0,AM248-T248))</f>
        <v/>
      </c>
      <c r="I248">
        <f>IF(I247&lt;=0,0,MAX(0,AN248-U248))</f>
        <v/>
      </c>
      <c r="J248">
        <f>IF(J247&lt;=0,0,MAX(0,AO248-V248))</f>
        <v/>
      </c>
      <c r="K248">
        <f>IF(K247&lt;=0,0,MAX(0,AP248-W248))</f>
        <v/>
      </c>
      <c r="L248">
        <f>IF(L247&lt;=0,0,MAX(0,AQ248-X248))</f>
        <v/>
      </c>
      <c r="M248">
        <f>IF(M247&lt;=0,0,MAX(0,AR248-Y248))</f>
        <v/>
      </c>
      <c r="N248">
        <f>IF(N247&lt;=0,0,MAX(0,AS248-Z248))</f>
        <v/>
      </c>
      <c r="O248">
        <f>IF(C247&lt;=0,0,MIN(AH248,C$7+IF(C$2=$AA248,$AC248,IF(C$2=$AF248,$AG248,0))))</f>
        <v/>
      </c>
      <c r="P248">
        <f>IF(D247&lt;=0,0,MIN(AI248,D$7+IF(D$2=$AA248,$AC248,IF(D$2=$AF248,$AG248,0))))</f>
        <v/>
      </c>
      <c r="Q248">
        <f>IF(E247&lt;=0,0,MIN(AJ248,E$7+IF(E$2=$AA248,$AC248,IF(E$2=$AF248,$AG248,0))))</f>
        <v/>
      </c>
      <c r="R248">
        <f>IF(F247&lt;=0,0,MIN(AK248,F$7+IF(F$2=$AA248,$AC248,IF(F$2=$AF248,$AG248,0))))</f>
        <v/>
      </c>
      <c r="S248">
        <f>IF(G247&lt;=0,0,MIN(AL248,G$7+IF(G$2=$AA248,$AC248,IF(G$2=$AF248,$AG248,0))))</f>
        <v/>
      </c>
      <c r="T248">
        <f>IF(H247&lt;=0,0,MIN(AM248,H$7+IF(H$2=$AA248,$AC248,IF(H$2=$AF248,$AG248,0))))</f>
        <v/>
      </c>
      <c r="U248">
        <f>IF(I247&lt;=0,0,MIN(AN248,I$7+IF(I$2=$AA248,$AC248,IF(I$2=$AF248,$AG248,0))))</f>
        <v/>
      </c>
      <c r="V248">
        <f>IF(J247&lt;=0,0,MIN(AO248,J$7+IF(J$2=$AA248,$AC248,IF(J$2=$AF248,$AG248,0))))</f>
        <v/>
      </c>
      <c r="W248">
        <f>IF(K247&lt;=0,0,MIN(AP248,K$7+IF(K$2=$AA248,$AC248,IF(K$2=$AF248,$AG248,0))))</f>
        <v/>
      </c>
      <c r="X248">
        <f>IF(L247&lt;=0,0,MIN(AQ248,L$7+IF(L$2=$AA248,$AC248,IF(L$2=$AF248,$AG248,0))))</f>
        <v/>
      </c>
      <c r="Y248">
        <f>IF(M247&lt;=0,0,MIN(AR248,M$7+IF(M$2=$AA248,$AC248,IF(M$2=$AF248,$AG248,0))))</f>
        <v/>
      </c>
      <c r="Z248">
        <f>IF(N247&lt;=0,0,MIN(AS248,N$7+IF(N$2=$AA248,$AC248,IF(N$2=$AF248,$AG248,0))))</f>
        <v/>
      </c>
      <c r="AA248">
        <f>IFERROR(ROUND(1/SUMPRODUCT(MAX((C247:N247&gt;0)*($C$3:$N$3&lt;=B248)/$C$2:$N$2)),0),0)</f>
        <v/>
      </c>
      <c r="AB248">
        <f>SUMPRODUCT((C247:N247&gt;0)*$C$7:$N$7)</f>
        <v/>
      </c>
      <c r="AC248">
        <f>MAX(0,Plan!$C$5-AB248)+IF(A248=Plan!$C$8,N(Plan!$C$7),0)</f>
        <v/>
      </c>
      <c r="AD248">
        <f>SUM(C248:N248)</f>
        <v/>
      </c>
      <c r="AE248">
        <f>SUM(O248:Z248)</f>
        <v/>
      </c>
      <c r="AF248">
        <f>IFERROR(ROUND(1/SUMPRODUCT(MAX((C247:N247&gt;0)*($C$3:$N$3&lt;=B248)*($C$2:$N$2&gt;AA248)/$C$2:$N$2)),0),0)</f>
        <v/>
      </c>
      <c r="AG248">
        <f>MAX(0,AC248-MAX(0,SUMPRODUCT(($C$2:$N$2=AA248)*(AH248:AS248-$C$7:$N$7))))</f>
        <v/>
      </c>
      <c r="AH248">
        <f>IF(C247&lt;=0,0,ROUND(C247*(1+IF(AND(C$6&gt;0,$B248&lt;C$6),C$4,C$5)/12),2))</f>
        <v/>
      </c>
      <c r="AI248">
        <f>IF(D247&lt;=0,0,ROUND(D247*(1+IF(AND(D$6&gt;0,$B248&lt;D$6),D$4,D$5)/12),2))</f>
        <v/>
      </c>
      <c r="AJ248">
        <f>IF(E247&lt;=0,0,ROUND(E247*(1+IF(AND(E$6&gt;0,$B248&lt;E$6),E$4,E$5)/12),2))</f>
        <v/>
      </c>
      <c r="AK248">
        <f>IF(F247&lt;=0,0,ROUND(F247*(1+IF(AND(F$6&gt;0,$B248&lt;F$6),F$4,F$5)/12),2))</f>
        <v/>
      </c>
      <c r="AL248">
        <f>IF(G247&lt;=0,0,ROUND(G247*(1+IF(AND(G$6&gt;0,$B248&lt;G$6),G$4,G$5)/12),2))</f>
        <v/>
      </c>
      <c r="AM248">
        <f>IF(H247&lt;=0,0,ROUND(H247*(1+IF(AND(H$6&gt;0,$B248&lt;H$6),H$4,H$5)/12),2))</f>
        <v/>
      </c>
      <c r="AN248">
        <f>IF(I247&lt;=0,0,ROUND(I247*(1+IF(AND(I$6&gt;0,$B248&lt;I$6),I$4,I$5)/12),2))</f>
        <v/>
      </c>
      <c r="AO248">
        <f>IF(J247&lt;=0,0,ROUND(J247*(1+IF(AND(J$6&gt;0,$B248&lt;J$6),J$4,J$5)/12),2))</f>
        <v/>
      </c>
      <c r="AP248">
        <f>IF(K247&lt;=0,0,ROUND(K247*(1+IF(AND(K$6&gt;0,$B248&lt;K$6),K$4,K$5)/12),2))</f>
        <v/>
      </c>
      <c r="AQ248">
        <f>IF(L247&lt;=0,0,ROUND(L247*(1+IF(AND(L$6&gt;0,$B248&lt;L$6),L$4,L$5)/12),2))</f>
        <v/>
      </c>
      <c r="AR248">
        <f>IF(M247&lt;=0,0,ROUND(M247*(1+IF(AND(M$6&gt;0,$B248&lt;M$6),M$4,M$5)/12),2))</f>
        <v/>
      </c>
      <c r="AS248">
        <f>IF(N247&lt;=0,0,ROUND(N247*(1+IF(AND(N$6&gt;0,$B248&lt;N$6),N$4,N$5)/12),2))</f>
        <v/>
      </c>
    </row>
    <row r="249">
      <c r="A249" t="n">
        <v>238</v>
      </c>
      <c r="B249">
        <f>EDATE(Plan!$C$6,237)</f>
        <v/>
      </c>
      <c r="C249">
        <f>IF(C248&lt;=0,0,MAX(0,AH249-O249))</f>
        <v/>
      </c>
      <c r="D249">
        <f>IF(D248&lt;=0,0,MAX(0,AI249-P249))</f>
        <v/>
      </c>
      <c r="E249">
        <f>IF(E248&lt;=0,0,MAX(0,AJ249-Q249))</f>
        <v/>
      </c>
      <c r="F249">
        <f>IF(F248&lt;=0,0,MAX(0,AK249-R249))</f>
        <v/>
      </c>
      <c r="G249">
        <f>IF(G248&lt;=0,0,MAX(0,AL249-S249))</f>
        <v/>
      </c>
      <c r="H249">
        <f>IF(H248&lt;=0,0,MAX(0,AM249-T249))</f>
        <v/>
      </c>
      <c r="I249">
        <f>IF(I248&lt;=0,0,MAX(0,AN249-U249))</f>
        <v/>
      </c>
      <c r="J249">
        <f>IF(J248&lt;=0,0,MAX(0,AO249-V249))</f>
        <v/>
      </c>
      <c r="K249">
        <f>IF(K248&lt;=0,0,MAX(0,AP249-W249))</f>
        <v/>
      </c>
      <c r="L249">
        <f>IF(L248&lt;=0,0,MAX(0,AQ249-X249))</f>
        <v/>
      </c>
      <c r="M249">
        <f>IF(M248&lt;=0,0,MAX(0,AR249-Y249))</f>
        <v/>
      </c>
      <c r="N249">
        <f>IF(N248&lt;=0,0,MAX(0,AS249-Z249))</f>
        <v/>
      </c>
      <c r="O249">
        <f>IF(C248&lt;=0,0,MIN(AH249,C$7+IF(C$2=$AA249,$AC249,IF(C$2=$AF249,$AG249,0))))</f>
        <v/>
      </c>
      <c r="P249">
        <f>IF(D248&lt;=0,0,MIN(AI249,D$7+IF(D$2=$AA249,$AC249,IF(D$2=$AF249,$AG249,0))))</f>
        <v/>
      </c>
      <c r="Q249">
        <f>IF(E248&lt;=0,0,MIN(AJ249,E$7+IF(E$2=$AA249,$AC249,IF(E$2=$AF249,$AG249,0))))</f>
        <v/>
      </c>
      <c r="R249">
        <f>IF(F248&lt;=0,0,MIN(AK249,F$7+IF(F$2=$AA249,$AC249,IF(F$2=$AF249,$AG249,0))))</f>
        <v/>
      </c>
      <c r="S249">
        <f>IF(G248&lt;=0,0,MIN(AL249,G$7+IF(G$2=$AA249,$AC249,IF(G$2=$AF249,$AG249,0))))</f>
        <v/>
      </c>
      <c r="T249">
        <f>IF(H248&lt;=0,0,MIN(AM249,H$7+IF(H$2=$AA249,$AC249,IF(H$2=$AF249,$AG249,0))))</f>
        <v/>
      </c>
      <c r="U249">
        <f>IF(I248&lt;=0,0,MIN(AN249,I$7+IF(I$2=$AA249,$AC249,IF(I$2=$AF249,$AG249,0))))</f>
        <v/>
      </c>
      <c r="V249">
        <f>IF(J248&lt;=0,0,MIN(AO249,J$7+IF(J$2=$AA249,$AC249,IF(J$2=$AF249,$AG249,0))))</f>
        <v/>
      </c>
      <c r="W249">
        <f>IF(K248&lt;=0,0,MIN(AP249,K$7+IF(K$2=$AA249,$AC249,IF(K$2=$AF249,$AG249,0))))</f>
        <v/>
      </c>
      <c r="X249">
        <f>IF(L248&lt;=0,0,MIN(AQ249,L$7+IF(L$2=$AA249,$AC249,IF(L$2=$AF249,$AG249,0))))</f>
        <v/>
      </c>
      <c r="Y249">
        <f>IF(M248&lt;=0,0,MIN(AR249,M$7+IF(M$2=$AA249,$AC249,IF(M$2=$AF249,$AG249,0))))</f>
        <v/>
      </c>
      <c r="Z249">
        <f>IF(N248&lt;=0,0,MIN(AS249,N$7+IF(N$2=$AA249,$AC249,IF(N$2=$AF249,$AG249,0))))</f>
        <v/>
      </c>
      <c r="AA249">
        <f>IFERROR(ROUND(1/SUMPRODUCT(MAX((C248:N248&gt;0)*($C$3:$N$3&lt;=B249)/$C$2:$N$2)),0),0)</f>
        <v/>
      </c>
      <c r="AB249">
        <f>SUMPRODUCT((C248:N248&gt;0)*$C$7:$N$7)</f>
        <v/>
      </c>
      <c r="AC249">
        <f>MAX(0,Plan!$C$5-AB249)+IF(A249=Plan!$C$8,N(Plan!$C$7),0)</f>
        <v/>
      </c>
      <c r="AD249">
        <f>SUM(C249:N249)</f>
        <v/>
      </c>
      <c r="AE249">
        <f>SUM(O249:Z249)</f>
        <v/>
      </c>
      <c r="AF249">
        <f>IFERROR(ROUND(1/SUMPRODUCT(MAX((C248:N248&gt;0)*($C$3:$N$3&lt;=B249)*($C$2:$N$2&gt;AA249)/$C$2:$N$2)),0),0)</f>
        <v/>
      </c>
      <c r="AG249">
        <f>MAX(0,AC249-MAX(0,SUMPRODUCT(($C$2:$N$2=AA249)*(AH249:AS249-$C$7:$N$7))))</f>
        <v/>
      </c>
      <c r="AH249">
        <f>IF(C248&lt;=0,0,ROUND(C248*(1+IF(AND(C$6&gt;0,$B249&lt;C$6),C$4,C$5)/12),2))</f>
        <v/>
      </c>
      <c r="AI249">
        <f>IF(D248&lt;=0,0,ROUND(D248*(1+IF(AND(D$6&gt;0,$B249&lt;D$6),D$4,D$5)/12),2))</f>
        <v/>
      </c>
      <c r="AJ249">
        <f>IF(E248&lt;=0,0,ROUND(E248*(1+IF(AND(E$6&gt;0,$B249&lt;E$6),E$4,E$5)/12),2))</f>
        <v/>
      </c>
      <c r="AK249">
        <f>IF(F248&lt;=0,0,ROUND(F248*(1+IF(AND(F$6&gt;0,$B249&lt;F$6),F$4,F$5)/12),2))</f>
        <v/>
      </c>
      <c r="AL249">
        <f>IF(G248&lt;=0,0,ROUND(G248*(1+IF(AND(G$6&gt;0,$B249&lt;G$6),G$4,G$5)/12),2))</f>
        <v/>
      </c>
      <c r="AM249">
        <f>IF(H248&lt;=0,0,ROUND(H248*(1+IF(AND(H$6&gt;0,$B249&lt;H$6),H$4,H$5)/12),2))</f>
        <v/>
      </c>
      <c r="AN249">
        <f>IF(I248&lt;=0,0,ROUND(I248*(1+IF(AND(I$6&gt;0,$B249&lt;I$6),I$4,I$5)/12),2))</f>
        <v/>
      </c>
      <c r="AO249">
        <f>IF(J248&lt;=0,0,ROUND(J248*(1+IF(AND(J$6&gt;0,$B249&lt;J$6),J$4,J$5)/12),2))</f>
        <v/>
      </c>
      <c r="AP249">
        <f>IF(K248&lt;=0,0,ROUND(K248*(1+IF(AND(K$6&gt;0,$B249&lt;K$6),K$4,K$5)/12),2))</f>
        <v/>
      </c>
      <c r="AQ249">
        <f>IF(L248&lt;=0,0,ROUND(L248*(1+IF(AND(L$6&gt;0,$B249&lt;L$6),L$4,L$5)/12),2))</f>
        <v/>
      </c>
      <c r="AR249">
        <f>IF(M248&lt;=0,0,ROUND(M248*(1+IF(AND(M$6&gt;0,$B249&lt;M$6),M$4,M$5)/12),2))</f>
        <v/>
      </c>
      <c r="AS249">
        <f>IF(N248&lt;=0,0,ROUND(N248*(1+IF(AND(N$6&gt;0,$B249&lt;N$6),N$4,N$5)/12),2))</f>
        <v/>
      </c>
    </row>
    <row r="250">
      <c r="A250" t="n">
        <v>239</v>
      </c>
      <c r="B250">
        <f>EDATE(Plan!$C$6,238)</f>
        <v/>
      </c>
      <c r="C250">
        <f>IF(C249&lt;=0,0,MAX(0,AH250-O250))</f>
        <v/>
      </c>
      <c r="D250">
        <f>IF(D249&lt;=0,0,MAX(0,AI250-P250))</f>
        <v/>
      </c>
      <c r="E250">
        <f>IF(E249&lt;=0,0,MAX(0,AJ250-Q250))</f>
        <v/>
      </c>
      <c r="F250">
        <f>IF(F249&lt;=0,0,MAX(0,AK250-R250))</f>
        <v/>
      </c>
      <c r="G250">
        <f>IF(G249&lt;=0,0,MAX(0,AL250-S250))</f>
        <v/>
      </c>
      <c r="H250">
        <f>IF(H249&lt;=0,0,MAX(0,AM250-T250))</f>
        <v/>
      </c>
      <c r="I250">
        <f>IF(I249&lt;=0,0,MAX(0,AN250-U250))</f>
        <v/>
      </c>
      <c r="J250">
        <f>IF(J249&lt;=0,0,MAX(0,AO250-V250))</f>
        <v/>
      </c>
      <c r="K250">
        <f>IF(K249&lt;=0,0,MAX(0,AP250-W250))</f>
        <v/>
      </c>
      <c r="L250">
        <f>IF(L249&lt;=0,0,MAX(0,AQ250-X250))</f>
        <v/>
      </c>
      <c r="M250">
        <f>IF(M249&lt;=0,0,MAX(0,AR250-Y250))</f>
        <v/>
      </c>
      <c r="N250">
        <f>IF(N249&lt;=0,0,MAX(0,AS250-Z250))</f>
        <v/>
      </c>
      <c r="O250">
        <f>IF(C249&lt;=0,0,MIN(AH250,C$7+IF(C$2=$AA250,$AC250,IF(C$2=$AF250,$AG250,0))))</f>
        <v/>
      </c>
      <c r="P250">
        <f>IF(D249&lt;=0,0,MIN(AI250,D$7+IF(D$2=$AA250,$AC250,IF(D$2=$AF250,$AG250,0))))</f>
        <v/>
      </c>
      <c r="Q250">
        <f>IF(E249&lt;=0,0,MIN(AJ250,E$7+IF(E$2=$AA250,$AC250,IF(E$2=$AF250,$AG250,0))))</f>
        <v/>
      </c>
      <c r="R250">
        <f>IF(F249&lt;=0,0,MIN(AK250,F$7+IF(F$2=$AA250,$AC250,IF(F$2=$AF250,$AG250,0))))</f>
        <v/>
      </c>
      <c r="S250">
        <f>IF(G249&lt;=0,0,MIN(AL250,G$7+IF(G$2=$AA250,$AC250,IF(G$2=$AF250,$AG250,0))))</f>
        <v/>
      </c>
      <c r="T250">
        <f>IF(H249&lt;=0,0,MIN(AM250,H$7+IF(H$2=$AA250,$AC250,IF(H$2=$AF250,$AG250,0))))</f>
        <v/>
      </c>
      <c r="U250">
        <f>IF(I249&lt;=0,0,MIN(AN250,I$7+IF(I$2=$AA250,$AC250,IF(I$2=$AF250,$AG250,0))))</f>
        <v/>
      </c>
      <c r="V250">
        <f>IF(J249&lt;=0,0,MIN(AO250,J$7+IF(J$2=$AA250,$AC250,IF(J$2=$AF250,$AG250,0))))</f>
        <v/>
      </c>
      <c r="W250">
        <f>IF(K249&lt;=0,0,MIN(AP250,K$7+IF(K$2=$AA250,$AC250,IF(K$2=$AF250,$AG250,0))))</f>
        <v/>
      </c>
      <c r="X250">
        <f>IF(L249&lt;=0,0,MIN(AQ250,L$7+IF(L$2=$AA250,$AC250,IF(L$2=$AF250,$AG250,0))))</f>
        <v/>
      </c>
      <c r="Y250">
        <f>IF(M249&lt;=0,0,MIN(AR250,M$7+IF(M$2=$AA250,$AC250,IF(M$2=$AF250,$AG250,0))))</f>
        <v/>
      </c>
      <c r="Z250">
        <f>IF(N249&lt;=0,0,MIN(AS250,N$7+IF(N$2=$AA250,$AC250,IF(N$2=$AF250,$AG250,0))))</f>
        <v/>
      </c>
      <c r="AA250">
        <f>IFERROR(ROUND(1/SUMPRODUCT(MAX((C249:N249&gt;0)*($C$3:$N$3&lt;=B250)/$C$2:$N$2)),0),0)</f>
        <v/>
      </c>
      <c r="AB250">
        <f>SUMPRODUCT((C249:N249&gt;0)*$C$7:$N$7)</f>
        <v/>
      </c>
      <c r="AC250">
        <f>MAX(0,Plan!$C$5-AB250)+IF(A250=Plan!$C$8,N(Plan!$C$7),0)</f>
        <v/>
      </c>
      <c r="AD250">
        <f>SUM(C250:N250)</f>
        <v/>
      </c>
      <c r="AE250">
        <f>SUM(O250:Z250)</f>
        <v/>
      </c>
      <c r="AF250">
        <f>IFERROR(ROUND(1/SUMPRODUCT(MAX((C249:N249&gt;0)*($C$3:$N$3&lt;=B250)*($C$2:$N$2&gt;AA250)/$C$2:$N$2)),0),0)</f>
        <v/>
      </c>
      <c r="AG250">
        <f>MAX(0,AC250-MAX(0,SUMPRODUCT(($C$2:$N$2=AA250)*(AH250:AS250-$C$7:$N$7))))</f>
        <v/>
      </c>
      <c r="AH250">
        <f>IF(C249&lt;=0,0,ROUND(C249*(1+IF(AND(C$6&gt;0,$B250&lt;C$6),C$4,C$5)/12),2))</f>
        <v/>
      </c>
      <c r="AI250">
        <f>IF(D249&lt;=0,0,ROUND(D249*(1+IF(AND(D$6&gt;0,$B250&lt;D$6),D$4,D$5)/12),2))</f>
        <v/>
      </c>
      <c r="AJ250">
        <f>IF(E249&lt;=0,0,ROUND(E249*(1+IF(AND(E$6&gt;0,$B250&lt;E$6),E$4,E$5)/12),2))</f>
        <v/>
      </c>
      <c r="AK250">
        <f>IF(F249&lt;=0,0,ROUND(F249*(1+IF(AND(F$6&gt;0,$B250&lt;F$6),F$4,F$5)/12),2))</f>
        <v/>
      </c>
      <c r="AL250">
        <f>IF(G249&lt;=0,0,ROUND(G249*(1+IF(AND(G$6&gt;0,$B250&lt;G$6),G$4,G$5)/12),2))</f>
        <v/>
      </c>
      <c r="AM250">
        <f>IF(H249&lt;=0,0,ROUND(H249*(1+IF(AND(H$6&gt;0,$B250&lt;H$6),H$4,H$5)/12),2))</f>
        <v/>
      </c>
      <c r="AN250">
        <f>IF(I249&lt;=0,0,ROUND(I249*(1+IF(AND(I$6&gt;0,$B250&lt;I$6),I$4,I$5)/12),2))</f>
        <v/>
      </c>
      <c r="AO250">
        <f>IF(J249&lt;=0,0,ROUND(J249*(1+IF(AND(J$6&gt;0,$B250&lt;J$6),J$4,J$5)/12),2))</f>
        <v/>
      </c>
      <c r="AP250">
        <f>IF(K249&lt;=0,0,ROUND(K249*(1+IF(AND(K$6&gt;0,$B250&lt;K$6),K$4,K$5)/12),2))</f>
        <v/>
      </c>
      <c r="AQ250">
        <f>IF(L249&lt;=0,0,ROUND(L249*(1+IF(AND(L$6&gt;0,$B250&lt;L$6),L$4,L$5)/12),2))</f>
        <v/>
      </c>
      <c r="AR250">
        <f>IF(M249&lt;=0,0,ROUND(M249*(1+IF(AND(M$6&gt;0,$B250&lt;M$6),M$4,M$5)/12),2))</f>
        <v/>
      </c>
      <c r="AS250">
        <f>IF(N249&lt;=0,0,ROUND(N249*(1+IF(AND(N$6&gt;0,$B250&lt;N$6),N$4,N$5)/12),2))</f>
        <v/>
      </c>
    </row>
    <row r="251">
      <c r="A251" t="n">
        <v>240</v>
      </c>
      <c r="B251">
        <f>EDATE(Plan!$C$6,239)</f>
        <v/>
      </c>
      <c r="C251">
        <f>IF(C250&lt;=0,0,MAX(0,AH251-O251))</f>
        <v/>
      </c>
      <c r="D251">
        <f>IF(D250&lt;=0,0,MAX(0,AI251-P251))</f>
        <v/>
      </c>
      <c r="E251">
        <f>IF(E250&lt;=0,0,MAX(0,AJ251-Q251))</f>
        <v/>
      </c>
      <c r="F251">
        <f>IF(F250&lt;=0,0,MAX(0,AK251-R251))</f>
        <v/>
      </c>
      <c r="G251">
        <f>IF(G250&lt;=0,0,MAX(0,AL251-S251))</f>
        <v/>
      </c>
      <c r="H251">
        <f>IF(H250&lt;=0,0,MAX(0,AM251-T251))</f>
        <v/>
      </c>
      <c r="I251">
        <f>IF(I250&lt;=0,0,MAX(0,AN251-U251))</f>
        <v/>
      </c>
      <c r="J251">
        <f>IF(J250&lt;=0,0,MAX(0,AO251-V251))</f>
        <v/>
      </c>
      <c r="K251">
        <f>IF(K250&lt;=0,0,MAX(0,AP251-W251))</f>
        <v/>
      </c>
      <c r="L251">
        <f>IF(L250&lt;=0,0,MAX(0,AQ251-X251))</f>
        <v/>
      </c>
      <c r="M251">
        <f>IF(M250&lt;=0,0,MAX(0,AR251-Y251))</f>
        <v/>
      </c>
      <c r="N251">
        <f>IF(N250&lt;=0,0,MAX(0,AS251-Z251))</f>
        <v/>
      </c>
      <c r="O251">
        <f>IF(C250&lt;=0,0,MIN(AH251,C$7+IF(C$2=$AA251,$AC251,IF(C$2=$AF251,$AG251,0))))</f>
        <v/>
      </c>
      <c r="P251">
        <f>IF(D250&lt;=0,0,MIN(AI251,D$7+IF(D$2=$AA251,$AC251,IF(D$2=$AF251,$AG251,0))))</f>
        <v/>
      </c>
      <c r="Q251">
        <f>IF(E250&lt;=0,0,MIN(AJ251,E$7+IF(E$2=$AA251,$AC251,IF(E$2=$AF251,$AG251,0))))</f>
        <v/>
      </c>
      <c r="R251">
        <f>IF(F250&lt;=0,0,MIN(AK251,F$7+IF(F$2=$AA251,$AC251,IF(F$2=$AF251,$AG251,0))))</f>
        <v/>
      </c>
      <c r="S251">
        <f>IF(G250&lt;=0,0,MIN(AL251,G$7+IF(G$2=$AA251,$AC251,IF(G$2=$AF251,$AG251,0))))</f>
        <v/>
      </c>
      <c r="T251">
        <f>IF(H250&lt;=0,0,MIN(AM251,H$7+IF(H$2=$AA251,$AC251,IF(H$2=$AF251,$AG251,0))))</f>
        <v/>
      </c>
      <c r="U251">
        <f>IF(I250&lt;=0,0,MIN(AN251,I$7+IF(I$2=$AA251,$AC251,IF(I$2=$AF251,$AG251,0))))</f>
        <v/>
      </c>
      <c r="V251">
        <f>IF(J250&lt;=0,0,MIN(AO251,J$7+IF(J$2=$AA251,$AC251,IF(J$2=$AF251,$AG251,0))))</f>
        <v/>
      </c>
      <c r="W251">
        <f>IF(K250&lt;=0,0,MIN(AP251,K$7+IF(K$2=$AA251,$AC251,IF(K$2=$AF251,$AG251,0))))</f>
        <v/>
      </c>
      <c r="X251">
        <f>IF(L250&lt;=0,0,MIN(AQ251,L$7+IF(L$2=$AA251,$AC251,IF(L$2=$AF251,$AG251,0))))</f>
        <v/>
      </c>
      <c r="Y251">
        <f>IF(M250&lt;=0,0,MIN(AR251,M$7+IF(M$2=$AA251,$AC251,IF(M$2=$AF251,$AG251,0))))</f>
        <v/>
      </c>
      <c r="Z251">
        <f>IF(N250&lt;=0,0,MIN(AS251,N$7+IF(N$2=$AA251,$AC251,IF(N$2=$AF251,$AG251,0))))</f>
        <v/>
      </c>
      <c r="AA251">
        <f>IFERROR(ROUND(1/SUMPRODUCT(MAX((C250:N250&gt;0)*($C$3:$N$3&lt;=B251)/$C$2:$N$2)),0),0)</f>
        <v/>
      </c>
      <c r="AB251">
        <f>SUMPRODUCT((C250:N250&gt;0)*$C$7:$N$7)</f>
        <v/>
      </c>
      <c r="AC251">
        <f>MAX(0,Plan!$C$5-AB251)+IF(A251=Plan!$C$8,N(Plan!$C$7),0)</f>
        <v/>
      </c>
      <c r="AD251">
        <f>SUM(C251:N251)</f>
        <v/>
      </c>
      <c r="AE251">
        <f>SUM(O251:Z251)</f>
        <v/>
      </c>
      <c r="AF251">
        <f>IFERROR(ROUND(1/SUMPRODUCT(MAX((C250:N250&gt;0)*($C$3:$N$3&lt;=B251)*($C$2:$N$2&gt;AA251)/$C$2:$N$2)),0),0)</f>
        <v/>
      </c>
      <c r="AG251">
        <f>MAX(0,AC251-MAX(0,SUMPRODUCT(($C$2:$N$2=AA251)*(AH251:AS251-$C$7:$N$7))))</f>
        <v/>
      </c>
      <c r="AH251">
        <f>IF(C250&lt;=0,0,ROUND(C250*(1+IF(AND(C$6&gt;0,$B251&lt;C$6),C$4,C$5)/12),2))</f>
        <v/>
      </c>
      <c r="AI251">
        <f>IF(D250&lt;=0,0,ROUND(D250*(1+IF(AND(D$6&gt;0,$B251&lt;D$6),D$4,D$5)/12),2))</f>
        <v/>
      </c>
      <c r="AJ251">
        <f>IF(E250&lt;=0,0,ROUND(E250*(1+IF(AND(E$6&gt;0,$B251&lt;E$6),E$4,E$5)/12),2))</f>
        <v/>
      </c>
      <c r="AK251">
        <f>IF(F250&lt;=0,0,ROUND(F250*(1+IF(AND(F$6&gt;0,$B251&lt;F$6),F$4,F$5)/12),2))</f>
        <v/>
      </c>
      <c r="AL251">
        <f>IF(G250&lt;=0,0,ROUND(G250*(1+IF(AND(G$6&gt;0,$B251&lt;G$6),G$4,G$5)/12),2))</f>
        <v/>
      </c>
      <c r="AM251">
        <f>IF(H250&lt;=0,0,ROUND(H250*(1+IF(AND(H$6&gt;0,$B251&lt;H$6),H$4,H$5)/12),2))</f>
        <v/>
      </c>
      <c r="AN251">
        <f>IF(I250&lt;=0,0,ROUND(I250*(1+IF(AND(I$6&gt;0,$B251&lt;I$6),I$4,I$5)/12),2))</f>
        <v/>
      </c>
      <c r="AO251">
        <f>IF(J250&lt;=0,0,ROUND(J250*(1+IF(AND(J$6&gt;0,$B251&lt;J$6),J$4,J$5)/12),2))</f>
        <v/>
      </c>
      <c r="AP251">
        <f>IF(K250&lt;=0,0,ROUND(K250*(1+IF(AND(K$6&gt;0,$B251&lt;K$6),K$4,K$5)/12),2))</f>
        <v/>
      </c>
      <c r="AQ251">
        <f>IF(L250&lt;=0,0,ROUND(L250*(1+IF(AND(L$6&gt;0,$B251&lt;L$6),L$4,L$5)/12),2))</f>
        <v/>
      </c>
      <c r="AR251">
        <f>IF(M250&lt;=0,0,ROUND(M250*(1+IF(AND(M$6&gt;0,$B251&lt;M$6),M$4,M$5)/12),2))</f>
        <v/>
      </c>
      <c r="AS251">
        <f>IF(N250&lt;=0,0,ROUND(N250*(1+IF(AND(N$6&gt;0,$B251&lt;N$6),N$4,N$5)/12),2))</f>
        <v/>
      </c>
    </row>
    <row r="252">
      <c r="A252" t="n">
        <v>241</v>
      </c>
      <c r="B252">
        <f>EDATE(Plan!$C$6,240)</f>
        <v/>
      </c>
      <c r="C252">
        <f>IF(C251&lt;=0,0,MAX(0,AH252-O252))</f>
        <v/>
      </c>
      <c r="D252">
        <f>IF(D251&lt;=0,0,MAX(0,AI252-P252))</f>
        <v/>
      </c>
      <c r="E252">
        <f>IF(E251&lt;=0,0,MAX(0,AJ252-Q252))</f>
        <v/>
      </c>
      <c r="F252">
        <f>IF(F251&lt;=0,0,MAX(0,AK252-R252))</f>
        <v/>
      </c>
      <c r="G252">
        <f>IF(G251&lt;=0,0,MAX(0,AL252-S252))</f>
        <v/>
      </c>
      <c r="H252">
        <f>IF(H251&lt;=0,0,MAX(0,AM252-T252))</f>
        <v/>
      </c>
      <c r="I252">
        <f>IF(I251&lt;=0,0,MAX(0,AN252-U252))</f>
        <v/>
      </c>
      <c r="J252">
        <f>IF(J251&lt;=0,0,MAX(0,AO252-V252))</f>
        <v/>
      </c>
      <c r="K252">
        <f>IF(K251&lt;=0,0,MAX(0,AP252-W252))</f>
        <v/>
      </c>
      <c r="L252">
        <f>IF(L251&lt;=0,0,MAX(0,AQ252-X252))</f>
        <v/>
      </c>
      <c r="M252">
        <f>IF(M251&lt;=0,0,MAX(0,AR252-Y252))</f>
        <v/>
      </c>
      <c r="N252">
        <f>IF(N251&lt;=0,0,MAX(0,AS252-Z252))</f>
        <v/>
      </c>
      <c r="O252">
        <f>IF(C251&lt;=0,0,MIN(AH252,C$7+IF(C$2=$AA252,$AC252,IF(C$2=$AF252,$AG252,0))))</f>
        <v/>
      </c>
      <c r="P252">
        <f>IF(D251&lt;=0,0,MIN(AI252,D$7+IF(D$2=$AA252,$AC252,IF(D$2=$AF252,$AG252,0))))</f>
        <v/>
      </c>
      <c r="Q252">
        <f>IF(E251&lt;=0,0,MIN(AJ252,E$7+IF(E$2=$AA252,$AC252,IF(E$2=$AF252,$AG252,0))))</f>
        <v/>
      </c>
      <c r="R252">
        <f>IF(F251&lt;=0,0,MIN(AK252,F$7+IF(F$2=$AA252,$AC252,IF(F$2=$AF252,$AG252,0))))</f>
        <v/>
      </c>
      <c r="S252">
        <f>IF(G251&lt;=0,0,MIN(AL252,G$7+IF(G$2=$AA252,$AC252,IF(G$2=$AF252,$AG252,0))))</f>
        <v/>
      </c>
      <c r="T252">
        <f>IF(H251&lt;=0,0,MIN(AM252,H$7+IF(H$2=$AA252,$AC252,IF(H$2=$AF252,$AG252,0))))</f>
        <v/>
      </c>
      <c r="U252">
        <f>IF(I251&lt;=0,0,MIN(AN252,I$7+IF(I$2=$AA252,$AC252,IF(I$2=$AF252,$AG252,0))))</f>
        <v/>
      </c>
      <c r="V252">
        <f>IF(J251&lt;=0,0,MIN(AO252,J$7+IF(J$2=$AA252,$AC252,IF(J$2=$AF252,$AG252,0))))</f>
        <v/>
      </c>
      <c r="W252">
        <f>IF(K251&lt;=0,0,MIN(AP252,K$7+IF(K$2=$AA252,$AC252,IF(K$2=$AF252,$AG252,0))))</f>
        <v/>
      </c>
      <c r="X252">
        <f>IF(L251&lt;=0,0,MIN(AQ252,L$7+IF(L$2=$AA252,$AC252,IF(L$2=$AF252,$AG252,0))))</f>
        <v/>
      </c>
      <c r="Y252">
        <f>IF(M251&lt;=0,0,MIN(AR252,M$7+IF(M$2=$AA252,$AC252,IF(M$2=$AF252,$AG252,0))))</f>
        <v/>
      </c>
      <c r="Z252">
        <f>IF(N251&lt;=0,0,MIN(AS252,N$7+IF(N$2=$AA252,$AC252,IF(N$2=$AF252,$AG252,0))))</f>
        <v/>
      </c>
      <c r="AA252">
        <f>IFERROR(ROUND(1/SUMPRODUCT(MAX((C251:N251&gt;0)*($C$3:$N$3&lt;=B252)/$C$2:$N$2)),0),0)</f>
        <v/>
      </c>
      <c r="AB252">
        <f>SUMPRODUCT((C251:N251&gt;0)*$C$7:$N$7)</f>
        <v/>
      </c>
      <c r="AC252">
        <f>MAX(0,Plan!$C$5-AB252)+IF(A252=Plan!$C$8,N(Plan!$C$7),0)</f>
        <v/>
      </c>
      <c r="AD252">
        <f>SUM(C252:N252)</f>
        <v/>
      </c>
      <c r="AE252">
        <f>SUM(O252:Z252)</f>
        <v/>
      </c>
      <c r="AF252">
        <f>IFERROR(ROUND(1/SUMPRODUCT(MAX((C251:N251&gt;0)*($C$3:$N$3&lt;=B252)*($C$2:$N$2&gt;AA252)/$C$2:$N$2)),0),0)</f>
        <v/>
      </c>
      <c r="AG252">
        <f>MAX(0,AC252-MAX(0,SUMPRODUCT(($C$2:$N$2=AA252)*(AH252:AS252-$C$7:$N$7))))</f>
        <v/>
      </c>
      <c r="AH252">
        <f>IF(C251&lt;=0,0,ROUND(C251*(1+IF(AND(C$6&gt;0,$B252&lt;C$6),C$4,C$5)/12),2))</f>
        <v/>
      </c>
      <c r="AI252">
        <f>IF(D251&lt;=0,0,ROUND(D251*(1+IF(AND(D$6&gt;0,$B252&lt;D$6),D$4,D$5)/12),2))</f>
        <v/>
      </c>
      <c r="AJ252">
        <f>IF(E251&lt;=0,0,ROUND(E251*(1+IF(AND(E$6&gt;0,$B252&lt;E$6),E$4,E$5)/12),2))</f>
        <v/>
      </c>
      <c r="AK252">
        <f>IF(F251&lt;=0,0,ROUND(F251*(1+IF(AND(F$6&gt;0,$B252&lt;F$6),F$4,F$5)/12),2))</f>
        <v/>
      </c>
      <c r="AL252">
        <f>IF(G251&lt;=0,0,ROUND(G251*(1+IF(AND(G$6&gt;0,$B252&lt;G$6),G$4,G$5)/12),2))</f>
        <v/>
      </c>
      <c r="AM252">
        <f>IF(H251&lt;=0,0,ROUND(H251*(1+IF(AND(H$6&gt;0,$B252&lt;H$6),H$4,H$5)/12),2))</f>
        <v/>
      </c>
      <c r="AN252">
        <f>IF(I251&lt;=0,0,ROUND(I251*(1+IF(AND(I$6&gt;0,$B252&lt;I$6),I$4,I$5)/12),2))</f>
        <v/>
      </c>
      <c r="AO252">
        <f>IF(J251&lt;=0,0,ROUND(J251*(1+IF(AND(J$6&gt;0,$B252&lt;J$6),J$4,J$5)/12),2))</f>
        <v/>
      </c>
      <c r="AP252">
        <f>IF(K251&lt;=0,0,ROUND(K251*(1+IF(AND(K$6&gt;0,$B252&lt;K$6),K$4,K$5)/12),2))</f>
        <v/>
      </c>
      <c r="AQ252">
        <f>IF(L251&lt;=0,0,ROUND(L251*(1+IF(AND(L$6&gt;0,$B252&lt;L$6),L$4,L$5)/12),2))</f>
        <v/>
      </c>
      <c r="AR252">
        <f>IF(M251&lt;=0,0,ROUND(M251*(1+IF(AND(M$6&gt;0,$B252&lt;M$6),M$4,M$5)/12),2))</f>
        <v/>
      </c>
      <c r="AS252">
        <f>IF(N251&lt;=0,0,ROUND(N251*(1+IF(AND(N$6&gt;0,$B252&lt;N$6),N$4,N$5)/12),2))</f>
        <v/>
      </c>
    </row>
    <row r="253">
      <c r="A253" t="n">
        <v>242</v>
      </c>
      <c r="B253">
        <f>EDATE(Plan!$C$6,241)</f>
        <v/>
      </c>
      <c r="C253">
        <f>IF(C252&lt;=0,0,MAX(0,AH253-O253))</f>
        <v/>
      </c>
      <c r="D253">
        <f>IF(D252&lt;=0,0,MAX(0,AI253-P253))</f>
        <v/>
      </c>
      <c r="E253">
        <f>IF(E252&lt;=0,0,MAX(0,AJ253-Q253))</f>
        <v/>
      </c>
      <c r="F253">
        <f>IF(F252&lt;=0,0,MAX(0,AK253-R253))</f>
        <v/>
      </c>
      <c r="G253">
        <f>IF(G252&lt;=0,0,MAX(0,AL253-S253))</f>
        <v/>
      </c>
      <c r="H253">
        <f>IF(H252&lt;=0,0,MAX(0,AM253-T253))</f>
        <v/>
      </c>
      <c r="I253">
        <f>IF(I252&lt;=0,0,MAX(0,AN253-U253))</f>
        <v/>
      </c>
      <c r="J253">
        <f>IF(J252&lt;=0,0,MAX(0,AO253-V253))</f>
        <v/>
      </c>
      <c r="K253">
        <f>IF(K252&lt;=0,0,MAX(0,AP253-W253))</f>
        <v/>
      </c>
      <c r="L253">
        <f>IF(L252&lt;=0,0,MAX(0,AQ253-X253))</f>
        <v/>
      </c>
      <c r="M253">
        <f>IF(M252&lt;=0,0,MAX(0,AR253-Y253))</f>
        <v/>
      </c>
      <c r="N253">
        <f>IF(N252&lt;=0,0,MAX(0,AS253-Z253))</f>
        <v/>
      </c>
      <c r="O253">
        <f>IF(C252&lt;=0,0,MIN(AH253,C$7+IF(C$2=$AA253,$AC253,IF(C$2=$AF253,$AG253,0))))</f>
        <v/>
      </c>
      <c r="P253">
        <f>IF(D252&lt;=0,0,MIN(AI253,D$7+IF(D$2=$AA253,$AC253,IF(D$2=$AF253,$AG253,0))))</f>
        <v/>
      </c>
      <c r="Q253">
        <f>IF(E252&lt;=0,0,MIN(AJ253,E$7+IF(E$2=$AA253,$AC253,IF(E$2=$AF253,$AG253,0))))</f>
        <v/>
      </c>
      <c r="R253">
        <f>IF(F252&lt;=0,0,MIN(AK253,F$7+IF(F$2=$AA253,$AC253,IF(F$2=$AF253,$AG253,0))))</f>
        <v/>
      </c>
      <c r="S253">
        <f>IF(G252&lt;=0,0,MIN(AL253,G$7+IF(G$2=$AA253,$AC253,IF(G$2=$AF253,$AG253,0))))</f>
        <v/>
      </c>
      <c r="T253">
        <f>IF(H252&lt;=0,0,MIN(AM253,H$7+IF(H$2=$AA253,$AC253,IF(H$2=$AF253,$AG253,0))))</f>
        <v/>
      </c>
      <c r="U253">
        <f>IF(I252&lt;=0,0,MIN(AN253,I$7+IF(I$2=$AA253,$AC253,IF(I$2=$AF253,$AG253,0))))</f>
        <v/>
      </c>
      <c r="V253">
        <f>IF(J252&lt;=0,0,MIN(AO253,J$7+IF(J$2=$AA253,$AC253,IF(J$2=$AF253,$AG253,0))))</f>
        <v/>
      </c>
      <c r="W253">
        <f>IF(K252&lt;=0,0,MIN(AP253,K$7+IF(K$2=$AA253,$AC253,IF(K$2=$AF253,$AG253,0))))</f>
        <v/>
      </c>
      <c r="X253">
        <f>IF(L252&lt;=0,0,MIN(AQ253,L$7+IF(L$2=$AA253,$AC253,IF(L$2=$AF253,$AG253,0))))</f>
        <v/>
      </c>
      <c r="Y253">
        <f>IF(M252&lt;=0,0,MIN(AR253,M$7+IF(M$2=$AA253,$AC253,IF(M$2=$AF253,$AG253,0))))</f>
        <v/>
      </c>
      <c r="Z253">
        <f>IF(N252&lt;=0,0,MIN(AS253,N$7+IF(N$2=$AA253,$AC253,IF(N$2=$AF253,$AG253,0))))</f>
        <v/>
      </c>
      <c r="AA253">
        <f>IFERROR(ROUND(1/SUMPRODUCT(MAX((C252:N252&gt;0)*($C$3:$N$3&lt;=B253)/$C$2:$N$2)),0),0)</f>
        <v/>
      </c>
      <c r="AB253">
        <f>SUMPRODUCT((C252:N252&gt;0)*$C$7:$N$7)</f>
        <v/>
      </c>
      <c r="AC253">
        <f>MAX(0,Plan!$C$5-AB253)+IF(A253=Plan!$C$8,N(Plan!$C$7),0)</f>
        <v/>
      </c>
      <c r="AD253">
        <f>SUM(C253:N253)</f>
        <v/>
      </c>
      <c r="AE253">
        <f>SUM(O253:Z253)</f>
        <v/>
      </c>
      <c r="AF253">
        <f>IFERROR(ROUND(1/SUMPRODUCT(MAX((C252:N252&gt;0)*($C$3:$N$3&lt;=B253)*($C$2:$N$2&gt;AA253)/$C$2:$N$2)),0),0)</f>
        <v/>
      </c>
      <c r="AG253">
        <f>MAX(0,AC253-MAX(0,SUMPRODUCT(($C$2:$N$2=AA253)*(AH253:AS253-$C$7:$N$7))))</f>
        <v/>
      </c>
      <c r="AH253">
        <f>IF(C252&lt;=0,0,ROUND(C252*(1+IF(AND(C$6&gt;0,$B253&lt;C$6),C$4,C$5)/12),2))</f>
        <v/>
      </c>
      <c r="AI253">
        <f>IF(D252&lt;=0,0,ROUND(D252*(1+IF(AND(D$6&gt;0,$B253&lt;D$6),D$4,D$5)/12),2))</f>
        <v/>
      </c>
      <c r="AJ253">
        <f>IF(E252&lt;=0,0,ROUND(E252*(1+IF(AND(E$6&gt;0,$B253&lt;E$6),E$4,E$5)/12),2))</f>
        <v/>
      </c>
      <c r="AK253">
        <f>IF(F252&lt;=0,0,ROUND(F252*(1+IF(AND(F$6&gt;0,$B253&lt;F$6),F$4,F$5)/12),2))</f>
        <v/>
      </c>
      <c r="AL253">
        <f>IF(G252&lt;=0,0,ROUND(G252*(1+IF(AND(G$6&gt;0,$B253&lt;G$6),G$4,G$5)/12),2))</f>
        <v/>
      </c>
      <c r="AM253">
        <f>IF(H252&lt;=0,0,ROUND(H252*(1+IF(AND(H$6&gt;0,$B253&lt;H$6),H$4,H$5)/12),2))</f>
        <v/>
      </c>
      <c r="AN253">
        <f>IF(I252&lt;=0,0,ROUND(I252*(1+IF(AND(I$6&gt;0,$B253&lt;I$6),I$4,I$5)/12),2))</f>
        <v/>
      </c>
      <c r="AO253">
        <f>IF(J252&lt;=0,0,ROUND(J252*(1+IF(AND(J$6&gt;0,$B253&lt;J$6),J$4,J$5)/12),2))</f>
        <v/>
      </c>
      <c r="AP253">
        <f>IF(K252&lt;=0,0,ROUND(K252*(1+IF(AND(K$6&gt;0,$B253&lt;K$6),K$4,K$5)/12),2))</f>
        <v/>
      </c>
      <c r="AQ253">
        <f>IF(L252&lt;=0,0,ROUND(L252*(1+IF(AND(L$6&gt;0,$B253&lt;L$6),L$4,L$5)/12),2))</f>
        <v/>
      </c>
      <c r="AR253">
        <f>IF(M252&lt;=0,0,ROUND(M252*(1+IF(AND(M$6&gt;0,$B253&lt;M$6),M$4,M$5)/12),2))</f>
        <v/>
      </c>
      <c r="AS253">
        <f>IF(N252&lt;=0,0,ROUND(N252*(1+IF(AND(N$6&gt;0,$B253&lt;N$6),N$4,N$5)/12),2))</f>
        <v/>
      </c>
    </row>
    <row r="254">
      <c r="A254" t="n">
        <v>243</v>
      </c>
      <c r="B254">
        <f>EDATE(Plan!$C$6,242)</f>
        <v/>
      </c>
      <c r="C254">
        <f>IF(C253&lt;=0,0,MAX(0,AH254-O254))</f>
        <v/>
      </c>
      <c r="D254">
        <f>IF(D253&lt;=0,0,MAX(0,AI254-P254))</f>
        <v/>
      </c>
      <c r="E254">
        <f>IF(E253&lt;=0,0,MAX(0,AJ254-Q254))</f>
        <v/>
      </c>
      <c r="F254">
        <f>IF(F253&lt;=0,0,MAX(0,AK254-R254))</f>
        <v/>
      </c>
      <c r="G254">
        <f>IF(G253&lt;=0,0,MAX(0,AL254-S254))</f>
        <v/>
      </c>
      <c r="H254">
        <f>IF(H253&lt;=0,0,MAX(0,AM254-T254))</f>
        <v/>
      </c>
      <c r="I254">
        <f>IF(I253&lt;=0,0,MAX(0,AN254-U254))</f>
        <v/>
      </c>
      <c r="J254">
        <f>IF(J253&lt;=0,0,MAX(0,AO254-V254))</f>
        <v/>
      </c>
      <c r="K254">
        <f>IF(K253&lt;=0,0,MAX(0,AP254-W254))</f>
        <v/>
      </c>
      <c r="L254">
        <f>IF(L253&lt;=0,0,MAX(0,AQ254-X254))</f>
        <v/>
      </c>
      <c r="M254">
        <f>IF(M253&lt;=0,0,MAX(0,AR254-Y254))</f>
        <v/>
      </c>
      <c r="N254">
        <f>IF(N253&lt;=0,0,MAX(0,AS254-Z254))</f>
        <v/>
      </c>
      <c r="O254">
        <f>IF(C253&lt;=0,0,MIN(AH254,C$7+IF(C$2=$AA254,$AC254,IF(C$2=$AF254,$AG254,0))))</f>
        <v/>
      </c>
      <c r="P254">
        <f>IF(D253&lt;=0,0,MIN(AI254,D$7+IF(D$2=$AA254,$AC254,IF(D$2=$AF254,$AG254,0))))</f>
        <v/>
      </c>
      <c r="Q254">
        <f>IF(E253&lt;=0,0,MIN(AJ254,E$7+IF(E$2=$AA254,$AC254,IF(E$2=$AF254,$AG254,0))))</f>
        <v/>
      </c>
      <c r="R254">
        <f>IF(F253&lt;=0,0,MIN(AK254,F$7+IF(F$2=$AA254,$AC254,IF(F$2=$AF254,$AG254,0))))</f>
        <v/>
      </c>
      <c r="S254">
        <f>IF(G253&lt;=0,0,MIN(AL254,G$7+IF(G$2=$AA254,$AC254,IF(G$2=$AF254,$AG254,0))))</f>
        <v/>
      </c>
      <c r="T254">
        <f>IF(H253&lt;=0,0,MIN(AM254,H$7+IF(H$2=$AA254,$AC254,IF(H$2=$AF254,$AG254,0))))</f>
        <v/>
      </c>
      <c r="U254">
        <f>IF(I253&lt;=0,0,MIN(AN254,I$7+IF(I$2=$AA254,$AC254,IF(I$2=$AF254,$AG254,0))))</f>
        <v/>
      </c>
      <c r="V254">
        <f>IF(J253&lt;=0,0,MIN(AO254,J$7+IF(J$2=$AA254,$AC254,IF(J$2=$AF254,$AG254,0))))</f>
        <v/>
      </c>
      <c r="W254">
        <f>IF(K253&lt;=0,0,MIN(AP254,K$7+IF(K$2=$AA254,$AC254,IF(K$2=$AF254,$AG254,0))))</f>
        <v/>
      </c>
      <c r="X254">
        <f>IF(L253&lt;=0,0,MIN(AQ254,L$7+IF(L$2=$AA254,$AC254,IF(L$2=$AF254,$AG254,0))))</f>
        <v/>
      </c>
      <c r="Y254">
        <f>IF(M253&lt;=0,0,MIN(AR254,M$7+IF(M$2=$AA254,$AC254,IF(M$2=$AF254,$AG254,0))))</f>
        <v/>
      </c>
      <c r="Z254">
        <f>IF(N253&lt;=0,0,MIN(AS254,N$7+IF(N$2=$AA254,$AC254,IF(N$2=$AF254,$AG254,0))))</f>
        <v/>
      </c>
      <c r="AA254">
        <f>IFERROR(ROUND(1/SUMPRODUCT(MAX((C253:N253&gt;0)*($C$3:$N$3&lt;=B254)/$C$2:$N$2)),0),0)</f>
        <v/>
      </c>
      <c r="AB254">
        <f>SUMPRODUCT((C253:N253&gt;0)*$C$7:$N$7)</f>
        <v/>
      </c>
      <c r="AC254">
        <f>MAX(0,Plan!$C$5-AB254)+IF(A254=Plan!$C$8,N(Plan!$C$7),0)</f>
        <v/>
      </c>
      <c r="AD254">
        <f>SUM(C254:N254)</f>
        <v/>
      </c>
      <c r="AE254">
        <f>SUM(O254:Z254)</f>
        <v/>
      </c>
      <c r="AF254">
        <f>IFERROR(ROUND(1/SUMPRODUCT(MAX((C253:N253&gt;0)*($C$3:$N$3&lt;=B254)*($C$2:$N$2&gt;AA254)/$C$2:$N$2)),0),0)</f>
        <v/>
      </c>
      <c r="AG254">
        <f>MAX(0,AC254-MAX(0,SUMPRODUCT(($C$2:$N$2=AA254)*(AH254:AS254-$C$7:$N$7))))</f>
        <v/>
      </c>
      <c r="AH254">
        <f>IF(C253&lt;=0,0,ROUND(C253*(1+IF(AND(C$6&gt;0,$B254&lt;C$6),C$4,C$5)/12),2))</f>
        <v/>
      </c>
      <c r="AI254">
        <f>IF(D253&lt;=0,0,ROUND(D253*(1+IF(AND(D$6&gt;0,$B254&lt;D$6),D$4,D$5)/12),2))</f>
        <v/>
      </c>
      <c r="AJ254">
        <f>IF(E253&lt;=0,0,ROUND(E253*(1+IF(AND(E$6&gt;0,$B254&lt;E$6),E$4,E$5)/12),2))</f>
        <v/>
      </c>
      <c r="AK254">
        <f>IF(F253&lt;=0,0,ROUND(F253*(1+IF(AND(F$6&gt;0,$B254&lt;F$6),F$4,F$5)/12),2))</f>
        <v/>
      </c>
      <c r="AL254">
        <f>IF(G253&lt;=0,0,ROUND(G253*(1+IF(AND(G$6&gt;0,$B254&lt;G$6),G$4,G$5)/12),2))</f>
        <v/>
      </c>
      <c r="AM254">
        <f>IF(H253&lt;=0,0,ROUND(H253*(1+IF(AND(H$6&gt;0,$B254&lt;H$6),H$4,H$5)/12),2))</f>
        <v/>
      </c>
      <c r="AN254">
        <f>IF(I253&lt;=0,0,ROUND(I253*(1+IF(AND(I$6&gt;0,$B254&lt;I$6),I$4,I$5)/12),2))</f>
        <v/>
      </c>
      <c r="AO254">
        <f>IF(J253&lt;=0,0,ROUND(J253*(1+IF(AND(J$6&gt;0,$B254&lt;J$6),J$4,J$5)/12),2))</f>
        <v/>
      </c>
      <c r="AP254">
        <f>IF(K253&lt;=0,0,ROUND(K253*(1+IF(AND(K$6&gt;0,$B254&lt;K$6),K$4,K$5)/12),2))</f>
        <v/>
      </c>
      <c r="AQ254">
        <f>IF(L253&lt;=0,0,ROUND(L253*(1+IF(AND(L$6&gt;0,$B254&lt;L$6),L$4,L$5)/12),2))</f>
        <v/>
      </c>
      <c r="AR254">
        <f>IF(M253&lt;=0,0,ROUND(M253*(1+IF(AND(M$6&gt;0,$B254&lt;M$6),M$4,M$5)/12),2))</f>
        <v/>
      </c>
      <c r="AS254">
        <f>IF(N253&lt;=0,0,ROUND(N253*(1+IF(AND(N$6&gt;0,$B254&lt;N$6),N$4,N$5)/12),2))</f>
        <v/>
      </c>
    </row>
    <row r="255">
      <c r="A255" t="n">
        <v>244</v>
      </c>
      <c r="B255">
        <f>EDATE(Plan!$C$6,243)</f>
        <v/>
      </c>
      <c r="C255">
        <f>IF(C254&lt;=0,0,MAX(0,AH255-O255))</f>
        <v/>
      </c>
      <c r="D255">
        <f>IF(D254&lt;=0,0,MAX(0,AI255-P255))</f>
        <v/>
      </c>
      <c r="E255">
        <f>IF(E254&lt;=0,0,MAX(0,AJ255-Q255))</f>
        <v/>
      </c>
      <c r="F255">
        <f>IF(F254&lt;=0,0,MAX(0,AK255-R255))</f>
        <v/>
      </c>
      <c r="G255">
        <f>IF(G254&lt;=0,0,MAX(0,AL255-S255))</f>
        <v/>
      </c>
      <c r="H255">
        <f>IF(H254&lt;=0,0,MAX(0,AM255-T255))</f>
        <v/>
      </c>
      <c r="I255">
        <f>IF(I254&lt;=0,0,MAX(0,AN255-U255))</f>
        <v/>
      </c>
      <c r="J255">
        <f>IF(J254&lt;=0,0,MAX(0,AO255-V255))</f>
        <v/>
      </c>
      <c r="K255">
        <f>IF(K254&lt;=0,0,MAX(0,AP255-W255))</f>
        <v/>
      </c>
      <c r="L255">
        <f>IF(L254&lt;=0,0,MAX(0,AQ255-X255))</f>
        <v/>
      </c>
      <c r="M255">
        <f>IF(M254&lt;=0,0,MAX(0,AR255-Y255))</f>
        <v/>
      </c>
      <c r="N255">
        <f>IF(N254&lt;=0,0,MAX(0,AS255-Z255))</f>
        <v/>
      </c>
      <c r="O255">
        <f>IF(C254&lt;=0,0,MIN(AH255,C$7+IF(C$2=$AA255,$AC255,IF(C$2=$AF255,$AG255,0))))</f>
        <v/>
      </c>
      <c r="P255">
        <f>IF(D254&lt;=0,0,MIN(AI255,D$7+IF(D$2=$AA255,$AC255,IF(D$2=$AF255,$AG255,0))))</f>
        <v/>
      </c>
      <c r="Q255">
        <f>IF(E254&lt;=0,0,MIN(AJ255,E$7+IF(E$2=$AA255,$AC255,IF(E$2=$AF255,$AG255,0))))</f>
        <v/>
      </c>
      <c r="R255">
        <f>IF(F254&lt;=0,0,MIN(AK255,F$7+IF(F$2=$AA255,$AC255,IF(F$2=$AF255,$AG255,0))))</f>
        <v/>
      </c>
      <c r="S255">
        <f>IF(G254&lt;=0,0,MIN(AL255,G$7+IF(G$2=$AA255,$AC255,IF(G$2=$AF255,$AG255,0))))</f>
        <v/>
      </c>
      <c r="T255">
        <f>IF(H254&lt;=0,0,MIN(AM255,H$7+IF(H$2=$AA255,$AC255,IF(H$2=$AF255,$AG255,0))))</f>
        <v/>
      </c>
      <c r="U255">
        <f>IF(I254&lt;=0,0,MIN(AN255,I$7+IF(I$2=$AA255,$AC255,IF(I$2=$AF255,$AG255,0))))</f>
        <v/>
      </c>
      <c r="V255">
        <f>IF(J254&lt;=0,0,MIN(AO255,J$7+IF(J$2=$AA255,$AC255,IF(J$2=$AF255,$AG255,0))))</f>
        <v/>
      </c>
      <c r="W255">
        <f>IF(K254&lt;=0,0,MIN(AP255,K$7+IF(K$2=$AA255,$AC255,IF(K$2=$AF255,$AG255,0))))</f>
        <v/>
      </c>
      <c r="X255">
        <f>IF(L254&lt;=0,0,MIN(AQ255,L$7+IF(L$2=$AA255,$AC255,IF(L$2=$AF255,$AG255,0))))</f>
        <v/>
      </c>
      <c r="Y255">
        <f>IF(M254&lt;=0,0,MIN(AR255,M$7+IF(M$2=$AA255,$AC255,IF(M$2=$AF255,$AG255,0))))</f>
        <v/>
      </c>
      <c r="Z255">
        <f>IF(N254&lt;=0,0,MIN(AS255,N$7+IF(N$2=$AA255,$AC255,IF(N$2=$AF255,$AG255,0))))</f>
        <v/>
      </c>
      <c r="AA255">
        <f>IFERROR(ROUND(1/SUMPRODUCT(MAX((C254:N254&gt;0)*($C$3:$N$3&lt;=B255)/$C$2:$N$2)),0),0)</f>
        <v/>
      </c>
      <c r="AB255">
        <f>SUMPRODUCT((C254:N254&gt;0)*$C$7:$N$7)</f>
        <v/>
      </c>
      <c r="AC255">
        <f>MAX(0,Plan!$C$5-AB255)+IF(A255=Plan!$C$8,N(Plan!$C$7),0)</f>
        <v/>
      </c>
      <c r="AD255">
        <f>SUM(C255:N255)</f>
        <v/>
      </c>
      <c r="AE255">
        <f>SUM(O255:Z255)</f>
        <v/>
      </c>
      <c r="AF255">
        <f>IFERROR(ROUND(1/SUMPRODUCT(MAX((C254:N254&gt;0)*($C$3:$N$3&lt;=B255)*($C$2:$N$2&gt;AA255)/$C$2:$N$2)),0),0)</f>
        <v/>
      </c>
      <c r="AG255">
        <f>MAX(0,AC255-MAX(0,SUMPRODUCT(($C$2:$N$2=AA255)*(AH255:AS255-$C$7:$N$7))))</f>
        <v/>
      </c>
      <c r="AH255">
        <f>IF(C254&lt;=0,0,ROUND(C254*(1+IF(AND(C$6&gt;0,$B255&lt;C$6),C$4,C$5)/12),2))</f>
        <v/>
      </c>
      <c r="AI255">
        <f>IF(D254&lt;=0,0,ROUND(D254*(1+IF(AND(D$6&gt;0,$B255&lt;D$6),D$4,D$5)/12),2))</f>
        <v/>
      </c>
      <c r="AJ255">
        <f>IF(E254&lt;=0,0,ROUND(E254*(1+IF(AND(E$6&gt;0,$B255&lt;E$6),E$4,E$5)/12),2))</f>
        <v/>
      </c>
      <c r="AK255">
        <f>IF(F254&lt;=0,0,ROUND(F254*(1+IF(AND(F$6&gt;0,$B255&lt;F$6),F$4,F$5)/12),2))</f>
        <v/>
      </c>
      <c r="AL255">
        <f>IF(G254&lt;=0,0,ROUND(G254*(1+IF(AND(G$6&gt;0,$B255&lt;G$6),G$4,G$5)/12),2))</f>
        <v/>
      </c>
      <c r="AM255">
        <f>IF(H254&lt;=0,0,ROUND(H254*(1+IF(AND(H$6&gt;0,$B255&lt;H$6),H$4,H$5)/12),2))</f>
        <v/>
      </c>
      <c r="AN255">
        <f>IF(I254&lt;=0,0,ROUND(I254*(1+IF(AND(I$6&gt;0,$B255&lt;I$6),I$4,I$5)/12),2))</f>
        <v/>
      </c>
      <c r="AO255">
        <f>IF(J254&lt;=0,0,ROUND(J254*(1+IF(AND(J$6&gt;0,$B255&lt;J$6),J$4,J$5)/12),2))</f>
        <v/>
      </c>
      <c r="AP255">
        <f>IF(K254&lt;=0,0,ROUND(K254*(1+IF(AND(K$6&gt;0,$B255&lt;K$6),K$4,K$5)/12),2))</f>
        <v/>
      </c>
      <c r="AQ255">
        <f>IF(L254&lt;=0,0,ROUND(L254*(1+IF(AND(L$6&gt;0,$B255&lt;L$6),L$4,L$5)/12),2))</f>
        <v/>
      </c>
      <c r="AR255">
        <f>IF(M254&lt;=0,0,ROUND(M254*(1+IF(AND(M$6&gt;0,$B255&lt;M$6),M$4,M$5)/12),2))</f>
        <v/>
      </c>
      <c r="AS255">
        <f>IF(N254&lt;=0,0,ROUND(N254*(1+IF(AND(N$6&gt;0,$B255&lt;N$6),N$4,N$5)/12),2))</f>
        <v/>
      </c>
    </row>
    <row r="256">
      <c r="A256" t="n">
        <v>245</v>
      </c>
      <c r="B256">
        <f>EDATE(Plan!$C$6,244)</f>
        <v/>
      </c>
      <c r="C256">
        <f>IF(C255&lt;=0,0,MAX(0,AH256-O256))</f>
        <v/>
      </c>
      <c r="D256">
        <f>IF(D255&lt;=0,0,MAX(0,AI256-P256))</f>
        <v/>
      </c>
      <c r="E256">
        <f>IF(E255&lt;=0,0,MAX(0,AJ256-Q256))</f>
        <v/>
      </c>
      <c r="F256">
        <f>IF(F255&lt;=0,0,MAX(0,AK256-R256))</f>
        <v/>
      </c>
      <c r="G256">
        <f>IF(G255&lt;=0,0,MAX(0,AL256-S256))</f>
        <v/>
      </c>
      <c r="H256">
        <f>IF(H255&lt;=0,0,MAX(0,AM256-T256))</f>
        <v/>
      </c>
      <c r="I256">
        <f>IF(I255&lt;=0,0,MAX(0,AN256-U256))</f>
        <v/>
      </c>
      <c r="J256">
        <f>IF(J255&lt;=0,0,MAX(0,AO256-V256))</f>
        <v/>
      </c>
      <c r="K256">
        <f>IF(K255&lt;=0,0,MAX(0,AP256-W256))</f>
        <v/>
      </c>
      <c r="L256">
        <f>IF(L255&lt;=0,0,MAX(0,AQ256-X256))</f>
        <v/>
      </c>
      <c r="M256">
        <f>IF(M255&lt;=0,0,MAX(0,AR256-Y256))</f>
        <v/>
      </c>
      <c r="N256">
        <f>IF(N255&lt;=0,0,MAX(0,AS256-Z256))</f>
        <v/>
      </c>
      <c r="O256">
        <f>IF(C255&lt;=0,0,MIN(AH256,C$7+IF(C$2=$AA256,$AC256,IF(C$2=$AF256,$AG256,0))))</f>
        <v/>
      </c>
      <c r="P256">
        <f>IF(D255&lt;=0,0,MIN(AI256,D$7+IF(D$2=$AA256,$AC256,IF(D$2=$AF256,$AG256,0))))</f>
        <v/>
      </c>
      <c r="Q256">
        <f>IF(E255&lt;=0,0,MIN(AJ256,E$7+IF(E$2=$AA256,$AC256,IF(E$2=$AF256,$AG256,0))))</f>
        <v/>
      </c>
      <c r="R256">
        <f>IF(F255&lt;=0,0,MIN(AK256,F$7+IF(F$2=$AA256,$AC256,IF(F$2=$AF256,$AG256,0))))</f>
        <v/>
      </c>
      <c r="S256">
        <f>IF(G255&lt;=0,0,MIN(AL256,G$7+IF(G$2=$AA256,$AC256,IF(G$2=$AF256,$AG256,0))))</f>
        <v/>
      </c>
      <c r="T256">
        <f>IF(H255&lt;=0,0,MIN(AM256,H$7+IF(H$2=$AA256,$AC256,IF(H$2=$AF256,$AG256,0))))</f>
        <v/>
      </c>
      <c r="U256">
        <f>IF(I255&lt;=0,0,MIN(AN256,I$7+IF(I$2=$AA256,$AC256,IF(I$2=$AF256,$AG256,0))))</f>
        <v/>
      </c>
      <c r="V256">
        <f>IF(J255&lt;=0,0,MIN(AO256,J$7+IF(J$2=$AA256,$AC256,IF(J$2=$AF256,$AG256,0))))</f>
        <v/>
      </c>
      <c r="W256">
        <f>IF(K255&lt;=0,0,MIN(AP256,K$7+IF(K$2=$AA256,$AC256,IF(K$2=$AF256,$AG256,0))))</f>
        <v/>
      </c>
      <c r="X256">
        <f>IF(L255&lt;=0,0,MIN(AQ256,L$7+IF(L$2=$AA256,$AC256,IF(L$2=$AF256,$AG256,0))))</f>
        <v/>
      </c>
      <c r="Y256">
        <f>IF(M255&lt;=0,0,MIN(AR256,M$7+IF(M$2=$AA256,$AC256,IF(M$2=$AF256,$AG256,0))))</f>
        <v/>
      </c>
      <c r="Z256">
        <f>IF(N255&lt;=0,0,MIN(AS256,N$7+IF(N$2=$AA256,$AC256,IF(N$2=$AF256,$AG256,0))))</f>
        <v/>
      </c>
      <c r="AA256">
        <f>IFERROR(ROUND(1/SUMPRODUCT(MAX((C255:N255&gt;0)*($C$3:$N$3&lt;=B256)/$C$2:$N$2)),0),0)</f>
        <v/>
      </c>
      <c r="AB256">
        <f>SUMPRODUCT((C255:N255&gt;0)*$C$7:$N$7)</f>
        <v/>
      </c>
      <c r="AC256">
        <f>MAX(0,Plan!$C$5-AB256)+IF(A256=Plan!$C$8,N(Plan!$C$7),0)</f>
        <v/>
      </c>
      <c r="AD256">
        <f>SUM(C256:N256)</f>
        <v/>
      </c>
      <c r="AE256">
        <f>SUM(O256:Z256)</f>
        <v/>
      </c>
      <c r="AF256">
        <f>IFERROR(ROUND(1/SUMPRODUCT(MAX((C255:N255&gt;0)*($C$3:$N$3&lt;=B256)*($C$2:$N$2&gt;AA256)/$C$2:$N$2)),0),0)</f>
        <v/>
      </c>
      <c r="AG256">
        <f>MAX(0,AC256-MAX(0,SUMPRODUCT(($C$2:$N$2=AA256)*(AH256:AS256-$C$7:$N$7))))</f>
        <v/>
      </c>
      <c r="AH256">
        <f>IF(C255&lt;=0,0,ROUND(C255*(1+IF(AND(C$6&gt;0,$B256&lt;C$6),C$4,C$5)/12),2))</f>
        <v/>
      </c>
      <c r="AI256">
        <f>IF(D255&lt;=0,0,ROUND(D255*(1+IF(AND(D$6&gt;0,$B256&lt;D$6),D$4,D$5)/12),2))</f>
        <v/>
      </c>
      <c r="AJ256">
        <f>IF(E255&lt;=0,0,ROUND(E255*(1+IF(AND(E$6&gt;0,$B256&lt;E$6),E$4,E$5)/12),2))</f>
        <v/>
      </c>
      <c r="AK256">
        <f>IF(F255&lt;=0,0,ROUND(F255*(1+IF(AND(F$6&gt;0,$B256&lt;F$6),F$4,F$5)/12),2))</f>
        <v/>
      </c>
      <c r="AL256">
        <f>IF(G255&lt;=0,0,ROUND(G255*(1+IF(AND(G$6&gt;0,$B256&lt;G$6),G$4,G$5)/12),2))</f>
        <v/>
      </c>
      <c r="AM256">
        <f>IF(H255&lt;=0,0,ROUND(H255*(1+IF(AND(H$6&gt;0,$B256&lt;H$6),H$4,H$5)/12),2))</f>
        <v/>
      </c>
      <c r="AN256">
        <f>IF(I255&lt;=0,0,ROUND(I255*(1+IF(AND(I$6&gt;0,$B256&lt;I$6),I$4,I$5)/12),2))</f>
        <v/>
      </c>
      <c r="AO256">
        <f>IF(J255&lt;=0,0,ROUND(J255*(1+IF(AND(J$6&gt;0,$B256&lt;J$6),J$4,J$5)/12),2))</f>
        <v/>
      </c>
      <c r="AP256">
        <f>IF(K255&lt;=0,0,ROUND(K255*(1+IF(AND(K$6&gt;0,$B256&lt;K$6),K$4,K$5)/12),2))</f>
        <v/>
      </c>
      <c r="AQ256">
        <f>IF(L255&lt;=0,0,ROUND(L255*(1+IF(AND(L$6&gt;0,$B256&lt;L$6),L$4,L$5)/12),2))</f>
        <v/>
      </c>
      <c r="AR256">
        <f>IF(M255&lt;=0,0,ROUND(M255*(1+IF(AND(M$6&gt;0,$B256&lt;M$6),M$4,M$5)/12),2))</f>
        <v/>
      </c>
      <c r="AS256">
        <f>IF(N255&lt;=0,0,ROUND(N255*(1+IF(AND(N$6&gt;0,$B256&lt;N$6),N$4,N$5)/12),2))</f>
        <v/>
      </c>
    </row>
    <row r="257">
      <c r="A257" t="n">
        <v>246</v>
      </c>
      <c r="B257">
        <f>EDATE(Plan!$C$6,245)</f>
        <v/>
      </c>
      <c r="C257">
        <f>IF(C256&lt;=0,0,MAX(0,AH257-O257))</f>
        <v/>
      </c>
      <c r="D257">
        <f>IF(D256&lt;=0,0,MAX(0,AI257-P257))</f>
        <v/>
      </c>
      <c r="E257">
        <f>IF(E256&lt;=0,0,MAX(0,AJ257-Q257))</f>
        <v/>
      </c>
      <c r="F257">
        <f>IF(F256&lt;=0,0,MAX(0,AK257-R257))</f>
        <v/>
      </c>
      <c r="G257">
        <f>IF(G256&lt;=0,0,MAX(0,AL257-S257))</f>
        <v/>
      </c>
      <c r="H257">
        <f>IF(H256&lt;=0,0,MAX(0,AM257-T257))</f>
        <v/>
      </c>
      <c r="I257">
        <f>IF(I256&lt;=0,0,MAX(0,AN257-U257))</f>
        <v/>
      </c>
      <c r="J257">
        <f>IF(J256&lt;=0,0,MAX(0,AO257-V257))</f>
        <v/>
      </c>
      <c r="K257">
        <f>IF(K256&lt;=0,0,MAX(0,AP257-W257))</f>
        <v/>
      </c>
      <c r="L257">
        <f>IF(L256&lt;=0,0,MAX(0,AQ257-X257))</f>
        <v/>
      </c>
      <c r="M257">
        <f>IF(M256&lt;=0,0,MAX(0,AR257-Y257))</f>
        <v/>
      </c>
      <c r="N257">
        <f>IF(N256&lt;=0,0,MAX(0,AS257-Z257))</f>
        <v/>
      </c>
      <c r="O257">
        <f>IF(C256&lt;=0,0,MIN(AH257,C$7+IF(C$2=$AA257,$AC257,IF(C$2=$AF257,$AG257,0))))</f>
        <v/>
      </c>
      <c r="P257">
        <f>IF(D256&lt;=0,0,MIN(AI257,D$7+IF(D$2=$AA257,$AC257,IF(D$2=$AF257,$AG257,0))))</f>
        <v/>
      </c>
      <c r="Q257">
        <f>IF(E256&lt;=0,0,MIN(AJ257,E$7+IF(E$2=$AA257,$AC257,IF(E$2=$AF257,$AG257,0))))</f>
        <v/>
      </c>
      <c r="R257">
        <f>IF(F256&lt;=0,0,MIN(AK257,F$7+IF(F$2=$AA257,$AC257,IF(F$2=$AF257,$AG257,0))))</f>
        <v/>
      </c>
      <c r="S257">
        <f>IF(G256&lt;=0,0,MIN(AL257,G$7+IF(G$2=$AA257,$AC257,IF(G$2=$AF257,$AG257,0))))</f>
        <v/>
      </c>
      <c r="T257">
        <f>IF(H256&lt;=0,0,MIN(AM257,H$7+IF(H$2=$AA257,$AC257,IF(H$2=$AF257,$AG257,0))))</f>
        <v/>
      </c>
      <c r="U257">
        <f>IF(I256&lt;=0,0,MIN(AN257,I$7+IF(I$2=$AA257,$AC257,IF(I$2=$AF257,$AG257,0))))</f>
        <v/>
      </c>
      <c r="V257">
        <f>IF(J256&lt;=0,0,MIN(AO257,J$7+IF(J$2=$AA257,$AC257,IF(J$2=$AF257,$AG257,0))))</f>
        <v/>
      </c>
      <c r="W257">
        <f>IF(K256&lt;=0,0,MIN(AP257,K$7+IF(K$2=$AA257,$AC257,IF(K$2=$AF257,$AG257,0))))</f>
        <v/>
      </c>
      <c r="X257">
        <f>IF(L256&lt;=0,0,MIN(AQ257,L$7+IF(L$2=$AA257,$AC257,IF(L$2=$AF257,$AG257,0))))</f>
        <v/>
      </c>
      <c r="Y257">
        <f>IF(M256&lt;=0,0,MIN(AR257,M$7+IF(M$2=$AA257,$AC257,IF(M$2=$AF257,$AG257,0))))</f>
        <v/>
      </c>
      <c r="Z257">
        <f>IF(N256&lt;=0,0,MIN(AS257,N$7+IF(N$2=$AA257,$AC257,IF(N$2=$AF257,$AG257,0))))</f>
        <v/>
      </c>
      <c r="AA257">
        <f>IFERROR(ROUND(1/SUMPRODUCT(MAX((C256:N256&gt;0)*($C$3:$N$3&lt;=B257)/$C$2:$N$2)),0),0)</f>
        <v/>
      </c>
      <c r="AB257">
        <f>SUMPRODUCT((C256:N256&gt;0)*$C$7:$N$7)</f>
        <v/>
      </c>
      <c r="AC257">
        <f>MAX(0,Plan!$C$5-AB257)+IF(A257=Plan!$C$8,N(Plan!$C$7),0)</f>
        <v/>
      </c>
      <c r="AD257">
        <f>SUM(C257:N257)</f>
        <v/>
      </c>
      <c r="AE257">
        <f>SUM(O257:Z257)</f>
        <v/>
      </c>
      <c r="AF257">
        <f>IFERROR(ROUND(1/SUMPRODUCT(MAX((C256:N256&gt;0)*($C$3:$N$3&lt;=B257)*($C$2:$N$2&gt;AA257)/$C$2:$N$2)),0),0)</f>
        <v/>
      </c>
      <c r="AG257">
        <f>MAX(0,AC257-MAX(0,SUMPRODUCT(($C$2:$N$2=AA257)*(AH257:AS257-$C$7:$N$7))))</f>
        <v/>
      </c>
      <c r="AH257">
        <f>IF(C256&lt;=0,0,ROUND(C256*(1+IF(AND(C$6&gt;0,$B257&lt;C$6),C$4,C$5)/12),2))</f>
        <v/>
      </c>
      <c r="AI257">
        <f>IF(D256&lt;=0,0,ROUND(D256*(1+IF(AND(D$6&gt;0,$B257&lt;D$6),D$4,D$5)/12),2))</f>
        <v/>
      </c>
      <c r="AJ257">
        <f>IF(E256&lt;=0,0,ROUND(E256*(1+IF(AND(E$6&gt;0,$B257&lt;E$6),E$4,E$5)/12),2))</f>
        <v/>
      </c>
      <c r="AK257">
        <f>IF(F256&lt;=0,0,ROUND(F256*(1+IF(AND(F$6&gt;0,$B257&lt;F$6),F$4,F$5)/12),2))</f>
        <v/>
      </c>
      <c r="AL257">
        <f>IF(G256&lt;=0,0,ROUND(G256*(1+IF(AND(G$6&gt;0,$B257&lt;G$6),G$4,G$5)/12),2))</f>
        <v/>
      </c>
      <c r="AM257">
        <f>IF(H256&lt;=0,0,ROUND(H256*(1+IF(AND(H$6&gt;0,$B257&lt;H$6),H$4,H$5)/12),2))</f>
        <v/>
      </c>
      <c r="AN257">
        <f>IF(I256&lt;=0,0,ROUND(I256*(1+IF(AND(I$6&gt;0,$B257&lt;I$6),I$4,I$5)/12),2))</f>
        <v/>
      </c>
      <c r="AO257">
        <f>IF(J256&lt;=0,0,ROUND(J256*(1+IF(AND(J$6&gt;0,$B257&lt;J$6),J$4,J$5)/12),2))</f>
        <v/>
      </c>
      <c r="AP257">
        <f>IF(K256&lt;=0,0,ROUND(K256*(1+IF(AND(K$6&gt;0,$B257&lt;K$6),K$4,K$5)/12),2))</f>
        <v/>
      </c>
      <c r="AQ257">
        <f>IF(L256&lt;=0,0,ROUND(L256*(1+IF(AND(L$6&gt;0,$B257&lt;L$6),L$4,L$5)/12),2))</f>
        <v/>
      </c>
      <c r="AR257">
        <f>IF(M256&lt;=0,0,ROUND(M256*(1+IF(AND(M$6&gt;0,$B257&lt;M$6),M$4,M$5)/12),2))</f>
        <v/>
      </c>
      <c r="AS257">
        <f>IF(N256&lt;=0,0,ROUND(N256*(1+IF(AND(N$6&gt;0,$B257&lt;N$6),N$4,N$5)/12),2))</f>
        <v/>
      </c>
    </row>
    <row r="258">
      <c r="A258" t="n">
        <v>247</v>
      </c>
      <c r="B258">
        <f>EDATE(Plan!$C$6,246)</f>
        <v/>
      </c>
      <c r="C258">
        <f>IF(C257&lt;=0,0,MAX(0,AH258-O258))</f>
        <v/>
      </c>
      <c r="D258">
        <f>IF(D257&lt;=0,0,MAX(0,AI258-P258))</f>
        <v/>
      </c>
      <c r="E258">
        <f>IF(E257&lt;=0,0,MAX(0,AJ258-Q258))</f>
        <v/>
      </c>
      <c r="F258">
        <f>IF(F257&lt;=0,0,MAX(0,AK258-R258))</f>
        <v/>
      </c>
      <c r="G258">
        <f>IF(G257&lt;=0,0,MAX(0,AL258-S258))</f>
        <v/>
      </c>
      <c r="H258">
        <f>IF(H257&lt;=0,0,MAX(0,AM258-T258))</f>
        <v/>
      </c>
      <c r="I258">
        <f>IF(I257&lt;=0,0,MAX(0,AN258-U258))</f>
        <v/>
      </c>
      <c r="J258">
        <f>IF(J257&lt;=0,0,MAX(0,AO258-V258))</f>
        <v/>
      </c>
      <c r="K258">
        <f>IF(K257&lt;=0,0,MAX(0,AP258-W258))</f>
        <v/>
      </c>
      <c r="L258">
        <f>IF(L257&lt;=0,0,MAX(0,AQ258-X258))</f>
        <v/>
      </c>
      <c r="M258">
        <f>IF(M257&lt;=0,0,MAX(0,AR258-Y258))</f>
        <v/>
      </c>
      <c r="N258">
        <f>IF(N257&lt;=0,0,MAX(0,AS258-Z258))</f>
        <v/>
      </c>
      <c r="O258">
        <f>IF(C257&lt;=0,0,MIN(AH258,C$7+IF(C$2=$AA258,$AC258,IF(C$2=$AF258,$AG258,0))))</f>
        <v/>
      </c>
      <c r="P258">
        <f>IF(D257&lt;=0,0,MIN(AI258,D$7+IF(D$2=$AA258,$AC258,IF(D$2=$AF258,$AG258,0))))</f>
        <v/>
      </c>
      <c r="Q258">
        <f>IF(E257&lt;=0,0,MIN(AJ258,E$7+IF(E$2=$AA258,$AC258,IF(E$2=$AF258,$AG258,0))))</f>
        <v/>
      </c>
      <c r="R258">
        <f>IF(F257&lt;=0,0,MIN(AK258,F$7+IF(F$2=$AA258,$AC258,IF(F$2=$AF258,$AG258,0))))</f>
        <v/>
      </c>
      <c r="S258">
        <f>IF(G257&lt;=0,0,MIN(AL258,G$7+IF(G$2=$AA258,$AC258,IF(G$2=$AF258,$AG258,0))))</f>
        <v/>
      </c>
      <c r="T258">
        <f>IF(H257&lt;=0,0,MIN(AM258,H$7+IF(H$2=$AA258,$AC258,IF(H$2=$AF258,$AG258,0))))</f>
        <v/>
      </c>
      <c r="U258">
        <f>IF(I257&lt;=0,0,MIN(AN258,I$7+IF(I$2=$AA258,$AC258,IF(I$2=$AF258,$AG258,0))))</f>
        <v/>
      </c>
      <c r="V258">
        <f>IF(J257&lt;=0,0,MIN(AO258,J$7+IF(J$2=$AA258,$AC258,IF(J$2=$AF258,$AG258,0))))</f>
        <v/>
      </c>
      <c r="W258">
        <f>IF(K257&lt;=0,0,MIN(AP258,K$7+IF(K$2=$AA258,$AC258,IF(K$2=$AF258,$AG258,0))))</f>
        <v/>
      </c>
      <c r="X258">
        <f>IF(L257&lt;=0,0,MIN(AQ258,L$7+IF(L$2=$AA258,$AC258,IF(L$2=$AF258,$AG258,0))))</f>
        <v/>
      </c>
      <c r="Y258">
        <f>IF(M257&lt;=0,0,MIN(AR258,M$7+IF(M$2=$AA258,$AC258,IF(M$2=$AF258,$AG258,0))))</f>
        <v/>
      </c>
      <c r="Z258">
        <f>IF(N257&lt;=0,0,MIN(AS258,N$7+IF(N$2=$AA258,$AC258,IF(N$2=$AF258,$AG258,0))))</f>
        <v/>
      </c>
      <c r="AA258">
        <f>IFERROR(ROUND(1/SUMPRODUCT(MAX((C257:N257&gt;0)*($C$3:$N$3&lt;=B258)/$C$2:$N$2)),0),0)</f>
        <v/>
      </c>
      <c r="AB258">
        <f>SUMPRODUCT((C257:N257&gt;0)*$C$7:$N$7)</f>
        <v/>
      </c>
      <c r="AC258">
        <f>MAX(0,Plan!$C$5-AB258)+IF(A258=Plan!$C$8,N(Plan!$C$7),0)</f>
        <v/>
      </c>
      <c r="AD258">
        <f>SUM(C258:N258)</f>
        <v/>
      </c>
      <c r="AE258">
        <f>SUM(O258:Z258)</f>
        <v/>
      </c>
      <c r="AF258">
        <f>IFERROR(ROUND(1/SUMPRODUCT(MAX((C257:N257&gt;0)*($C$3:$N$3&lt;=B258)*($C$2:$N$2&gt;AA258)/$C$2:$N$2)),0),0)</f>
        <v/>
      </c>
      <c r="AG258">
        <f>MAX(0,AC258-MAX(0,SUMPRODUCT(($C$2:$N$2=AA258)*(AH258:AS258-$C$7:$N$7))))</f>
        <v/>
      </c>
      <c r="AH258">
        <f>IF(C257&lt;=0,0,ROUND(C257*(1+IF(AND(C$6&gt;0,$B258&lt;C$6),C$4,C$5)/12),2))</f>
        <v/>
      </c>
      <c r="AI258">
        <f>IF(D257&lt;=0,0,ROUND(D257*(1+IF(AND(D$6&gt;0,$B258&lt;D$6),D$4,D$5)/12),2))</f>
        <v/>
      </c>
      <c r="AJ258">
        <f>IF(E257&lt;=0,0,ROUND(E257*(1+IF(AND(E$6&gt;0,$B258&lt;E$6),E$4,E$5)/12),2))</f>
        <v/>
      </c>
      <c r="AK258">
        <f>IF(F257&lt;=0,0,ROUND(F257*(1+IF(AND(F$6&gt;0,$B258&lt;F$6),F$4,F$5)/12),2))</f>
        <v/>
      </c>
      <c r="AL258">
        <f>IF(G257&lt;=0,0,ROUND(G257*(1+IF(AND(G$6&gt;0,$B258&lt;G$6),G$4,G$5)/12),2))</f>
        <v/>
      </c>
      <c r="AM258">
        <f>IF(H257&lt;=0,0,ROUND(H257*(1+IF(AND(H$6&gt;0,$B258&lt;H$6),H$4,H$5)/12),2))</f>
        <v/>
      </c>
      <c r="AN258">
        <f>IF(I257&lt;=0,0,ROUND(I257*(1+IF(AND(I$6&gt;0,$B258&lt;I$6),I$4,I$5)/12),2))</f>
        <v/>
      </c>
      <c r="AO258">
        <f>IF(J257&lt;=0,0,ROUND(J257*(1+IF(AND(J$6&gt;0,$B258&lt;J$6),J$4,J$5)/12),2))</f>
        <v/>
      </c>
      <c r="AP258">
        <f>IF(K257&lt;=0,0,ROUND(K257*(1+IF(AND(K$6&gt;0,$B258&lt;K$6),K$4,K$5)/12),2))</f>
        <v/>
      </c>
      <c r="AQ258">
        <f>IF(L257&lt;=0,0,ROUND(L257*(1+IF(AND(L$6&gt;0,$B258&lt;L$6),L$4,L$5)/12),2))</f>
        <v/>
      </c>
      <c r="AR258">
        <f>IF(M257&lt;=0,0,ROUND(M257*(1+IF(AND(M$6&gt;0,$B258&lt;M$6),M$4,M$5)/12),2))</f>
        <v/>
      </c>
      <c r="AS258">
        <f>IF(N257&lt;=0,0,ROUND(N257*(1+IF(AND(N$6&gt;0,$B258&lt;N$6),N$4,N$5)/12),2))</f>
        <v/>
      </c>
    </row>
    <row r="259">
      <c r="A259" t="n">
        <v>248</v>
      </c>
      <c r="B259">
        <f>EDATE(Plan!$C$6,247)</f>
        <v/>
      </c>
      <c r="C259">
        <f>IF(C258&lt;=0,0,MAX(0,AH259-O259))</f>
        <v/>
      </c>
      <c r="D259">
        <f>IF(D258&lt;=0,0,MAX(0,AI259-P259))</f>
        <v/>
      </c>
      <c r="E259">
        <f>IF(E258&lt;=0,0,MAX(0,AJ259-Q259))</f>
        <v/>
      </c>
      <c r="F259">
        <f>IF(F258&lt;=0,0,MAX(0,AK259-R259))</f>
        <v/>
      </c>
      <c r="G259">
        <f>IF(G258&lt;=0,0,MAX(0,AL259-S259))</f>
        <v/>
      </c>
      <c r="H259">
        <f>IF(H258&lt;=0,0,MAX(0,AM259-T259))</f>
        <v/>
      </c>
      <c r="I259">
        <f>IF(I258&lt;=0,0,MAX(0,AN259-U259))</f>
        <v/>
      </c>
      <c r="J259">
        <f>IF(J258&lt;=0,0,MAX(0,AO259-V259))</f>
        <v/>
      </c>
      <c r="K259">
        <f>IF(K258&lt;=0,0,MAX(0,AP259-W259))</f>
        <v/>
      </c>
      <c r="L259">
        <f>IF(L258&lt;=0,0,MAX(0,AQ259-X259))</f>
        <v/>
      </c>
      <c r="M259">
        <f>IF(M258&lt;=0,0,MAX(0,AR259-Y259))</f>
        <v/>
      </c>
      <c r="N259">
        <f>IF(N258&lt;=0,0,MAX(0,AS259-Z259))</f>
        <v/>
      </c>
      <c r="O259">
        <f>IF(C258&lt;=0,0,MIN(AH259,C$7+IF(C$2=$AA259,$AC259,IF(C$2=$AF259,$AG259,0))))</f>
        <v/>
      </c>
      <c r="P259">
        <f>IF(D258&lt;=0,0,MIN(AI259,D$7+IF(D$2=$AA259,$AC259,IF(D$2=$AF259,$AG259,0))))</f>
        <v/>
      </c>
      <c r="Q259">
        <f>IF(E258&lt;=0,0,MIN(AJ259,E$7+IF(E$2=$AA259,$AC259,IF(E$2=$AF259,$AG259,0))))</f>
        <v/>
      </c>
      <c r="R259">
        <f>IF(F258&lt;=0,0,MIN(AK259,F$7+IF(F$2=$AA259,$AC259,IF(F$2=$AF259,$AG259,0))))</f>
        <v/>
      </c>
      <c r="S259">
        <f>IF(G258&lt;=0,0,MIN(AL259,G$7+IF(G$2=$AA259,$AC259,IF(G$2=$AF259,$AG259,0))))</f>
        <v/>
      </c>
      <c r="T259">
        <f>IF(H258&lt;=0,0,MIN(AM259,H$7+IF(H$2=$AA259,$AC259,IF(H$2=$AF259,$AG259,0))))</f>
        <v/>
      </c>
      <c r="U259">
        <f>IF(I258&lt;=0,0,MIN(AN259,I$7+IF(I$2=$AA259,$AC259,IF(I$2=$AF259,$AG259,0))))</f>
        <v/>
      </c>
      <c r="V259">
        <f>IF(J258&lt;=0,0,MIN(AO259,J$7+IF(J$2=$AA259,$AC259,IF(J$2=$AF259,$AG259,0))))</f>
        <v/>
      </c>
      <c r="W259">
        <f>IF(K258&lt;=0,0,MIN(AP259,K$7+IF(K$2=$AA259,$AC259,IF(K$2=$AF259,$AG259,0))))</f>
        <v/>
      </c>
      <c r="X259">
        <f>IF(L258&lt;=0,0,MIN(AQ259,L$7+IF(L$2=$AA259,$AC259,IF(L$2=$AF259,$AG259,0))))</f>
        <v/>
      </c>
      <c r="Y259">
        <f>IF(M258&lt;=0,0,MIN(AR259,M$7+IF(M$2=$AA259,$AC259,IF(M$2=$AF259,$AG259,0))))</f>
        <v/>
      </c>
      <c r="Z259">
        <f>IF(N258&lt;=0,0,MIN(AS259,N$7+IF(N$2=$AA259,$AC259,IF(N$2=$AF259,$AG259,0))))</f>
        <v/>
      </c>
      <c r="AA259">
        <f>IFERROR(ROUND(1/SUMPRODUCT(MAX((C258:N258&gt;0)*($C$3:$N$3&lt;=B259)/$C$2:$N$2)),0),0)</f>
        <v/>
      </c>
      <c r="AB259">
        <f>SUMPRODUCT((C258:N258&gt;0)*$C$7:$N$7)</f>
        <v/>
      </c>
      <c r="AC259">
        <f>MAX(0,Plan!$C$5-AB259)+IF(A259=Plan!$C$8,N(Plan!$C$7),0)</f>
        <v/>
      </c>
      <c r="AD259">
        <f>SUM(C259:N259)</f>
        <v/>
      </c>
      <c r="AE259">
        <f>SUM(O259:Z259)</f>
        <v/>
      </c>
      <c r="AF259">
        <f>IFERROR(ROUND(1/SUMPRODUCT(MAX((C258:N258&gt;0)*($C$3:$N$3&lt;=B259)*($C$2:$N$2&gt;AA259)/$C$2:$N$2)),0),0)</f>
        <v/>
      </c>
      <c r="AG259">
        <f>MAX(0,AC259-MAX(0,SUMPRODUCT(($C$2:$N$2=AA259)*(AH259:AS259-$C$7:$N$7))))</f>
        <v/>
      </c>
      <c r="AH259">
        <f>IF(C258&lt;=0,0,ROUND(C258*(1+IF(AND(C$6&gt;0,$B259&lt;C$6),C$4,C$5)/12),2))</f>
        <v/>
      </c>
      <c r="AI259">
        <f>IF(D258&lt;=0,0,ROUND(D258*(1+IF(AND(D$6&gt;0,$B259&lt;D$6),D$4,D$5)/12),2))</f>
        <v/>
      </c>
      <c r="AJ259">
        <f>IF(E258&lt;=0,0,ROUND(E258*(1+IF(AND(E$6&gt;0,$B259&lt;E$6),E$4,E$5)/12),2))</f>
        <v/>
      </c>
      <c r="AK259">
        <f>IF(F258&lt;=0,0,ROUND(F258*(1+IF(AND(F$6&gt;0,$B259&lt;F$6),F$4,F$5)/12),2))</f>
        <v/>
      </c>
      <c r="AL259">
        <f>IF(G258&lt;=0,0,ROUND(G258*(1+IF(AND(G$6&gt;0,$B259&lt;G$6),G$4,G$5)/12),2))</f>
        <v/>
      </c>
      <c r="AM259">
        <f>IF(H258&lt;=0,0,ROUND(H258*(1+IF(AND(H$6&gt;0,$B259&lt;H$6),H$4,H$5)/12),2))</f>
        <v/>
      </c>
      <c r="AN259">
        <f>IF(I258&lt;=0,0,ROUND(I258*(1+IF(AND(I$6&gt;0,$B259&lt;I$6),I$4,I$5)/12),2))</f>
        <v/>
      </c>
      <c r="AO259">
        <f>IF(J258&lt;=0,0,ROUND(J258*(1+IF(AND(J$6&gt;0,$B259&lt;J$6),J$4,J$5)/12),2))</f>
        <v/>
      </c>
      <c r="AP259">
        <f>IF(K258&lt;=0,0,ROUND(K258*(1+IF(AND(K$6&gt;0,$B259&lt;K$6),K$4,K$5)/12),2))</f>
        <v/>
      </c>
      <c r="AQ259">
        <f>IF(L258&lt;=0,0,ROUND(L258*(1+IF(AND(L$6&gt;0,$B259&lt;L$6),L$4,L$5)/12),2))</f>
        <v/>
      </c>
      <c r="AR259">
        <f>IF(M258&lt;=0,0,ROUND(M258*(1+IF(AND(M$6&gt;0,$B259&lt;M$6),M$4,M$5)/12),2))</f>
        <v/>
      </c>
      <c r="AS259">
        <f>IF(N258&lt;=0,0,ROUND(N258*(1+IF(AND(N$6&gt;0,$B259&lt;N$6),N$4,N$5)/12),2))</f>
        <v/>
      </c>
    </row>
    <row r="260">
      <c r="A260" t="n">
        <v>249</v>
      </c>
      <c r="B260">
        <f>EDATE(Plan!$C$6,248)</f>
        <v/>
      </c>
      <c r="C260">
        <f>IF(C259&lt;=0,0,MAX(0,AH260-O260))</f>
        <v/>
      </c>
      <c r="D260">
        <f>IF(D259&lt;=0,0,MAX(0,AI260-P260))</f>
        <v/>
      </c>
      <c r="E260">
        <f>IF(E259&lt;=0,0,MAX(0,AJ260-Q260))</f>
        <v/>
      </c>
      <c r="F260">
        <f>IF(F259&lt;=0,0,MAX(0,AK260-R260))</f>
        <v/>
      </c>
      <c r="G260">
        <f>IF(G259&lt;=0,0,MAX(0,AL260-S260))</f>
        <v/>
      </c>
      <c r="H260">
        <f>IF(H259&lt;=0,0,MAX(0,AM260-T260))</f>
        <v/>
      </c>
      <c r="I260">
        <f>IF(I259&lt;=0,0,MAX(0,AN260-U260))</f>
        <v/>
      </c>
      <c r="J260">
        <f>IF(J259&lt;=0,0,MAX(0,AO260-V260))</f>
        <v/>
      </c>
      <c r="K260">
        <f>IF(K259&lt;=0,0,MAX(0,AP260-W260))</f>
        <v/>
      </c>
      <c r="L260">
        <f>IF(L259&lt;=0,0,MAX(0,AQ260-X260))</f>
        <v/>
      </c>
      <c r="M260">
        <f>IF(M259&lt;=0,0,MAX(0,AR260-Y260))</f>
        <v/>
      </c>
      <c r="N260">
        <f>IF(N259&lt;=0,0,MAX(0,AS260-Z260))</f>
        <v/>
      </c>
      <c r="O260">
        <f>IF(C259&lt;=0,0,MIN(AH260,C$7+IF(C$2=$AA260,$AC260,IF(C$2=$AF260,$AG260,0))))</f>
        <v/>
      </c>
      <c r="P260">
        <f>IF(D259&lt;=0,0,MIN(AI260,D$7+IF(D$2=$AA260,$AC260,IF(D$2=$AF260,$AG260,0))))</f>
        <v/>
      </c>
      <c r="Q260">
        <f>IF(E259&lt;=0,0,MIN(AJ260,E$7+IF(E$2=$AA260,$AC260,IF(E$2=$AF260,$AG260,0))))</f>
        <v/>
      </c>
      <c r="R260">
        <f>IF(F259&lt;=0,0,MIN(AK260,F$7+IF(F$2=$AA260,$AC260,IF(F$2=$AF260,$AG260,0))))</f>
        <v/>
      </c>
      <c r="S260">
        <f>IF(G259&lt;=0,0,MIN(AL260,G$7+IF(G$2=$AA260,$AC260,IF(G$2=$AF260,$AG260,0))))</f>
        <v/>
      </c>
      <c r="T260">
        <f>IF(H259&lt;=0,0,MIN(AM260,H$7+IF(H$2=$AA260,$AC260,IF(H$2=$AF260,$AG260,0))))</f>
        <v/>
      </c>
      <c r="U260">
        <f>IF(I259&lt;=0,0,MIN(AN260,I$7+IF(I$2=$AA260,$AC260,IF(I$2=$AF260,$AG260,0))))</f>
        <v/>
      </c>
      <c r="V260">
        <f>IF(J259&lt;=0,0,MIN(AO260,J$7+IF(J$2=$AA260,$AC260,IF(J$2=$AF260,$AG260,0))))</f>
        <v/>
      </c>
      <c r="W260">
        <f>IF(K259&lt;=0,0,MIN(AP260,K$7+IF(K$2=$AA260,$AC260,IF(K$2=$AF260,$AG260,0))))</f>
        <v/>
      </c>
      <c r="X260">
        <f>IF(L259&lt;=0,0,MIN(AQ260,L$7+IF(L$2=$AA260,$AC260,IF(L$2=$AF260,$AG260,0))))</f>
        <v/>
      </c>
      <c r="Y260">
        <f>IF(M259&lt;=0,0,MIN(AR260,M$7+IF(M$2=$AA260,$AC260,IF(M$2=$AF260,$AG260,0))))</f>
        <v/>
      </c>
      <c r="Z260">
        <f>IF(N259&lt;=0,0,MIN(AS260,N$7+IF(N$2=$AA260,$AC260,IF(N$2=$AF260,$AG260,0))))</f>
        <v/>
      </c>
      <c r="AA260">
        <f>IFERROR(ROUND(1/SUMPRODUCT(MAX((C259:N259&gt;0)*($C$3:$N$3&lt;=B260)/$C$2:$N$2)),0),0)</f>
        <v/>
      </c>
      <c r="AB260">
        <f>SUMPRODUCT((C259:N259&gt;0)*$C$7:$N$7)</f>
        <v/>
      </c>
      <c r="AC260">
        <f>MAX(0,Plan!$C$5-AB260)+IF(A260=Plan!$C$8,N(Plan!$C$7),0)</f>
        <v/>
      </c>
      <c r="AD260">
        <f>SUM(C260:N260)</f>
        <v/>
      </c>
      <c r="AE260">
        <f>SUM(O260:Z260)</f>
        <v/>
      </c>
      <c r="AF260">
        <f>IFERROR(ROUND(1/SUMPRODUCT(MAX((C259:N259&gt;0)*($C$3:$N$3&lt;=B260)*($C$2:$N$2&gt;AA260)/$C$2:$N$2)),0),0)</f>
        <v/>
      </c>
      <c r="AG260">
        <f>MAX(0,AC260-MAX(0,SUMPRODUCT(($C$2:$N$2=AA260)*(AH260:AS260-$C$7:$N$7))))</f>
        <v/>
      </c>
      <c r="AH260">
        <f>IF(C259&lt;=0,0,ROUND(C259*(1+IF(AND(C$6&gt;0,$B260&lt;C$6),C$4,C$5)/12),2))</f>
        <v/>
      </c>
      <c r="AI260">
        <f>IF(D259&lt;=0,0,ROUND(D259*(1+IF(AND(D$6&gt;0,$B260&lt;D$6),D$4,D$5)/12),2))</f>
        <v/>
      </c>
      <c r="AJ260">
        <f>IF(E259&lt;=0,0,ROUND(E259*(1+IF(AND(E$6&gt;0,$B260&lt;E$6),E$4,E$5)/12),2))</f>
        <v/>
      </c>
      <c r="AK260">
        <f>IF(F259&lt;=0,0,ROUND(F259*(1+IF(AND(F$6&gt;0,$B260&lt;F$6),F$4,F$5)/12),2))</f>
        <v/>
      </c>
      <c r="AL260">
        <f>IF(G259&lt;=0,0,ROUND(G259*(1+IF(AND(G$6&gt;0,$B260&lt;G$6),G$4,G$5)/12),2))</f>
        <v/>
      </c>
      <c r="AM260">
        <f>IF(H259&lt;=0,0,ROUND(H259*(1+IF(AND(H$6&gt;0,$B260&lt;H$6),H$4,H$5)/12),2))</f>
        <v/>
      </c>
      <c r="AN260">
        <f>IF(I259&lt;=0,0,ROUND(I259*(1+IF(AND(I$6&gt;0,$B260&lt;I$6),I$4,I$5)/12),2))</f>
        <v/>
      </c>
      <c r="AO260">
        <f>IF(J259&lt;=0,0,ROUND(J259*(1+IF(AND(J$6&gt;0,$B260&lt;J$6),J$4,J$5)/12),2))</f>
        <v/>
      </c>
      <c r="AP260">
        <f>IF(K259&lt;=0,0,ROUND(K259*(1+IF(AND(K$6&gt;0,$B260&lt;K$6),K$4,K$5)/12),2))</f>
        <v/>
      </c>
      <c r="AQ260">
        <f>IF(L259&lt;=0,0,ROUND(L259*(1+IF(AND(L$6&gt;0,$B260&lt;L$6),L$4,L$5)/12),2))</f>
        <v/>
      </c>
      <c r="AR260">
        <f>IF(M259&lt;=0,0,ROUND(M259*(1+IF(AND(M$6&gt;0,$B260&lt;M$6),M$4,M$5)/12),2))</f>
        <v/>
      </c>
      <c r="AS260">
        <f>IF(N259&lt;=0,0,ROUND(N259*(1+IF(AND(N$6&gt;0,$B260&lt;N$6),N$4,N$5)/12),2))</f>
        <v/>
      </c>
    </row>
    <row r="261">
      <c r="A261" t="n">
        <v>250</v>
      </c>
      <c r="B261">
        <f>EDATE(Plan!$C$6,249)</f>
        <v/>
      </c>
      <c r="C261">
        <f>IF(C260&lt;=0,0,MAX(0,AH261-O261))</f>
        <v/>
      </c>
      <c r="D261">
        <f>IF(D260&lt;=0,0,MAX(0,AI261-P261))</f>
        <v/>
      </c>
      <c r="E261">
        <f>IF(E260&lt;=0,0,MAX(0,AJ261-Q261))</f>
        <v/>
      </c>
      <c r="F261">
        <f>IF(F260&lt;=0,0,MAX(0,AK261-R261))</f>
        <v/>
      </c>
      <c r="G261">
        <f>IF(G260&lt;=0,0,MAX(0,AL261-S261))</f>
        <v/>
      </c>
      <c r="H261">
        <f>IF(H260&lt;=0,0,MAX(0,AM261-T261))</f>
        <v/>
      </c>
      <c r="I261">
        <f>IF(I260&lt;=0,0,MAX(0,AN261-U261))</f>
        <v/>
      </c>
      <c r="J261">
        <f>IF(J260&lt;=0,0,MAX(0,AO261-V261))</f>
        <v/>
      </c>
      <c r="K261">
        <f>IF(K260&lt;=0,0,MAX(0,AP261-W261))</f>
        <v/>
      </c>
      <c r="L261">
        <f>IF(L260&lt;=0,0,MAX(0,AQ261-X261))</f>
        <v/>
      </c>
      <c r="M261">
        <f>IF(M260&lt;=0,0,MAX(0,AR261-Y261))</f>
        <v/>
      </c>
      <c r="N261">
        <f>IF(N260&lt;=0,0,MAX(0,AS261-Z261))</f>
        <v/>
      </c>
      <c r="O261">
        <f>IF(C260&lt;=0,0,MIN(AH261,C$7+IF(C$2=$AA261,$AC261,IF(C$2=$AF261,$AG261,0))))</f>
        <v/>
      </c>
      <c r="P261">
        <f>IF(D260&lt;=0,0,MIN(AI261,D$7+IF(D$2=$AA261,$AC261,IF(D$2=$AF261,$AG261,0))))</f>
        <v/>
      </c>
      <c r="Q261">
        <f>IF(E260&lt;=0,0,MIN(AJ261,E$7+IF(E$2=$AA261,$AC261,IF(E$2=$AF261,$AG261,0))))</f>
        <v/>
      </c>
      <c r="R261">
        <f>IF(F260&lt;=0,0,MIN(AK261,F$7+IF(F$2=$AA261,$AC261,IF(F$2=$AF261,$AG261,0))))</f>
        <v/>
      </c>
      <c r="S261">
        <f>IF(G260&lt;=0,0,MIN(AL261,G$7+IF(G$2=$AA261,$AC261,IF(G$2=$AF261,$AG261,0))))</f>
        <v/>
      </c>
      <c r="T261">
        <f>IF(H260&lt;=0,0,MIN(AM261,H$7+IF(H$2=$AA261,$AC261,IF(H$2=$AF261,$AG261,0))))</f>
        <v/>
      </c>
      <c r="U261">
        <f>IF(I260&lt;=0,0,MIN(AN261,I$7+IF(I$2=$AA261,$AC261,IF(I$2=$AF261,$AG261,0))))</f>
        <v/>
      </c>
      <c r="V261">
        <f>IF(J260&lt;=0,0,MIN(AO261,J$7+IF(J$2=$AA261,$AC261,IF(J$2=$AF261,$AG261,0))))</f>
        <v/>
      </c>
      <c r="W261">
        <f>IF(K260&lt;=0,0,MIN(AP261,K$7+IF(K$2=$AA261,$AC261,IF(K$2=$AF261,$AG261,0))))</f>
        <v/>
      </c>
      <c r="X261">
        <f>IF(L260&lt;=0,0,MIN(AQ261,L$7+IF(L$2=$AA261,$AC261,IF(L$2=$AF261,$AG261,0))))</f>
        <v/>
      </c>
      <c r="Y261">
        <f>IF(M260&lt;=0,0,MIN(AR261,M$7+IF(M$2=$AA261,$AC261,IF(M$2=$AF261,$AG261,0))))</f>
        <v/>
      </c>
      <c r="Z261">
        <f>IF(N260&lt;=0,0,MIN(AS261,N$7+IF(N$2=$AA261,$AC261,IF(N$2=$AF261,$AG261,0))))</f>
        <v/>
      </c>
      <c r="AA261">
        <f>IFERROR(ROUND(1/SUMPRODUCT(MAX((C260:N260&gt;0)*($C$3:$N$3&lt;=B261)/$C$2:$N$2)),0),0)</f>
        <v/>
      </c>
      <c r="AB261">
        <f>SUMPRODUCT((C260:N260&gt;0)*$C$7:$N$7)</f>
        <v/>
      </c>
      <c r="AC261">
        <f>MAX(0,Plan!$C$5-AB261)+IF(A261=Plan!$C$8,N(Plan!$C$7),0)</f>
        <v/>
      </c>
      <c r="AD261">
        <f>SUM(C261:N261)</f>
        <v/>
      </c>
      <c r="AE261">
        <f>SUM(O261:Z261)</f>
        <v/>
      </c>
      <c r="AF261">
        <f>IFERROR(ROUND(1/SUMPRODUCT(MAX((C260:N260&gt;0)*($C$3:$N$3&lt;=B261)*($C$2:$N$2&gt;AA261)/$C$2:$N$2)),0),0)</f>
        <v/>
      </c>
      <c r="AG261">
        <f>MAX(0,AC261-MAX(0,SUMPRODUCT(($C$2:$N$2=AA261)*(AH261:AS261-$C$7:$N$7))))</f>
        <v/>
      </c>
      <c r="AH261">
        <f>IF(C260&lt;=0,0,ROUND(C260*(1+IF(AND(C$6&gt;0,$B261&lt;C$6),C$4,C$5)/12),2))</f>
        <v/>
      </c>
      <c r="AI261">
        <f>IF(D260&lt;=0,0,ROUND(D260*(1+IF(AND(D$6&gt;0,$B261&lt;D$6),D$4,D$5)/12),2))</f>
        <v/>
      </c>
      <c r="AJ261">
        <f>IF(E260&lt;=0,0,ROUND(E260*(1+IF(AND(E$6&gt;0,$B261&lt;E$6),E$4,E$5)/12),2))</f>
        <v/>
      </c>
      <c r="AK261">
        <f>IF(F260&lt;=0,0,ROUND(F260*(1+IF(AND(F$6&gt;0,$B261&lt;F$6),F$4,F$5)/12),2))</f>
        <v/>
      </c>
      <c r="AL261">
        <f>IF(G260&lt;=0,0,ROUND(G260*(1+IF(AND(G$6&gt;0,$B261&lt;G$6),G$4,G$5)/12),2))</f>
        <v/>
      </c>
      <c r="AM261">
        <f>IF(H260&lt;=0,0,ROUND(H260*(1+IF(AND(H$6&gt;0,$B261&lt;H$6),H$4,H$5)/12),2))</f>
        <v/>
      </c>
      <c r="AN261">
        <f>IF(I260&lt;=0,0,ROUND(I260*(1+IF(AND(I$6&gt;0,$B261&lt;I$6),I$4,I$5)/12),2))</f>
        <v/>
      </c>
      <c r="AO261">
        <f>IF(J260&lt;=0,0,ROUND(J260*(1+IF(AND(J$6&gt;0,$B261&lt;J$6),J$4,J$5)/12),2))</f>
        <v/>
      </c>
      <c r="AP261">
        <f>IF(K260&lt;=0,0,ROUND(K260*(1+IF(AND(K$6&gt;0,$B261&lt;K$6),K$4,K$5)/12),2))</f>
        <v/>
      </c>
      <c r="AQ261">
        <f>IF(L260&lt;=0,0,ROUND(L260*(1+IF(AND(L$6&gt;0,$B261&lt;L$6),L$4,L$5)/12),2))</f>
        <v/>
      </c>
      <c r="AR261">
        <f>IF(M260&lt;=0,0,ROUND(M260*(1+IF(AND(M$6&gt;0,$B261&lt;M$6),M$4,M$5)/12),2))</f>
        <v/>
      </c>
      <c r="AS261">
        <f>IF(N260&lt;=0,0,ROUND(N260*(1+IF(AND(N$6&gt;0,$B261&lt;N$6),N$4,N$5)/12),2))</f>
        <v/>
      </c>
    </row>
    <row r="262">
      <c r="A262" t="n">
        <v>251</v>
      </c>
      <c r="B262">
        <f>EDATE(Plan!$C$6,250)</f>
        <v/>
      </c>
      <c r="C262">
        <f>IF(C261&lt;=0,0,MAX(0,AH262-O262))</f>
        <v/>
      </c>
      <c r="D262">
        <f>IF(D261&lt;=0,0,MAX(0,AI262-P262))</f>
        <v/>
      </c>
      <c r="E262">
        <f>IF(E261&lt;=0,0,MAX(0,AJ262-Q262))</f>
        <v/>
      </c>
      <c r="F262">
        <f>IF(F261&lt;=0,0,MAX(0,AK262-R262))</f>
        <v/>
      </c>
      <c r="G262">
        <f>IF(G261&lt;=0,0,MAX(0,AL262-S262))</f>
        <v/>
      </c>
      <c r="H262">
        <f>IF(H261&lt;=0,0,MAX(0,AM262-T262))</f>
        <v/>
      </c>
      <c r="I262">
        <f>IF(I261&lt;=0,0,MAX(0,AN262-U262))</f>
        <v/>
      </c>
      <c r="J262">
        <f>IF(J261&lt;=0,0,MAX(0,AO262-V262))</f>
        <v/>
      </c>
      <c r="K262">
        <f>IF(K261&lt;=0,0,MAX(0,AP262-W262))</f>
        <v/>
      </c>
      <c r="L262">
        <f>IF(L261&lt;=0,0,MAX(0,AQ262-X262))</f>
        <v/>
      </c>
      <c r="M262">
        <f>IF(M261&lt;=0,0,MAX(0,AR262-Y262))</f>
        <v/>
      </c>
      <c r="N262">
        <f>IF(N261&lt;=0,0,MAX(0,AS262-Z262))</f>
        <v/>
      </c>
      <c r="O262">
        <f>IF(C261&lt;=0,0,MIN(AH262,C$7+IF(C$2=$AA262,$AC262,IF(C$2=$AF262,$AG262,0))))</f>
        <v/>
      </c>
      <c r="P262">
        <f>IF(D261&lt;=0,0,MIN(AI262,D$7+IF(D$2=$AA262,$AC262,IF(D$2=$AF262,$AG262,0))))</f>
        <v/>
      </c>
      <c r="Q262">
        <f>IF(E261&lt;=0,0,MIN(AJ262,E$7+IF(E$2=$AA262,$AC262,IF(E$2=$AF262,$AG262,0))))</f>
        <v/>
      </c>
      <c r="R262">
        <f>IF(F261&lt;=0,0,MIN(AK262,F$7+IF(F$2=$AA262,$AC262,IF(F$2=$AF262,$AG262,0))))</f>
        <v/>
      </c>
      <c r="S262">
        <f>IF(G261&lt;=0,0,MIN(AL262,G$7+IF(G$2=$AA262,$AC262,IF(G$2=$AF262,$AG262,0))))</f>
        <v/>
      </c>
      <c r="T262">
        <f>IF(H261&lt;=0,0,MIN(AM262,H$7+IF(H$2=$AA262,$AC262,IF(H$2=$AF262,$AG262,0))))</f>
        <v/>
      </c>
      <c r="U262">
        <f>IF(I261&lt;=0,0,MIN(AN262,I$7+IF(I$2=$AA262,$AC262,IF(I$2=$AF262,$AG262,0))))</f>
        <v/>
      </c>
      <c r="V262">
        <f>IF(J261&lt;=0,0,MIN(AO262,J$7+IF(J$2=$AA262,$AC262,IF(J$2=$AF262,$AG262,0))))</f>
        <v/>
      </c>
      <c r="W262">
        <f>IF(K261&lt;=0,0,MIN(AP262,K$7+IF(K$2=$AA262,$AC262,IF(K$2=$AF262,$AG262,0))))</f>
        <v/>
      </c>
      <c r="X262">
        <f>IF(L261&lt;=0,0,MIN(AQ262,L$7+IF(L$2=$AA262,$AC262,IF(L$2=$AF262,$AG262,0))))</f>
        <v/>
      </c>
      <c r="Y262">
        <f>IF(M261&lt;=0,0,MIN(AR262,M$7+IF(M$2=$AA262,$AC262,IF(M$2=$AF262,$AG262,0))))</f>
        <v/>
      </c>
      <c r="Z262">
        <f>IF(N261&lt;=0,0,MIN(AS262,N$7+IF(N$2=$AA262,$AC262,IF(N$2=$AF262,$AG262,0))))</f>
        <v/>
      </c>
      <c r="AA262">
        <f>IFERROR(ROUND(1/SUMPRODUCT(MAX((C261:N261&gt;0)*($C$3:$N$3&lt;=B262)/$C$2:$N$2)),0),0)</f>
        <v/>
      </c>
      <c r="AB262">
        <f>SUMPRODUCT((C261:N261&gt;0)*$C$7:$N$7)</f>
        <v/>
      </c>
      <c r="AC262">
        <f>MAX(0,Plan!$C$5-AB262)+IF(A262=Plan!$C$8,N(Plan!$C$7),0)</f>
        <v/>
      </c>
      <c r="AD262">
        <f>SUM(C262:N262)</f>
        <v/>
      </c>
      <c r="AE262">
        <f>SUM(O262:Z262)</f>
        <v/>
      </c>
      <c r="AF262">
        <f>IFERROR(ROUND(1/SUMPRODUCT(MAX((C261:N261&gt;0)*($C$3:$N$3&lt;=B262)*($C$2:$N$2&gt;AA262)/$C$2:$N$2)),0),0)</f>
        <v/>
      </c>
      <c r="AG262">
        <f>MAX(0,AC262-MAX(0,SUMPRODUCT(($C$2:$N$2=AA262)*(AH262:AS262-$C$7:$N$7))))</f>
        <v/>
      </c>
      <c r="AH262">
        <f>IF(C261&lt;=0,0,ROUND(C261*(1+IF(AND(C$6&gt;0,$B262&lt;C$6),C$4,C$5)/12),2))</f>
        <v/>
      </c>
      <c r="AI262">
        <f>IF(D261&lt;=0,0,ROUND(D261*(1+IF(AND(D$6&gt;0,$B262&lt;D$6),D$4,D$5)/12),2))</f>
        <v/>
      </c>
      <c r="AJ262">
        <f>IF(E261&lt;=0,0,ROUND(E261*(1+IF(AND(E$6&gt;0,$B262&lt;E$6),E$4,E$5)/12),2))</f>
        <v/>
      </c>
      <c r="AK262">
        <f>IF(F261&lt;=0,0,ROUND(F261*(1+IF(AND(F$6&gt;0,$B262&lt;F$6),F$4,F$5)/12),2))</f>
        <v/>
      </c>
      <c r="AL262">
        <f>IF(G261&lt;=0,0,ROUND(G261*(1+IF(AND(G$6&gt;0,$B262&lt;G$6),G$4,G$5)/12),2))</f>
        <v/>
      </c>
      <c r="AM262">
        <f>IF(H261&lt;=0,0,ROUND(H261*(1+IF(AND(H$6&gt;0,$B262&lt;H$6),H$4,H$5)/12),2))</f>
        <v/>
      </c>
      <c r="AN262">
        <f>IF(I261&lt;=0,0,ROUND(I261*(1+IF(AND(I$6&gt;0,$B262&lt;I$6),I$4,I$5)/12),2))</f>
        <v/>
      </c>
      <c r="AO262">
        <f>IF(J261&lt;=0,0,ROUND(J261*(1+IF(AND(J$6&gt;0,$B262&lt;J$6),J$4,J$5)/12),2))</f>
        <v/>
      </c>
      <c r="AP262">
        <f>IF(K261&lt;=0,0,ROUND(K261*(1+IF(AND(K$6&gt;0,$B262&lt;K$6),K$4,K$5)/12),2))</f>
        <v/>
      </c>
      <c r="AQ262">
        <f>IF(L261&lt;=0,0,ROUND(L261*(1+IF(AND(L$6&gt;0,$B262&lt;L$6),L$4,L$5)/12),2))</f>
        <v/>
      </c>
      <c r="AR262">
        <f>IF(M261&lt;=0,0,ROUND(M261*(1+IF(AND(M$6&gt;0,$B262&lt;M$6),M$4,M$5)/12),2))</f>
        <v/>
      </c>
      <c r="AS262">
        <f>IF(N261&lt;=0,0,ROUND(N261*(1+IF(AND(N$6&gt;0,$B262&lt;N$6),N$4,N$5)/12),2))</f>
        <v/>
      </c>
    </row>
    <row r="263">
      <c r="A263" t="n">
        <v>252</v>
      </c>
      <c r="B263">
        <f>EDATE(Plan!$C$6,251)</f>
        <v/>
      </c>
      <c r="C263">
        <f>IF(C262&lt;=0,0,MAX(0,AH263-O263))</f>
        <v/>
      </c>
      <c r="D263">
        <f>IF(D262&lt;=0,0,MAX(0,AI263-P263))</f>
        <v/>
      </c>
      <c r="E263">
        <f>IF(E262&lt;=0,0,MAX(0,AJ263-Q263))</f>
        <v/>
      </c>
      <c r="F263">
        <f>IF(F262&lt;=0,0,MAX(0,AK263-R263))</f>
        <v/>
      </c>
      <c r="G263">
        <f>IF(G262&lt;=0,0,MAX(0,AL263-S263))</f>
        <v/>
      </c>
      <c r="H263">
        <f>IF(H262&lt;=0,0,MAX(0,AM263-T263))</f>
        <v/>
      </c>
      <c r="I263">
        <f>IF(I262&lt;=0,0,MAX(0,AN263-U263))</f>
        <v/>
      </c>
      <c r="J263">
        <f>IF(J262&lt;=0,0,MAX(0,AO263-V263))</f>
        <v/>
      </c>
      <c r="K263">
        <f>IF(K262&lt;=0,0,MAX(0,AP263-W263))</f>
        <v/>
      </c>
      <c r="L263">
        <f>IF(L262&lt;=0,0,MAX(0,AQ263-X263))</f>
        <v/>
      </c>
      <c r="M263">
        <f>IF(M262&lt;=0,0,MAX(0,AR263-Y263))</f>
        <v/>
      </c>
      <c r="N263">
        <f>IF(N262&lt;=0,0,MAX(0,AS263-Z263))</f>
        <v/>
      </c>
      <c r="O263">
        <f>IF(C262&lt;=0,0,MIN(AH263,C$7+IF(C$2=$AA263,$AC263,IF(C$2=$AF263,$AG263,0))))</f>
        <v/>
      </c>
      <c r="P263">
        <f>IF(D262&lt;=0,0,MIN(AI263,D$7+IF(D$2=$AA263,$AC263,IF(D$2=$AF263,$AG263,0))))</f>
        <v/>
      </c>
      <c r="Q263">
        <f>IF(E262&lt;=0,0,MIN(AJ263,E$7+IF(E$2=$AA263,$AC263,IF(E$2=$AF263,$AG263,0))))</f>
        <v/>
      </c>
      <c r="R263">
        <f>IF(F262&lt;=0,0,MIN(AK263,F$7+IF(F$2=$AA263,$AC263,IF(F$2=$AF263,$AG263,0))))</f>
        <v/>
      </c>
      <c r="S263">
        <f>IF(G262&lt;=0,0,MIN(AL263,G$7+IF(G$2=$AA263,$AC263,IF(G$2=$AF263,$AG263,0))))</f>
        <v/>
      </c>
      <c r="T263">
        <f>IF(H262&lt;=0,0,MIN(AM263,H$7+IF(H$2=$AA263,$AC263,IF(H$2=$AF263,$AG263,0))))</f>
        <v/>
      </c>
      <c r="U263">
        <f>IF(I262&lt;=0,0,MIN(AN263,I$7+IF(I$2=$AA263,$AC263,IF(I$2=$AF263,$AG263,0))))</f>
        <v/>
      </c>
      <c r="V263">
        <f>IF(J262&lt;=0,0,MIN(AO263,J$7+IF(J$2=$AA263,$AC263,IF(J$2=$AF263,$AG263,0))))</f>
        <v/>
      </c>
      <c r="W263">
        <f>IF(K262&lt;=0,0,MIN(AP263,K$7+IF(K$2=$AA263,$AC263,IF(K$2=$AF263,$AG263,0))))</f>
        <v/>
      </c>
      <c r="X263">
        <f>IF(L262&lt;=0,0,MIN(AQ263,L$7+IF(L$2=$AA263,$AC263,IF(L$2=$AF263,$AG263,0))))</f>
        <v/>
      </c>
      <c r="Y263">
        <f>IF(M262&lt;=0,0,MIN(AR263,M$7+IF(M$2=$AA263,$AC263,IF(M$2=$AF263,$AG263,0))))</f>
        <v/>
      </c>
      <c r="Z263">
        <f>IF(N262&lt;=0,0,MIN(AS263,N$7+IF(N$2=$AA263,$AC263,IF(N$2=$AF263,$AG263,0))))</f>
        <v/>
      </c>
      <c r="AA263">
        <f>IFERROR(ROUND(1/SUMPRODUCT(MAX((C262:N262&gt;0)*($C$3:$N$3&lt;=B263)/$C$2:$N$2)),0),0)</f>
        <v/>
      </c>
      <c r="AB263">
        <f>SUMPRODUCT((C262:N262&gt;0)*$C$7:$N$7)</f>
        <v/>
      </c>
      <c r="AC263">
        <f>MAX(0,Plan!$C$5-AB263)+IF(A263=Plan!$C$8,N(Plan!$C$7),0)</f>
        <v/>
      </c>
      <c r="AD263">
        <f>SUM(C263:N263)</f>
        <v/>
      </c>
      <c r="AE263">
        <f>SUM(O263:Z263)</f>
        <v/>
      </c>
      <c r="AF263">
        <f>IFERROR(ROUND(1/SUMPRODUCT(MAX((C262:N262&gt;0)*($C$3:$N$3&lt;=B263)*($C$2:$N$2&gt;AA263)/$C$2:$N$2)),0),0)</f>
        <v/>
      </c>
      <c r="AG263">
        <f>MAX(0,AC263-MAX(0,SUMPRODUCT(($C$2:$N$2=AA263)*(AH263:AS263-$C$7:$N$7))))</f>
        <v/>
      </c>
      <c r="AH263">
        <f>IF(C262&lt;=0,0,ROUND(C262*(1+IF(AND(C$6&gt;0,$B263&lt;C$6),C$4,C$5)/12),2))</f>
        <v/>
      </c>
      <c r="AI263">
        <f>IF(D262&lt;=0,0,ROUND(D262*(1+IF(AND(D$6&gt;0,$B263&lt;D$6),D$4,D$5)/12),2))</f>
        <v/>
      </c>
      <c r="AJ263">
        <f>IF(E262&lt;=0,0,ROUND(E262*(1+IF(AND(E$6&gt;0,$B263&lt;E$6),E$4,E$5)/12),2))</f>
        <v/>
      </c>
      <c r="AK263">
        <f>IF(F262&lt;=0,0,ROUND(F262*(1+IF(AND(F$6&gt;0,$B263&lt;F$6),F$4,F$5)/12),2))</f>
        <v/>
      </c>
      <c r="AL263">
        <f>IF(G262&lt;=0,0,ROUND(G262*(1+IF(AND(G$6&gt;0,$B263&lt;G$6),G$4,G$5)/12),2))</f>
        <v/>
      </c>
      <c r="AM263">
        <f>IF(H262&lt;=0,0,ROUND(H262*(1+IF(AND(H$6&gt;0,$B263&lt;H$6),H$4,H$5)/12),2))</f>
        <v/>
      </c>
      <c r="AN263">
        <f>IF(I262&lt;=0,0,ROUND(I262*(1+IF(AND(I$6&gt;0,$B263&lt;I$6),I$4,I$5)/12),2))</f>
        <v/>
      </c>
      <c r="AO263">
        <f>IF(J262&lt;=0,0,ROUND(J262*(1+IF(AND(J$6&gt;0,$B263&lt;J$6),J$4,J$5)/12),2))</f>
        <v/>
      </c>
      <c r="AP263">
        <f>IF(K262&lt;=0,0,ROUND(K262*(1+IF(AND(K$6&gt;0,$B263&lt;K$6),K$4,K$5)/12),2))</f>
        <v/>
      </c>
      <c r="AQ263">
        <f>IF(L262&lt;=0,0,ROUND(L262*(1+IF(AND(L$6&gt;0,$B263&lt;L$6),L$4,L$5)/12),2))</f>
        <v/>
      </c>
      <c r="AR263">
        <f>IF(M262&lt;=0,0,ROUND(M262*(1+IF(AND(M$6&gt;0,$B263&lt;M$6),M$4,M$5)/12),2))</f>
        <v/>
      </c>
      <c r="AS263">
        <f>IF(N262&lt;=0,0,ROUND(N262*(1+IF(AND(N$6&gt;0,$B263&lt;N$6),N$4,N$5)/12),2))</f>
        <v/>
      </c>
    </row>
    <row r="264">
      <c r="A264" t="n">
        <v>253</v>
      </c>
      <c r="B264">
        <f>EDATE(Plan!$C$6,252)</f>
        <v/>
      </c>
      <c r="C264">
        <f>IF(C263&lt;=0,0,MAX(0,AH264-O264))</f>
        <v/>
      </c>
      <c r="D264">
        <f>IF(D263&lt;=0,0,MAX(0,AI264-P264))</f>
        <v/>
      </c>
      <c r="E264">
        <f>IF(E263&lt;=0,0,MAX(0,AJ264-Q264))</f>
        <v/>
      </c>
      <c r="F264">
        <f>IF(F263&lt;=0,0,MAX(0,AK264-R264))</f>
        <v/>
      </c>
      <c r="G264">
        <f>IF(G263&lt;=0,0,MAX(0,AL264-S264))</f>
        <v/>
      </c>
      <c r="H264">
        <f>IF(H263&lt;=0,0,MAX(0,AM264-T264))</f>
        <v/>
      </c>
      <c r="I264">
        <f>IF(I263&lt;=0,0,MAX(0,AN264-U264))</f>
        <v/>
      </c>
      <c r="J264">
        <f>IF(J263&lt;=0,0,MAX(0,AO264-V264))</f>
        <v/>
      </c>
      <c r="K264">
        <f>IF(K263&lt;=0,0,MAX(0,AP264-W264))</f>
        <v/>
      </c>
      <c r="L264">
        <f>IF(L263&lt;=0,0,MAX(0,AQ264-X264))</f>
        <v/>
      </c>
      <c r="M264">
        <f>IF(M263&lt;=0,0,MAX(0,AR264-Y264))</f>
        <v/>
      </c>
      <c r="N264">
        <f>IF(N263&lt;=0,0,MAX(0,AS264-Z264))</f>
        <v/>
      </c>
      <c r="O264">
        <f>IF(C263&lt;=0,0,MIN(AH264,C$7+IF(C$2=$AA264,$AC264,IF(C$2=$AF264,$AG264,0))))</f>
        <v/>
      </c>
      <c r="P264">
        <f>IF(D263&lt;=0,0,MIN(AI264,D$7+IF(D$2=$AA264,$AC264,IF(D$2=$AF264,$AG264,0))))</f>
        <v/>
      </c>
      <c r="Q264">
        <f>IF(E263&lt;=0,0,MIN(AJ264,E$7+IF(E$2=$AA264,$AC264,IF(E$2=$AF264,$AG264,0))))</f>
        <v/>
      </c>
      <c r="R264">
        <f>IF(F263&lt;=0,0,MIN(AK264,F$7+IF(F$2=$AA264,$AC264,IF(F$2=$AF264,$AG264,0))))</f>
        <v/>
      </c>
      <c r="S264">
        <f>IF(G263&lt;=0,0,MIN(AL264,G$7+IF(G$2=$AA264,$AC264,IF(G$2=$AF264,$AG264,0))))</f>
        <v/>
      </c>
      <c r="T264">
        <f>IF(H263&lt;=0,0,MIN(AM264,H$7+IF(H$2=$AA264,$AC264,IF(H$2=$AF264,$AG264,0))))</f>
        <v/>
      </c>
      <c r="U264">
        <f>IF(I263&lt;=0,0,MIN(AN264,I$7+IF(I$2=$AA264,$AC264,IF(I$2=$AF264,$AG264,0))))</f>
        <v/>
      </c>
      <c r="V264">
        <f>IF(J263&lt;=0,0,MIN(AO264,J$7+IF(J$2=$AA264,$AC264,IF(J$2=$AF264,$AG264,0))))</f>
        <v/>
      </c>
      <c r="W264">
        <f>IF(K263&lt;=0,0,MIN(AP264,K$7+IF(K$2=$AA264,$AC264,IF(K$2=$AF264,$AG264,0))))</f>
        <v/>
      </c>
      <c r="X264">
        <f>IF(L263&lt;=0,0,MIN(AQ264,L$7+IF(L$2=$AA264,$AC264,IF(L$2=$AF264,$AG264,0))))</f>
        <v/>
      </c>
      <c r="Y264">
        <f>IF(M263&lt;=0,0,MIN(AR264,M$7+IF(M$2=$AA264,$AC264,IF(M$2=$AF264,$AG264,0))))</f>
        <v/>
      </c>
      <c r="Z264">
        <f>IF(N263&lt;=0,0,MIN(AS264,N$7+IF(N$2=$AA264,$AC264,IF(N$2=$AF264,$AG264,0))))</f>
        <v/>
      </c>
      <c r="AA264">
        <f>IFERROR(ROUND(1/SUMPRODUCT(MAX((C263:N263&gt;0)*($C$3:$N$3&lt;=B264)/$C$2:$N$2)),0),0)</f>
        <v/>
      </c>
      <c r="AB264">
        <f>SUMPRODUCT((C263:N263&gt;0)*$C$7:$N$7)</f>
        <v/>
      </c>
      <c r="AC264">
        <f>MAX(0,Plan!$C$5-AB264)+IF(A264=Plan!$C$8,N(Plan!$C$7),0)</f>
        <v/>
      </c>
      <c r="AD264">
        <f>SUM(C264:N264)</f>
        <v/>
      </c>
      <c r="AE264">
        <f>SUM(O264:Z264)</f>
        <v/>
      </c>
      <c r="AF264">
        <f>IFERROR(ROUND(1/SUMPRODUCT(MAX((C263:N263&gt;0)*($C$3:$N$3&lt;=B264)*($C$2:$N$2&gt;AA264)/$C$2:$N$2)),0),0)</f>
        <v/>
      </c>
      <c r="AG264">
        <f>MAX(0,AC264-MAX(0,SUMPRODUCT(($C$2:$N$2=AA264)*(AH264:AS264-$C$7:$N$7))))</f>
        <v/>
      </c>
      <c r="AH264">
        <f>IF(C263&lt;=0,0,ROUND(C263*(1+IF(AND(C$6&gt;0,$B264&lt;C$6),C$4,C$5)/12),2))</f>
        <v/>
      </c>
      <c r="AI264">
        <f>IF(D263&lt;=0,0,ROUND(D263*(1+IF(AND(D$6&gt;0,$B264&lt;D$6),D$4,D$5)/12),2))</f>
        <v/>
      </c>
      <c r="AJ264">
        <f>IF(E263&lt;=0,0,ROUND(E263*(1+IF(AND(E$6&gt;0,$B264&lt;E$6),E$4,E$5)/12),2))</f>
        <v/>
      </c>
      <c r="AK264">
        <f>IF(F263&lt;=0,0,ROUND(F263*(1+IF(AND(F$6&gt;0,$B264&lt;F$6),F$4,F$5)/12),2))</f>
        <v/>
      </c>
      <c r="AL264">
        <f>IF(G263&lt;=0,0,ROUND(G263*(1+IF(AND(G$6&gt;0,$B264&lt;G$6),G$4,G$5)/12),2))</f>
        <v/>
      </c>
      <c r="AM264">
        <f>IF(H263&lt;=0,0,ROUND(H263*(1+IF(AND(H$6&gt;0,$B264&lt;H$6),H$4,H$5)/12),2))</f>
        <v/>
      </c>
      <c r="AN264">
        <f>IF(I263&lt;=0,0,ROUND(I263*(1+IF(AND(I$6&gt;0,$B264&lt;I$6),I$4,I$5)/12),2))</f>
        <v/>
      </c>
      <c r="AO264">
        <f>IF(J263&lt;=0,0,ROUND(J263*(1+IF(AND(J$6&gt;0,$B264&lt;J$6),J$4,J$5)/12),2))</f>
        <v/>
      </c>
      <c r="AP264">
        <f>IF(K263&lt;=0,0,ROUND(K263*(1+IF(AND(K$6&gt;0,$B264&lt;K$6),K$4,K$5)/12),2))</f>
        <v/>
      </c>
      <c r="AQ264">
        <f>IF(L263&lt;=0,0,ROUND(L263*(1+IF(AND(L$6&gt;0,$B264&lt;L$6),L$4,L$5)/12),2))</f>
        <v/>
      </c>
      <c r="AR264">
        <f>IF(M263&lt;=0,0,ROUND(M263*(1+IF(AND(M$6&gt;0,$B264&lt;M$6),M$4,M$5)/12),2))</f>
        <v/>
      </c>
      <c r="AS264">
        <f>IF(N263&lt;=0,0,ROUND(N263*(1+IF(AND(N$6&gt;0,$B264&lt;N$6),N$4,N$5)/12),2))</f>
        <v/>
      </c>
    </row>
    <row r="265">
      <c r="A265" t="n">
        <v>254</v>
      </c>
      <c r="B265">
        <f>EDATE(Plan!$C$6,253)</f>
        <v/>
      </c>
      <c r="C265">
        <f>IF(C264&lt;=0,0,MAX(0,AH265-O265))</f>
        <v/>
      </c>
      <c r="D265">
        <f>IF(D264&lt;=0,0,MAX(0,AI265-P265))</f>
        <v/>
      </c>
      <c r="E265">
        <f>IF(E264&lt;=0,0,MAX(0,AJ265-Q265))</f>
        <v/>
      </c>
      <c r="F265">
        <f>IF(F264&lt;=0,0,MAX(0,AK265-R265))</f>
        <v/>
      </c>
      <c r="G265">
        <f>IF(G264&lt;=0,0,MAX(0,AL265-S265))</f>
        <v/>
      </c>
      <c r="H265">
        <f>IF(H264&lt;=0,0,MAX(0,AM265-T265))</f>
        <v/>
      </c>
      <c r="I265">
        <f>IF(I264&lt;=0,0,MAX(0,AN265-U265))</f>
        <v/>
      </c>
      <c r="J265">
        <f>IF(J264&lt;=0,0,MAX(0,AO265-V265))</f>
        <v/>
      </c>
      <c r="K265">
        <f>IF(K264&lt;=0,0,MAX(0,AP265-W265))</f>
        <v/>
      </c>
      <c r="L265">
        <f>IF(L264&lt;=0,0,MAX(0,AQ265-X265))</f>
        <v/>
      </c>
      <c r="M265">
        <f>IF(M264&lt;=0,0,MAX(0,AR265-Y265))</f>
        <v/>
      </c>
      <c r="N265">
        <f>IF(N264&lt;=0,0,MAX(0,AS265-Z265))</f>
        <v/>
      </c>
      <c r="O265">
        <f>IF(C264&lt;=0,0,MIN(AH265,C$7+IF(C$2=$AA265,$AC265,IF(C$2=$AF265,$AG265,0))))</f>
        <v/>
      </c>
      <c r="P265">
        <f>IF(D264&lt;=0,0,MIN(AI265,D$7+IF(D$2=$AA265,$AC265,IF(D$2=$AF265,$AG265,0))))</f>
        <v/>
      </c>
      <c r="Q265">
        <f>IF(E264&lt;=0,0,MIN(AJ265,E$7+IF(E$2=$AA265,$AC265,IF(E$2=$AF265,$AG265,0))))</f>
        <v/>
      </c>
      <c r="R265">
        <f>IF(F264&lt;=0,0,MIN(AK265,F$7+IF(F$2=$AA265,$AC265,IF(F$2=$AF265,$AG265,0))))</f>
        <v/>
      </c>
      <c r="S265">
        <f>IF(G264&lt;=0,0,MIN(AL265,G$7+IF(G$2=$AA265,$AC265,IF(G$2=$AF265,$AG265,0))))</f>
        <v/>
      </c>
      <c r="T265">
        <f>IF(H264&lt;=0,0,MIN(AM265,H$7+IF(H$2=$AA265,$AC265,IF(H$2=$AF265,$AG265,0))))</f>
        <v/>
      </c>
      <c r="U265">
        <f>IF(I264&lt;=0,0,MIN(AN265,I$7+IF(I$2=$AA265,$AC265,IF(I$2=$AF265,$AG265,0))))</f>
        <v/>
      </c>
      <c r="V265">
        <f>IF(J264&lt;=0,0,MIN(AO265,J$7+IF(J$2=$AA265,$AC265,IF(J$2=$AF265,$AG265,0))))</f>
        <v/>
      </c>
      <c r="W265">
        <f>IF(K264&lt;=0,0,MIN(AP265,K$7+IF(K$2=$AA265,$AC265,IF(K$2=$AF265,$AG265,0))))</f>
        <v/>
      </c>
      <c r="X265">
        <f>IF(L264&lt;=0,0,MIN(AQ265,L$7+IF(L$2=$AA265,$AC265,IF(L$2=$AF265,$AG265,0))))</f>
        <v/>
      </c>
      <c r="Y265">
        <f>IF(M264&lt;=0,0,MIN(AR265,M$7+IF(M$2=$AA265,$AC265,IF(M$2=$AF265,$AG265,0))))</f>
        <v/>
      </c>
      <c r="Z265">
        <f>IF(N264&lt;=0,0,MIN(AS265,N$7+IF(N$2=$AA265,$AC265,IF(N$2=$AF265,$AG265,0))))</f>
        <v/>
      </c>
      <c r="AA265">
        <f>IFERROR(ROUND(1/SUMPRODUCT(MAX((C264:N264&gt;0)*($C$3:$N$3&lt;=B265)/$C$2:$N$2)),0),0)</f>
        <v/>
      </c>
      <c r="AB265">
        <f>SUMPRODUCT((C264:N264&gt;0)*$C$7:$N$7)</f>
        <v/>
      </c>
      <c r="AC265">
        <f>MAX(0,Plan!$C$5-AB265)+IF(A265=Plan!$C$8,N(Plan!$C$7),0)</f>
        <v/>
      </c>
      <c r="AD265">
        <f>SUM(C265:N265)</f>
        <v/>
      </c>
      <c r="AE265">
        <f>SUM(O265:Z265)</f>
        <v/>
      </c>
      <c r="AF265">
        <f>IFERROR(ROUND(1/SUMPRODUCT(MAX((C264:N264&gt;0)*($C$3:$N$3&lt;=B265)*($C$2:$N$2&gt;AA265)/$C$2:$N$2)),0),0)</f>
        <v/>
      </c>
      <c r="AG265">
        <f>MAX(0,AC265-MAX(0,SUMPRODUCT(($C$2:$N$2=AA265)*(AH265:AS265-$C$7:$N$7))))</f>
        <v/>
      </c>
      <c r="AH265">
        <f>IF(C264&lt;=0,0,ROUND(C264*(1+IF(AND(C$6&gt;0,$B265&lt;C$6),C$4,C$5)/12),2))</f>
        <v/>
      </c>
      <c r="AI265">
        <f>IF(D264&lt;=0,0,ROUND(D264*(1+IF(AND(D$6&gt;0,$B265&lt;D$6),D$4,D$5)/12),2))</f>
        <v/>
      </c>
      <c r="AJ265">
        <f>IF(E264&lt;=0,0,ROUND(E264*(1+IF(AND(E$6&gt;0,$B265&lt;E$6),E$4,E$5)/12),2))</f>
        <v/>
      </c>
      <c r="AK265">
        <f>IF(F264&lt;=0,0,ROUND(F264*(1+IF(AND(F$6&gt;0,$B265&lt;F$6),F$4,F$5)/12),2))</f>
        <v/>
      </c>
      <c r="AL265">
        <f>IF(G264&lt;=0,0,ROUND(G264*(1+IF(AND(G$6&gt;0,$B265&lt;G$6),G$4,G$5)/12),2))</f>
        <v/>
      </c>
      <c r="AM265">
        <f>IF(H264&lt;=0,0,ROUND(H264*(1+IF(AND(H$6&gt;0,$B265&lt;H$6),H$4,H$5)/12),2))</f>
        <v/>
      </c>
      <c r="AN265">
        <f>IF(I264&lt;=0,0,ROUND(I264*(1+IF(AND(I$6&gt;0,$B265&lt;I$6),I$4,I$5)/12),2))</f>
        <v/>
      </c>
      <c r="AO265">
        <f>IF(J264&lt;=0,0,ROUND(J264*(1+IF(AND(J$6&gt;0,$B265&lt;J$6),J$4,J$5)/12),2))</f>
        <v/>
      </c>
      <c r="AP265">
        <f>IF(K264&lt;=0,0,ROUND(K264*(1+IF(AND(K$6&gt;0,$B265&lt;K$6),K$4,K$5)/12),2))</f>
        <v/>
      </c>
      <c r="AQ265">
        <f>IF(L264&lt;=0,0,ROUND(L264*(1+IF(AND(L$6&gt;0,$B265&lt;L$6),L$4,L$5)/12),2))</f>
        <v/>
      </c>
      <c r="AR265">
        <f>IF(M264&lt;=0,0,ROUND(M264*(1+IF(AND(M$6&gt;0,$B265&lt;M$6),M$4,M$5)/12),2))</f>
        <v/>
      </c>
      <c r="AS265">
        <f>IF(N264&lt;=0,0,ROUND(N264*(1+IF(AND(N$6&gt;0,$B265&lt;N$6),N$4,N$5)/12),2))</f>
        <v/>
      </c>
    </row>
    <row r="266">
      <c r="A266" t="n">
        <v>255</v>
      </c>
      <c r="B266">
        <f>EDATE(Plan!$C$6,254)</f>
        <v/>
      </c>
      <c r="C266">
        <f>IF(C265&lt;=0,0,MAX(0,AH266-O266))</f>
        <v/>
      </c>
      <c r="D266">
        <f>IF(D265&lt;=0,0,MAX(0,AI266-P266))</f>
        <v/>
      </c>
      <c r="E266">
        <f>IF(E265&lt;=0,0,MAX(0,AJ266-Q266))</f>
        <v/>
      </c>
      <c r="F266">
        <f>IF(F265&lt;=0,0,MAX(0,AK266-R266))</f>
        <v/>
      </c>
      <c r="G266">
        <f>IF(G265&lt;=0,0,MAX(0,AL266-S266))</f>
        <v/>
      </c>
      <c r="H266">
        <f>IF(H265&lt;=0,0,MAX(0,AM266-T266))</f>
        <v/>
      </c>
      <c r="I266">
        <f>IF(I265&lt;=0,0,MAX(0,AN266-U266))</f>
        <v/>
      </c>
      <c r="J266">
        <f>IF(J265&lt;=0,0,MAX(0,AO266-V266))</f>
        <v/>
      </c>
      <c r="K266">
        <f>IF(K265&lt;=0,0,MAX(0,AP266-W266))</f>
        <v/>
      </c>
      <c r="L266">
        <f>IF(L265&lt;=0,0,MAX(0,AQ266-X266))</f>
        <v/>
      </c>
      <c r="M266">
        <f>IF(M265&lt;=0,0,MAX(0,AR266-Y266))</f>
        <v/>
      </c>
      <c r="N266">
        <f>IF(N265&lt;=0,0,MAX(0,AS266-Z266))</f>
        <v/>
      </c>
      <c r="O266">
        <f>IF(C265&lt;=0,0,MIN(AH266,C$7+IF(C$2=$AA266,$AC266,IF(C$2=$AF266,$AG266,0))))</f>
        <v/>
      </c>
      <c r="P266">
        <f>IF(D265&lt;=0,0,MIN(AI266,D$7+IF(D$2=$AA266,$AC266,IF(D$2=$AF266,$AG266,0))))</f>
        <v/>
      </c>
      <c r="Q266">
        <f>IF(E265&lt;=0,0,MIN(AJ266,E$7+IF(E$2=$AA266,$AC266,IF(E$2=$AF266,$AG266,0))))</f>
        <v/>
      </c>
      <c r="R266">
        <f>IF(F265&lt;=0,0,MIN(AK266,F$7+IF(F$2=$AA266,$AC266,IF(F$2=$AF266,$AG266,0))))</f>
        <v/>
      </c>
      <c r="S266">
        <f>IF(G265&lt;=0,0,MIN(AL266,G$7+IF(G$2=$AA266,$AC266,IF(G$2=$AF266,$AG266,0))))</f>
        <v/>
      </c>
      <c r="T266">
        <f>IF(H265&lt;=0,0,MIN(AM266,H$7+IF(H$2=$AA266,$AC266,IF(H$2=$AF266,$AG266,0))))</f>
        <v/>
      </c>
      <c r="U266">
        <f>IF(I265&lt;=0,0,MIN(AN266,I$7+IF(I$2=$AA266,$AC266,IF(I$2=$AF266,$AG266,0))))</f>
        <v/>
      </c>
      <c r="V266">
        <f>IF(J265&lt;=0,0,MIN(AO266,J$7+IF(J$2=$AA266,$AC266,IF(J$2=$AF266,$AG266,0))))</f>
        <v/>
      </c>
      <c r="W266">
        <f>IF(K265&lt;=0,0,MIN(AP266,K$7+IF(K$2=$AA266,$AC266,IF(K$2=$AF266,$AG266,0))))</f>
        <v/>
      </c>
      <c r="X266">
        <f>IF(L265&lt;=0,0,MIN(AQ266,L$7+IF(L$2=$AA266,$AC266,IF(L$2=$AF266,$AG266,0))))</f>
        <v/>
      </c>
      <c r="Y266">
        <f>IF(M265&lt;=0,0,MIN(AR266,M$7+IF(M$2=$AA266,$AC266,IF(M$2=$AF266,$AG266,0))))</f>
        <v/>
      </c>
      <c r="Z266">
        <f>IF(N265&lt;=0,0,MIN(AS266,N$7+IF(N$2=$AA266,$AC266,IF(N$2=$AF266,$AG266,0))))</f>
        <v/>
      </c>
      <c r="AA266">
        <f>IFERROR(ROUND(1/SUMPRODUCT(MAX((C265:N265&gt;0)*($C$3:$N$3&lt;=B266)/$C$2:$N$2)),0),0)</f>
        <v/>
      </c>
      <c r="AB266">
        <f>SUMPRODUCT((C265:N265&gt;0)*$C$7:$N$7)</f>
        <v/>
      </c>
      <c r="AC266">
        <f>MAX(0,Plan!$C$5-AB266)+IF(A266=Plan!$C$8,N(Plan!$C$7),0)</f>
        <v/>
      </c>
      <c r="AD266">
        <f>SUM(C266:N266)</f>
        <v/>
      </c>
      <c r="AE266">
        <f>SUM(O266:Z266)</f>
        <v/>
      </c>
      <c r="AF266">
        <f>IFERROR(ROUND(1/SUMPRODUCT(MAX((C265:N265&gt;0)*($C$3:$N$3&lt;=B266)*($C$2:$N$2&gt;AA266)/$C$2:$N$2)),0),0)</f>
        <v/>
      </c>
      <c r="AG266">
        <f>MAX(0,AC266-MAX(0,SUMPRODUCT(($C$2:$N$2=AA266)*(AH266:AS266-$C$7:$N$7))))</f>
        <v/>
      </c>
      <c r="AH266">
        <f>IF(C265&lt;=0,0,ROUND(C265*(1+IF(AND(C$6&gt;0,$B266&lt;C$6),C$4,C$5)/12),2))</f>
        <v/>
      </c>
      <c r="AI266">
        <f>IF(D265&lt;=0,0,ROUND(D265*(1+IF(AND(D$6&gt;0,$B266&lt;D$6),D$4,D$5)/12),2))</f>
        <v/>
      </c>
      <c r="AJ266">
        <f>IF(E265&lt;=0,0,ROUND(E265*(1+IF(AND(E$6&gt;0,$B266&lt;E$6),E$4,E$5)/12),2))</f>
        <v/>
      </c>
      <c r="AK266">
        <f>IF(F265&lt;=0,0,ROUND(F265*(1+IF(AND(F$6&gt;0,$B266&lt;F$6),F$4,F$5)/12),2))</f>
        <v/>
      </c>
      <c r="AL266">
        <f>IF(G265&lt;=0,0,ROUND(G265*(1+IF(AND(G$6&gt;0,$B266&lt;G$6),G$4,G$5)/12),2))</f>
        <v/>
      </c>
      <c r="AM266">
        <f>IF(H265&lt;=0,0,ROUND(H265*(1+IF(AND(H$6&gt;0,$B266&lt;H$6),H$4,H$5)/12),2))</f>
        <v/>
      </c>
      <c r="AN266">
        <f>IF(I265&lt;=0,0,ROUND(I265*(1+IF(AND(I$6&gt;0,$B266&lt;I$6),I$4,I$5)/12),2))</f>
        <v/>
      </c>
      <c r="AO266">
        <f>IF(J265&lt;=0,0,ROUND(J265*(1+IF(AND(J$6&gt;0,$B266&lt;J$6),J$4,J$5)/12),2))</f>
        <v/>
      </c>
      <c r="AP266">
        <f>IF(K265&lt;=0,0,ROUND(K265*(1+IF(AND(K$6&gt;0,$B266&lt;K$6),K$4,K$5)/12),2))</f>
        <v/>
      </c>
      <c r="AQ266">
        <f>IF(L265&lt;=0,0,ROUND(L265*(1+IF(AND(L$6&gt;0,$B266&lt;L$6),L$4,L$5)/12),2))</f>
        <v/>
      </c>
      <c r="AR266">
        <f>IF(M265&lt;=0,0,ROUND(M265*(1+IF(AND(M$6&gt;0,$B266&lt;M$6),M$4,M$5)/12),2))</f>
        <v/>
      </c>
      <c r="AS266">
        <f>IF(N265&lt;=0,0,ROUND(N265*(1+IF(AND(N$6&gt;0,$B266&lt;N$6),N$4,N$5)/12),2))</f>
        <v/>
      </c>
    </row>
    <row r="267">
      <c r="A267" t="n">
        <v>256</v>
      </c>
      <c r="B267">
        <f>EDATE(Plan!$C$6,255)</f>
        <v/>
      </c>
      <c r="C267">
        <f>IF(C266&lt;=0,0,MAX(0,AH267-O267))</f>
        <v/>
      </c>
      <c r="D267">
        <f>IF(D266&lt;=0,0,MAX(0,AI267-P267))</f>
        <v/>
      </c>
      <c r="E267">
        <f>IF(E266&lt;=0,0,MAX(0,AJ267-Q267))</f>
        <v/>
      </c>
      <c r="F267">
        <f>IF(F266&lt;=0,0,MAX(0,AK267-R267))</f>
        <v/>
      </c>
      <c r="G267">
        <f>IF(G266&lt;=0,0,MAX(0,AL267-S267))</f>
        <v/>
      </c>
      <c r="H267">
        <f>IF(H266&lt;=0,0,MAX(0,AM267-T267))</f>
        <v/>
      </c>
      <c r="I267">
        <f>IF(I266&lt;=0,0,MAX(0,AN267-U267))</f>
        <v/>
      </c>
      <c r="J267">
        <f>IF(J266&lt;=0,0,MAX(0,AO267-V267))</f>
        <v/>
      </c>
      <c r="K267">
        <f>IF(K266&lt;=0,0,MAX(0,AP267-W267))</f>
        <v/>
      </c>
      <c r="L267">
        <f>IF(L266&lt;=0,0,MAX(0,AQ267-X267))</f>
        <v/>
      </c>
      <c r="M267">
        <f>IF(M266&lt;=0,0,MAX(0,AR267-Y267))</f>
        <v/>
      </c>
      <c r="N267">
        <f>IF(N266&lt;=0,0,MAX(0,AS267-Z267))</f>
        <v/>
      </c>
      <c r="O267">
        <f>IF(C266&lt;=0,0,MIN(AH267,C$7+IF(C$2=$AA267,$AC267,IF(C$2=$AF267,$AG267,0))))</f>
        <v/>
      </c>
      <c r="P267">
        <f>IF(D266&lt;=0,0,MIN(AI267,D$7+IF(D$2=$AA267,$AC267,IF(D$2=$AF267,$AG267,0))))</f>
        <v/>
      </c>
      <c r="Q267">
        <f>IF(E266&lt;=0,0,MIN(AJ267,E$7+IF(E$2=$AA267,$AC267,IF(E$2=$AF267,$AG267,0))))</f>
        <v/>
      </c>
      <c r="R267">
        <f>IF(F266&lt;=0,0,MIN(AK267,F$7+IF(F$2=$AA267,$AC267,IF(F$2=$AF267,$AG267,0))))</f>
        <v/>
      </c>
      <c r="S267">
        <f>IF(G266&lt;=0,0,MIN(AL267,G$7+IF(G$2=$AA267,$AC267,IF(G$2=$AF267,$AG267,0))))</f>
        <v/>
      </c>
      <c r="T267">
        <f>IF(H266&lt;=0,0,MIN(AM267,H$7+IF(H$2=$AA267,$AC267,IF(H$2=$AF267,$AG267,0))))</f>
        <v/>
      </c>
      <c r="U267">
        <f>IF(I266&lt;=0,0,MIN(AN267,I$7+IF(I$2=$AA267,$AC267,IF(I$2=$AF267,$AG267,0))))</f>
        <v/>
      </c>
      <c r="V267">
        <f>IF(J266&lt;=0,0,MIN(AO267,J$7+IF(J$2=$AA267,$AC267,IF(J$2=$AF267,$AG267,0))))</f>
        <v/>
      </c>
      <c r="W267">
        <f>IF(K266&lt;=0,0,MIN(AP267,K$7+IF(K$2=$AA267,$AC267,IF(K$2=$AF267,$AG267,0))))</f>
        <v/>
      </c>
      <c r="X267">
        <f>IF(L266&lt;=0,0,MIN(AQ267,L$7+IF(L$2=$AA267,$AC267,IF(L$2=$AF267,$AG267,0))))</f>
        <v/>
      </c>
      <c r="Y267">
        <f>IF(M266&lt;=0,0,MIN(AR267,M$7+IF(M$2=$AA267,$AC267,IF(M$2=$AF267,$AG267,0))))</f>
        <v/>
      </c>
      <c r="Z267">
        <f>IF(N266&lt;=0,0,MIN(AS267,N$7+IF(N$2=$AA267,$AC267,IF(N$2=$AF267,$AG267,0))))</f>
        <v/>
      </c>
      <c r="AA267">
        <f>IFERROR(ROUND(1/SUMPRODUCT(MAX((C266:N266&gt;0)*($C$3:$N$3&lt;=B267)/$C$2:$N$2)),0),0)</f>
        <v/>
      </c>
      <c r="AB267">
        <f>SUMPRODUCT((C266:N266&gt;0)*$C$7:$N$7)</f>
        <v/>
      </c>
      <c r="AC267">
        <f>MAX(0,Plan!$C$5-AB267)+IF(A267=Plan!$C$8,N(Plan!$C$7),0)</f>
        <v/>
      </c>
      <c r="AD267">
        <f>SUM(C267:N267)</f>
        <v/>
      </c>
      <c r="AE267">
        <f>SUM(O267:Z267)</f>
        <v/>
      </c>
      <c r="AF267">
        <f>IFERROR(ROUND(1/SUMPRODUCT(MAX((C266:N266&gt;0)*($C$3:$N$3&lt;=B267)*($C$2:$N$2&gt;AA267)/$C$2:$N$2)),0),0)</f>
        <v/>
      </c>
      <c r="AG267">
        <f>MAX(0,AC267-MAX(0,SUMPRODUCT(($C$2:$N$2=AA267)*(AH267:AS267-$C$7:$N$7))))</f>
        <v/>
      </c>
      <c r="AH267">
        <f>IF(C266&lt;=0,0,ROUND(C266*(1+IF(AND(C$6&gt;0,$B267&lt;C$6),C$4,C$5)/12),2))</f>
        <v/>
      </c>
      <c r="AI267">
        <f>IF(D266&lt;=0,0,ROUND(D266*(1+IF(AND(D$6&gt;0,$B267&lt;D$6),D$4,D$5)/12),2))</f>
        <v/>
      </c>
      <c r="AJ267">
        <f>IF(E266&lt;=0,0,ROUND(E266*(1+IF(AND(E$6&gt;0,$B267&lt;E$6),E$4,E$5)/12),2))</f>
        <v/>
      </c>
      <c r="AK267">
        <f>IF(F266&lt;=0,0,ROUND(F266*(1+IF(AND(F$6&gt;0,$B267&lt;F$6),F$4,F$5)/12),2))</f>
        <v/>
      </c>
      <c r="AL267">
        <f>IF(G266&lt;=0,0,ROUND(G266*(1+IF(AND(G$6&gt;0,$B267&lt;G$6),G$4,G$5)/12),2))</f>
        <v/>
      </c>
      <c r="AM267">
        <f>IF(H266&lt;=0,0,ROUND(H266*(1+IF(AND(H$6&gt;0,$B267&lt;H$6),H$4,H$5)/12),2))</f>
        <v/>
      </c>
      <c r="AN267">
        <f>IF(I266&lt;=0,0,ROUND(I266*(1+IF(AND(I$6&gt;0,$B267&lt;I$6),I$4,I$5)/12),2))</f>
        <v/>
      </c>
      <c r="AO267">
        <f>IF(J266&lt;=0,0,ROUND(J266*(1+IF(AND(J$6&gt;0,$B267&lt;J$6),J$4,J$5)/12),2))</f>
        <v/>
      </c>
      <c r="AP267">
        <f>IF(K266&lt;=0,0,ROUND(K266*(1+IF(AND(K$6&gt;0,$B267&lt;K$6),K$4,K$5)/12),2))</f>
        <v/>
      </c>
      <c r="AQ267">
        <f>IF(L266&lt;=0,0,ROUND(L266*(1+IF(AND(L$6&gt;0,$B267&lt;L$6),L$4,L$5)/12),2))</f>
        <v/>
      </c>
      <c r="AR267">
        <f>IF(M266&lt;=0,0,ROUND(M266*(1+IF(AND(M$6&gt;0,$B267&lt;M$6),M$4,M$5)/12),2))</f>
        <v/>
      </c>
      <c r="AS267">
        <f>IF(N266&lt;=0,0,ROUND(N266*(1+IF(AND(N$6&gt;0,$B267&lt;N$6),N$4,N$5)/12),2))</f>
        <v/>
      </c>
    </row>
    <row r="268">
      <c r="A268" t="n">
        <v>257</v>
      </c>
      <c r="B268">
        <f>EDATE(Plan!$C$6,256)</f>
        <v/>
      </c>
      <c r="C268">
        <f>IF(C267&lt;=0,0,MAX(0,AH268-O268))</f>
        <v/>
      </c>
      <c r="D268">
        <f>IF(D267&lt;=0,0,MAX(0,AI268-P268))</f>
        <v/>
      </c>
      <c r="E268">
        <f>IF(E267&lt;=0,0,MAX(0,AJ268-Q268))</f>
        <v/>
      </c>
      <c r="F268">
        <f>IF(F267&lt;=0,0,MAX(0,AK268-R268))</f>
        <v/>
      </c>
      <c r="G268">
        <f>IF(G267&lt;=0,0,MAX(0,AL268-S268))</f>
        <v/>
      </c>
      <c r="H268">
        <f>IF(H267&lt;=0,0,MAX(0,AM268-T268))</f>
        <v/>
      </c>
      <c r="I268">
        <f>IF(I267&lt;=0,0,MAX(0,AN268-U268))</f>
        <v/>
      </c>
      <c r="J268">
        <f>IF(J267&lt;=0,0,MAX(0,AO268-V268))</f>
        <v/>
      </c>
      <c r="K268">
        <f>IF(K267&lt;=0,0,MAX(0,AP268-W268))</f>
        <v/>
      </c>
      <c r="L268">
        <f>IF(L267&lt;=0,0,MAX(0,AQ268-X268))</f>
        <v/>
      </c>
      <c r="M268">
        <f>IF(M267&lt;=0,0,MAX(0,AR268-Y268))</f>
        <v/>
      </c>
      <c r="N268">
        <f>IF(N267&lt;=0,0,MAX(0,AS268-Z268))</f>
        <v/>
      </c>
      <c r="O268">
        <f>IF(C267&lt;=0,0,MIN(AH268,C$7+IF(C$2=$AA268,$AC268,IF(C$2=$AF268,$AG268,0))))</f>
        <v/>
      </c>
      <c r="P268">
        <f>IF(D267&lt;=0,0,MIN(AI268,D$7+IF(D$2=$AA268,$AC268,IF(D$2=$AF268,$AG268,0))))</f>
        <v/>
      </c>
      <c r="Q268">
        <f>IF(E267&lt;=0,0,MIN(AJ268,E$7+IF(E$2=$AA268,$AC268,IF(E$2=$AF268,$AG268,0))))</f>
        <v/>
      </c>
      <c r="R268">
        <f>IF(F267&lt;=0,0,MIN(AK268,F$7+IF(F$2=$AA268,$AC268,IF(F$2=$AF268,$AG268,0))))</f>
        <v/>
      </c>
      <c r="S268">
        <f>IF(G267&lt;=0,0,MIN(AL268,G$7+IF(G$2=$AA268,$AC268,IF(G$2=$AF268,$AG268,0))))</f>
        <v/>
      </c>
      <c r="T268">
        <f>IF(H267&lt;=0,0,MIN(AM268,H$7+IF(H$2=$AA268,$AC268,IF(H$2=$AF268,$AG268,0))))</f>
        <v/>
      </c>
      <c r="U268">
        <f>IF(I267&lt;=0,0,MIN(AN268,I$7+IF(I$2=$AA268,$AC268,IF(I$2=$AF268,$AG268,0))))</f>
        <v/>
      </c>
      <c r="V268">
        <f>IF(J267&lt;=0,0,MIN(AO268,J$7+IF(J$2=$AA268,$AC268,IF(J$2=$AF268,$AG268,0))))</f>
        <v/>
      </c>
      <c r="W268">
        <f>IF(K267&lt;=0,0,MIN(AP268,K$7+IF(K$2=$AA268,$AC268,IF(K$2=$AF268,$AG268,0))))</f>
        <v/>
      </c>
      <c r="X268">
        <f>IF(L267&lt;=0,0,MIN(AQ268,L$7+IF(L$2=$AA268,$AC268,IF(L$2=$AF268,$AG268,0))))</f>
        <v/>
      </c>
      <c r="Y268">
        <f>IF(M267&lt;=0,0,MIN(AR268,M$7+IF(M$2=$AA268,$AC268,IF(M$2=$AF268,$AG268,0))))</f>
        <v/>
      </c>
      <c r="Z268">
        <f>IF(N267&lt;=0,0,MIN(AS268,N$7+IF(N$2=$AA268,$AC268,IF(N$2=$AF268,$AG268,0))))</f>
        <v/>
      </c>
      <c r="AA268">
        <f>IFERROR(ROUND(1/SUMPRODUCT(MAX((C267:N267&gt;0)*($C$3:$N$3&lt;=B268)/$C$2:$N$2)),0),0)</f>
        <v/>
      </c>
      <c r="AB268">
        <f>SUMPRODUCT((C267:N267&gt;0)*$C$7:$N$7)</f>
        <v/>
      </c>
      <c r="AC268">
        <f>MAX(0,Plan!$C$5-AB268)+IF(A268=Plan!$C$8,N(Plan!$C$7),0)</f>
        <v/>
      </c>
      <c r="AD268">
        <f>SUM(C268:N268)</f>
        <v/>
      </c>
      <c r="AE268">
        <f>SUM(O268:Z268)</f>
        <v/>
      </c>
      <c r="AF268">
        <f>IFERROR(ROUND(1/SUMPRODUCT(MAX((C267:N267&gt;0)*($C$3:$N$3&lt;=B268)*($C$2:$N$2&gt;AA268)/$C$2:$N$2)),0),0)</f>
        <v/>
      </c>
      <c r="AG268">
        <f>MAX(0,AC268-MAX(0,SUMPRODUCT(($C$2:$N$2=AA268)*(AH268:AS268-$C$7:$N$7))))</f>
        <v/>
      </c>
      <c r="AH268">
        <f>IF(C267&lt;=0,0,ROUND(C267*(1+IF(AND(C$6&gt;0,$B268&lt;C$6),C$4,C$5)/12),2))</f>
        <v/>
      </c>
      <c r="AI268">
        <f>IF(D267&lt;=0,0,ROUND(D267*(1+IF(AND(D$6&gt;0,$B268&lt;D$6),D$4,D$5)/12),2))</f>
        <v/>
      </c>
      <c r="AJ268">
        <f>IF(E267&lt;=0,0,ROUND(E267*(1+IF(AND(E$6&gt;0,$B268&lt;E$6),E$4,E$5)/12),2))</f>
        <v/>
      </c>
      <c r="AK268">
        <f>IF(F267&lt;=0,0,ROUND(F267*(1+IF(AND(F$6&gt;0,$B268&lt;F$6),F$4,F$5)/12),2))</f>
        <v/>
      </c>
      <c r="AL268">
        <f>IF(G267&lt;=0,0,ROUND(G267*(1+IF(AND(G$6&gt;0,$B268&lt;G$6),G$4,G$5)/12),2))</f>
        <v/>
      </c>
      <c r="AM268">
        <f>IF(H267&lt;=0,0,ROUND(H267*(1+IF(AND(H$6&gt;0,$B268&lt;H$6),H$4,H$5)/12),2))</f>
        <v/>
      </c>
      <c r="AN268">
        <f>IF(I267&lt;=0,0,ROUND(I267*(1+IF(AND(I$6&gt;0,$B268&lt;I$6),I$4,I$5)/12),2))</f>
        <v/>
      </c>
      <c r="AO268">
        <f>IF(J267&lt;=0,0,ROUND(J267*(1+IF(AND(J$6&gt;0,$B268&lt;J$6),J$4,J$5)/12),2))</f>
        <v/>
      </c>
      <c r="AP268">
        <f>IF(K267&lt;=0,0,ROUND(K267*(1+IF(AND(K$6&gt;0,$B268&lt;K$6),K$4,K$5)/12),2))</f>
        <v/>
      </c>
      <c r="AQ268">
        <f>IF(L267&lt;=0,0,ROUND(L267*(1+IF(AND(L$6&gt;0,$B268&lt;L$6),L$4,L$5)/12),2))</f>
        <v/>
      </c>
      <c r="AR268">
        <f>IF(M267&lt;=0,0,ROUND(M267*(1+IF(AND(M$6&gt;0,$B268&lt;M$6),M$4,M$5)/12),2))</f>
        <v/>
      </c>
      <c r="AS268">
        <f>IF(N267&lt;=0,0,ROUND(N267*(1+IF(AND(N$6&gt;0,$B268&lt;N$6),N$4,N$5)/12),2))</f>
        <v/>
      </c>
    </row>
    <row r="269">
      <c r="A269" t="n">
        <v>258</v>
      </c>
      <c r="B269">
        <f>EDATE(Plan!$C$6,257)</f>
        <v/>
      </c>
      <c r="C269">
        <f>IF(C268&lt;=0,0,MAX(0,AH269-O269))</f>
        <v/>
      </c>
      <c r="D269">
        <f>IF(D268&lt;=0,0,MAX(0,AI269-P269))</f>
        <v/>
      </c>
      <c r="E269">
        <f>IF(E268&lt;=0,0,MAX(0,AJ269-Q269))</f>
        <v/>
      </c>
      <c r="F269">
        <f>IF(F268&lt;=0,0,MAX(0,AK269-R269))</f>
        <v/>
      </c>
      <c r="G269">
        <f>IF(G268&lt;=0,0,MAX(0,AL269-S269))</f>
        <v/>
      </c>
      <c r="H269">
        <f>IF(H268&lt;=0,0,MAX(0,AM269-T269))</f>
        <v/>
      </c>
      <c r="I269">
        <f>IF(I268&lt;=0,0,MAX(0,AN269-U269))</f>
        <v/>
      </c>
      <c r="J269">
        <f>IF(J268&lt;=0,0,MAX(0,AO269-V269))</f>
        <v/>
      </c>
      <c r="K269">
        <f>IF(K268&lt;=0,0,MAX(0,AP269-W269))</f>
        <v/>
      </c>
      <c r="L269">
        <f>IF(L268&lt;=0,0,MAX(0,AQ269-X269))</f>
        <v/>
      </c>
      <c r="M269">
        <f>IF(M268&lt;=0,0,MAX(0,AR269-Y269))</f>
        <v/>
      </c>
      <c r="N269">
        <f>IF(N268&lt;=0,0,MAX(0,AS269-Z269))</f>
        <v/>
      </c>
      <c r="O269">
        <f>IF(C268&lt;=0,0,MIN(AH269,C$7+IF(C$2=$AA269,$AC269,IF(C$2=$AF269,$AG269,0))))</f>
        <v/>
      </c>
      <c r="P269">
        <f>IF(D268&lt;=0,0,MIN(AI269,D$7+IF(D$2=$AA269,$AC269,IF(D$2=$AF269,$AG269,0))))</f>
        <v/>
      </c>
      <c r="Q269">
        <f>IF(E268&lt;=0,0,MIN(AJ269,E$7+IF(E$2=$AA269,$AC269,IF(E$2=$AF269,$AG269,0))))</f>
        <v/>
      </c>
      <c r="R269">
        <f>IF(F268&lt;=0,0,MIN(AK269,F$7+IF(F$2=$AA269,$AC269,IF(F$2=$AF269,$AG269,0))))</f>
        <v/>
      </c>
      <c r="S269">
        <f>IF(G268&lt;=0,0,MIN(AL269,G$7+IF(G$2=$AA269,$AC269,IF(G$2=$AF269,$AG269,0))))</f>
        <v/>
      </c>
      <c r="T269">
        <f>IF(H268&lt;=0,0,MIN(AM269,H$7+IF(H$2=$AA269,$AC269,IF(H$2=$AF269,$AG269,0))))</f>
        <v/>
      </c>
      <c r="U269">
        <f>IF(I268&lt;=0,0,MIN(AN269,I$7+IF(I$2=$AA269,$AC269,IF(I$2=$AF269,$AG269,0))))</f>
        <v/>
      </c>
      <c r="V269">
        <f>IF(J268&lt;=0,0,MIN(AO269,J$7+IF(J$2=$AA269,$AC269,IF(J$2=$AF269,$AG269,0))))</f>
        <v/>
      </c>
      <c r="W269">
        <f>IF(K268&lt;=0,0,MIN(AP269,K$7+IF(K$2=$AA269,$AC269,IF(K$2=$AF269,$AG269,0))))</f>
        <v/>
      </c>
      <c r="X269">
        <f>IF(L268&lt;=0,0,MIN(AQ269,L$7+IF(L$2=$AA269,$AC269,IF(L$2=$AF269,$AG269,0))))</f>
        <v/>
      </c>
      <c r="Y269">
        <f>IF(M268&lt;=0,0,MIN(AR269,M$7+IF(M$2=$AA269,$AC269,IF(M$2=$AF269,$AG269,0))))</f>
        <v/>
      </c>
      <c r="Z269">
        <f>IF(N268&lt;=0,0,MIN(AS269,N$7+IF(N$2=$AA269,$AC269,IF(N$2=$AF269,$AG269,0))))</f>
        <v/>
      </c>
      <c r="AA269">
        <f>IFERROR(ROUND(1/SUMPRODUCT(MAX((C268:N268&gt;0)*($C$3:$N$3&lt;=B269)/$C$2:$N$2)),0),0)</f>
        <v/>
      </c>
      <c r="AB269">
        <f>SUMPRODUCT((C268:N268&gt;0)*$C$7:$N$7)</f>
        <v/>
      </c>
      <c r="AC269">
        <f>MAX(0,Plan!$C$5-AB269)+IF(A269=Plan!$C$8,N(Plan!$C$7),0)</f>
        <v/>
      </c>
      <c r="AD269">
        <f>SUM(C269:N269)</f>
        <v/>
      </c>
      <c r="AE269">
        <f>SUM(O269:Z269)</f>
        <v/>
      </c>
      <c r="AF269">
        <f>IFERROR(ROUND(1/SUMPRODUCT(MAX((C268:N268&gt;0)*($C$3:$N$3&lt;=B269)*($C$2:$N$2&gt;AA269)/$C$2:$N$2)),0),0)</f>
        <v/>
      </c>
      <c r="AG269">
        <f>MAX(0,AC269-MAX(0,SUMPRODUCT(($C$2:$N$2=AA269)*(AH269:AS269-$C$7:$N$7))))</f>
        <v/>
      </c>
      <c r="AH269">
        <f>IF(C268&lt;=0,0,ROUND(C268*(1+IF(AND(C$6&gt;0,$B269&lt;C$6),C$4,C$5)/12),2))</f>
        <v/>
      </c>
      <c r="AI269">
        <f>IF(D268&lt;=0,0,ROUND(D268*(1+IF(AND(D$6&gt;0,$B269&lt;D$6),D$4,D$5)/12),2))</f>
        <v/>
      </c>
      <c r="AJ269">
        <f>IF(E268&lt;=0,0,ROUND(E268*(1+IF(AND(E$6&gt;0,$B269&lt;E$6),E$4,E$5)/12),2))</f>
        <v/>
      </c>
      <c r="AK269">
        <f>IF(F268&lt;=0,0,ROUND(F268*(1+IF(AND(F$6&gt;0,$B269&lt;F$6),F$4,F$5)/12),2))</f>
        <v/>
      </c>
      <c r="AL269">
        <f>IF(G268&lt;=0,0,ROUND(G268*(1+IF(AND(G$6&gt;0,$B269&lt;G$6),G$4,G$5)/12),2))</f>
        <v/>
      </c>
      <c r="AM269">
        <f>IF(H268&lt;=0,0,ROUND(H268*(1+IF(AND(H$6&gt;0,$B269&lt;H$6),H$4,H$5)/12),2))</f>
        <v/>
      </c>
      <c r="AN269">
        <f>IF(I268&lt;=0,0,ROUND(I268*(1+IF(AND(I$6&gt;0,$B269&lt;I$6),I$4,I$5)/12),2))</f>
        <v/>
      </c>
      <c r="AO269">
        <f>IF(J268&lt;=0,0,ROUND(J268*(1+IF(AND(J$6&gt;0,$B269&lt;J$6),J$4,J$5)/12),2))</f>
        <v/>
      </c>
      <c r="AP269">
        <f>IF(K268&lt;=0,0,ROUND(K268*(1+IF(AND(K$6&gt;0,$B269&lt;K$6),K$4,K$5)/12),2))</f>
        <v/>
      </c>
      <c r="AQ269">
        <f>IF(L268&lt;=0,0,ROUND(L268*(1+IF(AND(L$6&gt;0,$B269&lt;L$6),L$4,L$5)/12),2))</f>
        <v/>
      </c>
      <c r="AR269">
        <f>IF(M268&lt;=0,0,ROUND(M268*(1+IF(AND(M$6&gt;0,$B269&lt;M$6),M$4,M$5)/12),2))</f>
        <v/>
      </c>
      <c r="AS269">
        <f>IF(N268&lt;=0,0,ROUND(N268*(1+IF(AND(N$6&gt;0,$B269&lt;N$6),N$4,N$5)/12),2))</f>
        <v/>
      </c>
    </row>
    <row r="270">
      <c r="A270" t="n">
        <v>259</v>
      </c>
      <c r="B270">
        <f>EDATE(Plan!$C$6,258)</f>
        <v/>
      </c>
      <c r="C270">
        <f>IF(C269&lt;=0,0,MAX(0,AH270-O270))</f>
        <v/>
      </c>
      <c r="D270">
        <f>IF(D269&lt;=0,0,MAX(0,AI270-P270))</f>
        <v/>
      </c>
      <c r="E270">
        <f>IF(E269&lt;=0,0,MAX(0,AJ270-Q270))</f>
        <v/>
      </c>
      <c r="F270">
        <f>IF(F269&lt;=0,0,MAX(0,AK270-R270))</f>
        <v/>
      </c>
      <c r="G270">
        <f>IF(G269&lt;=0,0,MAX(0,AL270-S270))</f>
        <v/>
      </c>
      <c r="H270">
        <f>IF(H269&lt;=0,0,MAX(0,AM270-T270))</f>
        <v/>
      </c>
      <c r="I270">
        <f>IF(I269&lt;=0,0,MAX(0,AN270-U270))</f>
        <v/>
      </c>
      <c r="J270">
        <f>IF(J269&lt;=0,0,MAX(0,AO270-V270))</f>
        <v/>
      </c>
      <c r="K270">
        <f>IF(K269&lt;=0,0,MAX(0,AP270-W270))</f>
        <v/>
      </c>
      <c r="L270">
        <f>IF(L269&lt;=0,0,MAX(0,AQ270-X270))</f>
        <v/>
      </c>
      <c r="M270">
        <f>IF(M269&lt;=0,0,MAX(0,AR270-Y270))</f>
        <v/>
      </c>
      <c r="N270">
        <f>IF(N269&lt;=0,0,MAX(0,AS270-Z270))</f>
        <v/>
      </c>
      <c r="O270">
        <f>IF(C269&lt;=0,0,MIN(AH270,C$7+IF(C$2=$AA270,$AC270,IF(C$2=$AF270,$AG270,0))))</f>
        <v/>
      </c>
      <c r="P270">
        <f>IF(D269&lt;=0,0,MIN(AI270,D$7+IF(D$2=$AA270,$AC270,IF(D$2=$AF270,$AG270,0))))</f>
        <v/>
      </c>
      <c r="Q270">
        <f>IF(E269&lt;=0,0,MIN(AJ270,E$7+IF(E$2=$AA270,$AC270,IF(E$2=$AF270,$AG270,0))))</f>
        <v/>
      </c>
      <c r="R270">
        <f>IF(F269&lt;=0,0,MIN(AK270,F$7+IF(F$2=$AA270,$AC270,IF(F$2=$AF270,$AG270,0))))</f>
        <v/>
      </c>
      <c r="S270">
        <f>IF(G269&lt;=0,0,MIN(AL270,G$7+IF(G$2=$AA270,$AC270,IF(G$2=$AF270,$AG270,0))))</f>
        <v/>
      </c>
      <c r="T270">
        <f>IF(H269&lt;=0,0,MIN(AM270,H$7+IF(H$2=$AA270,$AC270,IF(H$2=$AF270,$AG270,0))))</f>
        <v/>
      </c>
      <c r="U270">
        <f>IF(I269&lt;=0,0,MIN(AN270,I$7+IF(I$2=$AA270,$AC270,IF(I$2=$AF270,$AG270,0))))</f>
        <v/>
      </c>
      <c r="V270">
        <f>IF(J269&lt;=0,0,MIN(AO270,J$7+IF(J$2=$AA270,$AC270,IF(J$2=$AF270,$AG270,0))))</f>
        <v/>
      </c>
      <c r="W270">
        <f>IF(K269&lt;=0,0,MIN(AP270,K$7+IF(K$2=$AA270,$AC270,IF(K$2=$AF270,$AG270,0))))</f>
        <v/>
      </c>
      <c r="X270">
        <f>IF(L269&lt;=0,0,MIN(AQ270,L$7+IF(L$2=$AA270,$AC270,IF(L$2=$AF270,$AG270,0))))</f>
        <v/>
      </c>
      <c r="Y270">
        <f>IF(M269&lt;=0,0,MIN(AR270,M$7+IF(M$2=$AA270,$AC270,IF(M$2=$AF270,$AG270,0))))</f>
        <v/>
      </c>
      <c r="Z270">
        <f>IF(N269&lt;=0,0,MIN(AS270,N$7+IF(N$2=$AA270,$AC270,IF(N$2=$AF270,$AG270,0))))</f>
        <v/>
      </c>
      <c r="AA270">
        <f>IFERROR(ROUND(1/SUMPRODUCT(MAX((C269:N269&gt;0)*($C$3:$N$3&lt;=B270)/$C$2:$N$2)),0),0)</f>
        <v/>
      </c>
      <c r="AB270">
        <f>SUMPRODUCT((C269:N269&gt;0)*$C$7:$N$7)</f>
        <v/>
      </c>
      <c r="AC270">
        <f>MAX(0,Plan!$C$5-AB270)+IF(A270=Plan!$C$8,N(Plan!$C$7),0)</f>
        <v/>
      </c>
      <c r="AD270">
        <f>SUM(C270:N270)</f>
        <v/>
      </c>
      <c r="AE270">
        <f>SUM(O270:Z270)</f>
        <v/>
      </c>
      <c r="AF270">
        <f>IFERROR(ROUND(1/SUMPRODUCT(MAX((C269:N269&gt;0)*($C$3:$N$3&lt;=B270)*($C$2:$N$2&gt;AA270)/$C$2:$N$2)),0),0)</f>
        <v/>
      </c>
      <c r="AG270">
        <f>MAX(0,AC270-MAX(0,SUMPRODUCT(($C$2:$N$2=AA270)*(AH270:AS270-$C$7:$N$7))))</f>
        <v/>
      </c>
      <c r="AH270">
        <f>IF(C269&lt;=0,0,ROUND(C269*(1+IF(AND(C$6&gt;0,$B270&lt;C$6),C$4,C$5)/12),2))</f>
        <v/>
      </c>
      <c r="AI270">
        <f>IF(D269&lt;=0,0,ROUND(D269*(1+IF(AND(D$6&gt;0,$B270&lt;D$6),D$4,D$5)/12),2))</f>
        <v/>
      </c>
      <c r="AJ270">
        <f>IF(E269&lt;=0,0,ROUND(E269*(1+IF(AND(E$6&gt;0,$B270&lt;E$6),E$4,E$5)/12),2))</f>
        <v/>
      </c>
      <c r="AK270">
        <f>IF(F269&lt;=0,0,ROUND(F269*(1+IF(AND(F$6&gt;0,$B270&lt;F$6),F$4,F$5)/12),2))</f>
        <v/>
      </c>
      <c r="AL270">
        <f>IF(G269&lt;=0,0,ROUND(G269*(1+IF(AND(G$6&gt;0,$B270&lt;G$6),G$4,G$5)/12),2))</f>
        <v/>
      </c>
      <c r="AM270">
        <f>IF(H269&lt;=0,0,ROUND(H269*(1+IF(AND(H$6&gt;0,$B270&lt;H$6),H$4,H$5)/12),2))</f>
        <v/>
      </c>
      <c r="AN270">
        <f>IF(I269&lt;=0,0,ROUND(I269*(1+IF(AND(I$6&gt;0,$B270&lt;I$6),I$4,I$5)/12),2))</f>
        <v/>
      </c>
      <c r="AO270">
        <f>IF(J269&lt;=0,0,ROUND(J269*(1+IF(AND(J$6&gt;0,$B270&lt;J$6),J$4,J$5)/12),2))</f>
        <v/>
      </c>
      <c r="AP270">
        <f>IF(K269&lt;=0,0,ROUND(K269*(1+IF(AND(K$6&gt;0,$B270&lt;K$6),K$4,K$5)/12),2))</f>
        <v/>
      </c>
      <c r="AQ270">
        <f>IF(L269&lt;=0,0,ROUND(L269*(1+IF(AND(L$6&gt;0,$B270&lt;L$6),L$4,L$5)/12),2))</f>
        <v/>
      </c>
      <c r="AR270">
        <f>IF(M269&lt;=0,0,ROUND(M269*(1+IF(AND(M$6&gt;0,$B270&lt;M$6),M$4,M$5)/12),2))</f>
        <v/>
      </c>
      <c r="AS270">
        <f>IF(N269&lt;=0,0,ROUND(N269*(1+IF(AND(N$6&gt;0,$B270&lt;N$6),N$4,N$5)/12),2))</f>
        <v/>
      </c>
    </row>
    <row r="271">
      <c r="A271" t="n">
        <v>260</v>
      </c>
      <c r="B271">
        <f>EDATE(Plan!$C$6,259)</f>
        <v/>
      </c>
      <c r="C271">
        <f>IF(C270&lt;=0,0,MAX(0,AH271-O271))</f>
        <v/>
      </c>
      <c r="D271">
        <f>IF(D270&lt;=0,0,MAX(0,AI271-P271))</f>
        <v/>
      </c>
      <c r="E271">
        <f>IF(E270&lt;=0,0,MAX(0,AJ271-Q271))</f>
        <v/>
      </c>
      <c r="F271">
        <f>IF(F270&lt;=0,0,MAX(0,AK271-R271))</f>
        <v/>
      </c>
      <c r="G271">
        <f>IF(G270&lt;=0,0,MAX(0,AL271-S271))</f>
        <v/>
      </c>
      <c r="H271">
        <f>IF(H270&lt;=0,0,MAX(0,AM271-T271))</f>
        <v/>
      </c>
      <c r="I271">
        <f>IF(I270&lt;=0,0,MAX(0,AN271-U271))</f>
        <v/>
      </c>
      <c r="J271">
        <f>IF(J270&lt;=0,0,MAX(0,AO271-V271))</f>
        <v/>
      </c>
      <c r="K271">
        <f>IF(K270&lt;=0,0,MAX(0,AP271-W271))</f>
        <v/>
      </c>
      <c r="L271">
        <f>IF(L270&lt;=0,0,MAX(0,AQ271-X271))</f>
        <v/>
      </c>
      <c r="M271">
        <f>IF(M270&lt;=0,0,MAX(0,AR271-Y271))</f>
        <v/>
      </c>
      <c r="N271">
        <f>IF(N270&lt;=0,0,MAX(0,AS271-Z271))</f>
        <v/>
      </c>
      <c r="O271">
        <f>IF(C270&lt;=0,0,MIN(AH271,C$7+IF(C$2=$AA271,$AC271,IF(C$2=$AF271,$AG271,0))))</f>
        <v/>
      </c>
      <c r="P271">
        <f>IF(D270&lt;=0,0,MIN(AI271,D$7+IF(D$2=$AA271,$AC271,IF(D$2=$AF271,$AG271,0))))</f>
        <v/>
      </c>
      <c r="Q271">
        <f>IF(E270&lt;=0,0,MIN(AJ271,E$7+IF(E$2=$AA271,$AC271,IF(E$2=$AF271,$AG271,0))))</f>
        <v/>
      </c>
      <c r="R271">
        <f>IF(F270&lt;=0,0,MIN(AK271,F$7+IF(F$2=$AA271,$AC271,IF(F$2=$AF271,$AG271,0))))</f>
        <v/>
      </c>
      <c r="S271">
        <f>IF(G270&lt;=0,0,MIN(AL271,G$7+IF(G$2=$AA271,$AC271,IF(G$2=$AF271,$AG271,0))))</f>
        <v/>
      </c>
      <c r="T271">
        <f>IF(H270&lt;=0,0,MIN(AM271,H$7+IF(H$2=$AA271,$AC271,IF(H$2=$AF271,$AG271,0))))</f>
        <v/>
      </c>
      <c r="U271">
        <f>IF(I270&lt;=0,0,MIN(AN271,I$7+IF(I$2=$AA271,$AC271,IF(I$2=$AF271,$AG271,0))))</f>
        <v/>
      </c>
      <c r="V271">
        <f>IF(J270&lt;=0,0,MIN(AO271,J$7+IF(J$2=$AA271,$AC271,IF(J$2=$AF271,$AG271,0))))</f>
        <v/>
      </c>
      <c r="W271">
        <f>IF(K270&lt;=0,0,MIN(AP271,K$7+IF(K$2=$AA271,$AC271,IF(K$2=$AF271,$AG271,0))))</f>
        <v/>
      </c>
      <c r="X271">
        <f>IF(L270&lt;=0,0,MIN(AQ271,L$7+IF(L$2=$AA271,$AC271,IF(L$2=$AF271,$AG271,0))))</f>
        <v/>
      </c>
      <c r="Y271">
        <f>IF(M270&lt;=0,0,MIN(AR271,M$7+IF(M$2=$AA271,$AC271,IF(M$2=$AF271,$AG271,0))))</f>
        <v/>
      </c>
      <c r="Z271">
        <f>IF(N270&lt;=0,0,MIN(AS271,N$7+IF(N$2=$AA271,$AC271,IF(N$2=$AF271,$AG271,0))))</f>
        <v/>
      </c>
      <c r="AA271">
        <f>IFERROR(ROUND(1/SUMPRODUCT(MAX((C270:N270&gt;0)*($C$3:$N$3&lt;=B271)/$C$2:$N$2)),0),0)</f>
        <v/>
      </c>
      <c r="AB271">
        <f>SUMPRODUCT((C270:N270&gt;0)*$C$7:$N$7)</f>
        <v/>
      </c>
      <c r="AC271">
        <f>MAX(0,Plan!$C$5-AB271)+IF(A271=Plan!$C$8,N(Plan!$C$7),0)</f>
        <v/>
      </c>
      <c r="AD271">
        <f>SUM(C271:N271)</f>
        <v/>
      </c>
      <c r="AE271">
        <f>SUM(O271:Z271)</f>
        <v/>
      </c>
      <c r="AF271">
        <f>IFERROR(ROUND(1/SUMPRODUCT(MAX((C270:N270&gt;0)*($C$3:$N$3&lt;=B271)*($C$2:$N$2&gt;AA271)/$C$2:$N$2)),0),0)</f>
        <v/>
      </c>
      <c r="AG271">
        <f>MAX(0,AC271-MAX(0,SUMPRODUCT(($C$2:$N$2=AA271)*(AH271:AS271-$C$7:$N$7))))</f>
        <v/>
      </c>
      <c r="AH271">
        <f>IF(C270&lt;=0,0,ROUND(C270*(1+IF(AND(C$6&gt;0,$B271&lt;C$6),C$4,C$5)/12),2))</f>
        <v/>
      </c>
      <c r="AI271">
        <f>IF(D270&lt;=0,0,ROUND(D270*(1+IF(AND(D$6&gt;0,$B271&lt;D$6),D$4,D$5)/12),2))</f>
        <v/>
      </c>
      <c r="AJ271">
        <f>IF(E270&lt;=0,0,ROUND(E270*(1+IF(AND(E$6&gt;0,$B271&lt;E$6),E$4,E$5)/12),2))</f>
        <v/>
      </c>
      <c r="AK271">
        <f>IF(F270&lt;=0,0,ROUND(F270*(1+IF(AND(F$6&gt;0,$B271&lt;F$6),F$4,F$5)/12),2))</f>
        <v/>
      </c>
      <c r="AL271">
        <f>IF(G270&lt;=0,0,ROUND(G270*(1+IF(AND(G$6&gt;0,$B271&lt;G$6),G$4,G$5)/12),2))</f>
        <v/>
      </c>
      <c r="AM271">
        <f>IF(H270&lt;=0,0,ROUND(H270*(1+IF(AND(H$6&gt;0,$B271&lt;H$6),H$4,H$5)/12),2))</f>
        <v/>
      </c>
      <c r="AN271">
        <f>IF(I270&lt;=0,0,ROUND(I270*(1+IF(AND(I$6&gt;0,$B271&lt;I$6),I$4,I$5)/12),2))</f>
        <v/>
      </c>
      <c r="AO271">
        <f>IF(J270&lt;=0,0,ROUND(J270*(1+IF(AND(J$6&gt;0,$B271&lt;J$6),J$4,J$5)/12),2))</f>
        <v/>
      </c>
      <c r="AP271">
        <f>IF(K270&lt;=0,0,ROUND(K270*(1+IF(AND(K$6&gt;0,$B271&lt;K$6),K$4,K$5)/12),2))</f>
        <v/>
      </c>
      <c r="AQ271">
        <f>IF(L270&lt;=0,0,ROUND(L270*(1+IF(AND(L$6&gt;0,$B271&lt;L$6),L$4,L$5)/12),2))</f>
        <v/>
      </c>
      <c r="AR271">
        <f>IF(M270&lt;=0,0,ROUND(M270*(1+IF(AND(M$6&gt;0,$B271&lt;M$6),M$4,M$5)/12),2))</f>
        <v/>
      </c>
      <c r="AS271">
        <f>IF(N270&lt;=0,0,ROUND(N270*(1+IF(AND(N$6&gt;0,$B271&lt;N$6),N$4,N$5)/12),2))</f>
        <v/>
      </c>
    </row>
    <row r="272">
      <c r="A272" t="n">
        <v>261</v>
      </c>
      <c r="B272">
        <f>EDATE(Plan!$C$6,260)</f>
        <v/>
      </c>
      <c r="C272">
        <f>IF(C271&lt;=0,0,MAX(0,AH272-O272))</f>
        <v/>
      </c>
      <c r="D272">
        <f>IF(D271&lt;=0,0,MAX(0,AI272-P272))</f>
        <v/>
      </c>
      <c r="E272">
        <f>IF(E271&lt;=0,0,MAX(0,AJ272-Q272))</f>
        <v/>
      </c>
      <c r="F272">
        <f>IF(F271&lt;=0,0,MAX(0,AK272-R272))</f>
        <v/>
      </c>
      <c r="G272">
        <f>IF(G271&lt;=0,0,MAX(0,AL272-S272))</f>
        <v/>
      </c>
      <c r="H272">
        <f>IF(H271&lt;=0,0,MAX(0,AM272-T272))</f>
        <v/>
      </c>
      <c r="I272">
        <f>IF(I271&lt;=0,0,MAX(0,AN272-U272))</f>
        <v/>
      </c>
      <c r="J272">
        <f>IF(J271&lt;=0,0,MAX(0,AO272-V272))</f>
        <v/>
      </c>
      <c r="K272">
        <f>IF(K271&lt;=0,0,MAX(0,AP272-W272))</f>
        <v/>
      </c>
      <c r="L272">
        <f>IF(L271&lt;=0,0,MAX(0,AQ272-X272))</f>
        <v/>
      </c>
      <c r="M272">
        <f>IF(M271&lt;=0,0,MAX(0,AR272-Y272))</f>
        <v/>
      </c>
      <c r="N272">
        <f>IF(N271&lt;=0,0,MAX(0,AS272-Z272))</f>
        <v/>
      </c>
      <c r="O272">
        <f>IF(C271&lt;=0,0,MIN(AH272,C$7+IF(C$2=$AA272,$AC272,IF(C$2=$AF272,$AG272,0))))</f>
        <v/>
      </c>
      <c r="P272">
        <f>IF(D271&lt;=0,0,MIN(AI272,D$7+IF(D$2=$AA272,$AC272,IF(D$2=$AF272,$AG272,0))))</f>
        <v/>
      </c>
      <c r="Q272">
        <f>IF(E271&lt;=0,0,MIN(AJ272,E$7+IF(E$2=$AA272,$AC272,IF(E$2=$AF272,$AG272,0))))</f>
        <v/>
      </c>
      <c r="R272">
        <f>IF(F271&lt;=0,0,MIN(AK272,F$7+IF(F$2=$AA272,$AC272,IF(F$2=$AF272,$AG272,0))))</f>
        <v/>
      </c>
      <c r="S272">
        <f>IF(G271&lt;=0,0,MIN(AL272,G$7+IF(G$2=$AA272,$AC272,IF(G$2=$AF272,$AG272,0))))</f>
        <v/>
      </c>
      <c r="T272">
        <f>IF(H271&lt;=0,0,MIN(AM272,H$7+IF(H$2=$AA272,$AC272,IF(H$2=$AF272,$AG272,0))))</f>
        <v/>
      </c>
      <c r="U272">
        <f>IF(I271&lt;=0,0,MIN(AN272,I$7+IF(I$2=$AA272,$AC272,IF(I$2=$AF272,$AG272,0))))</f>
        <v/>
      </c>
      <c r="V272">
        <f>IF(J271&lt;=0,0,MIN(AO272,J$7+IF(J$2=$AA272,$AC272,IF(J$2=$AF272,$AG272,0))))</f>
        <v/>
      </c>
      <c r="W272">
        <f>IF(K271&lt;=0,0,MIN(AP272,K$7+IF(K$2=$AA272,$AC272,IF(K$2=$AF272,$AG272,0))))</f>
        <v/>
      </c>
      <c r="X272">
        <f>IF(L271&lt;=0,0,MIN(AQ272,L$7+IF(L$2=$AA272,$AC272,IF(L$2=$AF272,$AG272,0))))</f>
        <v/>
      </c>
      <c r="Y272">
        <f>IF(M271&lt;=0,0,MIN(AR272,M$7+IF(M$2=$AA272,$AC272,IF(M$2=$AF272,$AG272,0))))</f>
        <v/>
      </c>
      <c r="Z272">
        <f>IF(N271&lt;=0,0,MIN(AS272,N$7+IF(N$2=$AA272,$AC272,IF(N$2=$AF272,$AG272,0))))</f>
        <v/>
      </c>
      <c r="AA272">
        <f>IFERROR(ROUND(1/SUMPRODUCT(MAX((C271:N271&gt;0)*($C$3:$N$3&lt;=B272)/$C$2:$N$2)),0),0)</f>
        <v/>
      </c>
      <c r="AB272">
        <f>SUMPRODUCT((C271:N271&gt;0)*$C$7:$N$7)</f>
        <v/>
      </c>
      <c r="AC272">
        <f>MAX(0,Plan!$C$5-AB272)+IF(A272=Plan!$C$8,N(Plan!$C$7),0)</f>
        <v/>
      </c>
      <c r="AD272">
        <f>SUM(C272:N272)</f>
        <v/>
      </c>
      <c r="AE272">
        <f>SUM(O272:Z272)</f>
        <v/>
      </c>
      <c r="AF272">
        <f>IFERROR(ROUND(1/SUMPRODUCT(MAX((C271:N271&gt;0)*($C$3:$N$3&lt;=B272)*($C$2:$N$2&gt;AA272)/$C$2:$N$2)),0),0)</f>
        <v/>
      </c>
      <c r="AG272">
        <f>MAX(0,AC272-MAX(0,SUMPRODUCT(($C$2:$N$2=AA272)*(AH272:AS272-$C$7:$N$7))))</f>
        <v/>
      </c>
      <c r="AH272">
        <f>IF(C271&lt;=0,0,ROUND(C271*(1+IF(AND(C$6&gt;0,$B272&lt;C$6),C$4,C$5)/12),2))</f>
        <v/>
      </c>
      <c r="AI272">
        <f>IF(D271&lt;=0,0,ROUND(D271*(1+IF(AND(D$6&gt;0,$B272&lt;D$6),D$4,D$5)/12),2))</f>
        <v/>
      </c>
      <c r="AJ272">
        <f>IF(E271&lt;=0,0,ROUND(E271*(1+IF(AND(E$6&gt;0,$B272&lt;E$6),E$4,E$5)/12),2))</f>
        <v/>
      </c>
      <c r="AK272">
        <f>IF(F271&lt;=0,0,ROUND(F271*(1+IF(AND(F$6&gt;0,$B272&lt;F$6),F$4,F$5)/12),2))</f>
        <v/>
      </c>
      <c r="AL272">
        <f>IF(G271&lt;=0,0,ROUND(G271*(1+IF(AND(G$6&gt;0,$B272&lt;G$6),G$4,G$5)/12),2))</f>
        <v/>
      </c>
      <c r="AM272">
        <f>IF(H271&lt;=0,0,ROUND(H271*(1+IF(AND(H$6&gt;0,$B272&lt;H$6),H$4,H$5)/12),2))</f>
        <v/>
      </c>
      <c r="AN272">
        <f>IF(I271&lt;=0,0,ROUND(I271*(1+IF(AND(I$6&gt;0,$B272&lt;I$6),I$4,I$5)/12),2))</f>
        <v/>
      </c>
      <c r="AO272">
        <f>IF(J271&lt;=0,0,ROUND(J271*(1+IF(AND(J$6&gt;0,$B272&lt;J$6),J$4,J$5)/12),2))</f>
        <v/>
      </c>
      <c r="AP272">
        <f>IF(K271&lt;=0,0,ROUND(K271*(1+IF(AND(K$6&gt;0,$B272&lt;K$6),K$4,K$5)/12),2))</f>
        <v/>
      </c>
      <c r="AQ272">
        <f>IF(L271&lt;=0,0,ROUND(L271*(1+IF(AND(L$6&gt;0,$B272&lt;L$6),L$4,L$5)/12),2))</f>
        <v/>
      </c>
      <c r="AR272">
        <f>IF(M271&lt;=0,0,ROUND(M271*(1+IF(AND(M$6&gt;0,$B272&lt;M$6),M$4,M$5)/12),2))</f>
        <v/>
      </c>
      <c r="AS272">
        <f>IF(N271&lt;=0,0,ROUND(N271*(1+IF(AND(N$6&gt;0,$B272&lt;N$6),N$4,N$5)/12),2))</f>
        <v/>
      </c>
    </row>
    <row r="273">
      <c r="A273" t="n">
        <v>262</v>
      </c>
      <c r="B273">
        <f>EDATE(Plan!$C$6,261)</f>
        <v/>
      </c>
      <c r="C273">
        <f>IF(C272&lt;=0,0,MAX(0,AH273-O273))</f>
        <v/>
      </c>
      <c r="D273">
        <f>IF(D272&lt;=0,0,MAX(0,AI273-P273))</f>
        <v/>
      </c>
      <c r="E273">
        <f>IF(E272&lt;=0,0,MAX(0,AJ273-Q273))</f>
        <v/>
      </c>
      <c r="F273">
        <f>IF(F272&lt;=0,0,MAX(0,AK273-R273))</f>
        <v/>
      </c>
      <c r="G273">
        <f>IF(G272&lt;=0,0,MAX(0,AL273-S273))</f>
        <v/>
      </c>
      <c r="H273">
        <f>IF(H272&lt;=0,0,MAX(0,AM273-T273))</f>
        <v/>
      </c>
      <c r="I273">
        <f>IF(I272&lt;=0,0,MAX(0,AN273-U273))</f>
        <v/>
      </c>
      <c r="J273">
        <f>IF(J272&lt;=0,0,MAX(0,AO273-V273))</f>
        <v/>
      </c>
      <c r="K273">
        <f>IF(K272&lt;=0,0,MAX(0,AP273-W273))</f>
        <v/>
      </c>
      <c r="L273">
        <f>IF(L272&lt;=0,0,MAX(0,AQ273-X273))</f>
        <v/>
      </c>
      <c r="M273">
        <f>IF(M272&lt;=0,0,MAX(0,AR273-Y273))</f>
        <v/>
      </c>
      <c r="N273">
        <f>IF(N272&lt;=0,0,MAX(0,AS273-Z273))</f>
        <v/>
      </c>
      <c r="O273">
        <f>IF(C272&lt;=0,0,MIN(AH273,C$7+IF(C$2=$AA273,$AC273,IF(C$2=$AF273,$AG273,0))))</f>
        <v/>
      </c>
      <c r="P273">
        <f>IF(D272&lt;=0,0,MIN(AI273,D$7+IF(D$2=$AA273,$AC273,IF(D$2=$AF273,$AG273,0))))</f>
        <v/>
      </c>
      <c r="Q273">
        <f>IF(E272&lt;=0,0,MIN(AJ273,E$7+IF(E$2=$AA273,$AC273,IF(E$2=$AF273,$AG273,0))))</f>
        <v/>
      </c>
      <c r="R273">
        <f>IF(F272&lt;=0,0,MIN(AK273,F$7+IF(F$2=$AA273,$AC273,IF(F$2=$AF273,$AG273,0))))</f>
        <v/>
      </c>
      <c r="S273">
        <f>IF(G272&lt;=0,0,MIN(AL273,G$7+IF(G$2=$AA273,$AC273,IF(G$2=$AF273,$AG273,0))))</f>
        <v/>
      </c>
      <c r="T273">
        <f>IF(H272&lt;=0,0,MIN(AM273,H$7+IF(H$2=$AA273,$AC273,IF(H$2=$AF273,$AG273,0))))</f>
        <v/>
      </c>
      <c r="U273">
        <f>IF(I272&lt;=0,0,MIN(AN273,I$7+IF(I$2=$AA273,$AC273,IF(I$2=$AF273,$AG273,0))))</f>
        <v/>
      </c>
      <c r="V273">
        <f>IF(J272&lt;=0,0,MIN(AO273,J$7+IF(J$2=$AA273,$AC273,IF(J$2=$AF273,$AG273,0))))</f>
        <v/>
      </c>
      <c r="W273">
        <f>IF(K272&lt;=0,0,MIN(AP273,K$7+IF(K$2=$AA273,$AC273,IF(K$2=$AF273,$AG273,0))))</f>
        <v/>
      </c>
      <c r="X273">
        <f>IF(L272&lt;=0,0,MIN(AQ273,L$7+IF(L$2=$AA273,$AC273,IF(L$2=$AF273,$AG273,0))))</f>
        <v/>
      </c>
      <c r="Y273">
        <f>IF(M272&lt;=0,0,MIN(AR273,M$7+IF(M$2=$AA273,$AC273,IF(M$2=$AF273,$AG273,0))))</f>
        <v/>
      </c>
      <c r="Z273">
        <f>IF(N272&lt;=0,0,MIN(AS273,N$7+IF(N$2=$AA273,$AC273,IF(N$2=$AF273,$AG273,0))))</f>
        <v/>
      </c>
      <c r="AA273">
        <f>IFERROR(ROUND(1/SUMPRODUCT(MAX((C272:N272&gt;0)*($C$3:$N$3&lt;=B273)/$C$2:$N$2)),0),0)</f>
        <v/>
      </c>
      <c r="AB273">
        <f>SUMPRODUCT((C272:N272&gt;0)*$C$7:$N$7)</f>
        <v/>
      </c>
      <c r="AC273">
        <f>MAX(0,Plan!$C$5-AB273)+IF(A273=Plan!$C$8,N(Plan!$C$7),0)</f>
        <v/>
      </c>
      <c r="AD273">
        <f>SUM(C273:N273)</f>
        <v/>
      </c>
      <c r="AE273">
        <f>SUM(O273:Z273)</f>
        <v/>
      </c>
      <c r="AF273">
        <f>IFERROR(ROUND(1/SUMPRODUCT(MAX((C272:N272&gt;0)*($C$3:$N$3&lt;=B273)*($C$2:$N$2&gt;AA273)/$C$2:$N$2)),0),0)</f>
        <v/>
      </c>
      <c r="AG273">
        <f>MAX(0,AC273-MAX(0,SUMPRODUCT(($C$2:$N$2=AA273)*(AH273:AS273-$C$7:$N$7))))</f>
        <v/>
      </c>
      <c r="AH273">
        <f>IF(C272&lt;=0,0,ROUND(C272*(1+IF(AND(C$6&gt;0,$B273&lt;C$6),C$4,C$5)/12),2))</f>
        <v/>
      </c>
      <c r="AI273">
        <f>IF(D272&lt;=0,0,ROUND(D272*(1+IF(AND(D$6&gt;0,$B273&lt;D$6),D$4,D$5)/12),2))</f>
        <v/>
      </c>
      <c r="AJ273">
        <f>IF(E272&lt;=0,0,ROUND(E272*(1+IF(AND(E$6&gt;0,$B273&lt;E$6),E$4,E$5)/12),2))</f>
        <v/>
      </c>
      <c r="AK273">
        <f>IF(F272&lt;=0,0,ROUND(F272*(1+IF(AND(F$6&gt;0,$B273&lt;F$6),F$4,F$5)/12),2))</f>
        <v/>
      </c>
      <c r="AL273">
        <f>IF(G272&lt;=0,0,ROUND(G272*(1+IF(AND(G$6&gt;0,$B273&lt;G$6),G$4,G$5)/12),2))</f>
        <v/>
      </c>
      <c r="AM273">
        <f>IF(H272&lt;=0,0,ROUND(H272*(1+IF(AND(H$6&gt;0,$B273&lt;H$6),H$4,H$5)/12),2))</f>
        <v/>
      </c>
      <c r="AN273">
        <f>IF(I272&lt;=0,0,ROUND(I272*(1+IF(AND(I$6&gt;0,$B273&lt;I$6),I$4,I$5)/12),2))</f>
        <v/>
      </c>
      <c r="AO273">
        <f>IF(J272&lt;=0,0,ROUND(J272*(1+IF(AND(J$6&gt;0,$B273&lt;J$6),J$4,J$5)/12),2))</f>
        <v/>
      </c>
      <c r="AP273">
        <f>IF(K272&lt;=0,0,ROUND(K272*(1+IF(AND(K$6&gt;0,$B273&lt;K$6),K$4,K$5)/12),2))</f>
        <v/>
      </c>
      <c r="AQ273">
        <f>IF(L272&lt;=0,0,ROUND(L272*(1+IF(AND(L$6&gt;0,$B273&lt;L$6),L$4,L$5)/12),2))</f>
        <v/>
      </c>
      <c r="AR273">
        <f>IF(M272&lt;=0,0,ROUND(M272*(1+IF(AND(M$6&gt;0,$B273&lt;M$6),M$4,M$5)/12),2))</f>
        <v/>
      </c>
      <c r="AS273">
        <f>IF(N272&lt;=0,0,ROUND(N272*(1+IF(AND(N$6&gt;0,$B273&lt;N$6),N$4,N$5)/12),2))</f>
        <v/>
      </c>
    </row>
    <row r="274">
      <c r="A274" t="n">
        <v>263</v>
      </c>
      <c r="B274">
        <f>EDATE(Plan!$C$6,262)</f>
        <v/>
      </c>
      <c r="C274">
        <f>IF(C273&lt;=0,0,MAX(0,AH274-O274))</f>
        <v/>
      </c>
      <c r="D274">
        <f>IF(D273&lt;=0,0,MAX(0,AI274-P274))</f>
        <v/>
      </c>
      <c r="E274">
        <f>IF(E273&lt;=0,0,MAX(0,AJ274-Q274))</f>
        <v/>
      </c>
      <c r="F274">
        <f>IF(F273&lt;=0,0,MAX(0,AK274-R274))</f>
        <v/>
      </c>
      <c r="G274">
        <f>IF(G273&lt;=0,0,MAX(0,AL274-S274))</f>
        <v/>
      </c>
      <c r="H274">
        <f>IF(H273&lt;=0,0,MAX(0,AM274-T274))</f>
        <v/>
      </c>
      <c r="I274">
        <f>IF(I273&lt;=0,0,MAX(0,AN274-U274))</f>
        <v/>
      </c>
      <c r="J274">
        <f>IF(J273&lt;=0,0,MAX(0,AO274-V274))</f>
        <v/>
      </c>
      <c r="K274">
        <f>IF(K273&lt;=0,0,MAX(0,AP274-W274))</f>
        <v/>
      </c>
      <c r="L274">
        <f>IF(L273&lt;=0,0,MAX(0,AQ274-X274))</f>
        <v/>
      </c>
      <c r="M274">
        <f>IF(M273&lt;=0,0,MAX(0,AR274-Y274))</f>
        <v/>
      </c>
      <c r="N274">
        <f>IF(N273&lt;=0,0,MAX(0,AS274-Z274))</f>
        <v/>
      </c>
      <c r="O274">
        <f>IF(C273&lt;=0,0,MIN(AH274,C$7+IF(C$2=$AA274,$AC274,IF(C$2=$AF274,$AG274,0))))</f>
        <v/>
      </c>
      <c r="P274">
        <f>IF(D273&lt;=0,0,MIN(AI274,D$7+IF(D$2=$AA274,$AC274,IF(D$2=$AF274,$AG274,0))))</f>
        <v/>
      </c>
      <c r="Q274">
        <f>IF(E273&lt;=0,0,MIN(AJ274,E$7+IF(E$2=$AA274,$AC274,IF(E$2=$AF274,$AG274,0))))</f>
        <v/>
      </c>
      <c r="R274">
        <f>IF(F273&lt;=0,0,MIN(AK274,F$7+IF(F$2=$AA274,$AC274,IF(F$2=$AF274,$AG274,0))))</f>
        <v/>
      </c>
      <c r="S274">
        <f>IF(G273&lt;=0,0,MIN(AL274,G$7+IF(G$2=$AA274,$AC274,IF(G$2=$AF274,$AG274,0))))</f>
        <v/>
      </c>
      <c r="T274">
        <f>IF(H273&lt;=0,0,MIN(AM274,H$7+IF(H$2=$AA274,$AC274,IF(H$2=$AF274,$AG274,0))))</f>
        <v/>
      </c>
      <c r="U274">
        <f>IF(I273&lt;=0,0,MIN(AN274,I$7+IF(I$2=$AA274,$AC274,IF(I$2=$AF274,$AG274,0))))</f>
        <v/>
      </c>
      <c r="V274">
        <f>IF(J273&lt;=0,0,MIN(AO274,J$7+IF(J$2=$AA274,$AC274,IF(J$2=$AF274,$AG274,0))))</f>
        <v/>
      </c>
      <c r="W274">
        <f>IF(K273&lt;=0,0,MIN(AP274,K$7+IF(K$2=$AA274,$AC274,IF(K$2=$AF274,$AG274,0))))</f>
        <v/>
      </c>
      <c r="X274">
        <f>IF(L273&lt;=0,0,MIN(AQ274,L$7+IF(L$2=$AA274,$AC274,IF(L$2=$AF274,$AG274,0))))</f>
        <v/>
      </c>
      <c r="Y274">
        <f>IF(M273&lt;=0,0,MIN(AR274,M$7+IF(M$2=$AA274,$AC274,IF(M$2=$AF274,$AG274,0))))</f>
        <v/>
      </c>
      <c r="Z274">
        <f>IF(N273&lt;=0,0,MIN(AS274,N$7+IF(N$2=$AA274,$AC274,IF(N$2=$AF274,$AG274,0))))</f>
        <v/>
      </c>
      <c r="AA274">
        <f>IFERROR(ROUND(1/SUMPRODUCT(MAX((C273:N273&gt;0)*($C$3:$N$3&lt;=B274)/$C$2:$N$2)),0),0)</f>
        <v/>
      </c>
      <c r="AB274">
        <f>SUMPRODUCT((C273:N273&gt;0)*$C$7:$N$7)</f>
        <v/>
      </c>
      <c r="AC274">
        <f>MAX(0,Plan!$C$5-AB274)+IF(A274=Plan!$C$8,N(Plan!$C$7),0)</f>
        <v/>
      </c>
      <c r="AD274">
        <f>SUM(C274:N274)</f>
        <v/>
      </c>
      <c r="AE274">
        <f>SUM(O274:Z274)</f>
        <v/>
      </c>
      <c r="AF274">
        <f>IFERROR(ROUND(1/SUMPRODUCT(MAX((C273:N273&gt;0)*($C$3:$N$3&lt;=B274)*($C$2:$N$2&gt;AA274)/$C$2:$N$2)),0),0)</f>
        <v/>
      </c>
      <c r="AG274">
        <f>MAX(0,AC274-MAX(0,SUMPRODUCT(($C$2:$N$2=AA274)*(AH274:AS274-$C$7:$N$7))))</f>
        <v/>
      </c>
      <c r="AH274">
        <f>IF(C273&lt;=0,0,ROUND(C273*(1+IF(AND(C$6&gt;0,$B274&lt;C$6),C$4,C$5)/12),2))</f>
        <v/>
      </c>
      <c r="AI274">
        <f>IF(D273&lt;=0,0,ROUND(D273*(1+IF(AND(D$6&gt;0,$B274&lt;D$6),D$4,D$5)/12),2))</f>
        <v/>
      </c>
      <c r="AJ274">
        <f>IF(E273&lt;=0,0,ROUND(E273*(1+IF(AND(E$6&gt;0,$B274&lt;E$6),E$4,E$5)/12),2))</f>
        <v/>
      </c>
      <c r="AK274">
        <f>IF(F273&lt;=0,0,ROUND(F273*(1+IF(AND(F$6&gt;0,$B274&lt;F$6),F$4,F$5)/12),2))</f>
        <v/>
      </c>
      <c r="AL274">
        <f>IF(G273&lt;=0,0,ROUND(G273*(1+IF(AND(G$6&gt;0,$B274&lt;G$6),G$4,G$5)/12),2))</f>
        <v/>
      </c>
      <c r="AM274">
        <f>IF(H273&lt;=0,0,ROUND(H273*(1+IF(AND(H$6&gt;0,$B274&lt;H$6),H$4,H$5)/12),2))</f>
        <v/>
      </c>
      <c r="AN274">
        <f>IF(I273&lt;=0,0,ROUND(I273*(1+IF(AND(I$6&gt;0,$B274&lt;I$6),I$4,I$5)/12),2))</f>
        <v/>
      </c>
      <c r="AO274">
        <f>IF(J273&lt;=0,0,ROUND(J273*(1+IF(AND(J$6&gt;0,$B274&lt;J$6),J$4,J$5)/12),2))</f>
        <v/>
      </c>
      <c r="AP274">
        <f>IF(K273&lt;=0,0,ROUND(K273*(1+IF(AND(K$6&gt;0,$B274&lt;K$6),K$4,K$5)/12),2))</f>
        <v/>
      </c>
      <c r="AQ274">
        <f>IF(L273&lt;=0,0,ROUND(L273*(1+IF(AND(L$6&gt;0,$B274&lt;L$6),L$4,L$5)/12),2))</f>
        <v/>
      </c>
      <c r="AR274">
        <f>IF(M273&lt;=0,0,ROUND(M273*(1+IF(AND(M$6&gt;0,$B274&lt;M$6),M$4,M$5)/12),2))</f>
        <v/>
      </c>
      <c r="AS274">
        <f>IF(N273&lt;=0,0,ROUND(N273*(1+IF(AND(N$6&gt;0,$B274&lt;N$6),N$4,N$5)/12),2))</f>
        <v/>
      </c>
    </row>
    <row r="275">
      <c r="A275" t="n">
        <v>264</v>
      </c>
      <c r="B275">
        <f>EDATE(Plan!$C$6,263)</f>
        <v/>
      </c>
      <c r="C275">
        <f>IF(C274&lt;=0,0,MAX(0,AH275-O275))</f>
        <v/>
      </c>
      <c r="D275">
        <f>IF(D274&lt;=0,0,MAX(0,AI275-P275))</f>
        <v/>
      </c>
      <c r="E275">
        <f>IF(E274&lt;=0,0,MAX(0,AJ275-Q275))</f>
        <v/>
      </c>
      <c r="F275">
        <f>IF(F274&lt;=0,0,MAX(0,AK275-R275))</f>
        <v/>
      </c>
      <c r="G275">
        <f>IF(G274&lt;=0,0,MAX(0,AL275-S275))</f>
        <v/>
      </c>
      <c r="H275">
        <f>IF(H274&lt;=0,0,MAX(0,AM275-T275))</f>
        <v/>
      </c>
      <c r="I275">
        <f>IF(I274&lt;=0,0,MAX(0,AN275-U275))</f>
        <v/>
      </c>
      <c r="J275">
        <f>IF(J274&lt;=0,0,MAX(0,AO275-V275))</f>
        <v/>
      </c>
      <c r="K275">
        <f>IF(K274&lt;=0,0,MAX(0,AP275-W275))</f>
        <v/>
      </c>
      <c r="L275">
        <f>IF(L274&lt;=0,0,MAX(0,AQ275-X275))</f>
        <v/>
      </c>
      <c r="M275">
        <f>IF(M274&lt;=0,0,MAX(0,AR275-Y275))</f>
        <v/>
      </c>
      <c r="N275">
        <f>IF(N274&lt;=0,0,MAX(0,AS275-Z275))</f>
        <v/>
      </c>
      <c r="O275">
        <f>IF(C274&lt;=0,0,MIN(AH275,C$7+IF(C$2=$AA275,$AC275,IF(C$2=$AF275,$AG275,0))))</f>
        <v/>
      </c>
      <c r="P275">
        <f>IF(D274&lt;=0,0,MIN(AI275,D$7+IF(D$2=$AA275,$AC275,IF(D$2=$AF275,$AG275,0))))</f>
        <v/>
      </c>
      <c r="Q275">
        <f>IF(E274&lt;=0,0,MIN(AJ275,E$7+IF(E$2=$AA275,$AC275,IF(E$2=$AF275,$AG275,0))))</f>
        <v/>
      </c>
      <c r="R275">
        <f>IF(F274&lt;=0,0,MIN(AK275,F$7+IF(F$2=$AA275,$AC275,IF(F$2=$AF275,$AG275,0))))</f>
        <v/>
      </c>
      <c r="S275">
        <f>IF(G274&lt;=0,0,MIN(AL275,G$7+IF(G$2=$AA275,$AC275,IF(G$2=$AF275,$AG275,0))))</f>
        <v/>
      </c>
      <c r="T275">
        <f>IF(H274&lt;=0,0,MIN(AM275,H$7+IF(H$2=$AA275,$AC275,IF(H$2=$AF275,$AG275,0))))</f>
        <v/>
      </c>
      <c r="U275">
        <f>IF(I274&lt;=0,0,MIN(AN275,I$7+IF(I$2=$AA275,$AC275,IF(I$2=$AF275,$AG275,0))))</f>
        <v/>
      </c>
      <c r="V275">
        <f>IF(J274&lt;=0,0,MIN(AO275,J$7+IF(J$2=$AA275,$AC275,IF(J$2=$AF275,$AG275,0))))</f>
        <v/>
      </c>
      <c r="W275">
        <f>IF(K274&lt;=0,0,MIN(AP275,K$7+IF(K$2=$AA275,$AC275,IF(K$2=$AF275,$AG275,0))))</f>
        <v/>
      </c>
      <c r="X275">
        <f>IF(L274&lt;=0,0,MIN(AQ275,L$7+IF(L$2=$AA275,$AC275,IF(L$2=$AF275,$AG275,0))))</f>
        <v/>
      </c>
      <c r="Y275">
        <f>IF(M274&lt;=0,0,MIN(AR275,M$7+IF(M$2=$AA275,$AC275,IF(M$2=$AF275,$AG275,0))))</f>
        <v/>
      </c>
      <c r="Z275">
        <f>IF(N274&lt;=0,0,MIN(AS275,N$7+IF(N$2=$AA275,$AC275,IF(N$2=$AF275,$AG275,0))))</f>
        <v/>
      </c>
      <c r="AA275">
        <f>IFERROR(ROUND(1/SUMPRODUCT(MAX((C274:N274&gt;0)*($C$3:$N$3&lt;=B275)/$C$2:$N$2)),0),0)</f>
        <v/>
      </c>
      <c r="AB275">
        <f>SUMPRODUCT((C274:N274&gt;0)*$C$7:$N$7)</f>
        <v/>
      </c>
      <c r="AC275">
        <f>MAX(0,Plan!$C$5-AB275)+IF(A275=Plan!$C$8,N(Plan!$C$7),0)</f>
        <v/>
      </c>
      <c r="AD275">
        <f>SUM(C275:N275)</f>
        <v/>
      </c>
      <c r="AE275">
        <f>SUM(O275:Z275)</f>
        <v/>
      </c>
      <c r="AF275">
        <f>IFERROR(ROUND(1/SUMPRODUCT(MAX((C274:N274&gt;0)*($C$3:$N$3&lt;=B275)*($C$2:$N$2&gt;AA275)/$C$2:$N$2)),0),0)</f>
        <v/>
      </c>
      <c r="AG275">
        <f>MAX(0,AC275-MAX(0,SUMPRODUCT(($C$2:$N$2=AA275)*(AH275:AS275-$C$7:$N$7))))</f>
        <v/>
      </c>
      <c r="AH275">
        <f>IF(C274&lt;=0,0,ROUND(C274*(1+IF(AND(C$6&gt;0,$B275&lt;C$6),C$4,C$5)/12),2))</f>
        <v/>
      </c>
      <c r="AI275">
        <f>IF(D274&lt;=0,0,ROUND(D274*(1+IF(AND(D$6&gt;0,$B275&lt;D$6),D$4,D$5)/12),2))</f>
        <v/>
      </c>
      <c r="AJ275">
        <f>IF(E274&lt;=0,0,ROUND(E274*(1+IF(AND(E$6&gt;0,$B275&lt;E$6),E$4,E$5)/12),2))</f>
        <v/>
      </c>
      <c r="AK275">
        <f>IF(F274&lt;=0,0,ROUND(F274*(1+IF(AND(F$6&gt;0,$B275&lt;F$6),F$4,F$5)/12),2))</f>
        <v/>
      </c>
      <c r="AL275">
        <f>IF(G274&lt;=0,0,ROUND(G274*(1+IF(AND(G$6&gt;0,$B275&lt;G$6),G$4,G$5)/12),2))</f>
        <v/>
      </c>
      <c r="AM275">
        <f>IF(H274&lt;=0,0,ROUND(H274*(1+IF(AND(H$6&gt;0,$B275&lt;H$6),H$4,H$5)/12),2))</f>
        <v/>
      </c>
      <c r="AN275">
        <f>IF(I274&lt;=0,0,ROUND(I274*(1+IF(AND(I$6&gt;0,$B275&lt;I$6),I$4,I$5)/12),2))</f>
        <v/>
      </c>
      <c r="AO275">
        <f>IF(J274&lt;=0,0,ROUND(J274*(1+IF(AND(J$6&gt;0,$B275&lt;J$6),J$4,J$5)/12),2))</f>
        <v/>
      </c>
      <c r="AP275">
        <f>IF(K274&lt;=0,0,ROUND(K274*(1+IF(AND(K$6&gt;0,$B275&lt;K$6),K$4,K$5)/12),2))</f>
        <v/>
      </c>
      <c r="AQ275">
        <f>IF(L274&lt;=0,0,ROUND(L274*(1+IF(AND(L$6&gt;0,$B275&lt;L$6),L$4,L$5)/12),2))</f>
        <v/>
      </c>
      <c r="AR275">
        <f>IF(M274&lt;=0,0,ROUND(M274*(1+IF(AND(M$6&gt;0,$B275&lt;M$6),M$4,M$5)/12),2))</f>
        <v/>
      </c>
      <c r="AS275">
        <f>IF(N274&lt;=0,0,ROUND(N274*(1+IF(AND(N$6&gt;0,$B275&lt;N$6),N$4,N$5)/12),2))</f>
        <v/>
      </c>
    </row>
    <row r="276">
      <c r="A276" t="n">
        <v>265</v>
      </c>
      <c r="B276">
        <f>EDATE(Plan!$C$6,264)</f>
        <v/>
      </c>
      <c r="C276">
        <f>IF(C275&lt;=0,0,MAX(0,AH276-O276))</f>
        <v/>
      </c>
      <c r="D276">
        <f>IF(D275&lt;=0,0,MAX(0,AI276-P276))</f>
        <v/>
      </c>
      <c r="E276">
        <f>IF(E275&lt;=0,0,MAX(0,AJ276-Q276))</f>
        <v/>
      </c>
      <c r="F276">
        <f>IF(F275&lt;=0,0,MAX(0,AK276-R276))</f>
        <v/>
      </c>
      <c r="G276">
        <f>IF(G275&lt;=0,0,MAX(0,AL276-S276))</f>
        <v/>
      </c>
      <c r="H276">
        <f>IF(H275&lt;=0,0,MAX(0,AM276-T276))</f>
        <v/>
      </c>
      <c r="I276">
        <f>IF(I275&lt;=0,0,MAX(0,AN276-U276))</f>
        <v/>
      </c>
      <c r="J276">
        <f>IF(J275&lt;=0,0,MAX(0,AO276-V276))</f>
        <v/>
      </c>
      <c r="K276">
        <f>IF(K275&lt;=0,0,MAX(0,AP276-W276))</f>
        <v/>
      </c>
      <c r="L276">
        <f>IF(L275&lt;=0,0,MAX(0,AQ276-X276))</f>
        <v/>
      </c>
      <c r="M276">
        <f>IF(M275&lt;=0,0,MAX(0,AR276-Y276))</f>
        <v/>
      </c>
      <c r="N276">
        <f>IF(N275&lt;=0,0,MAX(0,AS276-Z276))</f>
        <v/>
      </c>
      <c r="O276">
        <f>IF(C275&lt;=0,0,MIN(AH276,C$7+IF(C$2=$AA276,$AC276,IF(C$2=$AF276,$AG276,0))))</f>
        <v/>
      </c>
      <c r="P276">
        <f>IF(D275&lt;=0,0,MIN(AI276,D$7+IF(D$2=$AA276,$AC276,IF(D$2=$AF276,$AG276,0))))</f>
        <v/>
      </c>
      <c r="Q276">
        <f>IF(E275&lt;=0,0,MIN(AJ276,E$7+IF(E$2=$AA276,$AC276,IF(E$2=$AF276,$AG276,0))))</f>
        <v/>
      </c>
      <c r="R276">
        <f>IF(F275&lt;=0,0,MIN(AK276,F$7+IF(F$2=$AA276,$AC276,IF(F$2=$AF276,$AG276,0))))</f>
        <v/>
      </c>
      <c r="S276">
        <f>IF(G275&lt;=0,0,MIN(AL276,G$7+IF(G$2=$AA276,$AC276,IF(G$2=$AF276,$AG276,0))))</f>
        <v/>
      </c>
      <c r="T276">
        <f>IF(H275&lt;=0,0,MIN(AM276,H$7+IF(H$2=$AA276,$AC276,IF(H$2=$AF276,$AG276,0))))</f>
        <v/>
      </c>
      <c r="U276">
        <f>IF(I275&lt;=0,0,MIN(AN276,I$7+IF(I$2=$AA276,$AC276,IF(I$2=$AF276,$AG276,0))))</f>
        <v/>
      </c>
      <c r="V276">
        <f>IF(J275&lt;=0,0,MIN(AO276,J$7+IF(J$2=$AA276,$AC276,IF(J$2=$AF276,$AG276,0))))</f>
        <v/>
      </c>
      <c r="W276">
        <f>IF(K275&lt;=0,0,MIN(AP276,K$7+IF(K$2=$AA276,$AC276,IF(K$2=$AF276,$AG276,0))))</f>
        <v/>
      </c>
      <c r="X276">
        <f>IF(L275&lt;=0,0,MIN(AQ276,L$7+IF(L$2=$AA276,$AC276,IF(L$2=$AF276,$AG276,0))))</f>
        <v/>
      </c>
      <c r="Y276">
        <f>IF(M275&lt;=0,0,MIN(AR276,M$7+IF(M$2=$AA276,$AC276,IF(M$2=$AF276,$AG276,0))))</f>
        <v/>
      </c>
      <c r="Z276">
        <f>IF(N275&lt;=0,0,MIN(AS276,N$7+IF(N$2=$AA276,$AC276,IF(N$2=$AF276,$AG276,0))))</f>
        <v/>
      </c>
      <c r="AA276">
        <f>IFERROR(ROUND(1/SUMPRODUCT(MAX((C275:N275&gt;0)*($C$3:$N$3&lt;=B276)/$C$2:$N$2)),0),0)</f>
        <v/>
      </c>
      <c r="AB276">
        <f>SUMPRODUCT((C275:N275&gt;0)*$C$7:$N$7)</f>
        <v/>
      </c>
      <c r="AC276">
        <f>MAX(0,Plan!$C$5-AB276)+IF(A276=Plan!$C$8,N(Plan!$C$7),0)</f>
        <v/>
      </c>
      <c r="AD276">
        <f>SUM(C276:N276)</f>
        <v/>
      </c>
      <c r="AE276">
        <f>SUM(O276:Z276)</f>
        <v/>
      </c>
      <c r="AF276">
        <f>IFERROR(ROUND(1/SUMPRODUCT(MAX((C275:N275&gt;0)*($C$3:$N$3&lt;=B276)*($C$2:$N$2&gt;AA276)/$C$2:$N$2)),0),0)</f>
        <v/>
      </c>
      <c r="AG276">
        <f>MAX(0,AC276-MAX(0,SUMPRODUCT(($C$2:$N$2=AA276)*(AH276:AS276-$C$7:$N$7))))</f>
        <v/>
      </c>
      <c r="AH276">
        <f>IF(C275&lt;=0,0,ROUND(C275*(1+IF(AND(C$6&gt;0,$B276&lt;C$6),C$4,C$5)/12),2))</f>
        <v/>
      </c>
      <c r="AI276">
        <f>IF(D275&lt;=0,0,ROUND(D275*(1+IF(AND(D$6&gt;0,$B276&lt;D$6),D$4,D$5)/12),2))</f>
        <v/>
      </c>
      <c r="AJ276">
        <f>IF(E275&lt;=0,0,ROUND(E275*(1+IF(AND(E$6&gt;0,$B276&lt;E$6),E$4,E$5)/12),2))</f>
        <v/>
      </c>
      <c r="AK276">
        <f>IF(F275&lt;=0,0,ROUND(F275*(1+IF(AND(F$6&gt;0,$B276&lt;F$6),F$4,F$5)/12),2))</f>
        <v/>
      </c>
      <c r="AL276">
        <f>IF(G275&lt;=0,0,ROUND(G275*(1+IF(AND(G$6&gt;0,$B276&lt;G$6),G$4,G$5)/12),2))</f>
        <v/>
      </c>
      <c r="AM276">
        <f>IF(H275&lt;=0,0,ROUND(H275*(1+IF(AND(H$6&gt;0,$B276&lt;H$6),H$4,H$5)/12),2))</f>
        <v/>
      </c>
      <c r="AN276">
        <f>IF(I275&lt;=0,0,ROUND(I275*(1+IF(AND(I$6&gt;0,$B276&lt;I$6),I$4,I$5)/12),2))</f>
        <v/>
      </c>
      <c r="AO276">
        <f>IF(J275&lt;=0,0,ROUND(J275*(1+IF(AND(J$6&gt;0,$B276&lt;J$6),J$4,J$5)/12),2))</f>
        <v/>
      </c>
      <c r="AP276">
        <f>IF(K275&lt;=0,0,ROUND(K275*(1+IF(AND(K$6&gt;0,$B276&lt;K$6),K$4,K$5)/12),2))</f>
        <v/>
      </c>
      <c r="AQ276">
        <f>IF(L275&lt;=0,0,ROUND(L275*(1+IF(AND(L$6&gt;0,$B276&lt;L$6),L$4,L$5)/12),2))</f>
        <v/>
      </c>
      <c r="AR276">
        <f>IF(M275&lt;=0,0,ROUND(M275*(1+IF(AND(M$6&gt;0,$B276&lt;M$6),M$4,M$5)/12),2))</f>
        <v/>
      </c>
      <c r="AS276">
        <f>IF(N275&lt;=0,0,ROUND(N275*(1+IF(AND(N$6&gt;0,$B276&lt;N$6),N$4,N$5)/12),2))</f>
        <v/>
      </c>
    </row>
    <row r="277">
      <c r="A277" t="n">
        <v>266</v>
      </c>
      <c r="B277">
        <f>EDATE(Plan!$C$6,265)</f>
        <v/>
      </c>
      <c r="C277">
        <f>IF(C276&lt;=0,0,MAX(0,AH277-O277))</f>
        <v/>
      </c>
      <c r="D277">
        <f>IF(D276&lt;=0,0,MAX(0,AI277-P277))</f>
        <v/>
      </c>
      <c r="E277">
        <f>IF(E276&lt;=0,0,MAX(0,AJ277-Q277))</f>
        <v/>
      </c>
      <c r="F277">
        <f>IF(F276&lt;=0,0,MAX(0,AK277-R277))</f>
        <v/>
      </c>
      <c r="G277">
        <f>IF(G276&lt;=0,0,MAX(0,AL277-S277))</f>
        <v/>
      </c>
      <c r="H277">
        <f>IF(H276&lt;=0,0,MAX(0,AM277-T277))</f>
        <v/>
      </c>
      <c r="I277">
        <f>IF(I276&lt;=0,0,MAX(0,AN277-U277))</f>
        <v/>
      </c>
      <c r="J277">
        <f>IF(J276&lt;=0,0,MAX(0,AO277-V277))</f>
        <v/>
      </c>
      <c r="K277">
        <f>IF(K276&lt;=0,0,MAX(0,AP277-W277))</f>
        <v/>
      </c>
      <c r="L277">
        <f>IF(L276&lt;=0,0,MAX(0,AQ277-X277))</f>
        <v/>
      </c>
      <c r="M277">
        <f>IF(M276&lt;=0,0,MAX(0,AR277-Y277))</f>
        <v/>
      </c>
      <c r="N277">
        <f>IF(N276&lt;=0,0,MAX(0,AS277-Z277))</f>
        <v/>
      </c>
      <c r="O277">
        <f>IF(C276&lt;=0,0,MIN(AH277,C$7+IF(C$2=$AA277,$AC277,IF(C$2=$AF277,$AG277,0))))</f>
        <v/>
      </c>
      <c r="P277">
        <f>IF(D276&lt;=0,0,MIN(AI277,D$7+IF(D$2=$AA277,$AC277,IF(D$2=$AF277,$AG277,0))))</f>
        <v/>
      </c>
      <c r="Q277">
        <f>IF(E276&lt;=0,0,MIN(AJ277,E$7+IF(E$2=$AA277,$AC277,IF(E$2=$AF277,$AG277,0))))</f>
        <v/>
      </c>
      <c r="R277">
        <f>IF(F276&lt;=0,0,MIN(AK277,F$7+IF(F$2=$AA277,$AC277,IF(F$2=$AF277,$AG277,0))))</f>
        <v/>
      </c>
      <c r="S277">
        <f>IF(G276&lt;=0,0,MIN(AL277,G$7+IF(G$2=$AA277,$AC277,IF(G$2=$AF277,$AG277,0))))</f>
        <v/>
      </c>
      <c r="T277">
        <f>IF(H276&lt;=0,0,MIN(AM277,H$7+IF(H$2=$AA277,$AC277,IF(H$2=$AF277,$AG277,0))))</f>
        <v/>
      </c>
      <c r="U277">
        <f>IF(I276&lt;=0,0,MIN(AN277,I$7+IF(I$2=$AA277,$AC277,IF(I$2=$AF277,$AG277,0))))</f>
        <v/>
      </c>
      <c r="V277">
        <f>IF(J276&lt;=0,0,MIN(AO277,J$7+IF(J$2=$AA277,$AC277,IF(J$2=$AF277,$AG277,0))))</f>
        <v/>
      </c>
      <c r="W277">
        <f>IF(K276&lt;=0,0,MIN(AP277,K$7+IF(K$2=$AA277,$AC277,IF(K$2=$AF277,$AG277,0))))</f>
        <v/>
      </c>
      <c r="X277">
        <f>IF(L276&lt;=0,0,MIN(AQ277,L$7+IF(L$2=$AA277,$AC277,IF(L$2=$AF277,$AG277,0))))</f>
        <v/>
      </c>
      <c r="Y277">
        <f>IF(M276&lt;=0,0,MIN(AR277,M$7+IF(M$2=$AA277,$AC277,IF(M$2=$AF277,$AG277,0))))</f>
        <v/>
      </c>
      <c r="Z277">
        <f>IF(N276&lt;=0,0,MIN(AS277,N$7+IF(N$2=$AA277,$AC277,IF(N$2=$AF277,$AG277,0))))</f>
        <v/>
      </c>
      <c r="AA277">
        <f>IFERROR(ROUND(1/SUMPRODUCT(MAX((C276:N276&gt;0)*($C$3:$N$3&lt;=B277)/$C$2:$N$2)),0),0)</f>
        <v/>
      </c>
      <c r="AB277">
        <f>SUMPRODUCT((C276:N276&gt;0)*$C$7:$N$7)</f>
        <v/>
      </c>
      <c r="AC277">
        <f>MAX(0,Plan!$C$5-AB277)+IF(A277=Plan!$C$8,N(Plan!$C$7),0)</f>
        <v/>
      </c>
      <c r="AD277">
        <f>SUM(C277:N277)</f>
        <v/>
      </c>
      <c r="AE277">
        <f>SUM(O277:Z277)</f>
        <v/>
      </c>
      <c r="AF277">
        <f>IFERROR(ROUND(1/SUMPRODUCT(MAX((C276:N276&gt;0)*($C$3:$N$3&lt;=B277)*($C$2:$N$2&gt;AA277)/$C$2:$N$2)),0),0)</f>
        <v/>
      </c>
      <c r="AG277">
        <f>MAX(0,AC277-MAX(0,SUMPRODUCT(($C$2:$N$2=AA277)*(AH277:AS277-$C$7:$N$7))))</f>
        <v/>
      </c>
      <c r="AH277">
        <f>IF(C276&lt;=0,0,ROUND(C276*(1+IF(AND(C$6&gt;0,$B277&lt;C$6),C$4,C$5)/12),2))</f>
        <v/>
      </c>
      <c r="AI277">
        <f>IF(D276&lt;=0,0,ROUND(D276*(1+IF(AND(D$6&gt;0,$B277&lt;D$6),D$4,D$5)/12),2))</f>
        <v/>
      </c>
      <c r="AJ277">
        <f>IF(E276&lt;=0,0,ROUND(E276*(1+IF(AND(E$6&gt;0,$B277&lt;E$6),E$4,E$5)/12),2))</f>
        <v/>
      </c>
      <c r="AK277">
        <f>IF(F276&lt;=0,0,ROUND(F276*(1+IF(AND(F$6&gt;0,$B277&lt;F$6),F$4,F$5)/12),2))</f>
        <v/>
      </c>
      <c r="AL277">
        <f>IF(G276&lt;=0,0,ROUND(G276*(1+IF(AND(G$6&gt;0,$B277&lt;G$6),G$4,G$5)/12),2))</f>
        <v/>
      </c>
      <c r="AM277">
        <f>IF(H276&lt;=0,0,ROUND(H276*(1+IF(AND(H$6&gt;0,$B277&lt;H$6),H$4,H$5)/12),2))</f>
        <v/>
      </c>
      <c r="AN277">
        <f>IF(I276&lt;=0,0,ROUND(I276*(1+IF(AND(I$6&gt;0,$B277&lt;I$6),I$4,I$5)/12),2))</f>
        <v/>
      </c>
      <c r="AO277">
        <f>IF(J276&lt;=0,0,ROUND(J276*(1+IF(AND(J$6&gt;0,$B277&lt;J$6),J$4,J$5)/12),2))</f>
        <v/>
      </c>
      <c r="AP277">
        <f>IF(K276&lt;=0,0,ROUND(K276*(1+IF(AND(K$6&gt;0,$B277&lt;K$6),K$4,K$5)/12),2))</f>
        <v/>
      </c>
      <c r="AQ277">
        <f>IF(L276&lt;=0,0,ROUND(L276*(1+IF(AND(L$6&gt;0,$B277&lt;L$6),L$4,L$5)/12),2))</f>
        <v/>
      </c>
      <c r="AR277">
        <f>IF(M276&lt;=0,0,ROUND(M276*(1+IF(AND(M$6&gt;0,$B277&lt;M$6),M$4,M$5)/12),2))</f>
        <v/>
      </c>
      <c r="AS277">
        <f>IF(N276&lt;=0,0,ROUND(N276*(1+IF(AND(N$6&gt;0,$B277&lt;N$6),N$4,N$5)/12),2))</f>
        <v/>
      </c>
    </row>
    <row r="278">
      <c r="A278" t="n">
        <v>267</v>
      </c>
      <c r="B278">
        <f>EDATE(Plan!$C$6,266)</f>
        <v/>
      </c>
      <c r="C278">
        <f>IF(C277&lt;=0,0,MAX(0,AH278-O278))</f>
        <v/>
      </c>
      <c r="D278">
        <f>IF(D277&lt;=0,0,MAX(0,AI278-P278))</f>
        <v/>
      </c>
      <c r="E278">
        <f>IF(E277&lt;=0,0,MAX(0,AJ278-Q278))</f>
        <v/>
      </c>
      <c r="F278">
        <f>IF(F277&lt;=0,0,MAX(0,AK278-R278))</f>
        <v/>
      </c>
      <c r="G278">
        <f>IF(G277&lt;=0,0,MAX(0,AL278-S278))</f>
        <v/>
      </c>
      <c r="H278">
        <f>IF(H277&lt;=0,0,MAX(0,AM278-T278))</f>
        <v/>
      </c>
      <c r="I278">
        <f>IF(I277&lt;=0,0,MAX(0,AN278-U278))</f>
        <v/>
      </c>
      <c r="J278">
        <f>IF(J277&lt;=0,0,MAX(0,AO278-V278))</f>
        <v/>
      </c>
      <c r="K278">
        <f>IF(K277&lt;=0,0,MAX(0,AP278-W278))</f>
        <v/>
      </c>
      <c r="L278">
        <f>IF(L277&lt;=0,0,MAX(0,AQ278-X278))</f>
        <v/>
      </c>
      <c r="M278">
        <f>IF(M277&lt;=0,0,MAX(0,AR278-Y278))</f>
        <v/>
      </c>
      <c r="N278">
        <f>IF(N277&lt;=0,0,MAX(0,AS278-Z278))</f>
        <v/>
      </c>
      <c r="O278">
        <f>IF(C277&lt;=0,0,MIN(AH278,C$7+IF(C$2=$AA278,$AC278,IF(C$2=$AF278,$AG278,0))))</f>
        <v/>
      </c>
      <c r="P278">
        <f>IF(D277&lt;=0,0,MIN(AI278,D$7+IF(D$2=$AA278,$AC278,IF(D$2=$AF278,$AG278,0))))</f>
        <v/>
      </c>
      <c r="Q278">
        <f>IF(E277&lt;=0,0,MIN(AJ278,E$7+IF(E$2=$AA278,$AC278,IF(E$2=$AF278,$AG278,0))))</f>
        <v/>
      </c>
      <c r="R278">
        <f>IF(F277&lt;=0,0,MIN(AK278,F$7+IF(F$2=$AA278,$AC278,IF(F$2=$AF278,$AG278,0))))</f>
        <v/>
      </c>
      <c r="S278">
        <f>IF(G277&lt;=0,0,MIN(AL278,G$7+IF(G$2=$AA278,$AC278,IF(G$2=$AF278,$AG278,0))))</f>
        <v/>
      </c>
      <c r="T278">
        <f>IF(H277&lt;=0,0,MIN(AM278,H$7+IF(H$2=$AA278,$AC278,IF(H$2=$AF278,$AG278,0))))</f>
        <v/>
      </c>
      <c r="U278">
        <f>IF(I277&lt;=0,0,MIN(AN278,I$7+IF(I$2=$AA278,$AC278,IF(I$2=$AF278,$AG278,0))))</f>
        <v/>
      </c>
      <c r="V278">
        <f>IF(J277&lt;=0,0,MIN(AO278,J$7+IF(J$2=$AA278,$AC278,IF(J$2=$AF278,$AG278,0))))</f>
        <v/>
      </c>
      <c r="W278">
        <f>IF(K277&lt;=0,0,MIN(AP278,K$7+IF(K$2=$AA278,$AC278,IF(K$2=$AF278,$AG278,0))))</f>
        <v/>
      </c>
      <c r="X278">
        <f>IF(L277&lt;=0,0,MIN(AQ278,L$7+IF(L$2=$AA278,$AC278,IF(L$2=$AF278,$AG278,0))))</f>
        <v/>
      </c>
      <c r="Y278">
        <f>IF(M277&lt;=0,0,MIN(AR278,M$7+IF(M$2=$AA278,$AC278,IF(M$2=$AF278,$AG278,0))))</f>
        <v/>
      </c>
      <c r="Z278">
        <f>IF(N277&lt;=0,0,MIN(AS278,N$7+IF(N$2=$AA278,$AC278,IF(N$2=$AF278,$AG278,0))))</f>
        <v/>
      </c>
      <c r="AA278">
        <f>IFERROR(ROUND(1/SUMPRODUCT(MAX((C277:N277&gt;0)*($C$3:$N$3&lt;=B278)/$C$2:$N$2)),0),0)</f>
        <v/>
      </c>
      <c r="AB278">
        <f>SUMPRODUCT((C277:N277&gt;0)*$C$7:$N$7)</f>
        <v/>
      </c>
      <c r="AC278">
        <f>MAX(0,Plan!$C$5-AB278)+IF(A278=Plan!$C$8,N(Plan!$C$7),0)</f>
        <v/>
      </c>
      <c r="AD278">
        <f>SUM(C278:N278)</f>
        <v/>
      </c>
      <c r="AE278">
        <f>SUM(O278:Z278)</f>
        <v/>
      </c>
      <c r="AF278">
        <f>IFERROR(ROUND(1/SUMPRODUCT(MAX((C277:N277&gt;0)*($C$3:$N$3&lt;=B278)*($C$2:$N$2&gt;AA278)/$C$2:$N$2)),0),0)</f>
        <v/>
      </c>
      <c r="AG278">
        <f>MAX(0,AC278-MAX(0,SUMPRODUCT(($C$2:$N$2=AA278)*(AH278:AS278-$C$7:$N$7))))</f>
        <v/>
      </c>
      <c r="AH278">
        <f>IF(C277&lt;=0,0,ROUND(C277*(1+IF(AND(C$6&gt;0,$B278&lt;C$6),C$4,C$5)/12),2))</f>
        <v/>
      </c>
      <c r="AI278">
        <f>IF(D277&lt;=0,0,ROUND(D277*(1+IF(AND(D$6&gt;0,$B278&lt;D$6),D$4,D$5)/12),2))</f>
        <v/>
      </c>
      <c r="AJ278">
        <f>IF(E277&lt;=0,0,ROUND(E277*(1+IF(AND(E$6&gt;0,$B278&lt;E$6),E$4,E$5)/12),2))</f>
        <v/>
      </c>
      <c r="AK278">
        <f>IF(F277&lt;=0,0,ROUND(F277*(1+IF(AND(F$6&gt;0,$B278&lt;F$6),F$4,F$5)/12),2))</f>
        <v/>
      </c>
      <c r="AL278">
        <f>IF(G277&lt;=0,0,ROUND(G277*(1+IF(AND(G$6&gt;0,$B278&lt;G$6),G$4,G$5)/12),2))</f>
        <v/>
      </c>
      <c r="AM278">
        <f>IF(H277&lt;=0,0,ROUND(H277*(1+IF(AND(H$6&gt;0,$B278&lt;H$6),H$4,H$5)/12),2))</f>
        <v/>
      </c>
      <c r="AN278">
        <f>IF(I277&lt;=0,0,ROUND(I277*(1+IF(AND(I$6&gt;0,$B278&lt;I$6),I$4,I$5)/12),2))</f>
        <v/>
      </c>
      <c r="AO278">
        <f>IF(J277&lt;=0,0,ROUND(J277*(1+IF(AND(J$6&gt;0,$B278&lt;J$6),J$4,J$5)/12),2))</f>
        <v/>
      </c>
      <c r="AP278">
        <f>IF(K277&lt;=0,0,ROUND(K277*(1+IF(AND(K$6&gt;0,$B278&lt;K$6),K$4,K$5)/12),2))</f>
        <v/>
      </c>
      <c r="AQ278">
        <f>IF(L277&lt;=0,0,ROUND(L277*(1+IF(AND(L$6&gt;0,$B278&lt;L$6),L$4,L$5)/12),2))</f>
        <v/>
      </c>
      <c r="AR278">
        <f>IF(M277&lt;=0,0,ROUND(M277*(1+IF(AND(M$6&gt;0,$B278&lt;M$6),M$4,M$5)/12),2))</f>
        <v/>
      </c>
      <c r="AS278">
        <f>IF(N277&lt;=0,0,ROUND(N277*(1+IF(AND(N$6&gt;0,$B278&lt;N$6),N$4,N$5)/12),2))</f>
        <v/>
      </c>
    </row>
    <row r="279">
      <c r="A279" t="n">
        <v>268</v>
      </c>
      <c r="B279">
        <f>EDATE(Plan!$C$6,267)</f>
        <v/>
      </c>
      <c r="C279">
        <f>IF(C278&lt;=0,0,MAX(0,AH279-O279))</f>
        <v/>
      </c>
      <c r="D279">
        <f>IF(D278&lt;=0,0,MAX(0,AI279-P279))</f>
        <v/>
      </c>
      <c r="E279">
        <f>IF(E278&lt;=0,0,MAX(0,AJ279-Q279))</f>
        <v/>
      </c>
      <c r="F279">
        <f>IF(F278&lt;=0,0,MAX(0,AK279-R279))</f>
        <v/>
      </c>
      <c r="G279">
        <f>IF(G278&lt;=0,0,MAX(0,AL279-S279))</f>
        <v/>
      </c>
      <c r="H279">
        <f>IF(H278&lt;=0,0,MAX(0,AM279-T279))</f>
        <v/>
      </c>
      <c r="I279">
        <f>IF(I278&lt;=0,0,MAX(0,AN279-U279))</f>
        <v/>
      </c>
      <c r="J279">
        <f>IF(J278&lt;=0,0,MAX(0,AO279-V279))</f>
        <v/>
      </c>
      <c r="K279">
        <f>IF(K278&lt;=0,0,MAX(0,AP279-W279))</f>
        <v/>
      </c>
      <c r="L279">
        <f>IF(L278&lt;=0,0,MAX(0,AQ279-X279))</f>
        <v/>
      </c>
      <c r="M279">
        <f>IF(M278&lt;=0,0,MAX(0,AR279-Y279))</f>
        <v/>
      </c>
      <c r="N279">
        <f>IF(N278&lt;=0,0,MAX(0,AS279-Z279))</f>
        <v/>
      </c>
      <c r="O279">
        <f>IF(C278&lt;=0,0,MIN(AH279,C$7+IF(C$2=$AA279,$AC279,IF(C$2=$AF279,$AG279,0))))</f>
        <v/>
      </c>
      <c r="P279">
        <f>IF(D278&lt;=0,0,MIN(AI279,D$7+IF(D$2=$AA279,$AC279,IF(D$2=$AF279,$AG279,0))))</f>
        <v/>
      </c>
      <c r="Q279">
        <f>IF(E278&lt;=0,0,MIN(AJ279,E$7+IF(E$2=$AA279,$AC279,IF(E$2=$AF279,$AG279,0))))</f>
        <v/>
      </c>
      <c r="R279">
        <f>IF(F278&lt;=0,0,MIN(AK279,F$7+IF(F$2=$AA279,$AC279,IF(F$2=$AF279,$AG279,0))))</f>
        <v/>
      </c>
      <c r="S279">
        <f>IF(G278&lt;=0,0,MIN(AL279,G$7+IF(G$2=$AA279,$AC279,IF(G$2=$AF279,$AG279,0))))</f>
        <v/>
      </c>
      <c r="T279">
        <f>IF(H278&lt;=0,0,MIN(AM279,H$7+IF(H$2=$AA279,$AC279,IF(H$2=$AF279,$AG279,0))))</f>
        <v/>
      </c>
      <c r="U279">
        <f>IF(I278&lt;=0,0,MIN(AN279,I$7+IF(I$2=$AA279,$AC279,IF(I$2=$AF279,$AG279,0))))</f>
        <v/>
      </c>
      <c r="V279">
        <f>IF(J278&lt;=0,0,MIN(AO279,J$7+IF(J$2=$AA279,$AC279,IF(J$2=$AF279,$AG279,0))))</f>
        <v/>
      </c>
      <c r="W279">
        <f>IF(K278&lt;=0,0,MIN(AP279,K$7+IF(K$2=$AA279,$AC279,IF(K$2=$AF279,$AG279,0))))</f>
        <v/>
      </c>
      <c r="X279">
        <f>IF(L278&lt;=0,0,MIN(AQ279,L$7+IF(L$2=$AA279,$AC279,IF(L$2=$AF279,$AG279,0))))</f>
        <v/>
      </c>
      <c r="Y279">
        <f>IF(M278&lt;=0,0,MIN(AR279,M$7+IF(M$2=$AA279,$AC279,IF(M$2=$AF279,$AG279,0))))</f>
        <v/>
      </c>
      <c r="Z279">
        <f>IF(N278&lt;=0,0,MIN(AS279,N$7+IF(N$2=$AA279,$AC279,IF(N$2=$AF279,$AG279,0))))</f>
        <v/>
      </c>
      <c r="AA279">
        <f>IFERROR(ROUND(1/SUMPRODUCT(MAX((C278:N278&gt;0)*($C$3:$N$3&lt;=B279)/$C$2:$N$2)),0),0)</f>
        <v/>
      </c>
      <c r="AB279">
        <f>SUMPRODUCT((C278:N278&gt;0)*$C$7:$N$7)</f>
        <v/>
      </c>
      <c r="AC279">
        <f>MAX(0,Plan!$C$5-AB279)+IF(A279=Plan!$C$8,N(Plan!$C$7),0)</f>
        <v/>
      </c>
      <c r="AD279">
        <f>SUM(C279:N279)</f>
        <v/>
      </c>
      <c r="AE279">
        <f>SUM(O279:Z279)</f>
        <v/>
      </c>
      <c r="AF279">
        <f>IFERROR(ROUND(1/SUMPRODUCT(MAX((C278:N278&gt;0)*($C$3:$N$3&lt;=B279)*($C$2:$N$2&gt;AA279)/$C$2:$N$2)),0),0)</f>
        <v/>
      </c>
      <c r="AG279">
        <f>MAX(0,AC279-MAX(0,SUMPRODUCT(($C$2:$N$2=AA279)*(AH279:AS279-$C$7:$N$7))))</f>
        <v/>
      </c>
      <c r="AH279">
        <f>IF(C278&lt;=0,0,ROUND(C278*(1+IF(AND(C$6&gt;0,$B279&lt;C$6),C$4,C$5)/12),2))</f>
        <v/>
      </c>
      <c r="AI279">
        <f>IF(D278&lt;=0,0,ROUND(D278*(1+IF(AND(D$6&gt;0,$B279&lt;D$6),D$4,D$5)/12),2))</f>
        <v/>
      </c>
      <c r="AJ279">
        <f>IF(E278&lt;=0,0,ROUND(E278*(1+IF(AND(E$6&gt;0,$B279&lt;E$6),E$4,E$5)/12),2))</f>
        <v/>
      </c>
      <c r="AK279">
        <f>IF(F278&lt;=0,0,ROUND(F278*(1+IF(AND(F$6&gt;0,$B279&lt;F$6),F$4,F$5)/12),2))</f>
        <v/>
      </c>
      <c r="AL279">
        <f>IF(G278&lt;=0,0,ROUND(G278*(1+IF(AND(G$6&gt;0,$B279&lt;G$6),G$4,G$5)/12),2))</f>
        <v/>
      </c>
      <c r="AM279">
        <f>IF(H278&lt;=0,0,ROUND(H278*(1+IF(AND(H$6&gt;0,$B279&lt;H$6),H$4,H$5)/12),2))</f>
        <v/>
      </c>
      <c r="AN279">
        <f>IF(I278&lt;=0,0,ROUND(I278*(1+IF(AND(I$6&gt;0,$B279&lt;I$6),I$4,I$5)/12),2))</f>
        <v/>
      </c>
      <c r="AO279">
        <f>IF(J278&lt;=0,0,ROUND(J278*(1+IF(AND(J$6&gt;0,$B279&lt;J$6),J$4,J$5)/12),2))</f>
        <v/>
      </c>
      <c r="AP279">
        <f>IF(K278&lt;=0,0,ROUND(K278*(1+IF(AND(K$6&gt;0,$B279&lt;K$6),K$4,K$5)/12),2))</f>
        <v/>
      </c>
      <c r="AQ279">
        <f>IF(L278&lt;=0,0,ROUND(L278*(1+IF(AND(L$6&gt;0,$B279&lt;L$6),L$4,L$5)/12),2))</f>
        <v/>
      </c>
      <c r="AR279">
        <f>IF(M278&lt;=0,0,ROUND(M278*(1+IF(AND(M$6&gt;0,$B279&lt;M$6),M$4,M$5)/12),2))</f>
        <v/>
      </c>
      <c r="AS279">
        <f>IF(N278&lt;=0,0,ROUND(N278*(1+IF(AND(N$6&gt;0,$B279&lt;N$6),N$4,N$5)/12),2))</f>
        <v/>
      </c>
    </row>
    <row r="280">
      <c r="A280" t="n">
        <v>269</v>
      </c>
      <c r="B280">
        <f>EDATE(Plan!$C$6,268)</f>
        <v/>
      </c>
      <c r="C280">
        <f>IF(C279&lt;=0,0,MAX(0,AH280-O280))</f>
        <v/>
      </c>
      <c r="D280">
        <f>IF(D279&lt;=0,0,MAX(0,AI280-P280))</f>
        <v/>
      </c>
      <c r="E280">
        <f>IF(E279&lt;=0,0,MAX(0,AJ280-Q280))</f>
        <v/>
      </c>
      <c r="F280">
        <f>IF(F279&lt;=0,0,MAX(0,AK280-R280))</f>
        <v/>
      </c>
      <c r="G280">
        <f>IF(G279&lt;=0,0,MAX(0,AL280-S280))</f>
        <v/>
      </c>
      <c r="H280">
        <f>IF(H279&lt;=0,0,MAX(0,AM280-T280))</f>
        <v/>
      </c>
      <c r="I280">
        <f>IF(I279&lt;=0,0,MAX(0,AN280-U280))</f>
        <v/>
      </c>
      <c r="J280">
        <f>IF(J279&lt;=0,0,MAX(0,AO280-V280))</f>
        <v/>
      </c>
      <c r="K280">
        <f>IF(K279&lt;=0,0,MAX(0,AP280-W280))</f>
        <v/>
      </c>
      <c r="L280">
        <f>IF(L279&lt;=0,0,MAX(0,AQ280-X280))</f>
        <v/>
      </c>
      <c r="M280">
        <f>IF(M279&lt;=0,0,MAX(0,AR280-Y280))</f>
        <v/>
      </c>
      <c r="N280">
        <f>IF(N279&lt;=0,0,MAX(0,AS280-Z280))</f>
        <v/>
      </c>
      <c r="O280">
        <f>IF(C279&lt;=0,0,MIN(AH280,C$7+IF(C$2=$AA280,$AC280,IF(C$2=$AF280,$AG280,0))))</f>
        <v/>
      </c>
      <c r="P280">
        <f>IF(D279&lt;=0,0,MIN(AI280,D$7+IF(D$2=$AA280,$AC280,IF(D$2=$AF280,$AG280,0))))</f>
        <v/>
      </c>
      <c r="Q280">
        <f>IF(E279&lt;=0,0,MIN(AJ280,E$7+IF(E$2=$AA280,$AC280,IF(E$2=$AF280,$AG280,0))))</f>
        <v/>
      </c>
      <c r="R280">
        <f>IF(F279&lt;=0,0,MIN(AK280,F$7+IF(F$2=$AA280,$AC280,IF(F$2=$AF280,$AG280,0))))</f>
        <v/>
      </c>
      <c r="S280">
        <f>IF(G279&lt;=0,0,MIN(AL280,G$7+IF(G$2=$AA280,$AC280,IF(G$2=$AF280,$AG280,0))))</f>
        <v/>
      </c>
      <c r="T280">
        <f>IF(H279&lt;=0,0,MIN(AM280,H$7+IF(H$2=$AA280,$AC280,IF(H$2=$AF280,$AG280,0))))</f>
        <v/>
      </c>
      <c r="U280">
        <f>IF(I279&lt;=0,0,MIN(AN280,I$7+IF(I$2=$AA280,$AC280,IF(I$2=$AF280,$AG280,0))))</f>
        <v/>
      </c>
      <c r="V280">
        <f>IF(J279&lt;=0,0,MIN(AO280,J$7+IF(J$2=$AA280,$AC280,IF(J$2=$AF280,$AG280,0))))</f>
        <v/>
      </c>
      <c r="W280">
        <f>IF(K279&lt;=0,0,MIN(AP280,K$7+IF(K$2=$AA280,$AC280,IF(K$2=$AF280,$AG280,0))))</f>
        <v/>
      </c>
      <c r="X280">
        <f>IF(L279&lt;=0,0,MIN(AQ280,L$7+IF(L$2=$AA280,$AC280,IF(L$2=$AF280,$AG280,0))))</f>
        <v/>
      </c>
      <c r="Y280">
        <f>IF(M279&lt;=0,0,MIN(AR280,M$7+IF(M$2=$AA280,$AC280,IF(M$2=$AF280,$AG280,0))))</f>
        <v/>
      </c>
      <c r="Z280">
        <f>IF(N279&lt;=0,0,MIN(AS280,N$7+IF(N$2=$AA280,$AC280,IF(N$2=$AF280,$AG280,0))))</f>
        <v/>
      </c>
      <c r="AA280">
        <f>IFERROR(ROUND(1/SUMPRODUCT(MAX((C279:N279&gt;0)*($C$3:$N$3&lt;=B280)/$C$2:$N$2)),0),0)</f>
        <v/>
      </c>
      <c r="AB280">
        <f>SUMPRODUCT((C279:N279&gt;0)*$C$7:$N$7)</f>
        <v/>
      </c>
      <c r="AC280">
        <f>MAX(0,Plan!$C$5-AB280)+IF(A280=Plan!$C$8,N(Plan!$C$7),0)</f>
        <v/>
      </c>
      <c r="AD280">
        <f>SUM(C280:N280)</f>
        <v/>
      </c>
      <c r="AE280">
        <f>SUM(O280:Z280)</f>
        <v/>
      </c>
      <c r="AF280">
        <f>IFERROR(ROUND(1/SUMPRODUCT(MAX((C279:N279&gt;0)*($C$3:$N$3&lt;=B280)*($C$2:$N$2&gt;AA280)/$C$2:$N$2)),0),0)</f>
        <v/>
      </c>
      <c r="AG280">
        <f>MAX(0,AC280-MAX(0,SUMPRODUCT(($C$2:$N$2=AA280)*(AH280:AS280-$C$7:$N$7))))</f>
        <v/>
      </c>
      <c r="AH280">
        <f>IF(C279&lt;=0,0,ROUND(C279*(1+IF(AND(C$6&gt;0,$B280&lt;C$6),C$4,C$5)/12),2))</f>
        <v/>
      </c>
      <c r="AI280">
        <f>IF(D279&lt;=0,0,ROUND(D279*(1+IF(AND(D$6&gt;0,$B280&lt;D$6),D$4,D$5)/12),2))</f>
        <v/>
      </c>
      <c r="AJ280">
        <f>IF(E279&lt;=0,0,ROUND(E279*(1+IF(AND(E$6&gt;0,$B280&lt;E$6),E$4,E$5)/12),2))</f>
        <v/>
      </c>
      <c r="AK280">
        <f>IF(F279&lt;=0,0,ROUND(F279*(1+IF(AND(F$6&gt;0,$B280&lt;F$6),F$4,F$5)/12),2))</f>
        <v/>
      </c>
      <c r="AL280">
        <f>IF(G279&lt;=0,0,ROUND(G279*(1+IF(AND(G$6&gt;0,$B280&lt;G$6),G$4,G$5)/12),2))</f>
        <v/>
      </c>
      <c r="AM280">
        <f>IF(H279&lt;=0,0,ROUND(H279*(1+IF(AND(H$6&gt;0,$B280&lt;H$6),H$4,H$5)/12),2))</f>
        <v/>
      </c>
      <c r="AN280">
        <f>IF(I279&lt;=0,0,ROUND(I279*(1+IF(AND(I$6&gt;0,$B280&lt;I$6),I$4,I$5)/12),2))</f>
        <v/>
      </c>
      <c r="AO280">
        <f>IF(J279&lt;=0,0,ROUND(J279*(1+IF(AND(J$6&gt;0,$B280&lt;J$6),J$4,J$5)/12),2))</f>
        <v/>
      </c>
      <c r="AP280">
        <f>IF(K279&lt;=0,0,ROUND(K279*(1+IF(AND(K$6&gt;0,$B280&lt;K$6),K$4,K$5)/12),2))</f>
        <v/>
      </c>
      <c r="AQ280">
        <f>IF(L279&lt;=0,0,ROUND(L279*(1+IF(AND(L$6&gt;0,$B280&lt;L$6),L$4,L$5)/12),2))</f>
        <v/>
      </c>
      <c r="AR280">
        <f>IF(M279&lt;=0,0,ROUND(M279*(1+IF(AND(M$6&gt;0,$B280&lt;M$6),M$4,M$5)/12),2))</f>
        <v/>
      </c>
      <c r="AS280">
        <f>IF(N279&lt;=0,0,ROUND(N279*(1+IF(AND(N$6&gt;0,$B280&lt;N$6),N$4,N$5)/12),2))</f>
        <v/>
      </c>
    </row>
    <row r="281">
      <c r="A281" t="n">
        <v>270</v>
      </c>
      <c r="B281">
        <f>EDATE(Plan!$C$6,269)</f>
        <v/>
      </c>
      <c r="C281">
        <f>IF(C280&lt;=0,0,MAX(0,AH281-O281))</f>
        <v/>
      </c>
      <c r="D281">
        <f>IF(D280&lt;=0,0,MAX(0,AI281-P281))</f>
        <v/>
      </c>
      <c r="E281">
        <f>IF(E280&lt;=0,0,MAX(0,AJ281-Q281))</f>
        <v/>
      </c>
      <c r="F281">
        <f>IF(F280&lt;=0,0,MAX(0,AK281-R281))</f>
        <v/>
      </c>
      <c r="G281">
        <f>IF(G280&lt;=0,0,MAX(0,AL281-S281))</f>
        <v/>
      </c>
      <c r="H281">
        <f>IF(H280&lt;=0,0,MAX(0,AM281-T281))</f>
        <v/>
      </c>
      <c r="I281">
        <f>IF(I280&lt;=0,0,MAX(0,AN281-U281))</f>
        <v/>
      </c>
      <c r="J281">
        <f>IF(J280&lt;=0,0,MAX(0,AO281-V281))</f>
        <v/>
      </c>
      <c r="K281">
        <f>IF(K280&lt;=0,0,MAX(0,AP281-W281))</f>
        <v/>
      </c>
      <c r="L281">
        <f>IF(L280&lt;=0,0,MAX(0,AQ281-X281))</f>
        <v/>
      </c>
      <c r="M281">
        <f>IF(M280&lt;=0,0,MAX(0,AR281-Y281))</f>
        <v/>
      </c>
      <c r="N281">
        <f>IF(N280&lt;=0,0,MAX(0,AS281-Z281))</f>
        <v/>
      </c>
      <c r="O281">
        <f>IF(C280&lt;=0,0,MIN(AH281,C$7+IF(C$2=$AA281,$AC281,IF(C$2=$AF281,$AG281,0))))</f>
        <v/>
      </c>
      <c r="P281">
        <f>IF(D280&lt;=0,0,MIN(AI281,D$7+IF(D$2=$AA281,$AC281,IF(D$2=$AF281,$AG281,0))))</f>
        <v/>
      </c>
      <c r="Q281">
        <f>IF(E280&lt;=0,0,MIN(AJ281,E$7+IF(E$2=$AA281,$AC281,IF(E$2=$AF281,$AG281,0))))</f>
        <v/>
      </c>
      <c r="R281">
        <f>IF(F280&lt;=0,0,MIN(AK281,F$7+IF(F$2=$AA281,$AC281,IF(F$2=$AF281,$AG281,0))))</f>
        <v/>
      </c>
      <c r="S281">
        <f>IF(G280&lt;=0,0,MIN(AL281,G$7+IF(G$2=$AA281,$AC281,IF(G$2=$AF281,$AG281,0))))</f>
        <v/>
      </c>
      <c r="T281">
        <f>IF(H280&lt;=0,0,MIN(AM281,H$7+IF(H$2=$AA281,$AC281,IF(H$2=$AF281,$AG281,0))))</f>
        <v/>
      </c>
      <c r="U281">
        <f>IF(I280&lt;=0,0,MIN(AN281,I$7+IF(I$2=$AA281,$AC281,IF(I$2=$AF281,$AG281,0))))</f>
        <v/>
      </c>
      <c r="V281">
        <f>IF(J280&lt;=0,0,MIN(AO281,J$7+IF(J$2=$AA281,$AC281,IF(J$2=$AF281,$AG281,0))))</f>
        <v/>
      </c>
      <c r="W281">
        <f>IF(K280&lt;=0,0,MIN(AP281,K$7+IF(K$2=$AA281,$AC281,IF(K$2=$AF281,$AG281,0))))</f>
        <v/>
      </c>
      <c r="X281">
        <f>IF(L280&lt;=0,0,MIN(AQ281,L$7+IF(L$2=$AA281,$AC281,IF(L$2=$AF281,$AG281,0))))</f>
        <v/>
      </c>
      <c r="Y281">
        <f>IF(M280&lt;=0,0,MIN(AR281,M$7+IF(M$2=$AA281,$AC281,IF(M$2=$AF281,$AG281,0))))</f>
        <v/>
      </c>
      <c r="Z281">
        <f>IF(N280&lt;=0,0,MIN(AS281,N$7+IF(N$2=$AA281,$AC281,IF(N$2=$AF281,$AG281,0))))</f>
        <v/>
      </c>
      <c r="AA281">
        <f>IFERROR(ROUND(1/SUMPRODUCT(MAX((C280:N280&gt;0)*($C$3:$N$3&lt;=B281)/$C$2:$N$2)),0),0)</f>
        <v/>
      </c>
      <c r="AB281">
        <f>SUMPRODUCT((C280:N280&gt;0)*$C$7:$N$7)</f>
        <v/>
      </c>
      <c r="AC281">
        <f>MAX(0,Plan!$C$5-AB281)+IF(A281=Plan!$C$8,N(Plan!$C$7),0)</f>
        <v/>
      </c>
      <c r="AD281">
        <f>SUM(C281:N281)</f>
        <v/>
      </c>
      <c r="AE281">
        <f>SUM(O281:Z281)</f>
        <v/>
      </c>
      <c r="AF281">
        <f>IFERROR(ROUND(1/SUMPRODUCT(MAX((C280:N280&gt;0)*($C$3:$N$3&lt;=B281)*($C$2:$N$2&gt;AA281)/$C$2:$N$2)),0),0)</f>
        <v/>
      </c>
      <c r="AG281">
        <f>MAX(0,AC281-MAX(0,SUMPRODUCT(($C$2:$N$2=AA281)*(AH281:AS281-$C$7:$N$7))))</f>
        <v/>
      </c>
      <c r="AH281">
        <f>IF(C280&lt;=0,0,ROUND(C280*(1+IF(AND(C$6&gt;0,$B281&lt;C$6),C$4,C$5)/12),2))</f>
        <v/>
      </c>
      <c r="AI281">
        <f>IF(D280&lt;=0,0,ROUND(D280*(1+IF(AND(D$6&gt;0,$B281&lt;D$6),D$4,D$5)/12),2))</f>
        <v/>
      </c>
      <c r="AJ281">
        <f>IF(E280&lt;=0,0,ROUND(E280*(1+IF(AND(E$6&gt;0,$B281&lt;E$6),E$4,E$5)/12),2))</f>
        <v/>
      </c>
      <c r="AK281">
        <f>IF(F280&lt;=0,0,ROUND(F280*(1+IF(AND(F$6&gt;0,$B281&lt;F$6),F$4,F$5)/12),2))</f>
        <v/>
      </c>
      <c r="AL281">
        <f>IF(G280&lt;=0,0,ROUND(G280*(1+IF(AND(G$6&gt;0,$B281&lt;G$6),G$4,G$5)/12),2))</f>
        <v/>
      </c>
      <c r="AM281">
        <f>IF(H280&lt;=0,0,ROUND(H280*(1+IF(AND(H$6&gt;0,$B281&lt;H$6),H$4,H$5)/12),2))</f>
        <v/>
      </c>
      <c r="AN281">
        <f>IF(I280&lt;=0,0,ROUND(I280*(1+IF(AND(I$6&gt;0,$B281&lt;I$6),I$4,I$5)/12),2))</f>
        <v/>
      </c>
      <c r="AO281">
        <f>IF(J280&lt;=0,0,ROUND(J280*(1+IF(AND(J$6&gt;0,$B281&lt;J$6),J$4,J$5)/12),2))</f>
        <v/>
      </c>
      <c r="AP281">
        <f>IF(K280&lt;=0,0,ROUND(K280*(1+IF(AND(K$6&gt;0,$B281&lt;K$6),K$4,K$5)/12),2))</f>
        <v/>
      </c>
      <c r="AQ281">
        <f>IF(L280&lt;=0,0,ROUND(L280*(1+IF(AND(L$6&gt;0,$B281&lt;L$6),L$4,L$5)/12),2))</f>
        <v/>
      </c>
      <c r="AR281">
        <f>IF(M280&lt;=0,0,ROUND(M280*(1+IF(AND(M$6&gt;0,$B281&lt;M$6),M$4,M$5)/12),2))</f>
        <v/>
      </c>
      <c r="AS281">
        <f>IF(N280&lt;=0,0,ROUND(N280*(1+IF(AND(N$6&gt;0,$B281&lt;N$6),N$4,N$5)/12),2))</f>
        <v/>
      </c>
    </row>
    <row r="282">
      <c r="A282" t="n">
        <v>271</v>
      </c>
      <c r="B282">
        <f>EDATE(Plan!$C$6,270)</f>
        <v/>
      </c>
      <c r="C282">
        <f>IF(C281&lt;=0,0,MAX(0,AH282-O282))</f>
        <v/>
      </c>
      <c r="D282">
        <f>IF(D281&lt;=0,0,MAX(0,AI282-P282))</f>
        <v/>
      </c>
      <c r="E282">
        <f>IF(E281&lt;=0,0,MAX(0,AJ282-Q282))</f>
        <v/>
      </c>
      <c r="F282">
        <f>IF(F281&lt;=0,0,MAX(0,AK282-R282))</f>
        <v/>
      </c>
      <c r="G282">
        <f>IF(G281&lt;=0,0,MAX(0,AL282-S282))</f>
        <v/>
      </c>
      <c r="H282">
        <f>IF(H281&lt;=0,0,MAX(0,AM282-T282))</f>
        <v/>
      </c>
      <c r="I282">
        <f>IF(I281&lt;=0,0,MAX(0,AN282-U282))</f>
        <v/>
      </c>
      <c r="J282">
        <f>IF(J281&lt;=0,0,MAX(0,AO282-V282))</f>
        <v/>
      </c>
      <c r="K282">
        <f>IF(K281&lt;=0,0,MAX(0,AP282-W282))</f>
        <v/>
      </c>
      <c r="L282">
        <f>IF(L281&lt;=0,0,MAX(0,AQ282-X282))</f>
        <v/>
      </c>
      <c r="M282">
        <f>IF(M281&lt;=0,0,MAX(0,AR282-Y282))</f>
        <v/>
      </c>
      <c r="N282">
        <f>IF(N281&lt;=0,0,MAX(0,AS282-Z282))</f>
        <v/>
      </c>
      <c r="O282">
        <f>IF(C281&lt;=0,0,MIN(AH282,C$7+IF(C$2=$AA282,$AC282,IF(C$2=$AF282,$AG282,0))))</f>
        <v/>
      </c>
      <c r="P282">
        <f>IF(D281&lt;=0,0,MIN(AI282,D$7+IF(D$2=$AA282,$AC282,IF(D$2=$AF282,$AG282,0))))</f>
        <v/>
      </c>
      <c r="Q282">
        <f>IF(E281&lt;=0,0,MIN(AJ282,E$7+IF(E$2=$AA282,$AC282,IF(E$2=$AF282,$AG282,0))))</f>
        <v/>
      </c>
      <c r="R282">
        <f>IF(F281&lt;=0,0,MIN(AK282,F$7+IF(F$2=$AA282,$AC282,IF(F$2=$AF282,$AG282,0))))</f>
        <v/>
      </c>
      <c r="S282">
        <f>IF(G281&lt;=0,0,MIN(AL282,G$7+IF(G$2=$AA282,$AC282,IF(G$2=$AF282,$AG282,0))))</f>
        <v/>
      </c>
      <c r="T282">
        <f>IF(H281&lt;=0,0,MIN(AM282,H$7+IF(H$2=$AA282,$AC282,IF(H$2=$AF282,$AG282,0))))</f>
        <v/>
      </c>
      <c r="U282">
        <f>IF(I281&lt;=0,0,MIN(AN282,I$7+IF(I$2=$AA282,$AC282,IF(I$2=$AF282,$AG282,0))))</f>
        <v/>
      </c>
      <c r="V282">
        <f>IF(J281&lt;=0,0,MIN(AO282,J$7+IF(J$2=$AA282,$AC282,IF(J$2=$AF282,$AG282,0))))</f>
        <v/>
      </c>
      <c r="W282">
        <f>IF(K281&lt;=0,0,MIN(AP282,K$7+IF(K$2=$AA282,$AC282,IF(K$2=$AF282,$AG282,0))))</f>
        <v/>
      </c>
      <c r="X282">
        <f>IF(L281&lt;=0,0,MIN(AQ282,L$7+IF(L$2=$AA282,$AC282,IF(L$2=$AF282,$AG282,0))))</f>
        <v/>
      </c>
      <c r="Y282">
        <f>IF(M281&lt;=0,0,MIN(AR282,M$7+IF(M$2=$AA282,$AC282,IF(M$2=$AF282,$AG282,0))))</f>
        <v/>
      </c>
      <c r="Z282">
        <f>IF(N281&lt;=0,0,MIN(AS282,N$7+IF(N$2=$AA282,$AC282,IF(N$2=$AF282,$AG282,0))))</f>
        <v/>
      </c>
      <c r="AA282">
        <f>IFERROR(ROUND(1/SUMPRODUCT(MAX((C281:N281&gt;0)*($C$3:$N$3&lt;=B282)/$C$2:$N$2)),0),0)</f>
        <v/>
      </c>
      <c r="AB282">
        <f>SUMPRODUCT((C281:N281&gt;0)*$C$7:$N$7)</f>
        <v/>
      </c>
      <c r="AC282">
        <f>MAX(0,Plan!$C$5-AB282)+IF(A282=Plan!$C$8,N(Plan!$C$7),0)</f>
        <v/>
      </c>
      <c r="AD282">
        <f>SUM(C282:N282)</f>
        <v/>
      </c>
      <c r="AE282">
        <f>SUM(O282:Z282)</f>
        <v/>
      </c>
      <c r="AF282">
        <f>IFERROR(ROUND(1/SUMPRODUCT(MAX((C281:N281&gt;0)*($C$3:$N$3&lt;=B282)*($C$2:$N$2&gt;AA282)/$C$2:$N$2)),0),0)</f>
        <v/>
      </c>
      <c r="AG282">
        <f>MAX(0,AC282-MAX(0,SUMPRODUCT(($C$2:$N$2=AA282)*(AH282:AS282-$C$7:$N$7))))</f>
        <v/>
      </c>
      <c r="AH282">
        <f>IF(C281&lt;=0,0,ROUND(C281*(1+IF(AND(C$6&gt;0,$B282&lt;C$6),C$4,C$5)/12),2))</f>
        <v/>
      </c>
      <c r="AI282">
        <f>IF(D281&lt;=0,0,ROUND(D281*(1+IF(AND(D$6&gt;0,$B282&lt;D$6),D$4,D$5)/12),2))</f>
        <v/>
      </c>
      <c r="AJ282">
        <f>IF(E281&lt;=0,0,ROUND(E281*(1+IF(AND(E$6&gt;0,$B282&lt;E$6),E$4,E$5)/12),2))</f>
        <v/>
      </c>
      <c r="AK282">
        <f>IF(F281&lt;=0,0,ROUND(F281*(1+IF(AND(F$6&gt;0,$B282&lt;F$6),F$4,F$5)/12),2))</f>
        <v/>
      </c>
      <c r="AL282">
        <f>IF(G281&lt;=0,0,ROUND(G281*(1+IF(AND(G$6&gt;0,$B282&lt;G$6),G$4,G$5)/12),2))</f>
        <v/>
      </c>
      <c r="AM282">
        <f>IF(H281&lt;=0,0,ROUND(H281*(1+IF(AND(H$6&gt;0,$B282&lt;H$6),H$4,H$5)/12),2))</f>
        <v/>
      </c>
      <c r="AN282">
        <f>IF(I281&lt;=0,0,ROUND(I281*(1+IF(AND(I$6&gt;0,$B282&lt;I$6),I$4,I$5)/12),2))</f>
        <v/>
      </c>
      <c r="AO282">
        <f>IF(J281&lt;=0,0,ROUND(J281*(1+IF(AND(J$6&gt;0,$B282&lt;J$6),J$4,J$5)/12),2))</f>
        <v/>
      </c>
      <c r="AP282">
        <f>IF(K281&lt;=0,0,ROUND(K281*(1+IF(AND(K$6&gt;0,$B282&lt;K$6),K$4,K$5)/12),2))</f>
        <v/>
      </c>
      <c r="AQ282">
        <f>IF(L281&lt;=0,0,ROUND(L281*(1+IF(AND(L$6&gt;0,$B282&lt;L$6),L$4,L$5)/12),2))</f>
        <v/>
      </c>
      <c r="AR282">
        <f>IF(M281&lt;=0,0,ROUND(M281*(1+IF(AND(M$6&gt;0,$B282&lt;M$6),M$4,M$5)/12),2))</f>
        <v/>
      </c>
      <c r="AS282">
        <f>IF(N281&lt;=0,0,ROUND(N281*(1+IF(AND(N$6&gt;0,$B282&lt;N$6),N$4,N$5)/12),2))</f>
        <v/>
      </c>
    </row>
    <row r="283">
      <c r="A283" t="n">
        <v>272</v>
      </c>
      <c r="B283">
        <f>EDATE(Plan!$C$6,271)</f>
        <v/>
      </c>
      <c r="C283">
        <f>IF(C282&lt;=0,0,MAX(0,AH283-O283))</f>
        <v/>
      </c>
      <c r="D283">
        <f>IF(D282&lt;=0,0,MAX(0,AI283-P283))</f>
        <v/>
      </c>
      <c r="E283">
        <f>IF(E282&lt;=0,0,MAX(0,AJ283-Q283))</f>
        <v/>
      </c>
      <c r="F283">
        <f>IF(F282&lt;=0,0,MAX(0,AK283-R283))</f>
        <v/>
      </c>
      <c r="G283">
        <f>IF(G282&lt;=0,0,MAX(0,AL283-S283))</f>
        <v/>
      </c>
      <c r="H283">
        <f>IF(H282&lt;=0,0,MAX(0,AM283-T283))</f>
        <v/>
      </c>
      <c r="I283">
        <f>IF(I282&lt;=0,0,MAX(0,AN283-U283))</f>
        <v/>
      </c>
      <c r="J283">
        <f>IF(J282&lt;=0,0,MAX(0,AO283-V283))</f>
        <v/>
      </c>
      <c r="K283">
        <f>IF(K282&lt;=0,0,MAX(0,AP283-W283))</f>
        <v/>
      </c>
      <c r="L283">
        <f>IF(L282&lt;=0,0,MAX(0,AQ283-X283))</f>
        <v/>
      </c>
      <c r="M283">
        <f>IF(M282&lt;=0,0,MAX(0,AR283-Y283))</f>
        <v/>
      </c>
      <c r="N283">
        <f>IF(N282&lt;=0,0,MAX(0,AS283-Z283))</f>
        <v/>
      </c>
      <c r="O283">
        <f>IF(C282&lt;=0,0,MIN(AH283,C$7+IF(C$2=$AA283,$AC283,IF(C$2=$AF283,$AG283,0))))</f>
        <v/>
      </c>
      <c r="P283">
        <f>IF(D282&lt;=0,0,MIN(AI283,D$7+IF(D$2=$AA283,$AC283,IF(D$2=$AF283,$AG283,0))))</f>
        <v/>
      </c>
      <c r="Q283">
        <f>IF(E282&lt;=0,0,MIN(AJ283,E$7+IF(E$2=$AA283,$AC283,IF(E$2=$AF283,$AG283,0))))</f>
        <v/>
      </c>
      <c r="R283">
        <f>IF(F282&lt;=0,0,MIN(AK283,F$7+IF(F$2=$AA283,$AC283,IF(F$2=$AF283,$AG283,0))))</f>
        <v/>
      </c>
      <c r="S283">
        <f>IF(G282&lt;=0,0,MIN(AL283,G$7+IF(G$2=$AA283,$AC283,IF(G$2=$AF283,$AG283,0))))</f>
        <v/>
      </c>
      <c r="T283">
        <f>IF(H282&lt;=0,0,MIN(AM283,H$7+IF(H$2=$AA283,$AC283,IF(H$2=$AF283,$AG283,0))))</f>
        <v/>
      </c>
      <c r="U283">
        <f>IF(I282&lt;=0,0,MIN(AN283,I$7+IF(I$2=$AA283,$AC283,IF(I$2=$AF283,$AG283,0))))</f>
        <v/>
      </c>
      <c r="V283">
        <f>IF(J282&lt;=0,0,MIN(AO283,J$7+IF(J$2=$AA283,$AC283,IF(J$2=$AF283,$AG283,0))))</f>
        <v/>
      </c>
      <c r="W283">
        <f>IF(K282&lt;=0,0,MIN(AP283,K$7+IF(K$2=$AA283,$AC283,IF(K$2=$AF283,$AG283,0))))</f>
        <v/>
      </c>
      <c r="X283">
        <f>IF(L282&lt;=0,0,MIN(AQ283,L$7+IF(L$2=$AA283,$AC283,IF(L$2=$AF283,$AG283,0))))</f>
        <v/>
      </c>
      <c r="Y283">
        <f>IF(M282&lt;=0,0,MIN(AR283,M$7+IF(M$2=$AA283,$AC283,IF(M$2=$AF283,$AG283,0))))</f>
        <v/>
      </c>
      <c r="Z283">
        <f>IF(N282&lt;=0,0,MIN(AS283,N$7+IF(N$2=$AA283,$AC283,IF(N$2=$AF283,$AG283,0))))</f>
        <v/>
      </c>
      <c r="AA283">
        <f>IFERROR(ROUND(1/SUMPRODUCT(MAX((C282:N282&gt;0)*($C$3:$N$3&lt;=B283)/$C$2:$N$2)),0),0)</f>
        <v/>
      </c>
      <c r="AB283">
        <f>SUMPRODUCT((C282:N282&gt;0)*$C$7:$N$7)</f>
        <v/>
      </c>
      <c r="AC283">
        <f>MAX(0,Plan!$C$5-AB283)+IF(A283=Plan!$C$8,N(Plan!$C$7),0)</f>
        <v/>
      </c>
      <c r="AD283">
        <f>SUM(C283:N283)</f>
        <v/>
      </c>
      <c r="AE283">
        <f>SUM(O283:Z283)</f>
        <v/>
      </c>
      <c r="AF283">
        <f>IFERROR(ROUND(1/SUMPRODUCT(MAX((C282:N282&gt;0)*($C$3:$N$3&lt;=B283)*($C$2:$N$2&gt;AA283)/$C$2:$N$2)),0),0)</f>
        <v/>
      </c>
      <c r="AG283">
        <f>MAX(0,AC283-MAX(0,SUMPRODUCT(($C$2:$N$2=AA283)*(AH283:AS283-$C$7:$N$7))))</f>
        <v/>
      </c>
      <c r="AH283">
        <f>IF(C282&lt;=0,0,ROUND(C282*(1+IF(AND(C$6&gt;0,$B283&lt;C$6),C$4,C$5)/12),2))</f>
        <v/>
      </c>
      <c r="AI283">
        <f>IF(D282&lt;=0,0,ROUND(D282*(1+IF(AND(D$6&gt;0,$B283&lt;D$6),D$4,D$5)/12),2))</f>
        <v/>
      </c>
      <c r="AJ283">
        <f>IF(E282&lt;=0,0,ROUND(E282*(1+IF(AND(E$6&gt;0,$B283&lt;E$6),E$4,E$5)/12),2))</f>
        <v/>
      </c>
      <c r="AK283">
        <f>IF(F282&lt;=0,0,ROUND(F282*(1+IF(AND(F$6&gt;0,$B283&lt;F$6),F$4,F$5)/12),2))</f>
        <v/>
      </c>
      <c r="AL283">
        <f>IF(G282&lt;=0,0,ROUND(G282*(1+IF(AND(G$6&gt;0,$B283&lt;G$6),G$4,G$5)/12),2))</f>
        <v/>
      </c>
      <c r="AM283">
        <f>IF(H282&lt;=0,0,ROUND(H282*(1+IF(AND(H$6&gt;0,$B283&lt;H$6),H$4,H$5)/12),2))</f>
        <v/>
      </c>
      <c r="AN283">
        <f>IF(I282&lt;=0,0,ROUND(I282*(1+IF(AND(I$6&gt;0,$B283&lt;I$6),I$4,I$5)/12),2))</f>
        <v/>
      </c>
      <c r="AO283">
        <f>IF(J282&lt;=0,0,ROUND(J282*(1+IF(AND(J$6&gt;0,$B283&lt;J$6),J$4,J$5)/12),2))</f>
        <v/>
      </c>
      <c r="AP283">
        <f>IF(K282&lt;=0,0,ROUND(K282*(1+IF(AND(K$6&gt;0,$B283&lt;K$6),K$4,K$5)/12),2))</f>
        <v/>
      </c>
      <c r="AQ283">
        <f>IF(L282&lt;=0,0,ROUND(L282*(1+IF(AND(L$6&gt;0,$B283&lt;L$6),L$4,L$5)/12),2))</f>
        <v/>
      </c>
      <c r="AR283">
        <f>IF(M282&lt;=0,0,ROUND(M282*(1+IF(AND(M$6&gt;0,$B283&lt;M$6),M$4,M$5)/12),2))</f>
        <v/>
      </c>
      <c r="AS283">
        <f>IF(N282&lt;=0,0,ROUND(N282*(1+IF(AND(N$6&gt;0,$B283&lt;N$6),N$4,N$5)/12),2))</f>
        <v/>
      </c>
    </row>
    <row r="284">
      <c r="A284" t="n">
        <v>273</v>
      </c>
      <c r="B284">
        <f>EDATE(Plan!$C$6,272)</f>
        <v/>
      </c>
      <c r="C284">
        <f>IF(C283&lt;=0,0,MAX(0,AH284-O284))</f>
        <v/>
      </c>
      <c r="D284">
        <f>IF(D283&lt;=0,0,MAX(0,AI284-P284))</f>
        <v/>
      </c>
      <c r="E284">
        <f>IF(E283&lt;=0,0,MAX(0,AJ284-Q284))</f>
        <v/>
      </c>
      <c r="F284">
        <f>IF(F283&lt;=0,0,MAX(0,AK284-R284))</f>
        <v/>
      </c>
      <c r="G284">
        <f>IF(G283&lt;=0,0,MAX(0,AL284-S284))</f>
        <v/>
      </c>
      <c r="H284">
        <f>IF(H283&lt;=0,0,MAX(0,AM284-T284))</f>
        <v/>
      </c>
      <c r="I284">
        <f>IF(I283&lt;=0,0,MAX(0,AN284-U284))</f>
        <v/>
      </c>
      <c r="J284">
        <f>IF(J283&lt;=0,0,MAX(0,AO284-V284))</f>
        <v/>
      </c>
      <c r="K284">
        <f>IF(K283&lt;=0,0,MAX(0,AP284-W284))</f>
        <v/>
      </c>
      <c r="L284">
        <f>IF(L283&lt;=0,0,MAX(0,AQ284-X284))</f>
        <v/>
      </c>
      <c r="M284">
        <f>IF(M283&lt;=0,0,MAX(0,AR284-Y284))</f>
        <v/>
      </c>
      <c r="N284">
        <f>IF(N283&lt;=0,0,MAX(0,AS284-Z284))</f>
        <v/>
      </c>
      <c r="O284">
        <f>IF(C283&lt;=0,0,MIN(AH284,C$7+IF(C$2=$AA284,$AC284,IF(C$2=$AF284,$AG284,0))))</f>
        <v/>
      </c>
      <c r="P284">
        <f>IF(D283&lt;=0,0,MIN(AI284,D$7+IF(D$2=$AA284,$AC284,IF(D$2=$AF284,$AG284,0))))</f>
        <v/>
      </c>
      <c r="Q284">
        <f>IF(E283&lt;=0,0,MIN(AJ284,E$7+IF(E$2=$AA284,$AC284,IF(E$2=$AF284,$AG284,0))))</f>
        <v/>
      </c>
      <c r="R284">
        <f>IF(F283&lt;=0,0,MIN(AK284,F$7+IF(F$2=$AA284,$AC284,IF(F$2=$AF284,$AG284,0))))</f>
        <v/>
      </c>
      <c r="S284">
        <f>IF(G283&lt;=0,0,MIN(AL284,G$7+IF(G$2=$AA284,$AC284,IF(G$2=$AF284,$AG284,0))))</f>
        <v/>
      </c>
      <c r="T284">
        <f>IF(H283&lt;=0,0,MIN(AM284,H$7+IF(H$2=$AA284,$AC284,IF(H$2=$AF284,$AG284,0))))</f>
        <v/>
      </c>
      <c r="U284">
        <f>IF(I283&lt;=0,0,MIN(AN284,I$7+IF(I$2=$AA284,$AC284,IF(I$2=$AF284,$AG284,0))))</f>
        <v/>
      </c>
      <c r="V284">
        <f>IF(J283&lt;=0,0,MIN(AO284,J$7+IF(J$2=$AA284,$AC284,IF(J$2=$AF284,$AG284,0))))</f>
        <v/>
      </c>
      <c r="W284">
        <f>IF(K283&lt;=0,0,MIN(AP284,K$7+IF(K$2=$AA284,$AC284,IF(K$2=$AF284,$AG284,0))))</f>
        <v/>
      </c>
      <c r="X284">
        <f>IF(L283&lt;=0,0,MIN(AQ284,L$7+IF(L$2=$AA284,$AC284,IF(L$2=$AF284,$AG284,0))))</f>
        <v/>
      </c>
      <c r="Y284">
        <f>IF(M283&lt;=0,0,MIN(AR284,M$7+IF(M$2=$AA284,$AC284,IF(M$2=$AF284,$AG284,0))))</f>
        <v/>
      </c>
      <c r="Z284">
        <f>IF(N283&lt;=0,0,MIN(AS284,N$7+IF(N$2=$AA284,$AC284,IF(N$2=$AF284,$AG284,0))))</f>
        <v/>
      </c>
      <c r="AA284">
        <f>IFERROR(ROUND(1/SUMPRODUCT(MAX((C283:N283&gt;0)*($C$3:$N$3&lt;=B284)/$C$2:$N$2)),0),0)</f>
        <v/>
      </c>
      <c r="AB284">
        <f>SUMPRODUCT((C283:N283&gt;0)*$C$7:$N$7)</f>
        <v/>
      </c>
      <c r="AC284">
        <f>MAX(0,Plan!$C$5-AB284)+IF(A284=Plan!$C$8,N(Plan!$C$7),0)</f>
        <v/>
      </c>
      <c r="AD284">
        <f>SUM(C284:N284)</f>
        <v/>
      </c>
      <c r="AE284">
        <f>SUM(O284:Z284)</f>
        <v/>
      </c>
      <c r="AF284">
        <f>IFERROR(ROUND(1/SUMPRODUCT(MAX((C283:N283&gt;0)*($C$3:$N$3&lt;=B284)*($C$2:$N$2&gt;AA284)/$C$2:$N$2)),0),0)</f>
        <v/>
      </c>
      <c r="AG284">
        <f>MAX(0,AC284-MAX(0,SUMPRODUCT(($C$2:$N$2=AA284)*(AH284:AS284-$C$7:$N$7))))</f>
        <v/>
      </c>
      <c r="AH284">
        <f>IF(C283&lt;=0,0,ROUND(C283*(1+IF(AND(C$6&gt;0,$B284&lt;C$6),C$4,C$5)/12),2))</f>
        <v/>
      </c>
      <c r="AI284">
        <f>IF(D283&lt;=0,0,ROUND(D283*(1+IF(AND(D$6&gt;0,$B284&lt;D$6),D$4,D$5)/12),2))</f>
        <v/>
      </c>
      <c r="AJ284">
        <f>IF(E283&lt;=0,0,ROUND(E283*(1+IF(AND(E$6&gt;0,$B284&lt;E$6),E$4,E$5)/12),2))</f>
        <v/>
      </c>
      <c r="AK284">
        <f>IF(F283&lt;=0,0,ROUND(F283*(1+IF(AND(F$6&gt;0,$B284&lt;F$6),F$4,F$5)/12),2))</f>
        <v/>
      </c>
      <c r="AL284">
        <f>IF(G283&lt;=0,0,ROUND(G283*(1+IF(AND(G$6&gt;0,$B284&lt;G$6),G$4,G$5)/12),2))</f>
        <v/>
      </c>
      <c r="AM284">
        <f>IF(H283&lt;=0,0,ROUND(H283*(1+IF(AND(H$6&gt;0,$B284&lt;H$6),H$4,H$5)/12),2))</f>
        <v/>
      </c>
      <c r="AN284">
        <f>IF(I283&lt;=0,0,ROUND(I283*(1+IF(AND(I$6&gt;0,$B284&lt;I$6),I$4,I$5)/12),2))</f>
        <v/>
      </c>
      <c r="AO284">
        <f>IF(J283&lt;=0,0,ROUND(J283*(1+IF(AND(J$6&gt;0,$B284&lt;J$6),J$4,J$5)/12),2))</f>
        <v/>
      </c>
      <c r="AP284">
        <f>IF(K283&lt;=0,0,ROUND(K283*(1+IF(AND(K$6&gt;0,$B284&lt;K$6),K$4,K$5)/12),2))</f>
        <v/>
      </c>
      <c r="AQ284">
        <f>IF(L283&lt;=0,0,ROUND(L283*(1+IF(AND(L$6&gt;0,$B284&lt;L$6),L$4,L$5)/12),2))</f>
        <v/>
      </c>
      <c r="AR284">
        <f>IF(M283&lt;=0,0,ROUND(M283*(1+IF(AND(M$6&gt;0,$B284&lt;M$6),M$4,M$5)/12),2))</f>
        <v/>
      </c>
      <c r="AS284">
        <f>IF(N283&lt;=0,0,ROUND(N283*(1+IF(AND(N$6&gt;0,$B284&lt;N$6),N$4,N$5)/12),2))</f>
        <v/>
      </c>
    </row>
    <row r="285">
      <c r="A285" t="n">
        <v>274</v>
      </c>
      <c r="B285">
        <f>EDATE(Plan!$C$6,273)</f>
        <v/>
      </c>
      <c r="C285">
        <f>IF(C284&lt;=0,0,MAX(0,AH285-O285))</f>
        <v/>
      </c>
      <c r="D285">
        <f>IF(D284&lt;=0,0,MAX(0,AI285-P285))</f>
        <v/>
      </c>
      <c r="E285">
        <f>IF(E284&lt;=0,0,MAX(0,AJ285-Q285))</f>
        <v/>
      </c>
      <c r="F285">
        <f>IF(F284&lt;=0,0,MAX(0,AK285-R285))</f>
        <v/>
      </c>
      <c r="G285">
        <f>IF(G284&lt;=0,0,MAX(0,AL285-S285))</f>
        <v/>
      </c>
      <c r="H285">
        <f>IF(H284&lt;=0,0,MAX(0,AM285-T285))</f>
        <v/>
      </c>
      <c r="I285">
        <f>IF(I284&lt;=0,0,MAX(0,AN285-U285))</f>
        <v/>
      </c>
      <c r="J285">
        <f>IF(J284&lt;=0,0,MAX(0,AO285-V285))</f>
        <v/>
      </c>
      <c r="K285">
        <f>IF(K284&lt;=0,0,MAX(0,AP285-W285))</f>
        <v/>
      </c>
      <c r="L285">
        <f>IF(L284&lt;=0,0,MAX(0,AQ285-X285))</f>
        <v/>
      </c>
      <c r="M285">
        <f>IF(M284&lt;=0,0,MAX(0,AR285-Y285))</f>
        <v/>
      </c>
      <c r="N285">
        <f>IF(N284&lt;=0,0,MAX(0,AS285-Z285))</f>
        <v/>
      </c>
      <c r="O285">
        <f>IF(C284&lt;=0,0,MIN(AH285,C$7+IF(C$2=$AA285,$AC285,IF(C$2=$AF285,$AG285,0))))</f>
        <v/>
      </c>
      <c r="P285">
        <f>IF(D284&lt;=0,0,MIN(AI285,D$7+IF(D$2=$AA285,$AC285,IF(D$2=$AF285,$AG285,0))))</f>
        <v/>
      </c>
      <c r="Q285">
        <f>IF(E284&lt;=0,0,MIN(AJ285,E$7+IF(E$2=$AA285,$AC285,IF(E$2=$AF285,$AG285,0))))</f>
        <v/>
      </c>
      <c r="R285">
        <f>IF(F284&lt;=0,0,MIN(AK285,F$7+IF(F$2=$AA285,$AC285,IF(F$2=$AF285,$AG285,0))))</f>
        <v/>
      </c>
      <c r="S285">
        <f>IF(G284&lt;=0,0,MIN(AL285,G$7+IF(G$2=$AA285,$AC285,IF(G$2=$AF285,$AG285,0))))</f>
        <v/>
      </c>
      <c r="T285">
        <f>IF(H284&lt;=0,0,MIN(AM285,H$7+IF(H$2=$AA285,$AC285,IF(H$2=$AF285,$AG285,0))))</f>
        <v/>
      </c>
      <c r="U285">
        <f>IF(I284&lt;=0,0,MIN(AN285,I$7+IF(I$2=$AA285,$AC285,IF(I$2=$AF285,$AG285,0))))</f>
        <v/>
      </c>
      <c r="V285">
        <f>IF(J284&lt;=0,0,MIN(AO285,J$7+IF(J$2=$AA285,$AC285,IF(J$2=$AF285,$AG285,0))))</f>
        <v/>
      </c>
      <c r="W285">
        <f>IF(K284&lt;=0,0,MIN(AP285,K$7+IF(K$2=$AA285,$AC285,IF(K$2=$AF285,$AG285,0))))</f>
        <v/>
      </c>
      <c r="X285">
        <f>IF(L284&lt;=0,0,MIN(AQ285,L$7+IF(L$2=$AA285,$AC285,IF(L$2=$AF285,$AG285,0))))</f>
        <v/>
      </c>
      <c r="Y285">
        <f>IF(M284&lt;=0,0,MIN(AR285,M$7+IF(M$2=$AA285,$AC285,IF(M$2=$AF285,$AG285,0))))</f>
        <v/>
      </c>
      <c r="Z285">
        <f>IF(N284&lt;=0,0,MIN(AS285,N$7+IF(N$2=$AA285,$AC285,IF(N$2=$AF285,$AG285,0))))</f>
        <v/>
      </c>
      <c r="AA285">
        <f>IFERROR(ROUND(1/SUMPRODUCT(MAX((C284:N284&gt;0)*($C$3:$N$3&lt;=B285)/$C$2:$N$2)),0),0)</f>
        <v/>
      </c>
      <c r="AB285">
        <f>SUMPRODUCT((C284:N284&gt;0)*$C$7:$N$7)</f>
        <v/>
      </c>
      <c r="AC285">
        <f>MAX(0,Plan!$C$5-AB285)+IF(A285=Plan!$C$8,N(Plan!$C$7),0)</f>
        <v/>
      </c>
      <c r="AD285">
        <f>SUM(C285:N285)</f>
        <v/>
      </c>
      <c r="AE285">
        <f>SUM(O285:Z285)</f>
        <v/>
      </c>
      <c r="AF285">
        <f>IFERROR(ROUND(1/SUMPRODUCT(MAX((C284:N284&gt;0)*($C$3:$N$3&lt;=B285)*($C$2:$N$2&gt;AA285)/$C$2:$N$2)),0),0)</f>
        <v/>
      </c>
      <c r="AG285">
        <f>MAX(0,AC285-MAX(0,SUMPRODUCT(($C$2:$N$2=AA285)*(AH285:AS285-$C$7:$N$7))))</f>
        <v/>
      </c>
      <c r="AH285">
        <f>IF(C284&lt;=0,0,ROUND(C284*(1+IF(AND(C$6&gt;0,$B285&lt;C$6),C$4,C$5)/12),2))</f>
        <v/>
      </c>
      <c r="AI285">
        <f>IF(D284&lt;=0,0,ROUND(D284*(1+IF(AND(D$6&gt;0,$B285&lt;D$6),D$4,D$5)/12),2))</f>
        <v/>
      </c>
      <c r="AJ285">
        <f>IF(E284&lt;=0,0,ROUND(E284*(1+IF(AND(E$6&gt;0,$B285&lt;E$6),E$4,E$5)/12),2))</f>
        <v/>
      </c>
      <c r="AK285">
        <f>IF(F284&lt;=0,0,ROUND(F284*(1+IF(AND(F$6&gt;0,$B285&lt;F$6),F$4,F$5)/12),2))</f>
        <v/>
      </c>
      <c r="AL285">
        <f>IF(G284&lt;=0,0,ROUND(G284*(1+IF(AND(G$6&gt;0,$B285&lt;G$6),G$4,G$5)/12),2))</f>
        <v/>
      </c>
      <c r="AM285">
        <f>IF(H284&lt;=0,0,ROUND(H284*(1+IF(AND(H$6&gt;0,$B285&lt;H$6),H$4,H$5)/12),2))</f>
        <v/>
      </c>
      <c r="AN285">
        <f>IF(I284&lt;=0,0,ROUND(I284*(1+IF(AND(I$6&gt;0,$B285&lt;I$6),I$4,I$5)/12),2))</f>
        <v/>
      </c>
      <c r="AO285">
        <f>IF(J284&lt;=0,0,ROUND(J284*(1+IF(AND(J$6&gt;0,$B285&lt;J$6),J$4,J$5)/12),2))</f>
        <v/>
      </c>
      <c r="AP285">
        <f>IF(K284&lt;=0,0,ROUND(K284*(1+IF(AND(K$6&gt;0,$B285&lt;K$6),K$4,K$5)/12),2))</f>
        <v/>
      </c>
      <c r="AQ285">
        <f>IF(L284&lt;=0,0,ROUND(L284*(1+IF(AND(L$6&gt;0,$B285&lt;L$6),L$4,L$5)/12),2))</f>
        <v/>
      </c>
      <c r="AR285">
        <f>IF(M284&lt;=0,0,ROUND(M284*(1+IF(AND(M$6&gt;0,$B285&lt;M$6),M$4,M$5)/12),2))</f>
        <v/>
      </c>
      <c r="AS285">
        <f>IF(N284&lt;=0,0,ROUND(N284*(1+IF(AND(N$6&gt;0,$B285&lt;N$6),N$4,N$5)/12),2))</f>
        <v/>
      </c>
    </row>
    <row r="286">
      <c r="A286" t="n">
        <v>275</v>
      </c>
      <c r="B286">
        <f>EDATE(Plan!$C$6,274)</f>
        <v/>
      </c>
      <c r="C286">
        <f>IF(C285&lt;=0,0,MAX(0,AH286-O286))</f>
        <v/>
      </c>
      <c r="D286">
        <f>IF(D285&lt;=0,0,MAX(0,AI286-P286))</f>
        <v/>
      </c>
      <c r="E286">
        <f>IF(E285&lt;=0,0,MAX(0,AJ286-Q286))</f>
        <v/>
      </c>
      <c r="F286">
        <f>IF(F285&lt;=0,0,MAX(0,AK286-R286))</f>
        <v/>
      </c>
      <c r="G286">
        <f>IF(G285&lt;=0,0,MAX(0,AL286-S286))</f>
        <v/>
      </c>
      <c r="H286">
        <f>IF(H285&lt;=0,0,MAX(0,AM286-T286))</f>
        <v/>
      </c>
      <c r="I286">
        <f>IF(I285&lt;=0,0,MAX(0,AN286-U286))</f>
        <v/>
      </c>
      <c r="J286">
        <f>IF(J285&lt;=0,0,MAX(0,AO286-V286))</f>
        <v/>
      </c>
      <c r="K286">
        <f>IF(K285&lt;=0,0,MAX(0,AP286-W286))</f>
        <v/>
      </c>
      <c r="L286">
        <f>IF(L285&lt;=0,0,MAX(0,AQ286-X286))</f>
        <v/>
      </c>
      <c r="M286">
        <f>IF(M285&lt;=0,0,MAX(0,AR286-Y286))</f>
        <v/>
      </c>
      <c r="N286">
        <f>IF(N285&lt;=0,0,MAX(0,AS286-Z286))</f>
        <v/>
      </c>
      <c r="O286">
        <f>IF(C285&lt;=0,0,MIN(AH286,C$7+IF(C$2=$AA286,$AC286,IF(C$2=$AF286,$AG286,0))))</f>
        <v/>
      </c>
      <c r="P286">
        <f>IF(D285&lt;=0,0,MIN(AI286,D$7+IF(D$2=$AA286,$AC286,IF(D$2=$AF286,$AG286,0))))</f>
        <v/>
      </c>
      <c r="Q286">
        <f>IF(E285&lt;=0,0,MIN(AJ286,E$7+IF(E$2=$AA286,$AC286,IF(E$2=$AF286,$AG286,0))))</f>
        <v/>
      </c>
      <c r="R286">
        <f>IF(F285&lt;=0,0,MIN(AK286,F$7+IF(F$2=$AA286,$AC286,IF(F$2=$AF286,$AG286,0))))</f>
        <v/>
      </c>
      <c r="S286">
        <f>IF(G285&lt;=0,0,MIN(AL286,G$7+IF(G$2=$AA286,$AC286,IF(G$2=$AF286,$AG286,0))))</f>
        <v/>
      </c>
      <c r="T286">
        <f>IF(H285&lt;=0,0,MIN(AM286,H$7+IF(H$2=$AA286,$AC286,IF(H$2=$AF286,$AG286,0))))</f>
        <v/>
      </c>
      <c r="U286">
        <f>IF(I285&lt;=0,0,MIN(AN286,I$7+IF(I$2=$AA286,$AC286,IF(I$2=$AF286,$AG286,0))))</f>
        <v/>
      </c>
      <c r="V286">
        <f>IF(J285&lt;=0,0,MIN(AO286,J$7+IF(J$2=$AA286,$AC286,IF(J$2=$AF286,$AG286,0))))</f>
        <v/>
      </c>
      <c r="W286">
        <f>IF(K285&lt;=0,0,MIN(AP286,K$7+IF(K$2=$AA286,$AC286,IF(K$2=$AF286,$AG286,0))))</f>
        <v/>
      </c>
      <c r="X286">
        <f>IF(L285&lt;=0,0,MIN(AQ286,L$7+IF(L$2=$AA286,$AC286,IF(L$2=$AF286,$AG286,0))))</f>
        <v/>
      </c>
      <c r="Y286">
        <f>IF(M285&lt;=0,0,MIN(AR286,M$7+IF(M$2=$AA286,$AC286,IF(M$2=$AF286,$AG286,0))))</f>
        <v/>
      </c>
      <c r="Z286">
        <f>IF(N285&lt;=0,0,MIN(AS286,N$7+IF(N$2=$AA286,$AC286,IF(N$2=$AF286,$AG286,0))))</f>
        <v/>
      </c>
      <c r="AA286">
        <f>IFERROR(ROUND(1/SUMPRODUCT(MAX((C285:N285&gt;0)*($C$3:$N$3&lt;=B286)/$C$2:$N$2)),0),0)</f>
        <v/>
      </c>
      <c r="AB286">
        <f>SUMPRODUCT((C285:N285&gt;0)*$C$7:$N$7)</f>
        <v/>
      </c>
      <c r="AC286">
        <f>MAX(0,Plan!$C$5-AB286)+IF(A286=Plan!$C$8,N(Plan!$C$7),0)</f>
        <v/>
      </c>
      <c r="AD286">
        <f>SUM(C286:N286)</f>
        <v/>
      </c>
      <c r="AE286">
        <f>SUM(O286:Z286)</f>
        <v/>
      </c>
      <c r="AF286">
        <f>IFERROR(ROUND(1/SUMPRODUCT(MAX((C285:N285&gt;0)*($C$3:$N$3&lt;=B286)*($C$2:$N$2&gt;AA286)/$C$2:$N$2)),0),0)</f>
        <v/>
      </c>
      <c r="AG286">
        <f>MAX(0,AC286-MAX(0,SUMPRODUCT(($C$2:$N$2=AA286)*(AH286:AS286-$C$7:$N$7))))</f>
        <v/>
      </c>
      <c r="AH286">
        <f>IF(C285&lt;=0,0,ROUND(C285*(1+IF(AND(C$6&gt;0,$B286&lt;C$6),C$4,C$5)/12),2))</f>
        <v/>
      </c>
      <c r="AI286">
        <f>IF(D285&lt;=0,0,ROUND(D285*(1+IF(AND(D$6&gt;0,$B286&lt;D$6),D$4,D$5)/12),2))</f>
        <v/>
      </c>
      <c r="AJ286">
        <f>IF(E285&lt;=0,0,ROUND(E285*(1+IF(AND(E$6&gt;0,$B286&lt;E$6),E$4,E$5)/12),2))</f>
        <v/>
      </c>
      <c r="AK286">
        <f>IF(F285&lt;=0,0,ROUND(F285*(1+IF(AND(F$6&gt;0,$B286&lt;F$6),F$4,F$5)/12),2))</f>
        <v/>
      </c>
      <c r="AL286">
        <f>IF(G285&lt;=0,0,ROUND(G285*(1+IF(AND(G$6&gt;0,$B286&lt;G$6),G$4,G$5)/12),2))</f>
        <v/>
      </c>
      <c r="AM286">
        <f>IF(H285&lt;=0,0,ROUND(H285*(1+IF(AND(H$6&gt;0,$B286&lt;H$6),H$4,H$5)/12),2))</f>
        <v/>
      </c>
      <c r="AN286">
        <f>IF(I285&lt;=0,0,ROUND(I285*(1+IF(AND(I$6&gt;0,$B286&lt;I$6),I$4,I$5)/12),2))</f>
        <v/>
      </c>
      <c r="AO286">
        <f>IF(J285&lt;=0,0,ROUND(J285*(1+IF(AND(J$6&gt;0,$B286&lt;J$6),J$4,J$5)/12),2))</f>
        <v/>
      </c>
      <c r="AP286">
        <f>IF(K285&lt;=0,0,ROUND(K285*(1+IF(AND(K$6&gt;0,$B286&lt;K$6),K$4,K$5)/12),2))</f>
        <v/>
      </c>
      <c r="AQ286">
        <f>IF(L285&lt;=0,0,ROUND(L285*(1+IF(AND(L$6&gt;0,$B286&lt;L$6),L$4,L$5)/12),2))</f>
        <v/>
      </c>
      <c r="AR286">
        <f>IF(M285&lt;=0,0,ROUND(M285*(1+IF(AND(M$6&gt;0,$B286&lt;M$6),M$4,M$5)/12),2))</f>
        <v/>
      </c>
      <c r="AS286">
        <f>IF(N285&lt;=0,0,ROUND(N285*(1+IF(AND(N$6&gt;0,$B286&lt;N$6),N$4,N$5)/12),2))</f>
        <v/>
      </c>
    </row>
    <row r="287">
      <c r="A287" t="n">
        <v>276</v>
      </c>
      <c r="B287">
        <f>EDATE(Plan!$C$6,275)</f>
        <v/>
      </c>
      <c r="C287">
        <f>IF(C286&lt;=0,0,MAX(0,AH287-O287))</f>
        <v/>
      </c>
      <c r="D287">
        <f>IF(D286&lt;=0,0,MAX(0,AI287-P287))</f>
        <v/>
      </c>
      <c r="E287">
        <f>IF(E286&lt;=0,0,MAX(0,AJ287-Q287))</f>
        <v/>
      </c>
      <c r="F287">
        <f>IF(F286&lt;=0,0,MAX(0,AK287-R287))</f>
        <v/>
      </c>
      <c r="G287">
        <f>IF(G286&lt;=0,0,MAX(0,AL287-S287))</f>
        <v/>
      </c>
      <c r="H287">
        <f>IF(H286&lt;=0,0,MAX(0,AM287-T287))</f>
        <v/>
      </c>
      <c r="I287">
        <f>IF(I286&lt;=0,0,MAX(0,AN287-U287))</f>
        <v/>
      </c>
      <c r="J287">
        <f>IF(J286&lt;=0,0,MAX(0,AO287-V287))</f>
        <v/>
      </c>
      <c r="K287">
        <f>IF(K286&lt;=0,0,MAX(0,AP287-W287))</f>
        <v/>
      </c>
      <c r="L287">
        <f>IF(L286&lt;=0,0,MAX(0,AQ287-X287))</f>
        <v/>
      </c>
      <c r="M287">
        <f>IF(M286&lt;=0,0,MAX(0,AR287-Y287))</f>
        <v/>
      </c>
      <c r="N287">
        <f>IF(N286&lt;=0,0,MAX(0,AS287-Z287))</f>
        <v/>
      </c>
      <c r="O287">
        <f>IF(C286&lt;=0,0,MIN(AH287,C$7+IF(C$2=$AA287,$AC287,IF(C$2=$AF287,$AG287,0))))</f>
        <v/>
      </c>
      <c r="P287">
        <f>IF(D286&lt;=0,0,MIN(AI287,D$7+IF(D$2=$AA287,$AC287,IF(D$2=$AF287,$AG287,0))))</f>
        <v/>
      </c>
      <c r="Q287">
        <f>IF(E286&lt;=0,0,MIN(AJ287,E$7+IF(E$2=$AA287,$AC287,IF(E$2=$AF287,$AG287,0))))</f>
        <v/>
      </c>
      <c r="R287">
        <f>IF(F286&lt;=0,0,MIN(AK287,F$7+IF(F$2=$AA287,$AC287,IF(F$2=$AF287,$AG287,0))))</f>
        <v/>
      </c>
      <c r="S287">
        <f>IF(G286&lt;=0,0,MIN(AL287,G$7+IF(G$2=$AA287,$AC287,IF(G$2=$AF287,$AG287,0))))</f>
        <v/>
      </c>
      <c r="T287">
        <f>IF(H286&lt;=0,0,MIN(AM287,H$7+IF(H$2=$AA287,$AC287,IF(H$2=$AF287,$AG287,0))))</f>
        <v/>
      </c>
      <c r="U287">
        <f>IF(I286&lt;=0,0,MIN(AN287,I$7+IF(I$2=$AA287,$AC287,IF(I$2=$AF287,$AG287,0))))</f>
        <v/>
      </c>
      <c r="V287">
        <f>IF(J286&lt;=0,0,MIN(AO287,J$7+IF(J$2=$AA287,$AC287,IF(J$2=$AF287,$AG287,0))))</f>
        <v/>
      </c>
      <c r="W287">
        <f>IF(K286&lt;=0,0,MIN(AP287,K$7+IF(K$2=$AA287,$AC287,IF(K$2=$AF287,$AG287,0))))</f>
        <v/>
      </c>
      <c r="X287">
        <f>IF(L286&lt;=0,0,MIN(AQ287,L$7+IF(L$2=$AA287,$AC287,IF(L$2=$AF287,$AG287,0))))</f>
        <v/>
      </c>
      <c r="Y287">
        <f>IF(M286&lt;=0,0,MIN(AR287,M$7+IF(M$2=$AA287,$AC287,IF(M$2=$AF287,$AG287,0))))</f>
        <v/>
      </c>
      <c r="Z287">
        <f>IF(N286&lt;=0,0,MIN(AS287,N$7+IF(N$2=$AA287,$AC287,IF(N$2=$AF287,$AG287,0))))</f>
        <v/>
      </c>
      <c r="AA287">
        <f>IFERROR(ROUND(1/SUMPRODUCT(MAX((C286:N286&gt;0)*($C$3:$N$3&lt;=B287)/$C$2:$N$2)),0),0)</f>
        <v/>
      </c>
      <c r="AB287">
        <f>SUMPRODUCT((C286:N286&gt;0)*$C$7:$N$7)</f>
        <v/>
      </c>
      <c r="AC287">
        <f>MAX(0,Plan!$C$5-AB287)+IF(A287=Plan!$C$8,N(Plan!$C$7),0)</f>
        <v/>
      </c>
      <c r="AD287">
        <f>SUM(C287:N287)</f>
        <v/>
      </c>
      <c r="AE287">
        <f>SUM(O287:Z287)</f>
        <v/>
      </c>
      <c r="AF287">
        <f>IFERROR(ROUND(1/SUMPRODUCT(MAX((C286:N286&gt;0)*($C$3:$N$3&lt;=B287)*($C$2:$N$2&gt;AA287)/$C$2:$N$2)),0),0)</f>
        <v/>
      </c>
      <c r="AG287">
        <f>MAX(0,AC287-MAX(0,SUMPRODUCT(($C$2:$N$2=AA287)*(AH287:AS287-$C$7:$N$7))))</f>
        <v/>
      </c>
      <c r="AH287">
        <f>IF(C286&lt;=0,0,ROUND(C286*(1+IF(AND(C$6&gt;0,$B287&lt;C$6),C$4,C$5)/12),2))</f>
        <v/>
      </c>
      <c r="AI287">
        <f>IF(D286&lt;=0,0,ROUND(D286*(1+IF(AND(D$6&gt;0,$B287&lt;D$6),D$4,D$5)/12),2))</f>
        <v/>
      </c>
      <c r="AJ287">
        <f>IF(E286&lt;=0,0,ROUND(E286*(1+IF(AND(E$6&gt;0,$B287&lt;E$6),E$4,E$5)/12),2))</f>
        <v/>
      </c>
      <c r="AK287">
        <f>IF(F286&lt;=0,0,ROUND(F286*(1+IF(AND(F$6&gt;0,$B287&lt;F$6),F$4,F$5)/12),2))</f>
        <v/>
      </c>
      <c r="AL287">
        <f>IF(G286&lt;=0,0,ROUND(G286*(1+IF(AND(G$6&gt;0,$B287&lt;G$6),G$4,G$5)/12),2))</f>
        <v/>
      </c>
      <c r="AM287">
        <f>IF(H286&lt;=0,0,ROUND(H286*(1+IF(AND(H$6&gt;0,$B287&lt;H$6),H$4,H$5)/12),2))</f>
        <v/>
      </c>
      <c r="AN287">
        <f>IF(I286&lt;=0,0,ROUND(I286*(1+IF(AND(I$6&gt;0,$B287&lt;I$6),I$4,I$5)/12),2))</f>
        <v/>
      </c>
      <c r="AO287">
        <f>IF(J286&lt;=0,0,ROUND(J286*(1+IF(AND(J$6&gt;0,$B287&lt;J$6),J$4,J$5)/12),2))</f>
        <v/>
      </c>
      <c r="AP287">
        <f>IF(K286&lt;=0,0,ROUND(K286*(1+IF(AND(K$6&gt;0,$B287&lt;K$6),K$4,K$5)/12),2))</f>
        <v/>
      </c>
      <c r="AQ287">
        <f>IF(L286&lt;=0,0,ROUND(L286*(1+IF(AND(L$6&gt;0,$B287&lt;L$6),L$4,L$5)/12),2))</f>
        <v/>
      </c>
      <c r="AR287">
        <f>IF(M286&lt;=0,0,ROUND(M286*(1+IF(AND(M$6&gt;0,$B287&lt;M$6),M$4,M$5)/12),2))</f>
        <v/>
      </c>
      <c r="AS287">
        <f>IF(N286&lt;=0,0,ROUND(N286*(1+IF(AND(N$6&gt;0,$B287&lt;N$6),N$4,N$5)/12),2))</f>
        <v/>
      </c>
    </row>
    <row r="288">
      <c r="A288" t="n">
        <v>277</v>
      </c>
      <c r="B288">
        <f>EDATE(Plan!$C$6,276)</f>
        <v/>
      </c>
      <c r="C288">
        <f>IF(C287&lt;=0,0,MAX(0,AH288-O288))</f>
        <v/>
      </c>
      <c r="D288">
        <f>IF(D287&lt;=0,0,MAX(0,AI288-P288))</f>
        <v/>
      </c>
      <c r="E288">
        <f>IF(E287&lt;=0,0,MAX(0,AJ288-Q288))</f>
        <v/>
      </c>
      <c r="F288">
        <f>IF(F287&lt;=0,0,MAX(0,AK288-R288))</f>
        <v/>
      </c>
      <c r="G288">
        <f>IF(G287&lt;=0,0,MAX(0,AL288-S288))</f>
        <v/>
      </c>
      <c r="H288">
        <f>IF(H287&lt;=0,0,MAX(0,AM288-T288))</f>
        <v/>
      </c>
      <c r="I288">
        <f>IF(I287&lt;=0,0,MAX(0,AN288-U288))</f>
        <v/>
      </c>
      <c r="J288">
        <f>IF(J287&lt;=0,0,MAX(0,AO288-V288))</f>
        <v/>
      </c>
      <c r="K288">
        <f>IF(K287&lt;=0,0,MAX(0,AP288-W288))</f>
        <v/>
      </c>
      <c r="L288">
        <f>IF(L287&lt;=0,0,MAX(0,AQ288-X288))</f>
        <v/>
      </c>
      <c r="M288">
        <f>IF(M287&lt;=0,0,MAX(0,AR288-Y288))</f>
        <v/>
      </c>
      <c r="N288">
        <f>IF(N287&lt;=0,0,MAX(0,AS288-Z288))</f>
        <v/>
      </c>
      <c r="O288">
        <f>IF(C287&lt;=0,0,MIN(AH288,C$7+IF(C$2=$AA288,$AC288,IF(C$2=$AF288,$AG288,0))))</f>
        <v/>
      </c>
      <c r="P288">
        <f>IF(D287&lt;=0,0,MIN(AI288,D$7+IF(D$2=$AA288,$AC288,IF(D$2=$AF288,$AG288,0))))</f>
        <v/>
      </c>
      <c r="Q288">
        <f>IF(E287&lt;=0,0,MIN(AJ288,E$7+IF(E$2=$AA288,$AC288,IF(E$2=$AF288,$AG288,0))))</f>
        <v/>
      </c>
      <c r="R288">
        <f>IF(F287&lt;=0,0,MIN(AK288,F$7+IF(F$2=$AA288,$AC288,IF(F$2=$AF288,$AG288,0))))</f>
        <v/>
      </c>
      <c r="S288">
        <f>IF(G287&lt;=0,0,MIN(AL288,G$7+IF(G$2=$AA288,$AC288,IF(G$2=$AF288,$AG288,0))))</f>
        <v/>
      </c>
      <c r="T288">
        <f>IF(H287&lt;=0,0,MIN(AM288,H$7+IF(H$2=$AA288,$AC288,IF(H$2=$AF288,$AG288,0))))</f>
        <v/>
      </c>
      <c r="U288">
        <f>IF(I287&lt;=0,0,MIN(AN288,I$7+IF(I$2=$AA288,$AC288,IF(I$2=$AF288,$AG288,0))))</f>
        <v/>
      </c>
      <c r="V288">
        <f>IF(J287&lt;=0,0,MIN(AO288,J$7+IF(J$2=$AA288,$AC288,IF(J$2=$AF288,$AG288,0))))</f>
        <v/>
      </c>
      <c r="W288">
        <f>IF(K287&lt;=0,0,MIN(AP288,K$7+IF(K$2=$AA288,$AC288,IF(K$2=$AF288,$AG288,0))))</f>
        <v/>
      </c>
      <c r="X288">
        <f>IF(L287&lt;=0,0,MIN(AQ288,L$7+IF(L$2=$AA288,$AC288,IF(L$2=$AF288,$AG288,0))))</f>
        <v/>
      </c>
      <c r="Y288">
        <f>IF(M287&lt;=0,0,MIN(AR288,M$7+IF(M$2=$AA288,$AC288,IF(M$2=$AF288,$AG288,0))))</f>
        <v/>
      </c>
      <c r="Z288">
        <f>IF(N287&lt;=0,0,MIN(AS288,N$7+IF(N$2=$AA288,$AC288,IF(N$2=$AF288,$AG288,0))))</f>
        <v/>
      </c>
      <c r="AA288">
        <f>IFERROR(ROUND(1/SUMPRODUCT(MAX((C287:N287&gt;0)*($C$3:$N$3&lt;=B288)/$C$2:$N$2)),0),0)</f>
        <v/>
      </c>
      <c r="AB288">
        <f>SUMPRODUCT((C287:N287&gt;0)*$C$7:$N$7)</f>
        <v/>
      </c>
      <c r="AC288">
        <f>MAX(0,Plan!$C$5-AB288)+IF(A288=Plan!$C$8,N(Plan!$C$7),0)</f>
        <v/>
      </c>
      <c r="AD288">
        <f>SUM(C288:N288)</f>
        <v/>
      </c>
      <c r="AE288">
        <f>SUM(O288:Z288)</f>
        <v/>
      </c>
      <c r="AF288">
        <f>IFERROR(ROUND(1/SUMPRODUCT(MAX((C287:N287&gt;0)*($C$3:$N$3&lt;=B288)*($C$2:$N$2&gt;AA288)/$C$2:$N$2)),0),0)</f>
        <v/>
      </c>
      <c r="AG288">
        <f>MAX(0,AC288-MAX(0,SUMPRODUCT(($C$2:$N$2=AA288)*(AH288:AS288-$C$7:$N$7))))</f>
        <v/>
      </c>
      <c r="AH288">
        <f>IF(C287&lt;=0,0,ROUND(C287*(1+IF(AND(C$6&gt;0,$B288&lt;C$6),C$4,C$5)/12),2))</f>
        <v/>
      </c>
      <c r="AI288">
        <f>IF(D287&lt;=0,0,ROUND(D287*(1+IF(AND(D$6&gt;0,$B288&lt;D$6),D$4,D$5)/12),2))</f>
        <v/>
      </c>
      <c r="AJ288">
        <f>IF(E287&lt;=0,0,ROUND(E287*(1+IF(AND(E$6&gt;0,$B288&lt;E$6),E$4,E$5)/12),2))</f>
        <v/>
      </c>
      <c r="AK288">
        <f>IF(F287&lt;=0,0,ROUND(F287*(1+IF(AND(F$6&gt;0,$B288&lt;F$6),F$4,F$5)/12),2))</f>
        <v/>
      </c>
      <c r="AL288">
        <f>IF(G287&lt;=0,0,ROUND(G287*(1+IF(AND(G$6&gt;0,$B288&lt;G$6),G$4,G$5)/12),2))</f>
        <v/>
      </c>
      <c r="AM288">
        <f>IF(H287&lt;=0,0,ROUND(H287*(1+IF(AND(H$6&gt;0,$B288&lt;H$6),H$4,H$5)/12),2))</f>
        <v/>
      </c>
      <c r="AN288">
        <f>IF(I287&lt;=0,0,ROUND(I287*(1+IF(AND(I$6&gt;0,$B288&lt;I$6),I$4,I$5)/12),2))</f>
        <v/>
      </c>
      <c r="AO288">
        <f>IF(J287&lt;=0,0,ROUND(J287*(1+IF(AND(J$6&gt;0,$B288&lt;J$6),J$4,J$5)/12),2))</f>
        <v/>
      </c>
      <c r="AP288">
        <f>IF(K287&lt;=0,0,ROUND(K287*(1+IF(AND(K$6&gt;0,$B288&lt;K$6),K$4,K$5)/12),2))</f>
        <v/>
      </c>
      <c r="AQ288">
        <f>IF(L287&lt;=0,0,ROUND(L287*(1+IF(AND(L$6&gt;0,$B288&lt;L$6),L$4,L$5)/12),2))</f>
        <v/>
      </c>
      <c r="AR288">
        <f>IF(M287&lt;=0,0,ROUND(M287*(1+IF(AND(M$6&gt;0,$B288&lt;M$6),M$4,M$5)/12),2))</f>
        <v/>
      </c>
      <c r="AS288">
        <f>IF(N287&lt;=0,0,ROUND(N287*(1+IF(AND(N$6&gt;0,$B288&lt;N$6),N$4,N$5)/12),2))</f>
        <v/>
      </c>
    </row>
    <row r="289">
      <c r="A289" t="n">
        <v>278</v>
      </c>
      <c r="B289">
        <f>EDATE(Plan!$C$6,277)</f>
        <v/>
      </c>
      <c r="C289">
        <f>IF(C288&lt;=0,0,MAX(0,AH289-O289))</f>
        <v/>
      </c>
      <c r="D289">
        <f>IF(D288&lt;=0,0,MAX(0,AI289-P289))</f>
        <v/>
      </c>
      <c r="E289">
        <f>IF(E288&lt;=0,0,MAX(0,AJ289-Q289))</f>
        <v/>
      </c>
      <c r="F289">
        <f>IF(F288&lt;=0,0,MAX(0,AK289-R289))</f>
        <v/>
      </c>
      <c r="G289">
        <f>IF(G288&lt;=0,0,MAX(0,AL289-S289))</f>
        <v/>
      </c>
      <c r="H289">
        <f>IF(H288&lt;=0,0,MAX(0,AM289-T289))</f>
        <v/>
      </c>
      <c r="I289">
        <f>IF(I288&lt;=0,0,MAX(0,AN289-U289))</f>
        <v/>
      </c>
      <c r="J289">
        <f>IF(J288&lt;=0,0,MAX(0,AO289-V289))</f>
        <v/>
      </c>
      <c r="K289">
        <f>IF(K288&lt;=0,0,MAX(0,AP289-W289))</f>
        <v/>
      </c>
      <c r="L289">
        <f>IF(L288&lt;=0,0,MAX(0,AQ289-X289))</f>
        <v/>
      </c>
      <c r="M289">
        <f>IF(M288&lt;=0,0,MAX(0,AR289-Y289))</f>
        <v/>
      </c>
      <c r="N289">
        <f>IF(N288&lt;=0,0,MAX(0,AS289-Z289))</f>
        <v/>
      </c>
      <c r="O289">
        <f>IF(C288&lt;=0,0,MIN(AH289,C$7+IF(C$2=$AA289,$AC289,IF(C$2=$AF289,$AG289,0))))</f>
        <v/>
      </c>
      <c r="P289">
        <f>IF(D288&lt;=0,0,MIN(AI289,D$7+IF(D$2=$AA289,$AC289,IF(D$2=$AF289,$AG289,0))))</f>
        <v/>
      </c>
      <c r="Q289">
        <f>IF(E288&lt;=0,0,MIN(AJ289,E$7+IF(E$2=$AA289,$AC289,IF(E$2=$AF289,$AG289,0))))</f>
        <v/>
      </c>
      <c r="R289">
        <f>IF(F288&lt;=0,0,MIN(AK289,F$7+IF(F$2=$AA289,$AC289,IF(F$2=$AF289,$AG289,0))))</f>
        <v/>
      </c>
      <c r="S289">
        <f>IF(G288&lt;=0,0,MIN(AL289,G$7+IF(G$2=$AA289,$AC289,IF(G$2=$AF289,$AG289,0))))</f>
        <v/>
      </c>
      <c r="T289">
        <f>IF(H288&lt;=0,0,MIN(AM289,H$7+IF(H$2=$AA289,$AC289,IF(H$2=$AF289,$AG289,0))))</f>
        <v/>
      </c>
      <c r="U289">
        <f>IF(I288&lt;=0,0,MIN(AN289,I$7+IF(I$2=$AA289,$AC289,IF(I$2=$AF289,$AG289,0))))</f>
        <v/>
      </c>
      <c r="V289">
        <f>IF(J288&lt;=0,0,MIN(AO289,J$7+IF(J$2=$AA289,$AC289,IF(J$2=$AF289,$AG289,0))))</f>
        <v/>
      </c>
      <c r="W289">
        <f>IF(K288&lt;=0,0,MIN(AP289,K$7+IF(K$2=$AA289,$AC289,IF(K$2=$AF289,$AG289,0))))</f>
        <v/>
      </c>
      <c r="X289">
        <f>IF(L288&lt;=0,0,MIN(AQ289,L$7+IF(L$2=$AA289,$AC289,IF(L$2=$AF289,$AG289,0))))</f>
        <v/>
      </c>
      <c r="Y289">
        <f>IF(M288&lt;=0,0,MIN(AR289,M$7+IF(M$2=$AA289,$AC289,IF(M$2=$AF289,$AG289,0))))</f>
        <v/>
      </c>
      <c r="Z289">
        <f>IF(N288&lt;=0,0,MIN(AS289,N$7+IF(N$2=$AA289,$AC289,IF(N$2=$AF289,$AG289,0))))</f>
        <v/>
      </c>
      <c r="AA289">
        <f>IFERROR(ROUND(1/SUMPRODUCT(MAX((C288:N288&gt;0)*($C$3:$N$3&lt;=B289)/$C$2:$N$2)),0),0)</f>
        <v/>
      </c>
      <c r="AB289">
        <f>SUMPRODUCT((C288:N288&gt;0)*$C$7:$N$7)</f>
        <v/>
      </c>
      <c r="AC289">
        <f>MAX(0,Plan!$C$5-AB289)+IF(A289=Plan!$C$8,N(Plan!$C$7),0)</f>
        <v/>
      </c>
      <c r="AD289">
        <f>SUM(C289:N289)</f>
        <v/>
      </c>
      <c r="AE289">
        <f>SUM(O289:Z289)</f>
        <v/>
      </c>
      <c r="AF289">
        <f>IFERROR(ROUND(1/SUMPRODUCT(MAX((C288:N288&gt;0)*($C$3:$N$3&lt;=B289)*($C$2:$N$2&gt;AA289)/$C$2:$N$2)),0),0)</f>
        <v/>
      </c>
      <c r="AG289">
        <f>MAX(0,AC289-MAX(0,SUMPRODUCT(($C$2:$N$2=AA289)*(AH289:AS289-$C$7:$N$7))))</f>
        <v/>
      </c>
      <c r="AH289">
        <f>IF(C288&lt;=0,0,ROUND(C288*(1+IF(AND(C$6&gt;0,$B289&lt;C$6),C$4,C$5)/12),2))</f>
        <v/>
      </c>
      <c r="AI289">
        <f>IF(D288&lt;=0,0,ROUND(D288*(1+IF(AND(D$6&gt;0,$B289&lt;D$6),D$4,D$5)/12),2))</f>
        <v/>
      </c>
      <c r="AJ289">
        <f>IF(E288&lt;=0,0,ROUND(E288*(1+IF(AND(E$6&gt;0,$B289&lt;E$6),E$4,E$5)/12),2))</f>
        <v/>
      </c>
      <c r="AK289">
        <f>IF(F288&lt;=0,0,ROUND(F288*(1+IF(AND(F$6&gt;0,$B289&lt;F$6),F$4,F$5)/12),2))</f>
        <v/>
      </c>
      <c r="AL289">
        <f>IF(G288&lt;=0,0,ROUND(G288*(1+IF(AND(G$6&gt;0,$B289&lt;G$6),G$4,G$5)/12),2))</f>
        <v/>
      </c>
      <c r="AM289">
        <f>IF(H288&lt;=0,0,ROUND(H288*(1+IF(AND(H$6&gt;0,$B289&lt;H$6),H$4,H$5)/12),2))</f>
        <v/>
      </c>
      <c r="AN289">
        <f>IF(I288&lt;=0,0,ROUND(I288*(1+IF(AND(I$6&gt;0,$B289&lt;I$6),I$4,I$5)/12),2))</f>
        <v/>
      </c>
      <c r="AO289">
        <f>IF(J288&lt;=0,0,ROUND(J288*(1+IF(AND(J$6&gt;0,$B289&lt;J$6),J$4,J$5)/12),2))</f>
        <v/>
      </c>
      <c r="AP289">
        <f>IF(K288&lt;=0,0,ROUND(K288*(1+IF(AND(K$6&gt;0,$B289&lt;K$6),K$4,K$5)/12),2))</f>
        <v/>
      </c>
      <c r="AQ289">
        <f>IF(L288&lt;=0,0,ROUND(L288*(1+IF(AND(L$6&gt;0,$B289&lt;L$6),L$4,L$5)/12),2))</f>
        <v/>
      </c>
      <c r="AR289">
        <f>IF(M288&lt;=0,0,ROUND(M288*(1+IF(AND(M$6&gt;0,$B289&lt;M$6),M$4,M$5)/12),2))</f>
        <v/>
      </c>
      <c r="AS289">
        <f>IF(N288&lt;=0,0,ROUND(N288*(1+IF(AND(N$6&gt;0,$B289&lt;N$6),N$4,N$5)/12),2))</f>
        <v/>
      </c>
    </row>
    <row r="290">
      <c r="A290" t="n">
        <v>279</v>
      </c>
      <c r="B290">
        <f>EDATE(Plan!$C$6,278)</f>
        <v/>
      </c>
      <c r="C290">
        <f>IF(C289&lt;=0,0,MAX(0,AH290-O290))</f>
        <v/>
      </c>
      <c r="D290">
        <f>IF(D289&lt;=0,0,MAX(0,AI290-P290))</f>
        <v/>
      </c>
      <c r="E290">
        <f>IF(E289&lt;=0,0,MAX(0,AJ290-Q290))</f>
        <v/>
      </c>
      <c r="F290">
        <f>IF(F289&lt;=0,0,MAX(0,AK290-R290))</f>
        <v/>
      </c>
      <c r="G290">
        <f>IF(G289&lt;=0,0,MAX(0,AL290-S290))</f>
        <v/>
      </c>
      <c r="H290">
        <f>IF(H289&lt;=0,0,MAX(0,AM290-T290))</f>
        <v/>
      </c>
      <c r="I290">
        <f>IF(I289&lt;=0,0,MAX(0,AN290-U290))</f>
        <v/>
      </c>
      <c r="J290">
        <f>IF(J289&lt;=0,0,MAX(0,AO290-V290))</f>
        <v/>
      </c>
      <c r="K290">
        <f>IF(K289&lt;=0,0,MAX(0,AP290-W290))</f>
        <v/>
      </c>
      <c r="L290">
        <f>IF(L289&lt;=0,0,MAX(0,AQ290-X290))</f>
        <v/>
      </c>
      <c r="M290">
        <f>IF(M289&lt;=0,0,MAX(0,AR290-Y290))</f>
        <v/>
      </c>
      <c r="N290">
        <f>IF(N289&lt;=0,0,MAX(0,AS290-Z290))</f>
        <v/>
      </c>
      <c r="O290">
        <f>IF(C289&lt;=0,0,MIN(AH290,C$7+IF(C$2=$AA290,$AC290,IF(C$2=$AF290,$AG290,0))))</f>
        <v/>
      </c>
      <c r="P290">
        <f>IF(D289&lt;=0,0,MIN(AI290,D$7+IF(D$2=$AA290,$AC290,IF(D$2=$AF290,$AG290,0))))</f>
        <v/>
      </c>
      <c r="Q290">
        <f>IF(E289&lt;=0,0,MIN(AJ290,E$7+IF(E$2=$AA290,$AC290,IF(E$2=$AF290,$AG290,0))))</f>
        <v/>
      </c>
      <c r="R290">
        <f>IF(F289&lt;=0,0,MIN(AK290,F$7+IF(F$2=$AA290,$AC290,IF(F$2=$AF290,$AG290,0))))</f>
        <v/>
      </c>
      <c r="S290">
        <f>IF(G289&lt;=0,0,MIN(AL290,G$7+IF(G$2=$AA290,$AC290,IF(G$2=$AF290,$AG290,0))))</f>
        <v/>
      </c>
      <c r="T290">
        <f>IF(H289&lt;=0,0,MIN(AM290,H$7+IF(H$2=$AA290,$AC290,IF(H$2=$AF290,$AG290,0))))</f>
        <v/>
      </c>
      <c r="U290">
        <f>IF(I289&lt;=0,0,MIN(AN290,I$7+IF(I$2=$AA290,$AC290,IF(I$2=$AF290,$AG290,0))))</f>
        <v/>
      </c>
      <c r="V290">
        <f>IF(J289&lt;=0,0,MIN(AO290,J$7+IF(J$2=$AA290,$AC290,IF(J$2=$AF290,$AG290,0))))</f>
        <v/>
      </c>
      <c r="W290">
        <f>IF(K289&lt;=0,0,MIN(AP290,K$7+IF(K$2=$AA290,$AC290,IF(K$2=$AF290,$AG290,0))))</f>
        <v/>
      </c>
      <c r="X290">
        <f>IF(L289&lt;=0,0,MIN(AQ290,L$7+IF(L$2=$AA290,$AC290,IF(L$2=$AF290,$AG290,0))))</f>
        <v/>
      </c>
      <c r="Y290">
        <f>IF(M289&lt;=0,0,MIN(AR290,M$7+IF(M$2=$AA290,$AC290,IF(M$2=$AF290,$AG290,0))))</f>
        <v/>
      </c>
      <c r="Z290">
        <f>IF(N289&lt;=0,0,MIN(AS290,N$7+IF(N$2=$AA290,$AC290,IF(N$2=$AF290,$AG290,0))))</f>
        <v/>
      </c>
      <c r="AA290">
        <f>IFERROR(ROUND(1/SUMPRODUCT(MAX((C289:N289&gt;0)*($C$3:$N$3&lt;=B290)/$C$2:$N$2)),0),0)</f>
        <v/>
      </c>
      <c r="AB290">
        <f>SUMPRODUCT((C289:N289&gt;0)*$C$7:$N$7)</f>
        <v/>
      </c>
      <c r="AC290">
        <f>MAX(0,Plan!$C$5-AB290)+IF(A290=Plan!$C$8,N(Plan!$C$7),0)</f>
        <v/>
      </c>
      <c r="AD290">
        <f>SUM(C290:N290)</f>
        <v/>
      </c>
      <c r="AE290">
        <f>SUM(O290:Z290)</f>
        <v/>
      </c>
      <c r="AF290">
        <f>IFERROR(ROUND(1/SUMPRODUCT(MAX((C289:N289&gt;0)*($C$3:$N$3&lt;=B290)*($C$2:$N$2&gt;AA290)/$C$2:$N$2)),0),0)</f>
        <v/>
      </c>
      <c r="AG290">
        <f>MAX(0,AC290-MAX(0,SUMPRODUCT(($C$2:$N$2=AA290)*(AH290:AS290-$C$7:$N$7))))</f>
        <v/>
      </c>
      <c r="AH290">
        <f>IF(C289&lt;=0,0,ROUND(C289*(1+IF(AND(C$6&gt;0,$B290&lt;C$6),C$4,C$5)/12),2))</f>
        <v/>
      </c>
      <c r="AI290">
        <f>IF(D289&lt;=0,0,ROUND(D289*(1+IF(AND(D$6&gt;0,$B290&lt;D$6),D$4,D$5)/12),2))</f>
        <v/>
      </c>
      <c r="AJ290">
        <f>IF(E289&lt;=0,0,ROUND(E289*(1+IF(AND(E$6&gt;0,$B290&lt;E$6),E$4,E$5)/12),2))</f>
        <v/>
      </c>
      <c r="AK290">
        <f>IF(F289&lt;=0,0,ROUND(F289*(1+IF(AND(F$6&gt;0,$B290&lt;F$6),F$4,F$5)/12),2))</f>
        <v/>
      </c>
      <c r="AL290">
        <f>IF(G289&lt;=0,0,ROUND(G289*(1+IF(AND(G$6&gt;0,$B290&lt;G$6),G$4,G$5)/12),2))</f>
        <v/>
      </c>
      <c r="AM290">
        <f>IF(H289&lt;=0,0,ROUND(H289*(1+IF(AND(H$6&gt;0,$B290&lt;H$6),H$4,H$5)/12),2))</f>
        <v/>
      </c>
      <c r="AN290">
        <f>IF(I289&lt;=0,0,ROUND(I289*(1+IF(AND(I$6&gt;0,$B290&lt;I$6),I$4,I$5)/12),2))</f>
        <v/>
      </c>
      <c r="AO290">
        <f>IF(J289&lt;=0,0,ROUND(J289*(1+IF(AND(J$6&gt;0,$B290&lt;J$6),J$4,J$5)/12),2))</f>
        <v/>
      </c>
      <c r="AP290">
        <f>IF(K289&lt;=0,0,ROUND(K289*(1+IF(AND(K$6&gt;0,$B290&lt;K$6),K$4,K$5)/12),2))</f>
        <v/>
      </c>
      <c r="AQ290">
        <f>IF(L289&lt;=0,0,ROUND(L289*(1+IF(AND(L$6&gt;0,$B290&lt;L$6),L$4,L$5)/12),2))</f>
        <v/>
      </c>
      <c r="AR290">
        <f>IF(M289&lt;=0,0,ROUND(M289*(1+IF(AND(M$6&gt;0,$B290&lt;M$6),M$4,M$5)/12),2))</f>
        <v/>
      </c>
      <c r="AS290">
        <f>IF(N289&lt;=0,0,ROUND(N289*(1+IF(AND(N$6&gt;0,$B290&lt;N$6),N$4,N$5)/12),2))</f>
        <v/>
      </c>
    </row>
    <row r="291">
      <c r="A291" t="n">
        <v>280</v>
      </c>
      <c r="B291">
        <f>EDATE(Plan!$C$6,279)</f>
        <v/>
      </c>
      <c r="C291">
        <f>IF(C290&lt;=0,0,MAX(0,AH291-O291))</f>
        <v/>
      </c>
      <c r="D291">
        <f>IF(D290&lt;=0,0,MAX(0,AI291-P291))</f>
        <v/>
      </c>
      <c r="E291">
        <f>IF(E290&lt;=0,0,MAX(0,AJ291-Q291))</f>
        <v/>
      </c>
      <c r="F291">
        <f>IF(F290&lt;=0,0,MAX(0,AK291-R291))</f>
        <v/>
      </c>
      <c r="G291">
        <f>IF(G290&lt;=0,0,MAX(0,AL291-S291))</f>
        <v/>
      </c>
      <c r="H291">
        <f>IF(H290&lt;=0,0,MAX(0,AM291-T291))</f>
        <v/>
      </c>
      <c r="I291">
        <f>IF(I290&lt;=0,0,MAX(0,AN291-U291))</f>
        <v/>
      </c>
      <c r="J291">
        <f>IF(J290&lt;=0,0,MAX(0,AO291-V291))</f>
        <v/>
      </c>
      <c r="K291">
        <f>IF(K290&lt;=0,0,MAX(0,AP291-W291))</f>
        <v/>
      </c>
      <c r="L291">
        <f>IF(L290&lt;=0,0,MAX(0,AQ291-X291))</f>
        <v/>
      </c>
      <c r="M291">
        <f>IF(M290&lt;=0,0,MAX(0,AR291-Y291))</f>
        <v/>
      </c>
      <c r="N291">
        <f>IF(N290&lt;=0,0,MAX(0,AS291-Z291))</f>
        <v/>
      </c>
      <c r="O291">
        <f>IF(C290&lt;=0,0,MIN(AH291,C$7+IF(C$2=$AA291,$AC291,IF(C$2=$AF291,$AG291,0))))</f>
        <v/>
      </c>
      <c r="P291">
        <f>IF(D290&lt;=0,0,MIN(AI291,D$7+IF(D$2=$AA291,$AC291,IF(D$2=$AF291,$AG291,0))))</f>
        <v/>
      </c>
      <c r="Q291">
        <f>IF(E290&lt;=0,0,MIN(AJ291,E$7+IF(E$2=$AA291,$AC291,IF(E$2=$AF291,$AG291,0))))</f>
        <v/>
      </c>
      <c r="R291">
        <f>IF(F290&lt;=0,0,MIN(AK291,F$7+IF(F$2=$AA291,$AC291,IF(F$2=$AF291,$AG291,0))))</f>
        <v/>
      </c>
      <c r="S291">
        <f>IF(G290&lt;=0,0,MIN(AL291,G$7+IF(G$2=$AA291,$AC291,IF(G$2=$AF291,$AG291,0))))</f>
        <v/>
      </c>
      <c r="T291">
        <f>IF(H290&lt;=0,0,MIN(AM291,H$7+IF(H$2=$AA291,$AC291,IF(H$2=$AF291,$AG291,0))))</f>
        <v/>
      </c>
      <c r="U291">
        <f>IF(I290&lt;=0,0,MIN(AN291,I$7+IF(I$2=$AA291,$AC291,IF(I$2=$AF291,$AG291,0))))</f>
        <v/>
      </c>
      <c r="V291">
        <f>IF(J290&lt;=0,0,MIN(AO291,J$7+IF(J$2=$AA291,$AC291,IF(J$2=$AF291,$AG291,0))))</f>
        <v/>
      </c>
      <c r="W291">
        <f>IF(K290&lt;=0,0,MIN(AP291,K$7+IF(K$2=$AA291,$AC291,IF(K$2=$AF291,$AG291,0))))</f>
        <v/>
      </c>
      <c r="X291">
        <f>IF(L290&lt;=0,0,MIN(AQ291,L$7+IF(L$2=$AA291,$AC291,IF(L$2=$AF291,$AG291,0))))</f>
        <v/>
      </c>
      <c r="Y291">
        <f>IF(M290&lt;=0,0,MIN(AR291,M$7+IF(M$2=$AA291,$AC291,IF(M$2=$AF291,$AG291,0))))</f>
        <v/>
      </c>
      <c r="Z291">
        <f>IF(N290&lt;=0,0,MIN(AS291,N$7+IF(N$2=$AA291,$AC291,IF(N$2=$AF291,$AG291,0))))</f>
        <v/>
      </c>
      <c r="AA291">
        <f>IFERROR(ROUND(1/SUMPRODUCT(MAX((C290:N290&gt;0)*($C$3:$N$3&lt;=B291)/$C$2:$N$2)),0),0)</f>
        <v/>
      </c>
      <c r="AB291">
        <f>SUMPRODUCT((C290:N290&gt;0)*$C$7:$N$7)</f>
        <v/>
      </c>
      <c r="AC291">
        <f>MAX(0,Plan!$C$5-AB291)+IF(A291=Plan!$C$8,N(Plan!$C$7),0)</f>
        <v/>
      </c>
      <c r="AD291">
        <f>SUM(C291:N291)</f>
        <v/>
      </c>
      <c r="AE291">
        <f>SUM(O291:Z291)</f>
        <v/>
      </c>
      <c r="AF291">
        <f>IFERROR(ROUND(1/SUMPRODUCT(MAX((C290:N290&gt;0)*($C$3:$N$3&lt;=B291)*($C$2:$N$2&gt;AA291)/$C$2:$N$2)),0),0)</f>
        <v/>
      </c>
      <c r="AG291">
        <f>MAX(0,AC291-MAX(0,SUMPRODUCT(($C$2:$N$2=AA291)*(AH291:AS291-$C$7:$N$7))))</f>
        <v/>
      </c>
      <c r="AH291">
        <f>IF(C290&lt;=0,0,ROUND(C290*(1+IF(AND(C$6&gt;0,$B291&lt;C$6),C$4,C$5)/12),2))</f>
        <v/>
      </c>
      <c r="AI291">
        <f>IF(D290&lt;=0,0,ROUND(D290*(1+IF(AND(D$6&gt;0,$B291&lt;D$6),D$4,D$5)/12),2))</f>
        <v/>
      </c>
      <c r="AJ291">
        <f>IF(E290&lt;=0,0,ROUND(E290*(1+IF(AND(E$6&gt;0,$B291&lt;E$6),E$4,E$5)/12),2))</f>
        <v/>
      </c>
      <c r="AK291">
        <f>IF(F290&lt;=0,0,ROUND(F290*(1+IF(AND(F$6&gt;0,$B291&lt;F$6),F$4,F$5)/12),2))</f>
        <v/>
      </c>
      <c r="AL291">
        <f>IF(G290&lt;=0,0,ROUND(G290*(1+IF(AND(G$6&gt;0,$B291&lt;G$6),G$4,G$5)/12),2))</f>
        <v/>
      </c>
      <c r="AM291">
        <f>IF(H290&lt;=0,0,ROUND(H290*(1+IF(AND(H$6&gt;0,$B291&lt;H$6),H$4,H$5)/12),2))</f>
        <v/>
      </c>
      <c r="AN291">
        <f>IF(I290&lt;=0,0,ROUND(I290*(1+IF(AND(I$6&gt;0,$B291&lt;I$6),I$4,I$5)/12),2))</f>
        <v/>
      </c>
      <c r="AO291">
        <f>IF(J290&lt;=0,0,ROUND(J290*(1+IF(AND(J$6&gt;0,$B291&lt;J$6),J$4,J$5)/12),2))</f>
        <v/>
      </c>
      <c r="AP291">
        <f>IF(K290&lt;=0,0,ROUND(K290*(1+IF(AND(K$6&gt;0,$B291&lt;K$6),K$4,K$5)/12),2))</f>
        <v/>
      </c>
      <c r="AQ291">
        <f>IF(L290&lt;=0,0,ROUND(L290*(1+IF(AND(L$6&gt;0,$B291&lt;L$6),L$4,L$5)/12),2))</f>
        <v/>
      </c>
      <c r="AR291">
        <f>IF(M290&lt;=0,0,ROUND(M290*(1+IF(AND(M$6&gt;0,$B291&lt;M$6),M$4,M$5)/12),2))</f>
        <v/>
      </c>
      <c r="AS291">
        <f>IF(N290&lt;=0,0,ROUND(N290*(1+IF(AND(N$6&gt;0,$B291&lt;N$6),N$4,N$5)/12),2))</f>
        <v/>
      </c>
    </row>
    <row r="292">
      <c r="A292" t="n">
        <v>281</v>
      </c>
      <c r="B292">
        <f>EDATE(Plan!$C$6,280)</f>
        <v/>
      </c>
      <c r="C292">
        <f>IF(C291&lt;=0,0,MAX(0,AH292-O292))</f>
        <v/>
      </c>
      <c r="D292">
        <f>IF(D291&lt;=0,0,MAX(0,AI292-P292))</f>
        <v/>
      </c>
      <c r="E292">
        <f>IF(E291&lt;=0,0,MAX(0,AJ292-Q292))</f>
        <v/>
      </c>
      <c r="F292">
        <f>IF(F291&lt;=0,0,MAX(0,AK292-R292))</f>
        <v/>
      </c>
      <c r="G292">
        <f>IF(G291&lt;=0,0,MAX(0,AL292-S292))</f>
        <v/>
      </c>
      <c r="H292">
        <f>IF(H291&lt;=0,0,MAX(0,AM292-T292))</f>
        <v/>
      </c>
      <c r="I292">
        <f>IF(I291&lt;=0,0,MAX(0,AN292-U292))</f>
        <v/>
      </c>
      <c r="J292">
        <f>IF(J291&lt;=0,0,MAX(0,AO292-V292))</f>
        <v/>
      </c>
      <c r="K292">
        <f>IF(K291&lt;=0,0,MAX(0,AP292-W292))</f>
        <v/>
      </c>
      <c r="L292">
        <f>IF(L291&lt;=0,0,MAX(0,AQ292-X292))</f>
        <v/>
      </c>
      <c r="M292">
        <f>IF(M291&lt;=0,0,MAX(0,AR292-Y292))</f>
        <v/>
      </c>
      <c r="N292">
        <f>IF(N291&lt;=0,0,MAX(0,AS292-Z292))</f>
        <v/>
      </c>
      <c r="O292">
        <f>IF(C291&lt;=0,0,MIN(AH292,C$7+IF(C$2=$AA292,$AC292,IF(C$2=$AF292,$AG292,0))))</f>
        <v/>
      </c>
      <c r="P292">
        <f>IF(D291&lt;=0,0,MIN(AI292,D$7+IF(D$2=$AA292,$AC292,IF(D$2=$AF292,$AG292,0))))</f>
        <v/>
      </c>
      <c r="Q292">
        <f>IF(E291&lt;=0,0,MIN(AJ292,E$7+IF(E$2=$AA292,$AC292,IF(E$2=$AF292,$AG292,0))))</f>
        <v/>
      </c>
      <c r="R292">
        <f>IF(F291&lt;=0,0,MIN(AK292,F$7+IF(F$2=$AA292,$AC292,IF(F$2=$AF292,$AG292,0))))</f>
        <v/>
      </c>
      <c r="S292">
        <f>IF(G291&lt;=0,0,MIN(AL292,G$7+IF(G$2=$AA292,$AC292,IF(G$2=$AF292,$AG292,0))))</f>
        <v/>
      </c>
      <c r="T292">
        <f>IF(H291&lt;=0,0,MIN(AM292,H$7+IF(H$2=$AA292,$AC292,IF(H$2=$AF292,$AG292,0))))</f>
        <v/>
      </c>
      <c r="U292">
        <f>IF(I291&lt;=0,0,MIN(AN292,I$7+IF(I$2=$AA292,$AC292,IF(I$2=$AF292,$AG292,0))))</f>
        <v/>
      </c>
      <c r="V292">
        <f>IF(J291&lt;=0,0,MIN(AO292,J$7+IF(J$2=$AA292,$AC292,IF(J$2=$AF292,$AG292,0))))</f>
        <v/>
      </c>
      <c r="W292">
        <f>IF(K291&lt;=0,0,MIN(AP292,K$7+IF(K$2=$AA292,$AC292,IF(K$2=$AF292,$AG292,0))))</f>
        <v/>
      </c>
      <c r="X292">
        <f>IF(L291&lt;=0,0,MIN(AQ292,L$7+IF(L$2=$AA292,$AC292,IF(L$2=$AF292,$AG292,0))))</f>
        <v/>
      </c>
      <c r="Y292">
        <f>IF(M291&lt;=0,0,MIN(AR292,M$7+IF(M$2=$AA292,$AC292,IF(M$2=$AF292,$AG292,0))))</f>
        <v/>
      </c>
      <c r="Z292">
        <f>IF(N291&lt;=0,0,MIN(AS292,N$7+IF(N$2=$AA292,$AC292,IF(N$2=$AF292,$AG292,0))))</f>
        <v/>
      </c>
      <c r="AA292">
        <f>IFERROR(ROUND(1/SUMPRODUCT(MAX((C291:N291&gt;0)*($C$3:$N$3&lt;=B292)/$C$2:$N$2)),0),0)</f>
        <v/>
      </c>
      <c r="AB292">
        <f>SUMPRODUCT((C291:N291&gt;0)*$C$7:$N$7)</f>
        <v/>
      </c>
      <c r="AC292">
        <f>MAX(0,Plan!$C$5-AB292)+IF(A292=Plan!$C$8,N(Plan!$C$7),0)</f>
        <v/>
      </c>
      <c r="AD292">
        <f>SUM(C292:N292)</f>
        <v/>
      </c>
      <c r="AE292">
        <f>SUM(O292:Z292)</f>
        <v/>
      </c>
      <c r="AF292">
        <f>IFERROR(ROUND(1/SUMPRODUCT(MAX((C291:N291&gt;0)*($C$3:$N$3&lt;=B292)*($C$2:$N$2&gt;AA292)/$C$2:$N$2)),0),0)</f>
        <v/>
      </c>
      <c r="AG292">
        <f>MAX(0,AC292-MAX(0,SUMPRODUCT(($C$2:$N$2=AA292)*(AH292:AS292-$C$7:$N$7))))</f>
        <v/>
      </c>
      <c r="AH292">
        <f>IF(C291&lt;=0,0,ROUND(C291*(1+IF(AND(C$6&gt;0,$B292&lt;C$6),C$4,C$5)/12),2))</f>
        <v/>
      </c>
      <c r="AI292">
        <f>IF(D291&lt;=0,0,ROUND(D291*(1+IF(AND(D$6&gt;0,$B292&lt;D$6),D$4,D$5)/12),2))</f>
        <v/>
      </c>
      <c r="AJ292">
        <f>IF(E291&lt;=0,0,ROUND(E291*(1+IF(AND(E$6&gt;0,$B292&lt;E$6),E$4,E$5)/12),2))</f>
        <v/>
      </c>
      <c r="AK292">
        <f>IF(F291&lt;=0,0,ROUND(F291*(1+IF(AND(F$6&gt;0,$B292&lt;F$6),F$4,F$5)/12),2))</f>
        <v/>
      </c>
      <c r="AL292">
        <f>IF(G291&lt;=0,0,ROUND(G291*(1+IF(AND(G$6&gt;0,$B292&lt;G$6),G$4,G$5)/12),2))</f>
        <v/>
      </c>
      <c r="AM292">
        <f>IF(H291&lt;=0,0,ROUND(H291*(1+IF(AND(H$6&gt;0,$B292&lt;H$6),H$4,H$5)/12),2))</f>
        <v/>
      </c>
      <c r="AN292">
        <f>IF(I291&lt;=0,0,ROUND(I291*(1+IF(AND(I$6&gt;0,$B292&lt;I$6),I$4,I$5)/12),2))</f>
        <v/>
      </c>
      <c r="AO292">
        <f>IF(J291&lt;=0,0,ROUND(J291*(1+IF(AND(J$6&gt;0,$B292&lt;J$6),J$4,J$5)/12),2))</f>
        <v/>
      </c>
      <c r="AP292">
        <f>IF(K291&lt;=0,0,ROUND(K291*(1+IF(AND(K$6&gt;0,$B292&lt;K$6),K$4,K$5)/12),2))</f>
        <v/>
      </c>
      <c r="AQ292">
        <f>IF(L291&lt;=0,0,ROUND(L291*(1+IF(AND(L$6&gt;0,$B292&lt;L$6),L$4,L$5)/12),2))</f>
        <v/>
      </c>
      <c r="AR292">
        <f>IF(M291&lt;=0,0,ROUND(M291*(1+IF(AND(M$6&gt;0,$B292&lt;M$6),M$4,M$5)/12),2))</f>
        <v/>
      </c>
      <c r="AS292">
        <f>IF(N291&lt;=0,0,ROUND(N291*(1+IF(AND(N$6&gt;0,$B292&lt;N$6),N$4,N$5)/12),2))</f>
        <v/>
      </c>
    </row>
    <row r="293">
      <c r="A293" t="n">
        <v>282</v>
      </c>
      <c r="B293">
        <f>EDATE(Plan!$C$6,281)</f>
        <v/>
      </c>
      <c r="C293">
        <f>IF(C292&lt;=0,0,MAX(0,AH293-O293))</f>
        <v/>
      </c>
      <c r="D293">
        <f>IF(D292&lt;=0,0,MAX(0,AI293-P293))</f>
        <v/>
      </c>
      <c r="E293">
        <f>IF(E292&lt;=0,0,MAX(0,AJ293-Q293))</f>
        <v/>
      </c>
      <c r="F293">
        <f>IF(F292&lt;=0,0,MAX(0,AK293-R293))</f>
        <v/>
      </c>
      <c r="G293">
        <f>IF(G292&lt;=0,0,MAX(0,AL293-S293))</f>
        <v/>
      </c>
      <c r="H293">
        <f>IF(H292&lt;=0,0,MAX(0,AM293-T293))</f>
        <v/>
      </c>
      <c r="I293">
        <f>IF(I292&lt;=0,0,MAX(0,AN293-U293))</f>
        <v/>
      </c>
      <c r="J293">
        <f>IF(J292&lt;=0,0,MAX(0,AO293-V293))</f>
        <v/>
      </c>
      <c r="K293">
        <f>IF(K292&lt;=0,0,MAX(0,AP293-W293))</f>
        <v/>
      </c>
      <c r="L293">
        <f>IF(L292&lt;=0,0,MAX(0,AQ293-X293))</f>
        <v/>
      </c>
      <c r="M293">
        <f>IF(M292&lt;=0,0,MAX(0,AR293-Y293))</f>
        <v/>
      </c>
      <c r="N293">
        <f>IF(N292&lt;=0,0,MAX(0,AS293-Z293))</f>
        <v/>
      </c>
      <c r="O293">
        <f>IF(C292&lt;=0,0,MIN(AH293,C$7+IF(C$2=$AA293,$AC293,IF(C$2=$AF293,$AG293,0))))</f>
        <v/>
      </c>
      <c r="P293">
        <f>IF(D292&lt;=0,0,MIN(AI293,D$7+IF(D$2=$AA293,$AC293,IF(D$2=$AF293,$AG293,0))))</f>
        <v/>
      </c>
      <c r="Q293">
        <f>IF(E292&lt;=0,0,MIN(AJ293,E$7+IF(E$2=$AA293,$AC293,IF(E$2=$AF293,$AG293,0))))</f>
        <v/>
      </c>
      <c r="R293">
        <f>IF(F292&lt;=0,0,MIN(AK293,F$7+IF(F$2=$AA293,$AC293,IF(F$2=$AF293,$AG293,0))))</f>
        <v/>
      </c>
      <c r="S293">
        <f>IF(G292&lt;=0,0,MIN(AL293,G$7+IF(G$2=$AA293,$AC293,IF(G$2=$AF293,$AG293,0))))</f>
        <v/>
      </c>
      <c r="T293">
        <f>IF(H292&lt;=0,0,MIN(AM293,H$7+IF(H$2=$AA293,$AC293,IF(H$2=$AF293,$AG293,0))))</f>
        <v/>
      </c>
      <c r="U293">
        <f>IF(I292&lt;=0,0,MIN(AN293,I$7+IF(I$2=$AA293,$AC293,IF(I$2=$AF293,$AG293,0))))</f>
        <v/>
      </c>
      <c r="V293">
        <f>IF(J292&lt;=0,0,MIN(AO293,J$7+IF(J$2=$AA293,$AC293,IF(J$2=$AF293,$AG293,0))))</f>
        <v/>
      </c>
      <c r="W293">
        <f>IF(K292&lt;=0,0,MIN(AP293,K$7+IF(K$2=$AA293,$AC293,IF(K$2=$AF293,$AG293,0))))</f>
        <v/>
      </c>
      <c r="X293">
        <f>IF(L292&lt;=0,0,MIN(AQ293,L$7+IF(L$2=$AA293,$AC293,IF(L$2=$AF293,$AG293,0))))</f>
        <v/>
      </c>
      <c r="Y293">
        <f>IF(M292&lt;=0,0,MIN(AR293,M$7+IF(M$2=$AA293,$AC293,IF(M$2=$AF293,$AG293,0))))</f>
        <v/>
      </c>
      <c r="Z293">
        <f>IF(N292&lt;=0,0,MIN(AS293,N$7+IF(N$2=$AA293,$AC293,IF(N$2=$AF293,$AG293,0))))</f>
        <v/>
      </c>
      <c r="AA293">
        <f>IFERROR(ROUND(1/SUMPRODUCT(MAX((C292:N292&gt;0)*($C$3:$N$3&lt;=B293)/$C$2:$N$2)),0),0)</f>
        <v/>
      </c>
      <c r="AB293">
        <f>SUMPRODUCT((C292:N292&gt;0)*$C$7:$N$7)</f>
        <v/>
      </c>
      <c r="AC293">
        <f>MAX(0,Plan!$C$5-AB293)+IF(A293=Plan!$C$8,N(Plan!$C$7),0)</f>
        <v/>
      </c>
      <c r="AD293">
        <f>SUM(C293:N293)</f>
        <v/>
      </c>
      <c r="AE293">
        <f>SUM(O293:Z293)</f>
        <v/>
      </c>
      <c r="AF293">
        <f>IFERROR(ROUND(1/SUMPRODUCT(MAX((C292:N292&gt;0)*($C$3:$N$3&lt;=B293)*($C$2:$N$2&gt;AA293)/$C$2:$N$2)),0),0)</f>
        <v/>
      </c>
      <c r="AG293">
        <f>MAX(0,AC293-MAX(0,SUMPRODUCT(($C$2:$N$2=AA293)*(AH293:AS293-$C$7:$N$7))))</f>
        <v/>
      </c>
      <c r="AH293">
        <f>IF(C292&lt;=0,0,ROUND(C292*(1+IF(AND(C$6&gt;0,$B293&lt;C$6),C$4,C$5)/12),2))</f>
        <v/>
      </c>
      <c r="AI293">
        <f>IF(D292&lt;=0,0,ROUND(D292*(1+IF(AND(D$6&gt;0,$B293&lt;D$6),D$4,D$5)/12),2))</f>
        <v/>
      </c>
      <c r="AJ293">
        <f>IF(E292&lt;=0,0,ROUND(E292*(1+IF(AND(E$6&gt;0,$B293&lt;E$6),E$4,E$5)/12),2))</f>
        <v/>
      </c>
      <c r="AK293">
        <f>IF(F292&lt;=0,0,ROUND(F292*(1+IF(AND(F$6&gt;0,$B293&lt;F$6),F$4,F$5)/12),2))</f>
        <v/>
      </c>
      <c r="AL293">
        <f>IF(G292&lt;=0,0,ROUND(G292*(1+IF(AND(G$6&gt;0,$B293&lt;G$6),G$4,G$5)/12),2))</f>
        <v/>
      </c>
      <c r="AM293">
        <f>IF(H292&lt;=0,0,ROUND(H292*(1+IF(AND(H$6&gt;0,$B293&lt;H$6),H$4,H$5)/12),2))</f>
        <v/>
      </c>
      <c r="AN293">
        <f>IF(I292&lt;=0,0,ROUND(I292*(1+IF(AND(I$6&gt;0,$B293&lt;I$6),I$4,I$5)/12),2))</f>
        <v/>
      </c>
      <c r="AO293">
        <f>IF(J292&lt;=0,0,ROUND(J292*(1+IF(AND(J$6&gt;0,$B293&lt;J$6),J$4,J$5)/12),2))</f>
        <v/>
      </c>
      <c r="AP293">
        <f>IF(K292&lt;=0,0,ROUND(K292*(1+IF(AND(K$6&gt;0,$B293&lt;K$6),K$4,K$5)/12),2))</f>
        <v/>
      </c>
      <c r="AQ293">
        <f>IF(L292&lt;=0,0,ROUND(L292*(1+IF(AND(L$6&gt;0,$B293&lt;L$6),L$4,L$5)/12),2))</f>
        <v/>
      </c>
      <c r="AR293">
        <f>IF(M292&lt;=0,0,ROUND(M292*(1+IF(AND(M$6&gt;0,$B293&lt;M$6),M$4,M$5)/12),2))</f>
        <v/>
      </c>
      <c r="AS293">
        <f>IF(N292&lt;=0,0,ROUND(N292*(1+IF(AND(N$6&gt;0,$B293&lt;N$6),N$4,N$5)/12),2))</f>
        <v/>
      </c>
    </row>
    <row r="294">
      <c r="A294" t="n">
        <v>283</v>
      </c>
      <c r="B294">
        <f>EDATE(Plan!$C$6,282)</f>
        <v/>
      </c>
      <c r="C294">
        <f>IF(C293&lt;=0,0,MAX(0,AH294-O294))</f>
        <v/>
      </c>
      <c r="D294">
        <f>IF(D293&lt;=0,0,MAX(0,AI294-P294))</f>
        <v/>
      </c>
      <c r="E294">
        <f>IF(E293&lt;=0,0,MAX(0,AJ294-Q294))</f>
        <v/>
      </c>
      <c r="F294">
        <f>IF(F293&lt;=0,0,MAX(0,AK294-R294))</f>
        <v/>
      </c>
      <c r="G294">
        <f>IF(G293&lt;=0,0,MAX(0,AL294-S294))</f>
        <v/>
      </c>
      <c r="H294">
        <f>IF(H293&lt;=0,0,MAX(0,AM294-T294))</f>
        <v/>
      </c>
      <c r="I294">
        <f>IF(I293&lt;=0,0,MAX(0,AN294-U294))</f>
        <v/>
      </c>
      <c r="J294">
        <f>IF(J293&lt;=0,0,MAX(0,AO294-V294))</f>
        <v/>
      </c>
      <c r="K294">
        <f>IF(K293&lt;=0,0,MAX(0,AP294-W294))</f>
        <v/>
      </c>
      <c r="L294">
        <f>IF(L293&lt;=0,0,MAX(0,AQ294-X294))</f>
        <v/>
      </c>
      <c r="M294">
        <f>IF(M293&lt;=0,0,MAX(0,AR294-Y294))</f>
        <v/>
      </c>
      <c r="N294">
        <f>IF(N293&lt;=0,0,MAX(0,AS294-Z294))</f>
        <v/>
      </c>
      <c r="O294">
        <f>IF(C293&lt;=0,0,MIN(AH294,C$7+IF(C$2=$AA294,$AC294,IF(C$2=$AF294,$AG294,0))))</f>
        <v/>
      </c>
      <c r="P294">
        <f>IF(D293&lt;=0,0,MIN(AI294,D$7+IF(D$2=$AA294,$AC294,IF(D$2=$AF294,$AG294,0))))</f>
        <v/>
      </c>
      <c r="Q294">
        <f>IF(E293&lt;=0,0,MIN(AJ294,E$7+IF(E$2=$AA294,$AC294,IF(E$2=$AF294,$AG294,0))))</f>
        <v/>
      </c>
      <c r="R294">
        <f>IF(F293&lt;=0,0,MIN(AK294,F$7+IF(F$2=$AA294,$AC294,IF(F$2=$AF294,$AG294,0))))</f>
        <v/>
      </c>
      <c r="S294">
        <f>IF(G293&lt;=0,0,MIN(AL294,G$7+IF(G$2=$AA294,$AC294,IF(G$2=$AF294,$AG294,0))))</f>
        <v/>
      </c>
      <c r="T294">
        <f>IF(H293&lt;=0,0,MIN(AM294,H$7+IF(H$2=$AA294,$AC294,IF(H$2=$AF294,$AG294,0))))</f>
        <v/>
      </c>
      <c r="U294">
        <f>IF(I293&lt;=0,0,MIN(AN294,I$7+IF(I$2=$AA294,$AC294,IF(I$2=$AF294,$AG294,0))))</f>
        <v/>
      </c>
      <c r="V294">
        <f>IF(J293&lt;=0,0,MIN(AO294,J$7+IF(J$2=$AA294,$AC294,IF(J$2=$AF294,$AG294,0))))</f>
        <v/>
      </c>
      <c r="W294">
        <f>IF(K293&lt;=0,0,MIN(AP294,K$7+IF(K$2=$AA294,$AC294,IF(K$2=$AF294,$AG294,0))))</f>
        <v/>
      </c>
      <c r="X294">
        <f>IF(L293&lt;=0,0,MIN(AQ294,L$7+IF(L$2=$AA294,$AC294,IF(L$2=$AF294,$AG294,0))))</f>
        <v/>
      </c>
      <c r="Y294">
        <f>IF(M293&lt;=0,0,MIN(AR294,M$7+IF(M$2=$AA294,$AC294,IF(M$2=$AF294,$AG294,0))))</f>
        <v/>
      </c>
      <c r="Z294">
        <f>IF(N293&lt;=0,0,MIN(AS294,N$7+IF(N$2=$AA294,$AC294,IF(N$2=$AF294,$AG294,0))))</f>
        <v/>
      </c>
      <c r="AA294">
        <f>IFERROR(ROUND(1/SUMPRODUCT(MAX((C293:N293&gt;0)*($C$3:$N$3&lt;=B294)/$C$2:$N$2)),0),0)</f>
        <v/>
      </c>
      <c r="AB294">
        <f>SUMPRODUCT((C293:N293&gt;0)*$C$7:$N$7)</f>
        <v/>
      </c>
      <c r="AC294">
        <f>MAX(0,Plan!$C$5-AB294)+IF(A294=Plan!$C$8,N(Plan!$C$7),0)</f>
        <v/>
      </c>
      <c r="AD294">
        <f>SUM(C294:N294)</f>
        <v/>
      </c>
      <c r="AE294">
        <f>SUM(O294:Z294)</f>
        <v/>
      </c>
      <c r="AF294">
        <f>IFERROR(ROUND(1/SUMPRODUCT(MAX((C293:N293&gt;0)*($C$3:$N$3&lt;=B294)*($C$2:$N$2&gt;AA294)/$C$2:$N$2)),0),0)</f>
        <v/>
      </c>
      <c r="AG294">
        <f>MAX(0,AC294-MAX(0,SUMPRODUCT(($C$2:$N$2=AA294)*(AH294:AS294-$C$7:$N$7))))</f>
        <v/>
      </c>
      <c r="AH294">
        <f>IF(C293&lt;=0,0,ROUND(C293*(1+IF(AND(C$6&gt;0,$B294&lt;C$6),C$4,C$5)/12),2))</f>
        <v/>
      </c>
      <c r="AI294">
        <f>IF(D293&lt;=0,0,ROUND(D293*(1+IF(AND(D$6&gt;0,$B294&lt;D$6),D$4,D$5)/12),2))</f>
        <v/>
      </c>
      <c r="AJ294">
        <f>IF(E293&lt;=0,0,ROUND(E293*(1+IF(AND(E$6&gt;0,$B294&lt;E$6),E$4,E$5)/12),2))</f>
        <v/>
      </c>
      <c r="AK294">
        <f>IF(F293&lt;=0,0,ROUND(F293*(1+IF(AND(F$6&gt;0,$B294&lt;F$6),F$4,F$5)/12),2))</f>
        <v/>
      </c>
      <c r="AL294">
        <f>IF(G293&lt;=0,0,ROUND(G293*(1+IF(AND(G$6&gt;0,$B294&lt;G$6),G$4,G$5)/12),2))</f>
        <v/>
      </c>
      <c r="AM294">
        <f>IF(H293&lt;=0,0,ROUND(H293*(1+IF(AND(H$6&gt;0,$B294&lt;H$6),H$4,H$5)/12),2))</f>
        <v/>
      </c>
      <c r="AN294">
        <f>IF(I293&lt;=0,0,ROUND(I293*(1+IF(AND(I$6&gt;0,$B294&lt;I$6),I$4,I$5)/12),2))</f>
        <v/>
      </c>
      <c r="AO294">
        <f>IF(J293&lt;=0,0,ROUND(J293*(1+IF(AND(J$6&gt;0,$B294&lt;J$6),J$4,J$5)/12),2))</f>
        <v/>
      </c>
      <c r="AP294">
        <f>IF(K293&lt;=0,0,ROUND(K293*(1+IF(AND(K$6&gt;0,$B294&lt;K$6),K$4,K$5)/12),2))</f>
        <v/>
      </c>
      <c r="AQ294">
        <f>IF(L293&lt;=0,0,ROUND(L293*(1+IF(AND(L$6&gt;0,$B294&lt;L$6),L$4,L$5)/12),2))</f>
        <v/>
      </c>
      <c r="AR294">
        <f>IF(M293&lt;=0,0,ROUND(M293*(1+IF(AND(M$6&gt;0,$B294&lt;M$6),M$4,M$5)/12),2))</f>
        <v/>
      </c>
      <c r="AS294">
        <f>IF(N293&lt;=0,0,ROUND(N293*(1+IF(AND(N$6&gt;0,$B294&lt;N$6),N$4,N$5)/12),2))</f>
        <v/>
      </c>
    </row>
    <row r="295">
      <c r="A295" t="n">
        <v>284</v>
      </c>
      <c r="B295">
        <f>EDATE(Plan!$C$6,283)</f>
        <v/>
      </c>
      <c r="C295">
        <f>IF(C294&lt;=0,0,MAX(0,AH295-O295))</f>
        <v/>
      </c>
      <c r="D295">
        <f>IF(D294&lt;=0,0,MAX(0,AI295-P295))</f>
        <v/>
      </c>
      <c r="E295">
        <f>IF(E294&lt;=0,0,MAX(0,AJ295-Q295))</f>
        <v/>
      </c>
      <c r="F295">
        <f>IF(F294&lt;=0,0,MAX(0,AK295-R295))</f>
        <v/>
      </c>
      <c r="G295">
        <f>IF(G294&lt;=0,0,MAX(0,AL295-S295))</f>
        <v/>
      </c>
      <c r="H295">
        <f>IF(H294&lt;=0,0,MAX(0,AM295-T295))</f>
        <v/>
      </c>
      <c r="I295">
        <f>IF(I294&lt;=0,0,MAX(0,AN295-U295))</f>
        <v/>
      </c>
      <c r="J295">
        <f>IF(J294&lt;=0,0,MAX(0,AO295-V295))</f>
        <v/>
      </c>
      <c r="K295">
        <f>IF(K294&lt;=0,0,MAX(0,AP295-W295))</f>
        <v/>
      </c>
      <c r="L295">
        <f>IF(L294&lt;=0,0,MAX(0,AQ295-X295))</f>
        <v/>
      </c>
      <c r="M295">
        <f>IF(M294&lt;=0,0,MAX(0,AR295-Y295))</f>
        <v/>
      </c>
      <c r="N295">
        <f>IF(N294&lt;=0,0,MAX(0,AS295-Z295))</f>
        <v/>
      </c>
      <c r="O295">
        <f>IF(C294&lt;=0,0,MIN(AH295,C$7+IF(C$2=$AA295,$AC295,IF(C$2=$AF295,$AG295,0))))</f>
        <v/>
      </c>
      <c r="P295">
        <f>IF(D294&lt;=0,0,MIN(AI295,D$7+IF(D$2=$AA295,$AC295,IF(D$2=$AF295,$AG295,0))))</f>
        <v/>
      </c>
      <c r="Q295">
        <f>IF(E294&lt;=0,0,MIN(AJ295,E$7+IF(E$2=$AA295,$AC295,IF(E$2=$AF295,$AG295,0))))</f>
        <v/>
      </c>
      <c r="R295">
        <f>IF(F294&lt;=0,0,MIN(AK295,F$7+IF(F$2=$AA295,$AC295,IF(F$2=$AF295,$AG295,0))))</f>
        <v/>
      </c>
      <c r="S295">
        <f>IF(G294&lt;=0,0,MIN(AL295,G$7+IF(G$2=$AA295,$AC295,IF(G$2=$AF295,$AG295,0))))</f>
        <v/>
      </c>
      <c r="T295">
        <f>IF(H294&lt;=0,0,MIN(AM295,H$7+IF(H$2=$AA295,$AC295,IF(H$2=$AF295,$AG295,0))))</f>
        <v/>
      </c>
      <c r="U295">
        <f>IF(I294&lt;=0,0,MIN(AN295,I$7+IF(I$2=$AA295,$AC295,IF(I$2=$AF295,$AG295,0))))</f>
        <v/>
      </c>
      <c r="V295">
        <f>IF(J294&lt;=0,0,MIN(AO295,J$7+IF(J$2=$AA295,$AC295,IF(J$2=$AF295,$AG295,0))))</f>
        <v/>
      </c>
      <c r="W295">
        <f>IF(K294&lt;=0,0,MIN(AP295,K$7+IF(K$2=$AA295,$AC295,IF(K$2=$AF295,$AG295,0))))</f>
        <v/>
      </c>
      <c r="X295">
        <f>IF(L294&lt;=0,0,MIN(AQ295,L$7+IF(L$2=$AA295,$AC295,IF(L$2=$AF295,$AG295,0))))</f>
        <v/>
      </c>
      <c r="Y295">
        <f>IF(M294&lt;=0,0,MIN(AR295,M$7+IF(M$2=$AA295,$AC295,IF(M$2=$AF295,$AG295,0))))</f>
        <v/>
      </c>
      <c r="Z295">
        <f>IF(N294&lt;=0,0,MIN(AS295,N$7+IF(N$2=$AA295,$AC295,IF(N$2=$AF295,$AG295,0))))</f>
        <v/>
      </c>
      <c r="AA295">
        <f>IFERROR(ROUND(1/SUMPRODUCT(MAX((C294:N294&gt;0)*($C$3:$N$3&lt;=B295)/$C$2:$N$2)),0),0)</f>
        <v/>
      </c>
      <c r="AB295">
        <f>SUMPRODUCT((C294:N294&gt;0)*$C$7:$N$7)</f>
        <v/>
      </c>
      <c r="AC295">
        <f>MAX(0,Plan!$C$5-AB295)+IF(A295=Plan!$C$8,N(Plan!$C$7),0)</f>
        <v/>
      </c>
      <c r="AD295">
        <f>SUM(C295:N295)</f>
        <v/>
      </c>
      <c r="AE295">
        <f>SUM(O295:Z295)</f>
        <v/>
      </c>
      <c r="AF295">
        <f>IFERROR(ROUND(1/SUMPRODUCT(MAX((C294:N294&gt;0)*($C$3:$N$3&lt;=B295)*($C$2:$N$2&gt;AA295)/$C$2:$N$2)),0),0)</f>
        <v/>
      </c>
      <c r="AG295">
        <f>MAX(0,AC295-MAX(0,SUMPRODUCT(($C$2:$N$2=AA295)*(AH295:AS295-$C$7:$N$7))))</f>
        <v/>
      </c>
      <c r="AH295">
        <f>IF(C294&lt;=0,0,ROUND(C294*(1+IF(AND(C$6&gt;0,$B295&lt;C$6),C$4,C$5)/12),2))</f>
        <v/>
      </c>
      <c r="AI295">
        <f>IF(D294&lt;=0,0,ROUND(D294*(1+IF(AND(D$6&gt;0,$B295&lt;D$6),D$4,D$5)/12),2))</f>
        <v/>
      </c>
      <c r="AJ295">
        <f>IF(E294&lt;=0,0,ROUND(E294*(1+IF(AND(E$6&gt;0,$B295&lt;E$6),E$4,E$5)/12),2))</f>
        <v/>
      </c>
      <c r="AK295">
        <f>IF(F294&lt;=0,0,ROUND(F294*(1+IF(AND(F$6&gt;0,$B295&lt;F$6),F$4,F$5)/12),2))</f>
        <v/>
      </c>
      <c r="AL295">
        <f>IF(G294&lt;=0,0,ROUND(G294*(1+IF(AND(G$6&gt;0,$B295&lt;G$6),G$4,G$5)/12),2))</f>
        <v/>
      </c>
      <c r="AM295">
        <f>IF(H294&lt;=0,0,ROUND(H294*(1+IF(AND(H$6&gt;0,$B295&lt;H$6),H$4,H$5)/12),2))</f>
        <v/>
      </c>
      <c r="AN295">
        <f>IF(I294&lt;=0,0,ROUND(I294*(1+IF(AND(I$6&gt;0,$B295&lt;I$6),I$4,I$5)/12),2))</f>
        <v/>
      </c>
      <c r="AO295">
        <f>IF(J294&lt;=0,0,ROUND(J294*(1+IF(AND(J$6&gt;0,$B295&lt;J$6),J$4,J$5)/12),2))</f>
        <v/>
      </c>
      <c r="AP295">
        <f>IF(K294&lt;=0,0,ROUND(K294*(1+IF(AND(K$6&gt;0,$B295&lt;K$6),K$4,K$5)/12),2))</f>
        <v/>
      </c>
      <c r="AQ295">
        <f>IF(L294&lt;=0,0,ROUND(L294*(1+IF(AND(L$6&gt;0,$B295&lt;L$6),L$4,L$5)/12),2))</f>
        <v/>
      </c>
      <c r="AR295">
        <f>IF(M294&lt;=0,0,ROUND(M294*(1+IF(AND(M$6&gt;0,$B295&lt;M$6),M$4,M$5)/12),2))</f>
        <v/>
      </c>
      <c r="AS295">
        <f>IF(N294&lt;=0,0,ROUND(N294*(1+IF(AND(N$6&gt;0,$B295&lt;N$6),N$4,N$5)/12),2))</f>
        <v/>
      </c>
    </row>
    <row r="296">
      <c r="A296" t="n">
        <v>285</v>
      </c>
      <c r="B296">
        <f>EDATE(Plan!$C$6,284)</f>
        <v/>
      </c>
      <c r="C296">
        <f>IF(C295&lt;=0,0,MAX(0,AH296-O296))</f>
        <v/>
      </c>
      <c r="D296">
        <f>IF(D295&lt;=0,0,MAX(0,AI296-P296))</f>
        <v/>
      </c>
      <c r="E296">
        <f>IF(E295&lt;=0,0,MAX(0,AJ296-Q296))</f>
        <v/>
      </c>
      <c r="F296">
        <f>IF(F295&lt;=0,0,MAX(0,AK296-R296))</f>
        <v/>
      </c>
      <c r="G296">
        <f>IF(G295&lt;=0,0,MAX(0,AL296-S296))</f>
        <v/>
      </c>
      <c r="H296">
        <f>IF(H295&lt;=0,0,MAX(0,AM296-T296))</f>
        <v/>
      </c>
      <c r="I296">
        <f>IF(I295&lt;=0,0,MAX(0,AN296-U296))</f>
        <v/>
      </c>
      <c r="J296">
        <f>IF(J295&lt;=0,0,MAX(0,AO296-V296))</f>
        <v/>
      </c>
      <c r="K296">
        <f>IF(K295&lt;=0,0,MAX(0,AP296-W296))</f>
        <v/>
      </c>
      <c r="L296">
        <f>IF(L295&lt;=0,0,MAX(0,AQ296-X296))</f>
        <v/>
      </c>
      <c r="M296">
        <f>IF(M295&lt;=0,0,MAX(0,AR296-Y296))</f>
        <v/>
      </c>
      <c r="N296">
        <f>IF(N295&lt;=0,0,MAX(0,AS296-Z296))</f>
        <v/>
      </c>
      <c r="O296">
        <f>IF(C295&lt;=0,0,MIN(AH296,C$7+IF(C$2=$AA296,$AC296,IF(C$2=$AF296,$AG296,0))))</f>
        <v/>
      </c>
      <c r="P296">
        <f>IF(D295&lt;=0,0,MIN(AI296,D$7+IF(D$2=$AA296,$AC296,IF(D$2=$AF296,$AG296,0))))</f>
        <v/>
      </c>
      <c r="Q296">
        <f>IF(E295&lt;=0,0,MIN(AJ296,E$7+IF(E$2=$AA296,$AC296,IF(E$2=$AF296,$AG296,0))))</f>
        <v/>
      </c>
      <c r="R296">
        <f>IF(F295&lt;=0,0,MIN(AK296,F$7+IF(F$2=$AA296,$AC296,IF(F$2=$AF296,$AG296,0))))</f>
        <v/>
      </c>
      <c r="S296">
        <f>IF(G295&lt;=0,0,MIN(AL296,G$7+IF(G$2=$AA296,$AC296,IF(G$2=$AF296,$AG296,0))))</f>
        <v/>
      </c>
      <c r="T296">
        <f>IF(H295&lt;=0,0,MIN(AM296,H$7+IF(H$2=$AA296,$AC296,IF(H$2=$AF296,$AG296,0))))</f>
        <v/>
      </c>
      <c r="U296">
        <f>IF(I295&lt;=0,0,MIN(AN296,I$7+IF(I$2=$AA296,$AC296,IF(I$2=$AF296,$AG296,0))))</f>
        <v/>
      </c>
      <c r="V296">
        <f>IF(J295&lt;=0,0,MIN(AO296,J$7+IF(J$2=$AA296,$AC296,IF(J$2=$AF296,$AG296,0))))</f>
        <v/>
      </c>
      <c r="W296">
        <f>IF(K295&lt;=0,0,MIN(AP296,K$7+IF(K$2=$AA296,$AC296,IF(K$2=$AF296,$AG296,0))))</f>
        <v/>
      </c>
      <c r="X296">
        <f>IF(L295&lt;=0,0,MIN(AQ296,L$7+IF(L$2=$AA296,$AC296,IF(L$2=$AF296,$AG296,0))))</f>
        <v/>
      </c>
      <c r="Y296">
        <f>IF(M295&lt;=0,0,MIN(AR296,M$7+IF(M$2=$AA296,$AC296,IF(M$2=$AF296,$AG296,0))))</f>
        <v/>
      </c>
      <c r="Z296">
        <f>IF(N295&lt;=0,0,MIN(AS296,N$7+IF(N$2=$AA296,$AC296,IF(N$2=$AF296,$AG296,0))))</f>
        <v/>
      </c>
      <c r="AA296">
        <f>IFERROR(ROUND(1/SUMPRODUCT(MAX((C295:N295&gt;0)*($C$3:$N$3&lt;=B296)/$C$2:$N$2)),0),0)</f>
        <v/>
      </c>
      <c r="AB296">
        <f>SUMPRODUCT((C295:N295&gt;0)*$C$7:$N$7)</f>
        <v/>
      </c>
      <c r="AC296">
        <f>MAX(0,Plan!$C$5-AB296)+IF(A296=Plan!$C$8,N(Plan!$C$7),0)</f>
        <v/>
      </c>
      <c r="AD296">
        <f>SUM(C296:N296)</f>
        <v/>
      </c>
      <c r="AE296">
        <f>SUM(O296:Z296)</f>
        <v/>
      </c>
      <c r="AF296">
        <f>IFERROR(ROUND(1/SUMPRODUCT(MAX((C295:N295&gt;0)*($C$3:$N$3&lt;=B296)*($C$2:$N$2&gt;AA296)/$C$2:$N$2)),0),0)</f>
        <v/>
      </c>
      <c r="AG296">
        <f>MAX(0,AC296-MAX(0,SUMPRODUCT(($C$2:$N$2=AA296)*(AH296:AS296-$C$7:$N$7))))</f>
        <v/>
      </c>
      <c r="AH296">
        <f>IF(C295&lt;=0,0,ROUND(C295*(1+IF(AND(C$6&gt;0,$B296&lt;C$6),C$4,C$5)/12),2))</f>
        <v/>
      </c>
      <c r="AI296">
        <f>IF(D295&lt;=0,0,ROUND(D295*(1+IF(AND(D$6&gt;0,$B296&lt;D$6),D$4,D$5)/12),2))</f>
        <v/>
      </c>
      <c r="AJ296">
        <f>IF(E295&lt;=0,0,ROUND(E295*(1+IF(AND(E$6&gt;0,$B296&lt;E$6),E$4,E$5)/12),2))</f>
        <v/>
      </c>
      <c r="AK296">
        <f>IF(F295&lt;=0,0,ROUND(F295*(1+IF(AND(F$6&gt;0,$B296&lt;F$6),F$4,F$5)/12),2))</f>
        <v/>
      </c>
      <c r="AL296">
        <f>IF(G295&lt;=0,0,ROUND(G295*(1+IF(AND(G$6&gt;0,$B296&lt;G$6),G$4,G$5)/12),2))</f>
        <v/>
      </c>
      <c r="AM296">
        <f>IF(H295&lt;=0,0,ROUND(H295*(1+IF(AND(H$6&gt;0,$B296&lt;H$6),H$4,H$5)/12),2))</f>
        <v/>
      </c>
      <c r="AN296">
        <f>IF(I295&lt;=0,0,ROUND(I295*(1+IF(AND(I$6&gt;0,$B296&lt;I$6),I$4,I$5)/12),2))</f>
        <v/>
      </c>
      <c r="AO296">
        <f>IF(J295&lt;=0,0,ROUND(J295*(1+IF(AND(J$6&gt;0,$B296&lt;J$6),J$4,J$5)/12),2))</f>
        <v/>
      </c>
      <c r="AP296">
        <f>IF(K295&lt;=0,0,ROUND(K295*(1+IF(AND(K$6&gt;0,$B296&lt;K$6),K$4,K$5)/12),2))</f>
        <v/>
      </c>
      <c r="AQ296">
        <f>IF(L295&lt;=0,0,ROUND(L295*(1+IF(AND(L$6&gt;0,$B296&lt;L$6),L$4,L$5)/12),2))</f>
        <v/>
      </c>
      <c r="AR296">
        <f>IF(M295&lt;=0,0,ROUND(M295*(1+IF(AND(M$6&gt;0,$B296&lt;M$6),M$4,M$5)/12),2))</f>
        <v/>
      </c>
      <c r="AS296">
        <f>IF(N295&lt;=0,0,ROUND(N295*(1+IF(AND(N$6&gt;0,$B296&lt;N$6),N$4,N$5)/12),2))</f>
        <v/>
      </c>
    </row>
    <row r="297">
      <c r="A297" t="n">
        <v>286</v>
      </c>
      <c r="B297">
        <f>EDATE(Plan!$C$6,285)</f>
        <v/>
      </c>
      <c r="C297">
        <f>IF(C296&lt;=0,0,MAX(0,AH297-O297))</f>
        <v/>
      </c>
      <c r="D297">
        <f>IF(D296&lt;=0,0,MAX(0,AI297-P297))</f>
        <v/>
      </c>
      <c r="E297">
        <f>IF(E296&lt;=0,0,MAX(0,AJ297-Q297))</f>
        <v/>
      </c>
      <c r="F297">
        <f>IF(F296&lt;=0,0,MAX(0,AK297-R297))</f>
        <v/>
      </c>
      <c r="G297">
        <f>IF(G296&lt;=0,0,MAX(0,AL297-S297))</f>
        <v/>
      </c>
      <c r="H297">
        <f>IF(H296&lt;=0,0,MAX(0,AM297-T297))</f>
        <v/>
      </c>
      <c r="I297">
        <f>IF(I296&lt;=0,0,MAX(0,AN297-U297))</f>
        <v/>
      </c>
      <c r="J297">
        <f>IF(J296&lt;=0,0,MAX(0,AO297-V297))</f>
        <v/>
      </c>
      <c r="K297">
        <f>IF(K296&lt;=0,0,MAX(0,AP297-W297))</f>
        <v/>
      </c>
      <c r="L297">
        <f>IF(L296&lt;=0,0,MAX(0,AQ297-X297))</f>
        <v/>
      </c>
      <c r="M297">
        <f>IF(M296&lt;=0,0,MAX(0,AR297-Y297))</f>
        <v/>
      </c>
      <c r="N297">
        <f>IF(N296&lt;=0,0,MAX(0,AS297-Z297))</f>
        <v/>
      </c>
      <c r="O297">
        <f>IF(C296&lt;=0,0,MIN(AH297,C$7+IF(C$2=$AA297,$AC297,IF(C$2=$AF297,$AG297,0))))</f>
        <v/>
      </c>
      <c r="P297">
        <f>IF(D296&lt;=0,0,MIN(AI297,D$7+IF(D$2=$AA297,$AC297,IF(D$2=$AF297,$AG297,0))))</f>
        <v/>
      </c>
      <c r="Q297">
        <f>IF(E296&lt;=0,0,MIN(AJ297,E$7+IF(E$2=$AA297,$AC297,IF(E$2=$AF297,$AG297,0))))</f>
        <v/>
      </c>
      <c r="R297">
        <f>IF(F296&lt;=0,0,MIN(AK297,F$7+IF(F$2=$AA297,$AC297,IF(F$2=$AF297,$AG297,0))))</f>
        <v/>
      </c>
      <c r="S297">
        <f>IF(G296&lt;=0,0,MIN(AL297,G$7+IF(G$2=$AA297,$AC297,IF(G$2=$AF297,$AG297,0))))</f>
        <v/>
      </c>
      <c r="T297">
        <f>IF(H296&lt;=0,0,MIN(AM297,H$7+IF(H$2=$AA297,$AC297,IF(H$2=$AF297,$AG297,0))))</f>
        <v/>
      </c>
      <c r="U297">
        <f>IF(I296&lt;=0,0,MIN(AN297,I$7+IF(I$2=$AA297,$AC297,IF(I$2=$AF297,$AG297,0))))</f>
        <v/>
      </c>
      <c r="V297">
        <f>IF(J296&lt;=0,0,MIN(AO297,J$7+IF(J$2=$AA297,$AC297,IF(J$2=$AF297,$AG297,0))))</f>
        <v/>
      </c>
      <c r="W297">
        <f>IF(K296&lt;=0,0,MIN(AP297,K$7+IF(K$2=$AA297,$AC297,IF(K$2=$AF297,$AG297,0))))</f>
        <v/>
      </c>
      <c r="X297">
        <f>IF(L296&lt;=0,0,MIN(AQ297,L$7+IF(L$2=$AA297,$AC297,IF(L$2=$AF297,$AG297,0))))</f>
        <v/>
      </c>
      <c r="Y297">
        <f>IF(M296&lt;=0,0,MIN(AR297,M$7+IF(M$2=$AA297,$AC297,IF(M$2=$AF297,$AG297,0))))</f>
        <v/>
      </c>
      <c r="Z297">
        <f>IF(N296&lt;=0,0,MIN(AS297,N$7+IF(N$2=$AA297,$AC297,IF(N$2=$AF297,$AG297,0))))</f>
        <v/>
      </c>
      <c r="AA297">
        <f>IFERROR(ROUND(1/SUMPRODUCT(MAX((C296:N296&gt;0)*($C$3:$N$3&lt;=B297)/$C$2:$N$2)),0),0)</f>
        <v/>
      </c>
      <c r="AB297">
        <f>SUMPRODUCT((C296:N296&gt;0)*$C$7:$N$7)</f>
        <v/>
      </c>
      <c r="AC297">
        <f>MAX(0,Plan!$C$5-AB297)+IF(A297=Plan!$C$8,N(Plan!$C$7),0)</f>
        <v/>
      </c>
      <c r="AD297">
        <f>SUM(C297:N297)</f>
        <v/>
      </c>
      <c r="AE297">
        <f>SUM(O297:Z297)</f>
        <v/>
      </c>
      <c r="AF297">
        <f>IFERROR(ROUND(1/SUMPRODUCT(MAX((C296:N296&gt;0)*($C$3:$N$3&lt;=B297)*($C$2:$N$2&gt;AA297)/$C$2:$N$2)),0),0)</f>
        <v/>
      </c>
      <c r="AG297">
        <f>MAX(0,AC297-MAX(0,SUMPRODUCT(($C$2:$N$2=AA297)*(AH297:AS297-$C$7:$N$7))))</f>
        <v/>
      </c>
      <c r="AH297">
        <f>IF(C296&lt;=0,0,ROUND(C296*(1+IF(AND(C$6&gt;0,$B297&lt;C$6),C$4,C$5)/12),2))</f>
        <v/>
      </c>
      <c r="AI297">
        <f>IF(D296&lt;=0,0,ROUND(D296*(1+IF(AND(D$6&gt;0,$B297&lt;D$6),D$4,D$5)/12),2))</f>
        <v/>
      </c>
      <c r="AJ297">
        <f>IF(E296&lt;=0,0,ROUND(E296*(1+IF(AND(E$6&gt;0,$B297&lt;E$6),E$4,E$5)/12),2))</f>
        <v/>
      </c>
      <c r="AK297">
        <f>IF(F296&lt;=0,0,ROUND(F296*(1+IF(AND(F$6&gt;0,$B297&lt;F$6),F$4,F$5)/12),2))</f>
        <v/>
      </c>
      <c r="AL297">
        <f>IF(G296&lt;=0,0,ROUND(G296*(1+IF(AND(G$6&gt;0,$B297&lt;G$6),G$4,G$5)/12),2))</f>
        <v/>
      </c>
      <c r="AM297">
        <f>IF(H296&lt;=0,0,ROUND(H296*(1+IF(AND(H$6&gt;0,$B297&lt;H$6),H$4,H$5)/12),2))</f>
        <v/>
      </c>
      <c r="AN297">
        <f>IF(I296&lt;=0,0,ROUND(I296*(1+IF(AND(I$6&gt;0,$B297&lt;I$6),I$4,I$5)/12),2))</f>
        <v/>
      </c>
      <c r="AO297">
        <f>IF(J296&lt;=0,0,ROUND(J296*(1+IF(AND(J$6&gt;0,$B297&lt;J$6),J$4,J$5)/12),2))</f>
        <v/>
      </c>
      <c r="AP297">
        <f>IF(K296&lt;=0,0,ROUND(K296*(1+IF(AND(K$6&gt;0,$B297&lt;K$6),K$4,K$5)/12),2))</f>
        <v/>
      </c>
      <c r="AQ297">
        <f>IF(L296&lt;=0,0,ROUND(L296*(1+IF(AND(L$6&gt;0,$B297&lt;L$6),L$4,L$5)/12),2))</f>
        <v/>
      </c>
      <c r="AR297">
        <f>IF(M296&lt;=0,0,ROUND(M296*(1+IF(AND(M$6&gt;0,$B297&lt;M$6),M$4,M$5)/12),2))</f>
        <v/>
      </c>
      <c r="AS297">
        <f>IF(N296&lt;=0,0,ROUND(N296*(1+IF(AND(N$6&gt;0,$B297&lt;N$6),N$4,N$5)/12),2))</f>
        <v/>
      </c>
    </row>
    <row r="298">
      <c r="A298" t="n">
        <v>287</v>
      </c>
      <c r="B298">
        <f>EDATE(Plan!$C$6,286)</f>
        <v/>
      </c>
      <c r="C298">
        <f>IF(C297&lt;=0,0,MAX(0,AH298-O298))</f>
        <v/>
      </c>
      <c r="D298">
        <f>IF(D297&lt;=0,0,MAX(0,AI298-P298))</f>
        <v/>
      </c>
      <c r="E298">
        <f>IF(E297&lt;=0,0,MAX(0,AJ298-Q298))</f>
        <v/>
      </c>
      <c r="F298">
        <f>IF(F297&lt;=0,0,MAX(0,AK298-R298))</f>
        <v/>
      </c>
      <c r="G298">
        <f>IF(G297&lt;=0,0,MAX(0,AL298-S298))</f>
        <v/>
      </c>
      <c r="H298">
        <f>IF(H297&lt;=0,0,MAX(0,AM298-T298))</f>
        <v/>
      </c>
      <c r="I298">
        <f>IF(I297&lt;=0,0,MAX(0,AN298-U298))</f>
        <v/>
      </c>
      <c r="J298">
        <f>IF(J297&lt;=0,0,MAX(0,AO298-V298))</f>
        <v/>
      </c>
      <c r="K298">
        <f>IF(K297&lt;=0,0,MAX(0,AP298-W298))</f>
        <v/>
      </c>
      <c r="L298">
        <f>IF(L297&lt;=0,0,MAX(0,AQ298-X298))</f>
        <v/>
      </c>
      <c r="M298">
        <f>IF(M297&lt;=0,0,MAX(0,AR298-Y298))</f>
        <v/>
      </c>
      <c r="N298">
        <f>IF(N297&lt;=0,0,MAX(0,AS298-Z298))</f>
        <v/>
      </c>
      <c r="O298">
        <f>IF(C297&lt;=0,0,MIN(AH298,C$7+IF(C$2=$AA298,$AC298,IF(C$2=$AF298,$AG298,0))))</f>
        <v/>
      </c>
      <c r="P298">
        <f>IF(D297&lt;=0,0,MIN(AI298,D$7+IF(D$2=$AA298,$AC298,IF(D$2=$AF298,$AG298,0))))</f>
        <v/>
      </c>
      <c r="Q298">
        <f>IF(E297&lt;=0,0,MIN(AJ298,E$7+IF(E$2=$AA298,$AC298,IF(E$2=$AF298,$AG298,0))))</f>
        <v/>
      </c>
      <c r="R298">
        <f>IF(F297&lt;=0,0,MIN(AK298,F$7+IF(F$2=$AA298,$AC298,IF(F$2=$AF298,$AG298,0))))</f>
        <v/>
      </c>
      <c r="S298">
        <f>IF(G297&lt;=0,0,MIN(AL298,G$7+IF(G$2=$AA298,$AC298,IF(G$2=$AF298,$AG298,0))))</f>
        <v/>
      </c>
      <c r="T298">
        <f>IF(H297&lt;=0,0,MIN(AM298,H$7+IF(H$2=$AA298,$AC298,IF(H$2=$AF298,$AG298,0))))</f>
        <v/>
      </c>
      <c r="U298">
        <f>IF(I297&lt;=0,0,MIN(AN298,I$7+IF(I$2=$AA298,$AC298,IF(I$2=$AF298,$AG298,0))))</f>
        <v/>
      </c>
      <c r="V298">
        <f>IF(J297&lt;=0,0,MIN(AO298,J$7+IF(J$2=$AA298,$AC298,IF(J$2=$AF298,$AG298,0))))</f>
        <v/>
      </c>
      <c r="W298">
        <f>IF(K297&lt;=0,0,MIN(AP298,K$7+IF(K$2=$AA298,$AC298,IF(K$2=$AF298,$AG298,0))))</f>
        <v/>
      </c>
      <c r="X298">
        <f>IF(L297&lt;=0,0,MIN(AQ298,L$7+IF(L$2=$AA298,$AC298,IF(L$2=$AF298,$AG298,0))))</f>
        <v/>
      </c>
      <c r="Y298">
        <f>IF(M297&lt;=0,0,MIN(AR298,M$7+IF(M$2=$AA298,$AC298,IF(M$2=$AF298,$AG298,0))))</f>
        <v/>
      </c>
      <c r="Z298">
        <f>IF(N297&lt;=0,0,MIN(AS298,N$7+IF(N$2=$AA298,$AC298,IF(N$2=$AF298,$AG298,0))))</f>
        <v/>
      </c>
      <c r="AA298">
        <f>IFERROR(ROUND(1/SUMPRODUCT(MAX((C297:N297&gt;0)*($C$3:$N$3&lt;=B298)/$C$2:$N$2)),0),0)</f>
        <v/>
      </c>
      <c r="AB298">
        <f>SUMPRODUCT((C297:N297&gt;0)*$C$7:$N$7)</f>
        <v/>
      </c>
      <c r="AC298">
        <f>MAX(0,Plan!$C$5-AB298)+IF(A298=Plan!$C$8,N(Plan!$C$7),0)</f>
        <v/>
      </c>
      <c r="AD298">
        <f>SUM(C298:N298)</f>
        <v/>
      </c>
      <c r="AE298">
        <f>SUM(O298:Z298)</f>
        <v/>
      </c>
      <c r="AF298">
        <f>IFERROR(ROUND(1/SUMPRODUCT(MAX((C297:N297&gt;0)*($C$3:$N$3&lt;=B298)*($C$2:$N$2&gt;AA298)/$C$2:$N$2)),0),0)</f>
        <v/>
      </c>
      <c r="AG298">
        <f>MAX(0,AC298-MAX(0,SUMPRODUCT(($C$2:$N$2=AA298)*(AH298:AS298-$C$7:$N$7))))</f>
        <v/>
      </c>
      <c r="AH298">
        <f>IF(C297&lt;=0,0,ROUND(C297*(1+IF(AND(C$6&gt;0,$B298&lt;C$6),C$4,C$5)/12),2))</f>
        <v/>
      </c>
      <c r="AI298">
        <f>IF(D297&lt;=0,0,ROUND(D297*(1+IF(AND(D$6&gt;0,$B298&lt;D$6),D$4,D$5)/12),2))</f>
        <v/>
      </c>
      <c r="AJ298">
        <f>IF(E297&lt;=0,0,ROUND(E297*(1+IF(AND(E$6&gt;0,$B298&lt;E$6),E$4,E$5)/12),2))</f>
        <v/>
      </c>
      <c r="AK298">
        <f>IF(F297&lt;=0,0,ROUND(F297*(1+IF(AND(F$6&gt;0,$B298&lt;F$6),F$4,F$5)/12),2))</f>
        <v/>
      </c>
      <c r="AL298">
        <f>IF(G297&lt;=0,0,ROUND(G297*(1+IF(AND(G$6&gt;0,$B298&lt;G$6),G$4,G$5)/12),2))</f>
        <v/>
      </c>
      <c r="AM298">
        <f>IF(H297&lt;=0,0,ROUND(H297*(1+IF(AND(H$6&gt;0,$B298&lt;H$6),H$4,H$5)/12),2))</f>
        <v/>
      </c>
      <c r="AN298">
        <f>IF(I297&lt;=0,0,ROUND(I297*(1+IF(AND(I$6&gt;0,$B298&lt;I$6),I$4,I$5)/12),2))</f>
        <v/>
      </c>
      <c r="AO298">
        <f>IF(J297&lt;=0,0,ROUND(J297*(1+IF(AND(J$6&gt;0,$B298&lt;J$6),J$4,J$5)/12),2))</f>
        <v/>
      </c>
      <c r="AP298">
        <f>IF(K297&lt;=0,0,ROUND(K297*(1+IF(AND(K$6&gt;0,$B298&lt;K$6),K$4,K$5)/12),2))</f>
        <v/>
      </c>
      <c r="AQ298">
        <f>IF(L297&lt;=0,0,ROUND(L297*(1+IF(AND(L$6&gt;0,$B298&lt;L$6),L$4,L$5)/12),2))</f>
        <v/>
      </c>
      <c r="AR298">
        <f>IF(M297&lt;=0,0,ROUND(M297*(1+IF(AND(M$6&gt;0,$B298&lt;M$6),M$4,M$5)/12),2))</f>
        <v/>
      </c>
      <c r="AS298">
        <f>IF(N297&lt;=0,0,ROUND(N297*(1+IF(AND(N$6&gt;0,$B298&lt;N$6),N$4,N$5)/12),2))</f>
        <v/>
      </c>
    </row>
    <row r="299">
      <c r="A299" t="n">
        <v>288</v>
      </c>
      <c r="B299">
        <f>EDATE(Plan!$C$6,287)</f>
        <v/>
      </c>
      <c r="C299">
        <f>IF(C298&lt;=0,0,MAX(0,AH299-O299))</f>
        <v/>
      </c>
      <c r="D299">
        <f>IF(D298&lt;=0,0,MAX(0,AI299-P299))</f>
        <v/>
      </c>
      <c r="E299">
        <f>IF(E298&lt;=0,0,MAX(0,AJ299-Q299))</f>
        <v/>
      </c>
      <c r="F299">
        <f>IF(F298&lt;=0,0,MAX(0,AK299-R299))</f>
        <v/>
      </c>
      <c r="G299">
        <f>IF(G298&lt;=0,0,MAX(0,AL299-S299))</f>
        <v/>
      </c>
      <c r="H299">
        <f>IF(H298&lt;=0,0,MAX(0,AM299-T299))</f>
        <v/>
      </c>
      <c r="I299">
        <f>IF(I298&lt;=0,0,MAX(0,AN299-U299))</f>
        <v/>
      </c>
      <c r="J299">
        <f>IF(J298&lt;=0,0,MAX(0,AO299-V299))</f>
        <v/>
      </c>
      <c r="K299">
        <f>IF(K298&lt;=0,0,MAX(0,AP299-W299))</f>
        <v/>
      </c>
      <c r="L299">
        <f>IF(L298&lt;=0,0,MAX(0,AQ299-X299))</f>
        <v/>
      </c>
      <c r="M299">
        <f>IF(M298&lt;=0,0,MAX(0,AR299-Y299))</f>
        <v/>
      </c>
      <c r="N299">
        <f>IF(N298&lt;=0,0,MAX(0,AS299-Z299))</f>
        <v/>
      </c>
      <c r="O299">
        <f>IF(C298&lt;=0,0,MIN(AH299,C$7+IF(C$2=$AA299,$AC299,IF(C$2=$AF299,$AG299,0))))</f>
        <v/>
      </c>
      <c r="P299">
        <f>IF(D298&lt;=0,0,MIN(AI299,D$7+IF(D$2=$AA299,$AC299,IF(D$2=$AF299,$AG299,0))))</f>
        <v/>
      </c>
      <c r="Q299">
        <f>IF(E298&lt;=0,0,MIN(AJ299,E$7+IF(E$2=$AA299,$AC299,IF(E$2=$AF299,$AG299,0))))</f>
        <v/>
      </c>
      <c r="R299">
        <f>IF(F298&lt;=0,0,MIN(AK299,F$7+IF(F$2=$AA299,$AC299,IF(F$2=$AF299,$AG299,0))))</f>
        <v/>
      </c>
      <c r="S299">
        <f>IF(G298&lt;=0,0,MIN(AL299,G$7+IF(G$2=$AA299,$AC299,IF(G$2=$AF299,$AG299,0))))</f>
        <v/>
      </c>
      <c r="T299">
        <f>IF(H298&lt;=0,0,MIN(AM299,H$7+IF(H$2=$AA299,$AC299,IF(H$2=$AF299,$AG299,0))))</f>
        <v/>
      </c>
      <c r="U299">
        <f>IF(I298&lt;=0,0,MIN(AN299,I$7+IF(I$2=$AA299,$AC299,IF(I$2=$AF299,$AG299,0))))</f>
        <v/>
      </c>
      <c r="V299">
        <f>IF(J298&lt;=0,0,MIN(AO299,J$7+IF(J$2=$AA299,$AC299,IF(J$2=$AF299,$AG299,0))))</f>
        <v/>
      </c>
      <c r="W299">
        <f>IF(K298&lt;=0,0,MIN(AP299,K$7+IF(K$2=$AA299,$AC299,IF(K$2=$AF299,$AG299,0))))</f>
        <v/>
      </c>
      <c r="X299">
        <f>IF(L298&lt;=0,0,MIN(AQ299,L$7+IF(L$2=$AA299,$AC299,IF(L$2=$AF299,$AG299,0))))</f>
        <v/>
      </c>
      <c r="Y299">
        <f>IF(M298&lt;=0,0,MIN(AR299,M$7+IF(M$2=$AA299,$AC299,IF(M$2=$AF299,$AG299,0))))</f>
        <v/>
      </c>
      <c r="Z299">
        <f>IF(N298&lt;=0,0,MIN(AS299,N$7+IF(N$2=$AA299,$AC299,IF(N$2=$AF299,$AG299,0))))</f>
        <v/>
      </c>
      <c r="AA299">
        <f>IFERROR(ROUND(1/SUMPRODUCT(MAX((C298:N298&gt;0)*($C$3:$N$3&lt;=B299)/$C$2:$N$2)),0),0)</f>
        <v/>
      </c>
      <c r="AB299">
        <f>SUMPRODUCT((C298:N298&gt;0)*$C$7:$N$7)</f>
        <v/>
      </c>
      <c r="AC299">
        <f>MAX(0,Plan!$C$5-AB299)+IF(A299=Plan!$C$8,N(Plan!$C$7),0)</f>
        <v/>
      </c>
      <c r="AD299">
        <f>SUM(C299:N299)</f>
        <v/>
      </c>
      <c r="AE299">
        <f>SUM(O299:Z299)</f>
        <v/>
      </c>
      <c r="AF299">
        <f>IFERROR(ROUND(1/SUMPRODUCT(MAX((C298:N298&gt;0)*($C$3:$N$3&lt;=B299)*($C$2:$N$2&gt;AA299)/$C$2:$N$2)),0),0)</f>
        <v/>
      </c>
      <c r="AG299">
        <f>MAX(0,AC299-MAX(0,SUMPRODUCT(($C$2:$N$2=AA299)*(AH299:AS299-$C$7:$N$7))))</f>
        <v/>
      </c>
      <c r="AH299">
        <f>IF(C298&lt;=0,0,ROUND(C298*(1+IF(AND(C$6&gt;0,$B299&lt;C$6),C$4,C$5)/12),2))</f>
        <v/>
      </c>
      <c r="AI299">
        <f>IF(D298&lt;=0,0,ROUND(D298*(1+IF(AND(D$6&gt;0,$B299&lt;D$6),D$4,D$5)/12),2))</f>
        <v/>
      </c>
      <c r="AJ299">
        <f>IF(E298&lt;=0,0,ROUND(E298*(1+IF(AND(E$6&gt;0,$B299&lt;E$6),E$4,E$5)/12),2))</f>
        <v/>
      </c>
      <c r="AK299">
        <f>IF(F298&lt;=0,0,ROUND(F298*(1+IF(AND(F$6&gt;0,$B299&lt;F$6),F$4,F$5)/12),2))</f>
        <v/>
      </c>
      <c r="AL299">
        <f>IF(G298&lt;=0,0,ROUND(G298*(1+IF(AND(G$6&gt;0,$B299&lt;G$6),G$4,G$5)/12),2))</f>
        <v/>
      </c>
      <c r="AM299">
        <f>IF(H298&lt;=0,0,ROUND(H298*(1+IF(AND(H$6&gt;0,$B299&lt;H$6),H$4,H$5)/12),2))</f>
        <v/>
      </c>
      <c r="AN299">
        <f>IF(I298&lt;=0,0,ROUND(I298*(1+IF(AND(I$6&gt;0,$B299&lt;I$6),I$4,I$5)/12),2))</f>
        <v/>
      </c>
      <c r="AO299">
        <f>IF(J298&lt;=0,0,ROUND(J298*(1+IF(AND(J$6&gt;0,$B299&lt;J$6),J$4,J$5)/12),2))</f>
        <v/>
      </c>
      <c r="AP299">
        <f>IF(K298&lt;=0,0,ROUND(K298*(1+IF(AND(K$6&gt;0,$B299&lt;K$6),K$4,K$5)/12),2))</f>
        <v/>
      </c>
      <c r="AQ299">
        <f>IF(L298&lt;=0,0,ROUND(L298*(1+IF(AND(L$6&gt;0,$B299&lt;L$6),L$4,L$5)/12),2))</f>
        <v/>
      </c>
      <c r="AR299">
        <f>IF(M298&lt;=0,0,ROUND(M298*(1+IF(AND(M$6&gt;0,$B299&lt;M$6),M$4,M$5)/12),2))</f>
        <v/>
      </c>
      <c r="AS299">
        <f>IF(N298&lt;=0,0,ROUND(N298*(1+IF(AND(N$6&gt;0,$B299&lt;N$6),N$4,N$5)/12),2))</f>
        <v/>
      </c>
    </row>
    <row r="300">
      <c r="A300" t="n">
        <v>289</v>
      </c>
      <c r="B300">
        <f>EDATE(Plan!$C$6,288)</f>
        <v/>
      </c>
      <c r="C300">
        <f>IF(C299&lt;=0,0,MAX(0,AH300-O300))</f>
        <v/>
      </c>
      <c r="D300">
        <f>IF(D299&lt;=0,0,MAX(0,AI300-P300))</f>
        <v/>
      </c>
      <c r="E300">
        <f>IF(E299&lt;=0,0,MAX(0,AJ300-Q300))</f>
        <v/>
      </c>
      <c r="F300">
        <f>IF(F299&lt;=0,0,MAX(0,AK300-R300))</f>
        <v/>
      </c>
      <c r="G300">
        <f>IF(G299&lt;=0,0,MAX(0,AL300-S300))</f>
        <v/>
      </c>
      <c r="H300">
        <f>IF(H299&lt;=0,0,MAX(0,AM300-T300))</f>
        <v/>
      </c>
      <c r="I300">
        <f>IF(I299&lt;=0,0,MAX(0,AN300-U300))</f>
        <v/>
      </c>
      <c r="J300">
        <f>IF(J299&lt;=0,0,MAX(0,AO300-V300))</f>
        <v/>
      </c>
      <c r="K300">
        <f>IF(K299&lt;=0,0,MAX(0,AP300-W300))</f>
        <v/>
      </c>
      <c r="L300">
        <f>IF(L299&lt;=0,0,MAX(0,AQ300-X300))</f>
        <v/>
      </c>
      <c r="M300">
        <f>IF(M299&lt;=0,0,MAX(0,AR300-Y300))</f>
        <v/>
      </c>
      <c r="N300">
        <f>IF(N299&lt;=0,0,MAX(0,AS300-Z300))</f>
        <v/>
      </c>
      <c r="O300">
        <f>IF(C299&lt;=0,0,MIN(AH300,C$7+IF(C$2=$AA300,$AC300,IF(C$2=$AF300,$AG300,0))))</f>
        <v/>
      </c>
      <c r="P300">
        <f>IF(D299&lt;=0,0,MIN(AI300,D$7+IF(D$2=$AA300,$AC300,IF(D$2=$AF300,$AG300,0))))</f>
        <v/>
      </c>
      <c r="Q300">
        <f>IF(E299&lt;=0,0,MIN(AJ300,E$7+IF(E$2=$AA300,$AC300,IF(E$2=$AF300,$AG300,0))))</f>
        <v/>
      </c>
      <c r="R300">
        <f>IF(F299&lt;=0,0,MIN(AK300,F$7+IF(F$2=$AA300,$AC300,IF(F$2=$AF300,$AG300,0))))</f>
        <v/>
      </c>
      <c r="S300">
        <f>IF(G299&lt;=0,0,MIN(AL300,G$7+IF(G$2=$AA300,$AC300,IF(G$2=$AF300,$AG300,0))))</f>
        <v/>
      </c>
      <c r="T300">
        <f>IF(H299&lt;=0,0,MIN(AM300,H$7+IF(H$2=$AA300,$AC300,IF(H$2=$AF300,$AG300,0))))</f>
        <v/>
      </c>
      <c r="U300">
        <f>IF(I299&lt;=0,0,MIN(AN300,I$7+IF(I$2=$AA300,$AC300,IF(I$2=$AF300,$AG300,0))))</f>
        <v/>
      </c>
      <c r="V300">
        <f>IF(J299&lt;=0,0,MIN(AO300,J$7+IF(J$2=$AA300,$AC300,IF(J$2=$AF300,$AG300,0))))</f>
        <v/>
      </c>
      <c r="W300">
        <f>IF(K299&lt;=0,0,MIN(AP300,K$7+IF(K$2=$AA300,$AC300,IF(K$2=$AF300,$AG300,0))))</f>
        <v/>
      </c>
      <c r="X300">
        <f>IF(L299&lt;=0,0,MIN(AQ300,L$7+IF(L$2=$AA300,$AC300,IF(L$2=$AF300,$AG300,0))))</f>
        <v/>
      </c>
      <c r="Y300">
        <f>IF(M299&lt;=0,0,MIN(AR300,M$7+IF(M$2=$AA300,$AC300,IF(M$2=$AF300,$AG300,0))))</f>
        <v/>
      </c>
      <c r="Z300">
        <f>IF(N299&lt;=0,0,MIN(AS300,N$7+IF(N$2=$AA300,$AC300,IF(N$2=$AF300,$AG300,0))))</f>
        <v/>
      </c>
      <c r="AA300">
        <f>IFERROR(ROUND(1/SUMPRODUCT(MAX((C299:N299&gt;0)*($C$3:$N$3&lt;=B300)/$C$2:$N$2)),0),0)</f>
        <v/>
      </c>
      <c r="AB300">
        <f>SUMPRODUCT((C299:N299&gt;0)*$C$7:$N$7)</f>
        <v/>
      </c>
      <c r="AC300">
        <f>MAX(0,Plan!$C$5-AB300)+IF(A300=Plan!$C$8,N(Plan!$C$7),0)</f>
        <v/>
      </c>
      <c r="AD300">
        <f>SUM(C300:N300)</f>
        <v/>
      </c>
      <c r="AE300">
        <f>SUM(O300:Z300)</f>
        <v/>
      </c>
      <c r="AF300">
        <f>IFERROR(ROUND(1/SUMPRODUCT(MAX((C299:N299&gt;0)*($C$3:$N$3&lt;=B300)*($C$2:$N$2&gt;AA300)/$C$2:$N$2)),0),0)</f>
        <v/>
      </c>
      <c r="AG300">
        <f>MAX(0,AC300-MAX(0,SUMPRODUCT(($C$2:$N$2=AA300)*(AH300:AS300-$C$7:$N$7))))</f>
        <v/>
      </c>
      <c r="AH300">
        <f>IF(C299&lt;=0,0,ROUND(C299*(1+IF(AND(C$6&gt;0,$B300&lt;C$6),C$4,C$5)/12),2))</f>
        <v/>
      </c>
      <c r="AI300">
        <f>IF(D299&lt;=0,0,ROUND(D299*(1+IF(AND(D$6&gt;0,$B300&lt;D$6),D$4,D$5)/12),2))</f>
        <v/>
      </c>
      <c r="AJ300">
        <f>IF(E299&lt;=0,0,ROUND(E299*(1+IF(AND(E$6&gt;0,$B300&lt;E$6),E$4,E$5)/12),2))</f>
        <v/>
      </c>
      <c r="AK300">
        <f>IF(F299&lt;=0,0,ROUND(F299*(1+IF(AND(F$6&gt;0,$B300&lt;F$6),F$4,F$5)/12),2))</f>
        <v/>
      </c>
      <c r="AL300">
        <f>IF(G299&lt;=0,0,ROUND(G299*(1+IF(AND(G$6&gt;0,$B300&lt;G$6),G$4,G$5)/12),2))</f>
        <v/>
      </c>
      <c r="AM300">
        <f>IF(H299&lt;=0,0,ROUND(H299*(1+IF(AND(H$6&gt;0,$B300&lt;H$6),H$4,H$5)/12),2))</f>
        <v/>
      </c>
      <c r="AN300">
        <f>IF(I299&lt;=0,0,ROUND(I299*(1+IF(AND(I$6&gt;0,$B300&lt;I$6),I$4,I$5)/12),2))</f>
        <v/>
      </c>
      <c r="AO300">
        <f>IF(J299&lt;=0,0,ROUND(J299*(1+IF(AND(J$6&gt;0,$B300&lt;J$6),J$4,J$5)/12),2))</f>
        <v/>
      </c>
      <c r="AP300">
        <f>IF(K299&lt;=0,0,ROUND(K299*(1+IF(AND(K$6&gt;0,$B300&lt;K$6),K$4,K$5)/12),2))</f>
        <v/>
      </c>
      <c r="AQ300">
        <f>IF(L299&lt;=0,0,ROUND(L299*(1+IF(AND(L$6&gt;0,$B300&lt;L$6),L$4,L$5)/12),2))</f>
        <v/>
      </c>
      <c r="AR300">
        <f>IF(M299&lt;=0,0,ROUND(M299*(1+IF(AND(M$6&gt;0,$B300&lt;M$6),M$4,M$5)/12),2))</f>
        <v/>
      </c>
      <c r="AS300">
        <f>IF(N299&lt;=0,0,ROUND(N299*(1+IF(AND(N$6&gt;0,$B300&lt;N$6),N$4,N$5)/12),2))</f>
        <v/>
      </c>
    </row>
    <row r="301">
      <c r="A301" t="n">
        <v>290</v>
      </c>
      <c r="B301">
        <f>EDATE(Plan!$C$6,289)</f>
        <v/>
      </c>
      <c r="C301">
        <f>IF(C300&lt;=0,0,MAX(0,AH301-O301))</f>
        <v/>
      </c>
      <c r="D301">
        <f>IF(D300&lt;=0,0,MAX(0,AI301-P301))</f>
        <v/>
      </c>
      <c r="E301">
        <f>IF(E300&lt;=0,0,MAX(0,AJ301-Q301))</f>
        <v/>
      </c>
      <c r="F301">
        <f>IF(F300&lt;=0,0,MAX(0,AK301-R301))</f>
        <v/>
      </c>
      <c r="G301">
        <f>IF(G300&lt;=0,0,MAX(0,AL301-S301))</f>
        <v/>
      </c>
      <c r="H301">
        <f>IF(H300&lt;=0,0,MAX(0,AM301-T301))</f>
        <v/>
      </c>
      <c r="I301">
        <f>IF(I300&lt;=0,0,MAX(0,AN301-U301))</f>
        <v/>
      </c>
      <c r="J301">
        <f>IF(J300&lt;=0,0,MAX(0,AO301-V301))</f>
        <v/>
      </c>
      <c r="K301">
        <f>IF(K300&lt;=0,0,MAX(0,AP301-W301))</f>
        <v/>
      </c>
      <c r="L301">
        <f>IF(L300&lt;=0,0,MAX(0,AQ301-X301))</f>
        <v/>
      </c>
      <c r="M301">
        <f>IF(M300&lt;=0,0,MAX(0,AR301-Y301))</f>
        <v/>
      </c>
      <c r="N301">
        <f>IF(N300&lt;=0,0,MAX(0,AS301-Z301))</f>
        <v/>
      </c>
      <c r="O301">
        <f>IF(C300&lt;=0,0,MIN(AH301,C$7+IF(C$2=$AA301,$AC301,IF(C$2=$AF301,$AG301,0))))</f>
        <v/>
      </c>
      <c r="P301">
        <f>IF(D300&lt;=0,0,MIN(AI301,D$7+IF(D$2=$AA301,$AC301,IF(D$2=$AF301,$AG301,0))))</f>
        <v/>
      </c>
      <c r="Q301">
        <f>IF(E300&lt;=0,0,MIN(AJ301,E$7+IF(E$2=$AA301,$AC301,IF(E$2=$AF301,$AG301,0))))</f>
        <v/>
      </c>
      <c r="R301">
        <f>IF(F300&lt;=0,0,MIN(AK301,F$7+IF(F$2=$AA301,$AC301,IF(F$2=$AF301,$AG301,0))))</f>
        <v/>
      </c>
      <c r="S301">
        <f>IF(G300&lt;=0,0,MIN(AL301,G$7+IF(G$2=$AA301,$AC301,IF(G$2=$AF301,$AG301,0))))</f>
        <v/>
      </c>
      <c r="T301">
        <f>IF(H300&lt;=0,0,MIN(AM301,H$7+IF(H$2=$AA301,$AC301,IF(H$2=$AF301,$AG301,0))))</f>
        <v/>
      </c>
      <c r="U301">
        <f>IF(I300&lt;=0,0,MIN(AN301,I$7+IF(I$2=$AA301,$AC301,IF(I$2=$AF301,$AG301,0))))</f>
        <v/>
      </c>
      <c r="V301">
        <f>IF(J300&lt;=0,0,MIN(AO301,J$7+IF(J$2=$AA301,$AC301,IF(J$2=$AF301,$AG301,0))))</f>
        <v/>
      </c>
      <c r="W301">
        <f>IF(K300&lt;=0,0,MIN(AP301,K$7+IF(K$2=$AA301,$AC301,IF(K$2=$AF301,$AG301,0))))</f>
        <v/>
      </c>
      <c r="X301">
        <f>IF(L300&lt;=0,0,MIN(AQ301,L$7+IF(L$2=$AA301,$AC301,IF(L$2=$AF301,$AG301,0))))</f>
        <v/>
      </c>
      <c r="Y301">
        <f>IF(M300&lt;=0,0,MIN(AR301,M$7+IF(M$2=$AA301,$AC301,IF(M$2=$AF301,$AG301,0))))</f>
        <v/>
      </c>
      <c r="Z301">
        <f>IF(N300&lt;=0,0,MIN(AS301,N$7+IF(N$2=$AA301,$AC301,IF(N$2=$AF301,$AG301,0))))</f>
        <v/>
      </c>
      <c r="AA301">
        <f>IFERROR(ROUND(1/SUMPRODUCT(MAX((C300:N300&gt;0)*($C$3:$N$3&lt;=B301)/$C$2:$N$2)),0),0)</f>
        <v/>
      </c>
      <c r="AB301">
        <f>SUMPRODUCT((C300:N300&gt;0)*$C$7:$N$7)</f>
        <v/>
      </c>
      <c r="AC301">
        <f>MAX(0,Plan!$C$5-AB301)+IF(A301=Plan!$C$8,N(Plan!$C$7),0)</f>
        <v/>
      </c>
      <c r="AD301">
        <f>SUM(C301:N301)</f>
        <v/>
      </c>
      <c r="AE301">
        <f>SUM(O301:Z301)</f>
        <v/>
      </c>
      <c r="AF301">
        <f>IFERROR(ROUND(1/SUMPRODUCT(MAX((C300:N300&gt;0)*($C$3:$N$3&lt;=B301)*($C$2:$N$2&gt;AA301)/$C$2:$N$2)),0),0)</f>
        <v/>
      </c>
      <c r="AG301">
        <f>MAX(0,AC301-MAX(0,SUMPRODUCT(($C$2:$N$2=AA301)*(AH301:AS301-$C$7:$N$7))))</f>
        <v/>
      </c>
      <c r="AH301">
        <f>IF(C300&lt;=0,0,ROUND(C300*(1+IF(AND(C$6&gt;0,$B301&lt;C$6),C$4,C$5)/12),2))</f>
        <v/>
      </c>
      <c r="AI301">
        <f>IF(D300&lt;=0,0,ROUND(D300*(1+IF(AND(D$6&gt;0,$B301&lt;D$6),D$4,D$5)/12),2))</f>
        <v/>
      </c>
      <c r="AJ301">
        <f>IF(E300&lt;=0,0,ROUND(E300*(1+IF(AND(E$6&gt;0,$B301&lt;E$6),E$4,E$5)/12),2))</f>
        <v/>
      </c>
      <c r="AK301">
        <f>IF(F300&lt;=0,0,ROUND(F300*(1+IF(AND(F$6&gt;0,$B301&lt;F$6),F$4,F$5)/12),2))</f>
        <v/>
      </c>
      <c r="AL301">
        <f>IF(G300&lt;=0,0,ROUND(G300*(1+IF(AND(G$6&gt;0,$B301&lt;G$6),G$4,G$5)/12),2))</f>
        <v/>
      </c>
      <c r="AM301">
        <f>IF(H300&lt;=0,0,ROUND(H300*(1+IF(AND(H$6&gt;0,$B301&lt;H$6),H$4,H$5)/12),2))</f>
        <v/>
      </c>
      <c r="AN301">
        <f>IF(I300&lt;=0,0,ROUND(I300*(1+IF(AND(I$6&gt;0,$B301&lt;I$6),I$4,I$5)/12),2))</f>
        <v/>
      </c>
      <c r="AO301">
        <f>IF(J300&lt;=0,0,ROUND(J300*(1+IF(AND(J$6&gt;0,$B301&lt;J$6),J$4,J$5)/12),2))</f>
        <v/>
      </c>
      <c r="AP301">
        <f>IF(K300&lt;=0,0,ROUND(K300*(1+IF(AND(K$6&gt;0,$B301&lt;K$6),K$4,K$5)/12),2))</f>
        <v/>
      </c>
      <c r="AQ301">
        <f>IF(L300&lt;=0,0,ROUND(L300*(1+IF(AND(L$6&gt;0,$B301&lt;L$6),L$4,L$5)/12),2))</f>
        <v/>
      </c>
      <c r="AR301">
        <f>IF(M300&lt;=0,0,ROUND(M300*(1+IF(AND(M$6&gt;0,$B301&lt;M$6),M$4,M$5)/12),2))</f>
        <v/>
      </c>
      <c r="AS301">
        <f>IF(N300&lt;=0,0,ROUND(N300*(1+IF(AND(N$6&gt;0,$B301&lt;N$6),N$4,N$5)/12),2))</f>
        <v/>
      </c>
    </row>
    <row r="302">
      <c r="A302" t="n">
        <v>291</v>
      </c>
      <c r="B302">
        <f>EDATE(Plan!$C$6,290)</f>
        <v/>
      </c>
      <c r="C302">
        <f>IF(C301&lt;=0,0,MAX(0,AH302-O302))</f>
        <v/>
      </c>
      <c r="D302">
        <f>IF(D301&lt;=0,0,MAX(0,AI302-P302))</f>
        <v/>
      </c>
      <c r="E302">
        <f>IF(E301&lt;=0,0,MAX(0,AJ302-Q302))</f>
        <v/>
      </c>
      <c r="F302">
        <f>IF(F301&lt;=0,0,MAX(0,AK302-R302))</f>
        <v/>
      </c>
      <c r="G302">
        <f>IF(G301&lt;=0,0,MAX(0,AL302-S302))</f>
        <v/>
      </c>
      <c r="H302">
        <f>IF(H301&lt;=0,0,MAX(0,AM302-T302))</f>
        <v/>
      </c>
      <c r="I302">
        <f>IF(I301&lt;=0,0,MAX(0,AN302-U302))</f>
        <v/>
      </c>
      <c r="J302">
        <f>IF(J301&lt;=0,0,MAX(0,AO302-V302))</f>
        <v/>
      </c>
      <c r="K302">
        <f>IF(K301&lt;=0,0,MAX(0,AP302-W302))</f>
        <v/>
      </c>
      <c r="L302">
        <f>IF(L301&lt;=0,0,MAX(0,AQ302-X302))</f>
        <v/>
      </c>
      <c r="M302">
        <f>IF(M301&lt;=0,0,MAX(0,AR302-Y302))</f>
        <v/>
      </c>
      <c r="N302">
        <f>IF(N301&lt;=0,0,MAX(0,AS302-Z302))</f>
        <v/>
      </c>
      <c r="O302">
        <f>IF(C301&lt;=0,0,MIN(AH302,C$7+IF(C$2=$AA302,$AC302,IF(C$2=$AF302,$AG302,0))))</f>
        <v/>
      </c>
      <c r="P302">
        <f>IF(D301&lt;=0,0,MIN(AI302,D$7+IF(D$2=$AA302,$AC302,IF(D$2=$AF302,$AG302,0))))</f>
        <v/>
      </c>
      <c r="Q302">
        <f>IF(E301&lt;=0,0,MIN(AJ302,E$7+IF(E$2=$AA302,$AC302,IF(E$2=$AF302,$AG302,0))))</f>
        <v/>
      </c>
      <c r="R302">
        <f>IF(F301&lt;=0,0,MIN(AK302,F$7+IF(F$2=$AA302,$AC302,IF(F$2=$AF302,$AG302,0))))</f>
        <v/>
      </c>
      <c r="S302">
        <f>IF(G301&lt;=0,0,MIN(AL302,G$7+IF(G$2=$AA302,$AC302,IF(G$2=$AF302,$AG302,0))))</f>
        <v/>
      </c>
      <c r="T302">
        <f>IF(H301&lt;=0,0,MIN(AM302,H$7+IF(H$2=$AA302,$AC302,IF(H$2=$AF302,$AG302,0))))</f>
        <v/>
      </c>
      <c r="U302">
        <f>IF(I301&lt;=0,0,MIN(AN302,I$7+IF(I$2=$AA302,$AC302,IF(I$2=$AF302,$AG302,0))))</f>
        <v/>
      </c>
      <c r="V302">
        <f>IF(J301&lt;=0,0,MIN(AO302,J$7+IF(J$2=$AA302,$AC302,IF(J$2=$AF302,$AG302,0))))</f>
        <v/>
      </c>
      <c r="W302">
        <f>IF(K301&lt;=0,0,MIN(AP302,K$7+IF(K$2=$AA302,$AC302,IF(K$2=$AF302,$AG302,0))))</f>
        <v/>
      </c>
      <c r="X302">
        <f>IF(L301&lt;=0,0,MIN(AQ302,L$7+IF(L$2=$AA302,$AC302,IF(L$2=$AF302,$AG302,0))))</f>
        <v/>
      </c>
      <c r="Y302">
        <f>IF(M301&lt;=0,0,MIN(AR302,M$7+IF(M$2=$AA302,$AC302,IF(M$2=$AF302,$AG302,0))))</f>
        <v/>
      </c>
      <c r="Z302">
        <f>IF(N301&lt;=0,0,MIN(AS302,N$7+IF(N$2=$AA302,$AC302,IF(N$2=$AF302,$AG302,0))))</f>
        <v/>
      </c>
      <c r="AA302">
        <f>IFERROR(ROUND(1/SUMPRODUCT(MAX((C301:N301&gt;0)*($C$3:$N$3&lt;=B302)/$C$2:$N$2)),0),0)</f>
        <v/>
      </c>
      <c r="AB302">
        <f>SUMPRODUCT((C301:N301&gt;0)*$C$7:$N$7)</f>
        <v/>
      </c>
      <c r="AC302">
        <f>MAX(0,Plan!$C$5-AB302)+IF(A302=Plan!$C$8,N(Plan!$C$7),0)</f>
        <v/>
      </c>
      <c r="AD302">
        <f>SUM(C302:N302)</f>
        <v/>
      </c>
      <c r="AE302">
        <f>SUM(O302:Z302)</f>
        <v/>
      </c>
      <c r="AF302">
        <f>IFERROR(ROUND(1/SUMPRODUCT(MAX((C301:N301&gt;0)*($C$3:$N$3&lt;=B302)*($C$2:$N$2&gt;AA302)/$C$2:$N$2)),0),0)</f>
        <v/>
      </c>
      <c r="AG302">
        <f>MAX(0,AC302-MAX(0,SUMPRODUCT(($C$2:$N$2=AA302)*(AH302:AS302-$C$7:$N$7))))</f>
        <v/>
      </c>
      <c r="AH302">
        <f>IF(C301&lt;=0,0,ROUND(C301*(1+IF(AND(C$6&gt;0,$B302&lt;C$6),C$4,C$5)/12),2))</f>
        <v/>
      </c>
      <c r="AI302">
        <f>IF(D301&lt;=0,0,ROUND(D301*(1+IF(AND(D$6&gt;0,$B302&lt;D$6),D$4,D$5)/12),2))</f>
        <v/>
      </c>
      <c r="AJ302">
        <f>IF(E301&lt;=0,0,ROUND(E301*(1+IF(AND(E$6&gt;0,$B302&lt;E$6),E$4,E$5)/12),2))</f>
        <v/>
      </c>
      <c r="AK302">
        <f>IF(F301&lt;=0,0,ROUND(F301*(1+IF(AND(F$6&gt;0,$B302&lt;F$6),F$4,F$5)/12),2))</f>
        <v/>
      </c>
      <c r="AL302">
        <f>IF(G301&lt;=0,0,ROUND(G301*(1+IF(AND(G$6&gt;0,$B302&lt;G$6),G$4,G$5)/12),2))</f>
        <v/>
      </c>
      <c r="AM302">
        <f>IF(H301&lt;=0,0,ROUND(H301*(1+IF(AND(H$6&gt;0,$B302&lt;H$6),H$4,H$5)/12),2))</f>
        <v/>
      </c>
      <c r="AN302">
        <f>IF(I301&lt;=0,0,ROUND(I301*(1+IF(AND(I$6&gt;0,$B302&lt;I$6),I$4,I$5)/12),2))</f>
        <v/>
      </c>
      <c r="AO302">
        <f>IF(J301&lt;=0,0,ROUND(J301*(1+IF(AND(J$6&gt;0,$B302&lt;J$6),J$4,J$5)/12),2))</f>
        <v/>
      </c>
      <c r="AP302">
        <f>IF(K301&lt;=0,0,ROUND(K301*(1+IF(AND(K$6&gt;0,$B302&lt;K$6),K$4,K$5)/12),2))</f>
        <v/>
      </c>
      <c r="AQ302">
        <f>IF(L301&lt;=0,0,ROUND(L301*(1+IF(AND(L$6&gt;0,$B302&lt;L$6),L$4,L$5)/12),2))</f>
        <v/>
      </c>
      <c r="AR302">
        <f>IF(M301&lt;=0,0,ROUND(M301*(1+IF(AND(M$6&gt;0,$B302&lt;M$6),M$4,M$5)/12),2))</f>
        <v/>
      </c>
      <c r="AS302">
        <f>IF(N301&lt;=0,0,ROUND(N301*(1+IF(AND(N$6&gt;0,$B302&lt;N$6),N$4,N$5)/12),2))</f>
        <v/>
      </c>
    </row>
    <row r="303">
      <c r="A303" t="n">
        <v>292</v>
      </c>
      <c r="B303">
        <f>EDATE(Plan!$C$6,291)</f>
        <v/>
      </c>
      <c r="C303">
        <f>IF(C302&lt;=0,0,MAX(0,AH303-O303))</f>
        <v/>
      </c>
      <c r="D303">
        <f>IF(D302&lt;=0,0,MAX(0,AI303-P303))</f>
        <v/>
      </c>
      <c r="E303">
        <f>IF(E302&lt;=0,0,MAX(0,AJ303-Q303))</f>
        <v/>
      </c>
      <c r="F303">
        <f>IF(F302&lt;=0,0,MAX(0,AK303-R303))</f>
        <v/>
      </c>
      <c r="G303">
        <f>IF(G302&lt;=0,0,MAX(0,AL303-S303))</f>
        <v/>
      </c>
      <c r="H303">
        <f>IF(H302&lt;=0,0,MAX(0,AM303-T303))</f>
        <v/>
      </c>
      <c r="I303">
        <f>IF(I302&lt;=0,0,MAX(0,AN303-U303))</f>
        <v/>
      </c>
      <c r="J303">
        <f>IF(J302&lt;=0,0,MAX(0,AO303-V303))</f>
        <v/>
      </c>
      <c r="K303">
        <f>IF(K302&lt;=0,0,MAX(0,AP303-W303))</f>
        <v/>
      </c>
      <c r="L303">
        <f>IF(L302&lt;=0,0,MAX(0,AQ303-X303))</f>
        <v/>
      </c>
      <c r="M303">
        <f>IF(M302&lt;=0,0,MAX(0,AR303-Y303))</f>
        <v/>
      </c>
      <c r="N303">
        <f>IF(N302&lt;=0,0,MAX(0,AS303-Z303))</f>
        <v/>
      </c>
      <c r="O303">
        <f>IF(C302&lt;=0,0,MIN(AH303,C$7+IF(C$2=$AA303,$AC303,IF(C$2=$AF303,$AG303,0))))</f>
        <v/>
      </c>
      <c r="P303">
        <f>IF(D302&lt;=0,0,MIN(AI303,D$7+IF(D$2=$AA303,$AC303,IF(D$2=$AF303,$AG303,0))))</f>
        <v/>
      </c>
      <c r="Q303">
        <f>IF(E302&lt;=0,0,MIN(AJ303,E$7+IF(E$2=$AA303,$AC303,IF(E$2=$AF303,$AG303,0))))</f>
        <v/>
      </c>
      <c r="R303">
        <f>IF(F302&lt;=0,0,MIN(AK303,F$7+IF(F$2=$AA303,$AC303,IF(F$2=$AF303,$AG303,0))))</f>
        <v/>
      </c>
      <c r="S303">
        <f>IF(G302&lt;=0,0,MIN(AL303,G$7+IF(G$2=$AA303,$AC303,IF(G$2=$AF303,$AG303,0))))</f>
        <v/>
      </c>
      <c r="T303">
        <f>IF(H302&lt;=0,0,MIN(AM303,H$7+IF(H$2=$AA303,$AC303,IF(H$2=$AF303,$AG303,0))))</f>
        <v/>
      </c>
      <c r="U303">
        <f>IF(I302&lt;=0,0,MIN(AN303,I$7+IF(I$2=$AA303,$AC303,IF(I$2=$AF303,$AG303,0))))</f>
        <v/>
      </c>
      <c r="V303">
        <f>IF(J302&lt;=0,0,MIN(AO303,J$7+IF(J$2=$AA303,$AC303,IF(J$2=$AF303,$AG303,0))))</f>
        <v/>
      </c>
      <c r="W303">
        <f>IF(K302&lt;=0,0,MIN(AP303,K$7+IF(K$2=$AA303,$AC303,IF(K$2=$AF303,$AG303,0))))</f>
        <v/>
      </c>
      <c r="X303">
        <f>IF(L302&lt;=0,0,MIN(AQ303,L$7+IF(L$2=$AA303,$AC303,IF(L$2=$AF303,$AG303,0))))</f>
        <v/>
      </c>
      <c r="Y303">
        <f>IF(M302&lt;=0,0,MIN(AR303,M$7+IF(M$2=$AA303,$AC303,IF(M$2=$AF303,$AG303,0))))</f>
        <v/>
      </c>
      <c r="Z303">
        <f>IF(N302&lt;=0,0,MIN(AS303,N$7+IF(N$2=$AA303,$AC303,IF(N$2=$AF303,$AG303,0))))</f>
        <v/>
      </c>
      <c r="AA303">
        <f>IFERROR(ROUND(1/SUMPRODUCT(MAX((C302:N302&gt;0)*($C$3:$N$3&lt;=B303)/$C$2:$N$2)),0),0)</f>
        <v/>
      </c>
      <c r="AB303">
        <f>SUMPRODUCT((C302:N302&gt;0)*$C$7:$N$7)</f>
        <v/>
      </c>
      <c r="AC303">
        <f>MAX(0,Plan!$C$5-AB303)+IF(A303=Plan!$C$8,N(Plan!$C$7),0)</f>
        <v/>
      </c>
      <c r="AD303">
        <f>SUM(C303:N303)</f>
        <v/>
      </c>
      <c r="AE303">
        <f>SUM(O303:Z303)</f>
        <v/>
      </c>
      <c r="AF303">
        <f>IFERROR(ROUND(1/SUMPRODUCT(MAX((C302:N302&gt;0)*($C$3:$N$3&lt;=B303)*($C$2:$N$2&gt;AA303)/$C$2:$N$2)),0),0)</f>
        <v/>
      </c>
      <c r="AG303">
        <f>MAX(0,AC303-MAX(0,SUMPRODUCT(($C$2:$N$2=AA303)*(AH303:AS303-$C$7:$N$7))))</f>
        <v/>
      </c>
      <c r="AH303">
        <f>IF(C302&lt;=0,0,ROUND(C302*(1+IF(AND(C$6&gt;0,$B303&lt;C$6),C$4,C$5)/12),2))</f>
        <v/>
      </c>
      <c r="AI303">
        <f>IF(D302&lt;=0,0,ROUND(D302*(1+IF(AND(D$6&gt;0,$B303&lt;D$6),D$4,D$5)/12),2))</f>
        <v/>
      </c>
      <c r="AJ303">
        <f>IF(E302&lt;=0,0,ROUND(E302*(1+IF(AND(E$6&gt;0,$B303&lt;E$6),E$4,E$5)/12),2))</f>
        <v/>
      </c>
      <c r="AK303">
        <f>IF(F302&lt;=0,0,ROUND(F302*(1+IF(AND(F$6&gt;0,$B303&lt;F$6),F$4,F$5)/12),2))</f>
        <v/>
      </c>
      <c r="AL303">
        <f>IF(G302&lt;=0,0,ROUND(G302*(1+IF(AND(G$6&gt;0,$B303&lt;G$6),G$4,G$5)/12),2))</f>
        <v/>
      </c>
      <c r="AM303">
        <f>IF(H302&lt;=0,0,ROUND(H302*(1+IF(AND(H$6&gt;0,$B303&lt;H$6),H$4,H$5)/12),2))</f>
        <v/>
      </c>
      <c r="AN303">
        <f>IF(I302&lt;=0,0,ROUND(I302*(1+IF(AND(I$6&gt;0,$B303&lt;I$6),I$4,I$5)/12),2))</f>
        <v/>
      </c>
      <c r="AO303">
        <f>IF(J302&lt;=0,0,ROUND(J302*(1+IF(AND(J$6&gt;0,$B303&lt;J$6),J$4,J$5)/12),2))</f>
        <v/>
      </c>
      <c r="AP303">
        <f>IF(K302&lt;=0,0,ROUND(K302*(1+IF(AND(K$6&gt;0,$B303&lt;K$6),K$4,K$5)/12),2))</f>
        <v/>
      </c>
      <c r="AQ303">
        <f>IF(L302&lt;=0,0,ROUND(L302*(1+IF(AND(L$6&gt;0,$B303&lt;L$6),L$4,L$5)/12),2))</f>
        <v/>
      </c>
      <c r="AR303">
        <f>IF(M302&lt;=0,0,ROUND(M302*(1+IF(AND(M$6&gt;0,$B303&lt;M$6),M$4,M$5)/12),2))</f>
        <v/>
      </c>
      <c r="AS303">
        <f>IF(N302&lt;=0,0,ROUND(N302*(1+IF(AND(N$6&gt;0,$B303&lt;N$6),N$4,N$5)/12),2))</f>
        <v/>
      </c>
    </row>
    <row r="304">
      <c r="A304" t="n">
        <v>293</v>
      </c>
      <c r="B304">
        <f>EDATE(Plan!$C$6,292)</f>
        <v/>
      </c>
      <c r="C304">
        <f>IF(C303&lt;=0,0,MAX(0,AH304-O304))</f>
        <v/>
      </c>
      <c r="D304">
        <f>IF(D303&lt;=0,0,MAX(0,AI304-P304))</f>
        <v/>
      </c>
      <c r="E304">
        <f>IF(E303&lt;=0,0,MAX(0,AJ304-Q304))</f>
        <v/>
      </c>
      <c r="F304">
        <f>IF(F303&lt;=0,0,MAX(0,AK304-R304))</f>
        <v/>
      </c>
      <c r="G304">
        <f>IF(G303&lt;=0,0,MAX(0,AL304-S304))</f>
        <v/>
      </c>
      <c r="H304">
        <f>IF(H303&lt;=0,0,MAX(0,AM304-T304))</f>
        <v/>
      </c>
      <c r="I304">
        <f>IF(I303&lt;=0,0,MAX(0,AN304-U304))</f>
        <v/>
      </c>
      <c r="J304">
        <f>IF(J303&lt;=0,0,MAX(0,AO304-V304))</f>
        <v/>
      </c>
      <c r="K304">
        <f>IF(K303&lt;=0,0,MAX(0,AP304-W304))</f>
        <v/>
      </c>
      <c r="L304">
        <f>IF(L303&lt;=0,0,MAX(0,AQ304-X304))</f>
        <v/>
      </c>
      <c r="M304">
        <f>IF(M303&lt;=0,0,MAX(0,AR304-Y304))</f>
        <v/>
      </c>
      <c r="N304">
        <f>IF(N303&lt;=0,0,MAX(0,AS304-Z304))</f>
        <v/>
      </c>
      <c r="O304">
        <f>IF(C303&lt;=0,0,MIN(AH304,C$7+IF(C$2=$AA304,$AC304,IF(C$2=$AF304,$AG304,0))))</f>
        <v/>
      </c>
      <c r="P304">
        <f>IF(D303&lt;=0,0,MIN(AI304,D$7+IF(D$2=$AA304,$AC304,IF(D$2=$AF304,$AG304,0))))</f>
        <v/>
      </c>
      <c r="Q304">
        <f>IF(E303&lt;=0,0,MIN(AJ304,E$7+IF(E$2=$AA304,$AC304,IF(E$2=$AF304,$AG304,0))))</f>
        <v/>
      </c>
      <c r="R304">
        <f>IF(F303&lt;=0,0,MIN(AK304,F$7+IF(F$2=$AA304,$AC304,IF(F$2=$AF304,$AG304,0))))</f>
        <v/>
      </c>
      <c r="S304">
        <f>IF(G303&lt;=0,0,MIN(AL304,G$7+IF(G$2=$AA304,$AC304,IF(G$2=$AF304,$AG304,0))))</f>
        <v/>
      </c>
      <c r="T304">
        <f>IF(H303&lt;=0,0,MIN(AM304,H$7+IF(H$2=$AA304,$AC304,IF(H$2=$AF304,$AG304,0))))</f>
        <v/>
      </c>
      <c r="U304">
        <f>IF(I303&lt;=0,0,MIN(AN304,I$7+IF(I$2=$AA304,$AC304,IF(I$2=$AF304,$AG304,0))))</f>
        <v/>
      </c>
      <c r="V304">
        <f>IF(J303&lt;=0,0,MIN(AO304,J$7+IF(J$2=$AA304,$AC304,IF(J$2=$AF304,$AG304,0))))</f>
        <v/>
      </c>
      <c r="W304">
        <f>IF(K303&lt;=0,0,MIN(AP304,K$7+IF(K$2=$AA304,$AC304,IF(K$2=$AF304,$AG304,0))))</f>
        <v/>
      </c>
      <c r="X304">
        <f>IF(L303&lt;=0,0,MIN(AQ304,L$7+IF(L$2=$AA304,$AC304,IF(L$2=$AF304,$AG304,0))))</f>
        <v/>
      </c>
      <c r="Y304">
        <f>IF(M303&lt;=0,0,MIN(AR304,M$7+IF(M$2=$AA304,$AC304,IF(M$2=$AF304,$AG304,0))))</f>
        <v/>
      </c>
      <c r="Z304">
        <f>IF(N303&lt;=0,0,MIN(AS304,N$7+IF(N$2=$AA304,$AC304,IF(N$2=$AF304,$AG304,0))))</f>
        <v/>
      </c>
      <c r="AA304">
        <f>IFERROR(ROUND(1/SUMPRODUCT(MAX((C303:N303&gt;0)*($C$3:$N$3&lt;=B304)/$C$2:$N$2)),0),0)</f>
        <v/>
      </c>
      <c r="AB304">
        <f>SUMPRODUCT((C303:N303&gt;0)*$C$7:$N$7)</f>
        <v/>
      </c>
      <c r="AC304">
        <f>MAX(0,Plan!$C$5-AB304)+IF(A304=Plan!$C$8,N(Plan!$C$7),0)</f>
        <v/>
      </c>
      <c r="AD304">
        <f>SUM(C304:N304)</f>
        <v/>
      </c>
      <c r="AE304">
        <f>SUM(O304:Z304)</f>
        <v/>
      </c>
      <c r="AF304">
        <f>IFERROR(ROUND(1/SUMPRODUCT(MAX((C303:N303&gt;0)*($C$3:$N$3&lt;=B304)*($C$2:$N$2&gt;AA304)/$C$2:$N$2)),0),0)</f>
        <v/>
      </c>
      <c r="AG304">
        <f>MAX(0,AC304-MAX(0,SUMPRODUCT(($C$2:$N$2=AA304)*(AH304:AS304-$C$7:$N$7))))</f>
        <v/>
      </c>
      <c r="AH304">
        <f>IF(C303&lt;=0,0,ROUND(C303*(1+IF(AND(C$6&gt;0,$B304&lt;C$6),C$4,C$5)/12),2))</f>
        <v/>
      </c>
      <c r="AI304">
        <f>IF(D303&lt;=0,0,ROUND(D303*(1+IF(AND(D$6&gt;0,$B304&lt;D$6),D$4,D$5)/12),2))</f>
        <v/>
      </c>
      <c r="AJ304">
        <f>IF(E303&lt;=0,0,ROUND(E303*(1+IF(AND(E$6&gt;0,$B304&lt;E$6),E$4,E$5)/12),2))</f>
        <v/>
      </c>
      <c r="AK304">
        <f>IF(F303&lt;=0,0,ROUND(F303*(1+IF(AND(F$6&gt;0,$B304&lt;F$6),F$4,F$5)/12),2))</f>
        <v/>
      </c>
      <c r="AL304">
        <f>IF(G303&lt;=0,0,ROUND(G303*(1+IF(AND(G$6&gt;0,$B304&lt;G$6),G$4,G$5)/12),2))</f>
        <v/>
      </c>
      <c r="AM304">
        <f>IF(H303&lt;=0,0,ROUND(H303*(1+IF(AND(H$6&gt;0,$B304&lt;H$6),H$4,H$5)/12),2))</f>
        <v/>
      </c>
      <c r="AN304">
        <f>IF(I303&lt;=0,0,ROUND(I303*(1+IF(AND(I$6&gt;0,$B304&lt;I$6),I$4,I$5)/12),2))</f>
        <v/>
      </c>
      <c r="AO304">
        <f>IF(J303&lt;=0,0,ROUND(J303*(1+IF(AND(J$6&gt;0,$B304&lt;J$6),J$4,J$5)/12),2))</f>
        <v/>
      </c>
      <c r="AP304">
        <f>IF(K303&lt;=0,0,ROUND(K303*(1+IF(AND(K$6&gt;0,$B304&lt;K$6),K$4,K$5)/12),2))</f>
        <v/>
      </c>
      <c r="AQ304">
        <f>IF(L303&lt;=0,0,ROUND(L303*(1+IF(AND(L$6&gt;0,$B304&lt;L$6),L$4,L$5)/12),2))</f>
        <v/>
      </c>
      <c r="AR304">
        <f>IF(M303&lt;=0,0,ROUND(M303*(1+IF(AND(M$6&gt;0,$B304&lt;M$6),M$4,M$5)/12),2))</f>
        <v/>
      </c>
      <c r="AS304">
        <f>IF(N303&lt;=0,0,ROUND(N303*(1+IF(AND(N$6&gt;0,$B304&lt;N$6),N$4,N$5)/12),2))</f>
        <v/>
      </c>
    </row>
    <row r="305">
      <c r="A305" t="n">
        <v>294</v>
      </c>
      <c r="B305">
        <f>EDATE(Plan!$C$6,293)</f>
        <v/>
      </c>
      <c r="C305">
        <f>IF(C304&lt;=0,0,MAX(0,AH305-O305))</f>
        <v/>
      </c>
      <c r="D305">
        <f>IF(D304&lt;=0,0,MAX(0,AI305-P305))</f>
        <v/>
      </c>
      <c r="E305">
        <f>IF(E304&lt;=0,0,MAX(0,AJ305-Q305))</f>
        <v/>
      </c>
      <c r="F305">
        <f>IF(F304&lt;=0,0,MAX(0,AK305-R305))</f>
        <v/>
      </c>
      <c r="G305">
        <f>IF(G304&lt;=0,0,MAX(0,AL305-S305))</f>
        <v/>
      </c>
      <c r="H305">
        <f>IF(H304&lt;=0,0,MAX(0,AM305-T305))</f>
        <v/>
      </c>
      <c r="I305">
        <f>IF(I304&lt;=0,0,MAX(0,AN305-U305))</f>
        <v/>
      </c>
      <c r="J305">
        <f>IF(J304&lt;=0,0,MAX(0,AO305-V305))</f>
        <v/>
      </c>
      <c r="K305">
        <f>IF(K304&lt;=0,0,MAX(0,AP305-W305))</f>
        <v/>
      </c>
      <c r="L305">
        <f>IF(L304&lt;=0,0,MAX(0,AQ305-X305))</f>
        <v/>
      </c>
      <c r="M305">
        <f>IF(M304&lt;=0,0,MAX(0,AR305-Y305))</f>
        <v/>
      </c>
      <c r="N305">
        <f>IF(N304&lt;=0,0,MAX(0,AS305-Z305))</f>
        <v/>
      </c>
      <c r="O305">
        <f>IF(C304&lt;=0,0,MIN(AH305,C$7+IF(C$2=$AA305,$AC305,IF(C$2=$AF305,$AG305,0))))</f>
        <v/>
      </c>
      <c r="P305">
        <f>IF(D304&lt;=0,0,MIN(AI305,D$7+IF(D$2=$AA305,$AC305,IF(D$2=$AF305,$AG305,0))))</f>
        <v/>
      </c>
      <c r="Q305">
        <f>IF(E304&lt;=0,0,MIN(AJ305,E$7+IF(E$2=$AA305,$AC305,IF(E$2=$AF305,$AG305,0))))</f>
        <v/>
      </c>
      <c r="R305">
        <f>IF(F304&lt;=0,0,MIN(AK305,F$7+IF(F$2=$AA305,$AC305,IF(F$2=$AF305,$AG305,0))))</f>
        <v/>
      </c>
      <c r="S305">
        <f>IF(G304&lt;=0,0,MIN(AL305,G$7+IF(G$2=$AA305,$AC305,IF(G$2=$AF305,$AG305,0))))</f>
        <v/>
      </c>
      <c r="T305">
        <f>IF(H304&lt;=0,0,MIN(AM305,H$7+IF(H$2=$AA305,$AC305,IF(H$2=$AF305,$AG305,0))))</f>
        <v/>
      </c>
      <c r="U305">
        <f>IF(I304&lt;=0,0,MIN(AN305,I$7+IF(I$2=$AA305,$AC305,IF(I$2=$AF305,$AG305,0))))</f>
        <v/>
      </c>
      <c r="V305">
        <f>IF(J304&lt;=0,0,MIN(AO305,J$7+IF(J$2=$AA305,$AC305,IF(J$2=$AF305,$AG305,0))))</f>
        <v/>
      </c>
      <c r="W305">
        <f>IF(K304&lt;=0,0,MIN(AP305,K$7+IF(K$2=$AA305,$AC305,IF(K$2=$AF305,$AG305,0))))</f>
        <v/>
      </c>
      <c r="X305">
        <f>IF(L304&lt;=0,0,MIN(AQ305,L$7+IF(L$2=$AA305,$AC305,IF(L$2=$AF305,$AG305,0))))</f>
        <v/>
      </c>
      <c r="Y305">
        <f>IF(M304&lt;=0,0,MIN(AR305,M$7+IF(M$2=$AA305,$AC305,IF(M$2=$AF305,$AG305,0))))</f>
        <v/>
      </c>
      <c r="Z305">
        <f>IF(N304&lt;=0,0,MIN(AS305,N$7+IF(N$2=$AA305,$AC305,IF(N$2=$AF305,$AG305,0))))</f>
        <v/>
      </c>
      <c r="AA305">
        <f>IFERROR(ROUND(1/SUMPRODUCT(MAX((C304:N304&gt;0)*($C$3:$N$3&lt;=B305)/$C$2:$N$2)),0),0)</f>
        <v/>
      </c>
      <c r="AB305">
        <f>SUMPRODUCT((C304:N304&gt;0)*$C$7:$N$7)</f>
        <v/>
      </c>
      <c r="AC305">
        <f>MAX(0,Plan!$C$5-AB305)+IF(A305=Plan!$C$8,N(Plan!$C$7),0)</f>
        <v/>
      </c>
      <c r="AD305">
        <f>SUM(C305:N305)</f>
        <v/>
      </c>
      <c r="AE305">
        <f>SUM(O305:Z305)</f>
        <v/>
      </c>
      <c r="AF305">
        <f>IFERROR(ROUND(1/SUMPRODUCT(MAX((C304:N304&gt;0)*($C$3:$N$3&lt;=B305)*($C$2:$N$2&gt;AA305)/$C$2:$N$2)),0),0)</f>
        <v/>
      </c>
      <c r="AG305">
        <f>MAX(0,AC305-MAX(0,SUMPRODUCT(($C$2:$N$2=AA305)*(AH305:AS305-$C$7:$N$7))))</f>
        <v/>
      </c>
      <c r="AH305">
        <f>IF(C304&lt;=0,0,ROUND(C304*(1+IF(AND(C$6&gt;0,$B305&lt;C$6),C$4,C$5)/12),2))</f>
        <v/>
      </c>
      <c r="AI305">
        <f>IF(D304&lt;=0,0,ROUND(D304*(1+IF(AND(D$6&gt;0,$B305&lt;D$6),D$4,D$5)/12),2))</f>
        <v/>
      </c>
      <c r="AJ305">
        <f>IF(E304&lt;=0,0,ROUND(E304*(1+IF(AND(E$6&gt;0,$B305&lt;E$6),E$4,E$5)/12),2))</f>
        <v/>
      </c>
      <c r="AK305">
        <f>IF(F304&lt;=0,0,ROUND(F304*(1+IF(AND(F$6&gt;0,$B305&lt;F$6),F$4,F$5)/12),2))</f>
        <v/>
      </c>
      <c r="AL305">
        <f>IF(G304&lt;=0,0,ROUND(G304*(1+IF(AND(G$6&gt;0,$B305&lt;G$6),G$4,G$5)/12),2))</f>
        <v/>
      </c>
      <c r="AM305">
        <f>IF(H304&lt;=0,0,ROUND(H304*(1+IF(AND(H$6&gt;0,$B305&lt;H$6),H$4,H$5)/12),2))</f>
        <v/>
      </c>
      <c r="AN305">
        <f>IF(I304&lt;=0,0,ROUND(I304*(1+IF(AND(I$6&gt;0,$B305&lt;I$6),I$4,I$5)/12),2))</f>
        <v/>
      </c>
      <c r="AO305">
        <f>IF(J304&lt;=0,0,ROUND(J304*(1+IF(AND(J$6&gt;0,$B305&lt;J$6),J$4,J$5)/12),2))</f>
        <v/>
      </c>
      <c r="AP305">
        <f>IF(K304&lt;=0,0,ROUND(K304*(1+IF(AND(K$6&gt;0,$B305&lt;K$6),K$4,K$5)/12),2))</f>
        <v/>
      </c>
      <c r="AQ305">
        <f>IF(L304&lt;=0,0,ROUND(L304*(1+IF(AND(L$6&gt;0,$B305&lt;L$6),L$4,L$5)/12),2))</f>
        <v/>
      </c>
      <c r="AR305">
        <f>IF(M304&lt;=0,0,ROUND(M304*(1+IF(AND(M$6&gt;0,$B305&lt;M$6),M$4,M$5)/12),2))</f>
        <v/>
      </c>
      <c r="AS305">
        <f>IF(N304&lt;=0,0,ROUND(N304*(1+IF(AND(N$6&gt;0,$B305&lt;N$6),N$4,N$5)/12),2))</f>
        <v/>
      </c>
    </row>
    <row r="306">
      <c r="A306" t="n">
        <v>295</v>
      </c>
      <c r="B306">
        <f>EDATE(Plan!$C$6,294)</f>
        <v/>
      </c>
      <c r="C306">
        <f>IF(C305&lt;=0,0,MAX(0,AH306-O306))</f>
        <v/>
      </c>
      <c r="D306">
        <f>IF(D305&lt;=0,0,MAX(0,AI306-P306))</f>
        <v/>
      </c>
      <c r="E306">
        <f>IF(E305&lt;=0,0,MAX(0,AJ306-Q306))</f>
        <v/>
      </c>
      <c r="F306">
        <f>IF(F305&lt;=0,0,MAX(0,AK306-R306))</f>
        <v/>
      </c>
      <c r="G306">
        <f>IF(G305&lt;=0,0,MAX(0,AL306-S306))</f>
        <v/>
      </c>
      <c r="H306">
        <f>IF(H305&lt;=0,0,MAX(0,AM306-T306))</f>
        <v/>
      </c>
      <c r="I306">
        <f>IF(I305&lt;=0,0,MAX(0,AN306-U306))</f>
        <v/>
      </c>
      <c r="J306">
        <f>IF(J305&lt;=0,0,MAX(0,AO306-V306))</f>
        <v/>
      </c>
      <c r="K306">
        <f>IF(K305&lt;=0,0,MAX(0,AP306-W306))</f>
        <v/>
      </c>
      <c r="L306">
        <f>IF(L305&lt;=0,0,MAX(0,AQ306-X306))</f>
        <v/>
      </c>
      <c r="M306">
        <f>IF(M305&lt;=0,0,MAX(0,AR306-Y306))</f>
        <v/>
      </c>
      <c r="N306">
        <f>IF(N305&lt;=0,0,MAX(0,AS306-Z306))</f>
        <v/>
      </c>
      <c r="O306">
        <f>IF(C305&lt;=0,0,MIN(AH306,C$7+IF(C$2=$AA306,$AC306,IF(C$2=$AF306,$AG306,0))))</f>
        <v/>
      </c>
      <c r="P306">
        <f>IF(D305&lt;=0,0,MIN(AI306,D$7+IF(D$2=$AA306,$AC306,IF(D$2=$AF306,$AG306,0))))</f>
        <v/>
      </c>
      <c r="Q306">
        <f>IF(E305&lt;=0,0,MIN(AJ306,E$7+IF(E$2=$AA306,$AC306,IF(E$2=$AF306,$AG306,0))))</f>
        <v/>
      </c>
      <c r="R306">
        <f>IF(F305&lt;=0,0,MIN(AK306,F$7+IF(F$2=$AA306,$AC306,IF(F$2=$AF306,$AG306,0))))</f>
        <v/>
      </c>
      <c r="S306">
        <f>IF(G305&lt;=0,0,MIN(AL306,G$7+IF(G$2=$AA306,$AC306,IF(G$2=$AF306,$AG306,0))))</f>
        <v/>
      </c>
      <c r="T306">
        <f>IF(H305&lt;=0,0,MIN(AM306,H$7+IF(H$2=$AA306,$AC306,IF(H$2=$AF306,$AG306,0))))</f>
        <v/>
      </c>
      <c r="U306">
        <f>IF(I305&lt;=0,0,MIN(AN306,I$7+IF(I$2=$AA306,$AC306,IF(I$2=$AF306,$AG306,0))))</f>
        <v/>
      </c>
      <c r="V306">
        <f>IF(J305&lt;=0,0,MIN(AO306,J$7+IF(J$2=$AA306,$AC306,IF(J$2=$AF306,$AG306,0))))</f>
        <v/>
      </c>
      <c r="W306">
        <f>IF(K305&lt;=0,0,MIN(AP306,K$7+IF(K$2=$AA306,$AC306,IF(K$2=$AF306,$AG306,0))))</f>
        <v/>
      </c>
      <c r="X306">
        <f>IF(L305&lt;=0,0,MIN(AQ306,L$7+IF(L$2=$AA306,$AC306,IF(L$2=$AF306,$AG306,0))))</f>
        <v/>
      </c>
      <c r="Y306">
        <f>IF(M305&lt;=0,0,MIN(AR306,M$7+IF(M$2=$AA306,$AC306,IF(M$2=$AF306,$AG306,0))))</f>
        <v/>
      </c>
      <c r="Z306">
        <f>IF(N305&lt;=0,0,MIN(AS306,N$7+IF(N$2=$AA306,$AC306,IF(N$2=$AF306,$AG306,0))))</f>
        <v/>
      </c>
      <c r="AA306">
        <f>IFERROR(ROUND(1/SUMPRODUCT(MAX((C305:N305&gt;0)*($C$3:$N$3&lt;=B306)/$C$2:$N$2)),0),0)</f>
        <v/>
      </c>
      <c r="AB306">
        <f>SUMPRODUCT((C305:N305&gt;0)*$C$7:$N$7)</f>
        <v/>
      </c>
      <c r="AC306">
        <f>MAX(0,Plan!$C$5-AB306)+IF(A306=Plan!$C$8,N(Plan!$C$7),0)</f>
        <v/>
      </c>
      <c r="AD306">
        <f>SUM(C306:N306)</f>
        <v/>
      </c>
      <c r="AE306">
        <f>SUM(O306:Z306)</f>
        <v/>
      </c>
      <c r="AF306">
        <f>IFERROR(ROUND(1/SUMPRODUCT(MAX((C305:N305&gt;0)*($C$3:$N$3&lt;=B306)*($C$2:$N$2&gt;AA306)/$C$2:$N$2)),0),0)</f>
        <v/>
      </c>
      <c r="AG306">
        <f>MAX(0,AC306-MAX(0,SUMPRODUCT(($C$2:$N$2=AA306)*(AH306:AS306-$C$7:$N$7))))</f>
        <v/>
      </c>
      <c r="AH306">
        <f>IF(C305&lt;=0,0,ROUND(C305*(1+IF(AND(C$6&gt;0,$B306&lt;C$6),C$4,C$5)/12),2))</f>
        <v/>
      </c>
      <c r="AI306">
        <f>IF(D305&lt;=0,0,ROUND(D305*(1+IF(AND(D$6&gt;0,$B306&lt;D$6),D$4,D$5)/12),2))</f>
        <v/>
      </c>
      <c r="AJ306">
        <f>IF(E305&lt;=0,0,ROUND(E305*(1+IF(AND(E$6&gt;0,$B306&lt;E$6),E$4,E$5)/12),2))</f>
        <v/>
      </c>
      <c r="AK306">
        <f>IF(F305&lt;=0,0,ROUND(F305*(1+IF(AND(F$6&gt;0,$B306&lt;F$6),F$4,F$5)/12),2))</f>
        <v/>
      </c>
      <c r="AL306">
        <f>IF(G305&lt;=0,0,ROUND(G305*(1+IF(AND(G$6&gt;0,$B306&lt;G$6),G$4,G$5)/12),2))</f>
        <v/>
      </c>
      <c r="AM306">
        <f>IF(H305&lt;=0,0,ROUND(H305*(1+IF(AND(H$6&gt;0,$B306&lt;H$6),H$4,H$5)/12),2))</f>
        <v/>
      </c>
      <c r="AN306">
        <f>IF(I305&lt;=0,0,ROUND(I305*(1+IF(AND(I$6&gt;0,$B306&lt;I$6),I$4,I$5)/12),2))</f>
        <v/>
      </c>
      <c r="AO306">
        <f>IF(J305&lt;=0,0,ROUND(J305*(1+IF(AND(J$6&gt;0,$B306&lt;J$6),J$4,J$5)/12),2))</f>
        <v/>
      </c>
      <c r="AP306">
        <f>IF(K305&lt;=0,0,ROUND(K305*(1+IF(AND(K$6&gt;0,$B306&lt;K$6),K$4,K$5)/12),2))</f>
        <v/>
      </c>
      <c r="AQ306">
        <f>IF(L305&lt;=0,0,ROUND(L305*(1+IF(AND(L$6&gt;0,$B306&lt;L$6),L$4,L$5)/12),2))</f>
        <v/>
      </c>
      <c r="AR306">
        <f>IF(M305&lt;=0,0,ROUND(M305*(1+IF(AND(M$6&gt;0,$B306&lt;M$6),M$4,M$5)/12),2))</f>
        <v/>
      </c>
      <c r="AS306">
        <f>IF(N305&lt;=0,0,ROUND(N305*(1+IF(AND(N$6&gt;0,$B306&lt;N$6),N$4,N$5)/12),2))</f>
        <v/>
      </c>
    </row>
    <row r="307">
      <c r="A307" t="n">
        <v>296</v>
      </c>
      <c r="B307">
        <f>EDATE(Plan!$C$6,295)</f>
        <v/>
      </c>
      <c r="C307">
        <f>IF(C306&lt;=0,0,MAX(0,AH307-O307))</f>
        <v/>
      </c>
      <c r="D307">
        <f>IF(D306&lt;=0,0,MAX(0,AI307-P307))</f>
        <v/>
      </c>
      <c r="E307">
        <f>IF(E306&lt;=0,0,MAX(0,AJ307-Q307))</f>
        <v/>
      </c>
      <c r="F307">
        <f>IF(F306&lt;=0,0,MAX(0,AK307-R307))</f>
        <v/>
      </c>
      <c r="G307">
        <f>IF(G306&lt;=0,0,MAX(0,AL307-S307))</f>
        <v/>
      </c>
      <c r="H307">
        <f>IF(H306&lt;=0,0,MAX(0,AM307-T307))</f>
        <v/>
      </c>
      <c r="I307">
        <f>IF(I306&lt;=0,0,MAX(0,AN307-U307))</f>
        <v/>
      </c>
      <c r="J307">
        <f>IF(J306&lt;=0,0,MAX(0,AO307-V307))</f>
        <v/>
      </c>
      <c r="K307">
        <f>IF(K306&lt;=0,0,MAX(0,AP307-W307))</f>
        <v/>
      </c>
      <c r="L307">
        <f>IF(L306&lt;=0,0,MAX(0,AQ307-X307))</f>
        <v/>
      </c>
      <c r="M307">
        <f>IF(M306&lt;=0,0,MAX(0,AR307-Y307))</f>
        <v/>
      </c>
      <c r="N307">
        <f>IF(N306&lt;=0,0,MAX(0,AS307-Z307))</f>
        <v/>
      </c>
      <c r="O307">
        <f>IF(C306&lt;=0,0,MIN(AH307,C$7+IF(C$2=$AA307,$AC307,IF(C$2=$AF307,$AG307,0))))</f>
        <v/>
      </c>
      <c r="P307">
        <f>IF(D306&lt;=0,0,MIN(AI307,D$7+IF(D$2=$AA307,$AC307,IF(D$2=$AF307,$AG307,0))))</f>
        <v/>
      </c>
      <c r="Q307">
        <f>IF(E306&lt;=0,0,MIN(AJ307,E$7+IF(E$2=$AA307,$AC307,IF(E$2=$AF307,$AG307,0))))</f>
        <v/>
      </c>
      <c r="R307">
        <f>IF(F306&lt;=0,0,MIN(AK307,F$7+IF(F$2=$AA307,$AC307,IF(F$2=$AF307,$AG307,0))))</f>
        <v/>
      </c>
      <c r="S307">
        <f>IF(G306&lt;=0,0,MIN(AL307,G$7+IF(G$2=$AA307,$AC307,IF(G$2=$AF307,$AG307,0))))</f>
        <v/>
      </c>
      <c r="T307">
        <f>IF(H306&lt;=0,0,MIN(AM307,H$7+IF(H$2=$AA307,$AC307,IF(H$2=$AF307,$AG307,0))))</f>
        <v/>
      </c>
      <c r="U307">
        <f>IF(I306&lt;=0,0,MIN(AN307,I$7+IF(I$2=$AA307,$AC307,IF(I$2=$AF307,$AG307,0))))</f>
        <v/>
      </c>
      <c r="V307">
        <f>IF(J306&lt;=0,0,MIN(AO307,J$7+IF(J$2=$AA307,$AC307,IF(J$2=$AF307,$AG307,0))))</f>
        <v/>
      </c>
      <c r="W307">
        <f>IF(K306&lt;=0,0,MIN(AP307,K$7+IF(K$2=$AA307,$AC307,IF(K$2=$AF307,$AG307,0))))</f>
        <v/>
      </c>
      <c r="X307">
        <f>IF(L306&lt;=0,0,MIN(AQ307,L$7+IF(L$2=$AA307,$AC307,IF(L$2=$AF307,$AG307,0))))</f>
        <v/>
      </c>
      <c r="Y307">
        <f>IF(M306&lt;=0,0,MIN(AR307,M$7+IF(M$2=$AA307,$AC307,IF(M$2=$AF307,$AG307,0))))</f>
        <v/>
      </c>
      <c r="Z307">
        <f>IF(N306&lt;=0,0,MIN(AS307,N$7+IF(N$2=$AA307,$AC307,IF(N$2=$AF307,$AG307,0))))</f>
        <v/>
      </c>
      <c r="AA307">
        <f>IFERROR(ROUND(1/SUMPRODUCT(MAX((C306:N306&gt;0)*($C$3:$N$3&lt;=B307)/$C$2:$N$2)),0),0)</f>
        <v/>
      </c>
      <c r="AB307">
        <f>SUMPRODUCT((C306:N306&gt;0)*$C$7:$N$7)</f>
        <v/>
      </c>
      <c r="AC307">
        <f>MAX(0,Plan!$C$5-AB307)+IF(A307=Plan!$C$8,N(Plan!$C$7),0)</f>
        <v/>
      </c>
      <c r="AD307">
        <f>SUM(C307:N307)</f>
        <v/>
      </c>
      <c r="AE307">
        <f>SUM(O307:Z307)</f>
        <v/>
      </c>
      <c r="AF307">
        <f>IFERROR(ROUND(1/SUMPRODUCT(MAX((C306:N306&gt;0)*($C$3:$N$3&lt;=B307)*($C$2:$N$2&gt;AA307)/$C$2:$N$2)),0),0)</f>
        <v/>
      </c>
      <c r="AG307">
        <f>MAX(0,AC307-MAX(0,SUMPRODUCT(($C$2:$N$2=AA307)*(AH307:AS307-$C$7:$N$7))))</f>
        <v/>
      </c>
      <c r="AH307">
        <f>IF(C306&lt;=0,0,ROUND(C306*(1+IF(AND(C$6&gt;0,$B307&lt;C$6),C$4,C$5)/12),2))</f>
        <v/>
      </c>
      <c r="AI307">
        <f>IF(D306&lt;=0,0,ROUND(D306*(1+IF(AND(D$6&gt;0,$B307&lt;D$6),D$4,D$5)/12),2))</f>
        <v/>
      </c>
      <c r="AJ307">
        <f>IF(E306&lt;=0,0,ROUND(E306*(1+IF(AND(E$6&gt;0,$B307&lt;E$6),E$4,E$5)/12),2))</f>
        <v/>
      </c>
      <c r="AK307">
        <f>IF(F306&lt;=0,0,ROUND(F306*(1+IF(AND(F$6&gt;0,$B307&lt;F$6),F$4,F$5)/12),2))</f>
        <v/>
      </c>
      <c r="AL307">
        <f>IF(G306&lt;=0,0,ROUND(G306*(1+IF(AND(G$6&gt;0,$B307&lt;G$6),G$4,G$5)/12),2))</f>
        <v/>
      </c>
      <c r="AM307">
        <f>IF(H306&lt;=0,0,ROUND(H306*(1+IF(AND(H$6&gt;0,$B307&lt;H$6),H$4,H$5)/12),2))</f>
        <v/>
      </c>
      <c r="AN307">
        <f>IF(I306&lt;=0,0,ROUND(I306*(1+IF(AND(I$6&gt;0,$B307&lt;I$6),I$4,I$5)/12),2))</f>
        <v/>
      </c>
      <c r="AO307">
        <f>IF(J306&lt;=0,0,ROUND(J306*(1+IF(AND(J$6&gt;0,$B307&lt;J$6),J$4,J$5)/12),2))</f>
        <v/>
      </c>
      <c r="AP307">
        <f>IF(K306&lt;=0,0,ROUND(K306*(1+IF(AND(K$6&gt;0,$B307&lt;K$6),K$4,K$5)/12),2))</f>
        <v/>
      </c>
      <c r="AQ307">
        <f>IF(L306&lt;=0,0,ROUND(L306*(1+IF(AND(L$6&gt;0,$B307&lt;L$6),L$4,L$5)/12),2))</f>
        <v/>
      </c>
      <c r="AR307">
        <f>IF(M306&lt;=0,0,ROUND(M306*(1+IF(AND(M$6&gt;0,$B307&lt;M$6),M$4,M$5)/12),2))</f>
        <v/>
      </c>
      <c r="AS307">
        <f>IF(N306&lt;=0,0,ROUND(N306*(1+IF(AND(N$6&gt;0,$B307&lt;N$6),N$4,N$5)/12),2))</f>
        <v/>
      </c>
    </row>
    <row r="308">
      <c r="A308" t="n">
        <v>297</v>
      </c>
      <c r="B308">
        <f>EDATE(Plan!$C$6,296)</f>
        <v/>
      </c>
      <c r="C308">
        <f>IF(C307&lt;=0,0,MAX(0,AH308-O308))</f>
        <v/>
      </c>
      <c r="D308">
        <f>IF(D307&lt;=0,0,MAX(0,AI308-P308))</f>
        <v/>
      </c>
      <c r="E308">
        <f>IF(E307&lt;=0,0,MAX(0,AJ308-Q308))</f>
        <v/>
      </c>
      <c r="F308">
        <f>IF(F307&lt;=0,0,MAX(0,AK308-R308))</f>
        <v/>
      </c>
      <c r="G308">
        <f>IF(G307&lt;=0,0,MAX(0,AL308-S308))</f>
        <v/>
      </c>
      <c r="H308">
        <f>IF(H307&lt;=0,0,MAX(0,AM308-T308))</f>
        <v/>
      </c>
      <c r="I308">
        <f>IF(I307&lt;=0,0,MAX(0,AN308-U308))</f>
        <v/>
      </c>
      <c r="J308">
        <f>IF(J307&lt;=0,0,MAX(0,AO308-V308))</f>
        <v/>
      </c>
      <c r="K308">
        <f>IF(K307&lt;=0,0,MAX(0,AP308-W308))</f>
        <v/>
      </c>
      <c r="L308">
        <f>IF(L307&lt;=0,0,MAX(0,AQ308-X308))</f>
        <v/>
      </c>
      <c r="M308">
        <f>IF(M307&lt;=0,0,MAX(0,AR308-Y308))</f>
        <v/>
      </c>
      <c r="N308">
        <f>IF(N307&lt;=0,0,MAX(0,AS308-Z308))</f>
        <v/>
      </c>
      <c r="O308">
        <f>IF(C307&lt;=0,0,MIN(AH308,C$7+IF(C$2=$AA308,$AC308,IF(C$2=$AF308,$AG308,0))))</f>
        <v/>
      </c>
      <c r="P308">
        <f>IF(D307&lt;=0,0,MIN(AI308,D$7+IF(D$2=$AA308,$AC308,IF(D$2=$AF308,$AG308,0))))</f>
        <v/>
      </c>
      <c r="Q308">
        <f>IF(E307&lt;=0,0,MIN(AJ308,E$7+IF(E$2=$AA308,$AC308,IF(E$2=$AF308,$AG308,0))))</f>
        <v/>
      </c>
      <c r="R308">
        <f>IF(F307&lt;=0,0,MIN(AK308,F$7+IF(F$2=$AA308,$AC308,IF(F$2=$AF308,$AG308,0))))</f>
        <v/>
      </c>
      <c r="S308">
        <f>IF(G307&lt;=0,0,MIN(AL308,G$7+IF(G$2=$AA308,$AC308,IF(G$2=$AF308,$AG308,0))))</f>
        <v/>
      </c>
      <c r="T308">
        <f>IF(H307&lt;=0,0,MIN(AM308,H$7+IF(H$2=$AA308,$AC308,IF(H$2=$AF308,$AG308,0))))</f>
        <v/>
      </c>
      <c r="U308">
        <f>IF(I307&lt;=0,0,MIN(AN308,I$7+IF(I$2=$AA308,$AC308,IF(I$2=$AF308,$AG308,0))))</f>
        <v/>
      </c>
      <c r="V308">
        <f>IF(J307&lt;=0,0,MIN(AO308,J$7+IF(J$2=$AA308,$AC308,IF(J$2=$AF308,$AG308,0))))</f>
        <v/>
      </c>
      <c r="W308">
        <f>IF(K307&lt;=0,0,MIN(AP308,K$7+IF(K$2=$AA308,$AC308,IF(K$2=$AF308,$AG308,0))))</f>
        <v/>
      </c>
      <c r="X308">
        <f>IF(L307&lt;=0,0,MIN(AQ308,L$7+IF(L$2=$AA308,$AC308,IF(L$2=$AF308,$AG308,0))))</f>
        <v/>
      </c>
      <c r="Y308">
        <f>IF(M307&lt;=0,0,MIN(AR308,M$7+IF(M$2=$AA308,$AC308,IF(M$2=$AF308,$AG308,0))))</f>
        <v/>
      </c>
      <c r="Z308">
        <f>IF(N307&lt;=0,0,MIN(AS308,N$7+IF(N$2=$AA308,$AC308,IF(N$2=$AF308,$AG308,0))))</f>
        <v/>
      </c>
      <c r="AA308">
        <f>IFERROR(ROUND(1/SUMPRODUCT(MAX((C307:N307&gt;0)*($C$3:$N$3&lt;=B308)/$C$2:$N$2)),0),0)</f>
        <v/>
      </c>
      <c r="AB308">
        <f>SUMPRODUCT((C307:N307&gt;0)*$C$7:$N$7)</f>
        <v/>
      </c>
      <c r="AC308">
        <f>MAX(0,Plan!$C$5-AB308)+IF(A308=Plan!$C$8,N(Plan!$C$7),0)</f>
        <v/>
      </c>
      <c r="AD308">
        <f>SUM(C308:N308)</f>
        <v/>
      </c>
      <c r="AE308">
        <f>SUM(O308:Z308)</f>
        <v/>
      </c>
      <c r="AF308">
        <f>IFERROR(ROUND(1/SUMPRODUCT(MAX((C307:N307&gt;0)*($C$3:$N$3&lt;=B308)*($C$2:$N$2&gt;AA308)/$C$2:$N$2)),0),0)</f>
        <v/>
      </c>
      <c r="AG308">
        <f>MAX(0,AC308-MAX(0,SUMPRODUCT(($C$2:$N$2=AA308)*(AH308:AS308-$C$7:$N$7))))</f>
        <v/>
      </c>
      <c r="AH308">
        <f>IF(C307&lt;=0,0,ROUND(C307*(1+IF(AND(C$6&gt;0,$B308&lt;C$6),C$4,C$5)/12),2))</f>
        <v/>
      </c>
      <c r="AI308">
        <f>IF(D307&lt;=0,0,ROUND(D307*(1+IF(AND(D$6&gt;0,$B308&lt;D$6),D$4,D$5)/12),2))</f>
        <v/>
      </c>
      <c r="AJ308">
        <f>IF(E307&lt;=0,0,ROUND(E307*(1+IF(AND(E$6&gt;0,$B308&lt;E$6),E$4,E$5)/12),2))</f>
        <v/>
      </c>
      <c r="AK308">
        <f>IF(F307&lt;=0,0,ROUND(F307*(1+IF(AND(F$6&gt;0,$B308&lt;F$6),F$4,F$5)/12),2))</f>
        <v/>
      </c>
      <c r="AL308">
        <f>IF(G307&lt;=0,0,ROUND(G307*(1+IF(AND(G$6&gt;0,$B308&lt;G$6),G$4,G$5)/12),2))</f>
        <v/>
      </c>
      <c r="AM308">
        <f>IF(H307&lt;=0,0,ROUND(H307*(1+IF(AND(H$6&gt;0,$B308&lt;H$6),H$4,H$5)/12),2))</f>
        <v/>
      </c>
      <c r="AN308">
        <f>IF(I307&lt;=0,0,ROUND(I307*(1+IF(AND(I$6&gt;0,$B308&lt;I$6),I$4,I$5)/12),2))</f>
        <v/>
      </c>
      <c r="AO308">
        <f>IF(J307&lt;=0,0,ROUND(J307*(1+IF(AND(J$6&gt;0,$B308&lt;J$6),J$4,J$5)/12),2))</f>
        <v/>
      </c>
      <c r="AP308">
        <f>IF(K307&lt;=0,0,ROUND(K307*(1+IF(AND(K$6&gt;0,$B308&lt;K$6),K$4,K$5)/12),2))</f>
        <v/>
      </c>
      <c r="AQ308">
        <f>IF(L307&lt;=0,0,ROUND(L307*(1+IF(AND(L$6&gt;0,$B308&lt;L$6),L$4,L$5)/12),2))</f>
        <v/>
      </c>
      <c r="AR308">
        <f>IF(M307&lt;=0,0,ROUND(M307*(1+IF(AND(M$6&gt;0,$B308&lt;M$6),M$4,M$5)/12),2))</f>
        <v/>
      </c>
      <c r="AS308">
        <f>IF(N307&lt;=0,0,ROUND(N307*(1+IF(AND(N$6&gt;0,$B308&lt;N$6),N$4,N$5)/12),2))</f>
        <v/>
      </c>
    </row>
    <row r="309">
      <c r="A309" t="n">
        <v>298</v>
      </c>
      <c r="B309">
        <f>EDATE(Plan!$C$6,297)</f>
        <v/>
      </c>
      <c r="C309">
        <f>IF(C308&lt;=0,0,MAX(0,AH309-O309))</f>
        <v/>
      </c>
      <c r="D309">
        <f>IF(D308&lt;=0,0,MAX(0,AI309-P309))</f>
        <v/>
      </c>
      <c r="E309">
        <f>IF(E308&lt;=0,0,MAX(0,AJ309-Q309))</f>
        <v/>
      </c>
      <c r="F309">
        <f>IF(F308&lt;=0,0,MAX(0,AK309-R309))</f>
        <v/>
      </c>
      <c r="G309">
        <f>IF(G308&lt;=0,0,MAX(0,AL309-S309))</f>
        <v/>
      </c>
      <c r="H309">
        <f>IF(H308&lt;=0,0,MAX(0,AM309-T309))</f>
        <v/>
      </c>
      <c r="I309">
        <f>IF(I308&lt;=0,0,MAX(0,AN309-U309))</f>
        <v/>
      </c>
      <c r="J309">
        <f>IF(J308&lt;=0,0,MAX(0,AO309-V309))</f>
        <v/>
      </c>
      <c r="K309">
        <f>IF(K308&lt;=0,0,MAX(0,AP309-W309))</f>
        <v/>
      </c>
      <c r="L309">
        <f>IF(L308&lt;=0,0,MAX(0,AQ309-X309))</f>
        <v/>
      </c>
      <c r="M309">
        <f>IF(M308&lt;=0,0,MAX(0,AR309-Y309))</f>
        <v/>
      </c>
      <c r="N309">
        <f>IF(N308&lt;=0,0,MAX(0,AS309-Z309))</f>
        <v/>
      </c>
      <c r="O309">
        <f>IF(C308&lt;=0,0,MIN(AH309,C$7+IF(C$2=$AA309,$AC309,IF(C$2=$AF309,$AG309,0))))</f>
        <v/>
      </c>
      <c r="P309">
        <f>IF(D308&lt;=0,0,MIN(AI309,D$7+IF(D$2=$AA309,$AC309,IF(D$2=$AF309,$AG309,0))))</f>
        <v/>
      </c>
      <c r="Q309">
        <f>IF(E308&lt;=0,0,MIN(AJ309,E$7+IF(E$2=$AA309,$AC309,IF(E$2=$AF309,$AG309,0))))</f>
        <v/>
      </c>
      <c r="R309">
        <f>IF(F308&lt;=0,0,MIN(AK309,F$7+IF(F$2=$AA309,$AC309,IF(F$2=$AF309,$AG309,0))))</f>
        <v/>
      </c>
      <c r="S309">
        <f>IF(G308&lt;=0,0,MIN(AL309,G$7+IF(G$2=$AA309,$AC309,IF(G$2=$AF309,$AG309,0))))</f>
        <v/>
      </c>
      <c r="T309">
        <f>IF(H308&lt;=0,0,MIN(AM309,H$7+IF(H$2=$AA309,$AC309,IF(H$2=$AF309,$AG309,0))))</f>
        <v/>
      </c>
      <c r="U309">
        <f>IF(I308&lt;=0,0,MIN(AN309,I$7+IF(I$2=$AA309,$AC309,IF(I$2=$AF309,$AG309,0))))</f>
        <v/>
      </c>
      <c r="V309">
        <f>IF(J308&lt;=0,0,MIN(AO309,J$7+IF(J$2=$AA309,$AC309,IF(J$2=$AF309,$AG309,0))))</f>
        <v/>
      </c>
      <c r="W309">
        <f>IF(K308&lt;=0,0,MIN(AP309,K$7+IF(K$2=$AA309,$AC309,IF(K$2=$AF309,$AG309,0))))</f>
        <v/>
      </c>
      <c r="X309">
        <f>IF(L308&lt;=0,0,MIN(AQ309,L$7+IF(L$2=$AA309,$AC309,IF(L$2=$AF309,$AG309,0))))</f>
        <v/>
      </c>
      <c r="Y309">
        <f>IF(M308&lt;=0,0,MIN(AR309,M$7+IF(M$2=$AA309,$AC309,IF(M$2=$AF309,$AG309,0))))</f>
        <v/>
      </c>
      <c r="Z309">
        <f>IF(N308&lt;=0,0,MIN(AS309,N$7+IF(N$2=$AA309,$AC309,IF(N$2=$AF309,$AG309,0))))</f>
        <v/>
      </c>
      <c r="AA309">
        <f>IFERROR(ROUND(1/SUMPRODUCT(MAX((C308:N308&gt;0)*($C$3:$N$3&lt;=B309)/$C$2:$N$2)),0),0)</f>
        <v/>
      </c>
      <c r="AB309">
        <f>SUMPRODUCT((C308:N308&gt;0)*$C$7:$N$7)</f>
        <v/>
      </c>
      <c r="AC309">
        <f>MAX(0,Plan!$C$5-AB309)+IF(A309=Plan!$C$8,N(Plan!$C$7),0)</f>
        <v/>
      </c>
      <c r="AD309">
        <f>SUM(C309:N309)</f>
        <v/>
      </c>
      <c r="AE309">
        <f>SUM(O309:Z309)</f>
        <v/>
      </c>
      <c r="AF309">
        <f>IFERROR(ROUND(1/SUMPRODUCT(MAX((C308:N308&gt;0)*($C$3:$N$3&lt;=B309)*($C$2:$N$2&gt;AA309)/$C$2:$N$2)),0),0)</f>
        <v/>
      </c>
      <c r="AG309">
        <f>MAX(0,AC309-MAX(0,SUMPRODUCT(($C$2:$N$2=AA309)*(AH309:AS309-$C$7:$N$7))))</f>
        <v/>
      </c>
      <c r="AH309">
        <f>IF(C308&lt;=0,0,ROUND(C308*(1+IF(AND(C$6&gt;0,$B309&lt;C$6),C$4,C$5)/12),2))</f>
        <v/>
      </c>
      <c r="AI309">
        <f>IF(D308&lt;=0,0,ROUND(D308*(1+IF(AND(D$6&gt;0,$B309&lt;D$6),D$4,D$5)/12),2))</f>
        <v/>
      </c>
      <c r="AJ309">
        <f>IF(E308&lt;=0,0,ROUND(E308*(1+IF(AND(E$6&gt;0,$B309&lt;E$6),E$4,E$5)/12),2))</f>
        <v/>
      </c>
      <c r="AK309">
        <f>IF(F308&lt;=0,0,ROUND(F308*(1+IF(AND(F$6&gt;0,$B309&lt;F$6),F$4,F$5)/12),2))</f>
        <v/>
      </c>
      <c r="AL309">
        <f>IF(G308&lt;=0,0,ROUND(G308*(1+IF(AND(G$6&gt;0,$B309&lt;G$6),G$4,G$5)/12),2))</f>
        <v/>
      </c>
      <c r="AM309">
        <f>IF(H308&lt;=0,0,ROUND(H308*(1+IF(AND(H$6&gt;0,$B309&lt;H$6),H$4,H$5)/12),2))</f>
        <v/>
      </c>
      <c r="AN309">
        <f>IF(I308&lt;=0,0,ROUND(I308*(1+IF(AND(I$6&gt;0,$B309&lt;I$6),I$4,I$5)/12),2))</f>
        <v/>
      </c>
      <c r="AO309">
        <f>IF(J308&lt;=0,0,ROUND(J308*(1+IF(AND(J$6&gt;0,$B309&lt;J$6),J$4,J$5)/12),2))</f>
        <v/>
      </c>
      <c r="AP309">
        <f>IF(K308&lt;=0,0,ROUND(K308*(1+IF(AND(K$6&gt;0,$B309&lt;K$6),K$4,K$5)/12),2))</f>
        <v/>
      </c>
      <c r="AQ309">
        <f>IF(L308&lt;=0,0,ROUND(L308*(1+IF(AND(L$6&gt;0,$B309&lt;L$6),L$4,L$5)/12),2))</f>
        <v/>
      </c>
      <c r="AR309">
        <f>IF(M308&lt;=0,0,ROUND(M308*(1+IF(AND(M$6&gt;0,$B309&lt;M$6),M$4,M$5)/12),2))</f>
        <v/>
      </c>
      <c r="AS309">
        <f>IF(N308&lt;=0,0,ROUND(N308*(1+IF(AND(N$6&gt;0,$B309&lt;N$6),N$4,N$5)/12),2))</f>
        <v/>
      </c>
    </row>
    <row r="310">
      <c r="A310" t="n">
        <v>299</v>
      </c>
      <c r="B310">
        <f>EDATE(Plan!$C$6,298)</f>
        <v/>
      </c>
      <c r="C310">
        <f>IF(C309&lt;=0,0,MAX(0,AH310-O310))</f>
        <v/>
      </c>
      <c r="D310">
        <f>IF(D309&lt;=0,0,MAX(0,AI310-P310))</f>
        <v/>
      </c>
      <c r="E310">
        <f>IF(E309&lt;=0,0,MAX(0,AJ310-Q310))</f>
        <v/>
      </c>
      <c r="F310">
        <f>IF(F309&lt;=0,0,MAX(0,AK310-R310))</f>
        <v/>
      </c>
      <c r="G310">
        <f>IF(G309&lt;=0,0,MAX(0,AL310-S310))</f>
        <v/>
      </c>
      <c r="H310">
        <f>IF(H309&lt;=0,0,MAX(0,AM310-T310))</f>
        <v/>
      </c>
      <c r="I310">
        <f>IF(I309&lt;=0,0,MAX(0,AN310-U310))</f>
        <v/>
      </c>
      <c r="J310">
        <f>IF(J309&lt;=0,0,MAX(0,AO310-V310))</f>
        <v/>
      </c>
      <c r="K310">
        <f>IF(K309&lt;=0,0,MAX(0,AP310-W310))</f>
        <v/>
      </c>
      <c r="L310">
        <f>IF(L309&lt;=0,0,MAX(0,AQ310-X310))</f>
        <v/>
      </c>
      <c r="M310">
        <f>IF(M309&lt;=0,0,MAX(0,AR310-Y310))</f>
        <v/>
      </c>
      <c r="N310">
        <f>IF(N309&lt;=0,0,MAX(0,AS310-Z310))</f>
        <v/>
      </c>
      <c r="O310">
        <f>IF(C309&lt;=0,0,MIN(AH310,C$7+IF(C$2=$AA310,$AC310,IF(C$2=$AF310,$AG310,0))))</f>
        <v/>
      </c>
      <c r="P310">
        <f>IF(D309&lt;=0,0,MIN(AI310,D$7+IF(D$2=$AA310,$AC310,IF(D$2=$AF310,$AG310,0))))</f>
        <v/>
      </c>
      <c r="Q310">
        <f>IF(E309&lt;=0,0,MIN(AJ310,E$7+IF(E$2=$AA310,$AC310,IF(E$2=$AF310,$AG310,0))))</f>
        <v/>
      </c>
      <c r="R310">
        <f>IF(F309&lt;=0,0,MIN(AK310,F$7+IF(F$2=$AA310,$AC310,IF(F$2=$AF310,$AG310,0))))</f>
        <v/>
      </c>
      <c r="S310">
        <f>IF(G309&lt;=0,0,MIN(AL310,G$7+IF(G$2=$AA310,$AC310,IF(G$2=$AF310,$AG310,0))))</f>
        <v/>
      </c>
      <c r="T310">
        <f>IF(H309&lt;=0,0,MIN(AM310,H$7+IF(H$2=$AA310,$AC310,IF(H$2=$AF310,$AG310,0))))</f>
        <v/>
      </c>
      <c r="U310">
        <f>IF(I309&lt;=0,0,MIN(AN310,I$7+IF(I$2=$AA310,$AC310,IF(I$2=$AF310,$AG310,0))))</f>
        <v/>
      </c>
      <c r="V310">
        <f>IF(J309&lt;=0,0,MIN(AO310,J$7+IF(J$2=$AA310,$AC310,IF(J$2=$AF310,$AG310,0))))</f>
        <v/>
      </c>
      <c r="W310">
        <f>IF(K309&lt;=0,0,MIN(AP310,K$7+IF(K$2=$AA310,$AC310,IF(K$2=$AF310,$AG310,0))))</f>
        <v/>
      </c>
      <c r="X310">
        <f>IF(L309&lt;=0,0,MIN(AQ310,L$7+IF(L$2=$AA310,$AC310,IF(L$2=$AF310,$AG310,0))))</f>
        <v/>
      </c>
      <c r="Y310">
        <f>IF(M309&lt;=0,0,MIN(AR310,M$7+IF(M$2=$AA310,$AC310,IF(M$2=$AF310,$AG310,0))))</f>
        <v/>
      </c>
      <c r="Z310">
        <f>IF(N309&lt;=0,0,MIN(AS310,N$7+IF(N$2=$AA310,$AC310,IF(N$2=$AF310,$AG310,0))))</f>
        <v/>
      </c>
      <c r="AA310">
        <f>IFERROR(ROUND(1/SUMPRODUCT(MAX((C309:N309&gt;0)*($C$3:$N$3&lt;=B310)/$C$2:$N$2)),0),0)</f>
        <v/>
      </c>
      <c r="AB310">
        <f>SUMPRODUCT((C309:N309&gt;0)*$C$7:$N$7)</f>
        <v/>
      </c>
      <c r="AC310">
        <f>MAX(0,Plan!$C$5-AB310)+IF(A310=Plan!$C$8,N(Plan!$C$7),0)</f>
        <v/>
      </c>
      <c r="AD310">
        <f>SUM(C310:N310)</f>
        <v/>
      </c>
      <c r="AE310">
        <f>SUM(O310:Z310)</f>
        <v/>
      </c>
      <c r="AF310">
        <f>IFERROR(ROUND(1/SUMPRODUCT(MAX((C309:N309&gt;0)*($C$3:$N$3&lt;=B310)*($C$2:$N$2&gt;AA310)/$C$2:$N$2)),0),0)</f>
        <v/>
      </c>
      <c r="AG310">
        <f>MAX(0,AC310-MAX(0,SUMPRODUCT(($C$2:$N$2=AA310)*(AH310:AS310-$C$7:$N$7))))</f>
        <v/>
      </c>
      <c r="AH310">
        <f>IF(C309&lt;=0,0,ROUND(C309*(1+IF(AND(C$6&gt;0,$B310&lt;C$6),C$4,C$5)/12),2))</f>
        <v/>
      </c>
      <c r="AI310">
        <f>IF(D309&lt;=0,0,ROUND(D309*(1+IF(AND(D$6&gt;0,$B310&lt;D$6),D$4,D$5)/12),2))</f>
        <v/>
      </c>
      <c r="AJ310">
        <f>IF(E309&lt;=0,0,ROUND(E309*(1+IF(AND(E$6&gt;0,$B310&lt;E$6),E$4,E$5)/12),2))</f>
        <v/>
      </c>
      <c r="AK310">
        <f>IF(F309&lt;=0,0,ROUND(F309*(1+IF(AND(F$6&gt;0,$B310&lt;F$6),F$4,F$5)/12),2))</f>
        <v/>
      </c>
      <c r="AL310">
        <f>IF(G309&lt;=0,0,ROUND(G309*(1+IF(AND(G$6&gt;0,$B310&lt;G$6),G$4,G$5)/12),2))</f>
        <v/>
      </c>
      <c r="AM310">
        <f>IF(H309&lt;=0,0,ROUND(H309*(1+IF(AND(H$6&gt;0,$B310&lt;H$6),H$4,H$5)/12),2))</f>
        <v/>
      </c>
      <c r="AN310">
        <f>IF(I309&lt;=0,0,ROUND(I309*(1+IF(AND(I$6&gt;0,$B310&lt;I$6),I$4,I$5)/12),2))</f>
        <v/>
      </c>
      <c r="AO310">
        <f>IF(J309&lt;=0,0,ROUND(J309*(1+IF(AND(J$6&gt;0,$B310&lt;J$6),J$4,J$5)/12),2))</f>
        <v/>
      </c>
      <c r="AP310">
        <f>IF(K309&lt;=0,0,ROUND(K309*(1+IF(AND(K$6&gt;0,$B310&lt;K$6),K$4,K$5)/12),2))</f>
        <v/>
      </c>
      <c r="AQ310">
        <f>IF(L309&lt;=0,0,ROUND(L309*(1+IF(AND(L$6&gt;0,$B310&lt;L$6),L$4,L$5)/12),2))</f>
        <v/>
      </c>
      <c r="AR310">
        <f>IF(M309&lt;=0,0,ROUND(M309*(1+IF(AND(M$6&gt;0,$B310&lt;M$6),M$4,M$5)/12),2))</f>
        <v/>
      </c>
      <c r="AS310">
        <f>IF(N309&lt;=0,0,ROUND(N309*(1+IF(AND(N$6&gt;0,$B310&lt;N$6),N$4,N$5)/12),2))</f>
        <v/>
      </c>
    </row>
    <row r="311">
      <c r="A311" t="n">
        <v>300</v>
      </c>
      <c r="B311">
        <f>EDATE(Plan!$C$6,299)</f>
        <v/>
      </c>
      <c r="C311">
        <f>IF(C310&lt;=0,0,MAX(0,AH311-O311))</f>
        <v/>
      </c>
      <c r="D311">
        <f>IF(D310&lt;=0,0,MAX(0,AI311-P311))</f>
        <v/>
      </c>
      <c r="E311">
        <f>IF(E310&lt;=0,0,MAX(0,AJ311-Q311))</f>
        <v/>
      </c>
      <c r="F311">
        <f>IF(F310&lt;=0,0,MAX(0,AK311-R311))</f>
        <v/>
      </c>
      <c r="G311">
        <f>IF(G310&lt;=0,0,MAX(0,AL311-S311))</f>
        <v/>
      </c>
      <c r="H311">
        <f>IF(H310&lt;=0,0,MAX(0,AM311-T311))</f>
        <v/>
      </c>
      <c r="I311">
        <f>IF(I310&lt;=0,0,MAX(0,AN311-U311))</f>
        <v/>
      </c>
      <c r="J311">
        <f>IF(J310&lt;=0,0,MAX(0,AO311-V311))</f>
        <v/>
      </c>
      <c r="K311">
        <f>IF(K310&lt;=0,0,MAX(0,AP311-W311))</f>
        <v/>
      </c>
      <c r="L311">
        <f>IF(L310&lt;=0,0,MAX(0,AQ311-X311))</f>
        <v/>
      </c>
      <c r="M311">
        <f>IF(M310&lt;=0,0,MAX(0,AR311-Y311))</f>
        <v/>
      </c>
      <c r="N311">
        <f>IF(N310&lt;=0,0,MAX(0,AS311-Z311))</f>
        <v/>
      </c>
      <c r="O311">
        <f>IF(C310&lt;=0,0,MIN(AH311,C$7+IF(C$2=$AA311,$AC311,IF(C$2=$AF311,$AG311,0))))</f>
        <v/>
      </c>
      <c r="P311">
        <f>IF(D310&lt;=0,0,MIN(AI311,D$7+IF(D$2=$AA311,$AC311,IF(D$2=$AF311,$AG311,0))))</f>
        <v/>
      </c>
      <c r="Q311">
        <f>IF(E310&lt;=0,0,MIN(AJ311,E$7+IF(E$2=$AA311,$AC311,IF(E$2=$AF311,$AG311,0))))</f>
        <v/>
      </c>
      <c r="R311">
        <f>IF(F310&lt;=0,0,MIN(AK311,F$7+IF(F$2=$AA311,$AC311,IF(F$2=$AF311,$AG311,0))))</f>
        <v/>
      </c>
      <c r="S311">
        <f>IF(G310&lt;=0,0,MIN(AL311,G$7+IF(G$2=$AA311,$AC311,IF(G$2=$AF311,$AG311,0))))</f>
        <v/>
      </c>
      <c r="T311">
        <f>IF(H310&lt;=0,0,MIN(AM311,H$7+IF(H$2=$AA311,$AC311,IF(H$2=$AF311,$AG311,0))))</f>
        <v/>
      </c>
      <c r="U311">
        <f>IF(I310&lt;=0,0,MIN(AN311,I$7+IF(I$2=$AA311,$AC311,IF(I$2=$AF311,$AG311,0))))</f>
        <v/>
      </c>
      <c r="V311">
        <f>IF(J310&lt;=0,0,MIN(AO311,J$7+IF(J$2=$AA311,$AC311,IF(J$2=$AF311,$AG311,0))))</f>
        <v/>
      </c>
      <c r="W311">
        <f>IF(K310&lt;=0,0,MIN(AP311,K$7+IF(K$2=$AA311,$AC311,IF(K$2=$AF311,$AG311,0))))</f>
        <v/>
      </c>
      <c r="X311">
        <f>IF(L310&lt;=0,0,MIN(AQ311,L$7+IF(L$2=$AA311,$AC311,IF(L$2=$AF311,$AG311,0))))</f>
        <v/>
      </c>
      <c r="Y311">
        <f>IF(M310&lt;=0,0,MIN(AR311,M$7+IF(M$2=$AA311,$AC311,IF(M$2=$AF311,$AG311,0))))</f>
        <v/>
      </c>
      <c r="Z311">
        <f>IF(N310&lt;=0,0,MIN(AS311,N$7+IF(N$2=$AA311,$AC311,IF(N$2=$AF311,$AG311,0))))</f>
        <v/>
      </c>
      <c r="AA311">
        <f>IFERROR(ROUND(1/SUMPRODUCT(MAX((C310:N310&gt;0)*($C$3:$N$3&lt;=B311)/$C$2:$N$2)),0),0)</f>
        <v/>
      </c>
      <c r="AB311">
        <f>SUMPRODUCT((C310:N310&gt;0)*$C$7:$N$7)</f>
        <v/>
      </c>
      <c r="AC311">
        <f>MAX(0,Plan!$C$5-AB311)+IF(A311=Plan!$C$8,N(Plan!$C$7),0)</f>
        <v/>
      </c>
      <c r="AD311">
        <f>SUM(C311:N311)</f>
        <v/>
      </c>
      <c r="AE311">
        <f>SUM(O311:Z311)</f>
        <v/>
      </c>
      <c r="AF311">
        <f>IFERROR(ROUND(1/SUMPRODUCT(MAX((C310:N310&gt;0)*($C$3:$N$3&lt;=B311)*($C$2:$N$2&gt;AA311)/$C$2:$N$2)),0),0)</f>
        <v/>
      </c>
      <c r="AG311">
        <f>MAX(0,AC311-MAX(0,SUMPRODUCT(($C$2:$N$2=AA311)*(AH311:AS311-$C$7:$N$7))))</f>
        <v/>
      </c>
      <c r="AH311">
        <f>IF(C310&lt;=0,0,ROUND(C310*(1+IF(AND(C$6&gt;0,$B311&lt;C$6),C$4,C$5)/12),2))</f>
        <v/>
      </c>
      <c r="AI311">
        <f>IF(D310&lt;=0,0,ROUND(D310*(1+IF(AND(D$6&gt;0,$B311&lt;D$6),D$4,D$5)/12),2))</f>
        <v/>
      </c>
      <c r="AJ311">
        <f>IF(E310&lt;=0,0,ROUND(E310*(1+IF(AND(E$6&gt;0,$B311&lt;E$6),E$4,E$5)/12),2))</f>
        <v/>
      </c>
      <c r="AK311">
        <f>IF(F310&lt;=0,0,ROUND(F310*(1+IF(AND(F$6&gt;0,$B311&lt;F$6),F$4,F$5)/12),2))</f>
        <v/>
      </c>
      <c r="AL311">
        <f>IF(G310&lt;=0,0,ROUND(G310*(1+IF(AND(G$6&gt;0,$B311&lt;G$6),G$4,G$5)/12),2))</f>
        <v/>
      </c>
      <c r="AM311">
        <f>IF(H310&lt;=0,0,ROUND(H310*(1+IF(AND(H$6&gt;0,$B311&lt;H$6),H$4,H$5)/12),2))</f>
        <v/>
      </c>
      <c r="AN311">
        <f>IF(I310&lt;=0,0,ROUND(I310*(1+IF(AND(I$6&gt;0,$B311&lt;I$6),I$4,I$5)/12),2))</f>
        <v/>
      </c>
      <c r="AO311">
        <f>IF(J310&lt;=0,0,ROUND(J310*(1+IF(AND(J$6&gt;0,$B311&lt;J$6),J$4,J$5)/12),2))</f>
        <v/>
      </c>
      <c r="AP311">
        <f>IF(K310&lt;=0,0,ROUND(K310*(1+IF(AND(K$6&gt;0,$B311&lt;K$6),K$4,K$5)/12),2))</f>
        <v/>
      </c>
      <c r="AQ311">
        <f>IF(L310&lt;=0,0,ROUND(L310*(1+IF(AND(L$6&gt;0,$B311&lt;L$6),L$4,L$5)/12),2))</f>
        <v/>
      </c>
      <c r="AR311">
        <f>IF(M310&lt;=0,0,ROUND(M310*(1+IF(AND(M$6&gt;0,$B311&lt;M$6),M$4,M$5)/12),2))</f>
        <v/>
      </c>
      <c r="AS311">
        <f>IF(N310&lt;=0,0,ROUND(N310*(1+IF(AND(N$6&gt;0,$B311&lt;N$6),N$4,N$5)/12),2))</f>
        <v/>
      </c>
    </row>
    <row r="312">
      <c r="A312" t="n">
        <v>301</v>
      </c>
      <c r="B312">
        <f>EDATE(Plan!$C$6,300)</f>
        <v/>
      </c>
      <c r="C312">
        <f>IF(C311&lt;=0,0,MAX(0,AH312-O312))</f>
        <v/>
      </c>
      <c r="D312">
        <f>IF(D311&lt;=0,0,MAX(0,AI312-P312))</f>
        <v/>
      </c>
      <c r="E312">
        <f>IF(E311&lt;=0,0,MAX(0,AJ312-Q312))</f>
        <v/>
      </c>
      <c r="F312">
        <f>IF(F311&lt;=0,0,MAX(0,AK312-R312))</f>
        <v/>
      </c>
      <c r="G312">
        <f>IF(G311&lt;=0,0,MAX(0,AL312-S312))</f>
        <v/>
      </c>
      <c r="H312">
        <f>IF(H311&lt;=0,0,MAX(0,AM312-T312))</f>
        <v/>
      </c>
      <c r="I312">
        <f>IF(I311&lt;=0,0,MAX(0,AN312-U312))</f>
        <v/>
      </c>
      <c r="J312">
        <f>IF(J311&lt;=0,0,MAX(0,AO312-V312))</f>
        <v/>
      </c>
      <c r="K312">
        <f>IF(K311&lt;=0,0,MAX(0,AP312-W312))</f>
        <v/>
      </c>
      <c r="L312">
        <f>IF(L311&lt;=0,0,MAX(0,AQ312-X312))</f>
        <v/>
      </c>
      <c r="M312">
        <f>IF(M311&lt;=0,0,MAX(0,AR312-Y312))</f>
        <v/>
      </c>
      <c r="N312">
        <f>IF(N311&lt;=0,0,MAX(0,AS312-Z312))</f>
        <v/>
      </c>
      <c r="O312">
        <f>IF(C311&lt;=0,0,MIN(AH312,C$7+IF(C$2=$AA312,$AC312,IF(C$2=$AF312,$AG312,0))))</f>
        <v/>
      </c>
      <c r="P312">
        <f>IF(D311&lt;=0,0,MIN(AI312,D$7+IF(D$2=$AA312,$AC312,IF(D$2=$AF312,$AG312,0))))</f>
        <v/>
      </c>
      <c r="Q312">
        <f>IF(E311&lt;=0,0,MIN(AJ312,E$7+IF(E$2=$AA312,$AC312,IF(E$2=$AF312,$AG312,0))))</f>
        <v/>
      </c>
      <c r="R312">
        <f>IF(F311&lt;=0,0,MIN(AK312,F$7+IF(F$2=$AA312,$AC312,IF(F$2=$AF312,$AG312,0))))</f>
        <v/>
      </c>
      <c r="S312">
        <f>IF(G311&lt;=0,0,MIN(AL312,G$7+IF(G$2=$AA312,$AC312,IF(G$2=$AF312,$AG312,0))))</f>
        <v/>
      </c>
      <c r="T312">
        <f>IF(H311&lt;=0,0,MIN(AM312,H$7+IF(H$2=$AA312,$AC312,IF(H$2=$AF312,$AG312,0))))</f>
        <v/>
      </c>
      <c r="U312">
        <f>IF(I311&lt;=0,0,MIN(AN312,I$7+IF(I$2=$AA312,$AC312,IF(I$2=$AF312,$AG312,0))))</f>
        <v/>
      </c>
      <c r="V312">
        <f>IF(J311&lt;=0,0,MIN(AO312,J$7+IF(J$2=$AA312,$AC312,IF(J$2=$AF312,$AG312,0))))</f>
        <v/>
      </c>
      <c r="W312">
        <f>IF(K311&lt;=0,0,MIN(AP312,K$7+IF(K$2=$AA312,$AC312,IF(K$2=$AF312,$AG312,0))))</f>
        <v/>
      </c>
      <c r="X312">
        <f>IF(L311&lt;=0,0,MIN(AQ312,L$7+IF(L$2=$AA312,$AC312,IF(L$2=$AF312,$AG312,0))))</f>
        <v/>
      </c>
      <c r="Y312">
        <f>IF(M311&lt;=0,0,MIN(AR312,M$7+IF(M$2=$AA312,$AC312,IF(M$2=$AF312,$AG312,0))))</f>
        <v/>
      </c>
      <c r="Z312">
        <f>IF(N311&lt;=0,0,MIN(AS312,N$7+IF(N$2=$AA312,$AC312,IF(N$2=$AF312,$AG312,0))))</f>
        <v/>
      </c>
      <c r="AA312">
        <f>IFERROR(ROUND(1/SUMPRODUCT(MAX((C311:N311&gt;0)*($C$3:$N$3&lt;=B312)/$C$2:$N$2)),0),0)</f>
        <v/>
      </c>
      <c r="AB312">
        <f>SUMPRODUCT((C311:N311&gt;0)*$C$7:$N$7)</f>
        <v/>
      </c>
      <c r="AC312">
        <f>MAX(0,Plan!$C$5-AB312)+IF(A312=Plan!$C$8,N(Plan!$C$7),0)</f>
        <v/>
      </c>
      <c r="AD312">
        <f>SUM(C312:N312)</f>
        <v/>
      </c>
      <c r="AE312">
        <f>SUM(O312:Z312)</f>
        <v/>
      </c>
      <c r="AF312">
        <f>IFERROR(ROUND(1/SUMPRODUCT(MAX((C311:N311&gt;0)*($C$3:$N$3&lt;=B312)*($C$2:$N$2&gt;AA312)/$C$2:$N$2)),0),0)</f>
        <v/>
      </c>
      <c r="AG312">
        <f>MAX(0,AC312-MAX(0,SUMPRODUCT(($C$2:$N$2=AA312)*(AH312:AS312-$C$7:$N$7))))</f>
        <v/>
      </c>
      <c r="AH312">
        <f>IF(C311&lt;=0,0,ROUND(C311*(1+IF(AND(C$6&gt;0,$B312&lt;C$6),C$4,C$5)/12),2))</f>
        <v/>
      </c>
      <c r="AI312">
        <f>IF(D311&lt;=0,0,ROUND(D311*(1+IF(AND(D$6&gt;0,$B312&lt;D$6),D$4,D$5)/12),2))</f>
        <v/>
      </c>
      <c r="AJ312">
        <f>IF(E311&lt;=0,0,ROUND(E311*(1+IF(AND(E$6&gt;0,$B312&lt;E$6),E$4,E$5)/12),2))</f>
        <v/>
      </c>
      <c r="AK312">
        <f>IF(F311&lt;=0,0,ROUND(F311*(1+IF(AND(F$6&gt;0,$B312&lt;F$6),F$4,F$5)/12),2))</f>
        <v/>
      </c>
      <c r="AL312">
        <f>IF(G311&lt;=0,0,ROUND(G311*(1+IF(AND(G$6&gt;0,$B312&lt;G$6),G$4,G$5)/12),2))</f>
        <v/>
      </c>
      <c r="AM312">
        <f>IF(H311&lt;=0,0,ROUND(H311*(1+IF(AND(H$6&gt;0,$B312&lt;H$6),H$4,H$5)/12),2))</f>
        <v/>
      </c>
      <c r="AN312">
        <f>IF(I311&lt;=0,0,ROUND(I311*(1+IF(AND(I$6&gt;0,$B312&lt;I$6),I$4,I$5)/12),2))</f>
        <v/>
      </c>
      <c r="AO312">
        <f>IF(J311&lt;=0,0,ROUND(J311*(1+IF(AND(J$6&gt;0,$B312&lt;J$6),J$4,J$5)/12),2))</f>
        <v/>
      </c>
      <c r="AP312">
        <f>IF(K311&lt;=0,0,ROUND(K311*(1+IF(AND(K$6&gt;0,$B312&lt;K$6),K$4,K$5)/12),2))</f>
        <v/>
      </c>
      <c r="AQ312">
        <f>IF(L311&lt;=0,0,ROUND(L311*(1+IF(AND(L$6&gt;0,$B312&lt;L$6),L$4,L$5)/12),2))</f>
        <v/>
      </c>
      <c r="AR312">
        <f>IF(M311&lt;=0,0,ROUND(M311*(1+IF(AND(M$6&gt;0,$B312&lt;M$6),M$4,M$5)/12),2))</f>
        <v/>
      </c>
      <c r="AS312">
        <f>IF(N311&lt;=0,0,ROUND(N311*(1+IF(AND(N$6&gt;0,$B312&lt;N$6),N$4,N$5)/12),2))</f>
        <v/>
      </c>
    </row>
    <row r="313">
      <c r="A313" t="n">
        <v>302</v>
      </c>
      <c r="B313">
        <f>EDATE(Plan!$C$6,301)</f>
        <v/>
      </c>
      <c r="C313">
        <f>IF(C312&lt;=0,0,MAX(0,AH313-O313))</f>
        <v/>
      </c>
      <c r="D313">
        <f>IF(D312&lt;=0,0,MAX(0,AI313-P313))</f>
        <v/>
      </c>
      <c r="E313">
        <f>IF(E312&lt;=0,0,MAX(0,AJ313-Q313))</f>
        <v/>
      </c>
      <c r="F313">
        <f>IF(F312&lt;=0,0,MAX(0,AK313-R313))</f>
        <v/>
      </c>
      <c r="G313">
        <f>IF(G312&lt;=0,0,MAX(0,AL313-S313))</f>
        <v/>
      </c>
      <c r="H313">
        <f>IF(H312&lt;=0,0,MAX(0,AM313-T313))</f>
        <v/>
      </c>
      <c r="I313">
        <f>IF(I312&lt;=0,0,MAX(0,AN313-U313))</f>
        <v/>
      </c>
      <c r="J313">
        <f>IF(J312&lt;=0,0,MAX(0,AO313-V313))</f>
        <v/>
      </c>
      <c r="K313">
        <f>IF(K312&lt;=0,0,MAX(0,AP313-W313))</f>
        <v/>
      </c>
      <c r="L313">
        <f>IF(L312&lt;=0,0,MAX(0,AQ313-X313))</f>
        <v/>
      </c>
      <c r="M313">
        <f>IF(M312&lt;=0,0,MAX(0,AR313-Y313))</f>
        <v/>
      </c>
      <c r="N313">
        <f>IF(N312&lt;=0,0,MAX(0,AS313-Z313))</f>
        <v/>
      </c>
      <c r="O313">
        <f>IF(C312&lt;=0,0,MIN(AH313,C$7+IF(C$2=$AA313,$AC313,IF(C$2=$AF313,$AG313,0))))</f>
        <v/>
      </c>
      <c r="P313">
        <f>IF(D312&lt;=0,0,MIN(AI313,D$7+IF(D$2=$AA313,$AC313,IF(D$2=$AF313,$AG313,0))))</f>
        <v/>
      </c>
      <c r="Q313">
        <f>IF(E312&lt;=0,0,MIN(AJ313,E$7+IF(E$2=$AA313,$AC313,IF(E$2=$AF313,$AG313,0))))</f>
        <v/>
      </c>
      <c r="R313">
        <f>IF(F312&lt;=0,0,MIN(AK313,F$7+IF(F$2=$AA313,$AC313,IF(F$2=$AF313,$AG313,0))))</f>
        <v/>
      </c>
      <c r="S313">
        <f>IF(G312&lt;=0,0,MIN(AL313,G$7+IF(G$2=$AA313,$AC313,IF(G$2=$AF313,$AG313,0))))</f>
        <v/>
      </c>
      <c r="T313">
        <f>IF(H312&lt;=0,0,MIN(AM313,H$7+IF(H$2=$AA313,$AC313,IF(H$2=$AF313,$AG313,0))))</f>
        <v/>
      </c>
      <c r="U313">
        <f>IF(I312&lt;=0,0,MIN(AN313,I$7+IF(I$2=$AA313,$AC313,IF(I$2=$AF313,$AG313,0))))</f>
        <v/>
      </c>
      <c r="V313">
        <f>IF(J312&lt;=0,0,MIN(AO313,J$7+IF(J$2=$AA313,$AC313,IF(J$2=$AF313,$AG313,0))))</f>
        <v/>
      </c>
      <c r="W313">
        <f>IF(K312&lt;=0,0,MIN(AP313,K$7+IF(K$2=$AA313,$AC313,IF(K$2=$AF313,$AG313,0))))</f>
        <v/>
      </c>
      <c r="X313">
        <f>IF(L312&lt;=0,0,MIN(AQ313,L$7+IF(L$2=$AA313,$AC313,IF(L$2=$AF313,$AG313,0))))</f>
        <v/>
      </c>
      <c r="Y313">
        <f>IF(M312&lt;=0,0,MIN(AR313,M$7+IF(M$2=$AA313,$AC313,IF(M$2=$AF313,$AG313,0))))</f>
        <v/>
      </c>
      <c r="Z313">
        <f>IF(N312&lt;=0,0,MIN(AS313,N$7+IF(N$2=$AA313,$AC313,IF(N$2=$AF313,$AG313,0))))</f>
        <v/>
      </c>
      <c r="AA313">
        <f>IFERROR(ROUND(1/SUMPRODUCT(MAX((C312:N312&gt;0)*($C$3:$N$3&lt;=B313)/$C$2:$N$2)),0),0)</f>
        <v/>
      </c>
      <c r="AB313">
        <f>SUMPRODUCT((C312:N312&gt;0)*$C$7:$N$7)</f>
        <v/>
      </c>
      <c r="AC313">
        <f>MAX(0,Plan!$C$5-AB313)+IF(A313=Plan!$C$8,N(Plan!$C$7),0)</f>
        <v/>
      </c>
      <c r="AD313">
        <f>SUM(C313:N313)</f>
        <v/>
      </c>
      <c r="AE313">
        <f>SUM(O313:Z313)</f>
        <v/>
      </c>
      <c r="AF313">
        <f>IFERROR(ROUND(1/SUMPRODUCT(MAX((C312:N312&gt;0)*($C$3:$N$3&lt;=B313)*($C$2:$N$2&gt;AA313)/$C$2:$N$2)),0),0)</f>
        <v/>
      </c>
      <c r="AG313">
        <f>MAX(0,AC313-MAX(0,SUMPRODUCT(($C$2:$N$2=AA313)*(AH313:AS313-$C$7:$N$7))))</f>
        <v/>
      </c>
      <c r="AH313">
        <f>IF(C312&lt;=0,0,ROUND(C312*(1+IF(AND(C$6&gt;0,$B313&lt;C$6),C$4,C$5)/12),2))</f>
        <v/>
      </c>
      <c r="AI313">
        <f>IF(D312&lt;=0,0,ROUND(D312*(1+IF(AND(D$6&gt;0,$B313&lt;D$6),D$4,D$5)/12),2))</f>
        <v/>
      </c>
      <c r="AJ313">
        <f>IF(E312&lt;=0,0,ROUND(E312*(1+IF(AND(E$6&gt;0,$B313&lt;E$6),E$4,E$5)/12),2))</f>
        <v/>
      </c>
      <c r="AK313">
        <f>IF(F312&lt;=0,0,ROUND(F312*(1+IF(AND(F$6&gt;0,$B313&lt;F$6),F$4,F$5)/12),2))</f>
        <v/>
      </c>
      <c r="AL313">
        <f>IF(G312&lt;=0,0,ROUND(G312*(1+IF(AND(G$6&gt;0,$B313&lt;G$6),G$4,G$5)/12),2))</f>
        <v/>
      </c>
      <c r="AM313">
        <f>IF(H312&lt;=0,0,ROUND(H312*(1+IF(AND(H$6&gt;0,$B313&lt;H$6),H$4,H$5)/12),2))</f>
        <v/>
      </c>
      <c r="AN313">
        <f>IF(I312&lt;=0,0,ROUND(I312*(1+IF(AND(I$6&gt;0,$B313&lt;I$6),I$4,I$5)/12),2))</f>
        <v/>
      </c>
      <c r="AO313">
        <f>IF(J312&lt;=0,0,ROUND(J312*(1+IF(AND(J$6&gt;0,$B313&lt;J$6),J$4,J$5)/12),2))</f>
        <v/>
      </c>
      <c r="AP313">
        <f>IF(K312&lt;=0,0,ROUND(K312*(1+IF(AND(K$6&gt;0,$B313&lt;K$6),K$4,K$5)/12),2))</f>
        <v/>
      </c>
      <c r="AQ313">
        <f>IF(L312&lt;=0,0,ROUND(L312*(1+IF(AND(L$6&gt;0,$B313&lt;L$6),L$4,L$5)/12),2))</f>
        <v/>
      </c>
      <c r="AR313">
        <f>IF(M312&lt;=0,0,ROUND(M312*(1+IF(AND(M$6&gt;0,$B313&lt;M$6),M$4,M$5)/12),2))</f>
        <v/>
      </c>
      <c r="AS313">
        <f>IF(N312&lt;=0,0,ROUND(N312*(1+IF(AND(N$6&gt;0,$B313&lt;N$6),N$4,N$5)/12),2))</f>
        <v/>
      </c>
    </row>
    <row r="314">
      <c r="A314" t="n">
        <v>303</v>
      </c>
      <c r="B314">
        <f>EDATE(Plan!$C$6,302)</f>
        <v/>
      </c>
      <c r="C314">
        <f>IF(C313&lt;=0,0,MAX(0,AH314-O314))</f>
        <v/>
      </c>
      <c r="D314">
        <f>IF(D313&lt;=0,0,MAX(0,AI314-P314))</f>
        <v/>
      </c>
      <c r="E314">
        <f>IF(E313&lt;=0,0,MAX(0,AJ314-Q314))</f>
        <v/>
      </c>
      <c r="F314">
        <f>IF(F313&lt;=0,0,MAX(0,AK314-R314))</f>
        <v/>
      </c>
      <c r="G314">
        <f>IF(G313&lt;=0,0,MAX(0,AL314-S314))</f>
        <v/>
      </c>
      <c r="H314">
        <f>IF(H313&lt;=0,0,MAX(0,AM314-T314))</f>
        <v/>
      </c>
      <c r="I314">
        <f>IF(I313&lt;=0,0,MAX(0,AN314-U314))</f>
        <v/>
      </c>
      <c r="J314">
        <f>IF(J313&lt;=0,0,MAX(0,AO314-V314))</f>
        <v/>
      </c>
      <c r="K314">
        <f>IF(K313&lt;=0,0,MAX(0,AP314-W314))</f>
        <v/>
      </c>
      <c r="L314">
        <f>IF(L313&lt;=0,0,MAX(0,AQ314-X314))</f>
        <v/>
      </c>
      <c r="M314">
        <f>IF(M313&lt;=0,0,MAX(0,AR314-Y314))</f>
        <v/>
      </c>
      <c r="N314">
        <f>IF(N313&lt;=0,0,MAX(0,AS314-Z314))</f>
        <v/>
      </c>
      <c r="O314">
        <f>IF(C313&lt;=0,0,MIN(AH314,C$7+IF(C$2=$AA314,$AC314,IF(C$2=$AF314,$AG314,0))))</f>
        <v/>
      </c>
      <c r="P314">
        <f>IF(D313&lt;=0,0,MIN(AI314,D$7+IF(D$2=$AA314,$AC314,IF(D$2=$AF314,$AG314,0))))</f>
        <v/>
      </c>
      <c r="Q314">
        <f>IF(E313&lt;=0,0,MIN(AJ314,E$7+IF(E$2=$AA314,$AC314,IF(E$2=$AF314,$AG314,0))))</f>
        <v/>
      </c>
      <c r="R314">
        <f>IF(F313&lt;=0,0,MIN(AK314,F$7+IF(F$2=$AA314,$AC314,IF(F$2=$AF314,$AG314,0))))</f>
        <v/>
      </c>
      <c r="S314">
        <f>IF(G313&lt;=0,0,MIN(AL314,G$7+IF(G$2=$AA314,$AC314,IF(G$2=$AF314,$AG314,0))))</f>
        <v/>
      </c>
      <c r="T314">
        <f>IF(H313&lt;=0,0,MIN(AM314,H$7+IF(H$2=$AA314,$AC314,IF(H$2=$AF314,$AG314,0))))</f>
        <v/>
      </c>
      <c r="U314">
        <f>IF(I313&lt;=0,0,MIN(AN314,I$7+IF(I$2=$AA314,$AC314,IF(I$2=$AF314,$AG314,0))))</f>
        <v/>
      </c>
      <c r="V314">
        <f>IF(J313&lt;=0,0,MIN(AO314,J$7+IF(J$2=$AA314,$AC314,IF(J$2=$AF314,$AG314,0))))</f>
        <v/>
      </c>
      <c r="W314">
        <f>IF(K313&lt;=0,0,MIN(AP314,K$7+IF(K$2=$AA314,$AC314,IF(K$2=$AF314,$AG314,0))))</f>
        <v/>
      </c>
      <c r="X314">
        <f>IF(L313&lt;=0,0,MIN(AQ314,L$7+IF(L$2=$AA314,$AC314,IF(L$2=$AF314,$AG314,0))))</f>
        <v/>
      </c>
      <c r="Y314">
        <f>IF(M313&lt;=0,0,MIN(AR314,M$7+IF(M$2=$AA314,$AC314,IF(M$2=$AF314,$AG314,0))))</f>
        <v/>
      </c>
      <c r="Z314">
        <f>IF(N313&lt;=0,0,MIN(AS314,N$7+IF(N$2=$AA314,$AC314,IF(N$2=$AF314,$AG314,0))))</f>
        <v/>
      </c>
      <c r="AA314">
        <f>IFERROR(ROUND(1/SUMPRODUCT(MAX((C313:N313&gt;0)*($C$3:$N$3&lt;=B314)/$C$2:$N$2)),0),0)</f>
        <v/>
      </c>
      <c r="AB314">
        <f>SUMPRODUCT((C313:N313&gt;0)*$C$7:$N$7)</f>
        <v/>
      </c>
      <c r="AC314">
        <f>MAX(0,Plan!$C$5-AB314)+IF(A314=Plan!$C$8,N(Plan!$C$7),0)</f>
        <v/>
      </c>
      <c r="AD314">
        <f>SUM(C314:N314)</f>
        <v/>
      </c>
      <c r="AE314">
        <f>SUM(O314:Z314)</f>
        <v/>
      </c>
      <c r="AF314">
        <f>IFERROR(ROUND(1/SUMPRODUCT(MAX((C313:N313&gt;0)*($C$3:$N$3&lt;=B314)*($C$2:$N$2&gt;AA314)/$C$2:$N$2)),0),0)</f>
        <v/>
      </c>
      <c r="AG314">
        <f>MAX(0,AC314-MAX(0,SUMPRODUCT(($C$2:$N$2=AA314)*(AH314:AS314-$C$7:$N$7))))</f>
        <v/>
      </c>
      <c r="AH314">
        <f>IF(C313&lt;=0,0,ROUND(C313*(1+IF(AND(C$6&gt;0,$B314&lt;C$6),C$4,C$5)/12),2))</f>
        <v/>
      </c>
      <c r="AI314">
        <f>IF(D313&lt;=0,0,ROUND(D313*(1+IF(AND(D$6&gt;0,$B314&lt;D$6),D$4,D$5)/12),2))</f>
        <v/>
      </c>
      <c r="AJ314">
        <f>IF(E313&lt;=0,0,ROUND(E313*(1+IF(AND(E$6&gt;0,$B314&lt;E$6),E$4,E$5)/12),2))</f>
        <v/>
      </c>
      <c r="AK314">
        <f>IF(F313&lt;=0,0,ROUND(F313*(1+IF(AND(F$6&gt;0,$B314&lt;F$6),F$4,F$5)/12),2))</f>
        <v/>
      </c>
      <c r="AL314">
        <f>IF(G313&lt;=0,0,ROUND(G313*(1+IF(AND(G$6&gt;0,$B314&lt;G$6),G$4,G$5)/12),2))</f>
        <v/>
      </c>
      <c r="AM314">
        <f>IF(H313&lt;=0,0,ROUND(H313*(1+IF(AND(H$6&gt;0,$B314&lt;H$6),H$4,H$5)/12),2))</f>
        <v/>
      </c>
      <c r="AN314">
        <f>IF(I313&lt;=0,0,ROUND(I313*(1+IF(AND(I$6&gt;0,$B314&lt;I$6),I$4,I$5)/12),2))</f>
        <v/>
      </c>
      <c r="AO314">
        <f>IF(J313&lt;=0,0,ROUND(J313*(1+IF(AND(J$6&gt;0,$B314&lt;J$6),J$4,J$5)/12),2))</f>
        <v/>
      </c>
      <c r="AP314">
        <f>IF(K313&lt;=0,0,ROUND(K313*(1+IF(AND(K$6&gt;0,$B314&lt;K$6),K$4,K$5)/12),2))</f>
        <v/>
      </c>
      <c r="AQ314">
        <f>IF(L313&lt;=0,0,ROUND(L313*(1+IF(AND(L$6&gt;0,$B314&lt;L$6),L$4,L$5)/12),2))</f>
        <v/>
      </c>
      <c r="AR314">
        <f>IF(M313&lt;=0,0,ROUND(M313*(1+IF(AND(M$6&gt;0,$B314&lt;M$6),M$4,M$5)/12),2))</f>
        <v/>
      </c>
      <c r="AS314">
        <f>IF(N313&lt;=0,0,ROUND(N313*(1+IF(AND(N$6&gt;0,$B314&lt;N$6),N$4,N$5)/12),2))</f>
        <v/>
      </c>
    </row>
    <row r="315">
      <c r="A315" t="n">
        <v>304</v>
      </c>
      <c r="B315">
        <f>EDATE(Plan!$C$6,303)</f>
        <v/>
      </c>
      <c r="C315">
        <f>IF(C314&lt;=0,0,MAX(0,AH315-O315))</f>
        <v/>
      </c>
      <c r="D315">
        <f>IF(D314&lt;=0,0,MAX(0,AI315-P315))</f>
        <v/>
      </c>
      <c r="E315">
        <f>IF(E314&lt;=0,0,MAX(0,AJ315-Q315))</f>
        <v/>
      </c>
      <c r="F315">
        <f>IF(F314&lt;=0,0,MAX(0,AK315-R315))</f>
        <v/>
      </c>
      <c r="G315">
        <f>IF(G314&lt;=0,0,MAX(0,AL315-S315))</f>
        <v/>
      </c>
      <c r="H315">
        <f>IF(H314&lt;=0,0,MAX(0,AM315-T315))</f>
        <v/>
      </c>
      <c r="I315">
        <f>IF(I314&lt;=0,0,MAX(0,AN315-U315))</f>
        <v/>
      </c>
      <c r="J315">
        <f>IF(J314&lt;=0,0,MAX(0,AO315-V315))</f>
        <v/>
      </c>
      <c r="K315">
        <f>IF(K314&lt;=0,0,MAX(0,AP315-W315))</f>
        <v/>
      </c>
      <c r="L315">
        <f>IF(L314&lt;=0,0,MAX(0,AQ315-X315))</f>
        <v/>
      </c>
      <c r="M315">
        <f>IF(M314&lt;=0,0,MAX(0,AR315-Y315))</f>
        <v/>
      </c>
      <c r="N315">
        <f>IF(N314&lt;=0,0,MAX(0,AS315-Z315))</f>
        <v/>
      </c>
      <c r="O315">
        <f>IF(C314&lt;=0,0,MIN(AH315,C$7+IF(C$2=$AA315,$AC315,IF(C$2=$AF315,$AG315,0))))</f>
        <v/>
      </c>
      <c r="P315">
        <f>IF(D314&lt;=0,0,MIN(AI315,D$7+IF(D$2=$AA315,$AC315,IF(D$2=$AF315,$AG315,0))))</f>
        <v/>
      </c>
      <c r="Q315">
        <f>IF(E314&lt;=0,0,MIN(AJ315,E$7+IF(E$2=$AA315,$AC315,IF(E$2=$AF315,$AG315,0))))</f>
        <v/>
      </c>
      <c r="R315">
        <f>IF(F314&lt;=0,0,MIN(AK315,F$7+IF(F$2=$AA315,$AC315,IF(F$2=$AF315,$AG315,0))))</f>
        <v/>
      </c>
      <c r="S315">
        <f>IF(G314&lt;=0,0,MIN(AL315,G$7+IF(G$2=$AA315,$AC315,IF(G$2=$AF315,$AG315,0))))</f>
        <v/>
      </c>
      <c r="T315">
        <f>IF(H314&lt;=0,0,MIN(AM315,H$7+IF(H$2=$AA315,$AC315,IF(H$2=$AF315,$AG315,0))))</f>
        <v/>
      </c>
      <c r="U315">
        <f>IF(I314&lt;=0,0,MIN(AN315,I$7+IF(I$2=$AA315,$AC315,IF(I$2=$AF315,$AG315,0))))</f>
        <v/>
      </c>
      <c r="V315">
        <f>IF(J314&lt;=0,0,MIN(AO315,J$7+IF(J$2=$AA315,$AC315,IF(J$2=$AF315,$AG315,0))))</f>
        <v/>
      </c>
      <c r="W315">
        <f>IF(K314&lt;=0,0,MIN(AP315,K$7+IF(K$2=$AA315,$AC315,IF(K$2=$AF315,$AG315,0))))</f>
        <v/>
      </c>
      <c r="X315">
        <f>IF(L314&lt;=0,0,MIN(AQ315,L$7+IF(L$2=$AA315,$AC315,IF(L$2=$AF315,$AG315,0))))</f>
        <v/>
      </c>
      <c r="Y315">
        <f>IF(M314&lt;=0,0,MIN(AR315,M$7+IF(M$2=$AA315,$AC315,IF(M$2=$AF315,$AG315,0))))</f>
        <v/>
      </c>
      <c r="Z315">
        <f>IF(N314&lt;=0,0,MIN(AS315,N$7+IF(N$2=$AA315,$AC315,IF(N$2=$AF315,$AG315,0))))</f>
        <v/>
      </c>
      <c r="AA315">
        <f>IFERROR(ROUND(1/SUMPRODUCT(MAX((C314:N314&gt;0)*($C$3:$N$3&lt;=B315)/$C$2:$N$2)),0),0)</f>
        <v/>
      </c>
      <c r="AB315">
        <f>SUMPRODUCT((C314:N314&gt;0)*$C$7:$N$7)</f>
        <v/>
      </c>
      <c r="AC315">
        <f>MAX(0,Plan!$C$5-AB315)+IF(A315=Plan!$C$8,N(Plan!$C$7),0)</f>
        <v/>
      </c>
      <c r="AD315">
        <f>SUM(C315:N315)</f>
        <v/>
      </c>
      <c r="AE315">
        <f>SUM(O315:Z315)</f>
        <v/>
      </c>
      <c r="AF315">
        <f>IFERROR(ROUND(1/SUMPRODUCT(MAX((C314:N314&gt;0)*($C$3:$N$3&lt;=B315)*($C$2:$N$2&gt;AA315)/$C$2:$N$2)),0),0)</f>
        <v/>
      </c>
      <c r="AG315">
        <f>MAX(0,AC315-MAX(0,SUMPRODUCT(($C$2:$N$2=AA315)*(AH315:AS315-$C$7:$N$7))))</f>
        <v/>
      </c>
      <c r="AH315">
        <f>IF(C314&lt;=0,0,ROUND(C314*(1+IF(AND(C$6&gt;0,$B315&lt;C$6),C$4,C$5)/12),2))</f>
        <v/>
      </c>
      <c r="AI315">
        <f>IF(D314&lt;=0,0,ROUND(D314*(1+IF(AND(D$6&gt;0,$B315&lt;D$6),D$4,D$5)/12),2))</f>
        <v/>
      </c>
      <c r="AJ315">
        <f>IF(E314&lt;=0,0,ROUND(E314*(1+IF(AND(E$6&gt;0,$B315&lt;E$6),E$4,E$5)/12),2))</f>
        <v/>
      </c>
      <c r="AK315">
        <f>IF(F314&lt;=0,0,ROUND(F314*(1+IF(AND(F$6&gt;0,$B315&lt;F$6),F$4,F$5)/12),2))</f>
        <v/>
      </c>
      <c r="AL315">
        <f>IF(G314&lt;=0,0,ROUND(G314*(1+IF(AND(G$6&gt;0,$B315&lt;G$6),G$4,G$5)/12),2))</f>
        <v/>
      </c>
      <c r="AM315">
        <f>IF(H314&lt;=0,0,ROUND(H314*(1+IF(AND(H$6&gt;0,$B315&lt;H$6),H$4,H$5)/12),2))</f>
        <v/>
      </c>
      <c r="AN315">
        <f>IF(I314&lt;=0,0,ROUND(I314*(1+IF(AND(I$6&gt;0,$B315&lt;I$6),I$4,I$5)/12),2))</f>
        <v/>
      </c>
      <c r="AO315">
        <f>IF(J314&lt;=0,0,ROUND(J314*(1+IF(AND(J$6&gt;0,$B315&lt;J$6),J$4,J$5)/12),2))</f>
        <v/>
      </c>
      <c r="AP315">
        <f>IF(K314&lt;=0,0,ROUND(K314*(1+IF(AND(K$6&gt;0,$B315&lt;K$6),K$4,K$5)/12),2))</f>
        <v/>
      </c>
      <c r="AQ315">
        <f>IF(L314&lt;=0,0,ROUND(L314*(1+IF(AND(L$6&gt;0,$B315&lt;L$6),L$4,L$5)/12),2))</f>
        <v/>
      </c>
      <c r="AR315">
        <f>IF(M314&lt;=0,0,ROUND(M314*(1+IF(AND(M$6&gt;0,$B315&lt;M$6),M$4,M$5)/12),2))</f>
        <v/>
      </c>
      <c r="AS315">
        <f>IF(N314&lt;=0,0,ROUND(N314*(1+IF(AND(N$6&gt;0,$B315&lt;N$6),N$4,N$5)/12),2))</f>
        <v/>
      </c>
    </row>
    <row r="316">
      <c r="A316" t="n">
        <v>305</v>
      </c>
      <c r="B316">
        <f>EDATE(Plan!$C$6,304)</f>
        <v/>
      </c>
      <c r="C316">
        <f>IF(C315&lt;=0,0,MAX(0,AH316-O316))</f>
        <v/>
      </c>
      <c r="D316">
        <f>IF(D315&lt;=0,0,MAX(0,AI316-P316))</f>
        <v/>
      </c>
      <c r="E316">
        <f>IF(E315&lt;=0,0,MAX(0,AJ316-Q316))</f>
        <v/>
      </c>
      <c r="F316">
        <f>IF(F315&lt;=0,0,MAX(0,AK316-R316))</f>
        <v/>
      </c>
      <c r="G316">
        <f>IF(G315&lt;=0,0,MAX(0,AL316-S316))</f>
        <v/>
      </c>
      <c r="H316">
        <f>IF(H315&lt;=0,0,MAX(0,AM316-T316))</f>
        <v/>
      </c>
      <c r="I316">
        <f>IF(I315&lt;=0,0,MAX(0,AN316-U316))</f>
        <v/>
      </c>
      <c r="J316">
        <f>IF(J315&lt;=0,0,MAX(0,AO316-V316))</f>
        <v/>
      </c>
      <c r="K316">
        <f>IF(K315&lt;=0,0,MAX(0,AP316-W316))</f>
        <v/>
      </c>
      <c r="L316">
        <f>IF(L315&lt;=0,0,MAX(0,AQ316-X316))</f>
        <v/>
      </c>
      <c r="M316">
        <f>IF(M315&lt;=0,0,MAX(0,AR316-Y316))</f>
        <v/>
      </c>
      <c r="N316">
        <f>IF(N315&lt;=0,0,MAX(0,AS316-Z316))</f>
        <v/>
      </c>
      <c r="O316">
        <f>IF(C315&lt;=0,0,MIN(AH316,C$7+IF(C$2=$AA316,$AC316,IF(C$2=$AF316,$AG316,0))))</f>
        <v/>
      </c>
      <c r="P316">
        <f>IF(D315&lt;=0,0,MIN(AI316,D$7+IF(D$2=$AA316,$AC316,IF(D$2=$AF316,$AG316,0))))</f>
        <v/>
      </c>
      <c r="Q316">
        <f>IF(E315&lt;=0,0,MIN(AJ316,E$7+IF(E$2=$AA316,$AC316,IF(E$2=$AF316,$AG316,0))))</f>
        <v/>
      </c>
      <c r="R316">
        <f>IF(F315&lt;=0,0,MIN(AK316,F$7+IF(F$2=$AA316,$AC316,IF(F$2=$AF316,$AG316,0))))</f>
        <v/>
      </c>
      <c r="S316">
        <f>IF(G315&lt;=0,0,MIN(AL316,G$7+IF(G$2=$AA316,$AC316,IF(G$2=$AF316,$AG316,0))))</f>
        <v/>
      </c>
      <c r="T316">
        <f>IF(H315&lt;=0,0,MIN(AM316,H$7+IF(H$2=$AA316,$AC316,IF(H$2=$AF316,$AG316,0))))</f>
        <v/>
      </c>
      <c r="U316">
        <f>IF(I315&lt;=0,0,MIN(AN316,I$7+IF(I$2=$AA316,$AC316,IF(I$2=$AF316,$AG316,0))))</f>
        <v/>
      </c>
      <c r="V316">
        <f>IF(J315&lt;=0,0,MIN(AO316,J$7+IF(J$2=$AA316,$AC316,IF(J$2=$AF316,$AG316,0))))</f>
        <v/>
      </c>
      <c r="W316">
        <f>IF(K315&lt;=0,0,MIN(AP316,K$7+IF(K$2=$AA316,$AC316,IF(K$2=$AF316,$AG316,0))))</f>
        <v/>
      </c>
      <c r="X316">
        <f>IF(L315&lt;=0,0,MIN(AQ316,L$7+IF(L$2=$AA316,$AC316,IF(L$2=$AF316,$AG316,0))))</f>
        <v/>
      </c>
      <c r="Y316">
        <f>IF(M315&lt;=0,0,MIN(AR316,M$7+IF(M$2=$AA316,$AC316,IF(M$2=$AF316,$AG316,0))))</f>
        <v/>
      </c>
      <c r="Z316">
        <f>IF(N315&lt;=0,0,MIN(AS316,N$7+IF(N$2=$AA316,$AC316,IF(N$2=$AF316,$AG316,0))))</f>
        <v/>
      </c>
      <c r="AA316">
        <f>IFERROR(ROUND(1/SUMPRODUCT(MAX((C315:N315&gt;0)*($C$3:$N$3&lt;=B316)/$C$2:$N$2)),0),0)</f>
        <v/>
      </c>
      <c r="AB316">
        <f>SUMPRODUCT((C315:N315&gt;0)*$C$7:$N$7)</f>
        <v/>
      </c>
      <c r="AC316">
        <f>MAX(0,Plan!$C$5-AB316)+IF(A316=Plan!$C$8,N(Plan!$C$7),0)</f>
        <v/>
      </c>
      <c r="AD316">
        <f>SUM(C316:N316)</f>
        <v/>
      </c>
      <c r="AE316">
        <f>SUM(O316:Z316)</f>
        <v/>
      </c>
      <c r="AF316">
        <f>IFERROR(ROUND(1/SUMPRODUCT(MAX((C315:N315&gt;0)*($C$3:$N$3&lt;=B316)*($C$2:$N$2&gt;AA316)/$C$2:$N$2)),0),0)</f>
        <v/>
      </c>
      <c r="AG316">
        <f>MAX(0,AC316-MAX(0,SUMPRODUCT(($C$2:$N$2=AA316)*(AH316:AS316-$C$7:$N$7))))</f>
        <v/>
      </c>
      <c r="AH316">
        <f>IF(C315&lt;=0,0,ROUND(C315*(1+IF(AND(C$6&gt;0,$B316&lt;C$6),C$4,C$5)/12),2))</f>
        <v/>
      </c>
      <c r="AI316">
        <f>IF(D315&lt;=0,0,ROUND(D315*(1+IF(AND(D$6&gt;0,$B316&lt;D$6),D$4,D$5)/12),2))</f>
        <v/>
      </c>
      <c r="AJ316">
        <f>IF(E315&lt;=0,0,ROUND(E315*(1+IF(AND(E$6&gt;0,$B316&lt;E$6),E$4,E$5)/12),2))</f>
        <v/>
      </c>
      <c r="AK316">
        <f>IF(F315&lt;=0,0,ROUND(F315*(1+IF(AND(F$6&gt;0,$B316&lt;F$6),F$4,F$5)/12),2))</f>
        <v/>
      </c>
      <c r="AL316">
        <f>IF(G315&lt;=0,0,ROUND(G315*(1+IF(AND(G$6&gt;0,$B316&lt;G$6),G$4,G$5)/12),2))</f>
        <v/>
      </c>
      <c r="AM316">
        <f>IF(H315&lt;=0,0,ROUND(H315*(1+IF(AND(H$6&gt;0,$B316&lt;H$6),H$4,H$5)/12),2))</f>
        <v/>
      </c>
      <c r="AN316">
        <f>IF(I315&lt;=0,0,ROUND(I315*(1+IF(AND(I$6&gt;0,$B316&lt;I$6),I$4,I$5)/12),2))</f>
        <v/>
      </c>
      <c r="AO316">
        <f>IF(J315&lt;=0,0,ROUND(J315*(1+IF(AND(J$6&gt;0,$B316&lt;J$6),J$4,J$5)/12),2))</f>
        <v/>
      </c>
      <c r="AP316">
        <f>IF(K315&lt;=0,0,ROUND(K315*(1+IF(AND(K$6&gt;0,$B316&lt;K$6),K$4,K$5)/12),2))</f>
        <v/>
      </c>
      <c r="AQ316">
        <f>IF(L315&lt;=0,0,ROUND(L315*(1+IF(AND(L$6&gt;0,$B316&lt;L$6),L$4,L$5)/12),2))</f>
        <v/>
      </c>
      <c r="AR316">
        <f>IF(M315&lt;=0,0,ROUND(M315*(1+IF(AND(M$6&gt;0,$B316&lt;M$6),M$4,M$5)/12),2))</f>
        <v/>
      </c>
      <c r="AS316">
        <f>IF(N315&lt;=0,0,ROUND(N315*(1+IF(AND(N$6&gt;0,$B316&lt;N$6),N$4,N$5)/12),2))</f>
        <v/>
      </c>
    </row>
    <row r="317">
      <c r="A317" t="n">
        <v>306</v>
      </c>
      <c r="B317">
        <f>EDATE(Plan!$C$6,305)</f>
        <v/>
      </c>
      <c r="C317">
        <f>IF(C316&lt;=0,0,MAX(0,AH317-O317))</f>
        <v/>
      </c>
      <c r="D317">
        <f>IF(D316&lt;=0,0,MAX(0,AI317-P317))</f>
        <v/>
      </c>
      <c r="E317">
        <f>IF(E316&lt;=0,0,MAX(0,AJ317-Q317))</f>
        <v/>
      </c>
      <c r="F317">
        <f>IF(F316&lt;=0,0,MAX(0,AK317-R317))</f>
        <v/>
      </c>
      <c r="G317">
        <f>IF(G316&lt;=0,0,MAX(0,AL317-S317))</f>
        <v/>
      </c>
      <c r="H317">
        <f>IF(H316&lt;=0,0,MAX(0,AM317-T317))</f>
        <v/>
      </c>
      <c r="I317">
        <f>IF(I316&lt;=0,0,MAX(0,AN317-U317))</f>
        <v/>
      </c>
      <c r="J317">
        <f>IF(J316&lt;=0,0,MAX(0,AO317-V317))</f>
        <v/>
      </c>
      <c r="K317">
        <f>IF(K316&lt;=0,0,MAX(0,AP317-W317))</f>
        <v/>
      </c>
      <c r="L317">
        <f>IF(L316&lt;=0,0,MAX(0,AQ317-X317))</f>
        <v/>
      </c>
      <c r="M317">
        <f>IF(M316&lt;=0,0,MAX(0,AR317-Y317))</f>
        <v/>
      </c>
      <c r="N317">
        <f>IF(N316&lt;=0,0,MAX(0,AS317-Z317))</f>
        <v/>
      </c>
      <c r="O317">
        <f>IF(C316&lt;=0,0,MIN(AH317,C$7+IF(C$2=$AA317,$AC317,IF(C$2=$AF317,$AG317,0))))</f>
        <v/>
      </c>
      <c r="P317">
        <f>IF(D316&lt;=0,0,MIN(AI317,D$7+IF(D$2=$AA317,$AC317,IF(D$2=$AF317,$AG317,0))))</f>
        <v/>
      </c>
      <c r="Q317">
        <f>IF(E316&lt;=0,0,MIN(AJ317,E$7+IF(E$2=$AA317,$AC317,IF(E$2=$AF317,$AG317,0))))</f>
        <v/>
      </c>
      <c r="R317">
        <f>IF(F316&lt;=0,0,MIN(AK317,F$7+IF(F$2=$AA317,$AC317,IF(F$2=$AF317,$AG317,0))))</f>
        <v/>
      </c>
      <c r="S317">
        <f>IF(G316&lt;=0,0,MIN(AL317,G$7+IF(G$2=$AA317,$AC317,IF(G$2=$AF317,$AG317,0))))</f>
        <v/>
      </c>
      <c r="T317">
        <f>IF(H316&lt;=0,0,MIN(AM317,H$7+IF(H$2=$AA317,$AC317,IF(H$2=$AF317,$AG317,0))))</f>
        <v/>
      </c>
      <c r="U317">
        <f>IF(I316&lt;=0,0,MIN(AN317,I$7+IF(I$2=$AA317,$AC317,IF(I$2=$AF317,$AG317,0))))</f>
        <v/>
      </c>
      <c r="V317">
        <f>IF(J316&lt;=0,0,MIN(AO317,J$7+IF(J$2=$AA317,$AC317,IF(J$2=$AF317,$AG317,0))))</f>
        <v/>
      </c>
      <c r="W317">
        <f>IF(K316&lt;=0,0,MIN(AP317,K$7+IF(K$2=$AA317,$AC317,IF(K$2=$AF317,$AG317,0))))</f>
        <v/>
      </c>
      <c r="X317">
        <f>IF(L316&lt;=0,0,MIN(AQ317,L$7+IF(L$2=$AA317,$AC317,IF(L$2=$AF317,$AG317,0))))</f>
        <v/>
      </c>
      <c r="Y317">
        <f>IF(M316&lt;=0,0,MIN(AR317,M$7+IF(M$2=$AA317,$AC317,IF(M$2=$AF317,$AG317,0))))</f>
        <v/>
      </c>
      <c r="Z317">
        <f>IF(N316&lt;=0,0,MIN(AS317,N$7+IF(N$2=$AA317,$AC317,IF(N$2=$AF317,$AG317,0))))</f>
        <v/>
      </c>
      <c r="AA317">
        <f>IFERROR(ROUND(1/SUMPRODUCT(MAX((C316:N316&gt;0)*($C$3:$N$3&lt;=B317)/$C$2:$N$2)),0),0)</f>
        <v/>
      </c>
      <c r="AB317">
        <f>SUMPRODUCT((C316:N316&gt;0)*$C$7:$N$7)</f>
        <v/>
      </c>
      <c r="AC317">
        <f>MAX(0,Plan!$C$5-AB317)+IF(A317=Plan!$C$8,N(Plan!$C$7),0)</f>
        <v/>
      </c>
      <c r="AD317">
        <f>SUM(C317:N317)</f>
        <v/>
      </c>
      <c r="AE317">
        <f>SUM(O317:Z317)</f>
        <v/>
      </c>
      <c r="AF317">
        <f>IFERROR(ROUND(1/SUMPRODUCT(MAX((C316:N316&gt;0)*($C$3:$N$3&lt;=B317)*($C$2:$N$2&gt;AA317)/$C$2:$N$2)),0),0)</f>
        <v/>
      </c>
      <c r="AG317">
        <f>MAX(0,AC317-MAX(0,SUMPRODUCT(($C$2:$N$2=AA317)*(AH317:AS317-$C$7:$N$7))))</f>
        <v/>
      </c>
      <c r="AH317">
        <f>IF(C316&lt;=0,0,ROUND(C316*(1+IF(AND(C$6&gt;0,$B317&lt;C$6),C$4,C$5)/12),2))</f>
        <v/>
      </c>
      <c r="AI317">
        <f>IF(D316&lt;=0,0,ROUND(D316*(1+IF(AND(D$6&gt;0,$B317&lt;D$6),D$4,D$5)/12),2))</f>
        <v/>
      </c>
      <c r="AJ317">
        <f>IF(E316&lt;=0,0,ROUND(E316*(1+IF(AND(E$6&gt;0,$B317&lt;E$6),E$4,E$5)/12),2))</f>
        <v/>
      </c>
      <c r="AK317">
        <f>IF(F316&lt;=0,0,ROUND(F316*(1+IF(AND(F$6&gt;0,$B317&lt;F$6),F$4,F$5)/12),2))</f>
        <v/>
      </c>
      <c r="AL317">
        <f>IF(G316&lt;=0,0,ROUND(G316*(1+IF(AND(G$6&gt;0,$B317&lt;G$6),G$4,G$5)/12),2))</f>
        <v/>
      </c>
      <c r="AM317">
        <f>IF(H316&lt;=0,0,ROUND(H316*(1+IF(AND(H$6&gt;0,$B317&lt;H$6),H$4,H$5)/12),2))</f>
        <v/>
      </c>
      <c r="AN317">
        <f>IF(I316&lt;=0,0,ROUND(I316*(1+IF(AND(I$6&gt;0,$B317&lt;I$6),I$4,I$5)/12),2))</f>
        <v/>
      </c>
      <c r="AO317">
        <f>IF(J316&lt;=0,0,ROUND(J316*(1+IF(AND(J$6&gt;0,$B317&lt;J$6),J$4,J$5)/12),2))</f>
        <v/>
      </c>
      <c r="AP317">
        <f>IF(K316&lt;=0,0,ROUND(K316*(1+IF(AND(K$6&gt;0,$B317&lt;K$6),K$4,K$5)/12),2))</f>
        <v/>
      </c>
      <c r="AQ317">
        <f>IF(L316&lt;=0,0,ROUND(L316*(1+IF(AND(L$6&gt;0,$B317&lt;L$6),L$4,L$5)/12),2))</f>
        <v/>
      </c>
      <c r="AR317">
        <f>IF(M316&lt;=0,0,ROUND(M316*(1+IF(AND(M$6&gt;0,$B317&lt;M$6),M$4,M$5)/12),2))</f>
        <v/>
      </c>
      <c r="AS317">
        <f>IF(N316&lt;=0,0,ROUND(N316*(1+IF(AND(N$6&gt;0,$B317&lt;N$6),N$4,N$5)/12),2))</f>
        <v/>
      </c>
    </row>
    <row r="318">
      <c r="A318" t="n">
        <v>307</v>
      </c>
      <c r="B318">
        <f>EDATE(Plan!$C$6,306)</f>
        <v/>
      </c>
      <c r="C318">
        <f>IF(C317&lt;=0,0,MAX(0,AH318-O318))</f>
        <v/>
      </c>
      <c r="D318">
        <f>IF(D317&lt;=0,0,MAX(0,AI318-P318))</f>
        <v/>
      </c>
      <c r="E318">
        <f>IF(E317&lt;=0,0,MAX(0,AJ318-Q318))</f>
        <v/>
      </c>
      <c r="F318">
        <f>IF(F317&lt;=0,0,MAX(0,AK318-R318))</f>
        <v/>
      </c>
      <c r="G318">
        <f>IF(G317&lt;=0,0,MAX(0,AL318-S318))</f>
        <v/>
      </c>
      <c r="H318">
        <f>IF(H317&lt;=0,0,MAX(0,AM318-T318))</f>
        <v/>
      </c>
      <c r="I318">
        <f>IF(I317&lt;=0,0,MAX(0,AN318-U318))</f>
        <v/>
      </c>
      <c r="J318">
        <f>IF(J317&lt;=0,0,MAX(0,AO318-V318))</f>
        <v/>
      </c>
      <c r="K318">
        <f>IF(K317&lt;=0,0,MAX(0,AP318-W318))</f>
        <v/>
      </c>
      <c r="L318">
        <f>IF(L317&lt;=0,0,MAX(0,AQ318-X318))</f>
        <v/>
      </c>
      <c r="M318">
        <f>IF(M317&lt;=0,0,MAX(0,AR318-Y318))</f>
        <v/>
      </c>
      <c r="N318">
        <f>IF(N317&lt;=0,0,MAX(0,AS318-Z318))</f>
        <v/>
      </c>
      <c r="O318">
        <f>IF(C317&lt;=0,0,MIN(AH318,C$7+IF(C$2=$AA318,$AC318,IF(C$2=$AF318,$AG318,0))))</f>
        <v/>
      </c>
      <c r="P318">
        <f>IF(D317&lt;=0,0,MIN(AI318,D$7+IF(D$2=$AA318,$AC318,IF(D$2=$AF318,$AG318,0))))</f>
        <v/>
      </c>
      <c r="Q318">
        <f>IF(E317&lt;=0,0,MIN(AJ318,E$7+IF(E$2=$AA318,$AC318,IF(E$2=$AF318,$AG318,0))))</f>
        <v/>
      </c>
      <c r="R318">
        <f>IF(F317&lt;=0,0,MIN(AK318,F$7+IF(F$2=$AA318,$AC318,IF(F$2=$AF318,$AG318,0))))</f>
        <v/>
      </c>
      <c r="S318">
        <f>IF(G317&lt;=0,0,MIN(AL318,G$7+IF(G$2=$AA318,$AC318,IF(G$2=$AF318,$AG318,0))))</f>
        <v/>
      </c>
      <c r="T318">
        <f>IF(H317&lt;=0,0,MIN(AM318,H$7+IF(H$2=$AA318,$AC318,IF(H$2=$AF318,$AG318,0))))</f>
        <v/>
      </c>
      <c r="U318">
        <f>IF(I317&lt;=0,0,MIN(AN318,I$7+IF(I$2=$AA318,$AC318,IF(I$2=$AF318,$AG318,0))))</f>
        <v/>
      </c>
      <c r="V318">
        <f>IF(J317&lt;=0,0,MIN(AO318,J$7+IF(J$2=$AA318,$AC318,IF(J$2=$AF318,$AG318,0))))</f>
        <v/>
      </c>
      <c r="W318">
        <f>IF(K317&lt;=0,0,MIN(AP318,K$7+IF(K$2=$AA318,$AC318,IF(K$2=$AF318,$AG318,0))))</f>
        <v/>
      </c>
      <c r="X318">
        <f>IF(L317&lt;=0,0,MIN(AQ318,L$7+IF(L$2=$AA318,$AC318,IF(L$2=$AF318,$AG318,0))))</f>
        <v/>
      </c>
      <c r="Y318">
        <f>IF(M317&lt;=0,0,MIN(AR318,M$7+IF(M$2=$AA318,$AC318,IF(M$2=$AF318,$AG318,0))))</f>
        <v/>
      </c>
      <c r="Z318">
        <f>IF(N317&lt;=0,0,MIN(AS318,N$7+IF(N$2=$AA318,$AC318,IF(N$2=$AF318,$AG318,0))))</f>
        <v/>
      </c>
      <c r="AA318">
        <f>IFERROR(ROUND(1/SUMPRODUCT(MAX((C317:N317&gt;0)*($C$3:$N$3&lt;=B318)/$C$2:$N$2)),0),0)</f>
        <v/>
      </c>
      <c r="AB318">
        <f>SUMPRODUCT((C317:N317&gt;0)*$C$7:$N$7)</f>
        <v/>
      </c>
      <c r="AC318">
        <f>MAX(0,Plan!$C$5-AB318)+IF(A318=Plan!$C$8,N(Plan!$C$7),0)</f>
        <v/>
      </c>
      <c r="AD318">
        <f>SUM(C318:N318)</f>
        <v/>
      </c>
      <c r="AE318">
        <f>SUM(O318:Z318)</f>
        <v/>
      </c>
      <c r="AF318">
        <f>IFERROR(ROUND(1/SUMPRODUCT(MAX((C317:N317&gt;0)*($C$3:$N$3&lt;=B318)*($C$2:$N$2&gt;AA318)/$C$2:$N$2)),0),0)</f>
        <v/>
      </c>
      <c r="AG318">
        <f>MAX(0,AC318-MAX(0,SUMPRODUCT(($C$2:$N$2=AA318)*(AH318:AS318-$C$7:$N$7))))</f>
        <v/>
      </c>
      <c r="AH318">
        <f>IF(C317&lt;=0,0,ROUND(C317*(1+IF(AND(C$6&gt;0,$B318&lt;C$6),C$4,C$5)/12),2))</f>
        <v/>
      </c>
      <c r="AI318">
        <f>IF(D317&lt;=0,0,ROUND(D317*(1+IF(AND(D$6&gt;0,$B318&lt;D$6),D$4,D$5)/12),2))</f>
        <v/>
      </c>
      <c r="AJ318">
        <f>IF(E317&lt;=0,0,ROUND(E317*(1+IF(AND(E$6&gt;0,$B318&lt;E$6),E$4,E$5)/12),2))</f>
        <v/>
      </c>
      <c r="AK318">
        <f>IF(F317&lt;=0,0,ROUND(F317*(1+IF(AND(F$6&gt;0,$B318&lt;F$6),F$4,F$5)/12),2))</f>
        <v/>
      </c>
      <c r="AL318">
        <f>IF(G317&lt;=0,0,ROUND(G317*(1+IF(AND(G$6&gt;0,$B318&lt;G$6),G$4,G$5)/12),2))</f>
        <v/>
      </c>
      <c r="AM318">
        <f>IF(H317&lt;=0,0,ROUND(H317*(1+IF(AND(H$6&gt;0,$B318&lt;H$6),H$4,H$5)/12),2))</f>
        <v/>
      </c>
      <c r="AN318">
        <f>IF(I317&lt;=0,0,ROUND(I317*(1+IF(AND(I$6&gt;0,$B318&lt;I$6),I$4,I$5)/12),2))</f>
        <v/>
      </c>
      <c r="AO318">
        <f>IF(J317&lt;=0,0,ROUND(J317*(1+IF(AND(J$6&gt;0,$B318&lt;J$6),J$4,J$5)/12),2))</f>
        <v/>
      </c>
      <c r="AP318">
        <f>IF(K317&lt;=0,0,ROUND(K317*(1+IF(AND(K$6&gt;0,$B318&lt;K$6),K$4,K$5)/12),2))</f>
        <v/>
      </c>
      <c r="AQ318">
        <f>IF(L317&lt;=0,0,ROUND(L317*(1+IF(AND(L$6&gt;0,$B318&lt;L$6),L$4,L$5)/12),2))</f>
        <v/>
      </c>
      <c r="AR318">
        <f>IF(M317&lt;=0,0,ROUND(M317*(1+IF(AND(M$6&gt;0,$B318&lt;M$6),M$4,M$5)/12),2))</f>
        <v/>
      </c>
      <c r="AS318">
        <f>IF(N317&lt;=0,0,ROUND(N317*(1+IF(AND(N$6&gt;0,$B318&lt;N$6),N$4,N$5)/12),2))</f>
        <v/>
      </c>
    </row>
    <row r="319">
      <c r="A319" t="n">
        <v>308</v>
      </c>
      <c r="B319">
        <f>EDATE(Plan!$C$6,307)</f>
        <v/>
      </c>
      <c r="C319">
        <f>IF(C318&lt;=0,0,MAX(0,AH319-O319))</f>
        <v/>
      </c>
      <c r="D319">
        <f>IF(D318&lt;=0,0,MAX(0,AI319-P319))</f>
        <v/>
      </c>
      <c r="E319">
        <f>IF(E318&lt;=0,0,MAX(0,AJ319-Q319))</f>
        <v/>
      </c>
      <c r="F319">
        <f>IF(F318&lt;=0,0,MAX(0,AK319-R319))</f>
        <v/>
      </c>
      <c r="G319">
        <f>IF(G318&lt;=0,0,MAX(0,AL319-S319))</f>
        <v/>
      </c>
      <c r="H319">
        <f>IF(H318&lt;=0,0,MAX(0,AM319-T319))</f>
        <v/>
      </c>
      <c r="I319">
        <f>IF(I318&lt;=0,0,MAX(0,AN319-U319))</f>
        <v/>
      </c>
      <c r="J319">
        <f>IF(J318&lt;=0,0,MAX(0,AO319-V319))</f>
        <v/>
      </c>
      <c r="K319">
        <f>IF(K318&lt;=0,0,MAX(0,AP319-W319))</f>
        <v/>
      </c>
      <c r="L319">
        <f>IF(L318&lt;=0,0,MAX(0,AQ319-X319))</f>
        <v/>
      </c>
      <c r="M319">
        <f>IF(M318&lt;=0,0,MAX(0,AR319-Y319))</f>
        <v/>
      </c>
      <c r="N319">
        <f>IF(N318&lt;=0,0,MAX(0,AS319-Z319))</f>
        <v/>
      </c>
      <c r="O319">
        <f>IF(C318&lt;=0,0,MIN(AH319,C$7+IF(C$2=$AA319,$AC319,IF(C$2=$AF319,$AG319,0))))</f>
        <v/>
      </c>
      <c r="P319">
        <f>IF(D318&lt;=0,0,MIN(AI319,D$7+IF(D$2=$AA319,$AC319,IF(D$2=$AF319,$AG319,0))))</f>
        <v/>
      </c>
      <c r="Q319">
        <f>IF(E318&lt;=0,0,MIN(AJ319,E$7+IF(E$2=$AA319,$AC319,IF(E$2=$AF319,$AG319,0))))</f>
        <v/>
      </c>
      <c r="R319">
        <f>IF(F318&lt;=0,0,MIN(AK319,F$7+IF(F$2=$AA319,$AC319,IF(F$2=$AF319,$AG319,0))))</f>
        <v/>
      </c>
      <c r="S319">
        <f>IF(G318&lt;=0,0,MIN(AL319,G$7+IF(G$2=$AA319,$AC319,IF(G$2=$AF319,$AG319,0))))</f>
        <v/>
      </c>
      <c r="T319">
        <f>IF(H318&lt;=0,0,MIN(AM319,H$7+IF(H$2=$AA319,$AC319,IF(H$2=$AF319,$AG319,0))))</f>
        <v/>
      </c>
      <c r="U319">
        <f>IF(I318&lt;=0,0,MIN(AN319,I$7+IF(I$2=$AA319,$AC319,IF(I$2=$AF319,$AG319,0))))</f>
        <v/>
      </c>
      <c r="V319">
        <f>IF(J318&lt;=0,0,MIN(AO319,J$7+IF(J$2=$AA319,$AC319,IF(J$2=$AF319,$AG319,0))))</f>
        <v/>
      </c>
      <c r="W319">
        <f>IF(K318&lt;=0,0,MIN(AP319,K$7+IF(K$2=$AA319,$AC319,IF(K$2=$AF319,$AG319,0))))</f>
        <v/>
      </c>
      <c r="X319">
        <f>IF(L318&lt;=0,0,MIN(AQ319,L$7+IF(L$2=$AA319,$AC319,IF(L$2=$AF319,$AG319,0))))</f>
        <v/>
      </c>
      <c r="Y319">
        <f>IF(M318&lt;=0,0,MIN(AR319,M$7+IF(M$2=$AA319,$AC319,IF(M$2=$AF319,$AG319,0))))</f>
        <v/>
      </c>
      <c r="Z319">
        <f>IF(N318&lt;=0,0,MIN(AS319,N$7+IF(N$2=$AA319,$AC319,IF(N$2=$AF319,$AG319,0))))</f>
        <v/>
      </c>
      <c r="AA319">
        <f>IFERROR(ROUND(1/SUMPRODUCT(MAX((C318:N318&gt;0)*($C$3:$N$3&lt;=B319)/$C$2:$N$2)),0),0)</f>
        <v/>
      </c>
      <c r="AB319">
        <f>SUMPRODUCT((C318:N318&gt;0)*$C$7:$N$7)</f>
        <v/>
      </c>
      <c r="AC319">
        <f>MAX(0,Plan!$C$5-AB319)+IF(A319=Plan!$C$8,N(Plan!$C$7),0)</f>
        <v/>
      </c>
      <c r="AD319">
        <f>SUM(C319:N319)</f>
        <v/>
      </c>
      <c r="AE319">
        <f>SUM(O319:Z319)</f>
        <v/>
      </c>
      <c r="AF319">
        <f>IFERROR(ROUND(1/SUMPRODUCT(MAX((C318:N318&gt;0)*($C$3:$N$3&lt;=B319)*($C$2:$N$2&gt;AA319)/$C$2:$N$2)),0),0)</f>
        <v/>
      </c>
      <c r="AG319">
        <f>MAX(0,AC319-MAX(0,SUMPRODUCT(($C$2:$N$2=AA319)*(AH319:AS319-$C$7:$N$7))))</f>
        <v/>
      </c>
      <c r="AH319">
        <f>IF(C318&lt;=0,0,ROUND(C318*(1+IF(AND(C$6&gt;0,$B319&lt;C$6),C$4,C$5)/12),2))</f>
        <v/>
      </c>
      <c r="AI319">
        <f>IF(D318&lt;=0,0,ROUND(D318*(1+IF(AND(D$6&gt;0,$B319&lt;D$6),D$4,D$5)/12),2))</f>
        <v/>
      </c>
      <c r="AJ319">
        <f>IF(E318&lt;=0,0,ROUND(E318*(1+IF(AND(E$6&gt;0,$B319&lt;E$6),E$4,E$5)/12),2))</f>
        <v/>
      </c>
      <c r="AK319">
        <f>IF(F318&lt;=0,0,ROUND(F318*(1+IF(AND(F$6&gt;0,$B319&lt;F$6),F$4,F$5)/12),2))</f>
        <v/>
      </c>
      <c r="AL319">
        <f>IF(G318&lt;=0,0,ROUND(G318*(1+IF(AND(G$6&gt;0,$B319&lt;G$6),G$4,G$5)/12),2))</f>
        <v/>
      </c>
      <c r="AM319">
        <f>IF(H318&lt;=0,0,ROUND(H318*(1+IF(AND(H$6&gt;0,$B319&lt;H$6),H$4,H$5)/12),2))</f>
        <v/>
      </c>
      <c r="AN319">
        <f>IF(I318&lt;=0,0,ROUND(I318*(1+IF(AND(I$6&gt;0,$B319&lt;I$6),I$4,I$5)/12),2))</f>
        <v/>
      </c>
      <c r="AO319">
        <f>IF(J318&lt;=0,0,ROUND(J318*(1+IF(AND(J$6&gt;0,$B319&lt;J$6),J$4,J$5)/12),2))</f>
        <v/>
      </c>
      <c r="AP319">
        <f>IF(K318&lt;=0,0,ROUND(K318*(1+IF(AND(K$6&gt;0,$B319&lt;K$6),K$4,K$5)/12),2))</f>
        <v/>
      </c>
      <c r="AQ319">
        <f>IF(L318&lt;=0,0,ROUND(L318*(1+IF(AND(L$6&gt;0,$B319&lt;L$6),L$4,L$5)/12),2))</f>
        <v/>
      </c>
      <c r="AR319">
        <f>IF(M318&lt;=0,0,ROUND(M318*(1+IF(AND(M$6&gt;0,$B319&lt;M$6),M$4,M$5)/12),2))</f>
        <v/>
      </c>
      <c r="AS319">
        <f>IF(N318&lt;=0,0,ROUND(N318*(1+IF(AND(N$6&gt;0,$B319&lt;N$6),N$4,N$5)/12),2))</f>
        <v/>
      </c>
    </row>
    <row r="320">
      <c r="A320" t="n">
        <v>309</v>
      </c>
      <c r="B320">
        <f>EDATE(Plan!$C$6,308)</f>
        <v/>
      </c>
      <c r="C320">
        <f>IF(C319&lt;=0,0,MAX(0,AH320-O320))</f>
        <v/>
      </c>
      <c r="D320">
        <f>IF(D319&lt;=0,0,MAX(0,AI320-P320))</f>
        <v/>
      </c>
      <c r="E320">
        <f>IF(E319&lt;=0,0,MAX(0,AJ320-Q320))</f>
        <v/>
      </c>
      <c r="F320">
        <f>IF(F319&lt;=0,0,MAX(0,AK320-R320))</f>
        <v/>
      </c>
      <c r="G320">
        <f>IF(G319&lt;=0,0,MAX(0,AL320-S320))</f>
        <v/>
      </c>
      <c r="H320">
        <f>IF(H319&lt;=0,0,MAX(0,AM320-T320))</f>
        <v/>
      </c>
      <c r="I320">
        <f>IF(I319&lt;=0,0,MAX(0,AN320-U320))</f>
        <v/>
      </c>
      <c r="J320">
        <f>IF(J319&lt;=0,0,MAX(0,AO320-V320))</f>
        <v/>
      </c>
      <c r="K320">
        <f>IF(K319&lt;=0,0,MAX(0,AP320-W320))</f>
        <v/>
      </c>
      <c r="L320">
        <f>IF(L319&lt;=0,0,MAX(0,AQ320-X320))</f>
        <v/>
      </c>
      <c r="M320">
        <f>IF(M319&lt;=0,0,MAX(0,AR320-Y320))</f>
        <v/>
      </c>
      <c r="N320">
        <f>IF(N319&lt;=0,0,MAX(0,AS320-Z320))</f>
        <v/>
      </c>
      <c r="O320">
        <f>IF(C319&lt;=0,0,MIN(AH320,C$7+IF(C$2=$AA320,$AC320,IF(C$2=$AF320,$AG320,0))))</f>
        <v/>
      </c>
      <c r="P320">
        <f>IF(D319&lt;=0,0,MIN(AI320,D$7+IF(D$2=$AA320,$AC320,IF(D$2=$AF320,$AG320,0))))</f>
        <v/>
      </c>
      <c r="Q320">
        <f>IF(E319&lt;=0,0,MIN(AJ320,E$7+IF(E$2=$AA320,$AC320,IF(E$2=$AF320,$AG320,0))))</f>
        <v/>
      </c>
      <c r="R320">
        <f>IF(F319&lt;=0,0,MIN(AK320,F$7+IF(F$2=$AA320,$AC320,IF(F$2=$AF320,$AG320,0))))</f>
        <v/>
      </c>
      <c r="S320">
        <f>IF(G319&lt;=0,0,MIN(AL320,G$7+IF(G$2=$AA320,$AC320,IF(G$2=$AF320,$AG320,0))))</f>
        <v/>
      </c>
      <c r="T320">
        <f>IF(H319&lt;=0,0,MIN(AM320,H$7+IF(H$2=$AA320,$AC320,IF(H$2=$AF320,$AG320,0))))</f>
        <v/>
      </c>
      <c r="U320">
        <f>IF(I319&lt;=0,0,MIN(AN320,I$7+IF(I$2=$AA320,$AC320,IF(I$2=$AF320,$AG320,0))))</f>
        <v/>
      </c>
      <c r="V320">
        <f>IF(J319&lt;=0,0,MIN(AO320,J$7+IF(J$2=$AA320,$AC320,IF(J$2=$AF320,$AG320,0))))</f>
        <v/>
      </c>
      <c r="W320">
        <f>IF(K319&lt;=0,0,MIN(AP320,K$7+IF(K$2=$AA320,$AC320,IF(K$2=$AF320,$AG320,0))))</f>
        <v/>
      </c>
      <c r="X320">
        <f>IF(L319&lt;=0,0,MIN(AQ320,L$7+IF(L$2=$AA320,$AC320,IF(L$2=$AF320,$AG320,0))))</f>
        <v/>
      </c>
      <c r="Y320">
        <f>IF(M319&lt;=0,0,MIN(AR320,M$7+IF(M$2=$AA320,$AC320,IF(M$2=$AF320,$AG320,0))))</f>
        <v/>
      </c>
      <c r="Z320">
        <f>IF(N319&lt;=0,0,MIN(AS320,N$7+IF(N$2=$AA320,$AC320,IF(N$2=$AF320,$AG320,0))))</f>
        <v/>
      </c>
      <c r="AA320">
        <f>IFERROR(ROUND(1/SUMPRODUCT(MAX((C319:N319&gt;0)*($C$3:$N$3&lt;=B320)/$C$2:$N$2)),0),0)</f>
        <v/>
      </c>
      <c r="AB320">
        <f>SUMPRODUCT((C319:N319&gt;0)*$C$7:$N$7)</f>
        <v/>
      </c>
      <c r="AC320">
        <f>MAX(0,Plan!$C$5-AB320)+IF(A320=Plan!$C$8,N(Plan!$C$7),0)</f>
        <v/>
      </c>
      <c r="AD320">
        <f>SUM(C320:N320)</f>
        <v/>
      </c>
      <c r="AE320">
        <f>SUM(O320:Z320)</f>
        <v/>
      </c>
      <c r="AF320">
        <f>IFERROR(ROUND(1/SUMPRODUCT(MAX((C319:N319&gt;0)*($C$3:$N$3&lt;=B320)*($C$2:$N$2&gt;AA320)/$C$2:$N$2)),0),0)</f>
        <v/>
      </c>
      <c r="AG320">
        <f>MAX(0,AC320-MAX(0,SUMPRODUCT(($C$2:$N$2=AA320)*(AH320:AS320-$C$7:$N$7))))</f>
        <v/>
      </c>
      <c r="AH320">
        <f>IF(C319&lt;=0,0,ROUND(C319*(1+IF(AND(C$6&gt;0,$B320&lt;C$6),C$4,C$5)/12),2))</f>
        <v/>
      </c>
      <c r="AI320">
        <f>IF(D319&lt;=0,0,ROUND(D319*(1+IF(AND(D$6&gt;0,$B320&lt;D$6),D$4,D$5)/12),2))</f>
        <v/>
      </c>
      <c r="AJ320">
        <f>IF(E319&lt;=0,0,ROUND(E319*(1+IF(AND(E$6&gt;0,$B320&lt;E$6),E$4,E$5)/12),2))</f>
        <v/>
      </c>
      <c r="AK320">
        <f>IF(F319&lt;=0,0,ROUND(F319*(1+IF(AND(F$6&gt;0,$B320&lt;F$6),F$4,F$5)/12),2))</f>
        <v/>
      </c>
      <c r="AL320">
        <f>IF(G319&lt;=0,0,ROUND(G319*(1+IF(AND(G$6&gt;0,$B320&lt;G$6),G$4,G$5)/12),2))</f>
        <v/>
      </c>
      <c r="AM320">
        <f>IF(H319&lt;=0,0,ROUND(H319*(1+IF(AND(H$6&gt;0,$B320&lt;H$6),H$4,H$5)/12),2))</f>
        <v/>
      </c>
      <c r="AN320">
        <f>IF(I319&lt;=0,0,ROUND(I319*(1+IF(AND(I$6&gt;0,$B320&lt;I$6),I$4,I$5)/12),2))</f>
        <v/>
      </c>
      <c r="AO320">
        <f>IF(J319&lt;=0,0,ROUND(J319*(1+IF(AND(J$6&gt;0,$B320&lt;J$6),J$4,J$5)/12),2))</f>
        <v/>
      </c>
      <c r="AP320">
        <f>IF(K319&lt;=0,0,ROUND(K319*(1+IF(AND(K$6&gt;0,$B320&lt;K$6),K$4,K$5)/12),2))</f>
        <v/>
      </c>
      <c r="AQ320">
        <f>IF(L319&lt;=0,0,ROUND(L319*(1+IF(AND(L$6&gt;0,$B320&lt;L$6),L$4,L$5)/12),2))</f>
        <v/>
      </c>
      <c r="AR320">
        <f>IF(M319&lt;=0,0,ROUND(M319*(1+IF(AND(M$6&gt;0,$B320&lt;M$6),M$4,M$5)/12),2))</f>
        <v/>
      </c>
      <c r="AS320">
        <f>IF(N319&lt;=0,0,ROUND(N319*(1+IF(AND(N$6&gt;0,$B320&lt;N$6),N$4,N$5)/12),2))</f>
        <v/>
      </c>
    </row>
    <row r="321">
      <c r="A321" t="n">
        <v>310</v>
      </c>
      <c r="B321">
        <f>EDATE(Plan!$C$6,309)</f>
        <v/>
      </c>
      <c r="C321">
        <f>IF(C320&lt;=0,0,MAX(0,AH321-O321))</f>
        <v/>
      </c>
      <c r="D321">
        <f>IF(D320&lt;=0,0,MAX(0,AI321-P321))</f>
        <v/>
      </c>
      <c r="E321">
        <f>IF(E320&lt;=0,0,MAX(0,AJ321-Q321))</f>
        <v/>
      </c>
      <c r="F321">
        <f>IF(F320&lt;=0,0,MAX(0,AK321-R321))</f>
        <v/>
      </c>
      <c r="G321">
        <f>IF(G320&lt;=0,0,MAX(0,AL321-S321))</f>
        <v/>
      </c>
      <c r="H321">
        <f>IF(H320&lt;=0,0,MAX(0,AM321-T321))</f>
        <v/>
      </c>
      <c r="I321">
        <f>IF(I320&lt;=0,0,MAX(0,AN321-U321))</f>
        <v/>
      </c>
      <c r="J321">
        <f>IF(J320&lt;=0,0,MAX(0,AO321-V321))</f>
        <v/>
      </c>
      <c r="K321">
        <f>IF(K320&lt;=0,0,MAX(0,AP321-W321))</f>
        <v/>
      </c>
      <c r="L321">
        <f>IF(L320&lt;=0,0,MAX(0,AQ321-X321))</f>
        <v/>
      </c>
      <c r="M321">
        <f>IF(M320&lt;=0,0,MAX(0,AR321-Y321))</f>
        <v/>
      </c>
      <c r="N321">
        <f>IF(N320&lt;=0,0,MAX(0,AS321-Z321))</f>
        <v/>
      </c>
      <c r="O321">
        <f>IF(C320&lt;=0,0,MIN(AH321,C$7+IF(C$2=$AA321,$AC321,IF(C$2=$AF321,$AG321,0))))</f>
        <v/>
      </c>
      <c r="P321">
        <f>IF(D320&lt;=0,0,MIN(AI321,D$7+IF(D$2=$AA321,$AC321,IF(D$2=$AF321,$AG321,0))))</f>
        <v/>
      </c>
      <c r="Q321">
        <f>IF(E320&lt;=0,0,MIN(AJ321,E$7+IF(E$2=$AA321,$AC321,IF(E$2=$AF321,$AG321,0))))</f>
        <v/>
      </c>
      <c r="R321">
        <f>IF(F320&lt;=0,0,MIN(AK321,F$7+IF(F$2=$AA321,$AC321,IF(F$2=$AF321,$AG321,0))))</f>
        <v/>
      </c>
      <c r="S321">
        <f>IF(G320&lt;=0,0,MIN(AL321,G$7+IF(G$2=$AA321,$AC321,IF(G$2=$AF321,$AG321,0))))</f>
        <v/>
      </c>
      <c r="T321">
        <f>IF(H320&lt;=0,0,MIN(AM321,H$7+IF(H$2=$AA321,$AC321,IF(H$2=$AF321,$AG321,0))))</f>
        <v/>
      </c>
      <c r="U321">
        <f>IF(I320&lt;=0,0,MIN(AN321,I$7+IF(I$2=$AA321,$AC321,IF(I$2=$AF321,$AG321,0))))</f>
        <v/>
      </c>
      <c r="V321">
        <f>IF(J320&lt;=0,0,MIN(AO321,J$7+IF(J$2=$AA321,$AC321,IF(J$2=$AF321,$AG321,0))))</f>
        <v/>
      </c>
      <c r="W321">
        <f>IF(K320&lt;=0,0,MIN(AP321,K$7+IF(K$2=$AA321,$AC321,IF(K$2=$AF321,$AG321,0))))</f>
        <v/>
      </c>
      <c r="X321">
        <f>IF(L320&lt;=0,0,MIN(AQ321,L$7+IF(L$2=$AA321,$AC321,IF(L$2=$AF321,$AG321,0))))</f>
        <v/>
      </c>
      <c r="Y321">
        <f>IF(M320&lt;=0,0,MIN(AR321,M$7+IF(M$2=$AA321,$AC321,IF(M$2=$AF321,$AG321,0))))</f>
        <v/>
      </c>
      <c r="Z321">
        <f>IF(N320&lt;=0,0,MIN(AS321,N$7+IF(N$2=$AA321,$AC321,IF(N$2=$AF321,$AG321,0))))</f>
        <v/>
      </c>
      <c r="AA321">
        <f>IFERROR(ROUND(1/SUMPRODUCT(MAX((C320:N320&gt;0)*($C$3:$N$3&lt;=B321)/$C$2:$N$2)),0),0)</f>
        <v/>
      </c>
      <c r="AB321">
        <f>SUMPRODUCT((C320:N320&gt;0)*$C$7:$N$7)</f>
        <v/>
      </c>
      <c r="AC321">
        <f>MAX(0,Plan!$C$5-AB321)+IF(A321=Plan!$C$8,N(Plan!$C$7),0)</f>
        <v/>
      </c>
      <c r="AD321">
        <f>SUM(C321:N321)</f>
        <v/>
      </c>
      <c r="AE321">
        <f>SUM(O321:Z321)</f>
        <v/>
      </c>
      <c r="AF321">
        <f>IFERROR(ROUND(1/SUMPRODUCT(MAX((C320:N320&gt;0)*($C$3:$N$3&lt;=B321)*($C$2:$N$2&gt;AA321)/$C$2:$N$2)),0),0)</f>
        <v/>
      </c>
      <c r="AG321">
        <f>MAX(0,AC321-MAX(0,SUMPRODUCT(($C$2:$N$2=AA321)*(AH321:AS321-$C$7:$N$7))))</f>
        <v/>
      </c>
      <c r="AH321">
        <f>IF(C320&lt;=0,0,ROUND(C320*(1+IF(AND(C$6&gt;0,$B321&lt;C$6),C$4,C$5)/12),2))</f>
        <v/>
      </c>
      <c r="AI321">
        <f>IF(D320&lt;=0,0,ROUND(D320*(1+IF(AND(D$6&gt;0,$B321&lt;D$6),D$4,D$5)/12),2))</f>
        <v/>
      </c>
      <c r="AJ321">
        <f>IF(E320&lt;=0,0,ROUND(E320*(1+IF(AND(E$6&gt;0,$B321&lt;E$6),E$4,E$5)/12),2))</f>
        <v/>
      </c>
      <c r="AK321">
        <f>IF(F320&lt;=0,0,ROUND(F320*(1+IF(AND(F$6&gt;0,$B321&lt;F$6),F$4,F$5)/12),2))</f>
        <v/>
      </c>
      <c r="AL321">
        <f>IF(G320&lt;=0,0,ROUND(G320*(1+IF(AND(G$6&gt;0,$B321&lt;G$6),G$4,G$5)/12),2))</f>
        <v/>
      </c>
      <c r="AM321">
        <f>IF(H320&lt;=0,0,ROUND(H320*(1+IF(AND(H$6&gt;0,$B321&lt;H$6),H$4,H$5)/12),2))</f>
        <v/>
      </c>
      <c r="AN321">
        <f>IF(I320&lt;=0,0,ROUND(I320*(1+IF(AND(I$6&gt;0,$B321&lt;I$6),I$4,I$5)/12),2))</f>
        <v/>
      </c>
      <c r="AO321">
        <f>IF(J320&lt;=0,0,ROUND(J320*(1+IF(AND(J$6&gt;0,$B321&lt;J$6),J$4,J$5)/12),2))</f>
        <v/>
      </c>
      <c r="AP321">
        <f>IF(K320&lt;=0,0,ROUND(K320*(1+IF(AND(K$6&gt;0,$B321&lt;K$6),K$4,K$5)/12),2))</f>
        <v/>
      </c>
      <c r="AQ321">
        <f>IF(L320&lt;=0,0,ROUND(L320*(1+IF(AND(L$6&gt;0,$B321&lt;L$6),L$4,L$5)/12),2))</f>
        <v/>
      </c>
      <c r="AR321">
        <f>IF(M320&lt;=0,0,ROUND(M320*(1+IF(AND(M$6&gt;0,$B321&lt;M$6),M$4,M$5)/12),2))</f>
        <v/>
      </c>
      <c r="AS321">
        <f>IF(N320&lt;=0,0,ROUND(N320*(1+IF(AND(N$6&gt;0,$B321&lt;N$6),N$4,N$5)/12),2))</f>
        <v/>
      </c>
    </row>
    <row r="322">
      <c r="A322" t="n">
        <v>311</v>
      </c>
      <c r="B322">
        <f>EDATE(Plan!$C$6,310)</f>
        <v/>
      </c>
      <c r="C322">
        <f>IF(C321&lt;=0,0,MAX(0,AH322-O322))</f>
        <v/>
      </c>
      <c r="D322">
        <f>IF(D321&lt;=0,0,MAX(0,AI322-P322))</f>
        <v/>
      </c>
      <c r="E322">
        <f>IF(E321&lt;=0,0,MAX(0,AJ322-Q322))</f>
        <v/>
      </c>
      <c r="F322">
        <f>IF(F321&lt;=0,0,MAX(0,AK322-R322))</f>
        <v/>
      </c>
      <c r="G322">
        <f>IF(G321&lt;=0,0,MAX(0,AL322-S322))</f>
        <v/>
      </c>
      <c r="H322">
        <f>IF(H321&lt;=0,0,MAX(0,AM322-T322))</f>
        <v/>
      </c>
      <c r="I322">
        <f>IF(I321&lt;=0,0,MAX(0,AN322-U322))</f>
        <v/>
      </c>
      <c r="J322">
        <f>IF(J321&lt;=0,0,MAX(0,AO322-V322))</f>
        <v/>
      </c>
      <c r="K322">
        <f>IF(K321&lt;=0,0,MAX(0,AP322-W322))</f>
        <v/>
      </c>
      <c r="L322">
        <f>IF(L321&lt;=0,0,MAX(0,AQ322-X322))</f>
        <v/>
      </c>
      <c r="M322">
        <f>IF(M321&lt;=0,0,MAX(0,AR322-Y322))</f>
        <v/>
      </c>
      <c r="N322">
        <f>IF(N321&lt;=0,0,MAX(0,AS322-Z322))</f>
        <v/>
      </c>
      <c r="O322">
        <f>IF(C321&lt;=0,0,MIN(AH322,C$7+IF(C$2=$AA322,$AC322,IF(C$2=$AF322,$AG322,0))))</f>
        <v/>
      </c>
      <c r="P322">
        <f>IF(D321&lt;=0,0,MIN(AI322,D$7+IF(D$2=$AA322,$AC322,IF(D$2=$AF322,$AG322,0))))</f>
        <v/>
      </c>
      <c r="Q322">
        <f>IF(E321&lt;=0,0,MIN(AJ322,E$7+IF(E$2=$AA322,$AC322,IF(E$2=$AF322,$AG322,0))))</f>
        <v/>
      </c>
      <c r="R322">
        <f>IF(F321&lt;=0,0,MIN(AK322,F$7+IF(F$2=$AA322,$AC322,IF(F$2=$AF322,$AG322,0))))</f>
        <v/>
      </c>
      <c r="S322">
        <f>IF(G321&lt;=0,0,MIN(AL322,G$7+IF(G$2=$AA322,$AC322,IF(G$2=$AF322,$AG322,0))))</f>
        <v/>
      </c>
      <c r="T322">
        <f>IF(H321&lt;=0,0,MIN(AM322,H$7+IF(H$2=$AA322,$AC322,IF(H$2=$AF322,$AG322,0))))</f>
        <v/>
      </c>
      <c r="U322">
        <f>IF(I321&lt;=0,0,MIN(AN322,I$7+IF(I$2=$AA322,$AC322,IF(I$2=$AF322,$AG322,0))))</f>
        <v/>
      </c>
      <c r="V322">
        <f>IF(J321&lt;=0,0,MIN(AO322,J$7+IF(J$2=$AA322,$AC322,IF(J$2=$AF322,$AG322,0))))</f>
        <v/>
      </c>
      <c r="W322">
        <f>IF(K321&lt;=0,0,MIN(AP322,K$7+IF(K$2=$AA322,$AC322,IF(K$2=$AF322,$AG322,0))))</f>
        <v/>
      </c>
      <c r="X322">
        <f>IF(L321&lt;=0,0,MIN(AQ322,L$7+IF(L$2=$AA322,$AC322,IF(L$2=$AF322,$AG322,0))))</f>
        <v/>
      </c>
      <c r="Y322">
        <f>IF(M321&lt;=0,0,MIN(AR322,M$7+IF(M$2=$AA322,$AC322,IF(M$2=$AF322,$AG322,0))))</f>
        <v/>
      </c>
      <c r="Z322">
        <f>IF(N321&lt;=0,0,MIN(AS322,N$7+IF(N$2=$AA322,$AC322,IF(N$2=$AF322,$AG322,0))))</f>
        <v/>
      </c>
      <c r="AA322">
        <f>IFERROR(ROUND(1/SUMPRODUCT(MAX((C321:N321&gt;0)*($C$3:$N$3&lt;=B322)/$C$2:$N$2)),0),0)</f>
        <v/>
      </c>
      <c r="AB322">
        <f>SUMPRODUCT((C321:N321&gt;0)*$C$7:$N$7)</f>
        <v/>
      </c>
      <c r="AC322">
        <f>MAX(0,Plan!$C$5-AB322)+IF(A322=Plan!$C$8,N(Plan!$C$7),0)</f>
        <v/>
      </c>
      <c r="AD322">
        <f>SUM(C322:N322)</f>
        <v/>
      </c>
      <c r="AE322">
        <f>SUM(O322:Z322)</f>
        <v/>
      </c>
      <c r="AF322">
        <f>IFERROR(ROUND(1/SUMPRODUCT(MAX((C321:N321&gt;0)*($C$3:$N$3&lt;=B322)*($C$2:$N$2&gt;AA322)/$C$2:$N$2)),0),0)</f>
        <v/>
      </c>
      <c r="AG322">
        <f>MAX(0,AC322-MAX(0,SUMPRODUCT(($C$2:$N$2=AA322)*(AH322:AS322-$C$7:$N$7))))</f>
        <v/>
      </c>
      <c r="AH322">
        <f>IF(C321&lt;=0,0,ROUND(C321*(1+IF(AND(C$6&gt;0,$B322&lt;C$6),C$4,C$5)/12),2))</f>
        <v/>
      </c>
      <c r="AI322">
        <f>IF(D321&lt;=0,0,ROUND(D321*(1+IF(AND(D$6&gt;0,$B322&lt;D$6),D$4,D$5)/12),2))</f>
        <v/>
      </c>
      <c r="AJ322">
        <f>IF(E321&lt;=0,0,ROUND(E321*(1+IF(AND(E$6&gt;0,$B322&lt;E$6),E$4,E$5)/12),2))</f>
        <v/>
      </c>
      <c r="AK322">
        <f>IF(F321&lt;=0,0,ROUND(F321*(1+IF(AND(F$6&gt;0,$B322&lt;F$6),F$4,F$5)/12),2))</f>
        <v/>
      </c>
      <c r="AL322">
        <f>IF(G321&lt;=0,0,ROUND(G321*(1+IF(AND(G$6&gt;0,$B322&lt;G$6),G$4,G$5)/12),2))</f>
        <v/>
      </c>
      <c r="AM322">
        <f>IF(H321&lt;=0,0,ROUND(H321*(1+IF(AND(H$6&gt;0,$B322&lt;H$6),H$4,H$5)/12),2))</f>
        <v/>
      </c>
      <c r="AN322">
        <f>IF(I321&lt;=0,0,ROUND(I321*(1+IF(AND(I$6&gt;0,$B322&lt;I$6),I$4,I$5)/12),2))</f>
        <v/>
      </c>
      <c r="AO322">
        <f>IF(J321&lt;=0,0,ROUND(J321*(1+IF(AND(J$6&gt;0,$B322&lt;J$6),J$4,J$5)/12),2))</f>
        <v/>
      </c>
      <c r="AP322">
        <f>IF(K321&lt;=0,0,ROUND(K321*(1+IF(AND(K$6&gt;0,$B322&lt;K$6),K$4,K$5)/12),2))</f>
        <v/>
      </c>
      <c r="AQ322">
        <f>IF(L321&lt;=0,0,ROUND(L321*(1+IF(AND(L$6&gt;0,$B322&lt;L$6),L$4,L$5)/12),2))</f>
        <v/>
      </c>
      <c r="AR322">
        <f>IF(M321&lt;=0,0,ROUND(M321*(1+IF(AND(M$6&gt;0,$B322&lt;M$6),M$4,M$5)/12),2))</f>
        <v/>
      </c>
      <c r="AS322">
        <f>IF(N321&lt;=0,0,ROUND(N321*(1+IF(AND(N$6&gt;0,$B322&lt;N$6),N$4,N$5)/12),2))</f>
        <v/>
      </c>
    </row>
    <row r="323">
      <c r="A323" t="n">
        <v>312</v>
      </c>
      <c r="B323">
        <f>EDATE(Plan!$C$6,311)</f>
        <v/>
      </c>
      <c r="C323">
        <f>IF(C322&lt;=0,0,MAX(0,AH323-O323))</f>
        <v/>
      </c>
      <c r="D323">
        <f>IF(D322&lt;=0,0,MAX(0,AI323-P323))</f>
        <v/>
      </c>
      <c r="E323">
        <f>IF(E322&lt;=0,0,MAX(0,AJ323-Q323))</f>
        <v/>
      </c>
      <c r="F323">
        <f>IF(F322&lt;=0,0,MAX(0,AK323-R323))</f>
        <v/>
      </c>
      <c r="G323">
        <f>IF(G322&lt;=0,0,MAX(0,AL323-S323))</f>
        <v/>
      </c>
      <c r="H323">
        <f>IF(H322&lt;=0,0,MAX(0,AM323-T323))</f>
        <v/>
      </c>
      <c r="I323">
        <f>IF(I322&lt;=0,0,MAX(0,AN323-U323))</f>
        <v/>
      </c>
      <c r="J323">
        <f>IF(J322&lt;=0,0,MAX(0,AO323-V323))</f>
        <v/>
      </c>
      <c r="K323">
        <f>IF(K322&lt;=0,0,MAX(0,AP323-W323))</f>
        <v/>
      </c>
      <c r="L323">
        <f>IF(L322&lt;=0,0,MAX(0,AQ323-X323))</f>
        <v/>
      </c>
      <c r="M323">
        <f>IF(M322&lt;=0,0,MAX(0,AR323-Y323))</f>
        <v/>
      </c>
      <c r="N323">
        <f>IF(N322&lt;=0,0,MAX(0,AS323-Z323))</f>
        <v/>
      </c>
      <c r="O323">
        <f>IF(C322&lt;=0,0,MIN(AH323,C$7+IF(C$2=$AA323,$AC323,IF(C$2=$AF323,$AG323,0))))</f>
        <v/>
      </c>
      <c r="P323">
        <f>IF(D322&lt;=0,0,MIN(AI323,D$7+IF(D$2=$AA323,$AC323,IF(D$2=$AF323,$AG323,0))))</f>
        <v/>
      </c>
      <c r="Q323">
        <f>IF(E322&lt;=0,0,MIN(AJ323,E$7+IF(E$2=$AA323,$AC323,IF(E$2=$AF323,$AG323,0))))</f>
        <v/>
      </c>
      <c r="R323">
        <f>IF(F322&lt;=0,0,MIN(AK323,F$7+IF(F$2=$AA323,$AC323,IF(F$2=$AF323,$AG323,0))))</f>
        <v/>
      </c>
      <c r="S323">
        <f>IF(G322&lt;=0,0,MIN(AL323,G$7+IF(G$2=$AA323,$AC323,IF(G$2=$AF323,$AG323,0))))</f>
        <v/>
      </c>
      <c r="T323">
        <f>IF(H322&lt;=0,0,MIN(AM323,H$7+IF(H$2=$AA323,$AC323,IF(H$2=$AF323,$AG323,0))))</f>
        <v/>
      </c>
      <c r="U323">
        <f>IF(I322&lt;=0,0,MIN(AN323,I$7+IF(I$2=$AA323,$AC323,IF(I$2=$AF323,$AG323,0))))</f>
        <v/>
      </c>
      <c r="V323">
        <f>IF(J322&lt;=0,0,MIN(AO323,J$7+IF(J$2=$AA323,$AC323,IF(J$2=$AF323,$AG323,0))))</f>
        <v/>
      </c>
      <c r="W323">
        <f>IF(K322&lt;=0,0,MIN(AP323,K$7+IF(K$2=$AA323,$AC323,IF(K$2=$AF323,$AG323,0))))</f>
        <v/>
      </c>
      <c r="X323">
        <f>IF(L322&lt;=0,0,MIN(AQ323,L$7+IF(L$2=$AA323,$AC323,IF(L$2=$AF323,$AG323,0))))</f>
        <v/>
      </c>
      <c r="Y323">
        <f>IF(M322&lt;=0,0,MIN(AR323,M$7+IF(M$2=$AA323,$AC323,IF(M$2=$AF323,$AG323,0))))</f>
        <v/>
      </c>
      <c r="Z323">
        <f>IF(N322&lt;=0,0,MIN(AS323,N$7+IF(N$2=$AA323,$AC323,IF(N$2=$AF323,$AG323,0))))</f>
        <v/>
      </c>
      <c r="AA323">
        <f>IFERROR(ROUND(1/SUMPRODUCT(MAX((C322:N322&gt;0)*($C$3:$N$3&lt;=B323)/$C$2:$N$2)),0),0)</f>
        <v/>
      </c>
      <c r="AB323">
        <f>SUMPRODUCT((C322:N322&gt;0)*$C$7:$N$7)</f>
        <v/>
      </c>
      <c r="AC323">
        <f>MAX(0,Plan!$C$5-AB323)+IF(A323=Plan!$C$8,N(Plan!$C$7),0)</f>
        <v/>
      </c>
      <c r="AD323">
        <f>SUM(C323:N323)</f>
        <v/>
      </c>
      <c r="AE323">
        <f>SUM(O323:Z323)</f>
        <v/>
      </c>
      <c r="AF323">
        <f>IFERROR(ROUND(1/SUMPRODUCT(MAX((C322:N322&gt;0)*($C$3:$N$3&lt;=B323)*($C$2:$N$2&gt;AA323)/$C$2:$N$2)),0),0)</f>
        <v/>
      </c>
      <c r="AG323">
        <f>MAX(0,AC323-MAX(0,SUMPRODUCT(($C$2:$N$2=AA323)*(AH323:AS323-$C$7:$N$7))))</f>
        <v/>
      </c>
      <c r="AH323">
        <f>IF(C322&lt;=0,0,ROUND(C322*(1+IF(AND(C$6&gt;0,$B323&lt;C$6),C$4,C$5)/12),2))</f>
        <v/>
      </c>
      <c r="AI323">
        <f>IF(D322&lt;=0,0,ROUND(D322*(1+IF(AND(D$6&gt;0,$B323&lt;D$6),D$4,D$5)/12),2))</f>
        <v/>
      </c>
      <c r="AJ323">
        <f>IF(E322&lt;=0,0,ROUND(E322*(1+IF(AND(E$6&gt;0,$B323&lt;E$6),E$4,E$5)/12),2))</f>
        <v/>
      </c>
      <c r="AK323">
        <f>IF(F322&lt;=0,0,ROUND(F322*(1+IF(AND(F$6&gt;0,$B323&lt;F$6),F$4,F$5)/12),2))</f>
        <v/>
      </c>
      <c r="AL323">
        <f>IF(G322&lt;=0,0,ROUND(G322*(1+IF(AND(G$6&gt;0,$B323&lt;G$6),G$4,G$5)/12),2))</f>
        <v/>
      </c>
      <c r="AM323">
        <f>IF(H322&lt;=0,0,ROUND(H322*(1+IF(AND(H$6&gt;0,$B323&lt;H$6),H$4,H$5)/12),2))</f>
        <v/>
      </c>
      <c r="AN323">
        <f>IF(I322&lt;=0,0,ROUND(I322*(1+IF(AND(I$6&gt;0,$B323&lt;I$6),I$4,I$5)/12),2))</f>
        <v/>
      </c>
      <c r="AO323">
        <f>IF(J322&lt;=0,0,ROUND(J322*(1+IF(AND(J$6&gt;0,$B323&lt;J$6),J$4,J$5)/12),2))</f>
        <v/>
      </c>
      <c r="AP323">
        <f>IF(K322&lt;=0,0,ROUND(K322*(1+IF(AND(K$6&gt;0,$B323&lt;K$6),K$4,K$5)/12),2))</f>
        <v/>
      </c>
      <c r="AQ323">
        <f>IF(L322&lt;=0,0,ROUND(L322*(1+IF(AND(L$6&gt;0,$B323&lt;L$6),L$4,L$5)/12),2))</f>
        <v/>
      </c>
      <c r="AR323">
        <f>IF(M322&lt;=0,0,ROUND(M322*(1+IF(AND(M$6&gt;0,$B323&lt;M$6),M$4,M$5)/12),2))</f>
        <v/>
      </c>
      <c r="AS323">
        <f>IF(N322&lt;=0,0,ROUND(N322*(1+IF(AND(N$6&gt;0,$B323&lt;N$6),N$4,N$5)/12),2))</f>
        <v/>
      </c>
    </row>
    <row r="324">
      <c r="A324" t="n">
        <v>313</v>
      </c>
      <c r="B324">
        <f>EDATE(Plan!$C$6,312)</f>
        <v/>
      </c>
      <c r="C324">
        <f>IF(C323&lt;=0,0,MAX(0,AH324-O324))</f>
        <v/>
      </c>
      <c r="D324">
        <f>IF(D323&lt;=0,0,MAX(0,AI324-P324))</f>
        <v/>
      </c>
      <c r="E324">
        <f>IF(E323&lt;=0,0,MAX(0,AJ324-Q324))</f>
        <v/>
      </c>
      <c r="F324">
        <f>IF(F323&lt;=0,0,MAX(0,AK324-R324))</f>
        <v/>
      </c>
      <c r="G324">
        <f>IF(G323&lt;=0,0,MAX(0,AL324-S324))</f>
        <v/>
      </c>
      <c r="H324">
        <f>IF(H323&lt;=0,0,MAX(0,AM324-T324))</f>
        <v/>
      </c>
      <c r="I324">
        <f>IF(I323&lt;=0,0,MAX(0,AN324-U324))</f>
        <v/>
      </c>
      <c r="J324">
        <f>IF(J323&lt;=0,0,MAX(0,AO324-V324))</f>
        <v/>
      </c>
      <c r="K324">
        <f>IF(K323&lt;=0,0,MAX(0,AP324-W324))</f>
        <v/>
      </c>
      <c r="L324">
        <f>IF(L323&lt;=0,0,MAX(0,AQ324-X324))</f>
        <v/>
      </c>
      <c r="M324">
        <f>IF(M323&lt;=0,0,MAX(0,AR324-Y324))</f>
        <v/>
      </c>
      <c r="N324">
        <f>IF(N323&lt;=0,0,MAX(0,AS324-Z324))</f>
        <v/>
      </c>
      <c r="O324">
        <f>IF(C323&lt;=0,0,MIN(AH324,C$7+IF(C$2=$AA324,$AC324,IF(C$2=$AF324,$AG324,0))))</f>
        <v/>
      </c>
      <c r="P324">
        <f>IF(D323&lt;=0,0,MIN(AI324,D$7+IF(D$2=$AA324,$AC324,IF(D$2=$AF324,$AG324,0))))</f>
        <v/>
      </c>
      <c r="Q324">
        <f>IF(E323&lt;=0,0,MIN(AJ324,E$7+IF(E$2=$AA324,$AC324,IF(E$2=$AF324,$AG324,0))))</f>
        <v/>
      </c>
      <c r="R324">
        <f>IF(F323&lt;=0,0,MIN(AK324,F$7+IF(F$2=$AA324,$AC324,IF(F$2=$AF324,$AG324,0))))</f>
        <v/>
      </c>
      <c r="S324">
        <f>IF(G323&lt;=0,0,MIN(AL324,G$7+IF(G$2=$AA324,$AC324,IF(G$2=$AF324,$AG324,0))))</f>
        <v/>
      </c>
      <c r="T324">
        <f>IF(H323&lt;=0,0,MIN(AM324,H$7+IF(H$2=$AA324,$AC324,IF(H$2=$AF324,$AG324,0))))</f>
        <v/>
      </c>
      <c r="U324">
        <f>IF(I323&lt;=0,0,MIN(AN324,I$7+IF(I$2=$AA324,$AC324,IF(I$2=$AF324,$AG324,0))))</f>
        <v/>
      </c>
      <c r="V324">
        <f>IF(J323&lt;=0,0,MIN(AO324,J$7+IF(J$2=$AA324,$AC324,IF(J$2=$AF324,$AG324,0))))</f>
        <v/>
      </c>
      <c r="W324">
        <f>IF(K323&lt;=0,0,MIN(AP324,K$7+IF(K$2=$AA324,$AC324,IF(K$2=$AF324,$AG324,0))))</f>
        <v/>
      </c>
      <c r="X324">
        <f>IF(L323&lt;=0,0,MIN(AQ324,L$7+IF(L$2=$AA324,$AC324,IF(L$2=$AF324,$AG324,0))))</f>
        <v/>
      </c>
      <c r="Y324">
        <f>IF(M323&lt;=0,0,MIN(AR324,M$7+IF(M$2=$AA324,$AC324,IF(M$2=$AF324,$AG324,0))))</f>
        <v/>
      </c>
      <c r="Z324">
        <f>IF(N323&lt;=0,0,MIN(AS324,N$7+IF(N$2=$AA324,$AC324,IF(N$2=$AF324,$AG324,0))))</f>
        <v/>
      </c>
      <c r="AA324">
        <f>IFERROR(ROUND(1/SUMPRODUCT(MAX((C323:N323&gt;0)*($C$3:$N$3&lt;=B324)/$C$2:$N$2)),0),0)</f>
        <v/>
      </c>
      <c r="AB324">
        <f>SUMPRODUCT((C323:N323&gt;0)*$C$7:$N$7)</f>
        <v/>
      </c>
      <c r="AC324">
        <f>MAX(0,Plan!$C$5-AB324)+IF(A324=Plan!$C$8,N(Plan!$C$7),0)</f>
        <v/>
      </c>
      <c r="AD324">
        <f>SUM(C324:N324)</f>
        <v/>
      </c>
      <c r="AE324">
        <f>SUM(O324:Z324)</f>
        <v/>
      </c>
      <c r="AF324">
        <f>IFERROR(ROUND(1/SUMPRODUCT(MAX((C323:N323&gt;0)*($C$3:$N$3&lt;=B324)*($C$2:$N$2&gt;AA324)/$C$2:$N$2)),0),0)</f>
        <v/>
      </c>
      <c r="AG324">
        <f>MAX(0,AC324-MAX(0,SUMPRODUCT(($C$2:$N$2=AA324)*(AH324:AS324-$C$7:$N$7))))</f>
        <v/>
      </c>
      <c r="AH324">
        <f>IF(C323&lt;=0,0,ROUND(C323*(1+IF(AND(C$6&gt;0,$B324&lt;C$6),C$4,C$5)/12),2))</f>
        <v/>
      </c>
      <c r="AI324">
        <f>IF(D323&lt;=0,0,ROUND(D323*(1+IF(AND(D$6&gt;0,$B324&lt;D$6),D$4,D$5)/12),2))</f>
        <v/>
      </c>
      <c r="AJ324">
        <f>IF(E323&lt;=0,0,ROUND(E323*(1+IF(AND(E$6&gt;0,$B324&lt;E$6),E$4,E$5)/12),2))</f>
        <v/>
      </c>
      <c r="AK324">
        <f>IF(F323&lt;=0,0,ROUND(F323*(1+IF(AND(F$6&gt;0,$B324&lt;F$6),F$4,F$5)/12),2))</f>
        <v/>
      </c>
      <c r="AL324">
        <f>IF(G323&lt;=0,0,ROUND(G323*(1+IF(AND(G$6&gt;0,$B324&lt;G$6),G$4,G$5)/12),2))</f>
        <v/>
      </c>
      <c r="AM324">
        <f>IF(H323&lt;=0,0,ROUND(H323*(1+IF(AND(H$6&gt;0,$B324&lt;H$6),H$4,H$5)/12),2))</f>
        <v/>
      </c>
      <c r="AN324">
        <f>IF(I323&lt;=0,0,ROUND(I323*(1+IF(AND(I$6&gt;0,$B324&lt;I$6),I$4,I$5)/12),2))</f>
        <v/>
      </c>
      <c r="AO324">
        <f>IF(J323&lt;=0,0,ROUND(J323*(1+IF(AND(J$6&gt;0,$B324&lt;J$6),J$4,J$5)/12),2))</f>
        <v/>
      </c>
      <c r="AP324">
        <f>IF(K323&lt;=0,0,ROUND(K323*(1+IF(AND(K$6&gt;0,$B324&lt;K$6),K$4,K$5)/12),2))</f>
        <v/>
      </c>
      <c r="AQ324">
        <f>IF(L323&lt;=0,0,ROUND(L323*(1+IF(AND(L$6&gt;0,$B324&lt;L$6),L$4,L$5)/12),2))</f>
        <v/>
      </c>
      <c r="AR324">
        <f>IF(M323&lt;=0,0,ROUND(M323*(1+IF(AND(M$6&gt;0,$B324&lt;M$6),M$4,M$5)/12),2))</f>
        <v/>
      </c>
      <c r="AS324">
        <f>IF(N323&lt;=0,0,ROUND(N323*(1+IF(AND(N$6&gt;0,$B324&lt;N$6),N$4,N$5)/12),2))</f>
        <v/>
      </c>
    </row>
    <row r="325">
      <c r="A325" t="n">
        <v>314</v>
      </c>
      <c r="B325">
        <f>EDATE(Plan!$C$6,313)</f>
        <v/>
      </c>
      <c r="C325">
        <f>IF(C324&lt;=0,0,MAX(0,AH325-O325))</f>
        <v/>
      </c>
      <c r="D325">
        <f>IF(D324&lt;=0,0,MAX(0,AI325-P325))</f>
        <v/>
      </c>
      <c r="E325">
        <f>IF(E324&lt;=0,0,MAX(0,AJ325-Q325))</f>
        <v/>
      </c>
      <c r="F325">
        <f>IF(F324&lt;=0,0,MAX(0,AK325-R325))</f>
        <v/>
      </c>
      <c r="G325">
        <f>IF(G324&lt;=0,0,MAX(0,AL325-S325))</f>
        <v/>
      </c>
      <c r="H325">
        <f>IF(H324&lt;=0,0,MAX(0,AM325-T325))</f>
        <v/>
      </c>
      <c r="I325">
        <f>IF(I324&lt;=0,0,MAX(0,AN325-U325))</f>
        <v/>
      </c>
      <c r="J325">
        <f>IF(J324&lt;=0,0,MAX(0,AO325-V325))</f>
        <v/>
      </c>
      <c r="K325">
        <f>IF(K324&lt;=0,0,MAX(0,AP325-W325))</f>
        <v/>
      </c>
      <c r="L325">
        <f>IF(L324&lt;=0,0,MAX(0,AQ325-X325))</f>
        <v/>
      </c>
      <c r="M325">
        <f>IF(M324&lt;=0,0,MAX(0,AR325-Y325))</f>
        <v/>
      </c>
      <c r="N325">
        <f>IF(N324&lt;=0,0,MAX(0,AS325-Z325))</f>
        <v/>
      </c>
      <c r="O325">
        <f>IF(C324&lt;=0,0,MIN(AH325,C$7+IF(C$2=$AA325,$AC325,IF(C$2=$AF325,$AG325,0))))</f>
        <v/>
      </c>
      <c r="P325">
        <f>IF(D324&lt;=0,0,MIN(AI325,D$7+IF(D$2=$AA325,$AC325,IF(D$2=$AF325,$AG325,0))))</f>
        <v/>
      </c>
      <c r="Q325">
        <f>IF(E324&lt;=0,0,MIN(AJ325,E$7+IF(E$2=$AA325,$AC325,IF(E$2=$AF325,$AG325,0))))</f>
        <v/>
      </c>
      <c r="R325">
        <f>IF(F324&lt;=0,0,MIN(AK325,F$7+IF(F$2=$AA325,$AC325,IF(F$2=$AF325,$AG325,0))))</f>
        <v/>
      </c>
      <c r="S325">
        <f>IF(G324&lt;=0,0,MIN(AL325,G$7+IF(G$2=$AA325,$AC325,IF(G$2=$AF325,$AG325,0))))</f>
        <v/>
      </c>
      <c r="T325">
        <f>IF(H324&lt;=0,0,MIN(AM325,H$7+IF(H$2=$AA325,$AC325,IF(H$2=$AF325,$AG325,0))))</f>
        <v/>
      </c>
      <c r="U325">
        <f>IF(I324&lt;=0,0,MIN(AN325,I$7+IF(I$2=$AA325,$AC325,IF(I$2=$AF325,$AG325,0))))</f>
        <v/>
      </c>
      <c r="V325">
        <f>IF(J324&lt;=0,0,MIN(AO325,J$7+IF(J$2=$AA325,$AC325,IF(J$2=$AF325,$AG325,0))))</f>
        <v/>
      </c>
      <c r="W325">
        <f>IF(K324&lt;=0,0,MIN(AP325,K$7+IF(K$2=$AA325,$AC325,IF(K$2=$AF325,$AG325,0))))</f>
        <v/>
      </c>
      <c r="X325">
        <f>IF(L324&lt;=0,0,MIN(AQ325,L$7+IF(L$2=$AA325,$AC325,IF(L$2=$AF325,$AG325,0))))</f>
        <v/>
      </c>
      <c r="Y325">
        <f>IF(M324&lt;=0,0,MIN(AR325,M$7+IF(M$2=$AA325,$AC325,IF(M$2=$AF325,$AG325,0))))</f>
        <v/>
      </c>
      <c r="Z325">
        <f>IF(N324&lt;=0,0,MIN(AS325,N$7+IF(N$2=$AA325,$AC325,IF(N$2=$AF325,$AG325,0))))</f>
        <v/>
      </c>
      <c r="AA325">
        <f>IFERROR(ROUND(1/SUMPRODUCT(MAX((C324:N324&gt;0)*($C$3:$N$3&lt;=B325)/$C$2:$N$2)),0),0)</f>
        <v/>
      </c>
      <c r="AB325">
        <f>SUMPRODUCT((C324:N324&gt;0)*$C$7:$N$7)</f>
        <v/>
      </c>
      <c r="AC325">
        <f>MAX(0,Plan!$C$5-AB325)+IF(A325=Plan!$C$8,N(Plan!$C$7),0)</f>
        <v/>
      </c>
      <c r="AD325">
        <f>SUM(C325:N325)</f>
        <v/>
      </c>
      <c r="AE325">
        <f>SUM(O325:Z325)</f>
        <v/>
      </c>
      <c r="AF325">
        <f>IFERROR(ROUND(1/SUMPRODUCT(MAX((C324:N324&gt;0)*($C$3:$N$3&lt;=B325)*($C$2:$N$2&gt;AA325)/$C$2:$N$2)),0),0)</f>
        <v/>
      </c>
      <c r="AG325">
        <f>MAX(0,AC325-MAX(0,SUMPRODUCT(($C$2:$N$2=AA325)*(AH325:AS325-$C$7:$N$7))))</f>
        <v/>
      </c>
      <c r="AH325">
        <f>IF(C324&lt;=0,0,ROUND(C324*(1+IF(AND(C$6&gt;0,$B325&lt;C$6),C$4,C$5)/12),2))</f>
        <v/>
      </c>
      <c r="AI325">
        <f>IF(D324&lt;=0,0,ROUND(D324*(1+IF(AND(D$6&gt;0,$B325&lt;D$6),D$4,D$5)/12),2))</f>
        <v/>
      </c>
      <c r="AJ325">
        <f>IF(E324&lt;=0,0,ROUND(E324*(1+IF(AND(E$6&gt;0,$B325&lt;E$6),E$4,E$5)/12),2))</f>
        <v/>
      </c>
      <c r="AK325">
        <f>IF(F324&lt;=0,0,ROUND(F324*(1+IF(AND(F$6&gt;0,$B325&lt;F$6),F$4,F$5)/12),2))</f>
        <v/>
      </c>
      <c r="AL325">
        <f>IF(G324&lt;=0,0,ROUND(G324*(1+IF(AND(G$6&gt;0,$B325&lt;G$6),G$4,G$5)/12),2))</f>
        <v/>
      </c>
      <c r="AM325">
        <f>IF(H324&lt;=0,0,ROUND(H324*(1+IF(AND(H$6&gt;0,$B325&lt;H$6),H$4,H$5)/12),2))</f>
        <v/>
      </c>
      <c r="AN325">
        <f>IF(I324&lt;=0,0,ROUND(I324*(1+IF(AND(I$6&gt;0,$B325&lt;I$6),I$4,I$5)/12),2))</f>
        <v/>
      </c>
      <c r="AO325">
        <f>IF(J324&lt;=0,0,ROUND(J324*(1+IF(AND(J$6&gt;0,$B325&lt;J$6),J$4,J$5)/12),2))</f>
        <v/>
      </c>
      <c r="AP325">
        <f>IF(K324&lt;=0,0,ROUND(K324*(1+IF(AND(K$6&gt;0,$B325&lt;K$6),K$4,K$5)/12),2))</f>
        <v/>
      </c>
      <c r="AQ325">
        <f>IF(L324&lt;=0,0,ROUND(L324*(1+IF(AND(L$6&gt;0,$B325&lt;L$6),L$4,L$5)/12),2))</f>
        <v/>
      </c>
      <c r="AR325">
        <f>IF(M324&lt;=0,0,ROUND(M324*(1+IF(AND(M$6&gt;0,$B325&lt;M$6),M$4,M$5)/12),2))</f>
        <v/>
      </c>
      <c r="AS325">
        <f>IF(N324&lt;=0,0,ROUND(N324*(1+IF(AND(N$6&gt;0,$B325&lt;N$6),N$4,N$5)/12),2))</f>
        <v/>
      </c>
    </row>
    <row r="326">
      <c r="A326" t="n">
        <v>315</v>
      </c>
      <c r="B326">
        <f>EDATE(Plan!$C$6,314)</f>
        <v/>
      </c>
      <c r="C326">
        <f>IF(C325&lt;=0,0,MAX(0,AH326-O326))</f>
        <v/>
      </c>
      <c r="D326">
        <f>IF(D325&lt;=0,0,MAX(0,AI326-P326))</f>
        <v/>
      </c>
      <c r="E326">
        <f>IF(E325&lt;=0,0,MAX(0,AJ326-Q326))</f>
        <v/>
      </c>
      <c r="F326">
        <f>IF(F325&lt;=0,0,MAX(0,AK326-R326))</f>
        <v/>
      </c>
      <c r="G326">
        <f>IF(G325&lt;=0,0,MAX(0,AL326-S326))</f>
        <v/>
      </c>
      <c r="H326">
        <f>IF(H325&lt;=0,0,MAX(0,AM326-T326))</f>
        <v/>
      </c>
      <c r="I326">
        <f>IF(I325&lt;=0,0,MAX(0,AN326-U326))</f>
        <v/>
      </c>
      <c r="J326">
        <f>IF(J325&lt;=0,0,MAX(0,AO326-V326))</f>
        <v/>
      </c>
      <c r="K326">
        <f>IF(K325&lt;=0,0,MAX(0,AP326-W326))</f>
        <v/>
      </c>
      <c r="L326">
        <f>IF(L325&lt;=0,0,MAX(0,AQ326-X326))</f>
        <v/>
      </c>
      <c r="M326">
        <f>IF(M325&lt;=0,0,MAX(0,AR326-Y326))</f>
        <v/>
      </c>
      <c r="N326">
        <f>IF(N325&lt;=0,0,MAX(0,AS326-Z326))</f>
        <v/>
      </c>
      <c r="O326">
        <f>IF(C325&lt;=0,0,MIN(AH326,C$7+IF(C$2=$AA326,$AC326,IF(C$2=$AF326,$AG326,0))))</f>
        <v/>
      </c>
      <c r="P326">
        <f>IF(D325&lt;=0,0,MIN(AI326,D$7+IF(D$2=$AA326,$AC326,IF(D$2=$AF326,$AG326,0))))</f>
        <v/>
      </c>
      <c r="Q326">
        <f>IF(E325&lt;=0,0,MIN(AJ326,E$7+IF(E$2=$AA326,$AC326,IF(E$2=$AF326,$AG326,0))))</f>
        <v/>
      </c>
      <c r="R326">
        <f>IF(F325&lt;=0,0,MIN(AK326,F$7+IF(F$2=$AA326,$AC326,IF(F$2=$AF326,$AG326,0))))</f>
        <v/>
      </c>
      <c r="S326">
        <f>IF(G325&lt;=0,0,MIN(AL326,G$7+IF(G$2=$AA326,$AC326,IF(G$2=$AF326,$AG326,0))))</f>
        <v/>
      </c>
      <c r="T326">
        <f>IF(H325&lt;=0,0,MIN(AM326,H$7+IF(H$2=$AA326,$AC326,IF(H$2=$AF326,$AG326,0))))</f>
        <v/>
      </c>
      <c r="U326">
        <f>IF(I325&lt;=0,0,MIN(AN326,I$7+IF(I$2=$AA326,$AC326,IF(I$2=$AF326,$AG326,0))))</f>
        <v/>
      </c>
      <c r="V326">
        <f>IF(J325&lt;=0,0,MIN(AO326,J$7+IF(J$2=$AA326,$AC326,IF(J$2=$AF326,$AG326,0))))</f>
        <v/>
      </c>
      <c r="W326">
        <f>IF(K325&lt;=0,0,MIN(AP326,K$7+IF(K$2=$AA326,$AC326,IF(K$2=$AF326,$AG326,0))))</f>
        <v/>
      </c>
      <c r="X326">
        <f>IF(L325&lt;=0,0,MIN(AQ326,L$7+IF(L$2=$AA326,$AC326,IF(L$2=$AF326,$AG326,0))))</f>
        <v/>
      </c>
      <c r="Y326">
        <f>IF(M325&lt;=0,0,MIN(AR326,M$7+IF(M$2=$AA326,$AC326,IF(M$2=$AF326,$AG326,0))))</f>
        <v/>
      </c>
      <c r="Z326">
        <f>IF(N325&lt;=0,0,MIN(AS326,N$7+IF(N$2=$AA326,$AC326,IF(N$2=$AF326,$AG326,0))))</f>
        <v/>
      </c>
      <c r="AA326">
        <f>IFERROR(ROUND(1/SUMPRODUCT(MAX((C325:N325&gt;0)*($C$3:$N$3&lt;=B326)/$C$2:$N$2)),0),0)</f>
        <v/>
      </c>
      <c r="AB326">
        <f>SUMPRODUCT((C325:N325&gt;0)*$C$7:$N$7)</f>
        <v/>
      </c>
      <c r="AC326">
        <f>MAX(0,Plan!$C$5-AB326)+IF(A326=Plan!$C$8,N(Plan!$C$7),0)</f>
        <v/>
      </c>
      <c r="AD326">
        <f>SUM(C326:N326)</f>
        <v/>
      </c>
      <c r="AE326">
        <f>SUM(O326:Z326)</f>
        <v/>
      </c>
      <c r="AF326">
        <f>IFERROR(ROUND(1/SUMPRODUCT(MAX((C325:N325&gt;0)*($C$3:$N$3&lt;=B326)*($C$2:$N$2&gt;AA326)/$C$2:$N$2)),0),0)</f>
        <v/>
      </c>
      <c r="AG326">
        <f>MAX(0,AC326-MAX(0,SUMPRODUCT(($C$2:$N$2=AA326)*(AH326:AS326-$C$7:$N$7))))</f>
        <v/>
      </c>
      <c r="AH326">
        <f>IF(C325&lt;=0,0,ROUND(C325*(1+IF(AND(C$6&gt;0,$B326&lt;C$6),C$4,C$5)/12),2))</f>
        <v/>
      </c>
      <c r="AI326">
        <f>IF(D325&lt;=0,0,ROUND(D325*(1+IF(AND(D$6&gt;0,$B326&lt;D$6),D$4,D$5)/12),2))</f>
        <v/>
      </c>
      <c r="AJ326">
        <f>IF(E325&lt;=0,0,ROUND(E325*(1+IF(AND(E$6&gt;0,$B326&lt;E$6),E$4,E$5)/12),2))</f>
        <v/>
      </c>
      <c r="AK326">
        <f>IF(F325&lt;=0,0,ROUND(F325*(1+IF(AND(F$6&gt;0,$B326&lt;F$6),F$4,F$5)/12),2))</f>
        <v/>
      </c>
      <c r="AL326">
        <f>IF(G325&lt;=0,0,ROUND(G325*(1+IF(AND(G$6&gt;0,$B326&lt;G$6),G$4,G$5)/12),2))</f>
        <v/>
      </c>
      <c r="AM326">
        <f>IF(H325&lt;=0,0,ROUND(H325*(1+IF(AND(H$6&gt;0,$B326&lt;H$6),H$4,H$5)/12),2))</f>
        <v/>
      </c>
      <c r="AN326">
        <f>IF(I325&lt;=0,0,ROUND(I325*(1+IF(AND(I$6&gt;0,$B326&lt;I$6),I$4,I$5)/12),2))</f>
        <v/>
      </c>
      <c r="AO326">
        <f>IF(J325&lt;=0,0,ROUND(J325*(1+IF(AND(J$6&gt;0,$B326&lt;J$6),J$4,J$5)/12),2))</f>
        <v/>
      </c>
      <c r="AP326">
        <f>IF(K325&lt;=0,0,ROUND(K325*(1+IF(AND(K$6&gt;0,$B326&lt;K$6),K$4,K$5)/12),2))</f>
        <v/>
      </c>
      <c r="AQ326">
        <f>IF(L325&lt;=0,0,ROUND(L325*(1+IF(AND(L$6&gt;0,$B326&lt;L$6),L$4,L$5)/12),2))</f>
        <v/>
      </c>
      <c r="AR326">
        <f>IF(M325&lt;=0,0,ROUND(M325*(1+IF(AND(M$6&gt;0,$B326&lt;M$6),M$4,M$5)/12),2))</f>
        <v/>
      </c>
      <c r="AS326">
        <f>IF(N325&lt;=0,0,ROUND(N325*(1+IF(AND(N$6&gt;0,$B326&lt;N$6),N$4,N$5)/12),2))</f>
        <v/>
      </c>
    </row>
    <row r="327">
      <c r="A327" t="n">
        <v>316</v>
      </c>
      <c r="B327">
        <f>EDATE(Plan!$C$6,315)</f>
        <v/>
      </c>
      <c r="C327">
        <f>IF(C326&lt;=0,0,MAX(0,AH327-O327))</f>
        <v/>
      </c>
      <c r="D327">
        <f>IF(D326&lt;=0,0,MAX(0,AI327-P327))</f>
        <v/>
      </c>
      <c r="E327">
        <f>IF(E326&lt;=0,0,MAX(0,AJ327-Q327))</f>
        <v/>
      </c>
      <c r="F327">
        <f>IF(F326&lt;=0,0,MAX(0,AK327-R327))</f>
        <v/>
      </c>
      <c r="G327">
        <f>IF(G326&lt;=0,0,MAX(0,AL327-S327))</f>
        <v/>
      </c>
      <c r="H327">
        <f>IF(H326&lt;=0,0,MAX(0,AM327-T327))</f>
        <v/>
      </c>
      <c r="I327">
        <f>IF(I326&lt;=0,0,MAX(0,AN327-U327))</f>
        <v/>
      </c>
      <c r="J327">
        <f>IF(J326&lt;=0,0,MAX(0,AO327-V327))</f>
        <v/>
      </c>
      <c r="K327">
        <f>IF(K326&lt;=0,0,MAX(0,AP327-W327))</f>
        <v/>
      </c>
      <c r="L327">
        <f>IF(L326&lt;=0,0,MAX(0,AQ327-X327))</f>
        <v/>
      </c>
      <c r="M327">
        <f>IF(M326&lt;=0,0,MAX(0,AR327-Y327))</f>
        <v/>
      </c>
      <c r="N327">
        <f>IF(N326&lt;=0,0,MAX(0,AS327-Z327))</f>
        <v/>
      </c>
      <c r="O327">
        <f>IF(C326&lt;=0,0,MIN(AH327,C$7+IF(C$2=$AA327,$AC327,IF(C$2=$AF327,$AG327,0))))</f>
        <v/>
      </c>
      <c r="P327">
        <f>IF(D326&lt;=0,0,MIN(AI327,D$7+IF(D$2=$AA327,$AC327,IF(D$2=$AF327,$AG327,0))))</f>
        <v/>
      </c>
      <c r="Q327">
        <f>IF(E326&lt;=0,0,MIN(AJ327,E$7+IF(E$2=$AA327,$AC327,IF(E$2=$AF327,$AG327,0))))</f>
        <v/>
      </c>
      <c r="R327">
        <f>IF(F326&lt;=0,0,MIN(AK327,F$7+IF(F$2=$AA327,$AC327,IF(F$2=$AF327,$AG327,0))))</f>
        <v/>
      </c>
      <c r="S327">
        <f>IF(G326&lt;=0,0,MIN(AL327,G$7+IF(G$2=$AA327,$AC327,IF(G$2=$AF327,$AG327,0))))</f>
        <v/>
      </c>
      <c r="T327">
        <f>IF(H326&lt;=0,0,MIN(AM327,H$7+IF(H$2=$AA327,$AC327,IF(H$2=$AF327,$AG327,0))))</f>
        <v/>
      </c>
      <c r="U327">
        <f>IF(I326&lt;=0,0,MIN(AN327,I$7+IF(I$2=$AA327,$AC327,IF(I$2=$AF327,$AG327,0))))</f>
        <v/>
      </c>
      <c r="V327">
        <f>IF(J326&lt;=0,0,MIN(AO327,J$7+IF(J$2=$AA327,$AC327,IF(J$2=$AF327,$AG327,0))))</f>
        <v/>
      </c>
      <c r="W327">
        <f>IF(K326&lt;=0,0,MIN(AP327,K$7+IF(K$2=$AA327,$AC327,IF(K$2=$AF327,$AG327,0))))</f>
        <v/>
      </c>
      <c r="X327">
        <f>IF(L326&lt;=0,0,MIN(AQ327,L$7+IF(L$2=$AA327,$AC327,IF(L$2=$AF327,$AG327,0))))</f>
        <v/>
      </c>
      <c r="Y327">
        <f>IF(M326&lt;=0,0,MIN(AR327,M$7+IF(M$2=$AA327,$AC327,IF(M$2=$AF327,$AG327,0))))</f>
        <v/>
      </c>
      <c r="Z327">
        <f>IF(N326&lt;=0,0,MIN(AS327,N$7+IF(N$2=$AA327,$AC327,IF(N$2=$AF327,$AG327,0))))</f>
        <v/>
      </c>
      <c r="AA327">
        <f>IFERROR(ROUND(1/SUMPRODUCT(MAX((C326:N326&gt;0)*($C$3:$N$3&lt;=B327)/$C$2:$N$2)),0),0)</f>
        <v/>
      </c>
      <c r="AB327">
        <f>SUMPRODUCT((C326:N326&gt;0)*$C$7:$N$7)</f>
        <v/>
      </c>
      <c r="AC327">
        <f>MAX(0,Plan!$C$5-AB327)+IF(A327=Plan!$C$8,N(Plan!$C$7),0)</f>
        <v/>
      </c>
      <c r="AD327">
        <f>SUM(C327:N327)</f>
        <v/>
      </c>
      <c r="AE327">
        <f>SUM(O327:Z327)</f>
        <v/>
      </c>
      <c r="AF327">
        <f>IFERROR(ROUND(1/SUMPRODUCT(MAX((C326:N326&gt;0)*($C$3:$N$3&lt;=B327)*($C$2:$N$2&gt;AA327)/$C$2:$N$2)),0),0)</f>
        <v/>
      </c>
      <c r="AG327">
        <f>MAX(0,AC327-MAX(0,SUMPRODUCT(($C$2:$N$2=AA327)*(AH327:AS327-$C$7:$N$7))))</f>
        <v/>
      </c>
      <c r="AH327">
        <f>IF(C326&lt;=0,0,ROUND(C326*(1+IF(AND(C$6&gt;0,$B327&lt;C$6),C$4,C$5)/12),2))</f>
        <v/>
      </c>
      <c r="AI327">
        <f>IF(D326&lt;=0,0,ROUND(D326*(1+IF(AND(D$6&gt;0,$B327&lt;D$6),D$4,D$5)/12),2))</f>
        <v/>
      </c>
      <c r="AJ327">
        <f>IF(E326&lt;=0,0,ROUND(E326*(1+IF(AND(E$6&gt;0,$B327&lt;E$6),E$4,E$5)/12),2))</f>
        <v/>
      </c>
      <c r="AK327">
        <f>IF(F326&lt;=0,0,ROUND(F326*(1+IF(AND(F$6&gt;0,$B327&lt;F$6),F$4,F$5)/12),2))</f>
        <v/>
      </c>
      <c r="AL327">
        <f>IF(G326&lt;=0,0,ROUND(G326*(1+IF(AND(G$6&gt;0,$B327&lt;G$6),G$4,G$5)/12),2))</f>
        <v/>
      </c>
      <c r="AM327">
        <f>IF(H326&lt;=0,0,ROUND(H326*(1+IF(AND(H$6&gt;0,$B327&lt;H$6),H$4,H$5)/12),2))</f>
        <v/>
      </c>
      <c r="AN327">
        <f>IF(I326&lt;=0,0,ROUND(I326*(1+IF(AND(I$6&gt;0,$B327&lt;I$6),I$4,I$5)/12),2))</f>
        <v/>
      </c>
      <c r="AO327">
        <f>IF(J326&lt;=0,0,ROUND(J326*(1+IF(AND(J$6&gt;0,$B327&lt;J$6),J$4,J$5)/12),2))</f>
        <v/>
      </c>
      <c r="AP327">
        <f>IF(K326&lt;=0,0,ROUND(K326*(1+IF(AND(K$6&gt;0,$B327&lt;K$6),K$4,K$5)/12),2))</f>
        <v/>
      </c>
      <c r="AQ327">
        <f>IF(L326&lt;=0,0,ROUND(L326*(1+IF(AND(L$6&gt;0,$B327&lt;L$6),L$4,L$5)/12),2))</f>
        <v/>
      </c>
      <c r="AR327">
        <f>IF(M326&lt;=0,0,ROUND(M326*(1+IF(AND(M$6&gt;0,$B327&lt;M$6),M$4,M$5)/12),2))</f>
        <v/>
      </c>
      <c r="AS327">
        <f>IF(N326&lt;=0,0,ROUND(N326*(1+IF(AND(N$6&gt;0,$B327&lt;N$6),N$4,N$5)/12),2))</f>
        <v/>
      </c>
    </row>
    <row r="328">
      <c r="A328" t="n">
        <v>317</v>
      </c>
      <c r="B328">
        <f>EDATE(Plan!$C$6,316)</f>
        <v/>
      </c>
      <c r="C328">
        <f>IF(C327&lt;=0,0,MAX(0,AH328-O328))</f>
        <v/>
      </c>
      <c r="D328">
        <f>IF(D327&lt;=0,0,MAX(0,AI328-P328))</f>
        <v/>
      </c>
      <c r="E328">
        <f>IF(E327&lt;=0,0,MAX(0,AJ328-Q328))</f>
        <v/>
      </c>
      <c r="F328">
        <f>IF(F327&lt;=0,0,MAX(0,AK328-R328))</f>
        <v/>
      </c>
      <c r="G328">
        <f>IF(G327&lt;=0,0,MAX(0,AL328-S328))</f>
        <v/>
      </c>
      <c r="H328">
        <f>IF(H327&lt;=0,0,MAX(0,AM328-T328))</f>
        <v/>
      </c>
      <c r="I328">
        <f>IF(I327&lt;=0,0,MAX(0,AN328-U328))</f>
        <v/>
      </c>
      <c r="J328">
        <f>IF(J327&lt;=0,0,MAX(0,AO328-V328))</f>
        <v/>
      </c>
      <c r="K328">
        <f>IF(K327&lt;=0,0,MAX(0,AP328-W328))</f>
        <v/>
      </c>
      <c r="L328">
        <f>IF(L327&lt;=0,0,MAX(0,AQ328-X328))</f>
        <v/>
      </c>
      <c r="M328">
        <f>IF(M327&lt;=0,0,MAX(0,AR328-Y328))</f>
        <v/>
      </c>
      <c r="N328">
        <f>IF(N327&lt;=0,0,MAX(0,AS328-Z328))</f>
        <v/>
      </c>
      <c r="O328">
        <f>IF(C327&lt;=0,0,MIN(AH328,C$7+IF(C$2=$AA328,$AC328,IF(C$2=$AF328,$AG328,0))))</f>
        <v/>
      </c>
      <c r="P328">
        <f>IF(D327&lt;=0,0,MIN(AI328,D$7+IF(D$2=$AA328,$AC328,IF(D$2=$AF328,$AG328,0))))</f>
        <v/>
      </c>
      <c r="Q328">
        <f>IF(E327&lt;=0,0,MIN(AJ328,E$7+IF(E$2=$AA328,$AC328,IF(E$2=$AF328,$AG328,0))))</f>
        <v/>
      </c>
      <c r="R328">
        <f>IF(F327&lt;=0,0,MIN(AK328,F$7+IF(F$2=$AA328,$AC328,IF(F$2=$AF328,$AG328,0))))</f>
        <v/>
      </c>
      <c r="S328">
        <f>IF(G327&lt;=0,0,MIN(AL328,G$7+IF(G$2=$AA328,$AC328,IF(G$2=$AF328,$AG328,0))))</f>
        <v/>
      </c>
      <c r="T328">
        <f>IF(H327&lt;=0,0,MIN(AM328,H$7+IF(H$2=$AA328,$AC328,IF(H$2=$AF328,$AG328,0))))</f>
        <v/>
      </c>
      <c r="U328">
        <f>IF(I327&lt;=0,0,MIN(AN328,I$7+IF(I$2=$AA328,$AC328,IF(I$2=$AF328,$AG328,0))))</f>
        <v/>
      </c>
      <c r="V328">
        <f>IF(J327&lt;=0,0,MIN(AO328,J$7+IF(J$2=$AA328,$AC328,IF(J$2=$AF328,$AG328,0))))</f>
        <v/>
      </c>
      <c r="W328">
        <f>IF(K327&lt;=0,0,MIN(AP328,K$7+IF(K$2=$AA328,$AC328,IF(K$2=$AF328,$AG328,0))))</f>
        <v/>
      </c>
      <c r="X328">
        <f>IF(L327&lt;=0,0,MIN(AQ328,L$7+IF(L$2=$AA328,$AC328,IF(L$2=$AF328,$AG328,0))))</f>
        <v/>
      </c>
      <c r="Y328">
        <f>IF(M327&lt;=0,0,MIN(AR328,M$7+IF(M$2=$AA328,$AC328,IF(M$2=$AF328,$AG328,0))))</f>
        <v/>
      </c>
      <c r="Z328">
        <f>IF(N327&lt;=0,0,MIN(AS328,N$7+IF(N$2=$AA328,$AC328,IF(N$2=$AF328,$AG328,0))))</f>
        <v/>
      </c>
      <c r="AA328">
        <f>IFERROR(ROUND(1/SUMPRODUCT(MAX((C327:N327&gt;0)*($C$3:$N$3&lt;=B328)/$C$2:$N$2)),0),0)</f>
        <v/>
      </c>
      <c r="AB328">
        <f>SUMPRODUCT((C327:N327&gt;0)*$C$7:$N$7)</f>
        <v/>
      </c>
      <c r="AC328">
        <f>MAX(0,Plan!$C$5-AB328)+IF(A328=Plan!$C$8,N(Plan!$C$7),0)</f>
        <v/>
      </c>
      <c r="AD328">
        <f>SUM(C328:N328)</f>
        <v/>
      </c>
      <c r="AE328">
        <f>SUM(O328:Z328)</f>
        <v/>
      </c>
      <c r="AF328">
        <f>IFERROR(ROUND(1/SUMPRODUCT(MAX((C327:N327&gt;0)*($C$3:$N$3&lt;=B328)*($C$2:$N$2&gt;AA328)/$C$2:$N$2)),0),0)</f>
        <v/>
      </c>
      <c r="AG328">
        <f>MAX(0,AC328-MAX(0,SUMPRODUCT(($C$2:$N$2=AA328)*(AH328:AS328-$C$7:$N$7))))</f>
        <v/>
      </c>
      <c r="AH328">
        <f>IF(C327&lt;=0,0,ROUND(C327*(1+IF(AND(C$6&gt;0,$B328&lt;C$6),C$4,C$5)/12),2))</f>
        <v/>
      </c>
      <c r="AI328">
        <f>IF(D327&lt;=0,0,ROUND(D327*(1+IF(AND(D$6&gt;0,$B328&lt;D$6),D$4,D$5)/12),2))</f>
        <v/>
      </c>
      <c r="AJ328">
        <f>IF(E327&lt;=0,0,ROUND(E327*(1+IF(AND(E$6&gt;0,$B328&lt;E$6),E$4,E$5)/12),2))</f>
        <v/>
      </c>
      <c r="AK328">
        <f>IF(F327&lt;=0,0,ROUND(F327*(1+IF(AND(F$6&gt;0,$B328&lt;F$6),F$4,F$5)/12),2))</f>
        <v/>
      </c>
      <c r="AL328">
        <f>IF(G327&lt;=0,0,ROUND(G327*(1+IF(AND(G$6&gt;0,$B328&lt;G$6),G$4,G$5)/12),2))</f>
        <v/>
      </c>
      <c r="AM328">
        <f>IF(H327&lt;=0,0,ROUND(H327*(1+IF(AND(H$6&gt;0,$B328&lt;H$6),H$4,H$5)/12),2))</f>
        <v/>
      </c>
      <c r="AN328">
        <f>IF(I327&lt;=0,0,ROUND(I327*(1+IF(AND(I$6&gt;0,$B328&lt;I$6),I$4,I$5)/12),2))</f>
        <v/>
      </c>
      <c r="AO328">
        <f>IF(J327&lt;=0,0,ROUND(J327*(1+IF(AND(J$6&gt;0,$B328&lt;J$6),J$4,J$5)/12),2))</f>
        <v/>
      </c>
      <c r="AP328">
        <f>IF(K327&lt;=0,0,ROUND(K327*(1+IF(AND(K$6&gt;0,$B328&lt;K$6),K$4,K$5)/12),2))</f>
        <v/>
      </c>
      <c r="AQ328">
        <f>IF(L327&lt;=0,0,ROUND(L327*(1+IF(AND(L$6&gt;0,$B328&lt;L$6),L$4,L$5)/12),2))</f>
        <v/>
      </c>
      <c r="AR328">
        <f>IF(M327&lt;=0,0,ROUND(M327*(1+IF(AND(M$6&gt;0,$B328&lt;M$6),M$4,M$5)/12),2))</f>
        <v/>
      </c>
      <c r="AS328">
        <f>IF(N327&lt;=0,0,ROUND(N327*(1+IF(AND(N$6&gt;0,$B328&lt;N$6),N$4,N$5)/12),2))</f>
        <v/>
      </c>
    </row>
    <row r="329">
      <c r="A329" t="n">
        <v>318</v>
      </c>
      <c r="B329">
        <f>EDATE(Plan!$C$6,317)</f>
        <v/>
      </c>
      <c r="C329">
        <f>IF(C328&lt;=0,0,MAX(0,AH329-O329))</f>
        <v/>
      </c>
      <c r="D329">
        <f>IF(D328&lt;=0,0,MAX(0,AI329-P329))</f>
        <v/>
      </c>
      <c r="E329">
        <f>IF(E328&lt;=0,0,MAX(0,AJ329-Q329))</f>
        <v/>
      </c>
      <c r="F329">
        <f>IF(F328&lt;=0,0,MAX(0,AK329-R329))</f>
        <v/>
      </c>
      <c r="G329">
        <f>IF(G328&lt;=0,0,MAX(0,AL329-S329))</f>
        <v/>
      </c>
      <c r="H329">
        <f>IF(H328&lt;=0,0,MAX(0,AM329-T329))</f>
        <v/>
      </c>
      <c r="I329">
        <f>IF(I328&lt;=0,0,MAX(0,AN329-U329))</f>
        <v/>
      </c>
      <c r="J329">
        <f>IF(J328&lt;=0,0,MAX(0,AO329-V329))</f>
        <v/>
      </c>
      <c r="K329">
        <f>IF(K328&lt;=0,0,MAX(0,AP329-W329))</f>
        <v/>
      </c>
      <c r="L329">
        <f>IF(L328&lt;=0,0,MAX(0,AQ329-X329))</f>
        <v/>
      </c>
      <c r="M329">
        <f>IF(M328&lt;=0,0,MAX(0,AR329-Y329))</f>
        <v/>
      </c>
      <c r="N329">
        <f>IF(N328&lt;=0,0,MAX(0,AS329-Z329))</f>
        <v/>
      </c>
      <c r="O329">
        <f>IF(C328&lt;=0,0,MIN(AH329,C$7+IF(C$2=$AA329,$AC329,IF(C$2=$AF329,$AG329,0))))</f>
        <v/>
      </c>
      <c r="P329">
        <f>IF(D328&lt;=0,0,MIN(AI329,D$7+IF(D$2=$AA329,$AC329,IF(D$2=$AF329,$AG329,0))))</f>
        <v/>
      </c>
      <c r="Q329">
        <f>IF(E328&lt;=0,0,MIN(AJ329,E$7+IF(E$2=$AA329,$AC329,IF(E$2=$AF329,$AG329,0))))</f>
        <v/>
      </c>
      <c r="R329">
        <f>IF(F328&lt;=0,0,MIN(AK329,F$7+IF(F$2=$AA329,$AC329,IF(F$2=$AF329,$AG329,0))))</f>
        <v/>
      </c>
      <c r="S329">
        <f>IF(G328&lt;=0,0,MIN(AL329,G$7+IF(G$2=$AA329,$AC329,IF(G$2=$AF329,$AG329,0))))</f>
        <v/>
      </c>
      <c r="T329">
        <f>IF(H328&lt;=0,0,MIN(AM329,H$7+IF(H$2=$AA329,$AC329,IF(H$2=$AF329,$AG329,0))))</f>
        <v/>
      </c>
      <c r="U329">
        <f>IF(I328&lt;=0,0,MIN(AN329,I$7+IF(I$2=$AA329,$AC329,IF(I$2=$AF329,$AG329,0))))</f>
        <v/>
      </c>
      <c r="V329">
        <f>IF(J328&lt;=0,0,MIN(AO329,J$7+IF(J$2=$AA329,$AC329,IF(J$2=$AF329,$AG329,0))))</f>
        <v/>
      </c>
      <c r="W329">
        <f>IF(K328&lt;=0,0,MIN(AP329,K$7+IF(K$2=$AA329,$AC329,IF(K$2=$AF329,$AG329,0))))</f>
        <v/>
      </c>
      <c r="X329">
        <f>IF(L328&lt;=0,0,MIN(AQ329,L$7+IF(L$2=$AA329,$AC329,IF(L$2=$AF329,$AG329,0))))</f>
        <v/>
      </c>
      <c r="Y329">
        <f>IF(M328&lt;=0,0,MIN(AR329,M$7+IF(M$2=$AA329,$AC329,IF(M$2=$AF329,$AG329,0))))</f>
        <v/>
      </c>
      <c r="Z329">
        <f>IF(N328&lt;=0,0,MIN(AS329,N$7+IF(N$2=$AA329,$AC329,IF(N$2=$AF329,$AG329,0))))</f>
        <v/>
      </c>
      <c r="AA329">
        <f>IFERROR(ROUND(1/SUMPRODUCT(MAX((C328:N328&gt;0)*($C$3:$N$3&lt;=B329)/$C$2:$N$2)),0),0)</f>
        <v/>
      </c>
      <c r="AB329">
        <f>SUMPRODUCT((C328:N328&gt;0)*$C$7:$N$7)</f>
        <v/>
      </c>
      <c r="AC329">
        <f>MAX(0,Plan!$C$5-AB329)+IF(A329=Plan!$C$8,N(Plan!$C$7),0)</f>
        <v/>
      </c>
      <c r="AD329">
        <f>SUM(C329:N329)</f>
        <v/>
      </c>
      <c r="AE329">
        <f>SUM(O329:Z329)</f>
        <v/>
      </c>
      <c r="AF329">
        <f>IFERROR(ROUND(1/SUMPRODUCT(MAX((C328:N328&gt;0)*($C$3:$N$3&lt;=B329)*($C$2:$N$2&gt;AA329)/$C$2:$N$2)),0),0)</f>
        <v/>
      </c>
      <c r="AG329">
        <f>MAX(0,AC329-MAX(0,SUMPRODUCT(($C$2:$N$2=AA329)*(AH329:AS329-$C$7:$N$7))))</f>
        <v/>
      </c>
      <c r="AH329">
        <f>IF(C328&lt;=0,0,ROUND(C328*(1+IF(AND(C$6&gt;0,$B329&lt;C$6),C$4,C$5)/12),2))</f>
        <v/>
      </c>
      <c r="AI329">
        <f>IF(D328&lt;=0,0,ROUND(D328*(1+IF(AND(D$6&gt;0,$B329&lt;D$6),D$4,D$5)/12),2))</f>
        <v/>
      </c>
      <c r="AJ329">
        <f>IF(E328&lt;=0,0,ROUND(E328*(1+IF(AND(E$6&gt;0,$B329&lt;E$6),E$4,E$5)/12),2))</f>
        <v/>
      </c>
      <c r="AK329">
        <f>IF(F328&lt;=0,0,ROUND(F328*(1+IF(AND(F$6&gt;0,$B329&lt;F$6),F$4,F$5)/12),2))</f>
        <v/>
      </c>
      <c r="AL329">
        <f>IF(G328&lt;=0,0,ROUND(G328*(1+IF(AND(G$6&gt;0,$B329&lt;G$6),G$4,G$5)/12),2))</f>
        <v/>
      </c>
      <c r="AM329">
        <f>IF(H328&lt;=0,0,ROUND(H328*(1+IF(AND(H$6&gt;0,$B329&lt;H$6),H$4,H$5)/12),2))</f>
        <v/>
      </c>
      <c r="AN329">
        <f>IF(I328&lt;=0,0,ROUND(I328*(1+IF(AND(I$6&gt;0,$B329&lt;I$6),I$4,I$5)/12),2))</f>
        <v/>
      </c>
      <c r="AO329">
        <f>IF(J328&lt;=0,0,ROUND(J328*(1+IF(AND(J$6&gt;0,$B329&lt;J$6),J$4,J$5)/12),2))</f>
        <v/>
      </c>
      <c r="AP329">
        <f>IF(K328&lt;=0,0,ROUND(K328*(1+IF(AND(K$6&gt;0,$B329&lt;K$6),K$4,K$5)/12),2))</f>
        <v/>
      </c>
      <c r="AQ329">
        <f>IF(L328&lt;=0,0,ROUND(L328*(1+IF(AND(L$6&gt;0,$B329&lt;L$6),L$4,L$5)/12),2))</f>
        <v/>
      </c>
      <c r="AR329">
        <f>IF(M328&lt;=0,0,ROUND(M328*(1+IF(AND(M$6&gt;0,$B329&lt;M$6),M$4,M$5)/12),2))</f>
        <v/>
      </c>
      <c r="AS329">
        <f>IF(N328&lt;=0,0,ROUND(N328*(1+IF(AND(N$6&gt;0,$B329&lt;N$6),N$4,N$5)/12),2))</f>
        <v/>
      </c>
    </row>
    <row r="330">
      <c r="A330" t="n">
        <v>319</v>
      </c>
      <c r="B330">
        <f>EDATE(Plan!$C$6,318)</f>
        <v/>
      </c>
      <c r="C330">
        <f>IF(C329&lt;=0,0,MAX(0,AH330-O330))</f>
        <v/>
      </c>
      <c r="D330">
        <f>IF(D329&lt;=0,0,MAX(0,AI330-P330))</f>
        <v/>
      </c>
      <c r="E330">
        <f>IF(E329&lt;=0,0,MAX(0,AJ330-Q330))</f>
        <v/>
      </c>
      <c r="F330">
        <f>IF(F329&lt;=0,0,MAX(0,AK330-R330))</f>
        <v/>
      </c>
      <c r="G330">
        <f>IF(G329&lt;=0,0,MAX(0,AL330-S330))</f>
        <v/>
      </c>
      <c r="H330">
        <f>IF(H329&lt;=0,0,MAX(0,AM330-T330))</f>
        <v/>
      </c>
      <c r="I330">
        <f>IF(I329&lt;=0,0,MAX(0,AN330-U330))</f>
        <v/>
      </c>
      <c r="J330">
        <f>IF(J329&lt;=0,0,MAX(0,AO330-V330))</f>
        <v/>
      </c>
      <c r="K330">
        <f>IF(K329&lt;=0,0,MAX(0,AP330-W330))</f>
        <v/>
      </c>
      <c r="L330">
        <f>IF(L329&lt;=0,0,MAX(0,AQ330-X330))</f>
        <v/>
      </c>
      <c r="M330">
        <f>IF(M329&lt;=0,0,MAX(0,AR330-Y330))</f>
        <v/>
      </c>
      <c r="N330">
        <f>IF(N329&lt;=0,0,MAX(0,AS330-Z330))</f>
        <v/>
      </c>
      <c r="O330">
        <f>IF(C329&lt;=0,0,MIN(AH330,C$7+IF(C$2=$AA330,$AC330,IF(C$2=$AF330,$AG330,0))))</f>
        <v/>
      </c>
      <c r="P330">
        <f>IF(D329&lt;=0,0,MIN(AI330,D$7+IF(D$2=$AA330,$AC330,IF(D$2=$AF330,$AG330,0))))</f>
        <v/>
      </c>
      <c r="Q330">
        <f>IF(E329&lt;=0,0,MIN(AJ330,E$7+IF(E$2=$AA330,$AC330,IF(E$2=$AF330,$AG330,0))))</f>
        <v/>
      </c>
      <c r="R330">
        <f>IF(F329&lt;=0,0,MIN(AK330,F$7+IF(F$2=$AA330,$AC330,IF(F$2=$AF330,$AG330,0))))</f>
        <v/>
      </c>
      <c r="S330">
        <f>IF(G329&lt;=0,0,MIN(AL330,G$7+IF(G$2=$AA330,$AC330,IF(G$2=$AF330,$AG330,0))))</f>
        <v/>
      </c>
      <c r="T330">
        <f>IF(H329&lt;=0,0,MIN(AM330,H$7+IF(H$2=$AA330,$AC330,IF(H$2=$AF330,$AG330,0))))</f>
        <v/>
      </c>
      <c r="U330">
        <f>IF(I329&lt;=0,0,MIN(AN330,I$7+IF(I$2=$AA330,$AC330,IF(I$2=$AF330,$AG330,0))))</f>
        <v/>
      </c>
      <c r="V330">
        <f>IF(J329&lt;=0,0,MIN(AO330,J$7+IF(J$2=$AA330,$AC330,IF(J$2=$AF330,$AG330,0))))</f>
        <v/>
      </c>
      <c r="W330">
        <f>IF(K329&lt;=0,0,MIN(AP330,K$7+IF(K$2=$AA330,$AC330,IF(K$2=$AF330,$AG330,0))))</f>
        <v/>
      </c>
      <c r="X330">
        <f>IF(L329&lt;=0,0,MIN(AQ330,L$7+IF(L$2=$AA330,$AC330,IF(L$2=$AF330,$AG330,0))))</f>
        <v/>
      </c>
      <c r="Y330">
        <f>IF(M329&lt;=0,0,MIN(AR330,M$7+IF(M$2=$AA330,$AC330,IF(M$2=$AF330,$AG330,0))))</f>
        <v/>
      </c>
      <c r="Z330">
        <f>IF(N329&lt;=0,0,MIN(AS330,N$7+IF(N$2=$AA330,$AC330,IF(N$2=$AF330,$AG330,0))))</f>
        <v/>
      </c>
      <c r="AA330">
        <f>IFERROR(ROUND(1/SUMPRODUCT(MAX((C329:N329&gt;0)*($C$3:$N$3&lt;=B330)/$C$2:$N$2)),0),0)</f>
        <v/>
      </c>
      <c r="AB330">
        <f>SUMPRODUCT((C329:N329&gt;0)*$C$7:$N$7)</f>
        <v/>
      </c>
      <c r="AC330">
        <f>MAX(0,Plan!$C$5-AB330)+IF(A330=Plan!$C$8,N(Plan!$C$7),0)</f>
        <v/>
      </c>
      <c r="AD330">
        <f>SUM(C330:N330)</f>
        <v/>
      </c>
      <c r="AE330">
        <f>SUM(O330:Z330)</f>
        <v/>
      </c>
      <c r="AF330">
        <f>IFERROR(ROUND(1/SUMPRODUCT(MAX((C329:N329&gt;0)*($C$3:$N$3&lt;=B330)*($C$2:$N$2&gt;AA330)/$C$2:$N$2)),0),0)</f>
        <v/>
      </c>
      <c r="AG330">
        <f>MAX(0,AC330-MAX(0,SUMPRODUCT(($C$2:$N$2=AA330)*(AH330:AS330-$C$7:$N$7))))</f>
        <v/>
      </c>
      <c r="AH330">
        <f>IF(C329&lt;=0,0,ROUND(C329*(1+IF(AND(C$6&gt;0,$B330&lt;C$6),C$4,C$5)/12),2))</f>
        <v/>
      </c>
      <c r="AI330">
        <f>IF(D329&lt;=0,0,ROUND(D329*(1+IF(AND(D$6&gt;0,$B330&lt;D$6),D$4,D$5)/12),2))</f>
        <v/>
      </c>
      <c r="AJ330">
        <f>IF(E329&lt;=0,0,ROUND(E329*(1+IF(AND(E$6&gt;0,$B330&lt;E$6),E$4,E$5)/12),2))</f>
        <v/>
      </c>
      <c r="AK330">
        <f>IF(F329&lt;=0,0,ROUND(F329*(1+IF(AND(F$6&gt;0,$B330&lt;F$6),F$4,F$5)/12),2))</f>
        <v/>
      </c>
      <c r="AL330">
        <f>IF(G329&lt;=0,0,ROUND(G329*(1+IF(AND(G$6&gt;0,$B330&lt;G$6),G$4,G$5)/12),2))</f>
        <v/>
      </c>
      <c r="AM330">
        <f>IF(H329&lt;=0,0,ROUND(H329*(1+IF(AND(H$6&gt;0,$B330&lt;H$6),H$4,H$5)/12),2))</f>
        <v/>
      </c>
      <c r="AN330">
        <f>IF(I329&lt;=0,0,ROUND(I329*(1+IF(AND(I$6&gt;0,$B330&lt;I$6),I$4,I$5)/12),2))</f>
        <v/>
      </c>
      <c r="AO330">
        <f>IF(J329&lt;=0,0,ROUND(J329*(1+IF(AND(J$6&gt;0,$B330&lt;J$6),J$4,J$5)/12),2))</f>
        <v/>
      </c>
      <c r="AP330">
        <f>IF(K329&lt;=0,0,ROUND(K329*(1+IF(AND(K$6&gt;0,$B330&lt;K$6),K$4,K$5)/12),2))</f>
        <v/>
      </c>
      <c r="AQ330">
        <f>IF(L329&lt;=0,0,ROUND(L329*(1+IF(AND(L$6&gt;0,$B330&lt;L$6),L$4,L$5)/12),2))</f>
        <v/>
      </c>
      <c r="AR330">
        <f>IF(M329&lt;=0,0,ROUND(M329*(1+IF(AND(M$6&gt;0,$B330&lt;M$6),M$4,M$5)/12),2))</f>
        <v/>
      </c>
      <c r="AS330">
        <f>IF(N329&lt;=0,0,ROUND(N329*(1+IF(AND(N$6&gt;0,$B330&lt;N$6),N$4,N$5)/12),2))</f>
        <v/>
      </c>
    </row>
    <row r="331">
      <c r="A331" t="n">
        <v>320</v>
      </c>
      <c r="B331">
        <f>EDATE(Plan!$C$6,319)</f>
        <v/>
      </c>
      <c r="C331">
        <f>IF(C330&lt;=0,0,MAX(0,AH331-O331))</f>
        <v/>
      </c>
      <c r="D331">
        <f>IF(D330&lt;=0,0,MAX(0,AI331-P331))</f>
        <v/>
      </c>
      <c r="E331">
        <f>IF(E330&lt;=0,0,MAX(0,AJ331-Q331))</f>
        <v/>
      </c>
      <c r="F331">
        <f>IF(F330&lt;=0,0,MAX(0,AK331-R331))</f>
        <v/>
      </c>
      <c r="G331">
        <f>IF(G330&lt;=0,0,MAX(0,AL331-S331))</f>
        <v/>
      </c>
      <c r="H331">
        <f>IF(H330&lt;=0,0,MAX(0,AM331-T331))</f>
        <v/>
      </c>
      <c r="I331">
        <f>IF(I330&lt;=0,0,MAX(0,AN331-U331))</f>
        <v/>
      </c>
      <c r="J331">
        <f>IF(J330&lt;=0,0,MAX(0,AO331-V331))</f>
        <v/>
      </c>
      <c r="K331">
        <f>IF(K330&lt;=0,0,MAX(0,AP331-W331))</f>
        <v/>
      </c>
      <c r="L331">
        <f>IF(L330&lt;=0,0,MAX(0,AQ331-X331))</f>
        <v/>
      </c>
      <c r="M331">
        <f>IF(M330&lt;=0,0,MAX(0,AR331-Y331))</f>
        <v/>
      </c>
      <c r="N331">
        <f>IF(N330&lt;=0,0,MAX(0,AS331-Z331))</f>
        <v/>
      </c>
      <c r="O331">
        <f>IF(C330&lt;=0,0,MIN(AH331,C$7+IF(C$2=$AA331,$AC331,IF(C$2=$AF331,$AG331,0))))</f>
        <v/>
      </c>
      <c r="P331">
        <f>IF(D330&lt;=0,0,MIN(AI331,D$7+IF(D$2=$AA331,$AC331,IF(D$2=$AF331,$AG331,0))))</f>
        <v/>
      </c>
      <c r="Q331">
        <f>IF(E330&lt;=0,0,MIN(AJ331,E$7+IF(E$2=$AA331,$AC331,IF(E$2=$AF331,$AG331,0))))</f>
        <v/>
      </c>
      <c r="R331">
        <f>IF(F330&lt;=0,0,MIN(AK331,F$7+IF(F$2=$AA331,$AC331,IF(F$2=$AF331,$AG331,0))))</f>
        <v/>
      </c>
      <c r="S331">
        <f>IF(G330&lt;=0,0,MIN(AL331,G$7+IF(G$2=$AA331,$AC331,IF(G$2=$AF331,$AG331,0))))</f>
        <v/>
      </c>
      <c r="T331">
        <f>IF(H330&lt;=0,0,MIN(AM331,H$7+IF(H$2=$AA331,$AC331,IF(H$2=$AF331,$AG331,0))))</f>
        <v/>
      </c>
      <c r="U331">
        <f>IF(I330&lt;=0,0,MIN(AN331,I$7+IF(I$2=$AA331,$AC331,IF(I$2=$AF331,$AG331,0))))</f>
        <v/>
      </c>
      <c r="V331">
        <f>IF(J330&lt;=0,0,MIN(AO331,J$7+IF(J$2=$AA331,$AC331,IF(J$2=$AF331,$AG331,0))))</f>
        <v/>
      </c>
      <c r="W331">
        <f>IF(K330&lt;=0,0,MIN(AP331,K$7+IF(K$2=$AA331,$AC331,IF(K$2=$AF331,$AG331,0))))</f>
        <v/>
      </c>
      <c r="X331">
        <f>IF(L330&lt;=0,0,MIN(AQ331,L$7+IF(L$2=$AA331,$AC331,IF(L$2=$AF331,$AG331,0))))</f>
        <v/>
      </c>
      <c r="Y331">
        <f>IF(M330&lt;=0,0,MIN(AR331,M$7+IF(M$2=$AA331,$AC331,IF(M$2=$AF331,$AG331,0))))</f>
        <v/>
      </c>
      <c r="Z331">
        <f>IF(N330&lt;=0,0,MIN(AS331,N$7+IF(N$2=$AA331,$AC331,IF(N$2=$AF331,$AG331,0))))</f>
        <v/>
      </c>
      <c r="AA331">
        <f>IFERROR(ROUND(1/SUMPRODUCT(MAX((C330:N330&gt;0)*($C$3:$N$3&lt;=B331)/$C$2:$N$2)),0),0)</f>
        <v/>
      </c>
      <c r="AB331">
        <f>SUMPRODUCT((C330:N330&gt;0)*$C$7:$N$7)</f>
        <v/>
      </c>
      <c r="AC331">
        <f>MAX(0,Plan!$C$5-AB331)+IF(A331=Plan!$C$8,N(Plan!$C$7),0)</f>
        <v/>
      </c>
      <c r="AD331">
        <f>SUM(C331:N331)</f>
        <v/>
      </c>
      <c r="AE331">
        <f>SUM(O331:Z331)</f>
        <v/>
      </c>
      <c r="AF331">
        <f>IFERROR(ROUND(1/SUMPRODUCT(MAX((C330:N330&gt;0)*($C$3:$N$3&lt;=B331)*($C$2:$N$2&gt;AA331)/$C$2:$N$2)),0),0)</f>
        <v/>
      </c>
      <c r="AG331">
        <f>MAX(0,AC331-MAX(0,SUMPRODUCT(($C$2:$N$2=AA331)*(AH331:AS331-$C$7:$N$7))))</f>
        <v/>
      </c>
      <c r="AH331">
        <f>IF(C330&lt;=0,0,ROUND(C330*(1+IF(AND(C$6&gt;0,$B331&lt;C$6),C$4,C$5)/12),2))</f>
        <v/>
      </c>
      <c r="AI331">
        <f>IF(D330&lt;=0,0,ROUND(D330*(1+IF(AND(D$6&gt;0,$B331&lt;D$6),D$4,D$5)/12),2))</f>
        <v/>
      </c>
      <c r="AJ331">
        <f>IF(E330&lt;=0,0,ROUND(E330*(1+IF(AND(E$6&gt;0,$B331&lt;E$6),E$4,E$5)/12),2))</f>
        <v/>
      </c>
      <c r="AK331">
        <f>IF(F330&lt;=0,0,ROUND(F330*(1+IF(AND(F$6&gt;0,$B331&lt;F$6),F$4,F$5)/12),2))</f>
        <v/>
      </c>
      <c r="AL331">
        <f>IF(G330&lt;=0,0,ROUND(G330*(1+IF(AND(G$6&gt;0,$B331&lt;G$6),G$4,G$5)/12),2))</f>
        <v/>
      </c>
      <c r="AM331">
        <f>IF(H330&lt;=0,0,ROUND(H330*(1+IF(AND(H$6&gt;0,$B331&lt;H$6),H$4,H$5)/12),2))</f>
        <v/>
      </c>
      <c r="AN331">
        <f>IF(I330&lt;=0,0,ROUND(I330*(1+IF(AND(I$6&gt;0,$B331&lt;I$6),I$4,I$5)/12),2))</f>
        <v/>
      </c>
      <c r="AO331">
        <f>IF(J330&lt;=0,0,ROUND(J330*(1+IF(AND(J$6&gt;0,$B331&lt;J$6),J$4,J$5)/12),2))</f>
        <v/>
      </c>
      <c r="AP331">
        <f>IF(K330&lt;=0,0,ROUND(K330*(1+IF(AND(K$6&gt;0,$B331&lt;K$6),K$4,K$5)/12),2))</f>
        <v/>
      </c>
      <c r="AQ331">
        <f>IF(L330&lt;=0,0,ROUND(L330*(1+IF(AND(L$6&gt;0,$B331&lt;L$6),L$4,L$5)/12),2))</f>
        <v/>
      </c>
      <c r="AR331">
        <f>IF(M330&lt;=0,0,ROUND(M330*(1+IF(AND(M$6&gt;0,$B331&lt;M$6),M$4,M$5)/12),2))</f>
        <v/>
      </c>
      <c r="AS331">
        <f>IF(N330&lt;=0,0,ROUND(N330*(1+IF(AND(N$6&gt;0,$B331&lt;N$6),N$4,N$5)/12),2))</f>
        <v/>
      </c>
    </row>
    <row r="332">
      <c r="A332" t="n">
        <v>321</v>
      </c>
      <c r="B332">
        <f>EDATE(Plan!$C$6,320)</f>
        <v/>
      </c>
      <c r="C332">
        <f>IF(C331&lt;=0,0,MAX(0,AH332-O332))</f>
        <v/>
      </c>
      <c r="D332">
        <f>IF(D331&lt;=0,0,MAX(0,AI332-P332))</f>
        <v/>
      </c>
      <c r="E332">
        <f>IF(E331&lt;=0,0,MAX(0,AJ332-Q332))</f>
        <v/>
      </c>
      <c r="F332">
        <f>IF(F331&lt;=0,0,MAX(0,AK332-R332))</f>
        <v/>
      </c>
      <c r="G332">
        <f>IF(G331&lt;=0,0,MAX(0,AL332-S332))</f>
        <v/>
      </c>
      <c r="H332">
        <f>IF(H331&lt;=0,0,MAX(0,AM332-T332))</f>
        <v/>
      </c>
      <c r="I332">
        <f>IF(I331&lt;=0,0,MAX(0,AN332-U332))</f>
        <v/>
      </c>
      <c r="J332">
        <f>IF(J331&lt;=0,0,MAX(0,AO332-V332))</f>
        <v/>
      </c>
      <c r="K332">
        <f>IF(K331&lt;=0,0,MAX(0,AP332-W332))</f>
        <v/>
      </c>
      <c r="L332">
        <f>IF(L331&lt;=0,0,MAX(0,AQ332-X332))</f>
        <v/>
      </c>
      <c r="M332">
        <f>IF(M331&lt;=0,0,MAX(0,AR332-Y332))</f>
        <v/>
      </c>
      <c r="N332">
        <f>IF(N331&lt;=0,0,MAX(0,AS332-Z332))</f>
        <v/>
      </c>
      <c r="O332">
        <f>IF(C331&lt;=0,0,MIN(AH332,C$7+IF(C$2=$AA332,$AC332,IF(C$2=$AF332,$AG332,0))))</f>
        <v/>
      </c>
      <c r="P332">
        <f>IF(D331&lt;=0,0,MIN(AI332,D$7+IF(D$2=$AA332,$AC332,IF(D$2=$AF332,$AG332,0))))</f>
        <v/>
      </c>
      <c r="Q332">
        <f>IF(E331&lt;=0,0,MIN(AJ332,E$7+IF(E$2=$AA332,$AC332,IF(E$2=$AF332,$AG332,0))))</f>
        <v/>
      </c>
      <c r="R332">
        <f>IF(F331&lt;=0,0,MIN(AK332,F$7+IF(F$2=$AA332,$AC332,IF(F$2=$AF332,$AG332,0))))</f>
        <v/>
      </c>
      <c r="S332">
        <f>IF(G331&lt;=0,0,MIN(AL332,G$7+IF(G$2=$AA332,$AC332,IF(G$2=$AF332,$AG332,0))))</f>
        <v/>
      </c>
      <c r="T332">
        <f>IF(H331&lt;=0,0,MIN(AM332,H$7+IF(H$2=$AA332,$AC332,IF(H$2=$AF332,$AG332,0))))</f>
        <v/>
      </c>
      <c r="U332">
        <f>IF(I331&lt;=0,0,MIN(AN332,I$7+IF(I$2=$AA332,$AC332,IF(I$2=$AF332,$AG332,0))))</f>
        <v/>
      </c>
      <c r="V332">
        <f>IF(J331&lt;=0,0,MIN(AO332,J$7+IF(J$2=$AA332,$AC332,IF(J$2=$AF332,$AG332,0))))</f>
        <v/>
      </c>
      <c r="W332">
        <f>IF(K331&lt;=0,0,MIN(AP332,K$7+IF(K$2=$AA332,$AC332,IF(K$2=$AF332,$AG332,0))))</f>
        <v/>
      </c>
      <c r="X332">
        <f>IF(L331&lt;=0,0,MIN(AQ332,L$7+IF(L$2=$AA332,$AC332,IF(L$2=$AF332,$AG332,0))))</f>
        <v/>
      </c>
      <c r="Y332">
        <f>IF(M331&lt;=0,0,MIN(AR332,M$7+IF(M$2=$AA332,$AC332,IF(M$2=$AF332,$AG332,0))))</f>
        <v/>
      </c>
      <c r="Z332">
        <f>IF(N331&lt;=0,0,MIN(AS332,N$7+IF(N$2=$AA332,$AC332,IF(N$2=$AF332,$AG332,0))))</f>
        <v/>
      </c>
      <c r="AA332">
        <f>IFERROR(ROUND(1/SUMPRODUCT(MAX((C331:N331&gt;0)*($C$3:$N$3&lt;=B332)/$C$2:$N$2)),0),0)</f>
        <v/>
      </c>
      <c r="AB332">
        <f>SUMPRODUCT((C331:N331&gt;0)*$C$7:$N$7)</f>
        <v/>
      </c>
      <c r="AC332">
        <f>MAX(0,Plan!$C$5-AB332)+IF(A332=Plan!$C$8,N(Plan!$C$7),0)</f>
        <v/>
      </c>
      <c r="AD332">
        <f>SUM(C332:N332)</f>
        <v/>
      </c>
      <c r="AE332">
        <f>SUM(O332:Z332)</f>
        <v/>
      </c>
      <c r="AF332">
        <f>IFERROR(ROUND(1/SUMPRODUCT(MAX((C331:N331&gt;0)*($C$3:$N$3&lt;=B332)*($C$2:$N$2&gt;AA332)/$C$2:$N$2)),0),0)</f>
        <v/>
      </c>
      <c r="AG332">
        <f>MAX(0,AC332-MAX(0,SUMPRODUCT(($C$2:$N$2=AA332)*(AH332:AS332-$C$7:$N$7))))</f>
        <v/>
      </c>
      <c r="AH332">
        <f>IF(C331&lt;=0,0,ROUND(C331*(1+IF(AND(C$6&gt;0,$B332&lt;C$6),C$4,C$5)/12),2))</f>
        <v/>
      </c>
      <c r="AI332">
        <f>IF(D331&lt;=0,0,ROUND(D331*(1+IF(AND(D$6&gt;0,$B332&lt;D$6),D$4,D$5)/12),2))</f>
        <v/>
      </c>
      <c r="AJ332">
        <f>IF(E331&lt;=0,0,ROUND(E331*(1+IF(AND(E$6&gt;0,$B332&lt;E$6),E$4,E$5)/12),2))</f>
        <v/>
      </c>
      <c r="AK332">
        <f>IF(F331&lt;=0,0,ROUND(F331*(1+IF(AND(F$6&gt;0,$B332&lt;F$6),F$4,F$5)/12),2))</f>
        <v/>
      </c>
      <c r="AL332">
        <f>IF(G331&lt;=0,0,ROUND(G331*(1+IF(AND(G$6&gt;0,$B332&lt;G$6),G$4,G$5)/12),2))</f>
        <v/>
      </c>
      <c r="AM332">
        <f>IF(H331&lt;=0,0,ROUND(H331*(1+IF(AND(H$6&gt;0,$B332&lt;H$6),H$4,H$5)/12),2))</f>
        <v/>
      </c>
      <c r="AN332">
        <f>IF(I331&lt;=0,0,ROUND(I331*(1+IF(AND(I$6&gt;0,$B332&lt;I$6),I$4,I$5)/12),2))</f>
        <v/>
      </c>
      <c r="AO332">
        <f>IF(J331&lt;=0,0,ROUND(J331*(1+IF(AND(J$6&gt;0,$B332&lt;J$6),J$4,J$5)/12),2))</f>
        <v/>
      </c>
      <c r="AP332">
        <f>IF(K331&lt;=0,0,ROUND(K331*(1+IF(AND(K$6&gt;0,$B332&lt;K$6),K$4,K$5)/12),2))</f>
        <v/>
      </c>
      <c r="AQ332">
        <f>IF(L331&lt;=0,0,ROUND(L331*(1+IF(AND(L$6&gt;0,$B332&lt;L$6),L$4,L$5)/12),2))</f>
        <v/>
      </c>
      <c r="AR332">
        <f>IF(M331&lt;=0,0,ROUND(M331*(1+IF(AND(M$6&gt;0,$B332&lt;M$6),M$4,M$5)/12),2))</f>
        <v/>
      </c>
      <c r="AS332">
        <f>IF(N331&lt;=0,0,ROUND(N331*(1+IF(AND(N$6&gt;0,$B332&lt;N$6),N$4,N$5)/12),2))</f>
        <v/>
      </c>
    </row>
    <row r="333">
      <c r="A333" t="n">
        <v>322</v>
      </c>
      <c r="B333">
        <f>EDATE(Plan!$C$6,321)</f>
        <v/>
      </c>
      <c r="C333">
        <f>IF(C332&lt;=0,0,MAX(0,AH333-O333))</f>
        <v/>
      </c>
      <c r="D333">
        <f>IF(D332&lt;=0,0,MAX(0,AI333-P333))</f>
        <v/>
      </c>
      <c r="E333">
        <f>IF(E332&lt;=0,0,MAX(0,AJ333-Q333))</f>
        <v/>
      </c>
      <c r="F333">
        <f>IF(F332&lt;=0,0,MAX(0,AK333-R333))</f>
        <v/>
      </c>
      <c r="G333">
        <f>IF(G332&lt;=0,0,MAX(0,AL333-S333))</f>
        <v/>
      </c>
      <c r="H333">
        <f>IF(H332&lt;=0,0,MAX(0,AM333-T333))</f>
        <v/>
      </c>
      <c r="I333">
        <f>IF(I332&lt;=0,0,MAX(0,AN333-U333))</f>
        <v/>
      </c>
      <c r="J333">
        <f>IF(J332&lt;=0,0,MAX(0,AO333-V333))</f>
        <v/>
      </c>
      <c r="K333">
        <f>IF(K332&lt;=0,0,MAX(0,AP333-W333))</f>
        <v/>
      </c>
      <c r="L333">
        <f>IF(L332&lt;=0,0,MAX(0,AQ333-X333))</f>
        <v/>
      </c>
      <c r="M333">
        <f>IF(M332&lt;=0,0,MAX(0,AR333-Y333))</f>
        <v/>
      </c>
      <c r="N333">
        <f>IF(N332&lt;=0,0,MAX(0,AS333-Z333))</f>
        <v/>
      </c>
      <c r="O333">
        <f>IF(C332&lt;=0,0,MIN(AH333,C$7+IF(C$2=$AA333,$AC333,IF(C$2=$AF333,$AG333,0))))</f>
        <v/>
      </c>
      <c r="P333">
        <f>IF(D332&lt;=0,0,MIN(AI333,D$7+IF(D$2=$AA333,$AC333,IF(D$2=$AF333,$AG333,0))))</f>
        <v/>
      </c>
      <c r="Q333">
        <f>IF(E332&lt;=0,0,MIN(AJ333,E$7+IF(E$2=$AA333,$AC333,IF(E$2=$AF333,$AG333,0))))</f>
        <v/>
      </c>
      <c r="R333">
        <f>IF(F332&lt;=0,0,MIN(AK333,F$7+IF(F$2=$AA333,$AC333,IF(F$2=$AF333,$AG333,0))))</f>
        <v/>
      </c>
      <c r="S333">
        <f>IF(G332&lt;=0,0,MIN(AL333,G$7+IF(G$2=$AA333,$AC333,IF(G$2=$AF333,$AG333,0))))</f>
        <v/>
      </c>
      <c r="T333">
        <f>IF(H332&lt;=0,0,MIN(AM333,H$7+IF(H$2=$AA333,$AC333,IF(H$2=$AF333,$AG333,0))))</f>
        <v/>
      </c>
      <c r="U333">
        <f>IF(I332&lt;=0,0,MIN(AN333,I$7+IF(I$2=$AA333,$AC333,IF(I$2=$AF333,$AG333,0))))</f>
        <v/>
      </c>
      <c r="V333">
        <f>IF(J332&lt;=0,0,MIN(AO333,J$7+IF(J$2=$AA333,$AC333,IF(J$2=$AF333,$AG333,0))))</f>
        <v/>
      </c>
      <c r="W333">
        <f>IF(K332&lt;=0,0,MIN(AP333,K$7+IF(K$2=$AA333,$AC333,IF(K$2=$AF333,$AG333,0))))</f>
        <v/>
      </c>
      <c r="X333">
        <f>IF(L332&lt;=0,0,MIN(AQ333,L$7+IF(L$2=$AA333,$AC333,IF(L$2=$AF333,$AG333,0))))</f>
        <v/>
      </c>
      <c r="Y333">
        <f>IF(M332&lt;=0,0,MIN(AR333,M$7+IF(M$2=$AA333,$AC333,IF(M$2=$AF333,$AG333,0))))</f>
        <v/>
      </c>
      <c r="Z333">
        <f>IF(N332&lt;=0,0,MIN(AS333,N$7+IF(N$2=$AA333,$AC333,IF(N$2=$AF333,$AG333,0))))</f>
        <v/>
      </c>
      <c r="AA333">
        <f>IFERROR(ROUND(1/SUMPRODUCT(MAX((C332:N332&gt;0)*($C$3:$N$3&lt;=B333)/$C$2:$N$2)),0),0)</f>
        <v/>
      </c>
      <c r="AB333">
        <f>SUMPRODUCT((C332:N332&gt;0)*$C$7:$N$7)</f>
        <v/>
      </c>
      <c r="AC333">
        <f>MAX(0,Plan!$C$5-AB333)+IF(A333=Plan!$C$8,N(Plan!$C$7),0)</f>
        <v/>
      </c>
      <c r="AD333">
        <f>SUM(C333:N333)</f>
        <v/>
      </c>
      <c r="AE333">
        <f>SUM(O333:Z333)</f>
        <v/>
      </c>
      <c r="AF333">
        <f>IFERROR(ROUND(1/SUMPRODUCT(MAX((C332:N332&gt;0)*($C$3:$N$3&lt;=B333)*($C$2:$N$2&gt;AA333)/$C$2:$N$2)),0),0)</f>
        <v/>
      </c>
      <c r="AG333">
        <f>MAX(0,AC333-MAX(0,SUMPRODUCT(($C$2:$N$2=AA333)*(AH333:AS333-$C$7:$N$7))))</f>
        <v/>
      </c>
      <c r="AH333">
        <f>IF(C332&lt;=0,0,ROUND(C332*(1+IF(AND(C$6&gt;0,$B333&lt;C$6),C$4,C$5)/12),2))</f>
        <v/>
      </c>
      <c r="AI333">
        <f>IF(D332&lt;=0,0,ROUND(D332*(1+IF(AND(D$6&gt;0,$B333&lt;D$6),D$4,D$5)/12),2))</f>
        <v/>
      </c>
      <c r="AJ333">
        <f>IF(E332&lt;=0,0,ROUND(E332*(1+IF(AND(E$6&gt;0,$B333&lt;E$6),E$4,E$5)/12),2))</f>
        <v/>
      </c>
      <c r="AK333">
        <f>IF(F332&lt;=0,0,ROUND(F332*(1+IF(AND(F$6&gt;0,$B333&lt;F$6),F$4,F$5)/12),2))</f>
        <v/>
      </c>
      <c r="AL333">
        <f>IF(G332&lt;=0,0,ROUND(G332*(1+IF(AND(G$6&gt;0,$B333&lt;G$6),G$4,G$5)/12),2))</f>
        <v/>
      </c>
      <c r="AM333">
        <f>IF(H332&lt;=0,0,ROUND(H332*(1+IF(AND(H$6&gt;0,$B333&lt;H$6),H$4,H$5)/12),2))</f>
        <v/>
      </c>
      <c r="AN333">
        <f>IF(I332&lt;=0,0,ROUND(I332*(1+IF(AND(I$6&gt;0,$B333&lt;I$6),I$4,I$5)/12),2))</f>
        <v/>
      </c>
      <c r="AO333">
        <f>IF(J332&lt;=0,0,ROUND(J332*(1+IF(AND(J$6&gt;0,$B333&lt;J$6),J$4,J$5)/12),2))</f>
        <v/>
      </c>
      <c r="AP333">
        <f>IF(K332&lt;=0,0,ROUND(K332*(1+IF(AND(K$6&gt;0,$B333&lt;K$6),K$4,K$5)/12),2))</f>
        <v/>
      </c>
      <c r="AQ333">
        <f>IF(L332&lt;=0,0,ROUND(L332*(1+IF(AND(L$6&gt;0,$B333&lt;L$6),L$4,L$5)/12),2))</f>
        <v/>
      </c>
      <c r="AR333">
        <f>IF(M332&lt;=0,0,ROUND(M332*(1+IF(AND(M$6&gt;0,$B333&lt;M$6),M$4,M$5)/12),2))</f>
        <v/>
      </c>
      <c r="AS333">
        <f>IF(N332&lt;=0,0,ROUND(N332*(1+IF(AND(N$6&gt;0,$B333&lt;N$6),N$4,N$5)/12),2))</f>
        <v/>
      </c>
    </row>
    <row r="334">
      <c r="A334" t="n">
        <v>323</v>
      </c>
      <c r="B334">
        <f>EDATE(Plan!$C$6,322)</f>
        <v/>
      </c>
      <c r="C334">
        <f>IF(C333&lt;=0,0,MAX(0,AH334-O334))</f>
        <v/>
      </c>
      <c r="D334">
        <f>IF(D333&lt;=0,0,MAX(0,AI334-P334))</f>
        <v/>
      </c>
      <c r="E334">
        <f>IF(E333&lt;=0,0,MAX(0,AJ334-Q334))</f>
        <v/>
      </c>
      <c r="F334">
        <f>IF(F333&lt;=0,0,MAX(0,AK334-R334))</f>
        <v/>
      </c>
      <c r="G334">
        <f>IF(G333&lt;=0,0,MAX(0,AL334-S334))</f>
        <v/>
      </c>
      <c r="H334">
        <f>IF(H333&lt;=0,0,MAX(0,AM334-T334))</f>
        <v/>
      </c>
      <c r="I334">
        <f>IF(I333&lt;=0,0,MAX(0,AN334-U334))</f>
        <v/>
      </c>
      <c r="J334">
        <f>IF(J333&lt;=0,0,MAX(0,AO334-V334))</f>
        <v/>
      </c>
      <c r="K334">
        <f>IF(K333&lt;=0,0,MAX(0,AP334-W334))</f>
        <v/>
      </c>
      <c r="L334">
        <f>IF(L333&lt;=0,0,MAX(0,AQ334-X334))</f>
        <v/>
      </c>
      <c r="M334">
        <f>IF(M333&lt;=0,0,MAX(0,AR334-Y334))</f>
        <v/>
      </c>
      <c r="N334">
        <f>IF(N333&lt;=0,0,MAX(0,AS334-Z334))</f>
        <v/>
      </c>
      <c r="O334">
        <f>IF(C333&lt;=0,0,MIN(AH334,C$7+IF(C$2=$AA334,$AC334,IF(C$2=$AF334,$AG334,0))))</f>
        <v/>
      </c>
      <c r="P334">
        <f>IF(D333&lt;=0,0,MIN(AI334,D$7+IF(D$2=$AA334,$AC334,IF(D$2=$AF334,$AG334,0))))</f>
        <v/>
      </c>
      <c r="Q334">
        <f>IF(E333&lt;=0,0,MIN(AJ334,E$7+IF(E$2=$AA334,$AC334,IF(E$2=$AF334,$AG334,0))))</f>
        <v/>
      </c>
      <c r="R334">
        <f>IF(F333&lt;=0,0,MIN(AK334,F$7+IF(F$2=$AA334,$AC334,IF(F$2=$AF334,$AG334,0))))</f>
        <v/>
      </c>
      <c r="S334">
        <f>IF(G333&lt;=0,0,MIN(AL334,G$7+IF(G$2=$AA334,$AC334,IF(G$2=$AF334,$AG334,0))))</f>
        <v/>
      </c>
      <c r="T334">
        <f>IF(H333&lt;=0,0,MIN(AM334,H$7+IF(H$2=$AA334,$AC334,IF(H$2=$AF334,$AG334,0))))</f>
        <v/>
      </c>
      <c r="U334">
        <f>IF(I333&lt;=0,0,MIN(AN334,I$7+IF(I$2=$AA334,$AC334,IF(I$2=$AF334,$AG334,0))))</f>
        <v/>
      </c>
      <c r="V334">
        <f>IF(J333&lt;=0,0,MIN(AO334,J$7+IF(J$2=$AA334,$AC334,IF(J$2=$AF334,$AG334,0))))</f>
        <v/>
      </c>
      <c r="W334">
        <f>IF(K333&lt;=0,0,MIN(AP334,K$7+IF(K$2=$AA334,$AC334,IF(K$2=$AF334,$AG334,0))))</f>
        <v/>
      </c>
      <c r="X334">
        <f>IF(L333&lt;=0,0,MIN(AQ334,L$7+IF(L$2=$AA334,$AC334,IF(L$2=$AF334,$AG334,0))))</f>
        <v/>
      </c>
      <c r="Y334">
        <f>IF(M333&lt;=0,0,MIN(AR334,M$7+IF(M$2=$AA334,$AC334,IF(M$2=$AF334,$AG334,0))))</f>
        <v/>
      </c>
      <c r="Z334">
        <f>IF(N333&lt;=0,0,MIN(AS334,N$7+IF(N$2=$AA334,$AC334,IF(N$2=$AF334,$AG334,0))))</f>
        <v/>
      </c>
      <c r="AA334">
        <f>IFERROR(ROUND(1/SUMPRODUCT(MAX((C333:N333&gt;0)*($C$3:$N$3&lt;=B334)/$C$2:$N$2)),0),0)</f>
        <v/>
      </c>
      <c r="AB334">
        <f>SUMPRODUCT((C333:N333&gt;0)*$C$7:$N$7)</f>
        <v/>
      </c>
      <c r="AC334">
        <f>MAX(0,Plan!$C$5-AB334)+IF(A334=Plan!$C$8,N(Plan!$C$7),0)</f>
        <v/>
      </c>
      <c r="AD334">
        <f>SUM(C334:N334)</f>
        <v/>
      </c>
      <c r="AE334">
        <f>SUM(O334:Z334)</f>
        <v/>
      </c>
      <c r="AF334">
        <f>IFERROR(ROUND(1/SUMPRODUCT(MAX((C333:N333&gt;0)*($C$3:$N$3&lt;=B334)*($C$2:$N$2&gt;AA334)/$C$2:$N$2)),0),0)</f>
        <v/>
      </c>
      <c r="AG334">
        <f>MAX(0,AC334-MAX(0,SUMPRODUCT(($C$2:$N$2=AA334)*(AH334:AS334-$C$7:$N$7))))</f>
        <v/>
      </c>
      <c r="AH334">
        <f>IF(C333&lt;=0,0,ROUND(C333*(1+IF(AND(C$6&gt;0,$B334&lt;C$6),C$4,C$5)/12),2))</f>
        <v/>
      </c>
      <c r="AI334">
        <f>IF(D333&lt;=0,0,ROUND(D333*(1+IF(AND(D$6&gt;0,$B334&lt;D$6),D$4,D$5)/12),2))</f>
        <v/>
      </c>
      <c r="AJ334">
        <f>IF(E333&lt;=0,0,ROUND(E333*(1+IF(AND(E$6&gt;0,$B334&lt;E$6),E$4,E$5)/12),2))</f>
        <v/>
      </c>
      <c r="AK334">
        <f>IF(F333&lt;=0,0,ROUND(F333*(1+IF(AND(F$6&gt;0,$B334&lt;F$6),F$4,F$5)/12),2))</f>
        <v/>
      </c>
      <c r="AL334">
        <f>IF(G333&lt;=0,0,ROUND(G333*(1+IF(AND(G$6&gt;0,$B334&lt;G$6),G$4,G$5)/12),2))</f>
        <v/>
      </c>
      <c r="AM334">
        <f>IF(H333&lt;=0,0,ROUND(H333*(1+IF(AND(H$6&gt;0,$B334&lt;H$6),H$4,H$5)/12),2))</f>
        <v/>
      </c>
      <c r="AN334">
        <f>IF(I333&lt;=0,0,ROUND(I333*(1+IF(AND(I$6&gt;0,$B334&lt;I$6),I$4,I$5)/12),2))</f>
        <v/>
      </c>
      <c r="AO334">
        <f>IF(J333&lt;=0,0,ROUND(J333*(1+IF(AND(J$6&gt;0,$B334&lt;J$6),J$4,J$5)/12),2))</f>
        <v/>
      </c>
      <c r="AP334">
        <f>IF(K333&lt;=0,0,ROUND(K333*(1+IF(AND(K$6&gt;0,$B334&lt;K$6),K$4,K$5)/12),2))</f>
        <v/>
      </c>
      <c r="AQ334">
        <f>IF(L333&lt;=0,0,ROUND(L333*(1+IF(AND(L$6&gt;0,$B334&lt;L$6),L$4,L$5)/12),2))</f>
        <v/>
      </c>
      <c r="AR334">
        <f>IF(M333&lt;=0,0,ROUND(M333*(1+IF(AND(M$6&gt;0,$B334&lt;M$6),M$4,M$5)/12),2))</f>
        <v/>
      </c>
      <c r="AS334">
        <f>IF(N333&lt;=0,0,ROUND(N333*(1+IF(AND(N$6&gt;0,$B334&lt;N$6),N$4,N$5)/12),2))</f>
        <v/>
      </c>
    </row>
    <row r="335">
      <c r="A335" t="n">
        <v>324</v>
      </c>
      <c r="B335">
        <f>EDATE(Plan!$C$6,323)</f>
        <v/>
      </c>
      <c r="C335">
        <f>IF(C334&lt;=0,0,MAX(0,AH335-O335))</f>
        <v/>
      </c>
      <c r="D335">
        <f>IF(D334&lt;=0,0,MAX(0,AI335-P335))</f>
        <v/>
      </c>
      <c r="E335">
        <f>IF(E334&lt;=0,0,MAX(0,AJ335-Q335))</f>
        <v/>
      </c>
      <c r="F335">
        <f>IF(F334&lt;=0,0,MAX(0,AK335-R335))</f>
        <v/>
      </c>
      <c r="G335">
        <f>IF(G334&lt;=0,0,MAX(0,AL335-S335))</f>
        <v/>
      </c>
      <c r="H335">
        <f>IF(H334&lt;=0,0,MAX(0,AM335-T335))</f>
        <v/>
      </c>
      <c r="I335">
        <f>IF(I334&lt;=0,0,MAX(0,AN335-U335))</f>
        <v/>
      </c>
      <c r="J335">
        <f>IF(J334&lt;=0,0,MAX(0,AO335-V335))</f>
        <v/>
      </c>
      <c r="K335">
        <f>IF(K334&lt;=0,0,MAX(0,AP335-W335))</f>
        <v/>
      </c>
      <c r="L335">
        <f>IF(L334&lt;=0,0,MAX(0,AQ335-X335))</f>
        <v/>
      </c>
      <c r="M335">
        <f>IF(M334&lt;=0,0,MAX(0,AR335-Y335))</f>
        <v/>
      </c>
      <c r="N335">
        <f>IF(N334&lt;=0,0,MAX(0,AS335-Z335))</f>
        <v/>
      </c>
      <c r="O335">
        <f>IF(C334&lt;=0,0,MIN(AH335,C$7+IF(C$2=$AA335,$AC335,IF(C$2=$AF335,$AG335,0))))</f>
        <v/>
      </c>
      <c r="P335">
        <f>IF(D334&lt;=0,0,MIN(AI335,D$7+IF(D$2=$AA335,$AC335,IF(D$2=$AF335,$AG335,0))))</f>
        <v/>
      </c>
      <c r="Q335">
        <f>IF(E334&lt;=0,0,MIN(AJ335,E$7+IF(E$2=$AA335,$AC335,IF(E$2=$AF335,$AG335,0))))</f>
        <v/>
      </c>
      <c r="R335">
        <f>IF(F334&lt;=0,0,MIN(AK335,F$7+IF(F$2=$AA335,$AC335,IF(F$2=$AF335,$AG335,0))))</f>
        <v/>
      </c>
      <c r="S335">
        <f>IF(G334&lt;=0,0,MIN(AL335,G$7+IF(G$2=$AA335,$AC335,IF(G$2=$AF335,$AG335,0))))</f>
        <v/>
      </c>
      <c r="T335">
        <f>IF(H334&lt;=0,0,MIN(AM335,H$7+IF(H$2=$AA335,$AC335,IF(H$2=$AF335,$AG335,0))))</f>
        <v/>
      </c>
      <c r="U335">
        <f>IF(I334&lt;=0,0,MIN(AN335,I$7+IF(I$2=$AA335,$AC335,IF(I$2=$AF335,$AG335,0))))</f>
        <v/>
      </c>
      <c r="V335">
        <f>IF(J334&lt;=0,0,MIN(AO335,J$7+IF(J$2=$AA335,$AC335,IF(J$2=$AF335,$AG335,0))))</f>
        <v/>
      </c>
      <c r="W335">
        <f>IF(K334&lt;=0,0,MIN(AP335,K$7+IF(K$2=$AA335,$AC335,IF(K$2=$AF335,$AG335,0))))</f>
        <v/>
      </c>
      <c r="X335">
        <f>IF(L334&lt;=0,0,MIN(AQ335,L$7+IF(L$2=$AA335,$AC335,IF(L$2=$AF335,$AG335,0))))</f>
        <v/>
      </c>
      <c r="Y335">
        <f>IF(M334&lt;=0,0,MIN(AR335,M$7+IF(M$2=$AA335,$AC335,IF(M$2=$AF335,$AG335,0))))</f>
        <v/>
      </c>
      <c r="Z335">
        <f>IF(N334&lt;=0,0,MIN(AS335,N$7+IF(N$2=$AA335,$AC335,IF(N$2=$AF335,$AG335,0))))</f>
        <v/>
      </c>
      <c r="AA335">
        <f>IFERROR(ROUND(1/SUMPRODUCT(MAX((C334:N334&gt;0)*($C$3:$N$3&lt;=B335)/$C$2:$N$2)),0),0)</f>
        <v/>
      </c>
      <c r="AB335">
        <f>SUMPRODUCT((C334:N334&gt;0)*$C$7:$N$7)</f>
        <v/>
      </c>
      <c r="AC335">
        <f>MAX(0,Plan!$C$5-AB335)+IF(A335=Plan!$C$8,N(Plan!$C$7),0)</f>
        <v/>
      </c>
      <c r="AD335">
        <f>SUM(C335:N335)</f>
        <v/>
      </c>
      <c r="AE335">
        <f>SUM(O335:Z335)</f>
        <v/>
      </c>
      <c r="AF335">
        <f>IFERROR(ROUND(1/SUMPRODUCT(MAX((C334:N334&gt;0)*($C$3:$N$3&lt;=B335)*($C$2:$N$2&gt;AA335)/$C$2:$N$2)),0),0)</f>
        <v/>
      </c>
      <c r="AG335">
        <f>MAX(0,AC335-MAX(0,SUMPRODUCT(($C$2:$N$2=AA335)*(AH335:AS335-$C$7:$N$7))))</f>
        <v/>
      </c>
      <c r="AH335">
        <f>IF(C334&lt;=0,0,ROUND(C334*(1+IF(AND(C$6&gt;0,$B335&lt;C$6),C$4,C$5)/12),2))</f>
        <v/>
      </c>
      <c r="AI335">
        <f>IF(D334&lt;=0,0,ROUND(D334*(1+IF(AND(D$6&gt;0,$B335&lt;D$6),D$4,D$5)/12),2))</f>
        <v/>
      </c>
      <c r="AJ335">
        <f>IF(E334&lt;=0,0,ROUND(E334*(1+IF(AND(E$6&gt;0,$B335&lt;E$6),E$4,E$5)/12),2))</f>
        <v/>
      </c>
      <c r="AK335">
        <f>IF(F334&lt;=0,0,ROUND(F334*(1+IF(AND(F$6&gt;0,$B335&lt;F$6),F$4,F$5)/12),2))</f>
        <v/>
      </c>
      <c r="AL335">
        <f>IF(G334&lt;=0,0,ROUND(G334*(1+IF(AND(G$6&gt;0,$B335&lt;G$6),G$4,G$5)/12),2))</f>
        <v/>
      </c>
      <c r="AM335">
        <f>IF(H334&lt;=0,0,ROUND(H334*(1+IF(AND(H$6&gt;0,$B335&lt;H$6),H$4,H$5)/12),2))</f>
        <v/>
      </c>
      <c r="AN335">
        <f>IF(I334&lt;=0,0,ROUND(I334*(1+IF(AND(I$6&gt;0,$B335&lt;I$6),I$4,I$5)/12),2))</f>
        <v/>
      </c>
      <c r="AO335">
        <f>IF(J334&lt;=0,0,ROUND(J334*(1+IF(AND(J$6&gt;0,$B335&lt;J$6),J$4,J$5)/12),2))</f>
        <v/>
      </c>
      <c r="AP335">
        <f>IF(K334&lt;=0,0,ROUND(K334*(1+IF(AND(K$6&gt;0,$B335&lt;K$6),K$4,K$5)/12),2))</f>
        <v/>
      </c>
      <c r="AQ335">
        <f>IF(L334&lt;=0,0,ROUND(L334*(1+IF(AND(L$6&gt;0,$B335&lt;L$6),L$4,L$5)/12),2))</f>
        <v/>
      </c>
      <c r="AR335">
        <f>IF(M334&lt;=0,0,ROUND(M334*(1+IF(AND(M$6&gt;0,$B335&lt;M$6),M$4,M$5)/12),2))</f>
        <v/>
      </c>
      <c r="AS335">
        <f>IF(N334&lt;=0,0,ROUND(N334*(1+IF(AND(N$6&gt;0,$B335&lt;N$6),N$4,N$5)/12),2))</f>
        <v/>
      </c>
    </row>
    <row r="336">
      <c r="A336" t="n">
        <v>325</v>
      </c>
      <c r="B336">
        <f>EDATE(Plan!$C$6,324)</f>
        <v/>
      </c>
      <c r="C336">
        <f>IF(C335&lt;=0,0,MAX(0,AH336-O336))</f>
        <v/>
      </c>
      <c r="D336">
        <f>IF(D335&lt;=0,0,MAX(0,AI336-P336))</f>
        <v/>
      </c>
      <c r="E336">
        <f>IF(E335&lt;=0,0,MAX(0,AJ336-Q336))</f>
        <v/>
      </c>
      <c r="F336">
        <f>IF(F335&lt;=0,0,MAX(0,AK336-R336))</f>
        <v/>
      </c>
      <c r="G336">
        <f>IF(G335&lt;=0,0,MAX(0,AL336-S336))</f>
        <v/>
      </c>
      <c r="H336">
        <f>IF(H335&lt;=0,0,MAX(0,AM336-T336))</f>
        <v/>
      </c>
      <c r="I336">
        <f>IF(I335&lt;=0,0,MAX(0,AN336-U336))</f>
        <v/>
      </c>
      <c r="J336">
        <f>IF(J335&lt;=0,0,MAX(0,AO336-V336))</f>
        <v/>
      </c>
      <c r="K336">
        <f>IF(K335&lt;=0,0,MAX(0,AP336-W336))</f>
        <v/>
      </c>
      <c r="L336">
        <f>IF(L335&lt;=0,0,MAX(0,AQ336-X336))</f>
        <v/>
      </c>
      <c r="M336">
        <f>IF(M335&lt;=0,0,MAX(0,AR336-Y336))</f>
        <v/>
      </c>
      <c r="N336">
        <f>IF(N335&lt;=0,0,MAX(0,AS336-Z336))</f>
        <v/>
      </c>
      <c r="O336">
        <f>IF(C335&lt;=0,0,MIN(AH336,C$7+IF(C$2=$AA336,$AC336,IF(C$2=$AF336,$AG336,0))))</f>
        <v/>
      </c>
      <c r="P336">
        <f>IF(D335&lt;=0,0,MIN(AI336,D$7+IF(D$2=$AA336,$AC336,IF(D$2=$AF336,$AG336,0))))</f>
        <v/>
      </c>
      <c r="Q336">
        <f>IF(E335&lt;=0,0,MIN(AJ336,E$7+IF(E$2=$AA336,$AC336,IF(E$2=$AF336,$AG336,0))))</f>
        <v/>
      </c>
      <c r="R336">
        <f>IF(F335&lt;=0,0,MIN(AK336,F$7+IF(F$2=$AA336,$AC336,IF(F$2=$AF336,$AG336,0))))</f>
        <v/>
      </c>
      <c r="S336">
        <f>IF(G335&lt;=0,0,MIN(AL336,G$7+IF(G$2=$AA336,$AC336,IF(G$2=$AF336,$AG336,0))))</f>
        <v/>
      </c>
      <c r="T336">
        <f>IF(H335&lt;=0,0,MIN(AM336,H$7+IF(H$2=$AA336,$AC336,IF(H$2=$AF336,$AG336,0))))</f>
        <v/>
      </c>
      <c r="U336">
        <f>IF(I335&lt;=0,0,MIN(AN336,I$7+IF(I$2=$AA336,$AC336,IF(I$2=$AF336,$AG336,0))))</f>
        <v/>
      </c>
      <c r="V336">
        <f>IF(J335&lt;=0,0,MIN(AO336,J$7+IF(J$2=$AA336,$AC336,IF(J$2=$AF336,$AG336,0))))</f>
        <v/>
      </c>
      <c r="W336">
        <f>IF(K335&lt;=0,0,MIN(AP336,K$7+IF(K$2=$AA336,$AC336,IF(K$2=$AF336,$AG336,0))))</f>
        <v/>
      </c>
      <c r="X336">
        <f>IF(L335&lt;=0,0,MIN(AQ336,L$7+IF(L$2=$AA336,$AC336,IF(L$2=$AF336,$AG336,0))))</f>
        <v/>
      </c>
      <c r="Y336">
        <f>IF(M335&lt;=0,0,MIN(AR336,M$7+IF(M$2=$AA336,$AC336,IF(M$2=$AF336,$AG336,0))))</f>
        <v/>
      </c>
      <c r="Z336">
        <f>IF(N335&lt;=0,0,MIN(AS336,N$7+IF(N$2=$AA336,$AC336,IF(N$2=$AF336,$AG336,0))))</f>
        <v/>
      </c>
      <c r="AA336">
        <f>IFERROR(ROUND(1/SUMPRODUCT(MAX((C335:N335&gt;0)*($C$3:$N$3&lt;=B336)/$C$2:$N$2)),0),0)</f>
        <v/>
      </c>
      <c r="AB336">
        <f>SUMPRODUCT((C335:N335&gt;0)*$C$7:$N$7)</f>
        <v/>
      </c>
      <c r="AC336">
        <f>MAX(0,Plan!$C$5-AB336)+IF(A336=Plan!$C$8,N(Plan!$C$7),0)</f>
        <v/>
      </c>
      <c r="AD336">
        <f>SUM(C336:N336)</f>
        <v/>
      </c>
      <c r="AE336">
        <f>SUM(O336:Z336)</f>
        <v/>
      </c>
      <c r="AF336">
        <f>IFERROR(ROUND(1/SUMPRODUCT(MAX((C335:N335&gt;0)*($C$3:$N$3&lt;=B336)*($C$2:$N$2&gt;AA336)/$C$2:$N$2)),0),0)</f>
        <v/>
      </c>
      <c r="AG336">
        <f>MAX(0,AC336-MAX(0,SUMPRODUCT(($C$2:$N$2=AA336)*(AH336:AS336-$C$7:$N$7))))</f>
        <v/>
      </c>
      <c r="AH336">
        <f>IF(C335&lt;=0,0,ROUND(C335*(1+IF(AND(C$6&gt;0,$B336&lt;C$6),C$4,C$5)/12),2))</f>
        <v/>
      </c>
      <c r="AI336">
        <f>IF(D335&lt;=0,0,ROUND(D335*(1+IF(AND(D$6&gt;0,$B336&lt;D$6),D$4,D$5)/12),2))</f>
        <v/>
      </c>
      <c r="AJ336">
        <f>IF(E335&lt;=0,0,ROUND(E335*(1+IF(AND(E$6&gt;0,$B336&lt;E$6),E$4,E$5)/12),2))</f>
        <v/>
      </c>
      <c r="AK336">
        <f>IF(F335&lt;=0,0,ROUND(F335*(1+IF(AND(F$6&gt;0,$B336&lt;F$6),F$4,F$5)/12),2))</f>
        <v/>
      </c>
      <c r="AL336">
        <f>IF(G335&lt;=0,0,ROUND(G335*(1+IF(AND(G$6&gt;0,$B336&lt;G$6),G$4,G$5)/12),2))</f>
        <v/>
      </c>
      <c r="AM336">
        <f>IF(H335&lt;=0,0,ROUND(H335*(1+IF(AND(H$6&gt;0,$B336&lt;H$6),H$4,H$5)/12),2))</f>
        <v/>
      </c>
      <c r="AN336">
        <f>IF(I335&lt;=0,0,ROUND(I335*(1+IF(AND(I$6&gt;0,$B336&lt;I$6),I$4,I$5)/12),2))</f>
        <v/>
      </c>
      <c r="AO336">
        <f>IF(J335&lt;=0,0,ROUND(J335*(1+IF(AND(J$6&gt;0,$B336&lt;J$6),J$4,J$5)/12),2))</f>
        <v/>
      </c>
      <c r="AP336">
        <f>IF(K335&lt;=0,0,ROUND(K335*(1+IF(AND(K$6&gt;0,$B336&lt;K$6),K$4,K$5)/12),2))</f>
        <v/>
      </c>
      <c r="AQ336">
        <f>IF(L335&lt;=0,0,ROUND(L335*(1+IF(AND(L$6&gt;0,$B336&lt;L$6),L$4,L$5)/12),2))</f>
        <v/>
      </c>
      <c r="AR336">
        <f>IF(M335&lt;=0,0,ROUND(M335*(1+IF(AND(M$6&gt;0,$B336&lt;M$6),M$4,M$5)/12),2))</f>
        <v/>
      </c>
      <c r="AS336">
        <f>IF(N335&lt;=0,0,ROUND(N335*(1+IF(AND(N$6&gt;0,$B336&lt;N$6),N$4,N$5)/12),2))</f>
        <v/>
      </c>
    </row>
    <row r="337">
      <c r="A337" t="n">
        <v>326</v>
      </c>
      <c r="B337">
        <f>EDATE(Plan!$C$6,325)</f>
        <v/>
      </c>
      <c r="C337">
        <f>IF(C336&lt;=0,0,MAX(0,AH337-O337))</f>
        <v/>
      </c>
      <c r="D337">
        <f>IF(D336&lt;=0,0,MAX(0,AI337-P337))</f>
        <v/>
      </c>
      <c r="E337">
        <f>IF(E336&lt;=0,0,MAX(0,AJ337-Q337))</f>
        <v/>
      </c>
      <c r="F337">
        <f>IF(F336&lt;=0,0,MAX(0,AK337-R337))</f>
        <v/>
      </c>
      <c r="G337">
        <f>IF(G336&lt;=0,0,MAX(0,AL337-S337))</f>
        <v/>
      </c>
      <c r="H337">
        <f>IF(H336&lt;=0,0,MAX(0,AM337-T337))</f>
        <v/>
      </c>
      <c r="I337">
        <f>IF(I336&lt;=0,0,MAX(0,AN337-U337))</f>
        <v/>
      </c>
      <c r="J337">
        <f>IF(J336&lt;=0,0,MAX(0,AO337-V337))</f>
        <v/>
      </c>
      <c r="K337">
        <f>IF(K336&lt;=0,0,MAX(0,AP337-W337))</f>
        <v/>
      </c>
      <c r="L337">
        <f>IF(L336&lt;=0,0,MAX(0,AQ337-X337))</f>
        <v/>
      </c>
      <c r="M337">
        <f>IF(M336&lt;=0,0,MAX(0,AR337-Y337))</f>
        <v/>
      </c>
      <c r="N337">
        <f>IF(N336&lt;=0,0,MAX(0,AS337-Z337))</f>
        <v/>
      </c>
      <c r="O337">
        <f>IF(C336&lt;=0,0,MIN(AH337,C$7+IF(C$2=$AA337,$AC337,IF(C$2=$AF337,$AG337,0))))</f>
        <v/>
      </c>
      <c r="P337">
        <f>IF(D336&lt;=0,0,MIN(AI337,D$7+IF(D$2=$AA337,$AC337,IF(D$2=$AF337,$AG337,0))))</f>
        <v/>
      </c>
      <c r="Q337">
        <f>IF(E336&lt;=0,0,MIN(AJ337,E$7+IF(E$2=$AA337,$AC337,IF(E$2=$AF337,$AG337,0))))</f>
        <v/>
      </c>
      <c r="R337">
        <f>IF(F336&lt;=0,0,MIN(AK337,F$7+IF(F$2=$AA337,$AC337,IF(F$2=$AF337,$AG337,0))))</f>
        <v/>
      </c>
      <c r="S337">
        <f>IF(G336&lt;=0,0,MIN(AL337,G$7+IF(G$2=$AA337,$AC337,IF(G$2=$AF337,$AG337,0))))</f>
        <v/>
      </c>
      <c r="T337">
        <f>IF(H336&lt;=0,0,MIN(AM337,H$7+IF(H$2=$AA337,$AC337,IF(H$2=$AF337,$AG337,0))))</f>
        <v/>
      </c>
      <c r="U337">
        <f>IF(I336&lt;=0,0,MIN(AN337,I$7+IF(I$2=$AA337,$AC337,IF(I$2=$AF337,$AG337,0))))</f>
        <v/>
      </c>
      <c r="V337">
        <f>IF(J336&lt;=0,0,MIN(AO337,J$7+IF(J$2=$AA337,$AC337,IF(J$2=$AF337,$AG337,0))))</f>
        <v/>
      </c>
      <c r="W337">
        <f>IF(K336&lt;=0,0,MIN(AP337,K$7+IF(K$2=$AA337,$AC337,IF(K$2=$AF337,$AG337,0))))</f>
        <v/>
      </c>
      <c r="X337">
        <f>IF(L336&lt;=0,0,MIN(AQ337,L$7+IF(L$2=$AA337,$AC337,IF(L$2=$AF337,$AG337,0))))</f>
        <v/>
      </c>
      <c r="Y337">
        <f>IF(M336&lt;=0,0,MIN(AR337,M$7+IF(M$2=$AA337,$AC337,IF(M$2=$AF337,$AG337,0))))</f>
        <v/>
      </c>
      <c r="Z337">
        <f>IF(N336&lt;=0,0,MIN(AS337,N$7+IF(N$2=$AA337,$AC337,IF(N$2=$AF337,$AG337,0))))</f>
        <v/>
      </c>
      <c r="AA337">
        <f>IFERROR(ROUND(1/SUMPRODUCT(MAX((C336:N336&gt;0)*($C$3:$N$3&lt;=B337)/$C$2:$N$2)),0),0)</f>
        <v/>
      </c>
      <c r="AB337">
        <f>SUMPRODUCT((C336:N336&gt;0)*$C$7:$N$7)</f>
        <v/>
      </c>
      <c r="AC337">
        <f>MAX(0,Plan!$C$5-AB337)+IF(A337=Plan!$C$8,N(Plan!$C$7),0)</f>
        <v/>
      </c>
      <c r="AD337">
        <f>SUM(C337:N337)</f>
        <v/>
      </c>
      <c r="AE337">
        <f>SUM(O337:Z337)</f>
        <v/>
      </c>
      <c r="AF337">
        <f>IFERROR(ROUND(1/SUMPRODUCT(MAX((C336:N336&gt;0)*($C$3:$N$3&lt;=B337)*($C$2:$N$2&gt;AA337)/$C$2:$N$2)),0),0)</f>
        <v/>
      </c>
      <c r="AG337">
        <f>MAX(0,AC337-MAX(0,SUMPRODUCT(($C$2:$N$2=AA337)*(AH337:AS337-$C$7:$N$7))))</f>
        <v/>
      </c>
      <c r="AH337">
        <f>IF(C336&lt;=0,0,ROUND(C336*(1+IF(AND(C$6&gt;0,$B337&lt;C$6),C$4,C$5)/12),2))</f>
        <v/>
      </c>
      <c r="AI337">
        <f>IF(D336&lt;=0,0,ROUND(D336*(1+IF(AND(D$6&gt;0,$B337&lt;D$6),D$4,D$5)/12),2))</f>
        <v/>
      </c>
      <c r="AJ337">
        <f>IF(E336&lt;=0,0,ROUND(E336*(1+IF(AND(E$6&gt;0,$B337&lt;E$6),E$4,E$5)/12),2))</f>
        <v/>
      </c>
      <c r="AK337">
        <f>IF(F336&lt;=0,0,ROUND(F336*(1+IF(AND(F$6&gt;0,$B337&lt;F$6),F$4,F$5)/12),2))</f>
        <v/>
      </c>
      <c r="AL337">
        <f>IF(G336&lt;=0,0,ROUND(G336*(1+IF(AND(G$6&gt;0,$B337&lt;G$6),G$4,G$5)/12),2))</f>
        <v/>
      </c>
      <c r="AM337">
        <f>IF(H336&lt;=0,0,ROUND(H336*(1+IF(AND(H$6&gt;0,$B337&lt;H$6),H$4,H$5)/12),2))</f>
        <v/>
      </c>
      <c r="AN337">
        <f>IF(I336&lt;=0,0,ROUND(I336*(1+IF(AND(I$6&gt;0,$B337&lt;I$6),I$4,I$5)/12),2))</f>
        <v/>
      </c>
      <c r="AO337">
        <f>IF(J336&lt;=0,0,ROUND(J336*(1+IF(AND(J$6&gt;0,$B337&lt;J$6),J$4,J$5)/12),2))</f>
        <v/>
      </c>
      <c r="AP337">
        <f>IF(K336&lt;=0,0,ROUND(K336*(1+IF(AND(K$6&gt;0,$B337&lt;K$6),K$4,K$5)/12),2))</f>
        <v/>
      </c>
      <c r="AQ337">
        <f>IF(L336&lt;=0,0,ROUND(L336*(1+IF(AND(L$6&gt;0,$B337&lt;L$6),L$4,L$5)/12),2))</f>
        <v/>
      </c>
      <c r="AR337">
        <f>IF(M336&lt;=0,0,ROUND(M336*(1+IF(AND(M$6&gt;0,$B337&lt;M$6),M$4,M$5)/12),2))</f>
        <v/>
      </c>
      <c r="AS337">
        <f>IF(N336&lt;=0,0,ROUND(N336*(1+IF(AND(N$6&gt;0,$B337&lt;N$6),N$4,N$5)/12),2))</f>
        <v/>
      </c>
    </row>
    <row r="338">
      <c r="A338" t="n">
        <v>327</v>
      </c>
      <c r="B338">
        <f>EDATE(Plan!$C$6,326)</f>
        <v/>
      </c>
      <c r="C338">
        <f>IF(C337&lt;=0,0,MAX(0,AH338-O338))</f>
        <v/>
      </c>
      <c r="D338">
        <f>IF(D337&lt;=0,0,MAX(0,AI338-P338))</f>
        <v/>
      </c>
      <c r="E338">
        <f>IF(E337&lt;=0,0,MAX(0,AJ338-Q338))</f>
        <v/>
      </c>
      <c r="F338">
        <f>IF(F337&lt;=0,0,MAX(0,AK338-R338))</f>
        <v/>
      </c>
      <c r="G338">
        <f>IF(G337&lt;=0,0,MAX(0,AL338-S338))</f>
        <v/>
      </c>
      <c r="H338">
        <f>IF(H337&lt;=0,0,MAX(0,AM338-T338))</f>
        <v/>
      </c>
      <c r="I338">
        <f>IF(I337&lt;=0,0,MAX(0,AN338-U338))</f>
        <v/>
      </c>
      <c r="J338">
        <f>IF(J337&lt;=0,0,MAX(0,AO338-V338))</f>
        <v/>
      </c>
      <c r="K338">
        <f>IF(K337&lt;=0,0,MAX(0,AP338-W338))</f>
        <v/>
      </c>
      <c r="L338">
        <f>IF(L337&lt;=0,0,MAX(0,AQ338-X338))</f>
        <v/>
      </c>
      <c r="M338">
        <f>IF(M337&lt;=0,0,MAX(0,AR338-Y338))</f>
        <v/>
      </c>
      <c r="N338">
        <f>IF(N337&lt;=0,0,MAX(0,AS338-Z338))</f>
        <v/>
      </c>
      <c r="O338">
        <f>IF(C337&lt;=0,0,MIN(AH338,C$7+IF(C$2=$AA338,$AC338,IF(C$2=$AF338,$AG338,0))))</f>
        <v/>
      </c>
      <c r="P338">
        <f>IF(D337&lt;=0,0,MIN(AI338,D$7+IF(D$2=$AA338,$AC338,IF(D$2=$AF338,$AG338,0))))</f>
        <v/>
      </c>
      <c r="Q338">
        <f>IF(E337&lt;=0,0,MIN(AJ338,E$7+IF(E$2=$AA338,$AC338,IF(E$2=$AF338,$AG338,0))))</f>
        <v/>
      </c>
      <c r="R338">
        <f>IF(F337&lt;=0,0,MIN(AK338,F$7+IF(F$2=$AA338,$AC338,IF(F$2=$AF338,$AG338,0))))</f>
        <v/>
      </c>
      <c r="S338">
        <f>IF(G337&lt;=0,0,MIN(AL338,G$7+IF(G$2=$AA338,$AC338,IF(G$2=$AF338,$AG338,0))))</f>
        <v/>
      </c>
      <c r="T338">
        <f>IF(H337&lt;=0,0,MIN(AM338,H$7+IF(H$2=$AA338,$AC338,IF(H$2=$AF338,$AG338,0))))</f>
        <v/>
      </c>
      <c r="U338">
        <f>IF(I337&lt;=0,0,MIN(AN338,I$7+IF(I$2=$AA338,$AC338,IF(I$2=$AF338,$AG338,0))))</f>
        <v/>
      </c>
      <c r="V338">
        <f>IF(J337&lt;=0,0,MIN(AO338,J$7+IF(J$2=$AA338,$AC338,IF(J$2=$AF338,$AG338,0))))</f>
        <v/>
      </c>
      <c r="W338">
        <f>IF(K337&lt;=0,0,MIN(AP338,K$7+IF(K$2=$AA338,$AC338,IF(K$2=$AF338,$AG338,0))))</f>
        <v/>
      </c>
      <c r="X338">
        <f>IF(L337&lt;=0,0,MIN(AQ338,L$7+IF(L$2=$AA338,$AC338,IF(L$2=$AF338,$AG338,0))))</f>
        <v/>
      </c>
      <c r="Y338">
        <f>IF(M337&lt;=0,0,MIN(AR338,M$7+IF(M$2=$AA338,$AC338,IF(M$2=$AF338,$AG338,0))))</f>
        <v/>
      </c>
      <c r="Z338">
        <f>IF(N337&lt;=0,0,MIN(AS338,N$7+IF(N$2=$AA338,$AC338,IF(N$2=$AF338,$AG338,0))))</f>
        <v/>
      </c>
      <c r="AA338">
        <f>IFERROR(ROUND(1/SUMPRODUCT(MAX((C337:N337&gt;0)*($C$3:$N$3&lt;=B338)/$C$2:$N$2)),0),0)</f>
        <v/>
      </c>
      <c r="AB338">
        <f>SUMPRODUCT((C337:N337&gt;0)*$C$7:$N$7)</f>
        <v/>
      </c>
      <c r="AC338">
        <f>MAX(0,Plan!$C$5-AB338)+IF(A338=Plan!$C$8,N(Plan!$C$7),0)</f>
        <v/>
      </c>
      <c r="AD338">
        <f>SUM(C338:N338)</f>
        <v/>
      </c>
      <c r="AE338">
        <f>SUM(O338:Z338)</f>
        <v/>
      </c>
      <c r="AF338">
        <f>IFERROR(ROUND(1/SUMPRODUCT(MAX((C337:N337&gt;0)*($C$3:$N$3&lt;=B338)*($C$2:$N$2&gt;AA338)/$C$2:$N$2)),0),0)</f>
        <v/>
      </c>
      <c r="AG338">
        <f>MAX(0,AC338-MAX(0,SUMPRODUCT(($C$2:$N$2=AA338)*(AH338:AS338-$C$7:$N$7))))</f>
        <v/>
      </c>
      <c r="AH338">
        <f>IF(C337&lt;=0,0,ROUND(C337*(1+IF(AND(C$6&gt;0,$B338&lt;C$6),C$4,C$5)/12),2))</f>
        <v/>
      </c>
      <c r="AI338">
        <f>IF(D337&lt;=0,0,ROUND(D337*(1+IF(AND(D$6&gt;0,$B338&lt;D$6),D$4,D$5)/12),2))</f>
        <v/>
      </c>
      <c r="AJ338">
        <f>IF(E337&lt;=0,0,ROUND(E337*(1+IF(AND(E$6&gt;0,$B338&lt;E$6),E$4,E$5)/12),2))</f>
        <v/>
      </c>
      <c r="AK338">
        <f>IF(F337&lt;=0,0,ROUND(F337*(1+IF(AND(F$6&gt;0,$B338&lt;F$6),F$4,F$5)/12),2))</f>
        <v/>
      </c>
      <c r="AL338">
        <f>IF(G337&lt;=0,0,ROUND(G337*(1+IF(AND(G$6&gt;0,$B338&lt;G$6),G$4,G$5)/12),2))</f>
        <v/>
      </c>
      <c r="AM338">
        <f>IF(H337&lt;=0,0,ROUND(H337*(1+IF(AND(H$6&gt;0,$B338&lt;H$6),H$4,H$5)/12),2))</f>
        <v/>
      </c>
      <c r="AN338">
        <f>IF(I337&lt;=0,0,ROUND(I337*(1+IF(AND(I$6&gt;0,$B338&lt;I$6),I$4,I$5)/12),2))</f>
        <v/>
      </c>
      <c r="AO338">
        <f>IF(J337&lt;=0,0,ROUND(J337*(1+IF(AND(J$6&gt;0,$B338&lt;J$6),J$4,J$5)/12),2))</f>
        <v/>
      </c>
      <c r="AP338">
        <f>IF(K337&lt;=0,0,ROUND(K337*(1+IF(AND(K$6&gt;0,$B338&lt;K$6),K$4,K$5)/12),2))</f>
        <v/>
      </c>
      <c r="AQ338">
        <f>IF(L337&lt;=0,0,ROUND(L337*(1+IF(AND(L$6&gt;0,$B338&lt;L$6),L$4,L$5)/12),2))</f>
        <v/>
      </c>
      <c r="AR338">
        <f>IF(M337&lt;=0,0,ROUND(M337*(1+IF(AND(M$6&gt;0,$B338&lt;M$6),M$4,M$5)/12),2))</f>
        <v/>
      </c>
      <c r="AS338">
        <f>IF(N337&lt;=0,0,ROUND(N337*(1+IF(AND(N$6&gt;0,$B338&lt;N$6),N$4,N$5)/12),2))</f>
        <v/>
      </c>
    </row>
    <row r="339">
      <c r="A339" t="n">
        <v>328</v>
      </c>
      <c r="B339">
        <f>EDATE(Plan!$C$6,327)</f>
        <v/>
      </c>
      <c r="C339">
        <f>IF(C338&lt;=0,0,MAX(0,AH339-O339))</f>
        <v/>
      </c>
      <c r="D339">
        <f>IF(D338&lt;=0,0,MAX(0,AI339-P339))</f>
        <v/>
      </c>
      <c r="E339">
        <f>IF(E338&lt;=0,0,MAX(0,AJ339-Q339))</f>
        <v/>
      </c>
      <c r="F339">
        <f>IF(F338&lt;=0,0,MAX(0,AK339-R339))</f>
        <v/>
      </c>
      <c r="G339">
        <f>IF(G338&lt;=0,0,MAX(0,AL339-S339))</f>
        <v/>
      </c>
      <c r="H339">
        <f>IF(H338&lt;=0,0,MAX(0,AM339-T339))</f>
        <v/>
      </c>
      <c r="I339">
        <f>IF(I338&lt;=0,0,MAX(0,AN339-U339))</f>
        <v/>
      </c>
      <c r="J339">
        <f>IF(J338&lt;=0,0,MAX(0,AO339-V339))</f>
        <v/>
      </c>
      <c r="K339">
        <f>IF(K338&lt;=0,0,MAX(0,AP339-W339))</f>
        <v/>
      </c>
      <c r="L339">
        <f>IF(L338&lt;=0,0,MAX(0,AQ339-X339))</f>
        <v/>
      </c>
      <c r="M339">
        <f>IF(M338&lt;=0,0,MAX(0,AR339-Y339))</f>
        <v/>
      </c>
      <c r="N339">
        <f>IF(N338&lt;=0,0,MAX(0,AS339-Z339))</f>
        <v/>
      </c>
      <c r="O339">
        <f>IF(C338&lt;=0,0,MIN(AH339,C$7+IF(C$2=$AA339,$AC339,IF(C$2=$AF339,$AG339,0))))</f>
        <v/>
      </c>
      <c r="P339">
        <f>IF(D338&lt;=0,0,MIN(AI339,D$7+IF(D$2=$AA339,$AC339,IF(D$2=$AF339,$AG339,0))))</f>
        <v/>
      </c>
      <c r="Q339">
        <f>IF(E338&lt;=0,0,MIN(AJ339,E$7+IF(E$2=$AA339,$AC339,IF(E$2=$AF339,$AG339,0))))</f>
        <v/>
      </c>
      <c r="R339">
        <f>IF(F338&lt;=0,0,MIN(AK339,F$7+IF(F$2=$AA339,$AC339,IF(F$2=$AF339,$AG339,0))))</f>
        <v/>
      </c>
      <c r="S339">
        <f>IF(G338&lt;=0,0,MIN(AL339,G$7+IF(G$2=$AA339,$AC339,IF(G$2=$AF339,$AG339,0))))</f>
        <v/>
      </c>
      <c r="T339">
        <f>IF(H338&lt;=0,0,MIN(AM339,H$7+IF(H$2=$AA339,$AC339,IF(H$2=$AF339,$AG339,0))))</f>
        <v/>
      </c>
      <c r="U339">
        <f>IF(I338&lt;=0,0,MIN(AN339,I$7+IF(I$2=$AA339,$AC339,IF(I$2=$AF339,$AG339,0))))</f>
        <v/>
      </c>
      <c r="V339">
        <f>IF(J338&lt;=0,0,MIN(AO339,J$7+IF(J$2=$AA339,$AC339,IF(J$2=$AF339,$AG339,0))))</f>
        <v/>
      </c>
      <c r="W339">
        <f>IF(K338&lt;=0,0,MIN(AP339,K$7+IF(K$2=$AA339,$AC339,IF(K$2=$AF339,$AG339,0))))</f>
        <v/>
      </c>
      <c r="X339">
        <f>IF(L338&lt;=0,0,MIN(AQ339,L$7+IF(L$2=$AA339,$AC339,IF(L$2=$AF339,$AG339,0))))</f>
        <v/>
      </c>
      <c r="Y339">
        <f>IF(M338&lt;=0,0,MIN(AR339,M$7+IF(M$2=$AA339,$AC339,IF(M$2=$AF339,$AG339,0))))</f>
        <v/>
      </c>
      <c r="Z339">
        <f>IF(N338&lt;=0,0,MIN(AS339,N$7+IF(N$2=$AA339,$AC339,IF(N$2=$AF339,$AG339,0))))</f>
        <v/>
      </c>
      <c r="AA339">
        <f>IFERROR(ROUND(1/SUMPRODUCT(MAX((C338:N338&gt;0)*($C$3:$N$3&lt;=B339)/$C$2:$N$2)),0),0)</f>
        <v/>
      </c>
      <c r="AB339">
        <f>SUMPRODUCT((C338:N338&gt;0)*$C$7:$N$7)</f>
        <v/>
      </c>
      <c r="AC339">
        <f>MAX(0,Plan!$C$5-AB339)+IF(A339=Plan!$C$8,N(Plan!$C$7),0)</f>
        <v/>
      </c>
      <c r="AD339">
        <f>SUM(C339:N339)</f>
        <v/>
      </c>
      <c r="AE339">
        <f>SUM(O339:Z339)</f>
        <v/>
      </c>
      <c r="AF339">
        <f>IFERROR(ROUND(1/SUMPRODUCT(MAX((C338:N338&gt;0)*($C$3:$N$3&lt;=B339)*($C$2:$N$2&gt;AA339)/$C$2:$N$2)),0),0)</f>
        <v/>
      </c>
      <c r="AG339">
        <f>MAX(0,AC339-MAX(0,SUMPRODUCT(($C$2:$N$2=AA339)*(AH339:AS339-$C$7:$N$7))))</f>
        <v/>
      </c>
      <c r="AH339">
        <f>IF(C338&lt;=0,0,ROUND(C338*(1+IF(AND(C$6&gt;0,$B339&lt;C$6),C$4,C$5)/12),2))</f>
        <v/>
      </c>
      <c r="AI339">
        <f>IF(D338&lt;=0,0,ROUND(D338*(1+IF(AND(D$6&gt;0,$B339&lt;D$6),D$4,D$5)/12),2))</f>
        <v/>
      </c>
      <c r="AJ339">
        <f>IF(E338&lt;=0,0,ROUND(E338*(1+IF(AND(E$6&gt;0,$B339&lt;E$6),E$4,E$5)/12),2))</f>
        <v/>
      </c>
      <c r="AK339">
        <f>IF(F338&lt;=0,0,ROUND(F338*(1+IF(AND(F$6&gt;0,$B339&lt;F$6),F$4,F$5)/12),2))</f>
        <v/>
      </c>
      <c r="AL339">
        <f>IF(G338&lt;=0,0,ROUND(G338*(1+IF(AND(G$6&gt;0,$B339&lt;G$6),G$4,G$5)/12),2))</f>
        <v/>
      </c>
      <c r="AM339">
        <f>IF(H338&lt;=0,0,ROUND(H338*(1+IF(AND(H$6&gt;0,$B339&lt;H$6),H$4,H$5)/12),2))</f>
        <v/>
      </c>
      <c r="AN339">
        <f>IF(I338&lt;=0,0,ROUND(I338*(1+IF(AND(I$6&gt;0,$B339&lt;I$6),I$4,I$5)/12),2))</f>
        <v/>
      </c>
      <c r="AO339">
        <f>IF(J338&lt;=0,0,ROUND(J338*(1+IF(AND(J$6&gt;0,$B339&lt;J$6),J$4,J$5)/12),2))</f>
        <v/>
      </c>
      <c r="AP339">
        <f>IF(K338&lt;=0,0,ROUND(K338*(1+IF(AND(K$6&gt;0,$B339&lt;K$6),K$4,K$5)/12),2))</f>
        <v/>
      </c>
      <c r="AQ339">
        <f>IF(L338&lt;=0,0,ROUND(L338*(1+IF(AND(L$6&gt;0,$B339&lt;L$6),L$4,L$5)/12),2))</f>
        <v/>
      </c>
      <c r="AR339">
        <f>IF(M338&lt;=0,0,ROUND(M338*(1+IF(AND(M$6&gt;0,$B339&lt;M$6),M$4,M$5)/12),2))</f>
        <v/>
      </c>
      <c r="AS339">
        <f>IF(N338&lt;=0,0,ROUND(N338*(1+IF(AND(N$6&gt;0,$B339&lt;N$6),N$4,N$5)/12),2))</f>
        <v/>
      </c>
    </row>
    <row r="340">
      <c r="A340" t="n">
        <v>329</v>
      </c>
      <c r="B340">
        <f>EDATE(Plan!$C$6,328)</f>
        <v/>
      </c>
      <c r="C340">
        <f>IF(C339&lt;=0,0,MAX(0,AH340-O340))</f>
        <v/>
      </c>
      <c r="D340">
        <f>IF(D339&lt;=0,0,MAX(0,AI340-P340))</f>
        <v/>
      </c>
      <c r="E340">
        <f>IF(E339&lt;=0,0,MAX(0,AJ340-Q340))</f>
        <v/>
      </c>
      <c r="F340">
        <f>IF(F339&lt;=0,0,MAX(0,AK340-R340))</f>
        <v/>
      </c>
      <c r="G340">
        <f>IF(G339&lt;=0,0,MAX(0,AL340-S340))</f>
        <v/>
      </c>
      <c r="H340">
        <f>IF(H339&lt;=0,0,MAX(0,AM340-T340))</f>
        <v/>
      </c>
      <c r="I340">
        <f>IF(I339&lt;=0,0,MAX(0,AN340-U340))</f>
        <v/>
      </c>
      <c r="J340">
        <f>IF(J339&lt;=0,0,MAX(0,AO340-V340))</f>
        <v/>
      </c>
      <c r="K340">
        <f>IF(K339&lt;=0,0,MAX(0,AP340-W340))</f>
        <v/>
      </c>
      <c r="L340">
        <f>IF(L339&lt;=0,0,MAX(0,AQ340-X340))</f>
        <v/>
      </c>
      <c r="M340">
        <f>IF(M339&lt;=0,0,MAX(0,AR340-Y340))</f>
        <v/>
      </c>
      <c r="N340">
        <f>IF(N339&lt;=0,0,MAX(0,AS340-Z340))</f>
        <v/>
      </c>
      <c r="O340">
        <f>IF(C339&lt;=0,0,MIN(AH340,C$7+IF(C$2=$AA340,$AC340,IF(C$2=$AF340,$AG340,0))))</f>
        <v/>
      </c>
      <c r="P340">
        <f>IF(D339&lt;=0,0,MIN(AI340,D$7+IF(D$2=$AA340,$AC340,IF(D$2=$AF340,$AG340,0))))</f>
        <v/>
      </c>
      <c r="Q340">
        <f>IF(E339&lt;=0,0,MIN(AJ340,E$7+IF(E$2=$AA340,$AC340,IF(E$2=$AF340,$AG340,0))))</f>
        <v/>
      </c>
      <c r="R340">
        <f>IF(F339&lt;=0,0,MIN(AK340,F$7+IF(F$2=$AA340,$AC340,IF(F$2=$AF340,$AG340,0))))</f>
        <v/>
      </c>
      <c r="S340">
        <f>IF(G339&lt;=0,0,MIN(AL340,G$7+IF(G$2=$AA340,$AC340,IF(G$2=$AF340,$AG340,0))))</f>
        <v/>
      </c>
      <c r="T340">
        <f>IF(H339&lt;=0,0,MIN(AM340,H$7+IF(H$2=$AA340,$AC340,IF(H$2=$AF340,$AG340,0))))</f>
        <v/>
      </c>
      <c r="U340">
        <f>IF(I339&lt;=0,0,MIN(AN340,I$7+IF(I$2=$AA340,$AC340,IF(I$2=$AF340,$AG340,0))))</f>
        <v/>
      </c>
      <c r="V340">
        <f>IF(J339&lt;=0,0,MIN(AO340,J$7+IF(J$2=$AA340,$AC340,IF(J$2=$AF340,$AG340,0))))</f>
        <v/>
      </c>
      <c r="W340">
        <f>IF(K339&lt;=0,0,MIN(AP340,K$7+IF(K$2=$AA340,$AC340,IF(K$2=$AF340,$AG340,0))))</f>
        <v/>
      </c>
      <c r="X340">
        <f>IF(L339&lt;=0,0,MIN(AQ340,L$7+IF(L$2=$AA340,$AC340,IF(L$2=$AF340,$AG340,0))))</f>
        <v/>
      </c>
      <c r="Y340">
        <f>IF(M339&lt;=0,0,MIN(AR340,M$7+IF(M$2=$AA340,$AC340,IF(M$2=$AF340,$AG340,0))))</f>
        <v/>
      </c>
      <c r="Z340">
        <f>IF(N339&lt;=0,0,MIN(AS340,N$7+IF(N$2=$AA340,$AC340,IF(N$2=$AF340,$AG340,0))))</f>
        <v/>
      </c>
      <c r="AA340">
        <f>IFERROR(ROUND(1/SUMPRODUCT(MAX((C339:N339&gt;0)*($C$3:$N$3&lt;=B340)/$C$2:$N$2)),0),0)</f>
        <v/>
      </c>
      <c r="AB340">
        <f>SUMPRODUCT((C339:N339&gt;0)*$C$7:$N$7)</f>
        <v/>
      </c>
      <c r="AC340">
        <f>MAX(0,Plan!$C$5-AB340)+IF(A340=Plan!$C$8,N(Plan!$C$7),0)</f>
        <v/>
      </c>
      <c r="AD340">
        <f>SUM(C340:N340)</f>
        <v/>
      </c>
      <c r="AE340">
        <f>SUM(O340:Z340)</f>
        <v/>
      </c>
      <c r="AF340">
        <f>IFERROR(ROUND(1/SUMPRODUCT(MAX((C339:N339&gt;0)*($C$3:$N$3&lt;=B340)*($C$2:$N$2&gt;AA340)/$C$2:$N$2)),0),0)</f>
        <v/>
      </c>
      <c r="AG340">
        <f>MAX(0,AC340-MAX(0,SUMPRODUCT(($C$2:$N$2=AA340)*(AH340:AS340-$C$7:$N$7))))</f>
        <v/>
      </c>
      <c r="AH340">
        <f>IF(C339&lt;=0,0,ROUND(C339*(1+IF(AND(C$6&gt;0,$B340&lt;C$6),C$4,C$5)/12),2))</f>
        <v/>
      </c>
      <c r="AI340">
        <f>IF(D339&lt;=0,0,ROUND(D339*(1+IF(AND(D$6&gt;0,$B340&lt;D$6),D$4,D$5)/12),2))</f>
        <v/>
      </c>
      <c r="AJ340">
        <f>IF(E339&lt;=0,0,ROUND(E339*(1+IF(AND(E$6&gt;0,$B340&lt;E$6),E$4,E$5)/12),2))</f>
        <v/>
      </c>
      <c r="AK340">
        <f>IF(F339&lt;=0,0,ROUND(F339*(1+IF(AND(F$6&gt;0,$B340&lt;F$6),F$4,F$5)/12),2))</f>
        <v/>
      </c>
      <c r="AL340">
        <f>IF(G339&lt;=0,0,ROUND(G339*(1+IF(AND(G$6&gt;0,$B340&lt;G$6),G$4,G$5)/12),2))</f>
        <v/>
      </c>
      <c r="AM340">
        <f>IF(H339&lt;=0,0,ROUND(H339*(1+IF(AND(H$6&gt;0,$B340&lt;H$6),H$4,H$5)/12),2))</f>
        <v/>
      </c>
      <c r="AN340">
        <f>IF(I339&lt;=0,0,ROUND(I339*(1+IF(AND(I$6&gt;0,$B340&lt;I$6),I$4,I$5)/12),2))</f>
        <v/>
      </c>
      <c r="AO340">
        <f>IF(J339&lt;=0,0,ROUND(J339*(1+IF(AND(J$6&gt;0,$B340&lt;J$6),J$4,J$5)/12),2))</f>
        <v/>
      </c>
      <c r="AP340">
        <f>IF(K339&lt;=0,0,ROUND(K339*(1+IF(AND(K$6&gt;0,$B340&lt;K$6),K$4,K$5)/12),2))</f>
        <v/>
      </c>
      <c r="AQ340">
        <f>IF(L339&lt;=0,0,ROUND(L339*(1+IF(AND(L$6&gt;0,$B340&lt;L$6),L$4,L$5)/12),2))</f>
        <v/>
      </c>
      <c r="AR340">
        <f>IF(M339&lt;=0,0,ROUND(M339*(1+IF(AND(M$6&gt;0,$B340&lt;M$6),M$4,M$5)/12),2))</f>
        <v/>
      </c>
      <c r="AS340">
        <f>IF(N339&lt;=0,0,ROUND(N339*(1+IF(AND(N$6&gt;0,$B340&lt;N$6),N$4,N$5)/12),2))</f>
        <v/>
      </c>
    </row>
    <row r="341">
      <c r="A341" t="n">
        <v>330</v>
      </c>
      <c r="B341">
        <f>EDATE(Plan!$C$6,329)</f>
        <v/>
      </c>
      <c r="C341">
        <f>IF(C340&lt;=0,0,MAX(0,AH341-O341))</f>
        <v/>
      </c>
      <c r="D341">
        <f>IF(D340&lt;=0,0,MAX(0,AI341-P341))</f>
        <v/>
      </c>
      <c r="E341">
        <f>IF(E340&lt;=0,0,MAX(0,AJ341-Q341))</f>
        <v/>
      </c>
      <c r="F341">
        <f>IF(F340&lt;=0,0,MAX(0,AK341-R341))</f>
        <v/>
      </c>
      <c r="G341">
        <f>IF(G340&lt;=0,0,MAX(0,AL341-S341))</f>
        <v/>
      </c>
      <c r="H341">
        <f>IF(H340&lt;=0,0,MAX(0,AM341-T341))</f>
        <v/>
      </c>
      <c r="I341">
        <f>IF(I340&lt;=0,0,MAX(0,AN341-U341))</f>
        <v/>
      </c>
      <c r="J341">
        <f>IF(J340&lt;=0,0,MAX(0,AO341-V341))</f>
        <v/>
      </c>
      <c r="K341">
        <f>IF(K340&lt;=0,0,MAX(0,AP341-W341))</f>
        <v/>
      </c>
      <c r="L341">
        <f>IF(L340&lt;=0,0,MAX(0,AQ341-X341))</f>
        <v/>
      </c>
      <c r="M341">
        <f>IF(M340&lt;=0,0,MAX(0,AR341-Y341))</f>
        <v/>
      </c>
      <c r="N341">
        <f>IF(N340&lt;=0,0,MAX(0,AS341-Z341))</f>
        <v/>
      </c>
      <c r="O341">
        <f>IF(C340&lt;=0,0,MIN(AH341,C$7+IF(C$2=$AA341,$AC341,IF(C$2=$AF341,$AG341,0))))</f>
        <v/>
      </c>
      <c r="P341">
        <f>IF(D340&lt;=0,0,MIN(AI341,D$7+IF(D$2=$AA341,$AC341,IF(D$2=$AF341,$AG341,0))))</f>
        <v/>
      </c>
      <c r="Q341">
        <f>IF(E340&lt;=0,0,MIN(AJ341,E$7+IF(E$2=$AA341,$AC341,IF(E$2=$AF341,$AG341,0))))</f>
        <v/>
      </c>
      <c r="R341">
        <f>IF(F340&lt;=0,0,MIN(AK341,F$7+IF(F$2=$AA341,$AC341,IF(F$2=$AF341,$AG341,0))))</f>
        <v/>
      </c>
      <c r="S341">
        <f>IF(G340&lt;=0,0,MIN(AL341,G$7+IF(G$2=$AA341,$AC341,IF(G$2=$AF341,$AG341,0))))</f>
        <v/>
      </c>
      <c r="T341">
        <f>IF(H340&lt;=0,0,MIN(AM341,H$7+IF(H$2=$AA341,$AC341,IF(H$2=$AF341,$AG341,0))))</f>
        <v/>
      </c>
      <c r="U341">
        <f>IF(I340&lt;=0,0,MIN(AN341,I$7+IF(I$2=$AA341,$AC341,IF(I$2=$AF341,$AG341,0))))</f>
        <v/>
      </c>
      <c r="V341">
        <f>IF(J340&lt;=0,0,MIN(AO341,J$7+IF(J$2=$AA341,$AC341,IF(J$2=$AF341,$AG341,0))))</f>
        <v/>
      </c>
      <c r="W341">
        <f>IF(K340&lt;=0,0,MIN(AP341,K$7+IF(K$2=$AA341,$AC341,IF(K$2=$AF341,$AG341,0))))</f>
        <v/>
      </c>
      <c r="X341">
        <f>IF(L340&lt;=0,0,MIN(AQ341,L$7+IF(L$2=$AA341,$AC341,IF(L$2=$AF341,$AG341,0))))</f>
        <v/>
      </c>
      <c r="Y341">
        <f>IF(M340&lt;=0,0,MIN(AR341,M$7+IF(M$2=$AA341,$AC341,IF(M$2=$AF341,$AG341,0))))</f>
        <v/>
      </c>
      <c r="Z341">
        <f>IF(N340&lt;=0,0,MIN(AS341,N$7+IF(N$2=$AA341,$AC341,IF(N$2=$AF341,$AG341,0))))</f>
        <v/>
      </c>
      <c r="AA341">
        <f>IFERROR(ROUND(1/SUMPRODUCT(MAX((C340:N340&gt;0)*($C$3:$N$3&lt;=B341)/$C$2:$N$2)),0),0)</f>
        <v/>
      </c>
      <c r="AB341">
        <f>SUMPRODUCT((C340:N340&gt;0)*$C$7:$N$7)</f>
        <v/>
      </c>
      <c r="AC341">
        <f>MAX(0,Plan!$C$5-AB341)+IF(A341=Plan!$C$8,N(Plan!$C$7),0)</f>
        <v/>
      </c>
      <c r="AD341">
        <f>SUM(C341:N341)</f>
        <v/>
      </c>
      <c r="AE341">
        <f>SUM(O341:Z341)</f>
        <v/>
      </c>
      <c r="AF341">
        <f>IFERROR(ROUND(1/SUMPRODUCT(MAX((C340:N340&gt;0)*($C$3:$N$3&lt;=B341)*($C$2:$N$2&gt;AA341)/$C$2:$N$2)),0),0)</f>
        <v/>
      </c>
      <c r="AG341">
        <f>MAX(0,AC341-MAX(0,SUMPRODUCT(($C$2:$N$2=AA341)*(AH341:AS341-$C$7:$N$7))))</f>
        <v/>
      </c>
      <c r="AH341">
        <f>IF(C340&lt;=0,0,ROUND(C340*(1+IF(AND(C$6&gt;0,$B341&lt;C$6),C$4,C$5)/12),2))</f>
        <v/>
      </c>
      <c r="AI341">
        <f>IF(D340&lt;=0,0,ROUND(D340*(1+IF(AND(D$6&gt;0,$B341&lt;D$6),D$4,D$5)/12),2))</f>
        <v/>
      </c>
      <c r="AJ341">
        <f>IF(E340&lt;=0,0,ROUND(E340*(1+IF(AND(E$6&gt;0,$B341&lt;E$6),E$4,E$5)/12),2))</f>
        <v/>
      </c>
      <c r="AK341">
        <f>IF(F340&lt;=0,0,ROUND(F340*(1+IF(AND(F$6&gt;0,$B341&lt;F$6),F$4,F$5)/12),2))</f>
        <v/>
      </c>
      <c r="AL341">
        <f>IF(G340&lt;=0,0,ROUND(G340*(1+IF(AND(G$6&gt;0,$B341&lt;G$6),G$4,G$5)/12),2))</f>
        <v/>
      </c>
      <c r="AM341">
        <f>IF(H340&lt;=0,0,ROUND(H340*(1+IF(AND(H$6&gt;0,$B341&lt;H$6),H$4,H$5)/12),2))</f>
        <v/>
      </c>
      <c r="AN341">
        <f>IF(I340&lt;=0,0,ROUND(I340*(1+IF(AND(I$6&gt;0,$B341&lt;I$6),I$4,I$5)/12),2))</f>
        <v/>
      </c>
      <c r="AO341">
        <f>IF(J340&lt;=0,0,ROUND(J340*(1+IF(AND(J$6&gt;0,$B341&lt;J$6),J$4,J$5)/12),2))</f>
        <v/>
      </c>
      <c r="AP341">
        <f>IF(K340&lt;=0,0,ROUND(K340*(1+IF(AND(K$6&gt;0,$B341&lt;K$6),K$4,K$5)/12),2))</f>
        <v/>
      </c>
      <c r="AQ341">
        <f>IF(L340&lt;=0,0,ROUND(L340*(1+IF(AND(L$6&gt;0,$B341&lt;L$6),L$4,L$5)/12),2))</f>
        <v/>
      </c>
      <c r="AR341">
        <f>IF(M340&lt;=0,0,ROUND(M340*(1+IF(AND(M$6&gt;0,$B341&lt;M$6),M$4,M$5)/12),2))</f>
        <v/>
      </c>
      <c r="AS341">
        <f>IF(N340&lt;=0,0,ROUND(N340*(1+IF(AND(N$6&gt;0,$B341&lt;N$6),N$4,N$5)/12),2))</f>
        <v/>
      </c>
    </row>
    <row r="342">
      <c r="A342" t="n">
        <v>331</v>
      </c>
      <c r="B342">
        <f>EDATE(Plan!$C$6,330)</f>
        <v/>
      </c>
      <c r="C342">
        <f>IF(C341&lt;=0,0,MAX(0,AH342-O342))</f>
        <v/>
      </c>
      <c r="D342">
        <f>IF(D341&lt;=0,0,MAX(0,AI342-P342))</f>
        <v/>
      </c>
      <c r="E342">
        <f>IF(E341&lt;=0,0,MAX(0,AJ342-Q342))</f>
        <v/>
      </c>
      <c r="F342">
        <f>IF(F341&lt;=0,0,MAX(0,AK342-R342))</f>
        <v/>
      </c>
      <c r="G342">
        <f>IF(G341&lt;=0,0,MAX(0,AL342-S342))</f>
        <v/>
      </c>
      <c r="H342">
        <f>IF(H341&lt;=0,0,MAX(0,AM342-T342))</f>
        <v/>
      </c>
      <c r="I342">
        <f>IF(I341&lt;=0,0,MAX(0,AN342-U342))</f>
        <v/>
      </c>
      <c r="J342">
        <f>IF(J341&lt;=0,0,MAX(0,AO342-V342))</f>
        <v/>
      </c>
      <c r="K342">
        <f>IF(K341&lt;=0,0,MAX(0,AP342-W342))</f>
        <v/>
      </c>
      <c r="L342">
        <f>IF(L341&lt;=0,0,MAX(0,AQ342-X342))</f>
        <v/>
      </c>
      <c r="M342">
        <f>IF(M341&lt;=0,0,MAX(0,AR342-Y342))</f>
        <v/>
      </c>
      <c r="N342">
        <f>IF(N341&lt;=0,0,MAX(0,AS342-Z342))</f>
        <v/>
      </c>
      <c r="O342">
        <f>IF(C341&lt;=0,0,MIN(AH342,C$7+IF(C$2=$AA342,$AC342,IF(C$2=$AF342,$AG342,0))))</f>
        <v/>
      </c>
      <c r="P342">
        <f>IF(D341&lt;=0,0,MIN(AI342,D$7+IF(D$2=$AA342,$AC342,IF(D$2=$AF342,$AG342,0))))</f>
        <v/>
      </c>
      <c r="Q342">
        <f>IF(E341&lt;=0,0,MIN(AJ342,E$7+IF(E$2=$AA342,$AC342,IF(E$2=$AF342,$AG342,0))))</f>
        <v/>
      </c>
      <c r="R342">
        <f>IF(F341&lt;=0,0,MIN(AK342,F$7+IF(F$2=$AA342,$AC342,IF(F$2=$AF342,$AG342,0))))</f>
        <v/>
      </c>
      <c r="S342">
        <f>IF(G341&lt;=0,0,MIN(AL342,G$7+IF(G$2=$AA342,$AC342,IF(G$2=$AF342,$AG342,0))))</f>
        <v/>
      </c>
      <c r="T342">
        <f>IF(H341&lt;=0,0,MIN(AM342,H$7+IF(H$2=$AA342,$AC342,IF(H$2=$AF342,$AG342,0))))</f>
        <v/>
      </c>
      <c r="U342">
        <f>IF(I341&lt;=0,0,MIN(AN342,I$7+IF(I$2=$AA342,$AC342,IF(I$2=$AF342,$AG342,0))))</f>
        <v/>
      </c>
      <c r="V342">
        <f>IF(J341&lt;=0,0,MIN(AO342,J$7+IF(J$2=$AA342,$AC342,IF(J$2=$AF342,$AG342,0))))</f>
        <v/>
      </c>
      <c r="W342">
        <f>IF(K341&lt;=0,0,MIN(AP342,K$7+IF(K$2=$AA342,$AC342,IF(K$2=$AF342,$AG342,0))))</f>
        <v/>
      </c>
      <c r="X342">
        <f>IF(L341&lt;=0,0,MIN(AQ342,L$7+IF(L$2=$AA342,$AC342,IF(L$2=$AF342,$AG342,0))))</f>
        <v/>
      </c>
      <c r="Y342">
        <f>IF(M341&lt;=0,0,MIN(AR342,M$7+IF(M$2=$AA342,$AC342,IF(M$2=$AF342,$AG342,0))))</f>
        <v/>
      </c>
      <c r="Z342">
        <f>IF(N341&lt;=0,0,MIN(AS342,N$7+IF(N$2=$AA342,$AC342,IF(N$2=$AF342,$AG342,0))))</f>
        <v/>
      </c>
      <c r="AA342">
        <f>IFERROR(ROUND(1/SUMPRODUCT(MAX((C341:N341&gt;0)*($C$3:$N$3&lt;=B342)/$C$2:$N$2)),0),0)</f>
        <v/>
      </c>
      <c r="AB342">
        <f>SUMPRODUCT((C341:N341&gt;0)*$C$7:$N$7)</f>
        <v/>
      </c>
      <c r="AC342">
        <f>MAX(0,Plan!$C$5-AB342)+IF(A342=Plan!$C$8,N(Plan!$C$7),0)</f>
        <v/>
      </c>
      <c r="AD342">
        <f>SUM(C342:N342)</f>
        <v/>
      </c>
      <c r="AE342">
        <f>SUM(O342:Z342)</f>
        <v/>
      </c>
      <c r="AF342">
        <f>IFERROR(ROUND(1/SUMPRODUCT(MAX((C341:N341&gt;0)*($C$3:$N$3&lt;=B342)*($C$2:$N$2&gt;AA342)/$C$2:$N$2)),0),0)</f>
        <v/>
      </c>
      <c r="AG342">
        <f>MAX(0,AC342-MAX(0,SUMPRODUCT(($C$2:$N$2=AA342)*(AH342:AS342-$C$7:$N$7))))</f>
        <v/>
      </c>
      <c r="AH342">
        <f>IF(C341&lt;=0,0,ROUND(C341*(1+IF(AND(C$6&gt;0,$B342&lt;C$6),C$4,C$5)/12),2))</f>
        <v/>
      </c>
      <c r="AI342">
        <f>IF(D341&lt;=0,0,ROUND(D341*(1+IF(AND(D$6&gt;0,$B342&lt;D$6),D$4,D$5)/12),2))</f>
        <v/>
      </c>
      <c r="AJ342">
        <f>IF(E341&lt;=0,0,ROUND(E341*(1+IF(AND(E$6&gt;0,$B342&lt;E$6),E$4,E$5)/12),2))</f>
        <v/>
      </c>
      <c r="AK342">
        <f>IF(F341&lt;=0,0,ROUND(F341*(1+IF(AND(F$6&gt;0,$B342&lt;F$6),F$4,F$5)/12),2))</f>
        <v/>
      </c>
      <c r="AL342">
        <f>IF(G341&lt;=0,0,ROUND(G341*(1+IF(AND(G$6&gt;0,$B342&lt;G$6),G$4,G$5)/12),2))</f>
        <v/>
      </c>
      <c r="AM342">
        <f>IF(H341&lt;=0,0,ROUND(H341*(1+IF(AND(H$6&gt;0,$B342&lt;H$6),H$4,H$5)/12),2))</f>
        <v/>
      </c>
      <c r="AN342">
        <f>IF(I341&lt;=0,0,ROUND(I341*(1+IF(AND(I$6&gt;0,$B342&lt;I$6),I$4,I$5)/12),2))</f>
        <v/>
      </c>
      <c r="AO342">
        <f>IF(J341&lt;=0,0,ROUND(J341*(1+IF(AND(J$6&gt;0,$B342&lt;J$6),J$4,J$5)/12),2))</f>
        <v/>
      </c>
      <c r="AP342">
        <f>IF(K341&lt;=0,0,ROUND(K341*(1+IF(AND(K$6&gt;0,$B342&lt;K$6),K$4,K$5)/12),2))</f>
        <v/>
      </c>
      <c r="AQ342">
        <f>IF(L341&lt;=0,0,ROUND(L341*(1+IF(AND(L$6&gt;0,$B342&lt;L$6),L$4,L$5)/12),2))</f>
        <v/>
      </c>
      <c r="AR342">
        <f>IF(M341&lt;=0,0,ROUND(M341*(1+IF(AND(M$6&gt;0,$B342&lt;M$6),M$4,M$5)/12),2))</f>
        <v/>
      </c>
      <c r="AS342">
        <f>IF(N341&lt;=0,0,ROUND(N341*(1+IF(AND(N$6&gt;0,$B342&lt;N$6),N$4,N$5)/12),2))</f>
        <v/>
      </c>
    </row>
    <row r="343">
      <c r="A343" t="n">
        <v>332</v>
      </c>
      <c r="B343">
        <f>EDATE(Plan!$C$6,331)</f>
        <v/>
      </c>
      <c r="C343">
        <f>IF(C342&lt;=0,0,MAX(0,AH343-O343))</f>
        <v/>
      </c>
      <c r="D343">
        <f>IF(D342&lt;=0,0,MAX(0,AI343-P343))</f>
        <v/>
      </c>
      <c r="E343">
        <f>IF(E342&lt;=0,0,MAX(0,AJ343-Q343))</f>
        <v/>
      </c>
      <c r="F343">
        <f>IF(F342&lt;=0,0,MAX(0,AK343-R343))</f>
        <v/>
      </c>
      <c r="G343">
        <f>IF(G342&lt;=0,0,MAX(0,AL343-S343))</f>
        <v/>
      </c>
      <c r="H343">
        <f>IF(H342&lt;=0,0,MAX(0,AM343-T343))</f>
        <v/>
      </c>
      <c r="I343">
        <f>IF(I342&lt;=0,0,MAX(0,AN343-U343))</f>
        <v/>
      </c>
      <c r="J343">
        <f>IF(J342&lt;=0,0,MAX(0,AO343-V343))</f>
        <v/>
      </c>
      <c r="K343">
        <f>IF(K342&lt;=0,0,MAX(0,AP343-W343))</f>
        <v/>
      </c>
      <c r="L343">
        <f>IF(L342&lt;=0,0,MAX(0,AQ343-X343))</f>
        <v/>
      </c>
      <c r="M343">
        <f>IF(M342&lt;=0,0,MAX(0,AR343-Y343))</f>
        <v/>
      </c>
      <c r="N343">
        <f>IF(N342&lt;=0,0,MAX(0,AS343-Z343))</f>
        <v/>
      </c>
      <c r="O343">
        <f>IF(C342&lt;=0,0,MIN(AH343,C$7+IF(C$2=$AA343,$AC343,IF(C$2=$AF343,$AG343,0))))</f>
        <v/>
      </c>
      <c r="P343">
        <f>IF(D342&lt;=0,0,MIN(AI343,D$7+IF(D$2=$AA343,$AC343,IF(D$2=$AF343,$AG343,0))))</f>
        <v/>
      </c>
      <c r="Q343">
        <f>IF(E342&lt;=0,0,MIN(AJ343,E$7+IF(E$2=$AA343,$AC343,IF(E$2=$AF343,$AG343,0))))</f>
        <v/>
      </c>
      <c r="R343">
        <f>IF(F342&lt;=0,0,MIN(AK343,F$7+IF(F$2=$AA343,$AC343,IF(F$2=$AF343,$AG343,0))))</f>
        <v/>
      </c>
      <c r="S343">
        <f>IF(G342&lt;=0,0,MIN(AL343,G$7+IF(G$2=$AA343,$AC343,IF(G$2=$AF343,$AG343,0))))</f>
        <v/>
      </c>
      <c r="T343">
        <f>IF(H342&lt;=0,0,MIN(AM343,H$7+IF(H$2=$AA343,$AC343,IF(H$2=$AF343,$AG343,0))))</f>
        <v/>
      </c>
      <c r="U343">
        <f>IF(I342&lt;=0,0,MIN(AN343,I$7+IF(I$2=$AA343,$AC343,IF(I$2=$AF343,$AG343,0))))</f>
        <v/>
      </c>
      <c r="V343">
        <f>IF(J342&lt;=0,0,MIN(AO343,J$7+IF(J$2=$AA343,$AC343,IF(J$2=$AF343,$AG343,0))))</f>
        <v/>
      </c>
      <c r="W343">
        <f>IF(K342&lt;=0,0,MIN(AP343,K$7+IF(K$2=$AA343,$AC343,IF(K$2=$AF343,$AG343,0))))</f>
        <v/>
      </c>
      <c r="X343">
        <f>IF(L342&lt;=0,0,MIN(AQ343,L$7+IF(L$2=$AA343,$AC343,IF(L$2=$AF343,$AG343,0))))</f>
        <v/>
      </c>
      <c r="Y343">
        <f>IF(M342&lt;=0,0,MIN(AR343,M$7+IF(M$2=$AA343,$AC343,IF(M$2=$AF343,$AG343,0))))</f>
        <v/>
      </c>
      <c r="Z343">
        <f>IF(N342&lt;=0,0,MIN(AS343,N$7+IF(N$2=$AA343,$AC343,IF(N$2=$AF343,$AG343,0))))</f>
        <v/>
      </c>
      <c r="AA343">
        <f>IFERROR(ROUND(1/SUMPRODUCT(MAX((C342:N342&gt;0)*($C$3:$N$3&lt;=B343)/$C$2:$N$2)),0),0)</f>
        <v/>
      </c>
      <c r="AB343">
        <f>SUMPRODUCT((C342:N342&gt;0)*$C$7:$N$7)</f>
        <v/>
      </c>
      <c r="AC343">
        <f>MAX(0,Plan!$C$5-AB343)+IF(A343=Plan!$C$8,N(Plan!$C$7),0)</f>
        <v/>
      </c>
      <c r="AD343">
        <f>SUM(C343:N343)</f>
        <v/>
      </c>
      <c r="AE343">
        <f>SUM(O343:Z343)</f>
        <v/>
      </c>
      <c r="AF343">
        <f>IFERROR(ROUND(1/SUMPRODUCT(MAX((C342:N342&gt;0)*($C$3:$N$3&lt;=B343)*($C$2:$N$2&gt;AA343)/$C$2:$N$2)),0),0)</f>
        <v/>
      </c>
      <c r="AG343">
        <f>MAX(0,AC343-MAX(0,SUMPRODUCT(($C$2:$N$2=AA343)*(AH343:AS343-$C$7:$N$7))))</f>
        <v/>
      </c>
      <c r="AH343">
        <f>IF(C342&lt;=0,0,ROUND(C342*(1+IF(AND(C$6&gt;0,$B343&lt;C$6),C$4,C$5)/12),2))</f>
        <v/>
      </c>
      <c r="AI343">
        <f>IF(D342&lt;=0,0,ROUND(D342*(1+IF(AND(D$6&gt;0,$B343&lt;D$6),D$4,D$5)/12),2))</f>
        <v/>
      </c>
      <c r="AJ343">
        <f>IF(E342&lt;=0,0,ROUND(E342*(1+IF(AND(E$6&gt;0,$B343&lt;E$6),E$4,E$5)/12),2))</f>
        <v/>
      </c>
      <c r="AK343">
        <f>IF(F342&lt;=0,0,ROUND(F342*(1+IF(AND(F$6&gt;0,$B343&lt;F$6),F$4,F$5)/12),2))</f>
        <v/>
      </c>
      <c r="AL343">
        <f>IF(G342&lt;=0,0,ROUND(G342*(1+IF(AND(G$6&gt;0,$B343&lt;G$6),G$4,G$5)/12),2))</f>
        <v/>
      </c>
      <c r="AM343">
        <f>IF(H342&lt;=0,0,ROUND(H342*(1+IF(AND(H$6&gt;0,$B343&lt;H$6),H$4,H$5)/12),2))</f>
        <v/>
      </c>
      <c r="AN343">
        <f>IF(I342&lt;=0,0,ROUND(I342*(1+IF(AND(I$6&gt;0,$B343&lt;I$6),I$4,I$5)/12),2))</f>
        <v/>
      </c>
      <c r="AO343">
        <f>IF(J342&lt;=0,0,ROUND(J342*(1+IF(AND(J$6&gt;0,$B343&lt;J$6),J$4,J$5)/12),2))</f>
        <v/>
      </c>
      <c r="AP343">
        <f>IF(K342&lt;=0,0,ROUND(K342*(1+IF(AND(K$6&gt;0,$B343&lt;K$6),K$4,K$5)/12),2))</f>
        <v/>
      </c>
      <c r="AQ343">
        <f>IF(L342&lt;=0,0,ROUND(L342*(1+IF(AND(L$6&gt;0,$B343&lt;L$6),L$4,L$5)/12),2))</f>
        <v/>
      </c>
      <c r="AR343">
        <f>IF(M342&lt;=0,0,ROUND(M342*(1+IF(AND(M$6&gt;0,$B343&lt;M$6),M$4,M$5)/12),2))</f>
        <v/>
      </c>
      <c r="AS343">
        <f>IF(N342&lt;=0,0,ROUND(N342*(1+IF(AND(N$6&gt;0,$B343&lt;N$6),N$4,N$5)/12),2))</f>
        <v/>
      </c>
    </row>
    <row r="344">
      <c r="A344" t="n">
        <v>333</v>
      </c>
      <c r="B344">
        <f>EDATE(Plan!$C$6,332)</f>
        <v/>
      </c>
      <c r="C344">
        <f>IF(C343&lt;=0,0,MAX(0,AH344-O344))</f>
        <v/>
      </c>
      <c r="D344">
        <f>IF(D343&lt;=0,0,MAX(0,AI344-P344))</f>
        <v/>
      </c>
      <c r="E344">
        <f>IF(E343&lt;=0,0,MAX(0,AJ344-Q344))</f>
        <v/>
      </c>
      <c r="F344">
        <f>IF(F343&lt;=0,0,MAX(0,AK344-R344))</f>
        <v/>
      </c>
      <c r="G344">
        <f>IF(G343&lt;=0,0,MAX(0,AL344-S344))</f>
        <v/>
      </c>
      <c r="H344">
        <f>IF(H343&lt;=0,0,MAX(0,AM344-T344))</f>
        <v/>
      </c>
      <c r="I344">
        <f>IF(I343&lt;=0,0,MAX(0,AN344-U344))</f>
        <v/>
      </c>
      <c r="J344">
        <f>IF(J343&lt;=0,0,MAX(0,AO344-V344))</f>
        <v/>
      </c>
      <c r="K344">
        <f>IF(K343&lt;=0,0,MAX(0,AP344-W344))</f>
        <v/>
      </c>
      <c r="L344">
        <f>IF(L343&lt;=0,0,MAX(0,AQ344-X344))</f>
        <v/>
      </c>
      <c r="M344">
        <f>IF(M343&lt;=0,0,MAX(0,AR344-Y344))</f>
        <v/>
      </c>
      <c r="N344">
        <f>IF(N343&lt;=0,0,MAX(0,AS344-Z344))</f>
        <v/>
      </c>
      <c r="O344">
        <f>IF(C343&lt;=0,0,MIN(AH344,C$7+IF(C$2=$AA344,$AC344,IF(C$2=$AF344,$AG344,0))))</f>
        <v/>
      </c>
      <c r="P344">
        <f>IF(D343&lt;=0,0,MIN(AI344,D$7+IF(D$2=$AA344,$AC344,IF(D$2=$AF344,$AG344,0))))</f>
        <v/>
      </c>
      <c r="Q344">
        <f>IF(E343&lt;=0,0,MIN(AJ344,E$7+IF(E$2=$AA344,$AC344,IF(E$2=$AF344,$AG344,0))))</f>
        <v/>
      </c>
      <c r="R344">
        <f>IF(F343&lt;=0,0,MIN(AK344,F$7+IF(F$2=$AA344,$AC344,IF(F$2=$AF344,$AG344,0))))</f>
        <v/>
      </c>
      <c r="S344">
        <f>IF(G343&lt;=0,0,MIN(AL344,G$7+IF(G$2=$AA344,$AC344,IF(G$2=$AF344,$AG344,0))))</f>
        <v/>
      </c>
      <c r="T344">
        <f>IF(H343&lt;=0,0,MIN(AM344,H$7+IF(H$2=$AA344,$AC344,IF(H$2=$AF344,$AG344,0))))</f>
        <v/>
      </c>
      <c r="U344">
        <f>IF(I343&lt;=0,0,MIN(AN344,I$7+IF(I$2=$AA344,$AC344,IF(I$2=$AF344,$AG344,0))))</f>
        <v/>
      </c>
      <c r="V344">
        <f>IF(J343&lt;=0,0,MIN(AO344,J$7+IF(J$2=$AA344,$AC344,IF(J$2=$AF344,$AG344,0))))</f>
        <v/>
      </c>
      <c r="W344">
        <f>IF(K343&lt;=0,0,MIN(AP344,K$7+IF(K$2=$AA344,$AC344,IF(K$2=$AF344,$AG344,0))))</f>
        <v/>
      </c>
      <c r="X344">
        <f>IF(L343&lt;=0,0,MIN(AQ344,L$7+IF(L$2=$AA344,$AC344,IF(L$2=$AF344,$AG344,0))))</f>
        <v/>
      </c>
      <c r="Y344">
        <f>IF(M343&lt;=0,0,MIN(AR344,M$7+IF(M$2=$AA344,$AC344,IF(M$2=$AF344,$AG344,0))))</f>
        <v/>
      </c>
      <c r="Z344">
        <f>IF(N343&lt;=0,0,MIN(AS344,N$7+IF(N$2=$AA344,$AC344,IF(N$2=$AF344,$AG344,0))))</f>
        <v/>
      </c>
      <c r="AA344">
        <f>IFERROR(ROUND(1/SUMPRODUCT(MAX((C343:N343&gt;0)*($C$3:$N$3&lt;=B344)/$C$2:$N$2)),0),0)</f>
        <v/>
      </c>
      <c r="AB344">
        <f>SUMPRODUCT((C343:N343&gt;0)*$C$7:$N$7)</f>
        <v/>
      </c>
      <c r="AC344">
        <f>MAX(0,Plan!$C$5-AB344)+IF(A344=Plan!$C$8,N(Plan!$C$7),0)</f>
        <v/>
      </c>
      <c r="AD344">
        <f>SUM(C344:N344)</f>
        <v/>
      </c>
      <c r="AE344">
        <f>SUM(O344:Z344)</f>
        <v/>
      </c>
      <c r="AF344">
        <f>IFERROR(ROUND(1/SUMPRODUCT(MAX((C343:N343&gt;0)*($C$3:$N$3&lt;=B344)*($C$2:$N$2&gt;AA344)/$C$2:$N$2)),0),0)</f>
        <v/>
      </c>
      <c r="AG344">
        <f>MAX(0,AC344-MAX(0,SUMPRODUCT(($C$2:$N$2=AA344)*(AH344:AS344-$C$7:$N$7))))</f>
        <v/>
      </c>
      <c r="AH344">
        <f>IF(C343&lt;=0,0,ROUND(C343*(1+IF(AND(C$6&gt;0,$B344&lt;C$6),C$4,C$5)/12),2))</f>
        <v/>
      </c>
      <c r="AI344">
        <f>IF(D343&lt;=0,0,ROUND(D343*(1+IF(AND(D$6&gt;0,$B344&lt;D$6),D$4,D$5)/12),2))</f>
        <v/>
      </c>
      <c r="AJ344">
        <f>IF(E343&lt;=0,0,ROUND(E343*(1+IF(AND(E$6&gt;0,$B344&lt;E$6),E$4,E$5)/12),2))</f>
        <v/>
      </c>
      <c r="AK344">
        <f>IF(F343&lt;=0,0,ROUND(F343*(1+IF(AND(F$6&gt;0,$B344&lt;F$6),F$4,F$5)/12),2))</f>
        <v/>
      </c>
      <c r="AL344">
        <f>IF(G343&lt;=0,0,ROUND(G343*(1+IF(AND(G$6&gt;0,$B344&lt;G$6),G$4,G$5)/12),2))</f>
        <v/>
      </c>
      <c r="AM344">
        <f>IF(H343&lt;=0,0,ROUND(H343*(1+IF(AND(H$6&gt;0,$B344&lt;H$6),H$4,H$5)/12),2))</f>
        <v/>
      </c>
      <c r="AN344">
        <f>IF(I343&lt;=0,0,ROUND(I343*(1+IF(AND(I$6&gt;0,$B344&lt;I$6),I$4,I$5)/12),2))</f>
        <v/>
      </c>
      <c r="AO344">
        <f>IF(J343&lt;=0,0,ROUND(J343*(1+IF(AND(J$6&gt;0,$B344&lt;J$6),J$4,J$5)/12),2))</f>
        <v/>
      </c>
      <c r="AP344">
        <f>IF(K343&lt;=0,0,ROUND(K343*(1+IF(AND(K$6&gt;0,$B344&lt;K$6),K$4,K$5)/12),2))</f>
        <v/>
      </c>
      <c r="AQ344">
        <f>IF(L343&lt;=0,0,ROUND(L343*(1+IF(AND(L$6&gt;0,$B344&lt;L$6),L$4,L$5)/12),2))</f>
        <v/>
      </c>
      <c r="AR344">
        <f>IF(M343&lt;=0,0,ROUND(M343*(1+IF(AND(M$6&gt;0,$B344&lt;M$6),M$4,M$5)/12),2))</f>
        <v/>
      </c>
      <c r="AS344">
        <f>IF(N343&lt;=0,0,ROUND(N343*(1+IF(AND(N$6&gt;0,$B344&lt;N$6),N$4,N$5)/12),2))</f>
        <v/>
      </c>
    </row>
    <row r="345">
      <c r="A345" t="n">
        <v>334</v>
      </c>
      <c r="B345">
        <f>EDATE(Plan!$C$6,333)</f>
        <v/>
      </c>
      <c r="C345">
        <f>IF(C344&lt;=0,0,MAX(0,AH345-O345))</f>
        <v/>
      </c>
      <c r="D345">
        <f>IF(D344&lt;=0,0,MAX(0,AI345-P345))</f>
        <v/>
      </c>
      <c r="E345">
        <f>IF(E344&lt;=0,0,MAX(0,AJ345-Q345))</f>
        <v/>
      </c>
      <c r="F345">
        <f>IF(F344&lt;=0,0,MAX(0,AK345-R345))</f>
        <v/>
      </c>
      <c r="G345">
        <f>IF(G344&lt;=0,0,MAX(0,AL345-S345))</f>
        <v/>
      </c>
      <c r="H345">
        <f>IF(H344&lt;=0,0,MAX(0,AM345-T345))</f>
        <v/>
      </c>
      <c r="I345">
        <f>IF(I344&lt;=0,0,MAX(0,AN345-U345))</f>
        <v/>
      </c>
      <c r="J345">
        <f>IF(J344&lt;=0,0,MAX(0,AO345-V345))</f>
        <v/>
      </c>
      <c r="K345">
        <f>IF(K344&lt;=0,0,MAX(0,AP345-W345))</f>
        <v/>
      </c>
      <c r="L345">
        <f>IF(L344&lt;=0,0,MAX(0,AQ345-X345))</f>
        <v/>
      </c>
      <c r="M345">
        <f>IF(M344&lt;=0,0,MAX(0,AR345-Y345))</f>
        <v/>
      </c>
      <c r="N345">
        <f>IF(N344&lt;=0,0,MAX(0,AS345-Z345))</f>
        <v/>
      </c>
      <c r="O345">
        <f>IF(C344&lt;=0,0,MIN(AH345,C$7+IF(C$2=$AA345,$AC345,IF(C$2=$AF345,$AG345,0))))</f>
        <v/>
      </c>
      <c r="P345">
        <f>IF(D344&lt;=0,0,MIN(AI345,D$7+IF(D$2=$AA345,$AC345,IF(D$2=$AF345,$AG345,0))))</f>
        <v/>
      </c>
      <c r="Q345">
        <f>IF(E344&lt;=0,0,MIN(AJ345,E$7+IF(E$2=$AA345,$AC345,IF(E$2=$AF345,$AG345,0))))</f>
        <v/>
      </c>
      <c r="R345">
        <f>IF(F344&lt;=0,0,MIN(AK345,F$7+IF(F$2=$AA345,$AC345,IF(F$2=$AF345,$AG345,0))))</f>
        <v/>
      </c>
      <c r="S345">
        <f>IF(G344&lt;=0,0,MIN(AL345,G$7+IF(G$2=$AA345,$AC345,IF(G$2=$AF345,$AG345,0))))</f>
        <v/>
      </c>
      <c r="T345">
        <f>IF(H344&lt;=0,0,MIN(AM345,H$7+IF(H$2=$AA345,$AC345,IF(H$2=$AF345,$AG345,0))))</f>
        <v/>
      </c>
      <c r="U345">
        <f>IF(I344&lt;=0,0,MIN(AN345,I$7+IF(I$2=$AA345,$AC345,IF(I$2=$AF345,$AG345,0))))</f>
        <v/>
      </c>
      <c r="V345">
        <f>IF(J344&lt;=0,0,MIN(AO345,J$7+IF(J$2=$AA345,$AC345,IF(J$2=$AF345,$AG345,0))))</f>
        <v/>
      </c>
      <c r="W345">
        <f>IF(K344&lt;=0,0,MIN(AP345,K$7+IF(K$2=$AA345,$AC345,IF(K$2=$AF345,$AG345,0))))</f>
        <v/>
      </c>
      <c r="X345">
        <f>IF(L344&lt;=0,0,MIN(AQ345,L$7+IF(L$2=$AA345,$AC345,IF(L$2=$AF345,$AG345,0))))</f>
        <v/>
      </c>
      <c r="Y345">
        <f>IF(M344&lt;=0,0,MIN(AR345,M$7+IF(M$2=$AA345,$AC345,IF(M$2=$AF345,$AG345,0))))</f>
        <v/>
      </c>
      <c r="Z345">
        <f>IF(N344&lt;=0,0,MIN(AS345,N$7+IF(N$2=$AA345,$AC345,IF(N$2=$AF345,$AG345,0))))</f>
        <v/>
      </c>
      <c r="AA345">
        <f>IFERROR(ROUND(1/SUMPRODUCT(MAX((C344:N344&gt;0)*($C$3:$N$3&lt;=B345)/$C$2:$N$2)),0),0)</f>
        <v/>
      </c>
      <c r="AB345">
        <f>SUMPRODUCT((C344:N344&gt;0)*$C$7:$N$7)</f>
        <v/>
      </c>
      <c r="AC345">
        <f>MAX(0,Plan!$C$5-AB345)+IF(A345=Plan!$C$8,N(Plan!$C$7),0)</f>
        <v/>
      </c>
      <c r="AD345">
        <f>SUM(C345:N345)</f>
        <v/>
      </c>
      <c r="AE345">
        <f>SUM(O345:Z345)</f>
        <v/>
      </c>
      <c r="AF345">
        <f>IFERROR(ROUND(1/SUMPRODUCT(MAX((C344:N344&gt;0)*($C$3:$N$3&lt;=B345)*($C$2:$N$2&gt;AA345)/$C$2:$N$2)),0),0)</f>
        <v/>
      </c>
      <c r="AG345">
        <f>MAX(0,AC345-MAX(0,SUMPRODUCT(($C$2:$N$2=AA345)*(AH345:AS345-$C$7:$N$7))))</f>
        <v/>
      </c>
      <c r="AH345">
        <f>IF(C344&lt;=0,0,ROUND(C344*(1+IF(AND(C$6&gt;0,$B345&lt;C$6),C$4,C$5)/12),2))</f>
        <v/>
      </c>
      <c r="AI345">
        <f>IF(D344&lt;=0,0,ROUND(D344*(1+IF(AND(D$6&gt;0,$B345&lt;D$6),D$4,D$5)/12),2))</f>
        <v/>
      </c>
      <c r="AJ345">
        <f>IF(E344&lt;=0,0,ROUND(E344*(1+IF(AND(E$6&gt;0,$B345&lt;E$6),E$4,E$5)/12),2))</f>
        <v/>
      </c>
      <c r="AK345">
        <f>IF(F344&lt;=0,0,ROUND(F344*(1+IF(AND(F$6&gt;0,$B345&lt;F$6),F$4,F$5)/12),2))</f>
        <v/>
      </c>
      <c r="AL345">
        <f>IF(G344&lt;=0,0,ROUND(G344*(1+IF(AND(G$6&gt;0,$B345&lt;G$6),G$4,G$5)/12),2))</f>
        <v/>
      </c>
      <c r="AM345">
        <f>IF(H344&lt;=0,0,ROUND(H344*(1+IF(AND(H$6&gt;0,$B345&lt;H$6),H$4,H$5)/12),2))</f>
        <v/>
      </c>
      <c r="AN345">
        <f>IF(I344&lt;=0,0,ROUND(I344*(1+IF(AND(I$6&gt;0,$B345&lt;I$6),I$4,I$5)/12),2))</f>
        <v/>
      </c>
      <c r="AO345">
        <f>IF(J344&lt;=0,0,ROUND(J344*(1+IF(AND(J$6&gt;0,$B345&lt;J$6),J$4,J$5)/12),2))</f>
        <v/>
      </c>
      <c r="AP345">
        <f>IF(K344&lt;=0,0,ROUND(K344*(1+IF(AND(K$6&gt;0,$B345&lt;K$6),K$4,K$5)/12),2))</f>
        <v/>
      </c>
      <c r="AQ345">
        <f>IF(L344&lt;=0,0,ROUND(L344*(1+IF(AND(L$6&gt;0,$B345&lt;L$6),L$4,L$5)/12),2))</f>
        <v/>
      </c>
      <c r="AR345">
        <f>IF(M344&lt;=0,0,ROUND(M344*(1+IF(AND(M$6&gt;0,$B345&lt;M$6),M$4,M$5)/12),2))</f>
        <v/>
      </c>
      <c r="AS345">
        <f>IF(N344&lt;=0,0,ROUND(N344*(1+IF(AND(N$6&gt;0,$B345&lt;N$6),N$4,N$5)/12),2))</f>
        <v/>
      </c>
    </row>
    <row r="346">
      <c r="A346" t="n">
        <v>335</v>
      </c>
      <c r="B346">
        <f>EDATE(Plan!$C$6,334)</f>
        <v/>
      </c>
      <c r="C346">
        <f>IF(C345&lt;=0,0,MAX(0,AH346-O346))</f>
        <v/>
      </c>
      <c r="D346">
        <f>IF(D345&lt;=0,0,MAX(0,AI346-P346))</f>
        <v/>
      </c>
      <c r="E346">
        <f>IF(E345&lt;=0,0,MAX(0,AJ346-Q346))</f>
        <v/>
      </c>
      <c r="F346">
        <f>IF(F345&lt;=0,0,MAX(0,AK346-R346))</f>
        <v/>
      </c>
      <c r="G346">
        <f>IF(G345&lt;=0,0,MAX(0,AL346-S346))</f>
        <v/>
      </c>
      <c r="H346">
        <f>IF(H345&lt;=0,0,MAX(0,AM346-T346))</f>
        <v/>
      </c>
      <c r="I346">
        <f>IF(I345&lt;=0,0,MAX(0,AN346-U346))</f>
        <v/>
      </c>
      <c r="J346">
        <f>IF(J345&lt;=0,0,MAX(0,AO346-V346))</f>
        <v/>
      </c>
      <c r="K346">
        <f>IF(K345&lt;=0,0,MAX(0,AP346-W346))</f>
        <v/>
      </c>
      <c r="L346">
        <f>IF(L345&lt;=0,0,MAX(0,AQ346-X346))</f>
        <v/>
      </c>
      <c r="M346">
        <f>IF(M345&lt;=0,0,MAX(0,AR346-Y346))</f>
        <v/>
      </c>
      <c r="N346">
        <f>IF(N345&lt;=0,0,MAX(0,AS346-Z346))</f>
        <v/>
      </c>
      <c r="O346">
        <f>IF(C345&lt;=0,0,MIN(AH346,C$7+IF(C$2=$AA346,$AC346,IF(C$2=$AF346,$AG346,0))))</f>
        <v/>
      </c>
      <c r="P346">
        <f>IF(D345&lt;=0,0,MIN(AI346,D$7+IF(D$2=$AA346,$AC346,IF(D$2=$AF346,$AG346,0))))</f>
        <v/>
      </c>
      <c r="Q346">
        <f>IF(E345&lt;=0,0,MIN(AJ346,E$7+IF(E$2=$AA346,$AC346,IF(E$2=$AF346,$AG346,0))))</f>
        <v/>
      </c>
      <c r="R346">
        <f>IF(F345&lt;=0,0,MIN(AK346,F$7+IF(F$2=$AA346,$AC346,IF(F$2=$AF346,$AG346,0))))</f>
        <v/>
      </c>
      <c r="S346">
        <f>IF(G345&lt;=0,0,MIN(AL346,G$7+IF(G$2=$AA346,$AC346,IF(G$2=$AF346,$AG346,0))))</f>
        <v/>
      </c>
      <c r="T346">
        <f>IF(H345&lt;=0,0,MIN(AM346,H$7+IF(H$2=$AA346,$AC346,IF(H$2=$AF346,$AG346,0))))</f>
        <v/>
      </c>
      <c r="U346">
        <f>IF(I345&lt;=0,0,MIN(AN346,I$7+IF(I$2=$AA346,$AC346,IF(I$2=$AF346,$AG346,0))))</f>
        <v/>
      </c>
      <c r="V346">
        <f>IF(J345&lt;=0,0,MIN(AO346,J$7+IF(J$2=$AA346,$AC346,IF(J$2=$AF346,$AG346,0))))</f>
        <v/>
      </c>
      <c r="W346">
        <f>IF(K345&lt;=0,0,MIN(AP346,K$7+IF(K$2=$AA346,$AC346,IF(K$2=$AF346,$AG346,0))))</f>
        <v/>
      </c>
      <c r="X346">
        <f>IF(L345&lt;=0,0,MIN(AQ346,L$7+IF(L$2=$AA346,$AC346,IF(L$2=$AF346,$AG346,0))))</f>
        <v/>
      </c>
      <c r="Y346">
        <f>IF(M345&lt;=0,0,MIN(AR346,M$7+IF(M$2=$AA346,$AC346,IF(M$2=$AF346,$AG346,0))))</f>
        <v/>
      </c>
      <c r="Z346">
        <f>IF(N345&lt;=0,0,MIN(AS346,N$7+IF(N$2=$AA346,$AC346,IF(N$2=$AF346,$AG346,0))))</f>
        <v/>
      </c>
      <c r="AA346">
        <f>IFERROR(ROUND(1/SUMPRODUCT(MAX((C345:N345&gt;0)*($C$3:$N$3&lt;=B346)/$C$2:$N$2)),0),0)</f>
        <v/>
      </c>
      <c r="AB346">
        <f>SUMPRODUCT((C345:N345&gt;0)*$C$7:$N$7)</f>
        <v/>
      </c>
      <c r="AC346">
        <f>MAX(0,Plan!$C$5-AB346)+IF(A346=Plan!$C$8,N(Plan!$C$7),0)</f>
        <v/>
      </c>
      <c r="AD346">
        <f>SUM(C346:N346)</f>
        <v/>
      </c>
      <c r="AE346">
        <f>SUM(O346:Z346)</f>
        <v/>
      </c>
      <c r="AF346">
        <f>IFERROR(ROUND(1/SUMPRODUCT(MAX((C345:N345&gt;0)*($C$3:$N$3&lt;=B346)*($C$2:$N$2&gt;AA346)/$C$2:$N$2)),0),0)</f>
        <v/>
      </c>
      <c r="AG346">
        <f>MAX(0,AC346-MAX(0,SUMPRODUCT(($C$2:$N$2=AA346)*(AH346:AS346-$C$7:$N$7))))</f>
        <v/>
      </c>
      <c r="AH346">
        <f>IF(C345&lt;=0,0,ROUND(C345*(1+IF(AND(C$6&gt;0,$B346&lt;C$6),C$4,C$5)/12),2))</f>
        <v/>
      </c>
      <c r="AI346">
        <f>IF(D345&lt;=0,0,ROUND(D345*(1+IF(AND(D$6&gt;0,$B346&lt;D$6),D$4,D$5)/12),2))</f>
        <v/>
      </c>
      <c r="AJ346">
        <f>IF(E345&lt;=0,0,ROUND(E345*(1+IF(AND(E$6&gt;0,$B346&lt;E$6),E$4,E$5)/12),2))</f>
        <v/>
      </c>
      <c r="AK346">
        <f>IF(F345&lt;=0,0,ROUND(F345*(1+IF(AND(F$6&gt;0,$B346&lt;F$6),F$4,F$5)/12),2))</f>
        <v/>
      </c>
      <c r="AL346">
        <f>IF(G345&lt;=0,0,ROUND(G345*(1+IF(AND(G$6&gt;0,$B346&lt;G$6),G$4,G$5)/12),2))</f>
        <v/>
      </c>
      <c r="AM346">
        <f>IF(H345&lt;=0,0,ROUND(H345*(1+IF(AND(H$6&gt;0,$B346&lt;H$6),H$4,H$5)/12),2))</f>
        <v/>
      </c>
      <c r="AN346">
        <f>IF(I345&lt;=0,0,ROUND(I345*(1+IF(AND(I$6&gt;0,$B346&lt;I$6),I$4,I$5)/12),2))</f>
        <v/>
      </c>
      <c r="AO346">
        <f>IF(J345&lt;=0,0,ROUND(J345*(1+IF(AND(J$6&gt;0,$B346&lt;J$6),J$4,J$5)/12),2))</f>
        <v/>
      </c>
      <c r="AP346">
        <f>IF(K345&lt;=0,0,ROUND(K345*(1+IF(AND(K$6&gt;0,$B346&lt;K$6),K$4,K$5)/12),2))</f>
        <v/>
      </c>
      <c r="AQ346">
        <f>IF(L345&lt;=0,0,ROUND(L345*(1+IF(AND(L$6&gt;0,$B346&lt;L$6),L$4,L$5)/12),2))</f>
        <v/>
      </c>
      <c r="AR346">
        <f>IF(M345&lt;=0,0,ROUND(M345*(1+IF(AND(M$6&gt;0,$B346&lt;M$6),M$4,M$5)/12),2))</f>
        <v/>
      </c>
      <c r="AS346">
        <f>IF(N345&lt;=0,0,ROUND(N345*(1+IF(AND(N$6&gt;0,$B346&lt;N$6),N$4,N$5)/12),2))</f>
        <v/>
      </c>
    </row>
    <row r="347">
      <c r="A347" t="n">
        <v>336</v>
      </c>
      <c r="B347">
        <f>EDATE(Plan!$C$6,335)</f>
        <v/>
      </c>
      <c r="C347">
        <f>IF(C346&lt;=0,0,MAX(0,AH347-O347))</f>
        <v/>
      </c>
      <c r="D347">
        <f>IF(D346&lt;=0,0,MAX(0,AI347-P347))</f>
        <v/>
      </c>
      <c r="E347">
        <f>IF(E346&lt;=0,0,MAX(0,AJ347-Q347))</f>
        <v/>
      </c>
      <c r="F347">
        <f>IF(F346&lt;=0,0,MAX(0,AK347-R347))</f>
        <v/>
      </c>
      <c r="G347">
        <f>IF(G346&lt;=0,0,MAX(0,AL347-S347))</f>
        <v/>
      </c>
      <c r="H347">
        <f>IF(H346&lt;=0,0,MAX(0,AM347-T347))</f>
        <v/>
      </c>
      <c r="I347">
        <f>IF(I346&lt;=0,0,MAX(0,AN347-U347))</f>
        <v/>
      </c>
      <c r="J347">
        <f>IF(J346&lt;=0,0,MAX(0,AO347-V347))</f>
        <v/>
      </c>
      <c r="K347">
        <f>IF(K346&lt;=0,0,MAX(0,AP347-W347))</f>
        <v/>
      </c>
      <c r="L347">
        <f>IF(L346&lt;=0,0,MAX(0,AQ347-X347))</f>
        <v/>
      </c>
      <c r="M347">
        <f>IF(M346&lt;=0,0,MAX(0,AR347-Y347))</f>
        <v/>
      </c>
      <c r="N347">
        <f>IF(N346&lt;=0,0,MAX(0,AS347-Z347))</f>
        <v/>
      </c>
      <c r="O347">
        <f>IF(C346&lt;=0,0,MIN(AH347,C$7+IF(C$2=$AA347,$AC347,IF(C$2=$AF347,$AG347,0))))</f>
        <v/>
      </c>
      <c r="P347">
        <f>IF(D346&lt;=0,0,MIN(AI347,D$7+IF(D$2=$AA347,$AC347,IF(D$2=$AF347,$AG347,0))))</f>
        <v/>
      </c>
      <c r="Q347">
        <f>IF(E346&lt;=0,0,MIN(AJ347,E$7+IF(E$2=$AA347,$AC347,IF(E$2=$AF347,$AG347,0))))</f>
        <v/>
      </c>
      <c r="R347">
        <f>IF(F346&lt;=0,0,MIN(AK347,F$7+IF(F$2=$AA347,$AC347,IF(F$2=$AF347,$AG347,0))))</f>
        <v/>
      </c>
      <c r="S347">
        <f>IF(G346&lt;=0,0,MIN(AL347,G$7+IF(G$2=$AA347,$AC347,IF(G$2=$AF347,$AG347,0))))</f>
        <v/>
      </c>
      <c r="T347">
        <f>IF(H346&lt;=0,0,MIN(AM347,H$7+IF(H$2=$AA347,$AC347,IF(H$2=$AF347,$AG347,0))))</f>
        <v/>
      </c>
      <c r="U347">
        <f>IF(I346&lt;=0,0,MIN(AN347,I$7+IF(I$2=$AA347,$AC347,IF(I$2=$AF347,$AG347,0))))</f>
        <v/>
      </c>
      <c r="V347">
        <f>IF(J346&lt;=0,0,MIN(AO347,J$7+IF(J$2=$AA347,$AC347,IF(J$2=$AF347,$AG347,0))))</f>
        <v/>
      </c>
      <c r="W347">
        <f>IF(K346&lt;=0,0,MIN(AP347,K$7+IF(K$2=$AA347,$AC347,IF(K$2=$AF347,$AG347,0))))</f>
        <v/>
      </c>
      <c r="X347">
        <f>IF(L346&lt;=0,0,MIN(AQ347,L$7+IF(L$2=$AA347,$AC347,IF(L$2=$AF347,$AG347,0))))</f>
        <v/>
      </c>
      <c r="Y347">
        <f>IF(M346&lt;=0,0,MIN(AR347,M$7+IF(M$2=$AA347,$AC347,IF(M$2=$AF347,$AG347,0))))</f>
        <v/>
      </c>
      <c r="Z347">
        <f>IF(N346&lt;=0,0,MIN(AS347,N$7+IF(N$2=$AA347,$AC347,IF(N$2=$AF347,$AG347,0))))</f>
        <v/>
      </c>
      <c r="AA347">
        <f>IFERROR(ROUND(1/SUMPRODUCT(MAX((C346:N346&gt;0)*($C$3:$N$3&lt;=B347)/$C$2:$N$2)),0),0)</f>
        <v/>
      </c>
      <c r="AB347">
        <f>SUMPRODUCT((C346:N346&gt;0)*$C$7:$N$7)</f>
        <v/>
      </c>
      <c r="AC347">
        <f>MAX(0,Plan!$C$5-AB347)+IF(A347=Plan!$C$8,N(Plan!$C$7),0)</f>
        <v/>
      </c>
      <c r="AD347">
        <f>SUM(C347:N347)</f>
        <v/>
      </c>
      <c r="AE347">
        <f>SUM(O347:Z347)</f>
        <v/>
      </c>
      <c r="AF347">
        <f>IFERROR(ROUND(1/SUMPRODUCT(MAX((C346:N346&gt;0)*($C$3:$N$3&lt;=B347)*($C$2:$N$2&gt;AA347)/$C$2:$N$2)),0),0)</f>
        <v/>
      </c>
      <c r="AG347">
        <f>MAX(0,AC347-MAX(0,SUMPRODUCT(($C$2:$N$2=AA347)*(AH347:AS347-$C$7:$N$7))))</f>
        <v/>
      </c>
      <c r="AH347">
        <f>IF(C346&lt;=0,0,ROUND(C346*(1+IF(AND(C$6&gt;0,$B347&lt;C$6),C$4,C$5)/12),2))</f>
        <v/>
      </c>
      <c r="AI347">
        <f>IF(D346&lt;=0,0,ROUND(D346*(1+IF(AND(D$6&gt;0,$B347&lt;D$6),D$4,D$5)/12),2))</f>
        <v/>
      </c>
      <c r="AJ347">
        <f>IF(E346&lt;=0,0,ROUND(E346*(1+IF(AND(E$6&gt;0,$B347&lt;E$6),E$4,E$5)/12),2))</f>
        <v/>
      </c>
      <c r="AK347">
        <f>IF(F346&lt;=0,0,ROUND(F346*(1+IF(AND(F$6&gt;0,$B347&lt;F$6),F$4,F$5)/12),2))</f>
        <v/>
      </c>
      <c r="AL347">
        <f>IF(G346&lt;=0,0,ROUND(G346*(1+IF(AND(G$6&gt;0,$B347&lt;G$6),G$4,G$5)/12),2))</f>
        <v/>
      </c>
      <c r="AM347">
        <f>IF(H346&lt;=0,0,ROUND(H346*(1+IF(AND(H$6&gt;0,$B347&lt;H$6),H$4,H$5)/12),2))</f>
        <v/>
      </c>
      <c r="AN347">
        <f>IF(I346&lt;=0,0,ROUND(I346*(1+IF(AND(I$6&gt;0,$B347&lt;I$6),I$4,I$5)/12),2))</f>
        <v/>
      </c>
      <c r="AO347">
        <f>IF(J346&lt;=0,0,ROUND(J346*(1+IF(AND(J$6&gt;0,$B347&lt;J$6),J$4,J$5)/12),2))</f>
        <v/>
      </c>
      <c r="AP347">
        <f>IF(K346&lt;=0,0,ROUND(K346*(1+IF(AND(K$6&gt;0,$B347&lt;K$6),K$4,K$5)/12),2))</f>
        <v/>
      </c>
      <c r="AQ347">
        <f>IF(L346&lt;=0,0,ROUND(L346*(1+IF(AND(L$6&gt;0,$B347&lt;L$6),L$4,L$5)/12),2))</f>
        <v/>
      </c>
      <c r="AR347">
        <f>IF(M346&lt;=0,0,ROUND(M346*(1+IF(AND(M$6&gt;0,$B347&lt;M$6),M$4,M$5)/12),2))</f>
        <v/>
      </c>
      <c r="AS347">
        <f>IF(N346&lt;=0,0,ROUND(N346*(1+IF(AND(N$6&gt;0,$B347&lt;N$6),N$4,N$5)/12),2))</f>
        <v/>
      </c>
    </row>
    <row r="348">
      <c r="A348" t="n">
        <v>337</v>
      </c>
      <c r="B348">
        <f>EDATE(Plan!$C$6,336)</f>
        <v/>
      </c>
      <c r="C348">
        <f>IF(C347&lt;=0,0,MAX(0,AH348-O348))</f>
        <v/>
      </c>
      <c r="D348">
        <f>IF(D347&lt;=0,0,MAX(0,AI348-P348))</f>
        <v/>
      </c>
      <c r="E348">
        <f>IF(E347&lt;=0,0,MAX(0,AJ348-Q348))</f>
        <v/>
      </c>
      <c r="F348">
        <f>IF(F347&lt;=0,0,MAX(0,AK348-R348))</f>
        <v/>
      </c>
      <c r="G348">
        <f>IF(G347&lt;=0,0,MAX(0,AL348-S348))</f>
        <v/>
      </c>
      <c r="H348">
        <f>IF(H347&lt;=0,0,MAX(0,AM348-T348))</f>
        <v/>
      </c>
      <c r="I348">
        <f>IF(I347&lt;=0,0,MAX(0,AN348-U348))</f>
        <v/>
      </c>
      <c r="J348">
        <f>IF(J347&lt;=0,0,MAX(0,AO348-V348))</f>
        <v/>
      </c>
      <c r="K348">
        <f>IF(K347&lt;=0,0,MAX(0,AP348-W348))</f>
        <v/>
      </c>
      <c r="L348">
        <f>IF(L347&lt;=0,0,MAX(0,AQ348-X348))</f>
        <v/>
      </c>
      <c r="M348">
        <f>IF(M347&lt;=0,0,MAX(0,AR348-Y348))</f>
        <v/>
      </c>
      <c r="N348">
        <f>IF(N347&lt;=0,0,MAX(0,AS348-Z348))</f>
        <v/>
      </c>
      <c r="O348">
        <f>IF(C347&lt;=0,0,MIN(AH348,C$7+IF(C$2=$AA348,$AC348,IF(C$2=$AF348,$AG348,0))))</f>
        <v/>
      </c>
      <c r="P348">
        <f>IF(D347&lt;=0,0,MIN(AI348,D$7+IF(D$2=$AA348,$AC348,IF(D$2=$AF348,$AG348,0))))</f>
        <v/>
      </c>
      <c r="Q348">
        <f>IF(E347&lt;=0,0,MIN(AJ348,E$7+IF(E$2=$AA348,$AC348,IF(E$2=$AF348,$AG348,0))))</f>
        <v/>
      </c>
      <c r="R348">
        <f>IF(F347&lt;=0,0,MIN(AK348,F$7+IF(F$2=$AA348,$AC348,IF(F$2=$AF348,$AG348,0))))</f>
        <v/>
      </c>
      <c r="S348">
        <f>IF(G347&lt;=0,0,MIN(AL348,G$7+IF(G$2=$AA348,$AC348,IF(G$2=$AF348,$AG348,0))))</f>
        <v/>
      </c>
      <c r="T348">
        <f>IF(H347&lt;=0,0,MIN(AM348,H$7+IF(H$2=$AA348,$AC348,IF(H$2=$AF348,$AG348,0))))</f>
        <v/>
      </c>
      <c r="U348">
        <f>IF(I347&lt;=0,0,MIN(AN348,I$7+IF(I$2=$AA348,$AC348,IF(I$2=$AF348,$AG348,0))))</f>
        <v/>
      </c>
      <c r="V348">
        <f>IF(J347&lt;=0,0,MIN(AO348,J$7+IF(J$2=$AA348,$AC348,IF(J$2=$AF348,$AG348,0))))</f>
        <v/>
      </c>
      <c r="W348">
        <f>IF(K347&lt;=0,0,MIN(AP348,K$7+IF(K$2=$AA348,$AC348,IF(K$2=$AF348,$AG348,0))))</f>
        <v/>
      </c>
      <c r="X348">
        <f>IF(L347&lt;=0,0,MIN(AQ348,L$7+IF(L$2=$AA348,$AC348,IF(L$2=$AF348,$AG348,0))))</f>
        <v/>
      </c>
      <c r="Y348">
        <f>IF(M347&lt;=0,0,MIN(AR348,M$7+IF(M$2=$AA348,$AC348,IF(M$2=$AF348,$AG348,0))))</f>
        <v/>
      </c>
      <c r="Z348">
        <f>IF(N347&lt;=0,0,MIN(AS348,N$7+IF(N$2=$AA348,$AC348,IF(N$2=$AF348,$AG348,0))))</f>
        <v/>
      </c>
      <c r="AA348">
        <f>IFERROR(ROUND(1/SUMPRODUCT(MAX((C347:N347&gt;0)*($C$3:$N$3&lt;=B348)/$C$2:$N$2)),0),0)</f>
        <v/>
      </c>
      <c r="AB348">
        <f>SUMPRODUCT((C347:N347&gt;0)*$C$7:$N$7)</f>
        <v/>
      </c>
      <c r="AC348">
        <f>MAX(0,Plan!$C$5-AB348)+IF(A348=Plan!$C$8,N(Plan!$C$7),0)</f>
        <v/>
      </c>
      <c r="AD348">
        <f>SUM(C348:N348)</f>
        <v/>
      </c>
      <c r="AE348">
        <f>SUM(O348:Z348)</f>
        <v/>
      </c>
      <c r="AF348">
        <f>IFERROR(ROUND(1/SUMPRODUCT(MAX((C347:N347&gt;0)*($C$3:$N$3&lt;=B348)*($C$2:$N$2&gt;AA348)/$C$2:$N$2)),0),0)</f>
        <v/>
      </c>
      <c r="AG348">
        <f>MAX(0,AC348-MAX(0,SUMPRODUCT(($C$2:$N$2=AA348)*(AH348:AS348-$C$7:$N$7))))</f>
        <v/>
      </c>
      <c r="AH348">
        <f>IF(C347&lt;=0,0,ROUND(C347*(1+IF(AND(C$6&gt;0,$B348&lt;C$6),C$4,C$5)/12),2))</f>
        <v/>
      </c>
      <c r="AI348">
        <f>IF(D347&lt;=0,0,ROUND(D347*(1+IF(AND(D$6&gt;0,$B348&lt;D$6),D$4,D$5)/12),2))</f>
        <v/>
      </c>
      <c r="AJ348">
        <f>IF(E347&lt;=0,0,ROUND(E347*(1+IF(AND(E$6&gt;0,$B348&lt;E$6),E$4,E$5)/12),2))</f>
        <v/>
      </c>
      <c r="AK348">
        <f>IF(F347&lt;=0,0,ROUND(F347*(1+IF(AND(F$6&gt;0,$B348&lt;F$6),F$4,F$5)/12),2))</f>
        <v/>
      </c>
      <c r="AL348">
        <f>IF(G347&lt;=0,0,ROUND(G347*(1+IF(AND(G$6&gt;0,$B348&lt;G$6),G$4,G$5)/12),2))</f>
        <v/>
      </c>
      <c r="AM348">
        <f>IF(H347&lt;=0,0,ROUND(H347*(1+IF(AND(H$6&gt;0,$B348&lt;H$6),H$4,H$5)/12),2))</f>
        <v/>
      </c>
      <c r="AN348">
        <f>IF(I347&lt;=0,0,ROUND(I347*(1+IF(AND(I$6&gt;0,$B348&lt;I$6),I$4,I$5)/12),2))</f>
        <v/>
      </c>
      <c r="AO348">
        <f>IF(J347&lt;=0,0,ROUND(J347*(1+IF(AND(J$6&gt;0,$B348&lt;J$6),J$4,J$5)/12),2))</f>
        <v/>
      </c>
      <c r="AP348">
        <f>IF(K347&lt;=0,0,ROUND(K347*(1+IF(AND(K$6&gt;0,$B348&lt;K$6),K$4,K$5)/12),2))</f>
        <v/>
      </c>
      <c r="AQ348">
        <f>IF(L347&lt;=0,0,ROUND(L347*(1+IF(AND(L$6&gt;0,$B348&lt;L$6),L$4,L$5)/12),2))</f>
        <v/>
      </c>
      <c r="AR348">
        <f>IF(M347&lt;=0,0,ROUND(M347*(1+IF(AND(M$6&gt;0,$B348&lt;M$6),M$4,M$5)/12),2))</f>
        <v/>
      </c>
      <c r="AS348">
        <f>IF(N347&lt;=0,0,ROUND(N347*(1+IF(AND(N$6&gt;0,$B348&lt;N$6),N$4,N$5)/12),2))</f>
        <v/>
      </c>
    </row>
    <row r="349">
      <c r="A349" t="n">
        <v>338</v>
      </c>
      <c r="B349">
        <f>EDATE(Plan!$C$6,337)</f>
        <v/>
      </c>
      <c r="C349">
        <f>IF(C348&lt;=0,0,MAX(0,AH349-O349))</f>
        <v/>
      </c>
      <c r="D349">
        <f>IF(D348&lt;=0,0,MAX(0,AI349-P349))</f>
        <v/>
      </c>
      <c r="E349">
        <f>IF(E348&lt;=0,0,MAX(0,AJ349-Q349))</f>
        <v/>
      </c>
      <c r="F349">
        <f>IF(F348&lt;=0,0,MAX(0,AK349-R349))</f>
        <v/>
      </c>
      <c r="G349">
        <f>IF(G348&lt;=0,0,MAX(0,AL349-S349))</f>
        <v/>
      </c>
      <c r="H349">
        <f>IF(H348&lt;=0,0,MAX(0,AM349-T349))</f>
        <v/>
      </c>
      <c r="I349">
        <f>IF(I348&lt;=0,0,MAX(0,AN349-U349))</f>
        <v/>
      </c>
      <c r="J349">
        <f>IF(J348&lt;=0,0,MAX(0,AO349-V349))</f>
        <v/>
      </c>
      <c r="K349">
        <f>IF(K348&lt;=0,0,MAX(0,AP349-W349))</f>
        <v/>
      </c>
      <c r="L349">
        <f>IF(L348&lt;=0,0,MAX(0,AQ349-X349))</f>
        <v/>
      </c>
      <c r="M349">
        <f>IF(M348&lt;=0,0,MAX(0,AR349-Y349))</f>
        <v/>
      </c>
      <c r="N349">
        <f>IF(N348&lt;=0,0,MAX(0,AS349-Z349))</f>
        <v/>
      </c>
      <c r="O349">
        <f>IF(C348&lt;=0,0,MIN(AH349,C$7+IF(C$2=$AA349,$AC349,IF(C$2=$AF349,$AG349,0))))</f>
        <v/>
      </c>
      <c r="P349">
        <f>IF(D348&lt;=0,0,MIN(AI349,D$7+IF(D$2=$AA349,$AC349,IF(D$2=$AF349,$AG349,0))))</f>
        <v/>
      </c>
      <c r="Q349">
        <f>IF(E348&lt;=0,0,MIN(AJ349,E$7+IF(E$2=$AA349,$AC349,IF(E$2=$AF349,$AG349,0))))</f>
        <v/>
      </c>
      <c r="R349">
        <f>IF(F348&lt;=0,0,MIN(AK349,F$7+IF(F$2=$AA349,$AC349,IF(F$2=$AF349,$AG349,0))))</f>
        <v/>
      </c>
      <c r="S349">
        <f>IF(G348&lt;=0,0,MIN(AL349,G$7+IF(G$2=$AA349,$AC349,IF(G$2=$AF349,$AG349,0))))</f>
        <v/>
      </c>
      <c r="T349">
        <f>IF(H348&lt;=0,0,MIN(AM349,H$7+IF(H$2=$AA349,$AC349,IF(H$2=$AF349,$AG349,0))))</f>
        <v/>
      </c>
      <c r="U349">
        <f>IF(I348&lt;=0,0,MIN(AN349,I$7+IF(I$2=$AA349,$AC349,IF(I$2=$AF349,$AG349,0))))</f>
        <v/>
      </c>
      <c r="V349">
        <f>IF(J348&lt;=0,0,MIN(AO349,J$7+IF(J$2=$AA349,$AC349,IF(J$2=$AF349,$AG349,0))))</f>
        <v/>
      </c>
      <c r="W349">
        <f>IF(K348&lt;=0,0,MIN(AP349,K$7+IF(K$2=$AA349,$AC349,IF(K$2=$AF349,$AG349,0))))</f>
        <v/>
      </c>
      <c r="X349">
        <f>IF(L348&lt;=0,0,MIN(AQ349,L$7+IF(L$2=$AA349,$AC349,IF(L$2=$AF349,$AG349,0))))</f>
        <v/>
      </c>
      <c r="Y349">
        <f>IF(M348&lt;=0,0,MIN(AR349,M$7+IF(M$2=$AA349,$AC349,IF(M$2=$AF349,$AG349,0))))</f>
        <v/>
      </c>
      <c r="Z349">
        <f>IF(N348&lt;=0,0,MIN(AS349,N$7+IF(N$2=$AA349,$AC349,IF(N$2=$AF349,$AG349,0))))</f>
        <v/>
      </c>
      <c r="AA349">
        <f>IFERROR(ROUND(1/SUMPRODUCT(MAX((C348:N348&gt;0)*($C$3:$N$3&lt;=B349)/$C$2:$N$2)),0),0)</f>
        <v/>
      </c>
      <c r="AB349">
        <f>SUMPRODUCT((C348:N348&gt;0)*$C$7:$N$7)</f>
        <v/>
      </c>
      <c r="AC349">
        <f>MAX(0,Plan!$C$5-AB349)+IF(A349=Plan!$C$8,N(Plan!$C$7),0)</f>
        <v/>
      </c>
      <c r="AD349">
        <f>SUM(C349:N349)</f>
        <v/>
      </c>
      <c r="AE349">
        <f>SUM(O349:Z349)</f>
        <v/>
      </c>
      <c r="AF349">
        <f>IFERROR(ROUND(1/SUMPRODUCT(MAX((C348:N348&gt;0)*($C$3:$N$3&lt;=B349)*($C$2:$N$2&gt;AA349)/$C$2:$N$2)),0),0)</f>
        <v/>
      </c>
      <c r="AG349">
        <f>MAX(0,AC349-MAX(0,SUMPRODUCT(($C$2:$N$2=AA349)*(AH349:AS349-$C$7:$N$7))))</f>
        <v/>
      </c>
      <c r="AH349">
        <f>IF(C348&lt;=0,0,ROUND(C348*(1+IF(AND(C$6&gt;0,$B349&lt;C$6),C$4,C$5)/12),2))</f>
        <v/>
      </c>
      <c r="AI349">
        <f>IF(D348&lt;=0,0,ROUND(D348*(1+IF(AND(D$6&gt;0,$B349&lt;D$6),D$4,D$5)/12),2))</f>
        <v/>
      </c>
      <c r="AJ349">
        <f>IF(E348&lt;=0,0,ROUND(E348*(1+IF(AND(E$6&gt;0,$B349&lt;E$6),E$4,E$5)/12),2))</f>
        <v/>
      </c>
      <c r="AK349">
        <f>IF(F348&lt;=0,0,ROUND(F348*(1+IF(AND(F$6&gt;0,$B349&lt;F$6),F$4,F$5)/12),2))</f>
        <v/>
      </c>
      <c r="AL349">
        <f>IF(G348&lt;=0,0,ROUND(G348*(1+IF(AND(G$6&gt;0,$B349&lt;G$6),G$4,G$5)/12),2))</f>
        <v/>
      </c>
      <c r="AM349">
        <f>IF(H348&lt;=0,0,ROUND(H348*(1+IF(AND(H$6&gt;0,$B349&lt;H$6),H$4,H$5)/12),2))</f>
        <v/>
      </c>
      <c r="AN349">
        <f>IF(I348&lt;=0,0,ROUND(I348*(1+IF(AND(I$6&gt;0,$B349&lt;I$6),I$4,I$5)/12),2))</f>
        <v/>
      </c>
      <c r="AO349">
        <f>IF(J348&lt;=0,0,ROUND(J348*(1+IF(AND(J$6&gt;0,$B349&lt;J$6),J$4,J$5)/12),2))</f>
        <v/>
      </c>
      <c r="AP349">
        <f>IF(K348&lt;=0,0,ROUND(K348*(1+IF(AND(K$6&gt;0,$B349&lt;K$6),K$4,K$5)/12),2))</f>
        <v/>
      </c>
      <c r="AQ349">
        <f>IF(L348&lt;=0,0,ROUND(L348*(1+IF(AND(L$6&gt;0,$B349&lt;L$6),L$4,L$5)/12),2))</f>
        <v/>
      </c>
      <c r="AR349">
        <f>IF(M348&lt;=0,0,ROUND(M348*(1+IF(AND(M$6&gt;0,$B349&lt;M$6),M$4,M$5)/12),2))</f>
        <v/>
      </c>
      <c r="AS349">
        <f>IF(N348&lt;=0,0,ROUND(N348*(1+IF(AND(N$6&gt;0,$B349&lt;N$6),N$4,N$5)/12),2))</f>
        <v/>
      </c>
    </row>
    <row r="350">
      <c r="A350" t="n">
        <v>339</v>
      </c>
      <c r="B350">
        <f>EDATE(Plan!$C$6,338)</f>
        <v/>
      </c>
      <c r="C350">
        <f>IF(C349&lt;=0,0,MAX(0,AH350-O350))</f>
        <v/>
      </c>
      <c r="D350">
        <f>IF(D349&lt;=0,0,MAX(0,AI350-P350))</f>
        <v/>
      </c>
      <c r="E350">
        <f>IF(E349&lt;=0,0,MAX(0,AJ350-Q350))</f>
        <v/>
      </c>
      <c r="F350">
        <f>IF(F349&lt;=0,0,MAX(0,AK350-R350))</f>
        <v/>
      </c>
      <c r="G350">
        <f>IF(G349&lt;=0,0,MAX(0,AL350-S350))</f>
        <v/>
      </c>
      <c r="H350">
        <f>IF(H349&lt;=0,0,MAX(0,AM350-T350))</f>
        <v/>
      </c>
      <c r="I350">
        <f>IF(I349&lt;=0,0,MAX(0,AN350-U350))</f>
        <v/>
      </c>
      <c r="J350">
        <f>IF(J349&lt;=0,0,MAX(0,AO350-V350))</f>
        <v/>
      </c>
      <c r="K350">
        <f>IF(K349&lt;=0,0,MAX(0,AP350-W350))</f>
        <v/>
      </c>
      <c r="L350">
        <f>IF(L349&lt;=0,0,MAX(0,AQ350-X350))</f>
        <v/>
      </c>
      <c r="M350">
        <f>IF(M349&lt;=0,0,MAX(0,AR350-Y350))</f>
        <v/>
      </c>
      <c r="N350">
        <f>IF(N349&lt;=0,0,MAX(0,AS350-Z350))</f>
        <v/>
      </c>
      <c r="O350">
        <f>IF(C349&lt;=0,0,MIN(AH350,C$7+IF(C$2=$AA350,$AC350,IF(C$2=$AF350,$AG350,0))))</f>
        <v/>
      </c>
      <c r="P350">
        <f>IF(D349&lt;=0,0,MIN(AI350,D$7+IF(D$2=$AA350,$AC350,IF(D$2=$AF350,$AG350,0))))</f>
        <v/>
      </c>
      <c r="Q350">
        <f>IF(E349&lt;=0,0,MIN(AJ350,E$7+IF(E$2=$AA350,$AC350,IF(E$2=$AF350,$AG350,0))))</f>
        <v/>
      </c>
      <c r="R350">
        <f>IF(F349&lt;=0,0,MIN(AK350,F$7+IF(F$2=$AA350,$AC350,IF(F$2=$AF350,$AG350,0))))</f>
        <v/>
      </c>
      <c r="S350">
        <f>IF(G349&lt;=0,0,MIN(AL350,G$7+IF(G$2=$AA350,$AC350,IF(G$2=$AF350,$AG350,0))))</f>
        <v/>
      </c>
      <c r="T350">
        <f>IF(H349&lt;=0,0,MIN(AM350,H$7+IF(H$2=$AA350,$AC350,IF(H$2=$AF350,$AG350,0))))</f>
        <v/>
      </c>
      <c r="U350">
        <f>IF(I349&lt;=0,0,MIN(AN350,I$7+IF(I$2=$AA350,$AC350,IF(I$2=$AF350,$AG350,0))))</f>
        <v/>
      </c>
      <c r="V350">
        <f>IF(J349&lt;=0,0,MIN(AO350,J$7+IF(J$2=$AA350,$AC350,IF(J$2=$AF350,$AG350,0))))</f>
        <v/>
      </c>
      <c r="W350">
        <f>IF(K349&lt;=0,0,MIN(AP350,K$7+IF(K$2=$AA350,$AC350,IF(K$2=$AF350,$AG350,0))))</f>
        <v/>
      </c>
      <c r="X350">
        <f>IF(L349&lt;=0,0,MIN(AQ350,L$7+IF(L$2=$AA350,$AC350,IF(L$2=$AF350,$AG350,0))))</f>
        <v/>
      </c>
      <c r="Y350">
        <f>IF(M349&lt;=0,0,MIN(AR350,M$7+IF(M$2=$AA350,$AC350,IF(M$2=$AF350,$AG350,0))))</f>
        <v/>
      </c>
      <c r="Z350">
        <f>IF(N349&lt;=0,0,MIN(AS350,N$7+IF(N$2=$AA350,$AC350,IF(N$2=$AF350,$AG350,0))))</f>
        <v/>
      </c>
      <c r="AA350">
        <f>IFERROR(ROUND(1/SUMPRODUCT(MAX((C349:N349&gt;0)*($C$3:$N$3&lt;=B350)/$C$2:$N$2)),0),0)</f>
        <v/>
      </c>
      <c r="AB350">
        <f>SUMPRODUCT((C349:N349&gt;0)*$C$7:$N$7)</f>
        <v/>
      </c>
      <c r="AC350">
        <f>MAX(0,Plan!$C$5-AB350)+IF(A350=Plan!$C$8,N(Plan!$C$7),0)</f>
        <v/>
      </c>
      <c r="AD350">
        <f>SUM(C350:N350)</f>
        <v/>
      </c>
      <c r="AE350">
        <f>SUM(O350:Z350)</f>
        <v/>
      </c>
      <c r="AF350">
        <f>IFERROR(ROUND(1/SUMPRODUCT(MAX((C349:N349&gt;0)*($C$3:$N$3&lt;=B350)*($C$2:$N$2&gt;AA350)/$C$2:$N$2)),0),0)</f>
        <v/>
      </c>
      <c r="AG350">
        <f>MAX(0,AC350-MAX(0,SUMPRODUCT(($C$2:$N$2=AA350)*(AH350:AS350-$C$7:$N$7))))</f>
        <v/>
      </c>
      <c r="AH350">
        <f>IF(C349&lt;=0,0,ROUND(C349*(1+IF(AND(C$6&gt;0,$B350&lt;C$6),C$4,C$5)/12),2))</f>
        <v/>
      </c>
      <c r="AI350">
        <f>IF(D349&lt;=0,0,ROUND(D349*(1+IF(AND(D$6&gt;0,$B350&lt;D$6),D$4,D$5)/12),2))</f>
        <v/>
      </c>
      <c r="AJ350">
        <f>IF(E349&lt;=0,0,ROUND(E349*(1+IF(AND(E$6&gt;0,$B350&lt;E$6),E$4,E$5)/12),2))</f>
        <v/>
      </c>
      <c r="AK350">
        <f>IF(F349&lt;=0,0,ROUND(F349*(1+IF(AND(F$6&gt;0,$B350&lt;F$6),F$4,F$5)/12),2))</f>
        <v/>
      </c>
      <c r="AL350">
        <f>IF(G349&lt;=0,0,ROUND(G349*(1+IF(AND(G$6&gt;0,$B350&lt;G$6),G$4,G$5)/12),2))</f>
        <v/>
      </c>
      <c r="AM350">
        <f>IF(H349&lt;=0,0,ROUND(H349*(1+IF(AND(H$6&gt;0,$B350&lt;H$6),H$4,H$5)/12),2))</f>
        <v/>
      </c>
      <c r="AN350">
        <f>IF(I349&lt;=0,0,ROUND(I349*(1+IF(AND(I$6&gt;0,$B350&lt;I$6),I$4,I$5)/12),2))</f>
        <v/>
      </c>
      <c r="AO350">
        <f>IF(J349&lt;=0,0,ROUND(J349*(1+IF(AND(J$6&gt;0,$B350&lt;J$6),J$4,J$5)/12),2))</f>
        <v/>
      </c>
      <c r="AP350">
        <f>IF(K349&lt;=0,0,ROUND(K349*(1+IF(AND(K$6&gt;0,$B350&lt;K$6),K$4,K$5)/12),2))</f>
        <v/>
      </c>
      <c r="AQ350">
        <f>IF(L349&lt;=0,0,ROUND(L349*(1+IF(AND(L$6&gt;0,$B350&lt;L$6),L$4,L$5)/12),2))</f>
        <v/>
      </c>
      <c r="AR350">
        <f>IF(M349&lt;=0,0,ROUND(M349*(1+IF(AND(M$6&gt;0,$B350&lt;M$6),M$4,M$5)/12),2))</f>
        <v/>
      </c>
      <c r="AS350">
        <f>IF(N349&lt;=0,0,ROUND(N349*(1+IF(AND(N$6&gt;0,$B350&lt;N$6),N$4,N$5)/12),2))</f>
        <v/>
      </c>
    </row>
    <row r="351">
      <c r="A351" t="n">
        <v>340</v>
      </c>
      <c r="B351">
        <f>EDATE(Plan!$C$6,339)</f>
        <v/>
      </c>
      <c r="C351">
        <f>IF(C350&lt;=0,0,MAX(0,AH351-O351))</f>
        <v/>
      </c>
      <c r="D351">
        <f>IF(D350&lt;=0,0,MAX(0,AI351-P351))</f>
        <v/>
      </c>
      <c r="E351">
        <f>IF(E350&lt;=0,0,MAX(0,AJ351-Q351))</f>
        <v/>
      </c>
      <c r="F351">
        <f>IF(F350&lt;=0,0,MAX(0,AK351-R351))</f>
        <v/>
      </c>
      <c r="G351">
        <f>IF(G350&lt;=0,0,MAX(0,AL351-S351))</f>
        <v/>
      </c>
      <c r="H351">
        <f>IF(H350&lt;=0,0,MAX(0,AM351-T351))</f>
        <v/>
      </c>
      <c r="I351">
        <f>IF(I350&lt;=0,0,MAX(0,AN351-U351))</f>
        <v/>
      </c>
      <c r="J351">
        <f>IF(J350&lt;=0,0,MAX(0,AO351-V351))</f>
        <v/>
      </c>
      <c r="K351">
        <f>IF(K350&lt;=0,0,MAX(0,AP351-W351))</f>
        <v/>
      </c>
      <c r="L351">
        <f>IF(L350&lt;=0,0,MAX(0,AQ351-X351))</f>
        <v/>
      </c>
      <c r="M351">
        <f>IF(M350&lt;=0,0,MAX(0,AR351-Y351))</f>
        <v/>
      </c>
      <c r="N351">
        <f>IF(N350&lt;=0,0,MAX(0,AS351-Z351))</f>
        <v/>
      </c>
      <c r="O351">
        <f>IF(C350&lt;=0,0,MIN(AH351,C$7+IF(C$2=$AA351,$AC351,IF(C$2=$AF351,$AG351,0))))</f>
        <v/>
      </c>
      <c r="P351">
        <f>IF(D350&lt;=0,0,MIN(AI351,D$7+IF(D$2=$AA351,$AC351,IF(D$2=$AF351,$AG351,0))))</f>
        <v/>
      </c>
      <c r="Q351">
        <f>IF(E350&lt;=0,0,MIN(AJ351,E$7+IF(E$2=$AA351,$AC351,IF(E$2=$AF351,$AG351,0))))</f>
        <v/>
      </c>
      <c r="R351">
        <f>IF(F350&lt;=0,0,MIN(AK351,F$7+IF(F$2=$AA351,$AC351,IF(F$2=$AF351,$AG351,0))))</f>
        <v/>
      </c>
      <c r="S351">
        <f>IF(G350&lt;=0,0,MIN(AL351,G$7+IF(G$2=$AA351,$AC351,IF(G$2=$AF351,$AG351,0))))</f>
        <v/>
      </c>
      <c r="T351">
        <f>IF(H350&lt;=0,0,MIN(AM351,H$7+IF(H$2=$AA351,$AC351,IF(H$2=$AF351,$AG351,0))))</f>
        <v/>
      </c>
      <c r="U351">
        <f>IF(I350&lt;=0,0,MIN(AN351,I$7+IF(I$2=$AA351,$AC351,IF(I$2=$AF351,$AG351,0))))</f>
        <v/>
      </c>
      <c r="V351">
        <f>IF(J350&lt;=0,0,MIN(AO351,J$7+IF(J$2=$AA351,$AC351,IF(J$2=$AF351,$AG351,0))))</f>
        <v/>
      </c>
      <c r="W351">
        <f>IF(K350&lt;=0,0,MIN(AP351,K$7+IF(K$2=$AA351,$AC351,IF(K$2=$AF351,$AG351,0))))</f>
        <v/>
      </c>
      <c r="X351">
        <f>IF(L350&lt;=0,0,MIN(AQ351,L$7+IF(L$2=$AA351,$AC351,IF(L$2=$AF351,$AG351,0))))</f>
        <v/>
      </c>
      <c r="Y351">
        <f>IF(M350&lt;=0,0,MIN(AR351,M$7+IF(M$2=$AA351,$AC351,IF(M$2=$AF351,$AG351,0))))</f>
        <v/>
      </c>
      <c r="Z351">
        <f>IF(N350&lt;=0,0,MIN(AS351,N$7+IF(N$2=$AA351,$AC351,IF(N$2=$AF351,$AG351,0))))</f>
        <v/>
      </c>
      <c r="AA351">
        <f>IFERROR(ROUND(1/SUMPRODUCT(MAX((C350:N350&gt;0)*($C$3:$N$3&lt;=B351)/$C$2:$N$2)),0),0)</f>
        <v/>
      </c>
      <c r="AB351">
        <f>SUMPRODUCT((C350:N350&gt;0)*$C$7:$N$7)</f>
        <v/>
      </c>
      <c r="AC351">
        <f>MAX(0,Plan!$C$5-AB351)+IF(A351=Plan!$C$8,N(Plan!$C$7),0)</f>
        <v/>
      </c>
      <c r="AD351">
        <f>SUM(C351:N351)</f>
        <v/>
      </c>
      <c r="AE351">
        <f>SUM(O351:Z351)</f>
        <v/>
      </c>
      <c r="AF351">
        <f>IFERROR(ROUND(1/SUMPRODUCT(MAX((C350:N350&gt;0)*($C$3:$N$3&lt;=B351)*($C$2:$N$2&gt;AA351)/$C$2:$N$2)),0),0)</f>
        <v/>
      </c>
      <c r="AG351">
        <f>MAX(0,AC351-MAX(0,SUMPRODUCT(($C$2:$N$2=AA351)*(AH351:AS351-$C$7:$N$7))))</f>
        <v/>
      </c>
      <c r="AH351">
        <f>IF(C350&lt;=0,0,ROUND(C350*(1+IF(AND(C$6&gt;0,$B351&lt;C$6),C$4,C$5)/12),2))</f>
        <v/>
      </c>
      <c r="AI351">
        <f>IF(D350&lt;=0,0,ROUND(D350*(1+IF(AND(D$6&gt;0,$B351&lt;D$6),D$4,D$5)/12),2))</f>
        <v/>
      </c>
      <c r="AJ351">
        <f>IF(E350&lt;=0,0,ROUND(E350*(1+IF(AND(E$6&gt;0,$B351&lt;E$6),E$4,E$5)/12),2))</f>
        <v/>
      </c>
      <c r="AK351">
        <f>IF(F350&lt;=0,0,ROUND(F350*(1+IF(AND(F$6&gt;0,$B351&lt;F$6),F$4,F$5)/12),2))</f>
        <v/>
      </c>
      <c r="AL351">
        <f>IF(G350&lt;=0,0,ROUND(G350*(1+IF(AND(G$6&gt;0,$B351&lt;G$6),G$4,G$5)/12),2))</f>
        <v/>
      </c>
      <c r="AM351">
        <f>IF(H350&lt;=0,0,ROUND(H350*(1+IF(AND(H$6&gt;0,$B351&lt;H$6),H$4,H$5)/12),2))</f>
        <v/>
      </c>
      <c r="AN351">
        <f>IF(I350&lt;=0,0,ROUND(I350*(1+IF(AND(I$6&gt;0,$B351&lt;I$6),I$4,I$5)/12),2))</f>
        <v/>
      </c>
      <c r="AO351">
        <f>IF(J350&lt;=0,0,ROUND(J350*(1+IF(AND(J$6&gt;0,$B351&lt;J$6),J$4,J$5)/12),2))</f>
        <v/>
      </c>
      <c r="AP351">
        <f>IF(K350&lt;=0,0,ROUND(K350*(1+IF(AND(K$6&gt;0,$B351&lt;K$6),K$4,K$5)/12),2))</f>
        <v/>
      </c>
      <c r="AQ351">
        <f>IF(L350&lt;=0,0,ROUND(L350*(1+IF(AND(L$6&gt;0,$B351&lt;L$6),L$4,L$5)/12),2))</f>
        <v/>
      </c>
      <c r="AR351">
        <f>IF(M350&lt;=0,0,ROUND(M350*(1+IF(AND(M$6&gt;0,$B351&lt;M$6),M$4,M$5)/12),2))</f>
        <v/>
      </c>
      <c r="AS351">
        <f>IF(N350&lt;=0,0,ROUND(N350*(1+IF(AND(N$6&gt;0,$B351&lt;N$6),N$4,N$5)/12),2))</f>
        <v/>
      </c>
    </row>
    <row r="352">
      <c r="A352" t="n">
        <v>341</v>
      </c>
      <c r="B352">
        <f>EDATE(Plan!$C$6,340)</f>
        <v/>
      </c>
      <c r="C352">
        <f>IF(C351&lt;=0,0,MAX(0,AH352-O352))</f>
        <v/>
      </c>
      <c r="D352">
        <f>IF(D351&lt;=0,0,MAX(0,AI352-P352))</f>
        <v/>
      </c>
      <c r="E352">
        <f>IF(E351&lt;=0,0,MAX(0,AJ352-Q352))</f>
        <v/>
      </c>
      <c r="F352">
        <f>IF(F351&lt;=0,0,MAX(0,AK352-R352))</f>
        <v/>
      </c>
      <c r="G352">
        <f>IF(G351&lt;=0,0,MAX(0,AL352-S352))</f>
        <v/>
      </c>
      <c r="H352">
        <f>IF(H351&lt;=0,0,MAX(0,AM352-T352))</f>
        <v/>
      </c>
      <c r="I352">
        <f>IF(I351&lt;=0,0,MAX(0,AN352-U352))</f>
        <v/>
      </c>
      <c r="J352">
        <f>IF(J351&lt;=0,0,MAX(0,AO352-V352))</f>
        <v/>
      </c>
      <c r="K352">
        <f>IF(K351&lt;=0,0,MAX(0,AP352-W352))</f>
        <v/>
      </c>
      <c r="L352">
        <f>IF(L351&lt;=0,0,MAX(0,AQ352-X352))</f>
        <v/>
      </c>
      <c r="M352">
        <f>IF(M351&lt;=0,0,MAX(0,AR352-Y352))</f>
        <v/>
      </c>
      <c r="N352">
        <f>IF(N351&lt;=0,0,MAX(0,AS352-Z352))</f>
        <v/>
      </c>
      <c r="O352">
        <f>IF(C351&lt;=0,0,MIN(AH352,C$7+IF(C$2=$AA352,$AC352,IF(C$2=$AF352,$AG352,0))))</f>
        <v/>
      </c>
      <c r="P352">
        <f>IF(D351&lt;=0,0,MIN(AI352,D$7+IF(D$2=$AA352,$AC352,IF(D$2=$AF352,$AG352,0))))</f>
        <v/>
      </c>
      <c r="Q352">
        <f>IF(E351&lt;=0,0,MIN(AJ352,E$7+IF(E$2=$AA352,$AC352,IF(E$2=$AF352,$AG352,0))))</f>
        <v/>
      </c>
      <c r="R352">
        <f>IF(F351&lt;=0,0,MIN(AK352,F$7+IF(F$2=$AA352,$AC352,IF(F$2=$AF352,$AG352,0))))</f>
        <v/>
      </c>
      <c r="S352">
        <f>IF(G351&lt;=0,0,MIN(AL352,G$7+IF(G$2=$AA352,$AC352,IF(G$2=$AF352,$AG352,0))))</f>
        <v/>
      </c>
      <c r="T352">
        <f>IF(H351&lt;=0,0,MIN(AM352,H$7+IF(H$2=$AA352,$AC352,IF(H$2=$AF352,$AG352,0))))</f>
        <v/>
      </c>
      <c r="U352">
        <f>IF(I351&lt;=0,0,MIN(AN352,I$7+IF(I$2=$AA352,$AC352,IF(I$2=$AF352,$AG352,0))))</f>
        <v/>
      </c>
      <c r="V352">
        <f>IF(J351&lt;=0,0,MIN(AO352,J$7+IF(J$2=$AA352,$AC352,IF(J$2=$AF352,$AG352,0))))</f>
        <v/>
      </c>
      <c r="W352">
        <f>IF(K351&lt;=0,0,MIN(AP352,K$7+IF(K$2=$AA352,$AC352,IF(K$2=$AF352,$AG352,0))))</f>
        <v/>
      </c>
      <c r="X352">
        <f>IF(L351&lt;=0,0,MIN(AQ352,L$7+IF(L$2=$AA352,$AC352,IF(L$2=$AF352,$AG352,0))))</f>
        <v/>
      </c>
      <c r="Y352">
        <f>IF(M351&lt;=0,0,MIN(AR352,M$7+IF(M$2=$AA352,$AC352,IF(M$2=$AF352,$AG352,0))))</f>
        <v/>
      </c>
      <c r="Z352">
        <f>IF(N351&lt;=0,0,MIN(AS352,N$7+IF(N$2=$AA352,$AC352,IF(N$2=$AF352,$AG352,0))))</f>
        <v/>
      </c>
      <c r="AA352">
        <f>IFERROR(ROUND(1/SUMPRODUCT(MAX((C351:N351&gt;0)*($C$3:$N$3&lt;=B352)/$C$2:$N$2)),0),0)</f>
        <v/>
      </c>
      <c r="AB352">
        <f>SUMPRODUCT((C351:N351&gt;0)*$C$7:$N$7)</f>
        <v/>
      </c>
      <c r="AC352">
        <f>MAX(0,Plan!$C$5-AB352)+IF(A352=Plan!$C$8,N(Plan!$C$7),0)</f>
        <v/>
      </c>
      <c r="AD352">
        <f>SUM(C352:N352)</f>
        <v/>
      </c>
      <c r="AE352">
        <f>SUM(O352:Z352)</f>
        <v/>
      </c>
      <c r="AF352">
        <f>IFERROR(ROUND(1/SUMPRODUCT(MAX((C351:N351&gt;0)*($C$3:$N$3&lt;=B352)*($C$2:$N$2&gt;AA352)/$C$2:$N$2)),0),0)</f>
        <v/>
      </c>
      <c r="AG352">
        <f>MAX(0,AC352-MAX(0,SUMPRODUCT(($C$2:$N$2=AA352)*(AH352:AS352-$C$7:$N$7))))</f>
        <v/>
      </c>
      <c r="AH352">
        <f>IF(C351&lt;=0,0,ROUND(C351*(1+IF(AND(C$6&gt;0,$B352&lt;C$6),C$4,C$5)/12),2))</f>
        <v/>
      </c>
      <c r="AI352">
        <f>IF(D351&lt;=0,0,ROUND(D351*(1+IF(AND(D$6&gt;0,$B352&lt;D$6),D$4,D$5)/12),2))</f>
        <v/>
      </c>
      <c r="AJ352">
        <f>IF(E351&lt;=0,0,ROUND(E351*(1+IF(AND(E$6&gt;0,$B352&lt;E$6),E$4,E$5)/12),2))</f>
        <v/>
      </c>
      <c r="AK352">
        <f>IF(F351&lt;=0,0,ROUND(F351*(1+IF(AND(F$6&gt;0,$B352&lt;F$6),F$4,F$5)/12),2))</f>
        <v/>
      </c>
      <c r="AL352">
        <f>IF(G351&lt;=0,0,ROUND(G351*(1+IF(AND(G$6&gt;0,$B352&lt;G$6),G$4,G$5)/12),2))</f>
        <v/>
      </c>
      <c r="AM352">
        <f>IF(H351&lt;=0,0,ROUND(H351*(1+IF(AND(H$6&gt;0,$B352&lt;H$6),H$4,H$5)/12),2))</f>
        <v/>
      </c>
      <c r="AN352">
        <f>IF(I351&lt;=0,0,ROUND(I351*(1+IF(AND(I$6&gt;0,$B352&lt;I$6),I$4,I$5)/12),2))</f>
        <v/>
      </c>
      <c r="AO352">
        <f>IF(J351&lt;=0,0,ROUND(J351*(1+IF(AND(J$6&gt;0,$B352&lt;J$6),J$4,J$5)/12),2))</f>
        <v/>
      </c>
      <c r="AP352">
        <f>IF(K351&lt;=0,0,ROUND(K351*(1+IF(AND(K$6&gt;0,$B352&lt;K$6),K$4,K$5)/12),2))</f>
        <v/>
      </c>
      <c r="AQ352">
        <f>IF(L351&lt;=0,0,ROUND(L351*(1+IF(AND(L$6&gt;0,$B352&lt;L$6),L$4,L$5)/12),2))</f>
        <v/>
      </c>
      <c r="AR352">
        <f>IF(M351&lt;=0,0,ROUND(M351*(1+IF(AND(M$6&gt;0,$B352&lt;M$6),M$4,M$5)/12),2))</f>
        <v/>
      </c>
      <c r="AS352">
        <f>IF(N351&lt;=0,0,ROUND(N351*(1+IF(AND(N$6&gt;0,$B352&lt;N$6),N$4,N$5)/12),2))</f>
        <v/>
      </c>
    </row>
    <row r="353">
      <c r="A353" t="n">
        <v>342</v>
      </c>
      <c r="B353">
        <f>EDATE(Plan!$C$6,341)</f>
        <v/>
      </c>
      <c r="C353">
        <f>IF(C352&lt;=0,0,MAX(0,AH353-O353))</f>
        <v/>
      </c>
      <c r="D353">
        <f>IF(D352&lt;=0,0,MAX(0,AI353-P353))</f>
        <v/>
      </c>
      <c r="E353">
        <f>IF(E352&lt;=0,0,MAX(0,AJ353-Q353))</f>
        <v/>
      </c>
      <c r="F353">
        <f>IF(F352&lt;=0,0,MAX(0,AK353-R353))</f>
        <v/>
      </c>
      <c r="G353">
        <f>IF(G352&lt;=0,0,MAX(0,AL353-S353))</f>
        <v/>
      </c>
      <c r="H353">
        <f>IF(H352&lt;=0,0,MAX(0,AM353-T353))</f>
        <v/>
      </c>
      <c r="I353">
        <f>IF(I352&lt;=0,0,MAX(0,AN353-U353))</f>
        <v/>
      </c>
      <c r="J353">
        <f>IF(J352&lt;=0,0,MAX(0,AO353-V353))</f>
        <v/>
      </c>
      <c r="K353">
        <f>IF(K352&lt;=0,0,MAX(0,AP353-W353))</f>
        <v/>
      </c>
      <c r="L353">
        <f>IF(L352&lt;=0,0,MAX(0,AQ353-X353))</f>
        <v/>
      </c>
      <c r="M353">
        <f>IF(M352&lt;=0,0,MAX(0,AR353-Y353))</f>
        <v/>
      </c>
      <c r="N353">
        <f>IF(N352&lt;=0,0,MAX(0,AS353-Z353))</f>
        <v/>
      </c>
      <c r="O353">
        <f>IF(C352&lt;=0,0,MIN(AH353,C$7+IF(C$2=$AA353,$AC353,IF(C$2=$AF353,$AG353,0))))</f>
        <v/>
      </c>
      <c r="P353">
        <f>IF(D352&lt;=0,0,MIN(AI353,D$7+IF(D$2=$AA353,$AC353,IF(D$2=$AF353,$AG353,0))))</f>
        <v/>
      </c>
      <c r="Q353">
        <f>IF(E352&lt;=0,0,MIN(AJ353,E$7+IF(E$2=$AA353,$AC353,IF(E$2=$AF353,$AG353,0))))</f>
        <v/>
      </c>
      <c r="R353">
        <f>IF(F352&lt;=0,0,MIN(AK353,F$7+IF(F$2=$AA353,$AC353,IF(F$2=$AF353,$AG353,0))))</f>
        <v/>
      </c>
      <c r="S353">
        <f>IF(G352&lt;=0,0,MIN(AL353,G$7+IF(G$2=$AA353,$AC353,IF(G$2=$AF353,$AG353,0))))</f>
        <v/>
      </c>
      <c r="T353">
        <f>IF(H352&lt;=0,0,MIN(AM353,H$7+IF(H$2=$AA353,$AC353,IF(H$2=$AF353,$AG353,0))))</f>
        <v/>
      </c>
      <c r="U353">
        <f>IF(I352&lt;=0,0,MIN(AN353,I$7+IF(I$2=$AA353,$AC353,IF(I$2=$AF353,$AG353,0))))</f>
        <v/>
      </c>
      <c r="V353">
        <f>IF(J352&lt;=0,0,MIN(AO353,J$7+IF(J$2=$AA353,$AC353,IF(J$2=$AF353,$AG353,0))))</f>
        <v/>
      </c>
      <c r="W353">
        <f>IF(K352&lt;=0,0,MIN(AP353,K$7+IF(K$2=$AA353,$AC353,IF(K$2=$AF353,$AG353,0))))</f>
        <v/>
      </c>
      <c r="X353">
        <f>IF(L352&lt;=0,0,MIN(AQ353,L$7+IF(L$2=$AA353,$AC353,IF(L$2=$AF353,$AG353,0))))</f>
        <v/>
      </c>
      <c r="Y353">
        <f>IF(M352&lt;=0,0,MIN(AR353,M$7+IF(M$2=$AA353,$AC353,IF(M$2=$AF353,$AG353,0))))</f>
        <v/>
      </c>
      <c r="Z353">
        <f>IF(N352&lt;=0,0,MIN(AS353,N$7+IF(N$2=$AA353,$AC353,IF(N$2=$AF353,$AG353,0))))</f>
        <v/>
      </c>
      <c r="AA353">
        <f>IFERROR(ROUND(1/SUMPRODUCT(MAX((C352:N352&gt;0)*($C$3:$N$3&lt;=B353)/$C$2:$N$2)),0),0)</f>
        <v/>
      </c>
      <c r="AB353">
        <f>SUMPRODUCT((C352:N352&gt;0)*$C$7:$N$7)</f>
        <v/>
      </c>
      <c r="AC353">
        <f>MAX(0,Plan!$C$5-AB353)+IF(A353=Plan!$C$8,N(Plan!$C$7),0)</f>
        <v/>
      </c>
      <c r="AD353">
        <f>SUM(C353:N353)</f>
        <v/>
      </c>
      <c r="AE353">
        <f>SUM(O353:Z353)</f>
        <v/>
      </c>
      <c r="AF353">
        <f>IFERROR(ROUND(1/SUMPRODUCT(MAX((C352:N352&gt;0)*($C$3:$N$3&lt;=B353)*($C$2:$N$2&gt;AA353)/$C$2:$N$2)),0),0)</f>
        <v/>
      </c>
      <c r="AG353">
        <f>MAX(0,AC353-MAX(0,SUMPRODUCT(($C$2:$N$2=AA353)*(AH353:AS353-$C$7:$N$7))))</f>
        <v/>
      </c>
      <c r="AH353">
        <f>IF(C352&lt;=0,0,ROUND(C352*(1+IF(AND(C$6&gt;0,$B353&lt;C$6),C$4,C$5)/12),2))</f>
        <v/>
      </c>
      <c r="AI353">
        <f>IF(D352&lt;=0,0,ROUND(D352*(1+IF(AND(D$6&gt;0,$B353&lt;D$6),D$4,D$5)/12),2))</f>
        <v/>
      </c>
      <c r="AJ353">
        <f>IF(E352&lt;=0,0,ROUND(E352*(1+IF(AND(E$6&gt;0,$B353&lt;E$6),E$4,E$5)/12),2))</f>
        <v/>
      </c>
      <c r="AK353">
        <f>IF(F352&lt;=0,0,ROUND(F352*(1+IF(AND(F$6&gt;0,$B353&lt;F$6),F$4,F$5)/12),2))</f>
        <v/>
      </c>
      <c r="AL353">
        <f>IF(G352&lt;=0,0,ROUND(G352*(1+IF(AND(G$6&gt;0,$B353&lt;G$6),G$4,G$5)/12),2))</f>
        <v/>
      </c>
      <c r="AM353">
        <f>IF(H352&lt;=0,0,ROUND(H352*(1+IF(AND(H$6&gt;0,$B353&lt;H$6),H$4,H$5)/12),2))</f>
        <v/>
      </c>
      <c r="AN353">
        <f>IF(I352&lt;=0,0,ROUND(I352*(1+IF(AND(I$6&gt;0,$B353&lt;I$6),I$4,I$5)/12),2))</f>
        <v/>
      </c>
      <c r="AO353">
        <f>IF(J352&lt;=0,0,ROUND(J352*(1+IF(AND(J$6&gt;0,$B353&lt;J$6),J$4,J$5)/12),2))</f>
        <v/>
      </c>
      <c r="AP353">
        <f>IF(K352&lt;=0,0,ROUND(K352*(1+IF(AND(K$6&gt;0,$B353&lt;K$6),K$4,K$5)/12),2))</f>
        <v/>
      </c>
      <c r="AQ353">
        <f>IF(L352&lt;=0,0,ROUND(L352*(1+IF(AND(L$6&gt;0,$B353&lt;L$6),L$4,L$5)/12),2))</f>
        <v/>
      </c>
      <c r="AR353">
        <f>IF(M352&lt;=0,0,ROUND(M352*(1+IF(AND(M$6&gt;0,$B353&lt;M$6),M$4,M$5)/12),2))</f>
        <v/>
      </c>
      <c r="AS353">
        <f>IF(N352&lt;=0,0,ROUND(N352*(1+IF(AND(N$6&gt;0,$B353&lt;N$6),N$4,N$5)/12),2))</f>
        <v/>
      </c>
    </row>
    <row r="354">
      <c r="A354" t="n">
        <v>343</v>
      </c>
      <c r="B354">
        <f>EDATE(Plan!$C$6,342)</f>
        <v/>
      </c>
      <c r="C354">
        <f>IF(C353&lt;=0,0,MAX(0,AH354-O354))</f>
        <v/>
      </c>
      <c r="D354">
        <f>IF(D353&lt;=0,0,MAX(0,AI354-P354))</f>
        <v/>
      </c>
      <c r="E354">
        <f>IF(E353&lt;=0,0,MAX(0,AJ354-Q354))</f>
        <v/>
      </c>
      <c r="F354">
        <f>IF(F353&lt;=0,0,MAX(0,AK354-R354))</f>
        <v/>
      </c>
      <c r="G354">
        <f>IF(G353&lt;=0,0,MAX(0,AL354-S354))</f>
        <v/>
      </c>
      <c r="H354">
        <f>IF(H353&lt;=0,0,MAX(0,AM354-T354))</f>
        <v/>
      </c>
      <c r="I354">
        <f>IF(I353&lt;=0,0,MAX(0,AN354-U354))</f>
        <v/>
      </c>
      <c r="J354">
        <f>IF(J353&lt;=0,0,MAX(0,AO354-V354))</f>
        <v/>
      </c>
      <c r="K354">
        <f>IF(K353&lt;=0,0,MAX(0,AP354-W354))</f>
        <v/>
      </c>
      <c r="L354">
        <f>IF(L353&lt;=0,0,MAX(0,AQ354-X354))</f>
        <v/>
      </c>
      <c r="M354">
        <f>IF(M353&lt;=0,0,MAX(0,AR354-Y354))</f>
        <v/>
      </c>
      <c r="N354">
        <f>IF(N353&lt;=0,0,MAX(0,AS354-Z354))</f>
        <v/>
      </c>
      <c r="O354">
        <f>IF(C353&lt;=0,0,MIN(AH354,C$7+IF(C$2=$AA354,$AC354,IF(C$2=$AF354,$AG354,0))))</f>
        <v/>
      </c>
      <c r="P354">
        <f>IF(D353&lt;=0,0,MIN(AI354,D$7+IF(D$2=$AA354,$AC354,IF(D$2=$AF354,$AG354,0))))</f>
        <v/>
      </c>
      <c r="Q354">
        <f>IF(E353&lt;=0,0,MIN(AJ354,E$7+IF(E$2=$AA354,$AC354,IF(E$2=$AF354,$AG354,0))))</f>
        <v/>
      </c>
      <c r="R354">
        <f>IF(F353&lt;=0,0,MIN(AK354,F$7+IF(F$2=$AA354,$AC354,IF(F$2=$AF354,$AG354,0))))</f>
        <v/>
      </c>
      <c r="S354">
        <f>IF(G353&lt;=0,0,MIN(AL354,G$7+IF(G$2=$AA354,$AC354,IF(G$2=$AF354,$AG354,0))))</f>
        <v/>
      </c>
      <c r="T354">
        <f>IF(H353&lt;=0,0,MIN(AM354,H$7+IF(H$2=$AA354,$AC354,IF(H$2=$AF354,$AG354,0))))</f>
        <v/>
      </c>
      <c r="U354">
        <f>IF(I353&lt;=0,0,MIN(AN354,I$7+IF(I$2=$AA354,$AC354,IF(I$2=$AF354,$AG354,0))))</f>
        <v/>
      </c>
      <c r="V354">
        <f>IF(J353&lt;=0,0,MIN(AO354,J$7+IF(J$2=$AA354,$AC354,IF(J$2=$AF354,$AG354,0))))</f>
        <v/>
      </c>
      <c r="W354">
        <f>IF(K353&lt;=0,0,MIN(AP354,K$7+IF(K$2=$AA354,$AC354,IF(K$2=$AF354,$AG354,0))))</f>
        <v/>
      </c>
      <c r="X354">
        <f>IF(L353&lt;=0,0,MIN(AQ354,L$7+IF(L$2=$AA354,$AC354,IF(L$2=$AF354,$AG354,0))))</f>
        <v/>
      </c>
      <c r="Y354">
        <f>IF(M353&lt;=0,0,MIN(AR354,M$7+IF(M$2=$AA354,$AC354,IF(M$2=$AF354,$AG354,0))))</f>
        <v/>
      </c>
      <c r="Z354">
        <f>IF(N353&lt;=0,0,MIN(AS354,N$7+IF(N$2=$AA354,$AC354,IF(N$2=$AF354,$AG354,0))))</f>
        <v/>
      </c>
      <c r="AA354">
        <f>IFERROR(ROUND(1/SUMPRODUCT(MAX((C353:N353&gt;0)*($C$3:$N$3&lt;=B354)/$C$2:$N$2)),0),0)</f>
        <v/>
      </c>
      <c r="AB354">
        <f>SUMPRODUCT((C353:N353&gt;0)*$C$7:$N$7)</f>
        <v/>
      </c>
      <c r="AC354">
        <f>MAX(0,Plan!$C$5-AB354)+IF(A354=Plan!$C$8,N(Plan!$C$7),0)</f>
        <v/>
      </c>
      <c r="AD354">
        <f>SUM(C354:N354)</f>
        <v/>
      </c>
      <c r="AE354">
        <f>SUM(O354:Z354)</f>
        <v/>
      </c>
      <c r="AF354">
        <f>IFERROR(ROUND(1/SUMPRODUCT(MAX((C353:N353&gt;0)*($C$3:$N$3&lt;=B354)*($C$2:$N$2&gt;AA354)/$C$2:$N$2)),0),0)</f>
        <v/>
      </c>
      <c r="AG354">
        <f>MAX(0,AC354-MAX(0,SUMPRODUCT(($C$2:$N$2=AA354)*(AH354:AS354-$C$7:$N$7))))</f>
        <v/>
      </c>
      <c r="AH354">
        <f>IF(C353&lt;=0,0,ROUND(C353*(1+IF(AND(C$6&gt;0,$B354&lt;C$6),C$4,C$5)/12),2))</f>
        <v/>
      </c>
      <c r="AI354">
        <f>IF(D353&lt;=0,0,ROUND(D353*(1+IF(AND(D$6&gt;0,$B354&lt;D$6),D$4,D$5)/12),2))</f>
        <v/>
      </c>
      <c r="AJ354">
        <f>IF(E353&lt;=0,0,ROUND(E353*(1+IF(AND(E$6&gt;0,$B354&lt;E$6),E$4,E$5)/12),2))</f>
        <v/>
      </c>
      <c r="AK354">
        <f>IF(F353&lt;=0,0,ROUND(F353*(1+IF(AND(F$6&gt;0,$B354&lt;F$6),F$4,F$5)/12),2))</f>
        <v/>
      </c>
      <c r="AL354">
        <f>IF(G353&lt;=0,0,ROUND(G353*(1+IF(AND(G$6&gt;0,$B354&lt;G$6),G$4,G$5)/12),2))</f>
        <v/>
      </c>
      <c r="AM354">
        <f>IF(H353&lt;=0,0,ROUND(H353*(1+IF(AND(H$6&gt;0,$B354&lt;H$6),H$4,H$5)/12),2))</f>
        <v/>
      </c>
      <c r="AN354">
        <f>IF(I353&lt;=0,0,ROUND(I353*(1+IF(AND(I$6&gt;0,$B354&lt;I$6),I$4,I$5)/12),2))</f>
        <v/>
      </c>
      <c r="AO354">
        <f>IF(J353&lt;=0,0,ROUND(J353*(1+IF(AND(J$6&gt;0,$B354&lt;J$6),J$4,J$5)/12),2))</f>
        <v/>
      </c>
      <c r="AP354">
        <f>IF(K353&lt;=0,0,ROUND(K353*(1+IF(AND(K$6&gt;0,$B354&lt;K$6),K$4,K$5)/12),2))</f>
        <v/>
      </c>
      <c r="AQ354">
        <f>IF(L353&lt;=0,0,ROUND(L353*(1+IF(AND(L$6&gt;0,$B354&lt;L$6),L$4,L$5)/12),2))</f>
        <v/>
      </c>
      <c r="AR354">
        <f>IF(M353&lt;=0,0,ROUND(M353*(1+IF(AND(M$6&gt;0,$B354&lt;M$6),M$4,M$5)/12),2))</f>
        <v/>
      </c>
      <c r="AS354">
        <f>IF(N353&lt;=0,0,ROUND(N353*(1+IF(AND(N$6&gt;0,$B354&lt;N$6),N$4,N$5)/12),2))</f>
        <v/>
      </c>
    </row>
    <row r="355">
      <c r="A355" t="n">
        <v>344</v>
      </c>
      <c r="B355">
        <f>EDATE(Plan!$C$6,343)</f>
        <v/>
      </c>
      <c r="C355">
        <f>IF(C354&lt;=0,0,MAX(0,AH355-O355))</f>
        <v/>
      </c>
      <c r="D355">
        <f>IF(D354&lt;=0,0,MAX(0,AI355-P355))</f>
        <v/>
      </c>
      <c r="E355">
        <f>IF(E354&lt;=0,0,MAX(0,AJ355-Q355))</f>
        <v/>
      </c>
      <c r="F355">
        <f>IF(F354&lt;=0,0,MAX(0,AK355-R355))</f>
        <v/>
      </c>
      <c r="G355">
        <f>IF(G354&lt;=0,0,MAX(0,AL355-S355))</f>
        <v/>
      </c>
      <c r="H355">
        <f>IF(H354&lt;=0,0,MAX(0,AM355-T355))</f>
        <v/>
      </c>
      <c r="I355">
        <f>IF(I354&lt;=0,0,MAX(0,AN355-U355))</f>
        <v/>
      </c>
      <c r="J355">
        <f>IF(J354&lt;=0,0,MAX(0,AO355-V355))</f>
        <v/>
      </c>
      <c r="K355">
        <f>IF(K354&lt;=0,0,MAX(0,AP355-W355))</f>
        <v/>
      </c>
      <c r="L355">
        <f>IF(L354&lt;=0,0,MAX(0,AQ355-X355))</f>
        <v/>
      </c>
      <c r="M355">
        <f>IF(M354&lt;=0,0,MAX(0,AR355-Y355))</f>
        <v/>
      </c>
      <c r="N355">
        <f>IF(N354&lt;=0,0,MAX(0,AS355-Z355))</f>
        <v/>
      </c>
      <c r="O355">
        <f>IF(C354&lt;=0,0,MIN(AH355,C$7+IF(C$2=$AA355,$AC355,IF(C$2=$AF355,$AG355,0))))</f>
        <v/>
      </c>
      <c r="P355">
        <f>IF(D354&lt;=0,0,MIN(AI355,D$7+IF(D$2=$AA355,$AC355,IF(D$2=$AF355,$AG355,0))))</f>
        <v/>
      </c>
      <c r="Q355">
        <f>IF(E354&lt;=0,0,MIN(AJ355,E$7+IF(E$2=$AA355,$AC355,IF(E$2=$AF355,$AG355,0))))</f>
        <v/>
      </c>
      <c r="R355">
        <f>IF(F354&lt;=0,0,MIN(AK355,F$7+IF(F$2=$AA355,$AC355,IF(F$2=$AF355,$AG355,0))))</f>
        <v/>
      </c>
      <c r="S355">
        <f>IF(G354&lt;=0,0,MIN(AL355,G$7+IF(G$2=$AA355,$AC355,IF(G$2=$AF355,$AG355,0))))</f>
        <v/>
      </c>
      <c r="T355">
        <f>IF(H354&lt;=0,0,MIN(AM355,H$7+IF(H$2=$AA355,$AC355,IF(H$2=$AF355,$AG355,0))))</f>
        <v/>
      </c>
      <c r="U355">
        <f>IF(I354&lt;=0,0,MIN(AN355,I$7+IF(I$2=$AA355,$AC355,IF(I$2=$AF355,$AG355,0))))</f>
        <v/>
      </c>
      <c r="V355">
        <f>IF(J354&lt;=0,0,MIN(AO355,J$7+IF(J$2=$AA355,$AC355,IF(J$2=$AF355,$AG355,0))))</f>
        <v/>
      </c>
      <c r="W355">
        <f>IF(K354&lt;=0,0,MIN(AP355,K$7+IF(K$2=$AA355,$AC355,IF(K$2=$AF355,$AG355,0))))</f>
        <v/>
      </c>
      <c r="X355">
        <f>IF(L354&lt;=0,0,MIN(AQ355,L$7+IF(L$2=$AA355,$AC355,IF(L$2=$AF355,$AG355,0))))</f>
        <v/>
      </c>
      <c r="Y355">
        <f>IF(M354&lt;=0,0,MIN(AR355,M$7+IF(M$2=$AA355,$AC355,IF(M$2=$AF355,$AG355,0))))</f>
        <v/>
      </c>
      <c r="Z355">
        <f>IF(N354&lt;=0,0,MIN(AS355,N$7+IF(N$2=$AA355,$AC355,IF(N$2=$AF355,$AG355,0))))</f>
        <v/>
      </c>
      <c r="AA355">
        <f>IFERROR(ROUND(1/SUMPRODUCT(MAX((C354:N354&gt;0)*($C$3:$N$3&lt;=B355)/$C$2:$N$2)),0),0)</f>
        <v/>
      </c>
      <c r="AB355">
        <f>SUMPRODUCT((C354:N354&gt;0)*$C$7:$N$7)</f>
        <v/>
      </c>
      <c r="AC355">
        <f>MAX(0,Plan!$C$5-AB355)+IF(A355=Plan!$C$8,N(Plan!$C$7),0)</f>
        <v/>
      </c>
      <c r="AD355">
        <f>SUM(C355:N355)</f>
        <v/>
      </c>
      <c r="AE355">
        <f>SUM(O355:Z355)</f>
        <v/>
      </c>
      <c r="AF355">
        <f>IFERROR(ROUND(1/SUMPRODUCT(MAX((C354:N354&gt;0)*($C$3:$N$3&lt;=B355)*($C$2:$N$2&gt;AA355)/$C$2:$N$2)),0),0)</f>
        <v/>
      </c>
      <c r="AG355">
        <f>MAX(0,AC355-MAX(0,SUMPRODUCT(($C$2:$N$2=AA355)*(AH355:AS355-$C$7:$N$7))))</f>
        <v/>
      </c>
      <c r="AH355">
        <f>IF(C354&lt;=0,0,ROUND(C354*(1+IF(AND(C$6&gt;0,$B355&lt;C$6),C$4,C$5)/12),2))</f>
        <v/>
      </c>
      <c r="AI355">
        <f>IF(D354&lt;=0,0,ROUND(D354*(1+IF(AND(D$6&gt;0,$B355&lt;D$6),D$4,D$5)/12),2))</f>
        <v/>
      </c>
      <c r="AJ355">
        <f>IF(E354&lt;=0,0,ROUND(E354*(1+IF(AND(E$6&gt;0,$B355&lt;E$6),E$4,E$5)/12),2))</f>
        <v/>
      </c>
      <c r="AK355">
        <f>IF(F354&lt;=0,0,ROUND(F354*(1+IF(AND(F$6&gt;0,$B355&lt;F$6),F$4,F$5)/12),2))</f>
        <v/>
      </c>
      <c r="AL355">
        <f>IF(G354&lt;=0,0,ROUND(G354*(1+IF(AND(G$6&gt;0,$B355&lt;G$6),G$4,G$5)/12),2))</f>
        <v/>
      </c>
      <c r="AM355">
        <f>IF(H354&lt;=0,0,ROUND(H354*(1+IF(AND(H$6&gt;0,$B355&lt;H$6),H$4,H$5)/12),2))</f>
        <v/>
      </c>
      <c r="AN355">
        <f>IF(I354&lt;=0,0,ROUND(I354*(1+IF(AND(I$6&gt;0,$B355&lt;I$6),I$4,I$5)/12),2))</f>
        <v/>
      </c>
      <c r="AO355">
        <f>IF(J354&lt;=0,0,ROUND(J354*(1+IF(AND(J$6&gt;0,$B355&lt;J$6),J$4,J$5)/12),2))</f>
        <v/>
      </c>
      <c r="AP355">
        <f>IF(K354&lt;=0,0,ROUND(K354*(1+IF(AND(K$6&gt;0,$B355&lt;K$6),K$4,K$5)/12),2))</f>
        <v/>
      </c>
      <c r="AQ355">
        <f>IF(L354&lt;=0,0,ROUND(L354*(1+IF(AND(L$6&gt;0,$B355&lt;L$6),L$4,L$5)/12),2))</f>
        <v/>
      </c>
      <c r="AR355">
        <f>IF(M354&lt;=0,0,ROUND(M354*(1+IF(AND(M$6&gt;0,$B355&lt;M$6),M$4,M$5)/12),2))</f>
        <v/>
      </c>
      <c r="AS355">
        <f>IF(N354&lt;=0,0,ROUND(N354*(1+IF(AND(N$6&gt;0,$B355&lt;N$6),N$4,N$5)/12),2))</f>
        <v/>
      </c>
    </row>
    <row r="356">
      <c r="A356" t="n">
        <v>345</v>
      </c>
      <c r="B356">
        <f>EDATE(Plan!$C$6,344)</f>
        <v/>
      </c>
      <c r="C356">
        <f>IF(C355&lt;=0,0,MAX(0,AH356-O356))</f>
        <v/>
      </c>
      <c r="D356">
        <f>IF(D355&lt;=0,0,MAX(0,AI356-P356))</f>
        <v/>
      </c>
      <c r="E356">
        <f>IF(E355&lt;=0,0,MAX(0,AJ356-Q356))</f>
        <v/>
      </c>
      <c r="F356">
        <f>IF(F355&lt;=0,0,MAX(0,AK356-R356))</f>
        <v/>
      </c>
      <c r="G356">
        <f>IF(G355&lt;=0,0,MAX(0,AL356-S356))</f>
        <v/>
      </c>
      <c r="H356">
        <f>IF(H355&lt;=0,0,MAX(0,AM356-T356))</f>
        <v/>
      </c>
      <c r="I356">
        <f>IF(I355&lt;=0,0,MAX(0,AN356-U356))</f>
        <v/>
      </c>
      <c r="J356">
        <f>IF(J355&lt;=0,0,MAX(0,AO356-V356))</f>
        <v/>
      </c>
      <c r="K356">
        <f>IF(K355&lt;=0,0,MAX(0,AP356-W356))</f>
        <v/>
      </c>
      <c r="L356">
        <f>IF(L355&lt;=0,0,MAX(0,AQ356-X356))</f>
        <v/>
      </c>
      <c r="M356">
        <f>IF(M355&lt;=0,0,MAX(0,AR356-Y356))</f>
        <v/>
      </c>
      <c r="N356">
        <f>IF(N355&lt;=0,0,MAX(0,AS356-Z356))</f>
        <v/>
      </c>
      <c r="O356">
        <f>IF(C355&lt;=0,0,MIN(AH356,C$7+IF(C$2=$AA356,$AC356,IF(C$2=$AF356,$AG356,0))))</f>
        <v/>
      </c>
      <c r="P356">
        <f>IF(D355&lt;=0,0,MIN(AI356,D$7+IF(D$2=$AA356,$AC356,IF(D$2=$AF356,$AG356,0))))</f>
        <v/>
      </c>
      <c r="Q356">
        <f>IF(E355&lt;=0,0,MIN(AJ356,E$7+IF(E$2=$AA356,$AC356,IF(E$2=$AF356,$AG356,0))))</f>
        <v/>
      </c>
      <c r="R356">
        <f>IF(F355&lt;=0,0,MIN(AK356,F$7+IF(F$2=$AA356,$AC356,IF(F$2=$AF356,$AG356,0))))</f>
        <v/>
      </c>
      <c r="S356">
        <f>IF(G355&lt;=0,0,MIN(AL356,G$7+IF(G$2=$AA356,$AC356,IF(G$2=$AF356,$AG356,0))))</f>
        <v/>
      </c>
      <c r="T356">
        <f>IF(H355&lt;=0,0,MIN(AM356,H$7+IF(H$2=$AA356,$AC356,IF(H$2=$AF356,$AG356,0))))</f>
        <v/>
      </c>
      <c r="U356">
        <f>IF(I355&lt;=0,0,MIN(AN356,I$7+IF(I$2=$AA356,$AC356,IF(I$2=$AF356,$AG356,0))))</f>
        <v/>
      </c>
      <c r="V356">
        <f>IF(J355&lt;=0,0,MIN(AO356,J$7+IF(J$2=$AA356,$AC356,IF(J$2=$AF356,$AG356,0))))</f>
        <v/>
      </c>
      <c r="W356">
        <f>IF(K355&lt;=0,0,MIN(AP356,K$7+IF(K$2=$AA356,$AC356,IF(K$2=$AF356,$AG356,0))))</f>
        <v/>
      </c>
      <c r="X356">
        <f>IF(L355&lt;=0,0,MIN(AQ356,L$7+IF(L$2=$AA356,$AC356,IF(L$2=$AF356,$AG356,0))))</f>
        <v/>
      </c>
      <c r="Y356">
        <f>IF(M355&lt;=0,0,MIN(AR356,M$7+IF(M$2=$AA356,$AC356,IF(M$2=$AF356,$AG356,0))))</f>
        <v/>
      </c>
      <c r="Z356">
        <f>IF(N355&lt;=0,0,MIN(AS356,N$7+IF(N$2=$AA356,$AC356,IF(N$2=$AF356,$AG356,0))))</f>
        <v/>
      </c>
      <c r="AA356">
        <f>IFERROR(ROUND(1/SUMPRODUCT(MAX((C355:N355&gt;0)*($C$3:$N$3&lt;=B356)/$C$2:$N$2)),0),0)</f>
        <v/>
      </c>
      <c r="AB356">
        <f>SUMPRODUCT((C355:N355&gt;0)*$C$7:$N$7)</f>
        <v/>
      </c>
      <c r="AC356">
        <f>MAX(0,Plan!$C$5-AB356)+IF(A356=Plan!$C$8,N(Plan!$C$7),0)</f>
        <v/>
      </c>
      <c r="AD356">
        <f>SUM(C356:N356)</f>
        <v/>
      </c>
      <c r="AE356">
        <f>SUM(O356:Z356)</f>
        <v/>
      </c>
      <c r="AF356">
        <f>IFERROR(ROUND(1/SUMPRODUCT(MAX((C355:N355&gt;0)*($C$3:$N$3&lt;=B356)*($C$2:$N$2&gt;AA356)/$C$2:$N$2)),0),0)</f>
        <v/>
      </c>
      <c r="AG356">
        <f>MAX(0,AC356-MAX(0,SUMPRODUCT(($C$2:$N$2=AA356)*(AH356:AS356-$C$7:$N$7))))</f>
        <v/>
      </c>
      <c r="AH356">
        <f>IF(C355&lt;=0,0,ROUND(C355*(1+IF(AND(C$6&gt;0,$B356&lt;C$6),C$4,C$5)/12),2))</f>
        <v/>
      </c>
      <c r="AI356">
        <f>IF(D355&lt;=0,0,ROUND(D355*(1+IF(AND(D$6&gt;0,$B356&lt;D$6),D$4,D$5)/12),2))</f>
        <v/>
      </c>
      <c r="AJ356">
        <f>IF(E355&lt;=0,0,ROUND(E355*(1+IF(AND(E$6&gt;0,$B356&lt;E$6),E$4,E$5)/12),2))</f>
        <v/>
      </c>
      <c r="AK356">
        <f>IF(F355&lt;=0,0,ROUND(F355*(1+IF(AND(F$6&gt;0,$B356&lt;F$6),F$4,F$5)/12),2))</f>
        <v/>
      </c>
      <c r="AL356">
        <f>IF(G355&lt;=0,0,ROUND(G355*(1+IF(AND(G$6&gt;0,$B356&lt;G$6),G$4,G$5)/12),2))</f>
        <v/>
      </c>
      <c r="AM356">
        <f>IF(H355&lt;=0,0,ROUND(H355*(1+IF(AND(H$6&gt;0,$B356&lt;H$6),H$4,H$5)/12),2))</f>
        <v/>
      </c>
      <c r="AN356">
        <f>IF(I355&lt;=0,0,ROUND(I355*(1+IF(AND(I$6&gt;0,$B356&lt;I$6),I$4,I$5)/12),2))</f>
        <v/>
      </c>
      <c r="AO356">
        <f>IF(J355&lt;=0,0,ROUND(J355*(1+IF(AND(J$6&gt;0,$B356&lt;J$6),J$4,J$5)/12),2))</f>
        <v/>
      </c>
      <c r="AP356">
        <f>IF(K355&lt;=0,0,ROUND(K355*(1+IF(AND(K$6&gt;0,$B356&lt;K$6),K$4,K$5)/12),2))</f>
        <v/>
      </c>
      <c r="AQ356">
        <f>IF(L355&lt;=0,0,ROUND(L355*(1+IF(AND(L$6&gt;0,$B356&lt;L$6),L$4,L$5)/12),2))</f>
        <v/>
      </c>
      <c r="AR356">
        <f>IF(M355&lt;=0,0,ROUND(M355*(1+IF(AND(M$6&gt;0,$B356&lt;M$6),M$4,M$5)/12),2))</f>
        <v/>
      </c>
      <c r="AS356">
        <f>IF(N355&lt;=0,0,ROUND(N355*(1+IF(AND(N$6&gt;0,$B356&lt;N$6),N$4,N$5)/12),2))</f>
        <v/>
      </c>
    </row>
    <row r="357">
      <c r="A357" t="n">
        <v>346</v>
      </c>
      <c r="B357">
        <f>EDATE(Plan!$C$6,345)</f>
        <v/>
      </c>
      <c r="C357">
        <f>IF(C356&lt;=0,0,MAX(0,AH357-O357))</f>
        <v/>
      </c>
      <c r="D357">
        <f>IF(D356&lt;=0,0,MAX(0,AI357-P357))</f>
        <v/>
      </c>
      <c r="E357">
        <f>IF(E356&lt;=0,0,MAX(0,AJ357-Q357))</f>
        <v/>
      </c>
      <c r="F357">
        <f>IF(F356&lt;=0,0,MAX(0,AK357-R357))</f>
        <v/>
      </c>
      <c r="G357">
        <f>IF(G356&lt;=0,0,MAX(0,AL357-S357))</f>
        <v/>
      </c>
      <c r="H357">
        <f>IF(H356&lt;=0,0,MAX(0,AM357-T357))</f>
        <v/>
      </c>
      <c r="I357">
        <f>IF(I356&lt;=0,0,MAX(0,AN357-U357))</f>
        <v/>
      </c>
      <c r="J357">
        <f>IF(J356&lt;=0,0,MAX(0,AO357-V357))</f>
        <v/>
      </c>
      <c r="K357">
        <f>IF(K356&lt;=0,0,MAX(0,AP357-W357))</f>
        <v/>
      </c>
      <c r="L357">
        <f>IF(L356&lt;=0,0,MAX(0,AQ357-X357))</f>
        <v/>
      </c>
      <c r="M357">
        <f>IF(M356&lt;=0,0,MAX(0,AR357-Y357))</f>
        <v/>
      </c>
      <c r="N357">
        <f>IF(N356&lt;=0,0,MAX(0,AS357-Z357))</f>
        <v/>
      </c>
      <c r="O357">
        <f>IF(C356&lt;=0,0,MIN(AH357,C$7+IF(C$2=$AA357,$AC357,IF(C$2=$AF357,$AG357,0))))</f>
        <v/>
      </c>
      <c r="P357">
        <f>IF(D356&lt;=0,0,MIN(AI357,D$7+IF(D$2=$AA357,$AC357,IF(D$2=$AF357,$AG357,0))))</f>
        <v/>
      </c>
      <c r="Q357">
        <f>IF(E356&lt;=0,0,MIN(AJ357,E$7+IF(E$2=$AA357,$AC357,IF(E$2=$AF357,$AG357,0))))</f>
        <v/>
      </c>
      <c r="R357">
        <f>IF(F356&lt;=0,0,MIN(AK357,F$7+IF(F$2=$AA357,$AC357,IF(F$2=$AF357,$AG357,0))))</f>
        <v/>
      </c>
      <c r="S357">
        <f>IF(G356&lt;=0,0,MIN(AL357,G$7+IF(G$2=$AA357,$AC357,IF(G$2=$AF357,$AG357,0))))</f>
        <v/>
      </c>
      <c r="T357">
        <f>IF(H356&lt;=0,0,MIN(AM357,H$7+IF(H$2=$AA357,$AC357,IF(H$2=$AF357,$AG357,0))))</f>
        <v/>
      </c>
      <c r="U357">
        <f>IF(I356&lt;=0,0,MIN(AN357,I$7+IF(I$2=$AA357,$AC357,IF(I$2=$AF357,$AG357,0))))</f>
        <v/>
      </c>
      <c r="V357">
        <f>IF(J356&lt;=0,0,MIN(AO357,J$7+IF(J$2=$AA357,$AC357,IF(J$2=$AF357,$AG357,0))))</f>
        <v/>
      </c>
      <c r="W357">
        <f>IF(K356&lt;=0,0,MIN(AP357,K$7+IF(K$2=$AA357,$AC357,IF(K$2=$AF357,$AG357,0))))</f>
        <v/>
      </c>
      <c r="X357">
        <f>IF(L356&lt;=0,0,MIN(AQ357,L$7+IF(L$2=$AA357,$AC357,IF(L$2=$AF357,$AG357,0))))</f>
        <v/>
      </c>
      <c r="Y357">
        <f>IF(M356&lt;=0,0,MIN(AR357,M$7+IF(M$2=$AA357,$AC357,IF(M$2=$AF357,$AG357,0))))</f>
        <v/>
      </c>
      <c r="Z357">
        <f>IF(N356&lt;=0,0,MIN(AS357,N$7+IF(N$2=$AA357,$AC357,IF(N$2=$AF357,$AG357,0))))</f>
        <v/>
      </c>
      <c r="AA357">
        <f>IFERROR(ROUND(1/SUMPRODUCT(MAX((C356:N356&gt;0)*($C$3:$N$3&lt;=B357)/$C$2:$N$2)),0),0)</f>
        <v/>
      </c>
      <c r="AB357">
        <f>SUMPRODUCT((C356:N356&gt;0)*$C$7:$N$7)</f>
        <v/>
      </c>
      <c r="AC357">
        <f>MAX(0,Plan!$C$5-AB357)+IF(A357=Plan!$C$8,N(Plan!$C$7),0)</f>
        <v/>
      </c>
      <c r="AD357">
        <f>SUM(C357:N357)</f>
        <v/>
      </c>
      <c r="AE357">
        <f>SUM(O357:Z357)</f>
        <v/>
      </c>
      <c r="AF357">
        <f>IFERROR(ROUND(1/SUMPRODUCT(MAX((C356:N356&gt;0)*($C$3:$N$3&lt;=B357)*($C$2:$N$2&gt;AA357)/$C$2:$N$2)),0),0)</f>
        <v/>
      </c>
      <c r="AG357">
        <f>MAX(0,AC357-MAX(0,SUMPRODUCT(($C$2:$N$2=AA357)*(AH357:AS357-$C$7:$N$7))))</f>
        <v/>
      </c>
      <c r="AH357">
        <f>IF(C356&lt;=0,0,ROUND(C356*(1+IF(AND(C$6&gt;0,$B357&lt;C$6),C$4,C$5)/12),2))</f>
        <v/>
      </c>
      <c r="AI357">
        <f>IF(D356&lt;=0,0,ROUND(D356*(1+IF(AND(D$6&gt;0,$B357&lt;D$6),D$4,D$5)/12),2))</f>
        <v/>
      </c>
      <c r="AJ357">
        <f>IF(E356&lt;=0,0,ROUND(E356*(1+IF(AND(E$6&gt;0,$B357&lt;E$6),E$4,E$5)/12),2))</f>
        <v/>
      </c>
      <c r="AK357">
        <f>IF(F356&lt;=0,0,ROUND(F356*(1+IF(AND(F$6&gt;0,$B357&lt;F$6),F$4,F$5)/12),2))</f>
        <v/>
      </c>
      <c r="AL357">
        <f>IF(G356&lt;=0,0,ROUND(G356*(1+IF(AND(G$6&gt;0,$B357&lt;G$6),G$4,G$5)/12),2))</f>
        <v/>
      </c>
      <c r="AM357">
        <f>IF(H356&lt;=0,0,ROUND(H356*(1+IF(AND(H$6&gt;0,$B357&lt;H$6),H$4,H$5)/12),2))</f>
        <v/>
      </c>
      <c r="AN357">
        <f>IF(I356&lt;=0,0,ROUND(I356*(1+IF(AND(I$6&gt;0,$B357&lt;I$6),I$4,I$5)/12),2))</f>
        <v/>
      </c>
      <c r="AO357">
        <f>IF(J356&lt;=0,0,ROUND(J356*(1+IF(AND(J$6&gt;0,$B357&lt;J$6),J$4,J$5)/12),2))</f>
        <v/>
      </c>
      <c r="AP357">
        <f>IF(K356&lt;=0,0,ROUND(K356*(1+IF(AND(K$6&gt;0,$B357&lt;K$6),K$4,K$5)/12),2))</f>
        <v/>
      </c>
      <c r="AQ357">
        <f>IF(L356&lt;=0,0,ROUND(L356*(1+IF(AND(L$6&gt;0,$B357&lt;L$6),L$4,L$5)/12),2))</f>
        <v/>
      </c>
      <c r="AR357">
        <f>IF(M356&lt;=0,0,ROUND(M356*(1+IF(AND(M$6&gt;0,$B357&lt;M$6),M$4,M$5)/12),2))</f>
        <v/>
      </c>
      <c r="AS357">
        <f>IF(N356&lt;=0,0,ROUND(N356*(1+IF(AND(N$6&gt;0,$B357&lt;N$6),N$4,N$5)/12),2))</f>
        <v/>
      </c>
    </row>
    <row r="358">
      <c r="A358" t="n">
        <v>347</v>
      </c>
      <c r="B358">
        <f>EDATE(Plan!$C$6,346)</f>
        <v/>
      </c>
      <c r="C358">
        <f>IF(C357&lt;=0,0,MAX(0,AH358-O358))</f>
        <v/>
      </c>
      <c r="D358">
        <f>IF(D357&lt;=0,0,MAX(0,AI358-P358))</f>
        <v/>
      </c>
      <c r="E358">
        <f>IF(E357&lt;=0,0,MAX(0,AJ358-Q358))</f>
        <v/>
      </c>
      <c r="F358">
        <f>IF(F357&lt;=0,0,MAX(0,AK358-R358))</f>
        <v/>
      </c>
      <c r="G358">
        <f>IF(G357&lt;=0,0,MAX(0,AL358-S358))</f>
        <v/>
      </c>
      <c r="H358">
        <f>IF(H357&lt;=0,0,MAX(0,AM358-T358))</f>
        <v/>
      </c>
      <c r="I358">
        <f>IF(I357&lt;=0,0,MAX(0,AN358-U358))</f>
        <v/>
      </c>
      <c r="J358">
        <f>IF(J357&lt;=0,0,MAX(0,AO358-V358))</f>
        <v/>
      </c>
      <c r="K358">
        <f>IF(K357&lt;=0,0,MAX(0,AP358-W358))</f>
        <v/>
      </c>
      <c r="L358">
        <f>IF(L357&lt;=0,0,MAX(0,AQ358-X358))</f>
        <v/>
      </c>
      <c r="M358">
        <f>IF(M357&lt;=0,0,MAX(0,AR358-Y358))</f>
        <v/>
      </c>
      <c r="N358">
        <f>IF(N357&lt;=0,0,MAX(0,AS358-Z358))</f>
        <v/>
      </c>
      <c r="O358">
        <f>IF(C357&lt;=0,0,MIN(AH358,C$7+IF(C$2=$AA358,$AC358,IF(C$2=$AF358,$AG358,0))))</f>
        <v/>
      </c>
      <c r="P358">
        <f>IF(D357&lt;=0,0,MIN(AI358,D$7+IF(D$2=$AA358,$AC358,IF(D$2=$AF358,$AG358,0))))</f>
        <v/>
      </c>
      <c r="Q358">
        <f>IF(E357&lt;=0,0,MIN(AJ358,E$7+IF(E$2=$AA358,$AC358,IF(E$2=$AF358,$AG358,0))))</f>
        <v/>
      </c>
      <c r="R358">
        <f>IF(F357&lt;=0,0,MIN(AK358,F$7+IF(F$2=$AA358,$AC358,IF(F$2=$AF358,$AG358,0))))</f>
        <v/>
      </c>
      <c r="S358">
        <f>IF(G357&lt;=0,0,MIN(AL358,G$7+IF(G$2=$AA358,$AC358,IF(G$2=$AF358,$AG358,0))))</f>
        <v/>
      </c>
      <c r="T358">
        <f>IF(H357&lt;=0,0,MIN(AM358,H$7+IF(H$2=$AA358,$AC358,IF(H$2=$AF358,$AG358,0))))</f>
        <v/>
      </c>
      <c r="U358">
        <f>IF(I357&lt;=0,0,MIN(AN358,I$7+IF(I$2=$AA358,$AC358,IF(I$2=$AF358,$AG358,0))))</f>
        <v/>
      </c>
      <c r="V358">
        <f>IF(J357&lt;=0,0,MIN(AO358,J$7+IF(J$2=$AA358,$AC358,IF(J$2=$AF358,$AG358,0))))</f>
        <v/>
      </c>
      <c r="W358">
        <f>IF(K357&lt;=0,0,MIN(AP358,K$7+IF(K$2=$AA358,$AC358,IF(K$2=$AF358,$AG358,0))))</f>
        <v/>
      </c>
      <c r="X358">
        <f>IF(L357&lt;=0,0,MIN(AQ358,L$7+IF(L$2=$AA358,$AC358,IF(L$2=$AF358,$AG358,0))))</f>
        <v/>
      </c>
      <c r="Y358">
        <f>IF(M357&lt;=0,0,MIN(AR358,M$7+IF(M$2=$AA358,$AC358,IF(M$2=$AF358,$AG358,0))))</f>
        <v/>
      </c>
      <c r="Z358">
        <f>IF(N357&lt;=0,0,MIN(AS358,N$7+IF(N$2=$AA358,$AC358,IF(N$2=$AF358,$AG358,0))))</f>
        <v/>
      </c>
      <c r="AA358">
        <f>IFERROR(ROUND(1/SUMPRODUCT(MAX((C357:N357&gt;0)*($C$3:$N$3&lt;=B358)/$C$2:$N$2)),0),0)</f>
        <v/>
      </c>
      <c r="AB358">
        <f>SUMPRODUCT((C357:N357&gt;0)*$C$7:$N$7)</f>
        <v/>
      </c>
      <c r="AC358">
        <f>MAX(0,Plan!$C$5-AB358)+IF(A358=Plan!$C$8,N(Plan!$C$7),0)</f>
        <v/>
      </c>
      <c r="AD358">
        <f>SUM(C358:N358)</f>
        <v/>
      </c>
      <c r="AE358">
        <f>SUM(O358:Z358)</f>
        <v/>
      </c>
      <c r="AF358">
        <f>IFERROR(ROUND(1/SUMPRODUCT(MAX((C357:N357&gt;0)*($C$3:$N$3&lt;=B358)*($C$2:$N$2&gt;AA358)/$C$2:$N$2)),0),0)</f>
        <v/>
      </c>
      <c r="AG358">
        <f>MAX(0,AC358-MAX(0,SUMPRODUCT(($C$2:$N$2=AA358)*(AH358:AS358-$C$7:$N$7))))</f>
        <v/>
      </c>
      <c r="AH358">
        <f>IF(C357&lt;=0,0,ROUND(C357*(1+IF(AND(C$6&gt;0,$B358&lt;C$6),C$4,C$5)/12),2))</f>
        <v/>
      </c>
      <c r="AI358">
        <f>IF(D357&lt;=0,0,ROUND(D357*(1+IF(AND(D$6&gt;0,$B358&lt;D$6),D$4,D$5)/12),2))</f>
        <v/>
      </c>
      <c r="AJ358">
        <f>IF(E357&lt;=0,0,ROUND(E357*(1+IF(AND(E$6&gt;0,$B358&lt;E$6),E$4,E$5)/12),2))</f>
        <v/>
      </c>
      <c r="AK358">
        <f>IF(F357&lt;=0,0,ROUND(F357*(1+IF(AND(F$6&gt;0,$B358&lt;F$6),F$4,F$5)/12),2))</f>
        <v/>
      </c>
      <c r="AL358">
        <f>IF(G357&lt;=0,0,ROUND(G357*(1+IF(AND(G$6&gt;0,$B358&lt;G$6),G$4,G$5)/12),2))</f>
        <v/>
      </c>
      <c r="AM358">
        <f>IF(H357&lt;=0,0,ROUND(H357*(1+IF(AND(H$6&gt;0,$B358&lt;H$6),H$4,H$5)/12),2))</f>
        <v/>
      </c>
      <c r="AN358">
        <f>IF(I357&lt;=0,0,ROUND(I357*(1+IF(AND(I$6&gt;0,$B358&lt;I$6),I$4,I$5)/12),2))</f>
        <v/>
      </c>
      <c r="AO358">
        <f>IF(J357&lt;=0,0,ROUND(J357*(1+IF(AND(J$6&gt;0,$B358&lt;J$6),J$4,J$5)/12),2))</f>
        <v/>
      </c>
      <c r="AP358">
        <f>IF(K357&lt;=0,0,ROUND(K357*(1+IF(AND(K$6&gt;0,$B358&lt;K$6),K$4,K$5)/12),2))</f>
        <v/>
      </c>
      <c r="AQ358">
        <f>IF(L357&lt;=0,0,ROUND(L357*(1+IF(AND(L$6&gt;0,$B358&lt;L$6),L$4,L$5)/12),2))</f>
        <v/>
      </c>
      <c r="AR358">
        <f>IF(M357&lt;=0,0,ROUND(M357*(1+IF(AND(M$6&gt;0,$B358&lt;M$6),M$4,M$5)/12),2))</f>
        <v/>
      </c>
      <c r="AS358">
        <f>IF(N357&lt;=0,0,ROUND(N357*(1+IF(AND(N$6&gt;0,$B358&lt;N$6),N$4,N$5)/12),2))</f>
        <v/>
      </c>
    </row>
    <row r="359">
      <c r="A359" t="n">
        <v>348</v>
      </c>
      <c r="B359">
        <f>EDATE(Plan!$C$6,347)</f>
        <v/>
      </c>
      <c r="C359">
        <f>IF(C358&lt;=0,0,MAX(0,AH359-O359))</f>
        <v/>
      </c>
      <c r="D359">
        <f>IF(D358&lt;=0,0,MAX(0,AI359-P359))</f>
        <v/>
      </c>
      <c r="E359">
        <f>IF(E358&lt;=0,0,MAX(0,AJ359-Q359))</f>
        <v/>
      </c>
      <c r="F359">
        <f>IF(F358&lt;=0,0,MAX(0,AK359-R359))</f>
        <v/>
      </c>
      <c r="G359">
        <f>IF(G358&lt;=0,0,MAX(0,AL359-S359))</f>
        <v/>
      </c>
      <c r="H359">
        <f>IF(H358&lt;=0,0,MAX(0,AM359-T359))</f>
        <v/>
      </c>
      <c r="I359">
        <f>IF(I358&lt;=0,0,MAX(0,AN359-U359))</f>
        <v/>
      </c>
      <c r="J359">
        <f>IF(J358&lt;=0,0,MAX(0,AO359-V359))</f>
        <v/>
      </c>
      <c r="K359">
        <f>IF(K358&lt;=0,0,MAX(0,AP359-W359))</f>
        <v/>
      </c>
      <c r="L359">
        <f>IF(L358&lt;=0,0,MAX(0,AQ359-X359))</f>
        <v/>
      </c>
      <c r="M359">
        <f>IF(M358&lt;=0,0,MAX(0,AR359-Y359))</f>
        <v/>
      </c>
      <c r="N359">
        <f>IF(N358&lt;=0,0,MAX(0,AS359-Z359))</f>
        <v/>
      </c>
      <c r="O359">
        <f>IF(C358&lt;=0,0,MIN(AH359,C$7+IF(C$2=$AA359,$AC359,IF(C$2=$AF359,$AG359,0))))</f>
        <v/>
      </c>
      <c r="P359">
        <f>IF(D358&lt;=0,0,MIN(AI359,D$7+IF(D$2=$AA359,$AC359,IF(D$2=$AF359,$AG359,0))))</f>
        <v/>
      </c>
      <c r="Q359">
        <f>IF(E358&lt;=0,0,MIN(AJ359,E$7+IF(E$2=$AA359,$AC359,IF(E$2=$AF359,$AG359,0))))</f>
        <v/>
      </c>
      <c r="R359">
        <f>IF(F358&lt;=0,0,MIN(AK359,F$7+IF(F$2=$AA359,$AC359,IF(F$2=$AF359,$AG359,0))))</f>
        <v/>
      </c>
      <c r="S359">
        <f>IF(G358&lt;=0,0,MIN(AL359,G$7+IF(G$2=$AA359,$AC359,IF(G$2=$AF359,$AG359,0))))</f>
        <v/>
      </c>
      <c r="T359">
        <f>IF(H358&lt;=0,0,MIN(AM359,H$7+IF(H$2=$AA359,$AC359,IF(H$2=$AF359,$AG359,0))))</f>
        <v/>
      </c>
      <c r="U359">
        <f>IF(I358&lt;=0,0,MIN(AN359,I$7+IF(I$2=$AA359,$AC359,IF(I$2=$AF359,$AG359,0))))</f>
        <v/>
      </c>
      <c r="V359">
        <f>IF(J358&lt;=0,0,MIN(AO359,J$7+IF(J$2=$AA359,$AC359,IF(J$2=$AF359,$AG359,0))))</f>
        <v/>
      </c>
      <c r="W359">
        <f>IF(K358&lt;=0,0,MIN(AP359,K$7+IF(K$2=$AA359,$AC359,IF(K$2=$AF359,$AG359,0))))</f>
        <v/>
      </c>
      <c r="X359">
        <f>IF(L358&lt;=0,0,MIN(AQ359,L$7+IF(L$2=$AA359,$AC359,IF(L$2=$AF359,$AG359,0))))</f>
        <v/>
      </c>
      <c r="Y359">
        <f>IF(M358&lt;=0,0,MIN(AR359,M$7+IF(M$2=$AA359,$AC359,IF(M$2=$AF359,$AG359,0))))</f>
        <v/>
      </c>
      <c r="Z359">
        <f>IF(N358&lt;=0,0,MIN(AS359,N$7+IF(N$2=$AA359,$AC359,IF(N$2=$AF359,$AG359,0))))</f>
        <v/>
      </c>
      <c r="AA359">
        <f>IFERROR(ROUND(1/SUMPRODUCT(MAX((C358:N358&gt;0)*($C$3:$N$3&lt;=B359)/$C$2:$N$2)),0),0)</f>
        <v/>
      </c>
      <c r="AB359">
        <f>SUMPRODUCT((C358:N358&gt;0)*$C$7:$N$7)</f>
        <v/>
      </c>
      <c r="AC359">
        <f>MAX(0,Plan!$C$5-AB359)+IF(A359=Plan!$C$8,N(Plan!$C$7),0)</f>
        <v/>
      </c>
      <c r="AD359">
        <f>SUM(C359:N359)</f>
        <v/>
      </c>
      <c r="AE359">
        <f>SUM(O359:Z359)</f>
        <v/>
      </c>
      <c r="AF359">
        <f>IFERROR(ROUND(1/SUMPRODUCT(MAX((C358:N358&gt;0)*($C$3:$N$3&lt;=B359)*($C$2:$N$2&gt;AA359)/$C$2:$N$2)),0),0)</f>
        <v/>
      </c>
      <c r="AG359">
        <f>MAX(0,AC359-MAX(0,SUMPRODUCT(($C$2:$N$2=AA359)*(AH359:AS359-$C$7:$N$7))))</f>
        <v/>
      </c>
      <c r="AH359">
        <f>IF(C358&lt;=0,0,ROUND(C358*(1+IF(AND(C$6&gt;0,$B359&lt;C$6),C$4,C$5)/12),2))</f>
        <v/>
      </c>
      <c r="AI359">
        <f>IF(D358&lt;=0,0,ROUND(D358*(1+IF(AND(D$6&gt;0,$B359&lt;D$6),D$4,D$5)/12),2))</f>
        <v/>
      </c>
      <c r="AJ359">
        <f>IF(E358&lt;=0,0,ROUND(E358*(1+IF(AND(E$6&gt;0,$B359&lt;E$6),E$4,E$5)/12),2))</f>
        <v/>
      </c>
      <c r="AK359">
        <f>IF(F358&lt;=0,0,ROUND(F358*(1+IF(AND(F$6&gt;0,$B359&lt;F$6),F$4,F$5)/12),2))</f>
        <v/>
      </c>
      <c r="AL359">
        <f>IF(G358&lt;=0,0,ROUND(G358*(1+IF(AND(G$6&gt;0,$B359&lt;G$6),G$4,G$5)/12),2))</f>
        <v/>
      </c>
      <c r="AM359">
        <f>IF(H358&lt;=0,0,ROUND(H358*(1+IF(AND(H$6&gt;0,$B359&lt;H$6),H$4,H$5)/12),2))</f>
        <v/>
      </c>
      <c r="AN359">
        <f>IF(I358&lt;=0,0,ROUND(I358*(1+IF(AND(I$6&gt;0,$B359&lt;I$6),I$4,I$5)/12),2))</f>
        <v/>
      </c>
      <c r="AO359">
        <f>IF(J358&lt;=0,0,ROUND(J358*(1+IF(AND(J$6&gt;0,$B359&lt;J$6),J$4,J$5)/12),2))</f>
        <v/>
      </c>
      <c r="AP359">
        <f>IF(K358&lt;=0,0,ROUND(K358*(1+IF(AND(K$6&gt;0,$B359&lt;K$6),K$4,K$5)/12),2))</f>
        <v/>
      </c>
      <c r="AQ359">
        <f>IF(L358&lt;=0,0,ROUND(L358*(1+IF(AND(L$6&gt;0,$B359&lt;L$6),L$4,L$5)/12),2))</f>
        <v/>
      </c>
      <c r="AR359">
        <f>IF(M358&lt;=0,0,ROUND(M358*(1+IF(AND(M$6&gt;0,$B359&lt;M$6),M$4,M$5)/12),2))</f>
        <v/>
      </c>
      <c r="AS359">
        <f>IF(N358&lt;=0,0,ROUND(N358*(1+IF(AND(N$6&gt;0,$B359&lt;N$6),N$4,N$5)/12),2))</f>
        <v/>
      </c>
    </row>
    <row r="360">
      <c r="A360" t="n">
        <v>349</v>
      </c>
      <c r="B360">
        <f>EDATE(Plan!$C$6,348)</f>
        <v/>
      </c>
      <c r="C360">
        <f>IF(C359&lt;=0,0,MAX(0,AH360-O360))</f>
        <v/>
      </c>
      <c r="D360">
        <f>IF(D359&lt;=0,0,MAX(0,AI360-P360))</f>
        <v/>
      </c>
      <c r="E360">
        <f>IF(E359&lt;=0,0,MAX(0,AJ360-Q360))</f>
        <v/>
      </c>
      <c r="F360">
        <f>IF(F359&lt;=0,0,MAX(0,AK360-R360))</f>
        <v/>
      </c>
      <c r="G360">
        <f>IF(G359&lt;=0,0,MAX(0,AL360-S360))</f>
        <v/>
      </c>
      <c r="H360">
        <f>IF(H359&lt;=0,0,MAX(0,AM360-T360))</f>
        <v/>
      </c>
      <c r="I360">
        <f>IF(I359&lt;=0,0,MAX(0,AN360-U360))</f>
        <v/>
      </c>
      <c r="J360">
        <f>IF(J359&lt;=0,0,MAX(0,AO360-V360))</f>
        <v/>
      </c>
      <c r="K360">
        <f>IF(K359&lt;=0,0,MAX(0,AP360-W360))</f>
        <v/>
      </c>
      <c r="L360">
        <f>IF(L359&lt;=0,0,MAX(0,AQ360-X360))</f>
        <v/>
      </c>
      <c r="M360">
        <f>IF(M359&lt;=0,0,MAX(0,AR360-Y360))</f>
        <v/>
      </c>
      <c r="N360">
        <f>IF(N359&lt;=0,0,MAX(0,AS360-Z360))</f>
        <v/>
      </c>
      <c r="O360">
        <f>IF(C359&lt;=0,0,MIN(AH360,C$7+IF(C$2=$AA360,$AC360,IF(C$2=$AF360,$AG360,0))))</f>
        <v/>
      </c>
      <c r="P360">
        <f>IF(D359&lt;=0,0,MIN(AI360,D$7+IF(D$2=$AA360,$AC360,IF(D$2=$AF360,$AG360,0))))</f>
        <v/>
      </c>
      <c r="Q360">
        <f>IF(E359&lt;=0,0,MIN(AJ360,E$7+IF(E$2=$AA360,$AC360,IF(E$2=$AF360,$AG360,0))))</f>
        <v/>
      </c>
      <c r="R360">
        <f>IF(F359&lt;=0,0,MIN(AK360,F$7+IF(F$2=$AA360,$AC360,IF(F$2=$AF360,$AG360,0))))</f>
        <v/>
      </c>
      <c r="S360">
        <f>IF(G359&lt;=0,0,MIN(AL360,G$7+IF(G$2=$AA360,$AC360,IF(G$2=$AF360,$AG360,0))))</f>
        <v/>
      </c>
      <c r="T360">
        <f>IF(H359&lt;=0,0,MIN(AM360,H$7+IF(H$2=$AA360,$AC360,IF(H$2=$AF360,$AG360,0))))</f>
        <v/>
      </c>
      <c r="U360">
        <f>IF(I359&lt;=0,0,MIN(AN360,I$7+IF(I$2=$AA360,$AC360,IF(I$2=$AF360,$AG360,0))))</f>
        <v/>
      </c>
      <c r="V360">
        <f>IF(J359&lt;=0,0,MIN(AO360,J$7+IF(J$2=$AA360,$AC360,IF(J$2=$AF360,$AG360,0))))</f>
        <v/>
      </c>
      <c r="W360">
        <f>IF(K359&lt;=0,0,MIN(AP360,K$7+IF(K$2=$AA360,$AC360,IF(K$2=$AF360,$AG360,0))))</f>
        <v/>
      </c>
      <c r="X360">
        <f>IF(L359&lt;=0,0,MIN(AQ360,L$7+IF(L$2=$AA360,$AC360,IF(L$2=$AF360,$AG360,0))))</f>
        <v/>
      </c>
      <c r="Y360">
        <f>IF(M359&lt;=0,0,MIN(AR360,M$7+IF(M$2=$AA360,$AC360,IF(M$2=$AF360,$AG360,0))))</f>
        <v/>
      </c>
      <c r="Z360">
        <f>IF(N359&lt;=0,0,MIN(AS360,N$7+IF(N$2=$AA360,$AC360,IF(N$2=$AF360,$AG360,0))))</f>
        <v/>
      </c>
      <c r="AA360">
        <f>IFERROR(ROUND(1/SUMPRODUCT(MAX((C359:N359&gt;0)*($C$3:$N$3&lt;=B360)/$C$2:$N$2)),0),0)</f>
        <v/>
      </c>
      <c r="AB360">
        <f>SUMPRODUCT((C359:N359&gt;0)*$C$7:$N$7)</f>
        <v/>
      </c>
      <c r="AC360">
        <f>MAX(0,Plan!$C$5-AB360)+IF(A360=Plan!$C$8,N(Plan!$C$7),0)</f>
        <v/>
      </c>
      <c r="AD360">
        <f>SUM(C360:N360)</f>
        <v/>
      </c>
      <c r="AE360">
        <f>SUM(O360:Z360)</f>
        <v/>
      </c>
      <c r="AF360">
        <f>IFERROR(ROUND(1/SUMPRODUCT(MAX((C359:N359&gt;0)*($C$3:$N$3&lt;=B360)*($C$2:$N$2&gt;AA360)/$C$2:$N$2)),0),0)</f>
        <v/>
      </c>
      <c r="AG360">
        <f>MAX(0,AC360-MAX(0,SUMPRODUCT(($C$2:$N$2=AA360)*(AH360:AS360-$C$7:$N$7))))</f>
        <v/>
      </c>
      <c r="AH360">
        <f>IF(C359&lt;=0,0,ROUND(C359*(1+IF(AND(C$6&gt;0,$B360&lt;C$6),C$4,C$5)/12),2))</f>
        <v/>
      </c>
      <c r="AI360">
        <f>IF(D359&lt;=0,0,ROUND(D359*(1+IF(AND(D$6&gt;0,$B360&lt;D$6),D$4,D$5)/12),2))</f>
        <v/>
      </c>
      <c r="AJ360">
        <f>IF(E359&lt;=0,0,ROUND(E359*(1+IF(AND(E$6&gt;0,$B360&lt;E$6),E$4,E$5)/12),2))</f>
        <v/>
      </c>
      <c r="AK360">
        <f>IF(F359&lt;=0,0,ROUND(F359*(1+IF(AND(F$6&gt;0,$B360&lt;F$6),F$4,F$5)/12),2))</f>
        <v/>
      </c>
      <c r="AL360">
        <f>IF(G359&lt;=0,0,ROUND(G359*(1+IF(AND(G$6&gt;0,$B360&lt;G$6),G$4,G$5)/12),2))</f>
        <v/>
      </c>
      <c r="AM360">
        <f>IF(H359&lt;=0,0,ROUND(H359*(1+IF(AND(H$6&gt;0,$B360&lt;H$6),H$4,H$5)/12),2))</f>
        <v/>
      </c>
      <c r="AN360">
        <f>IF(I359&lt;=0,0,ROUND(I359*(1+IF(AND(I$6&gt;0,$B360&lt;I$6),I$4,I$5)/12),2))</f>
        <v/>
      </c>
      <c r="AO360">
        <f>IF(J359&lt;=0,0,ROUND(J359*(1+IF(AND(J$6&gt;0,$B360&lt;J$6),J$4,J$5)/12),2))</f>
        <v/>
      </c>
      <c r="AP360">
        <f>IF(K359&lt;=0,0,ROUND(K359*(1+IF(AND(K$6&gt;0,$B360&lt;K$6),K$4,K$5)/12),2))</f>
        <v/>
      </c>
      <c r="AQ360">
        <f>IF(L359&lt;=0,0,ROUND(L359*(1+IF(AND(L$6&gt;0,$B360&lt;L$6),L$4,L$5)/12),2))</f>
        <v/>
      </c>
      <c r="AR360">
        <f>IF(M359&lt;=0,0,ROUND(M359*(1+IF(AND(M$6&gt;0,$B360&lt;M$6),M$4,M$5)/12),2))</f>
        <v/>
      </c>
      <c r="AS360">
        <f>IF(N359&lt;=0,0,ROUND(N359*(1+IF(AND(N$6&gt;0,$B360&lt;N$6),N$4,N$5)/12),2))</f>
        <v/>
      </c>
    </row>
    <row r="361">
      <c r="A361" t="n">
        <v>350</v>
      </c>
      <c r="B361">
        <f>EDATE(Plan!$C$6,349)</f>
        <v/>
      </c>
      <c r="C361">
        <f>IF(C360&lt;=0,0,MAX(0,AH361-O361))</f>
        <v/>
      </c>
      <c r="D361">
        <f>IF(D360&lt;=0,0,MAX(0,AI361-P361))</f>
        <v/>
      </c>
      <c r="E361">
        <f>IF(E360&lt;=0,0,MAX(0,AJ361-Q361))</f>
        <v/>
      </c>
      <c r="F361">
        <f>IF(F360&lt;=0,0,MAX(0,AK361-R361))</f>
        <v/>
      </c>
      <c r="G361">
        <f>IF(G360&lt;=0,0,MAX(0,AL361-S361))</f>
        <v/>
      </c>
      <c r="H361">
        <f>IF(H360&lt;=0,0,MAX(0,AM361-T361))</f>
        <v/>
      </c>
      <c r="I361">
        <f>IF(I360&lt;=0,0,MAX(0,AN361-U361))</f>
        <v/>
      </c>
      <c r="J361">
        <f>IF(J360&lt;=0,0,MAX(0,AO361-V361))</f>
        <v/>
      </c>
      <c r="K361">
        <f>IF(K360&lt;=0,0,MAX(0,AP361-W361))</f>
        <v/>
      </c>
      <c r="L361">
        <f>IF(L360&lt;=0,0,MAX(0,AQ361-X361))</f>
        <v/>
      </c>
      <c r="M361">
        <f>IF(M360&lt;=0,0,MAX(0,AR361-Y361))</f>
        <v/>
      </c>
      <c r="N361">
        <f>IF(N360&lt;=0,0,MAX(0,AS361-Z361))</f>
        <v/>
      </c>
      <c r="O361">
        <f>IF(C360&lt;=0,0,MIN(AH361,C$7+IF(C$2=$AA361,$AC361,IF(C$2=$AF361,$AG361,0))))</f>
        <v/>
      </c>
      <c r="P361">
        <f>IF(D360&lt;=0,0,MIN(AI361,D$7+IF(D$2=$AA361,$AC361,IF(D$2=$AF361,$AG361,0))))</f>
        <v/>
      </c>
      <c r="Q361">
        <f>IF(E360&lt;=0,0,MIN(AJ361,E$7+IF(E$2=$AA361,$AC361,IF(E$2=$AF361,$AG361,0))))</f>
        <v/>
      </c>
      <c r="R361">
        <f>IF(F360&lt;=0,0,MIN(AK361,F$7+IF(F$2=$AA361,$AC361,IF(F$2=$AF361,$AG361,0))))</f>
        <v/>
      </c>
      <c r="S361">
        <f>IF(G360&lt;=0,0,MIN(AL361,G$7+IF(G$2=$AA361,$AC361,IF(G$2=$AF361,$AG361,0))))</f>
        <v/>
      </c>
      <c r="T361">
        <f>IF(H360&lt;=0,0,MIN(AM361,H$7+IF(H$2=$AA361,$AC361,IF(H$2=$AF361,$AG361,0))))</f>
        <v/>
      </c>
      <c r="U361">
        <f>IF(I360&lt;=0,0,MIN(AN361,I$7+IF(I$2=$AA361,$AC361,IF(I$2=$AF361,$AG361,0))))</f>
        <v/>
      </c>
      <c r="V361">
        <f>IF(J360&lt;=0,0,MIN(AO361,J$7+IF(J$2=$AA361,$AC361,IF(J$2=$AF361,$AG361,0))))</f>
        <v/>
      </c>
      <c r="W361">
        <f>IF(K360&lt;=0,0,MIN(AP361,K$7+IF(K$2=$AA361,$AC361,IF(K$2=$AF361,$AG361,0))))</f>
        <v/>
      </c>
      <c r="X361">
        <f>IF(L360&lt;=0,0,MIN(AQ361,L$7+IF(L$2=$AA361,$AC361,IF(L$2=$AF361,$AG361,0))))</f>
        <v/>
      </c>
      <c r="Y361">
        <f>IF(M360&lt;=0,0,MIN(AR361,M$7+IF(M$2=$AA361,$AC361,IF(M$2=$AF361,$AG361,0))))</f>
        <v/>
      </c>
      <c r="Z361">
        <f>IF(N360&lt;=0,0,MIN(AS361,N$7+IF(N$2=$AA361,$AC361,IF(N$2=$AF361,$AG361,0))))</f>
        <v/>
      </c>
      <c r="AA361">
        <f>IFERROR(ROUND(1/SUMPRODUCT(MAX((C360:N360&gt;0)*($C$3:$N$3&lt;=B361)/$C$2:$N$2)),0),0)</f>
        <v/>
      </c>
      <c r="AB361">
        <f>SUMPRODUCT((C360:N360&gt;0)*$C$7:$N$7)</f>
        <v/>
      </c>
      <c r="AC361">
        <f>MAX(0,Plan!$C$5-AB361)+IF(A361=Plan!$C$8,N(Plan!$C$7),0)</f>
        <v/>
      </c>
      <c r="AD361">
        <f>SUM(C361:N361)</f>
        <v/>
      </c>
      <c r="AE361">
        <f>SUM(O361:Z361)</f>
        <v/>
      </c>
      <c r="AF361">
        <f>IFERROR(ROUND(1/SUMPRODUCT(MAX((C360:N360&gt;0)*($C$3:$N$3&lt;=B361)*($C$2:$N$2&gt;AA361)/$C$2:$N$2)),0),0)</f>
        <v/>
      </c>
      <c r="AG361">
        <f>MAX(0,AC361-MAX(0,SUMPRODUCT(($C$2:$N$2=AA361)*(AH361:AS361-$C$7:$N$7))))</f>
        <v/>
      </c>
      <c r="AH361">
        <f>IF(C360&lt;=0,0,ROUND(C360*(1+IF(AND(C$6&gt;0,$B361&lt;C$6),C$4,C$5)/12),2))</f>
        <v/>
      </c>
      <c r="AI361">
        <f>IF(D360&lt;=0,0,ROUND(D360*(1+IF(AND(D$6&gt;0,$B361&lt;D$6),D$4,D$5)/12),2))</f>
        <v/>
      </c>
      <c r="AJ361">
        <f>IF(E360&lt;=0,0,ROUND(E360*(1+IF(AND(E$6&gt;0,$B361&lt;E$6),E$4,E$5)/12),2))</f>
        <v/>
      </c>
      <c r="AK361">
        <f>IF(F360&lt;=0,0,ROUND(F360*(1+IF(AND(F$6&gt;0,$B361&lt;F$6),F$4,F$5)/12),2))</f>
        <v/>
      </c>
      <c r="AL361">
        <f>IF(G360&lt;=0,0,ROUND(G360*(1+IF(AND(G$6&gt;0,$B361&lt;G$6),G$4,G$5)/12),2))</f>
        <v/>
      </c>
      <c r="AM361">
        <f>IF(H360&lt;=0,0,ROUND(H360*(1+IF(AND(H$6&gt;0,$B361&lt;H$6),H$4,H$5)/12),2))</f>
        <v/>
      </c>
      <c r="AN361">
        <f>IF(I360&lt;=0,0,ROUND(I360*(1+IF(AND(I$6&gt;0,$B361&lt;I$6),I$4,I$5)/12),2))</f>
        <v/>
      </c>
      <c r="AO361">
        <f>IF(J360&lt;=0,0,ROUND(J360*(1+IF(AND(J$6&gt;0,$B361&lt;J$6),J$4,J$5)/12),2))</f>
        <v/>
      </c>
      <c r="AP361">
        <f>IF(K360&lt;=0,0,ROUND(K360*(1+IF(AND(K$6&gt;0,$B361&lt;K$6),K$4,K$5)/12),2))</f>
        <v/>
      </c>
      <c r="AQ361">
        <f>IF(L360&lt;=0,0,ROUND(L360*(1+IF(AND(L$6&gt;0,$B361&lt;L$6),L$4,L$5)/12),2))</f>
        <v/>
      </c>
      <c r="AR361">
        <f>IF(M360&lt;=0,0,ROUND(M360*(1+IF(AND(M$6&gt;0,$B361&lt;M$6),M$4,M$5)/12),2))</f>
        <v/>
      </c>
      <c r="AS361">
        <f>IF(N360&lt;=0,0,ROUND(N360*(1+IF(AND(N$6&gt;0,$B361&lt;N$6),N$4,N$5)/12),2))</f>
        <v/>
      </c>
    </row>
    <row r="362">
      <c r="A362" t="n">
        <v>351</v>
      </c>
      <c r="B362">
        <f>EDATE(Plan!$C$6,350)</f>
        <v/>
      </c>
      <c r="C362">
        <f>IF(C361&lt;=0,0,MAX(0,AH362-O362))</f>
        <v/>
      </c>
      <c r="D362">
        <f>IF(D361&lt;=0,0,MAX(0,AI362-P362))</f>
        <v/>
      </c>
      <c r="E362">
        <f>IF(E361&lt;=0,0,MAX(0,AJ362-Q362))</f>
        <v/>
      </c>
      <c r="F362">
        <f>IF(F361&lt;=0,0,MAX(0,AK362-R362))</f>
        <v/>
      </c>
      <c r="G362">
        <f>IF(G361&lt;=0,0,MAX(0,AL362-S362))</f>
        <v/>
      </c>
      <c r="H362">
        <f>IF(H361&lt;=0,0,MAX(0,AM362-T362))</f>
        <v/>
      </c>
      <c r="I362">
        <f>IF(I361&lt;=0,0,MAX(0,AN362-U362))</f>
        <v/>
      </c>
      <c r="J362">
        <f>IF(J361&lt;=0,0,MAX(0,AO362-V362))</f>
        <v/>
      </c>
      <c r="K362">
        <f>IF(K361&lt;=0,0,MAX(0,AP362-W362))</f>
        <v/>
      </c>
      <c r="L362">
        <f>IF(L361&lt;=0,0,MAX(0,AQ362-X362))</f>
        <v/>
      </c>
      <c r="M362">
        <f>IF(M361&lt;=0,0,MAX(0,AR362-Y362))</f>
        <v/>
      </c>
      <c r="N362">
        <f>IF(N361&lt;=0,0,MAX(0,AS362-Z362))</f>
        <v/>
      </c>
      <c r="O362">
        <f>IF(C361&lt;=0,0,MIN(AH362,C$7+IF(C$2=$AA362,$AC362,IF(C$2=$AF362,$AG362,0))))</f>
        <v/>
      </c>
      <c r="P362">
        <f>IF(D361&lt;=0,0,MIN(AI362,D$7+IF(D$2=$AA362,$AC362,IF(D$2=$AF362,$AG362,0))))</f>
        <v/>
      </c>
      <c r="Q362">
        <f>IF(E361&lt;=0,0,MIN(AJ362,E$7+IF(E$2=$AA362,$AC362,IF(E$2=$AF362,$AG362,0))))</f>
        <v/>
      </c>
      <c r="R362">
        <f>IF(F361&lt;=0,0,MIN(AK362,F$7+IF(F$2=$AA362,$AC362,IF(F$2=$AF362,$AG362,0))))</f>
        <v/>
      </c>
      <c r="S362">
        <f>IF(G361&lt;=0,0,MIN(AL362,G$7+IF(G$2=$AA362,$AC362,IF(G$2=$AF362,$AG362,0))))</f>
        <v/>
      </c>
      <c r="T362">
        <f>IF(H361&lt;=0,0,MIN(AM362,H$7+IF(H$2=$AA362,$AC362,IF(H$2=$AF362,$AG362,0))))</f>
        <v/>
      </c>
      <c r="U362">
        <f>IF(I361&lt;=0,0,MIN(AN362,I$7+IF(I$2=$AA362,$AC362,IF(I$2=$AF362,$AG362,0))))</f>
        <v/>
      </c>
      <c r="V362">
        <f>IF(J361&lt;=0,0,MIN(AO362,J$7+IF(J$2=$AA362,$AC362,IF(J$2=$AF362,$AG362,0))))</f>
        <v/>
      </c>
      <c r="W362">
        <f>IF(K361&lt;=0,0,MIN(AP362,K$7+IF(K$2=$AA362,$AC362,IF(K$2=$AF362,$AG362,0))))</f>
        <v/>
      </c>
      <c r="X362">
        <f>IF(L361&lt;=0,0,MIN(AQ362,L$7+IF(L$2=$AA362,$AC362,IF(L$2=$AF362,$AG362,0))))</f>
        <v/>
      </c>
      <c r="Y362">
        <f>IF(M361&lt;=0,0,MIN(AR362,M$7+IF(M$2=$AA362,$AC362,IF(M$2=$AF362,$AG362,0))))</f>
        <v/>
      </c>
      <c r="Z362">
        <f>IF(N361&lt;=0,0,MIN(AS362,N$7+IF(N$2=$AA362,$AC362,IF(N$2=$AF362,$AG362,0))))</f>
        <v/>
      </c>
      <c r="AA362">
        <f>IFERROR(ROUND(1/SUMPRODUCT(MAX((C361:N361&gt;0)*($C$3:$N$3&lt;=B362)/$C$2:$N$2)),0),0)</f>
        <v/>
      </c>
      <c r="AB362">
        <f>SUMPRODUCT((C361:N361&gt;0)*$C$7:$N$7)</f>
        <v/>
      </c>
      <c r="AC362">
        <f>MAX(0,Plan!$C$5-AB362)+IF(A362=Plan!$C$8,N(Plan!$C$7),0)</f>
        <v/>
      </c>
      <c r="AD362">
        <f>SUM(C362:N362)</f>
        <v/>
      </c>
      <c r="AE362">
        <f>SUM(O362:Z362)</f>
        <v/>
      </c>
      <c r="AF362">
        <f>IFERROR(ROUND(1/SUMPRODUCT(MAX((C361:N361&gt;0)*($C$3:$N$3&lt;=B362)*($C$2:$N$2&gt;AA362)/$C$2:$N$2)),0),0)</f>
        <v/>
      </c>
      <c r="AG362">
        <f>MAX(0,AC362-MAX(0,SUMPRODUCT(($C$2:$N$2=AA362)*(AH362:AS362-$C$7:$N$7))))</f>
        <v/>
      </c>
      <c r="AH362">
        <f>IF(C361&lt;=0,0,ROUND(C361*(1+IF(AND(C$6&gt;0,$B362&lt;C$6),C$4,C$5)/12),2))</f>
        <v/>
      </c>
      <c r="AI362">
        <f>IF(D361&lt;=0,0,ROUND(D361*(1+IF(AND(D$6&gt;0,$B362&lt;D$6),D$4,D$5)/12),2))</f>
        <v/>
      </c>
      <c r="AJ362">
        <f>IF(E361&lt;=0,0,ROUND(E361*(1+IF(AND(E$6&gt;0,$B362&lt;E$6),E$4,E$5)/12),2))</f>
        <v/>
      </c>
      <c r="AK362">
        <f>IF(F361&lt;=0,0,ROUND(F361*(1+IF(AND(F$6&gt;0,$B362&lt;F$6),F$4,F$5)/12),2))</f>
        <v/>
      </c>
      <c r="AL362">
        <f>IF(G361&lt;=0,0,ROUND(G361*(1+IF(AND(G$6&gt;0,$B362&lt;G$6),G$4,G$5)/12),2))</f>
        <v/>
      </c>
      <c r="AM362">
        <f>IF(H361&lt;=0,0,ROUND(H361*(1+IF(AND(H$6&gt;0,$B362&lt;H$6),H$4,H$5)/12),2))</f>
        <v/>
      </c>
      <c r="AN362">
        <f>IF(I361&lt;=0,0,ROUND(I361*(1+IF(AND(I$6&gt;0,$B362&lt;I$6),I$4,I$5)/12),2))</f>
        <v/>
      </c>
      <c r="AO362">
        <f>IF(J361&lt;=0,0,ROUND(J361*(1+IF(AND(J$6&gt;0,$B362&lt;J$6),J$4,J$5)/12),2))</f>
        <v/>
      </c>
      <c r="AP362">
        <f>IF(K361&lt;=0,0,ROUND(K361*(1+IF(AND(K$6&gt;0,$B362&lt;K$6),K$4,K$5)/12),2))</f>
        <v/>
      </c>
      <c r="AQ362">
        <f>IF(L361&lt;=0,0,ROUND(L361*(1+IF(AND(L$6&gt;0,$B362&lt;L$6),L$4,L$5)/12),2))</f>
        <v/>
      </c>
      <c r="AR362">
        <f>IF(M361&lt;=0,0,ROUND(M361*(1+IF(AND(M$6&gt;0,$B362&lt;M$6),M$4,M$5)/12),2))</f>
        <v/>
      </c>
      <c r="AS362">
        <f>IF(N361&lt;=0,0,ROUND(N361*(1+IF(AND(N$6&gt;0,$B362&lt;N$6),N$4,N$5)/12),2))</f>
        <v/>
      </c>
    </row>
    <row r="363">
      <c r="A363" t="n">
        <v>352</v>
      </c>
      <c r="B363">
        <f>EDATE(Plan!$C$6,351)</f>
        <v/>
      </c>
      <c r="C363">
        <f>IF(C362&lt;=0,0,MAX(0,AH363-O363))</f>
        <v/>
      </c>
      <c r="D363">
        <f>IF(D362&lt;=0,0,MAX(0,AI363-P363))</f>
        <v/>
      </c>
      <c r="E363">
        <f>IF(E362&lt;=0,0,MAX(0,AJ363-Q363))</f>
        <v/>
      </c>
      <c r="F363">
        <f>IF(F362&lt;=0,0,MAX(0,AK363-R363))</f>
        <v/>
      </c>
      <c r="G363">
        <f>IF(G362&lt;=0,0,MAX(0,AL363-S363))</f>
        <v/>
      </c>
      <c r="H363">
        <f>IF(H362&lt;=0,0,MAX(0,AM363-T363))</f>
        <v/>
      </c>
      <c r="I363">
        <f>IF(I362&lt;=0,0,MAX(0,AN363-U363))</f>
        <v/>
      </c>
      <c r="J363">
        <f>IF(J362&lt;=0,0,MAX(0,AO363-V363))</f>
        <v/>
      </c>
      <c r="K363">
        <f>IF(K362&lt;=0,0,MAX(0,AP363-W363))</f>
        <v/>
      </c>
      <c r="L363">
        <f>IF(L362&lt;=0,0,MAX(0,AQ363-X363))</f>
        <v/>
      </c>
      <c r="M363">
        <f>IF(M362&lt;=0,0,MAX(0,AR363-Y363))</f>
        <v/>
      </c>
      <c r="N363">
        <f>IF(N362&lt;=0,0,MAX(0,AS363-Z363))</f>
        <v/>
      </c>
      <c r="O363">
        <f>IF(C362&lt;=0,0,MIN(AH363,C$7+IF(C$2=$AA363,$AC363,IF(C$2=$AF363,$AG363,0))))</f>
        <v/>
      </c>
      <c r="P363">
        <f>IF(D362&lt;=0,0,MIN(AI363,D$7+IF(D$2=$AA363,$AC363,IF(D$2=$AF363,$AG363,0))))</f>
        <v/>
      </c>
      <c r="Q363">
        <f>IF(E362&lt;=0,0,MIN(AJ363,E$7+IF(E$2=$AA363,$AC363,IF(E$2=$AF363,$AG363,0))))</f>
        <v/>
      </c>
      <c r="R363">
        <f>IF(F362&lt;=0,0,MIN(AK363,F$7+IF(F$2=$AA363,$AC363,IF(F$2=$AF363,$AG363,0))))</f>
        <v/>
      </c>
      <c r="S363">
        <f>IF(G362&lt;=0,0,MIN(AL363,G$7+IF(G$2=$AA363,$AC363,IF(G$2=$AF363,$AG363,0))))</f>
        <v/>
      </c>
      <c r="T363">
        <f>IF(H362&lt;=0,0,MIN(AM363,H$7+IF(H$2=$AA363,$AC363,IF(H$2=$AF363,$AG363,0))))</f>
        <v/>
      </c>
      <c r="U363">
        <f>IF(I362&lt;=0,0,MIN(AN363,I$7+IF(I$2=$AA363,$AC363,IF(I$2=$AF363,$AG363,0))))</f>
        <v/>
      </c>
      <c r="V363">
        <f>IF(J362&lt;=0,0,MIN(AO363,J$7+IF(J$2=$AA363,$AC363,IF(J$2=$AF363,$AG363,0))))</f>
        <v/>
      </c>
      <c r="W363">
        <f>IF(K362&lt;=0,0,MIN(AP363,K$7+IF(K$2=$AA363,$AC363,IF(K$2=$AF363,$AG363,0))))</f>
        <v/>
      </c>
      <c r="X363">
        <f>IF(L362&lt;=0,0,MIN(AQ363,L$7+IF(L$2=$AA363,$AC363,IF(L$2=$AF363,$AG363,0))))</f>
        <v/>
      </c>
      <c r="Y363">
        <f>IF(M362&lt;=0,0,MIN(AR363,M$7+IF(M$2=$AA363,$AC363,IF(M$2=$AF363,$AG363,0))))</f>
        <v/>
      </c>
      <c r="Z363">
        <f>IF(N362&lt;=0,0,MIN(AS363,N$7+IF(N$2=$AA363,$AC363,IF(N$2=$AF363,$AG363,0))))</f>
        <v/>
      </c>
      <c r="AA363">
        <f>IFERROR(ROUND(1/SUMPRODUCT(MAX((C362:N362&gt;0)*($C$3:$N$3&lt;=B363)/$C$2:$N$2)),0),0)</f>
        <v/>
      </c>
      <c r="AB363">
        <f>SUMPRODUCT((C362:N362&gt;0)*$C$7:$N$7)</f>
        <v/>
      </c>
      <c r="AC363">
        <f>MAX(0,Plan!$C$5-AB363)+IF(A363=Plan!$C$8,N(Plan!$C$7),0)</f>
        <v/>
      </c>
      <c r="AD363">
        <f>SUM(C363:N363)</f>
        <v/>
      </c>
      <c r="AE363">
        <f>SUM(O363:Z363)</f>
        <v/>
      </c>
      <c r="AF363">
        <f>IFERROR(ROUND(1/SUMPRODUCT(MAX((C362:N362&gt;0)*($C$3:$N$3&lt;=B363)*($C$2:$N$2&gt;AA363)/$C$2:$N$2)),0),0)</f>
        <v/>
      </c>
      <c r="AG363">
        <f>MAX(0,AC363-MAX(0,SUMPRODUCT(($C$2:$N$2=AA363)*(AH363:AS363-$C$7:$N$7))))</f>
        <v/>
      </c>
      <c r="AH363">
        <f>IF(C362&lt;=0,0,ROUND(C362*(1+IF(AND(C$6&gt;0,$B363&lt;C$6),C$4,C$5)/12),2))</f>
        <v/>
      </c>
      <c r="AI363">
        <f>IF(D362&lt;=0,0,ROUND(D362*(1+IF(AND(D$6&gt;0,$B363&lt;D$6),D$4,D$5)/12),2))</f>
        <v/>
      </c>
      <c r="AJ363">
        <f>IF(E362&lt;=0,0,ROUND(E362*(1+IF(AND(E$6&gt;0,$B363&lt;E$6),E$4,E$5)/12),2))</f>
        <v/>
      </c>
      <c r="AK363">
        <f>IF(F362&lt;=0,0,ROUND(F362*(1+IF(AND(F$6&gt;0,$B363&lt;F$6),F$4,F$5)/12),2))</f>
        <v/>
      </c>
      <c r="AL363">
        <f>IF(G362&lt;=0,0,ROUND(G362*(1+IF(AND(G$6&gt;0,$B363&lt;G$6),G$4,G$5)/12),2))</f>
        <v/>
      </c>
      <c r="AM363">
        <f>IF(H362&lt;=0,0,ROUND(H362*(1+IF(AND(H$6&gt;0,$B363&lt;H$6),H$4,H$5)/12),2))</f>
        <v/>
      </c>
      <c r="AN363">
        <f>IF(I362&lt;=0,0,ROUND(I362*(1+IF(AND(I$6&gt;0,$B363&lt;I$6),I$4,I$5)/12),2))</f>
        <v/>
      </c>
      <c r="AO363">
        <f>IF(J362&lt;=0,0,ROUND(J362*(1+IF(AND(J$6&gt;0,$B363&lt;J$6),J$4,J$5)/12),2))</f>
        <v/>
      </c>
      <c r="AP363">
        <f>IF(K362&lt;=0,0,ROUND(K362*(1+IF(AND(K$6&gt;0,$B363&lt;K$6),K$4,K$5)/12),2))</f>
        <v/>
      </c>
      <c r="AQ363">
        <f>IF(L362&lt;=0,0,ROUND(L362*(1+IF(AND(L$6&gt;0,$B363&lt;L$6),L$4,L$5)/12),2))</f>
        <v/>
      </c>
      <c r="AR363">
        <f>IF(M362&lt;=0,0,ROUND(M362*(1+IF(AND(M$6&gt;0,$B363&lt;M$6),M$4,M$5)/12),2))</f>
        <v/>
      </c>
      <c r="AS363">
        <f>IF(N362&lt;=0,0,ROUND(N362*(1+IF(AND(N$6&gt;0,$B363&lt;N$6),N$4,N$5)/12),2))</f>
        <v/>
      </c>
    </row>
    <row r="364">
      <c r="A364" t="n">
        <v>353</v>
      </c>
      <c r="B364">
        <f>EDATE(Plan!$C$6,352)</f>
        <v/>
      </c>
      <c r="C364">
        <f>IF(C363&lt;=0,0,MAX(0,AH364-O364))</f>
        <v/>
      </c>
      <c r="D364">
        <f>IF(D363&lt;=0,0,MAX(0,AI364-P364))</f>
        <v/>
      </c>
      <c r="E364">
        <f>IF(E363&lt;=0,0,MAX(0,AJ364-Q364))</f>
        <v/>
      </c>
      <c r="F364">
        <f>IF(F363&lt;=0,0,MAX(0,AK364-R364))</f>
        <v/>
      </c>
      <c r="G364">
        <f>IF(G363&lt;=0,0,MAX(0,AL364-S364))</f>
        <v/>
      </c>
      <c r="H364">
        <f>IF(H363&lt;=0,0,MAX(0,AM364-T364))</f>
        <v/>
      </c>
      <c r="I364">
        <f>IF(I363&lt;=0,0,MAX(0,AN364-U364))</f>
        <v/>
      </c>
      <c r="J364">
        <f>IF(J363&lt;=0,0,MAX(0,AO364-V364))</f>
        <v/>
      </c>
      <c r="K364">
        <f>IF(K363&lt;=0,0,MAX(0,AP364-W364))</f>
        <v/>
      </c>
      <c r="L364">
        <f>IF(L363&lt;=0,0,MAX(0,AQ364-X364))</f>
        <v/>
      </c>
      <c r="M364">
        <f>IF(M363&lt;=0,0,MAX(0,AR364-Y364))</f>
        <v/>
      </c>
      <c r="N364">
        <f>IF(N363&lt;=0,0,MAX(0,AS364-Z364))</f>
        <v/>
      </c>
      <c r="O364">
        <f>IF(C363&lt;=0,0,MIN(AH364,C$7+IF(C$2=$AA364,$AC364,IF(C$2=$AF364,$AG364,0))))</f>
        <v/>
      </c>
      <c r="P364">
        <f>IF(D363&lt;=0,0,MIN(AI364,D$7+IF(D$2=$AA364,$AC364,IF(D$2=$AF364,$AG364,0))))</f>
        <v/>
      </c>
      <c r="Q364">
        <f>IF(E363&lt;=0,0,MIN(AJ364,E$7+IF(E$2=$AA364,$AC364,IF(E$2=$AF364,$AG364,0))))</f>
        <v/>
      </c>
      <c r="R364">
        <f>IF(F363&lt;=0,0,MIN(AK364,F$7+IF(F$2=$AA364,$AC364,IF(F$2=$AF364,$AG364,0))))</f>
        <v/>
      </c>
      <c r="S364">
        <f>IF(G363&lt;=0,0,MIN(AL364,G$7+IF(G$2=$AA364,$AC364,IF(G$2=$AF364,$AG364,0))))</f>
        <v/>
      </c>
      <c r="T364">
        <f>IF(H363&lt;=0,0,MIN(AM364,H$7+IF(H$2=$AA364,$AC364,IF(H$2=$AF364,$AG364,0))))</f>
        <v/>
      </c>
      <c r="U364">
        <f>IF(I363&lt;=0,0,MIN(AN364,I$7+IF(I$2=$AA364,$AC364,IF(I$2=$AF364,$AG364,0))))</f>
        <v/>
      </c>
      <c r="V364">
        <f>IF(J363&lt;=0,0,MIN(AO364,J$7+IF(J$2=$AA364,$AC364,IF(J$2=$AF364,$AG364,0))))</f>
        <v/>
      </c>
      <c r="W364">
        <f>IF(K363&lt;=0,0,MIN(AP364,K$7+IF(K$2=$AA364,$AC364,IF(K$2=$AF364,$AG364,0))))</f>
        <v/>
      </c>
      <c r="X364">
        <f>IF(L363&lt;=0,0,MIN(AQ364,L$7+IF(L$2=$AA364,$AC364,IF(L$2=$AF364,$AG364,0))))</f>
        <v/>
      </c>
      <c r="Y364">
        <f>IF(M363&lt;=0,0,MIN(AR364,M$7+IF(M$2=$AA364,$AC364,IF(M$2=$AF364,$AG364,0))))</f>
        <v/>
      </c>
      <c r="Z364">
        <f>IF(N363&lt;=0,0,MIN(AS364,N$7+IF(N$2=$AA364,$AC364,IF(N$2=$AF364,$AG364,0))))</f>
        <v/>
      </c>
      <c r="AA364">
        <f>IFERROR(ROUND(1/SUMPRODUCT(MAX((C363:N363&gt;0)*($C$3:$N$3&lt;=B364)/$C$2:$N$2)),0),0)</f>
        <v/>
      </c>
      <c r="AB364">
        <f>SUMPRODUCT((C363:N363&gt;0)*$C$7:$N$7)</f>
        <v/>
      </c>
      <c r="AC364">
        <f>MAX(0,Plan!$C$5-AB364)+IF(A364=Plan!$C$8,N(Plan!$C$7),0)</f>
        <v/>
      </c>
      <c r="AD364">
        <f>SUM(C364:N364)</f>
        <v/>
      </c>
      <c r="AE364">
        <f>SUM(O364:Z364)</f>
        <v/>
      </c>
      <c r="AF364">
        <f>IFERROR(ROUND(1/SUMPRODUCT(MAX((C363:N363&gt;0)*($C$3:$N$3&lt;=B364)*($C$2:$N$2&gt;AA364)/$C$2:$N$2)),0),0)</f>
        <v/>
      </c>
      <c r="AG364">
        <f>MAX(0,AC364-MAX(0,SUMPRODUCT(($C$2:$N$2=AA364)*(AH364:AS364-$C$7:$N$7))))</f>
        <v/>
      </c>
      <c r="AH364">
        <f>IF(C363&lt;=0,0,ROUND(C363*(1+IF(AND(C$6&gt;0,$B364&lt;C$6),C$4,C$5)/12),2))</f>
        <v/>
      </c>
      <c r="AI364">
        <f>IF(D363&lt;=0,0,ROUND(D363*(1+IF(AND(D$6&gt;0,$B364&lt;D$6),D$4,D$5)/12),2))</f>
        <v/>
      </c>
      <c r="AJ364">
        <f>IF(E363&lt;=0,0,ROUND(E363*(1+IF(AND(E$6&gt;0,$B364&lt;E$6),E$4,E$5)/12),2))</f>
        <v/>
      </c>
      <c r="AK364">
        <f>IF(F363&lt;=0,0,ROUND(F363*(1+IF(AND(F$6&gt;0,$B364&lt;F$6),F$4,F$5)/12),2))</f>
        <v/>
      </c>
      <c r="AL364">
        <f>IF(G363&lt;=0,0,ROUND(G363*(1+IF(AND(G$6&gt;0,$B364&lt;G$6),G$4,G$5)/12),2))</f>
        <v/>
      </c>
      <c r="AM364">
        <f>IF(H363&lt;=0,0,ROUND(H363*(1+IF(AND(H$6&gt;0,$B364&lt;H$6),H$4,H$5)/12),2))</f>
        <v/>
      </c>
      <c r="AN364">
        <f>IF(I363&lt;=0,0,ROUND(I363*(1+IF(AND(I$6&gt;0,$B364&lt;I$6),I$4,I$5)/12),2))</f>
        <v/>
      </c>
      <c r="AO364">
        <f>IF(J363&lt;=0,0,ROUND(J363*(1+IF(AND(J$6&gt;0,$B364&lt;J$6),J$4,J$5)/12),2))</f>
        <v/>
      </c>
      <c r="AP364">
        <f>IF(K363&lt;=0,0,ROUND(K363*(1+IF(AND(K$6&gt;0,$B364&lt;K$6),K$4,K$5)/12),2))</f>
        <v/>
      </c>
      <c r="AQ364">
        <f>IF(L363&lt;=0,0,ROUND(L363*(1+IF(AND(L$6&gt;0,$B364&lt;L$6),L$4,L$5)/12),2))</f>
        <v/>
      </c>
      <c r="AR364">
        <f>IF(M363&lt;=0,0,ROUND(M363*(1+IF(AND(M$6&gt;0,$B364&lt;M$6),M$4,M$5)/12),2))</f>
        <v/>
      </c>
      <c r="AS364">
        <f>IF(N363&lt;=0,0,ROUND(N363*(1+IF(AND(N$6&gt;0,$B364&lt;N$6),N$4,N$5)/12),2))</f>
        <v/>
      </c>
    </row>
    <row r="365">
      <c r="A365" t="n">
        <v>354</v>
      </c>
      <c r="B365">
        <f>EDATE(Plan!$C$6,353)</f>
        <v/>
      </c>
      <c r="C365">
        <f>IF(C364&lt;=0,0,MAX(0,AH365-O365))</f>
        <v/>
      </c>
      <c r="D365">
        <f>IF(D364&lt;=0,0,MAX(0,AI365-P365))</f>
        <v/>
      </c>
      <c r="E365">
        <f>IF(E364&lt;=0,0,MAX(0,AJ365-Q365))</f>
        <v/>
      </c>
      <c r="F365">
        <f>IF(F364&lt;=0,0,MAX(0,AK365-R365))</f>
        <v/>
      </c>
      <c r="G365">
        <f>IF(G364&lt;=0,0,MAX(0,AL365-S365))</f>
        <v/>
      </c>
      <c r="H365">
        <f>IF(H364&lt;=0,0,MAX(0,AM365-T365))</f>
        <v/>
      </c>
      <c r="I365">
        <f>IF(I364&lt;=0,0,MAX(0,AN365-U365))</f>
        <v/>
      </c>
      <c r="J365">
        <f>IF(J364&lt;=0,0,MAX(0,AO365-V365))</f>
        <v/>
      </c>
      <c r="K365">
        <f>IF(K364&lt;=0,0,MAX(0,AP365-W365))</f>
        <v/>
      </c>
      <c r="L365">
        <f>IF(L364&lt;=0,0,MAX(0,AQ365-X365))</f>
        <v/>
      </c>
      <c r="M365">
        <f>IF(M364&lt;=0,0,MAX(0,AR365-Y365))</f>
        <v/>
      </c>
      <c r="N365">
        <f>IF(N364&lt;=0,0,MAX(0,AS365-Z365))</f>
        <v/>
      </c>
      <c r="O365">
        <f>IF(C364&lt;=0,0,MIN(AH365,C$7+IF(C$2=$AA365,$AC365,IF(C$2=$AF365,$AG365,0))))</f>
        <v/>
      </c>
      <c r="P365">
        <f>IF(D364&lt;=0,0,MIN(AI365,D$7+IF(D$2=$AA365,$AC365,IF(D$2=$AF365,$AG365,0))))</f>
        <v/>
      </c>
      <c r="Q365">
        <f>IF(E364&lt;=0,0,MIN(AJ365,E$7+IF(E$2=$AA365,$AC365,IF(E$2=$AF365,$AG365,0))))</f>
        <v/>
      </c>
      <c r="R365">
        <f>IF(F364&lt;=0,0,MIN(AK365,F$7+IF(F$2=$AA365,$AC365,IF(F$2=$AF365,$AG365,0))))</f>
        <v/>
      </c>
      <c r="S365">
        <f>IF(G364&lt;=0,0,MIN(AL365,G$7+IF(G$2=$AA365,$AC365,IF(G$2=$AF365,$AG365,0))))</f>
        <v/>
      </c>
      <c r="T365">
        <f>IF(H364&lt;=0,0,MIN(AM365,H$7+IF(H$2=$AA365,$AC365,IF(H$2=$AF365,$AG365,0))))</f>
        <v/>
      </c>
      <c r="U365">
        <f>IF(I364&lt;=0,0,MIN(AN365,I$7+IF(I$2=$AA365,$AC365,IF(I$2=$AF365,$AG365,0))))</f>
        <v/>
      </c>
      <c r="V365">
        <f>IF(J364&lt;=0,0,MIN(AO365,J$7+IF(J$2=$AA365,$AC365,IF(J$2=$AF365,$AG365,0))))</f>
        <v/>
      </c>
      <c r="W365">
        <f>IF(K364&lt;=0,0,MIN(AP365,K$7+IF(K$2=$AA365,$AC365,IF(K$2=$AF365,$AG365,0))))</f>
        <v/>
      </c>
      <c r="X365">
        <f>IF(L364&lt;=0,0,MIN(AQ365,L$7+IF(L$2=$AA365,$AC365,IF(L$2=$AF365,$AG365,0))))</f>
        <v/>
      </c>
      <c r="Y365">
        <f>IF(M364&lt;=0,0,MIN(AR365,M$7+IF(M$2=$AA365,$AC365,IF(M$2=$AF365,$AG365,0))))</f>
        <v/>
      </c>
      <c r="Z365">
        <f>IF(N364&lt;=0,0,MIN(AS365,N$7+IF(N$2=$AA365,$AC365,IF(N$2=$AF365,$AG365,0))))</f>
        <v/>
      </c>
      <c r="AA365">
        <f>IFERROR(ROUND(1/SUMPRODUCT(MAX((C364:N364&gt;0)*($C$3:$N$3&lt;=B365)/$C$2:$N$2)),0),0)</f>
        <v/>
      </c>
      <c r="AB365">
        <f>SUMPRODUCT((C364:N364&gt;0)*$C$7:$N$7)</f>
        <v/>
      </c>
      <c r="AC365">
        <f>MAX(0,Plan!$C$5-AB365)+IF(A365=Plan!$C$8,N(Plan!$C$7),0)</f>
        <v/>
      </c>
      <c r="AD365">
        <f>SUM(C365:N365)</f>
        <v/>
      </c>
      <c r="AE365">
        <f>SUM(O365:Z365)</f>
        <v/>
      </c>
      <c r="AF365">
        <f>IFERROR(ROUND(1/SUMPRODUCT(MAX((C364:N364&gt;0)*($C$3:$N$3&lt;=B365)*($C$2:$N$2&gt;AA365)/$C$2:$N$2)),0),0)</f>
        <v/>
      </c>
      <c r="AG365">
        <f>MAX(0,AC365-MAX(0,SUMPRODUCT(($C$2:$N$2=AA365)*(AH365:AS365-$C$7:$N$7))))</f>
        <v/>
      </c>
      <c r="AH365">
        <f>IF(C364&lt;=0,0,ROUND(C364*(1+IF(AND(C$6&gt;0,$B365&lt;C$6),C$4,C$5)/12),2))</f>
        <v/>
      </c>
      <c r="AI365">
        <f>IF(D364&lt;=0,0,ROUND(D364*(1+IF(AND(D$6&gt;0,$B365&lt;D$6),D$4,D$5)/12),2))</f>
        <v/>
      </c>
      <c r="AJ365">
        <f>IF(E364&lt;=0,0,ROUND(E364*(1+IF(AND(E$6&gt;0,$B365&lt;E$6),E$4,E$5)/12),2))</f>
        <v/>
      </c>
      <c r="AK365">
        <f>IF(F364&lt;=0,0,ROUND(F364*(1+IF(AND(F$6&gt;0,$B365&lt;F$6),F$4,F$5)/12),2))</f>
        <v/>
      </c>
      <c r="AL365">
        <f>IF(G364&lt;=0,0,ROUND(G364*(1+IF(AND(G$6&gt;0,$B365&lt;G$6),G$4,G$5)/12),2))</f>
        <v/>
      </c>
      <c r="AM365">
        <f>IF(H364&lt;=0,0,ROUND(H364*(1+IF(AND(H$6&gt;0,$B365&lt;H$6),H$4,H$5)/12),2))</f>
        <v/>
      </c>
      <c r="AN365">
        <f>IF(I364&lt;=0,0,ROUND(I364*(1+IF(AND(I$6&gt;0,$B365&lt;I$6),I$4,I$5)/12),2))</f>
        <v/>
      </c>
      <c r="AO365">
        <f>IF(J364&lt;=0,0,ROUND(J364*(1+IF(AND(J$6&gt;0,$B365&lt;J$6),J$4,J$5)/12),2))</f>
        <v/>
      </c>
      <c r="AP365">
        <f>IF(K364&lt;=0,0,ROUND(K364*(1+IF(AND(K$6&gt;0,$B365&lt;K$6),K$4,K$5)/12),2))</f>
        <v/>
      </c>
      <c r="AQ365">
        <f>IF(L364&lt;=0,0,ROUND(L364*(1+IF(AND(L$6&gt;0,$B365&lt;L$6),L$4,L$5)/12),2))</f>
        <v/>
      </c>
      <c r="AR365">
        <f>IF(M364&lt;=0,0,ROUND(M364*(1+IF(AND(M$6&gt;0,$B365&lt;M$6),M$4,M$5)/12),2))</f>
        <v/>
      </c>
      <c r="AS365">
        <f>IF(N364&lt;=0,0,ROUND(N364*(1+IF(AND(N$6&gt;0,$B365&lt;N$6),N$4,N$5)/12),2))</f>
        <v/>
      </c>
    </row>
    <row r="366">
      <c r="A366" t="n">
        <v>355</v>
      </c>
      <c r="B366">
        <f>EDATE(Plan!$C$6,354)</f>
        <v/>
      </c>
      <c r="C366">
        <f>IF(C365&lt;=0,0,MAX(0,AH366-O366))</f>
        <v/>
      </c>
      <c r="D366">
        <f>IF(D365&lt;=0,0,MAX(0,AI366-P366))</f>
        <v/>
      </c>
      <c r="E366">
        <f>IF(E365&lt;=0,0,MAX(0,AJ366-Q366))</f>
        <v/>
      </c>
      <c r="F366">
        <f>IF(F365&lt;=0,0,MAX(0,AK366-R366))</f>
        <v/>
      </c>
      <c r="G366">
        <f>IF(G365&lt;=0,0,MAX(0,AL366-S366))</f>
        <v/>
      </c>
      <c r="H366">
        <f>IF(H365&lt;=0,0,MAX(0,AM366-T366))</f>
        <v/>
      </c>
      <c r="I366">
        <f>IF(I365&lt;=0,0,MAX(0,AN366-U366))</f>
        <v/>
      </c>
      <c r="J366">
        <f>IF(J365&lt;=0,0,MAX(0,AO366-V366))</f>
        <v/>
      </c>
      <c r="K366">
        <f>IF(K365&lt;=0,0,MAX(0,AP366-W366))</f>
        <v/>
      </c>
      <c r="L366">
        <f>IF(L365&lt;=0,0,MAX(0,AQ366-X366))</f>
        <v/>
      </c>
      <c r="M366">
        <f>IF(M365&lt;=0,0,MAX(0,AR366-Y366))</f>
        <v/>
      </c>
      <c r="N366">
        <f>IF(N365&lt;=0,0,MAX(0,AS366-Z366))</f>
        <v/>
      </c>
      <c r="O366">
        <f>IF(C365&lt;=0,0,MIN(AH366,C$7+IF(C$2=$AA366,$AC366,IF(C$2=$AF366,$AG366,0))))</f>
        <v/>
      </c>
      <c r="P366">
        <f>IF(D365&lt;=0,0,MIN(AI366,D$7+IF(D$2=$AA366,$AC366,IF(D$2=$AF366,$AG366,0))))</f>
        <v/>
      </c>
      <c r="Q366">
        <f>IF(E365&lt;=0,0,MIN(AJ366,E$7+IF(E$2=$AA366,$AC366,IF(E$2=$AF366,$AG366,0))))</f>
        <v/>
      </c>
      <c r="R366">
        <f>IF(F365&lt;=0,0,MIN(AK366,F$7+IF(F$2=$AA366,$AC366,IF(F$2=$AF366,$AG366,0))))</f>
        <v/>
      </c>
      <c r="S366">
        <f>IF(G365&lt;=0,0,MIN(AL366,G$7+IF(G$2=$AA366,$AC366,IF(G$2=$AF366,$AG366,0))))</f>
        <v/>
      </c>
      <c r="T366">
        <f>IF(H365&lt;=0,0,MIN(AM366,H$7+IF(H$2=$AA366,$AC366,IF(H$2=$AF366,$AG366,0))))</f>
        <v/>
      </c>
      <c r="U366">
        <f>IF(I365&lt;=0,0,MIN(AN366,I$7+IF(I$2=$AA366,$AC366,IF(I$2=$AF366,$AG366,0))))</f>
        <v/>
      </c>
      <c r="V366">
        <f>IF(J365&lt;=0,0,MIN(AO366,J$7+IF(J$2=$AA366,$AC366,IF(J$2=$AF366,$AG366,0))))</f>
        <v/>
      </c>
      <c r="W366">
        <f>IF(K365&lt;=0,0,MIN(AP366,K$7+IF(K$2=$AA366,$AC366,IF(K$2=$AF366,$AG366,0))))</f>
        <v/>
      </c>
      <c r="X366">
        <f>IF(L365&lt;=0,0,MIN(AQ366,L$7+IF(L$2=$AA366,$AC366,IF(L$2=$AF366,$AG366,0))))</f>
        <v/>
      </c>
      <c r="Y366">
        <f>IF(M365&lt;=0,0,MIN(AR366,M$7+IF(M$2=$AA366,$AC366,IF(M$2=$AF366,$AG366,0))))</f>
        <v/>
      </c>
      <c r="Z366">
        <f>IF(N365&lt;=0,0,MIN(AS366,N$7+IF(N$2=$AA366,$AC366,IF(N$2=$AF366,$AG366,0))))</f>
        <v/>
      </c>
      <c r="AA366">
        <f>IFERROR(ROUND(1/SUMPRODUCT(MAX((C365:N365&gt;0)*($C$3:$N$3&lt;=B366)/$C$2:$N$2)),0),0)</f>
        <v/>
      </c>
      <c r="AB366">
        <f>SUMPRODUCT((C365:N365&gt;0)*$C$7:$N$7)</f>
        <v/>
      </c>
      <c r="AC366">
        <f>MAX(0,Plan!$C$5-AB366)+IF(A366=Plan!$C$8,N(Plan!$C$7),0)</f>
        <v/>
      </c>
      <c r="AD366">
        <f>SUM(C366:N366)</f>
        <v/>
      </c>
      <c r="AE366">
        <f>SUM(O366:Z366)</f>
        <v/>
      </c>
      <c r="AF366">
        <f>IFERROR(ROUND(1/SUMPRODUCT(MAX((C365:N365&gt;0)*($C$3:$N$3&lt;=B366)*($C$2:$N$2&gt;AA366)/$C$2:$N$2)),0),0)</f>
        <v/>
      </c>
      <c r="AG366">
        <f>MAX(0,AC366-MAX(0,SUMPRODUCT(($C$2:$N$2=AA366)*(AH366:AS366-$C$7:$N$7))))</f>
        <v/>
      </c>
      <c r="AH366">
        <f>IF(C365&lt;=0,0,ROUND(C365*(1+IF(AND(C$6&gt;0,$B366&lt;C$6),C$4,C$5)/12),2))</f>
        <v/>
      </c>
      <c r="AI366">
        <f>IF(D365&lt;=0,0,ROUND(D365*(1+IF(AND(D$6&gt;0,$B366&lt;D$6),D$4,D$5)/12),2))</f>
        <v/>
      </c>
      <c r="AJ366">
        <f>IF(E365&lt;=0,0,ROUND(E365*(1+IF(AND(E$6&gt;0,$B366&lt;E$6),E$4,E$5)/12),2))</f>
        <v/>
      </c>
      <c r="AK366">
        <f>IF(F365&lt;=0,0,ROUND(F365*(1+IF(AND(F$6&gt;0,$B366&lt;F$6),F$4,F$5)/12),2))</f>
        <v/>
      </c>
      <c r="AL366">
        <f>IF(G365&lt;=0,0,ROUND(G365*(1+IF(AND(G$6&gt;0,$B366&lt;G$6),G$4,G$5)/12),2))</f>
        <v/>
      </c>
      <c r="AM366">
        <f>IF(H365&lt;=0,0,ROUND(H365*(1+IF(AND(H$6&gt;0,$B366&lt;H$6),H$4,H$5)/12),2))</f>
        <v/>
      </c>
      <c r="AN366">
        <f>IF(I365&lt;=0,0,ROUND(I365*(1+IF(AND(I$6&gt;0,$B366&lt;I$6),I$4,I$5)/12),2))</f>
        <v/>
      </c>
      <c r="AO366">
        <f>IF(J365&lt;=0,0,ROUND(J365*(1+IF(AND(J$6&gt;0,$B366&lt;J$6),J$4,J$5)/12),2))</f>
        <v/>
      </c>
      <c r="AP366">
        <f>IF(K365&lt;=0,0,ROUND(K365*(1+IF(AND(K$6&gt;0,$B366&lt;K$6),K$4,K$5)/12),2))</f>
        <v/>
      </c>
      <c r="AQ366">
        <f>IF(L365&lt;=0,0,ROUND(L365*(1+IF(AND(L$6&gt;0,$B366&lt;L$6),L$4,L$5)/12),2))</f>
        <v/>
      </c>
      <c r="AR366">
        <f>IF(M365&lt;=0,0,ROUND(M365*(1+IF(AND(M$6&gt;0,$B366&lt;M$6),M$4,M$5)/12),2))</f>
        <v/>
      </c>
      <c r="AS366">
        <f>IF(N365&lt;=0,0,ROUND(N365*(1+IF(AND(N$6&gt;0,$B366&lt;N$6),N$4,N$5)/12),2))</f>
        <v/>
      </c>
    </row>
    <row r="367">
      <c r="A367" t="n">
        <v>356</v>
      </c>
      <c r="B367">
        <f>EDATE(Plan!$C$6,355)</f>
        <v/>
      </c>
      <c r="C367">
        <f>IF(C366&lt;=0,0,MAX(0,AH367-O367))</f>
        <v/>
      </c>
      <c r="D367">
        <f>IF(D366&lt;=0,0,MAX(0,AI367-P367))</f>
        <v/>
      </c>
      <c r="E367">
        <f>IF(E366&lt;=0,0,MAX(0,AJ367-Q367))</f>
        <v/>
      </c>
      <c r="F367">
        <f>IF(F366&lt;=0,0,MAX(0,AK367-R367))</f>
        <v/>
      </c>
      <c r="G367">
        <f>IF(G366&lt;=0,0,MAX(0,AL367-S367))</f>
        <v/>
      </c>
      <c r="H367">
        <f>IF(H366&lt;=0,0,MAX(0,AM367-T367))</f>
        <v/>
      </c>
      <c r="I367">
        <f>IF(I366&lt;=0,0,MAX(0,AN367-U367))</f>
        <v/>
      </c>
      <c r="J367">
        <f>IF(J366&lt;=0,0,MAX(0,AO367-V367))</f>
        <v/>
      </c>
      <c r="K367">
        <f>IF(K366&lt;=0,0,MAX(0,AP367-W367))</f>
        <v/>
      </c>
      <c r="L367">
        <f>IF(L366&lt;=0,0,MAX(0,AQ367-X367))</f>
        <v/>
      </c>
      <c r="M367">
        <f>IF(M366&lt;=0,0,MAX(0,AR367-Y367))</f>
        <v/>
      </c>
      <c r="N367">
        <f>IF(N366&lt;=0,0,MAX(0,AS367-Z367))</f>
        <v/>
      </c>
      <c r="O367">
        <f>IF(C366&lt;=0,0,MIN(AH367,C$7+IF(C$2=$AA367,$AC367,IF(C$2=$AF367,$AG367,0))))</f>
        <v/>
      </c>
      <c r="P367">
        <f>IF(D366&lt;=0,0,MIN(AI367,D$7+IF(D$2=$AA367,$AC367,IF(D$2=$AF367,$AG367,0))))</f>
        <v/>
      </c>
      <c r="Q367">
        <f>IF(E366&lt;=0,0,MIN(AJ367,E$7+IF(E$2=$AA367,$AC367,IF(E$2=$AF367,$AG367,0))))</f>
        <v/>
      </c>
      <c r="R367">
        <f>IF(F366&lt;=0,0,MIN(AK367,F$7+IF(F$2=$AA367,$AC367,IF(F$2=$AF367,$AG367,0))))</f>
        <v/>
      </c>
      <c r="S367">
        <f>IF(G366&lt;=0,0,MIN(AL367,G$7+IF(G$2=$AA367,$AC367,IF(G$2=$AF367,$AG367,0))))</f>
        <v/>
      </c>
      <c r="T367">
        <f>IF(H366&lt;=0,0,MIN(AM367,H$7+IF(H$2=$AA367,$AC367,IF(H$2=$AF367,$AG367,0))))</f>
        <v/>
      </c>
      <c r="U367">
        <f>IF(I366&lt;=0,0,MIN(AN367,I$7+IF(I$2=$AA367,$AC367,IF(I$2=$AF367,$AG367,0))))</f>
        <v/>
      </c>
      <c r="V367">
        <f>IF(J366&lt;=0,0,MIN(AO367,J$7+IF(J$2=$AA367,$AC367,IF(J$2=$AF367,$AG367,0))))</f>
        <v/>
      </c>
      <c r="W367">
        <f>IF(K366&lt;=0,0,MIN(AP367,K$7+IF(K$2=$AA367,$AC367,IF(K$2=$AF367,$AG367,0))))</f>
        <v/>
      </c>
      <c r="X367">
        <f>IF(L366&lt;=0,0,MIN(AQ367,L$7+IF(L$2=$AA367,$AC367,IF(L$2=$AF367,$AG367,0))))</f>
        <v/>
      </c>
      <c r="Y367">
        <f>IF(M366&lt;=0,0,MIN(AR367,M$7+IF(M$2=$AA367,$AC367,IF(M$2=$AF367,$AG367,0))))</f>
        <v/>
      </c>
      <c r="Z367">
        <f>IF(N366&lt;=0,0,MIN(AS367,N$7+IF(N$2=$AA367,$AC367,IF(N$2=$AF367,$AG367,0))))</f>
        <v/>
      </c>
      <c r="AA367">
        <f>IFERROR(ROUND(1/SUMPRODUCT(MAX((C366:N366&gt;0)*($C$3:$N$3&lt;=B367)/$C$2:$N$2)),0),0)</f>
        <v/>
      </c>
      <c r="AB367">
        <f>SUMPRODUCT((C366:N366&gt;0)*$C$7:$N$7)</f>
        <v/>
      </c>
      <c r="AC367">
        <f>MAX(0,Plan!$C$5-AB367)+IF(A367=Plan!$C$8,N(Plan!$C$7),0)</f>
        <v/>
      </c>
      <c r="AD367">
        <f>SUM(C367:N367)</f>
        <v/>
      </c>
      <c r="AE367">
        <f>SUM(O367:Z367)</f>
        <v/>
      </c>
      <c r="AF367">
        <f>IFERROR(ROUND(1/SUMPRODUCT(MAX((C366:N366&gt;0)*($C$3:$N$3&lt;=B367)*($C$2:$N$2&gt;AA367)/$C$2:$N$2)),0),0)</f>
        <v/>
      </c>
      <c r="AG367">
        <f>MAX(0,AC367-MAX(0,SUMPRODUCT(($C$2:$N$2=AA367)*(AH367:AS367-$C$7:$N$7))))</f>
        <v/>
      </c>
      <c r="AH367">
        <f>IF(C366&lt;=0,0,ROUND(C366*(1+IF(AND(C$6&gt;0,$B367&lt;C$6),C$4,C$5)/12),2))</f>
        <v/>
      </c>
      <c r="AI367">
        <f>IF(D366&lt;=0,0,ROUND(D366*(1+IF(AND(D$6&gt;0,$B367&lt;D$6),D$4,D$5)/12),2))</f>
        <v/>
      </c>
      <c r="AJ367">
        <f>IF(E366&lt;=0,0,ROUND(E366*(1+IF(AND(E$6&gt;0,$B367&lt;E$6),E$4,E$5)/12),2))</f>
        <v/>
      </c>
      <c r="AK367">
        <f>IF(F366&lt;=0,0,ROUND(F366*(1+IF(AND(F$6&gt;0,$B367&lt;F$6),F$4,F$5)/12),2))</f>
        <v/>
      </c>
      <c r="AL367">
        <f>IF(G366&lt;=0,0,ROUND(G366*(1+IF(AND(G$6&gt;0,$B367&lt;G$6),G$4,G$5)/12),2))</f>
        <v/>
      </c>
      <c r="AM367">
        <f>IF(H366&lt;=0,0,ROUND(H366*(1+IF(AND(H$6&gt;0,$B367&lt;H$6),H$4,H$5)/12),2))</f>
        <v/>
      </c>
      <c r="AN367">
        <f>IF(I366&lt;=0,0,ROUND(I366*(1+IF(AND(I$6&gt;0,$B367&lt;I$6),I$4,I$5)/12),2))</f>
        <v/>
      </c>
      <c r="AO367">
        <f>IF(J366&lt;=0,0,ROUND(J366*(1+IF(AND(J$6&gt;0,$B367&lt;J$6),J$4,J$5)/12),2))</f>
        <v/>
      </c>
      <c r="AP367">
        <f>IF(K366&lt;=0,0,ROUND(K366*(1+IF(AND(K$6&gt;0,$B367&lt;K$6),K$4,K$5)/12),2))</f>
        <v/>
      </c>
      <c r="AQ367">
        <f>IF(L366&lt;=0,0,ROUND(L366*(1+IF(AND(L$6&gt;0,$B367&lt;L$6),L$4,L$5)/12),2))</f>
        <v/>
      </c>
      <c r="AR367">
        <f>IF(M366&lt;=0,0,ROUND(M366*(1+IF(AND(M$6&gt;0,$B367&lt;M$6),M$4,M$5)/12),2))</f>
        <v/>
      </c>
      <c r="AS367">
        <f>IF(N366&lt;=0,0,ROUND(N366*(1+IF(AND(N$6&gt;0,$B367&lt;N$6),N$4,N$5)/12),2))</f>
        <v/>
      </c>
    </row>
    <row r="368">
      <c r="A368" t="n">
        <v>357</v>
      </c>
      <c r="B368">
        <f>EDATE(Plan!$C$6,356)</f>
        <v/>
      </c>
      <c r="C368">
        <f>IF(C367&lt;=0,0,MAX(0,AH368-O368))</f>
        <v/>
      </c>
      <c r="D368">
        <f>IF(D367&lt;=0,0,MAX(0,AI368-P368))</f>
        <v/>
      </c>
      <c r="E368">
        <f>IF(E367&lt;=0,0,MAX(0,AJ368-Q368))</f>
        <v/>
      </c>
      <c r="F368">
        <f>IF(F367&lt;=0,0,MAX(0,AK368-R368))</f>
        <v/>
      </c>
      <c r="G368">
        <f>IF(G367&lt;=0,0,MAX(0,AL368-S368))</f>
        <v/>
      </c>
      <c r="H368">
        <f>IF(H367&lt;=0,0,MAX(0,AM368-T368))</f>
        <v/>
      </c>
      <c r="I368">
        <f>IF(I367&lt;=0,0,MAX(0,AN368-U368))</f>
        <v/>
      </c>
      <c r="J368">
        <f>IF(J367&lt;=0,0,MAX(0,AO368-V368))</f>
        <v/>
      </c>
      <c r="K368">
        <f>IF(K367&lt;=0,0,MAX(0,AP368-W368))</f>
        <v/>
      </c>
      <c r="L368">
        <f>IF(L367&lt;=0,0,MAX(0,AQ368-X368))</f>
        <v/>
      </c>
      <c r="M368">
        <f>IF(M367&lt;=0,0,MAX(0,AR368-Y368))</f>
        <v/>
      </c>
      <c r="N368">
        <f>IF(N367&lt;=0,0,MAX(0,AS368-Z368))</f>
        <v/>
      </c>
      <c r="O368">
        <f>IF(C367&lt;=0,0,MIN(AH368,C$7+IF(C$2=$AA368,$AC368,IF(C$2=$AF368,$AG368,0))))</f>
        <v/>
      </c>
      <c r="P368">
        <f>IF(D367&lt;=0,0,MIN(AI368,D$7+IF(D$2=$AA368,$AC368,IF(D$2=$AF368,$AG368,0))))</f>
        <v/>
      </c>
      <c r="Q368">
        <f>IF(E367&lt;=0,0,MIN(AJ368,E$7+IF(E$2=$AA368,$AC368,IF(E$2=$AF368,$AG368,0))))</f>
        <v/>
      </c>
      <c r="R368">
        <f>IF(F367&lt;=0,0,MIN(AK368,F$7+IF(F$2=$AA368,$AC368,IF(F$2=$AF368,$AG368,0))))</f>
        <v/>
      </c>
      <c r="S368">
        <f>IF(G367&lt;=0,0,MIN(AL368,G$7+IF(G$2=$AA368,$AC368,IF(G$2=$AF368,$AG368,0))))</f>
        <v/>
      </c>
      <c r="T368">
        <f>IF(H367&lt;=0,0,MIN(AM368,H$7+IF(H$2=$AA368,$AC368,IF(H$2=$AF368,$AG368,0))))</f>
        <v/>
      </c>
      <c r="U368">
        <f>IF(I367&lt;=0,0,MIN(AN368,I$7+IF(I$2=$AA368,$AC368,IF(I$2=$AF368,$AG368,0))))</f>
        <v/>
      </c>
      <c r="V368">
        <f>IF(J367&lt;=0,0,MIN(AO368,J$7+IF(J$2=$AA368,$AC368,IF(J$2=$AF368,$AG368,0))))</f>
        <v/>
      </c>
      <c r="W368">
        <f>IF(K367&lt;=0,0,MIN(AP368,K$7+IF(K$2=$AA368,$AC368,IF(K$2=$AF368,$AG368,0))))</f>
        <v/>
      </c>
      <c r="X368">
        <f>IF(L367&lt;=0,0,MIN(AQ368,L$7+IF(L$2=$AA368,$AC368,IF(L$2=$AF368,$AG368,0))))</f>
        <v/>
      </c>
      <c r="Y368">
        <f>IF(M367&lt;=0,0,MIN(AR368,M$7+IF(M$2=$AA368,$AC368,IF(M$2=$AF368,$AG368,0))))</f>
        <v/>
      </c>
      <c r="Z368">
        <f>IF(N367&lt;=0,0,MIN(AS368,N$7+IF(N$2=$AA368,$AC368,IF(N$2=$AF368,$AG368,0))))</f>
        <v/>
      </c>
      <c r="AA368">
        <f>IFERROR(ROUND(1/SUMPRODUCT(MAX((C367:N367&gt;0)*($C$3:$N$3&lt;=B368)/$C$2:$N$2)),0),0)</f>
        <v/>
      </c>
      <c r="AB368">
        <f>SUMPRODUCT((C367:N367&gt;0)*$C$7:$N$7)</f>
        <v/>
      </c>
      <c r="AC368">
        <f>MAX(0,Plan!$C$5-AB368)+IF(A368=Plan!$C$8,N(Plan!$C$7),0)</f>
        <v/>
      </c>
      <c r="AD368">
        <f>SUM(C368:N368)</f>
        <v/>
      </c>
      <c r="AE368">
        <f>SUM(O368:Z368)</f>
        <v/>
      </c>
      <c r="AF368">
        <f>IFERROR(ROUND(1/SUMPRODUCT(MAX((C367:N367&gt;0)*($C$3:$N$3&lt;=B368)*($C$2:$N$2&gt;AA368)/$C$2:$N$2)),0),0)</f>
        <v/>
      </c>
      <c r="AG368">
        <f>MAX(0,AC368-MAX(0,SUMPRODUCT(($C$2:$N$2=AA368)*(AH368:AS368-$C$7:$N$7))))</f>
        <v/>
      </c>
      <c r="AH368">
        <f>IF(C367&lt;=0,0,ROUND(C367*(1+IF(AND(C$6&gt;0,$B368&lt;C$6),C$4,C$5)/12),2))</f>
        <v/>
      </c>
      <c r="AI368">
        <f>IF(D367&lt;=0,0,ROUND(D367*(1+IF(AND(D$6&gt;0,$B368&lt;D$6),D$4,D$5)/12),2))</f>
        <v/>
      </c>
      <c r="AJ368">
        <f>IF(E367&lt;=0,0,ROUND(E367*(1+IF(AND(E$6&gt;0,$B368&lt;E$6),E$4,E$5)/12),2))</f>
        <v/>
      </c>
      <c r="AK368">
        <f>IF(F367&lt;=0,0,ROUND(F367*(1+IF(AND(F$6&gt;0,$B368&lt;F$6),F$4,F$5)/12),2))</f>
        <v/>
      </c>
      <c r="AL368">
        <f>IF(G367&lt;=0,0,ROUND(G367*(1+IF(AND(G$6&gt;0,$B368&lt;G$6),G$4,G$5)/12),2))</f>
        <v/>
      </c>
      <c r="AM368">
        <f>IF(H367&lt;=0,0,ROUND(H367*(1+IF(AND(H$6&gt;0,$B368&lt;H$6),H$4,H$5)/12),2))</f>
        <v/>
      </c>
      <c r="AN368">
        <f>IF(I367&lt;=0,0,ROUND(I367*(1+IF(AND(I$6&gt;0,$B368&lt;I$6),I$4,I$5)/12),2))</f>
        <v/>
      </c>
      <c r="AO368">
        <f>IF(J367&lt;=0,0,ROUND(J367*(1+IF(AND(J$6&gt;0,$B368&lt;J$6),J$4,J$5)/12),2))</f>
        <v/>
      </c>
      <c r="AP368">
        <f>IF(K367&lt;=0,0,ROUND(K367*(1+IF(AND(K$6&gt;0,$B368&lt;K$6),K$4,K$5)/12),2))</f>
        <v/>
      </c>
      <c r="AQ368">
        <f>IF(L367&lt;=0,0,ROUND(L367*(1+IF(AND(L$6&gt;0,$B368&lt;L$6),L$4,L$5)/12),2))</f>
        <v/>
      </c>
      <c r="AR368">
        <f>IF(M367&lt;=0,0,ROUND(M367*(1+IF(AND(M$6&gt;0,$B368&lt;M$6),M$4,M$5)/12),2))</f>
        <v/>
      </c>
      <c r="AS368">
        <f>IF(N367&lt;=0,0,ROUND(N367*(1+IF(AND(N$6&gt;0,$B368&lt;N$6),N$4,N$5)/12),2))</f>
        <v/>
      </c>
    </row>
    <row r="369">
      <c r="A369" t="n">
        <v>358</v>
      </c>
      <c r="B369">
        <f>EDATE(Plan!$C$6,357)</f>
        <v/>
      </c>
      <c r="C369">
        <f>IF(C368&lt;=0,0,MAX(0,AH369-O369))</f>
        <v/>
      </c>
      <c r="D369">
        <f>IF(D368&lt;=0,0,MAX(0,AI369-P369))</f>
        <v/>
      </c>
      <c r="E369">
        <f>IF(E368&lt;=0,0,MAX(0,AJ369-Q369))</f>
        <v/>
      </c>
      <c r="F369">
        <f>IF(F368&lt;=0,0,MAX(0,AK369-R369))</f>
        <v/>
      </c>
      <c r="G369">
        <f>IF(G368&lt;=0,0,MAX(0,AL369-S369))</f>
        <v/>
      </c>
      <c r="H369">
        <f>IF(H368&lt;=0,0,MAX(0,AM369-T369))</f>
        <v/>
      </c>
      <c r="I369">
        <f>IF(I368&lt;=0,0,MAX(0,AN369-U369))</f>
        <v/>
      </c>
      <c r="J369">
        <f>IF(J368&lt;=0,0,MAX(0,AO369-V369))</f>
        <v/>
      </c>
      <c r="K369">
        <f>IF(K368&lt;=0,0,MAX(0,AP369-W369))</f>
        <v/>
      </c>
      <c r="L369">
        <f>IF(L368&lt;=0,0,MAX(0,AQ369-X369))</f>
        <v/>
      </c>
      <c r="M369">
        <f>IF(M368&lt;=0,0,MAX(0,AR369-Y369))</f>
        <v/>
      </c>
      <c r="N369">
        <f>IF(N368&lt;=0,0,MAX(0,AS369-Z369))</f>
        <v/>
      </c>
      <c r="O369">
        <f>IF(C368&lt;=0,0,MIN(AH369,C$7+IF(C$2=$AA369,$AC369,IF(C$2=$AF369,$AG369,0))))</f>
        <v/>
      </c>
      <c r="P369">
        <f>IF(D368&lt;=0,0,MIN(AI369,D$7+IF(D$2=$AA369,$AC369,IF(D$2=$AF369,$AG369,0))))</f>
        <v/>
      </c>
      <c r="Q369">
        <f>IF(E368&lt;=0,0,MIN(AJ369,E$7+IF(E$2=$AA369,$AC369,IF(E$2=$AF369,$AG369,0))))</f>
        <v/>
      </c>
      <c r="R369">
        <f>IF(F368&lt;=0,0,MIN(AK369,F$7+IF(F$2=$AA369,$AC369,IF(F$2=$AF369,$AG369,0))))</f>
        <v/>
      </c>
      <c r="S369">
        <f>IF(G368&lt;=0,0,MIN(AL369,G$7+IF(G$2=$AA369,$AC369,IF(G$2=$AF369,$AG369,0))))</f>
        <v/>
      </c>
      <c r="T369">
        <f>IF(H368&lt;=0,0,MIN(AM369,H$7+IF(H$2=$AA369,$AC369,IF(H$2=$AF369,$AG369,0))))</f>
        <v/>
      </c>
      <c r="U369">
        <f>IF(I368&lt;=0,0,MIN(AN369,I$7+IF(I$2=$AA369,$AC369,IF(I$2=$AF369,$AG369,0))))</f>
        <v/>
      </c>
      <c r="V369">
        <f>IF(J368&lt;=0,0,MIN(AO369,J$7+IF(J$2=$AA369,$AC369,IF(J$2=$AF369,$AG369,0))))</f>
        <v/>
      </c>
      <c r="W369">
        <f>IF(K368&lt;=0,0,MIN(AP369,K$7+IF(K$2=$AA369,$AC369,IF(K$2=$AF369,$AG369,0))))</f>
        <v/>
      </c>
      <c r="X369">
        <f>IF(L368&lt;=0,0,MIN(AQ369,L$7+IF(L$2=$AA369,$AC369,IF(L$2=$AF369,$AG369,0))))</f>
        <v/>
      </c>
      <c r="Y369">
        <f>IF(M368&lt;=0,0,MIN(AR369,M$7+IF(M$2=$AA369,$AC369,IF(M$2=$AF369,$AG369,0))))</f>
        <v/>
      </c>
      <c r="Z369">
        <f>IF(N368&lt;=0,0,MIN(AS369,N$7+IF(N$2=$AA369,$AC369,IF(N$2=$AF369,$AG369,0))))</f>
        <v/>
      </c>
      <c r="AA369">
        <f>IFERROR(ROUND(1/SUMPRODUCT(MAX((C368:N368&gt;0)*($C$3:$N$3&lt;=B369)/$C$2:$N$2)),0),0)</f>
        <v/>
      </c>
      <c r="AB369">
        <f>SUMPRODUCT((C368:N368&gt;0)*$C$7:$N$7)</f>
        <v/>
      </c>
      <c r="AC369">
        <f>MAX(0,Plan!$C$5-AB369)+IF(A369=Plan!$C$8,N(Plan!$C$7),0)</f>
        <v/>
      </c>
      <c r="AD369">
        <f>SUM(C369:N369)</f>
        <v/>
      </c>
      <c r="AE369">
        <f>SUM(O369:Z369)</f>
        <v/>
      </c>
      <c r="AF369">
        <f>IFERROR(ROUND(1/SUMPRODUCT(MAX((C368:N368&gt;0)*($C$3:$N$3&lt;=B369)*($C$2:$N$2&gt;AA369)/$C$2:$N$2)),0),0)</f>
        <v/>
      </c>
      <c r="AG369">
        <f>MAX(0,AC369-MAX(0,SUMPRODUCT(($C$2:$N$2=AA369)*(AH369:AS369-$C$7:$N$7))))</f>
        <v/>
      </c>
      <c r="AH369">
        <f>IF(C368&lt;=0,0,ROUND(C368*(1+IF(AND(C$6&gt;0,$B369&lt;C$6),C$4,C$5)/12),2))</f>
        <v/>
      </c>
      <c r="AI369">
        <f>IF(D368&lt;=0,0,ROUND(D368*(1+IF(AND(D$6&gt;0,$B369&lt;D$6),D$4,D$5)/12),2))</f>
        <v/>
      </c>
      <c r="AJ369">
        <f>IF(E368&lt;=0,0,ROUND(E368*(1+IF(AND(E$6&gt;0,$B369&lt;E$6),E$4,E$5)/12),2))</f>
        <v/>
      </c>
      <c r="AK369">
        <f>IF(F368&lt;=0,0,ROUND(F368*(1+IF(AND(F$6&gt;0,$B369&lt;F$6),F$4,F$5)/12),2))</f>
        <v/>
      </c>
      <c r="AL369">
        <f>IF(G368&lt;=0,0,ROUND(G368*(1+IF(AND(G$6&gt;0,$B369&lt;G$6),G$4,G$5)/12),2))</f>
        <v/>
      </c>
      <c r="AM369">
        <f>IF(H368&lt;=0,0,ROUND(H368*(1+IF(AND(H$6&gt;0,$B369&lt;H$6),H$4,H$5)/12),2))</f>
        <v/>
      </c>
      <c r="AN369">
        <f>IF(I368&lt;=0,0,ROUND(I368*(1+IF(AND(I$6&gt;0,$B369&lt;I$6),I$4,I$5)/12),2))</f>
        <v/>
      </c>
      <c r="AO369">
        <f>IF(J368&lt;=0,0,ROUND(J368*(1+IF(AND(J$6&gt;0,$B369&lt;J$6),J$4,J$5)/12),2))</f>
        <v/>
      </c>
      <c r="AP369">
        <f>IF(K368&lt;=0,0,ROUND(K368*(1+IF(AND(K$6&gt;0,$B369&lt;K$6),K$4,K$5)/12),2))</f>
        <v/>
      </c>
      <c r="AQ369">
        <f>IF(L368&lt;=0,0,ROUND(L368*(1+IF(AND(L$6&gt;0,$B369&lt;L$6),L$4,L$5)/12),2))</f>
        <v/>
      </c>
      <c r="AR369">
        <f>IF(M368&lt;=0,0,ROUND(M368*(1+IF(AND(M$6&gt;0,$B369&lt;M$6),M$4,M$5)/12),2))</f>
        <v/>
      </c>
      <c r="AS369">
        <f>IF(N368&lt;=0,0,ROUND(N368*(1+IF(AND(N$6&gt;0,$B369&lt;N$6),N$4,N$5)/12),2))</f>
        <v/>
      </c>
    </row>
    <row r="370">
      <c r="A370" t="n">
        <v>359</v>
      </c>
      <c r="B370">
        <f>EDATE(Plan!$C$6,358)</f>
        <v/>
      </c>
      <c r="C370">
        <f>IF(C369&lt;=0,0,MAX(0,AH370-O370))</f>
        <v/>
      </c>
      <c r="D370">
        <f>IF(D369&lt;=0,0,MAX(0,AI370-P370))</f>
        <v/>
      </c>
      <c r="E370">
        <f>IF(E369&lt;=0,0,MAX(0,AJ370-Q370))</f>
        <v/>
      </c>
      <c r="F370">
        <f>IF(F369&lt;=0,0,MAX(0,AK370-R370))</f>
        <v/>
      </c>
      <c r="G370">
        <f>IF(G369&lt;=0,0,MAX(0,AL370-S370))</f>
        <v/>
      </c>
      <c r="H370">
        <f>IF(H369&lt;=0,0,MAX(0,AM370-T370))</f>
        <v/>
      </c>
      <c r="I370">
        <f>IF(I369&lt;=0,0,MAX(0,AN370-U370))</f>
        <v/>
      </c>
      <c r="J370">
        <f>IF(J369&lt;=0,0,MAX(0,AO370-V370))</f>
        <v/>
      </c>
      <c r="K370">
        <f>IF(K369&lt;=0,0,MAX(0,AP370-W370))</f>
        <v/>
      </c>
      <c r="L370">
        <f>IF(L369&lt;=0,0,MAX(0,AQ370-X370))</f>
        <v/>
      </c>
      <c r="M370">
        <f>IF(M369&lt;=0,0,MAX(0,AR370-Y370))</f>
        <v/>
      </c>
      <c r="N370">
        <f>IF(N369&lt;=0,0,MAX(0,AS370-Z370))</f>
        <v/>
      </c>
      <c r="O370">
        <f>IF(C369&lt;=0,0,MIN(AH370,C$7+IF(C$2=$AA370,$AC370,IF(C$2=$AF370,$AG370,0))))</f>
        <v/>
      </c>
      <c r="P370">
        <f>IF(D369&lt;=0,0,MIN(AI370,D$7+IF(D$2=$AA370,$AC370,IF(D$2=$AF370,$AG370,0))))</f>
        <v/>
      </c>
      <c r="Q370">
        <f>IF(E369&lt;=0,0,MIN(AJ370,E$7+IF(E$2=$AA370,$AC370,IF(E$2=$AF370,$AG370,0))))</f>
        <v/>
      </c>
      <c r="R370">
        <f>IF(F369&lt;=0,0,MIN(AK370,F$7+IF(F$2=$AA370,$AC370,IF(F$2=$AF370,$AG370,0))))</f>
        <v/>
      </c>
      <c r="S370">
        <f>IF(G369&lt;=0,0,MIN(AL370,G$7+IF(G$2=$AA370,$AC370,IF(G$2=$AF370,$AG370,0))))</f>
        <v/>
      </c>
      <c r="T370">
        <f>IF(H369&lt;=0,0,MIN(AM370,H$7+IF(H$2=$AA370,$AC370,IF(H$2=$AF370,$AG370,0))))</f>
        <v/>
      </c>
      <c r="U370">
        <f>IF(I369&lt;=0,0,MIN(AN370,I$7+IF(I$2=$AA370,$AC370,IF(I$2=$AF370,$AG370,0))))</f>
        <v/>
      </c>
      <c r="V370">
        <f>IF(J369&lt;=0,0,MIN(AO370,J$7+IF(J$2=$AA370,$AC370,IF(J$2=$AF370,$AG370,0))))</f>
        <v/>
      </c>
      <c r="W370">
        <f>IF(K369&lt;=0,0,MIN(AP370,K$7+IF(K$2=$AA370,$AC370,IF(K$2=$AF370,$AG370,0))))</f>
        <v/>
      </c>
      <c r="X370">
        <f>IF(L369&lt;=0,0,MIN(AQ370,L$7+IF(L$2=$AA370,$AC370,IF(L$2=$AF370,$AG370,0))))</f>
        <v/>
      </c>
      <c r="Y370">
        <f>IF(M369&lt;=0,0,MIN(AR370,M$7+IF(M$2=$AA370,$AC370,IF(M$2=$AF370,$AG370,0))))</f>
        <v/>
      </c>
      <c r="Z370">
        <f>IF(N369&lt;=0,0,MIN(AS370,N$7+IF(N$2=$AA370,$AC370,IF(N$2=$AF370,$AG370,0))))</f>
        <v/>
      </c>
      <c r="AA370">
        <f>IFERROR(ROUND(1/SUMPRODUCT(MAX((C369:N369&gt;0)*($C$3:$N$3&lt;=B370)/$C$2:$N$2)),0),0)</f>
        <v/>
      </c>
      <c r="AB370">
        <f>SUMPRODUCT((C369:N369&gt;0)*$C$7:$N$7)</f>
        <v/>
      </c>
      <c r="AC370">
        <f>MAX(0,Plan!$C$5-AB370)+IF(A370=Plan!$C$8,N(Plan!$C$7),0)</f>
        <v/>
      </c>
      <c r="AD370">
        <f>SUM(C370:N370)</f>
        <v/>
      </c>
      <c r="AE370">
        <f>SUM(O370:Z370)</f>
        <v/>
      </c>
      <c r="AF370">
        <f>IFERROR(ROUND(1/SUMPRODUCT(MAX((C369:N369&gt;0)*($C$3:$N$3&lt;=B370)*($C$2:$N$2&gt;AA370)/$C$2:$N$2)),0),0)</f>
        <v/>
      </c>
      <c r="AG370">
        <f>MAX(0,AC370-MAX(0,SUMPRODUCT(($C$2:$N$2=AA370)*(AH370:AS370-$C$7:$N$7))))</f>
        <v/>
      </c>
      <c r="AH370">
        <f>IF(C369&lt;=0,0,ROUND(C369*(1+IF(AND(C$6&gt;0,$B370&lt;C$6),C$4,C$5)/12),2))</f>
        <v/>
      </c>
      <c r="AI370">
        <f>IF(D369&lt;=0,0,ROUND(D369*(1+IF(AND(D$6&gt;0,$B370&lt;D$6),D$4,D$5)/12),2))</f>
        <v/>
      </c>
      <c r="AJ370">
        <f>IF(E369&lt;=0,0,ROUND(E369*(1+IF(AND(E$6&gt;0,$B370&lt;E$6),E$4,E$5)/12),2))</f>
        <v/>
      </c>
      <c r="AK370">
        <f>IF(F369&lt;=0,0,ROUND(F369*(1+IF(AND(F$6&gt;0,$B370&lt;F$6),F$4,F$5)/12),2))</f>
        <v/>
      </c>
      <c r="AL370">
        <f>IF(G369&lt;=0,0,ROUND(G369*(1+IF(AND(G$6&gt;0,$B370&lt;G$6),G$4,G$5)/12),2))</f>
        <v/>
      </c>
      <c r="AM370">
        <f>IF(H369&lt;=0,0,ROUND(H369*(1+IF(AND(H$6&gt;0,$B370&lt;H$6),H$4,H$5)/12),2))</f>
        <v/>
      </c>
      <c r="AN370">
        <f>IF(I369&lt;=0,0,ROUND(I369*(1+IF(AND(I$6&gt;0,$B370&lt;I$6),I$4,I$5)/12),2))</f>
        <v/>
      </c>
      <c r="AO370">
        <f>IF(J369&lt;=0,0,ROUND(J369*(1+IF(AND(J$6&gt;0,$B370&lt;J$6),J$4,J$5)/12),2))</f>
        <v/>
      </c>
      <c r="AP370">
        <f>IF(K369&lt;=0,0,ROUND(K369*(1+IF(AND(K$6&gt;0,$B370&lt;K$6),K$4,K$5)/12),2))</f>
        <v/>
      </c>
      <c r="AQ370">
        <f>IF(L369&lt;=0,0,ROUND(L369*(1+IF(AND(L$6&gt;0,$B370&lt;L$6),L$4,L$5)/12),2))</f>
        <v/>
      </c>
      <c r="AR370">
        <f>IF(M369&lt;=0,0,ROUND(M369*(1+IF(AND(M$6&gt;0,$B370&lt;M$6),M$4,M$5)/12),2))</f>
        <v/>
      </c>
      <c r="AS370">
        <f>IF(N369&lt;=0,0,ROUND(N369*(1+IF(AND(N$6&gt;0,$B370&lt;N$6),N$4,N$5)/12),2))</f>
        <v/>
      </c>
    </row>
    <row r="371">
      <c r="A371" t="n">
        <v>360</v>
      </c>
      <c r="B371">
        <f>EDATE(Plan!$C$6,359)</f>
        <v/>
      </c>
      <c r="C371">
        <f>IF(C370&lt;=0,0,MAX(0,AH371-O371))</f>
        <v/>
      </c>
      <c r="D371">
        <f>IF(D370&lt;=0,0,MAX(0,AI371-P371))</f>
        <v/>
      </c>
      <c r="E371">
        <f>IF(E370&lt;=0,0,MAX(0,AJ371-Q371))</f>
        <v/>
      </c>
      <c r="F371">
        <f>IF(F370&lt;=0,0,MAX(0,AK371-R371))</f>
        <v/>
      </c>
      <c r="G371">
        <f>IF(G370&lt;=0,0,MAX(0,AL371-S371))</f>
        <v/>
      </c>
      <c r="H371">
        <f>IF(H370&lt;=0,0,MAX(0,AM371-T371))</f>
        <v/>
      </c>
      <c r="I371">
        <f>IF(I370&lt;=0,0,MAX(0,AN371-U371))</f>
        <v/>
      </c>
      <c r="J371">
        <f>IF(J370&lt;=0,0,MAX(0,AO371-V371))</f>
        <v/>
      </c>
      <c r="K371">
        <f>IF(K370&lt;=0,0,MAX(0,AP371-W371))</f>
        <v/>
      </c>
      <c r="L371">
        <f>IF(L370&lt;=0,0,MAX(0,AQ371-X371))</f>
        <v/>
      </c>
      <c r="M371">
        <f>IF(M370&lt;=0,0,MAX(0,AR371-Y371))</f>
        <v/>
      </c>
      <c r="N371">
        <f>IF(N370&lt;=0,0,MAX(0,AS371-Z371))</f>
        <v/>
      </c>
      <c r="O371">
        <f>IF(C370&lt;=0,0,MIN(AH371,C$7+IF(C$2=$AA371,$AC371,IF(C$2=$AF371,$AG371,0))))</f>
        <v/>
      </c>
      <c r="P371">
        <f>IF(D370&lt;=0,0,MIN(AI371,D$7+IF(D$2=$AA371,$AC371,IF(D$2=$AF371,$AG371,0))))</f>
        <v/>
      </c>
      <c r="Q371">
        <f>IF(E370&lt;=0,0,MIN(AJ371,E$7+IF(E$2=$AA371,$AC371,IF(E$2=$AF371,$AG371,0))))</f>
        <v/>
      </c>
      <c r="R371">
        <f>IF(F370&lt;=0,0,MIN(AK371,F$7+IF(F$2=$AA371,$AC371,IF(F$2=$AF371,$AG371,0))))</f>
        <v/>
      </c>
      <c r="S371">
        <f>IF(G370&lt;=0,0,MIN(AL371,G$7+IF(G$2=$AA371,$AC371,IF(G$2=$AF371,$AG371,0))))</f>
        <v/>
      </c>
      <c r="T371">
        <f>IF(H370&lt;=0,0,MIN(AM371,H$7+IF(H$2=$AA371,$AC371,IF(H$2=$AF371,$AG371,0))))</f>
        <v/>
      </c>
      <c r="U371">
        <f>IF(I370&lt;=0,0,MIN(AN371,I$7+IF(I$2=$AA371,$AC371,IF(I$2=$AF371,$AG371,0))))</f>
        <v/>
      </c>
      <c r="V371">
        <f>IF(J370&lt;=0,0,MIN(AO371,J$7+IF(J$2=$AA371,$AC371,IF(J$2=$AF371,$AG371,0))))</f>
        <v/>
      </c>
      <c r="W371">
        <f>IF(K370&lt;=0,0,MIN(AP371,K$7+IF(K$2=$AA371,$AC371,IF(K$2=$AF371,$AG371,0))))</f>
        <v/>
      </c>
      <c r="X371">
        <f>IF(L370&lt;=0,0,MIN(AQ371,L$7+IF(L$2=$AA371,$AC371,IF(L$2=$AF371,$AG371,0))))</f>
        <v/>
      </c>
      <c r="Y371">
        <f>IF(M370&lt;=0,0,MIN(AR371,M$7+IF(M$2=$AA371,$AC371,IF(M$2=$AF371,$AG371,0))))</f>
        <v/>
      </c>
      <c r="Z371">
        <f>IF(N370&lt;=0,0,MIN(AS371,N$7+IF(N$2=$AA371,$AC371,IF(N$2=$AF371,$AG371,0))))</f>
        <v/>
      </c>
      <c r="AA371">
        <f>IFERROR(ROUND(1/SUMPRODUCT(MAX((C370:N370&gt;0)*($C$3:$N$3&lt;=B371)/$C$2:$N$2)),0),0)</f>
        <v/>
      </c>
      <c r="AB371">
        <f>SUMPRODUCT((C370:N370&gt;0)*$C$7:$N$7)</f>
        <v/>
      </c>
      <c r="AC371">
        <f>MAX(0,Plan!$C$5-AB371)+IF(A371=Plan!$C$8,N(Plan!$C$7),0)</f>
        <v/>
      </c>
      <c r="AD371">
        <f>SUM(C371:N371)</f>
        <v/>
      </c>
      <c r="AE371">
        <f>SUM(O371:Z371)</f>
        <v/>
      </c>
      <c r="AF371">
        <f>IFERROR(ROUND(1/SUMPRODUCT(MAX((C370:N370&gt;0)*($C$3:$N$3&lt;=B371)*($C$2:$N$2&gt;AA371)/$C$2:$N$2)),0),0)</f>
        <v/>
      </c>
      <c r="AG371">
        <f>MAX(0,AC371-MAX(0,SUMPRODUCT(($C$2:$N$2=AA371)*(AH371:AS371-$C$7:$N$7))))</f>
        <v/>
      </c>
      <c r="AH371">
        <f>IF(C370&lt;=0,0,ROUND(C370*(1+IF(AND(C$6&gt;0,$B371&lt;C$6),C$4,C$5)/12),2))</f>
        <v/>
      </c>
      <c r="AI371">
        <f>IF(D370&lt;=0,0,ROUND(D370*(1+IF(AND(D$6&gt;0,$B371&lt;D$6),D$4,D$5)/12),2))</f>
        <v/>
      </c>
      <c r="AJ371">
        <f>IF(E370&lt;=0,0,ROUND(E370*(1+IF(AND(E$6&gt;0,$B371&lt;E$6),E$4,E$5)/12),2))</f>
        <v/>
      </c>
      <c r="AK371">
        <f>IF(F370&lt;=0,0,ROUND(F370*(1+IF(AND(F$6&gt;0,$B371&lt;F$6),F$4,F$5)/12),2))</f>
        <v/>
      </c>
      <c r="AL371">
        <f>IF(G370&lt;=0,0,ROUND(G370*(1+IF(AND(G$6&gt;0,$B371&lt;G$6),G$4,G$5)/12),2))</f>
        <v/>
      </c>
      <c r="AM371">
        <f>IF(H370&lt;=0,0,ROUND(H370*(1+IF(AND(H$6&gt;0,$B371&lt;H$6),H$4,H$5)/12),2))</f>
        <v/>
      </c>
      <c r="AN371">
        <f>IF(I370&lt;=0,0,ROUND(I370*(1+IF(AND(I$6&gt;0,$B371&lt;I$6),I$4,I$5)/12),2))</f>
        <v/>
      </c>
      <c r="AO371">
        <f>IF(J370&lt;=0,0,ROUND(J370*(1+IF(AND(J$6&gt;0,$B371&lt;J$6),J$4,J$5)/12),2))</f>
        <v/>
      </c>
      <c r="AP371">
        <f>IF(K370&lt;=0,0,ROUND(K370*(1+IF(AND(K$6&gt;0,$B371&lt;K$6),K$4,K$5)/12),2))</f>
        <v/>
      </c>
      <c r="AQ371">
        <f>IF(L370&lt;=0,0,ROUND(L370*(1+IF(AND(L$6&gt;0,$B371&lt;L$6),L$4,L$5)/12),2))</f>
        <v/>
      </c>
      <c r="AR371">
        <f>IF(M370&lt;=0,0,ROUND(M370*(1+IF(AND(M$6&gt;0,$B371&lt;M$6),M$4,M$5)/12),2))</f>
        <v/>
      </c>
      <c r="AS371">
        <f>IF(N370&lt;=0,0,ROUND(N370*(1+IF(AND(N$6&gt;0,$B371&lt;N$6),N$4,N$5)/12),2))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A3F58"/>
    <outlinePr summaryBelow="1" summaryRight="1"/>
    <pageSetUpPr/>
  </sheetPr>
  <dimension ref="A1:AS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C1">
        <f>IF(AND('My Debts'!$H$7="Allowed with a fee",N(+'My Debts'!$I$7)&gt;0,ISNUMBER(C10)),IF(OR(N(+'My Debts'!$J$7)=0,C10&lt;'My Debts'!$J$7),'My Debts'!$I$7,0),0)</f>
        <v/>
      </c>
      <c r="D1">
        <f>IF(AND('My Debts'!$H$8="Allowed with a fee",N(+'My Debts'!$I$8)&gt;0,ISNUMBER(D10)),IF(OR(N(+'My Debts'!$J$8)=0,D10&lt;'My Debts'!$J$8),'My Debts'!$I$8,0),0)</f>
        <v/>
      </c>
      <c r="E1">
        <f>IF(AND('My Debts'!$H$9="Allowed with a fee",N(+'My Debts'!$I$9)&gt;0,ISNUMBER(E10)),IF(OR(N(+'My Debts'!$J$9)=0,E10&lt;'My Debts'!$J$9),'My Debts'!$I$9,0),0)</f>
        <v/>
      </c>
      <c r="F1">
        <f>IF(AND('My Debts'!$H$10="Allowed with a fee",N(+'My Debts'!$I$10)&gt;0,ISNUMBER(F10)),IF(OR(N(+'My Debts'!$J$10)=0,F10&lt;'My Debts'!$J$10),'My Debts'!$I$10,0),0)</f>
        <v/>
      </c>
      <c r="G1">
        <f>IF(AND('My Debts'!$H$11="Allowed with a fee",N(+'My Debts'!$I$11)&gt;0,ISNUMBER(G10)),IF(OR(N(+'My Debts'!$J$11)=0,G10&lt;'My Debts'!$J$11),'My Debts'!$I$11,0),0)</f>
        <v/>
      </c>
      <c r="H1">
        <f>IF(AND('My Debts'!$H$12="Allowed with a fee",N(+'My Debts'!$I$12)&gt;0,ISNUMBER(H10)),IF(OR(N(+'My Debts'!$J$12)=0,H10&lt;'My Debts'!$J$12),'My Debts'!$I$12,0),0)</f>
        <v/>
      </c>
      <c r="I1">
        <f>IF(AND('My Debts'!$H$13="Allowed with a fee",N(+'My Debts'!$I$13)&gt;0,ISNUMBER(I10)),IF(OR(N(+'My Debts'!$J$13)=0,I10&lt;'My Debts'!$J$13),'My Debts'!$I$13,0),0)</f>
        <v/>
      </c>
      <c r="J1">
        <f>IF(AND('My Debts'!$H$14="Allowed with a fee",N(+'My Debts'!$I$14)&gt;0,ISNUMBER(J10)),IF(OR(N(+'My Debts'!$J$14)=0,J10&lt;'My Debts'!$J$14),'My Debts'!$I$14,0),0)</f>
        <v/>
      </c>
      <c r="K1">
        <f>IF(AND('My Debts'!$H$15="Allowed with a fee",N(+'My Debts'!$I$15)&gt;0,ISNUMBER(K10)),IF(OR(N(+'My Debts'!$J$15)=0,K10&lt;'My Debts'!$J$15),'My Debts'!$I$15,0),0)</f>
        <v/>
      </c>
      <c r="L1">
        <f>IF(AND('My Debts'!$H$16="Allowed with a fee",N(+'My Debts'!$I$16)&gt;0,ISNUMBER(L10)),IF(OR(N(+'My Debts'!$J$16)=0,L10&lt;'My Debts'!$J$16),'My Debts'!$I$16,0),0)</f>
        <v/>
      </c>
      <c r="M1">
        <f>IF(AND('My Debts'!$H$17="Allowed with a fee",N(+'My Debts'!$I$17)&gt;0,ISNUMBER(M10)),IF(OR(N(+'My Debts'!$J$17)=0,M10&lt;'My Debts'!$J$17),'My Debts'!$I$17,0),0)</f>
        <v/>
      </c>
      <c r="N1">
        <f>IF(AND('My Debts'!$H$18="Allowed with a fee",N(+'My Debts'!$I$18)&gt;0,ISNUMBER(N10)),IF(OR(N(+'My Debts'!$J$18)=0,N10&lt;'My Debts'!$J$18),'My Debts'!$I$18,0),0)</f>
        <v/>
      </c>
    </row>
    <row r="2">
      <c r="A2" t="inlineStr">
        <is>
          <t>rank</t>
        </is>
      </c>
      <c r="C2">
        <f>IF('My Debts'!$AD$7="",999,'My Debts'!$AD$7)</f>
        <v/>
      </c>
      <c r="D2">
        <f>IF('My Debts'!$AD$8="",999,'My Debts'!$AD$8)</f>
        <v/>
      </c>
      <c r="E2">
        <f>IF('My Debts'!$AD$9="",999,'My Debts'!$AD$9)</f>
        <v/>
      </c>
      <c r="F2">
        <f>IF('My Debts'!$AD$10="",999,'My Debts'!$AD$10)</f>
        <v/>
      </c>
      <c r="G2">
        <f>IF('My Debts'!$AD$11="",999,'My Debts'!$AD$11)</f>
        <v/>
      </c>
      <c r="H2">
        <f>IF('My Debts'!$AD$12="",999,'My Debts'!$AD$12)</f>
        <v/>
      </c>
      <c r="I2">
        <f>IF('My Debts'!$AD$13="",999,'My Debts'!$AD$13)</f>
        <v/>
      </c>
      <c r="J2">
        <f>IF('My Debts'!$AD$14="",999,'My Debts'!$AD$14)</f>
        <v/>
      </c>
      <c r="K2">
        <f>IF('My Debts'!$AD$15="",999,'My Debts'!$AD$15)</f>
        <v/>
      </c>
      <c r="L2">
        <f>IF('My Debts'!$AD$16="",999,'My Debts'!$AD$16)</f>
        <v/>
      </c>
      <c r="M2">
        <f>IF('My Debts'!$AD$17="",999,'My Debts'!$AD$17)</f>
        <v/>
      </c>
      <c r="N2">
        <f>IF('My Debts'!$AD$18="",999,'My Debts'!$AD$18)</f>
        <v/>
      </c>
    </row>
    <row r="3">
      <c r="A3" t="inlineStr">
        <is>
          <t>extra from</t>
        </is>
      </c>
      <c r="C3">
        <f>IF('My Debts'!$U$7="",DATE(2199,12,1),'My Debts'!$U$7)</f>
        <v/>
      </c>
      <c r="D3">
        <f>IF('My Debts'!$U$8="",DATE(2199,12,1),'My Debts'!$U$8)</f>
        <v/>
      </c>
      <c r="E3">
        <f>IF('My Debts'!$U$9="",DATE(2199,12,1),'My Debts'!$U$9)</f>
        <v/>
      </c>
      <c r="F3">
        <f>IF('My Debts'!$U$10="",DATE(2199,12,1),'My Debts'!$U$10)</f>
        <v/>
      </c>
      <c r="G3">
        <f>IF('My Debts'!$U$11="",DATE(2199,12,1),'My Debts'!$U$11)</f>
        <v/>
      </c>
      <c r="H3">
        <f>IF('My Debts'!$U$12="",DATE(2199,12,1),'My Debts'!$U$12)</f>
        <v/>
      </c>
      <c r="I3">
        <f>IF('My Debts'!$U$13="",DATE(2199,12,1),'My Debts'!$U$13)</f>
        <v/>
      </c>
      <c r="J3">
        <f>IF('My Debts'!$U$14="",DATE(2199,12,1),'My Debts'!$U$14)</f>
        <v/>
      </c>
      <c r="K3">
        <f>IF('My Debts'!$U$15="",DATE(2199,12,1),'My Debts'!$U$15)</f>
        <v/>
      </c>
      <c r="L3">
        <f>IF('My Debts'!$U$16="",DATE(2199,12,1),'My Debts'!$U$16)</f>
        <v/>
      </c>
      <c r="M3">
        <f>IF('My Debts'!$U$17="",DATE(2199,12,1),'My Debts'!$U$17)</f>
        <v/>
      </c>
      <c r="N3">
        <f>IF('My Debts'!$U$18="",DATE(2199,12,1),'My Debts'!$U$18)</f>
        <v/>
      </c>
    </row>
    <row r="4">
      <c r="A4" t="inlineStr">
        <is>
          <t>APR now</t>
        </is>
      </c>
      <c r="C4">
        <f>N(+'My Debts'!$E$7)</f>
        <v/>
      </c>
      <c r="D4">
        <f>N(+'My Debts'!$E$8)</f>
        <v/>
      </c>
      <c r="E4">
        <f>N(+'My Debts'!$E$9)</f>
        <v/>
      </c>
      <c r="F4">
        <f>N(+'My Debts'!$E$10)</f>
        <v/>
      </c>
      <c r="G4">
        <f>N(+'My Debts'!$E$11)</f>
        <v/>
      </c>
      <c r="H4">
        <f>N(+'My Debts'!$E$12)</f>
        <v/>
      </c>
      <c r="I4">
        <f>N(+'My Debts'!$E$13)</f>
        <v/>
      </c>
      <c r="J4">
        <f>N(+'My Debts'!$E$14)</f>
        <v/>
      </c>
      <c r="K4">
        <f>N(+'My Debts'!$E$15)</f>
        <v/>
      </c>
      <c r="L4">
        <f>N(+'My Debts'!$E$16)</f>
        <v/>
      </c>
      <c r="M4">
        <f>N(+'My Debts'!$E$17)</f>
        <v/>
      </c>
      <c r="N4">
        <f>N(+'My Debts'!$E$18)</f>
        <v/>
      </c>
    </row>
    <row r="5">
      <c r="A5" t="inlineStr">
        <is>
          <t>debt-free</t>
        </is>
      </c>
      <c r="B5">
        <f>IFERROR(INDEX($B$12:$B$371,MATCH(1,INDEX(($AD$12:$AD$371&lt;=0.005)*1,0),0)),"-")</f>
        <v/>
      </c>
      <c r="C5">
        <f>IF(N(+'My Debts'!$L$7)&gt;0,'My Debts'!$L$7,C4)</f>
        <v/>
      </c>
      <c r="D5">
        <f>IF(N(+'My Debts'!$L$8)&gt;0,'My Debts'!$L$8,D4)</f>
        <v/>
      </c>
      <c r="E5">
        <f>IF(N(+'My Debts'!$L$9)&gt;0,'My Debts'!$L$9,E4)</f>
        <v/>
      </c>
      <c r="F5">
        <f>IF(N(+'My Debts'!$L$10)&gt;0,'My Debts'!$L$10,F4)</f>
        <v/>
      </c>
      <c r="G5">
        <f>IF(N(+'My Debts'!$L$11)&gt;0,'My Debts'!$L$11,G4)</f>
        <v/>
      </c>
      <c r="H5">
        <f>IF(N(+'My Debts'!$L$12)&gt;0,'My Debts'!$L$12,H4)</f>
        <v/>
      </c>
      <c r="I5">
        <f>IF(N(+'My Debts'!$L$13)&gt;0,'My Debts'!$L$13,I4)</f>
        <v/>
      </c>
      <c r="J5">
        <f>IF(N(+'My Debts'!$L$14)&gt;0,'My Debts'!$L$14,J4)</f>
        <v/>
      </c>
      <c r="K5">
        <f>IF(N(+'My Debts'!$L$15)&gt;0,'My Debts'!$L$15,K4)</f>
        <v/>
      </c>
      <c r="L5">
        <f>IF(N(+'My Debts'!$L$16)&gt;0,'My Debts'!$L$16,L4)</f>
        <v/>
      </c>
      <c r="M5">
        <f>IF(N(+'My Debts'!$L$17)&gt;0,'My Debts'!$L$17,M4)</f>
        <v/>
      </c>
      <c r="N5">
        <f>IF(N(+'My Debts'!$L$18)&gt;0,'My Debts'!$L$18,N4)</f>
        <v/>
      </c>
    </row>
    <row r="6">
      <c r="A6" t="inlineStr">
        <is>
          <t>months</t>
        </is>
      </c>
      <c r="B6">
        <f>IFERROR(MATCH(1,INDEX(($AD$12:$AD$371&lt;=0.005)*1,0),0),"-")</f>
        <v/>
      </c>
      <c r="C6">
        <f>N(+'My Debts'!$K$7)</f>
        <v/>
      </c>
      <c r="D6">
        <f>N(+'My Debts'!$K$8)</f>
        <v/>
      </c>
      <c r="E6">
        <f>N(+'My Debts'!$K$9)</f>
        <v/>
      </c>
      <c r="F6">
        <f>N(+'My Debts'!$K$10)</f>
        <v/>
      </c>
      <c r="G6">
        <f>N(+'My Debts'!$K$11)</f>
        <v/>
      </c>
      <c r="H6">
        <f>N(+'My Debts'!$K$12)</f>
        <v/>
      </c>
      <c r="I6">
        <f>N(+'My Debts'!$K$13)</f>
        <v/>
      </c>
      <c r="J6">
        <f>N(+'My Debts'!$K$14)</f>
        <v/>
      </c>
      <c r="K6">
        <f>N(+'My Debts'!$K$15)</f>
        <v/>
      </c>
      <c r="L6">
        <f>N(+'My Debts'!$K$16)</f>
        <v/>
      </c>
      <c r="M6">
        <f>N(+'My Debts'!$K$17)</f>
        <v/>
      </c>
      <c r="N6">
        <f>N(+'My Debts'!$K$18)</f>
        <v/>
      </c>
    </row>
    <row r="7">
      <c r="A7" t="inlineStr">
        <is>
          <t>interest</t>
        </is>
      </c>
      <c r="B7">
        <f>SUM($O$12:$Z$371)-(SUM($C$8:$N$8)-SUM($C$371:$N$371))</f>
        <v/>
      </c>
      <c r="C7">
        <f>N(+'My Debts'!$F$7)</f>
        <v/>
      </c>
      <c r="D7">
        <f>N(+'My Debts'!$F$8)</f>
        <v/>
      </c>
      <c r="E7">
        <f>N(+'My Debts'!$F$9)</f>
        <v/>
      </c>
      <c r="F7">
        <f>N(+'My Debts'!$F$10)</f>
        <v/>
      </c>
      <c r="G7">
        <f>N(+'My Debts'!$F$11)</f>
        <v/>
      </c>
      <c r="H7">
        <f>N(+'My Debts'!$F$12)</f>
        <v/>
      </c>
      <c r="I7">
        <f>N(+'My Debts'!$F$13)</f>
        <v/>
      </c>
      <c r="J7">
        <f>N(+'My Debts'!$F$14)</f>
        <v/>
      </c>
      <c r="K7">
        <f>N(+'My Debts'!$F$15)</f>
        <v/>
      </c>
      <c r="L7">
        <f>N(+'My Debts'!$F$16)</f>
        <v/>
      </c>
      <c r="M7">
        <f>N(+'My Debts'!$F$17)</f>
        <v/>
      </c>
      <c r="N7">
        <f>N(+'My Debts'!$F$18)</f>
        <v/>
      </c>
    </row>
    <row r="8">
      <c r="A8" t="inlineStr">
        <is>
          <t>fees</t>
        </is>
      </c>
      <c r="B8">
        <f>SUM($C$1:$N$1)</f>
        <v/>
      </c>
      <c r="C8">
        <f>IF(AND(ISNUMBER('My Debts'!$D$7),'My Debts'!$D$7&gt;0),'My Debts'!$D$7,0)</f>
        <v/>
      </c>
      <c r="D8">
        <f>IF(AND(ISNUMBER('My Debts'!$D$8),'My Debts'!$D$8&gt;0),'My Debts'!$D$8,0)</f>
        <v/>
      </c>
      <c r="E8">
        <f>IF(AND(ISNUMBER('My Debts'!$D$9),'My Debts'!$D$9&gt;0),'My Debts'!$D$9,0)</f>
        <v/>
      </c>
      <c r="F8">
        <f>IF(AND(ISNUMBER('My Debts'!$D$10),'My Debts'!$D$10&gt;0),'My Debts'!$D$10,0)</f>
        <v/>
      </c>
      <c r="G8">
        <f>IF(AND(ISNUMBER('My Debts'!$D$11),'My Debts'!$D$11&gt;0),'My Debts'!$D$11,0)</f>
        <v/>
      </c>
      <c r="H8">
        <f>IF(AND(ISNUMBER('My Debts'!$D$12),'My Debts'!$D$12&gt;0),'My Debts'!$D$12,0)</f>
        <v/>
      </c>
      <c r="I8">
        <f>IF(AND(ISNUMBER('My Debts'!$D$13),'My Debts'!$D$13&gt;0),'My Debts'!$D$13,0)</f>
        <v/>
      </c>
      <c r="J8">
        <f>IF(AND(ISNUMBER('My Debts'!$D$14),'My Debts'!$D$14&gt;0),'My Debts'!$D$14,0)</f>
        <v/>
      </c>
      <c r="K8">
        <f>IF(AND(ISNUMBER('My Debts'!$D$15),'My Debts'!$D$15&gt;0),'My Debts'!$D$15,0)</f>
        <v/>
      </c>
      <c r="L8">
        <f>IF(AND(ISNUMBER('My Debts'!$D$16),'My Debts'!$D$16&gt;0),'My Debts'!$D$16,0)</f>
        <v/>
      </c>
      <c r="M8">
        <f>IF(AND(ISNUMBER('My Debts'!$D$17),'My Debts'!$D$17&gt;0),'My Debts'!$D$17,0)</f>
        <v/>
      </c>
      <c r="N8">
        <f>IF(AND(ISNUMBER('My Debts'!$D$18),'My Debts'!$D$18&gt;0),'My Debts'!$D$18,0)</f>
        <v/>
      </c>
    </row>
    <row r="9">
      <c r="A9" t="inlineStr">
        <is>
          <t>first</t>
        </is>
      </c>
      <c r="B9">
        <f>IF(COUNT($C$10:$N$10)=0,"-",MIN($C$10:$N$10))</f>
        <v/>
      </c>
    </row>
    <row r="10">
      <c r="C10">
        <f>IF(C8&lt;=0,"",IFERROR(INDEX($B$12:$B$371,MATCH(1,INDEX((C$12:C$371&lt;=0.005)*1,0),0)),""))</f>
        <v/>
      </c>
      <c r="D10">
        <f>IF(D8&lt;=0,"",IFERROR(INDEX($B$12:$B$371,MATCH(1,INDEX((D$12:D$371&lt;=0.005)*1,0),0)),""))</f>
        <v/>
      </c>
      <c r="E10">
        <f>IF(E8&lt;=0,"",IFERROR(INDEX($B$12:$B$371,MATCH(1,INDEX((E$12:E$371&lt;=0.005)*1,0),0)),""))</f>
        <v/>
      </c>
      <c r="F10">
        <f>IF(F8&lt;=0,"",IFERROR(INDEX($B$12:$B$371,MATCH(1,INDEX((F$12:F$371&lt;=0.005)*1,0),0)),""))</f>
        <v/>
      </c>
      <c r="G10">
        <f>IF(G8&lt;=0,"",IFERROR(INDEX($B$12:$B$371,MATCH(1,INDEX((G$12:G$371&lt;=0.005)*1,0),0)),""))</f>
        <v/>
      </c>
      <c r="H10">
        <f>IF(H8&lt;=0,"",IFERROR(INDEX($B$12:$B$371,MATCH(1,INDEX((H$12:H$371&lt;=0.005)*1,0),0)),""))</f>
        <v/>
      </c>
      <c r="I10">
        <f>IF(I8&lt;=0,"",IFERROR(INDEX($B$12:$B$371,MATCH(1,INDEX((I$12:I$371&lt;=0.005)*1,0),0)),""))</f>
        <v/>
      </c>
      <c r="J10">
        <f>IF(J8&lt;=0,"",IFERROR(INDEX($B$12:$B$371,MATCH(1,INDEX((J$12:J$371&lt;=0.005)*1,0),0)),""))</f>
        <v/>
      </c>
      <c r="K10">
        <f>IF(K8&lt;=0,"",IFERROR(INDEX($B$12:$B$371,MATCH(1,INDEX((K$12:K$371&lt;=0.005)*1,0),0)),""))</f>
        <v/>
      </c>
      <c r="L10">
        <f>IF(L8&lt;=0,"",IFERROR(INDEX($B$12:$B$371,MATCH(1,INDEX((L$12:L$371&lt;=0.005)*1,0),0)),""))</f>
        <v/>
      </c>
      <c r="M10">
        <f>IF(M8&lt;=0,"",IFERROR(INDEX($B$12:$B$371,MATCH(1,INDEX((M$12:M$371&lt;=0.005)*1,0),0)),""))</f>
        <v/>
      </c>
      <c r="N10">
        <f>IF(N8&lt;=0,"",IFERROR(INDEX($B$12:$B$371,MATCH(1,INDEX((N$12:N$371&lt;=0.005)*1,0),0)),""))</f>
        <v/>
      </c>
    </row>
    <row r="11">
      <c r="B11">
        <f>EDATE(Plan!$C$6,-1)</f>
        <v/>
      </c>
      <c r="C11">
        <f>C8</f>
        <v/>
      </c>
      <c r="D11">
        <f>D8</f>
        <v/>
      </c>
      <c r="E11">
        <f>E8</f>
        <v/>
      </c>
      <c r="F11">
        <f>F8</f>
        <v/>
      </c>
      <c r="G11">
        <f>G8</f>
        <v/>
      </c>
      <c r="H11">
        <f>H8</f>
        <v/>
      </c>
      <c r="I11">
        <f>I8</f>
        <v/>
      </c>
      <c r="J11">
        <f>J8</f>
        <v/>
      </c>
      <c r="K11">
        <f>K8</f>
        <v/>
      </c>
      <c r="L11">
        <f>L8</f>
        <v/>
      </c>
      <c r="M11">
        <f>M8</f>
        <v/>
      </c>
      <c r="N11">
        <f>N8</f>
        <v/>
      </c>
      <c r="AD11">
        <f>SUM(C11:N11)</f>
        <v/>
      </c>
    </row>
    <row r="12">
      <c r="A12" t="n">
        <v>1</v>
      </c>
      <c r="B12">
        <f>EDATE(Plan!$C$6,0)</f>
        <v/>
      </c>
      <c r="C12">
        <f>IF(C11&lt;=0,0,MAX(0,AH12-O12))</f>
        <v/>
      </c>
      <c r="D12">
        <f>IF(D11&lt;=0,0,MAX(0,AI12-P12))</f>
        <v/>
      </c>
      <c r="E12">
        <f>IF(E11&lt;=0,0,MAX(0,AJ12-Q12))</f>
        <v/>
      </c>
      <c r="F12">
        <f>IF(F11&lt;=0,0,MAX(0,AK12-R12))</f>
        <v/>
      </c>
      <c r="G12">
        <f>IF(G11&lt;=0,0,MAX(0,AL12-S12))</f>
        <v/>
      </c>
      <c r="H12">
        <f>IF(H11&lt;=0,0,MAX(0,AM12-T12))</f>
        <v/>
      </c>
      <c r="I12">
        <f>IF(I11&lt;=0,0,MAX(0,AN12-U12))</f>
        <v/>
      </c>
      <c r="J12">
        <f>IF(J11&lt;=0,0,MAX(0,AO12-V12))</f>
        <v/>
      </c>
      <c r="K12">
        <f>IF(K11&lt;=0,0,MAX(0,AP12-W12))</f>
        <v/>
      </c>
      <c r="L12">
        <f>IF(L11&lt;=0,0,MAX(0,AQ12-X12))</f>
        <v/>
      </c>
      <c r="M12">
        <f>IF(M11&lt;=0,0,MAX(0,AR12-Y12))</f>
        <v/>
      </c>
      <c r="N12">
        <f>IF(N11&lt;=0,0,MAX(0,AS12-Z12))</f>
        <v/>
      </c>
      <c r="O12">
        <f>IF(C11&lt;=0,0,MIN(AH12,C$7+IF(C$2=$AA12,$AC12,IF(C$2=$AF12,$AG12,0))))</f>
        <v/>
      </c>
      <c r="P12">
        <f>IF(D11&lt;=0,0,MIN(AI12,D$7+IF(D$2=$AA12,$AC12,IF(D$2=$AF12,$AG12,0))))</f>
        <v/>
      </c>
      <c r="Q12">
        <f>IF(E11&lt;=0,0,MIN(AJ12,E$7+IF(E$2=$AA12,$AC12,IF(E$2=$AF12,$AG12,0))))</f>
        <v/>
      </c>
      <c r="R12">
        <f>IF(F11&lt;=0,0,MIN(AK12,F$7+IF(F$2=$AA12,$AC12,IF(F$2=$AF12,$AG12,0))))</f>
        <v/>
      </c>
      <c r="S12">
        <f>IF(G11&lt;=0,0,MIN(AL12,G$7+IF(G$2=$AA12,$AC12,IF(G$2=$AF12,$AG12,0))))</f>
        <v/>
      </c>
      <c r="T12">
        <f>IF(H11&lt;=0,0,MIN(AM12,H$7+IF(H$2=$AA12,$AC12,IF(H$2=$AF12,$AG12,0))))</f>
        <v/>
      </c>
      <c r="U12">
        <f>IF(I11&lt;=0,0,MIN(AN12,I$7+IF(I$2=$AA12,$AC12,IF(I$2=$AF12,$AG12,0))))</f>
        <v/>
      </c>
      <c r="V12">
        <f>IF(J11&lt;=0,0,MIN(AO12,J$7+IF(J$2=$AA12,$AC12,IF(J$2=$AF12,$AG12,0))))</f>
        <v/>
      </c>
      <c r="W12">
        <f>IF(K11&lt;=0,0,MIN(AP12,K$7+IF(K$2=$AA12,$AC12,IF(K$2=$AF12,$AG12,0))))</f>
        <v/>
      </c>
      <c r="X12">
        <f>IF(L11&lt;=0,0,MIN(AQ12,L$7+IF(L$2=$AA12,$AC12,IF(L$2=$AF12,$AG12,0))))</f>
        <v/>
      </c>
      <c r="Y12">
        <f>IF(M11&lt;=0,0,MIN(AR12,M$7+IF(M$2=$AA12,$AC12,IF(M$2=$AF12,$AG12,0))))</f>
        <v/>
      </c>
      <c r="Z12">
        <f>IF(N11&lt;=0,0,MIN(AS12,N$7+IF(N$2=$AA12,$AC12,IF(N$2=$AF12,$AG12,0))))</f>
        <v/>
      </c>
      <c r="AA12">
        <f>IFERROR(ROUND(1/SUMPRODUCT(MAX((C11:N11&gt;0)*($C$3:$N$3&lt;=B12)/$C$2:$N$2)),0),0)</f>
        <v/>
      </c>
      <c r="AB12">
        <f>SUMPRODUCT((C11:N11&gt;0)*$C$7:$N$7)</f>
        <v/>
      </c>
      <c r="AC12">
        <f>MAX(0,Plan!$C$5-AB12)+IF(A12=Plan!$C$8,N(Plan!$C$7),0)</f>
        <v/>
      </c>
      <c r="AD12">
        <f>SUM(C12:N12)</f>
        <v/>
      </c>
      <c r="AE12">
        <f>SUM(O12:Z12)</f>
        <v/>
      </c>
      <c r="AF12">
        <f>IFERROR(ROUND(1/SUMPRODUCT(MAX((C11:N11&gt;0)*($C$3:$N$3&lt;=B12)*($C$2:$N$2&gt;AA12)/$C$2:$N$2)),0),0)</f>
        <v/>
      </c>
      <c r="AG12">
        <f>MAX(0,AC12-MAX(0,SUMPRODUCT(($C$2:$N$2=AA12)*(AH12:AS12-$C$7:$N$7))))</f>
        <v/>
      </c>
      <c r="AH12">
        <f>IF(C11&lt;=0,0,ROUND(C11*(1+IF(AND(C$6&gt;0,$B12&lt;C$6),C$4,C$5)/12),2))</f>
        <v/>
      </c>
      <c r="AI12">
        <f>IF(D11&lt;=0,0,ROUND(D11*(1+IF(AND(D$6&gt;0,$B12&lt;D$6),D$4,D$5)/12),2))</f>
        <v/>
      </c>
      <c r="AJ12">
        <f>IF(E11&lt;=0,0,ROUND(E11*(1+IF(AND(E$6&gt;0,$B12&lt;E$6),E$4,E$5)/12),2))</f>
        <v/>
      </c>
      <c r="AK12">
        <f>IF(F11&lt;=0,0,ROUND(F11*(1+IF(AND(F$6&gt;0,$B12&lt;F$6),F$4,F$5)/12),2))</f>
        <v/>
      </c>
      <c r="AL12">
        <f>IF(G11&lt;=0,0,ROUND(G11*(1+IF(AND(G$6&gt;0,$B12&lt;G$6),G$4,G$5)/12),2))</f>
        <v/>
      </c>
      <c r="AM12">
        <f>IF(H11&lt;=0,0,ROUND(H11*(1+IF(AND(H$6&gt;0,$B12&lt;H$6),H$4,H$5)/12),2))</f>
        <v/>
      </c>
      <c r="AN12">
        <f>IF(I11&lt;=0,0,ROUND(I11*(1+IF(AND(I$6&gt;0,$B12&lt;I$6),I$4,I$5)/12),2))</f>
        <v/>
      </c>
      <c r="AO12">
        <f>IF(J11&lt;=0,0,ROUND(J11*(1+IF(AND(J$6&gt;0,$B12&lt;J$6),J$4,J$5)/12),2))</f>
        <v/>
      </c>
      <c r="AP12">
        <f>IF(K11&lt;=0,0,ROUND(K11*(1+IF(AND(K$6&gt;0,$B12&lt;K$6),K$4,K$5)/12),2))</f>
        <v/>
      </c>
      <c r="AQ12">
        <f>IF(L11&lt;=0,0,ROUND(L11*(1+IF(AND(L$6&gt;0,$B12&lt;L$6),L$4,L$5)/12),2))</f>
        <v/>
      </c>
      <c r="AR12">
        <f>IF(M11&lt;=0,0,ROUND(M11*(1+IF(AND(M$6&gt;0,$B12&lt;M$6),M$4,M$5)/12),2))</f>
        <v/>
      </c>
      <c r="AS12">
        <f>IF(N11&lt;=0,0,ROUND(N11*(1+IF(AND(N$6&gt;0,$B12&lt;N$6),N$4,N$5)/12),2))</f>
        <v/>
      </c>
    </row>
    <row r="13">
      <c r="A13" t="n">
        <v>2</v>
      </c>
      <c r="B13">
        <f>EDATE(Plan!$C$6,1)</f>
        <v/>
      </c>
      <c r="C13">
        <f>IF(C12&lt;=0,0,MAX(0,AH13-O13))</f>
        <v/>
      </c>
      <c r="D13">
        <f>IF(D12&lt;=0,0,MAX(0,AI13-P13))</f>
        <v/>
      </c>
      <c r="E13">
        <f>IF(E12&lt;=0,0,MAX(0,AJ13-Q13))</f>
        <v/>
      </c>
      <c r="F13">
        <f>IF(F12&lt;=0,0,MAX(0,AK13-R13))</f>
        <v/>
      </c>
      <c r="G13">
        <f>IF(G12&lt;=0,0,MAX(0,AL13-S13))</f>
        <v/>
      </c>
      <c r="H13">
        <f>IF(H12&lt;=0,0,MAX(0,AM13-T13))</f>
        <v/>
      </c>
      <c r="I13">
        <f>IF(I12&lt;=0,0,MAX(0,AN13-U13))</f>
        <v/>
      </c>
      <c r="J13">
        <f>IF(J12&lt;=0,0,MAX(0,AO13-V13))</f>
        <v/>
      </c>
      <c r="K13">
        <f>IF(K12&lt;=0,0,MAX(0,AP13-W13))</f>
        <v/>
      </c>
      <c r="L13">
        <f>IF(L12&lt;=0,0,MAX(0,AQ13-X13))</f>
        <v/>
      </c>
      <c r="M13">
        <f>IF(M12&lt;=0,0,MAX(0,AR13-Y13))</f>
        <v/>
      </c>
      <c r="N13">
        <f>IF(N12&lt;=0,0,MAX(0,AS13-Z13))</f>
        <v/>
      </c>
      <c r="O13">
        <f>IF(C12&lt;=0,0,MIN(AH13,C$7+IF(C$2=$AA13,$AC13,IF(C$2=$AF13,$AG13,0))))</f>
        <v/>
      </c>
      <c r="P13">
        <f>IF(D12&lt;=0,0,MIN(AI13,D$7+IF(D$2=$AA13,$AC13,IF(D$2=$AF13,$AG13,0))))</f>
        <v/>
      </c>
      <c r="Q13">
        <f>IF(E12&lt;=0,0,MIN(AJ13,E$7+IF(E$2=$AA13,$AC13,IF(E$2=$AF13,$AG13,0))))</f>
        <v/>
      </c>
      <c r="R13">
        <f>IF(F12&lt;=0,0,MIN(AK13,F$7+IF(F$2=$AA13,$AC13,IF(F$2=$AF13,$AG13,0))))</f>
        <v/>
      </c>
      <c r="S13">
        <f>IF(G12&lt;=0,0,MIN(AL13,G$7+IF(G$2=$AA13,$AC13,IF(G$2=$AF13,$AG13,0))))</f>
        <v/>
      </c>
      <c r="T13">
        <f>IF(H12&lt;=0,0,MIN(AM13,H$7+IF(H$2=$AA13,$AC13,IF(H$2=$AF13,$AG13,0))))</f>
        <v/>
      </c>
      <c r="U13">
        <f>IF(I12&lt;=0,0,MIN(AN13,I$7+IF(I$2=$AA13,$AC13,IF(I$2=$AF13,$AG13,0))))</f>
        <v/>
      </c>
      <c r="V13">
        <f>IF(J12&lt;=0,0,MIN(AO13,J$7+IF(J$2=$AA13,$AC13,IF(J$2=$AF13,$AG13,0))))</f>
        <v/>
      </c>
      <c r="W13">
        <f>IF(K12&lt;=0,0,MIN(AP13,K$7+IF(K$2=$AA13,$AC13,IF(K$2=$AF13,$AG13,0))))</f>
        <v/>
      </c>
      <c r="X13">
        <f>IF(L12&lt;=0,0,MIN(AQ13,L$7+IF(L$2=$AA13,$AC13,IF(L$2=$AF13,$AG13,0))))</f>
        <v/>
      </c>
      <c r="Y13">
        <f>IF(M12&lt;=0,0,MIN(AR13,M$7+IF(M$2=$AA13,$AC13,IF(M$2=$AF13,$AG13,0))))</f>
        <v/>
      </c>
      <c r="Z13">
        <f>IF(N12&lt;=0,0,MIN(AS13,N$7+IF(N$2=$AA13,$AC13,IF(N$2=$AF13,$AG13,0))))</f>
        <v/>
      </c>
      <c r="AA13">
        <f>IFERROR(ROUND(1/SUMPRODUCT(MAX((C12:N12&gt;0)*($C$3:$N$3&lt;=B13)/$C$2:$N$2)),0),0)</f>
        <v/>
      </c>
      <c r="AB13">
        <f>SUMPRODUCT((C12:N12&gt;0)*$C$7:$N$7)</f>
        <v/>
      </c>
      <c r="AC13">
        <f>MAX(0,Plan!$C$5-AB13)+IF(A13=Plan!$C$8,N(Plan!$C$7),0)</f>
        <v/>
      </c>
      <c r="AD13">
        <f>SUM(C13:N13)</f>
        <v/>
      </c>
      <c r="AE13">
        <f>SUM(O13:Z13)</f>
        <v/>
      </c>
      <c r="AF13">
        <f>IFERROR(ROUND(1/SUMPRODUCT(MAX((C12:N12&gt;0)*($C$3:$N$3&lt;=B13)*($C$2:$N$2&gt;AA13)/$C$2:$N$2)),0),0)</f>
        <v/>
      </c>
      <c r="AG13">
        <f>MAX(0,AC13-MAX(0,SUMPRODUCT(($C$2:$N$2=AA13)*(AH13:AS13-$C$7:$N$7))))</f>
        <v/>
      </c>
      <c r="AH13">
        <f>IF(C12&lt;=0,0,ROUND(C12*(1+IF(AND(C$6&gt;0,$B13&lt;C$6),C$4,C$5)/12),2))</f>
        <v/>
      </c>
      <c r="AI13">
        <f>IF(D12&lt;=0,0,ROUND(D12*(1+IF(AND(D$6&gt;0,$B13&lt;D$6),D$4,D$5)/12),2))</f>
        <v/>
      </c>
      <c r="AJ13">
        <f>IF(E12&lt;=0,0,ROUND(E12*(1+IF(AND(E$6&gt;0,$B13&lt;E$6),E$4,E$5)/12),2))</f>
        <v/>
      </c>
      <c r="AK13">
        <f>IF(F12&lt;=0,0,ROUND(F12*(1+IF(AND(F$6&gt;0,$B13&lt;F$6),F$4,F$5)/12),2))</f>
        <v/>
      </c>
      <c r="AL13">
        <f>IF(G12&lt;=0,0,ROUND(G12*(1+IF(AND(G$6&gt;0,$B13&lt;G$6),G$4,G$5)/12),2))</f>
        <v/>
      </c>
      <c r="AM13">
        <f>IF(H12&lt;=0,0,ROUND(H12*(1+IF(AND(H$6&gt;0,$B13&lt;H$6),H$4,H$5)/12),2))</f>
        <v/>
      </c>
      <c r="AN13">
        <f>IF(I12&lt;=0,0,ROUND(I12*(1+IF(AND(I$6&gt;0,$B13&lt;I$6),I$4,I$5)/12),2))</f>
        <v/>
      </c>
      <c r="AO13">
        <f>IF(J12&lt;=0,0,ROUND(J12*(1+IF(AND(J$6&gt;0,$B13&lt;J$6),J$4,J$5)/12),2))</f>
        <v/>
      </c>
      <c r="AP13">
        <f>IF(K12&lt;=0,0,ROUND(K12*(1+IF(AND(K$6&gt;0,$B13&lt;K$6),K$4,K$5)/12),2))</f>
        <v/>
      </c>
      <c r="AQ13">
        <f>IF(L12&lt;=0,0,ROUND(L12*(1+IF(AND(L$6&gt;0,$B13&lt;L$6),L$4,L$5)/12),2))</f>
        <v/>
      </c>
      <c r="AR13">
        <f>IF(M12&lt;=0,0,ROUND(M12*(1+IF(AND(M$6&gt;0,$B13&lt;M$6),M$4,M$5)/12),2))</f>
        <v/>
      </c>
      <c r="AS13">
        <f>IF(N12&lt;=0,0,ROUND(N12*(1+IF(AND(N$6&gt;0,$B13&lt;N$6),N$4,N$5)/12),2))</f>
        <v/>
      </c>
    </row>
    <row r="14">
      <c r="A14" t="n">
        <v>3</v>
      </c>
      <c r="B14">
        <f>EDATE(Plan!$C$6,2)</f>
        <v/>
      </c>
      <c r="C14">
        <f>IF(C13&lt;=0,0,MAX(0,AH14-O14))</f>
        <v/>
      </c>
      <c r="D14">
        <f>IF(D13&lt;=0,0,MAX(0,AI14-P14))</f>
        <v/>
      </c>
      <c r="E14">
        <f>IF(E13&lt;=0,0,MAX(0,AJ14-Q14))</f>
        <v/>
      </c>
      <c r="F14">
        <f>IF(F13&lt;=0,0,MAX(0,AK14-R14))</f>
        <v/>
      </c>
      <c r="G14">
        <f>IF(G13&lt;=0,0,MAX(0,AL14-S14))</f>
        <v/>
      </c>
      <c r="H14">
        <f>IF(H13&lt;=0,0,MAX(0,AM14-T14))</f>
        <v/>
      </c>
      <c r="I14">
        <f>IF(I13&lt;=0,0,MAX(0,AN14-U14))</f>
        <v/>
      </c>
      <c r="J14">
        <f>IF(J13&lt;=0,0,MAX(0,AO14-V14))</f>
        <v/>
      </c>
      <c r="K14">
        <f>IF(K13&lt;=0,0,MAX(0,AP14-W14))</f>
        <v/>
      </c>
      <c r="L14">
        <f>IF(L13&lt;=0,0,MAX(0,AQ14-X14))</f>
        <v/>
      </c>
      <c r="M14">
        <f>IF(M13&lt;=0,0,MAX(0,AR14-Y14))</f>
        <v/>
      </c>
      <c r="N14">
        <f>IF(N13&lt;=0,0,MAX(0,AS14-Z14))</f>
        <v/>
      </c>
      <c r="O14">
        <f>IF(C13&lt;=0,0,MIN(AH14,C$7+IF(C$2=$AA14,$AC14,IF(C$2=$AF14,$AG14,0))))</f>
        <v/>
      </c>
      <c r="P14">
        <f>IF(D13&lt;=0,0,MIN(AI14,D$7+IF(D$2=$AA14,$AC14,IF(D$2=$AF14,$AG14,0))))</f>
        <v/>
      </c>
      <c r="Q14">
        <f>IF(E13&lt;=0,0,MIN(AJ14,E$7+IF(E$2=$AA14,$AC14,IF(E$2=$AF14,$AG14,0))))</f>
        <v/>
      </c>
      <c r="R14">
        <f>IF(F13&lt;=0,0,MIN(AK14,F$7+IF(F$2=$AA14,$AC14,IF(F$2=$AF14,$AG14,0))))</f>
        <v/>
      </c>
      <c r="S14">
        <f>IF(G13&lt;=0,0,MIN(AL14,G$7+IF(G$2=$AA14,$AC14,IF(G$2=$AF14,$AG14,0))))</f>
        <v/>
      </c>
      <c r="T14">
        <f>IF(H13&lt;=0,0,MIN(AM14,H$7+IF(H$2=$AA14,$AC14,IF(H$2=$AF14,$AG14,0))))</f>
        <v/>
      </c>
      <c r="U14">
        <f>IF(I13&lt;=0,0,MIN(AN14,I$7+IF(I$2=$AA14,$AC14,IF(I$2=$AF14,$AG14,0))))</f>
        <v/>
      </c>
      <c r="V14">
        <f>IF(J13&lt;=0,0,MIN(AO14,J$7+IF(J$2=$AA14,$AC14,IF(J$2=$AF14,$AG14,0))))</f>
        <v/>
      </c>
      <c r="W14">
        <f>IF(K13&lt;=0,0,MIN(AP14,K$7+IF(K$2=$AA14,$AC14,IF(K$2=$AF14,$AG14,0))))</f>
        <v/>
      </c>
      <c r="X14">
        <f>IF(L13&lt;=0,0,MIN(AQ14,L$7+IF(L$2=$AA14,$AC14,IF(L$2=$AF14,$AG14,0))))</f>
        <v/>
      </c>
      <c r="Y14">
        <f>IF(M13&lt;=0,0,MIN(AR14,M$7+IF(M$2=$AA14,$AC14,IF(M$2=$AF14,$AG14,0))))</f>
        <v/>
      </c>
      <c r="Z14">
        <f>IF(N13&lt;=0,0,MIN(AS14,N$7+IF(N$2=$AA14,$AC14,IF(N$2=$AF14,$AG14,0))))</f>
        <v/>
      </c>
      <c r="AA14">
        <f>IFERROR(ROUND(1/SUMPRODUCT(MAX((C13:N13&gt;0)*($C$3:$N$3&lt;=B14)/$C$2:$N$2)),0),0)</f>
        <v/>
      </c>
      <c r="AB14">
        <f>SUMPRODUCT((C13:N13&gt;0)*$C$7:$N$7)</f>
        <v/>
      </c>
      <c r="AC14">
        <f>MAX(0,Plan!$C$5-AB14)+IF(A14=Plan!$C$8,N(Plan!$C$7),0)</f>
        <v/>
      </c>
      <c r="AD14">
        <f>SUM(C14:N14)</f>
        <v/>
      </c>
      <c r="AE14">
        <f>SUM(O14:Z14)</f>
        <v/>
      </c>
      <c r="AF14">
        <f>IFERROR(ROUND(1/SUMPRODUCT(MAX((C13:N13&gt;0)*($C$3:$N$3&lt;=B14)*($C$2:$N$2&gt;AA14)/$C$2:$N$2)),0),0)</f>
        <v/>
      </c>
      <c r="AG14">
        <f>MAX(0,AC14-MAX(0,SUMPRODUCT(($C$2:$N$2=AA14)*(AH14:AS14-$C$7:$N$7))))</f>
        <v/>
      </c>
      <c r="AH14">
        <f>IF(C13&lt;=0,0,ROUND(C13*(1+IF(AND(C$6&gt;0,$B14&lt;C$6),C$4,C$5)/12),2))</f>
        <v/>
      </c>
      <c r="AI14">
        <f>IF(D13&lt;=0,0,ROUND(D13*(1+IF(AND(D$6&gt;0,$B14&lt;D$6),D$4,D$5)/12),2))</f>
        <v/>
      </c>
      <c r="AJ14">
        <f>IF(E13&lt;=0,0,ROUND(E13*(1+IF(AND(E$6&gt;0,$B14&lt;E$6),E$4,E$5)/12),2))</f>
        <v/>
      </c>
      <c r="AK14">
        <f>IF(F13&lt;=0,0,ROUND(F13*(1+IF(AND(F$6&gt;0,$B14&lt;F$6),F$4,F$5)/12),2))</f>
        <v/>
      </c>
      <c r="AL14">
        <f>IF(G13&lt;=0,0,ROUND(G13*(1+IF(AND(G$6&gt;0,$B14&lt;G$6),G$4,G$5)/12),2))</f>
        <v/>
      </c>
      <c r="AM14">
        <f>IF(H13&lt;=0,0,ROUND(H13*(1+IF(AND(H$6&gt;0,$B14&lt;H$6),H$4,H$5)/12),2))</f>
        <v/>
      </c>
      <c r="AN14">
        <f>IF(I13&lt;=0,0,ROUND(I13*(1+IF(AND(I$6&gt;0,$B14&lt;I$6),I$4,I$5)/12),2))</f>
        <v/>
      </c>
      <c r="AO14">
        <f>IF(J13&lt;=0,0,ROUND(J13*(1+IF(AND(J$6&gt;0,$B14&lt;J$6),J$4,J$5)/12),2))</f>
        <v/>
      </c>
      <c r="AP14">
        <f>IF(K13&lt;=0,0,ROUND(K13*(1+IF(AND(K$6&gt;0,$B14&lt;K$6),K$4,K$5)/12),2))</f>
        <v/>
      </c>
      <c r="AQ14">
        <f>IF(L13&lt;=0,0,ROUND(L13*(1+IF(AND(L$6&gt;0,$B14&lt;L$6),L$4,L$5)/12),2))</f>
        <v/>
      </c>
      <c r="AR14">
        <f>IF(M13&lt;=0,0,ROUND(M13*(1+IF(AND(M$6&gt;0,$B14&lt;M$6),M$4,M$5)/12),2))</f>
        <v/>
      </c>
      <c r="AS14">
        <f>IF(N13&lt;=0,0,ROUND(N13*(1+IF(AND(N$6&gt;0,$B14&lt;N$6),N$4,N$5)/12),2))</f>
        <v/>
      </c>
    </row>
    <row r="15">
      <c r="A15" t="n">
        <v>4</v>
      </c>
      <c r="B15">
        <f>EDATE(Plan!$C$6,3)</f>
        <v/>
      </c>
      <c r="C15">
        <f>IF(C14&lt;=0,0,MAX(0,AH15-O15))</f>
        <v/>
      </c>
      <c r="D15">
        <f>IF(D14&lt;=0,0,MAX(0,AI15-P15))</f>
        <v/>
      </c>
      <c r="E15">
        <f>IF(E14&lt;=0,0,MAX(0,AJ15-Q15))</f>
        <v/>
      </c>
      <c r="F15">
        <f>IF(F14&lt;=0,0,MAX(0,AK15-R15))</f>
        <v/>
      </c>
      <c r="G15">
        <f>IF(G14&lt;=0,0,MAX(0,AL15-S15))</f>
        <v/>
      </c>
      <c r="H15">
        <f>IF(H14&lt;=0,0,MAX(0,AM15-T15))</f>
        <v/>
      </c>
      <c r="I15">
        <f>IF(I14&lt;=0,0,MAX(0,AN15-U15))</f>
        <v/>
      </c>
      <c r="J15">
        <f>IF(J14&lt;=0,0,MAX(0,AO15-V15))</f>
        <v/>
      </c>
      <c r="K15">
        <f>IF(K14&lt;=0,0,MAX(0,AP15-W15))</f>
        <v/>
      </c>
      <c r="L15">
        <f>IF(L14&lt;=0,0,MAX(0,AQ15-X15))</f>
        <v/>
      </c>
      <c r="M15">
        <f>IF(M14&lt;=0,0,MAX(0,AR15-Y15))</f>
        <v/>
      </c>
      <c r="N15">
        <f>IF(N14&lt;=0,0,MAX(0,AS15-Z15))</f>
        <v/>
      </c>
      <c r="O15">
        <f>IF(C14&lt;=0,0,MIN(AH15,C$7+IF(C$2=$AA15,$AC15,IF(C$2=$AF15,$AG15,0))))</f>
        <v/>
      </c>
      <c r="P15">
        <f>IF(D14&lt;=0,0,MIN(AI15,D$7+IF(D$2=$AA15,$AC15,IF(D$2=$AF15,$AG15,0))))</f>
        <v/>
      </c>
      <c r="Q15">
        <f>IF(E14&lt;=0,0,MIN(AJ15,E$7+IF(E$2=$AA15,$AC15,IF(E$2=$AF15,$AG15,0))))</f>
        <v/>
      </c>
      <c r="R15">
        <f>IF(F14&lt;=0,0,MIN(AK15,F$7+IF(F$2=$AA15,$AC15,IF(F$2=$AF15,$AG15,0))))</f>
        <v/>
      </c>
      <c r="S15">
        <f>IF(G14&lt;=0,0,MIN(AL15,G$7+IF(G$2=$AA15,$AC15,IF(G$2=$AF15,$AG15,0))))</f>
        <v/>
      </c>
      <c r="T15">
        <f>IF(H14&lt;=0,0,MIN(AM15,H$7+IF(H$2=$AA15,$AC15,IF(H$2=$AF15,$AG15,0))))</f>
        <v/>
      </c>
      <c r="U15">
        <f>IF(I14&lt;=0,0,MIN(AN15,I$7+IF(I$2=$AA15,$AC15,IF(I$2=$AF15,$AG15,0))))</f>
        <v/>
      </c>
      <c r="V15">
        <f>IF(J14&lt;=0,0,MIN(AO15,J$7+IF(J$2=$AA15,$AC15,IF(J$2=$AF15,$AG15,0))))</f>
        <v/>
      </c>
      <c r="W15">
        <f>IF(K14&lt;=0,0,MIN(AP15,K$7+IF(K$2=$AA15,$AC15,IF(K$2=$AF15,$AG15,0))))</f>
        <v/>
      </c>
      <c r="X15">
        <f>IF(L14&lt;=0,0,MIN(AQ15,L$7+IF(L$2=$AA15,$AC15,IF(L$2=$AF15,$AG15,0))))</f>
        <v/>
      </c>
      <c r="Y15">
        <f>IF(M14&lt;=0,0,MIN(AR15,M$7+IF(M$2=$AA15,$AC15,IF(M$2=$AF15,$AG15,0))))</f>
        <v/>
      </c>
      <c r="Z15">
        <f>IF(N14&lt;=0,0,MIN(AS15,N$7+IF(N$2=$AA15,$AC15,IF(N$2=$AF15,$AG15,0))))</f>
        <v/>
      </c>
      <c r="AA15">
        <f>IFERROR(ROUND(1/SUMPRODUCT(MAX((C14:N14&gt;0)*($C$3:$N$3&lt;=B15)/$C$2:$N$2)),0),0)</f>
        <v/>
      </c>
      <c r="AB15">
        <f>SUMPRODUCT((C14:N14&gt;0)*$C$7:$N$7)</f>
        <v/>
      </c>
      <c r="AC15">
        <f>MAX(0,Plan!$C$5-AB15)+IF(A15=Plan!$C$8,N(Plan!$C$7),0)</f>
        <v/>
      </c>
      <c r="AD15">
        <f>SUM(C15:N15)</f>
        <v/>
      </c>
      <c r="AE15">
        <f>SUM(O15:Z15)</f>
        <v/>
      </c>
      <c r="AF15">
        <f>IFERROR(ROUND(1/SUMPRODUCT(MAX((C14:N14&gt;0)*($C$3:$N$3&lt;=B15)*($C$2:$N$2&gt;AA15)/$C$2:$N$2)),0),0)</f>
        <v/>
      </c>
      <c r="AG15">
        <f>MAX(0,AC15-MAX(0,SUMPRODUCT(($C$2:$N$2=AA15)*(AH15:AS15-$C$7:$N$7))))</f>
        <v/>
      </c>
      <c r="AH15">
        <f>IF(C14&lt;=0,0,ROUND(C14*(1+IF(AND(C$6&gt;0,$B15&lt;C$6),C$4,C$5)/12),2))</f>
        <v/>
      </c>
      <c r="AI15">
        <f>IF(D14&lt;=0,0,ROUND(D14*(1+IF(AND(D$6&gt;0,$B15&lt;D$6),D$4,D$5)/12),2))</f>
        <v/>
      </c>
      <c r="AJ15">
        <f>IF(E14&lt;=0,0,ROUND(E14*(1+IF(AND(E$6&gt;0,$B15&lt;E$6),E$4,E$5)/12),2))</f>
        <v/>
      </c>
      <c r="AK15">
        <f>IF(F14&lt;=0,0,ROUND(F14*(1+IF(AND(F$6&gt;0,$B15&lt;F$6),F$4,F$5)/12),2))</f>
        <v/>
      </c>
      <c r="AL15">
        <f>IF(G14&lt;=0,0,ROUND(G14*(1+IF(AND(G$6&gt;0,$B15&lt;G$6),G$4,G$5)/12),2))</f>
        <v/>
      </c>
      <c r="AM15">
        <f>IF(H14&lt;=0,0,ROUND(H14*(1+IF(AND(H$6&gt;0,$B15&lt;H$6),H$4,H$5)/12),2))</f>
        <v/>
      </c>
      <c r="AN15">
        <f>IF(I14&lt;=0,0,ROUND(I14*(1+IF(AND(I$6&gt;0,$B15&lt;I$6),I$4,I$5)/12),2))</f>
        <v/>
      </c>
      <c r="AO15">
        <f>IF(J14&lt;=0,0,ROUND(J14*(1+IF(AND(J$6&gt;0,$B15&lt;J$6),J$4,J$5)/12),2))</f>
        <v/>
      </c>
      <c r="AP15">
        <f>IF(K14&lt;=0,0,ROUND(K14*(1+IF(AND(K$6&gt;0,$B15&lt;K$6),K$4,K$5)/12),2))</f>
        <v/>
      </c>
      <c r="AQ15">
        <f>IF(L14&lt;=0,0,ROUND(L14*(1+IF(AND(L$6&gt;0,$B15&lt;L$6),L$4,L$5)/12),2))</f>
        <v/>
      </c>
      <c r="AR15">
        <f>IF(M14&lt;=0,0,ROUND(M14*(1+IF(AND(M$6&gt;0,$B15&lt;M$6),M$4,M$5)/12),2))</f>
        <v/>
      </c>
      <c r="AS15">
        <f>IF(N14&lt;=0,0,ROUND(N14*(1+IF(AND(N$6&gt;0,$B15&lt;N$6),N$4,N$5)/12),2))</f>
        <v/>
      </c>
    </row>
    <row r="16">
      <c r="A16" t="n">
        <v>5</v>
      </c>
      <c r="B16">
        <f>EDATE(Plan!$C$6,4)</f>
        <v/>
      </c>
      <c r="C16">
        <f>IF(C15&lt;=0,0,MAX(0,AH16-O16))</f>
        <v/>
      </c>
      <c r="D16">
        <f>IF(D15&lt;=0,0,MAX(0,AI16-P16))</f>
        <v/>
      </c>
      <c r="E16">
        <f>IF(E15&lt;=0,0,MAX(0,AJ16-Q16))</f>
        <v/>
      </c>
      <c r="F16">
        <f>IF(F15&lt;=0,0,MAX(0,AK16-R16))</f>
        <v/>
      </c>
      <c r="G16">
        <f>IF(G15&lt;=0,0,MAX(0,AL16-S16))</f>
        <v/>
      </c>
      <c r="H16">
        <f>IF(H15&lt;=0,0,MAX(0,AM16-T16))</f>
        <v/>
      </c>
      <c r="I16">
        <f>IF(I15&lt;=0,0,MAX(0,AN16-U16))</f>
        <v/>
      </c>
      <c r="J16">
        <f>IF(J15&lt;=0,0,MAX(0,AO16-V16))</f>
        <v/>
      </c>
      <c r="K16">
        <f>IF(K15&lt;=0,0,MAX(0,AP16-W16))</f>
        <v/>
      </c>
      <c r="L16">
        <f>IF(L15&lt;=0,0,MAX(0,AQ16-X16))</f>
        <v/>
      </c>
      <c r="M16">
        <f>IF(M15&lt;=0,0,MAX(0,AR16-Y16))</f>
        <v/>
      </c>
      <c r="N16">
        <f>IF(N15&lt;=0,0,MAX(0,AS16-Z16))</f>
        <v/>
      </c>
      <c r="O16">
        <f>IF(C15&lt;=0,0,MIN(AH16,C$7+IF(C$2=$AA16,$AC16,IF(C$2=$AF16,$AG16,0))))</f>
        <v/>
      </c>
      <c r="P16">
        <f>IF(D15&lt;=0,0,MIN(AI16,D$7+IF(D$2=$AA16,$AC16,IF(D$2=$AF16,$AG16,0))))</f>
        <v/>
      </c>
      <c r="Q16">
        <f>IF(E15&lt;=0,0,MIN(AJ16,E$7+IF(E$2=$AA16,$AC16,IF(E$2=$AF16,$AG16,0))))</f>
        <v/>
      </c>
      <c r="R16">
        <f>IF(F15&lt;=0,0,MIN(AK16,F$7+IF(F$2=$AA16,$AC16,IF(F$2=$AF16,$AG16,0))))</f>
        <v/>
      </c>
      <c r="S16">
        <f>IF(G15&lt;=0,0,MIN(AL16,G$7+IF(G$2=$AA16,$AC16,IF(G$2=$AF16,$AG16,0))))</f>
        <v/>
      </c>
      <c r="T16">
        <f>IF(H15&lt;=0,0,MIN(AM16,H$7+IF(H$2=$AA16,$AC16,IF(H$2=$AF16,$AG16,0))))</f>
        <v/>
      </c>
      <c r="U16">
        <f>IF(I15&lt;=0,0,MIN(AN16,I$7+IF(I$2=$AA16,$AC16,IF(I$2=$AF16,$AG16,0))))</f>
        <v/>
      </c>
      <c r="V16">
        <f>IF(J15&lt;=0,0,MIN(AO16,J$7+IF(J$2=$AA16,$AC16,IF(J$2=$AF16,$AG16,0))))</f>
        <v/>
      </c>
      <c r="W16">
        <f>IF(K15&lt;=0,0,MIN(AP16,K$7+IF(K$2=$AA16,$AC16,IF(K$2=$AF16,$AG16,0))))</f>
        <v/>
      </c>
      <c r="X16">
        <f>IF(L15&lt;=0,0,MIN(AQ16,L$7+IF(L$2=$AA16,$AC16,IF(L$2=$AF16,$AG16,0))))</f>
        <v/>
      </c>
      <c r="Y16">
        <f>IF(M15&lt;=0,0,MIN(AR16,M$7+IF(M$2=$AA16,$AC16,IF(M$2=$AF16,$AG16,0))))</f>
        <v/>
      </c>
      <c r="Z16">
        <f>IF(N15&lt;=0,0,MIN(AS16,N$7+IF(N$2=$AA16,$AC16,IF(N$2=$AF16,$AG16,0))))</f>
        <v/>
      </c>
      <c r="AA16">
        <f>IFERROR(ROUND(1/SUMPRODUCT(MAX((C15:N15&gt;0)*($C$3:$N$3&lt;=B16)/$C$2:$N$2)),0),0)</f>
        <v/>
      </c>
      <c r="AB16">
        <f>SUMPRODUCT((C15:N15&gt;0)*$C$7:$N$7)</f>
        <v/>
      </c>
      <c r="AC16">
        <f>MAX(0,Plan!$C$5-AB16)+IF(A16=Plan!$C$8,N(Plan!$C$7),0)</f>
        <v/>
      </c>
      <c r="AD16">
        <f>SUM(C16:N16)</f>
        <v/>
      </c>
      <c r="AE16">
        <f>SUM(O16:Z16)</f>
        <v/>
      </c>
      <c r="AF16">
        <f>IFERROR(ROUND(1/SUMPRODUCT(MAX((C15:N15&gt;0)*($C$3:$N$3&lt;=B16)*($C$2:$N$2&gt;AA16)/$C$2:$N$2)),0),0)</f>
        <v/>
      </c>
      <c r="AG16">
        <f>MAX(0,AC16-MAX(0,SUMPRODUCT(($C$2:$N$2=AA16)*(AH16:AS16-$C$7:$N$7))))</f>
        <v/>
      </c>
      <c r="AH16">
        <f>IF(C15&lt;=0,0,ROUND(C15*(1+IF(AND(C$6&gt;0,$B16&lt;C$6),C$4,C$5)/12),2))</f>
        <v/>
      </c>
      <c r="AI16">
        <f>IF(D15&lt;=0,0,ROUND(D15*(1+IF(AND(D$6&gt;0,$B16&lt;D$6),D$4,D$5)/12),2))</f>
        <v/>
      </c>
      <c r="AJ16">
        <f>IF(E15&lt;=0,0,ROUND(E15*(1+IF(AND(E$6&gt;0,$B16&lt;E$6),E$4,E$5)/12),2))</f>
        <v/>
      </c>
      <c r="AK16">
        <f>IF(F15&lt;=0,0,ROUND(F15*(1+IF(AND(F$6&gt;0,$B16&lt;F$6),F$4,F$5)/12),2))</f>
        <v/>
      </c>
      <c r="AL16">
        <f>IF(G15&lt;=0,0,ROUND(G15*(1+IF(AND(G$6&gt;0,$B16&lt;G$6),G$4,G$5)/12),2))</f>
        <v/>
      </c>
      <c r="AM16">
        <f>IF(H15&lt;=0,0,ROUND(H15*(1+IF(AND(H$6&gt;0,$B16&lt;H$6),H$4,H$5)/12),2))</f>
        <v/>
      </c>
      <c r="AN16">
        <f>IF(I15&lt;=0,0,ROUND(I15*(1+IF(AND(I$6&gt;0,$B16&lt;I$6),I$4,I$5)/12),2))</f>
        <v/>
      </c>
      <c r="AO16">
        <f>IF(J15&lt;=0,0,ROUND(J15*(1+IF(AND(J$6&gt;0,$B16&lt;J$6),J$4,J$5)/12),2))</f>
        <v/>
      </c>
      <c r="AP16">
        <f>IF(K15&lt;=0,0,ROUND(K15*(1+IF(AND(K$6&gt;0,$B16&lt;K$6),K$4,K$5)/12),2))</f>
        <v/>
      </c>
      <c r="AQ16">
        <f>IF(L15&lt;=0,0,ROUND(L15*(1+IF(AND(L$6&gt;0,$B16&lt;L$6),L$4,L$5)/12),2))</f>
        <v/>
      </c>
      <c r="AR16">
        <f>IF(M15&lt;=0,0,ROUND(M15*(1+IF(AND(M$6&gt;0,$B16&lt;M$6),M$4,M$5)/12),2))</f>
        <v/>
      </c>
      <c r="AS16">
        <f>IF(N15&lt;=0,0,ROUND(N15*(1+IF(AND(N$6&gt;0,$B16&lt;N$6),N$4,N$5)/12),2))</f>
        <v/>
      </c>
    </row>
    <row r="17">
      <c r="A17" t="n">
        <v>6</v>
      </c>
      <c r="B17">
        <f>EDATE(Plan!$C$6,5)</f>
        <v/>
      </c>
      <c r="C17">
        <f>IF(C16&lt;=0,0,MAX(0,AH17-O17))</f>
        <v/>
      </c>
      <c r="D17">
        <f>IF(D16&lt;=0,0,MAX(0,AI17-P17))</f>
        <v/>
      </c>
      <c r="E17">
        <f>IF(E16&lt;=0,0,MAX(0,AJ17-Q17))</f>
        <v/>
      </c>
      <c r="F17">
        <f>IF(F16&lt;=0,0,MAX(0,AK17-R17))</f>
        <v/>
      </c>
      <c r="G17">
        <f>IF(G16&lt;=0,0,MAX(0,AL17-S17))</f>
        <v/>
      </c>
      <c r="H17">
        <f>IF(H16&lt;=0,0,MAX(0,AM17-T17))</f>
        <v/>
      </c>
      <c r="I17">
        <f>IF(I16&lt;=0,0,MAX(0,AN17-U17))</f>
        <v/>
      </c>
      <c r="J17">
        <f>IF(J16&lt;=0,0,MAX(0,AO17-V17))</f>
        <v/>
      </c>
      <c r="K17">
        <f>IF(K16&lt;=0,0,MAX(0,AP17-W17))</f>
        <v/>
      </c>
      <c r="L17">
        <f>IF(L16&lt;=0,0,MAX(0,AQ17-X17))</f>
        <v/>
      </c>
      <c r="M17">
        <f>IF(M16&lt;=0,0,MAX(0,AR17-Y17))</f>
        <v/>
      </c>
      <c r="N17">
        <f>IF(N16&lt;=0,0,MAX(0,AS17-Z17))</f>
        <v/>
      </c>
      <c r="O17">
        <f>IF(C16&lt;=0,0,MIN(AH17,C$7+IF(C$2=$AA17,$AC17,IF(C$2=$AF17,$AG17,0))))</f>
        <v/>
      </c>
      <c r="P17">
        <f>IF(D16&lt;=0,0,MIN(AI17,D$7+IF(D$2=$AA17,$AC17,IF(D$2=$AF17,$AG17,0))))</f>
        <v/>
      </c>
      <c r="Q17">
        <f>IF(E16&lt;=0,0,MIN(AJ17,E$7+IF(E$2=$AA17,$AC17,IF(E$2=$AF17,$AG17,0))))</f>
        <v/>
      </c>
      <c r="R17">
        <f>IF(F16&lt;=0,0,MIN(AK17,F$7+IF(F$2=$AA17,$AC17,IF(F$2=$AF17,$AG17,0))))</f>
        <v/>
      </c>
      <c r="S17">
        <f>IF(G16&lt;=0,0,MIN(AL17,G$7+IF(G$2=$AA17,$AC17,IF(G$2=$AF17,$AG17,0))))</f>
        <v/>
      </c>
      <c r="T17">
        <f>IF(H16&lt;=0,0,MIN(AM17,H$7+IF(H$2=$AA17,$AC17,IF(H$2=$AF17,$AG17,0))))</f>
        <v/>
      </c>
      <c r="U17">
        <f>IF(I16&lt;=0,0,MIN(AN17,I$7+IF(I$2=$AA17,$AC17,IF(I$2=$AF17,$AG17,0))))</f>
        <v/>
      </c>
      <c r="V17">
        <f>IF(J16&lt;=0,0,MIN(AO17,J$7+IF(J$2=$AA17,$AC17,IF(J$2=$AF17,$AG17,0))))</f>
        <v/>
      </c>
      <c r="W17">
        <f>IF(K16&lt;=0,0,MIN(AP17,K$7+IF(K$2=$AA17,$AC17,IF(K$2=$AF17,$AG17,0))))</f>
        <v/>
      </c>
      <c r="X17">
        <f>IF(L16&lt;=0,0,MIN(AQ17,L$7+IF(L$2=$AA17,$AC17,IF(L$2=$AF17,$AG17,0))))</f>
        <v/>
      </c>
      <c r="Y17">
        <f>IF(M16&lt;=0,0,MIN(AR17,M$7+IF(M$2=$AA17,$AC17,IF(M$2=$AF17,$AG17,0))))</f>
        <v/>
      </c>
      <c r="Z17">
        <f>IF(N16&lt;=0,0,MIN(AS17,N$7+IF(N$2=$AA17,$AC17,IF(N$2=$AF17,$AG17,0))))</f>
        <v/>
      </c>
      <c r="AA17">
        <f>IFERROR(ROUND(1/SUMPRODUCT(MAX((C16:N16&gt;0)*($C$3:$N$3&lt;=B17)/$C$2:$N$2)),0),0)</f>
        <v/>
      </c>
      <c r="AB17">
        <f>SUMPRODUCT((C16:N16&gt;0)*$C$7:$N$7)</f>
        <v/>
      </c>
      <c r="AC17">
        <f>MAX(0,Plan!$C$5-AB17)+IF(A17=Plan!$C$8,N(Plan!$C$7),0)</f>
        <v/>
      </c>
      <c r="AD17">
        <f>SUM(C17:N17)</f>
        <v/>
      </c>
      <c r="AE17">
        <f>SUM(O17:Z17)</f>
        <v/>
      </c>
      <c r="AF17">
        <f>IFERROR(ROUND(1/SUMPRODUCT(MAX((C16:N16&gt;0)*($C$3:$N$3&lt;=B17)*($C$2:$N$2&gt;AA17)/$C$2:$N$2)),0),0)</f>
        <v/>
      </c>
      <c r="AG17">
        <f>MAX(0,AC17-MAX(0,SUMPRODUCT(($C$2:$N$2=AA17)*(AH17:AS17-$C$7:$N$7))))</f>
        <v/>
      </c>
      <c r="AH17">
        <f>IF(C16&lt;=0,0,ROUND(C16*(1+IF(AND(C$6&gt;0,$B17&lt;C$6),C$4,C$5)/12),2))</f>
        <v/>
      </c>
      <c r="AI17">
        <f>IF(D16&lt;=0,0,ROUND(D16*(1+IF(AND(D$6&gt;0,$B17&lt;D$6),D$4,D$5)/12),2))</f>
        <v/>
      </c>
      <c r="AJ17">
        <f>IF(E16&lt;=0,0,ROUND(E16*(1+IF(AND(E$6&gt;0,$B17&lt;E$6),E$4,E$5)/12),2))</f>
        <v/>
      </c>
      <c r="AK17">
        <f>IF(F16&lt;=0,0,ROUND(F16*(1+IF(AND(F$6&gt;0,$B17&lt;F$6),F$4,F$5)/12),2))</f>
        <v/>
      </c>
      <c r="AL17">
        <f>IF(G16&lt;=0,0,ROUND(G16*(1+IF(AND(G$6&gt;0,$B17&lt;G$6),G$4,G$5)/12),2))</f>
        <v/>
      </c>
      <c r="AM17">
        <f>IF(H16&lt;=0,0,ROUND(H16*(1+IF(AND(H$6&gt;0,$B17&lt;H$6),H$4,H$5)/12),2))</f>
        <v/>
      </c>
      <c r="AN17">
        <f>IF(I16&lt;=0,0,ROUND(I16*(1+IF(AND(I$6&gt;0,$B17&lt;I$6),I$4,I$5)/12),2))</f>
        <v/>
      </c>
      <c r="AO17">
        <f>IF(J16&lt;=0,0,ROUND(J16*(1+IF(AND(J$6&gt;0,$B17&lt;J$6),J$4,J$5)/12),2))</f>
        <v/>
      </c>
      <c r="AP17">
        <f>IF(K16&lt;=0,0,ROUND(K16*(1+IF(AND(K$6&gt;0,$B17&lt;K$6),K$4,K$5)/12),2))</f>
        <v/>
      </c>
      <c r="AQ17">
        <f>IF(L16&lt;=0,0,ROUND(L16*(1+IF(AND(L$6&gt;0,$B17&lt;L$6),L$4,L$5)/12),2))</f>
        <v/>
      </c>
      <c r="AR17">
        <f>IF(M16&lt;=0,0,ROUND(M16*(1+IF(AND(M$6&gt;0,$B17&lt;M$6),M$4,M$5)/12),2))</f>
        <v/>
      </c>
      <c r="AS17">
        <f>IF(N16&lt;=0,0,ROUND(N16*(1+IF(AND(N$6&gt;0,$B17&lt;N$6),N$4,N$5)/12),2))</f>
        <v/>
      </c>
    </row>
    <row r="18">
      <c r="A18" t="n">
        <v>7</v>
      </c>
      <c r="B18">
        <f>EDATE(Plan!$C$6,6)</f>
        <v/>
      </c>
      <c r="C18">
        <f>IF(C17&lt;=0,0,MAX(0,AH18-O18))</f>
        <v/>
      </c>
      <c r="D18">
        <f>IF(D17&lt;=0,0,MAX(0,AI18-P18))</f>
        <v/>
      </c>
      <c r="E18">
        <f>IF(E17&lt;=0,0,MAX(0,AJ18-Q18))</f>
        <v/>
      </c>
      <c r="F18">
        <f>IF(F17&lt;=0,0,MAX(0,AK18-R18))</f>
        <v/>
      </c>
      <c r="G18">
        <f>IF(G17&lt;=0,0,MAX(0,AL18-S18))</f>
        <v/>
      </c>
      <c r="H18">
        <f>IF(H17&lt;=0,0,MAX(0,AM18-T18))</f>
        <v/>
      </c>
      <c r="I18">
        <f>IF(I17&lt;=0,0,MAX(0,AN18-U18))</f>
        <v/>
      </c>
      <c r="J18">
        <f>IF(J17&lt;=0,0,MAX(0,AO18-V18))</f>
        <v/>
      </c>
      <c r="K18">
        <f>IF(K17&lt;=0,0,MAX(0,AP18-W18))</f>
        <v/>
      </c>
      <c r="L18">
        <f>IF(L17&lt;=0,0,MAX(0,AQ18-X18))</f>
        <v/>
      </c>
      <c r="M18">
        <f>IF(M17&lt;=0,0,MAX(0,AR18-Y18))</f>
        <v/>
      </c>
      <c r="N18">
        <f>IF(N17&lt;=0,0,MAX(0,AS18-Z18))</f>
        <v/>
      </c>
      <c r="O18">
        <f>IF(C17&lt;=0,0,MIN(AH18,C$7+IF(C$2=$AA18,$AC18,IF(C$2=$AF18,$AG18,0))))</f>
        <v/>
      </c>
      <c r="P18">
        <f>IF(D17&lt;=0,0,MIN(AI18,D$7+IF(D$2=$AA18,$AC18,IF(D$2=$AF18,$AG18,0))))</f>
        <v/>
      </c>
      <c r="Q18">
        <f>IF(E17&lt;=0,0,MIN(AJ18,E$7+IF(E$2=$AA18,$AC18,IF(E$2=$AF18,$AG18,0))))</f>
        <v/>
      </c>
      <c r="R18">
        <f>IF(F17&lt;=0,0,MIN(AK18,F$7+IF(F$2=$AA18,$AC18,IF(F$2=$AF18,$AG18,0))))</f>
        <v/>
      </c>
      <c r="S18">
        <f>IF(G17&lt;=0,0,MIN(AL18,G$7+IF(G$2=$AA18,$AC18,IF(G$2=$AF18,$AG18,0))))</f>
        <v/>
      </c>
      <c r="T18">
        <f>IF(H17&lt;=0,0,MIN(AM18,H$7+IF(H$2=$AA18,$AC18,IF(H$2=$AF18,$AG18,0))))</f>
        <v/>
      </c>
      <c r="U18">
        <f>IF(I17&lt;=0,0,MIN(AN18,I$7+IF(I$2=$AA18,$AC18,IF(I$2=$AF18,$AG18,0))))</f>
        <v/>
      </c>
      <c r="V18">
        <f>IF(J17&lt;=0,0,MIN(AO18,J$7+IF(J$2=$AA18,$AC18,IF(J$2=$AF18,$AG18,0))))</f>
        <v/>
      </c>
      <c r="W18">
        <f>IF(K17&lt;=0,0,MIN(AP18,K$7+IF(K$2=$AA18,$AC18,IF(K$2=$AF18,$AG18,0))))</f>
        <v/>
      </c>
      <c r="X18">
        <f>IF(L17&lt;=0,0,MIN(AQ18,L$7+IF(L$2=$AA18,$AC18,IF(L$2=$AF18,$AG18,0))))</f>
        <v/>
      </c>
      <c r="Y18">
        <f>IF(M17&lt;=0,0,MIN(AR18,M$7+IF(M$2=$AA18,$AC18,IF(M$2=$AF18,$AG18,0))))</f>
        <v/>
      </c>
      <c r="Z18">
        <f>IF(N17&lt;=0,0,MIN(AS18,N$7+IF(N$2=$AA18,$AC18,IF(N$2=$AF18,$AG18,0))))</f>
        <v/>
      </c>
      <c r="AA18">
        <f>IFERROR(ROUND(1/SUMPRODUCT(MAX((C17:N17&gt;0)*($C$3:$N$3&lt;=B18)/$C$2:$N$2)),0),0)</f>
        <v/>
      </c>
      <c r="AB18">
        <f>SUMPRODUCT((C17:N17&gt;0)*$C$7:$N$7)</f>
        <v/>
      </c>
      <c r="AC18">
        <f>MAX(0,Plan!$C$5-AB18)+IF(A18=Plan!$C$8,N(Plan!$C$7),0)</f>
        <v/>
      </c>
      <c r="AD18">
        <f>SUM(C18:N18)</f>
        <v/>
      </c>
      <c r="AE18">
        <f>SUM(O18:Z18)</f>
        <v/>
      </c>
      <c r="AF18">
        <f>IFERROR(ROUND(1/SUMPRODUCT(MAX((C17:N17&gt;0)*($C$3:$N$3&lt;=B18)*($C$2:$N$2&gt;AA18)/$C$2:$N$2)),0),0)</f>
        <v/>
      </c>
      <c r="AG18">
        <f>MAX(0,AC18-MAX(0,SUMPRODUCT(($C$2:$N$2=AA18)*(AH18:AS18-$C$7:$N$7))))</f>
        <v/>
      </c>
      <c r="AH18">
        <f>IF(C17&lt;=0,0,ROUND(C17*(1+IF(AND(C$6&gt;0,$B18&lt;C$6),C$4,C$5)/12),2))</f>
        <v/>
      </c>
      <c r="AI18">
        <f>IF(D17&lt;=0,0,ROUND(D17*(1+IF(AND(D$6&gt;0,$B18&lt;D$6),D$4,D$5)/12),2))</f>
        <v/>
      </c>
      <c r="AJ18">
        <f>IF(E17&lt;=0,0,ROUND(E17*(1+IF(AND(E$6&gt;0,$B18&lt;E$6),E$4,E$5)/12),2))</f>
        <v/>
      </c>
      <c r="AK18">
        <f>IF(F17&lt;=0,0,ROUND(F17*(1+IF(AND(F$6&gt;0,$B18&lt;F$6),F$4,F$5)/12),2))</f>
        <v/>
      </c>
      <c r="AL18">
        <f>IF(G17&lt;=0,0,ROUND(G17*(1+IF(AND(G$6&gt;0,$B18&lt;G$6),G$4,G$5)/12),2))</f>
        <v/>
      </c>
      <c r="AM18">
        <f>IF(H17&lt;=0,0,ROUND(H17*(1+IF(AND(H$6&gt;0,$B18&lt;H$6),H$4,H$5)/12),2))</f>
        <v/>
      </c>
      <c r="AN18">
        <f>IF(I17&lt;=0,0,ROUND(I17*(1+IF(AND(I$6&gt;0,$B18&lt;I$6),I$4,I$5)/12),2))</f>
        <v/>
      </c>
      <c r="AO18">
        <f>IF(J17&lt;=0,0,ROUND(J17*(1+IF(AND(J$6&gt;0,$B18&lt;J$6),J$4,J$5)/12),2))</f>
        <v/>
      </c>
      <c r="AP18">
        <f>IF(K17&lt;=0,0,ROUND(K17*(1+IF(AND(K$6&gt;0,$B18&lt;K$6),K$4,K$5)/12),2))</f>
        <v/>
      </c>
      <c r="AQ18">
        <f>IF(L17&lt;=0,0,ROUND(L17*(1+IF(AND(L$6&gt;0,$B18&lt;L$6),L$4,L$5)/12),2))</f>
        <v/>
      </c>
      <c r="AR18">
        <f>IF(M17&lt;=0,0,ROUND(M17*(1+IF(AND(M$6&gt;0,$B18&lt;M$6),M$4,M$5)/12),2))</f>
        <v/>
      </c>
      <c r="AS18">
        <f>IF(N17&lt;=0,0,ROUND(N17*(1+IF(AND(N$6&gt;0,$B18&lt;N$6),N$4,N$5)/12),2))</f>
        <v/>
      </c>
    </row>
    <row r="19">
      <c r="A19" t="n">
        <v>8</v>
      </c>
      <c r="B19">
        <f>EDATE(Plan!$C$6,7)</f>
        <v/>
      </c>
      <c r="C19">
        <f>IF(C18&lt;=0,0,MAX(0,AH19-O19))</f>
        <v/>
      </c>
      <c r="D19">
        <f>IF(D18&lt;=0,0,MAX(0,AI19-P19))</f>
        <v/>
      </c>
      <c r="E19">
        <f>IF(E18&lt;=0,0,MAX(0,AJ19-Q19))</f>
        <v/>
      </c>
      <c r="F19">
        <f>IF(F18&lt;=0,0,MAX(0,AK19-R19))</f>
        <v/>
      </c>
      <c r="G19">
        <f>IF(G18&lt;=0,0,MAX(0,AL19-S19))</f>
        <v/>
      </c>
      <c r="H19">
        <f>IF(H18&lt;=0,0,MAX(0,AM19-T19))</f>
        <v/>
      </c>
      <c r="I19">
        <f>IF(I18&lt;=0,0,MAX(0,AN19-U19))</f>
        <v/>
      </c>
      <c r="J19">
        <f>IF(J18&lt;=0,0,MAX(0,AO19-V19))</f>
        <v/>
      </c>
      <c r="K19">
        <f>IF(K18&lt;=0,0,MAX(0,AP19-W19))</f>
        <v/>
      </c>
      <c r="L19">
        <f>IF(L18&lt;=0,0,MAX(0,AQ19-X19))</f>
        <v/>
      </c>
      <c r="M19">
        <f>IF(M18&lt;=0,0,MAX(0,AR19-Y19))</f>
        <v/>
      </c>
      <c r="N19">
        <f>IF(N18&lt;=0,0,MAX(0,AS19-Z19))</f>
        <v/>
      </c>
      <c r="O19">
        <f>IF(C18&lt;=0,0,MIN(AH19,C$7+IF(C$2=$AA19,$AC19,IF(C$2=$AF19,$AG19,0))))</f>
        <v/>
      </c>
      <c r="P19">
        <f>IF(D18&lt;=0,0,MIN(AI19,D$7+IF(D$2=$AA19,$AC19,IF(D$2=$AF19,$AG19,0))))</f>
        <v/>
      </c>
      <c r="Q19">
        <f>IF(E18&lt;=0,0,MIN(AJ19,E$7+IF(E$2=$AA19,$AC19,IF(E$2=$AF19,$AG19,0))))</f>
        <v/>
      </c>
      <c r="R19">
        <f>IF(F18&lt;=0,0,MIN(AK19,F$7+IF(F$2=$AA19,$AC19,IF(F$2=$AF19,$AG19,0))))</f>
        <v/>
      </c>
      <c r="S19">
        <f>IF(G18&lt;=0,0,MIN(AL19,G$7+IF(G$2=$AA19,$AC19,IF(G$2=$AF19,$AG19,0))))</f>
        <v/>
      </c>
      <c r="T19">
        <f>IF(H18&lt;=0,0,MIN(AM19,H$7+IF(H$2=$AA19,$AC19,IF(H$2=$AF19,$AG19,0))))</f>
        <v/>
      </c>
      <c r="U19">
        <f>IF(I18&lt;=0,0,MIN(AN19,I$7+IF(I$2=$AA19,$AC19,IF(I$2=$AF19,$AG19,0))))</f>
        <v/>
      </c>
      <c r="V19">
        <f>IF(J18&lt;=0,0,MIN(AO19,J$7+IF(J$2=$AA19,$AC19,IF(J$2=$AF19,$AG19,0))))</f>
        <v/>
      </c>
      <c r="W19">
        <f>IF(K18&lt;=0,0,MIN(AP19,K$7+IF(K$2=$AA19,$AC19,IF(K$2=$AF19,$AG19,0))))</f>
        <v/>
      </c>
      <c r="X19">
        <f>IF(L18&lt;=0,0,MIN(AQ19,L$7+IF(L$2=$AA19,$AC19,IF(L$2=$AF19,$AG19,0))))</f>
        <v/>
      </c>
      <c r="Y19">
        <f>IF(M18&lt;=0,0,MIN(AR19,M$7+IF(M$2=$AA19,$AC19,IF(M$2=$AF19,$AG19,0))))</f>
        <v/>
      </c>
      <c r="Z19">
        <f>IF(N18&lt;=0,0,MIN(AS19,N$7+IF(N$2=$AA19,$AC19,IF(N$2=$AF19,$AG19,0))))</f>
        <v/>
      </c>
      <c r="AA19">
        <f>IFERROR(ROUND(1/SUMPRODUCT(MAX((C18:N18&gt;0)*($C$3:$N$3&lt;=B19)/$C$2:$N$2)),0),0)</f>
        <v/>
      </c>
      <c r="AB19">
        <f>SUMPRODUCT((C18:N18&gt;0)*$C$7:$N$7)</f>
        <v/>
      </c>
      <c r="AC19">
        <f>MAX(0,Plan!$C$5-AB19)+IF(A19=Plan!$C$8,N(Plan!$C$7),0)</f>
        <v/>
      </c>
      <c r="AD19">
        <f>SUM(C19:N19)</f>
        <v/>
      </c>
      <c r="AE19">
        <f>SUM(O19:Z19)</f>
        <v/>
      </c>
      <c r="AF19">
        <f>IFERROR(ROUND(1/SUMPRODUCT(MAX((C18:N18&gt;0)*($C$3:$N$3&lt;=B19)*($C$2:$N$2&gt;AA19)/$C$2:$N$2)),0),0)</f>
        <v/>
      </c>
      <c r="AG19">
        <f>MAX(0,AC19-MAX(0,SUMPRODUCT(($C$2:$N$2=AA19)*(AH19:AS19-$C$7:$N$7))))</f>
        <v/>
      </c>
      <c r="AH19">
        <f>IF(C18&lt;=0,0,ROUND(C18*(1+IF(AND(C$6&gt;0,$B19&lt;C$6),C$4,C$5)/12),2))</f>
        <v/>
      </c>
      <c r="AI19">
        <f>IF(D18&lt;=0,0,ROUND(D18*(1+IF(AND(D$6&gt;0,$B19&lt;D$6),D$4,D$5)/12),2))</f>
        <v/>
      </c>
      <c r="AJ19">
        <f>IF(E18&lt;=0,0,ROUND(E18*(1+IF(AND(E$6&gt;0,$B19&lt;E$6),E$4,E$5)/12),2))</f>
        <v/>
      </c>
      <c r="AK19">
        <f>IF(F18&lt;=0,0,ROUND(F18*(1+IF(AND(F$6&gt;0,$B19&lt;F$6),F$4,F$5)/12),2))</f>
        <v/>
      </c>
      <c r="AL19">
        <f>IF(G18&lt;=0,0,ROUND(G18*(1+IF(AND(G$6&gt;0,$B19&lt;G$6),G$4,G$5)/12),2))</f>
        <v/>
      </c>
      <c r="AM19">
        <f>IF(H18&lt;=0,0,ROUND(H18*(1+IF(AND(H$6&gt;0,$B19&lt;H$6),H$4,H$5)/12),2))</f>
        <v/>
      </c>
      <c r="AN19">
        <f>IF(I18&lt;=0,0,ROUND(I18*(1+IF(AND(I$6&gt;0,$B19&lt;I$6),I$4,I$5)/12),2))</f>
        <v/>
      </c>
      <c r="AO19">
        <f>IF(J18&lt;=0,0,ROUND(J18*(1+IF(AND(J$6&gt;0,$B19&lt;J$6),J$4,J$5)/12),2))</f>
        <v/>
      </c>
      <c r="AP19">
        <f>IF(K18&lt;=0,0,ROUND(K18*(1+IF(AND(K$6&gt;0,$B19&lt;K$6),K$4,K$5)/12),2))</f>
        <v/>
      </c>
      <c r="AQ19">
        <f>IF(L18&lt;=0,0,ROUND(L18*(1+IF(AND(L$6&gt;0,$B19&lt;L$6),L$4,L$5)/12),2))</f>
        <v/>
      </c>
      <c r="AR19">
        <f>IF(M18&lt;=0,0,ROUND(M18*(1+IF(AND(M$6&gt;0,$B19&lt;M$6),M$4,M$5)/12),2))</f>
        <v/>
      </c>
      <c r="AS19">
        <f>IF(N18&lt;=0,0,ROUND(N18*(1+IF(AND(N$6&gt;0,$B19&lt;N$6),N$4,N$5)/12),2))</f>
        <v/>
      </c>
    </row>
    <row r="20">
      <c r="A20" t="n">
        <v>9</v>
      </c>
      <c r="B20">
        <f>EDATE(Plan!$C$6,8)</f>
        <v/>
      </c>
      <c r="C20">
        <f>IF(C19&lt;=0,0,MAX(0,AH20-O20))</f>
        <v/>
      </c>
      <c r="D20">
        <f>IF(D19&lt;=0,0,MAX(0,AI20-P20))</f>
        <v/>
      </c>
      <c r="E20">
        <f>IF(E19&lt;=0,0,MAX(0,AJ20-Q20))</f>
        <v/>
      </c>
      <c r="F20">
        <f>IF(F19&lt;=0,0,MAX(0,AK20-R20))</f>
        <v/>
      </c>
      <c r="G20">
        <f>IF(G19&lt;=0,0,MAX(0,AL20-S20))</f>
        <v/>
      </c>
      <c r="H20">
        <f>IF(H19&lt;=0,0,MAX(0,AM20-T20))</f>
        <v/>
      </c>
      <c r="I20">
        <f>IF(I19&lt;=0,0,MAX(0,AN20-U20))</f>
        <v/>
      </c>
      <c r="J20">
        <f>IF(J19&lt;=0,0,MAX(0,AO20-V20))</f>
        <v/>
      </c>
      <c r="K20">
        <f>IF(K19&lt;=0,0,MAX(0,AP20-W20))</f>
        <v/>
      </c>
      <c r="L20">
        <f>IF(L19&lt;=0,0,MAX(0,AQ20-X20))</f>
        <v/>
      </c>
      <c r="M20">
        <f>IF(M19&lt;=0,0,MAX(0,AR20-Y20))</f>
        <v/>
      </c>
      <c r="N20">
        <f>IF(N19&lt;=0,0,MAX(0,AS20-Z20))</f>
        <v/>
      </c>
      <c r="O20">
        <f>IF(C19&lt;=0,0,MIN(AH20,C$7+IF(C$2=$AA20,$AC20,IF(C$2=$AF20,$AG20,0))))</f>
        <v/>
      </c>
      <c r="P20">
        <f>IF(D19&lt;=0,0,MIN(AI20,D$7+IF(D$2=$AA20,$AC20,IF(D$2=$AF20,$AG20,0))))</f>
        <v/>
      </c>
      <c r="Q20">
        <f>IF(E19&lt;=0,0,MIN(AJ20,E$7+IF(E$2=$AA20,$AC20,IF(E$2=$AF20,$AG20,0))))</f>
        <v/>
      </c>
      <c r="R20">
        <f>IF(F19&lt;=0,0,MIN(AK20,F$7+IF(F$2=$AA20,$AC20,IF(F$2=$AF20,$AG20,0))))</f>
        <v/>
      </c>
      <c r="S20">
        <f>IF(G19&lt;=0,0,MIN(AL20,G$7+IF(G$2=$AA20,$AC20,IF(G$2=$AF20,$AG20,0))))</f>
        <v/>
      </c>
      <c r="T20">
        <f>IF(H19&lt;=0,0,MIN(AM20,H$7+IF(H$2=$AA20,$AC20,IF(H$2=$AF20,$AG20,0))))</f>
        <v/>
      </c>
      <c r="U20">
        <f>IF(I19&lt;=0,0,MIN(AN20,I$7+IF(I$2=$AA20,$AC20,IF(I$2=$AF20,$AG20,0))))</f>
        <v/>
      </c>
      <c r="V20">
        <f>IF(J19&lt;=0,0,MIN(AO20,J$7+IF(J$2=$AA20,$AC20,IF(J$2=$AF20,$AG20,0))))</f>
        <v/>
      </c>
      <c r="W20">
        <f>IF(K19&lt;=0,0,MIN(AP20,K$7+IF(K$2=$AA20,$AC20,IF(K$2=$AF20,$AG20,0))))</f>
        <v/>
      </c>
      <c r="X20">
        <f>IF(L19&lt;=0,0,MIN(AQ20,L$7+IF(L$2=$AA20,$AC20,IF(L$2=$AF20,$AG20,0))))</f>
        <v/>
      </c>
      <c r="Y20">
        <f>IF(M19&lt;=0,0,MIN(AR20,M$7+IF(M$2=$AA20,$AC20,IF(M$2=$AF20,$AG20,0))))</f>
        <v/>
      </c>
      <c r="Z20">
        <f>IF(N19&lt;=0,0,MIN(AS20,N$7+IF(N$2=$AA20,$AC20,IF(N$2=$AF20,$AG20,0))))</f>
        <v/>
      </c>
      <c r="AA20">
        <f>IFERROR(ROUND(1/SUMPRODUCT(MAX((C19:N19&gt;0)*($C$3:$N$3&lt;=B20)/$C$2:$N$2)),0),0)</f>
        <v/>
      </c>
      <c r="AB20">
        <f>SUMPRODUCT((C19:N19&gt;0)*$C$7:$N$7)</f>
        <v/>
      </c>
      <c r="AC20">
        <f>MAX(0,Plan!$C$5-AB20)+IF(A20=Plan!$C$8,N(Plan!$C$7),0)</f>
        <v/>
      </c>
      <c r="AD20">
        <f>SUM(C20:N20)</f>
        <v/>
      </c>
      <c r="AE20">
        <f>SUM(O20:Z20)</f>
        <v/>
      </c>
      <c r="AF20">
        <f>IFERROR(ROUND(1/SUMPRODUCT(MAX((C19:N19&gt;0)*($C$3:$N$3&lt;=B20)*($C$2:$N$2&gt;AA20)/$C$2:$N$2)),0),0)</f>
        <v/>
      </c>
      <c r="AG20">
        <f>MAX(0,AC20-MAX(0,SUMPRODUCT(($C$2:$N$2=AA20)*(AH20:AS20-$C$7:$N$7))))</f>
        <v/>
      </c>
      <c r="AH20">
        <f>IF(C19&lt;=0,0,ROUND(C19*(1+IF(AND(C$6&gt;0,$B20&lt;C$6),C$4,C$5)/12),2))</f>
        <v/>
      </c>
      <c r="AI20">
        <f>IF(D19&lt;=0,0,ROUND(D19*(1+IF(AND(D$6&gt;0,$B20&lt;D$6),D$4,D$5)/12),2))</f>
        <v/>
      </c>
      <c r="AJ20">
        <f>IF(E19&lt;=0,0,ROUND(E19*(1+IF(AND(E$6&gt;0,$B20&lt;E$6),E$4,E$5)/12),2))</f>
        <v/>
      </c>
      <c r="AK20">
        <f>IF(F19&lt;=0,0,ROUND(F19*(1+IF(AND(F$6&gt;0,$B20&lt;F$6),F$4,F$5)/12),2))</f>
        <v/>
      </c>
      <c r="AL20">
        <f>IF(G19&lt;=0,0,ROUND(G19*(1+IF(AND(G$6&gt;0,$B20&lt;G$6),G$4,G$5)/12),2))</f>
        <v/>
      </c>
      <c r="AM20">
        <f>IF(H19&lt;=0,0,ROUND(H19*(1+IF(AND(H$6&gt;0,$B20&lt;H$6),H$4,H$5)/12),2))</f>
        <v/>
      </c>
      <c r="AN20">
        <f>IF(I19&lt;=0,0,ROUND(I19*(1+IF(AND(I$6&gt;0,$B20&lt;I$6),I$4,I$5)/12),2))</f>
        <v/>
      </c>
      <c r="AO20">
        <f>IF(J19&lt;=0,0,ROUND(J19*(1+IF(AND(J$6&gt;0,$B20&lt;J$6),J$4,J$5)/12),2))</f>
        <v/>
      </c>
      <c r="AP20">
        <f>IF(K19&lt;=0,0,ROUND(K19*(1+IF(AND(K$6&gt;0,$B20&lt;K$6),K$4,K$5)/12),2))</f>
        <v/>
      </c>
      <c r="AQ20">
        <f>IF(L19&lt;=0,0,ROUND(L19*(1+IF(AND(L$6&gt;0,$B20&lt;L$6),L$4,L$5)/12),2))</f>
        <v/>
      </c>
      <c r="AR20">
        <f>IF(M19&lt;=0,0,ROUND(M19*(1+IF(AND(M$6&gt;0,$B20&lt;M$6),M$4,M$5)/12),2))</f>
        <v/>
      </c>
      <c r="AS20">
        <f>IF(N19&lt;=0,0,ROUND(N19*(1+IF(AND(N$6&gt;0,$B20&lt;N$6),N$4,N$5)/12),2))</f>
        <v/>
      </c>
    </row>
    <row r="21">
      <c r="A21" t="n">
        <v>10</v>
      </c>
      <c r="B21">
        <f>EDATE(Plan!$C$6,9)</f>
        <v/>
      </c>
      <c r="C21">
        <f>IF(C20&lt;=0,0,MAX(0,AH21-O21))</f>
        <v/>
      </c>
      <c r="D21">
        <f>IF(D20&lt;=0,0,MAX(0,AI21-P21))</f>
        <v/>
      </c>
      <c r="E21">
        <f>IF(E20&lt;=0,0,MAX(0,AJ21-Q21))</f>
        <v/>
      </c>
      <c r="F21">
        <f>IF(F20&lt;=0,0,MAX(0,AK21-R21))</f>
        <v/>
      </c>
      <c r="G21">
        <f>IF(G20&lt;=0,0,MAX(0,AL21-S21))</f>
        <v/>
      </c>
      <c r="H21">
        <f>IF(H20&lt;=0,0,MAX(0,AM21-T21))</f>
        <v/>
      </c>
      <c r="I21">
        <f>IF(I20&lt;=0,0,MAX(0,AN21-U21))</f>
        <v/>
      </c>
      <c r="J21">
        <f>IF(J20&lt;=0,0,MAX(0,AO21-V21))</f>
        <v/>
      </c>
      <c r="K21">
        <f>IF(K20&lt;=0,0,MAX(0,AP21-W21))</f>
        <v/>
      </c>
      <c r="L21">
        <f>IF(L20&lt;=0,0,MAX(0,AQ21-X21))</f>
        <v/>
      </c>
      <c r="M21">
        <f>IF(M20&lt;=0,0,MAX(0,AR21-Y21))</f>
        <v/>
      </c>
      <c r="N21">
        <f>IF(N20&lt;=0,0,MAX(0,AS21-Z21))</f>
        <v/>
      </c>
      <c r="O21">
        <f>IF(C20&lt;=0,0,MIN(AH21,C$7+IF(C$2=$AA21,$AC21,IF(C$2=$AF21,$AG21,0))))</f>
        <v/>
      </c>
      <c r="P21">
        <f>IF(D20&lt;=0,0,MIN(AI21,D$7+IF(D$2=$AA21,$AC21,IF(D$2=$AF21,$AG21,0))))</f>
        <v/>
      </c>
      <c r="Q21">
        <f>IF(E20&lt;=0,0,MIN(AJ21,E$7+IF(E$2=$AA21,$AC21,IF(E$2=$AF21,$AG21,0))))</f>
        <v/>
      </c>
      <c r="R21">
        <f>IF(F20&lt;=0,0,MIN(AK21,F$7+IF(F$2=$AA21,$AC21,IF(F$2=$AF21,$AG21,0))))</f>
        <v/>
      </c>
      <c r="S21">
        <f>IF(G20&lt;=0,0,MIN(AL21,G$7+IF(G$2=$AA21,$AC21,IF(G$2=$AF21,$AG21,0))))</f>
        <v/>
      </c>
      <c r="T21">
        <f>IF(H20&lt;=0,0,MIN(AM21,H$7+IF(H$2=$AA21,$AC21,IF(H$2=$AF21,$AG21,0))))</f>
        <v/>
      </c>
      <c r="U21">
        <f>IF(I20&lt;=0,0,MIN(AN21,I$7+IF(I$2=$AA21,$AC21,IF(I$2=$AF21,$AG21,0))))</f>
        <v/>
      </c>
      <c r="V21">
        <f>IF(J20&lt;=0,0,MIN(AO21,J$7+IF(J$2=$AA21,$AC21,IF(J$2=$AF21,$AG21,0))))</f>
        <v/>
      </c>
      <c r="W21">
        <f>IF(K20&lt;=0,0,MIN(AP21,K$7+IF(K$2=$AA21,$AC21,IF(K$2=$AF21,$AG21,0))))</f>
        <v/>
      </c>
      <c r="X21">
        <f>IF(L20&lt;=0,0,MIN(AQ21,L$7+IF(L$2=$AA21,$AC21,IF(L$2=$AF21,$AG21,0))))</f>
        <v/>
      </c>
      <c r="Y21">
        <f>IF(M20&lt;=0,0,MIN(AR21,M$7+IF(M$2=$AA21,$AC21,IF(M$2=$AF21,$AG21,0))))</f>
        <v/>
      </c>
      <c r="Z21">
        <f>IF(N20&lt;=0,0,MIN(AS21,N$7+IF(N$2=$AA21,$AC21,IF(N$2=$AF21,$AG21,0))))</f>
        <v/>
      </c>
      <c r="AA21">
        <f>IFERROR(ROUND(1/SUMPRODUCT(MAX((C20:N20&gt;0)*($C$3:$N$3&lt;=B21)/$C$2:$N$2)),0),0)</f>
        <v/>
      </c>
      <c r="AB21">
        <f>SUMPRODUCT((C20:N20&gt;0)*$C$7:$N$7)</f>
        <v/>
      </c>
      <c r="AC21">
        <f>MAX(0,Plan!$C$5-AB21)+IF(A21=Plan!$C$8,N(Plan!$C$7),0)</f>
        <v/>
      </c>
      <c r="AD21">
        <f>SUM(C21:N21)</f>
        <v/>
      </c>
      <c r="AE21">
        <f>SUM(O21:Z21)</f>
        <v/>
      </c>
      <c r="AF21">
        <f>IFERROR(ROUND(1/SUMPRODUCT(MAX((C20:N20&gt;0)*($C$3:$N$3&lt;=B21)*($C$2:$N$2&gt;AA21)/$C$2:$N$2)),0),0)</f>
        <v/>
      </c>
      <c r="AG21">
        <f>MAX(0,AC21-MAX(0,SUMPRODUCT(($C$2:$N$2=AA21)*(AH21:AS21-$C$7:$N$7))))</f>
        <v/>
      </c>
      <c r="AH21">
        <f>IF(C20&lt;=0,0,ROUND(C20*(1+IF(AND(C$6&gt;0,$B21&lt;C$6),C$4,C$5)/12),2))</f>
        <v/>
      </c>
      <c r="AI21">
        <f>IF(D20&lt;=0,0,ROUND(D20*(1+IF(AND(D$6&gt;0,$B21&lt;D$6),D$4,D$5)/12),2))</f>
        <v/>
      </c>
      <c r="AJ21">
        <f>IF(E20&lt;=0,0,ROUND(E20*(1+IF(AND(E$6&gt;0,$B21&lt;E$6),E$4,E$5)/12),2))</f>
        <v/>
      </c>
      <c r="AK21">
        <f>IF(F20&lt;=0,0,ROUND(F20*(1+IF(AND(F$6&gt;0,$B21&lt;F$6),F$4,F$5)/12),2))</f>
        <v/>
      </c>
      <c r="AL21">
        <f>IF(G20&lt;=0,0,ROUND(G20*(1+IF(AND(G$6&gt;0,$B21&lt;G$6),G$4,G$5)/12),2))</f>
        <v/>
      </c>
      <c r="AM21">
        <f>IF(H20&lt;=0,0,ROUND(H20*(1+IF(AND(H$6&gt;0,$B21&lt;H$6),H$4,H$5)/12),2))</f>
        <v/>
      </c>
      <c r="AN21">
        <f>IF(I20&lt;=0,0,ROUND(I20*(1+IF(AND(I$6&gt;0,$B21&lt;I$6),I$4,I$5)/12),2))</f>
        <v/>
      </c>
      <c r="AO21">
        <f>IF(J20&lt;=0,0,ROUND(J20*(1+IF(AND(J$6&gt;0,$B21&lt;J$6),J$4,J$5)/12),2))</f>
        <v/>
      </c>
      <c r="AP21">
        <f>IF(K20&lt;=0,0,ROUND(K20*(1+IF(AND(K$6&gt;0,$B21&lt;K$6),K$4,K$5)/12),2))</f>
        <v/>
      </c>
      <c r="AQ21">
        <f>IF(L20&lt;=0,0,ROUND(L20*(1+IF(AND(L$6&gt;0,$B21&lt;L$6),L$4,L$5)/12),2))</f>
        <v/>
      </c>
      <c r="AR21">
        <f>IF(M20&lt;=0,0,ROUND(M20*(1+IF(AND(M$6&gt;0,$B21&lt;M$6),M$4,M$5)/12),2))</f>
        <v/>
      </c>
      <c r="AS21">
        <f>IF(N20&lt;=0,0,ROUND(N20*(1+IF(AND(N$6&gt;0,$B21&lt;N$6),N$4,N$5)/12),2))</f>
        <v/>
      </c>
    </row>
    <row r="22">
      <c r="A22" t="n">
        <v>11</v>
      </c>
      <c r="B22">
        <f>EDATE(Plan!$C$6,10)</f>
        <v/>
      </c>
      <c r="C22">
        <f>IF(C21&lt;=0,0,MAX(0,AH22-O22))</f>
        <v/>
      </c>
      <c r="D22">
        <f>IF(D21&lt;=0,0,MAX(0,AI22-P22))</f>
        <v/>
      </c>
      <c r="E22">
        <f>IF(E21&lt;=0,0,MAX(0,AJ22-Q22))</f>
        <v/>
      </c>
      <c r="F22">
        <f>IF(F21&lt;=0,0,MAX(0,AK22-R22))</f>
        <v/>
      </c>
      <c r="G22">
        <f>IF(G21&lt;=0,0,MAX(0,AL22-S22))</f>
        <v/>
      </c>
      <c r="H22">
        <f>IF(H21&lt;=0,0,MAX(0,AM22-T22))</f>
        <v/>
      </c>
      <c r="I22">
        <f>IF(I21&lt;=0,0,MAX(0,AN22-U22))</f>
        <v/>
      </c>
      <c r="J22">
        <f>IF(J21&lt;=0,0,MAX(0,AO22-V22))</f>
        <v/>
      </c>
      <c r="K22">
        <f>IF(K21&lt;=0,0,MAX(0,AP22-W22))</f>
        <v/>
      </c>
      <c r="L22">
        <f>IF(L21&lt;=0,0,MAX(0,AQ22-X22))</f>
        <v/>
      </c>
      <c r="M22">
        <f>IF(M21&lt;=0,0,MAX(0,AR22-Y22))</f>
        <v/>
      </c>
      <c r="N22">
        <f>IF(N21&lt;=0,0,MAX(0,AS22-Z22))</f>
        <v/>
      </c>
      <c r="O22">
        <f>IF(C21&lt;=0,0,MIN(AH22,C$7+IF(C$2=$AA22,$AC22,IF(C$2=$AF22,$AG22,0))))</f>
        <v/>
      </c>
      <c r="P22">
        <f>IF(D21&lt;=0,0,MIN(AI22,D$7+IF(D$2=$AA22,$AC22,IF(D$2=$AF22,$AG22,0))))</f>
        <v/>
      </c>
      <c r="Q22">
        <f>IF(E21&lt;=0,0,MIN(AJ22,E$7+IF(E$2=$AA22,$AC22,IF(E$2=$AF22,$AG22,0))))</f>
        <v/>
      </c>
      <c r="R22">
        <f>IF(F21&lt;=0,0,MIN(AK22,F$7+IF(F$2=$AA22,$AC22,IF(F$2=$AF22,$AG22,0))))</f>
        <v/>
      </c>
      <c r="S22">
        <f>IF(G21&lt;=0,0,MIN(AL22,G$7+IF(G$2=$AA22,$AC22,IF(G$2=$AF22,$AG22,0))))</f>
        <v/>
      </c>
      <c r="T22">
        <f>IF(H21&lt;=0,0,MIN(AM22,H$7+IF(H$2=$AA22,$AC22,IF(H$2=$AF22,$AG22,0))))</f>
        <v/>
      </c>
      <c r="U22">
        <f>IF(I21&lt;=0,0,MIN(AN22,I$7+IF(I$2=$AA22,$AC22,IF(I$2=$AF22,$AG22,0))))</f>
        <v/>
      </c>
      <c r="V22">
        <f>IF(J21&lt;=0,0,MIN(AO22,J$7+IF(J$2=$AA22,$AC22,IF(J$2=$AF22,$AG22,0))))</f>
        <v/>
      </c>
      <c r="W22">
        <f>IF(K21&lt;=0,0,MIN(AP22,K$7+IF(K$2=$AA22,$AC22,IF(K$2=$AF22,$AG22,0))))</f>
        <v/>
      </c>
      <c r="X22">
        <f>IF(L21&lt;=0,0,MIN(AQ22,L$7+IF(L$2=$AA22,$AC22,IF(L$2=$AF22,$AG22,0))))</f>
        <v/>
      </c>
      <c r="Y22">
        <f>IF(M21&lt;=0,0,MIN(AR22,M$7+IF(M$2=$AA22,$AC22,IF(M$2=$AF22,$AG22,0))))</f>
        <v/>
      </c>
      <c r="Z22">
        <f>IF(N21&lt;=0,0,MIN(AS22,N$7+IF(N$2=$AA22,$AC22,IF(N$2=$AF22,$AG22,0))))</f>
        <v/>
      </c>
      <c r="AA22">
        <f>IFERROR(ROUND(1/SUMPRODUCT(MAX((C21:N21&gt;0)*($C$3:$N$3&lt;=B22)/$C$2:$N$2)),0),0)</f>
        <v/>
      </c>
      <c r="AB22">
        <f>SUMPRODUCT((C21:N21&gt;0)*$C$7:$N$7)</f>
        <v/>
      </c>
      <c r="AC22">
        <f>MAX(0,Plan!$C$5-AB22)+IF(A22=Plan!$C$8,N(Plan!$C$7),0)</f>
        <v/>
      </c>
      <c r="AD22">
        <f>SUM(C22:N22)</f>
        <v/>
      </c>
      <c r="AE22">
        <f>SUM(O22:Z22)</f>
        <v/>
      </c>
      <c r="AF22">
        <f>IFERROR(ROUND(1/SUMPRODUCT(MAX((C21:N21&gt;0)*($C$3:$N$3&lt;=B22)*($C$2:$N$2&gt;AA22)/$C$2:$N$2)),0),0)</f>
        <v/>
      </c>
      <c r="AG22">
        <f>MAX(0,AC22-MAX(0,SUMPRODUCT(($C$2:$N$2=AA22)*(AH22:AS22-$C$7:$N$7))))</f>
        <v/>
      </c>
      <c r="AH22">
        <f>IF(C21&lt;=0,0,ROUND(C21*(1+IF(AND(C$6&gt;0,$B22&lt;C$6),C$4,C$5)/12),2))</f>
        <v/>
      </c>
      <c r="AI22">
        <f>IF(D21&lt;=0,0,ROUND(D21*(1+IF(AND(D$6&gt;0,$B22&lt;D$6),D$4,D$5)/12),2))</f>
        <v/>
      </c>
      <c r="AJ22">
        <f>IF(E21&lt;=0,0,ROUND(E21*(1+IF(AND(E$6&gt;0,$B22&lt;E$6),E$4,E$5)/12),2))</f>
        <v/>
      </c>
      <c r="AK22">
        <f>IF(F21&lt;=0,0,ROUND(F21*(1+IF(AND(F$6&gt;0,$B22&lt;F$6),F$4,F$5)/12),2))</f>
        <v/>
      </c>
      <c r="AL22">
        <f>IF(G21&lt;=0,0,ROUND(G21*(1+IF(AND(G$6&gt;0,$B22&lt;G$6),G$4,G$5)/12),2))</f>
        <v/>
      </c>
      <c r="AM22">
        <f>IF(H21&lt;=0,0,ROUND(H21*(1+IF(AND(H$6&gt;0,$B22&lt;H$6),H$4,H$5)/12),2))</f>
        <v/>
      </c>
      <c r="AN22">
        <f>IF(I21&lt;=0,0,ROUND(I21*(1+IF(AND(I$6&gt;0,$B22&lt;I$6),I$4,I$5)/12),2))</f>
        <v/>
      </c>
      <c r="AO22">
        <f>IF(J21&lt;=0,0,ROUND(J21*(1+IF(AND(J$6&gt;0,$B22&lt;J$6),J$4,J$5)/12),2))</f>
        <v/>
      </c>
      <c r="AP22">
        <f>IF(K21&lt;=0,0,ROUND(K21*(1+IF(AND(K$6&gt;0,$B22&lt;K$6),K$4,K$5)/12),2))</f>
        <v/>
      </c>
      <c r="AQ22">
        <f>IF(L21&lt;=0,0,ROUND(L21*(1+IF(AND(L$6&gt;0,$B22&lt;L$6),L$4,L$5)/12),2))</f>
        <v/>
      </c>
      <c r="AR22">
        <f>IF(M21&lt;=0,0,ROUND(M21*(1+IF(AND(M$6&gt;0,$B22&lt;M$6),M$4,M$5)/12),2))</f>
        <v/>
      </c>
      <c r="AS22">
        <f>IF(N21&lt;=0,0,ROUND(N21*(1+IF(AND(N$6&gt;0,$B22&lt;N$6),N$4,N$5)/12),2))</f>
        <v/>
      </c>
    </row>
    <row r="23">
      <c r="A23" t="n">
        <v>12</v>
      </c>
      <c r="B23">
        <f>EDATE(Plan!$C$6,11)</f>
        <v/>
      </c>
      <c r="C23">
        <f>IF(C22&lt;=0,0,MAX(0,AH23-O23))</f>
        <v/>
      </c>
      <c r="D23">
        <f>IF(D22&lt;=0,0,MAX(0,AI23-P23))</f>
        <v/>
      </c>
      <c r="E23">
        <f>IF(E22&lt;=0,0,MAX(0,AJ23-Q23))</f>
        <v/>
      </c>
      <c r="F23">
        <f>IF(F22&lt;=0,0,MAX(0,AK23-R23))</f>
        <v/>
      </c>
      <c r="G23">
        <f>IF(G22&lt;=0,0,MAX(0,AL23-S23))</f>
        <v/>
      </c>
      <c r="H23">
        <f>IF(H22&lt;=0,0,MAX(0,AM23-T23))</f>
        <v/>
      </c>
      <c r="I23">
        <f>IF(I22&lt;=0,0,MAX(0,AN23-U23))</f>
        <v/>
      </c>
      <c r="J23">
        <f>IF(J22&lt;=0,0,MAX(0,AO23-V23))</f>
        <v/>
      </c>
      <c r="K23">
        <f>IF(K22&lt;=0,0,MAX(0,AP23-W23))</f>
        <v/>
      </c>
      <c r="L23">
        <f>IF(L22&lt;=0,0,MAX(0,AQ23-X23))</f>
        <v/>
      </c>
      <c r="M23">
        <f>IF(M22&lt;=0,0,MAX(0,AR23-Y23))</f>
        <v/>
      </c>
      <c r="N23">
        <f>IF(N22&lt;=0,0,MAX(0,AS23-Z23))</f>
        <v/>
      </c>
      <c r="O23">
        <f>IF(C22&lt;=0,0,MIN(AH23,C$7+IF(C$2=$AA23,$AC23,IF(C$2=$AF23,$AG23,0))))</f>
        <v/>
      </c>
      <c r="P23">
        <f>IF(D22&lt;=0,0,MIN(AI23,D$7+IF(D$2=$AA23,$AC23,IF(D$2=$AF23,$AG23,0))))</f>
        <v/>
      </c>
      <c r="Q23">
        <f>IF(E22&lt;=0,0,MIN(AJ23,E$7+IF(E$2=$AA23,$AC23,IF(E$2=$AF23,$AG23,0))))</f>
        <v/>
      </c>
      <c r="R23">
        <f>IF(F22&lt;=0,0,MIN(AK23,F$7+IF(F$2=$AA23,$AC23,IF(F$2=$AF23,$AG23,0))))</f>
        <v/>
      </c>
      <c r="S23">
        <f>IF(G22&lt;=0,0,MIN(AL23,G$7+IF(G$2=$AA23,$AC23,IF(G$2=$AF23,$AG23,0))))</f>
        <v/>
      </c>
      <c r="T23">
        <f>IF(H22&lt;=0,0,MIN(AM23,H$7+IF(H$2=$AA23,$AC23,IF(H$2=$AF23,$AG23,0))))</f>
        <v/>
      </c>
      <c r="U23">
        <f>IF(I22&lt;=0,0,MIN(AN23,I$7+IF(I$2=$AA23,$AC23,IF(I$2=$AF23,$AG23,0))))</f>
        <v/>
      </c>
      <c r="V23">
        <f>IF(J22&lt;=0,0,MIN(AO23,J$7+IF(J$2=$AA23,$AC23,IF(J$2=$AF23,$AG23,0))))</f>
        <v/>
      </c>
      <c r="W23">
        <f>IF(K22&lt;=0,0,MIN(AP23,K$7+IF(K$2=$AA23,$AC23,IF(K$2=$AF23,$AG23,0))))</f>
        <v/>
      </c>
      <c r="X23">
        <f>IF(L22&lt;=0,0,MIN(AQ23,L$7+IF(L$2=$AA23,$AC23,IF(L$2=$AF23,$AG23,0))))</f>
        <v/>
      </c>
      <c r="Y23">
        <f>IF(M22&lt;=0,0,MIN(AR23,M$7+IF(M$2=$AA23,$AC23,IF(M$2=$AF23,$AG23,0))))</f>
        <v/>
      </c>
      <c r="Z23">
        <f>IF(N22&lt;=0,0,MIN(AS23,N$7+IF(N$2=$AA23,$AC23,IF(N$2=$AF23,$AG23,0))))</f>
        <v/>
      </c>
      <c r="AA23">
        <f>IFERROR(ROUND(1/SUMPRODUCT(MAX((C22:N22&gt;0)*($C$3:$N$3&lt;=B23)/$C$2:$N$2)),0),0)</f>
        <v/>
      </c>
      <c r="AB23">
        <f>SUMPRODUCT((C22:N22&gt;0)*$C$7:$N$7)</f>
        <v/>
      </c>
      <c r="AC23">
        <f>MAX(0,Plan!$C$5-AB23)+IF(A23=Plan!$C$8,N(Plan!$C$7),0)</f>
        <v/>
      </c>
      <c r="AD23">
        <f>SUM(C23:N23)</f>
        <v/>
      </c>
      <c r="AE23">
        <f>SUM(O23:Z23)</f>
        <v/>
      </c>
      <c r="AF23">
        <f>IFERROR(ROUND(1/SUMPRODUCT(MAX((C22:N22&gt;0)*($C$3:$N$3&lt;=B23)*($C$2:$N$2&gt;AA23)/$C$2:$N$2)),0),0)</f>
        <v/>
      </c>
      <c r="AG23">
        <f>MAX(0,AC23-MAX(0,SUMPRODUCT(($C$2:$N$2=AA23)*(AH23:AS23-$C$7:$N$7))))</f>
        <v/>
      </c>
      <c r="AH23">
        <f>IF(C22&lt;=0,0,ROUND(C22*(1+IF(AND(C$6&gt;0,$B23&lt;C$6),C$4,C$5)/12),2))</f>
        <v/>
      </c>
      <c r="AI23">
        <f>IF(D22&lt;=0,0,ROUND(D22*(1+IF(AND(D$6&gt;0,$B23&lt;D$6),D$4,D$5)/12),2))</f>
        <v/>
      </c>
      <c r="AJ23">
        <f>IF(E22&lt;=0,0,ROUND(E22*(1+IF(AND(E$6&gt;0,$B23&lt;E$6),E$4,E$5)/12),2))</f>
        <v/>
      </c>
      <c r="AK23">
        <f>IF(F22&lt;=0,0,ROUND(F22*(1+IF(AND(F$6&gt;0,$B23&lt;F$6),F$4,F$5)/12),2))</f>
        <v/>
      </c>
      <c r="AL23">
        <f>IF(G22&lt;=0,0,ROUND(G22*(1+IF(AND(G$6&gt;0,$B23&lt;G$6),G$4,G$5)/12),2))</f>
        <v/>
      </c>
      <c r="AM23">
        <f>IF(H22&lt;=0,0,ROUND(H22*(1+IF(AND(H$6&gt;0,$B23&lt;H$6),H$4,H$5)/12),2))</f>
        <v/>
      </c>
      <c r="AN23">
        <f>IF(I22&lt;=0,0,ROUND(I22*(1+IF(AND(I$6&gt;0,$B23&lt;I$6),I$4,I$5)/12),2))</f>
        <v/>
      </c>
      <c r="AO23">
        <f>IF(J22&lt;=0,0,ROUND(J22*(1+IF(AND(J$6&gt;0,$B23&lt;J$6),J$4,J$5)/12),2))</f>
        <v/>
      </c>
      <c r="AP23">
        <f>IF(K22&lt;=0,0,ROUND(K22*(1+IF(AND(K$6&gt;0,$B23&lt;K$6),K$4,K$5)/12),2))</f>
        <v/>
      </c>
      <c r="AQ23">
        <f>IF(L22&lt;=0,0,ROUND(L22*(1+IF(AND(L$6&gt;0,$B23&lt;L$6),L$4,L$5)/12),2))</f>
        <v/>
      </c>
      <c r="AR23">
        <f>IF(M22&lt;=0,0,ROUND(M22*(1+IF(AND(M$6&gt;0,$B23&lt;M$6),M$4,M$5)/12),2))</f>
        <v/>
      </c>
      <c r="AS23">
        <f>IF(N22&lt;=0,0,ROUND(N22*(1+IF(AND(N$6&gt;0,$B23&lt;N$6),N$4,N$5)/12),2))</f>
        <v/>
      </c>
    </row>
    <row r="24">
      <c r="A24" t="n">
        <v>13</v>
      </c>
      <c r="B24">
        <f>EDATE(Plan!$C$6,12)</f>
        <v/>
      </c>
      <c r="C24">
        <f>IF(C23&lt;=0,0,MAX(0,AH24-O24))</f>
        <v/>
      </c>
      <c r="D24">
        <f>IF(D23&lt;=0,0,MAX(0,AI24-P24))</f>
        <v/>
      </c>
      <c r="E24">
        <f>IF(E23&lt;=0,0,MAX(0,AJ24-Q24))</f>
        <v/>
      </c>
      <c r="F24">
        <f>IF(F23&lt;=0,0,MAX(0,AK24-R24))</f>
        <v/>
      </c>
      <c r="G24">
        <f>IF(G23&lt;=0,0,MAX(0,AL24-S24))</f>
        <v/>
      </c>
      <c r="H24">
        <f>IF(H23&lt;=0,0,MAX(0,AM24-T24))</f>
        <v/>
      </c>
      <c r="I24">
        <f>IF(I23&lt;=0,0,MAX(0,AN24-U24))</f>
        <v/>
      </c>
      <c r="J24">
        <f>IF(J23&lt;=0,0,MAX(0,AO24-V24))</f>
        <v/>
      </c>
      <c r="K24">
        <f>IF(K23&lt;=0,0,MAX(0,AP24-W24))</f>
        <v/>
      </c>
      <c r="L24">
        <f>IF(L23&lt;=0,0,MAX(0,AQ24-X24))</f>
        <v/>
      </c>
      <c r="M24">
        <f>IF(M23&lt;=0,0,MAX(0,AR24-Y24))</f>
        <v/>
      </c>
      <c r="N24">
        <f>IF(N23&lt;=0,0,MAX(0,AS24-Z24))</f>
        <v/>
      </c>
      <c r="O24">
        <f>IF(C23&lt;=0,0,MIN(AH24,C$7+IF(C$2=$AA24,$AC24,IF(C$2=$AF24,$AG24,0))))</f>
        <v/>
      </c>
      <c r="P24">
        <f>IF(D23&lt;=0,0,MIN(AI24,D$7+IF(D$2=$AA24,$AC24,IF(D$2=$AF24,$AG24,0))))</f>
        <v/>
      </c>
      <c r="Q24">
        <f>IF(E23&lt;=0,0,MIN(AJ24,E$7+IF(E$2=$AA24,$AC24,IF(E$2=$AF24,$AG24,0))))</f>
        <v/>
      </c>
      <c r="R24">
        <f>IF(F23&lt;=0,0,MIN(AK24,F$7+IF(F$2=$AA24,$AC24,IF(F$2=$AF24,$AG24,0))))</f>
        <v/>
      </c>
      <c r="S24">
        <f>IF(G23&lt;=0,0,MIN(AL24,G$7+IF(G$2=$AA24,$AC24,IF(G$2=$AF24,$AG24,0))))</f>
        <v/>
      </c>
      <c r="T24">
        <f>IF(H23&lt;=0,0,MIN(AM24,H$7+IF(H$2=$AA24,$AC24,IF(H$2=$AF24,$AG24,0))))</f>
        <v/>
      </c>
      <c r="U24">
        <f>IF(I23&lt;=0,0,MIN(AN24,I$7+IF(I$2=$AA24,$AC24,IF(I$2=$AF24,$AG24,0))))</f>
        <v/>
      </c>
      <c r="V24">
        <f>IF(J23&lt;=0,0,MIN(AO24,J$7+IF(J$2=$AA24,$AC24,IF(J$2=$AF24,$AG24,0))))</f>
        <v/>
      </c>
      <c r="W24">
        <f>IF(K23&lt;=0,0,MIN(AP24,K$7+IF(K$2=$AA24,$AC24,IF(K$2=$AF24,$AG24,0))))</f>
        <v/>
      </c>
      <c r="X24">
        <f>IF(L23&lt;=0,0,MIN(AQ24,L$7+IF(L$2=$AA24,$AC24,IF(L$2=$AF24,$AG24,0))))</f>
        <v/>
      </c>
      <c r="Y24">
        <f>IF(M23&lt;=0,0,MIN(AR24,M$7+IF(M$2=$AA24,$AC24,IF(M$2=$AF24,$AG24,0))))</f>
        <v/>
      </c>
      <c r="Z24">
        <f>IF(N23&lt;=0,0,MIN(AS24,N$7+IF(N$2=$AA24,$AC24,IF(N$2=$AF24,$AG24,0))))</f>
        <v/>
      </c>
      <c r="AA24">
        <f>IFERROR(ROUND(1/SUMPRODUCT(MAX((C23:N23&gt;0)*($C$3:$N$3&lt;=B24)/$C$2:$N$2)),0),0)</f>
        <v/>
      </c>
      <c r="AB24">
        <f>SUMPRODUCT((C23:N23&gt;0)*$C$7:$N$7)</f>
        <v/>
      </c>
      <c r="AC24">
        <f>MAX(0,Plan!$C$5-AB24)+IF(A24=Plan!$C$8,N(Plan!$C$7),0)</f>
        <v/>
      </c>
      <c r="AD24">
        <f>SUM(C24:N24)</f>
        <v/>
      </c>
      <c r="AE24">
        <f>SUM(O24:Z24)</f>
        <v/>
      </c>
      <c r="AF24">
        <f>IFERROR(ROUND(1/SUMPRODUCT(MAX((C23:N23&gt;0)*($C$3:$N$3&lt;=B24)*($C$2:$N$2&gt;AA24)/$C$2:$N$2)),0),0)</f>
        <v/>
      </c>
      <c r="AG24">
        <f>MAX(0,AC24-MAX(0,SUMPRODUCT(($C$2:$N$2=AA24)*(AH24:AS24-$C$7:$N$7))))</f>
        <v/>
      </c>
      <c r="AH24">
        <f>IF(C23&lt;=0,0,ROUND(C23*(1+IF(AND(C$6&gt;0,$B24&lt;C$6),C$4,C$5)/12),2))</f>
        <v/>
      </c>
      <c r="AI24">
        <f>IF(D23&lt;=0,0,ROUND(D23*(1+IF(AND(D$6&gt;0,$B24&lt;D$6),D$4,D$5)/12),2))</f>
        <v/>
      </c>
      <c r="AJ24">
        <f>IF(E23&lt;=0,0,ROUND(E23*(1+IF(AND(E$6&gt;0,$B24&lt;E$6),E$4,E$5)/12),2))</f>
        <v/>
      </c>
      <c r="AK24">
        <f>IF(F23&lt;=0,0,ROUND(F23*(1+IF(AND(F$6&gt;0,$B24&lt;F$6),F$4,F$5)/12),2))</f>
        <v/>
      </c>
      <c r="AL24">
        <f>IF(G23&lt;=0,0,ROUND(G23*(1+IF(AND(G$6&gt;0,$B24&lt;G$6),G$4,G$5)/12),2))</f>
        <v/>
      </c>
      <c r="AM24">
        <f>IF(H23&lt;=0,0,ROUND(H23*(1+IF(AND(H$6&gt;0,$B24&lt;H$6),H$4,H$5)/12),2))</f>
        <v/>
      </c>
      <c r="AN24">
        <f>IF(I23&lt;=0,0,ROUND(I23*(1+IF(AND(I$6&gt;0,$B24&lt;I$6),I$4,I$5)/12),2))</f>
        <v/>
      </c>
      <c r="AO24">
        <f>IF(J23&lt;=0,0,ROUND(J23*(1+IF(AND(J$6&gt;0,$B24&lt;J$6),J$4,J$5)/12),2))</f>
        <v/>
      </c>
      <c r="AP24">
        <f>IF(K23&lt;=0,0,ROUND(K23*(1+IF(AND(K$6&gt;0,$B24&lt;K$6),K$4,K$5)/12),2))</f>
        <v/>
      </c>
      <c r="AQ24">
        <f>IF(L23&lt;=0,0,ROUND(L23*(1+IF(AND(L$6&gt;0,$B24&lt;L$6),L$4,L$5)/12),2))</f>
        <v/>
      </c>
      <c r="AR24">
        <f>IF(M23&lt;=0,0,ROUND(M23*(1+IF(AND(M$6&gt;0,$B24&lt;M$6),M$4,M$5)/12),2))</f>
        <v/>
      </c>
      <c r="AS24">
        <f>IF(N23&lt;=0,0,ROUND(N23*(1+IF(AND(N$6&gt;0,$B24&lt;N$6),N$4,N$5)/12),2))</f>
        <v/>
      </c>
    </row>
    <row r="25">
      <c r="A25" t="n">
        <v>14</v>
      </c>
      <c r="B25">
        <f>EDATE(Plan!$C$6,13)</f>
        <v/>
      </c>
      <c r="C25">
        <f>IF(C24&lt;=0,0,MAX(0,AH25-O25))</f>
        <v/>
      </c>
      <c r="D25">
        <f>IF(D24&lt;=0,0,MAX(0,AI25-P25))</f>
        <v/>
      </c>
      <c r="E25">
        <f>IF(E24&lt;=0,0,MAX(0,AJ25-Q25))</f>
        <v/>
      </c>
      <c r="F25">
        <f>IF(F24&lt;=0,0,MAX(0,AK25-R25))</f>
        <v/>
      </c>
      <c r="G25">
        <f>IF(G24&lt;=0,0,MAX(0,AL25-S25))</f>
        <v/>
      </c>
      <c r="H25">
        <f>IF(H24&lt;=0,0,MAX(0,AM25-T25))</f>
        <v/>
      </c>
      <c r="I25">
        <f>IF(I24&lt;=0,0,MAX(0,AN25-U25))</f>
        <v/>
      </c>
      <c r="J25">
        <f>IF(J24&lt;=0,0,MAX(0,AO25-V25))</f>
        <v/>
      </c>
      <c r="K25">
        <f>IF(K24&lt;=0,0,MAX(0,AP25-W25))</f>
        <v/>
      </c>
      <c r="L25">
        <f>IF(L24&lt;=0,0,MAX(0,AQ25-X25))</f>
        <v/>
      </c>
      <c r="M25">
        <f>IF(M24&lt;=0,0,MAX(0,AR25-Y25))</f>
        <v/>
      </c>
      <c r="N25">
        <f>IF(N24&lt;=0,0,MAX(0,AS25-Z25))</f>
        <v/>
      </c>
      <c r="O25">
        <f>IF(C24&lt;=0,0,MIN(AH25,C$7+IF(C$2=$AA25,$AC25,IF(C$2=$AF25,$AG25,0))))</f>
        <v/>
      </c>
      <c r="P25">
        <f>IF(D24&lt;=0,0,MIN(AI25,D$7+IF(D$2=$AA25,$AC25,IF(D$2=$AF25,$AG25,0))))</f>
        <v/>
      </c>
      <c r="Q25">
        <f>IF(E24&lt;=0,0,MIN(AJ25,E$7+IF(E$2=$AA25,$AC25,IF(E$2=$AF25,$AG25,0))))</f>
        <v/>
      </c>
      <c r="R25">
        <f>IF(F24&lt;=0,0,MIN(AK25,F$7+IF(F$2=$AA25,$AC25,IF(F$2=$AF25,$AG25,0))))</f>
        <v/>
      </c>
      <c r="S25">
        <f>IF(G24&lt;=0,0,MIN(AL25,G$7+IF(G$2=$AA25,$AC25,IF(G$2=$AF25,$AG25,0))))</f>
        <v/>
      </c>
      <c r="T25">
        <f>IF(H24&lt;=0,0,MIN(AM25,H$7+IF(H$2=$AA25,$AC25,IF(H$2=$AF25,$AG25,0))))</f>
        <v/>
      </c>
      <c r="U25">
        <f>IF(I24&lt;=0,0,MIN(AN25,I$7+IF(I$2=$AA25,$AC25,IF(I$2=$AF25,$AG25,0))))</f>
        <v/>
      </c>
      <c r="V25">
        <f>IF(J24&lt;=0,0,MIN(AO25,J$7+IF(J$2=$AA25,$AC25,IF(J$2=$AF25,$AG25,0))))</f>
        <v/>
      </c>
      <c r="W25">
        <f>IF(K24&lt;=0,0,MIN(AP25,K$7+IF(K$2=$AA25,$AC25,IF(K$2=$AF25,$AG25,0))))</f>
        <v/>
      </c>
      <c r="X25">
        <f>IF(L24&lt;=0,0,MIN(AQ25,L$7+IF(L$2=$AA25,$AC25,IF(L$2=$AF25,$AG25,0))))</f>
        <v/>
      </c>
      <c r="Y25">
        <f>IF(M24&lt;=0,0,MIN(AR25,M$7+IF(M$2=$AA25,$AC25,IF(M$2=$AF25,$AG25,0))))</f>
        <v/>
      </c>
      <c r="Z25">
        <f>IF(N24&lt;=0,0,MIN(AS25,N$7+IF(N$2=$AA25,$AC25,IF(N$2=$AF25,$AG25,0))))</f>
        <v/>
      </c>
      <c r="AA25">
        <f>IFERROR(ROUND(1/SUMPRODUCT(MAX((C24:N24&gt;0)*($C$3:$N$3&lt;=B25)/$C$2:$N$2)),0),0)</f>
        <v/>
      </c>
      <c r="AB25">
        <f>SUMPRODUCT((C24:N24&gt;0)*$C$7:$N$7)</f>
        <v/>
      </c>
      <c r="AC25">
        <f>MAX(0,Plan!$C$5-AB25)+IF(A25=Plan!$C$8,N(Plan!$C$7),0)</f>
        <v/>
      </c>
      <c r="AD25">
        <f>SUM(C25:N25)</f>
        <v/>
      </c>
      <c r="AE25">
        <f>SUM(O25:Z25)</f>
        <v/>
      </c>
      <c r="AF25">
        <f>IFERROR(ROUND(1/SUMPRODUCT(MAX((C24:N24&gt;0)*($C$3:$N$3&lt;=B25)*($C$2:$N$2&gt;AA25)/$C$2:$N$2)),0),0)</f>
        <v/>
      </c>
      <c r="AG25">
        <f>MAX(0,AC25-MAX(0,SUMPRODUCT(($C$2:$N$2=AA25)*(AH25:AS25-$C$7:$N$7))))</f>
        <v/>
      </c>
      <c r="AH25">
        <f>IF(C24&lt;=0,0,ROUND(C24*(1+IF(AND(C$6&gt;0,$B25&lt;C$6),C$4,C$5)/12),2))</f>
        <v/>
      </c>
      <c r="AI25">
        <f>IF(D24&lt;=0,0,ROUND(D24*(1+IF(AND(D$6&gt;0,$B25&lt;D$6),D$4,D$5)/12),2))</f>
        <v/>
      </c>
      <c r="AJ25">
        <f>IF(E24&lt;=0,0,ROUND(E24*(1+IF(AND(E$6&gt;0,$B25&lt;E$6),E$4,E$5)/12),2))</f>
        <v/>
      </c>
      <c r="AK25">
        <f>IF(F24&lt;=0,0,ROUND(F24*(1+IF(AND(F$6&gt;0,$B25&lt;F$6),F$4,F$5)/12),2))</f>
        <v/>
      </c>
      <c r="AL25">
        <f>IF(G24&lt;=0,0,ROUND(G24*(1+IF(AND(G$6&gt;0,$B25&lt;G$6),G$4,G$5)/12),2))</f>
        <v/>
      </c>
      <c r="AM25">
        <f>IF(H24&lt;=0,0,ROUND(H24*(1+IF(AND(H$6&gt;0,$B25&lt;H$6),H$4,H$5)/12),2))</f>
        <v/>
      </c>
      <c r="AN25">
        <f>IF(I24&lt;=0,0,ROUND(I24*(1+IF(AND(I$6&gt;0,$B25&lt;I$6),I$4,I$5)/12),2))</f>
        <v/>
      </c>
      <c r="AO25">
        <f>IF(J24&lt;=0,0,ROUND(J24*(1+IF(AND(J$6&gt;0,$B25&lt;J$6),J$4,J$5)/12),2))</f>
        <v/>
      </c>
      <c r="AP25">
        <f>IF(K24&lt;=0,0,ROUND(K24*(1+IF(AND(K$6&gt;0,$B25&lt;K$6),K$4,K$5)/12),2))</f>
        <v/>
      </c>
      <c r="AQ25">
        <f>IF(L24&lt;=0,0,ROUND(L24*(1+IF(AND(L$6&gt;0,$B25&lt;L$6),L$4,L$5)/12),2))</f>
        <v/>
      </c>
      <c r="AR25">
        <f>IF(M24&lt;=0,0,ROUND(M24*(1+IF(AND(M$6&gt;0,$B25&lt;M$6),M$4,M$5)/12),2))</f>
        <v/>
      </c>
      <c r="AS25">
        <f>IF(N24&lt;=0,0,ROUND(N24*(1+IF(AND(N$6&gt;0,$B25&lt;N$6),N$4,N$5)/12),2))</f>
        <v/>
      </c>
    </row>
    <row r="26">
      <c r="A26" t="n">
        <v>15</v>
      </c>
      <c r="B26">
        <f>EDATE(Plan!$C$6,14)</f>
        <v/>
      </c>
      <c r="C26">
        <f>IF(C25&lt;=0,0,MAX(0,AH26-O26))</f>
        <v/>
      </c>
      <c r="D26">
        <f>IF(D25&lt;=0,0,MAX(0,AI26-P26))</f>
        <v/>
      </c>
      <c r="E26">
        <f>IF(E25&lt;=0,0,MAX(0,AJ26-Q26))</f>
        <v/>
      </c>
      <c r="F26">
        <f>IF(F25&lt;=0,0,MAX(0,AK26-R26))</f>
        <v/>
      </c>
      <c r="G26">
        <f>IF(G25&lt;=0,0,MAX(0,AL26-S26))</f>
        <v/>
      </c>
      <c r="H26">
        <f>IF(H25&lt;=0,0,MAX(0,AM26-T26))</f>
        <v/>
      </c>
      <c r="I26">
        <f>IF(I25&lt;=0,0,MAX(0,AN26-U26))</f>
        <v/>
      </c>
      <c r="J26">
        <f>IF(J25&lt;=0,0,MAX(0,AO26-V26))</f>
        <v/>
      </c>
      <c r="K26">
        <f>IF(K25&lt;=0,0,MAX(0,AP26-W26))</f>
        <v/>
      </c>
      <c r="L26">
        <f>IF(L25&lt;=0,0,MAX(0,AQ26-X26))</f>
        <v/>
      </c>
      <c r="M26">
        <f>IF(M25&lt;=0,0,MAX(0,AR26-Y26))</f>
        <v/>
      </c>
      <c r="N26">
        <f>IF(N25&lt;=0,0,MAX(0,AS26-Z26))</f>
        <v/>
      </c>
      <c r="O26">
        <f>IF(C25&lt;=0,0,MIN(AH26,C$7+IF(C$2=$AA26,$AC26,IF(C$2=$AF26,$AG26,0))))</f>
        <v/>
      </c>
      <c r="P26">
        <f>IF(D25&lt;=0,0,MIN(AI26,D$7+IF(D$2=$AA26,$AC26,IF(D$2=$AF26,$AG26,0))))</f>
        <v/>
      </c>
      <c r="Q26">
        <f>IF(E25&lt;=0,0,MIN(AJ26,E$7+IF(E$2=$AA26,$AC26,IF(E$2=$AF26,$AG26,0))))</f>
        <v/>
      </c>
      <c r="R26">
        <f>IF(F25&lt;=0,0,MIN(AK26,F$7+IF(F$2=$AA26,$AC26,IF(F$2=$AF26,$AG26,0))))</f>
        <v/>
      </c>
      <c r="S26">
        <f>IF(G25&lt;=0,0,MIN(AL26,G$7+IF(G$2=$AA26,$AC26,IF(G$2=$AF26,$AG26,0))))</f>
        <v/>
      </c>
      <c r="T26">
        <f>IF(H25&lt;=0,0,MIN(AM26,H$7+IF(H$2=$AA26,$AC26,IF(H$2=$AF26,$AG26,0))))</f>
        <v/>
      </c>
      <c r="U26">
        <f>IF(I25&lt;=0,0,MIN(AN26,I$7+IF(I$2=$AA26,$AC26,IF(I$2=$AF26,$AG26,0))))</f>
        <v/>
      </c>
      <c r="V26">
        <f>IF(J25&lt;=0,0,MIN(AO26,J$7+IF(J$2=$AA26,$AC26,IF(J$2=$AF26,$AG26,0))))</f>
        <v/>
      </c>
      <c r="W26">
        <f>IF(K25&lt;=0,0,MIN(AP26,K$7+IF(K$2=$AA26,$AC26,IF(K$2=$AF26,$AG26,0))))</f>
        <v/>
      </c>
      <c r="X26">
        <f>IF(L25&lt;=0,0,MIN(AQ26,L$7+IF(L$2=$AA26,$AC26,IF(L$2=$AF26,$AG26,0))))</f>
        <v/>
      </c>
      <c r="Y26">
        <f>IF(M25&lt;=0,0,MIN(AR26,M$7+IF(M$2=$AA26,$AC26,IF(M$2=$AF26,$AG26,0))))</f>
        <v/>
      </c>
      <c r="Z26">
        <f>IF(N25&lt;=0,0,MIN(AS26,N$7+IF(N$2=$AA26,$AC26,IF(N$2=$AF26,$AG26,0))))</f>
        <v/>
      </c>
      <c r="AA26">
        <f>IFERROR(ROUND(1/SUMPRODUCT(MAX((C25:N25&gt;0)*($C$3:$N$3&lt;=B26)/$C$2:$N$2)),0),0)</f>
        <v/>
      </c>
      <c r="AB26">
        <f>SUMPRODUCT((C25:N25&gt;0)*$C$7:$N$7)</f>
        <v/>
      </c>
      <c r="AC26">
        <f>MAX(0,Plan!$C$5-AB26)+IF(A26=Plan!$C$8,N(Plan!$C$7),0)</f>
        <v/>
      </c>
      <c r="AD26">
        <f>SUM(C26:N26)</f>
        <v/>
      </c>
      <c r="AE26">
        <f>SUM(O26:Z26)</f>
        <v/>
      </c>
      <c r="AF26">
        <f>IFERROR(ROUND(1/SUMPRODUCT(MAX((C25:N25&gt;0)*($C$3:$N$3&lt;=B26)*($C$2:$N$2&gt;AA26)/$C$2:$N$2)),0),0)</f>
        <v/>
      </c>
      <c r="AG26">
        <f>MAX(0,AC26-MAX(0,SUMPRODUCT(($C$2:$N$2=AA26)*(AH26:AS26-$C$7:$N$7))))</f>
        <v/>
      </c>
      <c r="AH26">
        <f>IF(C25&lt;=0,0,ROUND(C25*(1+IF(AND(C$6&gt;0,$B26&lt;C$6),C$4,C$5)/12),2))</f>
        <v/>
      </c>
      <c r="AI26">
        <f>IF(D25&lt;=0,0,ROUND(D25*(1+IF(AND(D$6&gt;0,$B26&lt;D$6),D$4,D$5)/12),2))</f>
        <v/>
      </c>
      <c r="AJ26">
        <f>IF(E25&lt;=0,0,ROUND(E25*(1+IF(AND(E$6&gt;0,$B26&lt;E$6),E$4,E$5)/12),2))</f>
        <v/>
      </c>
      <c r="AK26">
        <f>IF(F25&lt;=0,0,ROUND(F25*(1+IF(AND(F$6&gt;0,$B26&lt;F$6),F$4,F$5)/12),2))</f>
        <v/>
      </c>
      <c r="AL26">
        <f>IF(G25&lt;=0,0,ROUND(G25*(1+IF(AND(G$6&gt;0,$B26&lt;G$6),G$4,G$5)/12),2))</f>
        <v/>
      </c>
      <c r="AM26">
        <f>IF(H25&lt;=0,0,ROUND(H25*(1+IF(AND(H$6&gt;0,$B26&lt;H$6),H$4,H$5)/12),2))</f>
        <v/>
      </c>
      <c r="AN26">
        <f>IF(I25&lt;=0,0,ROUND(I25*(1+IF(AND(I$6&gt;0,$B26&lt;I$6),I$4,I$5)/12),2))</f>
        <v/>
      </c>
      <c r="AO26">
        <f>IF(J25&lt;=0,0,ROUND(J25*(1+IF(AND(J$6&gt;0,$B26&lt;J$6),J$4,J$5)/12),2))</f>
        <v/>
      </c>
      <c r="AP26">
        <f>IF(K25&lt;=0,0,ROUND(K25*(1+IF(AND(K$6&gt;0,$B26&lt;K$6),K$4,K$5)/12),2))</f>
        <v/>
      </c>
      <c r="AQ26">
        <f>IF(L25&lt;=0,0,ROUND(L25*(1+IF(AND(L$6&gt;0,$B26&lt;L$6),L$4,L$5)/12),2))</f>
        <v/>
      </c>
      <c r="AR26">
        <f>IF(M25&lt;=0,0,ROUND(M25*(1+IF(AND(M$6&gt;0,$B26&lt;M$6),M$4,M$5)/12),2))</f>
        <v/>
      </c>
      <c r="AS26">
        <f>IF(N25&lt;=0,0,ROUND(N25*(1+IF(AND(N$6&gt;0,$B26&lt;N$6),N$4,N$5)/12),2))</f>
        <v/>
      </c>
    </row>
    <row r="27">
      <c r="A27" t="n">
        <v>16</v>
      </c>
      <c r="B27">
        <f>EDATE(Plan!$C$6,15)</f>
        <v/>
      </c>
      <c r="C27">
        <f>IF(C26&lt;=0,0,MAX(0,AH27-O27))</f>
        <v/>
      </c>
      <c r="D27">
        <f>IF(D26&lt;=0,0,MAX(0,AI27-P27))</f>
        <v/>
      </c>
      <c r="E27">
        <f>IF(E26&lt;=0,0,MAX(0,AJ27-Q27))</f>
        <v/>
      </c>
      <c r="F27">
        <f>IF(F26&lt;=0,0,MAX(0,AK27-R27))</f>
        <v/>
      </c>
      <c r="G27">
        <f>IF(G26&lt;=0,0,MAX(0,AL27-S27))</f>
        <v/>
      </c>
      <c r="H27">
        <f>IF(H26&lt;=0,0,MAX(0,AM27-T27))</f>
        <v/>
      </c>
      <c r="I27">
        <f>IF(I26&lt;=0,0,MAX(0,AN27-U27))</f>
        <v/>
      </c>
      <c r="J27">
        <f>IF(J26&lt;=0,0,MAX(0,AO27-V27))</f>
        <v/>
      </c>
      <c r="K27">
        <f>IF(K26&lt;=0,0,MAX(0,AP27-W27))</f>
        <v/>
      </c>
      <c r="L27">
        <f>IF(L26&lt;=0,0,MAX(0,AQ27-X27))</f>
        <v/>
      </c>
      <c r="M27">
        <f>IF(M26&lt;=0,0,MAX(0,AR27-Y27))</f>
        <v/>
      </c>
      <c r="N27">
        <f>IF(N26&lt;=0,0,MAX(0,AS27-Z27))</f>
        <v/>
      </c>
      <c r="O27">
        <f>IF(C26&lt;=0,0,MIN(AH27,C$7+IF(C$2=$AA27,$AC27,IF(C$2=$AF27,$AG27,0))))</f>
        <v/>
      </c>
      <c r="P27">
        <f>IF(D26&lt;=0,0,MIN(AI27,D$7+IF(D$2=$AA27,$AC27,IF(D$2=$AF27,$AG27,0))))</f>
        <v/>
      </c>
      <c r="Q27">
        <f>IF(E26&lt;=0,0,MIN(AJ27,E$7+IF(E$2=$AA27,$AC27,IF(E$2=$AF27,$AG27,0))))</f>
        <v/>
      </c>
      <c r="R27">
        <f>IF(F26&lt;=0,0,MIN(AK27,F$7+IF(F$2=$AA27,$AC27,IF(F$2=$AF27,$AG27,0))))</f>
        <v/>
      </c>
      <c r="S27">
        <f>IF(G26&lt;=0,0,MIN(AL27,G$7+IF(G$2=$AA27,$AC27,IF(G$2=$AF27,$AG27,0))))</f>
        <v/>
      </c>
      <c r="T27">
        <f>IF(H26&lt;=0,0,MIN(AM27,H$7+IF(H$2=$AA27,$AC27,IF(H$2=$AF27,$AG27,0))))</f>
        <v/>
      </c>
      <c r="U27">
        <f>IF(I26&lt;=0,0,MIN(AN27,I$7+IF(I$2=$AA27,$AC27,IF(I$2=$AF27,$AG27,0))))</f>
        <v/>
      </c>
      <c r="V27">
        <f>IF(J26&lt;=0,0,MIN(AO27,J$7+IF(J$2=$AA27,$AC27,IF(J$2=$AF27,$AG27,0))))</f>
        <v/>
      </c>
      <c r="W27">
        <f>IF(K26&lt;=0,0,MIN(AP27,K$7+IF(K$2=$AA27,$AC27,IF(K$2=$AF27,$AG27,0))))</f>
        <v/>
      </c>
      <c r="X27">
        <f>IF(L26&lt;=0,0,MIN(AQ27,L$7+IF(L$2=$AA27,$AC27,IF(L$2=$AF27,$AG27,0))))</f>
        <v/>
      </c>
      <c r="Y27">
        <f>IF(M26&lt;=0,0,MIN(AR27,M$7+IF(M$2=$AA27,$AC27,IF(M$2=$AF27,$AG27,0))))</f>
        <v/>
      </c>
      <c r="Z27">
        <f>IF(N26&lt;=0,0,MIN(AS27,N$7+IF(N$2=$AA27,$AC27,IF(N$2=$AF27,$AG27,0))))</f>
        <v/>
      </c>
      <c r="AA27">
        <f>IFERROR(ROUND(1/SUMPRODUCT(MAX((C26:N26&gt;0)*($C$3:$N$3&lt;=B27)/$C$2:$N$2)),0),0)</f>
        <v/>
      </c>
      <c r="AB27">
        <f>SUMPRODUCT((C26:N26&gt;0)*$C$7:$N$7)</f>
        <v/>
      </c>
      <c r="AC27">
        <f>MAX(0,Plan!$C$5-AB27)+IF(A27=Plan!$C$8,N(Plan!$C$7),0)</f>
        <v/>
      </c>
      <c r="AD27">
        <f>SUM(C27:N27)</f>
        <v/>
      </c>
      <c r="AE27">
        <f>SUM(O27:Z27)</f>
        <v/>
      </c>
      <c r="AF27">
        <f>IFERROR(ROUND(1/SUMPRODUCT(MAX((C26:N26&gt;0)*($C$3:$N$3&lt;=B27)*($C$2:$N$2&gt;AA27)/$C$2:$N$2)),0),0)</f>
        <v/>
      </c>
      <c r="AG27">
        <f>MAX(0,AC27-MAX(0,SUMPRODUCT(($C$2:$N$2=AA27)*(AH27:AS27-$C$7:$N$7))))</f>
        <v/>
      </c>
      <c r="AH27">
        <f>IF(C26&lt;=0,0,ROUND(C26*(1+IF(AND(C$6&gt;0,$B27&lt;C$6),C$4,C$5)/12),2))</f>
        <v/>
      </c>
      <c r="AI27">
        <f>IF(D26&lt;=0,0,ROUND(D26*(1+IF(AND(D$6&gt;0,$B27&lt;D$6),D$4,D$5)/12),2))</f>
        <v/>
      </c>
      <c r="AJ27">
        <f>IF(E26&lt;=0,0,ROUND(E26*(1+IF(AND(E$6&gt;0,$B27&lt;E$6),E$4,E$5)/12),2))</f>
        <v/>
      </c>
      <c r="AK27">
        <f>IF(F26&lt;=0,0,ROUND(F26*(1+IF(AND(F$6&gt;0,$B27&lt;F$6),F$4,F$5)/12),2))</f>
        <v/>
      </c>
      <c r="AL27">
        <f>IF(G26&lt;=0,0,ROUND(G26*(1+IF(AND(G$6&gt;0,$B27&lt;G$6),G$4,G$5)/12),2))</f>
        <v/>
      </c>
      <c r="AM27">
        <f>IF(H26&lt;=0,0,ROUND(H26*(1+IF(AND(H$6&gt;0,$B27&lt;H$6),H$4,H$5)/12),2))</f>
        <v/>
      </c>
      <c r="AN27">
        <f>IF(I26&lt;=0,0,ROUND(I26*(1+IF(AND(I$6&gt;0,$B27&lt;I$6),I$4,I$5)/12),2))</f>
        <v/>
      </c>
      <c r="AO27">
        <f>IF(J26&lt;=0,0,ROUND(J26*(1+IF(AND(J$6&gt;0,$B27&lt;J$6),J$4,J$5)/12),2))</f>
        <v/>
      </c>
      <c r="AP27">
        <f>IF(K26&lt;=0,0,ROUND(K26*(1+IF(AND(K$6&gt;0,$B27&lt;K$6),K$4,K$5)/12),2))</f>
        <v/>
      </c>
      <c r="AQ27">
        <f>IF(L26&lt;=0,0,ROUND(L26*(1+IF(AND(L$6&gt;0,$B27&lt;L$6),L$4,L$5)/12),2))</f>
        <v/>
      </c>
      <c r="AR27">
        <f>IF(M26&lt;=0,0,ROUND(M26*(1+IF(AND(M$6&gt;0,$B27&lt;M$6),M$4,M$5)/12),2))</f>
        <v/>
      </c>
      <c r="AS27">
        <f>IF(N26&lt;=0,0,ROUND(N26*(1+IF(AND(N$6&gt;0,$B27&lt;N$6),N$4,N$5)/12),2))</f>
        <v/>
      </c>
    </row>
    <row r="28">
      <c r="A28" t="n">
        <v>17</v>
      </c>
      <c r="B28">
        <f>EDATE(Plan!$C$6,16)</f>
        <v/>
      </c>
      <c r="C28">
        <f>IF(C27&lt;=0,0,MAX(0,AH28-O28))</f>
        <v/>
      </c>
      <c r="D28">
        <f>IF(D27&lt;=0,0,MAX(0,AI28-P28))</f>
        <v/>
      </c>
      <c r="E28">
        <f>IF(E27&lt;=0,0,MAX(0,AJ28-Q28))</f>
        <v/>
      </c>
      <c r="F28">
        <f>IF(F27&lt;=0,0,MAX(0,AK28-R28))</f>
        <v/>
      </c>
      <c r="G28">
        <f>IF(G27&lt;=0,0,MAX(0,AL28-S28))</f>
        <v/>
      </c>
      <c r="H28">
        <f>IF(H27&lt;=0,0,MAX(0,AM28-T28))</f>
        <v/>
      </c>
      <c r="I28">
        <f>IF(I27&lt;=0,0,MAX(0,AN28-U28))</f>
        <v/>
      </c>
      <c r="J28">
        <f>IF(J27&lt;=0,0,MAX(0,AO28-V28))</f>
        <v/>
      </c>
      <c r="K28">
        <f>IF(K27&lt;=0,0,MAX(0,AP28-W28))</f>
        <v/>
      </c>
      <c r="L28">
        <f>IF(L27&lt;=0,0,MAX(0,AQ28-X28))</f>
        <v/>
      </c>
      <c r="M28">
        <f>IF(M27&lt;=0,0,MAX(0,AR28-Y28))</f>
        <v/>
      </c>
      <c r="N28">
        <f>IF(N27&lt;=0,0,MAX(0,AS28-Z28))</f>
        <v/>
      </c>
      <c r="O28">
        <f>IF(C27&lt;=0,0,MIN(AH28,C$7+IF(C$2=$AA28,$AC28,IF(C$2=$AF28,$AG28,0))))</f>
        <v/>
      </c>
      <c r="P28">
        <f>IF(D27&lt;=0,0,MIN(AI28,D$7+IF(D$2=$AA28,$AC28,IF(D$2=$AF28,$AG28,0))))</f>
        <v/>
      </c>
      <c r="Q28">
        <f>IF(E27&lt;=0,0,MIN(AJ28,E$7+IF(E$2=$AA28,$AC28,IF(E$2=$AF28,$AG28,0))))</f>
        <v/>
      </c>
      <c r="R28">
        <f>IF(F27&lt;=0,0,MIN(AK28,F$7+IF(F$2=$AA28,$AC28,IF(F$2=$AF28,$AG28,0))))</f>
        <v/>
      </c>
      <c r="S28">
        <f>IF(G27&lt;=0,0,MIN(AL28,G$7+IF(G$2=$AA28,$AC28,IF(G$2=$AF28,$AG28,0))))</f>
        <v/>
      </c>
      <c r="T28">
        <f>IF(H27&lt;=0,0,MIN(AM28,H$7+IF(H$2=$AA28,$AC28,IF(H$2=$AF28,$AG28,0))))</f>
        <v/>
      </c>
      <c r="U28">
        <f>IF(I27&lt;=0,0,MIN(AN28,I$7+IF(I$2=$AA28,$AC28,IF(I$2=$AF28,$AG28,0))))</f>
        <v/>
      </c>
      <c r="V28">
        <f>IF(J27&lt;=0,0,MIN(AO28,J$7+IF(J$2=$AA28,$AC28,IF(J$2=$AF28,$AG28,0))))</f>
        <v/>
      </c>
      <c r="W28">
        <f>IF(K27&lt;=0,0,MIN(AP28,K$7+IF(K$2=$AA28,$AC28,IF(K$2=$AF28,$AG28,0))))</f>
        <v/>
      </c>
      <c r="X28">
        <f>IF(L27&lt;=0,0,MIN(AQ28,L$7+IF(L$2=$AA28,$AC28,IF(L$2=$AF28,$AG28,0))))</f>
        <v/>
      </c>
      <c r="Y28">
        <f>IF(M27&lt;=0,0,MIN(AR28,M$7+IF(M$2=$AA28,$AC28,IF(M$2=$AF28,$AG28,0))))</f>
        <v/>
      </c>
      <c r="Z28">
        <f>IF(N27&lt;=0,0,MIN(AS28,N$7+IF(N$2=$AA28,$AC28,IF(N$2=$AF28,$AG28,0))))</f>
        <v/>
      </c>
      <c r="AA28">
        <f>IFERROR(ROUND(1/SUMPRODUCT(MAX((C27:N27&gt;0)*($C$3:$N$3&lt;=B28)/$C$2:$N$2)),0),0)</f>
        <v/>
      </c>
      <c r="AB28">
        <f>SUMPRODUCT((C27:N27&gt;0)*$C$7:$N$7)</f>
        <v/>
      </c>
      <c r="AC28">
        <f>MAX(0,Plan!$C$5-AB28)+IF(A28=Plan!$C$8,N(Plan!$C$7),0)</f>
        <v/>
      </c>
      <c r="AD28">
        <f>SUM(C28:N28)</f>
        <v/>
      </c>
      <c r="AE28">
        <f>SUM(O28:Z28)</f>
        <v/>
      </c>
      <c r="AF28">
        <f>IFERROR(ROUND(1/SUMPRODUCT(MAX((C27:N27&gt;0)*($C$3:$N$3&lt;=B28)*($C$2:$N$2&gt;AA28)/$C$2:$N$2)),0),0)</f>
        <v/>
      </c>
      <c r="AG28">
        <f>MAX(0,AC28-MAX(0,SUMPRODUCT(($C$2:$N$2=AA28)*(AH28:AS28-$C$7:$N$7))))</f>
        <v/>
      </c>
      <c r="AH28">
        <f>IF(C27&lt;=0,0,ROUND(C27*(1+IF(AND(C$6&gt;0,$B28&lt;C$6),C$4,C$5)/12),2))</f>
        <v/>
      </c>
      <c r="AI28">
        <f>IF(D27&lt;=0,0,ROUND(D27*(1+IF(AND(D$6&gt;0,$B28&lt;D$6),D$4,D$5)/12),2))</f>
        <v/>
      </c>
      <c r="AJ28">
        <f>IF(E27&lt;=0,0,ROUND(E27*(1+IF(AND(E$6&gt;0,$B28&lt;E$6),E$4,E$5)/12),2))</f>
        <v/>
      </c>
      <c r="AK28">
        <f>IF(F27&lt;=0,0,ROUND(F27*(1+IF(AND(F$6&gt;0,$B28&lt;F$6),F$4,F$5)/12),2))</f>
        <v/>
      </c>
      <c r="AL28">
        <f>IF(G27&lt;=0,0,ROUND(G27*(1+IF(AND(G$6&gt;0,$B28&lt;G$6),G$4,G$5)/12),2))</f>
        <v/>
      </c>
      <c r="AM28">
        <f>IF(H27&lt;=0,0,ROUND(H27*(1+IF(AND(H$6&gt;0,$B28&lt;H$6),H$4,H$5)/12),2))</f>
        <v/>
      </c>
      <c r="AN28">
        <f>IF(I27&lt;=0,0,ROUND(I27*(1+IF(AND(I$6&gt;0,$B28&lt;I$6),I$4,I$5)/12),2))</f>
        <v/>
      </c>
      <c r="AO28">
        <f>IF(J27&lt;=0,0,ROUND(J27*(1+IF(AND(J$6&gt;0,$B28&lt;J$6),J$4,J$5)/12),2))</f>
        <v/>
      </c>
      <c r="AP28">
        <f>IF(K27&lt;=0,0,ROUND(K27*(1+IF(AND(K$6&gt;0,$B28&lt;K$6),K$4,K$5)/12),2))</f>
        <v/>
      </c>
      <c r="AQ28">
        <f>IF(L27&lt;=0,0,ROUND(L27*(1+IF(AND(L$6&gt;0,$B28&lt;L$6),L$4,L$5)/12),2))</f>
        <v/>
      </c>
      <c r="AR28">
        <f>IF(M27&lt;=0,0,ROUND(M27*(1+IF(AND(M$6&gt;0,$B28&lt;M$6),M$4,M$5)/12),2))</f>
        <v/>
      </c>
      <c r="AS28">
        <f>IF(N27&lt;=0,0,ROUND(N27*(1+IF(AND(N$6&gt;0,$B28&lt;N$6),N$4,N$5)/12),2))</f>
        <v/>
      </c>
    </row>
    <row r="29">
      <c r="A29" t="n">
        <v>18</v>
      </c>
      <c r="B29">
        <f>EDATE(Plan!$C$6,17)</f>
        <v/>
      </c>
      <c r="C29">
        <f>IF(C28&lt;=0,0,MAX(0,AH29-O29))</f>
        <v/>
      </c>
      <c r="D29">
        <f>IF(D28&lt;=0,0,MAX(0,AI29-P29))</f>
        <v/>
      </c>
      <c r="E29">
        <f>IF(E28&lt;=0,0,MAX(0,AJ29-Q29))</f>
        <v/>
      </c>
      <c r="F29">
        <f>IF(F28&lt;=0,0,MAX(0,AK29-R29))</f>
        <v/>
      </c>
      <c r="G29">
        <f>IF(G28&lt;=0,0,MAX(0,AL29-S29))</f>
        <v/>
      </c>
      <c r="H29">
        <f>IF(H28&lt;=0,0,MAX(0,AM29-T29))</f>
        <v/>
      </c>
      <c r="I29">
        <f>IF(I28&lt;=0,0,MAX(0,AN29-U29))</f>
        <v/>
      </c>
      <c r="J29">
        <f>IF(J28&lt;=0,0,MAX(0,AO29-V29))</f>
        <v/>
      </c>
      <c r="K29">
        <f>IF(K28&lt;=0,0,MAX(0,AP29-W29))</f>
        <v/>
      </c>
      <c r="L29">
        <f>IF(L28&lt;=0,0,MAX(0,AQ29-X29))</f>
        <v/>
      </c>
      <c r="M29">
        <f>IF(M28&lt;=0,0,MAX(0,AR29-Y29))</f>
        <v/>
      </c>
      <c r="N29">
        <f>IF(N28&lt;=0,0,MAX(0,AS29-Z29))</f>
        <v/>
      </c>
      <c r="O29">
        <f>IF(C28&lt;=0,0,MIN(AH29,C$7+IF(C$2=$AA29,$AC29,IF(C$2=$AF29,$AG29,0))))</f>
        <v/>
      </c>
      <c r="P29">
        <f>IF(D28&lt;=0,0,MIN(AI29,D$7+IF(D$2=$AA29,$AC29,IF(D$2=$AF29,$AG29,0))))</f>
        <v/>
      </c>
      <c r="Q29">
        <f>IF(E28&lt;=0,0,MIN(AJ29,E$7+IF(E$2=$AA29,$AC29,IF(E$2=$AF29,$AG29,0))))</f>
        <v/>
      </c>
      <c r="R29">
        <f>IF(F28&lt;=0,0,MIN(AK29,F$7+IF(F$2=$AA29,$AC29,IF(F$2=$AF29,$AG29,0))))</f>
        <v/>
      </c>
      <c r="S29">
        <f>IF(G28&lt;=0,0,MIN(AL29,G$7+IF(G$2=$AA29,$AC29,IF(G$2=$AF29,$AG29,0))))</f>
        <v/>
      </c>
      <c r="T29">
        <f>IF(H28&lt;=0,0,MIN(AM29,H$7+IF(H$2=$AA29,$AC29,IF(H$2=$AF29,$AG29,0))))</f>
        <v/>
      </c>
      <c r="U29">
        <f>IF(I28&lt;=0,0,MIN(AN29,I$7+IF(I$2=$AA29,$AC29,IF(I$2=$AF29,$AG29,0))))</f>
        <v/>
      </c>
      <c r="V29">
        <f>IF(J28&lt;=0,0,MIN(AO29,J$7+IF(J$2=$AA29,$AC29,IF(J$2=$AF29,$AG29,0))))</f>
        <v/>
      </c>
      <c r="W29">
        <f>IF(K28&lt;=0,0,MIN(AP29,K$7+IF(K$2=$AA29,$AC29,IF(K$2=$AF29,$AG29,0))))</f>
        <v/>
      </c>
      <c r="X29">
        <f>IF(L28&lt;=0,0,MIN(AQ29,L$7+IF(L$2=$AA29,$AC29,IF(L$2=$AF29,$AG29,0))))</f>
        <v/>
      </c>
      <c r="Y29">
        <f>IF(M28&lt;=0,0,MIN(AR29,M$7+IF(M$2=$AA29,$AC29,IF(M$2=$AF29,$AG29,0))))</f>
        <v/>
      </c>
      <c r="Z29">
        <f>IF(N28&lt;=0,0,MIN(AS29,N$7+IF(N$2=$AA29,$AC29,IF(N$2=$AF29,$AG29,0))))</f>
        <v/>
      </c>
      <c r="AA29">
        <f>IFERROR(ROUND(1/SUMPRODUCT(MAX((C28:N28&gt;0)*($C$3:$N$3&lt;=B29)/$C$2:$N$2)),0),0)</f>
        <v/>
      </c>
      <c r="AB29">
        <f>SUMPRODUCT((C28:N28&gt;0)*$C$7:$N$7)</f>
        <v/>
      </c>
      <c r="AC29">
        <f>MAX(0,Plan!$C$5-AB29)+IF(A29=Plan!$C$8,N(Plan!$C$7),0)</f>
        <v/>
      </c>
      <c r="AD29">
        <f>SUM(C29:N29)</f>
        <v/>
      </c>
      <c r="AE29">
        <f>SUM(O29:Z29)</f>
        <v/>
      </c>
      <c r="AF29">
        <f>IFERROR(ROUND(1/SUMPRODUCT(MAX((C28:N28&gt;0)*($C$3:$N$3&lt;=B29)*($C$2:$N$2&gt;AA29)/$C$2:$N$2)),0),0)</f>
        <v/>
      </c>
      <c r="AG29">
        <f>MAX(0,AC29-MAX(0,SUMPRODUCT(($C$2:$N$2=AA29)*(AH29:AS29-$C$7:$N$7))))</f>
        <v/>
      </c>
      <c r="AH29">
        <f>IF(C28&lt;=0,0,ROUND(C28*(1+IF(AND(C$6&gt;0,$B29&lt;C$6),C$4,C$5)/12),2))</f>
        <v/>
      </c>
      <c r="AI29">
        <f>IF(D28&lt;=0,0,ROUND(D28*(1+IF(AND(D$6&gt;0,$B29&lt;D$6),D$4,D$5)/12),2))</f>
        <v/>
      </c>
      <c r="AJ29">
        <f>IF(E28&lt;=0,0,ROUND(E28*(1+IF(AND(E$6&gt;0,$B29&lt;E$6),E$4,E$5)/12),2))</f>
        <v/>
      </c>
      <c r="AK29">
        <f>IF(F28&lt;=0,0,ROUND(F28*(1+IF(AND(F$6&gt;0,$B29&lt;F$6),F$4,F$5)/12),2))</f>
        <v/>
      </c>
      <c r="AL29">
        <f>IF(G28&lt;=0,0,ROUND(G28*(1+IF(AND(G$6&gt;0,$B29&lt;G$6),G$4,G$5)/12),2))</f>
        <v/>
      </c>
      <c r="AM29">
        <f>IF(H28&lt;=0,0,ROUND(H28*(1+IF(AND(H$6&gt;0,$B29&lt;H$6),H$4,H$5)/12),2))</f>
        <v/>
      </c>
      <c r="AN29">
        <f>IF(I28&lt;=0,0,ROUND(I28*(1+IF(AND(I$6&gt;0,$B29&lt;I$6),I$4,I$5)/12),2))</f>
        <v/>
      </c>
      <c r="AO29">
        <f>IF(J28&lt;=0,0,ROUND(J28*(1+IF(AND(J$6&gt;0,$B29&lt;J$6),J$4,J$5)/12),2))</f>
        <v/>
      </c>
      <c r="AP29">
        <f>IF(K28&lt;=0,0,ROUND(K28*(1+IF(AND(K$6&gt;0,$B29&lt;K$6),K$4,K$5)/12),2))</f>
        <v/>
      </c>
      <c r="AQ29">
        <f>IF(L28&lt;=0,0,ROUND(L28*(1+IF(AND(L$6&gt;0,$B29&lt;L$6),L$4,L$5)/12),2))</f>
        <v/>
      </c>
      <c r="AR29">
        <f>IF(M28&lt;=0,0,ROUND(M28*(1+IF(AND(M$6&gt;0,$B29&lt;M$6),M$4,M$5)/12),2))</f>
        <v/>
      </c>
      <c r="AS29">
        <f>IF(N28&lt;=0,0,ROUND(N28*(1+IF(AND(N$6&gt;0,$B29&lt;N$6),N$4,N$5)/12),2))</f>
        <v/>
      </c>
    </row>
    <row r="30">
      <c r="A30" t="n">
        <v>19</v>
      </c>
      <c r="B30">
        <f>EDATE(Plan!$C$6,18)</f>
        <v/>
      </c>
      <c r="C30">
        <f>IF(C29&lt;=0,0,MAX(0,AH30-O30))</f>
        <v/>
      </c>
      <c r="D30">
        <f>IF(D29&lt;=0,0,MAX(0,AI30-P30))</f>
        <v/>
      </c>
      <c r="E30">
        <f>IF(E29&lt;=0,0,MAX(0,AJ30-Q30))</f>
        <v/>
      </c>
      <c r="F30">
        <f>IF(F29&lt;=0,0,MAX(0,AK30-R30))</f>
        <v/>
      </c>
      <c r="G30">
        <f>IF(G29&lt;=0,0,MAX(0,AL30-S30))</f>
        <v/>
      </c>
      <c r="H30">
        <f>IF(H29&lt;=0,0,MAX(0,AM30-T30))</f>
        <v/>
      </c>
      <c r="I30">
        <f>IF(I29&lt;=0,0,MAX(0,AN30-U30))</f>
        <v/>
      </c>
      <c r="J30">
        <f>IF(J29&lt;=0,0,MAX(0,AO30-V30))</f>
        <v/>
      </c>
      <c r="K30">
        <f>IF(K29&lt;=0,0,MAX(0,AP30-W30))</f>
        <v/>
      </c>
      <c r="L30">
        <f>IF(L29&lt;=0,0,MAX(0,AQ30-X30))</f>
        <v/>
      </c>
      <c r="M30">
        <f>IF(M29&lt;=0,0,MAX(0,AR30-Y30))</f>
        <v/>
      </c>
      <c r="N30">
        <f>IF(N29&lt;=0,0,MAX(0,AS30-Z30))</f>
        <v/>
      </c>
      <c r="O30">
        <f>IF(C29&lt;=0,0,MIN(AH30,C$7+IF(C$2=$AA30,$AC30,IF(C$2=$AF30,$AG30,0))))</f>
        <v/>
      </c>
      <c r="P30">
        <f>IF(D29&lt;=0,0,MIN(AI30,D$7+IF(D$2=$AA30,$AC30,IF(D$2=$AF30,$AG30,0))))</f>
        <v/>
      </c>
      <c r="Q30">
        <f>IF(E29&lt;=0,0,MIN(AJ30,E$7+IF(E$2=$AA30,$AC30,IF(E$2=$AF30,$AG30,0))))</f>
        <v/>
      </c>
      <c r="R30">
        <f>IF(F29&lt;=0,0,MIN(AK30,F$7+IF(F$2=$AA30,$AC30,IF(F$2=$AF30,$AG30,0))))</f>
        <v/>
      </c>
      <c r="S30">
        <f>IF(G29&lt;=0,0,MIN(AL30,G$7+IF(G$2=$AA30,$AC30,IF(G$2=$AF30,$AG30,0))))</f>
        <v/>
      </c>
      <c r="T30">
        <f>IF(H29&lt;=0,0,MIN(AM30,H$7+IF(H$2=$AA30,$AC30,IF(H$2=$AF30,$AG30,0))))</f>
        <v/>
      </c>
      <c r="U30">
        <f>IF(I29&lt;=0,0,MIN(AN30,I$7+IF(I$2=$AA30,$AC30,IF(I$2=$AF30,$AG30,0))))</f>
        <v/>
      </c>
      <c r="V30">
        <f>IF(J29&lt;=0,0,MIN(AO30,J$7+IF(J$2=$AA30,$AC30,IF(J$2=$AF30,$AG30,0))))</f>
        <v/>
      </c>
      <c r="W30">
        <f>IF(K29&lt;=0,0,MIN(AP30,K$7+IF(K$2=$AA30,$AC30,IF(K$2=$AF30,$AG30,0))))</f>
        <v/>
      </c>
      <c r="X30">
        <f>IF(L29&lt;=0,0,MIN(AQ30,L$7+IF(L$2=$AA30,$AC30,IF(L$2=$AF30,$AG30,0))))</f>
        <v/>
      </c>
      <c r="Y30">
        <f>IF(M29&lt;=0,0,MIN(AR30,M$7+IF(M$2=$AA30,$AC30,IF(M$2=$AF30,$AG30,0))))</f>
        <v/>
      </c>
      <c r="Z30">
        <f>IF(N29&lt;=0,0,MIN(AS30,N$7+IF(N$2=$AA30,$AC30,IF(N$2=$AF30,$AG30,0))))</f>
        <v/>
      </c>
      <c r="AA30">
        <f>IFERROR(ROUND(1/SUMPRODUCT(MAX((C29:N29&gt;0)*($C$3:$N$3&lt;=B30)/$C$2:$N$2)),0),0)</f>
        <v/>
      </c>
      <c r="AB30">
        <f>SUMPRODUCT((C29:N29&gt;0)*$C$7:$N$7)</f>
        <v/>
      </c>
      <c r="AC30">
        <f>MAX(0,Plan!$C$5-AB30)+IF(A30=Plan!$C$8,N(Plan!$C$7),0)</f>
        <v/>
      </c>
      <c r="AD30">
        <f>SUM(C30:N30)</f>
        <v/>
      </c>
      <c r="AE30">
        <f>SUM(O30:Z30)</f>
        <v/>
      </c>
      <c r="AF30">
        <f>IFERROR(ROUND(1/SUMPRODUCT(MAX((C29:N29&gt;0)*($C$3:$N$3&lt;=B30)*($C$2:$N$2&gt;AA30)/$C$2:$N$2)),0),0)</f>
        <v/>
      </c>
      <c r="AG30">
        <f>MAX(0,AC30-MAX(0,SUMPRODUCT(($C$2:$N$2=AA30)*(AH30:AS30-$C$7:$N$7))))</f>
        <v/>
      </c>
      <c r="AH30">
        <f>IF(C29&lt;=0,0,ROUND(C29*(1+IF(AND(C$6&gt;0,$B30&lt;C$6),C$4,C$5)/12),2))</f>
        <v/>
      </c>
      <c r="AI30">
        <f>IF(D29&lt;=0,0,ROUND(D29*(1+IF(AND(D$6&gt;0,$B30&lt;D$6),D$4,D$5)/12),2))</f>
        <v/>
      </c>
      <c r="AJ30">
        <f>IF(E29&lt;=0,0,ROUND(E29*(1+IF(AND(E$6&gt;0,$B30&lt;E$6),E$4,E$5)/12),2))</f>
        <v/>
      </c>
      <c r="AK30">
        <f>IF(F29&lt;=0,0,ROUND(F29*(1+IF(AND(F$6&gt;0,$B30&lt;F$6),F$4,F$5)/12),2))</f>
        <v/>
      </c>
      <c r="AL30">
        <f>IF(G29&lt;=0,0,ROUND(G29*(1+IF(AND(G$6&gt;0,$B30&lt;G$6),G$4,G$5)/12),2))</f>
        <v/>
      </c>
      <c r="AM30">
        <f>IF(H29&lt;=0,0,ROUND(H29*(1+IF(AND(H$6&gt;0,$B30&lt;H$6),H$4,H$5)/12),2))</f>
        <v/>
      </c>
      <c r="AN30">
        <f>IF(I29&lt;=0,0,ROUND(I29*(1+IF(AND(I$6&gt;0,$B30&lt;I$6),I$4,I$5)/12),2))</f>
        <v/>
      </c>
      <c r="AO30">
        <f>IF(J29&lt;=0,0,ROUND(J29*(1+IF(AND(J$6&gt;0,$B30&lt;J$6),J$4,J$5)/12),2))</f>
        <v/>
      </c>
      <c r="AP30">
        <f>IF(K29&lt;=0,0,ROUND(K29*(1+IF(AND(K$6&gt;0,$B30&lt;K$6),K$4,K$5)/12),2))</f>
        <v/>
      </c>
      <c r="AQ30">
        <f>IF(L29&lt;=0,0,ROUND(L29*(1+IF(AND(L$6&gt;0,$B30&lt;L$6),L$4,L$5)/12),2))</f>
        <v/>
      </c>
      <c r="AR30">
        <f>IF(M29&lt;=0,0,ROUND(M29*(1+IF(AND(M$6&gt;0,$B30&lt;M$6),M$4,M$5)/12),2))</f>
        <v/>
      </c>
      <c r="AS30">
        <f>IF(N29&lt;=0,0,ROUND(N29*(1+IF(AND(N$6&gt;0,$B30&lt;N$6),N$4,N$5)/12),2))</f>
        <v/>
      </c>
    </row>
    <row r="31">
      <c r="A31" t="n">
        <v>20</v>
      </c>
      <c r="B31">
        <f>EDATE(Plan!$C$6,19)</f>
        <v/>
      </c>
      <c r="C31">
        <f>IF(C30&lt;=0,0,MAX(0,AH31-O31))</f>
        <v/>
      </c>
      <c r="D31">
        <f>IF(D30&lt;=0,0,MAX(0,AI31-P31))</f>
        <v/>
      </c>
      <c r="E31">
        <f>IF(E30&lt;=0,0,MAX(0,AJ31-Q31))</f>
        <v/>
      </c>
      <c r="F31">
        <f>IF(F30&lt;=0,0,MAX(0,AK31-R31))</f>
        <v/>
      </c>
      <c r="G31">
        <f>IF(G30&lt;=0,0,MAX(0,AL31-S31))</f>
        <v/>
      </c>
      <c r="H31">
        <f>IF(H30&lt;=0,0,MAX(0,AM31-T31))</f>
        <v/>
      </c>
      <c r="I31">
        <f>IF(I30&lt;=0,0,MAX(0,AN31-U31))</f>
        <v/>
      </c>
      <c r="J31">
        <f>IF(J30&lt;=0,0,MAX(0,AO31-V31))</f>
        <v/>
      </c>
      <c r="K31">
        <f>IF(K30&lt;=0,0,MAX(0,AP31-W31))</f>
        <v/>
      </c>
      <c r="L31">
        <f>IF(L30&lt;=0,0,MAX(0,AQ31-X31))</f>
        <v/>
      </c>
      <c r="M31">
        <f>IF(M30&lt;=0,0,MAX(0,AR31-Y31))</f>
        <v/>
      </c>
      <c r="N31">
        <f>IF(N30&lt;=0,0,MAX(0,AS31-Z31))</f>
        <v/>
      </c>
      <c r="O31">
        <f>IF(C30&lt;=0,0,MIN(AH31,C$7+IF(C$2=$AA31,$AC31,IF(C$2=$AF31,$AG31,0))))</f>
        <v/>
      </c>
      <c r="P31">
        <f>IF(D30&lt;=0,0,MIN(AI31,D$7+IF(D$2=$AA31,$AC31,IF(D$2=$AF31,$AG31,0))))</f>
        <v/>
      </c>
      <c r="Q31">
        <f>IF(E30&lt;=0,0,MIN(AJ31,E$7+IF(E$2=$AA31,$AC31,IF(E$2=$AF31,$AG31,0))))</f>
        <v/>
      </c>
      <c r="R31">
        <f>IF(F30&lt;=0,0,MIN(AK31,F$7+IF(F$2=$AA31,$AC31,IF(F$2=$AF31,$AG31,0))))</f>
        <v/>
      </c>
      <c r="S31">
        <f>IF(G30&lt;=0,0,MIN(AL31,G$7+IF(G$2=$AA31,$AC31,IF(G$2=$AF31,$AG31,0))))</f>
        <v/>
      </c>
      <c r="T31">
        <f>IF(H30&lt;=0,0,MIN(AM31,H$7+IF(H$2=$AA31,$AC31,IF(H$2=$AF31,$AG31,0))))</f>
        <v/>
      </c>
      <c r="U31">
        <f>IF(I30&lt;=0,0,MIN(AN31,I$7+IF(I$2=$AA31,$AC31,IF(I$2=$AF31,$AG31,0))))</f>
        <v/>
      </c>
      <c r="V31">
        <f>IF(J30&lt;=0,0,MIN(AO31,J$7+IF(J$2=$AA31,$AC31,IF(J$2=$AF31,$AG31,0))))</f>
        <v/>
      </c>
      <c r="W31">
        <f>IF(K30&lt;=0,0,MIN(AP31,K$7+IF(K$2=$AA31,$AC31,IF(K$2=$AF31,$AG31,0))))</f>
        <v/>
      </c>
      <c r="X31">
        <f>IF(L30&lt;=0,0,MIN(AQ31,L$7+IF(L$2=$AA31,$AC31,IF(L$2=$AF31,$AG31,0))))</f>
        <v/>
      </c>
      <c r="Y31">
        <f>IF(M30&lt;=0,0,MIN(AR31,M$7+IF(M$2=$AA31,$AC31,IF(M$2=$AF31,$AG31,0))))</f>
        <v/>
      </c>
      <c r="Z31">
        <f>IF(N30&lt;=0,0,MIN(AS31,N$7+IF(N$2=$AA31,$AC31,IF(N$2=$AF31,$AG31,0))))</f>
        <v/>
      </c>
      <c r="AA31">
        <f>IFERROR(ROUND(1/SUMPRODUCT(MAX((C30:N30&gt;0)*($C$3:$N$3&lt;=B31)/$C$2:$N$2)),0),0)</f>
        <v/>
      </c>
      <c r="AB31">
        <f>SUMPRODUCT((C30:N30&gt;0)*$C$7:$N$7)</f>
        <v/>
      </c>
      <c r="AC31">
        <f>MAX(0,Plan!$C$5-AB31)+IF(A31=Plan!$C$8,N(Plan!$C$7),0)</f>
        <v/>
      </c>
      <c r="AD31">
        <f>SUM(C31:N31)</f>
        <v/>
      </c>
      <c r="AE31">
        <f>SUM(O31:Z31)</f>
        <v/>
      </c>
      <c r="AF31">
        <f>IFERROR(ROUND(1/SUMPRODUCT(MAX((C30:N30&gt;0)*($C$3:$N$3&lt;=B31)*($C$2:$N$2&gt;AA31)/$C$2:$N$2)),0),0)</f>
        <v/>
      </c>
      <c r="AG31">
        <f>MAX(0,AC31-MAX(0,SUMPRODUCT(($C$2:$N$2=AA31)*(AH31:AS31-$C$7:$N$7))))</f>
        <v/>
      </c>
      <c r="AH31">
        <f>IF(C30&lt;=0,0,ROUND(C30*(1+IF(AND(C$6&gt;0,$B31&lt;C$6),C$4,C$5)/12),2))</f>
        <v/>
      </c>
      <c r="AI31">
        <f>IF(D30&lt;=0,0,ROUND(D30*(1+IF(AND(D$6&gt;0,$B31&lt;D$6),D$4,D$5)/12),2))</f>
        <v/>
      </c>
      <c r="AJ31">
        <f>IF(E30&lt;=0,0,ROUND(E30*(1+IF(AND(E$6&gt;0,$B31&lt;E$6),E$4,E$5)/12),2))</f>
        <v/>
      </c>
      <c r="AK31">
        <f>IF(F30&lt;=0,0,ROUND(F30*(1+IF(AND(F$6&gt;0,$B31&lt;F$6),F$4,F$5)/12),2))</f>
        <v/>
      </c>
      <c r="AL31">
        <f>IF(G30&lt;=0,0,ROUND(G30*(1+IF(AND(G$6&gt;0,$B31&lt;G$6),G$4,G$5)/12),2))</f>
        <v/>
      </c>
      <c r="AM31">
        <f>IF(H30&lt;=0,0,ROUND(H30*(1+IF(AND(H$6&gt;0,$B31&lt;H$6),H$4,H$5)/12),2))</f>
        <v/>
      </c>
      <c r="AN31">
        <f>IF(I30&lt;=0,0,ROUND(I30*(1+IF(AND(I$6&gt;0,$B31&lt;I$6),I$4,I$5)/12),2))</f>
        <v/>
      </c>
      <c r="AO31">
        <f>IF(J30&lt;=0,0,ROUND(J30*(1+IF(AND(J$6&gt;0,$B31&lt;J$6),J$4,J$5)/12),2))</f>
        <v/>
      </c>
      <c r="AP31">
        <f>IF(K30&lt;=0,0,ROUND(K30*(1+IF(AND(K$6&gt;0,$B31&lt;K$6),K$4,K$5)/12),2))</f>
        <v/>
      </c>
      <c r="AQ31">
        <f>IF(L30&lt;=0,0,ROUND(L30*(1+IF(AND(L$6&gt;0,$B31&lt;L$6),L$4,L$5)/12),2))</f>
        <v/>
      </c>
      <c r="AR31">
        <f>IF(M30&lt;=0,0,ROUND(M30*(1+IF(AND(M$6&gt;0,$B31&lt;M$6),M$4,M$5)/12),2))</f>
        <v/>
      </c>
      <c r="AS31">
        <f>IF(N30&lt;=0,0,ROUND(N30*(1+IF(AND(N$6&gt;0,$B31&lt;N$6),N$4,N$5)/12),2))</f>
        <v/>
      </c>
    </row>
    <row r="32">
      <c r="A32" t="n">
        <v>21</v>
      </c>
      <c r="B32">
        <f>EDATE(Plan!$C$6,20)</f>
        <v/>
      </c>
      <c r="C32">
        <f>IF(C31&lt;=0,0,MAX(0,AH32-O32))</f>
        <v/>
      </c>
      <c r="D32">
        <f>IF(D31&lt;=0,0,MAX(0,AI32-P32))</f>
        <v/>
      </c>
      <c r="E32">
        <f>IF(E31&lt;=0,0,MAX(0,AJ32-Q32))</f>
        <v/>
      </c>
      <c r="F32">
        <f>IF(F31&lt;=0,0,MAX(0,AK32-R32))</f>
        <v/>
      </c>
      <c r="G32">
        <f>IF(G31&lt;=0,0,MAX(0,AL32-S32))</f>
        <v/>
      </c>
      <c r="H32">
        <f>IF(H31&lt;=0,0,MAX(0,AM32-T32))</f>
        <v/>
      </c>
      <c r="I32">
        <f>IF(I31&lt;=0,0,MAX(0,AN32-U32))</f>
        <v/>
      </c>
      <c r="J32">
        <f>IF(J31&lt;=0,0,MAX(0,AO32-V32))</f>
        <v/>
      </c>
      <c r="K32">
        <f>IF(K31&lt;=0,0,MAX(0,AP32-W32))</f>
        <v/>
      </c>
      <c r="L32">
        <f>IF(L31&lt;=0,0,MAX(0,AQ32-X32))</f>
        <v/>
      </c>
      <c r="M32">
        <f>IF(M31&lt;=0,0,MAX(0,AR32-Y32))</f>
        <v/>
      </c>
      <c r="N32">
        <f>IF(N31&lt;=0,0,MAX(0,AS32-Z32))</f>
        <v/>
      </c>
      <c r="O32">
        <f>IF(C31&lt;=0,0,MIN(AH32,C$7+IF(C$2=$AA32,$AC32,IF(C$2=$AF32,$AG32,0))))</f>
        <v/>
      </c>
      <c r="P32">
        <f>IF(D31&lt;=0,0,MIN(AI32,D$7+IF(D$2=$AA32,$AC32,IF(D$2=$AF32,$AG32,0))))</f>
        <v/>
      </c>
      <c r="Q32">
        <f>IF(E31&lt;=0,0,MIN(AJ32,E$7+IF(E$2=$AA32,$AC32,IF(E$2=$AF32,$AG32,0))))</f>
        <v/>
      </c>
      <c r="R32">
        <f>IF(F31&lt;=0,0,MIN(AK32,F$7+IF(F$2=$AA32,$AC32,IF(F$2=$AF32,$AG32,0))))</f>
        <v/>
      </c>
      <c r="S32">
        <f>IF(G31&lt;=0,0,MIN(AL32,G$7+IF(G$2=$AA32,$AC32,IF(G$2=$AF32,$AG32,0))))</f>
        <v/>
      </c>
      <c r="T32">
        <f>IF(H31&lt;=0,0,MIN(AM32,H$7+IF(H$2=$AA32,$AC32,IF(H$2=$AF32,$AG32,0))))</f>
        <v/>
      </c>
      <c r="U32">
        <f>IF(I31&lt;=0,0,MIN(AN32,I$7+IF(I$2=$AA32,$AC32,IF(I$2=$AF32,$AG32,0))))</f>
        <v/>
      </c>
      <c r="V32">
        <f>IF(J31&lt;=0,0,MIN(AO32,J$7+IF(J$2=$AA32,$AC32,IF(J$2=$AF32,$AG32,0))))</f>
        <v/>
      </c>
      <c r="W32">
        <f>IF(K31&lt;=0,0,MIN(AP32,K$7+IF(K$2=$AA32,$AC32,IF(K$2=$AF32,$AG32,0))))</f>
        <v/>
      </c>
      <c r="X32">
        <f>IF(L31&lt;=0,0,MIN(AQ32,L$7+IF(L$2=$AA32,$AC32,IF(L$2=$AF32,$AG32,0))))</f>
        <v/>
      </c>
      <c r="Y32">
        <f>IF(M31&lt;=0,0,MIN(AR32,M$7+IF(M$2=$AA32,$AC32,IF(M$2=$AF32,$AG32,0))))</f>
        <v/>
      </c>
      <c r="Z32">
        <f>IF(N31&lt;=0,0,MIN(AS32,N$7+IF(N$2=$AA32,$AC32,IF(N$2=$AF32,$AG32,0))))</f>
        <v/>
      </c>
      <c r="AA32">
        <f>IFERROR(ROUND(1/SUMPRODUCT(MAX((C31:N31&gt;0)*($C$3:$N$3&lt;=B32)/$C$2:$N$2)),0),0)</f>
        <v/>
      </c>
      <c r="AB32">
        <f>SUMPRODUCT((C31:N31&gt;0)*$C$7:$N$7)</f>
        <v/>
      </c>
      <c r="AC32">
        <f>MAX(0,Plan!$C$5-AB32)+IF(A32=Plan!$C$8,N(Plan!$C$7),0)</f>
        <v/>
      </c>
      <c r="AD32">
        <f>SUM(C32:N32)</f>
        <v/>
      </c>
      <c r="AE32">
        <f>SUM(O32:Z32)</f>
        <v/>
      </c>
      <c r="AF32">
        <f>IFERROR(ROUND(1/SUMPRODUCT(MAX((C31:N31&gt;0)*($C$3:$N$3&lt;=B32)*($C$2:$N$2&gt;AA32)/$C$2:$N$2)),0),0)</f>
        <v/>
      </c>
      <c r="AG32">
        <f>MAX(0,AC32-MAX(0,SUMPRODUCT(($C$2:$N$2=AA32)*(AH32:AS32-$C$7:$N$7))))</f>
        <v/>
      </c>
      <c r="AH32">
        <f>IF(C31&lt;=0,0,ROUND(C31*(1+IF(AND(C$6&gt;0,$B32&lt;C$6),C$4,C$5)/12),2))</f>
        <v/>
      </c>
      <c r="AI32">
        <f>IF(D31&lt;=0,0,ROUND(D31*(1+IF(AND(D$6&gt;0,$B32&lt;D$6),D$4,D$5)/12),2))</f>
        <v/>
      </c>
      <c r="AJ32">
        <f>IF(E31&lt;=0,0,ROUND(E31*(1+IF(AND(E$6&gt;0,$B32&lt;E$6),E$4,E$5)/12),2))</f>
        <v/>
      </c>
      <c r="AK32">
        <f>IF(F31&lt;=0,0,ROUND(F31*(1+IF(AND(F$6&gt;0,$B32&lt;F$6),F$4,F$5)/12),2))</f>
        <v/>
      </c>
      <c r="AL32">
        <f>IF(G31&lt;=0,0,ROUND(G31*(1+IF(AND(G$6&gt;0,$B32&lt;G$6),G$4,G$5)/12),2))</f>
        <v/>
      </c>
      <c r="AM32">
        <f>IF(H31&lt;=0,0,ROUND(H31*(1+IF(AND(H$6&gt;0,$B32&lt;H$6),H$4,H$5)/12),2))</f>
        <v/>
      </c>
      <c r="AN32">
        <f>IF(I31&lt;=0,0,ROUND(I31*(1+IF(AND(I$6&gt;0,$B32&lt;I$6),I$4,I$5)/12),2))</f>
        <v/>
      </c>
      <c r="AO32">
        <f>IF(J31&lt;=0,0,ROUND(J31*(1+IF(AND(J$6&gt;0,$B32&lt;J$6),J$4,J$5)/12),2))</f>
        <v/>
      </c>
      <c r="AP32">
        <f>IF(K31&lt;=0,0,ROUND(K31*(1+IF(AND(K$6&gt;0,$B32&lt;K$6),K$4,K$5)/12),2))</f>
        <v/>
      </c>
      <c r="AQ32">
        <f>IF(L31&lt;=0,0,ROUND(L31*(1+IF(AND(L$6&gt;0,$B32&lt;L$6),L$4,L$5)/12),2))</f>
        <v/>
      </c>
      <c r="AR32">
        <f>IF(M31&lt;=0,0,ROUND(M31*(1+IF(AND(M$6&gt;0,$B32&lt;M$6),M$4,M$5)/12),2))</f>
        <v/>
      </c>
      <c r="AS32">
        <f>IF(N31&lt;=0,0,ROUND(N31*(1+IF(AND(N$6&gt;0,$B32&lt;N$6),N$4,N$5)/12),2))</f>
        <v/>
      </c>
    </row>
    <row r="33">
      <c r="A33" t="n">
        <v>22</v>
      </c>
      <c r="B33">
        <f>EDATE(Plan!$C$6,21)</f>
        <v/>
      </c>
      <c r="C33">
        <f>IF(C32&lt;=0,0,MAX(0,AH33-O33))</f>
        <v/>
      </c>
      <c r="D33">
        <f>IF(D32&lt;=0,0,MAX(0,AI33-P33))</f>
        <v/>
      </c>
      <c r="E33">
        <f>IF(E32&lt;=0,0,MAX(0,AJ33-Q33))</f>
        <v/>
      </c>
      <c r="F33">
        <f>IF(F32&lt;=0,0,MAX(0,AK33-R33))</f>
        <v/>
      </c>
      <c r="G33">
        <f>IF(G32&lt;=0,0,MAX(0,AL33-S33))</f>
        <v/>
      </c>
      <c r="H33">
        <f>IF(H32&lt;=0,0,MAX(0,AM33-T33))</f>
        <v/>
      </c>
      <c r="I33">
        <f>IF(I32&lt;=0,0,MAX(0,AN33-U33))</f>
        <v/>
      </c>
      <c r="J33">
        <f>IF(J32&lt;=0,0,MAX(0,AO33-V33))</f>
        <v/>
      </c>
      <c r="K33">
        <f>IF(K32&lt;=0,0,MAX(0,AP33-W33))</f>
        <v/>
      </c>
      <c r="L33">
        <f>IF(L32&lt;=0,0,MAX(0,AQ33-X33))</f>
        <v/>
      </c>
      <c r="M33">
        <f>IF(M32&lt;=0,0,MAX(0,AR33-Y33))</f>
        <v/>
      </c>
      <c r="N33">
        <f>IF(N32&lt;=0,0,MAX(0,AS33-Z33))</f>
        <v/>
      </c>
      <c r="O33">
        <f>IF(C32&lt;=0,0,MIN(AH33,C$7+IF(C$2=$AA33,$AC33,IF(C$2=$AF33,$AG33,0))))</f>
        <v/>
      </c>
      <c r="P33">
        <f>IF(D32&lt;=0,0,MIN(AI33,D$7+IF(D$2=$AA33,$AC33,IF(D$2=$AF33,$AG33,0))))</f>
        <v/>
      </c>
      <c r="Q33">
        <f>IF(E32&lt;=0,0,MIN(AJ33,E$7+IF(E$2=$AA33,$AC33,IF(E$2=$AF33,$AG33,0))))</f>
        <v/>
      </c>
      <c r="R33">
        <f>IF(F32&lt;=0,0,MIN(AK33,F$7+IF(F$2=$AA33,$AC33,IF(F$2=$AF33,$AG33,0))))</f>
        <v/>
      </c>
      <c r="S33">
        <f>IF(G32&lt;=0,0,MIN(AL33,G$7+IF(G$2=$AA33,$AC33,IF(G$2=$AF33,$AG33,0))))</f>
        <v/>
      </c>
      <c r="T33">
        <f>IF(H32&lt;=0,0,MIN(AM33,H$7+IF(H$2=$AA33,$AC33,IF(H$2=$AF33,$AG33,0))))</f>
        <v/>
      </c>
      <c r="U33">
        <f>IF(I32&lt;=0,0,MIN(AN33,I$7+IF(I$2=$AA33,$AC33,IF(I$2=$AF33,$AG33,0))))</f>
        <v/>
      </c>
      <c r="V33">
        <f>IF(J32&lt;=0,0,MIN(AO33,J$7+IF(J$2=$AA33,$AC33,IF(J$2=$AF33,$AG33,0))))</f>
        <v/>
      </c>
      <c r="W33">
        <f>IF(K32&lt;=0,0,MIN(AP33,K$7+IF(K$2=$AA33,$AC33,IF(K$2=$AF33,$AG33,0))))</f>
        <v/>
      </c>
      <c r="X33">
        <f>IF(L32&lt;=0,0,MIN(AQ33,L$7+IF(L$2=$AA33,$AC33,IF(L$2=$AF33,$AG33,0))))</f>
        <v/>
      </c>
      <c r="Y33">
        <f>IF(M32&lt;=0,0,MIN(AR33,M$7+IF(M$2=$AA33,$AC33,IF(M$2=$AF33,$AG33,0))))</f>
        <v/>
      </c>
      <c r="Z33">
        <f>IF(N32&lt;=0,0,MIN(AS33,N$7+IF(N$2=$AA33,$AC33,IF(N$2=$AF33,$AG33,0))))</f>
        <v/>
      </c>
      <c r="AA33">
        <f>IFERROR(ROUND(1/SUMPRODUCT(MAX((C32:N32&gt;0)*($C$3:$N$3&lt;=B33)/$C$2:$N$2)),0),0)</f>
        <v/>
      </c>
      <c r="AB33">
        <f>SUMPRODUCT((C32:N32&gt;0)*$C$7:$N$7)</f>
        <v/>
      </c>
      <c r="AC33">
        <f>MAX(0,Plan!$C$5-AB33)+IF(A33=Plan!$C$8,N(Plan!$C$7),0)</f>
        <v/>
      </c>
      <c r="AD33">
        <f>SUM(C33:N33)</f>
        <v/>
      </c>
      <c r="AE33">
        <f>SUM(O33:Z33)</f>
        <v/>
      </c>
      <c r="AF33">
        <f>IFERROR(ROUND(1/SUMPRODUCT(MAX((C32:N32&gt;0)*($C$3:$N$3&lt;=B33)*($C$2:$N$2&gt;AA33)/$C$2:$N$2)),0),0)</f>
        <v/>
      </c>
      <c r="AG33">
        <f>MAX(0,AC33-MAX(0,SUMPRODUCT(($C$2:$N$2=AA33)*(AH33:AS33-$C$7:$N$7))))</f>
        <v/>
      </c>
      <c r="AH33">
        <f>IF(C32&lt;=0,0,ROUND(C32*(1+IF(AND(C$6&gt;0,$B33&lt;C$6),C$4,C$5)/12),2))</f>
        <v/>
      </c>
      <c r="AI33">
        <f>IF(D32&lt;=0,0,ROUND(D32*(1+IF(AND(D$6&gt;0,$B33&lt;D$6),D$4,D$5)/12),2))</f>
        <v/>
      </c>
      <c r="AJ33">
        <f>IF(E32&lt;=0,0,ROUND(E32*(1+IF(AND(E$6&gt;0,$B33&lt;E$6),E$4,E$5)/12),2))</f>
        <v/>
      </c>
      <c r="AK33">
        <f>IF(F32&lt;=0,0,ROUND(F32*(1+IF(AND(F$6&gt;0,$B33&lt;F$6),F$4,F$5)/12),2))</f>
        <v/>
      </c>
      <c r="AL33">
        <f>IF(G32&lt;=0,0,ROUND(G32*(1+IF(AND(G$6&gt;0,$B33&lt;G$6),G$4,G$5)/12),2))</f>
        <v/>
      </c>
      <c r="AM33">
        <f>IF(H32&lt;=0,0,ROUND(H32*(1+IF(AND(H$6&gt;0,$B33&lt;H$6),H$4,H$5)/12),2))</f>
        <v/>
      </c>
      <c r="AN33">
        <f>IF(I32&lt;=0,0,ROUND(I32*(1+IF(AND(I$6&gt;0,$B33&lt;I$6),I$4,I$5)/12),2))</f>
        <v/>
      </c>
      <c r="AO33">
        <f>IF(J32&lt;=0,0,ROUND(J32*(1+IF(AND(J$6&gt;0,$B33&lt;J$6),J$4,J$5)/12),2))</f>
        <v/>
      </c>
      <c r="AP33">
        <f>IF(K32&lt;=0,0,ROUND(K32*(1+IF(AND(K$6&gt;0,$B33&lt;K$6),K$4,K$5)/12),2))</f>
        <v/>
      </c>
      <c r="AQ33">
        <f>IF(L32&lt;=0,0,ROUND(L32*(1+IF(AND(L$6&gt;0,$B33&lt;L$6),L$4,L$5)/12),2))</f>
        <v/>
      </c>
      <c r="AR33">
        <f>IF(M32&lt;=0,0,ROUND(M32*(1+IF(AND(M$6&gt;0,$B33&lt;M$6),M$4,M$5)/12),2))</f>
        <v/>
      </c>
      <c r="AS33">
        <f>IF(N32&lt;=0,0,ROUND(N32*(1+IF(AND(N$6&gt;0,$B33&lt;N$6),N$4,N$5)/12),2))</f>
        <v/>
      </c>
    </row>
    <row r="34">
      <c r="A34" t="n">
        <v>23</v>
      </c>
      <c r="B34">
        <f>EDATE(Plan!$C$6,22)</f>
        <v/>
      </c>
      <c r="C34">
        <f>IF(C33&lt;=0,0,MAX(0,AH34-O34))</f>
        <v/>
      </c>
      <c r="D34">
        <f>IF(D33&lt;=0,0,MAX(0,AI34-P34))</f>
        <v/>
      </c>
      <c r="E34">
        <f>IF(E33&lt;=0,0,MAX(0,AJ34-Q34))</f>
        <v/>
      </c>
      <c r="F34">
        <f>IF(F33&lt;=0,0,MAX(0,AK34-R34))</f>
        <v/>
      </c>
      <c r="G34">
        <f>IF(G33&lt;=0,0,MAX(0,AL34-S34))</f>
        <v/>
      </c>
      <c r="H34">
        <f>IF(H33&lt;=0,0,MAX(0,AM34-T34))</f>
        <v/>
      </c>
      <c r="I34">
        <f>IF(I33&lt;=0,0,MAX(0,AN34-U34))</f>
        <v/>
      </c>
      <c r="J34">
        <f>IF(J33&lt;=0,0,MAX(0,AO34-V34))</f>
        <v/>
      </c>
      <c r="K34">
        <f>IF(K33&lt;=0,0,MAX(0,AP34-W34))</f>
        <v/>
      </c>
      <c r="L34">
        <f>IF(L33&lt;=0,0,MAX(0,AQ34-X34))</f>
        <v/>
      </c>
      <c r="M34">
        <f>IF(M33&lt;=0,0,MAX(0,AR34-Y34))</f>
        <v/>
      </c>
      <c r="N34">
        <f>IF(N33&lt;=0,0,MAX(0,AS34-Z34))</f>
        <v/>
      </c>
      <c r="O34">
        <f>IF(C33&lt;=0,0,MIN(AH34,C$7+IF(C$2=$AA34,$AC34,IF(C$2=$AF34,$AG34,0))))</f>
        <v/>
      </c>
      <c r="P34">
        <f>IF(D33&lt;=0,0,MIN(AI34,D$7+IF(D$2=$AA34,$AC34,IF(D$2=$AF34,$AG34,0))))</f>
        <v/>
      </c>
      <c r="Q34">
        <f>IF(E33&lt;=0,0,MIN(AJ34,E$7+IF(E$2=$AA34,$AC34,IF(E$2=$AF34,$AG34,0))))</f>
        <v/>
      </c>
      <c r="R34">
        <f>IF(F33&lt;=0,0,MIN(AK34,F$7+IF(F$2=$AA34,$AC34,IF(F$2=$AF34,$AG34,0))))</f>
        <v/>
      </c>
      <c r="S34">
        <f>IF(G33&lt;=0,0,MIN(AL34,G$7+IF(G$2=$AA34,$AC34,IF(G$2=$AF34,$AG34,0))))</f>
        <v/>
      </c>
      <c r="T34">
        <f>IF(H33&lt;=0,0,MIN(AM34,H$7+IF(H$2=$AA34,$AC34,IF(H$2=$AF34,$AG34,0))))</f>
        <v/>
      </c>
      <c r="U34">
        <f>IF(I33&lt;=0,0,MIN(AN34,I$7+IF(I$2=$AA34,$AC34,IF(I$2=$AF34,$AG34,0))))</f>
        <v/>
      </c>
      <c r="V34">
        <f>IF(J33&lt;=0,0,MIN(AO34,J$7+IF(J$2=$AA34,$AC34,IF(J$2=$AF34,$AG34,0))))</f>
        <v/>
      </c>
      <c r="W34">
        <f>IF(K33&lt;=0,0,MIN(AP34,K$7+IF(K$2=$AA34,$AC34,IF(K$2=$AF34,$AG34,0))))</f>
        <v/>
      </c>
      <c r="X34">
        <f>IF(L33&lt;=0,0,MIN(AQ34,L$7+IF(L$2=$AA34,$AC34,IF(L$2=$AF34,$AG34,0))))</f>
        <v/>
      </c>
      <c r="Y34">
        <f>IF(M33&lt;=0,0,MIN(AR34,M$7+IF(M$2=$AA34,$AC34,IF(M$2=$AF34,$AG34,0))))</f>
        <v/>
      </c>
      <c r="Z34">
        <f>IF(N33&lt;=0,0,MIN(AS34,N$7+IF(N$2=$AA34,$AC34,IF(N$2=$AF34,$AG34,0))))</f>
        <v/>
      </c>
      <c r="AA34">
        <f>IFERROR(ROUND(1/SUMPRODUCT(MAX((C33:N33&gt;0)*($C$3:$N$3&lt;=B34)/$C$2:$N$2)),0),0)</f>
        <v/>
      </c>
      <c r="AB34">
        <f>SUMPRODUCT((C33:N33&gt;0)*$C$7:$N$7)</f>
        <v/>
      </c>
      <c r="AC34">
        <f>MAX(0,Plan!$C$5-AB34)+IF(A34=Plan!$C$8,N(Plan!$C$7),0)</f>
        <v/>
      </c>
      <c r="AD34">
        <f>SUM(C34:N34)</f>
        <v/>
      </c>
      <c r="AE34">
        <f>SUM(O34:Z34)</f>
        <v/>
      </c>
      <c r="AF34">
        <f>IFERROR(ROUND(1/SUMPRODUCT(MAX((C33:N33&gt;0)*($C$3:$N$3&lt;=B34)*($C$2:$N$2&gt;AA34)/$C$2:$N$2)),0),0)</f>
        <v/>
      </c>
      <c r="AG34">
        <f>MAX(0,AC34-MAX(0,SUMPRODUCT(($C$2:$N$2=AA34)*(AH34:AS34-$C$7:$N$7))))</f>
        <v/>
      </c>
      <c r="AH34">
        <f>IF(C33&lt;=0,0,ROUND(C33*(1+IF(AND(C$6&gt;0,$B34&lt;C$6),C$4,C$5)/12),2))</f>
        <v/>
      </c>
      <c r="AI34">
        <f>IF(D33&lt;=0,0,ROUND(D33*(1+IF(AND(D$6&gt;0,$B34&lt;D$6),D$4,D$5)/12),2))</f>
        <v/>
      </c>
      <c r="AJ34">
        <f>IF(E33&lt;=0,0,ROUND(E33*(1+IF(AND(E$6&gt;0,$B34&lt;E$6),E$4,E$5)/12),2))</f>
        <v/>
      </c>
      <c r="AK34">
        <f>IF(F33&lt;=0,0,ROUND(F33*(1+IF(AND(F$6&gt;0,$B34&lt;F$6),F$4,F$5)/12),2))</f>
        <v/>
      </c>
      <c r="AL34">
        <f>IF(G33&lt;=0,0,ROUND(G33*(1+IF(AND(G$6&gt;0,$B34&lt;G$6),G$4,G$5)/12),2))</f>
        <v/>
      </c>
      <c r="AM34">
        <f>IF(H33&lt;=0,0,ROUND(H33*(1+IF(AND(H$6&gt;0,$B34&lt;H$6),H$4,H$5)/12),2))</f>
        <v/>
      </c>
      <c r="AN34">
        <f>IF(I33&lt;=0,0,ROUND(I33*(1+IF(AND(I$6&gt;0,$B34&lt;I$6),I$4,I$5)/12),2))</f>
        <v/>
      </c>
      <c r="AO34">
        <f>IF(J33&lt;=0,0,ROUND(J33*(1+IF(AND(J$6&gt;0,$B34&lt;J$6),J$4,J$5)/12),2))</f>
        <v/>
      </c>
      <c r="AP34">
        <f>IF(K33&lt;=0,0,ROUND(K33*(1+IF(AND(K$6&gt;0,$B34&lt;K$6),K$4,K$5)/12),2))</f>
        <v/>
      </c>
      <c r="AQ34">
        <f>IF(L33&lt;=0,0,ROUND(L33*(1+IF(AND(L$6&gt;0,$B34&lt;L$6),L$4,L$5)/12),2))</f>
        <v/>
      </c>
      <c r="AR34">
        <f>IF(M33&lt;=0,0,ROUND(M33*(1+IF(AND(M$6&gt;0,$B34&lt;M$6),M$4,M$5)/12),2))</f>
        <v/>
      </c>
      <c r="AS34">
        <f>IF(N33&lt;=0,0,ROUND(N33*(1+IF(AND(N$6&gt;0,$B34&lt;N$6),N$4,N$5)/12),2))</f>
        <v/>
      </c>
    </row>
    <row r="35">
      <c r="A35" t="n">
        <v>24</v>
      </c>
      <c r="B35">
        <f>EDATE(Plan!$C$6,23)</f>
        <v/>
      </c>
      <c r="C35">
        <f>IF(C34&lt;=0,0,MAX(0,AH35-O35))</f>
        <v/>
      </c>
      <c r="D35">
        <f>IF(D34&lt;=0,0,MAX(0,AI35-P35))</f>
        <v/>
      </c>
      <c r="E35">
        <f>IF(E34&lt;=0,0,MAX(0,AJ35-Q35))</f>
        <v/>
      </c>
      <c r="F35">
        <f>IF(F34&lt;=0,0,MAX(0,AK35-R35))</f>
        <v/>
      </c>
      <c r="G35">
        <f>IF(G34&lt;=0,0,MAX(0,AL35-S35))</f>
        <v/>
      </c>
      <c r="H35">
        <f>IF(H34&lt;=0,0,MAX(0,AM35-T35))</f>
        <v/>
      </c>
      <c r="I35">
        <f>IF(I34&lt;=0,0,MAX(0,AN35-U35))</f>
        <v/>
      </c>
      <c r="J35">
        <f>IF(J34&lt;=0,0,MAX(0,AO35-V35))</f>
        <v/>
      </c>
      <c r="K35">
        <f>IF(K34&lt;=0,0,MAX(0,AP35-W35))</f>
        <v/>
      </c>
      <c r="L35">
        <f>IF(L34&lt;=0,0,MAX(0,AQ35-X35))</f>
        <v/>
      </c>
      <c r="M35">
        <f>IF(M34&lt;=0,0,MAX(0,AR35-Y35))</f>
        <v/>
      </c>
      <c r="N35">
        <f>IF(N34&lt;=0,0,MAX(0,AS35-Z35))</f>
        <v/>
      </c>
      <c r="O35">
        <f>IF(C34&lt;=0,0,MIN(AH35,C$7+IF(C$2=$AA35,$AC35,IF(C$2=$AF35,$AG35,0))))</f>
        <v/>
      </c>
      <c r="P35">
        <f>IF(D34&lt;=0,0,MIN(AI35,D$7+IF(D$2=$AA35,$AC35,IF(D$2=$AF35,$AG35,0))))</f>
        <v/>
      </c>
      <c r="Q35">
        <f>IF(E34&lt;=0,0,MIN(AJ35,E$7+IF(E$2=$AA35,$AC35,IF(E$2=$AF35,$AG35,0))))</f>
        <v/>
      </c>
      <c r="R35">
        <f>IF(F34&lt;=0,0,MIN(AK35,F$7+IF(F$2=$AA35,$AC35,IF(F$2=$AF35,$AG35,0))))</f>
        <v/>
      </c>
      <c r="S35">
        <f>IF(G34&lt;=0,0,MIN(AL35,G$7+IF(G$2=$AA35,$AC35,IF(G$2=$AF35,$AG35,0))))</f>
        <v/>
      </c>
      <c r="T35">
        <f>IF(H34&lt;=0,0,MIN(AM35,H$7+IF(H$2=$AA35,$AC35,IF(H$2=$AF35,$AG35,0))))</f>
        <v/>
      </c>
      <c r="U35">
        <f>IF(I34&lt;=0,0,MIN(AN35,I$7+IF(I$2=$AA35,$AC35,IF(I$2=$AF35,$AG35,0))))</f>
        <v/>
      </c>
      <c r="V35">
        <f>IF(J34&lt;=0,0,MIN(AO35,J$7+IF(J$2=$AA35,$AC35,IF(J$2=$AF35,$AG35,0))))</f>
        <v/>
      </c>
      <c r="W35">
        <f>IF(K34&lt;=0,0,MIN(AP35,K$7+IF(K$2=$AA35,$AC35,IF(K$2=$AF35,$AG35,0))))</f>
        <v/>
      </c>
      <c r="X35">
        <f>IF(L34&lt;=0,0,MIN(AQ35,L$7+IF(L$2=$AA35,$AC35,IF(L$2=$AF35,$AG35,0))))</f>
        <v/>
      </c>
      <c r="Y35">
        <f>IF(M34&lt;=0,0,MIN(AR35,M$7+IF(M$2=$AA35,$AC35,IF(M$2=$AF35,$AG35,0))))</f>
        <v/>
      </c>
      <c r="Z35">
        <f>IF(N34&lt;=0,0,MIN(AS35,N$7+IF(N$2=$AA35,$AC35,IF(N$2=$AF35,$AG35,0))))</f>
        <v/>
      </c>
      <c r="AA35">
        <f>IFERROR(ROUND(1/SUMPRODUCT(MAX((C34:N34&gt;0)*($C$3:$N$3&lt;=B35)/$C$2:$N$2)),0),0)</f>
        <v/>
      </c>
      <c r="AB35">
        <f>SUMPRODUCT((C34:N34&gt;0)*$C$7:$N$7)</f>
        <v/>
      </c>
      <c r="AC35">
        <f>MAX(0,Plan!$C$5-AB35)+IF(A35=Plan!$C$8,N(Plan!$C$7),0)</f>
        <v/>
      </c>
      <c r="AD35">
        <f>SUM(C35:N35)</f>
        <v/>
      </c>
      <c r="AE35">
        <f>SUM(O35:Z35)</f>
        <v/>
      </c>
      <c r="AF35">
        <f>IFERROR(ROUND(1/SUMPRODUCT(MAX((C34:N34&gt;0)*($C$3:$N$3&lt;=B35)*($C$2:$N$2&gt;AA35)/$C$2:$N$2)),0),0)</f>
        <v/>
      </c>
      <c r="AG35">
        <f>MAX(0,AC35-MAX(0,SUMPRODUCT(($C$2:$N$2=AA35)*(AH35:AS35-$C$7:$N$7))))</f>
        <v/>
      </c>
      <c r="AH35">
        <f>IF(C34&lt;=0,0,ROUND(C34*(1+IF(AND(C$6&gt;0,$B35&lt;C$6),C$4,C$5)/12),2))</f>
        <v/>
      </c>
      <c r="AI35">
        <f>IF(D34&lt;=0,0,ROUND(D34*(1+IF(AND(D$6&gt;0,$B35&lt;D$6),D$4,D$5)/12),2))</f>
        <v/>
      </c>
      <c r="AJ35">
        <f>IF(E34&lt;=0,0,ROUND(E34*(1+IF(AND(E$6&gt;0,$B35&lt;E$6),E$4,E$5)/12),2))</f>
        <v/>
      </c>
      <c r="AK35">
        <f>IF(F34&lt;=0,0,ROUND(F34*(1+IF(AND(F$6&gt;0,$B35&lt;F$6),F$4,F$5)/12),2))</f>
        <v/>
      </c>
      <c r="AL35">
        <f>IF(G34&lt;=0,0,ROUND(G34*(1+IF(AND(G$6&gt;0,$B35&lt;G$6),G$4,G$5)/12),2))</f>
        <v/>
      </c>
      <c r="AM35">
        <f>IF(H34&lt;=0,0,ROUND(H34*(1+IF(AND(H$6&gt;0,$B35&lt;H$6),H$4,H$5)/12),2))</f>
        <v/>
      </c>
      <c r="AN35">
        <f>IF(I34&lt;=0,0,ROUND(I34*(1+IF(AND(I$6&gt;0,$B35&lt;I$6),I$4,I$5)/12),2))</f>
        <v/>
      </c>
      <c r="AO35">
        <f>IF(J34&lt;=0,0,ROUND(J34*(1+IF(AND(J$6&gt;0,$B35&lt;J$6),J$4,J$5)/12),2))</f>
        <v/>
      </c>
      <c r="AP35">
        <f>IF(K34&lt;=0,0,ROUND(K34*(1+IF(AND(K$6&gt;0,$B35&lt;K$6),K$4,K$5)/12),2))</f>
        <v/>
      </c>
      <c r="AQ35">
        <f>IF(L34&lt;=0,0,ROUND(L34*(1+IF(AND(L$6&gt;0,$B35&lt;L$6),L$4,L$5)/12),2))</f>
        <v/>
      </c>
      <c r="AR35">
        <f>IF(M34&lt;=0,0,ROUND(M34*(1+IF(AND(M$6&gt;0,$B35&lt;M$6),M$4,M$5)/12),2))</f>
        <v/>
      </c>
      <c r="AS35">
        <f>IF(N34&lt;=0,0,ROUND(N34*(1+IF(AND(N$6&gt;0,$B35&lt;N$6),N$4,N$5)/12),2))</f>
        <v/>
      </c>
    </row>
    <row r="36">
      <c r="A36" t="n">
        <v>25</v>
      </c>
      <c r="B36">
        <f>EDATE(Plan!$C$6,24)</f>
        <v/>
      </c>
      <c r="C36">
        <f>IF(C35&lt;=0,0,MAX(0,AH36-O36))</f>
        <v/>
      </c>
      <c r="D36">
        <f>IF(D35&lt;=0,0,MAX(0,AI36-P36))</f>
        <v/>
      </c>
      <c r="E36">
        <f>IF(E35&lt;=0,0,MAX(0,AJ36-Q36))</f>
        <v/>
      </c>
      <c r="F36">
        <f>IF(F35&lt;=0,0,MAX(0,AK36-R36))</f>
        <v/>
      </c>
      <c r="G36">
        <f>IF(G35&lt;=0,0,MAX(0,AL36-S36))</f>
        <v/>
      </c>
      <c r="H36">
        <f>IF(H35&lt;=0,0,MAX(0,AM36-T36))</f>
        <v/>
      </c>
      <c r="I36">
        <f>IF(I35&lt;=0,0,MAX(0,AN36-U36))</f>
        <v/>
      </c>
      <c r="J36">
        <f>IF(J35&lt;=0,0,MAX(0,AO36-V36))</f>
        <v/>
      </c>
      <c r="K36">
        <f>IF(K35&lt;=0,0,MAX(0,AP36-W36))</f>
        <v/>
      </c>
      <c r="L36">
        <f>IF(L35&lt;=0,0,MAX(0,AQ36-X36))</f>
        <v/>
      </c>
      <c r="M36">
        <f>IF(M35&lt;=0,0,MAX(0,AR36-Y36))</f>
        <v/>
      </c>
      <c r="N36">
        <f>IF(N35&lt;=0,0,MAX(0,AS36-Z36))</f>
        <v/>
      </c>
      <c r="O36">
        <f>IF(C35&lt;=0,0,MIN(AH36,C$7+IF(C$2=$AA36,$AC36,IF(C$2=$AF36,$AG36,0))))</f>
        <v/>
      </c>
      <c r="P36">
        <f>IF(D35&lt;=0,0,MIN(AI36,D$7+IF(D$2=$AA36,$AC36,IF(D$2=$AF36,$AG36,0))))</f>
        <v/>
      </c>
      <c r="Q36">
        <f>IF(E35&lt;=0,0,MIN(AJ36,E$7+IF(E$2=$AA36,$AC36,IF(E$2=$AF36,$AG36,0))))</f>
        <v/>
      </c>
      <c r="R36">
        <f>IF(F35&lt;=0,0,MIN(AK36,F$7+IF(F$2=$AA36,$AC36,IF(F$2=$AF36,$AG36,0))))</f>
        <v/>
      </c>
      <c r="S36">
        <f>IF(G35&lt;=0,0,MIN(AL36,G$7+IF(G$2=$AA36,$AC36,IF(G$2=$AF36,$AG36,0))))</f>
        <v/>
      </c>
      <c r="T36">
        <f>IF(H35&lt;=0,0,MIN(AM36,H$7+IF(H$2=$AA36,$AC36,IF(H$2=$AF36,$AG36,0))))</f>
        <v/>
      </c>
      <c r="U36">
        <f>IF(I35&lt;=0,0,MIN(AN36,I$7+IF(I$2=$AA36,$AC36,IF(I$2=$AF36,$AG36,0))))</f>
        <v/>
      </c>
      <c r="V36">
        <f>IF(J35&lt;=0,0,MIN(AO36,J$7+IF(J$2=$AA36,$AC36,IF(J$2=$AF36,$AG36,0))))</f>
        <v/>
      </c>
      <c r="W36">
        <f>IF(K35&lt;=0,0,MIN(AP36,K$7+IF(K$2=$AA36,$AC36,IF(K$2=$AF36,$AG36,0))))</f>
        <v/>
      </c>
      <c r="X36">
        <f>IF(L35&lt;=0,0,MIN(AQ36,L$7+IF(L$2=$AA36,$AC36,IF(L$2=$AF36,$AG36,0))))</f>
        <v/>
      </c>
      <c r="Y36">
        <f>IF(M35&lt;=0,0,MIN(AR36,M$7+IF(M$2=$AA36,$AC36,IF(M$2=$AF36,$AG36,0))))</f>
        <v/>
      </c>
      <c r="Z36">
        <f>IF(N35&lt;=0,0,MIN(AS36,N$7+IF(N$2=$AA36,$AC36,IF(N$2=$AF36,$AG36,0))))</f>
        <v/>
      </c>
      <c r="AA36">
        <f>IFERROR(ROUND(1/SUMPRODUCT(MAX((C35:N35&gt;0)*($C$3:$N$3&lt;=B36)/$C$2:$N$2)),0),0)</f>
        <v/>
      </c>
      <c r="AB36">
        <f>SUMPRODUCT((C35:N35&gt;0)*$C$7:$N$7)</f>
        <v/>
      </c>
      <c r="AC36">
        <f>MAX(0,Plan!$C$5-AB36)+IF(A36=Plan!$C$8,N(Plan!$C$7),0)</f>
        <v/>
      </c>
      <c r="AD36">
        <f>SUM(C36:N36)</f>
        <v/>
      </c>
      <c r="AE36">
        <f>SUM(O36:Z36)</f>
        <v/>
      </c>
      <c r="AF36">
        <f>IFERROR(ROUND(1/SUMPRODUCT(MAX((C35:N35&gt;0)*($C$3:$N$3&lt;=B36)*($C$2:$N$2&gt;AA36)/$C$2:$N$2)),0),0)</f>
        <v/>
      </c>
      <c r="AG36">
        <f>MAX(0,AC36-MAX(0,SUMPRODUCT(($C$2:$N$2=AA36)*(AH36:AS36-$C$7:$N$7))))</f>
        <v/>
      </c>
      <c r="AH36">
        <f>IF(C35&lt;=0,0,ROUND(C35*(1+IF(AND(C$6&gt;0,$B36&lt;C$6),C$4,C$5)/12),2))</f>
        <v/>
      </c>
      <c r="AI36">
        <f>IF(D35&lt;=0,0,ROUND(D35*(1+IF(AND(D$6&gt;0,$B36&lt;D$6),D$4,D$5)/12),2))</f>
        <v/>
      </c>
      <c r="AJ36">
        <f>IF(E35&lt;=0,0,ROUND(E35*(1+IF(AND(E$6&gt;0,$B36&lt;E$6),E$4,E$5)/12),2))</f>
        <v/>
      </c>
      <c r="AK36">
        <f>IF(F35&lt;=0,0,ROUND(F35*(1+IF(AND(F$6&gt;0,$B36&lt;F$6),F$4,F$5)/12),2))</f>
        <v/>
      </c>
      <c r="AL36">
        <f>IF(G35&lt;=0,0,ROUND(G35*(1+IF(AND(G$6&gt;0,$B36&lt;G$6),G$4,G$5)/12),2))</f>
        <v/>
      </c>
      <c r="AM36">
        <f>IF(H35&lt;=0,0,ROUND(H35*(1+IF(AND(H$6&gt;0,$B36&lt;H$6),H$4,H$5)/12),2))</f>
        <v/>
      </c>
      <c r="AN36">
        <f>IF(I35&lt;=0,0,ROUND(I35*(1+IF(AND(I$6&gt;0,$B36&lt;I$6),I$4,I$5)/12),2))</f>
        <v/>
      </c>
      <c r="AO36">
        <f>IF(J35&lt;=0,0,ROUND(J35*(1+IF(AND(J$6&gt;0,$B36&lt;J$6),J$4,J$5)/12),2))</f>
        <v/>
      </c>
      <c r="AP36">
        <f>IF(K35&lt;=0,0,ROUND(K35*(1+IF(AND(K$6&gt;0,$B36&lt;K$6),K$4,K$5)/12),2))</f>
        <v/>
      </c>
      <c r="AQ36">
        <f>IF(L35&lt;=0,0,ROUND(L35*(1+IF(AND(L$6&gt;0,$B36&lt;L$6),L$4,L$5)/12),2))</f>
        <v/>
      </c>
      <c r="AR36">
        <f>IF(M35&lt;=0,0,ROUND(M35*(1+IF(AND(M$6&gt;0,$B36&lt;M$6),M$4,M$5)/12),2))</f>
        <v/>
      </c>
      <c r="AS36">
        <f>IF(N35&lt;=0,0,ROUND(N35*(1+IF(AND(N$6&gt;0,$B36&lt;N$6),N$4,N$5)/12),2))</f>
        <v/>
      </c>
    </row>
    <row r="37">
      <c r="A37" t="n">
        <v>26</v>
      </c>
      <c r="B37">
        <f>EDATE(Plan!$C$6,25)</f>
        <v/>
      </c>
      <c r="C37">
        <f>IF(C36&lt;=0,0,MAX(0,AH37-O37))</f>
        <v/>
      </c>
      <c r="D37">
        <f>IF(D36&lt;=0,0,MAX(0,AI37-P37))</f>
        <v/>
      </c>
      <c r="E37">
        <f>IF(E36&lt;=0,0,MAX(0,AJ37-Q37))</f>
        <v/>
      </c>
      <c r="F37">
        <f>IF(F36&lt;=0,0,MAX(0,AK37-R37))</f>
        <v/>
      </c>
      <c r="G37">
        <f>IF(G36&lt;=0,0,MAX(0,AL37-S37))</f>
        <v/>
      </c>
      <c r="H37">
        <f>IF(H36&lt;=0,0,MAX(0,AM37-T37))</f>
        <v/>
      </c>
      <c r="I37">
        <f>IF(I36&lt;=0,0,MAX(0,AN37-U37))</f>
        <v/>
      </c>
      <c r="J37">
        <f>IF(J36&lt;=0,0,MAX(0,AO37-V37))</f>
        <v/>
      </c>
      <c r="K37">
        <f>IF(K36&lt;=0,0,MAX(0,AP37-W37))</f>
        <v/>
      </c>
      <c r="L37">
        <f>IF(L36&lt;=0,0,MAX(0,AQ37-X37))</f>
        <v/>
      </c>
      <c r="M37">
        <f>IF(M36&lt;=0,0,MAX(0,AR37-Y37))</f>
        <v/>
      </c>
      <c r="N37">
        <f>IF(N36&lt;=0,0,MAX(0,AS37-Z37))</f>
        <v/>
      </c>
      <c r="O37">
        <f>IF(C36&lt;=0,0,MIN(AH37,C$7+IF(C$2=$AA37,$AC37,IF(C$2=$AF37,$AG37,0))))</f>
        <v/>
      </c>
      <c r="P37">
        <f>IF(D36&lt;=0,0,MIN(AI37,D$7+IF(D$2=$AA37,$AC37,IF(D$2=$AF37,$AG37,0))))</f>
        <v/>
      </c>
      <c r="Q37">
        <f>IF(E36&lt;=0,0,MIN(AJ37,E$7+IF(E$2=$AA37,$AC37,IF(E$2=$AF37,$AG37,0))))</f>
        <v/>
      </c>
      <c r="R37">
        <f>IF(F36&lt;=0,0,MIN(AK37,F$7+IF(F$2=$AA37,$AC37,IF(F$2=$AF37,$AG37,0))))</f>
        <v/>
      </c>
      <c r="S37">
        <f>IF(G36&lt;=0,0,MIN(AL37,G$7+IF(G$2=$AA37,$AC37,IF(G$2=$AF37,$AG37,0))))</f>
        <v/>
      </c>
      <c r="T37">
        <f>IF(H36&lt;=0,0,MIN(AM37,H$7+IF(H$2=$AA37,$AC37,IF(H$2=$AF37,$AG37,0))))</f>
        <v/>
      </c>
      <c r="U37">
        <f>IF(I36&lt;=0,0,MIN(AN37,I$7+IF(I$2=$AA37,$AC37,IF(I$2=$AF37,$AG37,0))))</f>
        <v/>
      </c>
      <c r="V37">
        <f>IF(J36&lt;=0,0,MIN(AO37,J$7+IF(J$2=$AA37,$AC37,IF(J$2=$AF37,$AG37,0))))</f>
        <v/>
      </c>
      <c r="W37">
        <f>IF(K36&lt;=0,0,MIN(AP37,K$7+IF(K$2=$AA37,$AC37,IF(K$2=$AF37,$AG37,0))))</f>
        <v/>
      </c>
      <c r="X37">
        <f>IF(L36&lt;=0,0,MIN(AQ37,L$7+IF(L$2=$AA37,$AC37,IF(L$2=$AF37,$AG37,0))))</f>
        <v/>
      </c>
      <c r="Y37">
        <f>IF(M36&lt;=0,0,MIN(AR37,M$7+IF(M$2=$AA37,$AC37,IF(M$2=$AF37,$AG37,0))))</f>
        <v/>
      </c>
      <c r="Z37">
        <f>IF(N36&lt;=0,0,MIN(AS37,N$7+IF(N$2=$AA37,$AC37,IF(N$2=$AF37,$AG37,0))))</f>
        <v/>
      </c>
      <c r="AA37">
        <f>IFERROR(ROUND(1/SUMPRODUCT(MAX((C36:N36&gt;0)*($C$3:$N$3&lt;=B37)/$C$2:$N$2)),0),0)</f>
        <v/>
      </c>
      <c r="AB37">
        <f>SUMPRODUCT((C36:N36&gt;0)*$C$7:$N$7)</f>
        <v/>
      </c>
      <c r="AC37">
        <f>MAX(0,Plan!$C$5-AB37)+IF(A37=Plan!$C$8,N(Plan!$C$7),0)</f>
        <v/>
      </c>
      <c r="AD37">
        <f>SUM(C37:N37)</f>
        <v/>
      </c>
      <c r="AE37">
        <f>SUM(O37:Z37)</f>
        <v/>
      </c>
      <c r="AF37">
        <f>IFERROR(ROUND(1/SUMPRODUCT(MAX((C36:N36&gt;0)*($C$3:$N$3&lt;=B37)*($C$2:$N$2&gt;AA37)/$C$2:$N$2)),0),0)</f>
        <v/>
      </c>
      <c r="AG37">
        <f>MAX(0,AC37-MAX(0,SUMPRODUCT(($C$2:$N$2=AA37)*(AH37:AS37-$C$7:$N$7))))</f>
        <v/>
      </c>
      <c r="AH37">
        <f>IF(C36&lt;=0,0,ROUND(C36*(1+IF(AND(C$6&gt;0,$B37&lt;C$6),C$4,C$5)/12),2))</f>
        <v/>
      </c>
      <c r="AI37">
        <f>IF(D36&lt;=0,0,ROUND(D36*(1+IF(AND(D$6&gt;0,$B37&lt;D$6),D$4,D$5)/12),2))</f>
        <v/>
      </c>
      <c r="AJ37">
        <f>IF(E36&lt;=0,0,ROUND(E36*(1+IF(AND(E$6&gt;0,$B37&lt;E$6),E$4,E$5)/12),2))</f>
        <v/>
      </c>
      <c r="AK37">
        <f>IF(F36&lt;=0,0,ROUND(F36*(1+IF(AND(F$6&gt;0,$B37&lt;F$6),F$4,F$5)/12),2))</f>
        <v/>
      </c>
      <c r="AL37">
        <f>IF(G36&lt;=0,0,ROUND(G36*(1+IF(AND(G$6&gt;0,$B37&lt;G$6),G$4,G$5)/12),2))</f>
        <v/>
      </c>
      <c r="AM37">
        <f>IF(H36&lt;=0,0,ROUND(H36*(1+IF(AND(H$6&gt;0,$B37&lt;H$6),H$4,H$5)/12),2))</f>
        <v/>
      </c>
      <c r="AN37">
        <f>IF(I36&lt;=0,0,ROUND(I36*(1+IF(AND(I$6&gt;0,$B37&lt;I$6),I$4,I$5)/12),2))</f>
        <v/>
      </c>
      <c r="AO37">
        <f>IF(J36&lt;=0,0,ROUND(J36*(1+IF(AND(J$6&gt;0,$B37&lt;J$6),J$4,J$5)/12),2))</f>
        <v/>
      </c>
      <c r="AP37">
        <f>IF(K36&lt;=0,0,ROUND(K36*(1+IF(AND(K$6&gt;0,$B37&lt;K$6),K$4,K$5)/12),2))</f>
        <v/>
      </c>
      <c r="AQ37">
        <f>IF(L36&lt;=0,0,ROUND(L36*(1+IF(AND(L$6&gt;0,$B37&lt;L$6),L$4,L$5)/12),2))</f>
        <v/>
      </c>
      <c r="AR37">
        <f>IF(M36&lt;=0,0,ROUND(M36*(1+IF(AND(M$6&gt;0,$B37&lt;M$6),M$4,M$5)/12),2))</f>
        <v/>
      </c>
      <c r="AS37">
        <f>IF(N36&lt;=0,0,ROUND(N36*(1+IF(AND(N$6&gt;0,$B37&lt;N$6),N$4,N$5)/12),2))</f>
        <v/>
      </c>
    </row>
    <row r="38">
      <c r="A38" t="n">
        <v>27</v>
      </c>
      <c r="B38">
        <f>EDATE(Plan!$C$6,26)</f>
        <v/>
      </c>
      <c r="C38">
        <f>IF(C37&lt;=0,0,MAX(0,AH38-O38))</f>
        <v/>
      </c>
      <c r="D38">
        <f>IF(D37&lt;=0,0,MAX(0,AI38-P38))</f>
        <v/>
      </c>
      <c r="E38">
        <f>IF(E37&lt;=0,0,MAX(0,AJ38-Q38))</f>
        <v/>
      </c>
      <c r="F38">
        <f>IF(F37&lt;=0,0,MAX(0,AK38-R38))</f>
        <v/>
      </c>
      <c r="G38">
        <f>IF(G37&lt;=0,0,MAX(0,AL38-S38))</f>
        <v/>
      </c>
      <c r="H38">
        <f>IF(H37&lt;=0,0,MAX(0,AM38-T38))</f>
        <v/>
      </c>
      <c r="I38">
        <f>IF(I37&lt;=0,0,MAX(0,AN38-U38))</f>
        <v/>
      </c>
      <c r="J38">
        <f>IF(J37&lt;=0,0,MAX(0,AO38-V38))</f>
        <v/>
      </c>
      <c r="K38">
        <f>IF(K37&lt;=0,0,MAX(0,AP38-W38))</f>
        <v/>
      </c>
      <c r="L38">
        <f>IF(L37&lt;=0,0,MAX(0,AQ38-X38))</f>
        <v/>
      </c>
      <c r="M38">
        <f>IF(M37&lt;=0,0,MAX(0,AR38-Y38))</f>
        <v/>
      </c>
      <c r="N38">
        <f>IF(N37&lt;=0,0,MAX(0,AS38-Z38))</f>
        <v/>
      </c>
      <c r="O38">
        <f>IF(C37&lt;=0,0,MIN(AH38,C$7+IF(C$2=$AA38,$AC38,IF(C$2=$AF38,$AG38,0))))</f>
        <v/>
      </c>
      <c r="P38">
        <f>IF(D37&lt;=0,0,MIN(AI38,D$7+IF(D$2=$AA38,$AC38,IF(D$2=$AF38,$AG38,0))))</f>
        <v/>
      </c>
      <c r="Q38">
        <f>IF(E37&lt;=0,0,MIN(AJ38,E$7+IF(E$2=$AA38,$AC38,IF(E$2=$AF38,$AG38,0))))</f>
        <v/>
      </c>
      <c r="R38">
        <f>IF(F37&lt;=0,0,MIN(AK38,F$7+IF(F$2=$AA38,$AC38,IF(F$2=$AF38,$AG38,0))))</f>
        <v/>
      </c>
      <c r="S38">
        <f>IF(G37&lt;=0,0,MIN(AL38,G$7+IF(G$2=$AA38,$AC38,IF(G$2=$AF38,$AG38,0))))</f>
        <v/>
      </c>
      <c r="T38">
        <f>IF(H37&lt;=0,0,MIN(AM38,H$7+IF(H$2=$AA38,$AC38,IF(H$2=$AF38,$AG38,0))))</f>
        <v/>
      </c>
      <c r="U38">
        <f>IF(I37&lt;=0,0,MIN(AN38,I$7+IF(I$2=$AA38,$AC38,IF(I$2=$AF38,$AG38,0))))</f>
        <v/>
      </c>
      <c r="V38">
        <f>IF(J37&lt;=0,0,MIN(AO38,J$7+IF(J$2=$AA38,$AC38,IF(J$2=$AF38,$AG38,0))))</f>
        <v/>
      </c>
      <c r="W38">
        <f>IF(K37&lt;=0,0,MIN(AP38,K$7+IF(K$2=$AA38,$AC38,IF(K$2=$AF38,$AG38,0))))</f>
        <v/>
      </c>
      <c r="X38">
        <f>IF(L37&lt;=0,0,MIN(AQ38,L$7+IF(L$2=$AA38,$AC38,IF(L$2=$AF38,$AG38,0))))</f>
        <v/>
      </c>
      <c r="Y38">
        <f>IF(M37&lt;=0,0,MIN(AR38,M$7+IF(M$2=$AA38,$AC38,IF(M$2=$AF38,$AG38,0))))</f>
        <v/>
      </c>
      <c r="Z38">
        <f>IF(N37&lt;=0,0,MIN(AS38,N$7+IF(N$2=$AA38,$AC38,IF(N$2=$AF38,$AG38,0))))</f>
        <v/>
      </c>
      <c r="AA38">
        <f>IFERROR(ROUND(1/SUMPRODUCT(MAX((C37:N37&gt;0)*($C$3:$N$3&lt;=B38)/$C$2:$N$2)),0),0)</f>
        <v/>
      </c>
      <c r="AB38">
        <f>SUMPRODUCT((C37:N37&gt;0)*$C$7:$N$7)</f>
        <v/>
      </c>
      <c r="AC38">
        <f>MAX(0,Plan!$C$5-AB38)+IF(A38=Plan!$C$8,N(Plan!$C$7),0)</f>
        <v/>
      </c>
      <c r="AD38">
        <f>SUM(C38:N38)</f>
        <v/>
      </c>
      <c r="AE38">
        <f>SUM(O38:Z38)</f>
        <v/>
      </c>
      <c r="AF38">
        <f>IFERROR(ROUND(1/SUMPRODUCT(MAX((C37:N37&gt;0)*($C$3:$N$3&lt;=B38)*($C$2:$N$2&gt;AA38)/$C$2:$N$2)),0),0)</f>
        <v/>
      </c>
      <c r="AG38">
        <f>MAX(0,AC38-MAX(0,SUMPRODUCT(($C$2:$N$2=AA38)*(AH38:AS38-$C$7:$N$7))))</f>
        <v/>
      </c>
      <c r="AH38">
        <f>IF(C37&lt;=0,0,ROUND(C37*(1+IF(AND(C$6&gt;0,$B38&lt;C$6),C$4,C$5)/12),2))</f>
        <v/>
      </c>
      <c r="AI38">
        <f>IF(D37&lt;=0,0,ROUND(D37*(1+IF(AND(D$6&gt;0,$B38&lt;D$6),D$4,D$5)/12),2))</f>
        <v/>
      </c>
      <c r="AJ38">
        <f>IF(E37&lt;=0,0,ROUND(E37*(1+IF(AND(E$6&gt;0,$B38&lt;E$6),E$4,E$5)/12),2))</f>
        <v/>
      </c>
      <c r="AK38">
        <f>IF(F37&lt;=0,0,ROUND(F37*(1+IF(AND(F$6&gt;0,$B38&lt;F$6),F$4,F$5)/12),2))</f>
        <v/>
      </c>
      <c r="AL38">
        <f>IF(G37&lt;=0,0,ROUND(G37*(1+IF(AND(G$6&gt;0,$B38&lt;G$6),G$4,G$5)/12),2))</f>
        <v/>
      </c>
      <c r="AM38">
        <f>IF(H37&lt;=0,0,ROUND(H37*(1+IF(AND(H$6&gt;0,$B38&lt;H$6),H$4,H$5)/12),2))</f>
        <v/>
      </c>
      <c r="AN38">
        <f>IF(I37&lt;=0,0,ROUND(I37*(1+IF(AND(I$6&gt;0,$B38&lt;I$6),I$4,I$5)/12),2))</f>
        <v/>
      </c>
      <c r="AO38">
        <f>IF(J37&lt;=0,0,ROUND(J37*(1+IF(AND(J$6&gt;0,$B38&lt;J$6),J$4,J$5)/12),2))</f>
        <v/>
      </c>
      <c r="AP38">
        <f>IF(K37&lt;=0,0,ROUND(K37*(1+IF(AND(K$6&gt;0,$B38&lt;K$6),K$4,K$5)/12),2))</f>
        <v/>
      </c>
      <c r="AQ38">
        <f>IF(L37&lt;=0,0,ROUND(L37*(1+IF(AND(L$6&gt;0,$B38&lt;L$6),L$4,L$5)/12),2))</f>
        <v/>
      </c>
      <c r="AR38">
        <f>IF(M37&lt;=0,0,ROUND(M37*(1+IF(AND(M$6&gt;0,$B38&lt;M$6),M$4,M$5)/12),2))</f>
        <v/>
      </c>
      <c r="AS38">
        <f>IF(N37&lt;=0,0,ROUND(N37*(1+IF(AND(N$6&gt;0,$B38&lt;N$6),N$4,N$5)/12),2))</f>
        <v/>
      </c>
    </row>
    <row r="39">
      <c r="A39" t="n">
        <v>28</v>
      </c>
      <c r="B39">
        <f>EDATE(Plan!$C$6,27)</f>
        <v/>
      </c>
      <c r="C39">
        <f>IF(C38&lt;=0,0,MAX(0,AH39-O39))</f>
        <v/>
      </c>
      <c r="D39">
        <f>IF(D38&lt;=0,0,MAX(0,AI39-P39))</f>
        <v/>
      </c>
      <c r="E39">
        <f>IF(E38&lt;=0,0,MAX(0,AJ39-Q39))</f>
        <v/>
      </c>
      <c r="F39">
        <f>IF(F38&lt;=0,0,MAX(0,AK39-R39))</f>
        <v/>
      </c>
      <c r="G39">
        <f>IF(G38&lt;=0,0,MAX(0,AL39-S39))</f>
        <v/>
      </c>
      <c r="H39">
        <f>IF(H38&lt;=0,0,MAX(0,AM39-T39))</f>
        <v/>
      </c>
      <c r="I39">
        <f>IF(I38&lt;=0,0,MAX(0,AN39-U39))</f>
        <v/>
      </c>
      <c r="J39">
        <f>IF(J38&lt;=0,0,MAX(0,AO39-V39))</f>
        <v/>
      </c>
      <c r="K39">
        <f>IF(K38&lt;=0,0,MAX(0,AP39-W39))</f>
        <v/>
      </c>
      <c r="L39">
        <f>IF(L38&lt;=0,0,MAX(0,AQ39-X39))</f>
        <v/>
      </c>
      <c r="M39">
        <f>IF(M38&lt;=0,0,MAX(0,AR39-Y39))</f>
        <v/>
      </c>
      <c r="N39">
        <f>IF(N38&lt;=0,0,MAX(0,AS39-Z39))</f>
        <v/>
      </c>
      <c r="O39">
        <f>IF(C38&lt;=0,0,MIN(AH39,C$7+IF(C$2=$AA39,$AC39,IF(C$2=$AF39,$AG39,0))))</f>
        <v/>
      </c>
      <c r="P39">
        <f>IF(D38&lt;=0,0,MIN(AI39,D$7+IF(D$2=$AA39,$AC39,IF(D$2=$AF39,$AG39,0))))</f>
        <v/>
      </c>
      <c r="Q39">
        <f>IF(E38&lt;=0,0,MIN(AJ39,E$7+IF(E$2=$AA39,$AC39,IF(E$2=$AF39,$AG39,0))))</f>
        <v/>
      </c>
      <c r="R39">
        <f>IF(F38&lt;=0,0,MIN(AK39,F$7+IF(F$2=$AA39,$AC39,IF(F$2=$AF39,$AG39,0))))</f>
        <v/>
      </c>
      <c r="S39">
        <f>IF(G38&lt;=0,0,MIN(AL39,G$7+IF(G$2=$AA39,$AC39,IF(G$2=$AF39,$AG39,0))))</f>
        <v/>
      </c>
      <c r="T39">
        <f>IF(H38&lt;=0,0,MIN(AM39,H$7+IF(H$2=$AA39,$AC39,IF(H$2=$AF39,$AG39,0))))</f>
        <v/>
      </c>
      <c r="U39">
        <f>IF(I38&lt;=0,0,MIN(AN39,I$7+IF(I$2=$AA39,$AC39,IF(I$2=$AF39,$AG39,0))))</f>
        <v/>
      </c>
      <c r="V39">
        <f>IF(J38&lt;=0,0,MIN(AO39,J$7+IF(J$2=$AA39,$AC39,IF(J$2=$AF39,$AG39,0))))</f>
        <v/>
      </c>
      <c r="W39">
        <f>IF(K38&lt;=0,0,MIN(AP39,K$7+IF(K$2=$AA39,$AC39,IF(K$2=$AF39,$AG39,0))))</f>
        <v/>
      </c>
      <c r="X39">
        <f>IF(L38&lt;=0,0,MIN(AQ39,L$7+IF(L$2=$AA39,$AC39,IF(L$2=$AF39,$AG39,0))))</f>
        <v/>
      </c>
      <c r="Y39">
        <f>IF(M38&lt;=0,0,MIN(AR39,M$7+IF(M$2=$AA39,$AC39,IF(M$2=$AF39,$AG39,0))))</f>
        <v/>
      </c>
      <c r="Z39">
        <f>IF(N38&lt;=0,0,MIN(AS39,N$7+IF(N$2=$AA39,$AC39,IF(N$2=$AF39,$AG39,0))))</f>
        <v/>
      </c>
      <c r="AA39">
        <f>IFERROR(ROUND(1/SUMPRODUCT(MAX((C38:N38&gt;0)*($C$3:$N$3&lt;=B39)/$C$2:$N$2)),0),0)</f>
        <v/>
      </c>
      <c r="AB39">
        <f>SUMPRODUCT((C38:N38&gt;0)*$C$7:$N$7)</f>
        <v/>
      </c>
      <c r="AC39">
        <f>MAX(0,Plan!$C$5-AB39)+IF(A39=Plan!$C$8,N(Plan!$C$7),0)</f>
        <v/>
      </c>
      <c r="AD39">
        <f>SUM(C39:N39)</f>
        <v/>
      </c>
      <c r="AE39">
        <f>SUM(O39:Z39)</f>
        <v/>
      </c>
      <c r="AF39">
        <f>IFERROR(ROUND(1/SUMPRODUCT(MAX((C38:N38&gt;0)*($C$3:$N$3&lt;=B39)*($C$2:$N$2&gt;AA39)/$C$2:$N$2)),0),0)</f>
        <v/>
      </c>
      <c r="AG39">
        <f>MAX(0,AC39-MAX(0,SUMPRODUCT(($C$2:$N$2=AA39)*(AH39:AS39-$C$7:$N$7))))</f>
        <v/>
      </c>
      <c r="AH39">
        <f>IF(C38&lt;=0,0,ROUND(C38*(1+IF(AND(C$6&gt;0,$B39&lt;C$6),C$4,C$5)/12),2))</f>
        <v/>
      </c>
      <c r="AI39">
        <f>IF(D38&lt;=0,0,ROUND(D38*(1+IF(AND(D$6&gt;0,$B39&lt;D$6),D$4,D$5)/12),2))</f>
        <v/>
      </c>
      <c r="AJ39">
        <f>IF(E38&lt;=0,0,ROUND(E38*(1+IF(AND(E$6&gt;0,$B39&lt;E$6),E$4,E$5)/12),2))</f>
        <v/>
      </c>
      <c r="AK39">
        <f>IF(F38&lt;=0,0,ROUND(F38*(1+IF(AND(F$6&gt;0,$B39&lt;F$6),F$4,F$5)/12),2))</f>
        <v/>
      </c>
      <c r="AL39">
        <f>IF(G38&lt;=0,0,ROUND(G38*(1+IF(AND(G$6&gt;0,$B39&lt;G$6),G$4,G$5)/12),2))</f>
        <v/>
      </c>
      <c r="AM39">
        <f>IF(H38&lt;=0,0,ROUND(H38*(1+IF(AND(H$6&gt;0,$B39&lt;H$6),H$4,H$5)/12),2))</f>
        <v/>
      </c>
      <c r="AN39">
        <f>IF(I38&lt;=0,0,ROUND(I38*(1+IF(AND(I$6&gt;0,$B39&lt;I$6),I$4,I$5)/12),2))</f>
        <v/>
      </c>
      <c r="AO39">
        <f>IF(J38&lt;=0,0,ROUND(J38*(1+IF(AND(J$6&gt;0,$B39&lt;J$6),J$4,J$5)/12),2))</f>
        <v/>
      </c>
      <c r="AP39">
        <f>IF(K38&lt;=0,0,ROUND(K38*(1+IF(AND(K$6&gt;0,$B39&lt;K$6),K$4,K$5)/12),2))</f>
        <v/>
      </c>
      <c r="AQ39">
        <f>IF(L38&lt;=0,0,ROUND(L38*(1+IF(AND(L$6&gt;0,$B39&lt;L$6),L$4,L$5)/12),2))</f>
        <v/>
      </c>
      <c r="AR39">
        <f>IF(M38&lt;=0,0,ROUND(M38*(1+IF(AND(M$6&gt;0,$B39&lt;M$6),M$4,M$5)/12),2))</f>
        <v/>
      </c>
      <c r="AS39">
        <f>IF(N38&lt;=0,0,ROUND(N38*(1+IF(AND(N$6&gt;0,$B39&lt;N$6),N$4,N$5)/12),2))</f>
        <v/>
      </c>
    </row>
    <row r="40">
      <c r="A40" t="n">
        <v>29</v>
      </c>
      <c r="B40">
        <f>EDATE(Plan!$C$6,28)</f>
        <v/>
      </c>
      <c r="C40">
        <f>IF(C39&lt;=0,0,MAX(0,AH40-O40))</f>
        <v/>
      </c>
      <c r="D40">
        <f>IF(D39&lt;=0,0,MAX(0,AI40-P40))</f>
        <v/>
      </c>
      <c r="E40">
        <f>IF(E39&lt;=0,0,MAX(0,AJ40-Q40))</f>
        <v/>
      </c>
      <c r="F40">
        <f>IF(F39&lt;=0,0,MAX(0,AK40-R40))</f>
        <v/>
      </c>
      <c r="G40">
        <f>IF(G39&lt;=0,0,MAX(0,AL40-S40))</f>
        <v/>
      </c>
      <c r="H40">
        <f>IF(H39&lt;=0,0,MAX(0,AM40-T40))</f>
        <v/>
      </c>
      <c r="I40">
        <f>IF(I39&lt;=0,0,MAX(0,AN40-U40))</f>
        <v/>
      </c>
      <c r="J40">
        <f>IF(J39&lt;=0,0,MAX(0,AO40-V40))</f>
        <v/>
      </c>
      <c r="K40">
        <f>IF(K39&lt;=0,0,MAX(0,AP40-W40))</f>
        <v/>
      </c>
      <c r="L40">
        <f>IF(L39&lt;=0,0,MAX(0,AQ40-X40))</f>
        <v/>
      </c>
      <c r="M40">
        <f>IF(M39&lt;=0,0,MAX(0,AR40-Y40))</f>
        <v/>
      </c>
      <c r="N40">
        <f>IF(N39&lt;=0,0,MAX(0,AS40-Z40))</f>
        <v/>
      </c>
      <c r="O40">
        <f>IF(C39&lt;=0,0,MIN(AH40,C$7+IF(C$2=$AA40,$AC40,IF(C$2=$AF40,$AG40,0))))</f>
        <v/>
      </c>
      <c r="P40">
        <f>IF(D39&lt;=0,0,MIN(AI40,D$7+IF(D$2=$AA40,$AC40,IF(D$2=$AF40,$AG40,0))))</f>
        <v/>
      </c>
      <c r="Q40">
        <f>IF(E39&lt;=0,0,MIN(AJ40,E$7+IF(E$2=$AA40,$AC40,IF(E$2=$AF40,$AG40,0))))</f>
        <v/>
      </c>
      <c r="R40">
        <f>IF(F39&lt;=0,0,MIN(AK40,F$7+IF(F$2=$AA40,$AC40,IF(F$2=$AF40,$AG40,0))))</f>
        <v/>
      </c>
      <c r="S40">
        <f>IF(G39&lt;=0,0,MIN(AL40,G$7+IF(G$2=$AA40,$AC40,IF(G$2=$AF40,$AG40,0))))</f>
        <v/>
      </c>
      <c r="T40">
        <f>IF(H39&lt;=0,0,MIN(AM40,H$7+IF(H$2=$AA40,$AC40,IF(H$2=$AF40,$AG40,0))))</f>
        <v/>
      </c>
      <c r="U40">
        <f>IF(I39&lt;=0,0,MIN(AN40,I$7+IF(I$2=$AA40,$AC40,IF(I$2=$AF40,$AG40,0))))</f>
        <v/>
      </c>
      <c r="V40">
        <f>IF(J39&lt;=0,0,MIN(AO40,J$7+IF(J$2=$AA40,$AC40,IF(J$2=$AF40,$AG40,0))))</f>
        <v/>
      </c>
      <c r="W40">
        <f>IF(K39&lt;=0,0,MIN(AP40,K$7+IF(K$2=$AA40,$AC40,IF(K$2=$AF40,$AG40,0))))</f>
        <v/>
      </c>
      <c r="X40">
        <f>IF(L39&lt;=0,0,MIN(AQ40,L$7+IF(L$2=$AA40,$AC40,IF(L$2=$AF40,$AG40,0))))</f>
        <v/>
      </c>
      <c r="Y40">
        <f>IF(M39&lt;=0,0,MIN(AR40,M$7+IF(M$2=$AA40,$AC40,IF(M$2=$AF40,$AG40,0))))</f>
        <v/>
      </c>
      <c r="Z40">
        <f>IF(N39&lt;=0,0,MIN(AS40,N$7+IF(N$2=$AA40,$AC40,IF(N$2=$AF40,$AG40,0))))</f>
        <v/>
      </c>
      <c r="AA40">
        <f>IFERROR(ROUND(1/SUMPRODUCT(MAX((C39:N39&gt;0)*($C$3:$N$3&lt;=B40)/$C$2:$N$2)),0),0)</f>
        <v/>
      </c>
      <c r="AB40">
        <f>SUMPRODUCT((C39:N39&gt;0)*$C$7:$N$7)</f>
        <v/>
      </c>
      <c r="AC40">
        <f>MAX(0,Plan!$C$5-AB40)+IF(A40=Plan!$C$8,N(Plan!$C$7),0)</f>
        <v/>
      </c>
      <c r="AD40">
        <f>SUM(C40:N40)</f>
        <v/>
      </c>
      <c r="AE40">
        <f>SUM(O40:Z40)</f>
        <v/>
      </c>
      <c r="AF40">
        <f>IFERROR(ROUND(1/SUMPRODUCT(MAX((C39:N39&gt;0)*($C$3:$N$3&lt;=B40)*($C$2:$N$2&gt;AA40)/$C$2:$N$2)),0),0)</f>
        <v/>
      </c>
      <c r="AG40">
        <f>MAX(0,AC40-MAX(0,SUMPRODUCT(($C$2:$N$2=AA40)*(AH40:AS40-$C$7:$N$7))))</f>
        <v/>
      </c>
      <c r="AH40">
        <f>IF(C39&lt;=0,0,ROUND(C39*(1+IF(AND(C$6&gt;0,$B40&lt;C$6),C$4,C$5)/12),2))</f>
        <v/>
      </c>
      <c r="AI40">
        <f>IF(D39&lt;=0,0,ROUND(D39*(1+IF(AND(D$6&gt;0,$B40&lt;D$6),D$4,D$5)/12),2))</f>
        <v/>
      </c>
      <c r="AJ40">
        <f>IF(E39&lt;=0,0,ROUND(E39*(1+IF(AND(E$6&gt;0,$B40&lt;E$6),E$4,E$5)/12),2))</f>
        <v/>
      </c>
      <c r="AK40">
        <f>IF(F39&lt;=0,0,ROUND(F39*(1+IF(AND(F$6&gt;0,$B40&lt;F$6),F$4,F$5)/12),2))</f>
        <v/>
      </c>
      <c r="AL40">
        <f>IF(G39&lt;=0,0,ROUND(G39*(1+IF(AND(G$6&gt;0,$B40&lt;G$6),G$4,G$5)/12),2))</f>
        <v/>
      </c>
      <c r="AM40">
        <f>IF(H39&lt;=0,0,ROUND(H39*(1+IF(AND(H$6&gt;0,$B40&lt;H$6),H$4,H$5)/12),2))</f>
        <v/>
      </c>
      <c r="AN40">
        <f>IF(I39&lt;=0,0,ROUND(I39*(1+IF(AND(I$6&gt;0,$B40&lt;I$6),I$4,I$5)/12),2))</f>
        <v/>
      </c>
      <c r="AO40">
        <f>IF(J39&lt;=0,0,ROUND(J39*(1+IF(AND(J$6&gt;0,$B40&lt;J$6),J$4,J$5)/12),2))</f>
        <v/>
      </c>
      <c r="AP40">
        <f>IF(K39&lt;=0,0,ROUND(K39*(1+IF(AND(K$6&gt;0,$B40&lt;K$6),K$4,K$5)/12),2))</f>
        <v/>
      </c>
      <c r="AQ40">
        <f>IF(L39&lt;=0,0,ROUND(L39*(1+IF(AND(L$6&gt;0,$B40&lt;L$6),L$4,L$5)/12),2))</f>
        <v/>
      </c>
      <c r="AR40">
        <f>IF(M39&lt;=0,0,ROUND(M39*(1+IF(AND(M$6&gt;0,$B40&lt;M$6),M$4,M$5)/12),2))</f>
        <v/>
      </c>
      <c r="AS40">
        <f>IF(N39&lt;=0,0,ROUND(N39*(1+IF(AND(N$6&gt;0,$B40&lt;N$6),N$4,N$5)/12),2))</f>
        <v/>
      </c>
    </row>
    <row r="41">
      <c r="A41" t="n">
        <v>30</v>
      </c>
      <c r="B41">
        <f>EDATE(Plan!$C$6,29)</f>
        <v/>
      </c>
      <c r="C41">
        <f>IF(C40&lt;=0,0,MAX(0,AH41-O41))</f>
        <v/>
      </c>
      <c r="D41">
        <f>IF(D40&lt;=0,0,MAX(0,AI41-P41))</f>
        <v/>
      </c>
      <c r="E41">
        <f>IF(E40&lt;=0,0,MAX(0,AJ41-Q41))</f>
        <v/>
      </c>
      <c r="F41">
        <f>IF(F40&lt;=0,0,MAX(0,AK41-R41))</f>
        <v/>
      </c>
      <c r="G41">
        <f>IF(G40&lt;=0,0,MAX(0,AL41-S41))</f>
        <v/>
      </c>
      <c r="H41">
        <f>IF(H40&lt;=0,0,MAX(0,AM41-T41))</f>
        <v/>
      </c>
      <c r="I41">
        <f>IF(I40&lt;=0,0,MAX(0,AN41-U41))</f>
        <v/>
      </c>
      <c r="J41">
        <f>IF(J40&lt;=0,0,MAX(0,AO41-V41))</f>
        <v/>
      </c>
      <c r="K41">
        <f>IF(K40&lt;=0,0,MAX(0,AP41-W41))</f>
        <v/>
      </c>
      <c r="L41">
        <f>IF(L40&lt;=0,0,MAX(0,AQ41-X41))</f>
        <v/>
      </c>
      <c r="M41">
        <f>IF(M40&lt;=0,0,MAX(0,AR41-Y41))</f>
        <v/>
      </c>
      <c r="N41">
        <f>IF(N40&lt;=0,0,MAX(0,AS41-Z41))</f>
        <v/>
      </c>
      <c r="O41">
        <f>IF(C40&lt;=0,0,MIN(AH41,C$7+IF(C$2=$AA41,$AC41,IF(C$2=$AF41,$AG41,0))))</f>
        <v/>
      </c>
      <c r="P41">
        <f>IF(D40&lt;=0,0,MIN(AI41,D$7+IF(D$2=$AA41,$AC41,IF(D$2=$AF41,$AG41,0))))</f>
        <v/>
      </c>
      <c r="Q41">
        <f>IF(E40&lt;=0,0,MIN(AJ41,E$7+IF(E$2=$AA41,$AC41,IF(E$2=$AF41,$AG41,0))))</f>
        <v/>
      </c>
      <c r="R41">
        <f>IF(F40&lt;=0,0,MIN(AK41,F$7+IF(F$2=$AA41,$AC41,IF(F$2=$AF41,$AG41,0))))</f>
        <v/>
      </c>
      <c r="S41">
        <f>IF(G40&lt;=0,0,MIN(AL41,G$7+IF(G$2=$AA41,$AC41,IF(G$2=$AF41,$AG41,0))))</f>
        <v/>
      </c>
      <c r="T41">
        <f>IF(H40&lt;=0,0,MIN(AM41,H$7+IF(H$2=$AA41,$AC41,IF(H$2=$AF41,$AG41,0))))</f>
        <v/>
      </c>
      <c r="U41">
        <f>IF(I40&lt;=0,0,MIN(AN41,I$7+IF(I$2=$AA41,$AC41,IF(I$2=$AF41,$AG41,0))))</f>
        <v/>
      </c>
      <c r="V41">
        <f>IF(J40&lt;=0,0,MIN(AO41,J$7+IF(J$2=$AA41,$AC41,IF(J$2=$AF41,$AG41,0))))</f>
        <v/>
      </c>
      <c r="W41">
        <f>IF(K40&lt;=0,0,MIN(AP41,K$7+IF(K$2=$AA41,$AC41,IF(K$2=$AF41,$AG41,0))))</f>
        <v/>
      </c>
      <c r="X41">
        <f>IF(L40&lt;=0,0,MIN(AQ41,L$7+IF(L$2=$AA41,$AC41,IF(L$2=$AF41,$AG41,0))))</f>
        <v/>
      </c>
      <c r="Y41">
        <f>IF(M40&lt;=0,0,MIN(AR41,M$7+IF(M$2=$AA41,$AC41,IF(M$2=$AF41,$AG41,0))))</f>
        <v/>
      </c>
      <c r="Z41">
        <f>IF(N40&lt;=0,0,MIN(AS41,N$7+IF(N$2=$AA41,$AC41,IF(N$2=$AF41,$AG41,0))))</f>
        <v/>
      </c>
      <c r="AA41">
        <f>IFERROR(ROUND(1/SUMPRODUCT(MAX((C40:N40&gt;0)*($C$3:$N$3&lt;=B41)/$C$2:$N$2)),0),0)</f>
        <v/>
      </c>
      <c r="AB41">
        <f>SUMPRODUCT((C40:N40&gt;0)*$C$7:$N$7)</f>
        <v/>
      </c>
      <c r="AC41">
        <f>MAX(0,Plan!$C$5-AB41)+IF(A41=Plan!$C$8,N(Plan!$C$7),0)</f>
        <v/>
      </c>
      <c r="AD41">
        <f>SUM(C41:N41)</f>
        <v/>
      </c>
      <c r="AE41">
        <f>SUM(O41:Z41)</f>
        <v/>
      </c>
      <c r="AF41">
        <f>IFERROR(ROUND(1/SUMPRODUCT(MAX((C40:N40&gt;0)*($C$3:$N$3&lt;=B41)*($C$2:$N$2&gt;AA41)/$C$2:$N$2)),0),0)</f>
        <v/>
      </c>
      <c r="AG41">
        <f>MAX(0,AC41-MAX(0,SUMPRODUCT(($C$2:$N$2=AA41)*(AH41:AS41-$C$7:$N$7))))</f>
        <v/>
      </c>
      <c r="AH41">
        <f>IF(C40&lt;=0,0,ROUND(C40*(1+IF(AND(C$6&gt;0,$B41&lt;C$6),C$4,C$5)/12),2))</f>
        <v/>
      </c>
      <c r="AI41">
        <f>IF(D40&lt;=0,0,ROUND(D40*(1+IF(AND(D$6&gt;0,$B41&lt;D$6),D$4,D$5)/12),2))</f>
        <v/>
      </c>
      <c r="AJ41">
        <f>IF(E40&lt;=0,0,ROUND(E40*(1+IF(AND(E$6&gt;0,$B41&lt;E$6),E$4,E$5)/12),2))</f>
        <v/>
      </c>
      <c r="AK41">
        <f>IF(F40&lt;=0,0,ROUND(F40*(1+IF(AND(F$6&gt;0,$B41&lt;F$6),F$4,F$5)/12),2))</f>
        <v/>
      </c>
      <c r="AL41">
        <f>IF(G40&lt;=0,0,ROUND(G40*(1+IF(AND(G$6&gt;0,$B41&lt;G$6),G$4,G$5)/12),2))</f>
        <v/>
      </c>
      <c r="AM41">
        <f>IF(H40&lt;=0,0,ROUND(H40*(1+IF(AND(H$6&gt;0,$B41&lt;H$6),H$4,H$5)/12),2))</f>
        <v/>
      </c>
      <c r="AN41">
        <f>IF(I40&lt;=0,0,ROUND(I40*(1+IF(AND(I$6&gt;0,$B41&lt;I$6),I$4,I$5)/12),2))</f>
        <v/>
      </c>
      <c r="AO41">
        <f>IF(J40&lt;=0,0,ROUND(J40*(1+IF(AND(J$6&gt;0,$B41&lt;J$6),J$4,J$5)/12),2))</f>
        <v/>
      </c>
      <c r="AP41">
        <f>IF(K40&lt;=0,0,ROUND(K40*(1+IF(AND(K$6&gt;0,$B41&lt;K$6),K$4,K$5)/12),2))</f>
        <v/>
      </c>
      <c r="AQ41">
        <f>IF(L40&lt;=0,0,ROUND(L40*(1+IF(AND(L$6&gt;0,$B41&lt;L$6),L$4,L$5)/12),2))</f>
        <v/>
      </c>
      <c r="AR41">
        <f>IF(M40&lt;=0,0,ROUND(M40*(1+IF(AND(M$6&gt;0,$B41&lt;M$6),M$4,M$5)/12),2))</f>
        <v/>
      </c>
      <c r="AS41">
        <f>IF(N40&lt;=0,0,ROUND(N40*(1+IF(AND(N$6&gt;0,$B41&lt;N$6),N$4,N$5)/12),2))</f>
        <v/>
      </c>
    </row>
    <row r="42">
      <c r="A42" t="n">
        <v>31</v>
      </c>
      <c r="B42">
        <f>EDATE(Plan!$C$6,30)</f>
        <v/>
      </c>
      <c r="C42">
        <f>IF(C41&lt;=0,0,MAX(0,AH42-O42))</f>
        <v/>
      </c>
      <c r="D42">
        <f>IF(D41&lt;=0,0,MAX(0,AI42-P42))</f>
        <v/>
      </c>
      <c r="E42">
        <f>IF(E41&lt;=0,0,MAX(0,AJ42-Q42))</f>
        <v/>
      </c>
      <c r="F42">
        <f>IF(F41&lt;=0,0,MAX(0,AK42-R42))</f>
        <v/>
      </c>
      <c r="G42">
        <f>IF(G41&lt;=0,0,MAX(0,AL42-S42))</f>
        <v/>
      </c>
      <c r="H42">
        <f>IF(H41&lt;=0,0,MAX(0,AM42-T42))</f>
        <v/>
      </c>
      <c r="I42">
        <f>IF(I41&lt;=0,0,MAX(0,AN42-U42))</f>
        <v/>
      </c>
      <c r="J42">
        <f>IF(J41&lt;=0,0,MAX(0,AO42-V42))</f>
        <v/>
      </c>
      <c r="K42">
        <f>IF(K41&lt;=0,0,MAX(0,AP42-W42))</f>
        <v/>
      </c>
      <c r="L42">
        <f>IF(L41&lt;=0,0,MAX(0,AQ42-X42))</f>
        <v/>
      </c>
      <c r="M42">
        <f>IF(M41&lt;=0,0,MAX(0,AR42-Y42))</f>
        <v/>
      </c>
      <c r="N42">
        <f>IF(N41&lt;=0,0,MAX(0,AS42-Z42))</f>
        <v/>
      </c>
      <c r="O42">
        <f>IF(C41&lt;=0,0,MIN(AH42,C$7+IF(C$2=$AA42,$AC42,IF(C$2=$AF42,$AG42,0))))</f>
        <v/>
      </c>
      <c r="P42">
        <f>IF(D41&lt;=0,0,MIN(AI42,D$7+IF(D$2=$AA42,$AC42,IF(D$2=$AF42,$AG42,0))))</f>
        <v/>
      </c>
      <c r="Q42">
        <f>IF(E41&lt;=0,0,MIN(AJ42,E$7+IF(E$2=$AA42,$AC42,IF(E$2=$AF42,$AG42,0))))</f>
        <v/>
      </c>
      <c r="R42">
        <f>IF(F41&lt;=0,0,MIN(AK42,F$7+IF(F$2=$AA42,$AC42,IF(F$2=$AF42,$AG42,0))))</f>
        <v/>
      </c>
      <c r="S42">
        <f>IF(G41&lt;=0,0,MIN(AL42,G$7+IF(G$2=$AA42,$AC42,IF(G$2=$AF42,$AG42,0))))</f>
        <v/>
      </c>
      <c r="T42">
        <f>IF(H41&lt;=0,0,MIN(AM42,H$7+IF(H$2=$AA42,$AC42,IF(H$2=$AF42,$AG42,0))))</f>
        <v/>
      </c>
      <c r="U42">
        <f>IF(I41&lt;=0,0,MIN(AN42,I$7+IF(I$2=$AA42,$AC42,IF(I$2=$AF42,$AG42,0))))</f>
        <v/>
      </c>
      <c r="V42">
        <f>IF(J41&lt;=0,0,MIN(AO42,J$7+IF(J$2=$AA42,$AC42,IF(J$2=$AF42,$AG42,0))))</f>
        <v/>
      </c>
      <c r="W42">
        <f>IF(K41&lt;=0,0,MIN(AP42,K$7+IF(K$2=$AA42,$AC42,IF(K$2=$AF42,$AG42,0))))</f>
        <v/>
      </c>
      <c r="X42">
        <f>IF(L41&lt;=0,0,MIN(AQ42,L$7+IF(L$2=$AA42,$AC42,IF(L$2=$AF42,$AG42,0))))</f>
        <v/>
      </c>
      <c r="Y42">
        <f>IF(M41&lt;=0,0,MIN(AR42,M$7+IF(M$2=$AA42,$AC42,IF(M$2=$AF42,$AG42,0))))</f>
        <v/>
      </c>
      <c r="Z42">
        <f>IF(N41&lt;=0,0,MIN(AS42,N$7+IF(N$2=$AA42,$AC42,IF(N$2=$AF42,$AG42,0))))</f>
        <v/>
      </c>
      <c r="AA42">
        <f>IFERROR(ROUND(1/SUMPRODUCT(MAX((C41:N41&gt;0)*($C$3:$N$3&lt;=B42)/$C$2:$N$2)),0),0)</f>
        <v/>
      </c>
      <c r="AB42">
        <f>SUMPRODUCT((C41:N41&gt;0)*$C$7:$N$7)</f>
        <v/>
      </c>
      <c r="AC42">
        <f>MAX(0,Plan!$C$5-AB42)+IF(A42=Plan!$C$8,N(Plan!$C$7),0)</f>
        <v/>
      </c>
      <c r="AD42">
        <f>SUM(C42:N42)</f>
        <v/>
      </c>
      <c r="AE42">
        <f>SUM(O42:Z42)</f>
        <v/>
      </c>
      <c r="AF42">
        <f>IFERROR(ROUND(1/SUMPRODUCT(MAX((C41:N41&gt;0)*($C$3:$N$3&lt;=B42)*($C$2:$N$2&gt;AA42)/$C$2:$N$2)),0),0)</f>
        <v/>
      </c>
      <c r="AG42">
        <f>MAX(0,AC42-MAX(0,SUMPRODUCT(($C$2:$N$2=AA42)*(AH42:AS42-$C$7:$N$7))))</f>
        <v/>
      </c>
      <c r="AH42">
        <f>IF(C41&lt;=0,0,ROUND(C41*(1+IF(AND(C$6&gt;0,$B42&lt;C$6),C$4,C$5)/12),2))</f>
        <v/>
      </c>
      <c r="AI42">
        <f>IF(D41&lt;=0,0,ROUND(D41*(1+IF(AND(D$6&gt;0,$B42&lt;D$6),D$4,D$5)/12),2))</f>
        <v/>
      </c>
      <c r="AJ42">
        <f>IF(E41&lt;=0,0,ROUND(E41*(1+IF(AND(E$6&gt;0,$B42&lt;E$6),E$4,E$5)/12),2))</f>
        <v/>
      </c>
      <c r="AK42">
        <f>IF(F41&lt;=0,0,ROUND(F41*(1+IF(AND(F$6&gt;0,$B42&lt;F$6),F$4,F$5)/12),2))</f>
        <v/>
      </c>
      <c r="AL42">
        <f>IF(G41&lt;=0,0,ROUND(G41*(1+IF(AND(G$6&gt;0,$B42&lt;G$6),G$4,G$5)/12),2))</f>
        <v/>
      </c>
      <c r="AM42">
        <f>IF(H41&lt;=0,0,ROUND(H41*(1+IF(AND(H$6&gt;0,$B42&lt;H$6),H$4,H$5)/12),2))</f>
        <v/>
      </c>
      <c r="AN42">
        <f>IF(I41&lt;=0,0,ROUND(I41*(1+IF(AND(I$6&gt;0,$B42&lt;I$6),I$4,I$5)/12),2))</f>
        <v/>
      </c>
      <c r="AO42">
        <f>IF(J41&lt;=0,0,ROUND(J41*(1+IF(AND(J$6&gt;0,$B42&lt;J$6),J$4,J$5)/12),2))</f>
        <v/>
      </c>
      <c r="AP42">
        <f>IF(K41&lt;=0,0,ROUND(K41*(1+IF(AND(K$6&gt;0,$B42&lt;K$6),K$4,K$5)/12),2))</f>
        <v/>
      </c>
      <c r="AQ42">
        <f>IF(L41&lt;=0,0,ROUND(L41*(1+IF(AND(L$6&gt;0,$B42&lt;L$6),L$4,L$5)/12),2))</f>
        <v/>
      </c>
      <c r="AR42">
        <f>IF(M41&lt;=0,0,ROUND(M41*(1+IF(AND(M$6&gt;0,$B42&lt;M$6),M$4,M$5)/12),2))</f>
        <v/>
      </c>
      <c r="AS42">
        <f>IF(N41&lt;=0,0,ROUND(N41*(1+IF(AND(N$6&gt;0,$B42&lt;N$6),N$4,N$5)/12),2))</f>
        <v/>
      </c>
    </row>
    <row r="43">
      <c r="A43" t="n">
        <v>32</v>
      </c>
      <c r="B43">
        <f>EDATE(Plan!$C$6,31)</f>
        <v/>
      </c>
      <c r="C43">
        <f>IF(C42&lt;=0,0,MAX(0,AH43-O43))</f>
        <v/>
      </c>
      <c r="D43">
        <f>IF(D42&lt;=0,0,MAX(0,AI43-P43))</f>
        <v/>
      </c>
      <c r="E43">
        <f>IF(E42&lt;=0,0,MAX(0,AJ43-Q43))</f>
        <v/>
      </c>
      <c r="F43">
        <f>IF(F42&lt;=0,0,MAX(0,AK43-R43))</f>
        <v/>
      </c>
      <c r="G43">
        <f>IF(G42&lt;=0,0,MAX(0,AL43-S43))</f>
        <v/>
      </c>
      <c r="H43">
        <f>IF(H42&lt;=0,0,MAX(0,AM43-T43))</f>
        <v/>
      </c>
      <c r="I43">
        <f>IF(I42&lt;=0,0,MAX(0,AN43-U43))</f>
        <v/>
      </c>
      <c r="J43">
        <f>IF(J42&lt;=0,0,MAX(0,AO43-V43))</f>
        <v/>
      </c>
      <c r="K43">
        <f>IF(K42&lt;=0,0,MAX(0,AP43-W43))</f>
        <v/>
      </c>
      <c r="L43">
        <f>IF(L42&lt;=0,0,MAX(0,AQ43-X43))</f>
        <v/>
      </c>
      <c r="M43">
        <f>IF(M42&lt;=0,0,MAX(0,AR43-Y43))</f>
        <v/>
      </c>
      <c r="N43">
        <f>IF(N42&lt;=0,0,MAX(0,AS43-Z43))</f>
        <v/>
      </c>
      <c r="O43">
        <f>IF(C42&lt;=0,0,MIN(AH43,C$7+IF(C$2=$AA43,$AC43,IF(C$2=$AF43,$AG43,0))))</f>
        <v/>
      </c>
      <c r="P43">
        <f>IF(D42&lt;=0,0,MIN(AI43,D$7+IF(D$2=$AA43,$AC43,IF(D$2=$AF43,$AG43,0))))</f>
        <v/>
      </c>
      <c r="Q43">
        <f>IF(E42&lt;=0,0,MIN(AJ43,E$7+IF(E$2=$AA43,$AC43,IF(E$2=$AF43,$AG43,0))))</f>
        <v/>
      </c>
      <c r="R43">
        <f>IF(F42&lt;=0,0,MIN(AK43,F$7+IF(F$2=$AA43,$AC43,IF(F$2=$AF43,$AG43,0))))</f>
        <v/>
      </c>
      <c r="S43">
        <f>IF(G42&lt;=0,0,MIN(AL43,G$7+IF(G$2=$AA43,$AC43,IF(G$2=$AF43,$AG43,0))))</f>
        <v/>
      </c>
      <c r="T43">
        <f>IF(H42&lt;=0,0,MIN(AM43,H$7+IF(H$2=$AA43,$AC43,IF(H$2=$AF43,$AG43,0))))</f>
        <v/>
      </c>
      <c r="U43">
        <f>IF(I42&lt;=0,0,MIN(AN43,I$7+IF(I$2=$AA43,$AC43,IF(I$2=$AF43,$AG43,0))))</f>
        <v/>
      </c>
      <c r="V43">
        <f>IF(J42&lt;=0,0,MIN(AO43,J$7+IF(J$2=$AA43,$AC43,IF(J$2=$AF43,$AG43,0))))</f>
        <v/>
      </c>
      <c r="W43">
        <f>IF(K42&lt;=0,0,MIN(AP43,K$7+IF(K$2=$AA43,$AC43,IF(K$2=$AF43,$AG43,0))))</f>
        <v/>
      </c>
      <c r="X43">
        <f>IF(L42&lt;=0,0,MIN(AQ43,L$7+IF(L$2=$AA43,$AC43,IF(L$2=$AF43,$AG43,0))))</f>
        <v/>
      </c>
      <c r="Y43">
        <f>IF(M42&lt;=0,0,MIN(AR43,M$7+IF(M$2=$AA43,$AC43,IF(M$2=$AF43,$AG43,0))))</f>
        <v/>
      </c>
      <c r="Z43">
        <f>IF(N42&lt;=0,0,MIN(AS43,N$7+IF(N$2=$AA43,$AC43,IF(N$2=$AF43,$AG43,0))))</f>
        <v/>
      </c>
      <c r="AA43">
        <f>IFERROR(ROUND(1/SUMPRODUCT(MAX((C42:N42&gt;0)*($C$3:$N$3&lt;=B43)/$C$2:$N$2)),0),0)</f>
        <v/>
      </c>
      <c r="AB43">
        <f>SUMPRODUCT((C42:N42&gt;0)*$C$7:$N$7)</f>
        <v/>
      </c>
      <c r="AC43">
        <f>MAX(0,Plan!$C$5-AB43)+IF(A43=Plan!$C$8,N(Plan!$C$7),0)</f>
        <v/>
      </c>
      <c r="AD43">
        <f>SUM(C43:N43)</f>
        <v/>
      </c>
      <c r="AE43">
        <f>SUM(O43:Z43)</f>
        <v/>
      </c>
      <c r="AF43">
        <f>IFERROR(ROUND(1/SUMPRODUCT(MAX((C42:N42&gt;0)*($C$3:$N$3&lt;=B43)*($C$2:$N$2&gt;AA43)/$C$2:$N$2)),0),0)</f>
        <v/>
      </c>
      <c r="AG43">
        <f>MAX(0,AC43-MAX(0,SUMPRODUCT(($C$2:$N$2=AA43)*(AH43:AS43-$C$7:$N$7))))</f>
        <v/>
      </c>
      <c r="AH43">
        <f>IF(C42&lt;=0,0,ROUND(C42*(1+IF(AND(C$6&gt;0,$B43&lt;C$6),C$4,C$5)/12),2))</f>
        <v/>
      </c>
      <c r="AI43">
        <f>IF(D42&lt;=0,0,ROUND(D42*(1+IF(AND(D$6&gt;0,$B43&lt;D$6),D$4,D$5)/12),2))</f>
        <v/>
      </c>
      <c r="AJ43">
        <f>IF(E42&lt;=0,0,ROUND(E42*(1+IF(AND(E$6&gt;0,$B43&lt;E$6),E$4,E$5)/12),2))</f>
        <v/>
      </c>
      <c r="AK43">
        <f>IF(F42&lt;=0,0,ROUND(F42*(1+IF(AND(F$6&gt;0,$B43&lt;F$6),F$4,F$5)/12),2))</f>
        <v/>
      </c>
      <c r="AL43">
        <f>IF(G42&lt;=0,0,ROUND(G42*(1+IF(AND(G$6&gt;0,$B43&lt;G$6),G$4,G$5)/12),2))</f>
        <v/>
      </c>
      <c r="AM43">
        <f>IF(H42&lt;=0,0,ROUND(H42*(1+IF(AND(H$6&gt;0,$B43&lt;H$6),H$4,H$5)/12),2))</f>
        <v/>
      </c>
      <c r="AN43">
        <f>IF(I42&lt;=0,0,ROUND(I42*(1+IF(AND(I$6&gt;0,$B43&lt;I$6),I$4,I$5)/12),2))</f>
        <v/>
      </c>
      <c r="AO43">
        <f>IF(J42&lt;=0,0,ROUND(J42*(1+IF(AND(J$6&gt;0,$B43&lt;J$6),J$4,J$5)/12),2))</f>
        <v/>
      </c>
      <c r="AP43">
        <f>IF(K42&lt;=0,0,ROUND(K42*(1+IF(AND(K$6&gt;0,$B43&lt;K$6),K$4,K$5)/12),2))</f>
        <v/>
      </c>
      <c r="AQ43">
        <f>IF(L42&lt;=0,0,ROUND(L42*(1+IF(AND(L$6&gt;0,$B43&lt;L$6),L$4,L$5)/12),2))</f>
        <v/>
      </c>
      <c r="AR43">
        <f>IF(M42&lt;=0,0,ROUND(M42*(1+IF(AND(M$6&gt;0,$B43&lt;M$6),M$4,M$5)/12),2))</f>
        <v/>
      </c>
      <c r="AS43">
        <f>IF(N42&lt;=0,0,ROUND(N42*(1+IF(AND(N$6&gt;0,$B43&lt;N$6),N$4,N$5)/12),2))</f>
        <v/>
      </c>
    </row>
    <row r="44">
      <c r="A44" t="n">
        <v>33</v>
      </c>
      <c r="B44">
        <f>EDATE(Plan!$C$6,32)</f>
        <v/>
      </c>
      <c r="C44">
        <f>IF(C43&lt;=0,0,MAX(0,AH44-O44))</f>
        <v/>
      </c>
      <c r="D44">
        <f>IF(D43&lt;=0,0,MAX(0,AI44-P44))</f>
        <v/>
      </c>
      <c r="E44">
        <f>IF(E43&lt;=0,0,MAX(0,AJ44-Q44))</f>
        <v/>
      </c>
      <c r="F44">
        <f>IF(F43&lt;=0,0,MAX(0,AK44-R44))</f>
        <v/>
      </c>
      <c r="G44">
        <f>IF(G43&lt;=0,0,MAX(0,AL44-S44))</f>
        <v/>
      </c>
      <c r="H44">
        <f>IF(H43&lt;=0,0,MAX(0,AM44-T44))</f>
        <v/>
      </c>
      <c r="I44">
        <f>IF(I43&lt;=0,0,MAX(0,AN44-U44))</f>
        <v/>
      </c>
      <c r="J44">
        <f>IF(J43&lt;=0,0,MAX(0,AO44-V44))</f>
        <v/>
      </c>
      <c r="K44">
        <f>IF(K43&lt;=0,0,MAX(0,AP44-W44))</f>
        <v/>
      </c>
      <c r="L44">
        <f>IF(L43&lt;=0,0,MAX(0,AQ44-X44))</f>
        <v/>
      </c>
      <c r="M44">
        <f>IF(M43&lt;=0,0,MAX(0,AR44-Y44))</f>
        <v/>
      </c>
      <c r="N44">
        <f>IF(N43&lt;=0,0,MAX(0,AS44-Z44))</f>
        <v/>
      </c>
      <c r="O44">
        <f>IF(C43&lt;=0,0,MIN(AH44,C$7+IF(C$2=$AA44,$AC44,IF(C$2=$AF44,$AG44,0))))</f>
        <v/>
      </c>
      <c r="P44">
        <f>IF(D43&lt;=0,0,MIN(AI44,D$7+IF(D$2=$AA44,$AC44,IF(D$2=$AF44,$AG44,0))))</f>
        <v/>
      </c>
      <c r="Q44">
        <f>IF(E43&lt;=0,0,MIN(AJ44,E$7+IF(E$2=$AA44,$AC44,IF(E$2=$AF44,$AG44,0))))</f>
        <v/>
      </c>
      <c r="R44">
        <f>IF(F43&lt;=0,0,MIN(AK44,F$7+IF(F$2=$AA44,$AC44,IF(F$2=$AF44,$AG44,0))))</f>
        <v/>
      </c>
      <c r="S44">
        <f>IF(G43&lt;=0,0,MIN(AL44,G$7+IF(G$2=$AA44,$AC44,IF(G$2=$AF44,$AG44,0))))</f>
        <v/>
      </c>
      <c r="T44">
        <f>IF(H43&lt;=0,0,MIN(AM44,H$7+IF(H$2=$AA44,$AC44,IF(H$2=$AF44,$AG44,0))))</f>
        <v/>
      </c>
      <c r="U44">
        <f>IF(I43&lt;=0,0,MIN(AN44,I$7+IF(I$2=$AA44,$AC44,IF(I$2=$AF44,$AG44,0))))</f>
        <v/>
      </c>
      <c r="V44">
        <f>IF(J43&lt;=0,0,MIN(AO44,J$7+IF(J$2=$AA44,$AC44,IF(J$2=$AF44,$AG44,0))))</f>
        <v/>
      </c>
      <c r="W44">
        <f>IF(K43&lt;=0,0,MIN(AP44,K$7+IF(K$2=$AA44,$AC44,IF(K$2=$AF44,$AG44,0))))</f>
        <v/>
      </c>
      <c r="X44">
        <f>IF(L43&lt;=0,0,MIN(AQ44,L$7+IF(L$2=$AA44,$AC44,IF(L$2=$AF44,$AG44,0))))</f>
        <v/>
      </c>
      <c r="Y44">
        <f>IF(M43&lt;=0,0,MIN(AR44,M$7+IF(M$2=$AA44,$AC44,IF(M$2=$AF44,$AG44,0))))</f>
        <v/>
      </c>
      <c r="Z44">
        <f>IF(N43&lt;=0,0,MIN(AS44,N$7+IF(N$2=$AA44,$AC44,IF(N$2=$AF44,$AG44,0))))</f>
        <v/>
      </c>
      <c r="AA44">
        <f>IFERROR(ROUND(1/SUMPRODUCT(MAX((C43:N43&gt;0)*($C$3:$N$3&lt;=B44)/$C$2:$N$2)),0),0)</f>
        <v/>
      </c>
      <c r="AB44">
        <f>SUMPRODUCT((C43:N43&gt;0)*$C$7:$N$7)</f>
        <v/>
      </c>
      <c r="AC44">
        <f>MAX(0,Plan!$C$5-AB44)+IF(A44=Plan!$C$8,N(Plan!$C$7),0)</f>
        <v/>
      </c>
      <c r="AD44">
        <f>SUM(C44:N44)</f>
        <v/>
      </c>
      <c r="AE44">
        <f>SUM(O44:Z44)</f>
        <v/>
      </c>
      <c r="AF44">
        <f>IFERROR(ROUND(1/SUMPRODUCT(MAX((C43:N43&gt;0)*($C$3:$N$3&lt;=B44)*($C$2:$N$2&gt;AA44)/$C$2:$N$2)),0),0)</f>
        <v/>
      </c>
      <c r="AG44">
        <f>MAX(0,AC44-MAX(0,SUMPRODUCT(($C$2:$N$2=AA44)*(AH44:AS44-$C$7:$N$7))))</f>
        <v/>
      </c>
      <c r="AH44">
        <f>IF(C43&lt;=0,0,ROUND(C43*(1+IF(AND(C$6&gt;0,$B44&lt;C$6),C$4,C$5)/12),2))</f>
        <v/>
      </c>
      <c r="AI44">
        <f>IF(D43&lt;=0,0,ROUND(D43*(1+IF(AND(D$6&gt;0,$B44&lt;D$6),D$4,D$5)/12),2))</f>
        <v/>
      </c>
      <c r="AJ44">
        <f>IF(E43&lt;=0,0,ROUND(E43*(1+IF(AND(E$6&gt;0,$B44&lt;E$6),E$4,E$5)/12),2))</f>
        <v/>
      </c>
      <c r="AK44">
        <f>IF(F43&lt;=0,0,ROUND(F43*(1+IF(AND(F$6&gt;0,$B44&lt;F$6),F$4,F$5)/12),2))</f>
        <v/>
      </c>
      <c r="AL44">
        <f>IF(G43&lt;=0,0,ROUND(G43*(1+IF(AND(G$6&gt;0,$B44&lt;G$6),G$4,G$5)/12),2))</f>
        <v/>
      </c>
      <c r="AM44">
        <f>IF(H43&lt;=0,0,ROUND(H43*(1+IF(AND(H$6&gt;0,$B44&lt;H$6),H$4,H$5)/12),2))</f>
        <v/>
      </c>
      <c r="AN44">
        <f>IF(I43&lt;=0,0,ROUND(I43*(1+IF(AND(I$6&gt;0,$B44&lt;I$6),I$4,I$5)/12),2))</f>
        <v/>
      </c>
      <c r="AO44">
        <f>IF(J43&lt;=0,0,ROUND(J43*(1+IF(AND(J$6&gt;0,$B44&lt;J$6),J$4,J$5)/12),2))</f>
        <v/>
      </c>
      <c r="AP44">
        <f>IF(K43&lt;=0,0,ROUND(K43*(1+IF(AND(K$6&gt;0,$B44&lt;K$6),K$4,K$5)/12),2))</f>
        <v/>
      </c>
      <c r="AQ44">
        <f>IF(L43&lt;=0,0,ROUND(L43*(1+IF(AND(L$6&gt;0,$B44&lt;L$6),L$4,L$5)/12),2))</f>
        <v/>
      </c>
      <c r="AR44">
        <f>IF(M43&lt;=0,0,ROUND(M43*(1+IF(AND(M$6&gt;0,$B44&lt;M$6),M$4,M$5)/12),2))</f>
        <v/>
      </c>
      <c r="AS44">
        <f>IF(N43&lt;=0,0,ROUND(N43*(1+IF(AND(N$6&gt;0,$B44&lt;N$6),N$4,N$5)/12),2))</f>
        <v/>
      </c>
    </row>
    <row r="45">
      <c r="A45" t="n">
        <v>34</v>
      </c>
      <c r="B45">
        <f>EDATE(Plan!$C$6,33)</f>
        <v/>
      </c>
      <c r="C45">
        <f>IF(C44&lt;=0,0,MAX(0,AH45-O45))</f>
        <v/>
      </c>
      <c r="D45">
        <f>IF(D44&lt;=0,0,MAX(0,AI45-P45))</f>
        <v/>
      </c>
      <c r="E45">
        <f>IF(E44&lt;=0,0,MAX(0,AJ45-Q45))</f>
        <v/>
      </c>
      <c r="F45">
        <f>IF(F44&lt;=0,0,MAX(0,AK45-R45))</f>
        <v/>
      </c>
      <c r="G45">
        <f>IF(G44&lt;=0,0,MAX(0,AL45-S45))</f>
        <v/>
      </c>
      <c r="H45">
        <f>IF(H44&lt;=0,0,MAX(0,AM45-T45))</f>
        <v/>
      </c>
      <c r="I45">
        <f>IF(I44&lt;=0,0,MAX(0,AN45-U45))</f>
        <v/>
      </c>
      <c r="J45">
        <f>IF(J44&lt;=0,0,MAX(0,AO45-V45))</f>
        <v/>
      </c>
      <c r="K45">
        <f>IF(K44&lt;=0,0,MAX(0,AP45-W45))</f>
        <v/>
      </c>
      <c r="L45">
        <f>IF(L44&lt;=0,0,MAX(0,AQ45-X45))</f>
        <v/>
      </c>
      <c r="M45">
        <f>IF(M44&lt;=0,0,MAX(0,AR45-Y45))</f>
        <v/>
      </c>
      <c r="N45">
        <f>IF(N44&lt;=0,0,MAX(0,AS45-Z45))</f>
        <v/>
      </c>
      <c r="O45">
        <f>IF(C44&lt;=0,0,MIN(AH45,C$7+IF(C$2=$AA45,$AC45,IF(C$2=$AF45,$AG45,0))))</f>
        <v/>
      </c>
      <c r="P45">
        <f>IF(D44&lt;=0,0,MIN(AI45,D$7+IF(D$2=$AA45,$AC45,IF(D$2=$AF45,$AG45,0))))</f>
        <v/>
      </c>
      <c r="Q45">
        <f>IF(E44&lt;=0,0,MIN(AJ45,E$7+IF(E$2=$AA45,$AC45,IF(E$2=$AF45,$AG45,0))))</f>
        <v/>
      </c>
      <c r="R45">
        <f>IF(F44&lt;=0,0,MIN(AK45,F$7+IF(F$2=$AA45,$AC45,IF(F$2=$AF45,$AG45,0))))</f>
        <v/>
      </c>
      <c r="S45">
        <f>IF(G44&lt;=0,0,MIN(AL45,G$7+IF(G$2=$AA45,$AC45,IF(G$2=$AF45,$AG45,0))))</f>
        <v/>
      </c>
      <c r="T45">
        <f>IF(H44&lt;=0,0,MIN(AM45,H$7+IF(H$2=$AA45,$AC45,IF(H$2=$AF45,$AG45,0))))</f>
        <v/>
      </c>
      <c r="U45">
        <f>IF(I44&lt;=0,0,MIN(AN45,I$7+IF(I$2=$AA45,$AC45,IF(I$2=$AF45,$AG45,0))))</f>
        <v/>
      </c>
      <c r="V45">
        <f>IF(J44&lt;=0,0,MIN(AO45,J$7+IF(J$2=$AA45,$AC45,IF(J$2=$AF45,$AG45,0))))</f>
        <v/>
      </c>
      <c r="W45">
        <f>IF(K44&lt;=0,0,MIN(AP45,K$7+IF(K$2=$AA45,$AC45,IF(K$2=$AF45,$AG45,0))))</f>
        <v/>
      </c>
      <c r="X45">
        <f>IF(L44&lt;=0,0,MIN(AQ45,L$7+IF(L$2=$AA45,$AC45,IF(L$2=$AF45,$AG45,0))))</f>
        <v/>
      </c>
      <c r="Y45">
        <f>IF(M44&lt;=0,0,MIN(AR45,M$7+IF(M$2=$AA45,$AC45,IF(M$2=$AF45,$AG45,0))))</f>
        <v/>
      </c>
      <c r="Z45">
        <f>IF(N44&lt;=0,0,MIN(AS45,N$7+IF(N$2=$AA45,$AC45,IF(N$2=$AF45,$AG45,0))))</f>
        <v/>
      </c>
      <c r="AA45">
        <f>IFERROR(ROUND(1/SUMPRODUCT(MAX((C44:N44&gt;0)*($C$3:$N$3&lt;=B45)/$C$2:$N$2)),0),0)</f>
        <v/>
      </c>
      <c r="AB45">
        <f>SUMPRODUCT((C44:N44&gt;0)*$C$7:$N$7)</f>
        <v/>
      </c>
      <c r="AC45">
        <f>MAX(0,Plan!$C$5-AB45)+IF(A45=Plan!$C$8,N(Plan!$C$7),0)</f>
        <v/>
      </c>
      <c r="AD45">
        <f>SUM(C45:N45)</f>
        <v/>
      </c>
      <c r="AE45">
        <f>SUM(O45:Z45)</f>
        <v/>
      </c>
      <c r="AF45">
        <f>IFERROR(ROUND(1/SUMPRODUCT(MAX((C44:N44&gt;0)*($C$3:$N$3&lt;=B45)*($C$2:$N$2&gt;AA45)/$C$2:$N$2)),0),0)</f>
        <v/>
      </c>
      <c r="AG45">
        <f>MAX(0,AC45-MAX(0,SUMPRODUCT(($C$2:$N$2=AA45)*(AH45:AS45-$C$7:$N$7))))</f>
        <v/>
      </c>
      <c r="AH45">
        <f>IF(C44&lt;=0,0,ROUND(C44*(1+IF(AND(C$6&gt;0,$B45&lt;C$6),C$4,C$5)/12),2))</f>
        <v/>
      </c>
      <c r="AI45">
        <f>IF(D44&lt;=0,0,ROUND(D44*(1+IF(AND(D$6&gt;0,$B45&lt;D$6),D$4,D$5)/12),2))</f>
        <v/>
      </c>
      <c r="AJ45">
        <f>IF(E44&lt;=0,0,ROUND(E44*(1+IF(AND(E$6&gt;0,$B45&lt;E$6),E$4,E$5)/12),2))</f>
        <v/>
      </c>
      <c r="AK45">
        <f>IF(F44&lt;=0,0,ROUND(F44*(1+IF(AND(F$6&gt;0,$B45&lt;F$6),F$4,F$5)/12),2))</f>
        <v/>
      </c>
      <c r="AL45">
        <f>IF(G44&lt;=0,0,ROUND(G44*(1+IF(AND(G$6&gt;0,$B45&lt;G$6),G$4,G$5)/12),2))</f>
        <v/>
      </c>
      <c r="AM45">
        <f>IF(H44&lt;=0,0,ROUND(H44*(1+IF(AND(H$6&gt;0,$B45&lt;H$6),H$4,H$5)/12),2))</f>
        <v/>
      </c>
      <c r="AN45">
        <f>IF(I44&lt;=0,0,ROUND(I44*(1+IF(AND(I$6&gt;0,$B45&lt;I$6),I$4,I$5)/12),2))</f>
        <v/>
      </c>
      <c r="AO45">
        <f>IF(J44&lt;=0,0,ROUND(J44*(1+IF(AND(J$6&gt;0,$B45&lt;J$6),J$4,J$5)/12),2))</f>
        <v/>
      </c>
      <c r="AP45">
        <f>IF(K44&lt;=0,0,ROUND(K44*(1+IF(AND(K$6&gt;0,$B45&lt;K$6),K$4,K$5)/12),2))</f>
        <v/>
      </c>
      <c r="AQ45">
        <f>IF(L44&lt;=0,0,ROUND(L44*(1+IF(AND(L$6&gt;0,$B45&lt;L$6),L$4,L$5)/12),2))</f>
        <v/>
      </c>
      <c r="AR45">
        <f>IF(M44&lt;=0,0,ROUND(M44*(1+IF(AND(M$6&gt;0,$B45&lt;M$6),M$4,M$5)/12),2))</f>
        <v/>
      </c>
      <c r="AS45">
        <f>IF(N44&lt;=0,0,ROUND(N44*(1+IF(AND(N$6&gt;0,$B45&lt;N$6),N$4,N$5)/12),2))</f>
        <v/>
      </c>
    </row>
    <row r="46">
      <c r="A46" t="n">
        <v>35</v>
      </c>
      <c r="B46">
        <f>EDATE(Plan!$C$6,34)</f>
        <v/>
      </c>
      <c r="C46">
        <f>IF(C45&lt;=0,0,MAX(0,AH46-O46))</f>
        <v/>
      </c>
      <c r="D46">
        <f>IF(D45&lt;=0,0,MAX(0,AI46-P46))</f>
        <v/>
      </c>
      <c r="E46">
        <f>IF(E45&lt;=0,0,MAX(0,AJ46-Q46))</f>
        <v/>
      </c>
      <c r="F46">
        <f>IF(F45&lt;=0,0,MAX(0,AK46-R46))</f>
        <v/>
      </c>
      <c r="G46">
        <f>IF(G45&lt;=0,0,MAX(0,AL46-S46))</f>
        <v/>
      </c>
      <c r="H46">
        <f>IF(H45&lt;=0,0,MAX(0,AM46-T46))</f>
        <v/>
      </c>
      <c r="I46">
        <f>IF(I45&lt;=0,0,MAX(0,AN46-U46))</f>
        <v/>
      </c>
      <c r="J46">
        <f>IF(J45&lt;=0,0,MAX(0,AO46-V46))</f>
        <v/>
      </c>
      <c r="K46">
        <f>IF(K45&lt;=0,0,MAX(0,AP46-W46))</f>
        <v/>
      </c>
      <c r="L46">
        <f>IF(L45&lt;=0,0,MAX(0,AQ46-X46))</f>
        <v/>
      </c>
      <c r="M46">
        <f>IF(M45&lt;=0,0,MAX(0,AR46-Y46))</f>
        <v/>
      </c>
      <c r="N46">
        <f>IF(N45&lt;=0,0,MAX(0,AS46-Z46))</f>
        <v/>
      </c>
      <c r="O46">
        <f>IF(C45&lt;=0,0,MIN(AH46,C$7+IF(C$2=$AA46,$AC46,IF(C$2=$AF46,$AG46,0))))</f>
        <v/>
      </c>
      <c r="P46">
        <f>IF(D45&lt;=0,0,MIN(AI46,D$7+IF(D$2=$AA46,$AC46,IF(D$2=$AF46,$AG46,0))))</f>
        <v/>
      </c>
      <c r="Q46">
        <f>IF(E45&lt;=0,0,MIN(AJ46,E$7+IF(E$2=$AA46,$AC46,IF(E$2=$AF46,$AG46,0))))</f>
        <v/>
      </c>
      <c r="R46">
        <f>IF(F45&lt;=0,0,MIN(AK46,F$7+IF(F$2=$AA46,$AC46,IF(F$2=$AF46,$AG46,0))))</f>
        <v/>
      </c>
      <c r="S46">
        <f>IF(G45&lt;=0,0,MIN(AL46,G$7+IF(G$2=$AA46,$AC46,IF(G$2=$AF46,$AG46,0))))</f>
        <v/>
      </c>
      <c r="T46">
        <f>IF(H45&lt;=0,0,MIN(AM46,H$7+IF(H$2=$AA46,$AC46,IF(H$2=$AF46,$AG46,0))))</f>
        <v/>
      </c>
      <c r="U46">
        <f>IF(I45&lt;=0,0,MIN(AN46,I$7+IF(I$2=$AA46,$AC46,IF(I$2=$AF46,$AG46,0))))</f>
        <v/>
      </c>
      <c r="V46">
        <f>IF(J45&lt;=0,0,MIN(AO46,J$7+IF(J$2=$AA46,$AC46,IF(J$2=$AF46,$AG46,0))))</f>
        <v/>
      </c>
      <c r="W46">
        <f>IF(K45&lt;=0,0,MIN(AP46,K$7+IF(K$2=$AA46,$AC46,IF(K$2=$AF46,$AG46,0))))</f>
        <v/>
      </c>
      <c r="X46">
        <f>IF(L45&lt;=0,0,MIN(AQ46,L$7+IF(L$2=$AA46,$AC46,IF(L$2=$AF46,$AG46,0))))</f>
        <v/>
      </c>
      <c r="Y46">
        <f>IF(M45&lt;=0,0,MIN(AR46,M$7+IF(M$2=$AA46,$AC46,IF(M$2=$AF46,$AG46,0))))</f>
        <v/>
      </c>
      <c r="Z46">
        <f>IF(N45&lt;=0,0,MIN(AS46,N$7+IF(N$2=$AA46,$AC46,IF(N$2=$AF46,$AG46,0))))</f>
        <v/>
      </c>
      <c r="AA46">
        <f>IFERROR(ROUND(1/SUMPRODUCT(MAX((C45:N45&gt;0)*($C$3:$N$3&lt;=B46)/$C$2:$N$2)),0),0)</f>
        <v/>
      </c>
      <c r="AB46">
        <f>SUMPRODUCT((C45:N45&gt;0)*$C$7:$N$7)</f>
        <v/>
      </c>
      <c r="AC46">
        <f>MAX(0,Plan!$C$5-AB46)+IF(A46=Plan!$C$8,N(Plan!$C$7),0)</f>
        <v/>
      </c>
      <c r="AD46">
        <f>SUM(C46:N46)</f>
        <v/>
      </c>
      <c r="AE46">
        <f>SUM(O46:Z46)</f>
        <v/>
      </c>
      <c r="AF46">
        <f>IFERROR(ROUND(1/SUMPRODUCT(MAX((C45:N45&gt;0)*($C$3:$N$3&lt;=B46)*($C$2:$N$2&gt;AA46)/$C$2:$N$2)),0),0)</f>
        <v/>
      </c>
      <c r="AG46">
        <f>MAX(0,AC46-MAX(0,SUMPRODUCT(($C$2:$N$2=AA46)*(AH46:AS46-$C$7:$N$7))))</f>
        <v/>
      </c>
      <c r="AH46">
        <f>IF(C45&lt;=0,0,ROUND(C45*(1+IF(AND(C$6&gt;0,$B46&lt;C$6),C$4,C$5)/12),2))</f>
        <v/>
      </c>
      <c r="AI46">
        <f>IF(D45&lt;=0,0,ROUND(D45*(1+IF(AND(D$6&gt;0,$B46&lt;D$6),D$4,D$5)/12),2))</f>
        <v/>
      </c>
      <c r="AJ46">
        <f>IF(E45&lt;=0,0,ROUND(E45*(1+IF(AND(E$6&gt;0,$B46&lt;E$6),E$4,E$5)/12),2))</f>
        <v/>
      </c>
      <c r="AK46">
        <f>IF(F45&lt;=0,0,ROUND(F45*(1+IF(AND(F$6&gt;0,$B46&lt;F$6),F$4,F$5)/12),2))</f>
        <v/>
      </c>
      <c r="AL46">
        <f>IF(G45&lt;=0,0,ROUND(G45*(1+IF(AND(G$6&gt;0,$B46&lt;G$6),G$4,G$5)/12),2))</f>
        <v/>
      </c>
      <c r="AM46">
        <f>IF(H45&lt;=0,0,ROUND(H45*(1+IF(AND(H$6&gt;0,$B46&lt;H$6),H$4,H$5)/12),2))</f>
        <v/>
      </c>
      <c r="AN46">
        <f>IF(I45&lt;=0,0,ROUND(I45*(1+IF(AND(I$6&gt;0,$B46&lt;I$6),I$4,I$5)/12),2))</f>
        <v/>
      </c>
      <c r="AO46">
        <f>IF(J45&lt;=0,0,ROUND(J45*(1+IF(AND(J$6&gt;0,$B46&lt;J$6),J$4,J$5)/12),2))</f>
        <v/>
      </c>
      <c r="AP46">
        <f>IF(K45&lt;=0,0,ROUND(K45*(1+IF(AND(K$6&gt;0,$B46&lt;K$6),K$4,K$5)/12),2))</f>
        <v/>
      </c>
      <c r="AQ46">
        <f>IF(L45&lt;=0,0,ROUND(L45*(1+IF(AND(L$6&gt;0,$B46&lt;L$6),L$4,L$5)/12),2))</f>
        <v/>
      </c>
      <c r="AR46">
        <f>IF(M45&lt;=0,0,ROUND(M45*(1+IF(AND(M$6&gt;0,$B46&lt;M$6),M$4,M$5)/12),2))</f>
        <v/>
      </c>
      <c r="AS46">
        <f>IF(N45&lt;=0,0,ROUND(N45*(1+IF(AND(N$6&gt;0,$B46&lt;N$6),N$4,N$5)/12),2))</f>
        <v/>
      </c>
    </row>
    <row r="47">
      <c r="A47" t="n">
        <v>36</v>
      </c>
      <c r="B47">
        <f>EDATE(Plan!$C$6,35)</f>
        <v/>
      </c>
      <c r="C47">
        <f>IF(C46&lt;=0,0,MAX(0,AH47-O47))</f>
        <v/>
      </c>
      <c r="D47">
        <f>IF(D46&lt;=0,0,MAX(0,AI47-P47))</f>
        <v/>
      </c>
      <c r="E47">
        <f>IF(E46&lt;=0,0,MAX(0,AJ47-Q47))</f>
        <v/>
      </c>
      <c r="F47">
        <f>IF(F46&lt;=0,0,MAX(0,AK47-R47))</f>
        <v/>
      </c>
      <c r="G47">
        <f>IF(G46&lt;=0,0,MAX(0,AL47-S47))</f>
        <v/>
      </c>
      <c r="H47">
        <f>IF(H46&lt;=0,0,MAX(0,AM47-T47))</f>
        <v/>
      </c>
      <c r="I47">
        <f>IF(I46&lt;=0,0,MAX(0,AN47-U47))</f>
        <v/>
      </c>
      <c r="J47">
        <f>IF(J46&lt;=0,0,MAX(0,AO47-V47))</f>
        <v/>
      </c>
      <c r="K47">
        <f>IF(K46&lt;=0,0,MAX(0,AP47-W47))</f>
        <v/>
      </c>
      <c r="L47">
        <f>IF(L46&lt;=0,0,MAX(0,AQ47-X47))</f>
        <v/>
      </c>
      <c r="M47">
        <f>IF(M46&lt;=0,0,MAX(0,AR47-Y47))</f>
        <v/>
      </c>
      <c r="N47">
        <f>IF(N46&lt;=0,0,MAX(0,AS47-Z47))</f>
        <v/>
      </c>
      <c r="O47">
        <f>IF(C46&lt;=0,0,MIN(AH47,C$7+IF(C$2=$AA47,$AC47,IF(C$2=$AF47,$AG47,0))))</f>
        <v/>
      </c>
      <c r="P47">
        <f>IF(D46&lt;=0,0,MIN(AI47,D$7+IF(D$2=$AA47,$AC47,IF(D$2=$AF47,$AG47,0))))</f>
        <v/>
      </c>
      <c r="Q47">
        <f>IF(E46&lt;=0,0,MIN(AJ47,E$7+IF(E$2=$AA47,$AC47,IF(E$2=$AF47,$AG47,0))))</f>
        <v/>
      </c>
      <c r="R47">
        <f>IF(F46&lt;=0,0,MIN(AK47,F$7+IF(F$2=$AA47,$AC47,IF(F$2=$AF47,$AG47,0))))</f>
        <v/>
      </c>
      <c r="S47">
        <f>IF(G46&lt;=0,0,MIN(AL47,G$7+IF(G$2=$AA47,$AC47,IF(G$2=$AF47,$AG47,0))))</f>
        <v/>
      </c>
      <c r="T47">
        <f>IF(H46&lt;=0,0,MIN(AM47,H$7+IF(H$2=$AA47,$AC47,IF(H$2=$AF47,$AG47,0))))</f>
        <v/>
      </c>
      <c r="U47">
        <f>IF(I46&lt;=0,0,MIN(AN47,I$7+IF(I$2=$AA47,$AC47,IF(I$2=$AF47,$AG47,0))))</f>
        <v/>
      </c>
      <c r="V47">
        <f>IF(J46&lt;=0,0,MIN(AO47,J$7+IF(J$2=$AA47,$AC47,IF(J$2=$AF47,$AG47,0))))</f>
        <v/>
      </c>
      <c r="W47">
        <f>IF(K46&lt;=0,0,MIN(AP47,K$7+IF(K$2=$AA47,$AC47,IF(K$2=$AF47,$AG47,0))))</f>
        <v/>
      </c>
      <c r="X47">
        <f>IF(L46&lt;=0,0,MIN(AQ47,L$7+IF(L$2=$AA47,$AC47,IF(L$2=$AF47,$AG47,0))))</f>
        <v/>
      </c>
      <c r="Y47">
        <f>IF(M46&lt;=0,0,MIN(AR47,M$7+IF(M$2=$AA47,$AC47,IF(M$2=$AF47,$AG47,0))))</f>
        <v/>
      </c>
      <c r="Z47">
        <f>IF(N46&lt;=0,0,MIN(AS47,N$7+IF(N$2=$AA47,$AC47,IF(N$2=$AF47,$AG47,0))))</f>
        <v/>
      </c>
      <c r="AA47">
        <f>IFERROR(ROUND(1/SUMPRODUCT(MAX((C46:N46&gt;0)*($C$3:$N$3&lt;=B47)/$C$2:$N$2)),0),0)</f>
        <v/>
      </c>
      <c r="AB47">
        <f>SUMPRODUCT((C46:N46&gt;0)*$C$7:$N$7)</f>
        <v/>
      </c>
      <c r="AC47">
        <f>MAX(0,Plan!$C$5-AB47)+IF(A47=Plan!$C$8,N(Plan!$C$7),0)</f>
        <v/>
      </c>
      <c r="AD47">
        <f>SUM(C47:N47)</f>
        <v/>
      </c>
      <c r="AE47">
        <f>SUM(O47:Z47)</f>
        <v/>
      </c>
      <c r="AF47">
        <f>IFERROR(ROUND(1/SUMPRODUCT(MAX((C46:N46&gt;0)*($C$3:$N$3&lt;=B47)*($C$2:$N$2&gt;AA47)/$C$2:$N$2)),0),0)</f>
        <v/>
      </c>
      <c r="AG47">
        <f>MAX(0,AC47-MAX(0,SUMPRODUCT(($C$2:$N$2=AA47)*(AH47:AS47-$C$7:$N$7))))</f>
        <v/>
      </c>
      <c r="AH47">
        <f>IF(C46&lt;=0,0,ROUND(C46*(1+IF(AND(C$6&gt;0,$B47&lt;C$6),C$4,C$5)/12),2))</f>
        <v/>
      </c>
      <c r="AI47">
        <f>IF(D46&lt;=0,0,ROUND(D46*(1+IF(AND(D$6&gt;0,$B47&lt;D$6),D$4,D$5)/12),2))</f>
        <v/>
      </c>
      <c r="AJ47">
        <f>IF(E46&lt;=0,0,ROUND(E46*(1+IF(AND(E$6&gt;0,$B47&lt;E$6),E$4,E$5)/12),2))</f>
        <v/>
      </c>
      <c r="AK47">
        <f>IF(F46&lt;=0,0,ROUND(F46*(1+IF(AND(F$6&gt;0,$B47&lt;F$6),F$4,F$5)/12),2))</f>
        <v/>
      </c>
      <c r="AL47">
        <f>IF(G46&lt;=0,0,ROUND(G46*(1+IF(AND(G$6&gt;0,$B47&lt;G$6),G$4,G$5)/12),2))</f>
        <v/>
      </c>
      <c r="AM47">
        <f>IF(H46&lt;=0,0,ROUND(H46*(1+IF(AND(H$6&gt;0,$B47&lt;H$6),H$4,H$5)/12),2))</f>
        <v/>
      </c>
      <c r="AN47">
        <f>IF(I46&lt;=0,0,ROUND(I46*(1+IF(AND(I$6&gt;0,$B47&lt;I$6),I$4,I$5)/12),2))</f>
        <v/>
      </c>
      <c r="AO47">
        <f>IF(J46&lt;=0,0,ROUND(J46*(1+IF(AND(J$6&gt;0,$B47&lt;J$6),J$4,J$5)/12),2))</f>
        <v/>
      </c>
      <c r="AP47">
        <f>IF(K46&lt;=0,0,ROUND(K46*(1+IF(AND(K$6&gt;0,$B47&lt;K$6),K$4,K$5)/12),2))</f>
        <v/>
      </c>
      <c r="AQ47">
        <f>IF(L46&lt;=0,0,ROUND(L46*(1+IF(AND(L$6&gt;0,$B47&lt;L$6),L$4,L$5)/12),2))</f>
        <v/>
      </c>
      <c r="AR47">
        <f>IF(M46&lt;=0,0,ROUND(M46*(1+IF(AND(M$6&gt;0,$B47&lt;M$6),M$4,M$5)/12),2))</f>
        <v/>
      </c>
      <c r="AS47">
        <f>IF(N46&lt;=0,0,ROUND(N46*(1+IF(AND(N$6&gt;0,$B47&lt;N$6),N$4,N$5)/12),2))</f>
        <v/>
      </c>
    </row>
    <row r="48">
      <c r="A48" t="n">
        <v>37</v>
      </c>
      <c r="B48">
        <f>EDATE(Plan!$C$6,36)</f>
        <v/>
      </c>
      <c r="C48">
        <f>IF(C47&lt;=0,0,MAX(0,AH48-O48))</f>
        <v/>
      </c>
      <c r="D48">
        <f>IF(D47&lt;=0,0,MAX(0,AI48-P48))</f>
        <v/>
      </c>
      <c r="E48">
        <f>IF(E47&lt;=0,0,MAX(0,AJ48-Q48))</f>
        <v/>
      </c>
      <c r="F48">
        <f>IF(F47&lt;=0,0,MAX(0,AK48-R48))</f>
        <v/>
      </c>
      <c r="G48">
        <f>IF(G47&lt;=0,0,MAX(0,AL48-S48))</f>
        <v/>
      </c>
      <c r="H48">
        <f>IF(H47&lt;=0,0,MAX(0,AM48-T48))</f>
        <v/>
      </c>
      <c r="I48">
        <f>IF(I47&lt;=0,0,MAX(0,AN48-U48))</f>
        <v/>
      </c>
      <c r="J48">
        <f>IF(J47&lt;=0,0,MAX(0,AO48-V48))</f>
        <v/>
      </c>
      <c r="K48">
        <f>IF(K47&lt;=0,0,MAX(0,AP48-W48))</f>
        <v/>
      </c>
      <c r="L48">
        <f>IF(L47&lt;=0,0,MAX(0,AQ48-X48))</f>
        <v/>
      </c>
      <c r="M48">
        <f>IF(M47&lt;=0,0,MAX(0,AR48-Y48))</f>
        <v/>
      </c>
      <c r="N48">
        <f>IF(N47&lt;=0,0,MAX(0,AS48-Z48))</f>
        <v/>
      </c>
      <c r="O48">
        <f>IF(C47&lt;=0,0,MIN(AH48,C$7+IF(C$2=$AA48,$AC48,IF(C$2=$AF48,$AG48,0))))</f>
        <v/>
      </c>
      <c r="P48">
        <f>IF(D47&lt;=0,0,MIN(AI48,D$7+IF(D$2=$AA48,$AC48,IF(D$2=$AF48,$AG48,0))))</f>
        <v/>
      </c>
      <c r="Q48">
        <f>IF(E47&lt;=0,0,MIN(AJ48,E$7+IF(E$2=$AA48,$AC48,IF(E$2=$AF48,$AG48,0))))</f>
        <v/>
      </c>
      <c r="R48">
        <f>IF(F47&lt;=0,0,MIN(AK48,F$7+IF(F$2=$AA48,$AC48,IF(F$2=$AF48,$AG48,0))))</f>
        <v/>
      </c>
      <c r="S48">
        <f>IF(G47&lt;=0,0,MIN(AL48,G$7+IF(G$2=$AA48,$AC48,IF(G$2=$AF48,$AG48,0))))</f>
        <v/>
      </c>
      <c r="T48">
        <f>IF(H47&lt;=0,0,MIN(AM48,H$7+IF(H$2=$AA48,$AC48,IF(H$2=$AF48,$AG48,0))))</f>
        <v/>
      </c>
      <c r="U48">
        <f>IF(I47&lt;=0,0,MIN(AN48,I$7+IF(I$2=$AA48,$AC48,IF(I$2=$AF48,$AG48,0))))</f>
        <v/>
      </c>
      <c r="V48">
        <f>IF(J47&lt;=0,0,MIN(AO48,J$7+IF(J$2=$AA48,$AC48,IF(J$2=$AF48,$AG48,0))))</f>
        <v/>
      </c>
      <c r="W48">
        <f>IF(K47&lt;=0,0,MIN(AP48,K$7+IF(K$2=$AA48,$AC48,IF(K$2=$AF48,$AG48,0))))</f>
        <v/>
      </c>
      <c r="X48">
        <f>IF(L47&lt;=0,0,MIN(AQ48,L$7+IF(L$2=$AA48,$AC48,IF(L$2=$AF48,$AG48,0))))</f>
        <v/>
      </c>
      <c r="Y48">
        <f>IF(M47&lt;=0,0,MIN(AR48,M$7+IF(M$2=$AA48,$AC48,IF(M$2=$AF48,$AG48,0))))</f>
        <v/>
      </c>
      <c r="Z48">
        <f>IF(N47&lt;=0,0,MIN(AS48,N$7+IF(N$2=$AA48,$AC48,IF(N$2=$AF48,$AG48,0))))</f>
        <v/>
      </c>
      <c r="AA48">
        <f>IFERROR(ROUND(1/SUMPRODUCT(MAX((C47:N47&gt;0)*($C$3:$N$3&lt;=B48)/$C$2:$N$2)),0),0)</f>
        <v/>
      </c>
      <c r="AB48">
        <f>SUMPRODUCT((C47:N47&gt;0)*$C$7:$N$7)</f>
        <v/>
      </c>
      <c r="AC48">
        <f>MAX(0,Plan!$C$5-AB48)+IF(A48=Plan!$C$8,N(Plan!$C$7),0)</f>
        <v/>
      </c>
      <c r="AD48">
        <f>SUM(C48:N48)</f>
        <v/>
      </c>
      <c r="AE48">
        <f>SUM(O48:Z48)</f>
        <v/>
      </c>
      <c r="AF48">
        <f>IFERROR(ROUND(1/SUMPRODUCT(MAX((C47:N47&gt;0)*($C$3:$N$3&lt;=B48)*($C$2:$N$2&gt;AA48)/$C$2:$N$2)),0),0)</f>
        <v/>
      </c>
      <c r="AG48">
        <f>MAX(0,AC48-MAX(0,SUMPRODUCT(($C$2:$N$2=AA48)*(AH48:AS48-$C$7:$N$7))))</f>
        <v/>
      </c>
      <c r="AH48">
        <f>IF(C47&lt;=0,0,ROUND(C47*(1+IF(AND(C$6&gt;0,$B48&lt;C$6),C$4,C$5)/12),2))</f>
        <v/>
      </c>
      <c r="AI48">
        <f>IF(D47&lt;=0,0,ROUND(D47*(1+IF(AND(D$6&gt;0,$B48&lt;D$6),D$4,D$5)/12),2))</f>
        <v/>
      </c>
      <c r="AJ48">
        <f>IF(E47&lt;=0,0,ROUND(E47*(1+IF(AND(E$6&gt;0,$B48&lt;E$6),E$4,E$5)/12),2))</f>
        <v/>
      </c>
      <c r="AK48">
        <f>IF(F47&lt;=0,0,ROUND(F47*(1+IF(AND(F$6&gt;0,$B48&lt;F$6),F$4,F$5)/12),2))</f>
        <v/>
      </c>
      <c r="AL48">
        <f>IF(G47&lt;=0,0,ROUND(G47*(1+IF(AND(G$6&gt;0,$B48&lt;G$6),G$4,G$5)/12),2))</f>
        <v/>
      </c>
      <c r="AM48">
        <f>IF(H47&lt;=0,0,ROUND(H47*(1+IF(AND(H$6&gt;0,$B48&lt;H$6),H$4,H$5)/12),2))</f>
        <v/>
      </c>
      <c r="AN48">
        <f>IF(I47&lt;=0,0,ROUND(I47*(1+IF(AND(I$6&gt;0,$B48&lt;I$6),I$4,I$5)/12),2))</f>
        <v/>
      </c>
      <c r="AO48">
        <f>IF(J47&lt;=0,0,ROUND(J47*(1+IF(AND(J$6&gt;0,$B48&lt;J$6),J$4,J$5)/12),2))</f>
        <v/>
      </c>
      <c r="AP48">
        <f>IF(K47&lt;=0,0,ROUND(K47*(1+IF(AND(K$6&gt;0,$B48&lt;K$6),K$4,K$5)/12),2))</f>
        <v/>
      </c>
      <c r="AQ48">
        <f>IF(L47&lt;=0,0,ROUND(L47*(1+IF(AND(L$6&gt;0,$B48&lt;L$6),L$4,L$5)/12),2))</f>
        <v/>
      </c>
      <c r="AR48">
        <f>IF(M47&lt;=0,0,ROUND(M47*(1+IF(AND(M$6&gt;0,$B48&lt;M$6),M$4,M$5)/12),2))</f>
        <v/>
      </c>
      <c r="AS48">
        <f>IF(N47&lt;=0,0,ROUND(N47*(1+IF(AND(N$6&gt;0,$B48&lt;N$6),N$4,N$5)/12),2))</f>
        <v/>
      </c>
    </row>
    <row r="49">
      <c r="A49" t="n">
        <v>38</v>
      </c>
      <c r="B49">
        <f>EDATE(Plan!$C$6,37)</f>
        <v/>
      </c>
      <c r="C49">
        <f>IF(C48&lt;=0,0,MAX(0,AH49-O49))</f>
        <v/>
      </c>
      <c r="D49">
        <f>IF(D48&lt;=0,0,MAX(0,AI49-P49))</f>
        <v/>
      </c>
      <c r="E49">
        <f>IF(E48&lt;=0,0,MAX(0,AJ49-Q49))</f>
        <v/>
      </c>
      <c r="F49">
        <f>IF(F48&lt;=0,0,MAX(0,AK49-R49))</f>
        <v/>
      </c>
      <c r="G49">
        <f>IF(G48&lt;=0,0,MAX(0,AL49-S49))</f>
        <v/>
      </c>
      <c r="H49">
        <f>IF(H48&lt;=0,0,MAX(0,AM49-T49))</f>
        <v/>
      </c>
      <c r="I49">
        <f>IF(I48&lt;=0,0,MAX(0,AN49-U49))</f>
        <v/>
      </c>
      <c r="J49">
        <f>IF(J48&lt;=0,0,MAX(0,AO49-V49))</f>
        <v/>
      </c>
      <c r="K49">
        <f>IF(K48&lt;=0,0,MAX(0,AP49-W49))</f>
        <v/>
      </c>
      <c r="L49">
        <f>IF(L48&lt;=0,0,MAX(0,AQ49-X49))</f>
        <v/>
      </c>
      <c r="M49">
        <f>IF(M48&lt;=0,0,MAX(0,AR49-Y49))</f>
        <v/>
      </c>
      <c r="N49">
        <f>IF(N48&lt;=0,0,MAX(0,AS49-Z49))</f>
        <v/>
      </c>
      <c r="O49">
        <f>IF(C48&lt;=0,0,MIN(AH49,C$7+IF(C$2=$AA49,$AC49,IF(C$2=$AF49,$AG49,0))))</f>
        <v/>
      </c>
      <c r="P49">
        <f>IF(D48&lt;=0,0,MIN(AI49,D$7+IF(D$2=$AA49,$AC49,IF(D$2=$AF49,$AG49,0))))</f>
        <v/>
      </c>
      <c r="Q49">
        <f>IF(E48&lt;=0,0,MIN(AJ49,E$7+IF(E$2=$AA49,$AC49,IF(E$2=$AF49,$AG49,0))))</f>
        <v/>
      </c>
      <c r="R49">
        <f>IF(F48&lt;=0,0,MIN(AK49,F$7+IF(F$2=$AA49,$AC49,IF(F$2=$AF49,$AG49,0))))</f>
        <v/>
      </c>
      <c r="S49">
        <f>IF(G48&lt;=0,0,MIN(AL49,G$7+IF(G$2=$AA49,$AC49,IF(G$2=$AF49,$AG49,0))))</f>
        <v/>
      </c>
      <c r="T49">
        <f>IF(H48&lt;=0,0,MIN(AM49,H$7+IF(H$2=$AA49,$AC49,IF(H$2=$AF49,$AG49,0))))</f>
        <v/>
      </c>
      <c r="U49">
        <f>IF(I48&lt;=0,0,MIN(AN49,I$7+IF(I$2=$AA49,$AC49,IF(I$2=$AF49,$AG49,0))))</f>
        <v/>
      </c>
      <c r="V49">
        <f>IF(J48&lt;=0,0,MIN(AO49,J$7+IF(J$2=$AA49,$AC49,IF(J$2=$AF49,$AG49,0))))</f>
        <v/>
      </c>
      <c r="W49">
        <f>IF(K48&lt;=0,0,MIN(AP49,K$7+IF(K$2=$AA49,$AC49,IF(K$2=$AF49,$AG49,0))))</f>
        <v/>
      </c>
      <c r="X49">
        <f>IF(L48&lt;=0,0,MIN(AQ49,L$7+IF(L$2=$AA49,$AC49,IF(L$2=$AF49,$AG49,0))))</f>
        <v/>
      </c>
      <c r="Y49">
        <f>IF(M48&lt;=0,0,MIN(AR49,M$7+IF(M$2=$AA49,$AC49,IF(M$2=$AF49,$AG49,0))))</f>
        <v/>
      </c>
      <c r="Z49">
        <f>IF(N48&lt;=0,0,MIN(AS49,N$7+IF(N$2=$AA49,$AC49,IF(N$2=$AF49,$AG49,0))))</f>
        <v/>
      </c>
      <c r="AA49">
        <f>IFERROR(ROUND(1/SUMPRODUCT(MAX((C48:N48&gt;0)*($C$3:$N$3&lt;=B49)/$C$2:$N$2)),0),0)</f>
        <v/>
      </c>
      <c r="AB49">
        <f>SUMPRODUCT((C48:N48&gt;0)*$C$7:$N$7)</f>
        <v/>
      </c>
      <c r="AC49">
        <f>MAX(0,Plan!$C$5-AB49)+IF(A49=Plan!$C$8,N(Plan!$C$7),0)</f>
        <v/>
      </c>
      <c r="AD49">
        <f>SUM(C49:N49)</f>
        <v/>
      </c>
      <c r="AE49">
        <f>SUM(O49:Z49)</f>
        <v/>
      </c>
      <c r="AF49">
        <f>IFERROR(ROUND(1/SUMPRODUCT(MAX((C48:N48&gt;0)*($C$3:$N$3&lt;=B49)*($C$2:$N$2&gt;AA49)/$C$2:$N$2)),0),0)</f>
        <v/>
      </c>
      <c r="AG49">
        <f>MAX(0,AC49-MAX(0,SUMPRODUCT(($C$2:$N$2=AA49)*(AH49:AS49-$C$7:$N$7))))</f>
        <v/>
      </c>
      <c r="AH49">
        <f>IF(C48&lt;=0,0,ROUND(C48*(1+IF(AND(C$6&gt;0,$B49&lt;C$6),C$4,C$5)/12),2))</f>
        <v/>
      </c>
      <c r="AI49">
        <f>IF(D48&lt;=0,0,ROUND(D48*(1+IF(AND(D$6&gt;0,$B49&lt;D$6),D$4,D$5)/12),2))</f>
        <v/>
      </c>
      <c r="AJ49">
        <f>IF(E48&lt;=0,0,ROUND(E48*(1+IF(AND(E$6&gt;0,$B49&lt;E$6),E$4,E$5)/12),2))</f>
        <v/>
      </c>
      <c r="AK49">
        <f>IF(F48&lt;=0,0,ROUND(F48*(1+IF(AND(F$6&gt;0,$B49&lt;F$6),F$4,F$5)/12),2))</f>
        <v/>
      </c>
      <c r="AL49">
        <f>IF(G48&lt;=0,0,ROUND(G48*(1+IF(AND(G$6&gt;0,$B49&lt;G$6),G$4,G$5)/12),2))</f>
        <v/>
      </c>
      <c r="AM49">
        <f>IF(H48&lt;=0,0,ROUND(H48*(1+IF(AND(H$6&gt;0,$B49&lt;H$6),H$4,H$5)/12),2))</f>
        <v/>
      </c>
      <c r="AN49">
        <f>IF(I48&lt;=0,0,ROUND(I48*(1+IF(AND(I$6&gt;0,$B49&lt;I$6),I$4,I$5)/12),2))</f>
        <v/>
      </c>
      <c r="AO49">
        <f>IF(J48&lt;=0,0,ROUND(J48*(1+IF(AND(J$6&gt;0,$B49&lt;J$6),J$4,J$5)/12),2))</f>
        <v/>
      </c>
      <c r="AP49">
        <f>IF(K48&lt;=0,0,ROUND(K48*(1+IF(AND(K$6&gt;0,$B49&lt;K$6),K$4,K$5)/12),2))</f>
        <v/>
      </c>
      <c r="AQ49">
        <f>IF(L48&lt;=0,0,ROUND(L48*(1+IF(AND(L$6&gt;0,$B49&lt;L$6),L$4,L$5)/12),2))</f>
        <v/>
      </c>
      <c r="AR49">
        <f>IF(M48&lt;=0,0,ROUND(M48*(1+IF(AND(M$6&gt;0,$B49&lt;M$6),M$4,M$5)/12),2))</f>
        <v/>
      </c>
      <c r="AS49">
        <f>IF(N48&lt;=0,0,ROUND(N48*(1+IF(AND(N$6&gt;0,$B49&lt;N$6),N$4,N$5)/12),2))</f>
        <v/>
      </c>
    </row>
    <row r="50">
      <c r="A50" t="n">
        <v>39</v>
      </c>
      <c r="B50">
        <f>EDATE(Plan!$C$6,38)</f>
        <v/>
      </c>
      <c r="C50">
        <f>IF(C49&lt;=0,0,MAX(0,AH50-O50))</f>
        <v/>
      </c>
      <c r="D50">
        <f>IF(D49&lt;=0,0,MAX(0,AI50-P50))</f>
        <v/>
      </c>
      <c r="E50">
        <f>IF(E49&lt;=0,0,MAX(0,AJ50-Q50))</f>
        <v/>
      </c>
      <c r="F50">
        <f>IF(F49&lt;=0,0,MAX(0,AK50-R50))</f>
        <v/>
      </c>
      <c r="G50">
        <f>IF(G49&lt;=0,0,MAX(0,AL50-S50))</f>
        <v/>
      </c>
      <c r="H50">
        <f>IF(H49&lt;=0,0,MAX(0,AM50-T50))</f>
        <v/>
      </c>
      <c r="I50">
        <f>IF(I49&lt;=0,0,MAX(0,AN50-U50))</f>
        <v/>
      </c>
      <c r="J50">
        <f>IF(J49&lt;=0,0,MAX(0,AO50-V50))</f>
        <v/>
      </c>
      <c r="K50">
        <f>IF(K49&lt;=0,0,MAX(0,AP50-W50))</f>
        <v/>
      </c>
      <c r="L50">
        <f>IF(L49&lt;=0,0,MAX(0,AQ50-X50))</f>
        <v/>
      </c>
      <c r="M50">
        <f>IF(M49&lt;=0,0,MAX(0,AR50-Y50))</f>
        <v/>
      </c>
      <c r="N50">
        <f>IF(N49&lt;=0,0,MAX(0,AS50-Z50))</f>
        <v/>
      </c>
      <c r="O50">
        <f>IF(C49&lt;=0,0,MIN(AH50,C$7+IF(C$2=$AA50,$AC50,IF(C$2=$AF50,$AG50,0))))</f>
        <v/>
      </c>
      <c r="P50">
        <f>IF(D49&lt;=0,0,MIN(AI50,D$7+IF(D$2=$AA50,$AC50,IF(D$2=$AF50,$AG50,0))))</f>
        <v/>
      </c>
      <c r="Q50">
        <f>IF(E49&lt;=0,0,MIN(AJ50,E$7+IF(E$2=$AA50,$AC50,IF(E$2=$AF50,$AG50,0))))</f>
        <v/>
      </c>
      <c r="R50">
        <f>IF(F49&lt;=0,0,MIN(AK50,F$7+IF(F$2=$AA50,$AC50,IF(F$2=$AF50,$AG50,0))))</f>
        <v/>
      </c>
      <c r="S50">
        <f>IF(G49&lt;=0,0,MIN(AL50,G$7+IF(G$2=$AA50,$AC50,IF(G$2=$AF50,$AG50,0))))</f>
        <v/>
      </c>
      <c r="T50">
        <f>IF(H49&lt;=0,0,MIN(AM50,H$7+IF(H$2=$AA50,$AC50,IF(H$2=$AF50,$AG50,0))))</f>
        <v/>
      </c>
      <c r="U50">
        <f>IF(I49&lt;=0,0,MIN(AN50,I$7+IF(I$2=$AA50,$AC50,IF(I$2=$AF50,$AG50,0))))</f>
        <v/>
      </c>
      <c r="V50">
        <f>IF(J49&lt;=0,0,MIN(AO50,J$7+IF(J$2=$AA50,$AC50,IF(J$2=$AF50,$AG50,0))))</f>
        <v/>
      </c>
      <c r="W50">
        <f>IF(K49&lt;=0,0,MIN(AP50,K$7+IF(K$2=$AA50,$AC50,IF(K$2=$AF50,$AG50,0))))</f>
        <v/>
      </c>
      <c r="X50">
        <f>IF(L49&lt;=0,0,MIN(AQ50,L$7+IF(L$2=$AA50,$AC50,IF(L$2=$AF50,$AG50,0))))</f>
        <v/>
      </c>
      <c r="Y50">
        <f>IF(M49&lt;=0,0,MIN(AR50,M$7+IF(M$2=$AA50,$AC50,IF(M$2=$AF50,$AG50,0))))</f>
        <v/>
      </c>
      <c r="Z50">
        <f>IF(N49&lt;=0,0,MIN(AS50,N$7+IF(N$2=$AA50,$AC50,IF(N$2=$AF50,$AG50,0))))</f>
        <v/>
      </c>
      <c r="AA50">
        <f>IFERROR(ROUND(1/SUMPRODUCT(MAX((C49:N49&gt;0)*($C$3:$N$3&lt;=B50)/$C$2:$N$2)),0),0)</f>
        <v/>
      </c>
      <c r="AB50">
        <f>SUMPRODUCT((C49:N49&gt;0)*$C$7:$N$7)</f>
        <v/>
      </c>
      <c r="AC50">
        <f>MAX(0,Plan!$C$5-AB50)+IF(A50=Plan!$C$8,N(Plan!$C$7),0)</f>
        <v/>
      </c>
      <c r="AD50">
        <f>SUM(C50:N50)</f>
        <v/>
      </c>
      <c r="AE50">
        <f>SUM(O50:Z50)</f>
        <v/>
      </c>
      <c r="AF50">
        <f>IFERROR(ROUND(1/SUMPRODUCT(MAX((C49:N49&gt;0)*($C$3:$N$3&lt;=B50)*($C$2:$N$2&gt;AA50)/$C$2:$N$2)),0),0)</f>
        <v/>
      </c>
      <c r="AG50">
        <f>MAX(0,AC50-MAX(0,SUMPRODUCT(($C$2:$N$2=AA50)*(AH50:AS50-$C$7:$N$7))))</f>
        <v/>
      </c>
      <c r="AH50">
        <f>IF(C49&lt;=0,0,ROUND(C49*(1+IF(AND(C$6&gt;0,$B50&lt;C$6),C$4,C$5)/12),2))</f>
        <v/>
      </c>
      <c r="AI50">
        <f>IF(D49&lt;=0,0,ROUND(D49*(1+IF(AND(D$6&gt;0,$B50&lt;D$6),D$4,D$5)/12),2))</f>
        <v/>
      </c>
      <c r="AJ50">
        <f>IF(E49&lt;=0,0,ROUND(E49*(1+IF(AND(E$6&gt;0,$B50&lt;E$6),E$4,E$5)/12),2))</f>
        <v/>
      </c>
      <c r="AK50">
        <f>IF(F49&lt;=0,0,ROUND(F49*(1+IF(AND(F$6&gt;0,$B50&lt;F$6),F$4,F$5)/12),2))</f>
        <v/>
      </c>
      <c r="AL50">
        <f>IF(G49&lt;=0,0,ROUND(G49*(1+IF(AND(G$6&gt;0,$B50&lt;G$6),G$4,G$5)/12),2))</f>
        <v/>
      </c>
      <c r="AM50">
        <f>IF(H49&lt;=0,0,ROUND(H49*(1+IF(AND(H$6&gt;0,$B50&lt;H$6),H$4,H$5)/12),2))</f>
        <v/>
      </c>
      <c r="AN50">
        <f>IF(I49&lt;=0,0,ROUND(I49*(1+IF(AND(I$6&gt;0,$B50&lt;I$6),I$4,I$5)/12),2))</f>
        <v/>
      </c>
      <c r="AO50">
        <f>IF(J49&lt;=0,0,ROUND(J49*(1+IF(AND(J$6&gt;0,$B50&lt;J$6),J$4,J$5)/12),2))</f>
        <v/>
      </c>
      <c r="AP50">
        <f>IF(K49&lt;=0,0,ROUND(K49*(1+IF(AND(K$6&gt;0,$B50&lt;K$6),K$4,K$5)/12),2))</f>
        <v/>
      </c>
      <c r="AQ50">
        <f>IF(L49&lt;=0,0,ROUND(L49*(1+IF(AND(L$6&gt;0,$B50&lt;L$6),L$4,L$5)/12),2))</f>
        <v/>
      </c>
      <c r="AR50">
        <f>IF(M49&lt;=0,0,ROUND(M49*(1+IF(AND(M$6&gt;0,$B50&lt;M$6),M$4,M$5)/12),2))</f>
        <v/>
      </c>
      <c r="AS50">
        <f>IF(N49&lt;=0,0,ROUND(N49*(1+IF(AND(N$6&gt;0,$B50&lt;N$6),N$4,N$5)/12),2))</f>
        <v/>
      </c>
    </row>
    <row r="51">
      <c r="A51" t="n">
        <v>40</v>
      </c>
      <c r="B51">
        <f>EDATE(Plan!$C$6,39)</f>
        <v/>
      </c>
      <c r="C51">
        <f>IF(C50&lt;=0,0,MAX(0,AH51-O51))</f>
        <v/>
      </c>
      <c r="D51">
        <f>IF(D50&lt;=0,0,MAX(0,AI51-P51))</f>
        <v/>
      </c>
      <c r="E51">
        <f>IF(E50&lt;=0,0,MAX(0,AJ51-Q51))</f>
        <v/>
      </c>
      <c r="F51">
        <f>IF(F50&lt;=0,0,MAX(0,AK51-R51))</f>
        <v/>
      </c>
      <c r="G51">
        <f>IF(G50&lt;=0,0,MAX(0,AL51-S51))</f>
        <v/>
      </c>
      <c r="H51">
        <f>IF(H50&lt;=0,0,MAX(0,AM51-T51))</f>
        <v/>
      </c>
      <c r="I51">
        <f>IF(I50&lt;=0,0,MAX(0,AN51-U51))</f>
        <v/>
      </c>
      <c r="J51">
        <f>IF(J50&lt;=0,0,MAX(0,AO51-V51))</f>
        <v/>
      </c>
      <c r="K51">
        <f>IF(K50&lt;=0,0,MAX(0,AP51-W51))</f>
        <v/>
      </c>
      <c r="L51">
        <f>IF(L50&lt;=0,0,MAX(0,AQ51-X51))</f>
        <v/>
      </c>
      <c r="M51">
        <f>IF(M50&lt;=0,0,MAX(0,AR51-Y51))</f>
        <v/>
      </c>
      <c r="N51">
        <f>IF(N50&lt;=0,0,MAX(0,AS51-Z51))</f>
        <v/>
      </c>
      <c r="O51">
        <f>IF(C50&lt;=0,0,MIN(AH51,C$7+IF(C$2=$AA51,$AC51,IF(C$2=$AF51,$AG51,0))))</f>
        <v/>
      </c>
      <c r="P51">
        <f>IF(D50&lt;=0,0,MIN(AI51,D$7+IF(D$2=$AA51,$AC51,IF(D$2=$AF51,$AG51,0))))</f>
        <v/>
      </c>
      <c r="Q51">
        <f>IF(E50&lt;=0,0,MIN(AJ51,E$7+IF(E$2=$AA51,$AC51,IF(E$2=$AF51,$AG51,0))))</f>
        <v/>
      </c>
      <c r="R51">
        <f>IF(F50&lt;=0,0,MIN(AK51,F$7+IF(F$2=$AA51,$AC51,IF(F$2=$AF51,$AG51,0))))</f>
        <v/>
      </c>
      <c r="S51">
        <f>IF(G50&lt;=0,0,MIN(AL51,G$7+IF(G$2=$AA51,$AC51,IF(G$2=$AF51,$AG51,0))))</f>
        <v/>
      </c>
      <c r="T51">
        <f>IF(H50&lt;=0,0,MIN(AM51,H$7+IF(H$2=$AA51,$AC51,IF(H$2=$AF51,$AG51,0))))</f>
        <v/>
      </c>
      <c r="U51">
        <f>IF(I50&lt;=0,0,MIN(AN51,I$7+IF(I$2=$AA51,$AC51,IF(I$2=$AF51,$AG51,0))))</f>
        <v/>
      </c>
      <c r="V51">
        <f>IF(J50&lt;=0,0,MIN(AO51,J$7+IF(J$2=$AA51,$AC51,IF(J$2=$AF51,$AG51,0))))</f>
        <v/>
      </c>
      <c r="W51">
        <f>IF(K50&lt;=0,0,MIN(AP51,K$7+IF(K$2=$AA51,$AC51,IF(K$2=$AF51,$AG51,0))))</f>
        <v/>
      </c>
      <c r="X51">
        <f>IF(L50&lt;=0,0,MIN(AQ51,L$7+IF(L$2=$AA51,$AC51,IF(L$2=$AF51,$AG51,0))))</f>
        <v/>
      </c>
      <c r="Y51">
        <f>IF(M50&lt;=0,0,MIN(AR51,M$7+IF(M$2=$AA51,$AC51,IF(M$2=$AF51,$AG51,0))))</f>
        <v/>
      </c>
      <c r="Z51">
        <f>IF(N50&lt;=0,0,MIN(AS51,N$7+IF(N$2=$AA51,$AC51,IF(N$2=$AF51,$AG51,0))))</f>
        <v/>
      </c>
      <c r="AA51">
        <f>IFERROR(ROUND(1/SUMPRODUCT(MAX((C50:N50&gt;0)*($C$3:$N$3&lt;=B51)/$C$2:$N$2)),0),0)</f>
        <v/>
      </c>
      <c r="AB51">
        <f>SUMPRODUCT((C50:N50&gt;0)*$C$7:$N$7)</f>
        <v/>
      </c>
      <c r="AC51">
        <f>MAX(0,Plan!$C$5-AB51)+IF(A51=Plan!$C$8,N(Plan!$C$7),0)</f>
        <v/>
      </c>
      <c r="AD51">
        <f>SUM(C51:N51)</f>
        <v/>
      </c>
      <c r="AE51">
        <f>SUM(O51:Z51)</f>
        <v/>
      </c>
      <c r="AF51">
        <f>IFERROR(ROUND(1/SUMPRODUCT(MAX((C50:N50&gt;0)*($C$3:$N$3&lt;=B51)*($C$2:$N$2&gt;AA51)/$C$2:$N$2)),0),0)</f>
        <v/>
      </c>
      <c r="AG51">
        <f>MAX(0,AC51-MAX(0,SUMPRODUCT(($C$2:$N$2=AA51)*(AH51:AS51-$C$7:$N$7))))</f>
        <v/>
      </c>
      <c r="AH51">
        <f>IF(C50&lt;=0,0,ROUND(C50*(1+IF(AND(C$6&gt;0,$B51&lt;C$6),C$4,C$5)/12),2))</f>
        <v/>
      </c>
      <c r="AI51">
        <f>IF(D50&lt;=0,0,ROUND(D50*(1+IF(AND(D$6&gt;0,$B51&lt;D$6),D$4,D$5)/12),2))</f>
        <v/>
      </c>
      <c r="AJ51">
        <f>IF(E50&lt;=0,0,ROUND(E50*(1+IF(AND(E$6&gt;0,$B51&lt;E$6),E$4,E$5)/12),2))</f>
        <v/>
      </c>
      <c r="AK51">
        <f>IF(F50&lt;=0,0,ROUND(F50*(1+IF(AND(F$6&gt;0,$B51&lt;F$6),F$4,F$5)/12),2))</f>
        <v/>
      </c>
      <c r="AL51">
        <f>IF(G50&lt;=0,0,ROUND(G50*(1+IF(AND(G$6&gt;0,$B51&lt;G$6),G$4,G$5)/12),2))</f>
        <v/>
      </c>
      <c r="AM51">
        <f>IF(H50&lt;=0,0,ROUND(H50*(1+IF(AND(H$6&gt;0,$B51&lt;H$6),H$4,H$5)/12),2))</f>
        <v/>
      </c>
      <c r="AN51">
        <f>IF(I50&lt;=0,0,ROUND(I50*(1+IF(AND(I$6&gt;0,$B51&lt;I$6),I$4,I$5)/12),2))</f>
        <v/>
      </c>
      <c r="AO51">
        <f>IF(J50&lt;=0,0,ROUND(J50*(1+IF(AND(J$6&gt;0,$B51&lt;J$6),J$4,J$5)/12),2))</f>
        <v/>
      </c>
      <c r="AP51">
        <f>IF(K50&lt;=0,0,ROUND(K50*(1+IF(AND(K$6&gt;0,$B51&lt;K$6),K$4,K$5)/12),2))</f>
        <v/>
      </c>
      <c r="AQ51">
        <f>IF(L50&lt;=0,0,ROUND(L50*(1+IF(AND(L$6&gt;0,$B51&lt;L$6),L$4,L$5)/12),2))</f>
        <v/>
      </c>
      <c r="AR51">
        <f>IF(M50&lt;=0,0,ROUND(M50*(1+IF(AND(M$6&gt;0,$B51&lt;M$6),M$4,M$5)/12),2))</f>
        <v/>
      </c>
      <c r="AS51">
        <f>IF(N50&lt;=0,0,ROUND(N50*(1+IF(AND(N$6&gt;0,$B51&lt;N$6),N$4,N$5)/12),2))</f>
        <v/>
      </c>
    </row>
    <row r="52">
      <c r="A52" t="n">
        <v>41</v>
      </c>
      <c r="B52">
        <f>EDATE(Plan!$C$6,40)</f>
        <v/>
      </c>
      <c r="C52">
        <f>IF(C51&lt;=0,0,MAX(0,AH52-O52))</f>
        <v/>
      </c>
      <c r="D52">
        <f>IF(D51&lt;=0,0,MAX(0,AI52-P52))</f>
        <v/>
      </c>
      <c r="E52">
        <f>IF(E51&lt;=0,0,MAX(0,AJ52-Q52))</f>
        <v/>
      </c>
      <c r="F52">
        <f>IF(F51&lt;=0,0,MAX(0,AK52-R52))</f>
        <v/>
      </c>
      <c r="G52">
        <f>IF(G51&lt;=0,0,MAX(0,AL52-S52))</f>
        <v/>
      </c>
      <c r="H52">
        <f>IF(H51&lt;=0,0,MAX(0,AM52-T52))</f>
        <v/>
      </c>
      <c r="I52">
        <f>IF(I51&lt;=0,0,MAX(0,AN52-U52))</f>
        <v/>
      </c>
      <c r="J52">
        <f>IF(J51&lt;=0,0,MAX(0,AO52-V52))</f>
        <v/>
      </c>
      <c r="K52">
        <f>IF(K51&lt;=0,0,MAX(0,AP52-W52))</f>
        <v/>
      </c>
      <c r="L52">
        <f>IF(L51&lt;=0,0,MAX(0,AQ52-X52))</f>
        <v/>
      </c>
      <c r="M52">
        <f>IF(M51&lt;=0,0,MAX(0,AR52-Y52))</f>
        <v/>
      </c>
      <c r="N52">
        <f>IF(N51&lt;=0,0,MAX(0,AS52-Z52))</f>
        <v/>
      </c>
      <c r="O52">
        <f>IF(C51&lt;=0,0,MIN(AH52,C$7+IF(C$2=$AA52,$AC52,IF(C$2=$AF52,$AG52,0))))</f>
        <v/>
      </c>
      <c r="P52">
        <f>IF(D51&lt;=0,0,MIN(AI52,D$7+IF(D$2=$AA52,$AC52,IF(D$2=$AF52,$AG52,0))))</f>
        <v/>
      </c>
      <c r="Q52">
        <f>IF(E51&lt;=0,0,MIN(AJ52,E$7+IF(E$2=$AA52,$AC52,IF(E$2=$AF52,$AG52,0))))</f>
        <v/>
      </c>
      <c r="R52">
        <f>IF(F51&lt;=0,0,MIN(AK52,F$7+IF(F$2=$AA52,$AC52,IF(F$2=$AF52,$AG52,0))))</f>
        <v/>
      </c>
      <c r="S52">
        <f>IF(G51&lt;=0,0,MIN(AL52,G$7+IF(G$2=$AA52,$AC52,IF(G$2=$AF52,$AG52,0))))</f>
        <v/>
      </c>
      <c r="T52">
        <f>IF(H51&lt;=0,0,MIN(AM52,H$7+IF(H$2=$AA52,$AC52,IF(H$2=$AF52,$AG52,0))))</f>
        <v/>
      </c>
      <c r="U52">
        <f>IF(I51&lt;=0,0,MIN(AN52,I$7+IF(I$2=$AA52,$AC52,IF(I$2=$AF52,$AG52,0))))</f>
        <v/>
      </c>
      <c r="V52">
        <f>IF(J51&lt;=0,0,MIN(AO52,J$7+IF(J$2=$AA52,$AC52,IF(J$2=$AF52,$AG52,0))))</f>
        <v/>
      </c>
      <c r="W52">
        <f>IF(K51&lt;=0,0,MIN(AP52,K$7+IF(K$2=$AA52,$AC52,IF(K$2=$AF52,$AG52,0))))</f>
        <v/>
      </c>
      <c r="X52">
        <f>IF(L51&lt;=0,0,MIN(AQ52,L$7+IF(L$2=$AA52,$AC52,IF(L$2=$AF52,$AG52,0))))</f>
        <v/>
      </c>
      <c r="Y52">
        <f>IF(M51&lt;=0,0,MIN(AR52,M$7+IF(M$2=$AA52,$AC52,IF(M$2=$AF52,$AG52,0))))</f>
        <v/>
      </c>
      <c r="Z52">
        <f>IF(N51&lt;=0,0,MIN(AS52,N$7+IF(N$2=$AA52,$AC52,IF(N$2=$AF52,$AG52,0))))</f>
        <v/>
      </c>
      <c r="AA52">
        <f>IFERROR(ROUND(1/SUMPRODUCT(MAX((C51:N51&gt;0)*($C$3:$N$3&lt;=B52)/$C$2:$N$2)),0),0)</f>
        <v/>
      </c>
      <c r="AB52">
        <f>SUMPRODUCT((C51:N51&gt;0)*$C$7:$N$7)</f>
        <v/>
      </c>
      <c r="AC52">
        <f>MAX(0,Plan!$C$5-AB52)+IF(A52=Plan!$C$8,N(Plan!$C$7),0)</f>
        <v/>
      </c>
      <c r="AD52">
        <f>SUM(C52:N52)</f>
        <v/>
      </c>
      <c r="AE52">
        <f>SUM(O52:Z52)</f>
        <v/>
      </c>
      <c r="AF52">
        <f>IFERROR(ROUND(1/SUMPRODUCT(MAX((C51:N51&gt;0)*($C$3:$N$3&lt;=B52)*($C$2:$N$2&gt;AA52)/$C$2:$N$2)),0),0)</f>
        <v/>
      </c>
      <c r="AG52">
        <f>MAX(0,AC52-MAX(0,SUMPRODUCT(($C$2:$N$2=AA52)*(AH52:AS52-$C$7:$N$7))))</f>
        <v/>
      </c>
      <c r="AH52">
        <f>IF(C51&lt;=0,0,ROUND(C51*(1+IF(AND(C$6&gt;0,$B52&lt;C$6),C$4,C$5)/12),2))</f>
        <v/>
      </c>
      <c r="AI52">
        <f>IF(D51&lt;=0,0,ROUND(D51*(1+IF(AND(D$6&gt;0,$B52&lt;D$6),D$4,D$5)/12),2))</f>
        <v/>
      </c>
      <c r="AJ52">
        <f>IF(E51&lt;=0,0,ROUND(E51*(1+IF(AND(E$6&gt;0,$B52&lt;E$6),E$4,E$5)/12),2))</f>
        <v/>
      </c>
      <c r="AK52">
        <f>IF(F51&lt;=0,0,ROUND(F51*(1+IF(AND(F$6&gt;0,$B52&lt;F$6),F$4,F$5)/12),2))</f>
        <v/>
      </c>
      <c r="AL52">
        <f>IF(G51&lt;=0,0,ROUND(G51*(1+IF(AND(G$6&gt;0,$B52&lt;G$6),G$4,G$5)/12),2))</f>
        <v/>
      </c>
      <c r="AM52">
        <f>IF(H51&lt;=0,0,ROUND(H51*(1+IF(AND(H$6&gt;0,$B52&lt;H$6),H$4,H$5)/12),2))</f>
        <v/>
      </c>
      <c r="AN52">
        <f>IF(I51&lt;=0,0,ROUND(I51*(1+IF(AND(I$6&gt;0,$B52&lt;I$6),I$4,I$5)/12),2))</f>
        <v/>
      </c>
      <c r="AO52">
        <f>IF(J51&lt;=0,0,ROUND(J51*(1+IF(AND(J$6&gt;0,$B52&lt;J$6),J$4,J$5)/12),2))</f>
        <v/>
      </c>
      <c r="AP52">
        <f>IF(K51&lt;=0,0,ROUND(K51*(1+IF(AND(K$6&gt;0,$B52&lt;K$6),K$4,K$5)/12),2))</f>
        <v/>
      </c>
      <c r="AQ52">
        <f>IF(L51&lt;=0,0,ROUND(L51*(1+IF(AND(L$6&gt;0,$B52&lt;L$6),L$4,L$5)/12),2))</f>
        <v/>
      </c>
      <c r="AR52">
        <f>IF(M51&lt;=0,0,ROUND(M51*(1+IF(AND(M$6&gt;0,$B52&lt;M$6),M$4,M$5)/12),2))</f>
        <v/>
      </c>
      <c r="AS52">
        <f>IF(N51&lt;=0,0,ROUND(N51*(1+IF(AND(N$6&gt;0,$B52&lt;N$6),N$4,N$5)/12),2))</f>
        <v/>
      </c>
    </row>
    <row r="53">
      <c r="A53" t="n">
        <v>42</v>
      </c>
      <c r="B53">
        <f>EDATE(Plan!$C$6,41)</f>
        <v/>
      </c>
      <c r="C53">
        <f>IF(C52&lt;=0,0,MAX(0,AH53-O53))</f>
        <v/>
      </c>
      <c r="D53">
        <f>IF(D52&lt;=0,0,MAX(0,AI53-P53))</f>
        <v/>
      </c>
      <c r="E53">
        <f>IF(E52&lt;=0,0,MAX(0,AJ53-Q53))</f>
        <v/>
      </c>
      <c r="F53">
        <f>IF(F52&lt;=0,0,MAX(0,AK53-R53))</f>
        <v/>
      </c>
      <c r="G53">
        <f>IF(G52&lt;=0,0,MAX(0,AL53-S53))</f>
        <v/>
      </c>
      <c r="H53">
        <f>IF(H52&lt;=0,0,MAX(0,AM53-T53))</f>
        <v/>
      </c>
      <c r="I53">
        <f>IF(I52&lt;=0,0,MAX(0,AN53-U53))</f>
        <v/>
      </c>
      <c r="J53">
        <f>IF(J52&lt;=0,0,MAX(0,AO53-V53))</f>
        <v/>
      </c>
      <c r="K53">
        <f>IF(K52&lt;=0,0,MAX(0,AP53-W53))</f>
        <v/>
      </c>
      <c r="L53">
        <f>IF(L52&lt;=0,0,MAX(0,AQ53-X53))</f>
        <v/>
      </c>
      <c r="M53">
        <f>IF(M52&lt;=0,0,MAX(0,AR53-Y53))</f>
        <v/>
      </c>
      <c r="N53">
        <f>IF(N52&lt;=0,0,MAX(0,AS53-Z53))</f>
        <v/>
      </c>
      <c r="O53">
        <f>IF(C52&lt;=0,0,MIN(AH53,C$7+IF(C$2=$AA53,$AC53,IF(C$2=$AF53,$AG53,0))))</f>
        <v/>
      </c>
      <c r="P53">
        <f>IF(D52&lt;=0,0,MIN(AI53,D$7+IF(D$2=$AA53,$AC53,IF(D$2=$AF53,$AG53,0))))</f>
        <v/>
      </c>
      <c r="Q53">
        <f>IF(E52&lt;=0,0,MIN(AJ53,E$7+IF(E$2=$AA53,$AC53,IF(E$2=$AF53,$AG53,0))))</f>
        <v/>
      </c>
      <c r="R53">
        <f>IF(F52&lt;=0,0,MIN(AK53,F$7+IF(F$2=$AA53,$AC53,IF(F$2=$AF53,$AG53,0))))</f>
        <v/>
      </c>
      <c r="S53">
        <f>IF(G52&lt;=0,0,MIN(AL53,G$7+IF(G$2=$AA53,$AC53,IF(G$2=$AF53,$AG53,0))))</f>
        <v/>
      </c>
      <c r="T53">
        <f>IF(H52&lt;=0,0,MIN(AM53,H$7+IF(H$2=$AA53,$AC53,IF(H$2=$AF53,$AG53,0))))</f>
        <v/>
      </c>
      <c r="U53">
        <f>IF(I52&lt;=0,0,MIN(AN53,I$7+IF(I$2=$AA53,$AC53,IF(I$2=$AF53,$AG53,0))))</f>
        <v/>
      </c>
      <c r="V53">
        <f>IF(J52&lt;=0,0,MIN(AO53,J$7+IF(J$2=$AA53,$AC53,IF(J$2=$AF53,$AG53,0))))</f>
        <v/>
      </c>
      <c r="W53">
        <f>IF(K52&lt;=0,0,MIN(AP53,K$7+IF(K$2=$AA53,$AC53,IF(K$2=$AF53,$AG53,0))))</f>
        <v/>
      </c>
      <c r="X53">
        <f>IF(L52&lt;=0,0,MIN(AQ53,L$7+IF(L$2=$AA53,$AC53,IF(L$2=$AF53,$AG53,0))))</f>
        <v/>
      </c>
      <c r="Y53">
        <f>IF(M52&lt;=0,0,MIN(AR53,M$7+IF(M$2=$AA53,$AC53,IF(M$2=$AF53,$AG53,0))))</f>
        <v/>
      </c>
      <c r="Z53">
        <f>IF(N52&lt;=0,0,MIN(AS53,N$7+IF(N$2=$AA53,$AC53,IF(N$2=$AF53,$AG53,0))))</f>
        <v/>
      </c>
      <c r="AA53">
        <f>IFERROR(ROUND(1/SUMPRODUCT(MAX((C52:N52&gt;0)*($C$3:$N$3&lt;=B53)/$C$2:$N$2)),0),0)</f>
        <v/>
      </c>
      <c r="AB53">
        <f>SUMPRODUCT((C52:N52&gt;0)*$C$7:$N$7)</f>
        <v/>
      </c>
      <c r="AC53">
        <f>MAX(0,Plan!$C$5-AB53)+IF(A53=Plan!$C$8,N(Plan!$C$7),0)</f>
        <v/>
      </c>
      <c r="AD53">
        <f>SUM(C53:N53)</f>
        <v/>
      </c>
      <c r="AE53">
        <f>SUM(O53:Z53)</f>
        <v/>
      </c>
      <c r="AF53">
        <f>IFERROR(ROUND(1/SUMPRODUCT(MAX((C52:N52&gt;0)*($C$3:$N$3&lt;=B53)*($C$2:$N$2&gt;AA53)/$C$2:$N$2)),0),0)</f>
        <v/>
      </c>
      <c r="AG53">
        <f>MAX(0,AC53-MAX(0,SUMPRODUCT(($C$2:$N$2=AA53)*(AH53:AS53-$C$7:$N$7))))</f>
        <v/>
      </c>
      <c r="AH53">
        <f>IF(C52&lt;=0,0,ROUND(C52*(1+IF(AND(C$6&gt;0,$B53&lt;C$6),C$4,C$5)/12),2))</f>
        <v/>
      </c>
      <c r="AI53">
        <f>IF(D52&lt;=0,0,ROUND(D52*(1+IF(AND(D$6&gt;0,$B53&lt;D$6),D$4,D$5)/12),2))</f>
        <v/>
      </c>
      <c r="AJ53">
        <f>IF(E52&lt;=0,0,ROUND(E52*(1+IF(AND(E$6&gt;0,$B53&lt;E$6),E$4,E$5)/12),2))</f>
        <v/>
      </c>
      <c r="AK53">
        <f>IF(F52&lt;=0,0,ROUND(F52*(1+IF(AND(F$6&gt;0,$B53&lt;F$6),F$4,F$5)/12),2))</f>
        <v/>
      </c>
      <c r="AL53">
        <f>IF(G52&lt;=0,0,ROUND(G52*(1+IF(AND(G$6&gt;0,$B53&lt;G$6),G$4,G$5)/12),2))</f>
        <v/>
      </c>
      <c r="AM53">
        <f>IF(H52&lt;=0,0,ROUND(H52*(1+IF(AND(H$6&gt;0,$B53&lt;H$6),H$4,H$5)/12),2))</f>
        <v/>
      </c>
      <c r="AN53">
        <f>IF(I52&lt;=0,0,ROUND(I52*(1+IF(AND(I$6&gt;0,$B53&lt;I$6),I$4,I$5)/12),2))</f>
        <v/>
      </c>
      <c r="AO53">
        <f>IF(J52&lt;=0,0,ROUND(J52*(1+IF(AND(J$6&gt;0,$B53&lt;J$6),J$4,J$5)/12),2))</f>
        <v/>
      </c>
      <c r="AP53">
        <f>IF(K52&lt;=0,0,ROUND(K52*(1+IF(AND(K$6&gt;0,$B53&lt;K$6),K$4,K$5)/12),2))</f>
        <v/>
      </c>
      <c r="AQ53">
        <f>IF(L52&lt;=0,0,ROUND(L52*(1+IF(AND(L$6&gt;0,$B53&lt;L$6),L$4,L$5)/12),2))</f>
        <v/>
      </c>
      <c r="AR53">
        <f>IF(M52&lt;=0,0,ROUND(M52*(1+IF(AND(M$6&gt;0,$B53&lt;M$6),M$4,M$5)/12),2))</f>
        <v/>
      </c>
      <c r="AS53">
        <f>IF(N52&lt;=0,0,ROUND(N52*(1+IF(AND(N$6&gt;0,$B53&lt;N$6),N$4,N$5)/12),2))</f>
        <v/>
      </c>
    </row>
    <row r="54">
      <c r="A54" t="n">
        <v>43</v>
      </c>
      <c r="B54">
        <f>EDATE(Plan!$C$6,42)</f>
        <v/>
      </c>
      <c r="C54">
        <f>IF(C53&lt;=0,0,MAX(0,AH54-O54))</f>
        <v/>
      </c>
      <c r="D54">
        <f>IF(D53&lt;=0,0,MAX(0,AI54-P54))</f>
        <v/>
      </c>
      <c r="E54">
        <f>IF(E53&lt;=0,0,MAX(0,AJ54-Q54))</f>
        <v/>
      </c>
      <c r="F54">
        <f>IF(F53&lt;=0,0,MAX(0,AK54-R54))</f>
        <v/>
      </c>
      <c r="G54">
        <f>IF(G53&lt;=0,0,MAX(0,AL54-S54))</f>
        <v/>
      </c>
      <c r="H54">
        <f>IF(H53&lt;=0,0,MAX(0,AM54-T54))</f>
        <v/>
      </c>
      <c r="I54">
        <f>IF(I53&lt;=0,0,MAX(0,AN54-U54))</f>
        <v/>
      </c>
      <c r="J54">
        <f>IF(J53&lt;=0,0,MAX(0,AO54-V54))</f>
        <v/>
      </c>
      <c r="K54">
        <f>IF(K53&lt;=0,0,MAX(0,AP54-W54))</f>
        <v/>
      </c>
      <c r="L54">
        <f>IF(L53&lt;=0,0,MAX(0,AQ54-X54))</f>
        <v/>
      </c>
      <c r="M54">
        <f>IF(M53&lt;=0,0,MAX(0,AR54-Y54))</f>
        <v/>
      </c>
      <c r="N54">
        <f>IF(N53&lt;=0,0,MAX(0,AS54-Z54))</f>
        <v/>
      </c>
      <c r="O54">
        <f>IF(C53&lt;=0,0,MIN(AH54,C$7+IF(C$2=$AA54,$AC54,IF(C$2=$AF54,$AG54,0))))</f>
        <v/>
      </c>
      <c r="P54">
        <f>IF(D53&lt;=0,0,MIN(AI54,D$7+IF(D$2=$AA54,$AC54,IF(D$2=$AF54,$AG54,0))))</f>
        <v/>
      </c>
      <c r="Q54">
        <f>IF(E53&lt;=0,0,MIN(AJ54,E$7+IF(E$2=$AA54,$AC54,IF(E$2=$AF54,$AG54,0))))</f>
        <v/>
      </c>
      <c r="R54">
        <f>IF(F53&lt;=0,0,MIN(AK54,F$7+IF(F$2=$AA54,$AC54,IF(F$2=$AF54,$AG54,0))))</f>
        <v/>
      </c>
      <c r="S54">
        <f>IF(G53&lt;=0,0,MIN(AL54,G$7+IF(G$2=$AA54,$AC54,IF(G$2=$AF54,$AG54,0))))</f>
        <v/>
      </c>
      <c r="T54">
        <f>IF(H53&lt;=0,0,MIN(AM54,H$7+IF(H$2=$AA54,$AC54,IF(H$2=$AF54,$AG54,0))))</f>
        <v/>
      </c>
      <c r="U54">
        <f>IF(I53&lt;=0,0,MIN(AN54,I$7+IF(I$2=$AA54,$AC54,IF(I$2=$AF54,$AG54,0))))</f>
        <v/>
      </c>
      <c r="V54">
        <f>IF(J53&lt;=0,0,MIN(AO54,J$7+IF(J$2=$AA54,$AC54,IF(J$2=$AF54,$AG54,0))))</f>
        <v/>
      </c>
      <c r="W54">
        <f>IF(K53&lt;=0,0,MIN(AP54,K$7+IF(K$2=$AA54,$AC54,IF(K$2=$AF54,$AG54,0))))</f>
        <v/>
      </c>
      <c r="X54">
        <f>IF(L53&lt;=0,0,MIN(AQ54,L$7+IF(L$2=$AA54,$AC54,IF(L$2=$AF54,$AG54,0))))</f>
        <v/>
      </c>
      <c r="Y54">
        <f>IF(M53&lt;=0,0,MIN(AR54,M$7+IF(M$2=$AA54,$AC54,IF(M$2=$AF54,$AG54,0))))</f>
        <v/>
      </c>
      <c r="Z54">
        <f>IF(N53&lt;=0,0,MIN(AS54,N$7+IF(N$2=$AA54,$AC54,IF(N$2=$AF54,$AG54,0))))</f>
        <v/>
      </c>
      <c r="AA54">
        <f>IFERROR(ROUND(1/SUMPRODUCT(MAX((C53:N53&gt;0)*($C$3:$N$3&lt;=B54)/$C$2:$N$2)),0),0)</f>
        <v/>
      </c>
      <c r="AB54">
        <f>SUMPRODUCT((C53:N53&gt;0)*$C$7:$N$7)</f>
        <v/>
      </c>
      <c r="AC54">
        <f>MAX(0,Plan!$C$5-AB54)+IF(A54=Plan!$C$8,N(Plan!$C$7),0)</f>
        <v/>
      </c>
      <c r="AD54">
        <f>SUM(C54:N54)</f>
        <v/>
      </c>
      <c r="AE54">
        <f>SUM(O54:Z54)</f>
        <v/>
      </c>
      <c r="AF54">
        <f>IFERROR(ROUND(1/SUMPRODUCT(MAX((C53:N53&gt;0)*($C$3:$N$3&lt;=B54)*($C$2:$N$2&gt;AA54)/$C$2:$N$2)),0),0)</f>
        <v/>
      </c>
      <c r="AG54">
        <f>MAX(0,AC54-MAX(0,SUMPRODUCT(($C$2:$N$2=AA54)*(AH54:AS54-$C$7:$N$7))))</f>
        <v/>
      </c>
      <c r="AH54">
        <f>IF(C53&lt;=0,0,ROUND(C53*(1+IF(AND(C$6&gt;0,$B54&lt;C$6),C$4,C$5)/12),2))</f>
        <v/>
      </c>
      <c r="AI54">
        <f>IF(D53&lt;=0,0,ROUND(D53*(1+IF(AND(D$6&gt;0,$B54&lt;D$6),D$4,D$5)/12),2))</f>
        <v/>
      </c>
      <c r="AJ54">
        <f>IF(E53&lt;=0,0,ROUND(E53*(1+IF(AND(E$6&gt;0,$B54&lt;E$6),E$4,E$5)/12),2))</f>
        <v/>
      </c>
      <c r="AK54">
        <f>IF(F53&lt;=0,0,ROUND(F53*(1+IF(AND(F$6&gt;0,$B54&lt;F$6),F$4,F$5)/12),2))</f>
        <v/>
      </c>
      <c r="AL54">
        <f>IF(G53&lt;=0,0,ROUND(G53*(1+IF(AND(G$6&gt;0,$B54&lt;G$6),G$4,G$5)/12),2))</f>
        <v/>
      </c>
      <c r="AM54">
        <f>IF(H53&lt;=0,0,ROUND(H53*(1+IF(AND(H$6&gt;0,$B54&lt;H$6),H$4,H$5)/12),2))</f>
        <v/>
      </c>
      <c r="AN54">
        <f>IF(I53&lt;=0,0,ROUND(I53*(1+IF(AND(I$6&gt;0,$B54&lt;I$6),I$4,I$5)/12),2))</f>
        <v/>
      </c>
      <c r="AO54">
        <f>IF(J53&lt;=0,0,ROUND(J53*(1+IF(AND(J$6&gt;0,$B54&lt;J$6),J$4,J$5)/12),2))</f>
        <v/>
      </c>
      <c r="AP54">
        <f>IF(K53&lt;=0,0,ROUND(K53*(1+IF(AND(K$6&gt;0,$B54&lt;K$6),K$4,K$5)/12),2))</f>
        <v/>
      </c>
      <c r="AQ54">
        <f>IF(L53&lt;=0,0,ROUND(L53*(1+IF(AND(L$6&gt;0,$B54&lt;L$6),L$4,L$5)/12),2))</f>
        <v/>
      </c>
      <c r="AR54">
        <f>IF(M53&lt;=0,0,ROUND(M53*(1+IF(AND(M$6&gt;0,$B54&lt;M$6),M$4,M$5)/12),2))</f>
        <v/>
      </c>
      <c r="AS54">
        <f>IF(N53&lt;=0,0,ROUND(N53*(1+IF(AND(N$6&gt;0,$B54&lt;N$6),N$4,N$5)/12),2))</f>
        <v/>
      </c>
    </row>
    <row r="55">
      <c r="A55" t="n">
        <v>44</v>
      </c>
      <c r="B55">
        <f>EDATE(Plan!$C$6,43)</f>
        <v/>
      </c>
      <c r="C55">
        <f>IF(C54&lt;=0,0,MAX(0,AH55-O55))</f>
        <v/>
      </c>
      <c r="D55">
        <f>IF(D54&lt;=0,0,MAX(0,AI55-P55))</f>
        <v/>
      </c>
      <c r="E55">
        <f>IF(E54&lt;=0,0,MAX(0,AJ55-Q55))</f>
        <v/>
      </c>
      <c r="F55">
        <f>IF(F54&lt;=0,0,MAX(0,AK55-R55))</f>
        <v/>
      </c>
      <c r="G55">
        <f>IF(G54&lt;=0,0,MAX(0,AL55-S55))</f>
        <v/>
      </c>
      <c r="H55">
        <f>IF(H54&lt;=0,0,MAX(0,AM55-T55))</f>
        <v/>
      </c>
      <c r="I55">
        <f>IF(I54&lt;=0,0,MAX(0,AN55-U55))</f>
        <v/>
      </c>
      <c r="J55">
        <f>IF(J54&lt;=0,0,MAX(0,AO55-V55))</f>
        <v/>
      </c>
      <c r="K55">
        <f>IF(K54&lt;=0,0,MAX(0,AP55-W55))</f>
        <v/>
      </c>
      <c r="L55">
        <f>IF(L54&lt;=0,0,MAX(0,AQ55-X55))</f>
        <v/>
      </c>
      <c r="M55">
        <f>IF(M54&lt;=0,0,MAX(0,AR55-Y55))</f>
        <v/>
      </c>
      <c r="N55">
        <f>IF(N54&lt;=0,0,MAX(0,AS55-Z55))</f>
        <v/>
      </c>
      <c r="O55">
        <f>IF(C54&lt;=0,0,MIN(AH55,C$7+IF(C$2=$AA55,$AC55,IF(C$2=$AF55,$AG55,0))))</f>
        <v/>
      </c>
      <c r="P55">
        <f>IF(D54&lt;=0,0,MIN(AI55,D$7+IF(D$2=$AA55,$AC55,IF(D$2=$AF55,$AG55,0))))</f>
        <v/>
      </c>
      <c r="Q55">
        <f>IF(E54&lt;=0,0,MIN(AJ55,E$7+IF(E$2=$AA55,$AC55,IF(E$2=$AF55,$AG55,0))))</f>
        <v/>
      </c>
      <c r="R55">
        <f>IF(F54&lt;=0,0,MIN(AK55,F$7+IF(F$2=$AA55,$AC55,IF(F$2=$AF55,$AG55,0))))</f>
        <v/>
      </c>
      <c r="S55">
        <f>IF(G54&lt;=0,0,MIN(AL55,G$7+IF(G$2=$AA55,$AC55,IF(G$2=$AF55,$AG55,0))))</f>
        <v/>
      </c>
      <c r="T55">
        <f>IF(H54&lt;=0,0,MIN(AM55,H$7+IF(H$2=$AA55,$AC55,IF(H$2=$AF55,$AG55,0))))</f>
        <v/>
      </c>
      <c r="U55">
        <f>IF(I54&lt;=0,0,MIN(AN55,I$7+IF(I$2=$AA55,$AC55,IF(I$2=$AF55,$AG55,0))))</f>
        <v/>
      </c>
      <c r="V55">
        <f>IF(J54&lt;=0,0,MIN(AO55,J$7+IF(J$2=$AA55,$AC55,IF(J$2=$AF55,$AG55,0))))</f>
        <v/>
      </c>
      <c r="W55">
        <f>IF(K54&lt;=0,0,MIN(AP55,K$7+IF(K$2=$AA55,$AC55,IF(K$2=$AF55,$AG55,0))))</f>
        <v/>
      </c>
      <c r="X55">
        <f>IF(L54&lt;=0,0,MIN(AQ55,L$7+IF(L$2=$AA55,$AC55,IF(L$2=$AF55,$AG55,0))))</f>
        <v/>
      </c>
      <c r="Y55">
        <f>IF(M54&lt;=0,0,MIN(AR55,M$7+IF(M$2=$AA55,$AC55,IF(M$2=$AF55,$AG55,0))))</f>
        <v/>
      </c>
      <c r="Z55">
        <f>IF(N54&lt;=0,0,MIN(AS55,N$7+IF(N$2=$AA55,$AC55,IF(N$2=$AF55,$AG55,0))))</f>
        <v/>
      </c>
      <c r="AA55">
        <f>IFERROR(ROUND(1/SUMPRODUCT(MAX((C54:N54&gt;0)*($C$3:$N$3&lt;=B55)/$C$2:$N$2)),0),0)</f>
        <v/>
      </c>
      <c r="AB55">
        <f>SUMPRODUCT((C54:N54&gt;0)*$C$7:$N$7)</f>
        <v/>
      </c>
      <c r="AC55">
        <f>MAX(0,Plan!$C$5-AB55)+IF(A55=Plan!$C$8,N(Plan!$C$7),0)</f>
        <v/>
      </c>
      <c r="AD55">
        <f>SUM(C55:N55)</f>
        <v/>
      </c>
      <c r="AE55">
        <f>SUM(O55:Z55)</f>
        <v/>
      </c>
      <c r="AF55">
        <f>IFERROR(ROUND(1/SUMPRODUCT(MAX((C54:N54&gt;0)*($C$3:$N$3&lt;=B55)*($C$2:$N$2&gt;AA55)/$C$2:$N$2)),0),0)</f>
        <v/>
      </c>
      <c r="AG55">
        <f>MAX(0,AC55-MAX(0,SUMPRODUCT(($C$2:$N$2=AA55)*(AH55:AS55-$C$7:$N$7))))</f>
        <v/>
      </c>
      <c r="AH55">
        <f>IF(C54&lt;=0,0,ROUND(C54*(1+IF(AND(C$6&gt;0,$B55&lt;C$6),C$4,C$5)/12),2))</f>
        <v/>
      </c>
      <c r="AI55">
        <f>IF(D54&lt;=0,0,ROUND(D54*(1+IF(AND(D$6&gt;0,$B55&lt;D$6),D$4,D$5)/12),2))</f>
        <v/>
      </c>
      <c r="AJ55">
        <f>IF(E54&lt;=0,0,ROUND(E54*(1+IF(AND(E$6&gt;0,$B55&lt;E$6),E$4,E$5)/12),2))</f>
        <v/>
      </c>
      <c r="AK55">
        <f>IF(F54&lt;=0,0,ROUND(F54*(1+IF(AND(F$6&gt;0,$B55&lt;F$6),F$4,F$5)/12),2))</f>
        <v/>
      </c>
      <c r="AL55">
        <f>IF(G54&lt;=0,0,ROUND(G54*(1+IF(AND(G$6&gt;0,$B55&lt;G$6),G$4,G$5)/12),2))</f>
        <v/>
      </c>
      <c r="AM55">
        <f>IF(H54&lt;=0,0,ROUND(H54*(1+IF(AND(H$6&gt;0,$B55&lt;H$6),H$4,H$5)/12),2))</f>
        <v/>
      </c>
      <c r="AN55">
        <f>IF(I54&lt;=0,0,ROUND(I54*(1+IF(AND(I$6&gt;0,$B55&lt;I$6),I$4,I$5)/12),2))</f>
        <v/>
      </c>
      <c r="AO55">
        <f>IF(J54&lt;=0,0,ROUND(J54*(1+IF(AND(J$6&gt;0,$B55&lt;J$6),J$4,J$5)/12),2))</f>
        <v/>
      </c>
      <c r="AP55">
        <f>IF(K54&lt;=0,0,ROUND(K54*(1+IF(AND(K$6&gt;0,$B55&lt;K$6),K$4,K$5)/12),2))</f>
        <v/>
      </c>
      <c r="AQ55">
        <f>IF(L54&lt;=0,0,ROUND(L54*(1+IF(AND(L$6&gt;0,$B55&lt;L$6),L$4,L$5)/12),2))</f>
        <v/>
      </c>
      <c r="AR55">
        <f>IF(M54&lt;=0,0,ROUND(M54*(1+IF(AND(M$6&gt;0,$B55&lt;M$6),M$4,M$5)/12),2))</f>
        <v/>
      </c>
      <c r="AS55">
        <f>IF(N54&lt;=0,0,ROUND(N54*(1+IF(AND(N$6&gt;0,$B55&lt;N$6),N$4,N$5)/12),2))</f>
        <v/>
      </c>
    </row>
    <row r="56">
      <c r="A56" t="n">
        <v>45</v>
      </c>
      <c r="B56">
        <f>EDATE(Plan!$C$6,44)</f>
        <v/>
      </c>
      <c r="C56">
        <f>IF(C55&lt;=0,0,MAX(0,AH56-O56))</f>
        <v/>
      </c>
      <c r="D56">
        <f>IF(D55&lt;=0,0,MAX(0,AI56-P56))</f>
        <v/>
      </c>
      <c r="E56">
        <f>IF(E55&lt;=0,0,MAX(0,AJ56-Q56))</f>
        <v/>
      </c>
      <c r="F56">
        <f>IF(F55&lt;=0,0,MAX(0,AK56-R56))</f>
        <v/>
      </c>
      <c r="G56">
        <f>IF(G55&lt;=0,0,MAX(0,AL56-S56))</f>
        <v/>
      </c>
      <c r="H56">
        <f>IF(H55&lt;=0,0,MAX(0,AM56-T56))</f>
        <v/>
      </c>
      <c r="I56">
        <f>IF(I55&lt;=0,0,MAX(0,AN56-U56))</f>
        <v/>
      </c>
      <c r="J56">
        <f>IF(J55&lt;=0,0,MAX(0,AO56-V56))</f>
        <v/>
      </c>
      <c r="K56">
        <f>IF(K55&lt;=0,0,MAX(0,AP56-W56))</f>
        <v/>
      </c>
      <c r="L56">
        <f>IF(L55&lt;=0,0,MAX(0,AQ56-X56))</f>
        <v/>
      </c>
      <c r="M56">
        <f>IF(M55&lt;=0,0,MAX(0,AR56-Y56))</f>
        <v/>
      </c>
      <c r="N56">
        <f>IF(N55&lt;=0,0,MAX(0,AS56-Z56))</f>
        <v/>
      </c>
      <c r="O56">
        <f>IF(C55&lt;=0,0,MIN(AH56,C$7+IF(C$2=$AA56,$AC56,IF(C$2=$AF56,$AG56,0))))</f>
        <v/>
      </c>
      <c r="P56">
        <f>IF(D55&lt;=0,0,MIN(AI56,D$7+IF(D$2=$AA56,$AC56,IF(D$2=$AF56,$AG56,0))))</f>
        <v/>
      </c>
      <c r="Q56">
        <f>IF(E55&lt;=0,0,MIN(AJ56,E$7+IF(E$2=$AA56,$AC56,IF(E$2=$AF56,$AG56,0))))</f>
        <v/>
      </c>
      <c r="R56">
        <f>IF(F55&lt;=0,0,MIN(AK56,F$7+IF(F$2=$AA56,$AC56,IF(F$2=$AF56,$AG56,0))))</f>
        <v/>
      </c>
      <c r="S56">
        <f>IF(G55&lt;=0,0,MIN(AL56,G$7+IF(G$2=$AA56,$AC56,IF(G$2=$AF56,$AG56,0))))</f>
        <v/>
      </c>
      <c r="T56">
        <f>IF(H55&lt;=0,0,MIN(AM56,H$7+IF(H$2=$AA56,$AC56,IF(H$2=$AF56,$AG56,0))))</f>
        <v/>
      </c>
      <c r="U56">
        <f>IF(I55&lt;=0,0,MIN(AN56,I$7+IF(I$2=$AA56,$AC56,IF(I$2=$AF56,$AG56,0))))</f>
        <v/>
      </c>
      <c r="V56">
        <f>IF(J55&lt;=0,0,MIN(AO56,J$7+IF(J$2=$AA56,$AC56,IF(J$2=$AF56,$AG56,0))))</f>
        <v/>
      </c>
      <c r="W56">
        <f>IF(K55&lt;=0,0,MIN(AP56,K$7+IF(K$2=$AA56,$AC56,IF(K$2=$AF56,$AG56,0))))</f>
        <v/>
      </c>
      <c r="X56">
        <f>IF(L55&lt;=0,0,MIN(AQ56,L$7+IF(L$2=$AA56,$AC56,IF(L$2=$AF56,$AG56,0))))</f>
        <v/>
      </c>
      <c r="Y56">
        <f>IF(M55&lt;=0,0,MIN(AR56,M$7+IF(M$2=$AA56,$AC56,IF(M$2=$AF56,$AG56,0))))</f>
        <v/>
      </c>
      <c r="Z56">
        <f>IF(N55&lt;=0,0,MIN(AS56,N$7+IF(N$2=$AA56,$AC56,IF(N$2=$AF56,$AG56,0))))</f>
        <v/>
      </c>
      <c r="AA56">
        <f>IFERROR(ROUND(1/SUMPRODUCT(MAX((C55:N55&gt;0)*($C$3:$N$3&lt;=B56)/$C$2:$N$2)),0),0)</f>
        <v/>
      </c>
      <c r="AB56">
        <f>SUMPRODUCT((C55:N55&gt;0)*$C$7:$N$7)</f>
        <v/>
      </c>
      <c r="AC56">
        <f>MAX(0,Plan!$C$5-AB56)+IF(A56=Plan!$C$8,N(Plan!$C$7),0)</f>
        <v/>
      </c>
      <c r="AD56">
        <f>SUM(C56:N56)</f>
        <v/>
      </c>
      <c r="AE56">
        <f>SUM(O56:Z56)</f>
        <v/>
      </c>
      <c r="AF56">
        <f>IFERROR(ROUND(1/SUMPRODUCT(MAX((C55:N55&gt;0)*($C$3:$N$3&lt;=B56)*($C$2:$N$2&gt;AA56)/$C$2:$N$2)),0),0)</f>
        <v/>
      </c>
      <c r="AG56">
        <f>MAX(0,AC56-MAX(0,SUMPRODUCT(($C$2:$N$2=AA56)*(AH56:AS56-$C$7:$N$7))))</f>
        <v/>
      </c>
      <c r="AH56">
        <f>IF(C55&lt;=0,0,ROUND(C55*(1+IF(AND(C$6&gt;0,$B56&lt;C$6),C$4,C$5)/12),2))</f>
        <v/>
      </c>
      <c r="AI56">
        <f>IF(D55&lt;=0,0,ROUND(D55*(1+IF(AND(D$6&gt;0,$B56&lt;D$6),D$4,D$5)/12),2))</f>
        <v/>
      </c>
      <c r="AJ56">
        <f>IF(E55&lt;=0,0,ROUND(E55*(1+IF(AND(E$6&gt;0,$B56&lt;E$6),E$4,E$5)/12),2))</f>
        <v/>
      </c>
      <c r="AK56">
        <f>IF(F55&lt;=0,0,ROUND(F55*(1+IF(AND(F$6&gt;0,$B56&lt;F$6),F$4,F$5)/12),2))</f>
        <v/>
      </c>
      <c r="AL56">
        <f>IF(G55&lt;=0,0,ROUND(G55*(1+IF(AND(G$6&gt;0,$B56&lt;G$6),G$4,G$5)/12),2))</f>
        <v/>
      </c>
      <c r="AM56">
        <f>IF(H55&lt;=0,0,ROUND(H55*(1+IF(AND(H$6&gt;0,$B56&lt;H$6),H$4,H$5)/12),2))</f>
        <v/>
      </c>
      <c r="AN56">
        <f>IF(I55&lt;=0,0,ROUND(I55*(1+IF(AND(I$6&gt;0,$B56&lt;I$6),I$4,I$5)/12),2))</f>
        <v/>
      </c>
      <c r="AO56">
        <f>IF(J55&lt;=0,0,ROUND(J55*(1+IF(AND(J$6&gt;0,$B56&lt;J$6),J$4,J$5)/12),2))</f>
        <v/>
      </c>
      <c r="AP56">
        <f>IF(K55&lt;=0,0,ROUND(K55*(1+IF(AND(K$6&gt;0,$B56&lt;K$6),K$4,K$5)/12),2))</f>
        <v/>
      </c>
      <c r="AQ56">
        <f>IF(L55&lt;=0,0,ROUND(L55*(1+IF(AND(L$6&gt;0,$B56&lt;L$6),L$4,L$5)/12),2))</f>
        <v/>
      </c>
      <c r="AR56">
        <f>IF(M55&lt;=0,0,ROUND(M55*(1+IF(AND(M$6&gt;0,$B56&lt;M$6),M$4,M$5)/12),2))</f>
        <v/>
      </c>
      <c r="AS56">
        <f>IF(N55&lt;=0,0,ROUND(N55*(1+IF(AND(N$6&gt;0,$B56&lt;N$6),N$4,N$5)/12),2))</f>
        <v/>
      </c>
    </row>
    <row r="57">
      <c r="A57" t="n">
        <v>46</v>
      </c>
      <c r="B57">
        <f>EDATE(Plan!$C$6,45)</f>
        <v/>
      </c>
      <c r="C57">
        <f>IF(C56&lt;=0,0,MAX(0,AH57-O57))</f>
        <v/>
      </c>
      <c r="D57">
        <f>IF(D56&lt;=0,0,MAX(0,AI57-P57))</f>
        <v/>
      </c>
      <c r="E57">
        <f>IF(E56&lt;=0,0,MAX(0,AJ57-Q57))</f>
        <v/>
      </c>
      <c r="F57">
        <f>IF(F56&lt;=0,0,MAX(0,AK57-R57))</f>
        <v/>
      </c>
      <c r="G57">
        <f>IF(G56&lt;=0,0,MAX(0,AL57-S57))</f>
        <v/>
      </c>
      <c r="H57">
        <f>IF(H56&lt;=0,0,MAX(0,AM57-T57))</f>
        <v/>
      </c>
      <c r="I57">
        <f>IF(I56&lt;=0,0,MAX(0,AN57-U57))</f>
        <v/>
      </c>
      <c r="J57">
        <f>IF(J56&lt;=0,0,MAX(0,AO57-V57))</f>
        <v/>
      </c>
      <c r="K57">
        <f>IF(K56&lt;=0,0,MAX(0,AP57-W57))</f>
        <v/>
      </c>
      <c r="L57">
        <f>IF(L56&lt;=0,0,MAX(0,AQ57-X57))</f>
        <v/>
      </c>
      <c r="M57">
        <f>IF(M56&lt;=0,0,MAX(0,AR57-Y57))</f>
        <v/>
      </c>
      <c r="N57">
        <f>IF(N56&lt;=0,0,MAX(0,AS57-Z57))</f>
        <v/>
      </c>
      <c r="O57">
        <f>IF(C56&lt;=0,0,MIN(AH57,C$7+IF(C$2=$AA57,$AC57,IF(C$2=$AF57,$AG57,0))))</f>
        <v/>
      </c>
      <c r="P57">
        <f>IF(D56&lt;=0,0,MIN(AI57,D$7+IF(D$2=$AA57,$AC57,IF(D$2=$AF57,$AG57,0))))</f>
        <v/>
      </c>
      <c r="Q57">
        <f>IF(E56&lt;=0,0,MIN(AJ57,E$7+IF(E$2=$AA57,$AC57,IF(E$2=$AF57,$AG57,0))))</f>
        <v/>
      </c>
      <c r="R57">
        <f>IF(F56&lt;=0,0,MIN(AK57,F$7+IF(F$2=$AA57,$AC57,IF(F$2=$AF57,$AG57,0))))</f>
        <v/>
      </c>
      <c r="S57">
        <f>IF(G56&lt;=0,0,MIN(AL57,G$7+IF(G$2=$AA57,$AC57,IF(G$2=$AF57,$AG57,0))))</f>
        <v/>
      </c>
      <c r="T57">
        <f>IF(H56&lt;=0,0,MIN(AM57,H$7+IF(H$2=$AA57,$AC57,IF(H$2=$AF57,$AG57,0))))</f>
        <v/>
      </c>
      <c r="U57">
        <f>IF(I56&lt;=0,0,MIN(AN57,I$7+IF(I$2=$AA57,$AC57,IF(I$2=$AF57,$AG57,0))))</f>
        <v/>
      </c>
      <c r="V57">
        <f>IF(J56&lt;=0,0,MIN(AO57,J$7+IF(J$2=$AA57,$AC57,IF(J$2=$AF57,$AG57,0))))</f>
        <v/>
      </c>
      <c r="W57">
        <f>IF(K56&lt;=0,0,MIN(AP57,K$7+IF(K$2=$AA57,$AC57,IF(K$2=$AF57,$AG57,0))))</f>
        <v/>
      </c>
      <c r="X57">
        <f>IF(L56&lt;=0,0,MIN(AQ57,L$7+IF(L$2=$AA57,$AC57,IF(L$2=$AF57,$AG57,0))))</f>
        <v/>
      </c>
      <c r="Y57">
        <f>IF(M56&lt;=0,0,MIN(AR57,M$7+IF(M$2=$AA57,$AC57,IF(M$2=$AF57,$AG57,0))))</f>
        <v/>
      </c>
      <c r="Z57">
        <f>IF(N56&lt;=0,0,MIN(AS57,N$7+IF(N$2=$AA57,$AC57,IF(N$2=$AF57,$AG57,0))))</f>
        <v/>
      </c>
      <c r="AA57">
        <f>IFERROR(ROUND(1/SUMPRODUCT(MAX((C56:N56&gt;0)*($C$3:$N$3&lt;=B57)/$C$2:$N$2)),0),0)</f>
        <v/>
      </c>
      <c r="AB57">
        <f>SUMPRODUCT((C56:N56&gt;0)*$C$7:$N$7)</f>
        <v/>
      </c>
      <c r="AC57">
        <f>MAX(0,Plan!$C$5-AB57)+IF(A57=Plan!$C$8,N(Plan!$C$7),0)</f>
        <v/>
      </c>
      <c r="AD57">
        <f>SUM(C57:N57)</f>
        <v/>
      </c>
      <c r="AE57">
        <f>SUM(O57:Z57)</f>
        <v/>
      </c>
      <c r="AF57">
        <f>IFERROR(ROUND(1/SUMPRODUCT(MAX((C56:N56&gt;0)*($C$3:$N$3&lt;=B57)*($C$2:$N$2&gt;AA57)/$C$2:$N$2)),0),0)</f>
        <v/>
      </c>
      <c r="AG57">
        <f>MAX(0,AC57-MAX(0,SUMPRODUCT(($C$2:$N$2=AA57)*(AH57:AS57-$C$7:$N$7))))</f>
        <v/>
      </c>
      <c r="AH57">
        <f>IF(C56&lt;=0,0,ROUND(C56*(1+IF(AND(C$6&gt;0,$B57&lt;C$6),C$4,C$5)/12),2))</f>
        <v/>
      </c>
      <c r="AI57">
        <f>IF(D56&lt;=0,0,ROUND(D56*(1+IF(AND(D$6&gt;0,$B57&lt;D$6),D$4,D$5)/12),2))</f>
        <v/>
      </c>
      <c r="AJ57">
        <f>IF(E56&lt;=0,0,ROUND(E56*(1+IF(AND(E$6&gt;0,$B57&lt;E$6),E$4,E$5)/12),2))</f>
        <v/>
      </c>
      <c r="AK57">
        <f>IF(F56&lt;=0,0,ROUND(F56*(1+IF(AND(F$6&gt;0,$B57&lt;F$6),F$4,F$5)/12),2))</f>
        <v/>
      </c>
      <c r="AL57">
        <f>IF(G56&lt;=0,0,ROUND(G56*(1+IF(AND(G$6&gt;0,$B57&lt;G$6),G$4,G$5)/12),2))</f>
        <v/>
      </c>
      <c r="AM57">
        <f>IF(H56&lt;=0,0,ROUND(H56*(1+IF(AND(H$6&gt;0,$B57&lt;H$6),H$4,H$5)/12),2))</f>
        <v/>
      </c>
      <c r="AN57">
        <f>IF(I56&lt;=0,0,ROUND(I56*(1+IF(AND(I$6&gt;0,$B57&lt;I$6),I$4,I$5)/12),2))</f>
        <v/>
      </c>
      <c r="AO57">
        <f>IF(J56&lt;=0,0,ROUND(J56*(1+IF(AND(J$6&gt;0,$B57&lt;J$6),J$4,J$5)/12),2))</f>
        <v/>
      </c>
      <c r="AP57">
        <f>IF(K56&lt;=0,0,ROUND(K56*(1+IF(AND(K$6&gt;0,$B57&lt;K$6),K$4,K$5)/12),2))</f>
        <v/>
      </c>
      <c r="AQ57">
        <f>IF(L56&lt;=0,0,ROUND(L56*(1+IF(AND(L$6&gt;0,$B57&lt;L$6),L$4,L$5)/12),2))</f>
        <v/>
      </c>
      <c r="AR57">
        <f>IF(M56&lt;=0,0,ROUND(M56*(1+IF(AND(M$6&gt;0,$B57&lt;M$6),M$4,M$5)/12),2))</f>
        <v/>
      </c>
      <c r="AS57">
        <f>IF(N56&lt;=0,0,ROUND(N56*(1+IF(AND(N$6&gt;0,$B57&lt;N$6),N$4,N$5)/12),2))</f>
        <v/>
      </c>
    </row>
    <row r="58">
      <c r="A58" t="n">
        <v>47</v>
      </c>
      <c r="B58">
        <f>EDATE(Plan!$C$6,46)</f>
        <v/>
      </c>
      <c r="C58">
        <f>IF(C57&lt;=0,0,MAX(0,AH58-O58))</f>
        <v/>
      </c>
      <c r="D58">
        <f>IF(D57&lt;=0,0,MAX(0,AI58-P58))</f>
        <v/>
      </c>
      <c r="E58">
        <f>IF(E57&lt;=0,0,MAX(0,AJ58-Q58))</f>
        <v/>
      </c>
      <c r="F58">
        <f>IF(F57&lt;=0,0,MAX(0,AK58-R58))</f>
        <v/>
      </c>
      <c r="G58">
        <f>IF(G57&lt;=0,0,MAX(0,AL58-S58))</f>
        <v/>
      </c>
      <c r="H58">
        <f>IF(H57&lt;=0,0,MAX(0,AM58-T58))</f>
        <v/>
      </c>
      <c r="I58">
        <f>IF(I57&lt;=0,0,MAX(0,AN58-U58))</f>
        <v/>
      </c>
      <c r="J58">
        <f>IF(J57&lt;=0,0,MAX(0,AO58-V58))</f>
        <v/>
      </c>
      <c r="K58">
        <f>IF(K57&lt;=0,0,MAX(0,AP58-W58))</f>
        <v/>
      </c>
      <c r="L58">
        <f>IF(L57&lt;=0,0,MAX(0,AQ58-X58))</f>
        <v/>
      </c>
      <c r="M58">
        <f>IF(M57&lt;=0,0,MAX(0,AR58-Y58))</f>
        <v/>
      </c>
      <c r="N58">
        <f>IF(N57&lt;=0,0,MAX(0,AS58-Z58))</f>
        <v/>
      </c>
      <c r="O58">
        <f>IF(C57&lt;=0,0,MIN(AH58,C$7+IF(C$2=$AA58,$AC58,IF(C$2=$AF58,$AG58,0))))</f>
        <v/>
      </c>
      <c r="P58">
        <f>IF(D57&lt;=0,0,MIN(AI58,D$7+IF(D$2=$AA58,$AC58,IF(D$2=$AF58,$AG58,0))))</f>
        <v/>
      </c>
      <c r="Q58">
        <f>IF(E57&lt;=0,0,MIN(AJ58,E$7+IF(E$2=$AA58,$AC58,IF(E$2=$AF58,$AG58,0))))</f>
        <v/>
      </c>
      <c r="R58">
        <f>IF(F57&lt;=0,0,MIN(AK58,F$7+IF(F$2=$AA58,$AC58,IF(F$2=$AF58,$AG58,0))))</f>
        <v/>
      </c>
      <c r="S58">
        <f>IF(G57&lt;=0,0,MIN(AL58,G$7+IF(G$2=$AA58,$AC58,IF(G$2=$AF58,$AG58,0))))</f>
        <v/>
      </c>
      <c r="T58">
        <f>IF(H57&lt;=0,0,MIN(AM58,H$7+IF(H$2=$AA58,$AC58,IF(H$2=$AF58,$AG58,0))))</f>
        <v/>
      </c>
      <c r="U58">
        <f>IF(I57&lt;=0,0,MIN(AN58,I$7+IF(I$2=$AA58,$AC58,IF(I$2=$AF58,$AG58,0))))</f>
        <v/>
      </c>
      <c r="V58">
        <f>IF(J57&lt;=0,0,MIN(AO58,J$7+IF(J$2=$AA58,$AC58,IF(J$2=$AF58,$AG58,0))))</f>
        <v/>
      </c>
      <c r="W58">
        <f>IF(K57&lt;=0,0,MIN(AP58,K$7+IF(K$2=$AA58,$AC58,IF(K$2=$AF58,$AG58,0))))</f>
        <v/>
      </c>
      <c r="X58">
        <f>IF(L57&lt;=0,0,MIN(AQ58,L$7+IF(L$2=$AA58,$AC58,IF(L$2=$AF58,$AG58,0))))</f>
        <v/>
      </c>
      <c r="Y58">
        <f>IF(M57&lt;=0,0,MIN(AR58,M$7+IF(M$2=$AA58,$AC58,IF(M$2=$AF58,$AG58,0))))</f>
        <v/>
      </c>
      <c r="Z58">
        <f>IF(N57&lt;=0,0,MIN(AS58,N$7+IF(N$2=$AA58,$AC58,IF(N$2=$AF58,$AG58,0))))</f>
        <v/>
      </c>
      <c r="AA58">
        <f>IFERROR(ROUND(1/SUMPRODUCT(MAX((C57:N57&gt;0)*($C$3:$N$3&lt;=B58)/$C$2:$N$2)),0),0)</f>
        <v/>
      </c>
      <c r="AB58">
        <f>SUMPRODUCT((C57:N57&gt;0)*$C$7:$N$7)</f>
        <v/>
      </c>
      <c r="AC58">
        <f>MAX(0,Plan!$C$5-AB58)+IF(A58=Plan!$C$8,N(Plan!$C$7),0)</f>
        <v/>
      </c>
      <c r="AD58">
        <f>SUM(C58:N58)</f>
        <v/>
      </c>
      <c r="AE58">
        <f>SUM(O58:Z58)</f>
        <v/>
      </c>
      <c r="AF58">
        <f>IFERROR(ROUND(1/SUMPRODUCT(MAX((C57:N57&gt;0)*($C$3:$N$3&lt;=B58)*($C$2:$N$2&gt;AA58)/$C$2:$N$2)),0),0)</f>
        <v/>
      </c>
      <c r="AG58">
        <f>MAX(0,AC58-MAX(0,SUMPRODUCT(($C$2:$N$2=AA58)*(AH58:AS58-$C$7:$N$7))))</f>
        <v/>
      </c>
      <c r="AH58">
        <f>IF(C57&lt;=0,0,ROUND(C57*(1+IF(AND(C$6&gt;0,$B58&lt;C$6),C$4,C$5)/12),2))</f>
        <v/>
      </c>
      <c r="AI58">
        <f>IF(D57&lt;=0,0,ROUND(D57*(1+IF(AND(D$6&gt;0,$B58&lt;D$6),D$4,D$5)/12),2))</f>
        <v/>
      </c>
      <c r="AJ58">
        <f>IF(E57&lt;=0,0,ROUND(E57*(1+IF(AND(E$6&gt;0,$B58&lt;E$6),E$4,E$5)/12),2))</f>
        <v/>
      </c>
      <c r="AK58">
        <f>IF(F57&lt;=0,0,ROUND(F57*(1+IF(AND(F$6&gt;0,$B58&lt;F$6),F$4,F$5)/12),2))</f>
        <v/>
      </c>
      <c r="AL58">
        <f>IF(G57&lt;=0,0,ROUND(G57*(1+IF(AND(G$6&gt;0,$B58&lt;G$6),G$4,G$5)/12),2))</f>
        <v/>
      </c>
      <c r="AM58">
        <f>IF(H57&lt;=0,0,ROUND(H57*(1+IF(AND(H$6&gt;0,$B58&lt;H$6),H$4,H$5)/12),2))</f>
        <v/>
      </c>
      <c r="AN58">
        <f>IF(I57&lt;=0,0,ROUND(I57*(1+IF(AND(I$6&gt;0,$B58&lt;I$6),I$4,I$5)/12),2))</f>
        <v/>
      </c>
      <c r="AO58">
        <f>IF(J57&lt;=0,0,ROUND(J57*(1+IF(AND(J$6&gt;0,$B58&lt;J$6),J$4,J$5)/12),2))</f>
        <v/>
      </c>
      <c r="AP58">
        <f>IF(K57&lt;=0,0,ROUND(K57*(1+IF(AND(K$6&gt;0,$B58&lt;K$6),K$4,K$5)/12),2))</f>
        <v/>
      </c>
      <c r="AQ58">
        <f>IF(L57&lt;=0,0,ROUND(L57*(1+IF(AND(L$6&gt;0,$B58&lt;L$6),L$4,L$5)/12),2))</f>
        <v/>
      </c>
      <c r="AR58">
        <f>IF(M57&lt;=0,0,ROUND(M57*(1+IF(AND(M$6&gt;0,$B58&lt;M$6),M$4,M$5)/12),2))</f>
        <v/>
      </c>
      <c r="AS58">
        <f>IF(N57&lt;=0,0,ROUND(N57*(1+IF(AND(N$6&gt;0,$B58&lt;N$6),N$4,N$5)/12),2))</f>
        <v/>
      </c>
    </row>
    <row r="59">
      <c r="A59" t="n">
        <v>48</v>
      </c>
      <c r="B59">
        <f>EDATE(Plan!$C$6,47)</f>
        <v/>
      </c>
      <c r="C59">
        <f>IF(C58&lt;=0,0,MAX(0,AH59-O59))</f>
        <v/>
      </c>
      <c r="D59">
        <f>IF(D58&lt;=0,0,MAX(0,AI59-P59))</f>
        <v/>
      </c>
      <c r="E59">
        <f>IF(E58&lt;=0,0,MAX(0,AJ59-Q59))</f>
        <v/>
      </c>
      <c r="F59">
        <f>IF(F58&lt;=0,0,MAX(0,AK59-R59))</f>
        <v/>
      </c>
      <c r="G59">
        <f>IF(G58&lt;=0,0,MAX(0,AL59-S59))</f>
        <v/>
      </c>
      <c r="H59">
        <f>IF(H58&lt;=0,0,MAX(0,AM59-T59))</f>
        <v/>
      </c>
      <c r="I59">
        <f>IF(I58&lt;=0,0,MAX(0,AN59-U59))</f>
        <v/>
      </c>
      <c r="J59">
        <f>IF(J58&lt;=0,0,MAX(0,AO59-V59))</f>
        <v/>
      </c>
      <c r="K59">
        <f>IF(K58&lt;=0,0,MAX(0,AP59-W59))</f>
        <v/>
      </c>
      <c r="L59">
        <f>IF(L58&lt;=0,0,MAX(0,AQ59-X59))</f>
        <v/>
      </c>
      <c r="M59">
        <f>IF(M58&lt;=0,0,MAX(0,AR59-Y59))</f>
        <v/>
      </c>
      <c r="N59">
        <f>IF(N58&lt;=0,0,MAX(0,AS59-Z59))</f>
        <v/>
      </c>
      <c r="O59">
        <f>IF(C58&lt;=0,0,MIN(AH59,C$7+IF(C$2=$AA59,$AC59,IF(C$2=$AF59,$AG59,0))))</f>
        <v/>
      </c>
      <c r="P59">
        <f>IF(D58&lt;=0,0,MIN(AI59,D$7+IF(D$2=$AA59,$AC59,IF(D$2=$AF59,$AG59,0))))</f>
        <v/>
      </c>
      <c r="Q59">
        <f>IF(E58&lt;=0,0,MIN(AJ59,E$7+IF(E$2=$AA59,$AC59,IF(E$2=$AF59,$AG59,0))))</f>
        <v/>
      </c>
      <c r="R59">
        <f>IF(F58&lt;=0,0,MIN(AK59,F$7+IF(F$2=$AA59,$AC59,IF(F$2=$AF59,$AG59,0))))</f>
        <v/>
      </c>
      <c r="S59">
        <f>IF(G58&lt;=0,0,MIN(AL59,G$7+IF(G$2=$AA59,$AC59,IF(G$2=$AF59,$AG59,0))))</f>
        <v/>
      </c>
      <c r="T59">
        <f>IF(H58&lt;=0,0,MIN(AM59,H$7+IF(H$2=$AA59,$AC59,IF(H$2=$AF59,$AG59,0))))</f>
        <v/>
      </c>
      <c r="U59">
        <f>IF(I58&lt;=0,0,MIN(AN59,I$7+IF(I$2=$AA59,$AC59,IF(I$2=$AF59,$AG59,0))))</f>
        <v/>
      </c>
      <c r="V59">
        <f>IF(J58&lt;=0,0,MIN(AO59,J$7+IF(J$2=$AA59,$AC59,IF(J$2=$AF59,$AG59,0))))</f>
        <v/>
      </c>
      <c r="W59">
        <f>IF(K58&lt;=0,0,MIN(AP59,K$7+IF(K$2=$AA59,$AC59,IF(K$2=$AF59,$AG59,0))))</f>
        <v/>
      </c>
      <c r="X59">
        <f>IF(L58&lt;=0,0,MIN(AQ59,L$7+IF(L$2=$AA59,$AC59,IF(L$2=$AF59,$AG59,0))))</f>
        <v/>
      </c>
      <c r="Y59">
        <f>IF(M58&lt;=0,0,MIN(AR59,M$7+IF(M$2=$AA59,$AC59,IF(M$2=$AF59,$AG59,0))))</f>
        <v/>
      </c>
      <c r="Z59">
        <f>IF(N58&lt;=0,0,MIN(AS59,N$7+IF(N$2=$AA59,$AC59,IF(N$2=$AF59,$AG59,0))))</f>
        <v/>
      </c>
      <c r="AA59">
        <f>IFERROR(ROUND(1/SUMPRODUCT(MAX((C58:N58&gt;0)*($C$3:$N$3&lt;=B59)/$C$2:$N$2)),0),0)</f>
        <v/>
      </c>
      <c r="AB59">
        <f>SUMPRODUCT((C58:N58&gt;0)*$C$7:$N$7)</f>
        <v/>
      </c>
      <c r="AC59">
        <f>MAX(0,Plan!$C$5-AB59)+IF(A59=Plan!$C$8,N(Plan!$C$7),0)</f>
        <v/>
      </c>
      <c r="AD59">
        <f>SUM(C59:N59)</f>
        <v/>
      </c>
      <c r="AE59">
        <f>SUM(O59:Z59)</f>
        <v/>
      </c>
      <c r="AF59">
        <f>IFERROR(ROUND(1/SUMPRODUCT(MAX((C58:N58&gt;0)*($C$3:$N$3&lt;=B59)*($C$2:$N$2&gt;AA59)/$C$2:$N$2)),0),0)</f>
        <v/>
      </c>
      <c r="AG59">
        <f>MAX(0,AC59-MAX(0,SUMPRODUCT(($C$2:$N$2=AA59)*(AH59:AS59-$C$7:$N$7))))</f>
        <v/>
      </c>
      <c r="AH59">
        <f>IF(C58&lt;=0,0,ROUND(C58*(1+IF(AND(C$6&gt;0,$B59&lt;C$6),C$4,C$5)/12),2))</f>
        <v/>
      </c>
      <c r="AI59">
        <f>IF(D58&lt;=0,0,ROUND(D58*(1+IF(AND(D$6&gt;0,$B59&lt;D$6),D$4,D$5)/12),2))</f>
        <v/>
      </c>
      <c r="AJ59">
        <f>IF(E58&lt;=0,0,ROUND(E58*(1+IF(AND(E$6&gt;0,$B59&lt;E$6),E$4,E$5)/12),2))</f>
        <v/>
      </c>
      <c r="AK59">
        <f>IF(F58&lt;=0,0,ROUND(F58*(1+IF(AND(F$6&gt;0,$B59&lt;F$6),F$4,F$5)/12),2))</f>
        <v/>
      </c>
      <c r="AL59">
        <f>IF(G58&lt;=0,0,ROUND(G58*(1+IF(AND(G$6&gt;0,$B59&lt;G$6),G$4,G$5)/12),2))</f>
        <v/>
      </c>
      <c r="AM59">
        <f>IF(H58&lt;=0,0,ROUND(H58*(1+IF(AND(H$6&gt;0,$B59&lt;H$6),H$4,H$5)/12),2))</f>
        <v/>
      </c>
      <c r="AN59">
        <f>IF(I58&lt;=0,0,ROUND(I58*(1+IF(AND(I$6&gt;0,$B59&lt;I$6),I$4,I$5)/12),2))</f>
        <v/>
      </c>
      <c r="AO59">
        <f>IF(J58&lt;=0,0,ROUND(J58*(1+IF(AND(J$6&gt;0,$B59&lt;J$6),J$4,J$5)/12),2))</f>
        <v/>
      </c>
      <c r="AP59">
        <f>IF(K58&lt;=0,0,ROUND(K58*(1+IF(AND(K$6&gt;0,$B59&lt;K$6),K$4,K$5)/12),2))</f>
        <v/>
      </c>
      <c r="AQ59">
        <f>IF(L58&lt;=0,0,ROUND(L58*(1+IF(AND(L$6&gt;0,$B59&lt;L$6),L$4,L$5)/12),2))</f>
        <v/>
      </c>
      <c r="AR59">
        <f>IF(M58&lt;=0,0,ROUND(M58*(1+IF(AND(M$6&gt;0,$B59&lt;M$6),M$4,M$5)/12),2))</f>
        <v/>
      </c>
      <c r="AS59">
        <f>IF(N58&lt;=0,0,ROUND(N58*(1+IF(AND(N$6&gt;0,$B59&lt;N$6),N$4,N$5)/12),2))</f>
        <v/>
      </c>
    </row>
    <row r="60">
      <c r="A60" t="n">
        <v>49</v>
      </c>
      <c r="B60">
        <f>EDATE(Plan!$C$6,48)</f>
        <v/>
      </c>
      <c r="C60">
        <f>IF(C59&lt;=0,0,MAX(0,AH60-O60))</f>
        <v/>
      </c>
      <c r="D60">
        <f>IF(D59&lt;=0,0,MAX(0,AI60-P60))</f>
        <v/>
      </c>
      <c r="E60">
        <f>IF(E59&lt;=0,0,MAX(0,AJ60-Q60))</f>
        <v/>
      </c>
      <c r="F60">
        <f>IF(F59&lt;=0,0,MAX(0,AK60-R60))</f>
        <v/>
      </c>
      <c r="G60">
        <f>IF(G59&lt;=0,0,MAX(0,AL60-S60))</f>
        <v/>
      </c>
      <c r="H60">
        <f>IF(H59&lt;=0,0,MAX(0,AM60-T60))</f>
        <v/>
      </c>
      <c r="I60">
        <f>IF(I59&lt;=0,0,MAX(0,AN60-U60))</f>
        <v/>
      </c>
      <c r="J60">
        <f>IF(J59&lt;=0,0,MAX(0,AO60-V60))</f>
        <v/>
      </c>
      <c r="K60">
        <f>IF(K59&lt;=0,0,MAX(0,AP60-W60))</f>
        <v/>
      </c>
      <c r="L60">
        <f>IF(L59&lt;=0,0,MAX(0,AQ60-X60))</f>
        <v/>
      </c>
      <c r="M60">
        <f>IF(M59&lt;=0,0,MAX(0,AR60-Y60))</f>
        <v/>
      </c>
      <c r="N60">
        <f>IF(N59&lt;=0,0,MAX(0,AS60-Z60))</f>
        <v/>
      </c>
      <c r="O60">
        <f>IF(C59&lt;=0,0,MIN(AH60,C$7+IF(C$2=$AA60,$AC60,IF(C$2=$AF60,$AG60,0))))</f>
        <v/>
      </c>
      <c r="P60">
        <f>IF(D59&lt;=0,0,MIN(AI60,D$7+IF(D$2=$AA60,$AC60,IF(D$2=$AF60,$AG60,0))))</f>
        <v/>
      </c>
      <c r="Q60">
        <f>IF(E59&lt;=0,0,MIN(AJ60,E$7+IF(E$2=$AA60,$AC60,IF(E$2=$AF60,$AG60,0))))</f>
        <v/>
      </c>
      <c r="R60">
        <f>IF(F59&lt;=0,0,MIN(AK60,F$7+IF(F$2=$AA60,$AC60,IF(F$2=$AF60,$AG60,0))))</f>
        <v/>
      </c>
      <c r="S60">
        <f>IF(G59&lt;=0,0,MIN(AL60,G$7+IF(G$2=$AA60,$AC60,IF(G$2=$AF60,$AG60,0))))</f>
        <v/>
      </c>
      <c r="T60">
        <f>IF(H59&lt;=0,0,MIN(AM60,H$7+IF(H$2=$AA60,$AC60,IF(H$2=$AF60,$AG60,0))))</f>
        <v/>
      </c>
      <c r="U60">
        <f>IF(I59&lt;=0,0,MIN(AN60,I$7+IF(I$2=$AA60,$AC60,IF(I$2=$AF60,$AG60,0))))</f>
        <v/>
      </c>
      <c r="V60">
        <f>IF(J59&lt;=0,0,MIN(AO60,J$7+IF(J$2=$AA60,$AC60,IF(J$2=$AF60,$AG60,0))))</f>
        <v/>
      </c>
      <c r="W60">
        <f>IF(K59&lt;=0,0,MIN(AP60,K$7+IF(K$2=$AA60,$AC60,IF(K$2=$AF60,$AG60,0))))</f>
        <v/>
      </c>
      <c r="X60">
        <f>IF(L59&lt;=0,0,MIN(AQ60,L$7+IF(L$2=$AA60,$AC60,IF(L$2=$AF60,$AG60,0))))</f>
        <v/>
      </c>
      <c r="Y60">
        <f>IF(M59&lt;=0,0,MIN(AR60,M$7+IF(M$2=$AA60,$AC60,IF(M$2=$AF60,$AG60,0))))</f>
        <v/>
      </c>
      <c r="Z60">
        <f>IF(N59&lt;=0,0,MIN(AS60,N$7+IF(N$2=$AA60,$AC60,IF(N$2=$AF60,$AG60,0))))</f>
        <v/>
      </c>
      <c r="AA60">
        <f>IFERROR(ROUND(1/SUMPRODUCT(MAX((C59:N59&gt;0)*($C$3:$N$3&lt;=B60)/$C$2:$N$2)),0),0)</f>
        <v/>
      </c>
      <c r="AB60">
        <f>SUMPRODUCT((C59:N59&gt;0)*$C$7:$N$7)</f>
        <v/>
      </c>
      <c r="AC60">
        <f>MAX(0,Plan!$C$5-AB60)+IF(A60=Plan!$C$8,N(Plan!$C$7),0)</f>
        <v/>
      </c>
      <c r="AD60">
        <f>SUM(C60:N60)</f>
        <v/>
      </c>
      <c r="AE60">
        <f>SUM(O60:Z60)</f>
        <v/>
      </c>
      <c r="AF60">
        <f>IFERROR(ROUND(1/SUMPRODUCT(MAX((C59:N59&gt;0)*($C$3:$N$3&lt;=B60)*($C$2:$N$2&gt;AA60)/$C$2:$N$2)),0),0)</f>
        <v/>
      </c>
      <c r="AG60">
        <f>MAX(0,AC60-MAX(0,SUMPRODUCT(($C$2:$N$2=AA60)*(AH60:AS60-$C$7:$N$7))))</f>
        <v/>
      </c>
      <c r="AH60">
        <f>IF(C59&lt;=0,0,ROUND(C59*(1+IF(AND(C$6&gt;0,$B60&lt;C$6),C$4,C$5)/12),2))</f>
        <v/>
      </c>
      <c r="AI60">
        <f>IF(D59&lt;=0,0,ROUND(D59*(1+IF(AND(D$6&gt;0,$B60&lt;D$6),D$4,D$5)/12),2))</f>
        <v/>
      </c>
      <c r="AJ60">
        <f>IF(E59&lt;=0,0,ROUND(E59*(1+IF(AND(E$6&gt;0,$B60&lt;E$6),E$4,E$5)/12),2))</f>
        <v/>
      </c>
      <c r="AK60">
        <f>IF(F59&lt;=0,0,ROUND(F59*(1+IF(AND(F$6&gt;0,$B60&lt;F$6),F$4,F$5)/12),2))</f>
        <v/>
      </c>
      <c r="AL60">
        <f>IF(G59&lt;=0,0,ROUND(G59*(1+IF(AND(G$6&gt;0,$B60&lt;G$6),G$4,G$5)/12),2))</f>
        <v/>
      </c>
      <c r="AM60">
        <f>IF(H59&lt;=0,0,ROUND(H59*(1+IF(AND(H$6&gt;0,$B60&lt;H$6),H$4,H$5)/12),2))</f>
        <v/>
      </c>
      <c r="AN60">
        <f>IF(I59&lt;=0,0,ROUND(I59*(1+IF(AND(I$6&gt;0,$B60&lt;I$6),I$4,I$5)/12),2))</f>
        <v/>
      </c>
      <c r="AO60">
        <f>IF(J59&lt;=0,0,ROUND(J59*(1+IF(AND(J$6&gt;0,$B60&lt;J$6),J$4,J$5)/12),2))</f>
        <v/>
      </c>
      <c r="AP60">
        <f>IF(K59&lt;=0,0,ROUND(K59*(1+IF(AND(K$6&gt;0,$B60&lt;K$6),K$4,K$5)/12),2))</f>
        <v/>
      </c>
      <c r="AQ60">
        <f>IF(L59&lt;=0,0,ROUND(L59*(1+IF(AND(L$6&gt;0,$B60&lt;L$6),L$4,L$5)/12),2))</f>
        <v/>
      </c>
      <c r="AR60">
        <f>IF(M59&lt;=0,0,ROUND(M59*(1+IF(AND(M$6&gt;0,$B60&lt;M$6),M$4,M$5)/12),2))</f>
        <v/>
      </c>
      <c r="AS60">
        <f>IF(N59&lt;=0,0,ROUND(N59*(1+IF(AND(N$6&gt;0,$B60&lt;N$6),N$4,N$5)/12),2))</f>
        <v/>
      </c>
    </row>
    <row r="61">
      <c r="A61" t="n">
        <v>50</v>
      </c>
      <c r="B61">
        <f>EDATE(Plan!$C$6,49)</f>
        <v/>
      </c>
      <c r="C61">
        <f>IF(C60&lt;=0,0,MAX(0,AH61-O61))</f>
        <v/>
      </c>
      <c r="D61">
        <f>IF(D60&lt;=0,0,MAX(0,AI61-P61))</f>
        <v/>
      </c>
      <c r="E61">
        <f>IF(E60&lt;=0,0,MAX(0,AJ61-Q61))</f>
        <v/>
      </c>
      <c r="F61">
        <f>IF(F60&lt;=0,0,MAX(0,AK61-R61))</f>
        <v/>
      </c>
      <c r="G61">
        <f>IF(G60&lt;=0,0,MAX(0,AL61-S61))</f>
        <v/>
      </c>
      <c r="H61">
        <f>IF(H60&lt;=0,0,MAX(0,AM61-T61))</f>
        <v/>
      </c>
      <c r="I61">
        <f>IF(I60&lt;=0,0,MAX(0,AN61-U61))</f>
        <v/>
      </c>
      <c r="J61">
        <f>IF(J60&lt;=0,0,MAX(0,AO61-V61))</f>
        <v/>
      </c>
      <c r="K61">
        <f>IF(K60&lt;=0,0,MAX(0,AP61-W61))</f>
        <v/>
      </c>
      <c r="L61">
        <f>IF(L60&lt;=0,0,MAX(0,AQ61-X61))</f>
        <v/>
      </c>
      <c r="M61">
        <f>IF(M60&lt;=0,0,MAX(0,AR61-Y61))</f>
        <v/>
      </c>
      <c r="N61">
        <f>IF(N60&lt;=0,0,MAX(0,AS61-Z61))</f>
        <v/>
      </c>
      <c r="O61">
        <f>IF(C60&lt;=0,0,MIN(AH61,C$7+IF(C$2=$AA61,$AC61,IF(C$2=$AF61,$AG61,0))))</f>
        <v/>
      </c>
      <c r="P61">
        <f>IF(D60&lt;=0,0,MIN(AI61,D$7+IF(D$2=$AA61,$AC61,IF(D$2=$AF61,$AG61,0))))</f>
        <v/>
      </c>
      <c r="Q61">
        <f>IF(E60&lt;=0,0,MIN(AJ61,E$7+IF(E$2=$AA61,$AC61,IF(E$2=$AF61,$AG61,0))))</f>
        <v/>
      </c>
      <c r="R61">
        <f>IF(F60&lt;=0,0,MIN(AK61,F$7+IF(F$2=$AA61,$AC61,IF(F$2=$AF61,$AG61,0))))</f>
        <v/>
      </c>
      <c r="S61">
        <f>IF(G60&lt;=0,0,MIN(AL61,G$7+IF(G$2=$AA61,$AC61,IF(G$2=$AF61,$AG61,0))))</f>
        <v/>
      </c>
      <c r="T61">
        <f>IF(H60&lt;=0,0,MIN(AM61,H$7+IF(H$2=$AA61,$AC61,IF(H$2=$AF61,$AG61,0))))</f>
        <v/>
      </c>
      <c r="U61">
        <f>IF(I60&lt;=0,0,MIN(AN61,I$7+IF(I$2=$AA61,$AC61,IF(I$2=$AF61,$AG61,0))))</f>
        <v/>
      </c>
      <c r="V61">
        <f>IF(J60&lt;=0,0,MIN(AO61,J$7+IF(J$2=$AA61,$AC61,IF(J$2=$AF61,$AG61,0))))</f>
        <v/>
      </c>
      <c r="W61">
        <f>IF(K60&lt;=0,0,MIN(AP61,K$7+IF(K$2=$AA61,$AC61,IF(K$2=$AF61,$AG61,0))))</f>
        <v/>
      </c>
      <c r="X61">
        <f>IF(L60&lt;=0,0,MIN(AQ61,L$7+IF(L$2=$AA61,$AC61,IF(L$2=$AF61,$AG61,0))))</f>
        <v/>
      </c>
      <c r="Y61">
        <f>IF(M60&lt;=0,0,MIN(AR61,M$7+IF(M$2=$AA61,$AC61,IF(M$2=$AF61,$AG61,0))))</f>
        <v/>
      </c>
      <c r="Z61">
        <f>IF(N60&lt;=0,0,MIN(AS61,N$7+IF(N$2=$AA61,$AC61,IF(N$2=$AF61,$AG61,0))))</f>
        <v/>
      </c>
      <c r="AA61">
        <f>IFERROR(ROUND(1/SUMPRODUCT(MAX((C60:N60&gt;0)*($C$3:$N$3&lt;=B61)/$C$2:$N$2)),0),0)</f>
        <v/>
      </c>
      <c r="AB61">
        <f>SUMPRODUCT((C60:N60&gt;0)*$C$7:$N$7)</f>
        <v/>
      </c>
      <c r="AC61">
        <f>MAX(0,Plan!$C$5-AB61)+IF(A61=Plan!$C$8,N(Plan!$C$7),0)</f>
        <v/>
      </c>
      <c r="AD61">
        <f>SUM(C61:N61)</f>
        <v/>
      </c>
      <c r="AE61">
        <f>SUM(O61:Z61)</f>
        <v/>
      </c>
      <c r="AF61">
        <f>IFERROR(ROUND(1/SUMPRODUCT(MAX((C60:N60&gt;0)*($C$3:$N$3&lt;=B61)*($C$2:$N$2&gt;AA61)/$C$2:$N$2)),0),0)</f>
        <v/>
      </c>
      <c r="AG61">
        <f>MAX(0,AC61-MAX(0,SUMPRODUCT(($C$2:$N$2=AA61)*(AH61:AS61-$C$7:$N$7))))</f>
        <v/>
      </c>
      <c r="AH61">
        <f>IF(C60&lt;=0,0,ROUND(C60*(1+IF(AND(C$6&gt;0,$B61&lt;C$6),C$4,C$5)/12),2))</f>
        <v/>
      </c>
      <c r="AI61">
        <f>IF(D60&lt;=0,0,ROUND(D60*(1+IF(AND(D$6&gt;0,$B61&lt;D$6),D$4,D$5)/12),2))</f>
        <v/>
      </c>
      <c r="AJ61">
        <f>IF(E60&lt;=0,0,ROUND(E60*(1+IF(AND(E$6&gt;0,$B61&lt;E$6),E$4,E$5)/12),2))</f>
        <v/>
      </c>
      <c r="AK61">
        <f>IF(F60&lt;=0,0,ROUND(F60*(1+IF(AND(F$6&gt;0,$B61&lt;F$6),F$4,F$5)/12),2))</f>
        <v/>
      </c>
      <c r="AL61">
        <f>IF(G60&lt;=0,0,ROUND(G60*(1+IF(AND(G$6&gt;0,$B61&lt;G$6),G$4,G$5)/12),2))</f>
        <v/>
      </c>
      <c r="AM61">
        <f>IF(H60&lt;=0,0,ROUND(H60*(1+IF(AND(H$6&gt;0,$B61&lt;H$6),H$4,H$5)/12),2))</f>
        <v/>
      </c>
      <c r="AN61">
        <f>IF(I60&lt;=0,0,ROUND(I60*(1+IF(AND(I$6&gt;0,$B61&lt;I$6),I$4,I$5)/12),2))</f>
        <v/>
      </c>
      <c r="AO61">
        <f>IF(J60&lt;=0,0,ROUND(J60*(1+IF(AND(J$6&gt;0,$B61&lt;J$6),J$4,J$5)/12),2))</f>
        <v/>
      </c>
      <c r="AP61">
        <f>IF(K60&lt;=0,0,ROUND(K60*(1+IF(AND(K$6&gt;0,$B61&lt;K$6),K$4,K$5)/12),2))</f>
        <v/>
      </c>
      <c r="AQ61">
        <f>IF(L60&lt;=0,0,ROUND(L60*(1+IF(AND(L$6&gt;0,$B61&lt;L$6),L$4,L$5)/12),2))</f>
        <v/>
      </c>
      <c r="AR61">
        <f>IF(M60&lt;=0,0,ROUND(M60*(1+IF(AND(M$6&gt;0,$B61&lt;M$6),M$4,M$5)/12),2))</f>
        <v/>
      </c>
      <c r="AS61">
        <f>IF(N60&lt;=0,0,ROUND(N60*(1+IF(AND(N$6&gt;0,$B61&lt;N$6),N$4,N$5)/12),2))</f>
        <v/>
      </c>
    </row>
    <row r="62">
      <c r="A62" t="n">
        <v>51</v>
      </c>
      <c r="B62">
        <f>EDATE(Plan!$C$6,50)</f>
        <v/>
      </c>
      <c r="C62">
        <f>IF(C61&lt;=0,0,MAX(0,AH62-O62))</f>
        <v/>
      </c>
      <c r="D62">
        <f>IF(D61&lt;=0,0,MAX(0,AI62-P62))</f>
        <v/>
      </c>
      <c r="E62">
        <f>IF(E61&lt;=0,0,MAX(0,AJ62-Q62))</f>
        <v/>
      </c>
      <c r="F62">
        <f>IF(F61&lt;=0,0,MAX(0,AK62-R62))</f>
        <v/>
      </c>
      <c r="G62">
        <f>IF(G61&lt;=0,0,MAX(0,AL62-S62))</f>
        <v/>
      </c>
      <c r="H62">
        <f>IF(H61&lt;=0,0,MAX(0,AM62-T62))</f>
        <v/>
      </c>
      <c r="I62">
        <f>IF(I61&lt;=0,0,MAX(0,AN62-U62))</f>
        <v/>
      </c>
      <c r="J62">
        <f>IF(J61&lt;=0,0,MAX(0,AO62-V62))</f>
        <v/>
      </c>
      <c r="K62">
        <f>IF(K61&lt;=0,0,MAX(0,AP62-W62))</f>
        <v/>
      </c>
      <c r="L62">
        <f>IF(L61&lt;=0,0,MAX(0,AQ62-X62))</f>
        <v/>
      </c>
      <c r="M62">
        <f>IF(M61&lt;=0,0,MAX(0,AR62-Y62))</f>
        <v/>
      </c>
      <c r="N62">
        <f>IF(N61&lt;=0,0,MAX(0,AS62-Z62))</f>
        <v/>
      </c>
      <c r="O62">
        <f>IF(C61&lt;=0,0,MIN(AH62,C$7+IF(C$2=$AA62,$AC62,IF(C$2=$AF62,$AG62,0))))</f>
        <v/>
      </c>
      <c r="P62">
        <f>IF(D61&lt;=0,0,MIN(AI62,D$7+IF(D$2=$AA62,$AC62,IF(D$2=$AF62,$AG62,0))))</f>
        <v/>
      </c>
      <c r="Q62">
        <f>IF(E61&lt;=0,0,MIN(AJ62,E$7+IF(E$2=$AA62,$AC62,IF(E$2=$AF62,$AG62,0))))</f>
        <v/>
      </c>
      <c r="R62">
        <f>IF(F61&lt;=0,0,MIN(AK62,F$7+IF(F$2=$AA62,$AC62,IF(F$2=$AF62,$AG62,0))))</f>
        <v/>
      </c>
      <c r="S62">
        <f>IF(G61&lt;=0,0,MIN(AL62,G$7+IF(G$2=$AA62,$AC62,IF(G$2=$AF62,$AG62,0))))</f>
        <v/>
      </c>
      <c r="T62">
        <f>IF(H61&lt;=0,0,MIN(AM62,H$7+IF(H$2=$AA62,$AC62,IF(H$2=$AF62,$AG62,0))))</f>
        <v/>
      </c>
      <c r="U62">
        <f>IF(I61&lt;=0,0,MIN(AN62,I$7+IF(I$2=$AA62,$AC62,IF(I$2=$AF62,$AG62,0))))</f>
        <v/>
      </c>
      <c r="V62">
        <f>IF(J61&lt;=0,0,MIN(AO62,J$7+IF(J$2=$AA62,$AC62,IF(J$2=$AF62,$AG62,0))))</f>
        <v/>
      </c>
      <c r="W62">
        <f>IF(K61&lt;=0,0,MIN(AP62,K$7+IF(K$2=$AA62,$AC62,IF(K$2=$AF62,$AG62,0))))</f>
        <v/>
      </c>
      <c r="X62">
        <f>IF(L61&lt;=0,0,MIN(AQ62,L$7+IF(L$2=$AA62,$AC62,IF(L$2=$AF62,$AG62,0))))</f>
        <v/>
      </c>
      <c r="Y62">
        <f>IF(M61&lt;=0,0,MIN(AR62,M$7+IF(M$2=$AA62,$AC62,IF(M$2=$AF62,$AG62,0))))</f>
        <v/>
      </c>
      <c r="Z62">
        <f>IF(N61&lt;=0,0,MIN(AS62,N$7+IF(N$2=$AA62,$AC62,IF(N$2=$AF62,$AG62,0))))</f>
        <v/>
      </c>
      <c r="AA62">
        <f>IFERROR(ROUND(1/SUMPRODUCT(MAX((C61:N61&gt;0)*($C$3:$N$3&lt;=B62)/$C$2:$N$2)),0),0)</f>
        <v/>
      </c>
      <c r="AB62">
        <f>SUMPRODUCT((C61:N61&gt;0)*$C$7:$N$7)</f>
        <v/>
      </c>
      <c r="AC62">
        <f>MAX(0,Plan!$C$5-AB62)+IF(A62=Plan!$C$8,N(Plan!$C$7),0)</f>
        <v/>
      </c>
      <c r="AD62">
        <f>SUM(C62:N62)</f>
        <v/>
      </c>
      <c r="AE62">
        <f>SUM(O62:Z62)</f>
        <v/>
      </c>
      <c r="AF62">
        <f>IFERROR(ROUND(1/SUMPRODUCT(MAX((C61:N61&gt;0)*($C$3:$N$3&lt;=B62)*($C$2:$N$2&gt;AA62)/$C$2:$N$2)),0),0)</f>
        <v/>
      </c>
      <c r="AG62">
        <f>MAX(0,AC62-MAX(0,SUMPRODUCT(($C$2:$N$2=AA62)*(AH62:AS62-$C$7:$N$7))))</f>
        <v/>
      </c>
      <c r="AH62">
        <f>IF(C61&lt;=0,0,ROUND(C61*(1+IF(AND(C$6&gt;0,$B62&lt;C$6),C$4,C$5)/12),2))</f>
        <v/>
      </c>
      <c r="AI62">
        <f>IF(D61&lt;=0,0,ROUND(D61*(1+IF(AND(D$6&gt;0,$B62&lt;D$6),D$4,D$5)/12),2))</f>
        <v/>
      </c>
      <c r="AJ62">
        <f>IF(E61&lt;=0,0,ROUND(E61*(1+IF(AND(E$6&gt;0,$B62&lt;E$6),E$4,E$5)/12),2))</f>
        <v/>
      </c>
      <c r="AK62">
        <f>IF(F61&lt;=0,0,ROUND(F61*(1+IF(AND(F$6&gt;0,$B62&lt;F$6),F$4,F$5)/12),2))</f>
        <v/>
      </c>
      <c r="AL62">
        <f>IF(G61&lt;=0,0,ROUND(G61*(1+IF(AND(G$6&gt;0,$B62&lt;G$6),G$4,G$5)/12),2))</f>
        <v/>
      </c>
      <c r="AM62">
        <f>IF(H61&lt;=0,0,ROUND(H61*(1+IF(AND(H$6&gt;0,$B62&lt;H$6),H$4,H$5)/12),2))</f>
        <v/>
      </c>
      <c r="AN62">
        <f>IF(I61&lt;=0,0,ROUND(I61*(1+IF(AND(I$6&gt;0,$B62&lt;I$6),I$4,I$5)/12),2))</f>
        <v/>
      </c>
      <c r="AO62">
        <f>IF(J61&lt;=0,0,ROUND(J61*(1+IF(AND(J$6&gt;0,$B62&lt;J$6),J$4,J$5)/12),2))</f>
        <v/>
      </c>
      <c r="AP62">
        <f>IF(K61&lt;=0,0,ROUND(K61*(1+IF(AND(K$6&gt;0,$B62&lt;K$6),K$4,K$5)/12),2))</f>
        <v/>
      </c>
      <c r="AQ62">
        <f>IF(L61&lt;=0,0,ROUND(L61*(1+IF(AND(L$6&gt;0,$B62&lt;L$6),L$4,L$5)/12),2))</f>
        <v/>
      </c>
      <c r="AR62">
        <f>IF(M61&lt;=0,0,ROUND(M61*(1+IF(AND(M$6&gt;0,$B62&lt;M$6),M$4,M$5)/12),2))</f>
        <v/>
      </c>
      <c r="AS62">
        <f>IF(N61&lt;=0,0,ROUND(N61*(1+IF(AND(N$6&gt;0,$B62&lt;N$6),N$4,N$5)/12),2))</f>
        <v/>
      </c>
    </row>
    <row r="63">
      <c r="A63" t="n">
        <v>52</v>
      </c>
      <c r="B63">
        <f>EDATE(Plan!$C$6,51)</f>
        <v/>
      </c>
      <c r="C63">
        <f>IF(C62&lt;=0,0,MAX(0,AH63-O63))</f>
        <v/>
      </c>
      <c r="D63">
        <f>IF(D62&lt;=0,0,MAX(0,AI63-P63))</f>
        <v/>
      </c>
      <c r="E63">
        <f>IF(E62&lt;=0,0,MAX(0,AJ63-Q63))</f>
        <v/>
      </c>
      <c r="F63">
        <f>IF(F62&lt;=0,0,MAX(0,AK63-R63))</f>
        <v/>
      </c>
      <c r="G63">
        <f>IF(G62&lt;=0,0,MAX(0,AL63-S63))</f>
        <v/>
      </c>
      <c r="H63">
        <f>IF(H62&lt;=0,0,MAX(0,AM63-T63))</f>
        <v/>
      </c>
      <c r="I63">
        <f>IF(I62&lt;=0,0,MAX(0,AN63-U63))</f>
        <v/>
      </c>
      <c r="J63">
        <f>IF(J62&lt;=0,0,MAX(0,AO63-V63))</f>
        <v/>
      </c>
      <c r="K63">
        <f>IF(K62&lt;=0,0,MAX(0,AP63-W63))</f>
        <v/>
      </c>
      <c r="L63">
        <f>IF(L62&lt;=0,0,MAX(0,AQ63-X63))</f>
        <v/>
      </c>
      <c r="M63">
        <f>IF(M62&lt;=0,0,MAX(0,AR63-Y63))</f>
        <v/>
      </c>
      <c r="N63">
        <f>IF(N62&lt;=0,0,MAX(0,AS63-Z63))</f>
        <v/>
      </c>
      <c r="O63">
        <f>IF(C62&lt;=0,0,MIN(AH63,C$7+IF(C$2=$AA63,$AC63,IF(C$2=$AF63,$AG63,0))))</f>
        <v/>
      </c>
      <c r="P63">
        <f>IF(D62&lt;=0,0,MIN(AI63,D$7+IF(D$2=$AA63,$AC63,IF(D$2=$AF63,$AG63,0))))</f>
        <v/>
      </c>
      <c r="Q63">
        <f>IF(E62&lt;=0,0,MIN(AJ63,E$7+IF(E$2=$AA63,$AC63,IF(E$2=$AF63,$AG63,0))))</f>
        <v/>
      </c>
      <c r="R63">
        <f>IF(F62&lt;=0,0,MIN(AK63,F$7+IF(F$2=$AA63,$AC63,IF(F$2=$AF63,$AG63,0))))</f>
        <v/>
      </c>
      <c r="S63">
        <f>IF(G62&lt;=0,0,MIN(AL63,G$7+IF(G$2=$AA63,$AC63,IF(G$2=$AF63,$AG63,0))))</f>
        <v/>
      </c>
      <c r="T63">
        <f>IF(H62&lt;=0,0,MIN(AM63,H$7+IF(H$2=$AA63,$AC63,IF(H$2=$AF63,$AG63,0))))</f>
        <v/>
      </c>
      <c r="U63">
        <f>IF(I62&lt;=0,0,MIN(AN63,I$7+IF(I$2=$AA63,$AC63,IF(I$2=$AF63,$AG63,0))))</f>
        <v/>
      </c>
      <c r="V63">
        <f>IF(J62&lt;=0,0,MIN(AO63,J$7+IF(J$2=$AA63,$AC63,IF(J$2=$AF63,$AG63,0))))</f>
        <v/>
      </c>
      <c r="W63">
        <f>IF(K62&lt;=0,0,MIN(AP63,K$7+IF(K$2=$AA63,$AC63,IF(K$2=$AF63,$AG63,0))))</f>
        <v/>
      </c>
      <c r="X63">
        <f>IF(L62&lt;=0,0,MIN(AQ63,L$7+IF(L$2=$AA63,$AC63,IF(L$2=$AF63,$AG63,0))))</f>
        <v/>
      </c>
      <c r="Y63">
        <f>IF(M62&lt;=0,0,MIN(AR63,M$7+IF(M$2=$AA63,$AC63,IF(M$2=$AF63,$AG63,0))))</f>
        <v/>
      </c>
      <c r="Z63">
        <f>IF(N62&lt;=0,0,MIN(AS63,N$7+IF(N$2=$AA63,$AC63,IF(N$2=$AF63,$AG63,0))))</f>
        <v/>
      </c>
      <c r="AA63">
        <f>IFERROR(ROUND(1/SUMPRODUCT(MAX((C62:N62&gt;0)*($C$3:$N$3&lt;=B63)/$C$2:$N$2)),0),0)</f>
        <v/>
      </c>
      <c r="AB63">
        <f>SUMPRODUCT((C62:N62&gt;0)*$C$7:$N$7)</f>
        <v/>
      </c>
      <c r="AC63">
        <f>MAX(0,Plan!$C$5-AB63)+IF(A63=Plan!$C$8,N(Plan!$C$7),0)</f>
        <v/>
      </c>
      <c r="AD63">
        <f>SUM(C63:N63)</f>
        <v/>
      </c>
      <c r="AE63">
        <f>SUM(O63:Z63)</f>
        <v/>
      </c>
      <c r="AF63">
        <f>IFERROR(ROUND(1/SUMPRODUCT(MAX((C62:N62&gt;0)*($C$3:$N$3&lt;=B63)*($C$2:$N$2&gt;AA63)/$C$2:$N$2)),0),0)</f>
        <v/>
      </c>
      <c r="AG63">
        <f>MAX(0,AC63-MAX(0,SUMPRODUCT(($C$2:$N$2=AA63)*(AH63:AS63-$C$7:$N$7))))</f>
        <v/>
      </c>
      <c r="AH63">
        <f>IF(C62&lt;=0,0,ROUND(C62*(1+IF(AND(C$6&gt;0,$B63&lt;C$6),C$4,C$5)/12),2))</f>
        <v/>
      </c>
      <c r="AI63">
        <f>IF(D62&lt;=0,0,ROUND(D62*(1+IF(AND(D$6&gt;0,$B63&lt;D$6),D$4,D$5)/12),2))</f>
        <v/>
      </c>
      <c r="AJ63">
        <f>IF(E62&lt;=0,0,ROUND(E62*(1+IF(AND(E$6&gt;0,$B63&lt;E$6),E$4,E$5)/12),2))</f>
        <v/>
      </c>
      <c r="AK63">
        <f>IF(F62&lt;=0,0,ROUND(F62*(1+IF(AND(F$6&gt;0,$B63&lt;F$6),F$4,F$5)/12),2))</f>
        <v/>
      </c>
      <c r="AL63">
        <f>IF(G62&lt;=0,0,ROUND(G62*(1+IF(AND(G$6&gt;0,$B63&lt;G$6),G$4,G$5)/12),2))</f>
        <v/>
      </c>
      <c r="AM63">
        <f>IF(H62&lt;=0,0,ROUND(H62*(1+IF(AND(H$6&gt;0,$B63&lt;H$6),H$4,H$5)/12),2))</f>
        <v/>
      </c>
      <c r="AN63">
        <f>IF(I62&lt;=0,0,ROUND(I62*(1+IF(AND(I$6&gt;0,$B63&lt;I$6),I$4,I$5)/12),2))</f>
        <v/>
      </c>
      <c r="AO63">
        <f>IF(J62&lt;=0,0,ROUND(J62*(1+IF(AND(J$6&gt;0,$B63&lt;J$6),J$4,J$5)/12),2))</f>
        <v/>
      </c>
      <c r="AP63">
        <f>IF(K62&lt;=0,0,ROUND(K62*(1+IF(AND(K$6&gt;0,$B63&lt;K$6),K$4,K$5)/12),2))</f>
        <v/>
      </c>
      <c r="AQ63">
        <f>IF(L62&lt;=0,0,ROUND(L62*(1+IF(AND(L$6&gt;0,$B63&lt;L$6),L$4,L$5)/12),2))</f>
        <v/>
      </c>
      <c r="AR63">
        <f>IF(M62&lt;=0,0,ROUND(M62*(1+IF(AND(M$6&gt;0,$B63&lt;M$6),M$4,M$5)/12),2))</f>
        <v/>
      </c>
      <c r="AS63">
        <f>IF(N62&lt;=0,0,ROUND(N62*(1+IF(AND(N$6&gt;0,$B63&lt;N$6),N$4,N$5)/12),2))</f>
        <v/>
      </c>
    </row>
    <row r="64">
      <c r="A64" t="n">
        <v>53</v>
      </c>
      <c r="B64">
        <f>EDATE(Plan!$C$6,52)</f>
        <v/>
      </c>
      <c r="C64">
        <f>IF(C63&lt;=0,0,MAX(0,AH64-O64))</f>
        <v/>
      </c>
      <c r="D64">
        <f>IF(D63&lt;=0,0,MAX(0,AI64-P64))</f>
        <v/>
      </c>
      <c r="E64">
        <f>IF(E63&lt;=0,0,MAX(0,AJ64-Q64))</f>
        <v/>
      </c>
      <c r="F64">
        <f>IF(F63&lt;=0,0,MAX(0,AK64-R64))</f>
        <v/>
      </c>
      <c r="G64">
        <f>IF(G63&lt;=0,0,MAX(0,AL64-S64))</f>
        <v/>
      </c>
      <c r="H64">
        <f>IF(H63&lt;=0,0,MAX(0,AM64-T64))</f>
        <v/>
      </c>
      <c r="I64">
        <f>IF(I63&lt;=0,0,MAX(0,AN64-U64))</f>
        <v/>
      </c>
      <c r="J64">
        <f>IF(J63&lt;=0,0,MAX(0,AO64-V64))</f>
        <v/>
      </c>
      <c r="K64">
        <f>IF(K63&lt;=0,0,MAX(0,AP64-W64))</f>
        <v/>
      </c>
      <c r="L64">
        <f>IF(L63&lt;=0,0,MAX(0,AQ64-X64))</f>
        <v/>
      </c>
      <c r="M64">
        <f>IF(M63&lt;=0,0,MAX(0,AR64-Y64))</f>
        <v/>
      </c>
      <c r="N64">
        <f>IF(N63&lt;=0,0,MAX(0,AS64-Z64))</f>
        <v/>
      </c>
      <c r="O64">
        <f>IF(C63&lt;=0,0,MIN(AH64,C$7+IF(C$2=$AA64,$AC64,IF(C$2=$AF64,$AG64,0))))</f>
        <v/>
      </c>
      <c r="P64">
        <f>IF(D63&lt;=0,0,MIN(AI64,D$7+IF(D$2=$AA64,$AC64,IF(D$2=$AF64,$AG64,0))))</f>
        <v/>
      </c>
      <c r="Q64">
        <f>IF(E63&lt;=0,0,MIN(AJ64,E$7+IF(E$2=$AA64,$AC64,IF(E$2=$AF64,$AG64,0))))</f>
        <v/>
      </c>
      <c r="R64">
        <f>IF(F63&lt;=0,0,MIN(AK64,F$7+IF(F$2=$AA64,$AC64,IF(F$2=$AF64,$AG64,0))))</f>
        <v/>
      </c>
      <c r="S64">
        <f>IF(G63&lt;=0,0,MIN(AL64,G$7+IF(G$2=$AA64,$AC64,IF(G$2=$AF64,$AG64,0))))</f>
        <v/>
      </c>
      <c r="T64">
        <f>IF(H63&lt;=0,0,MIN(AM64,H$7+IF(H$2=$AA64,$AC64,IF(H$2=$AF64,$AG64,0))))</f>
        <v/>
      </c>
      <c r="U64">
        <f>IF(I63&lt;=0,0,MIN(AN64,I$7+IF(I$2=$AA64,$AC64,IF(I$2=$AF64,$AG64,0))))</f>
        <v/>
      </c>
      <c r="V64">
        <f>IF(J63&lt;=0,0,MIN(AO64,J$7+IF(J$2=$AA64,$AC64,IF(J$2=$AF64,$AG64,0))))</f>
        <v/>
      </c>
      <c r="W64">
        <f>IF(K63&lt;=0,0,MIN(AP64,K$7+IF(K$2=$AA64,$AC64,IF(K$2=$AF64,$AG64,0))))</f>
        <v/>
      </c>
      <c r="X64">
        <f>IF(L63&lt;=0,0,MIN(AQ64,L$7+IF(L$2=$AA64,$AC64,IF(L$2=$AF64,$AG64,0))))</f>
        <v/>
      </c>
      <c r="Y64">
        <f>IF(M63&lt;=0,0,MIN(AR64,M$7+IF(M$2=$AA64,$AC64,IF(M$2=$AF64,$AG64,0))))</f>
        <v/>
      </c>
      <c r="Z64">
        <f>IF(N63&lt;=0,0,MIN(AS64,N$7+IF(N$2=$AA64,$AC64,IF(N$2=$AF64,$AG64,0))))</f>
        <v/>
      </c>
      <c r="AA64">
        <f>IFERROR(ROUND(1/SUMPRODUCT(MAX((C63:N63&gt;0)*($C$3:$N$3&lt;=B64)/$C$2:$N$2)),0),0)</f>
        <v/>
      </c>
      <c r="AB64">
        <f>SUMPRODUCT((C63:N63&gt;0)*$C$7:$N$7)</f>
        <v/>
      </c>
      <c r="AC64">
        <f>MAX(0,Plan!$C$5-AB64)+IF(A64=Plan!$C$8,N(Plan!$C$7),0)</f>
        <v/>
      </c>
      <c r="AD64">
        <f>SUM(C64:N64)</f>
        <v/>
      </c>
      <c r="AE64">
        <f>SUM(O64:Z64)</f>
        <v/>
      </c>
      <c r="AF64">
        <f>IFERROR(ROUND(1/SUMPRODUCT(MAX((C63:N63&gt;0)*($C$3:$N$3&lt;=B64)*($C$2:$N$2&gt;AA64)/$C$2:$N$2)),0),0)</f>
        <v/>
      </c>
      <c r="AG64">
        <f>MAX(0,AC64-MAX(0,SUMPRODUCT(($C$2:$N$2=AA64)*(AH64:AS64-$C$7:$N$7))))</f>
        <v/>
      </c>
      <c r="AH64">
        <f>IF(C63&lt;=0,0,ROUND(C63*(1+IF(AND(C$6&gt;0,$B64&lt;C$6),C$4,C$5)/12),2))</f>
        <v/>
      </c>
      <c r="AI64">
        <f>IF(D63&lt;=0,0,ROUND(D63*(1+IF(AND(D$6&gt;0,$B64&lt;D$6),D$4,D$5)/12),2))</f>
        <v/>
      </c>
      <c r="AJ64">
        <f>IF(E63&lt;=0,0,ROUND(E63*(1+IF(AND(E$6&gt;0,$B64&lt;E$6),E$4,E$5)/12),2))</f>
        <v/>
      </c>
      <c r="AK64">
        <f>IF(F63&lt;=0,0,ROUND(F63*(1+IF(AND(F$6&gt;0,$B64&lt;F$6),F$4,F$5)/12),2))</f>
        <v/>
      </c>
      <c r="AL64">
        <f>IF(G63&lt;=0,0,ROUND(G63*(1+IF(AND(G$6&gt;0,$B64&lt;G$6),G$4,G$5)/12),2))</f>
        <v/>
      </c>
      <c r="AM64">
        <f>IF(H63&lt;=0,0,ROUND(H63*(1+IF(AND(H$6&gt;0,$B64&lt;H$6),H$4,H$5)/12),2))</f>
        <v/>
      </c>
      <c r="AN64">
        <f>IF(I63&lt;=0,0,ROUND(I63*(1+IF(AND(I$6&gt;0,$B64&lt;I$6),I$4,I$5)/12),2))</f>
        <v/>
      </c>
      <c r="AO64">
        <f>IF(J63&lt;=0,0,ROUND(J63*(1+IF(AND(J$6&gt;0,$B64&lt;J$6),J$4,J$5)/12),2))</f>
        <v/>
      </c>
      <c r="AP64">
        <f>IF(K63&lt;=0,0,ROUND(K63*(1+IF(AND(K$6&gt;0,$B64&lt;K$6),K$4,K$5)/12),2))</f>
        <v/>
      </c>
      <c r="AQ64">
        <f>IF(L63&lt;=0,0,ROUND(L63*(1+IF(AND(L$6&gt;0,$B64&lt;L$6),L$4,L$5)/12),2))</f>
        <v/>
      </c>
      <c r="AR64">
        <f>IF(M63&lt;=0,0,ROUND(M63*(1+IF(AND(M$6&gt;0,$B64&lt;M$6),M$4,M$5)/12),2))</f>
        <v/>
      </c>
      <c r="AS64">
        <f>IF(N63&lt;=0,0,ROUND(N63*(1+IF(AND(N$6&gt;0,$B64&lt;N$6),N$4,N$5)/12),2))</f>
        <v/>
      </c>
    </row>
    <row r="65">
      <c r="A65" t="n">
        <v>54</v>
      </c>
      <c r="B65">
        <f>EDATE(Plan!$C$6,53)</f>
        <v/>
      </c>
      <c r="C65">
        <f>IF(C64&lt;=0,0,MAX(0,AH65-O65))</f>
        <v/>
      </c>
      <c r="D65">
        <f>IF(D64&lt;=0,0,MAX(0,AI65-P65))</f>
        <v/>
      </c>
      <c r="E65">
        <f>IF(E64&lt;=0,0,MAX(0,AJ65-Q65))</f>
        <v/>
      </c>
      <c r="F65">
        <f>IF(F64&lt;=0,0,MAX(0,AK65-R65))</f>
        <v/>
      </c>
      <c r="G65">
        <f>IF(G64&lt;=0,0,MAX(0,AL65-S65))</f>
        <v/>
      </c>
      <c r="H65">
        <f>IF(H64&lt;=0,0,MAX(0,AM65-T65))</f>
        <v/>
      </c>
      <c r="I65">
        <f>IF(I64&lt;=0,0,MAX(0,AN65-U65))</f>
        <v/>
      </c>
      <c r="J65">
        <f>IF(J64&lt;=0,0,MAX(0,AO65-V65))</f>
        <v/>
      </c>
      <c r="K65">
        <f>IF(K64&lt;=0,0,MAX(0,AP65-W65))</f>
        <v/>
      </c>
      <c r="L65">
        <f>IF(L64&lt;=0,0,MAX(0,AQ65-X65))</f>
        <v/>
      </c>
      <c r="M65">
        <f>IF(M64&lt;=0,0,MAX(0,AR65-Y65))</f>
        <v/>
      </c>
      <c r="N65">
        <f>IF(N64&lt;=0,0,MAX(0,AS65-Z65))</f>
        <v/>
      </c>
      <c r="O65">
        <f>IF(C64&lt;=0,0,MIN(AH65,C$7+IF(C$2=$AA65,$AC65,IF(C$2=$AF65,$AG65,0))))</f>
        <v/>
      </c>
      <c r="P65">
        <f>IF(D64&lt;=0,0,MIN(AI65,D$7+IF(D$2=$AA65,$AC65,IF(D$2=$AF65,$AG65,0))))</f>
        <v/>
      </c>
      <c r="Q65">
        <f>IF(E64&lt;=0,0,MIN(AJ65,E$7+IF(E$2=$AA65,$AC65,IF(E$2=$AF65,$AG65,0))))</f>
        <v/>
      </c>
      <c r="R65">
        <f>IF(F64&lt;=0,0,MIN(AK65,F$7+IF(F$2=$AA65,$AC65,IF(F$2=$AF65,$AG65,0))))</f>
        <v/>
      </c>
      <c r="S65">
        <f>IF(G64&lt;=0,0,MIN(AL65,G$7+IF(G$2=$AA65,$AC65,IF(G$2=$AF65,$AG65,0))))</f>
        <v/>
      </c>
      <c r="T65">
        <f>IF(H64&lt;=0,0,MIN(AM65,H$7+IF(H$2=$AA65,$AC65,IF(H$2=$AF65,$AG65,0))))</f>
        <v/>
      </c>
      <c r="U65">
        <f>IF(I64&lt;=0,0,MIN(AN65,I$7+IF(I$2=$AA65,$AC65,IF(I$2=$AF65,$AG65,0))))</f>
        <v/>
      </c>
      <c r="V65">
        <f>IF(J64&lt;=0,0,MIN(AO65,J$7+IF(J$2=$AA65,$AC65,IF(J$2=$AF65,$AG65,0))))</f>
        <v/>
      </c>
      <c r="W65">
        <f>IF(K64&lt;=0,0,MIN(AP65,K$7+IF(K$2=$AA65,$AC65,IF(K$2=$AF65,$AG65,0))))</f>
        <v/>
      </c>
      <c r="X65">
        <f>IF(L64&lt;=0,0,MIN(AQ65,L$7+IF(L$2=$AA65,$AC65,IF(L$2=$AF65,$AG65,0))))</f>
        <v/>
      </c>
      <c r="Y65">
        <f>IF(M64&lt;=0,0,MIN(AR65,M$7+IF(M$2=$AA65,$AC65,IF(M$2=$AF65,$AG65,0))))</f>
        <v/>
      </c>
      <c r="Z65">
        <f>IF(N64&lt;=0,0,MIN(AS65,N$7+IF(N$2=$AA65,$AC65,IF(N$2=$AF65,$AG65,0))))</f>
        <v/>
      </c>
      <c r="AA65">
        <f>IFERROR(ROUND(1/SUMPRODUCT(MAX((C64:N64&gt;0)*($C$3:$N$3&lt;=B65)/$C$2:$N$2)),0),0)</f>
        <v/>
      </c>
      <c r="AB65">
        <f>SUMPRODUCT((C64:N64&gt;0)*$C$7:$N$7)</f>
        <v/>
      </c>
      <c r="AC65">
        <f>MAX(0,Plan!$C$5-AB65)+IF(A65=Plan!$C$8,N(Plan!$C$7),0)</f>
        <v/>
      </c>
      <c r="AD65">
        <f>SUM(C65:N65)</f>
        <v/>
      </c>
      <c r="AE65">
        <f>SUM(O65:Z65)</f>
        <v/>
      </c>
      <c r="AF65">
        <f>IFERROR(ROUND(1/SUMPRODUCT(MAX((C64:N64&gt;0)*($C$3:$N$3&lt;=B65)*($C$2:$N$2&gt;AA65)/$C$2:$N$2)),0),0)</f>
        <v/>
      </c>
      <c r="AG65">
        <f>MAX(0,AC65-MAX(0,SUMPRODUCT(($C$2:$N$2=AA65)*(AH65:AS65-$C$7:$N$7))))</f>
        <v/>
      </c>
      <c r="AH65">
        <f>IF(C64&lt;=0,0,ROUND(C64*(1+IF(AND(C$6&gt;0,$B65&lt;C$6),C$4,C$5)/12),2))</f>
        <v/>
      </c>
      <c r="AI65">
        <f>IF(D64&lt;=0,0,ROUND(D64*(1+IF(AND(D$6&gt;0,$B65&lt;D$6),D$4,D$5)/12),2))</f>
        <v/>
      </c>
      <c r="AJ65">
        <f>IF(E64&lt;=0,0,ROUND(E64*(1+IF(AND(E$6&gt;0,$B65&lt;E$6),E$4,E$5)/12),2))</f>
        <v/>
      </c>
      <c r="AK65">
        <f>IF(F64&lt;=0,0,ROUND(F64*(1+IF(AND(F$6&gt;0,$B65&lt;F$6),F$4,F$5)/12),2))</f>
        <v/>
      </c>
      <c r="AL65">
        <f>IF(G64&lt;=0,0,ROUND(G64*(1+IF(AND(G$6&gt;0,$B65&lt;G$6),G$4,G$5)/12),2))</f>
        <v/>
      </c>
      <c r="AM65">
        <f>IF(H64&lt;=0,0,ROUND(H64*(1+IF(AND(H$6&gt;0,$B65&lt;H$6),H$4,H$5)/12),2))</f>
        <v/>
      </c>
      <c r="AN65">
        <f>IF(I64&lt;=0,0,ROUND(I64*(1+IF(AND(I$6&gt;0,$B65&lt;I$6),I$4,I$5)/12),2))</f>
        <v/>
      </c>
      <c r="AO65">
        <f>IF(J64&lt;=0,0,ROUND(J64*(1+IF(AND(J$6&gt;0,$B65&lt;J$6),J$4,J$5)/12),2))</f>
        <v/>
      </c>
      <c r="AP65">
        <f>IF(K64&lt;=0,0,ROUND(K64*(1+IF(AND(K$6&gt;0,$B65&lt;K$6),K$4,K$5)/12),2))</f>
        <v/>
      </c>
      <c r="AQ65">
        <f>IF(L64&lt;=0,0,ROUND(L64*(1+IF(AND(L$6&gt;0,$B65&lt;L$6),L$4,L$5)/12),2))</f>
        <v/>
      </c>
      <c r="AR65">
        <f>IF(M64&lt;=0,0,ROUND(M64*(1+IF(AND(M$6&gt;0,$B65&lt;M$6),M$4,M$5)/12),2))</f>
        <v/>
      </c>
      <c r="AS65">
        <f>IF(N64&lt;=0,0,ROUND(N64*(1+IF(AND(N$6&gt;0,$B65&lt;N$6),N$4,N$5)/12),2))</f>
        <v/>
      </c>
    </row>
    <row r="66">
      <c r="A66" t="n">
        <v>55</v>
      </c>
      <c r="B66">
        <f>EDATE(Plan!$C$6,54)</f>
        <v/>
      </c>
      <c r="C66">
        <f>IF(C65&lt;=0,0,MAX(0,AH66-O66))</f>
        <v/>
      </c>
      <c r="D66">
        <f>IF(D65&lt;=0,0,MAX(0,AI66-P66))</f>
        <v/>
      </c>
      <c r="E66">
        <f>IF(E65&lt;=0,0,MAX(0,AJ66-Q66))</f>
        <v/>
      </c>
      <c r="F66">
        <f>IF(F65&lt;=0,0,MAX(0,AK66-R66))</f>
        <v/>
      </c>
      <c r="G66">
        <f>IF(G65&lt;=0,0,MAX(0,AL66-S66))</f>
        <v/>
      </c>
      <c r="H66">
        <f>IF(H65&lt;=0,0,MAX(0,AM66-T66))</f>
        <v/>
      </c>
      <c r="I66">
        <f>IF(I65&lt;=0,0,MAX(0,AN66-U66))</f>
        <v/>
      </c>
      <c r="J66">
        <f>IF(J65&lt;=0,0,MAX(0,AO66-V66))</f>
        <v/>
      </c>
      <c r="K66">
        <f>IF(K65&lt;=0,0,MAX(0,AP66-W66))</f>
        <v/>
      </c>
      <c r="L66">
        <f>IF(L65&lt;=0,0,MAX(0,AQ66-X66))</f>
        <v/>
      </c>
      <c r="M66">
        <f>IF(M65&lt;=0,0,MAX(0,AR66-Y66))</f>
        <v/>
      </c>
      <c r="N66">
        <f>IF(N65&lt;=0,0,MAX(0,AS66-Z66))</f>
        <v/>
      </c>
      <c r="O66">
        <f>IF(C65&lt;=0,0,MIN(AH66,C$7+IF(C$2=$AA66,$AC66,IF(C$2=$AF66,$AG66,0))))</f>
        <v/>
      </c>
      <c r="P66">
        <f>IF(D65&lt;=0,0,MIN(AI66,D$7+IF(D$2=$AA66,$AC66,IF(D$2=$AF66,$AG66,0))))</f>
        <v/>
      </c>
      <c r="Q66">
        <f>IF(E65&lt;=0,0,MIN(AJ66,E$7+IF(E$2=$AA66,$AC66,IF(E$2=$AF66,$AG66,0))))</f>
        <v/>
      </c>
      <c r="R66">
        <f>IF(F65&lt;=0,0,MIN(AK66,F$7+IF(F$2=$AA66,$AC66,IF(F$2=$AF66,$AG66,0))))</f>
        <v/>
      </c>
      <c r="S66">
        <f>IF(G65&lt;=0,0,MIN(AL66,G$7+IF(G$2=$AA66,$AC66,IF(G$2=$AF66,$AG66,0))))</f>
        <v/>
      </c>
      <c r="T66">
        <f>IF(H65&lt;=0,0,MIN(AM66,H$7+IF(H$2=$AA66,$AC66,IF(H$2=$AF66,$AG66,0))))</f>
        <v/>
      </c>
      <c r="U66">
        <f>IF(I65&lt;=0,0,MIN(AN66,I$7+IF(I$2=$AA66,$AC66,IF(I$2=$AF66,$AG66,0))))</f>
        <v/>
      </c>
      <c r="V66">
        <f>IF(J65&lt;=0,0,MIN(AO66,J$7+IF(J$2=$AA66,$AC66,IF(J$2=$AF66,$AG66,0))))</f>
        <v/>
      </c>
      <c r="W66">
        <f>IF(K65&lt;=0,0,MIN(AP66,K$7+IF(K$2=$AA66,$AC66,IF(K$2=$AF66,$AG66,0))))</f>
        <v/>
      </c>
      <c r="X66">
        <f>IF(L65&lt;=0,0,MIN(AQ66,L$7+IF(L$2=$AA66,$AC66,IF(L$2=$AF66,$AG66,0))))</f>
        <v/>
      </c>
      <c r="Y66">
        <f>IF(M65&lt;=0,0,MIN(AR66,M$7+IF(M$2=$AA66,$AC66,IF(M$2=$AF66,$AG66,0))))</f>
        <v/>
      </c>
      <c r="Z66">
        <f>IF(N65&lt;=0,0,MIN(AS66,N$7+IF(N$2=$AA66,$AC66,IF(N$2=$AF66,$AG66,0))))</f>
        <v/>
      </c>
      <c r="AA66">
        <f>IFERROR(ROUND(1/SUMPRODUCT(MAX((C65:N65&gt;0)*($C$3:$N$3&lt;=B66)/$C$2:$N$2)),0),0)</f>
        <v/>
      </c>
      <c r="AB66">
        <f>SUMPRODUCT((C65:N65&gt;0)*$C$7:$N$7)</f>
        <v/>
      </c>
      <c r="AC66">
        <f>MAX(0,Plan!$C$5-AB66)+IF(A66=Plan!$C$8,N(Plan!$C$7),0)</f>
        <v/>
      </c>
      <c r="AD66">
        <f>SUM(C66:N66)</f>
        <v/>
      </c>
      <c r="AE66">
        <f>SUM(O66:Z66)</f>
        <v/>
      </c>
      <c r="AF66">
        <f>IFERROR(ROUND(1/SUMPRODUCT(MAX((C65:N65&gt;0)*($C$3:$N$3&lt;=B66)*($C$2:$N$2&gt;AA66)/$C$2:$N$2)),0),0)</f>
        <v/>
      </c>
      <c r="AG66">
        <f>MAX(0,AC66-MAX(0,SUMPRODUCT(($C$2:$N$2=AA66)*(AH66:AS66-$C$7:$N$7))))</f>
        <v/>
      </c>
      <c r="AH66">
        <f>IF(C65&lt;=0,0,ROUND(C65*(1+IF(AND(C$6&gt;0,$B66&lt;C$6),C$4,C$5)/12),2))</f>
        <v/>
      </c>
      <c r="AI66">
        <f>IF(D65&lt;=0,0,ROUND(D65*(1+IF(AND(D$6&gt;0,$B66&lt;D$6),D$4,D$5)/12),2))</f>
        <v/>
      </c>
      <c r="AJ66">
        <f>IF(E65&lt;=0,0,ROUND(E65*(1+IF(AND(E$6&gt;0,$B66&lt;E$6),E$4,E$5)/12),2))</f>
        <v/>
      </c>
      <c r="AK66">
        <f>IF(F65&lt;=0,0,ROUND(F65*(1+IF(AND(F$6&gt;0,$B66&lt;F$6),F$4,F$5)/12),2))</f>
        <v/>
      </c>
      <c r="AL66">
        <f>IF(G65&lt;=0,0,ROUND(G65*(1+IF(AND(G$6&gt;0,$B66&lt;G$6),G$4,G$5)/12),2))</f>
        <v/>
      </c>
      <c r="AM66">
        <f>IF(H65&lt;=0,0,ROUND(H65*(1+IF(AND(H$6&gt;0,$B66&lt;H$6),H$4,H$5)/12),2))</f>
        <v/>
      </c>
      <c r="AN66">
        <f>IF(I65&lt;=0,0,ROUND(I65*(1+IF(AND(I$6&gt;0,$B66&lt;I$6),I$4,I$5)/12),2))</f>
        <v/>
      </c>
      <c r="AO66">
        <f>IF(J65&lt;=0,0,ROUND(J65*(1+IF(AND(J$6&gt;0,$B66&lt;J$6),J$4,J$5)/12),2))</f>
        <v/>
      </c>
      <c r="AP66">
        <f>IF(K65&lt;=0,0,ROUND(K65*(1+IF(AND(K$6&gt;0,$B66&lt;K$6),K$4,K$5)/12),2))</f>
        <v/>
      </c>
      <c r="AQ66">
        <f>IF(L65&lt;=0,0,ROUND(L65*(1+IF(AND(L$6&gt;0,$B66&lt;L$6),L$4,L$5)/12),2))</f>
        <v/>
      </c>
      <c r="AR66">
        <f>IF(M65&lt;=0,0,ROUND(M65*(1+IF(AND(M$6&gt;0,$B66&lt;M$6),M$4,M$5)/12),2))</f>
        <v/>
      </c>
      <c r="AS66">
        <f>IF(N65&lt;=0,0,ROUND(N65*(1+IF(AND(N$6&gt;0,$B66&lt;N$6),N$4,N$5)/12),2))</f>
        <v/>
      </c>
    </row>
    <row r="67">
      <c r="A67" t="n">
        <v>56</v>
      </c>
      <c r="B67">
        <f>EDATE(Plan!$C$6,55)</f>
        <v/>
      </c>
      <c r="C67">
        <f>IF(C66&lt;=0,0,MAX(0,AH67-O67))</f>
        <v/>
      </c>
      <c r="D67">
        <f>IF(D66&lt;=0,0,MAX(0,AI67-P67))</f>
        <v/>
      </c>
      <c r="E67">
        <f>IF(E66&lt;=0,0,MAX(0,AJ67-Q67))</f>
        <v/>
      </c>
      <c r="F67">
        <f>IF(F66&lt;=0,0,MAX(0,AK67-R67))</f>
        <v/>
      </c>
      <c r="G67">
        <f>IF(G66&lt;=0,0,MAX(0,AL67-S67))</f>
        <v/>
      </c>
      <c r="H67">
        <f>IF(H66&lt;=0,0,MAX(0,AM67-T67))</f>
        <v/>
      </c>
      <c r="I67">
        <f>IF(I66&lt;=0,0,MAX(0,AN67-U67))</f>
        <v/>
      </c>
      <c r="J67">
        <f>IF(J66&lt;=0,0,MAX(0,AO67-V67))</f>
        <v/>
      </c>
      <c r="K67">
        <f>IF(K66&lt;=0,0,MAX(0,AP67-W67))</f>
        <v/>
      </c>
      <c r="L67">
        <f>IF(L66&lt;=0,0,MAX(0,AQ67-X67))</f>
        <v/>
      </c>
      <c r="M67">
        <f>IF(M66&lt;=0,0,MAX(0,AR67-Y67))</f>
        <v/>
      </c>
      <c r="N67">
        <f>IF(N66&lt;=0,0,MAX(0,AS67-Z67))</f>
        <v/>
      </c>
      <c r="O67">
        <f>IF(C66&lt;=0,0,MIN(AH67,C$7+IF(C$2=$AA67,$AC67,IF(C$2=$AF67,$AG67,0))))</f>
        <v/>
      </c>
      <c r="P67">
        <f>IF(D66&lt;=0,0,MIN(AI67,D$7+IF(D$2=$AA67,$AC67,IF(D$2=$AF67,$AG67,0))))</f>
        <v/>
      </c>
      <c r="Q67">
        <f>IF(E66&lt;=0,0,MIN(AJ67,E$7+IF(E$2=$AA67,$AC67,IF(E$2=$AF67,$AG67,0))))</f>
        <v/>
      </c>
      <c r="R67">
        <f>IF(F66&lt;=0,0,MIN(AK67,F$7+IF(F$2=$AA67,$AC67,IF(F$2=$AF67,$AG67,0))))</f>
        <v/>
      </c>
      <c r="S67">
        <f>IF(G66&lt;=0,0,MIN(AL67,G$7+IF(G$2=$AA67,$AC67,IF(G$2=$AF67,$AG67,0))))</f>
        <v/>
      </c>
      <c r="T67">
        <f>IF(H66&lt;=0,0,MIN(AM67,H$7+IF(H$2=$AA67,$AC67,IF(H$2=$AF67,$AG67,0))))</f>
        <v/>
      </c>
      <c r="U67">
        <f>IF(I66&lt;=0,0,MIN(AN67,I$7+IF(I$2=$AA67,$AC67,IF(I$2=$AF67,$AG67,0))))</f>
        <v/>
      </c>
      <c r="V67">
        <f>IF(J66&lt;=0,0,MIN(AO67,J$7+IF(J$2=$AA67,$AC67,IF(J$2=$AF67,$AG67,0))))</f>
        <v/>
      </c>
      <c r="W67">
        <f>IF(K66&lt;=0,0,MIN(AP67,K$7+IF(K$2=$AA67,$AC67,IF(K$2=$AF67,$AG67,0))))</f>
        <v/>
      </c>
      <c r="X67">
        <f>IF(L66&lt;=0,0,MIN(AQ67,L$7+IF(L$2=$AA67,$AC67,IF(L$2=$AF67,$AG67,0))))</f>
        <v/>
      </c>
      <c r="Y67">
        <f>IF(M66&lt;=0,0,MIN(AR67,M$7+IF(M$2=$AA67,$AC67,IF(M$2=$AF67,$AG67,0))))</f>
        <v/>
      </c>
      <c r="Z67">
        <f>IF(N66&lt;=0,0,MIN(AS67,N$7+IF(N$2=$AA67,$AC67,IF(N$2=$AF67,$AG67,0))))</f>
        <v/>
      </c>
      <c r="AA67">
        <f>IFERROR(ROUND(1/SUMPRODUCT(MAX((C66:N66&gt;0)*($C$3:$N$3&lt;=B67)/$C$2:$N$2)),0),0)</f>
        <v/>
      </c>
      <c r="AB67">
        <f>SUMPRODUCT((C66:N66&gt;0)*$C$7:$N$7)</f>
        <v/>
      </c>
      <c r="AC67">
        <f>MAX(0,Plan!$C$5-AB67)+IF(A67=Plan!$C$8,N(Plan!$C$7),0)</f>
        <v/>
      </c>
      <c r="AD67">
        <f>SUM(C67:N67)</f>
        <v/>
      </c>
      <c r="AE67">
        <f>SUM(O67:Z67)</f>
        <v/>
      </c>
      <c r="AF67">
        <f>IFERROR(ROUND(1/SUMPRODUCT(MAX((C66:N66&gt;0)*($C$3:$N$3&lt;=B67)*($C$2:$N$2&gt;AA67)/$C$2:$N$2)),0),0)</f>
        <v/>
      </c>
      <c r="AG67">
        <f>MAX(0,AC67-MAX(0,SUMPRODUCT(($C$2:$N$2=AA67)*(AH67:AS67-$C$7:$N$7))))</f>
        <v/>
      </c>
      <c r="AH67">
        <f>IF(C66&lt;=0,0,ROUND(C66*(1+IF(AND(C$6&gt;0,$B67&lt;C$6),C$4,C$5)/12),2))</f>
        <v/>
      </c>
      <c r="AI67">
        <f>IF(D66&lt;=0,0,ROUND(D66*(1+IF(AND(D$6&gt;0,$B67&lt;D$6),D$4,D$5)/12),2))</f>
        <v/>
      </c>
      <c r="AJ67">
        <f>IF(E66&lt;=0,0,ROUND(E66*(1+IF(AND(E$6&gt;0,$B67&lt;E$6),E$4,E$5)/12),2))</f>
        <v/>
      </c>
      <c r="AK67">
        <f>IF(F66&lt;=0,0,ROUND(F66*(1+IF(AND(F$6&gt;0,$B67&lt;F$6),F$4,F$5)/12),2))</f>
        <v/>
      </c>
      <c r="AL67">
        <f>IF(G66&lt;=0,0,ROUND(G66*(1+IF(AND(G$6&gt;0,$B67&lt;G$6),G$4,G$5)/12),2))</f>
        <v/>
      </c>
      <c r="AM67">
        <f>IF(H66&lt;=0,0,ROUND(H66*(1+IF(AND(H$6&gt;0,$B67&lt;H$6),H$4,H$5)/12),2))</f>
        <v/>
      </c>
      <c r="AN67">
        <f>IF(I66&lt;=0,0,ROUND(I66*(1+IF(AND(I$6&gt;0,$B67&lt;I$6),I$4,I$5)/12),2))</f>
        <v/>
      </c>
      <c r="AO67">
        <f>IF(J66&lt;=0,0,ROUND(J66*(1+IF(AND(J$6&gt;0,$B67&lt;J$6),J$4,J$5)/12),2))</f>
        <v/>
      </c>
      <c r="AP67">
        <f>IF(K66&lt;=0,0,ROUND(K66*(1+IF(AND(K$6&gt;0,$B67&lt;K$6),K$4,K$5)/12),2))</f>
        <v/>
      </c>
      <c r="AQ67">
        <f>IF(L66&lt;=0,0,ROUND(L66*(1+IF(AND(L$6&gt;0,$B67&lt;L$6),L$4,L$5)/12),2))</f>
        <v/>
      </c>
      <c r="AR67">
        <f>IF(M66&lt;=0,0,ROUND(M66*(1+IF(AND(M$6&gt;0,$B67&lt;M$6),M$4,M$5)/12),2))</f>
        <v/>
      </c>
      <c r="AS67">
        <f>IF(N66&lt;=0,0,ROUND(N66*(1+IF(AND(N$6&gt;0,$B67&lt;N$6),N$4,N$5)/12),2))</f>
        <v/>
      </c>
    </row>
    <row r="68">
      <c r="A68" t="n">
        <v>57</v>
      </c>
      <c r="B68">
        <f>EDATE(Plan!$C$6,56)</f>
        <v/>
      </c>
      <c r="C68">
        <f>IF(C67&lt;=0,0,MAX(0,AH68-O68))</f>
        <v/>
      </c>
      <c r="D68">
        <f>IF(D67&lt;=0,0,MAX(0,AI68-P68))</f>
        <v/>
      </c>
      <c r="E68">
        <f>IF(E67&lt;=0,0,MAX(0,AJ68-Q68))</f>
        <v/>
      </c>
      <c r="F68">
        <f>IF(F67&lt;=0,0,MAX(0,AK68-R68))</f>
        <v/>
      </c>
      <c r="G68">
        <f>IF(G67&lt;=0,0,MAX(0,AL68-S68))</f>
        <v/>
      </c>
      <c r="H68">
        <f>IF(H67&lt;=0,0,MAX(0,AM68-T68))</f>
        <v/>
      </c>
      <c r="I68">
        <f>IF(I67&lt;=0,0,MAX(0,AN68-U68))</f>
        <v/>
      </c>
      <c r="J68">
        <f>IF(J67&lt;=0,0,MAX(0,AO68-V68))</f>
        <v/>
      </c>
      <c r="K68">
        <f>IF(K67&lt;=0,0,MAX(0,AP68-W68))</f>
        <v/>
      </c>
      <c r="L68">
        <f>IF(L67&lt;=0,0,MAX(0,AQ68-X68))</f>
        <v/>
      </c>
      <c r="M68">
        <f>IF(M67&lt;=0,0,MAX(0,AR68-Y68))</f>
        <v/>
      </c>
      <c r="N68">
        <f>IF(N67&lt;=0,0,MAX(0,AS68-Z68))</f>
        <v/>
      </c>
      <c r="O68">
        <f>IF(C67&lt;=0,0,MIN(AH68,C$7+IF(C$2=$AA68,$AC68,IF(C$2=$AF68,$AG68,0))))</f>
        <v/>
      </c>
      <c r="P68">
        <f>IF(D67&lt;=0,0,MIN(AI68,D$7+IF(D$2=$AA68,$AC68,IF(D$2=$AF68,$AG68,0))))</f>
        <v/>
      </c>
      <c r="Q68">
        <f>IF(E67&lt;=0,0,MIN(AJ68,E$7+IF(E$2=$AA68,$AC68,IF(E$2=$AF68,$AG68,0))))</f>
        <v/>
      </c>
      <c r="R68">
        <f>IF(F67&lt;=0,0,MIN(AK68,F$7+IF(F$2=$AA68,$AC68,IF(F$2=$AF68,$AG68,0))))</f>
        <v/>
      </c>
      <c r="S68">
        <f>IF(G67&lt;=0,0,MIN(AL68,G$7+IF(G$2=$AA68,$AC68,IF(G$2=$AF68,$AG68,0))))</f>
        <v/>
      </c>
      <c r="T68">
        <f>IF(H67&lt;=0,0,MIN(AM68,H$7+IF(H$2=$AA68,$AC68,IF(H$2=$AF68,$AG68,0))))</f>
        <v/>
      </c>
      <c r="U68">
        <f>IF(I67&lt;=0,0,MIN(AN68,I$7+IF(I$2=$AA68,$AC68,IF(I$2=$AF68,$AG68,0))))</f>
        <v/>
      </c>
      <c r="V68">
        <f>IF(J67&lt;=0,0,MIN(AO68,J$7+IF(J$2=$AA68,$AC68,IF(J$2=$AF68,$AG68,0))))</f>
        <v/>
      </c>
      <c r="W68">
        <f>IF(K67&lt;=0,0,MIN(AP68,K$7+IF(K$2=$AA68,$AC68,IF(K$2=$AF68,$AG68,0))))</f>
        <v/>
      </c>
      <c r="X68">
        <f>IF(L67&lt;=0,0,MIN(AQ68,L$7+IF(L$2=$AA68,$AC68,IF(L$2=$AF68,$AG68,0))))</f>
        <v/>
      </c>
      <c r="Y68">
        <f>IF(M67&lt;=0,0,MIN(AR68,M$7+IF(M$2=$AA68,$AC68,IF(M$2=$AF68,$AG68,0))))</f>
        <v/>
      </c>
      <c r="Z68">
        <f>IF(N67&lt;=0,0,MIN(AS68,N$7+IF(N$2=$AA68,$AC68,IF(N$2=$AF68,$AG68,0))))</f>
        <v/>
      </c>
      <c r="AA68">
        <f>IFERROR(ROUND(1/SUMPRODUCT(MAX((C67:N67&gt;0)*($C$3:$N$3&lt;=B68)/$C$2:$N$2)),0),0)</f>
        <v/>
      </c>
      <c r="AB68">
        <f>SUMPRODUCT((C67:N67&gt;0)*$C$7:$N$7)</f>
        <v/>
      </c>
      <c r="AC68">
        <f>MAX(0,Plan!$C$5-AB68)+IF(A68=Plan!$C$8,N(Plan!$C$7),0)</f>
        <v/>
      </c>
      <c r="AD68">
        <f>SUM(C68:N68)</f>
        <v/>
      </c>
      <c r="AE68">
        <f>SUM(O68:Z68)</f>
        <v/>
      </c>
      <c r="AF68">
        <f>IFERROR(ROUND(1/SUMPRODUCT(MAX((C67:N67&gt;0)*($C$3:$N$3&lt;=B68)*($C$2:$N$2&gt;AA68)/$C$2:$N$2)),0),0)</f>
        <v/>
      </c>
      <c r="AG68">
        <f>MAX(0,AC68-MAX(0,SUMPRODUCT(($C$2:$N$2=AA68)*(AH68:AS68-$C$7:$N$7))))</f>
        <v/>
      </c>
      <c r="AH68">
        <f>IF(C67&lt;=0,0,ROUND(C67*(1+IF(AND(C$6&gt;0,$B68&lt;C$6),C$4,C$5)/12),2))</f>
        <v/>
      </c>
      <c r="AI68">
        <f>IF(D67&lt;=0,0,ROUND(D67*(1+IF(AND(D$6&gt;0,$B68&lt;D$6),D$4,D$5)/12),2))</f>
        <v/>
      </c>
      <c r="AJ68">
        <f>IF(E67&lt;=0,0,ROUND(E67*(1+IF(AND(E$6&gt;0,$B68&lt;E$6),E$4,E$5)/12),2))</f>
        <v/>
      </c>
      <c r="AK68">
        <f>IF(F67&lt;=0,0,ROUND(F67*(1+IF(AND(F$6&gt;0,$B68&lt;F$6),F$4,F$5)/12),2))</f>
        <v/>
      </c>
      <c r="AL68">
        <f>IF(G67&lt;=0,0,ROUND(G67*(1+IF(AND(G$6&gt;0,$B68&lt;G$6),G$4,G$5)/12),2))</f>
        <v/>
      </c>
      <c r="AM68">
        <f>IF(H67&lt;=0,0,ROUND(H67*(1+IF(AND(H$6&gt;0,$B68&lt;H$6),H$4,H$5)/12),2))</f>
        <v/>
      </c>
      <c r="AN68">
        <f>IF(I67&lt;=0,0,ROUND(I67*(1+IF(AND(I$6&gt;0,$B68&lt;I$6),I$4,I$5)/12),2))</f>
        <v/>
      </c>
      <c r="AO68">
        <f>IF(J67&lt;=0,0,ROUND(J67*(1+IF(AND(J$6&gt;0,$B68&lt;J$6),J$4,J$5)/12),2))</f>
        <v/>
      </c>
      <c r="AP68">
        <f>IF(K67&lt;=0,0,ROUND(K67*(1+IF(AND(K$6&gt;0,$B68&lt;K$6),K$4,K$5)/12),2))</f>
        <v/>
      </c>
      <c r="AQ68">
        <f>IF(L67&lt;=0,0,ROUND(L67*(1+IF(AND(L$6&gt;0,$B68&lt;L$6),L$4,L$5)/12),2))</f>
        <v/>
      </c>
      <c r="AR68">
        <f>IF(M67&lt;=0,0,ROUND(M67*(1+IF(AND(M$6&gt;0,$B68&lt;M$6),M$4,M$5)/12),2))</f>
        <v/>
      </c>
      <c r="AS68">
        <f>IF(N67&lt;=0,0,ROUND(N67*(1+IF(AND(N$6&gt;0,$B68&lt;N$6),N$4,N$5)/12),2))</f>
        <v/>
      </c>
    </row>
    <row r="69">
      <c r="A69" t="n">
        <v>58</v>
      </c>
      <c r="B69">
        <f>EDATE(Plan!$C$6,57)</f>
        <v/>
      </c>
      <c r="C69">
        <f>IF(C68&lt;=0,0,MAX(0,AH69-O69))</f>
        <v/>
      </c>
      <c r="D69">
        <f>IF(D68&lt;=0,0,MAX(0,AI69-P69))</f>
        <v/>
      </c>
      <c r="E69">
        <f>IF(E68&lt;=0,0,MAX(0,AJ69-Q69))</f>
        <v/>
      </c>
      <c r="F69">
        <f>IF(F68&lt;=0,0,MAX(0,AK69-R69))</f>
        <v/>
      </c>
      <c r="G69">
        <f>IF(G68&lt;=0,0,MAX(0,AL69-S69))</f>
        <v/>
      </c>
      <c r="H69">
        <f>IF(H68&lt;=0,0,MAX(0,AM69-T69))</f>
        <v/>
      </c>
      <c r="I69">
        <f>IF(I68&lt;=0,0,MAX(0,AN69-U69))</f>
        <v/>
      </c>
      <c r="J69">
        <f>IF(J68&lt;=0,0,MAX(0,AO69-V69))</f>
        <v/>
      </c>
      <c r="K69">
        <f>IF(K68&lt;=0,0,MAX(0,AP69-W69))</f>
        <v/>
      </c>
      <c r="L69">
        <f>IF(L68&lt;=0,0,MAX(0,AQ69-X69))</f>
        <v/>
      </c>
      <c r="M69">
        <f>IF(M68&lt;=0,0,MAX(0,AR69-Y69))</f>
        <v/>
      </c>
      <c r="N69">
        <f>IF(N68&lt;=0,0,MAX(0,AS69-Z69))</f>
        <v/>
      </c>
      <c r="O69">
        <f>IF(C68&lt;=0,0,MIN(AH69,C$7+IF(C$2=$AA69,$AC69,IF(C$2=$AF69,$AG69,0))))</f>
        <v/>
      </c>
      <c r="P69">
        <f>IF(D68&lt;=0,0,MIN(AI69,D$7+IF(D$2=$AA69,$AC69,IF(D$2=$AF69,$AG69,0))))</f>
        <v/>
      </c>
      <c r="Q69">
        <f>IF(E68&lt;=0,0,MIN(AJ69,E$7+IF(E$2=$AA69,$AC69,IF(E$2=$AF69,$AG69,0))))</f>
        <v/>
      </c>
      <c r="R69">
        <f>IF(F68&lt;=0,0,MIN(AK69,F$7+IF(F$2=$AA69,$AC69,IF(F$2=$AF69,$AG69,0))))</f>
        <v/>
      </c>
      <c r="S69">
        <f>IF(G68&lt;=0,0,MIN(AL69,G$7+IF(G$2=$AA69,$AC69,IF(G$2=$AF69,$AG69,0))))</f>
        <v/>
      </c>
      <c r="T69">
        <f>IF(H68&lt;=0,0,MIN(AM69,H$7+IF(H$2=$AA69,$AC69,IF(H$2=$AF69,$AG69,0))))</f>
        <v/>
      </c>
      <c r="U69">
        <f>IF(I68&lt;=0,0,MIN(AN69,I$7+IF(I$2=$AA69,$AC69,IF(I$2=$AF69,$AG69,0))))</f>
        <v/>
      </c>
      <c r="V69">
        <f>IF(J68&lt;=0,0,MIN(AO69,J$7+IF(J$2=$AA69,$AC69,IF(J$2=$AF69,$AG69,0))))</f>
        <v/>
      </c>
      <c r="W69">
        <f>IF(K68&lt;=0,0,MIN(AP69,K$7+IF(K$2=$AA69,$AC69,IF(K$2=$AF69,$AG69,0))))</f>
        <v/>
      </c>
      <c r="X69">
        <f>IF(L68&lt;=0,0,MIN(AQ69,L$7+IF(L$2=$AA69,$AC69,IF(L$2=$AF69,$AG69,0))))</f>
        <v/>
      </c>
      <c r="Y69">
        <f>IF(M68&lt;=0,0,MIN(AR69,M$7+IF(M$2=$AA69,$AC69,IF(M$2=$AF69,$AG69,0))))</f>
        <v/>
      </c>
      <c r="Z69">
        <f>IF(N68&lt;=0,0,MIN(AS69,N$7+IF(N$2=$AA69,$AC69,IF(N$2=$AF69,$AG69,0))))</f>
        <v/>
      </c>
      <c r="AA69">
        <f>IFERROR(ROUND(1/SUMPRODUCT(MAX((C68:N68&gt;0)*($C$3:$N$3&lt;=B69)/$C$2:$N$2)),0),0)</f>
        <v/>
      </c>
      <c r="AB69">
        <f>SUMPRODUCT((C68:N68&gt;0)*$C$7:$N$7)</f>
        <v/>
      </c>
      <c r="AC69">
        <f>MAX(0,Plan!$C$5-AB69)+IF(A69=Plan!$C$8,N(Plan!$C$7),0)</f>
        <v/>
      </c>
      <c r="AD69">
        <f>SUM(C69:N69)</f>
        <v/>
      </c>
      <c r="AE69">
        <f>SUM(O69:Z69)</f>
        <v/>
      </c>
      <c r="AF69">
        <f>IFERROR(ROUND(1/SUMPRODUCT(MAX((C68:N68&gt;0)*($C$3:$N$3&lt;=B69)*($C$2:$N$2&gt;AA69)/$C$2:$N$2)),0),0)</f>
        <v/>
      </c>
      <c r="AG69">
        <f>MAX(0,AC69-MAX(0,SUMPRODUCT(($C$2:$N$2=AA69)*(AH69:AS69-$C$7:$N$7))))</f>
        <v/>
      </c>
      <c r="AH69">
        <f>IF(C68&lt;=0,0,ROUND(C68*(1+IF(AND(C$6&gt;0,$B69&lt;C$6),C$4,C$5)/12),2))</f>
        <v/>
      </c>
      <c r="AI69">
        <f>IF(D68&lt;=0,0,ROUND(D68*(1+IF(AND(D$6&gt;0,$B69&lt;D$6),D$4,D$5)/12),2))</f>
        <v/>
      </c>
      <c r="AJ69">
        <f>IF(E68&lt;=0,0,ROUND(E68*(1+IF(AND(E$6&gt;0,$B69&lt;E$6),E$4,E$5)/12),2))</f>
        <v/>
      </c>
      <c r="AK69">
        <f>IF(F68&lt;=0,0,ROUND(F68*(1+IF(AND(F$6&gt;0,$B69&lt;F$6),F$4,F$5)/12),2))</f>
        <v/>
      </c>
      <c r="AL69">
        <f>IF(G68&lt;=0,0,ROUND(G68*(1+IF(AND(G$6&gt;0,$B69&lt;G$6),G$4,G$5)/12),2))</f>
        <v/>
      </c>
      <c r="AM69">
        <f>IF(H68&lt;=0,0,ROUND(H68*(1+IF(AND(H$6&gt;0,$B69&lt;H$6),H$4,H$5)/12),2))</f>
        <v/>
      </c>
      <c r="AN69">
        <f>IF(I68&lt;=0,0,ROUND(I68*(1+IF(AND(I$6&gt;0,$B69&lt;I$6),I$4,I$5)/12),2))</f>
        <v/>
      </c>
      <c r="AO69">
        <f>IF(J68&lt;=0,0,ROUND(J68*(1+IF(AND(J$6&gt;0,$B69&lt;J$6),J$4,J$5)/12),2))</f>
        <v/>
      </c>
      <c r="AP69">
        <f>IF(K68&lt;=0,0,ROUND(K68*(1+IF(AND(K$6&gt;0,$B69&lt;K$6),K$4,K$5)/12),2))</f>
        <v/>
      </c>
      <c r="AQ69">
        <f>IF(L68&lt;=0,0,ROUND(L68*(1+IF(AND(L$6&gt;0,$B69&lt;L$6),L$4,L$5)/12),2))</f>
        <v/>
      </c>
      <c r="AR69">
        <f>IF(M68&lt;=0,0,ROUND(M68*(1+IF(AND(M$6&gt;0,$B69&lt;M$6),M$4,M$5)/12),2))</f>
        <v/>
      </c>
      <c r="AS69">
        <f>IF(N68&lt;=0,0,ROUND(N68*(1+IF(AND(N$6&gt;0,$B69&lt;N$6),N$4,N$5)/12),2))</f>
        <v/>
      </c>
    </row>
    <row r="70">
      <c r="A70" t="n">
        <v>59</v>
      </c>
      <c r="B70">
        <f>EDATE(Plan!$C$6,58)</f>
        <v/>
      </c>
      <c r="C70">
        <f>IF(C69&lt;=0,0,MAX(0,AH70-O70))</f>
        <v/>
      </c>
      <c r="D70">
        <f>IF(D69&lt;=0,0,MAX(0,AI70-P70))</f>
        <v/>
      </c>
      <c r="E70">
        <f>IF(E69&lt;=0,0,MAX(0,AJ70-Q70))</f>
        <v/>
      </c>
      <c r="F70">
        <f>IF(F69&lt;=0,0,MAX(0,AK70-R70))</f>
        <v/>
      </c>
      <c r="G70">
        <f>IF(G69&lt;=0,0,MAX(0,AL70-S70))</f>
        <v/>
      </c>
      <c r="H70">
        <f>IF(H69&lt;=0,0,MAX(0,AM70-T70))</f>
        <v/>
      </c>
      <c r="I70">
        <f>IF(I69&lt;=0,0,MAX(0,AN70-U70))</f>
        <v/>
      </c>
      <c r="J70">
        <f>IF(J69&lt;=0,0,MAX(0,AO70-V70))</f>
        <v/>
      </c>
      <c r="K70">
        <f>IF(K69&lt;=0,0,MAX(0,AP70-W70))</f>
        <v/>
      </c>
      <c r="L70">
        <f>IF(L69&lt;=0,0,MAX(0,AQ70-X70))</f>
        <v/>
      </c>
      <c r="M70">
        <f>IF(M69&lt;=0,0,MAX(0,AR70-Y70))</f>
        <v/>
      </c>
      <c r="N70">
        <f>IF(N69&lt;=0,0,MAX(0,AS70-Z70))</f>
        <v/>
      </c>
      <c r="O70">
        <f>IF(C69&lt;=0,0,MIN(AH70,C$7+IF(C$2=$AA70,$AC70,IF(C$2=$AF70,$AG70,0))))</f>
        <v/>
      </c>
      <c r="P70">
        <f>IF(D69&lt;=0,0,MIN(AI70,D$7+IF(D$2=$AA70,$AC70,IF(D$2=$AF70,$AG70,0))))</f>
        <v/>
      </c>
      <c r="Q70">
        <f>IF(E69&lt;=0,0,MIN(AJ70,E$7+IF(E$2=$AA70,$AC70,IF(E$2=$AF70,$AG70,0))))</f>
        <v/>
      </c>
      <c r="R70">
        <f>IF(F69&lt;=0,0,MIN(AK70,F$7+IF(F$2=$AA70,$AC70,IF(F$2=$AF70,$AG70,0))))</f>
        <v/>
      </c>
      <c r="S70">
        <f>IF(G69&lt;=0,0,MIN(AL70,G$7+IF(G$2=$AA70,$AC70,IF(G$2=$AF70,$AG70,0))))</f>
        <v/>
      </c>
      <c r="T70">
        <f>IF(H69&lt;=0,0,MIN(AM70,H$7+IF(H$2=$AA70,$AC70,IF(H$2=$AF70,$AG70,0))))</f>
        <v/>
      </c>
      <c r="U70">
        <f>IF(I69&lt;=0,0,MIN(AN70,I$7+IF(I$2=$AA70,$AC70,IF(I$2=$AF70,$AG70,0))))</f>
        <v/>
      </c>
      <c r="V70">
        <f>IF(J69&lt;=0,0,MIN(AO70,J$7+IF(J$2=$AA70,$AC70,IF(J$2=$AF70,$AG70,0))))</f>
        <v/>
      </c>
      <c r="W70">
        <f>IF(K69&lt;=0,0,MIN(AP70,K$7+IF(K$2=$AA70,$AC70,IF(K$2=$AF70,$AG70,0))))</f>
        <v/>
      </c>
      <c r="X70">
        <f>IF(L69&lt;=0,0,MIN(AQ70,L$7+IF(L$2=$AA70,$AC70,IF(L$2=$AF70,$AG70,0))))</f>
        <v/>
      </c>
      <c r="Y70">
        <f>IF(M69&lt;=0,0,MIN(AR70,M$7+IF(M$2=$AA70,$AC70,IF(M$2=$AF70,$AG70,0))))</f>
        <v/>
      </c>
      <c r="Z70">
        <f>IF(N69&lt;=0,0,MIN(AS70,N$7+IF(N$2=$AA70,$AC70,IF(N$2=$AF70,$AG70,0))))</f>
        <v/>
      </c>
      <c r="AA70">
        <f>IFERROR(ROUND(1/SUMPRODUCT(MAX((C69:N69&gt;0)*($C$3:$N$3&lt;=B70)/$C$2:$N$2)),0),0)</f>
        <v/>
      </c>
      <c r="AB70">
        <f>SUMPRODUCT((C69:N69&gt;0)*$C$7:$N$7)</f>
        <v/>
      </c>
      <c r="AC70">
        <f>MAX(0,Plan!$C$5-AB70)+IF(A70=Plan!$C$8,N(Plan!$C$7),0)</f>
        <v/>
      </c>
      <c r="AD70">
        <f>SUM(C70:N70)</f>
        <v/>
      </c>
      <c r="AE70">
        <f>SUM(O70:Z70)</f>
        <v/>
      </c>
      <c r="AF70">
        <f>IFERROR(ROUND(1/SUMPRODUCT(MAX((C69:N69&gt;0)*($C$3:$N$3&lt;=B70)*($C$2:$N$2&gt;AA70)/$C$2:$N$2)),0),0)</f>
        <v/>
      </c>
      <c r="AG70">
        <f>MAX(0,AC70-MAX(0,SUMPRODUCT(($C$2:$N$2=AA70)*(AH70:AS70-$C$7:$N$7))))</f>
        <v/>
      </c>
      <c r="AH70">
        <f>IF(C69&lt;=0,0,ROUND(C69*(1+IF(AND(C$6&gt;0,$B70&lt;C$6),C$4,C$5)/12),2))</f>
        <v/>
      </c>
      <c r="AI70">
        <f>IF(D69&lt;=0,0,ROUND(D69*(1+IF(AND(D$6&gt;0,$B70&lt;D$6),D$4,D$5)/12),2))</f>
        <v/>
      </c>
      <c r="AJ70">
        <f>IF(E69&lt;=0,0,ROUND(E69*(1+IF(AND(E$6&gt;0,$B70&lt;E$6),E$4,E$5)/12),2))</f>
        <v/>
      </c>
      <c r="AK70">
        <f>IF(F69&lt;=0,0,ROUND(F69*(1+IF(AND(F$6&gt;0,$B70&lt;F$6),F$4,F$5)/12),2))</f>
        <v/>
      </c>
      <c r="AL70">
        <f>IF(G69&lt;=0,0,ROUND(G69*(1+IF(AND(G$6&gt;0,$B70&lt;G$6),G$4,G$5)/12),2))</f>
        <v/>
      </c>
      <c r="AM70">
        <f>IF(H69&lt;=0,0,ROUND(H69*(1+IF(AND(H$6&gt;0,$B70&lt;H$6),H$4,H$5)/12),2))</f>
        <v/>
      </c>
      <c r="AN70">
        <f>IF(I69&lt;=0,0,ROUND(I69*(1+IF(AND(I$6&gt;0,$B70&lt;I$6),I$4,I$5)/12),2))</f>
        <v/>
      </c>
      <c r="AO70">
        <f>IF(J69&lt;=0,0,ROUND(J69*(1+IF(AND(J$6&gt;0,$B70&lt;J$6),J$4,J$5)/12),2))</f>
        <v/>
      </c>
      <c r="AP70">
        <f>IF(K69&lt;=0,0,ROUND(K69*(1+IF(AND(K$6&gt;0,$B70&lt;K$6),K$4,K$5)/12),2))</f>
        <v/>
      </c>
      <c r="AQ70">
        <f>IF(L69&lt;=0,0,ROUND(L69*(1+IF(AND(L$6&gt;0,$B70&lt;L$6),L$4,L$5)/12),2))</f>
        <v/>
      </c>
      <c r="AR70">
        <f>IF(M69&lt;=0,0,ROUND(M69*(1+IF(AND(M$6&gt;0,$B70&lt;M$6),M$4,M$5)/12),2))</f>
        <v/>
      </c>
      <c r="AS70">
        <f>IF(N69&lt;=0,0,ROUND(N69*(1+IF(AND(N$6&gt;0,$B70&lt;N$6),N$4,N$5)/12),2))</f>
        <v/>
      </c>
    </row>
    <row r="71">
      <c r="A71" t="n">
        <v>60</v>
      </c>
      <c r="B71">
        <f>EDATE(Plan!$C$6,59)</f>
        <v/>
      </c>
      <c r="C71">
        <f>IF(C70&lt;=0,0,MAX(0,AH71-O71))</f>
        <v/>
      </c>
      <c r="D71">
        <f>IF(D70&lt;=0,0,MAX(0,AI71-P71))</f>
        <v/>
      </c>
      <c r="E71">
        <f>IF(E70&lt;=0,0,MAX(0,AJ71-Q71))</f>
        <v/>
      </c>
      <c r="F71">
        <f>IF(F70&lt;=0,0,MAX(0,AK71-R71))</f>
        <v/>
      </c>
      <c r="G71">
        <f>IF(G70&lt;=0,0,MAX(0,AL71-S71))</f>
        <v/>
      </c>
      <c r="H71">
        <f>IF(H70&lt;=0,0,MAX(0,AM71-T71))</f>
        <v/>
      </c>
      <c r="I71">
        <f>IF(I70&lt;=0,0,MAX(0,AN71-U71))</f>
        <v/>
      </c>
      <c r="J71">
        <f>IF(J70&lt;=0,0,MAX(0,AO71-V71))</f>
        <v/>
      </c>
      <c r="K71">
        <f>IF(K70&lt;=0,0,MAX(0,AP71-W71))</f>
        <v/>
      </c>
      <c r="L71">
        <f>IF(L70&lt;=0,0,MAX(0,AQ71-X71))</f>
        <v/>
      </c>
      <c r="M71">
        <f>IF(M70&lt;=0,0,MAX(0,AR71-Y71))</f>
        <v/>
      </c>
      <c r="N71">
        <f>IF(N70&lt;=0,0,MAX(0,AS71-Z71))</f>
        <v/>
      </c>
      <c r="O71">
        <f>IF(C70&lt;=0,0,MIN(AH71,C$7+IF(C$2=$AA71,$AC71,IF(C$2=$AF71,$AG71,0))))</f>
        <v/>
      </c>
      <c r="P71">
        <f>IF(D70&lt;=0,0,MIN(AI71,D$7+IF(D$2=$AA71,$AC71,IF(D$2=$AF71,$AG71,0))))</f>
        <v/>
      </c>
      <c r="Q71">
        <f>IF(E70&lt;=0,0,MIN(AJ71,E$7+IF(E$2=$AA71,$AC71,IF(E$2=$AF71,$AG71,0))))</f>
        <v/>
      </c>
      <c r="R71">
        <f>IF(F70&lt;=0,0,MIN(AK71,F$7+IF(F$2=$AA71,$AC71,IF(F$2=$AF71,$AG71,0))))</f>
        <v/>
      </c>
      <c r="S71">
        <f>IF(G70&lt;=0,0,MIN(AL71,G$7+IF(G$2=$AA71,$AC71,IF(G$2=$AF71,$AG71,0))))</f>
        <v/>
      </c>
      <c r="T71">
        <f>IF(H70&lt;=0,0,MIN(AM71,H$7+IF(H$2=$AA71,$AC71,IF(H$2=$AF71,$AG71,0))))</f>
        <v/>
      </c>
      <c r="U71">
        <f>IF(I70&lt;=0,0,MIN(AN71,I$7+IF(I$2=$AA71,$AC71,IF(I$2=$AF71,$AG71,0))))</f>
        <v/>
      </c>
      <c r="V71">
        <f>IF(J70&lt;=0,0,MIN(AO71,J$7+IF(J$2=$AA71,$AC71,IF(J$2=$AF71,$AG71,0))))</f>
        <v/>
      </c>
      <c r="W71">
        <f>IF(K70&lt;=0,0,MIN(AP71,K$7+IF(K$2=$AA71,$AC71,IF(K$2=$AF71,$AG71,0))))</f>
        <v/>
      </c>
      <c r="X71">
        <f>IF(L70&lt;=0,0,MIN(AQ71,L$7+IF(L$2=$AA71,$AC71,IF(L$2=$AF71,$AG71,0))))</f>
        <v/>
      </c>
      <c r="Y71">
        <f>IF(M70&lt;=0,0,MIN(AR71,M$7+IF(M$2=$AA71,$AC71,IF(M$2=$AF71,$AG71,0))))</f>
        <v/>
      </c>
      <c r="Z71">
        <f>IF(N70&lt;=0,0,MIN(AS71,N$7+IF(N$2=$AA71,$AC71,IF(N$2=$AF71,$AG71,0))))</f>
        <v/>
      </c>
      <c r="AA71">
        <f>IFERROR(ROUND(1/SUMPRODUCT(MAX((C70:N70&gt;0)*($C$3:$N$3&lt;=B71)/$C$2:$N$2)),0),0)</f>
        <v/>
      </c>
      <c r="AB71">
        <f>SUMPRODUCT((C70:N70&gt;0)*$C$7:$N$7)</f>
        <v/>
      </c>
      <c r="AC71">
        <f>MAX(0,Plan!$C$5-AB71)+IF(A71=Plan!$C$8,N(Plan!$C$7),0)</f>
        <v/>
      </c>
      <c r="AD71">
        <f>SUM(C71:N71)</f>
        <v/>
      </c>
      <c r="AE71">
        <f>SUM(O71:Z71)</f>
        <v/>
      </c>
      <c r="AF71">
        <f>IFERROR(ROUND(1/SUMPRODUCT(MAX((C70:N70&gt;0)*($C$3:$N$3&lt;=B71)*($C$2:$N$2&gt;AA71)/$C$2:$N$2)),0),0)</f>
        <v/>
      </c>
      <c r="AG71">
        <f>MAX(0,AC71-MAX(0,SUMPRODUCT(($C$2:$N$2=AA71)*(AH71:AS71-$C$7:$N$7))))</f>
        <v/>
      </c>
      <c r="AH71">
        <f>IF(C70&lt;=0,0,ROUND(C70*(1+IF(AND(C$6&gt;0,$B71&lt;C$6),C$4,C$5)/12),2))</f>
        <v/>
      </c>
      <c r="AI71">
        <f>IF(D70&lt;=0,0,ROUND(D70*(1+IF(AND(D$6&gt;0,$B71&lt;D$6),D$4,D$5)/12),2))</f>
        <v/>
      </c>
      <c r="AJ71">
        <f>IF(E70&lt;=0,0,ROUND(E70*(1+IF(AND(E$6&gt;0,$B71&lt;E$6),E$4,E$5)/12),2))</f>
        <v/>
      </c>
      <c r="AK71">
        <f>IF(F70&lt;=0,0,ROUND(F70*(1+IF(AND(F$6&gt;0,$B71&lt;F$6),F$4,F$5)/12),2))</f>
        <v/>
      </c>
      <c r="AL71">
        <f>IF(G70&lt;=0,0,ROUND(G70*(1+IF(AND(G$6&gt;0,$B71&lt;G$6),G$4,G$5)/12),2))</f>
        <v/>
      </c>
      <c r="AM71">
        <f>IF(H70&lt;=0,0,ROUND(H70*(1+IF(AND(H$6&gt;0,$B71&lt;H$6),H$4,H$5)/12),2))</f>
        <v/>
      </c>
      <c r="AN71">
        <f>IF(I70&lt;=0,0,ROUND(I70*(1+IF(AND(I$6&gt;0,$B71&lt;I$6),I$4,I$5)/12),2))</f>
        <v/>
      </c>
      <c r="AO71">
        <f>IF(J70&lt;=0,0,ROUND(J70*(1+IF(AND(J$6&gt;0,$B71&lt;J$6),J$4,J$5)/12),2))</f>
        <v/>
      </c>
      <c r="AP71">
        <f>IF(K70&lt;=0,0,ROUND(K70*(1+IF(AND(K$6&gt;0,$B71&lt;K$6),K$4,K$5)/12),2))</f>
        <v/>
      </c>
      <c r="AQ71">
        <f>IF(L70&lt;=0,0,ROUND(L70*(1+IF(AND(L$6&gt;0,$B71&lt;L$6),L$4,L$5)/12),2))</f>
        <v/>
      </c>
      <c r="AR71">
        <f>IF(M70&lt;=0,0,ROUND(M70*(1+IF(AND(M$6&gt;0,$B71&lt;M$6),M$4,M$5)/12),2))</f>
        <v/>
      </c>
      <c r="AS71">
        <f>IF(N70&lt;=0,0,ROUND(N70*(1+IF(AND(N$6&gt;0,$B71&lt;N$6),N$4,N$5)/12),2))</f>
        <v/>
      </c>
    </row>
    <row r="72">
      <c r="A72" t="n">
        <v>61</v>
      </c>
      <c r="B72">
        <f>EDATE(Plan!$C$6,60)</f>
        <v/>
      </c>
      <c r="C72">
        <f>IF(C71&lt;=0,0,MAX(0,AH72-O72))</f>
        <v/>
      </c>
      <c r="D72">
        <f>IF(D71&lt;=0,0,MAX(0,AI72-P72))</f>
        <v/>
      </c>
      <c r="E72">
        <f>IF(E71&lt;=0,0,MAX(0,AJ72-Q72))</f>
        <v/>
      </c>
      <c r="F72">
        <f>IF(F71&lt;=0,0,MAX(0,AK72-R72))</f>
        <v/>
      </c>
      <c r="G72">
        <f>IF(G71&lt;=0,0,MAX(0,AL72-S72))</f>
        <v/>
      </c>
      <c r="H72">
        <f>IF(H71&lt;=0,0,MAX(0,AM72-T72))</f>
        <v/>
      </c>
      <c r="I72">
        <f>IF(I71&lt;=0,0,MAX(0,AN72-U72))</f>
        <v/>
      </c>
      <c r="J72">
        <f>IF(J71&lt;=0,0,MAX(0,AO72-V72))</f>
        <v/>
      </c>
      <c r="K72">
        <f>IF(K71&lt;=0,0,MAX(0,AP72-W72))</f>
        <v/>
      </c>
      <c r="L72">
        <f>IF(L71&lt;=0,0,MAX(0,AQ72-X72))</f>
        <v/>
      </c>
      <c r="M72">
        <f>IF(M71&lt;=0,0,MAX(0,AR72-Y72))</f>
        <v/>
      </c>
      <c r="N72">
        <f>IF(N71&lt;=0,0,MAX(0,AS72-Z72))</f>
        <v/>
      </c>
      <c r="O72">
        <f>IF(C71&lt;=0,0,MIN(AH72,C$7+IF(C$2=$AA72,$AC72,IF(C$2=$AF72,$AG72,0))))</f>
        <v/>
      </c>
      <c r="P72">
        <f>IF(D71&lt;=0,0,MIN(AI72,D$7+IF(D$2=$AA72,$AC72,IF(D$2=$AF72,$AG72,0))))</f>
        <v/>
      </c>
      <c r="Q72">
        <f>IF(E71&lt;=0,0,MIN(AJ72,E$7+IF(E$2=$AA72,$AC72,IF(E$2=$AF72,$AG72,0))))</f>
        <v/>
      </c>
      <c r="R72">
        <f>IF(F71&lt;=0,0,MIN(AK72,F$7+IF(F$2=$AA72,$AC72,IF(F$2=$AF72,$AG72,0))))</f>
        <v/>
      </c>
      <c r="S72">
        <f>IF(G71&lt;=0,0,MIN(AL72,G$7+IF(G$2=$AA72,$AC72,IF(G$2=$AF72,$AG72,0))))</f>
        <v/>
      </c>
      <c r="T72">
        <f>IF(H71&lt;=0,0,MIN(AM72,H$7+IF(H$2=$AA72,$AC72,IF(H$2=$AF72,$AG72,0))))</f>
        <v/>
      </c>
      <c r="U72">
        <f>IF(I71&lt;=0,0,MIN(AN72,I$7+IF(I$2=$AA72,$AC72,IF(I$2=$AF72,$AG72,0))))</f>
        <v/>
      </c>
      <c r="V72">
        <f>IF(J71&lt;=0,0,MIN(AO72,J$7+IF(J$2=$AA72,$AC72,IF(J$2=$AF72,$AG72,0))))</f>
        <v/>
      </c>
      <c r="W72">
        <f>IF(K71&lt;=0,0,MIN(AP72,K$7+IF(K$2=$AA72,$AC72,IF(K$2=$AF72,$AG72,0))))</f>
        <v/>
      </c>
      <c r="X72">
        <f>IF(L71&lt;=0,0,MIN(AQ72,L$7+IF(L$2=$AA72,$AC72,IF(L$2=$AF72,$AG72,0))))</f>
        <v/>
      </c>
      <c r="Y72">
        <f>IF(M71&lt;=0,0,MIN(AR72,M$7+IF(M$2=$AA72,$AC72,IF(M$2=$AF72,$AG72,0))))</f>
        <v/>
      </c>
      <c r="Z72">
        <f>IF(N71&lt;=0,0,MIN(AS72,N$7+IF(N$2=$AA72,$AC72,IF(N$2=$AF72,$AG72,0))))</f>
        <v/>
      </c>
      <c r="AA72">
        <f>IFERROR(ROUND(1/SUMPRODUCT(MAX((C71:N71&gt;0)*($C$3:$N$3&lt;=B72)/$C$2:$N$2)),0),0)</f>
        <v/>
      </c>
      <c r="AB72">
        <f>SUMPRODUCT((C71:N71&gt;0)*$C$7:$N$7)</f>
        <v/>
      </c>
      <c r="AC72">
        <f>MAX(0,Plan!$C$5-AB72)+IF(A72=Plan!$C$8,N(Plan!$C$7),0)</f>
        <v/>
      </c>
      <c r="AD72">
        <f>SUM(C72:N72)</f>
        <v/>
      </c>
      <c r="AE72">
        <f>SUM(O72:Z72)</f>
        <v/>
      </c>
      <c r="AF72">
        <f>IFERROR(ROUND(1/SUMPRODUCT(MAX((C71:N71&gt;0)*($C$3:$N$3&lt;=B72)*($C$2:$N$2&gt;AA72)/$C$2:$N$2)),0),0)</f>
        <v/>
      </c>
      <c r="AG72">
        <f>MAX(0,AC72-MAX(0,SUMPRODUCT(($C$2:$N$2=AA72)*(AH72:AS72-$C$7:$N$7))))</f>
        <v/>
      </c>
      <c r="AH72">
        <f>IF(C71&lt;=0,0,ROUND(C71*(1+IF(AND(C$6&gt;0,$B72&lt;C$6),C$4,C$5)/12),2))</f>
        <v/>
      </c>
      <c r="AI72">
        <f>IF(D71&lt;=0,0,ROUND(D71*(1+IF(AND(D$6&gt;0,$B72&lt;D$6),D$4,D$5)/12),2))</f>
        <v/>
      </c>
      <c r="AJ72">
        <f>IF(E71&lt;=0,0,ROUND(E71*(1+IF(AND(E$6&gt;0,$B72&lt;E$6),E$4,E$5)/12),2))</f>
        <v/>
      </c>
      <c r="AK72">
        <f>IF(F71&lt;=0,0,ROUND(F71*(1+IF(AND(F$6&gt;0,$B72&lt;F$6),F$4,F$5)/12),2))</f>
        <v/>
      </c>
      <c r="AL72">
        <f>IF(G71&lt;=0,0,ROUND(G71*(1+IF(AND(G$6&gt;0,$B72&lt;G$6),G$4,G$5)/12),2))</f>
        <v/>
      </c>
      <c r="AM72">
        <f>IF(H71&lt;=0,0,ROUND(H71*(1+IF(AND(H$6&gt;0,$B72&lt;H$6),H$4,H$5)/12),2))</f>
        <v/>
      </c>
      <c r="AN72">
        <f>IF(I71&lt;=0,0,ROUND(I71*(1+IF(AND(I$6&gt;0,$B72&lt;I$6),I$4,I$5)/12),2))</f>
        <v/>
      </c>
      <c r="AO72">
        <f>IF(J71&lt;=0,0,ROUND(J71*(1+IF(AND(J$6&gt;0,$B72&lt;J$6),J$4,J$5)/12),2))</f>
        <v/>
      </c>
      <c r="AP72">
        <f>IF(K71&lt;=0,0,ROUND(K71*(1+IF(AND(K$6&gt;0,$B72&lt;K$6),K$4,K$5)/12),2))</f>
        <v/>
      </c>
      <c r="AQ72">
        <f>IF(L71&lt;=0,0,ROUND(L71*(1+IF(AND(L$6&gt;0,$B72&lt;L$6),L$4,L$5)/12),2))</f>
        <v/>
      </c>
      <c r="AR72">
        <f>IF(M71&lt;=0,0,ROUND(M71*(1+IF(AND(M$6&gt;0,$B72&lt;M$6),M$4,M$5)/12),2))</f>
        <v/>
      </c>
      <c r="AS72">
        <f>IF(N71&lt;=0,0,ROUND(N71*(1+IF(AND(N$6&gt;0,$B72&lt;N$6),N$4,N$5)/12),2))</f>
        <v/>
      </c>
    </row>
    <row r="73">
      <c r="A73" t="n">
        <v>62</v>
      </c>
      <c r="B73">
        <f>EDATE(Plan!$C$6,61)</f>
        <v/>
      </c>
      <c r="C73">
        <f>IF(C72&lt;=0,0,MAX(0,AH73-O73))</f>
        <v/>
      </c>
      <c r="D73">
        <f>IF(D72&lt;=0,0,MAX(0,AI73-P73))</f>
        <v/>
      </c>
      <c r="E73">
        <f>IF(E72&lt;=0,0,MAX(0,AJ73-Q73))</f>
        <v/>
      </c>
      <c r="F73">
        <f>IF(F72&lt;=0,0,MAX(0,AK73-R73))</f>
        <v/>
      </c>
      <c r="G73">
        <f>IF(G72&lt;=0,0,MAX(0,AL73-S73))</f>
        <v/>
      </c>
      <c r="H73">
        <f>IF(H72&lt;=0,0,MAX(0,AM73-T73))</f>
        <v/>
      </c>
      <c r="I73">
        <f>IF(I72&lt;=0,0,MAX(0,AN73-U73))</f>
        <v/>
      </c>
      <c r="J73">
        <f>IF(J72&lt;=0,0,MAX(0,AO73-V73))</f>
        <v/>
      </c>
      <c r="K73">
        <f>IF(K72&lt;=0,0,MAX(0,AP73-W73))</f>
        <v/>
      </c>
      <c r="L73">
        <f>IF(L72&lt;=0,0,MAX(0,AQ73-X73))</f>
        <v/>
      </c>
      <c r="M73">
        <f>IF(M72&lt;=0,0,MAX(0,AR73-Y73))</f>
        <v/>
      </c>
      <c r="N73">
        <f>IF(N72&lt;=0,0,MAX(0,AS73-Z73))</f>
        <v/>
      </c>
      <c r="O73">
        <f>IF(C72&lt;=0,0,MIN(AH73,C$7+IF(C$2=$AA73,$AC73,IF(C$2=$AF73,$AG73,0))))</f>
        <v/>
      </c>
      <c r="P73">
        <f>IF(D72&lt;=0,0,MIN(AI73,D$7+IF(D$2=$AA73,$AC73,IF(D$2=$AF73,$AG73,0))))</f>
        <v/>
      </c>
      <c r="Q73">
        <f>IF(E72&lt;=0,0,MIN(AJ73,E$7+IF(E$2=$AA73,$AC73,IF(E$2=$AF73,$AG73,0))))</f>
        <v/>
      </c>
      <c r="R73">
        <f>IF(F72&lt;=0,0,MIN(AK73,F$7+IF(F$2=$AA73,$AC73,IF(F$2=$AF73,$AG73,0))))</f>
        <v/>
      </c>
      <c r="S73">
        <f>IF(G72&lt;=0,0,MIN(AL73,G$7+IF(G$2=$AA73,$AC73,IF(G$2=$AF73,$AG73,0))))</f>
        <v/>
      </c>
      <c r="T73">
        <f>IF(H72&lt;=0,0,MIN(AM73,H$7+IF(H$2=$AA73,$AC73,IF(H$2=$AF73,$AG73,0))))</f>
        <v/>
      </c>
      <c r="U73">
        <f>IF(I72&lt;=0,0,MIN(AN73,I$7+IF(I$2=$AA73,$AC73,IF(I$2=$AF73,$AG73,0))))</f>
        <v/>
      </c>
      <c r="V73">
        <f>IF(J72&lt;=0,0,MIN(AO73,J$7+IF(J$2=$AA73,$AC73,IF(J$2=$AF73,$AG73,0))))</f>
        <v/>
      </c>
      <c r="W73">
        <f>IF(K72&lt;=0,0,MIN(AP73,K$7+IF(K$2=$AA73,$AC73,IF(K$2=$AF73,$AG73,0))))</f>
        <v/>
      </c>
      <c r="X73">
        <f>IF(L72&lt;=0,0,MIN(AQ73,L$7+IF(L$2=$AA73,$AC73,IF(L$2=$AF73,$AG73,0))))</f>
        <v/>
      </c>
      <c r="Y73">
        <f>IF(M72&lt;=0,0,MIN(AR73,M$7+IF(M$2=$AA73,$AC73,IF(M$2=$AF73,$AG73,0))))</f>
        <v/>
      </c>
      <c r="Z73">
        <f>IF(N72&lt;=0,0,MIN(AS73,N$7+IF(N$2=$AA73,$AC73,IF(N$2=$AF73,$AG73,0))))</f>
        <v/>
      </c>
      <c r="AA73">
        <f>IFERROR(ROUND(1/SUMPRODUCT(MAX((C72:N72&gt;0)*($C$3:$N$3&lt;=B73)/$C$2:$N$2)),0),0)</f>
        <v/>
      </c>
      <c r="AB73">
        <f>SUMPRODUCT((C72:N72&gt;0)*$C$7:$N$7)</f>
        <v/>
      </c>
      <c r="AC73">
        <f>MAX(0,Plan!$C$5-AB73)+IF(A73=Plan!$C$8,N(Plan!$C$7),0)</f>
        <v/>
      </c>
      <c r="AD73">
        <f>SUM(C73:N73)</f>
        <v/>
      </c>
      <c r="AE73">
        <f>SUM(O73:Z73)</f>
        <v/>
      </c>
      <c r="AF73">
        <f>IFERROR(ROUND(1/SUMPRODUCT(MAX((C72:N72&gt;0)*($C$3:$N$3&lt;=B73)*($C$2:$N$2&gt;AA73)/$C$2:$N$2)),0),0)</f>
        <v/>
      </c>
      <c r="AG73">
        <f>MAX(0,AC73-MAX(0,SUMPRODUCT(($C$2:$N$2=AA73)*(AH73:AS73-$C$7:$N$7))))</f>
        <v/>
      </c>
      <c r="AH73">
        <f>IF(C72&lt;=0,0,ROUND(C72*(1+IF(AND(C$6&gt;0,$B73&lt;C$6),C$4,C$5)/12),2))</f>
        <v/>
      </c>
      <c r="AI73">
        <f>IF(D72&lt;=0,0,ROUND(D72*(1+IF(AND(D$6&gt;0,$B73&lt;D$6),D$4,D$5)/12),2))</f>
        <v/>
      </c>
      <c r="AJ73">
        <f>IF(E72&lt;=0,0,ROUND(E72*(1+IF(AND(E$6&gt;0,$B73&lt;E$6),E$4,E$5)/12),2))</f>
        <v/>
      </c>
      <c r="AK73">
        <f>IF(F72&lt;=0,0,ROUND(F72*(1+IF(AND(F$6&gt;0,$B73&lt;F$6),F$4,F$5)/12),2))</f>
        <v/>
      </c>
      <c r="AL73">
        <f>IF(G72&lt;=0,0,ROUND(G72*(1+IF(AND(G$6&gt;0,$B73&lt;G$6),G$4,G$5)/12),2))</f>
        <v/>
      </c>
      <c r="AM73">
        <f>IF(H72&lt;=0,0,ROUND(H72*(1+IF(AND(H$6&gt;0,$B73&lt;H$6),H$4,H$5)/12),2))</f>
        <v/>
      </c>
      <c r="AN73">
        <f>IF(I72&lt;=0,0,ROUND(I72*(1+IF(AND(I$6&gt;0,$B73&lt;I$6),I$4,I$5)/12),2))</f>
        <v/>
      </c>
      <c r="AO73">
        <f>IF(J72&lt;=0,0,ROUND(J72*(1+IF(AND(J$6&gt;0,$B73&lt;J$6),J$4,J$5)/12),2))</f>
        <v/>
      </c>
      <c r="AP73">
        <f>IF(K72&lt;=0,0,ROUND(K72*(1+IF(AND(K$6&gt;0,$B73&lt;K$6),K$4,K$5)/12),2))</f>
        <v/>
      </c>
      <c r="AQ73">
        <f>IF(L72&lt;=0,0,ROUND(L72*(1+IF(AND(L$6&gt;0,$B73&lt;L$6),L$4,L$5)/12),2))</f>
        <v/>
      </c>
      <c r="AR73">
        <f>IF(M72&lt;=0,0,ROUND(M72*(1+IF(AND(M$6&gt;0,$B73&lt;M$6),M$4,M$5)/12),2))</f>
        <v/>
      </c>
      <c r="AS73">
        <f>IF(N72&lt;=0,0,ROUND(N72*(1+IF(AND(N$6&gt;0,$B73&lt;N$6),N$4,N$5)/12),2))</f>
        <v/>
      </c>
    </row>
    <row r="74">
      <c r="A74" t="n">
        <v>63</v>
      </c>
      <c r="B74">
        <f>EDATE(Plan!$C$6,62)</f>
        <v/>
      </c>
      <c r="C74">
        <f>IF(C73&lt;=0,0,MAX(0,AH74-O74))</f>
        <v/>
      </c>
      <c r="D74">
        <f>IF(D73&lt;=0,0,MAX(0,AI74-P74))</f>
        <v/>
      </c>
      <c r="E74">
        <f>IF(E73&lt;=0,0,MAX(0,AJ74-Q74))</f>
        <v/>
      </c>
      <c r="F74">
        <f>IF(F73&lt;=0,0,MAX(0,AK74-R74))</f>
        <v/>
      </c>
      <c r="G74">
        <f>IF(G73&lt;=0,0,MAX(0,AL74-S74))</f>
        <v/>
      </c>
      <c r="H74">
        <f>IF(H73&lt;=0,0,MAX(0,AM74-T74))</f>
        <v/>
      </c>
      <c r="I74">
        <f>IF(I73&lt;=0,0,MAX(0,AN74-U74))</f>
        <v/>
      </c>
      <c r="J74">
        <f>IF(J73&lt;=0,0,MAX(0,AO74-V74))</f>
        <v/>
      </c>
      <c r="K74">
        <f>IF(K73&lt;=0,0,MAX(0,AP74-W74))</f>
        <v/>
      </c>
      <c r="L74">
        <f>IF(L73&lt;=0,0,MAX(0,AQ74-X74))</f>
        <v/>
      </c>
      <c r="M74">
        <f>IF(M73&lt;=0,0,MAX(0,AR74-Y74))</f>
        <v/>
      </c>
      <c r="N74">
        <f>IF(N73&lt;=0,0,MAX(0,AS74-Z74))</f>
        <v/>
      </c>
      <c r="O74">
        <f>IF(C73&lt;=0,0,MIN(AH74,C$7+IF(C$2=$AA74,$AC74,IF(C$2=$AF74,$AG74,0))))</f>
        <v/>
      </c>
      <c r="P74">
        <f>IF(D73&lt;=0,0,MIN(AI74,D$7+IF(D$2=$AA74,$AC74,IF(D$2=$AF74,$AG74,0))))</f>
        <v/>
      </c>
      <c r="Q74">
        <f>IF(E73&lt;=0,0,MIN(AJ74,E$7+IF(E$2=$AA74,$AC74,IF(E$2=$AF74,$AG74,0))))</f>
        <v/>
      </c>
      <c r="R74">
        <f>IF(F73&lt;=0,0,MIN(AK74,F$7+IF(F$2=$AA74,$AC74,IF(F$2=$AF74,$AG74,0))))</f>
        <v/>
      </c>
      <c r="S74">
        <f>IF(G73&lt;=0,0,MIN(AL74,G$7+IF(G$2=$AA74,$AC74,IF(G$2=$AF74,$AG74,0))))</f>
        <v/>
      </c>
      <c r="T74">
        <f>IF(H73&lt;=0,0,MIN(AM74,H$7+IF(H$2=$AA74,$AC74,IF(H$2=$AF74,$AG74,0))))</f>
        <v/>
      </c>
      <c r="U74">
        <f>IF(I73&lt;=0,0,MIN(AN74,I$7+IF(I$2=$AA74,$AC74,IF(I$2=$AF74,$AG74,0))))</f>
        <v/>
      </c>
      <c r="V74">
        <f>IF(J73&lt;=0,0,MIN(AO74,J$7+IF(J$2=$AA74,$AC74,IF(J$2=$AF74,$AG74,0))))</f>
        <v/>
      </c>
      <c r="W74">
        <f>IF(K73&lt;=0,0,MIN(AP74,K$7+IF(K$2=$AA74,$AC74,IF(K$2=$AF74,$AG74,0))))</f>
        <v/>
      </c>
      <c r="X74">
        <f>IF(L73&lt;=0,0,MIN(AQ74,L$7+IF(L$2=$AA74,$AC74,IF(L$2=$AF74,$AG74,0))))</f>
        <v/>
      </c>
      <c r="Y74">
        <f>IF(M73&lt;=0,0,MIN(AR74,M$7+IF(M$2=$AA74,$AC74,IF(M$2=$AF74,$AG74,0))))</f>
        <v/>
      </c>
      <c r="Z74">
        <f>IF(N73&lt;=0,0,MIN(AS74,N$7+IF(N$2=$AA74,$AC74,IF(N$2=$AF74,$AG74,0))))</f>
        <v/>
      </c>
      <c r="AA74">
        <f>IFERROR(ROUND(1/SUMPRODUCT(MAX((C73:N73&gt;0)*($C$3:$N$3&lt;=B74)/$C$2:$N$2)),0),0)</f>
        <v/>
      </c>
      <c r="AB74">
        <f>SUMPRODUCT((C73:N73&gt;0)*$C$7:$N$7)</f>
        <v/>
      </c>
      <c r="AC74">
        <f>MAX(0,Plan!$C$5-AB74)+IF(A74=Plan!$C$8,N(Plan!$C$7),0)</f>
        <v/>
      </c>
      <c r="AD74">
        <f>SUM(C74:N74)</f>
        <v/>
      </c>
      <c r="AE74">
        <f>SUM(O74:Z74)</f>
        <v/>
      </c>
      <c r="AF74">
        <f>IFERROR(ROUND(1/SUMPRODUCT(MAX((C73:N73&gt;0)*($C$3:$N$3&lt;=B74)*($C$2:$N$2&gt;AA74)/$C$2:$N$2)),0),0)</f>
        <v/>
      </c>
      <c r="AG74">
        <f>MAX(0,AC74-MAX(0,SUMPRODUCT(($C$2:$N$2=AA74)*(AH74:AS74-$C$7:$N$7))))</f>
        <v/>
      </c>
      <c r="AH74">
        <f>IF(C73&lt;=0,0,ROUND(C73*(1+IF(AND(C$6&gt;0,$B74&lt;C$6),C$4,C$5)/12),2))</f>
        <v/>
      </c>
      <c r="AI74">
        <f>IF(D73&lt;=0,0,ROUND(D73*(1+IF(AND(D$6&gt;0,$B74&lt;D$6),D$4,D$5)/12),2))</f>
        <v/>
      </c>
      <c r="AJ74">
        <f>IF(E73&lt;=0,0,ROUND(E73*(1+IF(AND(E$6&gt;0,$B74&lt;E$6),E$4,E$5)/12),2))</f>
        <v/>
      </c>
      <c r="AK74">
        <f>IF(F73&lt;=0,0,ROUND(F73*(1+IF(AND(F$6&gt;0,$B74&lt;F$6),F$4,F$5)/12),2))</f>
        <v/>
      </c>
      <c r="AL74">
        <f>IF(G73&lt;=0,0,ROUND(G73*(1+IF(AND(G$6&gt;0,$B74&lt;G$6),G$4,G$5)/12),2))</f>
        <v/>
      </c>
      <c r="AM74">
        <f>IF(H73&lt;=0,0,ROUND(H73*(1+IF(AND(H$6&gt;0,$B74&lt;H$6),H$4,H$5)/12),2))</f>
        <v/>
      </c>
      <c r="AN74">
        <f>IF(I73&lt;=0,0,ROUND(I73*(1+IF(AND(I$6&gt;0,$B74&lt;I$6),I$4,I$5)/12),2))</f>
        <v/>
      </c>
      <c r="AO74">
        <f>IF(J73&lt;=0,0,ROUND(J73*(1+IF(AND(J$6&gt;0,$B74&lt;J$6),J$4,J$5)/12),2))</f>
        <v/>
      </c>
      <c r="AP74">
        <f>IF(K73&lt;=0,0,ROUND(K73*(1+IF(AND(K$6&gt;0,$B74&lt;K$6),K$4,K$5)/12),2))</f>
        <v/>
      </c>
      <c r="AQ74">
        <f>IF(L73&lt;=0,0,ROUND(L73*(1+IF(AND(L$6&gt;0,$B74&lt;L$6),L$4,L$5)/12),2))</f>
        <v/>
      </c>
      <c r="AR74">
        <f>IF(M73&lt;=0,0,ROUND(M73*(1+IF(AND(M$6&gt;0,$B74&lt;M$6),M$4,M$5)/12),2))</f>
        <v/>
      </c>
      <c r="AS74">
        <f>IF(N73&lt;=0,0,ROUND(N73*(1+IF(AND(N$6&gt;0,$B74&lt;N$6),N$4,N$5)/12),2))</f>
        <v/>
      </c>
    </row>
    <row r="75">
      <c r="A75" t="n">
        <v>64</v>
      </c>
      <c r="B75">
        <f>EDATE(Plan!$C$6,63)</f>
        <v/>
      </c>
      <c r="C75">
        <f>IF(C74&lt;=0,0,MAX(0,AH75-O75))</f>
        <v/>
      </c>
      <c r="D75">
        <f>IF(D74&lt;=0,0,MAX(0,AI75-P75))</f>
        <v/>
      </c>
      <c r="E75">
        <f>IF(E74&lt;=0,0,MAX(0,AJ75-Q75))</f>
        <v/>
      </c>
      <c r="F75">
        <f>IF(F74&lt;=0,0,MAX(0,AK75-R75))</f>
        <v/>
      </c>
      <c r="G75">
        <f>IF(G74&lt;=0,0,MAX(0,AL75-S75))</f>
        <v/>
      </c>
      <c r="H75">
        <f>IF(H74&lt;=0,0,MAX(0,AM75-T75))</f>
        <v/>
      </c>
      <c r="I75">
        <f>IF(I74&lt;=0,0,MAX(0,AN75-U75))</f>
        <v/>
      </c>
      <c r="J75">
        <f>IF(J74&lt;=0,0,MAX(0,AO75-V75))</f>
        <v/>
      </c>
      <c r="K75">
        <f>IF(K74&lt;=0,0,MAX(0,AP75-W75))</f>
        <v/>
      </c>
      <c r="L75">
        <f>IF(L74&lt;=0,0,MAX(0,AQ75-X75))</f>
        <v/>
      </c>
      <c r="M75">
        <f>IF(M74&lt;=0,0,MAX(0,AR75-Y75))</f>
        <v/>
      </c>
      <c r="N75">
        <f>IF(N74&lt;=0,0,MAX(0,AS75-Z75))</f>
        <v/>
      </c>
      <c r="O75">
        <f>IF(C74&lt;=0,0,MIN(AH75,C$7+IF(C$2=$AA75,$AC75,IF(C$2=$AF75,$AG75,0))))</f>
        <v/>
      </c>
      <c r="P75">
        <f>IF(D74&lt;=0,0,MIN(AI75,D$7+IF(D$2=$AA75,$AC75,IF(D$2=$AF75,$AG75,0))))</f>
        <v/>
      </c>
      <c r="Q75">
        <f>IF(E74&lt;=0,0,MIN(AJ75,E$7+IF(E$2=$AA75,$AC75,IF(E$2=$AF75,$AG75,0))))</f>
        <v/>
      </c>
      <c r="R75">
        <f>IF(F74&lt;=0,0,MIN(AK75,F$7+IF(F$2=$AA75,$AC75,IF(F$2=$AF75,$AG75,0))))</f>
        <v/>
      </c>
      <c r="S75">
        <f>IF(G74&lt;=0,0,MIN(AL75,G$7+IF(G$2=$AA75,$AC75,IF(G$2=$AF75,$AG75,0))))</f>
        <v/>
      </c>
      <c r="T75">
        <f>IF(H74&lt;=0,0,MIN(AM75,H$7+IF(H$2=$AA75,$AC75,IF(H$2=$AF75,$AG75,0))))</f>
        <v/>
      </c>
      <c r="U75">
        <f>IF(I74&lt;=0,0,MIN(AN75,I$7+IF(I$2=$AA75,$AC75,IF(I$2=$AF75,$AG75,0))))</f>
        <v/>
      </c>
      <c r="V75">
        <f>IF(J74&lt;=0,0,MIN(AO75,J$7+IF(J$2=$AA75,$AC75,IF(J$2=$AF75,$AG75,0))))</f>
        <v/>
      </c>
      <c r="W75">
        <f>IF(K74&lt;=0,0,MIN(AP75,K$7+IF(K$2=$AA75,$AC75,IF(K$2=$AF75,$AG75,0))))</f>
        <v/>
      </c>
      <c r="X75">
        <f>IF(L74&lt;=0,0,MIN(AQ75,L$7+IF(L$2=$AA75,$AC75,IF(L$2=$AF75,$AG75,0))))</f>
        <v/>
      </c>
      <c r="Y75">
        <f>IF(M74&lt;=0,0,MIN(AR75,M$7+IF(M$2=$AA75,$AC75,IF(M$2=$AF75,$AG75,0))))</f>
        <v/>
      </c>
      <c r="Z75">
        <f>IF(N74&lt;=0,0,MIN(AS75,N$7+IF(N$2=$AA75,$AC75,IF(N$2=$AF75,$AG75,0))))</f>
        <v/>
      </c>
      <c r="AA75">
        <f>IFERROR(ROUND(1/SUMPRODUCT(MAX((C74:N74&gt;0)*($C$3:$N$3&lt;=B75)/$C$2:$N$2)),0),0)</f>
        <v/>
      </c>
      <c r="AB75">
        <f>SUMPRODUCT((C74:N74&gt;0)*$C$7:$N$7)</f>
        <v/>
      </c>
      <c r="AC75">
        <f>MAX(0,Plan!$C$5-AB75)+IF(A75=Plan!$C$8,N(Plan!$C$7),0)</f>
        <v/>
      </c>
      <c r="AD75">
        <f>SUM(C75:N75)</f>
        <v/>
      </c>
      <c r="AE75">
        <f>SUM(O75:Z75)</f>
        <v/>
      </c>
      <c r="AF75">
        <f>IFERROR(ROUND(1/SUMPRODUCT(MAX((C74:N74&gt;0)*($C$3:$N$3&lt;=B75)*($C$2:$N$2&gt;AA75)/$C$2:$N$2)),0),0)</f>
        <v/>
      </c>
      <c r="AG75">
        <f>MAX(0,AC75-MAX(0,SUMPRODUCT(($C$2:$N$2=AA75)*(AH75:AS75-$C$7:$N$7))))</f>
        <v/>
      </c>
      <c r="AH75">
        <f>IF(C74&lt;=0,0,ROUND(C74*(1+IF(AND(C$6&gt;0,$B75&lt;C$6),C$4,C$5)/12),2))</f>
        <v/>
      </c>
      <c r="AI75">
        <f>IF(D74&lt;=0,0,ROUND(D74*(1+IF(AND(D$6&gt;0,$B75&lt;D$6),D$4,D$5)/12),2))</f>
        <v/>
      </c>
      <c r="AJ75">
        <f>IF(E74&lt;=0,0,ROUND(E74*(1+IF(AND(E$6&gt;0,$B75&lt;E$6),E$4,E$5)/12),2))</f>
        <v/>
      </c>
      <c r="AK75">
        <f>IF(F74&lt;=0,0,ROUND(F74*(1+IF(AND(F$6&gt;0,$B75&lt;F$6),F$4,F$5)/12),2))</f>
        <v/>
      </c>
      <c r="AL75">
        <f>IF(G74&lt;=0,0,ROUND(G74*(1+IF(AND(G$6&gt;0,$B75&lt;G$6),G$4,G$5)/12),2))</f>
        <v/>
      </c>
      <c r="AM75">
        <f>IF(H74&lt;=0,0,ROUND(H74*(1+IF(AND(H$6&gt;0,$B75&lt;H$6),H$4,H$5)/12),2))</f>
        <v/>
      </c>
      <c r="AN75">
        <f>IF(I74&lt;=0,0,ROUND(I74*(1+IF(AND(I$6&gt;0,$B75&lt;I$6),I$4,I$5)/12),2))</f>
        <v/>
      </c>
      <c r="AO75">
        <f>IF(J74&lt;=0,0,ROUND(J74*(1+IF(AND(J$6&gt;0,$B75&lt;J$6),J$4,J$5)/12),2))</f>
        <v/>
      </c>
      <c r="AP75">
        <f>IF(K74&lt;=0,0,ROUND(K74*(1+IF(AND(K$6&gt;0,$B75&lt;K$6),K$4,K$5)/12),2))</f>
        <v/>
      </c>
      <c r="AQ75">
        <f>IF(L74&lt;=0,0,ROUND(L74*(1+IF(AND(L$6&gt;0,$B75&lt;L$6),L$4,L$5)/12),2))</f>
        <v/>
      </c>
      <c r="AR75">
        <f>IF(M74&lt;=0,0,ROUND(M74*(1+IF(AND(M$6&gt;0,$B75&lt;M$6),M$4,M$5)/12),2))</f>
        <v/>
      </c>
      <c r="AS75">
        <f>IF(N74&lt;=0,0,ROUND(N74*(1+IF(AND(N$6&gt;0,$B75&lt;N$6),N$4,N$5)/12),2))</f>
        <v/>
      </c>
    </row>
    <row r="76">
      <c r="A76" t="n">
        <v>65</v>
      </c>
      <c r="B76">
        <f>EDATE(Plan!$C$6,64)</f>
        <v/>
      </c>
      <c r="C76">
        <f>IF(C75&lt;=0,0,MAX(0,AH76-O76))</f>
        <v/>
      </c>
      <c r="D76">
        <f>IF(D75&lt;=0,0,MAX(0,AI76-P76))</f>
        <v/>
      </c>
      <c r="E76">
        <f>IF(E75&lt;=0,0,MAX(0,AJ76-Q76))</f>
        <v/>
      </c>
      <c r="F76">
        <f>IF(F75&lt;=0,0,MAX(0,AK76-R76))</f>
        <v/>
      </c>
      <c r="G76">
        <f>IF(G75&lt;=0,0,MAX(0,AL76-S76))</f>
        <v/>
      </c>
      <c r="H76">
        <f>IF(H75&lt;=0,0,MAX(0,AM76-T76))</f>
        <v/>
      </c>
      <c r="I76">
        <f>IF(I75&lt;=0,0,MAX(0,AN76-U76))</f>
        <v/>
      </c>
      <c r="J76">
        <f>IF(J75&lt;=0,0,MAX(0,AO76-V76))</f>
        <v/>
      </c>
      <c r="K76">
        <f>IF(K75&lt;=0,0,MAX(0,AP76-W76))</f>
        <v/>
      </c>
      <c r="L76">
        <f>IF(L75&lt;=0,0,MAX(0,AQ76-X76))</f>
        <v/>
      </c>
      <c r="M76">
        <f>IF(M75&lt;=0,0,MAX(0,AR76-Y76))</f>
        <v/>
      </c>
      <c r="N76">
        <f>IF(N75&lt;=0,0,MAX(0,AS76-Z76))</f>
        <v/>
      </c>
      <c r="O76">
        <f>IF(C75&lt;=0,0,MIN(AH76,C$7+IF(C$2=$AA76,$AC76,IF(C$2=$AF76,$AG76,0))))</f>
        <v/>
      </c>
      <c r="P76">
        <f>IF(D75&lt;=0,0,MIN(AI76,D$7+IF(D$2=$AA76,$AC76,IF(D$2=$AF76,$AG76,0))))</f>
        <v/>
      </c>
      <c r="Q76">
        <f>IF(E75&lt;=0,0,MIN(AJ76,E$7+IF(E$2=$AA76,$AC76,IF(E$2=$AF76,$AG76,0))))</f>
        <v/>
      </c>
      <c r="R76">
        <f>IF(F75&lt;=0,0,MIN(AK76,F$7+IF(F$2=$AA76,$AC76,IF(F$2=$AF76,$AG76,0))))</f>
        <v/>
      </c>
      <c r="S76">
        <f>IF(G75&lt;=0,0,MIN(AL76,G$7+IF(G$2=$AA76,$AC76,IF(G$2=$AF76,$AG76,0))))</f>
        <v/>
      </c>
      <c r="T76">
        <f>IF(H75&lt;=0,0,MIN(AM76,H$7+IF(H$2=$AA76,$AC76,IF(H$2=$AF76,$AG76,0))))</f>
        <v/>
      </c>
      <c r="U76">
        <f>IF(I75&lt;=0,0,MIN(AN76,I$7+IF(I$2=$AA76,$AC76,IF(I$2=$AF76,$AG76,0))))</f>
        <v/>
      </c>
      <c r="V76">
        <f>IF(J75&lt;=0,0,MIN(AO76,J$7+IF(J$2=$AA76,$AC76,IF(J$2=$AF76,$AG76,0))))</f>
        <v/>
      </c>
      <c r="W76">
        <f>IF(K75&lt;=0,0,MIN(AP76,K$7+IF(K$2=$AA76,$AC76,IF(K$2=$AF76,$AG76,0))))</f>
        <v/>
      </c>
      <c r="X76">
        <f>IF(L75&lt;=0,0,MIN(AQ76,L$7+IF(L$2=$AA76,$AC76,IF(L$2=$AF76,$AG76,0))))</f>
        <v/>
      </c>
      <c r="Y76">
        <f>IF(M75&lt;=0,0,MIN(AR76,M$7+IF(M$2=$AA76,$AC76,IF(M$2=$AF76,$AG76,0))))</f>
        <v/>
      </c>
      <c r="Z76">
        <f>IF(N75&lt;=0,0,MIN(AS76,N$7+IF(N$2=$AA76,$AC76,IF(N$2=$AF76,$AG76,0))))</f>
        <v/>
      </c>
      <c r="AA76">
        <f>IFERROR(ROUND(1/SUMPRODUCT(MAX((C75:N75&gt;0)*($C$3:$N$3&lt;=B76)/$C$2:$N$2)),0),0)</f>
        <v/>
      </c>
      <c r="AB76">
        <f>SUMPRODUCT((C75:N75&gt;0)*$C$7:$N$7)</f>
        <v/>
      </c>
      <c r="AC76">
        <f>MAX(0,Plan!$C$5-AB76)+IF(A76=Plan!$C$8,N(Plan!$C$7),0)</f>
        <v/>
      </c>
      <c r="AD76">
        <f>SUM(C76:N76)</f>
        <v/>
      </c>
      <c r="AE76">
        <f>SUM(O76:Z76)</f>
        <v/>
      </c>
      <c r="AF76">
        <f>IFERROR(ROUND(1/SUMPRODUCT(MAX((C75:N75&gt;0)*($C$3:$N$3&lt;=B76)*($C$2:$N$2&gt;AA76)/$C$2:$N$2)),0),0)</f>
        <v/>
      </c>
      <c r="AG76">
        <f>MAX(0,AC76-MAX(0,SUMPRODUCT(($C$2:$N$2=AA76)*(AH76:AS76-$C$7:$N$7))))</f>
        <v/>
      </c>
      <c r="AH76">
        <f>IF(C75&lt;=0,0,ROUND(C75*(1+IF(AND(C$6&gt;0,$B76&lt;C$6),C$4,C$5)/12),2))</f>
        <v/>
      </c>
      <c r="AI76">
        <f>IF(D75&lt;=0,0,ROUND(D75*(1+IF(AND(D$6&gt;0,$B76&lt;D$6),D$4,D$5)/12),2))</f>
        <v/>
      </c>
      <c r="AJ76">
        <f>IF(E75&lt;=0,0,ROUND(E75*(1+IF(AND(E$6&gt;0,$B76&lt;E$6),E$4,E$5)/12),2))</f>
        <v/>
      </c>
      <c r="AK76">
        <f>IF(F75&lt;=0,0,ROUND(F75*(1+IF(AND(F$6&gt;0,$B76&lt;F$6),F$4,F$5)/12),2))</f>
        <v/>
      </c>
      <c r="AL76">
        <f>IF(G75&lt;=0,0,ROUND(G75*(1+IF(AND(G$6&gt;0,$B76&lt;G$6),G$4,G$5)/12),2))</f>
        <v/>
      </c>
      <c r="AM76">
        <f>IF(H75&lt;=0,0,ROUND(H75*(1+IF(AND(H$6&gt;0,$B76&lt;H$6),H$4,H$5)/12),2))</f>
        <v/>
      </c>
      <c r="AN76">
        <f>IF(I75&lt;=0,0,ROUND(I75*(1+IF(AND(I$6&gt;0,$B76&lt;I$6),I$4,I$5)/12),2))</f>
        <v/>
      </c>
      <c r="AO76">
        <f>IF(J75&lt;=0,0,ROUND(J75*(1+IF(AND(J$6&gt;0,$B76&lt;J$6),J$4,J$5)/12),2))</f>
        <v/>
      </c>
      <c r="AP76">
        <f>IF(K75&lt;=0,0,ROUND(K75*(1+IF(AND(K$6&gt;0,$B76&lt;K$6),K$4,K$5)/12),2))</f>
        <v/>
      </c>
      <c r="AQ76">
        <f>IF(L75&lt;=0,0,ROUND(L75*(1+IF(AND(L$6&gt;0,$B76&lt;L$6),L$4,L$5)/12),2))</f>
        <v/>
      </c>
      <c r="AR76">
        <f>IF(M75&lt;=0,0,ROUND(M75*(1+IF(AND(M$6&gt;0,$B76&lt;M$6),M$4,M$5)/12),2))</f>
        <v/>
      </c>
      <c r="AS76">
        <f>IF(N75&lt;=0,0,ROUND(N75*(1+IF(AND(N$6&gt;0,$B76&lt;N$6),N$4,N$5)/12),2))</f>
        <v/>
      </c>
    </row>
    <row r="77">
      <c r="A77" t="n">
        <v>66</v>
      </c>
      <c r="B77">
        <f>EDATE(Plan!$C$6,65)</f>
        <v/>
      </c>
      <c r="C77">
        <f>IF(C76&lt;=0,0,MAX(0,AH77-O77))</f>
        <v/>
      </c>
      <c r="D77">
        <f>IF(D76&lt;=0,0,MAX(0,AI77-P77))</f>
        <v/>
      </c>
      <c r="E77">
        <f>IF(E76&lt;=0,0,MAX(0,AJ77-Q77))</f>
        <v/>
      </c>
      <c r="F77">
        <f>IF(F76&lt;=0,0,MAX(0,AK77-R77))</f>
        <v/>
      </c>
      <c r="G77">
        <f>IF(G76&lt;=0,0,MAX(0,AL77-S77))</f>
        <v/>
      </c>
      <c r="H77">
        <f>IF(H76&lt;=0,0,MAX(0,AM77-T77))</f>
        <v/>
      </c>
      <c r="I77">
        <f>IF(I76&lt;=0,0,MAX(0,AN77-U77))</f>
        <v/>
      </c>
      <c r="J77">
        <f>IF(J76&lt;=0,0,MAX(0,AO77-V77))</f>
        <v/>
      </c>
      <c r="K77">
        <f>IF(K76&lt;=0,0,MAX(0,AP77-W77))</f>
        <v/>
      </c>
      <c r="L77">
        <f>IF(L76&lt;=0,0,MAX(0,AQ77-X77))</f>
        <v/>
      </c>
      <c r="M77">
        <f>IF(M76&lt;=0,0,MAX(0,AR77-Y77))</f>
        <v/>
      </c>
      <c r="N77">
        <f>IF(N76&lt;=0,0,MAX(0,AS77-Z77))</f>
        <v/>
      </c>
      <c r="O77">
        <f>IF(C76&lt;=0,0,MIN(AH77,C$7+IF(C$2=$AA77,$AC77,IF(C$2=$AF77,$AG77,0))))</f>
        <v/>
      </c>
      <c r="P77">
        <f>IF(D76&lt;=0,0,MIN(AI77,D$7+IF(D$2=$AA77,$AC77,IF(D$2=$AF77,$AG77,0))))</f>
        <v/>
      </c>
      <c r="Q77">
        <f>IF(E76&lt;=0,0,MIN(AJ77,E$7+IF(E$2=$AA77,$AC77,IF(E$2=$AF77,$AG77,0))))</f>
        <v/>
      </c>
      <c r="R77">
        <f>IF(F76&lt;=0,0,MIN(AK77,F$7+IF(F$2=$AA77,$AC77,IF(F$2=$AF77,$AG77,0))))</f>
        <v/>
      </c>
      <c r="S77">
        <f>IF(G76&lt;=0,0,MIN(AL77,G$7+IF(G$2=$AA77,$AC77,IF(G$2=$AF77,$AG77,0))))</f>
        <v/>
      </c>
      <c r="T77">
        <f>IF(H76&lt;=0,0,MIN(AM77,H$7+IF(H$2=$AA77,$AC77,IF(H$2=$AF77,$AG77,0))))</f>
        <v/>
      </c>
      <c r="U77">
        <f>IF(I76&lt;=0,0,MIN(AN77,I$7+IF(I$2=$AA77,$AC77,IF(I$2=$AF77,$AG77,0))))</f>
        <v/>
      </c>
      <c r="V77">
        <f>IF(J76&lt;=0,0,MIN(AO77,J$7+IF(J$2=$AA77,$AC77,IF(J$2=$AF77,$AG77,0))))</f>
        <v/>
      </c>
      <c r="W77">
        <f>IF(K76&lt;=0,0,MIN(AP77,K$7+IF(K$2=$AA77,$AC77,IF(K$2=$AF77,$AG77,0))))</f>
        <v/>
      </c>
      <c r="X77">
        <f>IF(L76&lt;=0,0,MIN(AQ77,L$7+IF(L$2=$AA77,$AC77,IF(L$2=$AF77,$AG77,0))))</f>
        <v/>
      </c>
      <c r="Y77">
        <f>IF(M76&lt;=0,0,MIN(AR77,M$7+IF(M$2=$AA77,$AC77,IF(M$2=$AF77,$AG77,0))))</f>
        <v/>
      </c>
      <c r="Z77">
        <f>IF(N76&lt;=0,0,MIN(AS77,N$7+IF(N$2=$AA77,$AC77,IF(N$2=$AF77,$AG77,0))))</f>
        <v/>
      </c>
      <c r="AA77">
        <f>IFERROR(ROUND(1/SUMPRODUCT(MAX((C76:N76&gt;0)*($C$3:$N$3&lt;=B77)/$C$2:$N$2)),0),0)</f>
        <v/>
      </c>
      <c r="AB77">
        <f>SUMPRODUCT((C76:N76&gt;0)*$C$7:$N$7)</f>
        <v/>
      </c>
      <c r="AC77">
        <f>MAX(0,Plan!$C$5-AB77)+IF(A77=Plan!$C$8,N(Plan!$C$7),0)</f>
        <v/>
      </c>
      <c r="AD77">
        <f>SUM(C77:N77)</f>
        <v/>
      </c>
      <c r="AE77">
        <f>SUM(O77:Z77)</f>
        <v/>
      </c>
      <c r="AF77">
        <f>IFERROR(ROUND(1/SUMPRODUCT(MAX((C76:N76&gt;0)*($C$3:$N$3&lt;=B77)*($C$2:$N$2&gt;AA77)/$C$2:$N$2)),0),0)</f>
        <v/>
      </c>
      <c r="AG77">
        <f>MAX(0,AC77-MAX(0,SUMPRODUCT(($C$2:$N$2=AA77)*(AH77:AS77-$C$7:$N$7))))</f>
        <v/>
      </c>
      <c r="AH77">
        <f>IF(C76&lt;=0,0,ROUND(C76*(1+IF(AND(C$6&gt;0,$B77&lt;C$6),C$4,C$5)/12),2))</f>
        <v/>
      </c>
      <c r="AI77">
        <f>IF(D76&lt;=0,0,ROUND(D76*(1+IF(AND(D$6&gt;0,$B77&lt;D$6),D$4,D$5)/12),2))</f>
        <v/>
      </c>
      <c r="AJ77">
        <f>IF(E76&lt;=0,0,ROUND(E76*(1+IF(AND(E$6&gt;0,$B77&lt;E$6),E$4,E$5)/12),2))</f>
        <v/>
      </c>
      <c r="AK77">
        <f>IF(F76&lt;=0,0,ROUND(F76*(1+IF(AND(F$6&gt;0,$B77&lt;F$6),F$4,F$5)/12),2))</f>
        <v/>
      </c>
      <c r="AL77">
        <f>IF(G76&lt;=0,0,ROUND(G76*(1+IF(AND(G$6&gt;0,$B77&lt;G$6),G$4,G$5)/12),2))</f>
        <v/>
      </c>
      <c r="AM77">
        <f>IF(H76&lt;=0,0,ROUND(H76*(1+IF(AND(H$6&gt;0,$B77&lt;H$6),H$4,H$5)/12),2))</f>
        <v/>
      </c>
      <c r="AN77">
        <f>IF(I76&lt;=0,0,ROUND(I76*(1+IF(AND(I$6&gt;0,$B77&lt;I$6),I$4,I$5)/12),2))</f>
        <v/>
      </c>
      <c r="AO77">
        <f>IF(J76&lt;=0,0,ROUND(J76*(1+IF(AND(J$6&gt;0,$B77&lt;J$6),J$4,J$5)/12),2))</f>
        <v/>
      </c>
      <c r="AP77">
        <f>IF(K76&lt;=0,0,ROUND(K76*(1+IF(AND(K$6&gt;0,$B77&lt;K$6),K$4,K$5)/12),2))</f>
        <v/>
      </c>
      <c r="AQ77">
        <f>IF(L76&lt;=0,0,ROUND(L76*(1+IF(AND(L$6&gt;0,$B77&lt;L$6),L$4,L$5)/12),2))</f>
        <v/>
      </c>
      <c r="AR77">
        <f>IF(M76&lt;=0,0,ROUND(M76*(1+IF(AND(M$6&gt;0,$B77&lt;M$6),M$4,M$5)/12),2))</f>
        <v/>
      </c>
      <c r="AS77">
        <f>IF(N76&lt;=0,0,ROUND(N76*(1+IF(AND(N$6&gt;0,$B77&lt;N$6),N$4,N$5)/12),2))</f>
        <v/>
      </c>
    </row>
    <row r="78">
      <c r="A78" t="n">
        <v>67</v>
      </c>
      <c r="B78">
        <f>EDATE(Plan!$C$6,66)</f>
        <v/>
      </c>
      <c r="C78">
        <f>IF(C77&lt;=0,0,MAX(0,AH78-O78))</f>
        <v/>
      </c>
      <c r="D78">
        <f>IF(D77&lt;=0,0,MAX(0,AI78-P78))</f>
        <v/>
      </c>
      <c r="E78">
        <f>IF(E77&lt;=0,0,MAX(0,AJ78-Q78))</f>
        <v/>
      </c>
      <c r="F78">
        <f>IF(F77&lt;=0,0,MAX(0,AK78-R78))</f>
        <v/>
      </c>
      <c r="G78">
        <f>IF(G77&lt;=0,0,MAX(0,AL78-S78))</f>
        <v/>
      </c>
      <c r="H78">
        <f>IF(H77&lt;=0,0,MAX(0,AM78-T78))</f>
        <v/>
      </c>
      <c r="I78">
        <f>IF(I77&lt;=0,0,MAX(0,AN78-U78))</f>
        <v/>
      </c>
      <c r="J78">
        <f>IF(J77&lt;=0,0,MAX(0,AO78-V78))</f>
        <v/>
      </c>
      <c r="K78">
        <f>IF(K77&lt;=0,0,MAX(0,AP78-W78))</f>
        <v/>
      </c>
      <c r="L78">
        <f>IF(L77&lt;=0,0,MAX(0,AQ78-X78))</f>
        <v/>
      </c>
      <c r="M78">
        <f>IF(M77&lt;=0,0,MAX(0,AR78-Y78))</f>
        <v/>
      </c>
      <c r="N78">
        <f>IF(N77&lt;=0,0,MAX(0,AS78-Z78))</f>
        <v/>
      </c>
      <c r="O78">
        <f>IF(C77&lt;=0,0,MIN(AH78,C$7+IF(C$2=$AA78,$AC78,IF(C$2=$AF78,$AG78,0))))</f>
        <v/>
      </c>
      <c r="P78">
        <f>IF(D77&lt;=0,0,MIN(AI78,D$7+IF(D$2=$AA78,$AC78,IF(D$2=$AF78,$AG78,0))))</f>
        <v/>
      </c>
      <c r="Q78">
        <f>IF(E77&lt;=0,0,MIN(AJ78,E$7+IF(E$2=$AA78,$AC78,IF(E$2=$AF78,$AG78,0))))</f>
        <v/>
      </c>
      <c r="R78">
        <f>IF(F77&lt;=0,0,MIN(AK78,F$7+IF(F$2=$AA78,$AC78,IF(F$2=$AF78,$AG78,0))))</f>
        <v/>
      </c>
      <c r="S78">
        <f>IF(G77&lt;=0,0,MIN(AL78,G$7+IF(G$2=$AA78,$AC78,IF(G$2=$AF78,$AG78,0))))</f>
        <v/>
      </c>
      <c r="T78">
        <f>IF(H77&lt;=0,0,MIN(AM78,H$7+IF(H$2=$AA78,$AC78,IF(H$2=$AF78,$AG78,0))))</f>
        <v/>
      </c>
      <c r="U78">
        <f>IF(I77&lt;=0,0,MIN(AN78,I$7+IF(I$2=$AA78,$AC78,IF(I$2=$AF78,$AG78,0))))</f>
        <v/>
      </c>
      <c r="V78">
        <f>IF(J77&lt;=0,0,MIN(AO78,J$7+IF(J$2=$AA78,$AC78,IF(J$2=$AF78,$AG78,0))))</f>
        <v/>
      </c>
      <c r="W78">
        <f>IF(K77&lt;=0,0,MIN(AP78,K$7+IF(K$2=$AA78,$AC78,IF(K$2=$AF78,$AG78,0))))</f>
        <v/>
      </c>
      <c r="X78">
        <f>IF(L77&lt;=0,0,MIN(AQ78,L$7+IF(L$2=$AA78,$AC78,IF(L$2=$AF78,$AG78,0))))</f>
        <v/>
      </c>
      <c r="Y78">
        <f>IF(M77&lt;=0,0,MIN(AR78,M$7+IF(M$2=$AA78,$AC78,IF(M$2=$AF78,$AG78,0))))</f>
        <v/>
      </c>
      <c r="Z78">
        <f>IF(N77&lt;=0,0,MIN(AS78,N$7+IF(N$2=$AA78,$AC78,IF(N$2=$AF78,$AG78,0))))</f>
        <v/>
      </c>
      <c r="AA78">
        <f>IFERROR(ROUND(1/SUMPRODUCT(MAX((C77:N77&gt;0)*($C$3:$N$3&lt;=B78)/$C$2:$N$2)),0),0)</f>
        <v/>
      </c>
      <c r="AB78">
        <f>SUMPRODUCT((C77:N77&gt;0)*$C$7:$N$7)</f>
        <v/>
      </c>
      <c r="AC78">
        <f>MAX(0,Plan!$C$5-AB78)+IF(A78=Plan!$C$8,N(Plan!$C$7),0)</f>
        <v/>
      </c>
      <c r="AD78">
        <f>SUM(C78:N78)</f>
        <v/>
      </c>
      <c r="AE78">
        <f>SUM(O78:Z78)</f>
        <v/>
      </c>
      <c r="AF78">
        <f>IFERROR(ROUND(1/SUMPRODUCT(MAX((C77:N77&gt;0)*($C$3:$N$3&lt;=B78)*($C$2:$N$2&gt;AA78)/$C$2:$N$2)),0),0)</f>
        <v/>
      </c>
      <c r="AG78">
        <f>MAX(0,AC78-MAX(0,SUMPRODUCT(($C$2:$N$2=AA78)*(AH78:AS78-$C$7:$N$7))))</f>
        <v/>
      </c>
      <c r="AH78">
        <f>IF(C77&lt;=0,0,ROUND(C77*(1+IF(AND(C$6&gt;0,$B78&lt;C$6),C$4,C$5)/12),2))</f>
        <v/>
      </c>
      <c r="AI78">
        <f>IF(D77&lt;=0,0,ROUND(D77*(1+IF(AND(D$6&gt;0,$B78&lt;D$6),D$4,D$5)/12),2))</f>
        <v/>
      </c>
      <c r="AJ78">
        <f>IF(E77&lt;=0,0,ROUND(E77*(1+IF(AND(E$6&gt;0,$B78&lt;E$6),E$4,E$5)/12),2))</f>
        <v/>
      </c>
      <c r="AK78">
        <f>IF(F77&lt;=0,0,ROUND(F77*(1+IF(AND(F$6&gt;0,$B78&lt;F$6),F$4,F$5)/12),2))</f>
        <v/>
      </c>
      <c r="AL78">
        <f>IF(G77&lt;=0,0,ROUND(G77*(1+IF(AND(G$6&gt;0,$B78&lt;G$6),G$4,G$5)/12),2))</f>
        <v/>
      </c>
      <c r="AM78">
        <f>IF(H77&lt;=0,0,ROUND(H77*(1+IF(AND(H$6&gt;0,$B78&lt;H$6),H$4,H$5)/12),2))</f>
        <v/>
      </c>
      <c r="AN78">
        <f>IF(I77&lt;=0,0,ROUND(I77*(1+IF(AND(I$6&gt;0,$B78&lt;I$6),I$4,I$5)/12),2))</f>
        <v/>
      </c>
      <c r="AO78">
        <f>IF(J77&lt;=0,0,ROUND(J77*(1+IF(AND(J$6&gt;0,$B78&lt;J$6),J$4,J$5)/12),2))</f>
        <v/>
      </c>
      <c r="AP78">
        <f>IF(K77&lt;=0,0,ROUND(K77*(1+IF(AND(K$6&gt;0,$B78&lt;K$6),K$4,K$5)/12),2))</f>
        <v/>
      </c>
      <c r="AQ78">
        <f>IF(L77&lt;=0,0,ROUND(L77*(1+IF(AND(L$6&gt;0,$B78&lt;L$6),L$4,L$5)/12),2))</f>
        <v/>
      </c>
      <c r="AR78">
        <f>IF(M77&lt;=0,0,ROUND(M77*(1+IF(AND(M$6&gt;0,$B78&lt;M$6),M$4,M$5)/12),2))</f>
        <v/>
      </c>
      <c r="AS78">
        <f>IF(N77&lt;=0,0,ROUND(N77*(1+IF(AND(N$6&gt;0,$B78&lt;N$6),N$4,N$5)/12),2))</f>
        <v/>
      </c>
    </row>
    <row r="79">
      <c r="A79" t="n">
        <v>68</v>
      </c>
      <c r="B79">
        <f>EDATE(Plan!$C$6,67)</f>
        <v/>
      </c>
      <c r="C79">
        <f>IF(C78&lt;=0,0,MAX(0,AH79-O79))</f>
        <v/>
      </c>
      <c r="D79">
        <f>IF(D78&lt;=0,0,MAX(0,AI79-P79))</f>
        <v/>
      </c>
      <c r="E79">
        <f>IF(E78&lt;=0,0,MAX(0,AJ79-Q79))</f>
        <v/>
      </c>
      <c r="F79">
        <f>IF(F78&lt;=0,0,MAX(0,AK79-R79))</f>
        <v/>
      </c>
      <c r="G79">
        <f>IF(G78&lt;=0,0,MAX(0,AL79-S79))</f>
        <v/>
      </c>
      <c r="H79">
        <f>IF(H78&lt;=0,0,MAX(0,AM79-T79))</f>
        <v/>
      </c>
      <c r="I79">
        <f>IF(I78&lt;=0,0,MAX(0,AN79-U79))</f>
        <v/>
      </c>
      <c r="J79">
        <f>IF(J78&lt;=0,0,MAX(0,AO79-V79))</f>
        <v/>
      </c>
      <c r="K79">
        <f>IF(K78&lt;=0,0,MAX(0,AP79-W79))</f>
        <v/>
      </c>
      <c r="L79">
        <f>IF(L78&lt;=0,0,MAX(0,AQ79-X79))</f>
        <v/>
      </c>
      <c r="M79">
        <f>IF(M78&lt;=0,0,MAX(0,AR79-Y79))</f>
        <v/>
      </c>
      <c r="N79">
        <f>IF(N78&lt;=0,0,MAX(0,AS79-Z79))</f>
        <v/>
      </c>
      <c r="O79">
        <f>IF(C78&lt;=0,0,MIN(AH79,C$7+IF(C$2=$AA79,$AC79,IF(C$2=$AF79,$AG79,0))))</f>
        <v/>
      </c>
      <c r="P79">
        <f>IF(D78&lt;=0,0,MIN(AI79,D$7+IF(D$2=$AA79,$AC79,IF(D$2=$AF79,$AG79,0))))</f>
        <v/>
      </c>
      <c r="Q79">
        <f>IF(E78&lt;=0,0,MIN(AJ79,E$7+IF(E$2=$AA79,$AC79,IF(E$2=$AF79,$AG79,0))))</f>
        <v/>
      </c>
      <c r="R79">
        <f>IF(F78&lt;=0,0,MIN(AK79,F$7+IF(F$2=$AA79,$AC79,IF(F$2=$AF79,$AG79,0))))</f>
        <v/>
      </c>
      <c r="S79">
        <f>IF(G78&lt;=0,0,MIN(AL79,G$7+IF(G$2=$AA79,$AC79,IF(G$2=$AF79,$AG79,0))))</f>
        <v/>
      </c>
      <c r="T79">
        <f>IF(H78&lt;=0,0,MIN(AM79,H$7+IF(H$2=$AA79,$AC79,IF(H$2=$AF79,$AG79,0))))</f>
        <v/>
      </c>
      <c r="U79">
        <f>IF(I78&lt;=0,0,MIN(AN79,I$7+IF(I$2=$AA79,$AC79,IF(I$2=$AF79,$AG79,0))))</f>
        <v/>
      </c>
      <c r="V79">
        <f>IF(J78&lt;=0,0,MIN(AO79,J$7+IF(J$2=$AA79,$AC79,IF(J$2=$AF79,$AG79,0))))</f>
        <v/>
      </c>
      <c r="W79">
        <f>IF(K78&lt;=0,0,MIN(AP79,K$7+IF(K$2=$AA79,$AC79,IF(K$2=$AF79,$AG79,0))))</f>
        <v/>
      </c>
      <c r="X79">
        <f>IF(L78&lt;=0,0,MIN(AQ79,L$7+IF(L$2=$AA79,$AC79,IF(L$2=$AF79,$AG79,0))))</f>
        <v/>
      </c>
      <c r="Y79">
        <f>IF(M78&lt;=0,0,MIN(AR79,M$7+IF(M$2=$AA79,$AC79,IF(M$2=$AF79,$AG79,0))))</f>
        <v/>
      </c>
      <c r="Z79">
        <f>IF(N78&lt;=0,0,MIN(AS79,N$7+IF(N$2=$AA79,$AC79,IF(N$2=$AF79,$AG79,0))))</f>
        <v/>
      </c>
      <c r="AA79">
        <f>IFERROR(ROUND(1/SUMPRODUCT(MAX((C78:N78&gt;0)*($C$3:$N$3&lt;=B79)/$C$2:$N$2)),0),0)</f>
        <v/>
      </c>
      <c r="AB79">
        <f>SUMPRODUCT((C78:N78&gt;0)*$C$7:$N$7)</f>
        <v/>
      </c>
      <c r="AC79">
        <f>MAX(0,Plan!$C$5-AB79)+IF(A79=Plan!$C$8,N(Plan!$C$7),0)</f>
        <v/>
      </c>
      <c r="AD79">
        <f>SUM(C79:N79)</f>
        <v/>
      </c>
      <c r="AE79">
        <f>SUM(O79:Z79)</f>
        <v/>
      </c>
      <c r="AF79">
        <f>IFERROR(ROUND(1/SUMPRODUCT(MAX((C78:N78&gt;0)*($C$3:$N$3&lt;=B79)*($C$2:$N$2&gt;AA79)/$C$2:$N$2)),0),0)</f>
        <v/>
      </c>
      <c r="AG79">
        <f>MAX(0,AC79-MAX(0,SUMPRODUCT(($C$2:$N$2=AA79)*(AH79:AS79-$C$7:$N$7))))</f>
        <v/>
      </c>
      <c r="AH79">
        <f>IF(C78&lt;=0,0,ROUND(C78*(1+IF(AND(C$6&gt;0,$B79&lt;C$6),C$4,C$5)/12),2))</f>
        <v/>
      </c>
      <c r="AI79">
        <f>IF(D78&lt;=0,0,ROUND(D78*(1+IF(AND(D$6&gt;0,$B79&lt;D$6),D$4,D$5)/12),2))</f>
        <v/>
      </c>
      <c r="AJ79">
        <f>IF(E78&lt;=0,0,ROUND(E78*(1+IF(AND(E$6&gt;0,$B79&lt;E$6),E$4,E$5)/12),2))</f>
        <v/>
      </c>
      <c r="AK79">
        <f>IF(F78&lt;=0,0,ROUND(F78*(1+IF(AND(F$6&gt;0,$B79&lt;F$6),F$4,F$5)/12),2))</f>
        <v/>
      </c>
      <c r="AL79">
        <f>IF(G78&lt;=0,0,ROUND(G78*(1+IF(AND(G$6&gt;0,$B79&lt;G$6),G$4,G$5)/12),2))</f>
        <v/>
      </c>
      <c r="AM79">
        <f>IF(H78&lt;=0,0,ROUND(H78*(1+IF(AND(H$6&gt;0,$B79&lt;H$6),H$4,H$5)/12),2))</f>
        <v/>
      </c>
      <c r="AN79">
        <f>IF(I78&lt;=0,0,ROUND(I78*(1+IF(AND(I$6&gt;0,$B79&lt;I$6),I$4,I$5)/12),2))</f>
        <v/>
      </c>
      <c r="AO79">
        <f>IF(J78&lt;=0,0,ROUND(J78*(1+IF(AND(J$6&gt;0,$B79&lt;J$6),J$4,J$5)/12),2))</f>
        <v/>
      </c>
      <c r="AP79">
        <f>IF(K78&lt;=0,0,ROUND(K78*(1+IF(AND(K$6&gt;0,$B79&lt;K$6),K$4,K$5)/12),2))</f>
        <v/>
      </c>
      <c r="AQ79">
        <f>IF(L78&lt;=0,0,ROUND(L78*(1+IF(AND(L$6&gt;0,$B79&lt;L$6),L$4,L$5)/12),2))</f>
        <v/>
      </c>
      <c r="AR79">
        <f>IF(M78&lt;=0,0,ROUND(M78*(1+IF(AND(M$6&gt;0,$B79&lt;M$6),M$4,M$5)/12),2))</f>
        <v/>
      </c>
      <c r="AS79">
        <f>IF(N78&lt;=0,0,ROUND(N78*(1+IF(AND(N$6&gt;0,$B79&lt;N$6),N$4,N$5)/12),2))</f>
        <v/>
      </c>
    </row>
    <row r="80">
      <c r="A80" t="n">
        <v>69</v>
      </c>
      <c r="B80">
        <f>EDATE(Plan!$C$6,68)</f>
        <v/>
      </c>
      <c r="C80">
        <f>IF(C79&lt;=0,0,MAX(0,AH80-O80))</f>
        <v/>
      </c>
      <c r="D80">
        <f>IF(D79&lt;=0,0,MAX(0,AI80-P80))</f>
        <v/>
      </c>
      <c r="E80">
        <f>IF(E79&lt;=0,0,MAX(0,AJ80-Q80))</f>
        <v/>
      </c>
      <c r="F80">
        <f>IF(F79&lt;=0,0,MAX(0,AK80-R80))</f>
        <v/>
      </c>
      <c r="G80">
        <f>IF(G79&lt;=0,0,MAX(0,AL80-S80))</f>
        <v/>
      </c>
      <c r="H80">
        <f>IF(H79&lt;=0,0,MAX(0,AM80-T80))</f>
        <v/>
      </c>
      <c r="I80">
        <f>IF(I79&lt;=0,0,MAX(0,AN80-U80))</f>
        <v/>
      </c>
      <c r="J80">
        <f>IF(J79&lt;=0,0,MAX(0,AO80-V80))</f>
        <v/>
      </c>
      <c r="K80">
        <f>IF(K79&lt;=0,0,MAX(0,AP80-W80))</f>
        <v/>
      </c>
      <c r="L80">
        <f>IF(L79&lt;=0,0,MAX(0,AQ80-X80))</f>
        <v/>
      </c>
      <c r="M80">
        <f>IF(M79&lt;=0,0,MAX(0,AR80-Y80))</f>
        <v/>
      </c>
      <c r="N80">
        <f>IF(N79&lt;=0,0,MAX(0,AS80-Z80))</f>
        <v/>
      </c>
      <c r="O80">
        <f>IF(C79&lt;=0,0,MIN(AH80,C$7+IF(C$2=$AA80,$AC80,IF(C$2=$AF80,$AG80,0))))</f>
        <v/>
      </c>
      <c r="P80">
        <f>IF(D79&lt;=0,0,MIN(AI80,D$7+IF(D$2=$AA80,$AC80,IF(D$2=$AF80,$AG80,0))))</f>
        <v/>
      </c>
      <c r="Q80">
        <f>IF(E79&lt;=0,0,MIN(AJ80,E$7+IF(E$2=$AA80,$AC80,IF(E$2=$AF80,$AG80,0))))</f>
        <v/>
      </c>
      <c r="R80">
        <f>IF(F79&lt;=0,0,MIN(AK80,F$7+IF(F$2=$AA80,$AC80,IF(F$2=$AF80,$AG80,0))))</f>
        <v/>
      </c>
      <c r="S80">
        <f>IF(G79&lt;=0,0,MIN(AL80,G$7+IF(G$2=$AA80,$AC80,IF(G$2=$AF80,$AG80,0))))</f>
        <v/>
      </c>
      <c r="T80">
        <f>IF(H79&lt;=0,0,MIN(AM80,H$7+IF(H$2=$AA80,$AC80,IF(H$2=$AF80,$AG80,0))))</f>
        <v/>
      </c>
      <c r="U80">
        <f>IF(I79&lt;=0,0,MIN(AN80,I$7+IF(I$2=$AA80,$AC80,IF(I$2=$AF80,$AG80,0))))</f>
        <v/>
      </c>
      <c r="V80">
        <f>IF(J79&lt;=0,0,MIN(AO80,J$7+IF(J$2=$AA80,$AC80,IF(J$2=$AF80,$AG80,0))))</f>
        <v/>
      </c>
      <c r="W80">
        <f>IF(K79&lt;=0,0,MIN(AP80,K$7+IF(K$2=$AA80,$AC80,IF(K$2=$AF80,$AG80,0))))</f>
        <v/>
      </c>
      <c r="X80">
        <f>IF(L79&lt;=0,0,MIN(AQ80,L$7+IF(L$2=$AA80,$AC80,IF(L$2=$AF80,$AG80,0))))</f>
        <v/>
      </c>
      <c r="Y80">
        <f>IF(M79&lt;=0,0,MIN(AR80,M$7+IF(M$2=$AA80,$AC80,IF(M$2=$AF80,$AG80,0))))</f>
        <v/>
      </c>
      <c r="Z80">
        <f>IF(N79&lt;=0,0,MIN(AS80,N$7+IF(N$2=$AA80,$AC80,IF(N$2=$AF80,$AG80,0))))</f>
        <v/>
      </c>
      <c r="AA80">
        <f>IFERROR(ROUND(1/SUMPRODUCT(MAX((C79:N79&gt;0)*($C$3:$N$3&lt;=B80)/$C$2:$N$2)),0),0)</f>
        <v/>
      </c>
      <c r="AB80">
        <f>SUMPRODUCT((C79:N79&gt;0)*$C$7:$N$7)</f>
        <v/>
      </c>
      <c r="AC80">
        <f>MAX(0,Plan!$C$5-AB80)+IF(A80=Plan!$C$8,N(Plan!$C$7),0)</f>
        <v/>
      </c>
      <c r="AD80">
        <f>SUM(C80:N80)</f>
        <v/>
      </c>
      <c r="AE80">
        <f>SUM(O80:Z80)</f>
        <v/>
      </c>
      <c r="AF80">
        <f>IFERROR(ROUND(1/SUMPRODUCT(MAX((C79:N79&gt;0)*($C$3:$N$3&lt;=B80)*($C$2:$N$2&gt;AA80)/$C$2:$N$2)),0),0)</f>
        <v/>
      </c>
      <c r="AG80">
        <f>MAX(0,AC80-MAX(0,SUMPRODUCT(($C$2:$N$2=AA80)*(AH80:AS80-$C$7:$N$7))))</f>
        <v/>
      </c>
      <c r="AH80">
        <f>IF(C79&lt;=0,0,ROUND(C79*(1+IF(AND(C$6&gt;0,$B80&lt;C$6),C$4,C$5)/12),2))</f>
        <v/>
      </c>
      <c r="AI80">
        <f>IF(D79&lt;=0,0,ROUND(D79*(1+IF(AND(D$6&gt;0,$B80&lt;D$6),D$4,D$5)/12),2))</f>
        <v/>
      </c>
      <c r="AJ80">
        <f>IF(E79&lt;=0,0,ROUND(E79*(1+IF(AND(E$6&gt;0,$B80&lt;E$6),E$4,E$5)/12),2))</f>
        <v/>
      </c>
      <c r="AK80">
        <f>IF(F79&lt;=0,0,ROUND(F79*(1+IF(AND(F$6&gt;0,$B80&lt;F$6),F$4,F$5)/12),2))</f>
        <v/>
      </c>
      <c r="AL80">
        <f>IF(G79&lt;=0,0,ROUND(G79*(1+IF(AND(G$6&gt;0,$B80&lt;G$6),G$4,G$5)/12),2))</f>
        <v/>
      </c>
      <c r="AM80">
        <f>IF(H79&lt;=0,0,ROUND(H79*(1+IF(AND(H$6&gt;0,$B80&lt;H$6),H$4,H$5)/12),2))</f>
        <v/>
      </c>
      <c r="AN80">
        <f>IF(I79&lt;=0,0,ROUND(I79*(1+IF(AND(I$6&gt;0,$B80&lt;I$6),I$4,I$5)/12),2))</f>
        <v/>
      </c>
      <c r="AO80">
        <f>IF(J79&lt;=0,0,ROUND(J79*(1+IF(AND(J$6&gt;0,$B80&lt;J$6),J$4,J$5)/12),2))</f>
        <v/>
      </c>
      <c r="AP80">
        <f>IF(K79&lt;=0,0,ROUND(K79*(1+IF(AND(K$6&gt;0,$B80&lt;K$6),K$4,K$5)/12),2))</f>
        <v/>
      </c>
      <c r="AQ80">
        <f>IF(L79&lt;=0,0,ROUND(L79*(1+IF(AND(L$6&gt;0,$B80&lt;L$6),L$4,L$5)/12),2))</f>
        <v/>
      </c>
      <c r="AR80">
        <f>IF(M79&lt;=0,0,ROUND(M79*(1+IF(AND(M$6&gt;0,$B80&lt;M$6),M$4,M$5)/12),2))</f>
        <v/>
      </c>
      <c r="AS80">
        <f>IF(N79&lt;=0,0,ROUND(N79*(1+IF(AND(N$6&gt;0,$B80&lt;N$6),N$4,N$5)/12),2))</f>
        <v/>
      </c>
    </row>
    <row r="81">
      <c r="A81" t="n">
        <v>70</v>
      </c>
      <c r="B81">
        <f>EDATE(Plan!$C$6,69)</f>
        <v/>
      </c>
      <c r="C81">
        <f>IF(C80&lt;=0,0,MAX(0,AH81-O81))</f>
        <v/>
      </c>
      <c r="D81">
        <f>IF(D80&lt;=0,0,MAX(0,AI81-P81))</f>
        <v/>
      </c>
      <c r="E81">
        <f>IF(E80&lt;=0,0,MAX(0,AJ81-Q81))</f>
        <v/>
      </c>
      <c r="F81">
        <f>IF(F80&lt;=0,0,MAX(0,AK81-R81))</f>
        <v/>
      </c>
      <c r="G81">
        <f>IF(G80&lt;=0,0,MAX(0,AL81-S81))</f>
        <v/>
      </c>
      <c r="H81">
        <f>IF(H80&lt;=0,0,MAX(0,AM81-T81))</f>
        <v/>
      </c>
      <c r="I81">
        <f>IF(I80&lt;=0,0,MAX(0,AN81-U81))</f>
        <v/>
      </c>
      <c r="J81">
        <f>IF(J80&lt;=0,0,MAX(0,AO81-V81))</f>
        <v/>
      </c>
      <c r="K81">
        <f>IF(K80&lt;=0,0,MAX(0,AP81-W81))</f>
        <v/>
      </c>
      <c r="L81">
        <f>IF(L80&lt;=0,0,MAX(0,AQ81-X81))</f>
        <v/>
      </c>
      <c r="M81">
        <f>IF(M80&lt;=0,0,MAX(0,AR81-Y81))</f>
        <v/>
      </c>
      <c r="N81">
        <f>IF(N80&lt;=0,0,MAX(0,AS81-Z81))</f>
        <v/>
      </c>
      <c r="O81">
        <f>IF(C80&lt;=0,0,MIN(AH81,C$7+IF(C$2=$AA81,$AC81,IF(C$2=$AF81,$AG81,0))))</f>
        <v/>
      </c>
      <c r="P81">
        <f>IF(D80&lt;=0,0,MIN(AI81,D$7+IF(D$2=$AA81,$AC81,IF(D$2=$AF81,$AG81,0))))</f>
        <v/>
      </c>
      <c r="Q81">
        <f>IF(E80&lt;=0,0,MIN(AJ81,E$7+IF(E$2=$AA81,$AC81,IF(E$2=$AF81,$AG81,0))))</f>
        <v/>
      </c>
      <c r="R81">
        <f>IF(F80&lt;=0,0,MIN(AK81,F$7+IF(F$2=$AA81,$AC81,IF(F$2=$AF81,$AG81,0))))</f>
        <v/>
      </c>
      <c r="S81">
        <f>IF(G80&lt;=0,0,MIN(AL81,G$7+IF(G$2=$AA81,$AC81,IF(G$2=$AF81,$AG81,0))))</f>
        <v/>
      </c>
      <c r="T81">
        <f>IF(H80&lt;=0,0,MIN(AM81,H$7+IF(H$2=$AA81,$AC81,IF(H$2=$AF81,$AG81,0))))</f>
        <v/>
      </c>
      <c r="U81">
        <f>IF(I80&lt;=0,0,MIN(AN81,I$7+IF(I$2=$AA81,$AC81,IF(I$2=$AF81,$AG81,0))))</f>
        <v/>
      </c>
      <c r="V81">
        <f>IF(J80&lt;=0,0,MIN(AO81,J$7+IF(J$2=$AA81,$AC81,IF(J$2=$AF81,$AG81,0))))</f>
        <v/>
      </c>
      <c r="W81">
        <f>IF(K80&lt;=0,0,MIN(AP81,K$7+IF(K$2=$AA81,$AC81,IF(K$2=$AF81,$AG81,0))))</f>
        <v/>
      </c>
      <c r="X81">
        <f>IF(L80&lt;=0,0,MIN(AQ81,L$7+IF(L$2=$AA81,$AC81,IF(L$2=$AF81,$AG81,0))))</f>
        <v/>
      </c>
      <c r="Y81">
        <f>IF(M80&lt;=0,0,MIN(AR81,M$7+IF(M$2=$AA81,$AC81,IF(M$2=$AF81,$AG81,0))))</f>
        <v/>
      </c>
      <c r="Z81">
        <f>IF(N80&lt;=0,0,MIN(AS81,N$7+IF(N$2=$AA81,$AC81,IF(N$2=$AF81,$AG81,0))))</f>
        <v/>
      </c>
      <c r="AA81">
        <f>IFERROR(ROUND(1/SUMPRODUCT(MAX((C80:N80&gt;0)*($C$3:$N$3&lt;=B81)/$C$2:$N$2)),0),0)</f>
        <v/>
      </c>
      <c r="AB81">
        <f>SUMPRODUCT((C80:N80&gt;0)*$C$7:$N$7)</f>
        <v/>
      </c>
      <c r="AC81">
        <f>MAX(0,Plan!$C$5-AB81)+IF(A81=Plan!$C$8,N(Plan!$C$7),0)</f>
        <v/>
      </c>
      <c r="AD81">
        <f>SUM(C81:N81)</f>
        <v/>
      </c>
      <c r="AE81">
        <f>SUM(O81:Z81)</f>
        <v/>
      </c>
      <c r="AF81">
        <f>IFERROR(ROUND(1/SUMPRODUCT(MAX((C80:N80&gt;0)*($C$3:$N$3&lt;=B81)*($C$2:$N$2&gt;AA81)/$C$2:$N$2)),0),0)</f>
        <v/>
      </c>
      <c r="AG81">
        <f>MAX(0,AC81-MAX(0,SUMPRODUCT(($C$2:$N$2=AA81)*(AH81:AS81-$C$7:$N$7))))</f>
        <v/>
      </c>
      <c r="AH81">
        <f>IF(C80&lt;=0,0,ROUND(C80*(1+IF(AND(C$6&gt;0,$B81&lt;C$6),C$4,C$5)/12),2))</f>
        <v/>
      </c>
      <c r="AI81">
        <f>IF(D80&lt;=0,0,ROUND(D80*(1+IF(AND(D$6&gt;0,$B81&lt;D$6),D$4,D$5)/12),2))</f>
        <v/>
      </c>
      <c r="AJ81">
        <f>IF(E80&lt;=0,0,ROUND(E80*(1+IF(AND(E$6&gt;0,$B81&lt;E$6),E$4,E$5)/12),2))</f>
        <v/>
      </c>
      <c r="AK81">
        <f>IF(F80&lt;=0,0,ROUND(F80*(1+IF(AND(F$6&gt;0,$B81&lt;F$6),F$4,F$5)/12),2))</f>
        <v/>
      </c>
      <c r="AL81">
        <f>IF(G80&lt;=0,0,ROUND(G80*(1+IF(AND(G$6&gt;0,$B81&lt;G$6),G$4,G$5)/12),2))</f>
        <v/>
      </c>
      <c r="AM81">
        <f>IF(H80&lt;=0,0,ROUND(H80*(1+IF(AND(H$6&gt;0,$B81&lt;H$6),H$4,H$5)/12),2))</f>
        <v/>
      </c>
      <c r="AN81">
        <f>IF(I80&lt;=0,0,ROUND(I80*(1+IF(AND(I$6&gt;0,$B81&lt;I$6),I$4,I$5)/12),2))</f>
        <v/>
      </c>
      <c r="AO81">
        <f>IF(J80&lt;=0,0,ROUND(J80*(1+IF(AND(J$6&gt;0,$B81&lt;J$6),J$4,J$5)/12),2))</f>
        <v/>
      </c>
      <c r="AP81">
        <f>IF(K80&lt;=0,0,ROUND(K80*(1+IF(AND(K$6&gt;0,$B81&lt;K$6),K$4,K$5)/12),2))</f>
        <v/>
      </c>
      <c r="AQ81">
        <f>IF(L80&lt;=0,0,ROUND(L80*(1+IF(AND(L$6&gt;0,$B81&lt;L$6),L$4,L$5)/12),2))</f>
        <v/>
      </c>
      <c r="AR81">
        <f>IF(M80&lt;=0,0,ROUND(M80*(1+IF(AND(M$6&gt;0,$B81&lt;M$6),M$4,M$5)/12),2))</f>
        <v/>
      </c>
      <c r="AS81">
        <f>IF(N80&lt;=0,0,ROUND(N80*(1+IF(AND(N$6&gt;0,$B81&lt;N$6),N$4,N$5)/12),2))</f>
        <v/>
      </c>
    </row>
    <row r="82">
      <c r="A82" t="n">
        <v>71</v>
      </c>
      <c r="B82">
        <f>EDATE(Plan!$C$6,70)</f>
        <v/>
      </c>
      <c r="C82">
        <f>IF(C81&lt;=0,0,MAX(0,AH82-O82))</f>
        <v/>
      </c>
      <c r="D82">
        <f>IF(D81&lt;=0,0,MAX(0,AI82-P82))</f>
        <v/>
      </c>
      <c r="E82">
        <f>IF(E81&lt;=0,0,MAX(0,AJ82-Q82))</f>
        <v/>
      </c>
      <c r="F82">
        <f>IF(F81&lt;=0,0,MAX(0,AK82-R82))</f>
        <v/>
      </c>
      <c r="G82">
        <f>IF(G81&lt;=0,0,MAX(0,AL82-S82))</f>
        <v/>
      </c>
      <c r="H82">
        <f>IF(H81&lt;=0,0,MAX(0,AM82-T82))</f>
        <v/>
      </c>
      <c r="I82">
        <f>IF(I81&lt;=0,0,MAX(0,AN82-U82))</f>
        <v/>
      </c>
      <c r="J82">
        <f>IF(J81&lt;=0,0,MAX(0,AO82-V82))</f>
        <v/>
      </c>
      <c r="K82">
        <f>IF(K81&lt;=0,0,MAX(0,AP82-W82))</f>
        <v/>
      </c>
      <c r="L82">
        <f>IF(L81&lt;=0,0,MAX(0,AQ82-X82))</f>
        <v/>
      </c>
      <c r="M82">
        <f>IF(M81&lt;=0,0,MAX(0,AR82-Y82))</f>
        <v/>
      </c>
      <c r="N82">
        <f>IF(N81&lt;=0,0,MAX(0,AS82-Z82))</f>
        <v/>
      </c>
      <c r="O82">
        <f>IF(C81&lt;=0,0,MIN(AH82,C$7+IF(C$2=$AA82,$AC82,IF(C$2=$AF82,$AG82,0))))</f>
        <v/>
      </c>
      <c r="P82">
        <f>IF(D81&lt;=0,0,MIN(AI82,D$7+IF(D$2=$AA82,$AC82,IF(D$2=$AF82,$AG82,0))))</f>
        <v/>
      </c>
      <c r="Q82">
        <f>IF(E81&lt;=0,0,MIN(AJ82,E$7+IF(E$2=$AA82,$AC82,IF(E$2=$AF82,$AG82,0))))</f>
        <v/>
      </c>
      <c r="R82">
        <f>IF(F81&lt;=0,0,MIN(AK82,F$7+IF(F$2=$AA82,$AC82,IF(F$2=$AF82,$AG82,0))))</f>
        <v/>
      </c>
      <c r="S82">
        <f>IF(G81&lt;=0,0,MIN(AL82,G$7+IF(G$2=$AA82,$AC82,IF(G$2=$AF82,$AG82,0))))</f>
        <v/>
      </c>
      <c r="T82">
        <f>IF(H81&lt;=0,0,MIN(AM82,H$7+IF(H$2=$AA82,$AC82,IF(H$2=$AF82,$AG82,0))))</f>
        <v/>
      </c>
      <c r="U82">
        <f>IF(I81&lt;=0,0,MIN(AN82,I$7+IF(I$2=$AA82,$AC82,IF(I$2=$AF82,$AG82,0))))</f>
        <v/>
      </c>
      <c r="V82">
        <f>IF(J81&lt;=0,0,MIN(AO82,J$7+IF(J$2=$AA82,$AC82,IF(J$2=$AF82,$AG82,0))))</f>
        <v/>
      </c>
      <c r="W82">
        <f>IF(K81&lt;=0,0,MIN(AP82,K$7+IF(K$2=$AA82,$AC82,IF(K$2=$AF82,$AG82,0))))</f>
        <v/>
      </c>
      <c r="X82">
        <f>IF(L81&lt;=0,0,MIN(AQ82,L$7+IF(L$2=$AA82,$AC82,IF(L$2=$AF82,$AG82,0))))</f>
        <v/>
      </c>
      <c r="Y82">
        <f>IF(M81&lt;=0,0,MIN(AR82,M$7+IF(M$2=$AA82,$AC82,IF(M$2=$AF82,$AG82,0))))</f>
        <v/>
      </c>
      <c r="Z82">
        <f>IF(N81&lt;=0,0,MIN(AS82,N$7+IF(N$2=$AA82,$AC82,IF(N$2=$AF82,$AG82,0))))</f>
        <v/>
      </c>
      <c r="AA82">
        <f>IFERROR(ROUND(1/SUMPRODUCT(MAX((C81:N81&gt;0)*($C$3:$N$3&lt;=B82)/$C$2:$N$2)),0),0)</f>
        <v/>
      </c>
      <c r="AB82">
        <f>SUMPRODUCT((C81:N81&gt;0)*$C$7:$N$7)</f>
        <v/>
      </c>
      <c r="AC82">
        <f>MAX(0,Plan!$C$5-AB82)+IF(A82=Plan!$C$8,N(Plan!$C$7),0)</f>
        <v/>
      </c>
      <c r="AD82">
        <f>SUM(C82:N82)</f>
        <v/>
      </c>
      <c r="AE82">
        <f>SUM(O82:Z82)</f>
        <v/>
      </c>
      <c r="AF82">
        <f>IFERROR(ROUND(1/SUMPRODUCT(MAX((C81:N81&gt;0)*($C$3:$N$3&lt;=B82)*($C$2:$N$2&gt;AA82)/$C$2:$N$2)),0),0)</f>
        <v/>
      </c>
      <c r="AG82">
        <f>MAX(0,AC82-MAX(0,SUMPRODUCT(($C$2:$N$2=AA82)*(AH82:AS82-$C$7:$N$7))))</f>
        <v/>
      </c>
      <c r="AH82">
        <f>IF(C81&lt;=0,0,ROUND(C81*(1+IF(AND(C$6&gt;0,$B82&lt;C$6),C$4,C$5)/12),2))</f>
        <v/>
      </c>
      <c r="AI82">
        <f>IF(D81&lt;=0,0,ROUND(D81*(1+IF(AND(D$6&gt;0,$B82&lt;D$6),D$4,D$5)/12),2))</f>
        <v/>
      </c>
      <c r="AJ82">
        <f>IF(E81&lt;=0,0,ROUND(E81*(1+IF(AND(E$6&gt;0,$B82&lt;E$6),E$4,E$5)/12),2))</f>
        <v/>
      </c>
      <c r="AK82">
        <f>IF(F81&lt;=0,0,ROUND(F81*(1+IF(AND(F$6&gt;0,$B82&lt;F$6),F$4,F$5)/12),2))</f>
        <v/>
      </c>
      <c r="AL82">
        <f>IF(G81&lt;=0,0,ROUND(G81*(1+IF(AND(G$6&gt;0,$B82&lt;G$6),G$4,G$5)/12),2))</f>
        <v/>
      </c>
      <c r="AM82">
        <f>IF(H81&lt;=0,0,ROUND(H81*(1+IF(AND(H$6&gt;0,$B82&lt;H$6),H$4,H$5)/12),2))</f>
        <v/>
      </c>
      <c r="AN82">
        <f>IF(I81&lt;=0,0,ROUND(I81*(1+IF(AND(I$6&gt;0,$B82&lt;I$6),I$4,I$5)/12),2))</f>
        <v/>
      </c>
      <c r="AO82">
        <f>IF(J81&lt;=0,0,ROUND(J81*(1+IF(AND(J$6&gt;0,$B82&lt;J$6),J$4,J$5)/12),2))</f>
        <v/>
      </c>
      <c r="AP82">
        <f>IF(K81&lt;=0,0,ROUND(K81*(1+IF(AND(K$6&gt;0,$B82&lt;K$6),K$4,K$5)/12),2))</f>
        <v/>
      </c>
      <c r="AQ82">
        <f>IF(L81&lt;=0,0,ROUND(L81*(1+IF(AND(L$6&gt;0,$B82&lt;L$6),L$4,L$5)/12),2))</f>
        <v/>
      </c>
      <c r="AR82">
        <f>IF(M81&lt;=0,0,ROUND(M81*(1+IF(AND(M$6&gt;0,$B82&lt;M$6),M$4,M$5)/12),2))</f>
        <v/>
      </c>
      <c r="AS82">
        <f>IF(N81&lt;=0,0,ROUND(N81*(1+IF(AND(N$6&gt;0,$B82&lt;N$6),N$4,N$5)/12),2))</f>
        <v/>
      </c>
    </row>
    <row r="83">
      <c r="A83" t="n">
        <v>72</v>
      </c>
      <c r="B83">
        <f>EDATE(Plan!$C$6,71)</f>
        <v/>
      </c>
      <c r="C83">
        <f>IF(C82&lt;=0,0,MAX(0,AH83-O83))</f>
        <v/>
      </c>
      <c r="D83">
        <f>IF(D82&lt;=0,0,MAX(0,AI83-P83))</f>
        <v/>
      </c>
      <c r="E83">
        <f>IF(E82&lt;=0,0,MAX(0,AJ83-Q83))</f>
        <v/>
      </c>
      <c r="F83">
        <f>IF(F82&lt;=0,0,MAX(0,AK83-R83))</f>
        <v/>
      </c>
      <c r="G83">
        <f>IF(G82&lt;=0,0,MAX(0,AL83-S83))</f>
        <v/>
      </c>
      <c r="H83">
        <f>IF(H82&lt;=0,0,MAX(0,AM83-T83))</f>
        <v/>
      </c>
      <c r="I83">
        <f>IF(I82&lt;=0,0,MAX(0,AN83-U83))</f>
        <v/>
      </c>
      <c r="J83">
        <f>IF(J82&lt;=0,0,MAX(0,AO83-V83))</f>
        <v/>
      </c>
      <c r="K83">
        <f>IF(K82&lt;=0,0,MAX(0,AP83-W83))</f>
        <v/>
      </c>
      <c r="L83">
        <f>IF(L82&lt;=0,0,MAX(0,AQ83-X83))</f>
        <v/>
      </c>
      <c r="M83">
        <f>IF(M82&lt;=0,0,MAX(0,AR83-Y83))</f>
        <v/>
      </c>
      <c r="N83">
        <f>IF(N82&lt;=0,0,MAX(0,AS83-Z83))</f>
        <v/>
      </c>
      <c r="O83">
        <f>IF(C82&lt;=0,0,MIN(AH83,C$7+IF(C$2=$AA83,$AC83,IF(C$2=$AF83,$AG83,0))))</f>
        <v/>
      </c>
      <c r="P83">
        <f>IF(D82&lt;=0,0,MIN(AI83,D$7+IF(D$2=$AA83,$AC83,IF(D$2=$AF83,$AG83,0))))</f>
        <v/>
      </c>
      <c r="Q83">
        <f>IF(E82&lt;=0,0,MIN(AJ83,E$7+IF(E$2=$AA83,$AC83,IF(E$2=$AF83,$AG83,0))))</f>
        <v/>
      </c>
      <c r="R83">
        <f>IF(F82&lt;=0,0,MIN(AK83,F$7+IF(F$2=$AA83,$AC83,IF(F$2=$AF83,$AG83,0))))</f>
        <v/>
      </c>
      <c r="S83">
        <f>IF(G82&lt;=0,0,MIN(AL83,G$7+IF(G$2=$AA83,$AC83,IF(G$2=$AF83,$AG83,0))))</f>
        <v/>
      </c>
      <c r="T83">
        <f>IF(H82&lt;=0,0,MIN(AM83,H$7+IF(H$2=$AA83,$AC83,IF(H$2=$AF83,$AG83,0))))</f>
        <v/>
      </c>
      <c r="U83">
        <f>IF(I82&lt;=0,0,MIN(AN83,I$7+IF(I$2=$AA83,$AC83,IF(I$2=$AF83,$AG83,0))))</f>
        <v/>
      </c>
      <c r="V83">
        <f>IF(J82&lt;=0,0,MIN(AO83,J$7+IF(J$2=$AA83,$AC83,IF(J$2=$AF83,$AG83,0))))</f>
        <v/>
      </c>
      <c r="W83">
        <f>IF(K82&lt;=0,0,MIN(AP83,K$7+IF(K$2=$AA83,$AC83,IF(K$2=$AF83,$AG83,0))))</f>
        <v/>
      </c>
      <c r="X83">
        <f>IF(L82&lt;=0,0,MIN(AQ83,L$7+IF(L$2=$AA83,$AC83,IF(L$2=$AF83,$AG83,0))))</f>
        <v/>
      </c>
      <c r="Y83">
        <f>IF(M82&lt;=0,0,MIN(AR83,M$7+IF(M$2=$AA83,$AC83,IF(M$2=$AF83,$AG83,0))))</f>
        <v/>
      </c>
      <c r="Z83">
        <f>IF(N82&lt;=0,0,MIN(AS83,N$7+IF(N$2=$AA83,$AC83,IF(N$2=$AF83,$AG83,0))))</f>
        <v/>
      </c>
      <c r="AA83">
        <f>IFERROR(ROUND(1/SUMPRODUCT(MAX((C82:N82&gt;0)*($C$3:$N$3&lt;=B83)/$C$2:$N$2)),0),0)</f>
        <v/>
      </c>
      <c r="AB83">
        <f>SUMPRODUCT((C82:N82&gt;0)*$C$7:$N$7)</f>
        <v/>
      </c>
      <c r="AC83">
        <f>MAX(0,Plan!$C$5-AB83)+IF(A83=Plan!$C$8,N(Plan!$C$7),0)</f>
        <v/>
      </c>
      <c r="AD83">
        <f>SUM(C83:N83)</f>
        <v/>
      </c>
      <c r="AE83">
        <f>SUM(O83:Z83)</f>
        <v/>
      </c>
      <c r="AF83">
        <f>IFERROR(ROUND(1/SUMPRODUCT(MAX((C82:N82&gt;0)*($C$3:$N$3&lt;=B83)*($C$2:$N$2&gt;AA83)/$C$2:$N$2)),0),0)</f>
        <v/>
      </c>
      <c r="AG83">
        <f>MAX(0,AC83-MAX(0,SUMPRODUCT(($C$2:$N$2=AA83)*(AH83:AS83-$C$7:$N$7))))</f>
        <v/>
      </c>
      <c r="AH83">
        <f>IF(C82&lt;=0,0,ROUND(C82*(1+IF(AND(C$6&gt;0,$B83&lt;C$6),C$4,C$5)/12),2))</f>
        <v/>
      </c>
      <c r="AI83">
        <f>IF(D82&lt;=0,0,ROUND(D82*(1+IF(AND(D$6&gt;0,$B83&lt;D$6),D$4,D$5)/12),2))</f>
        <v/>
      </c>
      <c r="AJ83">
        <f>IF(E82&lt;=0,0,ROUND(E82*(1+IF(AND(E$6&gt;0,$B83&lt;E$6),E$4,E$5)/12),2))</f>
        <v/>
      </c>
      <c r="AK83">
        <f>IF(F82&lt;=0,0,ROUND(F82*(1+IF(AND(F$6&gt;0,$B83&lt;F$6),F$4,F$5)/12),2))</f>
        <v/>
      </c>
      <c r="AL83">
        <f>IF(G82&lt;=0,0,ROUND(G82*(1+IF(AND(G$6&gt;0,$B83&lt;G$6),G$4,G$5)/12),2))</f>
        <v/>
      </c>
      <c r="AM83">
        <f>IF(H82&lt;=0,0,ROUND(H82*(1+IF(AND(H$6&gt;0,$B83&lt;H$6),H$4,H$5)/12),2))</f>
        <v/>
      </c>
      <c r="AN83">
        <f>IF(I82&lt;=0,0,ROUND(I82*(1+IF(AND(I$6&gt;0,$B83&lt;I$6),I$4,I$5)/12),2))</f>
        <v/>
      </c>
      <c r="AO83">
        <f>IF(J82&lt;=0,0,ROUND(J82*(1+IF(AND(J$6&gt;0,$B83&lt;J$6),J$4,J$5)/12),2))</f>
        <v/>
      </c>
      <c r="AP83">
        <f>IF(K82&lt;=0,0,ROUND(K82*(1+IF(AND(K$6&gt;0,$B83&lt;K$6),K$4,K$5)/12),2))</f>
        <v/>
      </c>
      <c r="AQ83">
        <f>IF(L82&lt;=0,0,ROUND(L82*(1+IF(AND(L$6&gt;0,$B83&lt;L$6),L$4,L$5)/12),2))</f>
        <v/>
      </c>
      <c r="AR83">
        <f>IF(M82&lt;=0,0,ROUND(M82*(1+IF(AND(M$6&gt;0,$B83&lt;M$6),M$4,M$5)/12),2))</f>
        <v/>
      </c>
      <c r="AS83">
        <f>IF(N82&lt;=0,0,ROUND(N82*(1+IF(AND(N$6&gt;0,$B83&lt;N$6),N$4,N$5)/12),2))</f>
        <v/>
      </c>
    </row>
    <row r="84">
      <c r="A84" t="n">
        <v>73</v>
      </c>
      <c r="B84">
        <f>EDATE(Plan!$C$6,72)</f>
        <v/>
      </c>
      <c r="C84">
        <f>IF(C83&lt;=0,0,MAX(0,AH84-O84))</f>
        <v/>
      </c>
      <c r="D84">
        <f>IF(D83&lt;=0,0,MAX(0,AI84-P84))</f>
        <v/>
      </c>
      <c r="E84">
        <f>IF(E83&lt;=0,0,MAX(0,AJ84-Q84))</f>
        <v/>
      </c>
      <c r="F84">
        <f>IF(F83&lt;=0,0,MAX(0,AK84-R84))</f>
        <v/>
      </c>
      <c r="G84">
        <f>IF(G83&lt;=0,0,MAX(0,AL84-S84))</f>
        <v/>
      </c>
      <c r="H84">
        <f>IF(H83&lt;=0,0,MAX(0,AM84-T84))</f>
        <v/>
      </c>
      <c r="I84">
        <f>IF(I83&lt;=0,0,MAX(0,AN84-U84))</f>
        <v/>
      </c>
      <c r="J84">
        <f>IF(J83&lt;=0,0,MAX(0,AO84-V84))</f>
        <v/>
      </c>
      <c r="K84">
        <f>IF(K83&lt;=0,0,MAX(0,AP84-W84))</f>
        <v/>
      </c>
      <c r="L84">
        <f>IF(L83&lt;=0,0,MAX(0,AQ84-X84))</f>
        <v/>
      </c>
      <c r="M84">
        <f>IF(M83&lt;=0,0,MAX(0,AR84-Y84))</f>
        <v/>
      </c>
      <c r="N84">
        <f>IF(N83&lt;=0,0,MAX(0,AS84-Z84))</f>
        <v/>
      </c>
      <c r="O84">
        <f>IF(C83&lt;=0,0,MIN(AH84,C$7+IF(C$2=$AA84,$AC84,IF(C$2=$AF84,$AG84,0))))</f>
        <v/>
      </c>
      <c r="P84">
        <f>IF(D83&lt;=0,0,MIN(AI84,D$7+IF(D$2=$AA84,$AC84,IF(D$2=$AF84,$AG84,0))))</f>
        <v/>
      </c>
      <c r="Q84">
        <f>IF(E83&lt;=0,0,MIN(AJ84,E$7+IF(E$2=$AA84,$AC84,IF(E$2=$AF84,$AG84,0))))</f>
        <v/>
      </c>
      <c r="R84">
        <f>IF(F83&lt;=0,0,MIN(AK84,F$7+IF(F$2=$AA84,$AC84,IF(F$2=$AF84,$AG84,0))))</f>
        <v/>
      </c>
      <c r="S84">
        <f>IF(G83&lt;=0,0,MIN(AL84,G$7+IF(G$2=$AA84,$AC84,IF(G$2=$AF84,$AG84,0))))</f>
        <v/>
      </c>
      <c r="T84">
        <f>IF(H83&lt;=0,0,MIN(AM84,H$7+IF(H$2=$AA84,$AC84,IF(H$2=$AF84,$AG84,0))))</f>
        <v/>
      </c>
      <c r="U84">
        <f>IF(I83&lt;=0,0,MIN(AN84,I$7+IF(I$2=$AA84,$AC84,IF(I$2=$AF84,$AG84,0))))</f>
        <v/>
      </c>
      <c r="V84">
        <f>IF(J83&lt;=0,0,MIN(AO84,J$7+IF(J$2=$AA84,$AC84,IF(J$2=$AF84,$AG84,0))))</f>
        <v/>
      </c>
      <c r="W84">
        <f>IF(K83&lt;=0,0,MIN(AP84,K$7+IF(K$2=$AA84,$AC84,IF(K$2=$AF84,$AG84,0))))</f>
        <v/>
      </c>
      <c r="X84">
        <f>IF(L83&lt;=0,0,MIN(AQ84,L$7+IF(L$2=$AA84,$AC84,IF(L$2=$AF84,$AG84,0))))</f>
        <v/>
      </c>
      <c r="Y84">
        <f>IF(M83&lt;=0,0,MIN(AR84,M$7+IF(M$2=$AA84,$AC84,IF(M$2=$AF84,$AG84,0))))</f>
        <v/>
      </c>
      <c r="Z84">
        <f>IF(N83&lt;=0,0,MIN(AS84,N$7+IF(N$2=$AA84,$AC84,IF(N$2=$AF84,$AG84,0))))</f>
        <v/>
      </c>
      <c r="AA84">
        <f>IFERROR(ROUND(1/SUMPRODUCT(MAX((C83:N83&gt;0)*($C$3:$N$3&lt;=B84)/$C$2:$N$2)),0),0)</f>
        <v/>
      </c>
      <c r="AB84">
        <f>SUMPRODUCT((C83:N83&gt;0)*$C$7:$N$7)</f>
        <v/>
      </c>
      <c r="AC84">
        <f>MAX(0,Plan!$C$5-AB84)+IF(A84=Plan!$C$8,N(Plan!$C$7),0)</f>
        <v/>
      </c>
      <c r="AD84">
        <f>SUM(C84:N84)</f>
        <v/>
      </c>
      <c r="AE84">
        <f>SUM(O84:Z84)</f>
        <v/>
      </c>
      <c r="AF84">
        <f>IFERROR(ROUND(1/SUMPRODUCT(MAX((C83:N83&gt;0)*($C$3:$N$3&lt;=B84)*($C$2:$N$2&gt;AA84)/$C$2:$N$2)),0),0)</f>
        <v/>
      </c>
      <c r="AG84">
        <f>MAX(0,AC84-MAX(0,SUMPRODUCT(($C$2:$N$2=AA84)*(AH84:AS84-$C$7:$N$7))))</f>
        <v/>
      </c>
      <c r="AH84">
        <f>IF(C83&lt;=0,0,ROUND(C83*(1+IF(AND(C$6&gt;0,$B84&lt;C$6),C$4,C$5)/12),2))</f>
        <v/>
      </c>
      <c r="AI84">
        <f>IF(D83&lt;=0,0,ROUND(D83*(1+IF(AND(D$6&gt;0,$B84&lt;D$6),D$4,D$5)/12),2))</f>
        <v/>
      </c>
      <c r="AJ84">
        <f>IF(E83&lt;=0,0,ROUND(E83*(1+IF(AND(E$6&gt;0,$B84&lt;E$6),E$4,E$5)/12),2))</f>
        <v/>
      </c>
      <c r="AK84">
        <f>IF(F83&lt;=0,0,ROUND(F83*(1+IF(AND(F$6&gt;0,$B84&lt;F$6),F$4,F$5)/12),2))</f>
        <v/>
      </c>
      <c r="AL84">
        <f>IF(G83&lt;=0,0,ROUND(G83*(1+IF(AND(G$6&gt;0,$B84&lt;G$6),G$4,G$5)/12),2))</f>
        <v/>
      </c>
      <c r="AM84">
        <f>IF(H83&lt;=0,0,ROUND(H83*(1+IF(AND(H$6&gt;0,$B84&lt;H$6),H$4,H$5)/12),2))</f>
        <v/>
      </c>
      <c r="AN84">
        <f>IF(I83&lt;=0,0,ROUND(I83*(1+IF(AND(I$6&gt;0,$B84&lt;I$6),I$4,I$5)/12),2))</f>
        <v/>
      </c>
      <c r="AO84">
        <f>IF(J83&lt;=0,0,ROUND(J83*(1+IF(AND(J$6&gt;0,$B84&lt;J$6),J$4,J$5)/12),2))</f>
        <v/>
      </c>
      <c r="AP84">
        <f>IF(K83&lt;=0,0,ROUND(K83*(1+IF(AND(K$6&gt;0,$B84&lt;K$6),K$4,K$5)/12),2))</f>
        <v/>
      </c>
      <c r="AQ84">
        <f>IF(L83&lt;=0,0,ROUND(L83*(1+IF(AND(L$6&gt;0,$B84&lt;L$6),L$4,L$5)/12),2))</f>
        <v/>
      </c>
      <c r="AR84">
        <f>IF(M83&lt;=0,0,ROUND(M83*(1+IF(AND(M$6&gt;0,$B84&lt;M$6),M$4,M$5)/12),2))</f>
        <v/>
      </c>
      <c r="AS84">
        <f>IF(N83&lt;=0,0,ROUND(N83*(1+IF(AND(N$6&gt;0,$B84&lt;N$6),N$4,N$5)/12),2))</f>
        <v/>
      </c>
    </row>
    <row r="85">
      <c r="A85" t="n">
        <v>74</v>
      </c>
      <c r="B85">
        <f>EDATE(Plan!$C$6,73)</f>
        <v/>
      </c>
      <c r="C85">
        <f>IF(C84&lt;=0,0,MAX(0,AH85-O85))</f>
        <v/>
      </c>
      <c r="D85">
        <f>IF(D84&lt;=0,0,MAX(0,AI85-P85))</f>
        <v/>
      </c>
      <c r="E85">
        <f>IF(E84&lt;=0,0,MAX(0,AJ85-Q85))</f>
        <v/>
      </c>
      <c r="F85">
        <f>IF(F84&lt;=0,0,MAX(0,AK85-R85))</f>
        <v/>
      </c>
      <c r="G85">
        <f>IF(G84&lt;=0,0,MAX(0,AL85-S85))</f>
        <v/>
      </c>
      <c r="H85">
        <f>IF(H84&lt;=0,0,MAX(0,AM85-T85))</f>
        <v/>
      </c>
      <c r="I85">
        <f>IF(I84&lt;=0,0,MAX(0,AN85-U85))</f>
        <v/>
      </c>
      <c r="J85">
        <f>IF(J84&lt;=0,0,MAX(0,AO85-V85))</f>
        <v/>
      </c>
      <c r="K85">
        <f>IF(K84&lt;=0,0,MAX(0,AP85-W85))</f>
        <v/>
      </c>
      <c r="L85">
        <f>IF(L84&lt;=0,0,MAX(0,AQ85-X85))</f>
        <v/>
      </c>
      <c r="M85">
        <f>IF(M84&lt;=0,0,MAX(0,AR85-Y85))</f>
        <v/>
      </c>
      <c r="N85">
        <f>IF(N84&lt;=0,0,MAX(0,AS85-Z85))</f>
        <v/>
      </c>
      <c r="O85">
        <f>IF(C84&lt;=0,0,MIN(AH85,C$7+IF(C$2=$AA85,$AC85,IF(C$2=$AF85,$AG85,0))))</f>
        <v/>
      </c>
      <c r="P85">
        <f>IF(D84&lt;=0,0,MIN(AI85,D$7+IF(D$2=$AA85,$AC85,IF(D$2=$AF85,$AG85,0))))</f>
        <v/>
      </c>
      <c r="Q85">
        <f>IF(E84&lt;=0,0,MIN(AJ85,E$7+IF(E$2=$AA85,$AC85,IF(E$2=$AF85,$AG85,0))))</f>
        <v/>
      </c>
      <c r="R85">
        <f>IF(F84&lt;=0,0,MIN(AK85,F$7+IF(F$2=$AA85,$AC85,IF(F$2=$AF85,$AG85,0))))</f>
        <v/>
      </c>
      <c r="S85">
        <f>IF(G84&lt;=0,0,MIN(AL85,G$7+IF(G$2=$AA85,$AC85,IF(G$2=$AF85,$AG85,0))))</f>
        <v/>
      </c>
      <c r="T85">
        <f>IF(H84&lt;=0,0,MIN(AM85,H$7+IF(H$2=$AA85,$AC85,IF(H$2=$AF85,$AG85,0))))</f>
        <v/>
      </c>
      <c r="U85">
        <f>IF(I84&lt;=0,0,MIN(AN85,I$7+IF(I$2=$AA85,$AC85,IF(I$2=$AF85,$AG85,0))))</f>
        <v/>
      </c>
      <c r="V85">
        <f>IF(J84&lt;=0,0,MIN(AO85,J$7+IF(J$2=$AA85,$AC85,IF(J$2=$AF85,$AG85,0))))</f>
        <v/>
      </c>
      <c r="W85">
        <f>IF(K84&lt;=0,0,MIN(AP85,K$7+IF(K$2=$AA85,$AC85,IF(K$2=$AF85,$AG85,0))))</f>
        <v/>
      </c>
      <c r="X85">
        <f>IF(L84&lt;=0,0,MIN(AQ85,L$7+IF(L$2=$AA85,$AC85,IF(L$2=$AF85,$AG85,0))))</f>
        <v/>
      </c>
      <c r="Y85">
        <f>IF(M84&lt;=0,0,MIN(AR85,M$7+IF(M$2=$AA85,$AC85,IF(M$2=$AF85,$AG85,0))))</f>
        <v/>
      </c>
      <c r="Z85">
        <f>IF(N84&lt;=0,0,MIN(AS85,N$7+IF(N$2=$AA85,$AC85,IF(N$2=$AF85,$AG85,0))))</f>
        <v/>
      </c>
      <c r="AA85">
        <f>IFERROR(ROUND(1/SUMPRODUCT(MAX((C84:N84&gt;0)*($C$3:$N$3&lt;=B85)/$C$2:$N$2)),0),0)</f>
        <v/>
      </c>
      <c r="AB85">
        <f>SUMPRODUCT((C84:N84&gt;0)*$C$7:$N$7)</f>
        <v/>
      </c>
      <c r="AC85">
        <f>MAX(0,Plan!$C$5-AB85)+IF(A85=Plan!$C$8,N(Plan!$C$7),0)</f>
        <v/>
      </c>
      <c r="AD85">
        <f>SUM(C85:N85)</f>
        <v/>
      </c>
      <c r="AE85">
        <f>SUM(O85:Z85)</f>
        <v/>
      </c>
      <c r="AF85">
        <f>IFERROR(ROUND(1/SUMPRODUCT(MAX((C84:N84&gt;0)*($C$3:$N$3&lt;=B85)*($C$2:$N$2&gt;AA85)/$C$2:$N$2)),0),0)</f>
        <v/>
      </c>
      <c r="AG85">
        <f>MAX(0,AC85-MAX(0,SUMPRODUCT(($C$2:$N$2=AA85)*(AH85:AS85-$C$7:$N$7))))</f>
        <v/>
      </c>
      <c r="AH85">
        <f>IF(C84&lt;=0,0,ROUND(C84*(1+IF(AND(C$6&gt;0,$B85&lt;C$6),C$4,C$5)/12),2))</f>
        <v/>
      </c>
      <c r="AI85">
        <f>IF(D84&lt;=0,0,ROUND(D84*(1+IF(AND(D$6&gt;0,$B85&lt;D$6),D$4,D$5)/12),2))</f>
        <v/>
      </c>
      <c r="AJ85">
        <f>IF(E84&lt;=0,0,ROUND(E84*(1+IF(AND(E$6&gt;0,$B85&lt;E$6),E$4,E$5)/12),2))</f>
        <v/>
      </c>
      <c r="AK85">
        <f>IF(F84&lt;=0,0,ROUND(F84*(1+IF(AND(F$6&gt;0,$B85&lt;F$6),F$4,F$5)/12),2))</f>
        <v/>
      </c>
      <c r="AL85">
        <f>IF(G84&lt;=0,0,ROUND(G84*(1+IF(AND(G$6&gt;0,$B85&lt;G$6),G$4,G$5)/12),2))</f>
        <v/>
      </c>
      <c r="AM85">
        <f>IF(H84&lt;=0,0,ROUND(H84*(1+IF(AND(H$6&gt;0,$B85&lt;H$6),H$4,H$5)/12),2))</f>
        <v/>
      </c>
      <c r="AN85">
        <f>IF(I84&lt;=0,0,ROUND(I84*(1+IF(AND(I$6&gt;0,$B85&lt;I$6),I$4,I$5)/12),2))</f>
        <v/>
      </c>
      <c r="AO85">
        <f>IF(J84&lt;=0,0,ROUND(J84*(1+IF(AND(J$6&gt;0,$B85&lt;J$6),J$4,J$5)/12),2))</f>
        <v/>
      </c>
      <c r="AP85">
        <f>IF(K84&lt;=0,0,ROUND(K84*(1+IF(AND(K$6&gt;0,$B85&lt;K$6),K$4,K$5)/12),2))</f>
        <v/>
      </c>
      <c r="AQ85">
        <f>IF(L84&lt;=0,0,ROUND(L84*(1+IF(AND(L$6&gt;0,$B85&lt;L$6),L$4,L$5)/12),2))</f>
        <v/>
      </c>
      <c r="AR85">
        <f>IF(M84&lt;=0,0,ROUND(M84*(1+IF(AND(M$6&gt;0,$B85&lt;M$6),M$4,M$5)/12),2))</f>
        <v/>
      </c>
      <c r="AS85">
        <f>IF(N84&lt;=0,0,ROUND(N84*(1+IF(AND(N$6&gt;0,$B85&lt;N$6),N$4,N$5)/12),2))</f>
        <v/>
      </c>
    </row>
    <row r="86">
      <c r="A86" t="n">
        <v>75</v>
      </c>
      <c r="B86">
        <f>EDATE(Plan!$C$6,74)</f>
        <v/>
      </c>
      <c r="C86">
        <f>IF(C85&lt;=0,0,MAX(0,AH86-O86))</f>
        <v/>
      </c>
      <c r="D86">
        <f>IF(D85&lt;=0,0,MAX(0,AI86-P86))</f>
        <v/>
      </c>
      <c r="E86">
        <f>IF(E85&lt;=0,0,MAX(0,AJ86-Q86))</f>
        <v/>
      </c>
      <c r="F86">
        <f>IF(F85&lt;=0,0,MAX(0,AK86-R86))</f>
        <v/>
      </c>
      <c r="G86">
        <f>IF(G85&lt;=0,0,MAX(0,AL86-S86))</f>
        <v/>
      </c>
      <c r="H86">
        <f>IF(H85&lt;=0,0,MAX(0,AM86-T86))</f>
        <v/>
      </c>
      <c r="I86">
        <f>IF(I85&lt;=0,0,MAX(0,AN86-U86))</f>
        <v/>
      </c>
      <c r="J86">
        <f>IF(J85&lt;=0,0,MAX(0,AO86-V86))</f>
        <v/>
      </c>
      <c r="K86">
        <f>IF(K85&lt;=0,0,MAX(0,AP86-W86))</f>
        <v/>
      </c>
      <c r="L86">
        <f>IF(L85&lt;=0,0,MAX(0,AQ86-X86))</f>
        <v/>
      </c>
      <c r="M86">
        <f>IF(M85&lt;=0,0,MAX(0,AR86-Y86))</f>
        <v/>
      </c>
      <c r="N86">
        <f>IF(N85&lt;=0,0,MAX(0,AS86-Z86))</f>
        <v/>
      </c>
      <c r="O86">
        <f>IF(C85&lt;=0,0,MIN(AH86,C$7+IF(C$2=$AA86,$AC86,IF(C$2=$AF86,$AG86,0))))</f>
        <v/>
      </c>
      <c r="P86">
        <f>IF(D85&lt;=0,0,MIN(AI86,D$7+IF(D$2=$AA86,$AC86,IF(D$2=$AF86,$AG86,0))))</f>
        <v/>
      </c>
      <c r="Q86">
        <f>IF(E85&lt;=0,0,MIN(AJ86,E$7+IF(E$2=$AA86,$AC86,IF(E$2=$AF86,$AG86,0))))</f>
        <v/>
      </c>
      <c r="R86">
        <f>IF(F85&lt;=0,0,MIN(AK86,F$7+IF(F$2=$AA86,$AC86,IF(F$2=$AF86,$AG86,0))))</f>
        <v/>
      </c>
      <c r="S86">
        <f>IF(G85&lt;=0,0,MIN(AL86,G$7+IF(G$2=$AA86,$AC86,IF(G$2=$AF86,$AG86,0))))</f>
        <v/>
      </c>
      <c r="T86">
        <f>IF(H85&lt;=0,0,MIN(AM86,H$7+IF(H$2=$AA86,$AC86,IF(H$2=$AF86,$AG86,0))))</f>
        <v/>
      </c>
      <c r="U86">
        <f>IF(I85&lt;=0,0,MIN(AN86,I$7+IF(I$2=$AA86,$AC86,IF(I$2=$AF86,$AG86,0))))</f>
        <v/>
      </c>
      <c r="V86">
        <f>IF(J85&lt;=0,0,MIN(AO86,J$7+IF(J$2=$AA86,$AC86,IF(J$2=$AF86,$AG86,0))))</f>
        <v/>
      </c>
      <c r="W86">
        <f>IF(K85&lt;=0,0,MIN(AP86,K$7+IF(K$2=$AA86,$AC86,IF(K$2=$AF86,$AG86,0))))</f>
        <v/>
      </c>
      <c r="X86">
        <f>IF(L85&lt;=0,0,MIN(AQ86,L$7+IF(L$2=$AA86,$AC86,IF(L$2=$AF86,$AG86,0))))</f>
        <v/>
      </c>
      <c r="Y86">
        <f>IF(M85&lt;=0,0,MIN(AR86,M$7+IF(M$2=$AA86,$AC86,IF(M$2=$AF86,$AG86,0))))</f>
        <v/>
      </c>
      <c r="Z86">
        <f>IF(N85&lt;=0,0,MIN(AS86,N$7+IF(N$2=$AA86,$AC86,IF(N$2=$AF86,$AG86,0))))</f>
        <v/>
      </c>
      <c r="AA86">
        <f>IFERROR(ROUND(1/SUMPRODUCT(MAX((C85:N85&gt;0)*($C$3:$N$3&lt;=B86)/$C$2:$N$2)),0),0)</f>
        <v/>
      </c>
      <c r="AB86">
        <f>SUMPRODUCT((C85:N85&gt;0)*$C$7:$N$7)</f>
        <v/>
      </c>
      <c r="AC86">
        <f>MAX(0,Plan!$C$5-AB86)+IF(A86=Plan!$C$8,N(Plan!$C$7),0)</f>
        <v/>
      </c>
      <c r="AD86">
        <f>SUM(C86:N86)</f>
        <v/>
      </c>
      <c r="AE86">
        <f>SUM(O86:Z86)</f>
        <v/>
      </c>
      <c r="AF86">
        <f>IFERROR(ROUND(1/SUMPRODUCT(MAX((C85:N85&gt;0)*($C$3:$N$3&lt;=B86)*($C$2:$N$2&gt;AA86)/$C$2:$N$2)),0),0)</f>
        <v/>
      </c>
      <c r="AG86">
        <f>MAX(0,AC86-MAX(0,SUMPRODUCT(($C$2:$N$2=AA86)*(AH86:AS86-$C$7:$N$7))))</f>
        <v/>
      </c>
      <c r="AH86">
        <f>IF(C85&lt;=0,0,ROUND(C85*(1+IF(AND(C$6&gt;0,$B86&lt;C$6),C$4,C$5)/12),2))</f>
        <v/>
      </c>
      <c r="AI86">
        <f>IF(D85&lt;=0,0,ROUND(D85*(1+IF(AND(D$6&gt;0,$B86&lt;D$6),D$4,D$5)/12),2))</f>
        <v/>
      </c>
      <c r="AJ86">
        <f>IF(E85&lt;=0,0,ROUND(E85*(1+IF(AND(E$6&gt;0,$B86&lt;E$6),E$4,E$5)/12),2))</f>
        <v/>
      </c>
      <c r="AK86">
        <f>IF(F85&lt;=0,0,ROUND(F85*(1+IF(AND(F$6&gt;0,$B86&lt;F$6),F$4,F$5)/12),2))</f>
        <v/>
      </c>
      <c r="AL86">
        <f>IF(G85&lt;=0,0,ROUND(G85*(1+IF(AND(G$6&gt;0,$B86&lt;G$6),G$4,G$5)/12),2))</f>
        <v/>
      </c>
      <c r="AM86">
        <f>IF(H85&lt;=0,0,ROUND(H85*(1+IF(AND(H$6&gt;0,$B86&lt;H$6),H$4,H$5)/12),2))</f>
        <v/>
      </c>
      <c r="AN86">
        <f>IF(I85&lt;=0,0,ROUND(I85*(1+IF(AND(I$6&gt;0,$B86&lt;I$6),I$4,I$5)/12),2))</f>
        <v/>
      </c>
      <c r="AO86">
        <f>IF(J85&lt;=0,0,ROUND(J85*(1+IF(AND(J$6&gt;0,$B86&lt;J$6),J$4,J$5)/12),2))</f>
        <v/>
      </c>
      <c r="AP86">
        <f>IF(K85&lt;=0,0,ROUND(K85*(1+IF(AND(K$6&gt;0,$B86&lt;K$6),K$4,K$5)/12),2))</f>
        <v/>
      </c>
      <c r="AQ86">
        <f>IF(L85&lt;=0,0,ROUND(L85*(1+IF(AND(L$6&gt;0,$B86&lt;L$6),L$4,L$5)/12),2))</f>
        <v/>
      </c>
      <c r="AR86">
        <f>IF(M85&lt;=0,0,ROUND(M85*(1+IF(AND(M$6&gt;0,$B86&lt;M$6),M$4,M$5)/12),2))</f>
        <v/>
      </c>
      <c r="AS86">
        <f>IF(N85&lt;=0,0,ROUND(N85*(1+IF(AND(N$6&gt;0,$B86&lt;N$6),N$4,N$5)/12),2))</f>
        <v/>
      </c>
    </row>
    <row r="87">
      <c r="A87" t="n">
        <v>76</v>
      </c>
      <c r="B87">
        <f>EDATE(Plan!$C$6,75)</f>
        <v/>
      </c>
      <c r="C87">
        <f>IF(C86&lt;=0,0,MAX(0,AH87-O87))</f>
        <v/>
      </c>
      <c r="D87">
        <f>IF(D86&lt;=0,0,MAX(0,AI87-P87))</f>
        <v/>
      </c>
      <c r="E87">
        <f>IF(E86&lt;=0,0,MAX(0,AJ87-Q87))</f>
        <v/>
      </c>
      <c r="F87">
        <f>IF(F86&lt;=0,0,MAX(0,AK87-R87))</f>
        <v/>
      </c>
      <c r="G87">
        <f>IF(G86&lt;=0,0,MAX(0,AL87-S87))</f>
        <v/>
      </c>
      <c r="H87">
        <f>IF(H86&lt;=0,0,MAX(0,AM87-T87))</f>
        <v/>
      </c>
      <c r="I87">
        <f>IF(I86&lt;=0,0,MAX(0,AN87-U87))</f>
        <v/>
      </c>
      <c r="J87">
        <f>IF(J86&lt;=0,0,MAX(0,AO87-V87))</f>
        <v/>
      </c>
      <c r="K87">
        <f>IF(K86&lt;=0,0,MAX(0,AP87-W87))</f>
        <v/>
      </c>
      <c r="L87">
        <f>IF(L86&lt;=0,0,MAX(0,AQ87-X87))</f>
        <v/>
      </c>
      <c r="M87">
        <f>IF(M86&lt;=0,0,MAX(0,AR87-Y87))</f>
        <v/>
      </c>
      <c r="N87">
        <f>IF(N86&lt;=0,0,MAX(0,AS87-Z87))</f>
        <v/>
      </c>
      <c r="O87">
        <f>IF(C86&lt;=0,0,MIN(AH87,C$7+IF(C$2=$AA87,$AC87,IF(C$2=$AF87,$AG87,0))))</f>
        <v/>
      </c>
      <c r="P87">
        <f>IF(D86&lt;=0,0,MIN(AI87,D$7+IF(D$2=$AA87,$AC87,IF(D$2=$AF87,$AG87,0))))</f>
        <v/>
      </c>
      <c r="Q87">
        <f>IF(E86&lt;=0,0,MIN(AJ87,E$7+IF(E$2=$AA87,$AC87,IF(E$2=$AF87,$AG87,0))))</f>
        <v/>
      </c>
      <c r="R87">
        <f>IF(F86&lt;=0,0,MIN(AK87,F$7+IF(F$2=$AA87,$AC87,IF(F$2=$AF87,$AG87,0))))</f>
        <v/>
      </c>
      <c r="S87">
        <f>IF(G86&lt;=0,0,MIN(AL87,G$7+IF(G$2=$AA87,$AC87,IF(G$2=$AF87,$AG87,0))))</f>
        <v/>
      </c>
      <c r="T87">
        <f>IF(H86&lt;=0,0,MIN(AM87,H$7+IF(H$2=$AA87,$AC87,IF(H$2=$AF87,$AG87,0))))</f>
        <v/>
      </c>
      <c r="U87">
        <f>IF(I86&lt;=0,0,MIN(AN87,I$7+IF(I$2=$AA87,$AC87,IF(I$2=$AF87,$AG87,0))))</f>
        <v/>
      </c>
      <c r="V87">
        <f>IF(J86&lt;=0,0,MIN(AO87,J$7+IF(J$2=$AA87,$AC87,IF(J$2=$AF87,$AG87,0))))</f>
        <v/>
      </c>
      <c r="W87">
        <f>IF(K86&lt;=0,0,MIN(AP87,K$7+IF(K$2=$AA87,$AC87,IF(K$2=$AF87,$AG87,0))))</f>
        <v/>
      </c>
      <c r="X87">
        <f>IF(L86&lt;=0,0,MIN(AQ87,L$7+IF(L$2=$AA87,$AC87,IF(L$2=$AF87,$AG87,0))))</f>
        <v/>
      </c>
      <c r="Y87">
        <f>IF(M86&lt;=0,0,MIN(AR87,M$7+IF(M$2=$AA87,$AC87,IF(M$2=$AF87,$AG87,0))))</f>
        <v/>
      </c>
      <c r="Z87">
        <f>IF(N86&lt;=0,0,MIN(AS87,N$7+IF(N$2=$AA87,$AC87,IF(N$2=$AF87,$AG87,0))))</f>
        <v/>
      </c>
      <c r="AA87">
        <f>IFERROR(ROUND(1/SUMPRODUCT(MAX((C86:N86&gt;0)*($C$3:$N$3&lt;=B87)/$C$2:$N$2)),0),0)</f>
        <v/>
      </c>
      <c r="AB87">
        <f>SUMPRODUCT((C86:N86&gt;0)*$C$7:$N$7)</f>
        <v/>
      </c>
      <c r="AC87">
        <f>MAX(0,Plan!$C$5-AB87)+IF(A87=Plan!$C$8,N(Plan!$C$7),0)</f>
        <v/>
      </c>
      <c r="AD87">
        <f>SUM(C87:N87)</f>
        <v/>
      </c>
      <c r="AE87">
        <f>SUM(O87:Z87)</f>
        <v/>
      </c>
      <c r="AF87">
        <f>IFERROR(ROUND(1/SUMPRODUCT(MAX((C86:N86&gt;0)*($C$3:$N$3&lt;=B87)*($C$2:$N$2&gt;AA87)/$C$2:$N$2)),0),0)</f>
        <v/>
      </c>
      <c r="AG87">
        <f>MAX(0,AC87-MAX(0,SUMPRODUCT(($C$2:$N$2=AA87)*(AH87:AS87-$C$7:$N$7))))</f>
        <v/>
      </c>
      <c r="AH87">
        <f>IF(C86&lt;=0,0,ROUND(C86*(1+IF(AND(C$6&gt;0,$B87&lt;C$6),C$4,C$5)/12),2))</f>
        <v/>
      </c>
      <c r="AI87">
        <f>IF(D86&lt;=0,0,ROUND(D86*(1+IF(AND(D$6&gt;0,$B87&lt;D$6),D$4,D$5)/12),2))</f>
        <v/>
      </c>
      <c r="AJ87">
        <f>IF(E86&lt;=0,0,ROUND(E86*(1+IF(AND(E$6&gt;0,$B87&lt;E$6),E$4,E$5)/12),2))</f>
        <v/>
      </c>
      <c r="AK87">
        <f>IF(F86&lt;=0,0,ROUND(F86*(1+IF(AND(F$6&gt;0,$B87&lt;F$6),F$4,F$5)/12),2))</f>
        <v/>
      </c>
      <c r="AL87">
        <f>IF(G86&lt;=0,0,ROUND(G86*(1+IF(AND(G$6&gt;0,$B87&lt;G$6),G$4,G$5)/12),2))</f>
        <v/>
      </c>
      <c r="AM87">
        <f>IF(H86&lt;=0,0,ROUND(H86*(1+IF(AND(H$6&gt;0,$B87&lt;H$6),H$4,H$5)/12),2))</f>
        <v/>
      </c>
      <c r="AN87">
        <f>IF(I86&lt;=0,0,ROUND(I86*(1+IF(AND(I$6&gt;0,$B87&lt;I$6),I$4,I$5)/12),2))</f>
        <v/>
      </c>
      <c r="AO87">
        <f>IF(J86&lt;=0,0,ROUND(J86*(1+IF(AND(J$6&gt;0,$B87&lt;J$6),J$4,J$5)/12),2))</f>
        <v/>
      </c>
      <c r="AP87">
        <f>IF(K86&lt;=0,0,ROUND(K86*(1+IF(AND(K$6&gt;0,$B87&lt;K$6),K$4,K$5)/12),2))</f>
        <v/>
      </c>
      <c r="AQ87">
        <f>IF(L86&lt;=0,0,ROUND(L86*(1+IF(AND(L$6&gt;0,$B87&lt;L$6),L$4,L$5)/12),2))</f>
        <v/>
      </c>
      <c r="AR87">
        <f>IF(M86&lt;=0,0,ROUND(M86*(1+IF(AND(M$6&gt;0,$B87&lt;M$6),M$4,M$5)/12),2))</f>
        <v/>
      </c>
      <c r="AS87">
        <f>IF(N86&lt;=0,0,ROUND(N86*(1+IF(AND(N$6&gt;0,$B87&lt;N$6),N$4,N$5)/12),2))</f>
        <v/>
      </c>
    </row>
    <row r="88">
      <c r="A88" t="n">
        <v>77</v>
      </c>
      <c r="B88">
        <f>EDATE(Plan!$C$6,76)</f>
        <v/>
      </c>
      <c r="C88">
        <f>IF(C87&lt;=0,0,MAX(0,AH88-O88))</f>
        <v/>
      </c>
      <c r="D88">
        <f>IF(D87&lt;=0,0,MAX(0,AI88-P88))</f>
        <v/>
      </c>
      <c r="E88">
        <f>IF(E87&lt;=0,0,MAX(0,AJ88-Q88))</f>
        <v/>
      </c>
      <c r="F88">
        <f>IF(F87&lt;=0,0,MAX(0,AK88-R88))</f>
        <v/>
      </c>
      <c r="G88">
        <f>IF(G87&lt;=0,0,MAX(0,AL88-S88))</f>
        <v/>
      </c>
      <c r="H88">
        <f>IF(H87&lt;=0,0,MAX(0,AM88-T88))</f>
        <v/>
      </c>
      <c r="I88">
        <f>IF(I87&lt;=0,0,MAX(0,AN88-U88))</f>
        <v/>
      </c>
      <c r="J88">
        <f>IF(J87&lt;=0,0,MAX(0,AO88-V88))</f>
        <v/>
      </c>
      <c r="K88">
        <f>IF(K87&lt;=0,0,MAX(0,AP88-W88))</f>
        <v/>
      </c>
      <c r="L88">
        <f>IF(L87&lt;=0,0,MAX(0,AQ88-X88))</f>
        <v/>
      </c>
      <c r="M88">
        <f>IF(M87&lt;=0,0,MAX(0,AR88-Y88))</f>
        <v/>
      </c>
      <c r="N88">
        <f>IF(N87&lt;=0,0,MAX(0,AS88-Z88))</f>
        <v/>
      </c>
      <c r="O88">
        <f>IF(C87&lt;=0,0,MIN(AH88,C$7+IF(C$2=$AA88,$AC88,IF(C$2=$AF88,$AG88,0))))</f>
        <v/>
      </c>
      <c r="P88">
        <f>IF(D87&lt;=0,0,MIN(AI88,D$7+IF(D$2=$AA88,$AC88,IF(D$2=$AF88,$AG88,0))))</f>
        <v/>
      </c>
      <c r="Q88">
        <f>IF(E87&lt;=0,0,MIN(AJ88,E$7+IF(E$2=$AA88,$AC88,IF(E$2=$AF88,$AG88,0))))</f>
        <v/>
      </c>
      <c r="R88">
        <f>IF(F87&lt;=0,0,MIN(AK88,F$7+IF(F$2=$AA88,$AC88,IF(F$2=$AF88,$AG88,0))))</f>
        <v/>
      </c>
      <c r="S88">
        <f>IF(G87&lt;=0,0,MIN(AL88,G$7+IF(G$2=$AA88,$AC88,IF(G$2=$AF88,$AG88,0))))</f>
        <v/>
      </c>
      <c r="T88">
        <f>IF(H87&lt;=0,0,MIN(AM88,H$7+IF(H$2=$AA88,$AC88,IF(H$2=$AF88,$AG88,0))))</f>
        <v/>
      </c>
      <c r="U88">
        <f>IF(I87&lt;=0,0,MIN(AN88,I$7+IF(I$2=$AA88,$AC88,IF(I$2=$AF88,$AG88,0))))</f>
        <v/>
      </c>
      <c r="V88">
        <f>IF(J87&lt;=0,0,MIN(AO88,J$7+IF(J$2=$AA88,$AC88,IF(J$2=$AF88,$AG88,0))))</f>
        <v/>
      </c>
      <c r="W88">
        <f>IF(K87&lt;=0,0,MIN(AP88,K$7+IF(K$2=$AA88,$AC88,IF(K$2=$AF88,$AG88,0))))</f>
        <v/>
      </c>
      <c r="X88">
        <f>IF(L87&lt;=0,0,MIN(AQ88,L$7+IF(L$2=$AA88,$AC88,IF(L$2=$AF88,$AG88,0))))</f>
        <v/>
      </c>
      <c r="Y88">
        <f>IF(M87&lt;=0,0,MIN(AR88,M$7+IF(M$2=$AA88,$AC88,IF(M$2=$AF88,$AG88,0))))</f>
        <v/>
      </c>
      <c r="Z88">
        <f>IF(N87&lt;=0,0,MIN(AS88,N$7+IF(N$2=$AA88,$AC88,IF(N$2=$AF88,$AG88,0))))</f>
        <v/>
      </c>
      <c r="AA88">
        <f>IFERROR(ROUND(1/SUMPRODUCT(MAX((C87:N87&gt;0)*($C$3:$N$3&lt;=B88)/$C$2:$N$2)),0),0)</f>
        <v/>
      </c>
      <c r="AB88">
        <f>SUMPRODUCT((C87:N87&gt;0)*$C$7:$N$7)</f>
        <v/>
      </c>
      <c r="AC88">
        <f>MAX(0,Plan!$C$5-AB88)+IF(A88=Plan!$C$8,N(Plan!$C$7),0)</f>
        <v/>
      </c>
      <c r="AD88">
        <f>SUM(C88:N88)</f>
        <v/>
      </c>
      <c r="AE88">
        <f>SUM(O88:Z88)</f>
        <v/>
      </c>
      <c r="AF88">
        <f>IFERROR(ROUND(1/SUMPRODUCT(MAX((C87:N87&gt;0)*($C$3:$N$3&lt;=B88)*($C$2:$N$2&gt;AA88)/$C$2:$N$2)),0),0)</f>
        <v/>
      </c>
      <c r="AG88">
        <f>MAX(0,AC88-MAX(0,SUMPRODUCT(($C$2:$N$2=AA88)*(AH88:AS88-$C$7:$N$7))))</f>
        <v/>
      </c>
      <c r="AH88">
        <f>IF(C87&lt;=0,0,ROUND(C87*(1+IF(AND(C$6&gt;0,$B88&lt;C$6),C$4,C$5)/12),2))</f>
        <v/>
      </c>
      <c r="AI88">
        <f>IF(D87&lt;=0,0,ROUND(D87*(1+IF(AND(D$6&gt;0,$B88&lt;D$6),D$4,D$5)/12),2))</f>
        <v/>
      </c>
      <c r="AJ88">
        <f>IF(E87&lt;=0,0,ROUND(E87*(1+IF(AND(E$6&gt;0,$B88&lt;E$6),E$4,E$5)/12),2))</f>
        <v/>
      </c>
      <c r="AK88">
        <f>IF(F87&lt;=0,0,ROUND(F87*(1+IF(AND(F$6&gt;0,$B88&lt;F$6),F$4,F$5)/12),2))</f>
        <v/>
      </c>
      <c r="AL88">
        <f>IF(G87&lt;=0,0,ROUND(G87*(1+IF(AND(G$6&gt;0,$B88&lt;G$6),G$4,G$5)/12),2))</f>
        <v/>
      </c>
      <c r="AM88">
        <f>IF(H87&lt;=0,0,ROUND(H87*(1+IF(AND(H$6&gt;0,$B88&lt;H$6),H$4,H$5)/12),2))</f>
        <v/>
      </c>
      <c r="AN88">
        <f>IF(I87&lt;=0,0,ROUND(I87*(1+IF(AND(I$6&gt;0,$B88&lt;I$6),I$4,I$5)/12),2))</f>
        <v/>
      </c>
      <c r="AO88">
        <f>IF(J87&lt;=0,0,ROUND(J87*(1+IF(AND(J$6&gt;0,$B88&lt;J$6),J$4,J$5)/12),2))</f>
        <v/>
      </c>
      <c r="AP88">
        <f>IF(K87&lt;=0,0,ROUND(K87*(1+IF(AND(K$6&gt;0,$B88&lt;K$6),K$4,K$5)/12),2))</f>
        <v/>
      </c>
      <c r="AQ88">
        <f>IF(L87&lt;=0,0,ROUND(L87*(1+IF(AND(L$6&gt;0,$B88&lt;L$6),L$4,L$5)/12),2))</f>
        <v/>
      </c>
      <c r="AR88">
        <f>IF(M87&lt;=0,0,ROUND(M87*(1+IF(AND(M$6&gt;0,$B88&lt;M$6),M$4,M$5)/12),2))</f>
        <v/>
      </c>
      <c r="AS88">
        <f>IF(N87&lt;=0,0,ROUND(N87*(1+IF(AND(N$6&gt;0,$B88&lt;N$6),N$4,N$5)/12),2))</f>
        <v/>
      </c>
    </row>
    <row r="89">
      <c r="A89" t="n">
        <v>78</v>
      </c>
      <c r="B89">
        <f>EDATE(Plan!$C$6,77)</f>
        <v/>
      </c>
      <c r="C89">
        <f>IF(C88&lt;=0,0,MAX(0,AH89-O89))</f>
        <v/>
      </c>
      <c r="D89">
        <f>IF(D88&lt;=0,0,MAX(0,AI89-P89))</f>
        <v/>
      </c>
      <c r="E89">
        <f>IF(E88&lt;=0,0,MAX(0,AJ89-Q89))</f>
        <v/>
      </c>
      <c r="F89">
        <f>IF(F88&lt;=0,0,MAX(0,AK89-R89))</f>
        <v/>
      </c>
      <c r="G89">
        <f>IF(G88&lt;=0,0,MAX(0,AL89-S89))</f>
        <v/>
      </c>
      <c r="H89">
        <f>IF(H88&lt;=0,0,MAX(0,AM89-T89))</f>
        <v/>
      </c>
      <c r="I89">
        <f>IF(I88&lt;=0,0,MAX(0,AN89-U89))</f>
        <v/>
      </c>
      <c r="J89">
        <f>IF(J88&lt;=0,0,MAX(0,AO89-V89))</f>
        <v/>
      </c>
      <c r="K89">
        <f>IF(K88&lt;=0,0,MAX(0,AP89-W89))</f>
        <v/>
      </c>
      <c r="L89">
        <f>IF(L88&lt;=0,0,MAX(0,AQ89-X89))</f>
        <v/>
      </c>
      <c r="M89">
        <f>IF(M88&lt;=0,0,MAX(0,AR89-Y89))</f>
        <v/>
      </c>
      <c r="N89">
        <f>IF(N88&lt;=0,0,MAX(0,AS89-Z89))</f>
        <v/>
      </c>
      <c r="O89">
        <f>IF(C88&lt;=0,0,MIN(AH89,C$7+IF(C$2=$AA89,$AC89,IF(C$2=$AF89,$AG89,0))))</f>
        <v/>
      </c>
      <c r="P89">
        <f>IF(D88&lt;=0,0,MIN(AI89,D$7+IF(D$2=$AA89,$AC89,IF(D$2=$AF89,$AG89,0))))</f>
        <v/>
      </c>
      <c r="Q89">
        <f>IF(E88&lt;=0,0,MIN(AJ89,E$7+IF(E$2=$AA89,$AC89,IF(E$2=$AF89,$AG89,0))))</f>
        <v/>
      </c>
      <c r="R89">
        <f>IF(F88&lt;=0,0,MIN(AK89,F$7+IF(F$2=$AA89,$AC89,IF(F$2=$AF89,$AG89,0))))</f>
        <v/>
      </c>
      <c r="S89">
        <f>IF(G88&lt;=0,0,MIN(AL89,G$7+IF(G$2=$AA89,$AC89,IF(G$2=$AF89,$AG89,0))))</f>
        <v/>
      </c>
      <c r="T89">
        <f>IF(H88&lt;=0,0,MIN(AM89,H$7+IF(H$2=$AA89,$AC89,IF(H$2=$AF89,$AG89,0))))</f>
        <v/>
      </c>
      <c r="U89">
        <f>IF(I88&lt;=0,0,MIN(AN89,I$7+IF(I$2=$AA89,$AC89,IF(I$2=$AF89,$AG89,0))))</f>
        <v/>
      </c>
      <c r="V89">
        <f>IF(J88&lt;=0,0,MIN(AO89,J$7+IF(J$2=$AA89,$AC89,IF(J$2=$AF89,$AG89,0))))</f>
        <v/>
      </c>
      <c r="W89">
        <f>IF(K88&lt;=0,0,MIN(AP89,K$7+IF(K$2=$AA89,$AC89,IF(K$2=$AF89,$AG89,0))))</f>
        <v/>
      </c>
      <c r="X89">
        <f>IF(L88&lt;=0,0,MIN(AQ89,L$7+IF(L$2=$AA89,$AC89,IF(L$2=$AF89,$AG89,0))))</f>
        <v/>
      </c>
      <c r="Y89">
        <f>IF(M88&lt;=0,0,MIN(AR89,M$7+IF(M$2=$AA89,$AC89,IF(M$2=$AF89,$AG89,0))))</f>
        <v/>
      </c>
      <c r="Z89">
        <f>IF(N88&lt;=0,0,MIN(AS89,N$7+IF(N$2=$AA89,$AC89,IF(N$2=$AF89,$AG89,0))))</f>
        <v/>
      </c>
      <c r="AA89">
        <f>IFERROR(ROUND(1/SUMPRODUCT(MAX((C88:N88&gt;0)*($C$3:$N$3&lt;=B89)/$C$2:$N$2)),0),0)</f>
        <v/>
      </c>
      <c r="AB89">
        <f>SUMPRODUCT((C88:N88&gt;0)*$C$7:$N$7)</f>
        <v/>
      </c>
      <c r="AC89">
        <f>MAX(0,Plan!$C$5-AB89)+IF(A89=Plan!$C$8,N(Plan!$C$7),0)</f>
        <v/>
      </c>
      <c r="AD89">
        <f>SUM(C89:N89)</f>
        <v/>
      </c>
      <c r="AE89">
        <f>SUM(O89:Z89)</f>
        <v/>
      </c>
      <c r="AF89">
        <f>IFERROR(ROUND(1/SUMPRODUCT(MAX((C88:N88&gt;0)*($C$3:$N$3&lt;=B89)*($C$2:$N$2&gt;AA89)/$C$2:$N$2)),0),0)</f>
        <v/>
      </c>
      <c r="AG89">
        <f>MAX(0,AC89-MAX(0,SUMPRODUCT(($C$2:$N$2=AA89)*(AH89:AS89-$C$7:$N$7))))</f>
        <v/>
      </c>
      <c r="AH89">
        <f>IF(C88&lt;=0,0,ROUND(C88*(1+IF(AND(C$6&gt;0,$B89&lt;C$6),C$4,C$5)/12),2))</f>
        <v/>
      </c>
      <c r="AI89">
        <f>IF(D88&lt;=0,0,ROUND(D88*(1+IF(AND(D$6&gt;0,$B89&lt;D$6),D$4,D$5)/12),2))</f>
        <v/>
      </c>
      <c r="AJ89">
        <f>IF(E88&lt;=0,0,ROUND(E88*(1+IF(AND(E$6&gt;0,$B89&lt;E$6),E$4,E$5)/12),2))</f>
        <v/>
      </c>
      <c r="AK89">
        <f>IF(F88&lt;=0,0,ROUND(F88*(1+IF(AND(F$6&gt;0,$B89&lt;F$6),F$4,F$5)/12),2))</f>
        <v/>
      </c>
      <c r="AL89">
        <f>IF(G88&lt;=0,0,ROUND(G88*(1+IF(AND(G$6&gt;0,$B89&lt;G$6),G$4,G$5)/12),2))</f>
        <v/>
      </c>
      <c r="AM89">
        <f>IF(H88&lt;=0,0,ROUND(H88*(1+IF(AND(H$6&gt;0,$B89&lt;H$6),H$4,H$5)/12),2))</f>
        <v/>
      </c>
      <c r="AN89">
        <f>IF(I88&lt;=0,0,ROUND(I88*(1+IF(AND(I$6&gt;0,$B89&lt;I$6),I$4,I$5)/12),2))</f>
        <v/>
      </c>
      <c r="AO89">
        <f>IF(J88&lt;=0,0,ROUND(J88*(1+IF(AND(J$6&gt;0,$B89&lt;J$6),J$4,J$5)/12),2))</f>
        <v/>
      </c>
      <c r="AP89">
        <f>IF(K88&lt;=0,0,ROUND(K88*(1+IF(AND(K$6&gt;0,$B89&lt;K$6),K$4,K$5)/12),2))</f>
        <v/>
      </c>
      <c r="AQ89">
        <f>IF(L88&lt;=0,0,ROUND(L88*(1+IF(AND(L$6&gt;0,$B89&lt;L$6),L$4,L$5)/12),2))</f>
        <v/>
      </c>
      <c r="AR89">
        <f>IF(M88&lt;=0,0,ROUND(M88*(1+IF(AND(M$6&gt;0,$B89&lt;M$6),M$4,M$5)/12),2))</f>
        <v/>
      </c>
      <c r="AS89">
        <f>IF(N88&lt;=0,0,ROUND(N88*(1+IF(AND(N$6&gt;0,$B89&lt;N$6),N$4,N$5)/12),2))</f>
        <v/>
      </c>
    </row>
    <row r="90">
      <c r="A90" t="n">
        <v>79</v>
      </c>
      <c r="B90">
        <f>EDATE(Plan!$C$6,78)</f>
        <v/>
      </c>
      <c r="C90">
        <f>IF(C89&lt;=0,0,MAX(0,AH90-O90))</f>
        <v/>
      </c>
      <c r="D90">
        <f>IF(D89&lt;=0,0,MAX(0,AI90-P90))</f>
        <v/>
      </c>
      <c r="E90">
        <f>IF(E89&lt;=0,0,MAX(0,AJ90-Q90))</f>
        <v/>
      </c>
      <c r="F90">
        <f>IF(F89&lt;=0,0,MAX(0,AK90-R90))</f>
        <v/>
      </c>
      <c r="G90">
        <f>IF(G89&lt;=0,0,MAX(0,AL90-S90))</f>
        <v/>
      </c>
      <c r="H90">
        <f>IF(H89&lt;=0,0,MAX(0,AM90-T90))</f>
        <v/>
      </c>
      <c r="I90">
        <f>IF(I89&lt;=0,0,MAX(0,AN90-U90))</f>
        <v/>
      </c>
      <c r="J90">
        <f>IF(J89&lt;=0,0,MAX(0,AO90-V90))</f>
        <v/>
      </c>
      <c r="K90">
        <f>IF(K89&lt;=0,0,MAX(0,AP90-W90))</f>
        <v/>
      </c>
      <c r="L90">
        <f>IF(L89&lt;=0,0,MAX(0,AQ90-X90))</f>
        <v/>
      </c>
      <c r="M90">
        <f>IF(M89&lt;=0,0,MAX(0,AR90-Y90))</f>
        <v/>
      </c>
      <c r="N90">
        <f>IF(N89&lt;=0,0,MAX(0,AS90-Z90))</f>
        <v/>
      </c>
      <c r="O90">
        <f>IF(C89&lt;=0,0,MIN(AH90,C$7+IF(C$2=$AA90,$AC90,IF(C$2=$AF90,$AG90,0))))</f>
        <v/>
      </c>
      <c r="P90">
        <f>IF(D89&lt;=0,0,MIN(AI90,D$7+IF(D$2=$AA90,$AC90,IF(D$2=$AF90,$AG90,0))))</f>
        <v/>
      </c>
      <c r="Q90">
        <f>IF(E89&lt;=0,0,MIN(AJ90,E$7+IF(E$2=$AA90,$AC90,IF(E$2=$AF90,$AG90,0))))</f>
        <v/>
      </c>
      <c r="R90">
        <f>IF(F89&lt;=0,0,MIN(AK90,F$7+IF(F$2=$AA90,$AC90,IF(F$2=$AF90,$AG90,0))))</f>
        <v/>
      </c>
      <c r="S90">
        <f>IF(G89&lt;=0,0,MIN(AL90,G$7+IF(G$2=$AA90,$AC90,IF(G$2=$AF90,$AG90,0))))</f>
        <v/>
      </c>
      <c r="T90">
        <f>IF(H89&lt;=0,0,MIN(AM90,H$7+IF(H$2=$AA90,$AC90,IF(H$2=$AF90,$AG90,0))))</f>
        <v/>
      </c>
      <c r="U90">
        <f>IF(I89&lt;=0,0,MIN(AN90,I$7+IF(I$2=$AA90,$AC90,IF(I$2=$AF90,$AG90,0))))</f>
        <v/>
      </c>
      <c r="V90">
        <f>IF(J89&lt;=0,0,MIN(AO90,J$7+IF(J$2=$AA90,$AC90,IF(J$2=$AF90,$AG90,0))))</f>
        <v/>
      </c>
      <c r="W90">
        <f>IF(K89&lt;=0,0,MIN(AP90,K$7+IF(K$2=$AA90,$AC90,IF(K$2=$AF90,$AG90,0))))</f>
        <v/>
      </c>
      <c r="X90">
        <f>IF(L89&lt;=0,0,MIN(AQ90,L$7+IF(L$2=$AA90,$AC90,IF(L$2=$AF90,$AG90,0))))</f>
        <v/>
      </c>
      <c r="Y90">
        <f>IF(M89&lt;=0,0,MIN(AR90,M$7+IF(M$2=$AA90,$AC90,IF(M$2=$AF90,$AG90,0))))</f>
        <v/>
      </c>
      <c r="Z90">
        <f>IF(N89&lt;=0,0,MIN(AS90,N$7+IF(N$2=$AA90,$AC90,IF(N$2=$AF90,$AG90,0))))</f>
        <v/>
      </c>
      <c r="AA90">
        <f>IFERROR(ROUND(1/SUMPRODUCT(MAX((C89:N89&gt;0)*($C$3:$N$3&lt;=B90)/$C$2:$N$2)),0),0)</f>
        <v/>
      </c>
      <c r="AB90">
        <f>SUMPRODUCT((C89:N89&gt;0)*$C$7:$N$7)</f>
        <v/>
      </c>
      <c r="AC90">
        <f>MAX(0,Plan!$C$5-AB90)+IF(A90=Plan!$C$8,N(Plan!$C$7),0)</f>
        <v/>
      </c>
      <c r="AD90">
        <f>SUM(C90:N90)</f>
        <v/>
      </c>
      <c r="AE90">
        <f>SUM(O90:Z90)</f>
        <v/>
      </c>
      <c r="AF90">
        <f>IFERROR(ROUND(1/SUMPRODUCT(MAX((C89:N89&gt;0)*($C$3:$N$3&lt;=B90)*($C$2:$N$2&gt;AA90)/$C$2:$N$2)),0),0)</f>
        <v/>
      </c>
      <c r="AG90">
        <f>MAX(0,AC90-MAX(0,SUMPRODUCT(($C$2:$N$2=AA90)*(AH90:AS90-$C$7:$N$7))))</f>
        <v/>
      </c>
      <c r="AH90">
        <f>IF(C89&lt;=0,0,ROUND(C89*(1+IF(AND(C$6&gt;0,$B90&lt;C$6),C$4,C$5)/12),2))</f>
        <v/>
      </c>
      <c r="AI90">
        <f>IF(D89&lt;=0,0,ROUND(D89*(1+IF(AND(D$6&gt;0,$B90&lt;D$6),D$4,D$5)/12),2))</f>
        <v/>
      </c>
      <c r="AJ90">
        <f>IF(E89&lt;=0,0,ROUND(E89*(1+IF(AND(E$6&gt;0,$B90&lt;E$6),E$4,E$5)/12),2))</f>
        <v/>
      </c>
      <c r="AK90">
        <f>IF(F89&lt;=0,0,ROUND(F89*(1+IF(AND(F$6&gt;0,$B90&lt;F$6),F$4,F$5)/12),2))</f>
        <v/>
      </c>
      <c r="AL90">
        <f>IF(G89&lt;=0,0,ROUND(G89*(1+IF(AND(G$6&gt;0,$B90&lt;G$6),G$4,G$5)/12),2))</f>
        <v/>
      </c>
      <c r="AM90">
        <f>IF(H89&lt;=0,0,ROUND(H89*(1+IF(AND(H$6&gt;0,$B90&lt;H$6),H$4,H$5)/12),2))</f>
        <v/>
      </c>
      <c r="AN90">
        <f>IF(I89&lt;=0,0,ROUND(I89*(1+IF(AND(I$6&gt;0,$B90&lt;I$6),I$4,I$5)/12),2))</f>
        <v/>
      </c>
      <c r="AO90">
        <f>IF(J89&lt;=0,0,ROUND(J89*(1+IF(AND(J$6&gt;0,$B90&lt;J$6),J$4,J$5)/12),2))</f>
        <v/>
      </c>
      <c r="AP90">
        <f>IF(K89&lt;=0,0,ROUND(K89*(1+IF(AND(K$6&gt;0,$B90&lt;K$6),K$4,K$5)/12),2))</f>
        <v/>
      </c>
      <c r="AQ90">
        <f>IF(L89&lt;=0,0,ROUND(L89*(1+IF(AND(L$6&gt;0,$B90&lt;L$6),L$4,L$5)/12),2))</f>
        <v/>
      </c>
      <c r="AR90">
        <f>IF(M89&lt;=0,0,ROUND(M89*(1+IF(AND(M$6&gt;0,$B90&lt;M$6),M$4,M$5)/12),2))</f>
        <v/>
      </c>
      <c r="AS90">
        <f>IF(N89&lt;=0,0,ROUND(N89*(1+IF(AND(N$6&gt;0,$B90&lt;N$6),N$4,N$5)/12),2))</f>
        <v/>
      </c>
    </row>
    <row r="91">
      <c r="A91" t="n">
        <v>80</v>
      </c>
      <c r="B91">
        <f>EDATE(Plan!$C$6,79)</f>
        <v/>
      </c>
      <c r="C91">
        <f>IF(C90&lt;=0,0,MAX(0,AH91-O91))</f>
        <v/>
      </c>
      <c r="D91">
        <f>IF(D90&lt;=0,0,MAX(0,AI91-P91))</f>
        <v/>
      </c>
      <c r="E91">
        <f>IF(E90&lt;=0,0,MAX(0,AJ91-Q91))</f>
        <v/>
      </c>
      <c r="F91">
        <f>IF(F90&lt;=0,0,MAX(0,AK91-R91))</f>
        <v/>
      </c>
      <c r="G91">
        <f>IF(G90&lt;=0,0,MAX(0,AL91-S91))</f>
        <v/>
      </c>
      <c r="H91">
        <f>IF(H90&lt;=0,0,MAX(0,AM91-T91))</f>
        <v/>
      </c>
      <c r="I91">
        <f>IF(I90&lt;=0,0,MAX(0,AN91-U91))</f>
        <v/>
      </c>
      <c r="J91">
        <f>IF(J90&lt;=0,0,MAX(0,AO91-V91))</f>
        <v/>
      </c>
      <c r="K91">
        <f>IF(K90&lt;=0,0,MAX(0,AP91-W91))</f>
        <v/>
      </c>
      <c r="L91">
        <f>IF(L90&lt;=0,0,MAX(0,AQ91-X91))</f>
        <v/>
      </c>
      <c r="M91">
        <f>IF(M90&lt;=0,0,MAX(0,AR91-Y91))</f>
        <v/>
      </c>
      <c r="N91">
        <f>IF(N90&lt;=0,0,MAX(0,AS91-Z91))</f>
        <v/>
      </c>
      <c r="O91">
        <f>IF(C90&lt;=0,0,MIN(AH91,C$7+IF(C$2=$AA91,$AC91,IF(C$2=$AF91,$AG91,0))))</f>
        <v/>
      </c>
      <c r="P91">
        <f>IF(D90&lt;=0,0,MIN(AI91,D$7+IF(D$2=$AA91,$AC91,IF(D$2=$AF91,$AG91,0))))</f>
        <v/>
      </c>
      <c r="Q91">
        <f>IF(E90&lt;=0,0,MIN(AJ91,E$7+IF(E$2=$AA91,$AC91,IF(E$2=$AF91,$AG91,0))))</f>
        <v/>
      </c>
      <c r="R91">
        <f>IF(F90&lt;=0,0,MIN(AK91,F$7+IF(F$2=$AA91,$AC91,IF(F$2=$AF91,$AG91,0))))</f>
        <v/>
      </c>
      <c r="S91">
        <f>IF(G90&lt;=0,0,MIN(AL91,G$7+IF(G$2=$AA91,$AC91,IF(G$2=$AF91,$AG91,0))))</f>
        <v/>
      </c>
      <c r="T91">
        <f>IF(H90&lt;=0,0,MIN(AM91,H$7+IF(H$2=$AA91,$AC91,IF(H$2=$AF91,$AG91,0))))</f>
        <v/>
      </c>
      <c r="U91">
        <f>IF(I90&lt;=0,0,MIN(AN91,I$7+IF(I$2=$AA91,$AC91,IF(I$2=$AF91,$AG91,0))))</f>
        <v/>
      </c>
      <c r="V91">
        <f>IF(J90&lt;=0,0,MIN(AO91,J$7+IF(J$2=$AA91,$AC91,IF(J$2=$AF91,$AG91,0))))</f>
        <v/>
      </c>
      <c r="W91">
        <f>IF(K90&lt;=0,0,MIN(AP91,K$7+IF(K$2=$AA91,$AC91,IF(K$2=$AF91,$AG91,0))))</f>
        <v/>
      </c>
      <c r="X91">
        <f>IF(L90&lt;=0,0,MIN(AQ91,L$7+IF(L$2=$AA91,$AC91,IF(L$2=$AF91,$AG91,0))))</f>
        <v/>
      </c>
      <c r="Y91">
        <f>IF(M90&lt;=0,0,MIN(AR91,M$7+IF(M$2=$AA91,$AC91,IF(M$2=$AF91,$AG91,0))))</f>
        <v/>
      </c>
      <c r="Z91">
        <f>IF(N90&lt;=0,0,MIN(AS91,N$7+IF(N$2=$AA91,$AC91,IF(N$2=$AF91,$AG91,0))))</f>
        <v/>
      </c>
      <c r="AA91">
        <f>IFERROR(ROUND(1/SUMPRODUCT(MAX((C90:N90&gt;0)*($C$3:$N$3&lt;=B91)/$C$2:$N$2)),0),0)</f>
        <v/>
      </c>
      <c r="AB91">
        <f>SUMPRODUCT((C90:N90&gt;0)*$C$7:$N$7)</f>
        <v/>
      </c>
      <c r="AC91">
        <f>MAX(0,Plan!$C$5-AB91)+IF(A91=Plan!$C$8,N(Plan!$C$7),0)</f>
        <v/>
      </c>
      <c r="AD91">
        <f>SUM(C91:N91)</f>
        <v/>
      </c>
      <c r="AE91">
        <f>SUM(O91:Z91)</f>
        <v/>
      </c>
      <c r="AF91">
        <f>IFERROR(ROUND(1/SUMPRODUCT(MAX((C90:N90&gt;0)*($C$3:$N$3&lt;=B91)*($C$2:$N$2&gt;AA91)/$C$2:$N$2)),0),0)</f>
        <v/>
      </c>
      <c r="AG91">
        <f>MAX(0,AC91-MAX(0,SUMPRODUCT(($C$2:$N$2=AA91)*(AH91:AS91-$C$7:$N$7))))</f>
        <v/>
      </c>
      <c r="AH91">
        <f>IF(C90&lt;=0,0,ROUND(C90*(1+IF(AND(C$6&gt;0,$B91&lt;C$6),C$4,C$5)/12),2))</f>
        <v/>
      </c>
      <c r="AI91">
        <f>IF(D90&lt;=0,0,ROUND(D90*(1+IF(AND(D$6&gt;0,$B91&lt;D$6),D$4,D$5)/12),2))</f>
        <v/>
      </c>
      <c r="AJ91">
        <f>IF(E90&lt;=0,0,ROUND(E90*(1+IF(AND(E$6&gt;0,$B91&lt;E$6),E$4,E$5)/12),2))</f>
        <v/>
      </c>
      <c r="AK91">
        <f>IF(F90&lt;=0,0,ROUND(F90*(1+IF(AND(F$6&gt;0,$B91&lt;F$6),F$4,F$5)/12),2))</f>
        <v/>
      </c>
      <c r="AL91">
        <f>IF(G90&lt;=0,0,ROUND(G90*(1+IF(AND(G$6&gt;0,$B91&lt;G$6),G$4,G$5)/12),2))</f>
        <v/>
      </c>
      <c r="AM91">
        <f>IF(H90&lt;=0,0,ROUND(H90*(1+IF(AND(H$6&gt;0,$B91&lt;H$6),H$4,H$5)/12),2))</f>
        <v/>
      </c>
      <c r="AN91">
        <f>IF(I90&lt;=0,0,ROUND(I90*(1+IF(AND(I$6&gt;0,$B91&lt;I$6),I$4,I$5)/12),2))</f>
        <v/>
      </c>
      <c r="AO91">
        <f>IF(J90&lt;=0,0,ROUND(J90*(1+IF(AND(J$6&gt;0,$B91&lt;J$6),J$4,J$5)/12),2))</f>
        <v/>
      </c>
      <c r="AP91">
        <f>IF(K90&lt;=0,0,ROUND(K90*(1+IF(AND(K$6&gt;0,$B91&lt;K$6),K$4,K$5)/12),2))</f>
        <v/>
      </c>
      <c r="AQ91">
        <f>IF(L90&lt;=0,0,ROUND(L90*(1+IF(AND(L$6&gt;0,$B91&lt;L$6),L$4,L$5)/12),2))</f>
        <v/>
      </c>
      <c r="AR91">
        <f>IF(M90&lt;=0,0,ROUND(M90*(1+IF(AND(M$6&gt;0,$B91&lt;M$6),M$4,M$5)/12),2))</f>
        <v/>
      </c>
      <c r="AS91">
        <f>IF(N90&lt;=0,0,ROUND(N90*(1+IF(AND(N$6&gt;0,$B91&lt;N$6),N$4,N$5)/12),2))</f>
        <v/>
      </c>
    </row>
    <row r="92">
      <c r="A92" t="n">
        <v>81</v>
      </c>
      <c r="B92">
        <f>EDATE(Plan!$C$6,80)</f>
        <v/>
      </c>
      <c r="C92">
        <f>IF(C91&lt;=0,0,MAX(0,AH92-O92))</f>
        <v/>
      </c>
      <c r="D92">
        <f>IF(D91&lt;=0,0,MAX(0,AI92-P92))</f>
        <v/>
      </c>
      <c r="E92">
        <f>IF(E91&lt;=0,0,MAX(0,AJ92-Q92))</f>
        <v/>
      </c>
      <c r="F92">
        <f>IF(F91&lt;=0,0,MAX(0,AK92-R92))</f>
        <v/>
      </c>
      <c r="G92">
        <f>IF(G91&lt;=0,0,MAX(0,AL92-S92))</f>
        <v/>
      </c>
      <c r="H92">
        <f>IF(H91&lt;=0,0,MAX(0,AM92-T92))</f>
        <v/>
      </c>
      <c r="I92">
        <f>IF(I91&lt;=0,0,MAX(0,AN92-U92))</f>
        <v/>
      </c>
      <c r="J92">
        <f>IF(J91&lt;=0,0,MAX(0,AO92-V92))</f>
        <v/>
      </c>
      <c r="K92">
        <f>IF(K91&lt;=0,0,MAX(0,AP92-W92))</f>
        <v/>
      </c>
      <c r="L92">
        <f>IF(L91&lt;=0,0,MAX(0,AQ92-X92))</f>
        <v/>
      </c>
      <c r="M92">
        <f>IF(M91&lt;=0,0,MAX(0,AR92-Y92))</f>
        <v/>
      </c>
      <c r="N92">
        <f>IF(N91&lt;=0,0,MAX(0,AS92-Z92))</f>
        <v/>
      </c>
      <c r="O92">
        <f>IF(C91&lt;=0,0,MIN(AH92,C$7+IF(C$2=$AA92,$AC92,IF(C$2=$AF92,$AG92,0))))</f>
        <v/>
      </c>
      <c r="P92">
        <f>IF(D91&lt;=0,0,MIN(AI92,D$7+IF(D$2=$AA92,$AC92,IF(D$2=$AF92,$AG92,0))))</f>
        <v/>
      </c>
      <c r="Q92">
        <f>IF(E91&lt;=0,0,MIN(AJ92,E$7+IF(E$2=$AA92,$AC92,IF(E$2=$AF92,$AG92,0))))</f>
        <v/>
      </c>
      <c r="R92">
        <f>IF(F91&lt;=0,0,MIN(AK92,F$7+IF(F$2=$AA92,$AC92,IF(F$2=$AF92,$AG92,0))))</f>
        <v/>
      </c>
      <c r="S92">
        <f>IF(G91&lt;=0,0,MIN(AL92,G$7+IF(G$2=$AA92,$AC92,IF(G$2=$AF92,$AG92,0))))</f>
        <v/>
      </c>
      <c r="T92">
        <f>IF(H91&lt;=0,0,MIN(AM92,H$7+IF(H$2=$AA92,$AC92,IF(H$2=$AF92,$AG92,0))))</f>
        <v/>
      </c>
      <c r="U92">
        <f>IF(I91&lt;=0,0,MIN(AN92,I$7+IF(I$2=$AA92,$AC92,IF(I$2=$AF92,$AG92,0))))</f>
        <v/>
      </c>
      <c r="V92">
        <f>IF(J91&lt;=0,0,MIN(AO92,J$7+IF(J$2=$AA92,$AC92,IF(J$2=$AF92,$AG92,0))))</f>
        <v/>
      </c>
      <c r="W92">
        <f>IF(K91&lt;=0,0,MIN(AP92,K$7+IF(K$2=$AA92,$AC92,IF(K$2=$AF92,$AG92,0))))</f>
        <v/>
      </c>
      <c r="X92">
        <f>IF(L91&lt;=0,0,MIN(AQ92,L$7+IF(L$2=$AA92,$AC92,IF(L$2=$AF92,$AG92,0))))</f>
        <v/>
      </c>
      <c r="Y92">
        <f>IF(M91&lt;=0,0,MIN(AR92,M$7+IF(M$2=$AA92,$AC92,IF(M$2=$AF92,$AG92,0))))</f>
        <v/>
      </c>
      <c r="Z92">
        <f>IF(N91&lt;=0,0,MIN(AS92,N$7+IF(N$2=$AA92,$AC92,IF(N$2=$AF92,$AG92,0))))</f>
        <v/>
      </c>
      <c r="AA92">
        <f>IFERROR(ROUND(1/SUMPRODUCT(MAX((C91:N91&gt;0)*($C$3:$N$3&lt;=B92)/$C$2:$N$2)),0),0)</f>
        <v/>
      </c>
      <c r="AB92">
        <f>SUMPRODUCT((C91:N91&gt;0)*$C$7:$N$7)</f>
        <v/>
      </c>
      <c r="AC92">
        <f>MAX(0,Plan!$C$5-AB92)+IF(A92=Plan!$C$8,N(Plan!$C$7),0)</f>
        <v/>
      </c>
      <c r="AD92">
        <f>SUM(C92:N92)</f>
        <v/>
      </c>
      <c r="AE92">
        <f>SUM(O92:Z92)</f>
        <v/>
      </c>
      <c r="AF92">
        <f>IFERROR(ROUND(1/SUMPRODUCT(MAX((C91:N91&gt;0)*($C$3:$N$3&lt;=B92)*($C$2:$N$2&gt;AA92)/$C$2:$N$2)),0),0)</f>
        <v/>
      </c>
      <c r="AG92">
        <f>MAX(0,AC92-MAX(0,SUMPRODUCT(($C$2:$N$2=AA92)*(AH92:AS92-$C$7:$N$7))))</f>
        <v/>
      </c>
      <c r="AH92">
        <f>IF(C91&lt;=0,0,ROUND(C91*(1+IF(AND(C$6&gt;0,$B92&lt;C$6),C$4,C$5)/12),2))</f>
        <v/>
      </c>
      <c r="AI92">
        <f>IF(D91&lt;=0,0,ROUND(D91*(1+IF(AND(D$6&gt;0,$B92&lt;D$6),D$4,D$5)/12),2))</f>
        <v/>
      </c>
      <c r="AJ92">
        <f>IF(E91&lt;=0,0,ROUND(E91*(1+IF(AND(E$6&gt;0,$B92&lt;E$6),E$4,E$5)/12),2))</f>
        <v/>
      </c>
      <c r="AK92">
        <f>IF(F91&lt;=0,0,ROUND(F91*(1+IF(AND(F$6&gt;0,$B92&lt;F$6),F$4,F$5)/12),2))</f>
        <v/>
      </c>
      <c r="AL92">
        <f>IF(G91&lt;=0,0,ROUND(G91*(1+IF(AND(G$6&gt;0,$B92&lt;G$6),G$4,G$5)/12),2))</f>
        <v/>
      </c>
      <c r="AM92">
        <f>IF(H91&lt;=0,0,ROUND(H91*(1+IF(AND(H$6&gt;0,$B92&lt;H$6),H$4,H$5)/12),2))</f>
        <v/>
      </c>
      <c r="AN92">
        <f>IF(I91&lt;=0,0,ROUND(I91*(1+IF(AND(I$6&gt;0,$B92&lt;I$6),I$4,I$5)/12),2))</f>
        <v/>
      </c>
      <c r="AO92">
        <f>IF(J91&lt;=0,0,ROUND(J91*(1+IF(AND(J$6&gt;0,$B92&lt;J$6),J$4,J$5)/12),2))</f>
        <v/>
      </c>
      <c r="AP92">
        <f>IF(K91&lt;=0,0,ROUND(K91*(1+IF(AND(K$6&gt;0,$B92&lt;K$6),K$4,K$5)/12),2))</f>
        <v/>
      </c>
      <c r="AQ92">
        <f>IF(L91&lt;=0,0,ROUND(L91*(1+IF(AND(L$6&gt;0,$B92&lt;L$6),L$4,L$5)/12),2))</f>
        <v/>
      </c>
      <c r="AR92">
        <f>IF(M91&lt;=0,0,ROUND(M91*(1+IF(AND(M$6&gt;0,$B92&lt;M$6),M$4,M$5)/12),2))</f>
        <v/>
      </c>
      <c r="AS92">
        <f>IF(N91&lt;=0,0,ROUND(N91*(1+IF(AND(N$6&gt;0,$B92&lt;N$6),N$4,N$5)/12),2))</f>
        <v/>
      </c>
    </row>
    <row r="93">
      <c r="A93" t="n">
        <v>82</v>
      </c>
      <c r="B93">
        <f>EDATE(Plan!$C$6,81)</f>
        <v/>
      </c>
      <c r="C93">
        <f>IF(C92&lt;=0,0,MAX(0,AH93-O93))</f>
        <v/>
      </c>
      <c r="D93">
        <f>IF(D92&lt;=0,0,MAX(0,AI93-P93))</f>
        <v/>
      </c>
      <c r="E93">
        <f>IF(E92&lt;=0,0,MAX(0,AJ93-Q93))</f>
        <v/>
      </c>
      <c r="F93">
        <f>IF(F92&lt;=0,0,MAX(0,AK93-R93))</f>
        <v/>
      </c>
      <c r="G93">
        <f>IF(G92&lt;=0,0,MAX(0,AL93-S93))</f>
        <v/>
      </c>
      <c r="H93">
        <f>IF(H92&lt;=0,0,MAX(0,AM93-T93))</f>
        <v/>
      </c>
      <c r="I93">
        <f>IF(I92&lt;=0,0,MAX(0,AN93-U93))</f>
        <v/>
      </c>
      <c r="J93">
        <f>IF(J92&lt;=0,0,MAX(0,AO93-V93))</f>
        <v/>
      </c>
      <c r="K93">
        <f>IF(K92&lt;=0,0,MAX(0,AP93-W93))</f>
        <v/>
      </c>
      <c r="L93">
        <f>IF(L92&lt;=0,0,MAX(0,AQ93-X93))</f>
        <v/>
      </c>
      <c r="M93">
        <f>IF(M92&lt;=0,0,MAX(0,AR93-Y93))</f>
        <v/>
      </c>
      <c r="N93">
        <f>IF(N92&lt;=0,0,MAX(0,AS93-Z93))</f>
        <v/>
      </c>
      <c r="O93">
        <f>IF(C92&lt;=0,0,MIN(AH93,C$7+IF(C$2=$AA93,$AC93,IF(C$2=$AF93,$AG93,0))))</f>
        <v/>
      </c>
      <c r="P93">
        <f>IF(D92&lt;=0,0,MIN(AI93,D$7+IF(D$2=$AA93,$AC93,IF(D$2=$AF93,$AG93,0))))</f>
        <v/>
      </c>
      <c r="Q93">
        <f>IF(E92&lt;=0,0,MIN(AJ93,E$7+IF(E$2=$AA93,$AC93,IF(E$2=$AF93,$AG93,0))))</f>
        <v/>
      </c>
      <c r="R93">
        <f>IF(F92&lt;=0,0,MIN(AK93,F$7+IF(F$2=$AA93,$AC93,IF(F$2=$AF93,$AG93,0))))</f>
        <v/>
      </c>
      <c r="S93">
        <f>IF(G92&lt;=0,0,MIN(AL93,G$7+IF(G$2=$AA93,$AC93,IF(G$2=$AF93,$AG93,0))))</f>
        <v/>
      </c>
      <c r="T93">
        <f>IF(H92&lt;=0,0,MIN(AM93,H$7+IF(H$2=$AA93,$AC93,IF(H$2=$AF93,$AG93,0))))</f>
        <v/>
      </c>
      <c r="U93">
        <f>IF(I92&lt;=0,0,MIN(AN93,I$7+IF(I$2=$AA93,$AC93,IF(I$2=$AF93,$AG93,0))))</f>
        <v/>
      </c>
      <c r="V93">
        <f>IF(J92&lt;=0,0,MIN(AO93,J$7+IF(J$2=$AA93,$AC93,IF(J$2=$AF93,$AG93,0))))</f>
        <v/>
      </c>
      <c r="W93">
        <f>IF(K92&lt;=0,0,MIN(AP93,K$7+IF(K$2=$AA93,$AC93,IF(K$2=$AF93,$AG93,0))))</f>
        <v/>
      </c>
      <c r="X93">
        <f>IF(L92&lt;=0,0,MIN(AQ93,L$7+IF(L$2=$AA93,$AC93,IF(L$2=$AF93,$AG93,0))))</f>
        <v/>
      </c>
      <c r="Y93">
        <f>IF(M92&lt;=0,0,MIN(AR93,M$7+IF(M$2=$AA93,$AC93,IF(M$2=$AF93,$AG93,0))))</f>
        <v/>
      </c>
      <c r="Z93">
        <f>IF(N92&lt;=0,0,MIN(AS93,N$7+IF(N$2=$AA93,$AC93,IF(N$2=$AF93,$AG93,0))))</f>
        <v/>
      </c>
      <c r="AA93">
        <f>IFERROR(ROUND(1/SUMPRODUCT(MAX((C92:N92&gt;0)*($C$3:$N$3&lt;=B93)/$C$2:$N$2)),0),0)</f>
        <v/>
      </c>
      <c r="AB93">
        <f>SUMPRODUCT((C92:N92&gt;0)*$C$7:$N$7)</f>
        <v/>
      </c>
      <c r="AC93">
        <f>MAX(0,Plan!$C$5-AB93)+IF(A93=Plan!$C$8,N(Plan!$C$7),0)</f>
        <v/>
      </c>
      <c r="AD93">
        <f>SUM(C93:N93)</f>
        <v/>
      </c>
      <c r="AE93">
        <f>SUM(O93:Z93)</f>
        <v/>
      </c>
      <c r="AF93">
        <f>IFERROR(ROUND(1/SUMPRODUCT(MAX((C92:N92&gt;0)*($C$3:$N$3&lt;=B93)*($C$2:$N$2&gt;AA93)/$C$2:$N$2)),0),0)</f>
        <v/>
      </c>
      <c r="AG93">
        <f>MAX(0,AC93-MAX(0,SUMPRODUCT(($C$2:$N$2=AA93)*(AH93:AS93-$C$7:$N$7))))</f>
        <v/>
      </c>
      <c r="AH93">
        <f>IF(C92&lt;=0,0,ROUND(C92*(1+IF(AND(C$6&gt;0,$B93&lt;C$6),C$4,C$5)/12),2))</f>
        <v/>
      </c>
      <c r="AI93">
        <f>IF(D92&lt;=0,0,ROUND(D92*(1+IF(AND(D$6&gt;0,$B93&lt;D$6),D$4,D$5)/12),2))</f>
        <v/>
      </c>
      <c r="AJ93">
        <f>IF(E92&lt;=0,0,ROUND(E92*(1+IF(AND(E$6&gt;0,$B93&lt;E$6),E$4,E$5)/12),2))</f>
        <v/>
      </c>
      <c r="AK93">
        <f>IF(F92&lt;=0,0,ROUND(F92*(1+IF(AND(F$6&gt;0,$B93&lt;F$6),F$4,F$5)/12),2))</f>
        <v/>
      </c>
      <c r="AL93">
        <f>IF(G92&lt;=0,0,ROUND(G92*(1+IF(AND(G$6&gt;0,$B93&lt;G$6),G$4,G$5)/12),2))</f>
        <v/>
      </c>
      <c r="AM93">
        <f>IF(H92&lt;=0,0,ROUND(H92*(1+IF(AND(H$6&gt;0,$B93&lt;H$6),H$4,H$5)/12),2))</f>
        <v/>
      </c>
      <c r="AN93">
        <f>IF(I92&lt;=0,0,ROUND(I92*(1+IF(AND(I$6&gt;0,$B93&lt;I$6),I$4,I$5)/12),2))</f>
        <v/>
      </c>
      <c r="AO93">
        <f>IF(J92&lt;=0,0,ROUND(J92*(1+IF(AND(J$6&gt;0,$B93&lt;J$6),J$4,J$5)/12),2))</f>
        <v/>
      </c>
      <c r="AP93">
        <f>IF(K92&lt;=0,0,ROUND(K92*(1+IF(AND(K$6&gt;0,$B93&lt;K$6),K$4,K$5)/12),2))</f>
        <v/>
      </c>
      <c r="AQ93">
        <f>IF(L92&lt;=0,0,ROUND(L92*(1+IF(AND(L$6&gt;0,$B93&lt;L$6),L$4,L$5)/12),2))</f>
        <v/>
      </c>
      <c r="AR93">
        <f>IF(M92&lt;=0,0,ROUND(M92*(1+IF(AND(M$6&gt;0,$B93&lt;M$6),M$4,M$5)/12),2))</f>
        <v/>
      </c>
      <c r="AS93">
        <f>IF(N92&lt;=0,0,ROUND(N92*(1+IF(AND(N$6&gt;0,$B93&lt;N$6),N$4,N$5)/12),2))</f>
        <v/>
      </c>
    </row>
    <row r="94">
      <c r="A94" t="n">
        <v>83</v>
      </c>
      <c r="B94">
        <f>EDATE(Plan!$C$6,82)</f>
        <v/>
      </c>
      <c r="C94">
        <f>IF(C93&lt;=0,0,MAX(0,AH94-O94))</f>
        <v/>
      </c>
      <c r="D94">
        <f>IF(D93&lt;=0,0,MAX(0,AI94-P94))</f>
        <v/>
      </c>
      <c r="E94">
        <f>IF(E93&lt;=0,0,MAX(0,AJ94-Q94))</f>
        <v/>
      </c>
      <c r="F94">
        <f>IF(F93&lt;=0,0,MAX(0,AK94-R94))</f>
        <v/>
      </c>
      <c r="G94">
        <f>IF(G93&lt;=0,0,MAX(0,AL94-S94))</f>
        <v/>
      </c>
      <c r="H94">
        <f>IF(H93&lt;=0,0,MAX(0,AM94-T94))</f>
        <v/>
      </c>
      <c r="I94">
        <f>IF(I93&lt;=0,0,MAX(0,AN94-U94))</f>
        <v/>
      </c>
      <c r="J94">
        <f>IF(J93&lt;=0,0,MAX(0,AO94-V94))</f>
        <v/>
      </c>
      <c r="K94">
        <f>IF(K93&lt;=0,0,MAX(0,AP94-W94))</f>
        <v/>
      </c>
      <c r="L94">
        <f>IF(L93&lt;=0,0,MAX(0,AQ94-X94))</f>
        <v/>
      </c>
      <c r="M94">
        <f>IF(M93&lt;=0,0,MAX(0,AR94-Y94))</f>
        <v/>
      </c>
      <c r="N94">
        <f>IF(N93&lt;=0,0,MAX(0,AS94-Z94))</f>
        <v/>
      </c>
      <c r="O94">
        <f>IF(C93&lt;=0,0,MIN(AH94,C$7+IF(C$2=$AA94,$AC94,IF(C$2=$AF94,$AG94,0))))</f>
        <v/>
      </c>
      <c r="P94">
        <f>IF(D93&lt;=0,0,MIN(AI94,D$7+IF(D$2=$AA94,$AC94,IF(D$2=$AF94,$AG94,0))))</f>
        <v/>
      </c>
      <c r="Q94">
        <f>IF(E93&lt;=0,0,MIN(AJ94,E$7+IF(E$2=$AA94,$AC94,IF(E$2=$AF94,$AG94,0))))</f>
        <v/>
      </c>
      <c r="R94">
        <f>IF(F93&lt;=0,0,MIN(AK94,F$7+IF(F$2=$AA94,$AC94,IF(F$2=$AF94,$AG94,0))))</f>
        <v/>
      </c>
      <c r="S94">
        <f>IF(G93&lt;=0,0,MIN(AL94,G$7+IF(G$2=$AA94,$AC94,IF(G$2=$AF94,$AG94,0))))</f>
        <v/>
      </c>
      <c r="T94">
        <f>IF(H93&lt;=0,0,MIN(AM94,H$7+IF(H$2=$AA94,$AC94,IF(H$2=$AF94,$AG94,0))))</f>
        <v/>
      </c>
      <c r="U94">
        <f>IF(I93&lt;=0,0,MIN(AN94,I$7+IF(I$2=$AA94,$AC94,IF(I$2=$AF94,$AG94,0))))</f>
        <v/>
      </c>
      <c r="V94">
        <f>IF(J93&lt;=0,0,MIN(AO94,J$7+IF(J$2=$AA94,$AC94,IF(J$2=$AF94,$AG94,0))))</f>
        <v/>
      </c>
      <c r="W94">
        <f>IF(K93&lt;=0,0,MIN(AP94,K$7+IF(K$2=$AA94,$AC94,IF(K$2=$AF94,$AG94,0))))</f>
        <v/>
      </c>
      <c r="X94">
        <f>IF(L93&lt;=0,0,MIN(AQ94,L$7+IF(L$2=$AA94,$AC94,IF(L$2=$AF94,$AG94,0))))</f>
        <v/>
      </c>
      <c r="Y94">
        <f>IF(M93&lt;=0,0,MIN(AR94,M$7+IF(M$2=$AA94,$AC94,IF(M$2=$AF94,$AG94,0))))</f>
        <v/>
      </c>
      <c r="Z94">
        <f>IF(N93&lt;=0,0,MIN(AS94,N$7+IF(N$2=$AA94,$AC94,IF(N$2=$AF94,$AG94,0))))</f>
        <v/>
      </c>
      <c r="AA94">
        <f>IFERROR(ROUND(1/SUMPRODUCT(MAX((C93:N93&gt;0)*($C$3:$N$3&lt;=B94)/$C$2:$N$2)),0),0)</f>
        <v/>
      </c>
      <c r="AB94">
        <f>SUMPRODUCT((C93:N93&gt;0)*$C$7:$N$7)</f>
        <v/>
      </c>
      <c r="AC94">
        <f>MAX(0,Plan!$C$5-AB94)+IF(A94=Plan!$C$8,N(Plan!$C$7),0)</f>
        <v/>
      </c>
      <c r="AD94">
        <f>SUM(C94:N94)</f>
        <v/>
      </c>
      <c r="AE94">
        <f>SUM(O94:Z94)</f>
        <v/>
      </c>
      <c r="AF94">
        <f>IFERROR(ROUND(1/SUMPRODUCT(MAX((C93:N93&gt;0)*($C$3:$N$3&lt;=B94)*($C$2:$N$2&gt;AA94)/$C$2:$N$2)),0),0)</f>
        <v/>
      </c>
      <c r="AG94">
        <f>MAX(0,AC94-MAX(0,SUMPRODUCT(($C$2:$N$2=AA94)*(AH94:AS94-$C$7:$N$7))))</f>
        <v/>
      </c>
      <c r="AH94">
        <f>IF(C93&lt;=0,0,ROUND(C93*(1+IF(AND(C$6&gt;0,$B94&lt;C$6),C$4,C$5)/12),2))</f>
        <v/>
      </c>
      <c r="AI94">
        <f>IF(D93&lt;=0,0,ROUND(D93*(1+IF(AND(D$6&gt;0,$B94&lt;D$6),D$4,D$5)/12),2))</f>
        <v/>
      </c>
      <c r="AJ94">
        <f>IF(E93&lt;=0,0,ROUND(E93*(1+IF(AND(E$6&gt;0,$B94&lt;E$6),E$4,E$5)/12),2))</f>
        <v/>
      </c>
      <c r="AK94">
        <f>IF(F93&lt;=0,0,ROUND(F93*(1+IF(AND(F$6&gt;0,$B94&lt;F$6),F$4,F$5)/12),2))</f>
        <v/>
      </c>
      <c r="AL94">
        <f>IF(G93&lt;=0,0,ROUND(G93*(1+IF(AND(G$6&gt;0,$B94&lt;G$6),G$4,G$5)/12),2))</f>
        <v/>
      </c>
      <c r="AM94">
        <f>IF(H93&lt;=0,0,ROUND(H93*(1+IF(AND(H$6&gt;0,$B94&lt;H$6),H$4,H$5)/12),2))</f>
        <v/>
      </c>
      <c r="AN94">
        <f>IF(I93&lt;=0,0,ROUND(I93*(1+IF(AND(I$6&gt;0,$B94&lt;I$6),I$4,I$5)/12),2))</f>
        <v/>
      </c>
      <c r="AO94">
        <f>IF(J93&lt;=0,0,ROUND(J93*(1+IF(AND(J$6&gt;0,$B94&lt;J$6),J$4,J$5)/12),2))</f>
        <v/>
      </c>
      <c r="AP94">
        <f>IF(K93&lt;=0,0,ROUND(K93*(1+IF(AND(K$6&gt;0,$B94&lt;K$6),K$4,K$5)/12),2))</f>
        <v/>
      </c>
      <c r="AQ94">
        <f>IF(L93&lt;=0,0,ROUND(L93*(1+IF(AND(L$6&gt;0,$B94&lt;L$6),L$4,L$5)/12),2))</f>
        <v/>
      </c>
      <c r="AR94">
        <f>IF(M93&lt;=0,0,ROUND(M93*(1+IF(AND(M$6&gt;0,$B94&lt;M$6),M$4,M$5)/12),2))</f>
        <v/>
      </c>
      <c r="AS94">
        <f>IF(N93&lt;=0,0,ROUND(N93*(1+IF(AND(N$6&gt;0,$B94&lt;N$6),N$4,N$5)/12),2))</f>
        <v/>
      </c>
    </row>
    <row r="95">
      <c r="A95" t="n">
        <v>84</v>
      </c>
      <c r="B95">
        <f>EDATE(Plan!$C$6,83)</f>
        <v/>
      </c>
      <c r="C95">
        <f>IF(C94&lt;=0,0,MAX(0,AH95-O95))</f>
        <v/>
      </c>
      <c r="D95">
        <f>IF(D94&lt;=0,0,MAX(0,AI95-P95))</f>
        <v/>
      </c>
      <c r="E95">
        <f>IF(E94&lt;=0,0,MAX(0,AJ95-Q95))</f>
        <v/>
      </c>
      <c r="F95">
        <f>IF(F94&lt;=0,0,MAX(0,AK95-R95))</f>
        <v/>
      </c>
      <c r="G95">
        <f>IF(G94&lt;=0,0,MAX(0,AL95-S95))</f>
        <v/>
      </c>
      <c r="H95">
        <f>IF(H94&lt;=0,0,MAX(0,AM95-T95))</f>
        <v/>
      </c>
      <c r="I95">
        <f>IF(I94&lt;=0,0,MAX(0,AN95-U95))</f>
        <v/>
      </c>
      <c r="J95">
        <f>IF(J94&lt;=0,0,MAX(0,AO95-V95))</f>
        <v/>
      </c>
      <c r="K95">
        <f>IF(K94&lt;=0,0,MAX(0,AP95-W95))</f>
        <v/>
      </c>
      <c r="L95">
        <f>IF(L94&lt;=0,0,MAX(0,AQ95-X95))</f>
        <v/>
      </c>
      <c r="M95">
        <f>IF(M94&lt;=0,0,MAX(0,AR95-Y95))</f>
        <v/>
      </c>
      <c r="N95">
        <f>IF(N94&lt;=0,0,MAX(0,AS95-Z95))</f>
        <v/>
      </c>
      <c r="O95">
        <f>IF(C94&lt;=0,0,MIN(AH95,C$7+IF(C$2=$AA95,$AC95,IF(C$2=$AF95,$AG95,0))))</f>
        <v/>
      </c>
      <c r="P95">
        <f>IF(D94&lt;=0,0,MIN(AI95,D$7+IF(D$2=$AA95,$AC95,IF(D$2=$AF95,$AG95,0))))</f>
        <v/>
      </c>
      <c r="Q95">
        <f>IF(E94&lt;=0,0,MIN(AJ95,E$7+IF(E$2=$AA95,$AC95,IF(E$2=$AF95,$AG95,0))))</f>
        <v/>
      </c>
      <c r="R95">
        <f>IF(F94&lt;=0,0,MIN(AK95,F$7+IF(F$2=$AA95,$AC95,IF(F$2=$AF95,$AG95,0))))</f>
        <v/>
      </c>
      <c r="S95">
        <f>IF(G94&lt;=0,0,MIN(AL95,G$7+IF(G$2=$AA95,$AC95,IF(G$2=$AF95,$AG95,0))))</f>
        <v/>
      </c>
      <c r="T95">
        <f>IF(H94&lt;=0,0,MIN(AM95,H$7+IF(H$2=$AA95,$AC95,IF(H$2=$AF95,$AG95,0))))</f>
        <v/>
      </c>
      <c r="U95">
        <f>IF(I94&lt;=0,0,MIN(AN95,I$7+IF(I$2=$AA95,$AC95,IF(I$2=$AF95,$AG95,0))))</f>
        <v/>
      </c>
      <c r="V95">
        <f>IF(J94&lt;=0,0,MIN(AO95,J$7+IF(J$2=$AA95,$AC95,IF(J$2=$AF95,$AG95,0))))</f>
        <v/>
      </c>
      <c r="W95">
        <f>IF(K94&lt;=0,0,MIN(AP95,K$7+IF(K$2=$AA95,$AC95,IF(K$2=$AF95,$AG95,0))))</f>
        <v/>
      </c>
      <c r="X95">
        <f>IF(L94&lt;=0,0,MIN(AQ95,L$7+IF(L$2=$AA95,$AC95,IF(L$2=$AF95,$AG95,0))))</f>
        <v/>
      </c>
      <c r="Y95">
        <f>IF(M94&lt;=0,0,MIN(AR95,M$7+IF(M$2=$AA95,$AC95,IF(M$2=$AF95,$AG95,0))))</f>
        <v/>
      </c>
      <c r="Z95">
        <f>IF(N94&lt;=0,0,MIN(AS95,N$7+IF(N$2=$AA95,$AC95,IF(N$2=$AF95,$AG95,0))))</f>
        <v/>
      </c>
      <c r="AA95">
        <f>IFERROR(ROUND(1/SUMPRODUCT(MAX((C94:N94&gt;0)*($C$3:$N$3&lt;=B95)/$C$2:$N$2)),0),0)</f>
        <v/>
      </c>
      <c r="AB95">
        <f>SUMPRODUCT((C94:N94&gt;0)*$C$7:$N$7)</f>
        <v/>
      </c>
      <c r="AC95">
        <f>MAX(0,Plan!$C$5-AB95)+IF(A95=Plan!$C$8,N(Plan!$C$7),0)</f>
        <v/>
      </c>
      <c r="AD95">
        <f>SUM(C95:N95)</f>
        <v/>
      </c>
      <c r="AE95">
        <f>SUM(O95:Z95)</f>
        <v/>
      </c>
      <c r="AF95">
        <f>IFERROR(ROUND(1/SUMPRODUCT(MAX((C94:N94&gt;0)*($C$3:$N$3&lt;=B95)*($C$2:$N$2&gt;AA95)/$C$2:$N$2)),0),0)</f>
        <v/>
      </c>
      <c r="AG95">
        <f>MAX(0,AC95-MAX(0,SUMPRODUCT(($C$2:$N$2=AA95)*(AH95:AS95-$C$7:$N$7))))</f>
        <v/>
      </c>
      <c r="AH95">
        <f>IF(C94&lt;=0,0,ROUND(C94*(1+IF(AND(C$6&gt;0,$B95&lt;C$6),C$4,C$5)/12),2))</f>
        <v/>
      </c>
      <c r="AI95">
        <f>IF(D94&lt;=0,0,ROUND(D94*(1+IF(AND(D$6&gt;0,$B95&lt;D$6),D$4,D$5)/12),2))</f>
        <v/>
      </c>
      <c r="AJ95">
        <f>IF(E94&lt;=0,0,ROUND(E94*(1+IF(AND(E$6&gt;0,$B95&lt;E$6),E$4,E$5)/12),2))</f>
        <v/>
      </c>
      <c r="AK95">
        <f>IF(F94&lt;=0,0,ROUND(F94*(1+IF(AND(F$6&gt;0,$B95&lt;F$6),F$4,F$5)/12),2))</f>
        <v/>
      </c>
      <c r="AL95">
        <f>IF(G94&lt;=0,0,ROUND(G94*(1+IF(AND(G$6&gt;0,$B95&lt;G$6),G$4,G$5)/12),2))</f>
        <v/>
      </c>
      <c r="AM95">
        <f>IF(H94&lt;=0,0,ROUND(H94*(1+IF(AND(H$6&gt;0,$B95&lt;H$6),H$4,H$5)/12),2))</f>
        <v/>
      </c>
      <c r="AN95">
        <f>IF(I94&lt;=0,0,ROUND(I94*(1+IF(AND(I$6&gt;0,$B95&lt;I$6),I$4,I$5)/12),2))</f>
        <v/>
      </c>
      <c r="AO95">
        <f>IF(J94&lt;=0,0,ROUND(J94*(1+IF(AND(J$6&gt;0,$B95&lt;J$6),J$4,J$5)/12),2))</f>
        <v/>
      </c>
      <c r="AP95">
        <f>IF(K94&lt;=0,0,ROUND(K94*(1+IF(AND(K$6&gt;0,$B95&lt;K$6),K$4,K$5)/12),2))</f>
        <v/>
      </c>
      <c r="AQ95">
        <f>IF(L94&lt;=0,0,ROUND(L94*(1+IF(AND(L$6&gt;0,$B95&lt;L$6),L$4,L$5)/12),2))</f>
        <v/>
      </c>
      <c r="AR95">
        <f>IF(M94&lt;=0,0,ROUND(M94*(1+IF(AND(M$6&gt;0,$B95&lt;M$6),M$4,M$5)/12),2))</f>
        <v/>
      </c>
      <c r="AS95">
        <f>IF(N94&lt;=0,0,ROUND(N94*(1+IF(AND(N$6&gt;0,$B95&lt;N$6),N$4,N$5)/12),2))</f>
        <v/>
      </c>
    </row>
    <row r="96">
      <c r="A96" t="n">
        <v>85</v>
      </c>
      <c r="B96">
        <f>EDATE(Plan!$C$6,84)</f>
        <v/>
      </c>
      <c r="C96">
        <f>IF(C95&lt;=0,0,MAX(0,AH96-O96))</f>
        <v/>
      </c>
      <c r="D96">
        <f>IF(D95&lt;=0,0,MAX(0,AI96-P96))</f>
        <v/>
      </c>
      <c r="E96">
        <f>IF(E95&lt;=0,0,MAX(0,AJ96-Q96))</f>
        <v/>
      </c>
      <c r="F96">
        <f>IF(F95&lt;=0,0,MAX(0,AK96-R96))</f>
        <v/>
      </c>
      <c r="G96">
        <f>IF(G95&lt;=0,0,MAX(0,AL96-S96))</f>
        <v/>
      </c>
      <c r="H96">
        <f>IF(H95&lt;=0,0,MAX(0,AM96-T96))</f>
        <v/>
      </c>
      <c r="I96">
        <f>IF(I95&lt;=0,0,MAX(0,AN96-U96))</f>
        <v/>
      </c>
      <c r="J96">
        <f>IF(J95&lt;=0,0,MAX(0,AO96-V96))</f>
        <v/>
      </c>
      <c r="K96">
        <f>IF(K95&lt;=0,0,MAX(0,AP96-W96))</f>
        <v/>
      </c>
      <c r="L96">
        <f>IF(L95&lt;=0,0,MAX(0,AQ96-X96))</f>
        <v/>
      </c>
      <c r="M96">
        <f>IF(M95&lt;=0,0,MAX(0,AR96-Y96))</f>
        <v/>
      </c>
      <c r="N96">
        <f>IF(N95&lt;=0,0,MAX(0,AS96-Z96))</f>
        <v/>
      </c>
      <c r="O96">
        <f>IF(C95&lt;=0,0,MIN(AH96,C$7+IF(C$2=$AA96,$AC96,IF(C$2=$AF96,$AG96,0))))</f>
        <v/>
      </c>
      <c r="P96">
        <f>IF(D95&lt;=0,0,MIN(AI96,D$7+IF(D$2=$AA96,$AC96,IF(D$2=$AF96,$AG96,0))))</f>
        <v/>
      </c>
      <c r="Q96">
        <f>IF(E95&lt;=0,0,MIN(AJ96,E$7+IF(E$2=$AA96,$AC96,IF(E$2=$AF96,$AG96,0))))</f>
        <v/>
      </c>
      <c r="R96">
        <f>IF(F95&lt;=0,0,MIN(AK96,F$7+IF(F$2=$AA96,$AC96,IF(F$2=$AF96,$AG96,0))))</f>
        <v/>
      </c>
      <c r="S96">
        <f>IF(G95&lt;=0,0,MIN(AL96,G$7+IF(G$2=$AA96,$AC96,IF(G$2=$AF96,$AG96,0))))</f>
        <v/>
      </c>
      <c r="T96">
        <f>IF(H95&lt;=0,0,MIN(AM96,H$7+IF(H$2=$AA96,$AC96,IF(H$2=$AF96,$AG96,0))))</f>
        <v/>
      </c>
      <c r="U96">
        <f>IF(I95&lt;=0,0,MIN(AN96,I$7+IF(I$2=$AA96,$AC96,IF(I$2=$AF96,$AG96,0))))</f>
        <v/>
      </c>
      <c r="V96">
        <f>IF(J95&lt;=0,0,MIN(AO96,J$7+IF(J$2=$AA96,$AC96,IF(J$2=$AF96,$AG96,0))))</f>
        <v/>
      </c>
      <c r="W96">
        <f>IF(K95&lt;=0,0,MIN(AP96,K$7+IF(K$2=$AA96,$AC96,IF(K$2=$AF96,$AG96,0))))</f>
        <v/>
      </c>
      <c r="X96">
        <f>IF(L95&lt;=0,0,MIN(AQ96,L$7+IF(L$2=$AA96,$AC96,IF(L$2=$AF96,$AG96,0))))</f>
        <v/>
      </c>
      <c r="Y96">
        <f>IF(M95&lt;=0,0,MIN(AR96,M$7+IF(M$2=$AA96,$AC96,IF(M$2=$AF96,$AG96,0))))</f>
        <v/>
      </c>
      <c r="Z96">
        <f>IF(N95&lt;=0,0,MIN(AS96,N$7+IF(N$2=$AA96,$AC96,IF(N$2=$AF96,$AG96,0))))</f>
        <v/>
      </c>
      <c r="AA96">
        <f>IFERROR(ROUND(1/SUMPRODUCT(MAX((C95:N95&gt;0)*($C$3:$N$3&lt;=B96)/$C$2:$N$2)),0),0)</f>
        <v/>
      </c>
      <c r="AB96">
        <f>SUMPRODUCT((C95:N95&gt;0)*$C$7:$N$7)</f>
        <v/>
      </c>
      <c r="AC96">
        <f>MAX(0,Plan!$C$5-AB96)+IF(A96=Plan!$C$8,N(Plan!$C$7),0)</f>
        <v/>
      </c>
      <c r="AD96">
        <f>SUM(C96:N96)</f>
        <v/>
      </c>
      <c r="AE96">
        <f>SUM(O96:Z96)</f>
        <v/>
      </c>
      <c r="AF96">
        <f>IFERROR(ROUND(1/SUMPRODUCT(MAX((C95:N95&gt;0)*($C$3:$N$3&lt;=B96)*($C$2:$N$2&gt;AA96)/$C$2:$N$2)),0),0)</f>
        <v/>
      </c>
      <c r="AG96">
        <f>MAX(0,AC96-MAX(0,SUMPRODUCT(($C$2:$N$2=AA96)*(AH96:AS96-$C$7:$N$7))))</f>
        <v/>
      </c>
      <c r="AH96">
        <f>IF(C95&lt;=0,0,ROUND(C95*(1+IF(AND(C$6&gt;0,$B96&lt;C$6),C$4,C$5)/12),2))</f>
        <v/>
      </c>
      <c r="AI96">
        <f>IF(D95&lt;=0,0,ROUND(D95*(1+IF(AND(D$6&gt;0,$B96&lt;D$6),D$4,D$5)/12),2))</f>
        <v/>
      </c>
      <c r="AJ96">
        <f>IF(E95&lt;=0,0,ROUND(E95*(1+IF(AND(E$6&gt;0,$B96&lt;E$6),E$4,E$5)/12),2))</f>
        <v/>
      </c>
      <c r="AK96">
        <f>IF(F95&lt;=0,0,ROUND(F95*(1+IF(AND(F$6&gt;0,$B96&lt;F$6),F$4,F$5)/12),2))</f>
        <v/>
      </c>
      <c r="AL96">
        <f>IF(G95&lt;=0,0,ROUND(G95*(1+IF(AND(G$6&gt;0,$B96&lt;G$6),G$4,G$5)/12),2))</f>
        <v/>
      </c>
      <c r="AM96">
        <f>IF(H95&lt;=0,0,ROUND(H95*(1+IF(AND(H$6&gt;0,$B96&lt;H$6),H$4,H$5)/12),2))</f>
        <v/>
      </c>
      <c r="AN96">
        <f>IF(I95&lt;=0,0,ROUND(I95*(1+IF(AND(I$6&gt;0,$B96&lt;I$6),I$4,I$5)/12),2))</f>
        <v/>
      </c>
      <c r="AO96">
        <f>IF(J95&lt;=0,0,ROUND(J95*(1+IF(AND(J$6&gt;0,$B96&lt;J$6),J$4,J$5)/12),2))</f>
        <v/>
      </c>
      <c r="AP96">
        <f>IF(K95&lt;=0,0,ROUND(K95*(1+IF(AND(K$6&gt;0,$B96&lt;K$6),K$4,K$5)/12),2))</f>
        <v/>
      </c>
      <c r="AQ96">
        <f>IF(L95&lt;=0,0,ROUND(L95*(1+IF(AND(L$6&gt;0,$B96&lt;L$6),L$4,L$5)/12),2))</f>
        <v/>
      </c>
      <c r="AR96">
        <f>IF(M95&lt;=0,0,ROUND(M95*(1+IF(AND(M$6&gt;0,$B96&lt;M$6),M$4,M$5)/12),2))</f>
        <v/>
      </c>
      <c r="AS96">
        <f>IF(N95&lt;=0,0,ROUND(N95*(1+IF(AND(N$6&gt;0,$B96&lt;N$6),N$4,N$5)/12),2))</f>
        <v/>
      </c>
    </row>
    <row r="97">
      <c r="A97" t="n">
        <v>86</v>
      </c>
      <c r="B97">
        <f>EDATE(Plan!$C$6,85)</f>
        <v/>
      </c>
      <c r="C97">
        <f>IF(C96&lt;=0,0,MAX(0,AH97-O97))</f>
        <v/>
      </c>
      <c r="D97">
        <f>IF(D96&lt;=0,0,MAX(0,AI97-P97))</f>
        <v/>
      </c>
      <c r="E97">
        <f>IF(E96&lt;=0,0,MAX(0,AJ97-Q97))</f>
        <v/>
      </c>
      <c r="F97">
        <f>IF(F96&lt;=0,0,MAX(0,AK97-R97))</f>
        <v/>
      </c>
      <c r="G97">
        <f>IF(G96&lt;=0,0,MAX(0,AL97-S97))</f>
        <v/>
      </c>
      <c r="H97">
        <f>IF(H96&lt;=0,0,MAX(0,AM97-T97))</f>
        <v/>
      </c>
      <c r="I97">
        <f>IF(I96&lt;=0,0,MAX(0,AN97-U97))</f>
        <v/>
      </c>
      <c r="J97">
        <f>IF(J96&lt;=0,0,MAX(0,AO97-V97))</f>
        <v/>
      </c>
      <c r="K97">
        <f>IF(K96&lt;=0,0,MAX(0,AP97-W97))</f>
        <v/>
      </c>
      <c r="L97">
        <f>IF(L96&lt;=0,0,MAX(0,AQ97-X97))</f>
        <v/>
      </c>
      <c r="M97">
        <f>IF(M96&lt;=0,0,MAX(0,AR97-Y97))</f>
        <v/>
      </c>
      <c r="N97">
        <f>IF(N96&lt;=0,0,MAX(0,AS97-Z97))</f>
        <v/>
      </c>
      <c r="O97">
        <f>IF(C96&lt;=0,0,MIN(AH97,C$7+IF(C$2=$AA97,$AC97,IF(C$2=$AF97,$AG97,0))))</f>
        <v/>
      </c>
      <c r="P97">
        <f>IF(D96&lt;=0,0,MIN(AI97,D$7+IF(D$2=$AA97,$AC97,IF(D$2=$AF97,$AG97,0))))</f>
        <v/>
      </c>
      <c r="Q97">
        <f>IF(E96&lt;=0,0,MIN(AJ97,E$7+IF(E$2=$AA97,$AC97,IF(E$2=$AF97,$AG97,0))))</f>
        <v/>
      </c>
      <c r="R97">
        <f>IF(F96&lt;=0,0,MIN(AK97,F$7+IF(F$2=$AA97,$AC97,IF(F$2=$AF97,$AG97,0))))</f>
        <v/>
      </c>
      <c r="S97">
        <f>IF(G96&lt;=0,0,MIN(AL97,G$7+IF(G$2=$AA97,$AC97,IF(G$2=$AF97,$AG97,0))))</f>
        <v/>
      </c>
      <c r="T97">
        <f>IF(H96&lt;=0,0,MIN(AM97,H$7+IF(H$2=$AA97,$AC97,IF(H$2=$AF97,$AG97,0))))</f>
        <v/>
      </c>
      <c r="U97">
        <f>IF(I96&lt;=0,0,MIN(AN97,I$7+IF(I$2=$AA97,$AC97,IF(I$2=$AF97,$AG97,0))))</f>
        <v/>
      </c>
      <c r="V97">
        <f>IF(J96&lt;=0,0,MIN(AO97,J$7+IF(J$2=$AA97,$AC97,IF(J$2=$AF97,$AG97,0))))</f>
        <v/>
      </c>
      <c r="W97">
        <f>IF(K96&lt;=0,0,MIN(AP97,K$7+IF(K$2=$AA97,$AC97,IF(K$2=$AF97,$AG97,0))))</f>
        <v/>
      </c>
      <c r="X97">
        <f>IF(L96&lt;=0,0,MIN(AQ97,L$7+IF(L$2=$AA97,$AC97,IF(L$2=$AF97,$AG97,0))))</f>
        <v/>
      </c>
      <c r="Y97">
        <f>IF(M96&lt;=0,0,MIN(AR97,M$7+IF(M$2=$AA97,$AC97,IF(M$2=$AF97,$AG97,0))))</f>
        <v/>
      </c>
      <c r="Z97">
        <f>IF(N96&lt;=0,0,MIN(AS97,N$7+IF(N$2=$AA97,$AC97,IF(N$2=$AF97,$AG97,0))))</f>
        <v/>
      </c>
      <c r="AA97">
        <f>IFERROR(ROUND(1/SUMPRODUCT(MAX((C96:N96&gt;0)*($C$3:$N$3&lt;=B97)/$C$2:$N$2)),0),0)</f>
        <v/>
      </c>
      <c r="AB97">
        <f>SUMPRODUCT((C96:N96&gt;0)*$C$7:$N$7)</f>
        <v/>
      </c>
      <c r="AC97">
        <f>MAX(0,Plan!$C$5-AB97)+IF(A97=Plan!$C$8,N(Plan!$C$7),0)</f>
        <v/>
      </c>
      <c r="AD97">
        <f>SUM(C97:N97)</f>
        <v/>
      </c>
      <c r="AE97">
        <f>SUM(O97:Z97)</f>
        <v/>
      </c>
      <c r="AF97">
        <f>IFERROR(ROUND(1/SUMPRODUCT(MAX((C96:N96&gt;0)*($C$3:$N$3&lt;=B97)*($C$2:$N$2&gt;AA97)/$C$2:$N$2)),0),0)</f>
        <v/>
      </c>
      <c r="AG97">
        <f>MAX(0,AC97-MAX(0,SUMPRODUCT(($C$2:$N$2=AA97)*(AH97:AS97-$C$7:$N$7))))</f>
        <v/>
      </c>
      <c r="AH97">
        <f>IF(C96&lt;=0,0,ROUND(C96*(1+IF(AND(C$6&gt;0,$B97&lt;C$6),C$4,C$5)/12),2))</f>
        <v/>
      </c>
      <c r="AI97">
        <f>IF(D96&lt;=0,0,ROUND(D96*(1+IF(AND(D$6&gt;0,$B97&lt;D$6),D$4,D$5)/12),2))</f>
        <v/>
      </c>
      <c r="AJ97">
        <f>IF(E96&lt;=0,0,ROUND(E96*(1+IF(AND(E$6&gt;0,$B97&lt;E$6),E$4,E$5)/12),2))</f>
        <v/>
      </c>
      <c r="AK97">
        <f>IF(F96&lt;=0,0,ROUND(F96*(1+IF(AND(F$6&gt;0,$B97&lt;F$6),F$4,F$5)/12),2))</f>
        <v/>
      </c>
      <c r="AL97">
        <f>IF(G96&lt;=0,0,ROUND(G96*(1+IF(AND(G$6&gt;0,$B97&lt;G$6),G$4,G$5)/12),2))</f>
        <v/>
      </c>
      <c r="AM97">
        <f>IF(H96&lt;=0,0,ROUND(H96*(1+IF(AND(H$6&gt;0,$B97&lt;H$6),H$4,H$5)/12),2))</f>
        <v/>
      </c>
      <c r="AN97">
        <f>IF(I96&lt;=0,0,ROUND(I96*(1+IF(AND(I$6&gt;0,$B97&lt;I$6),I$4,I$5)/12),2))</f>
        <v/>
      </c>
      <c r="AO97">
        <f>IF(J96&lt;=0,0,ROUND(J96*(1+IF(AND(J$6&gt;0,$B97&lt;J$6),J$4,J$5)/12),2))</f>
        <v/>
      </c>
      <c r="AP97">
        <f>IF(K96&lt;=0,0,ROUND(K96*(1+IF(AND(K$6&gt;0,$B97&lt;K$6),K$4,K$5)/12),2))</f>
        <v/>
      </c>
      <c r="AQ97">
        <f>IF(L96&lt;=0,0,ROUND(L96*(1+IF(AND(L$6&gt;0,$B97&lt;L$6),L$4,L$5)/12),2))</f>
        <v/>
      </c>
      <c r="AR97">
        <f>IF(M96&lt;=0,0,ROUND(M96*(1+IF(AND(M$6&gt;0,$B97&lt;M$6),M$4,M$5)/12),2))</f>
        <v/>
      </c>
      <c r="AS97">
        <f>IF(N96&lt;=0,0,ROUND(N96*(1+IF(AND(N$6&gt;0,$B97&lt;N$6),N$4,N$5)/12),2))</f>
        <v/>
      </c>
    </row>
    <row r="98">
      <c r="A98" t="n">
        <v>87</v>
      </c>
      <c r="B98">
        <f>EDATE(Plan!$C$6,86)</f>
        <v/>
      </c>
      <c r="C98">
        <f>IF(C97&lt;=0,0,MAX(0,AH98-O98))</f>
        <v/>
      </c>
      <c r="D98">
        <f>IF(D97&lt;=0,0,MAX(0,AI98-P98))</f>
        <v/>
      </c>
      <c r="E98">
        <f>IF(E97&lt;=0,0,MAX(0,AJ98-Q98))</f>
        <v/>
      </c>
      <c r="F98">
        <f>IF(F97&lt;=0,0,MAX(0,AK98-R98))</f>
        <v/>
      </c>
      <c r="G98">
        <f>IF(G97&lt;=0,0,MAX(0,AL98-S98))</f>
        <v/>
      </c>
      <c r="H98">
        <f>IF(H97&lt;=0,0,MAX(0,AM98-T98))</f>
        <v/>
      </c>
      <c r="I98">
        <f>IF(I97&lt;=0,0,MAX(0,AN98-U98))</f>
        <v/>
      </c>
      <c r="J98">
        <f>IF(J97&lt;=0,0,MAX(0,AO98-V98))</f>
        <v/>
      </c>
      <c r="K98">
        <f>IF(K97&lt;=0,0,MAX(0,AP98-W98))</f>
        <v/>
      </c>
      <c r="L98">
        <f>IF(L97&lt;=0,0,MAX(0,AQ98-X98))</f>
        <v/>
      </c>
      <c r="M98">
        <f>IF(M97&lt;=0,0,MAX(0,AR98-Y98))</f>
        <v/>
      </c>
      <c r="N98">
        <f>IF(N97&lt;=0,0,MAX(0,AS98-Z98))</f>
        <v/>
      </c>
      <c r="O98">
        <f>IF(C97&lt;=0,0,MIN(AH98,C$7+IF(C$2=$AA98,$AC98,IF(C$2=$AF98,$AG98,0))))</f>
        <v/>
      </c>
      <c r="P98">
        <f>IF(D97&lt;=0,0,MIN(AI98,D$7+IF(D$2=$AA98,$AC98,IF(D$2=$AF98,$AG98,0))))</f>
        <v/>
      </c>
      <c r="Q98">
        <f>IF(E97&lt;=0,0,MIN(AJ98,E$7+IF(E$2=$AA98,$AC98,IF(E$2=$AF98,$AG98,0))))</f>
        <v/>
      </c>
      <c r="R98">
        <f>IF(F97&lt;=0,0,MIN(AK98,F$7+IF(F$2=$AA98,$AC98,IF(F$2=$AF98,$AG98,0))))</f>
        <v/>
      </c>
      <c r="S98">
        <f>IF(G97&lt;=0,0,MIN(AL98,G$7+IF(G$2=$AA98,$AC98,IF(G$2=$AF98,$AG98,0))))</f>
        <v/>
      </c>
      <c r="T98">
        <f>IF(H97&lt;=0,0,MIN(AM98,H$7+IF(H$2=$AA98,$AC98,IF(H$2=$AF98,$AG98,0))))</f>
        <v/>
      </c>
      <c r="U98">
        <f>IF(I97&lt;=0,0,MIN(AN98,I$7+IF(I$2=$AA98,$AC98,IF(I$2=$AF98,$AG98,0))))</f>
        <v/>
      </c>
      <c r="V98">
        <f>IF(J97&lt;=0,0,MIN(AO98,J$7+IF(J$2=$AA98,$AC98,IF(J$2=$AF98,$AG98,0))))</f>
        <v/>
      </c>
      <c r="W98">
        <f>IF(K97&lt;=0,0,MIN(AP98,K$7+IF(K$2=$AA98,$AC98,IF(K$2=$AF98,$AG98,0))))</f>
        <v/>
      </c>
      <c r="X98">
        <f>IF(L97&lt;=0,0,MIN(AQ98,L$7+IF(L$2=$AA98,$AC98,IF(L$2=$AF98,$AG98,0))))</f>
        <v/>
      </c>
      <c r="Y98">
        <f>IF(M97&lt;=0,0,MIN(AR98,M$7+IF(M$2=$AA98,$AC98,IF(M$2=$AF98,$AG98,0))))</f>
        <v/>
      </c>
      <c r="Z98">
        <f>IF(N97&lt;=0,0,MIN(AS98,N$7+IF(N$2=$AA98,$AC98,IF(N$2=$AF98,$AG98,0))))</f>
        <v/>
      </c>
      <c r="AA98">
        <f>IFERROR(ROUND(1/SUMPRODUCT(MAX((C97:N97&gt;0)*($C$3:$N$3&lt;=B98)/$C$2:$N$2)),0),0)</f>
        <v/>
      </c>
      <c r="AB98">
        <f>SUMPRODUCT((C97:N97&gt;0)*$C$7:$N$7)</f>
        <v/>
      </c>
      <c r="AC98">
        <f>MAX(0,Plan!$C$5-AB98)+IF(A98=Plan!$C$8,N(Plan!$C$7),0)</f>
        <v/>
      </c>
      <c r="AD98">
        <f>SUM(C98:N98)</f>
        <v/>
      </c>
      <c r="AE98">
        <f>SUM(O98:Z98)</f>
        <v/>
      </c>
      <c r="AF98">
        <f>IFERROR(ROUND(1/SUMPRODUCT(MAX((C97:N97&gt;0)*($C$3:$N$3&lt;=B98)*($C$2:$N$2&gt;AA98)/$C$2:$N$2)),0),0)</f>
        <v/>
      </c>
      <c r="AG98">
        <f>MAX(0,AC98-MAX(0,SUMPRODUCT(($C$2:$N$2=AA98)*(AH98:AS98-$C$7:$N$7))))</f>
        <v/>
      </c>
      <c r="AH98">
        <f>IF(C97&lt;=0,0,ROUND(C97*(1+IF(AND(C$6&gt;0,$B98&lt;C$6),C$4,C$5)/12),2))</f>
        <v/>
      </c>
      <c r="AI98">
        <f>IF(D97&lt;=0,0,ROUND(D97*(1+IF(AND(D$6&gt;0,$B98&lt;D$6),D$4,D$5)/12),2))</f>
        <v/>
      </c>
      <c r="AJ98">
        <f>IF(E97&lt;=0,0,ROUND(E97*(1+IF(AND(E$6&gt;0,$B98&lt;E$6),E$4,E$5)/12),2))</f>
        <v/>
      </c>
      <c r="AK98">
        <f>IF(F97&lt;=0,0,ROUND(F97*(1+IF(AND(F$6&gt;0,$B98&lt;F$6),F$4,F$5)/12),2))</f>
        <v/>
      </c>
      <c r="AL98">
        <f>IF(G97&lt;=0,0,ROUND(G97*(1+IF(AND(G$6&gt;0,$B98&lt;G$6),G$4,G$5)/12),2))</f>
        <v/>
      </c>
      <c r="AM98">
        <f>IF(H97&lt;=0,0,ROUND(H97*(1+IF(AND(H$6&gt;0,$B98&lt;H$6),H$4,H$5)/12),2))</f>
        <v/>
      </c>
      <c r="AN98">
        <f>IF(I97&lt;=0,0,ROUND(I97*(1+IF(AND(I$6&gt;0,$B98&lt;I$6),I$4,I$5)/12),2))</f>
        <v/>
      </c>
      <c r="AO98">
        <f>IF(J97&lt;=0,0,ROUND(J97*(1+IF(AND(J$6&gt;0,$B98&lt;J$6),J$4,J$5)/12),2))</f>
        <v/>
      </c>
      <c r="AP98">
        <f>IF(K97&lt;=0,0,ROUND(K97*(1+IF(AND(K$6&gt;0,$B98&lt;K$6),K$4,K$5)/12),2))</f>
        <v/>
      </c>
      <c r="AQ98">
        <f>IF(L97&lt;=0,0,ROUND(L97*(1+IF(AND(L$6&gt;0,$B98&lt;L$6),L$4,L$5)/12),2))</f>
        <v/>
      </c>
      <c r="AR98">
        <f>IF(M97&lt;=0,0,ROUND(M97*(1+IF(AND(M$6&gt;0,$B98&lt;M$6),M$4,M$5)/12),2))</f>
        <v/>
      </c>
      <c r="AS98">
        <f>IF(N97&lt;=0,0,ROUND(N97*(1+IF(AND(N$6&gt;0,$B98&lt;N$6),N$4,N$5)/12),2))</f>
        <v/>
      </c>
    </row>
    <row r="99">
      <c r="A99" t="n">
        <v>88</v>
      </c>
      <c r="B99">
        <f>EDATE(Plan!$C$6,87)</f>
        <v/>
      </c>
      <c r="C99">
        <f>IF(C98&lt;=0,0,MAX(0,AH99-O99))</f>
        <v/>
      </c>
      <c r="D99">
        <f>IF(D98&lt;=0,0,MAX(0,AI99-P99))</f>
        <v/>
      </c>
      <c r="E99">
        <f>IF(E98&lt;=0,0,MAX(0,AJ99-Q99))</f>
        <v/>
      </c>
      <c r="F99">
        <f>IF(F98&lt;=0,0,MAX(0,AK99-R99))</f>
        <v/>
      </c>
      <c r="G99">
        <f>IF(G98&lt;=0,0,MAX(0,AL99-S99))</f>
        <v/>
      </c>
      <c r="H99">
        <f>IF(H98&lt;=0,0,MAX(0,AM99-T99))</f>
        <v/>
      </c>
      <c r="I99">
        <f>IF(I98&lt;=0,0,MAX(0,AN99-U99))</f>
        <v/>
      </c>
      <c r="J99">
        <f>IF(J98&lt;=0,0,MAX(0,AO99-V99))</f>
        <v/>
      </c>
      <c r="K99">
        <f>IF(K98&lt;=0,0,MAX(0,AP99-W99))</f>
        <v/>
      </c>
      <c r="L99">
        <f>IF(L98&lt;=0,0,MAX(0,AQ99-X99))</f>
        <v/>
      </c>
      <c r="M99">
        <f>IF(M98&lt;=0,0,MAX(0,AR99-Y99))</f>
        <v/>
      </c>
      <c r="N99">
        <f>IF(N98&lt;=0,0,MAX(0,AS99-Z99))</f>
        <v/>
      </c>
      <c r="O99">
        <f>IF(C98&lt;=0,0,MIN(AH99,C$7+IF(C$2=$AA99,$AC99,IF(C$2=$AF99,$AG99,0))))</f>
        <v/>
      </c>
      <c r="P99">
        <f>IF(D98&lt;=0,0,MIN(AI99,D$7+IF(D$2=$AA99,$AC99,IF(D$2=$AF99,$AG99,0))))</f>
        <v/>
      </c>
      <c r="Q99">
        <f>IF(E98&lt;=0,0,MIN(AJ99,E$7+IF(E$2=$AA99,$AC99,IF(E$2=$AF99,$AG99,0))))</f>
        <v/>
      </c>
      <c r="R99">
        <f>IF(F98&lt;=0,0,MIN(AK99,F$7+IF(F$2=$AA99,$AC99,IF(F$2=$AF99,$AG99,0))))</f>
        <v/>
      </c>
      <c r="S99">
        <f>IF(G98&lt;=0,0,MIN(AL99,G$7+IF(G$2=$AA99,$AC99,IF(G$2=$AF99,$AG99,0))))</f>
        <v/>
      </c>
      <c r="T99">
        <f>IF(H98&lt;=0,0,MIN(AM99,H$7+IF(H$2=$AA99,$AC99,IF(H$2=$AF99,$AG99,0))))</f>
        <v/>
      </c>
      <c r="U99">
        <f>IF(I98&lt;=0,0,MIN(AN99,I$7+IF(I$2=$AA99,$AC99,IF(I$2=$AF99,$AG99,0))))</f>
        <v/>
      </c>
      <c r="V99">
        <f>IF(J98&lt;=0,0,MIN(AO99,J$7+IF(J$2=$AA99,$AC99,IF(J$2=$AF99,$AG99,0))))</f>
        <v/>
      </c>
      <c r="W99">
        <f>IF(K98&lt;=0,0,MIN(AP99,K$7+IF(K$2=$AA99,$AC99,IF(K$2=$AF99,$AG99,0))))</f>
        <v/>
      </c>
      <c r="X99">
        <f>IF(L98&lt;=0,0,MIN(AQ99,L$7+IF(L$2=$AA99,$AC99,IF(L$2=$AF99,$AG99,0))))</f>
        <v/>
      </c>
      <c r="Y99">
        <f>IF(M98&lt;=0,0,MIN(AR99,M$7+IF(M$2=$AA99,$AC99,IF(M$2=$AF99,$AG99,0))))</f>
        <v/>
      </c>
      <c r="Z99">
        <f>IF(N98&lt;=0,0,MIN(AS99,N$7+IF(N$2=$AA99,$AC99,IF(N$2=$AF99,$AG99,0))))</f>
        <v/>
      </c>
      <c r="AA99">
        <f>IFERROR(ROUND(1/SUMPRODUCT(MAX((C98:N98&gt;0)*($C$3:$N$3&lt;=B99)/$C$2:$N$2)),0),0)</f>
        <v/>
      </c>
      <c r="AB99">
        <f>SUMPRODUCT((C98:N98&gt;0)*$C$7:$N$7)</f>
        <v/>
      </c>
      <c r="AC99">
        <f>MAX(0,Plan!$C$5-AB99)+IF(A99=Plan!$C$8,N(Plan!$C$7),0)</f>
        <v/>
      </c>
      <c r="AD99">
        <f>SUM(C99:N99)</f>
        <v/>
      </c>
      <c r="AE99">
        <f>SUM(O99:Z99)</f>
        <v/>
      </c>
      <c r="AF99">
        <f>IFERROR(ROUND(1/SUMPRODUCT(MAX((C98:N98&gt;0)*($C$3:$N$3&lt;=B99)*($C$2:$N$2&gt;AA99)/$C$2:$N$2)),0),0)</f>
        <v/>
      </c>
      <c r="AG99">
        <f>MAX(0,AC99-MAX(0,SUMPRODUCT(($C$2:$N$2=AA99)*(AH99:AS99-$C$7:$N$7))))</f>
        <v/>
      </c>
      <c r="AH99">
        <f>IF(C98&lt;=0,0,ROUND(C98*(1+IF(AND(C$6&gt;0,$B99&lt;C$6),C$4,C$5)/12),2))</f>
        <v/>
      </c>
      <c r="AI99">
        <f>IF(D98&lt;=0,0,ROUND(D98*(1+IF(AND(D$6&gt;0,$B99&lt;D$6),D$4,D$5)/12),2))</f>
        <v/>
      </c>
      <c r="AJ99">
        <f>IF(E98&lt;=0,0,ROUND(E98*(1+IF(AND(E$6&gt;0,$B99&lt;E$6),E$4,E$5)/12),2))</f>
        <v/>
      </c>
      <c r="AK99">
        <f>IF(F98&lt;=0,0,ROUND(F98*(1+IF(AND(F$6&gt;0,$B99&lt;F$6),F$4,F$5)/12),2))</f>
        <v/>
      </c>
      <c r="AL99">
        <f>IF(G98&lt;=0,0,ROUND(G98*(1+IF(AND(G$6&gt;0,$B99&lt;G$6),G$4,G$5)/12),2))</f>
        <v/>
      </c>
      <c r="AM99">
        <f>IF(H98&lt;=0,0,ROUND(H98*(1+IF(AND(H$6&gt;0,$B99&lt;H$6),H$4,H$5)/12),2))</f>
        <v/>
      </c>
      <c r="AN99">
        <f>IF(I98&lt;=0,0,ROUND(I98*(1+IF(AND(I$6&gt;0,$B99&lt;I$6),I$4,I$5)/12),2))</f>
        <v/>
      </c>
      <c r="AO99">
        <f>IF(J98&lt;=0,0,ROUND(J98*(1+IF(AND(J$6&gt;0,$B99&lt;J$6),J$4,J$5)/12),2))</f>
        <v/>
      </c>
      <c r="AP99">
        <f>IF(K98&lt;=0,0,ROUND(K98*(1+IF(AND(K$6&gt;0,$B99&lt;K$6),K$4,K$5)/12),2))</f>
        <v/>
      </c>
      <c r="AQ99">
        <f>IF(L98&lt;=0,0,ROUND(L98*(1+IF(AND(L$6&gt;0,$B99&lt;L$6),L$4,L$5)/12),2))</f>
        <v/>
      </c>
      <c r="AR99">
        <f>IF(M98&lt;=0,0,ROUND(M98*(1+IF(AND(M$6&gt;0,$B99&lt;M$6),M$4,M$5)/12),2))</f>
        <v/>
      </c>
      <c r="AS99">
        <f>IF(N98&lt;=0,0,ROUND(N98*(1+IF(AND(N$6&gt;0,$B99&lt;N$6),N$4,N$5)/12),2))</f>
        <v/>
      </c>
    </row>
    <row r="100">
      <c r="A100" t="n">
        <v>89</v>
      </c>
      <c r="B100">
        <f>EDATE(Plan!$C$6,88)</f>
        <v/>
      </c>
      <c r="C100">
        <f>IF(C99&lt;=0,0,MAX(0,AH100-O100))</f>
        <v/>
      </c>
      <c r="D100">
        <f>IF(D99&lt;=0,0,MAX(0,AI100-P100))</f>
        <v/>
      </c>
      <c r="E100">
        <f>IF(E99&lt;=0,0,MAX(0,AJ100-Q100))</f>
        <v/>
      </c>
      <c r="F100">
        <f>IF(F99&lt;=0,0,MAX(0,AK100-R100))</f>
        <v/>
      </c>
      <c r="G100">
        <f>IF(G99&lt;=0,0,MAX(0,AL100-S100))</f>
        <v/>
      </c>
      <c r="H100">
        <f>IF(H99&lt;=0,0,MAX(0,AM100-T100))</f>
        <v/>
      </c>
      <c r="I100">
        <f>IF(I99&lt;=0,0,MAX(0,AN100-U100))</f>
        <v/>
      </c>
      <c r="J100">
        <f>IF(J99&lt;=0,0,MAX(0,AO100-V100))</f>
        <v/>
      </c>
      <c r="K100">
        <f>IF(K99&lt;=0,0,MAX(0,AP100-W100))</f>
        <v/>
      </c>
      <c r="L100">
        <f>IF(L99&lt;=0,0,MAX(0,AQ100-X100))</f>
        <v/>
      </c>
      <c r="M100">
        <f>IF(M99&lt;=0,0,MAX(0,AR100-Y100))</f>
        <v/>
      </c>
      <c r="N100">
        <f>IF(N99&lt;=0,0,MAX(0,AS100-Z100))</f>
        <v/>
      </c>
      <c r="O100">
        <f>IF(C99&lt;=0,0,MIN(AH100,C$7+IF(C$2=$AA100,$AC100,IF(C$2=$AF100,$AG100,0))))</f>
        <v/>
      </c>
      <c r="P100">
        <f>IF(D99&lt;=0,0,MIN(AI100,D$7+IF(D$2=$AA100,$AC100,IF(D$2=$AF100,$AG100,0))))</f>
        <v/>
      </c>
      <c r="Q100">
        <f>IF(E99&lt;=0,0,MIN(AJ100,E$7+IF(E$2=$AA100,$AC100,IF(E$2=$AF100,$AG100,0))))</f>
        <v/>
      </c>
      <c r="R100">
        <f>IF(F99&lt;=0,0,MIN(AK100,F$7+IF(F$2=$AA100,$AC100,IF(F$2=$AF100,$AG100,0))))</f>
        <v/>
      </c>
      <c r="S100">
        <f>IF(G99&lt;=0,0,MIN(AL100,G$7+IF(G$2=$AA100,$AC100,IF(G$2=$AF100,$AG100,0))))</f>
        <v/>
      </c>
      <c r="T100">
        <f>IF(H99&lt;=0,0,MIN(AM100,H$7+IF(H$2=$AA100,$AC100,IF(H$2=$AF100,$AG100,0))))</f>
        <v/>
      </c>
      <c r="U100">
        <f>IF(I99&lt;=0,0,MIN(AN100,I$7+IF(I$2=$AA100,$AC100,IF(I$2=$AF100,$AG100,0))))</f>
        <v/>
      </c>
      <c r="V100">
        <f>IF(J99&lt;=0,0,MIN(AO100,J$7+IF(J$2=$AA100,$AC100,IF(J$2=$AF100,$AG100,0))))</f>
        <v/>
      </c>
      <c r="W100">
        <f>IF(K99&lt;=0,0,MIN(AP100,K$7+IF(K$2=$AA100,$AC100,IF(K$2=$AF100,$AG100,0))))</f>
        <v/>
      </c>
      <c r="X100">
        <f>IF(L99&lt;=0,0,MIN(AQ100,L$7+IF(L$2=$AA100,$AC100,IF(L$2=$AF100,$AG100,0))))</f>
        <v/>
      </c>
      <c r="Y100">
        <f>IF(M99&lt;=0,0,MIN(AR100,M$7+IF(M$2=$AA100,$AC100,IF(M$2=$AF100,$AG100,0))))</f>
        <v/>
      </c>
      <c r="Z100">
        <f>IF(N99&lt;=0,0,MIN(AS100,N$7+IF(N$2=$AA100,$AC100,IF(N$2=$AF100,$AG100,0))))</f>
        <v/>
      </c>
      <c r="AA100">
        <f>IFERROR(ROUND(1/SUMPRODUCT(MAX((C99:N99&gt;0)*($C$3:$N$3&lt;=B100)/$C$2:$N$2)),0),0)</f>
        <v/>
      </c>
      <c r="AB100">
        <f>SUMPRODUCT((C99:N99&gt;0)*$C$7:$N$7)</f>
        <v/>
      </c>
      <c r="AC100">
        <f>MAX(0,Plan!$C$5-AB100)+IF(A100=Plan!$C$8,N(Plan!$C$7),0)</f>
        <v/>
      </c>
      <c r="AD100">
        <f>SUM(C100:N100)</f>
        <v/>
      </c>
      <c r="AE100">
        <f>SUM(O100:Z100)</f>
        <v/>
      </c>
      <c r="AF100">
        <f>IFERROR(ROUND(1/SUMPRODUCT(MAX((C99:N99&gt;0)*($C$3:$N$3&lt;=B100)*($C$2:$N$2&gt;AA100)/$C$2:$N$2)),0),0)</f>
        <v/>
      </c>
      <c r="AG100">
        <f>MAX(0,AC100-MAX(0,SUMPRODUCT(($C$2:$N$2=AA100)*(AH100:AS100-$C$7:$N$7))))</f>
        <v/>
      </c>
      <c r="AH100">
        <f>IF(C99&lt;=0,0,ROUND(C99*(1+IF(AND(C$6&gt;0,$B100&lt;C$6),C$4,C$5)/12),2))</f>
        <v/>
      </c>
      <c r="AI100">
        <f>IF(D99&lt;=0,0,ROUND(D99*(1+IF(AND(D$6&gt;0,$B100&lt;D$6),D$4,D$5)/12),2))</f>
        <v/>
      </c>
      <c r="AJ100">
        <f>IF(E99&lt;=0,0,ROUND(E99*(1+IF(AND(E$6&gt;0,$B100&lt;E$6),E$4,E$5)/12),2))</f>
        <v/>
      </c>
      <c r="AK100">
        <f>IF(F99&lt;=0,0,ROUND(F99*(1+IF(AND(F$6&gt;0,$B100&lt;F$6),F$4,F$5)/12),2))</f>
        <v/>
      </c>
      <c r="AL100">
        <f>IF(G99&lt;=0,0,ROUND(G99*(1+IF(AND(G$6&gt;0,$B100&lt;G$6),G$4,G$5)/12),2))</f>
        <v/>
      </c>
      <c r="AM100">
        <f>IF(H99&lt;=0,0,ROUND(H99*(1+IF(AND(H$6&gt;0,$B100&lt;H$6),H$4,H$5)/12),2))</f>
        <v/>
      </c>
      <c r="AN100">
        <f>IF(I99&lt;=0,0,ROUND(I99*(1+IF(AND(I$6&gt;0,$B100&lt;I$6),I$4,I$5)/12),2))</f>
        <v/>
      </c>
      <c r="AO100">
        <f>IF(J99&lt;=0,0,ROUND(J99*(1+IF(AND(J$6&gt;0,$B100&lt;J$6),J$4,J$5)/12),2))</f>
        <v/>
      </c>
      <c r="AP100">
        <f>IF(K99&lt;=0,0,ROUND(K99*(1+IF(AND(K$6&gt;0,$B100&lt;K$6),K$4,K$5)/12),2))</f>
        <v/>
      </c>
      <c r="AQ100">
        <f>IF(L99&lt;=0,0,ROUND(L99*(1+IF(AND(L$6&gt;0,$B100&lt;L$6),L$4,L$5)/12),2))</f>
        <v/>
      </c>
      <c r="AR100">
        <f>IF(M99&lt;=0,0,ROUND(M99*(1+IF(AND(M$6&gt;0,$B100&lt;M$6),M$4,M$5)/12),2))</f>
        <v/>
      </c>
      <c r="AS100">
        <f>IF(N99&lt;=0,0,ROUND(N99*(1+IF(AND(N$6&gt;0,$B100&lt;N$6),N$4,N$5)/12),2))</f>
        <v/>
      </c>
    </row>
    <row r="101">
      <c r="A101" t="n">
        <v>90</v>
      </c>
      <c r="B101">
        <f>EDATE(Plan!$C$6,89)</f>
        <v/>
      </c>
      <c r="C101">
        <f>IF(C100&lt;=0,0,MAX(0,AH101-O101))</f>
        <v/>
      </c>
      <c r="D101">
        <f>IF(D100&lt;=0,0,MAX(0,AI101-P101))</f>
        <v/>
      </c>
      <c r="E101">
        <f>IF(E100&lt;=0,0,MAX(0,AJ101-Q101))</f>
        <v/>
      </c>
      <c r="F101">
        <f>IF(F100&lt;=0,0,MAX(0,AK101-R101))</f>
        <v/>
      </c>
      <c r="G101">
        <f>IF(G100&lt;=0,0,MAX(0,AL101-S101))</f>
        <v/>
      </c>
      <c r="H101">
        <f>IF(H100&lt;=0,0,MAX(0,AM101-T101))</f>
        <v/>
      </c>
      <c r="I101">
        <f>IF(I100&lt;=0,0,MAX(0,AN101-U101))</f>
        <v/>
      </c>
      <c r="J101">
        <f>IF(J100&lt;=0,0,MAX(0,AO101-V101))</f>
        <v/>
      </c>
      <c r="K101">
        <f>IF(K100&lt;=0,0,MAX(0,AP101-W101))</f>
        <v/>
      </c>
      <c r="L101">
        <f>IF(L100&lt;=0,0,MAX(0,AQ101-X101))</f>
        <v/>
      </c>
      <c r="M101">
        <f>IF(M100&lt;=0,0,MAX(0,AR101-Y101))</f>
        <v/>
      </c>
      <c r="N101">
        <f>IF(N100&lt;=0,0,MAX(0,AS101-Z101))</f>
        <v/>
      </c>
      <c r="O101">
        <f>IF(C100&lt;=0,0,MIN(AH101,C$7+IF(C$2=$AA101,$AC101,IF(C$2=$AF101,$AG101,0))))</f>
        <v/>
      </c>
      <c r="P101">
        <f>IF(D100&lt;=0,0,MIN(AI101,D$7+IF(D$2=$AA101,$AC101,IF(D$2=$AF101,$AG101,0))))</f>
        <v/>
      </c>
      <c r="Q101">
        <f>IF(E100&lt;=0,0,MIN(AJ101,E$7+IF(E$2=$AA101,$AC101,IF(E$2=$AF101,$AG101,0))))</f>
        <v/>
      </c>
      <c r="R101">
        <f>IF(F100&lt;=0,0,MIN(AK101,F$7+IF(F$2=$AA101,$AC101,IF(F$2=$AF101,$AG101,0))))</f>
        <v/>
      </c>
      <c r="S101">
        <f>IF(G100&lt;=0,0,MIN(AL101,G$7+IF(G$2=$AA101,$AC101,IF(G$2=$AF101,$AG101,0))))</f>
        <v/>
      </c>
      <c r="T101">
        <f>IF(H100&lt;=0,0,MIN(AM101,H$7+IF(H$2=$AA101,$AC101,IF(H$2=$AF101,$AG101,0))))</f>
        <v/>
      </c>
      <c r="U101">
        <f>IF(I100&lt;=0,0,MIN(AN101,I$7+IF(I$2=$AA101,$AC101,IF(I$2=$AF101,$AG101,0))))</f>
        <v/>
      </c>
      <c r="V101">
        <f>IF(J100&lt;=0,0,MIN(AO101,J$7+IF(J$2=$AA101,$AC101,IF(J$2=$AF101,$AG101,0))))</f>
        <v/>
      </c>
      <c r="W101">
        <f>IF(K100&lt;=0,0,MIN(AP101,K$7+IF(K$2=$AA101,$AC101,IF(K$2=$AF101,$AG101,0))))</f>
        <v/>
      </c>
      <c r="X101">
        <f>IF(L100&lt;=0,0,MIN(AQ101,L$7+IF(L$2=$AA101,$AC101,IF(L$2=$AF101,$AG101,0))))</f>
        <v/>
      </c>
      <c r="Y101">
        <f>IF(M100&lt;=0,0,MIN(AR101,M$7+IF(M$2=$AA101,$AC101,IF(M$2=$AF101,$AG101,0))))</f>
        <v/>
      </c>
      <c r="Z101">
        <f>IF(N100&lt;=0,0,MIN(AS101,N$7+IF(N$2=$AA101,$AC101,IF(N$2=$AF101,$AG101,0))))</f>
        <v/>
      </c>
      <c r="AA101">
        <f>IFERROR(ROUND(1/SUMPRODUCT(MAX((C100:N100&gt;0)*($C$3:$N$3&lt;=B101)/$C$2:$N$2)),0),0)</f>
        <v/>
      </c>
      <c r="AB101">
        <f>SUMPRODUCT((C100:N100&gt;0)*$C$7:$N$7)</f>
        <v/>
      </c>
      <c r="AC101">
        <f>MAX(0,Plan!$C$5-AB101)+IF(A101=Plan!$C$8,N(Plan!$C$7),0)</f>
        <v/>
      </c>
      <c r="AD101">
        <f>SUM(C101:N101)</f>
        <v/>
      </c>
      <c r="AE101">
        <f>SUM(O101:Z101)</f>
        <v/>
      </c>
      <c r="AF101">
        <f>IFERROR(ROUND(1/SUMPRODUCT(MAX((C100:N100&gt;0)*($C$3:$N$3&lt;=B101)*($C$2:$N$2&gt;AA101)/$C$2:$N$2)),0),0)</f>
        <v/>
      </c>
      <c r="AG101">
        <f>MAX(0,AC101-MAX(0,SUMPRODUCT(($C$2:$N$2=AA101)*(AH101:AS101-$C$7:$N$7))))</f>
        <v/>
      </c>
      <c r="AH101">
        <f>IF(C100&lt;=0,0,ROUND(C100*(1+IF(AND(C$6&gt;0,$B101&lt;C$6),C$4,C$5)/12),2))</f>
        <v/>
      </c>
      <c r="AI101">
        <f>IF(D100&lt;=0,0,ROUND(D100*(1+IF(AND(D$6&gt;0,$B101&lt;D$6),D$4,D$5)/12),2))</f>
        <v/>
      </c>
      <c r="AJ101">
        <f>IF(E100&lt;=0,0,ROUND(E100*(1+IF(AND(E$6&gt;0,$B101&lt;E$6),E$4,E$5)/12),2))</f>
        <v/>
      </c>
      <c r="AK101">
        <f>IF(F100&lt;=0,0,ROUND(F100*(1+IF(AND(F$6&gt;0,$B101&lt;F$6),F$4,F$5)/12),2))</f>
        <v/>
      </c>
      <c r="AL101">
        <f>IF(G100&lt;=0,0,ROUND(G100*(1+IF(AND(G$6&gt;0,$B101&lt;G$6),G$4,G$5)/12),2))</f>
        <v/>
      </c>
      <c r="AM101">
        <f>IF(H100&lt;=0,0,ROUND(H100*(1+IF(AND(H$6&gt;0,$B101&lt;H$6),H$4,H$5)/12),2))</f>
        <v/>
      </c>
      <c r="AN101">
        <f>IF(I100&lt;=0,0,ROUND(I100*(1+IF(AND(I$6&gt;0,$B101&lt;I$6),I$4,I$5)/12),2))</f>
        <v/>
      </c>
      <c r="AO101">
        <f>IF(J100&lt;=0,0,ROUND(J100*(1+IF(AND(J$6&gt;0,$B101&lt;J$6),J$4,J$5)/12),2))</f>
        <v/>
      </c>
      <c r="AP101">
        <f>IF(K100&lt;=0,0,ROUND(K100*(1+IF(AND(K$6&gt;0,$B101&lt;K$6),K$4,K$5)/12),2))</f>
        <v/>
      </c>
      <c r="AQ101">
        <f>IF(L100&lt;=0,0,ROUND(L100*(1+IF(AND(L$6&gt;0,$B101&lt;L$6),L$4,L$5)/12),2))</f>
        <v/>
      </c>
      <c r="AR101">
        <f>IF(M100&lt;=0,0,ROUND(M100*(1+IF(AND(M$6&gt;0,$B101&lt;M$6),M$4,M$5)/12),2))</f>
        <v/>
      </c>
      <c r="AS101">
        <f>IF(N100&lt;=0,0,ROUND(N100*(1+IF(AND(N$6&gt;0,$B101&lt;N$6),N$4,N$5)/12),2))</f>
        <v/>
      </c>
    </row>
    <row r="102">
      <c r="A102" t="n">
        <v>91</v>
      </c>
      <c r="B102">
        <f>EDATE(Plan!$C$6,90)</f>
        <v/>
      </c>
      <c r="C102">
        <f>IF(C101&lt;=0,0,MAX(0,AH102-O102))</f>
        <v/>
      </c>
      <c r="D102">
        <f>IF(D101&lt;=0,0,MAX(0,AI102-P102))</f>
        <v/>
      </c>
      <c r="E102">
        <f>IF(E101&lt;=0,0,MAX(0,AJ102-Q102))</f>
        <v/>
      </c>
      <c r="F102">
        <f>IF(F101&lt;=0,0,MAX(0,AK102-R102))</f>
        <v/>
      </c>
      <c r="G102">
        <f>IF(G101&lt;=0,0,MAX(0,AL102-S102))</f>
        <v/>
      </c>
      <c r="H102">
        <f>IF(H101&lt;=0,0,MAX(0,AM102-T102))</f>
        <v/>
      </c>
      <c r="I102">
        <f>IF(I101&lt;=0,0,MAX(0,AN102-U102))</f>
        <v/>
      </c>
      <c r="J102">
        <f>IF(J101&lt;=0,0,MAX(0,AO102-V102))</f>
        <v/>
      </c>
      <c r="K102">
        <f>IF(K101&lt;=0,0,MAX(0,AP102-W102))</f>
        <v/>
      </c>
      <c r="L102">
        <f>IF(L101&lt;=0,0,MAX(0,AQ102-X102))</f>
        <v/>
      </c>
      <c r="M102">
        <f>IF(M101&lt;=0,0,MAX(0,AR102-Y102))</f>
        <v/>
      </c>
      <c r="N102">
        <f>IF(N101&lt;=0,0,MAX(0,AS102-Z102))</f>
        <v/>
      </c>
      <c r="O102">
        <f>IF(C101&lt;=0,0,MIN(AH102,C$7+IF(C$2=$AA102,$AC102,IF(C$2=$AF102,$AG102,0))))</f>
        <v/>
      </c>
      <c r="P102">
        <f>IF(D101&lt;=0,0,MIN(AI102,D$7+IF(D$2=$AA102,$AC102,IF(D$2=$AF102,$AG102,0))))</f>
        <v/>
      </c>
      <c r="Q102">
        <f>IF(E101&lt;=0,0,MIN(AJ102,E$7+IF(E$2=$AA102,$AC102,IF(E$2=$AF102,$AG102,0))))</f>
        <v/>
      </c>
      <c r="R102">
        <f>IF(F101&lt;=0,0,MIN(AK102,F$7+IF(F$2=$AA102,$AC102,IF(F$2=$AF102,$AG102,0))))</f>
        <v/>
      </c>
      <c r="S102">
        <f>IF(G101&lt;=0,0,MIN(AL102,G$7+IF(G$2=$AA102,$AC102,IF(G$2=$AF102,$AG102,0))))</f>
        <v/>
      </c>
      <c r="T102">
        <f>IF(H101&lt;=0,0,MIN(AM102,H$7+IF(H$2=$AA102,$AC102,IF(H$2=$AF102,$AG102,0))))</f>
        <v/>
      </c>
      <c r="U102">
        <f>IF(I101&lt;=0,0,MIN(AN102,I$7+IF(I$2=$AA102,$AC102,IF(I$2=$AF102,$AG102,0))))</f>
        <v/>
      </c>
      <c r="V102">
        <f>IF(J101&lt;=0,0,MIN(AO102,J$7+IF(J$2=$AA102,$AC102,IF(J$2=$AF102,$AG102,0))))</f>
        <v/>
      </c>
      <c r="W102">
        <f>IF(K101&lt;=0,0,MIN(AP102,K$7+IF(K$2=$AA102,$AC102,IF(K$2=$AF102,$AG102,0))))</f>
        <v/>
      </c>
      <c r="X102">
        <f>IF(L101&lt;=0,0,MIN(AQ102,L$7+IF(L$2=$AA102,$AC102,IF(L$2=$AF102,$AG102,0))))</f>
        <v/>
      </c>
      <c r="Y102">
        <f>IF(M101&lt;=0,0,MIN(AR102,M$7+IF(M$2=$AA102,$AC102,IF(M$2=$AF102,$AG102,0))))</f>
        <v/>
      </c>
      <c r="Z102">
        <f>IF(N101&lt;=0,0,MIN(AS102,N$7+IF(N$2=$AA102,$AC102,IF(N$2=$AF102,$AG102,0))))</f>
        <v/>
      </c>
      <c r="AA102">
        <f>IFERROR(ROUND(1/SUMPRODUCT(MAX((C101:N101&gt;0)*($C$3:$N$3&lt;=B102)/$C$2:$N$2)),0),0)</f>
        <v/>
      </c>
      <c r="AB102">
        <f>SUMPRODUCT((C101:N101&gt;0)*$C$7:$N$7)</f>
        <v/>
      </c>
      <c r="AC102">
        <f>MAX(0,Plan!$C$5-AB102)+IF(A102=Plan!$C$8,N(Plan!$C$7),0)</f>
        <v/>
      </c>
      <c r="AD102">
        <f>SUM(C102:N102)</f>
        <v/>
      </c>
      <c r="AE102">
        <f>SUM(O102:Z102)</f>
        <v/>
      </c>
      <c r="AF102">
        <f>IFERROR(ROUND(1/SUMPRODUCT(MAX((C101:N101&gt;0)*($C$3:$N$3&lt;=B102)*($C$2:$N$2&gt;AA102)/$C$2:$N$2)),0),0)</f>
        <v/>
      </c>
      <c r="AG102">
        <f>MAX(0,AC102-MAX(0,SUMPRODUCT(($C$2:$N$2=AA102)*(AH102:AS102-$C$7:$N$7))))</f>
        <v/>
      </c>
      <c r="AH102">
        <f>IF(C101&lt;=0,0,ROUND(C101*(1+IF(AND(C$6&gt;0,$B102&lt;C$6),C$4,C$5)/12),2))</f>
        <v/>
      </c>
      <c r="AI102">
        <f>IF(D101&lt;=0,0,ROUND(D101*(1+IF(AND(D$6&gt;0,$B102&lt;D$6),D$4,D$5)/12),2))</f>
        <v/>
      </c>
      <c r="AJ102">
        <f>IF(E101&lt;=0,0,ROUND(E101*(1+IF(AND(E$6&gt;0,$B102&lt;E$6),E$4,E$5)/12),2))</f>
        <v/>
      </c>
      <c r="AK102">
        <f>IF(F101&lt;=0,0,ROUND(F101*(1+IF(AND(F$6&gt;0,$B102&lt;F$6),F$4,F$5)/12),2))</f>
        <v/>
      </c>
      <c r="AL102">
        <f>IF(G101&lt;=0,0,ROUND(G101*(1+IF(AND(G$6&gt;0,$B102&lt;G$6),G$4,G$5)/12),2))</f>
        <v/>
      </c>
      <c r="AM102">
        <f>IF(H101&lt;=0,0,ROUND(H101*(1+IF(AND(H$6&gt;0,$B102&lt;H$6),H$4,H$5)/12),2))</f>
        <v/>
      </c>
      <c r="AN102">
        <f>IF(I101&lt;=0,0,ROUND(I101*(1+IF(AND(I$6&gt;0,$B102&lt;I$6),I$4,I$5)/12),2))</f>
        <v/>
      </c>
      <c r="AO102">
        <f>IF(J101&lt;=0,0,ROUND(J101*(1+IF(AND(J$6&gt;0,$B102&lt;J$6),J$4,J$5)/12),2))</f>
        <v/>
      </c>
      <c r="AP102">
        <f>IF(K101&lt;=0,0,ROUND(K101*(1+IF(AND(K$6&gt;0,$B102&lt;K$6),K$4,K$5)/12),2))</f>
        <v/>
      </c>
      <c r="AQ102">
        <f>IF(L101&lt;=0,0,ROUND(L101*(1+IF(AND(L$6&gt;0,$B102&lt;L$6),L$4,L$5)/12),2))</f>
        <v/>
      </c>
      <c r="AR102">
        <f>IF(M101&lt;=0,0,ROUND(M101*(1+IF(AND(M$6&gt;0,$B102&lt;M$6),M$4,M$5)/12),2))</f>
        <v/>
      </c>
      <c r="AS102">
        <f>IF(N101&lt;=0,0,ROUND(N101*(1+IF(AND(N$6&gt;0,$B102&lt;N$6),N$4,N$5)/12),2))</f>
        <v/>
      </c>
    </row>
    <row r="103">
      <c r="A103" t="n">
        <v>92</v>
      </c>
      <c r="B103">
        <f>EDATE(Plan!$C$6,91)</f>
        <v/>
      </c>
      <c r="C103">
        <f>IF(C102&lt;=0,0,MAX(0,AH103-O103))</f>
        <v/>
      </c>
      <c r="D103">
        <f>IF(D102&lt;=0,0,MAX(0,AI103-P103))</f>
        <v/>
      </c>
      <c r="E103">
        <f>IF(E102&lt;=0,0,MAX(0,AJ103-Q103))</f>
        <v/>
      </c>
      <c r="F103">
        <f>IF(F102&lt;=0,0,MAX(0,AK103-R103))</f>
        <v/>
      </c>
      <c r="G103">
        <f>IF(G102&lt;=0,0,MAX(0,AL103-S103))</f>
        <v/>
      </c>
      <c r="H103">
        <f>IF(H102&lt;=0,0,MAX(0,AM103-T103))</f>
        <v/>
      </c>
      <c r="I103">
        <f>IF(I102&lt;=0,0,MAX(0,AN103-U103))</f>
        <v/>
      </c>
      <c r="J103">
        <f>IF(J102&lt;=0,0,MAX(0,AO103-V103))</f>
        <v/>
      </c>
      <c r="K103">
        <f>IF(K102&lt;=0,0,MAX(0,AP103-W103))</f>
        <v/>
      </c>
      <c r="L103">
        <f>IF(L102&lt;=0,0,MAX(0,AQ103-X103))</f>
        <v/>
      </c>
      <c r="M103">
        <f>IF(M102&lt;=0,0,MAX(0,AR103-Y103))</f>
        <v/>
      </c>
      <c r="N103">
        <f>IF(N102&lt;=0,0,MAX(0,AS103-Z103))</f>
        <v/>
      </c>
      <c r="O103">
        <f>IF(C102&lt;=0,0,MIN(AH103,C$7+IF(C$2=$AA103,$AC103,IF(C$2=$AF103,$AG103,0))))</f>
        <v/>
      </c>
      <c r="P103">
        <f>IF(D102&lt;=0,0,MIN(AI103,D$7+IF(D$2=$AA103,$AC103,IF(D$2=$AF103,$AG103,0))))</f>
        <v/>
      </c>
      <c r="Q103">
        <f>IF(E102&lt;=0,0,MIN(AJ103,E$7+IF(E$2=$AA103,$AC103,IF(E$2=$AF103,$AG103,0))))</f>
        <v/>
      </c>
      <c r="R103">
        <f>IF(F102&lt;=0,0,MIN(AK103,F$7+IF(F$2=$AA103,$AC103,IF(F$2=$AF103,$AG103,0))))</f>
        <v/>
      </c>
      <c r="S103">
        <f>IF(G102&lt;=0,0,MIN(AL103,G$7+IF(G$2=$AA103,$AC103,IF(G$2=$AF103,$AG103,0))))</f>
        <v/>
      </c>
      <c r="T103">
        <f>IF(H102&lt;=0,0,MIN(AM103,H$7+IF(H$2=$AA103,$AC103,IF(H$2=$AF103,$AG103,0))))</f>
        <v/>
      </c>
      <c r="U103">
        <f>IF(I102&lt;=0,0,MIN(AN103,I$7+IF(I$2=$AA103,$AC103,IF(I$2=$AF103,$AG103,0))))</f>
        <v/>
      </c>
      <c r="V103">
        <f>IF(J102&lt;=0,0,MIN(AO103,J$7+IF(J$2=$AA103,$AC103,IF(J$2=$AF103,$AG103,0))))</f>
        <v/>
      </c>
      <c r="W103">
        <f>IF(K102&lt;=0,0,MIN(AP103,K$7+IF(K$2=$AA103,$AC103,IF(K$2=$AF103,$AG103,0))))</f>
        <v/>
      </c>
      <c r="X103">
        <f>IF(L102&lt;=0,0,MIN(AQ103,L$7+IF(L$2=$AA103,$AC103,IF(L$2=$AF103,$AG103,0))))</f>
        <v/>
      </c>
      <c r="Y103">
        <f>IF(M102&lt;=0,0,MIN(AR103,M$7+IF(M$2=$AA103,$AC103,IF(M$2=$AF103,$AG103,0))))</f>
        <v/>
      </c>
      <c r="Z103">
        <f>IF(N102&lt;=0,0,MIN(AS103,N$7+IF(N$2=$AA103,$AC103,IF(N$2=$AF103,$AG103,0))))</f>
        <v/>
      </c>
      <c r="AA103">
        <f>IFERROR(ROUND(1/SUMPRODUCT(MAX((C102:N102&gt;0)*($C$3:$N$3&lt;=B103)/$C$2:$N$2)),0),0)</f>
        <v/>
      </c>
      <c r="AB103">
        <f>SUMPRODUCT((C102:N102&gt;0)*$C$7:$N$7)</f>
        <v/>
      </c>
      <c r="AC103">
        <f>MAX(0,Plan!$C$5-AB103)+IF(A103=Plan!$C$8,N(Plan!$C$7),0)</f>
        <v/>
      </c>
      <c r="AD103">
        <f>SUM(C103:N103)</f>
        <v/>
      </c>
      <c r="AE103">
        <f>SUM(O103:Z103)</f>
        <v/>
      </c>
      <c r="AF103">
        <f>IFERROR(ROUND(1/SUMPRODUCT(MAX((C102:N102&gt;0)*($C$3:$N$3&lt;=B103)*($C$2:$N$2&gt;AA103)/$C$2:$N$2)),0),0)</f>
        <v/>
      </c>
      <c r="AG103">
        <f>MAX(0,AC103-MAX(0,SUMPRODUCT(($C$2:$N$2=AA103)*(AH103:AS103-$C$7:$N$7))))</f>
        <v/>
      </c>
      <c r="AH103">
        <f>IF(C102&lt;=0,0,ROUND(C102*(1+IF(AND(C$6&gt;0,$B103&lt;C$6),C$4,C$5)/12),2))</f>
        <v/>
      </c>
      <c r="AI103">
        <f>IF(D102&lt;=0,0,ROUND(D102*(1+IF(AND(D$6&gt;0,$B103&lt;D$6),D$4,D$5)/12),2))</f>
        <v/>
      </c>
      <c r="AJ103">
        <f>IF(E102&lt;=0,0,ROUND(E102*(1+IF(AND(E$6&gt;0,$B103&lt;E$6),E$4,E$5)/12),2))</f>
        <v/>
      </c>
      <c r="AK103">
        <f>IF(F102&lt;=0,0,ROUND(F102*(1+IF(AND(F$6&gt;0,$B103&lt;F$6),F$4,F$5)/12),2))</f>
        <v/>
      </c>
      <c r="AL103">
        <f>IF(G102&lt;=0,0,ROUND(G102*(1+IF(AND(G$6&gt;0,$B103&lt;G$6),G$4,G$5)/12),2))</f>
        <v/>
      </c>
      <c r="AM103">
        <f>IF(H102&lt;=0,0,ROUND(H102*(1+IF(AND(H$6&gt;0,$B103&lt;H$6),H$4,H$5)/12),2))</f>
        <v/>
      </c>
      <c r="AN103">
        <f>IF(I102&lt;=0,0,ROUND(I102*(1+IF(AND(I$6&gt;0,$B103&lt;I$6),I$4,I$5)/12),2))</f>
        <v/>
      </c>
      <c r="AO103">
        <f>IF(J102&lt;=0,0,ROUND(J102*(1+IF(AND(J$6&gt;0,$B103&lt;J$6),J$4,J$5)/12),2))</f>
        <v/>
      </c>
      <c r="AP103">
        <f>IF(K102&lt;=0,0,ROUND(K102*(1+IF(AND(K$6&gt;0,$B103&lt;K$6),K$4,K$5)/12),2))</f>
        <v/>
      </c>
      <c r="AQ103">
        <f>IF(L102&lt;=0,0,ROUND(L102*(1+IF(AND(L$6&gt;0,$B103&lt;L$6),L$4,L$5)/12),2))</f>
        <v/>
      </c>
      <c r="AR103">
        <f>IF(M102&lt;=0,0,ROUND(M102*(1+IF(AND(M$6&gt;0,$B103&lt;M$6),M$4,M$5)/12),2))</f>
        <v/>
      </c>
      <c r="AS103">
        <f>IF(N102&lt;=0,0,ROUND(N102*(1+IF(AND(N$6&gt;0,$B103&lt;N$6),N$4,N$5)/12),2))</f>
        <v/>
      </c>
    </row>
    <row r="104">
      <c r="A104" t="n">
        <v>93</v>
      </c>
      <c r="B104">
        <f>EDATE(Plan!$C$6,92)</f>
        <v/>
      </c>
      <c r="C104">
        <f>IF(C103&lt;=0,0,MAX(0,AH104-O104))</f>
        <v/>
      </c>
      <c r="D104">
        <f>IF(D103&lt;=0,0,MAX(0,AI104-P104))</f>
        <v/>
      </c>
      <c r="E104">
        <f>IF(E103&lt;=0,0,MAX(0,AJ104-Q104))</f>
        <v/>
      </c>
      <c r="F104">
        <f>IF(F103&lt;=0,0,MAX(0,AK104-R104))</f>
        <v/>
      </c>
      <c r="G104">
        <f>IF(G103&lt;=0,0,MAX(0,AL104-S104))</f>
        <v/>
      </c>
      <c r="H104">
        <f>IF(H103&lt;=0,0,MAX(0,AM104-T104))</f>
        <v/>
      </c>
      <c r="I104">
        <f>IF(I103&lt;=0,0,MAX(0,AN104-U104))</f>
        <v/>
      </c>
      <c r="J104">
        <f>IF(J103&lt;=0,0,MAX(0,AO104-V104))</f>
        <v/>
      </c>
      <c r="K104">
        <f>IF(K103&lt;=0,0,MAX(0,AP104-W104))</f>
        <v/>
      </c>
      <c r="L104">
        <f>IF(L103&lt;=0,0,MAX(0,AQ104-X104))</f>
        <v/>
      </c>
      <c r="M104">
        <f>IF(M103&lt;=0,0,MAX(0,AR104-Y104))</f>
        <v/>
      </c>
      <c r="N104">
        <f>IF(N103&lt;=0,0,MAX(0,AS104-Z104))</f>
        <v/>
      </c>
      <c r="O104">
        <f>IF(C103&lt;=0,0,MIN(AH104,C$7+IF(C$2=$AA104,$AC104,IF(C$2=$AF104,$AG104,0))))</f>
        <v/>
      </c>
      <c r="P104">
        <f>IF(D103&lt;=0,0,MIN(AI104,D$7+IF(D$2=$AA104,$AC104,IF(D$2=$AF104,$AG104,0))))</f>
        <v/>
      </c>
      <c r="Q104">
        <f>IF(E103&lt;=0,0,MIN(AJ104,E$7+IF(E$2=$AA104,$AC104,IF(E$2=$AF104,$AG104,0))))</f>
        <v/>
      </c>
      <c r="R104">
        <f>IF(F103&lt;=0,0,MIN(AK104,F$7+IF(F$2=$AA104,$AC104,IF(F$2=$AF104,$AG104,0))))</f>
        <v/>
      </c>
      <c r="S104">
        <f>IF(G103&lt;=0,0,MIN(AL104,G$7+IF(G$2=$AA104,$AC104,IF(G$2=$AF104,$AG104,0))))</f>
        <v/>
      </c>
      <c r="T104">
        <f>IF(H103&lt;=0,0,MIN(AM104,H$7+IF(H$2=$AA104,$AC104,IF(H$2=$AF104,$AG104,0))))</f>
        <v/>
      </c>
      <c r="U104">
        <f>IF(I103&lt;=0,0,MIN(AN104,I$7+IF(I$2=$AA104,$AC104,IF(I$2=$AF104,$AG104,0))))</f>
        <v/>
      </c>
      <c r="V104">
        <f>IF(J103&lt;=0,0,MIN(AO104,J$7+IF(J$2=$AA104,$AC104,IF(J$2=$AF104,$AG104,0))))</f>
        <v/>
      </c>
      <c r="W104">
        <f>IF(K103&lt;=0,0,MIN(AP104,K$7+IF(K$2=$AA104,$AC104,IF(K$2=$AF104,$AG104,0))))</f>
        <v/>
      </c>
      <c r="X104">
        <f>IF(L103&lt;=0,0,MIN(AQ104,L$7+IF(L$2=$AA104,$AC104,IF(L$2=$AF104,$AG104,0))))</f>
        <v/>
      </c>
      <c r="Y104">
        <f>IF(M103&lt;=0,0,MIN(AR104,M$7+IF(M$2=$AA104,$AC104,IF(M$2=$AF104,$AG104,0))))</f>
        <v/>
      </c>
      <c r="Z104">
        <f>IF(N103&lt;=0,0,MIN(AS104,N$7+IF(N$2=$AA104,$AC104,IF(N$2=$AF104,$AG104,0))))</f>
        <v/>
      </c>
      <c r="AA104">
        <f>IFERROR(ROUND(1/SUMPRODUCT(MAX((C103:N103&gt;0)*($C$3:$N$3&lt;=B104)/$C$2:$N$2)),0),0)</f>
        <v/>
      </c>
      <c r="AB104">
        <f>SUMPRODUCT((C103:N103&gt;0)*$C$7:$N$7)</f>
        <v/>
      </c>
      <c r="AC104">
        <f>MAX(0,Plan!$C$5-AB104)+IF(A104=Plan!$C$8,N(Plan!$C$7),0)</f>
        <v/>
      </c>
      <c r="AD104">
        <f>SUM(C104:N104)</f>
        <v/>
      </c>
      <c r="AE104">
        <f>SUM(O104:Z104)</f>
        <v/>
      </c>
      <c r="AF104">
        <f>IFERROR(ROUND(1/SUMPRODUCT(MAX((C103:N103&gt;0)*($C$3:$N$3&lt;=B104)*($C$2:$N$2&gt;AA104)/$C$2:$N$2)),0),0)</f>
        <v/>
      </c>
      <c r="AG104">
        <f>MAX(0,AC104-MAX(0,SUMPRODUCT(($C$2:$N$2=AA104)*(AH104:AS104-$C$7:$N$7))))</f>
        <v/>
      </c>
      <c r="AH104">
        <f>IF(C103&lt;=0,0,ROUND(C103*(1+IF(AND(C$6&gt;0,$B104&lt;C$6),C$4,C$5)/12),2))</f>
        <v/>
      </c>
      <c r="AI104">
        <f>IF(D103&lt;=0,0,ROUND(D103*(1+IF(AND(D$6&gt;0,$B104&lt;D$6),D$4,D$5)/12),2))</f>
        <v/>
      </c>
      <c r="AJ104">
        <f>IF(E103&lt;=0,0,ROUND(E103*(1+IF(AND(E$6&gt;0,$B104&lt;E$6),E$4,E$5)/12),2))</f>
        <v/>
      </c>
      <c r="AK104">
        <f>IF(F103&lt;=0,0,ROUND(F103*(1+IF(AND(F$6&gt;0,$B104&lt;F$6),F$4,F$5)/12),2))</f>
        <v/>
      </c>
      <c r="AL104">
        <f>IF(G103&lt;=0,0,ROUND(G103*(1+IF(AND(G$6&gt;0,$B104&lt;G$6),G$4,G$5)/12),2))</f>
        <v/>
      </c>
      <c r="AM104">
        <f>IF(H103&lt;=0,0,ROUND(H103*(1+IF(AND(H$6&gt;0,$B104&lt;H$6),H$4,H$5)/12),2))</f>
        <v/>
      </c>
      <c r="AN104">
        <f>IF(I103&lt;=0,0,ROUND(I103*(1+IF(AND(I$6&gt;0,$B104&lt;I$6),I$4,I$5)/12),2))</f>
        <v/>
      </c>
      <c r="AO104">
        <f>IF(J103&lt;=0,0,ROUND(J103*(1+IF(AND(J$6&gt;0,$B104&lt;J$6),J$4,J$5)/12),2))</f>
        <v/>
      </c>
      <c r="AP104">
        <f>IF(K103&lt;=0,0,ROUND(K103*(1+IF(AND(K$6&gt;0,$B104&lt;K$6),K$4,K$5)/12),2))</f>
        <v/>
      </c>
      <c r="AQ104">
        <f>IF(L103&lt;=0,0,ROUND(L103*(1+IF(AND(L$6&gt;0,$B104&lt;L$6),L$4,L$5)/12),2))</f>
        <v/>
      </c>
      <c r="AR104">
        <f>IF(M103&lt;=0,0,ROUND(M103*(1+IF(AND(M$6&gt;0,$B104&lt;M$6),M$4,M$5)/12),2))</f>
        <v/>
      </c>
      <c r="AS104">
        <f>IF(N103&lt;=0,0,ROUND(N103*(1+IF(AND(N$6&gt;0,$B104&lt;N$6),N$4,N$5)/12),2))</f>
        <v/>
      </c>
    </row>
    <row r="105">
      <c r="A105" t="n">
        <v>94</v>
      </c>
      <c r="B105">
        <f>EDATE(Plan!$C$6,93)</f>
        <v/>
      </c>
      <c r="C105">
        <f>IF(C104&lt;=0,0,MAX(0,AH105-O105))</f>
        <v/>
      </c>
      <c r="D105">
        <f>IF(D104&lt;=0,0,MAX(0,AI105-P105))</f>
        <v/>
      </c>
      <c r="E105">
        <f>IF(E104&lt;=0,0,MAX(0,AJ105-Q105))</f>
        <v/>
      </c>
      <c r="F105">
        <f>IF(F104&lt;=0,0,MAX(0,AK105-R105))</f>
        <v/>
      </c>
      <c r="G105">
        <f>IF(G104&lt;=0,0,MAX(0,AL105-S105))</f>
        <v/>
      </c>
      <c r="H105">
        <f>IF(H104&lt;=0,0,MAX(0,AM105-T105))</f>
        <v/>
      </c>
      <c r="I105">
        <f>IF(I104&lt;=0,0,MAX(0,AN105-U105))</f>
        <v/>
      </c>
      <c r="J105">
        <f>IF(J104&lt;=0,0,MAX(0,AO105-V105))</f>
        <v/>
      </c>
      <c r="K105">
        <f>IF(K104&lt;=0,0,MAX(0,AP105-W105))</f>
        <v/>
      </c>
      <c r="L105">
        <f>IF(L104&lt;=0,0,MAX(0,AQ105-X105))</f>
        <v/>
      </c>
      <c r="M105">
        <f>IF(M104&lt;=0,0,MAX(0,AR105-Y105))</f>
        <v/>
      </c>
      <c r="N105">
        <f>IF(N104&lt;=0,0,MAX(0,AS105-Z105))</f>
        <v/>
      </c>
      <c r="O105">
        <f>IF(C104&lt;=0,0,MIN(AH105,C$7+IF(C$2=$AA105,$AC105,IF(C$2=$AF105,$AG105,0))))</f>
        <v/>
      </c>
      <c r="P105">
        <f>IF(D104&lt;=0,0,MIN(AI105,D$7+IF(D$2=$AA105,$AC105,IF(D$2=$AF105,$AG105,0))))</f>
        <v/>
      </c>
      <c r="Q105">
        <f>IF(E104&lt;=0,0,MIN(AJ105,E$7+IF(E$2=$AA105,$AC105,IF(E$2=$AF105,$AG105,0))))</f>
        <v/>
      </c>
      <c r="R105">
        <f>IF(F104&lt;=0,0,MIN(AK105,F$7+IF(F$2=$AA105,$AC105,IF(F$2=$AF105,$AG105,0))))</f>
        <v/>
      </c>
      <c r="S105">
        <f>IF(G104&lt;=0,0,MIN(AL105,G$7+IF(G$2=$AA105,$AC105,IF(G$2=$AF105,$AG105,0))))</f>
        <v/>
      </c>
      <c r="T105">
        <f>IF(H104&lt;=0,0,MIN(AM105,H$7+IF(H$2=$AA105,$AC105,IF(H$2=$AF105,$AG105,0))))</f>
        <v/>
      </c>
      <c r="U105">
        <f>IF(I104&lt;=0,0,MIN(AN105,I$7+IF(I$2=$AA105,$AC105,IF(I$2=$AF105,$AG105,0))))</f>
        <v/>
      </c>
      <c r="V105">
        <f>IF(J104&lt;=0,0,MIN(AO105,J$7+IF(J$2=$AA105,$AC105,IF(J$2=$AF105,$AG105,0))))</f>
        <v/>
      </c>
      <c r="W105">
        <f>IF(K104&lt;=0,0,MIN(AP105,K$7+IF(K$2=$AA105,$AC105,IF(K$2=$AF105,$AG105,0))))</f>
        <v/>
      </c>
      <c r="X105">
        <f>IF(L104&lt;=0,0,MIN(AQ105,L$7+IF(L$2=$AA105,$AC105,IF(L$2=$AF105,$AG105,0))))</f>
        <v/>
      </c>
      <c r="Y105">
        <f>IF(M104&lt;=0,0,MIN(AR105,M$7+IF(M$2=$AA105,$AC105,IF(M$2=$AF105,$AG105,0))))</f>
        <v/>
      </c>
      <c r="Z105">
        <f>IF(N104&lt;=0,0,MIN(AS105,N$7+IF(N$2=$AA105,$AC105,IF(N$2=$AF105,$AG105,0))))</f>
        <v/>
      </c>
      <c r="AA105">
        <f>IFERROR(ROUND(1/SUMPRODUCT(MAX((C104:N104&gt;0)*($C$3:$N$3&lt;=B105)/$C$2:$N$2)),0),0)</f>
        <v/>
      </c>
      <c r="AB105">
        <f>SUMPRODUCT((C104:N104&gt;0)*$C$7:$N$7)</f>
        <v/>
      </c>
      <c r="AC105">
        <f>MAX(0,Plan!$C$5-AB105)+IF(A105=Plan!$C$8,N(Plan!$C$7),0)</f>
        <v/>
      </c>
      <c r="AD105">
        <f>SUM(C105:N105)</f>
        <v/>
      </c>
      <c r="AE105">
        <f>SUM(O105:Z105)</f>
        <v/>
      </c>
      <c r="AF105">
        <f>IFERROR(ROUND(1/SUMPRODUCT(MAX((C104:N104&gt;0)*($C$3:$N$3&lt;=B105)*($C$2:$N$2&gt;AA105)/$C$2:$N$2)),0),0)</f>
        <v/>
      </c>
      <c r="AG105">
        <f>MAX(0,AC105-MAX(0,SUMPRODUCT(($C$2:$N$2=AA105)*(AH105:AS105-$C$7:$N$7))))</f>
        <v/>
      </c>
      <c r="AH105">
        <f>IF(C104&lt;=0,0,ROUND(C104*(1+IF(AND(C$6&gt;0,$B105&lt;C$6),C$4,C$5)/12),2))</f>
        <v/>
      </c>
      <c r="AI105">
        <f>IF(D104&lt;=0,0,ROUND(D104*(1+IF(AND(D$6&gt;0,$B105&lt;D$6),D$4,D$5)/12),2))</f>
        <v/>
      </c>
      <c r="AJ105">
        <f>IF(E104&lt;=0,0,ROUND(E104*(1+IF(AND(E$6&gt;0,$B105&lt;E$6),E$4,E$5)/12),2))</f>
        <v/>
      </c>
      <c r="AK105">
        <f>IF(F104&lt;=0,0,ROUND(F104*(1+IF(AND(F$6&gt;0,$B105&lt;F$6),F$4,F$5)/12),2))</f>
        <v/>
      </c>
      <c r="AL105">
        <f>IF(G104&lt;=0,0,ROUND(G104*(1+IF(AND(G$6&gt;0,$B105&lt;G$6),G$4,G$5)/12),2))</f>
        <v/>
      </c>
      <c r="AM105">
        <f>IF(H104&lt;=0,0,ROUND(H104*(1+IF(AND(H$6&gt;0,$B105&lt;H$6),H$4,H$5)/12),2))</f>
        <v/>
      </c>
      <c r="AN105">
        <f>IF(I104&lt;=0,0,ROUND(I104*(1+IF(AND(I$6&gt;0,$B105&lt;I$6),I$4,I$5)/12),2))</f>
        <v/>
      </c>
      <c r="AO105">
        <f>IF(J104&lt;=0,0,ROUND(J104*(1+IF(AND(J$6&gt;0,$B105&lt;J$6),J$4,J$5)/12),2))</f>
        <v/>
      </c>
      <c r="AP105">
        <f>IF(K104&lt;=0,0,ROUND(K104*(1+IF(AND(K$6&gt;0,$B105&lt;K$6),K$4,K$5)/12),2))</f>
        <v/>
      </c>
      <c r="AQ105">
        <f>IF(L104&lt;=0,0,ROUND(L104*(1+IF(AND(L$6&gt;0,$B105&lt;L$6),L$4,L$5)/12),2))</f>
        <v/>
      </c>
      <c r="AR105">
        <f>IF(M104&lt;=0,0,ROUND(M104*(1+IF(AND(M$6&gt;0,$B105&lt;M$6),M$4,M$5)/12),2))</f>
        <v/>
      </c>
      <c r="AS105">
        <f>IF(N104&lt;=0,0,ROUND(N104*(1+IF(AND(N$6&gt;0,$B105&lt;N$6),N$4,N$5)/12),2))</f>
        <v/>
      </c>
    </row>
    <row r="106">
      <c r="A106" t="n">
        <v>95</v>
      </c>
      <c r="B106">
        <f>EDATE(Plan!$C$6,94)</f>
        <v/>
      </c>
      <c r="C106">
        <f>IF(C105&lt;=0,0,MAX(0,AH106-O106))</f>
        <v/>
      </c>
      <c r="D106">
        <f>IF(D105&lt;=0,0,MAX(0,AI106-P106))</f>
        <v/>
      </c>
      <c r="E106">
        <f>IF(E105&lt;=0,0,MAX(0,AJ106-Q106))</f>
        <v/>
      </c>
      <c r="F106">
        <f>IF(F105&lt;=0,0,MAX(0,AK106-R106))</f>
        <v/>
      </c>
      <c r="G106">
        <f>IF(G105&lt;=0,0,MAX(0,AL106-S106))</f>
        <v/>
      </c>
      <c r="H106">
        <f>IF(H105&lt;=0,0,MAX(0,AM106-T106))</f>
        <v/>
      </c>
      <c r="I106">
        <f>IF(I105&lt;=0,0,MAX(0,AN106-U106))</f>
        <v/>
      </c>
      <c r="J106">
        <f>IF(J105&lt;=0,0,MAX(0,AO106-V106))</f>
        <v/>
      </c>
      <c r="K106">
        <f>IF(K105&lt;=0,0,MAX(0,AP106-W106))</f>
        <v/>
      </c>
      <c r="L106">
        <f>IF(L105&lt;=0,0,MAX(0,AQ106-X106))</f>
        <v/>
      </c>
      <c r="M106">
        <f>IF(M105&lt;=0,0,MAX(0,AR106-Y106))</f>
        <v/>
      </c>
      <c r="N106">
        <f>IF(N105&lt;=0,0,MAX(0,AS106-Z106))</f>
        <v/>
      </c>
      <c r="O106">
        <f>IF(C105&lt;=0,0,MIN(AH106,C$7+IF(C$2=$AA106,$AC106,IF(C$2=$AF106,$AG106,0))))</f>
        <v/>
      </c>
      <c r="P106">
        <f>IF(D105&lt;=0,0,MIN(AI106,D$7+IF(D$2=$AA106,$AC106,IF(D$2=$AF106,$AG106,0))))</f>
        <v/>
      </c>
      <c r="Q106">
        <f>IF(E105&lt;=0,0,MIN(AJ106,E$7+IF(E$2=$AA106,$AC106,IF(E$2=$AF106,$AG106,0))))</f>
        <v/>
      </c>
      <c r="R106">
        <f>IF(F105&lt;=0,0,MIN(AK106,F$7+IF(F$2=$AA106,$AC106,IF(F$2=$AF106,$AG106,0))))</f>
        <v/>
      </c>
      <c r="S106">
        <f>IF(G105&lt;=0,0,MIN(AL106,G$7+IF(G$2=$AA106,$AC106,IF(G$2=$AF106,$AG106,0))))</f>
        <v/>
      </c>
      <c r="T106">
        <f>IF(H105&lt;=0,0,MIN(AM106,H$7+IF(H$2=$AA106,$AC106,IF(H$2=$AF106,$AG106,0))))</f>
        <v/>
      </c>
      <c r="U106">
        <f>IF(I105&lt;=0,0,MIN(AN106,I$7+IF(I$2=$AA106,$AC106,IF(I$2=$AF106,$AG106,0))))</f>
        <v/>
      </c>
      <c r="V106">
        <f>IF(J105&lt;=0,0,MIN(AO106,J$7+IF(J$2=$AA106,$AC106,IF(J$2=$AF106,$AG106,0))))</f>
        <v/>
      </c>
      <c r="W106">
        <f>IF(K105&lt;=0,0,MIN(AP106,K$7+IF(K$2=$AA106,$AC106,IF(K$2=$AF106,$AG106,0))))</f>
        <v/>
      </c>
      <c r="X106">
        <f>IF(L105&lt;=0,0,MIN(AQ106,L$7+IF(L$2=$AA106,$AC106,IF(L$2=$AF106,$AG106,0))))</f>
        <v/>
      </c>
      <c r="Y106">
        <f>IF(M105&lt;=0,0,MIN(AR106,M$7+IF(M$2=$AA106,$AC106,IF(M$2=$AF106,$AG106,0))))</f>
        <v/>
      </c>
      <c r="Z106">
        <f>IF(N105&lt;=0,0,MIN(AS106,N$7+IF(N$2=$AA106,$AC106,IF(N$2=$AF106,$AG106,0))))</f>
        <v/>
      </c>
      <c r="AA106">
        <f>IFERROR(ROUND(1/SUMPRODUCT(MAX((C105:N105&gt;0)*($C$3:$N$3&lt;=B106)/$C$2:$N$2)),0),0)</f>
        <v/>
      </c>
      <c r="AB106">
        <f>SUMPRODUCT((C105:N105&gt;0)*$C$7:$N$7)</f>
        <v/>
      </c>
      <c r="AC106">
        <f>MAX(0,Plan!$C$5-AB106)+IF(A106=Plan!$C$8,N(Plan!$C$7),0)</f>
        <v/>
      </c>
      <c r="AD106">
        <f>SUM(C106:N106)</f>
        <v/>
      </c>
      <c r="AE106">
        <f>SUM(O106:Z106)</f>
        <v/>
      </c>
      <c r="AF106">
        <f>IFERROR(ROUND(1/SUMPRODUCT(MAX((C105:N105&gt;0)*($C$3:$N$3&lt;=B106)*($C$2:$N$2&gt;AA106)/$C$2:$N$2)),0),0)</f>
        <v/>
      </c>
      <c r="AG106">
        <f>MAX(0,AC106-MAX(0,SUMPRODUCT(($C$2:$N$2=AA106)*(AH106:AS106-$C$7:$N$7))))</f>
        <v/>
      </c>
      <c r="AH106">
        <f>IF(C105&lt;=0,0,ROUND(C105*(1+IF(AND(C$6&gt;0,$B106&lt;C$6),C$4,C$5)/12),2))</f>
        <v/>
      </c>
      <c r="AI106">
        <f>IF(D105&lt;=0,0,ROUND(D105*(1+IF(AND(D$6&gt;0,$B106&lt;D$6),D$4,D$5)/12),2))</f>
        <v/>
      </c>
      <c r="AJ106">
        <f>IF(E105&lt;=0,0,ROUND(E105*(1+IF(AND(E$6&gt;0,$B106&lt;E$6),E$4,E$5)/12),2))</f>
        <v/>
      </c>
      <c r="AK106">
        <f>IF(F105&lt;=0,0,ROUND(F105*(1+IF(AND(F$6&gt;0,$B106&lt;F$6),F$4,F$5)/12),2))</f>
        <v/>
      </c>
      <c r="AL106">
        <f>IF(G105&lt;=0,0,ROUND(G105*(1+IF(AND(G$6&gt;0,$B106&lt;G$6),G$4,G$5)/12),2))</f>
        <v/>
      </c>
      <c r="AM106">
        <f>IF(H105&lt;=0,0,ROUND(H105*(1+IF(AND(H$6&gt;0,$B106&lt;H$6),H$4,H$5)/12),2))</f>
        <v/>
      </c>
      <c r="AN106">
        <f>IF(I105&lt;=0,0,ROUND(I105*(1+IF(AND(I$6&gt;0,$B106&lt;I$6),I$4,I$5)/12),2))</f>
        <v/>
      </c>
      <c r="AO106">
        <f>IF(J105&lt;=0,0,ROUND(J105*(1+IF(AND(J$6&gt;0,$B106&lt;J$6),J$4,J$5)/12),2))</f>
        <v/>
      </c>
      <c r="AP106">
        <f>IF(K105&lt;=0,0,ROUND(K105*(1+IF(AND(K$6&gt;0,$B106&lt;K$6),K$4,K$5)/12),2))</f>
        <v/>
      </c>
      <c r="AQ106">
        <f>IF(L105&lt;=0,0,ROUND(L105*(1+IF(AND(L$6&gt;0,$B106&lt;L$6),L$4,L$5)/12),2))</f>
        <v/>
      </c>
      <c r="AR106">
        <f>IF(M105&lt;=0,0,ROUND(M105*(1+IF(AND(M$6&gt;0,$B106&lt;M$6),M$4,M$5)/12),2))</f>
        <v/>
      </c>
      <c r="AS106">
        <f>IF(N105&lt;=0,0,ROUND(N105*(1+IF(AND(N$6&gt;0,$B106&lt;N$6),N$4,N$5)/12),2))</f>
        <v/>
      </c>
    </row>
    <row r="107">
      <c r="A107" t="n">
        <v>96</v>
      </c>
      <c r="B107">
        <f>EDATE(Plan!$C$6,95)</f>
        <v/>
      </c>
      <c r="C107">
        <f>IF(C106&lt;=0,0,MAX(0,AH107-O107))</f>
        <v/>
      </c>
      <c r="D107">
        <f>IF(D106&lt;=0,0,MAX(0,AI107-P107))</f>
        <v/>
      </c>
      <c r="E107">
        <f>IF(E106&lt;=0,0,MAX(0,AJ107-Q107))</f>
        <v/>
      </c>
      <c r="F107">
        <f>IF(F106&lt;=0,0,MAX(0,AK107-R107))</f>
        <v/>
      </c>
      <c r="G107">
        <f>IF(G106&lt;=0,0,MAX(0,AL107-S107))</f>
        <v/>
      </c>
      <c r="H107">
        <f>IF(H106&lt;=0,0,MAX(0,AM107-T107))</f>
        <v/>
      </c>
      <c r="I107">
        <f>IF(I106&lt;=0,0,MAX(0,AN107-U107))</f>
        <v/>
      </c>
      <c r="J107">
        <f>IF(J106&lt;=0,0,MAX(0,AO107-V107))</f>
        <v/>
      </c>
      <c r="K107">
        <f>IF(K106&lt;=0,0,MAX(0,AP107-W107))</f>
        <v/>
      </c>
      <c r="L107">
        <f>IF(L106&lt;=0,0,MAX(0,AQ107-X107))</f>
        <v/>
      </c>
      <c r="M107">
        <f>IF(M106&lt;=0,0,MAX(0,AR107-Y107))</f>
        <v/>
      </c>
      <c r="N107">
        <f>IF(N106&lt;=0,0,MAX(0,AS107-Z107))</f>
        <v/>
      </c>
      <c r="O107">
        <f>IF(C106&lt;=0,0,MIN(AH107,C$7+IF(C$2=$AA107,$AC107,IF(C$2=$AF107,$AG107,0))))</f>
        <v/>
      </c>
      <c r="P107">
        <f>IF(D106&lt;=0,0,MIN(AI107,D$7+IF(D$2=$AA107,$AC107,IF(D$2=$AF107,$AG107,0))))</f>
        <v/>
      </c>
      <c r="Q107">
        <f>IF(E106&lt;=0,0,MIN(AJ107,E$7+IF(E$2=$AA107,$AC107,IF(E$2=$AF107,$AG107,0))))</f>
        <v/>
      </c>
      <c r="R107">
        <f>IF(F106&lt;=0,0,MIN(AK107,F$7+IF(F$2=$AA107,$AC107,IF(F$2=$AF107,$AG107,0))))</f>
        <v/>
      </c>
      <c r="S107">
        <f>IF(G106&lt;=0,0,MIN(AL107,G$7+IF(G$2=$AA107,$AC107,IF(G$2=$AF107,$AG107,0))))</f>
        <v/>
      </c>
      <c r="T107">
        <f>IF(H106&lt;=0,0,MIN(AM107,H$7+IF(H$2=$AA107,$AC107,IF(H$2=$AF107,$AG107,0))))</f>
        <v/>
      </c>
      <c r="U107">
        <f>IF(I106&lt;=0,0,MIN(AN107,I$7+IF(I$2=$AA107,$AC107,IF(I$2=$AF107,$AG107,0))))</f>
        <v/>
      </c>
      <c r="V107">
        <f>IF(J106&lt;=0,0,MIN(AO107,J$7+IF(J$2=$AA107,$AC107,IF(J$2=$AF107,$AG107,0))))</f>
        <v/>
      </c>
      <c r="W107">
        <f>IF(K106&lt;=0,0,MIN(AP107,K$7+IF(K$2=$AA107,$AC107,IF(K$2=$AF107,$AG107,0))))</f>
        <v/>
      </c>
      <c r="X107">
        <f>IF(L106&lt;=0,0,MIN(AQ107,L$7+IF(L$2=$AA107,$AC107,IF(L$2=$AF107,$AG107,0))))</f>
        <v/>
      </c>
      <c r="Y107">
        <f>IF(M106&lt;=0,0,MIN(AR107,M$7+IF(M$2=$AA107,$AC107,IF(M$2=$AF107,$AG107,0))))</f>
        <v/>
      </c>
      <c r="Z107">
        <f>IF(N106&lt;=0,0,MIN(AS107,N$7+IF(N$2=$AA107,$AC107,IF(N$2=$AF107,$AG107,0))))</f>
        <v/>
      </c>
      <c r="AA107">
        <f>IFERROR(ROUND(1/SUMPRODUCT(MAX((C106:N106&gt;0)*($C$3:$N$3&lt;=B107)/$C$2:$N$2)),0),0)</f>
        <v/>
      </c>
      <c r="AB107">
        <f>SUMPRODUCT((C106:N106&gt;0)*$C$7:$N$7)</f>
        <v/>
      </c>
      <c r="AC107">
        <f>MAX(0,Plan!$C$5-AB107)+IF(A107=Plan!$C$8,N(Plan!$C$7),0)</f>
        <v/>
      </c>
      <c r="AD107">
        <f>SUM(C107:N107)</f>
        <v/>
      </c>
      <c r="AE107">
        <f>SUM(O107:Z107)</f>
        <v/>
      </c>
      <c r="AF107">
        <f>IFERROR(ROUND(1/SUMPRODUCT(MAX((C106:N106&gt;0)*($C$3:$N$3&lt;=B107)*($C$2:$N$2&gt;AA107)/$C$2:$N$2)),0),0)</f>
        <v/>
      </c>
      <c r="AG107">
        <f>MAX(0,AC107-MAX(0,SUMPRODUCT(($C$2:$N$2=AA107)*(AH107:AS107-$C$7:$N$7))))</f>
        <v/>
      </c>
      <c r="AH107">
        <f>IF(C106&lt;=0,0,ROUND(C106*(1+IF(AND(C$6&gt;0,$B107&lt;C$6),C$4,C$5)/12),2))</f>
        <v/>
      </c>
      <c r="AI107">
        <f>IF(D106&lt;=0,0,ROUND(D106*(1+IF(AND(D$6&gt;0,$B107&lt;D$6),D$4,D$5)/12),2))</f>
        <v/>
      </c>
      <c r="AJ107">
        <f>IF(E106&lt;=0,0,ROUND(E106*(1+IF(AND(E$6&gt;0,$B107&lt;E$6),E$4,E$5)/12),2))</f>
        <v/>
      </c>
      <c r="AK107">
        <f>IF(F106&lt;=0,0,ROUND(F106*(1+IF(AND(F$6&gt;0,$B107&lt;F$6),F$4,F$5)/12),2))</f>
        <v/>
      </c>
      <c r="AL107">
        <f>IF(G106&lt;=0,0,ROUND(G106*(1+IF(AND(G$6&gt;0,$B107&lt;G$6),G$4,G$5)/12),2))</f>
        <v/>
      </c>
      <c r="AM107">
        <f>IF(H106&lt;=0,0,ROUND(H106*(1+IF(AND(H$6&gt;0,$B107&lt;H$6),H$4,H$5)/12),2))</f>
        <v/>
      </c>
      <c r="AN107">
        <f>IF(I106&lt;=0,0,ROUND(I106*(1+IF(AND(I$6&gt;0,$B107&lt;I$6),I$4,I$5)/12),2))</f>
        <v/>
      </c>
      <c r="AO107">
        <f>IF(J106&lt;=0,0,ROUND(J106*(1+IF(AND(J$6&gt;0,$B107&lt;J$6),J$4,J$5)/12),2))</f>
        <v/>
      </c>
      <c r="AP107">
        <f>IF(K106&lt;=0,0,ROUND(K106*(1+IF(AND(K$6&gt;0,$B107&lt;K$6),K$4,K$5)/12),2))</f>
        <v/>
      </c>
      <c r="AQ107">
        <f>IF(L106&lt;=0,0,ROUND(L106*(1+IF(AND(L$6&gt;0,$B107&lt;L$6),L$4,L$5)/12),2))</f>
        <v/>
      </c>
      <c r="AR107">
        <f>IF(M106&lt;=0,0,ROUND(M106*(1+IF(AND(M$6&gt;0,$B107&lt;M$6),M$4,M$5)/12),2))</f>
        <v/>
      </c>
      <c r="AS107">
        <f>IF(N106&lt;=0,0,ROUND(N106*(1+IF(AND(N$6&gt;0,$B107&lt;N$6),N$4,N$5)/12),2))</f>
        <v/>
      </c>
    </row>
    <row r="108">
      <c r="A108" t="n">
        <v>97</v>
      </c>
      <c r="B108">
        <f>EDATE(Plan!$C$6,96)</f>
        <v/>
      </c>
      <c r="C108">
        <f>IF(C107&lt;=0,0,MAX(0,AH108-O108))</f>
        <v/>
      </c>
      <c r="D108">
        <f>IF(D107&lt;=0,0,MAX(0,AI108-P108))</f>
        <v/>
      </c>
      <c r="E108">
        <f>IF(E107&lt;=0,0,MAX(0,AJ108-Q108))</f>
        <v/>
      </c>
      <c r="F108">
        <f>IF(F107&lt;=0,0,MAX(0,AK108-R108))</f>
        <v/>
      </c>
      <c r="G108">
        <f>IF(G107&lt;=0,0,MAX(0,AL108-S108))</f>
        <v/>
      </c>
      <c r="H108">
        <f>IF(H107&lt;=0,0,MAX(0,AM108-T108))</f>
        <v/>
      </c>
      <c r="I108">
        <f>IF(I107&lt;=0,0,MAX(0,AN108-U108))</f>
        <v/>
      </c>
      <c r="J108">
        <f>IF(J107&lt;=0,0,MAX(0,AO108-V108))</f>
        <v/>
      </c>
      <c r="K108">
        <f>IF(K107&lt;=0,0,MAX(0,AP108-W108))</f>
        <v/>
      </c>
      <c r="L108">
        <f>IF(L107&lt;=0,0,MAX(0,AQ108-X108))</f>
        <v/>
      </c>
      <c r="M108">
        <f>IF(M107&lt;=0,0,MAX(0,AR108-Y108))</f>
        <v/>
      </c>
      <c r="N108">
        <f>IF(N107&lt;=0,0,MAX(0,AS108-Z108))</f>
        <v/>
      </c>
      <c r="O108">
        <f>IF(C107&lt;=0,0,MIN(AH108,C$7+IF(C$2=$AA108,$AC108,IF(C$2=$AF108,$AG108,0))))</f>
        <v/>
      </c>
      <c r="P108">
        <f>IF(D107&lt;=0,0,MIN(AI108,D$7+IF(D$2=$AA108,$AC108,IF(D$2=$AF108,$AG108,0))))</f>
        <v/>
      </c>
      <c r="Q108">
        <f>IF(E107&lt;=0,0,MIN(AJ108,E$7+IF(E$2=$AA108,$AC108,IF(E$2=$AF108,$AG108,0))))</f>
        <v/>
      </c>
      <c r="R108">
        <f>IF(F107&lt;=0,0,MIN(AK108,F$7+IF(F$2=$AA108,$AC108,IF(F$2=$AF108,$AG108,0))))</f>
        <v/>
      </c>
      <c r="S108">
        <f>IF(G107&lt;=0,0,MIN(AL108,G$7+IF(G$2=$AA108,$AC108,IF(G$2=$AF108,$AG108,0))))</f>
        <v/>
      </c>
      <c r="T108">
        <f>IF(H107&lt;=0,0,MIN(AM108,H$7+IF(H$2=$AA108,$AC108,IF(H$2=$AF108,$AG108,0))))</f>
        <v/>
      </c>
      <c r="U108">
        <f>IF(I107&lt;=0,0,MIN(AN108,I$7+IF(I$2=$AA108,$AC108,IF(I$2=$AF108,$AG108,0))))</f>
        <v/>
      </c>
      <c r="V108">
        <f>IF(J107&lt;=0,0,MIN(AO108,J$7+IF(J$2=$AA108,$AC108,IF(J$2=$AF108,$AG108,0))))</f>
        <v/>
      </c>
      <c r="W108">
        <f>IF(K107&lt;=0,0,MIN(AP108,K$7+IF(K$2=$AA108,$AC108,IF(K$2=$AF108,$AG108,0))))</f>
        <v/>
      </c>
      <c r="X108">
        <f>IF(L107&lt;=0,0,MIN(AQ108,L$7+IF(L$2=$AA108,$AC108,IF(L$2=$AF108,$AG108,0))))</f>
        <v/>
      </c>
      <c r="Y108">
        <f>IF(M107&lt;=0,0,MIN(AR108,M$7+IF(M$2=$AA108,$AC108,IF(M$2=$AF108,$AG108,0))))</f>
        <v/>
      </c>
      <c r="Z108">
        <f>IF(N107&lt;=0,0,MIN(AS108,N$7+IF(N$2=$AA108,$AC108,IF(N$2=$AF108,$AG108,0))))</f>
        <v/>
      </c>
      <c r="AA108">
        <f>IFERROR(ROUND(1/SUMPRODUCT(MAX((C107:N107&gt;0)*($C$3:$N$3&lt;=B108)/$C$2:$N$2)),0),0)</f>
        <v/>
      </c>
      <c r="AB108">
        <f>SUMPRODUCT((C107:N107&gt;0)*$C$7:$N$7)</f>
        <v/>
      </c>
      <c r="AC108">
        <f>MAX(0,Plan!$C$5-AB108)+IF(A108=Plan!$C$8,N(Plan!$C$7),0)</f>
        <v/>
      </c>
      <c r="AD108">
        <f>SUM(C108:N108)</f>
        <v/>
      </c>
      <c r="AE108">
        <f>SUM(O108:Z108)</f>
        <v/>
      </c>
      <c r="AF108">
        <f>IFERROR(ROUND(1/SUMPRODUCT(MAX((C107:N107&gt;0)*($C$3:$N$3&lt;=B108)*($C$2:$N$2&gt;AA108)/$C$2:$N$2)),0),0)</f>
        <v/>
      </c>
      <c r="AG108">
        <f>MAX(0,AC108-MAX(0,SUMPRODUCT(($C$2:$N$2=AA108)*(AH108:AS108-$C$7:$N$7))))</f>
        <v/>
      </c>
      <c r="AH108">
        <f>IF(C107&lt;=0,0,ROUND(C107*(1+IF(AND(C$6&gt;0,$B108&lt;C$6),C$4,C$5)/12),2))</f>
        <v/>
      </c>
      <c r="AI108">
        <f>IF(D107&lt;=0,0,ROUND(D107*(1+IF(AND(D$6&gt;0,$B108&lt;D$6),D$4,D$5)/12),2))</f>
        <v/>
      </c>
      <c r="AJ108">
        <f>IF(E107&lt;=0,0,ROUND(E107*(1+IF(AND(E$6&gt;0,$B108&lt;E$6),E$4,E$5)/12),2))</f>
        <v/>
      </c>
      <c r="AK108">
        <f>IF(F107&lt;=0,0,ROUND(F107*(1+IF(AND(F$6&gt;0,$B108&lt;F$6),F$4,F$5)/12),2))</f>
        <v/>
      </c>
      <c r="AL108">
        <f>IF(G107&lt;=0,0,ROUND(G107*(1+IF(AND(G$6&gt;0,$B108&lt;G$6),G$4,G$5)/12),2))</f>
        <v/>
      </c>
      <c r="AM108">
        <f>IF(H107&lt;=0,0,ROUND(H107*(1+IF(AND(H$6&gt;0,$B108&lt;H$6),H$4,H$5)/12),2))</f>
        <v/>
      </c>
      <c r="AN108">
        <f>IF(I107&lt;=0,0,ROUND(I107*(1+IF(AND(I$6&gt;0,$B108&lt;I$6),I$4,I$5)/12),2))</f>
        <v/>
      </c>
      <c r="AO108">
        <f>IF(J107&lt;=0,0,ROUND(J107*(1+IF(AND(J$6&gt;0,$B108&lt;J$6),J$4,J$5)/12),2))</f>
        <v/>
      </c>
      <c r="AP108">
        <f>IF(K107&lt;=0,0,ROUND(K107*(1+IF(AND(K$6&gt;0,$B108&lt;K$6),K$4,K$5)/12),2))</f>
        <v/>
      </c>
      <c r="AQ108">
        <f>IF(L107&lt;=0,0,ROUND(L107*(1+IF(AND(L$6&gt;0,$B108&lt;L$6),L$4,L$5)/12),2))</f>
        <v/>
      </c>
      <c r="AR108">
        <f>IF(M107&lt;=0,0,ROUND(M107*(1+IF(AND(M$6&gt;0,$B108&lt;M$6),M$4,M$5)/12),2))</f>
        <v/>
      </c>
      <c r="AS108">
        <f>IF(N107&lt;=0,0,ROUND(N107*(1+IF(AND(N$6&gt;0,$B108&lt;N$6),N$4,N$5)/12),2))</f>
        <v/>
      </c>
    </row>
    <row r="109">
      <c r="A109" t="n">
        <v>98</v>
      </c>
      <c r="B109">
        <f>EDATE(Plan!$C$6,97)</f>
        <v/>
      </c>
      <c r="C109">
        <f>IF(C108&lt;=0,0,MAX(0,AH109-O109))</f>
        <v/>
      </c>
      <c r="D109">
        <f>IF(D108&lt;=0,0,MAX(0,AI109-P109))</f>
        <v/>
      </c>
      <c r="E109">
        <f>IF(E108&lt;=0,0,MAX(0,AJ109-Q109))</f>
        <v/>
      </c>
      <c r="F109">
        <f>IF(F108&lt;=0,0,MAX(0,AK109-R109))</f>
        <v/>
      </c>
      <c r="G109">
        <f>IF(G108&lt;=0,0,MAX(0,AL109-S109))</f>
        <v/>
      </c>
      <c r="H109">
        <f>IF(H108&lt;=0,0,MAX(0,AM109-T109))</f>
        <v/>
      </c>
      <c r="I109">
        <f>IF(I108&lt;=0,0,MAX(0,AN109-U109))</f>
        <v/>
      </c>
      <c r="J109">
        <f>IF(J108&lt;=0,0,MAX(0,AO109-V109))</f>
        <v/>
      </c>
      <c r="K109">
        <f>IF(K108&lt;=0,0,MAX(0,AP109-W109))</f>
        <v/>
      </c>
      <c r="L109">
        <f>IF(L108&lt;=0,0,MAX(0,AQ109-X109))</f>
        <v/>
      </c>
      <c r="M109">
        <f>IF(M108&lt;=0,0,MAX(0,AR109-Y109))</f>
        <v/>
      </c>
      <c r="N109">
        <f>IF(N108&lt;=0,0,MAX(0,AS109-Z109))</f>
        <v/>
      </c>
      <c r="O109">
        <f>IF(C108&lt;=0,0,MIN(AH109,C$7+IF(C$2=$AA109,$AC109,IF(C$2=$AF109,$AG109,0))))</f>
        <v/>
      </c>
      <c r="P109">
        <f>IF(D108&lt;=0,0,MIN(AI109,D$7+IF(D$2=$AA109,$AC109,IF(D$2=$AF109,$AG109,0))))</f>
        <v/>
      </c>
      <c r="Q109">
        <f>IF(E108&lt;=0,0,MIN(AJ109,E$7+IF(E$2=$AA109,$AC109,IF(E$2=$AF109,$AG109,0))))</f>
        <v/>
      </c>
      <c r="R109">
        <f>IF(F108&lt;=0,0,MIN(AK109,F$7+IF(F$2=$AA109,$AC109,IF(F$2=$AF109,$AG109,0))))</f>
        <v/>
      </c>
      <c r="S109">
        <f>IF(G108&lt;=0,0,MIN(AL109,G$7+IF(G$2=$AA109,$AC109,IF(G$2=$AF109,$AG109,0))))</f>
        <v/>
      </c>
      <c r="T109">
        <f>IF(H108&lt;=0,0,MIN(AM109,H$7+IF(H$2=$AA109,$AC109,IF(H$2=$AF109,$AG109,0))))</f>
        <v/>
      </c>
      <c r="U109">
        <f>IF(I108&lt;=0,0,MIN(AN109,I$7+IF(I$2=$AA109,$AC109,IF(I$2=$AF109,$AG109,0))))</f>
        <v/>
      </c>
      <c r="V109">
        <f>IF(J108&lt;=0,0,MIN(AO109,J$7+IF(J$2=$AA109,$AC109,IF(J$2=$AF109,$AG109,0))))</f>
        <v/>
      </c>
      <c r="W109">
        <f>IF(K108&lt;=0,0,MIN(AP109,K$7+IF(K$2=$AA109,$AC109,IF(K$2=$AF109,$AG109,0))))</f>
        <v/>
      </c>
      <c r="X109">
        <f>IF(L108&lt;=0,0,MIN(AQ109,L$7+IF(L$2=$AA109,$AC109,IF(L$2=$AF109,$AG109,0))))</f>
        <v/>
      </c>
      <c r="Y109">
        <f>IF(M108&lt;=0,0,MIN(AR109,M$7+IF(M$2=$AA109,$AC109,IF(M$2=$AF109,$AG109,0))))</f>
        <v/>
      </c>
      <c r="Z109">
        <f>IF(N108&lt;=0,0,MIN(AS109,N$7+IF(N$2=$AA109,$AC109,IF(N$2=$AF109,$AG109,0))))</f>
        <v/>
      </c>
      <c r="AA109">
        <f>IFERROR(ROUND(1/SUMPRODUCT(MAX((C108:N108&gt;0)*($C$3:$N$3&lt;=B109)/$C$2:$N$2)),0),0)</f>
        <v/>
      </c>
      <c r="AB109">
        <f>SUMPRODUCT((C108:N108&gt;0)*$C$7:$N$7)</f>
        <v/>
      </c>
      <c r="AC109">
        <f>MAX(0,Plan!$C$5-AB109)+IF(A109=Plan!$C$8,N(Plan!$C$7),0)</f>
        <v/>
      </c>
      <c r="AD109">
        <f>SUM(C109:N109)</f>
        <v/>
      </c>
      <c r="AE109">
        <f>SUM(O109:Z109)</f>
        <v/>
      </c>
      <c r="AF109">
        <f>IFERROR(ROUND(1/SUMPRODUCT(MAX((C108:N108&gt;0)*($C$3:$N$3&lt;=B109)*($C$2:$N$2&gt;AA109)/$C$2:$N$2)),0),0)</f>
        <v/>
      </c>
      <c r="AG109">
        <f>MAX(0,AC109-MAX(0,SUMPRODUCT(($C$2:$N$2=AA109)*(AH109:AS109-$C$7:$N$7))))</f>
        <v/>
      </c>
      <c r="AH109">
        <f>IF(C108&lt;=0,0,ROUND(C108*(1+IF(AND(C$6&gt;0,$B109&lt;C$6),C$4,C$5)/12),2))</f>
        <v/>
      </c>
      <c r="AI109">
        <f>IF(D108&lt;=0,0,ROUND(D108*(1+IF(AND(D$6&gt;0,$B109&lt;D$6),D$4,D$5)/12),2))</f>
        <v/>
      </c>
      <c r="AJ109">
        <f>IF(E108&lt;=0,0,ROUND(E108*(1+IF(AND(E$6&gt;0,$B109&lt;E$6),E$4,E$5)/12),2))</f>
        <v/>
      </c>
      <c r="AK109">
        <f>IF(F108&lt;=0,0,ROUND(F108*(1+IF(AND(F$6&gt;0,$B109&lt;F$6),F$4,F$5)/12),2))</f>
        <v/>
      </c>
      <c r="AL109">
        <f>IF(G108&lt;=0,0,ROUND(G108*(1+IF(AND(G$6&gt;0,$B109&lt;G$6),G$4,G$5)/12),2))</f>
        <v/>
      </c>
      <c r="AM109">
        <f>IF(H108&lt;=0,0,ROUND(H108*(1+IF(AND(H$6&gt;0,$B109&lt;H$6),H$4,H$5)/12),2))</f>
        <v/>
      </c>
      <c r="AN109">
        <f>IF(I108&lt;=0,0,ROUND(I108*(1+IF(AND(I$6&gt;0,$B109&lt;I$6),I$4,I$5)/12),2))</f>
        <v/>
      </c>
      <c r="AO109">
        <f>IF(J108&lt;=0,0,ROUND(J108*(1+IF(AND(J$6&gt;0,$B109&lt;J$6),J$4,J$5)/12),2))</f>
        <v/>
      </c>
      <c r="AP109">
        <f>IF(K108&lt;=0,0,ROUND(K108*(1+IF(AND(K$6&gt;0,$B109&lt;K$6),K$4,K$5)/12),2))</f>
        <v/>
      </c>
      <c r="AQ109">
        <f>IF(L108&lt;=0,0,ROUND(L108*(1+IF(AND(L$6&gt;0,$B109&lt;L$6),L$4,L$5)/12),2))</f>
        <v/>
      </c>
      <c r="AR109">
        <f>IF(M108&lt;=0,0,ROUND(M108*(1+IF(AND(M$6&gt;0,$B109&lt;M$6),M$4,M$5)/12),2))</f>
        <v/>
      </c>
      <c r="AS109">
        <f>IF(N108&lt;=0,0,ROUND(N108*(1+IF(AND(N$6&gt;0,$B109&lt;N$6),N$4,N$5)/12),2))</f>
        <v/>
      </c>
    </row>
    <row r="110">
      <c r="A110" t="n">
        <v>99</v>
      </c>
      <c r="B110">
        <f>EDATE(Plan!$C$6,98)</f>
        <v/>
      </c>
      <c r="C110">
        <f>IF(C109&lt;=0,0,MAX(0,AH110-O110))</f>
        <v/>
      </c>
      <c r="D110">
        <f>IF(D109&lt;=0,0,MAX(0,AI110-P110))</f>
        <v/>
      </c>
      <c r="E110">
        <f>IF(E109&lt;=0,0,MAX(0,AJ110-Q110))</f>
        <v/>
      </c>
      <c r="F110">
        <f>IF(F109&lt;=0,0,MAX(0,AK110-R110))</f>
        <v/>
      </c>
      <c r="G110">
        <f>IF(G109&lt;=0,0,MAX(0,AL110-S110))</f>
        <v/>
      </c>
      <c r="H110">
        <f>IF(H109&lt;=0,0,MAX(0,AM110-T110))</f>
        <v/>
      </c>
      <c r="I110">
        <f>IF(I109&lt;=0,0,MAX(0,AN110-U110))</f>
        <v/>
      </c>
      <c r="J110">
        <f>IF(J109&lt;=0,0,MAX(0,AO110-V110))</f>
        <v/>
      </c>
      <c r="K110">
        <f>IF(K109&lt;=0,0,MAX(0,AP110-W110))</f>
        <v/>
      </c>
      <c r="L110">
        <f>IF(L109&lt;=0,0,MAX(0,AQ110-X110))</f>
        <v/>
      </c>
      <c r="M110">
        <f>IF(M109&lt;=0,0,MAX(0,AR110-Y110))</f>
        <v/>
      </c>
      <c r="N110">
        <f>IF(N109&lt;=0,0,MAX(0,AS110-Z110))</f>
        <v/>
      </c>
      <c r="O110">
        <f>IF(C109&lt;=0,0,MIN(AH110,C$7+IF(C$2=$AA110,$AC110,IF(C$2=$AF110,$AG110,0))))</f>
        <v/>
      </c>
      <c r="P110">
        <f>IF(D109&lt;=0,0,MIN(AI110,D$7+IF(D$2=$AA110,$AC110,IF(D$2=$AF110,$AG110,0))))</f>
        <v/>
      </c>
      <c r="Q110">
        <f>IF(E109&lt;=0,0,MIN(AJ110,E$7+IF(E$2=$AA110,$AC110,IF(E$2=$AF110,$AG110,0))))</f>
        <v/>
      </c>
      <c r="R110">
        <f>IF(F109&lt;=0,0,MIN(AK110,F$7+IF(F$2=$AA110,$AC110,IF(F$2=$AF110,$AG110,0))))</f>
        <v/>
      </c>
      <c r="S110">
        <f>IF(G109&lt;=0,0,MIN(AL110,G$7+IF(G$2=$AA110,$AC110,IF(G$2=$AF110,$AG110,0))))</f>
        <v/>
      </c>
      <c r="T110">
        <f>IF(H109&lt;=0,0,MIN(AM110,H$7+IF(H$2=$AA110,$AC110,IF(H$2=$AF110,$AG110,0))))</f>
        <v/>
      </c>
      <c r="U110">
        <f>IF(I109&lt;=0,0,MIN(AN110,I$7+IF(I$2=$AA110,$AC110,IF(I$2=$AF110,$AG110,0))))</f>
        <v/>
      </c>
      <c r="V110">
        <f>IF(J109&lt;=0,0,MIN(AO110,J$7+IF(J$2=$AA110,$AC110,IF(J$2=$AF110,$AG110,0))))</f>
        <v/>
      </c>
      <c r="W110">
        <f>IF(K109&lt;=0,0,MIN(AP110,K$7+IF(K$2=$AA110,$AC110,IF(K$2=$AF110,$AG110,0))))</f>
        <v/>
      </c>
      <c r="X110">
        <f>IF(L109&lt;=0,0,MIN(AQ110,L$7+IF(L$2=$AA110,$AC110,IF(L$2=$AF110,$AG110,0))))</f>
        <v/>
      </c>
      <c r="Y110">
        <f>IF(M109&lt;=0,0,MIN(AR110,M$7+IF(M$2=$AA110,$AC110,IF(M$2=$AF110,$AG110,0))))</f>
        <v/>
      </c>
      <c r="Z110">
        <f>IF(N109&lt;=0,0,MIN(AS110,N$7+IF(N$2=$AA110,$AC110,IF(N$2=$AF110,$AG110,0))))</f>
        <v/>
      </c>
      <c r="AA110">
        <f>IFERROR(ROUND(1/SUMPRODUCT(MAX((C109:N109&gt;0)*($C$3:$N$3&lt;=B110)/$C$2:$N$2)),0),0)</f>
        <v/>
      </c>
      <c r="AB110">
        <f>SUMPRODUCT((C109:N109&gt;0)*$C$7:$N$7)</f>
        <v/>
      </c>
      <c r="AC110">
        <f>MAX(0,Plan!$C$5-AB110)+IF(A110=Plan!$C$8,N(Plan!$C$7),0)</f>
        <v/>
      </c>
      <c r="AD110">
        <f>SUM(C110:N110)</f>
        <v/>
      </c>
      <c r="AE110">
        <f>SUM(O110:Z110)</f>
        <v/>
      </c>
      <c r="AF110">
        <f>IFERROR(ROUND(1/SUMPRODUCT(MAX((C109:N109&gt;0)*($C$3:$N$3&lt;=B110)*($C$2:$N$2&gt;AA110)/$C$2:$N$2)),0),0)</f>
        <v/>
      </c>
      <c r="AG110">
        <f>MAX(0,AC110-MAX(0,SUMPRODUCT(($C$2:$N$2=AA110)*(AH110:AS110-$C$7:$N$7))))</f>
        <v/>
      </c>
      <c r="AH110">
        <f>IF(C109&lt;=0,0,ROUND(C109*(1+IF(AND(C$6&gt;0,$B110&lt;C$6),C$4,C$5)/12),2))</f>
        <v/>
      </c>
      <c r="AI110">
        <f>IF(D109&lt;=0,0,ROUND(D109*(1+IF(AND(D$6&gt;0,$B110&lt;D$6),D$4,D$5)/12),2))</f>
        <v/>
      </c>
      <c r="AJ110">
        <f>IF(E109&lt;=0,0,ROUND(E109*(1+IF(AND(E$6&gt;0,$B110&lt;E$6),E$4,E$5)/12),2))</f>
        <v/>
      </c>
      <c r="AK110">
        <f>IF(F109&lt;=0,0,ROUND(F109*(1+IF(AND(F$6&gt;0,$B110&lt;F$6),F$4,F$5)/12),2))</f>
        <v/>
      </c>
      <c r="AL110">
        <f>IF(G109&lt;=0,0,ROUND(G109*(1+IF(AND(G$6&gt;0,$B110&lt;G$6),G$4,G$5)/12),2))</f>
        <v/>
      </c>
      <c r="AM110">
        <f>IF(H109&lt;=0,0,ROUND(H109*(1+IF(AND(H$6&gt;0,$B110&lt;H$6),H$4,H$5)/12),2))</f>
        <v/>
      </c>
      <c r="AN110">
        <f>IF(I109&lt;=0,0,ROUND(I109*(1+IF(AND(I$6&gt;0,$B110&lt;I$6),I$4,I$5)/12),2))</f>
        <v/>
      </c>
      <c r="AO110">
        <f>IF(J109&lt;=0,0,ROUND(J109*(1+IF(AND(J$6&gt;0,$B110&lt;J$6),J$4,J$5)/12),2))</f>
        <v/>
      </c>
      <c r="AP110">
        <f>IF(K109&lt;=0,0,ROUND(K109*(1+IF(AND(K$6&gt;0,$B110&lt;K$6),K$4,K$5)/12),2))</f>
        <v/>
      </c>
      <c r="AQ110">
        <f>IF(L109&lt;=0,0,ROUND(L109*(1+IF(AND(L$6&gt;0,$B110&lt;L$6),L$4,L$5)/12),2))</f>
        <v/>
      </c>
      <c r="AR110">
        <f>IF(M109&lt;=0,0,ROUND(M109*(1+IF(AND(M$6&gt;0,$B110&lt;M$6),M$4,M$5)/12),2))</f>
        <v/>
      </c>
      <c r="AS110">
        <f>IF(N109&lt;=0,0,ROUND(N109*(1+IF(AND(N$6&gt;0,$B110&lt;N$6),N$4,N$5)/12),2))</f>
        <v/>
      </c>
    </row>
    <row r="111">
      <c r="A111" t="n">
        <v>100</v>
      </c>
      <c r="B111">
        <f>EDATE(Plan!$C$6,99)</f>
        <v/>
      </c>
      <c r="C111">
        <f>IF(C110&lt;=0,0,MAX(0,AH111-O111))</f>
        <v/>
      </c>
      <c r="D111">
        <f>IF(D110&lt;=0,0,MAX(0,AI111-P111))</f>
        <v/>
      </c>
      <c r="E111">
        <f>IF(E110&lt;=0,0,MAX(0,AJ111-Q111))</f>
        <v/>
      </c>
      <c r="F111">
        <f>IF(F110&lt;=0,0,MAX(0,AK111-R111))</f>
        <v/>
      </c>
      <c r="G111">
        <f>IF(G110&lt;=0,0,MAX(0,AL111-S111))</f>
        <v/>
      </c>
      <c r="H111">
        <f>IF(H110&lt;=0,0,MAX(0,AM111-T111))</f>
        <v/>
      </c>
      <c r="I111">
        <f>IF(I110&lt;=0,0,MAX(0,AN111-U111))</f>
        <v/>
      </c>
      <c r="J111">
        <f>IF(J110&lt;=0,0,MAX(0,AO111-V111))</f>
        <v/>
      </c>
      <c r="K111">
        <f>IF(K110&lt;=0,0,MAX(0,AP111-W111))</f>
        <v/>
      </c>
      <c r="L111">
        <f>IF(L110&lt;=0,0,MAX(0,AQ111-X111))</f>
        <v/>
      </c>
      <c r="M111">
        <f>IF(M110&lt;=0,0,MAX(0,AR111-Y111))</f>
        <v/>
      </c>
      <c r="N111">
        <f>IF(N110&lt;=0,0,MAX(0,AS111-Z111))</f>
        <v/>
      </c>
      <c r="O111">
        <f>IF(C110&lt;=0,0,MIN(AH111,C$7+IF(C$2=$AA111,$AC111,IF(C$2=$AF111,$AG111,0))))</f>
        <v/>
      </c>
      <c r="P111">
        <f>IF(D110&lt;=0,0,MIN(AI111,D$7+IF(D$2=$AA111,$AC111,IF(D$2=$AF111,$AG111,0))))</f>
        <v/>
      </c>
      <c r="Q111">
        <f>IF(E110&lt;=0,0,MIN(AJ111,E$7+IF(E$2=$AA111,$AC111,IF(E$2=$AF111,$AG111,0))))</f>
        <v/>
      </c>
      <c r="R111">
        <f>IF(F110&lt;=0,0,MIN(AK111,F$7+IF(F$2=$AA111,$AC111,IF(F$2=$AF111,$AG111,0))))</f>
        <v/>
      </c>
      <c r="S111">
        <f>IF(G110&lt;=0,0,MIN(AL111,G$7+IF(G$2=$AA111,$AC111,IF(G$2=$AF111,$AG111,0))))</f>
        <v/>
      </c>
      <c r="T111">
        <f>IF(H110&lt;=0,0,MIN(AM111,H$7+IF(H$2=$AA111,$AC111,IF(H$2=$AF111,$AG111,0))))</f>
        <v/>
      </c>
      <c r="U111">
        <f>IF(I110&lt;=0,0,MIN(AN111,I$7+IF(I$2=$AA111,$AC111,IF(I$2=$AF111,$AG111,0))))</f>
        <v/>
      </c>
      <c r="V111">
        <f>IF(J110&lt;=0,0,MIN(AO111,J$7+IF(J$2=$AA111,$AC111,IF(J$2=$AF111,$AG111,0))))</f>
        <v/>
      </c>
      <c r="W111">
        <f>IF(K110&lt;=0,0,MIN(AP111,K$7+IF(K$2=$AA111,$AC111,IF(K$2=$AF111,$AG111,0))))</f>
        <v/>
      </c>
      <c r="X111">
        <f>IF(L110&lt;=0,0,MIN(AQ111,L$7+IF(L$2=$AA111,$AC111,IF(L$2=$AF111,$AG111,0))))</f>
        <v/>
      </c>
      <c r="Y111">
        <f>IF(M110&lt;=0,0,MIN(AR111,M$7+IF(M$2=$AA111,$AC111,IF(M$2=$AF111,$AG111,0))))</f>
        <v/>
      </c>
      <c r="Z111">
        <f>IF(N110&lt;=0,0,MIN(AS111,N$7+IF(N$2=$AA111,$AC111,IF(N$2=$AF111,$AG111,0))))</f>
        <v/>
      </c>
      <c r="AA111">
        <f>IFERROR(ROUND(1/SUMPRODUCT(MAX((C110:N110&gt;0)*($C$3:$N$3&lt;=B111)/$C$2:$N$2)),0),0)</f>
        <v/>
      </c>
      <c r="AB111">
        <f>SUMPRODUCT((C110:N110&gt;0)*$C$7:$N$7)</f>
        <v/>
      </c>
      <c r="AC111">
        <f>MAX(0,Plan!$C$5-AB111)+IF(A111=Plan!$C$8,N(Plan!$C$7),0)</f>
        <v/>
      </c>
      <c r="AD111">
        <f>SUM(C111:N111)</f>
        <v/>
      </c>
      <c r="AE111">
        <f>SUM(O111:Z111)</f>
        <v/>
      </c>
      <c r="AF111">
        <f>IFERROR(ROUND(1/SUMPRODUCT(MAX((C110:N110&gt;0)*($C$3:$N$3&lt;=B111)*($C$2:$N$2&gt;AA111)/$C$2:$N$2)),0),0)</f>
        <v/>
      </c>
      <c r="AG111">
        <f>MAX(0,AC111-MAX(0,SUMPRODUCT(($C$2:$N$2=AA111)*(AH111:AS111-$C$7:$N$7))))</f>
        <v/>
      </c>
      <c r="AH111">
        <f>IF(C110&lt;=0,0,ROUND(C110*(1+IF(AND(C$6&gt;0,$B111&lt;C$6),C$4,C$5)/12),2))</f>
        <v/>
      </c>
      <c r="AI111">
        <f>IF(D110&lt;=0,0,ROUND(D110*(1+IF(AND(D$6&gt;0,$B111&lt;D$6),D$4,D$5)/12),2))</f>
        <v/>
      </c>
      <c r="AJ111">
        <f>IF(E110&lt;=0,0,ROUND(E110*(1+IF(AND(E$6&gt;0,$B111&lt;E$6),E$4,E$5)/12),2))</f>
        <v/>
      </c>
      <c r="AK111">
        <f>IF(F110&lt;=0,0,ROUND(F110*(1+IF(AND(F$6&gt;0,$B111&lt;F$6),F$4,F$5)/12),2))</f>
        <v/>
      </c>
      <c r="AL111">
        <f>IF(G110&lt;=0,0,ROUND(G110*(1+IF(AND(G$6&gt;0,$B111&lt;G$6),G$4,G$5)/12),2))</f>
        <v/>
      </c>
      <c r="AM111">
        <f>IF(H110&lt;=0,0,ROUND(H110*(1+IF(AND(H$6&gt;0,$B111&lt;H$6),H$4,H$5)/12),2))</f>
        <v/>
      </c>
      <c r="AN111">
        <f>IF(I110&lt;=0,0,ROUND(I110*(1+IF(AND(I$6&gt;0,$B111&lt;I$6),I$4,I$5)/12),2))</f>
        <v/>
      </c>
      <c r="AO111">
        <f>IF(J110&lt;=0,0,ROUND(J110*(1+IF(AND(J$6&gt;0,$B111&lt;J$6),J$4,J$5)/12),2))</f>
        <v/>
      </c>
      <c r="AP111">
        <f>IF(K110&lt;=0,0,ROUND(K110*(1+IF(AND(K$6&gt;0,$B111&lt;K$6),K$4,K$5)/12),2))</f>
        <v/>
      </c>
      <c r="AQ111">
        <f>IF(L110&lt;=0,0,ROUND(L110*(1+IF(AND(L$6&gt;0,$B111&lt;L$6),L$4,L$5)/12),2))</f>
        <v/>
      </c>
      <c r="AR111">
        <f>IF(M110&lt;=0,0,ROUND(M110*(1+IF(AND(M$6&gt;0,$B111&lt;M$6),M$4,M$5)/12),2))</f>
        <v/>
      </c>
      <c r="AS111">
        <f>IF(N110&lt;=0,0,ROUND(N110*(1+IF(AND(N$6&gt;0,$B111&lt;N$6),N$4,N$5)/12),2))</f>
        <v/>
      </c>
    </row>
    <row r="112">
      <c r="A112" t="n">
        <v>101</v>
      </c>
      <c r="B112">
        <f>EDATE(Plan!$C$6,100)</f>
        <v/>
      </c>
      <c r="C112">
        <f>IF(C111&lt;=0,0,MAX(0,AH112-O112))</f>
        <v/>
      </c>
      <c r="D112">
        <f>IF(D111&lt;=0,0,MAX(0,AI112-P112))</f>
        <v/>
      </c>
      <c r="E112">
        <f>IF(E111&lt;=0,0,MAX(0,AJ112-Q112))</f>
        <v/>
      </c>
      <c r="F112">
        <f>IF(F111&lt;=0,0,MAX(0,AK112-R112))</f>
        <v/>
      </c>
      <c r="G112">
        <f>IF(G111&lt;=0,0,MAX(0,AL112-S112))</f>
        <v/>
      </c>
      <c r="H112">
        <f>IF(H111&lt;=0,0,MAX(0,AM112-T112))</f>
        <v/>
      </c>
      <c r="I112">
        <f>IF(I111&lt;=0,0,MAX(0,AN112-U112))</f>
        <v/>
      </c>
      <c r="J112">
        <f>IF(J111&lt;=0,0,MAX(0,AO112-V112))</f>
        <v/>
      </c>
      <c r="K112">
        <f>IF(K111&lt;=0,0,MAX(0,AP112-W112))</f>
        <v/>
      </c>
      <c r="L112">
        <f>IF(L111&lt;=0,0,MAX(0,AQ112-X112))</f>
        <v/>
      </c>
      <c r="M112">
        <f>IF(M111&lt;=0,0,MAX(0,AR112-Y112))</f>
        <v/>
      </c>
      <c r="N112">
        <f>IF(N111&lt;=0,0,MAX(0,AS112-Z112))</f>
        <v/>
      </c>
      <c r="O112">
        <f>IF(C111&lt;=0,0,MIN(AH112,C$7+IF(C$2=$AA112,$AC112,IF(C$2=$AF112,$AG112,0))))</f>
        <v/>
      </c>
      <c r="P112">
        <f>IF(D111&lt;=0,0,MIN(AI112,D$7+IF(D$2=$AA112,$AC112,IF(D$2=$AF112,$AG112,0))))</f>
        <v/>
      </c>
      <c r="Q112">
        <f>IF(E111&lt;=0,0,MIN(AJ112,E$7+IF(E$2=$AA112,$AC112,IF(E$2=$AF112,$AG112,0))))</f>
        <v/>
      </c>
      <c r="R112">
        <f>IF(F111&lt;=0,0,MIN(AK112,F$7+IF(F$2=$AA112,$AC112,IF(F$2=$AF112,$AG112,0))))</f>
        <v/>
      </c>
      <c r="S112">
        <f>IF(G111&lt;=0,0,MIN(AL112,G$7+IF(G$2=$AA112,$AC112,IF(G$2=$AF112,$AG112,0))))</f>
        <v/>
      </c>
      <c r="T112">
        <f>IF(H111&lt;=0,0,MIN(AM112,H$7+IF(H$2=$AA112,$AC112,IF(H$2=$AF112,$AG112,0))))</f>
        <v/>
      </c>
      <c r="U112">
        <f>IF(I111&lt;=0,0,MIN(AN112,I$7+IF(I$2=$AA112,$AC112,IF(I$2=$AF112,$AG112,0))))</f>
        <v/>
      </c>
      <c r="V112">
        <f>IF(J111&lt;=0,0,MIN(AO112,J$7+IF(J$2=$AA112,$AC112,IF(J$2=$AF112,$AG112,0))))</f>
        <v/>
      </c>
      <c r="W112">
        <f>IF(K111&lt;=0,0,MIN(AP112,K$7+IF(K$2=$AA112,$AC112,IF(K$2=$AF112,$AG112,0))))</f>
        <v/>
      </c>
      <c r="X112">
        <f>IF(L111&lt;=0,0,MIN(AQ112,L$7+IF(L$2=$AA112,$AC112,IF(L$2=$AF112,$AG112,0))))</f>
        <v/>
      </c>
      <c r="Y112">
        <f>IF(M111&lt;=0,0,MIN(AR112,M$7+IF(M$2=$AA112,$AC112,IF(M$2=$AF112,$AG112,0))))</f>
        <v/>
      </c>
      <c r="Z112">
        <f>IF(N111&lt;=0,0,MIN(AS112,N$7+IF(N$2=$AA112,$AC112,IF(N$2=$AF112,$AG112,0))))</f>
        <v/>
      </c>
      <c r="AA112">
        <f>IFERROR(ROUND(1/SUMPRODUCT(MAX((C111:N111&gt;0)*($C$3:$N$3&lt;=B112)/$C$2:$N$2)),0),0)</f>
        <v/>
      </c>
      <c r="AB112">
        <f>SUMPRODUCT((C111:N111&gt;0)*$C$7:$N$7)</f>
        <v/>
      </c>
      <c r="AC112">
        <f>MAX(0,Plan!$C$5-AB112)+IF(A112=Plan!$C$8,N(Plan!$C$7),0)</f>
        <v/>
      </c>
      <c r="AD112">
        <f>SUM(C112:N112)</f>
        <v/>
      </c>
      <c r="AE112">
        <f>SUM(O112:Z112)</f>
        <v/>
      </c>
      <c r="AF112">
        <f>IFERROR(ROUND(1/SUMPRODUCT(MAX((C111:N111&gt;0)*($C$3:$N$3&lt;=B112)*($C$2:$N$2&gt;AA112)/$C$2:$N$2)),0),0)</f>
        <v/>
      </c>
      <c r="AG112">
        <f>MAX(0,AC112-MAX(0,SUMPRODUCT(($C$2:$N$2=AA112)*(AH112:AS112-$C$7:$N$7))))</f>
        <v/>
      </c>
      <c r="AH112">
        <f>IF(C111&lt;=0,0,ROUND(C111*(1+IF(AND(C$6&gt;0,$B112&lt;C$6),C$4,C$5)/12),2))</f>
        <v/>
      </c>
      <c r="AI112">
        <f>IF(D111&lt;=0,0,ROUND(D111*(1+IF(AND(D$6&gt;0,$B112&lt;D$6),D$4,D$5)/12),2))</f>
        <v/>
      </c>
      <c r="AJ112">
        <f>IF(E111&lt;=0,0,ROUND(E111*(1+IF(AND(E$6&gt;0,$B112&lt;E$6),E$4,E$5)/12),2))</f>
        <v/>
      </c>
      <c r="AK112">
        <f>IF(F111&lt;=0,0,ROUND(F111*(1+IF(AND(F$6&gt;0,$B112&lt;F$6),F$4,F$5)/12),2))</f>
        <v/>
      </c>
      <c r="AL112">
        <f>IF(G111&lt;=0,0,ROUND(G111*(1+IF(AND(G$6&gt;0,$B112&lt;G$6),G$4,G$5)/12),2))</f>
        <v/>
      </c>
      <c r="AM112">
        <f>IF(H111&lt;=0,0,ROUND(H111*(1+IF(AND(H$6&gt;0,$B112&lt;H$6),H$4,H$5)/12),2))</f>
        <v/>
      </c>
      <c r="AN112">
        <f>IF(I111&lt;=0,0,ROUND(I111*(1+IF(AND(I$6&gt;0,$B112&lt;I$6),I$4,I$5)/12),2))</f>
        <v/>
      </c>
      <c r="AO112">
        <f>IF(J111&lt;=0,0,ROUND(J111*(1+IF(AND(J$6&gt;0,$B112&lt;J$6),J$4,J$5)/12),2))</f>
        <v/>
      </c>
      <c r="AP112">
        <f>IF(K111&lt;=0,0,ROUND(K111*(1+IF(AND(K$6&gt;0,$B112&lt;K$6),K$4,K$5)/12),2))</f>
        <v/>
      </c>
      <c r="AQ112">
        <f>IF(L111&lt;=0,0,ROUND(L111*(1+IF(AND(L$6&gt;0,$B112&lt;L$6),L$4,L$5)/12),2))</f>
        <v/>
      </c>
      <c r="AR112">
        <f>IF(M111&lt;=0,0,ROUND(M111*(1+IF(AND(M$6&gt;0,$B112&lt;M$6),M$4,M$5)/12),2))</f>
        <v/>
      </c>
      <c r="AS112">
        <f>IF(N111&lt;=0,0,ROUND(N111*(1+IF(AND(N$6&gt;0,$B112&lt;N$6),N$4,N$5)/12),2))</f>
        <v/>
      </c>
    </row>
    <row r="113">
      <c r="A113" t="n">
        <v>102</v>
      </c>
      <c r="B113">
        <f>EDATE(Plan!$C$6,101)</f>
        <v/>
      </c>
      <c r="C113">
        <f>IF(C112&lt;=0,0,MAX(0,AH113-O113))</f>
        <v/>
      </c>
      <c r="D113">
        <f>IF(D112&lt;=0,0,MAX(0,AI113-P113))</f>
        <v/>
      </c>
      <c r="E113">
        <f>IF(E112&lt;=0,0,MAX(0,AJ113-Q113))</f>
        <v/>
      </c>
      <c r="F113">
        <f>IF(F112&lt;=0,0,MAX(0,AK113-R113))</f>
        <v/>
      </c>
      <c r="G113">
        <f>IF(G112&lt;=0,0,MAX(0,AL113-S113))</f>
        <v/>
      </c>
      <c r="H113">
        <f>IF(H112&lt;=0,0,MAX(0,AM113-T113))</f>
        <v/>
      </c>
      <c r="I113">
        <f>IF(I112&lt;=0,0,MAX(0,AN113-U113))</f>
        <v/>
      </c>
      <c r="J113">
        <f>IF(J112&lt;=0,0,MAX(0,AO113-V113))</f>
        <v/>
      </c>
      <c r="K113">
        <f>IF(K112&lt;=0,0,MAX(0,AP113-W113))</f>
        <v/>
      </c>
      <c r="L113">
        <f>IF(L112&lt;=0,0,MAX(0,AQ113-X113))</f>
        <v/>
      </c>
      <c r="M113">
        <f>IF(M112&lt;=0,0,MAX(0,AR113-Y113))</f>
        <v/>
      </c>
      <c r="N113">
        <f>IF(N112&lt;=0,0,MAX(0,AS113-Z113))</f>
        <v/>
      </c>
      <c r="O113">
        <f>IF(C112&lt;=0,0,MIN(AH113,C$7+IF(C$2=$AA113,$AC113,IF(C$2=$AF113,$AG113,0))))</f>
        <v/>
      </c>
      <c r="P113">
        <f>IF(D112&lt;=0,0,MIN(AI113,D$7+IF(D$2=$AA113,$AC113,IF(D$2=$AF113,$AG113,0))))</f>
        <v/>
      </c>
      <c r="Q113">
        <f>IF(E112&lt;=0,0,MIN(AJ113,E$7+IF(E$2=$AA113,$AC113,IF(E$2=$AF113,$AG113,0))))</f>
        <v/>
      </c>
      <c r="R113">
        <f>IF(F112&lt;=0,0,MIN(AK113,F$7+IF(F$2=$AA113,$AC113,IF(F$2=$AF113,$AG113,0))))</f>
        <v/>
      </c>
      <c r="S113">
        <f>IF(G112&lt;=0,0,MIN(AL113,G$7+IF(G$2=$AA113,$AC113,IF(G$2=$AF113,$AG113,0))))</f>
        <v/>
      </c>
      <c r="T113">
        <f>IF(H112&lt;=0,0,MIN(AM113,H$7+IF(H$2=$AA113,$AC113,IF(H$2=$AF113,$AG113,0))))</f>
        <v/>
      </c>
      <c r="U113">
        <f>IF(I112&lt;=0,0,MIN(AN113,I$7+IF(I$2=$AA113,$AC113,IF(I$2=$AF113,$AG113,0))))</f>
        <v/>
      </c>
      <c r="V113">
        <f>IF(J112&lt;=0,0,MIN(AO113,J$7+IF(J$2=$AA113,$AC113,IF(J$2=$AF113,$AG113,0))))</f>
        <v/>
      </c>
      <c r="W113">
        <f>IF(K112&lt;=0,0,MIN(AP113,K$7+IF(K$2=$AA113,$AC113,IF(K$2=$AF113,$AG113,0))))</f>
        <v/>
      </c>
      <c r="X113">
        <f>IF(L112&lt;=0,0,MIN(AQ113,L$7+IF(L$2=$AA113,$AC113,IF(L$2=$AF113,$AG113,0))))</f>
        <v/>
      </c>
      <c r="Y113">
        <f>IF(M112&lt;=0,0,MIN(AR113,M$7+IF(M$2=$AA113,$AC113,IF(M$2=$AF113,$AG113,0))))</f>
        <v/>
      </c>
      <c r="Z113">
        <f>IF(N112&lt;=0,0,MIN(AS113,N$7+IF(N$2=$AA113,$AC113,IF(N$2=$AF113,$AG113,0))))</f>
        <v/>
      </c>
      <c r="AA113">
        <f>IFERROR(ROUND(1/SUMPRODUCT(MAX((C112:N112&gt;0)*($C$3:$N$3&lt;=B113)/$C$2:$N$2)),0),0)</f>
        <v/>
      </c>
      <c r="AB113">
        <f>SUMPRODUCT((C112:N112&gt;0)*$C$7:$N$7)</f>
        <v/>
      </c>
      <c r="AC113">
        <f>MAX(0,Plan!$C$5-AB113)+IF(A113=Plan!$C$8,N(Plan!$C$7),0)</f>
        <v/>
      </c>
      <c r="AD113">
        <f>SUM(C113:N113)</f>
        <v/>
      </c>
      <c r="AE113">
        <f>SUM(O113:Z113)</f>
        <v/>
      </c>
      <c r="AF113">
        <f>IFERROR(ROUND(1/SUMPRODUCT(MAX((C112:N112&gt;0)*($C$3:$N$3&lt;=B113)*($C$2:$N$2&gt;AA113)/$C$2:$N$2)),0),0)</f>
        <v/>
      </c>
      <c r="AG113">
        <f>MAX(0,AC113-MAX(0,SUMPRODUCT(($C$2:$N$2=AA113)*(AH113:AS113-$C$7:$N$7))))</f>
        <v/>
      </c>
      <c r="AH113">
        <f>IF(C112&lt;=0,0,ROUND(C112*(1+IF(AND(C$6&gt;0,$B113&lt;C$6),C$4,C$5)/12),2))</f>
        <v/>
      </c>
      <c r="AI113">
        <f>IF(D112&lt;=0,0,ROUND(D112*(1+IF(AND(D$6&gt;0,$B113&lt;D$6),D$4,D$5)/12),2))</f>
        <v/>
      </c>
      <c r="AJ113">
        <f>IF(E112&lt;=0,0,ROUND(E112*(1+IF(AND(E$6&gt;0,$B113&lt;E$6),E$4,E$5)/12),2))</f>
        <v/>
      </c>
      <c r="AK113">
        <f>IF(F112&lt;=0,0,ROUND(F112*(1+IF(AND(F$6&gt;0,$B113&lt;F$6),F$4,F$5)/12),2))</f>
        <v/>
      </c>
      <c r="AL113">
        <f>IF(G112&lt;=0,0,ROUND(G112*(1+IF(AND(G$6&gt;0,$B113&lt;G$6),G$4,G$5)/12),2))</f>
        <v/>
      </c>
      <c r="AM113">
        <f>IF(H112&lt;=0,0,ROUND(H112*(1+IF(AND(H$6&gt;0,$B113&lt;H$6),H$4,H$5)/12),2))</f>
        <v/>
      </c>
      <c r="AN113">
        <f>IF(I112&lt;=0,0,ROUND(I112*(1+IF(AND(I$6&gt;0,$B113&lt;I$6),I$4,I$5)/12),2))</f>
        <v/>
      </c>
      <c r="AO113">
        <f>IF(J112&lt;=0,0,ROUND(J112*(1+IF(AND(J$6&gt;0,$B113&lt;J$6),J$4,J$5)/12),2))</f>
        <v/>
      </c>
      <c r="AP113">
        <f>IF(K112&lt;=0,0,ROUND(K112*(1+IF(AND(K$6&gt;0,$B113&lt;K$6),K$4,K$5)/12),2))</f>
        <v/>
      </c>
      <c r="AQ113">
        <f>IF(L112&lt;=0,0,ROUND(L112*(1+IF(AND(L$6&gt;0,$B113&lt;L$6),L$4,L$5)/12),2))</f>
        <v/>
      </c>
      <c r="AR113">
        <f>IF(M112&lt;=0,0,ROUND(M112*(1+IF(AND(M$6&gt;0,$B113&lt;M$6),M$4,M$5)/12),2))</f>
        <v/>
      </c>
      <c r="AS113">
        <f>IF(N112&lt;=0,0,ROUND(N112*(1+IF(AND(N$6&gt;0,$B113&lt;N$6),N$4,N$5)/12),2))</f>
        <v/>
      </c>
    </row>
    <row r="114">
      <c r="A114" t="n">
        <v>103</v>
      </c>
      <c r="B114">
        <f>EDATE(Plan!$C$6,102)</f>
        <v/>
      </c>
      <c r="C114">
        <f>IF(C113&lt;=0,0,MAX(0,AH114-O114))</f>
        <v/>
      </c>
      <c r="D114">
        <f>IF(D113&lt;=0,0,MAX(0,AI114-P114))</f>
        <v/>
      </c>
      <c r="E114">
        <f>IF(E113&lt;=0,0,MAX(0,AJ114-Q114))</f>
        <v/>
      </c>
      <c r="F114">
        <f>IF(F113&lt;=0,0,MAX(0,AK114-R114))</f>
        <v/>
      </c>
      <c r="G114">
        <f>IF(G113&lt;=0,0,MAX(0,AL114-S114))</f>
        <v/>
      </c>
      <c r="H114">
        <f>IF(H113&lt;=0,0,MAX(0,AM114-T114))</f>
        <v/>
      </c>
      <c r="I114">
        <f>IF(I113&lt;=0,0,MAX(0,AN114-U114))</f>
        <v/>
      </c>
      <c r="J114">
        <f>IF(J113&lt;=0,0,MAX(0,AO114-V114))</f>
        <v/>
      </c>
      <c r="K114">
        <f>IF(K113&lt;=0,0,MAX(0,AP114-W114))</f>
        <v/>
      </c>
      <c r="L114">
        <f>IF(L113&lt;=0,0,MAX(0,AQ114-X114))</f>
        <v/>
      </c>
      <c r="M114">
        <f>IF(M113&lt;=0,0,MAX(0,AR114-Y114))</f>
        <v/>
      </c>
      <c r="N114">
        <f>IF(N113&lt;=0,0,MAX(0,AS114-Z114))</f>
        <v/>
      </c>
      <c r="O114">
        <f>IF(C113&lt;=0,0,MIN(AH114,C$7+IF(C$2=$AA114,$AC114,IF(C$2=$AF114,$AG114,0))))</f>
        <v/>
      </c>
      <c r="P114">
        <f>IF(D113&lt;=0,0,MIN(AI114,D$7+IF(D$2=$AA114,$AC114,IF(D$2=$AF114,$AG114,0))))</f>
        <v/>
      </c>
      <c r="Q114">
        <f>IF(E113&lt;=0,0,MIN(AJ114,E$7+IF(E$2=$AA114,$AC114,IF(E$2=$AF114,$AG114,0))))</f>
        <v/>
      </c>
      <c r="R114">
        <f>IF(F113&lt;=0,0,MIN(AK114,F$7+IF(F$2=$AA114,$AC114,IF(F$2=$AF114,$AG114,0))))</f>
        <v/>
      </c>
      <c r="S114">
        <f>IF(G113&lt;=0,0,MIN(AL114,G$7+IF(G$2=$AA114,$AC114,IF(G$2=$AF114,$AG114,0))))</f>
        <v/>
      </c>
      <c r="T114">
        <f>IF(H113&lt;=0,0,MIN(AM114,H$7+IF(H$2=$AA114,$AC114,IF(H$2=$AF114,$AG114,0))))</f>
        <v/>
      </c>
      <c r="U114">
        <f>IF(I113&lt;=0,0,MIN(AN114,I$7+IF(I$2=$AA114,$AC114,IF(I$2=$AF114,$AG114,0))))</f>
        <v/>
      </c>
      <c r="V114">
        <f>IF(J113&lt;=0,0,MIN(AO114,J$7+IF(J$2=$AA114,$AC114,IF(J$2=$AF114,$AG114,0))))</f>
        <v/>
      </c>
      <c r="W114">
        <f>IF(K113&lt;=0,0,MIN(AP114,K$7+IF(K$2=$AA114,$AC114,IF(K$2=$AF114,$AG114,0))))</f>
        <v/>
      </c>
      <c r="X114">
        <f>IF(L113&lt;=0,0,MIN(AQ114,L$7+IF(L$2=$AA114,$AC114,IF(L$2=$AF114,$AG114,0))))</f>
        <v/>
      </c>
      <c r="Y114">
        <f>IF(M113&lt;=0,0,MIN(AR114,M$7+IF(M$2=$AA114,$AC114,IF(M$2=$AF114,$AG114,0))))</f>
        <v/>
      </c>
      <c r="Z114">
        <f>IF(N113&lt;=0,0,MIN(AS114,N$7+IF(N$2=$AA114,$AC114,IF(N$2=$AF114,$AG114,0))))</f>
        <v/>
      </c>
      <c r="AA114">
        <f>IFERROR(ROUND(1/SUMPRODUCT(MAX((C113:N113&gt;0)*($C$3:$N$3&lt;=B114)/$C$2:$N$2)),0),0)</f>
        <v/>
      </c>
      <c r="AB114">
        <f>SUMPRODUCT((C113:N113&gt;0)*$C$7:$N$7)</f>
        <v/>
      </c>
      <c r="AC114">
        <f>MAX(0,Plan!$C$5-AB114)+IF(A114=Plan!$C$8,N(Plan!$C$7),0)</f>
        <v/>
      </c>
      <c r="AD114">
        <f>SUM(C114:N114)</f>
        <v/>
      </c>
      <c r="AE114">
        <f>SUM(O114:Z114)</f>
        <v/>
      </c>
      <c r="AF114">
        <f>IFERROR(ROUND(1/SUMPRODUCT(MAX((C113:N113&gt;0)*($C$3:$N$3&lt;=B114)*($C$2:$N$2&gt;AA114)/$C$2:$N$2)),0),0)</f>
        <v/>
      </c>
      <c r="AG114">
        <f>MAX(0,AC114-MAX(0,SUMPRODUCT(($C$2:$N$2=AA114)*(AH114:AS114-$C$7:$N$7))))</f>
        <v/>
      </c>
      <c r="AH114">
        <f>IF(C113&lt;=0,0,ROUND(C113*(1+IF(AND(C$6&gt;0,$B114&lt;C$6),C$4,C$5)/12),2))</f>
        <v/>
      </c>
      <c r="AI114">
        <f>IF(D113&lt;=0,0,ROUND(D113*(1+IF(AND(D$6&gt;0,$B114&lt;D$6),D$4,D$5)/12),2))</f>
        <v/>
      </c>
      <c r="AJ114">
        <f>IF(E113&lt;=0,0,ROUND(E113*(1+IF(AND(E$6&gt;0,$B114&lt;E$6),E$4,E$5)/12),2))</f>
        <v/>
      </c>
      <c r="AK114">
        <f>IF(F113&lt;=0,0,ROUND(F113*(1+IF(AND(F$6&gt;0,$B114&lt;F$6),F$4,F$5)/12),2))</f>
        <v/>
      </c>
      <c r="AL114">
        <f>IF(G113&lt;=0,0,ROUND(G113*(1+IF(AND(G$6&gt;0,$B114&lt;G$6),G$4,G$5)/12),2))</f>
        <v/>
      </c>
      <c r="AM114">
        <f>IF(H113&lt;=0,0,ROUND(H113*(1+IF(AND(H$6&gt;0,$B114&lt;H$6),H$4,H$5)/12),2))</f>
        <v/>
      </c>
      <c r="AN114">
        <f>IF(I113&lt;=0,0,ROUND(I113*(1+IF(AND(I$6&gt;0,$B114&lt;I$6),I$4,I$5)/12),2))</f>
        <v/>
      </c>
      <c r="AO114">
        <f>IF(J113&lt;=0,0,ROUND(J113*(1+IF(AND(J$6&gt;0,$B114&lt;J$6),J$4,J$5)/12),2))</f>
        <v/>
      </c>
      <c r="AP114">
        <f>IF(K113&lt;=0,0,ROUND(K113*(1+IF(AND(K$6&gt;0,$B114&lt;K$6),K$4,K$5)/12),2))</f>
        <v/>
      </c>
      <c r="AQ114">
        <f>IF(L113&lt;=0,0,ROUND(L113*(1+IF(AND(L$6&gt;0,$B114&lt;L$6),L$4,L$5)/12),2))</f>
        <v/>
      </c>
      <c r="AR114">
        <f>IF(M113&lt;=0,0,ROUND(M113*(1+IF(AND(M$6&gt;0,$B114&lt;M$6),M$4,M$5)/12),2))</f>
        <v/>
      </c>
      <c r="AS114">
        <f>IF(N113&lt;=0,0,ROUND(N113*(1+IF(AND(N$6&gt;0,$B114&lt;N$6),N$4,N$5)/12),2))</f>
        <v/>
      </c>
    </row>
    <row r="115">
      <c r="A115" t="n">
        <v>104</v>
      </c>
      <c r="B115">
        <f>EDATE(Plan!$C$6,103)</f>
        <v/>
      </c>
      <c r="C115">
        <f>IF(C114&lt;=0,0,MAX(0,AH115-O115))</f>
        <v/>
      </c>
      <c r="D115">
        <f>IF(D114&lt;=0,0,MAX(0,AI115-P115))</f>
        <v/>
      </c>
      <c r="E115">
        <f>IF(E114&lt;=0,0,MAX(0,AJ115-Q115))</f>
        <v/>
      </c>
      <c r="F115">
        <f>IF(F114&lt;=0,0,MAX(0,AK115-R115))</f>
        <v/>
      </c>
      <c r="G115">
        <f>IF(G114&lt;=0,0,MAX(0,AL115-S115))</f>
        <v/>
      </c>
      <c r="H115">
        <f>IF(H114&lt;=0,0,MAX(0,AM115-T115))</f>
        <v/>
      </c>
      <c r="I115">
        <f>IF(I114&lt;=0,0,MAX(0,AN115-U115))</f>
        <v/>
      </c>
      <c r="J115">
        <f>IF(J114&lt;=0,0,MAX(0,AO115-V115))</f>
        <v/>
      </c>
      <c r="K115">
        <f>IF(K114&lt;=0,0,MAX(0,AP115-W115))</f>
        <v/>
      </c>
      <c r="L115">
        <f>IF(L114&lt;=0,0,MAX(0,AQ115-X115))</f>
        <v/>
      </c>
      <c r="M115">
        <f>IF(M114&lt;=0,0,MAX(0,AR115-Y115))</f>
        <v/>
      </c>
      <c r="N115">
        <f>IF(N114&lt;=0,0,MAX(0,AS115-Z115))</f>
        <v/>
      </c>
      <c r="O115">
        <f>IF(C114&lt;=0,0,MIN(AH115,C$7+IF(C$2=$AA115,$AC115,IF(C$2=$AF115,$AG115,0))))</f>
        <v/>
      </c>
      <c r="P115">
        <f>IF(D114&lt;=0,0,MIN(AI115,D$7+IF(D$2=$AA115,$AC115,IF(D$2=$AF115,$AG115,0))))</f>
        <v/>
      </c>
      <c r="Q115">
        <f>IF(E114&lt;=0,0,MIN(AJ115,E$7+IF(E$2=$AA115,$AC115,IF(E$2=$AF115,$AG115,0))))</f>
        <v/>
      </c>
      <c r="R115">
        <f>IF(F114&lt;=0,0,MIN(AK115,F$7+IF(F$2=$AA115,$AC115,IF(F$2=$AF115,$AG115,0))))</f>
        <v/>
      </c>
      <c r="S115">
        <f>IF(G114&lt;=0,0,MIN(AL115,G$7+IF(G$2=$AA115,$AC115,IF(G$2=$AF115,$AG115,0))))</f>
        <v/>
      </c>
      <c r="T115">
        <f>IF(H114&lt;=0,0,MIN(AM115,H$7+IF(H$2=$AA115,$AC115,IF(H$2=$AF115,$AG115,0))))</f>
        <v/>
      </c>
      <c r="U115">
        <f>IF(I114&lt;=0,0,MIN(AN115,I$7+IF(I$2=$AA115,$AC115,IF(I$2=$AF115,$AG115,0))))</f>
        <v/>
      </c>
      <c r="V115">
        <f>IF(J114&lt;=0,0,MIN(AO115,J$7+IF(J$2=$AA115,$AC115,IF(J$2=$AF115,$AG115,0))))</f>
        <v/>
      </c>
      <c r="W115">
        <f>IF(K114&lt;=0,0,MIN(AP115,K$7+IF(K$2=$AA115,$AC115,IF(K$2=$AF115,$AG115,0))))</f>
        <v/>
      </c>
      <c r="X115">
        <f>IF(L114&lt;=0,0,MIN(AQ115,L$7+IF(L$2=$AA115,$AC115,IF(L$2=$AF115,$AG115,0))))</f>
        <v/>
      </c>
      <c r="Y115">
        <f>IF(M114&lt;=0,0,MIN(AR115,M$7+IF(M$2=$AA115,$AC115,IF(M$2=$AF115,$AG115,0))))</f>
        <v/>
      </c>
      <c r="Z115">
        <f>IF(N114&lt;=0,0,MIN(AS115,N$7+IF(N$2=$AA115,$AC115,IF(N$2=$AF115,$AG115,0))))</f>
        <v/>
      </c>
      <c r="AA115">
        <f>IFERROR(ROUND(1/SUMPRODUCT(MAX((C114:N114&gt;0)*($C$3:$N$3&lt;=B115)/$C$2:$N$2)),0),0)</f>
        <v/>
      </c>
      <c r="AB115">
        <f>SUMPRODUCT((C114:N114&gt;0)*$C$7:$N$7)</f>
        <v/>
      </c>
      <c r="AC115">
        <f>MAX(0,Plan!$C$5-AB115)+IF(A115=Plan!$C$8,N(Plan!$C$7),0)</f>
        <v/>
      </c>
      <c r="AD115">
        <f>SUM(C115:N115)</f>
        <v/>
      </c>
      <c r="AE115">
        <f>SUM(O115:Z115)</f>
        <v/>
      </c>
      <c r="AF115">
        <f>IFERROR(ROUND(1/SUMPRODUCT(MAX((C114:N114&gt;0)*($C$3:$N$3&lt;=B115)*($C$2:$N$2&gt;AA115)/$C$2:$N$2)),0),0)</f>
        <v/>
      </c>
      <c r="AG115">
        <f>MAX(0,AC115-MAX(0,SUMPRODUCT(($C$2:$N$2=AA115)*(AH115:AS115-$C$7:$N$7))))</f>
        <v/>
      </c>
      <c r="AH115">
        <f>IF(C114&lt;=0,0,ROUND(C114*(1+IF(AND(C$6&gt;0,$B115&lt;C$6),C$4,C$5)/12),2))</f>
        <v/>
      </c>
      <c r="AI115">
        <f>IF(D114&lt;=0,0,ROUND(D114*(1+IF(AND(D$6&gt;0,$B115&lt;D$6),D$4,D$5)/12),2))</f>
        <v/>
      </c>
      <c r="AJ115">
        <f>IF(E114&lt;=0,0,ROUND(E114*(1+IF(AND(E$6&gt;0,$B115&lt;E$6),E$4,E$5)/12),2))</f>
        <v/>
      </c>
      <c r="AK115">
        <f>IF(F114&lt;=0,0,ROUND(F114*(1+IF(AND(F$6&gt;0,$B115&lt;F$6),F$4,F$5)/12),2))</f>
        <v/>
      </c>
      <c r="AL115">
        <f>IF(G114&lt;=0,0,ROUND(G114*(1+IF(AND(G$6&gt;0,$B115&lt;G$6),G$4,G$5)/12),2))</f>
        <v/>
      </c>
      <c r="AM115">
        <f>IF(H114&lt;=0,0,ROUND(H114*(1+IF(AND(H$6&gt;0,$B115&lt;H$6),H$4,H$5)/12),2))</f>
        <v/>
      </c>
      <c r="AN115">
        <f>IF(I114&lt;=0,0,ROUND(I114*(1+IF(AND(I$6&gt;0,$B115&lt;I$6),I$4,I$5)/12),2))</f>
        <v/>
      </c>
      <c r="AO115">
        <f>IF(J114&lt;=0,0,ROUND(J114*(1+IF(AND(J$6&gt;0,$B115&lt;J$6),J$4,J$5)/12),2))</f>
        <v/>
      </c>
      <c r="AP115">
        <f>IF(K114&lt;=0,0,ROUND(K114*(1+IF(AND(K$6&gt;0,$B115&lt;K$6),K$4,K$5)/12),2))</f>
        <v/>
      </c>
      <c r="AQ115">
        <f>IF(L114&lt;=0,0,ROUND(L114*(1+IF(AND(L$6&gt;0,$B115&lt;L$6),L$4,L$5)/12),2))</f>
        <v/>
      </c>
      <c r="AR115">
        <f>IF(M114&lt;=0,0,ROUND(M114*(1+IF(AND(M$6&gt;0,$B115&lt;M$6),M$4,M$5)/12),2))</f>
        <v/>
      </c>
      <c r="AS115">
        <f>IF(N114&lt;=0,0,ROUND(N114*(1+IF(AND(N$6&gt;0,$B115&lt;N$6),N$4,N$5)/12),2))</f>
        <v/>
      </c>
    </row>
    <row r="116">
      <c r="A116" t="n">
        <v>105</v>
      </c>
      <c r="B116">
        <f>EDATE(Plan!$C$6,104)</f>
        <v/>
      </c>
      <c r="C116">
        <f>IF(C115&lt;=0,0,MAX(0,AH116-O116))</f>
        <v/>
      </c>
      <c r="D116">
        <f>IF(D115&lt;=0,0,MAX(0,AI116-P116))</f>
        <v/>
      </c>
      <c r="E116">
        <f>IF(E115&lt;=0,0,MAX(0,AJ116-Q116))</f>
        <v/>
      </c>
      <c r="F116">
        <f>IF(F115&lt;=0,0,MAX(0,AK116-R116))</f>
        <v/>
      </c>
      <c r="G116">
        <f>IF(G115&lt;=0,0,MAX(0,AL116-S116))</f>
        <v/>
      </c>
      <c r="H116">
        <f>IF(H115&lt;=0,0,MAX(0,AM116-T116))</f>
        <v/>
      </c>
      <c r="I116">
        <f>IF(I115&lt;=0,0,MAX(0,AN116-U116))</f>
        <v/>
      </c>
      <c r="J116">
        <f>IF(J115&lt;=0,0,MAX(0,AO116-V116))</f>
        <v/>
      </c>
      <c r="K116">
        <f>IF(K115&lt;=0,0,MAX(0,AP116-W116))</f>
        <v/>
      </c>
      <c r="L116">
        <f>IF(L115&lt;=0,0,MAX(0,AQ116-X116))</f>
        <v/>
      </c>
      <c r="M116">
        <f>IF(M115&lt;=0,0,MAX(0,AR116-Y116))</f>
        <v/>
      </c>
      <c r="N116">
        <f>IF(N115&lt;=0,0,MAX(0,AS116-Z116))</f>
        <v/>
      </c>
      <c r="O116">
        <f>IF(C115&lt;=0,0,MIN(AH116,C$7+IF(C$2=$AA116,$AC116,IF(C$2=$AF116,$AG116,0))))</f>
        <v/>
      </c>
      <c r="P116">
        <f>IF(D115&lt;=0,0,MIN(AI116,D$7+IF(D$2=$AA116,$AC116,IF(D$2=$AF116,$AG116,0))))</f>
        <v/>
      </c>
      <c r="Q116">
        <f>IF(E115&lt;=0,0,MIN(AJ116,E$7+IF(E$2=$AA116,$AC116,IF(E$2=$AF116,$AG116,0))))</f>
        <v/>
      </c>
      <c r="R116">
        <f>IF(F115&lt;=0,0,MIN(AK116,F$7+IF(F$2=$AA116,$AC116,IF(F$2=$AF116,$AG116,0))))</f>
        <v/>
      </c>
      <c r="S116">
        <f>IF(G115&lt;=0,0,MIN(AL116,G$7+IF(G$2=$AA116,$AC116,IF(G$2=$AF116,$AG116,0))))</f>
        <v/>
      </c>
      <c r="T116">
        <f>IF(H115&lt;=0,0,MIN(AM116,H$7+IF(H$2=$AA116,$AC116,IF(H$2=$AF116,$AG116,0))))</f>
        <v/>
      </c>
      <c r="U116">
        <f>IF(I115&lt;=0,0,MIN(AN116,I$7+IF(I$2=$AA116,$AC116,IF(I$2=$AF116,$AG116,0))))</f>
        <v/>
      </c>
      <c r="V116">
        <f>IF(J115&lt;=0,0,MIN(AO116,J$7+IF(J$2=$AA116,$AC116,IF(J$2=$AF116,$AG116,0))))</f>
        <v/>
      </c>
      <c r="W116">
        <f>IF(K115&lt;=0,0,MIN(AP116,K$7+IF(K$2=$AA116,$AC116,IF(K$2=$AF116,$AG116,0))))</f>
        <v/>
      </c>
      <c r="X116">
        <f>IF(L115&lt;=0,0,MIN(AQ116,L$7+IF(L$2=$AA116,$AC116,IF(L$2=$AF116,$AG116,0))))</f>
        <v/>
      </c>
      <c r="Y116">
        <f>IF(M115&lt;=0,0,MIN(AR116,M$7+IF(M$2=$AA116,$AC116,IF(M$2=$AF116,$AG116,0))))</f>
        <v/>
      </c>
      <c r="Z116">
        <f>IF(N115&lt;=0,0,MIN(AS116,N$7+IF(N$2=$AA116,$AC116,IF(N$2=$AF116,$AG116,0))))</f>
        <v/>
      </c>
      <c r="AA116">
        <f>IFERROR(ROUND(1/SUMPRODUCT(MAX((C115:N115&gt;0)*($C$3:$N$3&lt;=B116)/$C$2:$N$2)),0),0)</f>
        <v/>
      </c>
      <c r="AB116">
        <f>SUMPRODUCT((C115:N115&gt;0)*$C$7:$N$7)</f>
        <v/>
      </c>
      <c r="AC116">
        <f>MAX(0,Plan!$C$5-AB116)+IF(A116=Plan!$C$8,N(Plan!$C$7),0)</f>
        <v/>
      </c>
      <c r="AD116">
        <f>SUM(C116:N116)</f>
        <v/>
      </c>
      <c r="AE116">
        <f>SUM(O116:Z116)</f>
        <v/>
      </c>
      <c r="AF116">
        <f>IFERROR(ROUND(1/SUMPRODUCT(MAX((C115:N115&gt;0)*($C$3:$N$3&lt;=B116)*($C$2:$N$2&gt;AA116)/$C$2:$N$2)),0),0)</f>
        <v/>
      </c>
      <c r="AG116">
        <f>MAX(0,AC116-MAX(0,SUMPRODUCT(($C$2:$N$2=AA116)*(AH116:AS116-$C$7:$N$7))))</f>
        <v/>
      </c>
      <c r="AH116">
        <f>IF(C115&lt;=0,0,ROUND(C115*(1+IF(AND(C$6&gt;0,$B116&lt;C$6),C$4,C$5)/12),2))</f>
        <v/>
      </c>
      <c r="AI116">
        <f>IF(D115&lt;=0,0,ROUND(D115*(1+IF(AND(D$6&gt;0,$B116&lt;D$6),D$4,D$5)/12),2))</f>
        <v/>
      </c>
      <c r="AJ116">
        <f>IF(E115&lt;=0,0,ROUND(E115*(1+IF(AND(E$6&gt;0,$B116&lt;E$6),E$4,E$5)/12),2))</f>
        <v/>
      </c>
      <c r="AK116">
        <f>IF(F115&lt;=0,0,ROUND(F115*(1+IF(AND(F$6&gt;0,$B116&lt;F$6),F$4,F$5)/12),2))</f>
        <v/>
      </c>
      <c r="AL116">
        <f>IF(G115&lt;=0,0,ROUND(G115*(1+IF(AND(G$6&gt;0,$B116&lt;G$6),G$4,G$5)/12),2))</f>
        <v/>
      </c>
      <c r="AM116">
        <f>IF(H115&lt;=0,0,ROUND(H115*(1+IF(AND(H$6&gt;0,$B116&lt;H$6),H$4,H$5)/12),2))</f>
        <v/>
      </c>
      <c r="AN116">
        <f>IF(I115&lt;=0,0,ROUND(I115*(1+IF(AND(I$6&gt;0,$B116&lt;I$6),I$4,I$5)/12),2))</f>
        <v/>
      </c>
      <c r="AO116">
        <f>IF(J115&lt;=0,0,ROUND(J115*(1+IF(AND(J$6&gt;0,$B116&lt;J$6),J$4,J$5)/12),2))</f>
        <v/>
      </c>
      <c r="AP116">
        <f>IF(K115&lt;=0,0,ROUND(K115*(1+IF(AND(K$6&gt;0,$B116&lt;K$6),K$4,K$5)/12),2))</f>
        <v/>
      </c>
      <c r="AQ116">
        <f>IF(L115&lt;=0,0,ROUND(L115*(1+IF(AND(L$6&gt;0,$B116&lt;L$6),L$4,L$5)/12),2))</f>
        <v/>
      </c>
      <c r="AR116">
        <f>IF(M115&lt;=0,0,ROUND(M115*(1+IF(AND(M$6&gt;0,$B116&lt;M$6),M$4,M$5)/12),2))</f>
        <v/>
      </c>
      <c r="AS116">
        <f>IF(N115&lt;=0,0,ROUND(N115*(1+IF(AND(N$6&gt;0,$B116&lt;N$6),N$4,N$5)/12),2))</f>
        <v/>
      </c>
    </row>
    <row r="117">
      <c r="A117" t="n">
        <v>106</v>
      </c>
      <c r="B117">
        <f>EDATE(Plan!$C$6,105)</f>
        <v/>
      </c>
      <c r="C117">
        <f>IF(C116&lt;=0,0,MAX(0,AH117-O117))</f>
        <v/>
      </c>
      <c r="D117">
        <f>IF(D116&lt;=0,0,MAX(0,AI117-P117))</f>
        <v/>
      </c>
      <c r="E117">
        <f>IF(E116&lt;=0,0,MAX(0,AJ117-Q117))</f>
        <v/>
      </c>
      <c r="F117">
        <f>IF(F116&lt;=0,0,MAX(0,AK117-R117))</f>
        <v/>
      </c>
      <c r="G117">
        <f>IF(G116&lt;=0,0,MAX(0,AL117-S117))</f>
        <v/>
      </c>
      <c r="H117">
        <f>IF(H116&lt;=0,0,MAX(0,AM117-T117))</f>
        <v/>
      </c>
      <c r="I117">
        <f>IF(I116&lt;=0,0,MAX(0,AN117-U117))</f>
        <v/>
      </c>
      <c r="J117">
        <f>IF(J116&lt;=0,0,MAX(0,AO117-V117))</f>
        <v/>
      </c>
      <c r="K117">
        <f>IF(K116&lt;=0,0,MAX(0,AP117-W117))</f>
        <v/>
      </c>
      <c r="L117">
        <f>IF(L116&lt;=0,0,MAX(0,AQ117-X117))</f>
        <v/>
      </c>
      <c r="M117">
        <f>IF(M116&lt;=0,0,MAX(0,AR117-Y117))</f>
        <v/>
      </c>
      <c r="N117">
        <f>IF(N116&lt;=0,0,MAX(0,AS117-Z117))</f>
        <v/>
      </c>
      <c r="O117">
        <f>IF(C116&lt;=0,0,MIN(AH117,C$7+IF(C$2=$AA117,$AC117,IF(C$2=$AF117,$AG117,0))))</f>
        <v/>
      </c>
      <c r="P117">
        <f>IF(D116&lt;=0,0,MIN(AI117,D$7+IF(D$2=$AA117,$AC117,IF(D$2=$AF117,$AG117,0))))</f>
        <v/>
      </c>
      <c r="Q117">
        <f>IF(E116&lt;=0,0,MIN(AJ117,E$7+IF(E$2=$AA117,$AC117,IF(E$2=$AF117,$AG117,0))))</f>
        <v/>
      </c>
      <c r="R117">
        <f>IF(F116&lt;=0,0,MIN(AK117,F$7+IF(F$2=$AA117,$AC117,IF(F$2=$AF117,$AG117,0))))</f>
        <v/>
      </c>
      <c r="S117">
        <f>IF(G116&lt;=0,0,MIN(AL117,G$7+IF(G$2=$AA117,$AC117,IF(G$2=$AF117,$AG117,0))))</f>
        <v/>
      </c>
      <c r="T117">
        <f>IF(H116&lt;=0,0,MIN(AM117,H$7+IF(H$2=$AA117,$AC117,IF(H$2=$AF117,$AG117,0))))</f>
        <v/>
      </c>
      <c r="U117">
        <f>IF(I116&lt;=0,0,MIN(AN117,I$7+IF(I$2=$AA117,$AC117,IF(I$2=$AF117,$AG117,0))))</f>
        <v/>
      </c>
      <c r="V117">
        <f>IF(J116&lt;=0,0,MIN(AO117,J$7+IF(J$2=$AA117,$AC117,IF(J$2=$AF117,$AG117,0))))</f>
        <v/>
      </c>
      <c r="W117">
        <f>IF(K116&lt;=0,0,MIN(AP117,K$7+IF(K$2=$AA117,$AC117,IF(K$2=$AF117,$AG117,0))))</f>
        <v/>
      </c>
      <c r="X117">
        <f>IF(L116&lt;=0,0,MIN(AQ117,L$7+IF(L$2=$AA117,$AC117,IF(L$2=$AF117,$AG117,0))))</f>
        <v/>
      </c>
      <c r="Y117">
        <f>IF(M116&lt;=0,0,MIN(AR117,M$7+IF(M$2=$AA117,$AC117,IF(M$2=$AF117,$AG117,0))))</f>
        <v/>
      </c>
      <c r="Z117">
        <f>IF(N116&lt;=0,0,MIN(AS117,N$7+IF(N$2=$AA117,$AC117,IF(N$2=$AF117,$AG117,0))))</f>
        <v/>
      </c>
      <c r="AA117">
        <f>IFERROR(ROUND(1/SUMPRODUCT(MAX((C116:N116&gt;0)*($C$3:$N$3&lt;=B117)/$C$2:$N$2)),0),0)</f>
        <v/>
      </c>
      <c r="AB117">
        <f>SUMPRODUCT((C116:N116&gt;0)*$C$7:$N$7)</f>
        <v/>
      </c>
      <c r="AC117">
        <f>MAX(0,Plan!$C$5-AB117)+IF(A117=Plan!$C$8,N(Plan!$C$7),0)</f>
        <v/>
      </c>
      <c r="AD117">
        <f>SUM(C117:N117)</f>
        <v/>
      </c>
      <c r="AE117">
        <f>SUM(O117:Z117)</f>
        <v/>
      </c>
      <c r="AF117">
        <f>IFERROR(ROUND(1/SUMPRODUCT(MAX((C116:N116&gt;0)*($C$3:$N$3&lt;=B117)*($C$2:$N$2&gt;AA117)/$C$2:$N$2)),0),0)</f>
        <v/>
      </c>
      <c r="AG117">
        <f>MAX(0,AC117-MAX(0,SUMPRODUCT(($C$2:$N$2=AA117)*(AH117:AS117-$C$7:$N$7))))</f>
        <v/>
      </c>
      <c r="AH117">
        <f>IF(C116&lt;=0,0,ROUND(C116*(1+IF(AND(C$6&gt;0,$B117&lt;C$6),C$4,C$5)/12),2))</f>
        <v/>
      </c>
      <c r="AI117">
        <f>IF(D116&lt;=0,0,ROUND(D116*(1+IF(AND(D$6&gt;0,$B117&lt;D$6),D$4,D$5)/12),2))</f>
        <v/>
      </c>
      <c r="AJ117">
        <f>IF(E116&lt;=0,0,ROUND(E116*(1+IF(AND(E$6&gt;0,$B117&lt;E$6),E$4,E$5)/12),2))</f>
        <v/>
      </c>
      <c r="AK117">
        <f>IF(F116&lt;=0,0,ROUND(F116*(1+IF(AND(F$6&gt;0,$B117&lt;F$6),F$4,F$5)/12),2))</f>
        <v/>
      </c>
      <c r="AL117">
        <f>IF(G116&lt;=0,0,ROUND(G116*(1+IF(AND(G$6&gt;0,$B117&lt;G$6),G$4,G$5)/12),2))</f>
        <v/>
      </c>
      <c r="AM117">
        <f>IF(H116&lt;=0,0,ROUND(H116*(1+IF(AND(H$6&gt;0,$B117&lt;H$6),H$4,H$5)/12),2))</f>
        <v/>
      </c>
      <c r="AN117">
        <f>IF(I116&lt;=0,0,ROUND(I116*(1+IF(AND(I$6&gt;0,$B117&lt;I$6),I$4,I$5)/12),2))</f>
        <v/>
      </c>
      <c r="AO117">
        <f>IF(J116&lt;=0,0,ROUND(J116*(1+IF(AND(J$6&gt;0,$B117&lt;J$6),J$4,J$5)/12),2))</f>
        <v/>
      </c>
      <c r="AP117">
        <f>IF(K116&lt;=0,0,ROUND(K116*(1+IF(AND(K$6&gt;0,$B117&lt;K$6),K$4,K$5)/12),2))</f>
        <v/>
      </c>
      <c r="AQ117">
        <f>IF(L116&lt;=0,0,ROUND(L116*(1+IF(AND(L$6&gt;0,$B117&lt;L$6),L$4,L$5)/12),2))</f>
        <v/>
      </c>
      <c r="AR117">
        <f>IF(M116&lt;=0,0,ROUND(M116*(1+IF(AND(M$6&gt;0,$B117&lt;M$6),M$4,M$5)/12),2))</f>
        <v/>
      </c>
      <c r="AS117">
        <f>IF(N116&lt;=0,0,ROUND(N116*(1+IF(AND(N$6&gt;0,$B117&lt;N$6),N$4,N$5)/12),2))</f>
        <v/>
      </c>
    </row>
    <row r="118">
      <c r="A118" t="n">
        <v>107</v>
      </c>
      <c r="B118">
        <f>EDATE(Plan!$C$6,106)</f>
        <v/>
      </c>
      <c r="C118">
        <f>IF(C117&lt;=0,0,MAX(0,AH118-O118))</f>
        <v/>
      </c>
      <c r="D118">
        <f>IF(D117&lt;=0,0,MAX(0,AI118-P118))</f>
        <v/>
      </c>
      <c r="E118">
        <f>IF(E117&lt;=0,0,MAX(0,AJ118-Q118))</f>
        <v/>
      </c>
      <c r="F118">
        <f>IF(F117&lt;=0,0,MAX(0,AK118-R118))</f>
        <v/>
      </c>
      <c r="G118">
        <f>IF(G117&lt;=0,0,MAX(0,AL118-S118))</f>
        <v/>
      </c>
      <c r="H118">
        <f>IF(H117&lt;=0,0,MAX(0,AM118-T118))</f>
        <v/>
      </c>
      <c r="I118">
        <f>IF(I117&lt;=0,0,MAX(0,AN118-U118))</f>
        <v/>
      </c>
      <c r="J118">
        <f>IF(J117&lt;=0,0,MAX(0,AO118-V118))</f>
        <v/>
      </c>
      <c r="K118">
        <f>IF(K117&lt;=0,0,MAX(0,AP118-W118))</f>
        <v/>
      </c>
      <c r="L118">
        <f>IF(L117&lt;=0,0,MAX(0,AQ118-X118))</f>
        <v/>
      </c>
      <c r="M118">
        <f>IF(M117&lt;=0,0,MAX(0,AR118-Y118))</f>
        <v/>
      </c>
      <c r="N118">
        <f>IF(N117&lt;=0,0,MAX(0,AS118-Z118))</f>
        <v/>
      </c>
      <c r="O118">
        <f>IF(C117&lt;=0,0,MIN(AH118,C$7+IF(C$2=$AA118,$AC118,IF(C$2=$AF118,$AG118,0))))</f>
        <v/>
      </c>
      <c r="P118">
        <f>IF(D117&lt;=0,0,MIN(AI118,D$7+IF(D$2=$AA118,$AC118,IF(D$2=$AF118,$AG118,0))))</f>
        <v/>
      </c>
      <c r="Q118">
        <f>IF(E117&lt;=0,0,MIN(AJ118,E$7+IF(E$2=$AA118,$AC118,IF(E$2=$AF118,$AG118,0))))</f>
        <v/>
      </c>
      <c r="R118">
        <f>IF(F117&lt;=0,0,MIN(AK118,F$7+IF(F$2=$AA118,$AC118,IF(F$2=$AF118,$AG118,0))))</f>
        <v/>
      </c>
      <c r="S118">
        <f>IF(G117&lt;=0,0,MIN(AL118,G$7+IF(G$2=$AA118,$AC118,IF(G$2=$AF118,$AG118,0))))</f>
        <v/>
      </c>
      <c r="T118">
        <f>IF(H117&lt;=0,0,MIN(AM118,H$7+IF(H$2=$AA118,$AC118,IF(H$2=$AF118,$AG118,0))))</f>
        <v/>
      </c>
      <c r="U118">
        <f>IF(I117&lt;=0,0,MIN(AN118,I$7+IF(I$2=$AA118,$AC118,IF(I$2=$AF118,$AG118,0))))</f>
        <v/>
      </c>
      <c r="V118">
        <f>IF(J117&lt;=0,0,MIN(AO118,J$7+IF(J$2=$AA118,$AC118,IF(J$2=$AF118,$AG118,0))))</f>
        <v/>
      </c>
      <c r="W118">
        <f>IF(K117&lt;=0,0,MIN(AP118,K$7+IF(K$2=$AA118,$AC118,IF(K$2=$AF118,$AG118,0))))</f>
        <v/>
      </c>
      <c r="X118">
        <f>IF(L117&lt;=0,0,MIN(AQ118,L$7+IF(L$2=$AA118,$AC118,IF(L$2=$AF118,$AG118,0))))</f>
        <v/>
      </c>
      <c r="Y118">
        <f>IF(M117&lt;=0,0,MIN(AR118,M$7+IF(M$2=$AA118,$AC118,IF(M$2=$AF118,$AG118,0))))</f>
        <v/>
      </c>
      <c r="Z118">
        <f>IF(N117&lt;=0,0,MIN(AS118,N$7+IF(N$2=$AA118,$AC118,IF(N$2=$AF118,$AG118,0))))</f>
        <v/>
      </c>
      <c r="AA118">
        <f>IFERROR(ROUND(1/SUMPRODUCT(MAX((C117:N117&gt;0)*($C$3:$N$3&lt;=B118)/$C$2:$N$2)),0),0)</f>
        <v/>
      </c>
      <c r="AB118">
        <f>SUMPRODUCT((C117:N117&gt;0)*$C$7:$N$7)</f>
        <v/>
      </c>
      <c r="AC118">
        <f>MAX(0,Plan!$C$5-AB118)+IF(A118=Plan!$C$8,N(Plan!$C$7),0)</f>
        <v/>
      </c>
      <c r="AD118">
        <f>SUM(C118:N118)</f>
        <v/>
      </c>
      <c r="AE118">
        <f>SUM(O118:Z118)</f>
        <v/>
      </c>
      <c r="AF118">
        <f>IFERROR(ROUND(1/SUMPRODUCT(MAX((C117:N117&gt;0)*($C$3:$N$3&lt;=B118)*($C$2:$N$2&gt;AA118)/$C$2:$N$2)),0),0)</f>
        <v/>
      </c>
      <c r="AG118">
        <f>MAX(0,AC118-MAX(0,SUMPRODUCT(($C$2:$N$2=AA118)*(AH118:AS118-$C$7:$N$7))))</f>
        <v/>
      </c>
      <c r="AH118">
        <f>IF(C117&lt;=0,0,ROUND(C117*(1+IF(AND(C$6&gt;0,$B118&lt;C$6),C$4,C$5)/12),2))</f>
        <v/>
      </c>
      <c r="AI118">
        <f>IF(D117&lt;=0,0,ROUND(D117*(1+IF(AND(D$6&gt;0,$B118&lt;D$6),D$4,D$5)/12),2))</f>
        <v/>
      </c>
      <c r="AJ118">
        <f>IF(E117&lt;=0,0,ROUND(E117*(1+IF(AND(E$6&gt;0,$B118&lt;E$6),E$4,E$5)/12),2))</f>
        <v/>
      </c>
      <c r="AK118">
        <f>IF(F117&lt;=0,0,ROUND(F117*(1+IF(AND(F$6&gt;0,$B118&lt;F$6),F$4,F$5)/12),2))</f>
        <v/>
      </c>
      <c r="AL118">
        <f>IF(G117&lt;=0,0,ROUND(G117*(1+IF(AND(G$6&gt;0,$B118&lt;G$6),G$4,G$5)/12),2))</f>
        <v/>
      </c>
      <c r="AM118">
        <f>IF(H117&lt;=0,0,ROUND(H117*(1+IF(AND(H$6&gt;0,$B118&lt;H$6),H$4,H$5)/12),2))</f>
        <v/>
      </c>
      <c r="AN118">
        <f>IF(I117&lt;=0,0,ROUND(I117*(1+IF(AND(I$6&gt;0,$B118&lt;I$6),I$4,I$5)/12),2))</f>
        <v/>
      </c>
      <c r="AO118">
        <f>IF(J117&lt;=0,0,ROUND(J117*(1+IF(AND(J$6&gt;0,$B118&lt;J$6),J$4,J$5)/12),2))</f>
        <v/>
      </c>
      <c r="AP118">
        <f>IF(K117&lt;=0,0,ROUND(K117*(1+IF(AND(K$6&gt;0,$B118&lt;K$6),K$4,K$5)/12),2))</f>
        <v/>
      </c>
      <c r="AQ118">
        <f>IF(L117&lt;=0,0,ROUND(L117*(1+IF(AND(L$6&gt;0,$B118&lt;L$6),L$4,L$5)/12),2))</f>
        <v/>
      </c>
      <c r="AR118">
        <f>IF(M117&lt;=0,0,ROUND(M117*(1+IF(AND(M$6&gt;0,$B118&lt;M$6),M$4,M$5)/12),2))</f>
        <v/>
      </c>
      <c r="AS118">
        <f>IF(N117&lt;=0,0,ROUND(N117*(1+IF(AND(N$6&gt;0,$B118&lt;N$6),N$4,N$5)/12),2))</f>
        <v/>
      </c>
    </row>
    <row r="119">
      <c r="A119" t="n">
        <v>108</v>
      </c>
      <c r="B119">
        <f>EDATE(Plan!$C$6,107)</f>
        <v/>
      </c>
      <c r="C119">
        <f>IF(C118&lt;=0,0,MAX(0,AH119-O119))</f>
        <v/>
      </c>
      <c r="D119">
        <f>IF(D118&lt;=0,0,MAX(0,AI119-P119))</f>
        <v/>
      </c>
      <c r="E119">
        <f>IF(E118&lt;=0,0,MAX(0,AJ119-Q119))</f>
        <v/>
      </c>
      <c r="F119">
        <f>IF(F118&lt;=0,0,MAX(0,AK119-R119))</f>
        <v/>
      </c>
      <c r="G119">
        <f>IF(G118&lt;=0,0,MAX(0,AL119-S119))</f>
        <v/>
      </c>
      <c r="H119">
        <f>IF(H118&lt;=0,0,MAX(0,AM119-T119))</f>
        <v/>
      </c>
      <c r="I119">
        <f>IF(I118&lt;=0,0,MAX(0,AN119-U119))</f>
        <v/>
      </c>
      <c r="J119">
        <f>IF(J118&lt;=0,0,MAX(0,AO119-V119))</f>
        <v/>
      </c>
      <c r="K119">
        <f>IF(K118&lt;=0,0,MAX(0,AP119-W119))</f>
        <v/>
      </c>
      <c r="L119">
        <f>IF(L118&lt;=0,0,MAX(0,AQ119-X119))</f>
        <v/>
      </c>
      <c r="M119">
        <f>IF(M118&lt;=0,0,MAX(0,AR119-Y119))</f>
        <v/>
      </c>
      <c r="N119">
        <f>IF(N118&lt;=0,0,MAX(0,AS119-Z119))</f>
        <v/>
      </c>
      <c r="O119">
        <f>IF(C118&lt;=0,0,MIN(AH119,C$7+IF(C$2=$AA119,$AC119,IF(C$2=$AF119,$AG119,0))))</f>
        <v/>
      </c>
      <c r="P119">
        <f>IF(D118&lt;=0,0,MIN(AI119,D$7+IF(D$2=$AA119,$AC119,IF(D$2=$AF119,$AG119,0))))</f>
        <v/>
      </c>
      <c r="Q119">
        <f>IF(E118&lt;=0,0,MIN(AJ119,E$7+IF(E$2=$AA119,$AC119,IF(E$2=$AF119,$AG119,0))))</f>
        <v/>
      </c>
      <c r="R119">
        <f>IF(F118&lt;=0,0,MIN(AK119,F$7+IF(F$2=$AA119,$AC119,IF(F$2=$AF119,$AG119,0))))</f>
        <v/>
      </c>
      <c r="S119">
        <f>IF(G118&lt;=0,0,MIN(AL119,G$7+IF(G$2=$AA119,$AC119,IF(G$2=$AF119,$AG119,0))))</f>
        <v/>
      </c>
      <c r="T119">
        <f>IF(H118&lt;=0,0,MIN(AM119,H$7+IF(H$2=$AA119,$AC119,IF(H$2=$AF119,$AG119,0))))</f>
        <v/>
      </c>
      <c r="U119">
        <f>IF(I118&lt;=0,0,MIN(AN119,I$7+IF(I$2=$AA119,$AC119,IF(I$2=$AF119,$AG119,0))))</f>
        <v/>
      </c>
      <c r="V119">
        <f>IF(J118&lt;=0,0,MIN(AO119,J$7+IF(J$2=$AA119,$AC119,IF(J$2=$AF119,$AG119,0))))</f>
        <v/>
      </c>
      <c r="W119">
        <f>IF(K118&lt;=0,0,MIN(AP119,K$7+IF(K$2=$AA119,$AC119,IF(K$2=$AF119,$AG119,0))))</f>
        <v/>
      </c>
      <c r="X119">
        <f>IF(L118&lt;=0,0,MIN(AQ119,L$7+IF(L$2=$AA119,$AC119,IF(L$2=$AF119,$AG119,0))))</f>
        <v/>
      </c>
      <c r="Y119">
        <f>IF(M118&lt;=0,0,MIN(AR119,M$7+IF(M$2=$AA119,$AC119,IF(M$2=$AF119,$AG119,0))))</f>
        <v/>
      </c>
      <c r="Z119">
        <f>IF(N118&lt;=0,0,MIN(AS119,N$7+IF(N$2=$AA119,$AC119,IF(N$2=$AF119,$AG119,0))))</f>
        <v/>
      </c>
      <c r="AA119">
        <f>IFERROR(ROUND(1/SUMPRODUCT(MAX((C118:N118&gt;0)*($C$3:$N$3&lt;=B119)/$C$2:$N$2)),0),0)</f>
        <v/>
      </c>
      <c r="AB119">
        <f>SUMPRODUCT((C118:N118&gt;0)*$C$7:$N$7)</f>
        <v/>
      </c>
      <c r="AC119">
        <f>MAX(0,Plan!$C$5-AB119)+IF(A119=Plan!$C$8,N(Plan!$C$7),0)</f>
        <v/>
      </c>
      <c r="AD119">
        <f>SUM(C119:N119)</f>
        <v/>
      </c>
      <c r="AE119">
        <f>SUM(O119:Z119)</f>
        <v/>
      </c>
      <c r="AF119">
        <f>IFERROR(ROUND(1/SUMPRODUCT(MAX((C118:N118&gt;0)*($C$3:$N$3&lt;=B119)*($C$2:$N$2&gt;AA119)/$C$2:$N$2)),0),0)</f>
        <v/>
      </c>
      <c r="AG119">
        <f>MAX(0,AC119-MAX(0,SUMPRODUCT(($C$2:$N$2=AA119)*(AH119:AS119-$C$7:$N$7))))</f>
        <v/>
      </c>
      <c r="AH119">
        <f>IF(C118&lt;=0,0,ROUND(C118*(1+IF(AND(C$6&gt;0,$B119&lt;C$6),C$4,C$5)/12),2))</f>
        <v/>
      </c>
      <c r="AI119">
        <f>IF(D118&lt;=0,0,ROUND(D118*(1+IF(AND(D$6&gt;0,$B119&lt;D$6),D$4,D$5)/12),2))</f>
        <v/>
      </c>
      <c r="AJ119">
        <f>IF(E118&lt;=0,0,ROUND(E118*(1+IF(AND(E$6&gt;0,$B119&lt;E$6),E$4,E$5)/12),2))</f>
        <v/>
      </c>
      <c r="AK119">
        <f>IF(F118&lt;=0,0,ROUND(F118*(1+IF(AND(F$6&gt;0,$B119&lt;F$6),F$4,F$5)/12),2))</f>
        <v/>
      </c>
      <c r="AL119">
        <f>IF(G118&lt;=0,0,ROUND(G118*(1+IF(AND(G$6&gt;0,$B119&lt;G$6),G$4,G$5)/12),2))</f>
        <v/>
      </c>
      <c r="AM119">
        <f>IF(H118&lt;=0,0,ROUND(H118*(1+IF(AND(H$6&gt;0,$B119&lt;H$6),H$4,H$5)/12),2))</f>
        <v/>
      </c>
      <c r="AN119">
        <f>IF(I118&lt;=0,0,ROUND(I118*(1+IF(AND(I$6&gt;0,$B119&lt;I$6),I$4,I$5)/12),2))</f>
        <v/>
      </c>
      <c r="AO119">
        <f>IF(J118&lt;=0,0,ROUND(J118*(1+IF(AND(J$6&gt;0,$B119&lt;J$6),J$4,J$5)/12),2))</f>
        <v/>
      </c>
      <c r="AP119">
        <f>IF(K118&lt;=0,0,ROUND(K118*(1+IF(AND(K$6&gt;0,$B119&lt;K$6),K$4,K$5)/12),2))</f>
        <v/>
      </c>
      <c r="AQ119">
        <f>IF(L118&lt;=0,0,ROUND(L118*(1+IF(AND(L$6&gt;0,$B119&lt;L$6),L$4,L$5)/12),2))</f>
        <v/>
      </c>
      <c r="AR119">
        <f>IF(M118&lt;=0,0,ROUND(M118*(1+IF(AND(M$6&gt;0,$B119&lt;M$6),M$4,M$5)/12),2))</f>
        <v/>
      </c>
      <c r="AS119">
        <f>IF(N118&lt;=0,0,ROUND(N118*(1+IF(AND(N$6&gt;0,$B119&lt;N$6),N$4,N$5)/12),2))</f>
        <v/>
      </c>
    </row>
    <row r="120">
      <c r="A120" t="n">
        <v>109</v>
      </c>
      <c r="B120">
        <f>EDATE(Plan!$C$6,108)</f>
        <v/>
      </c>
      <c r="C120">
        <f>IF(C119&lt;=0,0,MAX(0,AH120-O120))</f>
        <v/>
      </c>
      <c r="D120">
        <f>IF(D119&lt;=0,0,MAX(0,AI120-P120))</f>
        <v/>
      </c>
      <c r="E120">
        <f>IF(E119&lt;=0,0,MAX(0,AJ120-Q120))</f>
        <v/>
      </c>
      <c r="F120">
        <f>IF(F119&lt;=0,0,MAX(0,AK120-R120))</f>
        <v/>
      </c>
      <c r="G120">
        <f>IF(G119&lt;=0,0,MAX(0,AL120-S120))</f>
        <v/>
      </c>
      <c r="H120">
        <f>IF(H119&lt;=0,0,MAX(0,AM120-T120))</f>
        <v/>
      </c>
      <c r="I120">
        <f>IF(I119&lt;=0,0,MAX(0,AN120-U120))</f>
        <v/>
      </c>
      <c r="J120">
        <f>IF(J119&lt;=0,0,MAX(0,AO120-V120))</f>
        <v/>
      </c>
      <c r="K120">
        <f>IF(K119&lt;=0,0,MAX(0,AP120-W120))</f>
        <v/>
      </c>
      <c r="L120">
        <f>IF(L119&lt;=0,0,MAX(0,AQ120-X120))</f>
        <v/>
      </c>
      <c r="M120">
        <f>IF(M119&lt;=0,0,MAX(0,AR120-Y120))</f>
        <v/>
      </c>
      <c r="N120">
        <f>IF(N119&lt;=0,0,MAX(0,AS120-Z120))</f>
        <v/>
      </c>
      <c r="O120">
        <f>IF(C119&lt;=0,0,MIN(AH120,C$7+IF(C$2=$AA120,$AC120,IF(C$2=$AF120,$AG120,0))))</f>
        <v/>
      </c>
      <c r="P120">
        <f>IF(D119&lt;=0,0,MIN(AI120,D$7+IF(D$2=$AA120,$AC120,IF(D$2=$AF120,$AG120,0))))</f>
        <v/>
      </c>
      <c r="Q120">
        <f>IF(E119&lt;=0,0,MIN(AJ120,E$7+IF(E$2=$AA120,$AC120,IF(E$2=$AF120,$AG120,0))))</f>
        <v/>
      </c>
      <c r="R120">
        <f>IF(F119&lt;=0,0,MIN(AK120,F$7+IF(F$2=$AA120,$AC120,IF(F$2=$AF120,$AG120,0))))</f>
        <v/>
      </c>
      <c r="S120">
        <f>IF(G119&lt;=0,0,MIN(AL120,G$7+IF(G$2=$AA120,$AC120,IF(G$2=$AF120,$AG120,0))))</f>
        <v/>
      </c>
      <c r="T120">
        <f>IF(H119&lt;=0,0,MIN(AM120,H$7+IF(H$2=$AA120,$AC120,IF(H$2=$AF120,$AG120,0))))</f>
        <v/>
      </c>
      <c r="U120">
        <f>IF(I119&lt;=0,0,MIN(AN120,I$7+IF(I$2=$AA120,$AC120,IF(I$2=$AF120,$AG120,0))))</f>
        <v/>
      </c>
      <c r="V120">
        <f>IF(J119&lt;=0,0,MIN(AO120,J$7+IF(J$2=$AA120,$AC120,IF(J$2=$AF120,$AG120,0))))</f>
        <v/>
      </c>
      <c r="W120">
        <f>IF(K119&lt;=0,0,MIN(AP120,K$7+IF(K$2=$AA120,$AC120,IF(K$2=$AF120,$AG120,0))))</f>
        <v/>
      </c>
      <c r="X120">
        <f>IF(L119&lt;=0,0,MIN(AQ120,L$7+IF(L$2=$AA120,$AC120,IF(L$2=$AF120,$AG120,0))))</f>
        <v/>
      </c>
      <c r="Y120">
        <f>IF(M119&lt;=0,0,MIN(AR120,M$7+IF(M$2=$AA120,$AC120,IF(M$2=$AF120,$AG120,0))))</f>
        <v/>
      </c>
      <c r="Z120">
        <f>IF(N119&lt;=0,0,MIN(AS120,N$7+IF(N$2=$AA120,$AC120,IF(N$2=$AF120,$AG120,0))))</f>
        <v/>
      </c>
      <c r="AA120">
        <f>IFERROR(ROUND(1/SUMPRODUCT(MAX((C119:N119&gt;0)*($C$3:$N$3&lt;=B120)/$C$2:$N$2)),0),0)</f>
        <v/>
      </c>
      <c r="AB120">
        <f>SUMPRODUCT((C119:N119&gt;0)*$C$7:$N$7)</f>
        <v/>
      </c>
      <c r="AC120">
        <f>MAX(0,Plan!$C$5-AB120)+IF(A120=Plan!$C$8,N(Plan!$C$7),0)</f>
        <v/>
      </c>
      <c r="AD120">
        <f>SUM(C120:N120)</f>
        <v/>
      </c>
      <c r="AE120">
        <f>SUM(O120:Z120)</f>
        <v/>
      </c>
      <c r="AF120">
        <f>IFERROR(ROUND(1/SUMPRODUCT(MAX((C119:N119&gt;0)*($C$3:$N$3&lt;=B120)*($C$2:$N$2&gt;AA120)/$C$2:$N$2)),0),0)</f>
        <v/>
      </c>
      <c r="AG120">
        <f>MAX(0,AC120-MAX(0,SUMPRODUCT(($C$2:$N$2=AA120)*(AH120:AS120-$C$7:$N$7))))</f>
        <v/>
      </c>
      <c r="AH120">
        <f>IF(C119&lt;=0,0,ROUND(C119*(1+IF(AND(C$6&gt;0,$B120&lt;C$6),C$4,C$5)/12),2))</f>
        <v/>
      </c>
      <c r="AI120">
        <f>IF(D119&lt;=0,0,ROUND(D119*(1+IF(AND(D$6&gt;0,$B120&lt;D$6),D$4,D$5)/12),2))</f>
        <v/>
      </c>
      <c r="AJ120">
        <f>IF(E119&lt;=0,0,ROUND(E119*(1+IF(AND(E$6&gt;0,$B120&lt;E$6),E$4,E$5)/12),2))</f>
        <v/>
      </c>
      <c r="AK120">
        <f>IF(F119&lt;=0,0,ROUND(F119*(1+IF(AND(F$6&gt;0,$B120&lt;F$6),F$4,F$5)/12),2))</f>
        <v/>
      </c>
      <c r="AL120">
        <f>IF(G119&lt;=0,0,ROUND(G119*(1+IF(AND(G$6&gt;0,$B120&lt;G$6),G$4,G$5)/12),2))</f>
        <v/>
      </c>
      <c r="AM120">
        <f>IF(H119&lt;=0,0,ROUND(H119*(1+IF(AND(H$6&gt;0,$B120&lt;H$6),H$4,H$5)/12),2))</f>
        <v/>
      </c>
      <c r="AN120">
        <f>IF(I119&lt;=0,0,ROUND(I119*(1+IF(AND(I$6&gt;0,$B120&lt;I$6),I$4,I$5)/12),2))</f>
        <v/>
      </c>
      <c r="AO120">
        <f>IF(J119&lt;=0,0,ROUND(J119*(1+IF(AND(J$6&gt;0,$B120&lt;J$6),J$4,J$5)/12),2))</f>
        <v/>
      </c>
      <c r="AP120">
        <f>IF(K119&lt;=0,0,ROUND(K119*(1+IF(AND(K$6&gt;0,$B120&lt;K$6),K$4,K$5)/12),2))</f>
        <v/>
      </c>
      <c r="AQ120">
        <f>IF(L119&lt;=0,0,ROUND(L119*(1+IF(AND(L$6&gt;0,$B120&lt;L$6),L$4,L$5)/12),2))</f>
        <v/>
      </c>
      <c r="AR120">
        <f>IF(M119&lt;=0,0,ROUND(M119*(1+IF(AND(M$6&gt;0,$B120&lt;M$6),M$4,M$5)/12),2))</f>
        <v/>
      </c>
      <c r="AS120">
        <f>IF(N119&lt;=0,0,ROUND(N119*(1+IF(AND(N$6&gt;0,$B120&lt;N$6),N$4,N$5)/12),2))</f>
        <v/>
      </c>
    </row>
    <row r="121">
      <c r="A121" t="n">
        <v>110</v>
      </c>
      <c r="B121">
        <f>EDATE(Plan!$C$6,109)</f>
        <v/>
      </c>
      <c r="C121">
        <f>IF(C120&lt;=0,0,MAX(0,AH121-O121))</f>
        <v/>
      </c>
      <c r="D121">
        <f>IF(D120&lt;=0,0,MAX(0,AI121-P121))</f>
        <v/>
      </c>
      <c r="E121">
        <f>IF(E120&lt;=0,0,MAX(0,AJ121-Q121))</f>
        <v/>
      </c>
      <c r="F121">
        <f>IF(F120&lt;=0,0,MAX(0,AK121-R121))</f>
        <v/>
      </c>
      <c r="G121">
        <f>IF(G120&lt;=0,0,MAX(0,AL121-S121))</f>
        <v/>
      </c>
      <c r="H121">
        <f>IF(H120&lt;=0,0,MAX(0,AM121-T121))</f>
        <v/>
      </c>
      <c r="I121">
        <f>IF(I120&lt;=0,0,MAX(0,AN121-U121))</f>
        <v/>
      </c>
      <c r="J121">
        <f>IF(J120&lt;=0,0,MAX(0,AO121-V121))</f>
        <v/>
      </c>
      <c r="K121">
        <f>IF(K120&lt;=0,0,MAX(0,AP121-W121))</f>
        <v/>
      </c>
      <c r="L121">
        <f>IF(L120&lt;=0,0,MAX(0,AQ121-X121))</f>
        <v/>
      </c>
      <c r="M121">
        <f>IF(M120&lt;=0,0,MAX(0,AR121-Y121))</f>
        <v/>
      </c>
      <c r="N121">
        <f>IF(N120&lt;=0,0,MAX(0,AS121-Z121))</f>
        <v/>
      </c>
      <c r="O121">
        <f>IF(C120&lt;=0,0,MIN(AH121,C$7+IF(C$2=$AA121,$AC121,IF(C$2=$AF121,$AG121,0))))</f>
        <v/>
      </c>
      <c r="P121">
        <f>IF(D120&lt;=0,0,MIN(AI121,D$7+IF(D$2=$AA121,$AC121,IF(D$2=$AF121,$AG121,0))))</f>
        <v/>
      </c>
      <c r="Q121">
        <f>IF(E120&lt;=0,0,MIN(AJ121,E$7+IF(E$2=$AA121,$AC121,IF(E$2=$AF121,$AG121,0))))</f>
        <v/>
      </c>
      <c r="R121">
        <f>IF(F120&lt;=0,0,MIN(AK121,F$7+IF(F$2=$AA121,$AC121,IF(F$2=$AF121,$AG121,0))))</f>
        <v/>
      </c>
      <c r="S121">
        <f>IF(G120&lt;=0,0,MIN(AL121,G$7+IF(G$2=$AA121,$AC121,IF(G$2=$AF121,$AG121,0))))</f>
        <v/>
      </c>
      <c r="T121">
        <f>IF(H120&lt;=0,0,MIN(AM121,H$7+IF(H$2=$AA121,$AC121,IF(H$2=$AF121,$AG121,0))))</f>
        <v/>
      </c>
      <c r="U121">
        <f>IF(I120&lt;=0,0,MIN(AN121,I$7+IF(I$2=$AA121,$AC121,IF(I$2=$AF121,$AG121,0))))</f>
        <v/>
      </c>
      <c r="V121">
        <f>IF(J120&lt;=0,0,MIN(AO121,J$7+IF(J$2=$AA121,$AC121,IF(J$2=$AF121,$AG121,0))))</f>
        <v/>
      </c>
      <c r="W121">
        <f>IF(K120&lt;=0,0,MIN(AP121,K$7+IF(K$2=$AA121,$AC121,IF(K$2=$AF121,$AG121,0))))</f>
        <v/>
      </c>
      <c r="X121">
        <f>IF(L120&lt;=0,0,MIN(AQ121,L$7+IF(L$2=$AA121,$AC121,IF(L$2=$AF121,$AG121,0))))</f>
        <v/>
      </c>
      <c r="Y121">
        <f>IF(M120&lt;=0,0,MIN(AR121,M$7+IF(M$2=$AA121,$AC121,IF(M$2=$AF121,$AG121,0))))</f>
        <v/>
      </c>
      <c r="Z121">
        <f>IF(N120&lt;=0,0,MIN(AS121,N$7+IF(N$2=$AA121,$AC121,IF(N$2=$AF121,$AG121,0))))</f>
        <v/>
      </c>
      <c r="AA121">
        <f>IFERROR(ROUND(1/SUMPRODUCT(MAX((C120:N120&gt;0)*($C$3:$N$3&lt;=B121)/$C$2:$N$2)),0),0)</f>
        <v/>
      </c>
      <c r="AB121">
        <f>SUMPRODUCT((C120:N120&gt;0)*$C$7:$N$7)</f>
        <v/>
      </c>
      <c r="AC121">
        <f>MAX(0,Plan!$C$5-AB121)+IF(A121=Plan!$C$8,N(Plan!$C$7),0)</f>
        <v/>
      </c>
      <c r="AD121">
        <f>SUM(C121:N121)</f>
        <v/>
      </c>
      <c r="AE121">
        <f>SUM(O121:Z121)</f>
        <v/>
      </c>
      <c r="AF121">
        <f>IFERROR(ROUND(1/SUMPRODUCT(MAX((C120:N120&gt;0)*($C$3:$N$3&lt;=B121)*($C$2:$N$2&gt;AA121)/$C$2:$N$2)),0),0)</f>
        <v/>
      </c>
      <c r="AG121">
        <f>MAX(0,AC121-MAX(0,SUMPRODUCT(($C$2:$N$2=AA121)*(AH121:AS121-$C$7:$N$7))))</f>
        <v/>
      </c>
      <c r="AH121">
        <f>IF(C120&lt;=0,0,ROUND(C120*(1+IF(AND(C$6&gt;0,$B121&lt;C$6),C$4,C$5)/12),2))</f>
        <v/>
      </c>
      <c r="AI121">
        <f>IF(D120&lt;=0,0,ROUND(D120*(1+IF(AND(D$6&gt;0,$B121&lt;D$6),D$4,D$5)/12),2))</f>
        <v/>
      </c>
      <c r="AJ121">
        <f>IF(E120&lt;=0,0,ROUND(E120*(1+IF(AND(E$6&gt;0,$B121&lt;E$6),E$4,E$5)/12),2))</f>
        <v/>
      </c>
      <c r="AK121">
        <f>IF(F120&lt;=0,0,ROUND(F120*(1+IF(AND(F$6&gt;0,$B121&lt;F$6),F$4,F$5)/12),2))</f>
        <v/>
      </c>
      <c r="AL121">
        <f>IF(G120&lt;=0,0,ROUND(G120*(1+IF(AND(G$6&gt;0,$B121&lt;G$6),G$4,G$5)/12),2))</f>
        <v/>
      </c>
      <c r="AM121">
        <f>IF(H120&lt;=0,0,ROUND(H120*(1+IF(AND(H$6&gt;0,$B121&lt;H$6),H$4,H$5)/12),2))</f>
        <v/>
      </c>
      <c r="AN121">
        <f>IF(I120&lt;=0,0,ROUND(I120*(1+IF(AND(I$6&gt;0,$B121&lt;I$6),I$4,I$5)/12),2))</f>
        <v/>
      </c>
      <c r="AO121">
        <f>IF(J120&lt;=0,0,ROUND(J120*(1+IF(AND(J$6&gt;0,$B121&lt;J$6),J$4,J$5)/12),2))</f>
        <v/>
      </c>
      <c r="AP121">
        <f>IF(K120&lt;=0,0,ROUND(K120*(1+IF(AND(K$6&gt;0,$B121&lt;K$6),K$4,K$5)/12),2))</f>
        <v/>
      </c>
      <c r="AQ121">
        <f>IF(L120&lt;=0,0,ROUND(L120*(1+IF(AND(L$6&gt;0,$B121&lt;L$6),L$4,L$5)/12),2))</f>
        <v/>
      </c>
      <c r="AR121">
        <f>IF(M120&lt;=0,0,ROUND(M120*(1+IF(AND(M$6&gt;0,$B121&lt;M$6),M$4,M$5)/12),2))</f>
        <v/>
      </c>
      <c r="AS121">
        <f>IF(N120&lt;=0,0,ROUND(N120*(1+IF(AND(N$6&gt;0,$B121&lt;N$6),N$4,N$5)/12),2))</f>
        <v/>
      </c>
    </row>
    <row r="122">
      <c r="A122" t="n">
        <v>111</v>
      </c>
      <c r="B122">
        <f>EDATE(Plan!$C$6,110)</f>
        <v/>
      </c>
      <c r="C122">
        <f>IF(C121&lt;=0,0,MAX(0,AH122-O122))</f>
        <v/>
      </c>
      <c r="D122">
        <f>IF(D121&lt;=0,0,MAX(0,AI122-P122))</f>
        <v/>
      </c>
      <c r="E122">
        <f>IF(E121&lt;=0,0,MAX(0,AJ122-Q122))</f>
        <v/>
      </c>
      <c r="F122">
        <f>IF(F121&lt;=0,0,MAX(0,AK122-R122))</f>
        <v/>
      </c>
      <c r="G122">
        <f>IF(G121&lt;=0,0,MAX(0,AL122-S122))</f>
        <v/>
      </c>
      <c r="H122">
        <f>IF(H121&lt;=0,0,MAX(0,AM122-T122))</f>
        <v/>
      </c>
      <c r="I122">
        <f>IF(I121&lt;=0,0,MAX(0,AN122-U122))</f>
        <v/>
      </c>
      <c r="J122">
        <f>IF(J121&lt;=0,0,MAX(0,AO122-V122))</f>
        <v/>
      </c>
      <c r="K122">
        <f>IF(K121&lt;=0,0,MAX(0,AP122-W122))</f>
        <v/>
      </c>
      <c r="L122">
        <f>IF(L121&lt;=0,0,MAX(0,AQ122-X122))</f>
        <v/>
      </c>
      <c r="M122">
        <f>IF(M121&lt;=0,0,MAX(0,AR122-Y122))</f>
        <v/>
      </c>
      <c r="N122">
        <f>IF(N121&lt;=0,0,MAX(0,AS122-Z122))</f>
        <v/>
      </c>
      <c r="O122">
        <f>IF(C121&lt;=0,0,MIN(AH122,C$7+IF(C$2=$AA122,$AC122,IF(C$2=$AF122,$AG122,0))))</f>
        <v/>
      </c>
      <c r="P122">
        <f>IF(D121&lt;=0,0,MIN(AI122,D$7+IF(D$2=$AA122,$AC122,IF(D$2=$AF122,$AG122,0))))</f>
        <v/>
      </c>
      <c r="Q122">
        <f>IF(E121&lt;=0,0,MIN(AJ122,E$7+IF(E$2=$AA122,$AC122,IF(E$2=$AF122,$AG122,0))))</f>
        <v/>
      </c>
      <c r="R122">
        <f>IF(F121&lt;=0,0,MIN(AK122,F$7+IF(F$2=$AA122,$AC122,IF(F$2=$AF122,$AG122,0))))</f>
        <v/>
      </c>
      <c r="S122">
        <f>IF(G121&lt;=0,0,MIN(AL122,G$7+IF(G$2=$AA122,$AC122,IF(G$2=$AF122,$AG122,0))))</f>
        <v/>
      </c>
      <c r="T122">
        <f>IF(H121&lt;=0,0,MIN(AM122,H$7+IF(H$2=$AA122,$AC122,IF(H$2=$AF122,$AG122,0))))</f>
        <v/>
      </c>
      <c r="U122">
        <f>IF(I121&lt;=0,0,MIN(AN122,I$7+IF(I$2=$AA122,$AC122,IF(I$2=$AF122,$AG122,0))))</f>
        <v/>
      </c>
      <c r="V122">
        <f>IF(J121&lt;=0,0,MIN(AO122,J$7+IF(J$2=$AA122,$AC122,IF(J$2=$AF122,$AG122,0))))</f>
        <v/>
      </c>
      <c r="W122">
        <f>IF(K121&lt;=0,0,MIN(AP122,K$7+IF(K$2=$AA122,$AC122,IF(K$2=$AF122,$AG122,0))))</f>
        <v/>
      </c>
      <c r="X122">
        <f>IF(L121&lt;=0,0,MIN(AQ122,L$7+IF(L$2=$AA122,$AC122,IF(L$2=$AF122,$AG122,0))))</f>
        <v/>
      </c>
      <c r="Y122">
        <f>IF(M121&lt;=0,0,MIN(AR122,M$7+IF(M$2=$AA122,$AC122,IF(M$2=$AF122,$AG122,0))))</f>
        <v/>
      </c>
      <c r="Z122">
        <f>IF(N121&lt;=0,0,MIN(AS122,N$7+IF(N$2=$AA122,$AC122,IF(N$2=$AF122,$AG122,0))))</f>
        <v/>
      </c>
      <c r="AA122">
        <f>IFERROR(ROUND(1/SUMPRODUCT(MAX((C121:N121&gt;0)*($C$3:$N$3&lt;=B122)/$C$2:$N$2)),0),0)</f>
        <v/>
      </c>
      <c r="AB122">
        <f>SUMPRODUCT((C121:N121&gt;0)*$C$7:$N$7)</f>
        <v/>
      </c>
      <c r="AC122">
        <f>MAX(0,Plan!$C$5-AB122)+IF(A122=Plan!$C$8,N(Plan!$C$7),0)</f>
        <v/>
      </c>
      <c r="AD122">
        <f>SUM(C122:N122)</f>
        <v/>
      </c>
      <c r="AE122">
        <f>SUM(O122:Z122)</f>
        <v/>
      </c>
      <c r="AF122">
        <f>IFERROR(ROUND(1/SUMPRODUCT(MAX((C121:N121&gt;0)*($C$3:$N$3&lt;=B122)*($C$2:$N$2&gt;AA122)/$C$2:$N$2)),0),0)</f>
        <v/>
      </c>
      <c r="AG122">
        <f>MAX(0,AC122-MAX(0,SUMPRODUCT(($C$2:$N$2=AA122)*(AH122:AS122-$C$7:$N$7))))</f>
        <v/>
      </c>
      <c r="AH122">
        <f>IF(C121&lt;=0,0,ROUND(C121*(1+IF(AND(C$6&gt;0,$B122&lt;C$6),C$4,C$5)/12),2))</f>
        <v/>
      </c>
      <c r="AI122">
        <f>IF(D121&lt;=0,0,ROUND(D121*(1+IF(AND(D$6&gt;0,$B122&lt;D$6),D$4,D$5)/12),2))</f>
        <v/>
      </c>
      <c r="AJ122">
        <f>IF(E121&lt;=0,0,ROUND(E121*(1+IF(AND(E$6&gt;0,$B122&lt;E$6),E$4,E$5)/12),2))</f>
        <v/>
      </c>
      <c r="AK122">
        <f>IF(F121&lt;=0,0,ROUND(F121*(1+IF(AND(F$6&gt;0,$B122&lt;F$6),F$4,F$5)/12),2))</f>
        <v/>
      </c>
      <c r="AL122">
        <f>IF(G121&lt;=0,0,ROUND(G121*(1+IF(AND(G$6&gt;0,$B122&lt;G$6),G$4,G$5)/12),2))</f>
        <v/>
      </c>
      <c r="AM122">
        <f>IF(H121&lt;=0,0,ROUND(H121*(1+IF(AND(H$6&gt;0,$B122&lt;H$6),H$4,H$5)/12),2))</f>
        <v/>
      </c>
      <c r="AN122">
        <f>IF(I121&lt;=0,0,ROUND(I121*(1+IF(AND(I$6&gt;0,$B122&lt;I$6),I$4,I$5)/12),2))</f>
        <v/>
      </c>
      <c r="AO122">
        <f>IF(J121&lt;=0,0,ROUND(J121*(1+IF(AND(J$6&gt;0,$B122&lt;J$6),J$4,J$5)/12),2))</f>
        <v/>
      </c>
      <c r="AP122">
        <f>IF(K121&lt;=0,0,ROUND(K121*(1+IF(AND(K$6&gt;0,$B122&lt;K$6),K$4,K$5)/12),2))</f>
        <v/>
      </c>
      <c r="AQ122">
        <f>IF(L121&lt;=0,0,ROUND(L121*(1+IF(AND(L$6&gt;0,$B122&lt;L$6),L$4,L$5)/12),2))</f>
        <v/>
      </c>
      <c r="AR122">
        <f>IF(M121&lt;=0,0,ROUND(M121*(1+IF(AND(M$6&gt;0,$B122&lt;M$6),M$4,M$5)/12),2))</f>
        <v/>
      </c>
      <c r="AS122">
        <f>IF(N121&lt;=0,0,ROUND(N121*(1+IF(AND(N$6&gt;0,$B122&lt;N$6),N$4,N$5)/12),2))</f>
        <v/>
      </c>
    </row>
    <row r="123">
      <c r="A123" t="n">
        <v>112</v>
      </c>
      <c r="B123">
        <f>EDATE(Plan!$C$6,111)</f>
        <v/>
      </c>
      <c r="C123">
        <f>IF(C122&lt;=0,0,MAX(0,AH123-O123))</f>
        <v/>
      </c>
      <c r="D123">
        <f>IF(D122&lt;=0,0,MAX(0,AI123-P123))</f>
        <v/>
      </c>
      <c r="E123">
        <f>IF(E122&lt;=0,0,MAX(0,AJ123-Q123))</f>
        <v/>
      </c>
      <c r="F123">
        <f>IF(F122&lt;=0,0,MAX(0,AK123-R123))</f>
        <v/>
      </c>
      <c r="G123">
        <f>IF(G122&lt;=0,0,MAX(0,AL123-S123))</f>
        <v/>
      </c>
      <c r="H123">
        <f>IF(H122&lt;=0,0,MAX(0,AM123-T123))</f>
        <v/>
      </c>
      <c r="I123">
        <f>IF(I122&lt;=0,0,MAX(0,AN123-U123))</f>
        <v/>
      </c>
      <c r="J123">
        <f>IF(J122&lt;=0,0,MAX(0,AO123-V123))</f>
        <v/>
      </c>
      <c r="K123">
        <f>IF(K122&lt;=0,0,MAX(0,AP123-W123))</f>
        <v/>
      </c>
      <c r="L123">
        <f>IF(L122&lt;=0,0,MAX(0,AQ123-X123))</f>
        <v/>
      </c>
      <c r="M123">
        <f>IF(M122&lt;=0,0,MAX(0,AR123-Y123))</f>
        <v/>
      </c>
      <c r="N123">
        <f>IF(N122&lt;=0,0,MAX(0,AS123-Z123))</f>
        <v/>
      </c>
      <c r="O123">
        <f>IF(C122&lt;=0,0,MIN(AH123,C$7+IF(C$2=$AA123,$AC123,IF(C$2=$AF123,$AG123,0))))</f>
        <v/>
      </c>
      <c r="P123">
        <f>IF(D122&lt;=0,0,MIN(AI123,D$7+IF(D$2=$AA123,$AC123,IF(D$2=$AF123,$AG123,0))))</f>
        <v/>
      </c>
      <c r="Q123">
        <f>IF(E122&lt;=0,0,MIN(AJ123,E$7+IF(E$2=$AA123,$AC123,IF(E$2=$AF123,$AG123,0))))</f>
        <v/>
      </c>
      <c r="R123">
        <f>IF(F122&lt;=0,0,MIN(AK123,F$7+IF(F$2=$AA123,$AC123,IF(F$2=$AF123,$AG123,0))))</f>
        <v/>
      </c>
      <c r="S123">
        <f>IF(G122&lt;=0,0,MIN(AL123,G$7+IF(G$2=$AA123,$AC123,IF(G$2=$AF123,$AG123,0))))</f>
        <v/>
      </c>
      <c r="T123">
        <f>IF(H122&lt;=0,0,MIN(AM123,H$7+IF(H$2=$AA123,$AC123,IF(H$2=$AF123,$AG123,0))))</f>
        <v/>
      </c>
      <c r="U123">
        <f>IF(I122&lt;=0,0,MIN(AN123,I$7+IF(I$2=$AA123,$AC123,IF(I$2=$AF123,$AG123,0))))</f>
        <v/>
      </c>
      <c r="V123">
        <f>IF(J122&lt;=0,0,MIN(AO123,J$7+IF(J$2=$AA123,$AC123,IF(J$2=$AF123,$AG123,0))))</f>
        <v/>
      </c>
      <c r="W123">
        <f>IF(K122&lt;=0,0,MIN(AP123,K$7+IF(K$2=$AA123,$AC123,IF(K$2=$AF123,$AG123,0))))</f>
        <v/>
      </c>
      <c r="X123">
        <f>IF(L122&lt;=0,0,MIN(AQ123,L$7+IF(L$2=$AA123,$AC123,IF(L$2=$AF123,$AG123,0))))</f>
        <v/>
      </c>
      <c r="Y123">
        <f>IF(M122&lt;=0,0,MIN(AR123,M$7+IF(M$2=$AA123,$AC123,IF(M$2=$AF123,$AG123,0))))</f>
        <v/>
      </c>
      <c r="Z123">
        <f>IF(N122&lt;=0,0,MIN(AS123,N$7+IF(N$2=$AA123,$AC123,IF(N$2=$AF123,$AG123,0))))</f>
        <v/>
      </c>
      <c r="AA123">
        <f>IFERROR(ROUND(1/SUMPRODUCT(MAX((C122:N122&gt;0)*($C$3:$N$3&lt;=B123)/$C$2:$N$2)),0),0)</f>
        <v/>
      </c>
      <c r="AB123">
        <f>SUMPRODUCT((C122:N122&gt;0)*$C$7:$N$7)</f>
        <v/>
      </c>
      <c r="AC123">
        <f>MAX(0,Plan!$C$5-AB123)+IF(A123=Plan!$C$8,N(Plan!$C$7),0)</f>
        <v/>
      </c>
      <c r="AD123">
        <f>SUM(C123:N123)</f>
        <v/>
      </c>
      <c r="AE123">
        <f>SUM(O123:Z123)</f>
        <v/>
      </c>
      <c r="AF123">
        <f>IFERROR(ROUND(1/SUMPRODUCT(MAX((C122:N122&gt;0)*($C$3:$N$3&lt;=B123)*($C$2:$N$2&gt;AA123)/$C$2:$N$2)),0),0)</f>
        <v/>
      </c>
      <c r="AG123">
        <f>MAX(0,AC123-MAX(0,SUMPRODUCT(($C$2:$N$2=AA123)*(AH123:AS123-$C$7:$N$7))))</f>
        <v/>
      </c>
      <c r="AH123">
        <f>IF(C122&lt;=0,0,ROUND(C122*(1+IF(AND(C$6&gt;0,$B123&lt;C$6),C$4,C$5)/12),2))</f>
        <v/>
      </c>
      <c r="AI123">
        <f>IF(D122&lt;=0,0,ROUND(D122*(1+IF(AND(D$6&gt;0,$B123&lt;D$6),D$4,D$5)/12),2))</f>
        <v/>
      </c>
      <c r="AJ123">
        <f>IF(E122&lt;=0,0,ROUND(E122*(1+IF(AND(E$6&gt;0,$B123&lt;E$6),E$4,E$5)/12),2))</f>
        <v/>
      </c>
      <c r="AK123">
        <f>IF(F122&lt;=0,0,ROUND(F122*(1+IF(AND(F$6&gt;0,$B123&lt;F$6),F$4,F$5)/12),2))</f>
        <v/>
      </c>
      <c r="AL123">
        <f>IF(G122&lt;=0,0,ROUND(G122*(1+IF(AND(G$6&gt;0,$B123&lt;G$6),G$4,G$5)/12),2))</f>
        <v/>
      </c>
      <c r="AM123">
        <f>IF(H122&lt;=0,0,ROUND(H122*(1+IF(AND(H$6&gt;0,$B123&lt;H$6),H$4,H$5)/12),2))</f>
        <v/>
      </c>
      <c r="AN123">
        <f>IF(I122&lt;=0,0,ROUND(I122*(1+IF(AND(I$6&gt;0,$B123&lt;I$6),I$4,I$5)/12),2))</f>
        <v/>
      </c>
      <c r="AO123">
        <f>IF(J122&lt;=0,0,ROUND(J122*(1+IF(AND(J$6&gt;0,$B123&lt;J$6),J$4,J$5)/12),2))</f>
        <v/>
      </c>
      <c r="AP123">
        <f>IF(K122&lt;=0,0,ROUND(K122*(1+IF(AND(K$6&gt;0,$B123&lt;K$6),K$4,K$5)/12),2))</f>
        <v/>
      </c>
      <c r="AQ123">
        <f>IF(L122&lt;=0,0,ROUND(L122*(1+IF(AND(L$6&gt;0,$B123&lt;L$6),L$4,L$5)/12),2))</f>
        <v/>
      </c>
      <c r="AR123">
        <f>IF(M122&lt;=0,0,ROUND(M122*(1+IF(AND(M$6&gt;0,$B123&lt;M$6),M$4,M$5)/12),2))</f>
        <v/>
      </c>
      <c r="AS123">
        <f>IF(N122&lt;=0,0,ROUND(N122*(1+IF(AND(N$6&gt;0,$B123&lt;N$6),N$4,N$5)/12),2))</f>
        <v/>
      </c>
    </row>
    <row r="124">
      <c r="A124" t="n">
        <v>113</v>
      </c>
      <c r="B124">
        <f>EDATE(Plan!$C$6,112)</f>
        <v/>
      </c>
      <c r="C124">
        <f>IF(C123&lt;=0,0,MAX(0,AH124-O124))</f>
        <v/>
      </c>
      <c r="D124">
        <f>IF(D123&lt;=0,0,MAX(0,AI124-P124))</f>
        <v/>
      </c>
      <c r="E124">
        <f>IF(E123&lt;=0,0,MAX(0,AJ124-Q124))</f>
        <v/>
      </c>
      <c r="F124">
        <f>IF(F123&lt;=0,0,MAX(0,AK124-R124))</f>
        <v/>
      </c>
      <c r="G124">
        <f>IF(G123&lt;=0,0,MAX(0,AL124-S124))</f>
        <v/>
      </c>
      <c r="H124">
        <f>IF(H123&lt;=0,0,MAX(0,AM124-T124))</f>
        <v/>
      </c>
      <c r="I124">
        <f>IF(I123&lt;=0,0,MAX(0,AN124-U124))</f>
        <v/>
      </c>
      <c r="J124">
        <f>IF(J123&lt;=0,0,MAX(0,AO124-V124))</f>
        <v/>
      </c>
      <c r="K124">
        <f>IF(K123&lt;=0,0,MAX(0,AP124-W124))</f>
        <v/>
      </c>
      <c r="L124">
        <f>IF(L123&lt;=0,0,MAX(0,AQ124-X124))</f>
        <v/>
      </c>
      <c r="M124">
        <f>IF(M123&lt;=0,0,MAX(0,AR124-Y124))</f>
        <v/>
      </c>
      <c r="N124">
        <f>IF(N123&lt;=0,0,MAX(0,AS124-Z124))</f>
        <v/>
      </c>
      <c r="O124">
        <f>IF(C123&lt;=0,0,MIN(AH124,C$7+IF(C$2=$AA124,$AC124,IF(C$2=$AF124,$AG124,0))))</f>
        <v/>
      </c>
      <c r="P124">
        <f>IF(D123&lt;=0,0,MIN(AI124,D$7+IF(D$2=$AA124,$AC124,IF(D$2=$AF124,$AG124,0))))</f>
        <v/>
      </c>
      <c r="Q124">
        <f>IF(E123&lt;=0,0,MIN(AJ124,E$7+IF(E$2=$AA124,$AC124,IF(E$2=$AF124,$AG124,0))))</f>
        <v/>
      </c>
      <c r="R124">
        <f>IF(F123&lt;=0,0,MIN(AK124,F$7+IF(F$2=$AA124,$AC124,IF(F$2=$AF124,$AG124,0))))</f>
        <v/>
      </c>
      <c r="S124">
        <f>IF(G123&lt;=0,0,MIN(AL124,G$7+IF(G$2=$AA124,$AC124,IF(G$2=$AF124,$AG124,0))))</f>
        <v/>
      </c>
      <c r="T124">
        <f>IF(H123&lt;=0,0,MIN(AM124,H$7+IF(H$2=$AA124,$AC124,IF(H$2=$AF124,$AG124,0))))</f>
        <v/>
      </c>
      <c r="U124">
        <f>IF(I123&lt;=0,0,MIN(AN124,I$7+IF(I$2=$AA124,$AC124,IF(I$2=$AF124,$AG124,0))))</f>
        <v/>
      </c>
      <c r="V124">
        <f>IF(J123&lt;=0,0,MIN(AO124,J$7+IF(J$2=$AA124,$AC124,IF(J$2=$AF124,$AG124,0))))</f>
        <v/>
      </c>
      <c r="W124">
        <f>IF(K123&lt;=0,0,MIN(AP124,K$7+IF(K$2=$AA124,$AC124,IF(K$2=$AF124,$AG124,0))))</f>
        <v/>
      </c>
      <c r="X124">
        <f>IF(L123&lt;=0,0,MIN(AQ124,L$7+IF(L$2=$AA124,$AC124,IF(L$2=$AF124,$AG124,0))))</f>
        <v/>
      </c>
      <c r="Y124">
        <f>IF(M123&lt;=0,0,MIN(AR124,M$7+IF(M$2=$AA124,$AC124,IF(M$2=$AF124,$AG124,0))))</f>
        <v/>
      </c>
      <c r="Z124">
        <f>IF(N123&lt;=0,0,MIN(AS124,N$7+IF(N$2=$AA124,$AC124,IF(N$2=$AF124,$AG124,0))))</f>
        <v/>
      </c>
      <c r="AA124">
        <f>IFERROR(ROUND(1/SUMPRODUCT(MAX((C123:N123&gt;0)*($C$3:$N$3&lt;=B124)/$C$2:$N$2)),0),0)</f>
        <v/>
      </c>
      <c r="AB124">
        <f>SUMPRODUCT((C123:N123&gt;0)*$C$7:$N$7)</f>
        <v/>
      </c>
      <c r="AC124">
        <f>MAX(0,Plan!$C$5-AB124)+IF(A124=Plan!$C$8,N(Plan!$C$7),0)</f>
        <v/>
      </c>
      <c r="AD124">
        <f>SUM(C124:N124)</f>
        <v/>
      </c>
      <c r="AE124">
        <f>SUM(O124:Z124)</f>
        <v/>
      </c>
      <c r="AF124">
        <f>IFERROR(ROUND(1/SUMPRODUCT(MAX((C123:N123&gt;0)*($C$3:$N$3&lt;=B124)*($C$2:$N$2&gt;AA124)/$C$2:$N$2)),0),0)</f>
        <v/>
      </c>
      <c r="AG124">
        <f>MAX(0,AC124-MAX(0,SUMPRODUCT(($C$2:$N$2=AA124)*(AH124:AS124-$C$7:$N$7))))</f>
        <v/>
      </c>
      <c r="AH124">
        <f>IF(C123&lt;=0,0,ROUND(C123*(1+IF(AND(C$6&gt;0,$B124&lt;C$6),C$4,C$5)/12),2))</f>
        <v/>
      </c>
      <c r="AI124">
        <f>IF(D123&lt;=0,0,ROUND(D123*(1+IF(AND(D$6&gt;0,$B124&lt;D$6),D$4,D$5)/12),2))</f>
        <v/>
      </c>
      <c r="AJ124">
        <f>IF(E123&lt;=0,0,ROUND(E123*(1+IF(AND(E$6&gt;0,$B124&lt;E$6),E$4,E$5)/12),2))</f>
        <v/>
      </c>
      <c r="AK124">
        <f>IF(F123&lt;=0,0,ROUND(F123*(1+IF(AND(F$6&gt;0,$B124&lt;F$6),F$4,F$5)/12),2))</f>
        <v/>
      </c>
      <c r="AL124">
        <f>IF(G123&lt;=0,0,ROUND(G123*(1+IF(AND(G$6&gt;0,$B124&lt;G$6),G$4,G$5)/12),2))</f>
        <v/>
      </c>
      <c r="AM124">
        <f>IF(H123&lt;=0,0,ROUND(H123*(1+IF(AND(H$6&gt;0,$B124&lt;H$6),H$4,H$5)/12),2))</f>
        <v/>
      </c>
      <c r="AN124">
        <f>IF(I123&lt;=0,0,ROUND(I123*(1+IF(AND(I$6&gt;0,$B124&lt;I$6),I$4,I$5)/12),2))</f>
        <v/>
      </c>
      <c r="AO124">
        <f>IF(J123&lt;=0,0,ROUND(J123*(1+IF(AND(J$6&gt;0,$B124&lt;J$6),J$4,J$5)/12),2))</f>
        <v/>
      </c>
      <c r="AP124">
        <f>IF(K123&lt;=0,0,ROUND(K123*(1+IF(AND(K$6&gt;0,$B124&lt;K$6),K$4,K$5)/12),2))</f>
        <v/>
      </c>
      <c r="AQ124">
        <f>IF(L123&lt;=0,0,ROUND(L123*(1+IF(AND(L$6&gt;0,$B124&lt;L$6),L$4,L$5)/12),2))</f>
        <v/>
      </c>
      <c r="AR124">
        <f>IF(M123&lt;=0,0,ROUND(M123*(1+IF(AND(M$6&gt;0,$B124&lt;M$6),M$4,M$5)/12),2))</f>
        <v/>
      </c>
      <c r="AS124">
        <f>IF(N123&lt;=0,0,ROUND(N123*(1+IF(AND(N$6&gt;0,$B124&lt;N$6),N$4,N$5)/12),2))</f>
        <v/>
      </c>
    </row>
    <row r="125">
      <c r="A125" t="n">
        <v>114</v>
      </c>
      <c r="B125">
        <f>EDATE(Plan!$C$6,113)</f>
        <v/>
      </c>
      <c r="C125">
        <f>IF(C124&lt;=0,0,MAX(0,AH125-O125))</f>
        <v/>
      </c>
      <c r="D125">
        <f>IF(D124&lt;=0,0,MAX(0,AI125-P125))</f>
        <v/>
      </c>
      <c r="E125">
        <f>IF(E124&lt;=0,0,MAX(0,AJ125-Q125))</f>
        <v/>
      </c>
      <c r="F125">
        <f>IF(F124&lt;=0,0,MAX(0,AK125-R125))</f>
        <v/>
      </c>
      <c r="G125">
        <f>IF(G124&lt;=0,0,MAX(0,AL125-S125))</f>
        <v/>
      </c>
      <c r="H125">
        <f>IF(H124&lt;=0,0,MAX(0,AM125-T125))</f>
        <v/>
      </c>
      <c r="I125">
        <f>IF(I124&lt;=0,0,MAX(0,AN125-U125))</f>
        <v/>
      </c>
      <c r="J125">
        <f>IF(J124&lt;=0,0,MAX(0,AO125-V125))</f>
        <v/>
      </c>
      <c r="K125">
        <f>IF(K124&lt;=0,0,MAX(0,AP125-W125))</f>
        <v/>
      </c>
      <c r="L125">
        <f>IF(L124&lt;=0,0,MAX(0,AQ125-X125))</f>
        <v/>
      </c>
      <c r="M125">
        <f>IF(M124&lt;=0,0,MAX(0,AR125-Y125))</f>
        <v/>
      </c>
      <c r="N125">
        <f>IF(N124&lt;=0,0,MAX(0,AS125-Z125))</f>
        <v/>
      </c>
      <c r="O125">
        <f>IF(C124&lt;=0,0,MIN(AH125,C$7+IF(C$2=$AA125,$AC125,IF(C$2=$AF125,$AG125,0))))</f>
        <v/>
      </c>
      <c r="P125">
        <f>IF(D124&lt;=0,0,MIN(AI125,D$7+IF(D$2=$AA125,$AC125,IF(D$2=$AF125,$AG125,0))))</f>
        <v/>
      </c>
      <c r="Q125">
        <f>IF(E124&lt;=0,0,MIN(AJ125,E$7+IF(E$2=$AA125,$AC125,IF(E$2=$AF125,$AG125,0))))</f>
        <v/>
      </c>
      <c r="R125">
        <f>IF(F124&lt;=0,0,MIN(AK125,F$7+IF(F$2=$AA125,$AC125,IF(F$2=$AF125,$AG125,0))))</f>
        <v/>
      </c>
      <c r="S125">
        <f>IF(G124&lt;=0,0,MIN(AL125,G$7+IF(G$2=$AA125,$AC125,IF(G$2=$AF125,$AG125,0))))</f>
        <v/>
      </c>
      <c r="T125">
        <f>IF(H124&lt;=0,0,MIN(AM125,H$7+IF(H$2=$AA125,$AC125,IF(H$2=$AF125,$AG125,0))))</f>
        <v/>
      </c>
      <c r="U125">
        <f>IF(I124&lt;=0,0,MIN(AN125,I$7+IF(I$2=$AA125,$AC125,IF(I$2=$AF125,$AG125,0))))</f>
        <v/>
      </c>
      <c r="V125">
        <f>IF(J124&lt;=0,0,MIN(AO125,J$7+IF(J$2=$AA125,$AC125,IF(J$2=$AF125,$AG125,0))))</f>
        <v/>
      </c>
      <c r="W125">
        <f>IF(K124&lt;=0,0,MIN(AP125,K$7+IF(K$2=$AA125,$AC125,IF(K$2=$AF125,$AG125,0))))</f>
        <v/>
      </c>
      <c r="X125">
        <f>IF(L124&lt;=0,0,MIN(AQ125,L$7+IF(L$2=$AA125,$AC125,IF(L$2=$AF125,$AG125,0))))</f>
        <v/>
      </c>
      <c r="Y125">
        <f>IF(M124&lt;=0,0,MIN(AR125,M$7+IF(M$2=$AA125,$AC125,IF(M$2=$AF125,$AG125,0))))</f>
        <v/>
      </c>
      <c r="Z125">
        <f>IF(N124&lt;=0,0,MIN(AS125,N$7+IF(N$2=$AA125,$AC125,IF(N$2=$AF125,$AG125,0))))</f>
        <v/>
      </c>
      <c r="AA125">
        <f>IFERROR(ROUND(1/SUMPRODUCT(MAX((C124:N124&gt;0)*($C$3:$N$3&lt;=B125)/$C$2:$N$2)),0),0)</f>
        <v/>
      </c>
      <c r="AB125">
        <f>SUMPRODUCT((C124:N124&gt;0)*$C$7:$N$7)</f>
        <v/>
      </c>
      <c r="AC125">
        <f>MAX(0,Plan!$C$5-AB125)+IF(A125=Plan!$C$8,N(Plan!$C$7),0)</f>
        <v/>
      </c>
      <c r="AD125">
        <f>SUM(C125:N125)</f>
        <v/>
      </c>
      <c r="AE125">
        <f>SUM(O125:Z125)</f>
        <v/>
      </c>
      <c r="AF125">
        <f>IFERROR(ROUND(1/SUMPRODUCT(MAX((C124:N124&gt;0)*($C$3:$N$3&lt;=B125)*($C$2:$N$2&gt;AA125)/$C$2:$N$2)),0),0)</f>
        <v/>
      </c>
      <c r="AG125">
        <f>MAX(0,AC125-MAX(0,SUMPRODUCT(($C$2:$N$2=AA125)*(AH125:AS125-$C$7:$N$7))))</f>
        <v/>
      </c>
      <c r="AH125">
        <f>IF(C124&lt;=0,0,ROUND(C124*(1+IF(AND(C$6&gt;0,$B125&lt;C$6),C$4,C$5)/12),2))</f>
        <v/>
      </c>
      <c r="AI125">
        <f>IF(D124&lt;=0,0,ROUND(D124*(1+IF(AND(D$6&gt;0,$B125&lt;D$6),D$4,D$5)/12),2))</f>
        <v/>
      </c>
      <c r="AJ125">
        <f>IF(E124&lt;=0,0,ROUND(E124*(1+IF(AND(E$6&gt;0,$B125&lt;E$6),E$4,E$5)/12),2))</f>
        <v/>
      </c>
      <c r="AK125">
        <f>IF(F124&lt;=0,0,ROUND(F124*(1+IF(AND(F$6&gt;0,$B125&lt;F$6),F$4,F$5)/12),2))</f>
        <v/>
      </c>
      <c r="AL125">
        <f>IF(G124&lt;=0,0,ROUND(G124*(1+IF(AND(G$6&gt;0,$B125&lt;G$6),G$4,G$5)/12),2))</f>
        <v/>
      </c>
      <c r="AM125">
        <f>IF(H124&lt;=0,0,ROUND(H124*(1+IF(AND(H$6&gt;0,$B125&lt;H$6),H$4,H$5)/12),2))</f>
        <v/>
      </c>
      <c r="AN125">
        <f>IF(I124&lt;=0,0,ROUND(I124*(1+IF(AND(I$6&gt;0,$B125&lt;I$6),I$4,I$5)/12),2))</f>
        <v/>
      </c>
      <c r="AO125">
        <f>IF(J124&lt;=0,0,ROUND(J124*(1+IF(AND(J$6&gt;0,$B125&lt;J$6),J$4,J$5)/12),2))</f>
        <v/>
      </c>
      <c r="AP125">
        <f>IF(K124&lt;=0,0,ROUND(K124*(1+IF(AND(K$6&gt;0,$B125&lt;K$6),K$4,K$5)/12),2))</f>
        <v/>
      </c>
      <c r="AQ125">
        <f>IF(L124&lt;=0,0,ROUND(L124*(1+IF(AND(L$6&gt;0,$B125&lt;L$6),L$4,L$5)/12),2))</f>
        <v/>
      </c>
      <c r="AR125">
        <f>IF(M124&lt;=0,0,ROUND(M124*(1+IF(AND(M$6&gt;0,$B125&lt;M$6),M$4,M$5)/12),2))</f>
        <v/>
      </c>
      <c r="AS125">
        <f>IF(N124&lt;=0,0,ROUND(N124*(1+IF(AND(N$6&gt;0,$B125&lt;N$6),N$4,N$5)/12),2))</f>
        <v/>
      </c>
    </row>
    <row r="126">
      <c r="A126" t="n">
        <v>115</v>
      </c>
      <c r="B126">
        <f>EDATE(Plan!$C$6,114)</f>
        <v/>
      </c>
      <c r="C126">
        <f>IF(C125&lt;=0,0,MAX(0,AH126-O126))</f>
        <v/>
      </c>
      <c r="D126">
        <f>IF(D125&lt;=0,0,MAX(0,AI126-P126))</f>
        <v/>
      </c>
      <c r="E126">
        <f>IF(E125&lt;=0,0,MAX(0,AJ126-Q126))</f>
        <v/>
      </c>
      <c r="F126">
        <f>IF(F125&lt;=0,0,MAX(0,AK126-R126))</f>
        <v/>
      </c>
      <c r="G126">
        <f>IF(G125&lt;=0,0,MAX(0,AL126-S126))</f>
        <v/>
      </c>
      <c r="H126">
        <f>IF(H125&lt;=0,0,MAX(0,AM126-T126))</f>
        <v/>
      </c>
      <c r="I126">
        <f>IF(I125&lt;=0,0,MAX(0,AN126-U126))</f>
        <v/>
      </c>
      <c r="J126">
        <f>IF(J125&lt;=0,0,MAX(0,AO126-V126))</f>
        <v/>
      </c>
      <c r="K126">
        <f>IF(K125&lt;=0,0,MAX(0,AP126-W126))</f>
        <v/>
      </c>
      <c r="L126">
        <f>IF(L125&lt;=0,0,MAX(0,AQ126-X126))</f>
        <v/>
      </c>
      <c r="M126">
        <f>IF(M125&lt;=0,0,MAX(0,AR126-Y126))</f>
        <v/>
      </c>
      <c r="N126">
        <f>IF(N125&lt;=0,0,MAX(0,AS126-Z126))</f>
        <v/>
      </c>
      <c r="O126">
        <f>IF(C125&lt;=0,0,MIN(AH126,C$7+IF(C$2=$AA126,$AC126,IF(C$2=$AF126,$AG126,0))))</f>
        <v/>
      </c>
      <c r="P126">
        <f>IF(D125&lt;=0,0,MIN(AI126,D$7+IF(D$2=$AA126,$AC126,IF(D$2=$AF126,$AG126,0))))</f>
        <v/>
      </c>
      <c r="Q126">
        <f>IF(E125&lt;=0,0,MIN(AJ126,E$7+IF(E$2=$AA126,$AC126,IF(E$2=$AF126,$AG126,0))))</f>
        <v/>
      </c>
      <c r="R126">
        <f>IF(F125&lt;=0,0,MIN(AK126,F$7+IF(F$2=$AA126,$AC126,IF(F$2=$AF126,$AG126,0))))</f>
        <v/>
      </c>
      <c r="S126">
        <f>IF(G125&lt;=0,0,MIN(AL126,G$7+IF(G$2=$AA126,$AC126,IF(G$2=$AF126,$AG126,0))))</f>
        <v/>
      </c>
      <c r="T126">
        <f>IF(H125&lt;=0,0,MIN(AM126,H$7+IF(H$2=$AA126,$AC126,IF(H$2=$AF126,$AG126,0))))</f>
        <v/>
      </c>
      <c r="U126">
        <f>IF(I125&lt;=0,0,MIN(AN126,I$7+IF(I$2=$AA126,$AC126,IF(I$2=$AF126,$AG126,0))))</f>
        <v/>
      </c>
      <c r="V126">
        <f>IF(J125&lt;=0,0,MIN(AO126,J$7+IF(J$2=$AA126,$AC126,IF(J$2=$AF126,$AG126,0))))</f>
        <v/>
      </c>
      <c r="W126">
        <f>IF(K125&lt;=0,0,MIN(AP126,K$7+IF(K$2=$AA126,$AC126,IF(K$2=$AF126,$AG126,0))))</f>
        <v/>
      </c>
      <c r="X126">
        <f>IF(L125&lt;=0,0,MIN(AQ126,L$7+IF(L$2=$AA126,$AC126,IF(L$2=$AF126,$AG126,0))))</f>
        <v/>
      </c>
      <c r="Y126">
        <f>IF(M125&lt;=0,0,MIN(AR126,M$7+IF(M$2=$AA126,$AC126,IF(M$2=$AF126,$AG126,0))))</f>
        <v/>
      </c>
      <c r="Z126">
        <f>IF(N125&lt;=0,0,MIN(AS126,N$7+IF(N$2=$AA126,$AC126,IF(N$2=$AF126,$AG126,0))))</f>
        <v/>
      </c>
      <c r="AA126">
        <f>IFERROR(ROUND(1/SUMPRODUCT(MAX((C125:N125&gt;0)*($C$3:$N$3&lt;=B126)/$C$2:$N$2)),0),0)</f>
        <v/>
      </c>
      <c r="AB126">
        <f>SUMPRODUCT((C125:N125&gt;0)*$C$7:$N$7)</f>
        <v/>
      </c>
      <c r="AC126">
        <f>MAX(0,Plan!$C$5-AB126)+IF(A126=Plan!$C$8,N(Plan!$C$7),0)</f>
        <v/>
      </c>
      <c r="AD126">
        <f>SUM(C126:N126)</f>
        <v/>
      </c>
      <c r="AE126">
        <f>SUM(O126:Z126)</f>
        <v/>
      </c>
      <c r="AF126">
        <f>IFERROR(ROUND(1/SUMPRODUCT(MAX((C125:N125&gt;0)*($C$3:$N$3&lt;=B126)*($C$2:$N$2&gt;AA126)/$C$2:$N$2)),0),0)</f>
        <v/>
      </c>
      <c r="AG126">
        <f>MAX(0,AC126-MAX(0,SUMPRODUCT(($C$2:$N$2=AA126)*(AH126:AS126-$C$7:$N$7))))</f>
        <v/>
      </c>
      <c r="AH126">
        <f>IF(C125&lt;=0,0,ROUND(C125*(1+IF(AND(C$6&gt;0,$B126&lt;C$6),C$4,C$5)/12),2))</f>
        <v/>
      </c>
      <c r="AI126">
        <f>IF(D125&lt;=0,0,ROUND(D125*(1+IF(AND(D$6&gt;0,$B126&lt;D$6),D$4,D$5)/12),2))</f>
        <v/>
      </c>
      <c r="AJ126">
        <f>IF(E125&lt;=0,0,ROUND(E125*(1+IF(AND(E$6&gt;0,$B126&lt;E$6),E$4,E$5)/12),2))</f>
        <v/>
      </c>
      <c r="AK126">
        <f>IF(F125&lt;=0,0,ROUND(F125*(1+IF(AND(F$6&gt;0,$B126&lt;F$6),F$4,F$5)/12),2))</f>
        <v/>
      </c>
      <c r="AL126">
        <f>IF(G125&lt;=0,0,ROUND(G125*(1+IF(AND(G$6&gt;0,$B126&lt;G$6),G$4,G$5)/12),2))</f>
        <v/>
      </c>
      <c r="AM126">
        <f>IF(H125&lt;=0,0,ROUND(H125*(1+IF(AND(H$6&gt;0,$B126&lt;H$6),H$4,H$5)/12),2))</f>
        <v/>
      </c>
      <c r="AN126">
        <f>IF(I125&lt;=0,0,ROUND(I125*(1+IF(AND(I$6&gt;0,$B126&lt;I$6),I$4,I$5)/12),2))</f>
        <v/>
      </c>
      <c r="AO126">
        <f>IF(J125&lt;=0,0,ROUND(J125*(1+IF(AND(J$6&gt;0,$B126&lt;J$6),J$4,J$5)/12),2))</f>
        <v/>
      </c>
      <c r="AP126">
        <f>IF(K125&lt;=0,0,ROUND(K125*(1+IF(AND(K$6&gt;0,$B126&lt;K$6),K$4,K$5)/12),2))</f>
        <v/>
      </c>
      <c r="AQ126">
        <f>IF(L125&lt;=0,0,ROUND(L125*(1+IF(AND(L$6&gt;0,$B126&lt;L$6),L$4,L$5)/12),2))</f>
        <v/>
      </c>
      <c r="AR126">
        <f>IF(M125&lt;=0,0,ROUND(M125*(1+IF(AND(M$6&gt;0,$B126&lt;M$6),M$4,M$5)/12),2))</f>
        <v/>
      </c>
      <c r="AS126">
        <f>IF(N125&lt;=0,0,ROUND(N125*(1+IF(AND(N$6&gt;0,$B126&lt;N$6),N$4,N$5)/12),2))</f>
        <v/>
      </c>
    </row>
    <row r="127">
      <c r="A127" t="n">
        <v>116</v>
      </c>
      <c r="B127">
        <f>EDATE(Plan!$C$6,115)</f>
        <v/>
      </c>
      <c r="C127">
        <f>IF(C126&lt;=0,0,MAX(0,AH127-O127))</f>
        <v/>
      </c>
      <c r="D127">
        <f>IF(D126&lt;=0,0,MAX(0,AI127-P127))</f>
        <v/>
      </c>
      <c r="E127">
        <f>IF(E126&lt;=0,0,MAX(0,AJ127-Q127))</f>
        <v/>
      </c>
      <c r="F127">
        <f>IF(F126&lt;=0,0,MAX(0,AK127-R127))</f>
        <v/>
      </c>
      <c r="G127">
        <f>IF(G126&lt;=0,0,MAX(0,AL127-S127))</f>
        <v/>
      </c>
      <c r="H127">
        <f>IF(H126&lt;=0,0,MAX(0,AM127-T127))</f>
        <v/>
      </c>
      <c r="I127">
        <f>IF(I126&lt;=0,0,MAX(0,AN127-U127))</f>
        <v/>
      </c>
      <c r="J127">
        <f>IF(J126&lt;=0,0,MAX(0,AO127-V127))</f>
        <v/>
      </c>
      <c r="K127">
        <f>IF(K126&lt;=0,0,MAX(0,AP127-W127))</f>
        <v/>
      </c>
      <c r="L127">
        <f>IF(L126&lt;=0,0,MAX(0,AQ127-X127))</f>
        <v/>
      </c>
      <c r="M127">
        <f>IF(M126&lt;=0,0,MAX(0,AR127-Y127))</f>
        <v/>
      </c>
      <c r="N127">
        <f>IF(N126&lt;=0,0,MAX(0,AS127-Z127))</f>
        <v/>
      </c>
      <c r="O127">
        <f>IF(C126&lt;=0,0,MIN(AH127,C$7+IF(C$2=$AA127,$AC127,IF(C$2=$AF127,$AG127,0))))</f>
        <v/>
      </c>
      <c r="P127">
        <f>IF(D126&lt;=0,0,MIN(AI127,D$7+IF(D$2=$AA127,$AC127,IF(D$2=$AF127,$AG127,0))))</f>
        <v/>
      </c>
      <c r="Q127">
        <f>IF(E126&lt;=0,0,MIN(AJ127,E$7+IF(E$2=$AA127,$AC127,IF(E$2=$AF127,$AG127,0))))</f>
        <v/>
      </c>
      <c r="R127">
        <f>IF(F126&lt;=0,0,MIN(AK127,F$7+IF(F$2=$AA127,$AC127,IF(F$2=$AF127,$AG127,0))))</f>
        <v/>
      </c>
      <c r="S127">
        <f>IF(G126&lt;=0,0,MIN(AL127,G$7+IF(G$2=$AA127,$AC127,IF(G$2=$AF127,$AG127,0))))</f>
        <v/>
      </c>
      <c r="T127">
        <f>IF(H126&lt;=0,0,MIN(AM127,H$7+IF(H$2=$AA127,$AC127,IF(H$2=$AF127,$AG127,0))))</f>
        <v/>
      </c>
      <c r="U127">
        <f>IF(I126&lt;=0,0,MIN(AN127,I$7+IF(I$2=$AA127,$AC127,IF(I$2=$AF127,$AG127,0))))</f>
        <v/>
      </c>
      <c r="V127">
        <f>IF(J126&lt;=0,0,MIN(AO127,J$7+IF(J$2=$AA127,$AC127,IF(J$2=$AF127,$AG127,0))))</f>
        <v/>
      </c>
      <c r="W127">
        <f>IF(K126&lt;=0,0,MIN(AP127,K$7+IF(K$2=$AA127,$AC127,IF(K$2=$AF127,$AG127,0))))</f>
        <v/>
      </c>
      <c r="X127">
        <f>IF(L126&lt;=0,0,MIN(AQ127,L$7+IF(L$2=$AA127,$AC127,IF(L$2=$AF127,$AG127,0))))</f>
        <v/>
      </c>
      <c r="Y127">
        <f>IF(M126&lt;=0,0,MIN(AR127,M$7+IF(M$2=$AA127,$AC127,IF(M$2=$AF127,$AG127,0))))</f>
        <v/>
      </c>
      <c r="Z127">
        <f>IF(N126&lt;=0,0,MIN(AS127,N$7+IF(N$2=$AA127,$AC127,IF(N$2=$AF127,$AG127,0))))</f>
        <v/>
      </c>
      <c r="AA127">
        <f>IFERROR(ROUND(1/SUMPRODUCT(MAX((C126:N126&gt;0)*($C$3:$N$3&lt;=B127)/$C$2:$N$2)),0),0)</f>
        <v/>
      </c>
      <c r="AB127">
        <f>SUMPRODUCT((C126:N126&gt;0)*$C$7:$N$7)</f>
        <v/>
      </c>
      <c r="AC127">
        <f>MAX(0,Plan!$C$5-AB127)+IF(A127=Plan!$C$8,N(Plan!$C$7),0)</f>
        <v/>
      </c>
      <c r="AD127">
        <f>SUM(C127:N127)</f>
        <v/>
      </c>
      <c r="AE127">
        <f>SUM(O127:Z127)</f>
        <v/>
      </c>
      <c r="AF127">
        <f>IFERROR(ROUND(1/SUMPRODUCT(MAX((C126:N126&gt;0)*($C$3:$N$3&lt;=B127)*($C$2:$N$2&gt;AA127)/$C$2:$N$2)),0),0)</f>
        <v/>
      </c>
      <c r="AG127">
        <f>MAX(0,AC127-MAX(0,SUMPRODUCT(($C$2:$N$2=AA127)*(AH127:AS127-$C$7:$N$7))))</f>
        <v/>
      </c>
      <c r="AH127">
        <f>IF(C126&lt;=0,0,ROUND(C126*(1+IF(AND(C$6&gt;0,$B127&lt;C$6),C$4,C$5)/12),2))</f>
        <v/>
      </c>
      <c r="AI127">
        <f>IF(D126&lt;=0,0,ROUND(D126*(1+IF(AND(D$6&gt;0,$B127&lt;D$6),D$4,D$5)/12),2))</f>
        <v/>
      </c>
      <c r="AJ127">
        <f>IF(E126&lt;=0,0,ROUND(E126*(1+IF(AND(E$6&gt;0,$B127&lt;E$6),E$4,E$5)/12),2))</f>
        <v/>
      </c>
      <c r="AK127">
        <f>IF(F126&lt;=0,0,ROUND(F126*(1+IF(AND(F$6&gt;0,$B127&lt;F$6),F$4,F$5)/12),2))</f>
        <v/>
      </c>
      <c r="AL127">
        <f>IF(G126&lt;=0,0,ROUND(G126*(1+IF(AND(G$6&gt;0,$B127&lt;G$6),G$4,G$5)/12),2))</f>
        <v/>
      </c>
      <c r="AM127">
        <f>IF(H126&lt;=0,0,ROUND(H126*(1+IF(AND(H$6&gt;0,$B127&lt;H$6),H$4,H$5)/12),2))</f>
        <v/>
      </c>
      <c r="AN127">
        <f>IF(I126&lt;=0,0,ROUND(I126*(1+IF(AND(I$6&gt;0,$B127&lt;I$6),I$4,I$5)/12),2))</f>
        <v/>
      </c>
      <c r="AO127">
        <f>IF(J126&lt;=0,0,ROUND(J126*(1+IF(AND(J$6&gt;0,$B127&lt;J$6),J$4,J$5)/12),2))</f>
        <v/>
      </c>
      <c r="AP127">
        <f>IF(K126&lt;=0,0,ROUND(K126*(1+IF(AND(K$6&gt;0,$B127&lt;K$6),K$4,K$5)/12),2))</f>
        <v/>
      </c>
      <c r="AQ127">
        <f>IF(L126&lt;=0,0,ROUND(L126*(1+IF(AND(L$6&gt;0,$B127&lt;L$6),L$4,L$5)/12),2))</f>
        <v/>
      </c>
      <c r="AR127">
        <f>IF(M126&lt;=0,0,ROUND(M126*(1+IF(AND(M$6&gt;0,$B127&lt;M$6),M$4,M$5)/12),2))</f>
        <v/>
      </c>
      <c r="AS127">
        <f>IF(N126&lt;=0,0,ROUND(N126*(1+IF(AND(N$6&gt;0,$B127&lt;N$6),N$4,N$5)/12),2))</f>
        <v/>
      </c>
    </row>
    <row r="128">
      <c r="A128" t="n">
        <v>117</v>
      </c>
      <c r="B128">
        <f>EDATE(Plan!$C$6,116)</f>
        <v/>
      </c>
      <c r="C128">
        <f>IF(C127&lt;=0,0,MAX(0,AH128-O128))</f>
        <v/>
      </c>
      <c r="D128">
        <f>IF(D127&lt;=0,0,MAX(0,AI128-P128))</f>
        <v/>
      </c>
      <c r="E128">
        <f>IF(E127&lt;=0,0,MAX(0,AJ128-Q128))</f>
        <v/>
      </c>
      <c r="F128">
        <f>IF(F127&lt;=0,0,MAX(0,AK128-R128))</f>
        <v/>
      </c>
      <c r="G128">
        <f>IF(G127&lt;=0,0,MAX(0,AL128-S128))</f>
        <v/>
      </c>
      <c r="H128">
        <f>IF(H127&lt;=0,0,MAX(0,AM128-T128))</f>
        <v/>
      </c>
      <c r="I128">
        <f>IF(I127&lt;=0,0,MAX(0,AN128-U128))</f>
        <v/>
      </c>
      <c r="J128">
        <f>IF(J127&lt;=0,0,MAX(0,AO128-V128))</f>
        <v/>
      </c>
      <c r="K128">
        <f>IF(K127&lt;=0,0,MAX(0,AP128-W128))</f>
        <v/>
      </c>
      <c r="L128">
        <f>IF(L127&lt;=0,0,MAX(0,AQ128-X128))</f>
        <v/>
      </c>
      <c r="M128">
        <f>IF(M127&lt;=0,0,MAX(0,AR128-Y128))</f>
        <v/>
      </c>
      <c r="N128">
        <f>IF(N127&lt;=0,0,MAX(0,AS128-Z128))</f>
        <v/>
      </c>
      <c r="O128">
        <f>IF(C127&lt;=0,0,MIN(AH128,C$7+IF(C$2=$AA128,$AC128,IF(C$2=$AF128,$AG128,0))))</f>
        <v/>
      </c>
      <c r="P128">
        <f>IF(D127&lt;=0,0,MIN(AI128,D$7+IF(D$2=$AA128,$AC128,IF(D$2=$AF128,$AG128,0))))</f>
        <v/>
      </c>
      <c r="Q128">
        <f>IF(E127&lt;=0,0,MIN(AJ128,E$7+IF(E$2=$AA128,$AC128,IF(E$2=$AF128,$AG128,0))))</f>
        <v/>
      </c>
      <c r="R128">
        <f>IF(F127&lt;=0,0,MIN(AK128,F$7+IF(F$2=$AA128,$AC128,IF(F$2=$AF128,$AG128,0))))</f>
        <v/>
      </c>
      <c r="S128">
        <f>IF(G127&lt;=0,0,MIN(AL128,G$7+IF(G$2=$AA128,$AC128,IF(G$2=$AF128,$AG128,0))))</f>
        <v/>
      </c>
      <c r="T128">
        <f>IF(H127&lt;=0,0,MIN(AM128,H$7+IF(H$2=$AA128,$AC128,IF(H$2=$AF128,$AG128,0))))</f>
        <v/>
      </c>
      <c r="U128">
        <f>IF(I127&lt;=0,0,MIN(AN128,I$7+IF(I$2=$AA128,$AC128,IF(I$2=$AF128,$AG128,0))))</f>
        <v/>
      </c>
      <c r="V128">
        <f>IF(J127&lt;=0,0,MIN(AO128,J$7+IF(J$2=$AA128,$AC128,IF(J$2=$AF128,$AG128,0))))</f>
        <v/>
      </c>
      <c r="W128">
        <f>IF(K127&lt;=0,0,MIN(AP128,K$7+IF(K$2=$AA128,$AC128,IF(K$2=$AF128,$AG128,0))))</f>
        <v/>
      </c>
      <c r="X128">
        <f>IF(L127&lt;=0,0,MIN(AQ128,L$7+IF(L$2=$AA128,$AC128,IF(L$2=$AF128,$AG128,0))))</f>
        <v/>
      </c>
      <c r="Y128">
        <f>IF(M127&lt;=0,0,MIN(AR128,M$7+IF(M$2=$AA128,$AC128,IF(M$2=$AF128,$AG128,0))))</f>
        <v/>
      </c>
      <c r="Z128">
        <f>IF(N127&lt;=0,0,MIN(AS128,N$7+IF(N$2=$AA128,$AC128,IF(N$2=$AF128,$AG128,0))))</f>
        <v/>
      </c>
      <c r="AA128">
        <f>IFERROR(ROUND(1/SUMPRODUCT(MAX((C127:N127&gt;0)*($C$3:$N$3&lt;=B128)/$C$2:$N$2)),0),0)</f>
        <v/>
      </c>
      <c r="AB128">
        <f>SUMPRODUCT((C127:N127&gt;0)*$C$7:$N$7)</f>
        <v/>
      </c>
      <c r="AC128">
        <f>MAX(0,Plan!$C$5-AB128)+IF(A128=Plan!$C$8,N(Plan!$C$7),0)</f>
        <v/>
      </c>
      <c r="AD128">
        <f>SUM(C128:N128)</f>
        <v/>
      </c>
      <c r="AE128">
        <f>SUM(O128:Z128)</f>
        <v/>
      </c>
      <c r="AF128">
        <f>IFERROR(ROUND(1/SUMPRODUCT(MAX((C127:N127&gt;0)*($C$3:$N$3&lt;=B128)*($C$2:$N$2&gt;AA128)/$C$2:$N$2)),0),0)</f>
        <v/>
      </c>
      <c r="AG128">
        <f>MAX(0,AC128-MAX(0,SUMPRODUCT(($C$2:$N$2=AA128)*(AH128:AS128-$C$7:$N$7))))</f>
        <v/>
      </c>
      <c r="AH128">
        <f>IF(C127&lt;=0,0,ROUND(C127*(1+IF(AND(C$6&gt;0,$B128&lt;C$6),C$4,C$5)/12),2))</f>
        <v/>
      </c>
      <c r="AI128">
        <f>IF(D127&lt;=0,0,ROUND(D127*(1+IF(AND(D$6&gt;0,$B128&lt;D$6),D$4,D$5)/12),2))</f>
        <v/>
      </c>
      <c r="AJ128">
        <f>IF(E127&lt;=0,0,ROUND(E127*(1+IF(AND(E$6&gt;0,$B128&lt;E$6),E$4,E$5)/12),2))</f>
        <v/>
      </c>
      <c r="AK128">
        <f>IF(F127&lt;=0,0,ROUND(F127*(1+IF(AND(F$6&gt;0,$B128&lt;F$6),F$4,F$5)/12),2))</f>
        <v/>
      </c>
      <c r="AL128">
        <f>IF(G127&lt;=0,0,ROUND(G127*(1+IF(AND(G$6&gt;0,$B128&lt;G$6),G$4,G$5)/12),2))</f>
        <v/>
      </c>
      <c r="AM128">
        <f>IF(H127&lt;=0,0,ROUND(H127*(1+IF(AND(H$6&gt;0,$B128&lt;H$6),H$4,H$5)/12),2))</f>
        <v/>
      </c>
      <c r="AN128">
        <f>IF(I127&lt;=0,0,ROUND(I127*(1+IF(AND(I$6&gt;0,$B128&lt;I$6),I$4,I$5)/12),2))</f>
        <v/>
      </c>
      <c r="AO128">
        <f>IF(J127&lt;=0,0,ROUND(J127*(1+IF(AND(J$6&gt;0,$B128&lt;J$6),J$4,J$5)/12),2))</f>
        <v/>
      </c>
      <c r="AP128">
        <f>IF(K127&lt;=0,0,ROUND(K127*(1+IF(AND(K$6&gt;0,$B128&lt;K$6),K$4,K$5)/12),2))</f>
        <v/>
      </c>
      <c r="AQ128">
        <f>IF(L127&lt;=0,0,ROUND(L127*(1+IF(AND(L$6&gt;0,$B128&lt;L$6),L$4,L$5)/12),2))</f>
        <v/>
      </c>
      <c r="AR128">
        <f>IF(M127&lt;=0,0,ROUND(M127*(1+IF(AND(M$6&gt;0,$B128&lt;M$6),M$4,M$5)/12),2))</f>
        <v/>
      </c>
      <c r="AS128">
        <f>IF(N127&lt;=0,0,ROUND(N127*(1+IF(AND(N$6&gt;0,$B128&lt;N$6),N$4,N$5)/12),2))</f>
        <v/>
      </c>
    </row>
    <row r="129">
      <c r="A129" t="n">
        <v>118</v>
      </c>
      <c r="B129">
        <f>EDATE(Plan!$C$6,117)</f>
        <v/>
      </c>
      <c r="C129">
        <f>IF(C128&lt;=0,0,MAX(0,AH129-O129))</f>
        <v/>
      </c>
      <c r="D129">
        <f>IF(D128&lt;=0,0,MAX(0,AI129-P129))</f>
        <v/>
      </c>
      <c r="E129">
        <f>IF(E128&lt;=0,0,MAX(0,AJ129-Q129))</f>
        <v/>
      </c>
      <c r="F129">
        <f>IF(F128&lt;=0,0,MAX(0,AK129-R129))</f>
        <v/>
      </c>
      <c r="G129">
        <f>IF(G128&lt;=0,0,MAX(0,AL129-S129))</f>
        <v/>
      </c>
      <c r="H129">
        <f>IF(H128&lt;=0,0,MAX(0,AM129-T129))</f>
        <v/>
      </c>
      <c r="I129">
        <f>IF(I128&lt;=0,0,MAX(0,AN129-U129))</f>
        <v/>
      </c>
      <c r="J129">
        <f>IF(J128&lt;=0,0,MAX(0,AO129-V129))</f>
        <v/>
      </c>
      <c r="K129">
        <f>IF(K128&lt;=0,0,MAX(0,AP129-W129))</f>
        <v/>
      </c>
      <c r="L129">
        <f>IF(L128&lt;=0,0,MAX(0,AQ129-X129))</f>
        <v/>
      </c>
      <c r="M129">
        <f>IF(M128&lt;=0,0,MAX(0,AR129-Y129))</f>
        <v/>
      </c>
      <c r="N129">
        <f>IF(N128&lt;=0,0,MAX(0,AS129-Z129))</f>
        <v/>
      </c>
      <c r="O129">
        <f>IF(C128&lt;=0,0,MIN(AH129,C$7+IF(C$2=$AA129,$AC129,IF(C$2=$AF129,$AG129,0))))</f>
        <v/>
      </c>
      <c r="P129">
        <f>IF(D128&lt;=0,0,MIN(AI129,D$7+IF(D$2=$AA129,$AC129,IF(D$2=$AF129,$AG129,0))))</f>
        <v/>
      </c>
      <c r="Q129">
        <f>IF(E128&lt;=0,0,MIN(AJ129,E$7+IF(E$2=$AA129,$AC129,IF(E$2=$AF129,$AG129,0))))</f>
        <v/>
      </c>
      <c r="R129">
        <f>IF(F128&lt;=0,0,MIN(AK129,F$7+IF(F$2=$AA129,$AC129,IF(F$2=$AF129,$AG129,0))))</f>
        <v/>
      </c>
      <c r="S129">
        <f>IF(G128&lt;=0,0,MIN(AL129,G$7+IF(G$2=$AA129,$AC129,IF(G$2=$AF129,$AG129,0))))</f>
        <v/>
      </c>
      <c r="T129">
        <f>IF(H128&lt;=0,0,MIN(AM129,H$7+IF(H$2=$AA129,$AC129,IF(H$2=$AF129,$AG129,0))))</f>
        <v/>
      </c>
      <c r="U129">
        <f>IF(I128&lt;=0,0,MIN(AN129,I$7+IF(I$2=$AA129,$AC129,IF(I$2=$AF129,$AG129,0))))</f>
        <v/>
      </c>
      <c r="V129">
        <f>IF(J128&lt;=0,0,MIN(AO129,J$7+IF(J$2=$AA129,$AC129,IF(J$2=$AF129,$AG129,0))))</f>
        <v/>
      </c>
      <c r="W129">
        <f>IF(K128&lt;=0,0,MIN(AP129,K$7+IF(K$2=$AA129,$AC129,IF(K$2=$AF129,$AG129,0))))</f>
        <v/>
      </c>
      <c r="X129">
        <f>IF(L128&lt;=0,0,MIN(AQ129,L$7+IF(L$2=$AA129,$AC129,IF(L$2=$AF129,$AG129,0))))</f>
        <v/>
      </c>
      <c r="Y129">
        <f>IF(M128&lt;=0,0,MIN(AR129,M$7+IF(M$2=$AA129,$AC129,IF(M$2=$AF129,$AG129,0))))</f>
        <v/>
      </c>
      <c r="Z129">
        <f>IF(N128&lt;=0,0,MIN(AS129,N$7+IF(N$2=$AA129,$AC129,IF(N$2=$AF129,$AG129,0))))</f>
        <v/>
      </c>
      <c r="AA129">
        <f>IFERROR(ROUND(1/SUMPRODUCT(MAX((C128:N128&gt;0)*($C$3:$N$3&lt;=B129)/$C$2:$N$2)),0),0)</f>
        <v/>
      </c>
      <c r="AB129">
        <f>SUMPRODUCT((C128:N128&gt;0)*$C$7:$N$7)</f>
        <v/>
      </c>
      <c r="AC129">
        <f>MAX(0,Plan!$C$5-AB129)+IF(A129=Plan!$C$8,N(Plan!$C$7),0)</f>
        <v/>
      </c>
      <c r="AD129">
        <f>SUM(C129:N129)</f>
        <v/>
      </c>
      <c r="AE129">
        <f>SUM(O129:Z129)</f>
        <v/>
      </c>
      <c r="AF129">
        <f>IFERROR(ROUND(1/SUMPRODUCT(MAX((C128:N128&gt;0)*($C$3:$N$3&lt;=B129)*($C$2:$N$2&gt;AA129)/$C$2:$N$2)),0),0)</f>
        <v/>
      </c>
      <c r="AG129">
        <f>MAX(0,AC129-MAX(0,SUMPRODUCT(($C$2:$N$2=AA129)*(AH129:AS129-$C$7:$N$7))))</f>
        <v/>
      </c>
      <c r="AH129">
        <f>IF(C128&lt;=0,0,ROUND(C128*(1+IF(AND(C$6&gt;0,$B129&lt;C$6),C$4,C$5)/12),2))</f>
        <v/>
      </c>
      <c r="AI129">
        <f>IF(D128&lt;=0,0,ROUND(D128*(1+IF(AND(D$6&gt;0,$B129&lt;D$6),D$4,D$5)/12),2))</f>
        <v/>
      </c>
      <c r="AJ129">
        <f>IF(E128&lt;=0,0,ROUND(E128*(1+IF(AND(E$6&gt;0,$B129&lt;E$6),E$4,E$5)/12),2))</f>
        <v/>
      </c>
      <c r="AK129">
        <f>IF(F128&lt;=0,0,ROUND(F128*(1+IF(AND(F$6&gt;0,$B129&lt;F$6),F$4,F$5)/12),2))</f>
        <v/>
      </c>
      <c r="AL129">
        <f>IF(G128&lt;=0,0,ROUND(G128*(1+IF(AND(G$6&gt;0,$B129&lt;G$6),G$4,G$5)/12),2))</f>
        <v/>
      </c>
      <c r="AM129">
        <f>IF(H128&lt;=0,0,ROUND(H128*(1+IF(AND(H$6&gt;0,$B129&lt;H$6),H$4,H$5)/12),2))</f>
        <v/>
      </c>
      <c r="AN129">
        <f>IF(I128&lt;=0,0,ROUND(I128*(1+IF(AND(I$6&gt;0,$B129&lt;I$6),I$4,I$5)/12),2))</f>
        <v/>
      </c>
      <c r="AO129">
        <f>IF(J128&lt;=0,0,ROUND(J128*(1+IF(AND(J$6&gt;0,$B129&lt;J$6),J$4,J$5)/12),2))</f>
        <v/>
      </c>
      <c r="AP129">
        <f>IF(K128&lt;=0,0,ROUND(K128*(1+IF(AND(K$6&gt;0,$B129&lt;K$6),K$4,K$5)/12),2))</f>
        <v/>
      </c>
      <c r="AQ129">
        <f>IF(L128&lt;=0,0,ROUND(L128*(1+IF(AND(L$6&gt;0,$B129&lt;L$6),L$4,L$5)/12),2))</f>
        <v/>
      </c>
      <c r="AR129">
        <f>IF(M128&lt;=0,0,ROUND(M128*(1+IF(AND(M$6&gt;0,$B129&lt;M$6),M$4,M$5)/12),2))</f>
        <v/>
      </c>
      <c r="AS129">
        <f>IF(N128&lt;=0,0,ROUND(N128*(1+IF(AND(N$6&gt;0,$B129&lt;N$6),N$4,N$5)/12),2))</f>
        <v/>
      </c>
    </row>
    <row r="130">
      <c r="A130" t="n">
        <v>119</v>
      </c>
      <c r="B130">
        <f>EDATE(Plan!$C$6,118)</f>
        <v/>
      </c>
      <c r="C130">
        <f>IF(C129&lt;=0,0,MAX(0,AH130-O130))</f>
        <v/>
      </c>
      <c r="D130">
        <f>IF(D129&lt;=0,0,MAX(0,AI130-P130))</f>
        <v/>
      </c>
      <c r="E130">
        <f>IF(E129&lt;=0,0,MAX(0,AJ130-Q130))</f>
        <v/>
      </c>
      <c r="F130">
        <f>IF(F129&lt;=0,0,MAX(0,AK130-R130))</f>
        <v/>
      </c>
      <c r="G130">
        <f>IF(G129&lt;=0,0,MAX(0,AL130-S130))</f>
        <v/>
      </c>
      <c r="H130">
        <f>IF(H129&lt;=0,0,MAX(0,AM130-T130))</f>
        <v/>
      </c>
      <c r="I130">
        <f>IF(I129&lt;=0,0,MAX(0,AN130-U130))</f>
        <v/>
      </c>
      <c r="J130">
        <f>IF(J129&lt;=0,0,MAX(0,AO130-V130))</f>
        <v/>
      </c>
      <c r="K130">
        <f>IF(K129&lt;=0,0,MAX(0,AP130-W130))</f>
        <v/>
      </c>
      <c r="L130">
        <f>IF(L129&lt;=0,0,MAX(0,AQ130-X130))</f>
        <v/>
      </c>
      <c r="M130">
        <f>IF(M129&lt;=0,0,MAX(0,AR130-Y130))</f>
        <v/>
      </c>
      <c r="N130">
        <f>IF(N129&lt;=0,0,MAX(0,AS130-Z130))</f>
        <v/>
      </c>
      <c r="O130">
        <f>IF(C129&lt;=0,0,MIN(AH130,C$7+IF(C$2=$AA130,$AC130,IF(C$2=$AF130,$AG130,0))))</f>
        <v/>
      </c>
      <c r="P130">
        <f>IF(D129&lt;=0,0,MIN(AI130,D$7+IF(D$2=$AA130,$AC130,IF(D$2=$AF130,$AG130,0))))</f>
        <v/>
      </c>
      <c r="Q130">
        <f>IF(E129&lt;=0,0,MIN(AJ130,E$7+IF(E$2=$AA130,$AC130,IF(E$2=$AF130,$AG130,0))))</f>
        <v/>
      </c>
      <c r="R130">
        <f>IF(F129&lt;=0,0,MIN(AK130,F$7+IF(F$2=$AA130,$AC130,IF(F$2=$AF130,$AG130,0))))</f>
        <v/>
      </c>
      <c r="S130">
        <f>IF(G129&lt;=0,0,MIN(AL130,G$7+IF(G$2=$AA130,$AC130,IF(G$2=$AF130,$AG130,0))))</f>
        <v/>
      </c>
      <c r="T130">
        <f>IF(H129&lt;=0,0,MIN(AM130,H$7+IF(H$2=$AA130,$AC130,IF(H$2=$AF130,$AG130,0))))</f>
        <v/>
      </c>
      <c r="U130">
        <f>IF(I129&lt;=0,0,MIN(AN130,I$7+IF(I$2=$AA130,$AC130,IF(I$2=$AF130,$AG130,0))))</f>
        <v/>
      </c>
      <c r="V130">
        <f>IF(J129&lt;=0,0,MIN(AO130,J$7+IF(J$2=$AA130,$AC130,IF(J$2=$AF130,$AG130,0))))</f>
        <v/>
      </c>
      <c r="W130">
        <f>IF(K129&lt;=0,0,MIN(AP130,K$7+IF(K$2=$AA130,$AC130,IF(K$2=$AF130,$AG130,0))))</f>
        <v/>
      </c>
      <c r="X130">
        <f>IF(L129&lt;=0,0,MIN(AQ130,L$7+IF(L$2=$AA130,$AC130,IF(L$2=$AF130,$AG130,0))))</f>
        <v/>
      </c>
      <c r="Y130">
        <f>IF(M129&lt;=0,0,MIN(AR130,M$7+IF(M$2=$AA130,$AC130,IF(M$2=$AF130,$AG130,0))))</f>
        <v/>
      </c>
      <c r="Z130">
        <f>IF(N129&lt;=0,0,MIN(AS130,N$7+IF(N$2=$AA130,$AC130,IF(N$2=$AF130,$AG130,0))))</f>
        <v/>
      </c>
      <c r="AA130">
        <f>IFERROR(ROUND(1/SUMPRODUCT(MAX((C129:N129&gt;0)*($C$3:$N$3&lt;=B130)/$C$2:$N$2)),0),0)</f>
        <v/>
      </c>
      <c r="AB130">
        <f>SUMPRODUCT((C129:N129&gt;0)*$C$7:$N$7)</f>
        <v/>
      </c>
      <c r="AC130">
        <f>MAX(0,Plan!$C$5-AB130)+IF(A130=Plan!$C$8,N(Plan!$C$7),0)</f>
        <v/>
      </c>
      <c r="AD130">
        <f>SUM(C130:N130)</f>
        <v/>
      </c>
      <c r="AE130">
        <f>SUM(O130:Z130)</f>
        <v/>
      </c>
      <c r="AF130">
        <f>IFERROR(ROUND(1/SUMPRODUCT(MAX((C129:N129&gt;0)*($C$3:$N$3&lt;=B130)*($C$2:$N$2&gt;AA130)/$C$2:$N$2)),0),0)</f>
        <v/>
      </c>
      <c r="AG130">
        <f>MAX(0,AC130-MAX(0,SUMPRODUCT(($C$2:$N$2=AA130)*(AH130:AS130-$C$7:$N$7))))</f>
        <v/>
      </c>
      <c r="AH130">
        <f>IF(C129&lt;=0,0,ROUND(C129*(1+IF(AND(C$6&gt;0,$B130&lt;C$6),C$4,C$5)/12),2))</f>
        <v/>
      </c>
      <c r="AI130">
        <f>IF(D129&lt;=0,0,ROUND(D129*(1+IF(AND(D$6&gt;0,$B130&lt;D$6),D$4,D$5)/12),2))</f>
        <v/>
      </c>
      <c r="AJ130">
        <f>IF(E129&lt;=0,0,ROUND(E129*(1+IF(AND(E$6&gt;0,$B130&lt;E$6),E$4,E$5)/12),2))</f>
        <v/>
      </c>
      <c r="AK130">
        <f>IF(F129&lt;=0,0,ROUND(F129*(1+IF(AND(F$6&gt;0,$B130&lt;F$6),F$4,F$5)/12),2))</f>
        <v/>
      </c>
      <c r="AL130">
        <f>IF(G129&lt;=0,0,ROUND(G129*(1+IF(AND(G$6&gt;0,$B130&lt;G$6),G$4,G$5)/12),2))</f>
        <v/>
      </c>
      <c r="AM130">
        <f>IF(H129&lt;=0,0,ROUND(H129*(1+IF(AND(H$6&gt;0,$B130&lt;H$6),H$4,H$5)/12),2))</f>
        <v/>
      </c>
      <c r="AN130">
        <f>IF(I129&lt;=0,0,ROUND(I129*(1+IF(AND(I$6&gt;0,$B130&lt;I$6),I$4,I$5)/12),2))</f>
        <v/>
      </c>
      <c r="AO130">
        <f>IF(J129&lt;=0,0,ROUND(J129*(1+IF(AND(J$6&gt;0,$B130&lt;J$6),J$4,J$5)/12),2))</f>
        <v/>
      </c>
      <c r="AP130">
        <f>IF(K129&lt;=0,0,ROUND(K129*(1+IF(AND(K$6&gt;0,$B130&lt;K$6),K$4,K$5)/12),2))</f>
        <v/>
      </c>
      <c r="AQ130">
        <f>IF(L129&lt;=0,0,ROUND(L129*(1+IF(AND(L$6&gt;0,$B130&lt;L$6),L$4,L$5)/12),2))</f>
        <v/>
      </c>
      <c r="AR130">
        <f>IF(M129&lt;=0,0,ROUND(M129*(1+IF(AND(M$6&gt;0,$B130&lt;M$6),M$4,M$5)/12),2))</f>
        <v/>
      </c>
      <c r="AS130">
        <f>IF(N129&lt;=0,0,ROUND(N129*(1+IF(AND(N$6&gt;0,$B130&lt;N$6),N$4,N$5)/12),2))</f>
        <v/>
      </c>
    </row>
    <row r="131">
      <c r="A131" t="n">
        <v>120</v>
      </c>
      <c r="B131">
        <f>EDATE(Plan!$C$6,119)</f>
        <v/>
      </c>
      <c r="C131">
        <f>IF(C130&lt;=0,0,MAX(0,AH131-O131))</f>
        <v/>
      </c>
      <c r="D131">
        <f>IF(D130&lt;=0,0,MAX(0,AI131-P131))</f>
        <v/>
      </c>
      <c r="E131">
        <f>IF(E130&lt;=0,0,MAX(0,AJ131-Q131))</f>
        <v/>
      </c>
      <c r="F131">
        <f>IF(F130&lt;=0,0,MAX(0,AK131-R131))</f>
        <v/>
      </c>
      <c r="G131">
        <f>IF(G130&lt;=0,0,MAX(0,AL131-S131))</f>
        <v/>
      </c>
      <c r="H131">
        <f>IF(H130&lt;=0,0,MAX(0,AM131-T131))</f>
        <v/>
      </c>
      <c r="I131">
        <f>IF(I130&lt;=0,0,MAX(0,AN131-U131))</f>
        <v/>
      </c>
      <c r="J131">
        <f>IF(J130&lt;=0,0,MAX(0,AO131-V131))</f>
        <v/>
      </c>
      <c r="K131">
        <f>IF(K130&lt;=0,0,MAX(0,AP131-W131))</f>
        <v/>
      </c>
      <c r="L131">
        <f>IF(L130&lt;=0,0,MAX(0,AQ131-X131))</f>
        <v/>
      </c>
      <c r="M131">
        <f>IF(M130&lt;=0,0,MAX(0,AR131-Y131))</f>
        <v/>
      </c>
      <c r="N131">
        <f>IF(N130&lt;=0,0,MAX(0,AS131-Z131))</f>
        <v/>
      </c>
      <c r="O131">
        <f>IF(C130&lt;=0,0,MIN(AH131,C$7+IF(C$2=$AA131,$AC131,IF(C$2=$AF131,$AG131,0))))</f>
        <v/>
      </c>
      <c r="P131">
        <f>IF(D130&lt;=0,0,MIN(AI131,D$7+IF(D$2=$AA131,$AC131,IF(D$2=$AF131,$AG131,0))))</f>
        <v/>
      </c>
      <c r="Q131">
        <f>IF(E130&lt;=0,0,MIN(AJ131,E$7+IF(E$2=$AA131,$AC131,IF(E$2=$AF131,$AG131,0))))</f>
        <v/>
      </c>
      <c r="R131">
        <f>IF(F130&lt;=0,0,MIN(AK131,F$7+IF(F$2=$AA131,$AC131,IF(F$2=$AF131,$AG131,0))))</f>
        <v/>
      </c>
      <c r="S131">
        <f>IF(G130&lt;=0,0,MIN(AL131,G$7+IF(G$2=$AA131,$AC131,IF(G$2=$AF131,$AG131,0))))</f>
        <v/>
      </c>
      <c r="T131">
        <f>IF(H130&lt;=0,0,MIN(AM131,H$7+IF(H$2=$AA131,$AC131,IF(H$2=$AF131,$AG131,0))))</f>
        <v/>
      </c>
      <c r="U131">
        <f>IF(I130&lt;=0,0,MIN(AN131,I$7+IF(I$2=$AA131,$AC131,IF(I$2=$AF131,$AG131,0))))</f>
        <v/>
      </c>
      <c r="V131">
        <f>IF(J130&lt;=0,0,MIN(AO131,J$7+IF(J$2=$AA131,$AC131,IF(J$2=$AF131,$AG131,0))))</f>
        <v/>
      </c>
      <c r="W131">
        <f>IF(K130&lt;=0,0,MIN(AP131,K$7+IF(K$2=$AA131,$AC131,IF(K$2=$AF131,$AG131,0))))</f>
        <v/>
      </c>
      <c r="X131">
        <f>IF(L130&lt;=0,0,MIN(AQ131,L$7+IF(L$2=$AA131,$AC131,IF(L$2=$AF131,$AG131,0))))</f>
        <v/>
      </c>
      <c r="Y131">
        <f>IF(M130&lt;=0,0,MIN(AR131,M$7+IF(M$2=$AA131,$AC131,IF(M$2=$AF131,$AG131,0))))</f>
        <v/>
      </c>
      <c r="Z131">
        <f>IF(N130&lt;=0,0,MIN(AS131,N$7+IF(N$2=$AA131,$AC131,IF(N$2=$AF131,$AG131,0))))</f>
        <v/>
      </c>
      <c r="AA131">
        <f>IFERROR(ROUND(1/SUMPRODUCT(MAX((C130:N130&gt;0)*($C$3:$N$3&lt;=B131)/$C$2:$N$2)),0),0)</f>
        <v/>
      </c>
      <c r="AB131">
        <f>SUMPRODUCT((C130:N130&gt;0)*$C$7:$N$7)</f>
        <v/>
      </c>
      <c r="AC131">
        <f>MAX(0,Plan!$C$5-AB131)+IF(A131=Plan!$C$8,N(Plan!$C$7),0)</f>
        <v/>
      </c>
      <c r="AD131">
        <f>SUM(C131:N131)</f>
        <v/>
      </c>
      <c r="AE131">
        <f>SUM(O131:Z131)</f>
        <v/>
      </c>
      <c r="AF131">
        <f>IFERROR(ROUND(1/SUMPRODUCT(MAX((C130:N130&gt;0)*($C$3:$N$3&lt;=B131)*($C$2:$N$2&gt;AA131)/$C$2:$N$2)),0),0)</f>
        <v/>
      </c>
      <c r="AG131">
        <f>MAX(0,AC131-MAX(0,SUMPRODUCT(($C$2:$N$2=AA131)*(AH131:AS131-$C$7:$N$7))))</f>
        <v/>
      </c>
      <c r="AH131">
        <f>IF(C130&lt;=0,0,ROUND(C130*(1+IF(AND(C$6&gt;0,$B131&lt;C$6),C$4,C$5)/12),2))</f>
        <v/>
      </c>
      <c r="AI131">
        <f>IF(D130&lt;=0,0,ROUND(D130*(1+IF(AND(D$6&gt;0,$B131&lt;D$6),D$4,D$5)/12),2))</f>
        <v/>
      </c>
      <c r="AJ131">
        <f>IF(E130&lt;=0,0,ROUND(E130*(1+IF(AND(E$6&gt;0,$B131&lt;E$6),E$4,E$5)/12),2))</f>
        <v/>
      </c>
      <c r="AK131">
        <f>IF(F130&lt;=0,0,ROUND(F130*(1+IF(AND(F$6&gt;0,$B131&lt;F$6),F$4,F$5)/12),2))</f>
        <v/>
      </c>
      <c r="AL131">
        <f>IF(G130&lt;=0,0,ROUND(G130*(1+IF(AND(G$6&gt;0,$B131&lt;G$6),G$4,G$5)/12),2))</f>
        <v/>
      </c>
      <c r="AM131">
        <f>IF(H130&lt;=0,0,ROUND(H130*(1+IF(AND(H$6&gt;0,$B131&lt;H$6),H$4,H$5)/12),2))</f>
        <v/>
      </c>
      <c r="AN131">
        <f>IF(I130&lt;=0,0,ROUND(I130*(1+IF(AND(I$6&gt;0,$B131&lt;I$6),I$4,I$5)/12),2))</f>
        <v/>
      </c>
      <c r="AO131">
        <f>IF(J130&lt;=0,0,ROUND(J130*(1+IF(AND(J$6&gt;0,$B131&lt;J$6),J$4,J$5)/12),2))</f>
        <v/>
      </c>
      <c r="AP131">
        <f>IF(K130&lt;=0,0,ROUND(K130*(1+IF(AND(K$6&gt;0,$B131&lt;K$6),K$4,K$5)/12),2))</f>
        <v/>
      </c>
      <c r="AQ131">
        <f>IF(L130&lt;=0,0,ROUND(L130*(1+IF(AND(L$6&gt;0,$B131&lt;L$6),L$4,L$5)/12),2))</f>
        <v/>
      </c>
      <c r="AR131">
        <f>IF(M130&lt;=0,0,ROUND(M130*(1+IF(AND(M$6&gt;0,$B131&lt;M$6),M$4,M$5)/12),2))</f>
        <v/>
      </c>
      <c r="AS131">
        <f>IF(N130&lt;=0,0,ROUND(N130*(1+IF(AND(N$6&gt;0,$B131&lt;N$6),N$4,N$5)/12),2))</f>
        <v/>
      </c>
    </row>
    <row r="132">
      <c r="A132" t="n">
        <v>121</v>
      </c>
      <c r="B132">
        <f>EDATE(Plan!$C$6,120)</f>
        <v/>
      </c>
      <c r="C132">
        <f>IF(C131&lt;=0,0,MAX(0,AH132-O132))</f>
        <v/>
      </c>
      <c r="D132">
        <f>IF(D131&lt;=0,0,MAX(0,AI132-P132))</f>
        <v/>
      </c>
      <c r="E132">
        <f>IF(E131&lt;=0,0,MAX(0,AJ132-Q132))</f>
        <v/>
      </c>
      <c r="F132">
        <f>IF(F131&lt;=0,0,MAX(0,AK132-R132))</f>
        <v/>
      </c>
      <c r="G132">
        <f>IF(G131&lt;=0,0,MAX(0,AL132-S132))</f>
        <v/>
      </c>
      <c r="H132">
        <f>IF(H131&lt;=0,0,MAX(0,AM132-T132))</f>
        <v/>
      </c>
      <c r="I132">
        <f>IF(I131&lt;=0,0,MAX(0,AN132-U132))</f>
        <v/>
      </c>
      <c r="J132">
        <f>IF(J131&lt;=0,0,MAX(0,AO132-V132))</f>
        <v/>
      </c>
      <c r="K132">
        <f>IF(K131&lt;=0,0,MAX(0,AP132-W132))</f>
        <v/>
      </c>
      <c r="L132">
        <f>IF(L131&lt;=0,0,MAX(0,AQ132-X132))</f>
        <v/>
      </c>
      <c r="M132">
        <f>IF(M131&lt;=0,0,MAX(0,AR132-Y132))</f>
        <v/>
      </c>
      <c r="N132">
        <f>IF(N131&lt;=0,0,MAX(0,AS132-Z132))</f>
        <v/>
      </c>
      <c r="O132">
        <f>IF(C131&lt;=0,0,MIN(AH132,C$7+IF(C$2=$AA132,$AC132,IF(C$2=$AF132,$AG132,0))))</f>
        <v/>
      </c>
      <c r="P132">
        <f>IF(D131&lt;=0,0,MIN(AI132,D$7+IF(D$2=$AA132,$AC132,IF(D$2=$AF132,$AG132,0))))</f>
        <v/>
      </c>
      <c r="Q132">
        <f>IF(E131&lt;=0,0,MIN(AJ132,E$7+IF(E$2=$AA132,$AC132,IF(E$2=$AF132,$AG132,0))))</f>
        <v/>
      </c>
      <c r="R132">
        <f>IF(F131&lt;=0,0,MIN(AK132,F$7+IF(F$2=$AA132,$AC132,IF(F$2=$AF132,$AG132,0))))</f>
        <v/>
      </c>
      <c r="S132">
        <f>IF(G131&lt;=0,0,MIN(AL132,G$7+IF(G$2=$AA132,$AC132,IF(G$2=$AF132,$AG132,0))))</f>
        <v/>
      </c>
      <c r="T132">
        <f>IF(H131&lt;=0,0,MIN(AM132,H$7+IF(H$2=$AA132,$AC132,IF(H$2=$AF132,$AG132,0))))</f>
        <v/>
      </c>
      <c r="U132">
        <f>IF(I131&lt;=0,0,MIN(AN132,I$7+IF(I$2=$AA132,$AC132,IF(I$2=$AF132,$AG132,0))))</f>
        <v/>
      </c>
      <c r="V132">
        <f>IF(J131&lt;=0,0,MIN(AO132,J$7+IF(J$2=$AA132,$AC132,IF(J$2=$AF132,$AG132,0))))</f>
        <v/>
      </c>
      <c r="W132">
        <f>IF(K131&lt;=0,0,MIN(AP132,K$7+IF(K$2=$AA132,$AC132,IF(K$2=$AF132,$AG132,0))))</f>
        <v/>
      </c>
      <c r="X132">
        <f>IF(L131&lt;=0,0,MIN(AQ132,L$7+IF(L$2=$AA132,$AC132,IF(L$2=$AF132,$AG132,0))))</f>
        <v/>
      </c>
      <c r="Y132">
        <f>IF(M131&lt;=0,0,MIN(AR132,M$7+IF(M$2=$AA132,$AC132,IF(M$2=$AF132,$AG132,0))))</f>
        <v/>
      </c>
      <c r="Z132">
        <f>IF(N131&lt;=0,0,MIN(AS132,N$7+IF(N$2=$AA132,$AC132,IF(N$2=$AF132,$AG132,0))))</f>
        <v/>
      </c>
      <c r="AA132">
        <f>IFERROR(ROUND(1/SUMPRODUCT(MAX((C131:N131&gt;0)*($C$3:$N$3&lt;=B132)/$C$2:$N$2)),0),0)</f>
        <v/>
      </c>
      <c r="AB132">
        <f>SUMPRODUCT((C131:N131&gt;0)*$C$7:$N$7)</f>
        <v/>
      </c>
      <c r="AC132">
        <f>MAX(0,Plan!$C$5-AB132)+IF(A132=Plan!$C$8,N(Plan!$C$7),0)</f>
        <v/>
      </c>
      <c r="AD132">
        <f>SUM(C132:N132)</f>
        <v/>
      </c>
      <c r="AE132">
        <f>SUM(O132:Z132)</f>
        <v/>
      </c>
      <c r="AF132">
        <f>IFERROR(ROUND(1/SUMPRODUCT(MAX((C131:N131&gt;0)*($C$3:$N$3&lt;=B132)*($C$2:$N$2&gt;AA132)/$C$2:$N$2)),0),0)</f>
        <v/>
      </c>
      <c r="AG132">
        <f>MAX(0,AC132-MAX(0,SUMPRODUCT(($C$2:$N$2=AA132)*(AH132:AS132-$C$7:$N$7))))</f>
        <v/>
      </c>
      <c r="AH132">
        <f>IF(C131&lt;=0,0,ROUND(C131*(1+IF(AND(C$6&gt;0,$B132&lt;C$6),C$4,C$5)/12),2))</f>
        <v/>
      </c>
      <c r="AI132">
        <f>IF(D131&lt;=0,0,ROUND(D131*(1+IF(AND(D$6&gt;0,$B132&lt;D$6),D$4,D$5)/12),2))</f>
        <v/>
      </c>
      <c r="AJ132">
        <f>IF(E131&lt;=0,0,ROUND(E131*(1+IF(AND(E$6&gt;0,$B132&lt;E$6),E$4,E$5)/12),2))</f>
        <v/>
      </c>
      <c r="AK132">
        <f>IF(F131&lt;=0,0,ROUND(F131*(1+IF(AND(F$6&gt;0,$B132&lt;F$6),F$4,F$5)/12),2))</f>
        <v/>
      </c>
      <c r="AL132">
        <f>IF(G131&lt;=0,0,ROUND(G131*(1+IF(AND(G$6&gt;0,$B132&lt;G$6),G$4,G$5)/12),2))</f>
        <v/>
      </c>
      <c r="AM132">
        <f>IF(H131&lt;=0,0,ROUND(H131*(1+IF(AND(H$6&gt;0,$B132&lt;H$6),H$4,H$5)/12),2))</f>
        <v/>
      </c>
      <c r="AN132">
        <f>IF(I131&lt;=0,0,ROUND(I131*(1+IF(AND(I$6&gt;0,$B132&lt;I$6),I$4,I$5)/12),2))</f>
        <v/>
      </c>
      <c r="AO132">
        <f>IF(J131&lt;=0,0,ROUND(J131*(1+IF(AND(J$6&gt;0,$B132&lt;J$6),J$4,J$5)/12),2))</f>
        <v/>
      </c>
      <c r="AP132">
        <f>IF(K131&lt;=0,0,ROUND(K131*(1+IF(AND(K$6&gt;0,$B132&lt;K$6),K$4,K$5)/12),2))</f>
        <v/>
      </c>
      <c r="AQ132">
        <f>IF(L131&lt;=0,0,ROUND(L131*(1+IF(AND(L$6&gt;0,$B132&lt;L$6),L$4,L$5)/12),2))</f>
        <v/>
      </c>
      <c r="AR132">
        <f>IF(M131&lt;=0,0,ROUND(M131*(1+IF(AND(M$6&gt;0,$B132&lt;M$6),M$4,M$5)/12),2))</f>
        <v/>
      </c>
      <c r="AS132">
        <f>IF(N131&lt;=0,0,ROUND(N131*(1+IF(AND(N$6&gt;0,$B132&lt;N$6),N$4,N$5)/12),2))</f>
        <v/>
      </c>
    </row>
    <row r="133">
      <c r="A133" t="n">
        <v>122</v>
      </c>
      <c r="B133">
        <f>EDATE(Plan!$C$6,121)</f>
        <v/>
      </c>
      <c r="C133">
        <f>IF(C132&lt;=0,0,MAX(0,AH133-O133))</f>
        <v/>
      </c>
      <c r="D133">
        <f>IF(D132&lt;=0,0,MAX(0,AI133-P133))</f>
        <v/>
      </c>
      <c r="E133">
        <f>IF(E132&lt;=0,0,MAX(0,AJ133-Q133))</f>
        <v/>
      </c>
      <c r="F133">
        <f>IF(F132&lt;=0,0,MAX(0,AK133-R133))</f>
        <v/>
      </c>
      <c r="G133">
        <f>IF(G132&lt;=0,0,MAX(0,AL133-S133))</f>
        <v/>
      </c>
      <c r="H133">
        <f>IF(H132&lt;=0,0,MAX(0,AM133-T133))</f>
        <v/>
      </c>
      <c r="I133">
        <f>IF(I132&lt;=0,0,MAX(0,AN133-U133))</f>
        <v/>
      </c>
      <c r="J133">
        <f>IF(J132&lt;=0,0,MAX(0,AO133-V133))</f>
        <v/>
      </c>
      <c r="K133">
        <f>IF(K132&lt;=0,0,MAX(0,AP133-W133))</f>
        <v/>
      </c>
      <c r="L133">
        <f>IF(L132&lt;=0,0,MAX(0,AQ133-X133))</f>
        <v/>
      </c>
      <c r="M133">
        <f>IF(M132&lt;=0,0,MAX(0,AR133-Y133))</f>
        <v/>
      </c>
      <c r="N133">
        <f>IF(N132&lt;=0,0,MAX(0,AS133-Z133))</f>
        <v/>
      </c>
      <c r="O133">
        <f>IF(C132&lt;=0,0,MIN(AH133,C$7+IF(C$2=$AA133,$AC133,IF(C$2=$AF133,$AG133,0))))</f>
        <v/>
      </c>
      <c r="P133">
        <f>IF(D132&lt;=0,0,MIN(AI133,D$7+IF(D$2=$AA133,$AC133,IF(D$2=$AF133,$AG133,0))))</f>
        <v/>
      </c>
      <c r="Q133">
        <f>IF(E132&lt;=0,0,MIN(AJ133,E$7+IF(E$2=$AA133,$AC133,IF(E$2=$AF133,$AG133,0))))</f>
        <v/>
      </c>
      <c r="R133">
        <f>IF(F132&lt;=0,0,MIN(AK133,F$7+IF(F$2=$AA133,$AC133,IF(F$2=$AF133,$AG133,0))))</f>
        <v/>
      </c>
      <c r="S133">
        <f>IF(G132&lt;=0,0,MIN(AL133,G$7+IF(G$2=$AA133,$AC133,IF(G$2=$AF133,$AG133,0))))</f>
        <v/>
      </c>
      <c r="T133">
        <f>IF(H132&lt;=0,0,MIN(AM133,H$7+IF(H$2=$AA133,$AC133,IF(H$2=$AF133,$AG133,0))))</f>
        <v/>
      </c>
      <c r="U133">
        <f>IF(I132&lt;=0,0,MIN(AN133,I$7+IF(I$2=$AA133,$AC133,IF(I$2=$AF133,$AG133,0))))</f>
        <v/>
      </c>
      <c r="V133">
        <f>IF(J132&lt;=0,0,MIN(AO133,J$7+IF(J$2=$AA133,$AC133,IF(J$2=$AF133,$AG133,0))))</f>
        <v/>
      </c>
      <c r="W133">
        <f>IF(K132&lt;=0,0,MIN(AP133,K$7+IF(K$2=$AA133,$AC133,IF(K$2=$AF133,$AG133,0))))</f>
        <v/>
      </c>
      <c r="X133">
        <f>IF(L132&lt;=0,0,MIN(AQ133,L$7+IF(L$2=$AA133,$AC133,IF(L$2=$AF133,$AG133,0))))</f>
        <v/>
      </c>
      <c r="Y133">
        <f>IF(M132&lt;=0,0,MIN(AR133,M$7+IF(M$2=$AA133,$AC133,IF(M$2=$AF133,$AG133,0))))</f>
        <v/>
      </c>
      <c r="Z133">
        <f>IF(N132&lt;=0,0,MIN(AS133,N$7+IF(N$2=$AA133,$AC133,IF(N$2=$AF133,$AG133,0))))</f>
        <v/>
      </c>
      <c r="AA133">
        <f>IFERROR(ROUND(1/SUMPRODUCT(MAX((C132:N132&gt;0)*($C$3:$N$3&lt;=B133)/$C$2:$N$2)),0),0)</f>
        <v/>
      </c>
      <c r="AB133">
        <f>SUMPRODUCT((C132:N132&gt;0)*$C$7:$N$7)</f>
        <v/>
      </c>
      <c r="AC133">
        <f>MAX(0,Plan!$C$5-AB133)+IF(A133=Plan!$C$8,N(Plan!$C$7),0)</f>
        <v/>
      </c>
      <c r="AD133">
        <f>SUM(C133:N133)</f>
        <v/>
      </c>
      <c r="AE133">
        <f>SUM(O133:Z133)</f>
        <v/>
      </c>
      <c r="AF133">
        <f>IFERROR(ROUND(1/SUMPRODUCT(MAX((C132:N132&gt;0)*($C$3:$N$3&lt;=B133)*($C$2:$N$2&gt;AA133)/$C$2:$N$2)),0),0)</f>
        <v/>
      </c>
      <c r="AG133">
        <f>MAX(0,AC133-MAX(0,SUMPRODUCT(($C$2:$N$2=AA133)*(AH133:AS133-$C$7:$N$7))))</f>
        <v/>
      </c>
      <c r="AH133">
        <f>IF(C132&lt;=0,0,ROUND(C132*(1+IF(AND(C$6&gt;0,$B133&lt;C$6),C$4,C$5)/12),2))</f>
        <v/>
      </c>
      <c r="AI133">
        <f>IF(D132&lt;=0,0,ROUND(D132*(1+IF(AND(D$6&gt;0,$B133&lt;D$6),D$4,D$5)/12),2))</f>
        <v/>
      </c>
      <c r="AJ133">
        <f>IF(E132&lt;=0,0,ROUND(E132*(1+IF(AND(E$6&gt;0,$B133&lt;E$6),E$4,E$5)/12),2))</f>
        <v/>
      </c>
      <c r="AK133">
        <f>IF(F132&lt;=0,0,ROUND(F132*(1+IF(AND(F$6&gt;0,$B133&lt;F$6),F$4,F$5)/12),2))</f>
        <v/>
      </c>
      <c r="AL133">
        <f>IF(G132&lt;=0,0,ROUND(G132*(1+IF(AND(G$6&gt;0,$B133&lt;G$6),G$4,G$5)/12),2))</f>
        <v/>
      </c>
      <c r="AM133">
        <f>IF(H132&lt;=0,0,ROUND(H132*(1+IF(AND(H$6&gt;0,$B133&lt;H$6),H$4,H$5)/12),2))</f>
        <v/>
      </c>
      <c r="AN133">
        <f>IF(I132&lt;=0,0,ROUND(I132*(1+IF(AND(I$6&gt;0,$B133&lt;I$6),I$4,I$5)/12),2))</f>
        <v/>
      </c>
      <c r="AO133">
        <f>IF(J132&lt;=0,0,ROUND(J132*(1+IF(AND(J$6&gt;0,$B133&lt;J$6),J$4,J$5)/12),2))</f>
        <v/>
      </c>
      <c r="AP133">
        <f>IF(K132&lt;=0,0,ROUND(K132*(1+IF(AND(K$6&gt;0,$B133&lt;K$6),K$4,K$5)/12),2))</f>
        <v/>
      </c>
      <c r="AQ133">
        <f>IF(L132&lt;=0,0,ROUND(L132*(1+IF(AND(L$6&gt;0,$B133&lt;L$6),L$4,L$5)/12),2))</f>
        <v/>
      </c>
      <c r="AR133">
        <f>IF(M132&lt;=0,0,ROUND(M132*(1+IF(AND(M$6&gt;0,$B133&lt;M$6),M$4,M$5)/12),2))</f>
        <v/>
      </c>
      <c r="AS133">
        <f>IF(N132&lt;=0,0,ROUND(N132*(1+IF(AND(N$6&gt;0,$B133&lt;N$6),N$4,N$5)/12),2))</f>
        <v/>
      </c>
    </row>
    <row r="134">
      <c r="A134" t="n">
        <v>123</v>
      </c>
      <c r="B134">
        <f>EDATE(Plan!$C$6,122)</f>
        <v/>
      </c>
      <c r="C134">
        <f>IF(C133&lt;=0,0,MAX(0,AH134-O134))</f>
        <v/>
      </c>
      <c r="D134">
        <f>IF(D133&lt;=0,0,MAX(0,AI134-P134))</f>
        <v/>
      </c>
      <c r="E134">
        <f>IF(E133&lt;=0,0,MAX(0,AJ134-Q134))</f>
        <v/>
      </c>
      <c r="F134">
        <f>IF(F133&lt;=0,0,MAX(0,AK134-R134))</f>
        <v/>
      </c>
      <c r="G134">
        <f>IF(G133&lt;=0,0,MAX(0,AL134-S134))</f>
        <v/>
      </c>
      <c r="H134">
        <f>IF(H133&lt;=0,0,MAX(0,AM134-T134))</f>
        <v/>
      </c>
      <c r="I134">
        <f>IF(I133&lt;=0,0,MAX(0,AN134-U134))</f>
        <v/>
      </c>
      <c r="J134">
        <f>IF(J133&lt;=0,0,MAX(0,AO134-V134))</f>
        <v/>
      </c>
      <c r="K134">
        <f>IF(K133&lt;=0,0,MAX(0,AP134-W134))</f>
        <v/>
      </c>
      <c r="L134">
        <f>IF(L133&lt;=0,0,MAX(0,AQ134-X134))</f>
        <v/>
      </c>
      <c r="M134">
        <f>IF(M133&lt;=0,0,MAX(0,AR134-Y134))</f>
        <v/>
      </c>
      <c r="N134">
        <f>IF(N133&lt;=0,0,MAX(0,AS134-Z134))</f>
        <v/>
      </c>
      <c r="O134">
        <f>IF(C133&lt;=0,0,MIN(AH134,C$7+IF(C$2=$AA134,$AC134,IF(C$2=$AF134,$AG134,0))))</f>
        <v/>
      </c>
      <c r="P134">
        <f>IF(D133&lt;=0,0,MIN(AI134,D$7+IF(D$2=$AA134,$AC134,IF(D$2=$AF134,$AG134,0))))</f>
        <v/>
      </c>
      <c r="Q134">
        <f>IF(E133&lt;=0,0,MIN(AJ134,E$7+IF(E$2=$AA134,$AC134,IF(E$2=$AF134,$AG134,0))))</f>
        <v/>
      </c>
      <c r="R134">
        <f>IF(F133&lt;=0,0,MIN(AK134,F$7+IF(F$2=$AA134,$AC134,IF(F$2=$AF134,$AG134,0))))</f>
        <v/>
      </c>
      <c r="S134">
        <f>IF(G133&lt;=0,0,MIN(AL134,G$7+IF(G$2=$AA134,$AC134,IF(G$2=$AF134,$AG134,0))))</f>
        <v/>
      </c>
      <c r="T134">
        <f>IF(H133&lt;=0,0,MIN(AM134,H$7+IF(H$2=$AA134,$AC134,IF(H$2=$AF134,$AG134,0))))</f>
        <v/>
      </c>
      <c r="U134">
        <f>IF(I133&lt;=0,0,MIN(AN134,I$7+IF(I$2=$AA134,$AC134,IF(I$2=$AF134,$AG134,0))))</f>
        <v/>
      </c>
      <c r="V134">
        <f>IF(J133&lt;=0,0,MIN(AO134,J$7+IF(J$2=$AA134,$AC134,IF(J$2=$AF134,$AG134,0))))</f>
        <v/>
      </c>
      <c r="W134">
        <f>IF(K133&lt;=0,0,MIN(AP134,K$7+IF(K$2=$AA134,$AC134,IF(K$2=$AF134,$AG134,0))))</f>
        <v/>
      </c>
      <c r="X134">
        <f>IF(L133&lt;=0,0,MIN(AQ134,L$7+IF(L$2=$AA134,$AC134,IF(L$2=$AF134,$AG134,0))))</f>
        <v/>
      </c>
      <c r="Y134">
        <f>IF(M133&lt;=0,0,MIN(AR134,M$7+IF(M$2=$AA134,$AC134,IF(M$2=$AF134,$AG134,0))))</f>
        <v/>
      </c>
      <c r="Z134">
        <f>IF(N133&lt;=0,0,MIN(AS134,N$7+IF(N$2=$AA134,$AC134,IF(N$2=$AF134,$AG134,0))))</f>
        <v/>
      </c>
      <c r="AA134">
        <f>IFERROR(ROUND(1/SUMPRODUCT(MAX((C133:N133&gt;0)*($C$3:$N$3&lt;=B134)/$C$2:$N$2)),0),0)</f>
        <v/>
      </c>
      <c r="AB134">
        <f>SUMPRODUCT((C133:N133&gt;0)*$C$7:$N$7)</f>
        <v/>
      </c>
      <c r="AC134">
        <f>MAX(0,Plan!$C$5-AB134)+IF(A134=Plan!$C$8,N(Plan!$C$7),0)</f>
        <v/>
      </c>
      <c r="AD134">
        <f>SUM(C134:N134)</f>
        <v/>
      </c>
      <c r="AE134">
        <f>SUM(O134:Z134)</f>
        <v/>
      </c>
      <c r="AF134">
        <f>IFERROR(ROUND(1/SUMPRODUCT(MAX((C133:N133&gt;0)*($C$3:$N$3&lt;=B134)*($C$2:$N$2&gt;AA134)/$C$2:$N$2)),0),0)</f>
        <v/>
      </c>
      <c r="AG134">
        <f>MAX(0,AC134-MAX(0,SUMPRODUCT(($C$2:$N$2=AA134)*(AH134:AS134-$C$7:$N$7))))</f>
        <v/>
      </c>
      <c r="AH134">
        <f>IF(C133&lt;=0,0,ROUND(C133*(1+IF(AND(C$6&gt;0,$B134&lt;C$6),C$4,C$5)/12),2))</f>
        <v/>
      </c>
      <c r="AI134">
        <f>IF(D133&lt;=0,0,ROUND(D133*(1+IF(AND(D$6&gt;0,$B134&lt;D$6),D$4,D$5)/12),2))</f>
        <v/>
      </c>
      <c r="AJ134">
        <f>IF(E133&lt;=0,0,ROUND(E133*(1+IF(AND(E$6&gt;0,$B134&lt;E$6),E$4,E$5)/12),2))</f>
        <v/>
      </c>
      <c r="AK134">
        <f>IF(F133&lt;=0,0,ROUND(F133*(1+IF(AND(F$6&gt;0,$B134&lt;F$6),F$4,F$5)/12),2))</f>
        <v/>
      </c>
      <c r="AL134">
        <f>IF(G133&lt;=0,0,ROUND(G133*(1+IF(AND(G$6&gt;0,$B134&lt;G$6),G$4,G$5)/12),2))</f>
        <v/>
      </c>
      <c r="AM134">
        <f>IF(H133&lt;=0,0,ROUND(H133*(1+IF(AND(H$6&gt;0,$B134&lt;H$6),H$4,H$5)/12),2))</f>
        <v/>
      </c>
      <c r="AN134">
        <f>IF(I133&lt;=0,0,ROUND(I133*(1+IF(AND(I$6&gt;0,$B134&lt;I$6),I$4,I$5)/12),2))</f>
        <v/>
      </c>
      <c r="AO134">
        <f>IF(J133&lt;=0,0,ROUND(J133*(1+IF(AND(J$6&gt;0,$B134&lt;J$6),J$4,J$5)/12),2))</f>
        <v/>
      </c>
      <c r="AP134">
        <f>IF(K133&lt;=0,0,ROUND(K133*(1+IF(AND(K$6&gt;0,$B134&lt;K$6),K$4,K$5)/12),2))</f>
        <v/>
      </c>
      <c r="AQ134">
        <f>IF(L133&lt;=0,0,ROUND(L133*(1+IF(AND(L$6&gt;0,$B134&lt;L$6),L$4,L$5)/12),2))</f>
        <v/>
      </c>
      <c r="AR134">
        <f>IF(M133&lt;=0,0,ROUND(M133*(1+IF(AND(M$6&gt;0,$B134&lt;M$6),M$4,M$5)/12),2))</f>
        <v/>
      </c>
      <c r="AS134">
        <f>IF(N133&lt;=0,0,ROUND(N133*(1+IF(AND(N$6&gt;0,$B134&lt;N$6),N$4,N$5)/12),2))</f>
        <v/>
      </c>
    </row>
    <row r="135">
      <c r="A135" t="n">
        <v>124</v>
      </c>
      <c r="B135">
        <f>EDATE(Plan!$C$6,123)</f>
        <v/>
      </c>
      <c r="C135">
        <f>IF(C134&lt;=0,0,MAX(0,AH135-O135))</f>
        <v/>
      </c>
      <c r="D135">
        <f>IF(D134&lt;=0,0,MAX(0,AI135-P135))</f>
        <v/>
      </c>
      <c r="E135">
        <f>IF(E134&lt;=0,0,MAX(0,AJ135-Q135))</f>
        <v/>
      </c>
      <c r="F135">
        <f>IF(F134&lt;=0,0,MAX(0,AK135-R135))</f>
        <v/>
      </c>
      <c r="G135">
        <f>IF(G134&lt;=0,0,MAX(0,AL135-S135))</f>
        <v/>
      </c>
      <c r="H135">
        <f>IF(H134&lt;=0,0,MAX(0,AM135-T135))</f>
        <v/>
      </c>
      <c r="I135">
        <f>IF(I134&lt;=0,0,MAX(0,AN135-U135))</f>
        <v/>
      </c>
      <c r="J135">
        <f>IF(J134&lt;=0,0,MAX(0,AO135-V135))</f>
        <v/>
      </c>
      <c r="K135">
        <f>IF(K134&lt;=0,0,MAX(0,AP135-W135))</f>
        <v/>
      </c>
      <c r="L135">
        <f>IF(L134&lt;=0,0,MAX(0,AQ135-X135))</f>
        <v/>
      </c>
      <c r="M135">
        <f>IF(M134&lt;=0,0,MAX(0,AR135-Y135))</f>
        <v/>
      </c>
      <c r="N135">
        <f>IF(N134&lt;=0,0,MAX(0,AS135-Z135))</f>
        <v/>
      </c>
      <c r="O135">
        <f>IF(C134&lt;=0,0,MIN(AH135,C$7+IF(C$2=$AA135,$AC135,IF(C$2=$AF135,$AG135,0))))</f>
        <v/>
      </c>
      <c r="P135">
        <f>IF(D134&lt;=0,0,MIN(AI135,D$7+IF(D$2=$AA135,$AC135,IF(D$2=$AF135,$AG135,0))))</f>
        <v/>
      </c>
      <c r="Q135">
        <f>IF(E134&lt;=0,0,MIN(AJ135,E$7+IF(E$2=$AA135,$AC135,IF(E$2=$AF135,$AG135,0))))</f>
        <v/>
      </c>
      <c r="R135">
        <f>IF(F134&lt;=0,0,MIN(AK135,F$7+IF(F$2=$AA135,$AC135,IF(F$2=$AF135,$AG135,0))))</f>
        <v/>
      </c>
      <c r="S135">
        <f>IF(G134&lt;=0,0,MIN(AL135,G$7+IF(G$2=$AA135,$AC135,IF(G$2=$AF135,$AG135,0))))</f>
        <v/>
      </c>
      <c r="T135">
        <f>IF(H134&lt;=0,0,MIN(AM135,H$7+IF(H$2=$AA135,$AC135,IF(H$2=$AF135,$AG135,0))))</f>
        <v/>
      </c>
      <c r="U135">
        <f>IF(I134&lt;=0,0,MIN(AN135,I$7+IF(I$2=$AA135,$AC135,IF(I$2=$AF135,$AG135,0))))</f>
        <v/>
      </c>
      <c r="V135">
        <f>IF(J134&lt;=0,0,MIN(AO135,J$7+IF(J$2=$AA135,$AC135,IF(J$2=$AF135,$AG135,0))))</f>
        <v/>
      </c>
      <c r="W135">
        <f>IF(K134&lt;=0,0,MIN(AP135,K$7+IF(K$2=$AA135,$AC135,IF(K$2=$AF135,$AG135,0))))</f>
        <v/>
      </c>
      <c r="X135">
        <f>IF(L134&lt;=0,0,MIN(AQ135,L$7+IF(L$2=$AA135,$AC135,IF(L$2=$AF135,$AG135,0))))</f>
        <v/>
      </c>
      <c r="Y135">
        <f>IF(M134&lt;=0,0,MIN(AR135,M$7+IF(M$2=$AA135,$AC135,IF(M$2=$AF135,$AG135,0))))</f>
        <v/>
      </c>
      <c r="Z135">
        <f>IF(N134&lt;=0,0,MIN(AS135,N$7+IF(N$2=$AA135,$AC135,IF(N$2=$AF135,$AG135,0))))</f>
        <v/>
      </c>
      <c r="AA135">
        <f>IFERROR(ROUND(1/SUMPRODUCT(MAX((C134:N134&gt;0)*($C$3:$N$3&lt;=B135)/$C$2:$N$2)),0),0)</f>
        <v/>
      </c>
      <c r="AB135">
        <f>SUMPRODUCT((C134:N134&gt;0)*$C$7:$N$7)</f>
        <v/>
      </c>
      <c r="AC135">
        <f>MAX(0,Plan!$C$5-AB135)+IF(A135=Plan!$C$8,N(Plan!$C$7),0)</f>
        <v/>
      </c>
      <c r="AD135">
        <f>SUM(C135:N135)</f>
        <v/>
      </c>
      <c r="AE135">
        <f>SUM(O135:Z135)</f>
        <v/>
      </c>
      <c r="AF135">
        <f>IFERROR(ROUND(1/SUMPRODUCT(MAX((C134:N134&gt;0)*($C$3:$N$3&lt;=B135)*($C$2:$N$2&gt;AA135)/$C$2:$N$2)),0),0)</f>
        <v/>
      </c>
      <c r="AG135">
        <f>MAX(0,AC135-MAX(0,SUMPRODUCT(($C$2:$N$2=AA135)*(AH135:AS135-$C$7:$N$7))))</f>
        <v/>
      </c>
      <c r="AH135">
        <f>IF(C134&lt;=0,0,ROUND(C134*(1+IF(AND(C$6&gt;0,$B135&lt;C$6),C$4,C$5)/12),2))</f>
        <v/>
      </c>
      <c r="AI135">
        <f>IF(D134&lt;=0,0,ROUND(D134*(1+IF(AND(D$6&gt;0,$B135&lt;D$6),D$4,D$5)/12),2))</f>
        <v/>
      </c>
      <c r="AJ135">
        <f>IF(E134&lt;=0,0,ROUND(E134*(1+IF(AND(E$6&gt;0,$B135&lt;E$6),E$4,E$5)/12),2))</f>
        <v/>
      </c>
      <c r="AK135">
        <f>IF(F134&lt;=0,0,ROUND(F134*(1+IF(AND(F$6&gt;0,$B135&lt;F$6),F$4,F$5)/12),2))</f>
        <v/>
      </c>
      <c r="AL135">
        <f>IF(G134&lt;=0,0,ROUND(G134*(1+IF(AND(G$6&gt;0,$B135&lt;G$6),G$4,G$5)/12),2))</f>
        <v/>
      </c>
      <c r="AM135">
        <f>IF(H134&lt;=0,0,ROUND(H134*(1+IF(AND(H$6&gt;0,$B135&lt;H$6),H$4,H$5)/12),2))</f>
        <v/>
      </c>
      <c r="AN135">
        <f>IF(I134&lt;=0,0,ROUND(I134*(1+IF(AND(I$6&gt;0,$B135&lt;I$6),I$4,I$5)/12),2))</f>
        <v/>
      </c>
      <c r="AO135">
        <f>IF(J134&lt;=0,0,ROUND(J134*(1+IF(AND(J$6&gt;0,$B135&lt;J$6),J$4,J$5)/12),2))</f>
        <v/>
      </c>
      <c r="AP135">
        <f>IF(K134&lt;=0,0,ROUND(K134*(1+IF(AND(K$6&gt;0,$B135&lt;K$6),K$4,K$5)/12),2))</f>
        <v/>
      </c>
      <c r="AQ135">
        <f>IF(L134&lt;=0,0,ROUND(L134*(1+IF(AND(L$6&gt;0,$B135&lt;L$6),L$4,L$5)/12),2))</f>
        <v/>
      </c>
      <c r="AR135">
        <f>IF(M134&lt;=0,0,ROUND(M134*(1+IF(AND(M$6&gt;0,$B135&lt;M$6),M$4,M$5)/12),2))</f>
        <v/>
      </c>
      <c r="AS135">
        <f>IF(N134&lt;=0,0,ROUND(N134*(1+IF(AND(N$6&gt;0,$B135&lt;N$6),N$4,N$5)/12),2))</f>
        <v/>
      </c>
    </row>
    <row r="136">
      <c r="A136" t="n">
        <v>125</v>
      </c>
      <c r="B136">
        <f>EDATE(Plan!$C$6,124)</f>
        <v/>
      </c>
      <c r="C136">
        <f>IF(C135&lt;=0,0,MAX(0,AH136-O136))</f>
        <v/>
      </c>
      <c r="D136">
        <f>IF(D135&lt;=0,0,MAX(0,AI136-P136))</f>
        <v/>
      </c>
      <c r="E136">
        <f>IF(E135&lt;=0,0,MAX(0,AJ136-Q136))</f>
        <v/>
      </c>
      <c r="F136">
        <f>IF(F135&lt;=0,0,MAX(0,AK136-R136))</f>
        <v/>
      </c>
      <c r="G136">
        <f>IF(G135&lt;=0,0,MAX(0,AL136-S136))</f>
        <v/>
      </c>
      <c r="H136">
        <f>IF(H135&lt;=0,0,MAX(0,AM136-T136))</f>
        <v/>
      </c>
      <c r="I136">
        <f>IF(I135&lt;=0,0,MAX(0,AN136-U136))</f>
        <v/>
      </c>
      <c r="J136">
        <f>IF(J135&lt;=0,0,MAX(0,AO136-V136))</f>
        <v/>
      </c>
      <c r="K136">
        <f>IF(K135&lt;=0,0,MAX(0,AP136-W136))</f>
        <v/>
      </c>
      <c r="L136">
        <f>IF(L135&lt;=0,0,MAX(0,AQ136-X136))</f>
        <v/>
      </c>
      <c r="M136">
        <f>IF(M135&lt;=0,0,MAX(0,AR136-Y136))</f>
        <v/>
      </c>
      <c r="N136">
        <f>IF(N135&lt;=0,0,MAX(0,AS136-Z136))</f>
        <v/>
      </c>
      <c r="O136">
        <f>IF(C135&lt;=0,0,MIN(AH136,C$7+IF(C$2=$AA136,$AC136,IF(C$2=$AF136,$AG136,0))))</f>
        <v/>
      </c>
      <c r="P136">
        <f>IF(D135&lt;=0,0,MIN(AI136,D$7+IF(D$2=$AA136,$AC136,IF(D$2=$AF136,$AG136,0))))</f>
        <v/>
      </c>
      <c r="Q136">
        <f>IF(E135&lt;=0,0,MIN(AJ136,E$7+IF(E$2=$AA136,$AC136,IF(E$2=$AF136,$AG136,0))))</f>
        <v/>
      </c>
      <c r="R136">
        <f>IF(F135&lt;=0,0,MIN(AK136,F$7+IF(F$2=$AA136,$AC136,IF(F$2=$AF136,$AG136,0))))</f>
        <v/>
      </c>
      <c r="S136">
        <f>IF(G135&lt;=0,0,MIN(AL136,G$7+IF(G$2=$AA136,$AC136,IF(G$2=$AF136,$AG136,0))))</f>
        <v/>
      </c>
      <c r="T136">
        <f>IF(H135&lt;=0,0,MIN(AM136,H$7+IF(H$2=$AA136,$AC136,IF(H$2=$AF136,$AG136,0))))</f>
        <v/>
      </c>
      <c r="U136">
        <f>IF(I135&lt;=0,0,MIN(AN136,I$7+IF(I$2=$AA136,$AC136,IF(I$2=$AF136,$AG136,0))))</f>
        <v/>
      </c>
      <c r="V136">
        <f>IF(J135&lt;=0,0,MIN(AO136,J$7+IF(J$2=$AA136,$AC136,IF(J$2=$AF136,$AG136,0))))</f>
        <v/>
      </c>
      <c r="W136">
        <f>IF(K135&lt;=0,0,MIN(AP136,K$7+IF(K$2=$AA136,$AC136,IF(K$2=$AF136,$AG136,0))))</f>
        <v/>
      </c>
      <c r="X136">
        <f>IF(L135&lt;=0,0,MIN(AQ136,L$7+IF(L$2=$AA136,$AC136,IF(L$2=$AF136,$AG136,0))))</f>
        <v/>
      </c>
      <c r="Y136">
        <f>IF(M135&lt;=0,0,MIN(AR136,M$7+IF(M$2=$AA136,$AC136,IF(M$2=$AF136,$AG136,0))))</f>
        <v/>
      </c>
      <c r="Z136">
        <f>IF(N135&lt;=0,0,MIN(AS136,N$7+IF(N$2=$AA136,$AC136,IF(N$2=$AF136,$AG136,0))))</f>
        <v/>
      </c>
      <c r="AA136">
        <f>IFERROR(ROUND(1/SUMPRODUCT(MAX((C135:N135&gt;0)*($C$3:$N$3&lt;=B136)/$C$2:$N$2)),0),0)</f>
        <v/>
      </c>
      <c r="AB136">
        <f>SUMPRODUCT((C135:N135&gt;0)*$C$7:$N$7)</f>
        <v/>
      </c>
      <c r="AC136">
        <f>MAX(0,Plan!$C$5-AB136)+IF(A136=Plan!$C$8,N(Plan!$C$7),0)</f>
        <v/>
      </c>
      <c r="AD136">
        <f>SUM(C136:N136)</f>
        <v/>
      </c>
      <c r="AE136">
        <f>SUM(O136:Z136)</f>
        <v/>
      </c>
      <c r="AF136">
        <f>IFERROR(ROUND(1/SUMPRODUCT(MAX((C135:N135&gt;0)*($C$3:$N$3&lt;=B136)*($C$2:$N$2&gt;AA136)/$C$2:$N$2)),0),0)</f>
        <v/>
      </c>
      <c r="AG136">
        <f>MAX(0,AC136-MAX(0,SUMPRODUCT(($C$2:$N$2=AA136)*(AH136:AS136-$C$7:$N$7))))</f>
        <v/>
      </c>
      <c r="AH136">
        <f>IF(C135&lt;=0,0,ROUND(C135*(1+IF(AND(C$6&gt;0,$B136&lt;C$6),C$4,C$5)/12),2))</f>
        <v/>
      </c>
      <c r="AI136">
        <f>IF(D135&lt;=0,0,ROUND(D135*(1+IF(AND(D$6&gt;0,$B136&lt;D$6),D$4,D$5)/12),2))</f>
        <v/>
      </c>
      <c r="AJ136">
        <f>IF(E135&lt;=0,0,ROUND(E135*(1+IF(AND(E$6&gt;0,$B136&lt;E$6),E$4,E$5)/12),2))</f>
        <v/>
      </c>
      <c r="AK136">
        <f>IF(F135&lt;=0,0,ROUND(F135*(1+IF(AND(F$6&gt;0,$B136&lt;F$6),F$4,F$5)/12),2))</f>
        <v/>
      </c>
      <c r="AL136">
        <f>IF(G135&lt;=0,0,ROUND(G135*(1+IF(AND(G$6&gt;0,$B136&lt;G$6),G$4,G$5)/12),2))</f>
        <v/>
      </c>
      <c r="AM136">
        <f>IF(H135&lt;=0,0,ROUND(H135*(1+IF(AND(H$6&gt;0,$B136&lt;H$6),H$4,H$5)/12),2))</f>
        <v/>
      </c>
      <c r="AN136">
        <f>IF(I135&lt;=0,0,ROUND(I135*(1+IF(AND(I$6&gt;0,$B136&lt;I$6),I$4,I$5)/12),2))</f>
        <v/>
      </c>
      <c r="AO136">
        <f>IF(J135&lt;=0,0,ROUND(J135*(1+IF(AND(J$6&gt;0,$B136&lt;J$6),J$4,J$5)/12),2))</f>
        <v/>
      </c>
      <c r="AP136">
        <f>IF(K135&lt;=0,0,ROUND(K135*(1+IF(AND(K$6&gt;0,$B136&lt;K$6),K$4,K$5)/12),2))</f>
        <v/>
      </c>
      <c r="AQ136">
        <f>IF(L135&lt;=0,0,ROUND(L135*(1+IF(AND(L$6&gt;0,$B136&lt;L$6),L$4,L$5)/12),2))</f>
        <v/>
      </c>
      <c r="AR136">
        <f>IF(M135&lt;=0,0,ROUND(M135*(1+IF(AND(M$6&gt;0,$B136&lt;M$6),M$4,M$5)/12),2))</f>
        <v/>
      </c>
      <c r="AS136">
        <f>IF(N135&lt;=0,0,ROUND(N135*(1+IF(AND(N$6&gt;0,$B136&lt;N$6),N$4,N$5)/12),2))</f>
        <v/>
      </c>
    </row>
    <row r="137">
      <c r="A137" t="n">
        <v>126</v>
      </c>
      <c r="B137">
        <f>EDATE(Plan!$C$6,125)</f>
        <v/>
      </c>
      <c r="C137">
        <f>IF(C136&lt;=0,0,MAX(0,AH137-O137))</f>
        <v/>
      </c>
      <c r="D137">
        <f>IF(D136&lt;=0,0,MAX(0,AI137-P137))</f>
        <v/>
      </c>
      <c r="E137">
        <f>IF(E136&lt;=0,0,MAX(0,AJ137-Q137))</f>
        <v/>
      </c>
      <c r="F137">
        <f>IF(F136&lt;=0,0,MAX(0,AK137-R137))</f>
        <v/>
      </c>
      <c r="G137">
        <f>IF(G136&lt;=0,0,MAX(0,AL137-S137))</f>
        <v/>
      </c>
      <c r="H137">
        <f>IF(H136&lt;=0,0,MAX(0,AM137-T137))</f>
        <v/>
      </c>
      <c r="I137">
        <f>IF(I136&lt;=0,0,MAX(0,AN137-U137))</f>
        <v/>
      </c>
      <c r="J137">
        <f>IF(J136&lt;=0,0,MAX(0,AO137-V137))</f>
        <v/>
      </c>
      <c r="K137">
        <f>IF(K136&lt;=0,0,MAX(0,AP137-W137))</f>
        <v/>
      </c>
      <c r="L137">
        <f>IF(L136&lt;=0,0,MAX(0,AQ137-X137))</f>
        <v/>
      </c>
      <c r="M137">
        <f>IF(M136&lt;=0,0,MAX(0,AR137-Y137))</f>
        <v/>
      </c>
      <c r="N137">
        <f>IF(N136&lt;=0,0,MAX(0,AS137-Z137))</f>
        <v/>
      </c>
      <c r="O137">
        <f>IF(C136&lt;=0,0,MIN(AH137,C$7+IF(C$2=$AA137,$AC137,IF(C$2=$AF137,$AG137,0))))</f>
        <v/>
      </c>
      <c r="P137">
        <f>IF(D136&lt;=0,0,MIN(AI137,D$7+IF(D$2=$AA137,$AC137,IF(D$2=$AF137,$AG137,0))))</f>
        <v/>
      </c>
      <c r="Q137">
        <f>IF(E136&lt;=0,0,MIN(AJ137,E$7+IF(E$2=$AA137,$AC137,IF(E$2=$AF137,$AG137,0))))</f>
        <v/>
      </c>
      <c r="R137">
        <f>IF(F136&lt;=0,0,MIN(AK137,F$7+IF(F$2=$AA137,$AC137,IF(F$2=$AF137,$AG137,0))))</f>
        <v/>
      </c>
      <c r="S137">
        <f>IF(G136&lt;=0,0,MIN(AL137,G$7+IF(G$2=$AA137,$AC137,IF(G$2=$AF137,$AG137,0))))</f>
        <v/>
      </c>
      <c r="T137">
        <f>IF(H136&lt;=0,0,MIN(AM137,H$7+IF(H$2=$AA137,$AC137,IF(H$2=$AF137,$AG137,0))))</f>
        <v/>
      </c>
      <c r="U137">
        <f>IF(I136&lt;=0,0,MIN(AN137,I$7+IF(I$2=$AA137,$AC137,IF(I$2=$AF137,$AG137,0))))</f>
        <v/>
      </c>
      <c r="V137">
        <f>IF(J136&lt;=0,0,MIN(AO137,J$7+IF(J$2=$AA137,$AC137,IF(J$2=$AF137,$AG137,0))))</f>
        <v/>
      </c>
      <c r="W137">
        <f>IF(K136&lt;=0,0,MIN(AP137,K$7+IF(K$2=$AA137,$AC137,IF(K$2=$AF137,$AG137,0))))</f>
        <v/>
      </c>
      <c r="X137">
        <f>IF(L136&lt;=0,0,MIN(AQ137,L$7+IF(L$2=$AA137,$AC137,IF(L$2=$AF137,$AG137,0))))</f>
        <v/>
      </c>
      <c r="Y137">
        <f>IF(M136&lt;=0,0,MIN(AR137,M$7+IF(M$2=$AA137,$AC137,IF(M$2=$AF137,$AG137,0))))</f>
        <v/>
      </c>
      <c r="Z137">
        <f>IF(N136&lt;=0,0,MIN(AS137,N$7+IF(N$2=$AA137,$AC137,IF(N$2=$AF137,$AG137,0))))</f>
        <v/>
      </c>
      <c r="AA137">
        <f>IFERROR(ROUND(1/SUMPRODUCT(MAX((C136:N136&gt;0)*($C$3:$N$3&lt;=B137)/$C$2:$N$2)),0),0)</f>
        <v/>
      </c>
      <c r="AB137">
        <f>SUMPRODUCT((C136:N136&gt;0)*$C$7:$N$7)</f>
        <v/>
      </c>
      <c r="AC137">
        <f>MAX(0,Plan!$C$5-AB137)+IF(A137=Plan!$C$8,N(Plan!$C$7),0)</f>
        <v/>
      </c>
      <c r="AD137">
        <f>SUM(C137:N137)</f>
        <v/>
      </c>
      <c r="AE137">
        <f>SUM(O137:Z137)</f>
        <v/>
      </c>
      <c r="AF137">
        <f>IFERROR(ROUND(1/SUMPRODUCT(MAX((C136:N136&gt;0)*($C$3:$N$3&lt;=B137)*($C$2:$N$2&gt;AA137)/$C$2:$N$2)),0),0)</f>
        <v/>
      </c>
      <c r="AG137">
        <f>MAX(0,AC137-MAX(0,SUMPRODUCT(($C$2:$N$2=AA137)*(AH137:AS137-$C$7:$N$7))))</f>
        <v/>
      </c>
      <c r="AH137">
        <f>IF(C136&lt;=0,0,ROUND(C136*(1+IF(AND(C$6&gt;0,$B137&lt;C$6),C$4,C$5)/12),2))</f>
        <v/>
      </c>
      <c r="AI137">
        <f>IF(D136&lt;=0,0,ROUND(D136*(1+IF(AND(D$6&gt;0,$B137&lt;D$6),D$4,D$5)/12),2))</f>
        <v/>
      </c>
      <c r="AJ137">
        <f>IF(E136&lt;=0,0,ROUND(E136*(1+IF(AND(E$6&gt;0,$B137&lt;E$6),E$4,E$5)/12),2))</f>
        <v/>
      </c>
      <c r="AK137">
        <f>IF(F136&lt;=0,0,ROUND(F136*(1+IF(AND(F$6&gt;0,$B137&lt;F$6),F$4,F$5)/12),2))</f>
        <v/>
      </c>
      <c r="AL137">
        <f>IF(G136&lt;=0,0,ROUND(G136*(1+IF(AND(G$6&gt;0,$B137&lt;G$6),G$4,G$5)/12),2))</f>
        <v/>
      </c>
      <c r="AM137">
        <f>IF(H136&lt;=0,0,ROUND(H136*(1+IF(AND(H$6&gt;0,$B137&lt;H$6),H$4,H$5)/12),2))</f>
        <v/>
      </c>
      <c r="AN137">
        <f>IF(I136&lt;=0,0,ROUND(I136*(1+IF(AND(I$6&gt;0,$B137&lt;I$6),I$4,I$5)/12),2))</f>
        <v/>
      </c>
      <c r="AO137">
        <f>IF(J136&lt;=0,0,ROUND(J136*(1+IF(AND(J$6&gt;0,$B137&lt;J$6),J$4,J$5)/12),2))</f>
        <v/>
      </c>
      <c r="AP137">
        <f>IF(K136&lt;=0,0,ROUND(K136*(1+IF(AND(K$6&gt;0,$B137&lt;K$6),K$4,K$5)/12),2))</f>
        <v/>
      </c>
      <c r="AQ137">
        <f>IF(L136&lt;=0,0,ROUND(L136*(1+IF(AND(L$6&gt;0,$B137&lt;L$6),L$4,L$5)/12),2))</f>
        <v/>
      </c>
      <c r="AR137">
        <f>IF(M136&lt;=0,0,ROUND(M136*(1+IF(AND(M$6&gt;0,$B137&lt;M$6),M$4,M$5)/12),2))</f>
        <v/>
      </c>
      <c r="AS137">
        <f>IF(N136&lt;=0,0,ROUND(N136*(1+IF(AND(N$6&gt;0,$B137&lt;N$6),N$4,N$5)/12),2))</f>
        <v/>
      </c>
    </row>
    <row r="138">
      <c r="A138" t="n">
        <v>127</v>
      </c>
      <c r="B138">
        <f>EDATE(Plan!$C$6,126)</f>
        <v/>
      </c>
      <c r="C138">
        <f>IF(C137&lt;=0,0,MAX(0,AH138-O138))</f>
        <v/>
      </c>
      <c r="D138">
        <f>IF(D137&lt;=0,0,MAX(0,AI138-P138))</f>
        <v/>
      </c>
      <c r="E138">
        <f>IF(E137&lt;=0,0,MAX(0,AJ138-Q138))</f>
        <v/>
      </c>
      <c r="F138">
        <f>IF(F137&lt;=0,0,MAX(0,AK138-R138))</f>
        <v/>
      </c>
      <c r="G138">
        <f>IF(G137&lt;=0,0,MAX(0,AL138-S138))</f>
        <v/>
      </c>
      <c r="H138">
        <f>IF(H137&lt;=0,0,MAX(0,AM138-T138))</f>
        <v/>
      </c>
      <c r="I138">
        <f>IF(I137&lt;=0,0,MAX(0,AN138-U138))</f>
        <v/>
      </c>
      <c r="J138">
        <f>IF(J137&lt;=0,0,MAX(0,AO138-V138))</f>
        <v/>
      </c>
      <c r="K138">
        <f>IF(K137&lt;=0,0,MAX(0,AP138-W138))</f>
        <v/>
      </c>
      <c r="L138">
        <f>IF(L137&lt;=0,0,MAX(0,AQ138-X138))</f>
        <v/>
      </c>
      <c r="M138">
        <f>IF(M137&lt;=0,0,MAX(0,AR138-Y138))</f>
        <v/>
      </c>
      <c r="N138">
        <f>IF(N137&lt;=0,0,MAX(0,AS138-Z138))</f>
        <v/>
      </c>
      <c r="O138">
        <f>IF(C137&lt;=0,0,MIN(AH138,C$7+IF(C$2=$AA138,$AC138,IF(C$2=$AF138,$AG138,0))))</f>
        <v/>
      </c>
      <c r="P138">
        <f>IF(D137&lt;=0,0,MIN(AI138,D$7+IF(D$2=$AA138,$AC138,IF(D$2=$AF138,$AG138,0))))</f>
        <v/>
      </c>
      <c r="Q138">
        <f>IF(E137&lt;=0,0,MIN(AJ138,E$7+IF(E$2=$AA138,$AC138,IF(E$2=$AF138,$AG138,0))))</f>
        <v/>
      </c>
      <c r="R138">
        <f>IF(F137&lt;=0,0,MIN(AK138,F$7+IF(F$2=$AA138,$AC138,IF(F$2=$AF138,$AG138,0))))</f>
        <v/>
      </c>
      <c r="S138">
        <f>IF(G137&lt;=0,0,MIN(AL138,G$7+IF(G$2=$AA138,$AC138,IF(G$2=$AF138,$AG138,0))))</f>
        <v/>
      </c>
      <c r="T138">
        <f>IF(H137&lt;=0,0,MIN(AM138,H$7+IF(H$2=$AA138,$AC138,IF(H$2=$AF138,$AG138,0))))</f>
        <v/>
      </c>
      <c r="U138">
        <f>IF(I137&lt;=0,0,MIN(AN138,I$7+IF(I$2=$AA138,$AC138,IF(I$2=$AF138,$AG138,0))))</f>
        <v/>
      </c>
      <c r="V138">
        <f>IF(J137&lt;=0,0,MIN(AO138,J$7+IF(J$2=$AA138,$AC138,IF(J$2=$AF138,$AG138,0))))</f>
        <v/>
      </c>
      <c r="W138">
        <f>IF(K137&lt;=0,0,MIN(AP138,K$7+IF(K$2=$AA138,$AC138,IF(K$2=$AF138,$AG138,0))))</f>
        <v/>
      </c>
      <c r="X138">
        <f>IF(L137&lt;=0,0,MIN(AQ138,L$7+IF(L$2=$AA138,$AC138,IF(L$2=$AF138,$AG138,0))))</f>
        <v/>
      </c>
      <c r="Y138">
        <f>IF(M137&lt;=0,0,MIN(AR138,M$7+IF(M$2=$AA138,$AC138,IF(M$2=$AF138,$AG138,0))))</f>
        <v/>
      </c>
      <c r="Z138">
        <f>IF(N137&lt;=0,0,MIN(AS138,N$7+IF(N$2=$AA138,$AC138,IF(N$2=$AF138,$AG138,0))))</f>
        <v/>
      </c>
      <c r="AA138">
        <f>IFERROR(ROUND(1/SUMPRODUCT(MAX((C137:N137&gt;0)*($C$3:$N$3&lt;=B138)/$C$2:$N$2)),0),0)</f>
        <v/>
      </c>
      <c r="AB138">
        <f>SUMPRODUCT((C137:N137&gt;0)*$C$7:$N$7)</f>
        <v/>
      </c>
      <c r="AC138">
        <f>MAX(0,Plan!$C$5-AB138)+IF(A138=Plan!$C$8,N(Plan!$C$7),0)</f>
        <v/>
      </c>
      <c r="AD138">
        <f>SUM(C138:N138)</f>
        <v/>
      </c>
      <c r="AE138">
        <f>SUM(O138:Z138)</f>
        <v/>
      </c>
      <c r="AF138">
        <f>IFERROR(ROUND(1/SUMPRODUCT(MAX((C137:N137&gt;0)*($C$3:$N$3&lt;=B138)*($C$2:$N$2&gt;AA138)/$C$2:$N$2)),0),0)</f>
        <v/>
      </c>
      <c r="AG138">
        <f>MAX(0,AC138-MAX(0,SUMPRODUCT(($C$2:$N$2=AA138)*(AH138:AS138-$C$7:$N$7))))</f>
        <v/>
      </c>
      <c r="AH138">
        <f>IF(C137&lt;=0,0,ROUND(C137*(1+IF(AND(C$6&gt;0,$B138&lt;C$6),C$4,C$5)/12),2))</f>
        <v/>
      </c>
      <c r="AI138">
        <f>IF(D137&lt;=0,0,ROUND(D137*(1+IF(AND(D$6&gt;0,$B138&lt;D$6),D$4,D$5)/12),2))</f>
        <v/>
      </c>
      <c r="AJ138">
        <f>IF(E137&lt;=0,0,ROUND(E137*(1+IF(AND(E$6&gt;0,$B138&lt;E$6),E$4,E$5)/12),2))</f>
        <v/>
      </c>
      <c r="AK138">
        <f>IF(F137&lt;=0,0,ROUND(F137*(1+IF(AND(F$6&gt;0,$B138&lt;F$6),F$4,F$5)/12),2))</f>
        <v/>
      </c>
      <c r="AL138">
        <f>IF(G137&lt;=0,0,ROUND(G137*(1+IF(AND(G$6&gt;0,$B138&lt;G$6),G$4,G$5)/12),2))</f>
        <v/>
      </c>
      <c r="AM138">
        <f>IF(H137&lt;=0,0,ROUND(H137*(1+IF(AND(H$6&gt;0,$B138&lt;H$6),H$4,H$5)/12),2))</f>
        <v/>
      </c>
      <c r="AN138">
        <f>IF(I137&lt;=0,0,ROUND(I137*(1+IF(AND(I$6&gt;0,$B138&lt;I$6),I$4,I$5)/12),2))</f>
        <v/>
      </c>
      <c r="AO138">
        <f>IF(J137&lt;=0,0,ROUND(J137*(1+IF(AND(J$6&gt;0,$B138&lt;J$6),J$4,J$5)/12),2))</f>
        <v/>
      </c>
      <c r="AP138">
        <f>IF(K137&lt;=0,0,ROUND(K137*(1+IF(AND(K$6&gt;0,$B138&lt;K$6),K$4,K$5)/12),2))</f>
        <v/>
      </c>
      <c r="AQ138">
        <f>IF(L137&lt;=0,0,ROUND(L137*(1+IF(AND(L$6&gt;0,$B138&lt;L$6),L$4,L$5)/12),2))</f>
        <v/>
      </c>
      <c r="AR138">
        <f>IF(M137&lt;=0,0,ROUND(M137*(1+IF(AND(M$6&gt;0,$B138&lt;M$6),M$4,M$5)/12),2))</f>
        <v/>
      </c>
      <c r="AS138">
        <f>IF(N137&lt;=0,0,ROUND(N137*(1+IF(AND(N$6&gt;0,$B138&lt;N$6),N$4,N$5)/12),2))</f>
        <v/>
      </c>
    </row>
    <row r="139">
      <c r="A139" t="n">
        <v>128</v>
      </c>
      <c r="B139">
        <f>EDATE(Plan!$C$6,127)</f>
        <v/>
      </c>
      <c r="C139">
        <f>IF(C138&lt;=0,0,MAX(0,AH139-O139))</f>
        <v/>
      </c>
      <c r="D139">
        <f>IF(D138&lt;=0,0,MAX(0,AI139-P139))</f>
        <v/>
      </c>
      <c r="E139">
        <f>IF(E138&lt;=0,0,MAX(0,AJ139-Q139))</f>
        <v/>
      </c>
      <c r="F139">
        <f>IF(F138&lt;=0,0,MAX(0,AK139-R139))</f>
        <v/>
      </c>
      <c r="G139">
        <f>IF(G138&lt;=0,0,MAX(0,AL139-S139))</f>
        <v/>
      </c>
      <c r="H139">
        <f>IF(H138&lt;=0,0,MAX(0,AM139-T139))</f>
        <v/>
      </c>
      <c r="I139">
        <f>IF(I138&lt;=0,0,MAX(0,AN139-U139))</f>
        <v/>
      </c>
      <c r="J139">
        <f>IF(J138&lt;=0,0,MAX(0,AO139-V139))</f>
        <v/>
      </c>
      <c r="K139">
        <f>IF(K138&lt;=0,0,MAX(0,AP139-W139))</f>
        <v/>
      </c>
      <c r="L139">
        <f>IF(L138&lt;=0,0,MAX(0,AQ139-X139))</f>
        <v/>
      </c>
      <c r="M139">
        <f>IF(M138&lt;=0,0,MAX(0,AR139-Y139))</f>
        <v/>
      </c>
      <c r="N139">
        <f>IF(N138&lt;=0,0,MAX(0,AS139-Z139))</f>
        <v/>
      </c>
      <c r="O139">
        <f>IF(C138&lt;=0,0,MIN(AH139,C$7+IF(C$2=$AA139,$AC139,IF(C$2=$AF139,$AG139,0))))</f>
        <v/>
      </c>
      <c r="P139">
        <f>IF(D138&lt;=0,0,MIN(AI139,D$7+IF(D$2=$AA139,$AC139,IF(D$2=$AF139,$AG139,0))))</f>
        <v/>
      </c>
      <c r="Q139">
        <f>IF(E138&lt;=0,0,MIN(AJ139,E$7+IF(E$2=$AA139,$AC139,IF(E$2=$AF139,$AG139,0))))</f>
        <v/>
      </c>
      <c r="R139">
        <f>IF(F138&lt;=0,0,MIN(AK139,F$7+IF(F$2=$AA139,$AC139,IF(F$2=$AF139,$AG139,0))))</f>
        <v/>
      </c>
      <c r="S139">
        <f>IF(G138&lt;=0,0,MIN(AL139,G$7+IF(G$2=$AA139,$AC139,IF(G$2=$AF139,$AG139,0))))</f>
        <v/>
      </c>
      <c r="T139">
        <f>IF(H138&lt;=0,0,MIN(AM139,H$7+IF(H$2=$AA139,$AC139,IF(H$2=$AF139,$AG139,0))))</f>
        <v/>
      </c>
      <c r="U139">
        <f>IF(I138&lt;=0,0,MIN(AN139,I$7+IF(I$2=$AA139,$AC139,IF(I$2=$AF139,$AG139,0))))</f>
        <v/>
      </c>
      <c r="V139">
        <f>IF(J138&lt;=0,0,MIN(AO139,J$7+IF(J$2=$AA139,$AC139,IF(J$2=$AF139,$AG139,0))))</f>
        <v/>
      </c>
      <c r="W139">
        <f>IF(K138&lt;=0,0,MIN(AP139,K$7+IF(K$2=$AA139,$AC139,IF(K$2=$AF139,$AG139,0))))</f>
        <v/>
      </c>
      <c r="X139">
        <f>IF(L138&lt;=0,0,MIN(AQ139,L$7+IF(L$2=$AA139,$AC139,IF(L$2=$AF139,$AG139,0))))</f>
        <v/>
      </c>
      <c r="Y139">
        <f>IF(M138&lt;=0,0,MIN(AR139,M$7+IF(M$2=$AA139,$AC139,IF(M$2=$AF139,$AG139,0))))</f>
        <v/>
      </c>
      <c r="Z139">
        <f>IF(N138&lt;=0,0,MIN(AS139,N$7+IF(N$2=$AA139,$AC139,IF(N$2=$AF139,$AG139,0))))</f>
        <v/>
      </c>
      <c r="AA139">
        <f>IFERROR(ROUND(1/SUMPRODUCT(MAX((C138:N138&gt;0)*($C$3:$N$3&lt;=B139)/$C$2:$N$2)),0),0)</f>
        <v/>
      </c>
      <c r="AB139">
        <f>SUMPRODUCT((C138:N138&gt;0)*$C$7:$N$7)</f>
        <v/>
      </c>
      <c r="AC139">
        <f>MAX(0,Plan!$C$5-AB139)+IF(A139=Plan!$C$8,N(Plan!$C$7),0)</f>
        <v/>
      </c>
      <c r="AD139">
        <f>SUM(C139:N139)</f>
        <v/>
      </c>
      <c r="AE139">
        <f>SUM(O139:Z139)</f>
        <v/>
      </c>
      <c r="AF139">
        <f>IFERROR(ROUND(1/SUMPRODUCT(MAX((C138:N138&gt;0)*($C$3:$N$3&lt;=B139)*($C$2:$N$2&gt;AA139)/$C$2:$N$2)),0),0)</f>
        <v/>
      </c>
      <c r="AG139">
        <f>MAX(0,AC139-MAX(0,SUMPRODUCT(($C$2:$N$2=AA139)*(AH139:AS139-$C$7:$N$7))))</f>
        <v/>
      </c>
      <c r="AH139">
        <f>IF(C138&lt;=0,0,ROUND(C138*(1+IF(AND(C$6&gt;0,$B139&lt;C$6),C$4,C$5)/12),2))</f>
        <v/>
      </c>
      <c r="AI139">
        <f>IF(D138&lt;=0,0,ROUND(D138*(1+IF(AND(D$6&gt;0,$B139&lt;D$6),D$4,D$5)/12),2))</f>
        <v/>
      </c>
      <c r="AJ139">
        <f>IF(E138&lt;=0,0,ROUND(E138*(1+IF(AND(E$6&gt;0,$B139&lt;E$6),E$4,E$5)/12),2))</f>
        <v/>
      </c>
      <c r="AK139">
        <f>IF(F138&lt;=0,0,ROUND(F138*(1+IF(AND(F$6&gt;0,$B139&lt;F$6),F$4,F$5)/12),2))</f>
        <v/>
      </c>
      <c r="AL139">
        <f>IF(G138&lt;=0,0,ROUND(G138*(1+IF(AND(G$6&gt;0,$B139&lt;G$6),G$4,G$5)/12),2))</f>
        <v/>
      </c>
      <c r="AM139">
        <f>IF(H138&lt;=0,0,ROUND(H138*(1+IF(AND(H$6&gt;0,$B139&lt;H$6),H$4,H$5)/12),2))</f>
        <v/>
      </c>
      <c r="AN139">
        <f>IF(I138&lt;=0,0,ROUND(I138*(1+IF(AND(I$6&gt;0,$B139&lt;I$6),I$4,I$5)/12),2))</f>
        <v/>
      </c>
      <c r="AO139">
        <f>IF(J138&lt;=0,0,ROUND(J138*(1+IF(AND(J$6&gt;0,$B139&lt;J$6),J$4,J$5)/12),2))</f>
        <v/>
      </c>
      <c r="AP139">
        <f>IF(K138&lt;=0,0,ROUND(K138*(1+IF(AND(K$6&gt;0,$B139&lt;K$6),K$4,K$5)/12),2))</f>
        <v/>
      </c>
      <c r="AQ139">
        <f>IF(L138&lt;=0,0,ROUND(L138*(1+IF(AND(L$6&gt;0,$B139&lt;L$6),L$4,L$5)/12),2))</f>
        <v/>
      </c>
      <c r="AR139">
        <f>IF(M138&lt;=0,0,ROUND(M138*(1+IF(AND(M$6&gt;0,$B139&lt;M$6),M$4,M$5)/12),2))</f>
        <v/>
      </c>
      <c r="AS139">
        <f>IF(N138&lt;=0,0,ROUND(N138*(1+IF(AND(N$6&gt;0,$B139&lt;N$6),N$4,N$5)/12),2))</f>
        <v/>
      </c>
    </row>
    <row r="140">
      <c r="A140" t="n">
        <v>129</v>
      </c>
      <c r="B140">
        <f>EDATE(Plan!$C$6,128)</f>
        <v/>
      </c>
      <c r="C140">
        <f>IF(C139&lt;=0,0,MAX(0,AH140-O140))</f>
        <v/>
      </c>
      <c r="D140">
        <f>IF(D139&lt;=0,0,MAX(0,AI140-P140))</f>
        <v/>
      </c>
      <c r="E140">
        <f>IF(E139&lt;=0,0,MAX(0,AJ140-Q140))</f>
        <v/>
      </c>
      <c r="F140">
        <f>IF(F139&lt;=0,0,MAX(0,AK140-R140))</f>
        <v/>
      </c>
      <c r="G140">
        <f>IF(G139&lt;=0,0,MAX(0,AL140-S140))</f>
        <v/>
      </c>
      <c r="H140">
        <f>IF(H139&lt;=0,0,MAX(0,AM140-T140))</f>
        <v/>
      </c>
      <c r="I140">
        <f>IF(I139&lt;=0,0,MAX(0,AN140-U140))</f>
        <v/>
      </c>
      <c r="J140">
        <f>IF(J139&lt;=0,0,MAX(0,AO140-V140))</f>
        <v/>
      </c>
      <c r="K140">
        <f>IF(K139&lt;=0,0,MAX(0,AP140-W140))</f>
        <v/>
      </c>
      <c r="L140">
        <f>IF(L139&lt;=0,0,MAX(0,AQ140-X140))</f>
        <v/>
      </c>
      <c r="M140">
        <f>IF(M139&lt;=0,0,MAX(0,AR140-Y140))</f>
        <v/>
      </c>
      <c r="N140">
        <f>IF(N139&lt;=0,0,MAX(0,AS140-Z140))</f>
        <v/>
      </c>
      <c r="O140">
        <f>IF(C139&lt;=0,0,MIN(AH140,C$7+IF(C$2=$AA140,$AC140,IF(C$2=$AF140,$AG140,0))))</f>
        <v/>
      </c>
      <c r="P140">
        <f>IF(D139&lt;=0,0,MIN(AI140,D$7+IF(D$2=$AA140,$AC140,IF(D$2=$AF140,$AG140,0))))</f>
        <v/>
      </c>
      <c r="Q140">
        <f>IF(E139&lt;=0,0,MIN(AJ140,E$7+IF(E$2=$AA140,$AC140,IF(E$2=$AF140,$AG140,0))))</f>
        <v/>
      </c>
      <c r="R140">
        <f>IF(F139&lt;=0,0,MIN(AK140,F$7+IF(F$2=$AA140,$AC140,IF(F$2=$AF140,$AG140,0))))</f>
        <v/>
      </c>
      <c r="S140">
        <f>IF(G139&lt;=0,0,MIN(AL140,G$7+IF(G$2=$AA140,$AC140,IF(G$2=$AF140,$AG140,0))))</f>
        <v/>
      </c>
      <c r="T140">
        <f>IF(H139&lt;=0,0,MIN(AM140,H$7+IF(H$2=$AA140,$AC140,IF(H$2=$AF140,$AG140,0))))</f>
        <v/>
      </c>
      <c r="U140">
        <f>IF(I139&lt;=0,0,MIN(AN140,I$7+IF(I$2=$AA140,$AC140,IF(I$2=$AF140,$AG140,0))))</f>
        <v/>
      </c>
      <c r="V140">
        <f>IF(J139&lt;=0,0,MIN(AO140,J$7+IF(J$2=$AA140,$AC140,IF(J$2=$AF140,$AG140,0))))</f>
        <v/>
      </c>
      <c r="W140">
        <f>IF(K139&lt;=0,0,MIN(AP140,K$7+IF(K$2=$AA140,$AC140,IF(K$2=$AF140,$AG140,0))))</f>
        <v/>
      </c>
      <c r="X140">
        <f>IF(L139&lt;=0,0,MIN(AQ140,L$7+IF(L$2=$AA140,$AC140,IF(L$2=$AF140,$AG140,0))))</f>
        <v/>
      </c>
      <c r="Y140">
        <f>IF(M139&lt;=0,0,MIN(AR140,M$7+IF(M$2=$AA140,$AC140,IF(M$2=$AF140,$AG140,0))))</f>
        <v/>
      </c>
      <c r="Z140">
        <f>IF(N139&lt;=0,0,MIN(AS140,N$7+IF(N$2=$AA140,$AC140,IF(N$2=$AF140,$AG140,0))))</f>
        <v/>
      </c>
      <c r="AA140">
        <f>IFERROR(ROUND(1/SUMPRODUCT(MAX((C139:N139&gt;0)*($C$3:$N$3&lt;=B140)/$C$2:$N$2)),0),0)</f>
        <v/>
      </c>
      <c r="AB140">
        <f>SUMPRODUCT((C139:N139&gt;0)*$C$7:$N$7)</f>
        <v/>
      </c>
      <c r="AC140">
        <f>MAX(0,Plan!$C$5-AB140)+IF(A140=Plan!$C$8,N(Plan!$C$7),0)</f>
        <v/>
      </c>
      <c r="AD140">
        <f>SUM(C140:N140)</f>
        <v/>
      </c>
      <c r="AE140">
        <f>SUM(O140:Z140)</f>
        <v/>
      </c>
      <c r="AF140">
        <f>IFERROR(ROUND(1/SUMPRODUCT(MAX((C139:N139&gt;0)*($C$3:$N$3&lt;=B140)*($C$2:$N$2&gt;AA140)/$C$2:$N$2)),0),0)</f>
        <v/>
      </c>
      <c r="AG140">
        <f>MAX(0,AC140-MAX(0,SUMPRODUCT(($C$2:$N$2=AA140)*(AH140:AS140-$C$7:$N$7))))</f>
        <v/>
      </c>
      <c r="AH140">
        <f>IF(C139&lt;=0,0,ROUND(C139*(1+IF(AND(C$6&gt;0,$B140&lt;C$6),C$4,C$5)/12),2))</f>
        <v/>
      </c>
      <c r="AI140">
        <f>IF(D139&lt;=0,0,ROUND(D139*(1+IF(AND(D$6&gt;0,$B140&lt;D$6),D$4,D$5)/12),2))</f>
        <v/>
      </c>
      <c r="AJ140">
        <f>IF(E139&lt;=0,0,ROUND(E139*(1+IF(AND(E$6&gt;0,$B140&lt;E$6),E$4,E$5)/12),2))</f>
        <v/>
      </c>
      <c r="AK140">
        <f>IF(F139&lt;=0,0,ROUND(F139*(1+IF(AND(F$6&gt;0,$B140&lt;F$6),F$4,F$5)/12),2))</f>
        <v/>
      </c>
      <c r="AL140">
        <f>IF(G139&lt;=0,0,ROUND(G139*(1+IF(AND(G$6&gt;0,$B140&lt;G$6),G$4,G$5)/12),2))</f>
        <v/>
      </c>
      <c r="AM140">
        <f>IF(H139&lt;=0,0,ROUND(H139*(1+IF(AND(H$6&gt;0,$B140&lt;H$6),H$4,H$5)/12),2))</f>
        <v/>
      </c>
      <c r="AN140">
        <f>IF(I139&lt;=0,0,ROUND(I139*(1+IF(AND(I$6&gt;0,$B140&lt;I$6),I$4,I$5)/12),2))</f>
        <v/>
      </c>
      <c r="AO140">
        <f>IF(J139&lt;=0,0,ROUND(J139*(1+IF(AND(J$6&gt;0,$B140&lt;J$6),J$4,J$5)/12),2))</f>
        <v/>
      </c>
      <c r="AP140">
        <f>IF(K139&lt;=0,0,ROUND(K139*(1+IF(AND(K$6&gt;0,$B140&lt;K$6),K$4,K$5)/12),2))</f>
        <v/>
      </c>
      <c r="AQ140">
        <f>IF(L139&lt;=0,0,ROUND(L139*(1+IF(AND(L$6&gt;0,$B140&lt;L$6),L$4,L$5)/12),2))</f>
        <v/>
      </c>
      <c r="AR140">
        <f>IF(M139&lt;=0,0,ROUND(M139*(1+IF(AND(M$6&gt;0,$B140&lt;M$6),M$4,M$5)/12),2))</f>
        <v/>
      </c>
      <c r="AS140">
        <f>IF(N139&lt;=0,0,ROUND(N139*(1+IF(AND(N$6&gt;0,$B140&lt;N$6),N$4,N$5)/12),2))</f>
        <v/>
      </c>
    </row>
    <row r="141">
      <c r="A141" t="n">
        <v>130</v>
      </c>
      <c r="B141">
        <f>EDATE(Plan!$C$6,129)</f>
        <v/>
      </c>
      <c r="C141">
        <f>IF(C140&lt;=0,0,MAX(0,AH141-O141))</f>
        <v/>
      </c>
      <c r="D141">
        <f>IF(D140&lt;=0,0,MAX(0,AI141-P141))</f>
        <v/>
      </c>
      <c r="E141">
        <f>IF(E140&lt;=0,0,MAX(0,AJ141-Q141))</f>
        <v/>
      </c>
      <c r="F141">
        <f>IF(F140&lt;=0,0,MAX(0,AK141-R141))</f>
        <v/>
      </c>
      <c r="G141">
        <f>IF(G140&lt;=0,0,MAX(0,AL141-S141))</f>
        <v/>
      </c>
      <c r="H141">
        <f>IF(H140&lt;=0,0,MAX(0,AM141-T141))</f>
        <v/>
      </c>
      <c r="I141">
        <f>IF(I140&lt;=0,0,MAX(0,AN141-U141))</f>
        <v/>
      </c>
      <c r="J141">
        <f>IF(J140&lt;=0,0,MAX(0,AO141-V141))</f>
        <v/>
      </c>
      <c r="K141">
        <f>IF(K140&lt;=0,0,MAX(0,AP141-W141))</f>
        <v/>
      </c>
      <c r="L141">
        <f>IF(L140&lt;=0,0,MAX(0,AQ141-X141))</f>
        <v/>
      </c>
      <c r="M141">
        <f>IF(M140&lt;=0,0,MAX(0,AR141-Y141))</f>
        <v/>
      </c>
      <c r="N141">
        <f>IF(N140&lt;=0,0,MAX(0,AS141-Z141))</f>
        <v/>
      </c>
      <c r="O141">
        <f>IF(C140&lt;=0,0,MIN(AH141,C$7+IF(C$2=$AA141,$AC141,IF(C$2=$AF141,$AG141,0))))</f>
        <v/>
      </c>
      <c r="P141">
        <f>IF(D140&lt;=0,0,MIN(AI141,D$7+IF(D$2=$AA141,$AC141,IF(D$2=$AF141,$AG141,0))))</f>
        <v/>
      </c>
      <c r="Q141">
        <f>IF(E140&lt;=0,0,MIN(AJ141,E$7+IF(E$2=$AA141,$AC141,IF(E$2=$AF141,$AG141,0))))</f>
        <v/>
      </c>
      <c r="R141">
        <f>IF(F140&lt;=0,0,MIN(AK141,F$7+IF(F$2=$AA141,$AC141,IF(F$2=$AF141,$AG141,0))))</f>
        <v/>
      </c>
      <c r="S141">
        <f>IF(G140&lt;=0,0,MIN(AL141,G$7+IF(G$2=$AA141,$AC141,IF(G$2=$AF141,$AG141,0))))</f>
        <v/>
      </c>
      <c r="T141">
        <f>IF(H140&lt;=0,0,MIN(AM141,H$7+IF(H$2=$AA141,$AC141,IF(H$2=$AF141,$AG141,0))))</f>
        <v/>
      </c>
      <c r="U141">
        <f>IF(I140&lt;=0,0,MIN(AN141,I$7+IF(I$2=$AA141,$AC141,IF(I$2=$AF141,$AG141,0))))</f>
        <v/>
      </c>
      <c r="V141">
        <f>IF(J140&lt;=0,0,MIN(AO141,J$7+IF(J$2=$AA141,$AC141,IF(J$2=$AF141,$AG141,0))))</f>
        <v/>
      </c>
      <c r="W141">
        <f>IF(K140&lt;=0,0,MIN(AP141,K$7+IF(K$2=$AA141,$AC141,IF(K$2=$AF141,$AG141,0))))</f>
        <v/>
      </c>
      <c r="X141">
        <f>IF(L140&lt;=0,0,MIN(AQ141,L$7+IF(L$2=$AA141,$AC141,IF(L$2=$AF141,$AG141,0))))</f>
        <v/>
      </c>
      <c r="Y141">
        <f>IF(M140&lt;=0,0,MIN(AR141,M$7+IF(M$2=$AA141,$AC141,IF(M$2=$AF141,$AG141,0))))</f>
        <v/>
      </c>
      <c r="Z141">
        <f>IF(N140&lt;=0,0,MIN(AS141,N$7+IF(N$2=$AA141,$AC141,IF(N$2=$AF141,$AG141,0))))</f>
        <v/>
      </c>
      <c r="AA141">
        <f>IFERROR(ROUND(1/SUMPRODUCT(MAX((C140:N140&gt;0)*($C$3:$N$3&lt;=B141)/$C$2:$N$2)),0),0)</f>
        <v/>
      </c>
      <c r="AB141">
        <f>SUMPRODUCT((C140:N140&gt;0)*$C$7:$N$7)</f>
        <v/>
      </c>
      <c r="AC141">
        <f>MAX(0,Plan!$C$5-AB141)+IF(A141=Plan!$C$8,N(Plan!$C$7),0)</f>
        <v/>
      </c>
      <c r="AD141">
        <f>SUM(C141:N141)</f>
        <v/>
      </c>
      <c r="AE141">
        <f>SUM(O141:Z141)</f>
        <v/>
      </c>
      <c r="AF141">
        <f>IFERROR(ROUND(1/SUMPRODUCT(MAX((C140:N140&gt;0)*($C$3:$N$3&lt;=B141)*($C$2:$N$2&gt;AA141)/$C$2:$N$2)),0),0)</f>
        <v/>
      </c>
      <c r="AG141">
        <f>MAX(0,AC141-MAX(0,SUMPRODUCT(($C$2:$N$2=AA141)*(AH141:AS141-$C$7:$N$7))))</f>
        <v/>
      </c>
      <c r="AH141">
        <f>IF(C140&lt;=0,0,ROUND(C140*(1+IF(AND(C$6&gt;0,$B141&lt;C$6),C$4,C$5)/12),2))</f>
        <v/>
      </c>
      <c r="AI141">
        <f>IF(D140&lt;=0,0,ROUND(D140*(1+IF(AND(D$6&gt;0,$B141&lt;D$6),D$4,D$5)/12),2))</f>
        <v/>
      </c>
      <c r="AJ141">
        <f>IF(E140&lt;=0,0,ROUND(E140*(1+IF(AND(E$6&gt;0,$B141&lt;E$6),E$4,E$5)/12),2))</f>
        <v/>
      </c>
      <c r="AK141">
        <f>IF(F140&lt;=0,0,ROUND(F140*(1+IF(AND(F$6&gt;0,$B141&lt;F$6),F$4,F$5)/12),2))</f>
        <v/>
      </c>
      <c r="AL141">
        <f>IF(G140&lt;=0,0,ROUND(G140*(1+IF(AND(G$6&gt;0,$B141&lt;G$6),G$4,G$5)/12),2))</f>
        <v/>
      </c>
      <c r="AM141">
        <f>IF(H140&lt;=0,0,ROUND(H140*(1+IF(AND(H$6&gt;0,$B141&lt;H$6),H$4,H$5)/12),2))</f>
        <v/>
      </c>
      <c r="AN141">
        <f>IF(I140&lt;=0,0,ROUND(I140*(1+IF(AND(I$6&gt;0,$B141&lt;I$6),I$4,I$5)/12),2))</f>
        <v/>
      </c>
      <c r="AO141">
        <f>IF(J140&lt;=0,0,ROUND(J140*(1+IF(AND(J$6&gt;0,$B141&lt;J$6),J$4,J$5)/12),2))</f>
        <v/>
      </c>
      <c r="AP141">
        <f>IF(K140&lt;=0,0,ROUND(K140*(1+IF(AND(K$6&gt;0,$B141&lt;K$6),K$4,K$5)/12),2))</f>
        <v/>
      </c>
      <c r="AQ141">
        <f>IF(L140&lt;=0,0,ROUND(L140*(1+IF(AND(L$6&gt;0,$B141&lt;L$6),L$4,L$5)/12),2))</f>
        <v/>
      </c>
      <c r="AR141">
        <f>IF(M140&lt;=0,0,ROUND(M140*(1+IF(AND(M$6&gt;0,$B141&lt;M$6),M$4,M$5)/12),2))</f>
        <v/>
      </c>
      <c r="AS141">
        <f>IF(N140&lt;=0,0,ROUND(N140*(1+IF(AND(N$6&gt;0,$B141&lt;N$6),N$4,N$5)/12),2))</f>
        <v/>
      </c>
    </row>
    <row r="142">
      <c r="A142" t="n">
        <v>131</v>
      </c>
      <c r="B142">
        <f>EDATE(Plan!$C$6,130)</f>
        <v/>
      </c>
      <c r="C142">
        <f>IF(C141&lt;=0,0,MAX(0,AH142-O142))</f>
        <v/>
      </c>
      <c r="D142">
        <f>IF(D141&lt;=0,0,MAX(0,AI142-P142))</f>
        <v/>
      </c>
      <c r="E142">
        <f>IF(E141&lt;=0,0,MAX(0,AJ142-Q142))</f>
        <v/>
      </c>
      <c r="F142">
        <f>IF(F141&lt;=0,0,MAX(0,AK142-R142))</f>
        <v/>
      </c>
      <c r="G142">
        <f>IF(G141&lt;=0,0,MAX(0,AL142-S142))</f>
        <v/>
      </c>
      <c r="H142">
        <f>IF(H141&lt;=0,0,MAX(0,AM142-T142))</f>
        <v/>
      </c>
      <c r="I142">
        <f>IF(I141&lt;=0,0,MAX(0,AN142-U142))</f>
        <v/>
      </c>
      <c r="J142">
        <f>IF(J141&lt;=0,0,MAX(0,AO142-V142))</f>
        <v/>
      </c>
      <c r="K142">
        <f>IF(K141&lt;=0,0,MAX(0,AP142-W142))</f>
        <v/>
      </c>
      <c r="L142">
        <f>IF(L141&lt;=0,0,MAX(0,AQ142-X142))</f>
        <v/>
      </c>
      <c r="M142">
        <f>IF(M141&lt;=0,0,MAX(0,AR142-Y142))</f>
        <v/>
      </c>
      <c r="N142">
        <f>IF(N141&lt;=0,0,MAX(0,AS142-Z142))</f>
        <v/>
      </c>
      <c r="O142">
        <f>IF(C141&lt;=0,0,MIN(AH142,C$7+IF(C$2=$AA142,$AC142,IF(C$2=$AF142,$AG142,0))))</f>
        <v/>
      </c>
      <c r="P142">
        <f>IF(D141&lt;=0,0,MIN(AI142,D$7+IF(D$2=$AA142,$AC142,IF(D$2=$AF142,$AG142,0))))</f>
        <v/>
      </c>
      <c r="Q142">
        <f>IF(E141&lt;=0,0,MIN(AJ142,E$7+IF(E$2=$AA142,$AC142,IF(E$2=$AF142,$AG142,0))))</f>
        <v/>
      </c>
      <c r="R142">
        <f>IF(F141&lt;=0,0,MIN(AK142,F$7+IF(F$2=$AA142,$AC142,IF(F$2=$AF142,$AG142,0))))</f>
        <v/>
      </c>
      <c r="S142">
        <f>IF(G141&lt;=0,0,MIN(AL142,G$7+IF(G$2=$AA142,$AC142,IF(G$2=$AF142,$AG142,0))))</f>
        <v/>
      </c>
      <c r="T142">
        <f>IF(H141&lt;=0,0,MIN(AM142,H$7+IF(H$2=$AA142,$AC142,IF(H$2=$AF142,$AG142,0))))</f>
        <v/>
      </c>
      <c r="U142">
        <f>IF(I141&lt;=0,0,MIN(AN142,I$7+IF(I$2=$AA142,$AC142,IF(I$2=$AF142,$AG142,0))))</f>
        <v/>
      </c>
      <c r="V142">
        <f>IF(J141&lt;=0,0,MIN(AO142,J$7+IF(J$2=$AA142,$AC142,IF(J$2=$AF142,$AG142,0))))</f>
        <v/>
      </c>
      <c r="W142">
        <f>IF(K141&lt;=0,0,MIN(AP142,K$7+IF(K$2=$AA142,$AC142,IF(K$2=$AF142,$AG142,0))))</f>
        <v/>
      </c>
      <c r="X142">
        <f>IF(L141&lt;=0,0,MIN(AQ142,L$7+IF(L$2=$AA142,$AC142,IF(L$2=$AF142,$AG142,0))))</f>
        <v/>
      </c>
      <c r="Y142">
        <f>IF(M141&lt;=0,0,MIN(AR142,M$7+IF(M$2=$AA142,$AC142,IF(M$2=$AF142,$AG142,0))))</f>
        <v/>
      </c>
      <c r="Z142">
        <f>IF(N141&lt;=0,0,MIN(AS142,N$7+IF(N$2=$AA142,$AC142,IF(N$2=$AF142,$AG142,0))))</f>
        <v/>
      </c>
      <c r="AA142">
        <f>IFERROR(ROUND(1/SUMPRODUCT(MAX((C141:N141&gt;0)*($C$3:$N$3&lt;=B142)/$C$2:$N$2)),0),0)</f>
        <v/>
      </c>
      <c r="AB142">
        <f>SUMPRODUCT((C141:N141&gt;0)*$C$7:$N$7)</f>
        <v/>
      </c>
      <c r="AC142">
        <f>MAX(0,Plan!$C$5-AB142)+IF(A142=Plan!$C$8,N(Plan!$C$7),0)</f>
        <v/>
      </c>
      <c r="AD142">
        <f>SUM(C142:N142)</f>
        <v/>
      </c>
      <c r="AE142">
        <f>SUM(O142:Z142)</f>
        <v/>
      </c>
      <c r="AF142">
        <f>IFERROR(ROUND(1/SUMPRODUCT(MAX((C141:N141&gt;0)*($C$3:$N$3&lt;=B142)*($C$2:$N$2&gt;AA142)/$C$2:$N$2)),0),0)</f>
        <v/>
      </c>
      <c r="AG142">
        <f>MAX(0,AC142-MAX(0,SUMPRODUCT(($C$2:$N$2=AA142)*(AH142:AS142-$C$7:$N$7))))</f>
        <v/>
      </c>
      <c r="AH142">
        <f>IF(C141&lt;=0,0,ROUND(C141*(1+IF(AND(C$6&gt;0,$B142&lt;C$6),C$4,C$5)/12),2))</f>
        <v/>
      </c>
      <c r="AI142">
        <f>IF(D141&lt;=0,0,ROUND(D141*(1+IF(AND(D$6&gt;0,$B142&lt;D$6),D$4,D$5)/12),2))</f>
        <v/>
      </c>
      <c r="AJ142">
        <f>IF(E141&lt;=0,0,ROUND(E141*(1+IF(AND(E$6&gt;0,$B142&lt;E$6),E$4,E$5)/12),2))</f>
        <v/>
      </c>
      <c r="AK142">
        <f>IF(F141&lt;=0,0,ROUND(F141*(1+IF(AND(F$6&gt;0,$B142&lt;F$6),F$4,F$5)/12),2))</f>
        <v/>
      </c>
      <c r="AL142">
        <f>IF(G141&lt;=0,0,ROUND(G141*(1+IF(AND(G$6&gt;0,$B142&lt;G$6),G$4,G$5)/12),2))</f>
        <v/>
      </c>
      <c r="AM142">
        <f>IF(H141&lt;=0,0,ROUND(H141*(1+IF(AND(H$6&gt;0,$B142&lt;H$6),H$4,H$5)/12),2))</f>
        <v/>
      </c>
      <c r="AN142">
        <f>IF(I141&lt;=0,0,ROUND(I141*(1+IF(AND(I$6&gt;0,$B142&lt;I$6),I$4,I$5)/12),2))</f>
        <v/>
      </c>
      <c r="AO142">
        <f>IF(J141&lt;=0,0,ROUND(J141*(1+IF(AND(J$6&gt;0,$B142&lt;J$6),J$4,J$5)/12),2))</f>
        <v/>
      </c>
      <c r="AP142">
        <f>IF(K141&lt;=0,0,ROUND(K141*(1+IF(AND(K$6&gt;0,$B142&lt;K$6),K$4,K$5)/12),2))</f>
        <v/>
      </c>
      <c r="AQ142">
        <f>IF(L141&lt;=0,0,ROUND(L141*(1+IF(AND(L$6&gt;0,$B142&lt;L$6),L$4,L$5)/12),2))</f>
        <v/>
      </c>
      <c r="AR142">
        <f>IF(M141&lt;=0,0,ROUND(M141*(1+IF(AND(M$6&gt;0,$B142&lt;M$6),M$4,M$5)/12),2))</f>
        <v/>
      </c>
      <c r="AS142">
        <f>IF(N141&lt;=0,0,ROUND(N141*(1+IF(AND(N$6&gt;0,$B142&lt;N$6),N$4,N$5)/12),2))</f>
        <v/>
      </c>
    </row>
    <row r="143">
      <c r="A143" t="n">
        <v>132</v>
      </c>
      <c r="B143">
        <f>EDATE(Plan!$C$6,131)</f>
        <v/>
      </c>
      <c r="C143">
        <f>IF(C142&lt;=0,0,MAX(0,AH143-O143))</f>
        <v/>
      </c>
      <c r="D143">
        <f>IF(D142&lt;=0,0,MAX(0,AI143-P143))</f>
        <v/>
      </c>
      <c r="E143">
        <f>IF(E142&lt;=0,0,MAX(0,AJ143-Q143))</f>
        <v/>
      </c>
      <c r="F143">
        <f>IF(F142&lt;=0,0,MAX(0,AK143-R143))</f>
        <v/>
      </c>
      <c r="G143">
        <f>IF(G142&lt;=0,0,MAX(0,AL143-S143))</f>
        <v/>
      </c>
      <c r="H143">
        <f>IF(H142&lt;=0,0,MAX(0,AM143-T143))</f>
        <v/>
      </c>
      <c r="I143">
        <f>IF(I142&lt;=0,0,MAX(0,AN143-U143))</f>
        <v/>
      </c>
      <c r="J143">
        <f>IF(J142&lt;=0,0,MAX(0,AO143-V143))</f>
        <v/>
      </c>
      <c r="K143">
        <f>IF(K142&lt;=0,0,MAX(0,AP143-W143))</f>
        <v/>
      </c>
      <c r="L143">
        <f>IF(L142&lt;=0,0,MAX(0,AQ143-X143))</f>
        <v/>
      </c>
      <c r="M143">
        <f>IF(M142&lt;=0,0,MAX(0,AR143-Y143))</f>
        <v/>
      </c>
      <c r="N143">
        <f>IF(N142&lt;=0,0,MAX(0,AS143-Z143))</f>
        <v/>
      </c>
      <c r="O143">
        <f>IF(C142&lt;=0,0,MIN(AH143,C$7+IF(C$2=$AA143,$AC143,IF(C$2=$AF143,$AG143,0))))</f>
        <v/>
      </c>
      <c r="P143">
        <f>IF(D142&lt;=0,0,MIN(AI143,D$7+IF(D$2=$AA143,$AC143,IF(D$2=$AF143,$AG143,0))))</f>
        <v/>
      </c>
      <c r="Q143">
        <f>IF(E142&lt;=0,0,MIN(AJ143,E$7+IF(E$2=$AA143,$AC143,IF(E$2=$AF143,$AG143,0))))</f>
        <v/>
      </c>
      <c r="R143">
        <f>IF(F142&lt;=0,0,MIN(AK143,F$7+IF(F$2=$AA143,$AC143,IF(F$2=$AF143,$AG143,0))))</f>
        <v/>
      </c>
      <c r="S143">
        <f>IF(G142&lt;=0,0,MIN(AL143,G$7+IF(G$2=$AA143,$AC143,IF(G$2=$AF143,$AG143,0))))</f>
        <v/>
      </c>
      <c r="T143">
        <f>IF(H142&lt;=0,0,MIN(AM143,H$7+IF(H$2=$AA143,$AC143,IF(H$2=$AF143,$AG143,0))))</f>
        <v/>
      </c>
      <c r="U143">
        <f>IF(I142&lt;=0,0,MIN(AN143,I$7+IF(I$2=$AA143,$AC143,IF(I$2=$AF143,$AG143,0))))</f>
        <v/>
      </c>
      <c r="V143">
        <f>IF(J142&lt;=0,0,MIN(AO143,J$7+IF(J$2=$AA143,$AC143,IF(J$2=$AF143,$AG143,0))))</f>
        <v/>
      </c>
      <c r="W143">
        <f>IF(K142&lt;=0,0,MIN(AP143,K$7+IF(K$2=$AA143,$AC143,IF(K$2=$AF143,$AG143,0))))</f>
        <v/>
      </c>
      <c r="X143">
        <f>IF(L142&lt;=0,0,MIN(AQ143,L$7+IF(L$2=$AA143,$AC143,IF(L$2=$AF143,$AG143,0))))</f>
        <v/>
      </c>
      <c r="Y143">
        <f>IF(M142&lt;=0,0,MIN(AR143,M$7+IF(M$2=$AA143,$AC143,IF(M$2=$AF143,$AG143,0))))</f>
        <v/>
      </c>
      <c r="Z143">
        <f>IF(N142&lt;=0,0,MIN(AS143,N$7+IF(N$2=$AA143,$AC143,IF(N$2=$AF143,$AG143,0))))</f>
        <v/>
      </c>
      <c r="AA143">
        <f>IFERROR(ROUND(1/SUMPRODUCT(MAX((C142:N142&gt;0)*($C$3:$N$3&lt;=B143)/$C$2:$N$2)),0),0)</f>
        <v/>
      </c>
      <c r="AB143">
        <f>SUMPRODUCT((C142:N142&gt;0)*$C$7:$N$7)</f>
        <v/>
      </c>
      <c r="AC143">
        <f>MAX(0,Plan!$C$5-AB143)+IF(A143=Plan!$C$8,N(Plan!$C$7),0)</f>
        <v/>
      </c>
      <c r="AD143">
        <f>SUM(C143:N143)</f>
        <v/>
      </c>
      <c r="AE143">
        <f>SUM(O143:Z143)</f>
        <v/>
      </c>
      <c r="AF143">
        <f>IFERROR(ROUND(1/SUMPRODUCT(MAX((C142:N142&gt;0)*($C$3:$N$3&lt;=B143)*($C$2:$N$2&gt;AA143)/$C$2:$N$2)),0),0)</f>
        <v/>
      </c>
      <c r="AG143">
        <f>MAX(0,AC143-MAX(0,SUMPRODUCT(($C$2:$N$2=AA143)*(AH143:AS143-$C$7:$N$7))))</f>
        <v/>
      </c>
      <c r="AH143">
        <f>IF(C142&lt;=0,0,ROUND(C142*(1+IF(AND(C$6&gt;0,$B143&lt;C$6),C$4,C$5)/12),2))</f>
        <v/>
      </c>
      <c r="AI143">
        <f>IF(D142&lt;=0,0,ROUND(D142*(1+IF(AND(D$6&gt;0,$B143&lt;D$6),D$4,D$5)/12),2))</f>
        <v/>
      </c>
      <c r="AJ143">
        <f>IF(E142&lt;=0,0,ROUND(E142*(1+IF(AND(E$6&gt;0,$B143&lt;E$6),E$4,E$5)/12),2))</f>
        <v/>
      </c>
      <c r="AK143">
        <f>IF(F142&lt;=0,0,ROUND(F142*(1+IF(AND(F$6&gt;0,$B143&lt;F$6),F$4,F$5)/12),2))</f>
        <v/>
      </c>
      <c r="AL143">
        <f>IF(G142&lt;=0,0,ROUND(G142*(1+IF(AND(G$6&gt;0,$B143&lt;G$6),G$4,G$5)/12),2))</f>
        <v/>
      </c>
      <c r="AM143">
        <f>IF(H142&lt;=0,0,ROUND(H142*(1+IF(AND(H$6&gt;0,$B143&lt;H$6),H$4,H$5)/12),2))</f>
        <v/>
      </c>
      <c r="AN143">
        <f>IF(I142&lt;=0,0,ROUND(I142*(1+IF(AND(I$6&gt;0,$B143&lt;I$6),I$4,I$5)/12),2))</f>
        <v/>
      </c>
      <c r="AO143">
        <f>IF(J142&lt;=0,0,ROUND(J142*(1+IF(AND(J$6&gt;0,$B143&lt;J$6),J$4,J$5)/12),2))</f>
        <v/>
      </c>
      <c r="AP143">
        <f>IF(K142&lt;=0,0,ROUND(K142*(1+IF(AND(K$6&gt;0,$B143&lt;K$6),K$4,K$5)/12),2))</f>
        <v/>
      </c>
      <c r="AQ143">
        <f>IF(L142&lt;=0,0,ROUND(L142*(1+IF(AND(L$6&gt;0,$B143&lt;L$6),L$4,L$5)/12),2))</f>
        <v/>
      </c>
      <c r="AR143">
        <f>IF(M142&lt;=0,0,ROUND(M142*(1+IF(AND(M$6&gt;0,$B143&lt;M$6),M$4,M$5)/12),2))</f>
        <v/>
      </c>
      <c r="AS143">
        <f>IF(N142&lt;=0,0,ROUND(N142*(1+IF(AND(N$6&gt;0,$B143&lt;N$6),N$4,N$5)/12),2))</f>
        <v/>
      </c>
    </row>
    <row r="144">
      <c r="A144" t="n">
        <v>133</v>
      </c>
      <c r="B144">
        <f>EDATE(Plan!$C$6,132)</f>
        <v/>
      </c>
      <c r="C144">
        <f>IF(C143&lt;=0,0,MAX(0,AH144-O144))</f>
        <v/>
      </c>
      <c r="D144">
        <f>IF(D143&lt;=0,0,MAX(0,AI144-P144))</f>
        <v/>
      </c>
      <c r="E144">
        <f>IF(E143&lt;=0,0,MAX(0,AJ144-Q144))</f>
        <v/>
      </c>
      <c r="F144">
        <f>IF(F143&lt;=0,0,MAX(0,AK144-R144))</f>
        <v/>
      </c>
      <c r="G144">
        <f>IF(G143&lt;=0,0,MAX(0,AL144-S144))</f>
        <v/>
      </c>
      <c r="H144">
        <f>IF(H143&lt;=0,0,MAX(0,AM144-T144))</f>
        <v/>
      </c>
      <c r="I144">
        <f>IF(I143&lt;=0,0,MAX(0,AN144-U144))</f>
        <v/>
      </c>
      <c r="J144">
        <f>IF(J143&lt;=0,0,MAX(0,AO144-V144))</f>
        <v/>
      </c>
      <c r="K144">
        <f>IF(K143&lt;=0,0,MAX(0,AP144-W144))</f>
        <v/>
      </c>
      <c r="L144">
        <f>IF(L143&lt;=0,0,MAX(0,AQ144-X144))</f>
        <v/>
      </c>
      <c r="M144">
        <f>IF(M143&lt;=0,0,MAX(0,AR144-Y144))</f>
        <v/>
      </c>
      <c r="N144">
        <f>IF(N143&lt;=0,0,MAX(0,AS144-Z144))</f>
        <v/>
      </c>
      <c r="O144">
        <f>IF(C143&lt;=0,0,MIN(AH144,C$7+IF(C$2=$AA144,$AC144,IF(C$2=$AF144,$AG144,0))))</f>
        <v/>
      </c>
      <c r="P144">
        <f>IF(D143&lt;=0,0,MIN(AI144,D$7+IF(D$2=$AA144,$AC144,IF(D$2=$AF144,$AG144,0))))</f>
        <v/>
      </c>
      <c r="Q144">
        <f>IF(E143&lt;=0,0,MIN(AJ144,E$7+IF(E$2=$AA144,$AC144,IF(E$2=$AF144,$AG144,0))))</f>
        <v/>
      </c>
      <c r="R144">
        <f>IF(F143&lt;=0,0,MIN(AK144,F$7+IF(F$2=$AA144,$AC144,IF(F$2=$AF144,$AG144,0))))</f>
        <v/>
      </c>
      <c r="S144">
        <f>IF(G143&lt;=0,0,MIN(AL144,G$7+IF(G$2=$AA144,$AC144,IF(G$2=$AF144,$AG144,0))))</f>
        <v/>
      </c>
      <c r="T144">
        <f>IF(H143&lt;=0,0,MIN(AM144,H$7+IF(H$2=$AA144,$AC144,IF(H$2=$AF144,$AG144,0))))</f>
        <v/>
      </c>
      <c r="U144">
        <f>IF(I143&lt;=0,0,MIN(AN144,I$7+IF(I$2=$AA144,$AC144,IF(I$2=$AF144,$AG144,0))))</f>
        <v/>
      </c>
      <c r="V144">
        <f>IF(J143&lt;=0,0,MIN(AO144,J$7+IF(J$2=$AA144,$AC144,IF(J$2=$AF144,$AG144,0))))</f>
        <v/>
      </c>
      <c r="W144">
        <f>IF(K143&lt;=0,0,MIN(AP144,K$7+IF(K$2=$AA144,$AC144,IF(K$2=$AF144,$AG144,0))))</f>
        <v/>
      </c>
      <c r="X144">
        <f>IF(L143&lt;=0,0,MIN(AQ144,L$7+IF(L$2=$AA144,$AC144,IF(L$2=$AF144,$AG144,0))))</f>
        <v/>
      </c>
      <c r="Y144">
        <f>IF(M143&lt;=0,0,MIN(AR144,M$7+IF(M$2=$AA144,$AC144,IF(M$2=$AF144,$AG144,0))))</f>
        <v/>
      </c>
      <c r="Z144">
        <f>IF(N143&lt;=0,0,MIN(AS144,N$7+IF(N$2=$AA144,$AC144,IF(N$2=$AF144,$AG144,0))))</f>
        <v/>
      </c>
      <c r="AA144">
        <f>IFERROR(ROUND(1/SUMPRODUCT(MAX((C143:N143&gt;0)*($C$3:$N$3&lt;=B144)/$C$2:$N$2)),0),0)</f>
        <v/>
      </c>
      <c r="AB144">
        <f>SUMPRODUCT((C143:N143&gt;0)*$C$7:$N$7)</f>
        <v/>
      </c>
      <c r="AC144">
        <f>MAX(0,Plan!$C$5-AB144)+IF(A144=Plan!$C$8,N(Plan!$C$7),0)</f>
        <v/>
      </c>
      <c r="AD144">
        <f>SUM(C144:N144)</f>
        <v/>
      </c>
      <c r="AE144">
        <f>SUM(O144:Z144)</f>
        <v/>
      </c>
      <c r="AF144">
        <f>IFERROR(ROUND(1/SUMPRODUCT(MAX((C143:N143&gt;0)*($C$3:$N$3&lt;=B144)*($C$2:$N$2&gt;AA144)/$C$2:$N$2)),0),0)</f>
        <v/>
      </c>
      <c r="AG144">
        <f>MAX(0,AC144-MAX(0,SUMPRODUCT(($C$2:$N$2=AA144)*(AH144:AS144-$C$7:$N$7))))</f>
        <v/>
      </c>
      <c r="AH144">
        <f>IF(C143&lt;=0,0,ROUND(C143*(1+IF(AND(C$6&gt;0,$B144&lt;C$6),C$4,C$5)/12),2))</f>
        <v/>
      </c>
      <c r="AI144">
        <f>IF(D143&lt;=0,0,ROUND(D143*(1+IF(AND(D$6&gt;0,$B144&lt;D$6),D$4,D$5)/12),2))</f>
        <v/>
      </c>
      <c r="AJ144">
        <f>IF(E143&lt;=0,0,ROUND(E143*(1+IF(AND(E$6&gt;0,$B144&lt;E$6),E$4,E$5)/12),2))</f>
        <v/>
      </c>
      <c r="AK144">
        <f>IF(F143&lt;=0,0,ROUND(F143*(1+IF(AND(F$6&gt;0,$B144&lt;F$6),F$4,F$5)/12),2))</f>
        <v/>
      </c>
      <c r="AL144">
        <f>IF(G143&lt;=0,0,ROUND(G143*(1+IF(AND(G$6&gt;0,$B144&lt;G$6),G$4,G$5)/12),2))</f>
        <v/>
      </c>
      <c r="AM144">
        <f>IF(H143&lt;=0,0,ROUND(H143*(1+IF(AND(H$6&gt;0,$B144&lt;H$6),H$4,H$5)/12),2))</f>
        <v/>
      </c>
      <c r="AN144">
        <f>IF(I143&lt;=0,0,ROUND(I143*(1+IF(AND(I$6&gt;0,$B144&lt;I$6),I$4,I$5)/12),2))</f>
        <v/>
      </c>
      <c r="AO144">
        <f>IF(J143&lt;=0,0,ROUND(J143*(1+IF(AND(J$6&gt;0,$B144&lt;J$6),J$4,J$5)/12),2))</f>
        <v/>
      </c>
      <c r="AP144">
        <f>IF(K143&lt;=0,0,ROUND(K143*(1+IF(AND(K$6&gt;0,$B144&lt;K$6),K$4,K$5)/12),2))</f>
        <v/>
      </c>
      <c r="AQ144">
        <f>IF(L143&lt;=0,0,ROUND(L143*(1+IF(AND(L$6&gt;0,$B144&lt;L$6),L$4,L$5)/12),2))</f>
        <v/>
      </c>
      <c r="AR144">
        <f>IF(M143&lt;=0,0,ROUND(M143*(1+IF(AND(M$6&gt;0,$B144&lt;M$6),M$4,M$5)/12),2))</f>
        <v/>
      </c>
      <c r="AS144">
        <f>IF(N143&lt;=0,0,ROUND(N143*(1+IF(AND(N$6&gt;0,$B144&lt;N$6),N$4,N$5)/12),2))</f>
        <v/>
      </c>
    </row>
    <row r="145">
      <c r="A145" t="n">
        <v>134</v>
      </c>
      <c r="B145">
        <f>EDATE(Plan!$C$6,133)</f>
        <v/>
      </c>
      <c r="C145">
        <f>IF(C144&lt;=0,0,MAX(0,AH145-O145))</f>
        <v/>
      </c>
      <c r="D145">
        <f>IF(D144&lt;=0,0,MAX(0,AI145-P145))</f>
        <v/>
      </c>
      <c r="E145">
        <f>IF(E144&lt;=0,0,MAX(0,AJ145-Q145))</f>
        <v/>
      </c>
      <c r="F145">
        <f>IF(F144&lt;=0,0,MAX(0,AK145-R145))</f>
        <v/>
      </c>
      <c r="G145">
        <f>IF(G144&lt;=0,0,MAX(0,AL145-S145))</f>
        <v/>
      </c>
      <c r="H145">
        <f>IF(H144&lt;=0,0,MAX(0,AM145-T145))</f>
        <v/>
      </c>
      <c r="I145">
        <f>IF(I144&lt;=0,0,MAX(0,AN145-U145))</f>
        <v/>
      </c>
      <c r="J145">
        <f>IF(J144&lt;=0,0,MAX(0,AO145-V145))</f>
        <v/>
      </c>
      <c r="K145">
        <f>IF(K144&lt;=0,0,MAX(0,AP145-W145))</f>
        <v/>
      </c>
      <c r="L145">
        <f>IF(L144&lt;=0,0,MAX(0,AQ145-X145))</f>
        <v/>
      </c>
      <c r="M145">
        <f>IF(M144&lt;=0,0,MAX(0,AR145-Y145))</f>
        <v/>
      </c>
      <c r="N145">
        <f>IF(N144&lt;=0,0,MAX(0,AS145-Z145))</f>
        <v/>
      </c>
      <c r="O145">
        <f>IF(C144&lt;=0,0,MIN(AH145,C$7+IF(C$2=$AA145,$AC145,IF(C$2=$AF145,$AG145,0))))</f>
        <v/>
      </c>
      <c r="P145">
        <f>IF(D144&lt;=0,0,MIN(AI145,D$7+IF(D$2=$AA145,$AC145,IF(D$2=$AF145,$AG145,0))))</f>
        <v/>
      </c>
      <c r="Q145">
        <f>IF(E144&lt;=0,0,MIN(AJ145,E$7+IF(E$2=$AA145,$AC145,IF(E$2=$AF145,$AG145,0))))</f>
        <v/>
      </c>
      <c r="R145">
        <f>IF(F144&lt;=0,0,MIN(AK145,F$7+IF(F$2=$AA145,$AC145,IF(F$2=$AF145,$AG145,0))))</f>
        <v/>
      </c>
      <c r="S145">
        <f>IF(G144&lt;=0,0,MIN(AL145,G$7+IF(G$2=$AA145,$AC145,IF(G$2=$AF145,$AG145,0))))</f>
        <v/>
      </c>
      <c r="T145">
        <f>IF(H144&lt;=0,0,MIN(AM145,H$7+IF(H$2=$AA145,$AC145,IF(H$2=$AF145,$AG145,0))))</f>
        <v/>
      </c>
      <c r="U145">
        <f>IF(I144&lt;=0,0,MIN(AN145,I$7+IF(I$2=$AA145,$AC145,IF(I$2=$AF145,$AG145,0))))</f>
        <v/>
      </c>
      <c r="V145">
        <f>IF(J144&lt;=0,0,MIN(AO145,J$7+IF(J$2=$AA145,$AC145,IF(J$2=$AF145,$AG145,0))))</f>
        <v/>
      </c>
      <c r="W145">
        <f>IF(K144&lt;=0,0,MIN(AP145,K$7+IF(K$2=$AA145,$AC145,IF(K$2=$AF145,$AG145,0))))</f>
        <v/>
      </c>
      <c r="X145">
        <f>IF(L144&lt;=0,0,MIN(AQ145,L$7+IF(L$2=$AA145,$AC145,IF(L$2=$AF145,$AG145,0))))</f>
        <v/>
      </c>
      <c r="Y145">
        <f>IF(M144&lt;=0,0,MIN(AR145,M$7+IF(M$2=$AA145,$AC145,IF(M$2=$AF145,$AG145,0))))</f>
        <v/>
      </c>
      <c r="Z145">
        <f>IF(N144&lt;=0,0,MIN(AS145,N$7+IF(N$2=$AA145,$AC145,IF(N$2=$AF145,$AG145,0))))</f>
        <v/>
      </c>
      <c r="AA145">
        <f>IFERROR(ROUND(1/SUMPRODUCT(MAX((C144:N144&gt;0)*($C$3:$N$3&lt;=B145)/$C$2:$N$2)),0),0)</f>
        <v/>
      </c>
      <c r="AB145">
        <f>SUMPRODUCT((C144:N144&gt;0)*$C$7:$N$7)</f>
        <v/>
      </c>
      <c r="AC145">
        <f>MAX(0,Plan!$C$5-AB145)+IF(A145=Plan!$C$8,N(Plan!$C$7),0)</f>
        <v/>
      </c>
      <c r="AD145">
        <f>SUM(C145:N145)</f>
        <v/>
      </c>
      <c r="AE145">
        <f>SUM(O145:Z145)</f>
        <v/>
      </c>
      <c r="AF145">
        <f>IFERROR(ROUND(1/SUMPRODUCT(MAX((C144:N144&gt;0)*($C$3:$N$3&lt;=B145)*($C$2:$N$2&gt;AA145)/$C$2:$N$2)),0),0)</f>
        <v/>
      </c>
      <c r="AG145">
        <f>MAX(0,AC145-MAX(0,SUMPRODUCT(($C$2:$N$2=AA145)*(AH145:AS145-$C$7:$N$7))))</f>
        <v/>
      </c>
      <c r="AH145">
        <f>IF(C144&lt;=0,0,ROUND(C144*(1+IF(AND(C$6&gt;0,$B145&lt;C$6),C$4,C$5)/12),2))</f>
        <v/>
      </c>
      <c r="AI145">
        <f>IF(D144&lt;=0,0,ROUND(D144*(1+IF(AND(D$6&gt;0,$B145&lt;D$6),D$4,D$5)/12),2))</f>
        <v/>
      </c>
      <c r="AJ145">
        <f>IF(E144&lt;=0,0,ROUND(E144*(1+IF(AND(E$6&gt;0,$B145&lt;E$6),E$4,E$5)/12),2))</f>
        <v/>
      </c>
      <c r="AK145">
        <f>IF(F144&lt;=0,0,ROUND(F144*(1+IF(AND(F$6&gt;0,$B145&lt;F$6),F$4,F$5)/12),2))</f>
        <v/>
      </c>
      <c r="AL145">
        <f>IF(G144&lt;=0,0,ROUND(G144*(1+IF(AND(G$6&gt;0,$B145&lt;G$6),G$4,G$5)/12),2))</f>
        <v/>
      </c>
      <c r="AM145">
        <f>IF(H144&lt;=0,0,ROUND(H144*(1+IF(AND(H$6&gt;0,$B145&lt;H$6),H$4,H$5)/12),2))</f>
        <v/>
      </c>
      <c r="AN145">
        <f>IF(I144&lt;=0,0,ROUND(I144*(1+IF(AND(I$6&gt;0,$B145&lt;I$6),I$4,I$5)/12),2))</f>
        <v/>
      </c>
      <c r="AO145">
        <f>IF(J144&lt;=0,0,ROUND(J144*(1+IF(AND(J$6&gt;0,$B145&lt;J$6),J$4,J$5)/12),2))</f>
        <v/>
      </c>
      <c r="AP145">
        <f>IF(K144&lt;=0,0,ROUND(K144*(1+IF(AND(K$6&gt;0,$B145&lt;K$6),K$4,K$5)/12),2))</f>
        <v/>
      </c>
      <c r="AQ145">
        <f>IF(L144&lt;=0,0,ROUND(L144*(1+IF(AND(L$6&gt;0,$B145&lt;L$6),L$4,L$5)/12),2))</f>
        <v/>
      </c>
      <c r="AR145">
        <f>IF(M144&lt;=0,0,ROUND(M144*(1+IF(AND(M$6&gt;0,$B145&lt;M$6),M$4,M$5)/12),2))</f>
        <v/>
      </c>
      <c r="AS145">
        <f>IF(N144&lt;=0,0,ROUND(N144*(1+IF(AND(N$6&gt;0,$B145&lt;N$6),N$4,N$5)/12),2))</f>
        <v/>
      </c>
    </row>
    <row r="146">
      <c r="A146" t="n">
        <v>135</v>
      </c>
      <c r="B146">
        <f>EDATE(Plan!$C$6,134)</f>
        <v/>
      </c>
      <c r="C146">
        <f>IF(C145&lt;=0,0,MAX(0,AH146-O146))</f>
        <v/>
      </c>
      <c r="D146">
        <f>IF(D145&lt;=0,0,MAX(0,AI146-P146))</f>
        <v/>
      </c>
      <c r="E146">
        <f>IF(E145&lt;=0,0,MAX(0,AJ146-Q146))</f>
        <v/>
      </c>
      <c r="F146">
        <f>IF(F145&lt;=0,0,MAX(0,AK146-R146))</f>
        <v/>
      </c>
      <c r="G146">
        <f>IF(G145&lt;=0,0,MAX(0,AL146-S146))</f>
        <v/>
      </c>
      <c r="H146">
        <f>IF(H145&lt;=0,0,MAX(0,AM146-T146))</f>
        <v/>
      </c>
      <c r="I146">
        <f>IF(I145&lt;=0,0,MAX(0,AN146-U146))</f>
        <v/>
      </c>
      <c r="J146">
        <f>IF(J145&lt;=0,0,MAX(0,AO146-V146))</f>
        <v/>
      </c>
      <c r="K146">
        <f>IF(K145&lt;=0,0,MAX(0,AP146-W146))</f>
        <v/>
      </c>
      <c r="L146">
        <f>IF(L145&lt;=0,0,MAX(0,AQ146-X146))</f>
        <v/>
      </c>
      <c r="M146">
        <f>IF(M145&lt;=0,0,MAX(0,AR146-Y146))</f>
        <v/>
      </c>
      <c r="N146">
        <f>IF(N145&lt;=0,0,MAX(0,AS146-Z146))</f>
        <v/>
      </c>
      <c r="O146">
        <f>IF(C145&lt;=0,0,MIN(AH146,C$7+IF(C$2=$AA146,$AC146,IF(C$2=$AF146,$AG146,0))))</f>
        <v/>
      </c>
      <c r="P146">
        <f>IF(D145&lt;=0,0,MIN(AI146,D$7+IF(D$2=$AA146,$AC146,IF(D$2=$AF146,$AG146,0))))</f>
        <v/>
      </c>
      <c r="Q146">
        <f>IF(E145&lt;=0,0,MIN(AJ146,E$7+IF(E$2=$AA146,$AC146,IF(E$2=$AF146,$AG146,0))))</f>
        <v/>
      </c>
      <c r="R146">
        <f>IF(F145&lt;=0,0,MIN(AK146,F$7+IF(F$2=$AA146,$AC146,IF(F$2=$AF146,$AG146,0))))</f>
        <v/>
      </c>
      <c r="S146">
        <f>IF(G145&lt;=0,0,MIN(AL146,G$7+IF(G$2=$AA146,$AC146,IF(G$2=$AF146,$AG146,0))))</f>
        <v/>
      </c>
      <c r="T146">
        <f>IF(H145&lt;=0,0,MIN(AM146,H$7+IF(H$2=$AA146,$AC146,IF(H$2=$AF146,$AG146,0))))</f>
        <v/>
      </c>
      <c r="U146">
        <f>IF(I145&lt;=0,0,MIN(AN146,I$7+IF(I$2=$AA146,$AC146,IF(I$2=$AF146,$AG146,0))))</f>
        <v/>
      </c>
      <c r="V146">
        <f>IF(J145&lt;=0,0,MIN(AO146,J$7+IF(J$2=$AA146,$AC146,IF(J$2=$AF146,$AG146,0))))</f>
        <v/>
      </c>
      <c r="W146">
        <f>IF(K145&lt;=0,0,MIN(AP146,K$7+IF(K$2=$AA146,$AC146,IF(K$2=$AF146,$AG146,0))))</f>
        <v/>
      </c>
      <c r="X146">
        <f>IF(L145&lt;=0,0,MIN(AQ146,L$7+IF(L$2=$AA146,$AC146,IF(L$2=$AF146,$AG146,0))))</f>
        <v/>
      </c>
      <c r="Y146">
        <f>IF(M145&lt;=0,0,MIN(AR146,M$7+IF(M$2=$AA146,$AC146,IF(M$2=$AF146,$AG146,0))))</f>
        <v/>
      </c>
      <c r="Z146">
        <f>IF(N145&lt;=0,0,MIN(AS146,N$7+IF(N$2=$AA146,$AC146,IF(N$2=$AF146,$AG146,0))))</f>
        <v/>
      </c>
      <c r="AA146">
        <f>IFERROR(ROUND(1/SUMPRODUCT(MAX((C145:N145&gt;0)*($C$3:$N$3&lt;=B146)/$C$2:$N$2)),0),0)</f>
        <v/>
      </c>
      <c r="AB146">
        <f>SUMPRODUCT((C145:N145&gt;0)*$C$7:$N$7)</f>
        <v/>
      </c>
      <c r="AC146">
        <f>MAX(0,Plan!$C$5-AB146)+IF(A146=Plan!$C$8,N(Plan!$C$7),0)</f>
        <v/>
      </c>
      <c r="AD146">
        <f>SUM(C146:N146)</f>
        <v/>
      </c>
      <c r="AE146">
        <f>SUM(O146:Z146)</f>
        <v/>
      </c>
      <c r="AF146">
        <f>IFERROR(ROUND(1/SUMPRODUCT(MAX((C145:N145&gt;0)*($C$3:$N$3&lt;=B146)*($C$2:$N$2&gt;AA146)/$C$2:$N$2)),0),0)</f>
        <v/>
      </c>
      <c r="AG146">
        <f>MAX(0,AC146-MAX(0,SUMPRODUCT(($C$2:$N$2=AA146)*(AH146:AS146-$C$7:$N$7))))</f>
        <v/>
      </c>
      <c r="AH146">
        <f>IF(C145&lt;=0,0,ROUND(C145*(1+IF(AND(C$6&gt;0,$B146&lt;C$6),C$4,C$5)/12),2))</f>
        <v/>
      </c>
      <c r="AI146">
        <f>IF(D145&lt;=0,0,ROUND(D145*(1+IF(AND(D$6&gt;0,$B146&lt;D$6),D$4,D$5)/12),2))</f>
        <v/>
      </c>
      <c r="AJ146">
        <f>IF(E145&lt;=0,0,ROUND(E145*(1+IF(AND(E$6&gt;0,$B146&lt;E$6),E$4,E$5)/12),2))</f>
        <v/>
      </c>
      <c r="AK146">
        <f>IF(F145&lt;=0,0,ROUND(F145*(1+IF(AND(F$6&gt;0,$B146&lt;F$6),F$4,F$5)/12),2))</f>
        <v/>
      </c>
      <c r="AL146">
        <f>IF(G145&lt;=0,0,ROUND(G145*(1+IF(AND(G$6&gt;0,$B146&lt;G$6),G$4,G$5)/12),2))</f>
        <v/>
      </c>
      <c r="AM146">
        <f>IF(H145&lt;=0,0,ROUND(H145*(1+IF(AND(H$6&gt;0,$B146&lt;H$6),H$4,H$5)/12),2))</f>
        <v/>
      </c>
      <c r="AN146">
        <f>IF(I145&lt;=0,0,ROUND(I145*(1+IF(AND(I$6&gt;0,$B146&lt;I$6),I$4,I$5)/12),2))</f>
        <v/>
      </c>
      <c r="AO146">
        <f>IF(J145&lt;=0,0,ROUND(J145*(1+IF(AND(J$6&gt;0,$B146&lt;J$6),J$4,J$5)/12),2))</f>
        <v/>
      </c>
      <c r="AP146">
        <f>IF(K145&lt;=0,0,ROUND(K145*(1+IF(AND(K$6&gt;0,$B146&lt;K$6),K$4,K$5)/12),2))</f>
        <v/>
      </c>
      <c r="AQ146">
        <f>IF(L145&lt;=0,0,ROUND(L145*(1+IF(AND(L$6&gt;0,$B146&lt;L$6),L$4,L$5)/12),2))</f>
        <v/>
      </c>
      <c r="AR146">
        <f>IF(M145&lt;=0,0,ROUND(M145*(1+IF(AND(M$6&gt;0,$B146&lt;M$6),M$4,M$5)/12),2))</f>
        <v/>
      </c>
      <c r="AS146">
        <f>IF(N145&lt;=0,0,ROUND(N145*(1+IF(AND(N$6&gt;0,$B146&lt;N$6),N$4,N$5)/12),2))</f>
        <v/>
      </c>
    </row>
    <row r="147">
      <c r="A147" t="n">
        <v>136</v>
      </c>
      <c r="B147">
        <f>EDATE(Plan!$C$6,135)</f>
        <v/>
      </c>
      <c r="C147">
        <f>IF(C146&lt;=0,0,MAX(0,AH147-O147))</f>
        <v/>
      </c>
      <c r="D147">
        <f>IF(D146&lt;=0,0,MAX(0,AI147-P147))</f>
        <v/>
      </c>
      <c r="E147">
        <f>IF(E146&lt;=0,0,MAX(0,AJ147-Q147))</f>
        <v/>
      </c>
      <c r="F147">
        <f>IF(F146&lt;=0,0,MAX(0,AK147-R147))</f>
        <v/>
      </c>
      <c r="G147">
        <f>IF(G146&lt;=0,0,MAX(0,AL147-S147))</f>
        <v/>
      </c>
      <c r="H147">
        <f>IF(H146&lt;=0,0,MAX(0,AM147-T147))</f>
        <v/>
      </c>
      <c r="I147">
        <f>IF(I146&lt;=0,0,MAX(0,AN147-U147))</f>
        <v/>
      </c>
      <c r="J147">
        <f>IF(J146&lt;=0,0,MAX(0,AO147-V147))</f>
        <v/>
      </c>
      <c r="K147">
        <f>IF(K146&lt;=0,0,MAX(0,AP147-W147))</f>
        <v/>
      </c>
      <c r="L147">
        <f>IF(L146&lt;=0,0,MAX(0,AQ147-X147))</f>
        <v/>
      </c>
      <c r="M147">
        <f>IF(M146&lt;=0,0,MAX(0,AR147-Y147))</f>
        <v/>
      </c>
      <c r="N147">
        <f>IF(N146&lt;=0,0,MAX(0,AS147-Z147))</f>
        <v/>
      </c>
      <c r="O147">
        <f>IF(C146&lt;=0,0,MIN(AH147,C$7+IF(C$2=$AA147,$AC147,IF(C$2=$AF147,$AG147,0))))</f>
        <v/>
      </c>
      <c r="P147">
        <f>IF(D146&lt;=0,0,MIN(AI147,D$7+IF(D$2=$AA147,$AC147,IF(D$2=$AF147,$AG147,0))))</f>
        <v/>
      </c>
      <c r="Q147">
        <f>IF(E146&lt;=0,0,MIN(AJ147,E$7+IF(E$2=$AA147,$AC147,IF(E$2=$AF147,$AG147,0))))</f>
        <v/>
      </c>
      <c r="R147">
        <f>IF(F146&lt;=0,0,MIN(AK147,F$7+IF(F$2=$AA147,$AC147,IF(F$2=$AF147,$AG147,0))))</f>
        <v/>
      </c>
      <c r="S147">
        <f>IF(G146&lt;=0,0,MIN(AL147,G$7+IF(G$2=$AA147,$AC147,IF(G$2=$AF147,$AG147,0))))</f>
        <v/>
      </c>
      <c r="T147">
        <f>IF(H146&lt;=0,0,MIN(AM147,H$7+IF(H$2=$AA147,$AC147,IF(H$2=$AF147,$AG147,0))))</f>
        <v/>
      </c>
      <c r="U147">
        <f>IF(I146&lt;=0,0,MIN(AN147,I$7+IF(I$2=$AA147,$AC147,IF(I$2=$AF147,$AG147,0))))</f>
        <v/>
      </c>
      <c r="V147">
        <f>IF(J146&lt;=0,0,MIN(AO147,J$7+IF(J$2=$AA147,$AC147,IF(J$2=$AF147,$AG147,0))))</f>
        <v/>
      </c>
      <c r="W147">
        <f>IF(K146&lt;=0,0,MIN(AP147,K$7+IF(K$2=$AA147,$AC147,IF(K$2=$AF147,$AG147,0))))</f>
        <v/>
      </c>
      <c r="X147">
        <f>IF(L146&lt;=0,0,MIN(AQ147,L$7+IF(L$2=$AA147,$AC147,IF(L$2=$AF147,$AG147,0))))</f>
        <v/>
      </c>
      <c r="Y147">
        <f>IF(M146&lt;=0,0,MIN(AR147,M$7+IF(M$2=$AA147,$AC147,IF(M$2=$AF147,$AG147,0))))</f>
        <v/>
      </c>
      <c r="Z147">
        <f>IF(N146&lt;=0,0,MIN(AS147,N$7+IF(N$2=$AA147,$AC147,IF(N$2=$AF147,$AG147,0))))</f>
        <v/>
      </c>
      <c r="AA147">
        <f>IFERROR(ROUND(1/SUMPRODUCT(MAX((C146:N146&gt;0)*($C$3:$N$3&lt;=B147)/$C$2:$N$2)),0),0)</f>
        <v/>
      </c>
      <c r="AB147">
        <f>SUMPRODUCT((C146:N146&gt;0)*$C$7:$N$7)</f>
        <v/>
      </c>
      <c r="AC147">
        <f>MAX(0,Plan!$C$5-AB147)+IF(A147=Plan!$C$8,N(Plan!$C$7),0)</f>
        <v/>
      </c>
      <c r="AD147">
        <f>SUM(C147:N147)</f>
        <v/>
      </c>
      <c r="AE147">
        <f>SUM(O147:Z147)</f>
        <v/>
      </c>
      <c r="AF147">
        <f>IFERROR(ROUND(1/SUMPRODUCT(MAX((C146:N146&gt;0)*($C$3:$N$3&lt;=B147)*($C$2:$N$2&gt;AA147)/$C$2:$N$2)),0),0)</f>
        <v/>
      </c>
      <c r="AG147">
        <f>MAX(0,AC147-MAX(0,SUMPRODUCT(($C$2:$N$2=AA147)*(AH147:AS147-$C$7:$N$7))))</f>
        <v/>
      </c>
      <c r="AH147">
        <f>IF(C146&lt;=0,0,ROUND(C146*(1+IF(AND(C$6&gt;0,$B147&lt;C$6),C$4,C$5)/12),2))</f>
        <v/>
      </c>
      <c r="AI147">
        <f>IF(D146&lt;=0,0,ROUND(D146*(1+IF(AND(D$6&gt;0,$B147&lt;D$6),D$4,D$5)/12),2))</f>
        <v/>
      </c>
      <c r="AJ147">
        <f>IF(E146&lt;=0,0,ROUND(E146*(1+IF(AND(E$6&gt;0,$B147&lt;E$6),E$4,E$5)/12),2))</f>
        <v/>
      </c>
      <c r="AK147">
        <f>IF(F146&lt;=0,0,ROUND(F146*(1+IF(AND(F$6&gt;0,$B147&lt;F$6),F$4,F$5)/12),2))</f>
        <v/>
      </c>
      <c r="AL147">
        <f>IF(G146&lt;=0,0,ROUND(G146*(1+IF(AND(G$6&gt;0,$B147&lt;G$6),G$4,G$5)/12),2))</f>
        <v/>
      </c>
      <c r="AM147">
        <f>IF(H146&lt;=0,0,ROUND(H146*(1+IF(AND(H$6&gt;0,$B147&lt;H$6),H$4,H$5)/12),2))</f>
        <v/>
      </c>
      <c r="AN147">
        <f>IF(I146&lt;=0,0,ROUND(I146*(1+IF(AND(I$6&gt;0,$B147&lt;I$6),I$4,I$5)/12),2))</f>
        <v/>
      </c>
      <c r="AO147">
        <f>IF(J146&lt;=0,0,ROUND(J146*(1+IF(AND(J$6&gt;0,$B147&lt;J$6),J$4,J$5)/12),2))</f>
        <v/>
      </c>
      <c r="AP147">
        <f>IF(K146&lt;=0,0,ROUND(K146*(1+IF(AND(K$6&gt;0,$B147&lt;K$6),K$4,K$5)/12),2))</f>
        <v/>
      </c>
      <c r="AQ147">
        <f>IF(L146&lt;=0,0,ROUND(L146*(1+IF(AND(L$6&gt;0,$B147&lt;L$6),L$4,L$5)/12),2))</f>
        <v/>
      </c>
      <c r="AR147">
        <f>IF(M146&lt;=0,0,ROUND(M146*(1+IF(AND(M$6&gt;0,$B147&lt;M$6),M$4,M$5)/12),2))</f>
        <v/>
      </c>
      <c r="AS147">
        <f>IF(N146&lt;=0,0,ROUND(N146*(1+IF(AND(N$6&gt;0,$B147&lt;N$6),N$4,N$5)/12),2))</f>
        <v/>
      </c>
    </row>
    <row r="148">
      <c r="A148" t="n">
        <v>137</v>
      </c>
      <c r="B148">
        <f>EDATE(Plan!$C$6,136)</f>
        <v/>
      </c>
      <c r="C148">
        <f>IF(C147&lt;=0,0,MAX(0,AH148-O148))</f>
        <v/>
      </c>
      <c r="D148">
        <f>IF(D147&lt;=0,0,MAX(0,AI148-P148))</f>
        <v/>
      </c>
      <c r="E148">
        <f>IF(E147&lt;=0,0,MAX(0,AJ148-Q148))</f>
        <v/>
      </c>
      <c r="F148">
        <f>IF(F147&lt;=0,0,MAX(0,AK148-R148))</f>
        <v/>
      </c>
      <c r="G148">
        <f>IF(G147&lt;=0,0,MAX(0,AL148-S148))</f>
        <v/>
      </c>
      <c r="H148">
        <f>IF(H147&lt;=0,0,MAX(0,AM148-T148))</f>
        <v/>
      </c>
      <c r="I148">
        <f>IF(I147&lt;=0,0,MAX(0,AN148-U148))</f>
        <v/>
      </c>
      <c r="J148">
        <f>IF(J147&lt;=0,0,MAX(0,AO148-V148))</f>
        <v/>
      </c>
      <c r="K148">
        <f>IF(K147&lt;=0,0,MAX(0,AP148-W148))</f>
        <v/>
      </c>
      <c r="L148">
        <f>IF(L147&lt;=0,0,MAX(0,AQ148-X148))</f>
        <v/>
      </c>
      <c r="M148">
        <f>IF(M147&lt;=0,0,MAX(0,AR148-Y148))</f>
        <v/>
      </c>
      <c r="N148">
        <f>IF(N147&lt;=0,0,MAX(0,AS148-Z148))</f>
        <v/>
      </c>
      <c r="O148">
        <f>IF(C147&lt;=0,0,MIN(AH148,C$7+IF(C$2=$AA148,$AC148,IF(C$2=$AF148,$AG148,0))))</f>
        <v/>
      </c>
      <c r="P148">
        <f>IF(D147&lt;=0,0,MIN(AI148,D$7+IF(D$2=$AA148,$AC148,IF(D$2=$AF148,$AG148,0))))</f>
        <v/>
      </c>
      <c r="Q148">
        <f>IF(E147&lt;=0,0,MIN(AJ148,E$7+IF(E$2=$AA148,$AC148,IF(E$2=$AF148,$AG148,0))))</f>
        <v/>
      </c>
      <c r="R148">
        <f>IF(F147&lt;=0,0,MIN(AK148,F$7+IF(F$2=$AA148,$AC148,IF(F$2=$AF148,$AG148,0))))</f>
        <v/>
      </c>
      <c r="S148">
        <f>IF(G147&lt;=0,0,MIN(AL148,G$7+IF(G$2=$AA148,$AC148,IF(G$2=$AF148,$AG148,0))))</f>
        <v/>
      </c>
      <c r="T148">
        <f>IF(H147&lt;=0,0,MIN(AM148,H$7+IF(H$2=$AA148,$AC148,IF(H$2=$AF148,$AG148,0))))</f>
        <v/>
      </c>
      <c r="U148">
        <f>IF(I147&lt;=0,0,MIN(AN148,I$7+IF(I$2=$AA148,$AC148,IF(I$2=$AF148,$AG148,0))))</f>
        <v/>
      </c>
      <c r="V148">
        <f>IF(J147&lt;=0,0,MIN(AO148,J$7+IF(J$2=$AA148,$AC148,IF(J$2=$AF148,$AG148,0))))</f>
        <v/>
      </c>
      <c r="W148">
        <f>IF(K147&lt;=0,0,MIN(AP148,K$7+IF(K$2=$AA148,$AC148,IF(K$2=$AF148,$AG148,0))))</f>
        <v/>
      </c>
      <c r="X148">
        <f>IF(L147&lt;=0,0,MIN(AQ148,L$7+IF(L$2=$AA148,$AC148,IF(L$2=$AF148,$AG148,0))))</f>
        <v/>
      </c>
      <c r="Y148">
        <f>IF(M147&lt;=0,0,MIN(AR148,M$7+IF(M$2=$AA148,$AC148,IF(M$2=$AF148,$AG148,0))))</f>
        <v/>
      </c>
      <c r="Z148">
        <f>IF(N147&lt;=0,0,MIN(AS148,N$7+IF(N$2=$AA148,$AC148,IF(N$2=$AF148,$AG148,0))))</f>
        <v/>
      </c>
      <c r="AA148">
        <f>IFERROR(ROUND(1/SUMPRODUCT(MAX((C147:N147&gt;0)*($C$3:$N$3&lt;=B148)/$C$2:$N$2)),0),0)</f>
        <v/>
      </c>
      <c r="AB148">
        <f>SUMPRODUCT((C147:N147&gt;0)*$C$7:$N$7)</f>
        <v/>
      </c>
      <c r="AC148">
        <f>MAX(0,Plan!$C$5-AB148)+IF(A148=Plan!$C$8,N(Plan!$C$7),0)</f>
        <v/>
      </c>
      <c r="AD148">
        <f>SUM(C148:N148)</f>
        <v/>
      </c>
      <c r="AE148">
        <f>SUM(O148:Z148)</f>
        <v/>
      </c>
      <c r="AF148">
        <f>IFERROR(ROUND(1/SUMPRODUCT(MAX((C147:N147&gt;0)*($C$3:$N$3&lt;=B148)*($C$2:$N$2&gt;AA148)/$C$2:$N$2)),0),0)</f>
        <v/>
      </c>
      <c r="AG148">
        <f>MAX(0,AC148-MAX(0,SUMPRODUCT(($C$2:$N$2=AA148)*(AH148:AS148-$C$7:$N$7))))</f>
        <v/>
      </c>
      <c r="AH148">
        <f>IF(C147&lt;=0,0,ROUND(C147*(1+IF(AND(C$6&gt;0,$B148&lt;C$6),C$4,C$5)/12),2))</f>
        <v/>
      </c>
      <c r="AI148">
        <f>IF(D147&lt;=0,0,ROUND(D147*(1+IF(AND(D$6&gt;0,$B148&lt;D$6),D$4,D$5)/12),2))</f>
        <v/>
      </c>
      <c r="AJ148">
        <f>IF(E147&lt;=0,0,ROUND(E147*(1+IF(AND(E$6&gt;0,$B148&lt;E$6),E$4,E$5)/12),2))</f>
        <v/>
      </c>
      <c r="AK148">
        <f>IF(F147&lt;=0,0,ROUND(F147*(1+IF(AND(F$6&gt;0,$B148&lt;F$6),F$4,F$5)/12),2))</f>
        <v/>
      </c>
      <c r="AL148">
        <f>IF(G147&lt;=0,0,ROUND(G147*(1+IF(AND(G$6&gt;0,$B148&lt;G$6),G$4,G$5)/12),2))</f>
        <v/>
      </c>
      <c r="AM148">
        <f>IF(H147&lt;=0,0,ROUND(H147*(1+IF(AND(H$6&gt;0,$B148&lt;H$6),H$4,H$5)/12),2))</f>
        <v/>
      </c>
      <c r="AN148">
        <f>IF(I147&lt;=0,0,ROUND(I147*(1+IF(AND(I$6&gt;0,$B148&lt;I$6),I$4,I$5)/12),2))</f>
        <v/>
      </c>
      <c r="AO148">
        <f>IF(J147&lt;=0,0,ROUND(J147*(1+IF(AND(J$6&gt;0,$B148&lt;J$6),J$4,J$5)/12),2))</f>
        <v/>
      </c>
      <c r="AP148">
        <f>IF(K147&lt;=0,0,ROUND(K147*(1+IF(AND(K$6&gt;0,$B148&lt;K$6),K$4,K$5)/12),2))</f>
        <v/>
      </c>
      <c r="AQ148">
        <f>IF(L147&lt;=0,0,ROUND(L147*(1+IF(AND(L$6&gt;0,$B148&lt;L$6),L$4,L$5)/12),2))</f>
        <v/>
      </c>
      <c r="AR148">
        <f>IF(M147&lt;=0,0,ROUND(M147*(1+IF(AND(M$6&gt;0,$B148&lt;M$6),M$4,M$5)/12),2))</f>
        <v/>
      </c>
      <c r="AS148">
        <f>IF(N147&lt;=0,0,ROUND(N147*(1+IF(AND(N$6&gt;0,$B148&lt;N$6),N$4,N$5)/12),2))</f>
        <v/>
      </c>
    </row>
    <row r="149">
      <c r="A149" t="n">
        <v>138</v>
      </c>
      <c r="B149">
        <f>EDATE(Plan!$C$6,137)</f>
        <v/>
      </c>
      <c r="C149">
        <f>IF(C148&lt;=0,0,MAX(0,AH149-O149))</f>
        <v/>
      </c>
      <c r="D149">
        <f>IF(D148&lt;=0,0,MAX(0,AI149-P149))</f>
        <v/>
      </c>
      <c r="E149">
        <f>IF(E148&lt;=0,0,MAX(0,AJ149-Q149))</f>
        <v/>
      </c>
      <c r="F149">
        <f>IF(F148&lt;=0,0,MAX(0,AK149-R149))</f>
        <v/>
      </c>
      <c r="G149">
        <f>IF(G148&lt;=0,0,MAX(0,AL149-S149))</f>
        <v/>
      </c>
      <c r="H149">
        <f>IF(H148&lt;=0,0,MAX(0,AM149-T149))</f>
        <v/>
      </c>
      <c r="I149">
        <f>IF(I148&lt;=0,0,MAX(0,AN149-U149))</f>
        <v/>
      </c>
      <c r="J149">
        <f>IF(J148&lt;=0,0,MAX(0,AO149-V149))</f>
        <v/>
      </c>
      <c r="K149">
        <f>IF(K148&lt;=0,0,MAX(0,AP149-W149))</f>
        <v/>
      </c>
      <c r="L149">
        <f>IF(L148&lt;=0,0,MAX(0,AQ149-X149))</f>
        <v/>
      </c>
      <c r="M149">
        <f>IF(M148&lt;=0,0,MAX(0,AR149-Y149))</f>
        <v/>
      </c>
      <c r="N149">
        <f>IF(N148&lt;=0,0,MAX(0,AS149-Z149))</f>
        <v/>
      </c>
      <c r="O149">
        <f>IF(C148&lt;=0,0,MIN(AH149,C$7+IF(C$2=$AA149,$AC149,IF(C$2=$AF149,$AG149,0))))</f>
        <v/>
      </c>
      <c r="P149">
        <f>IF(D148&lt;=0,0,MIN(AI149,D$7+IF(D$2=$AA149,$AC149,IF(D$2=$AF149,$AG149,0))))</f>
        <v/>
      </c>
      <c r="Q149">
        <f>IF(E148&lt;=0,0,MIN(AJ149,E$7+IF(E$2=$AA149,$AC149,IF(E$2=$AF149,$AG149,0))))</f>
        <v/>
      </c>
      <c r="R149">
        <f>IF(F148&lt;=0,0,MIN(AK149,F$7+IF(F$2=$AA149,$AC149,IF(F$2=$AF149,$AG149,0))))</f>
        <v/>
      </c>
      <c r="S149">
        <f>IF(G148&lt;=0,0,MIN(AL149,G$7+IF(G$2=$AA149,$AC149,IF(G$2=$AF149,$AG149,0))))</f>
        <v/>
      </c>
      <c r="T149">
        <f>IF(H148&lt;=0,0,MIN(AM149,H$7+IF(H$2=$AA149,$AC149,IF(H$2=$AF149,$AG149,0))))</f>
        <v/>
      </c>
      <c r="U149">
        <f>IF(I148&lt;=0,0,MIN(AN149,I$7+IF(I$2=$AA149,$AC149,IF(I$2=$AF149,$AG149,0))))</f>
        <v/>
      </c>
      <c r="V149">
        <f>IF(J148&lt;=0,0,MIN(AO149,J$7+IF(J$2=$AA149,$AC149,IF(J$2=$AF149,$AG149,0))))</f>
        <v/>
      </c>
      <c r="W149">
        <f>IF(K148&lt;=0,0,MIN(AP149,K$7+IF(K$2=$AA149,$AC149,IF(K$2=$AF149,$AG149,0))))</f>
        <v/>
      </c>
      <c r="X149">
        <f>IF(L148&lt;=0,0,MIN(AQ149,L$7+IF(L$2=$AA149,$AC149,IF(L$2=$AF149,$AG149,0))))</f>
        <v/>
      </c>
      <c r="Y149">
        <f>IF(M148&lt;=0,0,MIN(AR149,M$7+IF(M$2=$AA149,$AC149,IF(M$2=$AF149,$AG149,0))))</f>
        <v/>
      </c>
      <c r="Z149">
        <f>IF(N148&lt;=0,0,MIN(AS149,N$7+IF(N$2=$AA149,$AC149,IF(N$2=$AF149,$AG149,0))))</f>
        <v/>
      </c>
      <c r="AA149">
        <f>IFERROR(ROUND(1/SUMPRODUCT(MAX((C148:N148&gt;0)*($C$3:$N$3&lt;=B149)/$C$2:$N$2)),0),0)</f>
        <v/>
      </c>
      <c r="AB149">
        <f>SUMPRODUCT((C148:N148&gt;0)*$C$7:$N$7)</f>
        <v/>
      </c>
      <c r="AC149">
        <f>MAX(0,Plan!$C$5-AB149)+IF(A149=Plan!$C$8,N(Plan!$C$7),0)</f>
        <v/>
      </c>
      <c r="AD149">
        <f>SUM(C149:N149)</f>
        <v/>
      </c>
      <c r="AE149">
        <f>SUM(O149:Z149)</f>
        <v/>
      </c>
      <c r="AF149">
        <f>IFERROR(ROUND(1/SUMPRODUCT(MAX((C148:N148&gt;0)*($C$3:$N$3&lt;=B149)*($C$2:$N$2&gt;AA149)/$C$2:$N$2)),0),0)</f>
        <v/>
      </c>
      <c r="AG149">
        <f>MAX(0,AC149-MAX(0,SUMPRODUCT(($C$2:$N$2=AA149)*(AH149:AS149-$C$7:$N$7))))</f>
        <v/>
      </c>
      <c r="AH149">
        <f>IF(C148&lt;=0,0,ROUND(C148*(1+IF(AND(C$6&gt;0,$B149&lt;C$6),C$4,C$5)/12),2))</f>
        <v/>
      </c>
      <c r="AI149">
        <f>IF(D148&lt;=0,0,ROUND(D148*(1+IF(AND(D$6&gt;0,$B149&lt;D$6),D$4,D$5)/12),2))</f>
        <v/>
      </c>
      <c r="AJ149">
        <f>IF(E148&lt;=0,0,ROUND(E148*(1+IF(AND(E$6&gt;0,$B149&lt;E$6),E$4,E$5)/12),2))</f>
        <v/>
      </c>
      <c r="AK149">
        <f>IF(F148&lt;=0,0,ROUND(F148*(1+IF(AND(F$6&gt;0,$B149&lt;F$6),F$4,F$5)/12),2))</f>
        <v/>
      </c>
      <c r="AL149">
        <f>IF(G148&lt;=0,0,ROUND(G148*(1+IF(AND(G$6&gt;0,$B149&lt;G$6),G$4,G$5)/12),2))</f>
        <v/>
      </c>
      <c r="AM149">
        <f>IF(H148&lt;=0,0,ROUND(H148*(1+IF(AND(H$6&gt;0,$B149&lt;H$6),H$4,H$5)/12),2))</f>
        <v/>
      </c>
      <c r="AN149">
        <f>IF(I148&lt;=0,0,ROUND(I148*(1+IF(AND(I$6&gt;0,$B149&lt;I$6),I$4,I$5)/12),2))</f>
        <v/>
      </c>
      <c r="AO149">
        <f>IF(J148&lt;=0,0,ROUND(J148*(1+IF(AND(J$6&gt;0,$B149&lt;J$6),J$4,J$5)/12),2))</f>
        <v/>
      </c>
      <c r="AP149">
        <f>IF(K148&lt;=0,0,ROUND(K148*(1+IF(AND(K$6&gt;0,$B149&lt;K$6),K$4,K$5)/12),2))</f>
        <v/>
      </c>
      <c r="AQ149">
        <f>IF(L148&lt;=0,0,ROUND(L148*(1+IF(AND(L$6&gt;0,$B149&lt;L$6),L$4,L$5)/12),2))</f>
        <v/>
      </c>
      <c r="AR149">
        <f>IF(M148&lt;=0,0,ROUND(M148*(1+IF(AND(M$6&gt;0,$B149&lt;M$6),M$4,M$5)/12),2))</f>
        <v/>
      </c>
      <c r="AS149">
        <f>IF(N148&lt;=0,0,ROUND(N148*(1+IF(AND(N$6&gt;0,$B149&lt;N$6),N$4,N$5)/12),2))</f>
        <v/>
      </c>
    </row>
    <row r="150">
      <c r="A150" t="n">
        <v>139</v>
      </c>
      <c r="B150">
        <f>EDATE(Plan!$C$6,138)</f>
        <v/>
      </c>
      <c r="C150">
        <f>IF(C149&lt;=0,0,MAX(0,AH150-O150))</f>
        <v/>
      </c>
      <c r="D150">
        <f>IF(D149&lt;=0,0,MAX(0,AI150-P150))</f>
        <v/>
      </c>
      <c r="E150">
        <f>IF(E149&lt;=0,0,MAX(0,AJ150-Q150))</f>
        <v/>
      </c>
      <c r="F150">
        <f>IF(F149&lt;=0,0,MAX(0,AK150-R150))</f>
        <v/>
      </c>
      <c r="G150">
        <f>IF(G149&lt;=0,0,MAX(0,AL150-S150))</f>
        <v/>
      </c>
      <c r="H150">
        <f>IF(H149&lt;=0,0,MAX(0,AM150-T150))</f>
        <v/>
      </c>
      <c r="I150">
        <f>IF(I149&lt;=0,0,MAX(0,AN150-U150))</f>
        <v/>
      </c>
      <c r="J150">
        <f>IF(J149&lt;=0,0,MAX(0,AO150-V150))</f>
        <v/>
      </c>
      <c r="K150">
        <f>IF(K149&lt;=0,0,MAX(0,AP150-W150))</f>
        <v/>
      </c>
      <c r="L150">
        <f>IF(L149&lt;=0,0,MAX(0,AQ150-X150))</f>
        <v/>
      </c>
      <c r="M150">
        <f>IF(M149&lt;=0,0,MAX(0,AR150-Y150))</f>
        <v/>
      </c>
      <c r="N150">
        <f>IF(N149&lt;=0,0,MAX(0,AS150-Z150))</f>
        <v/>
      </c>
      <c r="O150">
        <f>IF(C149&lt;=0,0,MIN(AH150,C$7+IF(C$2=$AA150,$AC150,IF(C$2=$AF150,$AG150,0))))</f>
        <v/>
      </c>
      <c r="P150">
        <f>IF(D149&lt;=0,0,MIN(AI150,D$7+IF(D$2=$AA150,$AC150,IF(D$2=$AF150,$AG150,0))))</f>
        <v/>
      </c>
      <c r="Q150">
        <f>IF(E149&lt;=0,0,MIN(AJ150,E$7+IF(E$2=$AA150,$AC150,IF(E$2=$AF150,$AG150,0))))</f>
        <v/>
      </c>
      <c r="R150">
        <f>IF(F149&lt;=0,0,MIN(AK150,F$7+IF(F$2=$AA150,$AC150,IF(F$2=$AF150,$AG150,0))))</f>
        <v/>
      </c>
      <c r="S150">
        <f>IF(G149&lt;=0,0,MIN(AL150,G$7+IF(G$2=$AA150,$AC150,IF(G$2=$AF150,$AG150,0))))</f>
        <v/>
      </c>
      <c r="T150">
        <f>IF(H149&lt;=0,0,MIN(AM150,H$7+IF(H$2=$AA150,$AC150,IF(H$2=$AF150,$AG150,0))))</f>
        <v/>
      </c>
      <c r="U150">
        <f>IF(I149&lt;=0,0,MIN(AN150,I$7+IF(I$2=$AA150,$AC150,IF(I$2=$AF150,$AG150,0))))</f>
        <v/>
      </c>
      <c r="V150">
        <f>IF(J149&lt;=0,0,MIN(AO150,J$7+IF(J$2=$AA150,$AC150,IF(J$2=$AF150,$AG150,0))))</f>
        <v/>
      </c>
      <c r="W150">
        <f>IF(K149&lt;=0,0,MIN(AP150,K$7+IF(K$2=$AA150,$AC150,IF(K$2=$AF150,$AG150,0))))</f>
        <v/>
      </c>
      <c r="X150">
        <f>IF(L149&lt;=0,0,MIN(AQ150,L$7+IF(L$2=$AA150,$AC150,IF(L$2=$AF150,$AG150,0))))</f>
        <v/>
      </c>
      <c r="Y150">
        <f>IF(M149&lt;=0,0,MIN(AR150,M$7+IF(M$2=$AA150,$AC150,IF(M$2=$AF150,$AG150,0))))</f>
        <v/>
      </c>
      <c r="Z150">
        <f>IF(N149&lt;=0,0,MIN(AS150,N$7+IF(N$2=$AA150,$AC150,IF(N$2=$AF150,$AG150,0))))</f>
        <v/>
      </c>
      <c r="AA150">
        <f>IFERROR(ROUND(1/SUMPRODUCT(MAX((C149:N149&gt;0)*($C$3:$N$3&lt;=B150)/$C$2:$N$2)),0),0)</f>
        <v/>
      </c>
      <c r="AB150">
        <f>SUMPRODUCT((C149:N149&gt;0)*$C$7:$N$7)</f>
        <v/>
      </c>
      <c r="AC150">
        <f>MAX(0,Plan!$C$5-AB150)+IF(A150=Plan!$C$8,N(Plan!$C$7),0)</f>
        <v/>
      </c>
      <c r="AD150">
        <f>SUM(C150:N150)</f>
        <v/>
      </c>
      <c r="AE150">
        <f>SUM(O150:Z150)</f>
        <v/>
      </c>
      <c r="AF150">
        <f>IFERROR(ROUND(1/SUMPRODUCT(MAX((C149:N149&gt;0)*($C$3:$N$3&lt;=B150)*($C$2:$N$2&gt;AA150)/$C$2:$N$2)),0),0)</f>
        <v/>
      </c>
      <c r="AG150">
        <f>MAX(0,AC150-MAX(0,SUMPRODUCT(($C$2:$N$2=AA150)*(AH150:AS150-$C$7:$N$7))))</f>
        <v/>
      </c>
      <c r="AH150">
        <f>IF(C149&lt;=0,0,ROUND(C149*(1+IF(AND(C$6&gt;0,$B150&lt;C$6),C$4,C$5)/12),2))</f>
        <v/>
      </c>
      <c r="AI150">
        <f>IF(D149&lt;=0,0,ROUND(D149*(1+IF(AND(D$6&gt;0,$B150&lt;D$6),D$4,D$5)/12),2))</f>
        <v/>
      </c>
      <c r="AJ150">
        <f>IF(E149&lt;=0,0,ROUND(E149*(1+IF(AND(E$6&gt;0,$B150&lt;E$6),E$4,E$5)/12),2))</f>
        <v/>
      </c>
      <c r="AK150">
        <f>IF(F149&lt;=0,0,ROUND(F149*(1+IF(AND(F$6&gt;0,$B150&lt;F$6),F$4,F$5)/12),2))</f>
        <v/>
      </c>
      <c r="AL150">
        <f>IF(G149&lt;=0,0,ROUND(G149*(1+IF(AND(G$6&gt;0,$B150&lt;G$6),G$4,G$5)/12),2))</f>
        <v/>
      </c>
      <c r="AM150">
        <f>IF(H149&lt;=0,0,ROUND(H149*(1+IF(AND(H$6&gt;0,$B150&lt;H$6),H$4,H$5)/12),2))</f>
        <v/>
      </c>
      <c r="AN150">
        <f>IF(I149&lt;=0,0,ROUND(I149*(1+IF(AND(I$6&gt;0,$B150&lt;I$6),I$4,I$5)/12),2))</f>
        <v/>
      </c>
      <c r="AO150">
        <f>IF(J149&lt;=0,0,ROUND(J149*(1+IF(AND(J$6&gt;0,$B150&lt;J$6),J$4,J$5)/12),2))</f>
        <v/>
      </c>
      <c r="AP150">
        <f>IF(K149&lt;=0,0,ROUND(K149*(1+IF(AND(K$6&gt;0,$B150&lt;K$6),K$4,K$5)/12),2))</f>
        <v/>
      </c>
      <c r="AQ150">
        <f>IF(L149&lt;=0,0,ROUND(L149*(1+IF(AND(L$6&gt;0,$B150&lt;L$6),L$4,L$5)/12),2))</f>
        <v/>
      </c>
      <c r="AR150">
        <f>IF(M149&lt;=0,0,ROUND(M149*(1+IF(AND(M$6&gt;0,$B150&lt;M$6),M$4,M$5)/12),2))</f>
        <v/>
      </c>
      <c r="AS150">
        <f>IF(N149&lt;=0,0,ROUND(N149*(1+IF(AND(N$6&gt;0,$B150&lt;N$6),N$4,N$5)/12),2))</f>
        <v/>
      </c>
    </row>
    <row r="151">
      <c r="A151" t="n">
        <v>140</v>
      </c>
      <c r="B151">
        <f>EDATE(Plan!$C$6,139)</f>
        <v/>
      </c>
      <c r="C151">
        <f>IF(C150&lt;=0,0,MAX(0,AH151-O151))</f>
        <v/>
      </c>
      <c r="D151">
        <f>IF(D150&lt;=0,0,MAX(0,AI151-P151))</f>
        <v/>
      </c>
      <c r="E151">
        <f>IF(E150&lt;=0,0,MAX(0,AJ151-Q151))</f>
        <v/>
      </c>
      <c r="F151">
        <f>IF(F150&lt;=0,0,MAX(0,AK151-R151))</f>
        <v/>
      </c>
      <c r="G151">
        <f>IF(G150&lt;=0,0,MAX(0,AL151-S151))</f>
        <v/>
      </c>
      <c r="H151">
        <f>IF(H150&lt;=0,0,MAX(0,AM151-T151))</f>
        <v/>
      </c>
      <c r="I151">
        <f>IF(I150&lt;=0,0,MAX(0,AN151-U151))</f>
        <v/>
      </c>
      <c r="J151">
        <f>IF(J150&lt;=0,0,MAX(0,AO151-V151))</f>
        <v/>
      </c>
      <c r="K151">
        <f>IF(K150&lt;=0,0,MAX(0,AP151-W151))</f>
        <v/>
      </c>
      <c r="L151">
        <f>IF(L150&lt;=0,0,MAX(0,AQ151-X151))</f>
        <v/>
      </c>
      <c r="M151">
        <f>IF(M150&lt;=0,0,MAX(0,AR151-Y151))</f>
        <v/>
      </c>
      <c r="N151">
        <f>IF(N150&lt;=0,0,MAX(0,AS151-Z151))</f>
        <v/>
      </c>
      <c r="O151">
        <f>IF(C150&lt;=0,0,MIN(AH151,C$7+IF(C$2=$AA151,$AC151,IF(C$2=$AF151,$AG151,0))))</f>
        <v/>
      </c>
      <c r="P151">
        <f>IF(D150&lt;=0,0,MIN(AI151,D$7+IF(D$2=$AA151,$AC151,IF(D$2=$AF151,$AG151,0))))</f>
        <v/>
      </c>
      <c r="Q151">
        <f>IF(E150&lt;=0,0,MIN(AJ151,E$7+IF(E$2=$AA151,$AC151,IF(E$2=$AF151,$AG151,0))))</f>
        <v/>
      </c>
      <c r="R151">
        <f>IF(F150&lt;=0,0,MIN(AK151,F$7+IF(F$2=$AA151,$AC151,IF(F$2=$AF151,$AG151,0))))</f>
        <v/>
      </c>
      <c r="S151">
        <f>IF(G150&lt;=0,0,MIN(AL151,G$7+IF(G$2=$AA151,$AC151,IF(G$2=$AF151,$AG151,0))))</f>
        <v/>
      </c>
      <c r="T151">
        <f>IF(H150&lt;=0,0,MIN(AM151,H$7+IF(H$2=$AA151,$AC151,IF(H$2=$AF151,$AG151,0))))</f>
        <v/>
      </c>
      <c r="U151">
        <f>IF(I150&lt;=0,0,MIN(AN151,I$7+IF(I$2=$AA151,$AC151,IF(I$2=$AF151,$AG151,0))))</f>
        <v/>
      </c>
      <c r="V151">
        <f>IF(J150&lt;=0,0,MIN(AO151,J$7+IF(J$2=$AA151,$AC151,IF(J$2=$AF151,$AG151,0))))</f>
        <v/>
      </c>
      <c r="W151">
        <f>IF(K150&lt;=0,0,MIN(AP151,K$7+IF(K$2=$AA151,$AC151,IF(K$2=$AF151,$AG151,0))))</f>
        <v/>
      </c>
      <c r="X151">
        <f>IF(L150&lt;=0,0,MIN(AQ151,L$7+IF(L$2=$AA151,$AC151,IF(L$2=$AF151,$AG151,0))))</f>
        <v/>
      </c>
      <c r="Y151">
        <f>IF(M150&lt;=0,0,MIN(AR151,M$7+IF(M$2=$AA151,$AC151,IF(M$2=$AF151,$AG151,0))))</f>
        <v/>
      </c>
      <c r="Z151">
        <f>IF(N150&lt;=0,0,MIN(AS151,N$7+IF(N$2=$AA151,$AC151,IF(N$2=$AF151,$AG151,0))))</f>
        <v/>
      </c>
      <c r="AA151">
        <f>IFERROR(ROUND(1/SUMPRODUCT(MAX((C150:N150&gt;0)*($C$3:$N$3&lt;=B151)/$C$2:$N$2)),0),0)</f>
        <v/>
      </c>
      <c r="AB151">
        <f>SUMPRODUCT((C150:N150&gt;0)*$C$7:$N$7)</f>
        <v/>
      </c>
      <c r="AC151">
        <f>MAX(0,Plan!$C$5-AB151)+IF(A151=Plan!$C$8,N(Plan!$C$7),0)</f>
        <v/>
      </c>
      <c r="AD151">
        <f>SUM(C151:N151)</f>
        <v/>
      </c>
      <c r="AE151">
        <f>SUM(O151:Z151)</f>
        <v/>
      </c>
      <c r="AF151">
        <f>IFERROR(ROUND(1/SUMPRODUCT(MAX((C150:N150&gt;0)*($C$3:$N$3&lt;=B151)*($C$2:$N$2&gt;AA151)/$C$2:$N$2)),0),0)</f>
        <v/>
      </c>
      <c r="AG151">
        <f>MAX(0,AC151-MAX(0,SUMPRODUCT(($C$2:$N$2=AA151)*(AH151:AS151-$C$7:$N$7))))</f>
        <v/>
      </c>
      <c r="AH151">
        <f>IF(C150&lt;=0,0,ROUND(C150*(1+IF(AND(C$6&gt;0,$B151&lt;C$6),C$4,C$5)/12),2))</f>
        <v/>
      </c>
      <c r="AI151">
        <f>IF(D150&lt;=0,0,ROUND(D150*(1+IF(AND(D$6&gt;0,$B151&lt;D$6),D$4,D$5)/12),2))</f>
        <v/>
      </c>
      <c r="AJ151">
        <f>IF(E150&lt;=0,0,ROUND(E150*(1+IF(AND(E$6&gt;0,$B151&lt;E$6),E$4,E$5)/12),2))</f>
        <v/>
      </c>
      <c r="AK151">
        <f>IF(F150&lt;=0,0,ROUND(F150*(1+IF(AND(F$6&gt;0,$B151&lt;F$6),F$4,F$5)/12),2))</f>
        <v/>
      </c>
      <c r="AL151">
        <f>IF(G150&lt;=0,0,ROUND(G150*(1+IF(AND(G$6&gt;0,$B151&lt;G$6),G$4,G$5)/12),2))</f>
        <v/>
      </c>
      <c r="AM151">
        <f>IF(H150&lt;=0,0,ROUND(H150*(1+IF(AND(H$6&gt;0,$B151&lt;H$6),H$4,H$5)/12),2))</f>
        <v/>
      </c>
      <c r="AN151">
        <f>IF(I150&lt;=0,0,ROUND(I150*(1+IF(AND(I$6&gt;0,$B151&lt;I$6),I$4,I$5)/12),2))</f>
        <v/>
      </c>
      <c r="AO151">
        <f>IF(J150&lt;=0,0,ROUND(J150*(1+IF(AND(J$6&gt;0,$B151&lt;J$6),J$4,J$5)/12),2))</f>
        <v/>
      </c>
      <c r="AP151">
        <f>IF(K150&lt;=0,0,ROUND(K150*(1+IF(AND(K$6&gt;0,$B151&lt;K$6),K$4,K$5)/12),2))</f>
        <v/>
      </c>
      <c r="AQ151">
        <f>IF(L150&lt;=0,0,ROUND(L150*(1+IF(AND(L$6&gt;0,$B151&lt;L$6),L$4,L$5)/12),2))</f>
        <v/>
      </c>
      <c r="AR151">
        <f>IF(M150&lt;=0,0,ROUND(M150*(1+IF(AND(M$6&gt;0,$B151&lt;M$6),M$4,M$5)/12),2))</f>
        <v/>
      </c>
      <c r="AS151">
        <f>IF(N150&lt;=0,0,ROUND(N150*(1+IF(AND(N$6&gt;0,$B151&lt;N$6),N$4,N$5)/12),2))</f>
        <v/>
      </c>
    </row>
    <row r="152">
      <c r="A152" t="n">
        <v>141</v>
      </c>
      <c r="B152">
        <f>EDATE(Plan!$C$6,140)</f>
        <v/>
      </c>
      <c r="C152">
        <f>IF(C151&lt;=0,0,MAX(0,AH152-O152))</f>
        <v/>
      </c>
      <c r="D152">
        <f>IF(D151&lt;=0,0,MAX(0,AI152-P152))</f>
        <v/>
      </c>
      <c r="E152">
        <f>IF(E151&lt;=0,0,MAX(0,AJ152-Q152))</f>
        <v/>
      </c>
      <c r="F152">
        <f>IF(F151&lt;=0,0,MAX(0,AK152-R152))</f>
        <v/>
      </c>
      <c r="G152">
        <f>IF(G151&lt;=0,0,MAX(0,AL152-S152))</f>
        <v/>
      </c>
      <c r="H152">
        <f>IF(H151&lt;=0,0,MAX(0,AM152-T152))</f>
        <v/>
      </c>
      <c r="I152">
        <f>IF(I151&lt;=0,0,MAX(0,AN152-U152))</f>
        <v/>
      </c>
      <c r="J152">
        <f>IF(J151&lt;=0,0,MAX(0,AO152-V152))</f>
        <v/>
      </c>
      <c r="K152">
        <f>IF(K151&lt;=0,0,MAX(0,AP152-W152))</f>
        <v/>
      </c>
      <c r="L152">
        <f>IF(L151&lt;=0,0,MAX(0,AQ152-X152))</f>
        <v/>
      </c>
      <c r="M152">
        <f>IF(M151&lt;=0,0,MAX(0,AR152-Y152))</f>
        <v/>
      </c>
      <c r="N152">
        <f>IF(N151&lt;=0,0,MAX(0,AS152-Z152))</f>
        <v/>
      </c>
      <c r="O152">
        <f>IF(C151&lt;=0,0,MIN(AH152,C$7+IF(C$2=$AA152,$AC152,IF(C$2=$AF152,$AG152,0))))</f>
        <v/>
      </c>
      <c r="P152">
        <f>IF(D151&lt;=0,0,MIN(AI152,D$7+IF(D$2=$AA152,$AC152,IF(D$2=$AF152,$AG152,0))))</f>
        <v/>
      </c>
      <c r="Q152">
        <f>IF(E151&lt;=0,0,MIN(AJ152,E$7+IF(E$2=$AA152,$AC152,IF(E$2=$AF152,$AG152,0))))</f>
        <v/>
      </c>
      <c r="R152">
        <f>IF(F151&lt;=0,0,MIN(AK152,F$7+IF(F$2=$AA152,$AC152,IF(F$2=$AF152,$AG152,0))))</f>
        <v/>
      </c>
      <c r="S152">
        <f>IF(G151&lt;=0,0,MIN(AL152,G$7+IF(G$2=$AA152,$AC152,IF(G$2=$AF152,$AG152,0))))</f>
        <v/>
      </c>
      <c r="T152">
        <f>IF(H151&lt;=0,0,MIN(AM152,H$7+IF(H$2=$AA152,$AC152,IF(H$2=$AF152,$AG152,0))))</f>
        <v/>
      </c>
      <c r="U152">
        <f>IF(I151&lt;=0,0,MIN(AN152,I$7+IF(I$2=$AA152,$AC152,IF(I$2=$AF152,$AG152,0))))</f>
        <v/>
      </c>
      <c r="V152">
        <f>IF(J151&lt;=0,0,MIN(AO152,J$7+IF(J$2=$AA152,$AC152,IF(J$2=$AF152,$AG152,0))))</f>
        <v/>
      </c>
      <c r="W152">
        <f>IF(K151&lt;=0,0,MIN(AP152,K$7+IF(K$2=$AA152,$AC152,IF(K$2=$AF152,$AG152,0))))</f>
        <v/>
      </c>
      <c r="X152">
        <f>IF(L151&lt;=0,0,MIN(AQ152,L$7+IF(L$2=$AA152,$AC152,IF(L$2=$AF152,$AG152,0))))</f>
        <v/>
      </c>
      <c r="Y152">
        <f>IF(M151&lt;=0,0,MIN(AR152,M$7+IF(M$2=$AA152,$AC152,IF(M$2=$AF152,$AG152,0))))</f>
        <v/>
      </c>
      <c r="Z152">
        <f>IF(N151&lt;=0,0,MIN(AS152,N$7+IF(N$2=$AA152,$AC152,IF(N$2=$AF152,$AG152,0))))</f>
        <v/>
      </c>
      <c r="AA152">
        <f>IFERROR(ROUND(1/SUMPRODUCT(MAX((C151:N151&gt;0)*($C$3:$N$3&lt;=B152)/$C$2:$N$2)),0),0)</f>
        <v/>
      </c>
      <c r="AB152">
        <f>SUMPRODUCT((C151:N151&gt;0)*$C$7:$N$7)</f>
        <v/>
      </c>
      <c r="AC152">
        <f>MAX(0,Plan!$C$5-AB152)+IF(A152=Plan!$C$8,N(Plan!$C$7),0)</f>
        <v/>
      </c>
      <c r="AD152">
        <f>SUM(C152:N152)</f>
        <v/>
      </c>
      <c r="AE152">
        <f>SUM(O152:Z152)</f>
        <v/>
      </c>
      <c r="AF152">
        <f>IFERROR(ROUND(1/SUMPRODUCT(MAX((C151:N151&gt;0)*($C$3:$N$3&lt;=B152)*($C$2:$N$2&gt;AA152)/$C$2:$N$2)),0),0)</f>
        <v/>
      </c>
      <c r="AG152">
        <f>MAX(0,AC152-MAX(0,SUMPRODUCT(($C$2:$N$2=AA152)*(AH152:AS152-$C$7:$N$7))))</f>
        <v/>
      </c>
      <c r="AH152">
        <f>IF(C151&lt;=0,0,ROUND(C151*(1+IF(AND(C$6&gt;0,$B152&lt;C$6),C$4,C$5)/12),2))</f>
        <v/>
      </c>
      <c r="AI152">
        <f>IF(D151&lt;=0,0,ROUND(D151*(1+IF(AND(D$6&gt;0,$B152&lt;D$6),D$4,D$5)/12),2))</f>
        <v/>
      </c>
      <c r="AJ152">
        <f>IF(E151&lt;=0,0,ROUND(E151*(1+IF(AND(E$6&gt;0,$B152&lt;E$6),E$4,E$5)/12),2))</f>
        <v/>
      </c>
      <c r="AK152">
        <f>IF(F151&lt;=0,0,ROUND(F151*(1+IF(AND(F$6&gt;0,$B152&lt;F$6),F$4,F$5)/12),2))</f>
        <v/>
      </c>
      <c r="AL152">
        <f>IF(G151&lt;=0,0,ROUND(G151*(1+IF(AND(G$6&gt;0,$B152&lt;G$6),G$4,G$5)/12),2))</f>
        <v/>
      </c>
      <c r="AM152">
        <f>IF(H151&lt;=0,0,ROUND(H151*(1+IF(AND(H$6&gt;0,$B152&lt;H$6),H$4,H$5)/12),2))</f>
        <v/>
      </c>
      <c r="AN152">
        <f>IF(I151&lt;=0,0,ROUND(I151*(1+IF(AND(I$6&gt;0,$B152&lt;I$6),I$4,I$5)/12),2))</f>
        <v/>
      </c>
      <c r="AO152">
        <f>IF(J151&lt;=0,0,ROUND(J151*(1+IF(AND(J$6&gt;0,$B152&lt;J$6),J$4,J$5)/12),2))</f>
        <v/>
      </c>
      <c r="AP152">
        <f>IF(K151&lt;=0,0,ROUND(K151*(1+IF(AND(K$6&gt;0,$B152&lt;K$6),K$4,K$5)/12),2))</f>
        <v/>
      </c>
      <c r="AQ152">
        <f>IF(L151&lt;=0,0,ROUND(L151*(1+IF(AND(L$6&gt;0,$B152&lt;L$6),L$4,L$5)/12),2))</f>
        <v/>
      </c>
      <c r="AR152">
        <f>IF(M151&lt;=0,0,ROUND(M151*(1+IF(AND(M$6&gt;0,$B152&lt;M$6),M$4,M$5)/12),2))</f>
        <v/>
      </c>
      <c r="AS152">
        <f>IF(N151&lt;=0,0,ROUND(N151*(1+IF(AND(N$6&gt;0,$B152&lt;N$6),N$4,N$5)/12),2))</f>
        <v/>
      </c>
    </row>
    <row r="153">
      <c r="A153" t="n">
        <v>142</v>
      </c>
      <c r="B153">
        <f>EDATE(Plan!$C$6,141)</f>
        <v/>
      </c>
      <c r="C153">
        <f>IF(C152&lt;=0,0,MAX(0,AH153-O153))</f>
        <v/>
      </c>
      <c r="D153">
        <f>IF(D152&lt;=0,0,MAX(0,AI153-P153))</f>
        <v/>
      </c>
      <c r="E153">
        <f>IF(E152&lt;=0,0,MAX(0,AJ153-Q153))</f>
        <v/>
      </c>
      <c r="F153">
        <f>IF(F152&lt;=0,0,MAX(0,AK153-R153))</f>
        <v/>
      </c>
      <c r="G153">
        <f>IF(G152&lt;=0,0,MAX(0,AL153-S153))</f>
        <v/>
      </c>
      <c r="H153">
        <f>IF(H152&lt;=0,0,MAX(0,AM153-T153))</f>
        <v/>
      </c>
      <c r="I153">
        <f>IF(I152&lt;=0,0,MAX(0,AN153-U153))</f>
        <v/>
      </c>
      <c r="J153">
        <f>IF(J152&lt;=0,0,MAX(0,AO153-V153))</f>
        <v/>
      </c>
      <c r="K153">
        <f>IF(K152&lt;=0,0,MAX(0,AP153-W153))</f>
        <v/>
      </c>
      <c r="L153">
        <f>IF(L152&lt;=0,0,MAX(0,AQ153-X153))</f>
        <v/>
      </c>
      <c r="M153">
        <f>IF(M152&lt;=0,0,MAX(0,AR153-Y153))</f>
        <v/>
      </c>
      <c r="N153">
        <f>IF(N152&lt;=0,0,MAX(0,AS153-Z153))</f>
        <v/>
      </c>
      <c r="O153">
        <f>IF(C152&lt;=0,0,MIN(AH153,C$7+IF(C$2=$AA153,$AC153,IF(C$2=$AF153,$AG153,0))))</f>
        <v/>
      </c>
      <c r="P153">
        <f>IF(D152&lt;=0,0,MIN(AI153,D$7+IF(D$2=$AA153,$AC153,IF(D$2=$AF153,$AG153,0))))</f>
        <v/>
      </c>
      <c r="Q153">
        <f>IF(E152&lt;=0,0,MIN(AJ153,E$7+IF(E$2=$AA153,$AC153,IF(E$2=$AF153,$AG153,0))))</f>
        <v/>
      </c>
      <c r="R153">
        <f>IF(F152&lt;=0,0,MIN(AK153,F$7+IF(F$2=$AA153,$AC153,IF(F$2=$AF153,$AG153,0))))</f>
        <v/>
      </c>
      <c r="S153">
        <f>IF(G152&lt;=0,0,MIN(AL153,G$7+IF(G$2=$AA153,$AC153,IF(G$2=$AF153,$AG153,0))))</f>
        <v/>
      </c>
      <c r="T153">
        <f>IF(H152&lt;=0,0,MIN(AM153,H$7+IF(H$2=$AA153,$AC153,IF(H$2=$AF153,$AG153,0))))</f>
        <v/>
      </c>
      <c r="U153">
        <f>IF(I152&lt;=0,0,MIN(AN153,I$7+IF(I$2=$AA153,$AC153,IF(I$2=$AF153,$AG153,0))))</f>
        <v/>
      </c>
      <c r="V153">
        <f>IF(J152&lt;=0,0,MIN(AO153,J$7+IF(J$2=$AA153,$AC153,IF(J$2=$AF153,$AG153,0))))</f>
        <v/>
      </c>
      <c r="W153">
        <f>IF(K152&lt;=0,0,MIN(AP153,K$7+IF(K$2=$AA153,$AC153,IF(K$2=$AF153,$AG153,0))))</f>
        <v/>
      </c>
      <c r="X153">
        <f>IF(L152&lt;=0,0,MIN(AQ153,L$7+IF(L$2=$AA153,$AC153,IF(L$2=$AF153,$AG153,0))))</f>
        <v/>
      </c>
      <c r="Y153">
        <f>IF(M152&lt;=0,0,MIN(AR153,M$7+IF(M$2=$AA153,$AC153,IF(M$2=$AF153,$AG153,0))))</f>
        <v/>
      </c>
      <c r="Z153">
        <f>IF(N152&lt;=0,0,MIN(AS153,N$7+IF(N$2=$AA153,$AC153,IF(N$2=$AF153,$AG153,0))))</f>
        <v/>
      </c>
      <c r="AA153">
        <f>IFERROR(ROUND(1/SUMPRODUCT(MAX((C152:N152&gt;0)*($C$3:$N$3&lt;=B153)/$C$2:$N$2)),0),0)</f>
        <v/>
      </c>
      <c r="AB153">
        <f>SUMPRODUCT((C152:N152&gt;0)*$C$7:$N$7)</f>
        <v/>
      </c>
      <c r="AC153">
        <f>MAX(0,Plan!$C$5-AB153)+IF(A153=Plan!$C$8,N(Plan!$C$7),0)</f>
        <v/>
      </c>
      <c r="AD153">
        <f>SUM(C153:N153)</f>
        <v/>
      </c>
      <c r="AE153">
        <f>SUM(O153:Z153)</f>
        <v/>
      </c>
      <c r="AF153">
        <f>IFERROR(ROUND(1/SUMPRODUCT(MAX((C152:N152&gt;0)*($C$3:$N$3&lt;=B153)*($C$2:$N$2&gt;AA153)/$C$2:$N$2)),0),0)</f>
        <v/>
      </c>
      <c r="AG153">
        <f>MAX(0,AC153-MAX(0,SUMPRODUCT(($C$2:$N$2=AA153)*(AH153:AS153-$C$7:$N$7))))</f>
        <v/>
      </c>
      <c r="AH153">
        <f>IF(C152&lt;=0,0,ROUND(C152*(1+IF(AND(C$6&gt;0,$B153&lt;C$6),C$4,C$5)/12),2))</f>
        <v/>
      </c>
      <c r="AI153">
        <f>IF(D152&lt;=0,0,ROUND(D152*(1+IF(AND(D$6&gt;0,$B153&lt;D$6),D$4,D$5)/12),2))</f>
        <v/>
      </c>
      <c r="AJ153">
        <f>IF(E152&lt;=0,0,ROUND(E152*(1+IF(AND(E$6&gt;0,$B153&lt;E$6),E$4,E$5)/12),2))</f>
        <v/>
      </c>
      <c r="AK153">
        <f>IF(F152&lt;=0,0,ROUND(F152*(1+IF(AND(F$6&gt;0,$B153&lt;F$6),F$4,F$5)/12),2))</f>
        <v/>
      </c>
      <c r="AL153">
        <f>IF(G152&lt;=0,0,ROUND(G152*(1+IF(AND(G$6&gt;0,$B153&lt;G$6),G$4,G$5)/12),2))</f>
        <v/>
      </c>
      <c r="AM153">
        <f>IF(H152&lt;=0,0,ROUND(H152*(1+IF(AND(H$6&gt;0,$B153&lt;H$6),H$4,H$5)/12),2))</f>
        <v/>
      </c>
      <c r="AN153">
        <f>IF(I152&lt;=0,0,ROUND(I152*(1+IF(AND(I$6&gt;0,$B153&lt;I$6),I$4,I$5)/12),2))</f>
        <v/>
      </c>
      <c r="AO153">
        <f>IF(J152&lt;=0,0,ROUND(J152*(1+IF(AND(J$6&gt;0,$B153&lt;J$6),J$4,J$5)/12),2))</f>
        <v/>
      </c>
      <c r="AP153">
        <f>IF(K152&lt;=0,0,ROUND(K152*(1+IF(AND(K$6&gt;0,$B153&lt;K$6),K$4,K$5)/12),2))</f>
        <v/>
      </c>
      <c r="AQ153">
        <f>IF(L152&lt;=0,0,ROUND(L152*(1+IF(AND(L$6&gt;0,$B153&lt;L$6),L$4,L$5)/12),2))</f>
        <v/>
      </c>
      <c r="AR153">
        <f>IF(M152&lt;=0,0,ROUND(M152*(1+IF(AND(M$6&gt;0,$B153&lt;M$6),M$4,M$5)/12),2))</f>
        <v/>
      </c>
      <c r="AS153">
        <f>IF(N152&lt;=0,0,ROUND(N152*(1+IF(AND(N$6&gt;0,$B153&lt;N$6),N$4,N$5)/12),2))</f>
        <v/>
      </c>
    </row>
    <row r="154">
      <c r="A154" t="n">
        <v>143</v>
      </c>
      <c r="B154">
        <f>EDATE(Plan!$C$6,142)</f>
        <v/>
      </c>
      <c r="C154">
        <f>IF(C153&lt;=0,0,MAX(0,AH154-O154))</f>
        <v/>
      </c>
      <c r="D154">
        <f>IF(D153&lt;=0,0,MAX(0,AI154-P154))</f>
        <v/>
      </c>
      <c r="E154">
        <f>IF(E153&lt;=0,0,MAX(0,AJ154-Q154))</f>
        <v/>
      </c>
      <c r="F154">
        <f>IF(F153&lt;=0,0,MAX(0,AK154-R154))</f>
        <v/>
      </c>
      <c r="G154">
        <f>IF(G153&lt;=0,0,MAX(0,AL154-S154))</f>
        <v/>
      </c>
      <c r="H154">
        <f>IF(H153&lt;=0,0,MAX(0,AM154-T154))</f>
        <v/>
      </c>
      <c r="I154">
        <f>IF(I153&lt;=0,0,MAX(0,AN154-U154))</f>
        <v/>
      </c>
      <c r="J154">
        <f>IF(J153&lt;=0,0,MAX(0,AO154-V154))</f>
        <v/>
      </c>
      <c r="K154">
        <f>IF(K153&lt;=0,0,MAX(0,AP154-W154))</f>
        <v/>
      </c>
      <c r="L154">
        <f>IF(L153&lt;=0,0,MAX(0,AQ154-X154))</f>
        <v/>
      </c>
      <c r="M154">
        <f>IF(M153&lt;=0,0,MAX(0,AR154-Y154))</f>
        <v/>
      </c>
      <c r="N154">
        <f>IF(N153&lt;=0,0,MAX(0,AS154-Z154))</f>
        <v/>
      </c>
      <c r="O154">
        <f>IF(C153&lt;=0,0,MIN(AH154,C$7+IF(C$2=$AA154,$AC154,IF(C$2=$AF154,$AG154,0))))</f>
        <v/>
      </c>
      <c r="P154">
        <f>IF(D153&lt;=0,0,MIN(AI154,D$7+IF(D$2=$AA154,$AC154,IF(D$2=$AF154,$AG154,0))))</f>
        <v/>
      </c>
      <c r="Q154">
        <f>IF(E153&lt;=0,0,MIN(AJ154,E$7+IF(E$2=$AA154,$AC154,IF(E$2=$AF154,$AG154,0))))</f>
        <v/>
      </c>
      <c r="R154">
        <f>IF(F153&lt;=0,0,MIN(AK154,F$7+IF(F$2=$AA154,$AC154,IF(F$2=$AF154,$AG154,0))))</f>
        <v/>
      </c>
      <c r="S154">
        <f>IF(G153&lt;=0,0,MIN(AL154,G$7+IF(G$2=$AA154,$AC154,IF(G$2=$AF154,$AG154,0))))</f>
        <v/>
      </c>
      <c r="T154">
        <f>IF(H153&lt;=0,0,MIN(AM154,H$7+IF(H$2=$AA154,$AC154,IF(H$2=$AF154,$AG154,0))))</f>
        <v/>
      </c>
      <c r="U154">
        <f>IF(I153&lt;=0,0,MIN(AN154,I$7+IF(I$2=$AA154,$AC154,IF(I$2=$AF154,$AG154,0))))</f>
        <v/>
      </c>
      <c r="V154">
        <f>IF(J153&lt;=0,0,MIN(AO154,J$7+IF(J$2=$AA154,$AC154,IF(J$2=$AF154,$AG154,0))))</f>
        <v/>
      </c>
      <c r="W154">
        <f>IF(K153&lt;=0,0,MIN(AP154,K$7+IF(K$2=$AA154,$AC154,IF(K$2=$AF154,$AG154,0))))</f>
        <v/>
      </c>
      <c r="X154">
        <f>IF(L153&lt;=0,0,MIN(AQ154,L$7+IF(L$2=$AA154,$AC154,IF(L$2=$AF154,$AG154,0))))</f>
        <v/>
      </c>
      <c r="Y154">
        <f>IF(M153&lt;=0,0,MIN(AR154,M$7+IF(M$2=$AA154,$AC154,IF(M$2=$AF154,$AG154,0))))</f>
        <v/>
      </c>
      <c r="Z154">
        <f>IF(N153&lt;=0,0,MIN(AS154,N$7+IF(N$2=$AA154,$AC154,IF(N$2=$AF154,$AG154,0))))</f>
        <v/>
      </c>
      <c r="AA154">
        <f>IFERROR(ROUND(1/SUMPRODUCT(MAX((C153:N153&gt;0)*($C$3:$N$3&lt;=B154)/$C$2:$N$2)),0),0)</f>
        <v/>
      </c>
      <c r="AB154">
        <f>SUMPRODUCT((C153:N153&gt;0)*$C$7:$N$7)</f>
        <v/>
      </c>
      <c r="AC154">
        <f>MAX(0,Plan!$C$5-AB154)+IF(A154=Plan!$C$8,N(Plan!$C$7),0)</f>
        <v/>
      </c>
      <c r="AD154">
        <f>SUM(C154:N154)</f>
        <v/>
      </c>
      <c r="AE154">
        <f>SUM(O154:Z154)</f>
        <v/>
      </c>
      <c r="AF154">
        <f>IFERROR(ROUND(1/SUMPRODUCT(MAX((C153:N153&gt;0)*($C$3:$N$3&lt;=B154)*($C$2:$N$2&gt;AA154)/$C$2:$N$2)),0),0)</f>
        <v/>
      </c>
      <c r="AG154">
        <f>MAX(0,AC154-MAX(0,SUMPRODUCT(($C$2:$N$2=AA154)*(AH154:AS154-$C$7:$N$7))))</f>
        <v/>
      </c>
      <c r="AH154">
        <f>IF(C153&lt;=0,0,ROUND(C153*(1+IF(AND(C$6&gt;0,$B154&lt;C$6),C$4,C$5)/12),2))</f>
        <v/>
      </c>
      <c r="AI154">
        <f>IF(D153&lt;=0,0,ROUND(D153*(1+IF(AND(D$6&gt;0,$B154&lt;D$6),D$4,D$5)/12),2))</f>
        <v/>
      </c>
      <c r="AJ154">
        <f>IF(E153&lt;=0,0,ROUND(E153*(1+IF(AND(E$6&gt;0,$B154&lt;E$6),E$4,E$5)/12),2))</f>
        <v/>
      </c>
      <c r="AK154">
        <f>IF(F153&lt;=0,0,ROUND(F153*(1+IF(AND(F$6&gt;0,$B154&lt;F$6),F$4,F$5)/12),2))</f>
        <v/>
      </c>
      <c r="AL154">
        <f>IF(G153&lt;=0,0,ROUND(G153*(1+IF(AND(G$6&gt;0,$B154&lt;G$6),G$4,G$5)/12),2))</f>
        <v/>
      </c>
      <c r="AM154">
        <f>IF(H153&lt;=0,0,ROUND(H153*(1+IF(AND(H$6&gt;0,$B154&lt;H$6),H$4,H$5)/12),2))</f>
        <v/>
      </c>
      <c r="AN154">
        <f>IF(I153&lt;=0,0,ROUND(I153*(1+IF(AND(I$6&gt;0,$B154&lt;I$6),I$4,I$5)/12),2))</f>
        <v/>
      </c>
      <c r="AO154">
        <f>IF(J153&lt;=0,0,ROUND(J153*(1+IF(AND(J$6&gt;0,$B154&lt;J$6),J$4,J$5)/12),2))</f>
        <v/>
      </c>
      <c r="AP154">
        <f>IF(K153&lt;=0,0,ROUND(K153*(1+IF(AND(K$6&gt;0,$B154&lt;K$6),K$4,K$5)/12),2))</f>
        <v/>
      </c>
      <c r="AQ154">
        <f>IF(L153&lt;=0,0,ROUND(L153*(1+IF(AND(L$6&gt;0,$B154&lt;L$6),L$4,L$5)/12),2))</f>
        <v/>
      </c>
      <c r="AR154">
        <f>IF(M153&lt;=0,0,ROUND(M153*(1+IF(AND(M$6&gt;0,$B154&lt;M$6),M$4,M$5)/12),2))</f>
        <v/>
      </c>
      <c r="AS154">
        <f>IF(N153&lt;=0,0,ROUND(N153*(1+IF(AND(N$6&gt;0,$B154&lt;N$6),N$4,N$5)/12),2))</f>
        <v/>
      </c>
    </row>
    <row r="155">
      <c r="A155" t="n">
        <v>144</v>
      </c>
      <c r="B155">
        <f>EDATE(Plan!$C$6,143)</f>
        <v/>
      </c>
      <c r="C155">
        <f>IF(C154&lt;=0,0,MAX(0,AH155-O155))</f>
        <v/>
      </c>
      <c r="D155">
        <f>IF(D154&lt;=0,0,MAX(0,AI155-P155))</f>
        <v/>
      </c>
      <c r="E155">
        <f>IF(E154&lt;=0,0,MAX(0,AJ155-Q155))</f>
        <v/>
      </c>
      <c r="F155">
        <f>IF(F154&lt;=0,0,MAX(0,AK155-R155))</f>
        <v/>
      </c>
      <c r="G155">
        <f>IF(G154&lt;=0,0,MAX(0,AL155-S155))</f>
        <v/>
      </c>
      <c r="H155">
        <f>IF(H154&lt;=0,0,MAX(0,AM155-T155))</f>
        <v/>
      </c>
      <c r="I155">
        <f>IF(I154&lt;=0,0,MAX(0,AN155-U155))</f>
        <v/>
      </c>
      <c r="J155">
        <f>IF(J154&lt;=0,0,MAX(0,AO155-V155))</f>
        <v/>
      </c>
      <c r="K155">
        <f>IF(K154&lt;=0,0,MAX(0,AP155-W155))</f>
        <v/>
      </c>
      <c r="L155">
        <f>IF(L154&lt;=0,0,MAX(0,AQ155-X155))</f>
        <v/>
      </c>
      <c r="M155">
        <f>IF(M154&lt;=0,0,MAX(0,AR155-Y155))</f>
        <v/>
      </c>
      <c r="N155">
        <f>IF(N154&lt;=0,0,MAX(0,AS155-Z155))</f>
        <v/>
      </c>
      <c r="O155">
        <f>IF(C154&lt;=0,0,MIN(AH155,C$7+IF(C$2=$AA155,$AC155,IF(C$2=$AF155,$AG155,0))))</f>
        <v/>
      </c>
      <c r="P155">
        <f>IF(D154&lt;=0,0,MIN(AI155,D$7+IF(D$2=$AA155,$AC155,IF(D$2=$AF155,$AG155,0))))</f>
        <v/>
      </c>
      <c r="Q155">
        <f>IF(E154&lt;=0,0,MIN(AJ155,E$7+IF(E$2=$AA155,$AC155,IF(E$2=$AF155,$AG155,0))))</f>
        <v/>
      </c>
      <c r="R155">
        <f>IF(F154&lt;=0,0,MIN(AK155,F$7+IF(F$2=$AA155,$AC155,IF(F$2=$AF155,$AG155,0))))</f>
        <v/>
      </c>
      <c r="S155">
        <f>IF(G154&lt;=0,0,MIN(AL155,G$7+IF(G$2=$AA155,$AC155,IF(G$2=$AF155,$AG155,0))))</f>
        <v/>
      </c>
      <c r="T155">
        <f>IF(H154&lt;=0,0,MIN(AM155,H$7+IF(H$2=$AA155,$AC155,IF(H$2=$AF155,$AG155,0))))</f>
        <v/>
      </c>
      <c r="U155">
        <f>IF(I154&lt;=0,0,MIN(AN155,I$7+IF(I$2=$AA155,$AC155,IF(I$2=$AF155,$AG155,0))))</f>
        <v/>
      </c>
      <c r="V155">
        <f>IF(J154&lt;=0,0,MIN(AO155,J$7+IF(J$2=$AA155,$AC155,IF(J$2=$AF155,$AG155,0))))</f>
        <v/>
      </c>
      <c r="W155">
        <f>IF(K154&lt;=0,0,MIN(AP155,K$7+IF(K$2=$AA155,$AC155,IF(K$2=$AF155,$AG155,0))))</f>
        <v/>
      </c>
      <c r="X155">
        <f>IF(L154&lt;=0,0,MIN(AQ155,L$7+IF(L$2=$AA155,$AC155,IF(L$2=$AF155,$AG155,0))))</f>
        <v/>
      </c>
      <c r="Y155">
        <f>IF(M154&lt;=0,0,MIN(AR155,M$7+IF(M$2=$AA155,$AC155,IF(M$2=$AF155,$AG155,0))))</f>
        <v/>
      </c>
      <c r="Z155">
        <f>IF(N154&lt;=0,0,MIN(AS155,N$7+IF(N$2=$AA155,$AC155,IF(N$2=$AF155,$AG155,0))))</f>
        <v/>
      </c>
      <c r="AA155">
        <f>IFERROR(ROUND(1/SUMPRODUCT(MAX((C154:N154&gt;0)*($C$3:$N$3&lt;=B155)/$C$2:$N$2)),0),0)</f>
        <v/>
      </c>
      <c r="AB155">
        <f>SUMPRODUCT((C154:N154&gt;0)*$C$7:$N$7)</f>
        <v/>
      </c>
      <c r="AC155">
        <f>MAX(0,Plan!$C$5-AB155)+IF(A155=Plan!$C$8,N(Plan!$C$7),0)</f>
        <v/>
      </c>
      <c r="AD155">
        <f>SUM(C155:N155)</f>
        <v/>
      </c>
      <c r="AE155">
        <f>SUM(O155:Z155)</f>
        <v/>
      </c>
      <c r="AF155">
        <f>IFERROR(ROUND(1/SUMPRODUCT(MAX((C154:N154&gt;0)*($C$3:$N$3&lt;=B155)*($C$2:$N$2&gt;AA155)/$C$2:$N$2)),0),0)</f>
        <v/>
      </c>
      <c r="AG155">
        <f>MAX(0,AC155-MAX(0,SUMPRODUCT(($C$2:$N$2=AA155)*(AH155:AS155-$C$7:$N$7))))</f>
        <v/>
      </c>
      <c r="AH155">
        <f>IF(C154&lt;=0,0,ROUND(C154*(1+IF(AND(C$6&gt;0,$B155&lt;C$6),C$4,C$5)/12),2))</f>
        <v/>
      </c>
      <c r="AI155">
        <f>IF(D154&lt;=0,0,ROUND(D154*(1+IF(AND(D$6&gt;0,$B155&lt;D$6),D$4,D$5)/12),2))</f>
        <v/>
      </c>
      <c r="AJ155">
        <f>IF(E154&lt;=0,0,ROUND(E154*(1+IF(AND(E$6&gt;0,$B155&lt;E$6),E$4,E$5)/12),2))</f>
        <v/>
      </c>
      <c r="AK155">
        <f>IF(F154&lt;=0,0,ROUND(F154*(1+IF(AND(F$6&gt;0,$B155&lt;F$6),F$4,F$5)/12),2))</f>
        <v/>
      </c>
      <c r="AL155">
        <f>IF(G154&lt;=0,0,ROUND(G154*(1+IF(AND(G$6&gt;0,$B155&lt;G$6),G$4,G$5)/12),2))</f>
        <v/>
      </c>
      <c r="AM155">
        <f>IF(H154&lt;=0,0,ROUND(H154*(1+IF(AND(H$6&gt;0,$B155&lt;H$6),H$4,H$5)/12),2))</f>
        <v/>
      </c>
      <c r="AN155">
        <f>IF(I154&lt;=0,0,ROUND(I154*(1+IF(AND(I$6&gt;0,$B155&lt;I$6),I$4,I$5)/12),2))</f>
        <v/>
      </c>
      <c r="AO155">
        <f>IF(J154&lt;=0,0,ROUND(J154*(1+IF(AND(J$6&gt;0,$B155&lt;J$6),J$4,J$5)/12),2))</f>
        <v/>
      </c>
      <c r="AP155">
        <f>IF(K154&lt;=0,0,ROUND(K154*(1+IF(AND(K$6&gt;0,$B155&lt;K$6),K$4,K$5)/12),2))</f>
        <v/>
      </c>
      <c r="AQ155">
        <f>IF(L154&lt;=0,0,ROUND(L154*(1+IF(AND(L$6&gt;0,$B155&lt;L$6),L$4,L$5)/12),2))</f>
        <v/>
      </c>
      <c r="AR155">
        <f>IF(M154&lt;=0,0,ROUND(M154*(1+IF(AND(M$6&gt;0,$B155&lt;M$6),M$4,M$5)/12),2))</f>
        <v/>
      </c>
      <c r="AS155">
        <f>IF(N154&lt;=0,0,ROUND(N154*(1+IF(AND(N$6&gt;0,$B155&lt;N$6),N$4,N$5)/12),2))</f>
        <v/>
      </c>
    </row>
    <row r="156">
      <c r="A156" t="n">
        <v>145</v>
      </c>
      <c r="B156">
        <f>EDATE(Plan!$C$6,144)</f>
        <v/>
      </c>
      <c r="C156">
        <f>IF(C155&lt;=0,0,MAX(0,AH156-O156))</f>
        <v/>
      </c>
      <c r="D156">
        <f>IF(D155&lt;=0,0,MAX(0,AI156-P156))</f>
        <v/>
      </c>
      <c r="E156">
        <f>IF(E155&lt;=0,0,MAX(0,AJ156-Q156))</f>
        <v/>
      </c>
      <c r="F156">
        <f>IF(F155&lt;=0,0,MAX(0,AK156-R156))</f>
        <v/>
      </c>
      <c r="G156">
        <f>IF(G155&lt;=0,0,MAX(0,AL156-S156))</f>
        <v/>
      </c>
      <c r="H156">
        <f>IF(H155&lt;=0,0,MAX(0,AM156-T156))</f>
        <v/>
      </c>
      <c r="I156">
        <f>IF(I155&lt;=0,0,MAX(0,AN156-U156))</f>
        <v/>
      </c>
      <c r="J156">
        <f>IF(J155&lt;=0,0,MAX(0,AO156-V156))</f>
        <v/>
      </c>
      <c r="K156">
        <f>IF(K155&lt;=0,0,MAX(0,AP156-W156))</f>
        <v/>
      </c>
      <c r="L156">
        <f>IF(L155&lt;=0,0,MAX(0,AQ156-X156))</f>
        <v/>
      </c>
      <c r="M156">
        <f>IF(M155&lt;=0,0,MAX(0,AR156-Y156))</f>
        <v/>
      </c>
      <c r="N156">
        <f>IF(N155&lt;=0,0,MAX(0,AS156-Z156))</f>
        <v/>
      </c>
      <c r="O156">
        <f>IF(C155&lt;=0,0,MIN(AH156,C$7+IF(C$2=$AA156,$AC156,IF(C$2=$AF156,$AG156,0))))</f>
        <v/>
      </c>
      <c r="P156">
        <f>IF(D155&lt;=0,0,MIN(AI156,D$7+IF(D$2=$AA156,$AC156,IF(D$2=$AF156,$AG156,0))))</f>
        <v/>
      </c>
      <c r="Q156">
        <f>IF(E155&lt;=0,0,MIN(AJ156,E$7+IF(E$2=$AA156,$AC156,IF(E$2=$AF156,$AG156,0))))</f>
        <v/>
      </c>
      <c r="R156">
        <f>IF(F155&lt;=0,0,MIN(AK156,F$7+IF(F$2=$AA156,$AC156,IF(F$2=$AF156,$AG156,0))))</f>
        <v/>
      </c>
      <c r="S156">
        <f>IF(G155&lt;=0,0,MIN(AL156,G$7+IF(G$2=$AA156,$AC156,IF(G$2=$AF156,$AG156,0))))</f>
        <v/>
      </c>
      <c r="T156">
        <f>IF(H155&lt;=0,0,MIN(AM156,H$7+IF(H$2=$AA156,$AC156,IF(H$2=$AF156,$AG156,0))))</f>
        <v/>
      </c>
      <c r="U156">
        <f>IF(I155&lt;=0,0,MIN(AN156,I$7+IF(I$2=$AA156,$AC156,IF(I$2=$AF156,$AG156,0))))</f>
        <v/>
      </c>
      <c r="V156">
        <f>IF(J155&lt;=0,0,MIN(AO156,J$7+IF(J$2=$AA156,$AC156,IF(J$2=$AF156,$AG156,0))))</f>
        <v/>
      </c>
      <c r="W156">
        <f>IF(K155&lt;=0,0,MIN(AP156,K$7+IF(K$2=$AA156,$AC156,IF(K$2=$AF156,$AG156,0))))</f>
        <v/>
      </c>
      <c r="X156">
        <f>IF(L155&lt;=0,0,MIN(AQ156,L$7+IF(L$2=$AA156,$AC156,IF(L$2=$AF156,$AG156,0))))</f>
        <v/>
      </c>
      <c r="Y156">
        <f>IF(M155&lt;=0,0,MIN(AR156,M$7+IF(M$2=$AA156,$AC156,IF(M$2=$AF156,$AG156,0))))</f>
        <v/>
      </c>
      <c r="Z156">
        <f>IF(N155&lt;=0,0,MIN(AS156,N$7+IF(N$2=$AA156,$AC156,IF(N$2=$AF156,$AG156,0))))</f>
        <v/>
      </c>
      <c r="AA156">
        <f>IFERROR(ROUND(1/SUMPRODUCT(MAX((C155:N155&gt;0)*($C$3:$N$3&lt;=B156)/$C$2:$N$2)),0),0)</f>
        <v/>
      </c>
      <c r="AB156">
        <f>SUMPRODUCT((C155:N155&gt;0)*$C$7:$N$7)</f>
        <v/>
      </c>
      <c r="AC156">
        <f>MAX(0,Plan!$C$5-AB156)+IF(A156=Plan!$C$8,N(Plan!$C$7),0)</f>
        <v/>
      </c>
      <c r="AD156">
        <f>SUM(C156:N156)</f>
        <v/>
      </c>
      <c r="AE156">
        <f>SUM(O156:Z156)</f>
        <v/>
      </c>
      <c r="AF156">
        <f>IFERROR(ROUND(1/SUMPRODUCT(MAX((C155:N155&gt;0)*($C$3:$N$3&lt;=B156)*($C$2:$N$2&gt;AA156)/$C$2:$N$2)),0),0)</f>
        <v/>
      </c>
      <c r="AG156">
        <f>MAX(0,AC156-MAX(0,SUMPRODUCT(($C$2:$N$2=AA156)*(AH156:AS156-$C$7:$N$7))))</f>
        <v/>
      </c>
      <c r="AH156">
        <f>IF(C155&lt;=0,0,ROUND(C155*(1+IF(AND(C$6&gt;0,$B156&lt;C$6),C$4,C$5)/12),2))</f>
        <v/>
      </c>
      <c r="AI156">
        <f>IF(D155&lt;=0,0,ROUND(D155*(1+IF(AND(D$6&gt;0,$B156&lt;D$6),D$4,D$5)/12),2))</f>
        <v/>
      </c>
      <c r="AJ156">
        <f>IF(E155&lt;=0,0,ROUND(E155*(1+IF(AND(E$6&gt;0,$B156&lt;E$6),E$4,E$5)/12),2))</f>
        <v/>
      </c>
      <c r="AK156">
        <f>IF(F155&lt;=0,0,ROUND(F155*(1+IF(AND(F$6&gt;0,$B156&lt;F$6),F$4,F$5)/12),2))</f>
        <v/>
      </c>
      <c r="AL156">
        <f>IF(G155&lt;=0,0,ROUND(G155*(1+IF(AND(G$6&gt;0,$B156&lt;G$6),G$4,G$5)/12),2))</f>
        <v/>
      </c>
      <c r="AM156">
        <f>IF(H155&lt;=0,0,ROUND(H155*(1+IF(AND(H$6&gt;0,$B156&lt;H$6),H$4,H$5)/12),2))</f>
        <v/>
      </c>
      <c r="AN156">
        <f>IF(I155&lt;=0,0,ROUND(I155*(1+IF(AND(I$6&gt;0,$B156&lt;I$6),I$4,I$5)/12),2))</f>
        <v/>
      </c>
      <c r="AO156">
        <f>IF(J155&lt;=0,0,ROUND(J155*(1+IF(AND(J$6&gt;0,$B156&lt;J$6),J$4,J$5)/12),2))</f>
        <v/>
      </c>
      <c r="AP156">
        <f>IF(K155&lt;=0,0,ROUND(K155*(1+IF(AND(K$6&gt;0,$B156&lt;K$6),K$4,K$5)/12),2))</f>
        <v/>
      </c>
      <c r="AQ156">
        <f>IF(L155&lt;=0,0,ROUND(L155*(1+IF(AND(L$6&gt;0,$B156&lt;L$6),L$4,L$5)/12),2))</f>
        <v/>
      </c>
      <c r="AR156">
        <f>IF(M155&lt;=0,0,ROUND(M155*(1+IF(AND(M$6&gt;0,$B156&lt;M$6),M$4,M$5)/12),2))</f>
        <v/>
      </c>
      <c r="AS156">
        <f>IF(N155&lt;=0,0,ROUND(N155*(1+IF(AND(N$6&gt;0,$B156&lt;N$6),N$4,N$5)/12),2))</f>
        <v/>
      </c>
    </row>
    <row r="157">
      <c r="A157" t="n">
        <v>146</v>
      </c>
      <c r="B157">
        <f>EDATE(Plan!$C$6,145)</f>
        <v/>
      </c>
      <c r="C157">
        <f>IF(C156&lt;=0,0,MAX(0,AH157-O157))</f>
        <v/>
      </c>
      <c r="D157">
        <f>IF(D156&lt;=0,0,MAX(0,AI157-P157))</f>
        <v/>
      </c>
      <c r="E157">
        <f>IF(E156&lt;=0,0,MAX(0,AJ157-Q157))</f>
        <v/>
      </c>
      <c r="F157">
        <f>IF(F156&lt;=0,0,MAX(0,AK157-R157))</f>
        <v/>
      </c>
      <c r="G157">
        <f>IF(G156&lt;=0,0,MAX(0,AL157-S157))</f>
        <v/>
      </c>
      <c r="H157">
        <f>IF(H156&lt;=0,0,MAX(0,AM157-T157))</f>
        <v/>
      </c>
      <c r="I157">
        <f>IF(I156&lt;=0,0,MAX(0,AN157-U157))</f>
        <v/>
      </c>
      <c r="J157">
        <f>IF(J156&lt;=0,0,MAX(0,AO157-V157))</f>
        <v/>
      </c>
      <c r="K157">
        <f>IF(K156&lt;=0,0,MAX(0,AP157-W157))</f>
        <v/>
      </c>
      <c r="L157">
        <f>IF(L156&lt;=0,0,MAX(0,AQ157-X157))</f>
        <v/>
      </c>
      <c r="M157">
        <f>IF(M156&lt;=0,0,MAX(0,AR157-Y157))</f>
        <v/>
      </c>
      <c r="N157">
        <f>IF(N156&lt;=0,0,MAX(0,AS157-Z157))</f>
        <v/>
      </c>
      <c r="O157">
        <f>IF(C156&lt;=0,0,MIN(AH157,C$7+IF(C$2=$AA157,$AC157,IF(C$2=$AF157,$AG157,0))))</f>
        <v/>
      </c>
      <c r="P157">
        <f>IF(D156&lt;=0,0,MIN(AI157,D$7+IF(D$2=$AA157,$AC157,IF(D$2=$AF157,$AG157,0))))</f>
        <v/>
      </c>
      <c r="Q157">
        <f>IF(E156&lt;=0,0,MIN(AJ157,E$7+IF(E$2=$AA157,$AC157,IF(E$2=$AF157,$AG157,0))))</f>
        <v/>
      </c>
      <c r="R157">
        <f>IF(F156&lt;=0,0,MIN(AK157,F$7+IF(F$2=$AA157,$AC157,IF(F$2=$AF157,$AG157,0))))</f>
        <v/>
      </c>
      <c r="S157">
        <f>IF(G156&lt;=0,0,MIN(AL157,G$7+IF(G$2=$AA157,$AC157,IF(G$2=$AF157,$AG157,0))))</f>
        <v/>
      </c>
      <c r="T157">
        <f>IF(H156&lt;=0,0,MIN(AM157,H$7+IF(H$2=$AA157,$AC157,IF(H$2=$AF157,$AG157,0))))</f>
        <v/>
      </c>
      <c r="U157">
        <f>IF(I156&lt;=0,0,MIN(AN157,I$7+IF(I$2=$AA157,$AC157,IF(I$2=$AF157,$AG157,0))))</f>
        <v/>
      </c>
      <c r="V157">
        <f>IF(J156&lt;=0,0,MIN(AO157,J$7+IF(J$2=$AA157,$AC157,IF(J$2=$AF157,$AG157,0))))</f>
        <v/>
      </c>
      <c r="W157">
        <f>IF(K156&lt;=0,0,MIN(AP157,K$7+IF(K$2=$AA157,$AC157,IF(K$2=$AF157,$AG157,0))))</f>
        <v/>
      </c>
      <c r="X157">
        <f>IF(L156&lt;=0,0,MIN(AQ157,L$7+IF(L$2=$AA157,$AC157,IF(L$2=$AF157,$AG157,0))))</f>
        <v/>
      </c>
      <c r="Y157">
        <f>IF(M156&lt;=0,0,MIN(AR157,M$7+IF(M$2=$AA157,$AC157,IF(M$2=$AF157,$AG157,0))))</f>
        <v/>
      </c>
      <c r="Z157">
        <f>IF(N156&lt;=0,0,MIN(AS157,N$7+IF(N$2=$AA157,$AC157,IF(N$2=$AF157,$AG157,0))))</f>
        <v/>
      </c>
      <c r="AA157">
        <f>IFERROR(ROUND(1/SUMPRODUCT(MAX((C156:N156&gt;0)*($C$3:$N$3&lt;=B157)/$C$2:$N$2)),0),0)</f>
        <v/>
      </c>
      <c r="AB157">
        <f>SUMPRODUCT((C156:N156&gt;0)*$C$7:$N$7)</f>
        <v/>
      </c>
      <c r="AC157">
        <f>MAX(0,Plan!$C$5-AB157)+IF(A157=Plan!$C$8,N(Plan!$C$7),0)</f>
        <v/>
      </c>
      <c r="AD157">
        <f>SUM(C157:N157)</f>
        <v/>
      </c>
      <c r="AE157">
        <f>SUM(O157:Z157)</f>
        <v/>
      </c>
      <c r="AF157">
        <f>IFERROR(ROUND(1/SUMPRODUCT(MAX((C156:N156&gt;0)*($C$3:$N$3&lt;=B157)*($C$2:$N$2&gt;AA157)/$C$2:$N$2)),0),0)</f>
        <v/>
      </c>
      <c r="AG157">
        <f>MAX(0,AC157-MAX(0,SUMPRODUCT(($C$2:$N$2=AA157)*(AH157:AS157-$C$7:$N$7))))</f>
        <v/>
      </c>
      <c r="AH157">
        <f>IF(C156&lt;=0,0,ROUND(C156*(1+IF(AND(C$6&gt;0,$B157&lt;C$6),C$4,C$5)/12),2))</f>
        <v/>
      </c>
      <c r="AI157">
        <f>IF(D156&lt;=0,0,ROUND(D156*(1+IF(AND(D$6&gt;0,$B157&lt;D$6),D$4,D$5)/12),2))</f>
        <v/>
      </c>
      <c r="AJ157">
        <f>IF(E156&lt;=0,0,ROUND(E156*(1+IF(AND(E$6&gt;0,$B157&lt;E$6),E$4,E$5)/12),2))</f>
        <v/>
      </c>
      <c r="AK157">
        <f>IF(F156&lt;=0,0,ROUND(F156*(1+IF(AND(F$6&gt;0,$B157&lt;F$6),F$4,F$5)/12),2))</f>
        <v/>
      </c>
      <c r="AL157">
        <f>IF(G156&lt;=0,0,ROUND(G156*(1+IF(AND(G$6&gt;0,$B157&lt;G$6),G$4,G$5)/12),2))</f>
        <v/>
      </c>
      <c r="AM157">
        <f>IF(H156&lt;=0,0,ROUND(H156*(1+IF(AND(H$6&gt;0,$B157&lt;H$6),H$4,H$5)/12),2))</f>
        <v/>
      </c>
      <c r="AN157">
        <f>IF(I156&lt;=0,0,ROUND(I156*(1+IF(AND(I$6&gt;0,$B157&lt;I$6),I$4,I$5)/12),2))</f>
        <v/>
      </c>
      <c r="AO157">
        <f>IF(J156&lt;=0,0,ROUND(J156*(1+IF(AND(J$6&gt;0,$B157&lt;J$6),J$4,J$5)/12),2))</f>
        <v/>
      </c>
      <c r="AP157">
        <f>IF(K156&lt;=0,0,ROUND(K156*(1+IF(AND(K$6&gt;0,$B157&lt;K$6),K$4,K$5)/12),2))</f>
        <v/>
      </c>
      <c r="AQ157">
        <f>IF(L156&lt;=0,0,ROUND(L156*(1+IF(AND(L$6&gt;0,$B157&lt;L$6),L$4,L$5)/12),2))</f>
        <v/>
      </c>
      <c r="AR157">
        <f>IF(M156&lt;=0,0,ROUND(M156*(1+IF(AND(M$6&gt;0,$B157&lt;M$6),M$4,M$5)/12),2))</f>
        <v/>
      </c>
      <c r="AS157">
        <f>IF(N156&lt;=0,0,ROUND(N156*(1+IF(AND(N$6&gt;0,$B157&lt;N$6),N$4,N$5)/12),2))</f>
        <v/>
      </c>
    </row>
    <row r="158">
      <c r="A158" t="n">
        <v>147</v>
      </c>
      <c r="B158">
        <f>EDATE(Plan!$C$6,146)</f>
        <v/>
      </c>
      <c r="C158">
        <f>IF(C157&lt;=0,0,MAX(0,AH158-O158))</f>
        <v/>
      </c>
      <c r="D158">
        <f>IF(D157&lt;=0,0,MAX(0,AI158-P158))</f>
        <v/>
      </c>
      <c r="E158">
        <f>IF(E157&lt;=0,0,MAX(0,AJ158-Q158))</f>
        <v/>
      </c>
      <c r="F158">
        <f>IF(F157&lt;=0,0,MAX(0,AK158-R158))</f>
        <v/>
      </c>
      <c r="G158">
        <f>IF(G157&lt;=0,0,MAX(0,AL158-S158))</f>
        <v/>
      </c>
      <c r="H158">
        <f>IF(H157&lt;=0,0,MAX(0,AM158-T158))</f>
        <v/>
      </c>
      <c r="I158">
        <f>IF(I157&lt;=0,0,MAX(0,AN158-U158))</f>
        <v/>
      </c>
      <c r="J158">
        <f>IF(J157&lt;=0,0,MAX(0,AO158-V158))</f>
        <v/>
      </c>
      <c r="K158">
        <f>IF(K157&lt;=0,0,MAX(0,AP158-W158))</f>
        <v/>
      </c>
      <c r="L158">
        <f>IF(L157&lt;=0,0,MAX(0,AQ158-X158))</f>
        <v/>
      </c>
      <c r="M158">
        <f>IF(M157&lt;=0,0,MAX(0,AR158-Y158))</f>
        <v/>
      </c>
      <c r="N158">
        <f>IF(N157&lt;=0,0,MAX(0,AS158-Z158))</f>
        <v/>
      </c>
      <c r="O158">
        <f>IF(C157&lt;=0,0,MIN(AH158,C$7+IF(C$2=$AA158,$AC158,IF(C$2=$AF158,$AG158,0))))</f>
        <v/>
      </c>
      <c r="P158">
        <f>IF(D157&lt;=0,0,MIN(AI158,D$7+IF(D$2=$AA158,$AC158,IF(D$2=$AF158,$AG158,0))))</f>
        <v/>
      </c>
      <c r="Q158">
        <f>IF(E157&lt;=0,0,MIN(AJ158,E$7+IF(E$2=$AA158,$AC158,IF(E$2=$AF158,$AG158,0))))</f>
        <v/>
      </c>
      <c r="R158">
        <f>IF(F157&lt;=0,0,MIN(AK158,F$7+IF(F$2=$AA158,$AC158,IF(F$2=$AF158,$AG158,0))))</f>
        <v/>
      </c>
      <c r="S158">
        <f>IF(G157&lt;=0,0,MIN(AL158,G$7+IF(G$2=$AA158,$AC158,IF(G$2=$AF158,$AG158,0))))</f>
        <v/>
      </c>
      <c r="T158">
        <f>IF(H157&lt;=0,0,MIN(AM158,H$7+IF(H$2=$AA158,$AC158,IF(H$2=$AF158,$AG158,0))))</f>
        <v/>
      </c>
      <c r="U158">
        <f>IF(I157&lt;=0,0,MIN(AN158,I$7+IF(I$2=$AA158,$AC158,IF(I$2=$AF158,$AG158,0))))</f>
        <v/>
      </c>
      <c r="V158">
        <f>IF(J157&lt;=0,0,MIN(AO158,J$7+IF(J$2=$AA158,$AC158,IF(J$2=$AF158,$AG158,0))))</f>
        <v/>
      </c>
      <c r="W158">
        <f>IF(K157&lt;=0,0,MIN(AP158,K$7+IF(K$2=$AA158,$AC158,IF(K$2=$AF158,$AG158,0))))</f>
        <v/>
      </c>
      <c r="X158">
        <f>IF(L157&lt;=0,0,MIN(AQ158,L$7+IF(L$2=$AA158,$AC158,IF(L$2=$AF158,$AG158,0))))</f>
        <v/>
      </c>
      <c r="Y158">
        <f>IF(M157&lt;=0,0,MIN(AR158,M$7+IF(M$2=$AA158,$AC158,IF(M$2=$AF158,$AG158,0))))</f>
        <v/>
      </c>
      <c r="Z158">
        <f>IF(N157&lt;=0,0,MIN(AS158,N$7+IF(N$2=$AA158,$AC158,IF(N$2=$AF158,$AG158,0))))</f>
        <v/>
      </c>
      <c r="AA158">
        <f>IFERROR(ROUND(1/SUMPRODUCT(MAX((C157:N157&gt;0)*($C$3:$N$3&lt;=B158)/$C$2:$N$2)),0),0)</f>
        <v/>
      </c>
      <c r="AB158">
        <f>SUMPRODUCT((C157:N157&gt;0)*$C$7:$N$7)</f>
        <v/>
      </c>
      <c r="AC158">
        <f>MAX(0,Plan!$C$5-AB158)+IF(A158=Plan!$C$8,N(Plan!$C$7),0)</f>
        <v/>
      </c>
      <c r="AD158">
        <f>SUM(C158:N158)</f>
        <v/>
      </c>
      <c r="AE158">
        <f>SUM(O158:Z158)</f>
        <v/>
      </c>
      <c r="AF158">
        <f>IFERROR(ROUND(1/SUMPRODUCT(MAX((C157:N157&gt;0)*($C$3:$N$3&lt;=B158)*($C$2:$N$2&gt;AA158)/$C$2:$N$2)),0),0)</f>
        <v/>
      </c>
      <c r="AG158">
        <f>MAX(0,AC158-MAX(0,SUMPRODUCT(($C$2:$N$2=AA158)*(AH158:AS158-$C$7:$N$7))))</f>
        <v/>
      </c>
      <c r="AH158">
        <f>IF(C157&lt;=0,0,ROUND(C157*(1+IF(AND(C$6&gt;0,$B158&lt;C$6),C$4,C$5)/12),2))</f>
        <v/>
      </c>
      <c r="AI158">
        <f>IF(D157&lt;=0,0,ROUND(D157*(1+IF(AND(D$6&gt;0,$B158&lt;D$6),D$4,D$5)/12),2))</f>
        <v/>
      </c>
      <c r="AJ158">
        <f>IF(E157&lt;=0,0,ROUND(E157*(1+IF(AND(E$6&gt;0,$B158&lt;E$6),E$4,E$5)/12),2))</f>
        <v/>
      </c>
      <c r="AK158">
        <f>IF(F157&lt;=0,0,ROUND(F157*(1+IF(AND(F$6&gt;0,$B158&lt;F$6),F$4,F$5)/12),2))</f>
        <v/>
      </c>
      <c r="AL158">
        <f>IF(G157&lt;=0,0,ROUND(G157*(1+IF(AND(G$6&gt;0,$B158&lt;G$6),G$4,G$5)/12),2))</f>
        <v/>
      </c>
      <c r="AM158">
        <f>IF(H157&lt;=0,0,ROUND(H157*(1+IF(AND(H$6&gt;0,$B158&lt;H$6),H$4,H$5)/12),2))</f>
        <v/>
      </c>
      <c r="AN158">
        <f>IF(I157&lt;=0,0,ROUND(I157*(1+IF(AND(I$6&gt;0,$B158&lt;I$6),I$4,I$5)/12),2))</f>
        <v/>
      </c>
      <c r="AO158">
        <f>IF(J157&lt;=0,0,ROUND(J157*(1+IF(AND(J$6&gt;0,$B158&lt;J$6),J$4,J$5)/12),2))</f>
        <v/>
      </c>
      <c r="AP158">
        <f>IF(K157&lt;=0,0,ROUND(K157*(1+IF(AND(K$6&gt;0,$B158&lt;K$6),K$4,K$5)/12),2))</f>
        <v/>
      </c>
      <c r="AQ158">
        <f>IF(L157&lt;=0,0,ROUND(L157*(1+IF(AND(L$6&gt;0,$B158&lt;L$6),L$4,L$5)/12),2))</f>
        <v/>
      </c>
      <c r="AR158">
        <f>IF(M157&lt;=0,0,ROUND(M157*(1+IF(AND(M$6&gt;0,$B158&lt;M$6),M$4,M$5)/12),2))</f>
        <v/>
      </c>
      <c r="AS158">
        <f>IF(N157&lt;=0,0,ROUND(N157*(1+IF(AND(N$6&gt;0,$B158&lt;N$6),N$4,N$5)/12),2))</f>
        <v/>
      </c>
    </row>
    <row r="159">
      <c r="A159" t="n">
        <v>148</v>
      </c>
      <c r="B159">
        <f>EDATE(Plan!$C$6,147)</f>
        <v/>
      </c>
      <c r="C159">
        <f>IF(C158&lt;=0,0,MAX(0,AH159-O159))</f>
        <v/>
      </c>
      <c r="D159">
        <f>IF(D158&lt;=0,0,MAX(0,AI159-P159))</f>
        <v/>
      </c>
      <c r="E159">
        <f>IF(E158&lt;=0,0,MAX(0,AJ159-Q159))</f>
        <v/>
      </c>
      <c r="F159">
        <f>IF(F158&lt;=0,0,MAX(0,AK159-R159))</f>
        <v/>
      </c>
      <c r="G159">
        <f>IF(G158&lt;=0,0,MAX(0,AL159-S159))</f>
        <v/>
      </c>
      <c r="H159">
        <f>IF(H158&lt;=0,0,MAX(0,AM159-T159))</f>
        <v/>
      </c>
      <c r="I159">
        <f>IF(I158&lt;=0,0,MAX(0,AN159-U159))</f>
        <v/>
      </c>
      <c r="J159">
        <f>IF(J158&lt;=0,0,MAX(0,AO159-V159))</f>
        <v/>
      </c>
      <c r="K159">
        <f>IF(K158&lt;=0,0,MAX(0,AP159-W159))</f>
        <v/>
      </c>
      <c r="L159">
        <f>IF(L158&lt;=0,0,MAX(0,AQ159-X159))</f>
        <v/>
      </c>
      <c r="M159">
        <f>IF(M158&lt;=0,0,MAX(0,AR159-Y159))</f>
        <v/>
      </c>
      <c r="N159">
        <f>IF(N158&lt;=0,0,MAX(0,AS159-Z159))</f>
        <v/>
      </c>
      <c r="O159">
        <f>IF(C158&lt;=0,0,MIN(AH159,C$7+IF(C$2=$AA159,$AC159,IF(C$2=$AF159,$AG159,0))))</f>
        <v/>
      </c>
      <c r="P159">
        <f>IF(D158&lt;=0,0,MIN(AI159,D$7+IF(D$2=$AA159,$AC159,IF(D$2=$AF159,$AG159,0))))</f>
        <v/>
      </c>
      <c r="Q159">
        <f>IF(E158&lt;=0,0,MIN(AJ159,E$7+IF(E$2=$AA159,$AC159,IF(E$2=$AF159,$AG159,0))))</f>
        <v/>
      </c>
      <c r="R159">
        <f>IF(F158&lt;=0,0,MIN(AK159,F$7+IF(F$2=$AA159,$AC159,IF(F$2=$AF159,$AG159,0))))</f>
        <v/>
      </c>
      <c r="S159">
        <f>IF(G158&lt;=0,0,MIN(AL159,G$7+IF(G$2=$AA159,$AC159,IF(G$2=$AF159,$AG159,0))))</f>
        <v/>
      </c>
      <c r="T159">
        <f>IF(H158&lt;=0,0,MIN(AM159,H$7+IF(H$2=$AA159,$AC159,IF(H$2=$AF159,$AG159,0))))</f>
        <v/>
      </c>
      <c r="U159">
        <f>IF(I158&lt;=0,0,MIN(AN159,I$7+IF(I$2=$AA159,$AC159,IF(I$2=$AF159,$AG159,0))))</f>
        <v/>
      </c>
      <c r="V159">
        <f>IF(J158&lt;=0,0,MIN(AO159,J$7+IF(J$2=$AA159,$AC159,IF(J$2=$AF159,$AG159,0))))</f>
        <v/>
      </c>
      <c r="W159">
        <f>IF(K158&lt;=0,0,MIN(AP159,K$7+IF(K$2=$AA159,$AC159,IF(K$2=$AF159,$AG159,0))))</f>
        <v/>
      </c>
      <c r="X159">
        <f>IF(L158&lt;=0,0,MIN(AQ159,L$7+IF(L$2=$AA159,$AC159,IF(L$2=$AF159,$AG159,0))))</f>
        <v/>
      </c>
      <c r="Y159">
        <f>IF(M158&lt;=0,0,MIN(AR159,M$7+IF(M$2=$AA159,$AC159,IF(M$2=$AF159,$AG159,0))))</f>
        <v/>
      </c>
      <c r="Z159">
        <f>IF(N158&lt;=0,0,MIN(AS159,N$7+IF(N$2=$AA159,$AC159,IF(N$2=$AF159,$AG159,0))))</f>
        <v/>
      </c>
      <c r="AA159">
        <f>IFERROR(ROUND(1/SUMPRODUCT(MAX((C158:N158&gt;0)*($C$3:$N$3&lt;=B159)/$C$2:$N$2)),0),0)</f>
        <v/>
      </c>
      <c r="AB159">
        <f>SUMPRODUCT((C158:N158&gt;0)*$C$7:$N$7)</f>
        <v/>
      </c>
      <c r="AC159">
        <f>MAX(0,Plan!$C$5-AB159)+IF(A159=Plan!$C$8,N(Plan!$C$7),0)</f>
        <v/>
      </c>
      <c r="AD159">
        <f>SUM(C159:N159)</f>
        <v/>
      </c>
      <c r="AE159">
        <f>SUM(O159:Z159)</f>
        <v/>
      </c>
      <c r="AF159">
        <f>IFERROR(ROUND(1/SUMPRODUCT(MAX((C158:N158&gt;0)*($C$3:$N$3&lt;=B159)*($C$2:$N$2&gt;AA159)/$C$2:$N$2)),0),0)</f>
        <v/>
      </c>
      <c r="AG159">
        <f>MAX(0,AC159-MAX(0,SUMPRODUCT(($C$2:$N$2=AA159)*(AH159:AS159-$C$7:$N$7))))</f>
        <v/>
      </c>
      <c r="AH159">
        <f>IF(C158&lt;=0,0,ROUND(C158*(1+IF(AND(C$6&gt;0,$B159&lt;C$6),C$4,C$5)/12),2))</f>
        <v/>
      </c>
      <c r="AI159">
        <f>IF(D158&lt;=0,0,ROUND(D158*(1+IF(AND(D$6&gt;0,$B159&lt;D$6),D$4,D$5)/12),2))</f>
        <v/>
      </c>
      <c r="AJ159">
        <f>IF(E158&lt;=0,0,ROUND(E158*(1+IF(AND(E$6&gt;0,$B159&lt;E$6),E$4,E$5)/12),2))</f>
        <v/>
      </c>
      <c r="AK159">
        <f>IF(F158&lt;=0,0,ROUND(F158*(1+IF(AND(F$6&gt;0,$B159&lt;F$6),F$4,F$5)/12),2))</f>
        <v/>
      </c>
      <c r="AL159">
        <f>IF(G158&lt;=0,0,ROUND(G158*(1+IF(AND(G$6&gt;0,$B159&lt;G$6),G$4,G$5)/12),2))</f>
        <v/>
      </c>
      <c r="AM159">
        <f>IF(H158&lt;=0,0,ROUND(H158*(1+IF(AND(H$6&gt;0,$B159&lt;H$6),H$4,H$5)/12),2))</f>
        <v/>
      </c>
      <c r="AN159">
        <f>IF(I158&lt;=0,0,ROUND(I158*(1+IF(AND(I$6&gt;0,$B159&lt;I$6),I$4,I$5)/12),2))</f>
        <v/>
      </c>
      <c r="AO159">
        <f>IF(J158&lt;=0,0,ROUND(J158*(1+IF(AND(J$6&gt;0,$B159&lt;J$6),J$4,J$5)/12),2))</f>
        <v/>
      </c>
      <c r="AP159">
        <f>IF(K158&lt;=0,0,ROUND(K158*(1+IF(AND(K$6&gt;0,$B159&lt;K$6),K$4,K$5)/12),2))</f>
        <v/>
      </c>
      <c r="AQ159">
        <f>IF(L158&lt;=0,0,ROUND(L158*(1+IF(AND(L$6&gt;0,$B159&lt;L$6),L$4,L$5)/12),2))</f>
        <v/>
      </c>
      <c r="AR159">
        <f>IF(M158&lt;=0,0,ROUND(M158*(1+IF(AND(M$6&gt;0,$B159&lt;M$6),M$4,M$5)/12),2))</f>
        <v/>
      </c>
      <c r="AS159">
        <f>IF(N158&lt;=0,0,ROUND(N158*(1+IF(AND(N$6&gt;0,$B159&lt;N$6),N$4,N$5)/12),2))</f>
        <v/>
      </c>
    </row>
    <row r="160">
      <c r="A160" t="n">
        <v>149</v>
      </c>
      <c r="B160">
        <f>EDATE(Plan!$C$6,148)</f>
        <v/>
      </c>
      <c r="C160">
        <f>IF(C159&lt;=0,0,MAX(0,AH160-O160))</f>
        <v/>
      </c>
      <c r="D160">
        <f>IF(D159&lt;=0,0,MAX(0,AI160-P160))</f>
        <v/>
      </c>
      <c r="E160">
        <f>IF(E159&lt;=0,0,MAX(0,AJ160-Q160))</f>
        <v/>
      </c>
      <c r="F160">
        <f>IF(F159&lt;=0,0,MAX(0,AK160-R160))</f>
        <v/>
      </c>
      <c r="G160">
        <f>IF(G159&lt;=0,0,MAX(0,AL160-S160))</f>
        <v/>
      </c>
      <c r="H160">
        <f>IF(H159&lt;=0,0,MAX(0,AM160-T160))</f>
        <v/>
      </c>
      <c r="I160">
        <f>IF(I159&lt;=0,0,MAX(0,AN160-U160))</f>
        <v/>
      </c>
      <c r="J160">
        <f>IF(J159&lt;=0,0,MAX(0,AO160-V160))</f>
        <v/>
      </c>
      <c r="K160">
        <f>IF(K159&lt;=0,0,MAX(0,AP160-W160))</f>
        <v/>
      </c>
      <c r="L160">
        <f>IF(L159&lt;=0,0,MAX(0,AQ160-X160))</f>
        <v/>
      </c>
      <c r="M160">
        <f>IF(M159&lt;=0,0,MAX(0,AR160-Y160))</f>
        <v/>
      </c>
      <c r="N160">
        <f>IF(N159&lt;=0,0,MAX(0,AS160-Z160))</f>
        <v/>
      </c>
      <c r="O160">
        <f>IF(C159&lt;=0,0,MIN(AH160,C$7+IF(C$2=$AA160,$AC160,IF(C$2=$AF160,$AG160,0))))</f>
        <v/>
      </c>
      <c r="P160">
        <f>IF(D159&lt;=0,0,MIN(AI160,D$7+IF(D$2=$AA160,$AC160,IF(D$2=$AF160,$AG160,0))))</f>
        <v/>
      </c>
      <c r="Q160">
        <f>IF(E159&lt;=0,0,MIN(AJ160,E$7+IF(E$2=$AA160,$AC160,IF(E$2=$AF160,$AG160,0))))</f>
        <v/>
      </c>
      <c r="R160">
        <f>IF(F159&lt;=0,0,MIN(AK160,F$7+IF(F$2=$AA160,$AC160,IF(F$2=$AF160,$AG160,0))))</f>
        <v/>
      </c>
      <c r="S160">
        <f>IF(G159&lt;=0,0,MIN(AL160,G$7+IF(G$2=$AA160,$AC160,IF(G$2=$AF160,$AG160,0))))</f>
        <v/>
      </c>
      <c r="T160">
        <f>IF(H159&lt;=0,0,MIN(AM160,H$7+IF(H$2=$AA160,$AC160,IF(H$2=$AF160,$AG160,0))))</f>
        <v/>
      </c>
      <c r="U160">
        <f>IF(I159&lt;=0,0,MIN(AN160,I$7+IF(I$2=$AA160,$AC160,IF(I$2=$AF160,$AG160,0))))</f>
        <v/>
      </c>
      <c r="V160">
        <f>IF(J159&lt;=0,0,MIN(AO160,J$7+IF(J$2=$AA160,$AC160,IF(J$2=$AF160,$AG160,0))))</f>
        <v/>
      </c>
      <c r="W160">
        <f>IF(K159&lt;=0,0,MIN(AP160,K$7+IF(K$2=$AA160,$AC160,IF(K$2=$AF160,$AG160,0))))</f>
        <v/>
      </c>
      <c r="X160">
        <f>IF(L159&lt;=0,0,MIN(AQ160,L$7+IF(L$2=$AA160,$AC160,IF(L$2=$AF160,$AG160,0))))</f>
        <v/>
      </c>
      <c r="Y160">
        <f>IF(M159&lt;=0,0,MIN(AR160,M$7+IF(M$2=$AA160,$AC160,IF(M$2=$AF160,$AG160,0))))</f>
        <v/>
      </c>
      <c r="Z160">
        <f>IF(N159&lt;=0,0,MIN(AS160,N$7+IF(N$2=$AA160,$AC160,IF(N$2=$AF160,$AG160,0))))</f>
        <v/>
      </c>
      <c r="AA160">
        <f>IFERROR(ROUND(1/SUMPRODUCT(MAX((C159:N159&gt;0)*($C$3:$N$3&lt;=B160)/$C$2:$N$2)),0),0)</f>
        <v/>
      </c>
      <c r="AB160">
        <f>SUMPRODUCT((C159:N159&gt;0)*$C$7:$N$7)</f>
        <v/>
      </c>
      <c r="AC160">
        <f>MAX(0,Plan!$C$5-AB160)+IF(A160=Plan!$C$8,N(Plan!$C$7),0)</f>
        <v/>
      </c>
      <c r="AD160">
        <f>SUM(C160:N160)</f>
        <v/>
      </c>
      <c r="AE160">
        <f>SUM(O160:Z160)</f>
        <v/>
      </c>
      <c r="AF160">
        <f>IFERROR(ROUND(1/SUMPRODUCT(MAX((C159:N159&gt;0)*($C$3:$N$3&lt;=B160)*($C$2:$N$2&gt;AA160)/$C$2:$N$2)),0),0)</f>
        <v/>
      </c>
      <c r="AG160">
        <f>MAX(0,AC160-MAX(0,SUMPRODUCT(($C$2:$N$2=AA160)*(AH160:AS160-$C$7:$N$7))))</f>
        <v/>
      </c>
      <c r="AH160">
        <f>IF(C159&lt;=0,0,ROUND(C159*(1+IF(AND(C$6&gt;0,$B160&lt;C$6),C$4,C$5)/12),2))</f>
        <v/>
      </c>
      <c r="AI160">
        <f>IF(D159&lt;=0,0,ROUND(D159*(1+IF(AND(D$6&gt;0,$B160&lt;D$6),D$4,D$5)/12),2))</f>
        <v/>
      </c>
      <c r="AJ160">
        <f>IF(E159&lt;=0,0,ROUND(E159*(1+IF(AND(E$6&gt;0,$B160&lt;E$6),E$4,E$5)/12),2))</f>
        <v/>
      </c>
      <c r="AK160">
        <f>IF(F159&lt;=0,0,ROUND(F159*(1+IF(AND(F$6&gt;0,$B160&lt;F$6),F$4,F$5)/12),2))</f>
        <v/>
      </c>
      <c r="AL160">
        <f>IF(G159&lt;=0,0,ROUND(G159*(1+IF(AND(G$6&gt;0,$B160&lt;G$6),G$4,G$5)/12),2))</f>
        <v/>
      </c>
      <c r="AM160">
        <f>IF(H159&lt;=0,0,ROUND(H159*(1+IF(AND(H$6&gt;0,$B160&lt;H$6),H$4,H$5)/12),2))</f>
        <v/>
      </c>
      <c r="AN160">
        <f>IF(I159&lt;=0,0,ROUND(I159*(1+IF(AND(I$6&gt;0,$B160&lt;I$6),I$4,I$5)/12),2))</f>
        <v/>
      </c>
      <c r="AO160">
        <f>IF(J159&lt;=0,0,ROUND(J159*(1+IF(AND(J$6&gt;0,$B160&lt;J$6),J$4,J$5)/12),2))</f>
        <v/>
      </c>
      <c r="AP160">
        <f>IF(K159&lt;=0,0,ROUND(K159*(1+IF(AND(K$6&gt;0,$B160&lt;K$6),K$4,K$5)/12),2))</f>
        <v/>
      </c>
      <c r="AQ160">
        <f>IF(L159&lt;=0,0,ROUND(L159*(1+IF(AND(L$6&gt;0,$B160&lt;L$6),L$4,L$5)/12),2))</f>
        <v/>
      </c>
      <c r="AR160">
        <f>IF(M159&lt;=0,0,ROUND(M159*(1+IF(AND(M$6&gt;0,$B160&lt;M$6),M$4,M$5)/12),2))</f>
        <v/>
      </c>
      <c r="AS160">
        <f>IF(N159&lt;=0,0,ROUND(N159*(1+IF(AND(N$6&gt;0,$B160&lt;N$6),N$4,N$5)/12),2))</f>
        <v/>
      </c>
    </row>
    <row r="161">
      <c r="A161" t="n">
        <v>150</v>
      </c>
      <c r="B161">
        <f>EDATE(Plan!$C$6,149)</f>
        <v/>
      </c>
      <c r="C161">
        <f>IF(C160&lt;=0,0,MAX(0,AH161-O161))</f>
        <v/>
      </c>
      <c r="D161">
        <f>IF(D160&lt;=0,0,MAX(0,AI161-P161))</f>
        <v/>
      </c>
      <c r="E161">
        <f>IF(E160&lt;=0,0,MAX(0,AJ161-Q161))</f>
        <v/>
      </c>
      <c r="F161">
        <f>IF(F160&lt;=0,0,MAX(0,AK161-R161))</f>
        <v/>
      </c>
      <c r="G161">
        <f>IF(G160&lt;=0,0,MAX(0,AL161-S161))</f>
        <v/>
      </c>
      <c r="H161">
        <f>IF(H160&lt;=0,0,MAX(0,AM161-T161))</f>
        <v/>
      </c>
      <c r="I161">
        <f>IF(I160&lt;=0,0,MAX(0,AN161-U161))</f>
        <v/>
      </c>
      <c r="J161">
        <f>IF(J160&lt;=0,0,MAX(0,AO161-V161))</f>
        <v/>
      </c>
      <c r="K161">
        <f>IF(K160&lt;=0,0,MAX(0,AP161-W161))</f>
        <v/>
      </c>
      <c r="L161">
        <f>IF(L160&lt;=0,0,MAX(0,AQ161-X161))</f>
        <v/>
      </c>
      <c r="M161">
        <f>IF(M160&lt;=0,0,MAX(0,AR161-Y161))</f>
        <v/>
      </c>
      <c r="N161">
        <f>IF(N160&lt;=0,0,MAX(0,AS161-Z161))</f>
        <v/>
      </c>
      <c r="O161">
        <f>IF(C160&lt;=0,0,MIN(AH161,C$7+IF(C$2=$AA161,$AC161,IF(C$2=$AF161,$AG161,0))))</f>
        <v/>
      </c>
      <c r="P161">
        <f>IF(D160&lt;=0,0,MIN(AI161,D$7+IF(D$2=$AA161,$AC161,IF(D$2=$AF161,$AG161,0))))</f>
        <v/>
      </c>
      <c r="Q161">
        <f>IF(E160&lt;=0,0,MIN(AJ161,E$7+IF(E$2=$AA161,$AC161,IF(E$2=$AF161,$AG161,0))))</f>
        <v/>
      </c>
      <c r="R161">
        <f>IF(F160&lt;=0,0,MIN(AK161,F$7+IF(F$2=$AA161,$AC161,IF(F$2=$AF161,$AG161,0))))</f>
        <v/>
      </c>
      <c r="S161">
        <f>IF(G160&lt;=0,0,MIN(AL161,G$7+IF(G$2=$AA161,$AC161,IF(G$2=$AF161,$AG161,0))))</f>
        <v/>
      </c>
      <c r="T161">
        <f>IF(H160&lt;=0,0,MIN(AM161,H$7+IF(H$2=$AA161,$AC161,IF(H$2=$AF161,$AG161,0))))</f>
        <v/>
      </c>
      <c r="U161">
        <f>IF(I160&lt;=0,0,MIN(AN161,I$7+IF(I$2=$AA161,$AC161,IF(I$2=$AF161,$AG161,0))))</f>
        <v/>
      </c>
      <c r="V161">
        <f>IF(J160&lt;=0,0,MIN(AO161,J$7+IF(J$2=$AA161,$AC161,IF(J$2=$AF161,$AG161,0))))</f>
        <v/>
      </c>
      <c r="W161">
        <f>IF(K160&lt;=0,0,MIN(AP161,K$7+IF(K$2=$AA161,$AC161,IF(K$2=$AF161,$AG161,0))))</f>
        <v/>
      </c>
      <c r="X161">
        <f>IF(L160&lt;=0,0,MIN(AQ161,L$7+IF(L$2=$AA161,$AC161,IF(L$2=$AF161,$AG161,0))))</f>
        <v/>
      </c>
      <c r="Y161">
        <f>IF(M160&lt;=0,0,MIN(AR161,M$7+IF(M$2=$AA161,$AC161,IF(M$2=$AF161,$AG161,0))))</f>
        <v/>
      </c>
      <c r="Z161">
        <f>IF(N160&lt;=0,0,MIN(AS161,N$7+IF(N$2=$AA161,$AC161,IF(N$2=$AF161,$AG161,0))))</f>
        <v/>
      </c>
      <c r="AA161">
        <f>IFERROR(ROUND(1/SUMPRODUCT(MAX((C160:N160&gt;0)*($C$3:$N$3&lt;=B161)/$C$2:$N$2)),0),0)</f>
        <v/>
      </c>
      <c r="AB161">
        <f>SUMPRODUCT((C160:N160&gt;0)*$C$7:$N$7)</f>
        <v/>
      </c>
      <c r="AC161">
        <f>MAX(0,Plan!$C$5-AB161)+IF(A161=Plan!$C$8,N(Plan!$C$7),0)</f>
        <v/>
      </c>
      <c r="AD161">
        <f>SUM(C161:N161)</f>
        <v/>
      </c>
      <c r="AE161">
        <f>SUM(O161:Z161)</f>
        <v/>
      </c>
      <c r="AF161">
        <f>IFERROR(ROUND(1/SUMPRODUCT(MAX((C160:N160&gt;0)*($C$3:$N$3&lt;=B161)*($C$2:$N$2&gt;AA161)/$C$2:$N$2)),0),0)</f>
        <v/>
      </c>
      <c r="AG161">
        <f>MAX(0,AC161-MAX(0,SUMPRODUCT(($C$2:$N$2=AA161)*(AH161:AS161-$C$7:$N$7))))</f>
        <v/>
      </c>
      <c r="AH161">
        <f>IF(C160&lt;=0,0,ROUND(C160*(1+IF(AND(C$6&gt;0,$B161&lt;C$6),C$4,C$5)/12),2))</f>
        <v/>
      </c>
      <c r="AI161">
        <f>IF(D160&lt;=0,0,ROUND(D160*(1+IF(AND(D$6&gt;0,$B161&lt;D$6),D$4,D$5)/12),2))</f>
        <v/>
      </c>
      <c r="AJ161">
        <f>IF(E160&lt;=0,0,ROUND(E160*(1+IF(AND(E$6&gt;0,$B161&lt;E$6),E$4,E$5)/12),2))</f>
        <v/>
      </c>
      <c r="AK161">
        <f>IF(F160&lt;=0,0,ROUND(F160*(1+IF(AND(F$6&gt;0,$B161&lt;F$6),F$4,F$5)/12),2))</f>
        <v/>
      </c>
      <c r="AL161">
        <f>IF(G160&lt;=0,0,ROUND(G160*(1+IF(AND(G$6&gt;0,$B161&lt;G$6),G$4,G$5)/12),2))</f>
        <v/>
      </c>
      <c r="AM161">
        <f>IF(H160&lt;=0,0,ROUND(H160*(1+IF(AND(H$6&gt;0,$B161&lt;H$6),H$4,H$5)/12),2))</f>
        <v/>
      </c>
      <c r="AN161">
        <f>IF(I160&lt;=0,0,ROUND(I160*(1+IF(AND(I$6&gt;0,$B161&lt;I$6),I$4,I$5)/12),2))</f>
        <v/>
      </c>
      <c r="AO161">
        <f>IF(J160&lt;=0,0,ROUND(J160*(1+IF(AND(J$6&gt;0,$B161&lt;J$6),J$4,J$5)/12),2))</f>
        <v/>
      </c>
      <c r="AP161">
        <f>IF(K160&lt;=0,0,ROUND(K160*(1+IF(AND(K$6&gt;0,$B161&lt;K$6),K$4,K$5)/12),2))</f>
        <v/>
      </c>
      <c r="AQ161">
        <f>IF(L160&lt;=0,0,ROUND(L160*(1+IF(AND(L$6&gt;0,$B161&lt;L$6),L$4,L$5)/12),2))</f>
        <v/>
      </c>
      <c r="AR161">
        <f>IF(M160&lt;=0,0,ROUND(M160*(1+IF(AND(M$6&gt;0,$B161&lt;M$6),M$4,M$5)/12),2))</f>
        <v/>
      </c>
      <c r="AS161">
        <f>IF(N160&lt;=0,0,ROUND(N160*(1+IF(AND(N$6&gt;0,$B161&lt;N$6),N$4,N$5)/12),2))</f>
        <v/>
      </c>
    </row>
    <row r="162">
      <c r="A162" t="n">
        <v>151</v>
      </c>
      <c r="B162">
        <f>EDATE(Plan!$C$6,150)</f>
        <v/>
      </c>
      <c r="C162">
        <f>IF(C161&lt;=0,0,MAX(0,AH162-O162))</f>
        <v/>
      </c>
      <c r="D162">
        <f>IF(D161&lt;=0,0,MAX(0,AI162-P162))</f>
        <v/>
      </c>
      <c r="E162">
        <f>IF(E161&lt;=0,0,MAX(0,AJ162-Q162))</f>
        <v/>
      </c>
      <c r="F162">
        <f>IF(F161&lt;=0,0,MAX(0,AK162-R162))</f>
        <v/>
      </c>
      <c r="G162">
        <f>IF(G161&lt;=0,0,MAX(0,AL162-S162))</f>
        <v/>
      </c>
      <c r="H162">
        <f>IF(H161&lt;=0,0,MAX(0,AM162-T162))</f>
        <v/>
      </c>
      <c r="I162">
        <f>IF(I161&lt;=0,0,MAX(0,AN162-U162))</f>
        <v/>
      </c>
      <c r="J162">
        <f>IF(J161&lt;=0,0,MAX(0,AO162-V162))</f>
        <v/>
      </c>
      <c r="K162">
        <f>IF(K161&lt;=0,0,MAX(0,AP162-W162))</f>
        <v/>
      </c>
      <c r="L162">
        <f>IF(L161&lt;=0,0,MAX(0,AQ162-X162))</f>
        <v/>
      </c>
      <c r="M162">
        <f>IF(M161&lt;=0,0,MAX(0,AR162-Y162))</f>
        <v/>
      </c>
      <c r="N162">
        <f>IF(N161&lt;=0,0,MAX(0,AS162-Z162))</f>
        <v/>
      </c>
      <c r="O162">
        <f>IF(C161&lt;=0,0,MIN(AH162,C$7+IF(C$2=$AA162,$AC162,IF(C$2=$AF162,$AG162,0))))</f>
        <v/>
      </c>
      <c r="P162">
        <f>IF(D161&lt;=0,0,MIN(AI162,D$7+IF(D$2=$AA162,$AC162,IF(D$2=$AF162,$AG162,0))))</f>
        <v/>
      </c>
      <c r="Q162">
        <f>IF(E161&lt;=0,0,MIN(AJ162,E$7+IF(E$2=$AA162,$AC162,IF(E$2=$AF162,$AG162,0))))</f>
        <v/>
      </c>
      <c r="R162">
        <f>IF(F161&lt;=0,0,MIN(AK162,F$7+IF(F$2=$AA162,$AC162,IF(F$2=$AF162,$AG162,0))))</f>
        <v/>
      </c>
      <c r="S162">
        <f>IF(G161&lt;=0,0,MIN(AL162,G$7+IF(G$2=$AA162,$AC162,IF(G$2=$AF162,$AG162,0))))</f>
        <v/>
      </c>
      <c r="T162">
        <f>IF(H161&lt;=0,0,MIN(AM162,H$7+IF(H$2=$AA162,$AC162,IF(H$2=$AF162,$AG162,0))))</f>
        <v/>
      </c>
      <c r="U162">
        <f>IF(I161&lt;=0,0,MIN(AN162,I$7+IF(I$2=$AA162,$AC162,IF(I$2=$AF162,$AG162,0))))</f>
        <v/>
      </c>
      <c r="V162">
        <f>IF(J161&lt;=0,0,MIN(AO162,J$7+IF(J$2=$AA162,$AC162,IF(J$2=$AF162,$AG162,0))))</f>
        <v/>
      </c>
      <c r="W162">
        <f>IF(K161&lt;=0,0,MIN(AP162,K$7+IF(K$2=$AA162,$AC162,IF(K$2=$AF162,$AG162,0))))</f>
        <v/>
      </c>
      <c r="X162">
        <f>IF(L161&lt;=0,0,MIN(AQ162,L$7+IF(L$2=$AA162,$AC162,IF(L$2=$AF162,$AG162,0))))</f>
        <v/>
      </c>
      <c r="Y162">
        <f>IF(M161&lt;=0,0,MIN(AR162,M$7+IF(M$2=$AA162,$AC162,IF(M$2=$AF162,$AG162,0))))</f>
        <v/>
      </c>
      <c r="Z162">
        <f>IF(N161&lt;=0,0,MIN(AS162,N$7+IF(N$2=$AA162,$AC162,IF(N$2=$AF162,$AG162,0))))</f>
        <v/>
      </c>
      <c r="AA162">
        <f>IFERROR(ROUND(1/SUMPRODUCT(MAX((C161:N161&gt;0)*($C$3:$N$3&lt;=B162)/$C$2:$N$2)),0),0)</f>
        <v/>
      </c>
      <c r="AB162">
        <f>SUMPRODUCT((C161:N161&gt;0)*$C$7:$N$7)</f>
        <v/>
      </c>
      <c r="AC162">
        <f>MAX(0,Plan!$C$5-AB162)+IF(A162=Plan!$C$8,N(Plan!$C$7),0)</f>
        <v/>
      </c>
      <c r="AD162">
        <f>SUM(C162:N162)</f>
        <v/>
      </c>
      <c r="AE162">
        <f>SUM(O162:Z162)</f>
        <v/>
      </c>
      <c r="AF162">
        <f>IFERROR(ROUND(1/SUMPRODUCT(MAX((C161:N161&gt;0)*($C$3:$N$3&lt;=B162)*($C$2:$N$2&gt;AA162)/$C$2:$N$2)),0),0)</f>
        <v/>
      </c>
      <c r="AG162">
        <f>MAX(0,AC162-MAX(0,SUMPRODUCT(($C$2:$N$2=AA162)*(AH162:AS162-$C$7:$N$7))))</f>
        <v/>
      </c>
      <c r="AH162">
        <f>IF(C161&lt;=0,0,ROUND(C161*(1+IF(AND(C$6&gt;0,$B162&lt;C$6),C$4,C$5)/12),2))</f>
        <v/>
      </c>
      <c r="AI162">
        <f>IF(D161&lt;=0,0,ROUND(D161*(1+IF(AND(D$6&gt;0,$B162&lt;D$6),D$4,D$5)/12),2))</f>
        <v/>
      </c>
      <c r="AJ162">
        <f>IF(E161&lt;=0,0,ROUND(E161*(1+IF(AND(E$6&gt;0,$B162&lt;E$6),E$4,E$5)/12),2))</f>
        <v/>
      </c>
      <c r="AK162">
        <f>IF(F161&lt;=0,0,ROUND(F161*(1+IF(AND(F$6&gt;0,$B162&lt;F$6),F$4,F$5)/12),2))</f>
        <v/>
      </c>
      <c r="AL162">
        <f>IF(G161&lt;=0,0,ROUND(G161*(1+IF(AND(G$6&gt;0,$B162&lt;G$6),G$4,G$5)/12),2))</f>
        <v/>
      </c>
      <c r="AM162">
        <f>IF(H161&lt;=0,0,ROUND(H161*(1+IF(AND(H$6&gt;0,$B162&lt;H$6),H$4,H$5)/12),2))</f>
        <v/>
      </c>
      <c r="AN162">
        <f>IF(I161&lt;=0,0,ROUND(I161*(1+IF(AND(I$6&gt;0,$B162&lt;I$6),I$4,I$5)/12),2))</f>
        <v/>
      </c>
      <c r="AO162">
        <f>IF(J161&lt;=0,0,ROUND(J161*(1+IF(AND(J$6&gt;0,$B162&lt;J$6),J$4,J$5)/12),2))</f>
        <v/>
      </c>
      <c r="AP162">
        <f>IF(K161&lt;=0,0,ROUND(K161*(1+IF(AND(K$6&gt;0,$B162&lt;K$6),K$4,K$5)/12),2))</f>
        <v/>
      </c>
      <c r="AQ162">
        <f>IF(L161&lt;=0,0,ROUND(L161*(1+IF(AND(L$6&gt;0,$B162&lt;L$6),L$4,L$5)/12),2))</f>
        <v/>
      </c>
      <c r="AR162">
        <f>IF(M161&lt;=0,0,ROUND(M161*(1+IF(AND(M$6&gt;0,$B162&lt;M$6),M$4,M$5)/12),2))</f>
        <v/>
      </c>
      <c r="AS162">
        <f>IF(N161&lt;=0,0,ROUND(N161*(1+IF(AND(N$6&gt;0,$B162&lt;N$6),N$4,N$5)/12),2))</f>
        <v/>
      </c>
    </row>
    <row r="163">
      <c r="A163" t="n">
        <v>152</v>
      </c>
      <c r="B163">
        <f>EDATE(Plan!$C$6,151)</f>
        <v/>
      </c>
      <c r="C163">
        <f>IF(C162&lt;=0,0,MAX(0,AH163-O163))</f>
        <v/>
      </c>
      <c r="D163">
        <f>IF(D162&lt;=0,0,MAX(0,AI163-P163))</f>
        <v/>
      </c>
      <c r="E163">
        <f>IF(E162&lt;=0,0,MAX(0,AJ163-Q163))</f>
        <v/>
      </c>
      <c r="F163">
        <f>IF(F162&lt;=0,0,MAX(0,AK163-R163))</f>
        <v/>
      </c>
      <c r="G163">
        <f>IF(G162&lt;=0,0,MAX(0,AL163-S163))</f>
        <v/>
      </c>
      <c r="H163">
        <f>IF(H162&lt;=0,0,MAX(0,AM163-T163))</f>
        <v/>
      </c>
      <c r="I163">
        <f>IF(I162&lt;=0,0,MAX(0,AN163-U163))</f>
        <v/>
      </c>
      <c r="J163">
        <f>IF(J162&lt;=0,0,MAX(0,AO163-V163))</f>
        <v/>
      </c>
      <c r="K163">
        <f>IF(K162&lt;=0,0,MAX(0,AP163-W163))</f>
        <v/>
      </c>
      <c r="L163">
        <f>IF(L162&lt;=0,0,MAX(0,AQ163-X163))</f>
        <v/>
      </c>
      <c r="M163">
        <f>IF(M162&lt;=0,0,MAX(0,AR163-Y163))</f>
        <v/>
      </c>
      <c r="N163">
        <f>IF(N162&lt;=0,0,MAX(0,AS163-Z163))</f>
        <v/>
      </c>
      <c r="O163">
        <f>IF(C162&lt;=0,0,MIN(AH163,C$7+IF(C$2=$AA163,$AC163,IF(C$2=$AF163,$AG163,0))))</f>
        <v/>
      </c>
      <c r="P163">
        <f>IF(D162&lt;=0,0,MIN(AI163,D$7+IF(D$2=$AA163,$AC163,IF(D$2=$AF163,$AG163,0))))</f>
        <v/>
      </c>
      <c r="Q163">
        <f>IF(E162&lt;=0,0,MIN(AJ163,E$7+IF(E$2=$AA163,$AC163,IF(E$2=$AF163,$AG163,0))))</f>
        <v/>
      </c>
      <c r="R163">
        <f>IF(F162&lt;=0,0,MIN(AK163,F$7+IF(F$2=$AA163,$AC163,IF(F$2=$AF163,$AG163,0))))</f>
        <v/>
      </c>
      <c r="S163">
        <f>IF(G162&lt;=0,0,MIN(AL163,G$7+IF(G$2=$AA163,$AC163,IF(G$2=$AF163,$AG163,0))))</f>
        <v/>
      </c>
      <c r="T163">
        <f>IF(H162&lt;=0,0,MIN(AM163,H$7+IF(H$2=$AA163,$AC163,IF(H$2=$AF163,$AG163,0))))</f>
        <v/>
      </c>
      <c r="U163">
        <f>IF(I162&lt;=0,0,MIN(AN163,I$7+IF(I$2=$AA163,$AC163,IF(I$2=$AF163,$AG163,0))))</f>
        <v/>
      </c>
      <c r="V163">
        <f>IF(J162&lt;=0,0,MIN(AO163,J$7+IF(J$2=$AA163,$AC163,IF(J$2=$AF163,$AG163,0))))</f>
        <v/>
      </c>
      <c r="W163">
        <f>IF(K162&lt;=0,0,MIN(AP163,K$7+IF(K$2=$AA163,$AC163,IF(K$2=$AF163,$AG163,0))))</f>
        <v/>
      </c>
      <c r="X163">
        <f>IF(L162&lt;=0,0,MIN(AQ163,L$7+IF(L$2=$AA163,$AC163,IF(L$2=$AF163,$AG163,0))))</f>
        <v/>
      </c>
      <c r="Y163">
        <f>IF(M162&lt;=0,0,MIN(AR163,M$7+IF(M$2=$AA163,$AC163,IF(M$2=$AF163,$AG163,0))))</f>
        <v/>
      </c>
      <c r="Z163">
        <f>IF(N162&lt;=0,0,MIN(AS163,N$7+IF(N$2=$AA163,$AC163,IF(N$2=$AF163,$AG163,0))))</f>
        <v/>
      </c>
      <c r="AA163">
        <f>IFERROR(ROUND(1/SUMPRODUCT(MAX((C162:N162&gt;0)*($C$3:$N$3&lt;=B163)/$C$2:$N$2)),0),0)</f>
        <v/>
      </c>
      <c r="AB163">
        <f>SUMPRODUCT((C162:N162&gt;0)*$C$7:$N$7)</f>
        <v/>
      </c>
      <c r="AC163">
        <f>MAX(0,Plan!$C$5-AB163)+IF(A163=Plan!$C$8,N(Plan!$C$7),0)</f>
        <v/>
      </c>
      <c r="AD163">
        <f>SUM(C163:N163)</f>
        <v/>
      </c>
      <c r="AE163">
        <f>SUM(O163:Z163)</f>
        <v/>
      </c>
      <c r="AF163">
        <f>IFERROR(ROUND(1/SUMPRODUCT(MAX((C162:N162&gt;0)*($C$3:$N$3&lt;=B163)*($C$2:$N$2&gt;AA163)/$C$2:$N$2)),0),0)</f>
        <v/>
      </c>
      <c r="AG163">
        <f>MAX(0,AC163-MAX(0,SUMPRODUCT(($C$2:$N$2=AA163)*(AH163:AS163-$C$7:$N$7))))</f>
        <v/>
      </c>
      <c r="AH163">
        <f>IF(C162&lt;=0,0,ROUND(C162*(1+IF(AND(C$6&gt;0,$B163&lt;C$6),C$4,C$5)/12),2))</f>
        <v/>
      </c>
      <c r="AI163">
        <f>IF(D162&lt;=0,0,ROUND(D162*(1+IF(AND(D$6&gt;0,$B163&lt;D$6),D$4,D$5)/12),2))</f>
        <v/>
      </c>
      <c r="AJ163">
        <f>IF(E162&lt;=0,0,ROUND(E162*(1+IF(AND(E$6&gt;0,$B163&lt;E$6),E$4,E$5)/12),2))</f>
        <v/>
      </c>
      <c r="AK163">
        <f>IF(F162&lt;=0,0,ROUND(F162*(1+IF(AND(F$6&gt;0,$B163&lt;F$6),F$4,F$5)/12),2))</f>
        <v/>
      </c>
      <c r="AL163">
        <f>IF(G162&lt;=0,0,ROUND(G162*(1+IF(AND(G$6&gt;0,$B163&lt;G$6),G$4,G$5)/12),2))</f>
        <v/>
      </c>
      <c r="AM163">
        <f>IF(H162&lt;=0,0,ROUND(H162*(1+IF(AND(H$6&gt;0,$B163&lt;H$6),H$4,H$5)/12),2))</f>
        <v/>
      </c>
      <c r="AN163">
        <f>IF(I162&lt;=0,0,ROUND(I162*(1+IF(AND(I$6&gt;0,$B163&lt;I$6),I$4,I$5)/12),2))</f>
        <v/>
      </c>
      <c r="AO163">
        <f>IF(J162&lt;=0,0,ROUND(J162*(1+IF(AND(J$6&gt;0,$B163&lt;J$6),J$4,J$5)/12),2))</f>
        <v/>
      </c>
      <c r="AP163">
        <f>IF(K162&lt;=0,0,ROUND(K162*(1+IF(AND(K$6&gt;0,$B163&lt;K$6),K$4,K$5)/12),2))</f>
        <v/>
      </c>
      <c r="AQ163">
        <f>IF(L162&lt;=0,0,ROUND(L162*(1+IF(AND(L$6&gt;0,$B163&lt;L$6),L$4,L$5)/12),2))</f>
        <v/>
      </c>
      <c r="AR163">
        <f>IF(M162&lt;=0,0,ROUND(M162*(1+IF(AND(M$6&gt;0,$B163&lt;M$6),M$4,M$5)/12),2))</f>
        <v/>
      </c>
      <c r="AS163">
        <f>IF(N162&lt;=0,0,ROUND(N162*(1+IF(AND(N$6&gt;0,$B163&lt;N$6),N$4,N$5)/12),2))</f>
        <v/>
      </c>
    </row>
    <row r="164">
      <c r="A164" t="n">
        <v>153</v>
      </c>
      <c r="B164">
        <f>EDATE(Plan!$C$6,152)</f>
        <v/>
      </c>
      <c r="C164">
        <f>IF(C163&lt;=0,0,MAX(0,AH164-O164))</f>
        <v/>
      </c>
      <c r="D164">
        <f>IF(D163&lt;=0,0,MAX(0,AI164-P164))</f>
        <v/>
      </c>
      <c r="E164">
        <f>IF(E163&lt;=0,0,MAX(0,AJ164-Q164))</f>
        <v/>
      </c>
      <c r="F164">
        <f>IF(F163&lt;=0,0,MAX(0,AK164-R164))</f>
        <v/>
      </c>
      <c r="G164">
        <f>IF(G163&lt;=0,0,MAX(0,AL164-S164))</f>
        <v/>
      </c>
      <c r="H164">
        <f>IF(H163&lt;=0,0,MAX(0,AM164-T164))</f>
        <v/>
      </c>
      <c r="I164">
        <f>IF(I163&lt;=0,0,MAX(0,AN164-U164))</f>
        <v/>
      </c>
      <c r="J164">
        <f>IF(J163&lt;=0,0,MAX(0,AO164-V164))</f>
        <v/>
      </c>
      <c r="K164">
        <f>IF(K163&lt;=0,0,MAX(0,AP164-W164))</f>
        <v/>
      </c>
      <c r="L164">
        <f>IF(L163&lt;=0,0,MAX(0,AQ164-X164))</f>
        <v/>
      </c>
      <c r="M164">
        <f>IF(M163&lt;=0,0,MAX(0,AR164-Y164))</f>
        <v/>
      </c>
      <c r="N164">
        <f>IF(N163&lt;=0,0,MAX(0,AS164-Z164))</f>
        <v/>
      </c>
      <c r="O164">
        <f>IF(C163&lt;=0,0,MIN(AH164,C$7+IF(C$2=$AA164,$AC164,IF(C$2=$AF164,$AG164,0))))</f>
        <v/>
      </c>
      <c r="P164">
        <f>IF(D163&lt;=0,0,MIN(AI164,D$7+IF(D$2=$AA164,$AC164,IF(D$2=$AF164,$AG164,0))))</f>
        <v/>
      </c>
      <c r="Q164">
        <f>IF(E163&lt;=0,0,MIN(AJ164,E$7+IF(E$2=$AA164,$AC164,IF(E$2=$AF164,$AG164,0))))</f>
        <v/>
      </c>
      <c r="R164">
        <f>IF(F163&lt;=0,0,MIN(AK164,F$7+IF(F$2=$AA164,$AC164,IF(F$2=$AF164,$AG164,0))))</f>
        <v/>
      </c>
      <c r="S164">
        <f>IF(G163&lt;=0,0,MIN(AL164,G$7+IF(G$2=$AA164,$AC164,IF(G$2=$AF164,$AG164,0))))</f>
        <v/>
      </c>
      <c r="T164">
        <f>IF(H163&lt;=0,0,MIN(AM164,H$7+IF(H$2=$AA164,$AC164,IF(H$2=$AF164,$AG164,0))))</f>
        <v/>
      </c>
      <c r="U164">
        <f>IF(I163&lt;=0,0,MIN(AN164,I$7+IF(I$2=$AA164,$AC164,IF(I$2=$AF164,$AG164,0))))</f>
        <v/>
      </c>
      <c r="V164">
        <f>IF(J163&lt;=0,0,MIN(AO164,J$7+IF(J$2=$AA164,$AC164,IF(J$2=$AF164,$AG164,0))))</f>
        <v/>
      </c>
      <c r="W164">
        <f>IF(K163&lt;=0,0,MIN(AP164,K$7+IF(K$2=$AA164,$AC164,IF(K$2=$AF164,$AG164,0))))</f>
        <v/>
      </c>
      <c r="X164">
        <f>IF(L163&lt;=0,0,MIN(AQ164,L$7+IF(L$2=$AA164,$AC164,IF(L$2=$AF164,$AG164,0))))</f>
        <v/>
      </c>
      <c r="Y164">
        <f>IF(M163&lt;=0,0,MIN(AR164,M$7+IF(M$2=$AA164,$AC164,IF(M$2=$AF164,$AG164,0))))</f>
        <v/>
      </c>
      <c r="Z164">
        <f>IF(N163&lt;=0,0,MIN(AS164,N$7+IF(N$2=$AA164,$AC164,IF(N$2=$AF164,$AG164,0))))</f>
        <v/>
      </c>
      <c r="AA164">
        <f>IFERROR(ROUND(1/SUMPRODUCT(MAX((C163:N163&gt;0)*($C$3:$N$3&lt;=B164)/$C$2:$N$2)),0),0)</f>
        <v/>
      </c>
      <c r="AB164">
        <f>SUMPRODUCT((C163:N163&gt;0)*$C$7:$N$7)</f>
        <v/>
      </c>
      <c r="AC164">
        <f>MAX(0,Plan!$C$5-AB164)+IF(A164=Plan!$C$8,N(Plan!$C$7),0)</f>
        <v/>
      </c>
      <c r="AD164">
        <f>SUM(C164:N164)</f>
        <v/>
      </c>
      <c r="AE164">
        <f>SUM(O164:Z164)</f>
        <v/>
      </c>
      <c r="AF164">
        <f>IFERROR(ROUND(1/SUMPRODUCT(MAX((C163:N163&gt;0)*($C$3:$N$3&lt;=B164)*($C$2:$N$2&gt;AA164)/$C$2:$N$2)),0),0)</f>
        <v/>
      </c>
      <c r="AG164">
        <f>MAX(0,AC164-MAX(0,SUMPRODUCT(($C$2:$N$2=AA164)*(AH164:AS164-$C$7:$N$7))))</f>
        <v/>
      </c>
      <c r="AH164">
        <f>IF(C163&lt;=0,0,ROUND(C163*(1+IF(AND(C$6&gt;0,$B164&lt;C$6),C$4,C$5)/12),2))</f>
        <v/>
      </c>
      <c r="AI164">
        <f>IF(D163&lt;=0,0,ROUND(D163*(1+IF(AND(D$6&gt;0,$B164&lt;D$6),D$4,D$5)/12),2))</f>
        <v/>
      </c>
      <c r="AJ164">
        <f>IF(E163&lt;=0,0,ROUND(E163*(1+IF(AND(E$6&gt;0,$B164&lt;E$6),E$4,E$5)/12),2))</f>
        <v/>
      </c>
      <c r="AK164">
        <f>IF(F163&lt;=0,0,ROUND(F163*(1+IF(AND(F$6&gt;0,$B164&lt;F$6),F$4,F$5)/12),2))</f>
        <v/>
      </c>
      <c r="AL164">
        <f>IF(G163&lt;=0,0,ROUND(G163*(1+IF(AND(G$6&gt;0,$B164&lt;G$6),G$4,G$5)/12),2))</f>
        <v/>
      </c>
      <c r="AM164">
        <f>IF(H163&lt;=0,0,ROUND(H163*(1+IF(AND(H$6&gt;0,$B164&lt;H$6),H$4,H$5)/12),2))</f>
        <v/>
      </c>
      <c r="AN164">
        <f>IF(I163&lt;=0,0,ROUND(I163*(1+IF(AND(I$6&gt;0,$B164&lt;I$6),I$4,I$5)/12),2))</f>
        <v/>
      </c>
      <c r="AO164">
        <f>IF(J163&lt;=0,0,ROUND(J163*(1+IF(AND(J$6&gt;0,$B164&lt;J$6),J$4,J$5)/12),2))</f>
        <v/>
      </c>
      <c r="AP164">
        <f>IF(K163&lt;=0,0,ROUND(K163*(1+IF(AND(K$6&gt;0,$B164&lt;K$6),K$4,K$5)/12),2))</f>
        <v/>
      </c>
      <c r="AQ164">
        <f>IF(L163&lt;=0,0,ROUND(L163*(1+IF(AND(L$6&gt;0,$B164&lt;L$6),L$4,L$5)/12),2))</f>
        <v/>
      </c>
      <c r="AR164">
        <f>IF(M163&lt;=0,0,ROUND(M163*(1+IF(AND(M$6&gt;0,$B164&lt;M$6),M$4,M$5)/12),2))</f>
        <v/>
      </c>
      <c r="AS164">
        <f>IF(N163&lt;=0,0,ROUND(N163*(1+IF(AND(N$6&gt;0,$B164&lt;N$6),N$4,N$5)/12),2))</f>
        <v/>
      </c>
    </row>
    <row r="165">
      <c r="A165" t="n">
        <v>154</v>
      </c>
      <c r="B165">
        <f>EDATE(Plan!$C$6,153)</f>
        <v/>
      </c>
      <c r="C165">
        <f>IF(C164&lt;=0,0,MAX(0,AH165-O165))</f>
        <v/>
      </c>
      <c r="D165">
        <f>IF(D164&lt;=0,0,MAX(0,AI165-P165))</f>
        <v/>
      </c>
      <c r="E165">
        <f>IF(E164&lt;=0,0,MAX(0,AJ165-Q165))</f>
        <v/>
      </c>
      <c r="F165">
        <f>IF(F164&lt;=0,0,MAX(0,AK165-R165))</f>
        <v/>
      </c>
      <c r="G165">
        <f>IF(G164&lt;=0,0,MAX(0,AL165-S165))</f>
        <v/>
      </c>
      <c r="H165">
        <f>IF(H164&lt;=0,0,MAX(0,AM165-T165))</f>
        <v/>
      </c>
      <c r="I165">
        <f>IF(I164&lt;=0,0,MAX(0,AN165-U165))</f>
        <v/>
      </c>
      <c r="J165">
        <f>IF(J164&lt;=0,0,MAX(0,AO165-V165))</f>
        <v/>
      </c>
      <c r="K165">
        <f>IF(K164&lt;=0,0,MAX(0,AP165-W165))</f>
        <v/>
      </c>
      <c r="L165">
        <f>IF(L164&lt;=0,0,MAX(0,AQ165-X165))</f>
        <v/>
      </c>
      <c r="M165">
        <f>IF(M164&lt;=0,0,MAX(0,AR165-Y165))</f>
        <v/>
      </c>
      <c r="N165">
        <f>IF(N164&lt;=0,0,MAX(0,AS165-Z165))</f>
        <v/>
      </c>
      <c r="O165">
        <f>IF(C164&lt;=0,0,MIN(AH165,C$7+IF(C$2=$AA165,$AC165,IF(C$2=$AF165,$AG165,0))))</f>
        <v/>
      </c>
      <c r="P165">
        <f>IF(D164&lt;=0,0,MIN(AI165,D$7+IF(D$2=$AA165,$AC165,IF(D$2=$AF165,$AG165,0))))</f>
        <v/>
      </c>
      <c r="Q165">
        <f>IF(E164&lt;=0,0,MIN(AJ165,E$7+IF(E$2=$AA165,$AC165,IF(E$2=$AF165,$AG165,0))))</f>
        <v/>
      </c>
      <c r="R165">
        <f>IF(F164&lt;=0,0,MIN(AK165,F$7+IF(F$2=$AA165,$AC165,IF(F$2=$AF165,$AG165,0))))</f>
        <v/>
      </c>
      <c r="S165">
        <f>IF(G164&lt;=0,0,MIN(AL165,G$7+IF(G$2=$AA165,$AC165,IF(G$2=$AF165,$AG165,0))))</f>
        <v/>
      </c>
      <c r="T165">
        <f>IF(H164&lt;=0,0,MIN(AM165,H$7+IF(H$2=$AA165,$AC165,IF(H$2=$AF165,$AG165,0))))</f>
        <v/>
      </c>
      <c r="U165">
        <f>IF(I164&lt;=0,0,MIN(AN165,I$7+IF(I$2=$AA165,$AC165,IF(I$2=$AF165,$AG165,0))))</f>
        <v/>
      </c>
      <c r="V165">
        <f>IF(J164&lt;=0,0,MIN(AO165,J$7+IF(J$2=$AA165,$AC165,IF(J$2=$AF165,$AG165,0))))</f>
        <v/>
      </c>
      <c r="W165">
        <f>IF(K164&lt;=0,0,MIN(AP165,K$7+IF(K$2=$AA165,$AC165,IF(K$2=$AF165,$AG165,0))))</f>
        <v/>
      </c>
      <c r="X165">
        <f>IF(L164&lt;=0,0,MIN(AQ165,L$7+IF(L$2=$AA165,$AC165,IF(L$2=$AF165,$AG165,0))))</f>
        <v/>
      </c>
      <c r="Y165">
        <f>IF(M164&lt;=0,0,MIN(AR165,M$7+IF(M$2=$AA165,$AC165,IF(M$2=$AF165,$AG165,0))))</f>
        <v/>
      </c>
      <c r="Z165">
        <f>IF(N164&lt;=0,0,MIN(AS165,N$7+IF(N$2=$AA165,$AC165,IF(N$2=$AF165,$AG165,0))))</f>
        <v/>
      </c>
      <c r="AA165">
        <f>IFERROR(ROUND(1/SUMPRODUCT(MAX((C164:N164&gt;0)*($C$3:$N$3&lt;=B165)/$C$2:$N$2)),0),0)</f>
        <v/>
      </c>
      <c r="AB165">
        <f>SUMPRODUCT((C164:N164&gt;0)*$C$7:$N$7)</f>
        <v/>
      </c>
      <c r="AC165">
        <f>MAX(0,Plan!$C$5-AB165)+IF(A165=Plan!$C$8,N(Plan!$C$7),0)</f>
        <v/>
      </c>
      <c r="AD165">
        <f>SUM(C165:N165)</f>
        <v/>
      </c>
      <c r="AE165">
        <f>SUM(O165:Z165)</f>
        <v/>
      </c>
      <c r="AF165">
        <f>IFERROR(ROUND(1/SUMPRODUCT(MAX((C164:N164&gt;0)*($C$3:$N$3&lt;=B165)*($C$2:$N$2&gt;AA165)/$C$2:$N$2)),0),0)</f>
        <v/>
      </c>
      <c r="AG165">
        <f>MAX(0,AC165-MAX(0,SUMPRODUCT(($C$2:$N$2=AA165)*(AH165:AS165-$C$7:$N$7))))</f>
        <v/>
      </c>
      <c r="AH165">
        <f>IF(C164&lt;=0,0,ROUND(C164*(1+IF(AND(C$6&gt;0,$B165&lt;C$6),C$4,C$5)/12),2))</f>
        <v/>
      </c>
      <c r="AI165">
        <f>IF(D164&lt;=0,0,ROUND(D164*(1+IF(AND(D$6&gt;0,$B165&lt;D$6),D$4,D$5)/12),2))</f>
        <v/>
      </c>
      <c r="AJ165">
        <f>IF(E164&lt;=0,0,ROUND(E164*(1+IF(AND(E$6&gt;0,$B165&lt;E$6),E$4,E$5)/12),2))</f>
        <v/>
      </c>
      <c r="AK165">
        <f>IF(F164&lt;=0,0,ROUND(F164*(1+IF(AND(F$6&gt;0,$B165&lt;F$6),F$4,F$5)/12),2))</f>
        <v/>
      </c>
      <c r="AL165">
        <f>IF(G164&lt;=0,0,ROUND(G164*(1+IF(AND(G$6&gt;0,$B165&lt;G$6),G$4,G$5)/12),2))</f>
        <v/>
      </c>
      <c r="AM165">
        <f>IF(H164&lt;=0,0,ROUND(H164*(1+IF(AND(H$6&gt;0,$B165&lt;H$6),H$4,H$5)/12),2))</f>
        <v/>
      </c>
      <c r="AN165">
        <f>IF(I164&lt;=0,0,ROUND(I164*(1+IF(AND(I$6&gt;0,$B165&lt;I$6),I$4,I$5)/12),2))</f>
        <v/>
      </c>
      <c r="AO165">
        <f>IF(J164&lt;=0,0,ROUND(J164*(1+IF(AND(J$6&gt;0,$B165&lt;J$6),J$4,J$5)/12),2))</f>
        <v/>
      </c>
      <c r="AP165">
        <f>IF(K164&lt;=0,0,ROUND(K164*(1+IF(AND(K$6&gt;0,$B165&lt;K$6),K$4,K$5)/12),2))</f>
        <v/>
      </c>
      <c r="AQ165">
        <f>IF(L164&lt;=0,0,ROUND(L164*(1+IF(AND(L$6&gt;0,$B165&lt;L$6),L$4,L$5)/12),2))</f>
        <v/>
      </c>
      <c r="AR165">
        <f>IF(M164&lt;=0,0,ROUND(M164*(1+IF(AND(M$6&gt;0,$B165&lt;M$6),M$4,M$5)/12),2))</f>
        <v/>
      </c>
      <c r="AS165">
        <f>IF(N164&lt;=0,0,ROUND(N164*(1+IF(AND(N$6&gt;0,$B165&lt;N$6),N$4,N$5)/12),2))</f>
        <v/>
      </c>
    </row>
    <row r="166">
      <c r="A166" t="n">
        <v>155</v>
      </c>
      <c r="B166">
        <f>EDATE(Plan!$C$6,154)</f>
        <v/>
      </c>
      <c r="C166">
        <f>IF(C165&lt;=0,0,MAX(0,AH166-O166))</f>
        <v/>
      </c>
      <c r="D166">
        <f>IF(D165&lt;=0,0,MAX(0,AI166-P166))</f>
        <v/>
      </c>
      <c r="E166">
        <f>IF(E165&lt;=0,0,MAX(0,AJ166-Q166))</f>
        <v/>
      </c>
      <c r="F166">
        <f>IF(F165&lt;=0,0,MAX(0,AK166-R166))</f>
        <v/>
      </c>
      <c r="G166">
        <f>IF(G165&lt;=0,0,MAX(0,AL166-S166))</f>
        <v/>
      </c>
      <c r="H166">
        <f>IF(H165&lt;=0,0,MAX(0,AM166-T166))</f>
        <v/>
      </c>
      <c r="I166">
        <f>IF(I165&lt;=0,0,MAX(0,AN166-U166))</f>
        <v/>
      </c>
      <c r="J166">
        <f>IF(J165&lt;=0,0,MAX(0,AO166-V166))</f>
        <v/>
      </c>
      <c r="K166">
        <f>IF(K165&lt;=0,0,MAX(0,AP166-W166))</f>
        <v/>
      </c>
      <c r="L166">
        <f>IF(L165&lt;=0,0,MAX(0,AQ166-X166))</f>
        <v/>
      </c>
      <c r="M166">
        <f>IF(M165&lt;=0,0,MAX(0,AR166-Y166))</f>
        <v/>
      </c>
      <c r="N166">
        <f>IF(N165&lt;=0,0,MAX(0,AS166-Z166))</f>
        <v/>
      </c>
      <c r="O166">
        <f>IF(C165&lt;=0,0,MIN(AH166,C$7+IF(C$2=$AA166,$AC166,IF(C$2=$AF166,$AG166,0))))</f>
        <v/>
      </c>
      <c r="P166">
        <f>IF(D165&lt;=0,0,MIN(AI166,D$7+IF(D$2=$AA166,$AC166,IF(D$2=$AF166,$AG166,0))))</f>
        <v/>
      </c>
      <c r="Q166">
        <f>IF(E165&lt;=0,0,MIN(AJ166,E$7+IF(E$2=$AA166,$AC166,IF(E$2=$AF166,$AG166,0))))</f>
        <v/>
      </c>
      <c r="R166">
        <f>IF(F165&lt;=0,0,MIN(AK166,F$7+IF(F$2=$AA166,$AC166,IF(F$2=$AF166,$AG166,0))))</f>
        <v/>
      </c>
      <c r="S166">
        <f>IF(G165&lt;=0,0,MIN(AL166,G$7+IF(G$2=$AA166,$AC166,IF(G$2=$AF166,$AG166,0))))</f>
        <v/>
      </c>
      <c r="T166">
        <f>IF(H165&lt;=0,0,MIN(AM166,H$7+IF(H$2=$AA166,$AC166,IF(H$2=$AF166,$AG166,0))))</f>
        <v/>
      </c>
      <c r="U166">
        <f>IF(I165&lt;=0,0,MIN(AN166,I$7+IF(I$2=$AA166,$AC166,IF(I$2=$AF166,$AG166,0))))</f>
        <v/>
      </c>
      <c r="V166">
        <f>IF(J165&lt;=0,0,MIN(AO166,J$7+IF(J$2=$AA166,$AC166,IF(J$2=$AF166,$AG166,0))))</f>
        <v/>
      </c>
      <c r="W166">
        <f>IF(K165&lt;=0,0,MIN(AP166,K$7+IF(K$2=$AA166,$AC166,IF(K$2=$AF166,$AG166,0))))</f>
        <v/>
      </c>
      <c r="X166">
        <f>IF(L165&lt;=0,0,MIN(AQ166,L$7+IF(L$2=$AA166,$AC166,IF(L$2=$AF166,$AG166,0))))</f>
        <v/>
      </c>
      <c r="Y166">
        <f>IF(M165&lt;=0,0,MIN(AR166,M$7+IF(M$2=$AA166,$AC166,IF(M$2=$AF166,$AG166,0))))</f>
        <v/>
      </c>
      <c r="Z166">
        <f>IF(N165&lt;=0,0,MIN(AS166,N$7+IF(N$2=$AA166,$AC166,IF(N$2=$AF166,$AG166,0))))</f>
        <v/>
      </c>
      <c r="AA166">
        <f>IFERROR(ROUND(1/SUMPRODUCT(MAX((C165:N165&gt;0)*($C$3:$N$3&lt;=B166)/$C$2:$N$2)),0),0)</f>
        <v/>
      </c>
      <c r="AB166">
        <f>SUMPRODUCT((C165:N165&gt;0)*$C$7:$N$7)</f>
        <v/>
      </c>
      <c r="AC166">
        <f>MAX(0,Plan!$C$5-AB166)+IF(A166=Plan!$C$8,N(Plan!$C$7),0)</f>
        <v/>
      </c>
      <c r="AD166">
        <f>SUM(C166:N166)</f>
        <v/>
      </c>
      <c r="AE166">
        <f>SUM(O166:Z166)</f>
        <v/>
      </c>
      <c r="AF166">
        <f>IFERROR(ROUND(1/SUMPRODUCT(MAX((C165:N165&gt;0)*($C$3:$N$3&lt;=B166)*($C$2:$N$2&gt;AA166)/$C$2:$N$2)),0),0)</f>
        <v/>
      </c>
      <c r="AG166">
        <f>MAX(0,AC166-MAX(0,SUMPRODUCT(($C$2:$N$2=AA166)*(AH166:AS166-$C$7:$N$7))))</f>
        <v/>
      </c>
      <c r="AH166">
        <f>IF(C165&lt;=0,0,ROUND(C165*(1+IF(AND(C$6&gt;0,$B166&lt;C$6),C$4,C$5)/12),2))</f>
        <v/>
      </c>
      <c r="AI166">
        <f>IF(D165&lt;=0,0,ROUND(D165*(1+IF(AND(D$6&gt;0,$B166&lt;D$6),D$4,D$5)/12),2))</f>
        <v/>
      </c>
      <c r="AJ166">
        <f>IF(E165&lt;=0,0,ROUND(E165*(1+IF(AND(E$6&gt;0,$B166&lt;E$6),E$4,E$5)/12),2))</f>
        <v/>
      </c>
      <c r="AK166">
        <f>IF(F165&lt;=0,0,ROUND(F165*(1+IF(AND(F$6&gt;0,$B166&lt;F$6),F$4,F$5)/12),2))</f>
        <v/>
      </c>
      <c r="AL166">
        <f>IF(G165&lt;=0,0,ROUND(G165*(1+IF(AND(G$6&gt;0,$B166&lt;G$6),G$4,G$5)/12),2))</f>
        <v/>
      </c>
      <c r="AM166">
        <f>IF(H165&lt;=0,0,ROUND(H165*(1+IF(AND(H$6&gt;0,$B166&lt;H$6),H$4,H$5)/12),2))</f>
        <v/>
      </c>
      <c r="AN166">
        <f>IF(I165&lt;=0,0,ROUND(I165*(1+IF(AND(I$6&gt;0,$B166&lt;I$6),I$4,I$5)/12),2))</f>
        <v/>
      </c>
      <c r="AO166">
        <f>IF(J165&lt;=0,0,ROUND(J165*(1+IF(AND(J$6&gt;0,$B166&lt;J$6),J$4,J$5)/12),2))</f>
        <v/>
      </c>
      <c r="AP166">
        <f>IF(K165&lt;=0,0,ROUND(K165*(1+IF(AND(K$6&gt;0,$B166&lt;K$6),K$4,K$5)/12),2))</f>
        <v/>
      </c>
      <c r="AQ166">
        <f>IF(L165&lt;=0,0,ROUND(L165*(1+IF(AND(L$6&gt;0,$B166&lt;L$6),L$4,L$5)/12),2))</f>
        <v/>
      </c>
      <c r="AR166">
        <f>IF(M165&lt;=0,0,ROUND(M165*(1+IF(AND(M$6&gt;0,$B166&lt;M$6),M$4,M$5)/12),2))</f>
        <v/>
      </c>
      <c r="AS166">
        <f>IF(N165&lt;=0,0,ROUND(N165*(1+IF(AND(N$6&gt;0,$B166&lt;N$6),N$4,N$5)/12),2))</f>
        <v/>
      </c>
    </row>
    <row r="167">
      <c r="A167" t="n">
        <v>156</v>
      </c>
      <c r="B167">
        <f>EDATE(Plan!$C$6,155)</f>
        <v/>
      </c>
      <c r="C167">
        <f>IF(C166&lt;=0,0,MAX(0,AH167-O167))</f>
        <v/>
      </c>
      <c r="D167">
        <f>IF(D166&lt;=0,0,MAX(0,AI167-P167))</f>
        <v/>
      </c>
      <c r="E167">
        <f>IF(E166&lt;=0,0,MAX(0,AJ167-Q167))</f>
        <v/>
      </c>
      <c r="F167">
        <f>IF(F166&lt;=0,0,MAX(0,AK167-R167))</f>
        <v/>
      </c>
      <c r="G167">
        <f>IF(G166&lt;=0,0,MAX(0,AL167-S167))</f>
        <v/>
      </c>
      <c r="H167">
        <f>IF(H166&lt;=0,0,MAX(0,AM167-T167))</f>
        <v/>
      </c>
      <c r="I167">
        <f>IF(I166&lt;=0,0,MAX(0,AN167-U167))</f>
        <v/>
      </c>
      <c r="J167">
        <f>IF(J166&lt;=0,0,MAX(0,AO167-V167))</f>
        <v/>
      </c>
      <c r="K167">
        <f>IF(K166&lt;=0,0,MAX(0,AP167-W167))</f>
        <v/>
      </c>
      <c r="L167">
        <f>IF(L166&lt;=0,0,MAX(0,AQ167-X167))</f>
        <v/>
      </c>
      <c r="M167">
        <f>IF(M166&lt;=0,0,MAX(0,AR167-Y167))</f>
        <v/>
      </c>
      <c r="N167">
        <f>IF(N166&lt;=0,0,MAX(0,AS167-Z167))</f>
        <v/>
      </c>
      <c r="O167">
        <f>IF(C166&lt;=0,0,MIN(AH167,C$7+IF(C$2=$AA167,$AC167,IF(C$2=$AF167,$AG167,0))))</f>
        <v/>
      </c>
      <c r="P167">
        <f>IF(D166&lt;=0,0,MIN(AI167,D$7+IF(D$2=$AA167,$AC167,IF(D$2=$AF167,$AG167,0))))</f>
        <v/>
      </c>
      <c r="Q167">
        <f>IF(E166&lt;=0,0,MIN(AJ167,E$7+IF(E$2=$AA167,$AC167,IF(E$2=$AF167,$AG167,0))))</f>
        <v/>
      </c>
      <c r="R167">
        <f>IF(F166&lt;=0,0,MIN(AK167,F$7+IF(F$2=$AA167,$AC167,IF(F$2=$AF167,$AG167,0))))</f>
        <v/>
      </c>
      <c r="S167">
        <f>IF(G166&lt;=0,0,MIN(AL167,G$7+IF(G$2=$AA167,$AC167,IF(G$2=$AF167,$AG167,0))))</f>
        <v/>
      </c>
      <c r="T167">
        <f>IF(H166&lt;=0,0,MIN(AM167,H$7+IF(H$2=$AA167,$AC167,IF(H$2=$AF167,$AG167,0))))</f>
        <v/>
      </c>
      <c r="U167">
        <f>IF(I166&lt;=0,0,MIN(AN167,I$7+IF(I$2=$AA167,$AC167,IF(I$2=$AF167,$AG167,0))))</f>
        <v/>
      </c>
      <c r="V167">
        <f>IF(J166&lt;=0,0,MIN(AO167,J$7+IF(J$2=$AA167,$AC167,IF(J$2=$AF167,$AG167,0))))</f>
        <v/>
      </c>
      <c r="W167">
        <f>IF(K166&lt;=0,0,MIN(AP167,K$7+IF(K$2=$AA167,$AC167,IF(K$2=$AF167,$AG167,0))))</f>
        <v/>
      </c>
      <c r="X167">
        <f>IF(L166&lt;=0,0,MIN(AQ167,L$7+IF(L$2=$AA167,$AC167,IF(L$2=$AF167,$AG167,0))))</f>
        <v/>
      </c>
      <c r="Y167">
        <f>IF(M166&lt;=0,0,MIN(AR167,M$7+IF(M$2=$AA167,$AC167,IF(M$2=$AF167,$AG167,0))))</f>
        <v/>
      </c>
      <c r="Z167">
        <f>IF(N166&lt;=0,0,MIN(AS167,N$7+IF(N$2=$AA167,$AC167,IF(N$2=$AF167,$AG167,0))))</f>
        <v/>
      </c>
      <c r="AA167">
        <f>IFERROR(ROUND(1/SUMPRODUCT(MAX((C166:N166&gt;0)*($C$3:$N$3&lt;=B167)/$C$2:$N$2)),0),0)</f>
        <v/>
      </c>
      <c r="AB167">
        <f>SUMPRODUCT((C166:N166&gt;0)*$C$7:$N$7)</f>
        <v/>
      </c>
      <c r="AC167">
        <f>MAX(0,Plan!$C$5-AB167)+IF(A167=Plan!$C$8,N(Plan!$C$7),0)</f>
        <v/>
      </c>
      <c r="AD167">
        <f>SUM(C167:N167)</f>
        <v/>
      </c>
      <c r="AE167">
        <f>SUM(O167:Z167)</f>
        <v/>
      </c>
      <c r="AF167">
        <f>IFERROR(ROUND(1/SUMPRODUCT(MAX((C166:N166&gt;0)*($C$3:$N$3&lt;=B167)*($C$2:$N$2&gt;AA167)/$C$2:$N$2)),0),0)</f>
        <v/>
      </c>
      <c r="AG167">
        <f>MAX(0,AC167-MAX(0,SUMPRODUCT(($C$2:$N$2=AA167)*(AH167:AS167-$C$7:$N$7))))</f>
        <v/>
      </c>
      <c r="AH167">
        <f>IF(C166&lt;=0,0,ROUND(C166*(1+IF(AND(C$6&gt;0,$B167&lt;C$6),C$4,C$5)/12),2))</f>
        <v/>
      </c>
      <c r="AI167">
        <f>IF(D166&lt;=0,0,ROUND(D166*(1+IF(AND(D$6&gt;0,$B167&lt;D$6),D$4,D$5)/12),2))</f>
        <v/>
      </c>
      <c r="AJ167">
        <f>IF(E166&lt;=0,0,ROUND(E166*(1+IF(AND(E$6&gt;0,$B167&lt;E$6),E$4,E$5)/12),2))</f>
        <v/>
      </c>
      <c r="AK167">
        <f>IF(F166&lt;=0,0,ROUND(F166*(1+IF(AND(F$6&gt;0,$B167&lt;F$6),F$4,F$5)/12),2))</f>
        <v/>
      </c>
      <c r="AL167">
        <f>IF(G166&lt;=0,0,ROUND(G166*(1+IF(AND(G$6&gt;0,$B167&lt;G$6),G$4,G$5)/12),2))</f>
        <v/>
      </c>
      <c r="AM167">
        <f>IF(H166&lt;=0,0,ROUND(H166*(1+IF(AND(H$6&gt;0,$B167&lt;H$6),H$4,H$5)/12),2))</f>
        <v/>
      </c>
      <c r="AN167">
        <f>IF(I166&lt;=0,0,ROUND(I166*(1+IF(AND(I$6&gt;0,$B167&lt;I$6),I$4,I$5)/12),2))</f>
        <v/>
      </c>
      <c r="AO167">
        <f>IF(J166&lt;=0,0,ROUND(J166*(1+IF(AND(J$6&gt;0,$B167&lt;J$6),J$4,J$5)/12),2))</f>
        <v/>
      </c>
      <c r="AP167">
        <f>IF(K166&lt;=0,0,ROUND(K166*(1+IF(AND(K$6&gt;0,$B167&lt;K$6),K$4,K$5)/12),2))</f>
        <v/>
      </c>
      <c r="AQ167">
        <f>IF(L166&lt;=0,0,ROUND(L166*(1+IF(AND(L$6&gt;0,$B167&lt;L$6),L$4,L$5)/12),2))</f>
        <v/>
      </c>
      <c r="AR167">
        <f>IF(M166&lt;=0,0,ROUND(M166*(1+IF(AND(M$6&gt;0,$B167&lt;M$6),M$4,M$5)/12),2))</f>
        <v/>
      </c>
      <c r="AS167">
        <f>IF(N166&lt;=0,0,ROUND(N166*(1+IF(AND(N$6&gt;0,$B167&lt;N$6),N$4,N$5)/12),2))</f>
        <v/>
      </c>
    </row>
    <row r="168">
      <c r="A168" t="n">
        <v>157</v>
      </c>
      <c r="B168">
        <f>EDATE(Plan!$C$6,156)</f>
        <v/>
      </c>
      <c r="C168">
        <f>IF(C167&lt;=0,0,MAX(0,AH168-O168))</f>
        <v/>
      </c>
      <c r="D168">
        <f>IF(D167&lt;=0,0,MAX(0,AI168-P168))</f>
        <v/>
      </c>
      <c r="E168">
        <f>IF(E167&lt;=0,0,MAX(0,AJ168-Q168))</f>
        <v/>
      </c>
      <c r="F168">
        <f>IF(F167&lt;=0,0,MAX(0,AK168-R168))</f>
        <v/>
      </c>
      <c r="G168">
        <f>IF(G167&lt;=0,0,MAX(0,AL168-S168))</f>
        <v/>
      </c>
      <c r="H168">
        <f>IF(H167&lt;=0,0,MAX(0,AM168-T168))</f>
        <v/>
      </c>
      <c r="I168">
        <f>IF(I167&lt;=0,0,MAX(0,AN168-U168))</f>
        <v/>
      </c>
      <c r="J168">
        <f>IF(J167&lt;=0,0,MAX(0,AO168-V168))</f>
        <v/>
      </c>
      <c r="K168">
        <f>IF(K167&lt;=0,0,MAX(0,AP168-W168))</f>
        <v/>
      </c>
      <c r="L168">
        <f>IF(L167&lt;=0,0,MAX(0,AQ168-X168))</f>
        <v/>
      </c>
      <c r="M168">
        <f>IF(M167&lt;=0,0,MAX(0,AR168-Y168))</f>
        <v/>
      </c>
      <c r="N168">
        <f>IF(N167&lt;=0,0,MAX(0,AS168-Z168))</f>
        <v/>
      </c>
      <c r="O168">
        <f>IF(C167&lt;=0,0,MIN(AH168,C$7+IF(C$2=$AA168,$AC168,IF(C$2=$AF168,$AG168,0))))</f>
        <v/>
      </c>
      <c r="P168">
        <f>IF(D167&lt;=0,0,MIN(AI168,D$7+IF(D$2=$AA168,$AC168,IF(D$2=$AF168,$AG168,0))))</f>
        <v/>
      </c>
      <c r="Q168">
        <f>IF(E167&lt;=0,0,MIN(AJ168,E$7+IF(E$2=$AA168,$AC168,IF(E$2=$AF168,$AG168,0))))</f>
        <v/>
      </c>
      <c r="R168">
        <f>IF(F167&lt;=0,0,MIN(AK168,F$7+IF(F$2=$AA168,$AC168,IF(F$2=$AF168,$AG168,0))))</f>
        <v/>
      </c>
      <c r="S168">
        <f>IF(G167&lt;=0,0,MIN(AL168,G$7+IF(G$2=$AA168,$AC168,IF(G$2=$AF168,$AG168,0))))</f>
        <v/>
      </c>
      <c r="T168">
        <f>IF(H167&lt;=0,0,MIN(AM168,H$7+IF(H$2=$AA168,$AC168,IF(H$2=$AF168,$AG168,0))))</f>
        <v/>
      </c>
      <c r="U168">
        <f>IF(I167&lt;=0,0,MIN(AN168,I$7+IF(I$2=$AA168,$AC168,IF(I$2=$AF168,$AG168,0))))</f>
        <v/>
      </c>
      <c r="V168">
        <f>IF(J167&lt;=0,0,MIN(AO168,J$7+IF(J$2=$AA168,$AC168,IF(J$2=$AF168,$AG168,0))))</f>
        <v/>
      </c>
      <c r="W168">
        <f>IF(K167&lt;=0,0,MIN(AP168,K$7+IF(K$2=$AA168,$AC168,IF(K$2=$AF168,$AG168,0))))</f>
        <v/>
      </c>
      <c r="X168">
        <f>IF(L167&lt;=0,0,MIN(AQ168,L$7+IF(L$2=$AA168,$AC168,IF(L$2=$AF168,$AG168,0))))</f>
        <v/>
      </c>
      <c r="Y168">
        <f>IF(M167&lt;=0,0,MIN(AR168,M$7+IF(M$2=$AA168,$AC168,IF(M$2=$AF168,$AG168,0))))</f>
        <v/>
      </c>
      <c r="Z168">
        <f>IF(N167&lt;=0,0,MIN(AS168,N$7+IF(N$2=$AA168,$AC168,IF(N$2=$AF168,$AG168,0))))</f>
        <v/>
      </c>
      <c r="AA168">
        <f>IFERROR(ROUND(1/SUMPRODUCT(MAX((C167:N167&gt;0)*($C$3:$N$3&lt;=B168)/$C$2:$N$2)),0),0)</f>
        <v/>
      </c>
      <c r="AB168">
        <f>SUMPRODUCT((C167:N167&gt;0)*$C$7:$N$7)</f>
        <v/>
      </c>
      <c r="AC168">
        <f>MAX(0,Plan!$C$5-AB168)+IF(A168=Plan!$C$8,N(Plan!$C$7),0)</f>
        <v/>
      </c>
      <c r="AD168">
        <f>SUM(C168:N168)</f>
        <v/>
      </c>
      <c r="AE168">
        <f>SUM(O168:Z168)</f>
        <v/>
      </c>
      <c r="AF168">
        <f>IFERROR(ROUND(1/SUMPRODUCT(MAX((C167:N167&gt;0)*($C$3:$N$3&lt;=B168)*($C$2:$N$2&gt;AA168)/$C$2:$N$2)),0),0)</f>
        <v/>
      </c>
      <c r="AG168">
        <f>MAX(0,AC168-MAX(0,SUMPRODUCT(($C$2:$N$2=AA168)*(AH168:AS168-$C$7:$N$7))))</f>
        <v/>
      </c>
      <c r="AH168">
        <f>IF(C167&lt;=0,0,ROUND(C167*(1+IF(AND(C$6&gt;0,$B168&lt;C$6),C$4,C$5)/12),2))</f>
        <v/>
      </c>
      <c r="AI168">
        <f>IF(D167&lt;=0,0,ROUND(D167*(1+IF(AND(D$6&gt;0,$B168&lt;D$6),D$4,D$5)/12),2))</f>
        <v/>
      </c>
      <c r="AJ168">
        <f>IF(E167&lt;=0,0,ROUND(E167*(1+IF(AND(E$6&gt;0,$B168&lt;E$6),E$4,E$5)/12),2))</f>
        <v/>
      </c>
      <c r="AK168">
        <f>IF(F167&lt;=0,0,ROUND(F167*(1+IF(AND(F$6&gt;0,$B168&lt;F$6),F$4,F$5)/12),2))</f>
        <v/>
      </c>
      <c r="AL168">
        <f>IF(G167&lt;=0,0,ROUND(G167*(1+IF(AND(G$6&gt;0,$B168&lt;G$6),G$4,G$5)/12),2))</f>
        <v/>
      </c>
      <c r="AM168">
        <f>IF(H167&lt;=0,0,ROUND(H167*(1+IF(AND(H$6&gt;0,$B168&lt;H$6),H$4,H$5)/12),2))</f>
        <v/>
      </c>
      <c r="AN168">
        <f>IF(I167&lt;=0,0,ROUND(I167*(1+IF(AND(I$6&gt;0,$B168&lt;I$6),I$4,I$5)/12),2))</f>
        <v/>
      </c>
      <c r="AO168">
        <f>IF(J167&lt;=0,0,ROUND(J167*(1+IF(AND(J$6&gt;0,$B168&lt;J$6),J$4,J$5)/12),2))</f>
        <v/>
      </c>
      <c r="AP168">
        <f>IF(K167&lt;=0,0,ROUND(K167*(1+IF(AND(K$6&gt;0,$B168&lt;K$6),K$4,K$5)/12),2))</f>
        <v/>
      </c>
      <c r="AQ168">
        <f>IF(L167&lt;=0,0,ROUND(L167*(1+IF(AND(L$6&gt;0,$B168&lt;L$6),L$4,L$5)/12),2))</f>
        <v/>
      </c>
      <c r="AR168">
        <f>IF(M167&lt;=0,0,ROUND(M167*(1+IF(AND(M$6&gt;0,$B168&lt;M$6),M$4,M$5)/12),2))</f>
        <v/>
      </c>
      <c r="AS168">
        <f>IF(N167&lt;=0,0,ROUND(N167*(1+IF(AND(N$6&gt;0,$B168&lt;N$6),N$4,N$5)/12),2))</f>
        <v/>
      </c>
    </row>
    <row r="169">
      <c r="A169" t="n">
        <v>158</v>
      </c>
      <c r="B169">
        <f>EDATE(Plan!$C$6,157)</f>
        <v/>
      </c>
      <c r="C169">
        <f>IF(C168&lt;=0,0,MAX(0,AH169-O169))</f>
        <v/>
      </c>
      <c r="D169">
        <f>IF(D168&lt;=0,0,MAX(0,AI169-P169))</f>
        <v/>
      </c>
      <c r="E169">
        <f>IF(E168&lt;=0,0,MAX(0,AJ169-Q169))</f>
        <v/>
      </c>
      <c r="F169">
        <f>IF(F168&lt;=0,0,MAX(0,AK169-R169))</f>
        <v/>
      </c>
      <c r="G169">
        <f>IF(G168&lt;=0,0,MAX(0,AL169-S169))</f>
        <v/>
      </c>
      <c r="H169">
        <f>IF(H168&lt;=0,0,MAX(0,AM169-T169))</f>
        <v/>
      </c>
      <c r="I169">
        <f>IF(I168&lt;=0,0,MAX(0,AN169-U169))</f>
        <v/>
      </c>
      <c r="J169">
        <f>IF(J168&lt;=0,0,MAX(0,AO169-V169))</f>
        <v/>
      </c>
      <c r="K169">
        <f>IF(K168&lt;=0,0,MAX(0,AP169-W169))</f>
        <v/>
      </c>
      <c r="L169">
        <f>IF(L168&lt;=0,0,MAX(0,AQ169-X169))</f>
        <v/>
      </c>
      <c r="M169">
        <f>IF(M168&lt;=0,0,MAX(0,AR169-Y169))</f>
        <v/>
      </c>
      <c r="N169">
        <f>IF(N168&lt;=0,0,MAX(0,AS169-Z169))</f>
        <v/>
      </c>
      <c r="O169">
        <f>IF(C168&lt;=0,0,MIN(AH169,C$7+IF(C$2=$AA169,$AC169,IF(C$2=$AF169,$AG169,0))))</f>
        <v/>
      </c>
      <c r="P169">
        <f>IF(D168&lt;=0,0,MIN(AI169,D$7+IF(D$2=$AA169,$AC169,IF(D$2=$AF169,$AG169,0))))</f>
        <v/>
      </c>
      <c r="Q169">
        <f>IF(E168&lt;=0,0,MIN(AJ169,E$7+IF(E$2=$AA169,$AC169,IF(E$2=$AF169,$AG169,0))))</f>
        <v/>
      </c>
      <c r="R169">
        <f>IF(F168&lt;=0,0,MIN(AK169,F$7+IF(F$2=$AA169,$AC169,IF(F$2=$AF169,$AG169,0))))</f>
        <v/>
      </c>
      <c r="S169">
        <f>IF(G168&lt;=0,0,MIN(AL169,G$7+IF(G$2=$AA169,$AC169,IF(G$2=$AF169,$AG169,0))))</f>
        <v/>
      </c>
      <c r="T169">
        <f>IF(H168&lt;=0,0,MIN(AM169,H$7+IF(H$2=$AA169,$AC169,IF(H$2=$AF169,$AG169,0))))</f>
        <v/>
      </c>
      <c r="U169">
        <f>IF(I168&lt;=0,0,MIN(AN169,I$7+IF(I$2=$AA169,$AC169,IF(I$2=$AF169,$AG169,0))))</f>
        <v/>
      </c>
      <c r="V169">
        <f>IF(J168&lt;=0,0,MIN(AO169,J$7+IF(J$2=$AA169,$AC169,IF(J$2=$AF169,$AG169,0))))</f>
        <v/>
      </c>
      <c r="W169">
        <f>IF(K168&lt;=0,0,MIN(AP169,K$7+IF(K$2=$AA169,$AC169,IF(K$2=$AF169,$AG169,0))))</f>
        <v/>
      </c>
      <c r="X169">
        <f>IF(L168&lt;=0,0,MIN(AQ169,L$7+IF(L$2=$AA169,$AC169,IF(L$2=$AF169,$AG169,0))))</f>
        <v/>
      </c>
      <c r="Y169">
        <f>IF(M168&lt;=0,0,MIN(AR169,M$7+IF(M$2=$AA169,$AC169,IF(M$2=$AF169,$AG169,0))))</f>
        <v/>
      </c>
      <c r="Z169">
        <f>IF(N168&lt;=0,0,MIN(AS169,N$7+IF(N$2=$AA169,$AC169,IF(N$2=$AF169,$AG169,0))))</f>
        <v/>
      </c>
      <c r="AA169">
        <f>IFERROR(ROUND(1/SUMPRODUCT(MAX((C168:N168&gt;0)*($C$3:$N$3&lt;=B169)/$C$2:$N$2)),0),0)</f>
        <v/>
      </c>
      <c r="AB169">
        <f>SUMPRODUCT((C168:N168&gt;0)*$C$7:$N$7)</f>
        <v/>
      </c>
      <c r="AC169">
        <f>MAX(0,Plan!$C$5-AB169)+IF(A169=Plan!$C$8,N(Plan!$C$7),0)</f>
        <v/>
      </c>
      <c r="AD169">
        <f>SUM(C169:N169)</f>
        <v/>
      </c>
      <c r="AE169">
        <f>SUM(O169:Z169)</f>
        <v/>
      </c>
      <c r="AF169">
        <f>IFERROR(ROUND(1/SUMPRODUCT(MAX((C168:N168&gt;0)*($C$3:$N$3&lt;=B169)*($C$2:$N$2&gt;AA169)/$C$2:$N$2)),0),0)</f>
        <v/>
      </c>
      <c r="AG169">
        <f>MAX(0,AC169-MAX(0,SUMPRODUCT(($C$2:$N$2=AA169)*(AH169:AS169-$C$7:$N$7))))</f>
        <v/>
      </c>
      <c r="AH169">
        <f>IF(C168&lt;=0,0,ROUND(C168*(1+IF(AND(C$6&gt;0,$B169&lt;C$6),C$4,C$5)/12),2))</f>
        <v/>
      </c>
      <c r="AI169">
        <f>IF(D168&lt;=0,0,ROUND(D168*(1+IF(AND(D$6&gt;0,$B169&lt;D$6),D$4,D$5)/12),2))</f>
        <v/>
      </c>
      <c r="AJ169">
        <f>IF(E168&lt;=0,0,ROUND(E168*(1+IF(AND(E$6&gt;0,$B169&lt;E$6),E$4,E$5)/12),2))</f>
        <v/>
      </c>
      <c r="AK169">
        <f>IF(F168&lt;=0,0,ROUND(F168*(1+IF(AND(F$6&gt;0,$B169&lt;F$6),F$4,F$5)/12),2))</f>
        <v/>
      </c>
      <c r="AL169">
        <f>IF(G168&lt;=0,0,ROUND(G168*(1+IF(AND(G$6&gt;0,$B169&lt;G$6),G$4,G$5)/12),2))</f>
        <v/>
      </c>
      <c r="AM169">
        <f>IF(H168&lt;=0,0,ROUND(H168*(1+IF(AND(H$6&gt;0,$B169&lt;H$6),H$4,H$5)/12),2))</f>
        <v/>
      </c>
      <c r="AN169">
        <f>IF(I168&lt;=0,0,ROUND(I168*(1+IF(AND(I$6&gt;0,$B169&lt;I$6),I$4,I$5)/12),2))</f>
        <v/>
      </c>
      <c r="AO169">
        <f>IF(J168&lt;=0,0,ROUND(J168*(1+IF(AND(J$6&gt;0,$B169&lt;J$6),J$4,J$5)/12),2))</f>
        <v/>
      </c>
      <c r="AP169">
        <f>IF(K168&lt;=0,0,ROUND(K168*(1+IF(AND(K$6&gt;0,$B169&lt;K$6),K$4,K$5)/12),2))</f>
        <v/>
      </c>
      <c r="AQ169">
        <f>IF(L168&lt;=0,0,ROUND(L168*(1+IF(AND(L$6&gt;0,$B169&lt;L$6),L$4,L$5)/12),2))</f>
        <v/>
      </c>
      <c r="AR169">
        <f>IF(M168&lt;=0,0,ROUND(M168*(1+IF(AND(M$6&gt;0,$B169&lt;M$6),M$4,M$5)/12),2))</f>
        <v/>
      </c>
      <c r="AS169">
        <f>IF(N168&lt;=0,0,ROUND(N168*(1+IF(AND(N$6&gt;0,$B169&lt;N$6),N$4,N$5)/12),2))</f>
        <v/>
      </c>
    </row>
    <row r="170">
      <c r="A170" t="n">
        <v>159</v>
      </c>
      <c r="B170">
        <f>EDATE(Plan!$C$6,158)</f>
        <v/>
      </c>
      <c r="C170">
        <f>IF(C169&lt;=0,0,MAX(0,AH170-O170))</f>
        <v/>
      </c>
      <c r="D170">
        <f>IF(D169&lt;=0,0,MAX(0,AI170-P170))</f>
        <v/>
      </c>
      <c r="E170">
        <f>IF(E169&lt;=0,0,MAX(0,AJ170-Q170))</f>
        <v/>
      </c>
      <c r="F170">
        <f>IF(F169&lt;=0,0,MAX(0,AK170-R170))</f>
        <v/>
      </c>
      <c r="G170">
        <f>IF(G169&lt;=0,0,MAX(0,AL170-S170))</f>
        <v/>
      </c>
      <c r="H170">
        <f>IF(H169&lt;=0,0,MAX(0,AM170-T170))</f>
        <v/>
      </c>
      <c r="I170">
        <f>IF(I169&lt;=0,0,MAX(0,AN170-U170))</f>
        <v/>
      </c>
      <c r="J170">
        <f>IF(J169&lt;=0,0,MAX(0,AO170-V170))</f>
        <v/>
      </c>
      <c r="K170">
        <f>IF(K169&lt;=0,0,MAX(0,AP170-W170))</f>
        <v/>
      </c>
      <c r="L170">
        <f>IF(L169&lt;=0,0,MAX(0,AQ170-X170))</f>
        <v/>
      </c>
      <c r="M170">
        <f>IF(M169&lt;=0,0,MAX(0,AR170-Y170))</f>
        <v/>
      </c>
      <c r="N170">
        <f>IF(N169&lt;=0,0,MAX(0,AS170-Z170))</f>
        <v/>
      </c>
      <c r="O170">
        <f>IF(C169&lt;=0,0,MIN(AH170,C$7+IF(C$2=$AA170,$AC170,IF(C$2=$AF170,$AG170,0))))</f>
        <v/>
      </c>
      <c r="P170">
        <f>IF(D169&lt;=0,0,MIN(AI170,D$7+IF(D$2=$AA170,$AC170,IF(D$2=$AF170,$AG170,0))))</f>
        <v/>
      </c>
      <c r="Q170">
        <f>IF(E169&lt;=0,0,MIN(AJ170,E$7+IF(E$2=$AA170,$AC170,IF(E$2=$AF170,$AG170,0))))</f>
        <v/>
      </c>
      <c r="R170">
        <f>IF(F169&lt;=0,0,MIN(AK170,F$7+IF(F$2=$AA170,$AC170,IF(F$2=$AF170,$AG170,0))))</f>
        <v/>
      </c>
      <c r="S170">
        <f>IF(G169&lt;=0,0,MIN(AL170,G$7+IF(G$2=$AA170,$AC170,IF(G$2=$AF170,$AG170,0))))</f>
        <v/>
      </c>
      <c r="T170">
        <f>IF(H169&lt;=0,0,MIN(AM170,H$7+IF(H$2=$AA170,$AC170,IF(H$2=$AF170,$AG170,0))))</f>
        <v/>
      </c>
      <c r="U170">
        <f>IF(I169&lt;=0,0,MIN(AN170,I$7+IF(I$2=$AA170,$AC170,IF(I$2=$AF170,$AG170,0))))</f>
        <v/>
      </c>
      <c r="V170">
        <f>IF(J169&lt;=0,0,MIN(AO170,J$7+IF(J$2=$AA170,$AC170,IF(J$2=$AF170,$AG170,0))))</f>
        <v/>
      </c>
      <c r="W170">
        <f>IF(K169&lt;=0,0,MIN(AP170,K$7+IF(K$2=$AA170,$AC170,IF(K$2=$AF170,$AG170,0))))</f>
        <v/>
      </c>
      <c r="X170">
        <f>IF(L169&lt;=0,0,MIN(AQ170,L$7+IF(L$2=$AA170,$AC170,IF(L$2=$AF170,$AG170,0))))</f>
        <v/>
      </c>
      <c r="Y170">
        <f>IF(M169&lt;=0,0,MIN(AR170,M$7+IF(M$2=$AA170,$AC170,IF(M$2=$AF170,$AG170,0))))</f>
        <v/>
      </c>
      <c r="Z170">
        <f>IF(N169&lt;=0,0,MIN(AS170,N$7+IF(N$2=$AA170,$AC170,IF(N$2=$AF170,$AG170,0))))</f>
        <v/>
      </c>
      <c r="AA170">
        <f>IFERROR(ROUND(1/SUMPRODUCT(MAX((C169:N169&gt;0)*($C$3:$N$3&lt;=B170)/$C$2:$N$2)),0),0)</f>
        <v/>
      </c>
      <c r="AB170">
        <f>SUMPRODUCT((C169:N169&gt;0)*$C$7:$N$7)</f>
        <v/>
      </c>
      <c r="AC170">
        <f>MAX(0,Plan!$C$5-AB170)+IF(A170=Plan!$C$8,N(Plan!$C$7),0)</f>
        <v/>
      </c>
      <c r="AD170">
        <f>SUM(C170:N170)</f>
        <v/>
      </c>
      <c r="AE170">
        <f>SUM(O170:Z170)</f>
        <v/>
      </c>
      <c r="AF170">
        <f>IFERROR(ROUND(1/SUMPRODUCT(MAX((C169:N169&gt;0)*($C$3:$N$3&lt;=B170)*($C$2:$N$2&gt;AA170)/$C$2:$N$2)),0),0)</f>
        <v/>
      </c>
      <c r="AG170">
        <f>MAX(0,AC170-MAX(0,SUMPRODUCT(($C$2:$N$2=AA170)*(AH170:AS170-$C$7:$N$7))))</f>
        <v/>
      </c>
      <c r="AH170">
        <f>IF(C169&lt;=0,0,ROUND(C169*(1+IF(AND(C$6&gt;0,$B170&lt;C$6),C$4,C$5)/12),2))</f>
        <v/>
      </c>
      <c r="AI170">
        <f>IF(D169&lt;=0,0,ROUND(D169*(1+IF(AND(D$6&gt;0,$B170&lt;D$6),D$4,D$5)/12),2))</f>
        <v/>
      </c>
      <c r="AJ170">
        <f>IF(E169&lt;=0,0,ROUND(E169*(1+IF(AND(E$6&gt;0,$B170&lt;E$6),E$4,E$5)/12),2))</f>
        <v/>
      </c>
      <c r="AK170">
        <f>IF(F169&lt;=0,0,ROUND(F169*(1+IF(AND(F$6&gt;0,$B170&lt;F$6),F$4,F$5)/12),2))</f>
        <v/>
      </c>
      <c r="AL170">
        <f>IF(G169&lt;=0,0,ROUND(G169*(1+IF(AND(G$6&gt;0,$B170&lt;G$6),G$4,G$5)/12),2))</f>
        <v/>
      </c>
      <c r="AM170">
        <f>IF(H169&lt;=0,0,ROUND(H169*(1+IF(AND(H$6&gt;0,$B170&lt;H$6),H$4,H$5)/12),2))</f>
        <v/>
      </c>
      <c r="AN170">
        <f>IF(I169&lt;=0,0,ROUND(I169*(1+IF(AND(I$6&gt;0,$B170&lt;I$6),I$4,I$5)/12),2))</f>
        <v/>
      </c>
      <c r="AO170">
        <f>IF(J169&lt;=0,0,ROUND(J169*(1+IF(AND(J$6&gt;0,$B170&lt;J$6),J$4,J$5)/12),2))</f>
        <v/>
      </c>
      <c r="AP170">
        <f>IF(K169&lt;=0,0,ROUND(K169*(1+IF(AND(K$6&gt;0,$B170&lt;K$6),K$4,K$5)/12),2))</f>
        <v/>
      </c>
      <c r="AQ170">
        <f>IF(L169&lt;=0,0,ROUND(L169*(1+IF(AND(L$6&gt;0,$B170&lt;L$6),L$4,L$5)/12),2))</f>
        <v/>
      </c>
      <c r="AR170">
        <f>IF(M169&lt;=0,0,ROUND(M169*(1+IF(AND(M$6&gt;0,$B170&lt;M$6),M$4,M$5)/12),2))</f>
        <v/>
      </c>
      <c r="AS170">
        <f>IF(N169&lt;=0,0,ROUND(N169*(1+IF(AND(N$6&gt;0,$B170&lt;N$6),N$4,N$5)/12),2))</f>
        <v/>
      </c>
    </row>
    <row r="171">
      <c r="A171" t="n">
        <v>160</v>
      </c>
      <c r="B171">
        <f>EDATE(Plan!$C$6,159)</f>
        <v/>
      </c>
      <c r="C171">
        <f>IF(C170&lt;=0,0,MAX(0,AH171-O171))</f>
        <v/>
      </c>
      <c r="D171">
        <f>IF(D170&lt;=0,0,MAX(0,AI171-P171))</f>
        <v/>
      </c>
      <c r="E171">
        <f>IF(E170&lt;=0,0,MAX(0,AJ171-Q171))</f>
        <v/>
      </c>
      <c r="F171">
        <f>IF(F170&lt;=0,0,MAX(0,AK171-R171))</f>
        <v/>
      </c>
      <c r="G171">
        <f>IF(G170&lt;=0,0,MAX(0,AL171-S171))</f>
        <v/>
      </c>
      <c r="H171">
        <f>IF(H170&lt;=0,0,MAX(0,AM171-T171))</f>
        <v/>
      </c>
      <c r="I171">
        <f>IF(I170&lt;=0,0,MAX(0,AN171-U171))</f>
        <v/>
      </c>
      <c r="J171">
        <f>IF(J170&lt;=0,0,MAX(0,AO171-V171))</f>
        <v/>
      </c>
      <c r="K171">
        <f>IF(K170&lt;=0,0,MAX(0,AP171-W171))</f>
        <v/>
      </c>
      <c r="L171">
        <f>IF(L170&lt;=0,0,MAX(0,AQ171-X171))</f>
        <v/>
      </c>
      <c r="M171">
        <f>IF(M170&lt;=0,0,MAX(0,AR171-Y171))</f>
        <v/>
      </c>
      <c r="N171">
        <f>IF(N170&lt;=0,0,MAX(0,AS171-Z171))</f>
        <v/>
      </c>
      <c r="O171">
        <f>IF(C170&lt;=0,0,MIN(AH171,C$7+IF(C$2=$AA171,$AC171,IF(C$2=$AF171,$AG171,0))))</f>
        <v/>
      </c>
      <c r="P171">
        <f>IF(D170&lt;=0,0,MIN(AI171,D$7+IF(D$2=$AA171,$AC171,IF(D$2=$AF171,$AG171,0))))</f>
        <v/>
      </c>
      <c r="Q171">
        <f>IF(E170&lt;=0,0,MIN(AJ171,E$7+IF(E$2=$AA171,$AC171,IF(E$2=$AF171,$AG171,0))))</f>
        <v/>
      </c>
      <c r="R171">
        <f>IF(F170&lt;=0,0,MIN(AK171,F$7+IF(F$2=$AA171,$AC171,IF(F$2=$AF171,$AG171,0))))</f>
        <v/>
      </c>
      <c r="S171">
        <f>IF(G170&lt;=0,0,MIN(AL171,G$7+IF(G$2=$AA171,$AC171,IF(G$2=$AF171,$AG171,0))))</f>
        <v/>
      </c>
      <c r="T171">
        <f>IF(H170&lt;=0,0,MIN(AM171,H$7+IF(H$2=$AA171,$AC171,IF(H$2=$AF171,$AG171,0))))</f>
        <v/>
      </c>
      <c r="U171">
        <f>IF(I170&lt;=0,0,MIN(AN171,I$7+IF(I$2=$AA171,$AC171,IF(I$2=$AF171,$AG171,0))))</f>
        <v/>
      </c>
      <c r="V171">
        <f>IF(J170&lt;=0,0,MIN(AO171,J$7+IF(J$2=$AA171,$AC171,IF(J$2=$AF171,$AG171,0))))</f>
        <v/>
      </c>
      <c r="W171">
        <f>IF(K170&lt;=0,0,MIN(AP171,K$7+IF(K$2=$AA171,$AC171,IF(K$2=$AF171,$AG171,0))))</f>
        <v/>
      </c>
      <c r="X171">
        <f>IF(L170&lt;=0,0,MIN(AQ171,L$7+IF(L$2=$AA171,$AC171,IF(L$2=$AF171,$AG171,0))))</f>
        <v/>
      </c>
      <c r="Y171">
        <f>IF(M170&lt;=0,0,MIN(AR171,M$7+IF(M$2=$AA171,$AC171,IF(M$2=$AF171,$AG171,0))))</f>
        <v/>
      </c>
      <c r="Z171">
        <f>IF(N170&lt;=0,0,MIN(AS171,N$7+IF(N$2=$AA171,$AC171,IF(N$2=$AF171,$AG171,0))))</f>
        <v/>
      </c>
      <c r="AA171">
        <f>IFERROR(ROUND(1/SUMPRODUCT(MAX((C170:N170&gt;0)*($C$3:$N$3&lt;=B171)/$C$2:$N$2)),0),0)</f>
        <v/>
      </c>
      <c r="AB171">
        <f>SUMPRODUCT((C170:N170&gt;0)*$C$7:$N$7)</f>
        <v/>
      </c>
      <c r="AC171">
        <f>MAX(0,Plan!$C$5-AB171)+IF(A171=Plan!$C$8,N(Plan!$C$7),0)</f>
        <v/>
      </c>
      <c r="AD171">
        <f>SUM(C171:N171)</f>
        <v/>
      </c>
      <c r="AE171">
        <f>SUM(O171:Z171)</f>
        <v/>
      </c>
      <c r="AF171">
        <f>IFERROR(ROUND(1/SUMPRODUCT(MAX((C170:N170&gt;0)*($C$3:$N$3&lt;=B171)*($C$2:$N$2&gt;AA171)/$C$2:$N$2)),0),0)</f>
        <v/>
      </c>
      <c r="AG171">
        <f>MAX(0,AC171-MAX(0,SUMPRODUCT(($C$2:$N$2=AA171)*(AH171:AS171-$C$7:$N$7))))</f>
        <v/>
      </c>
      <c r="AH171">
        <f>IF(C170&lt;=0,0,ROUND(C170*(1+IF(AND(C$6&gt;0,$B171&lt;C$6),C$4,C$5)/12),2))</f>
        <v/>
      </c>
      <c r="AI171">
        <f>IF(D170&lt;=0,0,ROUND(D170*(1+IF(AND(D$6&gt;0,$B171&lt;D$6),D$4,D$5)/12),2))</f>
        <v/>
      </c>
      <c r="AJ171">
        <f>IF(E170&lt;=0,0,ROUND(E170*(1+IF(AND(E$6&gt;0,$B171&lt;E$6),E$4,E$5)/12),2))</f>
        <v/>
      </c>
      <c r="AK171">
        <f>IF(F170&lt;=0,0,ROUND(F170*(1+IF(AND(F$6&gt;0,$B171&lt;F$6),F$4,F$5)/12),2))</f>
        <v/>
      </c>
      <c r="AL171">
        <f>IF(G170&lt;=0,0,ROUND(G170*(1+IF(AND(G$6&gt;0,$B171&lt;G$6),G$4,G$5)/12),2))</f>
        <v/>
      </c>
      <c r="AM171">
        <f>IF(H170&lt;=0,0,ROUND(H170*(1+IF(AND(H$6&gt;0,$B171&lt;H$6),H$4,H$5)/12),2))</f>
        <v/>
      </c>
      <c r="AN171">
        <f>IF(I170&lt;=0,0,ROUND(I170*(1+IF(AND(I$6&gt;0,$B171&lt;I$6),I$4,I$5)/12),2))</f>
        <v/>
      </c>
      <c r="AO171">
        <f>IF(J170&lt;=0,0,ROUND(J170*(1+IF(AND(J$6&gt;0,$B171&lt;J$6),J$4,J$5)/12),2))</f>
        <v/>
      </c>
      <c r="AP171">
        <f>IF(K170&lt;=0,0,ROUND(K170*(1+IF(AND(K$6&gt;0,$B171&lt;K$6),K$4,K$5)/12),2))</f>
        <v/>
      </c>
      <c r="AQ171">
        <f>IF(L170&lt;=0,0,ROUND(L170*(1+IF(AND(L$6&gt;0,$B171&lt;L$6),L$4,L$5)/12),2))</f>
        <v/>
      </c>
      <c r="AR171">
        <f>IF(M170&lt;=0,0,ROUND(M170*(1+IF(AND(M$6&gt;0,$B171&lt;M$6),M$4,M$5)/12),2))</f>
        <v/>
      </c>
      <c r="AS171">
        <f>IF(N170&lt;=0,0,ROUND(N170*(1+IF(AND(N$6&gt;0,$B171&lt;N$6),N$4,N$5)/12),2))</f>
        <v/>
      </c>
    </row>
    <row r="172">
      <c r="A172" t="n">
        <v>161</v>
      </c>
      <c r="B172">
        <f>EDATE(Plan!$C$6,160)</f>
        <v/>
      </c>
      <c r="C172">
        <f>IF(C171&lt;=0,0,MAX(0,AH172-O172))</f>
        <v/>
      </c>
      <c r="D172">
        <f>IF(D171&lt;=0,0,MAX(0,AI172-P172))</f>
        <v/>
      </c>
      <c r="E172">
        <f>IF(E171&lt;=0,0,MAX(0,AJ172-Q172))</f>
        <v/>
      </c>
      <c r="F172">
        <f>IF(F171&lt;=0,0,MAX(0,AK172-R172))</f>
        <v/>
      </c>
      <c r="G172">
        <f>IF(G171&lt;=0,0,MAX(0,AL172-S172))</f>
        <v/>
      </c>
      <c r="H172">
        <f>IF(H171&lt;=0,0,MAX(0,AM172-T172))</f>
        <v/>
      </c>
      <c r="I172">
        <f>IF(I171&lt;=0,0,MAX(0,AN172-U172))</f>
        <v/>
      </c>
      <c r="J172">
        <f>IF(J171&lt;=0,0,MAX(0,AO172-V172))</f>
        <v/>
      </c>
      <c r="K172">
        <f>IF(K171&lt;=0,0,MAX(0,AP172-W172))</f>
        <v/>
      </c>
      <c r="L172">
        <f>IF(L171&lt;=0,0,MAX(0,AQ172-X172))</f>
        <v/>
      </c>
      <c r="M172">
        <f>IF(M171&lt;=0,0,MAX(0,AR172-Y172))</f>
        <v/>
      </c>
      <c r="N172">
        <f>IF(N171&lt;=0,0,MAX(0,AS172-Z172))</f>
        <v/>
      </c>
      <c r="O172">
        <f>IF(C171&lt;=0,0,MIN(AH172,C$7+IF(C$2=$AA172,$AC172,IF(C$2=$AF172,$AG172,0))))</f>
        <v/>
      </c>
      <c r="P172">
        <f>IF(D171&lt;=0,0,MIN(AI172,D$7+IF(D$2=$AA172,$AC172,IF(D$2=$AF172,$AG172,0))))</f>
        <v/>
      </c>
      <c r="Q172">
        <f>IF(E171&lt;=0,0,MIN(AJ172,E$7+IF(E$2=$AA172,$AC172,IF(E$2=$AF172,$AG172,0))))</f>
        <v/>
      </c>
      <c r="R172">
        <f>IF(F171&lt;=0,0,MIN(AK172,F$7+IF(F$2=$AA172,$AC172,IF(F$2=$AF172,$AG172,0))))</f>
        <v/>
      </c>
      <c r="S172">
        <f>IF(G171&lt;=0,0,MIN(AL172,G$7+IF(G$2=$AA172,$AC172,IF(G$2=$AF172,$AG172,0))))</f>
        <v/>
      </c>
      <c r="T172">
        <f>IF(H171&lt;=0,0,MIN(AM172,H$7+IF(H$2=$AA172,$AC172,IF(H$2=$AF172,$AG172,0))))</f>
        <v/>
      </c>
      <c r="U172">
        <f>IF(I171&lt;=0,0,MIN(AN172,I$7+IF(I$2=$AA172,$AC172,IF(I$2=$AF172,$AG172,0))))</f>
        <v/>
      </c>
      <c r="V172">
        <f>IF(J171&lt;=0,0,MIN(AO172,J$7+IF(J$2=$AA172,$AC172,IF(J$2=$AF172,$AG172,0))))</f>
        <v/>
      </c>
      <c r="W172">
        <f>IF(K171&lt;=0,0,MIN(AP172,K$7+IF(K$2=$AA172,$AC172,IF(K$2=$AF172,$AG172,0))))</f>
        <v/>
      </c>
      <c r="X172">
        <f>IF(L171&lt;=0,0,MIN(AQ172,L$7+IF(L$2=$AA172,$AC172,IF(L$2=$AF172,$AG172,0))))</f>
        <v/>
      </c>
      <c r="Y172">
        <f>IF(M171&lt;=0,0,MIN(AR172,M$7+IF(M$2=$AA172,$AC172,IF(M$2=$AF172,$AG172,0))))</f>
        <v/>
      </c>
      <c r="Z172">
        <f>IF(N171&lt;=0,0,MIN(AS172,N$7+IF(N$2=$AA172,$AC172,IF(N$2=$AF172,$AG172,0))))</f>
        <v/>
      </c>
      <c r="AA172">
        <f>IFERROR(ROUND(1/SUMPRODUCT(MAX((C171:N171&gt;0)*($C$3:$N$3&lt;=B172)/$C$2:$N$2)),0),0)</f>
        <v/>
      </c>
      <c r="AB172">
        <f>SUMPRODUCT((C171:N171&gt;0)*$C$7:$N$7)</f>
        <v/>
      </c>
      <c r="AC172">
        <f>MAX(0,Plan!$C$5-AB172)+IF(A172=Plan!$C$8,N(Plan!$C$7),0)</f>
        <v/>
      </c>
      <c r="AD172">
        <f>SUM(C172:N172)</f>
        <v/>
      </c>
      <c r="AE172">
        <f>SUM(O172:Z172)</f>
        <v/>
      </c>
      <c r="AF172">
        <f>IFERROR(ROUND(1/SUMPRODUCT(MAX((C171:N171&gt;0)*($C$3:$N$3&lt;=B172)*($C$2:$N$2&gt;AA172)/$C$2:$N$2)),0),0)</f>
        <v/>
      </c>
      <c r="AG172">
        <f>MAX(0,AC172-MAX(0,SUMPRODUCT(($C$2:$N$2=AA172)*(AH172:AS172-$C$7:$N$7))))</f>
        <v/>
      </c>
      <c r="AH172">
        <f>IF(C171&lt;=0,0,ROUND(C171*(1+IF(AND(C$6&gt;0,$B172&lt;C$6),C$4,C$5)/12),2))</f>
        <v/>
      </c>
      <c r="AI172">
        <f>IF(D171&lt;=0,0,ROUND(D171*(1+IF(AND(D$6&gt;0,$B172&lt;D$6),D$4,D$5)/12),2))</f>
        <v/>
      </c>
      <c r="AJ172">
        <f>IF(E171&lt;=0,0,ROUND(E171*(1+IF(AND(E$6&gt;0,$B172&lt;E$6),E$4,E$5)/12),2))</f>
        <v/>
      </c>
      <c r="AK172">
        <f>IF(F171&lt;=0,0,ROUND(F171*(1+IF(AND(F$6&gt;0,$B172&lt;F$6),F$4,F$5)/12),2))</f>
        <v/>
      </c>
      <c r="AL172">
        <f>IF(G171&lt;=0,0,ROUND(G171*(1+IF(AND(G$6&gt;0,$B172&lt;G$6),G$4,G$5)/12),2))</f>
        <v/>
      </c>
      <c r="AM172">
        <f>IF(H171&lt;=0,0,ROUND(H171*(1+IF(AND(H$6&gt;0,$B172&lt;H$6),H$4,H$5)/12),2))</f>
        <v/>
      </c>
      <c r="AN172">
        <f>IF(I171&lt;=0,0,ROUND(I171*(1+IF(AND(I$6&gt;0,$B172&lt;I$6),I$4,I$5)/12),2))</f>
        <v/>
      </c>
      <c r="AO172">
        <f>IF(J171&lt;=0,0,ROUND(J171*(1+IF(AND(J$6&gt;0,$B172&lt;J$6),J$4,J$5)/12),2))</f>
        <v/>
      </c>
      <c r="AP172">
        <f>IF(K171&lt;=0,0,ROUND(K171*(1+IF(AND(K$6&gt;0,$B172&lt;K$6),K$4,K$5)/12),2))</f>
        <v/>
      </c>
      <c r="AQ172">
        <f>IF(L171&lt;=0,0,ROUND(L171*(1+IF(AND(L$6&gt;0,$B172&lt;L$6),L$4,L$5)/12),2))</f>
        <v/>
      </c>
      <c r="AR172">
        <f>IF(M171&lt;=0,0,ROUND(M171*(1+IF(AND(M$6&gt;0,$B172&lt;M$6),M$4,M$5)/12),2))</f>
        <v/>
      </c>
      <c r="AS172">
        <f>IF(N171&lt;=0,0,ROUND(N171*(1+IF(AND(N$6&gt;0,$B172&lt;N$6),N$4,N$5)/12),2))</f>
        <v/>
      </c>
    </row>
    <row r="173">
      <c r="A173" t="n">
        <v>162</v>
      </c>
      <c r="B173">
        <f>EDATE(Plan!$C$6,161)</f>
        <v/>
      </c>
      <c r="C173">
        <f>IF(C172&lt;=0,0,MAX(0,AH173-O173))</f>
        <v/>
      </c>
      <c r="D173">
        <f>IF(D172&lt;=0,0,MAX(0,AI173-P173))</f>
        <v/>
      </c>
      <c r="E173">
        <f>IF(E172&lt;=0,0,MAX(0,AJ173-Q173))</f>
        <v/>
      </c>
      <c r="F173">
        <f>IF(F172&lt;=0,0,MAX(0,AK173-R173))</f>
        <v/>
      </c>
      <c r="G173">
        <f>IF(G172&lt;=0,0,MAX(0,AL173-S173))</f>
        <v/>
      </c>
      <c r="H173">
        <f>IF(H172&lt;=0,0,MAX(0,AM173-T173))</f>
        <v/>
      </c>
      <c r="I173">
        <f>IF(I172&lt;=0,0,MAX(0,AN173-U173))</f>
        <v/>
      </c>
      <c r="J173">
        <f>IF(J172&lt;=0,0,MAX(0,AO173-V173))</f>
        <v/>
      </c>
      <c r="K173">
        <f>IF(K172&lt;=0,0,MAX(0,AP173-W173))</f>
        <v/>
      </c>
      <c r="L173">
        <f>IF(L172&lt;=0,0,MAX(0,AQ173-X173))</f>
        <v/>
      </c>
      <c r="M173">
        <f>IF(M172&lt;=0,0,MAX(0,AR173-Y173))</f>
        <v/>
      </c>
      <c r="N173">
        <f>IF(N172&lt;=0,0,MAX(0,AS173-Z173))</f>
        <v/>
      </c>
      <c r="O173">
        <f>IF(C172&lt;=0,0,MIN(AH173,C$7+IF(C$2=$AA173,$AC173,IF(C$2=$AF173,$AG173,0))))</f>
        <v/>
      </c>
      <c r="P173">
        <f>IF(D172&lt;=0,0,MIN(AI173,D$7+IF(D$2=$AA173,$AC173,IF(D$2=$AF173,$AG173,0))))</f>
        <v/>
      </c>
      <c r="Q173">
        <f>IF(E172&lt;=0,0,MIN(AJ173,E$7+IF(E$2=$AA173,$AC173,IF(E$2=$AF173,$AG173,0))))</f>
        <v/>
      </c>
      <c r="R173">
        <f>IF(F172&lt;=0,0,MIN(AK173,F$7+IF(F$2=$AA173,$AC173,IF(F$2=$AF173,$AG173,0))))</f>
        <v/>
      </c>
      <c r="S173">
        <f>IF(G172&lt;=0,0,MIN(AL173,G$7+IF(G$2=$AA173,$AC173,IF(G$2=$AF173,$AG173,0))))</f>
        <v/>
      </c>
      <c r="T173">
        <f>IF(H172&lt;=0,0,MIN(AM173,H$7+IF(H$2=$AA173,$AC173,IF(H$2=$AF173,$AG173,0))))</f>
        <v/>
      </c>
      <c r="U173">
        <f>IF(I172&lt;=0,0,MIN(AN173,I$7+IF(I$2=$AA173,$AC173,IF(I$2=$AF173,$AG173,0))))</f>
        <v/>
      </c>
      <c r="V173">
        <f>IF(J172&lt;=0,0,MIN(AO173,J$7+IF(J$2=$AA173,$AC173,IF(J$2=$AF173,$AG173,0))))</f>
        <v/>
      </c>
      <c r="W173">
        <f>IF(K172&lt;=0,0,MIN(AP173,K$7+IF(K$2=$AA173,$AC173,IF(K$2=$AF173,$AG173,0))))</f>
        <v/>
      </c>
      <c r="X173">
        <f>IF(L172&lt;=0,0,MIN(AQ173,L$7+IF(L$2=$AA173,$AC173,IF(L$2=$AF173,$AG173,0))))</f>
        <v/>
      </c>
      <c r="Y173">
        <f>IF(M172&lt;=0,0,MIN(AR173,M$7+IF(M$2=$AA173,$AC173,IF(M$2=$AF173,$AG173,0))))</f>
        <v/>
      </c>
      <c r="Z173">
        <f>IF(N172&lt;=0,0,MIN(AS173,N$7+IF(N$2=$AA173,$AC173,IF(N$2=$AF173,$AG173,0))))</f>
        <v/>
      </c>
      <c r="AA173">
        <f>IFERROR(ROUND(1/SUMPRODUCT(MAX((C172:N172&gt;0)*($C$3:$N$3&lt;=B173)/$C$2:$N$2)),0),0)</f>
        <v/>
      </c>
      <c r="AB173">
        <f>SUMPRODUCT((C172:N172&gt;0)*$C$7:$N$7)</f>
        <v/>
      </c>
      <c r="AC173">
        <f>MAX(0,Plan!$C$5-AB173)+IF(A173=Plan!$C$8,N(Plan!$C$7),0)</f>
        <v/>
      </c>
      <c r="AD173">
        <f>SUM(C173:N173)</f>
        <v/>
      </c>
      <c r="AE173">
        <f>SUM(O173:Z173)</f>
        <v/>
      </c>
      <c r="AF173">
        <f>IFERROR(ROUND(1/SUMPRODUCT(MAX((C172:N172&gt;0)*($C$3:$N$3&lt;=B173)*($C$2:$N$2&gt;AA173)/$C$2:$N$2)),0),0)</f>
        <v/>
      </c>
      <c r="AG173">
        <f>MAX(0,AC173-MAX(0,SUMPRODUCT(($C$2:$N$2=AA173)*(AH173:AS173-$C$7:$N$7))))</f>
        <v/>
      </c>
      <c r="AH173">
        <f>IF(C172&lt;=0,0,ROUND(C172*(1+IF(AND(C$6&gt;0,$B173&lt;C$6),C$4,C$5)/12),2))</f>
        <v/>
      </c>
      <c r="AI173">
        <f>IF(D172&lt;=0,0,ROUND(D172*(1+IF(AND(D$6&gt;0,$B173&lt;D$6),D$4,D$5)/12),2))</f>
        <v/>
      </c>
      <c r="AJ173">
        <f>IF(E172&lt;=0,0,ROUND(E172*(1+IF(AND(E$6&gt;0,$B173&lt;E$6),E$4,E$5)/12),2))</f>
        <v/>
      </c>
      <c r="AK173">
        <f>IF(F172&lt;=0,0,ROUND(F172*(1+IF(AND(F$6&gt;0,$B173&lt;F$6),F$4,F$5)/12),2))</f>
        <v/>
      </c>
      <c r="AL173">
        <f>IF(G172&lt;=0,0,ROUND(G172*(1+IF(AND(G$6&gt;0,$B173&lt;G$6),G$4,G$5)/12),2))</f>
        <v/>
      </c>
      <c r="AM173">
        <f>IF(H172&lt;=0,0,ROUND(H172*(1+IF(AND(H$6&gt;0,$B173&lt;H$6),H$4,H$5)/12),2))</f>
        <v/>
      </c>
      <c r="AN173">
        <f>IF(I172&lt;=0,0,ROUND(I172*(1+IF(AND(I$6&gt;0,$B173&lt;I$6),I$4,I$5)/12),2))</f>
        <v/>
      </c>
      <c r="AO173">
        <f>IF(J172&lt;=0,0,ROUND(J172*(1+IF(AND(J$6&gt;0,$B173&lt;J$6),J$4,J$5)/12),2))</f>
        <v/>
      </c>
      <c r="AP173">
        <f>IF(K172&lt;=0,0,ROUND(K172*(1+IF(AND(K$6&gt;0,$B173&lt;K$6),K$4,K$5)/12),2))</f>
        <v/>
      </c>
      <c r="AQ173">
        <f>IF(L172&lt;=0,0,ROUND(L172*(1+IF(AND(L$6&gt;0,$B173&lt;L$6),L$4,L$5)/12),2))</f>
        <v/>
      </c>
      <c r="AR173">
        <f>IF(M172&lt;=0,0,ROUND(M172*(1+IF(AND(M$6&gt;0,$B173&lt;M$6),M$4,M$5)/12),2))</f>
        <v/>
      </c>
      <c r="AS173">
        <f>IF(N172&lt;=0,0,ROUND(N172*(1+IF(AND(N$6&gt;0,$B173&lt;N$6),N$4,N$5)/12),2))</f>
        <v/>
      </c>
    </row>
    <row r="174">
      <c r="A174" t="n">
        <v>163</v>
      </c>
      <c r="B174">
        <f>EDATE(Plan!$C$6,162)</f>
        <v/>
      </c>
      <c r="C174">
        <f>IF(C173&lt;=0,0,MAX(0,AH174-O174))</f>
        <v/>
      </c>
      <c r="D174">
        <f>IF(D173&lt;=0,0,MAX(0,AI174-P174))</f>
        <v/>
      </c>
      <c r="E174">
        <f>IF(E173&lt;=0,0,MAX(0,AJ174-Q174))</f>
        <v/>
      </c>
      <c r="F174">
        <f>IF(F173&lt;=0,0,MAX(0,AK174-R174))</f>
        <v/>
      </c>
      <c r="G174">
        <f>IF(G173&lt;=0,0,MAX(0,AL174-S174))</f>
        <v/>
      </c>
      <c r="H174">
        <f>IF(H173&lt;=0,0,MAX(0,AM174-T174))</f>
        <v/>
      </c>
      <c r="I174">
        <f>IF(I173&lt;=0,0,MAX(0,AN174-U174))</f>
        <v/>
      </c>
      <c r="J174">
        <f>IF(J173&lt;=0,0,MAX(0,AO174-V174))</f>
        <v/>
      </c>
      <c r="K174">
        <f>IF(K173&lt;=0,0,MAX(0,AP174-W174))</f>
        <v/>
      </c>
      <c r="L174">
        <f>IF(L173&lt;=0,0,MAX(0,AQ174-X174))</f>
        <v/>
      </c>
      <c r="M174">
        <f>IF(M173&lt;=0,0,MAX(0,AR174-Y174))</f>
        <v/>
      </c>
      <c r="N174">
        <f>IF(N173&lt;=0,0,MAX(0,AS174-Z174))</f>
        <v/>
      </c>
      <c r="O174">
        <f>IF(C173&lt;=0,0,MIN(AH174,C$7+IF(C$2=$AA174,$AC174,IF(C$2=$AF174,$AG174,0))))</f>
        <v/>
      </c>
      <c r="P174">
        <f>IF(D173&lt;=0,0,MIN(AI174,D$7+IF(D$2=$AA174,$AC174,IF(D$2=$AF174,$AG174,0))))</f>
        <v/>
      </c>
      <c r="Q174">
        <f>IF(E173&lt;=0,0,MIN(AJ174,E$7+IF(E$2=$AA174,$AC174,IF(E$2=$AF174,$AG174,0))))</f>
        <v/>
      </c>
      <c r="R174">
        <f>IF(F173&lt;=0,0,MIN(AK174,F$7+IF(F$2=$AA174,$AC174,IF(F$2=$AF174,$AG174,0))))</f>
        <v/>
      </c>
      <c r="S174">
        <f>IF(G173&lt;=0,0,MIN(AL174,G$7+IF(G$2=$AA174,$AC174,IF(G$2=$AF174,$AG174,0))))</f>
        <v/>
      </c>
      <c r="T174">
        <f>IF(H173&lt;=0,0,MIN(AM174,H$7+IF(H$2=$AA174,$AC174,IF(H$2=$AF174,$AG174,0))))</f>
        <v/>
      </c>
      <c r="U174">
        <f>IF(I173&lt;=0,0,MIN(AN174,I$7+IF(I$2=$AA174,$AC174,IF(I$2=$AF174,$AG174,0))))</f>
        <v/>
      </c>
      <c r="V174">
        <f>IF(J173&lt;=0,0,MIN(AO174,J$7+IF(J$2=$AA174,$AC174,IF(J$2=$AF174,$AG174,0))))</f>
        <v/>
      </c>
      <c r="W174">
        <f>IF(K173&lt;=0,0,MIN(AP174,K$7+IF(K$2=$AA174,$AC174,IF(K$2=$AF174,$AG174,0))))</f>
        <v/>
      </c>
      <c r="X174">
        <f>IF(L173&lt;=0,0,MIN(AQ174,L$7+IF(L$2=$AA174,$AC174,IF(L$2=$AF174,$AG174,0))))</f>
        <v/>
      </c>
      <c r="Y174">
        <f>IF(M173&lt;=0,0,MIN(AR174,M$7+IF(M$2=$AA174,$AC174,IF(M$2=$AF174,$AG174,0))))</f>
        <v/>
      </c>
      <c r="Z174">
        <f>IF(N173&lt;=0,0,MIN(AS174,N$7+IF(N$2=$AA174,$AC174,IF(N$2=$AF174,$AG174,0))))</f>
        <v/>
      </c>
      <c r="AA174">
        <f>IFERROR(ROUND(1/SUMPRODUCT(MAX((C173:N173&gt;0)*($C$3:$N$3&lt;=B174)/$C$2:$N$2)),0),0)</f>
        <v/>
      </c>
      <c r="AB174">
        <f>SUMPRODUCT((C173:N173&gt;0)*$C$7:$N$7)</f>
        <v/>
      </c>
      <c r="AC174">
        <f>MAX(0,Plan!$C$5-AB174)+IF(A174=Plan!$C$8,N(Plan!$C$7),0)</f>
        <v/>
      </c>
      <c r="AD174">
        <f>SUM(C174:N174)</f>
        <v/>
      </c>
      <c r="AE174">
        <f>SUM(O174:Z174)</f>
        <v/>
      </c>
      <c r="AF174">
        <f>IFERROR(ROUND(1/SUMPRODUCT(MAX((C173:N173&gt;0)*($C$3:$N$3&lt;=B174)*($C$2:$N$2&gt;AA174)/$C$2:$N$2)),0),0)</f>
        <v/>
      </c>
      <c r="AG174">
        <f>MAX(0,AC174-MAX(0,SUMPRODUCT(($C$2:$N$2=AA174)*(AH174:AS174-$C$7:$N$7))))</f>
        <v/>
      </c>
      <c r="AH174">
        <f>IF(C173&lt;=0,0,ROUND(C173*(1+IF(AND(C$6&gt;0,$B174&lt;C$6),C$4,C$5)/12),2))</f>
        <v/>
      </c>
      <c r="AI174">
        <f>IF(D173&lt;=0,0,ROUND(D173*(1+IF(AND(D$6&gt;0,$B174&lt;D$6),D$4,D$5)/12),2))</f>
        <v/>
      </c>
      <c r="AJ174">
        <f>IF(E173&lt;=0,0,ROUND(E173*(1+IF(AND(E$6&gt;0,$B174&lt;E$6),E$4,E$5)/12),2))</f>
        <v/>
      </c>
      <c r="AK174">
        <f>IF(F173&lt;=0,0,ROUND(F173*(1+IF(AND(F$6&gt;0,$B174&lt;F$6),F$4,F$5)/12),2))</f>
        <v/>
      </c>
      <c r="AL174">
        <f>IF(G173&lt;=0,0,ROUND(G173*(1+IF(AND(G$6&gt;0,$B174&lt;G$6),G$4,G$5)/12),2))</f>
        <v/>
      </c>
      <c r="AM174">
        <f>IF(H173&lt;=0,0,ROUND(H173*(1+IF(AND(H$6&gt;0,$B174&lt;H$6),H$4,H$5)/12),2))</f>
        <v/>
      </c>
      <c r="AN174">
        <f>IF(I173&lt;=0,0,ROUND(I173*(1+IF(AND(I$6&gt;0,$B174&lt;I$6),I$4,I$5)/12),2))</f>
        <v/>
      </c>
      <c r="AO174">
        <f>IF(J173&lt;=0,0,ROUND(J173*(1+IF(AND(J$6&gt;0,$B174&lt;J$6),J$4,J$5)/12),2))</f>
        <v/>
      </c>
      <c r="AP174">
        <f>IF(K173&lt;=0,0,ROUND(K173*(1+IF(AND(K$6&gt;0,$B174&lt;K$6),K$4,K$5)/12),2))</f>
        <v/>
      </c>
      <c r="AQ174">
        <f>IF(L173&lt;=0,0,ROUND(L173*(1+IF(AND(L$6&gt;0,$B174&lt;L$6),L$4,L$5)/12),2))</f>
        <v/>
      </c>
      <c r="AR174">
        <f>IF(M173&lt;=0,0,ROUND(M173*(1+IF(AND(M$6&gt;0,$B174&lt;M$6),M$4,M$5)/12),2))</f>
        <v/>
      </c>
      <c r="AS174">
        <f>IF(N173&lt;=0,0,ROUND(N173*(1+IF(AND(N$6&gt;0,$B174&lt;N$6),N$4,N$5)/12),2))</f>
        <v/>
      </c>
    </row>
    <row r="175">
      <c r="A175" t="n">
        <v>164</v>
      </c>
      <c r="B175">
        <f>EDATE(Plan!$C$6,163)</f>
        <v/>
      </c>
      <c r="C175">
        <f>IF(C174&lt;=0,0,MAX(0,AH175-O175))</f>
        <v/>
      </c>
      <c r="D175">
        <f>IF(D174&lt;=0,0,MAX(0,AI175-P175))</f>
        <v/>
      </c>
      <c r="E175">
        <f>IF(E174&lt;=0,0,MAX(0,AJ175-Q175))</f>
        <v/>
      </c>
      <c r="F175">
        <f>IF(F174&lt;=0,0,MAX(0,AK175-R175))</f>
        <v/>
      </c>
      <c r="G175">
        <f>IF(G174&lt;=0,0,MAX(0,AL175-S175))</f>
        <v/>
      </c>
      <c r="H175">
        <f>IF(H174&lt;=0,0,MAX(0,AM175-T175))</f>
        <v/>
      </c>
      <c r="I175">
        <f>IF(I174&lt;=0,0,MAX(0,AN175-U175))</f>
        <v/>
      </c>
      <c r="J175">
        <f>IF(J174&lt;=0,0,MAX(0,AO175-V175))</f>
        <v/>
      </c>
      <c r="K175">
        <f>IF(K174&lt;=0,0,MAX(0,AP175-W175))</f>
        <v/>
      </c>
      <c r="L175">
        <f>IF(L174&lt;=0,0,MAX(0,AQ175-X175))</f>
        <v/>
      </c>
      <c r="M175">
        <f>IF(M174&lt;=0,0,MAX(0,AR175-Y175))</f>
        <v/>
      </c>
      <c r="N175">
        <f>IF(N174&lt;=0,0,MAX(0,AS175-Z175))</f>
        <v/>
      </c>
      <c r="O175">
        <f>IF(C174&lt;=0,0,MIN(AH175,C$7+IF(C$2=$AA175,$AC175,IF(C$2=$AF175,$AG175,0))))</f>
        <v/>
      </c>
      <c r="P175">
        <f>IF(D174&lt;=0,0,MIN(AI175,D$7+IF(D$2=$AA175,$AC175,IF(D$2=$AF175,$AG175,0))))</f>
        <v/>
      </c>
      <c r="Q175">
        <f>IF(E174&lt;=0,0,MIN(AJ175,E$7+IF(E$2=$AA175,$AC175,IF(E$2=$AF175,$AG175,0))))</f>
        <v/>
      </c>
      <c r="R175">
        <f>IF(F174&lt;=0,0,MIN(AK175,F$7+IF(F$2=$AA175,$AC175,IF(F$2=$AF175,$AG175,0))))</f>
        <v/>
      </c>
      <c r="S175">
        <f>IF(G174&lt;=0,0,MIN(AL175,G$7+IF(G$2=$AA175,$AC175,IF(G$2=$AF175,$AG175,0))))</f>
        <v/>
      </c>
      <c r="T175">
        <f>IF(H174&lt;=0,0,MIN(AM175,H$7+IF(H$2=$AA175,$AC175,IF(H$2=$AF175,$AG175,0))))</f>
        <v/>
      </c>
      <c r="U175">
        <f>IF(I174&lt;=0,0,MIN(AN175,I$7+IF(I$2=$AA175,$AC175,IF(I$2=$AF175,$AG175,0))))</f>
        <v/>
      </c>
      <c r="V175">
        <f>IF(J174&lt;=0,0,MIN(AO175,J$7+IF(J$2=$AA175,$AC175,IF(J$2=$AF175,$AG175,0))))</f>
        <v/>
      </c>
      <c r="W175">
        <f>IF(K174&lt;=0,0,MIN(AP175,K$7+IF(K$2=$AA175,$AC175,IF(K$2=$AF175,$AG175,0))))</f>
        <v/>
      </c>
      <c r="X175">
        <f>IF(L174&lt;=0,0,MIN(AQ175,L$7+IF(L$2=$AA175,$AC175,IF(L$2=$AF175,$AG175,0))))</f>
        <v/>
      </c>
      <c r="Y175">
        <f>IF(M174&lt;=0,0,MIN(AR175,M$7+IF(M$2=$AA175,$AC175,IF(M$2=$AF175,$AG175,0))))</f>
        <v/>
      </c>
      <c r="Z175">
        <f>IF(N174&lt;=0,0,MIN(AS175,N$7+IF(N$2=$AA175,$AC175,IF(N$2=$AF175,$AG175,0))))</f>
        <v/>
      </c>
      <c r="AA175">
        <f>IFERROR(ROUND(1/SUMPRODUCT(MAX((C174:N174&gt;0)*($C$3:$N$3&lt;=B175)/$C$2:$N$2)),0),0)</f>
        <v/>
      </c>
      <c r="AB175">
        <f>SUMPRODUCT((C174:N174&gt;0)*$C$7:$N$7)</f>
        <v/>
      </c>
      <c r="AC175">
        <f>MAX(0,Plan!$C$5-AB175)+IF(A175=Plan!$C$8,N(Plan!$C$7),0)</f>
        <v/>
      </c>
      <c r="AD175">
        <f>SUM(C175:N175)</f>
        <v/>
      </c>
      <c r="AE175">
        <f>SUM(O175:Z175)</f>
        <v/>
      </c>
      <c r="AF175">
        <f>IFERROR(ROUND(1/SUMPRODUCT(MAX((C174:N174&gt;0)*($C$3:$N$3&lt;=B175)*($C$2:$N$2&gt;AA175)/$C$2:$N$2)),0),0)</f>
        <v/>
      </c>
      <c r="AG175">
        <f>MAX(0,AC175-MAX(0,SUMPRODUCT(($C$2:$N$2=AA175)*(AH175:AS175-$C$7:$N$7))))</f>
        <v/>
      </c>
      <c r="AH175">
        <f>IF(C174&lt;=0,0,ROUND(C174*(1+IF(AND(C$6&gt;0,$B175&lt;C$6),C$4,C$5)/12),2))</f>
        <v/>
      </c>
      <c r="AI175">
        <f>IF(D174&lt;=0,0,ROUND(D174*(1+IF(AND(D$6&gt;0,$B175&lt;D$6),D$4,D$5)/12),2))</f>
        <v/>
      </c>
      <c r="AJ175">
        <f>IF(E174&lt;=0,0,ROUND(E174*(1+IF(AND(E$6&gt;0,$B175&lt;E$6),E$4,E$5)/12),2))</f>
        <v/>
      </c>
      <c r="AK175">
        <f>IF(F174&lt;=0,0,ROUND(F174*(1+IF(AND(F$6&gt;0,$B175&lt;F$6),F$4,F$5)/12),2))</f>
        <v/>
      </c>
      <c r="AL175">
        <f>IF(G174&lt;=0,0,ROUND(G174*(1+IF(AND(G$6&gt;0,$B175&lt;G$6),G$4,G$5)/12),2))</f>
        <v/>
      </c>
      <c r="AM175">
        <f>IF(H174&lt;=0,0,ROUND(H174*(1+IF(AND(H$6&gt;0,$B175&lt;H$6),H$4,H$5)/12),2))</f>
        <v/>
      </c>
      <c r="AN175">
        <f>IF(I174&lt;=0,0,ROUND(I174*(1+IF(AND(I$6&gt;0,$B175&lt;I$6),I$4,I$5)/12),2))</f>
        <v/>
      </c>
      <c r="AO175">
        <f>IF(J174&lt;=0,0,ROUND(J174*(1+IF(AND(J$6&gt;0,$B175&lt;J$6),J$4,J$5)/12),2))</f>
        <v/>
      </c>
      <c r="AP175">
        <f>IF(K174&lt;=0,0,ROUND(K174*(1+IF(AND(K$6&gt;0,$B175&lt;K$6),K$4,K$5)/12),2))</f>
        <v/>
      </c>
      <c r="AQ175">
        <f>IF(L174&lt;=0,0,ROUND(L174*(1+IF(AND(L$6&gt;0,$B175&lt;L$6),L$4,L$5)/12),2))</f>
        <v/>
      </c>
      <c r="AR175">
        <f>IF(M174&lt;=0,0,ROUND(M174*(1+IF(AND(M$6&gt;0,$B175&lt;M$6),M$4,M$5)/12),2))</f>
        <v/>
      </c>
      <c r="AS175">
        <f>IF(N174&lt;=0,0,ROUND(N174*(1+IF(AND(N$6&gt;0,$B175&lt;N$6),N$4,N$5)/12),2))</f>
        <v/>
      </c>
    </row>
    <row r="176">
      <c r="A176" t="n">
        <v>165</v>
      </c>
      <c r="B176">
        <f>EDATE(Plan!$C$6,164)</f>
        <v/>
      </c>
      <c r="C176">
        <f>IF(C175&lt;=0,0,MAX(0,AH176-O176))</f>
        <v/>
      </c>
      <c r="D176">
        <f>IF(D175&lt;=0,0,MAX(0,AI176-P176))</f>
        <v/>
      </c>
      <c r="E176">
        <f>IF(E175&lt;=0,0,MAX(0,AJ176-Q176))</f>
        <v/>
      </c>
      <c r="F176">
        <f>IF(F175&lt;=0,0,MAX(0,AK176-R176))</f>
        <v/>
      </c>
      <c r="G176">
        <f>IF(G175&lt;=0,0,MAX(0,AL176-S176))</f>
        <v/>
      </c>
      <c r="H176">
        <f>IF(H175&lt;=0,0,MAX(0,AM176-T176))</f>
        <v/>
      </c>
      <c r="I176">
        <f>IF(I175&lt;=0,0,MAX(0,AN176-U176))</f>
        <v/>
      </c>
      <c r="J176">
        <f>IF(J175&lt;=0,0,MAX(0,AO176-V176))</f>
        <v/>
      </c>
      <c r="K176">
        <f>IF(K175&lt;=0,0,MAX(0,AP176-W176))</f>
        <v/>
      </c>
      <c r="L176">
        <f>IF(L175&lt;=0,0,MAX(0,AQ176-X176))</f>
        <v/>
      </c>
      <c r="M176">
        <f>IF(M175&lt;=0,0,MAX(0,AR176-Y176))</f>
        <v/>
      </c>
      <c r="N176">
        <f>IF(N175&lt;=0,0,MAX(0,AS176-Z176))</f>
        <v/>
      </c>
      <c r="O176">
        <f>IF(C175&lt;=0,0,MIN(AH176,C$7+IF(C$2=$AA176,$AC176,IF(C$2=$AF176,$AG176,0))))</f>
        <v/>
      </c>
      <c r="P176">
        <f>IF(D175&lt;=0,0,MIN(AI176,D$7+IF(D$2=$AA176,$AC176,IF(D$2=$AF176,$AG176,0))))</f>
        <v/>
      </c>
      <c r="Q176">
        <f>IF(E175&lt;=0,0,MIN(AJ176,E$7+IF(E$2=$AA176,$AC176,IF(E$2=$AF176,$AG176,0))))</f>
        <v/>
      </c>
      <c r="R176">
        <f>IF(F175&lt;=0,0,MIN(AK176,F$7+IF(F$2=$AA176,$AC176,IF(F$2=$AF176,$AG176,0))))</f>
        <v/>
      </c>
      <c r="S176">
        <f>IF(G175&lt;=0,0,MIN(AL176,G$7+IF(G$2=$AA176,$AC176,IF(G$2=$AF176,$AG176,0))))</f>
        <v/>
      </c>
      <c r="T176">
        <f>IF(H175&lt;=0,0,MIN(AM176,H$7+IF(H$2=$AA176,$AC176,IF(H$2=$AF176,$AG176,0))))</f>
        <v/>
      </c>
      <c r="U176">
        <f>IF(I175&lt;=0,0,MIN(AN176,I$7+IF(I$2=$AA176,$AC176,IF(I$2=$AF176,$AG176,0))))</f>
        <v/>
      </c>
      <c r="V176">
        <f>IF(J175&lt;=0,0,MIN(AO176,J$7+IF(J$2=$AA176,$AC176,IF(J$2=$AF176,$AG176,0))))</f>
        <v/>
      </c>
      <c r="W176">
        <f>IF(K175&lt;=0,0,MIN(AP176,K$7+IF(K$2=$AA176,$AC176,IF(K$2=$AF176,$AG176,0))))</f>
        <v/>
      </c>
      <c r="X176">
        <f>IF(L175&lt;=0,0,MIN(AQ176,L$7+IF(L$2=$AA176,$AC176,IF(L$2=$AF176,$AG176,0))))</f>
        <v/>
      </c>
      <c r="Y176">
        <f>IF(M175&lt;=0,0,MIN(AR176,M$7+IF(M$2=$AA176,$AC176,IF(M$2=$AF176,$AG176,0))))</f>
        <v/>
      </c>
      <c r="Z176">
        <f>IF(N175&lt;=0,0,MIN(AS176,N$7+IF(N$2=$AA176,$AC176,IF(N$2=$AF176,$AG176,0))))</f>
        <v/>
      </c>
      <c r="AA176">
        <f>IFERROR(ROUND(1/SUMPRODUCT(MAX((C175:N175&gt;0)*($C$3:$N$3&lt;=B176)/$C$2:$N$2)),0),0)</f>
        <v/>
      </c>
      <c r="AB176">
        <f>SUMPRODUCT((C175:N175&gt;0)*$C$7:$N$7)</f>
        <v/>
      </c>
      <c r="AC176">
        <f>MAX(0,Plan!$C$5-AB176)+IF(A176=Plan!$C$8,N(Plan!$C$7),0)</f>
        <v/>
      </c>
      <c r="AD176">
        <f>SUM(C176:N176)</f>
        <v/>
      </c>
      <c r="AE176">
        <f>SUM(O176:Z176)</f>
        <v/>
      </c>
      <c r="AF176">
        <f>IFERROR(ROUND(1/SUMPRODUCT(MAX((C175:N175&gt;0)*($C$3:$N$3&lt;=B176)*($C$2:$N$2&gt;AA176)/$C$2:$N$2)),0),0)</f>
        <v/>
      </c>
      <c r="AG176">
        <f>MAX(0,AC176-MAX(0,SUMPRODUCT(($C$2:$N$2=AA176)*(AH176:AS176-$C$7:$N$7))))</f>
        <v/>
      </c>
      <c r="AH176">
        <f>IF(C175&lt;=0,0,ROUND(C175*(1+IF(AND(C$6&gt;0,$B176&lt;C$6),C$4,C$5)/12),2))</f>
        <v/>
      </c>
      <c r="AI176">
        <f>IF(D175&lt;=0,0,ROUND(D175*(1+IF(AND(D$6&gt;0,$B176&lt;D$6),D$4,D$5)/12),2))</f>
        <v/>
      </c>
      <c r="AJ176">
        <f>IF(E175&lt;=0,0,ROUND(E175*(1+IF(AND(E$6&gt;0,$B176&lt;E$6),E$4,E$5)/12),2))</f>
        <v/>
      </c>
      <c r="AK176">
        <f>IF(F175&lt;=0,0,ROUND(F175*(1+IF(AND(F$6&gt;0,$B176&lt;F$6),F$4,F$5)/12),2))</f>
        <v/>
      </c>
      <c r="AL176">
        <f>IF(G175&lt;=0,0,ROUND(G175*(1+IF(AND(G$6&gt;0,$B176&lt;G$6),G$4,G$5)/12),2))</f>
        <v/>
      </c>
      <c r="AM176">
        <f>IF(H175&lt;=0,0,ROUND(H175*(1+IF(AND(H$6&gt;0,$B176&lt;H$6),H$4,H$5)/12),2))</f>
        <v/>
      </c>
      <c r="AN176">
        <f>IF(I175&lt;=0,0,ROUND(I175*(1+IF(AND(I$6&gt;0,$B176&lt;I$6),I$4,I$5)/12),2))</f>
        <v/>
      </c>
      <c r="AO176">
        <f>IF(J175&lt;=0,0,ROUND(J175*(1+IF(AND(J$6&gt;0,$B176&lt;J$6),J$4,J$5)/12),2))</f>
        <v/>
      </c>
      <c r="AP176">
        <f>IF(K175&lt;=0,0,ROUND(K175*(1+IF(AND(K$6&gt;0,$B176&lt;K$6),K$4,K$5)/12),2))</f>
        <v/>
      </c>
      <c r="AQ176">
        <f>IF(L175&lt;=0,0,ROUND(L175*(1+IF(AND(L$6&gt;0,$B176&lt;L$6),L$4,L$5)/12),2))</f>
        <v/>
      </c>
      <c r="AR176">
        <f>IF(M175&lt;=0,0,ROUND(M175*(1+IF(AND(M$6&gt;0,$B176&lt;M$6),M$4,M$5)/12),2))</f>
        <v/>
      </c>
      <c r="AS176">
        <f>IF(N175&lt;=0,0,ROUND(N175*(1+IF(AND(N$6&gt;0,$B176&lt;N$6),N$4,N$5)/12),2))</f>
        <v/>
      </c>
    </row>
    <row r="177">
      <c r="A177" t="n">
        <v>166</v>
      </c>
      <c r="B177">
        <f>EDATE(Plan!$C$6,165)</f>
        <v/>
      </c>
      <c r="C177">
        <f>IF(C176&lt;=0,0,MAX(0,AH177-O177))</f>
        <v/>
      </c>
      <c r="D177">
        <f>IF(D176&lt;=0,0,MAX(0,AI177-P177))</f>
        <v/>
      </c>
      <c r="E177">
        <f>IF(E176&lt;=0,0,MAX(0,AJ177-Q177))</f>
        <v/>
      </c>
      <c r="F177">
        <f>IF(F176&lt;=0,0,MAX(0,AK177-R177))</f>
        <v/>
      </c>
      <c r="G177">
        <f>IF(G176&lt;=0,0,MAX(0,AL177-S177))</f>
        <v/>
      </c>
      <c r="H177">
        <f>IF(H176&lt;=0,0,MAX(0,AM177-T177))</f>
        <v/>
      </c>
      <c r="I177">
        <f>IF(I176&lt;=0,0,MAX(0,AN177-U177))</f>
        <v/>
      </c>
      <c r="J177">
        <f>IF(J176&lt;=0,0,MAX(0,AO177-V177))</f>
        <v/>
      </c>
      <c r="K177">
        <f>IF(K176&lt;=0,0,MAX(0,AP177-W177))</f>
        <v/>
      </c>
      <c r="L177">
        <f>IF(L176&lt;=0,0,MAX(0,AQ177-X177))</f>
        <v/>
      </c>
      <c r="M177">
        <f>IF(M176&lt;=0,0,MAX(0,AR177-Y177))</f>
        <v/>
      </c>
      <c r="N177">
        <f>IF(N176&lt;=0,0,MAX(0,AS177-Z177))</f>
        <v/>
      </c>
      <c r="O177">
        <f>IF(C176&lt;=0,0,MIN(AH177,C$7+IF(C$2=$AA177,$AC177,IF(C$2=$AF177,$AG177,0))))</f>
        <v/>
      </c>
      <c r="P177">
        <f>IF(D176&lt;=0,0,MIN(AI177,D$7+IF(D$2=$AA177,$AC177,IF(D$2=$AF177,$AG177,0))))</f>
        <v/>
      </c>
      <c r="Q177">
        <f>IF(E176&lt;=0,0,MIN(AJ177,E$7+IF(E$2=$AA177,$AC177,IF(E$2=$AF177,$AG177,0))))</f>
        <v/>
      </c>
      <c r="R177">
        <f>IF(F176&lt;=0,0,MIN(AK177,F$7+IF(F$2=$AA177,$AC177,IF(F$2=$AF177,$AG177,0))))</f>
        <v/>
      </c>
      <c r="S177">
        <f>IF(G176&lt;=0,0,MIN(AL177,G$7+IF(G$2=$AA177,$AC177,IF(G$2=$AF177,$AG177,0))))</f>
        <v/>
      </c>
      <c r="T177">
        <f>IF(H176&lt;=0,0,MIN(AM177,H$7+IF(H$2=$AA177,$AC177,IF(H$2=$AF177,$AG177,0))))</f>
        <v/>
      </c>
      <c r="U177">
        <f>IF(I176&lt;=0,0,MIN(AN177,I$7+IF(I$2=$AA177,$AC177,IF(I$2=$AF177,$AG177,0))))</f>
        <v/>
      </c>
      <c r="V177">
        <f>IF(J176&lt;=0,0,MIN(AO177,J$7+IF(J$2=$AA177,$AC177,IF(J$2=$AF177,$AG177,0))))</f>
        <v/>
      </c>
      <c r="W177">
        <f>IF(K176&lt;=0,0,MIN(AP177,K$7+IF(K$2=$AA177,$AC177,IF(K$2=$AF177,$AG177,0))))</f>
        <v/>
      </c>
      <c r="X177">
        <f>IF(L176&lt;=0,0,MIN(AQ177,L$7+IF(L$2=$AA177,$AC177,IF(L$2=$AF177,$AG177,0))))</f>
        <v/>
      </c>
      <c r="Y177">
        <f>IF(M176&lt;=0,0,MIN(AR177,M$7+IF(M$2=$AA177,$AC177,IF(M$2=$AF177,$AG177,0))))</f>
        <v/>
      </c>
      <c r="Z177">
        <f>IF(N176&lt;=0,0,MIN(AS177,N$7+IF(N$2=$AA177,$AC177,IF(N$2=$AF177,$AG177,0))))</f>
        <v/>
      </c>
      <c r="AA177">
        <f>IFERROR(ROUND(1/SUMPRODUCT(MAX((C176:N176&gt;0)*($C$3:$N$3&lt;=B177)/$C$2:$N$2)),0),0)</f>
        <v/>
      </c>
      <c r="AB177">
        <f>SUMPRODUCT((C176:N176&gt;0)*$C$7:$N$7)</f>
        <v/>
      </c>
      <c r="AC177">
        <f>MAX(0,Plan!$C$5-AB177)+IF(A177=Plan!$C$8,N(Plan!$C$7),0)</f>
        <v/>
      </c>
      <c r="AD177">
        <f>SUM(C177:N177)</f>
        <v/>
      </c>
      <c r="AE177">
        <f>SUM(O177:Z177)</f>
        <v/>
      </c>
      <c r="AF177">
        <f>IFERROR(ROUND(1/SUMPRODUCT(MAX((C176:N176&gt;0)*($C$3:$N$3&lt;=B177)*($C$2:$N$2&gt;AA177)/$C$2:$N$2)),0),0)</f>
        <v/>
      </c>
      <c r="AG177">
        <f>MAX(0,AC177-MAX(0,SUMPRODUCT(($C$2:$N$2=AA177)*(AH177:AS177-$C$7:$N$7))))</f>
        <v/>
      </c>
      <c r="AH177">
        <f>IF(C176&lt;=0,0,ROUND(C176*(1+IF(AND(C$6&gt;0,$B177&lt;C$6),C$4,C$5)/12),2))</f>
        <v/>
      </c>
      <c r="AI177">
        <f>IF(D176&lt;=0,0,ROUND(D176*(1+IF(AND(D$6&gt;0,$B177&lt;D$6),D$4,D$5)/12),2))</f>
        <v/>
      </c>
      <c r="AJ177">
        <f>IF(E176&lt;=0,0,ROUND(E176*(1+IF(AND(E$6&gt;0,$B177&lt;E$6),E$4,E$5)/12),2))</f>
        <v/>
      </c>
      <c r="AK177">
        <f>IF(F176&lt;=0,0,ROUND(F176*(1+IF(AND(F$6&gt;0,$B177&lt;F$6),F$4,F$5)/12),2))</f>
        <v/>
      </c>
      <c r="AL177">
        <f>IF(G176&lt;=0,0,ROUND(G176*(1+IF(AND(G$6&gt;0,$B177&lt;G$6),G$4,G$5)/12),2))</f>
        <v/>
      </c>
      <c r="AM177">
        <f>IF(H176&lt;=0,0,ROUND(H176*(1+IF(AND(H$6&gt;0,$B177&lt;H$6),H$4,H$5)/12),2))</f>
        <v/>
      </c>
      <c r="AN177">
        <f>IF(I176&lt;=0,0,ROUND(I176*(1+IF(AND(I$6&gt;0,$B177&lt;I$6),I$4,I$5)/12),2))</f>
        <v/>
      </c>
      <c r="AO177">
        <f>IF(J176&lt;=0,0,ROUND(J176*(1+IF(AND(J$6&gt;0,$B177&lt;J$6),J$4,J$5)/12),2))</f>
        <v/>
      </c>
      <c r="AP177">
        <f>IF(K176&lt;=0,0,ROUND(K176*(1+IF(AND(K$6&gt;0,$B177&lt;K$6),K$4,K$5)/12),2))</f>
        <v/>
      </c>
      <c r="AQ177">
        <f>IF(L176&lt;=0,0,ROUND(L176*(1+IF(AND(L$6&gt;0,$B177&lt;L$6),L$4,L$5)/12),2))</f>
        <v/>
      </c>
      <c r="AR177">
        <f>IF(M176&lt;=0,0,ROUND(M176*(1+IF(AND(M$6&gt;0,$B177&lt;M$6),M$4,M$5)/12),2))</f>
        <v/>
      </c>
      <c r="AS177">
        <f>IF(N176&lt;=0,0,ROUND(N176*(1+IF(AND(N$6&gt;0,$B177&lt;N$6),N$4,N$5)/12),2))</f>
        <v/>
      </c>
    </row>
    <row r="178">
      <c r="A178" t="n">
        <v>167</v>
      </c>
      <c r="B178">
        <f>EDATE(Plan!$C$6,166)</f>
        <v/>
      </c>
      <c r="C178">
        <f>IF(C177&lt;=0,0,MAX(0,AH178-O178))</f>
        <v/>
      </c>
      <c r="D178">
        <f>IF(D177&lt;=0,0,MAX(0,AI178-P178))</f>
        <v/>
      </c>
      <c r="E178">
        <f>IF(E177&lt;=0,0,MAX(0,AJ178-Q178))</f>
        <v/>
      </c>
      <c r="F178">
        <f>IF(F177&lt;=0,0,MAX(0,AK178-R178))</f>
        <v/>
      </c>
      <c r="G178">
        <f>IF(G177&lt;=0,0,MAX(0,AL178-S178))</f>
        <v/>
      </c>
      <c r="H178">
        <f>IF(H177&lt;=0,0,MAX(0,AM178-T178))</f>
        <v/>
      </c>
      <c r="I178">
        <f>IF(I177&lt;=0,0,MAX(0,AN178-U178))</f>
        <v/>
      </c>
      <c r="J178">
        <f>IF(J177&lt;=0,0,MAX(0,AO178-V178))</f>
        <v/>
      </c>
      <c r="K178">
        <f>IF(K177&lt;=0,0,MAX(0,AP178-W178))</f>
        <v/>
      </c>
      <c r="L178">
        <f>IF(L177&lt;=0,0,MAX(0,AQ178-X178))</f>
        <v/>
      </c>
      <c r="M178">
        <f>IF(M177&lt;=0,0,MAX(0,AR178-Y178))</f>
        <v/>
      </c>
      <c r="N178">
        <f>IF(N177&lt;=0,0,MAX(0,AS178-Z178))</f>
        <v/>
      </c>
      <c r="O178">
        <f>IF(C177&lt;=0,0,MIN(AH178,C$7+IF(C$2=$AA178,$AC178,IF(C$2=$AF178,$AG178,0))))</f>
        <v/>
      </c>
      <c r="P178">
        <f>IF(D177&lt;=0,0,MIN(AI178,D$7+IF(D$2=$AA178,$AC178,IF(D$2=$AF178,$AG178,0))))</f>
        <v/>
      </c>
      <c r="Q178">
        <f>IF(E177&lt;=0,0,MIN(AJ178,E$7+IF(E$2=$AA178,$AC178,IF(E$2=$AF178,$AG178,0))))</f>
        <v/>
      </c>
      <c r="R178">
        <f>IF(F177&lt;=0,0,MIN(AK178,F$7+IF(F$2=$AA178,$AC178,IF(F$2=$AF178,$AG178,0))))</f>
        <v/>
      </c>
      <c r="S178">
        <f>IF(G177&lt;=0,0,MIN(AL178,G$7+IF(G$2=$AA178,$AC178,IF(G$2=$AF178,$AG178,0))))</f>
        <v/>
      </c>
      <c r="T178">
        <f>IF(H177&lt;=0,0,MIN(AM178,H$7+IF(H$2=$AA178,$AC178,IF(H$2=$AF178,$AG178,0))))</f>
        <v/>
      </c>
      <c r="U178">
        <f>IF(I177&lt;=0,0,MIN(AN178,I$7+IF(I$2=$AA178,$AC178,IF(I$2=$AF178,$AG178,0))))</f>
        <v/>
      </c>
      <c r="V178">
        <f>IF(J177&lt;=0,0,MIN(AO178,J$7+IF(J$2=$AA178,$AC178,IF(J$2=$AF178,$AG178,0))))</f>
        <v/>
      </c>
      <c r="W178">
        <f>IF(K177&lt;=0,0,MIN(AP178,K$7+IF(K$2=$AA178,$AC178,IF(K$2=$AF178,$AG178,0))))</f>
        <v/>
      </c>
      <c r="X178">
        <f>IF(L177&lt;=0,0,MIN(AQ178,L$7+IF(L$2=$AA178,$AC178,IF(L$2=$AF178,$AG178,0))))</f>
        <v/>
      </c>
      <c r="Y178">
        <f>IF(M177&lt;=0,0,MIN(AR178,M$7+IF(M$2=$AA178,$AC178,IF(M$2=$AF178,$AG178,0))))</f>
        <v/>
      </c>
      <c r="Z178">
        <f>IF(N177&lt;=0,0,MIN(AS178,N$7+IF(N$2=$AA178,$AC178,IF(N$2=$AF178,$AG178,0))))</f>
        <v/>
      </c>
      <c r="AA178">
        <f>IFERROR(ROUND(1/SUMPRODUCT(MAX((C177:N177&gt;0)*($C$3:$N$3&lt;=B178)/$C$2:$N$2)),0),0)</f>
        <v/>
      </c>
      <c r="AB178">
        <f>SUMPRODUCT((C177:N177&gt;0)*$C$7:$N$7)</f>
        <v/>
      </c>
      <c r="AC178">
        <f>MAX(0,Plan!$C$5-AB178)+IF(A178=Plan!$C$8,N(Plan!$C$7),0)</f>
        <v/>
      </c>
      <c r="AD178">
        <f>SUM(C178:N178)</f>
        <v/>
      </c>
      <c r="AE178">
        <f>SUM(O178:Z178)</f>
        <v/>
      </c>
      <c r="AF178">
        <f>IFERROR(ROUND(1/SUMPRODUCT(MAX((C177:N177&gt;0)*($C$3:$N$3&lt;=B178)*($C$2:$N$2&gt;AA178)/$C$2:$N$2)),0),0)</f>
        <v/>
      </c>
      <c r="AG178">
        <f>MAX(0,AC178-MAX(0,SUMPRODUCT(($C$2:$N$2=AA178)*(AH178:AS178-$C$7:$N$7))))</f>
        <v/>
      </c>
      <c r="AH178">
        <f>IF(C177&lt;=0,0,ROUND(C177*(1+IF(AND(C$6&gt;0,$B178&lt;C$6),C$4,C$5)/12),2))</f>
        <v/>
      </c>
      <c r="AI178">
        <f>IF(D177&lt;=0,0,ROUND(D177*(1+IF(AND(D$6&gt;0,$B178&lt;D$6),D$4,D$5)/12),2))</f>
        <v/>
      </c>
      <c r="AJ178">
        <f>IF(E177&lt;=0,0,ROUND(E177*(1+IF(AND(E$6&gt;0,$B178&lt;E$6),E$4,E$5)/12),2))</f>
        <v/>
      </c>
      <c r="AK178">
        <f>IF(F177&lt;=0,0,ROUND(F177*(1+IF(AND(F$6&gt;0,$B178&lt;F$6),F$4,F$5)/12),2))</f>
        <v/>
      </c>
      <c r="AL178">
        <f>IF(G177&lt;=0,0,ROUND(G177*(1+IF(AND(G$6&gt;0,$B178&lt;G$6),G$4,G$5)/12),2))</f>
        <v/>
      </c>
      <c r="AM178">
        <f>IF(H177&lt;=0,0,ROUND(H177*(1+IF(AND(H$6&gt;0,$B178&lt;H$6),H$4,H$5)/12),2))</f>
        <v/>
      </c>
      <c r="AN178">
        <f>IF(I177&lt;=0,0,ROUND(I177*(1+IF(AND(I$6&gt;0,$B178&lt;I$6),I$4,I$5)/12),2))</f>
        <v/>
      </c>
      <c r="AO178">
        <f>IF(J177&lt;=0,0,ROUND(J177*(1+IF(AND(J$6&gt;0,$B178&lt;J$6),J$4,J$5)/12),2))</f>
        <v/>
      </c>
      <c r="AP178">
        <f>IF(K177&lt;=0,0,ROUND(K177*(1+IF(AND(K$6&gt;0,$B178&lt;K$6),K$4,K$5)/12),2))</f>
        <v/>
      </c>
      <c r="AQ178">
        <f>IF(L177&lt;=0,0,ROUND(L177*(1+IF(AND(L$6&gt;0,$B178&lt;L$6),L$4,L$5)/12),2))</f>
        <v/>
      </c>
      <c r="AR178">
        <f>IF(M177&lt;=0,0,ROUND(M177*(1+IF(AND(M$6&gt;0,$B178&lt;M$6),M$4,M$5)/12),2))</f>
        <v/>
      </c>
      <c r="AS178">
        <f>IF(N177&lt;=0,0,ROUND(N177*(1+IF(AND(N$6&gt;0,$B178&lt;N$6),N$4,N$5)/12),2))</f>
        <v/>
      </c>
    </row>
    <row r="179">
      <c r="A179" t="n">
        <v>168</v>
      </c>
      <c r="B179">
        <f>EDATE(Plan!$C$6,167)</f>
        <v/>
      </c>
      <c r="C179">
        <f>IF(C178&lt;=0,0,MAX(0,AH179-O179))</f>
        <v/>
      </c>
      <c r="D179">
        <f>IF(D178&lt;=0,0,MAX(0,AI179-P179))</f>
        <v/>
      </c>
      <c r="E179">
        <f>IF(E178&lt;=0,0,MAX(0,AJ179-Q179))</f>
        <v/>
      </c>
      <c r="F179">
        <f>IF(F178&lt;=0,0,MAX(0,AK179-R179))</f>
        <v/>
      </c>
      <c r="G179">
        <f>IF(G178&lt;=0,0,MAX(0,AL179-S179))</f>
        <v/>
      </c>
      <c r="H179">
        <f>IF(H178&lt;=0,0,MAX(0,AM179-T179))</f>
        <v/>
      </c>
      <c r="I179">
        <f>IF(I178&lt;=0,0,MAX(0,AN179-U179))</f>
        <v/>
      </c>
      <c r="J179">
        <f>IF(J178&lt;=0,0,MAX(0,AO179-V179))</f>
        <v/>
      </c>
      <c r="K179">
        <f>IF(K178&lt;=0,0,MAX(0,AP179-W179))</f>
        <v/>
      </c>
      <c r="L179">
        <f>IF(L178&lt;=0,0,MAX(0,AQ179-X179))</f>
        <v/>
      </c>
      <c r="M179">
        <f>IF(M178&lt;=0,0,MAX(0,AR179-Y179))</f>
        <v/>
      </c>
      <c r="N179">
        <f>IF(N178&lt;=0,0,MAX(0,AS179-Z179))</f>
        <v/>
      </c>
      <c r="O179">
        <f>IF(C178&lt;=0,0,MIN(AH179,C$7+IF(C$2=$AA179,$AC179,IF(C$2=$AF179,$AG179,0))))</f>
        <v/>
      </c>
      <c r="P179">
        <f>IF(D178&lt;=0,0,MIN(AI179,D$7+IF(D$2=$AA179,$AC179,IF(D$2=$AF179,$AG179,0))))</f>
        <v/>
      </c>
      <c r="Q179">
        <f>IF(E178&lt;=0,0,MIN(AJ179,E$7+IF(E$2=$AA179,$AC179,IF(E$2=$AF179,$AG179,0))))</f>
        <v/>
      </c>
      <c r="R179">
        <f>IF(F178&lt;=0,0,MIN(AK179,F$7+IF(F$2=$AA179,$AC179,IF(F$2=$AF179,$AG179,0))))</f>
        <v/>
      </c>
      <c r="S179">
        <f>IF(G178&lt;=0,0,MIN(AL179,G$7+IF(G$2=$AA179,$AC179,IF(G$2=$AF179,$AG179,0))))</f>
        <v/>
      </c>
      <c r="T179">
        <f>IF(H178&lt;=0,0,MIN(AM179,H$7+IF(H$2=$AA179,$AC179,IF(H$2=$AF179,$AG179,0))))</f>
        <v/>
      </c>
      <c r="U179">
        <f>IF(I178&lt;=0,0,MIN(AN179,I$7+IF(I$2=$AA179,$AC179,IF(I$2=$AF179,$AG179,0))))</f>
        <v/>
      </c>
      <c r="V179">
        <f>IF(J178&lt;=0,0,MIN(AO179,J$7+IF(J$2=$AA179,$AC179,IF(J$2=$AF179,$AG179,0))))</f>
        <v/>
      </c>
      <c r="W179">
        <f>IF(K178&lt;=0,0,MIN(AP179,K$7+IF(K$2=$AA179,$AC179,IF(K$2=$AF179,$AG179,0))))</f>
        <v/>
      </c>
      <c r="X179">
        <f>IF(L178&lt;=0,0,MIN(AQ179,L$7+IF(L$2=$AA179,$AC179,IF(L$2=$AF179,$AG179,0))))</f>
        <v/>
      </c>
      <c r="Y179">
        <f>IF(M178&lt;=0,0,MIN(AR179,M$7+IF(M$2=$AA179,$AC179,IF(M$2=$AF179,$AG179,0))))</f>
        <v/>
      </c>
      <c r="Z179">
        <f>IF(N178&lt;=0,0,MIN(AS179,N$7+IF(N$2=$AA179,$AC179,IF(N$2=$AF179,$AG179,0))))</f>
        <v/>
      </c>
      <c r="AA179">
        <f>IFERROR(ROUND(1/SUMPRODUCT(MAX((C178:N178&gt;0)*($C$3:$N$3&lt;=B179)/$C$2:$N$2)),0),0)</f>
        <v/>
      </c>
      <c r="AB179">
        <f>SUMPRODUCT((C178:N178&gt;0)*$C$7:$N$7)</f>
        <v/>
      </c>
      <c r="AC179">
        <f>MAX(0,Plan!$C$5-AB179)+IF(A179=Plan!$C$8,N(Plan!$C$7),0)</f>
        <v/>
      </c>
      <c r="AD179">
        <f>SUM(C179:N179)</f>
        <v/>
      </c>
      <c r="AE179">
        <f>SUM(O179:Z179)</f>
        <v/>
      </c>
      <c r="AF179">
        <f>IFERROR(ROUND(1/SUMPRODUCT(MAX((C178:N178&gt;0)*($C$3:$N$3&lt;=B179)*($C$2:$N$2&gt;AA179)/$C$2:$N$2)),0),0)</f>
        <v/>
      </c>
      <c r="AG179">
        <f>MAX(0,AC179-MAX(0,SUMPRODUCT(($C$2:$N$2=AA179)*(AH179:AS179-$C$7:$N$7))))</f>
        <v/>
      </c>
      <c r="AH179">
        <f>IF(C178&lt;=0,0,ROUND(C178*(1+IF(AND(C$6&gt;0,$B179&lt;C$6),C$4,C$5)/12),2))</f>
        <v/>
      </c>
      <c r="AI179">
        <f>IF(D178&lt;=0,0,ROUND(D178*(1+IF(AND(D$6&gt;0,$B179&lt;D$6),D$4,D$5)/12),2))</f>
        <v/>
      </c>
      <c r="AJ179">
        <f>IF(E178&lt;=0,0,ROUND(E178*(1+IF(AND(E$6&gt;0,$B179&lt;E$6),E$4,E$5)/12),2))</f>
        <v/>
      </c>
      <c r="AK179">
        <f>IF(F178&lt;=0,0,ROUND(F178*(1+IF(AND(F$6&gt;0,$B179&lt;F$6),F$4,F$5)/12),2))</f>
        <v/>
      </c>
      <c r="AL179">
        <f>IF(G178&lt;=0,0,ROUND(G178*(1+IF(AND(G$6&gt;0,$B179&lt;G$6),G$4,G$5)/12),2))</f>
        <v/>
      </c>
      <c r="AM179">
        <f>IF(H178&lt;=0,0,ROUND(H178*(1+IF(AND(H$6&gt;0,$B179&lt;H$6),H$4,H$5)/12),2))</f>
        <v/>
      </c>
      <c r="AN179">
        <f>IF(I178&lt;=0,0,ROUND(I178*(1+IF(AND(I$6&gt;0,$B179&lt;I$6),I$4,I$5)/12),2))</f>
        <v/>
      </c>
      <c r="AO179">
        <f>IF(J178&lt;=0,0,ROUND(J178*(1+IF(AND(J$6&gt;0,$B179&lt;J$6),J$4,J$5)/12),2))</f>
        <v/>
      </c>
      <c r="AP179">
        <f>IF(K178&lt;=0,0,ROUND(K178*(1+IF(AND(K$6&gt;0,$B179&lt;K$6),K$4,K$5)/12),2))</f>
        <v/>
      </c>
      <c r="AQ179">
        <f>IF(L178&lt;=0,0,ROUND(L178*(1+IF(AND(L$6&gt;0,$B179&lt;L$6),L$4,L$5)/12),2))</f>
        <v/>
      </c>
      <c r="AR179">
        <f>IF(M178&lt;=0,0,ROUND(M178*(1+IF(AND(M$6&gt;0,$B179&lt;M$6),M$4,M$5)/12),2))</f>
        <v/>
      </c>
      <c r="AS179">
        <f>IF(N178&lt;=0,0,ROUND(N178*(1+IF(AND(N$6&gt;0,$B179&lt;N$6),N$4,N$5)/12),2))</f>
        <v/>
      </c>
    </row>
    <row r="180">
      <c r="A180" t="n">
        <v>169</v>
      </c>
      <c r="B180">
        <f>EDATE(Plan!$C$6,168)</f>
        <v/>
      </c>
      <c r="C180">
        <f>IF(C179&lt;=0,0,MAX(0,AH180-O180))</f>
        <v/>
      </c>
      <c r="D180">
        <f>IF(D179&lt;=0,0,MAX(0,AI180-P180))</f>
        <v/>
      </c>
      <c r="E180">
        <f>IF(E179&lt;=0,0,MAX(0,AJ180-Q180))</f>
        <v/>
      </c>
      <c r="F180">
        <f>IF(F179&lt;=0,0,MAX(0,AK180-R180))</f>
        <v/>
      </c>
      <c r="G180">
        <f>IF(G179&lt;=0,0,MAX(0,AL180-S180))</f>
        <v/>
      </c>
      <c r="H180">
        <f>IF(H179&lt;=0,0,MAX(0,AM180-T180))</f>
        <v/>
      </c>
      <c r="I180">
        <f>IF(I179&lt;=0,0,MAX(0,AN180-U180))</f>
        <v/>
      </c>
      <c r="J180">
        <f>IF(J179&lt;=0,0,MAX(0,AO180-V180))</f>
        <v/>
      </c>
      <c r="K180">
        <f>IF(K179&lt;=0,0,MAX(0,AP180-W180))</f>
        <v/>
      </c>
      <c r="L180">
        <f>IF(L179&lt;=0,0,MAX(0,AQ180-X180))</f>
        <v/>
      </c>
      <c r="M180">
        <f>IF(M179&lt;=0,0,MAX(0,AR180-Y180))</f>
        <v/>
      </c>
      <c r="N180">
        <f>IF(N179&lt;=0,0,MAX(0,AS180-Z180))</f>
        <v/>
      </c>
      <c r="O180">
        <f>IF(C179&lt;=0,0,MIN(AH180,C$7+IF(C$2=$AA180,$AC180,IF(C$2=$AF180,$AG180,0))))</f>
        <v/>
      </c>
      <c r="P180">
        <f>IF(D179&lt;=0,0,MIN(AI180,D$7+IF(D$2=$AA180,$AC180,IF(D$2=$AF180,$AG180,0))))</f>
        <v/>
      </c>
      <c r="Q180">
        <f>IF(E179&lt;=0,0,MIN(AJ180,E$7+IF(E$2=$AA180,$AC180,IF(E$2=$AF180,$AG180,0))))</f>
        <v/>
      </c>
      <c r="R180">
        <f>IF(F179&lt;=0,0,MIN(AK180,F$7+IF(F$2=$AA180,$AC180,IF(F$2=$AF180,$AG180,0))))</f>
        <v/>
      </c>
      <c r="S180">
        <f>IF(G179&lt;=0,0,MIN(AL180,G$7+IF(G$2=$AA180,$AC180,IF(G$2=$AF180,$AG180,0))))</f>
        <v/>
      </c>
      <c r="T180">
        <f>IF(H179&lt;=0,0,MIN(AM180,H$7+IF(H$2=$AA180,$AC180,IF(H$2=$AF180,$AG180,0))))</f>
        <v/>
      </c>
      <c r="U180">
        <f>IF(I179&lt;=0,0,MIN(AN180,I$7+IF(I$2=$AA180,$AC180,IF(I$2=$AF180,$AG180,0))))</f>
        <v/>
      </c>
      <c r="V180">
        <f>IF(J179&lt;=0,0,MIN(AO180,J$7+IF(J$2=$AA180,$AC180,IF(J$2=$AF180,$AG180,0))))</f>
        <v/>
      </c>
      <c r="W180">
        <f>IF(K179&lt;=0,0,MIN(AP180,K$7+IF(K$2=$AA180,$AC180,IF(K$2=$AF180,$AG180,0))))</f>
        <v/>
      </c>
      <c r="X180">
        <f>IF(L179&lt;=0,0,MIN(AQ180,L$7+IF(L$2=$AA180,$AC180,IF(L$2=$AF180,$AG180,0))))</f>
        <v/>
      </c>
      <c r="Y180">
        <f>IF(M179&lt;=0,0,MIN(AR180,M$7+IF(M$2=$AA180,$AC180,IF(M$2=$AF180,$AG180,0))))</f>
        <v/>
      </c>
      <c r="Z180">
        <f>IF(N179&lt;=0,0,MIN(AS180,N$7+IF(N$2=$AA180,$AC180,IF(N$2=$AF180,$AG180,0))))</f>
        <v/>
      </c>
      <c r="AA180">
        <f>IFERROR(ROUND(1/SUMPRODUCT(MAX((C179:N179&gt;0)*($C$3:$N$3&lt;=B180)/$C$2:$N$2)),0),0)</f>
        <v/>
      </c>
      <c r="AB180">
        <f>SUMPRODUCT((C179:N179&gt;0)*$C$7:$N$7)</f>
        <v/>
      </c>
      <c r="AC180">
        <f>MAX(0,Plan!$C$5-AB180)+IF(A180=Plan!$C$8,N(Plan!$C$7),0)</f>
        <v/>
      </c>
      <c r="AD180">
        <f>SUM(C180:N180)</f>
        <v/>
      </c>
      <c r="AE180">
        <f>SUM(O180:Z180)</f>
        <v/>
      </c>
      <c r="AF180">
        <f>IFERROR(ROUND(1/SUMPRODUCT(MAX((C179:N179&gt;0)*($C$3:$N$3&lt;=B180)*($C$2:$N$2&gt;AA180)/$C$2:$N$2)),0),0)</f>
        <v/>
      </c>
      <c r="AG180">
        <f>MAX(0,AC180-MAX(0,SUMPRODUCT(($C$2:$N$2=AA180)*(AH180:AS180-$C$7:$N$7))))</f>
        <v/>
      </c>
      <c r="AH180">
        <f>IF(C179&lt;=0,0,ROUND(C179*(1+IF(AND(C$6&gt;0,$B180&lt;C$6),C$4,C$5)/12),2))</f>
        <v/>
      </c>
      <c r="AI180">
        <f>IF(D179&lt;=0,0,ROUND(D179*(1+IF(AND(D$6&gt;0,$B180&lt;D$6),D$4,D$5)/12),2))</f>
        <v/>
      </c>
      <c r="AJ180">
        <f>IF(E179&lt;=0,0,ROUND(E179*(1+IF(AND(E$6&gt;0,$B180&lt;E$6),E$4,E$5)/12),2))</f>
        <v/>
      </c>
      <c r="AK180">
        <f>IF(F179&lt;=0,0,ROUND(F179*(1+IF(AND(F$6&gt;0,$B180&lt;F$6),F$4,F$5)/12),2))</f>
        <v/>
      </c>
      <c r="AL180">
        <f>IF(G179&lt;=0,0,ROUND(G179*(1+IF(AND(G$6&gt;0,$B180&lt;G$6),G$4,G$5)/12),2))</f>
        <v/>
      </c>
      <c r="AM180">
        <f>IF(H179&lt;=0,0,ROUND(H179*(1+IF(AND(H$6&gt;0,$B180&lt;H$6),H$4,H$5)/12),2))</f>
        <v/>
      </c>
      <c r="AN180">
        <f>IF(I179&lt;=0,0,ROUND(I179*(1+IF(AND(I$6&gt;0,$B180&lt;I$6),I$4,I$5)/12),2))</f>
        <v/>
      </c>
      <c r="AO180">
        <f>IF(J179&lt;=0,0,ROUND(J179*(1+IF(AND(J$6&gt;0,$B180&lt;J$6),J$4,J$5)/12),2))</f>
        <v/>
      </c>
      <c r="AP180">
        <f>IF(K179&lt;=0,0,ROUND(K179*(1+IF(AND(K$6&gt;0,$B180&lt;K$6),K$4,K$5)/12),2))</f>
        <v/>
      </c>
      <c r="AQ180">
        <f>IF(L179&lt;=0,0,ROUND(L179*(1+IF(AND(L$6&gt;0,$B180&lt;L$6),L$4,L$5)/12),2))</f>
        <v/>
      </c>
      <c r="AR180">
        <f>IF(M179&lt;=0,0,ROUND(M179*(1+IF(AND(M$6&gt;0,$B180&lt;M$6),M$4,M$5)/12),2))</f>
        <v/>
      </c>
      <c r="AS180">
        <f>IF(N179&lt;=0,0,ROUND(N179*(1+IF(AND(N$6&gt;0,$B180&lt;N$6),N$4,N$5)/12),2))</f>
        <v/>
      </c>
    </row>
    <row r="181">
      <c r="A181" t="n">
        <v>170</v>
      </c>
      <c r="B181">
        <f>EDATE(Plan!$C$6,169)</f>
        <v/>
      </c>
      <c r="C181">
        <f>IF(C180&lt;=0,0,MAX(0,AH181-O181))</f>
        <v/>
      </c>
      <c r="D181">
        <f>IF(D180&lt;=0,0,MAX(0,AI181-P181))</f>
        <v/>
      </c>
      <c r="E181">
        <f>IF(E180&lt;=0,0,MAX(0,AJ181-Q181))</f>
        <v/>
      </c>
      <c r="F181">
        <f>IF(F180&lt;=0,0,MAX(0,AK181-R181))</f>
        <v/>
      </c>
      <c r="G181">
        <f>IF(G180&lt;=0,0,MAX(0,AL181-S181))</f>
        <v/>
      </c>
      <c r="H181">
        <f>IF(H180&lt;=0,0,MAX(0,AM181-T181))</f>
        <v/>
      </c>
      <c r="I181">
        <f>IF(I180&lt;=0,0,MAX(0,AN181-U181))</f>
        <v/>
      </c>
      <c r="J181">
        <f>IF(J180&lt;=0,0,MAX(0,AO181-V181))</f>
        <v/>
      </c>
      <c r="K181">
        <f>IF(K180&lt;=0,0,MAX(0,AP181-W181))</f>
        <v/>
      </c>
      <c r="L181">
        <f>IF(L180&lt;=0,0,MAX(0,AQ181-X181))</f>
        <v/>
      </c>
      <c r="M181">
        <f>IF(M180&lt;=0,0,MAX(0,AR181-Y181))</f>
        <v/>
      </c>
      <c r="N181">
        <f>IF(N180&lt;=0,0,MAX(0,AS181-Z181))</f>
        <v/>
      </c>
      <c r="O181">
        <f>IF(C180&lt;=0,0,MIN(AH181,C$7+IF(C$2=$AA181,$AC181,IF(C$2=$AF181,$AG181,0))))</f>
        <v/>
      </c>
      <c r="P181">
        <f>IF(D180&lt;=0,0,MIN(AI181,D$7+IF(D$2=$AA181,$AC181,IF(D$2=$AF181,$AG181,0))))</f>
        <v/>
      </c>
      <c r="Q181">
        <f>IF(E180&lt;=0,0,MIN(AJ181,E$7+IF(E$2=$AA181,$AC181,IF(E$2=$AF181,$AG181,0))))</f>
        <v/>
      </c>
      <c r="R181">
        <f>IF(F180&lt;=0,0,MIN(AK181,F$7+IF(F$2=$AA181,$AC181,IF(F$2=$AF181,$AG181,0))))</f>
        <v/>
      </c>
      <c r="S181">
        <f>IF(G180&lt;=0,0,MIN(AL181,G$7+IF(G$2=$AA181,$AC181,IF(G$2=$AF181,$AG181,0))))</f>
        <v/>
      </c>
      <c r="T181">
        <f>IF(H180&lt;=0,0,MIN(AM181,H$7+IF(H$2=$AA181,$AC181,IF(H$2=$AF181,$AG181,0))))</f>
        <v/>
      </c>
      <c r="U181">
        <f>IF(I180&lt;=0,0,MIN(AN181,I$7+IF(I$2=$AA181,$AC181,IF(I$2=$AF181,$AG181,0))))</f>
        <v/>
      </c>
      <c r="V181">
        <f>IF(J180&lt;=0,0,MIN(AO181,J$7+IF(J$2=$AA181,$AC181,IF(J$2=$AF181,$AG181,0))))</f>
        <v/>
      </c>
      <c r="W181">
        <f>IF(K180&lt;=0,0,MIN(AP181,K$7+IF(K$2=$AA181,$AC181,IF(K$2=$AF181,$AG181,0))))</f>
        <v/>
      </c>
      <c r="X181">
        <f>IF(L180&lt;=0,0,MIN(AQ181,L$7+IF(L$2=$AA181,$AC181,IF(L$2=$AF181,$AG181,0))))</f>
        <v/>
      </c>
      <c r="Y181">
        <f>IF(M180&lt;=0,0,MIN(AR181,M$7+IF(M$2=$AA181,$AC181,IF(M$2=$AF181,$AG181,0))))</f>
        <v/>
      </c>
      <c r="Z181">
        <f>IF(N180&lt;=0,0,MIN(AS181,N$7+IF(N$2=$AA181,$AC181,IF(N$2=$AF181,$AG181,0))))</f>
        <v/>
      </c>
      <c r="AA181">
        <f>IFERROR(ROUND(1/SUMPRODUCT(MAX((C180:N180&gt;0)*($C$3:$N$3&lt;=B181)/$C$2:$N$2)),0),0)</f>
        <v/>
      </c>
      <c r="AB181">
        <f>SUMPRODUCT((C180:N180&gt;0)*$C$7:$N$7)</f>
        <v/>
      </c>
      <c r="AC181">
        <f>MAX(0,Plan!$C$5-AB181)+IF(A181=Plan!$C$8,N(Plan!$C$7),0)</f>
        <v/>
      </c>
      <c r="AD181">
        <f>SUM(C181:N181)</f>
        <v/>
      </c>
      <c r="AE181">
        <f>SUM(O181:Z181)</f>
        <v/>
      </c>
      <c r="AF181">
        <f>IFERROR(ROUND(1/SUMPRODUCT(MAX((C180:N180&gt;0)*($C$3:$N$3&lt;=B181)*($C$2:$N$2&gt;AA181)/$C$2:$N$2)),0),0)</f>
        <v/>
      </c>
      <c r="AG181">
        <f>MAX(0,AC181-MAX(0,SUMPRODUCT(($C$2:$N$2=AA181)*(AH181:AS181-$C$7:$N$7))))</f>
        <v/>
      </c>
      <c r="AH181">
        <f>IF(C180&lt;=0,0,ROUND(C180*(1+IF(AND(C$6&gt;0,$B181&lt;C$6),C$4,C$5)/12),2))</f>
        <v/>
      </c>
      <c r="AI181">
        <f>IF(D180&lt;=0,0,ROUND(D180*(1+IF(AND(D$6&gt;0,$B181&lt;D$6),D$4,D$5)/12),2))</f>
        <v/>
      </c>
      <c r="AJ181">
        <f>IF(E180&lt;=0,0,ROUND(E180*(1+IF(AND(E$6&gt;0,$B181&lt;E$6),E$4,E$5)/12),2))</f>
        <v/>
      </c>
      <c r="AK181">
        <f>IF(F180&lt;=0,0,ROUND(F180*(1+IF(AND(F$6&gt;0,$B181&lt;F$6),F$4,F$5)/12),2))</f>
        <v/>
      </c>
      <c r="AL181">
        <f>IF(G180&lt;=0,0,ROUND(G180*(1+IF(AND(G$6&gt;0,$B181&lt;G$6),G$4,G$5)/12),2))</f>
        <v/>
      </c>
      <c r="AM181">
        <f>IF(H180&lt;=0,0,ROUND(H180*(1+IF(AND(H$6&gt;0,$B181&lt;H$6),H$4,H$5)/12),2))</f>
        <v/>
      </c>
      <c r="AN181">
        <f>IF(I180&lt;=0,0,ROUND(I180*(1+IF(AND(I$6&gt;0,$B181&lt;I$6),I$4,I$5)/12),2))</f>
        <v/>
      </c>
      <c r="AO181">
        <f>IF(J180&lt;=0,0,ROUND(J180*(1+IF(AND(J$6&gt;0,$B181&lt;J$6),J$4,J$5)/12),2))</f>
        <v/>
      </c>
      <c r="AP181">
        <f>IF(K180&lt;=0,0,ROUND(K180*(1+IF(AND(K$6&gt;0,$B181&lt;K$6),K$4,K$5)/12),2))</f>
        <v/>
      </c>
      <c r="AQ181">
        <f>IF(L180&lt;=0,0,ROUND(L180*(1+IF(AND(L$6&gt;0,$B181&lt;L$6),L$4,L$5)/12),2))</f>
        <v/>
      </c>
      <c r="AR181">
        <f>IF(M180&lt;=0,0,ROUND(M180*(1+IF(AND(M$6&gt;0,$B181&lt;M$6),M$4,M$5)/12),2))</f>
        <v/>
      </c>
      <c r="AS181">
        <f>IF(N180&lt;=0,0,ROUND(N180*(1+IF(AND(N$6&gt;0,$B181&lt;N$6),N$4,N$5)/12),2))</f>
        <v/>
      </c>
    </row>
    <row r="182">
      <c r="A182" t="n">
        <v>171</v>
      </c>
      <c r="B182">
        <f>EDATE(Plan!$C$6,170)</f>
        <v/>
      </c>
      <c r="C182">
        <f>IF(C181&lt;=0,0,MAX(0,AH182-O182))</f>
        <v/>
      </c>
      <c r="D182">
        <f>IF(D181&lt;=0,0,MAX(0,AI182-P182))</f>
        <v/>
      </c>
      <c r="E182">
        <f>IF(E181&lt;=0,0,MAX(0,AJ182-Q182))</f>
        <v/>
      </c>
      <c r="F182">
        <f>IF(F181&lt;=0,0,MAX(0,AK182-R182))</f>
        <v/>
      </c>
      <c r="G182">
        <f>IF(G181&lt;=0,0,MAX(0,AL182-S182))</f>
        <v/>
      </c>
      <c r="H182">
        <f>IF(H181&lt;=0,0,MAX(0,AM182-T182))</f>
        <v/>
      </c>
      <c r="I182">
        <f>IF(I181&lt;=0,0,MAX(0,AN182-U182))</f>
        <v/>
      </c>
      <c r="J182">
        <f>IF(J181&lt;=0,0,MAX(0,AO182-V182))</f>
        <v/>
      </c>
      <c r="K182">
        <f>IF(K181&lt;=0,0,MAX(0,AP182-W182))</f>
        <v/>
      </c>
      <c r="L182">
        <f>IF(L181&lt;=0,0,MAX(0,AQ182-X182))</f>
        <v/>
      </c>
      <c r="M182">
        <f>IF(M181&lt;=0,0,MAX(0,AR182-Y182))</f>
        <v/>
      </c>
      <c r="N182">
        <f>IF(N181&lt;=0,0,MAX(0,AS182-Z182))</f>
        <v/>
      </c>
      <c r="O182">
        <f>IF(C181&lt;=0,0,MIN(AH182,C$7+IF(C$2=$AA182,$AC182,IF(C$2=$AF182,$AG182,0))))</f>
        <v/>
      </c>
      <c r="P182">
        <f>IF(D181&lt;=0,0,MIN(AI182,D$7+IF(D$2=$AA182,$AC182,IF(D$2=$AF182,$AG182,0))))</f>
        <v/>
      </c>
      <c r="Q182">
        <f>IF(E181&lt;=0,0,MIN(AJ182,E$7+IF(E$2=$AA182,$AC182,IF(E$2=$AF182,$AG182,0))))</f>
        <v/>
      </c>
      <c r="R182">
        <f>IF(F181&lt;=0,0,MIN(AK182,F$7+IF(F$2=$AA182,$AC182,IF(F$2=$AF182,$AG182,0))))</f>
        <v/>
      </c>
      <c r="S182">
        <f>IF(G181&lt;=0,0,MIN(AL182,G$7+IF(G$2=$AA182,$AC182,IF(G$2=$AF182,$AG182,0))))</f>
        <v/>
      </c>
      <c r="T182">
        <f>IF(H181&lt;=0,0,MIN(AM182,H$7+IF(H$2=$AA182,$AC182,IF(H$2=$AF182,$AG182,0))))</f>
        <v/>
      </c>
      <c r="U182">
        <f>IF(I181&lt;=0,0,MIN(AN182,I$7+IF(I$2=$AA182,$AC182,IF(I$2=$AF182,$AG182,0))))</f>
        <v/>
      </c>
      <c r="V182">
        <f>IF(J181&lt;=0,0,MIN(AO182,J$7+IF(J$2=$AA182,$AC182,IF(J$2=$AF182,$AG182,0))))</f>
        <v/>
      </c>
      <c r="W182">
        <f>IF(K181&lt;=0,0,MIN(AP182,K$7+IF(K$2=$AA182,$AC182,IF(K$2=$AF182,$AG182,0))))</f>
        <v/>
      </c>
      <c r="X182">
        <f>IF(L181&lt;=0,0,MIN(AQ182,L$7+IF(L$2=$AA182,$AC182,IF(L$2=$AF182,$AG182,0))))</f>
        <v/>
      </c>
      <c r="Y182">
        <f>IF(M181&lt;=0,0,MIN(AR182,M$7+IF(M$2=$AA182,$AC182,IF(M$2=$AF182,$AG182,0))))</f>
        <v/>
      </c>
      <c r="Z182">
        <f>IF(N181&lt;=0,0,MIN(AS182,N$7+IF(N$2=$AA182,$AC182,IF(N$2=$AF182,$AG182,0))))</f>
        <v/>
      </c>
      <c r="AA182">
        <f>IFERROR(ROUND(1/SUMPRODUCT(MAX((C181:N181&gt;0)*($C$3:$N$3&lt;=B182)/$C$2:$N$2)),0),0)</f>
        <v/>
      </c>
      <c r="AB182">
        <f>SUMPRODUCT((C181:N181&gt;0)*$C$7:$N$7)</f>
        <v/>
      </c>
      <c r="AC182">
        <f>MAX(0,Plan!$C$5-AB182)+IF(A182=Plan!$C$8,N(Plan!$C$7),0)</f>
        <v/>
      </c>
      <c r="AD182">
        <f>SUM(C182:N182)</f>
        <v/>
      </c>
      <c r="AE182">
        <f>SUM(O182:Z182)</f>
        <v/>
      </c>
      <c r="AF182">
        <f>IFERROR(ROUND(1/SUMPRODUCT(MAX((C181:N181&gt;0)*($C$3:$N$3&lt;=B182)*($C$2:$N$2&gt;AA182)/$C$2:$N$2)),0),0)</f>
        <v/>
      </c>
      <c r="AG182">
        <f>MAX(0,AC182-MAX(0,SUMPRODUCT(($C$2:$N$2=AA182)*(AH182:AS182-$C$7:$N$7))))</f>
        <v/>
      </c>
      <c r="AH182">
        <f>IF(C181&lt;=0,0,ROUND(C181*(1+IF(AND(C$6&gt;0,$B182&lt;C$6),C$4,C$5)/12),2))</f>
        <v/>
      </c>
      <c r="AI182">
        <f>IF(D181&lt;=0,0,ROUND(D181*(1+IF(AND(D$6&gt;0,$B182&lt;D$6),D$4,D$5)/12),2))</f>
        <v/>
      </c>
      <c r="AJ182">
        <f>IF(E181&lt;=0,0,ROUND(E181*(1+IF(AND(E$6&gt;0,$B182&lt;E$6),E$4,E$5)/12),2))</f>
        <v/>
      </c>
      <c r="AK182">
        <f>IF(F181&lt;=0,0,ROUND(F181*(1+IF(AND(F$6&gt;0,$B182&lt;F$6),F$4,F$5)/12),2))</f>
        <v/>
      </c>
      <c r="AL182">
        <f>IF(G181&lt;=0,0,ROUND(G181*(1+IF(AND(G$6&gt;0,$B182&lt;G$6),G$4,G$5)/12),2))</f>
        <v/>
      </c>
      <c r="AM182">
        <f>IF(H181&lt;=0,0,ROUND(H181*(1+IF(AND(H$6&gt;0,$B182&lt;H$6),H$4,H$5)/12),2))</f>
        <v/>
      </c>
      <c r="AN182">
        <f>IF(I181&lt;=0,0,ROUND(I181*(1+IF(AND(I$6&gt;0,$B182&lt;I$6),I$4,I$5)/12),2))</f>
        <v/>
      </c>
      <c r="AO182">
        <f>IF(J181&lt;=0,0,ROUND(J181*(1+IF(AND(J$6&gt;0,$B182&lt;J$6),J$4,J$5)/12),2))</f>
        <v/>
      </c>
      <c r="AP182">
        <f>IF(K181&lt;=0,0,ROUND(K181*(1+IF(AND(K$6&gt;0,$B182&lt;K$6),K$4,K$5)/12),2))</f>
        <v/>
      </c>
      <c r="AQ182">
        <f>IF(L181&lt;=0,0,ROUND(L181*(1+IF(AND(L$6&gt;0,$B182&lt;L$6),L$4,L$5)/12),2))</f>
        <v/>
      </c>
      <c r="AR182">
        <f>IF(M181&lt;=0,0,ROUND(M181*(1+IF(AND(M$6&gt;0,$B182&lt;M$6),M$4,M$5)/12),2))</f>
        <v/>
      </c>
      <c r="AS182">
        <f>IF(N181&lt;=0,0,ROUND(N181*(1+IF(AND(N$6&gt;0,$B182&lt;N$6),N$4,N$5)/12),2))</f>
        <v/>
      </c>
    </row>
    <row r="183">
      <c r="A183" t="n">
        <v>172</v>
      </c>
      <c r="B183">
        <f>EDATE(Plan!$C$6,171)</f>
        <v/>
      </c>
      <c r="C183">
        <f>IF(C182&lt;=0,0,MAX(0,AH183-O183))</f>
        <v/>
      </c>
      <c r="D183">
        <f>IF(D182&lt;=0,0,MAX(0,AI183-P183))</f>
        <v/>
      </c>
      <c r="E183">
        <f>IF(E182&lt;=0,0,MAX(0,AJ183-Q183))</f>
        <v/>
      </c>
      <c r="F183">
        <f>IF(F182&lt;=0,0,MAX(0,AK183-R183))</f>
        <v/>
      </c>
      <c r="G183">
        <f>IF(G182&lt;=0,0,MAX(0,AL183-S183))</f>
        <v/>
      </c>
      <c r="H183">
        <f>IF(H182&lt;=0,0,MAX(0,AM183-T183))</f>
        <v/>
      </c>
      <c r="I183">
        <f>IF(I182&lt;=0,0,MAX(0,AN183-U183))</f>
        <v/>
      </c>
      <c r="J183">
        <f>IF(J182&lt;=0,0,MAX(0,AO183-V183))</f>
        <v/>
      </c>
      <c r="K183">
        <f>IF(K182&lt;=0,0,MAX(0,AP183-W183))</f>
        <v/>
      </c>
      <c r="L183">
        <f>IF(L182&lt;=0,0,MAX(0,AQ183-X183))</f>
        <v/>
      </c>
      <c r="M183">
        <f>IF(M182&lt;=0,0,MAX(0,AR183-Y183))</f>
        <v/>
      </c>
      <c r="N183">
        <f>IF(N182&lt;=0,0,MAX(0,AS183-Z183))</f>
        <v/>
      </c>
      <c r="O183">
        <f>IF(C182&lt;=0,0,MIN(AH183,C$7+IF(C$2=$AA183,$AC183,IF(C$2=$AF183,$AG183,0))))</f>
        <v/>
      </c>
      <c r="P183">
        <f>IF(D182&lt;=0,0,MIN(AI183,D$7+IF(D$2=$AA183,$AC183,IF(D$2=$AF183,$AG183,0))))</f>
        <v/>
      </c>
      <c r="Q183">
        <f>IF(E182&lt;=0,0,MIN(AJ183,E$7+IF(E$2=$AA183,$AC183,IF(E$2=$AF183,$AG183,0))))</f>
        <v/>
      </c>
      <c r="R183">
        <f>IF(F182&lt;=0,0,MIN(AK183,F$7+IF(F$2=$AA183,$AC183,IF(F$2=$AF183,$AG183,0))))</f>
        <v/>
      </c>
      <c r="S183">
        <f>IF(G182&lt;=0,0,MIN(AL183,G$7+IF(G$2=$AA183,$AC183,IF(G$2=$AF183,$AG183,0))))</f>
        <v/>
      </c>
      <c r="T183">
        <f>IF(H182&lt;=0,0,MIN(AM183,H$7+IF(H$2=$AA183,$AC183,IF(H$2=$AF183,$AG183,0))))</f>
        <v/>
      </c>
      <c r="U183">
        <f>IF(I182&lt;=0,0,MIN(AN183,I$7+IF(I$2=$AA183,$AC183,IF(I$2=$AF183,$AG183,0))))</f>
        <v/>
      </c>
      <c r="V183">
        <f>IF(J182&lt;=0,0,MIN(AO183,J$7+IF(J$2=$AA183,$AC183,IF(J$2=$AF183,$AG183,0))))</f>
        <v/>
      </c>
      <c r="W183">
        <f>IF(K182&lt;=0,0,MIN(AP183,K$7+IF(K$2=$AA183,$AC183,IF(K$2=$AF183,$AG183,0))))</f>
        <v/>
      </c>
      <c r="X183">
        <f>IF(L182&lt;=0,0,MIN(AQ183,L$7+IF(L$2=$AA183,$AC183,IF(L$2=$AF183,$AG183,0))))</f>
        <v/>
      </c>
      <c r="Y183">
        <f>IF(M182&lt;=0,0,MIN(AR183,M$7+IF(M$2=$AA183,$AC183,IF(M$2=$AF183,$AG183,0))))</f>
        <v/>
      </c>
      <c r="Z183">
        <f>IF(N182&lt;=0,0,MIN(AS183,N$7+IF(N$2=$AA183,$AC183,IF(N$2=$AF183,$AG183,0))))</f>
        <v/>
      </c>
      <c r="AA183">
        <f>IFERROR(ROUND(1/SUMPRODUCT(MAX((C182:N182&gt;0)*($C$3:$N$3&lt;=B183)/$C$2:$N$2)),0),0)</f>
        <v/>
      </c>
      <c r="AB183">
        <f>SUMPRODUCT((C182:N182&gt;0)*$C$7:$N$7)</f>
        <v/>
      </c>
      <c r="AC183">
        <f>MAX(0,Plan!$C$5-AB183)+IF(A183=Plan!$C$8,N(Plan!$C$7),0)</f>
        <v/>
      </c>
      <c r="AD183">
        <f>SUM(C183:N183)</f>
        <v/>
      </c>
      <c r="AE183">
        <f>SUM(O183:Z183)</f>
        <v/>
      </c>
      <c r="AF183">
        <f>IFERROR(ROUND(1/SUMPRODUCT(MAX((C182:N182&gt;0)*($C$3:$N$3&lt;=B183)*($C$2:$N$2&gt;AA183)/$C$2:$N$2)),0),0)</f>
        <v/>
      </c>
      <c r="AG183">
        <f>MAX(0,AC183-MAX(0,SUMPRODUCT(($C$2:$N$2=AA183)*(AH183:AS183-$C$7:$N$7))))</f>
        <v/>
      </c>
      <c r="AH183">
        <f>IF(C182&lt;=0,0,ROUND(C182*(1+IF(AND(C$6&gt;0,$B183&lt;C$6),C$4,C$5)/12),2))</f>
        <v/>
      </c>
      <c r="AI183">
        <f>IF(D182&lt;=0,0,ROUND(D182*(1+IF(AND(D$6&gt;0,$B183&lt;D$6),D$4,D$5)/12),2))</f>
        <v/>
      </c>
      <c r="AJ183">
        <f>IF(E182&lt;=0,0,ROUND(E182*(1+IF(AND(E$6&gt;0,$B183&lt;E$6),E$4,E$5)/12),2))</f>
        <v/>
      </c>
      <c r="AK183">
        <f>IF(F182&lt;=0,0,ROUND(F182*(1+IF(AND(F$6&gt;0,$B183&lt;F$6),F$4,F$5)/12),2))</f>
        <v/>
      </c>
      <c r="AL183">
        <f>IF(G182&lt;=0,0,ROUND(G182*(1+IF(AND(G$6&gt;0,$B183&lt;G$6),G$4,G$5)/12),2))</f>
        <v/>
      </c>
      <c r="AM183">
        <f>IF(H182&lt;=0,0,ROUND(H182*(1+IF(AND(H$6&gt;0,$B183&lt;H$6),H$4,H$5)/12),2))</f>
        <v/>
      </c>
      <c r="AN183">
        <f>IF(I182&lt;=0,0,ROUND(I182*(1+IF(AND(I$6&gt;0,$B183&lt;I$6),I$4,I$5)/12),2))</f>
        <v/>
      </c>
      <c r="AO183">
        <f>IF(J182&lt;=0,0,ROUND(J182*(1+IF(AND(J$6&gt;0,$B183&lt;J$6),J$4,J$5)/12),2))</f>
        <v/>
      </c>
      <c r="AP183">
        <f>IF(K182&lt;=0,0,ROUND(K182*(1+IF(AND(K$6&gt;0,$B183&lt;K$6),K$4,K$5)/12),2))</f>
        <v/>
      </c>
      <c r="AQ183">
        <f>IF(L182&lt;=0,0,ROUND(L182*(1+IF(AND(L$6&gt;0,$B183&lt;L$6),L$4,L$5)/12),2))</f>
        <v/>
      </c>
      <c r="AR183">
        <f>IF(M182&lt;=0,0,ROUND(M182*(1+IF(AND(M$6&gt;0,$B183&lt;M$6),M$4,M$5)/12),2))</f>
        <v/>
      </c>
      <c r="AS183">
        <f>IF(N182&lt;=0,0,ROUND(N182*(1+IF(AND(N$6&gt;0,$B183&lt;N$6),N$4,N$5)/12),2))</f>
        <v/>
      </c>
    </row>
    <row r="184">
      <c r="A184" t="n">
        <v>173</v>
      </c>
      <c r="B184">
        <f>EDATE(Plan!$C$6,172)</f>
        <v/>
      </c>
      <c r="C184">
        <f>IF(C183&lt;=0,0,MAX(0,AH184-O184))</f>
        <v/>
      </c>
      <c r="D184">
        <f>IF(D183&lt;=0,0,MAX(0,AI184-P184))</f>
        <v/>
      </c>
      <c r="E184">
        <f>IF(E183&lt;=0,0,MAX(0,AJ184-Q184))</f>
        <v/>
      </c>
      <c r="F184">
        <f>IF(F183&lt;=0,0,MAX(0,AK184-R184))</f>
        <v/>
      </c>
      <c r="G184">
        <f>IF(G183&lt;=0,0,MAX(0,AL184-S184))</f>
        <v/>
      </c>
      <c r="H184">
        <f>IF(H183&lt;=0,0,MAX(0,AM184-T184))</f>
        <v/>
      </c>
      <c r="I184">
        <f>IF(I183&lt;=0,0,MAX(0,AN184-U184))</f>
        <v/>
      </c>
      <c r="J184">
        <f>IF(J183&lt;=0,0,MAX(0,AO184-V184))</f>
        <v/>
      </c>
      <c r="K184">
        <f>IF(K183&lt;=0,0,MAX(0,AP184-W184))</f>
        <v/>
      </c>
      <c r="L184">
        <f>IF(L183&lt;=0,0,MAX(0,AQ184-X184))</f>
        <v/>
      </c>
      <c r="M184">
        <f>IF(M183&lt;=0,0,MAX(0,AR184-Y184))</f>
        <v/>
      </c>
      <c r="N184">
        <f>IF(N183&lt;=0,0,MAX(0,AS184-Z184))</f>
        <v/>
      </c>
      <c r="O184">
        <f>IF(C183&lt;=0,0,MIN(AH184,C$7+IF(C$2=$AA184,$AC184,IF(C$2=$AF184,$AG184,0))))</f>
        <v/>
      </c>
      <c r="P184">
        <f>IF(D183&lt;=0,0,MIN(AI184,D$7+IF(D$2=$AA184,$AC184,IF(D$2=$AF184,$AG184,0))))</f>
        <v/>
      </c>
      <c r="Q184">
        <f>IF(E183&lt;=0,0,MIN(AJ184,E$7+IF(E$2=$AA184,$AC184,IF(E$2=$AF184,$AG184,0))))</f>
        <v/>
      </c>
      <c r="R184">
        <f>IF(F183&lt;=0,0,MIN(AK184,F$7+IF(F$2=$AA184,$AC184,IF(F$2=$AF184,$AG184,0))))</f>
        <v/>
      </c>
      <c r="S184">
        <f>IF(G183&lt;=0,0,MIN(AL184,G$7+IF(G$2=$AA184,$AC184,IF(G$2=$AF184,$AG184,0))))</f>
        <v/>
      </c>
      <c r="T184">
        <f>IF(H183&lt;=0,0,MIN(AM184,H$7+IF(H$2=$AA184,$AC184,IF(H$2=$AF184,$AG184,0))))</f>
        <v/>
      </c>
      <c r="U184">
        <f>IF(I183&lt;=0,0,MIN(AN184,I$7+IF(I$2=$AA184,$AC184,IF(I$2=$AF184,$AG184,0))))</f>
        <v/>
      </c>
      <c r="V184">
        <f>IF(J183&lt;=0,0,MIN(AO184,J$7+IF(J$2=$AA184,$AC184,IF(J$2=$AF184,$AG184,0))))</f>
        <v/>
      </c>
      <c r="W184">
        <f>IF(K183&lt;=0,0,MIN(AP184,K$7+IF(K$2=$AA184,$AC184,IF(K$2=$AF184,$AG184,0))))</f>
        <v/>
      </c>
      <c r="X184">
        <f>IF(L183&lt;=0,0,MIN(AQ184,L$7+IF(L$2=$AA184,$AC184,IF(L$2=$AF184,$AG184,0))))</f>
        <v/>
      </c>
      <c r="Y184">
        <f>IF(M183&lt;=0,0,MIN(AR184,M$7+IF(M$2=$AA184,$AC184,IF(M$2=$AF184,$AG184,0))))</f>
        <v/>
      </c>
      <c r="Z184">
        <f>IF(N183&lt;=0,0,MIN(AS184,N$7+IF(N$2=$AA184,$AC184,IF(N$2=$AF184,$AG184,0))))</f>
        <v/>
      </c>
      <c r="AA184">
        <f>IFERROR(ROUND(1/SUMPRODUCT(MAX((C183:N183&gt;0)*($C$3:$N$3&lt;=B184)/$C$2:$N$2)),0),0)</f>
        <v/>
      </c>
      <c r="AB184">
        <f>SUMPRODUCT((C183:N183&gt;0)*$C$7:$N$7)</f>
        <v/>
      </c>
      <c r="AC184">
        <f>MAX(0,Plan!$C$5-AB184)+IF(A184=Plan!$C$8,N(Plan!$C$7),0)</f>
        <v/>
      </c>
      <c r="AD184">
        <f>SUM(C184:N184)</f>
        <v/>
      </c>
      <c r="AE184">
        <f>SUM(O184:Z184)</f>
        <v/>
      </c>
      <c r="AF184">
        <f>IFERROR(ROUND(1/SUMPRODUCT(MAX((C183:N183&gt;0)*($C$3:$N$3&lt;=B184)*($C$2:$N$2&gt;AA184)/$C$2:$N$2)),0),0)</f>
        <v/>
      </c>
      <c r="AG184">
        <f>MAX(0,AC184-MAX(0,SUMPRODUCT(($C$2:$N$2=AA184)*(AH184:AS184-$C$7:$N$7))))</f>
        <v/>
      </c>
      <c r="AH184">
        <f>IF(C183&lt;=0,0,ROUND(C183*(1+IF(AND(C$6&gt;0,$B184&lt;C$6),C$4,C$5)/12),2))</f>
        <v/>
      </c>
      <c r="AI184">
        <f>IF(D183&lt;=0,0,ROUND(D183*(1+IF(AND(D$6&gt;0,$B184&lt;D$6),D$4,D$5)/12),2))</f>
        <v/>
      </c>
      <c r="AJ184">
        <f>IF(E183&lt;=0,0,ROUND(E183*(1+IF(AND(E$6&gt;0,$B184&lt;E$6),E$4,E$5)/12),2))</f>
        <v/>
      </c>
      <c r="AK184">
        <f>IF(F183&lt;=0,0,ROUND(F183*(1+IF(AND(F$6&gt;0,$B184&lt;F$6),F$4,F$5)/12),2))</f>
        <v/>
      </c>
      <c r="AL184">
        <f>IF(G183&lt;=0,0,ROUND(G183*(1+IF(AND(G$6&gt;0,$B184&lt;G$6),G$4,G$5)/12),2))</f>
        <v/>
      </c>
      <c r="AM184">
        <f>IF(H183&lt;=0,0,ROUND(H183*(1+IF(AND(H$6&gt;0,$B184&lt;H$6),H$4,H$5)/12),2))</f>
        <v/>
      </c>
      <c r="AN184">
        <f>IF(I183&lt;=0,0,ROUND(I183*(1+IF(AND(I$6&gt;0,$B184&lt;I$6),I$4,I$5)/12),2))</f>
        <v/>
      </c>
      <c r="AO184">
        <f>IF(J183&lt;=0,0,ROUND(J183*(1+IF(AND(J$6&gt;0,$B184&lt;J$6),J$4,J$5)/12),2))</f>
        <v/>
      </c>
      <c r="AP184">
        <f>IF(K183&lt;=0,0,ROUND(K183*(1+IF(AND(K$6&gt;0,$B184&lt;K$6),K$4,K$5)/12),2))</f>
        <v/>
      </c>
      <c r="AQ184">
        <f>IF(L183&lt;=0,0,ROUND(L183*(1+IF(AND(L$6&gt;0,$B184&lt;L$6),L$4,L$5)/12),2))</f>
        <v/>
      </c>
      <c r="AR184">
        <f>IF(M183&lt;=0,0,ROUND(M183*(1+IF(AND(M$6&gt;0,$B184&lt;M$6),M$4,M$5)/12),2))</f>
        <v/>
      </c>
      <c r="AS184">
        <f>IF(N183&lt;=0,0,ROUND(N183*(1+IF(AND(N$6&gt;0,$B184&lt;N$6),N$4,N$5)/12),2))</f>
        <v/>
      </c>
    </row>
    <row r="185">
      <c r="A185" t="n">
        <v>174</v>
      </c>
      <c r="B185">
        <f>EDATE(Plan!$C$6,173)</f>
        <v/>
      </c>
      <c r="C185">
        <f>IF(C184&lt;=0,0,MAX(0,AH185-O185))</f>
        <v/>
      </c>
      <c r="D185">
        <f>IF(D184&lt;=0,0,MAX(0,AI185-P185))</f>
        <v/>
      </c>
      <c r="E185">
        <f>IF(E184&lt;=0,0,MAX(0,AJ185-Q185))</f>
        <v/>
      </c>
      <c r="F185">
        <f>IF(F184&lt;=0,0,MAX(0,AK185-R185))</f>
        <v/>
      </c>
      <c r="G185">
        <f>IF(G184&lt;=0,0,MAX(0,AL185-S185))</f>
        <v/>
      </c>
      <c r="H185">
        <f>IF(H184&lt;=0,0,MAX(0,AM185-T185))</f>
        <v/>
      </c>
      <c r="I185">
        <f>IF(I184&lt;=0,0,MAX(0,AN185-U185))</f>
        <v/>
      </c>
      <c r="J185">
        <f>IF(J184&lt;=0,0,MAX(0,AO185-V185))</f>
        <v/>
      </c>
      <c r="K185">
        <f>IF(K184&lt;=0,0,MAX(0,AP185-W185))</f>
        <v/>
      </c>
      <c r="L185">
        <f>IF(L184&lt;=0,0,MAX(0,AQ185-X185))</f>
        <v/>
      </c>
      <c r="M185">
        <f>IF(M184&lt;=0,0,MAX(0,AR185-Y185))</f>
        <v/>
      </c>
      <c r="N185">
        <f>IF(N184&lt;=0,0,MAX(0,AS185-Z185))</f>
        <v/>
      </c>
      <c r="O185">
        <f>IF(C184&lt;=0,0,MIN(AH185,C$7+IF(C$2=$AA185,$AC185,IF(C$2=$AF185,$AG185,0))))</f>
        <v/>
      </c>
      <c r="P185">
        <f>IF(D184&lt;=0,0,MIN(AI185,D$7+IF(D$2=$AA185,$AC185,IF(D$2=$AF185,$AG185,0))))</f>
        <v/>
      </c>
      <c r="Q185">
        <f>IF(E184&lt;=0,0,MIN(AJ185,E$7+IF(E$2=$AA185,$AC185,IF(E$2=$AF185,$AG185,0))))</f>
        <v/>
      </c>
      <c r="R185">
        <f>IF(F184&lt;=0,0,MIN(AK185,F$7+IF(F$2=$AA185,$AC185,IF(F$2=$AF185,$AG185,0))))</f>
        <v/>
      </c>
      <c r="S185">
        <f>IF(G184&lt;=0,0,MIN(AL185,G$7+IF(G$2=$AA185,$AC185,IF(G$2=$AF185,$AG185,0))))</f>
        <v/>
      </c>
      <c r="T185">
        <f>IF(H184&lt;=0,0,MIN(AM185,H$7+IF(H$2=$AA185,$AC185,IF(H$2=$AF185,$AG185,0))))</f>
        <v/>
      </c>
      <c r="U185">
        <f>IF(I184&lt;=0,0,MIN(AN185,I$7+IF(I$2=$AA185,$AC185,IF(I$2=$AF185,$AG185,0))))</f>
        <v/>
      </c>
      <c r="V185">
        <f>IF(J184&lt;=0,0,MIN(AO185,J$7+IF(J$2=$AA185,$AC185,IF(J$2=$AF185,$AG185,0))))</f>
        <v/>
      </c>
      <c r="W185">
        <f>IF(K184&lt;=0,0,MIN(AP185,K$7+IF(K$2=$AA185,$AC185,IF(K$2=$AF185,$AG185,0))))</f>
        <v/>
      </c>
      <c r="X185">
        <f>IF(L184&lt;=0,0,MIN(AQ185,L$7+IF(L$2=$AA185,$AC185,IF(L$2=$AF185,$AG185,0))))</f>
        <v/>
      </c>
      <c r="Y185">
        <f>IF(M184&lt;=0,0,MIN(AR185,M$7+IF(M$2=$AA185,$AC185,IF(M$2=$AF185,$AG185,0))))</f>
        <v/>
      </c>
      <c r="Z185">
        <f>IF(N184&lt;=0,0,MIN(AS185,N$7+IF(N$2=$AA185,$AC185,IF(N$2=$AF185,$AG185,0))))</f>
        <v/>
      </c>
      <c r="AA185">
        <f>IFERROR(ROUND(1/SUMPRODUCT(MAX((C184:N184&gt;0)*($C$3:$N$3&lt;=B185)/$C$2:$N$2)),0),0)</f>
        <v/>
      </c>
      <c r="AB185">
        <f>SUMPRODUCT((C184:N184&gt;0)*$C$7:$N$7)</f>
        <v/>
      </c>
      <c r="AC185">
        <f>MAX(0,Plan!$C$5-AB185)+IF(A185=Plan!$C$8,N(Plan!$C$7),0)</f>
        <v/>
      </c>
      <c r="AD185">
        <f>SUM(C185:N185)</f>
        <v/>
      </c>
      <c r="AE185">
        <f>SUM(O185:Z185)</f>
        <v/>
      </c>
      <c r="AF185">
        <f>IFERROR(ROUND(1/SUMPRODUCT(MAX((C184:N184&gt;0)*($C$3:$N$3&lt;=B185)*($C$2:$N$2&gt;AA185)/$C$2:$N$2)),0),0)</f>
        <v/>
      </c>
      <c r="AG185">
        <f>MAX(0,AC185-MAX(0,SUMPRODUCT(($C$2:$N$2=AA185)*(AH185:AS185-$C$7:$N$7))))</f>
        <v/>
      </c>
      <c r="AH185">
        <f>IF(C184&lt;=0,0,ROUND(C184*(1+IF(AND(C$6&gt;0,$B185&lt;C$6),C$4,C$5)/12),2))</f>
        <v/>
      </c>
      <c r="AI185">
        <f>IF(D184&lt;=0,0,ROUND(D184*(1+IF(AND(D$6&gt;0,$B185&lt;D$6),D$4,D$5)/12),2))</f>
        <v/>
      </c>
      <c r="AJ185">
        <f>IF(E184&lt;=0,0,ROUND(E184*(1+IF(AND(E$6&gt;0,$B185&lt;E$6),E$4,E$5)/12),2))</f>
        <v/>
      </c>
      <c r="AK185">
        <f>IF(F184&lt;=0,0,ROUND(F184*(1+IF(AND(F$6&gt;0,$B185&lt;F$6),F$4,F$5)/12),2))</f>
        <v/>
      </c>
      <c r="AL185">
        <f>IF(G184&lt;=0,0,ROUND(G184*(1+IF(AND(G$6&gt;0,$B185&lt;G$6),G$4,G$5)/12),2))</f>
        <v/>
      </c>
      <c r="AM185">
        <f>IF(H184&lt;=0,0,ROUND(H184*(1+IF(AND(H$6&gt;0,$B185&lt;H$6),H$4,H$5)/12),2))</f>
        <v/>
      </c>
      <c r="AN185">
        <f>IF(I184&lt;=0,0,ROUND(I184*(1+IF(AND(I$6&gt;0,$B185&lt;I$6),I$4,I$5)/12),2))</f>
        <v/>
      </c>
      <c r="AO185">
        <f>IF(J184&lt;=0,0,ROUND(J184*(1+IF(AND(J$6&gt;0,$B185&lt;J$6),J$4,J$5)/12),2))</f>
        <v/>
      </c>
      <c r="AP185">
        <f>IF(K184&lt;=0,0,ROUND(K184*(1+IF(AND(K$6&gt;0,$B185&lt;K$6),K$4,K$5)/12),2))</f>
        <v/>
      </c>
      <c r="AQ185">
        <f>IF(L184&lt;=0,0,ROUND(L184*(1+IF(AND(L$6&gt;0,$B185&lt;L$6),L$4,L$5)/12),2))</f>
        <v/>
      </c>
      <c r="AR185">
        <f>IF(M184&lt;=0,0,ROUND(M184*(1+IF(AND(M$6&gt;0,$B185&lt;M$6),M$4,M$5)/12),2))</f>
        <v/>
      </c>
      <c r="AS185">
        <f>IF(N184&lt;=0,0,ROUND(N184*(1+IF(AND(N$6&gt;0,$B185&lt;N$6),N$4,N$5)/12),2))</f>
        <v/>
      </c>
    </row>
    <row r="186">
      <c r="A186" t="n">
        <v>175</v>
      </c>
      <c r="B186">
        <f>EDATE(Plan!$C$6,174)</f>
        <v/>
      </c>
      <c r="C186">
        <f>IF(C185&lt;=0,0,MAX(0,AH186-O186))</f>
        <v/>
      </c>
      <c r="D186">
        <f>IF(D185&lt;=0,0,MAX(0,AI186-P186))</f>
        <v/>
      </c>
      <c r="E186">
        <f>IF(E185&lt;=0,0,MAX(0,AJ186-Q186))</f>
        <v/>
      </c>
      <c r="F186">
        <f>IF(F185&lt;=0,0,MAX(0,AK186-R186))</f>
        <v/>
      </c>
      <c r="G186">
        <f>IF(G185&lt;=0,0,MAX(0,AL186-S186))</f>
        <v/>
      </c>
      <c r="H186">
        <f>IF(H185&lt;=0,0,MAX(0,AM186-T186))</f>
        <v/>
      </c>
      <c r="I186">
        <f>IF(I185&lt;=0,0,MAX(0,AN186-U186))</f>
        <v/>
      </c>
      <c r="J186">
        <f>IF(J185&lt;=0,0,MAX(0,AO186-V186))</f>
        <v/>
      </c>
      <c r="K186">
        <f>IF(K185&lt;=0,0,MAX(0,AP186-W186))</f>
        <v/>
      </c>
      <c r="L186">
        <f>IF(L185&lt;=0,0,MAX(0,AQ186-X186))</f>
        <v/>
      </c>
      <c r="M186">
        <f>IF(M185&lt;=0,0,MAX(0,AR186-Y186))</f>
        <v/>
      </c>
      <c r="N186">
        <f>IF(N185&lt;=0,0,MAX(0,AS186-Z186))</f>
        <v/>
      </c>
      <c r="O186">
        <f>IF(C185&lt;=0,0,MIN(AH186,C$7+IF(C$2=$AA186,$AC186,IF(C$2=$AF186,$AG186,0))))</f>
        <v/>
      </c>
      <c r="P186">
        <f>IF(D185&lt;=0,0,MIN(AI186,D$7+IF(D$2=$AA186,$AC186,IF(D$2=$AF186,$AG186,0))))</f>
        <v/>
      </c>
      <c r="Q186">
        <f>IF(E185&lt;=0,0,MIN(AJ186,E$7+IF(E$2=$AA186,$AC186,IF(E$2=$AF186,$AG186,0))))</f>
        <v/>
      </c>
      <c r="R186">
        <f>IF(F185&lt;=0,0,MIN(AK186,F$7+IF(F$2=$AA186,$AC186,IF(F$2=$AF186,$AG186,0))))</f>
        <v/>
      </c>
      <c r="S186">
        <f>IF(G185&lt;=0,0,MIN(AL186,G$7+IF(G$2=$AA186,$AC186,IF(G$2=$AF186,$AG186,0))))</f>
        <v/>
      </c>
      <c r="T186">
        <f>IF(H185&lt;=0,0,MIN(AM186,H$7+IF(H$2=$AA186,$AC186,IF(H$2=$AF186,$AG186,0))))</f>
        <v/>
      </c>
      <c r="U186">
        <f>IF(I185&lt;=0,0,MIN(AN186,I$7+IF(I$2=$AA186,$AC186,IF(I$2=$AF186,$AG186,0))))</f>
        <v/>
      </c>
      <c r="V186">
        <f>IF(J185&lt;=0,0,MIN(AO186,J$7+IF(J$2=$AA186,$AC186,IF(J$2=$AF186,$AG186,0))))</f>
        <v/>
      </c>
      <c r="W186">
        <f>IF(K185&lt;=0,0,MIN(AP186,K$7+IF(K$2=$AA186,$AC186,IF(K$2=$AF186,$AG186,0))))</f>
        <v/>
      </c>
      <c r="X186">
        <f>IF(L185&lt;=0,0,MIN(AQ186,L$7+IF(L$2=$AA186,$AC186,IF(L$2=$AF186,$AG186,0))))</f>
        <v/>
      </c>
      <c r="Y186">
        <f>IF(M185&lt;=0,0,MIN(AR186,M$7+IF(M$2=$AA186,$AC186,IF(M$2=$AF186,$AG186,0))))</f>
        <v/>
      </c>
      <c r="Z186">
        <f>IF(N185&lt;=0,0,MIN(AS186,N$7+IF(N$2=$AA186,$AC186,IF(N$2=$AF186,$AG186,0))))</f>
        <v/>
      </c>
      <c r="AA186">
        <f>IFERROR(ROUND(1/SUMPRODUCT(MAX((C185:N185&gt;0)*($C$3:$N$3&lt;=B186)/$C$2:$N$2)),0),0)</f>
        <v/>
      </c>
      <c r="AB186">
        <f>SUMPRODUCT((C185:N185&gt;0)*$C$7:$N$7)</f>
        <v/>
      </c>
      <c r="AC186">
        <f>MAX(0,Plan!$C$5-AB186)+IF(A186=Plan!$C$8,N(Plan!$C$7),0)</f>
        <v/>
      </c>
      <c r="AD186">
        <f>SUM(C186:N186)</f>
        <v/>
      </c>
      <c r="AE186">
        <f>SUM(O186:Z186)</f>
        <v/>
      </c>
      <c r="AF186">
        <f>IFERROR(ROUND(1/SUMPRODUCT(MAX((C185:N185&gt;0)*($C$3:$N$3&lt;=B186)*($C$2:$N$2&gt;AA186)/$C$2:$N$2)),0),0)</f>
        <v/>
      </c>
      <c r="AG186">
        <f>MAX(0,AC186-MAX(0,SUMPRODUCT(($C$2:$N$2=AA186)*(AH186:AS186-$C$7:$N$7))))</f>
        <v/>
      </c>
      <c r="AH186">
        <f>IF(C185&lt;=0,0,ROUND(C185*(1+IF(AND(C$6&gt;0,$B186&lt;C$6),C$4,C$5)/12),2))</f>
        <v/>
      </c>
      <c r="AI186">
        <f>IF(D185&lt;=0,0,ROUND(D185*(1+IF(AND(D$6&gt;0,$B186&lt;D$6),D$4,D$5)/12),2))</f>
        <v/>
      </c>
      <c r="AJ186">
        <f>IF(E185&lt;=0,0,ROUND(E185*(1+IF(AND(E$6&gt;0,$B186&lt;E$6),E$4,E$5)/12),2))</f>
        <v/>
      </c>
      <c r="AK186">
        <f>IF(F185&lt;=0,0,ROUND(F185*(1+IF(AND(F$6&gt;0,$B186&lt;F$6),F$4,F$5)/12),2))</f>
        <v/>
      </c>
      <c r="AL186">
        <f>IF(G185&lt;=0,0,ROUND(G185*(1+IF(AND(G$6&gt;0,$B186&lt;G$6),G$4,G$5)/12),2))</f>
        <v/>
      </c>
      <c r="AM186">
        <f>IF(H185&lt;=0,0,ROUND(H185*(1+IF(AND(H$6&gt;0,$B186&lt;H$6),H$4,H$5)/12),2))</f>
        <v/>
      </c>
      <c r="AN186">
        <f>IF(I185&lt;=0,0,ROUND(I185*(1+IF(AND(I$6&gt;0,$B186&lt;I$6),I$4,I$5)/12),2))</f>
        <v/>
      </c>
      <c r="AO186">
        <f>IF(J185&lt;=0,0,ROUND(J185*(1+IF(AND(J$6&gt;0,$B186&lt;J$6),J$4,J$5)/12),2))</f>
        <v/>
      </c>
      <c r="AP186">
        <f>IF(K185&lt;=0,0,ROUND(K185*(1+IF(AND(K$6&gt;0,$B186&lt;K$6),K$4,K$5)/12),2))</f>
        <v/>
      </c>
      <c r="AQ186">
        <f>IF(L185&lt;=0,0,ROUND(L185*(1+IF(AND(L$6&gt;0,$B186&lt;L$6),L$4,L$5)/12),2))</f>
        <v/>
      </c>
      <c r="AR186">
        <f>IF(M185&lt;=0,0,ROUND(M185*(1+IF(AND(M$6&gt;0,$B186&lt;M$6),M$4,M$5)/12),2))</f>
        <v/>
      </c>
      <c r="AS186">
        <f>IF(N185&lt;=0,0,ROUND(N185*(1+IF(AND(N$6&gt;0,$B186&lt;N$6),N$4,N$5)/12),2))</f>
        <v/>
      </c>
    </row>
    <row r="187">
      <c r="A187" t="n">
        <v>176</v>
      </c>
      <c r="B187">
        <f>EDATE(Plan!$C$6,175)</f>
        <v/>
      </c>
      <c r="C187">
        <f>IF(C186&lt;=0,0,MAX(0,AH187-O187))</f>
        <v/>
      </c>
      <c r="D187">
        <f>IF(D186&lt;=0,0,MAX(0,AI187-P187))</f>
        <v/>
      </c>
      <c r="E187">
        <f>IF(E186&lt;=0,0,MAX(0,AJ187-Q187))</f>
        <v/>
      </c>
      <c r="F187">
        <f>IF(F186&lt;=0,0,MAX(0,AK187-R187))</f>
        <v/>
      </c>
      <c r="G187">
        <f>IF(G186&lt;=0,0,MAX(0,AL187-S187))</f>
        <v/>
      </c>
      <c r="H187">
        <f>IF(H186&lt;=0,0,MAX(0,AM187-T187))</f>
        <v/>
      </c>
      <c r="I187">
        <f>IF(I186&lt;=0,0,MAX(0,AN187-U187))</f>
        <v/>
      </c>
      <c r="J187">
        <f>IF(J186&lt;=0,0,MAX(0,AO187-V187))</f>
        <v/>
      </c>
      <c r="K187">
        <f>IF(K186&lt;=0,0,MAX(0,AP187-W187))</f>
        <v/>
      </c>
      <c r="L187">
        <f>IF(L186&lt;=0,0,MAX(0,AQ187-X187))</f>
        <v/>
      </c>
      <c r="M187">
        <f>IF(M186&lt;=0,0,MAX(0,AR187-Y187))</f>
        <v/>
      </c>
      <c r="N187">
        <f>IF(N186&lt;=0,0,MAX(0,AS187-Z187))</f>
        <v/>
      </c>
      <c r="O187">
        <f>IF(C186&lt;=0,0,MIN(AH187,C$7+IF(C$2=$AA187,$AC187,IF(C$2=$AF187,$AG187,0))))</f>
        <v/>
      </c>
      <c r="P187">
        <f>IF(D186&lt;=0,0,MIN(AI187,D$7+IF(D$2=$AA187,$AC187,IF(D$2=$AF187,$AG187,0))))</f>
        <v/>
      </c>
      <c r="Q187">
        <f>IF(E186&lt;=0,0,MIN(AJ187,E$7+IF(E$2=$AA187,$AC187,IF(E$2=$AF187,$AG187,0))))</f>
        <v/>
      </c>
      <c r="R187">
        <f>IF(F186&lt;=0,0,MIN(AK187,F$7+IF(F$2=$AA187,$AC187,IF(F$2=$AF187,$AG187,0))))</f>
        <v/>
      </c>
      <c r="S187">
        <f>IF(G186&lt;=0,0,MIN(AL187,G$7+IF(G$2=$AA187,$AC187,IF(G$2=$AF187,$AG187,0))))</f>
        <v/>
      </c>
      <c r="T187">
        <f>IF(H186&lt;=0,0,MIN(AM187,H$7+IF(H$2=$AA187,$AC187,IF(H$2=$AF187,$AG187,0))))</f>
        <v/>
      </c>
      <c r="U187">
        <f>IF(I186&lt;=0,0,MIN(AN187,I$7+IF(I$2=$AA187,$AC187,IF(I$2=$AF187,$AG187,0))))</f>
        <v/>
      </c>
      <c r="V187">
        <f>IF(J186&lt;=0,0,MIN(AO187,J$7+IF(J$2=$AA187,$AC187,IF(J$2=$AF187,$AG187,0))))</f>
        <v/>
      </c>
      <c r="W187">
        <f>IF(K186&lt;=0,0,MIN(AP187,K$7+IF(K$2=$AA187,$AC187,IF(K$2=$AF187,$AG187,0))))</f>
        <v/>
      </c>
      <c r="X187">
        <f>IF(L186&lt;=0,0,MIN(AQ187,L$7+IF(L$2=$AA187,$AC187,IF(L$2=$AF187,$AG187,0))))</f>
        <v/>
      </c>
      <c r="Y187">
        <f>IF(M186&lt;=0,0,MIN(AR187,M$7+IF(M$2=$AA187,$AC187,IF(M$2=$AF187,$AG187,0))))</f>
        <v/>
      </c>
      <c r="Z187">
        <f>IF(N186&lt;=0,0,MIN(AS187,N$7+IF(N$2=$AA187,$AC187,IF(N$2=$AF187,$AG187,0))))</f>
        <v/>
      </c>
      <c r="AA187">
        <f>IFERROR(ROUND(1/SUMPRODUCT(MAX((C186:N186&gt;0)*($C$3:$N$3&lt;=B187)/$C$2:$N$2)),0),0)</f>
        <v/>
      </c>
      <c r="AB187">
        <f>SUMPRODUCT((C186:N186&gt;0)*$C$7:$N$7)</f>
        <v/>
      </c>
      <c r="AC187">
        <f>MAX(0,Plan!$C$5-AB187)+IF(A187=Plan!$C$8,N(Plan!$C$7),0)</f>
        <v/>
      </c>
      <c r="AD187">
        <f>SUM(C187:N187)</f>
        <v/>
      </c>
      <c r="AE187">
        <f>SUM(O187:Z187)</f>
        <v/>
      </c>
      <c r="AF187">
        <f>IFERROR(ROUND(1/SUMPRODUCT(MAX((C186:N186&gt;0)*($C$3:$N$3&lt;=B187)*($C$2:$N$2&gt;AA187)/$C$2:$N$2)),0),0)</f>
        <v/>
      </c>
      <c r="AG187">
        <f>MAX(0,AC187-MAX(0,SUMPRODUCT(($C$2:$N$2=AA187)*(AH187:AS187-$C$7:$N$7))))</f>
        <v/>
      </c>
      <c r="AH187">
        <f>IF(C186&lt;=0,0,ROUND(C186*(1+IF(AND(C$6&gt;0,$B187&lt;C$6),C$4,C$5)/12),2))</f>
        <v/>
      </c>
      <c r="AI187">
        <f>IF(D186&lt;=0,0,ROUND(D186*(1+IF(AND(D$6&gt;0,$B187&lt;D$6),D$4,D$5)/12),2))</f>
        <v/>
      </c>
      <c r="AJ187">
        <f>IF(E186&lt;=0,0,ROUND(E186*(1+IF(AND(E$6&gt;0,$B187&lt;E$6),E$4,E$5)/12),2))</f>
        <v/>
      </c>
      <c r="AK187">
        <f>IF(F186&lt;=0,0,ROUND(F186*(1+IF(AND(F$6&gt;0,$B187&lt;F$6),F$4,F$5)/12),2))</f>
        <v/>
      </c>
      <c r="AL187">
        <f>IF(G186&lt;=0,0,ROUND(G186*(1+IF(AND(G$6&gt;0,$B187&lt;G$6),G$4,G$5)/12),2))</f>
        <v/>
      </c>
      <c r="AM187">
        <f>IF(H186&lt;=0,0,ROUND(H186*(1+IF(AND(H$6&gt;0,$B187&lt;H$6),H$4,H$5)/12),2))</f>
        <v/>
      </c>
      <c r="AN187">
        <f>IF(I186&lt;=0,0,ROUND(I186*(1+IF(AND(I$6&gt;0,$B187&lt;I$6),I$4,I$5)/12),2))</f>
        <v/>
      </c>
      <c r="AO187">
        <f>IF(J186&lt;=0,0,ROUND(J186*(1+IF(AND(J$6&gt;0,$B187&lt;J$6),J$4,J$5)/12),2))</f>
        <v/>
      </c>
      <c r="AP187">
        <f>IF(K186&lt;=0,0,ROUND(K186*(1+IF(AND(K$6&gt;0,$B187&lt;K$6),K$4,K$5)/12),2))</f>
        <v/>
      </c>
      <c r="AQ187">
        <f>IF(L186&lt;=0,0,ROUND(L186*(1+IF(AND(L$6&gt;0,$B187&lt;L$6),L$4,L$5)/12),2))</f>
        <v/>
      </c>
      <c r="AR187">
        <f>IF(M186&lt;=0,0,ROUND(M186*(1+IF(AND(M$6&gt;0,$B187&lt;M$6),M$4,M$5)/12),2))</f>
        <v/>
      </c>
      <c r="AS187">
        <f>IF(N186&lt;=0,0,ROUND(N186*(1+IF(AND(N$6&gt;0,$B187&lt;N$6),N$4,N$5)/12),2))</f>
        <v/>
      </c>
    </row>
    <row r="188">
      <c r="A188" t="n">
        <v>177</v>
      </c>
      <c r="B188">
        <f>EDATE(Plan!$C$6,176)</f>
        <v/>
      </c>
      <c r="C188">
        <f>IF(C187&lt;=0,0,MAX(0,AH188-O188))</f>
        <v/>
      </c>
      <c r="D188">
        <f>IF(D187&lt;=0,0,MAX(0,AI188-P188))</f>
        <v/>
      </c>
      <c r="E188">
        <f>IF(E187&lt;=0,0,MAX(0,AJ188-Q188))</f>
        <v/>
      </c>
      <c r="F188">
        <f>IF(F187&lt;=0,0,MAX(0,AK188-R188))</f>
        <v/>
      </c>
      <c r="G188">
        <f>IF(G187&lt;=0,0,MAX(0,AL188-S188))</f>
        <v/>
      </c>
      <c r="H188">
        <f>IF(H187&lt;=0,0,MAX(0,AM188-T188))</f>
        <v/>
      </c>
      <c r="I188">
        <f>IF(I187&lt;=0,0,MAX(0,AN188-U188))</f>
        <v/>
      </c>
      <c r="J188">
        <f>IF(J187&lt;=0,0,MAX(0,AO188-V188))</f>
        <v/>
      </c>
      <c r="K188">
        <f>IF(K187&lt;=0,0,MAX(0,AP188-W188))</f>
        <v/>
      </c>
      <c r="L188">
        <f>IF(L187&lt;=0,0,MAX(0,AQ188-X188))</f>
        <v/>
      </c>
      <c r="M188">
        <f>IF(M187&lt;=0,0,MAX(0,AR188-Y188))</f>
        <v/>
      </c>
      <c r="N188">
        <f>IF(N187&lt;=0,0,MAX(0,AS188-Z188))</f>
        <v/>
      </c>
      <c r="O188">
        <f>IF(C187&lt;=0,0,MIN(AH188,C$7+IF(C$2=$AA188,$AC188,IF(C$2=$AF188,$AG188,0))))</f>
        <v/>
      </c>
      <c r="P188">
        <f>IF(D187&lt;=0,0,MIN(AI188,D$7+IF(D$2=$AA188,$AC188,IF(D$2=$AF188,$AG188,0))))</f>
        <v/>
      </c>
      <c r="Q188">
        <f>IF(E187&lt;=0,0,MIN(AJ188,E$7+IF(E$2=$AA188,$AC188,IF(E$2=$AF188,$AG188,0))))</f>
        <v/>
      </c>
      <c r="R188">
        <f>IF(F187&lt;=0,0,MIN(AK188,F$7+IF(F$2=$AA188,$AC188,IF(F$2=$AF188,$AG188,0))))</f>
        <v/>
      </c>
      <c r="S188">
        <f>IF(G187&lt;=0,0,MIN(AL188,G$7+IF(G$2=$AA188,$AC188,IF(G$2=$AF188,$AG188,0))))</f>
        <v/>
      </c>
      <c r="T188">
        <f>IF(H187&lt;=0,0,MIN(AM188,H$7+IF(H$2=$AA188,$AC188,IF(H$2=$AF188,$AG188,0))))</f>
        <v/>
      </c>
      <c r="U188">
        <f>IF(I187&lt;=0,0,MIN(AN188,I$7+IF(I$2=$AA188,$AC188,IF(I$2=$AF188,$AG188,0))))</f>
        <v/>
      </c>
      <c r="V188">
        <f>IF(J187&lt;=0,0,MIN(AO188,J$7+IF(J$2=$AA188,$AC188,IF(J$2=$AF188,$AG188,0))))</f>
        <v/>
      </c>
      <c r="W188">
        <f>IF(K187&lt;=0,0,MIN(AP188,K$7+IF(K$2=$AA188,$AC188,IF(K$2=$AF188,$AG188,0))))</f>
        <v/>
      </c>
      <c r="X188">
        <f>IF(L187&lt;=0,0,MIN(AQ188,L$7+IF(L$2=$AA188,$AC188,IF(L$2=$AF188,$AG188,0))))</f>
        <v/>
      </c>
      <c r="Y188">
        <f>IF(M187&lt;=0,0,MIN(AR188,M$7+IF(M$2=$AA188,$AC188,IF(M$2=$AF188,$AG188,0))))</f>
        <v/>
      </c>
      <c r="Z188">
        <f>IF(N187&lt;=0,0,MIN(AS188,N$7+IF(N$2=$AA188,$AC188,IF(N$2=$AF188,$AG188,0))))</f>
        <v/>
      </c>
      <c r="AA188">
        <f>IFERROR(ROUND(1/SUMPRODUCT(MAX((C187:N187&gt;0)*($C$3:$N$3&lt;=B188)/$C$2:$N$2)),0),0)</f>
        <v/>
      </c>
      <c r="AB188">
        <f>SUMPRODUCT((C187:N187&gt;0)*$C$7:$N$7)</f>
        <v/>
      </c>
      <c r="AC188">
        <f>MAX(0,Plan!$C$5-AB188)+IF(A188=Plan!$C$8,N(Plan!$C$7),0)</f>
        <v/>
      </c>
      <c r="AD188">
        <f>SUM(C188:N188)</f>
        <v/>
      </c>
      <c r="AE188">
        <f>SUM(O188:Z188)</f>
        <v/>
      </c>
      <c r="AF188">
        <f>IFERROR(ROUND(1/SUMPRODUCT(MAX((C187:N187&gt;0)*($C$3:$N$3&lt;=B188)*($C$2:$N$2&gt;AA188)/$C$2:$N$2)),0),0)</f>
        <v/>
      </c>
      <c r="AG188">
        <f>MAX(0,AC188-MAX(0,SUMPRODUCT(($C$2:$N$2=AA188)*(AH188:AS188-$C$7:$N$7))))</f>
        <v/>
      </c>
      <c r="AH188">
        <f>IF(C187&lt;=0,0,ROUND(C187*(1+IF(AND(C$6&gt;0,$B188&lt;C$6),C$4,C$5)/12),2))</f>
        <v/>
      </c>
      <c r="AI188">
        <f>IF(D187&lt;=0,0,ROUND(D187*(1+IF(AND(D$6&gt;0,$B188&lt;D$6),D$4,D$5)/12),2))</f>
        <v/>
      </c>
      <c r="AJ188">
        <f>IF(E187&lt;=0,0,ROUND(E187*(1+IF(AND(E$6&gt;0,$B188&lt;E$6),E$4,E$5)/12),2))</f>
        <v/>
      </c>
      <c r="AK188">
        <f>IF(F187&lt;=0,0,ROUND(F187*(1+IF(AND(F$6&gt;0,$B188&lt;F$6),F$4,F$5)/12),2))</f>
        <v/>
      </c>
      <c r="AL188">
        <f>IF(G187&lt;=0,0,ROUND(G187*(1+IF(AND(G$6&gt;0,$B188&lt;G$6),G$4,G$5)/12),2))</f>
        <v/>
      </c>
      <c r="AM188">
        <f>IF(H187&lt;=0,0,ROUND(H187*(1+IF(AND(H$6&gt;0,$B188&lt;H$6),H$4,H$5)/12),2))</f>
        <v/>
      </c>
      <c r="AN188">
        <f>IF(I187&lt;=0,0,ROUND(I187*(1+IF(AND(I$6&gt;0,$B188&lt;I$6),I$4,I$5)/12),2))</f>
        <v/>
      </c>
      <c r="AO188">
        <f>IF(J187&lt;=0,0,ROUND(J187*(1+IF(AND(J$6&gt;0,$B188&lt;J$6),J$4,J$5)/12),2))</f>
        <v/>
      </c>
      <c r="AP188">
        <f>IF(K187&lt;=0,0,ROUND(K187*(1+IF(AND(K$6&gt;0,$B188&lt;K$6),K$4,K$5)/12),2))</f>
        <v/>
      </c>
      <c r="AQ188">
        <f>IF(L187&lt;=0,0,ROUND(L187*(1+IF(AND(L$6&gt;0,$B188&lt;L$6),L$4,L$5)/12),2))</f>
        <v/>
      </c>
      <c r="AR188">
        <f>IF(M187&lt;=0,0,ROUND(M187*(1+IF(AND(M$6&gt;0,$B188&lt;M$6),M$4,M$5)/12),2))</f>
        <v/>
      </c>
      <c r="AS188">
        <f>IF(N187&lt;=0,0,ROUND(N187*(1+IF(AND(N$6&gt;0,$B188&lt;N$6),N$4,N$5)/12),2))</f>
        <v/>
      </c>
    </row>
    <row r="189">
      <c r="A189" t="n">
        <v>178</v>
      </c>
      <c r="B189">
        <f>EDATE(Plan!$C$6,177)</f>
        <v/>
      </c>
      <c r="C189">
        <f>IF(C188&lt;=0,0,MAX(0,AH189-O189))</f>
        <v/>
      </c>
      <c r="D189">
        <f>IF(D188&lt;=0,0,MAX(0,AI189-P189))</f>
        <v/>
      </c>
      <c r="E189">
        <f>IF(E188&lt;=0,0,MAX(0,AJ189-Q189))</f>
        <v/>
      </c>
      <c r="F189">
        <f>IF(F188&lt;=0,0,MAX(0,AK189-R189))</f>
        <v/>
      </c>
      <c r="G189">
        <f>IF(G188&lt;=0,0,MAX(0,AL189-S189))</f>
        <v/>
      </c>
      <c r="H189">
        <f>IF(H188&lt;=0,0,MAX(0,AM189-T189))</f>
        <v/>
      </c>
      <c r="I189">
        <f>IF(I188&lt;=0,0,MAX(0,AN189-U189))</f>
        <v/>
      </c>
      <c r="J189">
        <f>IF(J188&lt;=0,0,MAX(0,AO189-V189))</f>
        <v/>
      </c>
      <c r="K189">
        <f>IF(K188&lt;=0,0,MAX(0,AP189-W189))</f>
        <v/>
      </c>
      <c r="L189">
        <f>IF(L188&lt;=0,0,MAX(0,AQ189-X189))</f>
        <v/>
      </c>
      <c r="M189">
        <f>IF(M188&lt;=0,0,MAX(0,AR189-Y189))</f>
        <v/>
      </c>
      <c r="N189">
        <f>IF(N188&lt;=0,0,MAX(0,AS189-Z189))</f>
        <v/>
      </c>
      <c r="O189">
        <f>IF(C188&lt;=0,0,MIN(AH189,C$7+IF(C$2=$AA189,$AC189,IF(C$2=$AF189,$AG189,0))))</f>
        <v/>
      </c>
      <c r="P189">
        <f>IF(D188&lt;=0,0,MIN(AI189,D$7+IF(D$2=$AA189,$AC189,IF(D$2=$AF189,$AG189,0))))</f>
        <v/>
      </c>
      <c r="Q189">
        <f>IF(E188&lt;=0,0,MIN(AJ189,E$7+IF(E$2=$AA189,$AC189,IF(E$2=$AF189,$AG189,0))))</f>
        <v/>
      </c>
      <c r="R189">
        <f>IF(F188&lt;=0,0,MIN(AK189,F$7+IF(F$2=$AA189,$AC189,IF(F$2=$AF189,$AG189,0))))</f>
        <v/>
      </c>
      <c r="S189">
        <f>IF(G188&lt;=0,0,MIN(AL189,G$7+IF(G$2=$AA189,$AC189,IF(G$2=$AF189,$AG189,0))))</f>
        <v/>
      </c>
      <c r="T189">
        <f>IF(H188&lt;=0,0,MIN(AM189,H$7+IF(H$2=$AA189,$AC189,IF(H$2=$AF189,$AG189,0))))</f>
        <v/>
      </c>
      <c r="U189">
        <f>IF(I188&lt;=0,0,MIN(AN189,I$7+IF(I$2=$AA189,$AC189,IF(I$2=$AF189,$AG189,0))))</f>
        <v/>
      </c>
      <c r="V189">
        <f>IF(J188&lt;=0,0,MIN(AO189,J$7+IF(J$2=$AA189,$AC189,IF(J$2=$AF189,$AG189,0))))</f>
        <v/>
      </c>
      <c r="W189">
        <f>IF(K188&lt;=0,0,MIN(AP189,K$7+IF(K$2=$AA189,$AC189,IF(K$2=$AF189,$AG189,0))))</f>
        <v/>
      </c>
      <c r="X189">
        <f>IF(L188&lt;=0,0,MIN(AQ189,L$7+IF(L$2=$AA189,$AC189,IF(L$2=$AF189,$AG189,0))))</f>
        <v/>
      </c>
      <c r="Y189">
        <f>IF(M188&lt;=0,0,MIN(AR189,M$7+IF(M$2=$AA189,$AC189,IF(M$2=$AF189,$AG189,0))))</f>
        <v/>
      </c>
      <c r="Z189">
        <f>IF(N188&lt;=0,0,MIN(AS189,N$7+IF(N$2=$AA189,$AC189,IF(N$2=$AF189,$AG189,0))))</f>
        <v/>
      </c>
      <c r="AA189">
        <f>IFERROR(ROUND(1/SUMPRODUCT(MAX((C188:N188&gt;0)*($C$3:$N$3&lt;=B189)/$C$2:$N$2)),0),0)</f>
        <v/>
      </c>
      <c r="AB189">
        <f>SUMPRODUCT((C188:N188&gt;0)*$C$7:$N$7)</f>
        <v/>
      </c>
      <c r="AC189">
        <f>MAX(0,Plan!$C$5-AB189)+IF(A189=Plan!$C$8,N(Plan!$C$7),0)</f>
        <v/>
      </c>
      <c r="AD189">
        <f>SUM(C189:N189)</f>
        <v/>
      </c>
      <c r="AE189">
        <f>SUM(O189:Z189)</f>
        <v/>
      </c>
      <c r="AF189">
        <f>IFERROR(ROUND(1/SUMPRODUCT(MAX((C188:N188&gt;0)*($C$3:$N$3&lt;=B189)*($C$2:$N$2&gt;AA189)/$C$2:$N$2)),0),0)</f>
        <v/>
      </c>
      <c r="AG189">
        <f>MAX(0,AC189-MAX(0,SUMPRODUCT(($C$2:$N$2=AA189)*(AH189:AS189-$C$7:$N$7))))</f>
        <v/>
      </c>
      <c r="AH189">
        <f>IF(C188&lt;=0,0,ROUND(C188*(1+IF(AND(C$6&gt;0,$B189&lt;C$6),C$4,C$5)/12),2))</f>
        <v/>
      </c>
      <c r="AI189">
        <f>IF(D188&lt;=0,0,ROUND(D188*(1+IF(AND(D$6&gt;0,$B189&lt;D$6),D$4,D$5)/12),2))</f>
        <v/>
      </c>
      <c r="AJ189">
        <f>IF(E188&lt;=0,0,ROUND(E188*(1+IF(AND(E$6&gt;0,$B189&lt;E$6),E$4,E$5)/12),2))</f>
        <v/>
      </c>
      <c r="AK189">
        <f>IF(F188&lt;=0,0,ROUND(F188*(1+IF(AND(F$6&gt;0,$B189&lt;F$6),F$4,F$5)/12),2))</f>
        <v/>
      </c>
      <c r="AL189">
        <f>IF(G188&lt;=0,0,ROUND(G188*(1+IF(AND(G$6&gt;0,$B189&lt;G$6),G$4,G$5)/12),2))</f>
        <v/>
      </c>
      <c r="AM189">
        <f>IF(H188&lt;=0,0,ROUND(H188*(1+IF(AND(H$6&gt;0,$B189&lt;H$6),H$4,H$5)/12),2))</f>
        <v/>
      </c>
      <c r="AN189">
        <f>IF(I188&lt;=0,0,ROUND(I188*(1+IF(AND(I$6&gt;0,$B189&lt;I$6),I$4,I$5)/12),2))</f>
        <v/>
      </c>
      <c r="AO189">
        <f>IF(J188&lt;=0,0,ROUND(J188*(1+IF(AND(J$6&gt;0,$B189&lt;J$6),J$4,J$5)/12),2))</f>
        <v/>
      </c>
      <c r="AP189">
        <f>IF(K188&lt;=0,0,ROUND(K188*(1+IF(AND(K$6&gt;0,$B189&lt;K$6),K$4,K$5)/12),2))</f>
        <v/>
      </c>
      <c r="AQ189">
        <f>IF(L188&lt;=0,0,ROUND(L188*(1+IF(AND(L$6&gt;0,$B189&lt;L$6),L$4,L$5)/12),2))</f>
        <v/>
      </c>
      <c r="AR189">
        <f>IF(M188&lt;=0,0,ROUND(M188*(1+IF(AND(M$6&gt;0,$B189&lt;M$6),M$4,M$5)/12),2))</f>
        <v/>
      </c>
      <c r="AS189">
        <f>IF(N188&lt;=0,0,ROUND(N188*(1+IF(AND(N$6&gt;0,$B189&lt;N$6),N$4,N$5)/12),2))</f>
        <v/>
      </c>
    </row>
    <row r="190">
      <c r="A190" t="n">
        <v>179</v>
      </c>
      <c r="B190">
        <f>EDATE(Plan!$C$6,178)</f>
        <v/>
      </c>
      <c r="C190">
        <f>IF(C189&lt;=0,0,MAX(0,AH190-O190))</f>
        <v/>
      </c>
      <c r="D190">
        <f>IF(D189&lt;=0,0,MAX(0,AI190-P190))</f>
        <v/>
      </c>
      <c r="E190">
        <f>IF(E189&lt;=0,0,MAX(0,AJ190-Q190))</f>
        <v/>
      </c>
      <c r="F190">
        <f>IF(F189&lt;=0,0,MAX(0,AK190-R190))</f>
        <v/>
      </c>
      <c r="G190">
        <f>IF(G189&lt;=0,0,MAX(0,AL190-S190))</f>
        <v/>
      </c>
      <c r="H190">
        <f>IF(H189&lt;=0,0,MAX(0,AM190-T190))</f>
        <v/>
      </c>
      <c r="I190">
        <f>IF(I189&lt;=0,0,MAX(0,AN190-U190))</f>
        <v/>
      </c>
      <c r="J190">
        <f>IF(J189&lt;=0,0,MAX(0,AO190-V190))</f>
        <v/>
      </c>
      <c r="K190">
        <f>IF(K189&lt;=0,0,MAX(0,AP190-W190))</f>
        <v/>
      </c>
      <c r="L190">
        <f>IF(L189&lt;=0,0,MAX(0,AQ190-X190))</f>
        <v/>
      </c>
      <c r="M190">
        <f>IF(M189&lt;=0,0,MAX(0,AR190-Y190))</f>
        <v/>
      </c>
      <c r="N190">
        <f>IF(N189&lt;=0,0,MAX(0,AS190-Z190))</f>
        <v/>
      </c>
      <c r="O190">
        <f>IF(C189&lt;=0,0,MIN(AH190,C$7+IF(C$2=$AA190,$AC190,IF(C$2=$AF190,$AG190,0))))</f>
        <v/>
      </c>
      <c r="P190">
        <f>IF(D189&lt;=0,0,MIN(AI190,D$7+IF(D$2=$AA190,$AC190,IF(D$2=$AF190,$AG190,0))))</f>
        <v/>
      </c>
      <c r="Q190">
        <f>IF(E189&lt;=0,0,MIN(AJ190,E$7+IF(E$2=$AA190,$AC190,IF(E$2=$AF190,$AG190,0))))</f>
        <v/>
      </c>
      <c r="R190">
        <f>IF(F189&lt;=0,0,MIN(AK190,F$7+IF(F$2=$AA190,$AC190,IF(F$2=$AF190,$AG190,0))))</f>
        <v/>
      </c>
      <c r="S190">
        <f>IF(G189&lt;=0,0,MIN(AL190,G$7+IF(G$2=$AA190,$AC190,IF(G$2=$AF190,$AG190,0))))</f>
        <v/>
      </c>
      <c r="T190">
        <f>IF(H189&lt;=0,0,MIN(AM190,H$7+IF(H$2=$AA190,$AC190,IF(H$2=$AF190,$AG190,0))))</f>
        <v/>
      </c>
      <c r="U190">
        <f>IF(I189&lt;=0,0,MIN(AN190,I$7+IF(I$2=$AA190,$AC190,IF(I$2=$AF190,$AG190,0))))</f>
        <v/>
      </c>
      <c r="V190">
        <f>IF(J189&lt;=0,0,MIN(AO190,J$7+IF(J$2=$AA190,$AC190,IF(J$2=$AF190,$AG190,0))))</f>
        <v/>
      </c>
      <c r="W190">
        <f>IF(K189&lt;=0,0,MIN(AP190,K$7+IF(K$2=$AA190,$AC190,IF(K$2=$AF190,$AG190,0))))</f>
        <v/>
      </c>
      <c r="X190">
        <f>IF(L189&lt;=0,0,MIN(AQ190,L$7+IF(L$2=$AA190,$AC190,IF(L$2=$AF190,$AG190,0))))</f>
        <v/>
      </c>
      <c r="Y190">
        <f>IF(M189&lt;=0,0,MIN(AR190,M$7+IF(M$2=$AA190,$AC190,IF(M$2=$AF190,$AG190,0))))</f>
        <v/>
      </c>
      <c r="Z190">
        <f>IF(N189&lt;=0,0,MIN(AS190,N$7+IF(N$2=$AA190,$AC190,IF(N$2=$AF190,$AG190,0))))</f>
        <v/>
      </c>
      <c r="AA190">
        <f>IFERROR(ROUND(1/SUMPRODUCT(MAX((C189:N189&gt;0)*($C$3:$N$3&lt;=B190)/$C$2:$N$2)),0),0)</f>
        <v/>
      </c>
      <c r="AB190">
        <f>SUMPRODUCT((C189:N189&gt;0)*$C$7:$N$7)</f>
        <v/>
      </c>
      <c r="AC190">
        <f>MAX(0,Plan!$C$5-AB190)+IF(A190=Plan!$C$8,N(Plan!$C$7),0)</f>
        <v/>
      </c>
      <c r="AD190">
        <f>SUM(C190:N190)</f>
        <v/>
      </c>
      <c r="AE190">
        <f>SUM(O190:Z190)</f>
        <v/>
      </c>
      <c r="AF190">
        <f>IFERROR(ROUND(1/SUMPRODUCT(MAX((C189:N189&gt;0)*($C$3:$N$3&lt;=B190)*($C$2:$N$2&gt;AA190)/$C$2:$N$2)),0),0)</f>
        <v/>
      </c>
      <c r="AG190">
        <f>MAX(0,AC190-MAX(0,SUMPRODUCT(($C$2:$N$2=AA190)*(AH190:AS190-$C$7:$N$7))))</f>
        <v/>
      </c>
      <c r="AH190">
        <f>IF(C189&lt;=0,0,ROUND(C189*(1+IF(AND(C$6&gt;0,$B190&lt;C$6),C$4,C$5)/12),2))</f>
        <v/>
      </c>
      <c r="AI190">
        <f>IF(D189&lt;=0,0,ROUND(D189*(1+IF(AND(D$6&gt;0,$B190&lt;D$6),D$4,D$5)/12),2))</f>
        <v/>
      </c>
      <c r="AJ190">
        <f>IF(E189&lt;=0,0,ROUND(E189*(1+IF(AND(E$6&gt;0,$B190&lt;E$6),E$4,E$5)/12),2))</f>
        <v/>
      </c>
      <c r="AK190">
        <f>IF(F189&lt;=0,0,ROUND(F189*(1+IF(AND(F$6&gt;0,$B190&lt;F$6),F$4,F$5)/12),2))</f>
        <v/>
      </c>
      <c r="AL190">
        <f>IF(G189&lt;=0,0,ROUND(G189*(1+IF(AND(G$6&gt;0,$B190&lt;G$6),G$4,G$5)/12),2))</f>
        <v/>
      </c>
      <c r="AM190">
        <f>IF(H189&lt;=0,0,ROUND(H189*(1+IF(AND(H$6&gt;0,$B190&lt;H$6),H$4,H$5)/12),2))</f>
        <v/>
      </c>
      <c r="AN190">
        <f>IF(I189&lt;=0,0,ROUND(I189*(1+IF(AND(I$6&gt;0,$B190&lt;I$6),I$4,I$5)/12),2))</f>
        <v/>
      </c>
      <c r="AO190">
        <f>IF(J189&lt;=0,0,ROUND(J189*(1+IF(AND(J$6&gt;0,$B190&lt;J$6),J$4,J$5)/12),2))</f>
        <v/>
      </c>
      <c r="AP190">
        <f>IF(K189&lt;=0,0,ROUND(K189*(1+IF(AND(K$6&gt;0,$B190&lt;K$6),K$4,K$5)/12),2))</f>
        <v/>
      </c>
      <c r="AQ190">
        <f>IF(L189&lt;=0,0,ROUND(L189*(1+IF(AND(L$6&gt;0,$B190&lt;L$6),L$4,L$5)/12),2))</f>
        <v/>
      </c>
      <c r="AR190">
        <f>IF(M189&lt;=0,0,ROUND(M189*(1+IF(AND(M$6&gt;0,$B190&lt;M$6),M$4,M$5)/12),2))</f>
        <v/>
      </c>
      <c r="AS190">
        <f>IF(N189&lt;=0,0,ROUND(N189*(1+IF(AND(N$6&gt;0,$B190&lt;N$6),N$4,N$5)/12),2))</f>
        <v/>
      </c>
    </row>
    <row r="191">
      <c r="A191" t="n">
        <v>180</v>
      </c>
      <c r="B191">
        <f>EDATE(Plan!$C$6,179)</f>
        <v/>
      </c>
      <c r="C191">
        <f>IF(C190&lt;=0,0,MAX(0,AH191-O191))</f>
        <v/>
      </c>
      <c r="D191">
        <f>IF(D190&lt;=0,0,MAX(0,AI191-P191))</f>
        <v/>
      </c>
      <c r="E191">
        <f>IF(E190&lt;=0,0,MAX(0,AJ191-Q191))</f>
        <v/>
      </c>
      <c r="F191">
        <f>IF(F190&lt;=0,0,MAX(0,AK191-R191))</f>
        <v/>
      </c>
      <c r="G191">
        <f>IF(G190&lt;=0,0,MAX(0,AL191-S191))</f>
        <v/>
      </c>
      <c r="H191">
        <f>IF(H190&lt;=0,0,MAX(0,AM191-T191))</f>
        <v/>
      </c>
      <c r="I191">
        <f>IF(I190&lt;=0,0,MAX(0,AN191-U191))</f>
        <v/>
      </c>
      <c r="J191">
        <f>IF(J190&lt;=0,0,MAX(0,AO191-V191))</f>
        <v/>
      </c>
      <c r="K191">
        <f>IF(K190&lt;=0,0,MAX(0,AP191-W191))</f>
        <v/>
      </c>
      <c r="L191">
        <f>IF(L190&lt;=0,0,MAX(0,AQ191-X191))</f>
        <v/>
      </c>
      <c r="M191">
        <f>IF(M190&lt;=0,0,MAX(0,AR191-Y191))</f>
        <v/>
      </c>
      <c r="N191">
        <f>IF(N190&lt;=0,0,MAX(0,AS191-Z191))</f>
        <v/>
      </c>
      <c r="O191">
        <f>IF(C190&lt;=0,0,MIN(AH191,C$7+IF(C$2=$AA191,$AC191,IF(C$2=$AF191,$AG191,0))))</f>
        <v/>
      </c>
      <c r="P191">
        <f>IF(D190&lt;=0,0,MIN(AI191,D$7+IF(D$2=$AA191,$AC191,IF(D$2=$AF191,$AG191,0))))</f>
        <v/>
      </c>
      <c r="Q191">
        <f>IF(E190&lt;=0,0,MIN(AJ191,E$7+IF(E$2=$AA191,$AC191,IF(E$2=$AF191,$AG191,0))))</f>
        <v/>
      </c>
      <c r="R191">
        <f>IF(F190&lt;=0,0,MIN(AK191,F$7+IF(F$2=$AA191,$AC191,IF(F$2=$AF191,$AG191,0))))</f>
        <v/>
      </c>
      <c r="S191">
        <f>IF(G190&lt;=0,0,MIN(AL191,G$7+IF(G$2=$AA191,$AC191,IF(G$2=$AF191,$AG191,0))))</f>
        <v/>
      </c>
      <c r="T191">
        <f>IF(H190&lt;=0,0,MIN(AM191,H$7+IF(H$2=$AA191,$AC191,IF(H$2=$AF191,$AG191,0))))</f>
        <v/>
      </c>
      <c r="U191">
        <f>IF(I190&lt;=0,0,MIN(AN191,I$7+IF(I$2=$AA191,$AC191,IF(I$2=$AF191,$AG191,0))))</f>
        <v/>
      </c>
      <c r="V191">
        <f>IF(J190&lt;=0,0,MIN(AO191,J$7+IF(J$2=$AA191,$AC191,IF(J$2=$AF191,$AG191,0))))</f>
        <v/>
      </c>
      <c r="W191">
        <f>IF(K190&lt;=0,0,MIN(AP191,K$7+IF(K$2=$AA191,$AC191,IF(K$2=$AF191,$AG191,0))))</f>
        <v/>
      </c>
      <c r="X191">
        <f>IF(L190&lt;=0,0,MIN(AQ191,L$7+IF(L$2=$AA191,$AC191,IF(L$2=$AF191,$AG191,0))))</f>
        <v/>
      </c>
      <c r="Y191">
        <f>IF(M190&lt;=0,0,MIN(AR191,M$7+IF(M$2=$AA191,$AC191,IF(M$2=$AF191,$AG191,0))))</f>
        <v/>
      </c>
      <c r="Z191">
        <f>IF(N190&lt;=0,0,MIN(AS191,N$7+IF(N$2=$AA191,$AC191,IF(N$2=$AF191,$AG191,0))))</f>
        <v/>
      </c>
      <c r="AA191">
        <f>IFERROR(ROUND(1/SUMPRODUCT(MAX((C190:N190&gt;0)*($C$3:$N$3&lt;=B191)/$C$2:$N$2)),0),0)</f>
        <v/>
      </c>
      <c r="AB191">
        <f>SUMPRODUCT((C190:N190&gt;0)*$C$7:$N$7)</f>
        <v/>
      </c>
      <c r="AC191">
        <f>MAX(0,Plan!$C$5-AB191)+IF(A191=Plan!$C$8,N(Plan!$C$7),0)</f>
        <v/>
      </c>
      <c r="AD191">
        <f>SUM(C191:N191)</f>
        <v/>
      </c>
      <c r="AE191">
        <f>SUM(O191:Z191)</f>
        <v/>
      </c>
      <c r="AF191">
        <f>IFERROR(ROUND(1/SUMPRODUCT(MAX((C190:N190&gt;0)*($C$3:$N$3&lt;=B191)*($C$2:$N$2&gt;AA191)/$C$2:$N$2)),0),0)</f>
        <v/>
      </c>
      <c r="AG191">
        <f>MAX(0,AC191-MAX(0,SUMPRODUCT(($C$2:$N$2=AA191)*(AH191:AS191-$C$7:$N$7))))</f>
        <v/>
      </c>
      <c r="AH191">
        <f>IF(C190&lt;=0,0,ROUND(C190*(1+IF(AND(C$6&gt;0,$B191&lt;C$6),C$4,C$5)/12),2))</f>
        <v/>
      </c>
      <c r="AI191">
        <f>IF(D190&lt;=0,0,ROUND(D190*(1+IF(AND(D$6&gt;0,$B191&lt;D$6),D$4,D$5)/12),2))</f>
        <v/>
      </c>
      <c r="AJ191">
        <f>IF(E190&lt;=0,0,ROUND(E190*(1+IF(AND(E$6&gt;0,$B191&lt;E$6),E$4,E$5)/12),2))</f>
        <v/>
      </c>
      <c r="AK191">
        <f>IF(F190&lt;=0,0,ROUND(F190*(1+IF(AND(F$6&gt;0,$B191&lt;F$6),F$4,F$5)/12),2))</f>
        <v/>
      </c>
      <c r="AL191">
        <f>IF(G190&lt;=0,0,ROUND(G190*(1+IF(AND(G$6&gt;0,$B191&lt;G$6),G$4,G$5)/12),2))</f>
        <v/>
      </c>
      <c r="AM191">
        <f>IF(H190&lt;=0,0,ROUND(H190*(1+IF(AND(H$6&gt;0,$B191&lt;H$6),H$4,H$5)/12),2))</f>
        <v/>
      </c>
      <c r="AN191">
        <f>IF(I190&lt;=0,0,ROUND(I190*(1+IF(AND(I$6&gt;0,$B191&lt;I$6),I$4,I$5)/12),2))</f>
        <v/>
      </c>
      <c r="AO191">
        <f>IF(J190&lt;=0,0,ROUND(J190*(1+IF(AND(J$6&gt;0,$B191&lt;J$6),J$4,J$5)/12),2))</f>
        <v/>
      </c>
      <c r="AP191">
        <f>IF(K190&lt;=0,0,ROUND(K190*(1+IF(AND(K$6&gt;0,$B191&lt;K$6),K$4,K$5)/12),2))</f>
        <v/>
      </c>
      <c r="AQ191">
        <f>IF(L190&lt;=0,0,ROUND(L190*(1+IF(AND(L$6&gt;0,$B191&lt;L$6),L$4,L$5)/12),2))</f>
        <v/>
      </c>
      <c r="AR191">
        <f>IF(M190&lt;=0,0,ROUND(M190*(1+IF(AND(M$6&gt;0,$B191&lt;M$6),M$4,M$5)/12),2))</f>
        <v/>
      </c>
      <c r="AS191">
        <f>IF(N190&lt;=0,0,ROUND(N190*(1+IF(AND(N$6&gt;0,$B191&lt;N$6),N$4,N$5)/12),2))</f>
        <v/>
      </c>
    </row>
    <row r="192">
      <c r="A192" t="n">
        <v>181</v>
      </c>
      <c r="B192">
        <f>EDATE(Plan!$C$6,180)</f>
        <v/>
      </c>
      <c r="C192">
        <f>IF(C191&lt;=0,0,MAX(0,AH192-O192))</f>
        <v/>
      </c>
      <c r="D192">
        <f>IF(D191&lt;=0,0,MAX(0,AI192-P192))</f>
        <v/>
      </c>
      <c r="E192">
        <f>IF(E191&lt;=0,0,MAX(0,AJ192-Q192))</f>
        <v/>
      </c>
      <c r="F192">
        <f>IF(F191&lt;=0,0,MAX(0,AK192-R192))</f>
        <v/>
      </c>
      <c r="G192">
        <f>IF(G191&lt;=0,0,MAX(0,AL192-S192))</f>
        <v/>
      </c>
      <c r="H192">
        <f>IF(H191&lt;=0,0,MAX(0,AM192-T192))</f>
        <v/>
      </c>
      <c r="I192">
        <f>IF(I191&lt;=0,0,MAX(0,AN192-U192))</f>
        <v/>
      </c>
      <c r="J192">
        <f>IF(J191&lt;=0,0,MAX(0,AO192-V192))</f>
        <v/>
      </c>
      <c r="K192">
        <f>IF(K191&lt;=0,0,MAX(0,AP192-W192))</f>
        <v/>
      </c>
      <c r="L192">
        <f>IF(L191&lt;=0,0,MAX(0,AQ192-X192))</f>
        <v/>
      </c>
      <c r="M192">
        <f>IF(M191&lt;=0,0,MAX(0,AR192-Y192))</f>
        <v/>
      </c>
      <c r="N192">
        <f>IF(N191&lt;=0,0,MAX(0,AS192-Z192))</f>
        <v/>
      </c>
      <c r="O192">
        <f>IF(C191&lt;=0,0,MIN(AH192,C$7+IF(C$2=$AA192,$AC192,IF(C$2=$AF192,$AG192,0))))</f>
        <v/>
      </c>
      <c r="P192">
        <f>IF(D191&lt;=0,0,MIN(AI192,D$7+IF(D$2=$AA192,$AC192,IF(D$2=$AF192,$AG192,0))))</f>
        <v/>
      </c>
      <c r="Q192">
        <f>IF(E191&lt;=0,0,MIN(AJ192,E$7+IF(E$2=$AA192,$AC192,IF(E$2=$AF192,$AG192,0))))</f>
        <v/>
      </c>
      <c r="R192">
        <f>IF(F191&lt;=0,0,MIN(AK192,F$7+IF(F$2=$AA192,$AC192,IF(F$2=$AF192,$AG192,0))))</f>
        <v/>
      </c>
      <c r="S192">
        <f>IF(G191&lt;=0,0,MIN(AL192,G$7+IF(G$2=$AA192,$AC192,IF(G$2=$AF192,$AG192,0))))</f>
        <v/>
      </c>
      <c r="T192">
        <f>IF(H191&lt;=0,0,MIN(AM192,H$7+IF(H$2=$AA192,$AC192,IF(H$2=$AF192,$AG192,0))))</f>
        <v/>
      </c>
      <c r="U192">
        <f>IF(I191&lt;=0,0,MIN(AN192,I$7+IF(I$2=$AA192,$AC192,IF(I$2=$AF192,$AG192,0))))</f>
        <v/>
      </c>
      <c r="V192">
        <f>IF(J191&lt;=0,0,MIN(AO192,J$7+IF(J$2=$AA192,$AC192,IF(J$2=$AF192,$AG192,0))))</f>
        <v/>
      </c>
      <c r="W192">
        <f>IF(K191&lt;=0,0,MIN(AP192,K$7+IF(K$2=$AA192,$AC192,IF(K$2=$AF192,$AG192,0))))</f>
        <v/>
      </c>
      <c r="X192">
        <f>IF(L191&lt;=0,0,MIN(AQ192,L$7+IF(L$2=$AA192,$AC192,IF(L$2=$AF192,$AG192,0))))</f>
        <v/>
      </c>
      <c r="Y192">
        <f>IF(M191&lt;=0,0,MIN(AR192,M$7+IF(M$2=$AA192,$AC192,IF(M$2=$AF192,$AG192,0))))</f>
        <v/>
      </c>
      <c r="Z192">
        <f>IF(N191&lt;=0,0,MIN(AS192,N$7+IF(N$2=$AA192,$AC192,IF(N$2=$AF192,$AG192,0))))</f>
        <v/>
      </c>
      <c r="AA192">
        <f>IFERROR(ROUND(1/SUMPRODUCT(MAX((C191:N191&gt;0)*($C$3:$N$3&lt;=B192)/$C$2:$N$2)),0),0)</f>
        <v/>
      </c>
      <c r="AB192">
        <f>SUMPRODUCT((C191:N191&gt;0)*$C$7:$N$7)</f>
        <v/>
      </c>
      <c r="AC192">
        <f>MAX(0,Plan!$C$5-AB192)+IF(A192=Plan!$C$8,N(Plan!$C$7),0)</f>
        <v/>
      </c>
      <c r="AD192">
        <f>SUM(C192:N192)</f>
        <v/>
      </c>
      <c r="AE192">
        <f>SUM(O192:Z192)</f>
        <v/>
      </c>
      <c r="AF192">
        <f>IFERROR(ROUND(1/SUMPRODUCT(MAX((C191:N191&gt;0)*($C$3:$N$3&lt;=B192)*($C$2:$N$2&gt;AA192)/$C$2:$N$2)),0),0)</f>
        <v/>
      </c>
      <c r="AG192">
        <f>MAX(0,AC192-MAX(0,SUMPRODUCT(($C$2:$N$2=AA192)*(AH192:AS192-$C$7:$N$7))))</f>
        <v/>
      </c>
      <c r="AH192">
        <f>IF(C191&lt;=0,0,ROUND(C191*(1+IF(AND(C$6&gt;0,$B192&lt;C$6),C$4,C$5)/12),2))</f>
        <v/>
      </c>
      <c r="AI192">
        <f>IF(D191&lt;=0,0,ROUND(D191*(1+IF(AND(D$6&gt;0,$B192&lt;D$6),D$4,D$5)/12),2))</f>
        <v/>
      </c>
      <c r="AJ192">
        <f>IF(E191&lt;=0,0,ROUND(E191*(1+IF(AND(E$6&gt;0,$B192&lt;E$6),E$4,E$5)/12),2))</f>
        <v/>
      </c>
      <c r="AK192">
        <f>IF(F191&lt;=0,0,ROUND(F191*(1+IF(AND(F$6&gt;0,$B192&lt;F$6),F$4,F$5)/12),2))</f>
        <v/>
      </c>
      <c r="AL192">
        <f>IF(G191&lt;=0,0,ROUND(G191*(1+IF(AND(G$6&gt;0,$B192&lt;G$6),G$4,G$5)/12),2))</f>
        <v/>
      </c>
      <c r="AM192">
        <f>IF(H191&lt;=0,0,ROUND(H191*(1+IF(AND(H$6&gt;0,$B192&lt;H$6),H$4,H$5)/12),2))</f>
        <v/>
      </c>
      <c r="AN192">
        <f>IF(I191&lt;=0,0,ROUND(I191*(1+IF(AND(I$6&gt;0,$B192&lt;I$6),I$4,I$5)/12),2))</f>
        <v/>
      </c>
      <c r="AO192">
        <f>IF(J191&lt;=0,0,ROUND(J191*(1+IF(AND(J$6&gt;0,$B192&lt;J$6),J$4,J$5)/12),2))</f>
        <v/>
      </c>
      <c r="AP192">
        <f>IF(K191&lt;=0,0,ROUND(K191*(1+IF(AND(K$6&gt;0,$B192&lt;K$6),K$4,K$5)/12),2))</f>
        <v/>
      </c>
      <c r="AQ192">
        <f>IF(L191&lt;=0,0,ROUND(L191*(1+IF(AND(L$6&gt;0,$B192&lt;L$6),L$4,L$5)/12),2))</f>
        <v/>
      </c>
      <c r="AR192">
        <f>IF(M191&lt;=0,0,ROUND(M191*(1+IF(AND(M$6&gt;0,$B192&lt;M$6),M$4,M$5)/12),2))</f>
        <v/>
      </c>
      <c r="AS192">
        <f>IF(N191&lt;=0,0,ROUND(N191*(1+IF(AND(N$6&gt;0,$B192&lt;N$6),N$4,N$5)/12),2))</f>
        <v/>
      </c>
    </row>
    <row r="193">
      <c r="A193" t="n">
        <v>182</v>
      </c>
      <c r="B193">
        <f>EDATE(Plan!$C$6,181)</f>
        <v/>
      </c>
      <c r="C193">
        <f>IF(C192&lt;=0,0,MAX(0,AH193-O193))</f>
        <v/>
      </c>
      <c r="D193">
        <f>IF(D192&lt;=0,0,MAX(0,AI193-P193))</f>
        <v/>
      </c>
      <c r="E193">
        <f>IF(E192&lt;=0,0,MAX(0,AJ193-Q193))</f>
        <v/>
      </c>
      <c r="F193">
        <f>IF(F192&lt;=0,0,MAX(0,AK193-R193))</f>
        <v/>
      </c>
      <c r="G193">
        <f>IF(G192&lt;=0,0,MAX(0,AL193-S193))</f>
        <v/>
      </c>
      <c r="H193">
        <f>IF(H192&lt;=0,0,MAX(0,AM193-T193))</f>
        <v/>
      </c>
      <c r="I193">
        <f>IF(I192&lt;=0,0,MAX(0,AN193-U193))</f>
        <v/>
      </c>
      <c r="J193">
        <f>IF(J192&lt;=0,0,MAX(0,AO193-V193))</f>
        <v/>
      </c>
      <c r="K193">
        <f>IF(K192&lt;=0,0,MAX(0,AP193-W193))</f>
        <v/>
      </c>
      <c r="L193">
        <f>IF(L192&lt;=0,0,MAX(0,AQ193-X193))</f>
        <v/>
      </c>
      <c r="M193">
        <f>IF(M192&lt;=0,0,MAX(0,AR193-Y193))</f>
        <v/>
      </c>
      <c r="N193">
        <f>IF(N192&lt;=0,0,MAX(0,AS193-Z193))</f>
        <v/>
      </c>
      <c r="O193">
        <f>IF(C192&lt;=0,0,MIN(AH193,C$7+IF(C$2=$AA193,$AC193,IF(C$2=$AF193,$AG193,0))))</f>
        <v/>
      </c>
      <c r="P193">
        <f>IF(D192&lt;=0,0,MIN(AI193,D$7+IF(D$2=$AA193,$AC193,IF(D$2=$AF193,$AG193,0))))</f>
        <v/>
      </c>
      <c r="Q193">
        <f>IF(E192&lt;=0,0,MIN(AJ193,E$7+IF(E$2=$AA193,$AC193,IF(E$2=$AF193,$AG193,0))))</f>
        <v/>
      </c>
      <c r="R193">
        <f>IF(F192&lt;=0,0,MIN(AK193,F$7+IF(F$2=$AA193,$AC193,IF(F$2=$AF193,$AG193,0))))</f>
        <v/>
      </c>
      <c r="S193">
        <f>IF(G192&lt;=0,0,MIN(AL193,G$7+IF(G$2=$AA193,$AC193,IF(G$2=$AF193,$AG193,0))))</f>
        <v/>
      </c>
      <c r="T193">
        <f>IF(H192&lt;=0,0,MIN(AM193,H$7+IF(H$2=$AA193,$AC193,IF(H$2=$AF193,$AG193,0))))</f>
        <v/>
      </c>
      <c r="U193">
        <f>IF(I192&lt;=0,0,MIN(AN193,I$7+IF(I$2=$AA193,$AC193,IF(I$2=$AF193,$AG193,0))))</f>
        <v/>
      </c>
      <c r="V193">
        <f>IF(J192&lt;=0,0,MIN(AO193,J$7+IF(J$2=$AA193,$AC193,IF(J$2=$AF193,$AG193,0))))</f>
        <v/>
      </c>
      <c r="W193">
        <f>IF(K192&lt;=0,0,MIN(AP193,K$7+IF(K$2=$AA193,$AC193,IF(K$2=$AF193,$AG193,0))))</f>
        <v/>
      </c>
      <c r="X193">
        <f>IF(L192&lt;=0,0,MIN(AQ193,L$7+IF(L$2=$AA193,$AC193,IF(L$2=$AF193,$AG193,0))))</f>
        <v/>
      </c>
      <c r="Y193">
        <f>IF(M192&lt;=0,0,MIN(AR193,M$7+IF(M$2=$AA193,$AC193,IF(M$2=$AF193,$AG193,0))))</f>
        <v/>
      </c>
      <c r="Z193">
        <f>IF(N192&lt;=0,0,MIN(AS193,N$7+IF(N$2=$AA193,$AC193,IF(N$2=$AF193,$AG193,0))))</f>
        <v/>
      </c>
      <c r="AA193">
        <f>IFERROR(ROUND(1/SUMPRODUCT(MAX((C192:N192&gt;0)*($C$3:$N$3&lt;=B193)/$C$2:$N$2)),0),0)</f>
        <v/>
      </c>
      <c r="AB193">
        <f>SUMPRODUCT((C192:N192&gt;0)*$C$7:$N$7)</f>
        <v/>
      </c>
      <c r="AC193">
        <f>MAX(0,Plan!$C$5-AB193)+IF(A193=Plan!$C$8,N(Plan!$C$7),0)</f>
        <v/>
      </c>
      <c r="AD193">
        <f>SUM(C193:N193)</f>
        <v/>
      </c>
      <c r="AE193">
        <f>SUM(O193:Z193)</f>
        <v/>
      </c>
      <c r="AF193">
        <f>IFERROR(ROUND(1/SUMPRODUCT(MAX((C192:N192&gt;0)*($C$3:$N$3&lt;=B193)*($C$2:$N$2&gt;AA193)/$C$2:$N$2)),0),0)</f>
        <v/>
      </c>
      <c r="AG193">
        <f>MAX(0,AC193-MAX(0,SUMPRODUCT(($C$2:$N$2=AA193)*(AH193:AS193-$C$7:$N$7))))</f>
        <v/>
      </c>
      <c r="AH193">
        <f>IF(C192&lt;=0,0,ROUND(C192*(1+IF(AND(C$6&gt;0,$B193&lt;C$6),C$4,C$5)/12),2))</f>
        <v/>
      </c>
      <c r="AI193">
        <f>IF(D192&lt;=0,0,ROUND(D192*(1+IF(AND(D$6&gt;0,$B193&lt;D$6),D$4,D$5)/12),2))</f>
        <v/>
      </c>
      <c r="AJ193">
        <f>IF(E192&lt;=0,0,ROUND(E192*(1+IF(AND(E$6&gt;0,$B193&lt;E$6),E$4,E$5)/12),2))</f>
        <v/>
      </c>
      <c r="AK193">
        <f>IF(F192&lt;=0,0,ROUND(F192*(1+IF(AND(F$6&gt;0,$B193&lt;F$6),F$4,F$5)/12),2))</f>
        <v/>
      </c>
      <c r="AL193">
        <f>IF(G192&lt;=0,0,ROUND(G192*(1+IF(AND(G$6&gt;0,$B193&lt;G$6),G$4,G$5)/12),2))</f>
        <v/>
      </c>
      <c r="AM193">
        <f>IF(H192&lt;=0,0,ROUND(H192*(1+IF(AND(H$6&gt;0,$B193&lt;H$6),H$4,H$5)/12),2))</f>
        <v/>
      </c>
      <c r="AN193">
        <f>IF(I192&lt;=0,0,ROUND(I192*(1+IF(AND(I$6&gt;0,$B193&lt;I$6),I$4,I$5)/12),2))</f>
        <v/>
      </c>
      <c r="AO193">
        <f>IF(J192&lt;=0,0,ROUND(J192*(1+IF(AND(J$6&gt;0,$B193&lt;J$6),J$4,J$5)/12),2))</f>
        <v/>
      </c>
      <c r="AP193">
        <f>IF(K192&lt;=0,0,ROUND(K192*(1+IF(AND(K$6&gt;0,$B193&lt;K$6),K$4,K$5)/12),2))</f>
        <v/>
      </c>
      <c r="AQ193">
        <f>IF(L192&lt;=0,0,ROUND(L192*(1+IF(AND(L$6&gt;0,$B193&lt;L$6),L$4,L$5)/12),2))</f>
        <v/>
      </c>
      <c r="AR193">
        <f>IF(M192&lt;=0,0,ROUND(M192*(1+IF(AND(M$6&gt;0,$B193&lt;M$6),M$4,M$5)/12),2))</f>
        <v/>
      </c>
      <c r="AS193">
        <f>IF(N192&lt;=0,0,ROUND(N192*(1+IF(AND(N$6&gt;0,$B193&lt;N$6),N$4,N$5)/12),2))</f>
        <v/>
      </c>
    </row>
    <row r="194">
      <c r="A194" t="n">
        <v>183</v>
      </c>
      <c r="B194">
        <f>EDATE(Plan!$C$6,182)</f>
        <v/>
      </c>
      <c r="C194">
        <f>IF(C193&lt;=0,0,MAX(0,AH194-O194))</f>
        <v/>
      </c>
      <c r="D194">
        <f>IF(D193&lt;=0,0,MAX(0,AI194-P194))</f>
        <v/>
      </c>
      <c r="E194">
        <f>IF(E193&lt;=0,0,MAX(0,AJ194-Q194))</f>
        <v/>
      </c>
      <c r="F194">
        <f>IF(F193&lt;=0,0,MAX(0,AK194-R194))</f>
        <v/>
      </c>
      <c r="G194">
        <f>IF(G193&lt;=0,0,MAX(0,AL194-S194))</f>
        <v/>
      </c>
      <c r="H194">
        <f>IF(H193&lt;=0,0,MAX(0,AM194-T194))</f>
        <v/>
      </c>
      <c r="I194">
        <f>IF(I193&lt;=0,0,MAX(0,AN194-U194))</f>
        <v/>
      </c>
      <c r="J194">
        <f>IF(J193&lt;=0,0,MAX(0,AO194-V194))</f>
        <v/>
      </c>
      <c r="K194">
        <f>IF(K193&lt;=0,0,MAX(0,AP194-W194))</f>
        <v/>
      </c>
      <c r="L194">
        <f>IF(L193&lt;=0,0,MAX(0,AQ194-X194))</f>
        <v/>
      </c>
      <c r="M194">
        <f>IF(M193&lt;=0,0,MAX(0,AR194-Y194))</f>
        <v/>
      </c>
      <c r="N194">
        <f>IF(N193&lt;=0,0,MAX(0,AS194-Z194))</f>
        <v/>
      </c>
      <c r="O194">
        <f>IF(C193&lt;=0,0,MIN(AH194,C$7+IF(C$2=$AA194,$AC194,IF(C$2=$AF194,$AG194,0))))</f>
        <v/>
      </c>
      <c r="P194">
        <f>IF(D193&lt;=0,0,MIN(AI194,D$7+IF(D$2=$AA194,$AC194,IF(D$2=$AF194,$AG194,0))))</f>
        <v/>
      </c>
      <c r="Q194">
        <f>IF(E193&lt;=0,0,MIN(AJ194,E$7+IF(E$2=$AA194,$AC194,IF(E$2=$AF194,$AG194,0))))</f>
        <v/>
      </c>
      <c r="R194">
        <f>IF(F193&lt;=0,0,MIN(AK194,F$7+IF(F$2=$AA194,$AC194,IF(F$2=$AF194,$AG194,0))))</f>
        <v/>
      </c>
      <c r="S194">
        <f>IF(G193&lt;=0,0,MIN(AL194,G$7+IF(G$2=$AA194,$AC194,IF(G$2=$AF194,$AG194,0))))</f>
        <v/>
      </c>
      <c r="T194">
        <f>IF(H193&lt;=0,0,MIN(AM194,H$7+IF(H$2=$AA194,$AC194,IF(H$2=$AF194,$AG194,0))))</f>
        <v/>
      </c>
      <c r="U194">
        <f>IF(I193&lt;=0,0,MIN(AN194,I$7+IF(I$2=$AA194,$AC194,IF(I$2=$AF194,$AG194,0))))</f>
        <v/>
      </c>
      <c r="V194">
        <f>IF(J193&lt;=0,0,MIN(AO194,J$7+IF(J$2=$AA194,$AC194,IF(J$2=$AF194,$AG194,0))))</f>
        <v/>
      </c>
      <c r="W194">
        <f>IF(K193&lt;=0,0,MIN(AP194,K$7+IF(K$2=$AA194,$AC194,IF(K$2=$AF194,$AG194,0))))</f>
        <v/>
      </c>
      <c r="X194">
        <f>IF(L193&lt;=0,0,MIN(AQ194,L$7+IF(L$2=$AA194,$AC194,IF(L$2=$AF194,$AG194,0))))</f>
        <v/>
      </c>
      <c r="Y194">
        <f>IF(M193&lt;=0,0,MIN(AR194,M$7+IF(M$2=$AA194,$AC194,IF(M$2=$AF194,$AG194,0))))</f>
        <v/>
      </c>
      <c r="Z194">
        <f>IF(N193&lt;=0,0,MIN(AS194,N$7+IF(N$2=$AA194,$AC194,IF(N$2=$AF194,$AG194,0))))</f>
        <v/>
      </c>
      <c r="AA194">
        <f>IFERROR(ROUND(1/SUMPRODUCT(MAX((C193:N193&gt;0)*($C$3:$N$3&lt;=B194)/$C$2:$N$2)),0),0)</f>
        <v/>
      </c>
      <c r="AB194">
        <f>SUMPRODUCT((C193:N193&gt;0)*$C$7:$N$7)</f>
        <v/>
      </c>
      <c r="AC194">
        <f>MAX(0,Plan!$C$5-AB194)+IF(A194=Plan!$C$8,N(Plan!$C$7),0)</f>
        <v/>
      </c>
      <c r="AD194">
        <f>SUM(C194:N194)</f>
        <v/>
      </c>
      <c r="AE194">
        <f>SUM(O194:Z194)</f>
        <v/>
      </c>
      <c r="AF194">
        <f>IFERROR(ROUND(1/SUMPRODUCT(MAX((C193:N193&gt;0)*($C$3:$N$3&lt;=B194)*($C$2:$N$2&gt;AA194)/$C$2:$N$2)),0),0)</f>
        <v/>
      </c>
      <c r="AG194">
        <f>MAX(0,AC194-MAX(0,SUMPRODUCT(($C$2:$N$2=AA194)*(AH194:AS194-$C$7:$N$7))))</f>
        <v/>
      </c>
      <c r="AH194">
        <f>IF(C193&lt;=0,0,ROUND(C193*(1+IF(AND(C$6&gt;0,$B194&lt;C$6),C$4,C$5)/12),2))</f>
        <v/>
      </c>
      <c r="AI194">
        <f>IF(D193&lt;=0,0,ROUND(D193*(1+IF(AND(D$6&gt;0,$B194&lt;D$6),D$4,D$5)/12),2))</f>
        <v/>
      </c>
      <c r="AJ194">
        <f>IF(E193&lt;=0,0,ROUND(E193*(1+IF(AND(E$6&gt;0,$B194&lt;E$6),E$4,E$5)/12),2))</f>
        <v/>
      </c>
      <c r="AK194">
        <f>IF(F193&lt;=0,0,ROUND(F193*(1+IF(AND(F$6&gt;0,$B194&lt;F$6),F$4,F$5)/12),2))</f>
        <v/>
      </c>
      <c r="AL194">
        <f>IF(G193&lt;=0,0,ROUND(G193*(1+IF(AND(G$6&gt;0,$B194&lt;G$6),G$4,G$5)/12),2))</f>
        <v/>
      </c>
      <c r="AM194">
        <f>IF(H193&lt;=0,0,ROUND(H193*(1+IF(AND(H$6&gt;0,$B194&lt;H$6),H$4,H$5)/12),2))</f>
        <v/>
      </c>
      <c r="AN194">
        <f>IF(I193&lt;=0,0,ROUND(I193*(1+IF(AND(I$6&gt;0,$B194&lt;I$6),I$4,I$5)/12),2))</f>
        <v/>
      </c>
      <c r="AO194">
        <f>IF(J193&lt;=0,0,ROUND(J193*(1+IF(AND(J$6&gt;0,$B194&lt;J$6),J$4,J$5)/12),2))</f>
        <v/>
      </c>
      <c r="AP194">
        <f>IF(K193&lt;=0,0,ROUND(K193*(1+IF(AND(K$6&gt;0,$B194&lt;K$6),K$4,K$5)/12),2))</f>
        <v/>
      </c>
      <c r="AQ194">
        <f>IF(L193&lt;=0,0,ROUND(L193*(1+IF(AND(L$6&gt;0,$B194&lt;L$6),L$4,L$5)/12),2))</f>
        <v/>
      </c>
      <c r="AR194">
        <f>IF(M193&lt;=0,0,ROUND(M193*(1+IF(AND(M$6&gt;0,$B194&lt;M$6),M$4,M$5)/12),2))</f>
        <v/>
      </c>
      <c r="AS194">
        <f>IF(N193&lt;=0,0,ROUND(N193*(1+IF(AND(N$6&gt;0,$B194&lt;N$6),N$4,N$5)/12),2))</f>
        <v/>
      </c>
    </row>
    <row r="195">
      <c r="A195" t="n">
        <v>184</v>
      </c>
      <c r="B195">
        <f>EDATE(Plan!$C$6,183)</f>
        <v/>
      </c>
      <c r="C195">
        <f>IF(C194&lt;=0,0,MAX(0,AH195-O195))</f>
        <v/>
      </c>
      <c r="D195">
        <f>IF(D194&lt;=0,0,MAX(0,AI195-P195))</f>
        <v/>
      </c>
      <c r="E195">
        <f>IF(E194&lt;=0,0,MAX(0,AJ195-Q195))</f>
        <v/>
      </c>
      <c r="F195">
        <f>IF(F194&lt;=0,0,MAX(0,AK195-R195))</f>
        <v/>
      </c>
      <c r="G195">
        <f>IF(G194&lt;=0,0,MAX(0,AL195-S195))</f>
        <v/>
      </c>
      <c r="H195">
        <f>IF(H194&lt;=0,0,MAX(0,AM195-T195))</f>
        <v/>
      </c>
      <c r="I195">
        <f>IF(I194&lt;=0,0,MAX(0,AN195-U195))</f>
        <v/>
      </c>
      <c r="J195">
        <f>IF(J194&lt;=0,0,MAX(0,AO195-V195))</f>
        <v/>
      </c>
      <c r="K195">
        <f>IF(K194&lt;=0,0,MAX(0,AP195-W195))</f>
        <v/>
      </c>
      <c r="L195">
        <f>IF(L194&lt;=0,0,MAX(0,AQ195-X195))</f>
        <v/>
      </c>
      <c r="M195">
        <f>IF(M194&lt;=0,0,MAX(0,AR195-Y195))</f>
        <v/>
      </c>
      <c r="N195">
        <f>IF(N194&lt;=0,0,MAX(0,AS195-Z195))</f>
        <v/>
      </c>
      <c r="O195">
        <f>IF(C194&lt;=0,0,MIN(AH195,C$7+IF(C$2=$AA195,$AC195,IF(C$2=$AF195,$AG195,0))))</f>
        <v/>
      </c>
      <c r="P195">
        <f>IF(D194&lt;=0,0,MIN(AI195,D$7+IF(D$2=$AA195,$AC195,IF(D$2=$AF195,$AG195,0))))</f>
        <v/>
      </c>
      <c r="Q195">
        <f>IF(E194&lt;=0,0,MIN(AJ195,E$7+IF(E$2=$AA195,$AC195,IF(E$2=$AF195,$AG195,0))))</f>
        <v/>
      </c>
      <c r="R195">
        <f>IF(F194&lt;=0,0,MIN(AK195,F$7+IF(F$2=$AA195,$AC195,IF(F$2=$AF195,$AG195,0))))</f>
        <v/>
      </c>
      <c r="S195">
        <f>IF(G194&lt;=0,0,MIN(AL195,G$7+IF(G$2=$AA195,$AC195,IF(G$2=$AF195,$AG195,0))))</f>
        <v/>
      </c>
      <c r="T195">
        <f>IF(H194&lt;=0,0,MIN(AM195,H$7+IF(H$2=$AA195,$AC195,IF(H$2=$AF195,$AG195,0))))</f>
        <v/>
      </c>
      <c r="U195">
        <f>IF(I194&lt;=0,0,MIN(AN195,I$7+IF(I$2=$AA195,$AC195,IF(I$2=$AF195,$AG195,0))))</f>
        <v/>
      </c>
      <c r="V195">
        <f>IF(J194&lt;=0,0,MIN(AO195,J$7+IF(J$2=$AA195,$AC195,IF(J$2=$AF195,$AG195,0))))</f>
        <v/>
      </c>
      <c r="W195">
        <f>IF(K194&lt;=0,0,MIN(AP195,K$7+IF(K$2=$AA195,$AC195,IF(K$2=$AF195,$AG195,0))))</f>
        <v/>
      </c>
      <c r="X195">
        <f>IF(L194&lt;=0,0,MIN(AQ195,L$7+IF(L$2=$AA195,$AC195,IF(L$2=$AF195,$AG195,0))))</f>
        <v/>
      </c>
      <c r="Y195">
        <f>IF(M194&lt;=0,0,MIN(AR195,M$7+IF(M$2=$AA195,$AC195,IF(M$2=$AF195,$AG195,0))))</f>
        <v/>
      </c>
      <c r="Z195">
        <f>IF(N194&lt;=0,0,MIN(AS195,N$7+IF(N$2=$AA195,$AC195,IF(N$2=$AF195,$AG195,0))))</f>
        <v/>
      </c>
      <c r="AA195">
        <f>IFERROR(ROUND(1/SUMPRODUCT(MAX((C194:N194&gt;0)*($C$3:$N$3&lt;=B195)/$C$2:$N$2)),0),0)</f>
        <v/>
      </c>
      <c r="AB195">
        <f>SUMPRODUCT((C194:N194&gt;0)*$C$7:$N$7)</f>
        <v/>
      </c>
      <c r="AC195">
        <f>MAX(0,Plan!$C$5-AB195)+IF(A195=Plan!$C$8,N(Plan!$C$7),0)</f>
        <v/>
      </c>
      <c r="AD195">
        <f>SUM(C195:N195)</f>
        <v/>
      </c>
      <c r="AE195">
        <f>SUM(O195:Z195)</f>
        <v/>
      </c>
      <c r="AF195">
        <f>IFERROR(ROUND(1/SUMPRODUCT(MAX((C194:N194&gt;0)*($C$3:$N$3&lt;=B195)*($C$2:$N$2&gt;AA195)/$C$2:$N$2)),0),0)</f>
        <v/>
      </c>
      <c r="AG195">
        <f>MAX(0,AC195-MAX(0,SUMPRODUCT(($C$2:$N$2=AA195)*(AH195:AS195-$C$7:$N$7))))</f>
        <v/>
      </c>
      <c r="AH195">
        <f>IF(C194&lt;=0,0,ROUND(C194*(1+IF(AND(C$6&gt;0,$B195&lt;C$6),C$4,C$5)/12),2))</f>
        <v/>
      </c>
      <c r="AI195">
        <f>IF(D194&lt;=0,0,ROUND(D194*(1+IF(AND(D$6&gt;0,$B195&lt;D$6),D$4,D$5)/12),2))</f>
        <v/>
      </c>
      <c r="AJ195">
        <f>IF(E194&lt;=0,0,ROUND(E194*(1+IF(AND(E$6&gt;0,$B195&lt;E$6),E$4,E$5)/12),2))</f>
        <v/>
      </c>
      <c r="AK195">
        <f>IF(F194&lt;=0,0,ROUND(F194*(1+IF(AND(F$6&gt;0,$B195&lt;F$6),F$4,F$5)/12),2))</f>
        <v/>
      </c>
      <c r="AL195">
        <f>IF(G194&lt;=0,0,ROUND(G194*(1+IF(AND(G$6&gt;0,$B195&lt;G$6),G$4,G$5)/12),2))</f>
        <v/>
      </c>
      <c r="AM195">
        <f>IF(H194&lt;=0,0,ROUND(H194*(1+IF(AND(H$6&gt;0,$B195&lt;H$6),H$4,H$5)/12),2))</f>
        <v/>
      </c>
      <c r="AN195">
        <f>IF(I194&lt;=0,0,ROUND(I194*(1+IF(AND(I$6&gt;0,$B195&lt;I$6),I$4,I$5)/12),2))</f>
        <v/>
      </c>
      <c r="AO195">
        <f>IF(J194&lt;=0,0,ROUND(J194*(1+IF(AND(J$6&gt;0,$B195&lt;J$6),J$4,J$5)/12),2))</f>
        <v/>
      </c>
      <c r="AP195">
        <f>IF(K194&lt;=0,0,ROUND(K194*(1+IF(AND(K$6&gt;0,$B195&lt;K$6),K$4,K$5)/12),2))</f>
        <v/>
      </c>
      <c r="AQ195">
        <f>IF(L194&lt;=0,0,ROUND(L194*(1+IF(AND(L$6&gt;0,$B195&lt;L$6),L$4,L$5)/12),2))</f>
        <v/>
      </c>
      <c r="AR195">
        <f>IF(M194&lt;=0,0,ROUND(M194*(1+IF(AND(M$6&gt;0,$B195&lt;M$6),M$4,M$5)/12),2))</f>
        <v/>
      </c>
      <c r="AS195">
        <f>IF(N194&lt;=0,0,ROUND(N194*(1+IF(AND(N$6&gt;0,$B195&lt;N$6),N$4,N$5)/12),2))</f>
        <v/>
      </c>
    </row>
    <row r="196">
      <c r="A196" t="n">
        <v>185</v>
      </c>
      <c r="B196">
        <f>EDATE(Plan!$C$6,184)</f>
        <v/>
      </c>
      <c r="C196">
        <f>IF(C195&lt;=0,0,MAX(0,AH196-O196))</f>
        <v/>
      </c>
      <c r="D196">
        <f>IF(D195&lt;=0,0,MAX(0,AI196-P196))</f>
        <v/>
      </c>
      <c r="E196">
        <f>IF(E195&lt;=0,0,MAX(0,AJ196-Q196))</f>
        <v/>
      </c>
      <c r="F196">
        <f>IF(F195&lt;=0,0,MAX(0,AK196-R196))</f>
        <v/>
      </c>
      <c r="G196">
        <f>IF(G195&lt;=0,0,MAX(0,AL196-S196))</f>
        <v/>
      </c>
      <c r="H196">
        <f>IF(H195&lt;=0,0,MAX(0,AM196-T196))</f>
        <v/>
      </c>
      <c r="I196">
        <f>IF(I195&lt;=0,0,MAX(0,AN196-U196))</f>
        <v/>
      </c>
      <c r="J196">
        <f>IF(J195&lt;=0,0,MAX(0,AO196-V196))</f>
        <v/>
      </c>
      <c r="K196">
        <f>IF(K195&lt;=0,0,MAX(0,AP196-W196))</f>
        <v/>
      </c>
      <c r="L196">
        <f>IF(L195&lt;=0,0,MAX(0,AQ196-X196))</f>
        <v/>
      </c>
      <c r="M196">
        <f>IF(M195&lt;=0,0,MAX(0,AR196-Y196))</f>
        <v/>
      </c>
      <c r="N196">
        <f>IF(N195&lt;=0,0,MAX(0,AS196-Z196))</f>
        <v/>
      </c>
      <c r="O196">
        <f>IF(C195&lt;=0,0,MIN(AH196,C$7+IF(C$2=$AA196,$AC196,IF(C$2=$AF196,$AG196,0))))</f>
        <v/>
      </c>
      <c r="P196">
        <f>IF(D195&lt;=0,0,MIN(AI196,D$7+IF(D$2=$AA196,$AC196,IF(D$2=$AF196,$AG196,0))))</f>
        <v/>
      </c>
      <c r="Q196">
        <f>IF(E195&lt;=0,0,MIN(AJ196,E$7+IF(E$2=$AA196,$AC196,IF(E$2=$AF196,$AG196,0))))</f>
        <v/>
      </c>
      <c r="R196">
        <f>IF(F195&lt;=0,0,MIN(AK196,F$7+IF(F$2=$AA196,$AC196,IF(F$2=$AF196,$AG196,0))))</f>
        <v/>
      </c>
      <c r="S196">
        <f>IF(G195&lt;=0,0,MIN(AL196,G$7+IF(G$2=$AA196,$AC196,IF(G$2=$AF196,$AG196,0))))</f>
        <v/>
      </c>
      <c r="T196">
        <f>IF(H195&lt;=0,0,MIN(AM196,H$7+IF(H$2=$AA196,$AC196,IF(H$2=$AF196,$AG196,0))))</f>
        <v/>
      </c>
      <c r="U196">
        <f>IF(I195&lt;=0,0,MIN(AN196,I$7+IF(I$2=$AA196,$AC196,IF(I$2=$AF196,$AG196,0))))</f>
        <v/>
      </c>
      <c r="V196">
        <f>IF(J195&lt;=0,0,MIN(AO196,J$7+IF(J$2=$AA196,$AC196,IF(J$2=$AF196,$AG196,0))))</f>
        <v/>
      </c>
      <c r="W196">
        <f>IF(K195&lt;=0,0,MIN(AP196,K$7+IF(K$2=$AA196,$AC196,IF(K$2=$AF196,$AG196,0))))</f>
        <v/>
      </c>
      <c r="X196">
        <f>IF(L195&lt;=0,0,MIN(AQ196,L$7+IF(L$2=$AA196,$AC196,IF(L$2=$AF196,$AG196,0))))</f>
        <v/>
      </c>
      <c r="Y196">
        <f>IF(M195&lt;=0,0,MIN(AR196,M$7+IF(M$2=$AA196,$AC196,IF(M$2=$AF196,$AG196,0))))</f>
        <v/>
      </c>
      <c r="Z196">
        <f>IF(N195&lt;=0,0,MIN(AS196,N$7+IF(N$2=$AA196,$AC196,IF(N$2=$AF196,$AG196,0))))</f>
        <v/>
      </c>
      <c r="AA196">
        <f>IFERROR(ROUND(1/SUMPRODUCT(MAX((C195:N195&gt;0)*($C$3:$N$3&lt;=B196)/$C$2:$N$2)),0),0)</f>
        <v/>
      </c>
      <c r="AB196">
        <f>SUMPRODUCT((C195:N195&gt;0)*$C$7:$N$7)</f>
        <v/>
      </c>
      <c r="AC196">
        <f>MAX(0,Plan!$C$5-AB196)+IF(A196=Plan!$C$8,N(Plan!$C$7),0)</f>
        <v/>
      </c>
      <c r="AD196">
        <f>SUM(C196:N196)</f>
        <v/>
      </c>
      <c r="AE196">
        <f>SUM(O196:Z196)</f>
        <v/>
      </c>
      <c r="AF196">
        <f>IFERROR(ROUND(1/SUMPRODUCT(MAX((C195:N195&gt;0)*($C$3:$N$3&lt;=B196)*($C$2:$N$2&gt;AA196)/$C$2:$N$2)),0),0)</f>
        <v/>
      </c>
      <c r="AG196">
        <f>MAX(0,AC196-MAX(0,SUMPRODUCT(($C$2:$N$2=AA196)*(AH196:AS196-$C$7:$N$7))))</f>
        <v/>
      </c>
      <c r="AH196">
        <f>IF(C195&lt;=0,0,ROUND(C195*(1+IF(AND(C$6&gt;0,$B196&lt;C$6),C$4,C$5)/12),2))</f>
        <v/>
      </c>
      <c r="AI196">
        <f>IF(D195&lt;=0,0,ROUND(D195*(1+IF(AND(D$6&gt;0,$B196&lt;D$6),D$4,D$5)/12),2))</f>
        <v/>
      </c>
      <c r="AJ196">
        <f>IF(E195&lt;=0,0,ROUND(E195*(1+IF(AND(E$6&gt;0,$B196&lt;E$6),E$4,E$5)/12),2))</f>
        <v/>
      </c>
      <c r="AK196">
        <f>IF(F195&lt;=0,0,ROUND(F195*(1+IF(AND(F$6&gt;0,$B196&lt;F$6),F$4,F$5)/12),2))</f>
        <v/>
      </c>
      <c r="AL196">
        <f>IF(G195&lt;=0,0,ROUND(G195*(1+IF(AND(G$6&gt;0,$B196&lt;G$6),G$4,G$5)/12),2))</f>
        <v/>
      </c>
      <c r="AM196">
        <f>IF(H195&lt;=0,0,ROUND(H195*(1+IF(AND(H$6&gt;0,$B196&lt;H$6),H$4,H$5)/12),2))</f>
        <v/>
      </c>
      <c r="AN196">
        <f>IF(I195&lt;=0,0,ROUND(I195*(1+IF(AND(I$6&gt;0,$B196&lt;I$6),I$4,I$5)/12),2))</f>
        <v/>
      </c>
      <c r="AO196">
        <f>IF(J195&lt;=0,0,ROUND(J195*(1+IF(AND(J$6&gt;0,$B196&lt;J$6),J$4,J$5)/12),2))</f>
        <v/>
      </c>
      <c r="AP196">
        <f>IF(K195&lt;=0,0,ROUND(K195*(1+IF(AND(K$6&gt;0,$B196&lt;K$6),K$4,K$5)/12),2))</f>
        <v/>
      </c>
      <c r="AQ196">
        <f>IF(L195&lt;=0,0,ROUND(L195*(1+IF(AND(L$6&gt;0,$B196&lt;L$6),L$4,L$5)/12),2))</f>
        <v/>
      </c>
      <c r="AR196">
        <f>IF(M195&lt;=0,0,ROUND(M195*(1+IF(AND(M$6&gt;0,$B196&lt;M$6),M$4,M$5)/12),2))</f>
        <v/>
      </c>
      <c r="AS196">
        <f>IF(N195&lt;=0,0,ROUND(N195*(1+IF(AND(N$6&gt;0,$B196&lt;N$6),N$4,N$5)/12),2))</f>
        <v/>
      </c>
    </row>
    <row r="197">
      <c r="A197" t="n">
        <v>186</v>
      </c>
      <c r="B197">
        <f>EDATE(Plan!$C$6,185)</f>
        <v/>
      </c>
      <c r="C197">
        <f>IF(C196&lt;=0,0,MAX(0,AH197-O197))</f>
        <v/>
      </c>
      <c r="D197">
        <f>IF(D196&lt;=0,0,MAX(0,AI197-P197))</f>
        <v/>
      </c>
      <c r="E197">
        <f>IF(E196&lt;=0,0,MAX(0,AJ197-Q197))</f>
        <v/>
      </c>
      <c r="F197">
        <f>IF(F196&lt;=0,0,MAX(0,AK197-R197))</f>
        <v/>
      </c>
      <c r="G197">
        <f>IF(G196&lt;=0,0,MAX(0,AL197-S197))</f>
        <v/>
      </c>
      <c r="H197">
        <f>IF(H196&lt;=0,0,MAX(0,AM197-T197))</f>
        <v/>
      </c>
      <c r="I197">
        <f>IF(I196&lt;=0,0,MAX(0,AN197-U197))</f>
        <v/>
      </c>
      <c r="J197">
        <f>IF(J196&lt;=0,0,MAX(0,AO197-V197))</f>
        <v/>
      </c>
      <c r="K197">
        <f>IF(K196&lt;=0,0,MAX(0,AP197-W197))</f>
        <v/>
      </c>
      <c r="L197">
        <f>IF(L196&lt;=0,0,MAX(0,AQ197-X197))</f>
        <v/>
      </c>
      <c r="M197">
        <f>IF(M196&lt;=0,0,MAX(0,AR197-Y197))</f>
        <v/>
      </c>
      <c r="N197">
        <f>IF(N196&lt;=0,0,MAX(0,AS197-Z197))</f>
        <v/>
      </c>
      <c r="O197">
        <f>IF(C196&lt;=0,0,MIN(AH197,C$7+IF(C$2=$AA197,$AC197,IF(C$2=$AF197,$AG197,0))))</f>
        <v/>
      </c>
      <c r="P197">
        <f>IF(D196&lt;=0,0,MIN(AI197,D$7+IF(D$2=$AA197,$AC197,IF(D$2=$AF197,$AG197,0))))</f>
        <v/>
      </c>
      <c r="Q197">
        <f>IF(E196&lt;=0,0,MIN(AJ197,E$7+IF(E$2=$AA197,$AC197,IF(E$2=$AF197,$AG197,0))))</f>
        <v/>
      </c>
      <c r="R197">
        <f>IF(F196&lt;=0,0,MIN(AK197,F$7+IF(F$2=$AA197,$AC197,IF(F$2=$AF197,$AG197,0))))</f>
        <v/>
      </c>
      <c r="S197">
        <f>IF(G196&lt;=0,0,MIN(AL197,G$7+IF(G$2=$AA197,$AC197,IF(G$2=$AF197,$AG197,0))))</f>
        <v/>
      </c>
      <c r="T197">
        <f>IF(H196&lt;=0,0,MIN(AM197,H$7+IF(H$2=$AA197,$AC197,IF(H$2=$AF197,$AG197,0))))</f>
        <v/>
      </c>
      <c r="U197">
        <f>IF(I196&lt;=0,0,MIN(AN197,I$7+IF(I$2=$AA197,$AC197,IF(I$2=$AF197,$AG197,0))))</f>
        <v/>
      </c>
      <c r="V197">
        <f>IF(J196&lt;=0,0,MIN(AO197,J$7+IF(J$2=$AA197,$AC197,IF(J$2=$AF197,$AG197,0))))</f>
        <v/>
      </c>
      <c r="W197">
        <f>IF(K196&lt;=0,0,MIN(AP197,K$7+IF(K$2=$AA197,$AC197,IF(K$2=$AF197,$AG197,0))))</f>
        <v/>
      </c>
      <c r="X197">
        <f>IF(L196&lt;=0,0,MIN(AQ197,L$7+IF(L$2=$AA197,$AC197,IF(L$2=$AF197,$AG197,0))))</f>
        <v/>
      </c>
      <c r="Y197">
        <f>IF(M196&lt;=0,0,MIN(AR197,M$7+IF(M$2=$AA197,$AC197,IF(M$2=$AF197,$AG197,0))))</f>
        <v/>
      </c>
      <c r="Z197">
        <f>IF(N196&lt;=0,0,MIN(AS197,N$7+IF(N$2=$AA197,$AC197,IF(N$2=$AF197,$AG197,0))))</f>
        <v/>
      </c>
      <c r="AA197">
        <f>IFERROR(ROUND(1/SUMPRODUCT(MAX((C196:N196&gt;0)*($C$3:$N$3&lt;=B197)/$C$2:$N$2)),0),0)</f>
        <v/>
      </c>
      <c r="AB197">
        <f>SUMPRODUCT((C196:N196&gt;0)*$C$7:$N$7)</f>
        <v/>
      </c>
      <c r="AC197">
        <f>MAX(0,Plan!$C$5-AB197)+IF(A197=Plan!$C$8,N(Plan!$C$7),0)</f>
        <v/>
      </c>
      <c r="AD197">
        <f>SUM(C197:N197)</f>
        <v/>
      </c>
      <c r="AE197">
        <f>SUM(O197:Z197)</f>
        <v/>
      </c>
      <c r="AF197">
        <f>IFERROR(ROUND(1/SUMPRODUCT(MAX((C196:N196&gt;0)*($C$3:$N$3&lt;=B197)*($C$2:$N$2&gt;AA197)/$C$2:$N$2)),0),0)</f>
        <v/>
      </c>
      <c r="AG197">
        <f>MAX(0,AC197-MAX(0,SUMPRODUCT(($C$2:$N$2=AA197)*(AH197:AS197-$C$7:$N$7))))</f>
        <v/>
      </c>
      <c r="AH197">
        <f>IF(C196&lt;=0,0,ROUND(C196*(1+IF(AND(C$6&gt;0,$B197&lt;C$6),C$4,C$5)/12),2))</f>
        <v/>
      </c>
      <c r="AI197">
        <f>IF(D196&lt;=0,0,ROUND(D196*(1+IF(AND(D$6&gt;0,$B197&lt;D$6),D$4,D$5)/12),2))</f>
        <v/>
      </c>
      <c r="AJ197">
        <f>IF(E196&lt;=0,0,ROUND(E196*(1+IF(AND(E$6&gt;0,$B197&lt;E$6),E$4,E$5)/12),2))</f>
        <v/>
      </c>
      <c r="AK197">
        <f>IF(F196&lt;=0,0,ROUND(F196*(1+IF(AND(F$6&gt;0,$B197&lt;F$6),F$4,F$5)/12),2))</f>
        <v/>
      </c>
      <c r="AL197">
        <f>IF(G196&lt;=0,0,ROUND(G196*(1+IF(AND(G$6&gt;0,$B197&lt;G$6),G$4,G$5)/12),2))</f>
        <v/>
      </c>
      <c r="AM197">
        <f>IF(H196&lt;=0,0,ROUND(H196*(1+IF(AND(H$6&gt;0,$B197&lt;H$6),H$4,H$5)/12),2))</f>
        <v/>
      </c>
      <c r="AN197">
        <f>IF(I196&lt;=0,0,ROUND(I196*(1+IF(AND(I$6&gt;0,$B197&lt;I$6),I$4,I$5)/12),2))</f>
        <v/>
      </c>
      <c r="AO197">
        <f>IF(J196&lt;=0,0,ROUND(J196*(1+IF(AND(J$6&gt;0,$B197&lt;J$6),J$4,J$5)/12),2))</f>
        <v/>
      </c>
      <c r="AP197">
        <f>IF(K196&lt;=0,0,ROUND(K196*(1+IF(AND(K$6&gt;0,$B197&lt;K$6),K$4,K$5)/12),2))</f>
        <v/>
      </c>
      <c r="AQ197">
        <f>IF(L196&lt;=0,0,ROUND(L196*(1+IF(AND(L$6&gt;0,$B197&lt;L$6),L$4,L$5)/12),2))</f>
        <v/>
      </c>
      <c r="AR197">
        <f>IF(M196&lt;=0,0,ROUND(M196*(1+IF(AND(M$6&gt;0,$B197&lt;M$6),M$4,M$5)/12),2))</f>
        <v/>
      </c>
      <c r="AS197">
        <f>IF(N196&lt;=0,0,ROUND(N196*(1+IF(AND(N$6&gt;0,$B197&lt;N$6),N$4,N$5)/12),2))</f>
        <v/>
      </c>
    </row>
    <row r="198">
      <c r="A198" t="n">
        <v>187</v>
      </c>
      <c r="B198">
        <f>EDATE(Plan!$C$6,186)</f>
        <v/>
      </c>
      <c r="C198">
        <f>IF(C197&lt;=0,0,MAX(0,AH198-O198))</f>
        <v/>
      </c>
      <c r="D198">
        <f>IF(D197&lt;=0,0,MAX(0,AI198-P198))</f>
        <v/>
      </c>
      <c r="E198">
        <f>IF(E197&lt;=0,0,MAX(0,AJ198-Q198))</f>
        <v/>
      </c>
      <c r="F198">
        <f>IF(F197&lt;=0,0,MAX(0,AK198-R198))</f>
        <v/>
      </c>
      <c r="G198">
        <f>IF(G197&lt;=0,0,MAX(0,AL198-S198))</f>
        <v/>
      </c>
      <c r="H198">
        <f>IF(H197&lt;=0,0,MAX(0,AM198-T198))</f>
        <v/>
      </c>
      <c r="I198">
        <f>IF(I197&lt;=0,0,MAX(0,AN198-U198))</f>
        <v/>
      </c>
      <c r="J198">
        <f>IF(J197&lt;=0,0,MAX(0,AO198-V198))</f>
        <v/>
      </c>
      <c r="K198">
        <f>IF(K197&lt;=0,0,MAX(0,AP198-W198))</f>
        <v/>
      </c>
      <c r="L198">
        <f>IF(L197&lt;=0,0,MAX(0,AQ198-X198))</f>
        <v/>
      </c>
      <c r="M198">
        <f>IF(M197&lt;=0,0,MAX(0,AR198-Y198))</f>
        <v/>
      </c>
      <c r="N198">
        <f>IF(N197&lt;=0,0,MAX(0,AS198-Z198))</f>
        <v/>
      </c>
      <c r="O198">
        <f>IF(C197&lt;=0,0,MIN(AH198,C$7+IF(C$2=$AA198,$AC198,IF(C$2=$AF198,$AG198,0))))</f>
        <v/>
      </c>
      <c r="P198">
        <f>IF(D197&lt;=0,0,MIN(AI198,D$7+IF(D$2=$AA198,$AC198,IF(D$2=$AF198,$AG198,0))))</f>
        <v/>
      </c>
      <c r="Q198">
        <f>IF(E197&lt;=0,0,MIN(AJ198,E$7+IF(E$2=$AA198,$AC198,IF(E$2=$AF198,$AG198,0))))</f>
        <v/>
      </c>
      <c r="R198">
        <f>IF(F197&lt;=0,0,MIN(AK198,F$7+IF(F$2=$AA198,$AC198,IF(F$2=$AF198,$AG198,0))))</f>
        <v/>
      </c>
      <c r="S198">
        <f>IF(G197&lt;=0,0,MIN(AL198,G$7+IF(G$2=$AA198,$AC198,IF(G$2=$AF198,$AG198,0))))</f>
        <v/>
      </c>
      <c r="T198">
        <f>IF(H197&lt;=0,0,MIN(AM198,H$7+IF(H$2=$AA198,$AC198,IF(H$2=$AF198,$AG198,0))))</f>
        <v/>
      </c>
      <c r="U198">
        <f>IF(I197&lt;=0,0,MIN(AN198,I$7+IF(I$2=$AA198,$AC198,IF(I$2=$AF198,$AG198,0))))</f>
        <v/>
      </c>
      <c r="V198">
        <f>IF(J197&lt;=0,0,MIN(AO198,J$7+IF(J$2=$AA198,$AC198,IF(J$2=$AF198,$AG198,0))))</f>
        <v/>
      </c>
      <c r="W198">
        <f>IF(K197&lt;=0,0,MIN(AP198,K$7+IF(K$2=$AA198,$AC198,IF(K$2=$AF198,$AG198,0))))</f>
        <v/>
      </c>
      <c r="X198">
        <f>IF(L197&lt;=0,0,MIN(AQ198,L$7+IF(L$2=$AA198,$AC198,IF(L$2=$AF198,$AG198,0))))</f>
        <v/>
      </c>
      <c r="Y198">
        <f>IF(M197&lt;=0,0,MIN(AR198,M$7+IF(M$2=$AA198,$AC198,IF(M$2=$AF198,$AG198,0))))</f>
        <v/>
      </c>
      <c r="Z198">
        <f>IF(N197&lt;=0,0,MIN(AS198,N$7+IF(N$2=$AA198,$AC198,IF(N$2=$AF198,$AG198,0))))</f>
        <v/>
      </c>
      <c r="AA198">
        <f>IFERROR(ROUND(1/SUMPRODUCT(MAX((C197:N197&gt;0)*($C$3:$N$3&lt;=B198)/$C$2:$N$2)),0),0)</f>
        <v/>
      </c>
      <c r="AB198">
        <f>SUMPRODUCT((C197:N197&gt;0)*$C$7:$N$7)</f>
        <v/>
      </c>
      <c r="AC198">
        <f>MAX(0,Plan!$C$5-AB198)+IF(A198=Plan!$C$8,N(Plan!$C$7),0)</f>
        <v/>
      </c>
      <c r="AD198">
        <f>SUM(C198:N198)</f>
        <v/>
      </c>
      <c r="AE198">
        <f>SUM(O198:Z198)</f>
        <v/>
      </c>
      <c r="AF198">
        <f>IFERROR(ROUND(1/SUMPRODUCT(MAX((C197:N197&gt;0)*($C$3:$N$3&lt;=B198)*($C$2:$N$2&gt;AA198)/$C$2:$N$2)),0),0)</f>
        <v/>
      </c>
      <c r="AG198">
        <f>MAX(0,AC198-MAX(0,SUMPRODUCT(($C$2:$N$2=AA198)*(AH198:AS198-$C$7:$N$7))))</f>
        <v/>
      </c>
      <c r="AH198">
        <f>IF(C197&lt;=0,0,ROUND(C197*(1+IF(AND(C$6&gt;0,$B198&lt;C$6),C$4,C$5)/12),2))</f>
        <v/>
      </c>
      <c r="AI198">
        <f>IF(D197&lt;=0,0,ROUND(D197*(1+IF(AND(D$6&gt;0,$B198&lt;D$6),D$4,D$5)/12),2))</f>
        <v/>
      </c>
      <c r="AJ198">
        <f>IF(E197&lt;=0,0,ROUND(E197*(1+IF(AND(E$6&gt;0,$B198&lt;E$6),E$4,E$5)/12),2))</f>
        <v/>
      </c>
      <c r="AK198">
        <f>IF(F197&lt;=0,0,ROUND(F197*(1+IF(AND(F$6&gt;0,$B198&lt;F$6),F$4,F$5)/12),2))</f>
        <v/>
      </c>
      <c r="AL198">
        <f>IF(G197&lt;=0,0,ROUND(G197*(1+IF(AND(G$6&gt;0,$B198&lt;G$6),G$4,G$5)/12),2))</f>
        <v/>
      </c>
      <c r="AM198">
        <f>IF(H197&lt;=0,0,ROUND(H197*(1+IF(AND(H$6&gt;0,$B198&lt;H$6),H$4,H$5)/12),2))</f>
        <v/>
      </c>
      <c r="AN198">
        <f>IF(I197&lt;=0,0,ROUND(I197*(1+IF(AND(I$6&gt;0,$B198&lt;I$6),I$4,I$5)/12),2))</f>
        <v/>
      </c>
      <c r="AO198">
        <f>IF(J197&lt;=0,0,ROUND(J197*(1+IF(AND(J$6&gt;0,$B198&lt;J$6),J$4,J$5)/12),2))</f>
        <v/>
      </c>
      <c r="AP198">
        <f>IF(K197&lt;=0,0,ROUND(K197*(1+IF(AND(K$6&gt;0,$B198&lt;K$6),K$4,K$5)/12),2))</f>
        <v/>
      </c>
      <c r="AQ198">
        <f>IF(L197&lt;=0,0,ROUND(L197*(1+IF(AND(L$6&gt;0,$B198&lt;L$6),L$4,L$5)/12),2))</f>
        <v/>
      </c>
      <c r="AR198">
        <f>IF(M197&lt;=0,0,ROUND(M197*(1+IF(AND(M$6&gt;0,$B198&lt;M$6),M$4,M$5)/12),2))</f>
        <v/>
      </c>
      <c r="AS198">
        <f>IF(N197&lt;=0,0,ROUND(N197*(1+IF(AND(N$6&gt;0,$B198&lt;N$6),N$4,N$5)/12),2))</f>
        <v/>
      </c>
    </row>
    <row r="199">
      <c r="A199" t="n">
        <v>188</v>
      </c>
      <c r="B199">
        <f>EDATE(Plan!$C$6,187)</f>
        <v/>
      </c>
      <c r="C199">
        <f>IF(C198&lt;=0,0,MAX(0,AH199-O199))</f>
        <v/>
      </c>
      <c r="D199">
        <f>IF(D198&lt;=0,0,MAX(0,AI199-P199))</f>
        <v/>
      </c>
      <c r="E199">
        <f>IF(E198&lt;=0,0,MAX(0,AJ199-Q199))</f>
        <v/>
      </c>
      <c r="F199">
        <f>IF(F198&lt;=0,0,MAX(0,AK199-R199))</f>
        <v/>
      </c>
      <c r="G199">
        <f>IF(G198&lt;=0,0,MAX(0,AL199-S199))</f>
        <v/>
      </c>
      <c r="H199">
        <f>IF(H198&lt;=0,0,MAX(0,AM199-T199))</f>
        <v/>
      </c>
      <c r="I199">
        <f>IF(I198&lt;=0,0,MAX(0,AN199-U199))</f>
        <v/>
      </c>
      <c r="J199">
        <f>IF(J198&lt;=0,0,MAX(0,AO199-V199))</f>
        <v/>
      </c>
      <c r="K199">
        <f>IF(K198&lt;=0,0,MAX(0,AP199-W199))</f>
        <v/>
      </c>
      <c r="L199">
        <f>IF(L198&lt;=0,0,MAX(0,AQ199-X199))</f>
        <v/>
      </c>
      <c r="M199">
        <f>IF(M198&lt;=0,0,MAX(0,AR199-Y199))</f>
        <v/>
      </c>
      <c r="N199">
        <f>IF(N198&lt;=0,0,MAX(0,AS199-Z199))</f>
        <v/>
      </c>
      <c r="O199">
        <f>IF(C198&lt;=0,0,MIN(AH199,C$7+IF(C$2=$AA199,$AC199,IF(C$2=$AF199,$AG199,0))))</f>
        <v/>
      </c>
      <c r="P199">
        <f>IF(D198&lt;=0,0,MIN(AI199,D$7+IF(D$2=$AA199,$AC199,IF(D$2=$AF199,$AG199,0))))</f>
        <v/>
      </c>
      <c r="Q199">
        <f>IF(E198&lt;=0,0,MIN(AJ199,E$7+IF(E$2=$AA199,$AC199,IF(E$2=$AF199,$AG199,0))))</f>
        <v/>
      </c>
      <c r="R199">
        <f>IF(F198&lt;=0,0,MIN(AK199,F$7+IF(F$2=$AA199,$AC199,IF(F$2=$AF199,$AG199,0))))</f>
        <v/>
      </c>
      <c r="S199">
        <f>IF(G198&lt;=0,0,MIN(AL199,G$7+IF(G$2=$AA199,$AC199,IF(G$2=$AF199,$AG199,0))))</f>
        <v/>
      </c>
      <c r="T199">
        <f>IF(H198&lt;=0,0,MIN(AM199,H$7+IF(H$2=$AA199,$AC199,IF(H$2=$AF199,$AG199,0))))</f>
        <v/>
      </c>
      <c r="U199">
        <f>IF(I198&lt;=0,0,MIN(AN199,I$7+IF(I$2=$AA199,$AC199,IF(I$2=$AF199,$AG199,0))))</f>
        <v/>
      </c>
      <c r="V199">
        <f>IF(J198&lt;=0,0,MIN(AO199,J$7+IF(J$2=$AA199,$AC199,IF(J$2=$AF199,$AG199,0))))</f>
        <v/>
      </c>
      <c r="W199">
        <f>IF(K198&lt;=0,0,MIN(AP199,K$7+IF(K$2=$AA199,$AC199,IF(K$2=$AF199,$AG199,0))))</f>
        <v/>
      </c>
      <c r="X199">
        <f>IF(L198&lt;=0,0,MIN(AQ199,L$7+IF(L$2=$AA199,$AC199,IF(L$2=$AF199,$AG199,0))))</f>
        <v/>
      </c>
      <c r="Y199">
        <f>IF(M198&lt;=0,0,MIN(AR199,M$7+IF(M$2=$AA199,$AC199,IF(M$2=$AF199,$AG199,0))))</f>
        <v/>
      </c>
      <c r="Z199">
        <f>IF(N198&lt;=0,0,MIN(AS199,N$7+IF(N$2=$AA199,$AC199,IF(N$2=$AF199,$AG199,0))))</f>
        <v/>
      </c>
      <c r="AA199">
        <f>IFERROR(ROUND(1/SUMPRODUCT(MAX((C198:N198&gt;0)*($C$3:$N$3&lt;=B199)/$C$2:$N$2)),0),0)</f>
        <v/>
      </c>
      <c r="AB199">
        <f>SUMPRODUCT((C198:N198&gt;0)*$C$7:$N$7)</f>
        <v/>
      </c>
      <c r="AC199">
        <f>MAX(0,Plan!$C$5-AB199)+IF(A199=Plan!$C$8,N(Plan!$C$7),0)</f>
        <v/>
      </c>
      <c r="AD199">
        <f>SUM(C199:N199)</f>
        <v/>
      </c>
      <c r="AE199">
        <f>SUM(O199:Z199)</f>
        <v/>
      </c>
      <c r="AF199">
        <f>IFERROR(ROUND(1/SUMPRODUCT(MAX((C198:N198&gt;0)*($C$3:$N$3&lt;=B199)*($C$2:$N$2&gt;AA199)/$C$2:$N$2)),0),0)</f>
        <v/>
      </c>
      <c r="AG199">
        <f>MAX(0,AC199-MAX(0,SUMPRODUCT(($C$2:$N$2=AA199)*(AH199:AS199-$C$7:$N$7))))</f>
        <v/>
      </c>
      <c r="AH199">
        <f>IF(C198&lt;=0,0,ROUND(C198*(1+IF(AND(C$6&gt;0,$B199&lt;C$6),C$4,C$5)/12),2))</f>
        <v/>
      </c>
      <c r="AI199">
        <f>IF(D198&lt;=0,0,ROUND(D198*(1+IF(AND(D$6&gt;0,$B199&lt;D$6),D$4,D$5)/12),2))</f>
        <v/>
      </c>
      <c r="AJ199">
        <f>IF(E198&lt;=0,0,ROUND(E198*(1+IF(AND(E$6&gt;0,$B199&lt;E$6),E$4,E$5)/12),2))</f>
        <v/>
      </c>
      <c r="AK199">
        <f>IF(F198&lt;=0,0,ROUND(F198*(1+IF(AND(F$6&gt;0,$B199&lt;F$6),F$4,F$5)/12),2))</f>
        <v/>
      </c>
      <c r="AL199">
        <f>IF(G198&lt;=0,0,ROUND(G198*(1+IF(AND(G$6&gt;0,$B199&lt;G$6),G$4,G$5)/12),2))</f>
        <v/>
      </c>
      <c r="AM199">
        <f>IF(H198&lt;=0,0,ROUND(H198*(1+IF(AND(H$6&gt;0,$B199&lt;H$6),H$4,H$5)/12),2))</f>
        <v/>
      </c>
      <c r="AN199">
        <f>IF(I198&lt;=0,0,ROUND(I198*(1+IF(AND(I$6&gt;0,$B199&lt;I$6),I$4,I$5)/12),2))</f>
        <v/>
      </c>
      <c r="AO199">
        <f>IF(J198&lt;=0,0,ROUND(J198*(1+IF(AND(J$6&gt;0,$B199&lt;J$6),J$4,J$5)/12),2))</f>
        <v/>
      </c>
      <c r="AP199">
        <f>IF(K198&lt;=0,0,ROUND(K198*(1+IF(AND(K$6&gt;0,$B199&lt;K$6),K$4,K$5)/12),2))</f>
        <v/>
      </c>
      <c r="AQ199">
        <f>IF(L198&lt;=0,0,ROUND(L198*(1+IF(AND(L$6&gt;0,$B199&lt;L$6),L$4,L$5)/12),2))</f>
        <v/>
      </c>
      <c r="AR199">
        <f>IF(M198&lt;=0,0,ROUND(M198*(1+IF(AND(M$6&gt;0,$B199&lt;M$6),M$4,M$5)/12),2))</f>
        <v/>
      </c>
      <c r="AS199">
        <f>IF(N198&lt;=0,0,ROUND(N198*(1+IF(AND(N$6&gt;0,$B199&lt;N$6),N$4,N$5)/12),2))</f>
        <v/>
      </c>
    </row>
    <row r="200">
      <c r="A200" t="n">
        <v>189</v>
      </c>
      <c r="B200">
        <f>EDATE(Plan!$C$6,188)</f>
        <v/>
      </c>
      <c r="C200">
        <f>IF(C199&lt;=0,0,MAX(0,AH200-O200))</f>
        <v/>
      </c>
      <c r="D200">
        <f>IF(D199&lt;=0,0,MAX(0,AI200-P200))</f>
        <v/>
      </c>
      <c r="E200">
        <f>IF(E199&lt;=0,0,MAX(0,AJ200-Q200))</f>
        <v/>
      </c>
      <c r="F200">
        <f>IF(F199&lt;=0,0,MAX(0,AK200-R200))</f>
        <v/>
      </c>
      <c r="G200">
        <f>IF(G199&lt;=0,0,MAX(0,AL200-S200))</f>
        <v/>
      </c>
      <c r="H200">
        <f>IF(H199&lt;=0,0,MAX(0,AM200-T200))</f>
        <v/>
      </c>
      <c r="I200">
        <f>IF(I199&lt;=0,0,MAX(0,AN200-U200))</f>
        <v/>
      </c>
      <c r="J200">
        <f>IF(J199&lt;=0,0,MAX(0,AO200-V200))</f>
        <v/>
      </c>
      <c r="K200">
        <f>IF(K199&lt;=0,0,MAX(0,AP200-W200))</f>
        <v/>
      </c>
      <c r="L200">
        <f>IF(L199&lt;=0,0,MAX(0,AQ200-X200))</f>
        <v/>
      </c>
      <c r="M200">
        <f>IF(M199&lt;=0,0,MAX(0,AR200-Y200))</f>
        <v/>
      </c>
      <c r="N200">
        <f>IF(N199&lt;=0,0,MAX(0,AS200-Z200))</f>
        <v/>
      </c>
      <c r="O200">
        <f>IF(C199&lt;=0,0,MIN(AH200,C$7+IF(C$2=$AA200,$AC200,IF(C$2=$AF200,$AG200,0))))</f>
        <v/>
      </c>
      <c r="P200">
        <f>IF(D199&lt;=0,0,MIN(AI200,D$7+IF(D$2=$AA200,$AC200,IF(D$2=$AF200,$AG200,0))))</f>
        <v/>
      </c>
      <c r="Q200">
        <f>IF(E199&lt;=0,0,MIN(AJ200,E$7+IF(E$2=$AA200,$AC200,IF(E$2=$AF200,$AG200,0))))</f>
        <v/>
      </c>
      <c r="R200">
        <f>IF(F199&lt;=0,0,MIN(AK200,F$7+IF(F$2=$AA200,$AC200,IF(F$2=$AF200,$AG200,0))))</f>
        <v/>
      </c>
      <c r="S200">
        <f>IF(G199&lt;=0,0,MIN(AL200,G$7+IF(G$2=$AA200,$AC200,IF(G$2=$AF200,$AG200,0))))</f>
        <v/>
      </c>
      <c r="T200">
        <f>IF(H199&lt;=0,0,MIN(AM200,H$7+IF(H$2=$AA200,$AC200,IF(H$2=$AF200,$AG200,0))))</f>
        <v/>
      </c>
      <c r="U200">
        <f>IF(I199&lt;=0,0,MIN(AN200,I$7+IF(I$2=$AA200,$AC200,IF(I$2=$AF200,$AG200,0))))</f>
        <v/>
      </c>
      <c r="V200">
        <f>IF(J199&lt;=0,0,MIN(AO200,J$7+IF(J$2=$AA200,$AC200,IF(J$2=$AF200,$AG200,0))))</f>
        <v/>
      </c>
      <c r="W200">
        <f>IF(K199&lt;=0,0,MIN(AP200,K$7+IF(K$2=$AA200,$AC200,IF(K$2=$AF200,$AG200,0))))</f>
        <v/>
      </c>
      <c r="X200">
        <f>IF(L199&lt;=0,0,MIN(AQ200,L$7+IF(L$2=$AA200,$AC200,IF(L$2=$AF200,$AG200,0))))</f>
        <v/>
      </c>
      <c r="Y200">
        <f>IF(M199&lt;=0,0,MIN(AR200,M$7+IF(M$2=$AA200,$AC200,IF(M$2=$AF200,$AG200,0))))</f>
        <v/>
      </c>
      <c r="Z200">
        <f>IF(N199&lt;=0,0,MIN(AS200,N$7+IF(N$2=$AA200,$AC200,IF(N$2=$AF200,$AG200,0))))</f>
        <v/>
      </c>
      <c r="AA200">
        <f>IFERROR(ROUND(1/SUMPRODUCT(MAX((C199:N199&gt;0)*($C$3:$N$3&lt;=B200)/$C$2:$N$2)),0),0)</f>
        <v/>
      </c>
      <c r="AB200">
        <f>SUMPRODUCT((C199:N199&gt;0)*$C$7:$N$7)</f>
        <v/>
      </c>
      <c r="AC200">
        <f>MAX(0,Plan!$C$5-AB200)+IF(A200=Plan!$C$8,N(Plan!$C$7),0)</f>
        <v/>
      </c>
      <c r="AD200">
        <f>SUM(C200:N200)</f>
        <v/>
      </c>
      <c r="AE200">
        <f>SUM(O200:Z200)</f>
        <v/>
      </c>
      <c r="AF200">
        <f>IFERROR(ROUND(1/SUMPRODUCT(MAX((C199:N199&gt;0)*($C$3:$N$3&lt;=B200)*($C$2:$N$2&gt;AA200)/$C$2:$N$2)),0),0)</f>
        <v/>
      </c>
      <c r="AG200">
        <f>MAX(0,AC200-MAX(0,SUMPRODUCT(($C$2:$N$2=AA200)*(AH200:AS200-$C$7:$N$7))))</f>
        <v/>
      </c>
      <c r="AH200">
        <f>IF(C199&lt;=0,0,ROUND(C199*(1+IF(AND(C$6&gt;0,$B200&lt;C$6),C$4,C$5)/12),2))</f>
        <v/>
      </c>
      <c r="AI200">
        <f>IF(D199&lt;=0,0,ROUND(D199*(1+IF(AND(D$6&gt;0,$B200&lt;D$6),D$4,D$5)/12),2))</f>
        <v/>
      </c>
      <c r="AJ200">
        <f>IF(E199&lt;=0,0,ROUND(E199*(1+IF(AND(E$6&gt;0,$B200&lt;E$6),E$4,E$5)/12),2))</f>
        <v/>
      </c>
      <c r="AK200">
        <f>IF(F199&lt;=0,0,ROUND(F199*(1+IF(AND(F$6&gt;0,$B200&lt;F$6),F$4,F$5)/12),2))</f>
        <v/>
      </c>
      <c r="AL200">
        <f>IF(G199&lt;=0,0,ROUND(G199*(1+IF(AND(G$6&gt;0,$B200&lt;G$6),G$4,G$5)/12),2))</f>
        <v/>
      </c>
      <c r="AM200">
        <f>IF(H199&lt;=0,0,ROUND(H199*(1+IF(AND(H$6&gt;0,$B200&lt;H$6),H$4,H$5)/12),2))</f>
        <v/>
      </c>
      <c r="AN200">
        <f>IF(I199&lt;=0,0,ROUND(I199*(1+IF(AND(I$6&gt;0,$B200&lt;I$6),I$4,I$5)/12),2))</f>
        <v/>
      </c>
      <c r="AO200">
        <f>IF(J199&lt;=0,0,ROUND(J199*(1+IF(AND(J$6&gt;0,$B200&lt;J$6),J$4,J$5)/12),2))</f>
        <v/>
      </c>
      <c r="AP200">
        <f>IF(K199&lt;=0,0,ROUND(K199*(1+IF(AND(K$6&gt;0,$B200&lt;K$6),K$4,K$5)/12),2))</f>
        <v/>
      </c>
      <c r="AQ200">
        <f>IF(L199&lt;=0,0,ROUND(L199*(1+IF(AND(L$6&gt;0,$B200&lt;L$6),L$4,L$5)/12),2))</f>
        <v/>
      </c>
      <c r="AR200">
        <f>IF(M199&lt;=0,0,ROUND(M199*(1+IF(AND(M$6&gt;0,$B200&lt;M$6),M$4,M$5)/12),2))</f>
        <v/>
      </c>
      <c r="AS200">
        <f>IF(N199&lt;=0,0,ROUND(N199*(1+IF(AND(N$6&gt;0,$B200&lt;N$6),N$4,N$5)/12),2))</f>
        <v/>
      </c>
    </row>
    <row r="201">
      <c r="A201" t="n">
        <v>190</v>
      </c>
      <c r="B201">
        <f>EDATE(Plan!$C$6,189)</f>
        <v/>
      </c>
      <c r="C201">
        <f>IF(C200&lt;=0,0,MAX(0,AH201-O201))</f>
        <v/>
      </c>
      <c r="D201">
        <f>IF(D200&lt;=0,0,MAX(0,AI201-P201))</f>
        <v/>
      </c>
      <c r="E201">
        <f>IF(E200&lt;=0,0,MAX(0,AJ201-Q201))</f>
        <v/>
      </c>
      <c r="F201">
        <f>IF(F200&lt;=0,0,MAX(0,AK201-R201))</f>
        <v/>
      </c>
      <c r="G201">
        <f>IF(G200&lt;=0,0,MAX(0,AL201-S201))</f>
        <v/>
      </c>
      <c r="H201">
        <f>IF(H200&lt;=0,0,MAX(0,AM201-T201))</f>
        <v/>
      </c>
      <c r="I201">
        <f>IF(I200&lt;=0,0,MAX(0,AN201-U201))</f>
        <v/>
      </c>
      <c r="J201">
        <f>IF(J200&lt;=0,0,MAX(0,AO201-V201))</f>
        <v/>
      </c>
      <c r="K201">
        <f>IF(K200&lt;=0,0,MAX(0,AP201-W201))</f>
        <v/>
      </c>
      <c r="L201">
        <f>IF(L200&lt;=0,0,MAX(0,AQ201-X201))</f>
        <v/>
      </c>
      <c r="M201">
        <f>IF(M200&lt;=0,0,MAX(0,AR201-Y201))</f>
        <v/>
      </c>
      <c r="N201">
        <f>IF(N200&lt;=0,0,MAX(0,AS201-Z201))</f>
        <v/>
      </c>
      <c r="O201">
        <f>IF(C200&lt;=0,0,MIN(AH201,C$7+IF(C$2=$AA201,$AC201,IF(C$2=$AF201,$AG201,0))))</f>
        <v/>
      </c>
      <c r="P201">
        <f>IF(D200&lt;=0,0,MIN(AI201,D$7+IF(D$2=$AA201,$AC201,IF(D$2=$AF201,$AG201,0))))</f>
        <v/>
      </c>
      <c r="Q201">
        <f>IF(E200&lt;=0,0,MIN(AJ201,E$7+IF(E$2=$AA201,$AC201,IF(E$2=$AF201,$AG201,0))))</f>
        <v/>
      </c>
      <c r="R201">
        <f>IF(F200&lt;=0,0,MIN(AK201,F$7+IF(F$2=$AA201,$AC201,IF(F$2=$AF201,$AG201,0))))</f>
        <v/>
      </c>
      <c r="S201">
        <f>IF(G200&lt;=0,0,MIN(AL201,G$7+IF(G$2=$AA201,$AC201,IF(G$2=$AF201,$AG201,0))))</f>
        <v/>
      </c>
      <c r="T201">
        <f>IF(H200&lt;=0,0,MIN(AM201,H$7+IF(H$2=$AA201,$AC201,IF(H$2=$AF201,$AG201,0))))</f>
        <v/>
      </c>
      <c r="U201">
        <f>IF(I200&lt;=0,0,MIN(AN201,I$7+IF(I$2=$AA201,$AC201,IF(I$2=$AF201,$AG201,0))))</f>
        <v/>
      </c>
      <c r="V201">
        <f>IF(J200&lt;=0,0,MIN(AO201,J$7+IF(J$2=$AA201,$AC201,IF(J$2=$AF201,$AG201,0))))</f>
        <v/>
      </c>
      <c r="W201">
        <f>IF(K200&lt;=0,0,MIN(AP201,K$7+IF(K$2=$AA201,$AC201,IF(K$2=$AF201,$AG201,0))))</f>
        <v/>
      </c>
      <c r="X201">
        <f>IF(L200&lt;=0,0,MIN(AQ201,L$7+IF(L$2=$AA201,$AC201,IF(L$2=$AF201,$AG201,0))))</f>
        <v/>
      </c>
      <c r="Y201">
        <f>IF(M200&lt;=0,0,MIN(AR201,M$7+IF(M$2=$AA201,$AC201,IF(M$2=$AF201,$AG201,0))))</f>
        <v/>
      </c>
      <c r="Z201">
        <f>IF(N200&lt;=0,0,MIN(AS201,N$7+IF(N$2=$AA201,$AC201,IF(N$2=$AF201,$AG201,0))))</f>
        <v/>
      </c>
      <c r="AA201">
        <f>IFERROR(ROUND(1/SUMPRODUCT(MAX((C200:N200&gt;0)*($C$3:$N$3&lt;=B201)/$C$2:$N$2)),0),0)</f>
        <v/>
      </c>
      <c r="AB201">
        <f>SUMPRODUCT((C200:N200&gt;0)*$C$7:$N$7)</f>
        <v/>
      </c>
      <c r="AC201">
        <f>MAX(0,Plan!$C$5-AB201)+IF(A201=Plan!$C$8,N(Plan!$C$7),0)</f>
        <v/>
      </c>
      <c r="AD201">
        <f>SUM(C201:N201)</f>
        <v/>
      </c>
      <c r="AE201">
        <f>SUM(O201:Z201)</f>
        <v/>
      </c>
      <c r="AF201">
        <f>IFERROR(ROUND(1/SUMPRODUCT(MAX((C200:N200&gt;0)*($C$3:$N$3&lt;=B201)*($C$2:$N$2&gt;AA201)/$C$2:$N$2)),0),0)</f>
        <v/>
      </c>
      <c r="AG201">
        <f>MAX(0,AC201-MAX(0,SUMPRODUCT(($C$2:$N$2=AA201)*(AH201:AS201-$C$7:$N$7))))</f>
        <v/>
      </c>
      <c r="AH201">
        <f>IF(C200&lt;=0,0,ROUND(C200*(1+IF(AND(C$6&gt;0,$B201&lt;C$6),C$4,C$5)/12),2))</f>
        <v/>
      </c>
      <c r="AI201">
        <f>IF(D200&lt;=0,0,ROUND(D200*(1+IF(AND(D$6&gt;0,$B201&lt;D$6),D$4,D$5)/12),2))</f>
        <v/>
      </c>
      <c r="AJ201">
        <f>IF(E200&lt;=0,0,ROUND(E200*(1+IF(AND(E$6&gt;0,$B201&lt;E$6),E$4,E$5)/12),2))</f>
        <v/>
      </c>
      <c r="AK201">
        <f>IF(F200&lt;=0,0,ROUND(F200*(1+IF(AND(F$6&gt;0,$B201&lt;F$6),F$4,F$5)/12),2))</f>
        <v/>
      </c>
      <c r="AL201">
        <f>IF(G200&lt;=0,0,ROUND(G200*(1+IF(AND(G$6&gt;0,$B201&lt;G$6),G$4,G$5)/12),2))</f>
        <v/>
      </c>
      <c r="AM201">
        <f>IF(H200&lt;=0,0,ROUND(H200*(1+IF(AND(H$6&gt;0,$B201&lt;H$6),H$4,H$5)/12),2))</f>
        <v/>
      </c>
      <c r="AN201">
        <f>IF(I200&lt;=0,0,ROUND(I200*(1+IF(AND(I$6&gt;0,$B201&lt;I$6),I$4,I$5)/12),2))</f>
        <v/>
      </c>
      <c r="AO201">
        <f>IF(J200&lt;=0,0,ROUND(J200*(1+IF(AND(J$6&gt;0,$B201&lt;J$6),J$4,J$5)/12),2))</f>
        <v/>
      </c>
      <c r="AP201">
        <f>IF(K200&lt;=0,0,ROUND(K200*(1+IF(AND(K$6&gt;0,$B201&lt;K$6),K$4,K$5)/12),2))</f>
        <v/>
      </c>
      <c r="AQ201">
        <f>IF(L200&lt;=0,0,ROUND(L200*(1+IF(AND(L$6&gt;0,$B201&lt;L$6),L$4,L$5)/12),2))</f>
        <v/>
      </c>
      <c r="AR201">
        <f>IF(M200&lt;=0,0,ROUND(M200*(1+IF(AND(M$6&gt;0,$B201&lt;M$6),M$4,M$5)/12),2))</f>
        <v/>
      </c>
      <c r="AS201">
        <f>IF(N200&lt;=0,0,ROUND(N200*(1+IF(AND(N$6&gt;0,$B201&lt;N$6),N$4,N$5)/12),2))</f>
        <v/>
      </c>
    </row>
    <row r="202">
      <c r="A202" t="n">
        <v>191</v>
      </c>
      <c r="B202">
        <f>EDATE(Plan!$C$6,190)</f>
        <v/>
      </c>
      <c r="C202">
        <f>IF(C201&lt;=0,0,MAX(0,AH202-O202))</f>
        <v/>
      </c>
      <c r="D202">
        <f>IF(D201&lt;=0,0,MAX(0,AI202-P202))</f>
        <v/>
      </c>
      <c r="E202">
        <f>IF(E201&lt;=0,0,MAX(0,AJ202-Q202))</f>
        <v/>
      </c>
      <c r="F202">
        <f>IF(F201&lt;=0,0,MAX(0,AK202-R202))</f>
        <v/>
      </c>
      <c r="G202">
        <f>IF(G201&lt;=0,0,MAX(0,AL202-S202))</f>
        <v/>
      </c>
      <c r="H202">
        <f>IF(H201&lt;=0,0,MAX(0,AM202-T202))</f>
        <v/>
      </c>
      <c r="I202">
        <f>IF(I201&lt;=0,0,MAX(0,AN202-U202))</f>
        <v/>
      </c>
      <c r="J202">
        <f>IF(J201&lt;=0,0,MAX(0,AO202-V202))</f>
        <v/>
      </c>
      <c r="K202">
        <f>IF(K201&lt;=0,0,MAX(0,AP202-W202))</f>
        <v/>
      </c>
      <c r="L202">
        <f>IF(L201&lt;=0,0,MAX(0,AQ202-X202))</f>
        <v/>
      </c>
      <c r="M202">
        <f>IF(M201&lt;=0,0,MAX(0,AR202-Y202))</f>
        <v/>
      </c>
      <c r="N202">
        <f>IF(N201&lt;=0,0,MAX(0,AS202-Z202))</f>
        <v/>
      </c>
      <c r="O202">
        <f>IF(C201&lt;=0,0,MIN(AH202,C$7+IF(C$2=$AA202,$AC202,IF(C$2=$AF202,$AG202,0))))</f>
        <v/>
      </c>
      <c r="P202">
        <f>IF(D201&lt;=0,0,MIN(AI202,D$7+IF(D$2=$AA202,$AC202,IF(D$2=$AF202,$AG202,0))))</f>
        <v/>
      </c>
      <c r="Q202">
        <f>IF(E201&lt;=0,0,MIN(AJ202,E$7+IF(E$2=$AA202,$AC202,IF(E$2=$AF202,$AG202,0))))</f>
        <v/>
      </c>
      <c r="R202">
        <f>IF(F201&lt;=0,0,MIN(AK202,F$7+IF(F$2=$AA202,$AC202,IF(F$2=$AF202,$AG202,0))))</f>
        <v/>
      </c>
      <c r="S202">
        <f>IF(G201&lt;=0,0,MIN(AL202,G$7+IF(G$2=$AA202,$AC202,IF(G$2=$AF202,$AG202,0))))</f>
        <v/>
      </c>
      <c r="T202">
        <f>IF(H201&lt;=0,0,MIN(AM202,H$7+IF(H$2=$AA202,$AC202,IF(H$2=$AF202,$AG202,0))))</f>
        <v/>
      </c>
      <c r="U202">
        <f>IF(I201&lt;=0,0,MIN(AN202,I$7+IF(I$2=$AA202,$AC202,IF(I$2=$AF202,$AG202,0))))</f>
        <v/>
      </c>
      <c r="V202">
        <f>IF(J201&lt;=0,0,MIN(AO202,J$7+IF(J$2=$AA202,$AC202,IF(J$2=$AF202,$AG202,0))))</f>
        <v/>
      </c>
      <c r="W202">
        <f>IF(K201&lt;=0,0,MIN(AP202,K$7+IF(K$2=$AA202,$AC202,IF(K$2=$AF202,$AG202,0))))</f>
        <v/>
      </c>
      <c r="X202">
        <f>IF(L201&lt;=0,0,MIN(AQ202,L$7+IF(L$2=$AA202,$AC202,IF(L$2=$AF202,$AG202,0))))</f>
        <v/>
      </c>
      <c r="Y202">
        <f>IF(M201&lt;=0,0,MIN(AR202,M$7+IF(M$2=$AA202,$AC202,IF(M$2=$AF202,$AG202,0))))</f>
        <v/>
      </c>
      <c r="Z202">
        <f>IF(N201&lt;=0,0,MIN(AS202,N$7+IF(N$2=$AA202,$AC202,IF(N$2=$AF202,$AG202,0))))</f>
        <v/>
      </c>
      <c r="AA202">
        <f>IFERROR(ROUND(1/SUMPRODUCT(MAX((C201:N201&gt;0)*($C$3:$N$3&lt;=B202)/$C$2:$N$2)),0),0)</f>
        <v/>
      </c>
      <c r="AB202">
        <f>SUMPRODUCT((C201:N201&gt;0)*$C$7:$N$7)</f>
        <v/>
      </c>
      <c r="AC202">
        <f>MAX(0,Plan!$C$5-AB202)+IF(A202=Plan!$C$8,N(Plan!$C$7),0)</f>
        <v/>
      </c>
      <c r="AD202">
        <f>SUM(C202:N202)</f>
        <v/>
      </c>
      <c r="AE202">
        <f>SUM(O202:Z202)</f>
        <v/>
      </c>
      <c r="AF202">
        <f>IFERROR(ROUND(1/SUMPRODUCT(MAX((C201:N201&gt;0)*($C$3:$N$3&lt;=B202)*($C$2:$N$2&gt;AA202)/$C$2:$N$2)),0),0)</f>
        <v/>
      </c>
      <c r="AG202">
        <f>MAX(0,AC202-MAX(0,SUMPRODUCT(($C$2:$N$2=AA202)*(AH202:AS202-$C$7:$N$7))))</f>
        <v/>
      </c>
      <c r="AH202">
        <f>IF(C201&lt;=0,0,ROUND(C201*(1+IF(AND(C$6&gt;0,$B202&lt;C$6),C$4,C$5)/12),2))</f>
        <v/>
      </c>
      <c r="AI202">
        <f>IF(D201&lt;=0,0,ROUND(D201*(1+IF(AND(D$6&gt;0,$B202&lt;D$6),D$4,D$5)/12),2))</f>
        <v/>
      </c>
      <c r="AJ202">
        <f>IF(E201&lt;=0,0,ROUND(E201*(1+IF(AND(E$6&gt;0,$B202&lt;E$6),E$4,E$5)/12),2))</f>
        <v/>
      </c>
      <c r="AK202">
        <f>IF(F201&lt;=0,0,ROUND(F201*(1+IF(AND(F$6&gt;0,$B202&lt;F$6),F$4,F$5)/12),2))</f>
        <v/>
      </c>
      <c r="AL202">
        <f>IF(G201&lt;=0,0,ROUND(G201*(1+IF(AND(G$6&gt;0,$B202&lt;G$6),G$4,G$5)/12),2))</f>
        <v/>
      </c>
      <c r="AM202">
        <f>IF(H201&lt;=0,0,ROUND(H201*(1+IF(AND(H$6&gt;0,$B202&lt;H$6),H$4,H$5)/12),2))</f>
        <v/>
      </c>
      <c r="AN202">
        <f>IF(I201&lt;=0,0,ROUND(I201*(1+IF(AND(I$6&gt;0,$B202&lt;I$6),I$4,I$5)/12),2))</f>
        <v/>
      </c>
      <c r="AO202">
        <f>IF(J201&lt;=0,0,ROUND(J201*(1+IF(AND(J$6&gt;0,$B202&lt;J$6),J$4,J$5)/12),2))</f>
        <v/>
      </c>
      <c r="AP202">
        <f>IF(K201&lt;=0,0,ROUND(K201*(1+IF(AND(K$6&gt;0,$B202&lt;K$6),K$4,K$5)/12),2))</f>
        <v/>
      </c>
      <c r="AQ202">
        <f>IF(L201&lt;=0,0,ROUND(L201*(1+IF(AND(L$6&gt;0,$B202&lt;L$6),L$4,L$5)/12),2))</f>
        <v/>
      </c>
      <c r="AR202">
        <f>IF(M201&lt;=0,0,ROUND(M201*(1+IF(AND(M$6&gt;0,$B202&lt;M$6),M$4,M$5)/12),2))</f>
        <v/>
      </c>
      <c r="AS202">
        <f>IF(N201&lt;=0,0,ROUND(N201*(1+IF(AND(N$6&gt;0,$B202&lt;N$6),N$4,N$5)/12),2))</f>
        <v/>
      </c>
    </row>
    <row r="203">
      <c r="A203" t="n">
        <v>192</v>
      </c>
      <c r="B203">
        <f>EDATE(Plan!$C$6,191)</f>
        <v/>
      </c>
      <c r="C203">
        <f>IF(C202&lt;=0,0,MAX(0,AH203-O203))</f>
        <v/>
      </c>
      <c r="D203">
        <f>IF(D202&lt;=0,0,MAX(0,AI203-P203))</f>
        <v/>
      </c>
      <c r="E203">
        <f>IF(E202&lt;=0,0,MAX(0,AJ203-Q203))</f>
        <v/>
      </c>
      <c r="F203">
        <f>IF(F202&lt;=0,0,MAX(0,AK203-R203))</f>
        <v/>
      </c>
      <c r="G203">
        <f>IF(G202&lt;=0,0,MAX(0,AL203-S203))</f>
        <v/>
      </c>
      <c r="H203">
        <f>IF(H202&lt;=0,0,MAX(0,AM203-T203))</f>
        <v/>
      </c>
      <c r="I203">
        <f>IF(I202&lt;=0,0,MAX(0,AN203-U203))</f>
        <v/>
      </c>
      <c r="J203">
        <f>IF(J202&lt;=0,0,MAX(0,AO203-V203))</f>
        <v/>
      </c>
      <c r="K203">
        <f>IF(K202&lt;=0,0,MAX(0,AP203-W203))</f>
        <v/>
      </c>
      <c r="L203">
        <f>IF(L202&lt;=0,0,MAX(0,AQ203-X203))</f>
        <v/>
      </c>
      <c r="M203">
        <f>IF(M202&lt;=0,0,MAX(0,AR203-Y203))</f>
        <v/>
      </c>
      <c r="N203">
        <f>IF(N202&lt;=0,0,MAX(0,AS203-Z203))</f>
        <v/>
      </c>
      <c r="O203">
        <f>IF(C202&lt;=0,0,MIN(AH203,C$7+IF(C$2=$AA203,$AC203,IF(C$2=$AF203,$AG203,0))))</f>
        <v/>
      </c>
      <c r="P203">
        <f>IF(D202&lt;=0,0,MIN(AI203,D$7+IF(D$2=$AA203,$AC203,IF(D$2=$AF203,$AG203,0))))</f>
        <v/>
      </c>
      <c r="Q203">
        <f>IF(E202&lt;=0,0,MIN(AJ203,E$7+IF(E$2=$AA203,$AC203,IF(E$2=$AF203,$AG203,0))))</f>
        <v/>
      </c>
      <c r="R203">
        <f>IF(F202&lt;=0,0,MIN(AK203,F$7+IF(F$2=$AA203,$AC203,IF(F$2=$AF203,$AG203,0))))</f>
        <v/>
      </c>
      <c r="S203">
        <f>IF(G202&lt;=0,0,MIN(AL203,G$7+IF(G$2=$AA203,$AC203,IF(G$2=$AF203,$AG203,0))))</f>
        <v/>
      </c>
      <c r="T203">
        <f>IF(H202&lt;=0,0,MIN(AM203,H$7+IF(H$2=$AA203,$AC203,IF(H$2=$AF203,$AG203,0))))</f>
        <v/>
      </c>
      <c r="U203">
        <f>IF(I202&lt;=0,0,MIN(AN203,I$7+IF(I$2=$AA203,$AC203,IF(I$2=$AF203,$AG203,0))))</f>
        <v/>
      </c>
      <c r="V203">
        <f>IF(J202&lt;=0,0,MIN(AO203,J$7+IF(J$2=$AA203,$AC203,IF(J$2=$AF203,$AG203,0))))</f>
        <v/>
      </c>
      <c r="W203">
        <f>IF(K202&lt;=0,0,MIN(AP203,K$7+IF(K$2=$AA203,$AC203,IF(K$2=$AF203,$AG203,0))))</f>
        <v/>
      </c>
      <c r="X203">
        <f>IF(L202&lt;=0,0,MIN(AQ203,L$7+IF(L$2=$AA203,$AC203,IF(L$2=$AF203,$AG203,0))))</f>
        <v/>
      </c>
      <c r="Y203">
        <f>IF(M202&lt;=0,0,MIN(AR203,M$7+IF(M$2=$AA203,$AC203,IF(M$2=$AF203,$AG203,0))))</f>
        <v/>
      </c>
      <c r="Z203">
        <f>IF(N202&lt;=0,0,MIN(AS203,N$7+IF(N$2=$AA203,$AC203,IF(N$2=$AF203,$AG203,0))))</f>
        <v/>
      </c>
      <c r="AA203">
        <f>IFERROR(ROUND(1/SUMPRODUCT(MAX((C202:N202&gt;0)*($C$3:$N$3&lt;=B203)/$C$2:$N$2)),0),0)</f>
        <v/>
      </c>
      <c r="AB203">
        <f>SUMPRODUCT((C202:N202&gt;0)*$C$7:$N$7)</f>
        <v/>
      </c>
      <c r="AC203">
        <f>MAX(0,Plan!$C$5-AB203)+IF(A203=Plan!$C$8,N(Plan!$C$7),0)</f>
        <v/>
      </c>
      <c r="AD203">
        <f>SUM(C203:N203)</f>
        <v/>
      </c>
      <c r="AE203">
        <f>SUM(O203:Z203)</f>
        <v/>
      </c>
      <c r="AF203">
        <f>IFERROR(ROUND(1/SUMPRODUCT(MAX((C202:N202&gt;0)*($C$3:$N$3&lt;=B203)*($C$2:$N$2&gt;AA203)/$C$2:$N$2)),0),0)</f>
        <v/>
      </c>
      <c r="AG203">
        <f>MAX(0,AC203-MAX(0,SUMPRODUCT(($C$2:$N$2=AA203)*(AH203:AS203-$C$7:$N$7))))</f>
        <v/>
      </c>
      <c r="AH203">
        <f>IF(C202&lt;=0,0,ROUND(C202*(1+IF(AND(C$6&gt;0,$B203&lt;C$6),C$4,C$5)/12),2))</f>
        <v/>
      </c>
      <c r="AI203">
        <f>IF(D202&lt;=0,0,ROUND(D202*(1+IF(AND(D$6&gt;0,$B203&lt;D$6),D$4,D$5)/12),2))</f>
        <v/>
      </c>
      <c r="AJ203">
        <f>IF(E202&lt;=0,0,ROUND(E202*(1+IF(AND(E$6&gt;0,$B203&lt;E$6),E$4,E$5)/12),2))</f>
        <v/>
      </c>
      <c r="AK203">
        <f>IF(F202&lt;=0,0,ROUND(F202*(1+IF(AND(F$6&gt;0,$B203&lt;F$6),F$4,F$5)/12),2))</f>
        <v/>
      </c>
      <c r="AL203">
        <f>IF(G202&lt;=0,0,ROUND(G202*(1+IF(AND(G$6&gt;0,$B203&lt;G$6),G$4,G$5)/12),2))</f>
        <v/>
      </c>
      <c r="AM203">
        <f>IF(H202&lt;=0,0,ROUND(H202*(1+IF(AND(H$6&gt;0,$B203&lt;H$6),H$4,H$5)/12),2))</f>
        <v/>
      </c>
      <c r="AN203">
        <f>IF(I202&lt;=0,0,ROUND(I202*(1+IF(AND(I$6&gt;0,$B203&lt;I$6),I$4,I$5)/12),2))</f>
        <v/>
      </c>
      <c r="AO203">
        <f>IF(J202&lt;=0,0,ROUND(J202*(1+IF(AND(J$6&gt;0,$B203&lt;J$6),J$4,J$5)/12),2))</f>
        <v/>
      </c>
      <c r="AP203">
        <f>IF(K202&lt;=0,0,ROUND(K202*(1+IF(AND(K$6&gt;0,$B203&lt;K$6),K$4,K$5)/12),2))</f>
        <v/>
      </c>
      <c r="AQ203">
        <f>IF(L202&lt;=0,0,ROUND(L202*(1+IF(AND(L$6&gt;0,$B203&lt;L$6),L$4,L$5)/12),2))</f>
        <v/>
      </c>
      <c r="AR203">
        <f>IF(M202&lt;=0,0,ROUND(M202*(1+IF(AND(M$6&gt;0,$B203&lt;M$6),M$4,M$5)/12),2))</f>
        <v/>
      </c>
      <c r="AS203">
        <f>IF(N202&lt;=0,0,ROUND(N202*(1+IF(AND(N$6&gt;0,$B203&lt;N$6),N$4,N$5)/12),2))</f>
        <v/>
      </c>
    </row>
    <row r="204">
      <c r="A204" t="n">
        <v>193</v>
      </c>
      <c r="B204">
        <f>EDATE(Plan!$C$6,192)</f>
        <v/>
      </c>
      <c r="C204">
        <f>IF(C203&lt;=0,0,MAX(0,AH204-O204))</f>
        <v/>
      </c>
      <c r="D204">
        <f>IF(D203&lt;=0,0,MAX(0,AI204-P204))</f>
        <v/>
      </c>
      <c r="E204">
        <f>IF(E203&lt;=0,0,MAX(0,AJ204-Q204))</f>
        <v/>
      </c>
      <c r="F204">
        <f>IF(F203&lt;=0,0,MAX(0,AK204-R204))</f>
        <v/>
      </c>
      <c r="G204">
        <f>IF(G203&lt;=0,0,MAX(0,AL204-S204))</f>
        <v/>
      </c>
      <c r="H204">
        <f>IF(H203&lt;=0,0,MAX(0,AM204-T204))</f>
        <v/>
      </c>
      <c r="I204">
        <f>IF(I203&lt;=0,0,MAX(0,AN204-U204))</f>
        <v/>
      </c>
      <c r="J204">
        <f>IF(J203&lt;=0,0,MAX(0,AO204-V204))</f>
        <v/>
      </c>
      <c r="K204">
        <f>IF(K203&lt;=0,0,MAX(0,AP204-W204))</f>
        <v/>
      </c>
      <c r="L204">
        <f>IF(L203&lt;=0,0,MAX(0,AQ204-X204))</f>
        <v/>
      </c>
      <c r="M204">
        <f>IF(M203&lt;=0,0,MAX(0,AR204-Y204))</f>
        <v/>
      </c>
      <c r="N204">
        <f>IF(N203&lt;=0,0,MAX(0,AS204-Z204))</f>
        <v/>
      </c>
      <c r="O204">
        <f>IF(C203&lt;=0,0,MIN(AH204,C$7+IF(C$2=$AA204,$AC204,IF(C$2=$AF204,$AG204,0))))</f>
        <v/>
      </c>
      <c r="P204">
        <f>IF(D203&lt;=0,0,MIN(AI204,D$7+IF(D$2=$AA204,$AC204,IF(D$2=$AF204,$AG204,0))))</f>
        <v/>
      </c>
      <c r="Q204">
        <f>IF(E203&lt;=0,0,MIN(AJ204,E$7+IF(E$2=$AA204,$AC204,IF(E$2=$AF204,$AG204,0))))</f>
        <v/>
      </c>
      <c r="R204">
        <f>IF(F203&lt;=0,0,MIN(AK204,F$7+IF(F$2=$AA204,$AC204,IF(F$2=$AF204,$AG204,0))))</f>
        <v/>
      </c>
      <c r="S204">
        <f>IF(G203&lt;=0,0,MIN(AL204,G$7+IF(G$2=$AA204,$AC204,IF(G$2=$AF204,$AG204,0))))</f>
        <v/>
      </c>
      <c r="T204">
        <f>IF(H203&lt;=0,0,MIN(AM204,H$7+IF(H$2=$AA204,$AC204,IF(H$2=$AF204,$AG204,0))))</f>
        <v/>
      </c>
      <c r="U204">
        <f>IF(I203&lt;=0,0,MIN(AN204,I$7+IF(I$2=$AA204,$AC204,IF(I$2=$AF204,$AG204,0))))</f>
        <v/>
      </c>
      <c r="V204">
        <f>IF(J203&lt;=0,0,MIN(AO204,J$7+IF(J$2=$AA204,$AC204,IF(J$2=$AF204,$AG204,0))))</f>
        <v/>
      </c>
      <c r="W204">
        <f>IF(K203&lt;=0,0,MIN(AP204,K$7+IF(K$2=$AA204,$AC204,IF(K$2=$AF204,$AG204,0))))</f>
        <v/>
      </c>
      <c r="X204">
        <f>IF(L203&lt;=0,0,MIN(AQ204,L$7+IF(L$2=$AA204,$AC204,IF(L$2=$AF204,$AG204,0))))</f>
        <v/>
      </c>
      <c r="Y204">
        <f>IF(M203&lt;=0,0,MIN(AR204,M$7+IF(M$2=$AA204,$AC204,IF(M$2=$AF204,$AG204,0))))</f>
        <v/>
      </c>
      <c r="Z204">
        <f>IF(N203&lt;=0,0,MIN(AS204,N$7+IF(N$2=$AA204,$AC204,IF(N$2=$AF204,$AG204,0))))</f>
        <v/>
      </c>
      <c r="AA204">
        <f>IFERROR(ROUND(1/SUMPRODUCT(MAX((C203:N203&gt;0)*($C$3:$N$3&lt;=B204)/$C$2:$N$2)),0),0)</f>
        <v/>
      </c>
      <c r="AB204">
        <f>SUMPRODUCT((C203:N203&gt;0)*$C$7:$N$7)</f>
        <v/>
      </c>
      <c r="AC204">
        <f>MAX(0,Plan!$C$5-AB204)+IF(A204=Plan!$C$8,N(Plan!$C$7),0)</f>
        <v/>
      </c>
      <c r="AD204">
        <f>SUM(C204:N204)</f>
        <v/>
      </c>
      <c r="AE204">
        <f>SUM(O204:Z204)</f>
        <v/>
      </c>
      <c r="AF204">
        <f>IFERROR(ROUND(1/SUMPRODUCT(MAX((C203:N203&gt;0)*($C$3:$N$3&lt;=B204)*($C$2:$N$2&gt;AA204)/$C$2:$N$2)),0),0)</f>
        <v/>
      </c>
      <c r="AG204">
        <f>MAX(0,AC204-MAX(0,SUMPRODUCT(($C$2:$N$2=AA204)*(AH204:AS204-$C$7:$N$7))))</f>
        <v/>
      </c>
      <c r="AH204">
        <f>IF(C203&lt;=0,0,ROUND(C203*(1+IF(AND(C$6&gt;0,$B204&lt;C$6),C$4,C$5)/12),2))</f>
        <v/>
      </c>
      <c r="AI204">
        <f>IF(D203&lt;=0,0,ROUND(D203*(1+IF(AND(D$6&gt;0,$B204&lt;D$6),D$4,D$5)/12),2))</f>
        <v/>
      </c>
      <c r="AJ204">
        <f>IF(E203&lt;=0,0,ROUND(E203*(1+IF(AND(E$6&gt;0,$B204&lt;E$6),E$4,E$5)/12),2))</f>
        <v/>
      </c>
      <c r="AK204">
        <f>IF(F203&lt;=0,0,ROUND(F203*(1+IF(AND(F$6&gt;0,$B204&lt;F$6),F$4,F$5)/12),2))</f>
        <v/>
      </c>
      <c r="AL204">
        <f>IF(G203&lt;=0,0,ROUND(G203*(1+IF(AND(G$6&gt;0,$B204&lt;G$6),G$4,G$5)/12),2))</f>
        <v/>
      </c>
      <c r="AM204">
        <f>IF(H203&lt;=0,0,ROUND(H203*(1+IF(AND(H$6&gt;0,$B204&lt;H$6),H$4,H$5)/12),2))</f>
        <v/>
      </c>
      <c r="AN204">
        <f>IF(I203&lt;=0,0,ROUND(I203*(1+IF(AND(I$6&gt;0,$B204&lt;I$6),I$4,I$5)/12),2))</f>
        <v/>
      </c>
      <c r="AO204">
        <f>IF(J203&lt;=0,0,ROUND(J203*(1+IF(AND(J$6&gt;0,$B204&lt;J$6),J$4,J$5)/12),2))</f>
        <v/>
      </c>
      <c r="AP204">
        <f>IF(K203&lt;=0,0,ROUND(K203*(1+IF(AND(K$6&gt;0,$B204&lt;K$6),K$4,K$5)/12),2))</f>
        <v/>
      </c>
      <c r="AQ204">
        <f>IF(L203&lt;=0,0,ROUND(L203*(1+IF(AND(L$6&gt;0,$B204&lt;L$6),L$4,L$5)/12),2))</f>
        <v/>
      </c>
      <c r="AR204">
        <f>IF(M203&lt;=0,0,ROUND(M203*(1+IF(AND(M$6&gt;0,$B204&lt;M$6),M$4,M$5)/12),2))</f>
        <v/>
      </c>
      <c r="AS204">
        <f>IF(N203&lt;=0,0,ROUND(N203*(1+IF(AND(N$6&gt;0,$B204&lt;N$6),N$4,N$5)/12),2))</f>
        <v/>
      </c>
    </row>
    <row r="205">
      <c r="A205" t="n">
        <v>194</v>
      </c>
      <c r="B205">
        <f>EDATE(Plan!$C$6,193)</f>
        <v/>
      </c>
      <c r="C205">
        <f>IF(C204&lt;=0,0,MAX(0,AH205-O205))</f>
        <v/>
      </c>
      <c r="D205">
        <f>IF(D204&lt;=0,0,MAX(0,AI205-P205))</f>
        <v/>
      </c>
      <c r="E205">
        <f>IF(E204&lt;=0,0,MAX(0,AJ205-Q205))</f>
        <v/>
      </c>
      <c r="F205">
        <f>IF(F204&lt;=0,0,MAX(0,AK205-R205))</f>
        <v/>
      </c>
      <c r="G205">
        <f>IF(G204&lt;=0,0,MAX(0,AL205-S205))</f>
        <v/>
      </c>
      <c r="H205">
        <f>IF(H204&lt;=0,0,MAX(0,AM205-T205))</f>
        <v/>
      </c>
      <c r="I205">
        <f>IF(I204&lt;=0,0,MAX(0,AN205-U205))</f>
        <v/>
      </c>
      <c r="J205">
        <f>IF(J204&lt;=0,0,MAX(0,AO205-V205))</f>
        <v/>
      </c>
      <c r="K205">
        <f>IF(K204&lt;=0,0,MAX(0,AP205-W205))</f>
        <v/>
      </c>
      <c r="L205">
        <f>IF(L204&lt;=0,0,MAX(0,AQ205-X205))</f>
        <v/>
      </c>
      <c r="M205">
        <f>IF(M204&lt;=0,0,MAX(0,AR205-Y205))</f>
        <v/>
      </c>
      <c r="N205">
        <f>IF(N204&lt;=0,0,MAX(0,AS205-Z205))</f>
        <v/>
      </c>
      <c r="O205">
        <f>IF(C204&lt;=0,0,MIN(AH205,C$7+IF(C$2=$AA205,$AC205,IF(C$2=$AF205,$AG205,0))))</f>
        <v/>
      </c>
      <c r="P205">
        <f>IF(D204&lt;=0,0,MIN(AI205,D$7+IF(D$2=$AA205,$AC205,IF(D$2=$AF205,$AG205,0))))</f>
        <v/>
      </c>
      <c r="Q205">
        <f>IF(E204&lt;=0,0,MIN(AJ205,E$7+IF(E$2=$AA205,$AC205,IF(E$2=$AF205,$AG205,0))))</f>
        <v/>
      </c>
      <c r="R205">
        <f>IF(F204&lt;=0,0,MIN(AK205,F$7+IF(F$2=$AA205,$AC205,IF(F$2=$AF205,$AG205,0))))</f>
        <v/>
      </c>
      <c r="S205">
        <f>IF(G204&lt;=0,0,MIN(AL205,G$7+IF(G$2=$AA205,$AC205,IF(G$2=$AF205,$AG205,0))))</f>
        <v/>
      </c>
      <c r="T205">
        <f>IF(H204&lt;=0,0,MIN(AM205,H$7+IF(H$2=$AA205,$AC205,IF(H$2=$AF205,$AG205,0))))</f>
        <v/>
      </c>
      <c r="U205">
        <f>IF(I204&lt;=0,0,MIN(AN205,I$7+IF(I$2=$AA205,$AC205,IF(I$2=$AF205,$AG205,0))))</f>
        <v/>
      </c>
      <c r="V205">
        <f>IF(J204&lt;=0,0,MIN(AO205,J$7+IF(J$2=$AA205,$AC205,IF(J$2=$AF205,$AG205,0))))</f>
        <v/>
      </c>
      <c r="W205">
        <f>IF(K204&lt;=0,0,MIN(AP205,K$7+IF(K$2=$AA205,$AC205,IF(K$2=$AF205,$AG205,0))))</f>
        <v/>
      </c>
      <c r="X205">
        <f>IF(L204&lt;=0,0,MIN(AQ205,L$7+IF(L$2=$AA205,$AC205,IF(L$2=$AF205,$AG205,0))))</f>
        <v/>
      </c>
      <c r="Y205">
        <f>IF(M204&lt;=0,0,MIN(AR205,M$7+IF(M$2=$AA205,$AC205,IF(M$2=$AF205,$AG205,0))))</f>
        <v/>
      </c>
      <c r="Z205">
        <f>IF(N204&lt;=0,0,MIN(AS205,N$7+IF(N$2=$AA205,$AC205,IF(N$2=$AF205,$AG205,0))))</f>
        <v/>
      </c>
      <c r="AA205">
        <f>IFERROR(ROUND(1/SUMPRODUCT(MAX((C204:N204&gt;0)*($C$3:$N$3&lt;=B205)/$C$2:$N$2)),0),0)</f>
        <v/>
      </c>
      <c r="AB205">
        <f>SUMPRODUCT((C204:N204&gt;0)*$C$7:$N$7)</f>
        <v/>
      </c>
      <c r="AC205">
        <f>MAX(0,Plan!$C$5-AB205)+IF(A205=Plan!$C$8,N(Plan!$C$7),0)</f>
        <v/>
      </c>
      <c r="AD205">
        <f>SUM(C205:N205)</f>
        <v/>
      </c>
      <c r="AE205">
        <f>SUM(O205:Z205)</f>
        <v/>
      </c>
      <c r="AF205">
        <f>IFERROR(ROUND(1/SUMPRODUCT(MAX((C204:N204&gt;0)*($C$3:$N$3&lt;=B205)*($C$2:$N$2&gt;AA205)/$C$2:$N$2)),0),0)</f>
        <v/>
      </c>
      <c r="AG205">
        <f>MAX(0,AC205-MAX(0,SUMPRODUCT(($C$2:$N$2=AA205)*(AH205:AS205-$C$7:$N$7))))</f>
        <v/>
      </c>
      <c r="AH205">
        <f>IF(C204&lt;=0,0,ROUND(C204*(1+IF(AND(C$6&gt;0,$B205&lt;C$6),C$4,C$5)/12),2))</f>
        <v/>
      </c>
      <c r="AI205">
        <f>IF(D204&lt;=0,0,ROUND(D204*(1+IF(AND(D$6&gt;0,$B205&lt;D$6),D$4,D$5)/12),2))</f>
        <v/>
      </c>
      <c r="AJ205">
        <f>IF(E204&lt;=0,0,ROUND(E204*(1+IF(AND(E$6&gt;0,$B205&lt;E$6),E$4,E$5)/12),2))</f>
        <v/>
      </c>
      <c r="AK205">
        <f>IF(F204&lt;=0,0,ROUND(F204*(1+IF(AND(F$6&gt;0,$B205&lt;F$6),F$4,F$5)/12),2))</f>
        <v/>
      </c>
      <c r="AL205">
        <f>IF(G204&lt;=0,0,ROUND(G204*(1+IF(AND(G$6&gt;0,$B205&lt;G$6),G$4,G$5)/12),2))</f>
        <v/>
      </c>
      <c r="AM205">
        <f>IF(H204&lt;=0,0,ROUND(H204*(1+IF(AND(H$6&gt;0,$B205&lt;H$6),H$4,H$5)/12),2))</f>
        <v/>
      </c>
      <c r="AN205">
        <f>IF(I204&lt;=0,0,ROUND(I204*(1+IF(AND(I$6&gt;0,$B205&lt;I$6),I$4,I$5)/12),2))</f>
        <v/>
      </c>
      <c r="AO205">
        <f>IF(J204&lt;=0,0,ROUND(J204*(1+IF(AND(J$6&gt;0,$B205&lt;J$6),J$4,J$5)/12),2))</f>
        <v/>
      </c>
      <c r="AP205">
        <f>IF(K204&lt;=0,0,ROUND(K204*(1+IF(AND(K$6&gt;0,$B205&lt;K$6),K$4,K$5)/12),2))</f>
        <v/>
      </c>
      <c r="AQ205">
        <f>IF(L204&lt;=0,0,ROUND(L204*(1+IF(AND(L$6&gt;0,$B205&lt;L$6),L$4,L$5)/12),2))</f>
        <v/>
      </c>
      <c r="AR205">
        <f>IF(M204&lt;=0,0,ROUND(M204*(1+IF(AND(M$6&gt;0,$B205&lt;M$6),M$4,M$5)/12),2))</f>
        <v/>
      </c>
      <c r="AS205">
        <f>IF(N204&lt;=0,0,ROUND(N204*(1+IF(AND(N$6&gt;0,$B205&lt;N$6),N$4,N$5)/12),2))</f>
        <v/>
      </c>
    </row>
    <row r="206">
      <c r="A206" t="n">
        <v>195</v>
      </c>
      <c r="B206">
        <f>EDATE(Plan!$C$6,194)</f>
        <v/>
      </c>
      <c r="C206">
        <f>IF(C205&lt;=0,0,MAX(0,AH206-O206))</f>
        <v/>
      </c>
      <c r="D206">
        <f>IF(D205&lt;=0,0,MAX(0,AI206-P206))</f>
        <v/>
      </c>
      <c r="E206">
        <f>IF(E205&lt;=0,0,MAX(0,AJ206-Q206))</f>
        <v/>
      </c>
      <c r="F206">
        <f>IF(F205&lt;=0,0,MAX(0,AK206-R206))</f>
        <v/>
      </c>
      <c r="G206">
        <f>IF(G205&lt;=0,0,MAX(0,AL206-S206))</f>
        <v/>
      </c>
      <c r="H206">
        <f>IF(H205&lt;=0,0,MAX(0,AM206-T206))</f>
        <v/>
      </c>
      <c r="I206">
        <f>IF(I205&lt;=0,0,MAX(0,AN206-U206))</f>
        <v/>
      </c>
      <c r="J206">
        <f>IF(J205&lt;=0,0,MAX(0,AO206-V206))</f>
        <v/>
      </c>
      <c r="K206">
        <f>IF(K205&lt;=0,0,MAX(0,AP206-W206))</f>
        <v/>
      </c>
      <c r="L206">
        <f>IF(L205&lt;=0,0,MAX(0,AQ206-X206))</f>
        <v/>
      </c>
      <c r="M206">
        <f>IF(M205&lt;=0,0,MAX(0,AR206-Y206))</f>
        <v/>
      </c>
      <c r="N206">
        <f>IF(N205&lt;=0,0,MAX(0,AS206-Z206))</f>
        <v/>
      </c>
      <c r="O206">
        <f>IF(C205&lt;=0,0,MIN(AH206,C$7+IF(C$2=$AA206,$AC206,IF(C$2=$AF206,$AG206,0))))</f>
        <v/>
      </c>
      <c r="P206">
        <f>IF(D205&lt;=0,0,MIN(AI206,D$7+IF(D$2=$AA206,$AC206,IF(D$2=$AF206,$AG206,0))))</f>
        <v/>
      </c>
      <c r="Q206">
        <f>IF(E205&lt;=0,0,MIN(AJ206,E$7+IF(E$2=$AA206,$AC206,IF(E$2=$AF206,$AG206,0))))</f>
        <v/>
      </c>
      <c r="R206">
        <f>IF(F205&lt;=0,0,MIN(AK206,F$7+IF(F$2=$AA206,$AC206,IF(F$2=$AF206,$AG206,0))))</f>
        <v/>
      </c>
      <c r="S206">
        <f>IF(G205&lt;=0,0,MIN(AL206,G$7+IF(G$2=$AA206,$AC206,IF(G$2=$AF206,$AG206,0))))</f>
        <v/>
      </c>
      <c r="T206">
        <f>IF(H205&lt;=0,0,MIN(AM206,H$7+IF(H$2=$AA206,$AC206,IF(H$2=$AF206,$AG206,0))))</f>
        <v/>
      </c>
      <c r="U206">
        <f>IF(I205&lt;=0,0,MIN(AN206,I$7+IF(I$2=$AA206,$AC206,IF(I$2=$AF206,$AG206,0))))</f>
        <v/>
      </c>
      <c r="V206">
        <f>IF(J205&lt;=0,0,MIN(AO206,J$7+IF(J$2=$AA206,$AC206,IF(J$2=$AF206,$AG206,0))))</f>
        <v/>
      </c>
      <c r="W206">
        <f>IF(K205&lt;=0,0,MIN(AP206,K$7+IF(K$2=$AA206,$AC206,IF(K$2=$AF206,$AG206,0))))</f>
        <v/>
      </c>
      <c r="X206">
        <f>IF(L205&lt;=0,0,MIN(AQ206,L$7+IF(L$2=$AA206,$AC206,IF(L$2=$AF206,$AG206,0))))</f>
        <v/>
      </c>
      <c r="Y206">
        <f>IF(M205&lt;=0,0,MIN(AR206,M$7+IF(M$2=$AA206,$AC206,IF(M$2=$AF206,$AG206,0))))</f>
        <v/>
      </c>
      <c r="Z206">
        <f>IF(N205&lt;=0,0,MIN(AS206,N$7+IF(N$2=$AA206,$AC206,IF(N$2=$AF206,$AG206,0))))</f>
        <v/>
      </c>
      <c r="AA206">
        <f>IFERROR(ROUND(1/SUMPRODUCT(MAX((C205:N205&gt;0)*($C$3:$N$3&lt;=B206)/$C$2:$N$2)),0),0)</f>
        <v/>
      </c>
      <c r="AB206">
        <f>SUMPRODUCT((C205:N205&gt;0)*$C$7:$N$7)</f>
        <v/>
      </c>
      <c r="AC206">
        <f>MAX(0,Plan!$C$5-AB206)+IF(A206=Plan!$C$8,N(Plan!$C$7),0)</f>
        <v/>
      </c>
      <c r="AD206">
        <f>SUM(C206:N206)</f>
        <v/>
      </c>
      <c r="AE206">
        <f>SUM(O206:Z206)</f>
        <v/>
      </c>
      <c r="AF206">
        <f>IFERROR(ROUND(1/SUMPRODUCT(MAX((C205:N205&gt;0)*($C$3:$N$3&lt;=B206)*($C$2:$N$2&gt;AA206)/$C$2:$N$2)),0),0)</f>
        <v/>
      </c>
      <c r="AG206">
        <f>MAX(0,AC206-MAX(0,SUMPRODUCT(($C$2:$N$2=AA206)*(AH206:AS206-$C$7:$N$7))))</f>
        <v/>
      </c>
      <c r="AH206">
        <f>IF(C205&lt;=0,0,ROUND(C205*(1+IF(AND(C$6&gt;0,$B206&lt;C$6),C$4,C$5)/12),2))</f>
        <v/>
      </c>
      <c r="AI206">
        <f>IF(D205&lt;=0,0,ROUND(D205*(1+IF(AND(D$6&gt;0,$B206&lt;D$6),D$4,D$5)/12),2))</f>
        <v/>
      </c>
      <c r="AJ206">
        <f>IF(E205&lt;=0,0,ROUND(E205*(1+IF(AND(E$6&gt;0,$B206&lt;E$6),E$4,E$5)/12),2))</f>
        <v/>
      </c>
      <c r="AK206">
        <f>IF(F205&lt;=0,0,ROUND(F205*(1+IF(AND(F$6&gt;0,$B206&lt;F$6),F$4,F$5)/12),2))</f>
        <v/>
      </c>
      <c r="AL206">
        <f>IF(G205&lt;=0,0,ROUND(G205*(1+IF(AND(G$6&gt;0,$B206&lt;G$6),G$4,G$5)/12),2))</f>
        <v/>
      </c>
      <c r="AM206">
        <f>IF(H205&lt;=0,0,ROUND(H205*(1+IF(AND(H$6&gt;0,$B206&lt;H$6),H$4,H$5)/12),2))</f>
        <v/>
      </c>
      <c r="AN206">
        <f>IF(I205&lt;=0,0,ROUND(I205*(1+IF(AND(I$6&gt;0,$B206&lt;I$6),I$4,I$5)/12),2))</f>
        <v/>
      </c>
      <c r="AO206">
        <f>IF(J205&lt;=0,0,ROUND(J205*(1+IF(AND(J$6&gt;0,$B206&lt;J$6),J$4,J$5)/12),2))</f>
        <v/>
      </c>
      <c r="AP206">
        <f>IF(K205&lt;=0,0,ROUND(K205*(1+IF(AND(K$6&gt;0,$B206&lt;K$6),K$4,K$5)/12),2))</f>
        <v/>
      </c>
      <c r="AQ206">
        <f>IF(L205&lt;=0,0,ROUND(L205*(1+IF(AND(L$6&gt;0,$B206&lt;L$6),L$4,L$5)/12),2))</f>
        <v/>
      </c>
      <c r="AR206">
        <f>IF(M205&lt;=0,0,ROUND(M205*(1+IF(AND(M$6&gt;0,$B206&lt;M$6),M$4,M$5)/12),2))</f>
        <v/>
      </c>
      <c r="AS206">
        <f>IF(N205&lt;=0,0,ROUND(N205*(1+IF(AND(N$6&gt;0,$B206&lt;N$6),N$4,N$5)/12),2))</f>
        <v/>
      </c>
    </row>
    <row r="207">
      <c r="A207" t="n">
        <v>196</v>
      </c>
      <c r="B207">
        <f>EDATE(Plan!$C$6,195)</f>
        <v/>
      </c>
      <c r="C207">
        <f>IF(C206&lt;=0,0,MAX(0,AH207-O207))</f>
        <v/>
      </c>
      <c r="D207">
        <f>IF(D206&lt;=0,0,MAX(0,AI207-P207))</f>
        <v/>
      </c>
      <c r="E207">
        <f>IF(E206&lt;=0,0,MAX(0,AJ207-Q207))</f>
        <v/>
      </c>
      <c r="F207">
        <f>IF(F206&lt;=0,0,MAX(0,AK207-R207))</f>
        <v/>
      </c>
      <c r="G207">
        <f>IF(G206&lt;=0,0,MAX(0,AL207-S207))</f>
        <v/>
      </c>
      <c r="H207">
        <f>IF(H206&lt;=0,0,MAX(0,AM207-T207))</f>
        <v/>
      </c>
      <c r="I207">
        <f>IF(I206&lt;=0,0,MAX(0,AN207-U207))</f>
        <v/>
      </c>
      <c r="J207">
        <f>IF(J206&lt;=0,0,MAX(0,AO207-V207))</f>
        <v/>
      </c>
      <c r="K207">
        <f>IF(K206&lt;=0,0,MAX(0,AP207-W207))</f>
        <v/>
      </c>
      <c r="L207">
        <f>IF(L206&lt;=0,0,MAX(0,AQ207-X207))</f>
        <v/>
      </c>
      <c r="M207">
        <f>IF(M206&lt;=0,0,MAX(0,AR207-Y207))</f>
        <v/>
      </c>
      <c r="N207">
        <f>IF(N206&lt;=0,0,MAX(0,AS207-Z207))</f>
        <v/>
      </c>
      <c r="O207">
        <f>IF(C206&lt;=0,0,MIN(AH207,C$7+IF(C$2=$AA207,$AC207,IF(C$2=$AF207,$AG207,0))))</f>
        <v/>
      </c>
      <c r="P207">
        <f>IF(D206&lt;=0,0,MIN(AI207,D$7+IF(D$2=$AA207,$AC207,IF(D$2=$AF207,$AG207,0))))</f>
        <v/>
      </c>
      <c r="Q207">
        <f>IF(E206&lt;=0,0,MIN(AJ207,E$7+IF(E$2=$AA207,$AC207,IF(E$2=$AF207,$AG207,0))))</f>
        <v/>
      </c>
      <c r="R207">
        <f>IF(F206&lt;=0,0,MIN(AK207,F$7+IF(F$2=$AA207,$AC207,IF(F$2=$AF207,$AG207,0))))</f>
        <v/>
      </c>
      <c r="S207">
        <f>IF(G206&lt;=0,0,MIN(AL207,G$7+IF(G$2=$AA207,$AC207,IF(G$2=$AF207,$AG207,0))))</f>
        <v/>
      </c>
      <c r="T207">
        <f>IF(H206&lt;=0,0,MIN(AM207,H$7+IF(H$2=$AA207,$AC207,IF(H$2=$AF207,$AG207,0))))</f>
        <v/>
      </c>
      <c r="U207">
        <f>IF(I206&lt;=0,0,MIN(AN207,I$7+IF(I$2=$AA207,$AC207,IF(I$2=$AF207,$AG207,0))))</f>
        <v/>
      </c>
      <c r="V207">
        <f>IF(J206&lt;=0,0,MIN(AO207,J$7+IF(J$2=$AA207,$AC207,IF(J$2=$AF207,$AG207,0))))</f>
        <v/>
      </c>
      <c r="W207">
        <f>IF(K206&lt;=0,0,MIN(AP207,K$7+IF(K$2=$AA207,$AC207,IF(K$2=$AF207,$AG207,0))))</f>
        <v/>
      </c>
      <c r="X207">
        <f>IF(L206&lt;=0,0,MIN(AQ207,L$7+IF(L$2=$AA207,$AC207,IF(L$2=$AF207,$AG207,0))))</f>
        <v/>
      </c>
      <c r="Y207">
        <f>IF(M206&lt;=0,0,MIN(AR207,M$7+IF(M$2=$AA207,$AC207,IF(M$2=$AF207,$AG207,0))))</f>
        <v/>
      </c>
      <c r="Z207">
        <f>IF(N206&lt;=0,0,MIN(AS207,N$7+IF(N$2=$AA207,$AC207,IF(N$2=$AF207,$AG207,0))))</f>
        <v/>
      </c>
      <c r="AA207">
        <f>IFERROR(ROUND(1/SUMPRODUCT(MAX((C206:N206&gt;0)*($C$3:$N$3&lt;=B207)/$C$2:$N$2)),0),0)</f>
        <v/>
      </c>
      <c r="AB207">
        <f>SUMPRODUCT((C206:N206&gt;0)*$C$7:$N$7)</f>
        <v/>
      </c>
      <c r="AC207">
        <f>MAX(0,Plan!$C$5-AB207)+IF(A207=Plan!$C$8,N(Plan!$C$7),0)</f>
        <v/>
      </c>
      <c r="AD207">
        <f>SUM(C207:N207)</f>
        <v/>
      </c>
      <c r="AE207">
        <f>SUM(O207:Z207)</f>
        <v/>
      </c>
      <c r="AF207">
        <f>IFERROR(ROUND(1/SUMPRODUCT(MAX((C206:N206&gt;0)*($C$3:$N$3&lt;=B207)*($C$2:$N$2&gt;AA207)/$C$2:$N$2)),0),0)</f>
        <v/>
      </c>
      <c r="AG207">
        <f>MAX(0,AC207-MAX(0,SUMPRODUCT(($C$2:$N$2=AA207)*(AH207:AS207-$C$7:$N$7))))</f>
        <v/>
      </c>
      <c r="AH207">
        <f>IF(C206&lt;=0,0,ROUND(C206*(1+IF(AND(C$6&gt;0,$B207&lt;C$6),C$4,C$5)/12),2))</f>
        <v/>
      </c>
      <c r="AI207">
        <f>IF(D206&lt;=0,0,ROUND(D206*(1+IF(AND(D$6&gt;0,$B207&lt;D$6),D$4,D$5)/12),2))</f>
        <v/>
      </c>
      <c r="AJ207">
        <f>IF(E206&lt;=0,0,ROUND(E206*(1+IF(AND(E$6&gt;0,$B207&lt;E$6),E$4,E$5)/12),2))</f>
        <v/>
      </c>
      <c r="AK207">
        <f>IF(F206&lt;=0,0,ROUND(F206*(1+IF(AND(F$6&gt;0,$B207&lt;F$6),F$4,F$5)/12),2))</f>
        <v/>
      </c>
      <c r="AL207">
        <f>IF(G206&lt;=0,0,ROUND(G206*(1+IF(AND(G$6&gt;0,$B207&lt;G$6),G$4,G$5)/12),2))</f>
        <v/>
      </c>
      <c r="AM207">
        <f>IF(H206&lt;=0,0,ROUND(H206*(1+IF(AND(H$6&gt;0,$B207&lt;H$6),H$4,H$5)/12),2))</f>
        <v/>
      </c>
      <c r="AN207">
        <f>IF(I206&lt;=0,0,ROUND(I206*(1+IF(AND(I$6&gt;0,$B207&lt;I$6),I$4,I$5)/12),2))</f>
        <v/>
      </c>
      <c r="AO207">
        <f>IF(J206&lt;=0,0,ROUND(J206*(1+IF(AND(J$6&gt;0,$B207&lt;J$6),J$4,J$5)/12),2))</f>
        <v/>
      </c>
      <c r="AP207">
        <f>IF(K206&lt;=0,0,ROUND(K206*(1+IF(AND(K$6&gt;0,$B207&lt;K$6),K$4,K$5)/12),2))</f>
        <v/>
      </c>
      <c r="AQ207">
        <f>IF(L206&lt;=0,0,ROUND(L206*(1+IF(AND(L$6&gt;0,$B207&lt;L$6),L$4,L$5)/12),2))</f>
        <v/>
      </c>
      <c r="AR207">
        <f>IF(M206&lt;=0,0,ROUND(M206*(1+IF(AND(M$6&gt;0,$B207&lt;M$6),M$4,M$5)/12),2))</f>
        <v/>
      </c>
      <c r="AS207">
        <f>IF(N206&lt;=0,0,ROUND(N206*(1+IF(AND(N$6&gt;0,$B207&lt;N$6),N$4,N$5)/12),2))</f>
        <v/>
      </c>
    </row>
    <row r="208">
      <c r="A208" t="n">
        <v>197</v>
      </c>
      <c r="B208">
        <f>EDATE(Plan!$C$6,196)</f>
        <v/>
      </c>
      <c r="C208">
        <f>IF(C207&lt;=0,0,MAX(0,AH208-O208))</f>
        <v/>
      </c>
      <c r="D208">
        <f>IF(D207&lt;=0,0,MAX(0,AI208-P208))</f>
        <v/>
      </c>
      <c r="E208">
        <f>IF(E207&lt;=0,0,MAX(0,AJ208-Q208))</f>
        <v/>
      </c>
      <c r="F208">
        <f>IF(F207&lt;=0,0,MAX(0,AK208-R208))</f>
        <v/>
      </c>
      <c r="G208">
        <f>IF(G207&lt;=0,0,MAX(0,AL208-S208))</f>
        <v/>
      </c>
      <c r="H208">
        <f>IF(H207&lt;=0,0,MAX(0,AM208-T208))</f>
        <v/>
      </c>
      <c r="I208">
        <f>IF(I207&lt;=0,0,MAX(0,AN208-U208))</f>
        <v/>
      </c>
      <c r="J208">
        <f>IF(J207&lt;=0,0,MAX(0,AO208-V208))</f>
        <v/>
      </c>
      <c r="K208">
        <f>IF(K207&lt;=0,0,MAX(0,AP208-W208))</f>
        <v/>
      </c>
      <c r="L208">
        <f>IF(L207&lt;=0,0,MAX(0,AQ208-X208))</f>
        <v/>
      </c>
      <c r="M208">
        <f>IF(M207&lt;=0,0,MAX(0,AR208-Y208))</f>
        <v/>
      </c>
      <c r="N208">
        <f>IF(N207&lt;=0,0,MAX(0,AS208-Z208))</f>
        <v/>
      </c>
      <c r="O208">
        <f>IF(C207&lt;=0,0,MIN(AH208,C$7+IF(C$2=$AA208,$AC208,IF(C$2=$AF208,$AG208,0))))</f>
        <v/>
      </c>
      <c r="P208">
        <f>IF(D207&lt;=0,0,MIN(AI208,D$7+IF(D$2=$AA208,$AC208,IF(D$2=$AF208,$AG208,0))))</f>
        <v/>
      </c>
      <c r="Q208">
        <f>IF(E207&lt;=0,0,MIN(AJ208,E$7+IF(E$2=$AA208,$AC208,IF(E$2=$AF208,$AG208,0))))</f>
        <v/>
      </c>
      <c r="R208">
        <f>IF(F207&lt;=0,0,MIN(AK208,F$7+IF(F$2=$AA208,$AC208,IF(F$2=$AF208,$AG208,0))))</f>
        <v/>
      </c>
      <c r="S208">
        <f>IF(G207&lt;=0,0,MIN(AL208,G$7+IF(G$2=$AA208,$AC208,IF(G$2=$AF208,$AG208,0))))</f>
        <v/>
      </c>
      <c r="T208">
        <f>IF(H207&lt;=0,0,MIN(AM208,H$7+IF(H$2=$AA208,$AC208,IF(H$2=$AF208,$AG208,0))))</f>
        <v/>
      </c>
      <c r="U208">
        <f>IF(I207&lt;=0,0,MIN(AN208,I$7+IF(I$2=$AA208,$AC208,IF(I$2=$AF208,$AG208,0))))</f>
        <v/>
      </c>
      <c r="V208">
        <f>IF(J207&lt;=0,0,MIN(AO208,J$7+IF(J$2=$AA208,$AC208,IF(J$2=$AF208,$AG208,0))))</f>
        <v/>
      </c>
      <c r="W208">
        <f>IF(K207&lt;=0,0,MIN(AP208,K$7+IF(K$2=$AA208,$AC208,IF(K$2=$AF208,$AG208,0))))</f>
        <v/>
      </c>
      <c r="X208">
        <f>IF(L207&lt;=0,0,MIN(AQ208,L$7+IF(L$2=$AA208,$AC208,IF(L$2=$AF208,$AG208,0))))</f>
        <v/>
      </c>
      <c r="Y208">
        <f>IF(M207&lt;=0,0,MIN(AR208,M$7+IF(M$2=$AA208,$AC208,IF(M$2=$AF208,$AG208,0))))</f>
        <v/>
      </c>
      <c r="Z208">
        <f>IF(N207&lt;=0,0,MIN(AS208,N$7+IF(N$2=$AA208,$AC208,IF(N$2=$AF208,$AG208,0))))</f>
        <v/>
      </c>
      <c r="AA208">
        <f>IFERROR(ROUND(1/SUMPRODUCT(MAX((C207:N207&gt;0)*($C$3:$N$3&lt;=B208)/$C$2:$N$2)),0),0)</f>
        <v/>
      </c>
      <c r="AB208">
        <f>SUMPRODUCT((C207:N207&gt;0)*$C$7:$N$7)</f>
        <v/>
      </c>
      <c r="AC208">
        <f>MAX(0,Plan!$C$5-AB208)+IF(A208=Plan!$C$8,N(Plan!$C$7),0)</f>
        <v/>
      </c>
      <c r="AD208">
        <f>SUM(C208:N208)</f>
        <v/>
      </c>
      <c r="AE208">
        <f>SUM(O208:Z208)</f>
        <v/>
      </c>
      <c r="AF208">
        <f>IFERROR(ROUND(1/SUMPRODUCT(MAX((C207:N207&gt;0)*($C$3:$N$3&lt;=B208)*($C$2:$N$2&gt;AA208)/$C$2:$N$2)),0),0)</f>
        <v/>
      </c>
      <c r="AG208">
        <f>MAX(0,AC208-MAX(0,SUMPRODUCT(($C$2:$N$2=AA208)*(AH208:AS208-$C$7:$N$7))))</f>
        <v/>
      </c>
      <c r="AH208">
        <f>IF(C207&lt;=0,0,ROUND(C207*(1+IF(AND(C$6&gt;0,$B208&lt;C$6),C$4,C$5)/12),2))</f>
        <v/>
      </c>
      <c r="AI208">
        <f>IF(D207&lt;=0,0,ROUND(D207*(1+IF(AND(D$6&gt;0,$B208&lt;D$6),D$4,D$5)/12),2))</f>
        <v/>
      </c>
      <c r="AJ208">
        <f>IF(E207&lt;=0,0,ROUND(E207*(1+IF(AND(E$6&gt;0,$B208&lt;E$6),E$4,E$5)/12),2))</f>
        <v/>
      </c>
      <c r="AK208">
        <f>IF(F207&lt;=0,0,ROUND(F207*(1+IF(AND(F$6&gt;0,$B208&lt;F$6),F$4,F$5)/12),2))</f>
        <v/>
      </c>
      <c r="AL208">
        <f>IF(G207&lt;=0,0,ROUND(G207*(1+IF(AND(G$6&gt;0,$B208&lt;G$6),G$4,G$5)/12),2))</f>
        <v/>
      </c>
      <c r="AM208">
        <f>IF(H207&lt;=0,0,ROUND(H207*(1+IF(AND(H$6&gt;0,$B208&lt;H$6),H$4,H$5)/12),2))</f>
        <v/>
      </c>
      <c r="AN208">
        <f>IF(I207&lt;=0,0,ROUND(I207*(1+IF(AND(I$6&gt;0,$B208&lt;I$6),I$4,I$5)/12),2))</f>
        <v/>
      </c>
      <c r="AO208">
        <f>IF(J207&lt;=0,0,ROUND(J207*(1+IF(AND(J$6&gt;0,$B208&lt;J$6),J$4,J$5)/12),2))</f>
        <v/>
      </c>
      <c r="AP208">
        <f>IF(K207&lt;=0,0,ROUND(K207*(1+IF(AND(K$6&gt;0,$B208&lt;K$6),K$4,K$5)/12),2))</f>
        <v/>
      </c>
      <c r="AQ208">
        <f>IF(L207&lt;=0,0,ROUND(L207*(1+IF(AND(L$6&gt;0,$B208&lt;L$6),L$4,L$5)/12),2))</f>
        <v/>
      </c>
      <c r="AR208">
        <f>IF(M207&lt;=0,0,ROUND(M207*(1+IF(AND(M$6&gt;0,$B208&lt;M$6),M$4,M$5)/12),2))</f>
        <v/>
      </c>
      <c r="AS208">
        <f>IF(N207&lt;=0,0,ROUND(N207*(1+IF(AND(N$6&gt;0,$B208&lt;N$6),N$4,N$5)/12),2))</f>
        <v/>
      </c>
    </row>
    <row r="209">
      <c r="A209" t="n">
        <v>198</v>
      </c>
      <c r="B209">
        <f>EDATE(Plan!$C$6,197)</f>
        <v/>
      </c>
      <c r="C209">
        <f>IF(C208&lt;=0,0,MAX(0,AH209-O209))</f>
        <v/>
      </c>
      <c r="D209">
        <f>IF(D208&lt;=0,0,MAX(0,AI209-P209))</f>
        <v/>
      </c>
      <c r="E209">
        <f>IF(E208&lt;=0,0,MAX(0,AJ209-Q209))</f>
        <v/>
      </c>
      <c r="F209">
        <f>IF(F208&lt;=0,0,MAX(0,AK209-R209))</f>
        <v/>
      </c>
      <c r="G209">
        <f>IF(G208&lt;=0,0,MAX(0,AL209-S209))</f>
        <v/>
      </c>
      <c r="H209">
        <f>IF(H208&lt;=0,0,MAX(0,AM209-T209))</f>
        <v/>
      </c>
      <c r="I209">
        <f>IF(I208&lt;=0,0,MAX(0,AN209-U209))</f>
        <v/>
      </c>
      <c r="J209">
        <f>IF(J208&lt;=0,0,MAX(0,AO209-V209))</f>
        <v/>
      </c>
      <c r="K209">
        <f>IF(K208&lt;=0,0,MAX(0,AP209-W209))</f>
        <v/>
      </c>
      <c r="L209">
        <f>IF(L208&lt;=0,0,MAX(0,AQ209-X209))</f>
        <v/>
      </c>
      <c r="M209">
        <f>IF(M208&lt;=0,0,MAX(0,AR209-Y209))</f>
        <v/>
      </c>
      <c r="N209">
        <f>IF(N208&lt;=0,0,MAX(0,AS209-Z209))</f>
        <v/>
      </c>
      <c r="O209">
        <f>IF(C208&lt;=0,0,MIN(AH209,C$7+IF(C$2=$AA209,$AC209,IF(C$2=$AF209,$AG209,0))))</f>
        <v/>
      </c>
      <c r="P209">
        <f>IF(D208&lt;=0,0,MIN(AI209,D$7+IF(D$2=$AA209,$AC209,IF(D$2=$AF209,$AG209,0))))</f>
        <v/>
      </c>
      <c r="Q209">
        <f>IF(E208&lt;=0,0,MIN(AJ209,E$7+IF(E$2=$AA209,$AC209,IF(E$2=$AF209,$AG209,0))))</f>
        <v/>
      </c>
      <c r="R209">
        <f>IF(F208&lt;=0,0,MIN(AK209,F$7+IF(F$2=$AA209,$AC209,IF(F$2=$AF209,$AG209,0))))</f>
        <v/>
      </c>
      <c r="S209">
        <f>IF(G208&lt;=0,0,MIN(AL209,G$7+IF(G$2=$AA209,$AC209,IF(G$2=$AF209,$AG209,0))))</f>
        <v/>
      </c>
      <c r="T209">
        <f>IF(H208&lt;=0,0,MIN(AM209,H$7+IF(H$2=$AA209,$AC209,IF(H$2=$AF209,$AG209,0))))</f>
        <v/>
      </c>
      <c r="U209">
        <f>IF(I208&lt;=0,0,MIN(AN209,I$7+IF(I$2=$AA209,$AC209,IF(I$2=$AF209,$AG209,0))))</f>
        <v/>
      </c>
      <c r="V209">
        <f>IF(J208&lt;=0,0,MIN(AO209,J$7+IF(J$2=$AA209,$AC209,IF(J$2=$AF209,$AG209,0))))</f>
        <v/>
      </c>
      <c r="W209">
        <f>IF(K208&lt;=0,0,MIN(AP209,K$7+IF(K$2=$AA209,$AC209,IF(K$2=$AF209,$AG209,0))))</f>
        <v/>
      </c>
      <c r="X209">
        <f>IF(L208&lt;=0,0,MIN(AQ209,L$7+IF(L$2=$AA209,$AC209,IF(L$2=$AF209,$AG209,0))))</f>
        <v/>
      </c>
      <c r="Y209">
        <f>IF(M208&lt;=0,0,MIN(AR209,M$7+IF(M$2=$AA209,$AC209,IF(M$2=$AF209,$AG209,0))))</f>
        <v/>
      </c>
      <c r="Z209">
        <f>IF(N208&lt;=0,0,MIN(AS209,N$7+IF(N$2=$AA209,$AC209,IF(N$2=$AF209,$AG209,0))))</f>
        <v/>
      </c>
      <c r="AA209">
        <f>IFERROR(ROUND(1/SUMPRODUCT(MAX((C208:N208&gt;0)*($C$3:$N$3&lt;=B209)/$C$2:$N$2)),0),0)</f>
        <v/>
      </c>
      <c r="AB209">
        <f>SUMPRODUCT((C208:N208&gt;0)*$C$7:$N$7)</f>
        <v/>
      </c>
      <c r="AC209">
        <f>MAX(0,Plan!$C$5-AB209)+IF(A209=Plan!$C$8,N(Plan!$C$7),0)</f>
        <v/>
      </c>
      <c r="AD209">
        <f>SUM(C209:N209)</f>
        <v/>
      </c>
      <c r="AE209">
        <f>SUM(O209:Z209)</f>
        <v/>
      </c>
      <c r="AF209">
        <f>IFERROR(ROUND(1/SUMPRODUCT(MAX((C208:N208&gt;0)*($C$3:$N$3&lt;=B209)*($C$2:$N$2&gt;AA209)/$C$2:$N$2)),0),0)</f>
        <v/>
      </c>
      <c r="AG209">
        <f>MAX(0,AC209-MAX(0,SUMPRODUCT(($C$2:$N$2=AA209)*(AH209:AS209-$C$7:$N$7))))</f>
        <v/>
      </c>
      <c r="AH209">
        <f>IF(C208&lt;=0,0,ROUND(C208*(1+IF(AND(C$6&gt;0,$B209&lt;C$6),C$4,C$5)/12),2))</f>
        <v/>
      </c>
      <c r="AI209">
        <f>IF(D208&lt;=0,0,ROUND(D208*(1+IF(AND(D$6&gt;0,$B209&lt;D$6),D$4,D$5)/12),2))</f>
        <v/>
      </c>
      <c r="AJ209">
        <f>IF(E208&lt;=0,0,ROUND(E208*(1+IF(AND(E$6&gt;0,$B209&lt;E$6),E$4,E$5)/12),2))</f>
        <v/>
      </c>
      <c r="AK209">
        <f>IF(F208&lt;=0,0,ROUND(F208*(1+IF(AND(F$6&gt;0,$B209&lt;F$6),F$4,F$5)/12),2))</f>
        <v/>
      </c>
      <c r="AL209">
        <f>IF(G208&lt;=0,0,ROUND(G208*(1+IF(AND(G$6&gt;0,$B209&lt;G$6),G$4,G$5)/12),2))</f>
        <v/>
      </c>
      <c r="AM209">
        <f>IF(H208&lt;=0,0,ROUND(H208*(1+IF(AND(H$6&gt;0,$B209&lt;H$6),H$4,H$5)/12),2))</f>
        <v/>
      </c>
      <c r="AN209">
        <f>IF(I208&lt;=0,0,ROUND(I208*(1+IF(AND(I$6&gt;0,$B209&lt;I$6),I$4,I$5)/12),2))</f>
        <v/>
      </c>
      <c r="AO209">
        <f>IF(J208&lt;=0,0,ROUND(J208*(1+IF(AND(J$6&gt;0,$B209&lt;J$6),J$4,J$5)/12),2))</f>
        <v/>
      </c>
      <c r="AP209">
        <f>IF(K208&lt;=0,0,ROUND(K208*(1+IF(AND(K$6&gt;0,$B209&lt;K$6),K$4,K$5)/12),2))</f>
        <v/>
      </c>
      <c r="AQ209">
        <f>IF(L208&lt;=0,0,ROUND(L208*(1+IF(AND(L$6&gt;0,$B209&lt;L$6),L$4,L$5)/12),2))</f>
        <v/>
      </c>
      <c r="AR209">
        <f>IF(M208&lt;=0,0,ROUND(M208*(1+IF(AND(M$6&gt;0,$B209&lt;M$6),M$4,M$5)/12),2))</f>
        <v/>
      </c>
      <c r="AS209">
        <f>IF(N208&lt;=0,0,ROUND(N208*(1+IF(AND(N$6&gt;0,$B209&lt;N$6),N$4,N$5)/12),2))</f>
        <v/>
      </c>
    </row>
    <row r="210">
      <c r="A210" t="n">
        <v>199</v>
      </c>
      <c r="B210">
        <f>EDATE(Plan!$C$6,198)</f>
        <v/>
      </c>
      <c r="C210">
        <f>IF(C209&lt;=0,0,MAX(0,AH210-O210))</f>
        <v/>
      </c>
      <c r="D210">
        <f>IF(D209&lt;=0,0,MAX(0,AI210-P210))</f>
        <v/>
      </c>
      <c r="E210">
        <f>IF(E209&lt;=0,0,MAX(0,AJ210-Q210))</f>
        <v/>
      </c>
      <c r="F210">
        <f>IF(F209&lt;=0,0,MAX(0,AK210-R210))</f>
        <v/>
      </c>
      <c r="G210">
        <f>IF(G209&lt;=0,0,MAX(0,AL210-S210))</f>
        <v/>
      </c>
      <c r="H210">
        <f>IF(H209&lt;=0,0,MAX(0,AM210-T210))</f>
        <v/>
      </c>
      <c r="I210">
        <f>IF(I209&lt;=0,0,MAX(0,AN210-U210))</f>
        <v/>
      </c>
      <c r="J210">
        <f>IF(J209&lt;=0,0,MAX(0,AO210-V210))</f>
        <v/>
      </c>
      <c r="K210">
        <f>IF(K209&lt;=0,0,MAX(0,AP210-W210))</f>
        <v/>
      </c>
      <c r="L210">
        <f>IF(L209&lt;=0,0,MAX(0,AQ210-X210))</f>
        <v/>
      </c>
      <c r="M210">
        <f>IF(M209&lt;=0,0,MAX(0,AR210-Y210))</f>
        <v/>
      </c>
      <c r="N210">
        <f>IF(N209&lt;=0,0,MAX(0,AS210-Z210))</f>
        <v/>
      </c>
      <c r="O210">
        <f>IF(C209&lt;=0,0,MIN(AH210,C$7+IF(C$2=$AA210,$AC210,IF(C$2=$AF210,$AG210,0))))</f>
        <v/>
      </c>
      <c r="P210">
        <f>IF(D209&lt;=0,0,MIN(AI210,D$7+IF(D$2=$AA210,$AC210,IF(D$2=$AF210,$AG210,0))))</f>
        <v/>
      </c>
      <c r="Q210">
        <f>IF(E209&lt;=0,0,MIN(AJ210,E$7+IF(E$2=$AA210,$AC210,IF(E$2=$AF210,$AG210,0))))</f>
        <v/>
      </c>
      <c r="R210">
        <f>IF(F209&lt;=0,0,MIN(AK210,F$7+IF(F$2=$AA210,$AC210,IF(F$2=$AF210,$AG210,0))))</f>
        <v/>
      </c>
      <c r="S210">
        <f>IF(G209&lt;=0,0,MIN(AL210,G$7+IF(G$2=$AA210,$AC210,IF(G$2=$AF210,$AG210,0))))</f>
        <v/>
      </c>
      <c r="T210">
        <f>IF(H209&lt;=0,0,MIN(AM210,H$7+IF(H$2=$AA210,$AC210,IF(H$2=$AF210,$AG210,0))))</f>
        <v/>
      </c>
      <c r="U210">
        <f>IF(I209&lt;=0,0,MIN(AN210,I$7+IF(I$2=$AA210,$AC210,IF(I$2=$AF210,$AG210,0))))</f>
        <v/>
      </c>
      <c r="V210">
        <f>IF(J209&lt;=0,0,MIN(AO210,J$7+IF(J$2=$AA210,$AC210,IF(J$2=$AF210,$AG210,0))))</f>
        <v/>
      </c>
      <c r="W210">
        <f>IF(K209&lt;=0,0,MIN(AP210,K$7+IF(K$2=$AA210,$AC210,IF(K$2=$AF210,$AG210,0))))</f>
        <v/>
      </c>
      <c r="X210">
        <f>IF(L209&lt;=0,0,MIN(AQ210,L$7+IF(L$2=$AA210,$AC210,IF(L$2=$AF210,$AG210,0))))</f>
        <v/>
      </c>
      <c r="Y210">
        <f>IF(M209&lt;=0,0,MIN(AR210,M$7+IF(M$2=$AA210,$AC210,IF(M$2=$AF210,$AG210,0))))</f>
        <v/>
      </c>
      <c r="Z210">
        <f>IF(N209&lt;=0,0,MIN(AS210,N$7+IF(N$2=$AA210,$AC210,IF(N$2=$AF210,$AG210,0))))</f>
        <v/>
      </c>
      <c r="AA210">
        <f>IFERROR(ROUND(1/SUMPRODUCT(MAX((C209:N209&gt;0)*($C$3:$N$3&lt;=B210)/$C$2:$N$2)),0),0)</f>
        <v/>
      </c>
      <c r="AB210">
        <f>SUMPRODUCT((C209:N209&gt;0)*$C$7:$N$7)</f>
        <v/>
      </c>
      <c r="AC210">
        <f>MAX(0,Plan!$C$5-AB210)+IF(A210=Plan!$C$8,N(Plan!$C$7),0)</f>
        <v/>
      </c>
      <c r="AD210">
        <f>SUM(C210:N210)</f>
        <v/>
      </c>
      <c r="AE210">
        <f>SUM(O210:Z210)</f>
        <v/>
      </c>
      <c r="AF210">
        <f>IFERROR(ROUND(1/SUMPRODUCT(MAX((C209:N209&gt;0)*($C$3:$N$3&lt;=B210)*($C$2:$N$2&gt;AA210)/$C$2:$N$2)),0),0)</f>
        <v/>
      </c>
      <c r="AG210">
        <f>MAX(0,AC210-MAX(0,SUMPRODUCT(($C$2:$N$2=AA210)*(AH210:AS210-$C$7:$N$7))))</f>
        <v/>
      </c>
      <c r="AH210">
        <f>IF(C209&lt;=0,0,ROUND(C209*(1+IF(AND(C$6&gt;0,$B210&lt;C$6),C$4,C$5)/12),2))</f>
        <v/>
      </c>
      <c r="AI210">
        <f>IF(D209&lt;=0,0,ROUND(D209*(1+IF(AND(D$6&gt;0,$B210&lt;D$6),D$4,D$5)/12),2))</f>
        <v/>
      </c>
      <c r="AJ210">
        <f>IF(E209&lt;=0,0,ROUND(E209*(1+IF(AND(E$6&gt;0,$B210&lt;E$6),E$4,E$5)/12),2))</f>
        <v/>
      </c>
      <c r="AK210">
        <f>IF(F209&lt;=0,0,ROUND(F209*(1+IF(AND(F$6&gt;0,$B210&lt;F$6),F$4,F$5)/12),2))</f>
        <v/>
      </c>
      <c r="AL210">
        <f>IF(G209&lt;=0,0,ROUND(G209*(1+IF(AND(G$6&gt;0,$B210&lt;G$6),G$4,G$5)/12),2))</f>
        <v/>
      </c>
      <c r="AM210">
        <f>IF(H209&lt;=0,0,ROUND(H209*(1+IF(AND(H$6&gt;0,$B210&lt;H$6),H$4,H$5)/12),2))</f>
        <v/>
      </c>
      <c r="AN210">
        <f>IF(I209&lt;=0,0,ROUND(I209*(1+IF(AND(I$6&gt;0,$B210&lt;I$6),I$4,I$5)/12),2))</f>
        <v/>
      </c>
      <c r="AO210">
        <f>IF(J209&lt;=0,0,ROUND(J209*(1+IF(AND(J$6&gt;0,$B210&lt;J$6),J$4,J$5)/12),2))</f>
        <v/>
      </c>
      <c r="AP210">
        <f>IF(K209&lt;=0,0,ROUND(K209*(1+IF(AND(K$6&gt;0,$B210&lt;K$6),K$4,K$5)/12),2))</f>
        <v/>
      </c>
      <c r="AQ210">
        <f>IF(L209&lt;=0,0,ROUND(L209*(1+IF(AND(L$6&gt;0,$B210&lt;L$6),L$4,L$5)/12),2))</f>
        <v/>
      </c>
      <c r="AR210">
        <f>IF(M209&lt;=0,0,ROUND(M209*(1+IF(AND(M$6&gt;0,$B210&lt;M$6),M$4,M$5)/12),2))</f>
        <v/>
      </c>
      <c r="AS210">
        <f>IF(N209&lt;=0,0,ROUND(N209*(1+IF(AND(N$6&gt;0,$B210&lt;N$6),N$4,N$5)/12),2))</f>
        <v/>
      </c>
    </row>
    <row r="211">
      <c r="A211" t="n">
        <v>200</v>
      </c>
      <c r="B211">
        <f>EDATE(Plan!$C$6,199)</f>
        <v/>
      </c>
      <c r="C211">
        <f>IF(C210&lt;=0,0,MAX(0,AH211-O211))</f>
        <v/>
      </c>
      <c r="D211">
        <f>IF(D210&lt;=0,0,MAX(0,AI211-P211))</f>
        <v/>
      </c>
      <c r="E211">
        <f>IF(E210&lt;=0,0,MAX(0,AJ211-Q211))</f>
        <v/>
      </c>
      <c r="F211">
        <f>IF(F210&lt;=0,0,MAX(0,AK211-R211))</f>
        <v/>
      </c>
      <c r="G211">
        <f>IF(G210&lt;=0,0,MAX(0,AL211-S211))</f>
        <v/>
      </c>
      <c r="H211">
        <f>IF(H210&lt;=0,0,MAX(0,AM211-T211))</f>
        <v/>
      </c>
      <c r="I211">
        <f>IF(I210&lt;=0,0,MAX(0,AN211-U211))</f>
        <v/>
      </c>
      <c r="J211">
        <f>IF(J210&lt;=0,0,MAX(0,AO211-V211))</f>
        <v/>
      </c>
      <c r="K211">
        <f>IF(K210&lt;=0,0,MAX(0,AP211-W211))</f>
        <v/>
      </c>
      <c r="L211">
        <f>IF(L210&lt;=0,0,MAX(0,AQ211-X211))</f>
        <v/>
      </c>
      <c r="M211">
        <f>IF(M210&lt;=0,0,MAX(0,AR211-Y211))</f>
        <v/>
      </c>
      <c r="N211">
        <f>IF(N210&lt;=0,0,MAX(0,AS211-Z211))</f>
        <v/>
      </c>
      <c r="O211">
        <f>IF(C210&lt;=0,0,MIN(AH211,C$7+IF(C$2=$AA211,$AC211,IF(C$2=$AF211,$AG211,0))))</f>
        <v/>
      </c>
      <c r="P211">
        <f>IF(D210&lt;=0,0,MIN(AI211,D$7+IF(D$2=$AA211,$AC211,IF(D$2=$AF211,$AG211,0))))</f>
        <v/>
      </c>
      <c r="Q211">
        <f>IF(E210&lt;=0,0,MIN(AJ211,E$7+IF(E$2=$AA211,$AC211,IF(E$2=$AF211,$AG211,0))))</f>
        <v/>
      </c>
      <c r="R211">
        <f>IF(F210&lt;=0,0,MIN(AK211,F$7+IF(F$2=$AA211,$AC211,IF(F$2=$AF211,$AG211,0))))</f>
        <v/>
      </c>
      <c r="S211">
        <f>IF(G210&lt;=0,0,MIN(AL211,G$7+IF(G$2=$AA211,$AC211,IF(G$2=$AF211,$AG211,0))))</f>
        <v/>
      </c>
      <c r="T211">
        <f>IF(H210&lt;=0,0,MIN(AM211,H$7+IF(H$2=$AA211,$AC211,IF(H$2=$AF211,$AG211,0))))</f>
        <v/>
      </c>
      <c r="U211">
        <f>IF(I210&lt;=0,0,MIN(AN211,I$7+IF(I$2=$AA211,$AC211,IF(I$2=$AF211,$AG211,0))))</f>
        <v/>
      </c>
      <c r="V211">
        <f>IF(J210&lt;=0,0,MIN(AO211,J$7+IF(J$2=$AA211,$AC211,IF(J$2=$AF211,$AG211,0))))</f>
        <v/>
      </c>
      <c r="W211">
        <f>IF(K210&lt;=0,0,MIN(AP211,K$7+IF(K$2=$AA211,$AC211,IF(K$2=$AF211,$AG211,0))))</f>
        <v/>
      </c>
      <c r="X211">
        <f>IF(L210&lt;=0,0,MIN(AQ211,L$7+IF(L$2=$AA211,$AC211,IF(L$2=$AF211,$AG211,0))))</f>
        <v/>
      </c>
      <c r="Y211">
        <f>IF(M210&lt;=0,0,MIN(AR211,M$7+IF(M$2=$AA211,$AC211,IF(M$2=$AF211,$AG211,0))))</f>
        <v/>
      </c>
      <c r="Z211">
        <f>IF(N210&lt;=0,0,MIN(AS211,N$7+IF(N$2=$AA211,$AC211,IF(N$2=$AF211,$AG211,0))))</f>
        <v/>
      </c>
      <c r="AA211">
        <f>IFERROR(ROUND(1/SUMPRODUCT(MAX((C210:N210&gt;0)*($C$3:$N$3&lt;=B211)/$C$2:$N$2)),0),0)</f>
        <v/>
      </c>
      <c r="AB211">
        <f>SUMPRODUCT((C210:N210&gt;0)*$C$7:$N$7)</f>
        <v/>
      </c>
      <c r="AC211">
        <f>MAX(0,Plan!$C$5-AB211)+IF(A211=Plan!$C$8,N(Plan!$C$7),0)</f>
        <v/>
      </c>
      <c r="AD211">
        <f>SUM(C211:N211)</f>
        <v/>
      </c>
      <c r="AE211">
        <f>SUM(O211:Z211)</f>
        <v/>
      </c>
      <c r="AF211">
        <f>IFERROR(ROUND(1/SUMPRODUCT(MAX((C210:N210&gt;0)*($C$3:$N$3&lt;=B211)*($C$2:$N$2&gt;AA211)/$C$2:$N$2)),0),0)</f>
        <v/>
      </c>
      <c r="AG211">
        <f>MAX(0,AC211-MAX(0,SUMPRODUCT(($C$2:$N$2=AA211)*(AH211:AS211-$C$7:$N$7))))</f>
        <v/>
      </c>
      <c r="AH211">
        <f>IF(C210&lt;=0,0,ROUND(C210*(1+IF(AND(C$6&gt;0,$B211&lt;C$6),C$4,C$5)/12),2))</f>
        <v/>
      </c>
      <c r="AI211">
        <f>IF(D210&lt;=0,0,ROUND(D210*(1+IF(AND(D$6&gt;0,$B211&lt;D$6),D$4,D$5)/12),2))</f>
        <v/>
      </c>
      <c r="AJ211">
        <f>IF(E210&lt;=0,0,ROUND(E210*(1+IF(AND(E$6&gt;0,$B211&lt;E$6),E$4,E$5)/12),2))</f>
        <v/>
      </c>
      <c r="AK211">
        <f>IF(F210&lt;=0,0,ROUND(F210*(1+IF(AND(F$6&gt;0,$B211&lt;F$6),F$4,F$5)/12),2))</f>
        <v/>
      </c>
      <c r="AL211">
        <f>IF(G210&lt;=0,0,ROUND(G210*(1+IF(AND(G$6&gt;0,$B211&lt;G$6),G$4,G$5)/12),2))</f>
        <v/>
      </c>
      <c r="AM211">
        <f>IF(H210&lt;=0,0,ROUND(H210*(1+IF(AND(H$6&gt;0,$B211&lt;H$6),H$4,H$5)/12),2))</f>
        <v/>
      </c>
      <c r="AN211">
        <f>IF(I210&lt;=0,0,ROUND(I210*(1+IF(AND(I$6&gt;0,$B211&lt;I$6),I$4,I$5)/12),2))</f>
        <v/>
      </c>
      <c r="AO211">
        <f>IF(J210&lt;=0,0,ROUND(J210*(1+IF(AND(J$6&gt;0,$B211&lt;J$6),J$4,J$5)/12),2))</f>
        <v/>
      </c>
      <c r="AP211">
        <f>IF(K210&lt;=0,0,ROUND(K210*(1+IF(AND(K$6&gt;0,$B211&lt;K$6),K$4,K$5)/12),2))</f>
        <v/>
      </c>
      <c r="AQ211">
        <f>IF(L210&lt;=0,0,ROUND(L210*(1+IF(AND(L$6&gt;0,$B211&lt;L$6),L$4,L$5)/12),2))</f>
        <v/>
      </c>
      <c r="AR211">
        <f>IF(M210&lt;=0,0,ROUND(M210*(1+IF(AND(M$6&gt;0,$B211&lt;M$6),M$4,M$5)/12),2))</f>
        <v/>
      </c>
      <c r="AS211">
        <f>IF(N210&lt;=0,0,ROUND(N210*(1+IF(AND(N$6&gt;0,$B211&lt;N$6),N$4,N$5)/12),2))</f>
        <v/>
      </c>
    </row>
    <row r="212">
      <c r="A212" t="n">
        <v>201</v>
      </c>
      <c r="B212">
        <f>EDATE(Plan!$C$6,200)</f>
        <v/>
      </c>
      <c r="C212">
        <f>IF(C211&lt;=0,0,MAX(0,AH212-O212))</f>
        <v/>
      </c>
      <c r="D212">
        <f>IF(D211&lt;=0,0,MAX(0,AI212-P212))</f>
        <v/>
      </c>
      <c r="E212">
        <f>IF(E211&lt;=0,0,MAX(0,AJ212-Q212))</f>
        <v/>
      </c>
      <c r="F212">
        <f>IF(F211&lt;=0,0,MAX(0,AK212-R212))</f>
        <v/>
      </c>
      <c r="G212">
        <f>IF(G211&lt;=0,0,MAX(0,AL212-S212))</f>
        <v/>
      </c>
      <c r="H212">
        <f>IF(H211&lt;=0,0,MAX(0,AM212-T212))</f>
        <v/>
      </c>
      <c r="I212">
        <f>IF(I211&lt;=0,0,MAX(0,AN212-U212))</f>
        <v/>
      </c>
      <c r="J212">
        <f>IF(J211&lt;=0,0,MAX(0,AO212-V212))</f>
        <v/>
      </c>
      <c r="K212">
        <f>IF(K211&lt;=0,0,MAX(0,AP212-W212))</f>
        <v/>
      </c>
      <c r="L212">
        <f>IF(L211&lt;=0,0,MAX(0,AQ212-X212))</f>
        <v/>
      </c>
      <c r="M212">
        <f>IF(M211&lt;=0,0,MAX(0,AR212-Y212))</f>
        <v/>
      </c>
      <c r="N212">
        <f>IF(N211&lt;=0,0,MAX(0,AS212-Z212))</f>
        <v/>
      </c>
      <c r="O212">
        <f>IF(C211&lt;=0,0,MIN(AH212,C$7+IF(C$2=$AA212,$AC212,IF(C$2=$AF212,$AG212,0))))</f>
        <v/>
      </c>
      <c r="P212">
        <f>IF(D211&lt;=0,0,MIN(AI212,D$7+IF(D$2=$AA212,$AC212,IF(D$2=$AF212,$AG212,0))))</f>
        <v/>
      </c>
      <c r="Q212">
        <f>IF(E211&lt;=0,0,MIN(AJ212,E$7+IF(E$2=$AA212,$AC212,IF(E$2=$AF212,$AG212,0))))</f>
        <v/>
      </c>
      <c r="R212">
        <f>IF(F211&lt;=0,0,MIN(AK212,F$7+IF(F$2=$AA212,$AC212,IF(F$2=$AF212,$AG212,0))))</f>
        <v/>
      </c>
      <c r="S212">
        <f>IF(G211&lt;=0,0,MIN(AL212,G$7+IF(G$2=$AA212,$AC212,IF(G$2=$AF212,$AG212,0))))</f>
        <v/>
      </c>
      <c r="T212">
        <f>IF(H211&lt;=0,0,MIN(AM212,H$7+IF(H$2=$AA212,$AC212,IF(H$2=$AF212,$AG212,0))))</f>
        <v/>
      </c>
      <c r="U212">
        <f>IF(I211&lt;=0,0,MIN(AN212,I$7+IF(I$2=$AA212,$AC212,IF(I$2=$AF212,$AG212,0))))</f>
        <v/>
      </c>
      <c r="V212">
        <f>IF(J211&lt;=0,0,MIN(AO212,J$7+IF(J$2=$AA212,$AC212,IF(J$2=$AF212,$AG212,0))))</f>
        <v/>
      </c>
      <c r="W212">
        <f>IF(K211&lt;=0,0,MIN(AP212,K$7+IF(K$2=$AA212,$AC212,IF(K$2=$AF212,$AG212,0))))</f>
        <v/>
      </c>
      <c r="X212">
        <f>IF(L211&lt;=0,0,MIN(AQ212,L$7+IF(L$2=$AA212,$AC212,IF(L$2=$AF212,$AG212,0))))</f>
        <v/>
      </c>
      <c r="Y212">
        <f>IF(M211&lt;=0,0,MIN(AR212,M$7+IF(M$2=$AA212,$AC212,IF(M$2=$AF212,$AG212,0))))</f>
        <v/>
      </c>
      <c r="Z212">
        <f>IF(N211&lt;=0,0,MIN(AS212,N$7+IF(N$2=$AA212,$AC212,IF(N$2=$AF212,$AG212,0))))</f>
        <v/>
      </c>
      <c r="AA212">
        <f>IFERROR(ROUND(1/SUMPRODUCT(MAX((C211:N211&gt;0)*($C$3:$N$3&lt;=B212)/$C$2:$N$2)),0),0)</f>
        <v/>
      </c>
      <c r="AB212">
        <f>SUMPRODUCT((C211:N211&gt;0)*$C$7:$N$7)</f>
        <v/>
      </c>
      <c r="AC212">
        <f>MAX(0,Plan!$C$5-AB212)+IF(A212=Plan!$C$8,N(Plan!$C$7),0)</f>
        <v/>
      </c>
      <c r="AD212">
        <f>SUM(C212:N212)</f>
        <v/>
      </c>
      <c r="AE212">
        <f>SUM(O212:Z212)</f>
        <v/>
      </c>
      <c r="AF212">
        <f>IFERROR(ROUND(1/SUMPRODUCT(MAX((C211:N211&gt;0)*($C$3:$N$3&lt;=B212)*($C$2:$N$2&gt;AA212)/$C$2:$N$2)),0),0)</f>
        <v/>
      </c>
      <c r="AG212">
        <f>MAX(0,AC212-MAX(0,SUMPRODUCT(($C$2:$N$2=AA212)*(AH212:AS212-$C$7:$N$7))))</f>
        <v/>
      </c>
      <c r="AH212">
        <f>IF(C211&lt;=0,0,ROUND(C211*(1+IF(AND(C$6&gt;0,$B212&lt;C$6),C$4,C$5)/12),2))</f>
        <v/>
      </c>
      <c r="AI212">
        <f>IF(D211&lt;=0,0,ROUND(D211*(1+IF(AND(D$6&gt;0,$B212&lt;D$6),D$4,D$5)/12),2))</f>
        <v/>
      </c>
      <c r="AJ212">
        <f>IF(E211&lt;=0,0,ROUND(E211*(1+IF(AND(E$6&gt;0,$B212&lt;E$6),E$4,E$5)/12),2))</f>
        <v/>
      </c>
      <c r="AK212">
        <f>IF(F211&lt;=0,0,ROUND(F211*(1+IF(AND(F$6&gt;0,$B212&lt;F$6),F$4,F$5)/12),2))</f>
        <v/>
      </c>
      <c r="AL212">
        <f>IF(G211&lt;=0,0,ROUND(G211*(1+IF(AND(G$6&gt;0,$B212&lt;G$6),G$4,G$5)/12),2))</f>
        <v/>
      </c>
      <c r="AM212">
        <f>IF(H211&lt;=0,0,ROUND(H211*(1+IF(AND(H$6&gt;0,$B212&lt;H$6),H$4,H$5)/12),2))</f>
        <v/>
      </c>
      <c r="AN212">
        <f>IF(I211&lt;=0,0,ROUND(I211*(1+IF(AND(I$6&gt;0,$B212&lt;I$6),I$4,I$5)/12),2))</f>
        <v/>
      </c>
      <c r="AO212">
        <f>IF(J211&lt;=0,0,ROUND(J211*(1+IF(AND(J$6&gt;0,$B212&lt;J$6),J$4,J$5)/12),2))</f>
        <v/>
      </c>
      <c r="AP212">
        <f>IF(K211&lt;=0,0,ROUND(K211*(1+IF(AND(K$6&gt;0,$B212&lt;K$6),K$4,K$5)/12),2))</f>
        <v/>
      </c>
      <c r="AQ212">
        <f>IF(L211&lt;=0,0,ROUND(L211*(1+IF(AND(L$6&gt;0,$B212&lt;L$6),L$4,L$5)/12),2))</f>
        <v/>
      </c>
      <c r="AR212">
        <f>IF(M211&lt;=0,0,ROUND(M211*(1+IF(AND(M$6&gt;0,$B212&lt;M$6),M$4,M$5)/12),2))</f>
        <v/>
      </c>
      <c r="AS212">
        <f>IF(N211&lt;=0,0,ROUND(N211*(1+IF(AND(N$6&gt;0,$B212&lt;N$6),N$4,N$5)/12),2))</f>
        <v/>
      </c>
    </row>
    <row r="213">
      <c r="A213" t="n">
        <v>202</v>
      </c>
      <c r="B213">
        <f>EDATE(Plan!$C$6,201)</f>
        <v/>
      </c>
      <c r="C213">
        <f>IF(C212&lt;=0,0,MAX(0,AH213-O213))</f>
        <v/>
      </c>
      <c r="D213">
        <f>IF(D212&lt;=0,0,MAX(0,AI213-P213))</f>
        <v/>
      </c>
      <c r="E213">
        <f>IF(E212&lt;=0,0,MAX(0,AJ213-Q213))</f>
        <v/>
      </c>
      <c r="F213">
        <f>IF(F212&lt;=0,0,MAX(0,AK213-R213))</f>
        <v/>
      </c>
      <c r="G213">
        <f>IF(G212&lt;=0,0,MAX(0,AL213-S213))</f>
        <v/>
      </c>
      <c r="H213">
        <f>IF(H212&lt;=0,0,MAX(0,AM213-T213))</f>
        <v/>
      </c>
      <c r="I213">
        <f>IF(I212&lt;=0,0,MAX(0,AN213-U213))</f>
        <v/>
      </c>
      <c r="J213">
        <f>IF(J212&lt;=0,0,MAX(0,AO213-V213))</f>
        <v/>
      </c>
      <c r="K213">
        <f>IF(K212&lt;=0,0,MAX(0,AP213-W213))</f>
        <v/>
      </c>
      <c r="L213">
        <f>IF(L212&lt;=0,0,MAX(0,AQ213-X213))</f>
        <v/>
      </c>
      <c r="M213">
        <f>IF(M212&lt;=0,0,MAX(0,AR213-Y213))</f>
        <v/>
      </c>
      <c r="N213">
        <f>IF(N212&lt;=0,0,MAX(0,AS213-Z213))</f>
        <v/>
      </c>
      <c r="O213">
        <f>IF(C212&lt;=0,0,MIN(AH213,C$7+IF(C$2=$AA213,$AC213,IF(C$2=$AF213,$AG213,0))))</f>
        <v/>
      </c>
      <c r="P213">
        <f>IF(D212&lt;=0,0,MIN(AI213,D$7+IF(D$2=$AA213,$AC213,IF(D$2=$AF213,$AG213,0))))</f>
        <v/>
      </c>
      <c r="Q213">
        <f>IF(E212&lt;=0,0,MIN(AJ213,E$7+IF(E$2=$AA213,$AC213,IF(E$2=$AF213,$AG213,0))))</f>
        <v/>
      </c>
      <c r="R213">
        <f>IF(F212&lt;=0,0,MIN(AK213,F$7+IF(F$2=$AA213,$AC213,IF(F$2=$AF213,$AG213,0))))</f>
        <v/>
      </c>
      <c r="S213">
        <f>IF(G212&lt;=0,0,MIN(AL213,G$7+IF(G$2=$AA213,$AC213,IF(G$2=$AF213,$AG213,0))))</f>
        <v/>
      </c>
      <c r="T213">
        <f>IF(H212&lt;=0,0,MIN(AM213,H$7+IF(H$2=$AA213,$AC213,IF(H$2=$AF213,$AG213,0))))</f>
        <v/>
      </c>
      <c r="U213">
        <f>IF(I212&lt;=0,0,MIN(AN213,I$7+IF(I$2=$AA213,$AC213,IF(I$2=$AF213,$AG213,0))))</f>
        <v/>
      </c>
      <c r="V213">
        <f>IF(J212&lt;=0,0,MIN(AO213,J$7+IF(J$2=$AA213,$AC213,IF(J$2=$AF213,$AG213,0))))</f>
        <v/>
      </c>
      <c r="W213">
        <f>IF(K212&lt;=0,0,MIN(AP213,K$7+IF(K$2=$AA213,$AC213,IF(K$2=$AF213,$AG213,0))))</f>
        <v/>
      </c>
      <c r="X213">
        <f>IF(L212&lt;=0,0,MIN(AQ213,L$7+IF(L$2=$AA213,$AC213,IF(L$2=$AF213,$AG213,0))))</f>
        <v/>
      </c>
      <c r="Y213">
        <f>IF(M212&lt;=0,0,MIN(AR213,M$7+IF(M$2=$AA213,$AC213,IF(M$2=$AF213,$AG213,0))))</f>
        <v/>
      </c>
      <c r="Z213">
        <f>IF(N212&lt;=0,0,MIN(AS213,N$7+IF(N$2=$AA213,$AC213,IF(N$2=$AF213,$AG213,0))))</f>
        <v/>
      </c>
      <c r="AA213">
        <f>IFERROR(ROUND(1/SUMPRODUCT(MAX((C212:N212&gt;0)*($C$3:$N$3&lt;=B213)/$C$2:$N$2)),0),0)</f>
        <v/>
      </c>
      <c r="AB213">
        <f>SUMPRODUCT((C212:N212&gt;0)*$C$7:$N$7)</f>
        <v/>
      </c>
      <c r="AC213">
        <f>MAX(0,Plan!$C$5-AB213)+IF(A213=Plan!$C$8,N(Plan!$C$7),0)</f>
        <v/>
      </c>
      <c r="AD213">
        <f>SUM(C213:N213)</f>
        <v/>
      </c>
      <c r="AE213">
        <f>SUM(O213:Z213)</f>
        <v/>
      </c>
      <c r="AF213">
        <f>IFERROR(ROUND(1/SUMPRODUCT(MAX((C212:N212&gt;0)*($C$3:$N$3&lt;=B213)*($C$2:$N$2&gt;AA213)/$C$2:$N$2)),0),0)</f>
        <v/>
      </c>
      <c r="AG213">
        <f>MAX(0,AC213-MAX(0,SUMPRODUCT(($C$2:$N$2=AA213)*(AH213:AS213-$C$7:$N$7))))</f>
        <v/>
      </c>
      <c r="AH213">
        <f>IF(C212&lt;=0,0,ROUND(C212*(1+IF(AND(C$6&gt;0,$B213&lt;C$6),C$4,C$5)/12),2))</f>
        <v/>
      </c>
      <c r="AI213">
        <f>IF(D212&lt;=0,0,ROUND(D212*(1+IF(AND(D$6&gt;0,$B213&lt;D$6),D$4,D$5)/12),2))</f>
        <v/>
      </c>
      <c r="AJ213">
        <f>IF(E212&lt;=0,0,ROUND(E212*(1+IF(AND(E$6&gt;0,$B213&lt;E$6),E$4,E$5)/12),2))</f>
        <v/>
      </c>
      <c r="AK213">
        <f>IF(F212&lt;=0,0,ROUND(F212*(1+IF(AND(F$6&gt;0,$B213&lt;F$6),F$4,F$5)/12),2))</f>
        <v/>
      </c>
      <c r="AL213">
        <f>IF(G212&lt;=0,0,ROUND(G212*(1+IF(AND(G$6&gt;0,$B213&lt;G$6),G$4,G$5)/12),2))</f>
        <v/>
      </c>
      <c r="AM213">
        <f>IF(H212&lt;=0,0,ROUND(H212*(1+IF(AND(H$6&gt;0,$B213&lt;H$6),H$4,H$5)/12),2))</f>
        <v/>
      </c>
      <c r="AN213">
        <f>IF(I212&lt;=0,0,ROUND(I212*(1+IF(AND(I$6&gt;0,$B213&lt;I$6),I$4,I$5)/12),2))</f>
        <v/>
      </c>
      <c r="AO213">
        <f>IF(J212&lt;=0,0,ROUND(J212*(1+IF(AND(J$6&gt;0,$B213&lt;J$6),J$4,J$5)/12),2))</f>
        <v/>
      </c>
      <c r="AP213">
        <f>IF(K212&lt;=0,0,ROUND(K212*(1+IF(AND(K$6&gt;0,$B213&lt;K$6),K$4,K$5)/12),2))</f>
        <v/>
      </c>
      <c r="AQ213">
        <f>IF(L212&lt;=0,0,ROUND(L212*(1+IF(AND(L$6&gt;0,$B213&lt;L$6),L$4,L$5)/12),2))</f>
        <v/>
      </c>
      <c r="AR213">
        <f>IF(M212&lt;=0,0,ROUND(M212*(1+IF(AND(M$6&gt;0,$B213&lt;M$6),M$4,M$5)/12),2))</f>
        <v/>
      </c>
      <c r="AS213">
        <f>IF(N212&lt;=0,0,ROUND(N212*(1+IF(AND(N$6&gt;0,$B213&lt;N$6),N$4,N$5)/12),2))</f>
        <v/>
      </c>
    </row>
    <row r="214">
      <c r="A214" t="n">
        <v>203</v>
      </c>
      <c r="B214">
        <f>EDATE(Plan!$C$6,202)</f>
        <v/>
      </c>
      <c r="C214">
        <f>IF(C213&lt;=0,0,MAX(0,AH214-O214))</f>
        <v/>
      </c>
      <c r="D214">
        <f>IF(D213&lt;=0,0,MAX(0,AI214-P214))</f>
        <v/>
      </c>
      <c r="E214">
        <f>IF(E213&lt;=0,0,MAX(0,AJ214-Q214))</f>
        <v/>
      </c>
      <c r="F214">
        <f>IF(F213&lt;=0,0,MAX(0,AK214-R214))</f>
        <v/>
      </c>
      <c r="G214">
        <f>IF(G213&lt;=0,0,MAX(0,AL214-S214))</f>
        <v/>
      </c>
      <c r="H214">
        <f>IF(H213&lt;=0,0,MAX(0,AM214-T214))</f>
        <v/>
      </c>
      <c r="I214">
        <f>IF(I213&lt;=0,0,MAX(0,AN214-U214))</f>
        <v/>
      </c>
      <c r="J214">
        <f>IF(J213&lt;=0,0,MAX(0,AO214-V214))</f>
        <v/>
      </c>
      <c r="K214">
        <f>IF(K213&lt;=0,0,MAX(0,AP214-W214))</f>
        <v/>
      </c>
      <c r="L214">
        <f>IF(L213&lt;=0,0,MAX(0,AQ214-X214))</f>
        <v/>
      </c>
      <c r="M214">
        <f>IF(M213&lt;=0,0,MAX(0,AR214-Y214))</f>
        <v/>
      </c>
      <c r="N214">
        <f>IF(N213&lt;=0,0,MAX(0,AS214-Z214))</f>
        <v/>
      </c>
      <c r="O214">
        <f>IF(C213&lt;=0,0,MIN(AH214,C$7+IF(C$2=$AA214,$AC214,IF(C$2=$AF214,$AG214,0))))</f>
        <v/>
      </c>
      <c r="P214">
        <f>IF(D213&lt;=0,0,MIN(AI214,D$7+IF(D$2=$AA214,$AC214,IF(D$2=$AF214,$AG214,0))))</f>
        <v/>
      </c>
      <c r="Q214">
        <f>IF(E213&lt;=0,0,MIN(AJ214,E$7+IF(E$2=$AA214,$AC214,IF(E$2=$AF214,$AG214,0))))</f>
        <v/>
      </c>
      <c r="R214">
        <f>IF(F213&lt;=0,0,MIN(AK214,F$7+IF(F$2=$AA214,$AC214,IF(F$2=$AF214,$AG214,0))))</f>
        <v/>
      </c>
      <c r="S214">
        <f>IF(G213&lt;=0,0,MIN(AL214,G$7+IF(G$2=$AA214,$AC214,IF(G$2=$AF214,$AG214,0))))</f>
        <v/>
      </c>
      <c r="T214">
        <f>IF(H213&lt;=0,0,MIN(AM214,H$7+IF(H$2=$AA214,$AC214,IF(H$2=$AF214,$AG214,0))))</f>
        <v/>
      </c>
      <c r="U214">
        <f>IF(I213&lt;=0,0,MIN(AN214,I$7+IF(I$2=$AA214,$AC214,IF(I$2=$AF214,$AG214,0))))</f>
        <v/>
      </c>
      <c r="V214">
        <f>IF(J213&lt;=0,0,MIN(AO214,J$7+IF(J$2=$AA214,$AC214,IF(J$2=$AF214,$AG214,0))))</f>
        <v/>
      </c>
      <c r="W214">
        <f>IF(K213&lt;=0,0,MIN(AP214,K$7+IF(K$2=$AA214,$AC214,IF(K$2=$AF214,$AG214,0))))</f>
        <v/>
      </c>
      <c r="X214">
        <f>IF(L213&lt;=0,0,MIN(AQ214,L$7+IF(L$2=$AA214,$AC214,IF(L$2=$AF214,$AG214,0))))</f>
        <v/>
      </c>
      <c r="Y214">
        <f>IF(M213&lt;=0,0,MIN(AR214,M$7+IF(M$2=$AA214,$AC214,IF(M$2=$AF214,$AG214,0))))</f>
        <v/>
      </c>
      <c r="Z214">
        <f>IF(N213&lt;=0,0,MIN(AS214,N$7+IF(N$2=$AA214,$AC214,IF(N$2=$AF214,$AG214,0))))</f>
        <v/>
      </c>
      <c r="AA214">
        <f>IFERROR(ROUND(1/SUMPRODUCT(MAX((C213:N213&gt;0)*($C$3:$N$3&lt;=B214)/$C$2:$N$2)),0),0)</f>
        <v/>
      </c>
      <c r="AB214">
        <f>SUMPRODUCT((C213:N213&gt;0)*$C$7:$N$7)</f>
        <v/>
      </c>
      <c r="AC214">
        <f>MAX(0,Plan!$C$5-AB214)+IF(A214=Plan!$C$8,N(Plan!$C$7),0)</f>
        <v/>
      </c>
      <c r="AD214">
        <f>SUM(C214:N214)</f>
        <v/>
      </c>
      <c r="AE214">
        <f>SUM(O214:Z214)</f>
        <v/>
      </c>
      <c r="AF214">
        <f>IFERROR(ROUND(1/SUMPRODUCT(MAX((C213:N213&gt;0)*($C$3:$N$3&lt;=B214)*($C$2:$N$2&gt;AA214)/$C$2:$N$2)),0),0)</f>
        <v/>
      </c>
      <c r="AG214">
        <f>MAX(0,AC214-MAX(0,SUMPRODUCT(($C$2:$N$2=AA214)*(AH214:AS214-$C$7:$N$7))))</f>
        <v/>
      </c>
      <c r="AH214">
        <f>IF(C213&lt;=0,0,ROUND(C213*(1+IF(AND(C$6&gt;0,$B214&lt;C$6),C$4,C$5)/12),2))</f>
        <v/>
      </c>
      <c r="AI214">
        <f>IF(D213&lt;=0,0,ROUND(D213*(1+IF(AND(D$6&gt;0,$B214&lt;D$6),D$4,D$5)/12),2))</f>
        <v/>
      </c>
      <c r="AJ214">
        <f>IF(E213&lt;=0,0,ROUND(E213*(1+IF(AND(E$6&gt;0,$B214&lt;E$6),E$4,E$5)/12),2))</f>
        <v/>
      </c>
      <c r="AK214">
        <f>IF(F213&lt;=0,0,ROUND(F213*(1+IF(AND(F$6&gt;0,$B214&lt;F$6),F$4,F$5)/12),2))</f>
        <v/>
      </c>
      <c r="AL214">
        <f>IF(G213&lt;=0,0,ROUND(G213*(1+IF(AND(G$6&gt;0,$B214&lt;G$6),G$4,G$5)/12),2))</f>
        <v/>
      </c>
      <c r="AM214">
        <f>IF(H213&lt;=0,0,ROUND(H213*(1+IF(AND(H$6&gt;0,$B214&lt;H$6),H$4,H$5)/12),2))</f>
        <v/>
      </c>
      <c r="AN214">
        <f>IF(I213&lt;=0,0,ROUND(I213*(1+IF(AND(I$6&gt;0,$B214&lt;I$6),I$4,I$5)/12),2))</f>
        <v/>
      </c>
      <c r="AO214">
        <f>IF(J213&lt;=0,0,ROUND(J213*(1+IF(AND(J$6&gt;0,$B214&lt;J$6),J$4,J$5)/12),2))</f>
        <v/>
      </c>
      <c r="AP214">
        <f>IF(K213&lt;=0,0,ROUND(K213*(1+IF(AND(K$6&gt;0,$B214&lt;K$6),K$4,K$5)/12),2))</f>
        <v/>
      </c>
      <c r="AQ214">
        <f>IF(L213&lt;=0,0,ROUND(L213*(1+IF(AND(L$6&gt;0,$B214&lt;L$6),L$4,L$5)/12),2))</f>
        <v/>
      </c>
      <c r="AR214">
        <f>IF(M213&lt;=0,0,ROUND(M213*(1+IF(AND(M$6&gt;0,$B214&lt;M$6),M$4,M$5)/12),2))</f>
        <v/>
      </c>
      <c r="AS214">
        <f>IF(N213&lt;=0,0,ROUND(N213*(1+IF(AND(N$6&gt;0,$B214&lt;N$6),N$4,N$5)/12),2))</f>
        <v/>
      </c>
    </row>
    <row r="215">
      <c r="A215" t="n">
        <v>204</v>
      </c>
      <c r="B215">
        <f>EDATE(Plan!$C$6,203)</f>
        <v/>
      </c>
      <c r="C215">
        <f>IF(C214&lt;=0,0,MAX(0,AH215-O215))</f>
        <v/>
      </c>
      <c r="D215">
        <f>IF(D214&lt;=0,0,MAX(0,AI215-P215))</f>
        <v/>
      </c>
      <c r="E215">
        <f>IF(E214&lt;=0,0,MAX(0,AJ215-Q215))</f>
        <v/>
      </c>
      <c r="F215">
        <f>IF(F214&lt;=0,0,MAX(0,AK215-R215))</f>
        <v/>
      </c>
      <c r="G215">
        <f>IF(G214&lt;=0,0,MAX(0,AL215-S215))</f>
        <v/>
      </c>
      <c r="H215">
        <f>IF(H214&lt;=0,0,MAX(0,AM215-T215))</f>
        <v/>
      </c>
      <c r="I215">
        <f>IF(I214&lt;=0,0,MAX(0,AN215-U215))</f>
        <v/>
      </c>
      <c r="J215">
        <f>IF(J214&lt;=0,0,MAX(0,AO215-V215))</f>
        <v/>
      </c>
      <c r="K215">
        <f>IF(K214&lt;=0,0,MAX(0,AP215-W215))</f>
        <v/>
      </c>
      <c r="L215">
        <f>IF(L214&lt;=0,0,MAX(0,AQ215-X215))</f>
        <v/>
      </c>
      <c r="M215">
        <f>IF(M214&lt;=0,0,MAX(0,AR215-Y215))</f>
        <v/>
      </c>
      <c r="N215">
        <f>IF(N214&lt;=0,0,MAX(0,AS215-Z215))</f>
        <v/>
      </c>
      <c r="O215">
        <f>IF(C214&lt;=0,0,MIN(AH215,C$7+IF(C$2=$AA215,$AC215,IF(C$2=$AF215,$AG215,0))))</f>
        <v/>
      </c>
      <c r="P215">
        <f>IF(D214&lt;=0,0,MIN(AI215,D$7+IF(D$2=$AA215,$AC215,IF(D$2=$AF215,$AG215,0))))</f>
        <v/>
      </c>
      <c r="Q215">
        <f>IF(E214&lt;=0,0,MIN(AJ215,E$7+IF(E$2=$AA215,$AC215,IF(E$2=$AF215,$AG215,0))))</f>
        <v/>
      </c>
      <c r="R215">
        <f>IF(F214&lt;=0,0,MIN(AK215,F$7+IF(F$2=$AA215,$AC215,IF(F$2=$AF215,$AG215,0))))</f>
        <v/>
      </c>
      <c r="S215">
        <f>IF(G214&lt;=0,0,MIN(AL215,G$7+IF(G$2=$AA215,$AC215,IF(G$2=$AF215,$AG215,0))))</f>
        <v/>
      </c>
      <c r="T215">
        <f>IF(H214&lt;=0,0,MIN(AM215,H$7+IF(H$2=$AA215,$AC215,IF(H$2=$AF215,$AG215,0))))</f>
        <v/>
      </c>
      <c r="U215">
        <f>IF(I214&lt;=0,0,MIN(AN215,I$7+IF(I$2=$AA215,$AC215,IF(I$2=$AF215,$AG215,0))))</f>
        <v/>
      </c>
      <c r="V215">
        <f>IF(J214&lt;=0,0,MIN(AO215,J$7+IF(J$2=$AA215,$AC215,IF(J$2=$AF215,$AG215,0))))</f>
        <v/>
      </c>
      <c r="W215">
        <f>IF(K214&lt;=0,0,MIN(AP215,K$7+IF(K$2=$AA215,$AC215,IF(K$2=$AF215,$AG215,0))))</f>
        <v/>
      </c>
      <c r="X215">
        <f>IF(L214&lt;=0,0,MIN(AQ215,L$7+IF(L$2=$AA215,$AC215,IF(L$2=$AF215,$AG215,0))))</f>
        <v/>
      </c>
      <c r="Y215">
        <f>IF(M214&lt;=0,0,MIN(AR215,M$7+IF(M$2=$AA215,$AC215,IF(M$2=$AF215,$AG215,0))))</f>
        <v/>
      </c>
      <c r="Z215">
        <f>IF(N214&lt;=0,0,MIN(AS215,N$7+IF(N$2=$AA215,$AC215,IF(N$2=$AF215,$AG215,0))))</f>
        <v/>
      </c>
      <c r="AA215">
        <f>IFERROR(ROUND(1/SUMPRODUCT(MAX((C214:N214&gt;0)*($C$3:$N$3&lt;=B215)/$C$2:$N$2)),0),0)</f>
        <v/>
      </c>
      <c r="AB215">
        <f>SUMPRODUCT((C214:N214&gt;0)*$C$7:$N$7)</f>
        <v/>
      </c>
      <c r="AC215">
        <f>MAX(0,Plan!$C$5-AB215)+IF(A215=Plan!$C$8,N(Plan!$C$7),0)</f>
        <v/>
      </c>
      <c r="AD215">
        <f>SUM(C215:N215)</f>
        <v/>
      </c>
      <c r="AE215">
        <f>SUM(O215:Z215)</f>
        <v/>
      </c>
      <c r="AF215">
        <f>IFERROR(ROUND(1/SUMPRODUCT(MAX((C214:N214&gt;0)*($C$3:$N$3&lt;=B215)*($C$2:$N$2&gt;AA215)/$C$2:$N$2)),0),0)</f>
        <v/>
      </c>
      <c r="AG215">
        <f>MAX(0,AC215-MAX(0,SUMPRODUCT(($C$2:$N$2=AA215)*(AH215:AS215-$C$7:$N$7))))</f>
        <v/>
      </c>
      <c r="AH215">
        <f>IF(C214&lt;=0,0,ROUND(C214*(1+IF(AND(C$6&gt;0,$B215&lt;C$6),C$4,C$5)/12),2))</f>
        <v/>
      </c>
      <c r="AI215">
        <f>IF(D214&lt;=0,0,ROUND(D214*(1+IF(AND(D$6&gt;0,$B215&lt;D$6),D$4,D$5)/12),2))</f>
        <v/>
      </c>
      <c r="AJ215">
        <f>IF(E214&lt;=0,0,ROUND(E214*(1+IF(AND(E$6&gt;0,$B215&lt;E$6),E$4,E$5)/12),2))</f>
        <v/>
      </c>
      <c r="AK215">
        <f>IF(F214&lt;=0,0,ROUND(F214*(1+IF(AND(F$6&gt;0,$B215&lt;F$6),F$4,F$5)/12),2))</f>
        <v/>
      </c>
      <c r="AL215">
        <f>IF(G214&lt;=0,0,ROUND(G214*(1+IF(AND(G$6&gt;0,$B215&lt;G$6),G$4,G$5)/12),2))</f>
        <v/>
      </c>
      <c r="AM215">
        <f>IF(H214&lt;=0,0,ROUND(H214*(1+IF(AND(H$6&gt;0,$B215&lt;H$6),H$4,H$5)/12),2))</f>
        <v/>
      </c>
      <c r="AN215">
        <f>IF(I214&lt;=0,0,ROUND(I214*(1+IF(AND(I$6&gt;0,$B215&lt;I$6),I$4,I$5)/12),2))</f>
        <v/>
      </c>
      <c r="AO215">
        <f>IF(J214&lt;=0,0,ROUND(J214*(1+IF(AND(J$6&gt;0,$B215&lt;J$6),J$4,J$5)/12),2))</f>
        <v/>
      </c>
      <c r="AP215">
        <f>IF(K214&lt;=0,0,ROUND(K214*(1+IF(AND(K$6&gt;0,$B215&lt;K$6),K$4,K$5)/12),2))</f>
        <v/>
      </c>
      <c r="AQ215">
        <f>IF(L214&lt;=0,0,ROUND(L214*(1+IF(AND(L$6&gt;0,$B215&lt;L$6),L$4,L$5)/12),2))</f>
        <v/>
      </c>
      <c r="AR215">
        <f>IF(M214&lt;=0,0,ROUND(M214*(1+IF(AND(M$6&gt;0,$B215&lt;M$6),M$4,M$5)/12),2))</f>
        <v/>
      </c>
      <c r="AS215">
        <f>IF(N214&lt;=0,0,ROUND(N214*(1+IF(AND(N$6&gt;0,$B215&lt;N$6),N$4,N$5)/12),2))</f>
        <v/>
      </c>
    </row>
    <row r="216">
      <c r="A216" t="n">
        <v>205</v>
      </c>
      <c r="B216">
        <f>EDATE(Plan!$C$6,204)</f>
        <v/>
      </c>
      <c r="C216">
        <f>IF(C215&lt;=0,0,MAX(0,AH216-O216))</f>
        <v/>
      </c>
      <c r="D216">
        <f>IF(D215&lt;=0,0,MAX(0,AI216-P216))</f>
        <v/>
      </c>
      <c r="E216">
        <f>IF(E215&lt;=0,0,MAX(0,AJ216-Q216))</f>
        <v/>
      </c>
      <c r="F216">
        <f>IF(F215&lt;=0,0,MAX(0,AK216-R216))</f>
        <v/>
      </c>
      <c r="G216">
        <f>IF(G215&lt;=0,0,MAX(0,AL216-S216))</f>
        <v/>
      </c>
      <c r="H216">
        <f>IF(H215&lt;=0,0,MAX(0,AM216-T216))</f>
        <v/>
      </c>
      <c r="I216">
        <f>IF(I215&lt;=0,0,MAX(0,AN216-U216))</f>
        <v/>
      </c>
      <c r="J216">
        <f>IF(J215&lt;=0,0,MAX(0,AO216-V216))</f>
        <v/>
      </c>
      <c r="K216">
        <f>IF(K215&lt;=0,0,MAX(0,AP216-W216))</f>
        <v/>
      </c>
      <c r="L216">
        <f>IF(L215&lt;=0,0,MAX(0,AQ216-X216))</f>
        <v/>
      </c>
      <c r="M216">
        <f>IF(M215&lt;=0,0,MAX(0,AR216-Y216))</f>
        <v/>
      </c>
      <c r="N216">
        <f>IF(N215&lt;=0,0,MAX(0,AS216-Z216))</f>
        <v/>
      </c>
      <c r="O216">
        <f>IF(C215&lt;=0,0,MIN(AH216,C$7+IF(C$2=$AA216,$AC216,IF(C$2=$AF216,$AG216,0))))</f>
        <v/>
      </c>
      <c r="P216">
        <f>IF(D215&lt;=0,0,MIN(AI216,D$7+IF(D$2=$AA216,$AC216,IF(D$2=$AF216,$AG216,0))))</f>
        <v/>
      </c>
      <c r="Q216">
        <f>IF(E215&lt;=0,0,MIN(AJ216,E$7+IF(E$2=$AA216,$AC216,IF(E$2=$AF216,$AG216,0))))</f>
        <v/>
      </c>
      <c r="R216">
        <f>IF(F215&lt;=0,0,MIN(AK216,F$7+IF(F$2=$AA216,$AC216,IF(F$2=$AF216,$AG216,0))))</f>
        <v/>
      </c>
      <c r="S216">
        <f>IF(G215&lt;=0,0,MIN(AL216,G$7+IF(G$2=$AA216,$AC216,IF(G$2=$AF216,$AG216,0))))</f>
        <v/>
      </c>
      <c r="T216">
        <f>IF(H215&lt;=0,0,MIN(AM216,H$7+IF(H$2=$AA216,$AC216,IF(H$2=$AF216,$AG216,0))))</f>
        <v/>
      </c>
      <c r="U216">
        <f>IF(I215&lt;=0,0,MIN(AN216,I$7+IF(I$2=$AA216,$AC216,IF(I$2=$AF216,$AG216,0))))</f>
        <v/>
      </c>
      <c r="V216">
        <f>IF(J215&lt;=0,0,MIN(AO216,J$7+IF(J$2=$AA216,$AC216,IF(J$2=$AF216,$AG216,0))))</f>
        <v/>
      </c>
      <c r="W216">
        <f>IF(K215&lt;=0,0,MIN(AP216,K$7+IF(K$2=$AA216,$AC216,IF(K$2=$AF216,$AG216,0))))</f>
        <v/>
      </c>
      <c r="X216">
        <f>IF(L215&lt;=0,0,MIN(AQ216,L$7+IF(L$2=$AA216,$AC216,IF(L$2=$AF216,$AG216,0))))</f>
        <v/>
      </c>
      <c r="Y216">
        <f>IF(M215&lt;=0,0,MIN(AR216,M$7+IF(M$2=$AA216,$AC216,IF(M$2=$AF216,$AG216,0))))</f>
        <v/>
      </c>
      <c r="Z216">
        <f>IF(N215&lt;=0,0,MIN(AS216,N$7+IF(N$2=$AA216,$AC216,IF(N$2=$AF216,$AG216,0))))</f>
        <v/>
      </c>
      <c r="AA216">
        <f>IFERROR(ROUND(1/SUMPRODUCT(MAX((C215:N215&gt;0)*($C$3:$N$3&lt;=B216)/$C$2:$N$2)),0),0)</f>
        <v/>
      </c>
      <c r="AB216">
        <f>SUMPRODUCT((C215:N215&gt;0)*$C$7:$N$7)</f>
        <v/>
      </c>
      <c r="AC216">
        <f>MAX(0,Plan!$C$5-AB216)+IF(A216=Plan!$C$8,N(Plan!$C$7),0)</f>
        <v/>
      </c>
      <c r="AD216">
        <f>SUM(C216:N216)</f>
        <v/>
      </c>
      <c r="AE216">
        <f>SUM(O216:Z216)</f>
        <v/>
      </c>
      <c r="AF216">
        <f>IFERROR(ROUND(1/SUMPRODUCT(MAX((C215:N215&gt;0)*($C$3:$N$3&lt;=B216)*($C$2:$N$2&gt;AA216)/$C$2:$N$2)),0),0)</f>
        <v/>
      </c>
      <c r="AG216">
        <f>MAX(0,AC216-MAX(0,SUMPRODUCT(($C$2:$N$2=AA216)*(AH216:AS216-$C$7:$N$7))))</f>
        <v/>
      </c>
      <c r="AH216">
        <f>IF(C215&lt;=0,0,ROUND(C215*(1+IF(AND(C$6&gt;0,$B216&lt;C$6),C$4,C$5)/12),2))</f>
        <v/>
      </c>
      <c r="AI216">
        <f>IF(D215&lt;=0,0,ROUND(D215*(1+IF(AND(D$6&gt;0,$B216&lt;D$6),D$4,D$5)/12),2))</f>
        <v/>
      </c>
      <c r="AJ216">
        <f>IF(E215&lt;=0,0,ROUND(E215*(1+IF(AND(E$6&gt;0,$B216&lt;E$6),E$4,E$5)/12),2))</f>
        <v/>
      </c>
      <c r="AK216">
        <f>IF(F215&lt;=0,0,ROUND(F215*(1+IF(AND(F$6&gt;0,$B216&lt;F$6),F$4,F$5)/12),2))</f>
        <v/>
      </c>
      <c r="AL216">
        <f>IF(G215&lt;=0,0,ROUND(G215*(1+IF(AND(G$6&gt;0,$B216&lt;G$6),G$4,G$5)/12),2))</f>
        <v/>
      </c>
      <c r="AM216">
        <f>IF(H215&lt;=0,0,ROUND(H215*(1+IF(AND(H$6&gt;0,$B216&lt;H$6),H$4,H$5)/12),2))</f>
        <v/>
      </c>
      <c r="AN216">
        <f>IF(I215&lt;=0,0,ROUND(I215*(1+IF(AND(I$6&gt;0,$B216&lt;I$6),I$4,I$5)/12),2))</f>
        <v/>
      </c>
      <c r="AO216">
        <f>IF(J215&lt;=0,0,ROUND(J215*(1+IF(AND(J$6&gt;0,$B216&lt;J$6),J$4,J$5)/12),2))</f>
        <v/>
      </c>
      <c r="AP216">
        <f>IF(K215&lt;=0,0,ROUND(K215*(1+IF(AND(K$6&gt;0,$B216&lt;K$6),K$4,K$5)/12),2))</f>
        <v/>
      </c>
      <c r="AQ216">
        <f>IF(L215&lt;=0,0,ROUND(L215*(1+IF(AND(L$6&gt;0,$B216&lt;L$6),L$4,L$5)/12),2))</f>
        <v/>
      </c>
      <c r="AR216">
        <f>IF(M215&lt;=0,0,ROUND(M215*(1+IF(AND(M$6&gt;0,$B216&lt;M$6),M$4,M$5)/12),2))</f>
        <v/>
      </c>
      <c r="AS216">
        <f>IF(N215&lt;=0,0,ROUND(N215*(1+IF(AND(N$6&gt;0,$B216&lt;N$6),N$4,N$5)/12),2))</f>
        <v/>
      </c>
    </row>
    <row r="217">
      <c r="A217" t="n">
        <v>206</v>
      </c>
      <c r="B217">
        <f>EDATE(Plan!$C$6,205)</f>
        <v/>
      </c>
      <c r="C217">
        <f>IF(C216&lt;=0,0,MAX(0,AH217-O217))</f>
        <v/>
      </c>
      <c r="D217">
        <f>IF(D216&lt;=0,0,MAX(0,AI217-P217))</f>
        <v/>
      </c>
      <c r="E217">
        <f>IF(E216&lt;=0,0,MAX(0,AJ217-Q217))</f>
        <v/>
      </c>
      <c r="F217">
        <f>IF(F216&lt;=0,0,MAX(0,AK217-R217))</f>
        <v/>
      </c>
      <c r="G217">
        <f>IF(G216&lt;=0,0,MAX(0,AL217-S217))</f>
        <v/>
      </c>
      <c r="H217">
        <f>IF(H216&lt;=0,0,MAX(0,AM217-T217))</f>
        <v/>
      </c>
      <c r="I217">
        <f>IF(I216&lt;=0,0,MAX(0,AN217-U217))</f>
        <v/>
      </c>
      <c r="J217">
        <f>IF(J216&lt;=0,0,MAX(0,AO217-V217))</f>
        <v/>
      </c>
      <c r="K217">
        <f>IF(K216&lt;=0,0,MAX(0,AP217-W217))</f>
        <v/>
      </c>
      <c r="L217">
        <f>IF(L216&lt;=0,0,MAX(0,AQ217-X217))</f>
        <v/>
      </c>
      <c r="M217">
        <f>IF(M216&lt;=0,0,MAX(0,AR217-Y217))</f>
        <v/>
      </c>
      <c r="N217">
        <f>IF(N216&lt;=0,0,MAX(0,AS217-Z217))</f>
        <v/>
      </c>
      <c r="O217">
        <f>IF(C216&lt;=0,0,MIN(AH217,C$7+IF(C$2=$AA217,$AC217,IF(C$2=$AF217,$AG217,0))))</f>
        <v/>
      </c>
      <c r="P217">
        <f>IF(D216&lt;=0,0,MIN(AI217,D$7+IF(D$2=$AA217,$AC217,IF(D$2=$AF217,$AG217,0))))</f>
        <v/>
      </c>
      <c r="Q217">
        <f>IF(E216&lt;=0,0,MIN(AJ217,E$7+IF(E$2=$AA217,$AC217,IF(E$2=$AF217,$AG217,0))))</f>
        <v/>
      </c>
      <c r="R217">
        <f>IF(F216&lt;=0,0,MIN(AK217,F$7+IF(F$2=$AA217,$AC217,IF(F$2=$AF217,$AG217,0))))</f>
        <v/>
      </c>
      <c r="S217">
        <f>IF(G216&lt;=0,0,MIN(AL217,G$7+IF(G$2=$AA217,$AC217,IF(G$2=$AF217,$AG217,0))))</f>
        <v/>
      </c>
      <c r="T217">
        <f>IF(H216&lt;=0,0,MIN(AM217,H$7+IF(H$2=$AA217,$AC217,IF(H$2=$AF217,$AG217,0))))</f>
        <v/>
      </c>
      <c r="U217">
        <f>IF(I216&lt;=0,0,MIN(AN217,I$7+IF(I$2=$AA217,$AC217,IF(I$2=$AF217,$AG217,0))))</f>
        <v/>
      </c>
      <c r="V217">
        <f>IF(J216&lt;=0,0,MIN(AO217,J$7+IF(J$2=$AA217,$AC217,IF(J$2=$AF217,$AG217,0))))</f>
        <v/>
      </c>
      <c r="W217">
        <f>IF(K216&lt;=0,0,MIN(AP217,K$7+IF(K$2=$AA217,$AC217,IF(K$2=$AF217,$AG217,0))))</f>
        <v/>
      </c>
      <c r="X217">
        <f>IF(L216&lt;=0,0,MIN(AQ217,L$7+IF(L$2=$AA217,$AC217,IF(L$2=$AF217,$AG217,0))))</f>
        <v/>
      </c>
      <c r="Y217">
        <f>IF(M216&lt;=0,0,MIN(AR217,M$7+IF(M$2=$AA217,$AC217,IF(M$2=$AF217,$AG217,0))))</f>
        <v/>
      </c>
      <c r="Z217">
        <f>IF(N216&lt;=0,0,MIN(AS217,N$7+IF(N$2=$AA217,$AC217,IF(N$2=$AF217,$AG217,0))))</f>
        <v/>
      </c>
      <c r="AA217">
        <f>IFERROR(ROUND(1/SUMPRODUCT(MAX((C216:N216&gt;0)*($C$3:$N$3&lt;=B217)/$C$2:$N$2)),0),0)</f>
        <v/>
      </c>
      <c r="AB217">
        <f>SUMPRODUCT((C216:N216&gt;0)*$C$7:$N$7)</f>
        <v/>
      </c>
      <c r="AC217">
        <f>MAX(0,Plan!$C$5-AB217)+IF(A217=Plan!$C$8,N(Plan!$C$7),0)</f>
        <v/>
      </c>
      <c r="AD217">
        <f>SUM(C217:N217)</f>
        <v/>
      </c>
      <c r="AE217">
        <f>SUM(O217:Z217)</f>
        <v/>
      </c>
      <c r="AF217">
        <f>IFERROR(ROUND(1/SUMPRODUCT(MAX((C216:N216&gt;0)*($C$3:$N$3&lt;=B217)*($C$2:$N$2&gt;AA217)/$C$2:$N$2)),0),0)</f>
        <v/>
      </c>
      <c r="AG217">
        <f>MAX(0,AC217-MAX(0,SUMPRODUCT(($C$2:$N$2=AA217)*(AH217:AS217-$C$7:$N$7))))</f>
        <v/>
      </c>
      <c r="AH217">
        <f>IF(C216&lt;=0,0,ROUND(C216*(1+IF(AND(C$6&gt;0,$B217&lt;C$6),C$4,C$5)/12),2))</f>
        <v/>
      </c>
      <c r="AI217">
        <f>IF(D216&lt;=0,0,ROUND(D216*(1+IF(AND(D$6&gt;0,$B217&lt;D$6),D$4,D$5)/12),2))</f>
        <v/>
      </c>
      <c r="AJ217">
        <f>IF(E216&lt;=0,0,ROUND(E216*(1+IF(AND(E$6&gt;0,$B217&lt;E$6),E$4,E$5)/12),2))</f>
        <v/>
      </c>
      <c r="AK217">
        <f>IF(F216&lt;=0,0,ROUND(F216*(1+IF(AND(F$6&gt;0,$B217&lt;F$6),F$4,F$5)/12),2))</f>
        <v/>
      </c>
      <c r="AL217">
        <f>IF(G216&lt;=0,0,ROUND(G216*(1+IF(AND(G$6&gt;0,$B217&lt;G$6),G$4,G$5)/12),2))</f>
        <v/>
      </c>
      <c r="AM217">
        <f>IF(H216&lt;=0,0,ROUND(H216*(1+IF(AND(H$6&gt;0,$B217&lt;H$6),H$4,H$5)/12),2))</f>
        <v/>
      </c>
      <c r="AN217">
        <f>IF(I216&lt;=0,0,ROUND(I216*(1+IF(AND(I$6&gt;0,$B217&lt;I$6),I$4,I$5)/12),2))</f>
        <v/>
      </c>
      <c r="AO217">
        <f>IF(J216&lt;=0,0,ROUND(J216*(1+IF(AND(J$6&gt;0,$B217&lt;J$6),J$4,J$5)/12),2))</f>
        <v/>
      </c>
      <c r="AP217">
        <f>IF(K216&lt;=0,0,ROUND(K216*(1+IF(AND(K$6&gt;0,$B217&lt;K$6),K$4,K$5)/12),2))</f>
        <v/>
      </c>
      <c r="AQ217">
        <f>IF(L216&lt;=0,0,ROUND(L216*(1+IF(AND(L$6&gt;0,$B217&lt;L$6),L$4,L$5)/12),2))</f>
        <v/>
      </c>
      <c r="AR217">
        <f>IF(M216&lt;=0,0,ROUND(M216*(1+IF(AND(M$6&gt;0,$B217&lt;M$6),M$4,M$5)/12),2))</f>
        <v/>
      </c>
      <c r="AS217">
        <f>IF(N216&lt;=0,0,ROUND(N216*(1+IF(AND(N$6&gt;0,$B217&lt;N$6),N$4,N$5)/12),2))</f>
        <v/>
      </c>
    </row>
    <row r="218">
      <c r="A218" t="n">
        <v>207</v>
      </c>
      <c r="B218">
        <f>EDATE(Plan!$C$6,206)</f>
        <v/>
      </c>
      <c r="C218">
        <f>IF(C217&lt;=0,0,MAX(0,AH218-O218))</f>
        <v/>
      </c>
      <c r="D218">
        <f>IF(D217&lt;=0,0,MAX(0,AI218-P218))</f>
        <v/>
      </c>
      <c r="E218">
        <f>IF(E217&lt;=0,0,MAX(0,AJ218-Q218))</f>
        <v/>
      </c>
      <c r="F218">
        <f>IF(F217&lt;=0,0,MAX(0,AK218-R218))</f>
        <v/>
      </c>
      <c r="G218">
        <f>IF(G217&lt;=0,0,MAX(0,AL218-S218))</f>
        <v/>
      </c>
      <c r="H218">
        <f>IF(H217&lt;=0,0,MAX(0,AM218-T218))</f>
        <v/>
      </c>
      <c r="I218">
        <f>IF(I217&lt;=0,0,MAX(0,AN218-U218))</f>
        <v/>
      </c>
      <c r="J218">
        <f>IF(J217&lt;=0,0,MAX(0,AO218-V218))</f>
        <v/>
      </c>
      <c r="K218">
        <f>IF(K217&lt;=0,0,MAX(0,AP218-W218))</f>
        <v/>
      </c>
      <c r="L218">
        <f>IF(L217&lt;=0,0,MAX(0,AQ218-X218))</f>
        <v/>
      </c>
      <c r="M218">
        <f>IF(M217&lt;=0,0,MAX(0,AR218-Y218))</f>
        <v/>
      </c>
      <c r="N218">
        <f>IF(N217&lt;=0,0,MAX(0,AS218-Z218))</f>
        <v/>
      </c>
      <c r="O218">
        <f>IF(C217&lt;=0,0,MIN(AH218,C$7+IF(C$2=$AA218,$AC218,IF(C$2=$AF218,$AG218,0))))</f>
        <v/>
      </c>
      <c r="P218">
        <f>IF(D217&lt;=0,0,MIN(AI218,D$7+IF(D$2=$AA218,$AC218,IF(D$2=$AF218,$AG218,0))))</f>
        <v/>
      </c>
      <c r="Q218">
        <f>IF(E217&lt;=0,0,MIN(AJ218,E$7+IF(E$2=$AA218,$AC218,IF(E$2=$AF218,$AG218,0))))</f>
        <v/>
      </c>
      <c r="R218">
        <f>IF(F217&lt;=0,0,MIN(AK218,F$7+IF(F$2=$AA218,$AC218,IF(F$2=$AF218,$AG218,0))))</f>
        <v/>
      </c>
      <c r="S218">
        <f>IF(G217&lt;=0,0,MIN(AL218,G$7+IF(G$2=$AA218,$AC218,IF(G$2=$AF218,$AG218,0))))</f>
        <v/>
      </c>
      <c r="T218">
        <f>IF(H217&lt;=0,0,MIN(AM218,H$7+IF(H$2=$AA218,$AC218,IF(H$2=$AF218,$AG218,0))))</f>
        <v/>
      </c>
      <c r="U218">
        <f>IF(I217&lt;=0,0,MIN(AN218,I$7+IF(I$2=$AA218,$AC218,IF(I$2=$AF218,$AG218,0))))</f>
        <v/>
      </c>
      <c r="V218">
        <f>IF(J217&lt;=0,0,MIN(AO218,J$7+IF(J$2=$AA218,$AC218,IF(J$2=$AF218,$AG218,0))))</f>
        <v/>
      </c>
      <c r="W218">
        <f>IF(K217&lt;=0,0,MIN(AP218,K$7+IF(K$2=$AA218,$AC218,IF(K$2=$AF218,$AG218,0))))</f>
        <v/>
      </c>
      <c r="X218">
        <f>IF(L217&lt;=0,0,MIN(AQ218,L$7+IF(L$2=$AA218,$AC218,IF(L$2=$AF218,$AG218,0))))</f>
        <v/>
      </c>
      <c r="Y218">
        <f>IF(M217&lt;=0,0,MIN(AR218,M$7+IF(M$2=$AA218,$AC218,IF(M$2=$AF218,$AG218,0))))</f>
        <v/>
      </c>
      <c r="Z218">
        <f>IF(N217&lt;=0,0,MIN(AS218,N$7+IF(N$2=$AA218,$AC218,IF(N$2=$AF218,$AG218,0))))</f>
        <v/>
      </c>
      <c r="AA218">
        <f>IFERROR(ROUND(1/SUMPRODUCT(MAX((C217:N217&gt;0)*($C$3:$N$3&lt;=B218)/$C$2:$N$2)),0),0)</f>
        <v/>
      </c>
      <c r="AB218">
        <f>SUMPRODUCT((C217:N217&gt;0)*$C$7:$N$7)</f>
        <v/>
      </c>
      <c r="AC218">
        <f>MAX(0,Plan!$C$5-AB218)+IF(A218=Plan!$C$8,N(Plan!$C$7),0)</f>
        <v/>
      </c>
      <c r="AD218">
        <f>SUM(C218:N218)</f>
        <v/>
      </c>
      <c r="AE218">
        <f>SUM(O218:Z218)</f>
        <v/>
      </c>
      <c r="AF218">
        <f>IFERROR(ROUND(1/SUMPRODUCT(MAX((C217:N217&gt;0)*($C$3:$N$3&lt;=B218)*($C$2:$N$2&gt;AA218)/$C$2:$N$2)),0),0)</f>
        <v/>
      </c>
      <c r="AG218">
        <f>MAX(0,AC218-MAX(0,SUMPRODUCT(($C$2:$N$2=AA218)*(AH218:AS218-$C$7:$N$7))))</f>
        <v/>
      </c>
      <c r="AH218">
        <f>IF(C217&lt;=0,0,ROUND(C217*(1+IF(AND(C$6&gt;0,$B218&lt;C$6),C$4,C$5)/12),2))</f>
        <v/>
      </c>
      <c r="AI218">
        <f>IF(D217&lt;=0,0,ROUND(D217*(1+IF(AND(D$6&gt;0,$B218&lt;D$6),D$4,D$5)/12),2))</f>
        <v/>
      </c>
      <c r="AJ218">
        <f>IF(E217&lt;=0,0,ROUND(E217*(1+IF(AND(E$6&gt;0,$B218&lt;E$6),E$4,E$5)/12),2))</f>
        <v/>
      </c>
      <c r="AK218">
        <f>IF(F217&lt;=0,0,ROUND(F217*(1+IF(AND(F$6&gt;0,$B218&lt;F$6),F$4,F$5)/12),2))</f>
        <v/>
      </c>
      <c r="AL218">
        <f>IF(G217&lt;=0,0,ROUND(G217*(1+IF(AND(G$6&gt;0,$B218&lt;G$6),G$4,G$5)/12),2))</f>
        <v/>
      </c>
      <c r="AM218">
        <f>IF(H217&lt;=0,0,ROUND(H217*(1+IF(AND(H$6&gt;0,$B218&lt;H$6),H$4,H$5)/12),2))</f>
        <v/>
      </c>
      <c r="AN218">
        <f>IF(I217&lt;=0,0,ROUND(I217*(1+IF(AND(I$6&gt;0,$B218&lt;I$6),I$4,I$5)/12),2))</f>
        <v/>
      </c>
      <c r="AO218">
        <f>IF(J217&lt;=0,0,ROUND(J217*(1+IF(AND(J$6&gt;0,$B218&lt;J$6),J$4,J$5)/12),2))</f>
        <v/>
      </c>
      <c r="AP218">
        <f>IF(K217&lt;=0,0,ROUND(K217*(1+IF(AND(K$6&gt;0,$B218&lt;K$6),K$4,K$5)/12),2))</f>
        <v/>
      </c>
      <c r="AQ218">
        <f>IF(L217&lt;=0,0,ROUND(L217*(1+IF(AND(L$6&gt;0,$B218&lt;L$6),L$4,L$5)/12),2))</f>
        <v/>
      </c>
      <c r="AR218">
        <f>IF(M217&lt;=0,0,ROUND(M217*(1+IF(AND(M$6&gt;0,$B218&lt;M$6),M$4,M$5)/12),2))</f>
        <v/>
      </c>
      <c r="AS218">
        <f>IF(N217&lt;=0,0,ROUND(N217*(1+IF(AND(N$6&gt;0,$B218&lt;N$6),N$4,N$5)/12),2))</f>
        <v/>
      </c>
    </row>
    <row r="219">
      <c r="A219" t="n">
        <v>208</v>
      </c>
      <c r="B219">
        <f>EDATE(Plan!$C$6,207)</f>
        <v/>
      </c>
      <c r="C219">
        <f>IF(C218&lt;=0,0,MAX(0,AH219-O219))</f>
        <v/>
      </c>
      <c r="D219">
        <f>IF(D218&lt;=0,0,MAX(0,AI219-P219))</f>
        <v/>
      </c>
      <c r="E219">
        <f>IF(E218&lt;=0,0,MAX(0,AJ219-Q219))</f>
        <v/>
      </c>
      <c r="F219">
        <f>IF(F218&lt;=0,0,MAX(0,AK219-R219))</f>
        <v/>
      </c>
      <c r="G219">
        <f>IF(G218&lt;=0,0,MAX(0,AL219-S219))</f>
        <v/>
      </c>
      <c r="H219">
        <f>IF(H218&lt;=0,0,MAX(0,AM219-T219))</f>
        <v/>
      </c>
      <c r="I219">
        <f>IF(I218&lt;=0,0,MAX(0,AN219-U219))</f>
        <v/>
      </c>
      <c r="J219">
        <f>IF(J218&lt;=0,0,MAX(0,AO219-V219))</f>
        <v/>
      </c>
      <c r="K219">
        <f>IF(K218&lt;=0,0,MAX(0,AP219-W219))</f>
        <v/>
      </c>
      <c r="L219">
        <f>IF(L218&lt;=0,0,MAX(0,AQ219-X219))</f>
        <v/>
      </c>
      <c r="M219">
        <f>IF(M218&lt;=0,0,MAX(0,AR219-Y219))</f>
        <v/>
      </c>
      <c r="N219">
        <f>IF(N218&lt;=0,0,MAX(0,AS219-Z219))</f>
        <v/>
      </c>
      <c r="O219">
        <f>IF(C218&lt;=0,0,MIN(AH219,C$7+IF(C$2=$AA219,$AC219,IF(C$2=$AF219,$AG219,0))))</f>
        <v/>
      </c>
      <c r="P219">
        <f>IF(D218&lt;=0,0,MIN(AI219,D$7+IF(D$2=$AA219,$AC219,IF(D$2=$AF219,$AG219,0))))</f>
        <v/>
      </c>
      <c r="Q219">
        <f>IF(E218&lt;=0,0,MIN(AJ219,E$7+IF(E$2=$AA219,$AC219,IF(E$2=$AF219,$AG219,0))))</f>
        <v/>
      </c>
      <c r="R219">
        <f>IF(F218&lt;=0,0,MIN(AK219,F$7+IF(F$2=$AA219,$AC219,IF(F$2=$AF219,$AG219,0))))</f>
        <v/>
      </c>
      <c r="S219">
        <f>IF(G218&lt;=0,0,MIN(AL219,G$7+IF(G$2=$AA219,$AC219,IF(G$2=$AF219,$AG219,0))))</f>
        <v/>
      </c>
      <c r="T219">
        <f>IF(H218&lt;=0,0,MIN(AM219,H$7+IF(H$2=$AA219,$AC219,IF(H$2=$AF219,$AG219,0))))</f>
        <v/>
      </c>
      <c r="U219">
        <f>IF(I218&lt;=0,0,MIN(AN219,I$7+IF(I$2=$AA219,$AC219,IF(I$2=$AF219,$AG219,0))))</f>
        <v/>
      </c>
      <c r="V219">
        <f>IF(J218&lt;=0,0,MIN(AO219,J$7+IF(J$2=$AA219,$AC219,IF(J$2=$AF219,$AG219,0))))</f>
        <v/>
      </c>
      <c r="W219">
        <f>IF(K218&lt;=0,0,MIN(AP219,K$7+IF(K$2=$AA219,$AC219,IF(K$2=$AF219,$AG219,0))))</f>
        <v/>
      </c>
      <c r="X219">
        <f>IF(L218&lt;=0,0,MIN(AQ219,L$7+IF(L$2=$AA219,$AC219,IF(L$2=$AF219,$AG219,0))))</f>
        <v/>
      </c>
      <c r="Y219">
        <f>IF(M218&lt;=0,0,MIN(AR219,M$7+IF(M$2=$AA219,$AC219,IF(M$2=$AF219,$AG219,0))))</f>
        <v/>
      </c>
      <c r="Z219">
        <f>IF(N218&lt;=0,0,MIN(AS219,N$7+IF(N$2=$AA219,$AC219,IF(N$2=$AF219,$AG219,0))))</f>
        <v/>
      </c>
      <c r="AA219">
        <f>IFERROR(ROUND(1/SUMPRODUCT(MAX((C218:N218&gt;0)*($C$3:$N$3&lt;=B219)/$C$2:$N$2)),0),0)</f>
        <v/>
      </c>
      <c r="AB219">
        <f>SUMPRODUCT((C218:N218&gt;0)*$C$7:$N$7)</f>
        <v/>
      </c>
      <c r="AC219">
        <f>MAX(0,Plan!$C$5-AB219)+IF(A219=Plan!$C$8,N(Plan!$C$7),0)</f>
        <v/>
      </c>
      <c r="AD219">
        <f>SUM(C219:N219)</f>
        <v/>
      </c>
      <c r="AE219">
        <f>SUM(O219:Z219)</f>
        <v/>
      </c>
      <c r="AF219">
        <f>IFERROR(ROUND(1/SUMPRODUCT(MAX((C218:N218&gt;0)*($C$3:$N$3&lt;=B219)*($C$2:$N$2&gt;AA219)/$C$2:$N$2)),0),0)</f>
        <v/>
      </c>
      <c r="AG219">
        <f>MAX(0,AC219-MAX(0,SUMPRODUCT(($C$2:$N$2=AA219)*(AH219:AS219-$C$7:$N$7))))</f>
        <v/>
      </c>
      <c r="AH219">
        <f>IF(C218&lt;=0,0,ROUND(C218*(1+IF(AND(C$6&gt;0,$B219&lt;C$6),C$4,C$5)/12),2))</f>
        <v/>
      </c>
      <c r="AI219">
        <f>IF(D218&lt;=0,0,ROUND(D218*(1+IF(AND(D$6&gt;0,$B219&lt;D$6),D$4,D$5)/12),2))</f>
        <v/>
      </c>
      <c r="AJ219">
        <f>IF(E218&lt;=0,0,ROUND(E218*(1+IF(AND(E$6&gt;0,$B219&lt;E$6),E$4,E$5)/12),2))</f>
        <v/>
      </c>
      <c r="AK219">
        <f>IF(F218&lt;=0,0,ROUND(F218*(1+IF(AND(F$6&gt;0,$B219&lt;F$6),F$4,F$5)/12),2))</f>
        <v/>
      </c>
      <c r="AL219">
        <f>IF(G218&lt;=0,0,ROUND(G218*(1+IF(AND(G$6&gt;0,$B219&lt;G$6),G$4,G$5)/12),2))</f>
        <v/>
      </c>
      <c r="AM219">
        <f>IF(H218&lt;=0,0,ROUND(H218*(1+IF(AND(H$6&gt;0,$B219&lt;H$6),H$4,H$5)/12),2))</f>
        <v/>
      </c>
      <c r="AN219">
        <f>IF(I218&lt;=0,0,ROUND(I218*(1+IF(AND(I$6&gt;0,$B219&lt;I$6),I$4,I$5)/12),2))</f>
        <v/>
      </c>
      <c r="AO219">
        <f>IF(J218&lt;=0,0,ROUND(J218*(1+IF(AND(J$6&gt;0,$B219&lt;J$6),J$4,J$5)/12),2))</f>
        <v/>
      </c>
      <c r="AP219">
        <f>IF(K218&lt;=0,0,ROUND(K218*(1+IF(AND(K$6&gt;0,$B219&lt;K$6),K$4,K$5)/12),2))</f>
        <v/>
      </c>
      <c r="AQ219">
        <f>IF(L218&lt;=0,0,ROUND(L218*(1+IF(AND(L$6&gt;0,$B219&lt;L$6),L$4,L$5)/12),2))</f>
        <v/>
      </c>
      <c r="AR219">
        <f>IF(M218&lt;=0,0,ROUND(M218*(1+IF(AND(M$6&gt;0,$B219&lt;M$6),M$4,M$5)/12),2))</f>
        <v/>
      </c>
      <c r="AS219">
        <f>IF(N218&lt;=0,0,ROUND(N218*(1+IF(AND(N$6&gt;0,$B219&lt;N$6),N$4,N$5)/12),2))</f>
        <v/>
      </c>
    </row>
    <row r="220">
      <c r="A220" t="n">
        <v>209</v>
      </c>
      <c r="B220">
        <f>EDATE(Plan!$C$6,208)</f>
        <v/>
      </c>
      <c r="C220">
        <f>IF(C219&lt;=0,0,MAX(0,AH220-O220))</f>
        <v/>
      </c>
      <c r="D220">
        <f>IF(D219&lt;=0,0,MAX(0,AI220-P220))</f>
        <v/>
      </c>
      <c r="E220">
        <f>IF(E219&lt;=0,0,MAX(0,AJ220-Q220))</f>
        <v/>
      </c>
      <c r="F220">
        <f>IF(F219&lt;=0,0,MAX(0,AK220-R220))</f>
        <v/>
      </c>
      <c r="G220">
        <f>IF(G219&lt;=0,0,MAX(0,AL220-S220))</f>
        <v/>
      </c>
      <c r="H220">
        <f>IF(H219&lt;=0,0,MAX(0,AM220-T220))</f>
        <v/>
      </c>
      <c r="I220">
        <f>IF(I219&lt;=0,0,MAX(0,AN220-U220))</f>
        <v/>
      </c>
      <c r="J220">
        <f>IF(J219&lt;=0,0,MAX(0,AO220-V220))</f>
        <v/>
      </c>
      <c r="K220">
        <f>IF(K219&lt;=0,0,MAX(0,AP220-W220))</f>
        <v/>
      </c>
      <c r="L220">
        <f>IF(L219&lt;=0,0,MAX(0,AQ220-X220))</f>
        <v/>
      </c>
      <c r="M220">
        <f>IF(M219&lt;=0,0,MAX(0,AR220-Y220))</f>
        <v/>
      </c>
      <c r="N220">
        <f>IF(N219&lt;=0,0,MAX(0,AS220-Z220))</f>
        <v/>
      </c>
      <c r="O220">
        <f>IF(C219&lt;=0,0,MIN(AH220,C$7+IF(C$2=$AA220,$AC220,IF(C$2=$AF220,$AG220,0))))</f>
        <v/>
      </c>
      <c r="P220">
        <f>IF(D219&lt;=0,0,MIN(AI220,D$7+IF(D$2=$AA220,$AC220,IF(D$2=$AF220,$AG220,0))))</f>
        <v/>
      </c>
      <c r="Q220">
        <f>IF(E219&lt;=0,0,MIN(AJ220,E$7+IF(E$2=$AA220,$AC220,IF(E$2=$AF220,$AG220,0))))</f>
        <v/>
      </c>
      <c r="R220">
        <f>IF(F219&lt;=0,0,MIN(AK220,F$7+IF(F$2=$AA220,$AC220,IF(F$2=$AF220,$AG220,0))))</f>
        <v/>
      </c>
      <c r="S220">
        <f>IF(G219&lt;=0,0,MIN(AL220,G$7+IF(G$2=$AA220,$AC220,IF(G$2=$AF220,$AG220,0))))</f>
        <v/>
      </c>
      <c r="T220">
        <f>IF(H219&lt;=0,0,MIN(AM220,H$7+IF(H$2=$AA220,$AC220,IF(H$2=$AF220,$AG220,0))))</f>
        <v/>
      </c>
      <c r="U220">
        <f>IF(I219&lt;=0,0,MIN(AN220,I$7+IF(I$2=$AA220,$AC220,IF(I$2=$AF220,$AG220,0))))</f>
        <v/>
      </c>
      <c r="V220">
        <f>IF(J219&lt;=0,0,MIN(AO220,J$7+IF(J$2=$AA220,$AC220,IF(J$2=$AF220,$AG220,0))))</f>
        <v/>
      </c>
      <c r="W220">
        <f>IF(K219&lt;=0,0,MIN(AP220,K$7+IF(K$2=$AA220,$AC220,IF(K$2=$AF220,$AG220,0))))</f>
        <v/>
      </c>
      <c r="X220">
        <f>IF(L219&lt;=0,0,MIN(AQ220,L$7+IF(L$2=$AA220,$AC220,IF(L$2=$AF220,$AG220,0))))</f>
        <v/>
      </c>
      <c r="Y220">
        <f>IF(M219&lt;=0,0,MIN(AR220,M$7+IF(M$2=$AA220,$AC220,IF(M$2=$AF220,$AG220,0))))</f>
        <v/>
      </c>
      <c r="Z220">
        <f>IF(N219&lt;=0,0,MIN(AS220,N$7+IF(N$2=$AA220,$AC220,IF(N$2=$AF220,$AG220,0))))</f>
        <v/>
      </c>
      <c r="AA220">
        <f>IFERROR(ROUND(1/SUMPRODUCT(MAX((C219:N219&gt;0)*($C$3:$N$3&lt;=B220)/$C$2:$N$2)),0),0)</f>
        <v/>
      </c>
      <c r="AB220">
        <f>SUMPRODUCT((C219:N219&gt;0)*$C$7:$N$7)</f>
        <v/>
      </c>
      <c r="AC220">
        <f>MAX(0,Plan!$C$5-AB220)+IF(A220=Plan!$C$8,N(Plan!$C$7),0)</f>
        <v/>
      </c>
      <c r="AD220">
        <f>SUM(C220:N220)</f>
        <v/>
      </c>
      <c r="AE220">
        <f>SUM(O220:Z220)</f>
        <v/>
      </c>
      <c r="AF220">
        <f>IFERROR(ROUND(1/SUMPRODUCT(MAX((C219:N219&gt;0)*($C$3:$N$3&lt;=B220)*($C$2:$N$2&gt;AA220)/$C$2:$N$2)),0),0)</f>
        <v/>
      </c>
      <c r="AG220">
        <f>MAX(0,AC220-MAX(0,SUMPRODUCT(($C$2:$N$2=AA220)*(AH220:AS220-$C$7:$N$7))))</f>
        <v/>
      </c>
      <c r="AH220">
        <f>IF(C219&lt;=0,0,ROUND(C219*(1+IF(AND(C$6&gt;0,$B220&lt;C$6),C$4,C$5)/12),2))</f>
        <v/>
      </c>
      <c r="AI220">
        <f>IF(D219&lt;=0,0,ROUND(D219*(1+IF(AND(D$6&gt;0,$B220&lt;D$6),D$4,D$5)/12),2))</f>
        <v/>
      </c>
      <c r="AJ220">
        <f>IF(E219&lt;=0,0,ROUND(E219*(1+IF(AND(E$6&gt;0,$B220&lt;E$6),E$4,E$5)/12),2))</f>
        <v/>
      </c>
      <c r="AK220">
        <f>IF(F219&lt;=0,0,ROUND(F219*(1+IF(AND(F$6&gt;0,$B220&lt;F$6),F$4,F$5)/12),2))</f>
        <v/>
      </c>
      <c r="AL220">
        <f>IF(G219&lt;=0,0,ROUND(G219*(1+IF(AND(G$6&gt;0,$B220&lt;G$6),G$4,G$5)/12),2))</f>
        <v/>
      </c>
      <c r="AM220">
        <f>IF(H219&lt;=0,0,ROUND(H219*(1+IF(AND(H$6&gt;0,$B220&lt;H$6),H$4,H$5)/12),2))</f>
        <v/>
      </c>
      <c r="AN220">
        <f>IF(I219&lt;=0,0,ROUND(I219*(1+IF(AND(I$6&gt;0,$B220&lt;I$6),I$4,I$5)/12),2))</f>
        <v/>
      </c>
      <c r="AO220">
        <f>IF(J219&lt;=0,0,ROUND(J219*(1+IF(AND(J$6&gt;0,$B220&lt;J$6),J$4,J$5)/12),2))</f>
        <v/>
      </c>
      <c r="AP220">
        <f>IF(K219&lt;=0,0,ROUND(K219*(1+IF(AND(K$6&gt;0,$B220&lt;K$6),K$4,K$5)/12),2))</f>
        <v/>
      </c>
      <c r="AQ220">
        <f>IF(L219&lt;=0,0,ROUND(L219*(1+IF(AND(L$6&gt;0,$B220&lt;L$6),L$4,L$5)/12),2))</f>
        <v/>
      </c>
      <c r="AR220">
        <f>IF(M219&lt;=0,0,ROUND(M219*(1+IF(AND(M$6&gt;0,$B220&lt;M$6),M$4,M$5)/12),2))</f>
        <v/>
      </c>
      <c r="AS220">
        <f>IF(N219&lt;=0,0,ROUND(N219*(1+IF(AND(N$6&gt;0,$B220&lt;N$6),N$4,N$5)/12),2))</f>
        <v/>
      </c>
    </row>
    <row r="221">
      <c r="A221" t="n">
        <v>210</v>
      </c>
      <c r="B221">
        <f>EDATE(Plan!$C$6,209)</f>
        <v/>
      </c>
      <c r="C221">
        <f>IF(C220&lt;=0,0,MAX(0,AH221-O221))</f>
        <v/>
      </c>
      <c r="D221">
        <f>IF(D220&lt;=0,0,MAX(0,AI221-P221))</f>
        <v/>
      </c>
      <c r="E221">
        <f>IF(E220&lt;=0,0,MAX(0,AJ221-Q221))</f>
        <v/>
      </c>
      <c r="F221">
        <f>IF(F220&lt;=0,0,MAX(0,AK221-R221))</f>
        <v/>
      </c>
      <c r="G221">
        <f>IF(G220&lt;=0,0,MAX(0,AL221-S221))</f>
        <v/>
      </c>
      <c r="H221">
        <f>IF(H220&lt;=0,0,MAX(0,AM221-T221))</f>
        <v/>
      </c>
      <c r="I221">
        <f>IF(I220&lt;=0,0,MAX(0,AN221-U221))</f>
        <v/>
      </c>
      <c r="J221">
        <f>IF(J220&lt;=0,0,MAX(0,AO221-V221))</f>
        <v/>
      </c>
      <c r="K221">
        <f>IF(K220&lt;=0,0,MAX(0,AP221-W221))</f>
        <v/>
      </c>
      <c r="L221">
        <f>IF(L220&lt;=0,0,MAX(0,AQ221-X221))</f>
        <v/>
      </c>
      <c r="M221">
        <f>IF(M220&lt;=0,0,MAX(0,AR221-Y221))</f>
        <v/>
      </c>
      <c r="N221">
        <f>IF(N220&lt;=0,0,MAX(0,AS221-Z221))</f>
        <v/>
      </c>
      <c r="O221">
        <f>IF(C220&lt;=0,0,MIN(AH221,C$7+IF(C$2=$AA221,$AC221,IF(C$2=$AF221,$AG221,0))))</f>
        <v/>
      </c>
      <c r="P221">
        <f>IF(D220&lt;=0,0,MIN(AI221,D$7+IF(D$2=$AA221,$AC221,IF(D$2=$AF221,$AG221,0))))</f>
        <v/>
      </c>
      <c r="Q221">
        <f>IF(E220&lt;=0,0,MIN(AJ221,E$7+IF(E$2=$AA221,$AC221,IF(E$2=$AF221,$AG221,0))))</f>
        <v/>
      </c>
      <c r="R221">
        <f>IF(F220&lt;=0,0,MIN(AK221,F$7+IF(F$2=$AA221,$AC221,IF(F$2=$AF221,$AG221,0))))</f>
        <v/>
      </c>
      <c r="S221">
        <f>IF(G220&lt;=0,0,MIN(AL221,G$7+IF(G$2=$AA221,$AC221,IF(G$2=$AF221,$AG221,0))))</f>
        <v/>
      </c>
      <c r="T221">
        <f>IF(H220&lt;=0,0,MIN(AM221,H$7+IF(H$2=$AA221,$AC221,IF(H$2=$AF221,$AG221,0))))</f>
        <v/>
      </c>
      <c r="U221">
        <f>IF(I220&lt;=0,0,MIN(AN221,I$7+IF(I$2=$AA221,$AC221,IF(I$2=$AF221,$AG221,0))))</f>
        <v/>
      </c>
      <c r="V221">
        <f>IF(J220&lt;=0,0,MIN(AO221,J$7+IF(J$2=$AA221,$AC221,IF(J$2=$AF221,$AG221,0))))</f>
        <v/>
      </c>
      <c r="W221">
        <f>IF(K220&lt;=0,0,MIN(AP221,K$7+IF(K$2=$AA221,$AC221,IF(K$2=$AF221,$AG221,0))))</f>
        <v/>
      </c>
      <c r="X221">
        <f>IF(L220&lt;=0,0,MIN(AQ221,L$7+IF(L$2=$AA221,$AC221,IF(L$2=$AF221,$AG221,0))))</f>
        <v/>
      </c>
      <c r="Y221">
        <f>IF(M220&lt;=0,0,MIN(AR221,M$7+IF(M$2=$AA221,$AC221,IF(M$2=$AF221,$AG221,0))))</f>
        <v/>
      </c>
      <c r="Z221">
        <f>IF(N220&lt;=0,0,MIN(AS221,N$7+IF(N$2=$AA221,$AC221,IF(N$2=$AF221,$AG221,0))))</f>
        <v/>
      </c>
      <c r="AA221">
        <f>IFERROR(ROUND(1/SUMPRODUCT(MAX((C220:N220&gt;0)*($C$3:$N$3&lt;=B221)/$C$2:$N$2)),0),0)</f>
        <v/>
      </c>
      <c r="AB221">
        <f>SUMPRODUCT((C220:N220&gt;0)*$C$7:$N$7)</f>
        <v/>
      </c>
      <c r="AC221">
        <f>MAX(0,Plan!$C$5-AB221)+IF(A221=Plan!$C$8,N(Plan!$C$7),0)</f>
        <v/>
      </c>
      <c r="AD221">
        <f>SUM(C221:N221)</f>
        <v/>
      </c>
      <c r="AE221">
        <f>SUM(O221:Z221)</f>
        <v/>
      </c>
      <c r="AF221">
        <f>IFERROR(ROUND(1/SUMPRODUCT(MAX((C220:N220&gt;0)*($C$3:$N$3&lt;=B221)*($C$2:$N$2&gt;AA221)/$C$2:$N$2)),0),0)</f>
        <v/>
      </c>
      <c r="AG221">
        <f>MAX(0,AC221-MAX(0,SUMPRODUCT(($C$2:$N$2=AA221)*(AH221:AS221-$C$7:$N$7))))</f>
        <v/>
      </c>
      <c r="AH221">
        <f>IF(C220&lt;=0,0,ROUND(C220*(1+IF(AND(C$6&gt;0,$B221&lt;C$6),C$4,C$5)/12),2))</f>
        <v/>
      </c>
      <c r="AI221">
        <f>IF(D220&lt;=0,0,ROUND(D220*(1+IF(AND(D$6&gt;0,$B221&lt;D$6),D$4,D$5)/12),2))</f>
        <v/>
      </c>
      <c r="AJ221">
        <f>IF(E220&lt;=0,0,ROUND(E220*(1+IF(AND(E$6&gt;0,$B221&lt;E$6),E$4,E$5)/12),2))</f>
        <v/>
      </c>
      <c r="AK221">
        <f>IF(F220&lt;=0,0,ROUND(F220*(1+IF(AND(F$6&gt;0,$B221&lt;F$6),F$4,F$5)/12),2))</f>
        <v/>
      </c>
      <c r="AL221">
        <f>IF(G220&lt;=0,0,ROUND(G220*(1+IF(AND(G$6&gt;0,$B221&lt;G$6),G$4,G$5)/12),2))</f>
        <v/>
      </c>
      <c r="AM221">
        <f>IF(H220&lt;=0,0,ROUND(H220*(1+IF(AND(H$6&gt;0,$B221&lt;H$6),H$4,H$5)/12),2))</f>
        <v/>
      </c>
      <c r="AN221">
        <f>IF(I220&lt;=0,0,ROUND(I220*(1+IF(AND(I$6&gt;0,$B221&lt;I$6),I$4,I$5)/12),2))</f>
        <v/>
      </c>
      <c r="AO221">
        <f>IF(J220&lt;=0,0,ROUND(J220*(1+IF(AND(J$6&gt;0,$B221&lt;J$6),J$4,J$5)/12),2))</f>
        <v/>
      </c>
      <c r="AP221">
        <f>IF(K220&lt;=0,0,ROUND(K220*(1+IF(AND(K$6&gt;0,$B221&lt;K$6),K$4,K$5)/12),2))</f>
        <v/>
      </c>
      <c r="AQ221">
        <f>IF(L220&lt;=0,0,ROUND(L220*(1+IF(AND(L$6&gt;0,$B221&lt;L$6),L$4,L$5)/12),2))</f>
        <v/>
      </c>
      <c r="AR221">
        <f>IF(M220&lt;=0,0,ROUND(M220*(1+IF(AND(M$6&gt;0,$B221&lt;M$6),M$4,M$5)/12),2))</f>
        <v/>
      </c>
      <c r="AS221">
        <f>IF(N220&lt;=0,0,ROUND(N220*(1+IF(AND(N$6&gt;0,$B221&lt;N$6),N$4,N$5)/12),2))</f>
        <v/>
      </c>
    </row>
    <row r="222">
      <c r="A222" t="n">
        <v>211</v>
      </c>
      <c r="B222">
        <f>EDATE(Plan!$C$6,210)</f>
        <v/>
      </c>
      <c r="C222">
        <f>IF(C221&lt;=0,0,MAX(0,AH222-O222))</f>
        <v/>
      </c>
      <c r="D222">
        <f>IF(D221&lt;=0,0,MAX(0,AI222-P222))</f>
        <v/>
      </c>
      <c r="E222">
        <f>IF(E221&lt;=0,0,MAX(0,AJ222-Q222))</f>
        <v/>
      </c>
      <c r="F222">
        <f>IF(F221&lt;=0,0,MAX(0,AK222-R222))</f>
        <v/>
      </c>
      <c r="G222">
        <f>IF(G221&lt;=0,0,MAX(0,AL222-S222))</f>
        <v/>
      </c>
      <c r="H222">
        <f>IF(H221&lt;=0,0,MAX(0,AM222-T222))</f>
        <v/>
      </c>
      <c r="I222">
        <f>IF(I221&lt;=0,0,MAX(0,AN222-U222))</f>
        <v/>
      </c>
      <c r="J222">
        <f>IF(J221&lt;=0,0,MAX(0,AO222-V222))</f>
        <v/>
      </c>
      <c r="K222">
        <f>IF(K221&lt;=0,0,MAX(0,AP222-W222))</f>
        <v/>
      </c>
      <c r="L222">
        <f>IF(L221&lt;=0,0,MAX(0,AQ222-X222))</f>
        <v/>
      </c>
      <c r="M222">
        <f>IF(M221&lt;=0,0,MAX(0,AR222-Y222))</f>
        <v/>
      </c>
      <c r="N222">
        <f>IF(N221&lt;=0,0,MAX(0,AS222-Z222))</f>
        <v/>
      </c>
      <c r="O222">
        <f>IF(C221&lt;=0,0,MIN(AH222,C$7+IF(C$2=$AA222,$AC222,IF(C$2=$AF222,$AG222,0))))</f>
        <v/>
      </c>
      <c r="P222">
        <f>IF(D221&lt;=0,0,MIN(AI222,D$7+IF(D$2=$AA222,$AC222,IF(D$2=$AF222,$AG222,0))))</f>
        <v/>
      </c>
      <c r="Q222">
        <f>IF(E221&lt;=0,0,MIN(AJ222,E$7+IF(E$2=$AA222,$AC222,IF(E$2=$AF222,$AG222,0))))</f>
        <v/>
      </c>
      <c r="R222">
        <f>IF(F221&lt;=0,0,MIN(AK222,F$7+IF(F$2=$AA222,$AC222,IF(F$2=$AF222,$AG222,0))))</f>
        <v/>
      </c>
      <c r="S222">
        <f>IF(G221&lt;=0,0,MIN(AL222,G$7+IF(G$2=$AA222,$AC222,IF(G$2=$AF222,$AG222,0))))</f>
        <v/>
      </c>
      <c r="T222">
        <f>IF(H221&lt;=0,0,MIN(AM222,H$7+IF(H$2=$AA222,$AC222,IF(H$2=$AF222,$AG222,0))))</f>
        <v/>
      </c>
      <c r="U222">
        <f>IF(I221&lt;=0,0,MIN(AN222,I$7+IF(I$2=$AA222,$AC222,IF(I$2=$AF222,$AG222,0))))</f>
        <v/>
      </c>
      <c r="V222">
        <f>IF(J221&lt;=0,0,MIN(AO222,J$7+IF(J$2=$AA222,$AC222,IF(J$2=$AF222,$AG222,0))))</f>
        <v/>
      </c>
      <c r="W222">
        <f>IF(K221&lt;=0,0,MIN(AP222,K$7+IF(K$2=$AA222,$AC222,IF(K$2=$AF222,$AG222,0))))</f>
        <v/>
      </c>
      <c r="X222">
        <f>IF(L221&lt;=0,0,MIN(AQ222,L$7+IF(L$2=$AA222,$AC222,IF(L$2=$AF222,$AG222,0))))</f>
        <v/>
      </c>
      <c r="Y222">
        <f>IF(M221&lt;=0,0,MIN(AR222,M$7+IF(M$2=$AA222,$AC222,IF(M$2=$AF222,$AG222,0))))</f>
        <v/>
      </c>
      <c r="Z222">
        <f>IF(N221&lt;=0,0,MIN(AS222,N$7+IF(N$2=$AA222,$AC222,IF(N$2=$AF222,$AG222,0))))</f>
        <v/>
      </c>
      <c r="AA222">
        <f>IFERROR(ROUND(1/SUMPRODUCT(MAX((C221:N221&gt;0)*($C$3:$N$3&lt;=B222)/$C$2:$N$2)),0),0)</f>
        <v/>
      </c>
      <c r="AB222">
        <f>SUMPRODUCT((C221:N221&gt;0)*$C$7:$N$7)</f>
        <v/>
      </c>
      <c r="AC222">
        <f>MAX(0,Plan!$C$5-AB222)+IF(A222=Plan!$C$8,N(Plan!$C$7),0)</f>
        <v/>
      </c>
      <c r="AD222">
        <f>SUM(C222:N222)</f>
        <v/>
      </c>
      <c r="AE222">
        <f>SUM(O222:Z222)</f>
        <v/>
      </c>
      <c r="AF222">
        <f>IFERROR(ROUND(1/SUMPRODUCT(MAX((C221:N221&gt;0)*($C$3:$N$3&lt;=B222)*($C$2:$N$2&gt;AA222)/$C$2:$N$2)),0),0)</f>
        <v/>
      </c>
      <c r="AG222">
        <f>MAX(0,AC222-MAX(0,SUMPRODUCT(($C$2:$N$2=AA222)*(AH222:AS222-$C$7:$N$7))))</f>
        <v/>
      </c>
      <c r="AH222">
        <f>IF(C221&lt;=0,0,ROUND(C221*(1+IF(AND(C$6&gt;0,$B222&lt;C$6),C$4,C$5)/12),2))</f>
        <v/>
      </c>
      <c r="AI222">
        <f>IF(D221&lt;=0,0,ROUND(D221*(1+IF(AND(D$6&gt;0,$B222&lt;D$6),D$4,D$5)/12),2))</f>
        <v/>
      </c>
      <c r="AJ222">
        <f>IF(E221&lt;=0,0,ROUND(E221*(1+IF(AND(E$6&gt;0,$B222&lt;E$6),E$4,E$5)/12),2))</f>
        <v/>
      </c>
      <c r="AK222">
        <f>IF(F221&lt;=0,0,ROUND(F221*(1+IF(AND(F$6&gt;0,$B222&lt;F$6),F$4,F$5)/12),2))</f>
        <v/>
      </c>
      <c r="AL222">
        <f>IF(G221&lt;=0,0,ROUND(G221*(1+IF(AND(G$6&gt;0,$B222&lt;G$6),G$4,G$5)/12),2))</f>
        <v/>
      </c>
      <c r="AM222">
        <f>IF(H221&lt;=0,0,ROUND(H221*(1+IF(AND(H$6&gt;0,$B222&lt;H$6),H$4,H$5)/12),2))</f>
        <v/>
      </c>
      <c r="AN222">
        <f>IF(I221&lt;=0,0,ROUND(I221*(1+IF(AND(I$6&gt;0,$B222&lt;I$6),I$4,I$5)/12),2))</f>
        <v/>
      </c>
      <c r="AO222">
        <f>IF(J221&lt;=0,0,ROUND(J221*(1+IF(AND(J$6&gt;0,$B222&lt;J$6),J$4,J$5)/12),2))</f>
        <v/>
      </c>
      <c r="AP222">
        <f>IF(K221&lt;=0,0,ROUND(K221*(1+IF(AND(K$6&gt;0,$B222&lt;K$6),K$4,K$5)/12),2))</f>
        <v/>
      </c>
      <c r="AQ222">
        <f>IF(L221&lt;=0,0,ROUND(L221*(1+IF(AND(L$6&gt;0,$B222&lt;L$6),L$4,L$5)/12),2))</f>
        <v/>
      </c>
      <c r="AR222">
        <f>IF(M221&lt;=0,0,ROUND(M221*(1+IF(AND(M$6&gt;0,$B222&lt;M$6),M$4,M$5)/12),2))</f>
        <v/>
      </c>
      <c r="AS222">
        <f>IF(N221&lt;=0,0,ROUND(N221*(1+IF(AND(N$6&gt;0,$B222&lt;N$6),N$4,N$5)/12),2))</f>
        <v/>
      </c>
    </row>
    <row r="223">
      <c r="A223" t="n">
        <v>212</v>
      </c>
      <c r="B223">
        <f>EDATE(Plan!$C$6,211)</f>
        <v/>
      </c>
      <c r="C223">
        <f>IF(C222&lt;=0,0,MAX(0,AH223-O223))</f>
        <v/>
      </c>
      <c r="D223">
        <f>IF(D222&lt;=0,0,MAX(0,AI223-P223))</f>
        <v/>
      </c>
      <c r="E223">
        <f>IF(E222&lt;=0,0,MAX(0,AJ223-Q223))</f>
        <v/>
      </c>
      <c r="F223">
        <f>IF(F222&lt;=0,0,MAX(0,AK223-R223))</f>
        <v/>
      </c>
      <c r="G223">
        <f>IF(G222&lt;=0,0,MAX(0,AL223-S223))</f>
        <v/>
      </c>
      <c r="H223">
        <f>IF(H222&lt;=0,0,MAX(0,AM223-T223))</f>
        <v/>
      </c>
      <c r="I223">
        <f>IF(I222&lt;=0,0,MAX(0,AN223-U223))</f>
        <v/>
      </c>
      <c r="J223">
        <f>IF(J222&lt;=0,0,MAX(0,AO223-V223))</f>
        <v/>
      </c>
      <c r="K223">
        <f>IF(K222&lt;=0,0,MAX(0,AP223-W223))</f>
        <v/>
      </c>
      <c r="L223">
        <f>IF(L222&lt;=0,0,MAX(0,AQ223-X223))</f>
        <v/>
      </c>
      <c r="M223">
        <f>IF(M222&lt;=0,0,MAX(0,AR223-Y223))</f>
        <v/>
      </c>
      <c r="N223">
        <f>IF(N222&lt;=0,0,MAX(0,AS223-Z223))</f>
        <v/>
      </c>
      <c r="O223">
        <f>IF(C222&lt;=0,0,MIN(AH223,C$7+IF(C$2=$AA223,$AC223,IF(C$2=$AF223,$AG223,0))))</f>
        <v/>
      </c>
      <c r="P223">
        <f>IF(D222&lt;=0,0,MIN(AI223,D$7+IF(D$2=$AA223,$AC223,IF(D$2=$AF223,$AG223,0))))</f>
        <v/>
      </c>
      <c r="Q223">
        <f>IF(E222&lt;=0,0,MIN(AJ223,E$7+IF(E$2=$AA223,$AC223,IF(E$2=$AF223,$AG223,0))))</f>
        <v/>
      </c>
      <c r="R223">
        <f>IF(F222&lt;=0,0,MIN(AK223,F$7+IF(F$2=$AA223,$AC223,IF(F$2=$AF223,$AG223,0))))</f>
        <v/>
      </c>
      <c r="S223">
        <f>IF(G222&lt;=0,0,MIN(AL223,G$7+IF(G$2=$AA223,$AC223,IF(G$2=$AF223,$AG223,0))))</f>
        <v/>
      </c>
      <c r="T223">
        <f>IF(H222&lt;=0,0,MIN(AM223,H$7+IF(H$2=$AA223,$AC223,IF(H$2=$AF223,$AG223,0))))</f>
        <v/>
      </c>
      <c r="U223">
        <f>IF(I222&lt;=0,0,MIN(AN223,I$7+IF(I$2=$AA223,$AC223,IF(I$2=$AF223,$AG223,0))))</f>
        <v/>
      </c>
      <c r="V223">
        <f>IF(J222&lt;=0,0,MIN(AO223,J$7+IF(J$2=$AA223,$AC223,IF(J$2=$AF223,$AG223,0))))</f>
        <v/>
      </c>
      <c r="W223">
        <f>IF(K222&lt;=0,0,MIN(AP223,K$7+IF(K$2=$AA223,$AC223,IF(K$2=$AF223,$AG223,0))))</f>
        <v/>
      </c>
      <c r="X223">
        <f>IF(L222&lt;=0,0,MIN(AQ223,L$7+IF(L$2=$AA223,$AC223,IF(L$2=$AF223,$AG223,0))))</f>
        <v/>
      </c>
      <c r="Y223">
        <f>IF(M222&lt;=0,0,MIN(AR223,M$7+IF(M$2=$AA223,$AC223,IF(M$2=$AF223,$AG223,0))))</f>
        <v/>
      </c>
      <c r="Z223">
        <f>IF(N222&lt;=0,0,MIN(AS223,N$7+IF(N$2=$AA223,$AC223,IF(N$2=$AF223,$AG223,0))))</f>
        <v/>
      </c>
      <c r="AA223">
        <f>IFERROR(ROUND(1/SUMPRODUCT(MAX((C222:N222&gt;0)*($C$3:$N$3&lt;=B223)/$C$2:$N$2)),0),0)</f>
        <v/>
      </c>
      <c r="AB223">
        <f>SUMPRODUCT((C222:N222&gt;0)*$C$7:$N$7)</f>
        <v/>
      </c>
      <c r="AC223">
        <f>MAX(0,Plan!$C$5-AB223)+IF(A223=Plan!$C$8,N(Plan!$C$7),0)</f>
        <v/>
      </c>
      <c r="AD223">
        <f>SUM(C223:N223)</f>
        <v/>
      </c>
      <c r="AE223">
        <f>SUM(O223:Z223)</f>
        <v/>
      </c>
      <c r="AF223">
        <f>IFERROR(ROUND(1/SUMPRODUCT(MAX((C222:N222&gt;0)*($C$3:$N$3&lt;=B223)*($C$2:$N$2&gt;AA223)/$C$2:$N$2)),0),0)</f>
        <v/>
      </c>
      <c r="AG223">
        <f>MAX(0,AC223-MAX(0,SUMPRODUCT(($C$2:$N$2=AA223)*(AH223:AS223-$C$7:$N$7))))</f>
        <v/>
      </c>
      <c r="AH223">
        <f>IF(C222&lt;=0,0,ROUND(C222*(1+IF(AND(C$6&gt;0,$B223&lt;C$6),C$4,C$5)/12),2))</f>
        <v/>
      </c>
      <c r="AI223">
        <f>IF(D222&lt;=0,0,ROUND(D222*(1+IF(AND(D$6&gt;0,$B223&lt;D$6),D$4,D$5)/12),2))</f>
        <v/>
      </c>
      <c r="AJ223">
        <f>IF(E222&lt;=0,0,ROUND(E222*(1+IF(AND(E$6&gt;0,$B223&lt;E$6),E$4,E$5)/12),2))</f>
        <v/>
      </c>
      <c r="AK223">
        <f>IF(F222&lt;=0,0,ROUND(F222*(1+IF(AND(F$6&gt;0,$B223&lt;F$6),F$4,F$5)/12),2))</f>
        <v/>
      </c>
      <c r="AL223">
        <f>IF(G222&lt;=0,0,ROUND(G222*(1+IF(AND(G$6&gt;0,$B223&lt;G$6),G$4,G$5)/12),2))</f>
        <v/>
      </c>
      <c r="AM223">
        <f>IF(H222&lt;=0,0,ROUND(H222*(1+IF(AND(H$6&gt;0,$B223&lt;H$6),H$4,H$5)/12),2))</f>
        <v/>
      </c>
      <c r="AN223">
        <f>IF(I222&lt;=0,0,ROUND(I222*(1+IF(AND(I$6&gt;0,$B223&lt;I$6),I$4,I$5)/12),2))</f>
        <v/>
      </c>
      <c r="AO223">
        <f>IF(J222&lt;=0,0,ROUND(J222*(1+IF(AND(J$6&gt;0,$B223&lt;J$6),J$4,J$5)/12),2))</f>
        <v/>
      </c>
      <c r="AP223">
        <f>IF(K222&lt;=0,0,ROUND(K222*(1+IF(AND(K$6&gt;0,$B223&lt;K$6),K$4,K$5)/12),2))</f>
        <v/>
      </c>
      <c r="AQ223">
        <f>IF(L222&lt;=0,0,ROUND(L222*(1+IF(AND(L$6&gt;0,$B223&lt;L$6),L$4,L$5)/12),2))</f>
        <v/>
      </c>
      <c r="AR223">
        <f>IF(M222&lt;=0,0,ROUND(M222*(1+IF(AND(M$6&gt;0,$B223&lt;M$6),M$4,M$5)/12),2))</f>
        <v/>
      </c>
      <c r="AS223">
        <f>IF(N222&lt;=0,0,ROUND(N222*(1+IF(AND(N$6&gt;0,$B223&lt;N$6),N$4,N$5)/12),2))</f>
        <v/>
      </c>
    </row>
    <row r="224">
      <c r="A224" t="n">
        <v>213</v>
      </c>
      <c r="B224">
        <f>EDATE(Plan!$C$6,212)</f>
        <v/>
      </c>
      <c r="C224">
        <f>IF(C223&lt;=0,0,MAX(0,AH224-O224))</f>
        <v/>
      </c>
      <c r="D224">
        <f>IF(D223&lt;=0,0,MAX(0,AI224-P224))</f>
        <v/>
      </c>
      <c r="E224">
        <f>IF(E223&lt;=0,0,MAX(0,AJ224-Q224))</f>
        <v/>
      </c>
      <c r="F224">
        <f>IF(F223&lt;=0,0,MAX(0,AK224-R224))</f>
        <v/>
      </c>
      <c r="G224">
        <f>IF(G223&lt;=0,0,MAX(0,AL224-S224))</f>
        <v/>
      </c>
      <c r="H224">
        <f>IF(H223&lt;=0,0,MAX(0,AM224-T224))</f>
        <v/>
      </c>
      <c r="I224">
        <f>IF(I223&lt;=0,0,MAX(0,AN224-U224))</f>
        <v/>
      </c>
      <c r="J224">
        <f>IF(J223&lt;=0,0,MAX(0,AO224-V224))</f>
        <v/>
      </c>
      <c r="K224">
        <f>IF(K223&lt;=0,0,MAX(0,AP224-W224))</f>
        <v/>
      </c>
      <c r="L224">
        <f>IF(L223&lt;=0,0,MAX(0,AQ224-X224))</f>
        <v/>
      </c>
      <c r="M224">
        <f>IF(M223&lt;=0,0,MAX(0,AR224-Y224))</f>
        <v/>
      </c>
      <c r="N224">
        <f>IF(N223&lt;=0,0,MAX(0,AS224-Z224))</f>
        <v/>
      </c>
      <c r="O224">
        <f>IF(C223&lt;=0,0,MIN(AH224,C$7+IF(C$2=$AA224,$AC224,IF(C$2=$AF224,$AG224,0))))</f>
        <v/>
      </c>
      <c r="P224">
        <f>IF(D223&lt;=0,0,MIN(AI224,D$7+IF(D$2=$AA224,$AC224,IF(D$2=$AF224,$AG224,0))))</f>
        <v/>
      </c>
      <c r="Q224">
        <f>IF(E223&lt;=0,0,MIN(AJ224,E$7+IF(E$2=$AA224,$AC224,IF(E$2=$AF224,$AG224,0))))</f>
        <v/>
      </c>
      <c r="R224">
        <f>IF(F223&lt;=0,0,MIN(AK224,F$7+IF(F$2=$AA224,$AC224,IF(F$2=$AF224,$AG224,0))))</f>
        <v/>
      </c>
      <c r="S224">
        <f>IF(G223&lt;=0,0,MIN(AL224,G$7+IF(G$2=$AA224,$AC224,IF(G$2=$AF224,$AG224,0))))</f>
        <v/>
      </c>
      <c r="T224">
        <f>IF(H223&lt;=0,0,MIN(AM224,H$7+IF(H$2=$AA224,$AC224,IF(H$2=$AF224,$AG224,0))))</f>
        <v/>
      </c>
      <c r="U224">
        <f>IF(I223&lt;=0,0,MIN(AN224,I$7+IF(I$2=$AA224,$AC224,IF(I$2=$AF224,$AG224,0))))</f>
        <v/>
      </c>
      <c r="V224">
        <f>IF(J223&lt;=0,0,MIN(AO224,J$7+IF(J$2=$AA224,$AC224,IF(J$2=$AF224,$AG224,0))))</f>
        <v/>
      </c>
      <c r="W224">
        <f>IF(K223&lt;=0,0,MIN(AP224,K$7+IF(K$2=$AA224,$AC224,IF(K$2=$AF224,$AG224,0))))</f>
        <v/>
      </c>
      <c r="X224">
        <f>IF(L223&lt;=0,0,MIN(AQ224,L$7+IF(L$2=$AA224,$AC224,IF(L$2=$AF224,$AG224,0))))</f>
        <v/>
      </c>
      <c r="Y224">
        <f>IF(M223&lt;=0,0,MIN(AR224,M$7+IF(M$2=$AA224,$AC224,IF(M$2=$AF224,$AG224,0))))</f>
        <v/>
      </c>
      <c r="Z224">
        <f>IF(N223&lt;=0,0,MIN(AS224,N$7+IF(N$2=$AA224,$AC224,IF(N$2=$AF224,$AG224,0))))</f>
        <v/>
      </c>
      <c r="AA224">
        <f>IFERROR(ROUND(1/SUMPRODUCT(MAX((C223:N223&gt;0)*($C$3:$N$3&lt;=B224)/$C$2:$N$2)),0),0)</f>
        <v/>
      </c>
      <c r="AB224">
        <f>SUMPRODUCT((C223:N223&gt;0)*$C$7:$N$7)</f>
        <v/>
      </c>
      <c r="AC224">
        <f>MAX(0,Plan!$C$5-AB224)+IF(A224=Plan!$C$8,N(Plan!$C$7),0)</f>
        <v/>
      </c>
      <c r="AD224">
        <f>SUM(C224:N224)</f>
        <v/>
      </c>
      <c r="AE224">
        <f>SUM(O224:Z224)</f>
        <v/>
      </c>
      <c r="AF224">
        <f>IFERROR(ROUND(1/SUMPRODUCT(MAX((C223:N223&gt;0)*($C$3:$N$3&lt;=B224)*($C$2:$N$2&gt;AA224)/$C$2:$N$2)),0),0)</f>
        <v/>
      </c>
      <c r="AG224">
        <f>MAX(0,AC224-MAX(0,SUMPRODUCT(($C$2:$N$2=AA224)*(AH224:AS224-$C$7:$N$7))))</f>
        <v/>
      </c>
      <c r="AH224">
        <f>IF(C223&lt;=0,0,ROUND(C223*(1+IF(AND(C$6&gt;0,$B224&lt;C$6),C$4,C$5)/12),2))</f>
        <v/>
      </c>
      <c r="AI224">
        <f>IF(D223&lt;=0,0,ROUND(D223*(1+IF(AND(D$6&gt;0,$B224&lt;D$6),D$4,D$5)/12),2))</f>
        <v/>
      </c>
      <c r="AJ224">
        <f>IF(E223&lt;=0,0,ROUND(E223*(1+IF(AND(E$6&gt;0,$B224&lt;E$6),E$4,E$5)/12),2))</f>
        <v/>
      </c>
      <c r="AK224">
        <f>IF(F223&lt;=0,0,ROUND(F223*(1+IF(AND(F$6&gt;0,$B224&lt;F$6),F$4,F$5)/12),2))</f>
        <v/>
      </c>
      <c r="AL224">
        <f>IF(G223&lt;=0,0,ROUND(G223*(1+IF(AND(G$6&gt;0,$B224&lt;G$6),G$4,G$5)/12),2))</f>
        <v/>
      </c>
      <c r="AM224">
        <f>IF(H223&lt;=0,0,ROUND(H223*(1+IF(AND(H$6&gt;0,$B224&lt;H$6),H$4,H$5)/12),2))</f>
        <v/>
      </c>
      <c r="AN224">
        <f>IF(I223&lt;=0,0,ROUND(I223*(1+IF(AND(I$6&gt;0,$B224&lt;I$6),I$4,I$5)/12),2))</f>
        <v/>
      </c>
      <c r="AO224">
        <f>IF(J223&lt;=0,0,ROUND(J223*(1+IF(AND(J$6&gt;0,$B224&lt;J$6),J$4,J$5)/12),2))</f>
        <v/>
      </c>
      <c r="AP224">
        <f>IF(K223&lt;=0,0,ROUND(K223*(1+IF(AND(K$6&gt;0,$B224&lt;K$6),K$4,K$5)/12),2))</f>
        <v/>
      </c>
      <c r="AQ224">
        <f>IF(L223&lt;=0,0,ROUND(L223*(1+IF(AND(L$6&gt;0,$B224&lt;L$6),L$4,L$5)/12),2))</f>
        <v/>
      </c>
      <c r="AR224">
        <f>IF(M223&lt;=0,0,ROUND(M223*(1+IF(AND(M$6&gt;0,$B224&lt;M$6),M$4,M$5)/12),2))</f>
        <v/>
      </c>
      <c r="AS224">
        <f>IF(N223&lt;=0,0,ROUND(N223*(1+IF(AND(N$6&gt;0,$B224&lt;N$6),N$4,N$5)/12),2))</f>
        <v/>
      </c>
    </row>
    <row r="225">
      <c r="A225" t="n">
        <v>214</v>
      </c>
      <c r="B225">
        <f>EDATE(Plan!$C$6,213)</f>
        <v/>
      </c>
      <c r="C225">
        <f>IF(C224&lt;=0,0,MAX(0,AH225-O225))</f>
        <v/>
      </c>
      <c r="D225">
        <f>IF(D224&lt;=0,0,MAX(0,AI225-P225))</f>
        <v/>
      </c>
      <c r="E225">
        <f>IF(E224&lt;=0,0,MAX(0,AJ225-Q225))</f>
        <v/>
      </c>
      <c r="F225">
        <f>IF(F224&lt;=0,0,MAX(0,AK225-R225))</f>
        <v/>
      </c>
      <c r="G225">
        <f>IF(G224&lt;=0,0,MAX(0,AL225-S225))</f>
        <v/>
      </c>
      <c r="H225">
        <f>IF(H224&lt;=0,0,MAX(0,AM225-T225))</f>
        <v/>
      </c>
      <c r="I225">
        <f>IF(I224&lt;=0,0,MAX(0,AN225-U225))</f>
        <v/>
      </c>
      <c r="J225">
        <f>IF(J224&lt;=0,0,MAX(0,AO225-V225))</f>
        <v/>
      </c>
      <c r="K225">
        <f>IF(K224&lt;=0,0,MAX(0,AP225-W225))</f>
        <v/>
      </c>
      <c r="L225">
        <f>IF(L224&lt;=0,0,MAX(0,AQ225-X225))</f>
        <v/>
      </c>
      <c r="M225">
        <f>IF(M224&lt;=0,0,MAX(0,AR225-Y225))</f>
        <v/>
      </c>
      <c r="N225">
        <f>IF(N224&lt;=0,0,MAX(0,AS225-Z225))</f>
        <v/>
      </c>
      <c r="O225">
        <f>IF(C224&lt;=0,0,MIN(AH225,C$7+IF(C$2=$AA225,$AC225,IF(C$2=$AF225,$AG225,0))))</f>
        <v/>
      </c>
      <c r="P225">
        <f>IF(D224&lt;=0,0,MIN(AI225,D$7+IF(D$2=$AA225,$AC225,IF(D$2=$AF225,$AG225,0))))</f>
        <v/>
      </c>
      <c r="Q225">
        <f>IF(E224&lt;=0,0,MIN(AJ225,E$7+IF(E$2=$AA225,$AC225,IF(E$2=$AF225,$AG225,0))))</f>
        <v/>
      </c>
      <c r="R225">
        <f>IF(F224&lt;=0,0,MIN(AK225,F$7+IF(F$2=$AA225,$AC225,IF(F$2=$AF225,$AG225,0))))</f>
        <v/>
      </c>
      <c r="S225">
        <f>IF(G224&lt;=0,0,MIN(AL225,G$7+IF(G$2=$AA225,$AC225,IF(G$2=$AF225,$AG225,0))))</f>
        <v/>
      </c>
      <c r="T225">
        <f>IF(H224&lt;=0,0,MIN(AM225,H$7+IF(H$2=$AA225,$AC225,IF(H$2=$AF225,$AG225,0))))</f>
        <v/>
      </c>
      <c r="U225">
        <f>IF(I224&lt;=0,0,MIN(AN225,I$7+IF(I$2=$AA225,$AC225,IF(I$2=$AF225,$AG225,0))))</f>
        <v/>
      </c>
      <c r="V225">
        <f>IF(J224&lt;=0,0,MIN(AO225,J$7+IF(J$2=$AA225,$AC225,IF(J$2=$AF225,$AG225,0))))</f>
        <v/>
      </c>
      <c r="W225">
        <f>IF(K224&lt;=0,0,MIN(AP225,K$7+IF(K$2=$AA225,$AC225,IF(K$2=$AF225,$AG225,0))))</f>
        <v/>
      </c>
      <c r="X225">
        <f>IF(L224&lt;=0,0,MIN(AQ225,L$7+IF(L$2=$AA225,$AC225,IF(L$2=$AF225,$AG225,0))))</f>
        <v/>
      </c>
      <c r="Y225">
        <f>IF(M224&lt;=0,0,MIN(AR225,M$7+IF(M$2=$AA225,$AC225,IF(M$2=$AF225,$AG225,0))))</f>
        <v/>
      </c>
      <c r="Z225">
        <f>IF(N224&lt;=0,0,MIN(AS225,N$7+IF(N$2=$AA225,$AC225,IF(N$2=$AF225,$AG225,0))))</f>
        <v/>
      </c>
      <c r="AA225">
        <f>IFERROR(ROUND(1/SUMPRODUCT(MAX((C224:N224&gt;0)*($C$3:$N$3&lt;=B225)/$C$2:$N$2)),0),0)</f>
        <v/>
      </c>
      <c r="AB225">
        <f>SUMPRODUCT((C224:N224&gt;0)*$C$7:$N$7)</f>
        <v/>
      </c>
      <c r="AC225">
        <f>MAX(0,Plan!$C$5-AB225)+IF(A225=Plan!$C$8,N(Plan!$C$7),0)</f>
        <v/>
      </c>
      <c r="AD225">
        <f>SUM(C225:N225)</f>
        <v/>
      </c>
      <c r="AE225">
        <f>SUM(O225:Z225)</f>
        <v/>
      </c>
      <c r="AF225">
        <f>IFERROR(ROUND(1/SUMPRODUCT(MAX((C224:N224&gt;0)*($C$3:$N$3&lt;=B225)*($C$2:$N$2&gt;AA225)/$C$2:$N$2)),0),0)</f>
        <v/>
      </c>
      <c r="AG225">
        <f>MAX(0,AC225-MAX(0,SUMPRODUCT(($C$2:$N$2=AA225)*(AH225:AS225-$C$7:$N$7))))</f>
        <v/>
      </c>
      <c r="AH225">
        <f>IF(C224&lt;=0,0,ROUND(C224*(1+IF(AND(C$6&gt;0,$B225&lt;C$6),C$4,C$5)/12),2))</f>
        <v/>
      </c>
      <c r="AI225">
        <f>IF(D224&lt;=0,0,ROUND(D224*(1+IF(AND(D$6&gt;0,$B225&lt;D$6),D$4,D$5)/12),2))</f>
        <v/>
      </c>
      <c r="AJ225">
        <f>IF(E224&lt;=0,0,ROUND(E224*(1+IF(AND(E$6&gt;0,$B225&lt;E$6),E$4,E$5)/12),2))</f>
        <v/>
      </c>
      <c r="AK225">
        <f>IF(F224&lt;=0,0,ROUND(F224*(1+IF(AND(F$6&gt;0,$B225&lt;F$6),F$4,F$5)/12),2))</f>
        <v/>
      </c>
      <c r="AL225">
        <f>IF(G224&lt;=0,0,ROUND(G224*(1+IF(AND(G$6&gt;0,$B225&lt;G$6),G$4,G$5)/12),2))</f>
        <v/>
      </c>
      <c r="AM225">
        <f>IF(H224&lt;=0,0,ROUND(H224*(1+IF(AND(H$6&gt;0,$B225&lt;H$6),H$4,H$5)/12),2))</f>
        <v/>
      </c>
      <c r="AN225">
        <f>IF(I224&lt;=0,0,ROUND(I224*(1+IF(AND(I$6&gt;0,$B225&lt;I$6),I$4,I$5)/12),2))</f>
        <v/>
      </c>
      <c r="AO225">
        <f>IF(J224&lt;=0,0,ROUND(J224*(1+IF(AND(J$6&gt;0,$B225&lt;J$6),J$4,J$5)/12),2))</f>
        <v/>
      </c>
      <c r="AP225">
        <f>IF(K224&lt;=0,0,ROUND(K224*(1+IF(AND(K$6&gt;0,$B225&lt;K$6),K$4,K$5)/12),2))</f>
        <v/>
      </c>
      <c r="AQ225">
        <f>IF(L224&lt;=0,0,ROUND(L224*(1+IF(AND(L$6&gt;0,$B225&lt;L$6),L$4,L$5)/12),2))</f>
        <v/>
      </c>
      <c r="AR225">
        <f>IF(M224&lt;=0,0,ROUND(M224*(1+IF(AND(M$6&gt;0,$B225&lt;M$6),M$4,M$5)/12),2))</f>
        <v/>
      </c>
      <c r="AS225">
        <f>IF(N224&lt;=0,0,ROUND(N224*(1+IF(AND(N$6&gt;0,$B225&lt;N$6),N$4,N$5)/12),2))</f>
        <v/>
      </c>
    </row>
    <row r="226">
      <c r="A226" t="n">
        <v>215</v>
      </c>
      <c r="B226">
        <f>EDATE(Plan!$C$6,214)</f>
        <v/>
      </c>
      <c r="C226">
        <f>IF(C225&lt;=0,0,MAX(0,AH226-O226))</f>
        <v/>
      </c>
      <c r="D226">
        <f>IF(D225&lt;=0,0,MAX(0,AI226-P226))</f>
        <v/>
      </c>
      <c r="E226">
        <f>IF(E225&lt;=0,0,MAX(0,AJ226-Q226))</f>
        <v/>
      </c>
      <c r="F226">
        <f>IF(F225&lt;=0,0,MAX(0,AK226-R226))</f>
        <v/>
      </c>
      <c r="G226">
        <f>IF(G225&lt;=0,0,MAX(0,AL226-S226))</f>
        <v/>
      </c>
      <c r="H226">
        <f>IF(H225&lt;=0,0,MAX(0,AM226-T226))</f>
        <v/>
      </c>
      <c r="I226">
        <f>IF(I225&lt;=0,0,MAX(0,AN226-U226))</f>
        <v/>
      </c>
      <c r="J226">
        <f>IF(J225&lt;=0,0,MAX(0,AO226-V226))</f>
        <v/>
      </c>
      <c r="K226">
        <f>IF(K225&lt;=0,0,MAX(0,AP226-W226))</f>
        <v/>
      </c>
      <c r="L226">
        <f>IF(L225&lt;=0,0,MAX(0,AQ226-X226))</f>
        <v/>
      </c>
      <c r="M226">
        <f>IF(M225&lt;=0,0,MAX(0,AR226-Y226))</f>
        <v/>
      </c>
      <c r="N226">
        <f>IF(N225&lt;=0,0,MAX(0,AS226-Z226))</f>
        <v/>
      </c>
      <c r="O226">
        <f>IF(C225&lt;=0,0,MIN(AH226,C$7+IF(C$2=$AA226,$AC226,IF(C$2=$AF226,$AG226,0))))</f>
        <v/>
      </c>
      <c r="P226">
        <f>IF(D225&lt;=0,0,MIN(AI226,D$7+IF(D$2=$AA226,$AC226,IF(D$2=$AF226,$AG226,0))))</f>
        <v/>
      </c>
      <c r="Q226">
        <f>IF(E225&lt;=0,0,MIN(AJ226,E$7+IF(E$2=$AA226,$AC226,IF(E$2=$AF226,$AG226,0))))</f>
        <v/>
      </c>
      <c r="R226">
        <f>IF(F225&lt;=0,0,MIN(AK226,F$7+IF(F$2=$AA226,$AC226,IF(F$2=$AF226,$AG226,0))))</f>
        <v/>
      </c>
      <c r="S226">
        <f>IF(G225&lt;=0,0,MIN(AL226,G$7+IF(G$2=$AA226,$AC226,IF(G$2=$AF226,$AG226,0))))</f>
        <v/>
      </c>
      <c r="T226">
        <f>IF(H225&lt;=0,0,MIN(AM226,H$7+IF(H$2=$AA226,$AC226,IF(H$2=$AF226,$AG226,0))))</f>
        <v/>
      </c>
      <c r="U226">
        <f>IF(I225&lt;=0,0,MIN(AN226,I$7+IF(I$2=$AA226,$AC226,IF(I$2=$AF226,$AG226,0))))</f>
        <v/>
      </c>
      <c r="V226">
        <f>IF(J225&lt;=0,0,MIN(AO226,J$7+IF(J$2=$AA226,$AC226,IF(J$2=$AF226,$AG226,0))))</f>
        <v/>
      </c>
      <c r="W226">
        <f>IF(K225&lt;=0,0,MIN(AP226,K$7+IF(K$2=$AA226,$AC226,IF(K$2=$AF226,$AG226,0))))</f>
        <v/>
      </c>
      <c r="X226">
        <f>IF(L225&lt;=0,0,MIN(AQ226,L$7+IF(L$2=$AA226,$AC226,IF(L$2=$AF226,$AG226,0))))</f>
        <v/>
      </c>
      <c r="Y226">
        <f>IF(M225&lt;=0,0,MIN(AR226,M$7+IF(M$2=$AA226,$AC226,IF(M$2=$AF226,$AG226,0))))</f>
        <v/>
      </c>
      <c r="Z226">
        <f>IF(N225&lt;=0,0,MIN(AS226,N$7+IF(N$2=$AA226,$AC226,IF(N$2=$AF226,$AG226,0))))</f>
        <v/>
      </c>
      <c r="AA226">
        <f>IFERROR(ROUND(1/SUMPRODUCT(MAX((C225:N225&gt;0)*($C$3:$N$3&lt;=B226)/$C$2:$N$2)),0),0)</f>
        <v/>
      </c>
      <c r="AB226">
        <f>SUMPRODUCT((C225:N225&gt;0)*$C$7:$N$7)</f>
        <v/>
      </c>
      <c r="AC226">
        <f>MAX(0,Plan!$C$5-AB226)+IF(A226=Plan!$C$8,N(Plan!$C$7),0)</f>
        <v/>
      </c>
      <c r="AD226">
        <f>SUM(C226:N226)</f>
        <v/>
      </c>
      <c r="AE226">
        <f>SUM(O226:Z226)</f>
        <v/>
      </c>
      <c r="AF226">
        <f>IFERROR(ROUND(1/SUMPRODUCT(MAX((C225:N225&gt;0)*($C$3:$N$3&lt;=B226)*($C$2:$N$2&gt;AA226)/$C$2:$N$2)),0),0)</f>
        <v/>
      </c>
      <c r="AG226">
        <f>MAX(0,AC226-MAX(0,SUMPRODUCT(($C$2:$N$2=AA226)*(AH226:AS226-$C$7:$N$7))))</f>
        <v/>
      </c>
      <c r="AH226">
        <f>IF(C225&lt;=0,0,ROUND(C225*(1+IF(AND(C$6&gt;0,$B226&lt;C$6),C$4,C$5)/12),2))</f>
        <v/>
      </c>
      <c r="AI226">
        <f>IF(D225&lt;=0,0,ROUND(D225*(1+IF(AND(D$6&gt;0,$B226&lt;D$6),D$4,D$5)/12),2))</f>
        <v/>
      </c>
      <c r="AJ226">
        <f>IF(E225&lt;=0,0,ROUND(E225*(1+IF(AND(E$6&gt;0,$B226&lt;E$6),E$4,E$5)/12),2))</f>
        <v/>
      </c>
      <c r="AK226">
        <f>IF(F225&lt;=0,0,ROUND(F225*(1+IF(AND(F$6&gt;0,$B226&lt;F$6),F$4,F$5)/12),2))</f>
        <v/>
      </c>
      <c r="AL226">
        <f>IF(G225&lt;=0,0,ROUND(G225*(1+IF(AND(G$6&gt;0,$B226&lt;G$6),G$4,G$5)/12),2))</f>
        <v/>
      </c>
      <c r="AM226">
        <f>IF(H225&lt;=0,0,ROUND(H225*(1+IF(AND(H$6&gt;0,$B226&lt;H$6),H$4,H$5)/12),2))</f>
        <v/>
      </c>
      <c r="AN226">
        <f>IF(I225&lt;=0,0,ROUND(I225*(1+IF(AND(I$6&gt;0,$B226&lt;I$6),I$4,I$5)/12),2))</f>
        <v/>
      </c>
      <c r="AO226">
        <f>IF(J225&lt;=0,0,ROUND(J225*(1+IF(AND(J$6&gt;0,$B226&lt;J$6),J$4,J$5)/12),2))</f>
        <v/>
      </c>
      <c r="AP226">
        <f>IF(K225&lt;=0,0,ROUND(K225*(1+IF(AND(K$6&gt;0,$B226&lt;K$6),K$4,K$5)/12),2))</f>
        <v/>
      </c>
      <c r="AQ226">
        <f>IF(L225&lt;=0,0,ROUND(L225*(1+IF(AND(L$6&gt;0,$B226&lt;L$6),L$4,L$5)/12),2))</f>
        <v/>
      </c>
      <c r="AR226">
        <f>IF(M225&lt;=0,0,ROUND(M225*(1+IF(AND(M$6&gt;0,$B226&lt;M$6),M$4,M$5)/12),2))</f>
        <v/>
      </c>
      <c r="AS226">
        <f>IF(N225&lt;=0,0,ROUND(N225*(1+IF(AND(N$6&gt;0,$B226&lt;N$6),N$4,N$5)/12),2))</f>
        <v/>
      </c>
    </row>
    <row r="227">
      <c r="A227" t="n">
        <v>216</v>
      </c>
      <c r="B227">
        <f>EDATE(Plan!$C$6,215)</f>
        <v/>
      </c>
      <c r="C227">
        <f>IF(C226&lt;=0,0,MAX(0,AH227-O227))</f>
        <v/>
      </c>
      <c r="D227">
        <f>IF(D226&lt;=0,0,MAX(0,AI227-P227))</f>
        <v/>
      </c>
      <c r="E227">
        <f>IF(E226&lt;=0,0,MAX(0,AJ227-Q227))</f>
        <v/>
      </c>
      <c r="F227">
        <f>IF(F226&lt;=0,0,MAX(0,AK227-R227))</f>
        <v/>
      </c>
      <c r="G227">
        <f>IF(G226&lt;=0,0,MAX(0,AL227-S227))</f>
        <v/>
      </c>
      <c r="H227">
        <f>IF(H226&lt;=0,0,MAX(0,AM227-T227))</f>
        <v/>
      </c>
      <c r="I227">
        <f>IF(I226&lt;=0,0,MAX(0,AN227-U227))</f>
        <v/>
      </c>
      <c r="J227">
        <f>IF(J226&lt;=0,0,MAX(0,AO227-V227))</f>
        <v/>
      </c>
      <c r="K227">
        <f>IF(K226&lt;=0,0,MAX(0,AP227-W227))</f>
        <v/>
      </c>
      <c r="L227">
        <f>IF(L226&lt;=0,0,MAX(0,AQ227-X227))</f>
        <v/>
      </c>
      <c r="M227">
        <f>IF(M226&lt;=0,0,MAX(0,AR227-Y227))</f>
        <v/>
      </c>
      <c r="N227">
        <f>IF(N226&lt;=0,0,MAX(0,AS227-Z227))</f>
        <v/>
      </c>
      <c r="O227">
        <f>IF(C226&lt;=0,0,MIN(AH227,C$7+IF(C$2=$AA227,$AC227,IF(C$2=$AF227,$AG227,0))))</f>
        <v/>
      </c>
      <c r="P227">
        <f>IF(D226&lt;=0,0,MIN(AI227,D$7+IF(D$2=$AA227,$AC227,IF(D$2=$AF227,$AG227,0))))</f>
        <v/>
      </c>
      <c r="Q227">
        <f>IF(E226&lt;=0,0,MIN(AJ227,E$7+IF(E$2=$AA227,$AC227,IF(E$2=$AF227,$AG227,0))))</f>
        <v/>
      </c>
      <c r="R227">
        <f>IF(F226&lt;=0,0,MIN(AK227,F$7+IF(F$2=$AA227,$AC227,IF(F$2=$AF227,$AG227,0))))</f>
        <v/>
      </c>
      <c r="S227">
        <f>IF(G226&lt;=0,0,MIN(AL227,G$7+IF(G$2=$AA227,$AC227,IF(G$2=$AF227,$AG227,0))))</f>
        <v/>
      </c>
      <c r="T227">
        <f>IF(H226&lt;=0,0,MIN(AM227,H$7+IF(H$2=$AA227,$AC227,IF(H$2=$AF227,$AG227,0))))</f>
        <v/>
      </c>
      <c r="U227">
        <f>IF(I226&lt;=0,0,MIN(AN227,I$7+IF(I$2=$AA227,$AC227,IF(I$2=$AF227,$AG227,0))))</f>
        <v/>
      </c>
      <c r="V227">
        <f>IF(J226&lt;=0,0,MIN(AO227,J$7+IF(J$2=$AA227,$AC227,IF(J$2=$AF227,$AG227,0))))</f>
        <v/>
      </c>
      <c r="W227">
        <f>IF(K226&lt;=0,0,MIN(AP227,K$7+IF(K$2=$AA227,$AC227,IF(K$2=$AF227,$AG227,0))))</f>
        <v/>
      </c>
      <c r="X227">
        <f>IF(L226&lt;=0,0,MIN(AQ227,L$7+IF(L$2=$AA227,$AC227,IF(L$2=$AF227,$AG227,0))))</f>
        <v/>
      </c>
      <c r="Y227">
        <f>IF(M226&lt;=0,0,MIN(AR227,M$7+IF(M$2=$AA227,$AC227,IF(M$2=$AF227,$AG227,0))))</f>
        <v/>
      </c>
      <c r="Z227">
        <f>IF(N226&lt;=0,0,MIN(AS227,N$7+IF(N$2=$AA227,$AC227,IF(N$2=$AF227,$AG227,0))))</f>
        <v/>
      </c>
      <c r="AA227">
        <f>IFERROR(ROUND(1/SUMPRODUCT(MAX((C226:N226&gt;0)*($C$3:$N$3&lt;=B227)/$C$2:$N$2)),0),0)</f>
        <v/>
      </c>
      <c r="AB227">
        <f>SUMPRODUCT((C226:N226&gt;0)*$C$7:$N$7)</f>
        <v/>
      </c>
      <c r="AC227">
        <f>MAX(0,Plan!$C$5-AB227)+IF(A227=Plan!$C$8,N(Plan!$C$7),0)</f>
        <v/>
      </c>
      <c r="AD227">
        <f>SUM(C227:N227)</f>
        <v/>
      </c>
      <c r="AE227">
        <f>SUM(O227:Z227)</f>
        <v/>
      </c>
      <c r="AF227">
        <f>IFERROR(ROUND(1/SUMPRODUCT(MAX((C226:N226&gt;0)*($C$3:$N$3&lt;=B227)*($C$2:$N$2&gt;AA227)/$C$2:$N$2)),0),0)</f>
        <v/>
      </c>
      <c r="AG227">
        <f>MAX(0,AC227-MAX(0,SUMPRODUCT(($C$2:$N$2=AA227)*(AH227:AS227-$C$7:$N$7))))</f>
        <v/>
      </c>
      <c r="AH227">
        <f>IF(C226&lt;=0,0,ROUND(C226*(1+IF(AND(C$6&gt;0,$B227&lt;C$6),C$4,C$5)/12),2))</f>
        <v/>
      </c>
      <c r="AI227">
        <f>IF(D226&lt;=0,0,ROUND(D226*(1+IF(AND(D$6&gt;0,$B227&lt;D$6),D$4,D$5)/12),2))</f>
        <v/>
      </c>
      <c r="AJ227">
        <f>IF(E226&lt;=0,0,ROUND(E226*(1+IF(AND(E$6&gt;0,$B227&lt;E$6),E$4,E$5)/12),2))</f>
        <v/>
      </c>
      <c r="AK227">
        <f>IF(F226&lt;=0,0,ROUND(F226*(1+IF(AND(F$6&gt;0,$B227&lt;F$6),F$4,F$5)/12),2))</f>
        <v/>
      </c>
      <c r="AL227">
        <f>IF(G226&lt;=0,0,ROUND(G226*(1+IF(AND(G$6&gt;0,$B227&lt;G$6),G$4,G$5)/12),2))</f>
        <v/>
      </c>
      <c r="AM227">
        <f>IF(H226&lt;=0,0,ROUND(H226*(1+IF(AND(H$6&gt;0,$B227&lt;H$6),H$4,H$5)/12),2))</f>
        <v/>
      </c>
      <c r="AN227">
        <f>IF(I226&lt;=0,0,ROUND(I226*(1+IF(AND(I$6&gt;0,$B227&lt;I$6),I$4,I$5)/12),2))</f>
        <v/>
      </c>
      <c r="AO227">
        <f>IF(J226&lt;=0,0,ROUND(J226*(1+IF(AND(J$6&gt;0,$B227&lt;J$6),J$4,J$5)/12),2))</f>
        <v/>
      </c>
      <c r="AP227">
        <f>IF(K226&lt;=0,0,ROUND(K226*(1+IF(AND(K$6&gt;0,$B227&lt;K$6),K$4,K$5)/12),2))</f>
        <v/>
      </c>
      <c r="AQ227">
        <f>IF(L226&lt;=0,0,ROUND(L226*(1+IF(AND(L$6&gt;0,$B227&lt;L$6),L$4,L$5)/12),2))</f>
        <v/>
      </c>
      <c r="AR227">
        <f>IF(M226&lt;=0,0,ROUND(M226*(1+IF(AND(M$6&gt;0,$B227&lt;M$6),M$4,M$5)/12),2))</f>
        <v/>
      </c>
      <c r="AS227">
        <f>IF(N226&lt;=0,0,ROUND(N226*(1+IF(AND(N$6&gt;0,$B227&lt;N$6),N$4,N$5)/12),2))</f>
        <v/>
      </c>
    </row>
    <row r="228">
      <c r="A228" t="n">
        <v>217</v>
      </c>
      <c r="B228">
        <f>EDATE(Plan!$C$6,216)</f>
        <v/>
      </c>
      <c r="C228">
        <f>IF(C227&lt;=0,0,MAX(0,AH228-O228))</f>
        <v/>
      </c>
      <c r="D228">
        <f>IF(D227&lt;=0,0,MAX(0,AI228-P228))</f>
        <v/>
      </c>
      <c r="E228">
        <f>IF(E227&lt;=0,0,MAX(0,AJ228-Q228))</f>
        <v/>
      </c>
      <c r="F228">
        <f>IF(F227&lt;=0,0,MAX(0,AK228-R228))</f>
        <v/>
      </c>
      <c r="G228">
        <f>IF(G227&lt;=0,0,MAX(0,AL228-S228))</f>
        <v/>
      </c>
      <c r="H228">
        <f>IF(H227&lt;=0,0,MAX(0,AM228-T228))</f>
        <v/>
      </c>
      <c r="I228">
        <f>IF(I227&lt;=0,0,MAX(0,AN228-U228))</f>
        <v/>
      </c>
      <c r="J228">
        <f>IF(J227&lt;=0,0,MAX(0,AO228-V228))</f>
        <v/>
      </c>
      <c r="K228">
        <f>IF(K227&lt;=0,0,MAX(0,AP228-W228))</f>
        <v/>
      </c>
      <c r="L228">
        <f>IF(L227&lt;=0,0,MAX(0,AQ228-X228))</f>
        <v/>
      </c>
      <c r="M228">
        <f>IF(M227&lt;=0,0,MAX(0,AR228-Y228))</f>
        <v/>
      </c>
      <c r="N228">
        <f>IF(N227&lt;=0,0,MAX(0,AS228-Z228))</f>
        <v/>
      </c>
      <c r="O228">
        <f>IF(C227&lt;=0,0,MIN(AH228,C$7+IF(C$2=$AA228,$AC228,IF(C$2=$AF228,$AG228,0))))</f>
        <v/>
      </c>
      <c r="P228">
        <f>IF(D227&lt;=0,0,MIN(AI228,D$7+IF(D$2=$AA228,$AC228,IF(D$2=$AF228,$AG228,0))))</f>
        <v/>
      </c>
      <c r="Q228">
        <f>IF(E227&lt;=0,0,MIN(AJ228,E$7+IF(E$2=$AA228,$AC228,IF(E$2=$AF228,$AG228,0))))</f>
        <v/>
      </c>
      <c r="R228">
        <f>IF(F227&lt;=0,0,MIN(AK228,F$7+IF(F$2=$AA228,$AC228,IF(F$2=$AF228,$AG228,0))))</f>
        <v/>
      </c>
      <c r="S228">
        <f>IF(G227&lt;=0,0,MIN(AL228,G$7+IF(G$2=$AA228,$AC228,IF(G$2=$AF228,$AG228,0))))</f>
        <v/>
      </c>
      <c r="T228">
        <f>IF(H227&lt;=0,0,MIN(AM228,H$7+IF(H$2=$AA228,$AC228,IF(H$2=$AF228,$AG228,0))))</f>
        <v/>
      </c>
      <c r="U228">
        <f>IF(I227&lt;=0,0,MIN(AN228,I$7+IF(I$2=$AA228,$AC228,IF(I$2=$AF228,$AG228,0))))</f>
        <v/>
      </c>
      <c r="V228">
        <f>IF(J227&lt;=0,0,MIN(AO228,J$7+IF(J$2=$AA228,$AC228,IF(J$2=$AF228,$AG228,0))))</f>
        <v/>
      </c>
      <c r="W228">
        <f>IF(K227&lt;=0,0,MIN(AP228,K$7+IF(K$2=$AA228,$AC228,IF(K$2=$AF228,$AG228,0))))</f>
        <v/>
      </c>
      <c r="X228">
        <f>IF(L227&lt;=0,0,MIN(AQ228,L$7+IF(L$2=$AA228,$AC228,IF(L$2=$AF228,$AG228,0))))</f>
        <v/>
      </c>
      <c r="Y228">
        <f>IF(M227&lt;=0,0,MIN(AR228,M$7+IF(M$2=$AA228,$AC228,IF(M$2=$AF228,$AG228,0))))</f>
        <v/>
      </c>
      <c r="Z228">
        <f>IF(N227&lt;=0,0,MIN(AS228,N$7+IF(N$2=$AA228,$AC228,IF(N$2=$AF228,$AG228,0))))</f>
        <v/>
      </c>
      <c r="AA228">
        <f>IFERROR(ROUND(1/SUMPRODUCT(MAX((C227:N227&gt;0)*($C$3:$N$3&lt;=B228)/$C$2:$N$2)),0),0)</f>
        <v/>
      </c>
      <c r="AB228">
        <f>SUMPRODUCT((C227:N227&gt;0)*$C$7:$N$7)</f>
        <v/>
      </c>
      <c r="AC228">
        <f>MAX(0,Plan!$C$5-AB228)+IF(A228=Plan!$C$8,N(Plan!$C$7),0)</f>
        <v/>
      </c>
      <c r="AD228">
        <f>SUM(C228:N228)</f>
        <v/>
      </c>
      <c r="AE228">
        <f>SUM(O228:Z228)</f>
        <v/>
      </c>
      <c r="AF228">
        <f>IFERROR(ROUND(1/SUMPRODUCT(MAX((C227:N227&gt;0)*($C$3:$N$3&lt;=B228)*($C$2:$N$2&gt;AA228)/$C$2:$N$2)),0),0)</f>
        <v/>
      </c>
      <c r="AG228">
        <f>MAX(0,AC228-MAX(0,SUMPRODUCT(($C$2:$N$2=AA228)*(AH228:AS228-$C$7:$N$7))))</f>
        <v/>
      </c>
      <c r="AH228">
        <f>IF(C227&lt;=0,0,ROUND(C227*(1+IF(AND(C$6&gt;0,$B228&lt;C$6),C$4,C$5)/12),2))</f>
        <v/>
      </c>
      <c r="AI228">
        <f>IF(D227&lt;=0,0,ROUND(D227*(1+IF(AND(D$6&gt;0,$B228&lt;D$6),D$4,D$5)/12),2))</f>
        <v/>
      </c>
      <c r="AJ228">
        <f>IF(E227&lt;=0,0,ROUND(E227*(1+IF(AND(E$6&gt;0,$B228&lt;E$6),E$4,E$5)/12),2))</f>
        <v/>
      </c>
      <c r="AK228">
        <f>IF(F227&lt;=0,0,ROUND(F227*(1+IF(AND(F$6&gt;0,$B228&lt;F$6),F$4,F$5)/12),2))</f>
        <v/>
      </c>
      <c r="AL228">
        <f>IF(G227&lt;=0,0,ROUND(G227*(1+IF(AND(G$6&gt;0,$B228&lt;G$6),G$4,G$5)/12),2))</f>
        <v/>
      </c>
      <c r="AM228">
        <f>IF(H227&lt;=0,0,ROUND(H227*(1+IF(AND(H$6&gt;0,$B228&lt;H$6),H$4,H$5)/12),2))</f>
        <v/>
      </c>
      <c r="AN228">
        <f>IF(I227&lt;=0,0,ROUND(I227*(1+IF(AND(I$6&gt;0,$B228&lt;I$6),I$4,I$5)/12),2))</f>
        <v/>
      </c>
      <c r="AO228">
        <f>IF(J227&lt;=0,0,ROUND(J227*(1+IF(AND(J$6&gt;0,$B228&lt;J$6),J$4,J$5)/12),2))</f>
        <v/>
      </c>
      <c r="AP228">
        <f>IF(K227&lt;=0,0,ROUND(K227*(1+IF(AND(K$6&gt;0,$B228&lt;K$6),K$4,K$5)/12),2))</f>
        <v/>
      </c>
      <c r="AQ228">
        <f>IF(L227&lt;=0,0,ROUND(L227*(1+IF(AND(L$6&gt;0,$B228&lt;L$6),L$4,L$5)/12),2))</f>
        <v/>
      </c>
      <c r="AR228">
        <f>IF(M227&lt;=0,0,ROUND(M227*(1+IF(AND(M$6&gt;0,$B228&lt;M$6),M$4,M$5)/12),2))</f>
        <v/>
      </c>
      <c r="AS228">
        <f>IF(N227&lt;=0,0,ROUND(N227*(1+IF(AND(N$6&gt;0,$B228&lt;N$6),N$4,N$5)/12),2))</f>
        <v/>
      </c>
    </row>
    <row r="229">
      <c r="A229" t="n">
        <v>218</v>
      </c>
      <c r="B229">
        <f>EDATE(Plan!$C$6,217)</f>
        <v/>
      </c>
      <c r="C229">
        <f>IF(C228&lt;=0,0,MAX(0,AH229-O229))</f>
        <v/>
      </c>
      <c r="D229">
        <f>IF(D228&lt;=0,0,MAX(0,AI229-P229))</f>
        <v/>
      </c>
      <c r="E229">
        <f>IF(E228&lt;=0,0,MAX(0,AJ229-Q229))</f>
        <v/>
      </c>
      <c r="F229">
        <f>IF(F228&lt;=0,0,MAX(0,AK229-R229))</f>
        <v/>
      </c>
      <c r="G229">
        <f>IF(G228&lt;=0,0,MAX(0,AL229-S229))</f>
        <v/>
      </c>
      <c r="H229">
        <f>IF(H228&lt;=0,0,MAX(0,AM229-T229))</f>
        <v/>
      </c>
      <c r="I229">
        <f>IF(I228&lt;=0,0,MAX(0,AN229-U229))</f>
        <v/>
      </c>
      <c r="J229">
        <f>IF(J228&lt;=0,0,MAX(0,AO229-V229))</f>
        <v/>
      </c>
      <c r="K229">
        <f>IF(K228&lt;=0,0,MAX(0,AP229-W229))</f>
        <v/>
      </c>
      <c r="L229">
        <f>IF(L228&lt;=0,0,MAX(0,AQ229-X229))</f>
        <v/>
      </c>
      <c r="M229">
        <f>IF(M228&lt;=0,0,MAX(0,AR229-Y229))</f>
        <v/>
      </c>
      <c r="N229">
        <f>IF(N228&lt;=0,0,MAX(0,AS229-Z229))</f>
        <v/>
      </c>
      <c r="O229">
        <f>IF(C228&lt;=0,0,MIN(AH229,C$7+IF(C$2=$AA229,$AC229,IF(C$2=$AF229,$AG229,0))))</f>
        <v/>
      </c>
      <c r="P229">
        <f>IF(D228&lt;=0,0,MIN(AI229,D$7+IF(D$2=$AA229,$AC229,IF(D$2=$AF229,$AG229,0))))</f>
        <v/>
      </c>
      <c r="Q229">
        <f>IF(E228&lt;=0,0,MIN(AJ229,E$7+IF(E$2=$AA229,$AC229,IF(E$2=$AF229,$AG229,0))))</f>
        <v/>
      </c>
      <c r="R229">
        <f>IF(F228&lt;=0,0,MIN(AK229,F$7+IF(F$2=$AA229,$AC229,IF(F$2=$AF229,$AG229,0))))</f>
        <v/>
      </c>
      <c r="S229">
        <f>IF(G228&lt;=0,0,MIN(AL229,G$7+IF(G$2=$AA229,$AC229,IF(G$2=$AF229,$AG229,0))))</f>
        <v/>
      </c>
      <c r="T229">
        <f>IF(H228&lt;=0,0,MIN(AM229,H$7+IF(H$2=$AA229,$AC229,IF(H$2=$AF229,$AG229,0))))</f>
        <v/>
      </c>
      <c r="U229">
        <f>IF(I228&lt;=0,0,MIN(AN229,I$7+IF(I$2=$AA229,$AC229,IF(I$2=$AF229,$AG229,0))))</f>
        <v/>
      </c>
      <c r="V229">
        <f>IF(J228&lt;=0,0,MIN(AO229,J$7+IF(J$2=$AA229,$AC229,IF(J$2=$AF229,$AG229,0))))</f>
        <v/>
      </c>
      <c r="W229">
        <f>IF(K228&lt;=0,0,MIN(AP229,K$7+IF(K$2=$AA229,$AC229,IF(K$2=$AF229,$AG229,0))))</f>
        <v/>
      </c>
      <c r="X229">
        <f>IF(L228&lt;=0,0,MIN(AQ229,L$7+IF(L$2=$AA229,$AC229,IF(L$2=$AF229,$AG229,0))))</f>
        <v/>
      </c>
      <c r="Y229">
        <f>IF(M228&lt;=0,0,MIN(AR229,M$7+IF(M$2=$AA229,$AC229,IF(M$2=$AF229,$AG229,0))))</f>
        <v/>
      </c>
      <c r="Z229">
        <f>IF(N228&lt;=0,0,MIN(AS229,N$7+IF(N$2=$AA229,$AC229,IF(N$2=$AF229,$AG229,0))))</f>
        <v/>
      </c>
      <c r="AA229">
        <f>IFERROR(ROUND(1/SUMPRODUCT(MAX((C228:N228&gt;0)*($C$3:$N$3&lt;=B229)/$C$2:$N$2)),0),0)</f>
        <v/>
      </c>
      <c r="AB229">
        <f>SUMPRODUCT((C228:N228&gt;0)*$C$7:$N$7)</f>
        <v/>
      </c>
      <c r="AC229">
        <f>MAX(0,Plan!$C$5-AB229)+IF(A229=Plan!$C$8,N(Plan!$C$7),0)</f>
        <v/>
      </c>
      <c r="AD229">
        <f>SUM(C229:N229)</f>
        <v/>
      </c>
      <c r="AE229">
        <f>SUM(O229:Z229)</f>
        <v/>
      </c>
      <c r="AF229">
        <f>IFERROR(ROUND(1/SUMPRODUCT(MAX((C228:N228&gt;0)*($C$3:$N$3&lt;=B229)*($C$2:$N$2&gt;AA229)/$C$2:$N$2)),0),0)</f>
        <v/>
      </c>
      <c r="AG229">
        <f>MAX(0,AC229-MAX(0,SUMPRODUCT(($C$2:$N$2=AA229)*(AH229:AS229-$C$7:$N$7))))</f>
        <v/>
      </c>
      <c r="AH229">
        <f>IF(C228&lt;=0,0,ROUND(C228*(1+IF(AND(C$6&gt;0,$B229&lt;C$6),C$4,C$5)/12),2))</f>
        <v/>
      </c>
      <c r="AI229">
        <f>IF(D228&lt;=0,0,ROUND(D228*(1+IF(AND(D$6&gt;0,$B229&lt;D$6),D$4,D$5)/12),2))</f>
        <v/>
      </c>
      <c r="AJ229">
        <f>IF(E228&lt;=0,0,ROUND(E228*(1+IF(AND(E$6&gt;0,$B229&lt;E$6),E$4,E$5)/12),2))</f>
        <v/>
      </c>
      <c r="AK229">
        <f>IF(F228&lt;=0,0,ROUND(F228*(1+IF(AND(F$6&gt;0,$B229&lt;F$6),F$4,F$5)/12),2))</f>
        <v/>
      </c>
      <c r="AL229">
        <f>IF(G228&lt;=0,0,ROUND(G228*(1+IF(AND(G$6&gt;0,$B229&lt;G$6),G$4,G$5)/12),2))</f>
        <v/>
      </c>
      <c r="AM229">
        <f>IF(H228&lt;=0,0,ROUND(H228*(1+IF(AND(H$6&gt;0,$B229&lt;H$6),H$4,H$5)/12),2))</f>
        <v/>
      </c>
      <c r="AN229">
        <f>IF(I228&lt;=0,0,ROUND(I228*(1+IF(AND(I$6&gt;0,$B229&lt;I$6),I$4,I$5)/12),2))</f>
        <v/>
      </c>
      <c r="AO229">
        <f>IF(J228&lt;=0,0,ROUND(J228*(1+IF(AND(J$6&gt;0,$B229&lt;J$6),J$4,J$5)/12),2))</f>
        <v/>
      </c>
      <c r="AP229">
        <f>IF(K228&lt;=0,0,ROUND(K228*(1+IF(AND(K$6&gt;0,$B229&lt;K$6),K$4,K$5)/12),2))</f>
        <v/>
      </c>
      <c r="AQ229">
        <f>IF(L228&lt;=0,0,ROUND(L228*(1+IF(AND(L$6&gt;0,$B229&lt;L$6),L$4,L$5)/12),2))</f>
        <v/>
      </c>
      <c r="AR229">
        <f>IF(M228&lt;=0,0,ROUND(M228*(1+IF(AND(M$6&gt;0,$B229&lt;M$6),M$4,M$5)/12),2))</f>
        <v/>
      </c>
      <c r="AS229">
        <f>IF(N228&lt;=0,0,ROUND(N228*(1+IF(AND(N$6&gt;0,$B229&lt;N$6),N$4,N$5)/12),2))</f>
        <v/>
      </c>
    </row>
    <row r="230">
      <c r="A230" t="n">
        <v>219</v>
      </c>
      <c r="B230">
        <f>EDATE(Plan!$C$6,218)</f>
        <v/>
      </c>
      <c r="C230">
        <f>IF(C229&lt;=0,0,MAX(0,AH230-O230))</f>
        <v/>
      </c>
      <c r="D230">
        <f>IF(D229&lt;=0,0,MAX(0,AI230-P230))</f>
        <v/>
      </c>
      <c r="E230">
        <f>IF(E229&lt;=0,0,MAX(0,AJ230-Q230))</f>
        <v/>
      </c>
      <c r="F230">
        <f>IF(F229&lt;=0,0,MAX(0,AK230-R230))</f>
        <v/>
      </c>
      <c r="G230">
        <f>IF(G229&lt;=0,0,MAX(0,AL230-S230))</f>
        <v/>
      </c>
      <c r="H230">
        <f>IF(H229&lt;=0,0,MAX(0,AM230-T230))</f>
        <v/>
      </c>
      <c r="I230">
        <f>IF(I229&lt;=0,0,MAX(0,AN230-U230))</f>
        <v/>
      </c>
      <c r="J230">
        <f>IF(J229&lt;=0,0,MAX(0,AO230-V230))</f>
        <v/>
      </c>
      <c r="K230">
        <f>IF(K229&lt;=0,0,MAX(0,AP230-W230))</f>
        <v/>
      </c>
      <c r="L230">
        <f>IF(L229&lt;=0,0,MAX(0,AQ230-X230))</f>
        <v/>
      </c>
      <c r="M230">
        <f>IF(M229&lt;=0,0,MAX(0,AR230-Y230))</f>
        <v/>
      </c>
      <c r="N230">
        <f>IF(N229&lt;=0,0,MAX(0,AS230-Z230))</f>
        <v/>
      </c>
      <c r="O230">
        <f>IF(C229&lt;=0,0,MIN(AH230,C$7+IF(C$2=$AA230,$AC230,IF(C$2=$AF230,$AG230,0))))</f>
        <v/>
      </c>
      <c r="P230">
        <f>IF(D229&lt;=0,0,MIN(AI230,D$7+IF(D$2=$AA230,$AC230,IF(D$2=$AF230,$AG230,0))))</f>
        <v/>
      </c>
      <c r="Q230">
        <f>IF(E229&lt;=0,0,MIN(AJ230,E$7+IF(E$2=$AA230,$AC230,IF(E$2=$AF230,$AG230,0))))</f>
        <v/>
      </c>
      <c r="R230">
        <f>IF(F229&lt;=0,0,MIN(AK230,F$7+IF(F$2=$AA230,$AC230,IF(F$2=$AF230,$AG230,0))))</f>
        <v/>
      </c>
      <c r="S230">
        <f>IF(G229&lt;=0,0,MIN(AL230,G$7+IF(G$2=$AA230,$AC230,IF(G$2=$AF230,$AG230,0))))</f>
        <v/>
      </c>
      <c r="T230">
        <f>IF(H229&lt;=0,0,MIN(AM230,H$7+IF(H$2=$AA230,$AC230,IF(H$2=$AF230,$AG230,0))))</f>
        <v/>
      </c>
      <c r="U230">
        <f>IF(I229&lt;=0,0,MIN(AN230,I$7+IF(I$2=$AA230,$AC230,IF(I$2=$AF230,$AG230,0))))</f>
        <v/>
      </c>
      <c r="V230">
        <f>IF(J229&lt;=0,0,MIN(AO230,J$7+IF(J$2=$AA230,$AC230,IF(J$2=$AF230,$AG230,0))))</f>
        <v/>
      </c>
      <c r="W230">
        <f>IF(K229&lt;=0,0,MIN(AP230,K$7+IF(K$2=$AA230,$AC230,IF(K$2=$AF230,$AG230,0))))</f>
        <v/>
      </c>
      <c r="X230">
        <f>IF(L229&lt;=0,0,MIN(AQ230,L$7+IF(L$2=$AA230,$AC230,IF(L$2=$AF230,$AG230,0))))</f>
        <v/>
      </c>
      <c r="Y230">
        <f>IF(M229&lt;=0,0,MIN(AR230,M$7+IF(M$2=$AA230,$AC230,IF(M$2=$AF230,$AG230,0))))</f>
        <v/>
      </c>
      <c r="Z230">
        <f>IF(N229&lt;=0,0,MIN(AS230,N$7+IF(N$2=$AA230,$AC230,IF(N$2=$AF230,$AG230,0))))</f>
        <v/>
      </c>
      <c r="AA230">
        <f>IFERROR(ROUND(1/SUMPRODUCT(MAX((C229:N229&gt;0)*($C$3:$N$3&lt;=B230)/$C$2:$N$2)),0),0)</f>
        <v/>
      </c>
      <c r="AB230">
        <f>SUMPRODUCT((C229:N229&gt;0)*$C$7:$N$7)</f>
        <v/>
      </c>
      <c r="AC230">
        <f>MAX(0,Plan!$C$5-AB230)+IF(A230=Plan!$C$8,N(Plan!$C$7),0)</f>
        <v/>
      </c>
      <c r="AD230">
        <f>SUM(C230:N230)</f>
        <v/>
      </c>
      <c r="AE230">
        <f>SUM(O230:Z230)</f>
        <v/>
      </c>
      <c r="AF230">
        <f>IFERROR(ROUND(1/SUMPRODUCT(MAX((C229:N229&gt;0)*($C$3:$N$3&lt;=B230)*($C$2:$N$2&gt;AA230)/$C$2:$N$2)),0),0)</f>
        <v/>
      </c>
      <c r="AG230">
        <f>MAX(0,AC230-MAX(0,SUMPRODUCT(($C$2:$N$2=AA230)*(AH230:AS230-$C$7:$N$7))))</f>
        <v/>
      </c>
      <c r="AH230">
        <f>IF(C229&lt;=0,0,ROUND(C229*(1+IF(AND(C$6&gt;0,$B230&lt;C$6),C$4,C$5)/12),2))</f>
        <v/>
      </c>
      <c r="AI230">
        <f>IF(D229&lt;=0,0,ROUND(D229*(1+IF(AND(D$6&gt;0,$B230&lt;D$6),D$4,D$5)/12),2))</f>
        <v/>
      </c>
      <c r="AJ230">
        <f>IF(E229&lt;=0,0,ROUND(E229*(1+IF(AND(E$6&gt;0,$B230&lt;E$6),E$4,E$5)/12),2))</f>
        <v/>
      </c>
      <c r="AK230">
        <f>IF(F229&lt;=0,0,ROUND(F229*(1+IF(AND(F$6&gt;0,$B230&lt;F$6),F$4,F$5)/12),2))</f>
        <v/>
      </c>
      <c r="AL230">
        <f>IF(G229&lt;=0,0,ROUND(G229*(1+IF(AND(G$6&gt;0,$B230&lt;G$6),G$4,G$5)/12),2))</f>
        <v/>
      </c>
      <c r="AM230">
        <f>IF(H229&lt;=0,0,ROUND(H229*(1+IF(AND(H$6&gt;0,$B230&lt;H$6),H$4,H$5)/12),2))</f>
        <v/>
      </c>
      <c r="AN230">
        <f>IF(I229&lt;=0,0,ROUND(I229*(1+IF(AND(I$6&gt;0,$B230&lt;I$6),I$4,I$5)/12),2))</f>
        <v/>
      </c>
      <c r="AO230">
        <f>IF(J229&lt;=0,0,ROUND(J229*(1+IF(AND(J$6&gt;0,$B230&lt;J$6),J$4,J$5)/12),2))</f>
        <v/>
      </c>
      <c r="AP230">
        <f>IF(K229&lt;=0,0,ROUND(K229*(1+IF(AND(K$6&gt;0,$B230&lt;K$6),K$4,K$5)/12),2))</f>
        <v/>
      </c>
      <c r="AQ230">
        <f>IF(L229&lt;=0,0,ROUND(L229*(1+IF(AND(L$6&gt;0,$B230&lt;L$6),L$4,L$5)/12),2))</f>
        <v/>
      </c>
      <c r="AR230">
        <f>IF(M229&lt;=0,0,ROUND(M229*(1+IF(AND(M$6&gt;0,$B230&lt;M$6),M$4,M$5)/12),2))</f>
        <v/>
      </c>
      <c r="AS230">
        <f>IF(N229&lt;=0,0,ROUND(N229*(1+IF(AND(N$6&gt;0,$B230&lt;N$6),N$4,N$5)/12),2))</f>
        <v/>
      </c>
    </row>
    <row r="231">
      <c r="A231" t="n">
        <v>220</v>
      </c>
      <c r="B231">
        <f>EDATE(Plan!$C$6,219)</f>
        <v/>
      </c>
      <c r="C231">
        <f>IF(C230&lt;=0,0,MAX(0,AH231-O231))</f>
        <v/>
      </c>
      <c r="D231">
        <f>IF(D230&lt;=0,0,MAX(0,AI231-P231))</f>
        <v/>
      </c>
      <c r="E231">
        <f>IF(E230&lt;=0,0,MAX(0,AJ231-Q231))</f>
        <v/>
      </c>
      <c r="F231">
        <f>IF(F230&lt;=0,0,MAX(0,AK231-R231))</f>
        <v/>
      </c>
      <c r="G231">
        <f>IF(G230&lt;=0,0,MAX(0,AL231-S231))</f>
        <v/>
      </c>
      <c r="H231">
        <f>IF(H230&lt;=0,0,MAX(0,AM231-T231))</f>
        <v/>
      </c>
      <c r="I231">
        <f>IF(I230&lt;=0,0,MAX(0,AN231-U231))</f>
        <v/>
      </c>
      <c r="J231">
        <f>IF(J230&lt;=0,0,MAX(0,AO231-V231))</f>
        <v/>
      </c>
      <c r="K231">
        <f>IF(K230&lt;=0,0,MAX(0,AP231-W231))</f>
        <v/>
      </c>
      <c r="L231">
        <f>IF(L230&lt;=0,0,MAX(0,AQ231-X231))</f>
        <v/>
      </c>
      <c r="M231">
        <f>IF(M230&lt;=0,0,MAX(0,AR231-Y231))</f>
        <v/>
      </c>
      <c r="N231">
        <f>IF(N230&lt;=0,0,MAX(0,AS231-Z231))</f>
        <v/>
      </c>
      <c r="O231">
        <f>IF(C230&lt;=0,0,MIN(AH231,C$7+IF(C$2=$AA231,$AC231,IF(C$2=$AF231,$AG231,0))))</f>
        <v/>
      </c>
      <c r="P231">
        <f>IF(D230&lt;=0,0,MIN(AI231,D$7+IF(D$2=$AA231,$AC231,IF(D$2=$AF231,$AG231,0))))</f>
        <v/>
      </c>
      <c r="Q231">
        <f>IF(E230&lt;=0,0,MIN(AJ231,E$7+IF(E$2=$AA231,$AC231,IF(E$2=$AF231,$AG231,0))))</f>
        <v/>
      </c>
      <c r="R231">
        <f>IF(F230&lt;=0,0,MIN(AK231,F$7+IF(F$2=$AA231,$AC231,IF(F$2=$AF231,$AG231,0))))</f>
        <v/>
      </c>
      <c r="S231">
        <f>IF(G230&lt;=0,0,MIN(AL231,G$7+IF(G$2=$AA231,$AC231,IF(G$2=$AF231,$AG231,0))))</f>
        <v/>
      </c>
      <c r="T231">
        <f>IF(H230&lt;=0,0,MIN(AM231,H$7+IF(H$2=$AA231,$AC231,IF(H$2=$AF231,$AG231,0))))</f>
        <v/>
      </c>
      <c r="U231">
        <f>IF(I230&lt;=0,0,MIN(AN231,I$7+IF(I$2=$AA231,$AC231,IF(I$2=$AF231,$AG231,0))))</f>
        <v/>
      </c>
      <c r="V231">
        <f>IF(J230&lt;=0,0,MIN(AO231,J$7+IF(J$2=$AA231,$AC231,IF(J$2=$AF231,$AG231,0))))</f>
        <v/>
      </c>
      <c r="W231">
        <f>IF(K230&lt;=0,0,MIN(AP231,K$7+IF(K$2=$AA231,$AC231,IF(K$2=$AF231,$AG231,0))))</f>
        <v/>
      </c>
      <c r="X231">
        <f>IF(L230&lt;=0,0,MIN(AQ231,L$7+IF(L$2=$AA231,$AC231,IF(L$2=$AF231,$AG231,0))))</f>
        <v/>
      </c>
      <c r="Y231">
        <f>IF(M230&lt;=0,0,MIN(AR231,M$7+IF(M$2=$AA231,$AC231,IF(M$2=$AF231,$AG231,0))))</f>
        <v/>
      </c>
      <c r="Z231">
        <f>IF(N230&lt;=0,0,MIN(AS231,N$7+IF(N$2=$AA231,$AC231,IF(N$2=$AF231,$AG231,0))))</f>
        <v/>
      </c>
      <c r="AA231">
        <f>IFERROR(ROUND(1/SUMPRODUCT(MAX((C230:N230&gt;0)*($C$3:$N$3&lt;=B231)/$C$2:$N$2)),0),0)</f>
        <v/>
      </c>
      <c r="AB231">
        <f>SUMPRODUCT((C230:N230&gt;0)*$C$7:$N$7)</f>
        <v/>
      </c>
      <c r="AC231">
        <f>MAX(0,Plan!$C$5-AB231)+IF(A231=Plan!$C$8,N(Plan!$C$7),0)</f>
        <v/>
      </c>
      <c r="AD231">
        <f>SUM(C231:N231)</f>
        <v/>
      </c>
      <c r="AE231">
        <f>SUM(O231:Z231)</f>
        <v/>
      </c>
      <c r="AF231">
        <f>IFERROR(ROUND(1/SUMPRODUCT(MAX((C230:N230&gt;0)*($C$3:$N$3&lt;=B231)*($C$2:$N$2&gt;AA231)/$C$2:$N$2)),0),0)</f>
        <v/>
      </c>
      <c r="AG231">
        <f>MAX(0,AC231-MAX(0,SUMPRODUCT(($C$2:$N$2=AA231)*(AH231:AS231-$C$7:$N$7))))</f>
        <v/>
      </c>
      <c r="AH231">
        <f>IF(C230&lt;=0,0,ROUND(C230*(1+IF(AND(C$6&gt;0,$B231&lt;C$6),C$4,C$5)/12),2))</f>
        <v/>
      </c>
      <c r="AI231">
        <f>IF(D230&lt;=0,0,ROUND(D230*(1+IF(AND(D$6&gt;0,$B231&lt;D$6),D$4,D$5)/12),2))</f>
        <v/>
      </c>
      <c r="AJ231">
        <f>IF(E230&lt;=0,0,ROUND(E230*(1+IF(AND(E$6&gt;0,$B231&lt;E$6),E$4,E$5)/12),2))</f>
        <v/>
      </c>
      <c r="AK231">
        <f>IF(F230&lt;=0,0,ROUND(F230*(1+IF(AND(F$6&gt;0,$B231&lt;F$6),F$4,F$5)/12),2))</f>
        <v/>
      </c>
      <c r="AL231">
        <f>IF(G230&lt;=0,0,ROUND(G230*(1+IF(AND(G$6&gt;0,$B231&lt;G$6),G$4,G$5)/12),2))</f>
        <v/>
      </c>
      <c r="AM231">
        <f>IF(H230&lt;=0,0,ROUND(H230*(1+IF(AND(H$6&gt;0,$B231&lt;H$6),H$4,H$5)/12),2))</f>
        <v/>
      </c>
      <c r="AN231">
        <f>IF(I230&lt;=0,0,ROUND(I230*(1+IF(AND(I$6&gt;0,$B231&lt;I$6),I$4,I$5)/12),2))</f>
        <v/>
      </c>
      <c r="AO231">
        <f>IF(J230&lt;=0,0,ROUND(J230*(1+IF(AND(J$6&gt;0,$B231&lt;J$6),J$4,J$5)/12),2))</f>
        <v/>
      </c>
      <c r="AP231">
        <f>IF(K230&lt;=0,0,ROUND(K230*(1+IF(AND(K$6&gt;0,$B231&lt;K$6),K$4,K$5)/12),2))</f>
        <v/>
      </c>
      <c r="AQ231">
        <f>IF(L230&lt;=0,0,ROUND(L230*(1+IF(AND(L$6&gt;0,$B231&lt;L$6),L$4,L$5)/12),2))</f>
        <v/>
      </c>
      <c r="AR231">
        <f>IF(M230&lt;=0,0,ROUND(M230*(1+IF(AND(M$6&gt;0,$B231&lt;M$6),M$4,M$5)/12),2))</f>
        <v/>
      </c>
      <c r="AS231">
        <f>IF(N230&lt;=0,0,ROUND(N230*(1+IF(AND(N$6&gt;0,$B231&lt;N$6),N$4,N$5)/12),2))</f>
        <v/>
      </c>
    </row>
    <row r="232">
      <c r="A232" t="n">
        <v>221</v>
      </c>
      <c r="B232">
        <f>EDATE(Plan!$C$6,220)</f>
        <v/>
      </c>
      <c r="C232">
        <f>IF(C231&lt;=0,0,MAX(0,AH232-O232))</f>
        <v/>
      </c>
      <c r="D232">
        <f>IF(D231&lt;=0,0,MAX(0,AI232-P232))</f>
        <v/>
      </c>
      <c r="E232">
        <f>IF(E231&lt;=0,0,MAX(0,AJ232-Q232))</f>
        <v/>
      </c>
      <c r="F232">
        <f>IF(F231&lt;=0,0,MAX(0,AK232-R232))</f>
        <v/>
      </c>
      <c r="G232">
        <f>IF(G231&lt;=0,0,MAX(0,AL232-S232))</f>
        <v/>
      </c>
      <c r="H232">
        <f>IF(H231&lt;=0,0,MAX(0,AM232-T232))</f>
        <v/>
      </c>
      <c r="I232">
        <f>IF(I231&lt;=0,0,MAX(0,AN232-U232))</f>
        <v/>
      </c>
      <c r="J232">
        <f>IF(J231&lt;=0,0,MAX(0,AO232-V232))</f>
        <v/>
      </c>
      <c r="K232">
        <f>IF(K231&lt;=0,0,MAX(0,AP232-W232))</f>
        <v/>
      </c>
      <c r="L232">
        <f>IF(L231&lt;=0,0,MAX(0,AQ232-X232))</f>
        <v/>
      </c>
      <c r="M232">
        <f>IF(M231&lt;=0,0,MAX(0,AR232-Y232))</f>
        <v/>
      </c>
      <c r="N232">
        <f>IF(N231&lt;=0,0,MAX(0,AS232-Z232))</f>
        <v/>
      </c>
      <c r="O232">
        <f>IF(C231&lt;=0,0,MIN(AH232,C$7+IF(C$2=$AA232,$AC232,IF(C$2=$AF232,$AG232,0))))</f>
        <v/>
      </c>
      <c r="P232">
        <f>IF(D231&lt;=0,0,MIN(AI232,D$7+IF(D$2=$AA232,$AC232,IF(D$2=$AF232,$AG232,0))))</f>
        <v/>
      </c>
      <c r="Q232">
        <f>IF(E231&lt;=0,0,MIN(AJ232,E$7+IF(E$2=$AA232,$AC232,IF(E$2=$AF232,$AG232,0))))</f>
        <v/>
      </c>
      <c r="R232">
        <f>IF(F231&lt;=0,0,MIN(AK232,F$7+IF(F$2=$AA232,$AC232,IF(F$2=$AF232,$AG232,0))))</f>
        <v/>
      </c>
      <c r="S232">
        <f>IF(G231&lt;=0,0,MIN(AL232,G$7+IF(G$2=$AA232,$AC232,IF(G$2=$AF232,$AG232,0))))</f>
        <v/>
      </c>
      <c r="T232">
        <f>IF(H231&lt;=0,0,MIN(AM232,H$7+IF(H$2=$AA232,$AC232,IF(H$2=$AF232,$AG232,0))))</f>
        <v/>
      </c>
      <c r="U232">
        <f>IF(I231&lt;=0,0,MIN(AN232,I$7+IF(I$2=$AA232,$AC232,IF(I$2=$AF232,$AG232,0))))</f>
        <v/>
      </c>
      <c r="V232">
        <f>IF(J231&lt;=0,0,MIN(AO232,J$7+IF(J$2=$AA232,$AC232,IF(J$2=$AF232,$AG232,0))))</f>
        <v/>
      </c>
      <c r="W232">
        <f>IF(K231&lt;=0,0,MIN(AP232,K$7+IF(K$2=$AA232,$AC232,IF(K$2=$AF232,$AG232,0))))</f>
        <v/>
      </c>
      <c r="X232">
        <f>IF(L231&lt;=0,0,MIN(AQ232,L$7+IF(L$2=$AA232,$AC232,IF(L$2=$AF232,$AG232,0))))</f>
        <v/>
      </c>
      <c r="Y232">
        <f>IF(M231&lt;=0,0,MIN(AR232,M$7+IF(M$2=$AA232,$AC232,IF(M$2=$AF232,$AG232,0))))</f>
        <v/>
      </c>
      <c r="Z232">
        <f>IF(N231&lt;=0,0,MIN(AS232,N$7+IF(N$2=$AA232,$AC232,IF(N$2=$AF232,$AG232,0))))</f>
        <v/>
      </c>
      <c r="AA232">
        <f>IFERROR(ROUND(1/SUMPRODUCT(MAX((C231:N231&gt;0)*($C$3:$N$3&lt;=B232)/$C$2:$N$2)),0),0)</f>
        <v/>
      </c>
      <c r="AB232">
        <f>SUMPRODUCT((C231:N231&gt;0)*$C$7:$N$7)</f>
        <v/>
      </c>
      <c r="AC232">
        <f>MAX(0,Plan!$C$5-AB232)+IF(A232=Plan!$C$8,N(Plan!$C$7),0)</f>
        <v/>
      </c>
      <c r="AD232">
        <f>SUM(C232:N232)</f>
        <v/>
      </c>
      <c r="AE232">
        <f>SUM(O232:Z232)</f>
        <v/>
      </c>
      <c r="AF232">
        <f>IFERROR(ROUND(1/SUMPRODUCT(MAX((C231:N231&gt;0)*($C$3:$N$3&lt;=B232)*($C$2:$N$2&gt;AA232)/$C$2:$N$2)),0),0)</f>
        <v/>
      </c>
      <c r="AG232">
        <f>MAX(0,AC232-MAX(0,SUMPRODUCT(($C$2:$N$2=AA232)*(AH232:AS232-$C$7:$N$7))))</f>
        <v/>
      </c>
      <c r="AH232">
        <f>IF(C231&lt;=0,0,ROUND(C231*(1+IF(AND(C$6&gt;0,$B232&lt;C$6),C$4,C$5)/12),2))</f>
        <v/>
      </c>
      <c r="AI232">
        <f>IF(D231&lt;=0,0,ROUND(D231*(1+IF(AND(D$6&gt;0,$B232&lt;D$6),D$4,D$5)/12),2))</f>
        <v/>
      </c>
      <c r="AJ232">
        <f>IF(E231&lt;=0,0,ROUND(E231*(1+IF(AND(E$6&gt;0,$B232&lt;E$6),E$4,E$5)/12),2))</f>
        <v/>
      </c>
      <c r="AK232">
        <f>IF(F231&lt;=0,0,ROUND(F231*(1+IF(AND(F$6&gt;0,$B232&lt;F$6),F$4,F$5)/12),2))</f>
        <v/>
      </c>
      <c r="AL232">
        <f>IF(G231&lt;=0,0,ROUND(G231*(1+IF(AND(G$6&gt;0,$B232&lt;G$6),G$4,G$5)/12),2))</f>
        <v/>
      </c>
      <c r="AM232">
        <f>IF(H231&lt;=0,0,ROUND(H231*(1+IF(AND(H$6&gt;0,$B232&lt;H$6),H$4,H$5)/12),2))</f>
        <v/>
      </c>
      <c r="AN232">
        <f>IF(I231&lt;=0,0,ROUND(I231*(1+IF(AND(I$6&gt;0,$B232&lt;I$6),I$4,I$5)/12),2))</f>
        <v/>
      </c>
      <c r="AO232">
        <f>IF(J231&lt;=0,0,ROUND(J231*(1+IF(AND(J$6&gt;0,$B232&lt;J$6),J$4,J$5)/12),2))</f>
        <v/>
      </c>
      <c r="AP232">
        <f>IF(K231&lt;=0,0,ROUND(K231*(1+IF(AND(K$6&gt;0,$B232&lt;K$6),K$4,K$5)/12),2))</f>
        <v/>
      </c>
      <c r="AQ232">
        <f>IF(L231&lt;=0,0,ROUND(L231*(1+IF(AND(L$6&gt;0,$B232&lt;L$6),L$4,L$5)/12),2))</f>
        <v/>
      </c>
      <c r="AR232">
        <f>IF(M231&lt;=0,0,ROUND(M231*(1+IF(AND(M$6&gt;0,$B232&lt;M$6),M$4,M$5)/12),2))</f>
        <v/>
      </c>
      <c r="AS232">
        <f>IF(N231&lt;=0,0,ROUND(N231*(1+IF(AND(N$6&gt;0,$B232&lt;N$6),N$4,N$5)/12),2))</f>
        <v/>
      </c>
    </row>
    <row r="233">
      <c r="A233" t="n">
        <v>222</v>
      </c>
      <c r="B233">
        <f>EDATE(Plan!$C$6,221)</f>
        <v/>
      </c>
      <c r="C233">
        <f>IF(C232&lt;=0,0,MAX(0,AH233-O233))</f>
        <v/>
      </c>
      <c r="D233">
        <f>IF(D232&lt;=0,0,MAX(0,AI233-P233))</f>
        <v/>
      </c>
      <c r="E233">
        <f>IF(E232&lt;=0,0,MAX(0,AJ233-Q233))</f>
        <v/>
      </c>
      <c r="F233">
        <f>IF(F232&lt;=0,0,MAX(0,AK233-R233))</f>
        <v/>
      </c>
      <c r="G233">
        <f>IF(G232&lt;=0,0,MAX(0,AL233-S233))</f>
        <v/>
      </c>
      <c r="H233">
        <f>IF(H232&lt;=0,0,MAX(0,AM233-T233))</f>
        <v/>
      </c>
      <c r="I233">
        <f>IF(I232&lt;=0,0,MAX(0,AN233-U233))</f>
        <v/>
      </c>
      <c r="J233">
        <f>IF(J232&lt;=0,0,MAX(0,AO233-V233))</f>
        <v/>
      </c>
      <c r="K233">
        <f>IF(K232&lt;=0,0,MAX(0,AP233-W233))</f>
        <v/>
      </c>
      <c r="L233">
        <f>IF(L232&lt;=0,0,MAX(0,AQ233-X233))</f>
        <v/>
      </c>
      <c r="M233">
        <f>IF(M232&lt;=0,0,MAX(0,AR233-Y233))</f>
        <v/>
      </c>
      <c r="N233">
        <f>IF(N232&lt;=0,0,MAX(0,AS233-Z233))</f>
        <v/>
      </c>
      <c r="O233">
        <f>IF(C232&lt;=0,0,MIN(AH233,C$7+IF(C$2=$AA233,$AC233,IF(C$2=$AF233,$AG233,0))))</f>
        <v/>
      </c>
      <c r="P233">
        <f>IF(D232&lt;=0,0,MIN(AI233,D$7+IF(D$2=$AA233,$AC233,IF(D$2=$AF233,$AG233,0))))</f>
        <v/>
      </c>
      <c r="Q233">
        <f>IF(E232&lt;=0,0,MIN(AJ233,E$7+IF(E$2=$AA233,$AC233,IF(E$2=$AF233,$AG233,0))))</f>
        <v/>
      </c>
      <c r="R233">
        <f>IF(F232&lt;=0,0,MIN(AK233,F$7+IF(F$2=$AA233,$AC233,IF(F$2=$AF233,$AG233,0))))</f>
        <v/>
      </c>
      <c r="S233">
        <f>IF(G232&lt;=0,0,MIN(AL233,G$7+IF(G$2=$AA233,$AC233,IF(G$2=$AF233,$AG233,0))))</f>
        <v/>
      </c>
      <c r="T233">
        <f>IF(H232&lt;=0,0,MIN(AM233,H$7+IF(H$2=$AA233,$AC233,IF(H$2=$AF233,$AG233,0))))</f>
        <v/>
      </c>
      <c r="U233">
        <f>IF(I232&lt;=0,0,MIN(AN233,I$7+IF(I$2=$AA233,$AC233,IF(I$2=$AF233,$AG233,0))))</f>
        <v/>
      </c>
      <c r="V233">
        <f>IF(J232&lt;=0,0,MIN(AO233,J$7+IF(J$2=$AA233,$AC233,IF(J$2=$AF233,$AG233,0))))</f>
        <v/>
      </c>
      <c r="W233">
        <f>IF(K232&lt;=0,0,MIN(AP233,K$7+IF(K$2=$AA233,$AC233,IF(K$2=$AF233,$AG233,0))))</f>
        <v/>
      </c>
      <c r="X233">
        <f>IF(L232&lt;=0,0,MIN(AQ233,L$7+IF(L$2=$AA233,$AC233,IF(L$2=$AF233,$AG233,0))))</f>
        <v/>
      </c>
      <c r="Y233">
        <f>IF(M232&lt;=0,0,MIN(AR233,M$7+IF(M$2=$AA233,$AC233,IF(M$2=$AF233,$AG233,0))))</f>
        <v/>
      </c>
      <c r="Z233">
        <f>IF(N232&lt;=0,0,MIN(AS233,N$7+IF(N$2=$AA233,$AC233,IF(N$2=$AF233,$AG233,0))))</f>
        <v/>
      </c>
      <c r="AA233">
        <f>IFERROR(ROUND(1/SUMPRODUCT(MAX((C232:N232&gt;0)*($C$3:$N$3&lt;=B233)/$C$2:$N$2)),0),0)</f>
        <v/>
      </c>
      <c r="AB233">
        <f>SUMPRODUCT((C232:N232&gt;0)*$C$7:$N$7)</f>
        <v/>
      </c>
      <c r="AC233">
        <f>MAX(0,Plan!$C$5-AB233)+IF(A233=Plan!$C$8,N(Plan!$C$7),0)</f>
        <v/>
      </c>
      <c r="AD233">
        <f>SUM(C233:N233)</f>
        <v/>
      </c>
      <c r="AE233">
        <f>SUM(O233:Z233)</f>
        <v/>
      </c>
      <c r="AF233">
        <f>IFERROR(ROUND(1/SUMPRODUCT(MAX((C232:N232&gt;0)*($C$3:$N$3&lt;=B233)*($C$2:$N$2&gt;AA233)/$C$2:$N$2)),0),0)</f>
        <v/>
      </c>
      <c r="AG233">
        <f>MAX(0,AC233-MAX(0,SUMPRODUCT(($C$2:$N$2=AA233)*(AH233:AS233-$C$7:$N$7))))</f>
        <v/>
      </c>
      <c r="AH233">
        <f>IF(C232&lt;=0,0,ROUND(C232*(1+IF(AND(C$6&gt;0,$B233&lt;C$6),C$4,C$5)/12),2))</f>
        <v/>
      </c>
      <c r="AI233">
        <f>IF(D232&lt;=0,0,ROUND(D232*(1+IF(AND(D$6&gt;0,$B233&lt;D$6),D$4,D$5)/12),2))</f>
        <v/>
      </c>
      <c r="AJ233">
        <f>IF(E232&lt;=0,0,ROUND(E232*(1+IF(AND(E$6&gt;0,$B233&lt;E$6),E$4,E$5)/12),2))</f>
        <v/>
      </c>
      <c r="AK233">
        <f>IF(F232&lt;=0,0,ROUND(F232*(1+IF(AND(F$6&gt;0,$B233&lt;F$6),F$4,F$5)/12),2))</f>
        <v/>
      </c>
      <c r="AL233">
        <f>IF(G232&lt;=0,0,ROUND(G232*(1+IF(AND(G$6&gt;0,$B233&lt;G$6),G$4,G$5)/12),2))</f>
        <v/>
      </c>
      <c r="AM233">
        <f>IF(H232&lt;=0,0,ROUND(H232*(1+IF(AND(H$6&gt;0,$B233&lt;H$6),H$4,H$5)/12),2))</f>
        <v/>
      </c>
      <c r="AN233">
        <f>IF(I232&lt;=0,0,ROUND(I232*(1+IF(AND(I$6&gt;0,$B233&lt;I$6),I$4,I$5)/12),2))</f>
        <v/>
      </c>
      <c r="AO233">
        <f>IF(J232&lt;=0,0,ROUND(J232*(1+IF(AND(J$6&gt;0,$B233&lt;J$6),J$4,J$5)/12),2))</f>
        <v/>
      </c>
      <c r="AP233">
        <f>IF(K232&lt;=0,0,ROUND(K232*(1+IF(AND(K$6&gt;0,$B233&lt;K$6),K$4,K$5)/12),2))</f>
        <v/>
      </c>
      <c r="AQ233">
        <f>IF(L232&lt;=0,0,ROUND(L232*(1+IF(AND(L$6&gt;0,$B233&lt;L$6),L$4,L$5)/12),2))</f>
        <v/>
      </c>
      <c r="AR233">
        <f>IF(M232&lt;=0,0,ROUND(M232*(1+IF(AND(M$6&gt;0,$B233&lt;M$6),M$4,M$5)/12),2))</f>
        <v/>
      </c>
      <c r="AS233">
        <f>IF(N232&lt;=0,0,ROUND(N232*(1+IF(AND(N$6&gt;0,$B233&lt;N$6),N$4,N$5)/12),2))</f>
        <v/>
      </c>
    </row>
    <row r="234">
      <c r="A234" t="n">
        <v>223</v>
      </c>
      <c r="B234">
        <f>EDATE(Plan!$C$6,222)</f>
        <v/>
      </c>
      <c r="C234">
        <f>IF(C233&lt;=0,0,MAX(0,AH234-O234))</f>
        <v/>
      </c>
      <c r="D234">
        <f>IF(D233&lt;=0,0,MAX(0,AI234-P234))</f>
        <v/>
      </c>
      <c r="E234">
        <f>IF(E233&lt;=0,0,MAX(0,AJ234-Q234))</f>
        <v/>
      </c>
      <c r="F234">
        <f>IF(F233&lt;=0,0,MAX(0,AK234-R234))</f>
        <v/>
      </c>
      <c r="G234">
        <f>IF(G233&lt;=0,0,MAX(0,AL234-S234))</f>
        <v/>
      </c>
      <c r="H234">
        <f>IF(H233&lt;=0,0,MAX(0,AM234-T234))</f>
        <v/>
      </c>
      <c r="I234">
        <f>IF(I233&lt;=0,0,MAX(0,AN234-U234))</f>
        <v/>
      </c>
      <c r="J234">
        <f>IF(J233&lt;=0,0,MAX(0,AO234-V234))</f>
        <v/>
      </c>
      <c r="K234">
        <f>IF(K233&lt;=0,0,MAX(0,AP234-W234))</f>
        <v/>
      </c>
      <c r="L234">
        <f>IF(L233&lt;=0,0,MAX(0,AQ234-X234))</f>
        <v/>
      </c>
      <c r="M234">
        <f>IF(M233&lt;=0,0,MAX(0,AR234-Y234))</f>
        <v/>
      </c>
      <c r="N234">
        <f>IF(N233&lt;=0,0,MAX(0,AS234-Z234))</f>
        <v/>
      </c>
      <c r="O234">
        <f>IF(C233&lt;=0,0,MIN(AH234,C$7+IF(C$2=$AA234,$AC234,IF(C$2=$AF234,$AG234,0))))</f>
        <v/>
      </c>
      <c r="P234">
        <f>IF(D233&lt;=0,0,MIN(AI234,D$7+IF(D$2=$AA234,$AC234,IF(D$2=$AF234,$AG234,0))))</f>
        <v/>
      </c>
      <c r="Q234">
        <f>IF(E233&lt;=0,0,MIN(AJ234,E$7+IF(E$2=$AA234,$AC234,IF(E$2=$AF234,$AG234,0))))</f>
        <v/>
      </c>
      <c r="R234">
        <f>IF(F233&lt;=0,0,MIN(AK234,F$7+IF(F$2=$AA234,$AC234,IF(F$2=$AF234,$AG234,0))))</f>
        <v/>
      </c>
      <c r="S234">
        <f>IF(G233&lt;=0,0,MIN(AL234,G$7+IF(G$2=$AA234,$AC234,IF(G$2=$AF234,$AG234,0))))</f>
        <v/>
      </c>
      <c r="T234">
        <f>IF(H233&lt;=0,0,MIN(AM234,H$7+IF(H$2=$AA234,$AC234,IF(H$2=$AF234,$AG234,0))))</f>
        <v/>
      </c>
      <c r="U234">
        <f>IF(I233&lt;=0,0,MIN(AN234,I$7+IF(I$2=$AA234,$AC234,IF(I$2=$AF234,$AG234,0))))</f>
        <v/>
      </c>
      <c r="V234">
        <f>IF(J233&lt;=0,0,MIN(AO234,J$7+IF(J$2=$AA234,$AC234,IF(J$2=$AF234,$AG234,0))))</f>
        <v/>
      </c>
      <c r="W234">
        <f>IF(K233&lt;=0,0,MIN(AP234,K$7+IF(K$2=$AA234,$AC234,IF(K$2=$AF234,$AG234,0))))</f>
        <v/>
      </c>
      <c r="X234">
        <f>IF(L233&lt;=0,0,MIN(AQ234,L$7+IF(L$2=$AA234,$AC234,IF(L$2=$AF234,$AG234,0))))</f>
        <v/>
      </c>
      <c r="Y234">
        <f>IF(M233&lt;=0,0,MIN(AR234,M$7+IF(M$2=$AA234,$AC234,IF(M$2=$AF234,$AG234,0))))</f>
        <v/>
      </c>
      <c r="Z234">
        <f>IF(N233&lt;=0,0,MIN(AS234,N$7+IF(N$2=$AA234,$AC234,IF(N$2=$AF234,$AG234,0))))</f>
        <v/>
      </c>
      <c r="AA234">
        <f>IFERROR(ROUND(1/SUMPRODUCT(MAX((C233:N233&gt;0)*($C$3:$N$3&lt;=B234)/$C$2:$N$2)),0),0)</f>
        <v/>
      </c>
      <c r="AB234">
        <f>SUMPRODUCT((C233:N233&gt;0)*$C$7:$N$7)</f>
        <v/>
      </c>
      <c r="AC234">
        <f>MAX(0,Plan!$C$5-AB234)+IF(A234=Plan!$C$8,N(Plan!$C$7),0)</f>
        <v/>
      </c>
      <c r="AD234">
        <f>SUM(C234:N234)</f>
        <v/>
      </c>
      <c r="AE234">
        <f>SUM(O234:Z234)</f>
        <v/>
      </c>
      <c r="AF234">
        <f>IFERROR(ROUND(1/SUMPRODUCT(MAX((C233:N233&gt;0)*($C$3:$N$3&lt;=B234)*($C$2:$N$2&gt;AA234)/$C$2:$N$2)),0),0)</f>
        <v/>
      </c>
      <c r="AG234">
        <f>MAX(0,AC234-MAX(0,SUMPRODUCT(($C$2:$N$2=AA234)*(AH234:AS234-$C$7:$N$7))))</f>
        <v/>
      </c>
      <c r="AH234">
        <f>IF(C233&lt;=0,0,ROUND(C233*(1+IF(AND(C$6&gt;0,$B234&lt;C$6),C$4,C$5)/12),2))</f>
        <v/>
      </c>
      <c r="AI234">
        <f>IF(D233&lt;=0,0,ROUND(D233*(1+IF(AND(D$6&gt;0,$B234&lt;D$6),D$4,D$5)/12),2))</f>
        <v/>
      </c>
      <c r="AJ234">
        <f>IF(E233&lt;=0,0,ROUND(E233*(1+IF(AND(E$6&gt;0,$B234&lt;E$6),E$4,E$5)/12),2))</f>
        <v/>
      </c>
      <c r="AK234">
        <f>IF(F233&lt;=0,0,ROUND(F233*(1+IF(AND(F$6&gt;0,$B234&lt;F$6),F$4,F$5)/12),2))</f>
        <v/>
      </c>
      <c r="AL234">
        <f>IF(G233&lt;=0,0,ROUND(G233*(1+IF(AND(G$6&gt;0,$B234&lt;G$6),G$4,G$5)/12),2))</f>
        <v/>
      </c>
      <c r="AM234">
        <f>IF(H233&lt;=0,0,ROUND(H233*(1+IF(AND(H$6&gt;0,$B234&lt;H$6),H$4,H$5)/12),2))</f>
        <v/>
      </c>
      <c r="AN234">
        <f>IF(I233&lt;=0,0,ROUND(I233*(1+IF(AND(I$6&gt;0,$B234&lt;I$6),I$4,I$5)/12),2))</f>
        <v/>
      </c>
      <c r="AO234">
        <f>IF(J233&lt;=0,0,ROUND(J233*(1+IF(AND(J$6&gt;0,$B234&lt;J$6),J$4,J$5)/12),2))</f>
        <v/>
      </c>
      <c r="AP234">
        <f>IF(K233&lt;=0,0,ROUND(K233*(1+IF(AND(K$6&gt;0,$B234&lt;K$6),K$4,K$5)/12),2))</f>
        <v/>
      </c>
      <c r="AQ234">
        <f>IF(L233&lt;=0,0,ROUND(L233*(1+IF(AND(L$6&gt;0,$B234&lt;L$6),L$4,L$5)/12),2))</f>
        <v/>
      </c>
      <c r="AR234">
        <f>IF(M233&lt;=0,0,ROUND(M233*(1+IF(AND(M$6&gt;0,$B234&lt;M$6),M$4,M$5)/12),2))</f>
        <v/>
      </c>
      <c r="AS234">
        <f>IF(N233&lt;=0,0,ROUND(N233*(1+IF(AND(N$6&gt;0,$B234&lt;N$6),N$4,N$5)/12),2))</f>
        <v/>
      </c>
    </row>
    <row r="235">
      <c r="A235" t="n">
        <v>224</v>
      </c>
      <c r="B235">
        <f>EDATE(Plan!$C$6,223)</f>
        <v/>
      </c>
      <c r="C235">
        <f>IF(C234&lt;=0,0,MAX(0,AH235-O235))</f>
        <v/>
      </c>
      <c r="D235">
        <f>IF(D234&lt;=0,0,MAX(0,AI235-P235))</f>
        <v/>
      </c>
      <c r="E235">
        <f>IF(E234&lt;=0,0,MAX(0,AJ235-Q235))</f>
        <v/>
      </c>
      <c r="F235">
        <f>IF(F234&lt;=0,0,MAX(0,AK235-R235))</f>
        <v/>
      </c>
      <c r="G235">
        <f>IF(G234&lt;=0,0,MAX(0,AL235-S235))</f>
        <v/>
      </c>
      <c r="H235">
        <f>IF(H234&lt;=0,0,MAX(0,AM235-T235))</f>
        <v/>
      </c>
      <c r="I235">
        <f>IF(I234&lt;=0,0,MAX(0,AN235-U235))</f>
        <v/>
      </c>
      <c r="J235">
        <f>IF(J234&lt;=0,0,MAX(0,AO235-V235))</f>
        <v/>
      </c>
      <c r="K235">
        <f>IF(K234&lt;=0,0,MAX(0,AP235-W235))</f>
        <v/>
      </c>
      <c r="L235">
        <f>IF(L234&lt;=0,0,MAX(0,AQ235-X235))</f>
        <v/>
      </c>
      <c r="M235">
        <f>IF(M234&lt;=0,0,MAX(0,AR235-Y235))</f>
        <v/>
      </c>
      <c r="N235">
        <f>IF(N234&lt;=0,0,MAX(0,AS235-Z235))</f>
        <v/>
      </c>
      <c r="O235">
        <f>IF(C234&lt;=0,0,MIN(AH235,C$7+IF(C$2=$AA235,$AC235,IF(C$2=$AF235,$AG235,0))))</f>
        <v/>
      </c>
      <c r="P235">
        <f>IF(D234&lt;=0,0,MIN(AI235,D$7+IF(D$2=$AA235,$AC235,IF(D$2=$AF235,$AG235,0))))</f>
        <v/>
      </c>
      <c r="Q235">
        <f>IF(E234&lt;=0,0,MIN(AJ235,E$7+IF(E$2=$AA235,$AC235,IF(E$2=$AF235,$AG235,0))))</f>
        <v/>
      </c>
      <c r="R235">
        <f>IF(F234&lt;=0,0,MIN(AK235,F$7+IF(F$2=$AA235,$AC235,IF(F$2=$AF235,$AG235,0))))</f>
        <v/>
      </c>
      <c r="S235">
        <f>IF(G234&lt;=0,0,MIN(AL235,G$7+IF(G$2=$AA235,$AC235,IF(G$2=$AF235,$AG235,0))))</f>
        <v/>
      </c>
      <c r="T235">
        <f>IF(H234&lt;=0,0,MIN(AM235,H$7+IF(H$2=$AA235,$AC235,IF(H$2=$AF235,$AG235,0))))</f>
        <v/>
      </c>
      <c r="U235">
        <f>IF(I234&lt;=0,0,MIN(AN235,I$7+IF(I$2=$AA235,$AC235,IF(I$2=$AF235,$AG235,0))))</f>
        <v/>
      </c>
      <c r="V235">
        <f>IF(J234&lt;=0,0,MIN(AO235,J$7+IF(J$2=$AA235,$AC235,IF(J$2=$AF235,$AG235,0))))</f>
        <v/>
      </c>
      <c r="W235">
        <f>IF(K234&lt;=0,0,MIN(AP235,K$7+IF(K$2=$AA235,$AC235,IF(K$2=$AF235,$AG235,0))))</f>
        <v/>
      </c>
      <c r="X235">
        <f>IF(L234&lt;=0,0,MIN(AQ235,L$7+IF(L$2=$AA235,$AC235,IF(L$2=$AF235,$AG235,0))))</f>
        <v/>
      </c>
      <c r="Y235">
        <f>IF(M234&lt;=0,0,MIN(AR235,M$7+IF(M$2=$AA235,$AC235,IF(M$2=$AF235,$AG235,0))))</f>
        <v/>
      </c>
      <c r="Z235">
        <f>IF(N234&lt;=0,0,MIN(AS235,N$7+IF(N$2=$AA235,$AC235,IF(N$2=$AF235,$AG235,0))))</f>
        <v/>
      </c>
      <c r="AA235">
        <f>IFERROR(ROUND(1/SUMPRODUCT(MAX((C234:N234&gt;0)*($C$3:$N$3&lt;=B235)/$C$2:$N$2)),0),0)</f>
        <v/>
      </c>
      <c r="AB235">
        <f>SUMPRODUCT((C234:N234&gt;0)*$C$7:$N$7)</f>
        <v/>
      </c>
      <c r="AC235">
        <f>MAX(0,Plan!$C$5-AB235)+IF(A235=Plan!$C$8,N(Plan!$C$7),0)</f>
        <v/>
      </c>
      <c r="AD235">
        <f>SUM(C235:N235)</f>
        <v/>
      </c>
      <c r="AE235">
        <f>SUM(O235:Z235)</f>
        <v/>
      </c>
      <c r="AF235">
        <f>IFERROR(ROUND(1/SUMPRODUCT(MAX((C234:N234&gt;0)*($C$3:$N$3&lt;=B235)*($C$2:$N$2&gt;AA235)/$C$2:$N$2)),0),0)</f>
        <v/>
      </c>
      <c r="AG235">
        <f>MAX(0,AC235-MAX(0,SUMPRODUCT(($C$2:$N$2=AA235)*(AH235:AS235-$C$7:$N$7))))</f>
        <v/>
      </c>
      <c r="AH235">
        <f>IF(C234&lt;=0,0,ROUND(C234*(1+IF(AND(C$6&gt;0,$B235&lt;C$6),C$4,C$5)/12),2))</f>
        <v/>
      </c>
      <c r="AI235">
        <f>IF(D234&lt;=0,0,ROUND(D234*(1+IF(AND(D$6&gt;0,$B235&lt;D$6),D$4,D$5)/12),2))</f>
        <v/>
      </c>
      <c r="AJ235">
        <f>IF(E234&lt;=0,0,ROUND(E234*(1+IF(AND(E$6&gt;0,$B235&lt;E$6),E$4,E$5)/12),2))</f>
        <v/>
      </c>
      <c r="AK235">
        <f>IF(F234&lt;=0,0,ROUND(F234*(1+IF(AND(F$6&gt;0,$B235&lt;F$6),F$4,F$5)/12),2))</f>
        <v/>
      </c>
      <c r="AL235">
        <f>IF(G234&lt;=0,0,ROUND(G234*(1+IF(AND(G$6&gt;0,$B235&lt;G$6),G$4,G$5)/12),2))</f>
        <v/>
      </c>
      <c r="AM235">
        <f>IF(H234&lt;=0,0,ROUND(H234*(1+IF(AND(H$6&gt;0,$B235&lt;H$6),H$4,H$5)/12),2))</f>
        <v/>
      </c>
      <c r="AN235">
        <f>IF(I234&lt;=0,0,ROUND(I234*(1+IF(AND(I$6&gt;0,$B235&lt;I$6),I$4,I$5)/12),2))</f>
        <v/>
      </c>
      <c r="AO235">
        <f>IF(J234&lt;=0,0,ROUND(J234*(1+IF(AND(J$6&gt;0,$B235&lt;J$6),J$4,J$5)/12),2))</f>
        <v/>
      </c>
      <c r="AP235">
        <f>IF(K234&lt;=0,0,ROUND(K234*(1+IF(AND(K$6&gt;0,$B235&lt;K$6),K$4,K$5)/12),2))</f>
        <v/>
      </c>
      <c r="AQ235">
        <f>IF(L234&lt;=0,0,ROUND(L234*(1+IF(AND(L$6&gt;0,$B235&lt;L$6),L$4,L$5)/12),2))</f>
        <v/>
      </c>
      <c r="AR235">
        <f>IF(M234&lt;=0,0,ROUND(M234*(1+IF(AND(M$6&gt;0,$B235&lt;M$6),M$4,M$5)/12),2))</f>
        <v/>
      </c>
      <c r="AS235">
        <f>IF(N234&lt;=0,0,ROUND(N234*(1+IF(AND(N$6&gt;0,$B235&lt;N$6),N$4,N$5)/12),2))</f>
        <v/>
      </c>
    </row>
    <row r="236">
      <c r="A236" t="n">
        <v>225</v>
      </c>
      <c r="B236">
        <f>EDATE(Plan!$C$6,224)</f>
        <v/>
      </c>
      <c r="C236">
        <f>IF(C235&lt;=0,0,MAX(0,AH236-O236))</f>
        <v/>
      </c>
      <c r="D236">
        <f>IF(D235&lt;=0,0,MAX(0,AI236-P236))</f>
        <v/>
      </c>
      <c r="E236">
        <f>IF(E235&lt;=0,0,MAX(0,AJ236-Q236))</f>
        <v/>
      </c>
      <c r="F236">
        <f>IF(F235&lt;=0,0,MAX(0,AK236-R236))</f>
        <v/>
      </c>
      <c r="G236">
        <f>IF(G235&lt;=0,0,MAX(0,AL236-S236))</f>
        <v/>
      </c>
      <c r="H236">
        <f>IF(H235&lt;=0,0,MAX(0,AM236-T236))</f>
        <v/>
      </c>
      <c r="I236">
        <f>IF(I235&lt;=0,0,MAX(0,AN236-U236))</f>
        <v/>
      </c>
      <c r="J236">
        <f>IF(J235&lt;=0,0,MAX(0,AO236-V236))</f>
        <v/>
      </c>
      <c r="K236">
        <f>IF(K235&lt;=0,0,MAX(0,AP236-W236))</f>
        <v/>
      </c>
      <c r="L236">
        <f>IF(L235&lt;=0,0,MAX(0,AQ236-X236))</f>
        <v/>
      </c>
      <c r="M236">
        <f>IF(M235&lt;=0,0,MAX(0,AR236-Y236))</f>
        <v/>
      </c>
      <c r="N236">
        <f>IF(N235&lt;=0,0,MAX(0,AS236-Z236))</f>
        <v/>
      </c>
      <c r="O236">
        <f>IF(C235&lt;=0,0,MIN(AH236,C$7+IF(C$2=$AA236,$AC236,IF(C$2=$AF236,$AG236,0))))</f>
        <v/>
      </c>
      <c r="P236">
        <f>IF(D235&lt;=0,0,MIN(AI236,D$7+IF(D$2=$AA236,$AC236,IF(D$2=$AF236,$AG236,0))))</f>
        <v/>
      </c>
      <c r="Q236">
        <f>IF(E235&lt;=0,0,MIN(AJ236,E$7+IF(E$2=$AA236,$AC236,IF(E$2=$AF236,$AG236,0))))</f>
        <v/>
      </c>
      <c r="R236">
        <f>IF(F235&lt;=0,0,MIN(AK236,F$7+IF(F$2=$AA236,$AC236,IF(F$2=$AF236,$AG236,0))))</f>
        <v/>
      </c>
      <c r="S236">
        <f>IF(G235&lt;=0,0,MIN(AL236,G$7+IF(G$2=$AA236,$AC236,IF(G$2=$AF236,$AG236,0))))</f>
        <v/>
      </c>
      <c r="T236">
        <f>IF(H235&lt;=0,0,MIN(AM236,H$7+IF(H$2=$AA236,$AC236,IF(H$2=$AF236,$AG236,0))))</f>
        <v/>
      </c>
      <c r="U236">
        <f>IF(I235&lt;=0,0,MIN(AN236,I$7+IF(I$2=$AA236,$AC236,IF(I$2=$AF236,$AG236,0))))</f>
        <v/>
      </c>
      <c r="V236">
        <f>IF(J235&lt;=0,0,MIN(AO236,J$7+IF(J$2=$AA236,$AC236,IF(J$2=$AF236,$AG236,0))))</f>
        <v/>
      </c>
      <c r="W236">
        <f>IF(K235&lt;=0,0,MIN(AP236,K$7+IF(K$2=$AA236,$AC236,IF(K$2=$AF236,$AG236,0))))</f>
        <v/>
      </c>
      <c r="X236">
        <f>IF(L235&lt;=0,0,MIN(AQ236,L$7+IF(L$2=$AA236,$AC236,IF(L$2=$AF236,$AG236,0))))</f>
        <v/>
      </c>
      <c r="Y236">
        <f>IF(M235&lt;=0,0,MIN(AR236,M$7+IF(M$2=$AA236,$AC236,IF(M$2=$AF236,$AG236,0))))</f>
        <v/>
      </c>
      <c r="Z236">
        <f>IF(N235&lt;=0,0,MIN(AS236,N$7+IF(N$2=$AA236,$AC236,IF(N$2=$AF236,$AG236,0))))</f>
        <v/>
      </c>
      <c r="AA236">
        <f>IFERROR(ROUND(1/SUMPRODUCT(MAX((C235:N235&gt;0)*($C$3:$N$3&lt;=B236)/$C$2:$N$2)),0),0)</f>
        <v/>
      </c>
      <c r="AB236">
        <f>SUMPRODUCT((C235:N235&gt;0)*$C$7:$N$7)</f>
        <v/>
      </c>
      <c r="AC236">
        <f>MAX(0,Plan!$C$5-AB236)+IF(A236=Plan!$C$8,N(Plan!$C$7),0)</f>
        <v/>
      </c>
      <c r="AD236">
        <f>SUM(C236:N236)</f>
        <v/>
      </c>
      <c r="AE236">
        <f>SUM(O236:Z236)</f>
        <v/>
      </c>
      <c r="AF236">
        <f>IFERROR(ROUND(1/SUMPRODUCT(MAX((C235:N235&gt;0)*($C$3:$N$3&lt;=B236)*($C$2:$N$2&gt;AA236)/$C$2:$N$2)),0),0)</f>
        <v/>
      </c>
      <c r="AG236">
        <f>MAX(0,AC236-MAX(0,SUMPRODUCT(($C$2:$N$2=AA236)*(AH236:AS236-$C$7:$N$7))))</f>
        <v/>
      </c>
      <c r="AH236">
        <f>IF(C235&lt;=0,0,ROUND(C235*(1+IF(AND(C$6&gt;0,$B236&lt;C$6),C$4,C$5)/12),2))</f>
        <v/>
      </c>
      <c r="AI236">
        <f>IF(D235&lt;=0,0,ROUND(D235*(1+IF(AND(D$6&gt;0,$B236&lt;D$6),D$4,D$5)/12),2))</f>
        <v/>
      </c>
      <c r="AJ236">
        <f>IF(E235&lt;=0,0,ROUND(E235*(1+IF(AND(E$6&gt;0,$B236&lt;E$6),E$4,E$5)/12),2))</f>
        <v/>
      </c>
      <c r="AK236">
        <f>IF(F235&lt;=0,0,ROUND(F235*(1+IF(AND(F$6&gt;0,$B236&lt;F$6),F$4,F$5)/12),2))</f>
        <v/>
      </c>
      <c r="AL236">
        <f>IF(G235&lt;=0,0,ROUND(G235*(1+IF(AND(G$6&gt;0,$B236&lt;G$6),G$4,G$5)/12),2))</f>
        <v/>
      </c>
      <c r="AM236">
        <f>IF(H235&lt;=0,0,ROUND(H235*(1+IF(AND(H$6&gt;0,$B236&lt;H$6),H$4,H$5)/12),2))</f>
        <v/>
      </c>
      <c r="AN236">
        <f>IF(I235&lt;=0,0,ROUND(I235*(1+IF(AND(I$6&gt;0,$B236&lt;I$6),I$4,I$5)/12),2))</f>
        <v/>
      </c>
      <c r="AO236">
        <f>IF(J235&lt;=0,0,ROUND(J235*(1+IF(AND(J$6&gt;0,$B236&lt;J$6),J$4,J$5)/12),2))</f>
        <v/>
      </c>
      <c r="AP236">
        <f>IF(K235&lt;=0,0,ROUND(K235*(1+IF(AND(K$6&gt;0,$B236&lt;K$6),K$4,K$5)/12),2))</f>
        <v/>
      </c>
      <c r="AQ236">
        <f>IF(L235&lt;=0,0,ROUND(L235*(1+IF(AND(L$6&gt;0,$B236&lt;L$6),L$4,L$5)/12),2))</f>
        <v/>
      </c>
      <c r="AR236">
        <f>IF(M235&lt;=0,0,ROUND(M235*(1+IF(AND(M$6&gt;0,$B236&lt;M$6),M$4,M$5)/12),2))</f>
        <v/>
      </c>
      <c r="AS236">
        <f>IF(N235&lt;=0,0,ROUND(N235*(1+IF(AND(N$6&gt;0,$B236&lt;N$6),N$4,N$5)/12),2))</f>
        <v/>
      </c>
    </row>
    <row r="237">
      <c r="A237" t="n">
        <v>226</v>
      </c>
      <c r="B237">
        <f>EDATE(Plan!$C$6,225)</f>
        <v/>
      </c>
      <c r="C237">
        <f>IF(C236&lt;=0,0,MAX(0,AH237-O237))</f>
        <v/>
      </c>
      <c r="D237">
        <f>IF(D236&lt;=0,0,MAX(0,AI237-P237))</f>
        <v/>
      </c>
      <c r="E237">
        <f>IF(E236&lt;=0,0,MAX(0,AJ237-Q237))</f>
        <v/>
      </c>
      <c r="F237">
        <f>IF(F236&lt;=0,0,MAX(0,AK237-R237))</f>
        <v/>
      </c>
      <c r="G237">
        <f>IF(G236&lt;=0,0,MAX(0,AL237-S237))</f>
        <v/>
      </c>
      <c r="H237">
        <f>IF(H236&lt;=0,0,MAX(0,AM237-T237))</f>
        <v/>
      </c>
      <c r="I237">
        <f>IF(I236&lt;=0,0,MAX(0,AN237-U237))</f>
        <v/>
      </c>
      <c r="J237">
        <f>IF(J236&lt;=0,0,MAX(0,AO237-V237))</f>
        <v/>
      </c>
      <c r="K237">
        <f>IF(K236&lt;=0,0,MAX(0,AP237-W237))</f>
        <v/>
      </c>
      <c r="L237">
        <f>IF(L236&lt;=0,0,MAX(0,AQ237-X237))</f>
        <v/>
      </c>
      <c r="M237">
        <f>IF(M236&lt;=0,0,MAX(0,AR237-Y237))</f>
        <v/>
      </c>
      <c r="N237">
        <f>IF(N236&lt;=0,0,MAX(0,AS237-Z237))</f>
        <v/>
      </c>
      <c r="O237">
        <f>IF(C236&lt;=0,0,MIN(AH237,C$7+IF(C$2=$AA237,$AC237,IF(C$2=$AF237,$AG237,0))))</f>
        <v/>
      </c>
      <c r="P237">
        <f>IF(D236&lt;=0,0,MIN(AI237,D$7+IF(D$2=$AA237,$AC237,IF(D$2=$AF237,$AG237,0))))</f>
        <v/>
      </c>
      <c r="Q237">
        <f>IF(E236&lt;=0,0,MIN(AJ237,E$7+IF(E$2=$AA237,$AC237,IF(E$2=$AF237,$AG237,0))))</f>
        <v/>
      </c>
      <c r="R237">
        <f>IF(F236&lt;=0,0,MIN(AK237,F$7+IF(F$2=$AA237,$AC237,IF(F$2=$AF237,$AG237,0))))</f>
        <v/>
      </c>
      <c r="S237">
        <f>IF(G236&lt;=0,0,MIN(AL237,G$7+IF(G$2=$AA237,$AC237,IF(G$2=$AF237,$AG237,0))))</f>
        <v/>
      </c>
      <c r="T237">
        <f>IF(H236&lt;=0,0,MIN(AM237,H$7+IF(H$2=$AA237,$AC237,IF(H$2=$AF237,$AG237,0))))</f>
        <v/>
      </c>
      <c r="U237">
        <f>IF(I236&lt;=0,0,MIN(AN237,I$7+IF(I$2=$AA237,$AC237,IF(I$2=$AF237,$AG237,0))))</f>
        <v/>
      </c>
      <c r="V237">
        <f>IF(J236&lt;=0,0,MIN(AO237,J$7+IF(J$2=$AA237,$AC237,IF(J$2=$AF237,$AG237,0))))</f>
        <v/>
      </c>
      <c r="W237">
        <f>IF(K236&lt;=0,0,MIN(AP237,K$7+IF(K$2=$AA237,$AC237,IF(K$2=$AF237,$AG237,0))))</f>
        <v/>
      </c>
      <c r="X237">
        <f>IF(L236&lt;=0,0,MIN(AQ237,L$7+IF(L$2=$AA237,$AC237,IF(L$2=$AF237,$AG237,0))))</f>
        <v/>
      </c>
      <c r="Y237">
        <f>IF(M236&lt;=0,0,MIN(AR237,M$7+IF(M$2=$AA237,$AC237,IF(M$2=$AF237,$AG237,0))))</f>
        <v/>
      </c>
      <c r="Z237">
        <f>IF(N236&lt;=0,0,MIN(AS237,N$7+IF(N$2=$AA237,$AC237,IF(N$2=$AF237,$AG237,0))))</f>
        <v/>
      </c>
      <c r="AA237">
        <f>IFERROR(ROUND(1/SUMPRODUCT(MAX((C236:N236&gt;0)*($C$3:$N$3&lt;=B237)/$C$2:$N$2)),0),0)</f>
        <v/>
      </c>
      <c r="AB237">
        <f>SUMPRODUCT((C236:N236&gt;0)*$C$7:$N$7)</f>
        <v/>
      </c>
      <c r="AC237">
        <f>MAX(0,Plan!$C$5-AB237)+IF(A237=Plan!$C$8,N(Plan!$C$7),0)</f>
        <v/>
      </c>
      <c r="AD237">
        <f>SUM(C237:N237)</f>
        <v/>
      </c>
      <c r="AE237">
        <f>SUM(O237:Z237)</f>
        <v/>
      </c>
      <c r="AF237">
        <f>IFERROR(ROUND(1/SUMPRODUCT(MAX((C236:N236&gt;0)*($C$3:$N$3&lt;=B237)*($C$2:$N$2&gt;AA237)/$C$2:$N$2)),0),0)</f>
        <v/>
      </c>
      <c r="AG237">
        <f>MAX(0,AC237-MAX(0,SUMPRODUCT(($C$2:$N$2=AA237)*(AH237:AS237-$C$7:$N$7))))</f>
        <v/>
      </c>
      <c r="AH237">
        <f>IF(C236&lt;=0,0,ROUND(C236*(1+IF(AND(C$6&gt;0,$B237&lt;C$6),C$4,C$5)/12),2))</f>
        <v/>
      </c>
      <c r="AI237">
        <f>IF(D236&lt;=0,0,ROUND(D236*(1+IF(AND(D$6&gt;0,$B237&lt;D$6),D$4,D$5)/12),2))</f>
        <v/>
      </c>
      <c r="AJ237">
        <f>IF(E236&lt;=0,0,ROUND(E236*(1+IF(AND(E$6&gt;0,$B237&lt;E$6),E$4,E$5)/12),2))</f>
        <v/>
      </c>
      <c r="AK237">
        <f>IF(F236&lt;=0,0,ROUND(F236*(1+IF(AND(F$6&gt;0,$B237&lt;F$6),F$4,F$5)/12),2))</f>
        <v/>
      </c>
      <c r="AL237">
        <f>IF(G236&lt;=0,0,ROUND(G236*(1+IF(AND(G$6&gt;0,$B237&lt;G$6),G$4,G$5)/12),2))</f>
        <v/>
      </c>
      <c r="AM237">
        <f>IF(H236&lt;=0,0,ROUND(H236*(1+IF(AND(H$6&gt;0,$B237&lt;H$6),H$4,H$5)/12),2))</f>
        <v/>
      </c>
      <c r="AN237">
        <f>IF(I236&lt;=0,0,ROUND(I236*(1+IF(AND(I$6&gt;0,$B237&lt;I$6),I$4,I$5)/12),2))</f>
        <v/>
      </c>
      <c r="AO237">
        <f>IF(J236&lt;=0,0,ROUND(J236*(1+IF(AND(J$6&gt;0,$B237&lt;J$6),J$4,J$5)/12),2))</f>
        <v/>
      </c>
      <c r="AP237">
        <f>IF(K236&lt;=0,0,ROUND(K236*(1+IF(AND(K$6&gt;0,$B237&lt;K$6),K$4,K$5)/12),2))</f>
        <v/>
      </c>
      <c r="AQ237">
        <f>IF(L236&lt;=0,0,ROUND(L236*(1+IF(AND(L$6&gt;0,$B237&lt;L$6),L$4,L$5)/12),2))</f>
        <v/>
      </c>
      <c r="AR237">
        <f>IF(M236&lt;=0,0,ROUND(M236*(1+IF(AND(M$6&gt;0,$B237&lt;M$6),M$4,M$5)/12),2))</f>
        <v/>
      </c>
      <c r="AS237">
        <f>IF(N236&lt;=0,0,ROUND(N236*(1+IF(AND(N$6&gt;0,$B237&lt;N$6),N$4,N$5)/12),2))</f>
        <v/>
      </c>
    </row>
    <row r="238">
      <c r="A238" t="n">
        <v>227</v>
      </c>
      <c r="B238">
        <f>EDATE(Plan!$C$6,226)</f>
        <v/>
      </c>
      <c r="C238">
        <f>IF(C237&lt;=0,0,MAX(0,AH238-O238))</f>
        <v/>
      </c>
      <c r="D238">
        <f>IF(D237&lt;=0,0,MAX(0,AI238-P238))</f>
        <v/>
      </c>
      <c r="E238">
        <f>IF(E237&lt;=0,0,MAX(0,AJ238-Q238))</f>
        <v/>
      </c>
      <c r="F238">
        <f>IF(F237&lt;=0,0,MAX(0,AK238-R238))</f>
        <v/>
      </c>
      <c r="G238">
        <f>IF(G237&lt;=0,0,MAX(0,AL238-S238))</f>
        <v/>
      </c>
      <c r="H238">
        <f>IF(H237&lt;=0,0,MAX(0,AM238-T238))</f>
        <v/>
      </c>
      <c r="I238">
        <f>IF(I237&lt;=0,0,MAX(0,AN238-U238))</f>
        <v/>
      </c>
      <c r="J238">
        <f>IF(J237&lt;=0,0,MAX(0,AO238-V238))</f>
        <v/>
      </c>
      <c r="K238">
        <f>IF(K237&lt;=0,0,MAX(0,AP238-W238))</f>
        <v/>
      </c>
      <c r="L238">
        <f>IF(L237&lt;=0,0,MAX(0,AQ238-X238))</f>
        <v/>
      </c>
      <c r="M238">
        <f>IF(M237&lt;=0,0,MAX(0,AR238-Y238))</f>
        <v/>
      </c>
      <c r="N238">
        <f>IF(N237&lt;=0,0,MAX(0,AS238-Z238))</f>
        <v/>
      </c>
      <c r="O238">
        <f>IF(C237&lt;=0,0,MIN(AH238,C$7+IF(C$2=$AA238,$AC238,IF(C$2=$AF238,$AG238,0))))</f>
        <v/>
      </c>
      <c r="P238">
        <f>IF(D237&lt;=0,0,MIN(AI238,D$7+IF(D$2=$AA238,$AC238,IF(D$2=$AF238,$AG238,0))))</f>
        <v/>
      </c>
      <c r="Q238">
        <f>IF(E237&lt;=0,0,MIN(AJ238,E$7+IF(E$2=$AA238,$AC238,IF(E$2=$AF238,$AG238,0))))</f>
        <v/>
      </c>
      <c r="R238">
        <f>IF(F237&lt;=0,0,MIN(AK238,F$7+IF(F$2=$AA238,$AC238,IF(F$2=$AF238,$AG238,0))))</f>
        <v/>
      </c>
      <c r="S238">
        <f>IF(G237&lt;=0,0,MIN(AL238,G$7+IF(G$2=$AA238,$AC238,IF(G$2=$AF238,$AG238,0))))</f>
        <v/>
      </c>
      <c r="T238">
        <f>IF(H237&lt;=0,0,MIN(AM238,H$7+IF(H$2=$AA238,$AC238,IF(H$2=$AF238,$AG238,0))))</f>
        <v/>
      </c>
      <c r="U238">
        <f>IF(I237&lt;=0,0,MIN(AN238,I$7+IF(I$2=$AA238,$AC238,IF(I$2=$AF238,$AG238,0))))</f>
        <v/>
      </c>
      <c r="V238">
        <f>IF(J237&lt;=0,0,MIN(AO238,J$7+IF(J$2=$AA238,$AC238,IF(J$2=$AF238,$AG238,0))))</f>
        <v/>
      </c>
      <c r="W238">
        <f>IF(K237&lt;=0,0,MIN(AP238,K$7+IF(K$2=$AA238,$AC238,IF(K$2=$AF238,$AG238,0))))</f>
        <v/>
      </c>
      <c r="X238">
        <f>IF(L237&lt;=0,0,MIN(AQ238,L$7+IF(L$2=$AA238,$AC238,IF(L$2=$AF238,$AG238,0))))</f>
        <v/>
      </c>
      <c r="Y238">
        <f>IF(M237&lt;=0,0,MIN(AR238,M$7+IF(M$2=$AA238,$AC238,IF(M$2=$AF238,$AG238,0))))</f>
        <v/>
      </c>
      <c r="Z238">
        <f>IF(N237&lt;=0,0,MIN(AS238,N$7+IF(N$2=$AA238,$AC238,IF(N$2=$AF238,$AG238,0))))</f>
        <v/>
      </c>
      <c r="AA238">
        <f>IFERROR(ROUND(1/SUMPRODUCT(MAX((C237:N237&gt;0)*($C$3:$N$3&lt;=B238)/$C$2:$N$2)),0),0)</f>
        <v/>
      </c>
      <c r="AB238">
        <f>SUMPRODUCT((C237:N237&gt;0)*$C$7:$N$7)</f>
        <v/>
      </c>
      <c r="AC238">
        <f>MAX(0,Plan!$C$5-AB238)+IF(A238=Plan!$C$8,N(Plan!$C$7),0)</f>
        <v/>
      </c>
      <c r="AD238">
        <f>SUM(C238:N238)</f>
        <v/>
      </c>
      <c r="AE238">
        <f>SUM(O238:Z238)</f>
        <v/>
      </c>
      <c r="AF238">
        <f>IFERROR(ROUND(1/SUMPRODUCT(MAX((C237:N237&gt;0)*($C$3:$N$3&lt;=B238)*($C$2:$N$2&gt;AA238)/$C$2:$N$2)),0),0)</f>
        <v/>
      </c>
      <c r="AG238">
        <f>MAX(0,AC238-MAX(0,SUMPRODUCT(($C$2:$N$2=AA238)*(AH238:AS238-$C$7:$N$7))))</f>
        <v/>
      </c>
      <c r="AH238">
        <f>IF(C237&lt;=0,0,ROUND(C237*(1+IF(AND(C$6&gt;0,$B238&lt;C$6),C$4,C$5)/12),2))</f>
        <v/>
      </c>
      <c r="AI238">
        <f>IF(D237&lt;=0,0,ROUND(D237*(1+IF(AND(D$6&gt;0,$B238&lt;D$6),D$4,D$5)/12),2))</f>
        <v/>
      </c>
      <c r="AJ238">
        <f>IF(E237&lt;=0,0,ROUND(E237*(1+IF(AND(E$6&gt;0,$B238&lt;E$6),E$4,E$5)/12),2))</f>
        <v/>
      </c>
      <c r="AK238">
        <f>IF(F237&lt;=0,0,ROUND(F237*(1+IF(AND(F$6&gt;0,$B238&lt;F$6),F$4,F$5)/12),2))</f>
        <v/>
      </c>
      <c r="AL238">
        <f>IF(G237&lt;=0,0,ROUND(G237*(1+IF(AND(G$6&gt;0,$B238&lt;G$6),G$4,G$5)/12),2))</f>
        <v/>
      </c>
      <c r="AM238">
        <f>IF(H237&lt;=0,0,ROUND(H237*(1+IF(AND(H$6&gt;0,$B238&lt;H$6),H$4,H$5)/12),2))</f>
        <v/>
      </c>
      <c r="AN238">
        <f>IF(I237&lt;=0,0,ROUND(I237*(1+IF(AND(I$6&gt;0,$B238&lt;I$6),I$4,I$5)/12),2))</f>
        <v/>
      </c>
      <c r="AO238">
        <f>IF(J237&lt;=0,0,ROUND(J237*(1+IF(AND(J$6&gt;0,$B238&lt;J$6),J$4,J$5)/12),2))</f>
        <v/>
      </c>
      <c r="AP238">
        <f>IF(K237&lt;=0,0,ROUND(K237*(1+IF(AND(K$6&gt;0,$B238&lt;K$6),K$4,K$5)/12),2))</f>
        <v/>
      </c>
      <c r="AQ238">
        <f>IF(L237&lt;=0,0,ROUND(L237*(1+IF(AND(L$6&gt;0,$B238&lt;L$6),L$4,L$5)/12),2))</f>
        <v/>
      </c>
      <c r="AR238">
        <f>IF(M237&lt;=0,0,ROUND(M237*(1+IF(AND(M$6&gt;0,$B238&lt;M$6),M$4,M$5)/12),2))</f>
        <v/>
      </c>
      <c r="AS238">
        <f>IF(N237&lt;=0,0,ROUND(N237*(1+IF(AND(N$6&gt;0,$B238&lt;N$6),N$4,N$5)/12),2))</f>
        <v/>
      </c>
    </row>
    <row r="239">
      <c r="A239" t="n">
        <v>228</v>
      </c>
      <c r="B239">
        <f>EDATE(Plan!$C$6,227)</f>
        <v/>
      </c>
      <c r="C239">
        <f>IF(C238&lt;=0,0,MAX(0,AH239-O239))</f>
        <v/>
      </c>
      <c r="D239">
        <f>IF(D238&lt;=0,0,MAX(0,AI239-P239))</f>
        <v/>
      </c>
      <c r="E239">
        <f>IF(E238&lt;=0,0,MAX(0,AJ239-Q239))</f>
        <v/>
      </c>
      <c r="F239">
        <f>IF(F238&lt;=0,0,MAX(0,AK239-R239))</f>
        <v/>
      </c>
      <c r="G239">
        <f>IF(G238&lt;=0,0,MAX(0,AL239-S239))</f>
        <v/>
      </c>
      <c r="H239">
        <f>IF(H238&lt;=0,0,MAX(0,AM239-T239))</f>
        <v/>
      </c>
      <c r="I239">
        <f>IF(I238&lt;=0,0,MAX(0,AN239-U239))</f>
        <v/>
      </c>
      <c r="J239">
        <f>IF(J238&lt;=0,0,MAX(0,AO239-V239))</f>
        <v/>
      </c>
      <c r="K239">
        <f>IF(K238&lt;=0,0,MAX(0,AP239-W239))</f>
        <v/>
      </c>
      <c r="L239">
        <f>IF(L238&lt;=0,0,MAX(0,AQ239-X239))</f>
        <v/>
      </c>
      <c r="M239">
        <f>IF(M238&lt;=0,0,MAX(0,AR239-Y239))</f>
        <v/>
      </c>
      <c r="N239">
        <f>IF(N238&lt;=0,0,MAX(0,AS239-Z239))</f>
        <v/>
      </c>
      <c r="O239">
        <f>IF(C238&lt;=0,0,MIN(AH239,C$7+IF(C$2=$AA239,$AC239,IF(C$2=$AF239,$AG239,0))))</f>
        <v/>
      </c>
      <c r="P239">
        <f>IF(D238&lt;=0,0,MIN(AI239,D$7+IF(D$2=$AA239,$AC239,IF(D$2=$AF239,$AG239,0))))</f>
        <v/>
      </c>
      <c r="Q239">
        <f>IF(E238&lt;=0,0,MIN(AJ239,E$7+IF(E$2=$AA239,$AC239,IF(E$2=$AF239,$AG239,0))))</f>
        <v/>
      </c>
      <c r="R239">
        <f>IF(F238&lt;=0,0,MIN(AK239,F$7+IF(F$2=$AA239,$AC239,IF(F$2=$AF239,$AG239,0))))</f>
        <v/>
      </c>
      <c r="S239">
        <f>IF(G238&lt;=0,0,MIN(AL239,G$7+IF(G$2=$AA239,$AC239,IF(G$2=$AF239,$AG239,0))))</f>
        <v/>
      </c>
      <c r="T239">
        <f>IF(H238&lt;=0,0,MIN(AM239,H$7+IF(H$2=$AA239,$AC239,IF(H$2=$AF239,$AG239,0))))</f>
        <v/>
      </c>
      <c r="U239">
        <f>IF(I238&lt;=0,0,MIN(AN239,I$7+IF(I$2=$AA239,$AC239,IF(I$2=$AF239,$AG239,0))))</f>
        <v/>
      </c>
      <c r="V239">
        <f>IF(J238&lt;=0,0,MIN(AO239,J$7+IF(J$2=$AA239,$AC239,IF(J$2=$AF239,$AG239,0))))</f>
        <v/>
      </c>
      <c r="W239">
        <f>IF(K238&lt;=0,0,MIN(AP239,K$7+IF(K$2=$AA239,$AC239,IF(K$2=$AF239,$AG239,0))))</f>
        <v/>
      </c>
      <c r="X239">
        <f>IF(L238&lt;=0,0,MIN(AQ239,L$7+IF(L$2=$AA239,$AC239,IF(L$2=$AF239,$AG239,0))))</f>
        <v/>
      </c>
      <c r="Y239">
        <f>IF(M238&lt;=0,0,MIN(AR239,M$7+IF(M$2=$AA239,$AC239,IF(M$2=$AF239,$AG239,0))))</f>
        <v/>
      </c>
      <c r="Z239">
        <f>IF(N238&lt;=0,0,MIN(AS239,N$7+IF(N$2=$AA239,$AC239,IF(N$2=$AF239,$AG239,0))))</f>
        <v/>
      </c>
      <c r="AA239">
        <f>IFERROR(ROUND(1/SUMPRODUCT(MAX((C238:N238&gt;0)*($C$3:$N$3&lt;=B239)/$C$2:$N$2)),0),0)</f>
        <v/>
      </c>
      <c r="AB239">
        <f>SUMPRODUCT((C238:N238&gt;0)*$C$7:$N$7)</f>
        <v/>
      </c>
      <c r="AC239">
        <f>MAX(0,Plan!$C$5-AB239)+IF(A239=Plan!$C$8,N(Plan!$C$7),0)</f>
        <v/>
      </c>
      <c r="AD239">
        <f>SUM(C239:N239)</f>
        <v/>
      </c>
      <c r="AE239">
        <f>SUM(O239:Z239)</f>
        <v/>
      </c>
      <c r="AF239">
        <f>IFERROR(ROUND(1/SUMPRODUCT(MAX((C238:N238&gt;0)*($C$3:$N$3&lt;=B239)*($C$2:$N$2&gt;AA239)/$C$2:$N$2)),0),0)</f>
        <v/>
      </c>
      <c r="AG239">
        <f>MAX(0,AC239-MAX(0,SUMPRODUCT(($C$2:$N$2=AA239)*(AH239:AS239-$C$7:$N$7))))</f>
        <v/>
      </c>
      <c r="AH239">
        <f>IF(C238&lt;=0,0,ROUND(C238*(1+IF(AND(C$6&gt;0,$B239&lt;C$6),C$4,C$5)/12),2))</f>
        <v/>
      </c>
      <c r="AI239">
        <f>IF(D238&lt;=0,0,ROUND(D238*(1+IF(AND(D$6&gt;0,$B239&lt;D$6),D$4,D$5)/12),2))</f>
        <v/>
      </c>
      <c r="AJ239">
        <f>IF(E238&lt;=0,0,ROUND(E238*(1+IF(AND(E$6&gt;0,$B239&lt;E$6),E$4,E$5)/12),2))</f>
        <v/>
      </c>
      <c r="AK239">
        <f>IF(F238&lt;=0,0,ROUND(F238*(1+IF(AND(F$6&gt;0,$B239&lt;F$6),F$4,F$5)/12),2))</f>
        <v/>
      </c>
      <c r="AL239">
        <f>IF(G238&lt;=0,0,ROUND(G238*(1+IF(AND(G$6&gt;0,$B239&lt;G$6),G$4,G$5)/12),2))</f>
        <v/>
      </c>
      <c r="AM239">
        <f>IF(H238&lt;=0,0,ROUND(H238*(1+IF(AND(H$6&gt;0,$B239&lt;H$6),H$4,H$5)/12),2))</f>
        <v/>
      </c>
      <c r="AN239">
        <f>IF(I238&lt;=0,0,ROUND(I238*(1+IF(AND(I$6&gt;0,$B239&lt;I$6),I$4,I$5)/12),2))</f>
        <v/>
      </c>
      <c r="AO239">
        <f>IF(J238&lt;=0,0,ROUND(J238*(1+IF(AND(J$6&gt;0,$B239&lt;J$6),J$4,J$5)/12),2))</f>
        <v/>
      </c>
      <c r="AP239">
        <f>IF(K238&lt;=0,0,ROUND(K238*(1+IF(AND(K$6&gt;0,$B239&lt;K$6),K$4,K$5)/12),2))</f>
        <v/>
      </c>
      <c r="AQ239">
        <f>IF(L238&lt;=0,0,ROUND(L238*(1+IF(AND(L$6&gt;0,$B239&lt;L$6),L$4,L$5)/12),2))</f>
        <v/>
      </c>
      <c r="AR239">
        <f>IF(M238&lt;=0,0,ROUND(M238*(1+IF(AND(M$6&gt;0,$B239&lt;M$6),M$4,M$5)/12),2))</f>
        <v/>
      </c>
      <c r="AS239">
        <f>IF(N238&lt;=0,0,ROUND(N238*(1+IF(AND(N$6&gt;0,$B239&lt;N$6),N$4,N$5)/12),2))</f>
        <v/>
      </c>
    </row>
    <row r="240">
      <c r="A240" t="n">
        <v>229</v>
      </c>
      <c r="B240">
        <f>EDATE(Plan!$C$6,228)</f>
        <v/>
      </c>
      <c r="C240">
        <f>IF(C239&lt;=0,0,MAX(0,AH240-O240))</f>
        <v/>
      </c>
      <c r="D240">
        <f>IF(D239&lt;=0,0,MAX(0,AI240-P240))</f>
        <v/>
      </c>
      <c r="E240">
        <f>IF(E239&lt;=0,0,MAX(0,AJ240-Q240))</f>
        <v/>
      </c>
      <c r="F240">
        <f>IF(F239&lt;=0,0,MAX(0,AK240-R240))</f>
        <v/>
      </c>
      <c r="G240">
        <f>IF(G239&lt;=0,0,MAX(0,AL240-S240))</f>
        <v/>
      </c>
      <c r="H240">
        <f>IF(H239&lt;=0,0,MAX(0,AM240-T240))</f>
        <v/>
      </c>
      <c r="I240">
        <f>IF(I239&lt;=0,0,MAX(0,AN240-U240))</f>
        <v/>
      </c>
      <c r="J240">
        <f>IF(J239&lt;=0,0,MAX(0,AO240-V240))</f>
        <v/>
      </c>
      <c r="K240">
        <f>IF(K239&lt;=0,0,MAX(0,AP240-W240))</f>
        <v/>
      </c>
      <c r="L240">
        <f>IF(L239&lt;=0,0,MAX(0,AQ240-X240))</f>
        <v/>
      </c>
      <c r="M240">
        <f>IF(M239&lt;=0,0,MAX(0,AR240-Y240))</f>
        <v/>
      </c>
      <c r="N240">
        <f>IF(N239&lt;=0,0,MAX(0,AS240-Z240))</f>
        <v/>
      </c>
      <c r="O240">
        <f>IF(C239&lt;=0,0,MIN(AH240,C$7+IF(C$2=$AA240,$AC240,IF(C$2=$AF240,$AG240,0))))</f>
        <v/>
      </c>
      <c r="P240">
        <f>IF(D239&lt;=0,0,MIN(AI240,D$7+IF(D$2=$AA240,$AC240,IF(D$2=$AF240,$AG240,0))))</f>
        <v/>
      </c>
      <c r="Q240">
        <f>IF(E239&lt;=0,0,MIN(AJ240,E$7+IF(E$2=$AA240,$AC240,IF(E$2=$AF240,$AG240,0))))</f>
        <v/>
      </c>
      <c r="R240">
        <f>IF(F239&lt;=0,0,MIN(AK240,F$7+IF(F$2=$AA240,$AC240,IF(F$2=$AF240,$AG240,0))))</f>
        <v/>
      </c>
      <c r="S240">
        <f>IF(G239&lt;=0,0,MIN(AL240,G$7+IF(G$2=$AA240,$AC240,IF(G$2=$AF240,$AG240,0))))</f>
        <v/>
      </c>
      <c r="T240">
        <f>IF(H239&lt;=0,0,MIN(AM240,H$7+IF(H$2=$AA240,$AC240,IF(H$2=$AF240,$AG240,0))))</f>
        <v/>
      </c>
      <c r="U240">
        <f>IF(I239&lt;=0,0,MIN(AN240,I$7+IF(I$2=$AA240,$AC240,IF(I$2=$AF240,$AG240,0))))</f>
        <v/>
      </c>
      <c r="V240">
        <f>IF(J239&lt;=0,0,MIN(AO240,J$7+IF(J$2=$AA240,$AC240,IF(J$2=$AF240,$AG240,0))))</f>
        <v/>
      </c>
      <c r="W240">
        <f>IF(K239&lt;=0,0,MIN(AP240,K$7+IF(K$2=$AA240,$AC240,IF(K$2=$AF240,$AG240,0))))</f>
        <v/>
      </c>
      <c r="X240">
        <f>IF(L239&lt;=0,0,MIN(AQ240,L$7+IF(L$2=$AA240,$AC240,IF(L$2=$AF240,$AG240,0))))</f>
        <v/>
      </c>
      <c r="Y240">
        <f>IF(M239&lt;=0,0,MIN(AR240,M$7+IF(M$2=$AA240,$AC240,IF(M$2=$AF240,$AG240,0))))</f>
        <v/>
      </c>
      <c r="Z240">
        <f>IF(N239&lt;=0,0,MIN(AS240,N$7+IF(N$2=$AA240,$AC240,IF(N$2=$AF240,$AG240,0))))</f>
        <v/>
      </c>
      <c r="AA240">
        <f>IFERROR(ROUND(1/SUMPRODUCT(MAX((C239:N239&gt;0)*($C$3:$N$3&lt;=B240)/$C$2:$N$2)),0),0)</f>
        <v/>
      </c>
      <c r="AB240">
        <f>SUMPRODUCT((C239:N239&gt;0)*$C$7:$N$7)</f>
        <v/>
      </c>
      <c r="AC240">
        <f>MAX(0,Plan!$C$5-AB240)+IF(A240=Plan!$C$8,N(Plan!$C$7),0)</f>
        <v/>
      </c>
      <c r="AD240">
        <f>SUM(C240:N240)</f>
        <v/>
      </c>
      <c r="AE240">
        <f>SUM(O240:Z240)</f>
        <v/>
      </c>
      <c r="AF240">
        <f>IFERROR(ROUND(1/SUMPRODUCT(MAX((C239:N239&gt;0)*($C$3:$N$3&lt;=B240)*($C$2:$N$2&gt;AA240)/$C$2:$N$2)),0),0)</f>
        <v/>
      </c>
      <c r="AG240">
        <f>MAX(0,AC240-MAX(0,SUMPRODUCT(($C$2:$N$2=AA240)*(AH240:AS240-$C$7:$N$7))))</f>
        <v/>
      </c>
      <c r="AH240">
        <f>IF(C239&lt;=0,0,ROUND(C239*(1+IF(AND(C$6&gt;0,$B240&lt;C$6),C$4,C$5)/12),2))</f>
        <v/>
      </c>
      <c r="AI240">
        <f>IF(D239&lt;=0,0,ROUND(D239*(1+IF(AND(D$6&gt;0,$B240&lt;D$6),D$4,D$5)/12),2))</f>
        <v/>
      </c>
      <c r="AJ240">
        <f>IF(E239&lt;=0,0,ROUND(E239*(1+IF(AND(E$6&gt;0,$B240&lt;E$6),E$4,E$5)/12),2))</f>
        <v/>
      </c>
      <c r="AK240">
        <f>IF(F239&lt;=0,0,ROUND(F239*(1+IF(AND(F$6&gt;0,$B240&lt;F$6),F$4,F$5)/12),2))</f>
        <v/>
      </c>
      <c r="AL240">
        <f>IF(G239&lt;=0,0,ROUND(G239*(1+IF(AND(G$6&gt;0,$B240&lt;G$6),G$4,G$5)/12),2))</f>
        <v/>
      </c>
      <c r="AM240">
        <f>IF(H239&lt;=0,0,ROUND(H239*(1+IF(AND(H$6&gt;0,$B240&lt;H$6),H$4,H$5)/12),2))</f>
        <v/>
      </c>
      <c r="AN240">
        <f>IF(I239&lt;=0,0,ROUND(I239*(1+IF(AND(I$6&gt;0,$B240&lt;I$6),I$4,I$5)/12),2))</f>
        <v/>
      </c>
      <c r="AO240">
        <f>IF(J239&lt;=0,0,ROUND(J239*(1+IF(AND(J$6&gt;0,$B240&lt;J$6),J$4,J$5)/12),2))</f>
        <v/>
      </c>
      <c r="AP240">
        <f>IF(K239&lt;=0,0,ROUND(K239*(1+IF(AND(K$6&gt;0,$B240&lt;K$6),K$4,K$5)/12),2))</f>
        <v/>
      </c>
      <c r="AQ240">
        <f>IF(L239&lt;=0,0,ROUND(L239*(1+IF(AND(L$6&gt;0,$B240&lt;L$6),L$4,L$5)/12),2))</f>
        <v/>
      </c>
      <c r="AR240">
        <f>IF(M239&lt;=0,0,ROUND(M239*(1+IF(AND(M$6&gt;0,$B240&lt;M$6),M$4,M$5)/12),2))</f>
        <v/>
      </c>
      <c r="AS240">
        <f>IF(N239&lt;=0,0,ROUND(N239*(1+IF(AND(N$6&gt;0,$B240&lt;N$6),N$4,N$5)/12),2))</f>
        <v/>
      </c>
    </row>
    <row r="241">
      <c r="A241" t="n">
        <v>230</v>
      </c>
      <c r="B241">
        <f>EDATE(Plan!$C$6,229)</f>
        <v/>
      </c>
      <c r="C241">
        <f>IF(C240&lt;=0,0,MAX(0,AH241-O241))</f>
        <v/>
      </c>
      <c r="D241">
        <f>IF(D240&lt;=0,0,MAX(0,AI241-P241))</f>
        <v/>
      </c>
      <c r="E241">
        <f>IF(E240&lt;=0,0,MAX(0,AJ241-Q241))</f>
        <v/>
      </c>
      <c r="F241">
        <f>IF(F240&lt;=0,0,MAX(0,AK241-R241))</f>
        <v/>
      </c>
      <c r="G241">
        <f>IF(G240&lt;=0,0,MAX(0,AL241-S241))</f>
        <v/>
      </c>
      <c r="H241">
        <f>IF(H240&lt;=0,0,MAX(0,AM241-T241))</f>
        <v/>
      </c>
      <c r="I241">
        <f>IF(I240&lt;=0,0,MAX(0,AN241-U241))</f>
        <v/>
      </c>
      <c r="J241">
        <f>IF(J240&lt;=0,0,MAX(0,AO241-V241))</f>
        <v/>
      </c>
      <c r="K241">
        <f>IF(K240&lt;=0,0,MAX(0,AP241-W241))</f>
        <v/>
      </c>
      <c r="L241">
        <f>IF(L240&lt;=0,0,MAX(0,AQ241-X241))</f>
        <v/>
      </c>
      <c r="M241">
        <f>IF(M240&lt;=0,0,MAX(0,AR241-Y241))</f>
        <v/>
      </c>
      <c r="N241">
        <f>IF(N240&lt;=0,0,MAX(0,AS241-Z241))</f>
        <v/>
      </c>
      <c r="O241">
        <f>IF(C240&lt;=0,0,MIN(AH241,C$7+IF(C$2=$AA241,$AC241,IF(C$2=$AF241,$AG241,0))))</f>
        <v/>
      </c>
      <c r="P241">
        <f>IF(D240&lt;=0,0,MIN(AI241,D$7+IF(D$2=$AA241,$AC241,IF(D$2=$AF241,$AG241,0))))</f>
        <v/>
      </c>
      <c r="Q241">
        <f>IF(E240&lt;=0,0,MIN(AJ241,E$7+IF(E$2=$AA241,$AC241,IF(E$2=$AF241,$AG241,0))))</f>
        <v/>
      </c>
      <c r="R241">
        <f>IF(F240&lt;=0,0,MIN(AK241,F$7+IF(F$2=$AA241,$AC241,IF(F$2=$AF241,$AG241,0))))</f>
        <v/>
      </c>
      <c r="S241">
        <f>IF(G240&lt;=0,0,MIN(AL241,G$7+IF(G$2=$AA241,$AC241,IF(G$2=$AF241,$AG241,0))))</f>
        <v/>
      </c>
      <c r="T241">
        <f>IF(H240&lt;=0,0,MIN(AM241,H$7+IF(H$2=$AA241,$AC241,IF(H$2=$AF241,$AG241,0))))</f>
        <v/>
      </c>
      <c r="U241">
        <f>IF(I240&lt;=0,0,MIN(AN241,I$7+IF(I$2=$AA241,$AC241,IF(I$2=$AF241,$AG241,0))))</f>
        <v/>
      </c>
      <c r="V241">
        <f>IF(J240&lt;=0,0,MIN(AO241,J$7+IF(J$2=$AA241,$AC241,IF(J$2=$AF241,$AG241,0))))</f>
        <v/>
      </c>
      <c r="W241">
        <f>IF(K240&lt;=0,0,MIN(AP241,K$7+IF(K$2=$AA241,$AC241,IF(K$2=$AF241,$AG241,0))))</f>
        <v/>
      </c>
      <c r="X241">
        <f>IF(L240&lt;=0,0,MIN(AQ241,L$7+IF(L$2=$AA241,$AC241,IF(L$2=$AF241,$AG241,0))))</f>
        <v/>
      </c>
      <c r="Y241">
        <f>IF(M240&lt;=0,0,MIN(AR241,M$7+IF(M$2=$AA241,$AC241,IF(M$2=$AF241,$AG241,0))))</f>
        <v/>
      </c>
      <c r="Z241">
        <f>IF(N240&lt;=0,0,MIN(AS241,N$7+IF(N$2=$AA241,$AC241,IF(N$2=$AF241,$AG241,0))))</f>
        <v/>
      </c>
      <c r="AA241">
        <f>IFERROR(ROUND(1/SUMPRODUCT(MAX((C240:N240&gt;0)*($C$3:$N$3&lt;=B241)/$C$2:$N$2)),0),0)</f>
        <v/>
      </c>
      <c r="AB241">
        <f>SUMPRODUCT((C240:N240&gt;0)*$C$7:$N$7)</f>
        <v/>
      </c>
      <c r="AC241">
        <f>MAX(0,Plan!$C$5-AB241)+IF(A241=Plan!$C$8,N(Plan!$C$7),0)</f>
        <v/>
      </c>
      <c r="AD241">
        <f>SUM(C241:N241)</f>
        <v/>
      </c>
      <c r="AE241">
        <f>SUM(O241:Z241)</f>
        <v/>
      </c>
      <c r="AF241">
        <f>IFERROR(ROUND(1/SUMPRODUCT(MAX((C240:N240&gt;0)*($C$3:$N$3&lt;=B241)*($C$2:$N$2&gt;AA241)/$C$2:$N$2)),0),0)</f>
        <v/>
      </c>
      <c r="AG241">
        <f>MAX(0,AC241-MAX(0,SUMPRODUCT(($C$2:$N$2=AA241)*(AH241:AS241-$C$7:$N$7))))</f>
        <v/>
      </c>
      <c r="AH241">
        <f>IF(C240&lt;=0,0,ROUND(C240*(1+IF(AND(C$6&gt;0,$B241&lt;C$6),C$4,C$5)/12),2))</f>
        <v/>
      </c>
      <c r="AI241">
        <f>IF(D240&lt;=0,0,ROUND(D240*(1+IF(AND(D$6&gt;0,$B241&lt;D$6),D$4,D$5)/12),2))</f>
        <v/>
      </c>
      <c r="AJ241">
        <f>IF(E240&lt;=0,0,ROUND(E240*(1+IF(AND(E$6&gt;0,$B241&lt;E$6),E$4,E$5)/12),2))</f>
        <v/>
      </c>
      <c r="AK241">
        <f>IF(F240&lt;=0,0,ROUND(F240*(1+IF(AND(F$6&gt;0,$B241&lt;F$6),F$4,F$5)/12),2))</f>
        <v/>
      </c>
      <c r="AL241">
        <f>IF(G240&lt;=0,0,ROUND(G240*(1+IF(AND(G$6&gt;0,$B241&lt;G$6),G$4,G$5)/12),2))</f>
        <v/>
      </c>
      <c r="AM241">
        <f>IF(H240&lt;=0,0,ROUND(H240*(1+IF(AND(H$6&gt;0,$B241&lt;H$6),H$4,H$5)/12),2))</f>
        <v/>
      </c>
      <c r="AN241">
        <f>IF(I240&lt;=0,0,ROUND(I240*(1+IF(AND(I$6&gt;0,$B241&lt;I$6),I$4,I$5)/12),2))</f>
        <v/>
      </c>
      <c r="AO241">
        <f>IF(J240&lt;=0,0,ROUND(J240*(1+IF(AND(J$6&gt;0,$B241&lt;J$6),J$4,J$5)/12),2))</f>
        <v/>
      </c>
      <c r="AP241">
        <f>IF(K240&lt;=0,0,ROUND(K240*(1+IF(AND(K$6&gt;0,$B241&lt;K$6),K$4,K$5)/12),2))</f>
        <v/>
      </c>
      <c r="AQ241">
        <f>IF(L240&lt;=0,0,ROUND(L240*(1+IF(AND(L$6&gt;0,$B241&lt;L$6),L$4,L$5)/12),2))</f>
        <v/>
      </c>
      <c r="AR241">
        <f>IF(M240&lt;=0,0,ROUND(M240*(1+IF(AND(M$6&gt;0,$B241&lt;M$6),M$4,M$5)/12),2))</f>
        <v/>
      </c>
      <c r="AS241">
        <f>IF(N240&lt;=0,0,ROUND(N240*(1+IF(AND(N$6&gt;0,$B241&lt;N$6),N$4,N$5)/12),2))</f>
        <v/>
      </c>
    </row>
    <row r="242">
      <c r="A242" t="n">
        <v>231</v>
      </c>
      <c r="B242">
        <f>EDATE(Plan!$C$6,230)</f>
        <v/>
      </c>
      <c r="C242">
        <f>IF(C241&lt;=0,0,MAX(0,AH242-O242))</f>
        <v/>
      </c>
      <c r="D242">
        <f>IF(D241&lt;=0,0,MAX(0,AI242-P242))</f>
        <v/>
      </c>
      <c r="E242">
        <f>IF(E241&lt;=0,0,MAX(0,AJ242-Q242))</f>
        <v/>
      </c>
      <c r="F242">
        <f>IF(F241&lt;=0,0,MAX(0,AK242-R242))</f>
        <v/>
      </c>
      <c r="G242">
        <f>IF(G241&lt;=0,0,MAX(0,AL242-S242))</f>
        <v/>
      </c>
      <c r="H242">
        <f>IF(H241&lt;=0,0,MAX(0,AM242-T242))</f>
        <v/>
      </c>
      <c r="I242">
        <f>IF(I241&lt;=0,0,MAX(0,AN242-U242))</f>
        <v/>
      </c>
      <c r="J242">
        <f>IF(J241&lt;=0,0,MAX(0,AO242-V242))</f>
        <v/>
      </c>
      <c r="K242">
        <f>IF(K241&lt;=0,0,MAX(0,AP242-W242))</f>
        <v/>
      </c>
      <c r="L242">
        <f>IF(L241&lt;=0,0,MAX(0,AQ242-X242))</f>
        <v/>
      </c>
      <c r="M242">
        <f>IF(M241&lt;=0,0,MAX(0,AR242-Y242))</f>
        <v/>
      </c>
      <c r="N242">
        <f>IF(N241&lt;=0,0,MAX(0,AS242-Z242))</f>
        <v/>
      </c>
      <c r="O242">
        <f>IF(C241&lt;=0,0,MIN(AH242,C$7+IF(C$2=$AA242,$AC242,IF(C$2=$AF242,$AG242,0))))</f>
        <v/>
      </c>
      <c r="P242">
        <f>IF(D241&lt;=0,0,MIN(AI242,D$7+IF(D$2=$AA242,$AC242,IF(D$2=$AF242,$AG242,0))))</f>
        <v/>
      </c>
      <c r="Q242">
        <f>IF(E241&lt;=0,0,MIN(AJ242,E$7+IF(E$2=$AA242,$AC242,IF(E$2=$AF242,$AG242,0))))</f>
        <v/>
      </c>
      <c r="R242">
        <f>IF(F241&lt;=0,0,MIN(AK242,F$7+IF(F$2=$AA242,$AC242,IF(F$2=$AF242,$AG242,0))))</f>
        <v/>
      </c>
      <c r="S242">
        <f>IF(G241&lt;=0,0,MIN(AL242,G$7+IF(G$2=$AA242,$AC242,IF(G$2=$AF242,$AG242,0))))</f>
        <v/>
      </c>
      <c r="T242">
        <f>IF(H241&lt;=0,0,MIN(AM242,H$7+IF(H$2=$AA242,$AC242,IF(H$2=$AF242,$AG242,0))))</f>
        <v/>
      </c>
      <c r="U242">
        <f>IF(I241&lt;=0,0,MIN(AN242,I$7+IF(I$2=$AA242,$AC242,IF(I$2=$AF242,$AG242,0))))</f>
        <v/>
      </c>
      <c r="V242">
        <f>IF(J241&lt;=0,0,MIN(AO242,J$7+IF(J$2=$AA242,$AC242,IF(J$2=$AF242,$AG242,0))))</f>
        <v/>
      </c>
      <c r="W242">
        <f>IF(K241&lt;=0,0,MIN(AP242,K$7+IF(K$2=$AA242,$AC242,IF(K$2=$AF242,$AG242,0))))</f>
        <v/>
      </c>
      <c r="X242">
        <f>IF(L241&lt;=0,0,MIN(AQ242,L$7+IF(L$2=$AA242,$AC242,IF(L$2=$AF242,$AG242,0))))</f>
        <v/>
      </c>
      <c r="Y242">
        <f>IF(M241&lt;=0,0,MIN(AR242,M$7+IF(M$2=$AA242,$AC242,IF(M$2=$AF242,$AG242,0))))</f>
        <v/>
      </c>
      <c r="Z242">
        <f>IF(N241&lt;=0,0,MIN(AS242,N$7+IF(N$2=$AA242,$AC242,IF(N$2=$AF242,$AG242,0))))</f>
        <v/>
      </c>
      <c r="AA242">
        <f>IFERROR(ROUND(1/SUMPRODUCT(MAX((C241:N241&gt;0)*($C$3:$N$3&lt;=B242)/$C$2:$N$2)),0),0)</f>
        <v/>
      </c>
      <c r="AB242">
        <f>SUMPRODUCT((C241:N241&gt;0)*$C$7:$N$7)</f>
        <v/>
      </c>
      <c r="AC242">
        <f>MAX(0,Plan!$C$5-AB242)+IF(A242=Plan!$C$8,N(Plan!$C$7),0)</f>
        <v/>
      </c>
      <c r="AD242">
        <f>SUM(C242:N242)</f>
        <v/>
      </c>
      <c r="AE242">
        <f>SUM(O242:Z242)</f>
        <v/>
      </c>
      <c r="AF242">
        <f>IFERROR(ROUND(1/SUMPRODUCT(MAX((C241:N241&gt;0)*($C$3:$N$3&lt;=B242)*($C$2:$N$2&gt;AA242)/$C$2:$N$2)),0),0)</f>
        <v/>
      </c>
      <c r="AG242">
        <f>MAX(0,AC242-MAX(0,SUMPRODUCT(($C$2:$N$2=AA242)*(AH242:AS242-$C$7:$N$7))))</f>
        <v/>
      </c>
      <c r="AH242">
        <f>IF(C241&lt;=0,0,ROUND(C241*(1+IF(AND(C$6&gt;0,$B242&lt;C$6),C$4,C$5)/12),2))</f>
        <v/>
      </c>
      <c r="AI242">
        <f>IF(D241&lt;=0,0,ROUND(D241*(1+IF(AND(D$6&gt;0,$B242&lt;D$6),D$4,D$5)/12),2))</f>
        <v/>
      </c>
      <c r="AJ242">
        <f>IF(E241&lt;=0,0,ROUND(E241*(1+IF(AND(E$6&gt;0,$B242&lt;E$6),E$4,E$5)/12),2))</f>
        <v/>
      </c>
      <c r="AK242">
        <f>IF(F241&lt;=0,0,ROUND(F241*(1+IF(AND(F$6&gt;0,$B242&lt;F$6),F$4,F$5)/12),2))</f>
        <v/>
      </c>
      <c r="AL242">
        <f>IF(G241&lt;=0,0,ROUND(G241*(1+IF(AND(G$6&gt;0,$B242&lt;G$6),G$4,G$5)/12),2))</f>
        <v/>
      </c>
      <c r="AM242">
        <f>IF(H241&lt;=0,0,ROUND(H241*(1+IF(AND(H$6&gt;0,$B242&lt;H$6),H$4,H$5)/12),2))</f>
        <v/>
      </c>
      <c r="AN242">
        <f>IF(I241&lt;=0,0,ROUND(I241*(1+IF(AND(I$6&gt;0,$B242&lt;I$6),I$4,I$5)/12),2))</f>
        <v/>
      </c>
      <c r="AO242">
        <f>IF(J241&lt;=0,0,ROUND(J241*(1+IF(AND(J$6&gt;0,$B242&lt;J$6),J$4,J$5)/12),2))</f>
        <v/>
      </c>
      <c r="AP242">
        <f>IF(K241&lt;=0,0,ROUND(K241*(1+IF(AND(K$6&gt;0,$B242&lt;K$6),K$4,K$5)/12),2))</f>
        <v/>
      </c>
      <c r="AQ242">
        <f>IF(L241&lt;=0,0,ROUND(L241*(1+IF(AND(L$6&gt;0,$B242&lt;L$6),L$4,L$5)/12),2))</f>
        <v/>
      </c>
      <c r="AR242">
        <f>IF(M241&lt;=0,0,ROUND(M241*(1+IF(AND(M$6&gt;0,$B242&lt;M$6),M$4,M$5)/12),2))</f>
        <v/>
      </c>
      <c r="AS242">
        <f>IF(N241&lt;=0,0,ROUND(N241*(1+IF(AND(N$6&gt;0,$B242&lt;N$6),N$4,N$5)/12),2))</f>
        <v/>
      </c>
    </row>
    <row r="243">
      <c r="A243" t="n">
        <v>232</v>
      </c>
      <c r="B243">
        <f>EDATE(Plan!$C$6,231)</f>
        <v/>
      </c>
      <c r="C243">
        <f>IF(C242&lt;=0,0,MAX(0,AH243-O243))</f>
        <v/>
      </c>
      <c r="D243">
        <f>IF(D242&lt;=0,0,MAX(0,AI243-P243))</f>
        <v/>
      </c>
      <c r="E243">
        <f>IF(E242&lt;=0,0,MAX(0,AJ243-Q243))</f>
        <v/>
      </c>
      <c r="F243">
        <f>IF(F242&lt;=0,0,MAX(0,AK243-R243))</f>
        <v/>
      </c>
      <c r="G243">
        <f>IF(G242&lt;=0,0,MAX(0,AL243-S243))</f>
        <v/>
      </c>
      <c r="H243">
        <f>IF(H242&lt;=0,0,MAX(0,AM243-T243))</f>
        <v/>
      </c>
      <c r="I243">
        <f>IF(I242&lt;=0,0,MAX(0,AN243-U243))</f>
        <v/>
      </c>
      <c r="J243">
        <f>IF(J242&lt;=0,0,MAX(0,AO243-V243))</f>
        <v/>
      </c>
      <c r="K243">
        <f>IF(K242&lt;=0,0,MAX(0,AP243-W243))</f>
        <v/>
      </c>
      <c r="L243">
        <f>IF(L242&lt;=0,0,MAX(0,AQ243-X243))</f>
        <v/>
      </c>
      <c r="M243">
        <f>IF(M242&lt;=0,0,MAX(0,AR243-Y243))</f>
        <v/>
      </c>
      <c r="N243">
        <f>IF(N242&lt;=0,0,MAX(0,AS243-Z243))</f>
        <v/>
      </c>
      <c r="O243">
        <f>IF(C242&lt;=0,0,MIN(AH243,C$7+IF(C$2=$AA243,$AC243,IF(C$2=$AF243,$AG243,0))))</f>
        <v/>
      </c>
      <c r="P243">
        <f>IF(D242&lt;=0,0,MIN(AI243,D$7+IF(D$2=$AA243,$AC243,IF(D$2=$AF243,$AG243,0))))</f>
        <v/>
      </c>
      <c r="Q243">
        <f>IF(E242&lt;=0,0,MIN(AJ243,E$7+IF(E$2=$AA243,$AC243,IF(E$2=$AF243,$AG243,0))))</f>
        <v/>
      </c>
      <c r="R243">
        <f>IF(F242&lt;=0,0,MIN(AK243,F$7+IF(F$2=$AA243,$AC243,IF(F$2=$AF243,$AG243,0))))</f>
        <v/>
      </c>
      <c r="S243">
        <f>IF(G242&lt;=0,0,MIN(AL243,G$7+IF(G$2=$AA243,$AC243,IF(G$2=$AF243,$AG243,0))))</f>
        <v/>
      </c>
      <c r="T243">
        <f>IF(H242&lt;=0,0,MIN(AM243,H$7+IF(H$2=$AA243,$AC243,IF(H$2=$AF243,$AG243,0))))</f>
        <v/>
      </c>
      <c r="U243">
        <f>IF(I242&lt;=0,0,MIN(AN243,I$7+IF(I$2=$AA243,$AC243,IF(I$2=$AF243,$AG243,0))))</f>
        <v/>
      </c>
      <c r="V243">
        <f>IF(J242&lt;=0,0,MIN(AO243,J$7+IF(J$2=$AA243,$AC243,IF(J$2=$AF243,$AG243,0))))</f>
        <v/>
      </c>
      <c r="W243">
        <f>IF(K242&lt;=0,0,MIN(AP243,K$7+IF(K$2=$AA243,$AC243,IF(K$2=$AF243,$AG243,0))))</f>
        <v/>
      </c>
      <c r="X243">
        <f>IF(L242&lt;=0,0,MIN(AQ243,L$7+IF(L$2=$AA243,$AC243,IF(L$2=$AF243,$AG243,0))))</f>
        <v/>
      </c>
      <c r="Y243">
        <f>IF(M242&lt;=0,0,MIN(AR243,M$7+IF(M$2=$AA243,$AC243,IF(M$2=$AF243,$AG243,0))))</f>
        <v/>
      </c>
      <c r="Z243">
        <f>IF(N242&lt;=0,0,MIN(AS243,N$7+IF(N$2=$AA243,$AC243,IF(N$2=$AF243,$AG243,0))))</f>
        <v/>
      </c>
      <c r="AA243">
        <f>IFERROR(ROUND(1/SUMPRODUCT(MAX((C242:N242&gt;0)*($C$3:$N$3&lt;=B243)/$C$2:$N$2)),0),0)</f>
        <v/>
      </c>
      <c r="AB243">
        <f>SUMPRODUCT((C242:N242&gt;0)*$C$7:$N$7)</f>
        <v/>
      </c>
      <c r="AC243">
        <f>MAX(0,Plan!$C$5-AB243)+IF(A243=Plan!$C$8,N(Plan!$C$7),0)</f>
        <v/>
      </c>
      <c r="AD243">
        <f>SUM(C243:N243)</f>
        <v/>
      </c>
      <c r="AE243">
        <f>SUM(O243:Z243)</f>
        <v/>
      </c>
      <c r="AF243">
        <f>IFERROR(ROUND(1/SUMPRODUCT(MAX((C242:N242&gt;0)*($C$3:$N$3&lt;=B243)*($C$2:$N$2&gt;AA243)/$C$2:$N$2)),0),0)</f>
        <v/>
      </c>
      <c r="AG243">
        <f>MAX(0,AC243-MAX(0,SUMPRODUCT(($C$2:$N$2=AA243)*(AH243:AS243-$C$7:$N$7))))</f>
        <v/>
      </c>
      <c r="AH243">
        <f>IF(C242&lt;=0,0,ROUND(C242*(1+IF(AND(C$6&gt;0,$B243&lt;C$6),C$4,C$5)/12),2))</f>
        <v/>
      </c>
      <c r="AI243">
        <f>IF(D242&lt;=0,0,ROUND(D242*(1+IF(AND(D$6&gt;0,$B243&lt;D$6),D$4,D$5)/12),2))</f>
        <v/>
      </c>
      <c r="AJ243">
        <f>IF(E242&lt;=0,0,ROUND(E242*(1+IF(AND(E$6&gt;0,$B243&lt;E$6),E$4,E$5)/12),2))</f>
        <v/>
      </c>
      <c r="AK243">
        <f>IF(F242&lt;=0,0,ROUND(F242*(1+IF(AND(F$6&gt;0,$B243&lt;F$6),F$4,F$5)/12),2))</f>
        <v/>
      </c>
      <c r="AL243">
        <f>IF(G242&lt;=0,0,ROUND(G242*(1+IF(AND(G$6&gt;0,$B243&lt;G$6),G$4,G$5)/12),2))</f>
        <v/>
      </c>
      <c r="AM243">
        <f>IF(H242&lt;=0,0,ROUND(H242*(1+IF(AND(H$6&gt;0,$B243&lt;H$6),H$4,H$5)/12),2))</f>
        <v/>
      </c>
      <c r="AN243">
        <f>IF(I242&lt;=0,0,ROUND(I242*(1+IF(AND(I$6&gt;0,$B243&lt;I$6),I$4,I$5)/12),2))</f>
        <v/>
      </c>
      <c r="AO243">
        <f>IF(J242&lt;=0,0,ROUND(J242*(1+IF(AND(J$6&gt;0,$B243&lt;J$6),J$4,J$5)/12),2))</f>
        <v/>
      </c>
      <c r="AP243">
        <f>IF(K242&lt;=0,0,ROUND(K242*(1+IF(AND(K$6&gt;0,$B243&lt;K$6),K$4,K$5)/12),2))</f>
        <v/>
      </c>
      <c r="AQ243">
        <f>IF(L242&lt;=0,0,ROUND(L242*(1+IF(AND(L$6&gt;0,$B243&lt;L$6),L$4,L$5)/12),2))</f>
        <v/>
      </c>
      <c r="AR243">
        <f>IF(M242&lt;=0,0,ROUND(M242*(1+IF(AND(M$6&gt;0,$B243&lt;M$6),M$4,M$5)/12),2))</f>
        <v/>
      </c>
      <c r="AS243">
        <f>IF(N242&lt;=0,0,ROUND(N242*(1+IF(AND(N$6&gt;0,$B243&lt;N$6),N$4,N$5)/12),2))</f>
        <v/>
      </c>
    </row>
    <row r="244">
      <c r="A244" t="n">
        <v>233</v>
      </c>
      <c r="B244">
        <f>EDATE(Plan!$C$6,232)</f>
        <v/>
      </c>
      <c r="C244">
        <f>IF(C243&lt;=0,0,MAX(0,AH244-O244))</f>
        <v/>
      </c>
      <c r="D244">
        <f>IF(D243&lt;=0,0,MAX(0,AI244-P244))</f>
        <v/>
      </c>
      <c r="E244">
        <f>IF(E243&lt;=0,0,MAX(0,AJ244-Q244))</f>
        <v/>
      </c>
      <c r="F244">
        <f>IF(F243&lt;=0,0,MAX(0,AK244-R244))</f>
        <v/>
      </c>
      <c r="G244">
        <f>IF(G243&lt;=0,0,MAX(0,AL244-S244))</f>
        <v/>
      </c>
      <c r="H244">
        <f>IF(H243&lt;=0,0,MAX(0,AM244-T244))</f>
        <v/>
      </c>
      <c r="I244">
        <f>IF(I243&lt;=0,0,MAX(0,AN244-U244))</f>
        <v/>
      </c>
      <c r="J244">
        <f>IF(J243&lt;=0,0,MAX(0,AO244-V244))</f>
        <v/>
      </c>
      <c r="K244">
        <f>IF(K243&lt;=0,0,MAX(0,AP244-W244))</f>
        <v/>
      </c>
      <c r="L244">
        <f>IF(L243&lt;=0,0,MAX(0,AQ244-X244))</f>
        <v/>
      </c>
      <c r="M244">
        <f>IF(M243&lt;=0,0,MAX(0,AR244-Y244))</f>
        <v/>
      </c>
      <c r="N244">
        <f>IF(N243&lt;=0,0,MAX(0,AS244-Z244))</f>
        <v/>
      </c>
      <c r="O244">
        <f>IF(C243&lt;=0,0,MIN(AH244,C$7+IF(C$2=$AA244,$AC244,IF(C$2=$AF244,$AG244,0))))</f>
        <v/>
      </c>
      <c r="P244">
        <f>IF(D243&lt;=0,0,MIN(AI244,D$7+IF(D$2=$AA244,$AC244,IF(D$2=$AF244,$AG244,0))))</f>
        <v/>
      </c>
      <c r="Q244">
        <f>IF(E243&lt;=0,0,MIN(AJ244,E$7+IF(E$2=$AA244,$AC244,IF(E$2=$AF244,$AG244,0))))</f>
        <v/>
      </c>
      <c r="R244">
        <f>IF(F243&lt;=0,0,MIN(AK244,F$7+IF(F$2=$AA244,$AC244,IF(F$2=$AF244,$AG244,0))))</f>
        <v/>
      </c>
      <c r="S244">
        <f>IF(G243&lt;=0,0,MIN(AL244,G$7+IF(G$2=$AA244,$AC244,IF(G$2=$AF244,$AG244,0))))</f>
        <v/>
      </c>
      <c r="T244">
        <f>IF(H243&lt;=0,0,MIN(AM244,H$7+IF(H$2=$AA244,$AC244,IF(H$2=$AF244,$AG244,0))))</f>
        <v/>
      </c>
      <c r="U244">
        <f>IF(I243&lt;=0,0,MIN(AN244,I$7+IF(I$2=$AA244,$AC244,IF(I$2=$AF244,$AG244,0))))</f>
        <v/>
      </c>
      <c r="V244">
        <f>IF(J243&lt;=0,0,MIN(AO244,J$7+IF(J$2=$AA244,$AC244,IF(J$2=$AF244,$AG244,0))))</f>
        <v/>
      </c>
      <c r="W244">
        <f>IF(K243&lt;=0,0,MIN(AP244,K$7+IF(K$2=$AA244,$AC244,IF(K$2=$AF244,$AG244,0))))</f>
        <v/>
      </c>
      <c r="X244">
        <f>IF(L243&lt;=0,0,MIN(AQ244,L$7+IF(L$2=$AA244,$AC244,IF(L$2=$AF244,$AG244,0))))</f>
        <v/>
      </c>
      <c r="Y244">
        <f>IF(M243&lt;=0,0,MIN(AR244,M$7+IF(M$2=$AA244,$AC244,IF(M$2=$AF244,$AG244,0))))</f>
        <v/>
      </c>
      <c r="Z244">
        <f>IF(N243&lt;=0,0,MIN(AS244,N$7+IF(N$2=$AA244,$AC244,IF(N$2=$AF244,$AG244,0))))</f>
        <v/>
      </c>
      <c r="AA244">
        <f>IFERROR(ROUND(1/SUMPRODUCT(MAX((C243:N243&gt;0)*($C$3:$N$3&lt;=B244)/$C$2:$N$2)),0),0)</f>
        <v/>
      </c>
      <c r="AB244">
        <f>SUMPRODUCT((C243:N243&gt;0)*$C$7:$N$7)</f>
        <v/>
      </c>
      <c r="AC244">
        <f>MAX(0,Plan!$C$5-AB244)+IF(A244=Plan!$C$8,N(Plan!$C$7),0)</f>
        <v/>
      </c>
      <c r="AD244">
        <f>SUM(C244:N244)</f>
        <v/>
      </c>
      <c r="AE244">
        <f>SUM(O244:Z244)</f>
        <v/>
      </c>
      <c r="AF244">
        <f>IFERROR(ROUND(1/SUMPRODUCT(MAX((C243:N243&gt;0)*($C$3:$N$3&lt;=B244)*($C$2:$N$2&gt;AA244)/$C$2:$N$2)),0),0)</f>
        <v/>
      </c>
      <c r="AG244">
        <f>MAX(0,AC244-MAX(0,SUMPRODUCT(($C$2:$N$2=AA244)*(AH244:AS244-$C$7:$N$7))))</f>
        <v/>
      </c>
      <c r="AH244">
        <f>IF(C243&lt;=0,0,ROUND(C243*(1+IF(AND(C$6&gt;0,$B244&lt;C$6),C$4,C$5)/12),2))</f>
        <v/>
      </c>
      <c r="AI244">
        <f>IF(D243&lt;=0,0,ROUND(D243*(1+IF(AND(D$6&gt;0,$B244&lt;D$6),D$4,D$5)/12),2))</f>
        <v/>
      </c>
      <c r="AJ244">
        <f>IF(E243&lt;=0,0,ROUND(E243*(1+IF(AND(E$6&gt;0,$B244&lt;E$6),E$4,E$5)/12),2))</f>
        <v/>
      </c>
      <c r="AK244">
        <f>IF(F243&lt;=0,0,ROUND(F243*(1+IF(AND(F$6&gt;0,$B244&lt;F$6),F$4,F$5)/12),2))</f>
        <v/>
      </c>
      <c r="AL244">
        <f>IF(G243&lt;=0,0,ROUND(G243*(1+IF(AND(G$6&gt;0,$B244&lt;G$6),G$4,G$5)/12),2))</f>
        <v/>
      </c>
      <c r="AM244">
        <f>IF(H243&lt;=0,0,ROUND(H243*(1+IF(AND(H$6&gt;0,$B244&lt;H$6),H$4,H$5)/12),2))</f>
        <v/>
      </c>
      <c r="AN244">
        <f>IF(I243&lt;=0,0,ROUND(I243*(1+IF(AND(I$6&gt;0,$B244&lt;I$6),I$4,I$5)/12),2))</f>
        <v/>
      </c>
      <c r="AO244">
        <f>IF(J243&lt;=0,0,ROUND(J243*(1+IF(AND(J$6&gt;0,$B244&lt;J$6),J$4,J$5)/12),2))</f>
        <v/>
      </c>
      <c r="AP244">
        <f>IF(K243&lt;=0,0,ROUND(K243*(1+IF(AND(K$6&gt;0,$B244&lt;K$6),K$4,K$5)/12),2))</f>
        <v/>
      </c>
      <c r="AQ244">
        <f>IF(L243&lt;=0,0,ROUND(L243*(1+IF(AND(L$6&gt;0,$B244&lt;L$6),L$4,L$5)/12),2))</f>
        <v/>
      </c>
      <c r="AR244">
        <f>IF(M243&lt;=0,0,ROUND(M243*(1+IF(AND(M$6&gt;0,$B244&lt;M$6),M$4,M$5)/12),2))</f>
        <v/>
      </c>
      <c r="AS244">
        <f>IF(N243&lt;=0,0,ROUND(N243*(1+IF(AND(N$6&gt;0,$B244&lt;N$6),N$4,N$5)/12),2))</f>
        <v/>
      </c>
    </row>
    <row r="245">
      <c r="A245" t="n">
        <v>234</v>
      </c>
      <c r="B245">
        <f>EDATE(Plan!$C$6,233)</f>
        <v/>
      </c>
      <c r="C245">
        <f>IF(C244&lt;=0,0,MAX(0,AH245-O245))</f>
        <v/>
      </c>
      <c r="D245">
        <f>IF(D244&lt;=0,0,MAX(0,AI245-P245))</f>
        <v/>
      </c>
      <c r="E245">
        <f>IF(E244&lt;=0,0,MAX(0,AJ245-Q245))</f>
        <v/>
      </c>
      <c r="F245">
        <f>IF(F244&lt;=0,0,MAX(0,AK245-R245))</f>
        <v/>
      </c>
      <c r="G245">
        <f>IF(G244&lt;=0,0,MAX(0,AL245-S245))</f>
        <v/>
      </c>
      <c r="H245">
        <f>IF(H244&lt;=0,0,MAX(0,AM245-T245))</f>
        <v/>
      </c>
      <c r="I245">
        <f>IF(I244&lt;=0,0,MAX(0,AN245-U245))</f>
        <v/>
      </c>
      <c r="J245">
        <f>IF(J244&lt;=0,0,MAX(0,AO245-V245))</f>
        <v/>
      </c>
      <c r="K245">
        <f>IF(K244&lt;=0,0,MAX(0,AP245-W245))</f>
        <v/>
      </c>
      <c r="L245">
        <f>IF(L244&lt;=0,0,MAX(0,AQ245-X245))</f>
        <v/>
      </c>
      <c r="M245">
        <f>IF(M244&lt;=0,0,MAX(0,AR245-Y245))</f>
        <v/>
      </c>
      <c r="N245">
        <f>IF(N244&lt;=0,0,MAX(0,AS245-Z245))</f>
        <v/>
      </c>
      <c r="O245">
        <f>IF(C244&lt;=0,0,MIN(AH245,C$7+IF(C$2=$AA245,$AC245,IF(C$2=$AF245,$AG245,0))))</f>
        <v/>
      </c>
      <c r="P245">
        <f>IF(D244&lt;=0,0,MIN(AI245,D$7+IF(D$2=$AA245,$AC245,IF(D$2=$AF245,$AG245,0))))</f>
        <v/>
      </c>
      <c r="Q245">
        <f>IF(E244&lt;=0,0,MIN(AJ245,E$7+IF(E$2=$AA245,$AC245,IF(E$2=$AF245,$AG245,0))))</f>
        <v/>
      </c>
      <c r="R245">
        <f>IF(F244&lt;=0,0,MIN(AK245,F$7+IF(F$2=$AA245,$AC245,IF(F$2=$AF245,$AG245,0))))</f>
        <v/>
      </c>
      <c r="S245">
        <f>IF(G244&lt;=0,0,MIN(AL245,G$7+IF(G$2=$AA245,$AC245,IF(G$2=$AF245,$AG245,0))))</f>
        <v/>
      </c>
      <c r="T245">
        <f>IF(H244&lt;=0,0,MIN(AM245,H$7+IF(H$2=$AA245,$AC245,IF(H$2=$AF245,$AG245,0))))</f>
        <v/>
      </c>
      <c r="U245">
        <f>IF(I244&lt;=0,0,MIN(AN245,I$7+IF(I$2=$AA245,$AC245,IF(I$2=$AF245,$AG245,0))))</f>
        <v/>
      </c>
      <c r="V245">
        <f>IF(J244&lt;=0,0,MIN(AO245,J$7+IF(J$2=$AA245,$AC245,IF(J$2=$AF245,$AG245,0))))</f>
        <v/>
      </c>
      <c r="W245">
        <f>IF(K244&lt;=0,0,MIN(AP245,K$7+IF(K$2=$AA245,$AC245,IF(K$2=$AF245,$AG245,0))))</f>
        <v/>
      </c>
      <c r="X245">
        <f>IF(L244&lt;=0,0,MIN(AQ245,L$7+IF(L$2=$AA245,$AC245,IF(L$2=$AF245,$AG245,0))))</f>
        <v/>
      </c>
      <c r="Y245">
        <f>IF(M244&lt;=0,0,MIN(AR245,M$7+IF(M$2=$AA245,$AC245,IF(M$2=$AF245,$AG245,0))))</f>
        <v/>
      </c>
      <c r="Z245">
        <f>IF(N244&lt;=0,0,MIN(AS245,N$7+IF(N$2=$AA245,$AC245,IF(N$2=$AF245,$AG245,0))))</f>
        <v/>
      </c>
      <c r="AA245">
        <f>IFERROR(ROUND(1/SUMPRODUCT(MAX((C244:N244&gt;0)*($C$3:$N$3&lt;=B245)/$C$2:$N$2)),0),0)</f>
        <v/>
      </c>
      <c r="AB245">
        <f>SUMPRODUCT((C244:N244&gt;0)*$C$7:$N$7)</f>
        <v/>
      </c>
      <c r="AC245">
        <f>MAX(0,Plan!$C$5-AB245)+IF(A245=Plan!$C$8,N(Plan!$C$7),0)</f>
        <v/>
      </c>
      <c r="AD245">
        <f>SUM(C245:N245)</f>
        <v/>
      </c>
      <c r="AE245">
        <f>SUM(O245:Z245)</f>
        <v/>
      </c>
      <c r="AF245">
        <f>IFERROR(ROUND(1/SUMPRODUCT(MAX((C244:N244&gt;0)*($C$3:$N$3&lt;=B245)*($C$2:$N$2&gt;AA245)/$C$2:$N$2)),0),0)</f>
        <v/>
      </c>
      <c r="AG245">
        <f>MAX(0,AC245-MAX(0,SUMPRODUCT(($C$2:$N$2=AA245)*(AH245:AS245-$C$7:$N$7))))</f>
        <v/>
      </c>
      <c r="AH245">
        <f>IF(C244&lt;=0,0,ROUND(C244*(1+IF(AND(C$6&gt;0,$B245&lt;C$6),C$4,C$5)/12),2))</f>
        <v/>
      </c>
      <c r="AI245">
        <f>IF(D244&lt;=0,0,ROUND(D244*(1+IF(AND(D$6&gt;0,$B245&lt;D$6),D$4,D$5)/12),2))</f>
        <v/>
      </c>
      <c r="AJ245">
        <f>IF(E244&lt;=0,0,ROUND(E244*(1+IF(AND(E$6&gt;0,$B245&lt;E$6),E$4,E$5)/12),2))</f>
        <v/>
      </c>
      <c r="AK245">
        <f>IF(F244&lt;=0,0,ROUND(F244*(1+IF(AND(F$6&gt;0,$B245&lt;F$6),F$4,F$5)/12),2))</f>
        <v/>
      </c>
      <c r="AL245">
        <f>IF(G244&lt;=0,0,ROUND(G244*(1+IF(AND(G$6&gt;0,$B245&lt;G$6),G$4,G$5)/12),2))</f>
        <v/>
      </c>
      <c r="AM245">
        <f>IF(H244&lt;=0,0,ROUND(H244*(1+IF(AND(H$6&gt;0,$B245&lt;H$6),H$4,H$5)/12),2))</f>
        <v/>
      </c>
      <c r="AN245">
        <f>IF(I244&lt;=0,0,ROUND(I244*(1+IF(AND(I$6&gt;0,$B245&lt;I$6),I$4,I$5)/12),2))</f>
        <v/>
      </c>
      <c r="AO245">
        <f>IF(J244&lt;=0,0,ROUND(J244*(1+IF(AND(J$6&gt;0,$B245&lt;J$6),J$4,J$5)/12),2))</f>
        <v/>
      </c>
      <c r="AP245">
        <f>IF(K244&lt;=0,0,ROUND(K244*(1+IF(AND(K$6&gt;0,$B245&lt;K$6),K$4,K$5)/12),2))</f>
        <v/>
      </c>
      <c r="AQ245">
        <f>IF(L244&lt;=0,0,ROUND(L244*(1+IF(AND(L$6&gt;0,$B245&lt;L$6),L$4,L$5)/12),2))</f>
        <v/>
      </c>
      <c r="AR245">
        <f>IF(M244&lt;=0,0,ROUND(M244*(1+IF(AND(M$6&gt;0,$B245&lt;M$6),M$4,M$5)/12),2))</f>
        <v/>
      </c>
      <c r="AS245">
        <f>IF(N244&lt;=0,0,ROUND(N244*(1+IF(AND(N$6&gt;0,$B245&lt;N$6),N$4,N$5)/12),2))</f>
        <v/>
      </c>
    </row>
    <row r="246">
      <c r="A246" t="n">
        <v>235</v>
      </c>
      <c r="B246">
        <f>EDATE(Plan!$C$6,234)</f>
        <v/>
      </c>
      <c r="C246">
        <f>IF(C245&lt;=0,0,MAX(0,AH246-O246))</f>
        <v/>
      </c>
      <c r="D246">
        <f>IF(D245&lt;=0,0,MAX(0,AI246-P246))</f>
        <v/>
      </c>
      <c r="E246">
        <f>IF(E245&lt;=0,0,MAX(0,AJ246-Q246))</f>
        <v/>
      </c>
      <c r="F246">
        <f>IF(F245&lt;=0,0,MAX(0,AK246-R246))</f>
        <v/>
      </c>
      <c r="G246">
        <f>IF(G245&lt;=0,0,MAX(0,AL246-S246))</f>
        <v/>
      </c>
      <c r="H246">
        <f>IF(H245&lt;=0,0,MAX(0,AM246-T246))</f>
        <v/>
      </c>
      <c r="I246">
        <f>IF(I245&lt;=0,0,MAX(0,AN246-U246))</f>
        <v/>
      </c>
      <c r="J246">
        <f>IF(J245&lt;=0,0,MAX(0,AO246-V246))</f>
        <v/>
      </c>
      <c r="K246">
        <f>IF(K245&lt;=0,0,MAX(0,AP246-W246))</f>
        <v/>
      </c>
      <c r="L246">
        <f>IF(L245&lt;=0,0,MAX(0,AQ246-X246))</f>
        <v/>
      </c>
      <c r="M246">
        <f>IF(M245&lt;=0,0,MAX(0,AR246-Y246))</f>
        <v/>
      </c>
      <c r="N246">
        <f>IF(N245&lt;=0,0,MAX(0,AS246-Z246))</f>
        <v/>
      </c>
      <c r="O246">
        <f>IF(C245&lt;=0,0,MIN(AH246,C$7+IF(C$2=$AA246,$AC246,IF(C$2=$AF246,$AG246,0))))</f>
        <v/>
      </c>
      <c r="P246">
        <f>IF(D245&lt;=0,0,MIN(AI246,D$7+IF(D$2=$AA246,$AC246,IF(D$2=$AF246,$AG246,0))))</f>
        <v/>
      </c>
      <c r="Q246">
        <f>IF(E245&lt;=0,0,MIN(AJ246,E$7+IF(E$2=$AA246,$AC246,IF(E$2=$AF246,$AG246,0))))</f>
        <v/>
      </c>
      <c r="R246">
        <f>IF(F245&lt;=0,0,MIN(AK246,F$7+IF(F$2=$AA246,$AC246,IF(F$2=$AF246,$AG246,0))))</f>
        <v/>
      </c>
      <c r="S246">
        <f>IF(G245&lt;=0,0,MIN(AL246,G$7+IF(G$2=$AA246,$AC246,IF(G$2=$AF246,$AG246,0))))</f>
        <v/>
      </c>
      <c r="T246">
        <f>IF(H245&lt;=0,0,MIN(AM246,H$7+IF(H$2=$AA246,$AC246,IF(H$2=$AF246,$AG246,0))))</f>
        <v/>
      </c>
      <c r="U246">
        <f>IF(I245&lt;=0,0,MIN(AN246,I$7+IF(I$2=$AA246,$AC246,IF(I$2=$AF246,$AG246,0))))</f>
        <v/>
      </c>
      <c r="V246">
        <f>IF(J245&lt;=0,0,MIN(AO246,J$7+IF(J$2=$AA246,$AC246,IF(J$2=$AF246,$AG246,0))))</f>
        <v/>
      </c>
      <c r="W246">
        <f>IF(K245&lt;=0,0,MIN(AP246,K$7+IF(K$2=$AA246,$AC246,IF(K$2=$AF246,$AG246,0))))</f>
        <v/>
      </c>
      <c r="X246">
        <f>IF(L245&lt;=0,0,MIN(AQ246,L$7+IF(L$2=$AA246,$AC246,IF(L$2=$AF246,$AG246,0))))</f>
        <v/>
      </c>
      <c r="Y246">
        <f>IF(M245&lt;=0,0,MIN(AR246,M$7+IF(M$2=$AA246,$AC246,IF(M$2=$AF246,$AG246,0))))</f>
        <v/>
      </c>
      <c r="Z246">
        <f>IF(N245&lt;=0,0,MIN(AS246,N$7+IF(N$2=$AA246,$AC246,IF(N$2=$AF246,$AG246,0))))</f>
        <v/>
      </c>
      <c r="AA246">
        <f>IFERROR(ROUND(1/SUMPRODUCT(MAX((C245:N245&gt;0)*($C$3:$N$3&lt;=B246)/$C$2:$N$2)),0),0)</f>
        <v/>
      </c>
      <c r="AB246">
        <f>SUMPRODUCT((C245:N245&gt;0)*$C$7:$N$7)</f>
        <v/>
      </c>
      <c r="AC246">
        <f>MAX(0,Plan!$C$5-AB246)+IF(A246=Plan!$C$8,N(Plan!$C$7),0)</f>
        <v/>
      </c>
      <c r="AD246">
        <f>SUM(C246:N246)</f>
        <v/>
      </c>
      <c r="AE246">
        <f>SUM(O246:Z246)</f>
        <v/>
      </c>
      <c r="AF246">
        <f>IFERROR(ROUND(1/SUMPRODUCT(MAX((C245:N245&gt;0)*($C$3:$N$3&lt;=B246)*($C$2:$N$2&gt;AA246)/$C$2:$N$2)),0),0)</f>
        <v/>
      </c>
      <c r="AG246">
        <f>MAX(0,AC246-MAX(0,SUMPRODUCT(($C$2:$N$2=AA246)*(AH246:AS246-$C$7:$N$7))))</f>
        <v/>
      </c>
      <c r="AH246">
        <f>IF(C245&lt;=0,0,ROUND(C245*(1+IF(AND(C$6&gt;0,$B246&lt;C$6),C$4,C$5)/12),2))</f>
        <v/>
      </c>
      <c r="AI246">
        <f>IF(D245&lt;=0,0,ROUND(D245*(1+IF(AND(D$6&gt;0,$B246&lt;D$6),D$4,D$5)/12),2))</f>
        <v/>
      </c>
      <c r="AJ246">
        <f>IF(E245&lt;=0,0,ROUND(E245*(1+IF(AND(E$6&gt;0,$B246&lt;E$6),E$4,E$5)/12),2))</f>
        <v/>
      </c>
      <c r="AK246">
        <f>IF(F245&lt;=0,0,ROUND(F245*(1+IF(AND(F$6&gt;0,$B246&lt;F$6),F$4,F$5)/12),2))</f>
        <v/>
      </c>
      <c r="AL246">
        <f>IF(G245&lt;=0,0,ROUND(G245*(1+IF(AND(G$6&gt;0,$B246&lt;G$6),G$4,G$5)/12),2))</f>
        <v/>
      </c>
      <c r="AM246">
        <f>IF(H245&lt;=0,0,ROUND(H245*(1+IF(AND(H$6&gt;0,$B246&lt;H$6),H$4,H$5)/12),2))</f>
        <v/>
      </c>
      <c r="AN246">
        <f>IF(I245&lt;=0,0,ROUND(I245*(1+IF(AND(I$6&gt;0,$B246&lt;I$6),I$4,I$5)/12),2))</f>
        <v/>
      </c>
      <c r="AO246">
        <f>IF(J245&lt;=0,0,ROUND(J245*(1+IF(AND(J$6&gt;0,$B246&lt;J$6),J$4,J$5)/12),2))</f>
        <v/>
      </c>
      <c r="AP246">
        <f>IF(K245&lt;=0,0,ROUND(K245*(1+IF(AND(K$6&gt;0,$B246&lt;K$6),K$4,K$5)/12),2))</f>
        <v/>
      </c>
      <c r="AQ246">
        <f>IF(L245&lt;=0,0,ROUND(L245*(1+IF(AND(L$6&gt;0,$B246&lt;L$6),L$4,L$5)/12),2))</f>
        <v/>
      </c>
      <c r="AR246">
        <f>IF(M245&lt;=0,0,ROUND(M245*(1+IF(AND(M$6&gt;0,$B246&lt;M$6),M$4,M$5)/12),2))</f>
        <v/>
      </c>
      <c r="AS246">
        <f>IF(N245&lt;=0,0,ROUND(N245*(1+IF(AND(N$6&gt;0,$B246&lt;N$6),N$4,N$5)/12),2))</f>
        <v/>
      </c>
    </row>
    <row r="247">
      <c r="A247" t="n">
        <v>236</v>
      </c>
      <c r="B247">
        <f>EDATE(Plan!$C$6,235)</f>
        <v/>
      </c>
      <c r="C247">
        <f>IF(C246&lt;=0,0,MAX(0,AH247-O247))</f>
        <v/>
      </c>
      <c r="D247">
        <f>IF(D246&lt;=0,0,MAX(0,AI247-P247))</f>
        <v/>
      </c>
      <c r="E247">
        <f>IF(E246&lt;=0,0,MAX(0,AJ247-Q247))</f>
        <v/>
      </c>
      <c r="F247">
        <f>IF(F246&lt;=0,0,MAX(0,AK247-R247))</f>
        <v/>
      </c>
      <c r="G247">
        <f>IF(G246&lt;=0,0,MAX(0,AL247-S247))</f>
        <v/>
      </c>
      <c r="H247">
        <f>IF(H246&lt;=0,0,MAX(0,AM247-T247))</f>
        <v/>
      </c>
      <c r="I247">
        <f>IF(I246&lt;=0,0,MAX(0,AN247-U247))</f>
        <v/>
      </c>
      <c r="J247">
        <f>IF(J246&lt;=0,0,MAX(0,AO247-V247))</f>
        <v/>
      </c>
      <c r="K247">
        <f>IF(K246&lt;=0,0,MAX(0,AP247-W247))</f>
        <v/>
      </c>
      <c r="L247">
        <f>IF(L246&lt;=0,0,MAX(0,AQ247-X247))</f>
        <v/>
      </c>
      <c r="M247">
        <f>IF(M246&lt;=0,0,MAX(0,AR247-Y247))</f>
        <v/>
      </c>
      <c r="N247">
        <f>IF(N246&lt;=0,0,MAX(0,AS247-Z247))</f>
        <v/>
      </c>
      <c r="O247">
        <f>IF(C246&lt;=0,0,MIN(AH247,C$7+IF(C$2=$AA247,$AC247,IF(C$2=$AF247,$AG247,0))))</f>
        <v/>
      </c>
      <c r="P247">
        <f>IF(D246&lt;=0,0,MIN(AI247,D$7+IF(D$2=$AA247,$AC247,IF(D$2=$AF247,$AG247,0))))</f>
        <v/>
      </c>
      <c r="Q247">
        <f>IF(E246&lt;=0,0,MIN(AJ247,E$7+IF(E$2=$AA247,$AC247,IF(E$2=$AF247,$AG247,0))))</f>
        <v/>
      </c>
      <c r="R247">
        <f>IF(F246&lt;=0,0,MIN(AK247,F$7+IF(F$2=$AA247,$AC247,IF(F$2=$AF247,$AG247,0))))</f>
        <v/>
      </c>
      <c r="S247">
        <f>IF(G246&lt;=0,0,MIN(AL247,G$7+IF(G$2=$AA247,$AC247,IF(G$2=$AF247,$AG247,0))))</f>
        <v/>
      </c>
      <c r="T247">
        <f>IF(H246&lt;=0,0,MIN(AM247,H$7+IF(H$2=$AA247,$AC247,IF(H$2=$AF247,$AG247,0))))</f>
        <v/>
      </c>
      <c r="U247">
        <f>IF(I246&lt;=0,0,MIN(AN247,I$7+IF(I$2=$AA247,$AC247,IF(I$2=$AF247,$AG247,0))))</f>
        <v/>
      </c>
      <c r="V247">
        <f>IF(J246&lt;=0,0,MIN(AO247,J$7+IF(J$2=$AA247,$AC247,IF(J$2=$AF247,$AG247,0))))</f>
        <v/>
      </c>
      <c r="W247">
        <f>IF(K246&lt;=0,0,MIN(AP247,K$7+IF(K$2=$AA247,$AC247,IF(K$2=$AF247,$AG247,0))))</f>
        <v/>
      </c>
      <c r="X247">
        <f>IF(L246&lt;=0,0,MIN(AQ247,L$7+IF(L$2=$AA247,$AC247,IF(L$2=$AF247,$AG247,0))))</f>
        <v/>
      </c>
      <c r="Y247">
        <f>IF(M246&lt;=0,0,MIN(AR247,M$7+IF(M$2=$AA247,$AC247,IF(M$2=$AF247,$AG247,0))))</f>
        <v/>
      </c>
      <c r="Z247">
        <f>IF(N246&lt;=0,0,MIN(AS247,N$7+IF(N$2=$AA247,$AC247,IF(N$2=$AF247,$AG247,0))))</f>
        <v/>
      </c>
      <c r="AA247">
        <f>IFERROR(ROUND(1/SUMPRODUCT(MAX((C246:N246&gt;0)*($C$3:$N$3&lt;=B247)/$C$2:$N$2)),0),0)</f>
        <v/>
      </c>
      <c r="AB247">
        <f>SUMPRODUCT((C246:N246&gt;0)*$C$7:$N$7)</f>
        <v/>
      </c>
      <c r="AC247">
        <f>MAX(0,Plan!$C$5-AB247)+IF(A247=Plan!$C$8,N(Plan!$C$7),0)</f>
        <v/>
      </c>
      <c r="AD247">
        <f>SUM(C247:N247)</f>
        <v/>
      </c>
      <c r="AE247">
        <f>SUM(O247:Z247)</f>
        <v/>
      </c>
      <c r="AF247">
        <f>IFERROR(ROUND(1/SUMPRODUCT(MAX((C246:N246&gt;0)*($C$3:$N$3&lt;=B247)*($C$2:$N$2&gt;AA247)/$C$2:$N$2)),0),0)</f>
        <v/>
      </c>
      <c r="AG247">
        <f>MAX(0,AC247-MAX(0,SUMPRODUCT(($C$2:$N$2=AA247)*(AH247:AS247-$C$7:$N$7))))</f>
        <v/>
      </c>
      <c r="AH247">
        <f>IF(C246&lt;=0,0,ROUND(C246*(1+IF(AND(C$6&gt;0,$B247&lt;C$6),C$4,C$5)/12),2))</f>
        <v/>
      </c>
      <c r="AI247">
        <f>IF(D246&lt;=0,0,ROUND(D246*(1+IF(AND(D$6&gt;0,$B247&lt;D$6),D$4,D$5)/12),2))</f>
        <v/>
      </c>
      <c r="AJ247">
        <f>IF(E246&lt;=0,0,ROUND(E246*(1+IF(AND(E$6&gt;0,$B247&lt;E$6),E$4,E$5)/12),2))</f>
        <v/>
      </c>
      <c r="AK247">
        <f>IF(F246&lt;=0,0,ROUND(F246*(1+IF(AND(F$6&gt;0,$B247&lt;F$6),F$4,F$5)/12),2))</f>
        <v/>
      </c>
      <c r="AL247">
        <f>IF(G246&lt;=0,0,ROUND(G246*(1+IF(AND(G$6&gt;0,$B247&lt;G$6),G$4,G$5)/12),2))</f>
        <v/>
      </c>
      <c r="AM247">
        <f>IF(H246&lt;=0,0,ROUND(H246*(1+IF(AND(H$6&gt;0,$B247&lt;H$6),H$4,H$5)/12),2))</f>
        <v/>
      </c>
      <c r="AN247">
        <f>IF(I246&lt;=0,0,ROUND(I246*(1+IF(AND(I$6&gt;0,$B247&lt;I$6),I$4,I$5)/12),2))</f>
        <v/>
      </c>
      <c r="AO247">
        <f>IF(J246&lt;=0,0,ROUND(J246*(1+IF(AND(J$6&gt;0,$B247&lt;J$6),J$4,J$5)/12),2))</f>
        <v/>
      </c>
      <c r="AP247">
        <f>IF(K246&lt;=0,0,ROUND(K246*(1+IF(AND(K$6&gt;0,$B247&lt;K$6),K$4,K$5)/12),2))</f>
        <v/>
      </c>
      <c r="AQ247">
        <f>IF(L246&lt;=0,0,ROUND(L246*(1+IF(AND(L$6&gt;0,$B247&lt;L$6),L$4,L$5)/12),2))</f>
        <v/>
      </c>
      <c r="AR247">
        <f>IF(M246&lt;=0,0,ROUND(M246*(1+IF(AND(M$6&gt;0,$B247&lt;M$6),M$4,M$5)/12),2))</f>
        <v/>
      </c>
      <c r="AS247">
        <f>IF(N246&lt;=0,0,ROUND(N246*(1+IF(AND(N$6&gt;0,$B247&lt;N$6),N$4,N$5)/12),2))</f>
        <v/>
      </c>
    </row>
    <row r="248">
      <c r="A248" t="n">
        <v>237</v>
      </c>
      <c r="B248">
        <f>EDATE(Plan!$C$6,236)</f>
        <v/>
      </c>
      <c r="C248">
        <f>IF(C247&lt;=0,0,MAX(0,AH248-O248))</f>
        <v/>
      </c>
      <c r="D248">
        <f>IF(D247&lt;=0,0,MAX(0,AI248-P248))</f>
        <v/>
      </c>
      <c r="E248">
        <f>IF(E247&lt;=0,0,MAX(0,AJ248-Q248))</f>
        <v/>
      </c>
      <c r="F248">
        <f>IF(F247&lt;=0,0,MAX(0,AK248-R248))</f>
        <v/>
      </c>
      <c r="G248">
        <f>IF(G247&lt;=0,0,MAX(0,AL248-S248))</f>
        <v/>
      </c>
      <c r="H248">
        <f>IF(H247&lt;=0,0,MAX(0,AM248-T248))</f>
        <v/>
      </c>
      <c r="I248">
        <f>IF(I247&lt;=0,0,MAX(0,AN248-U248))</f>
        <v/>
      </c>
      <c r="J248">
        <f>IF(J247&lt;=0,0,MAX(0,AO248-V248))</f>
        <v/>
      </c>
      <c r="K248">
        <f>IF(K247&lt;=0,0,MAX(0,AP248-W248))</f>
        <v/>
      </c>
      <c r="L248">
        <f>IF(L247&lt;=0,0,MAX(0,AQ248-X248))</f>
        <v/>
      </c>
      <c r="M248">
        <f>IF(M247&lt;=0,0,MAX(0,AR248-Y248))</f>
        <v/>
      </c>
      <c r="N248">
        <f>IF(N247&lt;=0,0,MAX(0,AS248-Z248))</f>
        <v/>
      </c>
      <c r="O248">
        <f>IF(C247&lt;=0,0,MIN(AH248,C$7+IF(C$2=$AA248,$AC248,IF(C$2=$AF248,$AG248,0))))</f>
        <v/>
      </c>
      <c r="P248">
        <f>IF(D247&lt;=0,0,MIN(AI248,D$7+IF(D$2=$AA248,$AC248,IF(D$2=$AF248,$AG248,0))))</f>
        <v/>
      </c>
      <c r="Q248">
        <f>IF(E247&lt;=0,0,MIN(AJ248,E$7+IF(E$2=$AA248,$AC248,IF(E$2=$AF248,$AG248,0))))</f>
        <v/>
      </c>
      <c r="R248">
        <f>IF(F247&lt;=0,0,MIN(AK248,F$7+IF(F$2=$AA248,$AC248,IF(F$2=$AF248,$AG248,0))))</f>
        <v/>
      </c>
      <c r="S248">
        <f>IF(G247&lt;=0,0,MIN(AL248,G$7+IF(G$2=$AA248,$AC248,IF(G$2=$AF248,$AG248,0))))</f>
        <v/>
      </c>
      <c r="T248">
        <f>IF(H247&lt;=0,0,MIN(AM248,H$7+IF(H$2=$AA248,$AC248,IF(H$2=$AF248,$AG248,0))))</f>
        <v/>
      </c>
      <c r="U248">
        <f>IF(I247&lt;=0,0,MIN(AN248,I$7+IF(I$2=$AA248,$AC248,IF(I$2=$AF248,$AG248,0))))</f>
        <v/>
      </c>
      <c r="V248">
        <f>IF(J247&lt;=0,0,MIN(AO248,J$7+IF(J$2=$AA248,$AC248,IF(J$2=$AF248,$AG248,0))))</f>
        <v/>
      </c>
      <c r="W248">
        <f>IF(K247&lt;=0,0,MIN(AP248,K$7+IF(K$2=$AA248,$AC248,IF(K$2=$AF248,$AG248,0))))</f>
        <v/>
      </c>
      <c r="X248">
        <f>IF(L247&lt;=0,0,MIN(AQ248,L$7+IF(L$2=$AA248,$AC248,IF(L$2=$AF248,$AG248,0))))</f>
        <v/>
      </c>
      <c r="Y248">
        <f>IF(M247&lt;=0,0,MIN(AR248,M$7+IF(M$2=$AA248,$AC248,IF(M$2=$AF248,$AG248,0))))</f>
        <v/>
      </c>
      <c r="Z248">
        <f>IF(N247&lt;=0,0,MIN(AS248,N$7+IF(N$2=$AA248,$AC248,IF(N$2=$AF248,$AG248,0))))</f>
        <v/>
      </c>
      <c r="AA248">
        <f>IFERROR(ROUND(1/SUMPRODUCT(MAX((C247:N247&gt;0)*($C$3:$N$3&lt;=B248)/$C$2:$N$2)),0),0)</f>
        <v/>
      </c>
      <c r="AB248">
        <f>SUMPRODUCT((C247:N247&gt;0)*$C$7:$N$7)</f>
        <v/>
      </c>
      <c r="AC248">
        <f>MAX(0,Plan!$C$5-AB248)+IF(A248=Plan!$C$8,N(Plan!$C$7),0)</f>
        <v/>
      </c>
      <c r="AD248">
        <f>SUM(C248:N248)</f>
        <v/>
      </c>
      <c r="AE248">
        <f>SUM(O248:Z248)</f>
        <v/>
      </c>
      <c r="AF248">
        <f>IFERROR(ROUND(1/SUMPRODUCT(MAX((C247:N247&gt;0)*($C$3:$N$3&lt;=B248)*($C$2:$N$2&gt;AA248)/$C$2:$N$2)),0),0)</f>
        <v/>
      </c>
      <c r="AG248">
        <f>MAX(0,AC248-MAX(0,SUMPRODUCT(($C$2:$N$2=AA248)*(AH248:AS248-$C$7:$N$7))))</f>
        <v/>
      </c>
      <c r="AH248">
        <f>IF(C247&lt;=0,0,ROUND(C247*(1+IF(AND(C$6&gt;0,$B248&lt;C$6),C$4,C$5)/12),2))</f>
        <v/>
      </c>
      <c r="AI248">
        <f>IF(D247&lt;=0,0,ROUND(D247*(1+IF(AND(D$6&gt;0,$B248&lt;D$6),D$4,D$5)/12),2))</f>
        <v/>
      </c>
      <c r="AJ248">
        <f>IF(E247&lt;=0,0,ROUND(E247*(1+IF(AND(E$6&gt;0,$B248&lt;E$6),E$4,E$5)/12),2))</f>
        <v/>
      </c>
      <c r="AK248">
        <f>IF(F247&lt;=0,0,ROUND(F247*(1+IF(AND(F$6&gt;0,$B248&lt;F$6),F$4,F$5)/12),2))</f>
        <v/>
      </c>
      <c r="AL248">
        <f>IF(G247&lt;=0,0,ROUND(G247*(1+IF(AND(G$6&gt;0,$B248&lt;G$6),G$4,G$5)/12),2))</f>
        <v/>
      </c>
      <c r="AM248">
        <f>IF(H247&lt;=0,0,ROUND(H247*(1+IF(AND(H$6&gt;0,$B248&lt;H$6),H$4,H$5)/12),2))</f>
        <v/>
      </c>
      <c r="AN248">
        <f>IF(I247&lt;=0,0,ROUND(I247*(1+IF(AND(I$6&gt;0,$B248&lt;I$6),I$4,I$5)/12),2))</f>
        <v/>
      </c>
      <c r="AO248">
        <f>IF(J247&lt;=0,0,ROUND(J247*(1+IF(AND(J$6&gt;0,$B248&lt;J$6),J$4,J$5)/12),2))</f>
        <v/>
      </c>
      <c r="AP248">
        <f>IF(K247&lt;=0,0,ROUND(K247*(1+IF(AND(K$6&gt;0,$B248&lt;K$6),K$4,K$5)/12),2))</f>
        <v/>
      </c>
      <c r="AQ248">
        <f>IF(L247&lt;=0,0,ROUND(L247*(1+IF(AND(L$6&gt;0,$B248&lt;L$6),L$4,L$5)/12),2))</f>
        <v/>
      </c>
      <c r="AR248">
        <f>IF(M247&lt;=0,0,ROUND(M247*(1+IF(AND(M$6&gt;0,$B248&lt;M$6),M$4,M$5)/12),2))</f>
        <v/>
      </c>
      <c r="AS248">
        <f>IF(N247&lt;=0,0,ROUND(N247*(1+IF(AND(N$6&gt;0,$B248&lt;N$6),N$4,N$5)/12),2))</f>
        <v/>
      </c>
    </row>
    <row r="249">
      <c r="A249" t="n">
        <v>238</v>
      </c>
      <c r="B249">
        <f>EDATE(Plan!$C$6,237)</f>
        <v/>
      </c>
      <c r="C249">
        <f>IF(C248&lt;=0,0,MAX(0,AH249-O249))</f>
        <v/>
      </c>
      <c r="D249">
        <f>IF(D248&lt;=0,0,MAX(0,AI249-P249))</f>
        <v/>
      </c>
      <c r="E249">
        <f>IF(E248&lt;=0,0,MAX(0,AJ249-Q249))</f>
        <v/>
      </c>
      <c r="F249">
        <f>IF(F248&lt;=0,0,MAX(0,AK249-R249))</f>
        <v/>
      </c>
      <c r="G249">
        <f>IF(G248&lt;=0,0,MAX(0,AL249-S249))</f>
        <v/>
      </c>
      <c r="H249">
        <f>IF(H248&lt;=0,0,MAX(0,AM249-T249))</f>
        <v/>
      </c>
      <c r="I249">
        <f>IF(I248&lt;=0,0,MAX(0,AN249-U249))</f>
        <v/>
      </c>
      <c r="J249">
        <f>IF(J248&lt;=0,0,MAX(0,AO249-V249))</f>
        <v/>
      </c>
      <c r="K249">
        <f>IF(K248&lt;=0,0,MAX(0,AP249-W249))</f>
        <v/>
      </c>
      <c r="L249">
        <f>IF(L248&lt;=0,0,MAX(0,AQ249-X249))</f>
        <v/>
      </c>
      <c r="M249">
        <f>IF(M248&lt;=0,0,MAX(0,AR249-Y249))</f>
        <v/>
      </c>
      <c r="N249">
        <f>IF(N248&lt;=0,0,MAX(0,AS249-Z249))</f>
        <v/>
      </c>
      <c r="O249">
        <f>IF(C248&lt;=0,0,MIN(AH249,C$7+IF(C$2=$AA249,$AC249,IF(C$2=$AF249,$AG249,0))))</f>
        <v/>
      </c>
      <c r="P249">
        <f>IF(D248&lt;=0,0,MIN(AI249,D$7+IF(D$2=$AA249,$AC249,IF(D$2=$AF249,$AG249,0))))</f>
        <v/>
      </c>
      <c r="Q249">
        <f>IF(E248&lt;=0,0,MIN(AJ249,E$7+IF(E$2=$AA249,$AC249,IF(E$2=$AF249,$AG249,0))))</f>
        <v/>
      </c>
      <c r="R249">
        <f>IF(F248&lt;=0,0,MIN(AK249,F$7+IF(F$2=$AA249,$AC249,IF(F$2=$AF249,$AG249,0))))</f>
        <v/>
      </c>
      <c r="S249">
        <f>IF(G248&lt;=0,0,MIN(AL249,G$7+IF(G$2=$AA249,$AC249,IF(G$2=$AF249,$AG249,0))))</f>
        <v/>
      </c>
      <c r="T249">
        <f>IF(H248&lt;=0,0,MIN(AM249,H$7+IF(H$2=$AA249,$AC249,IF(H$2=$AF249,$AG249,0))))</f>
        <v/>
      </c>
      <c r="U249">
        <f>IF(I248&lt;=0,0,MIN(AN249,I$7+IF(I$2=$AA249,$AC249,IF(I$2=$AF249,$AG249,0))))</f>
        <v/>
      </c>
      <c r="V249">
        <f>IF(J248&lt;=0,0,MIN(AO249,J$7+IF(J$2=$AA249,$AC249,IF(J$2=$AF249,$AG249,0))))</f>
        <v/>
      </c>
      <c r="W249">
        <f>IF(K248&lt;=0,0,MIN(AP249,K$7+IF(K$2=$AA249,$AC249,IF(K$2=$AF249,$AG249,0))))</f>
        <v/>
      </c>
      <c r="X249">
        <f>IF(L248&lt;=0,0,MIN(AQ249,L$7+IF(L$2=$AA249,$AC249,IF(L$2=$AF249,$AG249,0))))</f>
        <v/>
      </c>
      <c r="Y249">
        <f>IF(M248&lt;=0,0,MIN(AR249,M$7+IF(M$2=$AA249,$AC249,IF(M$2=$AF249,$AG249,0))))</f>
        <v/>
      </c>
      <c r="Z249">
        <f>IF(N248&lt;=0,0,MIN(AS249,N$7+IF(N$2=$AA249,$AC249,IF(N$2=$AF249,$AG249,0))))</f>
        <v/>
      </c>
      <c r="AA249">
        <f>IFERROR(ROUND(1/SUMPRODUCT(MAX((C248:N248&gt;0)*($C$3:$N$3&lt;=B249)/$C$2:$N$2)),0),0)</f>
        <v/>
      </c>
      <c r="AB249">
        <f>SUMPRODUCT((C248:N248&gt;0)*$C$7:$N$7)</f>
        <v/>
      </c>
      <c r="AC249">
        <f>MAX(0,Plan!$C$5-AB249)+IF(A249=Plan!$C$8,N(Plan!$C$7),0)</f>
        <v/>
      </c>
      <c r="AD249">
        <f>SUM(C249:N249)</f>
        <v/>
      </c>
      <c r="AE249">
        <f>SUM(O249:Z249)</f>
        <v/>
      </c>
      <c r="AF249">
        <f>IFERROR(ROUND(1/SUMPRODUCT(MAX((C248:N248&gt;0)*($C$3:$N$3&lt;=B249)*($C$2:$N$2&gt;AA249)/$C$2:$N$2)),0),0)</f>
        <v/>
      </c>
      <c r="AG249">
        <f>MAX(0,AC249-MAX(0,SUMPRODUCT(($C$2:$N$2=AA249)*(AH249:AS249-$C$7:$N$7))))</f>
        <v/>
      </c>
      <c r="AH249">
        <f>IF(C248&lt;=0,0,ROUND(C248*(1+IF(AND(C$6&gt;0,$B249&lt;C$6),C$4,C$5)/12),2))</f>
        <v/>
      </c>
      <c r="AI249">
        <f>IF(D248&lt;=0,0,ROUND(D248*(1+IF(AND(D$6&gt;0,$B249&lt;D$6),D$4,D$5)/12),2))</f>
        <v/>
      </c>
      <c r="AJ249">
        <f>IF(E248&lt;=0,0,ROUND(E248*(1+IF(AND(E$6&gt;0,$B249&lt;E$6),E$4,E$5)/12),2))</f>
        <v/>
      </c>
      <c r="AK249">
        <f>IF(F248&lt;=0,0,ROUND(F248*(1+IF(AND(F$6&gt;0,$B249&lt;F$6),F$4,F$5)/12),2))</f>
        <v/>
      </c>
      <c r="AL249">
        <f>IF(G248&lt;=0,0,ROUND(G248*(1+IF(AND(G$6&gt;0,$B249&lt;G$6),G$4,G$5)/12),2))</f>
        <v/>
      </c>
      <c r="AM249">
        <f>IF(H248&lt;=0,0,ROUND(H248*(1+IF(AND(H$6&gt;0,$B249&lt;H$6),H$4,H$5)/12),2))</f>
        <v/>
      </c>
      <c r="AN249">
        <f>IF(I248&lt;=0,0,ROUND(I248*(1+IF(AND(I$6&gt;0,$B249&lt;I$6),I$4,I$5)/12),2))</f>
        <v/>
      </c>
      <c r="AO249">
        <f>IF(J248&lt;=0,0,ROUND(J248*(1+IF(AND(J$6&gt;0,$B249&lt;J$6),J$4,J$5)/12),2))</f>
        <v/>
      </c>
      <c r="AP249">
        <f>IF(K248&lt;=0,0,ROUND(K248*(1+IF(AND(K$6&gt;0,$B249&lt;K$6),K$4,K$5)/12),2))</f>
        <v/>
      </c>
      <c r="AQ249">
        <f>IF(L248&lt;=0,0,ROUND(L248*(1+IF(AND(L$6&gt;0,$B249&lt;L$6),L$4,L$5)/12),2))</f>
        <v/>
      </c>
      <c r="AR249">
        <f>IF(M248&lt;=0,0,ROUND(M248*(1+IF(AND(M$6&gt;0,$B249&lt;M$6),M$4,M$5)/12),2))</f>
        <v/>
      </c>
      <c r="AS249">
        <f>IF(N248&lt;=0,0,ROUND(N248*(1+IF(AND(N$6&gt;0,$B249&lt;N$6),N$4,N$5)/12),2))</f>
        <v/>
      </c>
    </row>
    <row r="250">
      <c r="A250" t="n">
        <v>239</v>
      </c>
      <c r="B250">
        <f>EDATE(Plan!$C$6,238)</f>
        <v/>
      </c>
      <c r="C250">
        <f>IF(C249&lt;=0,0,MAX(0,AH250-O250))</f>
        <v/>
      </c>
      <c r="D250">
        <f>IF(D249&lt;=0,0,MAX(0,AI250-P250))</f>
        <v/>
      </c>
      <c r="E250">
        <f>IF(E249&lt;=0,0,MAX(0,AJ250-Q250))</f>
        <v/>
      </c>
      <c r="F250">
        <f>IF(F249&lt;=0,0,MAX(0,AK250-R250))</f>
        <v/>
      </c>
      <c r="G250">
        <f>IF(G249&lt;=0,0,MAX(0,AL250-S250))</f>
        <v/>
      </c>
      <c r="H250">
        <f>IF(H249&lt;=0,0,MAX(0,AM250-T250))</f>
        <v/>
      </c>
      <c r="I250">
        <f>IF(I249&lt;=0,0,MAX(0,AN250-U250))</f>
        <v/>
      </c>
      <c r="J250">
        <f>IF(J249&lt;=0,0,MAX(0,AO250-V250))</f>
        <v/>
      </c>
      <c r="K250">
        <f>IF(K249&lt;=0,0,MAX(0,AP250-W250))</f>
        <v/>
      </c>
      <c r="L250">
        <f>IF(L249&lt;=0,0,MAX(0,AQ250-X250))</f>
        <v/>
      </c>
      <c r="M250">
        <f>IF(M249&lt;=0,0,MAX(0,AR250-Y250))</f>
        <v/>
      </c>
      <c r="N250">
        <f>IF(N249&lt;=0,0,MAX(0,AS250-Z250))</f>
        <v/>
      </c>
      <c r="O250">
        <f>IF(C249&lt;=0,0,MIN(AH250,C$7+IF(C$2=$AA250,$AC250,IF(C$2=$AF250,$AG250,0))))</f>
        <v/>
      </c>
      <c r="P250">
        <f>IF(D249&lt;=0,0,MIN(AI250,D$7+IF(D$2=$AA250,$AC250,IF(D$2=$AF250,$AG250,0))))</f>
        <v/>
      </c>
      <c r="Q250">
        <f>IF(E249&lt;=0,0,MIN(AJ250,E$7+IF(E$2=$AA250,$AC250,IF(E$2=$AF250,$AG250,0))))</f>
        <v/>
      </c>
      <c r="R250">
        <f>IF(F249&lt;=0,0,MIN(AK250,F$7+IF(F$2=$AA250,$AC250,IF(F$2=$AF250,$AG250,0))))</f>
        <v/>
      </c>
      <c r="S250">
        <f>IF(G249&lt;=0,0,MIN(AL250,G$7+IF(G$2=$AA250,$AC250,IF(G$2=$AF250,$AG250,0))))</f>
        <v/>
      </c>
      <c r="T250">
        <f>IF(H249&lt;=0,0,MIN(AM250,H$7+IF(H$2=$AA250,$AC250,IF(H$2=$AF250,$AG250,0))))</f>
        <v/>
      </c>
      <c r="U250">
        <f>IF(I249&lt;=0,0,MIN(AN250,I$7+IF(I$2=$AA250,$AC250,IF(I$2=$AF250,$AG250,0))))</f>
        <v/>
      </c>
      <c r="V250">
        <f>IF(J249&lt;=0,0,MIN(AO250,J$7+IF(J$2=$AA250,$AC250,IF(J$2=$AF250,$AG250,0))))</f>
        <v/>
      </c>
      <c r="W250">
        <f>IF(K249&lt;=0,0,MIN(AP250,K$7+IF(K$2=$AA250,$AC250,IF(K$2=$AF250,$AG250,0))))</f>
        <v/>
      </c>
      <c r="X250">
        <f>IF(L249&lt;=0,0,MIN(AQ250,L$7+IF(L$2=$AA250,$AC250,IF(L$2=$AF250,$AG250,0))))</f>
        <v/>
      </c>
      <c r="Y250">
        <f>IF(M249&lt;=0,0,MIN(AR250,M$7+IF(M$2=$AA250,$AC250,IF(M$2=$AF250,$AG250,0))))</f>
        <v/>
      </c>
      <c r="Z250">
        <f>IF(N249&lt;=0,0,MIN(AS250,N$7+IF(N$2=$AA250,$AC250,IF(N$2=$AF250,$AG250,0))))</f>
        <v/>
      </c>
      <c r="AA250">
        <f>IFERROR(ROUND(1/SUMPRODUCT(MAX((C249:N249&gt;0)*($C$3:$N$3&lt;=B250)/$C$2:$N$2)),0),0)</f>
        <v/>
      </c>
      <c r="AB250">
        <f>SUMPRODUCT((C249:N249&gt;0)*$C$7:$N$7)</f>
        <v/>
      </c>
      <c r="AC250">
        <f>MAX(0,Plan!$C$5-AB250)+IF(A250=Plan!$C$8,N(Plan!$C$7),0)</f>
        <v/>
      </c>
      <c r="AD250">
        <f>SUM(C250:N250)</f>
        <v/>
      </c>
      <c r="AE250">
        <f>SUM(O250:Z250)</f>
        <v/>
      </c>
      <c r="AF250">
        <f>IFERROR(ROUND(1/SUMPRODUCT(MAX((C249:N249&gt;0)*($C$3:$N$3&lt;=B250)*($C$2:$N$2&gt;AA250)/$C$2:$N$2)),0),0)</f>
        <v/>
      </c>
      <c r="AG250">
        <f>MAX(0,AC250-MAX(0,SUMPRODUCT(($C$2:$N$2=AA250)*(AH250:AS250-$C$7:$N$7))))</f>
        <v/>
      </c>
      <c r="AH250">
        <f>IF(C249&lt;=0,0,ROUND(C249*(1+IF(AND(C$6&gt;0,$B250&lt;C$6),C$4,C$5)/12),2))</f>
        <v/>
      </c>
      <c r="AI250">
        <f>IF(D249&lt;=0,0,ROUND(D249*(1+IF(AND(D$6&gt;0,$B250&lt;D$6),D$4,D$5)/12),2))</f>
        <v/>
      </c>
      <c r="AJ250">
        <f>IF(E249&lt;=0,0,ROUND(E249*(1+IF(AND(E$6&gt;0,$B250&lt;E$6),E$4,E$5)/12),2))</f>
        <v/>
      </c>
      <c r="AK250">
        <f>IF(F249&lt;=0,0,ROUND(F249*(1+IF(AND(F$6&gt;0,$B250&lt;F$6),F$4,F$5)/12),2))</f>
        <v/>
      </c>
      <c r="AL250">
        <f>IF(G249&lt;=0,0,ROUND(G249*(1+IF(AND(G$6&gt;0,$B250&lt;G$6),G$4,G$5)/12),2))</f>
        <v/>
      </c>
      <c r="AM250">
        <f>IF(H249&lt;=0,0,ROUND(H249*(1+IF(AND(H$6&gt;0,$B250&lt;H$6),H$4,H$5)/12),2))</f>
        <v/>
      </c>
      <c r="AN250">
        <f>IF(I249&lt;=0,0,ROUND(I249*(1+IF(AND(I$6&gt;0,$B250&lt;I$6),I$4,I$5)/12),2))</f>
        <v/>
      </c>
      <c r="AO250">
        <f>IF(J249&lt;=0,0,ROUND(J249*(1+IF(AND(J$6&gt;0,$B250&lt;J$6),J$4,J$5)/12),2))</f>
        <v/>
      </c>
      <c r="AP250">
        <f>IF(K249&lt;=0,0,ROUND(K249*(1+IF(AND(K$6&gt;0,$B250&lt;K$6),K$4,K$5)/12),2))</f>
        <v/>
      </c>
      <c r="AQ250">
        <f>IF(L249&lt;=0,0,ROUND(L249*(1+IF(AND(L$6&gt;0,$B250&lt;L$6),L$4,L$5)/12),2))</f>
        <v/>
      </c>
      <c r="AR250">
        <f>IF(M249&lt;=0,0,ROUND(M249*(1+IF(AND(M$6&gt;0,$B250&lt;M$6),M$4,M$5)/12),2))</f>
        <v/>
      </c>
      <c r="AS250">
        <f>IF(N249&lt;=0,0,ROUND(N249*(1+IF(AND(N$6&gt;0,$B250&lt;N$6),N$4,N$5)/12),2))</f>
        <v/>
      </c>
    </row>
    <row r="251">
      <c r="A251" t="n">
        <v>240</v>
      </c>
      <c r="B251">
        <f>EDATE(Plan!$C$6,239)</f>
        <v/>
      </c>
      <c r="C251">
        <f>IF(C250&lt;=0,0,MAX(0,AH251-O251))</f>
        <v/>
      </c>
      <c r="D251">
        <f>IF(D250&lt;=0,0,MAX(0,AI251-P251))</f>
        <v/>
      </c>
      <c r="E251">
        <f>IF(E250&lt;=0,0,MAX(0,AJ251-Q251))</f>
        <v/>
      </c>
      <c r="F251">
        <f>IF(F250&lt;=0,0,MAX(0,AK251-R251))</f>
        <v/>
      </c>
      <c r="G251">
        <f>IF(G250&lt;=0,0,MAX(0,AL251-S251))</f>
        <v/>
      </c>
      <c r="H251">
        <f>IF(H250&lt;=0,0,MAX(0,AM251-T251))</f>
        <v/>
      </c>
      <c r="I251">
        <f>IF(I250&lt;=0,0,MAX(0,AN251-U251))</f>
        <v/>
      </c>
      <c r="J251">
        <f>IF(J250&lt;=0,0,MAX(0,AO251-V251))</f>
        <v/>
      </c>
      <c r="K251">
        <f>IF(K250&lt;=0,0,MAX(0,AP251-W251))</f>
        <v/>
      </c>
      <c r="L251">
        <f>IF(L250&lt;=0,0,MAX(0,AQ251-X251))</f>
        <v/>
      </c>
      <c r="M251">
        <f>IF(M250&lt;=0,0,MAX(0,AR251-Y251))</f>
        <v/>
      </c>
      <c r="N251">
        <f>IF(N250&lt;=0,0,MAX(0,AS251-Z251))</f>
        <v/>
      </c>
      <c r="O251">
        <f>IF(C250&lt;=0,0,MIN(AH251,C$7+IF(C$2=$AA251,$AC251,IF(C$2=$AF251,$AG251,0))))</f>
        <v/>
      </c>
      <c r="P251">
        <f>IF(D250&lt;=0,0,MIN(AI251,D$7+IF(D$2=$AA251,$AC251,IF(D$2=$AF251,$AG251,0))))</f>
        <v/>
      </c>
      <c r="Q251">
        <f>IF(E250&lt;=0,0,MIN(AJ251,E$7+IF(E$2=$AA251,$AC251,IF(E$2=$AF251,$AG251,0))))</f>
        <v/>
      </c>
      <c r="R251">
        <f>IF(F250&lt;=0,0,MIN(AK251,F$7+IF(F$2=$AA251,$AC251,IF(F$2=$AF251,$AG251,0))))</f>
        <v/>
      </c>
      <c r="S251">
        <f>IF(G250&lt;=0,0,MIN(AL251,G$7+IF(G$2=$AA251,$AC251,IF(G$2=$AF251,$AG251,0))))</f>
        <v/>
      </c>
      <c r="T251">
        <f>IF(H250&lt;=0,0,MIN(AM251,H$7+IF(H$2=$AA251,$AC251,IF(H$2=$AF251,$AG251,0))))</f>
        <v/>
      </c>
      <c r="U251">
        <f>IF(I250&lt;=0,0,MIN(AN251,I$7+IF(I$2=$AA251,$AC251,IF(I$2=$AF251,$AG251,0))))</f>
        <v/>
      </c>
      <c r="V251">
        <f>IF(J250&lt;=0,0,MIN(AO251,J$7+IF(J$2=$AA251,$AC251,IF(J$2=$AF251,$AG251,0))))</f>
        <v/>
      </c>
      <c r="W251">
        <f>IF(K250&lt;=0,0,MIN(AP251,K$7+IF(K$2=$AA251,$AC251,IF(K$2=$AF251,$AG251,0))))</f>
        <v/>
      </c>
      <c r="X251">
        <f>IF(L250&lt;=0,0,MIN(AQ251,L$7+IF(L$2=$AA251,$AC251,IF(L$2=$AF251,$AG251,0))))</f>
        <v/>
      </c>
      <c r="Y251">
        <f>IF(M250&lt;=0,0,MIN(AR251,M$7+IF(M$2=$AA251,$AC251,IF(M$2=$AF251,$AG251,0))))</f>
        <v/>
      </c>
      <c r="Z251">
        <f>IF(N250&lt;=0,0,MIN(AS251,N$7+IF(N$2=$AA251,$AC251,IF(N$2=$AF251,$AG251,0))))</f>
        <v/>
      </c>
      <c r="AA251">
        <f>IFERROR(ROUND(1/SUMPRODUCT(MAX((C250:N250&gt;0)*($C$3:$N$3&lt;=B251)/$C$2:$N$2)),0),0)</f>
        <v/>
      </c>
      <c r="AB251">
        <f>SUMPRODUCT((C250:N250&gt;0)*$C$7:$N$7)</f>
        <v/>
      </c>
      <c r="AC251">
        <f>MAX(0,Plan!$C$5-AB251)+IF(A251=Plan!$C$8,N(Plan!$C$7),0)</f>
        <v/>
      </c>
      <c r="AD251">
        <f>SUM(C251:N251)</f>
        <v/>
      </c>
      <c r="AE251">
        <f>SUM(O251:Z251)</f>
        <v/>
      </c>
      <c r="AF251">
        <f>IFERROR(ROUND(1/SUMPRODUCT(MAX((C250:N250&gt;0)*($C$3:$N$3&lt;=B251)*($C$2:$N$2&gt;AA251)/$C$2:$N$2)),0),0)</f>
        <v/>
      </c>
      <c r="AG251">
        <f>MAX(0,AC251-MAX(0,SUMPRODUCT(($C$2:$N$2=AA251)*(AH251:AS251-$C$7:$N$7))))</f>
        <v/>
      </c>
      <c r="AH251">
        <f>IF(C250&lt;=0,0,ROUND(C250*(1+IF(AND(C$6&gt;0,$B251&lt;C$6),C$4,C$5)/12),2))</f>
        <v/>
      </c>
      <c r="AI251">
        <f>IF(D250&lt;=0,0,ROUND(D250*(1+IF(AND(D$6&gt;0,$B251&lt;D$6),D$4,D$5)/12),2))</f>
        <v/>
      </c>
      <c r="AJ251">
        <f>IF(E250&lt;=0,0,ROUND(E250*(1+IF(AND(E$6&gt;0,$B251&lt;E$6),E$4,E$5)/12),2))</f>
        <v/>
      </c>
      <c r="AK251">
        <f>IF(F250&lt;=0,0,ROUND(F250*(1+IF(AND(F$6&gt;0,$B251&lt;F$6),F$4,F$5)/12),2))</f>
        <v/>
      </c>
      <c r="AL251">
        <f>IF(G250&lt;=0,0,ROUND(G250*(1+IF(AND(G$6&gt;0,$B251&lt;G$6),G$4,G$5)/12),2))</f>
        <v/>
      </c>
      <c r="AM251">
        <f>IF(H250&lt;=0,0,ROUND(H250*(1+IF(AND(H$6&gt;0,$B251&lt;H$6),H$4,H$5)/12),2))</f>
        <v/>
      </c>
      <c r="AN251">
        <f>IF(I250&lt;=0,0,ROUND(I250*(1+IF(AND(I$6&gt;0,$B251&lt;I$6),I$4,I$5)/12),2))</f>
        <v/>
      </c>
      <c r="AO251">
        <f>IF(J250&lt;=0,0,ROUND(J250*(1+IF(AND(J$6&gt;0,$B251&lt;J$6),J$4,J$5)/12),2))</f>
        <v/>
      </c>
      <c r="AP251">
        <f>IF(K250&lt;=0,0,ROUND(K250*(1+IF(AND(K$6&gt;0,$B251&lt;K$6),K$4,K$5)/12),2))</f>
        <v/>
      </c>
      <c r="AQ251">
        <f>IF(L250&lt;=0,0,ROUND(L250*(1+IF(AND(L$6&gt;0,$B251&lt;L$6),L$4,L$5)/12),2))</f>
        <v/>
      </c>
      <c r="AR251">
        <f>IF(M250&lt;=0,0,ROUND(M250*(1+IF(AND(M$6&gt;0,$B251&lt;M$6),M$4,M$5)/12),2))</f>
        <v/>
      </c>
      <c r="AS251">
        <f>IF(N250&lt;=0,0,ROUND(N250*(1+IF(AND(N$6&gt;0,$B251&lt;N$6),N$4,N$5)/12),2))</f>
        <v/>
      </c>
    </row>
    <row r="252">
      <c r="A252" t="n">
        <v>241</v>
      </c>
      <c r="B252">
        <f>EDATE(Plan!$C$6,240)</f>
        <v/>
      </c>
      <c r="C252">
        <f>IF(C251&lt;=0,0,MAX(0,AH252-O252))</f>
        <v/>
      </c>
      <c r="D252">
        <f>IF(D251&lt;=0,0,MAX(0,AI252-P252))</f>
        <v/>
      </c>
      <c r="E252">
        <f>IF(E251&lt;=0,0,MAX(0,AJ252-Q252))</f>
        <v/>
      </c>
      <c r="F252">
        <f>IF(F251&lt;=0,0,MAX(0,AK252-R252))</f>
        <v/>
      </c>
      <c r="G252">
        <f>IF(G251&lt;=0,0,MAX(0,AL252-S252))</f>
        <v/>
      </c>
      <c r="H252">
        <f>IF(H251&lt;=0,0,MAX(0,AM252-T252))</f>
        <v/>
      </c>
      <c r="I252">
        <f>IF(I251&lt;=0,0,MAX(0,AN252-U252))</f>
        <v/>
      </c>
      <c r="J252">
        <f>IF(J251&lt;=0,0,MAX(0,AO252-V252))</f>
        <v/>
      </c>
      <c r="K252">
        <f>IF(K251&lt;=0,0,MAX(0,AP252-W252))</f>
        <v/>
      </c>
      <c r="L252">
        <f>IF(L251&lt;=0,0,MAX(0,AQ252-X252))</f>
        <v/>
      </c>
      <c r="M252">
        <f>IF(M251&lt;=0,0,MAX(0,AR252-Y252))</f>
        <v/>
      </c>
      <c r="N252">
        <f>IF(N251&lt;=0,0,MAX(0,AS252-Z252))</f>
        <v/>
      </c>
      <c r="O252">
        <f>IF(C251&lt;=0,0,MIN(AH252,C$7+IF(C$2=$AA252,$AC252,IF(C$2=$AF252,$AG252,0))))</f>
        <v/>
      </c>
      <c r="P252">
        <f>IF(D251&lt;=0,0,MIN(AI252,D$7+IF(D$2=$AA252,$AC252,IF(D$2=$AF252,$AG252,0))))</f>
        <v/>
      </c>
      <c r="Q252">
        <f>IF(E251&lt;=0,0,MIN(AJ252,E$7+IF(E$2=$AA252,$AC252,IF(E$2=$AF252,$AG252,0))))</f>
        <v/>
      </c>
      <c r="R252">
        <f>IF(F251&lt;=0,0,MIN(AK252,F$7+IF(F$2=$AA252,$AC252,IF(F$2=$AF252,$AG252,0))))</f>
        <v/>
      </c>
      <c r="S252">
        <f>IF(G251&lt;=0,0,MIN(AL252,G$7+IF(G$2=$AA252,$AC252,IF(G$2=$AF252,$AG252,0))))</f>
        <v/>
      </c>
      <c r="T252">
        <f>IF(H251&lt;=0,0,MIN(AM252,H$7+IF(H$2=$AA252,$AC252,IF(H$2=$AF252,$AG252,0))))</f>
        <v/>
      </c>
      <c r="U252">
        <f>IF(I251&lt;=0,0,MIN(AN252,I$7+IF(I$2=$AA252,$AC252,IF(I$2=$AF252,$AG252,0))))</f>
        <v/>
      </c>
      <c r="V252">
        <f>IF(J251&lt;=0,0,MIN(AO252,J$7+IF(J$2=$AA252,$AC252,IF(J$2=$AF252,$AG252,0))))</f>
        <v/>
      </c>
      <c r="W252">
        <f>IF(K251&lt;=0,0,MIN(AP252,K$7+IF(K$2=$AA252,$AC252,IF(K$2=$AF252,$AG252,0))))</f>
        <v/>
      </c>
      <c r="X252">
        <f>IF(L251&lt;=0,0,MIN(AQ252,L$7+IF(L$2=$AA252,$AC252,IF(L$2=$AF252,$AG252,0))))</f>
        <v/>
      </c>
      <c r="Y252">
        <f>IF(M251&lt;=0,0,MIN(AR252,M$7+IF(M$2=$AA252,$AC252,IF(M$2=$AF252,$AG252,0))))</f>
        <v/>
      </c>
      <c r="Z252">
        <f>IF(N251&lt;=0,0,MIN(AS252,N$7+IF(N$2=$AA252,$AC252,IF(N$2=$AF252,$AG252,0))))</f>
        <v/>
      </c>
      <c r="AA252">
        <f>IFERROR(ROUND(1/SUMPRODUCT(MAX((C251:N251&gt;0)*($C$3:$N$3&lt;=B252)/$C$2:$N$2)),0),0)</f>
        <v/>
      </c>
      <c r="AB252">
        <f>SUMPRODUCT((C251:N251&gt;0)*$C$7:$N$7)</f>
        <v/>
      </c>
      <c r="AC252">
        <f>MAX(0,Plan!$C$5-AB252)+IF(A252=Plan!$C$8,N(Plan!$C$7),0)</f>
        <v/>
      </c>
      <c r="AD252">
        <f>SUM(C252:N252)</f>
        <v/>
      </c>
      <c r="AE252">
        <f>SUM(O252:Z252)</f>
        <v/>
      </c>
      <c r="AF252">
        <f>IFERROR(ROUND(1/SUMPRODUCT(MAX((C251:N251&gt;0)*($C$3:$N$3&lt;=B252)*($C$2:$N$2&gt;AA252)/$C$2:$N$2)),0),0)</f>
        <v/>
      </c>
      <c r="AG252">
        <f>MAX(0,AC252-MAX(0,SUMPRODUCT(($C$2:$N$2=AA252)*(AH252:AS252-$C$7:$N$7))))</f>
        <v/>
      </c>
      <c r="AH252">
        <f>IF(C251&lt;=0,0,ROUND(C251*(1+IF(AND(C$6&gt;0,$B252&lt;C$6),C$4,C$5)/12),2))</f>
        <v/>
      </c>
      <c r="AI252">
        <f>IF(D251&lt;=0,0,ROUND(D251*(1+IF(AND(D$6&gt;0,$B252&lt;D$6),D$4,D$5)/12),2))</f>
        <v/>
      </c>
      <c r="AJ252">
        <f>IF(E251&lt;=0,0,ROUND(E251*(1+IF(AND(E$6&gt;0,$B252&lt;E$6),E$4,E$5)/12),2))</f>
        <v/>
      </c>
      <c r="AK252">
        <f>IF(F251&lt;=0,0,ROUND(F251*(1+IF(AND(F$6&gt;0,$B252&lt;F$6),F$4,F$5)/12),2))</f>
        <v/>
      </c>
      <c r="AL252">
        <f>IF(G251&lt;=0,0,ROUND(G251*(1+IF(AND(G$6&gt;0,$B252&lt;G$6),G$4,G$5)/12),2))</f>
        <v/>
      </c>
      <c r="AM252">
        <f>IF(H251&lt;=0,0,ROUND(H251*(1+IF(AND(H$6&gt;0,$B252&lt;H$6),H$4,H$5)/12),2))</f>
        <v/>
      </c>
      <c r="AN252">
        <f>IF(I251&lt;=0,0,ROUND(I251*(1+IF(AND(I$6&gt;0,$B252&lt;I$6),I$4,I$5)/12),2))</f>
        <v/>
      </c>
      <c r="AO252">
        <f>IF(J251&lt;=0,0,ROUND(J251*(1+IF(AND(J$6&gt;0,$B252&lt;J$6),J$4,J$5)/12),2))</f>
        <v/>
      </c>
      <c r="AP252">
        <f>IF(K251&lt;=0,0,ROUND(K251*(1+IF(AND(K$6&gt;0,$B252&lt;K$6),K$4,K$5)/12),2))</f>
        <v/>
      </c>
      <c r="AQ252">
        <f>IF(L251&lt;=0,0,ROUND(L251*(1+IF(AND(L$6&gt;0,$B252&lt;L$6),L$4,L$5)/12),2))</f>
        <v/>
      </c>
      <c r="AR252">
        <f>IF(M251&lt;=0,0,ROUND(M251*(1+IF(AND(M$6&gt;0,$B252&lt;M$6),M$4,M$5)/12),2))</f>
        <v/>
      </c>
      <c r="AS252">
        <f>IF(N251&lt;=0,0,ROUND(N251*(1+IF(AND(N$6&gt;0,$B252&lt;N$6),N$4,N$5)/12),2))</f>
        <v/>
      </c>
    </row>
    <row r="253">
      <c r="A253" t="n">
        <v>242</v>
      </c>
      <c r="B253">
        <f>EDATE(Plan!$C$6,241)</f>
        <v/>
      </c>
      <c r="C253">
        <f>IF(C252&lt;=0,0,MAX(0,AH253-O253))</f>
        <v/>
      </c>
      <c r="D253">
        <f>IF(D252&lt;=0,0,MAX(0,AI253-P253))</f>
        <v/>
      </c>
      <c r="E253">
        <f>IF(E252&lt;=0,0,MAX(0,AJ253-Q253))</f>
        <v/>
      </c>
      <c r="F253">
        <f>IF(F252&lt;=0,0,MAX(0,AK253-R253))</f>
        <v/>
      </c>
      <c r="G253">
        <f>IF(G252&lt;=0,0,MAX(0,AL253-S253))</f>
        <v/>
      </c>
      <c r="H253">
        <f>IF(H252&lt;=0,0,MAX(0,AM253-T253))</f>
        <v/>
      </c>
      <c r="I253">
        <f>IF(I252&lt;=0,0,MAX(0,AN253-U253))</f>
        <v/>
      </c>
      <c r="J253">
        <f>IF(J252&lt;=0,0,MAX(0,AO253-V253))</f>
        <v/>
      </c>
      <c r="K253">
        <f>IF(K252&lt;=0,0,MAX(0,AP253-W253))</f>
        <v/>
      </c>
      <c r="L253">
        <f>IF(L252&lt;=0,0,MAX(0,AQ253-X253))</f>
        <v/>
      </c>
      <c r="M253">
        <f>IF(M252&lt;=0,0,MAX(0,AR253-Y253))</f>
        <v/>
      </c>
      <c r="N253">
        <f>IF(N252&lt;=0,0,MAX(0,AS253-Z253))</f>
        <v/>
      </c>
      <c r="O253">
        <f>IF(C252&lt;=0,0,MIN(AH253,C$7+IF(C$2=$AA253,$AC253,IF(C$2=$AF253,$AG253,0))))</f>
        <v/>
      </c>
      <c r="P253">
        <f>IF(D252&lt;=0,0,MIN(AI253,D$7+IF(D$2=$AA253,$AC253,IF(D$2=$AF253,$AG253,0))))</f>
        <v/>
      </c>
      <c r="Q253">
        <f>IF(E252&lt;=0,0,MIN(AJ253,E$7+IF(E$2=$AA253,$AC253,IF(E$2=$AF253,$AG253,0))))</f>
        <v/>
      </c>
      <c r="R253">
        <f>IF(F252&lt;=0,0,MIN(AK253,F$7+IF(F$2=$AA253,$AC253,IF(F$2=$AF253,$AG253,0))))</f>
        <v/>
      </c>
      <c r="S253">
        <f>IF(G252&lt;=0,0,MIN(AL253,G$7+IF(G$2=$AA253,$AC253,IF(G$2=$AF253,$AG253,0))))</f>
        <v/>
      </c>
      <c r="T253">
        <f>IF(H252&lt;=0,0,MIN(AM253,H$7+IF(H$2=$AA253,$AC253,IF(H$2=$AF253,$AG253,0))))</f>
        <v/>
      </c>
      <c r="U253">
        <f>IF(I252&lt;=0,0,MIN(AN253,I$7+IF(I$2=$AA253,$AC253,IF(I$2=$AF253,$AG253,0))))</f>
        <v/>
      </c>
      <c r="V253">
        <f>IF(J252&lt;=0,0,MIN(AO253,J$7+IF(J$2=$AA253,$AC253,IF(J$2=$AF253,$AG253,0))))</f>
        <v/>
      </c>
      <c r="W253">
        <f>IF(K252&lt;=0,0,MIN(AP253,K$7+IF(K$2=$AA253,$AC253,IF(K$2=$AF253,$AG253,0))))</f>
        <v/>
      </c>
      <c r="X253">
        <f>IF(L252&lt;=0,0,MIN(AQ253,L$7+IF(L$2=$AA253,$AC253,IF(L$2=$AF253,$AG253,0))))</f>
        <v/>
      </c>
      <c r="Y253">
        <f>IF(M252&lt;=0,0,MIN(AR253,M$7+IF(M$2=$AA253,$AC253,IF(M$2=$AF253,$AG253,0))))</f>
        <v/>
      </c>
      <c r="Z253">
        <f>IF(N252&lt;=0,0,MIN(AS253,N$7+IF(N$2=$AA253,$AC253,IF(N$2=$AF253,$AG253,0))))</f>
        <v/>
      </c>
      <c r="AA253">
        <f>IFERROR(ROUND(1/SUMPRODUCT(MAX((C252:N252&gt;0)*($C$3:$N$3&lt;=B253)/$C$2:$N$2)),0),0)</f>
        <v/>
      </c>
      <c r="AB253">
        <f>SUMPRODUCT((C252:N252&gt;0)*$C$7:$N$7)</f>
        <v/>
      </c>
      <c r="AC253">
        <f>MAX(0,Plan!$C$5-AB253)+IF(A253=Plan!$C$8,N(Plan!$C$7),0)</f>
        <v/>
      </c>
      <c r="AD253">
        <f>SUM(C253:N253)</f>
        <v/>
      </c>
      <c r="AE253">
        <f>SUM(O253:Z253)</f>
        <v/>
      </c>
      <c r="AF253">
        <f>IFERROR(ROUND(1/SUMPRODUCT(MAX((C252:N252&gt;0)*($C$3:$N$3&lt;=B253)*($C$2:$N$2&gt;AA253)/$C$2:$N$2)),0),0)</f>
        <v/>
      </c>
      <c r="AG253">
        <f>MAX(0,AC253-MAX(0,SUMPRODUCT(($C$2:$N$2=AA253)*(AH253:AS253-$C$7:$N$7))))</f>
        <v/>
      </c>
      <c r="AH253">
        <f>IF(C252&lt;=0,0,ROUND(C252*(1+IF(AND(C$6&gt;0,$B253&lt;C$6),C$4,C$5)/12),2))</f>
        <v/>
      </c>
      <c r="AI253">
        <f>IF(D252&lt;=0,0,ROUND(D252*(1+IF(AND(D$6&gt;0,$B253&lt;D$6),D$4,D$5)/12),2))</f>
        <v/>
      </c>
      <c r="AJ253">
        <f>IF(E252&lt;=0,0,ROUND(E252*(1+IF(AND(E$6&gt;0,$B253&lt;E$6),E$4,E$5)/12),2))</f>
        <v/>
      </c>
      <c r="AK253">
        <f>IF(F252&lt;=0,0,ROUND(F252*(1+IF(AND(F$6&gt;0,$B253&lt;F$6),F$4,F$5)/12),2))</f>
        <v/>
      </c>
      <c r="AL253">
        <f>IF(G252&lt;=0,0,ROUND(G252*(1+IF(AND(G$6&gt;0,$B253&lt;G$6),G$4,G$5)/12),2))</f>
        <v/>
      </c>
      <c r="AM253">
        <f>IF(H252&lt;=0,0,ROUND(H252*(1+IF(AND(H$6&gt;0,$B253&lt;H$6),H$4,H$5)/12),2))</f>
        <v/>
      </c>
      <c r="AN253">
        <f>IF(I252&lt;=0,0,ROUND(I252*(1+IF(AND(I$6&gt;0,$B253&lt;I$6),I$4,I$5)/12),2))</f>
        <v/>
      </c>
      <c r="AO253">
        <f>IF(J252&lt;=0,0,ROUND(J252*(1+IF(AND(J$6&gt;0,$B253&lt;J$6),J$4,J$5)/12),2))</f>
        <v/>
      </c>
      <c r="AP253">
        <f>IF(K252&lt;=0,0,ROUND(K252*(1+IF(AND(K$6&gt;0,$B253&lt;K$6),K$4,K$5)/12),2))</f>
        <v/>
      </c>
      <c r="AQ253">
        <f>IF(L252&lt;=0,0,ROUND(L252*(1+IF(AND(L$6&gt;0,$B253&lt;L$6),L$4,L$5)/12),2))</f>
        <v/>
      </c>
      <c r="AR253">
        <f>IF(M252&lt;=0,0,ROUND(M252*(1+IF(AND(M$6&gt;0,$B253&lt;M$6),M$4,M$5)/12),2))</f>
        <v/>
      </c>
      <c r="AS253">
        <f>IF(N252&lt;=0,0,ROUND(N252*(1+IF(AND(N$6&gt;0,$B253&lt;N$6),N$4,N$5)/12),2))</f>
        <v/>
      </c>
    </row>
    <row r="254">
      <c r="A254" t="n">
        <v>243</v>
      </c>
      <c r="B254">
        <f>EDATE(Plan!$C$6,242)</f>
        <v/>
      </c>
      <c r="C254">
        <f>IF(C253&lt;=0,0,MAX(0,AH254-O254))</f>
        <v/>
      </c>
      <c r="D254">
        <f>IF(D253&lt;=0,0,MAX(0,AI254-P254))</f>
        <v/>
      </c>
      <c r="E254">
        <f>IF(E253&lt;=0,0,MAX(0,AJ254-Q254))</f>
        <v/>
      </c>
      <c r="F254">
        <f>IF(F253&lt;=0,0,MAX(0,AK254-R254))</f>
        <v/>
      </c>
      <c r="G254">
        <f>IF(G253&lt;=0,0,MAX(0,AL254-S254))</f>
        <v/>
      </c>
      <c r="H254">
        <f>IF(H253&lt;=0,0,MAX(0,AM254-T254))</f>
        <v/>
      </c>
      <c r="I254">
        <f>IF(I253&lt;=0,0,MAX(0,AN254-U254))</f>
        <v/>
      </c>
      <c r="J254">
        <f>IF(J253&lt;=0,0,MAX(0,AO254-V254))</f>
        <v/>
      </c>
      <c r="K254">
        <f>IF(K253&lt;=0,0,MAX(0,AP254-W254))</f>
        <v/>
      </c>
      <c r="L254">
        <f>IF(L253&lt;=0,0,MAX(0,AQ254-X254))</f>
        <v/>
      </c>
      <c r="M254">
        <f>IF(M253&lt;=0,0,MAX(0,AR254-Y254))</f>
        <v/>
      </c>
      <c r="N254">
        <f>IF(N253&lt;=0,0,MAX(0,AS254-Z254))</f>
        <v/>
      </c>
      <c r="O254">
        <f>IF(C253&lt;=0,0,MIN(AH254,C$7+IF(C$2=$AA254,$AC254,IF(C$2=$AF254,$AG254,0))))</f>
        <v/>
      </c>
      <c r="P254">
        <f>IF(D253&lt;=0,0,MIN(AI254,D$7+IF(D$2=$AA254,$AC254,IF(D$2=$AF254,$AG254,0))))</f>
        <v/>
      </c>
      <c r="Q254">
        <f>IF(E253&lt;=0,0,MIN(AJ254,E$7+IF(E$2=$AA254,$AC254,IF(E$2=$AF254,$AG254,0))))</f>
        <v/>
      </c>
      <c r="R254">
        <f>IF(F253&lt;=0,0,MIN(AK254,F$7+IF(F$2=$AA254,$AC254,IF(F$2=$AF254,$AG254,0))))</f>
        <v/>
      </c>
      <c r="S254">
        <f>IF(G253&lt;=0,0,MIN(AL254,G$7+IF(G$2=$AA254,$AC254,IF(G$2=$AF254,$AG254,0))))</f>
        <v/>
      </c>
      <c r="T254">
        <f>IF(H253&lt;=0,0,MIN(AM254,H$7+IF(H$2=$AA254,$AC254,IF(H$2=$AF254,$AG254,0))))</f>
        <v/>
      </c>
      <c r="U254">
        <f>IF(I253&lt;=0,0,MIN(AN254,I$7+IF(I$2=$AA254,$AC254,IF(I$2=$AF254,$AG254,0))))</f>
        <v/>
      </c>
      <c r="V254">
        <f>IF(J253&lt;=0,0,MIN(AO254,J$7+IF(J$2=$AA254,$AC254,IF(J$2=$AF254,$AG254,0))))</f>
        <v/>
      </c>
      <c r="W254">
        <f>IF(K253&lt;=0,0,MIN(AP254,K$7+IF(K$2=$AA254,$AC254,IF(K$2=$AF254,$AG254,0))))</f>
        <v/>
      </c>
      <c r="X254">
        <f>IF(L253&lt;=0,0,MIN(AQ254,L$7+IF(L$2=$AA254,$AC254,IF(L$2=$AF254,$AG254,0))))</f>
        <v/>
      </c>
      <c r="Y254">
        <f>IF(M253&lt;=0,0,MIN(AR254,M$7+IF(M$2=$AA254,$AC254,IF(M$2=$AF254,$AG254,0))))</f>
        <v/>
      </c>
      <c r="Z254">
        <f>IF(N253&lt;=0,0,MIN(AS254,N$7+IF(N$2=$AA254,$AC254,IF(N$2=$AF254,$AG254,0))))</f>
        <v/>
      </c>
      <c r="AA254">
        <f>IFERROR(ROUND(1/SUMPRODUCT(MAX((C253:N253&gt;0)*($C$3:$N$3&lt;=B254)/$C$2:$N$2)),0),0)</f>
        <v/>
      </c>
      <c r="AB254">
        <f>SUMPRODUCT((C253:N253&gt;0)*$C$7:$N$7)</f>
        <v/>
      </c>
      <c r="AC254">
        <f>MAX(0,Plan!$C$5-AB254)+IF(A254=Plan!$C$8,N(Plan!$C$7),0)</f>
        <v/>
      </c>
      <c r="AD254">
        <f>SUM(C254:N254)</f>
        <v/>
      </c>
      <c r="AE254">
        <f>SUM(O254:Z254)</f>
        <v/>
      </c>
      <c r="AF254">
        <f>IFERROR(ROUND(1/SUMPRODUCT(MAX((C253:N253&gt;0)*($C$3:$N$3&lt;=B254)*($C$2:$N$2&gt;AA254)/$C$2:$N$2)),0),0)</f>
        <v/>
      </c>
      <c r="AG254">
        <f>MAX(0,AC254-MAX(0,SUMPRODUCT(($C$2:$N$2=AA254)*(AH254:AS254-$C$7:$N$7))))</f>
        <v/>
      </c>
      <c r="AH254">
        <f>IF(C253&lt;=0,0,ROUND(C253*(1+IF(AND(C$6&gt;0,$B254&lt;C$6),C$4,C$5)/12),2))</f>
        <v/>
      </c>
      <c r="AI254">
        <f>IF(D253&lt;=0,0,ROUND(D253*(1+IF(AND(D$6&gt;0,$B254&lt;D$6),D$4,D$5)/12),2))</f>
        <v/>
      </c>
      <c r="AJ254">
        <f>IF(E253&lt;=0,0,ROUND(E253*(1+IF(AND(E$6&gt;0,$B254&lt;E$6),E$4,E$5)/12),2))</f>
        <v/>
      </c>
      <c r="AK254">
        <f>IF(F253&lt;=0,0,ROUND(F253*(1+IF(AND(F$6&gt;0,$B254&lt;F$6),F$4,F$5)/12),2))</f>
        <v/>
      </c>
      <c r="AL254">
        <f>IF(G253&lt;=0,0,ROUND(G253*(1+IF(AND(G$6&gt;0,$B254&lt;G$6),G$4,G$5)/12),2))</f>
        <v/>
      </c>
      <c r="AM254">
        <f>IF(H253&lt;=0,0,ROUND(H253*(1+IF(AND(H$6&gt;0,$B254&lt;H$6),H$4,H$5)/12),2))</f>
        <v/>
      </c>
      <c r="AN254">
        <f>IF(I253&lt;=0,0,ROUND(I253*(1+IF(AND(I$6&gt;0,$B254&lt;I$6),I$4,I$5)/12),2))</f>
        <v/>
      </c>
      <c r="AO254">
        <f>IF(J253&lt;=0,0,ROUND(J253*(1+IF(AND(J$6&gt;0,$B254&lt;J$6),J$4,J$5)/12),2))</f>
        <v/>
      </c>
      <c r="AP254">
        <f>IF(K253&lt;=0,0,ROUND(K253*(1+IF(AND(K$6&gt;0,$B254&lt;K$6),K$4,K$5)/12),2))</f>
        <v/>
      </c>
      <c r="AQ254">
        <f>IF(L253&lt;=0,0,ROUND(L253*(1+IF(AND(L$6&gt;0,$B254&lt;L$6),L$4,L$5)/12),2))</f>
        <v/>
      </c>
      <c r="AR254">
        <f>IF(M253&lt;=0,0,ROUND(M253*(1+IF(AND(M$6&gt;0,$B254&lt;M$6),M$4,M$5)/12),2))</f>
        <v/>
      </c>
      <c r="AS254">
        <f>IF(N253&lt;=0,0,ROUND(N253*(1+IF(AND(N$6&gt;0,$B254&lt;N$6),N$4,N$5)/12),2))</f>
        <v/>
      </c>
    </row>
    <row r="255">
      <c r="A255" t="n">
        <v>244</v>
      </c>
      <c r="B255">
        <f>EDATE(Plan!$C$6,243)</f>
        <v/>
      </c>
      <c r="C255">
        <f>IF(C254&lt;=0,0,MAX(0,AH255-O255))</f>
        <v/>
      </c>
      <c r="D255">
        <f>IF(D254&lt;=0,0,MAX(0,AI255-P255))</f>
        <v/>
      </c>
      <c r="E255">
        <f>IF(E254&lt;=0,0,MAX(0,AJ255-Q255))</f>
        <v/>
      </c>
      <c r="F255">
        <f>IF(F254&lt;=0,0,MAX(0,AK255-R255))</f>
        <v/>
      </c>
      <c r="G255">
        <f>IF(G254&lt;=0,0,MAX(0,AL255-S255))</f>
        <v/>
      </c>
      <c r="H255">
        <f>IF(H254&lt;=0,0,MAX(0,AM255-T255))</f>
        <v/>
      </c>
      <c r="I255">
        <f>IF(I254&lt;=0,0,MAX(0,AN255-U255))</f>
        <v/>
      </c>
      <c r="J255">
        <f>IF(J254&lt;=0,0,MAX(0,AO255-V255))</f>
        <v/>
      </c>
      <c r="K255">
        <f>IF(K254&lt;=0,0,MAX(0,AP255-W255))</f>
        <v/>
      </c>
      <c r="L255">
        <f>IF(L254&lt;=0,0,MAX(0,AQ255-X255))</f>
        <v/>
      </c>
      <c r="M255">
        <f>IF(M254&lt;=0,0,MAX(0,AR255-Y255))</f>
        <v/>
      </c>
      <c r="N255">
        <f>IF(N254&lt;=0,0,MAX(0,AS255-Z255))</f>
        <v/>
      </c>
      <c r="O255">
        <f>IF(C254&lt;=0,0,MIN(AH255,C$7+IF(C$2=$AA255,$AC255,IF(C$2=$AF255,$AG255,0))))</f>
        <v/>
      </c>
      <c r="P255">
        <f>IF(D254&lt;=0,0,MIN(AI255,D$7+IF(D$2=$AA255,$AC255,IF(D$2=$AF255,$AG255,0))))</f>
        <v/>
      </c>
      <c r="Q255">
        <f>IF(E254&lt;=0,0,MIN(AJ255,E$7+IF(E$2=$AA255,$AC255,IF(E$2=$AF255,$AG255,0))))</f>
        <v/>
      </c>
      <c r="R255">
        <f>IF(F254&lt;=0,0,MIN(AK255,F$7+IF(F$2=$AA255,$AC255,IF(F$2=$AF255,$AG255,0))))</f>
        <v/>
      </c>
      <c r="S255">
        <f>IF(G254&lt;=0,0,MIN(AL255,G$7+IF(G$2=$AA255,$AC255,IF(G$2=$AF255,$AG255,0))))</f>
        <v/>
      </c>
      <c r="T255">
        <f>IF(H254&lt;=0,0,MIN(AM255,H$7+IF(H$2=$AA255,$AC255,IF(H$2=$AF255,$AG255,0))))</f>
        <v/>
      </c>
      <c r="U255">
        <f>IF(I254&lt;=0,0,MIN(AN255,I$7+IF(I$2=$AA255,$AC255,IF(I$2=$AF255,$AG255,0))))</f>
        <v/>
      </c>
      <c r="V255">
        <f>IF(J254&lt;=0,0,MIN(AO255,J$7+IF(J$2=$AA255,$AC255,IF(J$2=$AF255,$AG255,0))))</f>
        <v/>
      </c>
      <c r="W255">
        <f>IF(K254&lt;=0,0,MIN(AP255,K$7+IF(K$2=$AA255,$AC255,IF(K$2=$AF255,$AG255,0))))</f>
        <v/>
      </c>
      <c r="X255">
        <f>IF(L254&lt;=0,0,MIN(AQ255,L$7+IF(L$2=$AA255,$AC255,IF(L$2=$AF255,$AG255,0))))</f>
        <v/>
      </c>
      <c r="Y255">
        <f>IF(M254&lt;=0,0,MIN(AR255,M$7+IF(M$2=$AA255,$AC255,IF(M$2=$AF255,$AG255,0))))</f>
        <v/>
      </c>
      <c r="Z255">
        <f>IF(N254&lt;=0,0,MIN(AS255,N$7+IF(N$2=$AA255,$AC255,IF(N$2=$AF255,$AG255,0))))</f>
        <v/>
      </c>
      <c r="AA255">
        <f>IFERROR(ROUND(1/SUMPRODUCT(MAX((C254:N254&gt;0)*($C$3:$N$3&lt;=B255)/$C$2:$N$2)),0),0)</f>
        <v/>
      </c>
      <c r="AB255">
        <f>SUMPRODUCT((C254:N254&gt;0)*$C$7:$N$7)</f>
        <v/>
      </c>
      <c r="AC255">
        <f>MAX(0,Plan!$C$5-AB255)+IF(A255=Plan!$C$8,N(Plan!$C$7),0)</f>
        <v/>
      </c>
      <c r="AD255">
        <f>SUM(C255:N255)</f>
        <v/>
      </c>
      <c r="AE255">
        <f>SUM(O255:Z255)</f>
        <v/>
      </c>
      <c r="AF255">
        <f>IFERROR(ROUND(1/SUMPRODUCT(MAX((C254:N254&gt;0)*($C$3:$N$3&lt;=B255)*($C$2:$N$2&gt;AA255)/$C$2:$N$2)),0),0)</f>
        <v/>
      </c>
      <c r="AG255">
        <f>MAX(0,AC255-MAX(0,SUMPRODUCT(($C$2:$N$2=AA255)*(AH255:AS255-$C$7:$N$7))))</f>
        <v/>
      </c>
      <c r="AH255">
        <f>IF(C254&lt;=0,0,ROUND(C254*(1+IF(AND(C$6&gt;0,$B255&lt;C$6),C$4,C$5)/12),2))</f>
        <v/>
      </c>
      <c r="AI255">
        <f>IF(D254&lt;=0,0,ROUND(D254*(1+IF(AND(D$6&gt;0,$B255&lt;D$6),D$4,D$5)/12),2))</f>
        <v/>
      </c>
      <c r="AJ255">
        <f>IF(E254&lt;=0,0,ROUND(E254*(1+IF(AND(E$6&gt;0,$B255&lt;E$6),E$4,E$5)/12),2))</f>
        <v/>
      </c>
      <c r="AK255">
        <f>IF(F254&lt;=0,0,ROUND(F254*(1+IF(AND(F$6&gt;0,$B255&lt;F$6),F$4,F$5)/12),2))</f>
        <v/>
      </c>
      <c r="AL255">
        <f>IF(G254&lt;=0,0,ROUND(G254*(1+IF(AND(G$6&gt;0,$B255&lt;G$6),G$4,G$5)/12),2))</f>
        <v/>
      </c>
      <c r="AM255">
        <f>IF(H254&lt;=0,0,ROUND(H254*(1+IF(AND(H$6&gt;0,$B255&lt;H$6),H$4,H$5)/12),2))</f>
        <v/>
      </c>
      <c r="AN255">
        <f>IF(I254&lt;=0,0,ROUND(I254*(1+IF(AND(I$6&gt;0,$B255&lt;I$6),I$4,I$5)/12),2))</f>
        <v/>
      </c>
      <c r="AO255">
        <f>IF(J254&lt;=0,0,ROUND(J254*(1+IF(AND(J$6&gt;0,$B255&lt;J$6),J$4,J$5)/12),2))</f>
        <v/>
      </c>
      <c r="AP255">
        <f>IF(K254&lt;=0,0,ROUND(K254*(1+IF(AND(K$6&gt;0,$B255&lt;K$6),K$4,K$5)/12),2))</f>
        <v/>
      </c>
      <c r="AQ255">
        <f>IF(L254&lt;=0,0,ROUND(L254*(1+IF(AND(L$6&gt;0,$B255&lt;L$6),L$4,L$5)/12),2))</f>
        <v/>
      </c>
      <c r="AR255">
        <f>IF(M254&lt;=0,0,ROUND(M254*(1+IF(AND(M$6&gt;0,$B255&lt;M$6),M$4,M$5)/12),2))</f>
        <v/>
      </c>
      <c r="AS255">
        <f>IF(N254&lt;=0,0,ROUND(N254*(1+IF(AND(N$6&gt;0,$B255&lt;N$6),N$4,N$5)/12),2))</f>
        <v/>
      </c>
    </row>
    <row r="256">
      <c r="A256" t="n">
        <v>245</v>
      </c>
      <c r="B256">
        <f>EDATE(Plan!$C$6,244)</f>
        <v/>
      </c>
      <c r="C256">
        <f>IF(C255&lt;=0,0,MAX(0,AH256-O256))</f>
        <v/>
      </c>
      <c r="D256">
        <f>IF(D255&lt;=0,0,MAX(0,AI256-P256))</f>
        <v/>
      </c>
      <c r="E256">
        <f>IF(E255&lt;=0,0,MAX(0,AJ256-Q256))</f>
        <v/>
      </c>
      <c r="F256">
        <f>IF(F255&lt;=0,0,MAX(0,AK256-R256))</f>
        <v/>
      </c>
      <c r="G256">
        <f>IF(G255&lt;=0,0,MAX(0,AL256-S256))</f>
        <v/>
      </c>
      <c r="H256">
        <f>IF(H255&lt;=0,0,MAX(0,AM256-T256))</f>
        <v/>
      </c>
      <c r="I256">
        <f>IF(I255&lt;=0,0,MAX(0,AN256-U256))</f>
        <v/>
      </c>
      <c r="J256">
        <f>IF(J255&lt;=0,0,MAX(0,AO256-V256))</f>
        <v/>
      </c>
      <c r="K256">
        <f>IF(K255&lt;=0,0,MAX(0,AP256-W256))</f>
        <v/>
      </c>
      <c r="L256">
        <f>IF(L255&lt;=0,0,MAX(0,AQ256-X256))</f>
        <v/>
      </c>
      <c r="M256">
        <f>IF(M255&lt;=0,0,MAX(0,AR256-Y256))</f>
        <v/>
      </c>
      <c r="N256">
        <f>IF(N255&lt;=0,0,MAX(0,AS256-Z256))</f>
        <v/>
      </c>
      <c r="O256">
        <f>IF(C255&lt;=0,0,MIN(AH256,C$7+IF(C$2=$AA256,$AC256,IF(C$2=$AF256,$AG256,0))))</f>
        <v/>
      </c>
      <c r="P256">
        <f>IF(D255&lt;=0,0,MIN(AI256,D$7+IF(D$2=$AA256,$AC256,IF(D$2=$AF256,$AG256,0))))</f>
        <v/>
      </c>
      <c r="Q256">
        <f>IF(E255&lt;=0,0,MIN(AJ256,E$7+IF(E$2=$AA256,$AC256,IF(E$2=$AF256,$AG256,0))))</f>
        <v/>
      </c>
      <c r="R256">
        <f>IF(F255&lt;=0,0,MIN(AK256,F$7+IF(F$2=$AA256,$AC256,IF(F$2=$AF256,$AG256,0))))</f>
        <v/>
      </c>
      <c r="S256">
        <f>IF(G255&lt;=0,0,MIN(AL256,G$7+IF(G$2=$AA256,$AC256,IF(G$2=$AF256,$AG256,0))))</f>
        <v/>
      </c>
      <c r="T256">
        <f>IF(H255&lt;=0,0,MIN(AM256,H$7+IF(H$2=$AA256,$AC256,IF(H$2=$AF256,$AG256,0))))</f>
        <v/>
      </c>
      <c r="U256">
        <f>IF(I255&lt;=0,0,MIN(AN256,I$7+IF(I$2=$AA256,$AC256,IF(I$2=$AF256,$AG256,0))))</f>
        <v/>
      </c>
      <c r="V256">
        <f>IF(J255&lt;=0,0,MIN(AO256,J$7+IF(J$2=$AA256,$AC256,IF(J$2=$AF256,$AG256,0))))</f>
        <v/>
      </c>
      <c r="W256">
        <f>IF(K255&lt;=0,0,MIN(AP256,K$7+IF(K$2=$AA256,$AC256,IF(K$2=$AF256,$AG256,0))))</f>
        <v/>
      </c>
      <c r="X256">
        <f>IF(L255&lt;=0,0,MIN(AQ256,L$7+IF(L$2=$AA256,$AC256,IF(L$2=$AF256,$AG256,0))))</f>
        <v/>
      </c>
      <c r="Y256">
        <f>IF(M255&lt;=0,0,MIN(AR256,M$7+IF(M$2=$AA256,$AC256,IF(M$2=$AF256,$AG256,0))))</f>
        <v/>
      </c>
      <c r="Z256">
        <f>IF(N255&lt;=0,0,MIN(AS256,N$7+IF(N$2=$AA256,$AC256,IF(N$2=$AF256,$AG256,0))))</f>
        <v/>
      </c>
      <c r="AA256">
        <f>IFERROR(ROUND(1/SUMPRODUCT(MAX((C255:N255&gt;0)*($C$3:$N$3&lt;=B256)/$C$2:$N$2)),0),0)</f>
        <v/>
      </c>
      <c r="AB256">
        <f>SUMPRODUCT((C255:N255&gt;0)*$C$7:$N$7)</f>
        <v/>
      </c>
      <c r="AC256">
        <f>MAX(0,Plan!$C$5-AB256)+IF(A256=Plan!$C$8,N(Plan!$C$7),0)</f>
        <v/>
      </c>
      <c r="AD256">
        <f>SUM(C256:N256)</f>
        <v/>
      </c>
      <c r="AE256">
        <f>SUM(O256:Z256)</f>
        <v/>
      </c>
      <c r="AF256">
        <f>IFERROR(ROUND(1/SUMPRODUCT(MAX((C255:N255&gt;0)*($C$3:$N$3&lt;=B256)*($C$2:$N$2&gt;AA256)/$C$2:$N$2)),0),0)</f>
        <v/>
      </c>
      <c r="AG256">
        <f>MAX(0,AC256-MAX(0,SUMPRODUCT(($C$2:$N$2=AA256)*(AH256:AS256-$C$7:$N$7))))</f>
        <v/>
      </c>
      <c r="AH256">
        <f>IF(C255&lt;=0,0,ROUND(C255*(1+IF(AND(C$6&gt;0,$B256&lt;C$6),C$4,C$5)/12),2))</f>
        <v/>
      </c>
      <c r="AI256">
        <f>IF(D255&lt;=0,0,ROUND(D255*(1+IF(AND(D$6&gt;0,$B256&lt;D$6),D$4,D$5)/12),2))</f>
        <v/>
      </c>
      <c r="AJ256">
        <f>IF(E255&lt;=0,0,ROUND(E255*(1+IF(AND(E$6&gt;0,$B256&lt;E$6),E$4,E$5)/12),2))</f>
        <v/>
      </c>
      <c r="AK256">
        <f>IF(F255&lt;=0,0,ROUND(F255*(1+IF(AND(F$6&gt;0,$B256&lt;F$6),F$4,F$5)/12),2))</f>
        <v/>
      </c>
      <c r="AL256">
        <f>IF(G255&lt;=0,0,ROUND(G255*(1+IF(AND(G$6&gt;0,$B256&lt;G$6),G$4,G$5)/12),2))</f>
        <v/>
      </c>
      <c r="AM256">
        <f>IF(H255&lt;=0,0,ROUND(H255*(1+IF(AND(H$6&gt;0,$B256&lt;H$6),H$4,H$5)/12),2))</f>
        <v/>
      </c>
      <c r="AN256">
        <f>IF(I255&lt;=0,0,ROUND(I255*(1+IF(AND(I$6&gt;0,$B256&lt;I$6),I$4,I$5)/12),2))</f>
        <v/>
      </c>
      <c r="AO256">
        <f>IF(J255&lt;=0,0,ROUND(J255*(1+IF(AND(J$6&gt;0,$B256&lt;J$6),J$4,J$5)/12),2))</f>
        <v/>
      </c>
      <c r="AP256">
        <f>IF(K255&lt;=0,0,ROUND(K255*(1+IF(AND(K$6&gt;0,$B256&lt;K$6),K$4,K$5)/12),2))</f>
        <v/>
      </c>
      <c r="AQ256">
        <f>IF(L255&lt;=0,0,ROUND(L255*(1+IF(AND(L$6&gt;0,$B256&lt;L$6),L$4,L$5)/12),2))</f>
        <v/>
      </c>
      <c r="AR256">
        <f>IF(M255&lt;=0,0,ROUND(M255*(1+IF(AND(M$6&gt;0,$B256&lt;M$6),M$4,M$5)/12),2))</f>
        <v/>
      </c>
      <c r="AS256">
        <f>IF(N255&lt;=0,0,ROUND(N255*(1+IF(AND(N$6&gt;0,$B256&lt;N$6),N$4,N$5)/12),2))</f>
        <v/>
      </c>
    </row>
    <row r="257">
      <c r="A257" t="n">
        <v>246</v>
      </c>
      <c r="B257">
        <f>EDATE(Plan!$C$6,245)</f>
        <v/>
      </c>
      <c r="C257">
        <f>IF(C256&lt;=0,0,MAX(0,AH257-O257))</f>
        <v/>
      </c>
      <c r="D257">
        <f>IF(D256&lt;=0,0,MAX(0,AI257-P257))</f>
        <v/>
      </c>
      <c r="E257">
        <f>IF(E256&lt;=0,0,MAX(0,AJ257-Q257))</f>
        <v/>
      </c>
      <c r="F257">
        <f>IF(F256&lt;=0,0,MAX(0,AK257-R257))</f>
        <v/>
      </c>
      <c r="G257">
        <f>IF(G256&lt;=0,0,MAX(0,AL257-S257))</f>
        <v/>
      </c>
      <c r="H257">
        <f>IF(H256&lt;=0,0,MAX(0,AM257-T257))</f>
        <v/>
      </c>
      <c r="I257">
        <f>IF(I256&lt;=0,0,MAX(0,AN257-U257))</f>
        <v/>
      </c>
      <c r="J257">
        <f>IF(J256&lt;=0,0,MAX(0,AO257-V257))</f>
        <v/>
      </c>
      <c r="K257">
        <f>IF(K256&lt;=0,0,MAX(0,AP257-W257))</f>
        <v/>
      </c>
      <c r="L257">
        <f>IF(L256&lt;=0,0,MAX(0,AQ257-X257))</f>
        <v/>
      </c>
      <c r="M257">
        <f>IF(M256&lt;=0,0,MAX(0,AR257-Y257))</f>
        <v/>
      </c>
      <c r="N257">
        <f>IF(N256&lt;=0,0,MAX(0,AS257-Z257))</f>
        <v/>
      </c>
      <c r="O257">
        <f>IF(C256&lt;=0,0,MIN(AH257,C$7+IF(C$2=$AA257,$AC257,IF(C$2=$AF257,$AG257,0))))</f>
        <v/>
      </c>
      <c r="P257">
        <f>IF(D256&lt;=0,0,MIN(AI257,D$7+IF(D$2=$AA257,$AC257,IF(D$2=$AF257,$AG257,0))))</f>
        <v/>
      </c>
      <c r="Q257">
        <f>IF(E256&lt;=0,0,MIN(AJ257,E$7+IF(E$2=$AA257,$AC257,IF(E$2=$AF257,$AG257,0))))</f>
        <v/>
      </c>
      <c r="R257">
        <f>IF(F256&lt;=0,0,MIN(AK257,F$7+IF(F$2=$AA257,$AC257,IF(F$2=$AF257,$AG257,0))))</f>
        <v/>
      </c>
      <c r="S257">
        <f>IF(G256&lt;=0,0,MIN(AL257,G$7+IF(G$2=$AA257,$AC257,IF(G$2=$AF257,$AG257,0))))</f>
        <v/>
      </c>
      <c r="T257">
        <f>IF(H256&lt;=0,0,MIN(AM257,H$7+IF(H$2=$AA257,$AC257,IF(H$2=$AF257,$AG257,0))))</f>
        <v/>
      </c>
      <c r="U257">
        <f>IF(I256&lt;=0,0,MIN(AN257,I$7+IF(I$2=$AA257,$AC257,IF(I$2=$AF257,$AG257,0))))</f>
        <v/>
      </c>
      <c r="V257">
        <f>IF(J256&lt;=0,0,MIN(AO257,J$7+IF(J$2=$AA257,$AC257,IF(J$2=$AF257,$AG257,0))))</f>
        <v/>
      </c>
      <c r="W257">
        <f>IF(K256&lt;=0,0,MIN(AP257,K$7+IF(K$2=$AA257,$AC257,IF(K$2=$AF257,$AG257,0))))</f>
        <v/>
      </c>
      <c r="X257">
        <f>IF(L256&lt;=0,0,MIN(AQ257,L$7+IF(L$2=$AA257,$AC257,IF(L$2=$AF257,$AG257,0))))</f>
        <v/>
      </c>
      <c r="Y257">
        <f>IF(M256&lt;=0,0,MIN(AR257,M$7+IF(M$2=$AA257,$AC257,IF(M$2=$AF257,$AG257,0))))</f>
        <v/>
      </c>
      <c r="Z257">
        <f>IF(N256&lt;=0,0,MIN(AS257,N$7+IF(N$2=$AA257,$AC257,IF(N$2=$AF257,$AG257,0))))</f>
        <v/>
      </c>
      <c r="AA257">
        <f>IFERROR(ROUND(1/SUMPRODUCT(MAX((C256:N256&gt;0)*($C$3:$N$3&lt;=B257)/$C$2:$N$2)),0),0)</f>
        <v/>
      </c>
      <c r="AB257">
        <f>SUMPRODUCT((C256:N256&gt;0)*$C$7:$N$7)</f>
        <v/>
      </c>
      <c r="AC257">
        <f>MAX(0,Plan!$C$5-AB257)+IF(A257=Plan!$C$8,N(Plan!$C$7),0)</f>
        <v/>
      </c>
      <c r="AD257">
        <f>SUM(C257:N257)</f>
        <v/>
      </c>
      <c r="AE257">
        <f>SUM(O257:Z257)</f>
        <v/>
      </c>
      <c r="AF257">
        <f>IFERROR(ROUND(1/SUMPRODUCT(MAX((C256:N256&gt;0)*($C$3:$N$3&lt;=B257)*($C$2:$N$2&gt;AA257)/$C$2:$N$2)),0),0)</f>
        <v/>
      </c>
      <c r="AG257">
        <f>MAX(0,AC257-MAX(0,SUMPRODUCT(($C$2:$N$2=AA257)*(AH257:AS257-$C$7:$N$7))))</f>
        <v/>
      </c>
      <c r="AH257">
        <f>IF(C256&lt;=0,0,ROUND(C256*(1+IF(AND(C$6&gt;0,$B257&lt;C$6),C$4,C$5)/12),2))</f>
        <v/>
      </c>
      <c r="AI257">
        <f>IF(D256&lt;=0,0,ROUND(D256*(1+IF(AND(D$6&gt;0,$B257&lt;D$6),D$4,D$5)/12),2))</f>
        <v/>
      </c>
      <c r="AJ257">
        <f>IF(E256&lt;=0,0,ROUND(E256*(1+IF(AND(E$6&gt;0,$B257&lt;E$6),E$4,E$5)/12),2))</f>
        <v/>
      </c>
      <c r="AK257">
        <f>IF(F256&lt;=0,0,ROUND(F256*(1+IF(AND(F$6&gt;0,$B257&lt;F$6),F$4,F$5)/12),2))</f>
        <v/>
      </c>
      <c r="AL257">
        <f>IF(G256&lt;=0,0,ROUND(G256*(1+IF(AND(G$6&gt;0,$B257&lt;G$6),G$4,G$5)/12),2))</f>
        <v/>
      </c>
      <c r="AM257">
        <f>IF(H256&lt;=0,0,ROUND(H256*(1+IF(AND(H$6&gt;0,$B257&lt;H$6),H$4,H$5)/12),2))</f>
        <v/>
      </c>
      <c r="AN257">
        <f>IF(I256&lt;=0,0,ROUND(I256*(1+IF(AND(I$6&gt;0,$B257&lt;I$6),I$4,I$5)/12),2))</f>
        <v/>
      </c>
      <c r="AO257">
        <f>IF(J256&lt;=0,0,ROUND(J256*(1+IF(AND(J$6&gt;0,$B257&lt;J$6),J$4,J$5)/12),2))</f>
        <v/>
      </c>
      <c r="AP257">
        <f>IF(K256&lt;=0,0,ROUND(K256*(1+IF(AND(K$6&gt;0,$B257&lt;K$6),K$4,K$5)/12),2))</f>
        <v/>
      </c>
      <c r="AQ257">
        <f>IF(L256&lt;=0,0,ROUND(L256*(1+IF(AND(L$6&gt;0,$B257&lt;L$6),L$4,L$5)/12),2))</f>
        <v/>
      </c>
      <c r="AR257">
        <f>IF(M256&lt;=0,0,ROUND(M256*(1+IF(AND(M$6&gt;0,$B257&lt;M$6),M$4,M$5)/12),2))</f>
        <v/>
      </c>
      <c r="AS257">
        <f>IF(N256&lt;=0,0,ROUND(N256*(1+IF(AND(N$6&gt;0,$B257&lt;N$6),N$4,N$5)/12),2))</f>
        <v/>
      </c>
    </row>
    <row r="258">
      <c r="A258" t="n">
        <v>247</v>
      </c>
      <c r="B258">
        <f>EDATE(Plan!$C$6,246)</f>
        <v/>
      </c>
      <c r="C258">
        <f>IF(C257&lt;=0,0,MAX(0,AH258-O258))</f>
        <v/>
      </c>
      <c r="D258">
        <f>IF(D257&lt;=0,0,MAX(0,AI258-P258))</f>
        <v/>
      </c>
      <c r="E258">
        <f>IF(E257&lt;=0,0,MAX(0,AJ258-Q258))</f>
        <v/>
      </c>
      <c r="F258">
        <f>IF(F257&lt;=0,0,MAX(0,AK258-R258))</f>
        <v/>
      </c>
      <c r="G258">
        <f>IF(G257&lt;=0,0,MAX(0,AL258-S258))</f>
        <v/>
      </c>
      <c r="H258">
        <f>IF(H257&lt;=0,0,MAX(0,AM258-T258))</f>
        <v/>
      </c>
      <c r="I258">
        <f>IF(I257&lt;=0,0,MAX(0,AN258-U258))</f>
        <v/>
      </c>
      <c r="J258">
        <f>IF(J257&lt;=0,0,MAX(0,AO258-V258))</f>
        <v/>
      </c>
      <c r="K258">
        <f>IF(K257&lt;=0,0,MAX(0,AP258-W258))</f>
        <v/>
      </c>
      <c r="L258">
        <f>IF(L257&lt;=0,0,MAX(0,AQ258-X258))</f>
        <v/>
      </c>
      <c r="M258">
        <f>IF(M257&lt;=0,0,MAX(0,AR258-Y258))</f>
        <v/>
      </c>
      <c r="N258">
        <f>IF(N257&lt;=0,0,MAX(0,AS258-Z258))</f>
        <v/>
      </c>
      <c r="O258">
        <f>IF(C257&lt;=0,0,MIN(AH258,C$7+IF(C$2=$AA258,$AC258,IF(C$2=$AF258,$AG258,0))))</f>
        <v/>
      </c>
      <c r="P258">
        <f>IF(D257&lt;=0,0,MIN(AI258,D$7+IF(D$2=$AA258,$AC258,IF(D$2=$AF258,$AG258,0))))</f>
        <v/>
      </c>
      <c r="Q258">
        <f>IF(E257&lt;=0,0,MIN(AJ258,E$7+IF(E$2=$AA258,$AC258,IF(E$2=$AF258,$AG258,0))))</f>
        <v/>
      </c>
      <c r="R258">
        <f>IF(F257&lt;=0,0,MIN(AK258,F$7+IF(F$2=$AA258,$AC258,IF(F$2=$AF258,$AG258,0))))</f>
        <v/>
      </c>
      <c r="S258">
        <f>IF(G257&lt;=0,0,MIN(AL258,G$7+IF(G$2=$AA258,$AC258,IF(G$2=$AF258,$AG258,0))))</f>
        <v/>
      </c>
      <c r="T258">
        <f>IF(H257&lt;=0,0,MIN(AM258,H$7+IF(H$2=$AA258,$AC258,IF(H$2=$AF258,$AG258,0))))</f>
        <v/>
      </c>
      <c r="U258">
        <f>IF(I257&lt;=0,0,MIN(AN258,I$7+IF(I$2=$AA258,$AC258,IF(I$2=$AF258,$AG258,0))))</f>
        <v/>
      </c>
      <c r="V258">
        <f>IF(J257&lt;=0,0,MIN(AO258,J$7+IF(J$2=$AA258,$AC258,IF(J$2=$AF258,$AG258,0))))</f>
        <v/>
      </c>
      <c r="W258">
        <f>IF(K257&lt;=0,0,MIN(AP258,K$7+IF(K$2=$AA258,$AC258,IF(K$2=$AF258,$AG258,0))))</f>
        <v/>
      </c>
      <c r="X258">
        <f>IF(L257&lt;=0,0,MIN(AQ258,L$7+IF(L$2=$AA258,$AC258,IF(L$2=$AF258,$AG258,0))))</f>
        <v/>
      </c>
      <c r="Y258">
        <f>IF(M257&lt;=0,0,MIN(AR258,M$7+IF(M$2=$AA258,$AC258,IF(M$2=$AF258,$AG258,0))))</f>
        <v/>
      </c>
      <c r="Z258">
        <f>IF(N257&lt;=0,0,MIN(AS258,N$7+IF(N$2=$AA258,$AC258,IF(N$2=$AF258,$AG258,0))))</f>
        <v/>
      </c>
      <c r="AA258">
        <f>IFERROR(ROUND(1/SUMPRODUCT(MAX((C257:N257&gt;0)*($C$3:$N$3&lt;=B258)/$C$2:$N$2)),0),0)</f>
        <v/>
      </c>
      <c r="AB258">
        <f>SUMPRODUCT((C257:N257&gt;0)*$C$7:$N$7)</f>
        <v/>
      </c>
      <c r="AC258">
        <f>MAX(0,Plan!$C$5-AB258)+IF(A258=Plan!$C$8,N(Plan!$C$7),0)</f>
        <v/>
      </c>
      <c r="AD258">
        <f>SUM(C258:N258)</f>
        <v/>
      </c>
      <c r="AE258">
        <f>SUM(O258:Z258)</f>
        <v/>
      </c>
      <c r="AF258">
        <f>IFERROR(ROUND(1/SUMPRODUCT(MAX((C257:N257&gt;0)*($C$3:$N$3&lt;=B258)*($C$2:$N$2&gt;AA258)/$C$2:$N$2)),0),0)</f>
        <v/>
      </c>
      <c r="AG258">
        <f>MAX(0,AC258-MAX(0,SUMPRODUCT(($C$2:$N$2=AA258)*(AH258:AS258-$C$7:$N$7))))</f>
        <v/>
      </c>
      <c r="AH258">
        <f>IF(C257&lt;=0,0,ROUND(C257*(1+IF(AND(C$6&gt;0,$B258&lt;C$6),C$4,C$5)/12),2))</f>
        <v/>
      </c>
      <c r="AI258">
        <f>IF(D257&lt;=0,0,ROUND(D257*(1+IF(AND(D$6&gt;0,$B258&lt;D$6),D$4,D$5)/12),2))</f>
        <v/>
      </c>
      <c r="AJ258">
        <f>IF(E257&lt;=0,0,ROUND(E257*(1+IF(AND(E$6&gt;0,$B258&lt;E$6),E$4,E$5)/12),2))</f>
        <v/>
      </c>
      <c r="AK258">
        <f>IF(F257&lt;=0,0,ROUND(F257*(1+IF(AND(F$6&gt;0,$B258&lt;F$6),F$4,F$5)/12),2))</f>
        <v/>
      </c>
      <c r="AL258">
        <f>IF(G257&lt;=0,0,ROUND(G257*(1+IF(AND(G$6&gt;0,$B258&lt;G$6),G$4,G$5)/12),2))</f>
        <v/>
      </c>
      <c r="AM258">
        <f>IF(H257&lt;=0,0,ROUND(H257*(1+IF(AND(H$6&gt;0,$B258&lt;H$6),H$4,H$5)/12),2))</f>
        <v/>
      </c>
      <c r="AN258">
        <f>IF(I257&lt;=0,0,ROUND(I257*(1+IF(AND(I$6&gt;0,$B258&lt;I$6),I$4,I$5)/12),2))</f>
        <v/>
      </c>
      <c r="AO258">
        <f>IF(J257&lt;=0,0,ROUND(J257*(1+IF(AND(J$6&gt;0,$B258&lt;J$6),J$4,J$5)/12),2))</f>
        <v/>
      </c>
      <c r="AP258">
        <f>IF(K257&lt;=0,0,ROUND(K257*(1+IF(AND(K$6&gt;0,$B258&lt;K$6),K$4,K$5)/12),2))</f>
        <v/>
      </c>
      <c r="AQ258">
        <f>IF(L257&lt;=0,0,ROUND(L257*(1+IF(AND(L$6&gt;0,$B258&lt;L$6),L$4,L$5)/12),2))</f>
        <v/>
      </c>
      <c r="AR258">
        <f>IF(M257&lt;=0,0,ROUND(M257*(1+IF(AND(M$6&gt;0,$B258&lt;M$6),M$4,M$5)/12),2))</f>
        <v/>
      </c>
      <c r="AS258">
        <f>IF(N257&lt;=0,0,ROUND(N257*(1+IF(AND(N$6&gt;0,$B258&lt;N$6),N$4,N$5)/12),2))</f>
        <v/>
      </c>
    </row>
    <row r="259">
      <c r="A259" t="n">
        <v>248</v>
      </c>
      <c r="B259">
        <f>EDATE(Plan!$C$6,247)</f>
        <v/>
      </c>
      <c r="C259">
        <f>IF(C258&lt;=0,0,MAX(0,AH259-O259))</f>
        <v/>
      </c>
      <c r="D259">
        <f>IF(D258&lt;=0,0,MAX(0,AI259-P259))</f>
        <v/>
      </c>
      <c r="E259">
        <f>IF(E258&lt;=0,0,MAX(0,AJ259-Q259))</f>
        <v/>
      </c>
      <c r="F259">
        <f>IF(F258&lt;=0,0,MAX(0,AK259-R259))</f>
        <v/>
      </c>
      <c r="G259">
        <f>IF(G258&lt;=0,0,MAX(0,AL259-S259))</f>
        <v/>
      </c>
      <c r="H259">
        <f>IF(H258&lt;=0,0,MAX(0,AM259-T259))</f>
        <v/>
      </c>
      <c r="I259">
        <f>IF(I258&lt;=0,0,MAX(0,AN259-U259))</f>
        <v/>
      </c>
      <c r="J259">
        <f>IF(J258&lt;=0,0,MAX(0,AO259-V259))</f>
        <v/>
      </c>
      <c r="K259">
        <f>IF(K258&lt;=0,0,MAX(0,AP259-W259))</f>
        <v/>
      </c>
      <c r="L259">
        <f>IF(L258&lt;=0,0,MAX(0,AQ259-X259))</f>
        <v/>
      </c>
      <c r="M259">
        <f>IF(M258&lt;=0,0,MAX(0,AR259-Y259))</f>
        <v/>
      </c>
      <c r="N259">
        <f>IF(N258&lt;=0,0,MAX(0,AS259-Z259))</f>
        <v/>
      </c>
      <c r="O259">
        <f>IF(C258&lt;=0,0,MIN(AH259,C$7+IF(C$2=$AA259,$AC259,IF(C$2=$AF259,$AG259,0))))</f>
        <v/>
      </c>
      <c r="P259">
        <f>IF(D258&lt;=0,0,MIN(AI259,D$7+IF(D$2=$AA259,$AC259,IF(D$2=$AF259,$AG259,0))))</f>
        <v/>
      </c>
      <c r="Q259">
        <f>IF(E258&lt;=0,0,MIN(AJ259,E$7+IF(E$2=$AA259,$AC259,IF(E$2=$AF259,$AG259,0))))</f>
        <v/>
      </c>
      <c r="R259">
        <f>IF(F258&lt;=0,0,MIN(AK259,F$7+IF(F$2=$AA259,$AC259,IF(F$2=$AF259,$AG259,0))))</f>
        <v/>
      </c>
      <c r="S259">
        <f>IF(G258&lt;=0,0,MIN(AL259,G$7+IF(G$2=$AA259,$AC259,IF(G$2=$AF259,$AG259,0))))</f>
        <v/>
      </c>
      <c r="T259">
        <f>IF(H258&lt;=0,0,MIN(AM259,H$7+IF(H$2=$AA259,$AC259,IF(H$2=$AF259,$AG259,0))))</f>
        <v/>
      </c>
      <c r="U259">
        <f>IF(I258&lt;=0,0,MIN(AN259,I$7+IF(I$2=$AA259,$AC259,IF(I$2=$AF259,$AG259,0))))</f>
        <v/>
      </c>
      <c r="V259">
        <f>IF(J258&lt;=0,0,MIN(AO259,J$7+IF(J$2=$AA259,$AC259,IF(J$2=$AF259,$AG259,0))))</f>
        <v/>
      </c>
      <c r="W259">
        <f>IF(K258&lt;=0,0,MIN(AP259,K$7+IF(K$2=$AA259,$AC259,IF(K$2=$AF259,$AG259,0))))</f>
        <v/>
      </c>
      <c r="X259">
        <f>IF(L258&lt;=0,0,MIN(AQ259,L$7+IF(L$2=$AA259,$AC259,IF(L$2=$AF259,$AG259,0))))</f>
        <v/>
      </c>
      <c r="Y259">
        <f>IF(M258&lt;=0,0,MIN(AR259,M$7+IF(M$2=$AA259,$AC259,IF(M$2=$AF259,$AG259,0))))</f>
        <v/>
      </c>
      <c r="Z259">
        <f>IF(N258&lt;=0,0,MIN(AS259,N$7+IF(N$2=$AA259,$AC259,IF(N$2=$AF259,$AG259,0))))</f>
        <v/>
      </c>
      <c r="AA259">
        <f>IFERROR(ROUND(1/SUMPRODUCT(MAX((C258:N258&gt;0)*($C$3:$N$3&lt;=B259)/$C$2:$N$2)),0),0)</f>
        <v/>
      </c>
      <c r="AB259">
        <f>SUMPRODUCT((C258:N258&gt;0)*$C$7:$N$7)</f>
        <v/>
      </c>
      <c r="AC259">
        <f>MAX(0,Plan!$C$5-AB259)+IF(A259=Plan!$C$8,N(Plan!$C$7),0)</f>
        <v/>
      </c>
      <c r="AD259">
        <f>SUM(C259:N259)</f>
        <v/>
      </c>
      <c r="AE259">
        <f>SUM(O259:Z259)</f>
        <v/>
      </c>
      <c r="AF259">
        <f>IFERROR(ROUND(1/SUMPRODUCT(MAX((C258:N258&gt;0)*($C$3:$N$3&lt;=B259)*($C$2:$N$2&gt;AA259)/$C$2:$N$2)),0),0)</f>
        <v/>
      </c>
      <c r="AG259">
        <f>MAX(0,AC259-MAX(0,SUMPRODUCT(($C$2:$N$2=AA259)*(AH259:AS259-$C$7:$N$7))))</f>
        <v/>
      </c>
      <c r="AH259">
        <f>IF(C258&lt;=0,0,ROUND(C258*(1+IF(AND(C$6&gt;0,$B259&lt;C$6),C$4,C$5)/12),2))</f>
        <v/>
      </c>
      <c r="AI259">
        <f>IF(D258&lt;=0,0,ROUND(D258*(1+IF(AND(D$6&gt;0,$B259&lt;D$6),D$4,D$5)/12),2))</f>
        <v/>
      </c>
      <c r="AJ259">
        <f>IF(E258&lt;=0,0,ROUND(E258*(1+IF(AND(E$6&gt;0,$B259&lt;E$6),E$4,E$5)/12),2))</f>
        <v/>
      </c>
      <c r="AK259">
        <f>IF(F258&lt;=0,0,ROUND(F258*(1+IF(AND(F$6&gt;0,$B259&lt;F$6),F$4,F$5)/12),2))</f>
        <v/>
      </c>
      <c r="AL259">
        <f>IF(G258&lt;=0,0,ROUND(G258*(1+IF(AND(G$6&gt;0,$B259&lt;G$6),G$4,G$5)/12),2))</f>
        <v/>
      </c>
      <c r="AM259">
        <f>IF(H258&lt;=0,0,ROUND(H258*(1+IF(AND(H$6&gt;0,$B259&lt;H$6),H$4,H$5)/12),2))</f>
        <v/>
      </c>
      <c r="AN259">
        <f>IF(I258&lt;=0,0,ROUND(I258*(1+IF(AND(I$6&gt;0,$B259&lt;I$6),I$4,I$5)/12),2))</f>
        <v/>
      </c>
      <c r="AO259">
        <f>IF(J258&lt;=0,0,ROUND(J258*(1+IF(AND(J$6&gt;0,$B259&lt;J$6),J$4,J$5)/12),2))</f>
        <v/>
      </c>
      <c r="AP259">
        <f>IF(K258&lt;=0,0,ROUND(K258*(1+IF(AND(K$6&gt;0,$B259&lt;K$6),K$4,K$5)/12),2))</f>
        <v/>
      </c>
      <c r="AQ259">
        <f>IF(L258&lt;=0,0,ROUND(L258*(1+IF(AND(L$6&gt;0,$B259&lt;L$6),L$4,L$5)/12),2))</f>
        <v/>
      </c>
      <c r="AR259">
        <f>IF(M258&lt;=0,0,ROUND(M258*(1+IF(AND(M$6&gt;0,$B259&lt;M$6),M$4,M$5)/12),2))</f>
        <v/>
      </c>
      <c r="AS259">
        <f>IF(N258&lt;=0,0,ROUND(N258*(1+IF(AND(N$6&gt;0,$B259&lt;N$6),N$4,N$5)/12),2))</f>
        <v/>
      </c>
    </row>
    <row r="260">
      <c r="A260" t="n">
        <v>249</v>
      </c>
      <c r="B260">
        <f>EDATE(Plan!$C$6,248)</f>
        <v/>
      </c>
      <c r="C260">
        <f>IF(C259&lt;=0,0,MAX(0,AH260-O260))</f>
        <v/>
      </c>
      <c r="D260">
        <f>IF(D259&lt;=0,0,MAX(0,AI260-P260))</f>
        <v/>
      </c>
      <c r="E260">
        <f>IF(E259&lt;=0,0,MAX(0,AJ260-Q260))</f>
        <v/>
      </c>
      <c r="F260">
        <f>IF(F259&lt;=0,0,MAX(0,AK260-R260))</f>
        <v/>
      </c>
      <c r="G260">
        <f>IF(G259&lt;=0,0,MAX(0,AL260-S260))</f>
        <v/>
      </c>
      <c r="H260">
        <f>IF(H259&lt;=0,0,MAX(0,AM260-T260))</f>
        <v/>
      </c>
      <c r="I260">
        <f>IF(I259&lt;=0,0,MAX(0,AN260-U260))</f>
        <v/>
      </c>
      <c r="J260">
        <f>IF(J259&lt;=0,0,MAX(0,AO260-V260))</f>
        <v/>
      </c>
      <c r="K260">
        <f>IF(K259&lt;=0,0,MAX(0,AP260-W260))</f>
        <v/>
      </c>
      <c r="L260">
        <f>IF(L259&lt;=0,0,MAX(0,AQ260-X260))</f>
        <v/>
      </c>
      <c r="M260">
        <f>IF(M259&lt;=0,0,MAX(0,AR260-Y260))</f>
        <v/>
      </c>
      <c r="N260">
        <f>IF(N259&lt;=0,0,MAX(0,AS260-Z260))</f>
        <v/>
      </c>
      <c r="O260">
        <f>IF(C259&lt;=0,0,MIN(AH260,C$7+IF(C$2=$AA260,$AC260,IF(C$2=$AF260,$AG260,0))))</f>
        <v/>
      </c>
      <c r="P260">
        <f>IF(D259&lt;=0,0,MIN(AI260,D$7+IF(D$2=$AA260,$AC260,IF(D$2=$AF260,$AG260,0))))</f>
        <v/>
      </c>
      <c r="Q260">
        <f>IF(E259&lt;=0,0,MIN(AJ260,E$7+IF(E$2=$AA260,$AC260,IF(E$2=$AF260,$AG260,0))))</f>
        <v/>
      </c>
      <c r="R260">
        <f>IF(F259&lt;=0,0,MIN(AK260,F$7+IF(F$2=$AA260,$AC260,IF(F$2=$AF260,$AG260,0))))</f>
        <v/>
      </c>
      <c r="S260">
        <f>IF(G259&lt;=0,0,MIN(AL260,G$7+IF(G$2=$AA260,$AC260,IF(G$2=$AF260,$AG260,0))))</f>
        <v/>
      </c>
      <c r="T260">
        <f>IF(H259&lt;=0,0,MIN(AM260,H$7+IF(H$2=$AA260,$AC260,IF(H$2=$AF260,$AG260,0))))</f>
        <v/>
      </c>
      <c r="U260">
        <f>IF(I259&lt;=0,0,MIN(AN260,I$7+IF(I$2=$AA260,$AC260,IF(I$2=$AF260,$AG260,0))))</f>
        <v/>
      </c>
      <c r="V260">
        <f>IF(J259&lt;=0,0,MIN(AO260,J$7+IF(J$2=$AA260,$AC260,IF(J$2=$AF260,$AG260,0))))</f>
        <v/>
      </c>
      <c r="W260">
        <f>IF(K259&lt;=0,0,MIN(AP260,K$7+IF(K$2=$AA260,$AC260,IF(K$2=$AF260,$AG260,0))))</f>
        <v/>
      </c>
      <c r="X260">
        <f>IF(L259&lt;=0,0,MIN(AQ260,L$7+IF(L$2=$AA260,$AC260,IF(L$2=$AF260,$AG260,0))))</f>
        <v/>
      </c>
      <c r="Y260">
        <f>IF(M259&lt;=0,0,MIN(AR260,M$7+IF(M$2=$AA260,$AC260,IF(M$2=$AF260,$AG260,0))))</f>
        <v/>
      </c>
      <c r="Z260">
        <f>IF(N259&lt;=0,0,MIN(AS260,N$7+IF(N$2=$AA260,$AC260,IF(N$2=$AF260,$AG260,0))))</f>
        <v/>
      </c>
      <c r="AA260">
        <f>IFERROR(ROUND(1/SUMPRODUCT(MAX((C259:N259&gt;0)*($C$3:$N$3&lt;=B260)/$C$2:$N$2)),0),0)</f>
        <v/>
      </c>
      <c r="AB260">
        <f>SUMPRODUCT((C259:N259&gt;0)*$C$7:$N$7)</f>
        <v/>
      </c>
      <c r="AC260">
        <f>MAX(0,Plan!$C$5-AB260)+IF(A260=Plan!$C$8,N(Plan!$C$7),0)</f>
        <v/>
      </c>
      <c r="AD260">
        <f>SUM(C260:N260)</f>
        <v/>
      </c>
      <c r="AE260">
        <f>SUM(O260:Z260)</f>
        <v/>
      </c>
      <c r="AF260">
        <f>IFERROR(ROUND(1/SUMPRODUCT(MAX((C259:N259&gt;0)*($C$3:$N$3&lt;=B260)*($C$2:$N$2&gt;AA260)/$C$2:$N$2)),0),0)</f>
        <v/>
      </c>
      <c r="AG260">
        <f>MAX(0,AC260-MAX(0,SUMPRODUCT(($C$2:$N$2=AA260)*(AH260:AS260-$C$7:$N$7))))</f>
        <v/>
      </c>
      <c r="AH260">
        <f>IF(C259&lt;=0,0,ROUND(C259*(1+IF(AND(C$6&gt;0,$B260&lt;C$6),C$4,C$5)/12),2))</f>
        <v/>
      </c>
      <c r="AI260">
        <f>IF(D259&lt;=0,0,ROUND(D259*(1+IF(AND(D$6&gt;0,$B260&lt;D$6),D$4,D$5)/12),2))</f>
        <v/>
      </c>
      <c r="AJ260">
        <f>IF(E259&lt;=0,0,ROUND(E259*(1+IF(AND(E$6&gt;0,$B260&lt;E$6),E$4,E$5)/12),2))</f>
        <v/>
      </c>
      <c r="AK260">
        <f>IF(F259&lt;=0,0,ROUND(F259*(1+IF(AND(F$6&gt;0,$B260&lt;F$6),F$4,F$5)/12),2))</f>
        <v/>
      </c>
      <c r="AL260">
        <f>IF(G259&lt;=0,0,ROUND(G259*(1+IF(AND(G$6&gt;0,$B260&lt;G$6),G$4,G$5)/12),2))</f>
        <v/>
      </c>
      <c r="AM260">
        <f>IF(H259&lt;=0,0,ROUND(H259*(1+IF(AND(H$6&gt;0,$B260&lt;H$6),H$4,H$5)/12),2))</f>
        <v/>
      </c>
      <c r="AN260">
        <f>IF(I259&lt;=0,0,ROUND(I259*(1+IF(AND(I$6&gt;0,$B260&lt;I$6),I$4,I$5)/12),2))</f>
        <v/>
      </c>
      <c r="AO260">
        <f>IF(J259&lt;=0,0,ROUND(J259*(1+IF(AND(J$6&gt;0,$B260&lt;J$6),J$4,J$5)/12),2))</f>
        <v/>
      </c>
      <c r="AP260">
        <f>IF(K259&lt;=0,0,ROUND(K259*(1+IF(AND(K$6&gt;0,$B260&lt;K$6),K$4,K$5)/12),2))</f>
        <v/>
      </c>
      <c r="AQ260">
        <f>IF(L259&lt;=0,0,ROUND(L259*(1+IF(AND(L$6&gt;0,$B260&lt;L$6),L$4,L$5)/12),2))</f>
        <v/>
      </c>
      <c r="AR260">
        <f>IF(M259&lt;=0,0,ROUND(M259*(1+IF(AND(M$6&gt;0,$B260&lt;M$6),M$4,M$5)/12),2))</f>
        <v/>
      </c>
      <c r="AS260">
        <f>IF(N259&lt;=0,0,ROUND(N259*(1+IF(AND(N$6&gt;0,$B260&lt;N$6),N$4,N$5)/12),2))</f>
        <v/>
      </c>
    </row>
    <row r="261">
      <c r="A261" t="n">
        <v>250</v>
      </c>
      <c r="B261">
        <f>EDATE(Plan!$C$6,249)</f>
        <v/>
      </c>
      <c r="C261">
        <f>IF(C260&lt;=0,0,MAX(0,AH261-O261))</f>
        <v/>
      </c>
      <c r="D261">
        <f>IF(D260&lt;=0,0,MAX(0,AI261-P261))</f>
        <v/>
      </c>
      <c r="E261">
        <f>IF(E260&lt;=0,0,MAX(0,AJ261-Q261))</f>
        <v/>
      </c>
      <c r="F261">
        <f>IF(F260&lt;=0,0,MAX(0,AK261-R261))</f>
        <v/>
      </c>
      <c r="G261">
        <f>IF(G260&lt;=0,0,MAX(0,AL261-S261))</f>
        <v/>
      </c>
      <c r="H261">
        <f>IF(H260&lt;=0,0,MAX(0,AM261-T261))</f>
        <v/>
      </c>
      <c r="I261">
        <f>IF(I260&lt;=0,0,MAX(0,AN261-U261))</f>
        <v/>
      </c>
      <c r="J261">
        <f>IF(J260&lt;=0,0,MAX(0,AO261-V261))</f>
        <v/>
      </c>
      <c r="K261">
        <f>IF(K260&lt;=0,0,MAX(0,AP261-W261))</f>
        <v/>
      </c>
      <c r="L261">
        <f>IF(L260&lt;=0,0,MAX(0,AQ261-X261))</f>
        <v/>
      </c>
      <c r="M261">
        <f>IF(M260&lt;=0,0,MAX(0,AR261-Y261))</f>
        <v/>
      </c>
      <c r="N261">
        <f>IF(N260&lt;=0,0,MAX(0,AS261-Z261))</f>
        <v/>
      </c>
      <c r="O261">
        <f>IF(C260&lt;=0,0,MIN(AH261,C$7+IF(C$2=$AA261,$AC261,IF(C$2=$AF261,$AG261,0))))</f>
        <v/>
      </c>
      <c r="P261">
        <f>IF(D260&lt;=0,0,MIN(AI261,D$7+IF(D$2=$AA261,$AC261,IF(D$2=$AF261,$AG261,0))))</f>
        <v/>
      </c>
      <c r="Q261">
        <f>IF(E260&lt;=0,0,MIN(AJ261,E$7+IF(E$2=$AA261,$AC261,IF(E$2=$AF261,$AG261,0))))</f>
        <v/>
      </c>
      <c r="R261">
        <f>IF(F260&lt;=0,0,MIN(AK261,F$7+IF(F$2=$AA261,$AC261,IF(F$2=$AF261,$AG261,0))))</f>
        <v/>
      </c>
      <c r="S261">
        <f>IF(G260&lt;=0,0,MIN(AL261,G$7+IF(G$2=$AA261,$AC261,IF(G$2=$AF261,$AG261,0))))</f>
        <v/>
      </c>
      <c r="T261">
        <f>IF(H260&lt;=0,0,MIN(AM261,H$7+IF(H$2=$AA261,$AC261,IF(H$2=$AF261,$AG261,0))))</f>
        <v/>
      </c>
      <c r="U261">
        <f>IF(I260&lt;=0,0,MIN(AN261,I$7+IF(I$2=$AA261,$AC261,IF(I$2=$AF261,$AG261,0))))</f>
        <v/>
      </c>
      <c r="V261">
        <f>IF(J260&lt;=0,0,MIN(AO261,J$7+IF(J$2=$AA261,$AC261,IF(J$2=$AF261,$AG261,0))))</f>
        <v/>
      </c>
      <c r="W261">
        <f>IF(K260&lt;=0,0,MIN(AP261,K$7+IF(K$2=$AA261,$AC261,IF(K$2=$AF261,$AG261,0))))</f>
        <v/>
      </c>
      <c r="X261">
        <f>IF(L260&lt;=0,0,MIN(AQ261,L$7+IF(L$2=$AA261,$AC261,IF(L$2=$AF261,$AG261,0))))</f>
        <v/>
      </c>
      <c r="Y261">
        <f>IF(M260&lt;=0,0,MIN(AR261,M$7+IF(M$2=$AA261,$AC261,IF(M$2=$AF261,$AG261,0))))</f>
        <v/>
      </c>
      <c r="Z261">
        <f>IF(N260&lt;=0,0,MIN(AS261,N$7+IF(N$2=$AA261,$AC261,IF(N$2=$AF261,$AG261,0))))</f>
        <v/>
      </c>
      <c r="AA261">
        <f>IFERROR(ROUND(1/SUMPRODUCT(MAX((C260:N260&gt;0)*($C$3:$N$3&lt;=B261)/$C$2:$N$2)),0),0)</f>
        <v/>
      </c>
      <c r="AB261">
        <f>SUMPRODUCT((C260:N260&gt;0)*$C$7:$N$7)</f>
        <v/>
      </c>
      <c r="AC261">
        <f>MAX(0,Plan!$C$5-AB261)+IF(A261=Plan!$C$8,N(Plan!$C$7),0)</f>
        <v/>
      </c>
      <c r="AD261">
        <f>SUM(C261:N261)</f>
        <v/>
      </c>
      <c r="AE261">
        <f>SUM(O261:Z261)</f>
        <v/>
      </c>
      <c r="AF261">
        <f>IFERROR(ROUND(1/SUMPRODUCT(MAX((C260:N260&gt;0)*($C$3:$N$3&lt;=B261)*($C$2:$N$2&gt;AA261)/$C$2:$N$2)),0),0)</f>
        <v/>
      </c>
      <c r="AG261">
        <f>MAX(0,AC261-MAX(0,SUMPRODUCT(($C$2:$N$2=AA261)*(AH261:AS261-$C$7:$N$7))))</f>
        <v/>
      </c>
      <c r="AH261">
        <f>IF(C260&lt;=0,0,ROUND(C260*(1+IF(AND(C$6&gt;0,$B261&lt;C$6),C$4,C$5)/12),2))</f>
        <v/>
      </c>
      <c r="AI261">
        <f>IF(D260&lt;=0,0,ROUND(D260*(1+IF(AND(D$6&gt;0,$B261&lt;D$6),D$4,D$5)/12),2))</f>
        <v/>
      </c>
      <c r="AJ261">
        <f>IF(E260&lt;=0,0,ROUND(E260*(1+IF(AND(E$6&gt;0,$B261&lt;E$6),E$4,E$5)/12),2))</f>
        <v/>
      </c>
      <c r="AK261">
        <f>IF(F260&lt;=0,0,ROUND(F260*(1+IF(AND(F$6&gt;0,$B261&lt;F$6),F$4,F$5)/12),2))</f>
        <v/>
      </c>
      <c r="AL261">
        <f>IF(G260&lt;=0,0,ROUND(G260*(1+IF(AND(G$6&gt;0,$B261&lt;G$6),G$4,G$5)/12),2))</f>
        <v/>
      </c>
      <c r="AM261">
        <f>IF(H260&lt;=0,0,ROUND(H260*(1+IF(AND(H$6&gt;0,$B261&lt;H$6),H$4,H$5)/12),2))</f>
        <v/>
      </c>
      <c r="AN261">
        <f>IF(I260&lt;=0,0,ROUND(I260*(1+IF(AND(I$6&gt;0,$B261&lt;I$6),I$4,I$5)/12),2))</f>
        <v/>
      </c>
      <c r="AO261">
        <f>IF(J260&lt;=0,0,ROUND(J260*(1+IF(AND(J$6&gt;0,$B261&lt;J$6),J$4,J$5)/12),2))</f>
        <v/>
      </c>
      <c r="AP261">
        <f>IF(K260&lt;=0,0,ROUND(K260*(1+IF(AND(K$6&gt;0,$B261&lt;K$6),K$4,K$5)/12),2))</f>
        <v/>
      </c>
      <c r="AQ261">
        <f>IF(L260&lt;=0,0,ROUND(L260*(1+IF(AND(L$6&gt;0,$B261&lt;L$6),L$4,L$5)/12),2))</f>
        <v/>
      </c>
      <c r="AR261">
        <f>IF(M260&lt;=0,0,ROUND(M260*(1+IF(AND(M$6&gt;0,$B261&lt;M$6),M$4,M$5)/12),2))</f>
        <v/>
      </c>
      <c r="AS261">
        <f>IF(N260&lt;=0,0,ROUND(N260*(1+IF(AND(N$6&gt;0,$B261&lt;N$6),N$4,N$5)/12),2))</f>
        <v/>
      </c>
    </row>
    <row r="262">
      <c r="A262" t="n">
        <v>251</v>
      </c>
      <c r="B262">
        <f>EDATE(Plan!$C$6,250)</f>
        <v/>
      </c>
      <c r="C262">
        <f>IF(C261&lt;=0,0,MAX(0,AH262-O262))</f>
        <v/>
      </c>
      <c r="D262">
        <f>IF(D261&lt;=0,0,MAX(0,AI262-P262))</f>
        <v/>
      </c>
      <c r="E262">
        <f>IF(E261&lt;=0,0,MAX(0,AJ262-Q262))</f>
        <v/>
      </c>
      <c r="F262">
        <f>IF(F261&lt;=0,0,MAX(0,AK262-R262))</f>
        <v/>
      </c>
      <c r="G262">
        <f>IF(G261&lt;=0,0,MAX(0,AL262-S262))</f>
        <v/>
      </c>
      <c r="H262">
        <f>IF(H261&lt;=0,0,MAX(0,AM262-T262))</f>
        <v/>
      </c>
      <c r="I262">
        <f>IF(I261&lt;=0,0,MAX(0,AN262-U262))</f>
        <v/>
      </c>
      <c r="J262">
        <f>IF(J261&lt;=0,0,MAX(0,AO262-V262))</f>
        <v/>
      </c>
      <c r="K262">
        <f>IF(K261&lt;=0,0,MAX(0,AP262-W262))</f>
        <v/>
      </c>
      <c r="L262">
        <f>IF(L261&lt;=0,0,MAX(0,AQ262-X262))</f>
        <v/>
      </c>
      <c r="M262">
        <f>IF(M261&lt;=0,0,MAX(0,AR262-Y262))</f>
        <v/>
      </c>
      <c r="N262">
        <f>IF(N261&lt;=0,0,MAX(0,AS262-Z262))</f>
        <v/>
      </c>
      <c r="O262">
        <f>IF(C261&lt;=0,0,MIN(AH262,C$7+IF(C$2=$AA262,$AC262,IF(C$2=$AF262,$AG262,0))))</f>
        <v/>
      </c>
      <c r="P262">
        <f>IF(D261&lt;=0,0,MIN(AI262,D$7+IF(D$2=$AA262,$AC262,IF(D$2=$AF262,$AG262,0))))</f>
        <v/>
      </c>
      <c r="Q262">
        <f>IF(E261&lt;=0,0,MIN(AJ262,E$7+IF(E$2=$AA262,$AC262,IF(E$2=$AF262,$AG262,0))))</f>
        <v/>
      </c>
      <c r="R262">
        <f>IF(F261&lt;=0,0,MIN(AK262,F$7+IF(F$2=$AA262,$AC262,IF(F$2=$AF262,$AG262,0))))</f>
        <v/>
      </c>
      <c r="S262">
        <f>IF(G261&lt;=0,0,MIN(AL262,G$7+IF(G$2=$AA262,$AC262,IF(G$2=$AF262,$AG262,0))))</f>
        <v/>
      </c>
      <c r="T262">
        <f>IF(H261&lt;=0,0,MIN(AM262,H$7+IF(H$2=$AA262,$AC262,IF(H$2=$AF262,$AG262,0))))</f>
        <v/>
      </c>
      <c r="U262">
        <f>IF(I261&lt;=0,0,MIN(AN262,I$7+IF(I$2=$AA262,$AC262,IF(I$2=$AF262,$AG262,0))))</f>
        <v/>
      </c>
      <c r="V262">
        <f>IF(J261&lt;=0,0,MIN(AO262,J$7+IF(J$2=$AA262,$AC262,IF(J$2=$AF262,$AG262,0))))</f>
        <v/>
      </c>
      <c r="W262">
        <f>IF(K261&lt;=0,0,MIN(AP262,K$7+IF(K$2=$AA262,$AC262,IF(K$2=$AF262,$AG262,0))))</f>
        <v/>
      </c>
      <c r="X262">
        <f>IF(L261&lt;=0,0,MIN(AQ262,L$7+IF(L$2=$AA262,$AC262,IF(L$2=$AF262,$AG262,0))))</f>
        <v/>
      </c>
      <c r="Y262">
        <f>IF(M261&lt;=0,0,MIN(AR262,M$7+IF(M$2=$AA262,$AC262,IF(M$2=$AF262,$AG262,0))))</f>
        <v/>
      </c>
      <c r="Z262">
        <f>IF(N261&lt;=0,0,MIN(AS262,N$7+IF(N$2=$AA262,$AC262,IF(N$2=$AF262,$AG262,0))))</f>
        <v/>
      </c>
      <c r="AA262">
        <f>IFERROR(ROUND(1/SUMPRODUCT(MAX((C261:N261&gt;0)*($C$3:$N$3&lt;=B262)/$C$2:$N$2)),0),0)</f>
        <v/>
      </c>
      <c r="AB262">
        <f>SUMPRODUCT((C261:N261&gt;0)*$C$7:$N$7)</f>
        <v/>
      </c>
      <c r="AC262">
        <f>MAX(0,Plan!$C$5-AB262)+IF(A262=Plan!$C$8,N(Plan!$C$7),0)</f>
        <v/>
      </c>
      <c r="AD262">
        <f>SUM(C262:N262)</f>
        <v/>
      </c>
      <c r="AE262">
        <f>SUM(O262:Z262)</f>
        <v/>
      </c>
      <c r="AF262">
        <f>IFERROR(ROUND(1/SUMPRODUCT(MAX((C261:N261&gt;0)*($C$3:$N$3&lt;=B262)*($C$2:$N$2&gt;AA262)/$C$2:$N$2)),0),0)</f>
        <v/>
      </c>
      <c r="AG262">
        <f>MAX(0,AC262-MAX(0,SUMPRODUCT(($C$2:$N$2=AA262)*(AH262:AS262-$C$7:$N$7))))</f>
        <v/>
      </c>
      <c r="AH262">
        <f>IF(C261&lt;=0,0,ROUND(C261*(1+IF(AND(C$6&gt;0,$B262&lt;C$6),C$4,C$5)/12),2))</f>
        <v/>
      </c>
      <c r="AI262">
        <f>IF(D261&lt;=0,0,ROUND(D261*(1+IF(AND(D$6&gt;0,$B262&lt;D$6),D$4,D$5)/12),2))</f>
        <v/>
      </c>
      <c r="AJ262">
        <f>IF(E261&lt;=0,0,ROUND(E261*(1+IF(AND(E$6&gt;0,$B262&lt;E$6),E$4,E$5)/12),2))</f>
        <v/>
      </c>
      <c r="AK262">
        <f>IF(F261&lt;=0,0,ROUND(F261*(1+IF(AND(F$6&gt;0,$B262&lt;F$6),F$4,F$5)/12),2))</f>
        <v/>
      </c>
      <c r="AL262">
        <f>IF(G261&lt;=0,0,ROUND(G261*(1+IF(AND(G$6&gt;0,$B262&lt;G$6),G$4,G$5)/12),2))</f>
        <v/>
      </c>
      <c r="AM262">
        <f>IF(H261&lt;=0,0,ROUND(H261*(1+IF(AND(H$6&gt;0,$B262&lt;H$6),H$4,H$5)/12),2))</f>
        <v/>
      </c>
      <c r="AN262">
        <f>IF(I261&lt;=0,0,ROUND(I261*(1+IF(AND(I$6&gt;0,$B262&lt;I$6),I$4,I$5)/12),2))</f>
        <v/>
      </c>
      <c r="AO262">
        <f>IF(J261&lt;=0,0,ROUND(J261*(1+IF(AND(J$6&gt;0,$B262&lt;J$6),J$4,J$5)/12),2))</f>
        <v/>
      </c>
      <c r="AP262">
        <f>IF(K261&lt;=0,0,ROUND(K261*(1+IF(AND(K$6&gt;0,$B262&lt;K$6),K$4,K$5)/12),2))</f>
        <v/>
      </c>
      <c r="AQ262">
        <f>IF(L261&lt;=0,0,ROUND(L261*(1+IF(AND(L$6&gt;0,$B262&lt;L$6),L$4,L$5)/12),2))</f>
        <v/>
      </c>
      <c r="AR262">
        <f>IF(M261&lt;=0,0,ROUND(M261*(1+IF(AND(M$6&gt;0,$B262&lt;M$6),M$4,M$5)/12),2))</f>
        <v/>
      </c>
      <c r="AS262">
        <f>IF(N261&lt;=0,0,ROUND(N261*(1+IF(AND(N$6&gt;0,$B262&lt;N$6),N$4,N$5)/12),2))</f>
        <v/>
      </c>
    </row>
    <row r="263">
      <c r="A263" t="n">
        <v>252</v>
      </c>
      <c r="B263">
        <f>EDATE(Plan!$C$6,251)</f>
        <v/>
      </c>
      <c r="C263">
        <f>IF(C262&lt;=0,0,MAX(0,AH263-O263))</f>
        <v/>
      </c>
      <c r="D263">
        <f>IF(D262&lt;=0,0,MAX(0,AI263-P263))</f>
        <v/>
      </c>
      <c r="E263">
        <f>IF(E262&lt;=0,0,MAX(0,AJ263-Q263))</f>
        <v/>
      </c>
      <c r="F263">
        <f>IF(F262&lt;=0,0,MAX(0,AK263-R263))</f>
        <v/>
      </c>
      <c r="G263">
        <f>IF(G262&lt;=0,0,MAX(0,AL263-S263))</f>
        <v/>
      </c>
      <c r="H263">
        <f>IF(H262&lt;=0,0,MAX(0,AM263-T263))</f>
        <v/>
      </c>
      <c r="I263">
        <f>IF(I262&lt;=0,0,MAX(0,AN263-U263))</f>
        <v/>
      </c>
      <c r="J263">
        <f>IF(J262&lt;=0,0,MAX(0,AO263-V263))</f>
        <v/>
      </c>
      <c r="K263">
        <f>IF(K262&lt;=0,0,MAX(0,AP263-W263))</f>
        <v/>
      </c>
      <c r="L263">
        <f>IF(L262&lt;=0,0,MAX(0,AQ263-X263))</f>
        <v/>
      </c>
      <c r="M263">
        <f>IF(M262&lt;=0,0,MAX(0,AR263-Y263))</f>
        <v/>
      </c>
      <c r="N263">
        <f>IF(N262&lt;=0,0,MAX(0,AS263-Z263))</f>
        <v/>
      </c>
      <c r="O263">
        <f>IF(C262&lt;=0,0,MIN(AH263,C$7+IF(C$2=$AA263,$AC263,IF(C$2=$AF263,$AG263,0))))</f>
        <v/>
      </c>
      <c r="P263">
        <f>IF(D262&lt;=0,0,MIN(AI263,D$7+IF(D$2=$AA263,$AC263,IF(D$2=$AF263,$AG263,0))))</f>
        <v/>
      </c>
      <c r="Q263">
        <f>IF(E262&lt;=0,0,MIN(AJ263,E$7+IF(E$2=$AA263,$AC263,IF(E$2=$AF263,$AG263,0))))</f>
        <v/>
      </c>
      <c r="R263">
        <f>IF(F262&lt;=0,0,MIN(AK263,F$7+IF(F$2=$AA263,$AC263,IF(F$2=$AF263,$AG263,0))))</f>
        <v/>
      </c>
      <c r="S263">
        <f>IF(G262&lt;=0,0,MIN(AL263,G$7+IF(G$2=$AA263,$AC263,IF(G$2=$AF263,$AG263,0))))</f>
        <v/>
      </c>
      <c r="T263">
        <f>IF(H262&lt;=0,0,MIN(AM263,H$7+IF(H$2=$AA263,$AC263,IF(H$2=$AF263,$AG263,0))))</f>
        <v/>
      </c>
      <c r="U263">
        <f>IF(I262&lt;=0,0,MIN(AN263,I$7+IF(I$2=$AA263,$AC263,IF(I$2=$AF263,$AG263,0))))</f>
        <v/>
      </c>
      <c r="V263">
        <f>IF(J262&lt;=0,0,MIN(AO263,J$7+IF(J$2=$AA263,$AC263,IF(J$2=$AF263,$AG263,0))))</f>
        <v/>
      </c>
      <c r="W263">
        <f>IF(K262&lt;=0,0,MIN(AP263,K$7+IF(K$2=$AA263,$AC263,IF(K$2=$AF263,$AG263,0))))</f>
        <v/>
      </c>
      <c r="X263">
        <f>IF(L262&lt;=0,0,MIN(AQ263,L$7+IF(L$2=$AA263,$AC263,IF(L$2=$AF263,$AG263,0))))</f>
        <v/>
      </c>
      <c r="Y263">
        <f>IF(M262&lt;=0,0,MIN(AR263,M$7+IF(M$2=$AA263,$AC263,IF(M$2=$AF263,$AG263,0))))</f>
        <v/>
      </c>
      <c r="Z263">
        <f>IF(N262&lt;=0,0,MIN(AS263,N$7+IF(N$2=$AA263,$AC263,IF(N$2=$AF263,$AG263,0))))</f>
        <v/>
      </c>
      <c r="AA263">
        <f>IFERROR(ROUND(1/SUMPRODUCT(MAX((C262:N262&gt;0)*($C$3:$N$3&lt;=B263)/$C$2:$N$2)),0),0)</f>
        <v/>
      </c>
      <c r="AB263">
        <f>SUMPRODUCT((C262:N262&gt;0)*$C$7:$N$7)</f>
        <v/>
      </c>
      <c r="AC263">
        <f>MAX(0,Plan!$C$5-AB263)+IF(A263=Plan!$C$8,N(Plan!$C$7),0)</f>
        <v/>
      </c>
      <c r="AD263">
        <f>SUM(C263:N263)</f>
        <v/>
      </c>
      <c r="AE263">
        <f>SUM(O263:Z263)</f>
        <v/>
      </c>
      <c r="AF263">
        <f>IFERROR(ROUND(1/SUMPRODUCT(MAX((C262:N262&gt;0)*($C$3:$N$3&lt;=B263)*($C$2:$N$2&gt;AA263)/$C$2:$N$2)),0),0)</f>
        <v/>
      </c>
      <c r="AG263">
        <f>MAX(0,AC263-MAX(0,SUMPRODUCT(($C$2:$N$2=AA263)*(AH263:AS263-$C$7:$N$7))))</f>
        <v/>
      </c>
      <c r="AH263">
        <f>IF(C262&lt;=0,0,ROUND(C262*(1+IF(AND(C$6&gt;0,$B263&lt;C$6),C$4,C$5)/12),2))</f>
        <v/>
      </c>
      <c r="AI263">
        <f>IF(D262&lt;=0,0,ROUND(D262*(1+IF(AND(D$6&gt;0,$B263&lt;D$6),D$4,D$5)/12),2))</f>
        <v/>
      </c>
      <c r="AJ263">
        <f>IF(E262&lt;=0,0,ROUND(E262*(1+IF(AND(E$6&gt;0,$B263&lt;E$6),E$4,E$5)/12),2))</f>
        <v/>
      </c>
      <c r="AK263">
        <f>IF(F262&lt;=0,0,ROUND(F262*(1+IF(AND(F$6&gt;0,$B263&lt;F$6),F$4,F$5)/12),2))</f>
        <v/>
      </c>
      <c r="AL263">
        <f>IF(G262&lt;=0,0,ROUND(G262*(1+IF(AND(G$6&gt;0,$B263&lt;G$6),G$4,G$5)/12),2))</f>
        <v/>
      </c>
      <c r="AM263">
        <f>IF(H262&lt;=0,0,ROUND(H262*(1+IF(AND(H$6&gt;0,$B263&lt;H$6),H$4,H$5)/12),2))</f>
        <v/>
      </c>
      <c r="AN263">
        <f>IF(I262&lt;=0,0,ROUND(I262*(1+IF(AND(I$6&gt;0,$B263&lt;I$6),I$4,I$5)/12),2))</f>
        <v/>
      </c>
      <c r="AO263">
        <f>IF(J262&lt;=0,0,ROUND(J262*(1+IF(AND(J$6&gt;0,$B263&lt;J$6),J$4,J$5)/12),2))</f>
        <v/>
      </c>
      <c r="AP263">
        <f>IF(K262&lt;=0,0,ROUND(K262*(1+IF(AND(K$6&gt;0,$B263&lt;K$6),K$4,K$5)/12),2))</f>
        <v/>
      </c>
      <c r="AQ263">
        <f>IF(L262&lt;=0,0,ROUND(L262*(1+IF(AND(L$6&gt;0,$B263&lt;L$6),L$4,L$5)/12),2))</f>
        <v/>
      </c>
      <c r="AR263">
        <f>IF(M262&lt;=0,0,ROUND(M262*(1+IF(AND(M$6&gt;0,$B263&lt;M$6),M$4,M$5)/12),2))</f>
        <v/>
      </c>
      <c r="AS263">
        <f>IF(N262&lt;=0,0,ROUND(N262*(1+IF(AND(N$6&gt;0,$B263&lt;N$6),N$4,N$5)/12),2))</f>
        <v/>
      </c>
    </row>
    <row r="264">
      <c r="A264" t="n">
        <v>253</v>
      </c>
      <c r="B264">
        <f>EDATE(Plan!$C$6,252)</f>
        <v/>
      </c>
      <c r="C264">
        <f>IF(C263&lt;=0,0,MAX(0,AH264-O264))</f>
        <v/>
      </c>
      <c r="D264">
        <f>IF(D263&lt;=0,0,MAX(0,AI264-P264))</f>
        <v/>
      </c>
      <c r="E264">
        <f>IF(E263&lt;=0,0,MAX(0,AJ264-Q264))</f>
        <v/>
      </c>
      <c r="F264">
        <f>IF(F263&lt;=0,0,MAX(0,AK264-R264))</f>
        <v/>
      </c>
      <c r="G264">
        <f>IF(G263&lt;=0,0,MAX(0,AL264-S264))</f>
        <v/>
      </c>
      <c r="H264">
        <f>IF(H263&lt;=0,0,MAX(0,AM264-T264))</f>
        <v/>
      </c>
      <c r="I264">
        <f>IF(I263&lt;=0,0,MAX(0,AN264-U264))</f>
        <v/>
      </c>
      <c r="J264">
        <f>IF(J263&lt;=0,0,MAX(0,AO264-V264))</f>
        <v/>
      </c>
      <c r="K264">
        <f>IF(K263&lt;=0,0,MAX(0,AP264-W264))</f>
        <v/>
      </c>
      <c r="L264">
        <f>IF(L263&lt;=0,0,MAX(0,AQ264-X264))</f>
        <v/>
      </c>
      <c r="M264">
        <f>IF(M263&lt;=0,0,MAX(0,AR264-Y264))</f>
        <v/>
      </c>
      <c r="N264">
        <f>IF(N263&lt;=0,0,MAX(0,AS264-Z264))</f>
        <v/>
      </c>
      <c r="O264">
        <f>IF(C263&lt;=0,0,MIN(AH264,C$7+IF(C$2=$AA264,$AC264,IF(C$2=$AF264,$AG264,0))))</f>
        <v/>
      </c>
      <c r="P264">
        <f>IF(D263&lt;=0,0,MIN(AI264,D$7+IF(D$2=$AA264,$AC264,IF(D$2=$AF264,$AG264,0))))</f>
        <v/>
      </c>
      <c r="Q264">
        <f>IF(E263&lt;=0,0,MIN(AJ264,E$7+IF(E$2=$AA264,$AC264,IF(E$2=$AF264,$AG264,0))))</f>
        <v/>
      </c>
      <c r="R264">
        <f>IF(F263&lt;=0,0,MIN(AK264,F$7+IF(F$2=$AA264,$AC264,IF(F$2=$AF264,$AG264,0))))</f>
        <v/>
      </c>
      <c r="S264">
        <f>IF(G263&lt;=0,0,MIN(AL264,G$7+IF(G$2=$AA264,$AC264,IF(G$2=$AF264,$AG264,0))))</f>
        <v/>
      </c>
      <c r="T264">
        <f>IF(H263&lt;=0,0,MIN(AM264,H$7+IF(H$2=$AA264,$AC264,IF(H$2=$AF264,$AG264,0))))</f>
        <v/>
      </c>
      <c r="U264">
        <f>IF(I263&lt;=0,0,MIN(AN264,I$7+IF(I$2=$AA264,$AC264,IF(I$2=$AF264,$AG264,0))))</f>
        <v/>
      </c>
      <c r="V264">
        <f>IF(J263&lt;=0,0,MIN(AO264,J$7+IF(J$2=$AA264,$AC264,IF(J$2=$AF264,$AG264,0))))</f>
        <v/>
      </c>
      <c r="W264">
        <f>IF(K263&lt;=0,0,MIN(AP264,K$7+IF(K$2=$AA264,$AC264,IF(K$2=$AF264,$AG264,0))))</f>
        <v/>
      </c>
      <c r="X264">
        <f>IF(L263&lt;=0,0,MIN(AQ264,L$7+IF(L$2=$AA264,$AC264,IF(L$2=$AF264,$AG264,0))))</f>
        <v/>
      </c>
      <c r="Y264">
        <f>IF(M263&lt;=0,0,MIN(AR264,M$7+IF(M$2=$AA264,$AC264,IF(M$2=$AF264,$AG264,0))))</f>
        <v/>
      </c>
      <c r="Z264">
        <f>IF(N263&lt;=0,0,MIN(AS264,N$7+IF(N$2=$AA264,$AC264,IF(N$2=$AF264,$AG264,0))))</f>
        <v/>
      </c>
      <c r="AA264">
        <f>IFERROR(ROUND(1/SUMPRODUCT(MAX((C263:N263&gt;0)*($C$3:$N$3&lt;=B264)/$C$2:$N$2)),0),0)</f>
        <v/>
      </c>
      <c r="AB264">
        <f>SUMPRODUCT((C263:N263&gt;0)*$C$7:$N$7)</f>
        <v/>
      </c>
      <c r="AC264">
        <f>MAX(0,Plan!$C$5-AB264)+IF(A264=Plan!$C$8,N(Plan!$C$7),0)</f>
        <v/>
      </c>
      <c r="AD264">
        <f>SUM(C264:N264)</f>
        <v/>
      </c>
      <c r="AE264">
        <f>SUM(O264:Z264)</f>
        <v/>
      </c>
      <c r="AF264">
        <f>IFERROR(ROUND(1/SUMPRODUCT(MAX((C263:N263&gt;0)*($C$3:$N$3&lt;=B264)*($C$2:$N$2&gt;AA264)/$C$2:$N$2)),0),0)</f>
        <v/>
      </c>
      <c r="AG264">
        <f>MAX(0,AC264-MAX(0,SUMPRODUCT(($C$2:$N$2=AA264)*(AH264:AS264-$C$7:$N$7))))</f>
        <v/>
      </c>
      <c r="AH264">
        <f>IF(C263&lt;=0,0,ROUND(C263*(1+IF(AND(C$6&gt;0,$B264&lt;C$6),C$4,C$5)/12),2))</f>
        <v/>
      </c>
      <c r="AI264">
        <f>IF(D263&lt;=0,0,ROUND(D263*(1+IF(AND(D$6&gt;0,$B264&lt;D$6),D$4,D$5)/12),2))</f>
        <v/>
      </c>
      <c r="AJ264">
        <f>IF(E263&lt;=0,0,ROUND(E263*(1+IF(AND(E$6&gt;0,$B264&lt;E$6),E$4,E$5)/12),2))</f>
        <v/>
      </c>
      <c r="AK264">
        <f>IF(F263&lt;=0,0,ROUND(F263*(1+IF(AND(F$6&gt;0,$B264&lt;F$6),F$4,F$5)/12),2))</f>
        <v/>
      </c>
      <c r="AL264">
        <f>IF(G263&lt;=0,0,ROUND(G263*(1+IF(AND(G$6&gt;0,$B264&lt;G$6),G$4,G$5)/12),2))</f>
        <v/>
      </c>
      <c r="AM264">
        <f>IF(H263&lt;=0,0,ROUND(H263*(1+IF(AND(H$6&gt;0,$B264&lt;H$6),H$4,H$5)/12),2))</f>
        <v/>
      </c>
      <c r="AN264">
        <f>IF(I263&lt;=0,0,ROUND(I263*(1+IF(AND(I$6&gt;0,$B264&lt;I$6),I$4,I$5)/12),2))</f>
        <v/>
      </c>
      <c r="AO264">
        <f>IF(J263&lt;=0,0,ROUND(J263*(1+IF(AND(J$6&gt;0,$B264&lt;J$6),J$4,J$5)/12),2))</f>
        <v/>
      </c>
      <c r="AP264">
        <f>IF(K263&lt;=0,0,ROUND(K263*(1+IF(AND(K$6&gt;0,$B264&lt;K$6),K$4,K$5)/12),2))</f>
        <v/>
      </c>
      <c r="AQ264">
        <f>IF(L263&lt;=0,0,ROUND(L263*(1+IF(AND(L$6&gt;0,$B264&lt;L$6),L$4,L$5)/12),2))</f>
        <v/>
      </c>
      <c r="AR264">
        <f>IF(M263&lt;=0,0,ROUND(M263*(1+IF(AND(M$6&gt;0,$B264&lt;M$6),M$4,M$5)/12),2))</f>
        <v/>
      </c>
      <c r="AS264">
        <f>IF(N263&lt;=0,0,ROUND(N263*(1+IF(AND(N$6&gt;0,$B264&lt;N$6),N$4,N$5)/12),2))</f>
        <v/>
      </c>
    </row>
    <row r="265">
      <c r="A265" t="n">
        <v>254</v>
      </c>
      <c r="B265">
        <f>EDATE(Plan!$C$6,253)</f>
        <v/>
      </c>
      <c r="C265">
        <f>IF(C264&lt;=0,0,MAX(0,AH265-O265))</f>
        <v/>
      </c>
      <c r="D265">
        <f>IF(D264&lt;=0,0,MAX(0,AI265-P265))</f>
        <v/>
      </c>
      <c r="E265">
        <f>IF(E264&lt;=0,0,MAX(0,AJ265-Q265))</f>
        <v/>
      </c>
      <c r="F265">
        <f>IF(F264&lt;=0,0,MAX(0,AK265-R265))</f>
        <v/>
      </c>
      <c r="G265">
        <f>IF(G264&lt;=0,0,MAX(0,AL265-S265))</f>
        <v/>
      </c>
      <c r="H265">
        <f>IF(H264&lt;=0,0,MAX(0,AM265-T265))</f>
        <v/>
      </c>
      <c r="I265">
        <f>IF(I264&lt;=0,0,MAX(0,AN265-U265))</f>
        <v/>
      </c>
      <c r="J265">
        <f>IF(J264&lt;=0,0,MAX(0,AO265-V265))</f>
        <v/>
      </c>
      <c r="K265">
        <f>IF(K264&lt;=0,0,MAX(0,AP265-W265))</f>
        <v/>
      </c>
      <c r="L265">
        <f>IF(L264&lt;=0,0,MAX(0,AQ265-X265))</f>
        <v/>
      </c>
      <c r="M265">
        <f>IF(M264&lt;=0,0,MAX(0,AR265-Y265))</f>
        <v/>
      </c>
      <c r="N265">
        <f>IF(N264&lt;=0,0,MAX(0,AS265-Z265))</f>
        <v/>
      </c>
      <c r="O265">
        <f>IF(C264&lt;=0,0,MIN(AH265,C$7+IF(C$2=$AA265,$AC265,IF(C$2=$AF265,$AG265,0))))</f>
        <v/>
      </c>
      <c r="P265">
        <f>IF(D264&lt;=0,0,MIN(AI265,D$7+IF(D$2=$AA265,$AC265,IF(D$2=$AF265,$AG265,0))))</f>
        <v/>
      </c>
      <c r="Q265">
        <f>IF(E264&lt;=0,0,MIN(AJ265,E$7+IF(E$2=$AA265,$AC265,IF(E$2=$AF265,$AG265,0))))</f>
        <v/>
      </c>
      <c r="R265">
        <f>IF(F264&lt;=0,0,MIN(AK265,F$7+IF(F$2=$AA265,$AC265,IF(F$2=$AF265,$AG265,0))))</f>
        <v/>
      </c>
      <c r="S265">
        <f>IF(G264&lt;=0,0,MIN(AL265,G$7+IF(G$2=$AA265,$AC265,IF(G$2=$AF265,$AG265,0))))</f>
        <v/>
      </c>
      <c r="T265">
        <f>IF(H264&lt;=0,0,MIN(AM265,H$7+IF(H$2=$AA265,$AC265,IF(H$2=$AF265,$AG265,0))))</f>
        <v/>
      </c>
      <c r="U265">
        <f>IF(I264&lt;=0,0,MIN(AN265,I$7+IF(I$2=$AA265,$AC265,IF(I$2=$AF265,$AG265,0))))</f>
        <v/>
      </c>
      <c r="V265">
        <f>IF(J264&lt;=0,0,MIN(AO265,J$7+IF(J$2=$AA265,$AC265,IF(J$2=$AF265,$AG265,0))))</f>
        <v/>
      </c>
      <c r="W265">
        <f>IF(K264&lt;=0,0,MIN(AP265,K$7+IF(K$2=$AA265,$AC265,IF(K$2=$AF265,$AG265,0))))</f>
        <v/>
      </c>
      <c r="X265">
        <f>IF(L264&lt;=0,0,MIN(AQ265,L$7+IF(L$2=$AA265,$AC265,IF(L$2=$AF265,$AG265,0))))</f>
        <v/>
      </c>
      <c r="Y265">
        <f>IF(M264&lt;=0,0,MIN(AR265,M$7+IF(M$2=$AA265,$AC265,IF(M$2=$AF265,$AG265,0))))</f>
        <v/>
      </c>
      <c r="Z265">
        <f>IF(N264&lt;=0,0,MIN(AS265,N$7+IF(N$2=$AA265,$AC265,IF(N$2=$AF265,$AG265,0))))</f>
        <v/>
      </c>
      <c r="AA265">
        <f>IFERROR(ROUND(1/SUMPRODUCT(MAX((C264:N264&gt;0)*($C$3:$N$3&lt;=B265)/$C$2:$N$2)),0),0)</f>
        <v/>
      </c>
      <c r="AB265">
        <f>SUMPRODUCT((C264:N264&gt;0)*$C$7:$N$7)</f>
        <v/>
      </c>
      <c r="AC265">
        <f>MAX(0,Plan!$C$5-AB265)+IF(A265=Plan!$C$8,N(Plan!$C$7),0)</f>
        <v/>
      </c>
      <c r="AD265">
        <f>SUM(C265:N265)</f>
        <v/>
      </c>
      <c r="AE265">
        <f>SUM(O265:Z265)</f>
        <v/>
      </c>
      <c r="AF265">
        <f>IFERROR(ROUND(1/SUMPRODUCT(MAX((C264:N264&gt;0)*($C$3:$N$3&lt;=B265)*($C$2:$N$2&gt;AA265)/$C$2:$N$2)),0),0)</f>
        <v/>
      </c>
      <c r="AG265">
        <f>MAX(0,AC265-MAX(0,SUMPRODUCT(($C$2:$N$2=AA265)*(AH265:AS265-$C$7:$N$7))))</f>
        <v/>
      </c>
      <c r="AH265">
        <f>IF(C264&lt;=0,0,ROUND(C264*(1+IF(AND(C$6&gt;0,$B265&lt;C$6),C$4,C$5)/12),2))</f>
        <v/>
      </c>
      <c r="AI265">
        <f>IF(D264&lt;=0,0,ROUND(D264*(1+IF(AND(D$6&gt;0,$B265&lt;D$6),D$4,D$5)/12),2))</f>
        <v/>
      </c>
      <c r="AJ265">
        <f>IF(E264&lt;=0,0,ROUND(E264*(1+IF(AND(E$6&gt;0,$B265&lt;E$6),E$4,E$5)/12),2))</f>
        <v/>
      </c>
      <c r="AK265">
        <f>IF(F264&lt;=0,0,ROUND(F264*(1+IF(AND(F$6&gt;0,$B265&lt;F$6),F$4,F$5)/12),2))</f>
        <v/>
      </c>
      <c r="AL265">
        <f>IF(G264&lt;=0,0,ROUND(G264*(1+IF(AND(G$6&gt;0,$B265&lt;G$6),G$4,G$5)/12),2))</f>
        <v/>
      </c>
      <c r="AM265">
        <f>IF(H264&lt;=0,0,ROUND(H264*(1+IF(AND(H$6&gt;0,$B265&lt;H$6),H$4,H$5)/12),2))</f>
        <v/>
      </c>
      <c r="AN265">
        <f>IF(I264&lt;=0,0,ROUND(I264*(1+IF(AND(I$6&gt;0,$B265&lt;I$6),I$4,I$5)/12),2))</f>
        <v/>
      </c>
      <c r="AO265">
        <f>IF(J264&lt;=0,0,ROUND(J264*(1+IF(AND(J$6&gt;0,$B265&lt;J$6),J$4,J$5)/12),2))</f>
        <v/>
      </c>
      <c r="AP265">
        <f>IF(K264&lt;=0,0,ROUND(K264*(1+IF(AND(K$6&gt;0,$B265&lt;K$6),K$4,K$5)/12),2))</f>
        <v/>
      </c>
      <c r="AQ265">
        <f>IF(L264&lt;=0,0,ROUND(L264*(1+IF(AND(L$6&gt;0,$B265&lt;L$6),L$4,L$5)/12),2))</f>
        <v/>
      </c>
      <c r="AR265">
        <f>IF(M264&lt;=0,0,ROUND(M264*(1+IF(AND(M$6&gt;0,$B265&lt;M$6),M$4,M$5)/12),2))</f>
        <v/>
      </c>
      <c r="AS265">
        <f>IF(N264&lt;=0,0,ROUND(N264*(1+IF(AND(N$6&gt;0,$B265&lt;N$6),N$4,N$5)/12),2))</f>
        <v/>
      </c>
    </row>
    <row r="266">
      <c r="A266" t="n">
        <v>255</v>
      </c>
      <c r="B266">
        <f>EDATE(Plan!$C$6,254)</f>
        <v/>
      </c>
      <c r="C266">
        <f>IF(C265&lt;=0,0,MAX(0,AH266-O266))</f>
        <v/>
      </c>
      <c r="D266">
        <f>IF(D265&lt;=0,0,MAX(0,AI266-P266))</f>
        <v/>
      </c>
      <c r="E266">
        <f>IF(E265&lt;=0,0,MAX(0,AJ266-Q266))</f>
        <v/>
      </c>
      <c r="F266">
        <f>IF(F265&lt;=0,0,MAX(0,AK266-R266))</f>
        <v/>
      </c>
      <c r="G266">
        <f>IF(G265&lt;=0,0,MAX(0,AL266-S266))</f>
        <v/>
      </c>
      <c r="H266">
        <f>IF(H265&lt;=0,0,MAX(0,AM266-T266))</f>
        <v/>
      </c>
      <c r="I266">
        <f>IF(I265&lt;=0,0,MAX(0,AN266-U266))</f>
        <v/>
      </c>
      <c r="J266">
        <f>IF(J265&lt;=0,0,MAX(0,AO266-V266))</f>
        <v/>
      </c>
      <c r="K266">
        <f>IF(K265&lt;=0,0,MAX(0,AP266-W266))</f>
        <v/>
      </c>
      <c r="L266">
        <f>IF(L265&lt;=0,0,MAX(0,AQ266-X266))</f>
        <v/>
      </c>
      <c r="M266">
        <f>IF(M265&lt;=0,0,MAX(0,AR266-Y266))</f>
        <v/>
      </c>
      <c r="N266">
        <f>IF(N265&lt;=0,0,MAX(0,AS266-Z266))</f>
        <v/>
      </c>
      <c r="O266">
        <f>IF(C265&lt;=0,0,MIN(AH266,C$7+IF(C$2=$AA266,$AC266,IF(C$2=$AF266,$AG266,0))))</f>
        <v/>
      </c>
      <c r="P266">
        <f>IF(D265&lt;=0,0,MIN(AI266,D$7+IF(D$2=$AA266,$AC266,IF(D$2=$AF266,$AG266,0))))</f>
        <v/>
      </c>
      <c r="Q266">
        <f>IF(E265&lt;=0,0,MIN(AJ266,E$7+IF(E$2=$AA266,$AC266,IF(E$2=$AF266,$AG266,0))))</f>
        <v/>
      </c>
      <c r="R266">
        <f>IF(F265&lt;=0,0,MIN(AK266,F$7+IF(F$2=$AA266,$AC266,IF(F$2=$AF266,$AG266,0))))</f>
        <v/>
      </c>
      <c r="S266">
        <f>IF(G265&lt;=0,0,MIN(AL266,G$7+IF(G$2=$AA266,$AC266,IF(G$2=$AF266,$AG266,0))))</f>
        <v/>
      </c>
      <c r="T266">
        <f>IF(H265&lt;=0,0,MIN(AM266,H$7+IF(H$2=$AA266,$AC266,IF(H$2=$AF266,$AG266,0))))</f>
        <v/>
      </c>
      <c r="U266">
        <f>IF(I265&lt;=0,0,MIN(AN266,I$7+IF(I$2=$AA266,$AC266,IF(I$2=$AF266,$AG266,0))))</f>
        <v/>
      </c>
      <c r="V266">
        <f>IF(J265&lt;=0,0,MIN(AO266,J$7+IF(J$2=$AA266,$AC266,IF(J$2=$AF266,$AG266,0))))</f>
        <v/>
      </c>
      <c r="W266">
        <f>IF(K265&lt;=0,0,MIN(AP266,K$7+IF(K$2=$AA266,$AC266,IF(K$2=$AF266,$AG266,0))))</f>
        <v/>
      </c>
      <c r="X266">
        <f>IF(L265&lt;=0,0,MIN(AQ266,L$7+IF(L$2=$AA266,$AC266,IF(L$2=$AF266,$AG266,0))))</f>
        <v/>
      </c>
      <c r="Y266">
        <f>IF(M265&lt;=0,0,MIN(AR266,M$7+IF(M$2=$AA266,$AC266,IF(M$2=$AF266,$AG266,0))))</f>
        <v/>
      </c>
      <c r="Z266">
        <f>IF(N265&lt;=0,0,MIN(AS266,N$7+IF(N$2=$AA266,$AC266,IF(N$2=$AF266,$AG266,0))))</f>
        <v/>
      </c>
      <c r="AA266">
        <f>IFERROR(ROUND(1/SUMPRODUCT(MAX((C265:N265&gt;0)*($C$3:$N$3&lt;=B266)/$C$2:$N$2)),0),0)</f>
        <v/>
      </c>
      <c r="AB266">
        <f>SUMPRODUCT((C265:N265&gt;0)*$C$7:$N$7)</f>
        <v/>
      </c>
      <c r="AC266">
        <f>MAX(0,Plan!$C$5-AB266)+IF(A266=Plan!$C$8,N(Plan!$C$7),0)</f>
        <v/>
      </c>
      <c r="AD266">
        <f>SUM(C266:N266)</f>
        <v/>
      </c>
      <c r="AE266">
        <f>SUM(O266:Z266)</f>
        <v/>
      </c>
      <c r="AF266">
        <f>IFERROR(ROUND(1/SUMPRODUCT(MAX((C265:N265&gt;0)*($C$3:$N$3&lt;=B266)*($C$2:$N$2&gt;AA266)/$C$2:$N$2)),0),0)</f>
        <v/>
      </c>
      <c r="AG266">
        <f>MAX(0,AC266-MAX(0,SUMPRODUCT(($C$2:$N$2=AA266)*(AH266:AS266-$C$7:$N$7))))</f>
        <v/>
      </c>
      <c r="AH266">
        <f>IF(C265&lt;=0,0,ROUND(C265*(1+IF(AND(C$6&gt;0,$B266&lt;C$6),C$4,C$5)/12),2))</f>
        <v/>
      </c>
      <c r="AI266">
        <f>IF(D265&lt;=0,0,ROUND(D265*(1+IF(AND(D$6&gt;0,$B266&lt;D$6),D$4,D$5)/12),2))</f>
        <v/>
      </c>
      <c r="AJ266">
        <f>IF(E265&lt;=0,0,ROUND(E265*(1+IF(AND(E$6&gt;0,$B266&lt;E$6),E$4,E$5)/12),2))</f>
        <v/>
      </c>
      <c r="AK266">
        <f>IF(F265&lt;=0,0,ROUND(F265*(1+IF(AND(F$6&gt;0,$B266&lt;F$6),F$4,F$5)/12),2))</f>
        <v/>
      </c>
      <c r="AL266">
        <f>IF(G265&lt;=0,0,ROUND(G265*(1+IF(AND(G$6&gt;0,$B266&lt;G$6),G$4,G$5)/12),2))</f>
        <v/>
      </c>
      <c r="AM266">
        <f>IF(H265&lt;=0,0,ROUND(H265*(1+IF(AND(H$6&gt;0,$B266&lt;H$6),H$4,H$5)/12),2))</f>
        <v/>
      </c>
      <c r="AN266">
        <f>IF(I265&lt;=0,0,ROUND(I265*(1+IF(AND(I$6&gt;0,$B266&lt;I$6),I$4,I$5)/12),2))</f>
        <v/>
      </c>
      <c r="AO266">
        <f>IF(J265&lt;=0,0,ROUND(J265*(1+IF(AND(J$6&gt;0,$B266&lt;J$6),J$4,J$5)/12),2))</f>
        <v/>
      </c>
      <c r="AP266">
        <f>IF(K265&lt;=0,0,ROUND(K265*(1+IF(AND(K$6&gt;0,$B266&lt;K$6),K$4,K$5)/12),2))</f>
        <v/>
      </c>
      <c r="AQ266">
        <f>IF(L265&lt;=0,0,ROUND(L265*(1+IF(AND(L$6&gt;0,$B266&lt;L$6),L$4,L$5)/12),2))</f>
        <v/>
      </c>
      <c r="AR266">
        <f>IF(M265&lt;=0,0,ROUND(M265*(1+IF(AND(M$6&gt;0,$B266&lt;M$6),M$4,M$5)/12),2))</f>
        <v/>
      </c>
      <c r="AS266">
        <f>IF(N265&lt;=0,0,ROUND(N265*(1+IF(AND(N$6&gt;0,$B266&lt;N$6),N$4,N$5)/12),2))</f>
        <v/>
      </c>
    </row>
    <row r="267">
      <c r="A267" t="n">
        <v>256</v>
      </c>
      <c r="B267">
        <f>EDATE(Plan!$C$6,255)</f>
        <v/>
      </c>
      <c r="C267">
        <f>IF(C266&lt;=0,0,MAX(0,AH267-O267))</f>
        <v/>
      </c>
      <c r="D267">
        <f>IF(D266&lt;=0,0,MAX(0,AI267-P267))</f>
        <v/>
      </c>
      <c r="E267">
        <f>IF(E266&lt;=0,0,MAX(0,AJ267-Q267))</f>
        <v/>
      </c>
      <c r="F267">
        <f>IF(F266&lt;=0,0,MAX(0,AK267-R267))</f>
        <v/>
      </c>
      <c r="G267">
        <f>IF(G266&lt;=0,0,MAX(0,AL267-S267))</f>
        <v/>
      </c>
      <c r="H267">
        <f>IF(H266&lt;=0,0,MAX(0,AM267-T267))</f>
        <v/>
      </c>
      <c r="I267">
        <f>IF(I266&lt;=0,0,MAX(0,AN267-U267))</f>
        <v/>
      </c>
      <c r="J267">
        <f>IF(J266&lt;=0,0,MAX(0,AO267-V267))</f>
        <v/>
      </c>
      <c r="K267">
        <f>IF(K266&lt;=0,0,MAX(0,AP267-W267))</f>
        <v/>
      </c>
      <c r="L267">
        <f>IF(L266&lt;=0,0,MAX(0,AQ267-X267))</f>
        <v/>
      </c>
      <c r="M267">
        <f>IF(M266&lt;=0,0,MAX(0,AR267-Y267))</f>
        <v/>
      </c>
      <c r="N267">
        <f>IF(N266&lt;=0,0,MAX(0,AS267-Z267))</f>
        <v/>
      </c>
      <c r="O267">
        <f>IF(C266&lt;=0,0,MIN(AH267,C$7+IF(C$2=$AA267,$AC267,IF(C$2=$AF267,$AG267,0))))</f>
        <v/>
      </c>
      <c r="P267">
        <f>IF(D266&lt;=0,0,MIN(AI267,D$7+IF(D$2=$AA267,$AC267,IF(D$2=$AF267,$AG267,0))))</f>
        <v/>
      </c>
      <c r="Q267">
        <f>IF(E266&lt;=0,0,MIN(AJ267,E$7+IF(E$2=$AA267,$AC267,IF(E$2=$AF267,$AG267,0))))</f>
        <v/>
      </c>
      <c r="R267">
        <f>IF(F266&lt;=0,0,MIN(AK267,F$7+IF(F$2=$AA267,$AC267,IF(F$2=$AF267,$AG267,0))))</f>
        <v/>
      </c>
      <c r="S267">
        <f>IF(G266&lt;=0,0,MIN(AL267,G$7+IF(G$2=$AA267,$AC267,IF(G$2=$AF267,$AG267,0))))</f>
        <v/>
      </c>
      <c r="T267">
        <f>IF(H266&lt;=0,0,MIN(AM267,H$7+IF(H$2=$AA267,$AC267,IF(H$2=$AF267,$AG267,0))))</f>
        <v/>
      </c>
      <c r="U267">
        <f>IF(I266&lt;=0,0,MIN(AN267,I$7+IF(I$2=$AA267,$AC267,IF(I$2=$AF267,$AG267,0))))</f>
        <v/>
      </c>
      <c r="V267">
        <f>IF(J266&lt;=0,0,MIN(AO267,J$7+IF(J$2=$AA267,$AC267,IF(J$2=$AF267,$AG267,0))))</f>
        <v/>
      </c>
      <c r="W267">
        <f>IF(K266&lt;=0,0,MIN(AP267,K$7+IF(K$2=$AA267,$AC267,IF(K$2=$AF267,$AG267,0))))</f>
        <v/>
      </c>
      <c r="X267">
        <f>IF(L266&lt;=0,0,MIN(AQ267,L$7+IF(L$2=$AA267,$AC267,IF(L$2=$AF267,$AG267,0))))</f>
        <v/>
      </c>
      <c r="Y267">
        <f>IF(M266&lt;=0,0,MIN(AR267,M$7+IF(M$2=$AA267,$AC267,IF(M$2=$AF267,$AG267,0))))</f>
        <v/>
      </c>
      <c r="Z267">
        <f>IF(N266&lt;=0,0,MIN(AS267,N$7+IF(N$2=$AA267,$AC267,IF(N$2=$AF267,$AG267,0))))</f>
        <v/>
      </c>
      <c r="AA267">
        <f>IFERROR(ROUND(1/SUMPRODUCT(MAX((C266:N266&gt;0)*($C$3:$N$3&lt;=B267)/$C$2:$N$2)),0),0)</f>
        <v/>
      </c>
      <c r="AB267">
        <f>SUMPRODUCT((C266:N266&gt;0)*$C$7:$N$7)</f>
        <v/>
      </c>
      <c r="AC267">
        <f>MAX(0,Plan!$C$5-AB267)+IF(A267=Plan!$C$8,N(Plan!$C$7),0)</f>
        <v/>
      </c>
      <c r="AD267">
        <f>SUM(C267:N267)</f>
        <v/>
      </c>
      <c r="AE267">
        <f>SUM(O267:Z267)</f>
        <v/>
      </c>
      <c r="AF267">
        <f>IFERROR(ROUND(1/SUMPRODUCT(MAX((C266:N266&gt;0)*($C$3:$N$3&lt;=B267)*($C$2:$N$2&gt;AA267)/$C$2:$N$2)),0),0)</f>
        <v/>
      </c>
      <c r="AG267">
        <f>MAX(0,AC267-MAX(0,SUMPRODUCT(($C$2:$N$2=AA267)*(AH267:AS267-$C$7:$N$7))))</f>
        <v/>
      </c>
      <c r="AH267">
        <f>IF(C266&lt;=0,0,ROUND(C266*(1+IF(AND(C$6&gt;0,$B267&lt;C$6),C$4,C$5)/12),2))</f>
        <v/>
      </c>
      <c r="AI267">
        <f>IF(D266&lt;=0,0,ROUND(D266*(1+IF(AND(D$6&gt;0,$B267&lt;D$6),D$4,D$5)/12),2))</f>
        <v/>
      </c>
      <c r="AJ267">
        <f>IF(E266&lt;=0,0,ROUND(E266*(1+IF(AND(E$6&gt;0,$B267&lt;E$6),E$4,E$5)/12),2))</f>
        <v/>
      </c>
      <c r="AK267">
        <f>IF(F266&lt;=0,0,ROUND(F266*(1+IF(AND(F$6&gt;0,$B267&lt;F$6),F$4,F$5)/12),2))</f>
        <v/>
      </c>
      <c r="AL267">
        <f>IF(G266&lt;=0,0,ROUND(G266*(1+IF(AND(G$6&gt;0,$B267&lt;G$6),G$4,G$5)/12),2))</f>
        <v/>
      </c>
      <c r="AM267">
        <f>IF(H266&lt;=0,0,ROUND(H266*(1+IF(AND(H$6&gt;0,$B267&lt;H$6),H$4,H$5)/12),2))</f>
        <v/>
      </c>
      <c r="AN267">
        <f>IF(I266&lt;=0,0,ROUND(I266*(1+IF(AND(I$6&gt;0,$B267&lt;I$6),I$4,I$5)/12),2))</f>
        <v/>
      </c>
      <c r="AO267">
        <f>IF(J266&lt;=0,0,ROUND(J266*(1+IF(AND(J$6&gt;0,$B267&lt;J$6),J$4,J$5)/12),2))</f>
        <v/>
      </c>
      <c r="AP267">
        <f>IF(K266&lt;=0,0,ROUND(K266*(1+IF(AND(K$6&gt;0,$B267&lt;K$6),K$4,K$5)/12),2))</f>
        <v/>
      </c>
      <c r="AQ267">
        <f>IF(L266&lt;=0,0,ROUND(L266*(1+IF(AND(L$6&gt;0,$B267&lt;L$6),L$4,L$5)/12),2))</f>
        <v/>
      </c>
      <c r="AR267">
        <f>IF(M266&lt;=0,0,ROUND(M266*(1+IF(AND(M$6&gt;0,$B267&lt;M$6),M$4,M$5)/12),2))</f>
        <v/>
      </c>
      <c r="AS267">
        <f>IF(N266&lt;=0,0,ROUND(N266*(1+IF(AND(N$6&gt;0,$B267&lt;N$6),N$4,N$5)/12),2))</f>
        <v/>
      </c>
    </row>
    <row r="268">
      <c r="A268" t="n">
        <v>257</v>
      </c>
      <c r="B268">
        <f>EDATE(Plan!$C$6,256)</f>
        <v/>
      </c>
      <c r="C268">
        <f>IF(C267&lt;=0,0,MAX(0,AH268-O268))</f>
        <v/>
      </c>
      <c r="D268">
        <f>IF(D267&lt;=0,0,MAX(0,AI268-P268))</f>
        <v/>
      </c>
      <c r="E268">
        <f>IF(E267&lt;=0,0,MAX(0,AJ268-Q268))</f>
        <v/>
      </c>
      <c r="F268">
        <f>IF(F267&lt;=0,0,MAX(0,AK268-R268))</f>
        <v/>
      </c>
      <c r="G268">
        <f>IF(G267&lt;=0,0,MAX(0,AL268-S268))</f>
        <v/>
      </c>
      <c r="H268">
        <f>IF(H267&lt;=0,0,MAX(0,AM268-T268))</f>
        <v/>
      </c>
      <c r="I268">
        <f>IF(I267&lt;=0,0,MAX(0,AN268-U268))</f>
        <v/>
      </c>
      <c r="J268">
        <f>IF(J267&lt;=0,0,MAX(0,AO268-V268))</f>
        <v/>
      </c>
      <c r="K268">
        <f>IF(K267&lt;=0,0,MAX(0,AP268-W268))</f>
        <v/>
      </c>
      <c r="L268">
        <f>IF(L267&lt;=0,0,MAX(0,AQ268-X268))</f>
        <v/>
      </c>
      <c r="M268">
        <f>IF(M267&lt;=0,0,MAX(0,AR268-Y268))</f>
        <v/>
      </c>
      <c r="N268">
        <f>IF(N267&lt;=0,0,MAX(0,AS268-Z268))</f>
        <v/>
      </c>
      <c r="O268">
        <f>IF(C267&lt;=0,0,MIN(AH268,C$7+IF(C$2=$AA268,$AC268,IF(C$2=$AF268,$AG268,0))))</f>
        <v/>
      </c>
      <c r="P268">
        <f>IF(D267&lt;=0,0,MIN(AI268,D$7+IF(D$2=$AA268,$AC268,IF(D$2=$AF268,$AG268,0))))</f>
        <v/>
      </c>
      <c r="Q268">
        <f>IF(E267&lt;=0,0,MIN(AJ268,E$7+IF(E$2=$AA268,$AC268,IF(E$2=$AF268,$AG268,0))))</f>
        <v/>
      </c>
      <c r="R268">
        <f>IF(F267&lt;=0,0,MIN(AK268,F$7+IF(F$2=$AA268,$AC268,IF(F$2=$AF268,$AG268,0))))</f>
        <v/>
      </c>
      <c r="S268">
        <f>IF(G267&lt;=0,0,MIN(AL268,G$7+IF(G$2=$AA268,$AC268,IF(G$2=$AF268,$AG268,0))))</f>
        <v/>
      </c>
      <c r="T268">
        <f>IF(H267&lt;=0,0,MIN(AM268,H$7+IF(H$2=$AA268,$AC268,IF(H$2=$AF268,$AG268,0))))</f>
        <v/>
      </c>
      <c r="U268">
        <f>IF(I267&lt;=0,0,MIN(AN268,I$7+IF(I$2=$AA268,$AC268,IF(I$2=$AF268,$AG268,0))))</f>
        <v/>
      </c>
      <c r="V268">
        <f>IF(J267&lt;=0,0,MIN(AO268,J$7+IF(J$2=$AA268,$AC268,IF(J$2=$AF268,$AG268,0))))</f>
        <v/>
      </c>
      <c r="W268">
        <f>IF(K267&lt;=0,0,MIN(AP268,K$7+IF(K$2=$AA268,$AC268,IF(K$2=$AF268,$AG268,0))))</f>
        <v/>
      </c>
      <c r="X268">
        <f>IF(L267&lt;=0,0,MIN(AQ268,L$7+IF(L$2=$AA268,$AC268,IF(L$2=$AF268,$AG268,0))))</f>
        <v/>
      </c>
      <c r="Y268">
        <f>IF(M267&lt;=0,0,MIN(AR268,M$7+IF(M$2=$AA268,$AC268,IF(M$2=$AF268,$AG268,0))))</f>
        <v/>
      </c>
      <c r="Z268">
        <f>IF(N267&lt;=0,0,MIN(AS268,N$7+IF(N$2=$AA268,$AC268,IF(N$2=$AF268,$AG268,0))))</f>
        <v/>
      </c>
      <c r="AA268">
        <f>IFERROR(ROUND(1/SUMPRODUCT(MAX((C267:N267&gt;0)*($C$3:$N$3&lt;=B268)/$C$2:$N$2)),0),0)</f>
        <v/>
      </c>
      <c r="AB268">
        <f>SUMPRODUCT((C267:N267&gt;0)*$C$7:$N$7)</f>
        <v/>
      </c>
      <c r="AC268">
        <f>MAX(0,Plan!$C$5-AB268)+IF(A268=Plan!$C$8,N(Plan!$C$7),0)</f>
        <v/>
      </c>
      <c r="AD268">
        <f>SUM(C268:N268)</f>
        <v/>
      </c>
      <c r="AE268">
        <f>SUM(O268:Z268)</f>
        <v/>
      </c>
      <c r="AF268">
        <f>IFERROR(ROUND(1/SUMPRODUCT(MAX((C267:N267&gt;0)*($C$3:$N$3&lt;=B268)*($C$2:$N$2&gt;AA268)/$C$2:$N$2)),0),0)</f>
        <v/>
      </c>
      <c r="AG268">
        <f>MAX(0,AC268-MAX(0,SUMPRODUCT(($C$2:$N$2=AA268)*(AH268:AS268-$C$7:$N$7))))</f>
        <v/>
      </c>
      <c r="AH268">
        <f>IF(C267&lt;=0,0,ROUND(C267*(1+IF(AND(C$6&gt;0,$B268&lt;C$6),C$4,C$5)/12),2))</f>
        <v/>
      </c>
      <c r="AI268">
        <f>IF(D267&lt;=0,0,ROUND(D267*(1+IF(AND(D$6&gt;0,$B268&lt;D$6),D$4,D$5)/12),2))</f>
        <v/>
      </c>
      <c r="AJ268">
        <f>IF(E267&lt;=0,0,ROUND(E267*(1+IF(AND(E$6&gt;0,$B268&lt;E$6),E$4,E$5)/12),2))</f>
        <v/>
      </c>
      <c r="AK268">
        <f>IF(F267&lt;=0,0,ROUND(F267*(1+IF(AND(F$6&gt;0,$B268&lt;F$6),F$4,F$5)/12),2))</f>
        <v/>
      </c>
      <c r="AL268">
        <f>IF(G267&lt;=0,0,ROUND(G267*(1+IF(AND(G$6&gt;0,$B268&lt;G$6),G$4,G$5)/12),2))</f>
        <v/>
      </c>
      <c r="AM268">
        <f>IF(H267&lt;=0,0,ROUND(H267*(1+IF(AND(H$6&gt;0,$B268&lt;H$6),H$4,H$5)/12),2))</f>
        <v/>
      </c>
      <c r="AN268">
        <f>IF(I267&lt;=0,0,ROUND(I267*(1+IF(AND(I$6&gt;0,$B268&lt;I$6),I$4,I$5)/12),2))</f>
        <v/>
      </c>
      <c r="AO268">
        <f>IF(J267&lt;=0,0,ROUND(J267*(1+IF(AND(J$6&gt;0,$B268&lt;J$6),J$4,J$5)/12),2))</f>
        <v/>
      </c>
      <c r="AP268">
        <f>IF(K267&lt;=0,0,ROUND(K267*(1+IF(AND(K$6&gt;0,$B268&lt;K$6),K$4,K$5)/12),2))</f>
        <v/>
      </c>
      <c r="AQ268">
        <f>IF(L267&lt;=0,0,ROUND(L267*(1+IF(AND(L$6&gt;0,$B268&lt;L$6),L$4,L$5)/12),2))</f>
        <v/>
      </c>
      <c r="AR268">
        <f>IF(M267&lt;=0,0,ROUND(M267*(1+IF(AND(M$6&gt;0,$B268&lt;M$6),M$4,M$5)/12),2))</f>
        <v/>
      </c>
      <c r="AS268">
        <f>IF(N267&lt;=0,0,ROUND(N267*(1+IF(AND(N$6&gt;0,$B268&lt;N$6),N$4,N$5)/12),2))</f>
        <v/>
      </c>
    </row>
    <row r="269">
      <c r="A269" t="n">
        <v>258</v>
      </c>
      <c r="B269">
        <f>EDATE(Plan!$C$6,257)</f>
        <v/>
      </c>
      <c r="C269">
        <f>IF(C268&lt;=0,0,MAX(0,AH269-O269))</f>
        <v/>
      </c>
      <c r="D269">
        <f>IF(D268&lt;=0,0,MAX(0,AI269-P269))</f>
        <v/>
      </c>
      <c r="E269">
        <f>IF(E268&lt;=0,0,MAX(0,AJ269-Q269))</f>
        <v/>
      </c>
      <c r="F269">
        <f>IF(F268&lt;=0,0,MAX(0,AK269-R269))</f>
        <v/>
      </c>
      <c r="G269">
        <f>IF(G268&lt;=0,0,MAX(0,AL269-S269))</f>
        <v/>
      </c>
      <c r="H269">
        <f>IF(H268&lt;=0,0,MAX(0,AM269-T269))</f>
        <v/>
      </c>
      <c r="I269">
        <f>IF(I268&lt;=0,0,MAX(0,AN269-U269))</f>
        <v/>
      </c>
      <c r="J269">
        <f>IF(J268&lt;=0,0,MAX(0,AO269-V269))</f>
        <v/>
      </c>
      <c r="K269">
        <f>IF(K268&lt;=0,0,MAX(0,AP269-W269))</f>
        <v/>
      </c>
      <c r="L269">
        <f>IF(L268&lt;=0,0,MAX(0,AQ269-X269))</f>
        <v/>
      </c>
      <c r="M269">
        <f>IF(M268&lt;=0,0,MAX(0,AR269-Y269))</f>
        <v/>
      </c>
      <c r="N269">
        <f>IF(N268&lt;=0,0,MAX(0,AS269-Z269))</f>
        <v/>
      </c>
      <c r="O269">
        <f>IF(C268&lt;=0,0,MIN(AH269,C$7+IF(C$2=$AA269,$AC269,IF(C$2=$AF269,$AG269,0))))</f>
        <v/>
      </c>
      <c r="P269">
        <f>IF(D268&lt;=0,0,MIN(AI269,D$7+IF(D$2=$AA269,$AC269,IF(D$2=$AF269,$AG269,0))))</f>
        <v/>
      </c>
      <c r="Q269">
        <f>IF(E268&lt;=0,0,MIN(AJ269,E$7+IF(E$2=$AA269,$AC269,IF(E$2=$AF269,$AG269,0))))</f>
        <v/>
      </c>
      <c r="R269">
        <f>IF(F268&lt;=0,0,MIN(AK269,F$7+IF(F$2=$AA269,$AC269,IF(F$2=$AF269,$AG269,0))))</f>
        <v/>
      </c>
      <c r="S269">
        <f>IF(G268&lt;=0,0,MIN(AL269,G$7+IF(G$2=$AA269,$AC269,IF(G$2=$AF269,$AG269,0))))</f>
        <v/>
      </c>
      <c r="T269">
        <f>IF(H268&lt;=0,0,MIN(AM269,H$7+IF(H$2=$AA269,$AC269,IF(H$2=$AF269,$AG269,0))))</f>
        <v/>
      </c>
      <c r="U269">
        <f>IF(I268&lt;=0,0,MIN(AN269,I$7+IF(I$2=$AA269,$AC269,IF(I$2=$AF269,$AG269,0))))</f>
        <v/>
      </c>
      <c r="V269">
        <f>IF(J268&lt;=0,0,MIN(AO269,J$7+IF(J$2=$AA269,$AC269,IF(J$2=$AF269,$AG269,0))))</f>
        <v/>
      </c>
      <c r="W269">
        <f>IF(K268&lt;=0,0,MIN(AP269,K$7+IF(K$2=$AA269,$AC269,IF(K$2=$AF269,$AG269,0))))</f>
        <v/>
      </c>
      <c r="X269">
        <f>IF(L268&lt;=0,0,MIN(AQ269,L$7+IF(L$2=$AA269,$AC269,IF(L$2=$AF269,$AG269,0))))</f>
        <v/>
      </c>
      <c r="Y269">
        <f>IF(M268&lt;=0,0,MIN(AR269,M$7+IF(M$2=$AA269,$AC269,IF(M$2=$AF269,$AG269,0))))</f>
        <v/>
      </c>
      <c r="Z269">
        <f>IF(N268&lt;=0,0,MIN(AS269,N$7+IF(N$2=$AA269,$AC269,IF(N$2=$AF269,$AG269,0))))</f>
        <v/>
      </c>
      <c r="AA269">
        <f>IFERROR(ROUND(1/SUMPRODUCT(MAX((C268:N268&gt;0)*($C$3:$N$3&lt;=B269)/$C$2:$N$2)),0),0)</f>
        <v/>
      </c>
      <c r="AB269">
        <f>SUMPRODUCT((C268:N268&gt;0)*$C$7:$N$7)</f>
        <v/>
      </c>
      <c r="AC269">
        <f>MAX(0,Plan!$C$5-AB269)+IF(A269=Plan!$C$8,N(Plan!$C$7),0)</f>
        <v/>
      </c>
      <c r="AD269">
        <f>SUM(C269:N269)</f>
        <v/>
      </c>
      <c r="AE269">
        <f>SUM(O269:Z269)</f>
        <v/>
      </c>
      <c r="AF269">
        <f>IFERROR(ROUND(1/SUMPRODUCT(MAX((C268:N268&gt;0)*($C$3:$N$3&lt;=B269)*($C$2:$N$2&gt;AA269)/$C$2:$N$2)),0),0)</f>
        <v/>
      </c>
      <c r="AG269">
        <f>MAX(0,AC269-MAX(0,SUMPRODUCT(($C$2:$N$2=AA269)*(AH269:AS269-$C$7:$N$7))))</f>
        <v/>
      </c>
      <c r="AH269">
        <f>IF(C268&lt;=0,0,ROUND(C268*(1+IF(AND(C$6&gt;0,$B269&lt;C$6),C$4,C$5)/12),2))</f>
        <v/>
      </c>
      <c r="AI269">
        <f>IF(D268&lt;=0,0,ROUND(D268*(1+IF(AND(D$6&gt;0,$B269&lt;D$6),D$4,D$5)/12),2))</f>
        <v/>
      </c>
      <c r="AJ269">
        <f>IF(E268&lt;=0,0,ROUND(E268*(1+IF(AND(E$6&gt;0,$B269&lt;E$6),E$4,E$5)/12),2))</f>
        <v/>
      </c>
      <c r="AK269">
        <f>IF(F268&lt;=0,0,ROUND(F268*(1+IF(AND(F$6&gt;0,$B269&lt;F$6),F$4,F$5)/12),2))</f>
        <v/>
      </c>
      <c r="AL269">
        <f>IF(G268&lt;=0,0,ROUND(G268*(1+IF(AND(G$6&gt;0,$B269&lt;G$6),G$4,G$5)/12),2))</f>
        <v/>
      </c>
      <c r="AM269">
        <f>IF(H268&lt;=0,0,ROUND(H268*(1+IF(AND(H$6&gt;0,$B269&lt;H$6),H$4,H$5)/12),2))</f>
        <v/>
      </c>
      <c r="AN269">
        <f>IF(I268&lt;=0,0,ROUND(I268*(1+IF(AND(I$6&gt;0,$B269&lt;I$6),I$4,I$5)/12),2))</f>
        <v/>
      </c>
      <c r="AO269">
        <f>IF(J268&lt;=0,0,ROUND(J268*(1+IF(AND(J$6&gt;0,$B269&lt;J$6),J$4,J$5)/12),2))</f>
        <v/>
      </c>
      <c r="AP269">
        <f>IF(K268&lt;=0,0,ROUND(K268*(1+IF(AND(K$6&gt;0,$B269&lt;K$6),K$4,K$5)/12),2))</f>
        <v/>
      </c>
      <c r="AQ269">
        <f>IF(L268&lt;=0,0,ROUND(L268*(1+IF(AND(L$6&gt;0,$B269&lt;L$6),L$4,L$5)/12),2))</f>
        <v/>
      </c>
      <c r="AR269">
        <f>IF(M268&lt;=0,0,ROUND(M268*(1+IF(AND(M$6&gt;0,$B269&lt;M$6),M$4,M$5)/12),2))</f>
        <v/>
      </c>
      <c r="AS269">
        <f>IF(N268&lt;=0,0,ROUND(N268*(1+IF(AND(N$6&gt;0,$B269&lt;N$6),N$4,N$5)/12),2))</f>
        <v/>
      </c>
    </row>
    <row r="270">
      <c r="A270" t="n">
        <v>259</v>
      </c>
      <c r="B270">
        <f>EDATE(Plan!$C$6,258)</f>
        <v/>
      </c>
      <c r="C270">
        <f>IF(C269&lt;=0,0,MAX(0,AH270-O270))</f>
        <v/>
      </c>
      <c r="D270">
        <f>IF(D269&lt;=0,0,MAX(0,AI270-P270))</f>
        <v/>
      </c>
      <c r="E270">
        <f>IF(E269&lt;=0,0,MAX(0,AJ270-Q270))</f>
        <v/>
      </c>
      <c r="F270">
        <f>IF(F269&lt;=0,0,MAX(0,AK270-R270))</f>
        <v/>
      </c>
      <c r="G270">
        <f>IF(G269&lt;=0,0,MAX(0,AL270-S270))</f>
        <v/>
      </c>
      <c r="H270">
        <f>IF(H269&lt;=0,0,MAX(0,AM270-T270))</f>
        <v/>
      </c>
      <c r="I270">
        <f>IF(I269&lt;=0,0,MAX(0,AN270-U270))</f>
        <v/>
      </c>
      <c r="J270">
        <f>IF(J269&lt;=0,0,MAX(0,AO270-V270))</f>
        <v/>
      </c>
      <c r="K270">
        <f>IF(K269&lt;=0,0,MAX(0,AP270-W270))</f>
        <v/>
      </c>
      <c r="L270">
        <f>IF(L269&lt;=0,0,MAX(0,AQ270-X270))</f>
        <v/>
      </c>
      <c r="M270">
        <f>IF(M269&lt;=0,0,MAX(0,AR270-Y270))</f>
        <v/>
      </c>
      <c r="N270">
        <f>IF(N269&lt;=0,0,MAX(0,AS270-Z270))</f>
        <v/>
      </c>
      <c r="O270">
        <f>IF(C269&lt;=0,0,MIN(AH270,C$7+IF(C$2=$AA270,$AC270,IF(C$2=$AF270,$AG270,0))))</f>
        <v/>
      </c>
      <c r="P270">
        <f>IF(D269&lt;=0,0,MIN(AI270,D$7+IF(D$2=$AA270,$AC270,IF(D$2=$AF270,$AG270,0))))</f>
        <v/>
      </c>
      <c r="Q270">
        <f>IF(E269&lt;=0,0,MIN(AJ270,E$7+IF(E$2=$AA270,$AC270,IF(E$2=$AF270,$AG270,0))))</f>
        <v/>
      </c>
      <c r="R270">
        <f>IF(F269&lt;=0,0,MIN(AK270,F$7+IF(F$2=$AA270,$AC270,IF(F$2=$AF270,$AG270,0))))</f>
        <v/>
      </c>
      <c r="S270">
        <f>IF(G269&lt;=0,0,MIN(AL270,G$7+IF(G$2=$AA270,$AC270,IF(G$2=$AF270,$AG270,0))))</f>
        <v/>
      </c>
      <c r="T270">
        <f>IF(H269&lt;=0,0,MIN(AM270,H$7+IF(H$2=$AA270,$AC270,IF(H$2=$AF270,$AG270,0))))</f>
        <v/>
      </c>
      <c r="U270">
        <f>IF(I269&lt;=0,0,MIN(AN270,I$7+IF(I$2=$AA270,$AC270,IF(I$2=$AF270,$AG270,0))))</f>
        <v/>
      </c>
      <c r="V270">
        <f>IF(J269&lt;=0,0,MIN(AO270,J$7+IF(J$2=$AA270,$AC270,IF(J$2=$AF270,$AG270,0))))</f>
        <v/>
      </c>
      <c r="W270">
        <f>IF(K269&lt;=0,0,MIN(AP270,K$7+IF(K$2=$AA270,$AC270,IF(K$2=$AF270,$AG270,0))))</f>
        <v/>
      </c>
      <c r="X270">
        <f>IF(L269&lt;=0,0,MIN(AQ270,L$7+IF(L$2=$AA270,$AC270,IF(L$2=$AF270,$AG270,0))))</f>
        <v/>
      </c>
      <c r="Y270">
        <f>IF(M269&lt;=0,0,MIN(AR270,M$7+IF(M$2=$AA270,$AC270,IF(M$2=$AF270,$AG270,0))))</f>
        <v/>
      </c>
      <c r="Z270">
        <f>IF(N269&lt;=0,0,MIN(AS270,N$7+IF(N$2=$AA270,$AC270,IF(N$2=$AF270,$AG270,0))))</f>
        <v/>
      </c>
      <c r="AA270">
        <f>IFERROR(ROUND(1/SUMPRODUCT(MAX((C269:N269&gt;0)*($C$3:$N$3&lt;=B270)/$C$2:$N$2)),0),0)</f>
        <v/>
      </c>
      <c r="AB270">
        <f>SUMPRODUCT((C269:N269&gt;0)*$C$7:$N$7)</f>
        <v/>
      </c>
      <c r="AC270">
        <f>MAX(0,Plan!$C$5-AB270)+IF(A270=Plan!$C$8,N(Plan!$C$7),0)</f>
        <v/>
      </c>
      <c r="AD270">
        <f>SUM(C270:N270)</f>
        <v/>
      </c>
      <c r="AE270">
        <f>SUM(O270:Z270)</f>
        <v/>
      </c>
      <c r="AF270">
        <f>IFERROR(ROUND(1/SUMPRODUCT(MAX((C269:N269&gt;0)*($C$3:$N$3&lt;=B270)*($C$2:$N$2&gt;AA270)/$C$2:$N$2)),0),0)</f>
        <v/>
      </c>
      <c r="AG270">
        <f>MAX(0,AC270-MAX(0,SUMPRODUCT(($C$2:$N$2=AA270)*(AH270:AS270-$C$7:$N$7))))</f>
        <v/>
      </c>
      <c r="AH270">
        <f>IF(C269&lt;=0,0,ROUND(C269*(1+IF(AND(C$6&gt;0,$B270&lt;C$6),C$4,C$5)/12),2))</f>
        <v/>
      </c>
      <c r="AI270">
        <f>IF(D269&lt;=0,0,ROUND(D269*(1+IF(AND(D$6&gt;0,$B270&lt;D$6),D$4,D$5)/12),2))</f>
        <v/>
      </c>
      <c r="AJ270">
        <f>IF(E269&lt;=0,0,ROUND(E269*(1+IF(AND(E$6&gt;0,$B270&lt;E$6),E$4,E$5)/12),2))</f>
        <v/>
      </c>
      <c r="AK270">
        <f>IF(F269&lt;=0,0,ROUND(F269*(1+IF(AND(F$6&gt;0,$B270&lt;F$6),F$4,F$5)/12),2))</f>
        <v/>
      </c>
      <c r="AL270">
        <f>IF(G269&lt;=0,0,ROUND(G269*(1+IF(AND(G$6&gt;0,$B270&lt;G$6),G$4,G$5)/12),2))</f>
        <v/>
      </c>
      <c r="AM270">
        <f>IF(H269&lt;=0,0,ROUND(H269*(1+IF(AND(H$6&gt;0,$B270&lt;H$6),H$4,H$5)/12),2))</f>
        <v/>
      </c>
      <c r="AN270">
        <f>IF(I269&lt;=0,0,ROUND(I269*(1+IF(AND(I$6&gt;0,$B270&lt;I$6),I$4,I$5)/12),2))</f>
        <v/>
      </c>
      <c r="AO270">
        <f>IF(J269&lt;=0,0,ROUND(J269*(1+IF(AND(J$6&gt;0,$B270&lt;J$6),J$4,J$5)/12),2))</f>
        <v/>
      </c>
      <c r="AP270">
        <f>IF(K269&lt;=0,0,ROUND(K269*(1+IF(AND(K$6&gt;0,$B270&lt;K$6),K$4,K$5)/12),2))</f>
        <v/>
      </c>
      <c r="AQ270">
        <f>IF(L269&lt;=0,0,ROUND(L269*(1+IF(AND(L$6&gt;0,$B270&lt;L$6),L$4,L$5)/12),2))</f>
        <v/>
      </c>
      <c r="AR270">
        <f>IF(M269&lt;=0,0,ROUND(M269*(1+IF(AND(M$6&gt;0,$B270&lt;M$6),M$4,M$5)/12),2))</f>
        <v/>
      </c>
      <c r="AS270">
        <f>IF(N269&lt;=0,0,ROUND(N269*(1+IF(AND(N$6&gt;0,$B270&lt;N$6),N$4,N$5)/12),2))</f>
        <v/>
      </c>
    </row>
    <row r="271">
      <c r="A271" t="n">
        <v>260</v>
      </c>
      <c r="B271">
        <f>EDATE(Plan!$C$6,259)</f>
        <v/>
      </c>
      <c r="C271">
        <f>IF(C270&lt;=0,0,MAX(0,AH271-O271))</f>
        <v/>
      </c>
      <c r="D271">
        <f>IF(D270&lt;=0,0,MAX(0,AI271-P271))</f>
        <v/>
      </c>
      <c r="E271">
        <f>IF(E270&lt;=0,0,MAX(0,AJ271-Q271))</f>
        <v/>
      </c>
      <c r="F271">
        <f>IF(F270&lt;=0,0,MAX(0,AK271-R271))</f>
        <v/>
      </c>
      <c r="G271">
        <f>IF(G270&lt;=0,0,MAX(0,AL271-S271))</f>
        <v/>
      </c>
      <c r="H271">
        <f>IF(H270&lt;=0,0,MAX(0,AM271-T271))</f>
        <v/>
      </c>
      <c r="I271">
        <f>IF(I270&lt;=0,0,MAX(0,AN271-U271))</f>
        <v/>
      </c>
      <c r="J271">
        <f>IF(J270&lt;=0,0,MAX(0,AO271-V271))</f>
        <v/>
      </c>
      <c r="K271">
        <f>IF(K270&lt;=0,0,MAX(0,AP271-W271))</f>
        <v/>
      </c>
      <c r="L271">
        <f>IF(L270&lt;=0,0,MAX(0,AQ271-X271))</f>
        <v/>
      </c>
      <c r="M271">
        <f>IF(M270&lt;=0,0,MAX(0,AR271-Y271))</f>
        <v/>
      </c>
      <c r="N271">
        <f>IF(N270&lt;=0,0,MAX(0,AS271-Z271))</f>
        <v/>
      </c>
      <c r="O271">
        <f>IF(C270&lt;=0,0,MIN(AH271,C$7+IF(C$2=$AA271,$AC271,IF(C$2=$AF271,$AG271,0))))</f>
        <v/>
      </c>
      <c r="P271">
        <f>IF(D270&lt;=0,0,MIN(AI271,D$7+IF(D$2=$AA271,$AC271,IF(D$2=$AF271,$AG271,0))))</f>
        <v/>
      </c>
      <c r="Q271">
        <f>IF(E270&lt;=0,0,MIN(AJ271,E$7+IF(E$2=$AA271,$AC271,IF(E$2=$AF271,$AG271,0))))</f>
        <v/>
      </c>
      <c r="R271">
        <f>IF(F270&lt;=0,0,MIN(AK271,F$7+IF(F$2=$AA271,$AC271,IF(F$2=$AF271,$AG271,0))))</f>
        <v/>
      </c>
      <c r="S271">
        <f>IF(G270&lt;=0,0,MIN(AL271,G$7+IF(G$2=$AA271,$AC271,IF(G$2=$AF271,$AG271,0))))</f>
        <v/>
      </c>
      <c r="T271">
        <f>IF(H270&lt;=0,0,MIN(AM271,H$7+IF(H$2=$AA271,$AC271,IF(H$2=$AF271,$AG271,0))))</f>
        <v/>
      </c>
      <c r="U271">
        <f>IF(I270&lt;=0,0,MIN(AN271,I$7+IF(I$2=$AA271,$AC271,IF(I$2=$AF271,$AG271,0))))</f>
        <v/>
      </c>
      <c r="V271">
        <f>IF(J270&lt;=0,0,MIN(AO271,J$7+IF(J$2=$AA271,$AC271,IF(J$2=$AF271,$AG271,0))))</f>
        <v/>
      </c>
      <c r="W271">
        <f>IF(K270&lt;=0,0,MIN(AP271,K$7+IF(K$2=$AA271,$AC271,IF(K$2=$AF271,$AG271,0))))</f>
        <v/>
      </c>
      <c r="X271">
        <f>IF(L270&lt;=0,0,MIN(AQ271,L$7+IF(L$2=$AA271,$AC271,IF(L$2=$AF271,$AG271,0))))</f>
        <v/>
      </c>
      <c r="Y271">
        <f>IF(M270&lt;=0,0,MIN(AR271,M$7+IF(M$2=$AA271,$AC271,IF(M$2=$AF271,$AG271,0))))</f>
        <v/>
      </c>
      <c r="Z271">
        <f>IF(N270&lt;=0,0,MIN(AS271,N$7+IF(N$2=$AA271,$AC271,IF(N$2=$AF271,$AG271,0))))</f>
        <v/>
      </c>
      <c r="AA271">
        <f>IFERROR(ROUND(1/SUMPRODUCT(MAX((C270:N270&gt;0)*($C$3:$N$3&lt;=B271)/$C$2:$N$2)),0),0)</f>
        <v/>
      </c>
      <c r="AB271">
        <f>SUMPRODUCT((C270:N270&gt;0)*$C$7:$N$7)</f>
        <v/>
      </c>
      <c r="AC271">
        <f>MAX(0,Plan!$C$5-AB271)+IF(A271=Plan!$C$8,N(Plan!$C$7),0)</f>
        <v/>
      </c>
      <c r="AD271">
        <f>SUM(C271:N271)</f>
        <v/>
      </c>
      <c r="AE271">
        <f>SUM(O271:Z271)</f>
        <v/>
      </c>
      <c r="AF271">
        <f>IFERROR(ROUND(1/SUMPRODUCT(MAX((C270:N270&gt;0)*($C$3:$N$3&lt;=B271)*($C$2:$N$2&gt;AA271)/$C$2:$N$2)),0),0)</f>
        <v/>
      </c>
      <c r="AG271">
        <f>MAX(0,AC271-MAX(0,SUMPRODUCT(($C$2:$N$2=AA271)*(AH271:AS271-$C$7:$N$7))))</f>
        <v/>
      </c>
      <c r="AH271">
        <f>IF(C270&lt;=0,0,ROUND(C270*(1+IF(AND(C$6&gt;0,$B271&lt;C$6),C$4,C$5)/12),2))</f>
        <v/>
      </c>
      <c r="AI271">
        <f>IF(D270&lt;=0,0,ROUND(D270*(1+IF(AND(D$6&gt;0,$B271&lt;D$6),D$4,D$5)/12),2))</f>
        <v/>
      </c>
      <c r="AJ271">
        <f>IF(E270&lt;=0,0,ROUND(E270*(1+IF(AND(E$6&gt;0,$B271&lt;E$6),E$4,E$5)/12),2))</f>
        <v/>
      </c>
      <c r="AK271">
        <f>IF(F270&lt;=0,0,ROUND(F270*(1+IF(AND(F$6&gt;0,$B271&lt;F$6),F$4,F$5)/12),2))</f>
        <v/>
      </c>
      <c r="AL271">
        <f>IF(G270&lt;=0,0,ROUND(G270*(1+IF(AND(G$6&gt;0,$B271&lt;G$6),G$4,G$5)/12),2))</f>
        <v/>
      </c>
      <c r="AM271">
        <f>IF(H270&lt;=0,0,ROUND(H270*(1+IF(AND(H$6&gt;0,$B271&lt;H$6),H$4,H$5)/12),2))</f>
        <v/>
      </c>
      <c r="AN271">
        <f>IF(I270&lt;=0,0,ROUND(I270*(1+IF(AND(I$6&gt;0,$B271&lt;I$6),I$4,I$5)/12),2))</f>
        <v/>
      </c>
      <c r="AO271">
        <f>IF(J270&lt;=0,0,ROUND(J270*(1+IF(AND(J$6&gt;0,$B271&lt;J$6),J$4,J$5)/12),2))</f>
        <v/>
      </c>
      <c r="AP271">
        <f>IF(K270&lt;=0,0,ROUND(K270*(1+IF(AND(K$6&gt;0,$B271&lt;K$6),K$4,K$5)/12),2))</f>
        <v/>
      </c>
      <c r="AQ271">
        <f>IF(L270&lt;=0,0,ROUND(L270*(1+IF(AND(L$6&gt;0,$B271&lt;L$6),L$4,L$5)/12),2))</f>
        <v/>
      </c>
      <c r="AR271">
        <f>IF(M270&lt;=0,0,ROUND(M270*(1+IF(AND(M$6&gt;0,$B271&lt;M$6),M$4,M$5)/12),2))</f>
        <v/>
      </c>
      <c r="AS271">
        <f>IF(N270&lt;=0,0,ROUND(N270*(1+IF(AND(N$6&gt;0,$B271&lt;N$6),N$4,N$5)/12),2))</f>
        <v/>
      </c>
    </row>
    <row r="272">
      <c r="A272" t="n">
        <v>261</v>
      </c>
      <c r="B272">
        <f>EDATE(Plan!$C$6,260)</f>
        <v/>
      </c>
      <c r="C272">
        <f>IF(C271&lt;=0,0,MAX(0,AH272-O272))</f>
        <v/>
      </c>
      <c r="D272">
        <f>IF(D271&lt;=0,0,MAX(0,AI272-P272))</f>
        <v/>
      </c>
      <c r="E272">
        <f>IF(E271&lt;=0,0,MAX(0,AJ272-Q272))</f>
        <v/>
      </c>
      <c r="F272">
        <f>IF(F271&lt;=0,0,MAX(0,AK272-R272))</f>
        <v/>
      </c>
      <c r="G272">
        <f>IF(G271&lt;=0,0,MAX(0,AL272-S272))</f>
        <v/>
      </c>
      <c r="H272">
        <f>IF(H271&lt;=0,0,MAX(0,AM272-T272))</f>
        <v/>
      </c>
      <c r="I272">
        <f>IF(I271&lt;=0,0,MAX(0,AN272-U272))</f>
        <v/>
      </c>
      <c r="J272">
        <f>IF(J271&lt;=0,0,MAX(0,AO272-V272))</f>
        <v/>
      </c>
      <c r="K272">
        <f>IF(K271&lt;=0,0,MAX(0,AP272-W272))</f>
        <v/>
      </c>
      <c r="L272">
        <f>IF(L271&lt;=0,0,MAX(0,AQ272-X272))</f>
        <v/>
      </c>
      <c r="M272">
        <f>IF(M271&lt;=0,0,MAX(0,AR272-Y272))</f>
        <v/>
      </c>
      <c r="N272">
        <f>IF(N271&lt;=0,0,MAX(0,AS272-Z272))</f>
        <v/>
      </c>
      <c r="O272">
        <f>IF(C271&lt;=0,0,MIN(AH272,C$7+IF(C$2=$AA272,$AC272,IF(C$2=$AF272,$AG272,0))))</f>
        <v/>
      </c>
      <c r="P272">
        <f>IF(D271&lt;=0,0,MIN(AI272,D$7+IF(D$2=$AA272,$AC272,IF(D$2=$AF272,$AG272,0))))</f>
        <v/>
      </c>
      <c r="Q272">
        <f>IF(E271&lt;=0,0,MIN(AJ272,E$7+IF(E$2=$AA272,$AC272,IF(E$2=$AF272,$AG272,0))))</f>
        <v/>
      </c>
      <c r="R272">
        <f>IF(F271&lt;=0,0,MIN(AK272,F$7+IF(F$2=$AA272,$AC272,IF(F$2=$AF272,$AG272,0))))</f>
        <v/>
      </c>
      <c r="S272">
        <f>IF(G271&lt;=0,0,MIN(AL272,G$7+IF(G$2=$AA272,$AC272,IF(G$2=$AF272,$AG272,0))))</f>
        <v/>
      </c>
      <c r="T272">
        <f>IF(H271&lt;=0,0,MIN(AM272,H$7+IF(H$2=$AA272,$AC272,IF(H$2=$AF272,$AG272,0))))</f>
        <v/>
      </c>
      <c r="U272">
        <f>IF(I271&lt;=0,0,MIN(AN272,I$7+IF(I$2=$AA272,$AC272,IF(I$2=$AF272,$AG272,0))))</f>
        <v/>
      </c>
      <c r="V272">
        <f>IF(J271&lt;=0,0,MIN(AO272,J$7+IF(J$2=$AA272,$AC272,IF(J$2=$AF272,$AG272,0))))</f>
        <v/>
      </c>
      <c r="W272">
        <f>IF(K271&lt;=0,0,MIN(AP272,K$7+IF(K$2=$AA272,$AC272,IF(K$2=$AF272,$AG272,0))))</f>
        <v/>
      </c>
      <c r="X272">
        <f>IF(L271&lt;=0,0,MIN(AQ272,L$7+IF(L$2=$AA272,$AC272,IF(L$2=$AF272,$AG272,0))))</f>
        <v/>
      </c>
      <c r="Y272">
        <f>IF(M271&lt;=0,0,MIN(AR272,M$7+IF(M$2=$AA272,$AC272,IF(M$2=$AF272,$AG272,0))))</f>
        <v/>
      </c>
      <c r="Z272">
        <f>IF(N271&lt;=0,0,MIN(AS272,N$7+IF(N$2=$AA272,$AC272,IF(N$2=$AF272,$AG272,0))))</f>
        <v/>
      </c>
      <c r="AA272">
        <f>IFERROR(ROUND(1/SUMPRODUCT(MAX((C271:N271&gt;0)*($C$3:$N$3&lt;=B272)/$C$2:$N$2)),0),0)</f>
        <v/>
      </c>
      <c r="AB272">
        <f>SUMPRODUCT((C271:N271&gt;0)*$C$7:$N$7)</f>
        <v/>
      </c>
      <c r="AC272">
        <f>MAX(0,Plan!$C$5-AB272)+IF(A272=Plan!$C$8,N(Plan!$C$7),0)</f>
        <v/>
      </c>
      <c r="AD272">
        <f>SUM(C272:N272)</f>
        <v/>
      </c>
      <c r="AE272">
        <f>SUM(O272:Z272)</f>
        <v/>
      </c>
      <c r="AF272">
        <f>IFERROR(ROUND(1/SUMPRODUCT(MAX((C271:N271&gt;0)*($C$3:$N$3&lt;=B272)*($C$2:$N$2&gt;AA272)/$C$2:$N$2)),0),0)</f>
        <v/>
      </c>
      <c r="AG272">
        <f>MAX(0,AC272-MAX(0,SUMPRODUCT(($C$2:$N$2=AA272)*(AH272:AS272-$C$7:$N$7))))</f>
        <v/>
      </c>
      <c r="AH272">
        <f>IF(C271&lt;=0,0,ROUND(C271*(1+IF(AND(C$6&gt;0,$B272&lt;C$6),C$4,C$5)/12),2))</f>
        <v/>
      </c>
      <c r="AI272">
        <f>IF(D271&lt;=0,0,ROUND(D271*(1+IF(AND(D$6&gt;0,$B272&lt;D$6),D$4,D$5)/12),2))</f>
        <v/>
      </c>
      <c r="AJ272">
        <f>IF(E271&lt;=0,0,ROUND(E271*(1+IF(AND(E$6&gt;0,$B272&lt;E$6),E$4,E$5)/12),2))</f>
        <v/>
      </c>
      <c r="AK272">
        <f>IF(F271&lt;=0,0,ROUND(F271*(1+IF(AND(F$6&gt;0,$B272&lt;F$6),F$4,F$5)/12),2))</f>
        <v/>
      </c>
      <c r="AL272">
        <f>IF(G271&lt;=0,0,ROUND(G271*(1+IF(AND(G$6&gt;0,$B272&lt;G$6),G$4,G$5)/12),2))</f>
        <v/>
      </c>
      <c r="AM272">
        <f>IF(H271&lt;=0,0,ROUND(H271*(1+IF(AND(H$6&gt;0,$B272&lt;H$6),H$4,H$5)/12),2))</f>
        <v/>
      </c>
      <c r="AN272">
        <f>IF(I271&lt;=0,0,ROUND(I271*(1+IF(AND(I$6&gt;0,$B272&lt;I$6),I$4,I$5)/12),2))</f>
        <v/>
      </c>
      <c r="AO272">
        <f>IF(J271&lt;=0,0,ROUND(J271*(1+IF(AND(J$6&gt;0,$B272&lt;J$6),J$4,J$5)/12),2))</f>
        <v/>
      </c>
      <c r="AP272">
        <f>IF(K271&lt;=0,0,ROUND(K271*(1+IF(AND(K$6&gt;0,$B272&lt;K$6),K$4,K$5)/12),2))</f>
        <v/>
      </c>
      <c r="AQ272">
        <f>IF(L271&lt;=0,0,ROUND(L271*(1+IF(AND(L$6&gt;0,$B272&lt;L$6),L$4,L$5)/12),2))</f>
        <v/>
      </c>
      <c r="AR272">
        <f>IF(M271&lt;=0,0,ROUND(M271*(1+IF(AND(M$6&gt;0,$B272&lt;M$6),M$4,M$5)/12),2))</f>
        <v/>
      </c>
      <c r="AS272">
        <f>IF(N271&lt;=0,0,ROUND(N271*(1+IF(AND(N$6&gt;0,$B272&lt;N$6),N$4,N$5)/12),2))</f>
        <v/>
      </c>
    </row>
    <row r="273">
      <c r="A273" t="n">
        <v>262</v>
      </c>
      <c r="B273">
        <f>EDATE(Plan!$C$6,261)</f>
        <v/>
      </c>
      <c r="C273">
        <f>IF(C272&lt;=0,0,MAX(0,AH273-O273))</f>
        <v/>
      </c>
      <c r="D273">
        <f>IF(D272&lt;=0,0,MAX(0,AI273-P273))</f>
        <v/>
      </c>
      <c r="E273">
        <f>IF(E272&lt;=0,0,MAX(0,AJ273-Q273))</f>
        <v/>
      </c>
      <c r="F273">
        <f>IF(F272&lt;=0,0,MAX(0,AK273-R273))</f>
        <v/>
      </c>
      <c r="G273">
        <f>IF(G272&lt;=0,0,MAX(0,AL273-S273))</f>
        <v/>
      </c>
      <c r="H273">
        <f>IF(H272&lt;=0,0,MAX(0,AM273-T273))</f>
        <v/>
      </c>
      <c r="I273">
        <f>IF(I272&lt;=0,0,MAX(0,AN273-U273))</f>
        <v/>
      </c>
      <c r="J273">
        <f>IF(J272&lt;=0,0,MAX(0,AO273-V273))</f>
        <v/>
      </c>
      <c r="K273">
        <f>IF(K272&lt;=0,0,MAX(0,AP273-W273))</f>
        <v/>
      </c>
      <c r="L273">
        <f>IF(L272&lt;=0,0,MAX(0,AQ273-X273))</f>
        <v/>
      </c>
      <c r="M273">
        <f>IF(M272&lt;=0,0,MAX(0,AR273-Y273))</f>
        <v/>
      </c>
      <c r="N273">
        <f>IF(N272&lt;=0,0,MAX(0,AS273-Z273))</f>
        <v/>
      </c>
      <c r="O273">
        <f>IF(C272&lt;=0,0,MIN(AH273,C$7+IF(C$2=$AA273,$AC273,IF(C$2=$AF273,$AG273,0))))</f>
        <v/>
      </c>
      <c r="P273">
        <f>IF(D272&lt;=0,0,MIN(AI273,D$7+IF(D$2=$AA273,$AC273,IF(D$2=$AF273,$AG273,0))))</f>
        <v/>
      </c>
      <c r="Q273">
        <f>IF(E272&lt;=0,0,MIN(AJ273,E$7+IF(E$2=$AA273,$AC273,IF(E$2=$AF273,$AG273,0))))</f>
        <v/>
      </c>
      <c r="R273">
        <f>IF(F272&lt;=0,0,MIN(AK273,F$7+IF(F$2=$AA273,$AC273,IF(F$2=$AF273,$AG273,0))))</f>
        <v/>
      </c>
      <c r="S273">
        <f>IF(G272&lt;=0,0,MIN(AL273,G$7+IF(G$2=$AA273,$AC273,IF(G$2=$AF273,$AG273,0))))</f>
        <v/>
      </c>
      <c r="T273">
        <f>IF(H272&lt;=0,0,MIN(AM273,H$7+IF(H$2=$AA273,$AC273,IF(H$2=$AF273,$AG273,0))))</f>
        <v/>
      </c>
      <c r="U273">
        <f>IF(I272&lt;=0,0,MIN(AN273,I$7+IF(I$2=$AA273,$AC273,IF(I$2=$AF273,$AG273,0))))</f>
        <v/>
      </c>
      <c r="V273">
        <f>IF(J272&lt;=0,0,MIN(AO273,J$7+IF(J$2=$AA273,$AC273,IF(J$2=$AF273,$AG273,0))))</f>
        <v/>
      </c>
      <c r="W273">
        <f>IF(K272&lt;=0,0,MIN(AP273,K$7+IF(K$2=$AA273,$AC273,IF(K$2=$AF273,$AG273,0))))</f>
        <v/>
      </c>
      <c r="X273">
        <f>IF(L272&lt;=0,0,MIN(AQ273,L$7+IF(L$2=$AA273,$AC273,IF(L$2=$AF273,$AG273,0))))</f>
        <v/>
      </c>
      <c r="Y273">
        <f>IF(M272&lt;=0,0,MIN(AR273,M$7+IF(M$2=$AA273,$AC273,IF(M$2=$AF273,$AG273,0))))</f>
        <v/>
      </c>
      <c r="Z273">
        <f>IF(N272&lt;=0,0,MIN(AS273,N$7+IF(N$2=$AA273,$AC273,IF(N$2=$AF273,$AG273,0))))</f>
        <v/>
      </c>
      <c r="AA273">
        <f>IFERROR(ROUND(1/SUMPRODUCT(MAX((C272:N272&gt;0)*($C$3:$N$3&lt;=B273)/$C$2:$N$2)),0),0)</f>
        <v/>
      </c>
      <c r="AB273">
        <f>SUMPRODUCT((C272:N272&gt;0)*$C$7:$N$7)</f>
        <v/>
      </c>
      <c r="AC273">
        <f>MAX(0,Plan!$C$5-AB273)+IF(A273=Plan!$C$8,N(Plan!$C$7),0)</f>
        <v/>
      </c>
      <c r="AD273">
        <f>SUM(C273:N273)</f>
        <v/>
      </c>
      <c r="AE273">
        <f>SUM(O273:Z273)</f>
        <v/>
      </c>
      <c r="AF273">
        <f>IFERROR(ROUND(1/SUMPRODUCT(MAX((C272:N272&gt;0)*($C$3:$N$3&lt;=B273)*($C$2:$N$2&gt;AA273)/$C$2:$N$2)),0),0)</f>
        <v/>
      </c>
      <c r="AG273">
        <f>MAX(0,AC273-MAX(0,SUMPRODUCT(($C$2:$N$2=AA273)*(AH273:AS273-$C$7:$N$7))))</f>
        <v/>
      </c>
      <c r="AH273">
        <f>IF(C272&lt;=0,0,ROUND(C272*(1+IF(AND(C$6&gt;0,$B273&lt;C$6),C$4,C$5)/12),2))</f>
        <v/>
      </c>
      <c r="AI273">
        <f>IF(D272&lt;=0,0,ROUND(D272*(1+IF(AND(D$6&gt;0,$B273&lt;D$6),D$4,D$5)/12),2))</f>
        <v/>
      </c>
      <c r="AJ273">
        <f>IF(E272&lt;=0,0,ROUND(E272*(1+IF(AND(E$6&gt;0,$B273&lt;E$6),E$4,E$5)/12),2))</f>
        <v/>
      </c>
      <c r="AK273">
        <f>IF(F272&lt;=0,0,ROUND(F272*(1+IF(AND(F$6&gt;0,$B273&lt;F$6),F$4,F$5)/12),2))</f>
        <v/>
      </c>
      <c r="AL273">
        <f>IF(G272&lt;=0,0,ROUND(G272*(1+IF(AND(G$6&gt;0,$B273&lt;G$6),G$4,G$5)/12),2))</f>
        <v/>
      </c>
      <c r="AM273">
        <f>IF(H272&lt;=0,0,ROUND(H272*(1+IF(AND(H$6&gt;0,$B273&lt;H$6),H$4,H$5)/12),2))</f>
        <v/>
      </c>
      <c r="AN273">
        <f>IF(I272&lt;=0,0,ROUND(I272*(1+IF(AND(I$6&gt;0,$B273&lt;I$6),I$4,I$5)/12),2))</f>
        <v/>
      </c>
      <c r="AO273">
        <f>IF(J272&lt;=0,0,ROUND(J272*(1+IF(AND(J$6&gt;0,$B273&lt;J$6),J$4,J$5)/12),2))</f>
        <v/>
      </c>
      <c r="AP273">
        <f>IF(K272&lt;=0,0,ROUND(K272*(1+IF(AND(K$6&gt;0,$B273&lt;K$6),K$4,K$5)/12),2))</f>
        <v/>
      </c>
      <c r="AQ273">
        <f>IF(L272&lt;=0,0,ROUND(L272*(1+IF(AND(L$6&gt;0,$B273&lt;L$6),L$4,L$5)/12),2))</f>
        <v/>
      </c>
      <c r="AR273">
        <f>IF(M272&lt;=0,0,ROUND(M272*(1+IF(AND(M$6&gt;0,$B273&lt;M$6),M$4,M$5)/12),2))</f>
        <v/>
      </c>
      <c r="AS273">
        <f>IF(N272&lt;=0,0,ROUND(N272*(1+IF(AND(N$6&gt;0,$B273&lt;N$6),N$4,N$5)/12),2))</f>
        <v/>
      </c>
    </row>
    <row r="274">
      <c r="A274" t="n">
        <v>263</v>
      </c>
      <c r="B274">
        <f>EDATE(Plan!$C$6,262)</f>
        <v/>
      </c>
      <c r="C274">
        <f>IF(C273&lt;=0,0,MAX(0,AH274-O274))</f>
        <v/>
      </c>
      <c r="D274">
        <f>IF(D273&lt;=0,0,MAX(0,AI274-P274))</f>
        <v/>
      </c>
      <c r="E274">
        <f>IF(E273&lt;=0,0,MAX(0,AJ274-Q274))</f>
        <v/>
      </c>
      <c r="F274">
        <f>IF(F273&lt;=0,0,MAX(0,AK274-R274))</f>
        <v/>
      </c>
      <c r="G274">
        <f>IF(G273&lt;=0,0,MAX(0,AL274-S274))</f>
        <v/>
      </c>
      <c r="H274">
        <f>IF(H273&lt;=0,0,MAX(0,AM274-T274))</f>
        <v/>
      </c>
      <c r="I274">
        <f>IF(I273&lt;=0,0,MAX(0,AN274-U274))</f>
        <v/>
      </c>
      <c r="J274">
        <f>IF(J273&lt;=0,0,MAX(0,AO274-V274))</f>
        <v/>
      </c>
      <c r="K274">
        <f>IF(K273&lt;=0,0,MAX(0,AP274-W274))</f>
        <v/>
      </c>
      <c r="L274">
        <f>IF(L273&lt;=0,0,MAX(0,AQ274-X274))</f>
        <v/>
      </c>
      <c r="M274">
        <f>IF(M273&lt;=0,0,MAX(0,AR274-Y274))</f>
        <v/>
      </c>
      <c r="N274">
        <f>IF(N273&lt;=0,0,MAX(0,AS274-Z274))</f>
        <v/>
      </c>
      <c r="O274">
        <f>IF(C273&lt;=0,0,MIN(AH274,C$7+IF(C$2=$AA274,$AC274,IF(C$2=$AF274,$AG274,0))))</f>
        <v/>
      </c>
      <c r="P274">
        <f>IF(D273&lt;=0,0,MIN(AI274,D$7+IF(D$2=$AA274,$AC274,IF(D$2=$AF274,$AG274,0))))</f>
        <v/>
      </c>
      <c r="Q274">
        <f>IF(E273&lt;=0,0,MIN(AJ274,E$7+IF(E$2=$AA274,$AC274,IF(E$2=$AF274,$AG274,0))))</f>
        <v/>
      </c>
      <c r="R274">
        <f>IF(F273&lt;=0,0,MIN(AK274,F$7+IF(F$2=$AA274,$AC274,IF(F$2=$AF274,$AG274,0))))</f>
        <v/>
      </c>
      <c r="S274">
        <f>IF(G273&lt;=0,0,MIN(AL274,G$7+IF(G$2=$AA274,$AC274,IF(G$2=$AF274,$AG274,0))))</f>
        <v/>
      </c>
      <c r="T274">
        <f>IF(H273&lt;=0,0,MIN(AM274,H$7+IF(H$2=$AA274,$AC274,IF(H$2=$AF274,$AG274,0))))</f>
        <v/>
      </c>
      <c r="U274">
        <f>IF(I273&lt;=0,0,MIN(AN274,I$7+IF(I$2=$AA274,$AC274,IF(I$2=$AF274,$AG274,0))))</f>
        <v/>
      </c>
      <c r="V274">
        <f>IF(J273&lt;=0,0,MIN(AO274,J$7+IF(J$2=$AA274,$AC274,IF(J$2=$AF274,$AG274,0))))</f>
        <v/>
      </c>
      <c r="W274">
        <f>IF(K273&lt;=0,0,MIN(AP274,K$7+IF(K$2=$AA274,$AC274,IF(K$2=$AF274,$AG274,0))))</f>
        <v/>
      </c>
      <c r="X274">
        <f>IF(L273&lt;=0,0,MIN(AQ274,L$7+IF(L$2=$AA274,$AC274,IF(L$2=$AF274,$AG274,0))))</f>
        <v/>
      </c>
      <c r="Y274">
        <f>IF(M273&lt;=0,0,MIN(AR274,M$7+IF(M$2=$AA274,$AC274,IF(M$2=$AF274,$AG274,0))))</f>
        <v/>
      </c>
      <c r="Z274">
        <f>IF(N273&lt;=0,0,MIN(AS274,N$7+IF(N$2=$AA274,$AC274,IF(N$2=$AF274,$AG274,0))))</f>
        <v/>
      </c>
      <c r="AA274">
        <f>IFERROR(ROUND(1/SUMPRODUCT(MAX((C273:N273&gt;0)*($C$3:$N$3&lt;=B274)/$C$2:$N$2)),0),0)</f>
        <v/>
      </c>
      <c r="AB274">
        <f>SUMPRODUCT((C273:N273&gt;0)*$C$7:$N$7)</f>
        <v/>
      </c>
      <c r="AC274">
        <f>MAX(0,Plan!$C$5-AB274)+IF(A274=Plan!$C$8,N(Plan!$C$7),0)</f>
        <v/>
      </c>
      <c r="AD274">
        <f>SUM(C274:N274)</f>
        <v/>
      </c>
      <c r="AE274">
        <f>SUM(O274:Z274)</f>
        <v/>
      </c>
      <c r="AF274">
        <f>IFERROR(ROUND(1/SUMPRODUCT(MAX((C273:N273&gt;0)*($C$3:$N$3&lt;=B274)*($C$2:$N$2&gt;AA274)/$C$2:$N$2)),0),0)</f>
        <v/>
      </c>
      <c r="AG274">
        <f>MAX(0,AC274-MAX(0,SUMPRODUCT(($C$2:$N$2=AA274)*(AH274:AS274-$C$7:$N$7))))</f>
        <v/>
      </c>
      <c r="AH274">
        <f>IF(C273&lt;=0,0,ROUND(C273*(1+IF(AND(C$6&gt;0,$B274&lt;C$6),C$4,C$5)/12),2))</f>
        <v/>
      </c>
      <c r="AI274">
        <f>IF(D273&lt;=0,0,ROUND(D273*(1+IF(AND(D$6&gt;0,$B274&lt;D$6),D$4,D$5)/12),2))</f>
        <v/>
      </c>
      <c r="AJ274">
        <f>IF(E273&lt;=0,0,ROUND(E273*(1+IF(AND(E$6&gt;0,$B274&lt;E$6),E$4,E$5)/12),2))</f>
        <v/>
      </c>
      <c r="AK274">
        <f>IF(F273&lt;=0,0,ROUND(F273*(1+IF(AND(F$6&gt;0,$B274&lt;F$6),F$4,F$5)/12),2))</f>
        <v/>
      </c>
      <c r="AL274">
        <f>IF(G273&lt;=0,0,ROUND(G273*(1+IF(AND(G$6&gt;0,$B274&lt;G$6),G$4,G$5)/12),2))</f>
        <v/>
      </c>
      <c r="AM274">
        <f>IF(H273&lt;=0,0,ROUND(H273*(1+IF(AND(H$6&gt;0,$B274&lt;H$6),H$4,H$5)/12),2))</f>
        <v/>
      </c>
      <c r="AN274">
        <f>IF(I273&lt;=0,0,ROUND(I273*(1+IF(AND(I$6&gt;0,$B274&lt;I$6),I$4,I$5)/12),2))</f>
        <v/>
      </c>
      <c r="AO274">
        <f>IF(J273&lt;=0,0,ROUND(J273*(1+IF(AND(J$6&gt;0,$B274&lt;J$6),J$4,J$5)/12),2))</f>
        <v/>
      </c>
      <c r="AP274">
        <f>IF(K273&lt;=0,0,ROUND(K273*(1+IF(AND(K$6&gt;0,$B274&lt;K$6),K$4,K$5)/12),2))</f>
        <v/>
      </c>
      <c r="AQ274">
        <f>IF(L273&lt;=0,0,ROUND(L273*(1+IF(AND(L$6&gt;0,$B274&lt;L$6),L$4,L$5)/12),2))</f>
        <v/>
      </c>
      <c r="AR274">
        <f>IF(M273&lt;=0,0,ROUND(M273*(1+IF(AND(M$6&gt;0,$B274&lt;M$6),M$4,M$5)/12),2))</f>
        <v/>
      </c>
      <c r="AS274">
        <f>IF(N273&lt;=0,0,ROUND(N273*(1+IF(AND(N$6&gt;0,$B274&lt;N$6),N$4,N$5)/12),2))</f>
        <v/>
      </c>
    </row>
    <row r="275">
      <c r="A275" t="n">
        <v>264</v>
      </c>
      <c r="B275">
        <f>EDATE(Plan!$C$6,263)</f>
        <v/>
      </c>
      <c r="C275">
        <f>IF(C274&lt;=0,0,MAX(0,AH275-O275))</f>
        <v/>
      </c>
      <c r="D275">
        <f>IF(D274&lt;=0,0,MAX(0,AI275-P275))</f>
        <v/>
      </c>
      <c r="E275">
        <f>IF(E274&lt;=0,0,MAX(0,AJ275-Q275))</f>
        <v/>
      </c>
      <c r="F275">
        <f>IF(F274&lt;=0,0,MAX(0,AK275-R275))</f>
        <v/>
      </c>
      <c r="G275">
        <f>IF(G274&lt;=0,0,MAX(0,AL275-S275))</f>
        <v/>
      </c>
      <c r="H275">
        <f>IF(H274&lt;=0,0,MAX(0,AM275-T275))</f>
        <v/>
      </c>
      <c r="I275">
        <f>IF(I274&lt;=0,0,MAX(0,AN275-U275))</f>
        <v/>
      </c>
      <c r="J275">
        <f>IF(J274&lt;=0,0,MAX(0,AO275-V275))</f>
        <v/>
      </c>
      <c r="K275">
        <f>IF(K274&lt;=0,0,MAX(0,AP275-W275))</f>
        <v/>
      </c>
      <c r="L275">
        <f>IF(L274&lt;=0,0,MAX(0,AQ275-X275))</f>
        <v/>
      </c>
      <c r="M275">
        <f>IF(M274&lt;=0,0,MAX(0,AR275-Y275))</f>
        <v/>
      </c>
      <c r="N275">
        <f>IF(N274&lt;=0,0,MAX(0,AS275-Z275))</f>
        <v/>
      </c>
      <c r="O275">
        <f>IF(C274&lt;=0,0,MIN(AH275,C$7+IF(C$2=$AA275,$AC275,IF(C$2=$AF275,$AG275,0))))</f>
        <v/>
      </c>
      <c r="P275">
        <f>IF(D274&lt;=0,0,MIN(AI275,D$7+IF(D$2=$AA275,$AC275,IF(D$2=$AF275,$AG275,0))))</f>
        <v/>
      </c>
      <c r="Q275">
        <f>IF(E274&lt;=0,0,MIN(AJ275,E$7+IF(E$2=$AA275,$AC275,IF(E$2=$AF275,$AG275,0))))</f>
        <v/>
      </c>
      <c r="R275">
        <f>IF(F274&lt;=0,0,MIN(AK275,F$7+IF(F$2=$AA275,$AC275,IF(F$2=$AF275,$AG275,0))))</f>
        <v/>
      </c>
      <c r="S275">
        <f>IF(G274&lt;=0,0,MIN(AL275,G$7+IF(G$2=$AA275,$AC275,IF(G$2=$AF275,$AG275,0))))</f>
        <v/>
      </c>
      <c r="T275">
        <f>IF(H274&lt;=0,0,MIN(AM275,H$7+IF(H$2=$AA275,$AC275,IF(H$2=$AF275,$AG275,0))))</f>
        <v/>
      </c>
      <c r="U275">
        <f>IF(I274&lt;=0,0,MIN(AN275,I$7+IF(I$2=$AA275,$AC275,IF(I$2=$AF275,$AG275,0))))</f>
        <v/>
      </c>
      <c r="V275">
        <f>IF(J274&lt;=0,0,MIN(AO275,J$7+IF(J$2=$AA275,$AC275,IF(J$2=$AF275,$AG275,0))))</f>
        <v/>
      </c>
      <c r="W275">
        <f>IF(K274&lt;=0,0,MIN(AP275,K$7+IF(K$2=$AA275,$AC275,IF(K$2=$AF275,$AG275,0))))</f>
        <v/>
      </c>
      <c r="X275">
        <f>IF(L274&lt;=0,0,MIN(AQ275,L$7+IF(L$2=$AA275,$AC275,IF(L$2=$AF275,$AG275,0))))</f>
        <v/>
      </c>
      <c r="Y275">
        <f>IF(M274&lt;=0,0,MIN(AR275,M$7+IF(M$2=$AA275,$AC275,IF(M$2=$AF275,$AG275,0))))</f>
        <v/>
      </c>
      <c r="Z275">
        <f>IF(N274&lt;=0,0,MIN(AS275,N$7+IF(N$2=$AA275,$AC275,IF(N$2=$AF275,$AG275,0))))</f>
        <v/>
      </c>
      <c r="AA275">
        <f>IFERROR(ROUND(1/SUMPRODUCT(MAX((C274:N274&gt;0)*($C$3:$N$3&lt;=B275)/$C$2:$N$2)),0),0)</f>
        <v/>
      </c>
      <c r="AB275">
        <f>SUMPRODUCT((C274:N274&gt;0)*$C$7:$N$7)</f>
        <v/>
      </c>
      <c r="AC275">
        <f>MAX(0,Plan!$C$5-AB275)+IF(A275=Plan!$C$8,N(Plan!$C$7),0)</f>
        <v/>
      </c>
      <c r="AD275">
        <f>SUM(C275:N275)</f>
        <v/>
      </c>
      <c r="AE275">
        <f>SUM(O275:Z275)</f>
        <v/>
      </c>
      <c r="AF275">
        <f>IFERROR(ROUND(1/SUMPRODUCT(MAX((C274:N274&gt;0)*($C$3:$N$3&lt;=B275)*($C$2:$N$2&gt;AA275)/$C$2:$N$2)),0),0)</f>
        <v/>
      </c>
      <c r="AG275">
        <f>MAX(0,AC275-MAX(0,SUMPRODUCT(($C$2:$N$2=AA275)*(AH275:AS275-$C$7:$N$7))))</f>
        <v/>
      </c>
      <c r="AH275">
        <f>IF(C274&lt;=0,0,ROUND(C274*(1+IF(AND(C$6&gt;0,$B275&lt;C$6),C$4,C$5)/12),2))</f>
        <v/>
      </c>
      <c r="AI275">
        <f>IF(D274&lt;=0,0,ROUND(D274*(1+IF(AND(D$6&gt;0,$B275&lt;D$6),D$4,D$5)/12),2))</f>
        <v/>
      </c>
      <c r="AJ275">
        <f>IF(E274&lt;=0,0,ROUND(E274*(1+IF(AND(E$6&gt;0,$B275&lt;E$6),E$4,E$5)/12),2))</f>
        <v/>
      </c>
      <c r="AK275">
        <f>IF(F274&lt;=0,0,ROUND(F274*(1+IF(AND(F$6&gt;0,$B275&lt;F$6),F$4,F$5)/12),2))</f>
        <v/>
      </c>
      <c r="AL275">
        <f>IF(G274&lt;=0,0,ROUND(G274*(1+IF(AND(G$6&gt;0,$B275&lt;G$6),G$4,G$5)/12),2))</f>
        <v/>
      </c>
      <c r="AM275">
        <f>IF(H274&lt;=0,0,ROUND(H274*(1+IF(AND(H$6&gt;0,$B275&lt;H$6),H$4,H$5)/12),2))</f>
        <v/>
      </c>
      <c r="AN275">
        <f>IF(I274&lt;=0,0,ROUND(I274*(1+IF(AND(I$6&gt;0,$B275&lt;I$6),I$4,I$5)/12),2))</f>
        <v/>
      </c>
      <c r="AO275">
        <f>IF(J274&lt;=0,0,ROUND(J274*(1+IF(AND(J$6&gt;0,$B275&lt;J$6),J$4,J$5)/12),2))</f>
        <v/>
      </c>
      <c r="AP275">
        <f>IF(K274&lt;=0,0,ROUND(K274*(1+IF(AND(K$6&gt;0,$B275&lt;K$6),K$4,K$5)/12),2))</f>
        <v/>
      </c>
      <c r="AQ275">
        <f>IF(L274&lt;=0,0,ROUND(L274*(1+IF(AND(L$6&gt;0,$B275&lt;L$6),L$4,L$5)/12),2))</f>
        <v/>
      </c>
      <c r="AR275">
        <f>IF(M274&lt;=0,0,ROUND(M274*(1+IF(AND(M$6&gt;0,$B275&lt;M$6),M$4,M$5)/12),2))</f>
        <v/>
      </c>
      <c r="AS275">
        <f>IF(N274&lt;=0,0,ROUND(N274*(1+IF(AND(N$6&gt;0,$B275&lt;N$6),N$4,N$5)/12),2))</f>
        <v/>
      </c>
    </row>
    <row r="276">
      <c r="A276" t="n">
        <v>265</v>
      </c>
      <c r="B276">
        <f>EDATE(Plan!$C$6,264)</f>
        <v/>
      </c>
      <c r="C276">
        <f>IF(C275&lt;=0,0,MAX(0,AH276-O276))</f>
        <v/>
      </c>
      <c r="D276">
        <f>IF(D275&lt;=0,0,MAX(0,AI276-P276))</f>
        <v/>
      </c>
      <c r="E276">
        <f>IF(E275&lt;=0,0,MAX(0,AJ276-Q276))</f>
        <v/>
      </c>
      <c r="F276">
        <f>IF(F275&lt;=0,0,MAX(0,AK276-R276))</f>
        <v/>
      </c>
      <c r="G276">
        <f>IF(G275&lt;=0,0,MAX(0,AL276-S276))</f>
        <v/>
      </c>
      <c r="H276">
        <f>IF(H275&lt;=0,0,MAX(0,AM276-T276))</f>
        <v/>
      </c>
      <c r="I276">
        <f>IF(I275&lt;=0,0,MAX(0,AN276-U276))</f>
        <v/>
      </c>
      <c r="J276">
        <f>IF(J275&lt;=0,0,MAX(0,AO276-V276))</f>
        <v/>
      </c>
      <c r="K276">
        <f>IF(K275&lt;=0,0,MAX(0,AP276-W276))</f>
        <v/>
      </c>
      <c r="L276">
        <f>IF(L275&lt;=0,0,MAX(0,AQ276-X276))</f>
        <v/>
      </c>
      <c r="M276">
        <f>IF(M275&lt;=0,0,MAX(0,AR276-Y276))</f>
        <v/>
      </c>
      <c r="N276">
        <f>IF(N275&lt;=0,0,MAX(0,AS276-Z276))</f>
        <v/>
      </c>
      <c r="O276">
        <f>IF(C275&lt;=0,0,MIN(AH276,C$7+IF(C$2=$AA276,$AC276,IF(C$2=$AF276,$AG276,0))))</f>
        <v/>
      </c>
      <c r="P276">
        <f>IF(D275&lt;=0,0,MIN(AI276,D$7+IF(D$2=$AA276,$AC276,IF(D$2=$AF276,$AG276,0))))</f>
        <v/>
      </c>
      <c r="Q276">
        <f>IF(E275&lt;=0,0,MIN(AJ276,E$7+IF(E$2=$AA276,$AC276,IF(E$2=$AF276,$AG276,0))))</f>
        <v/>
      </c>
      <c r="R276">
        <f>IF(F275&lt;=0,0,MIN(AK276,F$7+IF(F$2=$AA276,$AC276,IF(F$2=$AF276,$AG276,0))))</f>
        <v/>
      </c>
      <c r="S276">
        <f>IF(G275&lt;=0,0,MIN(AL276,G$7+IF(G$2=$AA276,$AC276,IF(G$2=$AF276,$AG276,0))))</f>
        <v/>
      </c>
      <c r="T276">
        <f>IF(H275&lt;=0,0,MIN(AM276,H$7+IF(H$2=$AA276,$AC276,IF(H$2=$AF276,$AG276,0))))</f>
        <v/>
      </c>
      <c r="U276">
        <f>IF(I275&lt;=0,0,MIN(AN276,I$7+IF(I$2=$AA276,$AC276,IF(I$2=$AF276,$AG276,0))))</f>
        <v/>
      </c>
      <c r="V276">
        <f>IF(J275&lt;=0,0,MIN(AO276,J$7+IF(J$2=$AA276,$AC276,IF(J$2=$AF276,$AG276,0))))</f>
        <v/>
      </c>
      <c r="W276">
        <f>IF(K275&lt;=0,0,MIN(AP276,K$7+IF(K$2=$AA276,$AC276,IF(K$2=$AF276,$AG276,0))))</f>
        <v/>
      </c>
      <c r="X276">
        <f>IF(L275&lt;=0,0,MIN(AQ276,L$7+IF(L$2=$AA276,$AC276,IF(L$2=$AF276,$AG276,0))))</f>
        <v/>
      </c>
      <c r="Y276">
        <f>IF(M275&lt;=0,0,MIN(AR276,M$7+IF(M$2=$AA276,$AC276,IF(M$2=$AF276,$AG276,0))))</f>
        <v/>
      </c>
      <c r="Z276">
        <f>IF(N275&lt;=0,0,MIN(AS276,N$7+IF(N$2=$AA276,$AC276,IF(N$2=$AF276,$AG276,0))))</f>
        <v/>
      </c>
      <c r="AA276">
        <f>IFERROR(ROUND(1/SUMPRODUCT(MAX((C275:N275&gt;0)*($C$3:$N$3&lt;=B276)/$C$2:$N$2)),0),0)</f>
        <v/>
      </c>
      <c r="AB276">
        <f>SUMPRODUCT((C275:N275&gt;0)*$C$7:$N$7)</f>
        <v/>
      </c>
      <c r="AC276">
        <f>MAX(0,Plan!$C$5-AB276)+IF(A276=Plan!$C$8,N(Plan!$C$7),0)</f>
        <v/>
      </c>
      <c r="AD276">
        <f>SUM(C276:N276)</f>
        <v/>
      </c>
      <c r="AE276">
        <f>SUM(O276:Z276)</f>
        <v/>
      </c>
      <c r="AF276">
        <f>IFERROR(ROUND(1/SUMPRODUCT(MAX((C275:N275&gt;0)*($C$3:$N$3&lt;=B276)*($C$2:$N$2&gt;AA276)/$C$2:$N$2)),0),0)</f>
        <v/>
      </c>
      <c r="AG276">
        <f>MAX(0,AC276-MAX(0,SUMPRODUCT(($C$2:$N$2=AA276)*(AH276:AS276-$C$7:$N$7))))</f>
        <v/>
      </c>
      <c r="AH276">
        <f>IF(C275&lt;=0,0,ROUND(C275*(1+IF(AND(C$6&gt;0,$B276&lt;C$6),C$4,C$5)/12),2))</f>
        <v/>
      </c>
      <c r="AI276">
        <f>IF(D275&lt;=0,0,ROUND(D275*(1+IF(AND(D$6&gt;0,$B276&lt;D$6),D$4,D$5)/12),2))</f>
        <v/>
      </c>
      <c r="AJ276">
        <f>IF(E275&lt;=0,0,ROUND(E275*(1+IF(AND(E$6&gt;0,$B276&lt;E$6),E$4,E$5)/12),2))</f>
        <v/>
      </c>
      <c r="AK276">
        <f>IF(F275&lt;=0,0,ROUND(F275*(1+IF(AND(F$6&gt;0,$B276&lt;F$6),F$4,F$5)/12),2))</f>
        <v/>
      </c>
      <c r="AL276">
        <f>IF(G275&lt;=0,0,ROUND(G275*(1+IF(AND(G$6&gt;0,$B276&lt;G$6),G$4,G$5)/12),2))</f>
        <v/>
      </c>
      <c r="AM276">
        <f>IF(H275&lt;=0,0,ROUND(H275*(1+IF(AND(H$6&gt;0,$B276&lt;H$6),H$4,H$5)/12),2))</f>
        <v/>
      </c>
      <c r="AN276">
        <f>IF(I275&lt;=0,0,ROUND(I275*(1+IF(AND(I$6&gt;0,$B276&lt;I$6),I$4,I$5)/12),2))</f>
        <v/>
      </c>
      <c r="AO276">
        <f>IF(J275&lt;=0,0,ROUND(J275*(1+IF(AND(J$6&gt;0,$B276&lt;J$6),J$4,J$5)/12),2))</f>
        <v/>
      </c>
      <c r="AP276">
        <f>IF(K275&lt;=0,0,ROUND(K275*(1+IF(AND(K$6&gt;0,$B276&lt;K$6),K$4,K$5)/12),2))</f>
        <v/>
      </c>
      <c r="AQ276">
        <f>IF(L275&lt;=0,0,ROUND(L275*(1+IF(AND(L$6&gt;0,$B276&lt;L$6),L$4,L$5)/12),2))</f>
        <v/>
      </c>
      <c r="AR276">
        <f>IF(M275&lt;=0,0,ROUND(M275*(1+IF(AND(M$6&gt;0,$B276&lt;M$6),M$4,M$5)/12),2))</f>
        <v/>
      </c>
      <c r="AS276">
        <f>IF(N275&lt;=0,0,ROUND(N275*(1+IF(AND(N$6&gt;0,$B276&lt;N$6),N$4,N$5)/12),2))</f>
        <v/>
      </c>
    </row>
    <row r="277">
      <c r="A277" t="n">
        <v>266</v>
      </c>
      <c r="B277">
        <f>EDATE(Plan!$C$6,265)</f>
        <v/>
      </c>
      <c r="C277">
        <f>IF(C276&lt;=0,0,MAX(0,AH277-O277))</f>
        <v/>
      </c>
      <c r="D277">
        <f>IF(D276&lt;=0,0,MAX(0,AI277-P277))</f>
        <v/>
      </c>
      <c r="E277">
        <f>IF(E276&lt;=0,0,MAX(0,AJ277-Q277))</f>
        <v/>
      </c>
      <c r="F277">
        <f>IF(F276&lt;=0,0,MAX(0,AK277-R277))</f>
        <v/>
      </c>
      <c r="G277">
        <f>IF(G276&lt;=0,0,MAX(0,AL277-S277))</f>
        <v/>
      </c>
      <c r="H277">
        <f>IF(H276&lt;=0,0,MAX(0,AM277-T277))</f>
        <v/>
      </c>
      <c r="I277">
        <f>IF(I276&lt;=0,0,MAX(0,AN277-U277))</f>
        <v/>
      </c>
      <c r="J277">
        <f>IF(J276&lt;=0,0,MAX(0,AO277-V277))</f>
        <v/>
      </c>
      <c r="K277">
        <f>IF(K276&lt;=0,0,MAX(0,AP277-W277))</f>
        <v/>
      </c>
      <c r="L277">
        <f>IF(L276&lt;=0,0,MAX(0,AQ277-X277))</f>
        <v/>
      </c>
      <c r="M277">
        <f>IF(M276&lt;=0,0,MAX(0,AR277-Y277))</f>
        <v/>
      </c>
      <c r="N277">
        <f>IF(N276&lt;=0,0,MAX(0,AS277-Z277))</f>
        <v/>
      </c>
      <c r="O277">
        <f>IF(C276&lt;=0,0,MIN(AH277,C$7+IF(C$2=$AA277,$AC277,IF(C$2=$AF277,$AG277,0))))</f>
        <v/>
      </c>
      <c r="P277">
        <f>IF(D276&lt;=0,0,MIN(AI277,D$7+IF(D$2=$AA277,$AC277,IF(D$2=$AF277,$AG277,0))))</f>
        <v/>
      </c>
      <c r="Q277">
        <f>IF(E276&lt;=0,0,MIN(AJ277,E$7+IF(E$2=$AA277,$AC277,IF(E$2=$AF277,$AG277,0))))</f>
        <v/>
      </c>
      <c r="R277">
        <f>IF(F276&lt;=0,0,MIN(AK277,F$7+IF(F$2=$AA277,$AC277,IF(F$2=$AF277,$AG277,0))))</f>
        <v/>
      </c>
      <c r="S277">
        <f>IF(G276&lt;=0,0,MIN(AL277,G$7+IF(G$2=$AA277,$AC277,IF(G$2=$AF277,$AG277,0))))</f>
        <v/>
      </c>
      <c r="T277">
        <f>IF(H276&lt;=0,0,MIN(AM277,H$7+IF(H$2=$AA277,$AC277,IF(H$2=$AF277,$AG277,0))))</f>
        <v/>
      </c>
      <c r="U277">
        <f>IF(I276&lt;=0,0,MIN(AN277,I$7+IF(I$2=$AA277,$AC277,IF(I$2=$AF277,$AG277,0))))</f>
        <v/>
      </c>
      <c r="V277">
        <f>IF(J276&lt;=0,0,MIN(AO277,J$7+IF(J$2=$AA277,$AC277,IF(J$2=$AF277,$AG277,0))))</f>
        <v/>
      </c>
      <c r="W277">
        <f>IF(K276&lt;=0,0,MIN(AP277,K$7+IF(K$2=$AA277,$AC277,IF(K$2=$AF277,$AG277,0))))</f>
        <v/>
      </c>
      <c r="X277">
        <f>IF(L276&lt;=0,0,MIN(AQ277,L$7+IF(L$2=$AA277,$AC277,IF(L$2=$AF277,$AG277,0))))</f>
        <v/>
      </c>
      <c r="Y277">
        <f>IF(M276&lt;=0,0,MIN(AR277,M$7+IF(M$2=$AA277,$AC277,IF(M$2=$AF277,$AG277,0))))</f>
        <v/>
      </c>
      <c r="Z277">
        <f>IF(N276&lt;=0,0,MIN(AS277,N$7+IF(N$2=$AA277,$AC277,IF(N$2=$AF277,$AG277,0))))</f>
        <v/>
      </c>
      <c r="AA277">
        <f>IFERROR(ROUND(1/SUMPRODUCT(MAX((C276:N276&gt;0)*($C$3:$N$3&lt;=B277)/$C$2:$N$2)),0),0)</f>
        <v/>
      </c>
      <c r="AB277">
        <f>SUMPRODUCT((C276:N276&gt;0)*$C$7:$N$7)</f>
        <v/>
      </c>
      <c r="AC277">
        <f>MAX(0,Plan!$C$5-AB277)+IF(A277=Plan!$C$8,N(Plan!$C$7),0)</f>
        <v/>
      </c>
      <c r="AD277">
        <f>SUM(C277:N277)</f>
        <v/>
      </c>
      <c r="AE277">
        <f>SUM(O277:Z277)</f>
        <v/>
      </c>
      <c r="AF277">
        <f>IFERROR(ROUND(1/SUMPRODUCT(MAX((C276:N276&gt;0)*($C$3:$N$3&lt;=B277)*($C$2:$N$2&gt;AA277)/$C$2:$N$2)),0),0)</f>
        <v/>
      </c>
      <c r="AG277">
        <f>MAX(0,AC277-MAX(0,SUMPRODUCT(($C$2:$N$2=AA277)*(AH277:AS277-$C$7:$N$7))))</f>
        <v/>
      </c>
      <c r="AH277">
        <f>IF(C276&lt;=0,0,ROUND(C276*(1+IF(AND(C$6&gt;0,$B277&lt;C$6),C$4,C$5)/12),2))</f>
        <v/>
      </c>
      <c r="AI277">
        <f>IF(D276&lt;=0,0,ROUND(D276*(1+IF(AND(D$6&gt;0,$B277&lt;D$6),D$4,D$5)/12),2))</f>
        <v/>
      </c>
      <c r="AJ277">
        <f>IF(E276&lt;=0,0,ROUND(E276*(1+IF(AND(E$6&gt;0,$B277&lt;E$6),E$4,E$5)/12),2))</f>
        <v/>
      </c>
      <c r="AK277">
        <f>IF(F276&lt;=0,0,ROUND(F276*(1+IF(AND(F$6&gt;0,$B277&lt;F$6),F$4,F$5)/12),2))</f>
        <v/>
      </c>
      <c r="AL277">
        <f>IF(G276&lt;=0,0,ROUND(G276*(1+IF(AND(G$6&gt;0,$B277&lt;G$6),G$4,G$5)/12),2))</f>
        <v/>
      </c>
      <c r="AM277">
        <f>IF(H276&lt;=0,0,ROUND(H276*(1+IF(AND(H$6&gt;0,$B277&lt;H$6),H$4,H$5)/12),2))</f>
        <v/>
      </c>
      <c r="AN277">
        <f>IF(I276&lt;=0,0,ROUND(I276*(1+IF(AND(I$6&gt;0,$B277&lt;I$6),I$4,I$5)/12),2))</f>
        <v/>
      </c>
      <c r="AO277">
        <f>IF(J276&lt;=0,0,ROUND(J276*(1+IF(AND(J$6&gt;0,$B277&lt;J$6),J$4,J$5)/12),2))</f>
        <v/>
      </c>
      <c r="AP277">
        <f>IF(K276&lt;=0,0,ROUND(K276*(1+IF(AND(K$6&gt;0,$B277&lt;K$6),K$4,K$5)/12),2))</f>
        <v/>
      </c>
      <c r="AQ277">
        <f>IF(L276&lt;=0,0,ROUND(L276*(1+IF(AND(L$6&gt;0,$B277&lt;L$6),L$4,L$5)/12),2))</f>
        <v/>
      </c>
      <c r="AR277">
        <f>IF(M276&lt;=0,0,ROUND(M276*(1+IF(AND(M$6&gt;0,$B277&lt;M$6),M$4,M$5)/12),2))</f>
        <v/>
      </c>
      <c r="AS277">
        <f>IF(N276&lt;=0,0,ROUND(N276*(1+IF(AND(N$6&gt;0,$B277&lt;N$6),N$4,N$5)/12),2))</f>
        <v/>
      </c>
    </row>
    <row r="278">
      <c r="A278" t="n">
        <v>267</v>
      </c>
      <c r="B278">
        <f>EDATE(Plan!$C$6,266)</f>
        <v/>
      </c>
      <c r="C278">
        <f>IF(C277&lt;=0,0,MAX(0,AH278-O278))</f>
        <v/>
      </c>
      <c r="D278">
        <f>IF(D277&lt;=0,0,MAX(0,AI278-P278))</f>
        <v/>
      </c>
      <c r="E278">
        <f>IF(E277&lt;=0,0,MAX(0,AJ278-Q278))</f>
        <v/>
      </c>
      <c r="F278">
        <f>IF(F277&lt;=0,0,MAX(0,AK278-R278))</f>
        <v/>
      </c>
      <c r="G278">
        <f>IF(G277&lt;=0,0,MAX(0,AL278-S278))</f>
        <v/>
      </c>
      <c r="H278">
        <f>IF(H277&lt;=0,0,MAX(0,AM278-T278))</f>
        <v/>
      </c>
      <c r="I278">
        <f>IF(I277&lt;=0,0,MAX(0,AN278-U278))</f>
        <v/>
      </c>
      <c r="J278">
        <f>IF(J277&lt;=0,0,MAX(0,AO278-V278))</f>
        <v/>
      </c>
      <c r="K278">
        <f>IF(K277&lt;=0,0,MAX(0,AP278-W278))</f>
        <v/>
      </c>
      <c r="L278">
        <f>IF(L277&lt;=0,0,MAX(0,AQ278-X278))</f>
        <v/>
      </c>
      <c r="M278">
        <f>IF(M277&lt;=0,0,MAX(0,AR278-Y278))</f>
        <v/>
      </c>
      <c r="N278">
        <f>IF(N277&lt;=0,0,MAX(0,AS278-Z278))</f>
        <v/>
      </c>
      <c r="O278">
        <f>IF(C277&lt;=0,0,MIN(AH278,C$7+IF(C$2=$AA278,$AC278,IF(C$2=$AF278,$AG278,0))))</f>
        <v/>
      </c>
      <c r="P278">
        <f>IF(D277&lt;=0,0,MIN(AI278,D$7+IF(D$2=$AA278,$AC278,IF(D$2=$AF278,$AG278,0))))</f>
        <v/>
      </c>
      <c r="Q278">
        <f>IF(E277&lt;=0,0,MIN(AJ278,E$7+IF(E$2=$AA278,$AC278,IF(E$2=$AF278,$AG278,0))))</f>
        <v/>
      </c>
      <c r="R278">
        <f>IF(F277&lt;=0,0,MIN(AK278,F$7+IF(F$2=$AA278,$AC278,IF(F$2=$AF278,$AG278,0))))</f>
        <v/>
      </c>
      <c r="S278">
        <f>IF(G277&lt;=0,0,MIN(AL278,G$7+IF(G$2=$AA278,$AC278,IF(G$2=$AF278,$AG278,0))))</f>
        <v/>
      </c>
      <c r="T278">
        <f>IF(H277&lt;=0,0,MIN(AM278,H$7+IF(H$2=$AA278,$AC278,IF(H$2=$AF278,$AG278,0))))</f>
        <v/>
      </c>
      <c r="U278">
        <f>IF(I277&lt;=0,0,MIN(AN278,I$7+IF(I$2=$AA278,$AC278,IF(I$2=$AF278,$AG278,0))))</f>
        <v/>
      </c>
      <c r="V278">
        <f>IF(J277&lt;=0,0,MIN(AO278,J$7+IF(J$2=$AA278,$AC278,IF(J$2=$AF278,$AG278,0))))</f>
        <v/>
      </c>
      <c r="W278">
        <f>IF(K277&lt;=0,0,MIN(AP278,K$7+IF(K$2=$AA278,$AC278,IF(K$2=$AF278,$AG278,0))))</f>
        <v/>
      </c>
      <c r="X278">
        <f>IF(L277&lt;=0,0,MIN(AQ278,L$7+IF(L$2=$AA278,$AC278,IF(L$2=$AF278,$AG278,0))))</f>
        <v/>
      </c>
      <c r="Y278">
        <f>IF(M277&lt;=0,0,MIN(AR278,M$7+IF(M$2=$AA278,$AC278,IF(M$2=$AF278,$AG278,0))))</f>
        <v/>
      </c>
      <c r="Z278">
        <f>IF(N277&lt;=0,0,MIN(AS278,N$7+IF(N$2=$AA278,$AC278,IF(N$2=$AF278,$AG278,0))))</f>
        <v/>
      </c>
      <c r="AA278">
        <f>IFERROR(ROUND(1/SUMPRODUCT(MAX((C277:N277&gt;0)*($C$3:$N$3&lt;=B278)/$C$2:$N$2)),0),0)</f>
        <v/>
      </c>
      <c r="AB278">
        <f>SUMPRODUCT((C277:N277&gt;0)*$C$7:$N$7)</f>
        <v/>
      </c>
      <c r="AC278">
        <f>MAX(0,Plan!$C$5-AB278)+IF(A278=Plan!$C$8,N(Plan!$C$7),0)</f>
        <v/>
      </c>
      <c r="AD278">
        <f>SUM(C278:N278)</f>
        <v/>
      </c>
      <c r="AE278">
        <f>SUM(O278:Z278)</f>
        <v/>
      </c>
      <c r="AF278">
        <f>IFERROR(ROUND(1/SUMPRODUCT(MAX((C277:N277&gt;0)*($C$3:$N$3&lt;=B278)*($C$2:$N$2&gt;AA278)/$C$2:$N$2)),0),0)</f>
        <v/>
      </c>
      <c r="AG278">
        <f>MAX(0,AC278-MAX(0,SUMPRODUCT(($C$2:$N$2=AA278)*(AH278:AS278-$C$7:$N$7))))</f>
        <v/>
      </c>
      <c r="AH278">
        <f>IF(C277&lt;=0,0,ROUND(C277*(1+IF(AND(C$6&gt;0,$B278&lt;C$6),C$4,C$5)/12),2))</f>
        <v/>
      </c>
      <c r="AI278">
        <f>IF(D277&lt;=0,0,ROUND(D277*(1+IF(AND(D$6&gt;0,$B278&lt;D$6),D$4,D$5)/12),2))</f>
        <v/>
      </c>
      <c r="AJ278">
        <f>IF(E277&lt;=0,0,ROUND(E277*(1+IF(AND(E$6&gt;0,$B278&lt;E$6),E$4,E$5)/12),2))</f>
        <v/>
      </c>
      <c r="AK278">
        <f>IF(F277&lt;=0,0,ROUND(F277*(1+IF(AND(F$6&gt;0,$B278&lt;F$6),F$4,F$5)/12),2))</f>
        <v/>
      </c>
      <c r="AL278">
        <f>IF(G277&lt;=0,0,ROUND(G277*(1+IF(AND(G$6&gt;0,$B278&lt;G$6),G$4,G$5)/12),2))</f>
        <v/>
      </c>
      <c r="AM278">
        <f>IF(H277&lt;=0,0,ROUND(H277*(1+IF(AND(H$6&gt;0,$B278&lt;H$6),H$4,H$5)/12),2))</f>
        <v/>
      </c>
      <c r="AN278">
        <f>IF(I277&lt;=0,0,ROUND(I277*(1+IF(AND(I$6&gt;0,$B278&lt;I$6),I$4,I$5)/12),2))</f>
        <v/>
      </c>
      <c r="AO278">
        <f>IF(J277&lt;=0,0,ROUND(J277*(1+IF(AND(J$6&gt;0,$B278&lt;J$6),J$4,J$5)/12),2))</f>
        <v/>
      </c>
      <c r="AP278">
        <f>IF(K277&lt;=0,0,ROUND(K277*(1+IF(AND(K$6&gt;0,$B278&lt;K$6),K$4,K$5)/12),2))</f>
        <v/>
      </c>
      <c r="AQ278">
        <f>IF(L277&lt;=0,0,ROUND(L277*(1+IF(AND(L$6&gt;0,$B278&lt;L$6),L$4,L$5)/12),2))</f>
        <v/>
      </c>
      <c r="AR278">
        <f>IF(M277&lt;=0,0,ROUND(M277*(1+IF(AND(M$6&gt;0,$B278&lt;M$6),M$4,M$5)/12),2))</f>
        <v/>
      </c>
      <c r="AS278">
        <f>IF(N277&lt;=0,0,ROUND(N277*(1+IF(AND(N$6&gt;0,$B278&lt;N$6),N$4,N$5)/12),2))</f>
        <v/>
      </c>
    </row>
    <row r="279">
      <c r="A279" t="n">
        <v>268</v>
      </c>
      <c r="B279">
        <f>EDATE(Plan!$C$6,267)</f>
        <v/>
      </c>
      <c r="C279">
        <f>IF(C278&lt;=0,0,MAX(0,AH279-O279))</f>
        <v/>
      </c>
      <c r="D279">
        <f>IF(D278&lt;=0,0,MAX(0,AI279-P279))</f>
        <v/>
      </c>
      <c r="E279">
        <f>IF(E278&lt;=0,0,MAX(0,AJ279-Q279))</f>
        <v/>
      </c>
      <c r="F279">
        <f>IF(F278&lt;=0,0,MAX(0,AK279-R279))</f>
        <v/>
      </c>
      <c r="G279">
        <f>IF(G278&lt;=0,0,MAX(0,AL279-S279))</f>
        <v/>
      </c>
      <c r="H279">
        <f>IF(H278&lt;=0,0,MAX(0,AM279-T279))</f>
        <v/>
      </c>
      <c r="I279">
        <f>IF(I278&lt;=0,0,MAX(0,AN279-U279))</f>
        <v/>
      </c>
      <c r="J279">
        <f>IF(J278&lt;=0,0,MAX(0,AO279-V279))</f>
        <v/>
      </c>
      <c r="K279">
        <f>IF(K278&lt;=0,0,MAX(0,AP279-W279))</f>
        <v/>
      </c>
      <c r="L279">
        <f>IF(L278&lt;=0,0,MAX(0,AQ279-X279))</f>
        <v/>
      </c>
      <c r="M279">
        <f>IF(M278&lt;=0,0,MAX(0,AR279-Y279))</f>
        <v/>
      </c>
      <c r="N279">
        <f>IF(N278&lt;=0,0,MAX(0,AS279-Z279))</f>
        <v/>
      </c>
      <c r="O279">
        <f>IF(C278&lt;=0,0,MIN(AH279,C$7+IF(C$2=$AA279,$AC279,IF(C$2=$AF279,$AG279,0))))</f>
        <v/>
      </c>
      <c r="P279">
        <f>IF(D278&lt;=0,0,MIN(AI279,D$7+IF(D$2=$AA279,$AC279,IF(D$2=$AF279,$AG279,0))))</f>
        <v/>
      </c>
      <c r="Q279">
        <f>IF(E278&lt;=0,0,MIN(AJ279,E$7+IF(E$2=$AA279,$AC279,IF(E$2=$AF279,$AG279,0))))</f>
        <v/>
      </c>
      <c r="R279">
        <f>IF(F278&lt;=0,0,MIN(AK279,F$7+IF(F$2=$AA279,$AC279,IF(F$2=$AF279,$AG279,0))))</f>
        <v/>
      </c>
      <c r="S279">
        <f>IF(G278&lt;=0,0,MIN(AL279,G$7+IF(G$2=$AA279,$AC279,IF(G$2=$AF279,$AG279,0))))</f>
        <v/>
      </c>
      <c r="T279">
        <f>IF(H278&lt;=0,0,MIN(AM279,H$7+IF(H$2=$AA279,$AC279,IF(H$2=$AF279,$AG279,0))))</f>
        <v/>
      </c>
      <c r="U279">
        <f>IF(I278&lt;=0,0,MIN(AN279,I$7+IF(I$2=$AA279,$AC279,IF(I$2=$AF279,$AG279,0))))</f>
        <v/>
      </c>
      <c r="V279">
        <f>IF(J278&lt;=0,0,MIN(AO279,J$7+IF(J$2=$AA279,$AC279,IF(J$2=$AF279,$AG279,0))))</f>
        <v/>
      </c>
      <c r="W279">
        <f>IF(K278&lt;=0,0,MIN(AP279,K$7+IF(K$2=$AA279,$AC279,IF(K$2=$AF279,$AG279,0))))</f>
        <v/>
      </c>
      <c r="X279">
        <f>IF(L278&lt;=0,0,MIN(AQ279,L$7+IF(L$2=$AA279,$AC279,IF(L$2=$AF279,$AG279,0))))</f>
        <v/>
      </c>
      <c r="Y279">
        <f>IF(M278&lt;=0,0,MIN(AR279,M$7+IF(M$2=$AA279,$AC279,IF(M$2=$AF279,$AG279,0))))</f>
        <v/>
      </c>
      <c r="Z279">
        <f>IF(N278&lt;=0,0,MIN(AS279,N$7+IF(N$2=$AA279,$AC279,IF(N$2=$AF279,$AG279,0))))</f>
        <v/>
      </c>
      <c r="AA279">
        <f>IFERROR(ROUND(1/SUMPRODUCT(MAX((C278:N278&gt;0)*($C$3:$N$3&lt;=B279)/$C$2:$N$2)),0),0)</f>
        <v/>
      </c>
      <c r="AB279">
        <f>SUMPRODUCT((C278:N278&gt;0)*$C$7:$N$7)</f>
        <v/>
      </c>
      <c r="AC279">
        <f>MAX(0,Plan!$C$5-AB279)+IF(A279=Plan!$C$8,N(Plan!$C$7),0)</f>
        <v/>
      </c>
      <c r="AD279">
        <f>SUM(C279:N279)</f>
        <v/>
      </c>
      <c r="AE279">
        <f>SUM(O279:Z279)</f>
        <v/>
      </c>
      <c r="AF279">
        <f>IFERROR(ROUND(1/SUMPRODUCT(MAX((C278:N278&gt;0)*($C$3:$N$3&lt;=B279)*($C$2:$N$2&gt;AA279)/$C$2:$N$2)),0),0)</f>
        <v/>
      </c>
      <c r="AG279">
        <f>MAX(0,AC279-MAX(0,SUMPRODUCT(($C$2:$N$2=AA279)*(AH279:AS279-$C$7:$N$7))))</f>
        <v/>
      </c>
      <c r="AH279">
        <f>IF(C278&lt;=0,0,ROUND(C278*(1+IF(AND(C$6&gt;0,$B279&lt;C$6),C$4,C$5)/12),2))</f>
        <v/>
      </c>
      <c r="AI279">
        <f>IF(D278&lt;=0,0,ROUND(D278*(1+IF(AND(D$6&gt;0,$B279&lt;D$6),D$4,D$5)/12),2))</f>
        <v/>
      </c>
      <c r="AJ279">
        <f>IF(E278&lt;=0,0,ROUND(E278*(1+IF(AND(E$6&gt;0,$B279&lt;E$6),E$4,E$5)/12),2))</f>
        <v/>
      </c>
      <c r="AK279">
        <f>IF(F278&lt;=0,0,ROUND(F278*(1+IF(AND(F$6&gt;0,$B279&lt;F$6),F$4,F$5)/12),2))</f>
        <v/>
      </c>
      <c r="AL279">
        <f>IF(G278&lt;=0,0,ROUND(G278*(1+IF(AND(G$6&gt;0,$B279&lt;G$6),G$4,G$5)/12),2))</f>
        <v/>
      </c>
      <c r="AM279">
        <f>IF(H278&lt;=0,0,ROUND(H278*(1+IF(AND(H$6&gt;0,$B279&lt;H$6),H$4,H$5)/12),2))</f>
        <v/>
      </c>
      <c r="AN279">
        <f>IF(I278&lt;=0,0,ROUND(I278*(1+IF(AND(I$6&gt;0,$B279&lt;I$6),I$4,I$5)/12),2))</f>
        <v/>
      </c>
      <c r="AO279">
        <f>IF(J278&lt;=0,0,ROUND(J278*(1+IF(AND(J$6&gt;0,$B279&lt;J$6),J$4,J$5)/12),2))</f>
        <v/>
      </c>
      <c r="AP279">
        <f>IF(K278&lt;=0,0,ROUND(K278*(1+IF(AND(K$6&gt;0,$B279&lt;K$6),K$4,K$5)/12),2))</f>
        <v/>
      </c>
      <c r="AQ279">
        <f>IF(L278&lt;=0,0,ROUND(L278*(1+IF(AND(L$6&gt;0,$B279&lt;L$6),L$4,L$5)/12),2))</f>
        <v/>
      </c>
      <c r="AR279">
        <f>IF(M278&lt;=0,0,ROUND(M278*(1+IF(AND(M$6&gt;0,$B279&lt;M$6),M$4,M$5)/12),2))</f>
        <v/>
      </c>
      <c r="AS279">
        <f>IF(N278&lt;=0,0,ROUND(N278*(1+IF(AND(N$6&gt;0,$B279&lt;N$6),N$4,N$5)/12),2))</f>
        <v/>
      </c>
    </row>
    <row r="280">
      <c r="A280" t="n">
        <v>269</v>
      </c>
      <c r="B280">
        <f>EDATE(Plan!$C$6,268)</f>
        <v/>
      </c>
      <c r="C280">
        <f>IF(C279&lt;=0,0,MAX(0,AH280-O280))</f>
        <v/>
      </c>
      <c r="D280">
        <f>IF(D279&lt;=0,0,MAX(0,AI280-P280))</f>
        <v/>
      </c>
      <c r="E280">
        <f>IF(E279&lt;=0,0,MAX(0,AJ280-Q280))</f>
        <v/>
      </c>
      <c r="F280">
        <f>IF(F279&lt;=0,0,MAX(0,AK280-R280))</f>
        <v/>
      </c>
      <c r="G280">
        <f>IF(G279&lt;=0,0,MAX(0,AL280-S280))</f>
        <v/>
      </c>
      <c r="H280">
        <f>IF(H279&lt;=0,0,MAX(0,AM280-T280))</f>
        <v/>
      </c>
      <c r="I280">
        <f>IF(I279&lt;=0,0,MAX(0,AN280-U280))</f>
        <v/>
      </c>
      <c r="J280">
        <f>IF(J279&lt;=0,0,MAX(0,AO280-V280))</f>
        <v/>
      </c>
      <c r="K280">
        <f>IF(K279&lt;=0,0,MAX(0,AP280-W280))</f>
        <v/>
      </c>
      <c r="L280">
        <f>IF(L279&lt;=0,0,MAX(0,AQ280-X280))</f>
        <v/>
      </c>
      <c r="M280">
        <f>IF(M279&lt;=0,0,MAX(0,AR280-Y280))</f>
        <v/>
      </c>
      <c r="N280">
        <f>IF(N279&lt;=0,0,MAX(0,AS280-Z280))</f>
        <v/>
      </c>
      <c r="O280">
        <f>IF(C279&lt;=0,0,MIN(AH280,C$7+IF(C$2=$AA280,$AC280,IF(C$2=$AF280,$AG280,0))))</f>
        <v/>
      </c>
      <c r="P280">
        <f>IF(D279&lt;=0,0,MIN(AI280,D$7+IF(D$2=$AA280,$AC280,IF(D$2=$AF280,$AG280,0))))</f>
        <v/>
      </c>
      <c r="Q280">
        <f>IF(E279&lt;=0,0,MIN(AJ280,E$7+IF(E$2=$AA280,$AC280,IF(E$2=$AF280,$AG280,0))))</f>
        <v/>
      </c>
      <c r="R280">
        <f>IF(F279&lt;=0,0,MIN(AK280,F$7+IF(F$2=$AA280,$AC280,IF(F$2=$AF280,$AG280,0))))</f>
        <v/>
      </c>
      <c r="S280">
        <f>IF(G279&lt;=0,0,MIN(AL280,G$7+IF(G$2=$AA280,$AC280,IF(G$2=$AF280,$AG280,0))))</f>
        <v/>
      </c>
      <c r="T280">
        <f>IF(H279&lt;=0,0,MIN(AM280,H$7+IF(H$2=$AA280,$AC280,IF(H$2=$AF280,$AG280,0))))</f>
        <v/>
      </c>
      <c r="U280">
        <f>IF(I279&lt;=0,0,MIN(AN280,I$7+IF(I$2=$AA280,$AC280,IF(I$2=$AF280,$AG280,0))))</f>
        <v/>
      </c>
      <c r="V280">
        <f>IF(J279&lt;=0,0,MIN(AO280,J$7+IF(J$2=$AA280,$AC280,IF(J$2=$AF280,$AG280,0))))</f>
        <v/>
      </c>
      <c r="W280">
        <f>IF(K279&lt;=0,0,MIN(AP280,K$7+IF(K$2=$AA280,$AC280,IF(K$2=$AF280,$AG280,0))))</f>
        <v/>
      </c>
      <c r="X280">
        <f>IF(L279&lt;=0,0,MIN(AQ280,L$7+IF(L$2=$AA280,$AC280,IF(L$2=$AF280,$AG280,0))))</f>
        <v/>
      </c>
      <c r="Y280">
        <f>IF(M279&lt;=0,0,MIN(AR280,M$7+IF(M$2=$AA280,$AC280,IF(M$2=$AF280,$AG280,0))))</f>
        <v/>
      </c>
      <c r="Z280">
        <f>IF(N279&lt;=0,0,MIN(AS280,N$7+IF(N$2=$AA280,$AC280,IF(N$2=$AF280,$AG280,0))))</f>
        <v/>
      </c>
      <c r="AA280">
        <f>IFERROR(ROUND(1/SUMPRODUCT(MAX((C279:N279&gt;0)*($C$3:$N$3&lt;=B280)/$C$2:$N$2)),0),0)</f>
        <v/>
      </c>
      <c r="AB280">
        <f>SUMPRODUCT((C279:N279&gt;0)*$C$7:$N$7)</f>
        <v/>
      </c>
      <c r="AC280">
        <f>MAX(0,Plan!$C$5-AB280)+IF(A280=Plan!$C$8,N(Plan!$C$7),0)</f>
        <v/>
      </c>
      <c r="AD280">
        <f>SUM(C280:N280)</f>
        <v/>
      </c>
      <c r="AE280">
        <f>SUM(O280:Z280)</f>
        <v/>
      </c>
      <c r="AF280">
        <f>IFERROR(ROUND(1/SUMPRODUCT(MAX((C279:N279&gt;0)*($C$3:$N$3&lt;=B280)*($C$2:$N$2&gt;AA280)/$C$2:$N$2)),0),0)</f>
        <v/>
      </c>
      <c r="AG280">
        <f>MAX(0,AC280-MAX(0,SUMPRODUCT(($C$2:$N$2=AA280)*(AH280:AS280-$C$7:$N$7))))</f>
        <v/>
      </c>
      <c r="AH280">
        <f>IF(C279&lt;=0,0,ROUND(C279*(1+IF(AND(C$6&gt;0,$B280&lt;C$6),C$4,C$5)/12),2))</f>
        <v/>
      </c>
      <c r="AI280">
        <f>IF(D279&lt;=0,0,ROUND(D279*(1+IF(AND(D$6&gt;0,$B280&lt;D$6),D$4,D$5)/12),2))</f>
        <v/>
      </c>
      <c r="AJ280">
        <f>IF(E279&lt;=0,0,ROUND(E279*(1+IF(AND(E$6&gt;0,$B280&lt;E$6),E$4,E$5)/12),2))</f>
        <v/>
      </c>
      <c r="AK280">
        <f>IF(F279&lt;=0,0,ROUND(F279*(1+IF(AND(F$6&gt;0,$B280&lt;F$6),F$4,F$5)/12),2))</f>
        <v/>
      </c>
      <c r="AL280">
        <f>IF(G279&lt;=0,0,ROUND(G279*(1+IF(AND(G$6&gt;0,$B280&lt;G$6),G$4,G$5)/12),2))</f>
        <v/>
      </c>
      <c r="AM280">
        <f>IF(H279&lt;=0,0,ROUND(H279*(1+IF(AND(H$6&gt;0,$B280&lt;H$6),H$4,H$5)/12),2))</f>
        <v/>
      </c>
      <c r="AN280">
        <f>IF(I279&lt;=0,0,ROUND(I279*(1+IF(AND(I$6&gt;0,$B280&lt;I$6),I$4,I$5)/12),2))</f>
        <v/>
      </c>
      <c r="AO280">
        <f>IF(J279&lt;=0,0,ROUND(J279*(1+IF(AND(J$6&gt;0,$B280&lt;J$6),J$4,J$5)/12),2))</f>
        <v/>
      </c>
      <c r="AP280">
        <f>IF(K279&lt;=0,0,ROUND(K279*(1+IF(AND(K$6&gt;0,$B280&lt;K$6),K$4,K$5)/12),2))</f>
        <v/>
      </c>
      <c r="AQ280">
        <f>IF(L279&lt;=0,0,ROUND(L279*(1+IF(AND(L$6&gt;0,$B280&lt;L$6),L$4,L$5)/12),2))</f>
        <v/>
      </c>
      <c r="AR280">
        <f>IF(M279&lt;=0,0,ROUND(M279*(1+IF(AND(M$6&gt;0,$B280&lt;M$6),M$4,M$5)/12),2))</f>
        <v/>
      </c>
      <c r="AS280">
        <f>IF(N279&lt;=0,0,ROUND(N279*(1+IF(AND(N$6&gt;0,$B280&lt;N$6),N$4,N$5)/12),2))</f>
        <v/>
      </c>
    </row>
    <row r="281">
      <c r="A281" t="n">
        <v>270</v>
      </c>
      <c r="B281">
        <f>EDATE(Plan!$C$6,269)</f>
        <v/>
      </c>
      <c r="C281">
        <f>IF(C280&lt;=0,0,MAX(0,AH281-O281))</f>
        <v/>
      </c>
      <c r="D281">
        <f>IF(D280&lt;=0,0,MAX(0,AI281-P281))</f>
        <v/>
      </c>
      <c r="E281">
        <f>IF(E280&lt;=0,0,MAX(0,AJ281-Q281))</f>
        <v/>
      </c>
      <c r="F281">
        <f>IF(F280&lt;=0,0,MAX(0,AK281-R281))</f>
        <v/>
      </c>
      <c r="G281">
        <f>IF(G280&lt;=0,0,MAX(0,AL281-S281))</f>
        <v/>
      </c>
      <c r="H281">
        <f>IF(H280&lt;=0,0,MAX(0,AM281-T281))</f>
        <v/>
      </c>
      <c r="I281">
        <f>IF(I280&lt;=0,0,MAX(0,AN281-U281))</f>
        <v/>
      </c>
      <c r="J281">
        <f>IF(J280&lt;=0,0,MAX(0,AO281-V281))</f>
        <v/>
      </c>
      <c r="K281">
        <f>IF(K280&lt;=0,0,MAX(0,AP281-W281))</f>
        <v/>
      </c>
      <c r="L281">
        <f>IF(L280&lt;=0,0,MAX(0,AQ281-X281))</f>
        <v/>
      </c>
      <c r="M281">
        <f>IF(M280&lt;=0,0,MAX(0,AR281-Y281))</f>
        <v/>
      </c>
      <c r="N281">
        <f>IF(N280&lt;=0,0,MAX(0,AS281-Z281))</f>
        <v/>
      </c>
      <c r="O281">
        <f>IF(C280&lt;=0,0,MIN(AH281,C$7+IF(C$2=$AA281,$AC281,IF(C$2=$AF281,$AG281,0))))</f>
        <v/>
      </c>
      <c r="P281">
        <f>IF(D280&lt;=0,0,MIN(AI281,D$7+IF(D$2=$AA281,$AC281,IF(D$2=$AF281,$AG281,0))))</f>
        <v/>
      </c>
      <c r="Q281">
        <f>IF(E280&lt;=0,0,MIN(AJ281,E$7+IF(E$2=$AA281,$AC281,IF(E$2=$AF281,$AG281,0))))</f>
        <v/>
      </c>
      <c r="R281">
        <f>IF(F280&lt;=0,0,MIN(AK281,F$7+IF(F$2=$AA281,$AC281,IF(F$2=$AF281,$AG281,0))))</f>
        <v/>
      </c>
      <c r="S281">
        <f>IF(G280&lt;=0,0,MIN(AL281,G$7+IF(G$2=$AA281,$AC281,IF(G$2=$AF281,$AG281,0))))</f>
        <v/>
      </c>
      <c r="T281">
        <f>IF(H280&lt;=0,0,MIN(AM281,H$7+IF(H$2=$AA281,$AC281,IF(H$2=$AF281,$AG281,0))))</f>
        <v/>
      </c>
      <c r="U281">
        <f>IF(I280&lt;=0,0,MIN(AN281,I$7+IF(I$2=$AA281,$AC281,IF(I$2=$AF281,$AG281,0))))</f>
        <v/>
      </c>
      <c r="V281">
        <f>IF(J280&lt;=0,0,MIN(AO281,J$7+IF(J$2=$AA281,$AC281,IF(J$2=$AF281,$AG281,0))))</f>
        <v/>
      </c>
      <c r="W281">
        <f>IF(K280&lt;=0,0,MIN(AP281,K$7+IF(K$2=$AA281,$AC281,IF(K$2=$AF281,$AG281,0))))</f>
        <v/>
      </c>
      <c r="X281">
        <f>IF(L280&lt;=0,0,MIN(AQ281,L$7+IF(L$2=$AA281,$AC281,IF(L$2=$AF281,$AG281,0))))</f>
        <v/>
      </c>
      <c r="Y281">
        <f>IF(M280&lt;=0,0,MIN(AR281,M$7+IF(M$2=$AA281,$AC281,IF(M$2=$AF281,$AG281,0))))</f>
        <v/>
      </c>
      <c r="Z281">
        <f>IF(N280&lt;=0,0,MIN(AS281,N$7+IF(N$2=$AA281,$AC281,IF(N$2=$AF281,$AG281,0))))</f>
        <v/>
      </c>
      <c r="AA281">
        <f>IFERROR(ROUND(1/SUMPRODUCT(MAX((C280:N280&gt;0)*($C$3:$N$3&lt;=B281)/$C$2:$N$2)),0),0)</f>
        <v/>
      </c>
      <c r="AB281">
        <f>SUMPRODUCT((C280:N280&gt;0)*$C$7:$N$7)</f>
        <v/>
      </c>
      <c r="AC281">
        <f>MAX(0,Plan!$C$5-AB281)+IF(A281=Plan!$C$8,N(Plan!$C$7),0)</f>
        <v/>
      </c>
      <c r="AD281">
        <f>SUM(C281:N281)</f>
        <v/>
      </c>
      <c r="AE281">
        <f>SUM(O281:Z281)</f>
        <v/>
      </c>
      <c r="AF281">
        <f>IFERROR(ROUND(1/SUMPRODUCT(MAX((C280:N280&gt;0)*($C$3:$N$3&lt;=B281)*($C$2:$N$2&gt;AA281)/$C$2:$N$2)),0),0)</f>
        <v/>
      </c>
      <c r="AG281">
        <f>MAX(0,AC281-MAX(0,SUMPRODUCT(($C$2:$N$2=AA281)*(AH281:AS281-$C$7:$N$7))))</f>
        <v/>
      </c>
      <c r="AH281">
        <f>IF(C280&lt;=0,0,ROUND(C280*(1+IF(AND(C$6&gt;0,$B281&lt;C$6),C$4,C$5)/12),2))</f>
        <v/>
      </c>
      <c r="AI281">
        <f>IF(D280&lt;=0,0,ROUND(D280*(1+IF(AND(D$6&gt;0,$B281&lt;D$6),D$4,D$5)/12),2))</f>
        <v/>
      </c>
      <c r="AJ281">
        <f>IF(E280&lt;=0,0,ROUND(E280*(1+IF(AND(E$6&gt;0,$B281&lt;E$6),E$4,E$5)/12),2))</f>
        <v/>
      </c>
      <c r="AK281">
        <f>IF(F280&lt;=0,0,ROUND(F280*(1+IF(AND(F$6&gt;0,$B281&lt;F$6),F$4,F$5)/12),2))</f>
        <v/>
      </c>
      <c r="AL281">
        <f>IF(G280&lt;=0,0,ROUND(G280*(1+IF(AND(G$6&gt;0,$B281&lt;G$6),G$4,G$5)/12),2))</f>
        <v/>
      </c>
      <c r="AM281">
        <f>IF(H280&lt;=0,0,ROUND(H280*(1+IF(AND(H$6&gt;0,$B281&lt;H$6),H$4,H$5)/12),2))</f>
        <v/>
      </c>
      <c r="AN281">
        <f>IF(I280&lt;=0,0,ROUND(I280*(1+IF(AND(I$6&gt;0,$B281&lt;I$6),I$4,I$5)/12),2))</f>
        <v/>
      </c>
      <c r="AO281">
        <f>IF(J280&lt;=0,0,ROUND(J280*(1+IF(AND(J$6&gt;0,$B281&lt;J$6),J$4,J$5)/12),2))</f>
        <v/>
      </c>
      <c r="AP281">
        <f>IF(K280&lt;=0,0,ROUND(K280*(1+IF(AND(K$6&gt;0,$B281&lt;K$6),K$4,K$5)/12),2))</f>
        <v/>
      </c>
      <c r="AQ281">
        <f>IF(L280&lt;=0,0,ROUND(L280*(1+IF(AND(L$6&gt;0,$B281&lt;L$6),L$4,L$5)/12),2))</f>
        <v/>
      </c>
      <c r="AR281">
        <f>IF(M280&lt;=0,0,ROUND(M280*(1+IF(AND(M$6&gt;0,$B281&lt;M$6),M$4,M$5)/12),2))</f>
        <v/>
      </c>
      <c r="AS281">
        <f>IF(N280&lt;=0,0,ROUND(N280*(1+IF(AND(N$6&gt;0,$B281&lt;N$6),N$4,N$5)/12),2))</f>
        <v/>
      </c>
    </row>
    <row r="282">
      <c r="A282" t="n">
        <v>271</v>
      </c>
      <c r="B282">
        <f>EDATE(Plan!$C$6,270)</f>
        <v/>
      </c>
      <c r="C282">
        <f>IF(C281&lt;=0,0,MAX(0,AH282-O282))</f>
        <v/>
      </c>
      <c r="D282">
        <f>IF(D281&lt;=0,0,MAX(0,AI282-P282))</f>
        <v/>
      </c>
      <c r="E282">
        <f>IF(E281&lt;=0,0,MAX(0,AJ282-Q282))</f>
        <v/>
      </c>
      <c r="F282">
        <f>IF(F281&lt;=0,0,MAX(0,AK282-R282))</f>
        <v/>
      </c>
      <c r="G282">
        <f>IF(G281&lt;=0,0,MAX(0,AL282-S282))</f>
        <v/>
      </c>
      <c r="H282">
        <f>IF(H281&lt;=0,0,MAX(0,AM282-T282))</f>
        <v/>
      </c>
      <c r="I282">
        <f>IF(I281&lt;=0,0,MAX(0,AN282-U282))</f>
        <v/>
      </c>
      <c r="J282">
        <f>IF(J281&lt;=0,0,MAX(0,AO282-V282))</f>
        <v/>
      </c>
      <c r="K282">
        <f>IF(K281&lt;=0,0,MAX(0,AP282-W282))</f>
        <v/>
      </c>
      <c r="L282">
        <f>IF(L281&lt;=0,0,MAX(0,AQ282-X282))</f>
        <v/>
      </c>
      <c r="M282">
        <f>IF(M281&lt;=0,0,MAX(0,AR282-Y282))</f>
        <v/>
      </c>
      <c r="N282">
        <f>IF(N281&lt;=0,0,MAX(0,AS282-Z282))</f>
        <v/>
      </c>
      <c r="O282">
        <f>IF(C281&lt;=0,0,MIN(AH282,C$7+IF(C$2=$AA282,$AC282,IF(C$2=$AF282,$AG282,0))))</f>
        <v/>
      </c>
      <c r="P282">
        <f>IF(D281&lt;=0,0,MIN(AI282,D$7+IF(D$2=$AA282,$AC282,IF(D$2=$AF282,$AG282,0))))</f>
        <v/>
      </c>
      <c r="Q282">
        <f>IF(E281&lt;=0,0,MIN(AJ282,E$7+IF(E$2=$AA282,$AC282,IF(E$2=$AF282,$AG282,0))))</f>
        <v/>
      </c>
      <c r="R282">
        <f>IF(F281&lt;=0,0,MIN(AK282,F$7+IF(F$2=$AA282,$AC282,IF(F$2=$AF282,$AG282,0))))</f>
        <v/>
      </c>
      <c r="S282">
        <f>IF(G281&lt;=0,0,MIN(AL282,G$7+IF(G$2=$AA282,$AC282,IF(G$2=$AF282,$AG282,0))))</f>
        <v/>
      </c>
      <c r="T282">
        <f>IF(H281&lt;=0,0,MIN(AM282,H$7+IF(H$2=$AA282,$AC282,IF(H$2=$AF282,$AG282,0))))</f>
        <v/>
      </c>
      <c r="U282">
        <f>IF(I281&lt;=0,0,MIN(AN282,I$7+IF(I$2=$AA282,$AC282,IF(I$2=$AF282,$AG282,0))))</f>
        <v/>
      </c>
      <c r="V282">
        <f>IF(J281&lt;=0,0,MIN(AO282,J$7+IF(J$2=$AA282,$AC282,IF(J$2=$AF282,$AG282,0))))</f>
        <v/>
      </c>
      <c r="W282">
        <f>IF(K281&lt;=0,0,MIN(AP282,K$7+IF(K$2=$AA282,$AC282,IF(K$2=$AF282,$AG282,0))))</f>
        <v/>
      </c>
      <c r="X282">
        <f>IF(L281&lt;=0,0,MIN(AQ282,L$7+IF(L$2=$AA282,$AC282,IF(L$2=$AF282,$AG282,0))))</f>
        <v/>
      </c>
      <c r="Y282">
        <f>IF(M281&lt;=0,0,MIN(AR282,M$7+IF(M$2=$AA282,$AC282,IF(M$2=$AF282,$AG282,0))))</f>
        <v/>
      </c>
      <c r="Z282">
        <f>IF(N281&lt;=0,0,MIN(AS282,N$7+IF(N$2=$AA282,$AC282,IF(N$2=$AF282,$AG282,0))))</f>
        <v/>
      </c>
      <c r="AA282">
        <f>IFERROR(ROUND(1/SUMPRODUCT(MAX((C281:N281&gt;0)*($C$3:$N$3&lt;=B282)/$C$2:$N$2)),0),0)</f>
        <v/>
      </c>
      <c r="AB282">
        <f>SUMPRODUCT((C281:N281&gt;0)*$C$7:$N$7)</f>
        <v/>
      </c>
      <c r="AC282">
        <f>MAX(0,Plan!$C$5-AB282)+IF(A282=Plan!$C$8,N(Plan!$C$7),0)</f>
        <v/>
      </c>
      <c r="AD282">
        <f>SUM(C282:N282)</f>
        <v/>
      </c>
      <c r="AE282">
        <f>SUM(O282:Z282)</f>
        <v/>
      </c>
      <c r="AF282">
        <f>IFERROR(ROUND(1/SUMPRODUCT(MAX((C281:N281&gt;0)*($C$3:$N$3&lt;=B282)*($C$2:$N$2&gt;AA282)/$C$2:$N$2)),0),0)</f>
        <v/>
      </c>
      <c r="AG282">
        <f>MAX(0,AC282-MAX(0,SUMPRODUCT(($C$2:$N$2=AA282)*(AH282:AS282-$C$7:$N$7))))</f>
        <v/>
      </c>
      <c r="AH282">
        <f>IF(C281&lt;=0,0,ROUND(C281*(1+IF(AND(C$6&gt;0,$B282&lt;C$6),C$4,C$5)/12),2))</f>
        <v/>
      </c>
      <c r="AI282">
        <f>IF(D281&lt;=0,0,ROUND(D281*(1+IF(AND(D$6&gt;0,$B282&lt;D$6),D$4,D$5)/12),2))</f>
        <v/>
      </c>
      <c r="AJ282">
        <f>IF(E281&lt;=0,0,ROUND(E281*(1+IF(AND(E$6&gt;0,$B282&lt;E$6),E$4,E$5)/12),2))</f>
        <v/>
      </c>
      <c r="AK282">
        <f>IF(F281&lt;=0,0,ROUND(F281*(1+IF(AND(F$6&gt;0,$B282&lt;F$6),F$4,F$5)/12),2))</f>
        <v/>
      </c>
      <c r="AL282">
        <f>IF(G281&lt;=0,0,ROUND(G281*(1+IF(AND(G$6&gt;0,$B282&lt;G$6),G$4,G$5)/12),2))</f>
        <v/>
      </c>
      <c r="AM282">
        <f>IF(H281&lt;=0,0,ROUND(H281*(1+IF(AND(H$6&gt;0,$B282&lt;H$6),H$4,H$5)/12),2))</f>
        <v/>
      </c>
      <c r="AN282">
        <f>IF(I281&lt;=0,0,ROUND(I281*(1+IF(AND(I$6&gt;0,$B282&lt;I$6),I$4,I$5)/12),2))</f>
        <v/>
      </c>
      <c r="AO282">
        <f>IF(J281&lt;=0,0,ROUND(J281*(1+IF(AND(J$6&gt;0,$B282&lt;J$6),J$4,J$5)/12),2))</f>
        <v/>
      </c>
      <c r="AP282">
        <f>IF(K281&lt;=0,0,ROUND(K281*(1+IF(AND(K$6&gt;0,$B282&lt;K$6),K$4,K$5)/12),2))</f>
        <v/>
      </c>
      <c r="AQ282">
        <f>IF(L281&lt;=0,0,ROUND(L281*(1+IF(AND(L$6&gt;0,$B282&lt;L$6),L$4,L$5)/12),2))</f>
        <v/>
      </c>
      <c r="AR282">
        <f>IF(M281&lt;=0,0,ROUND(M281*(1+IF(AND(M$6&gt;0,$B282&lt;M$6),M$4,M$5)/12),2))</f>
        <v/>
      </c>
      <c r="AS282">
        <f>IF(N281&lt;=0,0,ROUND(N281*(1+IF(AND(N$6&gt;0,$B282&lt;N$6),N$4,N$5)/12),2))</f>
        <v/>
      </c>
    </row>
    <row r="283">
      <c r="A283" t="n">
        <v>272</v>
      </c>
      <c r="B283">
        <f>EDATE(Plan!$C$6,271)</f>
        <v/>
      </c>
      <c r="C283">
        <f>IF(C282&lt;=0,0,MAX(0,AH283-O283))</f>
        <v/>
      </c>
      <c r="D283">
        <f>IF(D282&lt;=0,0,MAX(0,AI283-P283))</f>
        <v/>
      </c>
      <c r="E283">
        <f>IF(E282&lt;=0,0,MAX(0,AJ283-Q283))</f>
        <v/>
      </c>
      <c r="F283">
        <f>IF(F282&lt;=0,0,MAX(0,AK283-R283))</f>
        <v/>
      </c>
      <c r="G283">
        <f>IF(G282&lt;=0,0,MAX(0,AL283-S283))</f>
        <v/>
      </c>
      <c r="H283">
        <f>IF(H282&lt;=0,0,MAX(0,AM283-T283))</f>
        <v/>
      </c>
      <c r="I283">
        <f>IF(I282&lt;=0,0,MAX(0,AN283-U283))</f>
        <v/>
      </c>
      <c r="J283">
        <f>IF(J282&lt;=0,0,MAX(0,AO283-V283))</f>
        <v/>
      </c>
      <c r="K283">
        <f>IF(K282&lt;=0,0,MAX(0,AP283-W283))</f>
        <v/>
      </c>
      <c r="L283">
        <f>IF(L282&lt;=0,0,MAX(0,AQ283-X283))</f>
        <v/>
      </c>
      <c r="M283">
        <f>IF(M282&lt;=0,0,MAX(0,AR283-Y283))</f>
        <v/>
      </c>
      <c r="N283">
        <f>IF(N282&lt;=0,0,MAX(0,AS283-Z283))</f>
        <v/>
      </c>
      <c r="O283">
        <f>IF(C282&lt;=0,0,MIN(AH283,C$7+IF(C$2=$AA283,$AC283,IF(C$2=$AF283,$AG283,0))))</f>
        <v/>
      </c>
      <c r="P283">
        <f>IF(D282&lt;=0,0,MIN(AI283,D$7+IF(D$2=$AA283,$AC283,IF(D$2=$AF283,$AG283,0))))</f>
        <v/>
      </c>
      <c r="Q283">
        <f>IF(E282&lt;=0,0,MIN(AJ283,E$7+IF(E$2=$AA283,$AC283,IF(E$2=$AF283,$AG283,0))))</f>
        <v/>
      </c>
      <c r="R283">
        <f>IF(F282&lt;=0,0,MIN(AK283,F$7+IF(F$2=$AA283,$AC283,IF(F$2=$AF283,$AG283,0))))</f>
        <v/>
      </c>
      <c r="S283">
        <f>IF(G282&lt;=0,0,MIN(AL283,G$7+IF(G$2=$AA283,$AC283,IF(G$2=$AF283,$AG283,0))))</f>
        <v/>
      </c>
      <c r="T283">
        <f>IF(H282&lt;=0,0,MIN(AM283,H$7+IF(H$2=$AA283,$AC283,IF(H$2=$AF283,$AG283,0))))</f>
        <v/>
      </c>
      <c r="U283">
        <f>IF(I282&lt;=0,0,MIN(AN283,I$7+IF(I$2=$AA283,$AC283,IF(I$2=$AF283,$AG283,0))))</f>
        <v/>
      </c>
      <c r="V283">
        <f>IF(J282&lt;=0,0,MIN(AO283,J$7+IF(J$2=$AA283,$AC283,IF(J$2=$AF283,$AG283,0))))</f>
        <v/>
      </c>
      <c r="W283">
        <f>IF(K282&lt;=0,0,MIN(AP283,K$7+IF(K$2=$AA283,$AC283,IF(K$2=$AF283,$AG283,0))))</f>
        <v/>
      </c>
      <c r="X283">
        <f>IF(L282&lt;=0,0,MIN(AQ283,L$7+IF(L$2=$AA283,$AC283,IF(L$2=$AF283,$AG283,0))))</f>
        <v/>
      </c>
      <c r="Y283">
        <f>IF(M282&lt;=0,0,MIN(AR283,M$7+IF(M$2=$AA283,$AC283,IF(M$2=$AF283,$AG283,0))))</f>
        <v/>
      </c>
      <c r="Z283">
        <f>IF(N282&lt;=0,0,MIN(AS283,N$7+IF(N$2=$AA283,$AC283,IF(N$2=$AF283,$AG283,0))))</f>
        <v/>
      </c>
      <c r="AA283">
        <f>IFERROR(ROUND(1/SUMPRODUCT(MAX((C282:N282&gt;0)*($C$3:$N$3&lt;=B283)/$C$2:$N$2)),0),0)</f>
        <v/>
      </c>
      <c r="AB283">
        <f>SUMPRODUCT((C282:N282&gt;0)*$C$7:$N$7)</f>
        <v/>
      </c>
      <c r="AC283">
        <f>MAX(0,Plan!$C$5-AB283)+IF(A283=Plan!$C$8,N(Plan!$C$7),0)</f>
        <v/>
      </c>
      <c r="AD283">
        <f>SUM(C283:N283)</f>
        <v/>
      </c>
      <c r="AE283">
        <f>SUM(O283:Z283)</f>
        <v/>
      </c>
      <c r="AF283">
        <f>IFERROR(ROUND(1/SUMPRODUCT(MAX((C282:N282&gt;0)*($C$3:$N$3&lt;=B283)*($C$2:$N$2&gt;AA283)/$C$2:$N$2)),0),0)</f>
        <v/>
      </c>
      <c r="AG283">
        <f>MAX(0,AC283-MAX(0,SUMPRODUCT(($C$2:$N$2=AA283)*(AH283:AS283-$C$7:$N$7))))</f>
        <v/>
      </c>
      <c r="AH283">
        <f>IF(C282&lt;=0,0,ROUND(C282*(1+IF(AND(C$6&gt;0,$B283&lt;C$6),C$4,C$5)/12),2))</f>
        <v/>
      </c>
      <c r="AI283">
        <f>IF(D282&lt;=0,0,ROUND(D282*(1+IF(AND(D$6&gt;0,$B283&lt;D$6),D$4,D$5)/12),2))</f>
        <v/>
      </c>
      <c r="AJ283">
        <f>IF(E282&lt;=0,0,ROUND(E282*(1+IF(AND(E$6&gt;0,$B283&lt;E$6),E$4,E$5)/12),2))</f>
        <v/>
      </c>
      <c r="AK283">
        <f>IF(F282&lt;=0,0,ROUND(F282*(1+IF(AND(F$6&gt;0,$B283&lt;F$6),F$4,F$5)/12),2))</f>
        <v/>
      </c>
      <c r="AL283">
        <f>IF(G282&lt;=0,0,ROUND(G282*(1+IF(AND(G$6&gt;0,$B283&lt;G$6),G$4,G$5)/12),2))</f>
        <v/>
      </c>
      <c r="AM283">
        <f>IF(H282&lt;=0,0,ROUND(H282*(1+IF(AND(H$6&gt;0,$B283&lt;H$6),H$4,H$5)/12),2))</f>
        <v/>
      </c>
      <c r="AN283">
        <f>IF(I282&lt;=0,0,ROUND(I282*(1+IF(AND(I$6&gt;0,$B283&lt;I$6),I$4,I$5)/12),2))</f>
        <v/>
      </c>
      <c r="AO283">
        <f>IF(J282&lt;=0,0,ROUND(J282*(1+IF(AND(J$6&gt;0,$B283&lt;J$6),J$4,J$5)/12),2))</f>
        <v/>
      </c>
      <c r="AP283">
        <f>IF(K282&lt;=0,0,ROUND(K282*(1+IF(AND(K$6&gt;0,$B283&lt;K$6),K$4,K$5)/12),2))</f>
        <v/>
      </c>
      <c r="AQ283">
        <f>IF(L282&lt;=0,0,ROUND(L282*(1+IF(AND(L$6&gt;0,$B283&lt;L$6),L$4,L$5)/12),2))</f>
        <v/>
      </c>
      <c r="AR283">
        <f>IF(M282&lt;=0,0,ROUND(M282*(1+IF(AND(M$6&gt;0,$B283&lt;M$6),M$4,M$5)/12),2))</f>
        <v/>
      </c>
      <c r="AS283">
        <f>IF(N282&lt;=0,0,ROUND(N282*(1+IF(AND(N$6&gt;0,$B283&lt;N$6),N$4,N$5)/12),2))</f>
        <v/>
      </c>
    </row>
    <row r="284">
      <c r="A284" t="n">
        <v>273</v>
      </c>
      <c r="B284">
        <f>EDATE(Plan!$C$6,272)</f>
        <v/>
      </c>
      <c r="C284">
        <f>IF(C283&lt;=0,0,MAX(0,AH284-O284))</f>
        <v/>
      </c>
      <c r="D284">
        <f>IF(D283&lt;=0,0,MAX(0,AI284-P284))</f>
        <v/>
      </c>
      <c r="E284">
        <f>IF(E283&lt;=0,0,MAX(0,AJ284-Q284))</f>
        <v/>
      </c>
      <c r="F284">
        <f>IF(F283&lt;=0,0,MAX(0,AK284-R284))</f>
        <v/>
      </c>
      <c r="G284">
        <f>IF(G283&lt;=0,0,MAX(0,AL284-S284))</f>
        <v/>
      </c>
      <c r="H284">
        <f>IF(H283&lt;=0,0,MAX(0,AM284-T284))</f>
        <v/>
      </c>
      <c r="I284">
        <f>IF(I283&lt;=0,0,MAX(0,AN284-U284))</f>
        <v/>
      </c>
      <c r="J284">
        <f>IF(J283&lt;=0,0,MAX(0,AO284-V284))</f>
        <v/>
      </c>
      <c r="K284">
        <f>IF(K283&lt;=0,0,MAX(0,AP284-W284))</f>
        <v/>
      </c>
      <c r="L284">
        <f>IF(L283&lt;=0,0,MAX(0,AQ284-X284))</f>
        <v/>
      </c>
      <c r="M284">
        <f>IF(M283&lt;=0,0,MAX(0,AR284-Y284))</f>
        <v/>
      </c>
      <c r="N284">
        <f>IF(N283&lt;=0,0,MAX(0,AS284-Z284))</f>
        <v/>
      </c>
      <c r="O284">
        <f>IF(C283&lt;=0,0,MIN(AH284,C$7+IF(C$2=$AA284,$AC284,IF(C$2=$AF284,$AG284,0))))</f>
        <v/>
      </c>
      <c r="P284">
        <f>IF(D283&lt;=0,0,MIN(AI284,D$7+IF(D$2=$AA284,$AC284,IF(D$2=$AF284,$AG284,0))))</f>
        <v/>
      </c>
      <c r="Q284">
        <f>IF(E283&lt;=0,0,MIN(AJ284,E$7+IF(E$2=$AA284,$AC284,IF(E$2=$AF284,$AG284,0))))</f>
        <v/>
      </c>
      <c r="R284">
        <f>IF(F283&lt;=0,0,MIN(AK284,F$7+IF(F$2=$AA284,$AC284,IF(F$2=$AF284,$AG284,0))))</f>
        <v/>
      </c>
      <c r="S284">
        <f>IF(G283&lt;=0,0,MIN(AL284,G$7+IF(G$2=$AA284,$AC284,IF(G$2=$AF284,$AG284,0))))</f>
        <v/>
      </c>
      <c r="T284">
        <f>IF(H283&lt;=0,0,MIN(AM284,H$7+IF(H$2=$AA284,$AC284,IF(H$2=$AF284,$AG284,0))))</f>
        <v/>
      </c>
      <c r="U284">
        <f>IF(I283&lt;=0,0,MIN(AN284,I$7+IF(I$2=$AA284,$AC284,IF(I$2=$AF284,$AG284,0))))</f>
        <v/>
      </c>
      <c r="V284">
        <f>IF(J283&lt;=0,0,MIN(AO284,J$7+IF(J$2=$AA284,$AC284,IF(J$2=$AF284,$AG284,0))))</f>
        <v/>
      </c>
      <c r="W284">
        <f>IF(K283&lt;=0,0,MIN(AP284,K$7+IF(K$2=$AA284,$AC284,IF(K$2=$AF284,$AG284,0))))</f>
        <v/>
      </c>
      <c r="X284">
        <f>IF(L283&lt;=0,0,MIN(AQ284,L$7+IF(L$2=$AA284,$AC284,IF(L$2=$AF284,$AG284,0))))</f>
        <v/>
      </c>
      <c r="Y284">
        <f>IF(M283&lt;=0,0,MIN(AR284,M$7+IF(M$2=$AA284,$AC284,IF(M$2=$AF284,$AG284,0))))</f>
        <v/>
      </c>
      <c r="Z284">
        <f>IF(N283&lt;=0,0,MIN(AS284,N$7+IF(N$2=$AA284,$AC284,IF(N$2=$AF284,$AG284,0))))</f>
        <v/>
      </c>
      <c r="AA284">
        <f>IFERROR(ROUND(1/SUMPRODUCT(MAX((C283:N283&gt;0)*($C$3:$N$3&lt;=B284)/$C$2:$N$2)),0),0)</f>
        <v/>
      </c>
      <c r="AB284">
        <f>SUMPRODUCT((C283:N283&gt;0)*$C$7:$N$7)</f>
        <v/>
      </c>
      <c r="AC284">
        <f>MAX(0,Plan!$C$5-AB284)+IF(A284=Plan!$C$8,N(Plan!$C$7),0)</f>
        <v/>
      </c>
      <c r="AD284">
        <f>SUM(C284:N284)</f>
        <v/>
      </c>
      <c r="AE284">
        <f>SUM(O284:Z284)</f>
        <v/>
      </c>
      <c r="AF284">
        <f>IFERROR(ROUND(1/SUMPRODUCT(MAX((C283:N283&gt;0)*($C$3:$N$3&lt;=B284)*($C$2:$N$2&gt;AA284)/$C$2:$N$2)),0),0)</f>
        <v/>
      </c>
      <c r="AG284">
        <f>MAX(0,AC284-MAX(0,SUMPRODUCT(($C$2:$N$2=AA284)*(AH284:AS284-$C$7:$N$7))))</f>
        <v/>
      </c>
      <c r="AH284">
        <f>IF(C283&lt;=0,0,ROUND(C283*(1+IF(AND(C$6&gt;0,$B284&lt;C$6),C$4,C$5)/12),2))</f>
        <v/>
      </c>
      <c r="AI284">
        <f>IF(D283&lt;=0,0,ROUND(D283*(1+IF(AND(D$6&gt;0,$B284&lt;D$6),D$4,D$5)/12),2))</f>
        <v/>
      </c>
      <c r="AJ284">
        <f>IF(E283&lt;=0,0,ROUND(E283*(1+IF(AND(E$6&gt;0,$B284&lt;E$6),E$4,E$5)/12),2))</f>
        <v/>
      </c>
      <c r="AK284">
        <f>IF(F283&lt;=0,0,ROUND(F283*(1+IF(AND(F$6&gt;0,$B284&lt;F$6),F$4,F$5)/12),2))</f>
        <v/>
      </c>
      <c r="AL284">
        <f>IF(G283&lt;=0,0,ROUND(G283*(1+IF(AND(G$6&gt;0,$B284&lt;G$6),G$4,G$5)/12),2))</f>
        <v/>
      </c>
      <c r="AM284">
        <f>IF(H283&lt;=0,0,ROUND(H283*(1+IF(AND(H$6&gt;0,$B284&lt;H$6),H$4,H$5)/12),2))</f>
        <v/>
      </c>
      <c r="AN284">
        <f>IF(I283&lt;=0,0,ROUND(I283*(1+IF(AND(I$6&gt;0,$B284&lt;I$6),I$4,I$5)/12),2))</f>
        <v/>
      </c>
      <c r="AO284">
        <f>IF(J283&lt;=0,0,ROUND(J283*(1+IF(AND(J$6&gt;0,$B284&lt;J$6),J$4,J$5)/12),2))</f>
        <v/>
      </c>
      <c r="AP284">
        <f>IF(K283&lt;=0,0,ROUND(K283*(1+IF(AND(K$6&gt;0,$B284&lt;K$6),K$4,K$5)/12),2))</f>
        <v/>
      </c>
      <c r="AQ284">
        <f>IF(L283&lt;=0,0,ROUND(L283*(1+IF(AND(L$6&gt;0,$B284&lt;L$6),L$4,L$5)/12),2))</f>
        <v/>
      </c>
      <c r="AR284">
        <f>IF(M283&lt;=0,0,ROUND(M283*(1+IF(AND(M$6&gt;0,$B284&lt;M$6),M$4,M$5)/12),2))</f>
        <v/>
      </c>
      <c r="AS284">
        <f>IF(N283&lt;=0,0,ROUND(N283*(1+IF(AND(N$6&gt;0,$B284&lt;N$6),N$4,N$5)/12),2))</f>
        <v/>
      </c>
    </row>
    <row r="285">
      <c r="A285" t="n">
        <v>274</v>
      </c>
      <c r="B285">
        <f>EDATE(Plan!$C$6,273)</f>
        <v/>
      </c>
      <c r="C285">
        <f>IF(C284&lt;=0,0,MAX(0,AH285-O285))</f>
        <v/>
      </c>
      <c r="D285">
        <f>IF(D284&lt;=0,0,MAX(0,AI285-P285))</f>
        <v/>
      </c>
      <c r="E285">
        <f>IF(E284&lt;=0,0,MAX(0,AJ285-Q285))</f>
        <v/>
      </c>
      <c r="F285">
        <f>IF(F284&lt;=0,0,MAX(0,AK285-R285))</f>
        <v/>
      </c>
      <c r="G285">
        <f>IF(G284&lt;=0,0,MAX(0,AL285-S285))</f>
        <v/>
      </c>
      <c r="H285">
        <f>IF(H284&lt;=0,0,MAX(0,AM285-T285))</f>
        <v/>
      </c>
      <c r="I285">
        <f>IF(I284&lt;=0,0,MAX(0,AN285-U285))</f>
        <v/>
      </c>
      <c r="J285">
        <f>IF(J284&lt;=0,0,MAX(0,AO285-V285))</f>
        <v/>
      </c>
      <c r="K285">
        <f>IF(K284&lt;=0,0,MAX(0,AP285-W285))</f>
        <v/>
      </c>
      <c r="L285">
        <f>IF(L284&lt;=0,0,MAX(0,AQ285-X285))</f>
        <v/>
      </c>
      <c r="M285">
        <f>IF(M284&lt;=0,0,MAX(0,AR285-Y285))</f>
        <v/>
      </c>
      <c r="N285">
        <f>IF(N284&lt;=0,0,MAX(0,AS285-Z285))</f>
        <v/>
      </c>
      <c r="O285">
        <f>IF(C284&lt;=0,0,MIN(AH285,C$7+IF(C$2=$AA285,$AC285,IF(C$2=$AF285,$AG285,0))))</f>
        <v/>
      </c>
      <c r="P285">
        <f>IF(D284&lt;=0,0,MIN(AI285,D$7+IF(D$2=$AA285,$AC285,IF(D$2=$AF285,$AG285,0))))</f>
        <v/>
      </c>
      <c r="Q285">
        <f>IF(E284&lt;=0,0,MIN(AJ285,E$7+IF(E$2=$AA285,$AC285,IF(E$2=$AF285,$AG285,0))))</f>
        <v/>
      </c>
      <c r="R285">
        <f>IF(F284&lt;=0,0,MIN(AK285,F$7+IF(F$2=$AA285,$AC285,IF(F$2=$AF285,$AG285,0))))</f>
        <v/>
      </c>
      <c r="S285">
        <f>IF(G284&lt;=0,0,MIN(AL285,G$7+IF(G$2=$AA285,$AC285,IF(G$2=$AF285,$AG285,0))))</f>
        <v/>
      </c>
      <c r="T285">
        <f>IF(H284&lt;=0,0,MIN(AM285,H$7+IF(H$2=$AA285,$AC285,IF(H$2=$AF285,$AG285,0))))</f>
        <v/>
      </c>
      <c r="U285">
        <f>IF(I284&lt;=0,0,MIN(AN285,I$7+IF(I$2=$AA285,$AC285,IF(I$2=$AF285,$AG285,0))))</f>
        <v/>
      </c>
      <c r="V285">
        <f>IF(J284&lt;=0,0,MIN(AO285,J$7+IF(J$2=$AA285,$AC285,IF(J$2=$AF285,$AG285,0))))</f>
        <v/>
      </c>
      <c r="W285">
        <f>IF(K284&lt;=0,0,MIN(AP285,K$7+IF(K$2=$AA285,$AC285,IF(K$2=$AF285,$AG285,0))))</f>
        <v/>
      </c>
      <c r="X285">
        <f>IF(L284&lt;=0,0,MIN(AQ285,L$7+IF(L$2=$AA285,$AC285,IF(L$2=$AF285,$AG285,0))))</f>
        <v/>
      </c>
      <c r="Y285">
        <f>IF(M284&lt;=0,0,MIN(AR285,M$7+IF(M$2=$AA285,$AC285,IF(M$2=$AF285,$AG285,0))))</f>
        <v/>
      </c>
      <c r="Z285">
        <f>IF(N284&lt;=0,0,MIN(AS285,N$7+IF(N$2=$AA285,$AC285,IF(N$2=$AF285,$AG285,0))))</f>
        <v/>
      </c>
      <c r="AA285">
        <f>IFERROR(ROUND(1/SUMPRODUCT(MAX((C284:N284&gt;0)*($C$3:$N$3&lt;=B285)/$C$2:$N$2)),0),0)</f>
        <v/>
      </c>
      <c r="AB285">
        <f>SUMPRODUCT((C284:N284&gt;0)*$C$7:$N$7)</f>
        <v/>
      </c>
      <c r="AC285">
        <f>MAX(0,Plan!$C$5-AB285)+IF(A285=Plan!$C$8,N(Plan!$C$7),0)</f>
        <v/>
      </c>
      <c r="AD285">
        <f>SUM(C285:N285)</f>
        <v/>
      </c>
      <c r="AE285">
        <f>SUM(O285:Z285)</f>
        <v/>
      </c>
      <c r="AF285">
        <f>IFERROR(ROUND(1/SUMPRODUCT(MAX((C284:N284&gt;0)*($C$3:$N$3&lt;=B285)*($C$2:$N$2&gt;AA285)/$C$2:$N$2)),0),0)</f>
        <v/>
      </c>
      <c r="AG285">
        <f>MAX(0,AC285-MAX(0,SUMPRODUCT(($C$2:$N$2=AA285)*(AH285:AS285-$C$7:$N$7))))</f>
        <v/>
      </c>
      <c r="AH285">
        <f>IF(C284&lt;=0,0,ROUND(C284*(1+IF(AND(C$6&gt;0,$B285&lt;C$6),C$4,C$5)/12),2))</f>
        <v/>
      </c>
      <c r="AI285">
        <f>IF(D284&lt;=0,0,ROUND(D284*(1+IF(AND(D$6&gt;0,$B285&lt;D$6),D$4,D$5)/12),2))</f>
        <v/>
      </c>
      <c r="AJ285">
        <f>IF(E284&lt;=0,0,ROUND(E284*(1+IF(AND(E$6&gt;0,$B285&lt;E$6),E$4,E$5)/12),2))</f>
        <v/>
      </c>
      <c r="AK285">
        <f>IF(F284&lt;=0,0,ROUND(F284*(1+IF(AND(F$6&gt;0,$B285&lt;F$6),F$4,F$5)/12),2))</f>
        <v/>
      </c>
      <c r="AL285">
        <f>IF(G284&lt;=0,0,ROUND(G284*(1+IF(AND(G$6&gt;0,$B285&lt;G$6),G$4,G$5)/12),2))</f>
        <v/>
      </c>
      <c r="AM285">
        <f>IF(H284&lt;=0,0,ROUND(H284*(1+IF(AND(H$6&gt;0,$B285&lt;H$6),H$4,H$5)/12),2))</f>
        <v/>
      </c>
      <c r="AN285">
        <f>IF(I284&lt;=0,0,ROUND(I284*(1+IF(AND(I$6&gt;0,$B285&lt;I$6),I$4,I$5)/12),2))</f>
        <v/>
      </c>
      <c r="AO285">
        <f>IF(J284&lt;=0,0,ROUND(J284*(1+IF(AND(J$6&gt;0,$B285&lt;J$6),J$4,J$5)/12),2))</f>
        <v/>
      </c>
      <c r="AP285">
        <f>IF(K284&lt;=0,0,ROUND(K284*(1+IF(AND(K$6&gt;0,$B285&lt;K$6),K$4,K$5)/12),2))</f>
        <v/>
      </c>
      <c r="AQ285">
        <f>IF(L284&lt;=0,0,ROUND(L284*(1+IF(AND(L$6&gt;0,$B285&lt;L$6),L$4,L$5)/12),2))</f>
        <v/>
      </c>
      <c r="AR285">
        <f>IF(M284&lt;=0,0,ROUND(M284*(1+IF(AND(M$6&gt;0,$B285&lt;M$6),M$4,M$5)/12),2))</f>
        <v/>
      </c>
      <c r="AS285">
        <f>IF(N284&lt;=0,0,ROUND(N284*(1+IF(AND(N$6&gt;0,$B285&lt;N$6),N$4,N$5)/12),2))</f>
        <v/>
      </c>
    </row>
    <row r="286">
      <c r="A286" t="n">
        <v>275</v>
      </c>
      <c r="B286">
        <f>EDATE(Plan!$C$6,274)</f>
        <v/>
      </c>
      <c r="C286">
        <f>IF(C285&lt;=0,0,MAX(0,AH286-O286))</f>
        <v/>
      </c>
      <c r="D286">
        <f>IF(D285&lt;=0,0,MAX(0,AI286-P286))</f>
        <v/>
      </c>
      <c r="E286">
        <f>IF(E285&lt;=0,0,MAX(0,AJ286-Q286))</f>
        <v/>
      </c>
      <c r="F286">
        <f>IF(F285&lt;=0,0,MAX(0,AK286-R286))</f>
        <v/>
      </c>
      <c r="G286">
        <f>IF(G285&lt;=0,0,MAX(0,AL286-S286))</f>
        <v/>
      </c>
      <c r="H286">
        <f>IF(H285&lt;=0,0,MAX(0,AM286-T286))</f>
        <v/>
      </c>
      <c r="I286">
        <f>IF(I285&lt;=0,0,MAX(0,AN286-U286))</f>
        <v/>
      </c>
      <c r="J286">
        <f>IF(J285&lt;=0,0,MAX(0,AO286-V286))</f>
        <v/>
      </c>
      <c r="K286">
        <f>IF(K285&lt;=0,0,MAX(0,AP286-W286))</f>
        <v/>
      </c>
      <c r="L286">
        <f>IF(L285&lt;=0,0,MAX(0,AQ286-X286))</f>
        <v/>
      </c>
      <c r="M286">
        <f>IF(M285&lt;=0,0,MAX(0,AR286-Y286))</f>
        <v/>
      </c>
      <c r="N286">
        <f>IF(N285&lt;=0,0,MAX(0,AS286-Z286))</f>
        <v/>
      </c>
      <c r="O286">
        <f>IF(C285&lt;=0,0,MIN(AH286,C$7+IF(C$2=$AA286,$AC286,IF(C$2=$AF286,$AG286,0))))</f>
        <v/>
      </c>
      <c r="P286">
        <f>IF(D285&lt;=0,0,MIN(AI286,D$7+IF(D$2=$AA286,$AC286,IF(D$2=$AF286,$AG286,0))))</f>
        <v/>
      </c>
      <c r="Q286">
        <f>IF(E285&lt;=0,0,MIN(AJ286,E$7+IF(E$2=$AA286,$AC286,IF(E$2=$AF286,$AG286,0))))</f>
        <v/>
      </c>
      <c r="R286">
        <f>IF(F285&lt;=0,0,MIN(AK286,F$7+IF(F$2=$AA286,$AC286,IF(F$2=$AF286,$AG286,0))))</f>
        <v/>
      </c>
      <c r="S286">
        <f>IF(G285&lt;=0,0,MIN(AL286,G$7+IF(G$2=$AA286,$AC286,IF(G$2=$AF286,$AG286,0))))</f>
        <v/>
      </c>
      <c r="T286">
        <f>IF(H285&lt;=0,0,MIN(AM286,H$7+IF(H$2=$AA286,$AC286,IF(H$2=$AF286,$AG286,0))))</f>
        <v/>
      </c>
      <c r="U286">
        <f>IF(I285&lt;=0,0,MIN(AN286,I$7+IF(I$2=$AA286,$AC286,IF(I$2=$AF286,$AG286,0))))</f>
        <v/>
      </c>
      <c r="V286">
        <f>IF(J285&lt;=0,0,MIN(AO286,J$7+IF(J$2=$AA286,$AC286,IF(J$2=$AF286,$AG286,0))))</f>
        <v/>
      </c>
      <c r="W286">
        <f>IF(K285&lt;=0,0,MIN(AP286,K$7+IF(K$2=$AA286,$AC286,IF(K$2=$AF286,$AG286,0))))</f>
        <v/>
      </c>
      <c r="X286">
        <f>IF(L285&lt;=0,0,MIN(AQ286,L$7+IF(L$2=$AA286,$AC286,IF(L$2=$AF286,$AG286,0))))</f>
        <v/>
      </c>
      <c r="Y286">
        <f>IF(M285&lt;=0,0,MIN(AR286,M$7+IF(M$2=$AA286,$AC286,IF(M$2=$AF286,$AG286,0))))</f>
        <v/>
      </c>
      <c r="Z286">
        <f>IF(N285&lt;=0,0,MIN(AS286,N$7+IF(N$2=$AA286,$AC286,IF(N$2=$AF286,$AG286,0))))</f>
        <v/>
      </c>
      <c r="AA286">
        <f>IFERROR(ROUND(1/SUMPRODUCT(MAX((C285:N285&gt;0)*($C$3:$N$3&lt;=B286)/$C$2:$N$2)),0),0)</f>
        <v/>
      </c>
      <c r="AB286">
        <f>SUMPRODUCT((C285:N285&gt;0)*$C$7:$N$7)</f>
        <v/>
      </c>
      <c r="AC286">
        <f>MAX(0,Plan!$C$5-AB286)+IF(A286=Plan!$C$8,N(Plan!$C$7),0)</f>
        <v/>
      </c>
      <c r="AD286">
        <f>SUM(C286:N286)</f>
        <v/>
      </c>
      <c r="AE286">
        <f>SUM(O286:Z286)</f>
        <v/>
      </c>
      <c r="AF286">
        <f>IFERROR(ROUND(1/SUMPRODUCT(MAX((C285:N285&gt;0)*($C$3:$N$3&lt;=B286)*($C$2:$N$2&gt;AA286)/$C$2:$N$2)),0),0)</f>
        <v/>
      </c>
      <c r="AG286">
        <f>MAX(0,AC286-MAX(0,SUMPRODUCT(($C$2:$N$2=AA286)*(AH286:AS286-$C$7:$N$7))))</f>
        <v/>
      </c>
      <c r="AH286">
        <f>IF(C285&lt;=0,0,ROUND(C285*(1+IF(AND(C$6&gt;0,$B286&lt;C$6),C$4,C$5)/12),2))</f>
        <v/>
      </c>
      <c r="AI286">
        <f>IF(D285&lt;=0,0,ROUND(D285*(1+IF(AND(D$6&gt;0,$B286&lt;D$6),D$4,D$5)/12),2))</f>
        <v/>
      </c>
      <c r="AJ286">
        <f>IF(E285&lt;=0,0,ROUND(E285*(1+IF(AND(E$6&gt;0,$B286&lt;E$6),E$4,E$5)/12),2))</f>
        <v/>
      </c>
      <c r="AK286">
        <f>IF(F285&lt;=0,0,ROUND(F285*(1+IF(AND(F$6&gt;0,$B286&lt;F$6),F$4,F$5)/12),2))</f>
        <v/>
      </c>
      <c r="AL286">
        <f>IF(G285&lt;=0,0,ROUND(G285*(1+IF(AND(G$6&gt;0,$B286&lt;G$6),G$4,G$5)/12),2))</f>
        <v/>
      </c>
      <c r="AM286">
        <f>IF(H285&lt;=0,0,ROUND(H285*(1+IF(AND(H$6&gt;0,$B286&lt;H$6),H$4,H$5)/12),2))</f>
        <v/>
      </c>
      <c r="AN286">
        <f>IF(I285&lt;=0,0,ROUND(I285*(1+IF(AND(I$6&gt;0,$B286&lt;I$6),I$4,I$5)/12),2))</f>
        <v/>
      </c>
      <c r="AO286">
        <f>IF(J285&lt;=0,0,ROUND(J285*(1+IF(AND(J$6&gt;0,$B286&lt;J$6),J$4,J$5)/12),2))</f>
        <v/>
      </c>
      <c r="AP286">
        <f>IF(K285&lt;=0,0,ROUND(K285*(1+IF(AND(K$6&gt;0,$B286&lt;K$6),K$4,K$5)/12),2))</f>
        <v/>
      </c>
      <c r="AQ286">
        <f>IF(L285&lt;=0,0,ROUND(L285*(1+IF(AND(L$6&gt;0,$B286&lt;L$6),L$4,L$5)/12),2))</f>
        <v/>
      </c>
      <c r="AR286">
        <f>IF(M285&lt;=0,0,ROUND(M285*(1+IF(AND(M$6&gt;0,$B286&lt;M$6),M$4,M$5)/12),2))</f>
        <v/>
      </c>
      <c r="AS286">
        <f>IF(N285&lt;=0,0,ROUND(N285*(1+IF(AND(N$6&gt;0,$B286&lt;N$6),N$4,N$5)/12),2))</f>
        <v/>
      </c>
    </row>
    <row r="287">
      <c r="A287" t="n">
        <v>276</v>
      </c>
      <c r="B287">
        <f>EDATE(Plan!$C$6,275)</f>
        <v/>
      </c>
      <c r="C287">
        <f>IF(C286&lt;=0,0,MAX(0,AH287-O287))</f>
        <v/>
      </c>
      <c r="D287">
        <f>IF(D286&lt;=0,0,MAX(0,AI287-P287))</f>
        <v/>
      </c>
      <c r="E287">
        <f>IF(E286&lt;=0,0,MAX(0,AJ287-Q287))</f>
        <v/>
      </c>
      <c r="F287">
        <f>IF(F286&lt;=0,0,MAX(0,AK287-R287))</f>
        <v/>
      </c>
      <c r="G287">
        <f>IF(G286&lt;=0,0,MAX(0,AL287-S287))</f>
        <v/>
      </c>
      <c r="H287">
        <f>IF(H286&lt;=0,0,MAX(0,AM287-T287))</f>
        <v/>
      </c>
      <c r="I287">
        <f>IF(I286&lt;=0,0,MAX(0,AN287-U287))</f>
        <v/>
      </c>
      <c r="J287">
        <f>IF(J286&lt;=0,0,MAX(0,AO287-V287))</f>
        <v/>
      </c>
      <c r="K287">
        <f>IF(K286&lt;=0,0,MAX(0,AP287-W287))</f>
        <v/>
      </c>
      <c r="L287">
        <f>IF(L286&lt;=0,0,MAX(0,AQ287-X287))</f>
        <v/>
      </c>
      <c r="M287">
        <f>IF(M286&lt;=0,0,MAX(0,AR287-Y287))</f>
        <v/>
      </c>
      <c r="N287">
        <f>IF(N286&lt;=0,0,MAX(0,AS287-Z287))</f>
        <v/>
      </c>
      <c r="O287">
        <f>IF(C286&lt;=0,0,MIN(AH287,C$7+IF(C$2=$AA287,$AC287,IF(C$2=$AF287,$AG287,0))))</f>
        <v/>
      </c>
      <c r="P287">
        <f>IF(D286&lt;=0,0,MIN(AI287,D$7+IF(D$2=$AA287,$AC287,IF(D$2=$AF287,$AG287,0))))</f>
        <v/>
      </c>
      <c r="Q287">
        <f>IF(E286&lt;=0,0,MIN(AJ287,E$7+IF(E$2=$AA287,$AC287,IF(E$2=$AF287,$AG287,0))))</f>
        <v/>
      </c>
      <c r="R287">
        <f>IF(F286&lt;=0,0,MIN(AK287,F$7+IF(F$2=$AA287,$AC287,IF(F$2=$AF287,$AG287,0))))</f>
        <v/>
      </c>
      <c r="S287">
        <f>IF(G286&lt;=0,0,MIN(AL287,G$7+IF(G$2=$AA287,$AC287,IF(G$2=$AF287,$AG287,0))))</f>
        <v/>
      </c>
      <c r="T287">
        <f>IF(H286&lt;=0,0,MIN(AM287,H$7+IF(H$2=$AA287,$AC287,IF(H$2=$AF287,$AG287,0))))</f>
        <v/>
      </c>
      <c r="U287">
        <f>IF(I286&lt;=0,0,MIN(AN287,I$7+IF(I$2=$AA287,$AC287,IF(I$2=$AF287,$AG287,0))))</f>
        <v/>
      </c>
      <c r="V287">
        <f>IF(J286&lt;=0,0,MIN(AO287,J$7+IF(J$2=$AA287,$AC287,IF(J$2=$AF287,$AG287,0))))</f>
        <v/>
      </c>
      <c r="W287">
        <f>IF(K286&lt;=0,0,MIN(AP287,K$7+IF(K$2=$AA287,$AC287,IF(K$2=$AF287,$AG287,0))))</f>
        <v/>
      </c>
      <c r="X287">
        <f>IF(L286&lt;=0,0,MIN(AQ287,L$7+IF(L$2=$AA287,$AC287,IF(L$2=$AF287,$AG287,0))))</f>
        <v/>
      </c>
      <c r="Y287">
        <f>IF(M286&lt;=0,0,MIN(AR287,M$7+IF(M$2=$AA287,$AC287,IF(M$2=$AF287,$AG287,0))))</f>
        <v/>
      </c>
      <c r="Z287">
        <f>IF(N286&lt;=0,0,MIN(AS287,N$7+IF(N$2=$AA287,$AC287,IF(N$2=$AF287,$AG287,0))))</f>
        <v/>
      </c>
      <c r="AA287">
        <f>IFERROR(ROUND(1/SUMPRODUCT(MAX((C286:N286&gt;0)*($C$3:$N$3&lt;=B287)/$C$2:$N$2)),0),0)</f>
        <v/>
      </c>
      <c r="AB287">
        <f>SUMPRODUCT((C286:N286&gt;0)*$C$7:$N$7)</f>
        <v/>
      </c>
      <c r="AC287">
        <f>MAX(0,Plan!$C$5-AB287)+IF(A287=Plan!$C$8,N(Plan!$C$7),0)</f>
        <v/>
      </c>
      <c r="AD287">
        <f>SUM(C287:N287)</f>
        <v/>
      </c>
      <c r="AE287">
        <f>SUM(O287:Z287)</f>
        <v/>
      </c>
      <c r="AF287">
        <f>IFERROR(ROUND(1/SUMPRODUCT(MAX((C286:N286&gt;0)*($C$3:$N$3&lt;=B287)*($C$2:$N$2&gt;AA287)/$C$2:$N$2)),0),0)</f>
        <v/>
      </c>
      <c r="AG287">
        <f>MAX(0,AC287-MAX(0,SUMPRODUCT(($C$2:$N$2=AA287)*(AH287:AS287-$C$7:$N$7))))</f>
        <v/>
      </c>
      <c r="AH287">
        <f>IF(C286&lt;=0,0,ROUND(C286*(1+IF(AND(C$6&gt;0,$B287&lt;C$6),C$4,C$5)/12),2))</f>
        <v/>
      </c>
      <c r="AI287">
        <f>IF(D286&lt;=0,0,ROUND(D286*(1+IF(AND(D$6&gt;0,$B287&lt;D$6),D$4,D$5)/12),2))</f>
        <v/>
      </c>
      <c r="AJ287">
        <f>IF(E286&lt;=0,0,ROUND(E286*(1+IF(AND(E$6&gt;0,$B287&lt;E$6),E$4,E$5)/12),2))</f>
        <v/>
      </c>
      <c r="AK287">
        <f>IF(F286&lt;=0,0,ROUND(F286*(1+IF(AND(F$6&gt;0,$B287&lt;F$6),F$4,F$5)/12),2))</f>
        <v/>
      </c>
      <c r="AL287">
        <f>IF(G286&lt;=0,0,ROUND(G286*(1+IF(AND(G$6&gt;0,$B287&lt;G$6),G$4,G$5)/12),2))</f>
        <v/>
      </c>
      <c r="AM287">
        <f>IF(H286&lt;=0,0,ROUND(H286*(1+IF(AND(H$6&gt;0,$B287&lt;H$6),H$4,H$5)/12),2))</f>
        <v/>
      </c>
      <c r="AN287">
        <f>IF(I286&lt;=0,0,ROUND(I286*(1+IF(AND(I$6&gt;0,$B287&lt;I$6),I$4,I$5)/12),2))</f>
        <v/>
      </c>
      <c r="AO287">
        <f>IF(J286&lt;=0,0,ROUND(J286*(1+IF(AND(J$6&gt;0,$B287&lt;J$6),J$4,J$5)/12),2))</f>
        <v/>
      </c>
      <c r="AP287">
        <f>IF(K286&lt;=0,0,ROUND(K286*(1+IF(AND(K$6&gt;0,$B287&lt;K$6),K$4,K$5)/12),2))</f>
        <v/>
      </c>
      <c r="AQ287">
        <f>IF(L286&lt;=0,0,ROUND(L286*(1+IF(AND(L$6&gt;0,$B287&lt;L$6),L$4,L$5)/12),2))</f>
        <v/>
      </c>
      <c r="AR287">
        <f>IF(M286&lt;=0,0,ROUND(M286*(1+IF(AND(M$6&gt;0,$B287&lt;M$6),M$4,M$5)/12),2))</f>
        <v/>
      </c>
      <c r="AS287">
        <f>IF(N286&lt;=0,0,ROUND(N286*(1+IF(AND(N$6&gt;0,$B287&lt;N$6),N$4,N$5)/12),2))</f>
        <v/>
      </c>
    </row>
    <row r="288">
      <c r="A288" t="n">
        <v>277</v>
      </c>
      <c r="B288">
        <f>EDATE(Plan!$C$6,276)</f>
        <v/>
      </c>
      <c r="C288">
        <f>IF(C287&lt;=0,0,MAX(0,AH288-O288))</f>
        <v/>
      </c>
      <c r="D288">
        <f>IF(D287&lt;=0,0,MAX(0,AI288-P288))</f>
        <v/>
      </c>
      <c r="E288">
        <f>IF(E287&lt;=0,0,MAX(0,AJ288-Q288))</f>
        <v/>
      </c>
      <c r="F288">
        <f>IF(F287&lt;=0,0,MAX(0,AK288-R288))</f>
        <v/>
      </c>
      <c r="G288">
        <f>IF(G287&lt;=0,0,MAX(0,AL288-S288))</f>
        <v/>
      </c>
      <c r="H288">
        <f>IF(H287&lt;=0,0,MAX(0,AM288-T288))</f>
        <v/>
      </c>
      <c r="I288">
        <f>IF(I287&lt;=0,0,MAX(0,AN288-U288))</f>
        <v/>
      </c>
      <c r="J288">
        <f>IF(J287&lt;=0,0,MAX(0,AO288-V288))</f>
        <v/>
      </c>
      <c r="K288">
        <f>IF(K287&lt;=0,0,MAX(0,AP288-W288))</f>
        <v/>
      </c>
      <c r="L288">
        <f>IF(L287&lt;=0,0,MAX(0,AQ288-X288))</f>
        <v/>
      </c>
      <c r="M288">
        <f>IF(M287&lt;=0,0,MAX(0,AR288-Y288))</f>
        <v/>
      </c>
      <c r="N288">
        <f>IF(N287&lt;=0,0,MAX(0,AS288-Z288))</f>
        <v/>
      </c>
      <c r="O288">
        <f>IF(C287&lt;=0,0,MIN(AH288,C$7+IF(C$2=$AA288,$AC288,IF(C$2=$AF288,$AG288,0))))</f>
        <v/>
      </c>
      <c r="P288">
        <f>IF(D287&lt;=0,0,MIN(AI288,D$7+IF(D$2=$AA288,$AC288,IF(D$2=$AF288,$AG288,0))))</f>
        <v/>
      </c>
      <c r="Q288">
        <f>IF(E287&lt;=0,0,MIN(AJ288,E$7+IF(E$2=$AA288,$AC288,IF(E$2=$AF288,$AG288,0))))</f>
        <v/>
      </c>
      <c r="R288">
        <f>IF(F287&lt;=0,0,MIN(AK288,F$7+IF(F$2=$AA288,$AC288,IF(F$2=$AF288,$AG288,0))))</f>
        <v/>
      </c>
      <c r="S288">
        <f>IF(G287&lt;=0,0,MIN(AL288,G$7+IF(G$2=$AA288,$AC288,IF(G$2=$AF288,$AG288,0))))</f>
        <v/>
      </c>
      <c r="T288">
        <f>IF(H287&lt;=0,0,MIN(AM288,H$7+IF(H$2=$AA288,$AC288,IF(H$2=$AF288,$AG288,0))))</f>
        <v/>
      </c>
      <c r="U288">
        <f>IF(I287&lt;=0,0,MIN(AN288,I$7+IF(I$2=$AA288,$AC288,IF(I$2=$AF288,$AG288,0))))</f>
        <v/>
      </c>
      <c r="V288">
        <f>IF(J287&lt;=0,0,MIN(AO288,J$7+IF(J$2=$AA288,$AC288,IF(J$2=$AF288,$AG288,0))))</f>
        <v/>
      </c>
      <c r="W288">
        <f>IF(K287&lt;=0,0,MIN(AP288,K$7+IF(K$2=$AA288,$AC288,IF(K$2=$AF288,$AG288,0))))</f>
        <v/>
      </c>
      <c r="X288">
        <f>IF(L287&lt;=0,0,MIN(AQ288,L$7+IF(L$2=$AA288,$AC288,IF(L$2=$AF288,$AG288,0))))</f>
        <v/>
      </c>
      <c r="Y288">
        <f>IF(M287&lt;=0,0,MIN(AR288,M$7+IF(M$2=$AA288,$AC288,IF(M$2=$AF288,$AG288,0))))</f>
        <v/>
      </c>
      <c r="Z288">
        <f>IF(N287&lt;=0,0,MIN(AS288,N$7+IF(N$2=$AA288,$AC288,IF(N$2=$AF288,$AG288,0))))</f>
        <v/>
      </c>
      <c r="AA288">
        <f>IFERROR(ROUND(1/SUMPRODUCT(MAX((C287:N287&gt;0)*($C$3:$N$3&lt;=B288)/$C$2:$N$2)),0),0)</f>
        <v/>
      </c>
      <c r="AB288">
        <f>SUMPRODUCT((C287:N287&gt;0)*$C$7:$N$7)</f>
        <v/>
      </c>
      <c r="AC288">
        <f>MAX(0,Plan!$C$5-AB288)+IF(A288=Plan!$C$8,N(Plan!$C$7),0)</f>
        <v/>
      </c>
      <c r="AD288">
        <f>SUM(C288:N288)</f>
        <v/>
      </c>
      <c r="AE288">
        <f>SUM(O288:Z288)</f>
        <v/>
      </c>
      <c r="AF288">
        <f>IFERROR(ROUND(1/SUMPRODUCT(MAX((C287:N287&gt;0)*($C$3:$N$3&lt;=B288)*($C$2:$N$2&gt;AA288)/$C$2:$N$2)),0),0)</f>
        <v/>
      </c>
      <c r="AG288">
        <f>MAX(0,AC288-MAX(0,SUMPRODUCT(($C$2:$N$2=AA288)*(AH288:AS288-$C$7:$N$7))))</f>
        <v/>
      </c>
      <c r="AH288">
        <f>IF(C287&lt;=0,0,ROUND(C287*(1+IF(AND(C$6&gt;0,$B288&lt;C$6),C$4,C$5)/12),2))</f>
        <v/>
      </c>
      <c r="AI288">
        <f>IF(D287&lt;=0,0,ROUND(D287*(1+IF(AND(D$6&gt;0,$B288&lt;D$6),D$4,D$5)/12),2))</f>
        <v/>
      </c>
      <c r="AJ288">
        <f>IF(E287&lt;=0,0,ROUND(E287*(1+IF(AND(E$6&gt;0,$B288&lt;E$6),E$4,E$5)/12),2))</f>
        <v/>
      </c>
      <c r="AK288">
        <f>IF(F287&lt;=0,0,ROUND(F287*(1+IF(AND(F$6&gt;0,$B288&lt;F$6),F$4,F$5)/12),2))</f>
        <v/>
      </c>
      <c r="AL288">
        <f>IF(G287&lt;=0,0,ROUND(G287*(1+IF(AND(G$6&gt;0,$B288&lt;G$6),G$4,G$5)/12),2))</f>
        <v/>
      </c>
      <c r="AM288">
        <f>IF(H287&lt;=0,0,ROUND(H287*(1+IF(AND(H$6&gt;0,$B288&lt;H$6),H$4,H$5)/12),2))</f>
        <v/>
      </c>
      <c r="AN288">
        <f>IF(I287&lt;=0,0,ROUND(I287*(1+IF(AND(I$6&gt;0,$B288&lt;I$6),I$4,I$5)/12),2))</f>
        <v/>
      </c>
      <c r="AO288">
        <f>IF(J287&lt;=0,0,ROUND(J287*(1+IF(AND(J$6&gt;0,$B288&lt;J$6),J$4,J$5)/12),2))</f>
        <v/>
      </c>
      <c r="AP288">
        <f>IF(K287&lt;=0,0,ROUND(K287*(1+IF(AND(K$6&gt;0,$B288&lt;K$6),K$4,K$5)/12),2))</f>
        <v/>
      </c>
      <c r="AQ288">
        <f>IF(L287&lt;=0,0,ROUND(L287*(1+IF(AND(L$6&gt;0,$B288&lt;L$6),L$4,L$5)/12),2))</f>
        <v/>
      </c>
      <c r="AR288">
        <f>IF(M287&lt;=0,0,ROUND(M287*(1+IF(AND(M$6&gt;0,$B288&lt;M$6),M$4,M$5)/12),2))</f>
        <v/>
      </c>
      <c r="AS288">
        <f>IF(N287&lt;=0,0,ROUND(N287*(1+IF(AND(N$6&gt;0,$B288&lt;N$6),N$4,N$5)/12),2))</f>
        <v/>
      </c>
    </row>
    <row r="289">
      <c r="A289" t="n">
        <v>278</v>
      </c>
      <c r="B289">
        <f>EDATE(Plan!$C$6,277)</f>
        <v/>
      </c>
      <c r="C289">
        <f>IF(C288&lt;=0,0,MAX(0,AH289-O289))</f>
        <v/>
      </c>
      <c r="D289">
        <f>IF(D288&lt;=0,0,MAX(0,AI289-P289))</f>
        <v/>
      </c>
      <c r="E289">
        <f>IF(E288&lt;=0,0,MAX(0,AJ289-Q289))</f>
        <v/>
      </c>
      <c r="F289">
        <f>IF(F288&lt;=0,0,MAX(0,AK289-R289))</f>
        <v/>
      </c>
      <c r="G289">
        <f>IF(G288&lt;=0,0,MAX(0,AL289-S289))</f>
        <v/>
      </c>
      <c r="H289">
        <f>IF(H288&lt;=0,0,MAX(0,AM289-T289))</f>
        <v/>
      </c>
      <c r="I289">
        <f>IF(I288&lt;=0,0,MAX(0,AN289-U289))</f>
        <v/>
      </c>
      <c r="J289">
        <f>IF(J288&lt;=0,0,MAX(0,AO289-V289))</f>
        <v/>
      </c>
      <c r="K289">
        <f>IF(K288&lt;=0,0,MAX(0,AP289-W289))</f>
        <v/>
      </c>
      <c r="L289">
        <f>IF(L288&lt;=0,0,MAX(0,AQ289-X289))</f>
        <v/>
      </c>
      <c r="M289">
        <f>IF(M288&lt;=0,0,MAX(0,AR289-Y289))</f>
        <v/>
      </c>
      <c r="N289">
        <f>IF(N288&lt;=0,0,MAX(0,AS289-Z289))</f>
        <v/>
      </c>
      <c r="O289">
        <f>IF(C288&lt;=0,0,MIN(AH289,C$7+IF(C$2=$AA289,$AC289,IF(C$2=$AF289,$AG289,0))))</f>
        <v/>
      </c>
      <c r="P289">
        <f>IF(D288&lt;=0,0,MIN(AI289,D$7+IF(D$2=$AA289,$AC289,IF(D$2=$AF289,$AG289,0))))</f>
        <v/>
      </c>
      <c r="Q289">
        <f>IF(E288&lt;=0,0,MIN(AJ289,E$7+IF(E$2=$AA289,$AC289,IF(E$2=$AF289,$AG289,0))))</f>
        <v/>
      </c>
      <c r="R289">
        <f>IF(F288&lt;=0,0,MIN(AK289,F$7+IF(F$2=$AA289,$AC289,IF(F$2=$AF289,$AG289,0))))</f>
        <v/>
      </c>
      <c r="S289">
        <f>IF(G288&lt;=0,0,MIN(AL289,G$7+IF(G$2=$AA289,$AC289,IF(G$2=$AF289,$AG289,0))))</f>
        <v/>
      </c>
      <c r="T289">
        <f>IF(H288&lt;=0,0,MIN(AM289,H$7+IF(H$2=$AA289,$AC289,IF(H$2=$AF289,$AG289,0))))</f>
        <v/>
      </c>
      <c r="U289">
        <f>IF(I288&lt;=0,0,MIN(AN289,I$7+IF(I$2=$AA289,$AC289,IF(I$2=$AF289,$AG289,0))))</f>
        <v/>
      </c>
      <c r="V289">
        <f>IF(J288&lt;=0,0,MIN(AO289,J$7+IF(J$2=$AA289,$AC289,IF(J$2=$AF289,$AG289,0))))</f>
        <v/>
      </c>
      <c r="W289">
        <f>IF(K288&lt;=0,0,MIN(AP289,K$7+IF(K$2=$AA289,$AC289,IF(K$2=$AF289,$AG289,0))))</f>
        <v/>
      </c>
      <c r="X289">
        <f>IF(L288&lt;=0,0,MIN(AQ289,L$7+IF(L$2=$AA289,$AC289,IF(L$2=$AF289,$AG289,0))))</f>
        <v/>
      </c>
      <c r="Y289">
        <f>IF(M288&lt;=0,0,MIN(AR289,M$7+IF(M$2=$AA289,$AC289,IF(M$2=$AF289,$AG289,0))))</f>
        <v/>
      </c>
      <c r="Z289">
        <f>IF(N288&lt;=0,0,MIN(AS289,N$7+IF(N$2=$AA289,$AC289,IF(N$2=$AF289,$AG289,0))))</f>
        <v/>
      </c>
      <c r="AA289">
        <f>IFERROR(ROUND(1/SUMPRODUCT(MAX((C288:N288&gt;0)*($C$3:$N$3&lt;=B289)/$C$2:$N$2)),0),0)</f>
        <v/>
      </c>
      <c r="AB289">
        <f>SUMPRODUCT((C288:N288&gt;0)*$C$7:$N$7)</f>
        <v/>
      </c>
      <c r="AC289">
        <f>MAX(0,Plan!$C$5-AB289)+IF(A289=Plan!$C$8,N(Plan!$C$7),0)</f>
        <v/>
      </c>
      <c r="AD289">
        <f>SUM(C289:N289)</f>
        <v/>
      </c>
      <c r="AE289">
        <f>SUM(O289:Z289)</f>
        <v/>
      </c>
      <c r="AF289">
        <f>IFERROR(ROUND(1/SUMPRODUCT(MAX((C288:N288&gt;0)*($C$3:$N$3&lt;=B289)*($C$2:$N$2&gt;AA289)/$C$2:$N$2)),0),0)</f>
        <v/>
      </c>
      <c r="AG289">
        <f>MAX(0,AC289-MAX(0,SUMPRODUCT(($C$2:$N$2=AA289)*(AH289:AS289-$C$7:$N$7))))</f>
        <v/>
      </c>
      <c r="AH289">
        <f>IF(C288&lt;=0,0,ROUND(C288*(1+IF(AND(C$6&gt;0,$B289&lt;C$6),C$4,C$5)/12),2))</f>
        <v/>
      </c>
      <c r="AI289">
        <f>IF(D288&lt;=0,0,ROUND(D288*(1+IF(AND(D$6&gt;0,$B289&lt;D$6),D$4,D$5)/12),2))</f>
        <v/>
      </c>
      <c r="AJ289">
        <f>IF(E288&lt;=0,0,ROUND(E288*(1+IF(AND(E$6&gt;0,$B289&lt;E$6),E$4,E$5)/12),2))</f>
        <v/>
      </c>
      <c r="AK289">
        <f>IF(F288&lt;=0,0,ROUND(F288*(1+IF(AND(F$6&gt;0,$B289&lt;F$6),F$4,F$5)/12),2))</f>
        <v/>
      </c>
      <c r="AL289">
        <f>IF(G288&lt;=0,0,ROUND(G288*(1+IF(AND(G$6&gt;0,$B289&lt;G$6),G$4,G$5)/12),2))</f>
        <v/>
      </c>
      <c r="AM289">
        <f>IF(H288&lt;=0,0,ROUND(H288*(1+IF(AND(H$6&gt;0,$B289&lt;H$6),H$4,H$5)/12),2))</f>
        <v/>
      </c>
      <c r="AN289">
        <f>IF(I288&lt;=0,0,ROUND(I288*(1+IF(AND(I$6&gt;0,$B289&lt;I$6),I$4,I$5)/12),2))</f>
        <v/>
      </c>
      <c r="AO289">
        <f>IF(J288&lt;=0,0,ROUND(J288*(1+IF(AND(J$6&gt;0,$B289&lt;J$6),J$4,J$5)/12),2))</f>
        <v/>
      </c>
      <c r="AP289">
        <f>IF(K288&lt;=0,0,ROUND(K288*(1+IF(AND(K$6&gt;0,$B289&lt;K$6),K$4,K$5)/12),2))</f>
        <v/>
      </c>
      <c r="AQ289">
        <f>IF(L288&lt;=0,0,ROUND(L288*(1+IF(AND(L$6&gt;0,$B289&lt;L$6),L$4,L$5)/12),2))</f>
        <v/>
      </c>
      <c r="AR289">
        <f>IF(M288&lt;=0,0,ROUND(M288*(1+IF(AND(M$6&gt;0,$B289&lt;M$6),M$4,M$5)/12),2))</f>
        <v/>
      </c>
      <c r="AS289">
        <f>IF(N288&lt;=0,0,ROUND(N288*(1+IF(AND(N$6&gt;0,$B289&lt;N$6),N$4,N$5)/12),2))</f>
        <v/>
      </c>
    </row>
    <row r="290">
      <c r="A290" t="n">
        <v>279</v>
      </c>
      <c r="B290">
        <f>EDATE(Plan!$C$6,278)</f>
        <v/>
      </c>
      <c r="C290">
        <f>IF(C289&lt;=0,0,MAX(0,AH290-O290))</f>
        <v/>
      </c>
      <c r="D290">
        <f>IF(D289&lt;=0,0,MAX(0,AI290-P290))</f>
        <v/>
      </c>
      <c r="E290">
        <f>IF(E289&lt;=0,0,MAX(0,AJ290-Q290))</f>
        <v/>
      </c>
      <c r="F290">
        <f>IF(F289&lt;=0,0,MAX(0,AK290-R290))</f>
        <v/>
      </c>
      <c r="G290">
        <f>IF(G289&lt;=0,0,MAX(0,AL290-S290))</f>
        <v/>
      </c>
      <c r="H290">
        <f>IF(H289&lt;=0,0,MAX(0,AM290-T290))</f>
        <v/>
      </c>
      <c r="I290">
        <f>IF(I289&lt;=0,0,MAX(0,AN290-U290))</f>
        <v/>
      </c>
      <c r="J290">
        <f>IF(J289&lt;=0,0,MAX(0,AO290-V290))</f>
        <v/>
      </c>
      <c r="K290">
        <f>IF(K289&lt;=0,0,MAX(0,AP290-W290))</f>
        <v/>
      </c>
      <c r="L290">
        <f>IF(L289&lt;=0,0,MAX(0,AQ290-X290))</f>
        <v/>
      </c>
      <c r="M290">
        <f>IF(M289&lt;=0,0,MAX(0,AR290-Y290))</f>
        <v/>
      </c>
      <c r="N290">
        <f>IF(N289&lt;=0,0,MAX(0,AS290-Z290))</f>
        <v/>
      </c>
      <c r="O290">
        <f>IF(C289&lt;=0,0,MIN(AH290,C$7+IF(C$2=$AA290,$AC290,IF(C$2=$AF290,$AG290,0))))</f>
        <v/>
      </c>
      <c r="P290">
        <f>IF(D289&lt;=0,0,MIN(AI290,D$7+IF(D$2=$AA290,$AC290,IF(D$2=$AF290,$AG290,0))))</f>
        <v/>
      </c>
      <c r="Q290">
        <f>IF(E289&lt;=0,0,MIN(AJ290,E$7+IF(E$2=$AA290,$AC290,IF(E$2=$AF290,$AG290,0))))</f>
        <v/>
      </c>
      <c r="R290">
        <f>IF(F289&lt;=0,0,MIN(AK290,F$7+IF(F$2=$AA290,$AC290,IF(F$2=$AF290,$AG290,0))))</f>
        <v/>
      </c>
      <c r="S290">
        <f>IF(G289&lt;=0,0,MIN(AL290,G$7+IF(G$2=$AA290,$AC290,IF(G$2=$AF290,$AG290,0))))</f>
        <v/>
      </c>
      <c r="T290">
        <f>IF(H289&lt;=0,0,MIN(AM290,H$7+IF(H$2=$AA290,$AC290,IF(H$2=$AF290,$AG290,0))))</f>
        <v/>
      </c>
      <c r="U290">
        <f>IF(I289&lt;=0,0,MIN(AN290,I$7+IF(I$2=$AA290,$AC290,IF(I$2=$AF290,$AG290,0))))</f>
        <v/>
      </c>
      <c r="V290">
        <f>IF(J289&lt;=0,0,MIN(AO290,J$7+IF(J$2=$AA290,$AC290,IF(J$2=$AF290,$AG290,0))))</f>
        <v/>
      </c>
      <c r="W290">
        <f>IF(K289&lt;=0,0,MIN(AP290,K$7+IF(K$2=$AA290,$AC290,IF(K$2=$AF290,$AG290,0))))</f>
        <v/>
      </c>
      <c r="X290">
        <f>IF(L289&lt;=0,0,MIN(AQ290,L$7+IF(L$2=$AA290,$AC290,IF(L$2=$AF290,$AG290,0))))</f>
        <v/>
      </c>
      <c r="Y290">
        <f>IF(M289&lt;=0,0,MIN(AR290,M$7+IF(M$2=$AA290,$AC290,IF(M$2=$AF290,$AG290,0))))</f>
        <v/>
      </c>
      <c r="Z290">
        <f>IF(N289&lt;=0,0,MIN(AS290,N$7+IF(N$2=$AA290,$AC290,IF(N$2=$AF290,$AG290,0))))</f>
        <v/>
      </c>
      <c r="AA290">
        <f>IFERROR(ROUND(1/SUMPRODUCT(MAX((C289:N289&gt;0)*($C$3:$N$3&lt;=B290)/$C$2:$N$2)),0),0)</f>
        <v/>
      </c>
      <c r="AB290">
        <f>SUMPRODUCT((C289:N289&gt;0)*$C$7:$N$7)</f>
        <v/>
      </c>
      <c r="AC290">
        <f>MAX(0,Plan!$C$5-AB290)+IF(A290=Plan!$C$8,N(Plan!$C$7),0)</f>
        <v/>
      </c>
      <c r="AD290">
        <f>SUM(C290:N290)</f>
        <v/>
      </c>
      <c r="AE290">
        <f>SUM(O290:Z290)</f>
        <v/>
      </c>
      <c r="AF290">
        <f>IFERROR(ROUND(1/SUMPRODUCT(MAX((C289:N289&gt;0)*($C$3:$N$3&lt;=B290)*($C$2:$N$2&gt;AA290)/$C$2:$N$2)),0),0)</f>
        <v/>
      </c>
      <c r="AG290">
        <f>MAX(0,AC290-MAX(0,SUMPRODUCT(($C$2:$N$2=AA290)*(AH290:AS290-$C$7:$N$7))))</f>
        <v/>
      </c>
      <c r="AH290">
        <f>IF(C289&lt;=0,0,ROUND(C289*(1+IF(AND(C$6&gt;0,$B290&lt;C$6),C$4,C$5)/12),2))</f>
        <v/>
      </c>
      <c r="AI290">
        <f>IF(D289&lt;=0,0,ROUND(D289*(1+IF(AND(D$6&gt;0,$B290&lt;D$6),D$4,D$5)/12),2))</f>
        <v/>
      </c>
      <c r="AJ290">
        <f>IF(E289&lt;=0,0,ROUND(E289*(1+IF(AND(E$6&gt;0,$B290&lt;E$6),E$4,E$5)/12),2))</f>
        <v/>
      </c>
      <c r="AK290">
        <f>IF(F289&lt;=0,0,ROUND(F289*(1+IF(AND(F$6&gt;0,$B290&lt;F$6),F$4,F$5)/12),2))</f>
        <v/>
      </c>
      <c r="AL290">
        <f>IF(G289&lt;=0,0,ROUND(G289*(1+IF(AND(G$6&gt;0,$B290&lt;G$6),G$4,G$5)/12),2))</f>
        <v/>
      </c>
      <c r="AM290">
        <f>IF(H289&lt;=0,0,ROUND(H289*(1+IF(AND(H$6&gt;0,$B290&lt;H$6),H$4,H$5)/12),2))</f>
        <v/>
      </c>
      <c r="AN290">
        <f>IF(I289&lt;=0,0,ROUND(I289*(1+IF(AND(I$6&gt;0,$B290&lt;I$6),I$4,I$5)/12),2))</f>
        <v/>
      </c>
      <c r="AO290">
        <f>IF(J289&lt;=0,0,ROUND(J289*(1+IF(AND(J$6&gt;0,$B290&lt;J$6),J$4,J$5)/12),2))</f>
        <v/>
      </c>
      <c r="AP290">
        <f>IF(K289&lt;=0,0,ROUND(K289*(1+IF(AND(K$6&gt;0,$B290&lt;K$6),K$4,K$5)/12),2))</f>
        <v/>
      </c>
      <c r="AQ290">
        <f>IF(L289&lt;=0,0,ROUND(L289*(1+IF(AND(L$6&gt;0,$B290&lt;L$6),L$4,L$5)/12),2))</f>
        <v/>
      </c>
      <c r="AR290">
        <f>IF(M289&lt;=0,0,ROUND(M289*(1+IF(AND(M$6&gt;0,$B290&lt;M$6),M$4,M$5)/12),2))</f>
        <v/>
      </c>
      <c r="AS290">
        <f>IF(N289&lt;=0,0,ROUND(N289*(1+IF(AND(N$6&gt;0,$B290&lt;N$6),N$4,N$5)/12),2))</f>
        <v/>
      </c>
    </row>
    <row r="291">
      <c r="A291" t="n">
        <v>280</v>
      </c>
      <c r="B291">
        <f>EDATE(Plan!$C$6,279)</f>
        <v/>
      </c>
      <c r="C291">
        <f>IF(C290&lt;=0,0,MAX(0,AH291-O291))</f>
        <v/>
      </c>
      <c r="D291">
        <f>IF(D290&lt;=0,0,MAX(0,AI291-P291))</f>
        <v/>
      </c>
      <c r="E291">
        <f>IF(E290&lt;=0,0,MAX(0,AJ291-Q291))</f>
        <v/>
      </c>
      <c r="F291">
        <f>IF(F290&lt;=0,0,MAX(0,AK291-R291))</f>
        <v/>
      </c>
      <c r="G291">
        <f>IF(G290&lt;=0,0,MAX(0,AL291-S291))</f>
        <v/>
      </c>
      <c r="H291">
        <f>IF(H290&lt;=0,0,MAX(0,AM291-T291))</f>
        <v/>
      </c>
      <c r="I291">
        <f>IF(I290&lt;=0,0,MAX(0,AN291-U291))</f>
        <v/>
      </c>
      <c r="J291">
        <f>IF(J290&lt;=0,0,MAX(0,AO291-V291))</f>
        <v/>
      </c>
      <c r="K291">
        <f>IF(K290&lt;=0,0,MAX(0,AP291-W291))</f>
        <v/>
      </c>
      <c r="L291">
        <f>IF(L290&lt;=0,0,MAX(0,AQ291-X291))</f>
        <v/>
      </c>
      <c r="M291">
        <f>IF(M290&lt;=0,0,MAX(0,AR291-Y291))</f>
        <v/>
      </c>
      <c r="N291">
        <f>IF(N290&lt;=0,0,MAX(0,AS291-Z291))</f>
        <v/>
      </c>
      <c r="O291">
        <f>IF(C290&lt;=0,0,MIN(AH291,C$7+IF(C$2=$AA291,$AC291,IF(C$2=$AF291,$AG291,0))))</f>
        <v/>
      </c>
      <c r="P291">
        <f>IF(D290&lt;=0,0,MIN(AI291,D$7+IF(D$2=$AA291,$AC291,IF(D$2=$AF291,$AG291,0))))</f>
        <v/>
      </c>
      <c r="Q291">
        <f>IF(E290&lt;=0,0,MIN(AJ291,E$7+IF(E$2=$AA291,$AC291,IF(E$2=$AF291,$AG291,0))))</f>
        <v/>
      </c>
      <c r="R291">
        <f>IF(F290&lt;=0,0,MIN(AK291,F$7+IF(F$2=$AA291,$AC291,IF(F$2=$AF291,$AG291,0))))</f>
        <v/>
      </c>
      <c r="S291">
        <f>IF(G290&lt;=0,0,MIN(AL291,G$7+IF(G$2=$AA291,$AC291,IF(G$2=$AF291,$AG291,0))))</f>
        <v/>
      </c>
      <c r="T291">
        <f>IF(H290&lt;=0,0,MIN(AM291,H$7+IF(H$2=$AA291,$AC291,IF(H$2=$AF291,$AG291,0))))</f>
        <v/>
      </c>
      <c r="U291">
        <f>IF(I290&lt;=0,0,MIN(AN291,I$7+IF(I$2=$AA291,$AC291,IF(I$2=$AF291,$AG291,0))))</f>
        <v/>
      </c>
      <c r="V291">
        <f>IF(J290&lt;=0,0,MIN(AO291,J$7+IF(J$2=$AA291,$AC291,IF(J$2=$AF291,$AG291,0))))</f>
        <v/>
      </c>
      <c r="W291">
        <f>IF(K290&lt;=0,0,MIN(AP291,K$7+IF(K$2=$AA291,$AC291,IF(K$2=$AF291,$AG291,0))))</f>
        <v/>
      </c>
      <c r="X291">
        <f>IF(L290&lt;=0,0,MIN(AQ291,L$7+IF(L$2=$AA291,$AC291,IF(L$2=$AF291,$AG291,0))))</f>
        <v/>
      </c>
      <c r="Y291">
        <f>IF(M290&lt;=0,0,MIN(AR291,M$7+IF(M$2=$AA291,$AC291,IF(M$2=$AF291,$AG291,0))))</f>
        <v/>
      </c>
      <c r="Z291">
        <f>IF(N290&lt;=0,0,MIN(AS291,N$7+IF(N$2=$AA291,$AC291,IF(N$2=$AF291,$AG291,0))))</f>
        <v/>
      </c>
      <c r="AA291">
        <f>IFERROR(ROUND(1/SUMPRODUCT(MAX((C290:N290&gt;0)*($C$3:$N$3&lt;=B291)/$C$2:$N$2)),0),0)</f>
        <v/>
      </c>
      <c r="AB291">
        <f>SUMPRODUCT((C290:N290&gt;0)*$C$7:$N$7)</f>
        <v/>
      </c>
      <c r="AC291">
        <f>MAX(0,Plan!$C$5-AB291)+IF(A291=Plan!$C$8,N(Plan!$C$7),0)</f>
        <v/>
      </c>
      <c r="AD291">
        <f>SUM(C291:N291)</f>
        <v/>
      </c>
      <c r="AE291">
        <f>SUM(O291:Z291)</f>
        <v/>
      </c>
      <c r="AF291">
        <f>IFERROR(ROUND(1/SUMPRODUCT(MAX((C290:N290&gt;0)*($C$3:$N$3&lt;=B291)*($C$2:$N$2&gt;AA291)/$C$2:$N$2)),0),0)</f>
        <v/>
      </c>
      <c r="AG291">
        <f>MAX(0,AC291-MAX(0,SUMPRODUCT(($C$2:$N$2=AA291)*(AH291:AS291-$C$7:$N$7))))</f>
        <v/>
      </c>
      <c r="AH291">
        <f>IF(C290&lt;=0,0,ROUND(C290*(1+IF(AND(C$6&gt;0,$B291&lt;C$6),C$4,C$5)/12),2))</f>
        <v/>
      </c>
      <c r="AI291">
        <f>IF(D290&lt;=0,0,ROUND(D290*(1+IF(AND(D$6&gt;0,$B291&lt;D$6),D$4,D$5)/12),2))</f>
        <v/>
      </c>
      <c r="AJ291">
        <f>IF(E290&lt;=0,0,ROUND(E290*(1+IF(AND(E$6&gt;0,$B291&lt;E$6),E$4,E$5)/12),2))</f>
        <v/>
      </c>
      <c r="AK291">
        <f>IF(F290&lt;=0,0,ROUND(F290*(1+IF(AND(F$6&gt;0,$B291&lt;F$6),F$4,F$5)/12),2))</f>
        <v/>
      </c>
      <c r="AL291">
        <f>IF(G290&lt;=0,0,ROUND(G290*(1+IF(AND(G$6&gt;0,$B291&lt;G$6),G$4,G$5)/12),2))</f>
        <v/>
      </c>
      <c r="AM291">
        <f>IF(H290&lt;=0,0,ROUND(H290*(1+IF(AND(H$6&gt;0,$B291&lt;H$6),H$4,H$5)/12),2))</f>
        <v/>
      </c>
      <c r="AN291">
        <f>IF(I290&lt;=0,0,ROUND(I290*(1+IF(AND(I$6&gt;0,$B291&lt;I$6),I$4,I$5)/12),2))</f>
        <v/>
      </c>
      <c r="AO291">
        <f>IF(J290&lt;=0,0,ROUND(J290*(1+IF(AND(J$6&gt;0,$B291&lt;J$6),J$4,J$5)/12),2))</f>
        <v/>
      </c>
      <c r="AP291">
        <f>IF(K290&lt;=0,0,ROUND(K290*(1+IF(AND(K$6&gt;0,$B291&lt;K$6),K$4,K$5)/12),2))</f>
        <v/>
      </c>
      <c r="AQ291">
        <f>IF(L290&lt;=0,0,ROUND(L290*(1+IF(AND(L$6&gt;0,$B291&lt;L$6),L$4,L$5)/12),2))</f>
        <v/>
      </c>
      <c r="AR291">
        <f>IF(M290&lt;=0,0,ROUND(M290*(1+IF(AND(M$6&gt;0,$B291&lt;M$6),M$4,M$5)/12),2))</f>
        <v/>
      </c>
      <c r="AS291">
        <f>IF(N290&lt;=0,0,ROUND(N290*(1+IF(AND(N$6&gt;0,$B291&lt;N$6),N$4,N$5)/12),2))</f>
        <v/>
      </c>
    </row>
    <row r="292">
      <c r="A292" t="n">
        <v>281</v>
      </c>
      <c r="B292">
        <f>EDATE(Plan!$C$6,280)</f>
        <v/>
      </c>
      <c r="C292">
        <f>IF(C291&lt;=0,0,MAX(0,AH292-O292))</f>
        <v/>
      </c>
      <c r="D292">
        <f>IF(D291&lt;=0,0,MAX(0,AI292-P292))</f>
        <v/>
      </c>
      <c r="E292">
        <f>IF(E291&lt;=0,0,MAX(0,AJ292-Q292))</f>
        <v/>
      </c>
      <c r="F292">
        <f>IF(F291&lt;=0,0,MAX(0,AK292-R292))</f>
        <v/>
      </c>
      <c r="G292">
        <f>IF(G291&lt;=0,0,MAX(0,AL292-S292))</f>
        <v/>
      </c>
      <c r="H292">
        <f>IF(H291&lt;=0,0,MAX(0,AM292-T292))</f>
        <v/>
      </c>
      <c r="I292">
        <f>IF(I291&lt;=0,0,MAX(0,AN292-U292))</f>
        <v/>
      </c>
      <c r="J292">
        <f>IF(J291&lt;=0,0,MAX(0,AO292-V292))</f>
        <v/>
      </c>
      <c r="K292">
        <f>IF(K291&lt;=0,0,MAX(0,AP292-W292))</f>
        <v/>
      </c>
      <c r="L292">
        <f>IF(L291&lt;=0,0,MAX(0,AQ292-X292))</f>
        <v/>
      </c>
      <c r="M292">
        <f>IF(M291&lt;=0,0,MAX(0,AR292-Y292))</f>
        <v/>
      </c>
      <c r="N292">
        <f>IF(N291&lt;=0,0,MAX(0,AS292-Z292))</f>
        <v/>
      </c>
      <c r="O292">
        <f>IF(C291&lt;=0,0,MIN(AH292,C$7+IF(C$2=$AA292,$AC292,IF(C$2=$AF292,$AG292,0))))</f>
        <v/>
      </c>
      <c r="P292">
        <f>IF(D291&lt;=0,0,MIN(AI292,D$7+IF(D$2=$AA292,$AC292,IF(D$2=$AF292,$AG292,0))))</f>
        <v/>
      </c>
      <c r="Q292">
        <f>IF(E291&lt;=0,0,MIN(AJ292,E$7+IF(E$2=$AA292,$AC292,IF(E$2=$AF292,$AG292,0))))</f>
        <v/>
      </c>
      <c r="R292">
        <f>IF(F291&lt;=0,0,MIN(AK292,F$7+IF(F$2=$AA292,$AC292,IF(F$2=$AF292,$AG292,0))))</f>
        <v/>
      </c>
      <c r="S292">
        <f>IF(G291&lt;=0,0,MIN(AL292,G$7+IF(G$2=$AA292,$AC292,IF(G$2=$AF292,$AG292,0))))</f>
        <v/>
      </c>
      <c r="T292">
        <f>IF(H291&lt;=0,0,MIN(AM292,H$7+IF(H$2=$AA292,$AC292,IF(H$2=$AF292,$AG292,0))))</f>
        <v/>
      </c>
      <c r="U292">
        <f>IF(I291&lt;=0,0,MIN(AN292,I$7+IF(I$2=$AA292,$AC292,IF(I$2=$AF292,$AG292,0))))</f>
        <v/>
      </c>
      <c r="V292">
        <f>IF(J291&lt;=0,0,MIN(AO292,J$7+IF(J$2=$AA292,$AC292,IF(J$2=$AF292,$AG292,0))))</f>
        <v/>
      </c>
      <c r="W292">
        <f>IF(K291&lt;=0,0,MIN(AP292,K$7+IF(K$2=$AA292,$AC292,IF(K$2=$AF292,$AG292,0))))</f>
        <v/>
      </c>
      <c r="X292">
        <f>IF(L291&lt;=0,0,MIN(AQ292,L$7+IF(L$2=$AA292,$AC292,IF(L$2=$AF292,$AG292,0))))</f>
        <v/>
      </c>
      <c r="Y292">
        <f>IF(M291&lt;=0,0,MIN(AR292,M$7+IF(M$2=$AA292,$AC292,IF(M$2=$AF292,$AG292,0))))</f>
        <v/>
      </c>
      <c r="Z292">
        <f>IF(N291&lt;=0,0,MIN(AS292,N$7+IF(N$2=$AA292,$AC292,IF(N$2=$AF292,$AG292,0))))</f>
        <v/>
      </c>
      <c r="AA292">
        <f>IFERROR(ROUND(1/SUMPRODUCT(MAX((C291:N291&gt;0)*($C$3:$N$3&lt;=B292)/$C$2:$N$2)),0),0)</f>
        <v/>
      </c>
      <c r="AB292">
        <f>SUMPRODUCT((C291:N291&gt;0)*$C$7:$N$7)</f>
        <v/>
      </c>
      <c r="AC292">
        <f>MAX(0,Plan!$C$5-AB292)+IF(A292=Plan!$C$8,N(Plan!$C$7),0)</f>
        <v/>
      </c>
      <c r="AD292">
        <f>SUM(C292:N292)</f>
        <v/>
      </c>
      <c r="AE292">
        <f>SUM(O292:Z292)</f>
        <v/>
      </c>
      <c r="AF292">
        <f>IFERROR(ROUND(1/SUMPRODUCT(MAX((C291:N291&gt;0)*($C$3:$N$3&lt;=B292)*($C$2:$N$2&gt;AA292)/$C$2:$N$2)),0),0)</f>
        <v/>
      </c>
      <c r="AG292">
        <f>MAX(0,AC292-MAX(0,SUMPRODUCT(($C$2:$N$2=AA292)*(AH292:AS292-$C$7:$N$7))))</f>
        <v/>
      </c>
      <c r="AH292">
        <f>IF(C291&lt;=0,0,ROUND(C291*(1+IF(AND(C$6&gt;0,$B292&lt;C$6),C$4,C$5)/12),2))</f>
        <v/>
      </c>
      <c r="AI292">
        <f>IF(D291&lt;=0,0,ROUND(D291*(1+IF(AND(D$6&gt;0,$B292&lt;D$6),D$4,D$5)/12),2))</f>
        <v/>
      </c>
      <c r="AJ292">
        <f>IF(E291&lt;=0,0,ROUND(E291*(1+IF(AND(E$6&gt;0,$B292&lt;E$6),E$4,E$5)/12),2))</f>
        <v/>
      </c>
      <c r="AK292">
        <f>IF(F291&lt;=0,0,ROUND(F291*(1+IF(AND(F$6&gt;0,$B292&lt;F$6),F$4,F$5)/12),2))</f>
        <v/>
      </c>
      <c r="AL292">
        <f>IF(G291&lt;=0,0,ROUND(G291*(1+IF(AND(G$6&gt;0,$B292&lt;G$6),G$4,G$5)/12),2))</f>
        <v/>
      </c>
      <c r="AM292">
        <f>IF(H291&lt;=0,0,ROUND(H291*(1+IF(AND(H$6&gt;0,$B292&lt;H$6),H$4,H$5)/12),2))</f>
        <v/>
      </c>
      <c r="AN292">
        <f>IF(I291&lt;=0,0,ROUND(I291*(1+IF(AND(I$6&gt;0,$B292&lt;I$6),I$4,I$5)/12),2))</f>
        <v/>
      </c>
      <c r="AO292">
        <f>IF(J291&lt;=0,0,ROUND(J291*(1+IF(AND(J$6&gt;0,$B292&lt;J$6),J$4,J$5)/12),2))</f>
        <v/>
      </c>
      <c r="AP292">
        <f>IF(K291&lt;=0,0,ROUND(K291*(1+IF(AND(K$6&gt;0,$B292&lt;K$6),K$4,K$5)/12),2))</f>
        <v/>
      </c>
      <c r="AQ292">
        <f>IF(L291&lt;=0,0,ROUND(L291*(1+IF(AND(L$6&gt;0,$B292&lt;L$6),L$4,L$5)/12),2))</f>
        <v/>
      </c>
      <c r="AR292">
        <f>IF(M291&lt;=0,0,ROUND(M291*(1+IF(AND(M$6&gt;0,$B292&lt;M$6),M$4,M$5)/12),2))</f>
        <v/>
      </c>
      <c r="AS292">
        <f>IF(N291&lt;=0,0,ROUND(N291*(1+IF(AND(N$6&gt;0,$B292&lt;N$6),N$4,N$5)/12),2))</f>
        <v/>
      </c>
    </row>
    <row r="293">
      <c r="A293" t="n">
        <v>282</v>
      </c>
      <c r="B293">
        <f>EDATE(Plan!$C$6,281)</f>
        <v/>
      </c>
      <c r="C293">
        <f>IF(C292&lt;=0,0,MAX(0,AH293-O293))</f>
        <v/>
      </c>
      <c r="D293">
        <f>IF(D292&lt;=0,0,MAX(0,AI293-P293))</f>
        <v/>
      </c>
      <c r="E293">
        <f>IF(E292&lt;=0,0,MAX(0,AJ293-Q293))</f>
        <v/>
      </c>
      <c r="F293">
        <f>IF(F292&lt;=0,0,MAX(0,AK293-R293))</f>
        <v/>
      </c>
      <c r="G293">
        <f>IF(G292&lt;=0,0,MAX(0,AL293-S293))</f>
        <v/>
      </c>
      <c r="H293">
        <f>IF(H292&lt;=0,0,MAX(0,AM293-T293))</f>
        <v/>
      </c>
      <c r="I293">
        <f>IF(I292&lt;=0,0,MAX(0,AN293-U293))</f>
        <v/>
      </c>
      <c r="J293">
        <f>IF(J292&lt;=0,0,MAX(0,AO293-V293))</f>
        <v/>
      </c>
      <c r="K293">
        <f>IF(K292&lt;=0,0,MAX(0,AP293-W293))</f>
        <v/>
      </c>
      <c r="L293">
        <f>IF(L292&lt;=0,0,MAX(0,AQ293-X293))</f>
        <v/>
      </c>
      <c r="M293">
        <f>IF(M292&lt;=0,0,MAX(0,AR293-Y293))</f>
        <v/>
      </c>
      <c r="N293">
        <f>IF(N292&lt;=0,0,MAX(0,AS293-Z293))</f>
        <v/>
      </c>
      <c r="O293">
        <f>IF(C292&lt;=0,0,MIN(AH293,C$7+IF(C$2=$AA293,$AC293,IF(C$2=$AF293,$AG293,0))))</f>
        <v/>
      </c>
      <c r="P293">
        <f>IF(D292&lt;=0,0,MIN(AI293,D$7+IF(D$2=$AA293,$AC293,IF(D$2=$AF293,$AG293,0))))</f>
        <v/>
      </c>
      <c r="Q293">
        <f>IF(E292&lt;=0,0,MIN(AJ293,E$7+IF(E$2=$AA293,$AC293,IF(E$2=$AF293,$AG293,0))))</f>
        <v/>
      </c>
      <c r="R293">
        <f>IF(F292&lt;=0,0,MIN(AK293,F$7+IF(F$2=$AA293,$AC293,IF(F$2=$AF293,$AG293,0))))</f>
        <v/>
      </c>
      <c r="S293">
        <f>IF(G292&lt;=0,0,MIN(AL293,G$7+IF(G$2=$AA293,$AC293,IF(G$2=$AF293,$AG293,0))))</f>
        <v/>
      </c>
      <c r="T293">
        <f>IF(H292&lt;=0,0,MIN(AM293,H$7+IF(H$2=$AA293,$AC293,IF(H$2=$AF293,$AG293,0))))</f>
        <v/>
      </c>
      <c r="U293">
        <f>IF(I292&lt;=0,0,MIN(AN293,I$7+IF(I$2=$AA293,$AC293,IF(I$2=$AF293,$AG293,0))))</f>
        <v/>
      </c>
      <c r="V293">
        <f>IF(J292&lt;=0,0,MIN(AO293,J$7+IF(J$2=$AA293,$AC293,IF(J$2=$AF293,$AG293,0))))</f>
        <v/>
      </c>
      <c r="W293">
        <f>IF(K292&lt;=0,0,MIN(AP293,K$7+IF(K$2=$AA293,$AC293,IF(K$2=$AF293,$AG293,0))))</f>
        <v/>
      </c>
      <c r="X293">
        <f>IF(L292&lt;=0,0,MIN(AQ293,L$7+IF(L$2=$AA293,$AC293,IF(L$2=$AF293,$AG293,0))))</f>
        <v/>
      </c>
      <c r="Y293">
        <f>IF(M292&lt;=0,0,MIN(AR293,M$7+IF(M$2=$AA293,$AC293,IF(M$2=$AF293,$AG293,0))))</f>
        <v/>
      </c>
      <c r="Z293">
        <f>IF(N292&lt;=0,0,MIN(AS293,N$7+IF(N$2=$AA293,$AC293,IF(N$2=$AF293,$AG293,0))))</f>
        <v/>
      </c>
      <c r="AA293">
        <f>IFERROR(ROUND(1/SUMPRODUCT(MAX((C292:N292&gt;0)*($C$3:$N$3&lt;=B293)/$C$2:$N$2)),0),0)</f>
        <v/>
      </c>
      <c r="AB293">
        <f>SUMPRODUCT((C292:N292&gt;0)*$C$7:$N$7)</f>
        <v/>
      </c>
      <c r="AC293">
        <f>MAX(0,Plan!$C$5-AB293)+IF(A293=Plan!$C$8,N(Plan!$C$7),0)</f>
        <v/>
      </c>
      <c r="AD293">
        <f>SUM(C293:N293)</f>
        <v/>
      </c>
      <c r="AE293">
        <f>SUM(O293:Z293)</f>
        <v/>
      </c>
      <c r="AF293">
        <f>IFERROR(ROUND(1/SUMPRODUCT(MAX((C292:N292&gt;0)*($C$3:$N$3&lt;=B293)*($C$2:$N$2&gt;AA293)/$C$2:$N$2)),0),0)</f>
        <v/>
      </c>
      <c r="AG293">
        <f>MAX(0,AC293-MAX(0,SUMPRODUCT(($C$2:$N$2=AA293)*(AH293:AS293-$C$7:$N$7))))</f>
        <v/>
      </c>
      <c r="AH293">
        <f>IF(C292&lt;=0,0,ROUND(C292*(1+IF(AND(C$6&gt;0,$B293&lt;C$6),C$4,C$5)/12),2))</f>
        <v/>
      </c>
      <c r="AI293">
        <f>IF(D292&lt;=0,0,ROUND(D292*(1+IF(AND(D$6&gt;0,$B293&lt;D$6),D$4,D$5)/12),2))</f>
        <v/>
      </c>
      <c r="AJ293">
        <f>IF(E292&lt;=0,0,ROUND(E292*(1+IF(AND(E$6&gt;0,$B293&lt;E$6),E$4,E$5)/12),2))</f>
        <v/>
      </c>
      <c r="AK293">
        <f>IF(F292&lt;=0,0,ROUND(F292*(1+IF(AND(F$6&gt;0,$B293&lt;F$6),F$4,F$5)/12),2))</f>
        <v/>
      </c>
      <c r="AL293">
        <f>IF(G292&lt;=0,0,ROUND(G292*(1+IF(AND(G$6&gt;0,$B293&lt;G$6),G$4,G$5)/12),2))</f>
        <v/>
      </c>
      <c r="AM293">
        <f>IF(H292&lt;=0,0,ROUND(H292*(1+IF(AND(H$6&gt;0,$B293&lt;H$6),H$4,H$5)/12),2))</f>
        <v/>
      </c>
      <c r="AN293">
        <f>IF(I292&lt;=0,0,ROUND(I292*(1+IF(AND(I$6&gt;0,$B293&lt;I$6),I$4,I$5)/12),2))</f>
        <v/>
      </c>
      <c r="AO293">
        <f>IF(J292&lt;=0,0,ROUND(J292*(1+IF(AND(J$6&gt;0,$B293&lt;J$6),J$4,J$5)/12),2))</f>
        <v/>
      </c>
      <c r="AP293">
        <f>IF(K292&lt;=0,0,ROUND(K292*(1+IF(AND(K$6&gt;0,$B293&lt;K$6),K$4,K$5)/12),2))</f>
        <v/>
      </c>
      <c r="AQ293">
        <f>IF(L292&lt;=0,0,ROUND(L292*(1+IF(AND(L$6&gt;0,$B293&lt;L$6),L$4,L$5)/12),2))</f>
        <v/>
      </c>
      <c r="AR293">
        <f>IF(M292&lt;=0,0,ROUND(M292*(1+IF(AND(M$6&gt;0,$B293&lt;M$6),M$4,M$5)/12),2))</f>
        <v/>
      </c>
      <c r="AS293">
        <f>IF(N292&lt;=0,0,ROUND(N292*(1+IF(AND(N$6&gt;0,$B293&lt;N$6),N$4,N$5)/12),2))</f>
        <v/>
      </c>
    </row>
    <row r="294">
      <c r="A294" t="n">
        <v>283</v>
      </c>
      <c r="B294">
        <f>EDATE(Plan!$C$6,282)</f>
        <v/>
      </c>
      <c r="C294">
        <f>IF(C293&lt;=0,0,MAX(0,AH294-O294))</f>
        <v/>
      </c>
      <c r="D294">
        <f>IF(D293&lt;=0,0,MAX(0,AI294-P294))</f>
        <v/>
      </c>
      <c r="E294">
        <f>IF(E293&lt;=0,0,MAX(0,AJ294-Q294))</f>
        <v/>
      </c>
      <c r="F294">
        <f>IF(F293&lt;=0,0,MAX(0,AK294-R294))</f>
        <v/>
      </c>
      <c r="G294">
        <f>IF(G293&lt;=0,0,MAX(0,AL294-S294))</f>
        <v/>
      </c>
      <c r="H294">
        <f>IF(H293&lt;=0,0,MAX(0,AM294-T294))</f>
        <v/>
      </c>
      <c r="I294">
        <f>IF(I293&lt;=0,0,MAX(0,AN294-U294))</f>
        <v/>
      </c>
      <c r="J294">
        <f>IF(J293&lt;=0,0,MAX(0,AO294-V294))</f>
        <v/>
      </c>
      <c r="K294">
        <f>IF(K293&lt;=0,0,MAX(0,AP294-W294))</f>
        <v/>
      </c>
      <c r="L294">
        <f>IF(L293&lt;=0,0,MAX(0,AQ294-X294))</f>
        <v/>
      </c>
      <c r="M294">
        <f>IF(M293&lt;=0,0,MAX(0,AR294-Y294))</f>
        <v/>
      </c>
      <c r="N294">
        <f>IF(N293&lt;=0,0,MAX(0,AS294-Z294))</f>
        <v/>
      </c>
      <c r="O294">
        <f>IF(C293&lt;=0,0,MIN(AH294,C$7+IF(C$2=$AA294,$AC294,IF(C$2=$AF294,$AG294,0))))</f>
        <v/>
      </c>
      <c r="P294">
        <f>IF(D293&lt;=0,0,MIN(AI294,D$7+IF(D$2=$AA294,$AC294,IF(D$2=$AF294,$AG294,0))))</f>
        <v/>
      </c>
      <c r="Q294">
        <f>IF(E293&lt;=0,0,MIN(AJ294,E$7+IF(E$2=$AA294,$AC294,IF(E$2=$AF294,$AG294,0))))</f>
        <v/>
      </c>
      <c r="R294">
        <f>IF(F293&lt;=0,0,MIN(AK294,F$7+IF(F$2=$AA294,$AC294,IF(F$2=$AF294,$AG294,0))))</f>
        <v/>
      </c>
      <c r="S294">
        <f>IF(G293&lt;=0,0,MIN(AL294,G$7+IF(G$2=$AA294,$AC294,IF(G$2=$AF294,$AG294,0))))</f>
        <v/>
      </c>
      <c r="T294">
        <f>IF(H293&lt;=0,0,MIN(AM294,H$7+IF(H$2=$AA294,$AC294,IF(H$2=$AF294,$AG294,0))))</f>
        <v/>
      </c>
      <c r="U294">
        <f>IF(I293&lt;=0,0,MIN(AN294,I$7+IF(I$2=$AA294,$AC294,IF(I$2=$AF294,$AG294,0))))</f>
        <v/>
      </c>
      <c r="V294">
        <f>IF(J293&lt;=0,0,MIN(AO294,J$7+IF(J$2=$AA294,$AC294,IF(J$2=$AF294,$AG294,0))))</f>
        <v/>
      </c>
      <c r="W294">
        <f>IF(K293&lt;=0,0,MIN(AP294,K$7+IF(K$2=$AA294,$AC294,IF(K$2=$AF294,$AG294,0))))</f>
        <v/>
      </c>
      <c r="X294">
        <f>IF(L293&lt;=0,0,MIN(AQ294,L$7+IF(L$2=$AA294,$AC294,IF(L$2=$AF294,$AG294,0))))</f>
        <v/>
      </c>
      <c r="Y294">
        <f>IF(M293&lt;=0,0,MIN(AR294,M$7+IF(M$2=$AA294,$AC294,IF(M$2=$AF294,$AG294,0))))</f>
        <v/>
      </c>
      <c r="Z294">
        <f>IF(N293&lt;=0,0,MIN(AS294,N$7+IF(N$2=$AA294,$AC294,IF(N$2=$AF294,$AG294,0))))</f>
        <v/>
      </c>
      <c r="AA294">
        <f>IFERROR(ROUND(1/SUMPRODUCT(MAX((C293:N293&gt;0)*($C$3:$N$3&lt;=B294)/$C$2:$N$2)),0),0)</f>
        <v/>
      </c>
      <c r="AB294">
        <f>SUMPRODUCT((C293:N293&gt;0)*$C$7:$N$7)</f>
        <v/>
      </c>
      <c r="AC294">
        <f>MAX(0,Plan!$C$5-AB294)+IF(A294=Plan!$C$8,N(Plan!$C$7),0)</f>
        <v/>
      </c>
      <c r="AD294">
        <f>SUM(C294:N294)</f>
        <v/>
      </c>
      <c r="AE294">
        <f>SUM(O294:Z294)</f>
        <v/>
      </c>
      <c r="AF294">
        <f>IFERROR(ROUND(1/SUMPRODUCT(MAX((C293:N293&gt;0)*($C$3:$N$3&lt;=B294)*($C$2:$N$2&gt;AA294)/$C$2:$N$2)),0),0)</f>
        <v/>
      </c>
      <c r="AG294">
        <f>MAX(0,AC294-MAX(0,SUMPRODUCT(($C$2:$N$2=AA294)*(AH294:AS294-$C$7:$N$7))))</f>
        <v/>
      </c>
      <c r="AH294">
        <f>IF(C293&lt;=0,0,ROUND(C293*(1+IF(AND(C$6&gt;0,$B294&lt;C$6),C$4,C$5)/12),2))</f>
        <v/>
      </c>
      <c r="AI294">
        <f>IF(D293&lt;=0,0,ROUND(D293*(1+IF(AND(D$6&gt;0,$B294&lt;D$6),D$4,D$5)/12),2))</f>
        <v/>
      </c>
      <c r="AJ294">
        <f>IF(E293&lt;=0,0,ROUND(E293*(1+IF(AND(E$6&gt;0,$B294&lt;E$6),E$4,E$5)/12),2))</f>
        <v/>
      </c>
      <c r="AK294">
        <f>IF(F293&lt;=0,0,ROUND(F293*(1+IF(AND(F$6&gt;0,$B294&lt;F$6),F$4,F$5)/12),2))</f>
        <v/>
      </c>
      <c r="AL294">
        <f>IF(G293&lt;=0,0,ROUND(G293*(1+IF(AND(G$6&gt;0,$B294&lt;G$6),G$4,G$5)/12),2))</f>
        <v/>
      </c>
      <c r="AM294">
        <f>IF(H293&lt;=0,0,ROUND(H293*(1+IF(AND(H$6&gt;0,$B294&lt;H$6),H$4,H$5)/12),2))</f>
        <v/>
      </c>
      <c r="AN294">
        <f>IF(I293&lt;=0,0,ROUND(I293*(1+IF(AND(I$6&gt;0,$B294&lt;I$6),I$4,I$5)/12),2))</f>
        <v/>
      </c>
      <c r="AO294">
        <f>IF(J293&lt;=0,0,ROUND(J293*(1+IF(AND(J$6&gt;0,$B294&lt;J$6),J$4,J$5)/12),2))</f>
        <v/>
      </c>
      <c r="AP294">
        <f>IF(K293&lt;=0,0,ROUND(K293*(1+IF(AND(K$6&gt;0,$B294&lt;K$6),K$4,K$5)/12),2))</f>
        <v/>
      </c>
      <c r="AQ294">
        <f>IF(L293&lt;=0,0,ROUND(L293*(1+IF(AND(L$6&gt;0,$B294&lt;L$6),L$4,L$5)/12),2))</f>
        <v/>
      </c>
      <c r="AR294">
        <f>IF(M293&lt;=0,0,ROUND(M293*(1+IF(AND(M$6&gt;0,$B294&lt;M$6),M$4,M$5)/12),2))</f>
        <v/>
      </c>
      <c r="AS294">
        <f>IF(N293&lt;=0,0,ROUND(N293*(1+IF(AND(N$6&gt;0,$B294&lt;N$6),N$4,N$5)/12),2))</f>
        <v/>
      </c>
    </row>
    <row r="295">
      <c r="A295" t="n">
        <v>284</v>
      </c>
      <c r="B295">
        <f>EDATE(Plan!$C$6,283)</f>
        <v/>
      </c>
      <c r="C295">
        <f>IF(C294&lt;=0,0,MAX(0,AH295-O295))</f>
        <v/>
      </c>
      <c r="D295">
        <f>IF(D294&lt;=0,0,MAX(0,AI295-P295))</f>
        <v/>
      </c>
      <c r="E295">
        <f>IF(E294&lt;=0,0,MAX(0,AJ295-Q295))</f>
        <v/>
      </c>
      <c r="F295">
        <f>IF(F294&lt;=0,0,MAX(0,AK295-R295))</f>
        <v/>
      </c>
      <c r="G295">
        <f>IF(G294&lt;=0,0,MAX(0,AL295-S295))</f>
        <v/>
      </c>
      <c r="H295">
        <f>IF(H294&lt;=0,0,MAX(0,AM295-T295))</f>
        <v/>
      </c>
      <c r="I295">
        <f>IF(I294&lt;=0,0,MAX(0,AN295-U295))</f>
        <v/>
      </c>
      <c r="J295">
        <f>IF(J294&lt;=0,0,MAX(0,AO295-V295))</f>
        <v/>
      </c>
      <c r="K295">
        <f>IF(K294&lt;=0,0,MAX(0,AP295-W295))</f>
        <v/>
      </c>
      <c r="L295">
        <f>IF(L294&lt;=0,0,MAX(0,AQ295-X295))</f>
        <v/>
      </c>
      <c r="M295">
        <f>IF(M294&lt;=0,0,MAX(0,AR295-Y295))</f>
        <v/>
      </c>
      <c r="N295">
        <f>IF(N294&lt;=0,0,MAX(0,AS295-Z295))</f>
        <v/>
      </c>
      <c r="O295">
        <f>IF(C294&lt;=0,0,MIN(AH295,C$7+IF(C$2=$AA295,$AC295,IF(C$2=$AF295,$AG295,0))))</f>
        <v/>
      </c>
      <c r="P295">
        <f>IF(D294&lt;=0,0,MIN(AI295,D$7+IF(D$2=$AA295,$AC295,IF(D$2=$AF295,$AG295,0))))</f>
        <v/>
      </c>
      <c r="Q295">
        <f>IF(E294&lt;=0,0,MIN(AJ295,E$7+IF(E$2=$AA295,$AC295,IF(E$2=$AF295,$AG295,0))))</f>
        <v/>
      </c>
      <c r="R295">
        <f>IF(F294&lt;=0,0,MIN(AK295,F$7+IF(F$2=$AA295,$AC295,IF(F$2=$AF295,$AG295,0))))</f>
        <v/>
      </c>
      <c r="S295">
        <f>IF(G294&lt;=0,0,MIN(AL295,G$7+IF(G$2=$AA295,$AC295,IF(G$2=$AF295,$AG295,0))))</f>
        <v/>
      </c>
      <c r="T295">
        <f>IF(H294&lt;=0,0,MIN(AM295,H$7+IF(H$2=$AA295,$AC295,IF(H$2=$AF295,$AG295,0))))</f>
        <v/>
      </c>
      <c r="U295">
        <f>IF(I294&lt;=0,0,MIN(AN295,I$7+IF(I$2=$AA295,$AC295,IF(I$2=$AF295,$AG295,0))))</f>
        <v/>
      </c>
      <c r="V295">
        <f>IF(J294&lt;=0,0,MIN(AO295,J$7+IF(J$2=$AA295,$AC295,IF(J$2=$AF295,$AG295,0))))</f>
        <v/>
      </c>
      <c r="W295">
        <f>IF(K294&lt;=0,0,MIN(AP295,K$7+IF(K$2=$AA295,$AC295,IF(K$2=$AF295,$AG295,0))))</f>
        <v/>
      </c>
      <c r="X295">
        <f>IF(L294&lt;=0,0,MIN(AQ295,L$7+IF(L$2=$AA295,$AC295,IF(L$2=$AF295,$AG295,0))))</f>
        <v/>
      </c>
      <c r="Y295">
        <f>IF(M294&lt;=0,0,MIN(AR295,M$7+IF(M$2=$AA295,$AC295,IF(M$2=$AF295,$AG295,0))))</f>
        <v/>
      </c>
      <c r="Z295">
        <f>IF(N294&lt;=0,0,MIN(AS295,N$7+IF(N$2=$AA295,$AC295,IF(N$2=$AF295,$AG295,0))))</f>
        <v/>
      </c>
      <c r="AA295">
        <f>IFERROR(ROUND(1/SUMPRODUCT(MAX((C294:N294&gt;0)*($C$3:$N$3&lt;=B295)/$C$2:$N$2)),0),0)</f>
        <v/>
      </c>
      <c r="AB295">
        <f>SUMPRODUCT((C294:N294&gt;0)*$C$7:$N$7)</f>
        <v/>
      </c>
      <c r="AC295">
        <f>MAX(0,Plan!$C$5-AB295)+IF(A295=Plan!$C$8,N(Plan!$C$7),0)</f>
        <v/>
      </c>
      <c r="AD295">
        <f>SUM(C295:N295)</f>
        <v/>
      </c>
      <c r="AE295">
        <f>SUM(O295:Z295)</f>
        <v/>
      </c>
      <c r="AF295">
        <f>IFERROR(ROUND(1/SUMPRODUCT(MAX((C294:N294&gt;0)*($C$3:$N$3&lt;=B295)*($C$2:$N$2&gt;AA295)/$C$2:$N$2)),0),0)</f>
        <v/>
      </c>
      <c r="AG295">
        <f>MAX(0,AC295-MAX(0,SUMPRODUCT(($C$2:$N$2=AA295)*(AH295:AS295-$C$7:$N$7))))</f>
        <v/>
      </c>
      <c r="AH295">
        <f>IF(C294&lt;=0,0,ROUND(C294*(1+IF(AND(C$6&gt;0,$B295&lt;C$6),C$4,C$5)/12),2))</f>
        <v/>
      </c>
      <c r="AI295">
        <f>IF(D294&lt;=0,0,ROUND(D294*(1+IF(AND(D$6&gt;0,$B295&lt;D$6),D$4,D$5)/12),2))</f>
        <v/>
      </c>
      <c r="AJ295">
        <f>IF(E294&lt;=0,0,ROUND(E294*(1+IF(AND(E$6&gt;0,$B295&lt;E$6),E$4,E$5)/12),2))</f>
        <v/>
      </c>
      <c r="AK295">
        <f>IF(F294&lt;=0,0,ROUND(F294*(1+IF(AND(F$6&gt;0,$B295&lt;F$6),F$4,F$5)/12),2))</f>
        <v/>
      </c>
      <c r="AL295">
        <f>IF(G294&lt;=0,0,ROUND(G294*(1+IF(AND(G$6&gt;0,$B295&lt;G$6),G$4,G$5)/12),2))</f>
        <v/>
      </c>
      <c r="AM295">
        <f>IF(H294&lt;=0,0,ROUND(H294*(1+IF(AND(H$6&gt;0,$B295&lt;H$6),H$4,H$5)/12),2))</f>
        <v/>
      </c>
      <c r="AN295">
        <f>IF(I294&lt;=0,0,ROUND(I294*(1+IF(AND(I$6&gt;0,$B295&lt;I$6),I$4,I$5)/12),2))</f>
        <v/>
      </c>
      <c r="AO295">
        <f>IF(J294&lt;=0,0,ROUND(J294*(1+IF(AND(J$6&gt;0,$B295&lt;J$6),J$4,J$5)/12),2))</f>
        <v/>
      </c>
      <c r="AP295">
        <f>IF(K294&lt;=0,0,ROUND(K294*(1+IF(AND(K$6&gt;0,$B295&lt;K$6),K$4,K$5)/12),2))</f>
        <v/>
      </c>
      <c r="AQ295">
        <f>IF(L294&lt;=0,0,ROUND(L294*(1+IF(AND(L$6&gt;0,$B295&lt;L$6),L$4,L$5)/12),2))</f>
        <v/>
      </c>
      <c r="AR295">
        <f>IF(M294&lt;=0,0,ROUND(M294*(1+IF(AND(M$6&gt;0,$B295&lt;M$6),M$4,M$5)/12),2))</f>
        <v/>
      </c>
      <c r="AS295">
        <f>IF(N294&lt;=0,0,ROUND(N294*(1+IF(AND(N$6&gt;0,$B295&lt;N$6),N$4,N$5)/12),2))</f>
        <v/>
      </c>
    </row>
    <row r="296">
      <c r="A296" t="n">
        <v>285</v>
      </c>
      <c r="B296">
        <f>EDATE(Plan!$C$6,284)</f>
        <v/>
      </c>
      <c r="C296">
        <f>IF(C295&lt;=0,0,MAX(0,AH296-O296))</f>
        <v/>
      </c>
      <c r="D296">
        <f>IF(D295&lt;=0,0,MAX(0,AI296-P296))</f>
        <v/>
      </c>
      <c r="E296">
        <f>IF(E295&lt;=0,0,MAX(0,AJ296-Q296))</f>
        <v/>
      </c>
      <c r="F296">
        <f>IF(F295&lt;=0,0,MAX(0,AK296-R296))</f>
        <v/>
      </c>
      <c r="G296">
        <f>IF(G295&lt;=0,0,MAX(0,AL296-S296))</f>
        <v/>
      </c>
      <c r="H296">
        <f>IF(H295&lt;=0,0,MAX(0,AM296-T296))</f>
        <v/>
      </c>
      <c r="I296">
        <f>IF(I295&lt;=0,0,MAX(0,AN296-U296))</f>
        <v/>
      </c>
      <c r="J296">
        <f>IF(J295&lt;=0,0,MAX(0,AO296-V296))</f>
        <v/>
      </c>
      <c r="K296">
        <f>IF(K295&lt;=0,0,MAX(0,AP296-W296))</f>
        <v/>
      </c>
      <c r="L296">
        <f>IF(L295&lt;=0,0,MAX(0,AQ296-X296))</f>
        <v/>
      </c>
      <c r="M296">
        <f>IF(M295&lt;=0,0,MAX(0,AR296-Y296))</f>
        <v/>
      </c>
      <c r="N296">
        <f>IF(N295&lt;=0,0,MAX(0,AS296-Z296))</f>
        <v/>
      </c>
      <c r="O296">
        <f>IF(C295&lt;=0,0,MIN(AH296,C$7+IF(C$2=$AA296,$AC296,IF(C$2=$AF296,$AG296,0))))</f>
        <v/>
      </c>
      <c r="P296">
        <f>IF(D295&lt;=0,0,MIN(AI296,D$7+IF(D$2=$AA296,$AC296,IF(D$2=$AF296,$AG296,0))))</f>
        <v/>
      </c>
      <c r="Q296">
        <f>IF(E295&lt;=0,0,MIN(AJ296,E$7+IF(E$2=$AA296,$AC296,IF(E$2=$AF296,$AG296,0))))</f>
        <v/>
      </c>
      <c r="R296">
        <f>IF(F295&lt;=0,0,MIN(AK296,F$7+IF(F$2=$AA296,$AC296,IF(F$2=$AF296,$AG296,0))))</f>
        <v/>
      </c>
      <c r="S296">
        <f>IF(G295&lt;=0,0,MIN(AL296,G$7+IF(G$2=$AA296,$AC296,IF(G$2=$AF296,$AG296,0))))</f>
        <v/>
      </c>
      <c r="T296">
        <f>IF(H295&lt;=0,0,MIN(AM296,H$7+IF(H$2=$AA296,$AC296,IF(H$2=$AF296,$AG296,0))))</f>
        <v/>
      </c>
      <c r="U296">
        <f>IF(I295&lt;=0,0,MIN(AN296,I$7+IF(I$2=$AA296,$AC296,IF(I$2=$AF296,$AG296,0))))</f>
        <v/>
      </c>
      <c r="V296">
        <f>IF(J295&lt;=0,0,MIN(AO296,J$7+IF(J$2=$AA296,$AC296,IF(J$2=$AF296,$AG296,0))))</f>
        <v/>
      </c>
      <c r="W296">
        <f>IF(K295&lt;=0,0,MIN(AP296,K$7+IF(K$2=$AA296,$AC296,IF(K$2=$AF296,$AG296,0))))</f>
        <v/>
      </c>
      <c r="X296">
        <f>IF(L295&lt;=0,0,MIN(AQ296,L$7+IF(L$2=$AA296,$AC296,IF(L$2=$AF296,$AG296,0))))</f>
        <v/>
      </c>
      <c r="Y296">
        <f>IF(M295&lt;=0,0,MIN(AR296,M$7+IF(M$2=$AA296,$AC296,IF(M$2=$AF296,$AG296,0))))</f>
        <v/>
      </c>
      <c r="Z296">
        <f>IF(N295&lt;=0,0,MIN(AS296,N$7+IF(N$2=$AA296,$AC296,IF(N$2=$AF296,$AG296,0))))</f>
        <v/>
      </c>
      <c r="AA296">
        <f>IFERROR(ROUND(1/SUMPRODUCT(MAX((C295:N295&gt;0)*($C$3:$N$3&lt;=B296)/$C$2:$N$2)),0),0)</f>
        <v/>
      </c>
      <c r="AB296">
        <f>SUMPRODUCT((C295:N295&gt;0)*$C$7:$N$7)</f>
        <v/>
      </c>
      <c r="AC296">
        <f>MAX(0,Plan!$C$5-AB296)+IF(A296=Plan!$C$8,N(Plan!$C$7),0)</f>
        <v/>
      </c>
      <c r="AD296">
        <f>SUM(C296:N296)</f>
        <v/>
      </c>
      <c r="AE296">
        <f>SUM(O296:Z296)</f>
        <v/>
      </c>
      <c r="AF296">
        <f>IFERROR(ROUND(1/SUMPRODUCT(MAX((C295:N295&gt;0)*($C$3:$N$3&lt;=B296)*($C$2:$N$2&gt;AA296)/$C$2:$N$2)),0),0)</f>
        <v/>
      </c>
      <c r="AG296">
        <f>MAX(0,AC296-MAX(0,SUMPRODUCT(($C$2:$N$2=AA296)*(AH296:AS296-$C$7:$N$7))))</f>
        <v/>
      </c>
      <c r="AH296">
        <f>IF(C295&lt;=0,0,ROUND(C295*(1+IF(AND(C$6&gt;0,$B296&lt;C$6),C$4,C$5)/12),2))</f>
        <v/>
      </c>
      <c r="AI296">
        <f>IF(D295&lt;=0,0,ROUND(D295*(1+IF(AND(D$6&gt;0,$B296&lt;D$6),D$4,D$5)/12),2))</f>
        <v/>
      </c>
      <c r="AJ296">
        <f>IF(E295&lt;=0,0,ROUND(E295*(1+IF(AND(E$6&gt;0,$B296&lt;E$6),E$4,E$5)/12),2))</f>
        <v/>
      </c>
      <c r="AK296">
        <f>IF(F295&lt;=0,0,ROUND(F295*(1+IF(AND(F$6&gt;0,$B296&lt;F$6),F$4,F$5)/12),2))</f>
        <v/>
      </c>
      <c r="AL296">
        <f>IF(G295&lt;=0,0,ROUND(G295*(1+IF(AND(G$6&gt;0,$B296&lt;G$6),G$4,G$5)/12),2))</f>
        <v/>
      </c>
      <c r="AM296">
        <f>IF(H295&lt;=0,0,ROUND(H295*(1+IF(AND(H$6&gt;0,$B296&lt;H$6),H$4,H$5)/12),2))</f>
        <v/>
      </c>
      <c r="AN296">
        <f>IF(I295&lt;=0,0,ROUND(I295*(1+IF(AND(I$6&gt;0,$B296&lt;I$6),I$4,I$5)/12),2))</f>
        <v/>
      </c>
      <c r="AO296">
        <f>IF(J295&lt;=0,0,ROUND(J295*(1+IF(AND(J$6&gt;0,$B296&lt;J$6),J$4,J$5)/12),2))</f>
        <v/>
      </c>
      <c r="AP296">
        <f>IF(K295&lt;=0,0,ROUND(K295*(1+IF(AND(K$6&gt;0,$B296&lt;K$6),K$4,K$5)/12),2))</f>
        <v/>
      </c>
      <c r="AQ296">
        <f>IF(L295&lt;=0,0,ROUND(L295*(1+IF(AND(L$6&gt;0,$B296&lt;L$6),L$4,L$5)/12),2))</f>
        <v/>
      </c>
      <c r="AR296">
        <f>IF(M295&lt;=0,0,ROUND(M295*(1+IF(AND(M$6&gt;0,$B296&lt;M$6),M$4,M$5)/12),2))</f>
        <v/>
      </c>
      <c r="AS296">
        <f>IF(N295&lt;=0,0,ROUND(N295*(1+IF(AND(N$6&gt;0,$B296&lt;N$6),N$4,N$5)/12),2))</f>
        <v/>
      </c>
    </row>
    <row r="297">
      <c r="A297" t="n">
        <v>286</v>
      </c>
      <c r="B297">
        <f>EDATE(Plan!$C$6,285)</f>
        <v/>
      </c>
      <c r="C297">
        <f>IF(C296&lt;=0,0,MAX(0,AH297-O297))</f>
        <v/>
      </c>
      <c r="D297">
        <f>IF(D296&lt;=0,0,MAX(0,AI297-P297))</f>
        <v/>
      </c>
      <c r="E297">
        <f>IF(E296&lt;=0,0,MAX(0,AJ297-Q297))</f>
        <v/>
      </c>
      <c r="F297">
        <f>IF(F296&lt;=0,0,MAX(0,AK297-R297))</f>
        <v/>
      </c>
      <c r="G297">
        <f>IF(G296&lt;=0,0,MAX(0,AL297-S297))</f>
        <v/>
      </c>
      <c r="H297">
        <f>IF(H296&lt;=0,0,MAX(0,AM297-T297))</f>
        <v/>
      </c>
      <c r="I297">
        <f>IF(I296&lt;=0,0,MAX(0,AN297-U297))</f>
        <v/>
      </c>
      <c r="J297">
        <f>IF(J296&lt;=0,0,MAX(0,AO297-V297))</f>
        <v/>
      </c>
      <c r="K297">
        <f>IF(K296&lt;=0,0,MAX(0,AP297-W297))</f>
        <v/>
      </c>
      <c r="L297">
        <f>IF(L296&lt;=0,0,MAX(0,AQ297-X297))</f>
        <v/>
      </c>
      <c r="M297">
        <f>IF(M296&lt;=0,0,MAX(0,AR297-Y297))</f>
        <v/>
      </c>
      <c r="N297">
        <f>IF(N296&lt;=0,0,MAX(0,AS297-Z297))</f>
        <v/>
      </c>
      <c r="O297">
        <f>IF(C296&lt;=0,0,MIN(AH297,C$7+IF(C$2=$AA297,$AC297,IF(C$2=$AF297,$AG297,0))))</f>
        <v/>
      </c>
      <c r="P297">
        <f>IF(D296&lt;=0,0,MIN(AI297,D$7+IF(D$2=$AA297,$AC297,IF(D$2=$AF297,$AG297,0))))</f>
        <v/>
      </c>
      <c r="Q297">
        <f>IF(E296&lt;=0,0,MIN(AJ297,E$7+IF(E$2=$AA297,$AC297,IF(E$2=$AF297,$AG297,0))))</f>
        <v/>
      </c>
      <c r="R297">
        <f>IF(F296&lt;=0,0,MIN(AK297,F$7+IF(F$2=$AA297,$AC297,IF(F$2=$AF297,$AG297,0))))</f>
        <v/>
      </c>
      <c r="S297">
        <f>IF(G296&lt;=0,0,MIN(AL297,G$7+IF(G$2=$AA297,$AC297,IF(G$2=$AF297,$AG297,0))))</f>
        <v/>
      </c>
      <c r="T297">
        <f>IF(H296&lt;=0,0,MIN(AM297,H$7+IF(H$2=$AA297,$AC297,IF(H$2=$AF297,$AG297,0))))</f>
        <v/>
      </c>
      <c r="U297">
        <f>IF(I296&lt;=0,0,MIN(AN297,I$7+IF(I$2=$AA297,$AC297,IF(I$2=$AF297,$AG297,0))))</f>
        <v/>
      </c>
      <c r="V297">
        <f>IF(J296&lt;=0,0,MIN(AO297,J$7+IF(J$2=$AA297,$AC297,IF(J$2=$AF297,$AG297,0))))</f>
        <v/>
      </c>
      <c r="W297">
        <f>IF(K296&lt;=0,0,MIN(AP297,K$7+IF(K$2=$AA297,$AC297,IF(K$2=$AF297,$AG297,0))))</f>
        <v/>
      </c>
      <c r="X297">
        <f>IF(L296&lt;=0,0,MIN(AQ297,L$7+IF(L$2=$AA297,$AC297,IF(L$2=$AF297,$AG297,0))))</f>
        <v/>
      </c>
      <c r="Y297">
        <f>IF(M296&lt;=0,0,MIN(AR297,M$7+IF(M$2=$AA297,$AC297,IF(M$2=$AF297,$AG297,0))))</f>
        <v/>
      </c>
      <c r="Z297">
        <f>IF(N296&lt;=0,0,MIN(AS297,N$7+IF(N$2=$AA297,$AC297,IF(N$2=$AF297,$AG297,0))))</f>
        <v/>
      </c>
      <c r="AA297">
        <f>IFERROR(ROUND(1/SUMPRODUCT(MAX((C296:N296&gt;0)*($C$3:$N$3&lt;=B297)/$C$2:$N$2)),0),0)</f>
        <v/>
      </c>
      <c r="AB297">
        <f>SUMPRODUCT((C296:N296&gt;0)*$C$7:$N$7)</f>
        <v/>
      </c>
      <c r="AC297">
        <f>MAX(0,Plan!$C$5-AB297)+IF(A297=Plan!$C$8,N(Plan!$C$7),0)</f>
        <v/>
      </c>
      <c r="AD297">
        <f>SUM(C297:N297)</f>
        <v/>
      </c>
      <c r="AE297">
        <f>SUM(O297:Z297)</f>
        <v/>
      </c>
      <c r="AF297">
        <f>IFERROR(ROUND(1/SUMPRODUCT(MAX((C296:N296&gt;0)*($C$3:$N$3&lt;=B297)*($C$2:$N$2&gt;AA297)/$C$2:$N$2)),0),0)</f>
        <v/>
      </c>
      <c r="AG297">
        <f>MAX(0,AC297-MAX(0,SUMPRODUCT(($C$2:$N$2=AA297)*(AH297:AS297-$C$7:$N$7))))</f>
        <v/>
      </c>
      <c r="AH297">
        <f>IF(C296&lt;=0,0,ROUND(C296*(1+IF(AND(C$6&gt;0,$B297&lt;C$6),C$4,C$5)/12),2))</f>
        <v/>
      </c>
      <c r="AI297">
        <f>IF(D296&lt;=0,0,ROUND(D296*(1+IF(AND(D$6&gt;0,$B297&lt;D$6),D$4,D$5)/12),2))</f>
        <v/>
      </c>
      <c r="AJ297">
        <f>IF(E296&lt;=0,0,ROUND(E296*(1+IF(AND(E$6&gt;0,$B297&lt;E$6),E$4,E$5)/12),2))</f>
        <v/>
      </c>
      <c r="AK297">
        <f>IF(F296&lt;=0,0,ROUND(F296*(1+IF(AND(F$6&gt;0,$B297&lt;F$6),F$4,F$5)/12),2))</f>
        <v/>
      </c>
      <c r="AL297">
        <f>IF(G296&lt;=0,0,ROUND(G296*(1+IF(AND(G$6&gt;0,$B297&lt;G$6),G$4,G$5)/12),2))</f>
        <v/>
      </c>
      <c r="AM297">
        <f>IF(H296&lt;=0,0,ROUND(H296*(1+IF(AND(H$6&gt;0,$B297&lt;H$6),H$4,H$5)/12),2))</f>
        <v/>
      </c>
      <c r="AN297">
        <f>IF(I296&lt;=0,0,ROUND(I296*(1+IF(AND(I$6&gt;0,$B297&lt;I$6),I$4,I$5)/12),2))</f>
        <v/>
      </c>
      <c r="AO297">
        <f>IF(J296&lt;=0,0,ROUND(J296*(1+IF(AND(J$6&gt;0,$B297&lt;J$6),J$4,J$5)/12),2))</f>
        <v/>
      </c>
      <c r="AP297">
        <f>IF(K296&lt;=0,0,ROUND(K296*(1+IF(AND(K$6&gt;0,$B297&lt;K$6),K$4,K$5)/12),2))</f>
        <v/>
      </c>
      <c r="AQ297">
        <f>IF(L296&lt;=0,0,ROUND(L296*(1+IF(AND(L$6&gt;0,$B297&lt;L$6),L$4,L$5)/12),2))</f>
        <v/>
      </c>
      <c r="AR297">
        <f>IF(M296&lt;=0,0,ROUND(M296*(1+IF(AND(M$6&gt;0,$B297&lt;M$6),M$4,M$5)/12),2))</f>
        <v/>
      </c>
      <c r="AS297">
        <f>IF(N296&lt;=0,0,ROUND(N296*(1+IF(AND(N$6&gt;0,$B297&lt;N$6),N$4,N$5)/12),2))</f>
        <v/>
      </c>
    </row>
    <row r="298">
      <c r="A298" t="n">
        <v>287</v>
      </c>
      <c r="B298">
        <f>EDATE(Plan!$C$6,286)</f>
        <v/>
      </c>
      <c r="C298">
        <f>IF(C297&lt;=0,0,MAX(0,AH298-O298))</f>
        <v/>
      </c>
      <c r="D298">
        <f>IF(D297&lt;=0,0,MAX(0,AI298-P298))</f>
        <v/>
      </c>
      <c r="E298">
        <f>IF(E297&lt;=0,0,MAX(0,AJ298-Q298))</f>
        <v/>
      </c>
      <c r="F298">
        <f>IF(F297&lt;=0,0,MAX(0,AK298-R298))</f>
        <v/>
      </c>
      <c r="G298">
        <f>IF(G297&lt;=0,0,MAX(0,AL298-S298))</f>
        <v/>
      </c>
      <c r="H298">
        <f>IF(H297&lt;=0,0,MAX(0,AM298-T298))</f>
        <v/>
      </c>
      <c r="I298">
        <f>IF(I297&lt;=0,0,MAX(0,AN298-U298))</f>
        <v/>
      </c>
      <c r="J298">
        <f>IF(J297&lt;=0,0,MAX(0,AO298-V298))</f>
        <v/>
      </c>
      <c r="K298">
        <f>IF(K297&lt;=0,0,MAX(0,AP298-W298))</f>
        <v/>
      </c>
      <c r="L298">
        <f>IF(L297&lt;=0,0,MAX(0,AQ298-X298))</f>
        <v/>
      </c>
      <c r="M298">
        <f>IF(M297&lt;=0,0,MAX(0,AR298-Y298))</f>
        <v/>
      </c>
      <c r="N298">
        <f>IF(N297&lt;=0,0,MAX(0,AS298-Z298))</f>
        <v/>
      </c>
      <c r="O298">
        <f>IF(C297&lt;=0,0,MIN(AH298,C$7+IF(C$2=$AA298,$AC298,IF(C$2=$AF298,$AG298,0))))</f>
        <v/>
      </c>
      <c r="P298">
        <f>IF(D297&lt;=0,0,MIN(AI298,D$7+IF(D$2=$AA298,$AC298,IF(D$2=$AF298,$AG298,0))))</f>
        <v/>
      </c>
      <c r="Q298">
        <f>IF(E297&lt;=0,0,MIN(AJ298,E$7+IF(E$2=$AA298,$AC298,IF(E$2=$AF298,$AG298,0))))</f>
        <v/>
      </c>
      <c r="R298">
        <f>IF(F297&lt;=0,0,MIN(AK298,F$7+IF(F$2=$AA298,$AC298,IF(F$2=$AF298,$AG298,0))))</f>
        <v/>
      </c>
      <c r="S298">
        <f>IF(G297&lt;=0,0,MIN(AL298,G$7+IF(G$2=$AA298,$AC298,IF(G$2=$AF298,$AG298,0))))</f>
        <v/>
      </c>
      <c r="T298">
        <f>IF(H297&lt;=0,0,MIN(AM298,H$7+IF(H$2=$AA298,$AC298,IF(H$2=$AF298,$AG298,0))))</f>
        <v/>
      </c>
      <c r="U298">
        <f>IF(I297&lt;=0,0,MIN(AN298,I$7+IF(I$2=$AA298,$AC298,IF(I$2=$AF298,$AG298,0))))</f>
        <v/>
      </c>
      <c r="V298">
        <f>IF(J297&lt;=0,0,MIN(AO298,J$7+IF(J$2=$AA298,$AC298,IF(J$2=$AF298,$AG298,0))))</f>
        <v/>
      </c>
      <c r="W298">
        <f>IF(K297&lt;=0,0,MIN(AP298,K$7+IF(K$2=$AA298,$AC298,IF(K$2=$AF298,$AG298,0))))</f>
        <v/>
      </c>
      <c r="X298">
        <f>IF(L297&lt;=0,0,MIN(AQ298,L$7+IF(L$2=$AA298,$AC298,IF(L$2=$AF298,$AG298,0))))</f>
        <v/>
      </c>
      <c r="Y298">
        <f>IF(M297&lt;=0,0,MIN(AR298,M$7+IF(M$2=$AA298,$AC298,IF(M$2=$AF298,$AG298,0))))</f>
        <v/>
      </c>
      <c r="Z298">
        <f>IF(N297&lt;=0,0,MIN(AS298,N$7+IF(N$2=$AA298,$AC298,IF(N$2=$AF298,$AG298,0))))</f>
        <v/>
      </c>
      <c r="AA298">
        <f>IFERROR(ROUND(1/SUMPRODUCT(MAX((C297:N297&gt;0)*($C$3:$N$3&lt;=B298)/$C$2:$N$2)),0),0)</f>
        <v/>
      </c>
      <c r="AB298">
        <f>SUMPRODUCT((C297:N297&gt;0)*$C$7:$N$7)</f>
        <v/>
      </c>
      <c r="AC298">
        <f>MAX(0,Plan!$C$5-AB298)+IF(A298=Plan!$C$8,N(Plan!$C$7),0)</f>
        <v/>
      </c>
      <c r="AD298">
        <f>SUM(C298:N298)</f>
        <v/>
      </c>
      <c r="AE298">
        <f>SUM(O298:Z298)</f>
        <v/>
      </c>
      <c r="AF298">
        <f>IFERROR(ROUND(1/SUMPRODUCT(MAX((C297:N297&gt;0)*($C$3:$N$3&lt;=B298)*($C$2:$N$2&gt;AA298)/$C$2:$N$2)),0),0)</f>
        <v/>
      </c>
      <c r="AG298">
        <f>MAX(0,AC298-MAX(0,SUMPRODUCT(($C$2:$N$2=AA298)*(AH298:AS298-$C$7:$N$7))))</f>
        <v/>
      </c>
      <c r="AH298">
        <f>IF(C297&lt;=0,0,ROUND(C297*(1+IF(AND(C$6&gt;0,$B298&lt;C$6),C$4,C$5)/12),2))</f>
        <v/>
      </c>
      <c r="AI298">
        <f>IF(D297&lt;=0,0,ROUND(D297*(1+IF(AND(D$6&gt;0,$B298&lt;D$6),D$4,D$5)/12),2))</f>
        <v/>
      </c>
      <c r="AJ298">
        <f>IF(E297&lt;=0,0,ROUND(E297*(1+IF(AND(E$6&gt;0,$B298&lt;E$6),E$4,E$5)/12),2))</f>
        <v/>
      </c>
      <c r="AK298">
        <f>IF(F297&lt;=0,0,ROUND(F297*(1+IF(AND(F$6&gt;0,$B298&lt;F$6),F$4,F$5)/12),2))</f>
        <v/>
      </c>
      <c r="AL298">
        <f>IF(G297&lt;=0,0,ROUND(G297*(1+IF(AND(G$6&gt;0,$B298&lt;G$6),G$4,G$5)/12),2))</f>
        <v/>
      </c>
      <c r="AM298">
        <f>IF(H297&lt;=0,0,ROUND(H297*(1+IF(AND(H$6&gt;0,$B298&lt;H$6),H$4,H$5)/12),2))</f>
        <v/>
      </c>
      <c r="AN298">
        <f>IF(I297&lt;=0,0,ROUND(I297*(1+IF(AND(I$6&gt;0,$B298&lt;I$6),I$4,I$5)/12),2))</f>
        <v/>
      </c>
      <c r="AO298">
        <f>IF(J297&lt;=0,0,ROUND(J297*(1+IF(AND(J$6&gt;0,$B298&lt;J$6),J$4,J$5)/12),2))</f>
        <v/>
      </c>
      <c r="AP298">
        <f>IF(K297&lt;=0,0,ROUND(K297*(1+IF(AND(K$6&gt;0,$B298&lt;K$6),K$4,K$5)/12),2))</f>
        <v/>
      </c>
      <c r="AQ298">
        <f>IF(L297&lt;=0,0,ROUND(L297*(1+IF(AND(L$6&gt;0,$B298&lt;L$6),L$4,L$5)/12),2))</f>
        <v/>
      </c>
      <c r="AR298">
        <f>IF(M297&lt;=0,0,ROUND(M297*(1+IF(AND(M$6&gt;0,$B298&lt;M$6),M$4,M$5)/12),2))</f>
        <v/>
      </c>
      <c r="AS298">
        <f>IF(N297&lt;=0,0,ROUND(N297*(1+IF(AND(N$6&gt;0,$B298&lt;N$6),N$4,N$5)/12),2))</f>
        <v/>
      </c>
    </row>
    <row r="299">
      <c r="A299" t="n">
        <v>288</v>
      </c>
      <c r="B299">
        <f>EDATE(Plan!$C$6,287)</f>
        <v/>
      </c>
      <c r="C299">
        <f>IF(C298&lt;=0,0,MAX(0,AH299-O299))</f>
        <v/>
      </c>
      <c r="D299">
        <f>IF(D298&lt;=0,0,MAX(0,AI299-P299))</f>
        <v/>
      </c>
      <c r="E299">
        <f>IF(E298&lt;=0,0,MAX(0,AJ299-Q299))</f>
        <v/>
      </c>
      <c r="F299">
        <f>IF(F298&lt;=0,0,MAX(0,AK299-R299))</f>
        <v/>
      </c>
      <c r="G299">
        <f>IF(G298&lt;=0,0,MAX(0,AL299-S299))</f>
        <v/>
      </c>
      <c r="H299">
        <f>IF(H298&lt;=0,0,MAX(0,AM299-T299))</f>
        <v/>
      </c>
      <c r="I299">
        <f>IF(I298&lt;=0,0,MAX(0,AN299-U299))</f>
        <v/>
      </c>
      <c r="J299">
        <f>IF(J298&lt;=0,0,MAX(0,AO299-V299))</f>
        <v/>
      </c>
      <c r="K299">
        <f>IF(K298&lt;=0,0,MAX(0,AP299-W299))</f>
        <v/>
      </c>
      <c r="L299">
        <f>IF(L298&lt;=0,0,MAX(0,AQ299-X299))</f>
        <v/>
      </c>
      <c r="M299">
        <f>IF(M298&lt;=0,0,MAX(0,AR299-Y299))</f>
        <v/>
      </c>
      <c r="N299">
        <f>IF(N298&lt;=0,0,MAX(0,AS299-Z299))</f>
        <v/>
      </c>
      <c r="O299">
        <f>IF(C298&lt;=0,0,MIN(AH299,C$7+IF(C$2=$AA299,$AC299,IF(C$2=$AF299,$AG299,0))))</f>
        <v/>
      </c>
      <c r="P299">
        <f>IF(D298&lt;=0,0,MIN(AI299,D$7+IF(D$2=$AA299,$AC299,IF(D$2=$AF299,$AG299,0))))</f>
        <v/>
      </c>
      <c r="Q299">
        <f>IF(E298&lt;=0,0,MIN(AJ299,E$7+IF(E$2=$AA299,$AC299,IF(E$2=$AF299,$AG299,0))))</f>
        <v/>
      </c>
      <c r="R299">
        <f>IF(F298&lt;=0,0,MIN(AK299,F$7+IF(F$2=$AA299,$AC299,IF(F$2=$AF299,$AG299,0))))</f>
        <v/>
      </c>
      <c r="S299">
        <f>IF(G298&lt;=0,0,MIN(AL299,G$7+IF(G$2=$AA299,$AC299,IF(G$2=$AF299,$AG299,0))))</f>
        <v/>
      </c>
      <c r="T299">
        <f>IF(H298&lt;=0,0,MIN(AM299,H$7+IF(H$2=$AA299,$AC299,IF(H$2=$AF299,$AG299,0))))</f>
        <v/>
      </c>
      <c r="U299">
        <f>IF(I298&lt;=0,0,MIN(AN299,I$7+IF(I$2=$AA299,$AC299,IF(I$2=$AF299,$AG299,0))))</f>
        <v/>
      </c>
      <c r="V299">
        <f>IF(J298&lt;=0,0,MIN(AO299,J$7+IF(J$2=$AA299,$AC299,IF(J$2=$AF299,$AG299,0))))</f>
        <v/>
      </c>
      <c r="W299">
        <f>IF(K298&lt;=0,0,MIN(AP299,K$7+IF(K$2=$AA299,$AC299,IF(K$2=$AF299,$AG299,0))))</f>
        <v/>
      </c>
      <c r="X299">
        <f>IF(L298&lt;=0,0,MIN(AQ299,L$7+IF(L$2=$AA299,$AC299,IF(L$2=$AF299,$AG299,0))))</f>
        <v/>
      </c>
      <c r="Y299">
        <f>IF(M298&lt;=0,0,MIN(AR299,M$7+IF(M$2=$AA299,$AC299,IF(M$2=$AF299,$AG299,0))))</f>
        <v/>
      </c>
      <c r="Z299">
        <f>IF(N298&lt;=0,0,MIN(AS299,N$7+IF(N$2=$AA299,$AC299,IF(N$2=$AF299,$AG299,0))))</f>
        <v/>
      </c>
      <c r="AA299">
        <f>IFERROR(ROUND(1/SUMPRODUCT(MAX((C298:N298&gt;0)*($C$3:$N$3&lt;=B299)/$C$2:$N$2)),0),0)</f>
        <v/>
      </c>
      <c r="AB299">
        <f>SUMPRODUCT((C298:N298&gt;0)*$C$7:$N$7)</f>
        <v/>
      </c>
      <c r="AC299">
        <f>MAX(0,Plan!$C$5-AB299)+IF(A299=Plan!$C$8,N(Plan!$C$7),0)</f>
        <v/>
      </c>
      <c r="AD299">
        <f>SUM(C299:N299)</f>
        <v/>
      </c>
      <c r="AE299">
        <f>SUM(O299:Z299)</f>
        <v/>
      </c>
      <c r="AF299">
        <f>IFERROR(ROUND(1/SUMPRODUCT(MAX((C298:N298&gt;0)*($C$3:$N$3&lt;=B299)*($C$2:$N$2&gt;AA299)/$C$2:$N$2)),0),0)</f>
        <v/>
      </c>
      <c r="AG299">
        <f>MAX(0,AC299-MAX(0,SUMPRODUCT(($C$2:$N$2=AA299)*(AH299:AS299-$C$7:$N$7))))</f>
        <v/>
      </c>
      <c r="AH299">
        <f>IF(C298&lt;=0,0,ROUND(C298*(1+IF(AND(C$6&gt;0,$B299&lt;C$6),C$4,C$5)/12),2))</f>
        <v/>
      </c>
      <c r="AI299">
        <f>IF(D298&lt;=0,0,ROUND(D298*(1+IF(AND(D$6&gt;0,$B299&lt;D$6),D$4,D$5)/12),2))</f>
        <v/>
      </c>
      <c r="AJ299">
        <f>IF(E298&lt;=0,0,ROUND(E298*(1+IF(AND(E$6&gt;0,$B299&lt;E$6),E$4,E$5)/12),2))</f>
        <v/>
      </c>
      <c r="AK299">
        <f>IF(F298&lt;=0,0,ROUND(F298*(1+IF(AND(F$6&gt;0,$B299&lt;F$6),F$4,F$5)/12),2))</f>
        <v/>
      </c>
      <c r="AL299">
        <f>IF(G298&lt;=0,0,ROUND(G298*(1+IF(AND(G$6&gt;0,$B299&lt;G$6),G$4,G$5)/12),2))</f>
        <v/>
      </c>
      <c r="AM299">
        <f>IF(H298&lt;=0,0,ROUND(H298*(1+IF(AND(H$6&gt;0,$B299&lt;H$6),H$4,H$5)/12),2))</f>
        <v/>
      </c>
      <c r="AN299">
        <f>IF(I298&lt;=0,0,ROUND(I298*(1+IF(AND(I$6&gt;0,$B299&lt;I$6),I$4,I$5)/12),2))</f>
        <v/>
      </c>
      <c r="AO299">
        <f>IF(J298&lt;=0,0,ROUND(J298*(1+IF(AND(J$6&gt;0,$B299&lt;J$6),J$4,J$5)/12),2))</f>
        <v/>
      </c>
      <c r="AP299">
        <f>IF(K298&lt;=0,0,ROUND(K298*(1+IF(AND(K$6&gt;0,$B299&lt;K$6),K$4,K$5)/12),2))</f>
        <v/>
      </c>
      <c r="AQ299">
        <f>IF(L298&lt;=0,0,ROUND(L298*(1+IF(AND(L$6&gt;0,$B299&lt;L$6),L$4,L$5)/12),2))</f>
        <v/>
      </c>
      <c r="AR299">
        <f>IF(M298&lt;=0,0,ROUND(M298*(1+IF(AND(M$6&gt;0,$B299&lt;M$6),M$4,M$5)/12),2))</f>
        <v/>
      </c>
      <c r="AS299">
        <f>IF(N298&lt;=0,0,ROUND(N298*(1+IF(AND(N$6&gt;0,$B299&lt;N$6),N$4,N$5)/12),2))</f>
        <v/>
      </c>
    </row>
    <row r="300">
      <c r="A300" t="n">
        <v>289</v>
      </c>
      <c r="B300">
        <f>EDATE(Plan!$C$6,288)</f>
        <v/>
      </c>
      <c r="C300">
        <f>IF(C299&lt;=0,0,MAX(0,AH300-O300))</f>
        <v/>
      </c>
      <c r="D300">
        <f>IF(D299&lt;=0,0,MAX(0,AI300-P300))</f>
        <v/>
      </c>
      <c r="E300">
        <f>IF(E299&lt;=0,0,MAX(0,AJ300-Q300))</f>
        <v/>
      </c>
      <c r="F300">
        <f>IF(F299&lt;=0,0,MAX(0,AK300-R300))</f>
        <v/>
      </c>
      <c r="G300">
        <f>IF(G299&lt;=0,0,MAX(0,AL300-S300))</f>
        <v/>
      </c>
      <c r="H300">
        <f>IF(H299&lt;=0,0,MAX(0,AM300-T300))</f>
        <v/>
      </c>
      <c r="I300">
        <f>IF(I299&lt;=0,0,MAX(0,AN300-U300))</f>
        <v/>
      </c>
      <c r="J300">
        <f>IF(J299&lt;=0,0,MAX(0,AO300-V300))</f>
        <v/>
      </c>
      <c r="K300">
        <f>IF(K299&lt;=0,0,MAX(0,AP300-W300))</f>
        <v/>
      </c>
      <c r="L300">
        <f>IF(L299&lt;=0,0,MAX(0,AQ300-X300))</f>
        <v/>
      </c>
      <c r="M300">
        <f>IF(M299&lt;=0,0,MAX(0,AR300-Y300))</f>
        <v/>
      </c>
      <c r="N300">
        <f>IF(N299&lt;=0,0,MAX(0,AS300-Z300))</f>
        <v/>
      </c>
      <c r="O300">
        <f>IF(C299&lt;=0,0,MIN(AH300,C$7+IF(C$2=$AA300,$AC300,IF(C$2=$AF300,$AG300,0))))</f>
        <v/>
      </c>
      <c r="P300">
        <f>IF(D299&lt;=0,0,MIN(AI300,D$7+IF(D$2=$AA300,$AC300,IF(D$2=$AF300,$AG300,0))))</f>
        <v/>
      </c>
      <c r="Q300">
        <f>IF(E299&lt;=0,0,MIN(AJ300,E$7+IF(E$2=$AA300,$AC300,IF(E$2=$AF300,$AG300,0))))</f>
        <v/>
      </c>
      <c r="R300">
        <f>IF(F299&lt;=0,0,MIN(AK300,F$7+IF(F$2=$AA300,$AC300,IF(F$2=$AF300,$AG300,0))))</f>
        <v/>
      </c>
      <c r="S300">
        <f>IF(G299&lt;=0,0,MIN(AL300,G$7+IF(G$2=$AA300,$AC300,IF(G$2=$AF300,$AG300,0))))</f>
        <v/>
      </c>
      <c r="T300">
        <f>IF(H299&lt;=0,0,MIN(AM300,H$7+IF(H$2=$AA300,$AC300,IF(H$2=$AF300,$AG300,0))))</f>
        <v/>
      </c>
      <c r="U300">
        <f>IF(I299&lt;=0,0,MIN(AN300,I$7+IF(I$2=$AA300,$AC300,IF(I$2=$AF300,$AG300,0))))</f>
        <v/>
      </c>
      <c r="V300">
        <f>IF(J299&lt;=0,0,MIN(AO300,J$7+IF(J$2=$AA300,$AC300,IF(J$2=$AF300,$AG300,0))))</f>
        <v/>
      </c>
      <c r="W300">
        <f>IF(K299&lt;=0,0,MIN(AP300,K$7+IF(K$2=$AA300,$AC300,IF(K$2=$AF300,$AG300,0))))</f>
        <v/>
      </c>
      <c r="X300">
        <f>IF(L299&lt;=0,0,MIN(AQ300,L$7+IF(L$2=$AA300,$AC300,IF(L$2=$AF300,$AG300,0))))</f>
        <v/>
      </c>
      <c r="Y300">
        <f>IF(M299&lt;=0,0,MIN(AR300,M$7+IF(M$2=$AA300,$AC300,IF(M$2=$AF300,$AG300,0))))</f>
        <v/>
      </c>
      <c r="Z300">
        <f>IF(N299&lt;=0,0,MIN(AS300,N$7+IF(N$2=$AA300,$AC300,IF(N$2=$AF300,$AG300,0))))</f>
        <v/>
      </c>
      <c r="AA300">
        <f>IFERROR(ROUND(1/SUMPRODUCT(MAX((C299:N299&gt;0)*($C$3:$N$3&lt;=B300)/$C$2:$N$2)),0),0)</f>
        <v/>
      </c>
      <c r="AB300">
        <f>SUMPRODUCT((C299:N299&gt;0)*$C$7:$N$7)</f>
        <v/>
      </c>
      <c r="AC300">
        <f>MAX(0,Plan!$C$5-AB300)+IF(A300=Plan!$C$8,N(Plan!$C$7),0)</f>
        <v/>
      </c>
      <c r="AD300">
        <f>SUM(C300:N300)</f>
        <v/>
      </c>
      <c r="AE300">
        <f>SUM(O300:Z300)</f>
        <v/>
      </c>
      <c r="AF300">
        <f>IFERROR(ROUND(1/SUMPRODUCT(MAX((C299:N299&gt;0)*($C$3:$N$3&lt;=B300)*($C$2:$N$2&gt;AA300)/$C$2:$N$2)),0),0)</f>
        <v/>
      </c>
      <c r="AG300">
        <f>MAX(0,AC300-MAX(0,SUMPRODUCT(($C$2:$N$2=AA300)*(AH300:AS300-$C$7:$N$7))))</f>
        <v/>
      </c>
      <c r="AH300">
        <f>IF(C299&lt;=0,0,ROUND(C299*(1+IF(AND(C$6&gt;0,$B300&lt;C$6),C$4,C$5)/12),2))</f>
        <v/>
      </c>
      <c r="AI300">
        <f>IF(D299&lt;=0,0,ROUND(D299*(1+IF(AND(D$6&gt;0,$B300&lt;D$6),D$4,D$5)/12),2))</f>
        <v/>
      </c>
      <c r="AJ300">
        <f>IF(E299&lt;=0,0,ROUND(E299*(1+IF(AND(E$6&gt;0,$B300&lt;E$6),E$4,E$5)/12),2))</f>
        <v/>
      </c>
      <c r="AK300">
        <f>IF(F299&lt;=0,0,ROUND(F299*(1+IF(AND(F$6&gt;0,$B300&lt;F$6),F$4,F$5)/12),2))</f>
        <v/>
      </c>
      <c r="AL300">
        <f>IF(G299&lt;=0,0,ROUND(G299*(1+IF(AND(G$6&gt;0,$B300&lt;G$6),G$4,G$5)/12),2))</f>
        <v/>
      </c>
      <c r="AM300">
        <f>IF(H299&lt;=0,0,ROUND(H299*(1+IF(AND(H$6&gt;0,$B300&lt;H$6),H$4,H$5)/12),2))</f>
        <v/>
      </c>
      <c r="AN300">
        <f>IF(I299&lt;=0,0,ROUND(I299*(1+IF(AND(I$6&gt;0,$B300&lt;I$6),I$4,I$5)/12),2))</f>
        <v/>
      </c>
      <c r="AO300">
        <f>IF(J299&lt;=0,0,ROUND(J299*(1+IF(AND(J$6&gt;0,$B300&lt;J$6),J$4,J$5)/12),2))</f>
        <v/>
      </c>
      <c r="AP300">
        <f>IF(K299&lt;=0,0,ROUND(K299*(1+IF(AND(K$6&gt;0,$B300&lt;K$6),K$4,K$5)/12),2))</f>
        <v/>
      </c>
      <c r="AQ300">
        <f>IF(L299&lt;=0,0,ROUND(L299*(1+IF(AND(L$6&gt;0,$B300&lt;L$6),L$4,L$5)/12),2))</f>
        <v/>
      </c>
      <c r="AR300">
        <f>IF(M299&lt;=0,0,ROUND(M299*(1+IF(AND(M$6&gt;0,$B300&lt;M$6),M$4,M$5)/12),2))</f>
        <v/>
      </c>
      <c r="AS300">
        <f>IF(N299&lt;=0,0,ROUND(N299*(1+IF(AND(N$6&gt;0,$B300&lt;N$6),N$4,N$5)/12),2))</f>
        <v/>
      </c>
    </row>
    <row r="301">
      <c r="A301" t="n">
        <v>290</v>
      </c>
      <c r="B301">
        <f>EDATE(Plan!$C$6,289)</f>
        <v/>
      </c>
      <c r="C301">
        <f>IF(C300&lt;=0,0,MAX(0,AH301-O301))</f>
        <v/>
      </c>
      <c r="D301">
        <f>IF(D300&lt;=0,0,MAX(0,AI301-P301))</f>
        <v/>
      </c>
      <c r="E301">
        <f>IF(E300&lt;=0,0,MAX(0,AJ301-Q301))</f>
        <v/>
      </c>
      <c r="F301">
        <f>IF(F300&lt;=0,0,MAX(0,AK301-R301))</f>
        <v/>
      </c>
      <c r="G301">
        <f>IF(G300&lt;=0,0,MAX(0,AL301-S301))</f>
        <v/>
      </c>
      <c r="H301">
        <f>IF(H300&lt;=0,0,MAX(0,AM301-T301))</f>
        <v/>
      </c>
      <c r="I301">
        <f>IF(I300&lt;=0,0,MAX(0,AN301-U301))</f>
        <v/>
      </c>
      <c r="J301">
        <f>IF(J300&lt;=0,0,MAX(0,AO301-V301))</f>
        <v/>
      </c>
      <c r="K301">
        <f>IF(K300&lt;=0,0,MAX(0,AP301-W301))</f>
        <v/>
      </c>
      <c r="L301">
        <f>IF(L300&lt;=0,0,MAX(0,AQ301-X301))</f>
        <v/>
      </c>
      <c r="M301">
        <f>IF(M300&lt;=0,0,MAX(0,AR301-Y301))</f>
        <v/>
      </c>
      <c r="N301">
        <f>IF(N300&lt;=0,0,MAX(0,AS301-Z301))</f>
        <v/>
      </c>
      <c r="O301">
        <f>IF(C300&lt;=0,0,MIN(AH301,C$7+IF(C$2=$AA301,$AC301,IF(C$2=$AF301,$AG301,0))))</f>
        <v/>
      </c>
      <c r="P301">
        <f>IF(D300&lt;=0,0,MIN(AI301,D$7+IF(D$2=$AA301,$AC301,IF(D$2=$AF301,$AG301,0))))</f>
        <v/>
      </c>
      <c r="Q301">
        <f>IF(E300&lt;=0,0,MIN(AJ301,E$7+IF(E$2=$AA301,$AC301,IF(E$2=$AF301,$AG301,0))))</f>
        <v/>
      </c>
      <c r="R301">
        <f>IF(F300&lt;=0,0,MIN(AK301,F$7+IF(F$2=$AA301,$AC301,IF(F$2=$AF301,$AG301,0))))</f>
        <v/>
      </c>
      <c r="S301">
        <f>IF(G300&lt;=0,0,MIN(AL301,G$7+IF(G$2=$AA301,$AC301,IF(G$2=$AF301,$AG301,0))))</f>
        <v/>
      </c>
      <c r="T301">
        <f>IF(H300&lt;=0,0,MIN(AM301,H$7+IF(H$2=$AA301,$AC301,IF(H$2=$AF301,$AG301,0))))</f>
        <v/>
      </c>
      <c r="U301">
        <f>IF(I300&lt;=0,0,MIN(AN301,I$7+IF(I$2=$AA301,$AC301,IF(I$2=$AF301,$AG301,0))))</f>
        <v/>
      </c>
      <c r="V301">
        <f>IF(J300&lt;=0,0,MIN(AO301,J$7+IF(J$2=$AA301,$AC301,IF(J$2=$AF301,$AG301,0))))</f>
        <v/>
      </c>
      <c r="W301">
        <f>IF(K300&lt;=0,0,MIN(AP301,K$7+IF(K$2=$AA301,$AC301,IF(K$2=$AF301,$AG301,0))))</f>
        <v/>
      </c>
      <c r="X301">
        <f>IF(L300&lt;=0,0,MIN(AQ301,L$7+IF(L$2=$AA301,$AC301,IF(L$2=$AF301,$AG301,0))))</f>
        <v/>
      </c>
      <c r="Y301">
        <f>IF(M300&lt;=0,0,MIN(AR301,M$7+IF(M$2=$AA301,$AC301,IF(M$2=$AF301,$AG301,0))))</f>
        <v/>
      </c>
      <c r="Z301">
        <f>IF(N300&lt;=0,0,MIN(AS301,N$7+IF(N$2=$AA301,$AC301,IF(N$2=$AF301,$AG301,0))))</f>
        <v/>
      </c>
      <c r="AA301">
        <f>IFERROR(ROUND(1/SUMPRODUCT(MAX((C300:N300&gt;0)*($C$3:$N$3&lt;=B301)/$C$2:$N$2)),0),0)</f>
        <v/>
      </c>
      <c r="AB301">
        <f>SUMPRODUCT((C300:N300&gt;0)*$C$7:$N$7)</f>
        <v/>
      </c>
      <c r="AC301">
        <f>MAX(0,Plan!$C$5-AB301)+IF(A301=Plan!$C$8,N(Plan!$C$7),0)</f>
        <v/>
      </c>
      <c r="AD301">
        <f>SUM(C301:N301)</f>
        <v/>
      </c>
      <c r="AE301">
        <f>SUM(O301:Z301)</f>
        <v/>
      </c>
      <c r="AF301">
        <f>IFERROR(ROUND(1/SUMPRODUCT(MAX((C300:N300&gt;0)*($C$3:$N$3&lt;=B301)*($C$2:$N$2&gt;AA301)/$C$2:$N$2)),0),0)</f>
        <v/>
      </c>
      <c r="AG301">
        <f>MAX(0,AC301-MAX(0,SUMPRODUCT(($C$2:$N$2=AA301)*(AH301:AS301-$C$7:$N$7))))</f>
        <v/>
      </c>
      <c r="AH301">
        <f>IF(C300&lt;=0,0,ROUND(C300*(1+IF(AND(C$6&gt;0,$B301&lt;C$6),C$4,C$5)/12),2))</f>
        <v/>
      </c>
      <c r="AI301">
        <f>IF(D300&lt;=0,0,ROUND(D300*(1+IF(AND(D$6&gt;0,$B301&lt;D$6),D$4,D$5)/12),2))</f>
        <v/>
      </c>
      <c r="AJ301">
        <f>IF(E300&lt;=0,0,ROUND(E300*(1+IF(AND(E$6&gt;0,$B301&lt;E$6),E$4,E$5)/12),2))</f>
        <v/>
      </c>
      <c r="AK301">
        <f>IF(F300&lt;=0,0,ROUND(F300*(1+IF(AND(F$6&gt;0,$B301&lt;F$6),F$4,F$5)/12),2))</f>
        <v/>
      </c>
      <c r="AL301">
        <f>IF(G300&lt;=0,0,ROUND(G300*(1+IF(AND(G$6&gt;0,$B301&lt;G$6),G$4,G$5)/12),2))</f>
        <v/>
      </c>
      <c r="AM301">
        <f>IF(H300&lt;=0,0,ROUND(H300*(1+IF(AND(H$6&gt;0,$B301&lt;H$6),H$4,H$5)/12),2))</f>
        <v/>
      </c>
      <c r="AN301">
        <f>IF(I300&lt;=0,0,ROUND(I300*(1+IF(AND(I$6&gt;0,$B301&lt;I$6),I$4,I$5)/12),2))</f>
        <v/>
      </c>
      <c r="AO301">
        <f>IF(J300&lt;=0,0,ROUND(J300*(1+IF(AND(J$6&gt;0,$B301&lt;J$6),J$4,J$5)/12),2))</f>
        <v/>
      </c>
      <c r="AP301">
        <f>IF(K300&lt;=0,0,ROUND(K300*(1+IF(AND(K$6&gt;0,$B301&lt;K$6),K$4,K$5)/12),2))</f>
        <v/>
      </c>
      <c r="AQ301">
        <f>IF(L300&lt;=0,0,ROUND(L300*(1+IF(AND(L$6&gt;0,$B301&lt;L$6),L$4,L$5)/12),2))</f>
        <v/>
      </c>
      <c r="AR301">
        <f>IF(M300&lt;=0,0,ROUND(M300*(1+IF(AND(M$6&gt;0,$B301&lt;M$6),M$4,M$5)/12),2))</f>
        <v/>
      </c>
      <c r="AS301">
        <f>IF(N300&lt;=0,0,ROUND(N300*(1+IF(AND(N$6&gt;0,$B301&lt;N$6),N$4,N$5)/12),2))</f>
        <v/>
      </c>
    </row>
    <row r="302">
      <c r="A302" t="n">
        <v>291</v>
      </c>
      <c r="B302">
        <f>EDATE(Plan!$C$6,290)</f>
        <v/>
      </c>
      <c r="C302">
        <f>IF(C301&lt;=0,0,MAX(0,AH302-O302))</f>
        <v/>
      </c>
      <c r="D302">
        <f>IF(D301&lt;=0,0,MAX(0,AI302-P302))</f>
        <v/>
      </c>
      <c r="E302">
        <f>IF(E301&lt;=0,0,MAX(0,AJ302-Q302))</f>
        <v/>
      </c>
      <c r="F302">
        <f>IF(F301&lt;=0,0,MAX(0,AK302-R302))</f>
        <v/>
      </c>
      <c r="G302">
        <f>IF(G301&lt;=0,0,MAX(0,AL302-S302))</f>
        <v/>
      </c>
      <c r="H302">
        <f>IF(H301&lt;=0,0,MAX(0,AM302-T302))</f>
        <v/>
      </c>
      <c r="I302">
        <f>IF(I301&lt;=0,0,MAX(0,AN302-U302))</f>
        <v/>
      </c>
      <c r="J302">
        <f>IF(J301&lt;=0,0,MAX(0,AO302-V302))</f>
        <v/>
      </c>
      <c r="K302">
        <f>IF(K301&lt;=0,0,MAX(0,AP302-W302))</f>
        <v/>
      </c>
      <c r="L302">
        <f>IF(L301&lt;=0,0,MAX(0,AQ302-X302))</f>
        <v/>
      </c>
      <c r="M302">
        <f>IF(M301&lt;=0,0,MAX(0,AR302-Y302))</f>
        <v/>
      </c>
      <c r="N302">
        <f>IF(N301&lt;=0,0,MAX(0,AS302-Z302))</f>
        <v/>
      </c>
      <c r="O302">
        <f>IF(C301&lt;=0,0,MIN(AH302,C$7+IF(C$2=$AA302,$AC302,IF(C$2=$AF302,$AG302,0))))</f>
        <v/>
      </c>
      <c r="P302">
        <f>IF(D301&lt;=0,0,MIN(AI302,D$7+IF(D$2=$AA302,$AC302,IF(D$2=$AF302,$AG302,0))))</f>
        <v/>
      </c>
      <c r="Q302">
        <f>IF(E301&lt;=0,0,MIN(AJ302,E$7+IF(E$2=$AA302,$AC302,IF(E$2=$AF302,$AG302,0))))</f>
        <v/>
      </c>
      <c r="R302">
        <f>IF(F301&lt;=0,0,MIN(AK302,F$7+IF(F$2=$AA302,$AC302,IF(F$2=$AF302,$AG302,0))))</f>
        <v/>
      </c>
      <c r="S302">
        <f>IF(G301&lt;=0,0,MIN(AL302,G$7+IF(G$2=$AA302,$AC302,IF(G$2=$AF302,$AG302,0))))</f>
        <v/>
      </c>
      <c r="T302">
        <f>IF(H301&lt;=0,0,MIN(AM302,H$7+IF(H$2=$AA302,$AC302,IF(H$2=$AF302,$AG302,0))))</f>
        <v/>
      </c>
      <c r="U302">
        <f>IF(I301&lt;=0,0,MIN(AN302,I$7+IF(I$2=$AA302,$AC302,IF(I$2=$AF302,$AG302,0))))</f>
        <v/>
      </c>
      <c r="V302">
        <f>IF(J301&lt;=0,0,MIN(AO302,J$7+IF(J$2=$AA302,$AC302,IF(J$2=$AF302,$AG302,0))))</f>
        <v/>
      </c>
      <c r="W302">
        <f>IF(K301&lt;=0,0,MIN(AP302,K$7+IF(K$2=$AA302,$AC302,IF(K$2=$AF302,$AG302,0))))</f>
        <v/>
      </c>
      <c r="X302">
        <f>IF(L301&lt;=0,0,MIN(AQ302,L$7+IF(L$2=$AA302,$AC302,IF(L$2=$AF302,$AG302,0))))</f>
        <v/>
      </c>
      <c r="Y302">
        <f>IF(M301&lt;=0,0,MIN(AR302,M$7+IF(M$2=$AA302,$AC302,IF(M$2=$AF302,$AG302,0))))</f>
        <v/>
      </c>
      <c r="Z302">
        <f>IF(N301&lt;=0,0,MIN(AS302,N$7+IF(N$2=$AA302,$AC302,IF(N$2=$AF302,$AG302,0))))</f>
        <v/>
      </c>
      <c r="AA302">
        <f>IFERROR(ROUND(1/SUMPRODUCT(MAX((C301:N301&gt;0)*($C$3:$N$3&lt;=B302)/$C$2:$N$2)),0),0)</f>
        <v/>
      </c>
      <c r="AB302">
        <f>SUMPRODUCT((C301:N301&gt;0)*$C$7:$N$7)</f>
        <v/>
      </c>
      <c r="AC302">
        <f>MAX(0,Plan!$C$5-AB302)+IF(A302=Plan!$C$8,N(Plan!$C$7),0)</f>
        <v/>
      </c>
      <c r="AD302">
        <f>SUM(C302:N302)</f>
        <v/>
      </c>
      <c r="AE302">
        <f>SUM(O302:Z302)</f>
        <v/>
      </c>
      <c r="AF302">
        <f>IFERROR(ROUND(1/SUMPRODUCT(MAX((C301:N301&gt;0)*($C$3:$N$3&lt;=B302)*($C$2:$N$2&gt;AA302)/$C$2:$N$2)),0),0)</f>
        <v/>
      </c>
      <c r="AG302">
        <f>MAX(0,AC302-MAX(0,SUMPRODUCT(($C$2:$N$2=AA302)*(AH302:AS302-$C$7:$N$7))))</f>
        <v/>
      </c>
      <c r="AH302">
        <f>IF(C301&lt;=0,0,ROUND(C301*(1+IF(AND(C$6&gt;0,$B302&lt;C$6),C$4,C$5)/12),2))</f>
        <v/>
      </c>
      <c r="AI302">
        <f>IF(D301&lt;=0,0,ROUND(D301*(1+IF(AND(D$6&gt;0,$B302&lt;D$6),D$4,D$5)/12),2))</f>
        <v/>
      </c>
      <c r="AJ302">
        <f>IF(E301&lt;=0,0,ROUND(E301*(1+IF(AND(E$6&gt;0,$B302&lt;E$6),E$4,E$5)/12),2))</f>
        <v/>
      </c>
      <c r="AK302">
        <f>IF(F301&lt;=0,0,ROUND(F301*(1+IF(AND(F$6&gt;0,$B302&lt;F$6),F$4,F$5)/12),2))</f>
        <v/>
      </c>
      <c r="AL302">
        <f>IF(G301&lt;=0,0,ROUND(G301*(1+IF(AND(G$6&gt;0,$B302&lt;G$6),G$4,G$5)/12),2))</f>
        <v/>
      </c>
      <c r="AM302">
        <f>IF(H301&lt;=0,0,ROUND(H301*(1+IF(AND(H$6&gt;0,$B302&lt;H$6),H$4,H$5)/12),2))</f>
        <v/>
      </c>
      <c r="AN302">
        <f>IF(I301&lt;=0,0,ROUND(I301*(1+IF(AND(I$6&gt;0,$B302&lt;I$6),I$4,I$5)/12),2))</f>
        <v/>
      </c>
      <c r="AO302">
        <f>IF(J301&lt;=0,0,ROUND(J301*(1+IF(AND(J$6&gt;0,$B302&lt;J$6),J$4,J$5)/12),2))</f>
        <v/>
      </c>
      <c r="AP302">
        <f>IF(K301&lt;=0,0,ROUND(K301*(1+IF(AND(K$6&gt;0,$B302&lt;K$6),K$4,K$5)/12),2))</f>
        <v/>
      </c>
      <c r="AQ302">
        <f>IF(L301&lt;=0,0,ROUND(L301*(1+IF(AND(L$6&gt;0,$B302&lt;L$6),L$4,L$5)/12),2))</f>
        <v/>
      </c>
      <c r="AR302">
        <f>IF(M301&lt;=0,0,ROUND(M301*(1+IF(AND(M$6&gt;0,$B302&lt;M$6),M$4,M$5)/12),2))</f>
        <v/>
      </c>
      <c r="AS302">
        <f>IF(N301&lt;=0,0,ROUND(N301*(1+IF(AND(N$6&gt;0,$B302&lt;N$6),N$4,N$5)/12),2))</f>
        <v/>
      </c>
    </row>
    <row r="303">
      <c r="A303" t="n">
        <v>292</v>
      </c>
      <c r="B303">
        <f>EDATE(Plan!$C$6,291)</f>
        <v/>
      </c>
      <c r="C303">
        <f>IF(C302&lt;=0,0,MAX(0,AH303-O303))</f>
        <v/>
      </c>
      <c r="D303">
        <f>IF(D302&lt;=0,0,MAX(0,AI303-P303))</f>
        <v/>
      </c>
      <c r="E303">
        <f>IF(E302&lt;=0,0,MAX(0,AJ303-Q303))</f>
        <v/>
      </c>
      <c r="F303">
        <f>IF(F302&lt;=0,0,MAX(0,AK303-R303))</f>
        <v/>
      </c>
      <c r="G303">
        <f>IF(G302&lt;=0,0,MAX(0,AL303-S303))</f>
        <v/>
      </c>
      <c r="H303">
        <f>IF(H302&lt;=0,0,MAX(0,AM303-T303))</f>
        <v/>
      </c>
      <c r="I303">
        <f>IF(I302&lt;=0,0,MAX(0,AN303-U303))</f>
        <v/>
      </c>
      <c r="J303">
        <f>IF(J302&lt;=0,0,MAX(0,AO303-V303))</f>
        <v/>
      </c>
      <c r="K303">
        <f>IF(K302&lt;=0,0,MAX(0,AP303-W303))</f>
        <v/>
      </c>
      <c r="L303">
        <f>IF(L302&lt;=0,0,MAX(0,AQ303-X303))</f>
        <v/>
      </c>
      <c r="M303">
        <f>IF(M302&lt;=0,0,MAX(0,AR303-Y303))</f>
        <v/>
      </c>
      <c r="N303">
        <f>IF(N302&lt;=0,0,MAX(0,AS303-Z303))</f>
        <v/>
      </c>
      <c r="O303">
        <f>IF(C302&lt;=0,0,MIN(AH303,C$7+IF(C$2=$AA303,$AC303,IF(C$2=$AF303,$AG303,0))))</f>
        <v/>
      </c>
      <c r="P303">
        <f>IF(D302&lt;=0,0,MIN(AI303,D$7+IF(D$2=$AA303,$AC303,IF(D$2=$AF303,$AG303,0))))</f>
        <v/>
      </c>
      <c r="Q303">
        <f>IF(E302&lt;=0,0,MIN(AJ303,E$7+IF(E$2=$AA303,$AC303,IF(E$2=$AF303,$AG303,0))))</f>
        <v/>
      </c>
      <c r="R303">
        <f>IF(F302&lt;=0,0,MIN(AK303,F$7+IF(F$2=$AA303,$AC303,IF(F$2=$AF303,$AG303,0))))</f>
        <v/>
      </c>
      <c r="S303">
        <f>IF(G302&lt;=0,0,MIN(AL303,G$7+IF(G$2=$AA303,$AC303,IF(G$2=$AF303,$AG303,0))))</f>
        <v/>
      </c>
      <c r="T303">
        <f>IF(H302&lt;=0,0,MIN(AM303,H$7+IF(H$2=$AA303,$AC303,IF(H$2=$AF303,$AG303,0))))</f>
        <v/>
      </c>
      <c r="U303">
        <f>IF(I302&lt;=0,0,MIN(AN303,I$7+IF(I$2=$AA303,$AC303,IF(I$2=$AF303,$AG303,0))))</f>
        <v/>
      </c>
      <c r="V303">
        <f>IF(J302&lt;=0,0,MIN(AO303,J$7+IF(J$2=$AA303,$AC303,IF(J$2=$AF303,$AG303,0))))</f>
        <v/>
      </c>
      <c r="W303">
        <f>IF(K302&lt;=0,0,MIN(AP303,K$7+IF(K$2=$AA303,$AC303,IF(K$2=$AF303,$AG303,0))))</f>
        <v/>
      </c>
      <c r="X303">
        <f>IF(L302&lt;=0,0,MIN(AQ303,L$7+IF(L$2=$AA303,$AC303,IF(L$2=$AF303,$AG303,0))))</f>
        <v/>
      </c>
      <c r="Y303">
        <f>IF(M302&lt;=0,0,MIN(AR303,M$7+IF(M$2=$AA303,$AC303,IF(M$2=$AF303,$AG303,0))))</f>
        <v/>
      </c>
      <c r="Z303">
        <f>IF(N302&lt;=0,0,MIN(AS303,N$7+IF(N$2=$AA303,$AC303,IF(N$2=$AF303,$AG303,0))))</f>
        <v/>
      </c>
      <c r="AA303">
        <f>IFERROR(ROUND(1/SUMPRODUCT(MAX((C302:N302&gt;0)*($C$3:$N$3&lt;=B303)/$C$2:$N$2)),0),0)</f>
        <v/>
      </c>
      <c r="AB303">
        <f>SUMPRODUCT((C302:N302&gt;0)*$C$7:$N$7)</f>
        <v/>
      </c>
      <c r="AC303">
        <f>MAX(0,Plan!$C$5-AB303)+IF(A303=Plan!$C$8,N(Plan!$C$7),0)</f>
        <v/>
      </c>
      <c r="AD303">
        <f>SUM(C303:N303)</f>
        <v/>
      </c>
      <c r="AE303">
        <f>SUM(O303:Z303)</f>
        <v/>
      </c>
      <c r="AF303">
        <f>IFERROR(ROUND(1/SUMPRODUCT(MAX((C302:N302&gt;0)*($C$3:$N$3&lt;=B303)*($C$2:$N$2&gt;AA303)/$C$2:$N$2)),0),0)</f>
        <v/>
      </c>
      <c r="AG303">
        <f>MAX(0,AC303-MAX(0,SUMPRODUCT(($C$2:$N$2=AA303)*(AH303:AS303-$C$7:$N$7))))</f>
        <v/>
      </c>
      <c r="AH303">
        <f>IF(C302&lt;=0,0,ROUND(C302*(1+IF(AND(C$6&gt;0,$B303&lt;C$6),C$4,C$5)/12),2))</f>
        <v/>
      </c>
      <c r="AI303">
        <f>IF(D302&lt;=0,0,ROUND(D302*(1+IF(AND(D$6&gt;0,$B303&lt;D$6),D$4,D$5)/12),2))</f>
        <v/>
      </c>
      <c r="AJ303">
        <f>IF(E302&lt;=0,0,ROUND(E302*(1+IF(AND(E$6&gt;0,$B303&lt;E$6),E$4,E$5)/12),2))</f>
        <v/>
      </c>
      <c r="AK303">
        <f>IF(F302&lt;=0,0,ROUND(F302*(1+IF(AND(F$6&gt;0,$B303&lt;F$6),F$4,F$5)/12),2))</f>
        <v/>
      </c>
      <c r="AL303">
        <f>IF(G302&lt;=0,0,ROUND(G302*(1+IF(AND(G$6&gt;0,$B303&lt;G$6),G$4,G$5)/12),2))</f>
        <v/>
      </c>
      <c r="AM303">
        <f>IF(H302&lt;=0,0,ROUND(H302*(1+IF(AND(H$6&gt;0,$B303&lt;H$6),H$4,H$5)/12),2))</f>
        <v/>
      </c>
      <c r="AN303">
        <f>IF(I302&lt;=0,0,ROUND(I302*(1+IF(AND(I$6&gt;0,$B303&lt;I$6),I$4,I$5)/12),2))</f>
        <v/>
      </c>
      <c r="AO303">
        <f>IF(J302&lt;=0,0,ROUND(J302*(1+IF(AND(J$6&gt;0,$B303&lt;J$6),J$4,J$5)/12),2))</f>
        <v/>
      </c>
      <c r="AP303">
        <f>IF(K302&lt;=0,0,ROUND(K302*(1+IF(AND(K$6&gt;0,$B303&lt;K$6),K$4,K$5)/12),2))</f>
        <v/>
      </c>
      <c r="AQ303">
        <f>IF(L302&lt;=0,0,ROUND(L302*(1+IF(AND(L$6&gt;0,$B303&lt;L$6),L$4,L$5)/12),2))</f>
        <v/>
      </c>
      <c r="AR303">
        <f>IF(M302&lt;=0,0,ROUND(M302*(1+IF(AND(M$6&gt;0,$B303&lt;M$6),M$4,M$5)/12),2))</f>
        <v/>
      </c>
      <c r="AS303">
        <f>IF(N302&lt;=0,0,ROUND(N302*(1+IF(AND(N$6&gt;0,$B303&lt;N$6),N$4,N$5)/12),2))</f>
        <v/>
      </c>
    </row>
    <row r="304">
      <c r="A304" t="n">
        <v>293</v>
      </c>
      <c r="B304">
        <f>EDATE(Plan!$C$6,292)</f>
        <v/>
      </c>
      <c r="C304">
        <f>IF(C303&lt;=0,0,MAX(0,AH304-O304))</f>
        <v/>
      </c>
      <c r="D304">
        <f>IF(D303&lt;=0,0,MAX(0,AI304-P304))</f>
        <v/>
      </c>
      <c r="E304">
        <f>IF(E303&lt;=0,0,MAX(0,AJ304-Q304))</f>
        <v/>
      </c>
      <c r="F304">
        <f>IF(F303&lt;=0,0,MAX(0,AK304-R304))</f>
        <v/>
      </c>
      <c r="G304">
        <f>IF(G303&lt;=0,0,MAX(0,AL304-S304))</f>
        <v/>
      </c>
      <c r="H304">
        <f>IF(H303&lt;=0,0,MAX(0,AM304-T304))</f>
        <v/>
      </c>
      <c r="I304">
        <f>IF(I303&lt;=0,0,MAX(0,AN304-U304))</f>
        <v/>
      </c>
      <c r="J304">
        <f>IF(J303&lt;=0,0,MAX(0,AO304-V304))</f>
        <v/>
      </c>
      <c r="K304">
        <f>IF(K303&lt;=0,0,MAX(0,AP304-W304))</f>
        <v/>
      </c>
      <c r="L304">
        <f>IF(L303&lt;=0,0,MAX(0,AQ304-X304))</f>
        <v/>
      </c>
      <c r="M304">
        <f>IF(M303&lt;=0,0,MAX(0,AR304-Y304))</f>
        <v/>
      </c>
      <c r="N304">
        <f>IF(N303&lt;=0,0,MAX(0,AS304-Z304))</f>
        <v/>
      </c>
      <c r="O304">
        <f>IF(C303&lt;=0,0,MIN(AH304,C$7+IF(C$2=$AA304,$AC304,IF(C$2=$AF304,$AG304,0))))</f>
        <v/>
      </c>
      <c r="P304">
        <f>IF(D303&lt;=0,0,MIN(AI304,D$7+IF(D$2=$AA304,$AC304,IF(D$2=$AF304,$AG304,0))))</f>
        <v/>
      </c>
      <c r="Q304">
        <f>IF(E303&lt;=0,0,MIN(AJ304,E$7+IF(E$2=$AA304,$AC304,IF(E$2=$AF304,$AG304,0))))</f>
        <v/>
      </c>
      <c r="R304">
        <f>IF(F303&lt;=0,0,MIN(AK304,F$7+IF(F$2=$AA304,$AC304,IF(F$2=$AF304,$AG304,0))))</f>
        <v/>
      </c>
      <c r="S304">
        <f>IF(G303&lt;=0,0,MIN(AL304,G$7+IF(G$2=$AA304,$AC304,IF(G$2=$AF304,$AG304,0))))</f>
        <v/>
      </c>
      <c r="T304">
        <f>IF(H303&lt;=0,0,MIN(AM304,H$7+IF(H$2=$AA304,$AC304,IF(H$2=$AF304,$AG304,0))))</f>
        <v/>
      </c>
      <c r="U304">
        <f>IF(I303&lt;=0,0,MIN(AN304,I$7+IF(I$2=$AA304,$AC304,IF(I$2=$AF304,$AG304,0))))</f>
        <v/>
      </c>
      <c r="V304">
        <f>IF(J303&lt;=0,0,MIN(AO304,J$7+IF(J$2=$AA304,$AC304,IF(J$2=$AF304,$AG304,0))))</f>
        <v/>
      </c>
      <c r="W304">
        <f>IF(K303&lt;=0,0,MIN(AP304,K$7+IF(K$2=$AA304,$AC304,IF(K$2=$AF304,$AG304,0))))</f>
        <v/>
      </c>
      <c r="X304">
        <f>IF(L303&lt;=0,0,MIN(AQ304,L$7+IF(L$2=$AA304,$AC304,IF(L$2=$AF304,$AG304,0))))</f>
        <v/>
      </c>
      <c r="Y304">
        <f>IF(M303&lt;=0,0,MIN(AR304,M$7+IF(M$2=$AA304,$AC304,IF(M$2=$AF304,$AG304,0))))</f>
        <v/>
      </c>
      <c r="Z304">
        <f>IF(N303&lt;=0,0,MIN(AS304,N$7+IF(N$2=$AA304,$AC304,IF(N$2=$AF304,$AG304,0))))</f>
        <v/>
      </c>
      <c r="AA304">
        <f>IFERROR(ROUND(1/SUMPRODUCT(MAX((C303:N303&gt;0)*($C$3:$N$3&lt;=B304)/$C$2:$N$2)),0),0)</f>
        <v/>
      </c>
      <c r="AB304">
        <f>SUMPRODUCT((C303:N303&gt;0)*$C$7:$N$7)</f>
        <v/>
      </c>
      <c r="AC304">
        <f>MAX(0,Plan!$C$5-AB304)+IF(A304=Plan!$C$8,N(Plan!$C$7),0)</f>
        <v/>
      </c>
      <c r="AD304">
        <f>SUM(C304:N304)</f>
        <v/>
      </c>
      <c r="AE304">
        <f>SUM(O304:Z304)</f>
        <v/>
      </c>
      <c r="AF304">
        <f>IFERROR(ROUND(1/SUMPRODUCT(MAX((C303:N303&gt;0)*($C$3:$N$3&lt;=B304)*($C$2:$N$2&gt;AA304)/$C$2:$N$2)),0),0)</f>
        <v/>
      </c>
      <c r="AG304">
        <f>MAX(0,AC304-MAX(0,SUMPRODUCT(($C$2:$N$2=AA304)*(AH304:AS304-$C$7:$N$7))))</f>
        <v/>
      </c>
      <c r="AH304">
        <f>IF(C303&lt;=0,0,ROUND(C303*(1+IF(AND(C$6&gt;0,$B304&lt;C$6),C$4,C$5)/12),2))</f>
        <v/>
      </c>
      <c r="AI304">
        <f>IF(D303&lt;=0,0,ROUND(D303*(1+IF(AND(D$6&gt;0,$B304&lt;D$6),D$4,D$5)/12),2))</f>
        <v/>
      </c>
      <c r="AJ304">
        <f>IF(E303&lt;=0,0,ROUND(E303*(1+IF(AND(E$6&gt;0,$B304&lt;E$6),E$4,E$5)/12),2))</f>
        <v/>
      </c>
      <c r="AK304">
        <f>IF(F303&lt;=0,0,ROUND(F303*(1+IF(AND(F$6&gt;0,$B304&lt;F$6),F$4,F$5)/12),2))</f>
        <v/>
      </c>
      <c r="AL304">
        <f>IF(G303&lt;=0,0,ROUND(G303*(1+IF(AND(G$6&gt;0,$B304&lt;G$6),G$4,G$5)/12),2))</f>
        <v/>
      </c>
      <c r="AM304">
        <f>IF(H303&lt;=0,0,ROUND(H303*(1+IF(AND(H$6&gt;0,$B304&lt;H$6),H$4,H$5)/12),2))</f>
        <v/>
      </c>
      <c r="AN304">
        <f>IF(I303&lt;=0,0,ROUND(I303*(1+IF(AND(I$6&gt;0,$B304&lt;I$6),I$4,I$5)/12),2))</f>
        <v/>
      </c>
      <c r="AO304">
        <f>IF(J303&lt;=0,0,ROUND(J303*(1+IF(AND(J$6&gt;0,$B304&lt;J$6),J$4,J$5)/12),2))</f>
        <v/>
      </c>
      <c r="AP304">
        <f>IF(K303&lt;=0,0,ROUND(K303*(1+IF(AND(K$6&gt;0,$B304&lt;K$6),K$4,K$5)/12),2))</f>
        <v/>
      </c>
      <c r="AQ304">
        <f>IF(L303&lt;=0,0,ROUND(L303*(1+IF(AND(L$6&gt;0,$B304&lt;L$6),L$4,L$5)/12),2))</f>
        <v/>
      </c>
      <c r="AR304">
        <f>IF(M303&lt;=0,0,ROUND(M303*(1+IF(AND(M$6&gt;0,$B304&lt;M$6),M$4,M$5)/12),2))</f>
        <v/>
      </c>
      <c r="AS304">
        <f>IF(N303&lt;=0,0,ROUND(N303*(1+IF(AND(N$6&gt;0,$B304&lt;N$6),N$4,N$5)/12),2))</f>
        <v/>
      </c>
    </row>
    <row r="305">
      <c r="A305" t="n">
        <v>294</v>
      </c>
      <c r="B305">
        <f>EDATE(Plan!$C$6,293)</f>
        <v/>
      </c>
      <c r="C305">
        <f>IF(C304&lt;=0,0,MAX(0,AH305-O305))</f>
        <v/>
      </c>
      <c r="D305">
        <f>IF(D304&lt;=0,0,MAX(0,AI305-P305))</f>
        <v/>
      </c>
      <c r="E305">
        <f>IF(E304&lt;=0,0,MAX(0,AJ305-Q305))</f>
        <v/>
      </c>
      <c r="F305">
        <f>IF(F304&lt;=0,0,MAX(0,AK305-R305))</f>
        <v/>
      </c>
      <c r="G305">
        <f>IF(G304&lt;=0,0,MAX(0,AL305-S305))</f>
        <v/>
      </c>
      <c r="H305">
        <f>IF(H304&lt;=0,0,MAX(0,AM305-T305))</f>
        <v/>
      </c>
      <c r="I305">
        <f>IF(I304&lt;=0,0,MAX(0,AN305-U305))</f>
        <v/>
      </c>
      <c r="J305">
        <f>IF(J304&lt;=0,0,MAX(0,AO305-V305))</f>
        <v/>
      </c>
      <c r="K305">
        <f>IF(K304&lt;=0,0,MAX(0,AP305-W305))</f>
        <v/>
      </c>
      <c r="L305">
        <f>IF(L304&lt;=0,0,MAX(0,AQ305-X305))</f>
        <v/>
      </c>
      <c r="M305">
        <f>IF(M304&lt;=0,0,MAX(0,AR305-Y305))</f>
        <v/>
      </c>
      <c r="N305">
        <f>IF(N304&lt;=0,0,MAX(0,AS305-Z305))</f>
        <v/>
      </c>
      <c r="O305">
        <f>IF(C304&lt;=0,0,MIN(AH305,C$7+IF(C$2=$AA305,$AC305,IF(C$2=$AF305,$AG305,0))))</f>
        <v/>
      </c>
      <c r="P305">
        <f>IF(D304&lt;=0,0,MIN(AI305,D$7+IF(D$2=$AA305,$AC305,IF(D$2=$AF305,$AG305,0))))</f>
        <v/>
      </c>
      <c r="Q305">
        <f>IF(E304&lt;=0,0,MIN(AJ305,E$7+IF(E$2=$AA305,$AC305,IF(E$2=$AF305,$AG305,0))))</f>
        <v/>
      </c>
      <c r="R305">
        <f>IF(F304&lt;=0,0,MIN(AK305,F$7+IF(F$2=$AA305,$AC305,IF(F$2=$AF305,$AG305,0))))</f>
        <v/>
      </c>
      <c r="S305">
        <f>IF(G304&lt;=0,0,MIN(AL305,G$7+IF(G$2=$AA305,$AC305,IF(G$2=$AF305,$AG305,0))))</f>
        <v/>
      </c>
      <c r="T305">
        <f>IF(H304&lt;=0,0,MIN(AM305,H$7+IF(H$2=$AA305,$AC305,IF(H$2=$AF305,$AG305,0))))</f>
        <v/>
      </c>
      <c r="U305">
        <f>IF(I304&lt;=0,0,MIN(AN305,I$7+IF(I$2=$AA305,$AC305,IF(I$2=$AF305,$AG305,0))))</f>
        <v/>
      </c>
      <c r="V305">
        <f>IF(J304&lt;=0,0,MIN(AO305,J$7+IF(J$2=$AA305,$AC305,IF(J$2=$AF305,$AG305,0))))</f>
        <v/>
      </c>
      <c r="W305">
        <f>IF(K304&lt;=0,0,MIN(AP305,K$7+IF(K$2=$AA305,$AC305,IF(K$2=$AF305,$AG305,0))))</f>
        <v/>
      </c>
      <c r="X305">
        <f>IF(L304&lt;=0,0,MIN(AQ305,L$7+IF(L$2=$AA305,$AC305,IF(L$2=$AF305,$AG305,0))))</f>
        <v/>
      </c>
      <c r="Y305">
        <f>IF(M304&lt;=0,0,MIN(AR305,M$7+IF(M$2=$AA305,$AC305,IF(M$2=$AF305,$AG305,0))))</f>
        <v/>
      </c>
      <c r="Z305">
        <f>IF(N304&lt;=0,0,MIN(AS305,N$7+IF(N$2=$AA305,$AC305,IF(N$2=$AF305,$AG305,0))))</f>
        <v/>
      </c>
      <c r="AA305">
        <f>IFERROR(ROUND(1/SUMPRODUCT(MAX((C304:N304&gt;0)*($C$3:$N$3&lt;=B305)/$C$2:$N$2)),0),0)</f>
        <v/>
      </c>
      <c r="AB305">
        <f>SUMPRODUCT((C304:N304&gt;0)*$C$7:$N$7)</f>
        <v/>
      </c>
      <c r="AC305">
        <f>MAX(0,Plan!$C$5-AB305)+IF(A305=Plan!$C$8,N(Plan!$C$7),0)</f>
        <v/>
      </c>
      <c r="AD305">
        <f>SUM(C305:N305)</f>
        <v/>
      </c>
      <c r="AE305">
        <f>SUM(O305:Z305)</f>
        <v/>
      </c>
      <c r="AF305">
        <f>IFERROR(ROUND(1/SUMPRODUCT(MAX((C304:N304&gt;0)*($C$3:$N$3&lt;=B305)*($C$2:$N$2&gt;AA305)/$C$2:$N$2)),0),0)</f>
        <v/>
      </c>
      <c r="AG305">
        <f>MAX(0,AC305-MAX(0,SUMPRODUCT(($C$2:$N$2=AA305)*(AH305:AS305-$C$7:$N$7))))</f>
        <v/>
      </c>
      <c r="AH305">
        <f>IF(C304&lt;=0,0,ROUND(C304*(1+IF(AND(C$6&gt;0,$B305&lt;C$6),C$4,C$5)/12),2))</f>
        <v/>
      </c>
      <c r="AI305">
        <f>IF(D304&lt;=0,0,ROUND(D304*(1+IF(AND(D$6&gt;0,$B305&lt;D$6),D$4,D$5)/12),2))</f>
        <v/>
      </c>
      <c r="AJ305">
        <f>IF(E304&lt;=0,0,ROUND(E304*(1+IF(AND(E$6&gt;0,$B305&lt;E$6),E$4,E$5)/12),2))</f>
        <v/>
      </c>
      <c r="AK305">
        <f>IF(F304&lt;=0,0,ROUND(F304*(1+IF(AND(F$6&gt;0,$B305&lt;F$6),F$4,F$5)/12),2))</f>
        <v/>
      </c>
      <c r="AL305">
        <f>IF(G304&lt;=0,0,ROUND(G304*(1+IF(AND(G$6&gt;0,$B305&lt;G$6),G$4,G$5)/12),2))</f>
        <v/>
      </c>
      <c r="AM305">
        <f>IF(H304&lt;=0,0,ROUND(H304*(1+IF(AND(H$6&gt;0,$B305&lt;H$6),H$4,H$5)/12),2))</f>
        <v/>
      </c>
      <c r="AN305">
        <f>IF(I304&lt;=0,0,ROUND(I304*(1+IF(AND(I$6&gt;0,$B305&lt;I$6),I$4,I$5)/12),2))</f>
        <v/>
      </c>
      <c r="AO305">
        <f>IF(J304&lt;=0,0,ROUND(J304*(1+IF(AND(J$6&gt;0,$B305&lt;J$6),J$4,J$5)/12),2))</f>
        <v/>
      </c>
      <c r="AP305">
        <f>IF(K304&lt;=0,0,ROUND(K304*(1+IF(AND(K$6&gt;0,$B305&lt;K$6),K$4,K$5)/12),2))</f>
        <v/>
      </c>
      <c r="AQ305">
        <f>IF(L304&lt;=0,0,ROUND(L304*(1+IF(AND(L$6&gt;0,$B305&lt;L$6),L$4,L$5)/12),2))</f>
        <v/>
      </c>
      <c r="AR305">
        <f>IF(M304&lt;=0,0,ROUND(M304*(1+IF(AND(M$6&gt;0,$B305&lt;M$6),M$4,M$5)/12),2))</f>
        <v/>
      </c>
      <c r="AS305">
        <f>IF(N304&lt;=0,0,ROUND(N304*(1+IF(AND(N$6&gt;0,$B305&lt;N$6),N$4,N$5)/12),2))</f>
        <v/>
      </c>
    </row>
    <row r="306">
      <c r="A306" t="n">
        <v>295</v>
      </c>
      <c r="B306">
        <f>EDATE(Plan!$C$6,294)</f>
        <v/>
      </c>
      <c r="C306">
        <f>IF(C305&lt;=0,0,MAX(0,AH306-O306))</f>
        <v/>
      </c>
      <c r="D306">
        <f>IF(D305&lt;=0,0,MAX(0,AI306-P306))</f>
        <v/>
      </c>
      <c r="E306">
        <f>IF(E305&lt;=0,0,MAX(0,AJ306-Q306))</f>
        <v/>
      </c>
      <c r="F306">
        <f>IF(F305&lt;=0,0,MAX(0,AK306-R306))</f>
        <v/>
      </c>
      <c r="G306">
        <f>IF(G305&lt;=0,0,MAX(0,AL306-S306))</f>
        <v/>
      </c>
      <c r="H306">
        <f>IF(H305&lt;=0,0,MAX(0,AM306-T306))</f>
        <v/>
      </c>
      <c r="I306">
        <f>IF(I305&lt;=0,0,MAX(0,AN306-U306))</f>
        <v/>
      </c>
      <c r="J306">
        <f>IF(J305&lt;=0,0,MAX(0,AO306-V306))</f>
        <v/>
      </c>
      <c r="K306">
        <f>IF(K305&lt;=0,0,MAX(0,AP306-W306))</f>
        <v/>
      </c>
      <c r="L306">
        <f>IF(L305&lt;=0,0,MAX(0,AQ306-X306))</f>
        <v/>
      </c>
      <c r="M306">
        <f>IF(M305&lt;=0,0,MAX(0,AR306-Y306))</f>
        <v/>
      </c>
      <c r="N306">
        <f>IF(N305&lt;=0,0,MAX(0,AS306-Z306))</f>
        <v/>
      </c>
      <c r="O306">
        <f>IF(C305&lt;=0,0,MIN(AH306,C$7+IF(C$2=$AA306,$AC306,IF(C$2=$AF306,$AG306,0))))</f>
        <v/>
      </c>
      <c r="P306">
        <f>IF(D305&lt;=0,0,MIN(AI306,D$7+IF(D$2=$AA306,$AC306,IF(D$2=$AF306,$AG306,0))))</f>
        <v/>
      </c>
      <c r="Q306">
        <f>IF(E305&lt;=0,0,MIN(AJ306,E$7+IF(E$2=$AA306,$AC306,IF(E$2=$AF306,$AG306,0))))</f>
        <v/>
      </c>
      <c r="R306">
        <f>IF(F305&lt;=0,0,MIN(AK306,F$7+IF(F$2=$AA306,$AC306,IF(F$2=$AF306,$AG306,0))))</f>
        <v/>
      </c>
      <c r="S306">
        <f>IF(G305&lt;=0,0,MIN(AL306,G$7+IF(G$2=$AA306,$AC306,IF(G$2=$AF306,$AG306,0))))</f>
        <v/>
      </c>
      <c r="T306">
        <f>IF(H305&lt;=0,0,MIN(AM306,H$7+IF(H$2=$AA306,$AC306,IF(H$2=$AF306,$AG306,0))))</f>
        <v/>
      </c>
      <c r="U306">
        <f>IF(I305&lt;=0,0,MIN(AN306,I$7+IF(I$2=$AA306,$AC306,IF(I$2=$AF306,$AG306,0))))</f>
        <v/>
      </c>
      <c r="V306">
        <f>IF(J305&lt;=0,0,MIN(AO306,J$7+IF(J$2=$AA306,$AC306,IF(J$2=$AF306,$AG306,0))))</f>
        <v/>
      </c>
      <c r="W306">
        <f>IF(K305&lt;=0,0,MIN(AP306,K$7+IF(K$2=$AA306,$AC306,IF(K$2=$AF306,$AG306,0))))</f>
        <v/>
      </c>
      <c r="X306">
        <f>IF(L305&lt;=0,0,MIN(AQ306,L$7+IF(L$2=$AA306,$AC306,IF(L$2=$AF306,$AG306,0))))</f>
        <v/>
      </c>
      <c r="Y306">
        <f>IF(M305&lt;=0,0,MIN(AR306,M$7+IF(M$2=$AA306,$AC306,IF(M$2=$AF306,$AG306,0))))</f>
        <v/>
      </c>
      <c r="Z306">
        <f>IF(N305&lt;=0,0,MIN(AS306,N$7+IF(N$2=$AA306,$AC306,IF(N$2=$AF306,$AG306,0))))</f>
        <v/>
      </c>
      <c r="AA306">
        <f>IFERROR(ROUND(1/SUMPRODUCT(MAX((C305:N305&gt;0)*($C$3:$N$3&lt;=B306)/$C$2:$N$2)),0),0)</f>
        <v/>
      </c>
      <c r="AB306">
        <f>SUMPRODUCT((C305:N305&gt;0)*$C$7:$N$7)</f>
        <v/>
      </c>
      <c r="AC306">
        <f>MAX(0,Plan!$C$5-AB306)+IF(A306=Plan!$C$8,N(Plan!$C$7),0)</f>
        <v/>
      </c>
      <c r="AD306">
        <f>SUM(C306:N306)</f>
        <v/>
      </c>
      <c r="AE306">
        <f>SUM(O306:Z306)</f>
        <v/>
      </c>
      <c r="AF306">
        <f>IFERROR(ROUND(1/SUMPRODUCT(MAX((C305:N305&gt;0)*($C$3:$N$3&lt;=B306)*($C$2:$N$2&gt;AA306)/$C$2:$N$2)),0),0)</f>
        <v/>
      </c>
      <c r="AG306">
        <f>MAX(0,AC306-MAX(0,SUMPRODUCT(($C$2:$N$2=AA306)*(AH306:AS306-$C$7:$N$7))))</f>
        <v/>
      </c>
      <c r="AH306">
        <f>IF(C305&lt;=0,0,ROUND(C305*(1+IF(AND(C$6&gt;0,$B306&lt;C$6),C$4,C$5)/12),2))</f>
        <v/>
      </c>
      <c r="AI306">
        <f>IF(D305&lt;=0,0,ROUND(D305*(1+IF(AND(D$6&gt;0,$B306&lt;D$6),D$4,D$5)/12),2))</f>
        <v/>
      </c>
      <c r="AJ306">
        <f>IF(E305&lt;=0,0,ROUND(E305*(1+IF(AND(E$6&gt;0,$B306&lt;E$6),E$4,E$5)/12),2))</f>
        <v/>
      </c>
      <c r="AK306">
        <f>IF(F305&lt;=0,0,ROUND(F305*(1+IF(AND(F$6&gt;0,$B306&lt;F$6),F$4,F$5)/12),2))</f>
        <v/>
      </c>
      <c r="AL306">
        <f>IF(G305&lt;=0,0,ROUND(G305*(1+IF(AND(G$6&gt;0,$B306&lt;G$6),G$4,G$5)/12),2))</f>
        <v/>
      </c>
      <c r="AM306">
        <f>IF(H305&lt;=0,0,ROUND(H305*(1+IF(AND(H$6&gt;0,$B306&lt;H$6),H$4,H$5)/12),2))</f>
        <v/>
      </c>
      <c r="AN306">
        <f>IF(I305&lt;=0,0,ROUND(I305*(1+IF(AND(I$6&gt;0,$B306&lt;I$6),I$4,I$5)/12),2))</f>
        <v/>
      </c>
      <c r="AO306">
        <f>IF(J305&lt;=0,0,ROUND(J305*(1+IF(AND(J$6&gt;0,$B306&lt;J$6),J$4,J$5)/12),2))</f>
        <v/>
      </c>
      <c r="AP306">
        <f>IF(K305&lt;=0,0,ROUND(K305*(1+IF(AND(K$6&gt;0,$B306&lt;K$6),K$4,K$5)/12),2))</f>
        <v/>
      </c>
      <c r="AQ306">
        <f>IF(L305&lt;=0,0,ROUND(L305*(1+IF(AND(L$6&gt;0,$B306&lt;L$6),L$4,L$5)/12),2))</f>
        <v/>
      </c>
      <c r="AR306">
        <f>IF(M305&lt;=0,0,ROUND(M305*(1+IF(AND(M$6&gt;0,$B306&lt;M$6),M$4,M$5)/12),2))</f>
        <v/>
      </c>
      <c r="AS306">
        <f>IF(N305&lt;=0,0,ROUND(N305*(1+IF(AND(N$6&gt;0,$B306&lt;N$6),N$4,N$5)/12),2))</f>
        <v/>
      </c>
    </row>
    <row r="307">
      <c r="A307" t="n">
        <v>296</v>
      </c>
      <c r="B307">
        <f>EDATE(Plan!$C$6,295)</f>
        <v/>
      </c>
      <c r="C307">
        <f>IF(C306&lt;=0,0,MAX(0,AH307-O307))</f>
        <v/>
      </c>
      <c r="D307">
        <f>IF(D306&lt;=0,0,MAX(0,AI307-P307))</f>
        <v/>
      </c>
      <c r="E307">
        <f>IF(E306&lt;=0,0,MAX(0,AJ307-Q307))</f>
        <v/>
      </c>
      <c r="F307">
        <f>IF(F306&lt;=0,0,MAX(0,AK307-R307))</f>
        <v/>
      </c>
      <c r="G307">
        <f>IF(G306&lt;=0,0,MAX(0,AL307-S307))</f>
        <v/>
      </c>
      <c r="H307">
        <f>IF(H306&lt;=0,0,MAX(0,AM307-T307))</f>
        <v/>
      </c>
      <c r="I307">
        <f>IF(I306&lt;=0,0,MAX(0,AN307-U307))</f>
        <v/>
      </c>
      <c r="J307">
        <f>IF(J306&lt;=0,0,MAX(0,AO307-V307))</f>
        <v/>
      </c>
      <c r="K307">
        <f>IF(K306&lt;=0,0,MAX(0,AP307-W307))</f>
        <v/>
      </c>
      <c r="L307">
        <f>IF(L306&lt;=0,0,MAX(0,AQ307-X307))</f>
        <v/>
      </c>
      <c r="M307">
        <f>IF(M306&lt;=0,0,MAX(0,AR307-Y307))</f>
        <v/>
      </c>
      <c r="N307">
        <f>IF(N306&lt;=0,0,MAX(0,AS307-Z307))</f>
        <v/>
      </c>
      <c r="O307">
        <f>IF(C306&lt;=0,0,MIN(AH307,C$7+IF(C$2=$AA307,$AC307,IF(C$2=$AF307,$AG307,0))))</f>
        <v/>
      </c>
      <c r="P307">
        <f>IF(D306&lt;=0,0,MIN(AI307,D$7+IF(D$2=$AA307,$AC307,IF(D$2=$AF307,$AG307,0))))</f>
        <v/>
      </c>
      <c r="Q307">
        <f>IF(E306&lt;=0,0,MIN(AJ307,E$7+IF(E$2=$AA307,$AC307,IF(E$2=$AF307,$AG307,0))))</f>
        <v/>
      </c>
      <c r="R307">
        <f>IF(F306&lt;=0,0,MIN(AK307,F$7+IF(F$2=$AA307,$AC307,IF(F$2=$AF307,$AG307,0))))</f>
        <v/>
      </c>
      <c r="S307">
        <f>IF(G306&lt;=0,0,MIN(AL307,G$7+IF(G$2=$AA307,$AC307,IF(G$2=$AF307,$AG307,0))))</f>
        <v/>
      </c>
      <c r="T307">
        <f>IF(H306&lt;=0,0,MIN(AM307,H$7+IF(H$2=$AA307,$AC307,IF(H$2=$AF307,$AG307,0))))</f>
        <v/>
      </c>
      <c r="U307">
        <f>IF(I306&lt;=0,0,MIN(AN307,I$7+IF(I$2=$AA307,$AC307,IF(I$2=$AF307,$AG307,0))))</f>
        <v/>
      </c>
      <c r="V307">
        <f>IF(J306&lt;=0,0,MIN(AO307,J$7+IF(J$2=$AA307,$AC307,IF(J$2=$AF307,$AG307,0))))</f>
        <v/>
      </c>
      <c r="W307">
        <f>IF(K306&lt;=0,0,MIN(AP307,K$7+IF(K$2=$AA307,$AC307,IF(K$2=$AF307,$AG307,0))))</f>
        <v/>
      </c>
      <c r="X307">
        <f>IF(L306&lt;=0,0,MIN(AQ307,L$7+IF(L$2=$AA307,$AC307,IF(L$2=$AF307,$AG307,0))))</f>
        <v/>
      </c>
      <c r="Y307">
        <f>IF(M306&lt;=0,0,MIN(AR307,M$7+IF(M$2=$AA307,$AC307,IF(M$2=$AF307,$AG307,0))))</f>
        <v/>
      </c>
      <c r="Z307">
        <f>IF(N306&lt;=0,0,MIN(AS307,N$7+IF(N$2=$AA307,$AC307,IF(N$2=$AF307,$AG307,0))))</f>
        <v/>
      </c>
      <c r="AA307">
        <f>IFERROR(ROUND(1/SUMPRODUCT(MAX((C306:N306&gt;0)*($C$3:$N$3&lt;=B307)/$C$2:$N$2)),0),0)</f>
        <v/>
      </c>
      <c r="AB307">
        <f>SUMPRODUCT((C306:N306&gt;0)*$C$7:$N$7)</f>
        <v/>
      </c>
      <c r="AC307">
        <f>MAX(0,Plan!$C$5-AB307)+IF(A307=Plan!$C$8,N(Plan!$C$7),0)</f>
        <v/>
      </c>
      <c r="AD307">
        <f>SUM(C307:N307)</f>
        <v/>
      </c>
      <c r="AE307">
        <f>SUM(O307:Z307)</f>
        <v/>
      </c>
      <c r="AF307">
        <f>IFERROR(ROUND(1/SUMPRODUCT(MAX((C306:N306&gt;0)*($C$3:$N$3&lt;=B307)*($C$2:$N$2&gt;AA307)/$C$2:$N$2)),0),0)</f>
        <v/>
      </c>
      <c r="AG307">
        <f>MAX(0,AC307-MAX(0,SUMPRODUCT(($C$2:$N$2=AA307)*(AH307:AS307-$C$7:$N$7))))</f>
        <v/>
      </c>
      <c r="AH307">
        <f>IF(C306&lt;=0,0,ROUND(C306*(1+IF(AND(C$6&gt;0,$B307&lt;C$6),C$4,C$5)/12),2))</f>
        <v/>
      </c>
      <c r="AI307">
        <f>IF(D306&lt;=0,0,ROUND(D306*(1+IF(AND(D$6&gt;0,$B307&lt;D$6),D$4,D$5)/12),2))</f>
        <v/>
      </c>
      <c r="AJ307">
        <f>IF(E306&lt;=0,0,ROUND(E306*(1+IF(AND(E$6&gt;0,$B307&lt;E$6),E$4,E$5)/12),2))</f>
        <v/>
      </c>
      <c r="AK307">
        <f>IF(F306&lt;=0,0,ROUND(F306*(1+IF(AND(F$6&gt;0,$B307&lt;F$6),F$4,F$5)/12),2))</f>
        <v/>
      </c>
      <c r="AL307">
        <f>IF(G306&lt;=0,0,ROUND(G306*(1+IF(AND(G$6&gt;0,$B307&lt;G$6),G$4,G$5)/12),2))</f>
        <v/>
      </c>
      <c r="AM307">
        <f>IF(H306&lt;=0,0,ROUND(H306*(1+IF(AND(H$6&gt;0,$B307&lt;H$6),H$4,H$5)/12),2))</f>
        <v/>
      </c>
      <c r="AN307">
        <f>IF(I306&lt;=0,0,ROUND(I306*(1+IF(AND(I$6&gt;0,$B307&lt;I$6),I$4,I$5)/12),2))</f>
        <v/>
      </c>
      <c r="AO307">
        <f>IF(J306&lt;=0,0,ROUND(J306*(1+IF(AND(J$6&gt;0,$B307&lt;J$6),J$4,J$5)/12),2))</f>
        <v/>
      </c>
      <c r="AP307">
        <f>IF(K306&lt;=0,0,ROUND(K306*(1+IF(AND(K$6&gt;0,$B307&lt;K$6),K$4,K$5)/12),2))</f>
        <v/>
      </c>
      <c r="AQ307">
        <f>IF(L306&lt;=0,0,ROUND(L306*(1+IF(AND(L$6&gt;0,$B307&lt;L$6),L$4,L$5)/12),2))</f>
        <v/>
      </c>
      <c r="AR307">
        <f>IF(M306&lt;=0,0,ROUND(M306*(1+IF(AND(M$6&gt;0,$B307&lt;M$6),M$4,M$5)/12),2))</f>
        <v/>
      </c>
      <c r="AS307">
        <f>IF(N306&lt;=0,0,ROUND(N306*(1+IF(AND(N$6&gt;0,$B307&lt;N$6),N$4,N$5)/12),2))</f>
        <v/>
      </c>
    </row>
    <row r="308">
      <c r="A308" t="n">
        <v>297</v>
      </c>
      <c r="B308">
        <f>EDATE(Plan!$C$6,296)</f>
        <v/>
      </c>
      <c r="C308">
        <f>IF(C307&lt;=0,0,MAX(0,AH308-O308))</f>
        <v/>
      </c>
      <c r="D308">
        <f>IF(D307&lt;=0,0,MAX(0,AI308-P308))</f>
        <v/>
      </c>
      <c r="E308">
        <f>IF(E307&lt;=0,0,MAX(0,AJ308-Q308))</f>
        <v/>
      </c>
      <c r="F308">
        <f>IF(F307&lt;=0,0,MAX(0,AK308-R308))</f>
        <v/>
      </c>
      <c r="G308">
        <f>IF(G307&lt;=0,0,MAX(0,AL308-S308))</f>
        <v/>
      </c>
      <c r="H308">
        <f>IF(H307&lt;=0,0,MAX(0,AM308-T308))</f>
        <v/>
      </c>
      <c r="I308">
        <f>IF(I307&lt;=0,0,MAX(0,AN308-U308))</f>
        <v/>
      </c>
      <c r="J308">
        <f>IF(J307&lt;=0,0,MAX(0,AO308-V308))</f>
        <v/>
      </c>
      <c r="K308">
        <f>IF(K307&lt;=0,0,MAX(0,AP308-W308))</f>
        <v/>
      </c>
      <c r="L308">
        <f>IF(L307&lt;=0,0,MAX(0,AQ308-X308))</f>
        <v/>
      </c>
      <c r="M308">
        <f>IF(M307&lt;=0,0,MAX(0,AR308-Y308))</f>
        <v/>
      </c>
      <c r="N308">
        <f>IF(N307&lt;=0,0,MAX(0,AS308-Z308))</f>
        <v/>
      </c>
      <c r="O308">
        <f>IF(C307&lt;=0,0,MIN(AH308,C$7+IF(C$2=$AA308,$AC308,IF(C$2=$AF308,$AG308,0))))</f>
        <v/>
      </c>
      <c r="P308">
        <f>IF(D307&lt;=0,0,MIN(AI308,D$7+IF(D$2=$AA308,$AC308,IF(D$2=$AF308,$AG308,0))))</f>
        <v/>
      </c>
      <c r="Q308">
        <f>IF(E307&lt;=0,0,MIN(AJ308,E$7+IF(E$2=$AA308,$AC308,IF(E$2=$AF308,$AG308,0))))</f>
        <v/>
      </c>
      <c r="R308">
        <f>IF(F307&lt;=0,0,MIN(AK308,F$7+IF(F$2=$AA308,$AC308,IF(F$2=$AF308,$AG308,0))))</f>
        <v/>
      </c>
      <c r="S308">
        <f>IF(G307&lt;=0,0,MIN(AL308,G$7+IF(G$2=$AA308,$AC308,IF(G$2=$AF308,$AG308,0))))</f>
        <v/>
      </c>
      <c r="T308">
        <f>IF(H307&lt;=0,0,MIN(AM308,H$7+IF(H$2=$AA308,$AC308,IF(H$2=$AF308,$AG308,0))))</f>
        <v/>
      </c>
      <c r="U308">
        <f>IF(I307&lt;=0,0,MIN(AN308,I$7+IF(I$2=$AA308,$AC308,IF(I$2=$AF308,$AG308,0))))</f>
        <v/>
      </c>
      <c r="V308">
        <f>IF(J307&lt;=0,0,MIN(AO308,J$7+IF(J$2=$AA308,$AC308,IF(J$2=$AF308,$AG308,0))))</f>
        <v/>
      </c>
      <c r="W308">
        <f>IF(K307&lt;=0,0,MIN(AP308,K$7+IF(K$2=$AA308,$AC308,IF(K$2=$AF308,$AG308,0))))</f>
        <v/>
      </c>
      <c r="X308">
        <f>IF(L307&lt;=0,0,MIN(AQ308,L$7+IF(L$2=$AA308,$AC308,IF(L$2=$AF308,$AG308,0))))</f>
        <v/>
      </c>
      <c r="Y308">
        <f>IF(M307&lt;=0,0,MIN(AR308,M$7+IF(M$2=$AA308,$AC308,IF(M$2=$AF308,$AG308,0))))</f>
        <v/>
      </c>
      <c r="Z308">
        <f>IF(N307&lt;=0,0,MIN(AS308,N$7+IF(N$2=$AA308,$AC308,IF(N$2=$AF308,$AG308,0))))</f>
        <v/>
      </c>
      <c r="AA308">
        <f>IFERROR(ROUND(1/SUMPRODUCT(MAX((C307:N307&gt;0)*($C$3:$N$3&lt;=B308)/$C$2:$N$2)),0),0)</f>
        <v/>
      </c>
      <c r="AB308">
        <f>SUMPRODUCT((C307:N307&gt;0)*$C$7:$N$7)</f>
        <v/>
      </c>
      <c r="AC308">
        <f>MAX(0,Plan!$C$5-AB308)+IF(A308=Plan!$C$8,N(Plan!$C$7),0)</f>
        <v/>
      </c>
      <c r="AD308">
        <f>SUM(C308:N308)</f>
        <v/>
      </c>
      <c r="AE308">
        <f>SUM(O308:Z308)</f>
        <v/>
      </c>
      <c r="AF308">
        <f>IFERROR(ROUND(1/SUMPRODUCT(MAX((C307:N307&gt;0)*($C$3:$N$3&lt;=B308)*($C$2:$N$2&gt;AA308)/$C$2:$N$2)),0),0)</f>
        <v/>
      </c>
      <c r="AG308">
        <f>MAX(0,AC308-MAX(0,SUMPRODUCT(($C$2:$N$2=AA308)*(AH308:AS308-$C$7:$N$7))))</f>
        <v/>
      </c>
      <c r="AH308">
        <f>IF(C307&lt;=0,0,ROUND(C307*(1+IF(AND(C$6&gt;0,$B308&lt;C$6),C$4,C$5)/12),2))</f>
        <v/>
      </c>
      <c r="AI308">
        <f>IF(D307&lt;=0,0,ROUND(D307*(1+IF(AND(D$6&gt;0,$B308&lt;D$6),D$4,D$5)/12),2))</f>
        <v/>
      </c>
      <c r="AJ308">
        <f>IF(E307&lt;=0,0,ROUND(E307*(1+IF(AND(E$6&gt;0,$B308&lt;E$6),E$4,E$5)/12),2))</f>
        <v/>
      </c>
      <c r="AK308">
        <f>IF(F307&lt;=0,0,ROUND(F307*(1+IF(AND(F$6&gt;0,$B308&lt;F$6),F$4,F$5)/12),2))</f>
        <v/>
      </c>
      <c r="AL308">
        <f>IF(G307&lt;=0,0,ROUND(G307*(1+IF(AND(G$6&gt;0,$B308&lt;G$6),G$4,G$5)/12),2))</f>
        <v/>
      </c>
      <c r="AM308">
        <f>IF(H307&lt;=0,0,ROUND(H307*(1+IF(AND(H$6&gt;0,$B308&lt;H$6),H$4,H$5)/12),2))</f>
        <v/>
      </c>
      <c r="AN308">
        <f>IF(I307&lt;=0,0,ROUND(I307*(1+IF(AND(I$6&gt;0,$B308&lt;I$6),I$4,I$5)/12),2))</f>
        <v/>
      </c>
      <c r="AO308">
        <f>IF(J307&lt;=0,0,ROUND(J307*(1+IF(AND(J$6&gt;0,$B308&lt;J$6),J$4,J$5)/12),2))</f>
        <v/>
      </c>
      <c r="AP308">
        <f>IF(K307&lt;=0,0,ROUND(K307*(1+IF(AND(K$6&gt;0,$B308&lt;K$6),K$4,K$5)/12),2))</f>
        <v/>
      </c>
      <c r="AQ308">
        <f>IF(L307&lt;=0,0,ROUND(L307*(1+IF(AND(L$6&gt;0,$B308&lt;L$6),L$4,L$5)/12),2))</f>
        <v/>
      </c>
      <c r="AR308">
        <f>IF(M307&lt;=0,0,ROUND(M307*(1+IF(AND(M$6&gt;0,$B308&lt;M$6),M$4,M$5)/12),2))</f>
        <v/>
      </c>
      <c r="AS308">
        <f>IF(N307&lt;=0,0,ROUND(N307*(1+IF(AND(N$6&gt;0,$B308&lt;N$6),N$4,N$5)/12),2))</f>
        <v/>
      </c>
    </row>
    <row r="309">
      <c r="A309" t="n">
        <v>298</v>
      </c>
      <c r="B309">
        <f>EDATE(Plan!$C$6,297)</f>
        <v/>
      </c>
      <c r="C309">
        <f>IF(C308&lt;=0,0,MAX(0,AH309-O309))</f>
        <v/>
      </c>
      <c r="D309">
        <f>IF(D308&lt;=0,0,MAX(0,AI309-P309))</f>
        <v/>
      </c>
      <c r="E309">
        <f>IF(E308&lt;=0,0,MAX(0,AJ309-Q309))</f>
        <v/>
      </c>
      <c r="F309">
        <f>IF(F308&lt;=0,0,MAX(0,AK309-R309))</f>
        <v/>
      </c>
      <c r="G309">
        <f>IF(G308&lt;=0,0,MAX(0,AL309-S309))</f>
        <v/>
      </c>
      <c r="H309">
        <f>IF(H308&lt;=0,0,MAX(0,AM309-T309))</f>
        <v/>
      </c>
      <c r="I309">
        <f>IF(I308&lt;=0,0,MAX(0,AN309-U309))</f>
        <v/>
      </c>
      <c r="J309">
        <f>IF(J308&lt;=0,0,MAX(0,AO309-V309))</f>
        <v/>
      </c>
      <c r="K309">
        <f>IF(K308&lt;=0,0,MAX(0,AP309-W309))</f>
        <v/>
      </c>
      <c r="L309">
        <f>IF(L308&lt;=0,0,MAX(0,AQ309-X309))</f>
        <v/>
      </c>
      <c r="M309">
        <f>IF(M308&lt;=0,0,MAX(0,AR309-Y309))</f>
        <v/>
      </c>
      <c r="N309">
        <f>IF(N308&lt;=0,0,MAX(0,AS309-Z309))</f>
        <v/>
      </c>
      <c r="O309">
        <f>IF(C308&lt;=0,0,MIN(AH309,C$7+IF(C$2=$AA309,$AC309,IF(C$2=$AF309,$AG309,0))))</f>
        <v/>
      </c>
      <c r="P309">
        <f>IF(D308&lt;=0,0,MIN(AI309,D$7+IF(D$2=$AA309,$AC309,IF(D$2=$AF309,$AG309,0))))</f>
        <v/>
      </c>
      <c r="Q309">
        <f>IF(E308&lt;=0,0,MIN(AJ309,E$7+IF(E$2=$AA309,$AC309,IF(E$2=$AF309,$AG309,0))))</f>
        <v/>
      </c>
      <c r="R309">
        <f>IF(F308&lt;=0,0,MIN(AK309,F$7+IF(F$2=$AA309,$AC309,IF(F$2=$AF309,$AG309,0))))</f>
        <v/>
      </c>
      <c r="S309">
        <f>IF(G308&lt;=0,0,MIN(AL309,G$7+IF(G$2=$AA309,$AC309,IF(G$2=$AF309,$AG309,0))))</f>
        <v/>
      </c>
      <c r="T309">
        <f>IF(H308&lt;=0,0,MIN(AM309,H$7+IF(H$2=$AA309,$AC309,IF(H$2=$AF309,$AG309,0))))</f>
        <v/>
      </c>
      <c r="U309">
        <f>IF(I308&lt;=0,0,MIN(AN309,I$7+IF(I$2=$AA309,$AC309,IF(I$2=$AF309,$AG309,0))))</f>
        <v/>
      </c>
      <c r="V309">
        <f>IF(J308&lt;=0,0,MIN(AO309,J$7+IF(J$2=$AA309,$AC309,IF(J$2=$AF309,$AG309,0))))</f>
        <v/>
      </c>
      <c r="W309">
        <f>IF(K308&lt;=0,0,MIN(AP309,K$7+IF(K$2=$AA309,$AC309,IF(K$2=$AF309,$AG309,0))))</f>
        <v/>
      </c>
      <c r="X309">
        <f>IF(L308&lt;=0,0,MIN(AQ309,L$7+IF(L$2=$AA309,$AC309,IF(L$2=$AF309,$AG309,0))))</f>
        <v/>
      </c>
      <c r="Y309">
        <f>IF(M308&lt;=0,0,MIN(AR309,M$7+IF(M$2=$AA309,$AC309,IF(M$2=$AF309,$AG309,0))))</f>
        <v/>
      </c>
      <c r="Z309">
        <f>IF(N308&lt;=0,0,MIN(AS309,N$7+IF(N$2=$AA309,$AC309,IF(N$2=$AF309,$AG309,0))))</f>
        <v/>
      </c>
      <c r="AA309">
        <f>IFERROR(ROUND(1/SUMPRODUCT(MAX((C308:N308&gt;0)*($C$3:$N$3&lt;=B309)/$C$2:$N$2)),0),0)</f>
        <v/>
      </c>
      <c r="AB309">
        <f>SUMPRODUCT((C308:N308&gt;0)*$C$7:$N$7)</f>
        <v/>
      </c>
      <c r="AC309">
        <f>MAX(0,Plan!$C$5-AB309)+IF(A309=Plan!$C$8,N(Plan!$C$7),0)</f>
        <v/>
      </c>
      <c r="AD309">
        <f>SUM(C309:N309)</f>
        <v/>
      </c>
      <c r="AE309">
        <f>SUM(O309:Z309)</f>
        <v/>
      </c>
      <c r="AF309">
        <f>IFERROR(ROUND(1/SUMPRODUCT(MAX((C308:N308&gt;0)*($C$3:$N$3&lt;=B309)*($C$2:$N$2&gt;AA309)/$C$2:$N$2)),0),0)</f>
        <v/>
      </c>
      <c r="AG309">
        <f>MAX(0,AC309-MAX(0,SUMPRODUCT(($C$2:$N$2=AA309)*(AH309:AS309-$C$7:$N$7))))</f>
        <v/>
      </c>
      <c r="AH309">
        <f>IF(C308&lt;=0,0,ROUND(C308*(1+IF(AND(C$6&gt;0,$B309&lt;C$6),C$4,C$5)/12),2))</f>
        <v/>
      </c>
      <c r="AI309">
        <f>IF(D308&lt;=0,0,ROUND(D308*(1+IF(AND(D$6&gt;0,$B309&lt;D$6),D$4,D$5)/12),2))</f>
        <v/>
      </c>
      <c r="AJ309">
        <f>IF(E308&lt;=0,0,ROUND(E308*(1+IF(AND(E$6&gt;0,$B309&lt;E$6),E$4,E$5)/12),2))</f>
        <v/>
      </c>
      <c r="AK309">
        <f>IF(F308&lt;=0,0,ROUND(F308*(1+IF(AND(F$6&gt;0,$B309&lt;F$6),F$4,F$5)/12),2))</f>
        <v/>
      </c>
      <c r="AL309">
        <f>IF(G308&lt;=0,0,ROUND(G308*(1+IF(AND(G$6&gt;0,$B309&lt;G$6),G$4,G$5)/12),2))</f>
        <v/>
      </c>
      <c r="AM309">
        <f>IF(H308&lt;=0,0,ROUND(H308*(1+IF(AND(H$6&gt;0,$B309&lt;H$6),H$4,H$5)/12),2))</f>
        <v/>
      </c>
      <c r="AN309">
        <f>IF(I308&lt;=0,0,ROUND(I308*(1+IF(AND(I$6&gt;0,$B309&lt;I$6),I$4,I$5)/12),2))</f>
        <v/>
      </c>
      <c r="AO309">
        <f>IF(J308&lt;=0,0,ROUND(J308*(1+IF(AND(J$6&gt;0,$B309&lt;J$6),J$4,J$5)/12),2))</f>
        <v/>
      </c>
      <c r="AP309">
        <f>IF(K308&lt;=0,0,ROUND(K308*(1+IF(AND(K$6&gt;0,$B309&lt;K$6),K$4,K$5)/12),2))</f>
        <v/>
      </c>
      <c r="AQ309">
        <f>IF(L308&lt;=0,0,ROUND(L308*(1+IF(AND(L$6&gt;0,$B309&lt;L$6),L$4,L$5)/12),2))</f>
        <v/>
      </c>
      <c r="AR309">
        <f>IF(M308&lt;=0,0,ROUND(M308*(1+IF(AND(M$6&gt;0,$B309&lt;M$6),M$4,M$5)/12),2))</f>
        <v/>
      </c>
      <c r="AS309">
        <f>IF(N308&lt;=0,0,ROUND(N308*(1+IF(AND(N$6&gt;0,$B309&lt;N$6),N$4,N$5)/12),2))</f>
        <v/>
      </c>
    </row>
    <row r="310">
      <c r="A310" t="n">
        <v>299</v>
      </c>
      <c r="B310">
        <f>EDATE(Plan!$C$6,298)</f>
        <v/>
      </c>
      <c r="C310">
        <f>IF(C309&lt;=0,0,MAX(0,AH310-O310))</f>
        <v/>
      </c>
      <c r="D310">
        <f>IF(D309&lt;=0,0,MAX(0,AI310-P310))</f>
        <v/>
      </c>
      <c r="E310">
        <f>IF(E309&lt;=0,0,MAX(0,AJ310-Q310))</f>
        <v/>
      </c>
      <c r="F310">
        <f>IF(F309&lt;=0,0,MAX(0,AK310-R310))</f>
        <v/>
      </c>
      <c r="G310">
        <f>IF(G309&lt;=0,0,MAX(0,AL310-S310))</f>
        <v/>
      </c>
      <c r="H310">
        <f>IF(H309&lt;=0,0,MAX(0,AM310-T310))</f>
        <v/>
      </c>
      <c r="I310">
        <f>IF(I309&lt;=0,0,MAX(0,AN310-U310))</f>
        <v/>
      </c>
      <c r="J310">
        <f>IF(J309&lt;=0,0,MAX(0,AO310-V310))</f>
        <v/>
      </c>
      <c r="K310">
        <f>IF(K309&lt;=0,0,MAX(0,AP310-W310))</f>
        <v/>
      </c>
      <c r="L310">
        <f>IF(L309&lt;=0,0,MAX(0,AQ310-X310))</f>
        <v/>
      </c>
      <c r="M310">
        <f>IF(M309&lt;=0,0,MAX(0,AR310-Y310))</f>
        <v/>
      </c>
      <c r="N310">
        <f>IF(N309&lt;=0,0,MAX(0,AS310-Z310))</f>
        <v/>
      </c>
      <c r="O310">
        <f>IF(C309&lt;=0,0,MIN(AH310,C$7+IF(C$2=$AA310,$AC310,IF(C$2=$AF310,$AG310,0))))</f>
        <v/>
      </c>
      <c r="P310">
        <f>IF(D309&lt;=0,0,MIN(AI310,D$7+IF(D$2=$AA310,$AC310,IF(D$2=$AF310,$AG310,0))))</f>
        <v/>
      </c>
      <c r="Q310">
        <f>IF(E309&lt;=0,0,MIN(AJ310,E$7+IF(E$2=$AA310,$AC310,IF(E$2=$AF310,$AG310,0))))</f>
        <v/>
      </c>
      <c r="R310">
        <f>IF(F309&lt;=0,0,MIN(AK310,F$7+IF(F$2=$AA310,$AC310,IF(F$2=$AF310,$AG310,0))))</f>
        <v/>
      </c>
      <c r="S310">
        <f>IF(G309&lt;=0,0,MIN(AL310,G$7+IF(G$2=$AA310,$AC310,IF(G$2=$AF310,$AG310,0))))</f>
        <v/>
      </c>
      <c r="T310">
        <f>IF(H309&lt;=0,0,MIN(AM310,H$7+IF(H$2=$AA310,$AC310,IF(H$2=$AF310,$AG310,0))))</f>
        <v/>
      </c>
      <c r="U310">
        <f>IF(I309&lt;=0,0,MIN(AN310,I$7+IF(I$2=$AA310,$AC310,IF(I$2=$AF310,$AG310,0))))</f>
        <v/>
      </c>
      <c r="V310">
        <f>IF(J309&lt;=0,0,MIN(AO310,J$7+IF(J$2=$AA310,$AC310,IF(J$2=$AF310,$AG310,0))))</f>
        <v/>
      </c>
      <c r="W310">
        <f>IF(K309&lt;=0,0,MIN(AP310,K$7+IF(K$2=$AA310,$AC310,IF(K$2=$AF310,$AG310,0))))</f>
        <v/>
      </c>
      <c r="X310">
        <f>IF(L309&lt;=0,0,MIN(AQ310,L$7+IF(L$2=$AA310,$AC310,IF(L$2=$AF310,$AG310,0))))</f>
        <v/>
      </c>
      <c r="Y310">
        <f>IF(M309&lt;=0,0,MIN(AR310,M$7+IF(M$2=$AA310,$AC310,IF(M$2=$AF310,$AG310,0))))</f>
        <v/>
      </c>
      <c r="Z310">
        <f>IF(N309&lt;=0,0,MIN(AS310,N$7+IF(N$2=$AA310,$AC310,IF(N$2=$AF310,$AG310,0))))</f>
        <v/>
      </c>
      <c r="AA310">
        <f>IFERROR(ROUND(1/SUMPRODUCT(MAX((C309:N309&gt;0)*($C$3:$N$3&lt;=B310)/$C$2:$N$2)),0),0)</f>
        <v/>
      </c>
      <c r="AB310">
        <f>SUMPRODUCT((C309:N309&gt;0)*$C$7:$N$7)</f>
        <v/>
      </c>
      <c r="AC310">
        <f>MAX(0,Plan!$C$5-AB310)+IF(A310=Plan!$C$8,N(Plan!$C$7),0)</f>
        <v/>
      </c>
      <c r="AD310">
        <f>SUM(C310:N310)</f>
        <v/>
      </c>
      <c r="AE310">
        <f>SUM(O310:Z310)</f>
        <v/>
      </c>
      <c r="AF310">
        <f>IFERROR(ROUND(1/SUMPRODUCT(MAX((C309:N309&gt;0)*($C$3:$N$3&lt;=B310)*($C$2:$N$2&gt;AA310)/$C$2:$N$2)),0),0)</f>
        <v/>
      </c>
      <c r="AG310">
        <f>MAX(0,AC310-MAX(0,SUMPRODUCT(($C$2:$N$2=AA310)*(AH310:AS310-$C$7:$N$7))))</f>
        <v/>
      </c>
      <c r="AH310">
        <f>IF(C309&lt;=0,0,ROUND(C309*(1+IF(AND(C$6&gt;0,$B310&lt;C$6),C$4,C$5)/12),2))</f>
        <v/>
      </c>
      <c r="AI310">
        <f>IF(D309&lt;=0,0,ROUND(D309*(1+IF(AND(D$6&gt;0,$B310&lt;D$6),D$4,D$5)/12),2))</f>
        <v/>
      </c>
      <c r="AJ310">
        <f>IF(E309&lt;=0,0,ROUND(E309*(1+IF(AND(E$6&gt;0,$B310&lt;E$6),E$4,E$5)/12),2))</f>
        <v/>
      </c>
      <c r="AK310">
        <f>IF(F309&lt;=0,0,ROUND(F309*(1+IF(AND(F$6&gt;0,$B310&lt;F$6),F$4,F$5)/12),2))</f>
        <v/>
      </c>
      <c r="AL310">
        <f>IF(G309&lt;=0,0,ROUND(G309*(1+IF(AND(G$6&gt;0,$B310&lt;G$6),G$4,G$5)/12),2))</f>
        <v/>
      </c>
      <c r="AM310">
        <f>IF(H309&lt;=0,0,ROUND(H309*(1+IF(AND(H$6&gt;0,$B310&lt;H$6),H$4,H$5)/12),2))</f>
        <v/>
      </c>
      <c r="AN310">
        <f>IF(I309&lt;=0,0,ROUND(I309*(1+IF(AND(I$6&gt;0,$B310&lt;I$6),I$4,I$5)/12),2))</f>
        <v/>
      </c>
      <c r="AO310">
        <f>IF(J309&lt;=0,0,ROUND(J309*(1+IF(AND(J$6&gt;0,$B310&lt;J$6),J$4,J$5)/12),2))</f>
        <v/>
      </c>
      <c r="AP310">
        <f>IF(K309&lt;=0,0,ROUND(K309*(1+IF(AND(K$6&gt;0,$B310&lt;K$6),K$4,K$5)/12),2))</f>
        <v/>
      </c>
      <c r="AQ310">
        <f>IF(L309&lt;=0,0,ROUND(L309*(1+IF(AND(L$6&gt;0,$B310&lt;L$6),L$4,L$5)/12),2))</f>
        <v/>
      </c>
      <c r="AR310">
        <f>IF(M309&lt;=0,0,ROUND(M309*(1+IF(AND(M$6&gt;0,$B310&lt;M$6),M$4,M$5)/12),2))</f>
        <v/>
      </c>
      <c r="AS310">
        <f>IF(N309&lt;=0,0,ROUND(N309*(1+IF(AND(N$6&gt;0,$B310&lt;N$6),N$4,N$5)/12),2))</f>
        <v/>
      </c>
    </row>
    <row r="311">
      <c r="A311" t="n">
        <v>300</v>
      </c>
      <c r="B311">
        <f>EDATE(Plan!$C$6,299)</f>
        <v/>
      </c>
      <c r="C311">
        <f>IF(C310&lt;=0,0,MAX(0,AH311-O311))</f>
        <v/>
      </c>
      <c r="D311">
        <f>IF(D310&lt;=0,0,MAX(0,AI311-P311))</f>
        <v/>
      </c>
      <c r="E311">
        <f>IF(E310&lt;=0,0,MAX(0,AJ311-Q311))</f>
        <v/>
      </c>
      <c r="F311">
        <f>IF(F310&lt;=0,0,MAX(0,AK311-R311))</f>
        <v/>
      </c>
      <c r="G311">
        <f>IF(G310&lt;=0,0,MAX(0,AL311-S311))</f>
        <v/>
      </c>
      <c r="H311">
        <f>IF(H310&lt;=0,0,MAX(0,AM311-T311))</f>
        <v/>
      </c>
      <c r="I311">
        <f>IF(I310&lt;=0,0,MAX(0,AN311-U311))</f>
        <v/>
      </c>
      <c r="J311">
        <f>IF(J310&lt;=0,0,MAX(0,AO311-V311))</f>
        <v/>
      </c>
      <c r="K311">
        <f>IF(K310&lt;=0,0,MAX(0,AP311-W311))</f>
        <v/>
      </c>
      <c r="L311">
        <f>IF(L310&lt;=0,0,MAX(0,AQ311-X311))</f>
        <v/>
      </c>
      <c r="M311">
        <f>IF(M310&lt;=0,0,MAX(0,AR311-Y311))</f>
        <v/>
      </c>
      <c r="N311">
        <f>IF(N310&lt;=0,0,MAX(0,AS311-Z311))</f>
        <v/>
      </c>
      <c r="O311">
        <f>IF(C310&lt;=0,0,MIN(AH311,C$7+IF(C$2=$AA311,$AC311,IF(C$2=$AF311,$AG311,0))))</f>
        <v/>
      </c>
      <c r="P311">
        <f>IF(D310&lt;=0,0,MIN(AI311,D$7+IF(D$2=$AA311,$AC311,IF(D$2=$AF311,$AG311,0))))</f>
        <v/>
      </c>
      <c r="Q311">
        <f>IF(E310&lt;=0,0,MIN(AJ311,E$7+IF(E$2=$AA311,$AC311,IF(E$2=$AF311,$AG311,0))))</f>
        <v/>
      </c>
      <c r="R311">
        <f>IF(F310&lt;=0,0,MIN(AK311,F$7+IF(F$2=$AA311,$AC311,IF(F$2=$AF311,$AG311,0))))</f>
        <v/>
      </c>
      <c r="S311">
        <f>IF(G310&lt;=0,0,MIN(AL311,G$7+IF(G$2=$AA311,$AC311,IF(G$2=$AF311,$AG311,0))))</f>
        <v/>
      </c>
      <c r="T311">
        <f>IF(H310&lt;=0,0,MIN(AM311,H$7+IF(H$2=$AA311,$AC311,IF(H$2=$AF311,$AG311,0))))</f>
        <v/>
      </c>
      <c r="U311">
        <f>IF(I310&lt;=0,0,MIN(AN311,I$7+IF(I$2=$AA311,$AC311,IF(I$2=$AF311,$AG311,0))))</f>
        <v/>
      </c>
      <c r="V311">
        <f>IF(J310&lt;=0,0,MIN(AO311,J$7+IF(J$2=$AA311,$AC311,IF(J$2=$AF311,$AG311,0))))</f>
        <v/>
      </c>
      <c r="W311">
        <f>IF(K310&lt;=0,0,MIN(AP311,K$7+IF(K$2=$AA311,$AC311,IF(K$2=$AF311,$AG311,0))))</f>
        <v/>
      </c>
      <c r="X311">
        <f>IF(L310&lt;=0,0,MIN(AQ311,L$7+IF(L$2=$AA311,$AC311,IF(L$2=$AF311,$AG311,0))))</f>
        <v/>
      </c>
      <c r="Y311">
        <f>IF(M310&lt;=0,0,MIN(AR311,M$7+IF(M$2=$AA311,$AC311,IF(M$2=$AF311,$AG311,0))))</f>
        <v/>
      </c>
      <c r="Z311">
        <f>IF(N310&lt;=0,0,MIN(AS311,N$7+IF(N$2=$AA311,$AC311,IF(N$2=$AF311,$AG311,0))))</f>
        <v/>
      </c>
      <c r="AA311">
        <f>IFERROR(ROUND(1/SUMPRODUCT(MAX((C310:N310&gt;0)*($C$3:$N$3&lt;=B311)/$C$2:$N$2)),0),0)</f>
        <v/>
      </c>
      <c r="AB311">
        <f>SUMPRODUCT((C310:N310&gt;0)*$C$7:$N$7)</f>
        <v/>
      </c>
      <c r="AC311">
        <f>MAX(0,Plan!$C$5-AB311)+IF(A311=Plan!$C$8,N(Plan!$C$7),0)</f>
        <v/>
      </c>
      <c r="AD311">
        <f>SUM(C311:N311)</f>
        <v/>
      </c>
      <c r="AE311">
        <f>SUM(O311:Z311)</f>
        <v/>
      </c>
      <c r="AF311">
        <f>IFERROR(ROUND(1/SUMPRODUCT(MAX((C310:N310&gt;0)*($C$3:$N$3&lt;=B311)*($C$2:$N$2&gt;AA311)/$C$2:$N$2)),0),0)</f>
        <v/>
      </c>
      <c r="AG311">
        <f>MAX(0,AC311-MAX(0,SUMPRODUCT(($C$2:$N$2=AA311)*(AH311:AS311-$C$7:$N$7))))</f>
        <v/>
      </c>
      <c r="AH311">
        <f>IF(C310&lt;=0,0,ROUND(C310*(1+IF(AND(C$6&gt;0,$B311&lt;C$6),C$4,C$5)/12),2))</f>
        <v/>
      </c>
      <c r="AI311">
        <f>IF(D310&lt;=0,0,ROUND(D310*(1+IF(AND(D$6&gt;0,$B311&lt;D$6),D$4,D$5)/12),2))</f>
        <v/>
      </c>
      <c r="AJ311">
        <f>IF(E310&lt;=0,0,ROUND(E310*(1+IF(AND(E$6&gt;0,$B311&lt;E$6),E$4,E$5)/12),2))</f>
        <v/>
      </c>
      <c r="AK311">
        <f>IF(F310&lt;=0,0,ROUND(F310*(1+IF(AND(F$6&gt;0,$B311&lt;F$6),F$4,F$5)/12),2))</f>
        <v/>
      </c>
      <c r="AL311">
        <f>IF(G310&lt;=0,0,ROUND(G310*(1+IF(AND(G$6&gt;0,$B311&lt;G$6),G$4,G$5)/12),2))</f>
        <v/>
      </c>
      <c r="AM311">
        <f>IF(H310&lt;=0,0,ROUND(H310*(1+IF(AND(H$6&gt;0,$B311&lt;H$6),H$4,H$5)/12),2))</f>
        <v/>
      </c>
      <c r="AN311">
        <f>IF(I310&lt;=0,0,ROUND(I310*(1+IF(AND(I$6&gt;0,$B311&lt;I$6),I$4,I$5)/12),2))</f>
        <v/>
      </c>
      <c r="AO311">
        <f>IF(J310&lt;=0,0,ROUND(J310*(1+IF(AND(J$6&gt;0,$B311&lt;J$6),J$4,J$5)/12),2))</f>
        <v/>
      </c>
      <c r="AP311">
        <f>IF(K310&lt;=0,0,ROUND(K310*(1+IF(AND(K$6&gt;0,$B311&lt;K$6),K$4,K$5)/12),2))</f>
        <v/>
      </c>
      <c r="AQ311">
        <f>IF(L310&lt;=0,0,ROUND(L310*(1+IF(AND(L$6&gt;0,$B311&lt;L$6),L$4,L$5)/12),2))</f>
        <v/>
      </c>
      <c r="AR311">
        <f>IF(M310&lt;=0,0,ROUND(M310*(1+IF(AND(M$6&gt;0,$B311&lt;M$6),M$4,M$5)/12),2))</f>
        <v/>
      </c>
      <c r="AS311">
        <f>IF(N310&lt;=0,0,ROUND(N310*(1+IF(AND(N$6&gt;0,$B311&lt;N$6),N$4,N$5)/12),2))</f>
        <v/>
      </c>
    </row>
    <row r="312">
      <c r="A312" t="n">
        <v>301</v>
      </c>
      <c r="B312">
        <f>EDATE(Plan!$C$6,300)</f>
        <v/>
      </c>
      <c r="C312">
        <f>IF(C311&lt;=0,0,MAX(0,AH312-O312))</f>
        <v/>
      </c>
      <c r="D312">
        <f>IF(D311&lt;=0,0,MAX(0,AI312-P312))</f>
        <v/>
      </c>
      <c r="E312">
        <f>IF(E311&lt;=0,0,MAX(0,AJ312-Q312))</f>
        <v/>
      </c>
      <c r="F312">
        <f>IF(F311&lt;=0,0,MAX(0,AK312-R312))</f>
        <v/>
      </c>
      <c r="G312">
        <f>IF(G311&lt;=0,0,MAX(0,AL312-S312))</f>
        <v/>
      </c>
      <c r="H312">
        <f>IF(H311&lt;=0,0,MAX(0,AM312-T312))</f>
        <v/>
      </c>
      <c r="I312">
        <f>IF(I311&lt;=0,0,MAX(0,AN312-U312))</f>
        <v/>
      </c>
      <c r="J312">
        <f>IF(J311&lt;=0,0,MAX(0,AO312-V312))</f>
        <v/>
      </c>
      <c r="K312">
        <f>IF(K311&lt;=0,0,MAX(0,AP312-W312))</f>
        <v/>
      </c>
      <c r="L312">
        <f>IF(L311&lt;=0,0,MAX(0,AQ312-X312))</f>
        <v/>
      </c>
      <c r="M312">
        <f>IF(M311&lt;=0,0,MAX(0,AR312-Y312))</f>
        <v/>
      </c>
      <c r="N312">
        <f>IF(N311&lt;=0,0,MAX(0,AS312-Z312))</f>
        <v/>
      </c>
      <c r="O312">
        <f>IF(C311&lt;=0,0,MIN(AH312,C$7+IF(C$2=$AA312,$AC312,IF(C$2=$AF312,$AG312,0))))</f>
        <v/>
      </c>
      <c r="P312">
        <f>IF(D311&lt;=0,0,MIN(AI312,D$7+IF(D$2=$AA312,$AC312,IF(D$2=$AF312,$AG312,0))))</f>
        <v/>
      </c>
      <c r="Q312">
        <f>IF(E311&lt;=0,0,MIN(AJ312,E$7+IF(E$2=$AA312,$AC312,IF(E$2=$AF312,$AG312,0))))</f>
        <v/>
      </c>
      <c r="R312">
        <f>IF(F311&lt;=0,0,MIN(AK312,F$7+IF(F$2=$AA312,$AC312,IF(F$2=$AF312,$AG312,0))))</f>
        <v/>
      </c>
      <c r="S312">
        <f>IF(G311&lt;=0,0,MIN(AL312,G$7+IF(G$2=$AA312,$AC312,IF(G$2=$AF312,$AG312,0))))</f>
        <v/>
      </c>
      <c r="T312">
        <f>IF(H311&lt;=0,0,MIN(AM312,H$7+IF(H$2=$AA312,$AC312,IF(H$2=$AF312,$AG312,0))))</f>
        <v/>
      </c>
      <c r="U312">
        <f>IF(I311&lt;=0,0,MIN(AN312,I$7+IF(I$2=$AA312,$AC312,IF(I$2=$AF312,$AG312,0))))</f>
        <v/>
      </c>
      <c r="V312">
        <f>IF(J311&lt;=0,0,MIN(AO312,J$7+IF(J$2=$AA312,$AC312,IF(J$2=$AF312,$AG312,0))))</f>
        <v/>
      </c>
      <c r="W312">
        <f>IF(K311&lt;=0,0,MIN(AP312,K$7+IF(K$2=$AA312,$AC312,IF(K$2=$AF312,$AG312,0))))</f>
        <v/>
      </c>
      <c r="X312">
        <f>IF(L311&lt;=0,0,MIN(AQ312,L$7+IF(L$2=$AA312,$AC312,IF(L$2=$AF312,$AG312,0))))</f>
        <v/>
      </c>
      <c r="Y312">
        <f>IF(M311&lt;=0,0,MIN(AR312,M$7+IF(M$2=$AA312,$AC312,IF(M$2=$AF312,$AG312,0))))</f>
        <v/>
      </c>
      <c r="Z312">
        <f>IF(N311&lt;=0,0,MIN(AS312,N$7+IF(N$2=$AA312,$AC312,IF(N$2=$AF312,$AG312,0))))</f>
        <v/>
      </c>
      <c r="AA312">
        <f>IFERROR(ROUND(1/SUMPRODUCT(MAX((C311:N311&gt;0)*($C$3:$N$3&lt;=B312)/$C$2:$N$2)),0),0)</f>
        <v/>
      </c>
      <c r="AB312">
        <f>SUMPRODUCT((C311:N311&gt;0)*$C$7:$N$7)</f>
        <v/>
      </c>
      <c r="AC312">
        <f>MAX(0,Plan!$C$5-AB312)+IF(A312=Plan!$C$8,N(Plan!$C$7),0)</f>
        <v/>
      </c>
      <c r="AD312">
        <f>SUM(C312:N312)</f>
        <v/>
      </c>
      <c r="AE312">
        <f>SUM(O312:Z312)</f>
        <v/>
      </c>
      <c r="AF312">
        <f>IFERROR(ROUND(1/SUMPRODUCT(MAX((C311:N311&gt;0)*($C$3:$N$3&lt;=B312)*($C$2:$N$2&gt;AA312)/$C$2:$N$2)),0),0)</f>
        <v/>
      </c>
      <c r="AG312">
        <f>MAX(0,AC312-MAX(0,SUMPRODUCT(($C$2:$N$2=AA312)*(AH312:AS312-$C$7:$N$7))))</f>
        <v/>
      </c>
      <c r="AH312">
        <f>IF(C311&lt;=0,0,ROUND(C311*(1+IF(AND(C$6&gt;0,$B312&lt;C$6),C$4,C$5)/12),2))</f>
        <v/>
      </c>
      <c r="AI312">
        <f>IF(D311&lt;=0,0,ROUND(D311*(1+IF(AND(D$6&gt;0,$B312&lt;D$6),D$4,D$5)/12),2))</f>
        <v/>
      </c>
      <c r="AJ312">
        <f>IF(E311&lt;=0,0,ROUND(E311*(1+IF(AND(E$6&gt;0,$B312&lt;E$6),E$4,E$5)/12),2))</f>
        <v/>
      </c>
      <c r="AK312">
        <f>IF(F311&lt;=0,0,ROUND(F311*(1+IF(AND(F$6&gt;0,$B312&lt;F$6),F$4,F$5)/12),2))</f>
        <v/>
      </c>
      <c r="AL312">
        <f>IF(G311&lt;=0,0,ROUND(G311*(1+IF(AND(G$6&gt;0,$B312&lt;G$6),G$4,G$5)/12),2))</f>
        <v/>
      </c>
      <c r="AM312">
        <f>IF(H311&lt;=0,0,ROUND(H311*(1+IF(AND(H$6&gt;0,$B312&lt;H$6),H$4,H$5)/12),2))</f>
        <v/>
      </c>
      <c r="AN312">
        <f>IF(I311&lt;=0,0,ROUND(I311*(1+IF(AND(I$6&gt;0,$B312&lt;I$6),I$4,I$5)/12),2))</f>
        <v/>
      </c>
      <c r="AO312">
        <f>IF(J311&lt;=0,0,ROUND(J311*(1+IF(AND(J$6&gt;0,$B312&lt;J$6),J$4,J$5)/12),2))</f>
        <v/>
      </c>
      <c r="AP312">
        <f>IF(K311&lt;=0,0,ROUND(K311*(1+IF(AND(K$6&gt;0,$B312&lt;K$6),K$4,K$5)/12),2))</f>
        <v/>
      </c>
      <c r="AQ312">
        <f>IF(L311&lt;=0,0,ROUND(L311*(1+IF(AND(L$6&gt;0,$B312&lt;L$6),L$4,L$5)/12),2))</f>
        <v/>
      </c>
      <c r="AR312">
        <f>IF(M311&lt;=0,0,ROUND(M311*(1+IF(AND(M$6&gt;0,$B312&lt;M$6),M$4,M$5)/12),2))</f>
        <v/>
      </c>
      <c r="AS312">
        <f>IF(N311&lt;=0,0,ROUND(N311*(1+IF(AND(N$6&gt;0,$B312&lt;N$6),N$4,N$5)/12),2))</f>
        <v/>
      </c>
    </row>
    <row r="313">
      <c r="A313" t="n">
        <v>302</v>
      </c>
      <c r="B313">
        <f>EDATE(Plan!$C$6,301)</f>
        <v/>
      </c>
      <c r="C313">
        <f>IF(C312&lt;=0,0,MAX(0,AH313-O313))</f>
        <v/>
      </c>
      <c r="D313">
        <f>IF(D312&lt;=0,0,MAX(0,AI313-P313))</f>
        <v/>
      </c>
      <c r="E313">
        <f>IF(E312&lt;=0,0,MAX(0,AJ313-Q313))</f>
        <v/>
      </c>
      <c r="F313">
        <f>IF(F312&lt;=0,0,MAX(0,AK313-R313))</f>
        <v/>
      </c>
      <c r="G313">
        <f>IF(G312&lt;=0,0,MAX(0,AL313-S313))</f>
        <v/>
      </c>
      <c r="H313">
        <f>IF(H312&lt;=0,0,MAX(0,AM313-T313))</f>
        <v/>
      </c>
      <c r="I313">
        <f>IF(I312&lt;=0,0,MAX(0,AN313-U313))</f>
        <v/>
      </c>
      <c r="J313">
        <f>IF(J312&lt;=0,0,MAX(0,AO313-V313))</f>
        <v/>
      </c>
      <c r="K313">
        <f>IF(K312&lt;=0,0,MAX(0,AP313-W313))</f>
        <v/>
      </c>
      <c r="L313">
        <f>IF(L312&lt;=0,0,MAX(0,AQ313-X313))</f>
        <v/>
      </c>
      <c r="M313">
        <f>IF(M312&lt;=0,0,MAX(0,AR313-Y313))</f>
        <v/>
      </c>
      <c r="N313">
        <f>IF(N312&lt;=0,0,MAX(0,AS313-Z313))</f>
        <v/>
      </c>
      <c r="O313">
        <f>IF(C312&lt;=0,0,MIN(AH313,C$7+IF(C$2=$AA313,$AC313,IF(C$2=$AF313,$AG313,0))))</f>
        <v/>
      </c>
      <c r="P313">
        <f>IF(D312&lt;=0,0,MIN(AI313,D$7+IF(D$2=$AA313,$AC313,IF(D$2=$AF313,$AG313,0))))</f>
        <v/>
      </c>
      <c r="Q313">
        <f>IF(E312&lt;=0,0,MIN(AJ313,E$7+IF(E$2=$AA313,$AC313,IF(E$2=$AF313,$AG313,0))))</f>
        <v/>
      </c>
      <c r="R313">
        <f>IF(F312&lt;=0,0,MIN(AK313,F$7+IF(F$2=$AA313,$AC313,IF(F$2=$AF313,$AG313,0))))</f>
        <v/>
      </c>
      <c r="S313">
        <f>IF(G312&lt;=0,0,MIN(AL313,G$7+IF(G$2=$AA313,$AC313,IF(G$2=$AF313,$AG313,0))))</f>
        <v/>
      </c>
      <c r="T313">
        <f>IF(H312&lt;=0,0,MIN(AM313,H$7+IF(H$2=$AA313,$AC313,IF(H$2=$AF313,$AG313,0))))</f>
        <v/>
      </c>
      <c r="U313">
        <f>IF(I312&lt;=0,0,MIN(AN313,I$7+IF(I$2=$AA313,$AC313,IF(I$2=$AF313,$AG313,0))))</f>
        <v/>
      </c>
      <c r="V313">
        <f>IF(J312&lt;=0,0,MIN(AO313,J$7+IF(J$2=$AA313,$AC313,IF(J$2=$AF313,$AG313,0))))</f>
        <v/>
      </c>
      <c r="W313">
        <f>IF(K312&lt;=0,0,MIN(AP313,K$7+IF(K$2=$AA313,$AC313,IF(K$2=$AF313,$AG313,0))))</f>
        <v/>
      </c>
      <c r="X313">
        <f>IF(L312&lt;=0,0,MIN(AQ313,L$7+IF(L$2=$AA313,$AC313,IF(L$2=$AF313,$AG313,0))))</f>
        <v/>
      </c>
      <c r="Y313">
        <f>IF(M312&lt;=0,0,MIN(AR313,M$7+IF(M$2=$AA313,$AC313,IF(M$2=$AF313,$AG313,0))))</f>
        <v/>
      </c>
      <c r="Z313">
        <f>IF(N312&lt;=0,0,MIN(AS313,N$7+IF(N$2=$AA313,$AC313,IF(N$2=$AF313,$AG313,0))))</f>
        <v/>
      </c>
      <c r="AA313">
        <f>IFERROR(ROUND(1/SUMPRODUCT(MAX((C312:N312&gt;0)*($C$3:$N$3&lt;=B313)/$C$2:$N$2)),0),0)</f>
        <v/>
      </c>
      <c r="AB313">
        <f>SUMPRODUCT((C312:N312&gt;0)*$C$7:$N$7)</f>
        <v/>
      </c>
      <c r="AC313">
        <f>MAX(0,Plan!$C$5-AB313)+IF(A313=Plan!$C$8,N(Plan!$C$7),0)</f>
        <v/>
      </c>
      <c r="AD313">
        <f>SUM(C313:N313)</f>
        <v/>
      </c>
      <c r="AE313">
        <f>SUM(O313:Z313)</f>
        <v/>
      </c>
      <c r="AF313">
        <f>IFERROR(ROUND(1/SUMPRODUCT(MAX((C312:N312&gt;0)*($C$3:$N$3&lt;=B313)*($C$2:$N$2&gt;AA313)/$C$2:$N$2)),0),0)</f>
        <v/>
      </c>
      <c r="AG313">
        <f>MAX(0,AC313-MAX(0,SUMPRODUCT(($C$2:$N$2=AA313)*(AH313:AS313-$C$7:$N$7))))</f>
        <v/>
      </c>
      <c r="AH313">
        <f>IF(C312&lt;=0,0,ROUND(C312*(1+IF(AND(C$6&gt;0,$B313&lt;C$6),C$4,C$5)/12),2))</f>
        <v/>
      </c>
      <c r="AI313">
        <f>IF(D312&lt;=0,0,ROUND(D312*(1+IF(AND(D$6&gt;0,$B313&lt;D$6),D$4,D$5)/12),2))</f>
        <v/>
      </c>
      <c r="AJ313">
        <f>IF(E312&lt;=0,0,ROUND(E312*(1+IF(AND(E$6&gt;0,$B313&lt;E$6),E$4,E$5)/12),2))</f>
        <v/>
      </c>
      <c r="AK313">
        <f>IF(F312&lt;=0,0,ROUND(F312*(1+IF(AND(F$6&gt;0,$B313&lt;F$6),F$4,F$5)/12),2))</f>
        <v/>
      </c>
      <c r="AL313">
        <f>IF(G312&lt;=0,0,ROUND(G312*(1+IF(AND(G$6&gt;0,$B313&lt;G$6),G$4,G$5)/12),2))</f>
        <v/>
      </c>
      <c r="AM313">
        <f>IF(H312&lt;=0,0,ROUND(H312*(1+IF(AND(H$6&gt;0,$B313&lt;H$6),H$4,H$5)/12),2))</f>
        <v/>
      </c>
      <c r="AN313">
        <f>IF(I312&lt;=0,0,ROUND(I312*(1+IF(AND(I$6&gt;0,$B313&lt;I$6),I$4,I$5)/12),2))</f>
        <v/>
      </c>
      <c r="AO313">
        <f>IF(J312&lt;=0,0,ROUND(J312*(1+IF(AND(J$6&gt;0,$B313&lt;J$6),J$4,J$5)/12),2))</f>
        <v/>
      </c>
      <c r="AP313">
        <f>IF(K312&lt;=0,0,ROUND(K312*(1+IF(AND(K$6&gt;0,$B313&lt;K$6),K$4,K$5)/12),2))</f>
        <v/>
      </c>
      <c r="AQ313">
        <f>IF(L312&lt;=0,0,ROUND(L312*(1+IF(AND(L$6&gt;0,$B313&lt;L$6),L$4,L$5)/12),2))</f>
        <v/>
      </c>
      <c r="AR313">
        <f>IF(M312&lt;=0,0,ROUND(M312*(1+IF(AND(M$6&gt;0,$B313&lt;M$6),M$4,M$5)/12),2))</f>
        <v/>
      </c>
      <c r="AS313">
        <f>IF(N312&lt;=0,0,ROUND(N312*(1+IF(AND(N$6&gt;0,$B313&lt;N$6),N$4,N$5)/12),2))</f>
        <v/>
      </c>
    </row>
    <row r="314">
      <c r="A314" t="n">
        <v>303</v>
      </c>
      <c r="B314">
        <f>EDATE(Plan!$C$6,302)</f>
        <v/>
      </c>
      <c r="C314">
        <f>IF(C313&lt;=0,0,MAX(0,AH314-O314))</f>
        <v/>
      </c>
      <c r="D314">
        <f>IF(D313&lt;=0,0,MAX(0,AI314-P314))</f>
        <v/>
      </c>
      <c r="E314">
        <f>IF(E313&lt;=0,0,MAX(0,AJ314-Q314))</f>
        <v/>
      </c>
      <c r="F314">
        <f>IF(F313&lt;=0,0,MAX(0,AK314-R314))</f>
        <v/>
      </c>
      <c r="G314">
        <f>IF(G313&lt;=0,0,MAX(0,AL314-S314))</f>
        <v/>
      </c>
      <c r="H314">
        <f>IF(H313&lt;=0,0,MAX(0,AM314-T314))</f>
        <v/>
      </c>
      <c r="I314">
        <f>IF(I313&lt;=0,0,MAX(0,AN314-U314))</f>
        <v/>
      </c>
      <c r="J314">
        <f>IF(J313&lt;=0,0,MAX(0,AO314-V314))</f>
        <v/>
      </c>
      <c r="K314">
        <f>IF(K313&lt;=0,0,MAX(0,AP314-W314))</f>
        <v/>
      </c>
      <c r="L314">
        <f>IF(L313&lt;=0,0,MAX(0,AQ314-X314))</f>
        <v/>
      </c>
      <c r="M314">
        <f>IF(M313&lt;=0,0,MAX(0,AR314-Y314))</f>
        <v/>
      </c>
      <c r="N314">
        <f>IF(N313&lt;=0,0,MAX(0,AS314-Z314))</f>
        <v/>
      </c>
      <c r="O314">
        <f>IF(C313&lt;=0,0,MIN(AH314,C$7+IF(C$2=$AA314,$AC314,IF(C$2=$AF314,$AG314,0))))</f>
        <v/>
      </c>
      <c r="P314">
        <f>IF(D313&lt;=0,0,MIN(AI314,D$7+IF(D$2=$AA314,$AC314,IF(D$2=$AF314,$AG314,0))))</f>
        <v/>
      </c>
      <c r="Q314">
        <f>IF(E313&lt;=0,0,MIN(AJ314,E$7+IF(E$2=$AA314,$AC314,IF(E$2=$AF314,$AG314,0))))</f>
        <v/>
      </c>
      <c r="R314">
        <f>IF(F313&lt;=0,0,MIN(AK314,F$7+IF(F$2=$AA314,$AC314,IF(F$2=$AF314,$AG314,0))))</f>
        <v/>
      </c>
      <c r="S314">
        <f>IF(G313&lt;=0,0,MIN(AL314,G$7+IF(G$2=$AA314,$AC314,IF(G$2=$AF314,$AG314,0))))</f>
        <v/>
      </c>
      <c r="T314">
        <f>IF(H313&lt;=0,0,MIN(AM314,H$7+IF(H$2=$AA314,$AC314,IF(H$2=$AF314,$AG314,0))))</f>
        <v/>
      </c>
      <c r="U314">
        <f>IF(I313&lt;=0,0,MIN(AN314,I$7+IF(I$2=$AA314,$AC314,IF(I$2=$AF314,$AG314,0))))</f>
        <v/>
      </c>
      <c r="V314">
        <f>IF(J313&lt;=0,0,MIN(AO314,J$7+IF(J$2=$AA314,$AC314,IF(J$2=$AF314,$AG314,0))))</f>
        <v/>
      </c>
      <c r="W314">
        <f>IF(K313&lt;=0,0,MIN(AP314,K$7+IF(K$2=$AA314,$AC314,IF(K$2=$AF314,$AG314,0))))</f>
        <v/>
      </c>
      <c r="X314">
        <f>IF(L313&lt;=0,0,MIN(AQ314,L$7+IF(L$2=$AA314,$AC314,IF(L$2=$AF314,$AG314,0))))</f>
        <v/>
      </c>
      <c r="Y314">
        <f>IF(M313&lt;=0,0,MIN(AR314,M$7+IF(M$2=$AA314,$AC314,IF(M$2=$AF314,$AG314,0))))</f>
        <v/>
      </c>
      <c r="Z314">
        <f>IF(N313&lt;=0,0,MIN(AS314,N$7+IF(N$2=$AA314,$AC314,IF(N$2=$AF314,$AG314,0))))</f>
        <v/>
      </c>
      <c r="AA314">
        <f>IFERROR(ROUND(1/SUMPRODUCT(MAX((C313:N313&gt;0)*($C$3:$N$3&lt;=B314)/$C$2:$N$2)),0),0)</f>
        <v/>
      </c>
      <c r="AB314">
        <f>SUMPRODUCT((C313:N313&gt;0)*$C$7:$N$7)</f>
        <v/>
      </c>
      <c r="AC314">
        <f>MAX(0,Plan!$C$5-AB314)+IF(A314=Plan!$C$8,N(Plan!$C$7),0)</f>
        <v/>
      </c>
      <c r="AD314">
        <f>SUM(C314:N314)</f>
        <v/>
      </c>
      <c r="AE314">
        <f>SUM(O314:Z314)</f>
        <v/>
      </c>
      <c r="AF314">
        <f>IFERROR(ROUND(1/SUMPRODUCT(MAX((C313:N313&gt;0)*($C$3:$N$3&lt;=B314)*($C$2:$N$2&gt;AA314)/$C$2:$N$2)),0),0)</f>
        <v/>
      </c>
      <c r="AG314">
        <f>MAX(0,AC314-MAX(0,SUMPRODUCT(($C$2:$N$2=AA314)*(AH314:AS314-$C$7:$N$7))))</f>
        <v/>
      </c>
      <c r="AH314">
        <f>IF(C313&lt;=0,0,ROUND(C313*(1+IF(AND(C$6&gt;0,$B314&lt;C$6),C$4,C$5)/12),2))</f>
        <v/>
      </c>
      <c r="AI314">
        <f>IF(D313&lt;=0,0,ROUND(D313*(1+IF(AND(D$6&gt;0,$B314&lt;D$6),D$4,D$5)/12),2))</f>
        <v/>
      </c>
      <c r="AJ314">
        <f>IF(E313&lt;=0,0,ROUND(E313*(1+IF(AND(E$6&gt;0,$B314&lt;E$6),E$4,E$5)/12),2))</f>
        <v/>
      </c>
      <c r="AK314">
        <f>IF(F313&lt;=0,0,ROUND(F313*(1+IF(AND(F$6&gt;0,$B314&lt;F$6),F$4,F$5)/12),2))</f>
        <v/>
      </c>
      <c r="AL314">
        <f>IF(G313&lt;=0,0,ROUND(G313*(1+IF(AND(G$6&gt;0,$B314&lt;G$6),G$4,G$5)/12),2))</f>
        <v/>
      </c>
      <c r="AM314">
        <f>IF(H313&lt;=0,0,ROUND(H313*(1+IF(AND(H$6&gt;0,$B314&lt;H$6),H$4,H$5)/12),2))</f>
        <v/>
      </c>
      <c r="AN314">
        <f>IF(I313&lt;=0,0,ROUND(I313*(1+IF(AND(I$6&gt;0,$B314&lt;I$6),I$4,I$5)/12),2))</f>
        <v/>
      </c>
      <c r="AO314">
        <f>IF(J313&lt;=0,0,ROUND(J313*(1+IF(AND(J$6&gt;0,$B314&lt;J$6),J$4,J$5)/12),2))</f>
        <v/>
      </c>
      <c r="AP314">
        <f>IF(K313&lt;=0,0,ROUND(K313*(1+IF(AND(K$6&gt;0,$B314&lt;K$6),K$4,K$5)/12),2))</f>
        <v/>
      </c>
      <c r="AQ314">
        <f>IF(L313&lt;=0,0,ROUND(L313*(1+IF(AND(L$6&gt;0,$B314&lt;L$6),L$4,L$5)/12),2))</f>
        <v/>
      </c>
      <c r="AR314">
        <f>IF(M313&lt;=0,0,ROUND(M313*(1+IF(AND(M$6&gt;0,$B314&lt;M$6),M$4,M$5)/12),2))</f>
        <v/>
      </c>
      <c r="AS314">
        <f>IF(N313&lt;=0,0,ROUND(N313*(1+IF(AND(N$6&gt;0,$B314&lt;N$6),N$4,N$5)/12),2))</f>
        <v/>
      </c>
    </row>
    <row r="315">
      <c r="A315" t="n">
        <v>304</v>
      </c>
      <c r="B315">
        <f>EDATE(Plan!$C$6,303)</f>
        <v/>
      </c>
      <c r="C315">
        <f>IF(C314&lt;=0,0,MAX(0,AH315-O315))</f>
        <v/>
      </c>
      <c r="D315">
        <f>IF(D314&lt;=0,0,MAX(0,AI315-P315))</f>
        <v/>
      </c>
      <c r="E315">
        <f>IF(E314&lt;=0,0,MAX(0,AJ315-Q315))</f>
        <v/>
      </c>
      <c r="F315">
        <f>IF(F314&lt;=0,0,MAX(0,AK315-R315))</f>
        <v/>
      </c>
      <c r="G315">
        <f>IF(G314&lt;=0,0,MAX(0,AL315-S315))</f>
        <v/>
      </c>
      <c r="H315">
        <f>IF(H314&lt;=0,0,MAX(0,AM315-T315))</f>
        <v/>
      </c>
      <c r="I315">
        <f>IF(I314&lt;=0,0,MAX(0,AN315-U315))</f>
        <v/>
      </c>
      <c r="J315">
        <f>IF(J314&lt;=0,0,MAX(0,AO315-V315))</f>
        <v/>
      </c>
      <c r="K315">
        <f>IF(K314&lt;=0,0,MAX(0,AP315-W315))</f>
        <v/>
      </c>
      <c r="L315">
        <f>IF(L314&lt;=0,0,MAX(0,AQ315-X315))</f>
        <v/>
      </c>
      <c r="M315">
        <f>IF(M314&lt;=0,0,MAX(0,AR315-Y315))</f>
        <v/>
      </c>
      <c r="N315">
        <f>IF(N314&lt;=0,0,MAX(0,AS315-Z315))</f>
        <v/>
      </c>
      <c r="O315">
        <f>IF(C314&lt;=0,0,MIN(AH315,C$7+IF(C$2=$AA315,$AC315,IF(C$2=$AF315,$AG315,0))))</f>
        <v/>
      </c>
      <c r="P315">
        <f>IF(D314&lt;=0,0,MIN(AI315,D$7+IF(D$2=$AA315,$AC315,IF(D$2=$AF315,$AG315,0))))</f>
        <v/>
      </c>
      <c r="Q315">
        <f>IF(E314&lt;=0,0,MIN(AJ315,E$7+IF(E$2=$AA315,$AC315,IF(E$2=$AF315,$AG315,0))))</f>
        <v/>
      </c>
      <c r="R315">
        <f>IF(F314&lt;=0,0,MIN(AK315,F$7+IF(F$2=$AA315,$AC315,IF(F$2=$AF315,$AG315,0))))</f>
        <v/>
      </c>
      <c r="S315">
        <f>IF(G314&lt;=0,0,MIN(AL315,G$7+IF(G$2=$AA315,$AC315,IF(G$2=$AF315,$AG315,0))))</f>
        <v/>
      </c>
      <c r="T315">
        <f>IF(H314&lt;=0,0,MIN(AM315,H$7+IF(H$2=$AA315,$AC315,IF(H$2=$AF315,$AG315,0))))</f>
        <v/>
      </c>
      <c r="U315">
        <f>IF(I314&lt;=0,0,MIN(AN315,I$7+IF(I$2=$AA315,$AC315,IF(I$2=$AF315,$AG315,0))))</f>
        <v/>
      </c>
      <c r="V315">
        <f>IF(J314&lt;=0,0,MIN(AO315,J$7+IF(J$2=$AA315,$AC315,IF(J$2=$AF315,$AG315,0))))</f>
        <v/>
      </c>
      <c r="W315">
        <f>IF(K314&lt;=0,0,MIN(AP315,K$7+IF(K$2=$AA315,$AC315,IF(K$2=$AF315,$AG315,0))))</f>
        <v/>
      </c>
      <c r="X315">
        <f>IF(L314&lt;=0,0,MIN(AQ315,L$7+IF(L$2=$AA315,$AC315,IF(L$2=$AF315,$AG315,0))))</f>
        <v/>
      </c>
      <c r="Y315">
        <f>IF(M314&lt;=0,0,MIN(AR315,M$7+IF(M$2=$AA315,$AC315,IF(M$2=$AF315,$AG315,0))))</f>
        <v/>
      </c>
      <c r="Z315">
        <f>IF(N314&lt;=0,0,MIN(AS315,N$7+IF(N$2=$AA315,$AC315,IF(N$2=$AF315,$AG315,0))))</f>
        <v/>
      </c>
      <c r="AA315">
        <f>IFERROR(ROUND(1/SUMPRODUCT(MAX((C314:N314&gt;0)*($C$3:$N$3&lt;=B315)/$C$2:$N$2)),0),0)</f>
        <v/>
      </c>
      <c r="AB315">
        <f>SUMPRODUCT((C314:N314&gt;0)*$C$7:$N$7)</f>
        <v/>
      </c>
      <c r="AC315">
        <f>MAX(0,Plan!$C$5-AB315)+IF(A315=Plan!$C$8,N(Plan!$C$7),0)</f>
        <v/>
      </c>
      <c r="AD315">
        <f>SUM(C315:N315)</f>
        <v/>
      </c>
      <c r="AE315">
        <f>SUM(O315:Z315)</f>
        <v/>
      </c>
      <c r="AF315">
        <f>IFERROR(ROUND(1/SUMPRODUCT(MAX((C314:N314&gt;0)*($C$3:$N$3&lt;=B315)*($C$2:$N$2&gt;AA315)/$C$2:$N$2)),0),0)</f>
        <v/>
      </c>
      <c r="AG315">
        <f>MAX(0,AC315-MAX(0,SUMPRODUCT(($C$2:$N$2=AA315)*(AH315:AS315-$C$7:$N$7))))</f>
        <v/>
      </c>
      <c r="AH315">
        <f>IF(C314&lt;=0,0,ROUND(C314*(1+IF(AND(C$6&gt;0,$B315&lt;C$6),C$4,C$5)/12),2))</f>
        <v/>
      </c>
      <c r="AI315">
        <f>IF(D314&lt;=0,0,ROUND(D314*(1+IF(AND(D$6&gt;0,$B315&lt;D$6),D$4,D$5)/12),2))</f>
        <v/>
      </c>
      <c r="AJ315">
        <f>IF(E314&lt;=0,0,ROUND(E314*(1+IF(AND(E$6&gt;0,$B315&lt;E$6),E$4,E$5)/12),2))</f>
        <v/>
      </c>
      <c r="AK315">
        <f>IF(F314&lt;=0,0,ROUND(F314*(1+IF(AND(F$6&gt;0,$B315&lt;F$6),F$4,F$5)/12),2))</f>
        <v/>
      </c>
      <c r="AL315">
        <f>IF(G314&lt;=0,0,ROUND(G314*(1+IF(AND(G$6&gt;0,$B315&lt;G$6),G$4,G$5)/12),2))</f>
        <v/>
      </c>
      <c r="AM315">
        <f>IF(H314&lt;=0,0,ROUND(H314*(1+IF(AND(H$6&gt;0,$B315&lt;H$6),H$4,H$5)/12),2))</f>
        <v/>
      </c>
      <c r="AN315">
        <f>IF(I314&lt;=0,0,ROUND(I314*(1+IF(AND(I$6&gt;0,$B315&lt;I$6),I$4,I$5)/12),2))</f>
        <v/>
      </c>
      <c r="AO315">
        <f>IF(J314&lt;=0,0,ROUND(J314*(1+IF(AND(J$6&gt;0,$B315&lt;J$6),J$4,J$5)/12),2))</f>
        <v/>
      </c>
      <c r="AP315">
        <f>IF(K314&lt;=0,0,ROUND(K314*(1+IF(AND(K$6&gt;0,$B315&lt;K$6),K$4,K$5)/12),2))</f>
        <v/>
      </c>
      <c r="AQ315">
        <f>IF(L314&lt;=0,0,ROUND(L314*(1+IF(AND(L$6&gt;0,$B315&lt;L$6),L$4,L$5)/12),2))</f>
        <v/>
      </c>
      <c r="AR315">
        <f>IF(M314&lt;=0,0,ROUND(M314*(1+IF(AND(M$6&gt;0,$B315&lt;M$6),M$4,M$5)/12),2))</f>
        <v/>
      </c>
      <c r="AS315">
        <f>IF(N314&lt;=0,0,ROUND(N314*(1+IF(AND(N$6&gt;0,$B315&lt;N$6),N$4,N$5)/12),2))</f>
        <v/>
      </c>
    </row>
    <row r="316">
      <c r="A316" t="n">
        <v>305</v>
      </c>
      <c r="B316">
        <f>EDATE(Plan!$C$6,304)</f>
        <v/>
      </c>
      <c r="C316">
        <f>IF(C315&lt;=0,0,MAX(0,AH316-O316))</f>
        <v/>
      </c>
      <c r="D316">
        <f>IF(D315&lt;=0,0,MAX(0,AI316-P316))</f>
        <v/>
      </c>
      <c r="E316">
        <f>IF(E315&lt;=0,0,MAX(0,AJ316-Q316))</f>
        <v/>
      </c>
      <c r="F316">
        <f>IF(F315&lt;=0,0,MAX(0,AK316-R316))</f>
        <v/>
      </c>
      <c r="G316">
        <f>IF(G315&lt;=0,0,MAX(0,AL316-S316))</f>
        <v/>
      </c>
      <c r="H316">
        <f>IF(H315&lt;=0,0,MAX(0,AM316-T316))</f>
        <v/>
      </c>
      <c r="I316">
        <f>IF(I315&lt;=0,0,MAX(0,AN316-U316))</f>
        <v/>
      </c>
      <c r="J316">
        <f>IF(J315&lt;=0,0,MAX(0,AO316-V316))</f>
        <v/>
      </c>
      <c r="K316">
        <f>IF(K315&lt;=0,0,MAX(0,AP316-W316))</f>
        <v/>
      </c>
      <c r="L316">
        <f>IF(L315&lt;=0,0,MAX(0,AQ316-X316))</f>
        <v/>
      </c>
      <c r="M316">
        <f>IF(M315&lt;=0,0,MAX(0,AR316-Y316))</f>
        <v/>
      </c>
      <c r="N316">
        <f>IF(N315&lt;=0,0,MAX(0,AS316-Z316))</f>
        <v/>
      </c>
      <c r="O316">
        <f>IF(C315&lt;=0,0,MIN(AH316,C$7+IF(C$2=$AA316,$AC316,IF(C$2=$AF316,$AG316,0))))</f>
        <v/>
      </c>
      <c r="P316">
        <f>IF(D315&lt;=0,0,MIN(AI316,D$7+IF(D$2=$AA316,$AC316,IF(D$2=$AF316,$AG316,0))))</f>
        <v/>
      </c>
      <c r="Q316">
        <f>IF(E315&lt;=0,0,MIN(AJ316,E$7+IF(E$2=$AA316,$AC316,IF(E$2=$AF316,$AG316,0))))</f>
        <v/>
      </c>
      <c r="R316">
        <f>IF(F315&lt;=0,0,MIN(AK316,F$7+IF(F$2=$AA316,$AC316,IF(F$2=$AF316,$AG316,0))))</f>
        <v/>
      </c>
      <c r="S316">
        <f>IF(G315&lt;=0,0,MIN(AL316,G$7+IF(G$2=$AA316,$AC316,IF(G$2=$AF316,$AG316,0))))</f>
        <v/>
      </c>
      <c r="T316">
        <f>IF(H315&lt;=0,0,MIN(AM316,H$7+IF(H$2=$AA316,$AC316,IF(H$2=$AF316,$AG316,0))))</f>
        <v/>
      </c>
      <c r="U316">
        <f>IF(I315&lt;=0,0,MIN(AN316,I$7+IF(I$2=$AA316,$AC316,IF(I$2=$AF316,$AG316,0))))</f>
        <v/>
      </c>
      <c r="V316">
        <f>IF(J315&lt;=0,0,MIN(AO316,J$7+IF(J$2=$AA316,$AC316,IF(J$2=$AF316,$AG316,0))))</f>
        <v/>
      </c>
      <c r="W316">
        <f>IF(K315&lt;=0,0,MIN(AP316,K$7+IF(K$2=$AA316,$AC316,IF(K$2=$AF316,$AG316,0))))</f>
        <v/>
      </c>
      <c r="X316">
        <f>IF(L315&lt;=0,0,MIN(AQ316,L$7+IF(L$2=$AA316,$AC316,IF(L$2=$AF316,$AG316,0))))</f>
        <v/>
      </c>
      <c r="Y316">
        <f>IF(M315&lt;=0,0,MIN(AR316,M$7+IF(M$2=$AA316,$AC316,IF(M$2=$AF316,$AG316,0))))</f>
        <v/>
      </c>
      <c r="Z316">
        <f>IF(N315&lt;=0,0,MIN(AS316,N$7+IF(N$2=$AA316,$AC316,IF(N$2=$AF316,$AG316,0))))</f>
        <v/>
      </c>
      <c r="AA316">
        <f>IFERROR(ROUND(1/SUMPRODUCT(MAX((C315:N315&gt;0)*($C$3:$N$3&lt;=B316)/$C$2:$N$2)),0),0)</f>
        <v/>
      </c>
      <c r="AB316">
        <f>SUMPRODUCT((C315:N315&gt;0)*$C$7:$N$7)</f>
        <v/>
      </c>
      <c r="AC316">
        <f>MAX(0,Plan!$C$5-AB316)+IF(A316=Plan!$C$8,N(Plan!$C$7),0)</f>
        <v/>
      </c>
      <c r="AD316">
        <f>SUM(C316:N316)</f>
        <v/>
      </c>
      <c r="AE316">
        <f>SUM(O316:Z316)</f>
        <v/>
      </c>
      <c r="AF316">
        <f>IFERROR(ROUND(1/SUMPRODUCT(MAX((C315:N315&gt;0)*($C$3:$N$3&lt;=B316)*($C$2:$N$2&gt;AA316)/$C$2:$N$2)),0),0)</f>
        <v/>
      </c>
      <c r="AG316">
        <f>MAX(0,AC316-MAX(0,SUMPRODUCT(($C$2:$N$2=AA316)*(AH316:AS316-$C$7:$N$7))))</f>
        <v/>
      </c>
      <c r="AH316">
        <f>IF(C315&lt;=0,0,ROUND(C315*(1+IF(AND(C$6&gt;0,$B316&lt;C$6),C$4,C$5)/12),2))</f>
        <v/>
      </c>
      <c r="AI316">
        <f>IF(D315&lt;=0,0,ROUND(D315*(1+IF(AND(D$6&gt;0,$B316&lt;D$6),D$4,D$5)/12),2))</f>
        <v/>
      </c>
      <c r="AJ316">
        <f>IF(E315&lt;=0,0,ROUND(E315*(1+IF(AND(E$6&gt;0,$B316&lt;E$6),E$4,E$5)/12),2))</f>
        <v/>
      </c>
      <c r="AK316">
        <f>IF(F315&lt;=0,0,ROUND(F315*(1+IF(AND(F$6&gt;0,$B316&lt;F$6),F$4,F$5)/12),2))</f>
        <v/>
      </c>
      <c r="AL316">
        <f>IF(G315&lt;=0,0,ROUND(G315*(1+IF(AND(G$6&gt;0,$B316&lt;G$6),G$4,G$5)/12),2))</f>
        <v/>
      </c>
      <c r="AM316">
        <f>IF(H315&lt;=0,0,ROUND(H315*(1+IF(AND(H$6&gt;0,$B316&lt;H$6),H$4,H$5)/12),2))</f>
        <v/>
      </c>
      <c r="AN316">
        <f>IF(I315&lt;=0,0,ROUND(I315*(1+IF(AND(I$6&gt;0,$B316&lt;I$6),I$4,I$5)/12),2))</f>
        <v/>
      </c>
      <c r="AO316">
        <f>IF(J315&lt;=0,0,ROUND(J315*(1+IF(AND(J$6&gt;0,$B316&lt;J$6),J$4,J$5)/12),2))</f>
        <v/>
      </c>
      <c r="AP316">
        <f>IF(K315&lt;=0,0,ROUND(K315*(1+IF(AND(K$6&gt;0,$B316&lt;K$6),K$4,K$5)/12),2))</f>
        <v/>
      </c>
      <c r="AQ316">
        <f>IF(L315&lt;=0,0,ROUND(L315*(1+IF(AND(L$6&gt;0,$B316&lt;L$6),L$4,L$5)/12),2))</f>
        <v/>
      </c>
      <c r="AR316">
        <f>IF(M315&lt;=0,0,ROUND(M315*(1+IF(AND(M$6&gt;0,$B316&lt;M$6),M$4,M$5)/12),2))</f>
        <v/>
      </c>
      <c r="AS316">
        <f>IF(N315&lt;=0,0,ROUND(N315*(1+IF(AND(N$6&gt;0,$B316&lt;N$6),N$4,N$5)/12),2))</f>
        <v/>
      </c>
    </row>
    <row r="317">
      <c r="A317" t="n">
        <v>306</v>
      </c>
      <c r="B317">
        <f>EDATE(Plan!$C$6,305)</f>
        <v/>
      </c>
      <c r="C317">
        <f>IF(C316&lt;=0,0,MAX(0,AH317-O317))</f>
        <v/>
      </c>
      <c r="D317">
        <f>IF(D316&lt;=0,0,MAX(0,AI317-P317))</f>
        <v/>
      </c>
      <c r="E317">
        <f>IF(E316&lt;=0,0,MAX(0,AJ317-Q317))</f>
        <v/>
      </c>
      <c r="F317">
        <f>IF(F316&lt;=0,0,MAX(0,AK317-R317))</f>
        <v/>
      </c>
      <c r="G317">
        <f>IF(G316&lt;=0,0,MAX(0,AL317-S317))</f>
        <v/>
      </c>
      <c r="H317">
        <f>IF(H316&lt;=0,0,MAX(0,AM317-T317))</f>
        <v/>
      </c>
      <c r="I317">
        <f>IF(I316&lt;=0,0,MAX(0,AN317-U317))</f>
        <v/>
      </c>
      <c r="J317">
        <f>IF(J316&lt;=0,0,MAX(0,AO317-V317))</f>
        <v/>
      </c>
      <c r="K317">
        <f>IF(K316&lt;=0,0,MAX(0,AP317-W317))</f>
        <v/>
      </c>
      <c r="L317">
        <f>IF(L316&lt;=0,0,MAX(0,AQ317-X317))</f>
        <v/>
      </c>
      <c r="M317">
        <f>IF(M316&lt;=0,0,MAX(0,AR317-Y317))</f>
        <v/>
      </c>
      <c r="N317">
        <f>IF(N316&lt;=0,0,MAX(0,AS317-Z317))</f>
        <v/>
      </c>
      <c r="O317">
        <f>IF(C316&lt;=0,0,MIN(AH317,C$7+IF(C$2=$AA317,$AC317,IF(C$2=$AF317,$AG317,0))))</f>
        <v/>
      </c>
      <c r="P317">
        <f>IF(D316&lt;=0,0,MIN(AI317,D$7+IF(D$2=$AA317,$AC317,IF(D$2=$AF317,$AG317,0))))</f>
        <v/>
      </c>
      <c r="Q317">
        <f>IF(E316&lt;=0,0,MIN(AJ317,E$7+IF(E$2=$AA317,$AC317,IF(E$2=$AF317,$AG317,0))))</f>
        <v/>
      </c>
      <c r="R317">
        <f>IF(F316&lt;=0,0,MIN(AK317,F$7+IF(F$2=$AA317,$AC317,IF(F$2=$AF317,$AG317,0))))</f>
        <v/>
      </c>
      <c r="S317">
        <f>IF(G316&lt;=0,0,MIN(AL317,G$7+IF(G$2=$AA317,$AC317,IF(G$2=$AF317,$AG317,0))))</f>
        <v/>
      </c>
      <c r="T317">
        <f>IF(H316&lt;=0,0,MIN(AM317,H$7+IF(H$2=$AA317,$AC317,IF(H$2=$AF317,$AG317,0))))</f>
        <v/>
      </c>
      <c r="U317">
        <f>IF(I316&lt;=0,0,MIN(AN317,I$7+IF(I$2=$AA317,$AC317,IF(I$2=$AF317,$AG317,0))))</f>
        <v/>
      </c>
      <c r="V317">
        <f>IF(J316&lt;=0,0,MIN(AO317,J$7+IF(J$2=$AA317,$AC317,IF(J$2=$AF317,$AG317,0))))</f>
        <v/>
      </c>
      <c r="W317">
        <f>IF(K316&lt;=0,0,MIN(AP317,K$7+IF(K$2=$AA317,$AC317,IF(K$2=$AF317,$AG317,0))))</f>
        <v/>
      </c>
      <c r="X317">
        <f>IF(L316&lt;=0,0,MIN(AQ317,L$7+IF(L$2=$AA317,$AC317,IF(L$2=$AF317,$AG317,0))))</f>
        <v/>
      </c>
      <c r="Y317">
        <f>IF(M316&lt;=0,0,MIN(AR317,M$7+IF(M$2=$AA317,$AC317,IF(M$2=$AF317,$AG317,0))))</f>
        <v/>
      </c>
      <c r="Z317">
        <f>IF(N316&lt;=0,0,MIN(AS317,N$7+IF(N$2=$AA317,$AC317,IF(N$2=$AF317,$AG317,0))))</f>
        <v/>
      </c>
      <c r="AA317">
        <f>IFERROR(ROUND(1/SUMPRODUCT(MAX((C316:N316&gt;0)*($C$3:$N$3&lt;=B317)/$C$2:$N$2)),0),0)</f>
        <v/>
      </c>
      <c r="AB317">
        <f>SUMPRODUCT((C316:N316&gt;0)*$C$7:$N$7)</f>
        <v/>
      </c>
      <c r="AC317">
        <f>MAX(0,Plan!$C$5-AB317)+IF(A317=Plan!$C$8,N(Plan!$C$7),0)</f>
        <v/>
      </c>
      <c r="AD317">
        <f>SUM(C317:N317)</f>
        <v/>
      </c>
      <c r="AE317">
        <f>SUM(O317:Z317)</f>
        <v/>
      </c>
      <c r="AF317">
        <f>IFERROR(ROUND(1/SUMPRODUCT(MAX((C316:N316&gt;0)*($C$3:$N$3&lt;=B317)*($C$2:$N$2&gt;AA317)/$C$2:$N$2)),0),0)</f>
        <v/>
      </c>
      <c r="AG317">
        <f>MAX(0,AC317-MAX(0,SUMPRODUCT(($C$2:$N$2=AA317)*(AH317:AS317-$C$7:$N$7))))</f>
        <v/>
      </c>
      <c r="AH317">
        <f>IF(C316&lt;=0,0,ROUND(C316*(1+IF(AND(C$6&gt;0,$B317&lt;C$6),C$4,C$5)/12),2))</f>
        <v/>
      </c>
      <c r="AI317">
        <f>IF(D316&lt;=0,0,ROUND(D316*(1+IF(AND(D$6&gt;0,$B317&lt;D$6),D$4,D$5)/12),2))</f>
        <v/>
      </c>
      <c r="AJ317">
        <f>IF(E316&lt;=0,0,ROUND(E316*(1+IF(AND(E$6&gt;0,$B317&lt;E$6),E$4,E$5)/12),2))</f>
        <v/>
      </c>
      <c r="AK317">
        <f>IF(F316&lt;=0,0,ROUND(F316*(1+IF(AND(F$6&gt;0,$B317&lt;F$6),F$4,F$5)/12),2))</f>
        <v/>
      </c>
      <c r="AL317">
        <f>IF(G316&lt;=0,0,ROUND(G316*(1+IF(AND(G$6&gt;0,$B317&lt;G$6),G$4,G$5)/12),2))</f>
        <v/>
      </c>
      <c r="AM317">
        <f>IF(H316&lt;=0,0,ROUND(H316*(1+IF(AND(H$6&gt;0,$B317&lt;H$6),H$4,H$5)/12),2))</f>
        <v/>
      </c>
      <c r="AN317">
        <f>IF(I316&lt;=0,0,ROUND(I316*(1+IF(AND(I$6&gt;0,$B317&lt;I$6),I$4,I$5)/12),2))</f>
        <v/>
      </c>
      <c r="AO317">
        <f>IF(J316&lt;=0,0,ROUND(J316*(1+IF(AND(J$6&gt;0,$B317&lt;J$6),J$4,J$5)/12),2))</f>
        <v/>
      </c>
      <c r="AP317">
        <f>IF(K316&lt;=0,0,ROUND(K316*(1+IF(AND(K$6&gt;0,$B317&lt;K$6),K$4,K$5)/12),2))</f>
        <v/>
      </c>
      <c r="AQ317">
        <f>IF(L316&lt;=0,0,ROUND(L316*(1+IF(AND(L$6&gt;0,$B317&lt;L$6),L$4,L$5)/12),2))</f>
        <v/>
      </c>
      <c r="AR317">
        <f>IF(M316&lt;=0,0,ROUND(M316*(1+IF(AND(M$6&gt;0,$B317&lt;M$6),M$4,M$5)/12),2))</f>
        <v/>
      </c>
      <c r="AS317">
        <f>IF(N316&lt;=0,0,ROUND(N316*(1+IF(AND(N$6&gt;0,$B317&lt;N$6),N$4,N$5)/12),2))</f>
        <v/>
      </c>
    </row>
    <row r="318">
      <c r="A318" t="n">
        <v>307</v>
      </c>
      <c r="B318">
        <f>EDATE(Plan!$C$6,306)</f>
        <v/>
      </c>
      <c r="C318">
        <f>IF(C317&lt;=0,0,MAX(0,AH318-O318))</f>
        <v/>
      </c>
      <c r="D318">
        <f>IF(D317&lt;=0,0,MAX(0,AI318-P318))</f>
        <v/>
      </c>
      <c r="E318">
        <f>IF(E317&lt;=0,0,MAX(0,AJ318-Q318))</f>
        <v/>
      </c>
      <c r="F318">
        <f>IF(F317&lt;=0,0,MAX(0,AK318-R318))</f>
        <v/>
      </c>
      <c r="G318">
        <f>IF(G317&lt;=0,0,MAX(0,AL318-S318))</f>
        <v/>
      </c>
      <c r="H318">
        <f>IF(H317&lt;=0,0,MAX(0,AM318-T318))</f>
        <v/>
      </c>
      <c r="I318">
        <f>IF(I317&lt;=0,0,MAX(0,AN318-U318))</f>
        <v/>
      </c>
      <c r="J318">
        <f>IF(J317&lt;=0,0,MAX(0,AO318-V318))</f>
        <v/>
      </c>
      <c r="K318">
        <f>IF(K317&lt;=0,0,MAX(0,AP318-W318))</f>
        <v/>
      </c>
      <c r="L318">
        <f>IF(L317&lt;=0,0,MAX(0,AQ318-X318))</f>
        <v/>
      </c>
      <c r="M318">
        <f>IF(M317&lt;=0,0,MAX(0,AR318-Y318))</f>
        <v/>
      </c>
      <c r="N318">
        <f>IF(N317&lt;=0,0,MAX(0,AS318-Z318))</f>
        <v/>
      </c>
      <c r="O318">
        <f>IF(C317&lt;=0,0,MIN(AH318,C$7+IF(C$2=$AA318,$AC318,IF(C$2=$AF318,$AG318,0))))</f>
        <v/>
      </c>
      <c r="P318">
        <f>IF(D317&lt;=0,0,MIN(AI318,D$7+IF(D$2=$AA318,$AC318,IF(D$2=$AF318,$AG318,0))))</f>
        <v/>
      </c>
      <c r="Q318">
        <f>IF(E317&lt;=0,0,MIN(AJ318,E$7+IF(E$2=$AA318,$AC318,IF(E$2=$AF318,$AG318,0))))</f>
        <v/>
      </c>
      <c r="R318">
        <f>IF(F317&lt;=0,0,MIN(AK318,F$7+IF(F$2=$AA318,$AC318,IF(F$2=$AF318,$AG318,0))))</f>
        <v/>
      </c>
      <c r="S318">
        <f>IF(G317&lt;=0,0,MIN(AL318,G$7+IF(G$2=$AA318,$AC318,IF(G$2=$AF318,$AG318,0))))</f>
        <v/>
      </c>
      <c r="T318">
        <f>IF(H317&lt;=0,0,MIN(AM318,H$7+IF(H$2=$AA318,$AC318,IF(H$2=$AF318,$AG318,0))))</f>
        <v/>
      </c>
      <c r="U318">
        <f>IF(I317&lt;=0,0,MIN(AN318,I$7+IF(I$2=$AA318,$AC318,IF(I$2=$AF318,$AG318,0))))</f>
        <v/>
      </c>
      <c r="V318">
        <f>IF(J317&lt;=0,0,MIN(AO318,J$7+IF(J$2=$AA318,$AC318,IF(J$2=$AF318,$AG318,0))))</f>
        <v/>
      </c>
      <c r="W318">
        <f>IF(K317&lt;=0,0,MIN(AP318,K$7+IF(K$2=$AA318,$AC318,IF(K$2=$AF318,$AG318,0))))</f>
        <v/>
      </c>
      <c r="X318">
        <f>IF(L317&lt;=0,0,MIN(AQ318,L$7+IF(L$2=$AA318,$AC318,IF(L$2=$AF318,$AG318,0))))</f>
        <v/>
      </c>
      <c r="Y318">
        <f>IF(M317&lt;=0,0,MIN(AR318,M$7+IF(M$2=$AA318,$AC318,IF(M$2=$AF318,$AG318,0))))</f>
        <v/>
      </c>
      <c r="Z318">
        <f>IF(N317&lt;=0,0,MIN(AS318,N$7+IF(N$2=$AA318,$AC318,IF(N$2=$AF318,$AG318,0))))</f>
        <v/>
      </c>
      <c r="AA318">
        <f>IFERROR(ROUND(1/SUMPRODUCT(MAX((C317:N317&gt;0)*($C$3:$N$3&lt;=B318)/$C$2:$N$2)),0),0)</f>
        <v/>
      </c>
      <c r="AB318">
        <f>SUMPRODUCT((C317:N317&gt;0)*$C$7:$N$7)</f>
        <v/>
      </c>
      <c r="AC318">
        <f>MAX(0,Plan!$C$5-AB318)+IF(A318=Plan!$C$8,N(Plan!$C$7),0)</f>
        <v/>
      </c>
      <c r="AD318">
        <f>SUM(C318:N318)</f>
        <v/>
      </c>
      <c r="AE318">
        <f>SUM(O318:Z318)</f>
        <v/>
      </c>
      <c r="AF318">
        <f>IFERROR(ROUND(1/SUMPRODUCT(MAX((C317:N317&gt;0)*($C$3:$N$3&lt;=B318)*($C$2:$N$2&gt;AA318)/$C$2:$N$2)),0),0)</f>
        <v/>
      </c>
      <c r="AG318">
        <f>MAX(0,AC318-MAX(0,SUMPRODUCT(($C$2:$N$2=AA318)*(AH318:AS318-$C$7:$N$7))))</f>
        <v/>
      </c>
      <c r="AH318">
        <f>IF(C317&lt;=0,0,ROUND(C317*(1+IF(AND(C$6&gt;0,$B318&lt;C$6),C$4,C$5)/12),2))</f>
        <v/>
      </c>
      <c r="AI318">
        <f>IF(D317&lt;=0,0,ROUND(D317*(1+IF(AND(D$6&gt;0,$B318&lt;D$6),D$4,D$5)/12),2))</f>
        <v/>
      </c>
      <c r="AJ318">
        <f>IF(E317&lt;=0,0,ROUND(E317*(1+IF(AND(E$6&gt;0,$B318&lt;E$6),E$4,E$5)/12),2))</f>
        <v/>
      </c>
      <c r="AK318">
        <f>IF(F317&lt;=0,0,ROUND(F317*(1+IF(AND(F$6&gt;0,$B318&lt;F$6),F$4,F$5)/12),2))</f>
        <v/>
      </c>
      <c r="AL318">
        <f>IF(G317&lt;=0,0,ROUND(G317*(1+IF(AND(G$6&gt;0,$B318&lt;G$6),G$4,G$5)/12),2))</f>
        <v/>
      </c>
      <c r="AM318">
        <f>IF(H317&lt;=0,0,ROUND(H317*(1+IF(AND(H$6&gt;0,$B318&lt;H$6),H$4,H$5)/12),2))</f>
        <v/>
      </c>
      <c r="AN318">
        <f>IF(I317&lt;=0,0,ROUND(I317*(1+IF(AND(I$6&gt;0,$B318&lt;I$6),I$4,I$5)/12),2))</f>
        <v/>
      </c>
      <c r="AO318">
        <f>IF(J317&lt;=0,0,ROUND(J317*(1+IF(AND(J$6&gt;0,$B318&lt;J$6),J$4,J$5)/12),2))</f>
        <v/>
      </c>
      <c r="AP318">
        <f>IF(K317&lt;=0,0,ROUND(K317*(1+IF(AND(K$6&gt;0,$B318&lt;K$6),K$4,K$5)/12),2))</f>
        <v/>
      </c>
      <c r="AQ318">
        <f>IF(L317&lt;=0,0,ROUND(L317*(1+IF(AND(L$6&gt;0,$B318&lt;L$6),L$4,L$5)/12),2))</f>
        <v/>
      </c>
      <c r="AR318">
        <f>IF(M317&lt;=0,0,ROUND(M317*(1+IF(AND(M$6&gt;0,$B318&lt;M$6),M$4,M$5)/12),2))</f>
        <v/>
      </c>
      <c r="AS318">
        <f>IF(N317&lt;=0,0,ROUND(N317*(1+IF(AND(N$6&gt;0,$B318&lt;N$6),N$4,N$5)/12),2))</f>
        <v/>
      </c>
    </row>
    <row r="319">
      <c r="A319" t="n">
        <v>308</v>
      </c>
      <c r="B319">
        <f>EDATE(Plan!$C$6,307)</f>
        <v/>
      </c>
      <c r="C319">
        <f>IF(C318&lt;=0,0,MAX(0,AH319-O319))</f>
        <v/>
      </c>
      <c r="D319">
        <f>IF(D318&lt;=0,0,MAX(0,AI319-P319))</f>
        <v/>
      </c>
      <c r="E319">
        <f>IF(E318&lt;=0,0,MAX(0,AJ319-Q319))</f>
        <v/>
      </c>
      <c r="F319">
        <f>IF(F318&lt;=0,0,MAX(0,AK319-R319))</f>
        <v/>
      </c>
      <c r="G319">
        <f>IF(G318&lt;=0,0,MAX(0,AL319-S319))</f>
        <v/>
      </c>
      <c r="H319">
        <f>IF(H318&lt;=0,0,MAX(0,AM319-T319))</f>
        <v/>
      </c>
      <c r="I319">
        <f>IF(I318&lt;=0,0,MAX(0,AN319-U319))</f>
        <v/>
      </c>
      <c r="J319">
        <f>IF(J318&lt;=0,0,MAX(0,AO319-V319))</f>
        <v/>
      </c>
      <c r="K319">
        <f>IF(K318&lt;=0,0,MAX(0,AP319-W319))</f>
        <v/>
      </c>
      <c r="L319">
        <f>IF(L318&lt;=0,0,MAX(0,AQ319-X319))</f>
        <v/>
      </c>
      <c r="M319">
        <f>IF(M318&lt;=0,0,MAX(0,AR319-Y319))</f>
        <v/>
      </c>
      <c r="N319">
        <f>IF(N318&lt;=0,0,MAX(0,AS319-Z319))</f>
        <v/>
      </c>
      <c r="O319">
        <f>IF(C318&lt;=0,0,MIN(AH319,C$7+IF(C$2=$AA319,$AC319,IF(C$2=$AF319,$AG319,0))))</f>
        <v/>
      </c>
      <c r="P319">
        <f>IF(D318&lt;=0,0,MIN(AI319,D$7+IF(D$2=$AA319,$AC319,IF(D$2=$AF319,$AG319,0))))</f>
        <v/>
      </c>
      <c r="Q319">
        <f>IF(E318&lt;=0,0,MIN(AJ319,E$7+IF(E$2=$AA319,$AC319,IF(E$2=$AF319,$AG319,0))))</f>
        <v/>
      </c>
      <c r="R319">
        <f>IF(F318&lt;=0,0,MIN(AK319,F$7+IF(F$2=$AA319,$AC319,IF(F$2=$AF319,$AG319,0))))</f>
        <v/>
      </c>
      <c r="S319">
        <f>IF(G318&lt;=0,0,MIN(AL319,G$7+IF(G$2=$AA319,$AC319,IF(G$2=$AF319,$AG319,0))))</f>
        <v/>
      </c>
      <c r="T319">
        <f>IF(H318&lt;=0,0,MIN(AM319,H$7+IF(H$2=$AA319,$AC319,IF(H$2=$AF319,$AG319,0))))</f>
        <v/>
      </c>
      <c r="U319">
        <f>IF(I318&lt;=0,0,MIN(AN319,I$7+IF(I$2=$AA319,$AC319,IF(I$2=$AF319,$AG319,0))))</f>
        <v/>
      </c>
      <c r="V319">
        <f>IF(J318&lt;=0,0,MIN(AO319,J$7+IF(J$2=$AA319,$AC319,IF(J$2=$AF319,$AG319,0))))</f>
        <v/>
      </c>
      <c r="W319">
        <f>IF(K318&lt;=0,0,MIN(AP319,K$7+IF(K$2=$AA319,$AC319,IF(K$2=$AF319,$AG319,0))))</f>
        <v/>
      </c>
      <c r="X319">
        <f>IF(L318&lt;=0,0,MIN(AQ319,L$7+IF(L$2=$AA319,$AC319,IF(L$2=$AF319,$AG319,0))))</f>
        <v/>
      </c>
      <c r="Y319">
        <f>IF(M318&lt;=0,0,MIN(AR319,M$7+IF(M$2=$AA319,$AC319,IF(M$2=$AF319,$AG319,0))))</f>
        <v/>
      </c>
      <c r="Z319">
        <f>IF(N318&lt;=0,0,MIN(AS319,N$7+IF(N$2=$AA319,$AC319,IF(N$2=$AF319,$AG319,0))))</f>
        <v/>
      </c>
      <c r="AA319">
        <f>IFERROR(ROUND(1/SUMPRODUCT(MAX((C318:N318&gt;0)*($C$3:$N$3&lt;=B319)/$C$2:$N$2)),0),0)</f>
        <v/>
      </c>
      <c r="AB319">
        <f>SUMPRODUCT((C318:N318&gt;0)*$C$7:$N$7)</f>
        <v/>
      </c>
      <c r="AC319">
        <f>MAX(0,Plan!$C$5-AB319)+IF(A319=Plan!$C$8,N(Plan!$C$7),0)</f>
        <v/>
      </c>
      <c r="AD319">
        <f>SUM(C319:N319)</f>
        <v/>
      </c>
      <c r="AE319">
        <f>SUM(O319:Z319)</f>
        <v/>
      </c>
      <c r="AF319">
        <f>IFERROR(ROUND(1/SUMPRODUCT(MAX((C318:N318&gt;0)*($C$3:$N$3&lt;=B319)*($C$2:$N$2&gt;AA319)/$C$2:$N$2)),0),0)</f>
        <v/>
      </c>
      <c r="AG319">
        <f>MAX(0,AC319-MAX(0,SUMPRODUCT(($C$2:$N$2=AA319)*(AH319:AS319-$C$7:$N$7))))</f>
        <v/>
      </c>
      <c r="AH319">
        <f>IF(C318&lt;=0,0,ROUND(C318*(1+IF(AND(C$6&gt;0,$B319&lt;C$6),C$4,C$5)/12),2))</f>
        <v/>
      </c>
      <c r="AI319">
        <f>IF(D318&lt;=0,0,ROUND(D318*(1+IF(AND(D$6&gt;0,$B319&lt;D$6),D$4,D$5)/12),2))</f>
        <v/>
      </c>
      <c r="AJ319">
        <f>IF(E318&lt;=0,0,ROUND(E318*(1+IF(AND(E$6&gt;0,$B319&lt;E$6),E$4,E$5)/12),2))</f>
        <v/>
      </c>
      <c r="AK319">
        <f>IF(F318&lt;=0,0,ROUND(F318*(1+IF(AND(F$6&gt;0,$B319&lt;F$6),F$4,F$5)/12),2))</f>
        <v/>
      </c>
      <c r="AL319">
        <f>IF(G318&lt;=0,0,ROUND(G318*(1+IF(AND(G$6&gt;0,$B319&lt;G$6),G$4,G$5)/12),2))</f>
        <v/>
      </c>
      <c r="AM319">
        <f>IF(H318&lt;=0,0,ROUND(H318*(1+IF(AND(H$6&gt;0,$B319&lt;H$6),H$4,H$5)/12),2))</f>
        <v/>
      </c>
      <c r="AN319">
        <f>IF(I318&lt;=0,0,ROUND(I318*(1+IF(AND(I$6&gt;0,$B319&lt;I$6),I$4,I$5)/12),2))</f>
        <v/>
      </c>
      <c r="AO319">
        <f>IF(J318&lt;=0,0,ROUND(J318*(1+IF(AND(J$6&gt;0,$B319&lt;J$6),J$4,J$5)/12),2))</f>
        <v/>
      </c>
      <c r="AP319">
        <f>IF(K318&lt;=0,0,ROUND(K318*(1+IF(AND(K$6&gt;0,$B319&lt;K$6),K$4,K$5)/12),2))</f>
        <v/>
      </c>
      <c r="AQ319">
        <f>IF(L318&lt;=0,0,ROUND(L318*(1+IF(AND(L$6&gt;0,$B319&lt;L$6),L$4,L$5)/12),2))</f>
        <v/>
      </c>
      <c r="AR319">
        <f>IF(M318&lt;=0,0,ROUND(M318*(1+IF(AND(M$6&gt;0,$B319&lt;M$6),M$4,M$5)/12),2))</f>
        <v/>
      </c>
      <c r="AS319">
        <f>IF(N318&lt;=0,0,ROUND(N318*(1+IF(AND(N$6&gt;0,$B319&lt;N$6),N$4,N$5)/12),2))</f>
        <v/>
      </c>
    </row>
    <row r="320">
      <c r="A320" t="n">
        <v>309</v>
      </c>
      <c r="B320">
        <f>EDATE(Plan!$C$6,308)</f>
        <v/>
      </c>
      <c r="C320">
        <f>IF(C319&lt;=0,0,MAX(0,AH320-O320))</f>
        <v/>
      </c>
      <c r="D320">
        <f>IF(D319&lt;=0,0,MAX(0,AI320-P320))</f>
        <v/>
      </c>
      <c r="E320">
        <f>IF(E319&lt;=0,0,MAX(0,AJ320-Q320))</f>
        <v/>
      </c>
      <c r="F320">
        <f>IF(F319&lt;=0,0,MAX(0,AK320-R320))</f>
        <v/>
      </c>
      <c r="G320">
        <f>IF(G319&lt;=0,0,MAX(0,AL320-S320))</f>
        <v/>
      </c>
      <c r="H320">
        <f>IF(H319&lt;=0,0,MAX(0,AM320-T320))</f>
        <v/>
      </c>
      <c r="I320">
        <f>IF(I319&lt;=0,0,MAX(0,AN320-U320))</f>
        <v/>
      </c>
      <c r="J320">
        <f>IF(J319&lt;=0,0,MAX(0,AO320-V320))</f>
        <v/>
      </c>
      <c r="K320">
        <f>IF(K319&lt;=0,0,MAX(0,AP320-W320))</f>
        <v/>
      </c>
      <c r="L320">
        <f>IF(L319&lt;=0,0,MAX(0,AQ320-X320))</f>
        <v/>
      </c>
      <c r="M320">
        <f>IF(M319&lt;=0,0,MAX(0,AR320-Y320))</f>
        <v/>
      </c>
      <c r="N320">
        <f>IF(N319&lt;=0,0,MAX(0,AS320-Z320))</f>
        <v/>
      </c>
      <c r="O320">
        <f>IF(C319&lt;=0,0,MIN(AH320,C$7+IF(C$2=$AA320,$AC320,IF(C$2=$AF320,$AG320,0))))</f>
        <v/>
      </c>
      <c r="P320">
        <f>IF(D319&lt;=0,0,MIN(AI320,D$7+IF(D$2=$AA320,$AC320,IF(D$2=$AF320,$AG320,0))))</f>
        <v/>
      </c>
      <c r="Q320">
        <f>IF(E319&lt;=0,0,MIN(AJ320,E$7+IF(E$2=$AA320,$AC320,IF(E$2=$AF320,$AG320,0))))</f>
        <v/>
      </c>
      <c r="R320">
        <f>IF(F319&lt;=0,0,MIN(AK320,F$7+IF(F$2=$AA320,$AC320,IF(F$2=$AF320,$AG320,0))))</f>
        <v/>
      </c>
      <c r="S320">
        <f>IF(G319&lt;=0,0,MIN(AL320,G$7+IF(G$2=$AA320,$AC320,IF(G$2=$AF320,$AG320,0))))</f>
        <v/>
      </c>
      <c r="T320">
        <f>IF(H319&lt;=0,0,MIN(AM320,H$7+IF(H$2=$AA320,$AC320,IF(H$2=$AF320,$AG320,0))))</f>
        <v/>
      </c>
      <c r="U320">
        <f>IF(I319&lt;=0,0,MIN(AN320,I$7+IF(I$2=$AA320,$AC320,IF(I$2=$AF320,$AG320,0))))</f>
        <v/>
      </c>
      <c r="V320">
        <f>IF(J319&lt;=0,0,MIN(AO320,J$7+IF(J$2=$AA320,$AC320,IF(J$2=$AF320,$AG320,0))))</f>
        <v/>
      </c>
      <c r="W320">
        <f>IF(K319&lt;=0,0,MIN(AP320,K$7+IF(K$2=$AA320,$AC320,IF(K$2=$AF320,$AG320,0))))</f>
        <v/>
      </c>
      <c r="X320">
        <f>IF(L319&lt;=0,0,MIN(AQ320,L$7+IF(L$2=$AA320,$AC320,IF(L$2=$AF320,$AG320,0))))</f>
        <v/>
      </c>
      <c r="Y320">
        <f>IF(M319&lt;=0,0,MIN(AR320,M$7+IF(M$2=$AA320,$AC320,IF(M$2=$AF320,$AG320,0))))</f>
        <v/>
      </c>
      <c r="Z320">
        <f>IF(N319&lt;=0,0,MIN(AS320,N$7+IF(N$2=$AA320,$AC320,IF(N$2=$AF320,$AG320,0))))</f>
        <v/>
      </c>
      <c r="AA320">
        <f>IFERROR(ROUND(1/SUMPRODUCT(MAX((C319:N319&gt;0)*($C$3:$N$3&lt;=B320)/$C$2:$N$2)),0),0)</f>
        <v/>
      </c>
      <c r="AB320">
        <f>SUMPRODUCT((C319:N319&gt;0)*$C$7:$N$7)</f>
        <v/>
      </c>
      <c r="AC320">
        <f>MAX(0,Plan!$C$5-AB320)+IF(A320=Plan!$C$8,N(Plan!$C$7),0)</f>
        <v/>
      </c>
      <c r="AD320">
        <f>SUM(C320:N320)</f>
        <v/>
      </c>
      <c r="AE320">
        <f>SUM(O320:Z320)</f>
        <v/>
      </c>
      <c r="AF320">
        <f>IFERROR(ROUND(1/SUMPRODUCT(MAX((C319:N319&gt;0)*($C$3:$N$3&lt;=B320)*($C$2:$N$2&gt;AA320)/$C$2:$N$2)),0),0)</f>
        <v/>
      </c>
      <c r="AG320">
        <f>MAX(0,AC320-MAX(0,SUMPRODUCT(($C$2:$N$2=AA320)*(AH320:AS320-$C$7:$N$7))))</f>
        <v/>
      </c>
      <c r="AH320">
        <f>IF(C319&lt;=0,0,ROUND(C319*(1+IF(AND(C$6&gt;0,$B320&lt;C$6),C$4,C$5)/12),2))</f>
        <v/>
      </c>
      <c r="AI320">
        <f>IF(D319&lt;=0,0,ROUND(D319*(1+IF(AND(D$6&gt;0,$B320&lt;D$6),D$4,D$5)/12),2))</f>
        <v/>
      </c>
      <c r="AJ320">
        <f>IF(E319&lt;=0,0,ROUND(E319*(1+IF(AND(E$6&gt;0,$B320&lt;E$6),E$4,E$5)/12),2))</f>
        <v/>
      </c>
      <c r="AK320">
        <f>IF(F319&lt;=0,0,ROUND(F319*(1+IF(AND(F$6&gt;0,$B320&lt;F$6),F$4,F$5)/12),2))</f>
        <v/>
      </c>
      <c r="AL320">
        <f>IF(G319&lt;=0,0,ROUND(G319*(1+IF(AND(G$6&gt;0,$B320&lt;G$6),G$4,G$5)/12),2))</f>
        <v/>
      </c>
      <c r="AM320">
        <f>IF(H319&lt;=0,0,ROUND(H319*(1+IF(AND(H$6&gt;0,$B320&lt;H$6),H$4,H$5)/12),2))</f>
        <v/>
      </c>
      <c r="AN320">
        <f>IF(I319&lt;=0,0,ROUND(I319*(1+IF(AND(I$6&gt;0,$B320&lt;I$6),I$4,I$5)/12),2))</f>
        <v/>
      </c>
      <c r="AO320">
        <f>IF(J319&lt;=0,0,ROUND(J319*(1+IF(AND(J$6&gt;0,$B320&lt;J$6),J$4,J$5)/12),2))</f>
        <v/>
      </c>
      <c r="AP320">
        <f>IF(K319&lt;=0,0,ROUND(K319*(1+IF(AND(K$6&gt;0,$B320&lt;K$6),K$4,K$5)/12),2))</f>
        <v/>
      </c>
      <c r="AQ320">
        <f>IF(L319&lt;=0,0,ROUND(L319*(1+IF(AND(L$6&gt;0,$B320&lt;L$6),L$4,L$5)/12),2))</f>
        <v/>
      </c>
      <c r="AR320">
        <f>IF(M319&lt;=0,0,ROUND(M319*(1+IF(AND(M$6&gt;0,$B320&lt;M$6),M$4,M$5)/12),2))</f>
        <v/>
      </c>
      <c r="AS320">
        <f>IF(N319&lt;=0,0,ROUND(N319*(1+IF(AND(N$6&gt;0,$B320&lt;N$6),N$4,N$5)/12),2))</f>
        <v/>
      </c>
    </row>
    <row r="321">
      <c r="A321" t="n">
        <v>310</v>
      </c>
      <c r="B321">
        <f>EDATE(Plan!$C$6,309)</f>
        <v/>
      </c>
      <c r="C321">
        <f>IF(C320&lt;=0,0,MAX(0,AH321-O321))</f>
        <v/>
      </c>
      <c r="D321">
        <f>IF(D320&lt;=0,0,MAX(0,AI321-P321))</f>
        <v/>
      </c>
      <c r="E321">
        <f>IF(E320&lt;=0,0,MAX(0,AJ321-Q321))</f>
        <v/>
      </c>
      <c r="F321">
        <f>IF(F320&lt;=0,0,MAX(0,AK321-R321))</f>
        <v/>
      </c>
      <c r="G321">
        <f>IF(G320&lt;=0,0,MAX(0,AL321-S321))</f>
        <v/>
      </c>
      <c r="H321">
        <f>IF(H320&lt;=0,0,MAX(0,AM321-T321))</f>
        <v/>
      </c>
      <c r="I321">
        <f>IF(I320&lt;=0,0,MAX(0,AN321-U321))</f>
        <v/>
      </c>
      <c r="J321">
        <f>IF(J320&lt;=0,0,MAX(0,AO321-V321))</f>
        <v/>
      </c>
      <c r="K321">
        <f>IF(K320&lt;=0,0,MAX(0,AP321-W321))</f>
        <v/>
      </c>
      <c r="L321">
        <f>IF(L320&lt;=0,0,MAX(0,AQ321-X321))</f>
        <v/>
      </c>
      <c r="M321">
        <f>IF(M320&lt;=0,0,MAX(0,AR321-Y321))</f>
        <v/>
      </c>
      <c r="N321">
        <f>IF(N320&lt;=0,0,MAX(0,AS321-Z321))</f>
        <v/>
      </c>
      <c r="O321">
        <f>IF(C320&lt;=0,0,MIN(AH321,C$7+IF(C$2=$AA321,$AC321,IF(C$2=$AF321,$AG321,0))))</f>
        <v/>
      </c>
      <c r="P321">
        <f>IF(D320&lt;=0,0,MIN(AI321,D$7+IF(D$2=$AA321,$AC321,IF(D$2=$AF321,$AG321,0))))</f>
        <v/>
      </c>
      <c r="Q321">
        <f>IF(E320&lt;=0,0,MIN(AJ321,E$7+IF(E$2=$AA321,$AC321,IF(E$2=$AF321,$AG321,0))))</f>
        <v/>
      </c>
      <c r="R321">
        <f>IF(F320&lt;=0,0,MIN(AK321,F$7+IF(F$2=$AA321,$AC321,IF(F$2=$AF321,$AG321,0))))</f>
        <v/>
      </c>
      <c r="S321">
        <f>IF(G320&lt;=0,0,MIN(AL321,G$7+IF(G$2=$AA321,$AC321,IF(G$2=$AF321,$AG321,0))))</f>
        <v/>
      </c>
      <c r="T321">
        <f>IF(H320&lt;=0,0,MIN(AM321,H$7+IF(H$2=$AA321,$AC321,IF(H$2=$AF321,$AG321,0))))</f>
        <v/>
      </c>
      <c r="U321">
        <f>IF(I320&lt;=0,0,MIN(AN321,I$7+IF(I$2=$AA321,$AC321,IF(I$2=$AF321,$AG321,0))))</f>
        <v/>
      </c>
      <c r="V321">
        <f>IF(J320&lt;=0,0,MIN(AO321,J$7+IF(J$2=$AA321,$AC321,IF(J$2=$AF321,$AG321,0))))</f>
        <v/>
      </c>
      <c r="W321">
        <f>IF(K320&lt;=0,0,MIN(AP321,K$7+IF(K$2=$AA321,$AC321,IF(K$2=$AF321,$AG321,0))))</f>
        <v/>
      </c>
      <c r="X321">
        <f>IF(L320&lt;=0,0,MIN(AQ321,L$7+IF(L$2=$AA321,$AC321,IF(L$2=$AF321,$AG321,0))))</f>
        <v/>
      </c>
      <c r="Y321">
        <f>IF(M320&lt;=0,0,MIN(AR321,M$7+IF(M$2=$AA321,$AC321,IF(M$2=$AF321,$AG321,0))))</f>
        <v/>
      </c>
      <c r="Z321">
        <f>IF(N320&lt;=0,0,MIN(AS321,N$7+IF(N$2=$AA321,$AC321,IF(N$2=$AF321,$AG321,0))))</f>
        <v/>
      </c>
      <c r="AA321">
        <f>IFERROR(ROUND(1/SUMPRODUCT(MAX((C320:N320&gt;0)*($C$3:$N$3&lt;=B321)/$C$2:$N$2)),0),0)</f>
        <v/>
      </c>
      <c r="AB321">
        <f>SUMPRODUCT((C320:N320&gt;0)*$C$7:$N$7)</f>
        <v/>
      </c>
      <c r="AC321">
        <f>MAX(0,Plan!$C$5-AB321)+IF(A321=Plan!$C$8,N(Plan!$C$7),0)</f>
        <v/>
      </c>
      <c r="AD321">
        <f>SUM(C321:N321)</f>
        <v/>
      </c>
      <c r="AE321">
        <f>SUM(O321:Z321)</f>
        <v/>
      </c>
      <c r="AF321">
        <f>IFERROR(ROUND(1/SUMPRODUCT(MAX((C320:N320&gt;0)*($C$3:$N$3&lt;=B321)*($C$2:$N$2&gt;AA321)/$C$2:$N$2)),0),0)</f>
        <v/>
      </c>
      <c r="AG321">
        <f>MAX(0,AC321-MAX(0,SUMPRODUCT(($C$2:$N$2=AA321)*(AH321:AS321-$C$7:$N$7))))</f>
        <v/>
      </c>
      <c r="AH321">
        <f>IF(C320&lt;=0,0,ROUND(C320*(1+IF(AND(C$6&gt;0,$B321&lt;C$6),C$4,C$5)/12),2))</f>
        <v/>
      </c>
      <c r="AI321">
        <f>IF(D320&lt;=0,0,ROUND(D320*(1+IF(AND(D$6&gt;0,$B321&lt;D$6),D$4,D$5)/12),2))</f>
        <v/>
      </c>
      <c r="AJ321">
        <f>IF(E320&lt;=0,0,ROUND(E320*(1+IF(AND(E$6&gt;0,$B321&lt;E$6),E$4,E$5)/12),2))</f>
        <v/>
      </c>
      <c r="AK321">
        <f>IF(F320&lt;=0,0,ROUND(F320*(1+IF(AND(F$6&gt;0,$B321&lt;F$6),F$4,F$5)/12),2))</f>
        <v/>
      </c>
      <c r="AL321">
        <f>IF(G320&lt;=0,0,ROUND(G320*(1+IF(AND(G$6&gt;0,$B321&lt;G$6),G$4,G$5)/12),2))</f>
        <v/>
      </c>
      <c r="AM321">
        <f>IF(H320&lt;=0,0,ROUND(H320*(1+IF(AND(H$6&gt;0,$B321&lt;H$6),H$4,H$5)/12),2))</f>
        <v/>
      </c>
      <c r="AN321">
        <f>IF(I320&lt;=0,0,ROUND(I320*(1+IF(AND(I$6&gt;0,$B321&lt;I$6),I$4,I$5)/12),2))</f>
        <v/>
      </c>
      <c r="AO321">
        <f>IF(J320&lt;=0,0,ROUND(J320*(1+IF(AND(J$6&gt;0,$B321&lt;J$6),J$4,J$5)/12),2))</f>
        <v/>
      </c>
      <c r="AP321">
        <f>IF(K320&lt;=0,0,ROUND(K320*(1+IF(AND(K$6&gt;0,$B321&lt;K$6),K$4,K$5)/12),2))</f>
        <v/>
      </c>
      <c r="AQ321">
        <f>IF(L320&lt;=0,0,ROUND(L320*(1+IF(AND(L$6&gt;0,$B321&lt;L$6),L$4,L$5)/12),2))</f>
        <v/>
      </c>
      <c r="AR321">
        <f>IF(M320&lt;=0,0,ROUND(M320*(1+IF(AND(M$6&gt;0,$B321&lt;M$6),M$4,M$5)/12),2))</f>
        <v/>
      </c>
      <c r="AS321">
        <f>IF(N320&lt;=0,0,ROUND(N320*(1+IF(AND(N$6&gt;0,$B321&lt;N$6),N$4,N$5)/12),2))</f>
        <v/>
      </c>
    </row>
    <row r="322">
      <c r="A322" t="n">
        <v>311</v>
      </c>
      <c r="B322">
        <f>EDATE(Plan!$C$6,310)</f>
        <v/>
      </c>
      <c r="C322">
        <f>IF(C321&lt;=0,0,MAX(0,AH322-O322))</f>
        <v/>
      </c>
      <c r="D322">
        <f>IF(D321&lt;=0,0,MAX(0,AI322-P322))</f>
        <v/>
      </c>
      <c r="E322">
        <f>IF(E321&lt;=0,0,MAX(0,AJ322-Q322))</f>
        <v/>
      </c>
      <c r="F322">
        <f>IF(F321&lt;=0,0,MAX(0,AK322-R322))</f>
        <v/>
      </c>
      <c r="G322">
        <f>IF(G321&lt;=0,0,MAX(0,AL322-S322))</f>
        <v/>
      </c>
      <c r="H322">
        <f>IF(H321&lt;=0,0,MAX(0,AM322-T322))</f>
        <v/>
      </c>
      <c r="I322">
        <f>IF(I321&lt;=0,0,MAX(0,AN322-U322))</f>
        <v/>
      </c>
      <c r="J322">
        <f>IF(J321&lt;=0,0,MAX(0,AO322-V322))</f>
        <v/>
      </c>
      <c r="K322">
        <f>IF(K321&lt;=0,0,MAX(0,AP322-W322))</f>
        <v/>
      </c>
      <c r="L322">
        <f>IF(L321&lt;=0,0,MAX(0,AQ322-X322))</f>
        <v/>
      </c>
      <c r="M322">
        <f>IF(M321&lt;=0,0,MAX(0,AR322-Y322))</f>
        <v/>
      </c>
      <c r="N322">
        <f>IF(N321&lt;=0,0,MAX(0,AS322-Z322))</f>
        <v/>
      </c>
      <c r="O322">
        <f>IF(C321&lt;=0,0,MIN(AH322,C$7+IF(C$2=$AA322,$AC322,IF(C$2=$AF322,$AG322,0))))</f>
        <v/>
      </c>
      <c r="P322">
        <f>IF(D321&lt;=0,0,MIN(AI322,D$7+IF(D$2=$AA322,$AC322,IF(D$2=$AF322,$AG322,0))))</f>
        <v/>
      </c>
      <c r="Q322">
        <f>IF(E321&lt;=0,0,MIN(AJ322,E$7+IF(E$2=$AA322,$AC322,IF(E$2=$AF322,$AG322,0))))</f>
        <v/>
      </c>
      <c r="R322">
        <f>IF(F321&lt;=0,0,MIN(AK322,F$7+IF(F$2=$AA322,$AC322,IF(F$2=$AF322,$AG322,0))))</f>
        <v/>
      </c>
      <c r="S322">
        <f>IF(G321&lt;=0,0,MIN(AL322,G$7+IF(G$2=$AA322,$AC322,IF(G$2=$AF322,$AG322,0))))</f>
        <v/>
      </c>
      <c r="T322">
        <f>IF(H321&lt;=0,0,MIN(AM322,H$7+IF(H$2=$AA322,$AC322,IF(H$2=$AF322,$AG322,0))))</f>
        <v/>
      </c>
      <c r="U322">
        <f>IF(I321&lt;=0,0,MIN(AN322,I$7+IF(I$2=$AA322,$AC322,IF(I$2=$AF322,$AG322,0))))</f>
        <v/>
      </c>
      <c r="V322">
        <f>IF(J321&lt;=0,0,MIN(AO322,J$7+IF(J$2=$AA322,$AC322,IF(J$2=$AF322,$AG322,0))))</f>
        <v/>
      </c>
      <c r="W322">
        <f>IF(K321&lt;=0,0,MIN(AP322,K$7+IF(K$2=$AA322,$AC322,IF(K$2=$AF322,$AG322,0))))</f>
        <v/>
      </c>
      <c r="X322">
        <f>IF(L321&lt;=0,0,MIN(AQ322,L$7+IF(L$2=$AA322,$AC322,IF(L$2=$AF322,$AG322,0))))</f>
        <v/>
      </c>
      <c r="Y322">
        <f>IF(M321&lt;=0,0,MIN(AR322,M$7+IF(M$2=$AA322,$AC322,IF(M$2=$AF322,$AG322,0))))</f>
        <v/>
      </c>
      <c r="Z322">
        <f>IF(N321&lt;=0,0,MIN(AS322,N$7+IF(N$2=$AA322,$AC322,IF(N$2=$AF322,$AG322,0))))</f>
        <v/>
      </c>
      <c r="AA322">
        <f>IFERROR(ROUND(1/SUMPRODUCT(MAX((C321:N321&gt;0)*($C$3:$N$3&lt;=B322)/$C$2:$N$2)),0),0)</f>
        <v/>
      </c>
      <c r="AB322">
        <f>SUMPRODUCT((C321:N321&gt;0)*$C$7:$N$7)</f>
        <v/>
      </c>
      <c r="AC322">
        <f>MAX(0,Plan!$C$5-AB322)+IF(A322=Plan!$C$8,N(Plan!$C$7),0)</f>
        <v/>
      </c>
      <c r="AD322">
        <f>SUM(C322:N322)</f>
        <v/>
      </c>
      <c r="AE322">
        <f>SUM(O322:Z322)</f>
        <v/>
      </c>
      <c r="AF322">
        <f>IFERROR(ROUND(1/SUMPRODUCT(MAX((C321:N321&gt;0)*($C$3:$N$3&lt;=B322)*($C$2:$N$2&gt;AA322)/$C$2:$N$2)),0),0)</f>
        <v/>
      </c>
      <c r="AG322">
        <f>MAX(0,AC322-MAX(0,SUMPRODUCT(($C$2:$N$2=AA322)*(AH322:AS322-$C$7:$N$7))))</f>
        <v/>
      </c>
      <c r="AH322">
        <f>IF(C321&lt;=0,0,ROUND(C321*(1+IF(AND(C$6&gt;0,$B322&lt;C$6),C$4,C$5)/12),2))</f>
        <v/>
      </c>
      <c r="AI322">
        <f>IF(D321&lt;=0,0,ROUND(D321*(1+IF(AND(D$6&gt;0,$B322&lt;D$6),D$4,D$5)/12),2))</f>
        <v/>
      </c>
      <c r="AJ322">
        <f>IF(E321&lt;=0,0,ROUND(E321*(1+IF(AND(E$6&gt;0,$B322&lt;E$6),E$4,E$5)/12),2))</f>
        <v/>
      </c>
      <c r="AK322">
        <f>IF(F321&lt;=0,0,ROUND(F321*(1+IF(AND(F$6&gt;0,$B322&lt;F$6),F$4,F$5)/12),2))</f>
        <v/>
      </c>
      <c r="AL322">
        <f>IF(G321&lt;=0,0,ROUND(G321*(1+IF(AND(G$6&gt;0,$B322&lt;G$6),G$4,G$5)/12),2))</f>
        <v/>
      </c>
      <c r="AM322">
        <f>IF(H321&lt;=0,0,ROUND(H321*(1+IF(AND(H$6&gt;0,$B322&lt;H$6),H$4,H$5)/12),2))</f>
        <v/>
      </c>
      <c r="AN322">
        <f>IF(I321&lt;=0,0,ROUND(I321*(1+IF(AND(I$6&gt;0,$B322&lt;I$6),I$4,I$5)/12),2))</f>
        <v/>
      </c>
      <c r="AO322">
        <f>IF(J321&lt;=0,0,ROUND(J321*(1+IF(AND(J$6&gt;0,$B322&lt;J$6),J$4,J$5)/12),2))</f>
        <v/>
      </c>
      <c r="AP322">
        <f>IF(K321&lt;=0,0,ROUND(K321*(1+IF(AND(K$6&gt;0,$B322&lt;K$6),K$4,K$5)/12),2))</f>
        <v/>
      </c>
      <c r="AQ322">
        <f>IF(L321&lt;=0,0,ROUND(L321*(1+IF(AND(L$6&gt;0,$B322&lt;L$6),L$4,L$5)/12),2))</f>
        <v/>
      </c>
      <c r="AR322">
        <f>IF(M321&lt;=0,0,ROUND(M321*(1+IF(AND(M$6&gt;0,$B322&lt;M$6),M$4,M$5)/12),2))</f>
        <v/>
      </c>
      <c r="AS322">
        <f>IF(N321&lt;=0,0,ROUND(N321*(1+IF(AND(N$6&gt;0,$B322&lt;N$6),N$4,N$5)/12),2))</f>
        <v/>
      </c>
    </row>
    <row r="323">
      <c r="A323" t="n">
        <v>312</v>
      </c>
      <c r="B323">
        <f>EDATE(Plan!$C$6,311)</f>
        <v/>
      </c>
      <c r="C323">
        <f>IF(C322&lt;=0,0,MAX(0,AH323-O323))</f>
        <v/>
      </c>
      <c r="D323">
        <f>IF(D322&lt;=0,0,MAX(0,AI323-P323))</f>
        <v/>
      </c>
      <c r="E323">
        <f>IF(E322&lt;=0,0,MAX(0,AJ323-Q323))</f>
        <v/>
      </c>
      <c r="F323">
        <f>IF(F322&lt;=0,0,MAX(0,AK323-R323))</f>
        <v/>
      </c>
      <c r="G323">
        <f>IF(G322&lt;=0,0,MAX(0,AL323-S323))</f>
        <v/>
      </c>
      <c r="H323">
        <f>IF(H322&lt;=0,0,MAX(0,AM323-T323))</f>
        <v/>
      </c>
      <c r="I323">
        <f>IF(I322&lt;=0,0,MAX(0,AN323-U323))</f>
        <v/>
      </c>
      <c r="J323">
        <f>IF(J322&lt;=0,0,MAX(0,AO323-V323))</f>
        <v/>
      </c>
      <c r="K323">
        <f>IF(K322&lt;=0,0,MAX(0,AP323-W323))</f>
        <v/>
      </c>
      <c r="L323">
        <f>IF(L322&lt;=0,0,MAX(0,AQ323-X323))</f>
        <v/>
      </c>
      <c r="M323">
        <f>IF(M322&lt;=0,0,MAX(0,AR323-Y323))</f>
        <v/>
      </c>
      <c r="N323">
        <f>IF(N322&lt;=0,0,MAX(0,AS323-Z323))</f>
        <v/>
      </c>
      <c r="O323">
        <f>IF(C322&lt;=0,0,MIN(AH323,C$7+IF(C$2=$AA323,$AC323,IF(C$2=$AF323,$AG323,0))))</f>
        <v/>
      </c>
      <c r="P323">
        <f>IF(D322&lt;=0,0,MIN(AI323,D$7+IF(D$2=$AA323,$AC323,IF(D$2=$AF323,$AG323,0))))</f>
        <v/>
      </c>
      <c r="Q323">
        <f>IF(E322&lt;=0,0,MIN(AJ323,E$7+IF(E$2=$AA323,$AC323,IF(E$2=$AF323,$AG323,0))))</f>
        <v/>
      </c>
      <c r="R323">
        <f>IF(F322&lt;=0,0,MIN(AK323,F$7+IF(F$2=$AA323,$AC323,IF(F$2=$AF323,$AG323,0))))</f>
        <v/>
      </c>
      <c r="S323">
        <f>IF(G322&lt;=0,0,MIN(AL323,G$7+IF(G$2=$AA323,$AC323,IF(G$2=$AF323,$AG323,0))))</f>
        <v/>
      </c>
      <c r="T323">
        <f>IF(H322&lt;=0,0,MIN(AM323,H$7+IF(H$2=$AA323,$AC323,IF(H$2=$AF323,$AG323,0))))</f>
        <v/>
      </c>
      <c r="U323">
        <f>IF(I322&lt;=0,0,MIN(AN323,I$7+IF(I$2=$AA323,$AC323,IF(I$2=$AF323,$AG323,0))))</f>
        <v/>
      </c>
      <c r="V323">
        <f>IF(J322&lt;=0,0,MIN(AO323,J$7+IF(J$2=$AA323,$AC323,IF(J$2=$AF323,$AG323,0))))</f>
        <v/>
      </c>
      <c r="W323">
        <f>IF(K322&lt;=0,0,MIN(AP323,K$7+IF(K$2=$AA323,$AC323,IF(K$2=$AF323,$AG323,0))))</f>
        <v/>
      </c>
      <c r="X323">
        <f>IF(L322&lt;=0,0,MIN(AQ323,L$7+IF(L$2=$AA323,$AC323,IF(L$2=$AF323,$AG323,0))))</f>
        <v/>
      </c>
      <c r="Y323">
        <f>IF(M322&lt;=0,0,MIN(AR323,M$7+IF(M$2=$AA323,$AC323,IF(M$2=$AF323,$AG323,0))))</f>
        <v/>
      </c>
      <c r="Z323">
        <f>IF(N322&lt;=0,0,MIN(AS323,N$7+IF(N$2=$AA323,$AC323,IF(N$2=$AF323,$AG323,0))))</f>
        <v/>
      </c>
      <c r="AA323">
        <f>IFERROR(ROUND(1/SUMPRODUCT(MAX((C322:N322&gt;0)*($C$3:$N$3&lt;=B323)/$C$2:$N$2)),0),0)</f>
        <v/>
      </c>
      <c r="AB323">
        <f>SUMPRODUCT((C322:N322&gt;0)*$C$7:$N$7)</f>
        <v/>
      </c>
      <c r="AC323">
        <f>MAX(0,Plan!$C$5-AB323)+IF(A323=Plan!$C$8,N(Plan!$C$7),0)</f>
        <v/>
      </c>
      <c r="AD323">
        <f>SUM(C323:N323)</f>
        <v/>
      </c>
      <c r="AE323">
        <f>SUM(O323:Z323)</f>
        <v/>
      </c>
      <c r="AF323">
        <f>IFERROR(ROUND(1/SUMPRODUCT(MAX((C322:N322&gt;0)*($C$3:$N$3&lt;=B323)*($C$2:$N$2&gt;AA323)/$C$2:$N$2)),0),0)</f>
        <v/>
      </c>
      <c r="AG323">
        <f>MAX(0,AC323-MAX(0,SUMPRODUCT(($C$2:$N$2=AA323)*(AH323:AS323-$C$7:$N$7))))</f>
        <v/>
      </c>
      <c r="AH323">
        <f>IF(C322&lt;=0,0,ROUND(C322*(1+IF(AND(C$6&gt;0,$B323&lt;C$6),C$4,C$5)/12),2))</f>
        <v/>
      </c>
      <c r="AI323">
        <f>IF(D322&lt;=0,0,ROUND(D322*(1+IF(AND(D$6&gt;0,$B323&lt;D$6),D$4,D$5)/12),2))</f>
        <v/>
      </c>
      <c r="AJ323">
        <f>IF(E322&lt;=0,0,ROUND(E322*(1+IF(AND(E$6&gt;0,$B323&lt;E$6),E$4,E$5)/12),2))</f>
        <v/>
      </c>
      <c r="AK323">
        <f>IF(F322&lt;=0,0,ROUND(F322*(1+IF(AND(F$6&gt;0,$B323&lt;F$6),F$4,F$5)/12),2))</f>
        <v/>
      </c>
      <c r="AL323">
        <f>IF(G322&lt;=0,0,ROUND(G322*(1+IF(AND(G$6&gt;0,$B323&lt;G$6),G$4,G$5)/12),2))</f>
        <v/>
      </c>
      <c r="AM323">
        <f>IF(H322&lt;=0,0,ROUND(H322*(1+IF(AND(H$6&gt;0,$B323&lt;H$6),H$4,H$5)/12),2))</f>
        <v/>
      </c>
      <c r="AN323">
        <f>IF(I322&lt;=0,0,ROUND(I322*(1+IF(AND(I$6&gt;0,$B323&lt;I$6),I$4,I$5)/12),2))</f>
        <v/>
      </c>
      <c r="AO323">
        <f>IF(J322&lt;=0,0,ROUND(J322*(1+IF(AND(J$6&gt;0,$B323&lt;J$6),J$4,J$5)/12),2))</f>
        <v/>
      </c>
      <c r="AP323">
        <f>IF(K322&lt;=0,0,ROUND(K322*(1+IF(AND(K$6&gt;0,$B323&lt;K$6),K$4,K$5)/12),2))</f>
        <v/>
      </c>
      <c r="AQ323">
        <f>IF(L322&lt;=0,0,ROUND(L322*(1+IF(AND(L$6&gt;0,$B323&lt;L$6),L$4,L$5)/12),2))</f>
        <v/>
      </c>
      <c r="AR323">
        <f>IF(M322&lt;=0,0,ROUND(M322*(1+IF(AND(M$6&gt;0,$B323&lt;M$6),M$4,M$5)/12),2))</f>
        <v/>
      </c>
      <c r="AS323">
        <f>IF(N322&lt;=0,0,ROUND(N322*(1+IF(AND(N$6&gt;0,$B323&lt;N$6),N$4,N$5)/12),2))</f>
        <v/>
      </c>
    </row>
    <row r="324">
      <c r="A324" t="n">
        <v>313</v>
      </c>
      <c r="B324">
        <f>EDATE(Plan!$C$6,312)</f>
        <v/>
      </c>
      <c r="C324">
        <f>IF(C323&lt;=0,0,MAX(0,AH324-O324))</f>
        <v/>
      </c>
      <c r="D324">
        <f>IF(D323&lt;=0,0,MAX(0,AI324-P324))</f>
        <v/>
      </c>
      <c r="E324">
        <f>IF(E323&lt;=0,0,MAX(0,AJ324-Q324))</f>
        <v/>
      </c>
      <c r="F324">
        <f>IF(F323&lt;=0,0,MAX(0,AK324-R324))</f>
        <v/>
      </c>
      <c r="G324">
        <f>IF(G323&lt;=0,0,MAX(0,AL324-S324))</f>
        <v/>
      </c>
      <c r="H324">
        <f>IF(H323&lt;=0,0,MAX(0,AM324-T324))</f>
        <v/>
      </c>
      <c r="I324">
        <f>IF(I323&lt;=0,0,MAX(0,AN324-U324))</f>
        <v/>
      </c>
      <c r="J324">
        <f>IF(J323&lt;=0,0,MAX(0,AO324-V324))</f>
        <v/>
      </c>
      <c r="K324">
        <f>IF(K323&lt;=0,0,MAX(0,AP324-W324))</f>
        <v/>
      </c>
      <c r="L324">
        <f>IF(L323&lt;=0,0,MAX(0,AQ324-X324))</f>
        <v/>
      </c>
      <c r="M324">
        <f>IF(M323&lt;=0,0,MAX(0,AR324-Y324))</f>
        <v/>
      </c>
      <c r="N324">
        <f>IF(N323&lt;=0,0,MAX(0,AS324-Z324))</f>
        <v/>
      </c>
      <c r="O324">
        <f>IF(C323&lt;=0,0,MIN(AH324,C$7+IF(C$2=$AA324,$AC324,IF(C$2=$AF324,$AG324,0))))</f>
        <v/>
      </c>
      <c r="P324">
        <f>IF(D323&lt;=0,0,MIN(AI324,D$7+IF(D$2=$AA324,$AC324,IF(D$2=$AF324,$AG324,0))))</f>
        <v/>
      </c>
      <c r="Q324">
        <f>IF(E323&lt;=0,0,MIN(AJ324,E$7+IF(E$2=$AA324,$AC324,IF(E$2=$AF324,$AG324,0))))</f>
        <v/>
      </c>
      <c r="R324">
        <f>IF(F323&lt;=0,0,MIN(AK324,F$7+IF(F$2=$AA324,$AC324,IF(F$2=$AF324,$AG324,0))))</f>
        <v/>
      </c>
      <c r="S324">
        <f>IF(G323&lt;=0,0,MIN(AL324,G$7+IF(G$2=$AA324,$AC324,IF(G$2=$AF324,$AG324,0))))</f>
        <v/>
      </c>
      <c r="T324">
        <f>IF(H323&lt;=0,0,MIN(AM324,H$7+IF(H$2=$AA324,$AC324,IF(H$2=$AF324,$AG324,0))))</f>
        <v/>
      </c>
      <c r="U324">
        <f>IF(I323&lt;=0,0,MIN(AN324,I$7+IF(I$2=$AA324,$AC324,IF(I$2=$AF324,$AG324,0))))</f>
        <v/>
      </c>
      <c r="V324">
        <f>IF(J323&lt;=0,0,MIN(AO324,J$7+IF(J$2=$AA324,$AC324,IF(J$2=$AF324,$AG324,0))))</f>
        <v/>
      </c>
      <c r="W324">
        <f>IF(K323&lt;=0,0,MIN(AP324,K$7+IF(K$2=$AA324,$AC324,IF(K$2=$AF324,$AG324,0))))</f>
        <v/>
      </c>
      <c r="X324">
        <f>IF(L323&lt;=0,0,MIN(AQ324,L$7+IF(L$2=$AA324,$AC324,IF(L$2=$AF324,$AG324,0))))</f>
        <v/>
      </c>
      <c r="Y324">
        <f>IF(M323&lt;=0,0,MIN(AR324,M$7+IF(M$2=$AA324,$AC324,IF(M$2=$AF324,$AG324,0))))</f>
        <v/>
      </c>
      <c r="Z324">
        <f>IF(N323&lt;=0,0,MIN(AS324,N$7+IF(N$2=$AA324,$AC324,IF(N$2=$AF324,$AG324,0))))</f>
        <v/>
      </c>
      <c r="AA324">
        <f>IFERROR(ROUND(1/SUMPRODUCT(MAX((C323:N323&gt;0)*($C$3:$N$3&lt;=B324)/$C$2:$N$2)),0),0)</f>
        <v/>
      </c>
      <c r="AB324">
        <f>SUMPRODUCT((C323:N323&gt;0)*$C$7:$N$7)</f>
        <v/>
      </c>
      <c r="AC324">
        <f>MAX(0,Plan!$C$5-AB324)+IF(A324=Plan!$C$8,N(Plan!$C$7),0)</f>
        <v/>
      </c>
      <c r="AD324">
        <f>SUM(C324:N324)</f>
        <v/>
      </c>
      <c r="AE324">
        <f>SUM(O324:Z324)</f>
        <v/>
      </c>
      <c r="AF324">
        <f>IFERROR(ROUND(1/SUMPRODUCT(MAX((C323:N323&gt;0)*($C$3:$N$3&lt;=B324)*($C$2:$N$2&gt;AA324)/$C$2:$N$2)),0),0)</f>
        <v/>
      </c>
      <c r="AG324">
        <f>MAX(0,AC324-MAX(0,SUMPRODUCT(($C$2:$N$2=AA324)*(AH324:AS324-$C$7:$N$7))))</f>
        <v/>
      </c>
      <c r="AH324">
        <f>IF(C323&lt;=0,0,ROUND(C323*(1+IF(AND(C$6&gt;0,$B324&lt;C$6),C$4,C$5)/12),2))</f>
        <v/>
      </c>
      <c r="AI324">
        <f>IF(D323&lt;=0,0,ROUND(D323*(1+IF(AND(D$6&gt;0,$B324&lt;D$6),D$4,D$5)/12),2))</f>
        <v/>
      </c>
      <c r="AJ324">
        <f>IF(E323&lt;=0,0,ROUND(E323*(1+IF(AND(E$6&gt;0,$B324&lt;E$6),E$4,E$5)/12),2))</f>
        <v/>
      </c>
      <c r="AK324">
        <f>IF(F323&lt;=0,0,ROUND(F323*(1+IF(AND(F$6&gt;0,$B324&lt;F$6),F$4,F$5)/12),2))</f>
        <v/>
      </c>
      <c r="AL324">
        <f>IF(G323&lt;=0,0,ROUND(G323*(1+IF(AND(G$6&gt;0,$B324&lt;G$6),G$4,G$5)/12),2))</f>
        <v/>
      </c>
      <c r="AM324">
        <f>IF(H323&lt;=0,0,ROUND(H323*(1+IF(AND(H$6&gt;0,$B324&lt;H$6),H$4,H$5)/12),2))</f>
        <v/>
      </c>
      <c r="AN324">
        <f>IF(I323&lt;=0,0,ROUND(I323*(1+IF(AND(I$6&gt;0,$B324&lt;I$6),I$4,I$5)/12),2))</f>
        <v/>
      </c>
      <c r="AO324">
        <f>IF(J323&lt;=0,0,ROUND(J323*(1+IF(AND(J$6&gt;0,$B324&lt;J$6),J$4,J$5)/12),2))</f>
        <v/>
      </c>
      <c r="AP324">
        <f>IF(K323&lt;=0,0,ROUND(K323*(1+IF(AND(K$6&gt;0,$B324&lt;K$6),K$4,K$5)/12),2))</f>
        <v/>
      </c>
      <c r="AQ324">
        <f>IF(L323&lt;=0,0,ROUND(L323*(1+IF(AND(L$6&gt;0,$B324&lt;L$6),L$4,L$5)/12),2))</f>
        <v/>
      </c>
      <c r="AR324">
        <f>IF(M323&lt;=0,0,ROUND(M323*(1+IF(AND(M$6&gt;0,$B324&lt;M$6),M$4,M$5)/12),2))</f>
        <v/>
      </c>
      <c r="AS324">
        <f>IF(N323&lt;=0,0,ROUND(N323*(1+IF(AND(N$6&gt;0,$B324&lt;N$6),N$4,N$5)/12),2))</f>
        <v/>
      </c>
    </row>
    <row r="325">
      <c r="A325" t="n">
        <v>314</v>
      </c>
      <c r="B325">
        <f>EDATE(Plan!$C$6,313)</f>
        <v/>
      </c>
      <c r="C325">
        <f>IF(C324&lt;=0,0,MAX(0,AH325-O325))</f>
        <v/>
      </c>
      <c r="D325">
        <f>IF(D324&lt;=0,0,MAX(0,AI325-P325))</f>
        <v/>
      </c>
      <c r="E325">
        <f>IF(E324&lt;=0,0,MAX(0,AJ325-Q325))</f>
        <v/>
      </c>
      <c r="F325">
        <f>IF(F324&lt;=0,0,MAX(0,AK325-R325))</f>
        <v/>
      </c>
      <c r="G325">
        <f>IF(G324&lt;=0,0,MAX(0,AL325-S325))</f>
        <v/>
      </c>
      <c r="H325">
        <f>IF(H324&lt;=0,0,MAX(0,AM325-T325))</f>
        <v/>
      </c>
      <c r="I325">
        <f>IF(I324&lt;=0,0,MAX(0,AN325-U325))</f>
        <v/>
      </c>
      <c r="J325">
        <f>IF(J324&lt;=0,0,MAX(0,AO325-V325))</f>
        <v/>
      </c>
      <c r="K325">
        <f>IF(K324&lt;=0,0,MAX(0,AP325-W325))</f>
        <v/>
      </c>
      <c r="L325">
        <f>IF(L324&lt;=0,0,MAX(0,AQ325-X325))</f>
        <v/>
      </c>
      <c r="M325">
        <f>IF(M324&lt;=0,0,MAX(0,AR325-Y325))</f>
        <v/>
      </c>
      <c r="N325">
        <f>IF(N324&lt;=0,0,MAX(0,AS325-Z325))</f>
        <v/>
      </c>
      <c r="O325">
        <f>IF(C324&lt;=0,0,MIN(AH325,C$7+IF(C$2=$AA325,$AC325,IF(C$2=$AF325,$AG325,0))))</f>
        <v/>
      </c>
      <c r="P325">
        <f>IF(D324&lt;=0,0,MIN(AI325,D$7+IF(D$2=$AA325,$AC325,IF(D$2=$AF325,$AG325,0))))</f>
        <v/>
      </c>
      <c r="Q325">
        <f>IF(E324&lt;=0,0,MIN(AJ325,E$7+IF(E$2=$AA325,$AC325,IF(E$2=$AF325,$AG325,0))))</f>
        <v/>
      </c>
      <c r="R325">
        <f>IF(F324&lt;=0,0,MIN(AK325,F$7+IF(F$2=$AA325,$AC325,IF(F$2=$AF325,$AG325,0))))</f>
        <v/>
      </c>
      <c r="S325">
        <f>IF(G324&lt;=0,0,MIN(AL325,G$7+IF(G$2=$AA325,$AC325,IF(G$2=$AF325,$AG325,0))))</f>
        <v/>
      </c>
      <c r="T325">
        <f>IF(H324&lt;=0,0,MIN(AM325,H$7+IF(H$2=$AA325,$AC325,IF(H$2=$AF325,$AG325,0))))</f>
        <v/>
      </c>
      <c r="U325">
        <f>IF(I324&lt;=0,0,MIN(AN325,I$7+IF(I$2=$AA325,$AC325,IF(I$2=$AF325,$AG325,0))))</f>
        <v/>
      </c>
      <c r="V325">
        <f>IF(J324&lt;=0,0,MIN(AO325,J$7+IF(J$2=$AA325,$AC325,IF(J$2=$AF325,$AG325,0))))</f>
        <v/>
      </c>
      <c r="W325">
        <f>IF(K324&lt;=0,0,MIN(AP325,K$7+IF(K$2=$AA325,$AC325,IF(K$2=$AF325,$AG325,0))))</f>
        <v/>
      </c>
      <c r="X325">
        <f>IF(L324&lt;=0,0,MIN(AQ325,L$7+IF(L$2=$AA325,$AC325,IF(L$2=$AF325,$AG325,0))))</f>
        <v/>
      </c>
      <c r="Y325">
        <f>IF(M324&lt;=0,0,MIN(AR325,M$7+IF(M$2=$AA325,$AC325,IF(M$2=$AF325,$AG325,0))))</f>
        <v/>
      </c>
      <c r="Z325">
        <f>IF(N324&lt;=0,0,MIN(AS325,N$7+IF(N$2=$AA325,$AC325,IF(N$2=$AF325,$AG325,0))))</f>
        <v/>
      </c>
      <c r="AA325">
        <f>IFERROR(ROUND(1/SUMPRODUCT(MAX((C324:N324&gt;0)*($C$3:$N$3&lt;=B325)/$C$2:$N$2)),0),0)</f>
        <v/>
      </c>
      <c r="AB325">
        <f>SUMPRODUCT((C324:N324&gt;0)*$C$7:$N$7)</f>
        <v/>
      </c>
      <c r="AC325">
        <f>MAX(0,Plan!$C$5-AB325)+IF(A325=Plan!$C$8,N(Plan!$C$7),0)</f>
        <v/>
      </c>
      <c r="AD325">
        <f>SUM(C325:N325)</f>
        <v/>
      </c>
      <c r="AE325">
        <f>SUM(O325:Z325)</f>
        <v/>
      </c>
      <c r="AF325">
        <f>IFERROR(ROUND(1/SUMPRODUCT(MAX((C324:N324&gt;0)*($C$3:$N$3&lt;=B325)*($C$2:$N$2&gt;AA325)/$C$2:$N$2)),0),0)</f>
        <v/>
      </c>
      <c r="AG325">
        <f>MAX(0,AC325-MAX(0,SUMPRODUCT(($C$2:$N$2=AA325)*(AH325:AS325-$C$7:$N$7))))</f>
        <v/>
      </c>
      <c r="AH325">
        <f>IF(C324&lt;=0,0,ROUND(C324*(1+IF(AND(C$6&gt;0,$B325&lt;C$6),C$4,C$5)/12),2))</f>
        <v/>
      </c>
      <c r="AI325">
        <f>IF(D324&lt;=0,0,ROUND(D324*(1+IF(AND(D$6&gt;0,$B325&lt;D$6),D$4,D$5)/12),2))</f>
        <v/>
      </c>
      <c r="AJ325">
        <f>IF(E324&lt;=0,0,ROUND(E324*(1+IF(AND(E$6&gt;0,$B325&lt;E$6),E$4,E$5)/12),2))</f>
        <v/>
      </c>
      <c r="AK325">
        <f>IF(F324&lt;=0,0,ROUND(F324*(1+IF(AND(F$6&gt;0,$B325&lt;F$6),F$4,F$5)/12),2))</f>
        <v/>
      </c>
      <c r="AL325">
        <f>IF(G324&lt;=0,0,ROUND(G324*(1+IF(AND(G$6&gt;0,$B325&lt;G$6),G$4,G$5)/12),2))</f>
        <v/>
      </c>
      <c r="AM325">
        <f>IF(H324&lt;=0,0,ROUND(H324*(1+IF(AND(H$6&gt;0,$B325&lt;H$6),H$4,H$5)/12),2))</f>
        <v/>
      </c>
      <c r="AN325">
        <f>IF(I324&lt;=0,0,ROUND(I324*(1+IF(AND(I$6&gt;0,$B325&lt;I$6),I$4,I$5)/12),2))</f>
        <v/>
      </c>
      <c r="AO325">
        <f>IF(J324&lt;=0,0,ROUND(J324*(1+IF(AND(J$6&gt;0,$B325&lt;J$6),J$4,J$5)/12),2))</f>
        <v/>
      </c>
      <c r="AP325">
        <f>IF(K324&lt;=0,0,ROUND(K324*(1+IF(AND(K$6&gt;0,$B325&lt;K$6),K$4,K$5)/12),2))</f>
        <v/>
      </c>
      <c r="AQ325">
        <f>IF(L324&lt;=0,0,ROUND(L324*(1+IF(AND(L$6&gt;0,$B325&lt;L$6),L$4,L$5)/12),2))</f>
        <v/>
      </c>
      <c r="AR325">
        <f>IF(M324&lt;=0,0,ROUND(M324*(1+IF(AND(M$6&gt;0,$B325&lt;M$6),M$4,M$5)/12),2))</f>
        <v/>
      </c>
      <c r="AS325">
        <f>IF(N324&lt;=0,0,ROUND(N324*(1+IF(AND(N$6&gt;0,$B325&lt;N$6),N$4,N$5)/12),2))</f>
        <v/>
      </c>
    </row>
    <row r="326">
      <c r="A326" t="n">
        <v>315</v>
      </c>
      <c r="B326">
        <f>EDATE(Plan!$C$6,314)</f>
        <v/>
      </c>
      <c r="C326">
        <f>IF(C325&lt;=0,0,MAX(0,AH326-O326))</f>
        <v/>
      </c>
      <c r="D326">
        <f>IF(D325&lt;=0,0,MAX(0,AI326-P326))</f>
        <v/>
      </c>
      <c r="E326">
        <f>IF(E325&lt;=0,0,MAX(0,AJ326-Q326))</f>
        <v/>
      </c>
      <c r="F326">
        <f>IF(F325&lt;=0,0,MAX(0,AK326-R326))</f>
        <v/>
      </c>
      <c r="G326">
        <f>IF(G325&lt;=0,0,MAX(0,AL326-S326))</f>
        <v/>
      </c>
      <c r="H326">
        <f>IF(H325&lt;=0,0,MAX(0,AM326-T326))</f>
        <v/>
      </c>
      <c r="I326">
        <f>IF(I325&lt;=0,0,MAX(0,AN326-U326))</f>
        <v/>
      </c>
      <c r="J326">
        <f>IF(J325&lt;=0,0,MAX(0,AO326-V326))</f>
        <v/>
      </c>
      <c r="K326">
        <f>IF(K325&lt;=0,0,MAX(0,AP326-W326))</f>
        <v/>
      </c>
      <c r="L326">
        <f>IF(L325&lt;=0,0,MAX(0,AQ326-X326))</f>
        <v/>
      </c>
      <c r="M326">
        <f>IF(M325&lt;=0,0,MAX(0,AR326-Y326))</f>
        <v/>
      </c>
      <c r="N326">
        <f>IF(N325&lt;=0,0,MAX(0,AS326-Z326))</f>
        <v/>
      </c>
      <c r="O326">
        <f>IF(C325&lt;=0,0,MIN(AH326,C$7+IF(C$2=$AA326,$AC326,IF(C$2=$AF326,$AG326,0))))</f>
        <v/>
      </c>
      <c r="P326">
        <f>IF(D325&lt;=0,0,MIN(AI326,D$7+IF(D$2=$AA326,$AC326,IF(D$2=$AF326,$AG326,0))))</f>
        <v/>
      </c>
      <c r="Q326">
        <f>IF(E325&lt;=0,0,MIN(AJ326,E$7+IF(E$2=$AA326,$AC326,IF(E$2=$AF326,$AG326,0))))</f>
        <v/>
      </c>
      <c r="R326">
        <f>IF(F325&lt;=0,0,MIN(AK326,F$7+IF(F$2=$AA326,$AC326,IF(F$2=$AF326,$AG326,0))))</f>
        <v/>
      </c>
      <c r="S326">
        <f>IF(G325&lt;=0,0,MIN(AL326,G$7+IF(G$2=$AA326,$AC326,IF(G$2=$AF326,$AG326,0))))</f>
        <v/>
      </c>
      <c r="T326">
        <f>IF(H325&lt;=0,0,MIN(AM326,H$7+IF(H$2=$AA326,$AC326,IF(H$2=$AF326,$AG326,0))))</f>
        <v/>
      </c>
      <c r="U326">
        <f>IF(I325&lt;=0,0,MIN(AN326,I$7+IF(I$2=$AA326,$AC326,IF(I$2=$AF326,$AG326,0))))</f>
        <v/>
      </c>
      <c r="V326">
        <f>IF(J325&lt;=0,0,MIN(AO326,J$7+IF(J$2=$AA326,$AC326,IF(J$2=$AF326,$AG326,0))))</f>
        <v/>
      </c>
      <c r="W326">
        <f>IF(K325&lt;=0,0,MIN(AP326,K$7+IF(K$2=$AA326,$AC326,IF(K$2=$AF326,$AG326,0))))</f>
        <v/>
      </c>
      <c r="X326">
        <f>IF(L325&lt;=0,0,MIN(AQ326,L$7+IF(L$2=$AA326,$AC326,IF(L$2=$AF326,$AG326,0))))</f>
        <v/>
      </c>
      <c r="Y326">
        <f>IF(M325&lt;=0,0,MIN(AR326,M$7+IF(M$2=$AA326,$AC326,IF(M$2=$AF326,$AG326,0))))</f>
        <v/>
      </c>
      <c r="Z326">
        <f>IF(N325&lt;=0,0,MIN(AS326,N$7+IF(N$2=$AA326,$AC326,IF(N$2=$AF326,$AG326,0))))</f>
        <v/>
      </c>
      <c r="AA326">
        <f>IFERROR(ROUND(1/SUMPRODUCT(MAX((C325:N325&gt;0)*($C$3:$N$3&lt;=B326)/$C$2:$N$2)),0),0)</f>
        <v/>
      </c>
      <c r="AB326">
        <f>SUMPRODUCT((C325:N325&gt;0)*$C$7:$N$7)</f>
        <v/>
      </c>
      <c r="AC326">
        <f>MAX(0,Plan!$C$5-AB326)+IF(A326=Plan!$C$8,N(Plan!$C$7),0)</f>
        <v/>
      </c>
      <c r="AD326">
        <f>SUM(C326:N326)</f>
        <v/>
      </c>
      <c r="AE326">
        <f>SUM(O326:Z326)</f>
        <v/>
      </c>
      <c r="AF326">
        <f>IFERROR(ROUND(1/SUMPRODUCT(MAX((C325:N325&gt;0)*($C$3:$N$3&lt;=B326)*($C$2:$N$2&gt;AA326)/$C$2:$N$2)),0),0)</f>
        <v/>
      </c>
      <c r="AG326">
        <f>MAX(0,AC326-MAX(0,SUMPRODUCT(($C$2:$N$2=AA326)*(AH326:AS326-$C$7:$N$7))))</f>
        <v/>
      </c>
      <c r="AH326">
        <f>IF(C325&lt;=0,0,ROUND(C325*(1+IF(AND(C$6&gt;0,$B326&lt;C$6),C$4,C$5)/12),2))</f>
        <v/>
      </c>
      <c r="AI326">
        <f>IF(D325&lt;=0,0,ROUND(D325*(1+IF(AND(D$6&gt;0,$B326&lt;D$6),D$4,D$5)/12),2))</f>
        <v/>
      </c>
      <c r="AJ326">
        <f>IF(E325&lt;=0,0,ROUND(E325*(1+IF(AND(E$6&gt;0,$B326&lt;E$6),E$4,E$5)/12),2))</f>
        <v/>
      </c>
      <c r="AK326">
        <f>IF(F325&lt;=0,0,ROUND(F325*(1+IF(AND(F$6&gt;0,$B326&lt;F$6),F$4,F$5)/12),2))</f>
        <v/>
      </c>
      <c r="AL326">
        <f>IF(G325&lt;=0,0,ROUND(G325*(1+IF(AND(G$6&gt;0,$B326&lt;G$6),G$4,G$5)/12),2))</f>
        <v/>
      </c>
      <c r="AM326">
        <f>IF(H325&lt;=0,0,ROUND(H325*(1+IF(AND(H$6&gt;0,$B326&lt;H$6),H$4,H$5)/12),2))</f>
        <v/>
      </c>
      <c r="AN326">
        <f>IF(I325&lt;=0,0,ROUND(I325*(1+IF(AND(I$6&gt;0,$B326&lt;I$6),I$4,I$5)/12),2))</f>
        <v/>
      </c>
      <c r="AO326">
        <f>IF(J325&lt;=0,0,ROUND(J325*(1+IF(AND(J$6&gt;0,$B326&lt;J$6),J$4,J$5)/12),2))</f>
        <v/>
      </c>
      <c r="AP326">
        <f>IF(K325&lt;=0,0,ROUND(K325*(1+IF(AND(K$6&gt;0,$B326&lt;K$6),K$4,K$5)/12),2))</f>
        <v/>
      </c>
      <c r="AQ326">
        <f>IF(L325&lt;=0,0,ROUND(L325*(1+IF(AND(L$6&gt;0,$B326&lt;L$6),L$4,L$5)/12),2))</f>
        <v/>
      </c>
      <c r="AR326">
        <f>IF(M325&lt;=0,0,ROUND(M325*(1+IF(AND(M$6&gt;0,$B326&lt;M$6),M$4,M$5)/12),2))</f>
        <v/>
      </c>
      <c r="AS326">
        <f>IF(N325&lt;=0,0,ROUND(N325*(1+IF(AND(N$6&gt;0,$B326&lt;N$6),N$4,N$5)/12),2))</f>
        <v/>
      </c>
    </row>
    <row r="327">
      <c r="A327" t="n">
        <v>316</v>
      </c>
      <c r="B327">
        <f>EDATE(Plan!$C$6,315)</f>
        <v/>
      </c>
      <c r="C327">
        <f>IF(C326&lt;=0,0,MAX(0,AH327-O327))</f>
        <v/>
      </c>
      <c r="D327">
        <f>IF(D326&lt;=0,0,MAX(0,AI327-P327))</f>
        <v/>
      </c>
      <c r="E327">
        <f>IF(E326&lt;=0,0,MAX(0,AJ327-Q327))</f>
        <v/>
      </c>
      <c r="F327">
        <f>IF(F326&lt;=0,0,MAX(0,AK327-R327))</f>
        <v/>
      </c>
      <c r="G327">
        <f>IF(G326&lt;=0,0,MAX(0,AL327-S327))</f>
        <v/>
      </c>
      <c r="H327">
        <f>IF(H326&lt;=0,0,MAX(0,AM327-T327))</f>
        <v/>
      </c>
      <c r="I327">
        <f>IF(I326&lt;=0,0,MAX(0,AN327-U327))</f>
        <v/>
      </c>
      <c r="J327">
        <f>IF(J326&lt;=0,0,MAX(0,AO327-V327))</f>
        <v/>
      </c>
      <c r="K327">
        <f>IF(K326&lt;=0,0,MAX(0,AP327-W327))</f>
        <v/>
      </c>
      <c r="L327">
        <f>IF(L326&lt;=0,0,MAX(0,AQ327-X327))</f>
        <v/>
      </c>
      <c r="M327">
        <f>IF(M326&lt;=0,0,MAX(0,AR327-Y327))</f>
        <v/>
      </c>
      <c r="N327">
        <f>IF(N326&lt;=0,0,MAX(0,AS327-Z327))</f>
        <v/>
      </c>
      <c r="O327">
        <f>IF(C326&lt;=0,0,MIN(AH327,C$7+IF(C$2=$AA327,$AC327,IF(C$2=$AF327,$AG327,0))))</f>
        <v/>
      </c>
      <c r="P327">
        <f>IF(D326&lt;=0,0,MIN(AI327,D$7+IF(D$2=$AA327,$AC327,IF(D$2=$AF327,$AG327,0))))</f>
        <v/>
      </c>
      <c r="Q327">
        <f>IF(E326&lt;=0,0,MIN(AJ327,E$7+IF(E$2=$AA327,$AC327,IF(E$2=$AF327,$AG327,0))))</f>
        <v/>
      </c>
      <c r="R327">
        <f>IF(F326&lt;=0,0,MIN(AK327,F$7+IF(F$2=$AA327,$AC327,IF(F$2=$AF327,$AG327,0))))</f>
        <v/>
      </c>
      <c r="S327">
        <f>IF(G326&lt;=0,0,MIN(AL327,G$7+IF(G$2=$AA327,$AC327,IF(G$2=$AF327,$AG327,0))))</f>
        <v/>
      </c>
      <c r="T327">
        <f>IF(H326&lt;=0,0,MIN(AM327,H$7+IF(H$2=$AA327,$AC327,IF(H$2=$AF327,$AG327,0))))</f>
        <v/>
      </c>
      <c r="U327">
        <f>IF(I326&lt;=0,0,MIN(AN327,I$7+IF(I$2=$AA327,$AC327,IF(I$2=$AF327,$AG327,0))))</f>
        <v/>
      </c>
      <c r="V327">
        <f>IF(J326&lt;=0,0,MIN(AO327,J$7+IF(J$2=$AA327,$AC327,IF(J$2=$AF327,$AG327,0))))</f>
        <v/>
      </c>
      <c r="W327">
        <f>IF(K326&lt;=0,0,MIN(AP327,K$7+IF(K$2=$AA327,$AC327,IF(K$2=$AF327,$AG327,0))))</f>
        <v/>
      </c>
      <c r="X327">
        <f>IF(L326&lt;=0,0,MIN(AQ327,L$7+IF(L$2=$AA327,$AC327,IF(L$2=$AF327,$AG327,0))))</f>
        <v/>
      </c>
      <c r="Y327">
        <f>IF(M326&lt;=0,0,MIN(AR327,M$7+IF(M$2=$AA327,$AC327,IF(M$2=$AF327,$AG327,0))))</f>
        <v/>
      </c>
      <c r="Z327">
        <f>IF(N326&lt;=0,0,MIN(AS327,N$7+IF(N$2=$AA327,$AC327,IF(N$2=$AF327,$AG327,0))))</f>
        <v/>
      </c>
      <c r="AA327">
        <f>IFERROR(ROUND(1/SUMPRODUCT(MAX((C326:N326&gt;0)*($C$3:$N$3&lt;=B327)/$C$2:$N$2)),0),0)</f>
        <v/>
      </c>
      <c r="AB327">
        <f>SUMPRODUCT((C326:N326&gt;0)*$C$7:$N$7)</f>
        <v/>
      </c>
      <c r="AC327">
        <f>MAX(0,Plan!$C$5-AB327)+IF(A327=Plan!$C$8,N(Plan!$C$7),0)</f>
        <v/>
      </c>
      <c r="AD327">
        <f>SUM(C327:N327)</f>
        <v/>
      </c>
      <c r="AE327">
        <f>SUM(O327:Z327)</f>
        <v/>
      </c>
      <c r="AF327">
        <f>IFERROR(ROUND(1/SUMPRODUCT(MAX((C326:N326&gt;0)*($C$3:$N$3&lt;=B327)*($C$2:$N$2&gt;AA327)/$C$2:$N$2)),0),0)</f>
        <v/>
      </c>
      <c r="AG327">
        <f>MAX(0,AC327-MAX(0,SUMPRODUCT(($C$2:$N$2=AA327)*(AH327:AS327-$C$7:$N$7))))</f>
        <v/>
      </c>
      <c r="AH327">
        <f>IF(C326&lt;=0,0,ROUND(C326*(1+IF(AND(C$6&gt;0,$B327&lt;C$6),C$4,C$5)/12),2))</f>
        <v/>
      </c>
      <c r="AI327">
        <f>IF(D326&lt;=0,0,ROUND(D326*(1+IF(AND(D$6&gt;0,$B327&lt;D$6),D$4,D$5)/12),2))</f>
        <v/>
      </c>
      <c r="AJ327">
        <f>IF(E326&lt;=0,0,ROUND(E326*(1+IF(AND(E$6&gt;0,$B327&lt;E$6),E$4,E$5)/12),2))</f>
        <v/>
      </c>
      <c r="AK327">
        <f>IF(F326&lt;=0,0,ROUND(F326*(1+IF(AND(F$6&gt;0,$B327&lt;F$6),F$4,F$5)/12),2))</f>
        <v/>
      </c>
      <c r="AL327">
        <f>IF(G326&lt;=0,0,ROUND(G326*(1+IF(AND(G$6&gt;0,$B327&lt;G$6),G$4,G$5)/12),2))</f>
        <v/>
      </c>
      <c r="AM327">
        <f>IF(H326&lt;=0,0,ROUND(H326*(1+IF(AND(H$6&gt;0,$B327&lt;H$6),H$4,H$5)/12),2))</f>
        <v/>
      </c>
      <c r="AN327">
        <f>IF(I326&lt;=0,0,ROUND(I326*(1+IF(AND(I$6&gt;0,$B327&lt;I$6),I$4,I$5)/12),2))</f>
        <v/>
      </c>
      <c r="AO327">
        <f>IF(J326&lt;=0,0,ROUND(J326*(1+IF(AND(J$6&gt;0,$B327&lt;J$6),J$4,J$5)/12),2))</f>
        <v/>
      </c>
      <c r="AP327">
        <f>IF(K326&lt;=0,0,ROUND(K326*(1+IF(AND(K$6&gt;0,$B327&lt;K$6),K$4,K$5)/12),2))</f>
        <v/>
      </c>
      <c r="AQ327">
        <f>IF(L326&lt;=0,0,ROUND(L326*(1+IF(AND(L$6&gt;0,$B327&lt;L$6),L$4,L$5)/12),2))</f>
        <v/>
      </c>
      <c r="AR327">
        <f>IF(M326&lt;=0,0,ROUND(M326*(1+IF(AND(M$6&gt;0,$B327&lt;M$6),M$4,M$5)/12),2))</f>
        <v/>
      </c>
      <c r="AS327">
        <f>IF(N326&lt;=0,0,ROUND(N326*(1+IF(AND(N$6&gt;0,$B327&lt;N$6),N$4,N$5)/12),2))</f>
        <v/>
      </c>
    </row>
    <row r="328">
      <c r="A328" t="n">
        <v>317</v>
      </c>
      <c r="B328">
        <f>EDATE(Plan!$C$6,316)</f>
        <v/>
      </c>
      <c r="C328">
        <f>IF(C327&lt;=0,0,MAX(0,AH328-O328))</f>
        <v/>
      </c>
      <c r="D328">
        <f>IF(D327&lt;=0,0,MAX(0,AI328-P328))</f>
        <v/>
      </c>
      <c r="E328">
        <f>IF(E327&lt;=0,0,MAX(0,AJ328-Q328))</f>
        <v/>
      </c>
      <c r="F328">
        <f>IF(F327&lt;=0,0,MAX(0,AK328-R328))</f>
        <v/>
      </c>
      <c r="G328">
        <f>IF(G327&lt;=0,0,MAX(0,AL328-S328))</f>
        <v/>
      </c>
      <c r="H328">
        <f>IF(H327&lt;=0,0,MAX(0,AM328-T328))</f>
        <v/>
      </c>
      <c r="I328">
        <f>IF(I327&lt;=0,0,MAX(0,AN328-U328))</f>
        <v/>
      </c>
      <c r="J328">
        <f>IF(J327&lt;=0,0,MAX(0,AO328-V328))</f>
        <v/>
      </c>
      <c r="K328">
        <f>IF(K327&lt;=0,0,MAX(0,AP328-W328))</f>
        <v/>
      </c>
      <c r="L328">
        <f>IF(L327&lt;=0,0,MAX(0,AQ328-X328))</f>
        <v/>
      </c>
      <c r="M328">
        <f>IF(M327&lt;=0,0,MAX(0,AR328-Y328))</f>
        <v/>
      </c>
      <c r="N328">
        <f>IF(N327&lt;=0,0,MAX(0,AS328-Z328))</f>
        <v/>
      </c>
      <c r="O328">
        <f>IF(C327&lt;=0,0,MIN(AH328,C$7+IF(C$2=$AA328,$AC328,IF(C$2=$AF328,$AG328,0))))</f>
        <v/>
      </c>
      <c r="P328">
        <f>IF(D327&lt;=0,0,MIN(AI328,D$7+IF(D$2=$AA328,$AC328,IF(D$2=$AF328,$AG328,0))))</f>
        <v/>
      </c>
      <c r="Q328">
        <f>IF(E327&lt;=0,0,MIN(AJ328,E$7+IF(E$2=$AA328,$AC328,IF(E$2=$AF328,$AG328,0))))</f>
        <v/>
      </c>
      <c r="R328">
        <f>IF(F327&lt;=0,0,MIN(AK328,F$7+IF(F$2=$AA328,$AC328,IF(F$2=$AF328,$AG328,0))))</f>
        <v/>
      </c>
      <c r="S328">
        <f>IF(G327&lt;=0,0,MIN(AL328,G$7+IF(G$2=$AA328,$AC328,IF(G$2=$AF328,$AG328,0))))</f>
        <v/>
      </c>
      <c r="T328">
        <f>IF(H327&lt;=0,0,MIN(AM328,H$7+IF(H$2=$AA328,$AC328,IF(H$2=$AF328,$AG328,0))))</f>
        <v/>
      </c>
      <c r="U328">
        <f>IF(I327&lt;=0,0,MIN(AN328,I$7+IF(I$2=$AA328,$AC328,IF(I$2=$AF328,$AG328,0))))</f>
        <v/>
      </c>
      <c r="V328">
        <f>IF(J327&lt;=0,0,MIN(AO328,J$7+IF(J$2=$AA328,$AC328,IF(J$2=$AF328,$AG328,0))))</f>
        <v/>
      </c>
      <c r="W328">
        <f>IF(K327&lt;=0,0,MIN(AP328,K$7+IF(K$2=$AA328,$AC328,IF(K$2=$AF328,$AG328,0))))</f>
        <v/>
      </c>
      <c r="X328">
        <f>IF(L327&lt;=0,0,MIN(AQ328,L$7+IF(L$2=$AA328,$AC328,IF(L$2=$AF328,$AG328,0))))</f>
        <v/>
      </c>
      <c r="Y328">
        <f>IF(M327&lt;=0,0,MIN(AR328,M$7+IF(M$2=$AA328,$AC328,IF(M$2=$AF328,$AG328,0))))</f>
        <v/>
      </c>
      <c r="Z328">
        <f>IF(N327&lt;=0,0,MIN(AS328,N$7+IF(N$2=$AA328,$AC328,IF(N$2=$AF328,$AG328,0))))</f>
        <v/>
      </c>
      <c r="AA328">
        <f>IFERROR(ROUND(1/SUMPRODUCT(MAX((C327:N327&gt;0)*($C$3:$N$3&lt;=B328)/$C$2:$N$2)),0),0)</f>
        <v/>
      </c>
      <c r="AB328">
        <f>SUMPRODUCT((C327:N327&gt;0)*$C$7:$N$7)</f>
        <v/>
      </c>
      <c r="AC328">
        <f>MAX(0,Plan!$C$5-AB328)+IF(A328=Plan!$C$8,N(Plan!$C$7),0)</f>
        <v/>
      </c>
      <c r="AD328">
        <f>SUM(C328:N328)</f>
        <v/>
      </c>
      <c r="AE328">
        <f>SUM(O328:Z328)</f>
        <v/>
      </c>
      <c r="AF328">
        <f>IFERROR(ROUND(1/SUMPRODUCT(MAX((C327:N327&gt;0)*($C$3:$N$3&lt;=B328)*($C$2:$N$2&gt;AA328)/$C$2:$N$2)),0),0)</f>
        <v/>
      </c>
      <c r="AG328">
        <f>MAX(0,AC328-MAX(0,SUMPRODUCT(($C$2:$N$2=AA328)*(AH328:AS328-$C$7:$N$7))))</f>
        <v/>
      </c>
      <c r="AH328">
        <f>IF(C327&lt;=0,0,ROUND(C327*(1+IF(AND(C$6&gt;0,$B328&lt;C$6),C$4,C$5)/12),2))</f>
        <v/>
      </c>
      <c r="AI328">
        <f>IF(D327&lt;=0,0,ROUND(D327*(1+IF(AND(D$6&gt;0,$B328&lt;D$6),D$4,D$5)/12),2))</f>
        <v/>
      </c>
      <c r="AJ328">
        <f>IF(E327&lt;=0,0,ROUND(E327*(1+IF(AND(E$6&gt;0,$B328&lt;E$6),E$4,E$5)/12),2))</f>
        <v/>
      </c>
      <c r="AK328">
        <f>IF(F327&lt;=0,0,ROUND(F327*(1+IF(AND(F$6&gt;0,$B328&lt;F$6),F$4,F$5)/12),2))</f>
        <v/>
      </c>
      <c r="AL328">
        <f>IF(G327&lt;=0,0,ROUND(G327*(1+IF(AND(G$6&gt;0,$B328&lt;G$6),G$4,G$5)/12),2))</f>
        <v/>
      </c>
      <c r="AM328">
        <f>IF(H327&lt;=0,0,ROUND(H327*(1+IF(AND(H$6&gt;0,$B328&lt;H$6),H$4,H$5)/12),2))</f>
        <v/>
      </c>
      <c r="AN328">
        <f>IF(I327&lt;=0,0,ROUND(I327*(1+IF(AND(I$6&gt;0,$B328&lt;I$6),I$4,I$5)/12),2))</f>
        <v/>
      </c>
      <c r="AO328">
        <f>IF(J327&lt;=0,0,ROUND(J327*(1+IF(AND(J$6&gt;0,$B328&lt;J$6),J$4,J$5)/12),2))</f>
        <v/>
      </c>
      <c r="AP328">
        <f>IF(K327&lt;=0,0,ROUND(K327*(1+IF(AND(K$6&gt;0,$B328&lt;K$6),K$4,K$5)/12),2))</f>
        <v/>
      </c>
      <c r="AQ328">
        <f>IF(L327&lt;=0,0,ROUND(L327*(1+IF(AND(L$6&gt;0,$B328&lt;L$6),L$4,L$5)/12),2))</f>
        <v/>
      </c>
      <c r="AR328">
        <f>IF(M327&lt;=0,0,ROUND(M327*(1+IF(AND(M$6&gt;0,$B328&lt;M$6),M$4,M$5)/12),2))</f>
        <v/>
      </c>
      <c r="AS328">
        <f>IF(N327&lt;=0,0,ROUND(N327*(1+IF(AND(N$6&gt;0,$B328&lt;N$6),N$4,N$5)/12),2))</f>
        <v/>
      </c>
    </row>
    <row r="329">
      <c r="A329" t="n">
        <v>318</v>
      </c>
      <c r="B329">
        <f>EDATE(Plan!$C$6,317)</f>
        <v/>
      </c>
      <c r="C329">
        <f>IF(C328&lt;=0,0,MAX(0,AH329-O329))</f>
        <v/>
      </c>
      <c r="D329">
        <f>IF(D328&lt;=0,0,MAX(0,AI329-P329))</f>
        <v/>
      </c>
      <c r="E329">
        <f>IF(E328&lt;=0,0,MAX(0,AJ329-Q329))</f>
        <v/>
      </c>
      <c r="F329">
        <f>IF(F328&lt;=0,0,MAX(0,AK329-R329))</f>
        <v/>
      </c>
      <c r="G329">
        <f>IF(G328&lt;=0,0,MAX(0,AL329-S329))</f>
        <v/>
      </c>
      <c r="H329">
        <f>IF(H328&lt;=0,0,MAX(0,AM329-T329))</f>
        <v/>
      </c>
      <c r="I329">
        <f>IF(I328&lt;=0,0,MAX(0,AN329-U329))</f>
        <v/>
      </c>
      <c r="J329">
        <f>IF(J328&lt;=0,0,MAX(0,AO329-V329))</f>
        <v/>
      </c>
      <c r="K329">
        <f>IF(K328&lt;=0,0,MAX(0,AP329-W329))</f>
        <v/>
      </c>
      <c r="L329">
        <f>IF(L328&lt;=0,0,MAX(0,AQ329-X329))</f>
        <v/>
      </c>
      <c r="M329">
        <f>IF(M328&lt;=0,0,MAX(0,AR329-Y329))</f>
        <v/>
      </c>
      <c r="N329">
        <f>IF(N328&lt;=0,0,MAX(0,AS329-Z329))</f>
        <v/>
      </c>
      <c r="O329">
        <f>IF(C328&lt;=0,0,MIN(AH329,C$7+IF(C$2=$AA329,$AC329,IF(C$2=$AF329,$AG329,0))))</f>
        <v/>
      </c>
      <c r="P329">
        <f>IF(D328&lt;=0,0,MIN(AI329,D$7+IF(D$2=$AA329,$AC329,IF(D$2=$AF329,$AG329,0))))</f>
        <v/>
      </c>
      <c r="Q329">
        <f>IF(E328&lt;=0,0,MIN(AJ329,E$7+IF(E$2=$AA329,$AC329,IF(E$2=$AF329,$AG329,0))))</f>
        <v/>
      </c>
      <c r="R329">
        <f>IF(F328&lt;=0,0,MIN(AK329,F$7+IF(F$2=$AA329,$AC329,IF(F$2=$AF329,$AG329,0))))</f>
        <v/>
      </c>
      <c r="S329">
        <f>IF(G328&lt;=0,0,MIN(AL329,G$7+IF(G$2=$AA329,$AC329,IF(G$2=$AF329,$AG329,0))))</f>
        <v/>
      </c>
      <c r="T329">
        <f>IF(H328&lt;=0,0,MIN(AM329,H$7+IF(H$2=$AA329,$AC329,IF(H$2=$AF329,$AG329,0))))</f>
        <v/>
      </c>
      <c r="U329">
        <f>IF(I328&lt;=0,0,MIN(AN329,I$7+IF(I$2=$AA329,$AC329,IF(I$2=$AF329,$AG329,0))))</f>
        <v/>
      </c>
      <c r="V329">
        <f>IF(J328&lt;=0,0,MIN(AO329,J$7+IF(J$2=$AA329,$AC329,IF(J$2=$AF329,$AG329,0))))</f>
        <v/>
      </c>
      <c r="W329">
        <f>IF(K328&lt;=0,0,MIN(AP329,K$7+IF(K$2=$AA329,$AC329,IF(K$2=$AF329,$AG329,0))))</f>
        <v/>
      </c>
      <c r="X329">
        <f>IF(L328&lt;=0,0,MIN(AQ329,L$7+IF(L$2=$AA329,$AC329,IF(L$2=$AF329,$AG329,0))))</f>
        <v/>
      </c>
      <c r="Y329">
        <f>IF(M328&lt;=0,0,MIN(AR329,M$7+IF(M$2=$AA329,$AC329,IF(M$2=$AF329,$AG329,0))))</f>
        <v/>
      </c>
      <c r="Z329">
        <f>IF(N328&lt;=0,0,MIN(AS329,N$7+IF(N$2=$AA329,$AC329,IF(N$2=$AF329,$AG329,0))))</f>
        <v/>
      </c>
      <c r="AA329">
        <f>IFERROR(ROUND(1/SUMPRODUCT(MAX((C328:N328&gt;0)*($C$3:$N$3&lt;=B329)/$C$2:$N$2)),0),0)</f>
        <v/>
      </c>
      <c r="AB329">
        <f>SUMPRODUCT((C328:N328&gt;0)*$C$7:$N$7)</f>
        <v/>
      </c>
      <c r="AC329">
        <f>MAX(0,Plan!$C$5-AB329)+IF(A329=Plan!$C$8,N(Plan!$C$7),0)</f>
        <v/>
      </c>
      <c r="AD329">
        <f>SUM(C329:N329)</f>
        <v/>
      </c>
      <c r="AE329">
        <f>SUM(O329:Z329)</f>
        <v/>
      </c>
      <c r="AF329">
        <f>IFERROR(ROUND(1/SUMPRODUCT(MAX((C328:N328&gt;0)*($C$3:$N$3&lt;=B329)*($C$2:$N$2&gt;AA329)/$C$2:$N$2)),0),0)</f>
        <v/>
      </c>
      <c r="AG329">
        <f>MAX(0,AC329-MAX(0,SUMPRODUCT(($C$2:$N$2=AA329)*(AH329:AS329-$C$7:$N$7))))</f>
        <v/>
      </c>
      <c r="AH329">
        <f>IF(C328&lt;=0,0,ROUND(C328*(1+IF(AND(C$6&gt;0,$B329&lt;C$6),C$4,C$5)/12),2))</f>
        <v/>
      </c>
      <c r="AI329">
        <f>IF(D328&lt;=0,0,ROUND(D328*(1+IF(AND(D$6&gt;0,$B329&lt;D$6),D$4,D$5)/12),2))</f>
        <v/>
      </c>
      <c r="AJ329">
        <f>IF(E328&lt;=0,0,ROUND(E328*(1+IF(AND(E$6&gt;0,$B329&lt;E$6),E$4,E$5)/12),2))</f>
        <v/>
      </c>
      <c r="AK329">
        <f>IF(F328&lt;=0,0,ROUND(F328*(1+IF(AND(F$6&gt;0,$B329&lt;F$6),F$4,F$5)/12),2))</f>
        <v/>
      </c>
      <c r="AL329">
        <f>IF(G328&lt;=0,0,ROUND(G328*(1+IF(AND(G$6&gt;0,$B329&lt;G$6),G$4,G$5)/12),2))</f>
        <v/>
      </c>
      <c r="AM329">
        <f>IF(H328&lt;=0,0,ROUND(H328*(1+IF(AND(H$6&gt;0,$B329&lt;H$6),H$4,H$5)/12),2))</f>
        <v/>
      </c>
      <c r="AN329">
        <f>IF(I328&lt;=0,0,ROUND(I328*(1+IF(AND(I$6&gt;0,$B329&lt;I$6),I$4,I$5)/12),2))</f>
        <v/>
      </c>
      <c r="AO329">
        <f>IF(J328&lt;=0,0,ROUND(J328*(1+IF(AND(J$6&gt;0,$B329&lt;J$6),J$4,J$5)/12),2))</f>
        <v/>
      </c>
      <c r="AP329">
        <f>IF(K328&lt;=0,0,ROUND(K328*(1+IF(AND(K$6&gt;0,$B329&lt;K$6),K$4,K$5)/12),2))</f>
        <v/>
      </c>
      <c r="AQ329">
        <f>IF(L328&lt;=0,0,ROUND(L328*(1+IF(AND(L$6&gt;0,$B329&lt;L$6),L$4,L$5)/12),2))</f>
        <v/>
      </c>
      <c r="AR329">
        <f>IF(M328&lt;=0,0,ROUND(M328*(1+IF(AND(M$6&gt;0,$B329&lt;M$6),M$4,M$5)/12),2))</f>
        <v/>
      </c>
      <c r="AS329">
        <f>IF(N328&lt;=0,0,ROUND(N328*(1+IF(AND(N$6&gt;0,$B329&lt;N$6),N$4,N$5)/12),2))</f>
        <v/>
      </c>
    </row>
    <row r="330">
      <c r="A330" t="n">
        <v>319</v>
      </c>
      <c r="B330">
        <f>EDATE(Plan!$C$6,318)</f>
        <v/>
      </c>
      <c r="C330">
        <f>IF(C329&lt;=0,0,MAX(0,AH330-O330))</f>
        <v/>
      </c>
      <c r="D330">
        <f>IF(D329&lt;=0,0,MAX(0,AI330-P330))</f>
        <v/>
      </c>
      <c r="E330">
        <f>IF(E329&lt;=0,0,MAX(0,AJ330-Q330))</f>
        <v/>
      </c>
      <c r="F330">
        <f>IF(F329&lt;=0,0,MAX(0,AK330-R330))</f>
        <v/>
      </c>
      <c r="G330">
        <f>IF(G329&lt;=0,0,MAX(0,AL330-S330))</f>
        <v/>
      </c>
      <c r="H330">
        <f>IF(H329&lt;=0,0,MAX(0,AM330-T330))</f>
        <v/>
      </c>
      <c r="I330">
        <f>IF(I329&lt;=0,0,MAX(0,AN330-U330))</f>
        <v/>
      </c>
      <c r="J330">
        <f>IF(J329&lt;=0,0,MAX(0,AO330-V330))</f>
        <v/>
      </c>
      <c r="K330">
        <f>IF(K329&lt;=0,0,MAX(0,AP330-W330))</f>
        <v/>
      </c>
      <c r="L330">
        <f>IF(L329&lt;=0,0,MAX(0,AQ330-X330))</f>
        <v/>
      </c>
      <c r="M330">
        <f>IF(M329&lt;=0,0,MAX(0,AR330-Y330))</f>
        <v/>
      </c>
      <c r="N330">
        <f>IF(N329&lt;=0,0,MAX(0,AS330-Z330))</f>
        <v/>
      </c>
      <c r="O330">
        <f>IF(C329&lt;=0,0,MIN(AH330,C$7+IF(C$2=$AA330,$AC330,IF(C$2=$AF330,$AG330,0))))</f>
        <v/>
      </c>
      <c r="P330">
        <f>IF(D329&lt;=0,0,MIN(AI330,D$7+IF(D$2=$AA330,$AC330,IF(D$2=$AF330,$AG330,0))))</f>
        <v/>
      </c>
      <c r="Q330">
        <f>IF(E329&lt;=0,0,MIN(AJ330,E$7+IF(E$2=$AA330,$AC330,IF(E$2=$AF330,$AG330,0))))</f>
        <v/>
      </c>
      <c r="R330">
        <f>IF(F329&lt;=0,0,MIN(AK330,F$7+IF(F$2=$AA330,$AC330,IF(F$2=$AF330,$AG330,0))))</f>
        <v/>
      </c>
      <c r="S330">
        <f>IF(G329&lt;=0,0,MIN(AL330,G$7+IF(G$2=$AA330,$AC330,IF(G$2=$AF330,$AG330,0))))</f>
        <v/>
      </c>
      <c r="T330">
        <f>IF(H329&lt;=0,0,MIN(AM330,H$7+IF(H$2=$AA330,$AC330,IF(H$2=$AF330,$AG330,0))))</f>
        <v/>
      </c>
      <c r="U330">
        <f>IF(I329&lt;=0,0,MIN(AN330,I$7+IF(I$2=$AA330,$AC330,IF(I$2=$AF330,$AG330,0))))</f>
        <v/>
      </c>
      <c r="V330">
        <f>IF(J329&lt;=0,0,MIN(AO330,J$7+IF(J$2=$AA330,$AC330,IF(J$2=$AF330,$AG330,0))))</f>
        <v/>
      </c>
      <c r="W330">
        <f>IF(K329&lt;=0,0,MIN(AP330,K$7+IF(K$2=$AA330,$AC330,IF(K$2=$AF330,$AG330,0))))</f>
        <v/>
      </c>
      <c r="X330">
        <f>IF(L329&lt;=0,0,MIN(AQ330,L$7+IF(L$2=$AA330,$AC330,IF(L$2=$AF330,$AG330,0))))</f>
        <v/>
      </c>
      <c r="Y330">
        <f>IF(M329&lt;=0,0,MIN(AR330,M$7+IF(M$2=$AA330,$AC330,IF(M$2=$AF330,$AG330,0))))</f>
        <v/>
      </c>
      <c r="Z330">
        <f>IF(N329&lt;=0,0,MIN(AS330,N$7+IF(N$2=$AA330,$AC330,IF(N$2=$AF330,$AG330,0))))</f>
        <v/>
      </c>
      <c r="AA330">
        <f>IFERROR(ROUND(1/SUMPRODUCT(MAX((C329:N329&gt;0)*($C$3:$N$3&lt;=B330)/$C$2:$N$2)),0),0)</f>
        <v/>
      </c>
      <c r="AB330">
        <f>SUMPRODUCT((C329:N329&gt;0)*$C$7:$N$7)</f>
        <v/>
      </c>
      <c r="AC330">
        <f>MAX(0,Plan!$C$5-AB330)+IF(A330=Plan!$C$8,N(Plan!$C$7),0)</f>
        <v/>
      </c>
      <c r="AD330">
        <f>SUM(C330:N330)</f>
        <v/>
      </c>
      <c r="AE330">
        <f>SUM(O330:Z330)</f>
        <v/>
      </c>
      <c r="AF330">
        <f>IFERROR(ROUND(1/SUMPRODUCT(MAX((C329:N329&gt;0)*($C$3:$N$3&lt;=B330)*($C$2:$N$2&gt;AA330)/$C$2:$N$2)),0),0)</f>
        <v/>
      </c>
      <c r="AG330">
        <f>MAX(0,AC330-MAX(0,SUMPRODUCT(($C$2:$N$2=AA330)*(AH330:AS330-$C$7:$N$7))))</f>
        <v/>
      </c>
      <c r="AH330">
        <f>IF(C329&lt;=0,0,ROUND(C329*(1+IF(AND(C$6&gt;0,$B330&lt;C$6),C$4,C$5)/12),2))</f>
        <v/>
      </c>
      <c r="AI330">
        <f>IF(D329&lt;=0,0,ROUND(D329*(1+IF(AND(D$6&gt;0,$B330&lt;D$6),D$4,D$5)/12),2))</f>
        <v/>
      </c>
      <c r="AJ330">
        <f>IF(E329&lt;=0,0,ROUND(E329*(1+IF(AND(E$6&gt;0,$B330&lt;E$6),E$4,E$5)/12),2))</f>
        <v/>
      </c>
      <c r="AK330">
        <f>IF(F329&lt;=0,0,ROUND(F329*(1+IF(AND(F$6&gt;0,$B330&lt;F$6),F$4,F$5)/12),2))</f>
        <v/>
      </c>
      <c r="AL330">
        <f>IF(G329&lt;=0,0,ROUND(G329*(1+IF(AND(G$6&gt;0,$B330&lt;G$6),G$4,G$5)/12),2))</f>
        <v/>
      </c>
      <c r="AM330">
        <f>IF(H329&lt;=0,0,ROUND(H329*(1+IF(AND(H$6&gt;0,$B330&lt;H$6),H$4,H$5)/12),2))</f>
        <v/>
      </c>
      <c r="AN330">
        <f>IF(I329&lt;=0,0,ROUND(I329*(1+IF(AND(I$6&gt;0,$B330&lt;I$6),I$4,I$5)/12),2))</f>
        <v/>
      </c>
      <c r="AO330">
        <f>IF(J329&lt;=0,0,ROUND(J329*(1+IF(AND(J$6&gt;0,$B330&lt;J$6),J$4,J$5)/12),2))</f>
        <v/>
      </c>
      <c r="AP330">
        <f>IF(K329&lt;=0,0,ROUND(K329*(1+IF(AND(K$6&gt;0,$B330&lt;K$6),K$4,K$5)/12),2))</f>
        <v/>
      </c>
      <c r="AQ330">
        <f>IF(L329&lt;=0,0,ROUND(L329*(1+IF(AND(L$6&gt;0,$B330&lt;L$6),L$4,L$5)/12),2))</f>
        <v/>
      </c>
      <c r="AR330">
        <f>IF(M329&lt;=0,0,ROUND(M329*(1+IF(AND(M$6&gt;0,$B330&lt;M$6),M$4,M$5)/12),2))</f>
        <v/>
      </c>
      <c r="AS330">
        <f>IF(N329&lt;=0,0,ROUND(N329*(1+IF(AND(N$6&gt;0,$B330&lt;N$6),N$4,N$5)/12),2))</f>
        <v/>
      </c>
    </row>
    <row r="331">
      <c r="A331" t="n">
        <v>320</v>
      </c>
      <c r="B331">
        <f>EDATE(Plan!$C$6,319)</f>
        <v/>
      </c>
      <c r="C331">
        <f>IF(C330&lt;=0,0,MAX(0,AH331-O331))</f>
        <v/>
      </c>
      <c r="D331">
        <f>IF(D330&lt;=0,0,MAX(0,AI331-P331))</f>
        <v/>
      </c>
      <c r="E331">
        <f>IF(E330&lt;=0,0,MAX(0,AJ331-Q331))</f>
        <v/>
      </c>
      <c r="F331">
        <f>IF(F330&lt;=0,0,MAX(0,AK331-R331))</f>
        <v/>
      </c>
      <c r="G331">
        <f>IF(G330&lt;=0,0,MAX(0,AL331-S331))</f>
        <v/>
      </c>
      <c r="H331">
        <f>IF(H330&lt;=0,0,MAX(0,AM331-T331))</f>
        <v/>
      </c>
      <c r="I331">
        <f>IF(I330&lt;=0,0,MAX(0,AN331-U331))</f>
        <v/>
      </c>
      <c r="J331">
        <f>IF(J330&lt;=0,0,MAX(0,AO331-V331))</f>
        <v/>
      </c>
      <c r="K331">
        <f>IF(K330&lt;=0,0,MAX(0,AP331-W331))</f>
        <v/>
      </c>
      <c r="L331">
        <f>IF(L330&lt;=0,0,MAX(0,AQ331-X331))</f>
        <v/>
      </c>
      <c r="M331">
        <f>IF(M330&lt;=0,0,MAX(0,AR331-Y331))</f>
        <v/>
      </c>
      <c r="N331">
        <f>IF(N330&lt;=0,0,MAX(0,AS331-Z331))</f>
        <v/>
      </c>
      <c r="O331">
        <f>IF(C330&lt;=0,0,MIN(AH331,C$7+IF(C$2=$AA331,$AC331,IF(C$2=$AF331,$AG331,0))))</f>
        <v/>
      </c>
      <c r="P331">
        <f>IF(D330&lt;=0,0,MIN(AI331,D$7+IF(D$2=$AA331,$AC331,IF(D$2=$AF331,$AG331,0))))</f>
        <v/>
      </c>
      <c r="Q331">
        <f>IF(E330&lt;=0,0,MIN(AJ331,E$7+IF(E$2=$AA331,$AC331,IF(E$2=$AF331,$AG331,0))))</f>
        <v/>
      </c>
      <c r="R331">
        <f>IF(F330&lt;=0,0,MIN(AK331,F$7+IF(F$2=$AA331,$AC331,IF(F$2=$AF331,$AG331,0))))</f>
        <v/>
      </c>
      <c r="S331">
        <f>IF(G330&lt;=0,0,MIN(AL331,G$7+IF(G$2=$AA331,$AC331,IF(G$2=$AF331,$AG331,0))))</f>
        <v/>
      </c>
      <c r="T331">
        <f>IF(H330&lt;=0,0,MIN(AM331,H$7+IF(H$2=$AA331,$AC331,IF(H$2=$AF331,$AG331,0))))</f>
        <v/>
      </c>
      <c r="U331">
        <f>IF(I330&lt;=0,0,MIN(AN331,I$7+IF(I$2=$AA331,$AC331,IF(I$2=$AF331,$AG331,0))))</f>
        <v/>
      </c>
      <c r="V331">
        <f>IF(J330&lt;=0,0,MIN(AO331,J$7+IF(J$2=$AA331,$AC331,IF(J$2=$AF331,$AG331,0))))</f>
        <v/>
      </c>
      <c r="W331">
        <f>IF(K330&lt;=0,0,MIN(AP331,K$7+IF(K$2=$AA331,$AC331,IF(K$2=$AF331,$AG331,0))))</f>
        <v/>
      </c>
      <c r="X331">
        <f>IF(L330&lt;=0,0,MIN(AQ331,L$7+IF(L$2=$AA331,$AC331,IF(L$2=$AF331,$AG331,0))))</f>
        <v/>
      </c>
      <c r="Y331">
        <f>IF(M330&lt;=0,0,MIN(AR331,M$7+IF(M$2=$AA331,$AC331,IF(M$2=$AF331,$AG331,0))))</f>
        <v/>
      </c>
      <c r="Z331">
        <f>IF(N330&lt;=0,0,MIN(AS331,N$7+IF(N$2=$AA331,$AC331,IF(N$2=$AF331,$AG331,0))))</f>
        <v/>
      </c>
      <c r="AA331">
        <f>IFERROR(ROUND(1/SUMPRODUCT(MAX((C330:N330&gt;0)*($C$3:$N$3&lt;=B331)/$C$2:$N$2)),0),0)</f>
        <v/>
      </c>
      <c r="AB331">
        <f>SUMPRODUCT((C330:N330&gt;0)*$C$7:$N$7)</f>
        <v/>
      </c>
      <c r="AC331">
        <f>MAX(0,Plan!$C$5-AB331)+IF(A331=Plan!$C$8,N(Plan!$C$7),0)</f>
        <v/>
      </c>
      <c r="AD331">
        <f>SUM(C331:N331)</f>
        <v/>
      </c>
      <c r="AE331">
        <f>SUM(O331:Z331)</f>
        <v/>
      </c>
      <c r="AF331">
        <f>IFERROR(ROUND(1/SUMPRODUCT(MAX((C330:N330&gt;0)*($C$3:$N$3&lt;=B331)*($C$2:$N$2&gt;AA331)/$C$2:$N$2)),0),0)</f>
        <v/>
      </c>
      <c r="AG331">
        <f>MAX(0,AC331-MAX(0,SUMPRODUCT(($C$2:$N$2=AA331)*(AH331:AS331-$C$7:$N$7))))</f>
        <v/>
      </c>
      <c r="AH331">
        <f>IF(C330&lt;=0,0,ROUND(C330*(1+IF(AND(C$6&gt;0,$B331&lt;C$6),C$4,C$5)/12),2))</f>
        <v/>
      </c>
      <c r="AI331">
        <f>IF(D330&lt;=0,0,ROUND(D330*(1+IF(AND(D$6&gt;0,$B331&lt;D$6),D$4,D$5)/12),2))</f>
        <v/>
      </c>
      <c r="AJ331">
        <f>IF(E330&lt;=0,0,ROUND(E330*(1+IF(AND(E$6&gt;0,$B331&lt;E$6),E$4,E$5)/12),2))</f>
        <v/>
      </c>
      <c r="AK331">
        <f>IF(F330&lt;=0,0,ROUND(F330*(1+IF(AND(F$6&gt;0,$B331&lt;F$6),F$4,F$5)/12),2))</f>
        <v/>
      </c>
      <c r="AL331">
        <f>IF(G330&lt;=0,0,ROUND(G330*(1+IF(AND(G$6&gt;0,$B331&lt;G$6),G$4,G$5)/12),2))</f>
        <v/>
      </c>
      <c r="AM331">
        <f>IF(H330&lt;=0,0,ROUND(H330*(1+IF(AND(H$6&gt;0,$B331&lt;H$6),H$4,H$5)/12),2))</f>
        <v/>
      </c>
      <c r="AN331">
        <f>IF(I330&lt;=0,0,ROUND(I330*(1+IF(AND(I$6&gt;0,$B331&lt;I$6),I$4,I$5)/12),2))</f>
        <v/>
      </c>
      <c r="AO331">
        <f>IF(J330&lt;=0,0,ROUND(J330*(1+IF(AND(J$6&gt;0,$B331&lt;J$6),J$4,J$5)/12),2))</f>
        <v/>
      </c>
      <c r="AP331">
        <f>IF(K330&lt;=0,0,ROUND(K330*(1+IF(AND(K$6&gt;0,$B331&lt;K$6),K$4,K$5)/12),2))</f>
        <v/>
      </c>
      <c r="AQ331">
        <f>IF(L330&lt;=0,0,ROUND(L330*(1+IF(AND(L$6&gt;0,$B331&lt;L$6),L$4,L$5)/12),2))</f>
        <v/>
      </c>
      <c r="AR331">
        <f>IF(M330&lt;=0,0,ROUND(M330*(1+IF(AND(M$6&gt;0,$B331&lt;M$6),M$4,M$5)/12),2))</f>
        <v/>
      </c>
      <c r="AS331">
        <f>IF(N330&lt;=0,0,ROUND(N330*(1+IF(AND(N$6&gt;0,$B331&lt;N$6),N$4,N$5)/12),2))</f>
        <v/>
      </c>
    </row>
    <row r="332">
      <c r="A332" t="n">
        <v>321</v>
      </c>
      <c r="B332">
        <f>EDATE(Plan!$C$6,320)</f>
        <v/>
      </c>
      <c r="C332">
        <f>IF(C331&lt;=0,0,MAX(0,AH332-O332))</f>
        <v/>
      </c>
      <c r="D332">
        <f>IF(D331&lt;=0,0,MAX(0,AI332-P332))</f>
        <v/>
      </c>
      <c r="E332">
        <f>IF(E331&lt;=0,0,MAX(0,AJ332-Q332))</f>
        <v/>
      </c>
      <c r="F332">
        <f>IF(F331&lt;=0,0,MAX(0,AK332-R332))</f>
        <v/>
      </c>
      <c r="G332">
        <f>IF(G331&lt;=0,0,MAX(0,AL332-S332))</f>
        <v/>
      </c>
      <c r="H332">
        <f>IF(H331&lt;=0,0,MAX(0,AM332-T332))</f>
        <v/>
      </c>
      <c r="I332">
        <f>IF(I331&lt;=0,0,MAX(0,AN332-U332))</f>
        <v/>
      </c>
      <c r="J332">
        <f>IF(J331&lt;=0,0,MAX(0,AO332-V332))</f>
        <v/>
      </c>
      <c r="K332">
        <f>IF(K331&lt;=0,0,MAX(0,AP332-W332))</f>
        <v/>
      </c>
      <c r="L332">
        <f>IF(L331&lt;=0,0,MAX(0,AQ332-X332))</f>
        <v/>
      </c>
      <c r="M332">
        <f>IF(M331&lt;=0,0,MAX(0,AR332-Y332))</f>
        <v/>
      </c>
      <c r="N332">
        <f>IF(N331&lt;=0,0,MAX(0,AS332-Z332))</f>
        <v/>
      </c>
      <c r="O332">
        <f>IF(C331&lt;=0,0,MIN(AH332,C$7+IF(C$2=$AA332,$AC332,IF(C$2=$AF332,$AG332,0))))</f>
        <v/>
      </c>
      <c r="P332">
        <f>IF(D331&lt;=0,0,MIN(AI332,D$7+IF(D$2=$AA332,$AC332,IF(D$2=$AF332,$AG332,0))))</f>
        <v/>
      </c>
      <c r="Q332">
        <f>IF(E331&lt;=0,0,MIN(AJ332,E$7+IF(E$2=$AA332,$AC332,IF(E$2=$AF332,$AG332,0))))</f>
        <v/>
      </c>
      <c r="R332">
        <f>IF(F331&lt;=0,0,MIN(AK332,F$7+IF(F$2=$AA332,$AC332,IF(F$2=$AF332,$AG332,0))))</f>
        <v/>
      </c>
      <c r="S332">
        <f>IF(G331&lt;=0,0,MIN(AL332,G$7+IF(G$2=$AA332,$AC332,IF(G$2=$AF332,$AG332,0))))</f>
        <v/>
      </c>
      <c r="T332">
        <f>IF(H331&lt;=0,0,MIN(AM332,H$7+IF(H$2=$AA332,$AC332,IF(H$2=$AF332,$AG332,0))))</f>
        <v/>
      </c>
      <c r="U332">
        <f>IF(I331&lt;=0,0,MIN(AN332,I$7+IF(I$2=$AA332,$AC332,IF(I$2=$AF332,$AG332,0))))</f>
        <v/>
      </c>
      <c r="V332">
        <f>IF(J331&lt;=0,0,MIN(AO332,J$7+IF(J$2=$AA332,$AC332,IF(J$2=$AF332,$AG332,0))))</f>
        <v/>
      </c>
      <c r="W332">
        <f>IF(K331&lt;=0,0,MIN(AP332,K$7+IF(K$2=$AA332,$AC332,IF(K$2=$AF332,$AG332,0))))</f>
        <v/>
      </c>
      <c r="X332">
        <f>IF(L331&lt;=0,0,MIN(AQ332,L$7+IF(L$2=$AA332,$AC332,IF(L$2=$AF332,$AG332,0))))</f>
        <v/>
      </c>
      <c r="Y332">
        <f>IF(M331&lt;=0,0,MIN(AR332,M$7+IF(M$2=$AA332,$AC332,IF(M$2=$AF332,$AG332,0))))</f>
        <v/>
      </c>
      <c r="Z332">
        <f>IF(N331&lt;=0,0,MIN(AS332,N$7+IF(N$2=$AA332,$AC332,IF(N$2=$AF332,$AG332,0))))</f>
        <v/>
      </c>
      <c r="AA332">
        <f>IFERROR(ROUND(1/SUMPRODUCT(MAX((C331:N331&gt;0)*($C$3:$N$3&lt;=B332)/$C$2:$N$2)),0),0)</f>
        <v/>
      </c>
      <c r="AB332">
        <f>SUMPRODUCT((C331:N331&gt;0)*$C$7:$N$7)</f>
        <v/>
      </c>
      <c r="AC332">
        <f>MAX(0,Plan!$C$5-AB332)+IF(A332=Plan!$C$8,N(Plan!$C$7),0)</f>
        <v/>
      </c>
      <c r="AD332">
        <f>SUM(C332:N332)</f>
        <v/>
      </c>
      <c r="AE332">
        <f>SUM(O332:Z332)</f>
        <v/>
      </c>
      <c r="AF332">
        <f>IFERROR(ROUND(1/SUMPRODUCT(MAX((C331:N331&gt;0)*($C$3:$N$3&lt;=B332)*($C$2:$N$2&gt;AA332)/$C$2:$N$2)),0),0)</f>
        <v/>
      </c>
      <c r="AG332">
        <f>MAX(0,AC332-MAX(0,SUMPRODUCT(($C$2:$N$2=AA332)*(AH332:AS332-$C$7:$N$7))))</f>
        <v/>
      </c>
      <c r="AH332">
        <f>IF(C331&lt;=0,0,ROUND(C331*(1+IF(AND(C$6&gt;0,$B332&lt;C$6),C$4,C$5)/12),2))</f>
        <v/>
      </c>
      <c r="AI332">
        <f>IF(D331&lt;=0,0,ROUND(D331*(1+IF(AND(D$6&gt;0,$B332&lt;D$6),D$4,D$5)/12),2))</f>
        <v/>
      </c>
      <c r="AJ332">
        <f>IF(E331&lt;=0,0,ROUND(E331*(1+IF(AND(E$6&gt;0,$B332&lt;E$6),E$4,E$5)/12),2))</f>
        <v/>
      </c>
      <c r="AK332">
        <f>IF(F331&lt;=0,0,ROUND(F331*(1+IF(AND(F$6&gt;0,$B332&lt;F$6),F$4,F$5)/12),2))</f>
        <v/>
      </c>
      <c r="AL332">
        <f>IF(G331&lt;=0,0,ROUND(G331*(1+IF(AND(G$6&gt;0,$B332&lt;G$6),G$4,G$5)/12),2))</f>
        <v/>
      </c>
      <c r="AM332">
        <f>IF(H331&lt;=0,0,ROUND(H331*(1+IF(AND(H$6&gt;0,$B332&lt;H$6),H$4,H$5)/12),2))</f>
        <v/>
      </c>
      <c r="AN332">
        <f>IF(I331&lt;=0,0,ROUND(I331*(1+IF(AND(I$6&gt;0,$B332&lt;I$6),I$4,I$5)/12),2))</f>
        <v/>
      </c>
      <c r="AO332">
        <f>IF(J331&lt;=0,0,ROUND(J331*(1+IF(AND(J$6&gt;0,$B332&lt;J$6),J$4,J$5)/12),2))</f>
        <v/>
      </c>
      <c r="AP332">
        <f>IF(K331&lt;=0,0,ROUND(K331*(1+IF(AND(K$6&gt;0,$B332&lt;K$6),K$4,K$5)/12),2))</f>
        <v/>
      </c>
      <c r="AQ332">
        <f>IF(L331&lt;=0,0,ROUND(L331*(1+IF(AND(L$6&gt;0,$B332&lt;L$6),L$4,L$5)/12),2))</f>
        <v/>
      </c>
      <c r="AR332">
        <f>IF(M331&lt;=0,0,ROUND(M331*(1+IF(AND(M$6&gt;0,$B332&lt;M$6),M$4,M$5)/12),2))</f>
        <v/>
      </c>
      <c r="AS332">
        <f>IF(N331&lt;=0,0,ROUND(N331*(1+IF(AND(N$6&gt;0,$B332&lt;N$6),N$4,N$5)/12),2))</f>
        <v/>
      </c>
    </row>
    <row r="333">
      <c r="A333" t="n">
        <v>322</v>
      </c>
      <c r="B333">
        <f>EDATE(Plan!$C$6,321)</f>
        <v/>
      </c>
      <c r="C333">
        <f>IF(C332&lt;=0,0,MAX(0,AH333-O333))</f>
        <v/>
      </c>
      <c r="D333">
        <f>IF(D332&lt;=0,0,MAX(0,AI333-P333))</f>
        <v/>
      </c>
      <c r="E333">
        <f>IF(E332&lt;=0,0,MAX(0,AJ333-Q333))</f>
        <v/>
      </c>
      <c r="F333">
        <f>IF(F332&lt;=0,0,MAX(0,AK333-R333))</f>
        <v/>
      </c>
      <c r="G333">
        <f>IF(G332&lt;=0,0,MAX(0,AL333-S333))</f>
        <v/>
      </c>
      <c r="H333">
        <f>IF(H332&lt;=0,0,MAX(0,AM333-T333))</f>
        <v/>
      </c>
      <c r="I333">
        <f>IF(I332&lt;=0,0,MAX(0,AN333-U333))</f>
        <v/>
      </c>
      <c r="J333">
        <f>IF(J332&lt;=0,0,MAX(0,AO333-V333))</f>
        <v/>
      </c>
      <c r="K333">
        <f>IF(K332&lt;=0,0,MAX(0,AP333-W333))</f>
        <v/>
      </c>
      <c r="L333">
        <f>IF(L332&lt;=0,0,MAX(0,AQ333-X333))</f>
        <v/>
      </c>
      <c r="M333">
        <f>IF(M332&lt;=0,0,MAX(0,AR333-Y333))</f>
        <v/>
      </c>
      <c r="N333">
        <f>IF(N332&lt;=0,0,MAX(0,AS333-Z333))</f>
        <v/>
      </c>
      <c r="O333">
        <f>IF(C332&lt;=0,0,MIN(AH333,C$7+IF(C$2=$AA333,$AC333,IF(C$2=$AF333,$AG333,0))))</f>
        <v/>
      </c>
      <c r="P333">
        <f>IF(D332&lt;=0,0,MIN(AI333,D$7+IF(D$2=$AA333,$AC333,IF(D$2=$AF333,$AG333,0))))</f>
        <v/>
      </c>
      <c r="Q333">
        <f>IF(E332&lt;=0,0,MIN(AJ333,E$7+IF(E$2=$AA333,$AC333,IF(E$2=$AF333,$AG333,0))))</f>
        <v/>
      </c>
      <c r="R333">
        <f>IF(F332&lt;=0,0,MIN(AK333,F$7+IF(F$2=$AA333,$AC333,IF(F$2=$AF333,$AG333,0))))</f>
        <v/>
      </c>
      <c r="S333">
        <f>IF(G332&lt;=0,0,MIN(AL333,G$7+IF(G$2=$AA333,$AC333,IF(G$2=$AF333,$AG333,0))))</f>
        <v/>
      </c>
      <c r="T333">
        <f>IF(H332&lt;=0,0,MIN(AM333,H$7+IF(H$2=$AA333,$AC333,IF(H$2=$AF333,$AG333,0))))</f>
        <v/>
      </c>
      <c r="U333">
        <f>IF(I332&lt;=0,0,MIN(AN333,I$7+IF(I$2=$AA333,$AC333,IF(I$2=$AF333,$AG333,0))))</f>
        <v/>
      </c>
      <c r="V333">
        <f>IF(J332&lt;=0,0,MIN(AO333,J$7+IF(J$2=$AA333,$AC333,IF(J$2=$AF333,$AG333,0))))</f>
        <v/>
      </c>
      <c r="W333">
        <f>IF(K332&lt;=0,0,MIN(AP333,K$7+IF(K$2=$AA333,$AC333,IF(K$2=$AF333,$AG333,0))))</f>
        <v/>
      </c>
      <c r="X333">
        <f>IF(L332&lt;=0,0,MIN(AQ333,L$7+IF(L$2=$AA333,$AC333,IF(L$2=$AF333,$AG333,0))))</f>
        <v/>
      </c>
      <c r="Y333">
        <f>IF(M332&lt;=0,0,MIN(AR333,M$7+IF(M$2=$AA333,$AC333,IF(M$2=$AF333,$AG333,0))))</f>
        <v/>
      </c>
      <c r="Z333">
        <f>IF(N332&lt;=0,0,MIN(AS333,N$7+IF(N$2=$AA333,$AC333,IF(N$2=$AF333,$AG333,0))))</f>
        <v/>
      </c>
      <c r="AA333">
        <f>IFERROR(ROUND(1/SUMPRODUCT(MAX((C332:N332&gt;0)*($C$3:$N$3&lt;=B333)/$C$2:$N$2)),0),0)</f>
        <v/>
      </c>
      <c r="AB333">
        <f>SUMPRODUCT((C332:N332&gt;0)*$C$7:$N$7)</f>
        <v/>
      </c>
      <c r="AC333">
        <f>MAX(0,Plan!$C$5-AB333)+IF(A333=Plan!$C$8,N(Plan!$C$7),0)</f>
        <v/>
      </c>
      <c r="AD333">
        <f>SUM(C333:N333)</f>
        <v/>
      </c>
      <c r="AE333">
        <f>SUM(O333:Z333)</f>
        <v/>
      </c>
      <c r="AF333">
        <f>IFERROR(ROUND(1/SUMPRODUCT(MAX((C332:N332&gt;0)*($C$3:$N$3&lt;=B333)*($C$2:$N$2&gt;AA333)/$C$2:$N$2)),0),0)</f>
        <v/>
      </c>
      <c r="AG333">
        <f>MAX(0,AC333-MAX(0,SUMPRODUCT(($C$2:$N$2=AA333)*(AH333:AS333-$C$7:$N$7))))</f>
        <v/>
      </c>
      <c r="AH333">
        <f>IF(C332&lt;=0,0,ROUND(C332*(1+IF(AND(C$6&gt;0,$B333&lt;C$6),C$4,C$5)/12),2))</f>
        <v/>
      </c>
      <c r="AI333">
        <f>IF(D332&lt;=0,0,ROUND(D332*(1+IF(AND(D$6&gt;0,$B333&lt;D$6),D$4,D$5)/12),2))</f>
        <v/>
      </c>
      <c r="AJ333">
        <f>IF(E332&lt;=0,0,ROUND(E332*(1+IF(AND(E$6&gt;0,$B333&lt;E$6),E$4,E$5)/12),2))</f>
        <v/>
      </c>
      <c r="AK333">
        <f>IF(F332&lt;=0,0,ROUND(F332*(1+IF(AND(F$6&gt;0,$B333&lt;F$6),F$4,F$5)/12),2))</f>
        <v/>
      </c>
      <c r="AL333">
        <f>IF(G332&lt;=0,0,ROUND(G332*(1+IF(AND(G$6&gt;0,$B333&lt;G$6),G$4,G$5)/12),2))</f>
        <v/>
      </c>
      <c r="AM333">
        <f>IF(H332&lt;=0,0,ROUND(H332*(1+IF(AND(H$6&gt;0,$B333&lt;H$6),H$4,H$5)/12),2))</f>
        <v/>
      </c>
      <c r="AN333">
        <f>IF(I332&lt;=0,0,ROUND(I332*(1+IF(AND(I$6&gt;0,$B333&lt;I$6),I$4,I$5)/12),2))</f>
        <v/>
      </c>
      <c r="AO333">
        <f>IF(J332&lt;=0,0,ROUND(J332*(1+IF(AND(J$6&gt;0,$B333&lt;J$6),J$4,J$5)/12),2))</f>
        <v/>
      </c>
      <c r="AP333">
        <f>IF(K332&lt;=0,0,ROUND(K332*(1+IF(AND(K$6&gt;0,$B333&lt;K$6),K$4,K$5)/12),2))</f>
        <v/>
      </c>
      <c r="AQ333">
        <f>IF(L332&lt;=0,0,ROUND(L332*(1+IF(AND(L$6&gt;0,$B333&lt;L$6),L$4,L$5)/12),2))</f>
        <v/>
      </c>
      <c r="AR333">
        <f>IF(M332&lt;=0,0,ROUND(M332*(1+IF(AND(M$6&gt;0,$B333&lt;M$6),M$4,M$5)/12),2))</f>
        <v/>
      </c>
      <c r="AS333">
        <f>IF(N332&lt;=0,0,ROUND(N332*(1+IF(AND(N$6&gt;0,$B333&lt;N$6),N$4,N$5)/12),2))</f>
        <v/>
      </c>
    </row>
    <row r="334">
      <c r="A334" t="n">
        <v>323</v>
      </c>
      <c r="B334">
        <f>EDATE(Plan!$C$6,322)</f>
        <v/>
      </c>
      <c r="C334">
        <f>IF(C333&lt;=0,0,MAX(0,AH334-O334))</f>
        <v/>
      </c>
      <c r="D334">
        <f>IF(D333&lt;=0,0,MAX(0,AI334-P334))</f>
        <v/>
      </c>
      <c r="E334">
        <f>IF(E333&lt;=0,0,MAX(0,AJ334-Q334))</f>
        <v/>
      </c>
      <c r="F334">
        <f>IF(F333&lt;=0,0,MAX(0,AK334-R334))</f>
        <v/>
      </c>
      <c r="G334">
        <f>IF(G333&lt;=0,0,MAX(0,AL334-S334))</f>
        <v/>
      </c>
      <c r="H334">
        <f>IF(H333&lt;=0,0,MAX(0,AM334-T334))</f>
        <v/>
      </c>
      <c r="I334">
        <f>IF(I333&lt;=0,0,MAX(0,AN334-U334))</f>
        <v/>
      </c>
      <c r="J334">
        <f>IF(J333&lt;=0,0,MAX(0,AO334-V334))</f>
        <v/>
      </c>
      <c r="K334">
        <f>IF(K333&lt;=0,0,MAX(0,AP334-W334))</f>
        <v/>
      </c>
      <c r="L334">
        <f>IF(L333&lt;=0,0,MAX(0,AQ334-X334))</f>
        <v/>
      </c>
      <c r="M334">
        <f>IF(M333&lt;=0,0,MAX(0,AR334-Y334))</f>
        <v/>
      </c>
      <c r="N334">
        <f>IF(N333&lt;=0,0,MAX(0,AS334-Z334))</f>
        <v/>
      </c>
      <c r="O334">
        <f>IF(C333&lt;=0,0,MIN(AH334,C$7+IF(C$2=$AA334,$AC334,IF(C$2=$AF334,$AG334,0))))</f>
        <v/>
      </c>
      <c r="P334">
        <f>IF(D333&lt;=0,0,MIN(AI334,D$7+IF(D$2=$AA334,$AC334,IF(D$2=$AF334,$AG334,0))))</f>
        <v/>
      </c>
      <c r="Q334">
        <f>IF(E333&lt;=0,0,MIN(AJ334,E$7+IF(E$2=$AA334,$AC334,IF(E$2=$AF334,$AG334,0))))</f>
        <v/>
      </c>
      <c r="R334">
        <f>IF(F333&lt;=0,0,MIN(AK334,F$7+IF(F$2=$AA334,$AC334,IF(F$2=$AF334,$AG334,0))))</f>
        <v/>
      </c>
      <c r="S334">
        <f>IF(G333&lt;=0,0,MIN(AL334,G$7+IF(G$2=$AA334,$AC334,IF(G$2=$AF334,$AG334,0))))</f>
        <v/>
      </c>
      <c r="T334">
        <f>IF(H333&lt;=0,0,MIN(AM334,H$7+IF(H$2=$AA334,$AC334,IF(H$2=$AF334,$AG334,0))))</f>
        <v/>
      </c>
      <c r="U334">
        <f>IF(I333&lt;=0,0,MIN(AN334,I$7+IF(I$2=$AA334,$AC334,IF(I$2=$AF334,$AG334,0))))</f>
        <v/>
      </c>
      <c r="V334">
        <f>IF(J333&lt;=0,0,MIN(AO334,J$7+IF(J$2=$AA334,$AC334,IF(J$2=$AF334,$AG334,0))))</f>
        <v/>
      </c>
      <c r="W334">
        <f>IF(K333&lt;=0,0,MIN(AP334,K$7+IF(K$2=$AA334,$AC334,IF(K$2=$AF334,$AG334,0))))</f>
        <v/>
      </c>
      <c r="X334">
        <f>IF(L333&lt;=0,0,MIN(AQ334,L$7+IF(L$2=$AA334,$AC334,IF(L$2=$AF334,$AG334,0))))</f>
        <v/>
      </c>
      <c r="Y334">
        <f>IF(M333&lt;=0,0,MIN(AR334,M$7+IF(M$2=$AA334,$AC334,IF(M$2=$AF334,$AG334,0))))</f>
        <v/>
      </c>
      <c r="Z334">
        <f>IF(N333&lt;=0,0,MIN(AS334,N$7+IF(N$2=$AA334,$AC334,IF(N$2=$AF334,$AG334,0))))</f>
        <v/>
      </c>
      <c r="AA334">
        <f>IFERROR(ROUND(1/SUMPRODUCT(MAX((C333:N333&gt;0)*($C$3:$N$3&lt;=B334)/$C$2:$N$2)),0),0)</f>
        <v/>
      </c>
      <c r="AB334">
        <f>SUMPRODUCT((C333:N333&gt;0)*$C$7:$N$7)</f>
        <v/>
      </c>
      <c r="AC334">
        <f>MAX(0,Plan!$C$5-AB334)+IF(A334=Plan!$C$8,N(Plan!$C$7),0)</f>
        <v/>
      </c>
      <c r="AD334">
        <f>SUM(C334:N334)</f>
        <v/>
      </c>
      <c r="AE334">
        <f>SUM(O334:Z334)</f>
        <v/>
      </c>
      <c r="AF334">
        <f>IFERROR(ROUND(1/SUMPRODUCT(MAX((C333:N333&gt;0)*($C$3:$N$3&lt;=B334)*($C$2:$N$2&gt;AA334)/$C$2:$N$2)),0),0)</f>
        <v/>
      </c>
      <c r="AG334">
        <f>MAX(0,AC334-MAX(0,SUMPRODUCT(($C$2:$N$2=AA334)*(AH334:AS334-$C$7:$N$7))))</f>
        <v/>
      </c>
      <c r="AH334">
        <f>IF(C333&lt;=0,0,ROUND(C333*(1+IF(AND(C$6&gt;0,$B334&lt;C$6),C$4,C$5)/12),2))</f>
        <v/>
      </c>
      <c r="AI334">
        <f>IF(D333&lt;=0,0,ROUND(D333*(1+IF(AND(D$6&gt;0,$B334&lt;D$6),D$4,D$5)/12),2))</f>
        <v/>
      </c>
      <c r="AJ334">
        <f>IF(E333&lt;=0,0,ROUND(E333*(1+IF(AND(E$6&gt;0,$B334&lt;E$6),E$4,E$5)/12),2))</f>
        <v/>
      </c>
      <c r="AK334">
        <f>IF(F333&lt;=0,0,ROUND(F333*(1+IF(AND(F$6&gt;0,$B334&lt;F$6),F$4,F$5)/12),2))</f>
        <v/>
      </c>
      <c r="AL334">
        <f>IF(G333&lt;=0,0,ROUND(G333*(1+IF(AND(G$6&gt;0,$B334&lt;G$6),G$4,G$5)/12),2))</f>
        <v/>
      </c>
      <c r="AM334">
        <f>IF(H333&lt;=0,0,ROUND(H333*(1+IF(AND(H$6&gt;0,$B334&lt;H$6),H$4,H$5)/12),2))</f>
        <v/>
      </c>
      <c r="AN334">
        <f>IF(I333&lt;=0,0,ROUND(I333*(1+IF(AND(I$6&gt;0,$B334&lt;I$6),I$4,I$5)/12),2))</f>
        <v/>
      </c>
      <c r="AO334">
        <f>IF(J333&lt;=0,0,ROUND(J333*(1+IF(AND(J$6&gt;0,$B334&lt;J$6),J$4,J$5)/12),2))</f>
        <v/>
      </c>
      <c r="AP334">
        <f>IF(K333&lt;=0,0,ROUND(K333*(1+IF(AND(K$6&gt;0,$B334&lt;K$6),K$4,K$5)/12),2))</f>
        <v/>
      </c>
      <c r="AQ334">
        <f>IF(L333&lt;=0,0,ROUND(L333*(1+IF(AND(L$6&gt;0,$B334&lt;L$6),L$4,L$5)/12),2))</f>
        <v/>
      </c>
      <c r="AR334">
        <f>IF(M333&lt;=0,0,ROUND(M333*(1+IF(AND(M$6&gt;0,$B334&lt;M$6),M$4,M$5)/12),2))</f>
        <v/>
      </c>
      <c r="AS334">
        <f>IF(N333&lt;=0,0,ROUND(N333*(1+IF(AND(N$6&gt;0,$B334&lt;N$6),N$4,N$5)/12),2))</f>
        <v/>
      </c>
    </row>
    <row r="335">
      <c r="A335" t="n">
        <v>324</v>
      </c>
      <c r="B335">
        <f>EDATE(Plan!$C$6,323)</f>
        <v/>
      </c>
      <c r="C335">
        <f>IF(C334&lt;=0,0,MAX(0,AH335-O335))</f>
        <v/>
      </c>
      <c r="D335">
        <f>IF(D334&lt;=0,0,MAX(0,AI335-P335))</f>
        <v/>
      </c>
      <c r="E335">
        <f>IF(E334&lt;=0,0,MAX(0,AJ335-Q335))</f>
        <v/>
      </c>
      <c r="F335">
        <f>IF(F334&lt;=0,0,MAX(0,AK335-R335))</f>
        <v/>
      </c>
      <c r="G335">
        <f>IF(G334&lt;=0,0,MAX(0,AL335-S335))</f>
        <v/>
      </c>
      <c r="H335">
        <f>IF(H334&lt;=0,0,MAX(0,AM335-T335))</f>
        <v/>
      </c>
      <c r="I335">
        <f>IF(I334&lt;=0,0,MAX(0,AN335-U335))</f>
        <v/>
      </c>
      <c r="J335">
        <f>IF(J334&lt;=0,0,MAX(0,AO335-V335))</f>
        <v/>
      </c>
      <c r="K335">
        <f>IF(K334&lt;=0,0,MAX(0,AP335-W335))</f>
        <v/>
      </c>
      <c r="L335">
        <f>IF(L334&lt;=0,0,MAX(0,AQ335-X335))</f>
        <v/>
      </c>
      <c r="M335">
        <f>IF(M334&lt;=0,0,MAX(0,AR335-Y335))</f>
        <v/>
      </c>
      <c r="N335">
        <f>IF(N334&lt;=0,0,MAX(0,AS335-Z335))</f>
        <v/>
      </c>
      <c r="O335">
        <f>IF(C334&lt;=0,0,MIN(AH335,C$7+IF(C$2=$AA335,$AC335,IF(C$2=$AF335,$AG335,0))))</f>
        <v/>
      </c>
      <c r="P335">
        <f>IF(D334&lt;=0,0,MIN(AI335,D$7+IF(D$2=$AA335,$AC335,IF(D$2=$AF335,$AG335,0))))</f>
        <v/>
      </c>
      <c r="Q335">
        <f>IF(E334&lt;=0,0,MIN(AJ335,E$7+IF(E$2=$AA335,$AC335,IF(E$2=$AF335,$AG335,0))))</f>
        <v/>
      </c>
      <c r="R335">
        <f>IF(F334&lt;=0,0,MIN(AK335,F$7+IF(F$2=$AA335,$AC335,IF(F$2=$AF335,$AG335,0))))</f>
        <v/>
      </c>
      <c r="S335">
        <f>IF(G334&lt;=0,0,MIN(AL335,G$7+IF(G$2=$AA335,$AC335,IF(G$2=$AF335,$AG335,0))))</f>
        <v/>
      </c>
      <c r="T335">
        <f>IF(H334&lt;=0,0,MIN(AM335,H$7+IF(H$2=$AA335,$AC335,IF(H$2=$AF335,$AG335,0))))</f>
        <v/>
      </c>
      <c r="U335">
        <f>IF(I334&lt;=0,0,MIN(AN335,I$7+IF(I$2=$AA335,$AC335,IF(I$2=$AF335,$AG335,0))))</f>
        <v/>
      </c>
      <c r="V335">
        <f>IF(J334&lt;=0,0,MIN(AO335,J$7+IF(J$2=$AA335,$AC335,IF(J$2=$AF335,$AG335,0))))</f>
        <v/>
      </c>
      <c r="W335">
        <f>IF(K334&lt;=0,0,MIN(AP335,K$7+IF(K$2=$AA335,$AC335,IF(K$2=$AF335,$AG335,0))))</f>
        <v/>
      </c>
      <c r="X335">
        <f>IF(L334&lt;=0,0,MIN(AQ335,L$7+IF(L$2=$AA335,$AC335,IF(L$2=$AF335,$AG335,0))))</f>
        <v/>
      </c>
      <c r="Y335">
        <f>IF(M334&lt;=0,0,MIN(AR335,M$7+IF(M$2=$AA335,$AC335,IF(M$2=$AF335,$AG335,0))))</f>
        <v/>
      </c>
      <c r="Z335">
        <f>IF(N334&lt;=0,0,MIN(AS335,N$7+IF(N$2=$AA335,$AC335,IF(N$2=$AF335,$AG335,0))))</f>
        <v/>
      </c>
      <c r="AA335">
        <f>IFERROR(ROUND(1/SUMPRODUCT(MAX((C334:N334&gt;0)*($C$3:$N$3&lt;=B335)/$C$2:$N$2)),0),0)</f>
        <v/>
      </c>
      <c r="AB335">
        <f>SUMPRODUCT((C334:N334&gt;0)*$C$7:$N$7)</f>
        <v/>
      </c>
      <c r="AC335">
        <f>MAX(0,Plan!$C$5-AB335)+IF(A335=Plan!$C$8,N(Plan!$C$7),0)</f>
        <v/>
      </c>
      <c r="AD335">
        <f>SUM(C335:N335)</f>
        <v/>
      </c>
      <c r="AE335">
        <f>SUM(O335:Z335)</f>
        <v/>
      </c>
      <c r="AF335">
        <f>IFERROR(ROUND(1/SUMPRODUCT(MAX((C334:N334&gt;0)*($C$3:$N$3&lt;=B335)*($C$2:$N$2&gt;AA335)/$C$2:$N$2)),0),0)</f>
        <v/>
      </c>
      <c r="AG335">
        <f>MAX(0,AC335-MAX(0,SUMPRODUCT(($C$2:$N$2=AA335)*(AH335:AS335-$C$7:$N$7))))</f>
        <v/>
      </c>
      <c r="AH335">
        <f>IF(C334&lt;=0,0,ROUND(C334*(1+IF(AND(C$6&gt;0,$B335&lt;C$6),C$4,C$5)/12),2))</f>
        <v/>
      </c>
      <c r="AI335">
        <f>IF(D334&lt;=0,0,ROUND(D334*(1+IF(AND(D$6&gt;0,$B335&lt;D$6),D$4,D$5)/12),2))</f>
        <v/>
      </c>
      <c r="AJ335">
        <f>IF(E334&lt;=0,0,ROUND(E334*(1+IF(AND(E$6&gt;0,$B335&lt;E$6),E$4,E$5)/12),2))</f>
        <v/>
      </c>
      <c r="AK335">
        <f>IF(F334&lt;=0,0,ROUND(F334*(1+IF(AND(F$6&gt;0,$B335&lt;F$6),F$4,F$5)/12),2))</f>
        <v/>
      </c>
      <c r="AL335">
        <f>IF(G334&lt;=0,0,ROUND(G334*(1+IF(AND(G$6&gt;0,$B335&lt;G$6),G$4,G$5)/12),2))</f>
        <v/>
      </c>
      <c r="AM335">
        <f>IF(H334&lt;=0,0,ROUND(H334*(1+IF(AND(H$6&gt;0,$B335&lt;H$6),H$4,H$5)/12),2))</f>
        <v/>
      </c>
      <c r="AN335">
        <f>IF(I334&lt;=0,0,ROUND(I334*(1+IF(AND(I$6&gt;0,$B335&lt;I$6),I$4,I$5)/12),2))</f>
        <v/>
      </c>
      <c r="AO335">
        <f>IF(J334&lt;=0,0,ROUND(J334*(1+IF(AND(J$6&gt;0,$B335&lt;J$6),J$4,J$5)/12),2))</f>
        <v/>
      </c>
      <c r="AP335">
        <f>IF(K334&lt;=0,0,ROUND(K334*(1+IF(AND(K$6&gt;0,$B335&lt;K$6),K$4,K$5)/12),2))</f>
        <v/>
      </c>
      <c r="AQ335">
        <f>IF(L334&lt;=0,0,ROUND(L334*(1+IF(AND(L$6&gt;0,$B335&lt;L$6),L$4,L$5)/12),2))</f>
        <v/>
      </c>
      <c r="AR335">
        <f>IF(M334&lt;=0,0,ROUND(M334*(1+IF(AND(M$6&gt;0,$B335&lt;M$6),M$4,M$5)/12),2))</f>
        <v/>
      </c>
      <c r="AS335">
        <f>IF(N334&lt;=0,0,ROUND(N334*(1+IF(AND(N$6&gt;0,$B335&lt;N$6),N$4,N$5)/12),2))</f>
        <v/>
      </c>
    </row>
    <row r="336">
      <c r="A336" t="n">
        <v>325</v>
      </c>
      <c r="B336">
        <f>EDATE(Plan!$C$6,324)</f>
        <v/>
      </c>
      <c r="C336">
        <f>IF(C335&lt;=0,0,MAX(0,AH336-O336))</f>
        <v/>
      </c>
      <c r="D336">
        <f>IF(D335&lt;=0,0,MAX(0,AI336-P336))</f>
        <v/>
      </c>
      <c r="E336">
        <f>IF(E335&lt;=0,0,MAX(0,AJ336-Q336))</f>
        <v/>
      </c>
      <c r="F336">
        <f>IF(F335&lt;=0,0,MAX(0,AK336-R336))</f>
        <v/>
      </c>
      <c r="G336">
        <f>IF(G335&lt;=0,0,MAX(0,AL336-S336))</f>
        <v/>
      </c>
      <c r="H336">
        <f>IF(H335&lt;=0,0,MAX(0,AM336-T336))</f>
        <v/>
      </c>
      <c r="I336">
        <f>IF(I335&lt;=0,0,MAX(0,AN336-U336))</f>
        <v/>
      </c>
      <c r="J336">
        <f>IF(J335&lt;=0,0,MAX(0,AO336-V336))</f>
        <v/>
      </c>
      <c r="K336">
        <f>IF(K335&lt;=0,0,MAX(0,AP336-W336))</f>
        <v/>
      </c>
      <c r="L336">
        <f>IF(L335&lt;=0,0,MAX(0,AQ336-X336))</f>
        <v/>
      </c>
      <c r="M336">
        <f>IF(M335&lt;=0,0,MAX(0,AR336-Y336))</f>
        <v/>
      </c>
      <c r="N336">
        <f>IF(N335&lt;=0,0,MAX(0,AS336-Z336))</f>
        <v/>
      </c>
      <c r="O336">
        <f>IF(C335&lt;=0,0,MIN(AH336,C$7+IF(C$2=$AA336,$AC336,IF(C$2=$AF336,$AG336,0))))</f>
        <v/>
      </c>
      <c r="P336">
        <f>IF(D335&lt;=0,0,MIN(AI336,D$7+IF(D$2=$AA336,$AC336,IF(D$2=$AF336,$AG336,0))))</f>
        <v/>
      </c>
      <c r="Q336">
        <f>IF(E335&lt;=0,0,MIN(AJ336,E$7+IF(E$2=$AA336,$AC336,IF(E$2=$AF336,$AG336,0))))</f>
        <v/>
      </c>
      <c r="R336">
        <f>IF(F335&lt;=0,0,MIN(AK336,F$7+IF(F$2=$AA336,$AC336,IF(F$2=$AF336,$AG336,0))))</f>
        <v/>
      </c>
      <c r="S336">
        <f>IF(G335&lt;=0,0,MIN(AL336,G$7+IF(G$2=$AA336,$AC336,IF(G$2=$AF336,$AG336,0))))</f>
        <v/>
      </c>
      <c r="T336">
        <f>IF(H335&lt;=0,0,MIN(AM336,H$7+IF(H$2=$AA336,$AC336,IF(H$2=$AF336,$AG336,0))))</f>
        <v/>
      </c>
      <c r="U336">
        <f>IF(I335&lt;=0,0,MIN(AN336,I$7+IF(I$2=$AA336,$AC336,IF(I$2=$AF336,$AG336,0))))</f>
        <v/>
      </c>
      <c r="V336">
        <f>IF(J335&lt;=0,0,MIN(AO336,J$7+IF(J$2=$AA336,$AC336,IF(J$2=$AF336,$AG336,0))))</f>
        <v/>
      </c>
      <c r="W336">
        <f>IF(K335&lt;=0,0,MIN(AP336,K$7+IF(K$2=$AA336,$AC336,IF(K$2=$AF336,$AG336,0))))</f>
        <v/>
      </c>
      <c r="X336">
        <f>IF(L335&lt;=0,0,MIN(AQ336,L$7+IF(L$2=$AA336,$AC336,IF(L$2=$AF336,$AG336,0))))</f>
        <v/>
      </c>
      <c r="Y336">
        <f>IF(M335&lt;=0,0,MIN(AR336,M$7+IF(M$2=$AA336,$AC336,IF(M$2=$AF336,$AG336,0))))</f>
        <v/>
      </c>
      <c r="Z336">
        <f>IF(N335&lt;=0,0,MIN(AS336,N$7+IF(N$2=$AA336,$AC336,IF(N$2=$AF336,$AG336,0))))</f>
        <v/>
      </c>
      <c r="AA336">
        <f>IFERROR(ROUND(1/SUMPRODUCT(MAX((C335:N335&gt;0)*($C$3:$N$3&lt;=B336)/$C$2:$N$2)),0),0)</f>
        <v/>
      </c>
      <c r="AB336">
        <f>SUMPRODUCT((C335:N335&gt;0)*$C$7:$N$7)</f>
        <v/>
      </c>
      <c r="AC336">
        <f>MAX(0,Plan!$C$5-AB336)+IF(A336=Plan!$C$8,N(Plan!$C$7),0)</f>
        <v/>
      </c>
      <c r="AD336">
        <f>SUM(C336:N336)</f>
        <v/>
      </c>
      <c r="AE336">
        <f>SUM(O336:Z336)</f>
        <v/>
      </c>
      <c r="AF336">
        <f>IFERROR(ROUND(1/SUMPRODUCT(MAX((C335:N335&gt;0)*($C$3:$N$3&lt;=B336)*($C$2:$N$2&gt;AA336)/$C$2:$N$2)),0),0)</f>
        <v/>
      </c>
      <c r="AG336">
        <f>MAX(0,AC336-MAX(0,SUMPRODUCT(($C$2:$N$2=AA336)*(AH336:AS336-$C$7:$N$7))))</f>
        <v/>
      </c>
      <c r="AH336">
        <f>IF(C335&lt;=0,0,ROUND(C335*(1+IF(AND(C$6&gt;0,$B336&lt;C$6),C$4,C$5)/12),2))</f>
        <v/>
      </c>
      <c r="AI336">
        <f>IF(D335&lt;=0,0,ROUND(D335*(1+IF(AND(D$6&gt;0,$B336&lt;D$6),D$4,D$5)/12),2))</f>
        <v/>
      </c>
      <c r="AJ336">
        <f>IF(E335&lt;=0,0,ROUND(E335*(1+IF(AND(E$6&gt;0,$B336&lt;E$6),E$4,E$5)/12),2))</f>
        <v/>
      </c>
      <c r="AK336">
        <f>IF(F335&lt;=0,0,ROUND(F335*(1+IF(AND(F$6&gt;0,$B336&lt;F$6),F$4,F$5)/12),2))</f>
        <v/>
      </c>
      <c r="AL336">
        <f>IF(G335&lt;=0,0,ROUND(G335*(1+IF(AND(G$6&gt;0,$B336&lt;G$6),G$4,G$5)/12),2))</f>
        <v/>
      </c>
      <c r="AM336">
        <f>IF(H335&lt;=0,0,ROUND(H335*(1+IF(AND(H$6&gt;0,$B336&lt;H$6),H$4,H$5)/12),2))</f>
        <v/>
      </c>
      <c r="AN336">
        <f>IF(I335&lt;=0,0,ROUND(I335*(1+IF(AND(I$6&gt;0,$B336&lt;I$6),I$4,I$5)/12),2))</f>
        <v/>
      </c>
      <c r="AO336">
        <f>IF(J335&lt;=0,0,ROUND(J335*(1+IF(AND(J$6&gt;0,$B336&lt;J$6),J$4,J$5)/12),2))</f>
        <v/>
      </c>
      <c r="AP336">
        <f>IF(K335&lt;=0,0,ROUND(K335*(1+IF(AND(K$6&gt;0,$B336&lt;K$6),K$4,K$5)/12),2))</f>
        <v/>
      </c>
      <c r="AQ336">
        <f>IF(L335&lt;=0,0,ROUND(L335*(1+IF(AND(L$6&gt;0,$B336&lt;L$6),L$4,L$5)/12),2))</f>
        <v/>
      </c>
      <c r="AR336">
        <f>IF(M335&lt;=0,0,ROUND(M335*(1+IF(AND(M$6&gt;0,$B336&lt;M$6),M$4,M$5)/12),2))</f>
        <v/>
      </c>
      <c r="AS336">
        <f>IF(N335&lt;=0,0,ROUND(N335*(1+IF(AND(N$6&gt;0,$B336&lt;N$6),N$4,N$5)/12),2))</f>
        <v/>
      </c>
    </row>
    <row r="337">
      <c r="A337" t="n">
        <v>326</v>
      </c>
      <c r="B337">
        <f>EDATE(Plan!$C$6,325)</f>
        <v/>
      </c>
      <c r="C337">
        <f>IF(C336&lt;=0,0,MAX(0,AH337-O337))</f>
        <v/>
      </c>
      <c r="D337">
        <f>IF(D336&lt;=0,0,MAX(0,AI337-P337))</f>
        <v/>
      </c>
      <c r="E337">
        <f>IF(E336&lt;=0,0,MAX(0,AJ337-Q337))</f>
        <v/>
      </c>
      <c r="F337">
        <f>IF(F336&lt;=0,0,MAX(0,AK337-R337))</f>
        <v/>
      </c>
      <c r="G337">
        <f>IF(G336&lt;=0,0,MAX(0,AL337-S337))</f>
        <v/>
      </c>
      <c r="H337">
        <f>IF(H336&lt;=0,0,MAX(0,AM337-T337))</f>
        <v/>
      </c>
      <c r="I337">
        <f>IF(I336&lt;=0,0,MAX(0,AN337-U337))</f>
        <v/>
      </c>
      <c r="J337">
        <f>IF(J336&lt;=0,0,MAX(0,AO337-V337))</f>
        <v/>
      </c>
      <c r="K337">
        <f>IF(K336&lt;=0,0,MAX(0,AP337-W337))</f>
        <v/>
      </c>
      <c r="L337">
        <f>IF(L336&lt;=0,0,MAX(0,AQ337-X337))</f>
        <v/>
      </c>
      <c r="M337">
        <f>IF(M336&lt;=0,0,MAX(0,AR337-Y337))</f>
        <v/>
      </c>
      <c r="N337">
        <f>IF(N336&lt;=0,0,MAX(0,AS337-Z337))</f>
        <v/>
      </c>
      <c r="O337">
        <f>IF(C336&lt;=0,0,MIN(AH337,C$7+IF(C$2=$AA337,$AC337,IF(C$2=$AF337,$AG337,0))))</f>
        <v/>
      </c>
      <c r="P337">
        <f>IF(D336&lt;=0,0,MIN(AI337,D$7+IF(D$2=$AA337,$AC337,IF(D$2=$AF337,$AG337,0))))</f>
        <v/>
      </c>
      <c r="Q337">
        <f>IF(E336&lt;=0,0,MIN(AJ337,E$7+IF(E$2=$AA337,$AC337,IF(E$2=$AF337,$AG337,0))))</f>
        <v/>
      </c>
      <c r="R337">
        <f>IF(F336&lt;=0,0,MIN(AK337,F$7+IF(F$2=$AA337,$AC337,IF(F$2=$AF337,$AG337,0))))</f>
        <v/>
      </c>
      <c r="S337">
        <f>IF(G336&lt;=0,0,MIN(AL337,G$7+IF(G$2=$AA337,$AC337,IF(G$2=$AF337,$AG337,0))))</f>
        <v/>
      </c>
      <c r="T337">
        <f>IF(H336&lt;=0,0,MIN(AM337,H$7+IF(H$2=$AA337,$AC337,IF(H$2=$AF337,$AG337,0))))</f>
        <v/>
      </c>
      <c r="U337">
        <f>IF(I336&lt;=0,0,MIN(AN337,I$7+IF(I$2=$AA337,$AC337,IF(I$2=$AF337,$AG337,0))))</f>
        <v/>
      </c>
      <c r="V337">
        <f>IF(J336&lt;=0,0,MIN(AO337,J$7+IF(J$2=$AA337,$AC337,IF(J$2=$AF337,$AG337,0))))</f>
        <v/>
      </c>
      <c r="W337">
        <f>IF(K336&lt;=0,0,MIN(AP337,K$7+IF(K$2=$AA337,$AC337,IF(K$2=$AF337,$AG337,0))))</f>
        <v/>
      </c>
      <c r="X337">
        <f>IF(L336&lt;=0,0,MIN(AQ337,L$7+IF(L$2=$AA337,$AC337,IF(L$2=$AF337,$AG337,0))))</f>
        <v/>
      </c>
      <c r="Y337">
        <f>IF(M336&lt;=0,0,MIN(AR337,M$7+IF(M$2=$AA337,$AC337,IF(M$2=$AF337,$AG337,0))))</f>
        <v/>
      </c>
      <c r="Z337">
        <f>IF(N336&lt;=0,0,MIN(AS337,N$7+IF(N$2=$AA337,$AC337,IF(N$2=$AF337,$AG337,0))))</f>
        <v/>
      </c>
      <c r="AA337">
        <f>IFERROR(ROUND(1/SUMPRODUCT(MAX((C336:N336&gt;0)*($C$3:$N$3&lt;=B337)/$C$2:$N$2)),0),0)</f>
        <v/>
      </c>
      <c r="AB337">
        <f>SUMPRODUCT((C336:N336&gt;0)*$C$7:$N$7)</f>
        <v/>
      </c>
      <c r="AC337">
        <f>MAX(0,Plan!$C$5-AB337)+IF(A337=Plan!$C$8,N(Plan!$C$7),0)</f>
        <v/>
      </c>
      <c r="AD337">
        <f>SUM(C337:N337)</f>
        <v/>
      </c>
      <c r="AE337">
        <f>SUM(O337:Z337)</f>
        <v/>
      </c>
      <c r="AF337">
        <f>IFERROR(ROUND(1/SUMPRODUCT(MAX((C336:N336&gt;0)*($C$3:$N$3&lt;=B337)*($C$2:$N$2&gt;AA337)/$C$2:$N$2)),0),0)</f>
        <v/>
      </c>
      <c r="AG337">
        <f>MAX(0,AC337-MAX(0,SUMPRODUCT(($C$2:$N$2=AA337)*(AH337:AS337-$C$7:$N$7))))</f>
        <v/>
      </c>
      <c r="AH337">
        <f>IF(C336&lt;=0,0,ROUND(C336*(1+IF(AND(C$6&gt;0,$B337&lt;C$6),C$4,C$5)/12),2))</f>
        <v/>
      </c>
      <c r="AI337">
        <f>IF(D336&lt;=0,0,ROUND(D336*(1+IF(AND(D$6&gt;0,$B337&lt;D$6),D$4,D$5)/12),2))</f>
        <v/>
      </c>
      <c r="AJ337">
        <f>IF(E336&lt;=0,0,ROUND(E336*(1+IF(AND(E$6&gt;0,$B337&lt;E$6),E$4,E$5)/12),2))</f>
        <v/>
      </c>
      <c r="AK337">
        <f>IF(F336&lt;=0,0,ROUND(F336*(1+IF(AND(F$6&gt;0,$B337&lt;F$6),F$4,F$5)/12),2))</f>
        <v/>
      </c>
      <c r="AL337">
        <f>IF(G336&lt;=0,0,ROUND(G336*(1+IF(AND(G$6&gt;0,$B337&lt;G$6),G$4,G$5)/12),2))</f>
        <v/>
      </c>
      <c r="AM337">
        <f>IF(H336&lt;=0,0,ROUND(H336*(1+IF(AND(H$6&gt;0,$B337&lt;H$6),H$4,H$5)/12),2))</f>
        <v/>
      </c>
      <c r="AN337">
        <f>IF(I336&lt;=0,0,ROUND(I336*(1+IF(AND(I$6&gt;0,$B337&lt;I$6),I$4,I$5)/12),2))</f>
        <v/>
      </c>
      <c r="AO337">
        <f>IF(J336&lt;=0,0,ROUND(J336*(1+IF(AND(J$6&gt;0,$B337&lt;J$6),J$4,J$5)/12),2))</f>
        <v/>
      </c>
      <c r="AP337">
        <f>IF(K336&lt;=0,0,ROUND(K336*(1+IF(AND(K$6&gt;0,$B337&lt;K$6),K$4,K$5)/12),2))</f>
        <v/>
      </c>
      <c r="AQ337">
        <f>IF(L336&lt;=0,0,ROUND(L336*(1+IF(AND(L$6&gt;0,$B337&lt;L$6),L$4,L$5)/12),2))</f>
        <v/>
      </c>
      <c r="AR337">
        <f>IF(M336&lt;=0,0,ROUND(M336*(1+IF(AND(M$6&gt;0,$B337&lt;M$6),M$4,M$5)/12),2))</f>
        <v/>
      </c>
      <c r="AS337">
        <f>IF(N336&lt;=0,0,ROUND(N336*(1+IF(AND(N$6&gt;0,$B337&lt;N$6),N$4,N$5)/12),2))</f>
        <v/>
      </c>
    </row>
    <row r="338">
      <c r="A338" t="n">
        <v>327</v>
      </c>
      <c r="B338">
        <f>EDATE(Plan!$C$6,326)</f>
        <v/>
      </c>
      <c r="C338">
        <f>IF(C337&lt;=0,0,MAX(0,AH338-O338))</f>
        <v/>
      </c>
      <c r="D338">
        <f>IF(D337&lt;=0,0,MAX(0,AI338-P338))</f>
        <v/>
      </c>
      <c r="E338">
        <f>IF(E337&lt;=0,0,MAX(0,AJ338-Q338))</f>
        <v/>
      </c>
      <c r="F338">
        <f>IF(F337&lt;=0,0,MAX(0,AK338-R338))</f>
        <v/>
      </c>
      <c r="G338">
        <f>IF(G337&lt;=0,0,MAX(0,AL338-S338))</f>
        <v/>
      </c>
      <c r="H338">
        <f>IF(H337&lt;=0,0,MAX(0,AM338-T338))</f>
        <v/>
      </c>
      <c r="I338">
        <f>IF(I337&lt;=0,0,MAX(0,AN338-U338))</f>
        <v/>
      </c>
      <c r="J338">
        <f>IF(J337&lt;=0,0,MAX(0,AO338-V338))</f>
        <v/>
      </c>
      <c r="K338">
        <f>IF(K337&lt;=0,0,MAX(0,AP338-W338))</f>
        <v/>
      </c>
      <c r="L338">
        <f>IF(L337&lt;=0,0,MAX(0,AQ338-X338))</f>
        <v/>
      </c>
      <c r="M338">
        <f>IF(M337&lt;=0,0,MAX(0,AR338-Y338))</f>
        <v/>
      </c>
      <c r="N338">
        <f>IF(N337&lt;=0,0,MAX(0,AS338-Z338))</f>
        <v/>
      </c>
      <c r="O338">
        <f>IF(C337&lt;=0,0,MIN(AH338,C$7+IF(C$2=$AA338,$AC338,IF(C$2=$AF338,$AG338,0))))</f>
        <v/>
      </c>
      <c r="P338">
        <f>IF(D337&lt;=0,0,MIN(AI338,D$7+IF(D$2=$AA338,$AC338,IF(D$2=$AF338,$AG338,0))))</f>
        <v/>
      </c>
      <c r="Q338">
        <f>IF(E337&lt;=0,0,MIN(AJ338,E$7+IF(E$2=$AA338,$AC338,IF(E$2=$AF338,$AG338,0))))</f>
        <v/>
      </c>
      <c r="R338">
        <f>IF(F337&lt;=0,0,MIN(AK338,F$7+IF(F$2=$AA338,$AC338,IF(F$2=$AF338,$AG338,0))))</f>
        <v/>
      </c>
      <c r="S338">
        <f>IF(G337&lt;=0,0,MIN(AL338,G$7+IF(G$2=$AA338,$AC338,IF(G$2=$AF338,$AG338,0))))</f>
        <v/>
      </c>
      <c r="T338">
        <f>IF(H337&lt;=0,0,MIN(AM338,H$7+IF(H$2=$AA338,$AC338,IF(H$2=$AF338,$AG338,0))))</f>
        <v/>
      </c>
      <c r="U338">
        <f>IF(I337&lt;=0,0,MIN(AN338,I$7+IF(I$2=$AA338,$AC338,IF(I$2=$AF338,$AG338,0))))</f>
        <v/>
      </c>
      <c r="V338">
        <f>IF(J337&lt;=0,0,MIN(AO338,J$7+IF(J$2=$AA338,$AC338,IF(J$2=$AF338,$AG338,0))))</f>
        <v/>
      </c>
      <c r="W338">
        <f>IF(K337&lt;=0,0,MIN(AP338,K$7+IF(K$2=$AA338,$AC338,IF(K$2=$AF338,$AG338,0))))</f>
        <v/>
      </c>
      <c r="X338">
        <f>IF(L337&lt;=0,0,MIN(AQ338,L$7+IF(L$2=$AA338,$AC338,IF(L$2=$AF338,$AG338,0))))</f>
        <v/>
      </c>
      <c r="Y338">
        <f>IF(M337&lt;=0,0,MIN(AR338,M$7+IF(M$2=$AA338,$AC338,IF(M$2=$AF338,$AG338,0))))</f>
        <v/>
      </c>
      <c r="Z338">
        <f>IF(N337&lt;=0,0,MIN(AS338,N$7+IF(N$2=$AA338,$AC338,IF(N$2=$AF338,$AG338,0))))</f>
        <v/>
      </c>
      <c r="AA338">
        <f>IFERROR(ROUND(1/SUMPRODUCT(MAX((C337:N337&gt;0)*($C$3:$N$3&lt;=B338)/$C$2:$N$2)),0),0)</f>
        <v/>
      </c>
      <c r="AB338">
        <f>SUMPRODUCT((C337:N337&gt;0)*$C$7:$N$7)</f>
        <v/>
      </c>
      <c r="AC338">
        <f>MAX(0,Plan!$C$5-AB338)+IF(A338=Plan!$C$8,N(Plan!$C$7),0)</f>
        <v/>
      </c>
      <c r="AD338">
        <f>SUM(C338:N338)</f>
        <v/>
      </c>
      <c r="AE338">
        <f>SUM(O338:Z338)</f>
        <v/>
      </c>
      <c r="AF338">
        <f>IFERROR(ROUND(1/SUMPRODUCT(MAX((C337:N337&gt;0)*($C$3:$N$3&lt;=B338)*($C$2:$N$2&gt;AA338)/$C$2:$N$2)),0),0)</f>
        <v/>
      </c>
      <c r="AG338">
        <f>MAX(0,AC338-MAX(0,SUMPRODUCT(($C$2:$N$2=AA338)*(AH338:AS338-$C$7:$N$7))))</f>
        <v/>
      </c>
      <c r="AH338">
        <f>IF(C337&lt;=0,0,ROUND(C337*(1+IF(AND(C$6&gt;0,$B338&lt;C$6),C$4,C$5)/12),2))</f>
        <v/>
      </c>
      <c r="AI338">
        <f>IF(D337&lt;=0,0,ROUND(D337*(1+IF(AND(D$6&gt;0,$B338&lt;D$6),D$4,D$5)/12),2))</f>
        <v/>
      </c>
      <c r="AJ338">
        <f>IF(E337&lt;=0,0,ROUND(E337*(1+IF(AND(E$6&gt;0,$B338&lt;E$6),E$4,E$5)/12),2))</f>
        <v/>
      </c>
      <c r="AK338">
        <f>IF(F337&lt;=0,0,ROUND(F337*(1+IF(AND(F$6&gt;0,$B338&lt;F$6),F$4,F$5)/12),2))</f>
        <v/>
      </c>
      <c r="AL338">
        <f>IF(G337&lt;=0,0,ROUND(G337*(1+IF(AND(G$6&gt;0,$B338&lt;G$6),G$4,G$5)/12),2))</f>
        <v/>
      </c>
      <c r="AM338">
        <f>IF(H337&lt;=0,0,ROUND(H337*(1+IF(AND(H$6&gt;0,$B338&lt;H$6),H$4,H$5)/12),2))</f>
        <v/>
      </c>
      <c r="AN338">
        <f>IF(I337&lt;=0,0,ROUND(I337*(1+IF(AND(I$6&gt;0,$B338&lt;I$6),I$4,I$5)/12),2))</f>
        <v/>
      </c>
      <c r="AO338">
        <f>IF(J337&lt;=0,0,ROUND(J337*(1+IF(AND(J$6&gt;0,$B338&lt;J$6),J$4,J$5)/12),2))</f>
        <v/>
      </c>
      <c r="AP338">
        <f>IF(K337&lt;=0,0,ROUND(K337*(1+IF(AND(K$6&gt;0,$B338&lt;K$6),K$4,K$5)/12),2))</f>
        <v/>
      </c>
      <c r="AQ338">
        <f>IF(L337&lt;=0,0,ROUND(L337*(1+IF(AND(L$6&gt;0,$B338&lt;L$6),L$4,L$5)/12),2))</f>
        <v/>
      </c>
      <c r="AR338">
        <f>IF(M337&lt;=0,0,ROUND(M337*(1+IF(AND(M$6&gt;0,$B338&lt;M$6),M$4,M$5)/12),2))</f>
        <v/>
      </c>
      <c r="AS338">
        <f>IF(N337&lt;=0,0,ROUND(N337*(1+IF(AND(N$6&gt;0,$B338&lt;N$6),N$4,N$5)/12),2))</f>
        <v/>
      </c>
    </row>
    <row r="339">
      <c r="A339" t="n">
        <v>328</v>
      </c>
      <c r="B339">
        <f>EDATE(Plan!$C$6,327)</f>
        <v/>
      </c>
      <c r="C339">
        <f>IF(C338&lt;=0,0,MAX(0,AH339-O339))</f>
        <v/>
      </c>
      <c r="D339">
        <f>IF(D338&lt;=0,0,MAX(0,AI339-P339))</f>
        <v/>
      </c>
      <c r="E339">
        <f>IF(E338&lt;=0,0,MAX(0,AJ339-Q339))</f>
        <v/>
      </c>
      <c r="F339">
        <f>IF(F338&lt;=0,0,MAX(0,AK339-R339))</f>
        <v/>
      </c>
      <c r="G339">
        <f>IF(G338&lt;=0,0,MAX(0,AL339-S339))</f>
        <v/>
      </c>
      <c r="H339">
        <f>IF(H338&lt;=0,0,MAX(0,AM339-T339))</f>
        <v/>
      </c>
      <c r="I339">
        <f>IF(I338&lt;=0,0,MAX(0,AN339-U339))</f>
        <v/>
      </c>
      <c r="J339">
        <f>IF(J338&lt;=0,0,MAX(0,AO339-V339))</f>
        <v/>
      </c>
      <c r="K339">
        <f>IF(K338&lt;=0,0,MAX(0,AP339-W339))</f>
        <v/>
      </c>
      <c r="L339">
        <f>IF(L338&lt;=0,0,MAX(0,AQ339-X339))</f>
        <v/>
      </c>
      <c r="M339">
        <f>IF(M338&lt;=0,0,MAX(0,AR339-Y339))</f>
        <v/>
      </c>
      <c r="N339">
        <f>IF(N338&lt;=0,0,MAX(0,AS339-Z339))</f>
        <v/>
      </c>
      <c r="O339">
        <f>IF(C338&lt;=0,0,MIN(AH339,C$7+IF(C$2=$AA339,$AC339,IF(C$2=$AF339,$AG339,0))))</f>
        <v/>
      </c>
      <c r="P339">
        <f>IF(D338&lt;=0,0,MIN(AI339,D$7+IF(D$2=$AA339,$AC339,IF(D$2=$AF339,$AG339,0))))</f>
        <v/>
      </c>
      <c r="Q339">
        <f>IF(E338&lt;=0,0,MIN(AJ339,E$7+IF(E$2=$AA339,$AC339,IF(E$2=$AF339,$AG339,0))))</f>
        <v/>
      </c>
      <c r="R339">
        <f>IF(F338&lt;=0,0,MIN(AK339,F$7+IF(F$2=$AA339,$AC339,IF(F$2=$AF339,$AG339,0))))</f>
        <v/>
      </c>
      <c r="S339">
        <f>IF(G338&lt;=0,0,MIN(AL339,G$7+IF(G$2=$AA339,$AC339,IF(G$2=$AF339,$AG339,0))))</f>
        <v/>
      </c>
      <c r="T339">
        <f>IF(H338&lt;=0,0,MIN(AM339,H$7+IF(H$2=$AA339,$AC339,IF(H$2=$AF339,$AG339,0))))</f>
        <v/>
      </c>
      <c r="U339">
        <f>IF(I338&lt;=0,0,MIN(AN339,I$7+IF(I$2=$AA339,$AC339,IF(I$2=$AF339,$AG339,0))))</f>
        <v/>
      </c>
      <c r="V339">
        <f>IF(J338&lt;=0,0,MIN(AO339,J$7+IF(J$2=$AA339,$AC339,IF(J$2=$AF339,$AG339,0))))</f>
        <v/>
      </c>
      <c r="W339">
        <f>IF(K338&lt;=0,0,MIN(AP339,K$7+IF(K$2=$AA339,$AC339,IF(K$2=$AF339,$AG339,0))))</f>
        <v/>
      </c>
      <c r="X339">
        <f>IF(L338&lt;=0,0,MIN(AQ339,L$7+IF(L$2=$AA339,$AC339,IF(L$2=$AF339,$AG339,0))))</f>
        <v/>
      </c>
      <c r="Y339">
        <f>IF(M338&lt;=0,0,MIN(AR339,M$7+IF(M$2=$AA339,$AC339,IF(M$2=$AF339,$AG339,0))))</f>
        <v/>
      </c>
      <c r="Z339">
        <f>IF(N338&lt;=0,0,MIN(AS339,N$7+IF(N$2=$AA339,$AC339,IF(N$2=$AF339,$AG339,0))))</f>
        <v/>
      </c>
      <c r="AA339">
        <f>IFERROR(ROUND(1/SUMPRODUCT(MAX((C338:N338&gt;0)*($C$3:$N$3&lt;=B339)/$C$2:$N$2)),0),0)</f>
        <v/>
      </c>
      <c r="AB339">
        <f>SUMPRODUCT((C338:N338&gt;0)*$C$7:$N$7)</f>
        <v/>
      </c>
      <c r="AC339">
        <f>MAX(0,Plan!$C$5-AB339)+IF(A339=Plan!$C$8,N(Plan!$C$7),0)</f>
        <v/>
      </c>
      <c r="AD339">
        <f>SUM(C339:N339)</f>
        <v/>
      </c>
      <c r="AE339">
        <f>SUM(O339:Z339)</f>
        <v/>
      </c>
      <c r="AF339">
        <f>IFERROR(ROUND(1/SUMPRODUCT(MAX((C338:N338&gt;0)*($C$3:$N$3&lt;=B339)*($C$2:$N$2&gt;AA339)/$C$2:$N$2)),0),0)</f>
        <v/>
      </c>
      <c r="AG339">
        <f>MAX(0,AC339-MAX(0,SUMPRODUCT(($C$2:$N$2=AA339)*(AH339:AS339-$C$7:$N$7))))</f>
        <v/>
      </c>
      <c r="AH339">
        <f>IF(C338&lt;=0,0,ROUND(C338*(1+IF(AND(C$6&gt;0,$B339&lt;C$6),C$4,C$5)/12),2))</f>
        <v/>
      </c>
      <c r="AI339">
        <f>IF(D338&lt;=0,0,ROUND(D338*(1+IF(AND(D$6&gt;0,$B339&lt;D$6),D$4,D$5)/12),2))</f>
        <v/>
      </c>
      <c r="AJ339">
        <f>IF(E338&lt;=0,0,ROUND(E338*(1+IF(AND(E$6&gt;0,$B339&lt;E$6),E$4,E$5)/12),2))</f>
        <v/>
      </c>
      <c r="AK339">
        <f>IF(F338&lt;=0,0,ROUND(F338*(1+IF(AND(F$6&gt;0,$B339&lt;F$6),F$4,F$5)/12),2))</f>
        <v/>
      </c>
      <c r="AL339">
        <f>IF(G338&lt;=0,0,ROUND(G338*(1+IF(AND(G$6&gt;0,$B339&lt;G$6),G$4,G$5)/12),2))</f>
        <v/>
      </c>
      <c r="AM339">
        <f>IF(H338&lt;=0,0,ROUND(H338*(1+IF(AND(H$6&gt;0,$B339&lt;H$6),H$4,H$5)/12),2))</f>
        <v/>
      </c>
      <c r="AN339">
        <f>IF(I338&lt;=0,0,ROUND(I338*(1+IF(AND(I$6&gt;0,$B339&lt;I$6),I$4,I$5)/12),2))</f>
        <v/>
      </c>
      <c r="AO339">
        <f>IF(J338&lt;=0,0,ROUND(J338*(1+IF(AND(J$6&gt;0,$B339&lt;J$6),J$4,J$5)/12),2))</f>
        <v/>
      </c>
      <c r="AP339">
        <f>IF(K338&lt;=0,0,ROUND(K338*(1+IF(AND(K$6&gt;0,$B339&lt;K$6),K$4,K$5)/12),2))</f>
        <v/>
      </c>
      <c r="AQ339">
        <f>IF(L338&lt;=0,0,ROUND(L338*(1+IF(AND(L$6&gt;0,$B339&lt;L$6),L$4,L$5)/12),2))</f>
        <v/>
      </c>
      <c r="AR339">
        <f>IF(M338&lt;=0,0,ROUND(M338*(1+IF(AND(M$6&gt;0,$B339&lt;M$6),M$4,M$5)/12),2))</f>
        <v/>
      </c>
      <c r="AS339">
        <f>IF(N338&lt;=0,0,ROUND(N338*(1+IF(AND(N$6&gt;0,$B339&lt;N$6),N$4,N$5)/12),2))</f>
        <v/>
      </c>
    </row>
    <row r="340">
      <c r="A340" t="n">
        <v>329</v>
      </c>
      <c r="B340">
        <f>EDATE(Plan!$C$6,328)</f>
        <v/>
      </c>
      <c r="C340">
        <f>IF(C339&lt;=0,0,MAX(0,AH340-O340))</f>
        <v/>
      </c>
      <c r="D340">
        <f>IF(D339&lt;=0,0,MAX(0,AI340-P340))</f>
        <v/>
      </c>
      <c r="E340">
        <f>IF(E339&lt;=0,0,MAX(0,AJ340-Q340))</f>
        <v/>
      </c>
      <c r="F340">
        <f>IF(F339&lt;=0,0,MAX(0,AK340-R340))</f>
        <v/>
      </c>
      <c r="G340">
        <f>IF(G339&lt;=0,0,MAX(0,AL340-S340))</f>
        <v/>
      </c>
      <c r="H340">
        <f>IF(H339&lt;=0,0,MAX(0,AM340-T340))</f>
        <v/>
      </c>
      <c r="I340">
        <f>IF(I339&lt;=0,0,MAX(0,AN340-U340))</f>
        <v/>
      </c>
      <c r="J340">
        <f>IF(J339&lt;=0,0,MAX(0,AO340-V340))</f>
        <v/>
      </c>
      <c r="K340">
        <f>IF(K339&lt;=0,0,MAX(0,AP340-W340))</f>
        <v/>
      </c>
      <c r="L340">
        <f>IF(L339&lt;=0,0,MAX(0,AQ340-X340))</f>
        <v/>
      </c>
      <c r="M340">
        <f>IF(M339&lt;=0,0,MAX(0,AR340-Y340))</f>
        <v/>
      </c>
      <c r="N340">
        <f>IF(N339&lt;=0,0,MAX(0,AS340-Z340))</f>
        <v/>
      </c>
      <c r="O340">
        <f>IF(C339&lt;=0,0,MIN(AH340,C$7+IF(C$2=$AA340,$AC340,IF(C$2=$AF340,$AG340,0))))</f>
        <v/>
      </c>
      <c r="P340">
        <f>IF(D339&lt;=0,0,MIN(AI340,D$7+IF(D$2=$AA340,$AC340,IF(D$2=$AF340,$AG340,0))))</f>
        <v/>
      </c>
      <c r="Q340">
        <f>IF(E339&lt;=0,0,MIN(AJ340,E$7+IF(E$2=$AA340,$AC340,IF(E$2=$AF340,$AG340,0))))</f>
        <v/>
      </c>
      <c r="R340">
        <f>IF(F339&lt;=0,0,MIN(AK340,F$7+IF(F$2=$AA340,$AC340,IF(F$2=$AF340,$AG340,0))))</f>
        <v/>
      </c>
      <c r="S340">
        <f>IF(G339&lt;=0,0,MIN(AL340,G$7+IF(G$2=$AA340,$AC340,IF(G$2=$AF340,$AG340,0))))</f>
        <v/>
      </c>
      <c r="T340">
        <f>IF(H339&lt;=0,0,MIN(AM340,H$7+IF(H$2=$AA340,$AC340,IF(H$2=$AF340,$AG340,0))))</f>
        <v/>
      </c>
      <c r="U340">
        <f>IF(I339&lt;=0,0,MIN(AN340,I$7+IF(I$2=$AA340,$AC340,IF(I$2=$AF340,$AG340,0))))</f>
        <v/>
      </c>
      <c r="V340">
        <f>IF(J339&lt;=0,0,MIN(AO340,J$7+IF(J$2=$AA340,$AC340,IF(J$2=$AF340,$AG340,0))))</f>
        <v/>
      </c>
      <c r="W340">
        <f>IF(K339&lt;=0,0,MIN(AP340,K$7+IF(K$2=$AA340,$AC340,IF(K$2=$AF340,$AG340,0))))</f>
        <v/>
      </c>
      <c r="X340">
        <f>IF(L339&lt;=0,0,MIN(AQ340,L$7+IF(L$2=$AA340,$AC340,IF(L$2=$AF340,$AG340,0))))</f>
        <v/>
      </c>
      <c r="Y340">
        <f>IF(M339&lt;=0,0,MIN(AR340,M$7+IF(M$2=$AA340,$AC340,IF(M$2=$AF340,$AG340,0))))</f>
        <v/>
      </c>
      <c r="Z340">
        <f>IF(N339&lt;=0,0,MIN(AS340,N$7+IF(N$2=$AA340,$AC340,IF(N$2=$AF340,$AG340,0))))</f>
        <v/>
      </c>
      <c r="AA340">
        <f>IFERROR(ROUND(1/SUMPRODUCT(MAX((C339:N339&gt;0)*($C$3:$N$3&lt;=B340)/$C$2:$N$2)),0),0)</f>
        <v/>
      </c>
      <c r="AB340">
        <f>SUMPRODUCT((C339:N339&gt;0)*$C$7:$N$7)</f>
        <v/>
      </c>
      <c r="AC340">
        <f>MAX(0,Plan!$C$5-AB340)+IF(A340=Plan!$C$8,N(Plan!$C$7),0)</f>
        <v/>
      </c>
      <c r="AD340">
        <f>SUM(C340:N340)</f>
        <v/>
      </c>
      <c r="AE340">
        <f>SUM(O340:Z340)</f>
        <v/>
      </c>
      <c r="AF340">
        <f>IFERROR(ROUND(1/SUMPRODUCT(MAX((C339:N339&gt;0)*($C$3:$N$3&lt;=B340)*($C$2:$N$2&gt;AA340)/$C$2:$N$2)),0),0)</f>
        <v/>
      </c>
      <c r="AG340">
        <f>MAX(0,AC340-MAX(0,SUMPRODUCT(($C$2:$N$2=AA340)*(AH340:AS340-$C$7:$N$7))))</f>
        <v/>
      </c>
      <c r="AH340">
        <f>IF(C339&lt;=0,0,ROUND(C339*(1+IF(AND(C$6&gt;0,$B340&lt;C$6),C$4,C$5)/12),2))</f>
        <v/>
      </c>
      <c r="AI340">
        <f>IF(D339&lt;=0,0,ROUND(D339*(1+IF(AND(D$6&gt;0,$B340&lt;D$6),D$4,D$5)/12),2))</f>
        <v/>
      </c>
      <c r="AJ340">
        <f>IF(E339&lt;=0,0,ROUND(E339*(1+IF(AND(E$6&gt;0,$B340&lt;E$6),E$4,E$5)/12),2))</f>
        <v/>
      </c>
      <c r="AK340">
        <f>IF(F339&lt;=0,0,ROUND(F339*(1+IF(AND(F$6&gt;0,$B340&lt;F$6),F$4,F$5)/12),2))</f>
        <v/>
      </c>
      <c r="AL340">
        <f>IF(G339&lt;=0,0,ROUND(G339*(1+IF(AND(G$6&gt;0,$B340&lt;G$6),G$4,G$5)/12),2))</f>
        <v/>
      </c>
      <c r="AM340">
        <f>IF(H339&lt;=0,0,ROUND(H339*(1+IF(AND(H$6&gt;0,$B340&lt;H$6),H$4,H$5)/12),2))</f>
        <v/>
      </c>
      <c r="AN340">
        <f>IF(I339&lt;=0,0,ROUND(I339*(1+IF(AND(I$6&gt;0,$B340&lt;I$6),I$4,I$5)/12),2))</f>
        <v/>
      </c>
      <c r="AO340">
        <f>IF(J339&lt;=0,0,ROUND(J339*(1+IF(AND(J$6&gt;0,$B340&lt;J$6),J$4,J$5)/12),2))</f>
        <v/>
      </c>
      <c r="AP340">
        <f>IF(K339&lt;=0,0,ROUND(K339*(1+IF(AND(K$6&gt;0,$B340&lt;K$6),K$4,K$5)/12),2))</f>
        <v/>
      </c>
      <c r="AQ340">
        <f>IF(L339&lt;=0,0,ROUND(L339*(1+IF(AND(L$6&gt;0,$B340&lt;L$6),L$4,L$5)/12),2))</f>
        <v/>
      </c>
      <c r="AR340">
        <f>IF(M339&lt;=0,0,ROUND(M339*(1+IF(AND(M$6&gt;0,$B340&lt;M$6),M$4,M$5)/12),2))</f>
        <v/>
      </c>
      <c r="AS340">
        <f>IF(N339&lt;=0,0,ROUND(N339*(1+IF(AND(N$6&gt;0,$B340&lt;N$6),N$4,N$5)/12),2))</f>
        <v/>
      </c>
    </row>
    <row r="341">
      <c r="A341" t="n">
        <v>330</v>
      </c>
      <c r="B341">
        <f>EDATE(Plan!$C$6,329)</f>
        <v/>
      </c>
      <c r="C341">
        <f>IF(C340&lt;=0,0,MAX(0,AH341-O341))</f>
        <v/>
      </c>
      <c r="D341">
        <f>IF(D340&lt;=0,0,MAX(0,AI341-P341))</f>
        <v/>
      </c>
      <c r="E341">
        <f>IF(E340&lt;=0,0,MAX(0,AJ341-Q341))</f>
        <v/>
      </c>
      <c r="F341">
        <f>IF(F340&lt;=0,0,MAX(0,AK341-R341))</f>
        <v/>
      </c>
      <c r="G341">
        <f>IF(G340&lt;=0,0,MAX(0,AL341-S341))</f>
        <v/>
      </c>
      <c r="H341">
        <f>IF(H340&lt;=0,0,MAX(0,AM341-T341))</f>
        <v/>
      </c>
      <c r="I341">
        <f>IF(I340&lt;=0,0,MAX(0,AN341-U341))</f>
        <v/>
      </c>
      <c r="J341">
        <f>IF(J340&lt;=0,0,MAX(0,AO341-V341))</f>
        <v/>
      </c>
      <c r="K341">
        <f>IF(K340&lt;=0,0,MAX(0,AP341-W341))</f>
        <v/>
      </c>
      <c r="L341">
        <f>IF(L340&lt;=0,0,MAX(0,AQ341-X341))</f>
        <v/>
      </c>
      <c r="M341">
        <f>IF(M340&lt;=0,0,MAX(0,AR341-Y341))</f>
        <v/>
      </c>
      <c r="N341">
        <f>IF(N340&lt;=0,0,MAX(0,AS341-Z341))</f>
        <v/>
      </c>
      <c r="O341">
        <f>IF(C340&lt;=0,0,MIN(AH341,C$7+IF(C$2=$AA341,$AC341,IF(C$2=$AF341,$AG341,0))))</f>
        <v/>
      </c>
      <c r="P341">
        <f>IF(D340&lt;=0,0,MIN(AI341,D$7+IF(D$2=$AA341,$AC341,IF(D$2=$AF341,$AG341,0))))</f>
        <v/>
      </c>
      <c r="Q341">
        <f>IF(E340&lt;=0,0,MIN(AJ341,E$7+IF(E$2=$AA341,$AC341,IF(E$2=$AF341,$AG341,0))))</f>
        <v/>
      </c>
      <c r="R341">
        <f>IF(F340&lt;=0,0,MIN(AK341,F$7+IF(F$2=$AA341,$AC341,IF(F$2=$AF341,$AG341,0))))</f>
        <v/>
      </c>
      <c r="S341">
        <f>IF(G340&lt;=0,0,MIN(AL341,G$7+IF(G$2=$AA341,$AC341,IF(G$2=$AF341,$AG341,0))))</f>
        <v/>
      </c>
      <c r="T341">
        <f>IF(H340&lt;=0,0,MIN(AM341,H$7+IF(H$2=$AA341,$AC341,IF(H$2=$AF341,$AG341,0))))</f>
        <v/>
      </c>
      <c r="U341">
        <f>IF(I340&lt;=0,0,MIN(AN341,I$7+IF(I$2=$AA341,$AC341,IF(I$2=$AF341,$AG341,0))))</f>
        <v/>
      </c>
      <c r="V341">
        <f>IF(J340&lt;=0,0,MIN(AO341,J$7+IF(J$2=$AA341,$AC341,IF(J$2=$AF341,$AG341,0))))</f>
        <v/>
      </c>
      <c r="W341">
        <f>IF(K340&lt;=0,0,MIN(AP341,K$7+IF(K$2=$AA341,$AC341,IF(K$2=$AF341,$AG341,0))))</f>
        <v/>
      </c>
      <c r="X341">
        <f>IF(L340&lt;=0,0,MIN(AQ341,L$7+IF(L$2=$AA341,$AC341,IF(L$2=$AF341,$AG341,0))))</f>
        <v/>
      </c>
      <c r="Y341">
        <f>IF(M340&lt;=0,0,MIN(AR341,M$7+IF(M$2=$AA341,$AC341,IF(M$2=$AF341,$AG341,0))))</f>
        <v/>
      </c>
      <c r="Z341">
        <f>IF(N340&lt;=0,0,MIN(AS341,N$7+IF(N$2=$AA341,$AC341,IF(N$2=$AF341,$AG341,0))))</f>
        <v/>
      </c>
      <c r="AA341">
        <f>IFERROR(ROUND(1/SUMPRODUCT(MAX((C340:N340&gt;0)*($C$3:$N$3&lt;=B341)/$C$2:$N$2)),0),0)</f>
        <v/>
      </c>
      <c r="AB341">
        <f>SUMPRODUCT((C340:N340&gt;0)*$C$7:$N$7)</f>
        <v/>
      </c>
      <c r="AC341">
        <f>MAX(0,Plan!$C$5-AB341)+IF(A341=Plan!$C$8,N(Plan!$C$7),0)</f>
        <v/>
      </c>
      <c r="AD341">
        <f>SUM(C341:N341)</f>
        <v/>
      </c>
      <c r="AE341">
        <f>SUM(O341:Z341)</f>
        <v/>
      </c>
      <c r="AF341">
        <f>IFERROR(ROUND(1/SUMPRODUCT(MAX((C340:N340&gt;0)*($C$3:$N$3&lt;=B341)*($C$2:$N$2&gt;AA341)/$C$2:$N$2)),0),0)</f>
        <v/>
      </c>
      <c r="AG341">
        <f>MAX(0,AC341-MAX(0,SUMPRODUCT(($C$2:$N$2=AA341)*(AH341:AS341-$C$7:$N$7))))</f>
        <v/>
      </c>
      <c r="AH341">
        <f>IF(C340&lt;=0,0,ROUND(C340*(1+IF(AND(C$6&gt;0,$B341&lt;C$6),C$4,C$5)/12),2))</f>
        <v/>
      </c>
      <c r="AI341">
        <f>IF(D340&lt;=0,0,ROUND(D340*(1+IF(AND(D$6&gt;0,$B341&lt;D$6),D$4,D$5)/12),2))</f>
        <v/>
      </c>
      <c r="AJ341">
        <f>IF(E340&lt;=0,0,ROUND(E340*(1+IF(AND(E$6&gt;0,$B341&lt;E$6),E$4,E$5)/12),2))</f>
        <v/>
      </c>
      <c r="AK341">
        <f>IF(F340&lt;=0,0,ROUND(F340*(1+IF(AND(F$6&gt;0,$B341&lt;F$6),F$4,F$5)/12),2))</f>
        <v/>
      </c>
      <c r="AL341">
        <f>IF(G340&lt;=0,0,ROUND(G340*(1+IF(AND(G$6&gt;0,$B341&lt;G$6),G$4,G$5)/12),2))</f>
        <v/>
      </c>
      <c r="AM341">
        <f>IF(H340&lt;=0,0,ROUND(H340*(1+IF(AND(H$6&gt;0,$B341&lt;H$6),H$4,H$5)/12),2))</f>
        <v/>
      </c>
      <c r="AN341">
        <f>IF(I340&lt;=0,0,ROUND(I340*(1+IF(AND(I$6&gt;0,$B341&lt;I$6),I$4,I$5)/12),2))</f>
        <v/>
      </c>
      <c r="AO341">
        <f>IF(J340&lt;=0,0,ROUND(J340*(1+IF(AND(J$6&gt;0,$B341&lt;J$6),J$4,J$5)/12),2))</f>
        <v/>
      </c>
      <c r="AP341">
        <f>IF(K340&lt;=0,0,ROUND(K340*(1+IF(AND(K$6&gt;0,$B341&lt;K$6),K$4,K$5)/12),2))</f>
        <v/>
      </c>
      <c r="AQ341">
        <f>IF(L340&lt;=0,0,ROUND(L340*(1+IF(AND(L$6&gt;0,$B341&lt;L$6),L$4,L$5)/12),2))</f>
        <v/>
      </c>
      <c r="AR341">
        <f>IF(M340&lt;=0,0,ROUND(M340*(1+IF(AND(M$6&gt;0,$B341&lt;M$6),M$4,M$5)/12),2))</f>
        <v/>
      </c>
      <c r="AS341">
        <f>IF(N340&lt;=0,0,ROUND(N340*(1+IF(AND(N$6&gt;0,$B341&lt;N$6),N$4,N$5)/12),2))</f>
        <v/>
      </c>
    </row>
    <row r="342">
      <c r="A342" t="n">
        <v>331</v>
      </c>
      <c r="B342">
        <f>EDATE(Plan!$C$6,330)</f>
        <v/>
      </c>
      <c r="C342">
        <f>IF(C341&lt;=0,0,MAX(0,AH342-O342))</f>
        <v/>
      </c>
      <c r="D342">
        <f>IF(D341&lt;=0,0,MAX(0,AI342-P342))</f>
        <v/>
      </c>
      <c r="E342">
        <f>IF(E341&lt;=0,0,MAX(0,AJ342-Q342))</f>
        <v/>
      </c>
      <c r="F342">
        <f>IF(F341&lt;=0,0,MAX(0,AK342-R342))</f>
        <v/>
      </c>
      <c r="G342">
        <f>IF(G341&lt;=0,0,MAX(0,AL342-S342))</f>
        <v/>
      </c>
      <c r="H342">
        <f>IF(H341&lt;=0,0,MAX(0,AM342-T342))</f>
        <v/>
      </c>
      <c r="I342">
        <f>IF(I341&lt;=0,0,MAX(0,AN342-U342))</f>
        <v/>
      </c>
      <c r="J342">
        <f>IF(J341&lt;=0,0,MAX(0,AO342-V342))</f>
        <v/>
      </c>
      <c r="K342">
        <f>IF(K341&lt;=0,0,MAX(0,AP342-W342))</f>
        <v/>
      </c>
      <c r="L342">
        <f>IF(L341&lt;=0,0,MAX(0,AQ342-X342))</f>
        <v/>
      </c>
      <c r="M342">
        <f>IF(M341&lt;=0,0,MAX(0,AR342-Y342))</f>
        <v/>
      </c>
      <c r="N342">
        <f>IF(N341&lt;=0,0,MAX(0,AS342-Z342))</f>
        <v/>
      </c>
      <c r="O342">
        <f>IF(C341&lt;=0,0,MIN(AH342,C$7+IF(C$2=$AA342,$AC342,IF(C$2=$AF342,$AG342,0))))</f>
        <v/>
      </c>
      <c r="P342">
        <f>IF(D341&lt;=0,0,MIN(AI342,D$7+IF(D$2=$AA342,$AC342,IF(D$2=$AF342,$AG342,0))))</f>
        <v/>
      </c>
      <c r="Q342">
        <f>IF(E341&lt;=0,0,MIN(AJ342,E$7+IF(E$2=$AA342,$AC342,IF(E$2=$AF342,$AG342,0))))</f>
        <v/>
      </c>
      <c r="R342">
        <f>IF(F341&lt;=0,0,MIN(AK342,F$7+IF(F$2=$AA342,$AC342,IF(F$2=$AF342,$AG342,0))))</f>
        <v/>
      </c>
      <c r="S342">
        <f>IF(G341&lt;=0,0,MIN(AL342,G$7+IF(G$2=$AA342,$AC342,IF(G$2=$AF342,$AG342,0))))</f>
        <v/>
      </c>
      <c r="T342">
        <f>IF(H341&lt;=0,0,MIN(AM342,H$7+IF(H$2=$AA342,$AC342,IF(H$2=$AF342,$AG342,0))))</f>
        <v/>
      </c>
      <c r="U342">
        <f>IF(I341&lt;=0,0,MIN(AN342,I$7+IF(I$2=$AA342,$AC342,IF(I$2=$AF342,$AG342,0))))</f>
        <v/>
      </c>
      <c r="V342">
        <f>IF(J341&lt;=0,0,MIN(AO342,J$7+IF(J$2=$AA342,$AC342,IF(J$2=$AF342,$AG342,0))))</f>
        <v/>
      </c>
      <c r="W342">
        <f>IF(K341&lt;=0,0,MIN(AP342,K$7+IF(K$2=$AA342,$AC342,IF(K$2=$AF342,$AG342,0))))</f>
        <v/>
      </c>
      <c r="X342">
        <f>IF(L341&lt;=0,0,MIN(AQ342,L$7+IF(L$2=$AA342,$AC342,IF(L$2=$AF342,$AG342,0))))</f>
        <v/>
      </c>
      <c r="Y342">
        <f>IF(M341&lt;=0,0,MIN(AR342,M$7+IF(M$2=$AA342,$AC342,IF(M$2=$AF342,$AG342,0))))</f>
        <v/>
      </c>
      <c r="Z342">
        <f>IF(N341&lt;=0,0,MIN(AS342,N$7+IF(N$2=$AA342,$AC342,IF(N$2=$AF342,$AG342,0))))</f>
        <v/>
      </c>
      <c r="AA342">
        <f>IFERROR(ROUND(1/SUMPRODUCT(MAX((C341:N341&gt;0)*($C$3:$N$3&lt;=B342)/$C$2:$N$2)),0),0)</f>
        <v/>
      </c>
      <c r="AB342">
        <f>SUMPRODUCT((C341:N341&gt;0)*$C$7:$N$7)</f>
        <v/>
      </c>
      <c r="AC342">
        <f>MAX(0,Plan!$C$5-AB342)+IF(A342=Plan!$C$8,N(Plan!$C$7),0)</f>
        <v/>
      </c>
      <c r="AD342">
        <f>SUM(C342:N342)</f>
        <v/>
      </c>
      <c r="AE342">
        <f>SUM(O342:Z342)</f>
        <v/>
      </c>
      <c r="AF342">
        <f>IFERROR(ROUND(1/SUMPRODUCT(MAX((C341:N341&gt;0)*($C$3:$N$3&lt;=B342)*($C$2:$N$2&gt;AA342)/$C$2:$N$2)),0),0)</f>
        <v/>
      </c>
      <c r="AG342">
        <f>MAX(0,AC342-MAX(0,SUMPRODUCT(($C$2:$N$2=AA342)*(AH342:AS342-$C$7:$N$7))))</f>
        <v/>
      </c>
      <c r="AH342">
        <f>IF(C341&lt;=0,0,ROUND(C341*(1+IF(AND(C$6&gt;0,$B342&lt;C$6),C$4,C$5)/12),2))</f>
        <v/>
      </c>
      <c r="AI342">
        <f>IF(D341&lt;=0,0,ROUND(D341*(1+IF(AND(D$6&gt;0,$B342&lt;D$6),D$4,D$5)/12),2))</f>
        <v/>
      </c>
      <c r="AJ342">
        <f>IF(E341&lt;=0,0,ROUND(E341*(1+IF(AND(E$6&gt;0,$B342&lt;E$6),E$4,E$5)/12),2))</f>
        <v/>
      </c>
      <c r="AK342">
        <f>IF(F341&lt;=0,0,ROUND(F341*(1+IF(AND(F$6&gt;0,$B342&lt;F$6),F$4,F$5)/12),2))</f>
        <v/>
      </c>
      <c r="AL342">
        <f>IF(G341&lt;=0,0,ROUND(G341*(1+IF(AND(G$6&gt;0,$B342&lt;G$6),G$4,G$5)/12),2))</f>
        <v/>
      </c>
      <c r="AM342">
        <f>IF(H341&lt;=0,0,ROUND(H341*(1+IF(AND(H$6&gt;0,$B342&lt;H$6),H$4,H$5)/12),2))</f>
        <v/>
      </c>
      <c r="AN342">
        <f>IF(I341&lt;=0,0,ROUND(I341*(1+IF(AND(I$6&gt;0,$B342&lt;I$6),I$4,I$5)/12),2))</f>
        <v/>
      </c>
      <c r="AO342">
        <f>IF(J341&lt;=0,0,ROUND(J341*(1+IF(AND(J$6&gt;0,$B342&lt;J$6),J$4,J$5)/12),2))</f>
        <v/>
      </c>
      <c r="AP342">
        <f>IF(K341&lt;=0,0,ROUND(K341*(1+IF(AND(K$6&gt;0,$B342&lt;K$6),K$4,K$5)/12),2))</f>
        <v/>
      </c>
      <c r="AQ342">
        <f>IF(L341&lt;=0,0,ROUND(L341*(1+IF(AND(L$6&gt;0,$B342&lt;L$6),L$4,L$5)/12),2))</f>
        <v/>
      </c>
      <c r="AR342">
        <f>IF(M341&lt;=0,0,ROUND(M341*(1+IF(AND(M$6&gt;0,$B342&lt;M$6),M$4,M$5)/12),2))</f>
        <v/>
      </c>
      <c r="AS342">
        <f>IF(N341&lt;=0,0,ROUND(N341*(1+IF(AND(N$6&gt;0,$B342&lt;N$6),N$4,N$5)/12),2))</f>
        <v/>
      </c>
    </row>
    <row r="343">
      <c r="A343" t="n">
        <v>332</v>
      </c>
      <c r="B343">
        <f>EDATE(Plan!$C$6,331)</f>
        <v/>
      </c>
      <c r="C343">
        <f>IF(C342&lt;=0,0,MAX(0,AH343-O343))</f>
        <v/>
      </c>
      <c r="D343">
        <f>IF(D342&lt;=0,0,MAX(0,AI343-P343))</f>
        <v/>
      </c>
      <c r="E343">
        <f>IF(E342&lt;=0,0,MAX(0,AJ343-Q343))</f>
        <v/>
      </c>
      <c r="F343">
        <f>IF(F342&lt;=0,0,MAX(0,AK343-R343))</f>
        <v/>
      </c>
      <c r="G343">
        <f>IF(G342&lt;=0,0,MAX(0,AL343-S343))</f>
        <v/>
      </c>
      <c r="H343">
        <f>IF(H342&lt;=0,0,MAX(0,AM343-T343))</f>
        <v/>
      </c>
      <c r="I343">
        <f>IF(I342&lt;=0,0,MAX(0,AN343-U343))</f>
        <v/>
      </c>
      <c r="J343">
        <f>IF(J342&lt;=0,0,MAX(0,AO343-V343))</f>
        <v/>
      </c>
      <c r="K343">
        <f>IF(K342&lt;=0,0,MAX(0,AP343-W343))</f>
        <v/>
      </c>
      <c r="L343">
        <f>IF(L342&lt;=0,0,MAX(0,AQ343-X343))</f>
        <v/>
      </c>
      <c r="M343">
        <f>IF(M342&lt;=0,0,MAX(0,AR343-Y343))</f>
        <v/>
      </c>
      <c r="N343">
        <f>IF(N342&lt;=0,0,MAX(0,AS343-Z343))</f>
        <v/>
      </c>
      <c r="O343">
        <f>IF(C342&lt;=0,0,MIN(AH343,C$7+IF(C$2=$AA343,$AC343,IF(C$2=$AF343,$AG343,0))))</f>
        <v/>
      </c>
      <c r="P343">
        <f>IF(D342&lt;=0,0,MIN(AI343,D$7+IF(D$2=$AA343,$AC343,IF(D$2=$AF343,$AG343,0))))</f>
        <v/>
      </c>
      <c r="Q343">
        <f>IF(E342&lt;=0,0,MIN(AJ343,E$7+IF(E$2=$AA343,$AC343,IF(E$2=$AF343,$AG343,0))))</f>
        <v/>
      </c>
      <c r="R343">
        <f>IF(F342&lt;=0,0,MIN(AK343,F$7+IF(F$2=$AA343,$AC343,IF(F$2=$AF343,$AG343,0))))</f>
        <v/>
      </c>
      <c r="S343">
        <f>IF(G342&lt;=0,0,MIN(AL343,G$7+IF(G$2=$AA343,$AC343,IF(G$2=$AF343,$AG343,0))))</f>
        <v/>
      </c>
      <c r="T343">
        <f>IF(H342&lt;=0,0,MIN(AM343,H$7+IF(H$2=$AA343,$AC343,IF(H$2=$AF343,$AG343,0))))</f>
        <v/>
      </c>
      <c r="U343">
        <f>IF(I342&lt;=0,0,MIN(AN343,I$7+IF(I$2=$AA343,$AC343,IF(I$2=$AF343,$AG343,0))))</f>
        <v/>
      </c>
      <c r="V343">
        <f>IF(J342&lt;=0,0,MIN(AO343,J$7+IF(J$2=$AA343,$AC343,IF(J$2=$AF343,$AG343,0))))</f>
        <v/>
      </c>
      <c r="W343">
        <f>IF(K342&lt;=0,0,MIN(AP343,K$7+IF(K$2=$AA343,$AC343,IF(K$2=$AF343,$AG343,0))))</f>
        <v/>
      </c>
      <c r="X343">
        <f>IF(L342&lt;=0,0,MIN(AQ343,L$7+IF(L$2=$AA343,$AC343,IF(L$2=$AF343,$AG343,0))))</f>
        <v/>
      </c>
      <c r="Y343">
        <f>IF(M342&lt;=0,0,MIN(AR343,M$7+IF(M$2=$AA343,$AC343,IF(M$2=$AF343,$AG343,0))))</f>
        <v/>
      </c>
      <c r="Z343">
        <f>IF(N342&lt;=0,0,MIN(AS343,N$7+IF(N$2=$AA343,$AC343,IF(N$2=$AF343,$AG343,0))))</f>
        <v/>
      </c>
      <c r="AA343">
        <f>IFERROR(ROUND(1/SUMPRODUCT(MAX((C342:N342&gt;0)*($C$3:$N$3&lt;=B343)/$C$2:$N$2)),0),0)</f>
        <v/>
      </c>
      <c r="AB343">
        <f>SUMPRODUCT((C342:N342&gt;0)*$C$7:$N$7)</f>
        <v/>
      </c>
      <c r="AC343">
        <f>MAX(0,Plan!$C$5-AB343)+IF(A343=Plan!$C$8,N(Plan!$C$7),0)</f>
        <v/>
      </c>
      <c r="AD343">
        <f>SUM(C343:N343)</f>
        <v/>
      </c>
      <c r="AE343">
        <f>SUM(O343:Z343)</f>
        <v/>
      </c>
      <c r="AF343">
        <f>IFERROR(ROUND(1/SUMPRODUCT(MAX((C342:N342&gt;0)*($C$3:$N$3&lt;=B343)*($C$2:$N$2&gt;AA343)/$C$2:$N$2)),0),0)</f>
        <v/>
      </c>
      <c r="AG343">
        <f>MAX(0,AC343-MAX(0,SUMPRODUCT(($C$2:$N$2=AA343)*(AH343:AS343-$C$7:$N$7))))</f>
        <v/>
      </c>
      <c r="AH343">
        <f>IF(C342&lt;=0,0,ROUND(C342*(1+IF(AND(C$6&gt;0,$B343&lt;C$6),C$4,C$5)/12),2))</f>
        <v/>
      </c>
      <c r="AI343">
        <f>IF(D342&lt;=0,0,ROUND(D342*(1+IF(AND(D$6&gt;0,$B343&lt;D$6),D$4,D$5)/12),2))</f>
        <v/>
      </c>
      <c r="AJ343">
        <f>IF(E342&lt;=0,0,ROUND(E342*(1+IF(AND(E$6&gt;0,$B343&lt;E$6),E$4,E$5)/12),2))</f>
        <v/>
      </c>
      <c r="AK343">
        <f>IF(F342&lt;=0,0,ROUND(F342*(1+IF(AND(F$6&gt;0,$B343&lt;F$6),F$4,F$5)/12),2))</f>
        <v/>
      </c>
      <c r="AL343">
        <f>IF(G342&lt;=0,0,ROUND(G342*(1+IF(AND(G$6&gt;0,$B343&lt;G$6),G$4,G$5)/12),2))</f>
        <v/>
      </c>
      <c r="AM343">
        <f>IF(H342&lt;=0,0,ROUND(H342*(1+IF(AND(H$6&gt;0,$B343&lt;H$6),H$4,H$5)/12),2))</f>
        <v/>
      </c>
      <c r="AN343">
        <f>IF(I342&lt;=0,0,ROUND(I342*(1+IF(AND(I$6&gt;0,$B343&lt;I$6),I$4,I$5)/12),2))</f>
        <v/>
      </c>
      <c r="AO343">
        <f>IF(J342&lt;=0,0,ROUND(J342*(1+IF(AND(J$6&gt;0,$B343&lt;J$6),J$4,J$5)/12),2))</f>
        <v/>
      </c>
      <c r="AP343">
        <f>IF(K342&lt;=0,0,ROUND(K342*(1+IF(AND(K$6&gt;0,$B343&lt;K$6),K$4,K$5)/12),2))</f>
        <v/>
      </c>
      <c r="AQ343">
        <f>IF(L342&lt;=0,0,ROUND(L342*(1+IF(AND(L$6&gt;0,$B343&lt;L$6),L$4,L$5)/12),2))</f>
        <v/>
      </c>
      <c r="AR343">
        <f>IF(M342&lt;=0,0,ROUND(M342*(1+IF(AND(M$6&gt;0,$B343&lt;M$6),M$4,M$5)/12),2))</f>
        <v/>
      </c>
      <c r="AS343">
        <f>IF(N342&lt;=0,0,ROUND(N342*(1+IF(AND(N$6&gt;0,$B343&lt;N$6),N$4,N$5)/12),2))</f>
        <v/>
      </c>
    </row>
    <row r="344">
      <c r="A344" t="n">
        <v>333</v>
      </c>
      <c r="B344">
        <f>EDATE(Plan!$C$6,332)</f>
        <v/>
      </c>
      <c r="C344">
        <f>IF(C343&lt;=0,0,MAX(0,AH344-O344))</f>
        <v/>
      </c>
      <c r="D344">
        <f>IF(D343&lt;=0,0,MAX(0,AI344-P344))</f>
        <v/>
      </c>
      <c r="E344">
        <f>IF(E343&lt;=0,0,MAX(0,AJ344-Q344))</f>
        <v/>
      </c>
      <c r="F344">
        <f>IF(F343&lt;=0,0,MAX(0,AK344-R344))</f>
        <v/>
      </c>
      <c r="G344">
        <f>IF(G343&lt;=0,0,MAX(0,AL344-S344))</f>
        <v/>
      </c>
      <c r="H344">
        <f>IF(H343&lt;=0,0,MAX(0,AM344-T344))</f>
        <v/>
      </c>
      <c r="I344">
        <f>IF(I343&lt;=0,0,MAX(0,AN344-U344))</f>
        <v/>
      </c>
      <c r="J344">
        <f>IF(J343&lt;=0,0,MAX(0,AO344-V344))</f>
        <v/>
      </c>
      <c r="K344">
        <f>IF(K343&lt;=0,0,MAX(0,AP344-W344))</f>
        <v/>
      </c>
      <c r="L344">
        <f>IF(L343&lt;=0,0,MAX(0,AQ344-X344))</f>
        <v/>
      </c>
      <c r="M344">
        <f>IF(M343&lt;=0,0,MAX(0,AR344-Y344))</f>
        <v/>
      </c>
      <c r="N344">
        <f>IF(N343&lt;=0,0,MAX(0,AS344-Z344))</f>
        <v/>
      </c>
      <c r="O344">
        <f>IF(C343&lt;=0,0,MIN(AH344,C$7+IF(C$2=$AA344,$AC344,IF(C$2=$AF344,$AG344,0))))</f>
        <v/>
      </c>
      <c r="P344">
        <f>IF(D343&lt;=0,0,MIN(AI344,D$7+IF(D$2=$AA344,$AC344,IF(D$2=$AF344,$AG344,0))))</f>
        <v/>
      </c>
      <c r="Q344">
        <f>IF(E343&lt;=0,0,MIN(AJ344,E$7+IF(E$2=$AA344,$AC344,IF(E$2=$AF344,$AG344,0))))</f>
        <v/>
      </c>
      <c r="R344">
        <f>IF(F343&lt;=0,0,MIN(AK344,F$7+IF(F$2=$AA344,$AC344,IF(F$2=$AF344,$AG344,0))))</f>
        <v/>
      </c>
      <c r="S344">
        <f>IF(G343&lt;=0,0,MIN(AL344,G$7+IF(G$2=$AA344,$AC344,IF(G$2=$AF344,$AG344,0))))</f>
        <v/>
      </c>
      <c r="T344">
        <f>IF(H343&lt;=0,0,MIN(AM344,H$7+IF(H$2=$AA344,$AC344,IF(H$2=$AF344,$AG344,0))))</f>
        <v/>
      </c>
      <c r="U344">
        <f>IF(I343&lt;=0,0,MIN(AN344,I$7+IF(I$2=$AA344,$AC344,IF(I$2=$AF344,$AG344,0))))</f>
        <v/>
      </c>
      <c r="V344">
        <f>IF(J343&lt;=0,0,MIN(AO344,J$7+IF(J$2=$AA344,$AC344,IF(J$2=$AF344,$AG344,0))))</f>
        <v/>
      </c>
      <c r="W344">
        <f>IF(K343&lt;=0,0,MIN(AP344,K$7+IF(K$2=$AA344,$AC344,IF(K$2=$AF344,$AG344,0))))</f>
        <v/>
      </c>
      <c r="X344">
        <f>IF(L343&lt;=0,0,MIN(AQ344,L$7+IF(L$2=$AA344,$AC344,IF(L$2=$AF344,$AG344,0))))</f>
        <v/>
      </c>
      <c r="Y344">
        <f>IF(M343&lt;=0,0,MIN(AR344,M$7+IF(M$2=$AA344,$AC344,IF(M$2=$AF344,$AG344,0))))</f>
        <v/>
      </c>
      <c r="Z344">
        <f>IF(N343&lt;=0,0,MIN(AS344,N$7+IF(N$2=$AA344,$AC344,IF(N$2=$AF344,$AG344,0))))</f>
        <v/>
      </c>
      <c r="AA344">
        <f>IFERROR(ROUND(1/SUMPRODUCT(MAX((C343:N343&gt;0)*($C$3:$N$3&lt;=B344)/$C$2:$N$2)),0),0)</f>
        <v/>
      </c>
      <c r="AB344">
        <f>SUMPRODUCT((C343:N343&gt;0)*$C$7:$N$7)</f>
        <v/>
      </c>
      <c r="AC344">
        <f>MAX(0,Plan!$C$5-AB344)+IF(A344=Plan!$C$8,N(Plan!$C$7),0)</f>
        <v/>
      </c>
      <c r="AD344">
        <f>SUM(C344:N344)</f>
        <v/>
      </c>
      <c r="AE344">
        <f>SUM(O344:Z344)</f>
        <v/>
      </c>
      <c r="AF344">
        <f>IFERROR(ROUND(1/SUMPRODUCT(MAX((C343:N343&gt;0)*($C$3:$N$3&lt;=B344)*($C$2:$N$2&gt;AA344)/$C$2:$N$2)),0),0)</f>
        <v/>
      </c>
      <c r="AG344">
        <f>MAX(0,AC344-MAX(0,SUMPRODUCT(($C$2:$N$2=AA344)*(AH344:AS344-$C$7:$N$7))))</f>
        <v/>
      </c>
      <c r="AH344">
        <f>IF(C343&lt;=0,0,ROUND(C343*(1+IF(AND(C$6&gt;0,$B344&lt;C$6),C$4,C$5)/12),2))</f>
        <v/>
      </c>
      <c r="AI344">
        <f>IF(D343&lt;=0,0,ROUND(D343*(1+IF(AND(D$6&gt;0,$B344&lt;D$6),D$4,D$5)/12),2))</f>
        <v/>
      </c>
      <c r="AJ344">
        <f>IF(E343&lt;=0,0,ROUND(E343*(1+IF(AND(E$6&gt;0,$B344&lt;E$6),E$4,E$5)/12),2))</f>
        <v/>
      </c>
      <c r="AK344">
        <f>IF(F343&lt;=0,0,ROUND(F343*(1+IF(AND(F$6&gt;0,$B344&lt;F$6),F$4,F$5)/12),2))</f>
        <v/>
      </c>
      <c r="AL344">
        <f>IF(G343&lt;=0,0,ROUND(G343*(1+IF(AND(G$6&gt;0,$B344&lt;G$6),G$4,G$5)/12),2))</f>
        <v/>
      </c>
      <c r="AM344">
        <f>IF(H343&lt;=0,0,ROUND(H343*(1+IF(AND(H$6&gt;0,$B344&lt;H$6),H$4,H$5)/12),2))</f>
        <v/>
      </c>
      <c r="AN344">
        <f>IF(I343&lt;=0,0,ROUND(I343*(1+IF(AND(I$6&gt;0,$B344&lt;I$6),I$4,I$5)/12),2))</f>
        <v/>
      </c>
      <c r="AO344">
        <f>IF(J343&lt;=0,0,ROUND(J343*(1+IF(AND(J$6&gt;0,$B344&lt;J$6),J$4,J$5)/12),2))</f>
        <v/>
      </c>
      <c r="AP344">
        <f>IF(K343&lt;=0,0,ROUND(K343*(1+IF(AND(K$6&gt;0,$B344&lt;K$6),K$4,K$5)/12),2))</f>
        <v/>
      </c>
      <c r="AQ344">
        <f>IF(L343&lt;=0,0,ROUND(L343*(1+IF(AND(L$6&gt;0,$B344&lt;L$6),L$4,L$5)/12),2))</f>
        <v/>
      </c>
      <c r="AR344">
        <f>IF(M343&lt;=0,0,ROUND(M343*(1+IF(AND(M$6&gt;0,$B344&lt;M$6),M$4,M$5)/12),2))</f>
        <v/>
      </c>
      <c r="AS344">
        <f>IF(N343&lt;=0,0,ROUND(N343*(1+IF(AND(N$6&gt;0,$B344&lt;N$6),N$4,N$5)/12),2))</f>
        <v/>
      </c>
    </row>
    <row r="345">
      <c r="A345" t="n">
        <v>334</v>
      </c>
      <c r="B345">
        <f>EDATE(Plan!$C$6,333)</f>
        <v/>
      </c>
      <c r="C345">
        <f>IF(C344&lt;=0,0,MAX(0,AH345-O345))</f>
        <v/>
      </c>
      <c r="D345">
        <f>IF(D344&lt;=0,0,MAX(0,AI345-P345))</f>
        <v/>
      </c>
      <c r="E345">
        <f>IF(E344&lt;=0,0,MAX(0,AJ345-Q345))</f>
        <v/>
      </c>
      <c r="F345">
        <f>IF(F344&lt;=0,0,MAX(0,AK345-R345))</f>
        <v/>
      </c>
      <c r="G345">
        <f>IF(G344&lt;=0,0,MAX(0,AL345-S345))</f>
        <v/>
      </c>
      <c r="H345">
        <f>IF(H344&lt;=0,0,MAX(0,AM345-T345))</f>
        <v/>
      </c>
      <c r="I345">
        <f>IF(I344&lt;=0,0,MAX(0,AN345-U345))</f>
        <v/>
      </c>
      <c r="J345">
        <f>IF(J344&lt;=0,0,MAX(0,AO345-V345))</f>
        <v/>
      </c>
      <c r="K345">
        <f>IF(K344&lt;=0,0,MAX(0,AP345-W345))</f>
        <v/>
      </c>
      <c r="L345">
        <f>IF(L344&lt;=0,0,MAX(0,AQ345-X345))</f>
        <v/>
      </c>
      <c r="M345">
        <f>IF(M344&lt;=0,0,MAX(0,AR345-Y345))</f>
        <v/>
      </c>
      <c r="N345">
        <f>IF(N344&lt;=0,0,MAX(0,AS345-Z345))</f>
        <v/>
      </c>
      <c r="O345">
        <f>IF(C344&lt;=0,0,MIN(AH345,C$7+IF(C$2=$AA345,$AC345,IF(C$2=$AF345,$AG345,0))))</f>
        <v/>
      </c>
      <c r="P345">
        <f>IF(D344&lt;=0,0,MIN(AI345,D$7+IF(D$2=$AA345,$AC345,IF(D$2=$AF345,$AG345,0))))</f>
        <v/>
      </c>
      <c r="Q345">
        <f>IF(E344&lt;=0,0,MIN(AJ345,E$7+IF(E$2=$AA345,$AC345,IF(E$2=$AF345,$AG345,0))))</f>
        <v/>
      </c>
      <c r="R345">
        <f>IF(F344&lt;=0,0,MIN(AK345,F$7+IF(F$2=$AA345,$AC345,IF(F$2=$AF345,$AG345,0))))</f>
        <v/>
      </c>
      <c r="S345">
        <f>IF(G344&lt;=0,0,MIN(AL345,G$7+IF(G$2=$AA345,$AC345,IF(G$2=$AF345,$AG345,0))))</f>
        <v/>
      </c>
      <c r="T345">
        <f>IF(H344&lt;=0,0,MIN(AM345,H$7+IF(H$2=$AA345,$AC345,IF(H$2=$AF345,$AG345,0))))</f>
        <v/>
      </c>
      <c r="U345">
        <f>IF(I344&lt;=0,0,MIN(AN345,I$7+IF(I$2=$AA345,$AC345,IF(I$2=$AF345,$AG345,0))))</f>
        <v/>
      </c>
      <c r="V345">
        <f>IF(J344&lt;=0,0,MIN(AO345,J$7+IF(J$2=$AA345,$AC345,IF(J$2=$AF345,$AG345,0))))</f>
        <v/>
      </c>
      <c r="W345">
        <f>IF(K344&lt;=0,0,MIN(AP345,K$7+IF(K$2=$AA345,$AC345,IF(K$2=$AF345,$AG345,0))))</f>
        <v/>
      </c>
      <c r="X345">
        <f>IF(L344&lt;=0,0,MIN(AQ345,L$7+IF(L$2=$AA345,$AC345,IF(L$2=$AF345,$AG345,0))))</f>
        <v/>
      </c>
      <c r="Y345">
        <f>IF(M344&lt;=0,0,MIN(AR345,M$7+IF(M$2=$AA345,$AC345,IF(M$2=$AF345,$AG345,0))))</f>
        <v/>
      </c>
      <c r="Z345">
        <f>IF(N344&lt;=0,0,MIN(AS345,N$7+IF(N$2=$AA345,$AC345,IF(N$2=$AF345,$AG345,0))))</f>
        <v/>
      </c>
      <c r="AA345">
        <f>IFERROR(ROUND(1/SUMPRODUCT(MAX((C344:N344&gt;0)*($C$3:$N$3&lt;=B345)/$C$2:$N$2)),0),0)</f>
        <v/>
      </c>
      <c r="AB345">
        <f>SUMPRODUCT((C344:N344&gt;0)*$C$7:$N$7)</f>
        <v/>
      </c>
      <c r="AC345">
        <f>MAX(0,Plan!$C$5-AB345)+IF(A345=Plan!$C$8,N(Plan!$C$7),0)</f>
        <v/>
      </c>
      <c r="AD345">
        <f>SUM(C345:N345)</f>
        <v/>
      </c>
      <c r="AE345">
        <f>SUM(O345:Z345)</f>
        <v/>
      </c>
      <c r="AF345">
        <f>IFERROR(ROUND(1/SUMPRODUCT(MAX((C344:N344&gt;0)*($C$3:$N$3&lt;=B345)*($C$2:$N$2&gt;AA345)/$C$2:$N$2)),0),0)</f>
        <v/>
      </c>
      <c r="AG345">
        <f>MAX(0,AC345-MAX(0,SUMPRODUCT(($C$2:$N$2=AA345)*(AH345:AS345-$C$7:$N$7))))</f>
        <v/>
      </c>
      <c r="AH345">
        <f>IF(C344&lt;=0,0,ROUND(C344*(1+IF(AND(C$6&gt;0,$B345&lt;C$6),C$4,C$5)/12),2))</f>
        <v/>
      </c>
      <c r="AI345">
        <f>IF(D344&lt;=0,0,ROUND(D344*(1+IF(AND(D$6&gt;0,$B345&lt;D$6),D$4,D$5)/12),2))</f>
        <v/>
      </c>
      <c r="AJ345">
        <f>IF(E344&lt;=0,0,ROUND(E344*(1+IF(AND(E$6&gt;0,$B345&lt;E$6),E$4,E$5)/12),2))</f>
        <v/>
      </c>
      <c r="AK345">
        <f>IF(F344&lt;=0,0,ROUND(F344*(1+IF(AND(F$6&gt;0,$B345&lt;F$6),F$4,F$5)/12),2))</f>
        <v/>
      </c>
      <c r="AL345">
        <f>IF(G344&lt;=0,0,ROUND(G344*(1+IF(AND(G$6&gt;0,$B345&lt;G$6),G$4,G$5)/12),2))</f>
        <v/>
      </c>
      <c r="AM345">
        <f>IF(H344&lt;=0,0,ROUND(H344*(1+IF(AND(H$6&gt;0,$B345&lt;H$6),H$4,H$5)/12),2))</f>
        <v/>
      </c>
      <c r="AN345">
        <f>IF(I344&lt;=0,0,ROUND(I344*(1+IF(AND(I$6&gt;0,$B345&lt;I$6),I$4,I$5)/12),2))</f>
        <v/>
      </c>
      <c r="AO345">
        <f>IF(J344&lt;=0,0,ROUND(J344*(1+IF(AND(J$6&gt;0,$B345&lt;J$6),J$4,J$5)/12),2))</f>
        <v/>
      </c>
      <c r="AP345">
        <f>IF(K344&lt;=0,0,ROUND(K344*(1+IF(AND(K$6&gt;0,$B345&lt;K$6),K$4,K$5)/12),2))</f>
        <v/>
      </c>
      <c r="AQ345">
        <f>IF(L344&lt;=0,0,ROUND(L344*(1+IF(AND(L$6&gt;0,$B345&lt;L$6),L$4,L$5)/12),2))</f>
        <v/>
      </c>
      <c r="AR345">
        <f>IF(M344&lt;=0,0,ROUND(M344*(1+IF(AND(M$6&gt;0,$B345&lt;M$6),M$4,M$5)/12),2))</f>
        <v/>
      </c>
      <c r="AS345">
        <f>IF(N344&lt;=0,0,ROUND(N344*(1+IF(AND(N$6&gt;0,$B345&lt;N$6),N$4,N$5)/12),2))</f>
        <v/>
      </c>
    </row>
    <row r="346">
      <c r="A346" t="n">
        <v>335</v>
      </c>
      <c r="B346">
        <f>EDATE(Plan!$C$6,334)</f>
        <v/>
      </c>
      <c r="C346">
        <f>IF(C345&lt;=0,0,MAX(0,AH346-O346))</f>
        <v/>
      </c>
      <c r="D346">
        <f>IF(D345&lt;=0,0,MAX(0,AI346-P346))</f>
        <v/>
      </c>
      <c r="E346">
        <f>IF(E345&lt;=0,0,MAX(0,AJ346-Q346))</f>
        <v/>
      </c>
      <c r="F346">
        <f>IF(F345&lt;=0,0,MAX(0,AK346-R346))</f>
        <v/>
      </c>
      <c r="G346">
        <f>IF(G345&lt;=0,0,MAX(0,AL346-S346))</f>
        <v/>
      </c>
      <c r="H346">
        <f>IF(H345&lt;=0,0,MAX(0,AM346-T346))</f>
        <v/>
      </c>
      <c r="I346">
        <f>IF(I345&lt;=0,0,MAX(0,AN346-U346))</f>
        <v/>
      </c>
      <c r="J346">
        <f>IF(J345&lt;=0,0,MAX(0,AO346-V346))</f>
        <v/>
      </c>
      <c r="K346">
        <f>IF(K345&lt;=0,0,MAX(0,AP346-W346))</f>
        <v/>
      </c>
      <c r="L346">
        <f>IF(L345&lt;=0,0,MAX(0,AQ346-X346))</f>
        <v/>
      </c>
      <c r="M346">
        <f>IF(M345&lt;=0,0,MAX(0,AR346-Y346))</f>
        <v/>
      </c>
      <c r="N346">
        <f>IF(N345&lt;=0,0,MAX(0,AS346-Z346))</f>
        <v/>
      </c>
      <c r="O346">
        <f>IF(C345&lt;=0,0,MIN(AH346,C$7+IF(C$2=$AA346,$AC346,IF(C$2=$AF346,$AG346,0))))</f>
        <v/>
      </c>
      <c r="P346">
        <f>IF(D345&lt;=0,0,MIN(AI346,D$7+IF(D$2=$AA346,$AC346,IF(D$2=$AF346,$AG346,0))))</f>
        <v/>
      </c>
      <c r="Q346">
        <f>IF(E345&lt;=0,0,MIN(AJ346,E$7+IF(E$2=$AA346,$AC346,IF(E$2=$AF346,$AG346,0))))</f>
        <v/>
      </c>
      <c r="R346">
        <f>IF(F345&lt;=0,0,MIN(AK346,F$7+IF(F$2=$AA346,$AC346,IF(F$2=$AF346,$AG346,0))))</f>
        <v/>
      </c>
      <c r="S346">
        <f>IF(G345&lt;=0,0,MIN(AL346,G$7+IF(G$2=$AA346,$AC346,IF(G$2=$AF346,$AG346,0))))</f>
        <v/>
      </c>
      <c r="T346">
        <f>IF(H345&lt;=0,0,MIN(AM346,H$7+IF(H$2=$AA346,$AC346,IF(H$2=$AF346,$AG346,0))))</f>
        <v/>
      </c>
      <c r="U346">
        <f>IF(I345&lt;=0,0,MIN(AN346,I$7+IF(I$2=$AA346,$AC346,IF(I$2=$AF346,$AG346,0))))</f>
        <v/>
      </c>
      <c r="V346">
        <f>IF(J345&lt;=0,0,MIN(AO346,J$7+IF(J$2=$AA346,$AC346,IF(J$2=$AF346,$AG346,0))))</f>
        <v/>
      </c>
      <c r="W346">
        <f>IF(K345&lt;=0,0,MIN(AP346,K$7+IF(K$2=$AA346,$AC346,IF(K$2=$AF346,$AG346,0))))</f>
        <v/>
      </c>
      <c r="X346">
        <f>IF(L345&lt;=0,0,MIN(AQ346,L$7+IF(L$2=$AA346,$AC346,IF(L$2=$AF346,$AG346,0))))</f>
        <v/>
      </c>
      <c r="Y346">
        <f>IF(M345&lt;=0,0,MIN(AR346,M$7+IF(M$2=$AA346,$AC346,IF(M$2=$AF346,$AG346,0))))</f>
        <v/>
      </c>
      <c r="Z346">
        <f>IF(N345&lt;=0,0,MIN(AS346,N$7+IF(N$2=$AA346,$AC346,IF(N$2=$AF346,$AG346,0))))</f>
        <v/>
      </c>
      <c r="AA346">
        <f>IFERROR(ROUND(1/SUMPRODUCT(MAX((C345:N345&gt;0)*($C$3:$N$3&lt;=B346)/$C$2:$N$2)),0),0)</f>
        <v/>
      </c>
      <c r="AB346">
        <f>SUMPRODUCT((C345:N345&gt;0)*$C$7:$N$7)</f>
        <v/>
      </c>
      <c r="AC346">
        <f>MAX(0,Plan!$C$5-AB346)+IF(A346=Plan!$C$8,N(Plan!$C$7),0)</f>
        <v/>
      </c>
      <c r="AD346">
        <f>SUM(C346:N346)</f>
        <v/>
      </c>
      <c r="AE346">
        <f>SUM(O346:Z346)</f>
        <v/>
      </c>
      <c r="AF346">
        <f>IFERROR(ROUND(1/SUMPRODUCT(MAX((C345:N345&gt;0)*($C$3:$N$3&lt;=B346)*($C$2:$N$2&gt;AA346)/$C$2:$N$2)),0),0)</f>
        <v/>
      </c>
      <c r="AG346">
        <f>MAX(0,AC346-MAX(0,SUMPRODUCT(($C$2:$N$2=AA346)*(AH346:AS346-$C$7:$N$7))))</f>
        <v/>
      </c>
      <c r="AH346">
        <f>IF(C345&lt;=0,0,ROUND(C345*(1+IF(AND(C$6&gt;0,$B346&lt;C$6),C$4,C$5)/12),2))</f>
        <v/>
      </c>
      <c r="AI346">
        <f>IF(D345&lt;=0,0,ROUND(D345*(1+IF(AND(D$6&gt;0,$B346&lt;D$6),D$4,D$5)/12),2))</f>
        <v/>
      </c>
      <c r="AJ346">
        <f>IF(E345&lt;=0,0,ROUND(E345*(1+IF(AND(E$6&gt;0,$B346&lt;E$6),E$4,E$5)/12),2))</f>
        <v/>
      </c>
      <c r="AK346">
        <f>IF(F345&lt;=0,0,ROUND(F345*(1+IF(AND(F$6&gt;0,$B346&lt;F$6),F$4,F$5)/12),2))</f>
        <v/>
      </c>
      <c r="AL346">
        <f>IF(G345&lt;=0,0,ROUND(G345*(1+IF(AND(G$6&gt;0,$B346&lt;G$6),G$4,G$5)/12),2))</f>
        <v/>
      </c>
      <c r="AM346">
        <f>IF(H345&lt;=0,0,ROUND(H345*(1+IF(AND(H$6&gt;0,$B346&lt;H$6),H$4,H$5)/12),2))</f>
        <v/>
      </c>
      <c r="AN346">
        <f>IF(I345&lt;=0,0,ROUND(I345*(1+IF(AND(I$6&gt;0,$B346&lt;I$6),I$4,I$5)/12),2))</f>
        <v/>
      </c>
      <c r="AO346">
        <f>IF(J345&lt;=0,0,ROUND(J345*(1+IF(AND(J$6&gt;0,$B346&lt;J$6),J$4,J$5)/12),2))</f>
        <v/>
      </c>
      <c r="AP346">
        <f>IF(K345&lt;=0,0,ROUND(K345*(1+IF(AND(K$6&gt;0,$B346&lt;K$6),K$4,K$5)/12),2))</f>
        <v/>
      </c>
      <c r="AQ346">
        <f>IF(L345&lt;=0,0,ROUND(L345*(1+IF(AND(L$6&gt;0,$B346&lt;L$6),L$4,L$5)/12),2))</f>
        <v/>
      </c>
      <c r="AR346">
        <f>IF(M345&lt;=0,0,ROUND(M345*(1+IF(AND(M$6&gt;0,$B346&lt;M$6),M$4,M$5)/12),2))</f>
        <v/>
      </c>
      <c r="AS346">
        <f>IF(N345&lt;=0,0,ROUND(N345*(1+IF(AND(N$6&gt;0,$B346&lt;N$6),N$4,N$5)/12),2))</f>
        <v/>
      </c>
    </row>
    <row r="347">
      <c r="A347" t="n">
        <v>336</v>
      </c>
      <c r="B347">
        <f>EDATE(Plan!$C$6,335)</f>
        <v/>
      </c>
      <c r="C347">
        <f>IF(C346&lt;=0,0,MAX(0,AH347-O347))</f>
        <v/>
      </c>
      <c r="D347">
        <f>IF(D346&lt;=0,0,MAX(0,AI347-P347))</f>
        <v/>
      </c>
      <c r="E347">
        <f>IF(E346&lt;=0,0,MAX(0,AJ347-Q347))</f>
        <v/>
      </c>
      <c r="F347">
        <f>IF(F346&lt;=0,0,MAX(0,AK347-R347))</f>
        <v/>
      </c>
      <c r="G347">
        <f>IF(G346&lt;=0,0,MAX(0,AL347-S347))</f>
        <v/>
      </c>
      <c r="H347">
        <f>IF(H346&lt;=0,0,MAX(0,AM347-T347))</f>
        <v/>
      </c>
      <c r="I347">
        <f>IF(I346&lt;=0,0,MAX(0,AN347-U347))</f>
        <v/>
      </c>
      <c r="J347">
        <f>IF(J346&lt;=0,0,MAX(0,AO347-V347))</f>
        <v/>
      </c>
      <c r="K347">
        <f>IF(K346&lt;=0,0,MAX(0,AP347-W347))</f>
        <v/>
      </c>
      <c r="L347">
        <f>IF(L346&lt;=0,0,MAX(0,AQ347-X347))</f>
        <v/>
      </c>
      <c r="M347">
        <f>IF(M346&lt;=0,0,MAX(0,AR347-Y347))</f>
        <v/>
      </c>
      <c r="N347">
        <f>IF(N346&lt;=0,0,MAX(0,AS347-Z347))</f>
        <v/>
      </c>
      <c r="O347">
        <f>IF(C346&lt;=0,0,MIN(AH347,C$7+IF(C$2=$AA347,$AC347,IF(C$2=$AF347,$AG347,0))))</f>
        <v/>
      </c>
      <c r="P347">
        <f>IF(D346&lt;=0,0,MIN(AI347,D$7+IF(D$2=$AA347,$AC347,IF(D$2=$AF347,$AG347,0))))</f>
        <v/>
      </c>
      <c r="Q347">
        <f>IF(E346&lt;=0,0,MIN(AJ347,E$7+IF(E$2=$AA347,$AC347,IF(E$2=$AF347,$AG347,0))))</f>
        <v/>
      </c>
      <c r="R347">
        <f>IF(F346&lt;=0,0,MIN(AK347,F$7+IF(F$2=$AA347,$AC347,IF(F$2=$AF347,$AG347,0))))</f>
        <v/>
      </c>
      <c r="S347">
        <f>IF(G346&lt;=0,0,MIN(AL347,G$7+IF(G$2=$AA347,$AC347,IF(G$2=$AF347,$AG347,0))))</f>
        <v/>
      </c>
      <c r="T347">
        <f>IF(H346&lt;=0,0,MIN(AM347,H$7+IF(H$2=$AA347,$AC347,IF(H$2=$AF347,$AG347,0))))</f>
        <v/>
      </c>
      <c r="U347">
        <f>IF(I346&lt;=0,0,MIN(AN347,I$7+IF(I$2=$AA347,$AC347,IF(I$2=$AF347,$AG347,0))))</f>
        <v/>
      </c>
      <c r="V347">
        <f>IF(J346&lt;=0,0,MIN(AO347,J$7+IF(J$2=$AA347,$AC347,IF(J$2=$AF347,$AG347,0))))</f>
        <v/>
      </c>
      <c r="W347">
        <f>IF(K346&lt;=0,0,MIN(AP347,K$7+IF(K$2=$AA347,$AC347,IF(K$2=$AF347,$AG347,0))))</f>
        <v/>
      </c>
      <c r="X347">
        <f>IF(L346&lt;=0,0,MIN(AQ347,L$7+IF(L$2=$AA347,$AC347,IF(L$2=$AF347,$AG347,0))))</f>
        <v/>
      </c>
      <c r="Y347">
        <f>IF(M346&lt;=0,0,MIN(AR347,M$7+IF(M$2=$AA347,$AC347,IF(M$2=$AF347,$AG347,0))))</f>
        <v/>
      </c>
      <c r="Z347">
        <f>IF(N346&lt;=0,0,MIN(AS347,N$7+IF(N$2=$AA347,$AC347,IF(N$2=$AF347,$AG347,0))))</f>
        <v/>
      </c>
      <c r="AA347">
        <f>IFERROR(ROUND(1/SUMPRODUCT(MAX((C346:N346&gt;0)*($C$3:$N$3&lt;=B347)/$C$2:$N$2)),0),0)</f>
        <v/>
      </c>
      <c r="AB347">
        <f>SUMPRODUCT((C346:N346&gt;0)*$C$7:$N$7)</f>
        <v/>
      </c>
      <c r="AC347">
        <f>MAX(0,Plan!$C$5-AB347)+IF(A347=Plan!$C$8,N(Plan!$C$7),0)</f>
        <v/>
      </c>
      <c r="AD347">
        <f>SUM(C347:N347)</f>
        <v/>
      </c>
      <c r="AE347">
        <f>SUM(O347:Z347)</f>
        <v/>
      </c>
      <c r="AF347">
        <f>IFERROR(ROUND(1/SUMPRODUCT(MAX((C346:N346&gt;0)*($C$3:$N$3&lt;=B347)*($C$2:$N$2&gt;AA347)/$C$2:$N$2)),0),0)</f>
        <v/>
      </c>
      <c r="AG347">
        <f>MAX(0,AC347-MAX(0,SUMPRODUCT(($C$2:$N$2=AA347)*(AH347:AS347-$C$7:$N$7))))</f>
        <v/>
      </c>
      <c r="AH347">
        <f>IF(C346&lt;=0,0,ROUND(C346*(1+IF(AND(C$6&gt;0,$B347&lt;C$6),C$4,C$5)/12),2))</f>
        <v/>
      </c>
      <c r="AI347">
        <f>IF(D346&lt;=0,0,ROUND(D346*(1+IF(AND(D$6&gt;0,$B347&lt;D$6),D$4,D$5)/12),2))</f>
        <v/>
      </c>
      <c r="AJ347">
        <f>IF(E346&lt;=0,0,ROUND(E346*(1+IF(AND(E$6&gt;0,$B347&lt;E$6),E$4,E$5)/12),2))</f>
        <v/>
      </c>
      <c r="AK347">
        <f>IF(F346&lt;=0,0,ROUND(F346*(1+IF(AND(F$6&gt;0,$B347&lt;F$6),F$4,F$5)/12),2))</f>
        <v/>
      </c>
      <c r="AL347">
        <f>IF(G346&lt;=0,0,ROUND(G346*(1+IF(AND(G$6&gt;0,$B347&lt;G$6),G$4,G$5)/12),2))</f>
        <v/>
      </c>
      <c r="AM347">
        <f>IF(H346&lt;=0,0,ROUND(H346*(1+IF(AND(H$6&gt;0,$B347&lt;H$6),H$4,H$5)/12),2))</f>
        <v/>
      </c>
      <c r="AN347">
        <f>IF(I346&lt;=0,0,ROUND(I346*(1+IF(AND(I$6&gt;0,$B347&lt;I$6),I$4,I$5)/12),2))</f>
        <v/>
      </c>
      <c r="AO347">
        <f>IF(J346&lt;=0,0,ROUND(J346*(1+IF(AND(J$6&gt;0,$B347&lt;J$6),J$4,J$5)/12),2))</f>
        <v/>
      </c>
      <c r="AP347">
        <f>IF(K346&lt;=0,0,ROUND(K346*(1+IF(AND(K$6&gt;0,$B347&lt;K$6),K$4,K$5)/12),2))</f>
        <v/>
      </c>
      <c r="AQ347">
        <f>IF(L346&lt;=0,0,ROUND(L346*(1+IF(AND(L$6&gt;0,$B347&lt;L$6),L$4,L$5)/12),2))</f>
        <v/>
      </c>
      <c r="AR347">
        <f>IF(M346&lt;=0,0,ROUND(M346*(1+IF(AND(M$6&gt;0,$B347&lt;M$6),M$4,M$5)/12),2))</f>
        <v/>
      </c>
      <c r="AS347">
        <f>IF(N346&lt;=0,0,ROUND(N346*(1+IF(AND(N$6&gt;0,$B347&lt;N$6),N$4,N$5)/12),2))</f>
        <v/>
      </c>
    </row>
    <row r="348">
      <c r="A348" t="n">
        <v>337</v>
      </c>
      <c r="B348">
        <f>EDATE(Plan!$C$6,336)</f>
        <v/>
      </c>
      <c r="C348">
        <f>IF(C347&lt;=0,0,MAX(0,AH348-O348))</f>
        <v/>
      </c>
      <c r="D348">
        <f>IF(D347&lt;=0,0,MAX(0,AI348-P348))</f>
        <v/>
      </c>
      <c r="E348">
        <f>IF(E347&lt;=0,0,MAX(0,AJ348-Q348))</f>
        <v/>
      </c>
      <c r="F348">
        <f>IF(F347&lt;=0,0,MAX(0,AK348-R348))</f>
        <v/>
      </c>
      <c r="G348">
        <f>IF(G347&lt;=0,0,MAX(0,AL348-S348))</f>
        <v/>
      </c>
      <c r="H348">
        <f>IF(H347&lt;=0,0,MAX(0,AM348-T348))</f>
        <v/>
      </c>
      <c r="I348">
        <f>IF(I347&lt;=0,0,MAX(0,AN348-U348))</f>
        <v/>
      </c>
      <c r="J348">
        <f>IF(J347&lt;=0,0,MAX(0,AO348-V348))</f>
        <v/>
      </c>
      <c r="K348">
        <f>IF(K347&lt;=0,0,MAX(0,AP348-W348))</f>
        <v/>
      </c>
      <c r="L348">
        <f>IF(L347&lt;=0,0,MAX(0,AQ348-X348))</f>
        <v/>
      </c>
      <c r="M348">
        <f>IF(M347&lt;=0,0,MAX(0,AR348-Y348))</f>
        <v/>
      </c>
      <c r="N348">
        <f>IF(N347&lt;=0,0,MAX(0,AS348-Z348))</f>
        <v/>
      </c>
      <c r="O348">
        <f>IF(C347&lt;=0,0,MIN(AH348,C$7+IF(C$2=$AA348,$AC348,IF(C$2=$AF348,$AG348,0))))</f>
        <v/>
      </c>
      <c r="P348">
        <f>IF(D347&lt;=0,0,MIN(AI348,D$7+IF(D$2=$AA348,$AC348,IF(D$2=$AF348,$AG348,0))))</f>
        <v/>
      </c>
      <c r="Q348">
        <f>IF(E347&lt;=0,0,MIN(AJ348,E$7+IF(E$2=$AA348,$AC348,IF(E$2=$AF348,$AG348,0))))</f>
        <v/>
      </c>
      <c r="R348">
        <f>IF(F347&lt;=0,0,MIN(AK348,F$7+IF(F$2=$AA348,$AC348,IF(F$2=$AF348,$AG348,0))))</f>
        <v/>
      </c>
      <c r="S348">
        <f>IF(G347&lt;=0,0,MIN(AL348,G$7+IF(G$2=$AA348,$AC348,IF(G$2=$AF348,$AG348,0))))</f>
        <v/>
      </c>
      <c r="T348">
        <f>IF(H347&lt;=0,0,MIN(AM348,H$7+IF(H$2=$AA348,$AC348,IF(H$2=$AF348,$AG348,0))))</f>
        <v/>
      </c>
      <c r="U348">
        <f>IF(I347&lt;=0,0,MIN(AN348,I$7+IF(I$2=$AA348,$AC348,IF(I$2=$AF348,$AG348,0))))</f>
        <v/>
      </c>
      <c r="V348">
        <f>IF(J347&lt;=0,0,MIN(AO348,J$7+IF(J$2=$AA348,$AC348,IF(J$2=$AF348,$AG348,0))))</f>
        <v/>
      </c>
      <c r="W348">
        <f>IF(K347&lt;=0,0,MIN(AP348,K$7+IF(K$2=$AA348,$AC348,IF(K$2=$AF348,$AG348,0))))</f>
        <v/>
      </c>
      <c r="X348">
        <f>IF(L347&lt;=0,0,MIN(AQ348,L$7+IF(L$2=$AA348,$AC348,IF(L$2=$AF348,$AG348,0))))</f>
        <v/>
      </c>
      <c r="Y348">
        <f>IF(M347&lt;=0,0,MIN(AR348,M$7+IF(M$2=$AA348,$AC348,IF(M$2=$AF348,$AG348,0))))</f>
        <v/>
      </c>
      <c r="Z348">
        <f>IF(N347&lt;=0,0,MIN(AS348,N$7+IF(N$2=$AA348,$AC348,IF(N$2=$AF348,$AG348,0))))</f>
        <v/>
      </c>
      <c r="AA348">
        <f>IFERROR(ROUND(1/SUMPRODUCT(MAX((C347:N347&gt;0)*($C$3:$N$3&lt;=B348)/$C$2:$N$2)),0),0)</f>
        <v/>
      </c>
      <c r="AB348">
        <f>SUMPRODUCT((C347:N347&gt;0)*$C$7:$N$7)</f>
        <v/>
      </c>
      <c r="AC348">
        <f>MAX(0,Plan!$C$5-AB348)+IF(A348=Plan!$C$8,N(Plan!$C$7),0)</f>
        <v/>
      </c>
      <c r="AD348">
        <f>SUM(C348:N348)</f>
        <v/>
      </c>
      <c r="AE348">
        <f>SUM(O348:Z348)</f>
        <v/>
      </c>
      <c r="AF348">
        <f>IFERROR(ROUND(1/SUMPRODUCT(MAX((C347:N347&gt;0)*($C$3:$N$3&lt;=B348)*($C$2:$N$2&gt;AA348)/$C$2:$N$2)),0),0)</f>
        <v/>
      </c>
      <c r="AG348">
        <f>MAX(0,AC348-MAX(0,SUMPRODUCT(($C$2:$N$2=AA348)*(AH348:AS348-$C$7:$N$7))))</f>
        <v/>
      </c>
      <c r="AH348">
        <f>IF(C347&lt;=0,0,ROUND(C347*(1+IF(AND(C$6&gt;0,$B348&lt;C$6),C$4,C$5)/12),2))</f>
        <v/>
      </c>
      <c r="AI348">
        <f>IF(D347&lt;=0,0,ROUND(D347*(1+IF(AND(D$6&gt;0,$B348&lt;D$6),D$4,D$5)/12),2))</f>
        <v/>
      </c>
      <c r="AJ348">
        <f>IF(E347&lt;=0,0,ROUND(E347*(1+IF(AND(E$6&gt;0,$B348&lt;E$6),E$4,E$5)/12),2))</f>
        <v/>
      </c>
      <c r="AK348">
        <f>IF(F347&lt;=0,0,ROUND(F347*(1+IF(AND(F$6&gt;0,$B348&lt;F$6),F$4,F$5)/12),2))</f>
        <v/>
      </c>
      <c r="AL348">
        <f>IF(G347&lt;=0,0,ROUND(G347*(1+IF(AND(G$6&gt;0,$B348&lt;G$6),G$4,G$5)/12),2))</f>
        <v/>
      </c>
      <c r="AM348">
        <f>IF(H347&lt;=0,0,ROUND(H347*(1+IF(AND(H$6&gt;0,$B348&lt;H$6),H$4,H$5)/12),2))</f>
        <v/>
      </c>
      <c r="AN348">
        <f>IF(I347&lt;=0,0,ROUND(I347*(1+IF(AND(I$6&gt;0,$B348&lt;I$6),I$4,I$5)/12),2))</f>
        <v/>
      </c>
      <c r="AO348">
        <f>IF(J347&lt;=0,0,ROUND(J347*(1+IF(AND(J$6&gt;0,$B348&lt;J$6),J$4,J$5)/12),2))</f>
        <v/>
      </c>
      <c r="AP348">
        <f>IF(K347&lt;=0,0,ROUND(K347*(1+IF(AND(K$6&gt;0,$B348&lt;K$6),K$4,K$5)/12),2))</f>
        <v/>
      </c>
      <c r="AQ348">
        <f>IF(L347&lt;=0,0,ROUND(L347*(1+IF(AND(L$6&gt;0,$B348&lt;L$6),L$4,L$5)/12),2))</f>
        <v/>
      </c>
      <c r="AR348">
        <f>IF(M347&lt;=0,0,ROUND(M347*(1+IF(AND(M$6&gt;0,$B348&lt;M$6),M$4,M$5)/12),2))</f>
        <v/>
      </c>
      <c r="AS348">
        <f>IF(N347&lt;=0,0,ROUND(N347*(1+IF(AND(N$6&gt;0,$B348&lt;N$6),N$4,N$5)/12),2))</f>
        <v/>
      </c>
    </row>
    <row r="349">
      <c r="A349" t="n">
        <v>338</v>
      </c>
      <c r="B349">
        <f>EDATE(Plan!$C$6,337)</f>
        <v/>
      </c>
      <c r="C349">
        <f>IF(C348&lt;=0,0,MAX(0,AH349-O349))</f>
        <v/>
      </c>
      <c r="D349">
        <f>IF(D348&lt;=0,0,MAX(0,AI349-P349))</f>
        <v/>
      </c>
      <c r="E349">
        <f>IF(E348&lt;=0,0,MAX(0,AJ349-Q349))</f>
        <v/>
      </c>
      <c r="F349">
        <f>IF(F348&lt;=0,0,MAX(0,AK349-R349))</f>
        <v/>
      </c>
      <c r="G349">
        <f>IF(G348&lt;=0,0,MAX(0,AL349-S349))</f>
        <v/>
      </c>
      <c r="H349">
        <f>IF(H348&lt;=0,0,MAX(0,AM349-T349))</f>
        <v/>
      </c>
      <c r="I349">
        <f>IF(I348&lt;=0,0,MAX(0,AN349-U349))</f>
        <v/>
      </c>
      <c r="J349">
        <f>IF(J348&lt;=0,0,MAX(0,AO349-V349))</f>
        <v/>
      </c>
      <c r="K349">
        <f>IF(K348&lt;=0,0,MAX(0,AP349-W349))</f>
        <v/>
      </c>
      <c r="L349">
        <f>IF(L348&lt;=0,0,MAX(0,AQ349-X349))</f>
        <v/>
      </c>
      <c r="M349">
        <f>IF(M348&lt;=0,0,MAX(0,AR349-Y349))</f>
        <v/>
      </c>
      <c r="N349">
        <f>IF(N348&lt;=0,0,MAX(0,AS349-Z349))</f>
        <v/>
      </c>
      <c r="O349">
        <f>IF(C348&lt;=0,0,MIN(AH349,C$7+IF(C$2=$AA349,$AC349,IF(C$2=$AF349,$AG349,0))))</f>
        <v/>
      </c>
      <c r="P349">
        <f>IF(D348&lt;=0,0,MIN(AI349,D$7+IF(D$2=$AA349,$AC349,IF(D$2=$AF349,$AG349,0))))</f>
        <v/>
      </c>
      <c r="Q349">
        <f>IF(E348&lt;=0,0,MIN(AJ349,E$7+IF(E$2=$AA349,$AC349,IF(E$2=$AF349,$AG349,0))))</f>
        <v/>
      </c>
      <c r="R349">
        <f>IF(F348&lt;=0,0,MIN(AK349,F$7+IF(F$2=$AA349,$AC349,IF(F$2=$AF349,$AG349,0))))</f>
        <v/>
      </c>
      <c r="S349">
        <f>IF(G348&lt;=0,0,MIN(AL349,G$7+IF(G$2=$AA349,$AC349,IF(G$2=$AF349,$AG349,0))))</f>
        <v/>
      </c>
      <c r="T349">
        <f>IF(H348&lt;=0,0,MIN(AM349,H$7+IF(H$2=$AA349,$AC349,IF(H$2=$AF349,$AG349,0))))</f>
        <v/>
      </c>
      <c r="U349">
        <f>IF(I348&lt;=0,0,MIN(AN349,I$7+IF(I$2=$AA349,$AC349,IF(I$2=$AF349,$AG349,0))))</f>
        <v/>
      </c>
      <c r="V349">
        <f>IF(J348&lt;=0,0,MIN(AO349,J$7+IF(J$2=$AA349,$AC349,IF(J$2=$AF349,$AG349,0))))</f>
        <v/>
      </c>
      <c r="W349">
        <f>IF(K348&lt;=0,0,MIN(AP349,K$7+IF(K$2=$AA349,$AC349,IF(K$2=$AF349,$AG349,0))))</f>
        <v/>
      </c>
      <c r="X349">
        <f>IF(L348&lt;=0,0,MIN(AQ349,L$7+IF(L$2=$AA349,$AC349,IF(L$2=$AF349,$AG349,0))))</f>
        <v/>
      </c>
      <c r="Y349">
        <f>IF(M348&lt;=0,0,MIN(AR349,M$7+IF(M$2=$AA349,$AC349,IF(M$2=$AF349,$AG349,0))))</f>
        <v/>
      </c>
      <c r="Z349">
        <f>IF(N348&lt;=0,0,MIN(AS349,N$7+IF(N$2=$AA349,$AC349,IF(N$2=$AF349,$AG349,0))))</f>
        <v/>
      </c>
      <c r="AA349">
        <f>IFERROR(ROUND(1/SUMPRODUCT(MAX((C348:N348&gt;0)*($C$3:$N$3&lt;=B349)/$C$2:$N$2)),0),0)</f>
        <v/>
      </c>
      <c r="AB349">
        <f>SUMPRODUCT((C348:N348&gt;0)*$C$7:$N$7)</f>
        <v/>
      </c>
      <c r="AC349">
        <f>MAX(0,Plan!$C$5-AB349)+IF(A349=Plan!$C$8,N(Plan!$C$7),0)</f>
        <v/>
      </c>
      <c r="AD349">
        <f>SUM(C349:N349)</f>
        <v/>
      </c>
      <c r="AE349">
        <f>SUM(O349:Z349)</f>
        <v/>
      </c>
      <c r="AF349">
        <f>IFERROR(ROUND(1/SUMPRODUCT(MAX((C348:N348&gt;0)*($C$3:$N$3&lt;=B349)*($C$2:$N$2&gt;AA349)/$C$2:$N$2)),0),0)</f>
        <v/>
      </c>
      <c r="AG349">
        <f>MAX(0,AC349-MAX(0,SUMPRODUCT(($C$2:$N$2=AA349)*(AH349:AS349-$C$7:$N$7))))</f>
        <v/>
      </c>
      <c r="AH349">
        <f>IF(C348&lt;=0,0,ROUND(C348*(1+IF(AND(C$6&gt;0,$B349&lt;C$6),C$4,C$5)/12),2))</f>
        <v/>
      </c>
      <c r="AI349">
        <f>IF(D348&lt;=0,0,ROUND(D348*(1+IF(AND(D$6&gt;0,$B349&lt;D$6),D$4,D$5)/12),2))</f>
        <v/>
      </c>
      <c r="AJ349">
        <f>IF(E348&lt;=0,0,ROUND(E348*(1+IF(AND(E$6&gt;0,$B349&lt;E$6),E$4,E$5)/12),2))</f>
        <v/>
      </c>
      <c r="AK349">
        <f>IF(F348&lt;=0,0,ROUND(F348*(1+IF(AND(F$6&gt;0,$B349&lt;F$6),F$4,F$5)/12),2))</f>
        <v/>
      </c>
      <c r="AL349">
        <f>IF(G348&lt;=0,0,ROUND(G348*(1+IF(AND(G$6&gt;0,$B349&lt;G$6),G$4,G$5)/12),2))</f>
        <v/>
      </c>
      <c r="AM349">
        <f>IF(H348&lt;=0,0,ROUND(H348*(1+IF(AND(H$6&gt;0,$B349&lt;H$6),H$4,H$5)/12),2))</f>
        <v/>
      </c>
      <c r="AN349">
        <f>IF(I348&lt;=0,0,ROUND(I348*(1+IF(AND(I$6&gt;0,$B349&lt;I$6),I$4,I$5)/12),2))</f>
        <v/>
      </c>
      <c r="AO349">
        <f>IF(J348&lt;=0,0,ROUND(J348*(1+IF(AND(J$6&gt;0,$B349&lt;J$6),J$4,J$5)/12),2))</f>
        <v/>
      </c>
      <c r="AP349">
        <f>IF(K348&lt;=0,0,ROUND(K348*(1+IF(AND(K$6&gt;0,$B349&lt;K$6),K$4,K$5)/12),2))</f>
        <v/>
      </c>
      <c r="AQ349">
        <f>IF(L348&lt;=0,0,ROUND(L348*(1+IF(AND(L$6&gt;0,$B349&lt;L$6),L$4,L$5)/12),2))</f>
        <v/>
      </c>
      <c r="AR349">
        <f>IF(M348&lt;=0,0,ROUND(M348*(1+IF(AND(M$6&gt;0,$B349&lt;M$6),M$4,M$5)/12),2))</f>
        <v/>
      </c>
      <c r="AS349">
        <f>IF(N348&lt;=0,0,ROUND(N348*(1+IF(AND(N$6&gt;0,$B349&lt;N$6),N$4,N$5)/12),2))</f>
        <v/>
      </c>
    </row>
    <row r="350">
      <c r="A350" t="n">
        <v>339</v>
      </c>
      <c r="B350">
        <f>EDATE(Plan!$C$6,338)</f>
        <v/>
      </c>
      <c r="C350">
        <f>IF(C349&lt;=0,0,MAX(0,AH350-O350))</f>
        <v/>
      </c>
      <c r="D350">
        <f>IF(D349&lt;=0,0,MAX(0,AI350-P350))</f>
        <v/>
      </c>
      <c r="E350">
        <f>IF(E349&lt;=0,0,MAX(0,AJ350-Q350))</f>
        <v/>
      </c>
      <c r="F350">
        <f>IF(F349&lt;=0,0,MAX(0,AK350-R350))</f>
        <v/>
      </c>
      <c r="G350">
        <f>IF(G349&lt;=0,0,MAX(0,AL350-S350))</f>
        <v/>
      </c>
      <c r="H350">
        <f>IF(H349&lt;=0,0,MAX(0,AM350-T350))</f>
        <v/>
      </c>
      <c r="I350">
        <f>IF(I349&lt;=0,0,MAX(0,AN350-U350))</f>
        <v/>
      </c>
      <c r="J350">
        <f>IF(J349&lt;=0,0,MAX(0,AO350-V350))</f>
        <v/>
      </c>
      <c r="K350">
        <f>IF(K349&lt;=0,0,MAX(0,AP350-W350))</f>
        <v/>
      </c>
      <c r="L350">
        <f>IF(L349&lt;=0,0,MAX(0,AQ350-X350))</f>
        <v/>
      </c>
      <c r="M350">
        <f>IF(M349&lt;=0,0,MAX(0,AR350-Y350))</f>
        <v/>
      </c>
      <c r="N350">
        <f>IF(N349&lt;=0,0,MAX(0,AS350-Z350))</f>
        <v/>
      </c>
      <c r="O350">
        <f>IF(C349&lt;=0,0,MIN(AH350,C$7+IF(C$2=$AA350,$AC350,IF(C$2=$AF350,$AG350,0))))</f>
        <v/>
      </c>
      <c r="P350">
        <f>IF(D349&lt;=0,0,MIN(AI350,D$7+IF(D$2=$AA350,$AC350,IF(D$2=$AF350,$AG350,0))))</f>
        <v/>
      </c>
      <c r="Q350">
        <f>IF(E349&lt;=0,0,MIN(AJ350,E$7+IF(E$2=$AA350,$AC350,IF(E$2=$AF350,$AG350,0))))</f>
        <v/>
      </c>
      <c r="R350">
        <f>IF(F349&lt;=0,0,MIN(AK350,F$7+IF(F$2=$AA350,$AC350,IF(F$2=$AF350,$AG350,0))))</f>
        <v/>
      </c>
      <c r="S350">
        <f>IF(G349&lt;=0,0,MIN(AL350,G$7+IF(G$2=$AA350,$AC350,IF(G$2=$AF350,$AG350,0))))</f>
        <v/>
      </c>
      <c r="T350">
        <f>IF(H349&lt;=0,0,MIN(AM350,H$7+IF(H$2=$AA350,$AC350,IF(H$2=$AF350,$AG350,0))))</f>
        <v/>
      </c>
      <c r="U350">
        <f>IF(I349&lt;=0,0,MIN(AN350,I$7+IF(I$2=$AA350,$AC350,IF(I$2=$AF350,$AG350,0))))</f>
        <v/>
      </c>
      <c r="V350">
        <f>IF(J349&lt;=0,0,MIN(AO350,J$7+IF(J$2=$AA350,$AC350,IF(J$2=$AF350,$AG350,0))))</f>
        <v/>
      </c>
      <c r="W350">
        <f>IF(K349&lt;=0,0,MIN(AP350,K$7+IF(K$2=$AA350,$AC350,IF(K$2=$AF350,$AG350,0))))</f>
        <v/>
      </c>
      <c r="X350">
        <f>IF(L349&lt;=0,0,MIN(AQ350,L$7+IF(L$2=$AA350,$AC350,IF(L$2=$AF350,$AG350,0))))</f>
        <v/>
      </c>
      <c r="Y350">
        <f>IF(M349&lt;=0,0,MIN(AR350,M$7+IF(M$2=$AA350,$AC350,IF(M$2=$AF350,$AG350,0))))</f>
        <v/>
      </c>
      <c r="Z350">
        <f>IF(N349&lt;=0,0,MIN(AS350,N$7+IF(N$2=$AA350,$AC350,IF(N$2=$AF350,$AG350,0))))</f>
        <v/>
      </c>
      <c r="AA350">
        <f>IFERROR(ROUND(1/SUMPRODUCT(MAX((C349:N349&gt;0)*($C$3:$N$3&lt;=B350)/$C$2:$N$2)),0),0)</f>
        <v/>
      </c>
      <c r="AB350">
        <f>SUMPRODUCT((C349:N349&gt;0)*$C$7:$N$7)</f>
        <v/>
      </c>
      <c r="AC350">
        <f>MAX(0,Plan!$C$5-AB350)+IF(A350=Plan!$C$8,N(Plan!$C$7),0)</f>
        <v/>
      </c>
      <c r="AD350">
        <f>SUM(C350:N350)</f>
        <v/>
      </c>
      <c r="AE350">
        <f>SUM(O350:Z350)</f>
        <v/>
      </c>
      <c r="AF350">
        <f>IFERROR(ROUND(1/SUMPRODUCT(MAX((C349:N349&gt;0)*($C$3:$N$3&lt;=B350)*($C$2:$N$2&gt;AA350)/$C$2:$N$2)),0),0)</f>
        <v/>
      </c>
      <c r="AG350">
        <f>MAX(0,AC350-MAX(0,SUMPRODUCT(($C$2:$N$2=AA350)*(AH350:AS350-$C$7:$N$7))))</f>
        <v/>
      </c>
      <c r="AH350">
        <f>IF(C349&lt;=0,0,ROUND(C349*(1+IF(AND(C$6&gt;0,$B350&lt;C$6),C$4,C$5)/12),2))</f>
        <v/>
      </c>
      <c r="AI350">
        <f>IF(D349&lt;=0,0,ROUND(D349*(1+IF(AND(D$6&gt;0,$B350&lt;D$6),D$4,D$5)/12),2))</f>
        <v/>
      </c>
      <c r="AJ350">
        <f>IF(E349&lt;=0,0,ROUND(E349*(1+IF(AND(E$6&gt;0,$B350&lt;E$6),E$4,E$5)/12),2))</f>
        <v/>
      </c>
      <c r="AK350">
        <f>IF(F349&lt;=0,0,ROUND(F349*(1+IF(AND(F$6&gt;0,$B350&lt;F$6),F$4,F$5)/12),2))</f>
        <v/>
      </c>
      <c r="AL350">
        <f>IF(G349&lt;=0,0,ROUND(G349*(1+IF(AND(G$6&gt;0,$B350&lt;G$6),G$4,G$5)/12),2))</f>
        <v/>
      </c>
      <c r="AM350">
        <f>IF(H349&lt;=0,0,ROUND(H349*(1+IF(AND(H$6&gt;0,$B350&lt;H$6),H$4,H$5)/12),2))</f>
        <v/>
      </c>
      <c r="AN350">
        <f>IF(I349&lt;=0,0,ROUND(I349*(1+IF(AND(I$6&gt;0,$B350&lt;I$6),I$4,I$5)/12),2))</f>
        <v/>
      </c>
      <c r="AO350">
        <f>IF(J349&lt;=0,0,ROUND(J349*(1+IF(AND(J$6&gt;0,$B350&lt;J$6),J$4,J$5)/12),2))</f>
        <v/>
      </c>
      <c r="AP350">
        <f>IF(K349&lt;=0,0,ROUND(K349*(1+IF(AND(K$6&gt;0,$B350&lt;K$6),K$4,K$5)/12),2))</f>
        <v/>
      </c>
      <c r="AQ350">
        <f>IF(L349&lt;=0,0,ROUND(L349*(1+IF(AND(L$6&gt;0,$B350&lt;L$6),L$4,L$5)/12),2))</f>
        <v/>
      </c>
      <c r="AR350">
        <f>IF(M349&lt;=0,0,ROUND(M349*(1+IF(AND(M$6&gt;0,$B350&lt;M$6),M$4,M$5)/12),2))</f>
        <v/>
      </c>
      <c r="AS350">
        <f>IF(N349&lt;=0,0,ROUND(N349*(1+IF(AND(N$6&gt;0,$B350&lt;N$6),N$4,N$5)/12),2))</f>
        <v/>
      </c>
    </row>
    <row r="351">
      <c r="A351" t="n">
        <v>340</v>
      </c>
      <c r="B351">
        <f>EDATE(Plan!$C$6,339)</f>
        <v/>
      </c>
      <c r="C351">
        <f>IF(C350&lt;=0,0,MAX(0,AH351-O351))</f>
        <v/>
      </c>
      <c r="D351">
        <f>IF(D350&lt;=0,0,MAX(0,AI351-P351))</f>
        <v/>
      </c>
      <c r="E351">
        <f>IF(E350&lt;=0,0,MAX(0,AJ351-Q351))</f>
        <v/>
      </c>
      <c r="F351">
        <f>IF(F350&lt;=0,0,MAX(0,AK351-R351))</f>
        <v/>
      </c>
      <c r="G351">
        <f>IF(G350&lt;=0,0,MAX(0,AL351-S351))</f>
        <v/>
      </c>
      <c r="H351">
        <f>IF(H350&lt;=0,0,MAX(0,AM351-T351))</f>
        <v/>
      </c>
      <c r="I351">
        <f>IF(I350&lt;=0,0,MAX(0,AN351-U351))</f>
        <v/>
      </c>
      <c r="J351">
        <f>IF(J350&lt;=0,0,MAX(0,AO351-V351))</f>
        <v/>
      </c>
      <c r="K351">
        <f>IF(K350&lt;=0,0,MAX(0,AP351-W351))</f>
        <v/>
      </c>
      <c r="L351">
        <f>IF(L350&lt;=0,0,MAX(0,AQ351-X351))</f>
        <v/>
      </c>
      <c r="M351">
        <f>IF(M350&lt;=0,0,MAX(0,AR351-Y351))</f>
        <v/>
      </c>
      <c r="N351">
        <f>IF(N350&lt;=0,0,MAX(0,AS351-Z351))</f>
        <v/>
      </c>
      <c r="O351">
        <f>IF(C350&lt;=0,0,MIN(AH351,C$7+IF(C$2=$AA351,$AC351,IF(C$2=$AF351,$AG351,0))))</f>
        <v/>
      </c>
      <c r="P351">
        <f>IF(D350&lt;=0,0,MIN(AI351,D$7+IF(D$2=$AA351,$AC351,IF(D$2=$AF351,$AG351,0))))</f>
        <v/>
      </c>
      <c r="Q351">
        <f>IF(E350&lt;=0,0,MIN(AJ351,E$7+IF(E$2=$AA351,$AC351,IF(E$2=$AF351,$AG351,0))))</f>
        <v/>
      </c>
      <c r="R351">
        <f>IF(F350&lt;=0,0,MIN(AK351,F$7+IF(F$2=$AA351,$AC351,IF(F$2=$AF351,$AG351,0))))</f>
        <v/>
      </c>
      <c r="S351">
        <f>IF(G350&lt;=0,0,MIN(AL351,G$7+IF(G$2=$AA351,$AC351,IF(G$2=$AF351,$AG351,0))))</f>
        <v/>
      </c>
      <c r="T351">
        <f>IF(H350&lt;=0,0,MIN(AM351,H$7+IF(H$2=$AA351,$AC351,IF(H$2=$AF351,$AG351,0))))</f>
        <v/>
      </c>
      <c r="U351">
        <f>IF(I350&lt;=0,0,MIN(AN351,I$7+IF(I$2=$AA351,$AC351,IF(I$2=$AF351,$AG351,0))))</f>
        <v/>
      </c>
      <c r="V351">
        <f>IF(J350&lt;=0,0,MIN(AO351,J$7+IF(J$2=$AA351,$AC351,IF(J$2=$AF351,$AG351,0))))</f>
        <v/>
      </c>
      <c r="W351">
        <f>IF(K350&lt;=0,0,MIN(AP351,K$7+IF(K$2=$AA351,$AC351,IF(K$2=$AF351,$AG351,0))))</f>
        <v/>
      </c>
      <c r="X351">
        <f>IF(L350&lt;=0,0,MIN(AQ351,L$7+IF(L$2=$AA351,$AC351,IF(L$2=$AF351,$AG351,0))))</f>
        <v/>
      </c>
      <c r="Y351">
        <f>IF(M350&lt;=0,0,MIN(AR351,M$7+IF(M$2=$AA351,$AC351,IF(M$2=$AF351,$AG351,0))))</f>
        <v/>
      </c>
      <c r="Z351">
        <f>IF(N350&lt;=0,0,MIN(AS351,N$7+IF(N$2=$AA351,$AC351,IF(N$2=$AF351,$AG351,0))))</f>
        <v/>
      </c>
      <c r="AA351">
        <f>IFERROR(ROUND(1/SUMPRODUCT(MAX((C350:N350&gt;0)*($C$3:$N$3&lt;=B351)/$C$2:$N$2)),0),0)</f>
        <v/>
      </c>
      <c r="AB351">
        <f>SUMPRODUCT((C350:N350&gt;0)*$C$7:$N$7)</f>
        <v/>
      </c>
      <c r="AC351">
        <f>MAX(0,Plan!$C$5-AB351)+IF(A351=Plan!$C$8,N(Plan!$C$7),0)</f>
        <v/>
      </c>
      <c r="AD351">
        <f>SUM(C351:N351)</f>
        <v/>
      </c>
      <c r="AE351">
        <f>SUM(O351:Z351)</f>
        <v/>
      </c>
      <c r="AF351">
        <f>IFERROR(ROUND(1/SUMPRODUCT(MAX((C350:N350&gt;0)*($C$3:$N$3&lt;=B351)*($C$2:$N$2&gt;AA351)/$C$2:$N$2)),0),0)</f>
        <v/>
      </c>
      <c r="AG351">
        <f>MAX(0,AC351-MAX(0,SUMPRODUCT(($C$2:$N$2=AA351)*(AH351:AS351-$C$7:$N$7))))</f>
        <v/>
      </c>
      <c r="AH351">
        <f>IF(C350&lt;=0,0,ROUND(C350*(1+IF(AND(C$6&gt;0,$B351&lt;C$6),C$4,C$5)/12),2))</f>
        <v/>
      </c>
      <c r="AI351">
        <f>IF(D350&lt;=0,0,ROUND(D350*(1+IF(AND(D$6&gt;0,$B351&lt;D$6),D$4,D$5)/12),2))</f>
        <v/>
      </c>
      <c r="AJ351">
        <f>IF(E350&lt;=0,0,ROUND(E350*(1+IF(AND(E$6&gt;0,$B351&lt;E$6),E$4,E$5)/12),2))</f>
        <v/>
      </c>
      <c r="AK351">
        <f>IF(F350&lt;=0,0,ROUND(F350*(1+IF(AND(F$6&gt;0,$B351&lt;F$6),F$4,F$5)/12),2))</f>
        <v/>
      </c>
      <c r="AL351">
        <f>IF(G350&lt;=0,0,ROUND(G350*(1+IF(AND(G$6&gt;0,$B351&lt;G$6),G$4,G$5)/12),2))</f>
        <v/>
      </c>
      <c r="AM351">
        <f>IF(H350&lt;=0,0,ROUND(H350*(1+IF(AND(H$6&gt;0,$B351&lt;H$6),H$4,H$5)/12),2))</f>
        <v/>
      </c>
      <c r="AN351">
        <f>IF(I350&lt;=0,0,ROUND(I350*(1+IF(AND(I$6&gt;0,$B351&lt;I$6),I$4,I$5)/12),2))</f>
        <v/>
      </c>
      <c r="AO351">
        <f>IF(J350&lt;=0,0,ROUND(J350*(1+IF(AND(J$6&gt;0,$B351&lt;J$6),J$4,J$5)/12),2))</f>
        <v/>
      </c>
      <c r="AP351">
        <f>IF(K350&lt;=0,0,ROUND(K350*(1+IF(AND(K$6&gt;0,$B351&lt;K$6),K$4,K$5)/12),2))</f>
        <v/>
      </c>
      <c r="AQ351">
        <f>IF(L350&lt;=0,0,ROUND(L350*(1+IF(AND(L$6&gt;0,$B351&lt;L$6),L$4,L$5)/12),2))</f>
        <v/>
      </c>
      <c r="AR351">
        <f>IF(M350&lt;=0,0,ROUND(M350*(1+IF(AND(M$6&gt;0,$B351&lt;M$6),M$4,M$5)/12),2))</f>
        <v/>
      </c>
      <c r="AS351">
        <f>IF(N350&lt;=0,0,ROUND(N350*(1+IF(AND(N$6&gt;0,$B351&lt;N$6),N$4,N$5)/12),2))</f>
        <v/>
      </c>
    </row>
    <row r="352">
      <c r="A352" t="n">
        <v>341</v>
      </c>
      <c r="B352">
        <f>EDATE(Plan!$C$6,340)</f>
        <v/>
      </c>
      <c r="C352">
        <f>IF(C351&lt;=0,0,MAX(0,AH352-O352))</f>
        <v/>
      </c>
      <c r="D352">
        <f>IF(D351&lt;=0,0,MAX(0,AI352-P352))</f>
        <v/>
      </c>
      <c r="E352">
        <f>IF(E351&lt;=0,0,MAX(0,AJ352-Q352))</f>
        <v/>
      </c>
      <c r="F352">
        <f>IF(F351&lt;=0,0,MAX(0,AK352-R352))</f>
        <v/>
      </c>
      <c r="G352">
        <f>IF(G351&lt;=0,0,MAX(0,AL352-S352))</f>
        <v/>
      </c>
      <c r="H352">
        <f>IF(H351&lt;=0,0,MAX(0,AM352-T352))</f>
        <v/>
      </c>
      <c r="I352">
        <f>IF(I351&lt;=0,0,MAX(0,AN352-U352))</f>
        <v/>
      </c>
      <c r="J352">
        <f>IF(J351&lt;=0,0,MAX(0,AO352-V352))</f>
        <v/>
      </c>
      <c r="K352">
        <f>IF(K351&lt;=0,0,MAX(0,AP352-W352))</f>
        <v/>
      </c>
      <c r="L352">
        <f>IF(L351&lt;=0,0,MAX(0,AQ352-X352))</f>
        <v/>
      </c>
      <c r="M352">
        <f>IF(M351&lt;=0,0,MAX(0,AR352-Y352))</f>
        <v/>
      </c>
      <c r="N352">
        <f>IF(N351&lt;=0,0,MAX(0,AS352-Z352))</f>
        <v/>
      </c>
      <c r="O352">
        <f>IF(C351&lt;=0,0,MIN(AH352,C$7+IF(C$2=$AA352,$AC352,IF(C$2=$AF352,$AG352,0))))</f>
        <v/>
      </c>
      <c r="P352">
        <f>IF(D351&lt;=0,0,MIN(AI352,D$7+IF(D$2=$AA352,$AC352,IF(D$2=$AF352,$AG352,0))))</f>
        <v/>
      </c>
      <c r="Q352">
        <f>IF(E351&lt;=0,0,MIN(AJ352,E$7+IF(E$2=$AA352,$AC352,IF(E$2=$AF352,$AG352,0))))</f>
        <v/>
      </c>
      <c r="R352">
        <f>IF(F351&lt;=0,0,MIN(AK352,F$7+IF(F$2=$AA352,$AC352,IF(F$2=$AF352,$AG352,0))))</f>
        <v/>
      </c>
      <c r="S352">
        <f>IF(G351&lt;=0,0,MIN(AL352,G$7+IF(G$2=$AA352,$AC352,IF(G$2=$AF352,$AG352,0))))</f>
        <v/>
      </c>
      <c r="T352">
        <f>IF(H351&lt;=0,0,MIN(AM352,H$7+IF(H$2=$AA352,$AC352,IF(H$2=$AF352,$AG352,0))))</f>
        <v/>
      </c>
      <c r="U352">
        <f>IF(I351&lt;=0,0,MIN(AN352,I$7+IF(I$2=$AA352,$AC352,IF(I$2=$AF352,$AG352,0))))</f>
        <v/>
      </c>
      <c r="V352">
        <f>IF(J351&lt;=0,0,MIN(AO352,J$7+IF(J$2=$AA352,$AC352,IF(J$2=$AF352,$AG352,0))))</f>
        <v/>
      </c>
      <c r="W352">
        <f>IF(K351&lt;=0,0,MIN(AP352,K$7+IF(K$2=$AA352,$AC352,IF(K$2=$AF352,$AG352,0))))</f>
        <v/>
      </c>
      <c r="X352">
        <f>IF(L351&lt;=0,0,MIN(AQ352,L$7+IF(L$2=$AA352,$AC352,IF(L$2=$AF352,$AG352,0))))</f>
        <v/>
      </c>
      <c r="Y352">
        <f>IF(M351&lt;=0,0,MIN(AR352,M$7+IF(M$2=$AA352,$AC352,IF(M$2=$AF352,$AG352,0))))</f>
        <v/>
      </c>
      <c r="Z352">
        <f>IF(N351&lt;=0,0,MIN(AS352,N$7+IF(N$2=$AA352,$AC352,IF(N$2=$AF352,$AG352,0))))</f>
        <v/>
      </c>
      <c r="AA352">
        <f>IFERROR(ROUND(1/SUMPRODUCT(MAX((C351:N351&gt;0)*($C$3:$N$3&lt;=B352)/$C$2:$N$2)),0),0)</f>
        <v/>
      </c>
      <c r="AB352">
        <f>SUMPRODUCT((C351:N351&gt;0)*$C$7:$N$7)</f>
        <v/>
      </c>
      <c r="AC352">
        <f>MAX(0,Plan!$C$5-AB352)+IF(A352=Plan!$C$8,N(Plan!$C$7),0)</f>
        <v/>
      </c>
      <c r="AD352">
        <f>SUM(C352:N352)</f>
        <v/>
      </c>
      <c r="AE352">
        <f>SUM(O352:Z352)</f>
        <v/>
      </c>
      <c r="AF352">
        <f>IFERROR(ROUND(1/SUMPRODUCT(MAX((C351:N351&gt;0)*($C$3:$N$3&lt;=B352)*($C$2:$N$2&gt;AA352)/$C$2:$N$2)),0),0)</f>
        <v/>
      </c>
      <c r="AG352">
        <f>MAX(0,AC352-MAX(0,SUMPRODUCT(($C$2:$N$2=AA352)*(AH352:AS352-$C$7:$N$7))))</f>
        <v/>
      </c>
      <c r="AH352">
        <f>IF(C351&lt;=0,0,ROUND(C351*(1+IF(AND(C$6&gt;0,$B352&lt;C$6),C$4,C$5)/12),2))</f>
        <v/>
      </c>
      <c r="AI352">
        <f>IF(D351&lt;=0,0,ROUND(D351*(1+IF(AND(D$6&gt;0,$B352&lt;D$6),D$4,D$5)/12),2))</f>
        <v/>
      </c>
      <c r="AJ352">
        <f>IF(E351&lt;=0,0,ROUND(E351*(1+IF(AND(E$6&gt;0,$B352&lt;E$6),E$4,E$5)/12),2))</f>
        <v/>
      </c>
      <c r="AK352">
        <f>IF(F351&lt;=0,0,ROUND(F351*(1+IF(AND(F$6&gt;0,$B352&lt;F$6),F$4,F$5)/12),2))</f>
        <v/>
      </c>
      <c r="AL352">
        <f>IF(G351&lt;=0,0,ROUND(G351*(1+IF(AND(G$6&gt;0,$B352&lt;G$6),G$4,G$5)/12),2))</f>
        <v/>
      </c>
      <c r="AM352">
        <f>IF(H351&lt;=0,0,ROUND(H351*(1+IF(AND(H$6&gt;0,$B352&lt;H$6),H$4,H$5)/12),2))</f>
        <v/>
      </c>
      <c r="AN352">
        <f>IF(I351&lt;=0,0,ROUND(I351*(1+IF(AND(I$6&gt;0,$B352&lt;I$6),I$4,I$5)/12),2))</f>
        <v/>
      </c>
      <c r="AO352">
        <f>IF(J351&lt;=0,0,ROUND(J351*(1+IF(AND(J$6&gt;0,$B352&lt;J$6),J$4,J$5)/12),2))</f>
        <v/>
      </c>
      <c r="AP352">
        <f>IF(K351&lt;=0,0,ROUND(K351*(1+IF(AND(K$6&gt;0,$B352&lt;K$6),K$4,K$5)/12),2))</f>
        <v/>
      </c>
      <c r="AQ352">
        <f>IF(L351&lt;=0,0,ROUND(L351*(1+IF(AND(L$6&gt;0,$B352&lt;L$6),L$4,L$5)/12),2))</f>
        <v/>
      </c>
      <c r="AR352">
        <f>IF(M351&lt;=0,0,ROUND(M351*(1+IF(AND(M$6&gt;0,$B352&lt;M$6),M$4,M$5)/12),2))</f>
        <v/>
      </c>
      <c r="AS352">
        <f>IF(N351&lt;=0,0,ROUND(N351*(1+IF(AND(N$6&gt;0,$B352&lt;N$6),N$4,N$5)/12),2))</f>
        <v/>
      </c>
    </row>
    <row r="353">
      <c r="A353" t="n">
        <v>342</v>
      </c>
      <c r="B353">
        <f>EDATE(Plan!$C$6,341)</f>
        <v/>
      </c>
      <c r="C353">
        <f>IF(C352&lt;=0,0,MAX(0,AH353-O353))</f>
        <v/>
      </c>
      <c r="D353">
        <f>IF(D352&lt;=0,0,MAX(0,AI353-P353))</f>
        <v/>
      </c>
      <c r="E353">
        <f>IF(E352&lt;=0,0,MAX(0,AJ353-Q353))</f>
        <v/>
      </c>
      <c r="F353">
        <f>IF(F352&lt;=0,0,MAX(0,AK353-R353))</f>
        <v/>
      </c>
      <c r="G353">
        <f>IF(G352&lt;=0,0,MAX(0,AL353-S353))</f>
        <v/>
      </c>
      <c r="H353">
        <f>IF(H352&lt;=0,0,MAX(0,AM353-T353))</f>
        <v/>
      </c>
      <c r="I353">
        <f>IF(I352&lt;=0,0,MAX(0,AN353-U353))</f>
        <v/>
      </c>
      <c r="J353">
        <f>IF(J352&lt;=0,0,MAX(0,AO353-V353))</f>
        <v/>
      </c>
      <c r="K353">
        <f>IF(K352&lt;=0,0,MAX(0,AP353-W353))</f>
        <v/>
      </c>
      <c r="L353">
        <f>IF(L352&lt;=0,0,MAX(0,AQ353-X353))</f>
        <v/>
      </c>
      <c r="M353">
        <f>IF(M352&lt;=0,0,MAX(0,AR353-Y353))</f>
        <v/>
      </c>
      <c r="N353">
        <f>IF(N352&lt;=0,0,MAX(0,AS353-Z353))</f>
        <v/>
      </c>
      <c r="O353">
        <f>IF(C352&lt;=0,0,MIN(AH353,C$7+IF(C$2=$AA353,$AC353,IF(C$2=$AF353,$AG353,0))))</f>
        <v/>
      </c>
      <c r="P353">
        <f>IF(D352&lt;=0,0,MIN(AI353,D$7+IF(D$2=$AA353,$AC353,IF(D$2=$AF353,$AG353,0))))</f>
        <v/>
      </c>
      <c r="Q353">
        <f>IF(E352&lt;=0,0,MIN(AJ353,E$7+IF(E$2=$AA353,$AC353,IF(E$2=$AF353,$AG353,0))))</f>
        <v/>
      </c>
      <c r="R353">
        <f>IF(F352&lt;=0,0,MIN(AK353,F$7+IF(F$2=$AA353,$AC353,IF(F$2=$AF353,$AG353,0))))</f>
        <v/>
      </c>
      <c r="S353">
        <f>IF(G352&lt;=0,0,MIN(AL353,G$7+IF(G$2=$AA353,$AC353,IF(G$2=$AF353,$AG353,0))))</f>
        <v/>
      </c>
      <c r="T353">
        <f>IF(H352&lt;=0,0,MIN(AM353,H$7+IF(H$2=$AA353,$AC353,IF(H$2=$AF353,$AG353,0))))</f>
        <v/>
      </c>
      <c r="U353">
        <f>IF(I352&lt;=0,0,MIN(AN353,I$7+IF(I$2=$AA353,$AC353,IF(I$2=$AF353,$AG353,0))))</f>
        <v/>
      </c>
      <c r="V353">
        <f>IF(J352&lt;=0,0,MIN(AO353,J$7+IF(J$2=$AA353,$AC353,IF(J$2=$AF353,$AG353,0))))</f>
        <v/>
      </c>
      <c r="W353">
        <f>IF(K352&lt;=0,0,MIN(AP353,K$7+IF(K$2=$AA353,$AC353,IF(K$2=$AF353,$AG353,0))))</f>
        <v/>
      </c>
      <c r="X353">
        <f>IF(L352&lt;=0,0,MIN(AQ353,L$7+IF(L$2=$AA353,$AC353,IF(L$2=$AF353,$AG353,0))))</f>
        <v/>
      </c>
      <c r="Y353">
        <f>IF(M352&lt;=0,0,MIN(AR353,M$7+IF(M$2=$AA353,$AC353,IF(M$2=$AF353,$AG353,0))))</f>
        <v/>
      </c>
      <c r="Z353">
        <f>IF(N352&lt;=0,0,MIN(AS353,N$7+IF(N$2=$AA353,$AC353,IF(N$2=$AF353,$AG353,0))))</f>
        <v/>
      </c>
      <c r="AA353">
        <f>IFERROR(ROUND(1/SUMPRODUCT(MAX((C352:N352&gt;0)*($C$3:$N$3&lt;=B353)/$C$2:$N$2)),0),0)</f>
        <v/>
      </c>
      <c r="AB353">
        <f>SUMPRODUCT((C352:N352&gt;0)*$C$7:$N$7)</f>
        <v/>
      </c>
      <c r="AC353">
        <f>MAX(0,Plan!$C$5-AB353)+IF(A353=Plan!$C$8,N(Plan!$C$7),0)</f>
        <v/>
      </c>
      <c r="AD353">
        <f>SUM(C353:N353)</f>
        <v/>
      </c>
      <c r="AE353">
        <f>SUM(O353:Z353)</f>
        <v/>
      </c>
      <c r="AF353">
        <f>IFERROR(ROUND(1/SUMPRODUCT(MAX((C352:N352&gt;0)*($C$3:$N$3&lt;=B353)*($C$2:$N$2&gt;AA353)/$C$2:$N$2)),0),0)</f>
        <v/>
      </c>
      <c r="AG353">
        <f>MAX(0,AC353-MAX(0,SUMPRODUCT(($C$2:$N$2=AA353)*(AH353:AS353-$C$7:$N$7))))</f>
        <v/>
      </c>
      <c r="AH353">
        <f>IF(C352&lt;=0,0,ROUND(C352*(1+IF(AND(C$6&gt;0,$B353&lt;C$6),C$4,C$5)/12),2))</f>
        <v/>
      </c>
      <c r="AI353">
        <f>IF(D352&lt;=0,0,ROUND(D352*(1+IF(AND(D$6&gt;0,$B353&lt;D$6),D$4,D$5)/12),2))</f>
        <v/>
      </c>
      <c r="AJ353">
        <f>IF(E352&lt;=0,0,ROUND(E352*(1+IF(AND(E$6&gt;0,$B353&lt;E$6),E$4,E$5)/12),2))</f>
        <v/>
      </c>
      <c r="AK353">
        <f>IF(F352&lt;=0,0,ROUND(F352*(1+IF(AND(F$6&gt;0,$B353&lt;F$6),F$4,F$5)/12),2))</f>
        <v/>
      </c>
      <c r="AL353">
        <f>IF(G352&lt;=0,0,ROUND(G352*(1+IF(AND(G$6&gt;0,$B353&lt;G$6),G$4,G$5)/12),2))</f>
        <v/>
      </c>
      <c r="AM353">
        <f>IF(H352&lt;=0,0,ROUND(H352*(1+IF(AND(H$6&gt;0,$B353&lt;H$6),H$4,H$5)/12),2))</f>
        <v/>
      </c>
      <c r="AN353">
        <f>IF(I352&lt;=0,0,ROUND(I352*(1+IF(AND(I$6&gt;0,$B353&lt;I$6),I$4,I$5)/12),2))</f>
        <v/>
      </c>
      <c r="AO353">
        <f>IF(J352&lt;=0,0,ROUND(J352*(1+IF(AND(J$6&gt;0,$B353&lt;J$6),J$4,J$5)/12),2))</f>
        <v/>
      </c>
      <c r="AP353">
        <f>IF(K352&lt;=0,0,ROUND(K352*(1+IF(AND(K$6&gt;0,$B353&lt;K$6),K$4,K$5)/12),2))</f>
        <v/>
      </c>
      <c r="AQ353">
        <f>IF(L352&lt;=0,0,ROUND(L352*(1+IF(AND(L$6&gt;0,$B353&lt;L$6),L$4,L$5)/12),2))</f>
        <v/>
      </c>
      <c r="AR353">
        <f>IF(M352&lt;=0,0,ROUND(M352*(1+IF(AND(M$6&gt;0,$B353&lt;M$6),M$4,M$5)/12),2))</f>
        <v/>
      </c>
      <c r="AS353">
        <f>IF(N352&lt;=0,0,ROUND(N352*(1+IF(AND(N$6&gt;0,$B353&lt;N$6),N$4,N$5)/12),2))</f>
        <v/>
      </c>
    </row>
    <row r="354">
      <c r="A354" t="n">
        <v>343</v>
      </c>
      <c r="B354">
        <f>EDATE(Plan!$C$6,342)</f>
        <v/>
      </c>
      <c r="C354">
        <f>IF(C353&lt;=0,0,MAX(0,AH354-O354))</f>
        <v/>
      </c>
      <c r="D354">
        <f>IF(D353&lt;=0,0,MAX(0,AI354-P354))</f>
        <v/>
      </c>
      <c r="E354">
        <f>IF(E353&lt;=0,0,MAX(0,AJ354-Q354))</f>
        <v/>
      </c>
      <c r="F354">
        <f>IF(F353&lt;=0,0,MAX(0,AK354-R354))</f>
        <v/>
      </c>
      <c r="G354">
        <f>IF(G353&lt;=0,0,MAX(0,AL354-S354))</f>
        <v/>
      </c>
      <c r="H354">
        <f>IF(H353&lt;=0,0,MAX(0,AM354-T354))</f>
        <v/>
      </c>
      <c r="I354">
        <f>IF(I353&lt;=0,0,MAX(0,AN354-U354))</f>
        <v/>
      </c>
      <c r="J354">
        <f>IF(J353&lt;=0,0,MAX(0,AO354-V354))</f>
        <v/>
      </c>
      <c r="K354">
        <f>IF(K353&lt;=0,0,MAX(0,AP354-W354))</f>
        <v/>
      </c>
      <c r="L354">
        <f>IF(L353&lt;=0,0,MAX(0,AQ354-X354))</f>
        <v/>
      </c>
      <c r="M354">
        <f>IF(M353&lt;=0,0,MAX(0,AR354-Y354))</f>
        <v/>
      </c>
      <c r="N354">
        <f>IF(N353&lt;=0,0,MAX(0,AS354-Z354))</f>
        <v/>
      </c>
      <c r="O354">
        <f>IF(C353&lt;=0,0,MIN(AH354,C$7+IF(C$2=$AA354,$AC354,IF(C$2=$AF354,$AG354,0))))</f>
        <v/>
      </c>
      <c r="P354">
        <f>IF(D353&lt;=0,0,MIN(AI354,D$7+IF(D$2=$AA354,$AC354,IF(D$2=$AF354,$AG354,0))))</f>
        <v/>
      </c>
      <c r="Q354">
        <f>IF(E353&lt;=0,0,MIN(AJ354,E$7+IF(E$2=$AA354,$AC354,IF(E$2=$AF354,$AG354,0))))</f>
        <v/>
      </c>
      <c r="R354">
        <f>IF(F353&lt;=0,0,MIN(AK354,F$7+IF(F$2=$AA354,$AC354,IF(F$2=$AF354,$AG354,0))))</f>
        <v/>
      </c>
      <c r="S354">
        <f>IF(G353&lt;=0,0,MIN(AL354,G$7+IF(G$2=$AA354,$AC354,IF(G$2=$AF354,$AG354,0))))</f>
        <v/>
      </c>
      <c r="T354">
        <f>IF(H353&lt;=0,0,MIN(AM354,H$7+IF(H$2=$AA354,$AC354,IF(H$2=$AF354,$AG354,0))))</f>
        <v/>
      </c>
      <c r="U354">
        <f>IF(I353&lt;=0,0,MIN(AN354,I$7+IF(I$2=$AA354,$AC354,IF(I$2=$AF354,$AG354,0))))</f>
        <v/>
      </c>
      <c r="V354">
        <f>IF(J353&lt;=0,0,MIN(AO354,J$7+IF(J$2=$AA354,$AC354,IF(J$2=$AF354,$AG354,0))))</f>
        <v/>
      </c>
      <c r="W354">
        <f>IF(K353&lt;=0,0,MIN(AP354,K$7+IF(K$2=$AA354,$AC354,IF(K$2=$AF354,$AG354,0))))</f>
        <v/>
      </c>
      <c r="X354">
        <f>IF(L353&lt;=0,0,MIN(AQ354,L$7+IF(L$2=$AA354,$AC354,IF(L$2=$AF354,$AG354,0))))</f>
        <v/>
      </c>
      <c r="Y354">
        <f>IF(M353&lt;=0,0,MIN(AR354,M$7+IF(M$2=$AA354,$AC354,IF(M$2=$AF354,$AG354,0))))</f>
        <v/>
      </c>
      <c r="Z354">
        <f>IF(N353&lt;=0,0,MIN(AS354,N$7+IF(N$2=$AA354,$AC354,IF(N$2=$AF354,$AG354,0))))</f>
        <v/>
      </c>
      <c r="AA354">
        <f>IFERROR(ROUND(1/SUMPRODUCT(MAX((C353:N353&gt;0)*($C$3:$N$3&lt;=B354)/$C$2:$N$2)),0),0)</f>
        <v/>
      </c>
      <c r="AB354">
        <f>SUMPRODUCT((C353:N353&gt;0)*$C$7:$N$7)</f>
        <v/>
      </c>
      <c r="AC354">
        <f>MAX(0,Plan!$C$5-AB354)+IF(A354=Plan!$C$8,N(Plan!$C$7),0)</f>
        <v/>
      </c>
      <c r="AD354">
        <f>SUM(C354:N354)</f>
        <v/>
      </c>
      <c r="AE354">
        <f>SUM(O354:Z354)</f>
        <v/>
      </c>
      <c r="AF354">
        <f>IFERROR(ROUND(1/SUMPRODUCT(MAX((C353:N353&gt;0)*($C$3:$N$3&lt;=B354)*($C$2:$N$2&gt;AA354)/$C$2:$N$2)),0),0)</f>
        <v/>
      </c>
      <c r="AG354">
        <f>MAX(0,AC354-MAX(0,SUMPRODUCT(($C$2:$N$2=AA354)*(AH354:AS354-$C$7:$N$7))))</f>
        <v/>
      </c>
      <c r="AH354">
        <f>IF(C353&lt;=0,0,ROUND(C353*(1+IF(AND(C$6&gt;0,$B354&lt;C$6),C$4,C$5)/12),2))</f>
        <v/>
      </c>
      <c r="AI354">
        <f>IF(D353&lt;=0,0,ROUND(D353*(1+IF(AND(D$6&gt;0,$B354&lt;D$6),D$4,D$5)/12),2))</f>
        <v/>
      </c>
      <c r="AJ354">
        <f>IF(E353&lt;=0,0,ROUND(E353*(1+IF(AND(E$6&gt;0,$B354&lt;E$6),E$4,E$5)/12),2))</f>
        <v/>
      </c>
      <c r="AK354">
        <f>IF(F353&lt;=0,0,ROUND(F353*(1+IF(AND(F$6&gt;0,$B354&lt;F$6),F$4,F$5)/12),2))</f>
        <v/>
      </c>
      <c r="AL354">
        <f>IF(G353&lt;=0,0,ROUND(G353*(1+IF(AND(G$6&gt;0,$B354&lt;G$6),G$4,G$5)/12),2))</f>
        <v/>
      </c>
      <c r="AM354">
        <f>IF(H353&lt;=0,0,ROUND(H353*(1+IF(AND(H$6&gt;0,$B354&lt;H$6),H$4,H$5)/12),2))</f>
        <v/>
      </c>
      <c r="AN354">
        <f>IF(I353&lt;=0,0,ROUND(I353*(1+IF(AND(I$6&gt;0,$B354&lt;I$6),I$4,I$5)/12),2))</f>
        <v/>
      </c>
      <c r="AO354">
        <f>IF(J353&lt;=0,0,ROUND(J353*(1+IF(AND(J$6&gt;0,$B354&lt;J$6),J$4,J$5)/12),2))</f>
        <v/>
      </c>
      <c r="AP354">
        <f>IF(K353&lt;=0,0,ROUND(K353*(1+IF(AND(K$6&gt;0,$B354&lt;K$6),K$4,K$5)/12),2))</f>
        <v/>
      </c>
      <c r="AQ354">
        <f>IF(L353&lt;=0,0,ROUND(L353*(1+IF(AND(L$6&gt;0,$B354&lt;L$6),L$4,L$5)/12),2))</f>
        <v/>
      </c>
      <c r="AR354">
        <f>IF(M353&lt;=0,0,ROUND(M353*(1+IF(AND(M$6&gt;0,$B354&lt;M$6),M$4,M$5)/12),2))</f>
        <v/>
      </c>
      <c r="AS354">
        <f>IF(N353&lt;=0,0,ROUND(N353*(1+IF(AND(N$6&gt;0,$B354&lt;N$6),N$4,N$5)/12),2))</f>
        <v/>
      </c>
    </row>
    <row r="355">
      <c r="A355" t="n">
        <v>344</v>
      </c>
      <c r="B355">
        <f>EDATE(Plan!$C$6,343)</f>
        <v/>
      </c>
      <c r="C355">
        <f>IF(C354&lt;=0,0,MAX(0,AH355-O355))</f>
        <v/>
      </c>
      <c r="D355">
        <f>IF(D354&lt;=0,0,MAX(0,AI355-P355))</f>
        <v/>
      </c>
      <c r="E355">
        <f>IF(E354&lt;=0,0,MAX(0,AJ355-Q355))</f>
        <v/>
      </c>
      <c r="F355">
        <f>IF(F354&lt;=0,0,MAX(0,AK355-R355))</f>
        <v/>
      </c>
      <c r="G355">
        <f>IF(G354&lt;=0,0,MAX(0,AL355-S355))</f>
        <v/>
      </c>
      <c r="H355">
        <f>IF(H354&lt;=0,0,MAX(0,AM355-T355))</f>
        <v/>
      </c>
      <c r="I355">
        <f>IF(I354&lt;=0,0,MAX(0,AN355-U355))</f>
        <v/>
      </c>
      <c r="J355">
        <f>IF(J354&lt;=0,0,MAX(0,AO355-V355))</f>
        <v/>
      </c>
      <c r="K355">
        <f>IF(K354&lt;=0,0,MAX(0,AP355-W355))</f>
        <v/>
      </c>
      <c r="L355">
        <f>IF(L354&lt;=0,0,MAX(0,AQ355-X355))</f>
        <v/>
      </c>
      <c r="M355">
        <f>IF(M354&lt;=0,0,MAX(0,AR355-Y355))</f>
        <v/>
      </c>
      <c r="N355">
        <f>IF(N354&lt;=0,0,MAX(0,AS355-Z355))</f>
        <v/>
      </c>
      <c r="O355">
        <f>IF(C354&lt;=0,0,MIN(AH355,C$7+IF(C$2=$AA355,$AC355,IF(C$2=$AF355,$AG355,0))))</f>
        <v/>
      </c>
      <c r="P355">
        <f>IF(D354&lt;=0,0,MIN(AI355,D$7+IF(D$2=$AA355,$AC355,IF(D$2=$AF355,$AG355,0))))</f>
        <v/>
      </c>
      <c r="Q355">
        <f>IF(E354&lt;=0,0,MIN(AJ355,E$7+IF(E$2=$AA355,$AC355,IF(E$2=$AF355,$AG355,0))))</f>
        <v/>
      </c>
      <c r="R355">
        <f>IF(F354&lt;=0,0,MIN(AK355,F$7+IF(F$2=$AA355,$AC355,IF(F$2=$AF355,$AG355,0))))</f>
        <v/>
      </c>
      <c r="S355">
        <f>IF(G354&lt;=0,0,MIN(AL355,G$7+IF(G$2=$AA355,$AC355,IF(G$2=$AF355,$AG355,0))))</f>
        <v/>
      </c>
      <c r="T355">
        <f>IF(H354&lt;=0,0,MIN(AM355,H$7+IF(H$2=$AA355,$AC355,IF(H$2=$AF355,$AG355,0))))</f>
        <v/>
      </c>
      <c r="U355">
        <f>IF(I354&lt;=0,0,MIN(AN355,I$7+IF(I$2=$AA355,$AC355,IF(I$2=$AF355,$AG355,0))))</f>
        <v/>
      </c>
      <c r="V355">
        <f>IF(J354&lt;=0,0,MIN(AO355,J$7+IF(J$2=$AA355,$AC355,IF(J$2=$AF355,$AG355,0))))</f>
        <v/>
      </c>
      <c r="W355">
        <f>IF(K354&lt;=0,0,MIN(AP355,K$7+IF(K$2=$AA355,$AC355,IF(K$2=$AF355,$AG355,0))))</f>
        <v/>
      </c>
      <c r="X355">
        <f>IF(L354&lt;=0,0,MIN(AQ355,L$7+IF(L$2=$AA355,$AC355,IF(L$2=$AF355,$AG355,0))))</f>
        <v/>
      </c>
      <c r="Y355">
        <f>IF(M354&lt;=0,0,MIN(AR355,M$7+IF(M$2=$AA355,$AC355,IF(M$2=$AF355,$AG355,0))))</f>
        <v/>
      </c>
      <c r="Z355">
        <f>IF(N354&lt;=0,0,MIN(AS355,N$7+IF(N$2=$AA355,$AC355,IF(N$2=$AF355,$AG355,0))))</f>
        <v/>
      </c>
      <c r="AA355">
        <f>IFERROR(ROUND(1/SUMPRODUCT(MAX((C354:N354&gt;0)*($C$3:$N$3&lt;=B355)/$C$2:$N$2)),0),0)</f>
        <v/>
      </c>
      <c r="AB355">
        <f>SUMPRODUCT((C354:N354&gt;0)*$C$7:$N$7)</f>
        <v/>
      </c>
      <c r="AC355">
        <f>MAX(0,Plan!$C$5-AB355)+IF(A355=Plan!$C$8,N(Plan!$C$7),0)</f>
        <v/>
      </c>
      <c r="AD355">
        <f>SUM(C355:N355)</f>
        <v/>
      </c>
      <c r="AE355">
        <f>SUM(O355:Z355)</f>
        <v/>
      </c>
      <c r="AF355">
        <f>IFERROR(ROUND(1/SUMPRODUCT(MAX((C354:N354&gt;0)*($C$3:$N$3&lt;=B355)*($C$2:$N$2&gt;AA355)/$C$2:$N$2)),0),0)</f>
        <v/>
      </c>
      <c r="AG355">
        <f>MAX(0,AC355-MAX(0,SUMPRODUCT(($C$2:$N$2=AA355)*(AH355:AS355-$C$7:$N$7))))</f>
        <v/>
      </c>
      <c r="AH355">
        <f>IF(C354&lt;=0,0,ROUND(C354*(1+IF(AND(C$6&gt;0,$B355&lt;C$6),C$4,C$5)/12),2))</f>
        <v/>
      </c>
      <c r="AI355">
        <f>IF(D354&lt;=0,0,ROUND(D354*(1+IF(AND(D$6&gt;0,$B355&lt;D$6),D$4,D$5)/12),2))</f>
        <v/>
      </c>
      <c r="AJ355">
        <f>IF(E354&lt;=0,0,ROUND(E354*(1+IF(AND(E$6&gt;0,$B355&lt;E$6),E$4,E$5)/12),2))</f>
        <v/>
      </c>
      <c r="AK355">
        <f>IF(F354&lt;=0,0,ROUND(F354*(1+IF(AND(F$6&gt;0,$B355&lt;F$6),F$4,F$5)/12),2))</f>
        <v/>
      </c>
      <c r="AL355">
        <f>IF(G354&lt;=0,0,ROUND(G354*(1+IF(AND(G$6&gt;0,$B355&lt;G$6),G$4,G$5)/12),2))</f>
        <v/>
      </c>
      <c r="AM355">
        <f>IF(H354&lt;=0,0,ROUND(H354*(1+IF(AND(H$6&gt;0,$B355&lt;H$6),H$4,H$5)/12),2))</f>
        <v/>
      </c>
      <c r="AN355">
        <f>IF(I354&lt;=0,0,ROUND(I354*(1+IF(AND(I$6&gt;0,$B355&lt;I$6),I$4,I$5)/12),2))</f>
        <v/>
      </c>
      <c r="AO355">
        <f>IF(J354&lt;=0,0,ROUND(J354*(1+IF(AND(J$6&gt;0,$B355&lt;J$6),J$4,J$5)/12),2))</f>
        <v/>
      </c>
      <c r="AP355">
        <f>IF(K354&lt;=0,0,ROUND(K354*(1+IF(AND(K$6&gt;0,$B355&lt;K$6),K$4,K$5)/12),2))</f>
        <v/>
      </c>
      <c r="AQ355">
        <f>IF(L354&lt;=0,0,ROUND(L354*(1+IF(AND(L$6&gt;0,$B355&lt;L$6),L$4,L$5)/12),2))</f>
        <v/>
      </c>
      <c r="AR355">
        <f>IF(M354&lt;=0,0,ROUND(M354*(1+IF(AND(M$6&gt;0,$B355&lt;M$6),M$4,M$5)/12),2))</f>
        <v/>
      </c>
      <c r="AS355">
        <f>IF(N354&lt;=0,0,ROUND(N354*(1+IF(AND(N$6&gt;0,$B355&lt;N$6),N$4,N$5)/12),2))</f>
        <v/>
      </c>
    </row>
    <row r="356">
      <c r="A356" t="n">
        <v>345</v>
      </c>
      <c r="B356">
        <f>EDATE(Plan!$C$6,344)</f>
        <v/>
      </c>
      <c r="C356">
        <f>IF(C355&lt;=0,0,MAX(0,AH356-O356))</f>
        <v/>
      </c>
      <c r="D356">
        <f>IF(D355&lt;=0,0,MAX(0,AI356-P356))</f>
        <v/>
      </c>
      <c r="E356">
        <f>IF(E355&lt;=0,0,MAX(0,AJ356-Q356))</f>
        <v/>
      </c>
      <c r="F356">
        <f>IF(F355&lt;=0,0,MAX(0,AK356-R356))</f>
        <v/>
      </c>
      <c r="G356">
        <f>IF(G355&lt;=0,0,MAX(0,AL356-S356))</f>
        <v/>
      </c>
      <c r="H356">
        <f>IF(H355&lt;=0,0,MAX(0,AM356-T356))</f>
        <v/>
      </c>
      <c r="I356">
        <f>IF(I355&lt;=0,0,MAX(0,AN356-U356))</f>
        <v/>
      </c>
      <c r="J356">
        <f>IF(J355&lt;=0,0,MAX(0,AO356-V356))</f>
        <v/>
      </c>
      <c r="K356">
        <f>IF(K355&lt;=0,0,MAX(0,AP356-W356))</f>
        <v/>
      </c>
      <c r="L356">
        <f>IF(L355&lt;=0,0,MAX(0,AQ356-X356))</f>
        <v/>
      </c>
      <c r="M356">
        <f>IF(M355&lt;=0,0,MAX(0,AR356-Y356))</f>
        <v/>
      </c>
      <c r="N356">
        <f>IF(N355&lt;=0,0,MAX(0,AS356-Z356))</f>
        <v/>
      </c>
      <c r="O356">
        <f>IF(C355&lt;=0,0,MIN(AH356,C$7+IF(C$2=$AA356,$AC356,IF(C$2=$AF356,$AG356,0))))</f>
        <v/>
      </c>
      <c r="P356">
        <f>IF(D355&lt;=0,0,MIN(AI356,D$7+IF(D$2=$AA356,$AC356,IF(D$2=$AF356,$AG356,0))))</f>
        <v/>
      </c>
      <c r="Q356">
        <f>IF(E355&lt;=0,0,MIN(AJ356,E$7+IF(E$2=$AA356,$AC356,IF(E$2=$AF356,$AG356,0))))</f>
        <v/>
      </c>
      <c r="R356">
        <f>IF(F355&lt;=0,0,MIN(AK356,F$7+IF(F$2=$AA356,$AC356,IF(F$2=$AF356,$AG356,0))))</f>
        <v/>
      </c>
      <c r="S356">
        <f>IF(G355&lt;=0,0,MIN(AL356,G$7+IF(G$2=$AA356,$AC356,IF(G$2=$AF356,$AG356,0))))</f>
        <v/>
      </c>
      <c r="T356">
        <f>IF(H355&lt;=0,0,MIN(AM356,H$7+IF(H$2=$AA356,$AC356,IF(H$2=$AF356,$AG356,0))))</f>
        <v/>
      </c>
      <c r="U356">
        <f>IF(I355&lt;=0,0,MIN(AN356,I$7+IF(I$2=$AA356,$AC356,IF(I$2=$AF356,$AG356,0))))</f>
        <v/>
      </c>
      <c r="V356">
        <f>IF(J355&lt;=0,0,MIN(AO356,J$7+IF(J$2=$AA356,$AC356,IF(J$2=$AF356,$AG356,0))))</f>
        <v/>
      </c>
      <c r="W356">
        <f>IF(K355&lt;=0,0,MIN(AP356,K$7+IF(K$2=$AA356,$AC356,IF(K$2=$AF356,$AG356,0))))</f>
        <v/>
      </c>
      <c r="X356">
        <f>IF(L355&lt;=0,0,MIN(AQ356,L$7+IF(L$2=$AA356,$AC356,IF(L$2=$AF356,$AG356,0))))</f>
        <v/>
      </c>
      <c r="Y356">
        <f>IF(M355&lt;=0,0,MIN(AR356,M$7+IF(M$2=$AA356,$AC356,IF(M$2=$AF356,$AG356,0))))</f>
        <v/>
      </c>
      <c r="Z356">
        <f>IF(N355&lt;=0,0,MIN(AS356,N$7+IF(N$2=$AA356,$AC356,IF(N$2=$AF356,$AG356,0))))</f>
        <v/>
      </c>
      <c r="AA356">
        <f>IFERROR(ROUND(1/SUMPRODUCT(MAX((C355:N355&gt;0)*($C$3:$N$3&lt;=B356)/$C$2:$N$2)),0),0)</f>
        <v/>
      </c>
      <c r="AB356">
        <f>SUMPRODUCT((C355:N355&gt;0)*$C$7:$N$7)</f>
        <v/>
      </c>
      <c r="AC356">
        <f>MAX(0,Plan!$C$5-AB356)+IF(A356=Plan!$C$8,N(Plan!$C$7),0)</f>
        <v/>
      </c>
      <c r="AD356">
        <f>SUM(C356:N356)</f>
        <v/>
      </c>
      <c r="AE356">
        <f>SUM(O356:Z356)</f>
        <v/>
      </c>
      <c r="AF356">
        <f>IFERROR(ROUND(1/SUMPRODUCT(MAX((C355:N355&gt;0)*($C$3:$N$3&lt;=B356)*($C$2:$N$2&gt;AA356)/$C$2:$N$2)),0),0)</f>
        <v/>
      </c>
      <c r="AG356">
        <f>MAX(0,AC356-MAX(0,SUMPRODUCT(($C$2:$N$2=AA356)*(AH356:AS356-$C$7:$N$7))))</f>
        <v/>
      </c>
      <c r="AH356">
        <f>IF(C355&lt;=0,0,ROUND(C355*(1+IF(AND(C$6&gt;0,$B356&lt;C$6),C$4,C$5)/12),2))</f>
        <v/>
      </c>
      <c r="AI356">
        <f>IF(D355&lt;=0,0,ROUND(D355*(1+IF(AND(D$6&gt;0,$B356&lt;D$6),D$4,D$5)/12),2))</f>
        <v/>
      </c>
      <c r="AJ356">
        <f>IF(E355&lt;=0,0,ROUND(E355*(1+IF(AND(E$6&gt;0,$B356&lt;E$6),E$4,E$5)/12),2))</f>
        <v/>
      </c>
      <c r="AK356">
        <f>IF(F355&lt;=0,0,ROUND(F355*(1+IF(AND(F$6&gt;0,$B356&lt;F$6),F$4,F$5)/12),2))</f>
        <v/>
      </c>
      <c r="AL356">
        <f>IF(G355&lt;=0,0,ROUND(G355*(1+IF(AND(G$6&gt;0,$B356&lt;G$6),G$4,G$5)/12),2))</f>
        <v/>
      </c>
      <c r="AM356">
        <f>IF(H355&lt;=0,0,ROUND(H355*(1+IF(AND(H$6&gt;0,$B356&lt;H$6),H$4,H$5)/12),2))</f>
        <v/>
      </c>
      <c r="AN356">
        <f>IF(I355&lt;=0,0,ROUND(I355*(1+IF(AND(I$6&gt;0,$B356&lt;I$6),I$4,I$5)/12),2))</f>
        <v/>
      </c>
      <c r="AO356">
        <f>IF(J355&lt;=0,0,ROUND(J355*(1+IF(AND(J$6&gt;0,$B356&lt;J$6),J$4,J$5)/12),2))</f>
        <v/>
      </c>
      <c r="AP356">
        <f>IF(K355&lt;=0,0,ROUND(K355*(1+IF(AND(K$6&gt;0,$B356&lt;K$6),K$4,K$5)/12),2))</f>
        <v/>
      </c>
      <c r="AQ356">
        <f>IF(L355&lt;=0,0,ROUND(L355*(1+IF(AND(L$6&gt;0,$B356&lt;L$6),L$4,L$5)/12),2))</f>
        <v/>
      </c>
      <c r="AR356">
        <f>IF(M355&lt;=0,0,ROUND(M355*(1+IF(AND(M$6&gt;0,$B356&lt;M$6),M$4,M$5)/12),2))</f>
        <v/>
      </c>
      <c r="AS356">
        <f>IF(N355&lt;=0,0,ROUND(N355*(1+IF(AND(N$6&gt;0,$B356&lt;N$6),N$4,N$5)/12),2))</f>
        <v/>
      </c>
    </row>
    <row r="357">
      <c r="A357" t="n">
        <v>346</v>
      </c>
      <c r="B357">
        <f>EDATE(Plan!$C$6,345)</f>
        <v/>
      </c>
      <c r="C357">
        <f>IF(C356&lt;=0,0,MAX(0,AH357-O357))</f>
        <v/>
      </c>
      <c r="D357">
        <f>IF(D356&lt;=0,0,MAX(0,AI357-P357))</f>
        <v/>
      </c>
      <c r="E357">
        <f>IF(E356&lt;=0,0,MAX(0,AJ357-Q357))</f>
        <v/>
      </c>
      <c r="F357">
        <f>IF(F356&lt;=0,0,MAX(0,AK357-R357))</f>
        <v/>
      </c>
      <c r="G357">
        <f>IF(G356&lt;=0,0,MAX(0,AL357-S357))</f>
        <v/>
      </c>
      <c r="H357">
        <f>IF(H356&lt;=0,0,MAX(0,AM357-T357))</f>
        <v/>
      </c>
      <c r="I357">
        <f>IF(I356&lt;=0,0,MAX(0,AN357-U357))</f>
        <v/>
      </c>
      <c r="J357">
        <f>IF(J356&lt;=0,0,MAX(0,AO357-V357))</f>
        <v/>
      </c>
      <c r="K357">
        <f>IF(K356&lt;=0,0,MAX(0,AP357-W357))</f>
        <v/>
      </c>
      <c r="L357">
        <f>IF(L356&lt;=0,0,MAX(0,AQ357-X357))</f>
        <v/>
      </c>
      <c r="M357">
        <f>IF(M356&lt;=0,0,MAX(0,AR357-Y357))</f>
        <v/>
      </c>
      <c r="N357">
        <f>IF(N356&lt;=0,0,MAX(0,AS357-Z357))</f>
        <v/>
      </c>
      <c r="O357">
        <f>IF(C356&lt;=0,0,MIN(AH357,C$7+IF(C$2=$AA357,$AC357,IF(C$2=$AF357,$AG357,0))))</f>
        <v/>
      </c>
      <c r="P357">
        <f>IF(D356&lt;=0,0,MIN(AI357,D$7+IF(D$2=$AA357,$AC357,IF(D$2=$AF357,$AG357,0))))</f>
        <v/>
      </c>
      <c r="Q357">
        <f>IF(E356&lt;=0,0,MIN(AJ357,E$7+IF(E$2=$AA357,$AC357,IF(E$2=$AF357,$AG357,0))))</f>
        <v/>
      </c>
      <c r="R357">
        <f>IF(F356&lt;=0,0,MIN(AK357,F$7+IF(F$2=$AA357,$AC357,IF(F$2=$AF357,$AG357,0))))</f>
        <v/>
      </c>
      <c r="S357">
        <f>IF(G356&lt;=0,0,MIN(AL357,G$7+IF(G$2=$AA357,$AC357,IF(G$2=$AF357,$AG357,0))))</f>
        <v/>
      </c>
      <c r="T357">
        <f>IF(H356&lt;=0,0,MIN(AM357,H$7+IF(H$2=$AA357,$AC357,IF(H$2=$AF357,$AG357,0))))</f>
        <v/>
      </c>
      <c r="U357">
        <f>IF(I356&lt;=0,0,MIN(AN357,I$7+IF(I$2=$AA357,$AC357,IF(I$2=$AF357,$AG357,0))))</f>
        <v/>
      </c>
      <c r="V357">
        <f>IF(J356&lt;=0,0,MIN(AO357,J$7+IF(J$2=$AA357,$AC357,IF(J$2=$AF357,$AG357,0))))</f>
        <v/>
      </c>
      <c r="W357">
        <f>IF(K356&lt;=0,0,MIN(AP357,K$7+IF(K$2=$AA357,$AC357,IF(K$2=$AF357,$AG357,0))))</f>
        <v/>
      </c>
      <c r="X357">
        <f>IF(L356&lt;=0,0,MIN(AQ357,L$7+IF(L$2=$AA357,$AC357,IF(L$2=$AF357,$AG357,0))))</f>
        <v/>
      </c>
      <c r="Y357">
        <f>IF(M356&lt;=0,0,MIN(AR357,M$7+IF(M$2=$AA357,$AC357,IF(M$2=$AF357,$AG357,0))))</f>
        <v/>
      </c>
      <c r="Z357">
        <f>IF(N356&lt;=0,0,MIN(AS357,N$7+IF(N$2=$AA357,$AC357,IF(N$2=$AF357,$AG357,0))))</f>
        <v/>
      </c>
      <c r="AA357">
        <f>IFERROR(ROUND(1/SUMPRODUCT(MAX((C356:N356&gt;0)*($C$3:$N$3&lt;=B357)/$C$2:$N$2)),0),0)</f>
        <v/>
      </c>
      <c r="AB357">
        <f>SUMPRODUCT((C356:N356&gt;0)*$C$7:$N$7)</f>
        <v/>
      </c>
      <c r="AC357">
        <f>MAX(0,Plan!$C$5-AB357)+IF(A357=Plan!$C$8,N(Plan!$C$7),0)</f>
        <v/>
      </c>
      <c r="AD357">
        <f>SUM(C357:N357)</f>
        <v/>
      </c>
      <c r="AE357">
        <f>SUM(O357:Z357)</f>
        <v/>
      </c>
      <c r="AF357">
        <f>IFERROR(ROUND(1/SUMPRODUCT(MAX((C356:N356&gt;0)*($C$3:$N$3&lt;=B357)*($C$2:$N$2&gt;AA357)/$C$2:$N$2)),0),0)</f>
        <v/>
      </c>
      <c r="AG357">
        <f>MAX(0,AC357-MAX(0,SUMPRODUCT(($C$2:$N$2=AA357)*(AH357:AS357-$C$7:$N$7))))</f>
        <v/>
      </c>
      <c r="AH357">
        <f>IF(C356&lt;=0,0,ROUND(C356*(1+IF(AND(C$6&gt;0,$B357&lt;C$6),C$4,C$5)/12),2))</f>
        <v/>
      </c>
      <c r="AI357">
        <f>IF(D356&lt;=0,0,ROUND(D356*(1+IF(AND(D$6&gt;0,$B357&lt;D$6),D$4,D$5)/12),2))</f>
        <v/>
      </c>
      <c r="AJ357">
        <f>IF(E356&lt;=0,0,ROUND(E356*(1+IF(AND(E$6&gt;0,$B357&lt;E$6),E$4,E$5)/12),2))</f>
        <v/>
      </c>
      <c r="AK357">
        <f>IF(F356&lt;=0,0,ROUND(F356*(1+IF(AND(F$6&gt;0,$B357&lt;F$6),F$4,F$5)/12),2))</f>
        <v/>
      </c>
      <c r="AL357">
        <f>IF(G356&lt;=0,0,ROUND(G356*(1+IF(AND(G$6&gt;0,$B357&lt;G$6),G$4,G$5)/12),2))</f>
        <v/>
      </c>
      <c r="AM357">
        <f>IF(H356&lt;=0,0,ROUND(H356*(1+IF(AND(H$6&gt;0,$B357&lt;H$6),H$4,H$5)/12),2))</f>
        <v/>
      </c>
      <c r="AN357">
        <f>IF(I356&lt;=0,0,ROUND(I356*(1+IF(AND(I$6&gt;0,$B357&lt;I$6),I$4,I$5)/12),2))</f>
        <v/>
      </c>
      <c r="AO357">
        <f>IF(J356&lt;=0,0,ROUND(J356*(1+IF(AND(J$6&gt;0,$B357&lt;J$6),J$4,J$5)/12),2))</f>
        <v/>
      </c>
      <c r="AP357">
        <f>IF(K356&lt;=0,0,ROUND(K356*(1+IF(AND(K$6&gt;0,$B357&lt;K$6),K$4,K$5)/12),2))</f>
        <v/>
      </c>
      <c r="AQ357">
        <f>IF(L356&lt;=0,0,ROUND(L356*(1+IF(AND(L$6&gt;0,$B357&lt;L$6),L$4,L$5)/12),2))</f>
        <v/>
      </c>
      <c r="AR357">
        <f>IF(M356&lt;=0,0,ROUND(M356*(1+IF(AND(M$6&gt;0,$B357&lt;M$6),M$4,M$5)/12),2))</f>
        <v/>
      </c>
      <c r="AS357">
        <f>IF(N356&lt;=0,0,ROUND(N356*(1+IF(AND(N$6&gt;0,$B357&lt;N$6),N$4,N$5)/12),2))</f>
        <v/>
      </c>
    </row>
    <row r="358">
      <c r="A358" t="n">
        <v>347</v>
      </c>
      <c r="B358">
        <f>EDATE(Plan!$C$6,346)</f>
        <v/>
      </c>
      <c r="C358">
        <f>IF(C357&lt;=0,0,MAX(0,AH358-O358))</f>
        <v/>
      </c>
      <c r="D358">
        <f>IF(D357&lt;=0,0,MAX(0,AI358-P358))</f>
        <v/>
      </c>
      <c r="E358">
        <f>IF(E357&lt;=0,0,MAX(0,AJ358-Q358))</f>
        <v/>
      </c>
      <c r="F358">
        <f>IF(F357&lt;=0,0,MAX(0,AK358-R358))</f>
        <v/>
      </c>
      <c r="G358">
        <f>IF(G357&lt;=0,0,MAX(0,AL358-S358))</f>
        <v/>
      </c>
      <c r="H358">
        <f>IF(H357&lt;=0,0,MAX(0,AM358-T358))</f>
        <v/>
      </c>
      <c r="I358">
        <f>IF(I357&lt;=0,0,MAX(0,AN358-U358))</f>
        <v/>
      </c>
      <c r="J358">
        <f>IF(J357&lt;=0,0,MAX(0,AO358-V358))</f>
        <v/>
      </c>
      <c r="K358">
        <f>IF(K357&lt;=0,0,MAX(0,AP358-W358))</f>
        <v/>
      </c>
      <c r="L358">
        <f>IF(L357&lt;=0,0,MAX(0,AQ358-X358))</f>
        <v/>
      </c>
      <c r="M358">
        <f>IF(M357&lt;=0,0,MAX(0,AR358-Y358))</f>
        <v/>
      </c>
      <c r="N358">
        <f>IF(N357&lt;=0,0,MAX(0,AS358-Z358))</f>
        <v/>
      </c>
      <c r="O358">
        <f>IF(C357&lt;=0,0,MIN(AH358,C$7+IF(C$2=$AA358,$AC358,IF(C$2=$AF358,$AG358,0))))</f>
        <v/>
      </c>
      <c r="P358">
        <f>IF(D357&lt;=0,0,MIN(AI358,D$7+IF(D$2=$AA358,$AC358,IF(D$2=$AF358,$AG358,0))))</f>
        <v/>
      </c>
      <c r="Q358">
        <f>IF(E357&lt;=0,0,MIN(AJ358,E$7+IF(E$2=$AA358,$AC358,IF(E$2=$AF358,$AG358,0))))</f>
        <v/>
      </c>
      <c r="R358">
        <f>IF(F357&lt;=0,0,MIN(AK358,F$7+IF(F$2=$AA358,$AC358,IF(F$2=$AF358,$AG358,0))))</f>
        <v/>
      </c>
      <c r="S358">
        <f>IF(G357&lt;=0,0,MIN(AL358,G$7+IF(G$2=$AA358,$AC358,IF(G$2=$AF358,$AG358,0))))</f>
        <v/>
      </c>
      <c r="T358">
        <f>IF(H357&lt;=0,0,MIN(AM358,H$7+IF(H$2=$AA358,$AC358,IF(H$2=$AF358,$AG358,0))))</f>
        <v/>
      </c>
      <c r="U358">
        <f>IF(I357&lt;=0,0,MIN(AN358,I$7+IF(I$2=$AA358,$AC358,IF(I$2=$AF358,$AG358,0))))</f>
        <v/>
      </c>
      <c r="V358">
        <f>IF(J357&lt;=0,0,MIN(AO358,J$7+IF(J$2=$AA358,$AC358,IF(J$2=$AF358,$AG358,0))))</f>
        <v/>
      </c>
      <c r="W358">
        <f>IF(K357&lt;=0,0,MIN(AP358,K$7+IF(K$2=$AA358,$AC358,IF(K$2=$AF358,$AG358,0))))</f>
        <v/>
      </c>
      <c r="X358">
        <f>IF(L357&lt;=0,0,MIN(AQ358,L$7+IF(L$2=$AA358,$AC358,IF(L$2=$AF358,$AG358,0))))</f>
        <v/>
      </c>
      <c r="Y358">
        <f>IF(M357&lt;=0,0,MIN(AR358,M$7+IF(M$2=$AA358,$AC358,IF(M$2=$AF358,$AG358,0))))</f>
        <v/>
      </c>
      <c r="Z358">
        <f>IF(N357&lt;=0,0,MIN(AS358,N$7+IF(N$2=$AA358,$AC358,IF(N$2=$AF358,$AG358,0))))</f>
        <v/>
      </c>
      <c r="AA358">
        <f>IFERROR(ROUND(1/SUMPRODUCT(MAX((C357:N357&gt;0)*($C$3:$N$3&lt;=B358)/$C$2:$N$2)),0),0)</f>
        <v/>
      </c>
      <c r="AB358">
        <f>SUMPRODUCT((C357:N357&gt;0)*$C$7:$N$7)</f>
        <v/>
      </c>
      <c r="AC358">
        <f>MAX(0,Plan!$C$5-AB358)+IF(A358=Plan!$C$8,N(Plan!$C$7),0)</f>
        <v/>
      </c>
      <c r="AD358">
        <f>SUM(C358:N358)</f>
        <v/>
      </c>
      <c r="AE358">
        <f>SUM(O358:Z358)</f>
        <v/>
      </c>
      <c r="AF358">
        <f>IFERROR(ROUND(1/SUMPRODUCT(MAX((C357:N357&gt;0)*($C$3:$N$3&lt;=B358)*($C$2:$N$2&gt;AA358)/$C$2:$N$2)),0),0)</f>
        <v/>
      </c>
      <c r="AG358">
        <f>MAX(0,AC358-MAX(0,SUMPRODUCT(($C$2:$N$2=AA358)*(AH358:AS358-$C$7:$N$7))))</f>
        <v/>
      </c>
      <c r="AH358">
        <f>IF(C357&lt;=0,0,ROUND(C357*(1+IF(AND(C$6&gt;0,$B358&lt;C$6),C$4,C$5)/12),2))</f>
        <v/>
      </c>
      <c r="AI358">
        <f>IF(D357&lt;=0,0,ROUND(D357*(1+IF(AND(D$6&gt;0,$B358&lt;D$6),D$4,D$5)/12),2))</f>
        <v/>
      </c>
      <c r="AJ358">
        <f>IF(E357&lt;=0,0,ROUND(E357*(1+IF(AND(E$6&gt;0,$B358&lt;E$6),E$4,E$5)/12),2))</f>
        <v/>
      </c>
      <c r="AK358">
        <f>IF(F357&lt;=0,0,ROUND(F357*(1+IF(AND(F$6&gt;0,$B358&lt;F$6),F$4,F$5)/12),2))</f>
        <v/>
      </c>
      <c r="AL358">
        <f>IF(G357&lt;=0,0,ROUND(G357*(1+IF(AND(G$6&gt;0,$B358&lt;G$6),G$4,G$5)/12),2))</f>
        <v/>
      </c>
      <c r="AM358">
        <f>IF(H357&lt;=0,0,ROUND(H357*(1+IF(AND(H$6&gt;0,$B358&lt;H$6),H$4,H$5)/12),2))</f>
        <v/>
      </c>
      <c r="AN358">
        <f>IF(I357&lt;=0,0,ROUND(I357*(1+IF(AND(I$6&gt;0,$B358&lt;I$6),I$4,I$5)/12),2))</f>
        <v/>
      </c>
      <c r="AO358">
        <f>IF(J357&lt;=0,0,ROUND(J357*(1+IF(AND(J$6&gt;0,$B358&lt;J$6),J$4,J$5)/12),2))</f>
        <v/>
      </c>
      <c r="AP358">
        <f>IF(K357&lt;=0,0,ROUND(K357*(1+IF(AND(K$6&gt;0,$B358&lt;K$6),K$4,K$5)/12),2))</f>
        <v/>
      </c>
      <c r="AQ358">
        <f>IF(L357&lt;=0,0,ROUND(L357*(1+IF(AND(L$6&gt;0,$B358&lt;L$6),L$4,L$5)/12),2))</f>
        <v/>
      </c>
      <c r="AR358">
        <f>IF(M357&lt;=0,0,ROUND(M357*(1+IF(AND(M$6&gt;0,$B358&lt;M$6),M$4,M$5)/12),2))</f>
        <v/>
      </c>
      <c r="AS358">
        <f>IF(N357&lt;=0,0,ROUND(N357*(1+IF(AND(N$6&gt;0,$B358&lt;N$6),N$4,N$5)/12),2))</f>
        <v/>
      </c>
    </row>
    <row r="359">
      <c r="A359" t="n">
        <v>348</v>
      </c>
      <c r="B359">
        <f>EDATE(Plan!$C$6,347)</f>
        <v/>
      </c>
      <c r="C359">
        <f>IF(C358&lt;=0,0,MAX(0,AH359-O359))</f>
        <v/>
      </c>
      <c r="D359">
        <f>IF(D358&lt;=0,0,MAX(0,AI359-P359))</f>
        <v/>
      </c>
      <c r="E359">
        <f>IF(E358&lt;=0,0,MAX(0,AJ359-Q359))</f>
        <v/>
      </c>
      <c r="F359">
        <f>IF(F358&lt;=0,0,MAX(0,AK359-R359))</f>
        <v/>
      </c>
      <c r="G359">
        <f>IF(G358&lt;=0,0,MAX(0,AL359-S359))</f>
        <v/>
      </c>
      <c r="H359">
        <f>IF(H358&lt;=0,0,MAX(0,AM359-T359))</f>
        <v/>
      </c>
      <c r="I359">
        <f>IF(I358&lt;=0,0,MAX(0,AN359-U359))</f>
        <v/>
      </c>
      <c r="J359">
        <f>IF(J358&lt;=0,0,MAX(0,AO359-V359))</f>
        <v/>
      </c>
      <c r="K359">
        <f>IF(K358&lt;=0,0,MAX(0,AP359-W359))</f>
        <v/>
      </c>
      <c r="L359">
        <f>IF(L358&lt;=0,0,MAX(0,AQ359-X359))</f>
        <v/>
      </c>
      <c r="M359">
        <f>IF(M358&lt;=0,0,MAX(0,AR359-Y359))</f>
        <v/>
      </c>
      <c r="N359">
        <f>IF(N358&lt;=0,0,MAX(0,AS359-Z359))</f>
        <v/>
      </c>
      <c r="O359">
        <f>IF(C358&lt;=0,0,MIN(AH359,C$7+IF(C$2=$AA359,$AC359,IF(C$2=$AF359,$AG359,0))))</f>
        <v/>
      </c>
      <c r="P359">
        <f>IF(D358&lt;=0,0,MIN(AI359,D$7+IF(D$2=$AA359,$AC359,IF(D$2=$AF359,$AG359,0))))</f>
        <v/>
      </c>
      <c r="Q359">
        <f>IF(E358&lt;=0,0,MIN(AJ359,E$7+IF(E$2=$AA359,$AC359,IF(E$2=$AF359,$AG359,0))))</f>
        <v/>
      </c>
      <c r="R359">
        <f>IF(F358&lt;=0,0,MIN(AK359,F$7+IF(F$2=$AA359,$AC359,IF(F$2=$AF359,$AG359,0))))</f>
        <v/>
      </c>
      <c r="S359">
        <f>IF(G358&lt;=0,0,MIN(AL359,G$7+IF(G$2=$AA359,$AC359,IF(G$2=$AF359,$AG359,0))))</f>
        <v/>
      </c>
      <c r="T359">
        <f>IF(H358&lt;=0,0,MIN(AM359,H$7+IF(H$2=$AA359,$AC359,IF(H$2=$AF359,$AG359,0))))</f>
        <v/>
      </c>
      <c r="U359">
        <f>IF(I358&lt;=0,0,MIN(AN359,I$7+IF(I$2=$AA359,$AC359,IF(I$2=$AF359,$AG359,0))))</f>
        <v/>
      </c>
      <c r="V359">
        <f>IF(J358&lt;=0,0,MIN(AO359,J$7+IF(J$2=$AA359,$AC359,IF(J$2=$AF359,$AG359,0))))</f>
        <v/>
      </c>
      <c r="W359">
        <f>IF(K358&lt;=0,0,MIN(AP359,K$7+IF(K$2=$AA359,$AC359,IF(K$2=$AF359,$AG359,0))))</f>
        <v/>
      </c>
      <c r="X359">
        <f>IF(L358&lt;=0,0,MIN(AQ359,L$7+IF(L$2=$AA359,$AC359,IF(L$2=$AF359,$AG359,0))))</f>
        <v/>
      </c>
      <c r="Y359">
        <f>IF(M358&lt;=0,0,MIN(AR359,M$7+IF(M$2=$AA359,$AC359,IF(M$2=$AF359,$AG359,0))))</f>
        <v/>
      </c>
      <c r="Z359">
        <f>IF(N358&lt;=0,0,MIN(AS359,N$7+IF(N$2=$AA359,$AC359,IF(N$2=$AF359,$AG359,0))))</f>
        <v/>
      </c>
      <c r="AA359">
        <f>IFERROR(ROUND(1/SUMPRODUCT(MAX((C358:N358&gt;0)*($C$3:$N$3&lt;=B359)/$C$2:$N$2)),0),0)</f>
        <v/>
      </c>
      <c r="AB359">
        <f>SUMPRODUCT((C358:N358&gt;0)*$C$7:$N$7)</f>
        <v/>
      </c>
      <c r="AC359">
        <f>MAX(0,Plan!$C$5-AB359)+IF(A359=Plan!$C$8,N(Plan!$C$7),0)</f>
        <v/>
      </c>
      <c r="AD359">
        <f>SUM(C359:N359)</f>
        <v/>
      </c>
      <c r="AE359">
        <f>SUM(O359:Z359)</f>
        <v/>
      </c>
      <c r="AF359">
        <f>IFERROR(ROUND(1/SUMPRODUCT(MAX((C358:N358&gt;0)*($C$3:$N$3&lt;=B359)*($C$2:$N$2&gt;AA359)/$C$2:$N$2)),0),0)</f>
        <v/>
      </c>
      <c r="AG359">
        <f>MAX(0,AC359-MAX(0,SUMPRODUCT(($C$2:$N$2=AA359)*(AH359:AS359-$C$7:$N$7))))</f>
        <v/>
      </c>
      <c r="AH359">
        <f>IF(C358&lt;=0,0,ROUND(C358*(1+IF(AND(C$6&gt;0,$B359&lt;C$6),C$4,C$5)/12),2))</f>
        <v/>
      </c>
      <c r="AI359">
        <f>IF(D358&lt;=0,0,ROUND(D358*(1+IF(AND(D$6&gt;0,$B359&lt;D$6),D$4,D$5)/12),2))</f>
        <v/>
      </c>
      <c r="AJ359">
        <f>IF(E358&lt;=0,0,ROUND(E358*(1+IF(AND(E$6&gt;0,$B359&lt;E$6),E$4,E$5)/12),2))</f>
        <v/>
      </c>
      <c r="AK359">
        <f>IF(F358&lt;=0,0,ROUND(F358*(1+IF(AND(F$6&gt;0,$B359&lt;F$6),F$4,F$5)/12),2))</f>
        <v/>
      </c>
      <c r="AL359">
        <f>IF(G358&lt;=0,0,ROUND(G358*(1+IF(AND(G$6&gt;0,$B359&lt;G$6),G$4,G$5)/12),2))</f>
        <v/>
      </c>
      <c r="AM359">
        <f>IF(H358&lt;=0,0,ROUND(H358*(1+IF(AND(H$6&gt;0,$B359&lt;H$6),H$4,H$5)/12),2))</f>
        <v/>
      </c>
      <c r="AN359">
        <f>IF(I358&lt;=0,0,ROUND(I358*(1+IF(AND(I$6&gt;0,$B359&lt;I$6),I$4,I$5)/12),2))</f>
        <v/>
      </c>
      <c r="AO359">
        <f>IF(J358&lt;=0,0,ROUND(J358*(1+IF(AND(J$6&gt;0,$B359&lt;J$6),J$4,J$5)/12),2))</f>
        <v/>
      </c>
      <c r="AP359">
        <f>IF(K358&lt;=0,0,ROUND(K358*(1+IF(AND(K$6&gt;0,$B359&lt;K$6),K$4,K$5)/12),2))</f>
        <v/>
      </c>
      <c r="AQ359">
        <f>IF(L358&lt;=0,0,ROUND(L358*(1+IF(AND(L$6&gt;0,$B359&lt;L$6),L$4,L$5)/12),2))</f>
        <v/>
      </c>
      <c r="AR359">
        <f>IF(M358&lt;=0,0,ROUND(M358*(1+IF(AND(M$6&gt;0,$B359&lt;M$6),M$4,M$5)/12),2))</f>
        <v/>
      </c>
      <c r="AS359">
        <f>IF(N358&lt;=0,0,ROUND(N358*(1+IF(AND(N$6&gt;0,$B359&lt;N$6),N$4,N$5)/12),2))</f>
        <v/>
      </c>
    </row>
    <row r="360">
      <c r="A360" t="n">
        <v>349</v>
      </c>
      <c r="B360">
        <f>EDATE(Plan!$C$6,348)</f>
        <v/>
      </c>
      <c r="C360">
        <f>IF(C359&lt;=0,0,MAX(0,AH360-O360))</f>
        <v/>
      </c>
      <c r="D360">
        <f>IF(D359&lt;=0,0,MAX(0,AI360-P360))</f>
        <v/>
      </c>
      <c r="E360">
        <f>IF(E359&lt;=0,0,MAX(0,AJ360-Q360))</f>
        <v/>
      </c>
      <c r="F360">
        <f>IF(F359&lt;=0,0,MAX(0,AK360-R360))</f>
        <v/>
      </c>
      <c r="G360">
        <f>IF(G359&lt;=0,0,MAX(0,AL360-S360))</f>
        <v/>
      </c>
      <c r="H360">
        <f>IF(H359&lt;=0,0,MAX(0,AM360-T360))</f>
        <v/>
      </c>
      <c r="I360">
        <f>IF(I359&lt;=0,0,MAX(0,AN360-U360))</f>
        <v/>
      </c>
      <c r="J360">
        <f>IF(J359&lt;=0,0,MAX(0,AO360-V360))</f>
        <v/>
      </c>
      <c r="K360">
        <f>IF(K359&lt;=0,0,MAX(0,AP360-W360))</f>
        <v/>
      </c>
      <c r="L360">
        <f>IF(L359&lt;=0,0,MAX(0,AQ360-X360))</f>
        <v/>
      </c>
      <c r="M360">
        <f>IF(M359&lt;=0,0,MAX(0,AR360-Y360))</f>
        <v/>
      </c>
      <c r="N360">
        <f>IF(N359&lt;=0,0,MAX(0,AS360-Z360))</f>
        <v/>
      </c>
      <c r="O360">
        <f>IF(C359&lt;=0,0,MIN(AH360,C$7+IF(C$2=$AA360,$AC360,IF(C$2=$AF360,$AG360,0))))</f>
        <v/>
      </c>
      <c r="P360">
        <f>IF(D359&lt;=0,0,MIN(AI360,D$7+IF(D$2=$AA360,$AC360,IF(D$2=$AF360,$AG360,0))))</f>
        <v/>
      </c>
      <c r="Q360">
        <f>IF(E359&lt;=0,0,MIN(AJ360,E$7+IF(E$2=$AA360,$AC360,IF(E$2=$AF360,$AG360,0))))</f>
        <v/>
      </c>
      <c r="R360">
        <f>IF(F359&lt;=0,0,MIN(AK360,F$7+IF(F$2=$AA360,$AC360,IF(F$2=$AF360,$AG360,0))))</f>
        <v/>
      </c>
      <c r="S360">
        <f>IF(G359&lt;=0,0,MIN(AL360,G$7+IF(G$2=$AA360,$AC360,IF(G$2=$AF360,$AG360,0))))</f>
        <v/>
      </c>
      <c r="T360">
        <f>IF(H359&lt;=0,0,MIN(AM360,H$7+IF(H$2=$AA360,$AC360,IF(H$2=$AF360,$AG360,0))))</f>
        <v/>
      </c>
      <c r="U360">
        <f>IF(I359&lt;=0,0,MIN(AN360,I$7+IF(I$2=$AA360,$AC360,IF(I$2=$AF360,$AG360,0))))</f>
        <v/>
      </c>
      <c r="V360">
        <f>IF(J359&lt;=0,0,MIN(AO360,J$7+IF(J$2=$AA360,$AC360,IF(J$2=$AF360,$AG360,0))))</f>
        <v/>
      </c>
      <c r="W360">
        <f>IF(K359&lt;=0,0,MIN(AP360,K$7+IF(K$2=$AA360,$AC360,IF(K$2=$AF360,$AG360,0))))</f>
        <v/>
      </c>
      <c r="X360">
        <f>IF(L359&lt;=0,0,MIN(AQ360,L$7+IF(L$2=$AA360,$AC360,IF(L$2=$AF360,$AG360,0))))</f>
        <v/>
      </c>
      <c r="Y360">
        <f>IF(M359&lt;=0,0,MIN(AR360,M$7+IF(M$2=$AA360,$AC360,IF(M$2=$AF360,$AG360,0))))</f>
        <v/>
      </c>
      <c r="Z360">
        <f>IF(N359&lt;=0,0,MIN(AS360,N$7+IF(N$2=$AA360,$AC360,IF(N$2=$AF360,$AG360,0))))</f>
        <v/>
      </c>
      <c r="AA360">
        <f>IFERROR(ROUND(1/SUMPRODUCT(MAX((C359:N359&gt;0)*($C$3:$N$3&lt;=B360)/$C$2:$N$2)),0),0)</f>
        <v/>
      </c>
      <c r="AB360">
        <f>SUMPRODUCT((C359:N359&gt;0)*$C$7:$N$7)</f>
        <v/>
      </c>
      <c r="AC360">
        <f>MAX(0,Plan!$C$5-AB360)+IF(A360=Plan!$C$8,N(Plan!$C$7),0)</f>
        <v/>
      </c>
      <c r="AD360">
        <f>SUM(C360:N360)</f>
        <v/>
      </c>
      <c r="AE360">
        <f>SUM(O360:Z360)</f>
        <v/>
      </c>
      <c r="AF360">
        <f>IFERROR(ROUND(1/SUMPRODUCT(MAX((C359:N359&gt;0)*($C$3:$N$3&lt;=B360)*($C$2:$N$2&gt;AA360)/$C$2:$N$2)),0),0)</f>
        <v/>
      </c>
      <c r="AG360">
        <f>MAX(0,AC360-MAX(0,SUMPRODUCT(($C$2:$N$2=AA360)*(AH360:AS360-$C$7:$N$7))))</f>
        <v/>
      </c>
      <c r="AH360">
        <f>IF(C359&lt;=0,0,ROUND(C359*(1+IF(AND(C$6&gt;0,$B360&lt;C$6),C$4,C$5)/12),2))</f>
        <v/>
      </c>
      <c r="AI360">
        <f>IF(D359&lt;=0,0,ROUND(D359*(1+IF(AND(D$6&gt;0,$B360&lt;D$6),D$4,D$5)/12),2))</f>
        <v/>
      </c>
      <c r="AJ360">
        <f>IF(E359&lt;=0,0,ROUND(E359*(1+IF(AND(E$6&gt;0,$B360&lt;E$6),E$4,E$5)/12),2))</f>
        <v/>
      </c>
      <c r="AK360">
        <f>IF(F359&lt;=0,0,ROUND(F359*(1+IF(AND(F$6&gt;0,$B360&lt;F$6),F$4,F$5)/12),2))</f>
        <v/>
      </c>
      <c r="AL360">
        <f>IF(G359&lt;=0,0,ROUND(G359*(1+IF(AND(G$6&gt;0,$B360&lt;G$6),G$4,G$5)/12),2))</f>
        <v/>
      </c>
      <c r="AM360">
        <f>IF(H359&lt;=0,0,ROUND(H359*(1+IF(AND(H$6&gt;0,$B360&lt;H$6),H$4,H$5)/12),2))</f>
        <v/>
      </c>
      <c r="AN360">
        <f>IF(I359&lt;=0,0,ROUND(I359*(1+IF(AND(I$6&gt;0,$B360&lt;I$6),I$4,I$5)/12),2))</f>
        <v/>
      </c>
      <c r="AO360">
        <f>IF(J359&lt;=0,0,ROUND(J359*(1+IF(AND(J$6&gt;0,$B360&lt;J$6),J$4,J$5)/12),2))</f>
        <v/>
      </c>
      <c r="AP360">
        <f>IF(K359&lt;=0,0,ROUND(K359*(1+IF(AND(K$6&gt;0,$B360&lt;K$6),K$4,K$5)/12),2))</f>
        <v/>
      </c>
      <c r="AQ360">
        <f>IF(L359&lt;=0,0,ROUND(L359*(1+IF(AND(L$6&gt;0,$B360&lt;L$6),L$4,L$5)/12),2))</f>
        <v/>
      </c>
      <c r="AR360">
        <f>IF(M359&lt;=0,0,ROUND(M359*(1+IF(AND(M$6&gt;0,$B360&lt;M$6),M$4,M$5)/12),2))</f>
        <v/>
      </c>
      <c r="AS360">
        <f>IF(N359&lt;=0,0,ROUND(N359*(1+IF(AND(N$6&gt;0,$B360&lt;N$6),N$4,N$5)/12),2))</f>
        <v/>
      </c>
    </row>
    <row r="361">
      <c r="A361" t="n">
        <v>350</v>
      </c>
      <c r="B361">
        <f>EDATE(Plan!$C$6,349)</f>
        <v/>
      </c>
      <c r="C361">
        <f>IF(C360&lt;=0,0,MAX(0,AH361-O361))</f>
        <v/>
      </c>
      <c r="D361">
        <f>IF(D360&lt;=0,0,MAX(0,AI361-P361))</f>
        <v/>
      </c>
      <c r="E361">
        <f>IF(E360&lt;=0,0,MAX(0,AJ361-Q361))</f>
        <v/>
      </c>
      <c r="F361">
        <f>IF(F360&lt;=0,0,MAX(0,AK361-R361))</f>
        <v/>
      </c>
      <c r="G361">
        <f>IF(G360&lt;=0,0,MAX(0,AL361-S361))</f>
        <v/>
      </c>
      <c r="H361">
        <f>IF(H360&lt;=0,0,MAX(0,AM361-T361))</f>
        <v/>
      </c>
      <c r="I361">
        <f>IF(I360&lt;=0,0,MAX(0,AN361-U361))</f>
        <v/>
      </c>
      <c r="J361">
        <f>IF(J360&lt;=0,0,MAX(0,AO361-V361))</f>
        <v/>
      </c>
      <c r="K361">
        <f>IF(K360&lt;=0,0,MAX(0,AP361-W361))</f>
        <v/>
      </c>
      <c r="L361">
        <f>IF(L360&lt;=0,0,MAX(0,AQ361-X361))</f>
        <v/>
      </c>
      <c r="M361">
        <f>IF(M360&lt;=0,0,MAX(0,AR361-Y361))</f>
        <v/>
      </c>
      <c r="N361">
        <f>IF(N360&lt;=0,0,MAX(0,AS361-Z361))</f>
        <v/>
      </c>
      <c r="O361">
        <f>IF(C360&lt;=0,0,MIN(AH361,C$7+IF(C$2=$AA361,$AC361,IF(C$2=$AF361,$AG361,0))))</f>
        <v/>
      </c>
      <c r="P361">
        <f>IF(D360&lt;=0,0,MIN(AI361,D$7+IF(D$2=$AA361,$AC361,IF(D$2=$AF361,$AG361,0))))</f>
        <v/>
      </c>
      <c r="Q361">
        <f>IF(E360&lt;=0,0,MIN(AJ361,E$7+IF(E$2=$AA361,$AC361,IF(E$2=$AF361,$AG361,0))))</f>
        <v/>
      </c>
      <c r="R361">
        <f>IF(F360&lt;=0,0,MIN(AK361,F$7+IF(F$2=$AA361,$AC361,IF(F$2=$AF361,$AG361,0))))</f>
        <v/>
      </c>
      <c r="S361">
        <f>IF(G360&lt;=0,0,MIN(AL361,G$7+IF(G$2=$AA361,$AC361,IF(G$2=$AF361,$AG361,0))))</f>
        <v/>
      </c>
      <c r="T361">
        <f>IF(H360&lt;=0,0,MIN(AM361,H$7+IF(H$2=$AA361,$AC361,IF(H$2=$AF361,$AG361,0))))</f>
        <v/>
      </c>
      <c r="U361">
        <f>IF(I360&lt;=0,0,MIN(AN361,I$7+IF(I$2=$AA361,$AC361,IF(I$2=$AF361,$AG361,0))))</f>
        <v/>
      </c>
      <c r="V361">
        <f>IF(J360&lt;=0,0,MIN(AO361,J$7+IF(J$2=$AA361,$AC361,IF(J$2=$AF361,$AG361,0))))</f>
        <v/>
      </c>
      <c r="W361">
        <f>IF(K360&lt;=0,0,MIN(AP361,K$7+IF(K$2=$AA361,$AC361,IF(K$2=$AF361,$AG361,0))))</f>
        <v/>
      </c>
      <c r="X361">
        <f>IF(L360&lt;=0,0,MIN(AQ361,L$7+IF(L$2=$AA361,$AC361,IF(L$2=$AF361,$AG361,0))))</f>
        <v/>
      </c>
      <c r="Y361">
        <f>IF(M360&lt;=0,0,MIN(AR361,M$7+IF(M$2=$AA361,$AC361,IF(M$2=$AF361,$AG361,0))))</f>
        <v/>
      </c>
      <c r="Z361">
        <f>IF(N360&lt;=0,0,MIN(AS361,N$7+IF(N$2=$AA361,$AC361,IF(N$2=$AF361,$AG361,0))))</f>
        <v/>
      </c>
      <c r="AA361">
        <f>IFERROR(ROUND(1/SUMPRODUCT(MAX((C360:N360&gt;0)*($C$3:$N$3&lt;=B361)/$C$2:$N$2)),0),0)</f>
        <v/>
      </c>
      <c r="AB361">
        <f>SUMPRODUCT((C360:N360&gt;0)*$C$7:$N$7)</f>
        <v/>
      </c>
      <c r="AC361">
        <f>MAX(0,Plan!$C$5-AB361)+IF(A361=Plan!$C$8,N(Plan!$C$7),0)</f>
        <v/>
      </c>
      <c r="AD361">
        <f>SUM(C361:N361)</f>
        <v/>
      </c>
      <c r="AE361">
        <f>SUM(O361:Z361)</f>
        <v/>
      </c>
      <c r="AF361">
        <f>IFERROR(ROUND(1/SUMPRODUCT(MAX((C360:N360&gt;0)*($C$3:$N$3&lt;=B361)*($C$2:$N$2&gt;AA361)/$C$2:$N$2)),0),0)</f>
        <v/>
      </c>
      <c r="AG361">
        <f>MAX(0,AC361-MAX(0,SUMPRODUCT(($C$2:$N$2=AA361)*(AH361:AS361-$C$7:$N$7))))</f>
        <v/>
      </c>
      <c r="AH361">
        <f>IF(C360&lt;=0,0,ROUND(C360*(1+IF(AND(C$6&gt;0,$B361&lt;C$6),C$4,C$5)/12),2))</f>
        <v/>
      </c>
      <c r="AI361">
        <f>IF(D360&lt;=0,0,ROUND(D360*(1+IF(AND(D$6&gt;0,$B361&lt;D$6),D$4,D$5)/12),2))</f>
        <v/>
      </c>
      <c r="AJ361">
        <f>IF(E360&lt;=0,0,ROUND(E360*(1+IF(AND(E$6&gt;0,$B361&lt;E$6),E$4,E$5)/12),2))</f>
        <v/>
      </c>
      <c r="AK361">
        <f>IF(F360&lt;=0,0,ROUND(F360*(1+IF(AND(F$6&gt;0,$B361&lt;F$6),F$4,F$5)/12),2))</f>
        <v/>
      </c>
      <c r="AL361">
        <f>IF(G360&lt;=0,0,ROUND(G360*(1+IF(AND(G$6&gt;0,$B361&lt;G$6),G$4,G$5)/12),2))</f>
        <v/>
      </c>
      <c r="AM361">
        <f>IF(H360&lt;=0,0,ROUND(H360*(1+IF(AND(H$6&gt;0,$B361&lt;H$6),H$4,H$5)/12),2))</f>
        <v/>
      </c>
      <c r="AN361">
        <f>IF(I360&lt;=0,0,ROUND(I360*(1+IF(AND(I$6&gt;0,$B361&lt;I$6),I$4,I$5)/12),2))</f>
        <v/>
      </c>
      <c r="AO361">
        <f>IF(J360&lt;=0,0,ROUND(J360*(1+IF(AND(J$6&gt;0,$B361&lt;J$6),J$4,J$5)/12),2))</f>
        <v/>
      </c>
      <c r="AP361">
        <f>IF(K360&lt;=0,0,ROUND(K360*(1+IF(AND(K$6&gt;0,$B361&lt;K$6),K$4,K$5)/12),2))</f>
        <v/>
      </c>
      <c r="AQ361">
        <f>IF(L360&lt;=0,0,ROUND(L360*(1+IF(AND(L$6&gt;0,$B361&lt;L$6),L$4,L$5)/12),2))</f>
        <v/>
      </c>
      <c r="AR361">
        <f>IF(M360&lt;=0,0,ROUND(M360*(1+IF(AND(M$6&gt;0,$B361&lt;M$6),M$4,M$5)/12),2))</f>
        <v/>
      </c>
      <c r="AS361">
        <f>IF(N360&lt;=0,0,ROUND(N360*(1+IF(AND(N$6&gt;0,$B361&lt;N$6),N$4,N$5)/12),2))</f>
        <v/>
      </c>
    </row>
    <row r="362">
      <c r="A362" t="n">
        <v>351</v>
      </c>
      <c r="B362">
        <f>EDATE(Plan!$C$6,350)</f>
        <v/>
      </c>
      <c r="C362">
        <f>IF(C361&lt;=0,0,MAX(0,AH362-O362))</f>
        <v/>
      </c>
      <c r="D362">
        <f>IF(D361&lt;=0,0,MAX(0,AI362-P362))</f>
        <v/>
      </c>
      <c r="E362">
        <f>IF(E361&lt;=0,0,MAX(0,AJ362-Q362))</f>
        <v/>
      </c>
      <c r="F362">
        <f>IF(F361&lt;=0,0,MAX(0,AK362-R362))</f>
        <v/>
      </c>
      <c r="G362">
        <f>IF(G361&lt;=0,0,MAX(0,AL362-S362))</f>
        <v/>
      </c>
      <c r="H362">
        <f>IF(H361&lt;=0,0,MAX(0,AM362-T362))</f>
        <v/>
      </c>
      <c r="I362">
        <f>IF(I361&lt;=0,0,MAX(0,AN362-U362))</f>
        <v/>
      </c>
      <c r="J362">
        <f>IF(J361&lt;=0,0,MAX(0,AO362-V362))</f>
        <v/>
      </c>
      <c r="K362">
        <f>IF(K361&lt;=0,0,MAX(0,AP362-W362))</f>
        <v/>
      </c>
      <c r="L362">
        <f>IF(L361&lt;=0,0,MAX(0,AQ362-X362))</f>
        <v/>
      </c>
      <c r="M362">
        <f>IF(M361&lt;=0,0,MAX(0,AR362-Y362))</f>
        <v/>
      </c>
      <c r="N362">
        <f>IF(N361&lt;=0,0,MAX(0,AS362-Z362))</f>
        <v/>
      </c>
      <c r="O362">
        <f>IF(C361&lt;=0,0,MIN(AH362,C$7+IF(C$2=$AA362,$AC362,IF(C$2=$AF362,$AG362,0))))</f>
        <v/>
      </c>
      <c r="P362">
        <f>IF(D361&lt;=0,0,MIN(AI362,D$7+IF(D$2=$AA362,$AC362,IF(D$2=$AF362,$AG362,0))))</f>
        <v/>
      </c>
      <c r="Q362">
        <f>IF(E361&lt;=0,0,MIN(AJ362,E$7+IF(E$2=$AA362,$AC362,IF(E$2=$AF362,$AG362,0))))</f>
        <v/>
      </c>
      <c r="R362">
        <f>IF(F361&lt;=0,0,MIN(AK362,F$7+IF(F$2=$AA362,$AC362,IF(F$2=$AF362,$AG362,0))))</f>
        <v/>
      </c>
      <c r="S362">
        <f>IF(G361&lt;=0,0,MIN(AL362,G$7+IF(G$2=$AA362,$AC362,IF(G$2=$AF362,$AG362,0))))</f>
        <v/>
      </c>
      <c r="T362">
        <f>IF(H361&lt;=0,0,MIN(AM362,H$7+IF(H$2=$AA362,$AC362,IF(H$2=$AF362,$AG362,0))))</f>
        <v/>
      </c>
      <c r="U362">
        <f>IF(I361&lt;=0,0,MIN(AN362,I$7+IF(I$2=$AA362,$AC362,IF(I$2=$AF362,$AG362,0))))</f>
        <v/>
      </c>
      <c r="V362">
        <f>IF(J361&lt;=0,0,MIN(AO362,J$7+IF(J$2=$AA362,$AC362,IF(J$2=$AF362,$AG362,0))))</f>
        <v/>
      </c>
      <c r="W362">
        <f>IF(K361&lt;=0,0,MIN(AP362,K$7+IF(K$2=$AA362,$AC362,IF(K$2=$AF362,$AG362,0))))</f>
        <v/>
      </c>
      <c r="X362">
        <f>IF(L361&lt;=0,0,MIN(AQ362,L$7+IF(L$2=$AA362,$AC362,IF(L$2=$AF362,$AG362,0))))</f>
        <v/>
      </c>
      <c r="Y362">
        <f>IF(M361&lt;=0,0,MIN(AR362,M$7+IF(M$2=$AA362,$AC362,IF(M$2=$AF362,$AG362,0))))</f>
        <v/>
      </c>
      <c r="Z362">
        <f>IF(N361&lt;=0,0,MIN(AS362,N$7+IF(N$2=$AA362,$AC362,IF(N$2=$AF362,$AG362,0))))</f>
        <v/>
      </c>
      <c r="AA362">
        <f>IFERROR(ROUND(1/SUMPRODUCT(MAX((C361:N361&gt;0)*($C$3:$N$3&lt;=B362)/$C$2:$N$2)),0),0)</f>
        <v/>
      </c>
      <c r="AB362">
        <f>SUMPRODUCT((C361:N361&gt;0)*$C$7:$N$7)</f>
        <v/>
      </c>
      <c r="AC362">
        <f>MAX(0,Plan!$C$5-AB362)+IF(A362=Plan!$C$8,N(Plan!$C$7),0)</f>
        <v/>
      </c>
      <c r="AD362">
        <f>SUM(C362:N362)</f>
        <v/>
      </c>
      <c r="AE362">
        <f>SUM(O362:Z362)</f>
        <v/>
      </c>
      <c r="AF362">
        <f>IFERROR(ROUND(1/SUMPRODUCT(MAX((C361:N361&gt;0)*($C$3:$N$3&lt;=B362)*($C$2:$N$2&gt;AA362)/$C$2:$N$2)),0),0)</f>
        <v/>
      </c>
      <c r="AG362">
        <f>MAX(0,AC362-MAX(0,SUMPRODUCT(($C$2:$N$2=AA362)*(AH362:AS362-$C$7:$N$7))))</f>
        <v/>
      </c>
      <c r="AH362">
        <f>IF(C361&lt;=0,0,ROUND(C361*(1+IF(AND(C$6&gt;0,$B362&lt;C$6),C$4,C$5)/12),2))</f>
        <v/>
      </c>
      <c r="AI362">
        <f>IF(D361&lt;=0,0,ROUND(D361*(1+IF(AND(D$6&gt;0,$B362&lt;D$6),D$4,D$5)/12),2))</f>
        <v/>
      </c>
      <c r="AJ362">
        <f>IF(E361&lt;=0,0,ROUND(E361*(1+IF(AND(E$6&gt;0,$B362&lt;E$6),E$4,E$5)/12),2))</f>
        <v/>
      </c>
      <c r="AK362">
        <f>IF(F361&lt;=0,0,ROUND(F361*(1+IF(AND(F$6&gt;0,$B362&lt;F$6),F$4,F$5)/12),2))</f>
        <v/>
      </c>
      <c r="AL362">
        <f>IF(G361&lt;=0,0,ROUND(G361*(1+IF(AND(G$6&gt;0,$B362&lt;G$6),G$4,G$5)/12),2))</f>
        <v/>
      </c>
      <c r="AM362">
        <f>IF(H361&lt;=0,0,ROUND(H361*(1+IF(AND(H$6&gt;0,$B362&lt;H$6),H$4,H$5)/12),2))</f>
        <v/>
      </c>
      <c r="AN362">
        <f>IF(I361&lt;=0,0,ROUND(I361*(1+IF(AND(I$6&gt;0,$B362&lt;I$6),I$4,I$5)/12),2))</f>
        <v/>
      </c>
      <c r="AO362">
        <f>IF(J361&lt;=0,0,ROUND(J361*(1+IF(AND(J$6&gt;0,$B362&lt;J$6),J$4,J$5)/12),2))</f>
        <v/>
      </c>
      <c r="AP362">
        <f>IF(K361&lt;=0,0,ROUND(K361*(1+IF(AND(K$6&gt;0,$B362&lt;K$6),K$4,K$5)/12),2))</f>
        <v/>
      </c>
      <c r="AQ362">
        <f>IF(L361&lt;=0,0,ROUND(L361*(1+IF(AND(L$6&gt;0,$B362&lt;L$6),L$4,L$5)/12),2))</f>
        <v/>
      </c>
      <c r="AR362">
        <f>IF(M361&lt;=0,0,ROUND(M361*(1+IF(AND(M$6&gt;0,$B362&lt;M$6),M$4,M$5)/12),2))</f>
        <v/>
      </c>
      <c r="AS362">
        <f>IF(N361&lt;=0,0,ROUND(N361*(1+IF(AND(N$6&gt;0,$B362&lt;N$6),N$4,N$5)/12),2))</f>
        <v/>
      </c>
    </row>
    <row r="363">
      <c r="A363" t="n">
        <v>352</v>
      </c>
      <c r="B363">
        <f>EDATE(Plan!$C$6,351)</f>
        <v/>
      </c>
      <c r="C363">
        <f>IF(C362&lt;=0,0,MAX(0,AH363-O363))</f>
        <v/>
      </c>
      <c r="D363">
        <f>IF(D362&lt;=0,0,MAX(0,AI363-P363))</f>
        <v/>
      </c>
      <c r="E363">
        <f>IF(E362&lt;=0,0,MAX(0,AJ363-Q363))</f>
        <v/>
      </c>
      <c r="F363">
        <f>IF(F362&lt;=0,0,MAX(0,AK363-R363))</f>
        <v/>
      </c>
      <c r="G363">
        <f>IF(G362&lt;=0,0,MAX(0,AL363-S363))</f>
        <v/>
      </c>
      <c r="H363">
        <f>IF(H362&lt;=0,0,MAX(0,AM363-T363))</f>
        <v/>
      </c>
      <c r="I363">
        <f>IF(I362&lt;=0,0,MAX(0,AN363-U363))</f>
        <v/>
      </c>
      <c r="J363">
        <f>IF(J362&lt;=0,0,MAX(0,AO363-V363))</f>
        <v/>
      </c>
      <c r="K363">
        <f>IF(K362&lt;=0,0,MAX(0,AP363-W363))</f>
        <v/>
      </c>
      <c r="L363">
        <f>IF(L362&lt;=0,0,MAX(0,AQ363-X363))</f>
        <v/>
      </c>
      <c r="M363">
        <f>IF(M362&lt;=0,0,MAX(0,AR363-Y363))</f>
        <v/>
      </c>
      <c r="N363">
        <f>IF(N362&lt;=0,0,MAX(0,AS363-Z363))</f>
        <v/>
      </c>
      <c r="O363">
        <f>IF(C362&lt;=0,0,MIN(AH363,C$7+IF(C$2=$AA363,$AC363,IF(C$2=$AF363,$AG363,0))))</f>
        <v/>
      </c>
      <c r="P363">
        <f>IF(D362&lt;=0,0,MIN(AI363,D$7+IF(D$2=$AA363,$AC363,IF(D$2=$AF363,$AG363,0))))</f>
        <v/>
      </c>
      <c r="Q363">
        <f>IF(E362&lt;=0,0,MIN(AJ363,E$7+IF(E$2=$AA363,$AC363,IF(E$2=$AF363,$AG363,0))))</f>
        <v/>
      </c>
      <c r="R363">
        <f>IF(F362&lt;=0,0,MIN(AK363,F$7+IF(F$2=$AA363,$AC363,IF(F$2=$AF363,$AG363,0))))</f>
        <v/>
      </c>
      <c r="S363">
        <f>IF(G362&lt;=0,0,MIN(AL363,G$7+IF(G$2=$AA363,$AC363,IF(G$2=$AF363,$AG363,0))))</f>
        <v/>
      </c>
      <c r="T363">
        <f>IF(H362&lt;=0,0,MIN(AM363,H$7+IF(H$2=$AA363,$AC363,IF(H$2=$AF363,$AG363,0))))</f>
        <v/>
      </c>
      <c r="U363">
        <f>IF(I362&lt;=0,0,MIN(AN363,I$7+IF(I$2=$AA363,$AC363,IF(I$2=$AF363,$AG363,0))))</f>
        <v/>
      </c>
      <c r="V363">
        <f>IF(J362&lt;=0,0,MIN(AO363,J$7+IF(J$2=$AA363,$AC363,IF(J$2=$AF363,$AG363,0))))</f>
        <v/>
      </c>
      <c r="W363">
        <f>IF(K362&lt;=0,0,MIN(AP363,K$7+IF(K$2=$AA363,$AC363,IF(K$2=$AF363,$AG363,0))))</f>
        <v/>
      </c>
      <c r="X363">
        <f>IF(L362&lt;=0,0,MIN(AQ363,L$7+IF(L$2=$AA363,$AC363,IF(L$2=$AF363,$AG363,0))))</f>
        <v/>
      </c>
      <c r="Y363">
        <f>IF(M362&lt;=0,0,MIN(AR363,M$7+IF(M$2=$AA363,$AC363,IF(M$2=$AF363,$AG363,0))))</f>
        <v/>
      </c>
      <c r="Z363">
        <f>IF(N362&lt;=0,0,MIN(AS363,N$7+IF(N$2=$AA363,$AC363,IF(N$2=$AF363,$AG363,0))))</f>
        <v/>
      </c>
      <c r="AA363">
        <f>IFERROR(ROUND(1/SUMPRODUCT(MAX((C362:N362&gt;0)*($C$3:$N$3&lt;=B363)/$C$2:$N$2)),0),0)</f>
        <v/>
      </c>
      <c r="AB363">
        <f>SUMPRODUCT((C362:N362&gt;0)*$C$7:$N$7)</f>
        <v/>
      </c>
      <c r="AC363">
        <f>MAX(0,Plan!$C$5-AB363)+IF(A363=Plan!$C$8,N(Plan!$C$7),0)</f>
        <v/>
      </c>
      <c r="AD363">
        <f>SUM(C363:N363)</f>
        <v/>
      </c>
      <c r="AE363">
        <f>SUM(O363:Z363)</f>
        <v/>
      </c>
      <c r="AF363">
        <f>IFERROR(ROUND(1/SUMPRODUCT(MAX((C362:N362&gt;0)*($C$3:$N$3&lt;=B363)*($C$2:$N$2&gt;AA363)/$C$2:$N$2)),0),0)</f>
        <v/>
      </c>
      <c r="AG363">
        <f>MAX(0,AC363-MAX(0,SUMPRODUCT(($C$2:$N$2=AA363)*(AH363:AS363-$C$7:$N$7))))</f>
        <v/>
      </c>
      <c r="AH363">
        <f>IF(C362&lt;=0,0,ROUND(C362*(1+IF(AND(C$6&gt;0,$B363&lt;C$6),C$4,C$5)/12),2))</f>
        <v/>
      </c>
      <c r="AI363">
        <f>IF(D362&lt;=0,0,ROUND(D362*(1+IF(AND(D$6&gt;0,$B363&lt;D$6),D$4,D$5)/12),2))</f>
        <v/>
      </c>
      <c r="AJ363">
        <f>IF(E362&lt;=0,0,ROUND(E362*(1+IF(AND(E$6&gt;0,$B363&lt;E$6),E$4,E$5)/12),2))</f>
        <v/>
      </c>
      <c r="AK363">
        <f>IF(F362&lt;=0,0,ROUND(F362*(1+IF(AND(F$6&gt;0,$B363&lt;F$6),F$4,F$5)/12),2))</f>
        <v/>
      </c>
      <c r="AL363">
        <f>IF(G362&lt;=0,0,ROUND(G362*(1+IF(AND(G$6&gt;0,$B363&lt;G$6),G$4,G$5)/12),2))</f>
        <v/>
      </c>
      <c r="AM363">
        <f>IF(H362&lt;=0,0,ROUND(H362*(1+IF(AND(H$6&gt;0,$B363&lt;H$6),H$4,H$5)/12),2))</f>
        <v/>
      </c>
      <c r="AN363">
        <f>IF(I362&lt;=0,0,ROUND(I362*(1+IF(AND(I$6&gt;0,$B363&lt;I$6),I$4,I$5)/12),2))</f>
        <v/>
      </c>
      <c r="AO363">
        <f>IF(J362&lt;=0,0,ROUND(J362*(1+IF(AND(J$6&gt;0,$B363&lt;J$6),J$4,J$5)/12),2))</f>
        <v/>
      </c>
      <c r="AP363">
        <f>IF(K362&lt;=0,0,ROUND(K362*(1+IF(AND(K$6&gt;0,$B363&lt;K$6),K$4,K$5)/12),2))</f>
        <v/>
      </c>
      <c r="AQ363">
        <f>IF(L362&lt;=0,0,ROUND(L362*(1+IF(AND(L$6&gt;0,$B363&lt;L$6),L$4,L$5)/12),2))</f>
        <v/>
      </c>
      <c r="AR363">
        <f>IF(M362&lt;=0,0,ROUND(M362*(1+IF(AND(M$6&gt;0,$B363&lt;M$6),M$4,M$5)/12),2))</f>
        <v/>
      </c>
      <c r="AS363">
        <f>IF(N362&lt;=0,0,ROUND(N362*(1+IF(AND(N$6&gt;0,$B363&lt;N$6),N$4,N$5)/12),2))</f>
        <v/>
      </c>
    </row>
    <row r="364">
      <c r="A364" t="n">
        <v>353</v>
      </c>
      <c r="B364">
        <f>EDATE(Plan!$C$6,352)</f>
        <v/>
      </c>
      <c r="C364">
        <f>IF(C363&lt;=0,0,MAX(0,AH364-O364))</f>
        <v/>
      </c>
      <c r="D364">
        <f>IF(D363&lt;=0,0,MAX(0,AI364-P364))</f>
        <v/>
      </c>
      <c r="E364">
        <f>IF(E363&lt;=0,0,MAX(0,AJ364-Q364))</f>
        <v/>
      </c>
      <c r="F364">
        <f>IF(F363&lt;=0,0,MAX(0,AK364-R364))</f>
        <v/>
      </c>
      <c r="G364">
        <f>IF(G363&lt;=0,0,MAX(0,AL364-S364))</f>
        <v/>
      </c>
      <c r="H364">
        <f>IF(H363&lt;=0,0,MAX(0,AM364-T364))</f>
        <v/>
      </c>
      <c r="I364">
        <f>IF(I363&lt;=0,0,MAX(0,AN364-U364))</f>
        <v/>
      </c>
      <c r="J364">
        <f>IF(J363&lt;=0,0,MAX(0,AO364-V364))</f>
        <v/>
      </c>
      <c r="K364">
        <f>IF(K363&lt;=0,0,MAX(0,AP364-W364))</f>
        <v/>
      </c>
      <c r="L364">
        <f>IF(L363&lt;=0,0,MAX(0,AQ364-X364))</f>
        <v/>
      </c>
      <c r="M364">
        <f>IF(M363&lt;=0,0,MAX(0,AR364-Y364))</f>
        <v/>
      </c>
      <c r="N364">
        <f>IF(N363&lt;=0,0,MAX(0,AS364-Z364))</f>
        <v/>
      </c>
      <c r="O364">
        <f>IF(C363&lt;=0,0,MIN(AH364,C$7+IF(C$2=$AA364,$AC364,IF(C$2=$AF364,$AG364,0))))</f>
        <v/>
      </c>
      <c r="P364">
        <f>IF(D363&lt;=0,0,MIN(AI364,D$7+IF(D$2=$AA364,$AC364,IF(D$2=$AF364,$AG364,0))))</f>
        <v/>
      </c>
      <c r="Q364">
        <f>IF(E363&lt;=0,0,MIN(AJ364,E$7+IF(E$2=$AA364,$AC364,IF(E$2=$AF364,$AG364,0))))</f>
        <v/>
      </c>
      <c r="R364">
        <f>IF(F363&lt;=0,0,MIN(AK364,F$7+IF(F$2=$AA364,$AC364,IF(F$2=$AF364,$AG364,0))))</f>
        <v/>
      </c>
      <c r="S364">
        <f>IF(G363&lt;=0,0,MIN(AL364,G$7+IF(G$2=$AA364,$AC364,IF(G$2=$AF364,$AG364,0))))</f>
        <v/>
      </c>
      <c r="T364">
        <f>IF(H363&lt;=0,0,MIN(AM364,H$7+IF(H$2=$AA364,$AC364,IF(H$2=$AF364,$AG364,0))))</f>
        <v/>
      </c>
      <c r="U364">
        <f>IF(I363&lt;=0,0,MIN(AN364,I$7+IF(I$2=$AA364,$AC364,IF(I$2=$AF364,$AG364,0))))</f>
        <v/>
      </c>
      <c r="V364">
        <f>IF(J363&lt;=0,0,MIN(AO364,J$7+IF(J$2=$AA364,$AC364,IF(J$2=$AF364,$AG364,0))))</f>
        <v/>
      </c>
      <c r="W364">
        <f>IF(K363&lt;=0,0,MIN(AP364,K$7+IF(K$2=$AA364,$AC364,IF(K$2=$AF364,$AG364,0))))</f>
        <v/>
      </c>
      <c r="X364">
        <f>IF(L363&lt;=0,0,MIN(AQ364,L$7+IF(L$2=$AA364,$AC364,IF(L$2=$AF364,$AG364,0))))</f>
        <v/>
      </c>
      <c r="Y364">
        <f>IF(M363&lt;=0,0,MIN(AR364,M$7+IF(M$2=$AA364,$AC364,IF(M$2=$AF364,$AG364,0))))</f>
        <v/>
      </c>
      <c r="Z364">
        <f>IF(N363&lt;=0,0,MIN(AS364,N$7+IF(N$2=$AA364,$AC364,IF(N$2=$AF364,$AG364,0))))</f>
        <v/>
      </c>
      <c r="AA364">
        <f>IFERROR(ROUND(1/SUMPRODUCT(MAX((C363:N363&gt;0)*($C$3:$N$3&lt;=B364)/$C$2:$N$2)),0),0)</f>
        <v/>
      </c>
      <c r="AB364">
        <f>SUMPRODUCT((C363:N363&gt;0)*$C$7:$N$7)</f>
        <v/>
      </c>
      <c r="AC364">
        <f>MAX(0,Plan!$C$5-AB364)+IF(A364=Plan!$C$8,N(Plan!$C$7),0)</f>
        <v/>
      </c>
      <c r="AD364">
        <f>SUM(C364:N364)</f>
        <v/>
      </c>
      <c r="AE364">
        <f>SUM(O364:Z364)</f>
        <v/>
      </c>
      <c r="AF364">
        <f>IFERROR(ROUND(1/SUMPRODUCT(MAX((C363:N363&gt;0)*($C$3:$N$3&lt;=B364)*($C$2:$N$2&gt;AA364)/$C$2:$N$2)),0),0)</f>
        <v/>
      </c>
      <c r="AG364">
        <f>MAX(0,AC364-MAX(0,SUMPRODUCT(($C$2:$N$2=AA364)*(AH364:AS364-$C$7:$N$7))))</f>
        <v/>
      </c>
      <c r="AH364">
        <f>IF(C363&lt;=0,0,ROUND(C363*(1+IF(AND(C$6&gt;0,$B364&lt;C$6),C$4,C$5)/12),2))</f>
        <v/>
      </c>
      <c r="AI364">
        <f>IF(D363&lt;=0,0,ROUND(D363*(1+IF(AND(D$6&gt;0,$B364&lt;D$6),D$4,D$5)/12),2))</f>
        <v/>
      </c>
      <c r="AJ364">
        <f>IF(E363&lt;=0,0,ROUND(E363*(1+IF(AND(E$6&gt;0,$B364&lt;E$6),E$4,E$5)/12),2))</f>
        <v/>
      </c>
      <c r="AK364">
        <f>IF(F363&lt;=0,0,ROUND(F363*(1+IF(AND(F$6&gt;0,$B364&lt;F$6),F$4,F$5)/12),2))</f>
        <v/>
      </c>
      <c r="AL364">
        <f>IF(G363&lt;=0,0,ROUND(G363*(1+IF(AND(G$6&gt;0,$B364&lt;G$6),G$4,G$5)/12),2))</f>
        <v/>
      </c>
      <c r="AM364">
        <f>IF(H363&lt;=0,0,ROUND(H363*(1+IF(AND(H$6&gt;0,$B364&lt;H$6),H$4,H$5)/12),2))</f>
        <v/>
      </c>
      <c r="AN364">
        <f>IF(I363&lt;=0,0,ROUND(I363*(1+IF(AND(I$6&gt;0,$B364&lt;I$6),I$4,I$5)/12),2))</f>
        <v/>
      </c>
      <c r="AO364">
        <f>IF(J363&lt;=0,0,ROUND(J363*(1+IF(AND(J$6&gt;0,$B364&lt;J$6),J$4,J$5)/12),2))</f>
        <v/>
      </c>
      <c r="AP364">
        <f>IF(K363&lt;=0,0,ROUND(K363*(1+IF(AND(K$6&gt;0,$B364&lt;K$6),K$4,K$5)/12),2))</f>
        <v/>
      </c>
      <c r="AQ364">
        <f>IF(L363&lt;=0,0,ROUND(L363*(1+IF(AND(L$6&gt;0,$B364&lt;L$6),L$4,L$5)/12),2))</f>
        <v/>
      </c>
      <c r="AR364">
        <f>IF(M363&lt;=0,0,ROUND(M363*(1+IF(AND(M$6&gt;0,$B364&lt;M$6),M$4,M$5)/12),2))</f>
        <v/>
      </c>
      <c r="AS364">
        <f>IF(N363&lt;=0,0,ROUND(N363*(1+IF(AND(N$6&gt;0,$B364&lt;N$6),N$4,N$5)/12),2))</f>
        <v/>
      </c>
    </row>
    <row r="365">
      <c r="A365" t="n">
        <v>354</v>
      </c>
      <c r="B365">
        <f>EDATE(Plan!$C$6,353)</f>
        <v/>
      </c>
      <c r="C365">
        <f>IF(C364&lt;=0,0,MAX(0,AH365-O365))</f>
        <v/>
      </c>
      <c r="D365">
        <f>IF(D364&lt;=0,0,MAX(0,AI365-P365))</f>
        <v/>
      </c>
      <c r="E365">
        <f>IF(E364&lt;=0,0,MAX(0,AJ365-Q365))</f>
        <v/>
      </c>
      <c r="F365">
        <f>IF(F364&lt;=0,0,MAX(0,AK365-R365))</f>
        <v/>
      </c>
      <c r="G365">
        <f>IF(G364&lt;=0,0,MAX(0,AL365-S365))</f>
        <v/>
      </c>
      <c r="H365">
        <f>IF(H364&lt;=0,0,MAX(0,AM365-T365))</f>
        <v/>
      </c>
      <c r="I365">
        <f>IF(I364&lt;=0,0,MAX(0,AN365-U365))</f>
        <v/>
      </c>
      <c r="J365">
        <f>IF(J364&lt;=0,0,MAX(0,AO365-V365))</f>
        <v/>
      </c>
      <c r="K365">
        <f>IF(K364&lt;=0,0,MAX(0,AP365-W365))</f>
        <v/>
      </c>
      <c r="L365">
        <f>IF(L364&lt;=0,0,MAX(0,AQ365-X365))</f>
        <v/>
      </c>
      <c r="M365">
        <f>IF(M364&lt;=0,0,MAX(0,AR365-Y365))</f>
        <v/>
      </c>
      <c r="N365">
        <f>IF(N364&lt;=0,0,MAX(0,AS365-Z365))</f>
        <v/>
      </c>
      <c r="O365">
        <f>IF(C364&lt;=0,0,MIN(AH365,C$7+IF(C$2=$AA365,$AC365,IF(C$2=$AF365,$AG365,0))))</f>
        <v/>
      </c>
      <c r="P365">
        <f>IF(D364&lt;=0,0,MIN(AI365,D$7+IF(D$2=$AA365,$AC365,IF(D$2=$AF365,$AG365,0))))</f>
        <v/>
      </c>
      <c r="Q365">
        <f>IF(E364&lt;=0,0,MIN(AJ365,E$7+IF(E$2=$AA365,$AC365,IF(E$2=$AF365,$AG365,0))))</f>
        <v/>
      </c>
      <c r="R365">
        <f>IF(F364&lt;=0,0,MIN(AK365,F$7+IF(F$2=$AA365,$AC365,IF(F$2=$AF365,$AG365,0))))</f>
        <v/>
      </c>
      <c r="S365">
        <f>IF(G364&lt;=0,0,MIN(AL365,G$7+IF(G$2=$AA365,$AC365,IF(G$2=$AF365,$AG365,0))))</f>
        <v/>
      </c>
      <c r="T365">
        <f>IF(H364&lt;=0,0,MIN(AM365,H$7+IF(H$2=$AA365,$AC365,IF(H$2=$AF365,$AG365,0))))</f>
        <v/>
      </c>
      <c r="U365">
        <f>IF(I364&lt;=0,0,MIN(AN365,I$7+IF(I$2=$AA365,$AC365,IF(I$2=$AF365,$AG365,0))))</f>
        <v/>
      </c>
      <c r="V365">
        <f>IF(J364&lt;=0,0,MIN(AO365,J$7+IF(J$2=$AA365,$AC365,IF(J$2=$AF365,$AG365,0))))</f>
        <v/>
      </c>
      <c r="W365">
        <f>IF(K364&lt;=0,0,MIN(AP365,K$7+IF(K$2=$AA365,$AC365,IF(K$2=$AF365,$AG365,0))))</f>
        <v/>
      </c>
      <c r="X365">
        <f>IF(L364&lt;=0,0,MIN(AQ365,L$7+IF(L$2=$AA365,$AC365,IF(L$2=$AF365,$AG365,0))))</f>
        <v/>
      </c>
      <c r="Y365">
        <f>IF(M364&lt;=0,0,MIN(AR365,M$7+IF(M$2=$AA365,$AC365,IF(M$2=$AF365,$AG365,0))))</f>
        <v/>
      </c>
      <c r="Z365">
        <f>IF(N364&lt;=0,0,MIN(AS365,N$7+IF(N$2=$AA365,$AC365,IF(N$2=$AF365,$AG365,0))))</f>
        <v/>
      </c>
      <c r="AA365">
        <f>IFERROR(ROUND(1/SUMPRODUCT(MAX((C364:N364&gt;0)*($C$3:$N$3&lt;=B365)/$C$2:$N$2)),0),0)</f>
        <v/>
      </c>
      <c r="AB365">
        <f>SUMPRODUCT((C364:N364&gt;0)*$C$7:$N$7)</f>
        <v/>
      </c>
      <c r="AC365">
        <f>MAX(0,Plan!$C$5-AB365)+IF(A365=Plan!$C$8,N(Plan!$C$7),0)</f>
        <v/>
      </c>
      <c r="AD365">
        <f>SUM(C365:N365)</f>
        <v/>
      </c>
      <c r="AE365">
        <f>SUM(O365:Z365)</f>
        <v/>
      </c>
      <c r="AF365">
        <f>IFERROR(ROUND(1/SUMPRODUCT(MAX((C364:N364&gt;0)*($C$3:$N$3&lt;=B365)*($C$2:$N$2&gt;AA365)/$C$2:$N$2)),0),0)</f>
        <v/>
      </c>
      <c r="AG365">
        <f>MAX(0,AC365-MAX(0,SUMPRODUCT(($C$2:$N$2=AA365)*(AH365:AS365-$C$7:$N$7))))</f>
        <v/>
      </c>
      <c r="AH365">
        <f>IF(C364&lt;=0,0,ROUND(C364*(1+IF(AND(C$6&gt;0,$B365&lt;C$6),C$4,C$5)/12),2))</f>
        <v/>
      </c>
      <c r="AI365">
        <f>IF(D364&lt;=0,0,ROUND(D364*(1+IF(AND(D$6&gt;0,$B365&lt;D$6),D$4,D$5)/12),2))</f>
        <v/>
      </c>
      <c r="AJ365">
        <f>IF(E364&lt;=0,0,ROUND(E364*(1+IF(AND(E$6&gt;0,$B365&lt;E$6),E$4,E$5)/12),2))</f>
        <v/>
      </c>
      <c r="AK365">
        <f>IF(F364&lt;=0,0,ROUND(F364*(1+IF(AND(F$6&gt;0,$B365&lt;F$6),F$4,F$5)/12),2))</f>
        <v/>
      </c>
      <c r="AL365">
        <f>IF(G364&lt;=0,0,ROUND(G364*(1+IF(AND(G$6&gt;0,$B365&lt;G$6),G$4,G$5)/12),2))</f>
        <v/>
      </c>
      <c r="AM365">
        <f>IF(H364&lt;=0,0,ROUND(H364*(1+IF(AND(H$6&gt;0,$B365&lt;H$6),H$4,H$5)/12),2))</f>
        <v/>
      </c>
      <c r="AN365">
        <f>IF(I364&lt;=0,0,ROUND(I364*(1+IF(AND(I$6&gt;0,$B365&lt;I$6),I$4,I$5)/12),2))</f>
        <v/>
      </c>
      <c r="AO365">
        <f>IF(J364&lt;=0,0,ROUND(J364*(1+IF(AND(J$6&gt;0,$B365&lt;J$6),J$4,J$5)/12),2))</f>
        <v/>
      </c>
      <c r="AP365">
        <f>IF(K364&lt;=0,0,ROUND(K364*(1+IF(AND(K$6&gt;0,$B365&lt;K$6),K$4,K$5)/12),2))</f>
        <v/>
      </c>
      <c r="AQ365">
        <f>IF(L364&lt;=0,0,ROUND(L364*(1+IF(AND(L$6&gt;0,$B365&lt;L$6),L$4,L$5)/12),2))</f>
        <v/>
      </c>
      <c r="AR365">
        <f>IF(M364&lt;=0,0,ROUND(M364*(1+IF(AND(M$6&gt;0,$B365&lt;M$6),M$4,M$5)/12),2))</f>
        <v/>
      </c>
      <c r="AS365">
        <f>IF(N364&lt;=0,0,ROUND(N364*(1+IF(AND(N$6&gt;0,$B365&lt;N$6),N$4,N$5)/12),2))</f>
        <v/>
      </c>
    </row>
    <row r="366">
      <c r="A366" t="n">
        <v>355</v>
      </c>
      <c r="B366">
        <f>EDATE(Plan!$C$6,354)</f>
        <v/>
      </c>
      <c r="C366">
        <f>IF(C365&lt;=0,0,MAX(0,AH366-O366))</f>
        <v/>
      </c>
      <c r="D366">
        <f>IF(D365&lt;=0,0,MAX(0,AI366-P366))</f>
        <v/>
      </c>
      <c r="E366">
        <f>IF(E365&lt;=0,0,MAX(0,AJ366-Q366))</f>
        <v/>
      </c>
      <c r="F366">
        <f>IF(F365&lt;=0,0,MAX(0,AK366-R366))</f>
        <v/>
      </c>
      <c r="G366">
        <f>IF(G365&lt;=0,0,MAX(0,AL366-S366))</f>
        <v/>
      </c>
      <c r="H366">
        <f>IF(H365&lt;=0,0,MAX(0,AM366-T366))</f>
        <v/>
      </c>
      <c r="I366">
        <f>IF(I365&lt;=0,0,MAX(0,AN366-U366))</f>
        <v/>
      </c>
      <c r="J366">
        <f>IF(J365&lt;=0,0,MAX(0,AO366-V366))</f>
        <v/>
      </c>
      <c r="K366">
        <f>IF(K365&lt;=0,0,MAX(0,AP366-W366))</f>
        <v/>
      </c>
      <c r="L366">
        <f>IF(L365&lt;=0,0,MAX(0,AQ366-X366))</f>
        <v/>
      </c>
      <c r="M366">
        <f>IF(M365&lt;=0,0,MAX(0,AR366-Y366))</f>
        <v/>
      </c>
      <c r="N366">
        <f>IF(N365&lt;=0,0,MAX(0,AS366-Z366))</f>
        <v/>
      </c>
      <c r="O366">
        <f>IF(C365&lt;=0,0,MIN(AH366,C$7+IF(C$2=$AA366,$AC366,IF(C$2=$AF366,$AG366,0))))</f>
        <v/>
      </c>
      <c r="P366">
        <f>IF(D365&lt;=0,0,MIN(AI366,D$7+IF(D$2=$AA366,$AC366,IF(D$2=$AF366,$AG366,0))))</f>
        <v/>
      </c>
      <c r="Q366">
        <f>IF(E365&lt;=0,0,MIN(AJ366,E$7+IF(E$2=$AA366,$AC366,IF(E$2=$AF366,$AG366,0))))</f>
        <v/>
      </c>
      <c r="R366">
        <f>IF(F365&lt;=0,0,MIN(AK366,F$7+IF(F$2=$AA366,$AC366,IF(F$2=$AF366,$AG366,0))))</f>
        <v/>
      </c>
      <c r="S366">
        <f>IF(G365&lt;=0,0,MIN(AL366,G$7+IF(G$2=$AA366,$AC366,IF(G$2=$AF366,$AG366,0))))</f>
        <v/>
      </c>
      <c r="T366">
        <f>IF(H365&lt;=0,0,MIN(AM366,H$7+IF(H$2=$AA366,$AC366,IF(H$2=$AF366,$AG366,0))))</f>
        <v/>
      </c>
      <c r="U366">
        <f>IF(I365&lt;=0,0,MIN(AN366,I$7+IF(I$2=$AA366,$AC366,IF(I$2=$AF366,$AG366,0))))</f>
        <v/>
      </c>
      <c r="V366">
        <f>IF(J365&lt;=0,0,MIN(AO366,J$7+IF(J$2=$AA366,$AC366,IF(J$2=$AF366,$AG366,0))))</f>
        <v/>
      </c>
      <c r="W366">
        <f>IF(K365&lt;=0,0,MIN(AP366,K$7+IF(K$2=$AA366,$AC366,IF(K$2=$AF366,$AG366,0))))</f>
        <v/>
      </c>
      <c r="X366">
        <f>IF(L365&lt;=0,0,MIN(AQ366,L$7+IF(L$2=$AA366,$AC366,IF(L$2=$AF366,$AG366,0))))</f>
        <v/>
      </c>
      <c r="Y366">
        <f>IF(M365&lt;=0,0,MIN(AR366,M$7+IF(M$2=$AA366,$AC366,IF(M$2=$AF366,$AG366,0))))</f>
        <v/>
      </c>
      <c r="Z366">
        <f>IF(N365&lt;=0,0,MIN(AS366,N$7+IF(N$2=$AA366,$AC366,IF(N$2=$AF366,$AG366,0))))</f>
        <v/>
      </c>
      <c r="AA366">
        <f>IFERROR(ROUND(1/SUMPRODUCT(MAX((C365:N365&gt;0)*($C$3:$N$3&lt;=B366)/$C$2:$N$2)),0),0)</f>
        <v/>
      </c>
      <c r="AB366">
        <f>SUMPRODUCT((C365:N365&gt;0)*$C$7:$N$7)</f>
        <v/>
      </c>
      <c r="AC366">
        <f>MAX(0,Plan!$C$5-AB366)+IF(A366=Plan!$C$8,N(Plan!$C$7),0)</f>
        <v/>
      </c>
      <c r="AD366">
        <f>SUM(C366:N366)</f>
        <v/>
      </c>
      <c r="AE366">
        <f>SUM(O366:Z366)</f>
        <v/>
      </c>
      <c r="AF366">
        <f>IFERROR(ROUND(1/SUMPRODUCT(MAX((C365:N365&gt;0)*($C$3:$N$3&lt;=B366)*($C$2:$N$2&gt;AA366)/$C$2:$N$2)),0),0)</f>
        <v/>
      </c>
      <c r="AG366">
        <f>MAX(0,AC366-MAX(0,SUMPRODUCT(($C$2:$N$2=AA366)*(AH366:AS366-$C$7:$N$7))))</f>
        <v/>
      </c>
      <c r="AH366">
        <f>IF(C365&lt;=0,0,ROUND(C365*(1+IF(AND(C$6&gt;0,$B366&lt;C$6),C$4,C$5)/12),2))</f>
        <v/>
      </c>
      <c r="AI366">
        <f>IF(D365&lt;=0,0,ROUND(D365*(1+IF(AND(D$6&gt;0,$B366&lt;D$6),D$4,D$5)/12),2))</f>
        <v/>
      </c>
      <c r="AJ366">
        <f>IF(E365&lt;=0,0,ROUND(E365*(1+IF(AND(E$6&gt;0,$B366&lt;E$6),E$4,E$5)/12),2))</f>
        <v/>
      </c>
      <c r="AK366">
        <f>IF(F365&lt;=0,0,ROUND(F365*(1+IF(AND(F$6&gt;0,$B366&lt;F$6),F$4,F$5)/12),2))</f>
        <v/>
      </c>
      <c r="AL366">
        <f>IF(G365&lt;=0,0,ROUND(G365*(1+IF(AND(G$6&gt;0,$B366&lt;G$6),G$4,G$5)/12),2))</f>
        <v/>
      </c>
      <c r="AM366">
        <f>IF(H365&lt;=0,0,ROUND(H365*(1+IF(AND(H$6&gt;0,$B366&lt;H$6),H$4,H$5)/12),2))</f>
        <v/>
      </c>
      <c r="AN366">
        <f>IF(I365&lt;=0,0,ROUND(I365*(1+IF(AND(I$6&gt;0,$B366&lt;I$6),I$4,I$5)/12),2))</f>
        <v/>
      </c>
      <c r="AO366">
        <f>IF(J365&lt;=0,0,ROUND(J365*(1+IF(AND(J$6&gt;0,$B366&lt;J$6),J$4,J$5)/12),2))</f>
        <v/>
      </c>
      <c r="AP366">
        <f>IF(K365&lt;=0,0,ROUND(K365*(1+IF(AND(K$6&gt;0,$B366&lt;K$6),K$4,K$5)/12),2))</f>
        <v/>
      </c>
      <c r="AQ366">
        <f>IF(L365&lt;=0,0,ROUND(L365*(1+IF(AND(L$6&gt;0,$B366&lt;L$6),L$4,L$5)/12),2))</f>
        <v/>
      </c>
      <c r="AR366">
        <f>IF(M365&lt;=0,0,ROUND(M365*(1+IF(AND(M$6&gt;0,$B366&lt;M$6),M$4,M$5)/12),2))</f>
        <v/>
      </c>
      <c r="AS366">
        <f>IF(N365&lt;=0,0,ROUND(N365*(1+IF(AND(N$6&gt;0,$B366&lt;N$6),N$4,N$5)/12),2))</f>
        <v/>
      </c>
    </row>
    <row r="367">
      <c r="A367" t="n">
        <v>356</v>
      </c>
      <c r="B367">
        <f>EDATE(Plan!$C$6,355)</f>
        <v/>
      </c>
      <c r="C367">
        <f>IF(C366&lt;=0,0,MAX(0,AH367-O367))</f>
        <v/>
      </c>
      <c r="D367">
        <f>IF(D366&lt;=0,0,MAX(0,AI367-P367))</f>
        <v/>
      </c>
      <c r="E367">
        <f>IF(E366&lt;=0,0,MAX(0,AJ367-Q367))</f>
        <v/>
      </c>
      <c r="F367">
        <f>IF(F366&lt;=0,0,MAX(0,AK367-R367))</f>
        <v/>
      </c>
      <c r="G367">
        <f>IF(G366&lt;=0,0,MAX(0,AL367-S367))</f>
        <v/>
      </c>
      <c r="H367">
        <f>IF(H366&lt;=0,0,MAX(0,AM367-T367))</f>
        <v/>
      </c>
      <c r="I367">
        <f>IF(I366&lt;=0,0,MAX(0,AN367-U367))</f>
        <v/>
      </c>
      <c r="J367">
        <f>IF(J366&lt;=0,0,MAX(0,AO367-V367))</f>
        <v/>
      </c>
      <c r="K367">
        <f>IF(K366&lt;=0,0,MAX(0,AP367-W367))</f>
        <v/>
      </c>
      <c r="L367">
        <f>IF(L366&lt;=0,0,MAX(0,AQ367-X367))</f>
        <v/>
      </c>
      <c r="M367">
        <f>IF(M366&lt;=0,0,MAX(0,AR367-Y367))</f>
        <v/>
      </c>
      <c r="N367">
        <f>IF(N366&lt;=0,0,MAX(0,AS367-Z367))</f>
        <v/>
      </c>
      <c r="O367">
        <f>IF(C366&lt;=0,0,MIN(AH367,C$7+IF(C$2=$AA367,$AC367,IF(C$2=$AF367,$AG367,0))))</f>
        <v/>
      </c>
      <c r="P367">
        <f>IF(D366&lt;=0,0,MIN(AI367,D$7+IF(D$2=$AA367,$AC367,IF(D$2=$AF367,$AG367,0))))</f>
        <v/>
      </c>
      <c r="Q367">
        <f>IF(E366&lt;=0,0,MIN(AJ367,E$7+IF(E$2=$AA367,$AC367,IF(E$2=$AF367,$AG367,0))))</f>
        <v/>
      </c>
      <c r="R367">
        <f>IF(F366&lt;=0,0,MIN(AK367,F$7+IF(F$2=$AA367,$AC367,IF(F$2=$AF367,$AG367,0))))</f>
        <v/>
      </c>
      <c r="S367">
        <f>IF(G366&lt;=0,0,MIN(AL367,G$7+IF(G$2=$AA367,$AC367,IF(G$2=$AF367,$AG367,0))))</f>
        <v/>
      </c>
      <c r="T367">
        <f>IF(H366&lt;=0,0,MIN(AM367,H$7+IF(H$2=$AA367,$AC367,IF(H$2=$AF367,$AG367,0))))</f>
        <v/>
      </c>
      <c r="U367">
        <f>IF(I366&lt;=0,0,MIN(AN367,I$7+IF(I$2=$AA367,$AC367,IF(I$2=$AF367,$AG367,0))))</f>
        <v/>
      </c>
      <c r="V367">
        <f>IF(J366&lt;=0,0,MIN(AO367,J$7+IF(J$2=$AA367,$AC367,IF(J$2=$AF367,$AG367,0))))</f>
        <v/>
      </c>
      <c r="W367">
        <f>IF(K366&lt;=0,0,MIN(AP367,K$7+IF(K$2=$AA367,$AC367,IF(K$2=$AF367,$AG367,0))))</f>
        <v/>
      </c>
      <c r="X367">
        <f>IF(L366&lt;=0,0,MIN(AQ367,L$7+IF(L$2=$AA367,$AC367,IF(L$2=$AF367,$AG367,0))))</f>
        <v/>
      </c>
      <c r="Y367">
        <f>IF(M366&lt;=0,0,MIN(AR367,M$7+IF(M$2=$AA367,$AC367,IF(M$2=$AF367,$AG367,0))))</f>
        <v/>
      </c>
      <c r="Z367">
        <f>IF(N366&lt;=0,0,MIN(AS367,N$7+IF(N$2=$AA367,$AC367,IF(N$2=$AF367,$AG367,0))))</f>
        <v/>
      </c>
      <c r="AA367">
        <f>IFERROR(ROUND(1/SUMPRODUCT(MAX((C366:N366&gt;0)*($C$3:$N$3&lt;=B367)/$C$2:$N$2)),0),0)</f>
        <v/>
      </c>
      <c r="AB367">
        <f>SUMPRODUCT((C366:N366&gt;0)*$C$7:$N$7)</f>
        <v/>
      </c>
      <c r="AC367">
        <f>MAX(0,Plan!$C$5-AB367)+IF(A367=Plan!$C$8,N(Plan!$C$7),0)</f>
        <v/>
      </c>
      <c r="AD367">
        <f>SUM(C367:N367)</f>
        <v/>
      </c>
      <c r="AE367">
        <f>SUM(O367:Z367)</f>
        <v/>
      </c>
      <c r="AF367">
        <f>IFERROR(ROUND(1/SUMPRODUCT(MAX((C366:N366&gt;0)*($C$3:$N$3&lt;=B367)*($C$2:$N$2&gt;AA367)/$C$2:$N$2)),0),0)</f>
        <v/>
      </c>
      <c r="AG367">
        <f>MAX(0,AC367-MAX(0,SUMPRODUCT(($C$2:$N$2=AA367)*(AH367:AS367-$C$7:$N$7))))</f>
        <v/>
      </c>
      <c r="AH367">
        <f>IF(C366&lt;=0,0,ROUND(C366*(1+IF(AND(C$6&gt;0,$B367&lt;C$6),C$4,C$5)/12),2))</f>
        <v/>
      </c>
      <c r="AI367">
        <f>IF(D366&lt;=0,0,ROUND(D366*(1+IF(AND(D$6&gt;0,$B367&lt;D$6),D$4,D$5)/12),2))</f>
        <v/>
      </c>
      <c r="AJ367">
        <f>IF(E366&lt;=0,0,ROUND(E366*(1+IF(AND(E$6&gt;0,$B367&lt;E$6),E$4,E$5)/12),2))</f>
        <v/>
      </c>
      <c r="AK367">
        <f>IF(F366&lt;=0,0,ROUND(F366*(1+IF(AND(F$6&gt;0,$B367&lt;F$6),F$4,F$5)/12),2))</f>
        <v/>
      </c>
      <c r="AL367">
        <f>IF(G366&lt;=0,0,ROUND(G366*(1+IF(AND(G$6&gt;0,$B367&lt;G$6),G$4,G$5)/12),2))</f>
        <v/>
      </c>
      <c r="AM367">
        <f>IF(H366&lt;=0,0,ROUND(H366*(1+IF(AND(H$6&gt;0,$B367&lt;H$6),H$4,H$5)/12),2))</f>
        <v/>
      </c>
      <c r="AN367">
        <f>IF(I366&lt;=0,0,ROUND(I366*(1+IF(AND(I$6&gt;0,$B367&lt;I$6),I$4,I$5)/12),2))</f>
        <v/>
      </c>
      <c r="AO367">
        <f>IF(J366&lt;=0,0,ROUND(J366*(1+IF(AND(J$6&gt;0,$B367&lt;J$6),J$4,J$5)/12),2))</f>
        <v/>
      </c>
      <c r="AP367">
        <f>IF(K366&lt;=0,0,ROUND(K366*(1+IF(AND(K$6&gt;0,$B367&lt;K$6),K$4,K$5)/12),2))</f>
        <v/>
      </c>
      <c r="AQ367">
        <f>IF(L366&lt;=0,0,ROUND(L366*(1+IF(AND(L$6&gt;0,$B367&lt;L$6),L$4,L$5)/12),2))</f>
        <v/>
      </c>
      <c r="AR367">
        <f>IF(M366&lt;=0,0,ROUND(M366*(1+IF(AND(M$6&gt;0,$B367&lt;M$6),M$4,M$5)/12),2))</f>
        <v/>
      </c>
      <c r="AS367">
        <f>IF(N366&lt;=0,0,ROUND(N366*(1+IF(AND(N$6&gt;0,$B367&lt;N$6),N$4,N$5)/12),2))</f>
        <v/>
      </c>
    </row>
    <row r="368">
      <c r="A368" t="n">
        <v>357</v>
      </c>
      <c r="B368">
        <f>EDATE(Plan!$C$6,356)</f>
        <v/>
      </c>
      <c r="C368">
        <f>IF(C367&lt;=0,0,MAX(0,AH368-O368))</f>
        <v/>
      </c>
      <c r="D368">
        <f>IF(D367&lt;=0,0,MAX(0,AI368-P368))</f>
        <v/>
      </c>
      <c r="E368">
        <f>IF(E367&lt;=0,0,MAX(0,AJ368-Q368))</f>
        <v/>
      </c>
      <c r="F368">
        <f>IF(F367&lt;=0,0,MAX(0,AK368-R368))</f>
        <v/>
      </c>
      <c r="G368">
        <f>IF(G367&lt;=0,0,MAX(0,AL368-S368))</f>
        <v/>
      </c>
      <c r="H368">
        <f>IF(H367&lt;=0,0,MAX(0,AM368-T368))</f>
        <v/>
      </c>
      <c r="I368">
        <f>IF(I367&lt;=0,0,MAX(0,AN368-U368))</f>
        <v/>
      </c>
      <c r="J368">
        <f>IF(J367&lt;=0,0,MAX(0,AO368-V368))</f>
        <v/>
      </c>
      <c r="K368">
        <f>IF(K367&lt;=0,0,MAX(0,AP368-W368))</f>
        <v/>
      </c>
      <c r="L368">
        <f>IF(L367&lt;=0,0,MAX(0,AQ368-X368))</f>
        <v/>
      </c>
      <c r="M368">
        <f>IF(M367&lt;=0,0,MAX(0,AR368-Y368))</f>
        <v/>
      </c>
      <c r="N368">
        <f>IF(N367&lt;=0,0,MAX(0,AS368-Z368))</f>
        <v/>
      </c>
      <c r="O368">
        <f>IF(C367&lt;=0,0,MIN(AH368,C$7+IF(C$2=$AA368,$AC368,IF(C$2=$AF368,$AG368,0))))</f>
        <v/>
      </c>
      <c r="P368">
        <f>IF(D367&lt;=0,0,MIN(AI368,D$7+IF(D$2=$AA368,$AC368,IF(D$2=$AF368,$AG368,0))))</f>
        <v/>
      </c>
      <c r="Q368">
        <f>IF(E367&lt;=0,0,MIN(AJ368,E$7+IF(E$2=$AA368,$AC368,IF(E$2=$AF368,$AG368,0))))</f>
        <v/>
      </c>
      <c r="R368">
        <f>IF(F367&lt;=0,0,MIN(AK368,F$7+IF(F$2=$AA368,$AC368,IF(F$2=$AF368,$AG368,0))))</f>
        <v/>
      </c>
      <c r="S368">
        <f>IF(G367&lt;=0,0,MIN(AL368,G$7+IF(G$2=$AA368,$AC368,IF(G$2=$AF368,$AG368,0))))</f>
        <v/>
      </c>
      <c r="T368">
        <f>IF(H367&lt;=0,0,MIN(AM368,H$7+IF(H$2=$AA368,$AC368,IF(H$2=$AF368,$AG368,0))))</f>
        <v/>
      </c>
      <c r="U368">
        <f>IF(I367&lt;=0,0,MIN(AN368,I$7+IF(I$2=$AA368,$AC368,IF(I$2=$AF368,$AG368,0))))</f>
        <v/>
      </c>
      <c r="V368">
        <f>IF(J367&lt;=0,0,MIN(AO368,J$7+IF(J$2=$AA368,$AC368,IF(J$2=$AF368,$AG368,0))))</f>
        <v/>
      </c>
      <c r="W368">
        <f>IF(K367&lt;=0,0,MIN(AP368,K$7+IF(K$2=$AA368,$AC368,IF(K$2=$AF368,$AG368,0))))</f>
        <v/>
      </c>
      <c r="X368">
        <f>IF(L367&lt;=0,0,MIN(AQ368,L$7+IF(L$2=$AA368,$AC368,IF(L$2=$AF368,$AG368,0))))</f>
        <v/>
      </c>
      <c r="Y368">
        <f>IF(M367&lt;=0,0,MIN(AR368,M$7+IF(M$2=$AA368,$AC368,IF(M$2=$AF368,$AG368,0))))</f>
        <v/>
      </c>
      <c r="Z368">
        <f>IF(N367&lt;=0,0,MIN(AS368,N$7+IF(N$2=$AA368,$AC368,IF(N$2=$AF368,$AG368,0))))</f>
        <v/>
      </c>
      <c r="AA368">
        <f>IFERROR(ROUND(1/SUMPRODUCT(MAX((C367:N367&gt;0)*($C$3:$N$3&lt;=B368)/$C$2:$N$2)),0),0)</f>
        <v/>
      </c>
      <c r="AB368">
        <f>SUMPRODUCT((C367:N367&gt;0)*$C$7:$N$7)</f>
        <v/>
      </c>
      <c r="AC368">
        <f>MAX(0,Plan!$C$5-AB368)+IF(A368=Plan!$C$8,N(Plan!$C$7),0)</f>
        <v/>
      </c>
      <c r="AD368">
        <f>SUM(C368:N368)</f>
        <v/>
      </c>
      <c r="AE368">
        <f>SUM(O368:Z368)</f>
        <v/>
      </c>
      <c r="AF368">
        <f>IFERROR(ROUND(1/SUMPRODUCT(MAX((C367:N367&gt;0)*($C$3:$N$3&lt;=B368)*($C$2:$N$2&gt;AA368)/$C$2:$N$2)),0),0)</f>
        <v/>
      </c>
      <c r="AG368">
        <f>MAX(0,AC368-MAX(0,SUMPRODUCT(($C$2:$N$2=AA368)*(AH368:AS368-$C$7:$N$7))))</f>
        <v/>
      </c>
      <c r="AH368">
        <f>IF(C367&lt;=0,0,ROUND(C367*(1+IF(AND(C$6&gt;0,$B368&lt;C$6),C$4,C$5)/12),2))</f>
        <v/>
      </c>
      <c r="AI368">
        <f>IF(D367&lt;=0,0,ROUND(D367*(1+IF(AND(D$6&gt;0,$B368&lt;D$6),D$4,D$5)/12),2))</f>
        <v/>
      </c>
      <c r="AJ368">
        <f>IF(E367&lt;=0,0,ROUND(E367*(1+IF(AND(E$6&gt;0,$B368&lt;E$6),E$4,E$5)/12),2))</f>
        <v/>
      </c>
      <c r="AK368">
        <f>IF(F367&lt;=0,0,ROUND(F367*(1+IF(AND(F$6&gt;0,$B368&lt;F$6),F$4,F$5)/12),2))</f>
        <v/>
      </c>
      <c r="AL368">
        <f>IF(G367&lt;=0,0,ROUND(G367*(1+IF(AND(G$6&gt;0,$B368&lt;G$6),G$4,G$5)/12),2))</f>
        <v/>
      </c>
      <c r="AM368">
        <f>IF(H367&lt;=0,0,ROUND(H367*(1+IF(AND(H$6&gt;0,$B368&lt;H$6),H$4,H$5)/12),2))</f>
        <v/>
      </c>
      <c r="AN368">
        <f>IF(I367&lt;=0,0,ROUND(I367*(1+IF(AND(I$6&gt;0,$B368&lt;I$6),I$4,I$5)/12),2))</f>
        <v/>
      </c>
      <c r="AO368">
        <f>IF(J367&lt;=0,0,ROUND(J367*(1+IF(AND(J$6&gt;0,$B368&lt;J$6),J$4,J$5)/12),2))</f>
        <v/>
      </c>
      <c r="AP368">
        <f>IF(K367&lt;=0,0,ROUND(K367*(1+IF(AND(K$6&gt;0,$B368&lt;K$6),K$4,K$5)/12),2))</f>
        <v/>
      </c>
      <c r="AQ368">
        <f>IF(L367&lt;=0,0,ROUND(L367*(1+IF(AND(L$6&gt;0,$B368&lt;L$6),L$4,L$5)/12),2))</f>
        <v/>
      </c>
      <c r="AR368">
        <f>IF(M367&lt;=0,0,ROUND(M367*(1+IF(AND(M$6&gt;0,$B368&lt;M$6),M$4,M$5)/12),2))</f>
        <v/>
      </c>
      <c r="AS368">
        <f>IF(N367&lt;=0,0,ROUND(N367*(1+IF(AND(N$6&gt;0,$B368&lt;N$6),N$4,N$5)/12),2))</f>
        <v/>
      </c>
    </row>
    <row r="369">
      <c r="A369" t="n">
        <v>358</v>
      </c>
      <c r="B369">
        <f>EDATE(Plan!$C$6,357)</f>
        <v/>
      </c>
      <c r="C369">
        <f>IF(C368&lt;=0,0,MAX(0,AH369-O369))</f>
        <v/>
      </c>
      <c r="D369">
        <f>IF(D368&lt;=0,0,MAX(0,AI369-P369))</f>
        <v/>
      </c>
      <c r="E369">
        <f>IF(E368&lt;=0,0,MAX(0,AJ369-Q369))</f>
        <v/>
      </c>
      <c r="F369">
        <f>IF(F368&lt;=0,0,MAX(0,AK369-R369))</f>
        <v/>
      </c>
      <c r="G369">
        <f>IF(G368&lt;=0,0,MAX(0,AL369-S369))</f>
        <v/>
      </c>
      <c r="H369">
        <f>IF(H368&lt;=0,0,MAX(0,AM369-T369))</f>
        <v/>
      </c>
      <c r="I369">
        <f>IF(I368&lt;=0,0,MAX(0,AN369-U369))</f>
        <v/>
      </c>
      <c r="J369">
        <f>IF(J368&lt;=0,0,MAX(0,AO369-V369))</f>
        <v/>
      </c>
      <c r="K369">
        <f>IF(K368&lt;=0,0,MAX(0,AP369-W369))</f>
        <v/>
      </c>
      <c r="L369">
        <f>IF(L368&lt;=0,0,MAX(0,AQ369-X369))</f>
        <v/>
      </c>
      <c r="M369">
        <f>IF(M368&lt;=0,0,MAX(0,AR369-Y369))</f>
        <v/>
      </c>
      <c r="N369">
        <f>IF(N368&lt;=0,0,MAX(0,AS369-Z369))</f>
        <v/>
      </c>
      <c r="O369">
        <f>IF(C368&lt;=0,0,MIN(AH369,C$7+IF(C$2=$AA369,$AC369,IF(C$2=$AF369,$AG369,0))))</f>
        <v/>
      </c>
      <c r="P369">
        <f>IF(D368&lt;=0,0,MIN(AI369,D$7+IF(D$2=$AA369,$AC369,IF(D$2=$AF369,$AG369,0))))</f>
        <v/>
      </c>
      <c r="Q369">
        <f>IF(E368&lt;=0,0,MIN(AJ369,E$7+IF(E$2=$AA369,$AC369,IF(E$2=$AF369,$AG369,0))))</f>
        <v/>
      </c>
      <c r="R369">
        <f>IF(F368&lt;=0,0,MIN(AK369,F$7+IF(F$2=$AA369,$AC369,IF(F$2=$AF369,$AG369,0))))</f>
        <v/>
      </c>
      <c r="S369">
        <f>IF(G368&lt;=0,0,MIN(AL369,G$7+IF(G$2=$AA369,$AC369,IF(G$2=$AF369,$AG369,0))))</f>
        <v/>
      </c>
      <c r="T369">
        <f>IF(H368&lt;=0,0,MIN(AM369,H$7+IF(H$2=$AA369,$AC369,IF(H$2=$AF369,$AG369,0))))</f>
        <v/>
      </c>
      <c r="U369">
        <f>IF(I368&lt;=0,0,MIN(AN369,I$7+IF(I$2=$AA369,$AC369,IF(I$2=$AF369,$AG369,0))))</f>
        <v/>
      </c>
      <c r="V369">
        <f>IF(J368&lt;=0,0,MIN(AO369,J$7+IF(J$2=$AA369,$AC369,IF(J$2=$AF369,$AG369,0))))</f>
        <v/>
      </c>
      <c r="W369">
        <f>IF(K368&lt;=0,0,MIN(AP369,K$7+IF(K$2=$AA369,$AC369,IF(K$2=$AF369,$AG369,0))))</f>
        <v/>
      </c>
      <c r="X369">
        <f>IF(L368&lt;=0,0,MIN(AQ369,L$7+IF(L$2=$AA369,$AC369,IF(L$2=$AF369,$AG369,0))))</f>
        <v/>
      </c>
      <c r="Y369">
        <f>IF(M368&lt;=0,0,MIN(AR369,M$7+IF(M$2=$AA369,$AC369,IF(M$2=$AF369,$AG369,0))))</f>
        <v/>
      </c>
      <c r="Z369">
        <f>IF(N368&lt;=0,0,MIN(AS369,N$7+IF(N$2=$AA369,$AC369,IF(N$2=$AF369,$AG369,0))))</f>
        <v/>
      </c>
      <c r="AA369">
        <f>IFERROR(ROUND(1/SUMPRODUCT(MAX((C368:N368&gt;0)*($C$3:$N$3&lt;=B369)/$C$2:$N$2)),0),0)</f>
        <v/>
      </c>
      <c r="AB369">
        <f>SUMPRODUCT((C368:N368&gt;0)*$C$7:$N$7)</f>
        <v/>
      </c>
      <c r="AC369">
        <f>MAX(0,Plan!$C$5-AB369)+IF(A369=Plan!$C$8,N(Plan!$C$7),0)</f>
        <v/>
      </c>
      <c r="AD369">
        <f>SUM(C369:N369)</f>
        <v/>
      </c>
      <c r="AE369">
        <f>SUM(O369:Z369)</f>
        <v/>
      </c>
      <c r="AF369">
        <f>IFERROR(ROUND(1/SUMPRODUCT(MAX((C368:N368&gt;0)*($C$3:$N$3&lt;=B369)*($C$2:$N$2&gt;AA369)/$C$2:$N$2)),0),0)</f>
        <v/>
      </c>
      <c r="AG369">
        <f>MAX(0,AC369-MAX(0,SUMPRODUCT(($C$2:$N$2=AA369)*(AH369:AS369-$C$7:$N$7))))</f>
        <v/>
      </c>
      <c r="AH369">
        <f>IF(C368&lt;=0,0,ROUND(C368*(1+IF(AND(C$6&gt;0,$B369&lt;C$6),C$4,C$5)/12),2))</f>
        <v/>
      </c>
      <c r="AI369">
        <f>IF(D368&lt;=0,0,ROUND(D368*(1+IF(AND(D$6&gt;0,$B369&lt;D$6),D$4,D$5)/12),2))</f>
        <v/>
      </c>
      <c r="AJ369">
        <f>IF(E368&lt;=0,0,ROUND(E368*(1+IF(AND(E$6&gt;0,$B369&lt;E$6),E$4,E$5)/12),2))</f>
        <v/>
      </c>
      <c r="AK369">
        <f>IF(F368&lt;=0,0,ROUND(F368*(1+IF(AND(F$6&gt;0,$B369&lt;F$6),F$4,F$5)/12),2))</f>
        <v/>
      </c>
      <c r="AL369">
        <f>IF(G368&lt;=0,0,ROUND(G368*(1+IF(AND(G$6&gt;0,$B369&lt;G$6),G$4,G$5)/12),2))</f>
        <v/>
      </c>
      <c r="AM369">
        <f>IF(H368&lt;=0,0,ROUND(H368*(1+IF(AND(H$6&gt;0,$B369&lt;H$6),H$4,H$5)/12),2))</f>
        <v/>
      </c>
      <c r="AN369">
        <f>IF(I368&lt;=0,0,ROUND(I368*(1+IF(AND(I$6&gt;0,$B369&lt;I$6),I$4,I$5)/12),2))</f>
        <v/>
      </c>
      <c r="AO369">
        <f>IF(J368&lt;=0,0,ROUND(J368*(1+IF(AND(J$6&gt;0,$B369&lt;J$6),J$4,J$5)/12),2))</f>
        <v/>
      </c>
      <c r="AP369">
        <f>IF(K368&lt;=0,0,ROUND(K368*(1+IF(AND(K$6&gt;0,$B369&lt;K$6),K$4,K$5)/12),2))</f>
        <v/>
      </c>
      <c r="AQ369">
        <f>IF(L368&lt;=0,0,ROUND(L368*(1+IF(AND(L$6&gt;0,$B369&lt;L$6),L$4,L$5)/12),2))</f>
        <v/>
      </c>
      <c r="AR369">
        <f>IF(M368&lt;=0,0,ROUND(M368*(1+IF(AND(M$6&gt;0,$B369&lt;M$6),M$4,M$5)/12),2))</f>
        <v/>
      </c>
      <c r="AS369">
        <f>IF(N368&lt;=0,0,ROUND(N368*(1+IF(AND(N$6&gt;0,$B369&lt;N$6),N$4,N$5)/12),2))</f>
        <v/>
      </c>
    </row>
    <row r="370">
      <c r="A370" t="n">
        <v>359</v>
      </c>
      <c r="B370">
        <f>EDATE(Plan!$C$6,358)</f>
        <v/>
      </c>
      <c r="C370">
        <f>IF(C369&lt;=0,0,MAX(0,AH370-O370))</f>
        <v/>
      </c>
      <c r="D370">
        <f>IF(D369&lt;=0,0,MAX(0,AI370-P370))</f>
        <v/>
      </c>
      <c r="E370">
        <f>IF(E369&lt;=0,0,MAX(0,AJ370-Q370))</f>
        <v/>
      </c>
      <c r="F370">
        <f>IF(F369&lt;=0,0,MAX(0,AK370-R370))</f>
        <v/>
      </c>
      <c r="G370">
        <f>IF(G369&lt;=0,0,MAX(0,AL370-S370))</f>
        <v/>
      </c>
      <c r="H370">
        <f>IF(H369&lt;=0,0,MAX(0,AM370-T370))</f>
        <v/>
      </c>
      <c r="I370">
        <f>IF(I369&lt;=0,0,MAX(0,AN370-U370))</f>
        <v/>
      </c>
      <c r="J370">
        <f>IF(J369&lt;=0,0,MAX(0,AO370-V370))</f>
        <v/>
      </c>
      <c r="K370">
        <f>IF(K369&lt;=0,0,MAX(0,AP370-W370))</f>
        <v/>
      </c>
      <c r="L370">
        <f>IF(L369&lt;=0,0,MAX(0,AQ370-X370))</f>
        <v/>
      </c>
      <c r="M370">
        <f>IF(M369&lt;=0,0,MAX(0,AR370-Y370))</f>
        <v/>
      </c>
      <c r="N370">
        <f>IF(N369&lt;=0,0,MAX(0,AS370-Z370))</f>
        <v/>
      </c>
      <c r="O370">
        <f>IF(C369&lt;=0,0,MIN(AH370,C$7+IF(C$2=$AA370,$AC370,IF(C$2=$AF370,$AG370,0))))</f>
        <v/>
      </c>
      <c r="P370">
        <f>IF(D369&lt;=0,0,MIN(AI370,D$7+IF(D$2=$AA370,$AC370,IF(D$2=$AF370,$AG370,0))))</f>
        <v/>
      </c>
      <c r="Q370">
        <f>IF(E369&lt;=0,0,MIN(AJ370,E$7+IF(E$2=$AA370,$AC370,IF(E$2=$AF370,$AG370,0))))</f>
        <v/>
      </c>
      <c r="R370">
        <f>IF(F369&lt;=0,0,MIN(AK370,F$7+IF(F$2=$AA370,$AC370,IF(F$2=$AF370,$AG370,0))))</f>
        <v/>
      </c>
      <c r="S370">
        <f>IF(G369&lt;=0,0,MIN(AL370,G$7+IF(G$2=$AA370,$AC370,IF(G$2=$AF370,$AG370,0))))</f>
        <v/>
      </c>
      <c r="T370">
        <f>IF(H369&lt;=0,0,MIN(AM370,H$7+IF(H$2=$AA370,$AC370,IF(H$2=$AF370,$AG370,0))))</f>
        <v/>
      </c>
      <c r="U370">
        <f>IF(I369&lt;=0,0,MIN(AN370,I$7+IF(I$2=$AA370,$AC370,IF(I$2=$AF370,$AG370,0))))</f>
        <v/>
      </c>
      <c r="V370">
        <f>IF(J369&lt;=0,0,MIN(AO370,J$7+IF(J$2=$AA370,$AC370,IF(J$2=$AF370,$AG370,0))))</f>
        <v/>
      </c>
      <c r="W370">
        <f>IF(K369&lt;=0,0,MIN(AP370,K$7+IF(K$2=$AA370,$AC370,IF(K$2=$AF370,$AG370,0))))</f>
        <v/>
      </c>
      <c r="X370">
        <f>IF(L369&lt;=0,0,MIN(AQ370,L$7+IF(L$2=$AA370,$AC370,IF(L$2=$AF370,$AG370,0))))</f>
        <v/>
      </c>
      <c r="Y370">
        <f>IF(M369&lt;=0,0,MIN(AR370,M$7+IF(M$2=$AA370,$AC370,IF(M$2=$AF370,$AG370,0))))</f>
        <v/>
      </c>
      <c r="Z370">
        <f>IF(N369&lt;=0,0,MIN(AS370,N$7+IF(N$2=$AA370,$AC370,IF(N$2=$AF370,$AG370,0))))</f>
        <v/>
      </c>
      <c r="AA370">
        <f>IFERROR(ROUND(1/SUMPRODUCT(MAX((C369:N369&gt;0)*($C$3:$N$3&lt;=B370)/$C$2:$N$2)),0),0)</f>
        <v/>
      </c>
      <c r="AB370">
        <f>SUMPRODUCT((C369:N369&gt;0)*$C$7:$N$7)</f>
        <v/>
      </c>
      <c r="AC370">
        <f>MAX(0,Plan!$C$5-AB370)+IF(A370=Plan!$C$8,N(Plan!$C$7),0)</f>
        <v/>
      </c>
      <c r="AD370">
        <f>SUM(C370:N370)</f>
        <v/>
      </c>
      <c r="AE370">
        <f>SUM(O370:Z370)</f>
        <v/>
      </c>
      <c r="AF370">
        <f>IFERROR(ROUND(1/SUMPRODUCT(MAX((C369:N369&gt;0)*($C$3:$N$3&lt;=B370)*($C$2:$N$2&gt;AA370)/$C$2:$N$2)),0),0)</f>
        <v/>
      </c>
      <c r="AG370">
        <f>MAX(0,AC370-MAX(0,SUMPRODUCT(($C$2:$N$2=AA370)*(AH370:AS370-$C$7:$N$7))))</f>
        <v/>
      </c>
      <c r="AH370">
        <f>IF(C369&lt;=0,0,ROUND(C369*(1+IF(AND(C$6&gt;0,$B370&lt;C$6),C$4,C$5)/12),2))</f>
        <v/>
      </c>
      <c r="AI370">
        <f>IF(D369&lt;=0,0,ROUND(D369*(1+IF(AND(D$6&gt;0,$B370&lt;D$6),D$4,D$5)/12),2))</f>
        <v/>
      </c>
      <c r="AJ370">
        <f>IF(E369&lt;=0,0,ROUND(E369*(1+IF(AND(E$6&gt;0,$B370&lt;E$6),E$4,E$5)/12),2))</f>
        <v/>
      </c>
      <c r="AK370">
        <f>IF(F369&lt;=0,0,ROUND(F369*(1+IF(AND(F$6&gt;0,$B370&lt;F$6),F$4,F$5)/12),2))</f>
        <v/>
      </c>
      <c r="AL370">
        <f>IF(G369&lt;=0,0,ROUND(G369*(1+IF(AND(G$6&gt;0,$B370&lt;G$6),G$4,G$5)/12),2))</f>
        <v/>
      </c>
      <c r="AM370">
        <f>IF(H369&lt;=0,0,ROUND(H369*(1+IF(AND(H$6&gt;0,$B370&lt;H$6),H$4,H$5)/12),2))</f>
        <v/>
      </c>
      <c r="AN370">
        <f>IF(I369&lt;=0,0,ROUND(I369*(1+IF(AND(I$6&gt;0,$B370&lt;I$6),I$4,I$5)/12),2))</f>
        <v/>
      </c>
      <c r="AO370">
        <f>IF(J369&lt;=0,0,ROUND(J369*(1+IF(AND(J$6&gt;0,$B370&lt;J$6),J$4,J$5)/12),2))</f>
        <v/>
      </c>
      <c r="AP370">
        <f>IF(K369&lt;=0,0,ROUND(K369*(1+IF(AND(K$6&gt;0,$B370&lt;K$6),K$4,K$5)/12),2))</f>
        <v/>
      </c>
      <c r="AQ370">
        <f>IF(L369&lt;=0,0,ROUND(L369*(1+IF(AND(L$6&gt;0,$B370&lt;L$6),L$4,L$5)/12),2))</f>
        <v/>
      </c>
      <c r="AR370">
        <f>IF(M369&lt;=0,0,ROUND(M369*(1+IF(AND(M$6&gt;0,$B370&lt;M$6),M$4,M$5)/12),2))</f>
        <v/>
      </c>
      <c r="AS370">
        <f>IF(N369&lt;=0,0,ROUND(N369*(1+IF(AND(N$6&gt;0,$B370&lt;N$6),N$4,N$5)/12),2))</f>
        <v/>
      </c>
    </row>
    <row r="371">
      <c r="A371" t="n">
        <v>360</v>
      </c>
      <c r="B371">
        <f>EDATE(Plan!$C$6,359)</f>
        <v/>
      </c>
      <c r="C371">
        <f>IF(C370&lt;=0,0,MAX(0,AH371-O371))</f>
        <v/>
      </c>
      <c r="D371">
        <f>IF(D370&lt;=0,0,MAX(0,AI371-P371))</f>
        <v/>
      </c>
      <c r="E371">
        <f>IF(E370&lt;=0,0,MAX(0,AJ371-Q371))</f>
        <v/>
      </c>
      <c r="F371">
        <f>IF(F370&lt;=0,0,MAX(0,AK371-R371))</f>
        <v/>
      </c>
      <c r="G371">
        <f>IF(G370&lt;=0,0,MAX(0,AL371-S371))</f>
        <v/>
      </c>
      <c r="H371">
        <f>IF(H370&lt;=0,0,MAX(0,AM371-T371))</f>
        <v/>
      </c>
      <c r="I371">
        <f>IF(I370&lt;=0,0,MAX(0,AN371-U371))</f>
        <v/>
      </c>
      <c r="J371">
        <f>IF(J370&lt;=0,0,MAX(0,AO371-V371))</f>
        <v/>
      </c>
      <c r="K371">
        <f>IF(K370&lt;=0,0,MAX(0,AP371-W371))</f>
        <v/>
      </c>
      <c r="L371">
        <f>IF(L370&lt;=0,0,MAX(0,AQ371-X371))</f>
        <v/>
      </c>
      <c r="M371">
        <f>IF(M370&lt;=0,0,MAX(0,AR371-Y371))</f>
        <v/>
      </c>
      <c r="N371">
        <f>IF(N370&lt;=0,0,MAX(0,AS371-Z371))</f>
        <v/>
      </c>
      <c r="O371">
        <f>IF(C370&lt;=0,0,MIN(AH371,C$7+IF(C$2=$AA371,$AC371,IF(C$2=$AF371,$AG371,0))))</f>
        <v/>
      </c>
      <c r="P371">
        <f>IF(D370&lt;=0,0,MIN(AI371,D$7+IF(D$2=$AA371,$AC371,IF(D$2=$AF371,$AG371,0))))</f>
        <v/>
      </c>
      <c r="Q371">
        <f>IF(E370&lt;=0,0,MIN(AJ371,E$7+IF(E$2=$AA371,$AC371,IF(E$2=$AF371,$AG371,0))))</f>
        <v/>
      </c>
      <c r="R371">
        <f>IF(F370&lt;=0,0,MIN(AK371,F$7+IF(F$2=$AA371,$AC371,IF(F$2=$AF371,$AG371,0))))</f>
        <v/>
      </c>
      <c r="S371">
        <f>IF(G370&lt;=0,0,MIN(AL371,G$7+IF(G$2=$AA371,$AC371,IF(G$2=$AF371,$AG371,0))))</f>
        <v/>
      </c>
      <c r="T371">
        <f>IF(H370&lt;=0,0,MIN(AM371,H$7+IF(H$2=$AA371,$AC371,IF(H$2=$AF371,$AG371,0))))</f>
        <v/>
      </c>
      <c r="U371">
        <f>IF(I370&lt;=0,0,MIN(AN371,I$7+IF(I$2=$AA371,$AC371,IF(I$2=$AF371,$AG371,0))))</f>
        <v/>
      </c>
      <c r="V371">
        <f>IF(J370&lt;=0,0,MIN(AO371,J$7+IF(J$2=$AA371,$AC371,IF(J$2=$AF371,$AG371,0))))</f>
        <v/>
      </c>
      <c r="W371">
        <f>IF(K370&lt;=0,0,MIN(AP371,K$7+IF(K$2=$AA371,$AC371,IF(K$2=$AF371,$AG371,0))))</f>
        <v/>
      </c>
      <c r="X371">
        <f>IF(L370&lt;=0,0,MIN(AQ371,L$7+IF(L$2=$AA371,$AC371,IF(L$2=$AF371,$AG371,0))))</f>
        <v/>
      </c>
      <c r="Y371">
        <f>IF(M370&lt;=0,0,MIN(AR371,M$7+IF(M$2=$AA371,$AC371,IF(M$2=$AF371,$AG371,0))))</f>
        <v/>
      </c>
      <c r="Z371">
        <f>IF(N370&lt;=0,0,MIN(AS371,N$7+IF(N$2=$AA371,$AC371,IF(N$2=$AF371,$AG371,0))))</f>
        <v/>
      </c>
      <c r="AA371">
        <f>IFERROR(ROUND(1/SUMPRODUCT(MAX((C370:N370&gt;0)*($C$3:$N$3&lt;=B371)/$C$2:$N$2)),0),0)</f>
        <v/>
      </c>
      <c r="AB371">
        <f>SUMPRODUCT((C370:N370&gt;0)*$C$7:$N$7)</f>
        <v/>
      </c>
      <c r="AC371">
        <f>MAX(0,Plan!$C$5-AB371)+IF(A371=Plan!$C$8,N(Plan!$C$7),0)</f>
        <v/>
      </c>
      <c r="AD371">
        <f>SUM(C371:N371)</f>
        <v/>
      </c>
      <c r="AE371">
        <f>SUM(O371:Z371)</f>
        <v/>
      </c>
      <c r="AF371">
        <f>IFERROR(ROUND(1/SUMPRODUCT(MAX((C370:N370&gt;0)*($C$3:$N$3&lt;=B371)*($C$2:$N$2&gt;AA371)/$C$2:$N$2)),0),0)</f>
        <v/>
      </c>
      <c r="AG371">
        <f>MAX(0,AC371-MAX(0,SUMPRODUCT(($C$2:$N$2=AA371)*(AH371:AS371-$C$7:$N$7))))</f>
        <v/>
      </c>
      <c r="AH371">
        <f>IF(C370&lt;=0,0,ROUND(C370*(1+IF(AND(C$6&gt;0,$B371&lt;C$6),C$4,C$5)/12),2))</f>
        <v/>
      </c>
      <c r="AI371">
        <f>IF(D370&lt;=0,0,ROUND(D370*(1+IF(AND(D$6&gt;0,$B371&lt;D$6),D$4,D$5)/12),2))</f>
        <v/>
      </c>
      <c r="AJ371">
        <f>IF(E370&lt;=0,0,ROUND(E370*(1+IF(AND(E$6&gt;0,$B371&lt;E$6),E$4,E$5)/12),2))</f>
        <v/>
      </c>
      <c r="AK371">
        <f>IF(F370&lt;=0,0,ROUND(F370*(1+IF(AND(F$6&gt;0,$B371&lt;F$6),F$4,F$5)/12),2))</f>
        <v/>
      </c>
      <c r="AL371">
        <f>IF(G370&lt;=0,0,ROUND(G370*(1+IF(AND(G$6&gt;0,$B371&lt;G$6),G$4,G$5)/12),2))</f>
        <v/>
      </c>
      <c r="AM371">
        <f>IF(H370&lt;=0,0,ROUND(H370*(1+IF(AND(H$6&gt;0,$B371&lt;H$6),H$4,H$5)/12),2))</f>
        <v/>
      </c>
      <c r="AN371">
        <f>IF(I370&lt;=0,0,ROUND(I370*(1+IF(AND(I$6&gt;0,$B371&lt;I$6),I$4,I$5)/12),2))</f>
        <v/>
      </c>
      <c r="AO371">
        <f>IF(J370&lt;=0,0,ROUND(J370*(1+IF(AND(J$6&gt;0,$B371&lt;J$6),J$4,J$5)/12),2))</f>
        <v/>
      </c>
      <c r="AP371">
        <f>IF(K370&lt;=0,0,ROUND(K370*(1+IF(AND(K$6&gt;0,$B371&lt;K$6),K$4,K$5)/12),2))</f>
        <v/>
      </c>
      <c r="AQ371">
        <f>IF(L370&lt;=0,0,ROUND(L370*(1+IF(AND(L$6&gt;0,$B371&lt;L$6),L$4,L$5)/12),2))</f>
        <v/>
      </c>
      <c r="AR371">
        <f>IF(M370&lt;=0,0,ROUND(M370*(1+IF(AND(M$6&gt;0,$B371&lt;M$6),M$4,M$5)/12),2))</f>
        <v/>
      </c>
      <c r="AS371">
        <f>IF(N370&lt;=0,0,ROUND(N370*(1+IF(AND(N$6&gt;0,$B371&lt;N$6),N$4,N$5)/12),2))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2026-10-05T08:52:16Z</dcterms:created>
  <dcterms:modified xsi:type="dcterms:W3CDTF">2026-10-05T08:52:18Z</dcterms:modified>
</cp:coreProperties>
</file>